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DE92" lockStructure="1"/>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CCforGL">Lists!$V$5:$V$10</definedName>
    <definedName name="lst_CCtoGL">Lists!$W$5:$W$10</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7">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49" fontId="6" fillId="0" borderId="1" applyProtection="1" pivotButton="0" quotePrefix="0" xfId="0">
      <protection locked="0" hidden="0"/>
    </xf>
    <xf numFmtId="166" fontId="6" fillId="0" borderId="1" applyProtection="1" pivotButton="0" quotePrefix="0" xfId="0">
      <protection locked="0" hidden="0"/>
    </xf>
    <xf numFmtId="167" fontId="6" fillId="0" borderId="1" applyProtection="1" pivotButton="0" quotePrefix="0" xfId="0">
      <protection locked="0" hidden="0"/>
    </xf>
    <xf numFmtId="17" fontId="7" fillId="5" borderId="1" pivotButton="0" quotePrefix="0" xfId="0"/>
    <xf numFmtId="49" fontId="7" fillId="5" borderId="1" pivotButton="0" quotePrefix="0" xfId="0"/>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13" fillId="0" borderId="0" pivotButton="0" quotePrefix="0" xfId="0"/>
    <xf numFmtId="0" fontId="8" fillId="0" borderId="0" pivotButton="0" quotePrefix="0" xfId="0"/>
    <xf numFmtId="167" fontId="8" fillId="6"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K404" headerRowCount="1">
  <autoFilter ref="A4:AK404"/>
  <tableColumns count="37">
    <tableColumn id="1" name="Job Number"/>
    <tableColumn id="2" name="Xero Invoice No"/>
    <tableColumn id="3" name="Date"/>
    <tableColumn id="4" name="Cost Centre"/>
    <tableColumn id="5" name="Ex GST"/>
    <tableColumn id="6" name="Month"/>
    <tableColumn id="7" name="Department"/>
    <tableColumn id="8" name="Job in Xero?"/>
    <tableColumn id="9" name="Job Name (Xero)"/>
    <tableColumn id="10" name="Client"/>
    <tableColumn id="11" name="Description"/>
    <tableColumn id="12" name="Invoice Type"/>
    <tableColumn id="13" name="Tax Code"/>
    <tableColumn id="14" name="Revenue GL"/>
    <tableColumn id="15" name="GST"/>
    <tableColumn id="16" name="Inc GST"/>
    <tableColumn id="17" name="Job Value per Dept"/>
    <tableColumn id="18" name="Invoiced per Xero"/>
    <tableColumn id="19" name="Dept vs Xero"/>
    <tableColumn id="20" name="Compare"/>
    <tableColumn id="21" name="Posted to Xero"/>
    <tableColumn id="22" name="To WIP"/>
    <tableColumn id="23" name="Defer Start"/>
    <tableColumn id="24" name="Defer End"/>
    <tableColumn id="25" name="Status"/>
    <tableColumn id="26" name="Notes"/>
    <tableColumn id="27" name="Issue"/>
    <tableColumn id="28" name="Lines on this Job"/>
    <tableColumn id="29" name="Job Total Ex GST"/>
    <tableColumn id="30" name="Job Invoiced"/>
    <tableColumn id="31" name="Job To Invoice"/>
    <tableColumn id="32" name="Job Quote / Ref"/>
    <tableColumn id="33" name="Open Quote"/>
    <tableColumn id="34" name="Job Expense"/>
    <tableColumn id="35" name="Job Margin"/>
    <tableColumn id="36" name="Job Margin %"/>
    <tableColumn id="37"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W404" headerRowCount="1">
  <autoFilter ref="A4:W404"/>
  <tableColumns count="23">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PO / Reference"/>
    <tableColumn id="19" name="Qwilr Quote"/>
    <tableColumn id="20" name="Open Qwilr"/>
    <tableColumn id="21" name="Billable Hours"/>
    <tableColumn id="22" name="Approved By"/>
    <tableColumn id="23"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T404" headerRowCount="1">
  <autoFilter ref="A4:AT404"/>
  <tableColumns count="46">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Total Inc GST"/>
    <tableColumn id="19" name="Company"/>
    <tableColumn id="20" name="Client Email"/>
    <tableColumn id="21" name="Event Grouping"/>
    <tableColumn id="22" name="Event Date"/>
    <tableColumn id="23" name="Current RMS No"/>
    <tableColumn id="24" name="Open in Current RMS"/>
    <tableColumn id="25" name="Qwilr Quote"/>
    <tableColumn id="26" name="Open Qwilr"/>
    <tableColumn id="27" name="Zoho Number"/>
    <tableColumn id="28" name="Job Closed"/>
    <tableColumn id="29" name="Discounts Given"/>
    <tableColumn id="30" name="Value Before Discount"/>
    <tableColumn id="31" name="Discount %"/>
    <tableColumn id="32" name="Cross Hire Expense"/>
    <tableColumn id="33" name="Conf. Call Costs"/>
    <tableColumn id="34" name="Transcription Costs"/>
    <tableColumn id="35" name="Labour Expense (Internal)"/>
    <tableColumn id="36" name="Video Revenue"/>
    <tableColumn id="37" name="Video % of Revenue"/>
    <tableColumn id="38" name="Total Expense"/>
    <tableColumn id="39" name="Margin"/>
    <tableColumn id="40" name="Margin %"/>
    <tableColumn id="41" name="Video Filming Hrs"/>
    <tableColumn id="42" name="Video Editing Hrs"/>
    <tableColumn id="43" name="Project Mgmt Hrs"/>
    <tableColumn id="44" name="Video Project Mgmt Hrs"/>
    <tableColumn id="45" name="Production Labour Hrs"/>
    <tableColumn id="46"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AD404" headerRowCount="1">
  <autoFilter ref="A4:AD404"/>
  <tableColumns count="30">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Qwilr Quote"/>
    <tableColumn id="19" name="Open Qwilr"/>
    <tableColumn id="20" name="Labour Revenue"/>
    <tableColumn id="21" name="Equipment Revenue"/>
    <tableColumn id="22" name="Subscription Revenue"/>
    <tableColumn id="23" name="Revenue Split Check"/>
    <tableColumn id="24" name="Labour Expense (External)"/>
    <tableColumn id="25" name="Equipment Expense (Internal)"/>
    <tableColumn id="26" name="Subscription &amp; Licences Expense"/>
    <tableColumn id="27" name="Total Expense"/>
    <tableColumn id="28" name="Margin"/>
    <tableColumn id="29" name="Margin %"/>
    <tableColumn id="30"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2"/>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42" customHeight="1">
      <c r="C7" s="4" t="inlineStr">
        <is>
          <t>The department owns the job. Onsite, Production and Consulting each set their own jobs up on their own sheet - the client, what the job is, the cost centre, what it is worth, the quote, the costs. One row per job number, and nowhere else.</t>
        </is>
      </c>
    </row>
    <row r="8" ht="42" customHeight="1">
      <c r="C8" s="4" t="inlineStr">
        <is>
          <t>Finance owns the invoice. On the Finance sheet Finance types five things and five things only, all of them straight off the Xero invoice line: the job number, the Xero invoice number, the date, the cost centre and the amount ex GST. Everything else on that sheet reads itself.</t>
        </is>
      </c>
    </row>
    <row r="9" ht="42" customHeight="1">
      <c r="C9" s="4" t="inlineStr">
        <is>
          <t>So the client, the description, the invoice type, the tax code, the revenue GL, the quote, the costs, the margin and the department's notes all arrive on the Finance sheet by themselves, read from the department sheet that holds that job number. Finance never retypes any of it and the two can never disagree.</t>
        </is>
      </c>
    </row>
    <row r="10" ht="42" customHeight="1">
      <c r="C10" s="4" t="inlineStr">
        <is>
          <t>The project number and the department are the source of truth. Job Number is the only thing joining the two sides, and the Department column on Finance says which sheet the job came from, or not set up yet when no department has entered it - which is also flagged in the Issue column and counted at month-end.</t>
        </is>
      </c>
    </row>
    <row r="11" ht="56" customHeight="1">
      <c r="C11" s="4" t="inlineStr">
        <is>
          <t>Job Value per Dept, Invoiced per Xero, Dept vs Xero and Compare sit side by side on the Finance sheet. The department says what the job is worth, Xero says what was actually raised, and Compare reads Agrees, Dept higher - to invoice, or Xero higher - check dept. A job invoiced in stages agrees once the last stage is raised.</t>
        </is>
      </c>
    </row>
    <row r="12" ht="10" customHeight="1"/>
    <row r="13" ht="22" customHeight="1">
      <c r="B13" s="3" t="inlineStr">
        <is>
          <t>HOW IT FITS TOGETHER</t>
        </is>
      </c>
    </row>
    <row r="14" ht="28" customHeight="1">
      <c r="B14" s="5" t="inlineStr">
        <is>
          <t>Finance</t>
        </is>
      </c>
      <c r="C14" s="6" t="inlineStr">
        <is>
          <t>The invoice register, and the only source of revenue. One row per invoice LINE, coded to one cost centre, exactly as Xero holds it. Filter the Issue column to see everything that needs fixing.</t>
        </is>
      </c>
    </row>
    <row r="15" ht="56" customHeight="1">
      <c r="B15" s="5" t="inlineStr">
        <is>
          <t>Onsite / Production / Consulting</t>
        </is>
      </c>
      <c r="C15" s="6" t="inlineStr">
        <is>
          <t>One row per job. Client, invoice count and revenue come from Finance automatically; the department fills in its own costs, hours and references. Expected Revenue Ex GST is what the job is worth in total - fill it in and Not Yet on Finance shows the part nobody has invoiced, which is what a job still sitting in WIP looks like. Month-End section 6 adds those up.</t>
        </is>
      </c>
    </row>
    <row r="16" ht="28" customHeight="1">
      <c r="B16" s="5" t="inlineStr">
        <is>
          <t>WIP Movements</t>
        </is>
      </c>
      <c r="C16" s="6" t="inlineStr">
        <is>
          <t>Manual journals between the P&amp;L and GL 11300 Work in Progress. Anything with a defer start and end on Finance does not belong here - it is handled automatically.</t>
        </is>
      </c>
    </row>
    <row r="17" ht="28" customHeight="1">
      <c r="B17" s="5" t="inlineStr">
        <is>
          <t>Deferred Revenue</t>
        </is>
      </c>
      <c r="C17" s="6" t="inlineStr">
        <is>
          <t>The workings behind the automatic deferrals. Nothing is typed here; it mirrors the Finance lines that carry a defer start and end.</t>
        </is>
      </c>
    </row>
    <row r="18" ht="28" customHeight="1">
      <c r="B18" s="5" t="inlineStr">
        <is>
          <t>Month-End</t>
        </is>
      </c>
      <c r="C18" s="6" t="inlineStr">
        <is>
          <t>The close: revenue by cost centre against Xero, the WIP reconciliation, fifteen data checks and a sign-off box.</t>
        </is>
      </c>
    </row>
    <row r="19" ht="14" customHeight="1">
      <c r="B19" s="5" t="inlineStr">
        <is>
          <t>WIP Summary</t>
        </is>
      </c>
      <c r="C19" s="6" t="inlineStr">
        <is>
          <t>WIP opening / movement / closing for every job, to tie job by job back to the WIP Schedule file.</t>
        </is>
      </c>
    </row>
    <row r="20" ht="28" customHeight="1">
      <c r="B20" s="5" t="inlineStr">
        <is>
          <t>Lists</t>
        </is>
      </c>
      <c r="C20" s="6" t="inlineStr">
        <is>
          <t>Every dropdown. Cost centres, job numbers and revenue GL codes came straight out of your Xero organisation, so they already match.</t>
        </is>
      </c>
    </row>
    <row r="21" ht="10" customHeight="1"/>
    <row r="22" ht="22" customHeight="1">
      <c r="B22" s="3" t="inlineStr">
        <is>
          <t>DEFERRED REVENUE  -  it releases itself</t>
        </is>
      </c>
    </row>
    <row r="23" ht="28" customHeight="1">
      <c r="C23" s="4" t="inlineStr">
        <is>
          <t>Put a Defer Start and a Defer End on a Finance line and the revenue spreads evenly across those months instead of landing all in the month you invoiced. Leave both blank for an ordinary one-off invoice.</t>
        </is>
      </c>
    </row>
    <row r="24" ht="14" customHeight="1">
      <c r="C24" s="4" t="inlineStr">
        <is>
          <t xml:space="preserve">   In the month invoiced: one month is recognised, the rest goes to WIP.</t>
        </is>
      </c>
    </row>
    <row r="25" ht="14" customHeight="1">
      <c r="C25" s="4" t="inlineStr">
        <is>
          <t xml:space="preserve">   Every month after: one more month is released, automatically.</t>
        </is>
      </c>
    </row>
    <row r="26" ht="42" customHeight="1">
      <c r="C26" s="4" t="inlineStr">
        <is>
          <t>Worked example - $12,000 invoiced 15 Sep 2025 for Sep 2025 to Aug 2026. September recognises $1,000 and defers $11,000. Each month after releases $1,000. By August 2026 the balance is nil. Nothing is typed each month and no journal is needed.</t>
        </is>
      </c>
    </row>
    <row r="27" ht="42" customHeight="1">
      <c r="C27" s="4" t="inlineStr">
        <is>
          <t>The Deferred Revenue sheet shows the workings line by line, and Month-End and WIP Summary already include it. One warning: a deferred line must not ALSO have a manual row on WIP Movements or it counts twice - Month-End checks for that.</t>
        </is>
      </c>
    </row>
    <row r="28" ht="56" customHeight="1">
      <c r="C28"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9" ht="42" customHeight="1">
      <c r="C29"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30" ht="10" customHeight="1"/>
    <row r="31" ht="22" customHeight="1">
      <c r="B31" s="3" t="inlineStr">
        <is>
          <t>VIDEO REVENUE</t>
        </is>
      </c>
    </row>
    <row r="32" ht="56" customHeight="1">
      <c r="C32"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3" ht="28" customHeight="1">
      <c r="C33" s="4" t="inlineStr">
        <is>
          <t>The 26 migrated invoices that carried a video amount were split into two lines each on the way across. Ex GST in total is unchanged.</t>
        </is>
      </c>
    </row>
    <row r="34" ht="42" customHeight="1">
      <c r="C34"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5" ht="10" customHeight="1"/>
    <row r="36" ht="22" customHeight="1">
      <c r="B36" s="3" t="inlineStr">
        <is>
          <t>WHY THIS VERSION IS NOT SLOW, AND WHY IT OPENS</t>
        </is>
      </c>
    </row>
    <row r="37" ht="42" customHeight="1">
      <c r="C37"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8" ht="42" customHeight="1">
      <c r="C38"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9" ht="10" customHeight="1"/>
    <row r="40" ht="22" customHeight="1">
      <c r="B40" s="3" t="inlineStr">
        <is>
          <t>WORK WON  -  ZOHO, CURRENT RMS AND QWILR</t>
        </is>
      </c>
    </row>
    <row r="41" ht="42" customHeight="1">
      <c r="C41" s="4" t="inlineStr">
        <is>
          <t>Paste the month's won opportunities onto the Work Won sheet, one row each, with the source, the value and the job number where you have it. Month-End section 5 totals them by source and puts them next to what was actually invoiced.</t>
        </is>
      </c>
    </row>
    <row r="42" ht="42" customHeight="1">
      <c r="C42"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3" ht="70" customHeight="1">
      <c r="C43" s="4" t="inlineStr">
        <is>
          <t>Month-End section 6 turns the same sheet into the forecast. It adds two things that have no invoice against them: a Finance line carrying a value but no invoice number, and work marked Won less everything Finance already holds against that job. Subtracting all of it is what stops the same work being counted twice. Open opportunities and deferred revenue still to release sit underneath as memos, deliberately outside the total.</t>
        </is>
      </c>
    </row>
    <row r="44" ht="10" customHeight="1"/>
    <row r="45" ht="22" customHeight="1">
      <c r="B45" s="3" t="inlineStr">
        <is>
          <t>MONTH-END, IN ORDER</t>
        </is>
      </c>
    </row>
    <row r="46" ht="28" customHeight="1">
      <c r="C46" s="4" t="inlineStr">
        <is>
          <t>1.  Chase the departments until every invoice for the month is on the Finance sheet and Posted to Xero is Y.</t>
        </is>
      </c>
    </row>
    <row r="47" ht="14" customHeight="1">
      <c r="C47" s="4" t="inlineStr">
        <is>
          <t>2.  Open Month-End and set the month.</t>
        </is>
      </c>
    </row>
    <row r="48" ht="28" customHeight="1">
      <c r="C48" s="4" t="inlineStr">
        <is>
          <t>3.  Work section 3 first. Every count must be zero. Fix on the Finance sheet, or filter the Issue column there, which lists the same problems row by row.</t>
        </is>
      </c>
    </row>
    <row r="49" ht="28" customHeight="1">
      <c r="C49" s="4" t="inlineStr">
        <is>
          <t>4.  Section 1: run the Xero P&amp;L for the month by Cost Centre and type the revenue into the yellow column. Each line should read Reconciled.</t>
        </is>
      </c>
    </row>
    <row r="50" ht="14" customHeight="1">
      <c r="C50" s="4" t="inlineStr">
        <is>
          <t>5.  Section 2: type the WIP Schedule closing balance and the Xero GL 11300 balance.</t>
        </is>
      </c>
    </row>
    <row r="51" ht="28" customHeight="1">
      <c r="C51" s="4" t="inlineStr">
        <is>
          <t>6.  Breaks in section 2 - open WIP Summary, paste the WIP Schedule balances into column G and the variance column shows which job is out.</t>
        </is>
      </c>
    </row>
    <row r="52" ht="42" customHeight="1">
      <c r="C52" s="4" t="inlineStr">
        <is>
          <t>7.  Section 4 is the journal. It names the account to debit, the account to credit and the amount, split by cost centre. Key it into Xero as one manual journal, then put the journal reference back on the WIP Movements rows.</t>
        </is>
      </c>
    </row>
    <row r="53" ht="14" customHeight="1">
      <c r="C53" s="4" t="inlineStr">
        <is>
          <t>8.  Section 5 is the Work Won sense check against ZOHO, Current RMS and Qwilr.</t>
        </is>
      </c>
    </row>
    <row r="54" ht="10" customHeight="1"/>
    <row r="55" ht="22" customHeight="1">
      <c r="B55" s="3" t="inlineStr">
        <is>
          <t>THE WIP SIGN RULE</t>
        </is>
      </c>
    </row>
    <row r="56" ht="56" customHeight="1">
      <c r="C56"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7" ht="56" customHeight="1">
      <c r="C57"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8" ht="42" customHeight="1">
      <c r="C58"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9" ht="28" customHeight="1">
      <c r="C59" s="4" t="inlineStr">
        <is>
          <t>The two accounts are set on the Lists sheet, column U rows 9 and 10. Change them there and every Debit / Credit follows.</t>
        </is>
      </c>
    </row>
    <row r="60" ht="10" customHeight="1"/>
    <row r="61" ht="22" customHeight="1">
      <c r="B61" s="3" t="inlineStr">
        <is>
          <t>LOCKED CELLS, LINKS AND TOTALS</t>
        </is>
      </c>
    </row>
    <row r="62" ht="56" customHeight="1">
      <c r="C62" s="4" t="inlineStr">
        <is>
          <t>Every sheet is protected with the password CTS1234. Only the cells you are meant to fill are open; the grey calculated ones are locked so a stray keystroke cannot wipe a formula. To edit a locked cell: Review, Unprotect Sheet, type CTS1234. Sorting and filtering work without unprotecting anything. The workbook structure uses the same password, so sheets cannot be renamed, reordered or deleted by accident either.</t>
        </is>
      </c>
    </row>
    <row r="63" ht="70" customHeight="1">
      <c r="C63"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4" ht="28" customHeight="1">
      <c r="C64" s="4" t="inlineStr">
        <is>
          <t>Each sheet shows its total ex-GST at the top, and it follows the filter - filter to one client or one month and the total follows. Finance shows Ex GST, GST and Inc GST.</t>
        </is>
      </c>
    </row>
    <row r="65" ht="28" customHeight="1">
      <c r="C65" s="4" t="inlineStr">
        <is>
          <t>The GST rate is no longer buried in the formula. It sits on the Lists sheet, column U row 8, and every GST cell reads it from there.</t>
        </is>
      </c>
    </row>
    <row r="66" ht="10" customHeight="1"/>
    <row r="67" ht="22" customHeight="1">
      <c r="B67" s="3" t="inlineStr">
        <is>
          <t>RULES THAT KEEP IT FAST</t>
        </is>
      </c>
    </row>
    <row r="68" ht="14" customHeight="1">
      <c r="C68" s="4" t="inlineStr">
        <is>
          <t xml:space="preserve">   Never insert or delete rows above the header row.</t>
        </is>
      </c>
    </row>
    <row r="69" ht="28" customHeight="1">
      <c r="C69" s="4" t="inlineStr">
        <is>
          <t xml:space="preserve">   Add rows by typing in the next blank row of the table, or press Tab at the end of the last row and the table grows with the formulas.</t>
        </is>
      </c>
    </row>
    <row r="70" ht="14" customHeight="1">
      <c r="C70" s="4" t="inlineStr">
        <is>
          <t xml:space="preserve">   Paste values only, never whole columns.</t>
        </is>
      </c>
    </row>
    <row r="71" ht="14" customHeight="1">
      <c r="C71" s="4" t="inlineStr">
        <is>
          <t xml:space="preserve">   Leave calculation on Automatic. Nothing here is volatile - no OFFSET, no INDIRECT, no TODAY in bulk.</t>
        </is>
      </c>
    </row>
    <row r="72" ht="28" customHeight="1">
      <c r="C72" s="4" t="inlineStr">
        <is>
          <t xml:space="preserve">   Keep it as .xlsx. The moment someone saves it as .xlsm and adds a macro you are back where you started.</t>
        </is>
      </c>
    </row>
    <row r="73" ht="10" customHeight="1"/>
    <row r="74" ht="22" customHeight="1">
      <c r="B74" s="3" t="inlineStr">
        <is>
          <t>THIS IS THE EMPTY TEST COPY</t>
        </is>
      </c>
    </row>
    <row r="75" ht="28" customHeight="1">
      <c r="C75" s="4" t="inlineStr">
        <is>
          <t>Nothing has been migrated into this file. Every sheet is empty and ready to type into, and every formula, dropdown, lock, hyperlink and month-end check is exactly the same as the live workbook.</t>
        </is>
      </c>
    </row>
    <row r="76" ht="28" customHeight="1">
      <c r="C76" s="4" t="inlineStr">
        <is>
          <t>What is still here is reference data, because the dropdowns and the job checks need it: the Xero job list, the cost centres, the revenue GL codes and the month list on the Lists sheet.</t>
        </is>
      </c>
    </row>
    <row r="77" ht="42" customHeight="1">
      <c r="C77"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8" ht="10" customHeight="1"/>
    <row r="79" ht="22" customHeight="1">
      <c r="B79" s="7" t="inlineStr">
        <is>
          <t>STILL TO CONFIRM</t>
        </is>
      </c>
    </row>
    <row r="80" ht="70" customHeight="1">
      <c r="C80"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2" ht="28" customHeight="1">
      <c r="B82" s="8" t="inlineStr">
        <is>
          <t>Bigger text, shorter lines, one sentence per line: open the Read Me (Easy Read) tab. Same words, easier on the eye.</t>
        </is>
      </c>
    </row>
  </sheetData>
  <mergeCells count="13">
    <mergeCell ref="B13:C13"/>
    <mergeCell ref="B55:C55"/>
    <mergeCell ref="B6:C6"/>
    <mergeCell ref="B74:C74"/>
    <mergeCell ref="B67:C67"/>
    <mergeCell ref="B45:C45"/>
    <mergeCell ref="B61:C61"/>
    <mergeCell ref="B36:C36"/>
    <mergeCell ref="B22:C22"/>
    <mergeCell ref="B31:C31"/>
    <mergeCell ref="B40:C40"/>
    <mergeCell ref="B79:C79"/>
    <mergeCell ref="B82:C82"/>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92"/>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The department owns the job.</t>
        </is>
      </c>
      <c r="D6" s="9" t="n"/>
    </row>
    <row r="7" ht="79.05000000000001" customHeight="1">
      <c r="A7" s="9" t="n"/>
      <c r="B7" s="9" t="n"/>
      <c r="C7" s="13" t="inlineStr">
        <is>
          <t>Onsite, Production and Consulting each set their own jobs up on their own sheet - the client, what the job is, the cost centre, what it is worth, the quote, the costs.</t>
        </is>
      </c>
      <c r="D7" s="9" t="n"/>
    </row>
    <row r="8" ht="26.35" customHeight="1">
      <c r="A8" s="9" t="n"/>
      <c r="B8" s="9" t="n"/>
      <c r="C8" s="13" t="inlineStr">
        <is>
          <t>One row per job number, and nowhere else.</t>
        </is>
      </c>
      <c r="D8" s="9" t="n"/>
    </row>
    <row r="9" ht="6" customHeight="1">
      <c r="A9" s="9" t="n"/>
      <c r="B9" s="9" t="n"/>
      <c r="C9" s="9" t="n"/>
      <c r="D9" s="9" t="n"/>
    </row>
    <row r="10" ht="26.35" customHeight="1">
      <c r="A10" s="9" t="n"/>
      <c r="B10" s="9" t="n"/>
      <c r="C10" s="13" t="inlineStr">
        <is>
          <t>Finance owns the invoice.</t>
        </is>
      </c>
      <c r="D10" s="9" t="n"/>
    </row>
    <row r="11" ht="105.4" customHeight="1">
      <c r="A11" s="9" t="n"/>
      <c r="B11" s="9" t="n"/>
      <c r="C11" s="13" t="inlineStr">
        <is>
          <t>On the Finance sheet Finance types five things and five things only, all of them straight off the Xero invoice line: the job number, the Xero invoice number, the date, the cost centre and the amount ex GST.</t>
        </is>
      </c>
      <c r="D11" s="9" t="n"/>
    </row>
    <row r="12" ht="26.35" customHeight="1">
      <c r="A12" s="9" t="n"/>
      <c r="B12" s="9" t="n"/>
      <c r="C12" s="13" t="inlineStr">
        <is>
          <t>Everything else on that sheet reads itself.</t>
        </is>
      </c>
      <c r="D12" s="9" t="n"/>
    </row>
    <row r="13" ht="6" customHeight="1">
      <c r="A13" s="9" t="n"/>
      <c r="B13" s="9" t="n"/>
      <c r="C13" s="9" t="n"/>
      <c r="D13" s="9" t="n"/>
    </row>
    <row r="14" ht="105.4" customHeight="1">
      <c r="A14" s="9" t="n"/>
      <c r="B14" s="9" t="n"/>
      <c r="C14" s="13" t="inlineStr">
        <is>
          <t>So the client, the description, the invoice type, the tax code, the revenue GL, the quote, the costs, the margin and the department's notes all arrive on the Finance sheet by themselves, read from the department sheet that holds that job number.</t>
        </is>
      </c>
      <c r="D14" s="9" t="n"/>
    </row>
    <row r="15" ht="52.7" customHeight="1">
      <c r="A15" s="9" t="n"/>
      <c r="B15" s="9" t="n"/>
      <c r="C15" s="13" t="inlineStr">
        <is>
          <t>Finance never retypes any of it and the two can never disagree.</t>
        </is>
      </c>
      <c r="D15" s="9" t="n"/>
    </row>
    <row r="16" ht="6" customHeight="1">
      <c r="A16" s="9" t="n"/>
      <c r="B16" s="9" t="n"/>
      <c r="C16" s="9" t="n"/>
      <c r="D16" s="9" t="n"/>
    </row>
    <row r="17" ht="52.7" customHeight="1">
      <c r="A17" s="9" t="n"/>
      <c r="B17" s="9" t="n"/>
      <c r="C17" s="13" t="inlineStr">
        <is>
          <t>The project number and the department are the source of truth.</t>
        </is>
      </c>
      <c r="D17" s="9" t="n"/>
    </row>
    <row r="18" ht="105.4" customHeight="1">
      <c r="A18" s="9" t="n"/>
      <c r="B18" s="9" t="n"/>
      <c r="C18" s="13" t="inlineStr">
        <is>
          <t>Job Number is the only thing joining the two sides, and the Department column on Finance says which sheet the job came from, or not set up yet when no department has entered it - which is also flagged in the Issue column and counted at month-end.</t>
        </is>
      </c>
      <c r="D18" s="9" t="n"/>
    </row>
    <row r="19" ht="6" customHeight="1">
      <c r="A19" s="9" t="n"/>
      <c r="B19" s="9" t="n"/>
      <c r="C19" s="9" t="n"/>
      <c r="D19" s="9" t="n"/>
    </row>
    <row r="20" ht="52.7" customHeight="1">
      <c r="A20" s="9" t="n"/>
      <c r="B20" s="9" t="n"/>
      <c r="C20" s="13" t="inlineStr">
        <is>
          <t>Job Value per Dept, Invoiced per Xero, Dept vs Xero and Compare sit side by side on the Finance sheet.</t>
        </is>
      </c>
      <c r="D20" s="9" t="n"/>
    </row>
    <row r="21" ht="79.05000000000001" customHeight="1">
      <c r="A21" s="9" t="n"/>
      <c r="B21" s="9" t="n"/>
      <c r="C21" s="13" t="inlineStr">
        <is>
          <t>The department says what the job is worth, Xero says what was actually raised, and Compare reads Agrees, Dept higher - to invoice, or Xero higher - check dept.</t>
        </is>
      </c>
      <c r="D21" s="9" t="n"/>
    </row>
    <row r="22" ht="52.7" customHeight="1">
      <c r="A22" s="9" t="n"/>
      <c r="B22" s="9" t="n"/>
      <c r="C22" s="13" t="inlineStr">
        <is>
          <t>A job invoiced in stages agrees once the last stage is raised.</t>
        </is>
      </c>
      <c r="D22" s="9" t="n"/>
    </row>
    <row r="23" ht="6" customHeight="1">
      <c r="A23" s="9" t="n"/>
      <c r="B23" s="9" t="n"/>
      <c r="C23" s="9" t="n"/>
      <c r="D23" s="9" t="n"/>
    </row>
    <row r="24" ht="15.5" customHeight="1">
      <c r="A24" s="9" t="n"/>
      <c r="B24" s="9" t="n"/>
      <c r="C24" s="9" t="n"/>
      <c r="D24" s="9" t="n"/>
    </row>
    <row r="25" ht="28" customHeight="1">
      <c r="A25" s="9" t="n"/>
      <c r="B25" s="12" t="inlineStr">
        <is>
          <t>How it fits together</t>
        </is>
      </c>
      <c r="C25" s="9" t="n"/>
      <c r="D25" s="9" t="n"/>
    </row>
    <row r="26" ht="158.1" customHeight="1">
      <c r="A26" s="9" t="n"/>
      <c r="B26" s="14" t="inlineStr">
        <is>
          <t>Finance</t>
        </is>
      </c>
      <c r="C26" s="15" t="inlineStr">
        <is>
          <t>The invoice register, and the only source of revenue.
One row per invoice line, coded to one cost centre, exactly as Xero holds it.
Filter the Issue column to see everything that needs fixing.</t>
        </is>
      </c>
      <c r="D26" s="9" t="n"/>
    </row>
    <row r="27" ht="237.15" customHeight="1">
      <c r="A27" s="9" t="n"/>
      <c r="B27" s="14" t="inlineStr">
        <is>
          <t>Onsite / Production / Consulting</t>
        </is>
      </c>
      <c r="C27" s="15" t="inlineStr">
        <is>
          <t>One row per job.
Client, invoice count and revenue come from Finance automatically; the department fills in its own costs, hours and references.
Expected Revenue Ex GST is what the job is worth in total - fill it in and Not Yet on Finance shows the part nobody has invoiced, which is what a job still sitting in WIP looks like.
Month-End section 6 adds those up.</t>
        </is>
      </c>
      <c r="D27" s="9" t="n"/>
    </row>
    <row r="28" ht="105.4" customHeight="1">
      <c r="A28" s="9" t="n"/>
      <c r="B28" s="14" t="inlineStr">
        <is>
          <t>WIP Movements</t>
        </is>
      </c>
      <c r="C28" s="15" t="inlineStr">
        <is>
          <t>Manual journals between the P&amp;L and GL 11300 Work in Progress.
Anything with a defer start and end on Finance does not belong here - it is handled automatically.</t>
        </is>
      </c>
      <c r="D28" s="9" t="n"/>
    </row>
    <row r="29" ht="105.4" customHeight="1">
      <c r="A29" s="9" t="n"/>
      <c r="B29" s="14" t="inlineStr">
        <is>
          <t>Deferred Revenue</t>
        </is>
      </c>
      <c r="C29" s="15" t="inlineStr">
        <is>
          <t>The workings behind the automatic deferrals.
Nothing is typed here; it mirrors the Finance lines that carry a defer start and end.</t>
        </is>
      </c>
      <c r="D29" s="9" t="n"/>
    </row>
    <row r="30" ht="52.7" customHeight="1">
      <c r="A30" s="9" t="n"/>
      <c r="B30" s="14" t="inlineStr">
        <is>
          <t>Month-End</t>
        </is>
      </c>
      <c r="C30" s="15" t="inlineStr">
        <is>
          <t>The close: revenue by cost centre against Xero, the WIP reconciliation, fifteen data checks and a sign-off box.</t>
        </is>
      </c>
      <c r="D30" s="9" t="n"/>
    </row>
    <row r="31" ht="52.7" customHeight="1">
      <c r="A31" s="9" t="n"/>
      <c r="B31" s="14" t="inlineStr">
        <is>
          <t>WIP Summary</t>
        </is>
      </c>
      <c r="C31" s="15" t="inlineStr">
        <is>
          <t>WIP opening / movement / closing for every job, to tie job by job back to the WIP Schedule file.</t>
        </is>
      </c>
      <c r="D31" s="9" t="n"/>
    </row>
    <row r="32" ht="105.4" customHeight="1">
      <c r="A32" s="9" t="n"/>
      <c r="B32" s="14" t="inlineStr">
        <is>
          <t>Lists</t>
        </is>
      </c>
      <c r="C32" s="15" t="inlineStr">
        <is>
          <t>Every dropdown.
Cost centres, job numbers and revenue GL codes came straight out of your Xero organisation, so they already match.</t>
        </is>
      </c>
      <c r="D32" s="9" t="n"/>
    </row>
    <row r="33" ht="15.5" customHeight="1">
      <c r="A33" s="9" t="n"/>
      <c r="B33" s="9" t="n"/>
      <c r="C33" s="9" t="n"/>
      <c r="D33" s="9" t="n"/>
    </row>
    <row r="34" ht="28" customHeight="1">
      <c r="A34" s="9" t="n"/>
      <c r="B34" s="12" t="inlineStr">
        <is>
          <t>Deferred revenue  -  it releases itself</t>
        </is>
      </c>
      <c r="C34" s="9" t="n"/>
      <c r="D34" s="9" t="n"/>
    </row>
    <row r="35" ht="79.05000000000001" customHeight="1">
      <c r="A35" s="9" t="n"/>
      <c r="B35" s="9" t="n"/>
      <c r="C35" s="13" t="inlineStr">
        <is>
          <t>Put a Defer Start and a Defer End on a Finance line and the revenue spreads evenly across those months instead of landing all in the month you invoiced.</t>
        </is>
      </c>
      <c r="D35" s="9" t="n"/>
    </row>
    <row r="36" ht="26.35" customHeight="1">
      <c r="A36" s="9" t="n"/>
      <c r="B36" s="9" t="n"/>
      <c r="C36" s="13" t="inlineStr">
        <is>
          <t>Leave both blank for an ordinary one-off invoice.</t>
        </is>
      </c>
      <c r="D36" s="9" t="n"/>
    </row>
    <row r="37" ht="6" customHeight="1">
      <c r="A37" s="9" t="n"/>
      <c r="B37" s="9" t="n"/>
      <c r="C37" s="9" t="n"/>
      <c r="D37" s="9" t="n"/>
    </row>
    <row r="38" ht="52.7" customHeight="1">
      <c r="A38" s="9" t="n"/>
      <c r="B38" s="9" t="n"/>
      <c r="C38" s="13" t="inlineStr">
        <is>
          <t>In the month invoiced: one month is recognised, the rest goes to WIP.</t>
        </is>
      </c>
      <c r="D38" s="9" t="n"/>
    </row>
    <row r="39" ht="6" customHeight="1">
      <c r="A39" s="9" t="n"/>
      <c r="B39" s="9" t="n"/>
      <c r="C39" s="9" t="n"/>
      <c r="D39" s="9" t="n"/>
    </row>
    <row r="40" ht="26.35" customHeight="1">
      <c r="A40" s="9" t="n"/>
      <c r="B40" s="9" t="n"/>
      <c r="C40" s="13" t="inlineStr">
        <is>
          <t>Every month after: one more month is released, automatically.</t>
        </is>
      </c>
      <c r="D40" s="9" t="n"/>
    </row>
    <row r="41" ht="6" customHeight="1">
      <c r="A41" s="9" t="n"/>
      <c r="B41" s="9" t="n"/>
      <c r="C41" s="9" t="n"/>
      <c r="D41" s="9" t="n"/>
    </row>
    <row r="42" ht="52.7" customHeight="1">
      <c r="A42" s="9" t="n"/>
      <c r="B42" s="9" t="n"/>
      <c r="C42" s="13" t="inlineStr">
        <is>
          <t>Worked example - $12,000 invoiced 15 Sep 2025 for Sep 2025 to Aug 2026.</t>
        </is>
      </c>
      <c r="D42" s="9" t="n"/>
    </row>
    <row r="43" ht="26.35" customHeight="1">
      <c r="A43" s="9" t="n"/>
      <c r="B43" s="9" t="n"/>
      <c r="C43" s="13" t="inlineStr">
        <is>
          <t>September recognises $1,000 and defers $11,000.</t>
        </is>
      </c>
      <c r="D43" s="9" t="n"/>
    </row>
    <row r="44" ht="26.35" customHeight="1">
      <c r="A44" s="9" t="n"/>
      <c r="B44" s="9" t="n"/>
      <c r="C44" s="13" t="inlineStr">
        <is>
          <t>Each month after releases $1,000.</t>
        </is>
      </c>
      <c r="D44" s="9" t="n"/>
    </row>
    <row r="45" ht="26.35" customHeight="1">
      <c r="A45" s="9" t="n"/>
      <c r="B45" s="9" t="n"/>
      <c r="C45" s="13" t="inlineStr">
        <is>
          <t>By August 2026 the balance is nil.</t>
        </is>
      </c>
      <c r="D45" s="9" t="n"/>
    </row>
    <row r="46" ht="26.35" customHeight="1">
      <c r="A46" s="9" t="n"/>
      <c r="B46" s="9" t="n"/>
      <c r="C46" s="13" t="inlineStr">
        <is>
          <t>Nothing is typed each month and no journal is needed.</t>
        </is>
      </c>
      <c r="D46" s="9" t="n"/>
    </row>
    <row r="47" ht="6" customHeight="1">
      <c r="A47" s="9" t="n"/>
      <c r="B47" s="9" t="n"/>
      <c r="C47" s="9" t="n"/>
      <c r="D47" s="9" t="n"/>
    </row>
    <row r="48" ht="52.7" customHeight="1">
      <c r="A48" s="9" t="n"/>
      <c r="B48" s="9" t="n"/>
      <c r="C48" s="13" t="inlineStr">
        <is>
          <t>The Deferred Revenue sheet shows the workings line by line, and Month-End and WIP Summary already include it.</t>
        </is>
      </c>
      <c r="D48" s="9" t="n"/>
    </row>
    <row r="49" ht="79.05000000000001" customHeight="1">
      <c r="A49" s="9" t="n"/>
      <c r="B49" s="9" t="n"/>
      <c r="C49" s="13" t="inlineStr">
        <is>
          <t>One warning: a deferred line must not also have a manual row on WIP Movements or it counts twice - Month-End checks for that.</t>
        </is>
      </c>
      <c r="D49" s="9" t="n"/>
    </row>
    <row r="50" ht="6" customHeight="1">
      <c r="A50" s="9" t="n"/>
      <c r="B50" s="9" t="n"/>
      <c r="C50" s="9" t="n"/>
      <c r="D50" s="9" t="n"/>
    </row>
    <row r="51" ht="79.05000000000001" customHeight="1">
      <c r="A51" s="9" t="n"/>
      <c r="B51" s="9" t="n"/>
      <c r="C51" s="13" t="inlineStr">
        <is>
          <t>A cost can be deferred the same way, and it belongs on WIP Movements rather than Finance because it comes off a supplier bill, not an invoice.</t>
        </is>
      </c>
      <c r="D51" s="9" t="n"/>
    </row>
    <row r="52" ht="79.05000000000001" customHeight="1">
      <c r="A52" s="9" t="n"/>
      <c r="B52" s="9" t="n"/>
      <c r="C52" s="13" t="inlineStr">
        <is>
          <t>Type the bill amount as a positive, set Revenue or Cost to Cost, fill the two defer dates and put the expense account in P&amp;L Account.</t>
        </is>
      </c>
      <c r="D52" s="9" t="n"/>
    </row>
    <row r="53" ht="52.7" customHeight="1">
      <c r="A53" s="9" t="n"/>
      <c r="B53" s="9" t="n"/>
      <c r="C53" s="13" t="inlineStr">
        <is>
          <t>It then spreads by month in the second block of the Deferred Revenue sheet exactly like revenue does.</t>
        </is>
      </c>
      <c r="D53" s="9" t="n"/>
    </row>
    <row r="54" ht="6" customHeight="1">
      <c r="A54" s="9" t="n"/>
      <c r="B54" s="9" t="n"/>
      <c r="C54" s="9" t="n"/>
      <c r="D54" s="9" t="n"/>
    </row>
    <row r="55" ht="52.7" customHeight="1">
      <c r="A55" s="9" t="n"/>
      <c r="B55" s="9" t="n"/>
      <c r="C55" s="13" t="inlineStr">
        <is>
          <t>GL 11300 nets the two against each other, so Xero shows one figure and cannot tell you what it is made of.</t>
        </is>
      </c>
      <c r="D55" s="9" t="n"/>
    </row>
    <row r="56" ht="52.7" customHeight="1">
      <c r="A56" s="9" t="n"/>
      <c r="B56" s="9" t="n"/>
      <c r="C56" s="13" t="inlineStr">
        <is>
          <t>Month-End section 2 splits it: Total, Deferred / accrued revenue, Deferred / accrued cost.</t>
        </is>
      </c>
      <c r="D56" s="9" t="n"/>
    </row>
    <row r="57" ht="26.35" customHeight="1">
      <c r="A57" s="9" t="n"/>
      <c r="B57" s="9" t="n"/>
      <c r="C57" s="13" t="inlineStr">
        <is>
          <t>Compare only the Total column to Xero.</t>
        </is>
      </c>
      <c r="D57" s="9" t="n"/>
    </row>
    <row r="58" ht="52.7" customHeight="1">
      <c r="A58" s="9" t="n"/>
      <c r="B58" s="9" t="n"/>
      <c r="C58" s="13" t="inlineStr">
        <is>
          <t>Deferred cost never counts as revenue - section 1 leaves it out.</t>
        </is>
      </c>
      <c r="D58" s="9" t="n"/>
    </row>
    <row r="59" ht="6" customHeight="1">
      <c r="A59" s="9" t="n"/>
      <c r="B59" s="9" t="n"/>
      <c r="C59" s="9" t="n"/>
      <c r="D59" s="9" t="n"/>
    </row>
    <row r="60" ht="15.5" customHeight="1">
      <c r="A60" s="9" t="n"/>
      <c r="B60" s="9" t="n"/>
      <c r="C60" s="9" t="n"/>
      <c r="D60" s="9" t="n"/>
    </row>
    <row r="61" ht="28" customHeight="1">
      <c r="A61" s="9" t="n"/>
      <c r="B61" s="12" t="inlineStr">
        <is>
          <t>Video revenue</t>
        </is>
      </c>
      <c r="C61" s="9" t="n"/>
      <c r="D61" s="9" t="n"/>
    </row>
    <row r="62" ht="52.7" customHeight="1">
      <c r="A62" s="9" t="n"/>
      <c r="B62" s="9" t="n"/>
      <c r="C62" s="13" t="inlineStr">
        <is>
          <t>There is no video split column any more, and nothing to keep honest.</t>
        </is>
      </c>
      <c r="D62" s="9" t="n"/>
    </row>
    <row r="63" ht="79.05000000000001" customHeight="1">
      <c r="A63" s="9" t="n"/>
      <c r="B63" s="9" t="n"/>
      <c r="C63" s="13" t="inlineStr">
        <is>
          <t>In Xero a cost centre sits on the invoice line, so a job invoiced part production and part video is simply two lines on the Finance sheet - one coded PRODUCTION, one coded VIDEO.</t>
        </is>
      </c>
      <c r="D63" s="9" t="n"/>
    </row>
    <row r="64" ht="79.05000000000001" customHeight="1">
      <c r="A64" s="9" t="n"/>
      <c r="B64" s="9" t="n"/>
      <c r="C64" s="13" t="inlineStr">
        <is>
          <t>The VIDEO figure at month-end is then a plain sum of the lines coded VIDEO, and it ties to the Xero VIDEO cost centre without any adjustment.</t>
        </is>
      </c>
      <c r="D64" s="9" t="n"/>
    </row>
    <row r="65" ht="6" customHeight="1">
      <c r="A65" s="9" t="n"/>
      <c r="B65" s="9" t="n"/>
      <c r="C65" s="9" t="n"/>
      <c r="D65" s="9" t="n"/>
    </row>
    <row r="66" ht="52.7" customHeight="1">
      <c r="A66" s="9" t="n"/>
      <c r="B66" s="9" t="n"/>
      <c r="C66" s="13" t="inlineStr">
        <is>
          <t>The 26 migrated invoices that carried a video amount were split into two lines each on the way across.</t>
        </is>
      </c>
      <c r="D66" s="9" t="n"/>
    </row>
    <row r="67" ht="26.35" customHeight="1">
      <c r="A67" s="9" t="n"/>
      <c r="B67" s="9" t="n"/>
      <c r="C67" s="13" t="inlineStr">
        <is>
          <t>Ex GST in total is unchanged.</t>
        </is>
      </c>
      <c r="D67" s="9" t="n"/>
    </row>
    <row r="68" ht="6" customHeight="1">
      <c r="A68" s="9" t="n"/>
      <c r="B68" s="9" t="n"/>
      <c r="C68" s="9" t="n"/>
      <c r="D68" s="9" t="n"/>
    </row>
    <row r="69" ht="52.7" customHeight="1">
      <c r="A69" s="9" t="n"/>
      <c r="B69" s="9" t="n"/>
      <c r="C69" s="13" t="inlineStr">
        <is>
          <t>The Production sheet carries a Video Revenue column beside the expenses, and Video % of Revenue next to it.</t>
        </is>
      </c>
      <c r="D69" s="9" t="n"/>
    </row>
    <row r="70" ht="26.35" customHeight="1">
      <c r="A70" s="9" t="n"/>
      <c r="B70" s="9" t="n"/>
      <c r="C70" s="13" t="inlineStr">
        <is>
          <t>Both read the Finance lines coded VIDEO, so nothing is typed.</t>
        </is>
      </c>
      <c r="D70" s="9" t="n"/>
    </row>
    <row r="71" ht="52.7" customHeight="1">
      <c r="A71" s="9" t="n"/>
      <c r="B71" s="9" t="n"/>
      <c r="C71" s="13" t="inlineStr">
        <is>
          <t>Job by job they reproduce the old Video Total column to the cent - 38,484.75 in total across 28 jobs.</t>
        </is>
      </c>
      <c r="D71" s="9" t="n"/>
    </row>
    <row r="72" ht="6" customHeight="1">
      <c r="A72" s="9" t="n"/>
      <c r="B72" s="9" t="n"/>
      <c r="C72" s="9" t="n"/>
      <c r="D72" s="9" t="n"/>
    </row>
    <row r="73" ht="15.5" customHeight="1">
      <c r="A73" s="9" t="n"/>
      <c r="B73" s="9" t="n"/>
      <c r="C73" s="9" t="n"/>
      <c r="D73" s="9" t="n"/>
    </row>
    <row r="74" ht="28" customHeight="1">
      <c r="A74" s="9" t="n"/>
      <c r="B74" s="12" t="inlineStr">
        <is>
          <t>Why this version is not slow, and why it opens</t>
        </is>
      </c>
      <c r="C74" s="9" t="n"/>
      <c r="D74" s="9" t="n"/>
    </row>
    <row r="75" ht="79.05000000000001" customHeight="1">
      <c r="A75" s="9" t="n"/>
      <c r="B75" s="9" t="n"/>
      <c r="C75" s="13" t="inlineStr">
        <is>
          <t>The v2 file was slow because of its macro: every keystroke copied 26 columns by 200 rows into hidden storage, and it was capped at 200 rows per department.</t>
        </is>
      </c>
      <c r="D75" s="9" t="n"/>
    </row>
    <row r="76" ht="52.7" customHeight="1">
      <c r="A76" s="9" t="n"/>
      <c r="B76" s="9" t="n"/>
      <c r="C76" s="13" t="inlineStr">
        <is>
          <t>There are no macros here at all, and it is a .xlsx, so no macro warning and nothing blocked on SharePoint.</t>
        </is>
      </c>
      <c r="D76" s="9" t="n"/>
    </row>
    <row r="77" ht="6" customHeight="1">
      <c r="A77" s="9" t="n"/>
      <c r="B77" s="9" t="n"/>
      <c r="C77" s="9" t="n"/>
      <c r="D77" s="9" t="n"/>
    </row>
    <row r="78" ht="52.7" customHeight="1">
      <c r="A78" s="9" t="n"/>
      <c r="B78" s="9" t="n"/>
      <c r="C78" s="13" t="inlineStr">
        <is>
          <t>There are also no dynamic array formulas - no VSTACK, FILTER, SORT, UNIQUE or XLOOKUP.</t>
        </is>
      </c>
      <c r="D78" s="9" t="n"/>
    </row>
    <row r="79" ht="79.05000000000001" customHeight="1">
      <c r="A79" s="9" t="n"/>
      <c r="B79" s="9" t="n"/>
      <c r="C79" s="13" t="inlineStr">
        <is>
          <t>Every sheet is a real Excel Table or a plain SUMIFS grid, which means the filter buttons, sorting and PivotTables all work normally, and every formula runs in any version of Excel.</t>
        </is>
      </c>
      <c r="D79" s="9" t="n"/>
    </row>
    <row r="80" ht="6" customHeight="1">
      <c r="A80" s="9" t="n"/>
      <c r="B80" s="9" t="n"/>
      <c r="C80" s="9" t="n"/>
      <c r="D80" s="9" t="n"/>
    </row>
    <row r="81" ht="15.5" customHeight="1">
      <c r="A81" s="9" t="n"/>
      <c r="B81" s="9" t="n"/>
      <c r="C81" s="9" t="n"/>
      <c r="D81" s="9" t="n"/>
    </row>
    <row r="82" ht="28" customHeight="1">
      <c r="A82" s="9" t="n"/>
      <c r="B82" s="12" t="inlineStr">
        <is>
          <t>Work won  -  zoho, current rms and qwilr</t>
        </is>
      </c>
      <c r="C82" s="9" t="n"/>
      <c r="D82" s="9" t="n"/>
    </row>
    <row r="83" ht="79.05000000000001" customHeight="1">
      <c r="A83" s="9" t="n"/>
      <c r="B83" s="9" t="n"/>
      <c r="C83" s="13" t="inlineStr">
        <is>
          <t>Paste the month's won opportunities onto the Work Won sheet, one row each, with the source, the value and the job number where you have it.</t>
        </is>
      </c>
      <c r="D83" s="9" t="n"/>
    </row>
    <row r="84" ht="52.7" customHeight="1">
      <c r="A84" s="9" t="n"/>
      <c r="B84" s="9" t="n"/>
      <c r="C84" s="13" t="inlineStr">
        <is>
          <t>Month-End section 5 totals them by source and puts them next to what was actually invoiced.</t>
        </is>
      </c>
      <c r="D84" s="9" t="n"/>
    </row>
    <row r="85" ht="6" customHeight="1">
      <c r="A85" s="9" t="n"/>
      <c r="B85" s="9" t="n"/>
      <c r="C85" s="9" t="n"/>
      <c r="D85" s="9" t="n"/>
    </row>
    <row r="86" ht="26.35" customHeight="1">
      <c r="A86" s="9" t="n"/>
      <c r="B86" s="9" t="n"/>
      <c r="C86" s="13" t="inlineStr">
        <is>
          <t>It is a sense check and nothing else.</t>
        </is>
      </c>
      <c r="D86" s="9" t="n"/>
    </row>
    <row r="87" ht="26.35" customHeight="1">
      <c r="A87" s="9" t="n"/>
      <c r="B87" s="9" t="n"/>
      <c r="C87" s="13" t="inlineStr">
        <is>
          <t>No revenue ever comes off this sheet.</t>
        </is>
      </c>
      <c r="D87" s="9" t="n"/>
    </row>
    <row r="88" ht="52.7" customHeight="1">
      <c r="A88" s="9" t="n"/>
      <c r="B88" s="9" t="n"/>
      <c r="C88" s="13" t="inlineStr">
        <is>
          <t>What it catches is work won and never invoiced, and invoicing with no opportunity behind it.</t>
        </is>
      </c>
      <c r="D88" s="9" t="n"/>
    </row>
    <row r="89" ht="52.7" customHeight="1">
      <c r="A89" s="9" t="n"/>
      <c r="B89" s="9" t="n"/>
      <c r="C89" s="13" t="inlineStr">
        <is>
          <t>Put a job number on a row and it also tells you what has been raised against that job so far.</t>
        </is>
      </c>
      <c r="D89" s="9" t="n"/>
    </row>
    <row r="90" ht="6" customHeight="1">
      <c r="A90" s="9" t="n"/>
      <c r="B90" s="9" t="n"/>
      <c r="C90" s="9" t="n"/>
      <c r="D90" s="9" t="n"/>
    </row>
    <row r="91" ht="26.35" customHeight="1">
      <c r="A91" s="9" t="n"/>
      <c r="B91" s="9" t="n"/>
      <c r="C91" s="13" t="inlineStr">
        <is>
          <t>Month-End section 6 turns the same sheet into the forecast.</t>
        </is>
      </c>
      <c r="D91" s="9" t="n"/>
    </row>
    <row r="92" ht="79.05000000000001" customHeight="1">
      <c r="A92" s="9" t="n"/>
      <c r="B92" s="9" t="n"/>
      <c r="C92" s="13" t="inlineStr">
        <is>
          <t>It adds two things that have no invoice against them: a Finance line carrying a value but no invoice number, and work marked Won less everything Finance already holds against that job.</t>
        </is>
      </c>
      <c r="D92" s="9" t="n"/>
    </row>
    <row r="93" ht="52.7" customHeight="1">
      <c r="A93" s="9" t="n"/>
      <c r="B93" s="9" t="n"/>
      <c r="C93" s="13" t="inlineStr">
        <is>
          <t>Subtracting all of it is what stops the same work being counted twice.</t>
        </is>
      </c>
      <c r="D93" s="9" t="n"/>
    </row>
    <row r="94" ht="52.7" customHeight="1">
      <c r="A94" s="9" t="n"/>
      <c r="B94" s="9" t="n"/>
      <c r="C94" s="13" t="inlineStr">
        <is>
          <t>Open opportunities and deferred revenue still to release sit underneath as memos, deliberately outside the total.</t>
        </is>
      </c>
      <c r="D94" s="9" t="n"/>
    </row>
    <row r="95" ht="6" customHeight="1">
      <c r="A95" s="9" t="n"/>
      <c r="B95" s="9" t="n"/>
      <c r="C95" s="9" t="n"/>
      <c r="D95" s="9" t="n"/>
    </row>
    <row r="96" ht="15.5" customHeight="1">
      <c r="A96" s="9" t="n"/>
      <c r="B96" s="9" t="n"/>
      <c r="C96" s="9" t="n"/>
      <c r="D96" s="9" t="n"/>
    </row>
    <row r="97" ht="28" customHeight="1">
      <c r="A97" s="9" t="n"/>
      <c r="B97" s="12" t="inlineStr">
        <is>
          <t>Month-end, in order</t>
        </is>
      </c>
      <c r="C97" s="9" t="n"/>
      <c r="D97" s="9" t="n"/>
    </row>
    <row r="98" ht="52.7" customHeight="1">
      <c r="A98" s="9" t="n"/>
      <c r="B98" s="9" t="n"/>
      <c r="C98" s="13" t="inlineStr">
        <is>
          <t>1.  Chase the departments until every invoice for the month is on the Finance sheet and Posted to Xero is Y.</t>
        </is>
      </c>
      <c r="D98" s="9" t="n"/>
    </row>
    <row r="99" ht="6" customHeight="1">
      <c r="A99" s="9" t="n"/>
      <c r="B99" s="9" t="n"/>
      <c r="C99" s="9" t="n"/>
      <c r="D99" s="9" t="n"/>
    </row>
    <row r="100" ht="26.35" customHeight="1">
      <c r="A100" s="9" t="n"/>
      <c r="B100" s="9" t="n"/>
      <c r="C100" s="13" t="inlineStr">
        <is>
          <t>2.  Open Month-End and set the month.</t>
        </is>
      </c>
      <c r="D100" s="9" t="n"/>
    </row>
    <row r="101" ht="6" customHeight="1">
      <c r="A101" s="9" t="n"/>
      <c r="B101" s="9" t="n"/>
      <c r="C101" s="9" t="n"/>
      <c r="D101" s="9" t="n"/>
    </row>
    <row r="102" ht="26.35" customHeight="1">
      <c r="A102" s="9" t="n"/>
      <c r="B102" s="9" t="n"/>
      <c r="C102" s="13" t="inlineStr">
        <is>
          <t>3.  Work section 3 first.</t>
        </is>
      </c>
      <c r="D102" s="9" t="n"/>
    </row>
    <row r="103" ht="26.35" customHeight="1">
      <c r="A103" s="9" t="n"/>
      <c r="B103" s="9" t="n"/>
      <c r="C103" s="13" t="inlineStr">
        <is>
          <t>Every count must be zero.</t>
        </is>
      </c>
      <c r="D103" s="9" t="n"/>
    </row>
    <row r="104" ht="52.7" customHeight="1">
      <c r="A104" s="9" t="n"/>
      <c r="B104" s="9" t="n"/>
      <c r="C104" s="13" t="inlineStr">
        <is>
          <t>Fix on the Finance sheet, or filter the Issue column there, which lists the same problems row by row.</t>
        </is>
      </c>
      <c r="D104" s="9" t="n"/>
    </row>
    <row r="105" ht="6" customHeight="1">
      <c r="A105" s="9" t="n"/>
      <c r="B105" s="9" t="n"/>
      <c r="C105" s="9" t="n"/>
      <c r="D105" s="9" t="n"/>
    </row>
    <row r="106" ht="52.7" customHeight="1">
      <c r="A106" s="9" t="n"/>
      <c r="B106" s="9" t="n"/>
      <c r="C106" s="13" t="inlineStr">
        <is>
          <t>4.  Section 1: run the Xero P&amp;L for the month by Cost Centre and type the revenue into the yellow column.</t>
        </is>
      </c>
      <c r="D106" s="9" t="n"/>
    </row>
    <row r="107" ht="26.35" customHeight="1">
      <c r="A107" s="9" t="n"/>
      <c r="B107" s="9" t="n"/>
      <c r="C107" s="13" t="inlineStr">
        <is>
          <t>Each line should read Reconciled.</t>
        </is>
      </c>
      <c r="D107" s="9" t="n"/>
    </row>
    <row r="108" ht="6" customHeight="1">
      <c r="A108" s="9" t="n"/>
      <c r="B108" s="9" t="n"/>
      <c r="C108" s="9" t="n"/>
      <c r="D108" s="9" t="n"/>
    </row>
    <row r="109" ht="52.7" customHeight="1">
      <c r="A109" s="9" t="n"/>
      <c r="B109" s="9" t="n"/>
      <c r="C109" s="13" t="inlineStr">
        <is>
          <t>5.  Section 2: type the WIP Schedule closing balance and the Xero GL 11300 balance.</t>
        </is>
      </c>
      <c r="D109" s="9" t="n"/>
    </row>
    <row r="110" ht="6" customHeight="1">
      <c r="A110" s="9" t="n"/>
      <c r="B110" s="9" t="n"/>
      <c r="C110" s="9" t="n"/>
      <c r="D110" s="9" t="n"/>
    </row>
    <row r="111" ht="79.05000000000001" customHeight="1">
      <c r="A111" s="9" t="n"/>
      <c r="B111" s="9" t="n"/>
      <c r="C111" s="13" t="inlineStr">
        <is>
          <t>6.  Breaks in section 2 - open WIP Summary, paste the WIP Schedule balances into column G and the variance column shows which job is out.</t>
        </is>
      </c>
      <c r="D111" s="9" t="n"/>
    </row>
    <row r="112" ht="6" customHeight="1">
      <c r="A112" s="9" t="n"/>
      <c r="B112" s="9" t="n"/>
      <c r="C112" s="9" t="n"/>
      <c r="D112" s="9" t="n"/>
    </row>
    <row r="113" ht="26.35" customHeight="1">
      <c r="A113" s="9" t="n"/>
      <c r="B113" s="9" t="n"/>
      <c r="C113" s="13" t="inlineStr">
        <is>
          <t>7.  Section 4 is the journal.</t>
        </is>
      </c>
      <c r="D113" s="9" t="n"/>
    </row>
    <row r="114" ht="52.7" customHeight="1">
      <c r="A114" s="9" t="n"/>
      <c r="B114" s="9" t="n"/>
      <c r="C114" s="13" t="inlineStr">
        <is>
          <t>It names the account to debit, the account to credit and the amount, split by cost centre.</t>
        </is>
      </c>
      <c r="D114" s="9" t="n"/>
    </row>
    <row r="115" ht="52.7" customHeight="1">
      <c r="A115" s="9" t="n"/>
      <c r="B115" s="9" t="n"/>
      <c r="C115" s="13" t="inlineStr">
        <is>
          <t>Key it into Xero as one manual journal, then put the journal reference back on the WIP Movements rows.</t>
        </is>
      </c>
      <c r="D115" s="9" t="n"/>
    </row>
    <row r="116" ht="6" customHeight="1">
      <c r="A116" s="9" t="n"/>
      <c r="B116" s="9" t="n"/>
      <c r="C116" s="9" t="n"/>
      <c r="D116" s="9" t="n"/>
    </row>
    <row r="117" ht="52.7" customHeight="1">
      <c r="A117" s="9" t="n"/>
      <c r="B117" s="9" t="n"/>
      <c r="C117" s="13" t="inlineStr">
        <is>
          <t>8.  Section 5 is the Work Won sense check against ZOHO, Current RMS and Qwilr.</t>
        </is>
      </c>
      <c r="D117" s="9" t="n"/>
    </row>
    <row r="118" ht="6" customHeight="1">
      <c r="A118" s="9" t="n"/>
      <c r="B118" s="9" t="n"/>
      <c r="C118" s="9" t="n"/>
      <c r="D118" s="9" t="n"/>
    </row>
    <row r="119" ht="15.5" customHeight="1">
      <c r="A119" s="9" t="n"/>
      <c r="B119" s="9" t="n"/>
      <c r="C119" s="9" t="n"/>
      <c r="D119" s="9" t="n"/>
    </row>
    <row r="120" ht="28" customHeight="1">
      <c r="A120" s="9" t="n"/>
      <c r="B120" s="12" t="inlineStr">
        <is>
          <t>The WIP sign rule</t>
        </is>
      </c>
      <c r="C120" s="9" t="n"/>
      <c r="D120" s="9" t="n"/>
    </row>
    <row r="121" ht="52.7" customHeight="1">
      <c r="A121" s="9" t="n"/>
      <c r="B121" s="9" t="n"/>
      <c r="C121" s="13" t="inlineStr">
        <is>
          <t>One signed Amount column does both jobs, because GL 11300 nets accrued and deferred revenue.</t>
        </is>
      </c>
      <c r="D121" s="9" t="n"/>
    </row>
    <row r="122" ht="52.7" customHeight="1">
      <c r="A122" s="9" t="n"/>
      <c r="B122" s="9" t="n"/>
      <c r="C122" s="13" t="inlineStr">
        <is>
          <t>Positive = revenue recognised this month (work done but not yet invoiced, or a deferral released).</t>
        </is>
      </c>
      <c r="D122" s="9" t="n"/>
    </row>
    <row r="123" ht="52.7" customHeight="1">
      <c r="A123" s="9" t="n"/>
      <c r="B123" s="9" t="n"/>
      <c r="C123" s="13" t="inlineStr">
        <is>
          <t>Negative = revenue pushed out of this month (invoiced in advance).</t>
        </is>
      </c>
      <c r="D123" s="9" t="n"/>
    </row>
    <row r="124" ht="52.7" customHeight="1">
      <c r="A124" s="9" t="n"/>
      <c r="B124" s="9" t="n"/>
      <c r="C124" s="13" t="inlineStr">
        <is>
          <t>So revenue recognised = invoiced Ex GST + WIP movement, and the running total of the Amount column is the GL 11300 balance.</t>
        </is>
      </c>
      <c r="D124" s="9" t="n"/>
    </row>
    <row r="125" ht="6" customHeight="1">
      <c r="A125" s="9" t="n"/>
      <c r="B125" s="9" t="n"/>
      <c r="C125" s="9" t="n"/>
      <c r="D125" s="9" t="n"/>
    </row>
    <row r="126" ht="79.05000000000001" customHeight="1">
      <c r="A126" s="9" t="n"/>
      <c r="B126" s="9" t="n"/>
      <c r="C126" s="13" t="inlineStr">
        <is>
          <t>Every row on WIP Movements now says which account to debit, which to credit and for how much, and gives you a narration to paste.</t>
        </is>
      </c>
      <c r="D126" s="9" t="n"/>
    </row>
    <row r="127" ht="79.05000000000001" customHeight="1">
      <c r="A127" s="9" t="n"/>
      <c r="B127" s="9" t="n"/>
      <c r="C127" s="13" t="inlineStr">
        <is>
          <t>A positive amount puts revenue back into the month, so WIP goes up: debit 11300 Work in Progress, credit 44200 Closing Work in Progress.</t>
        </is>
      </c>
      <c r="D127" s="9" t="n"/>
    </row>
    <row r="128" ht="26.35" customHeight="1">
      <c r="A128" s="9" t="n"/>
      <c r="B128" s="9" t="n"/>
      <c r="C128" s="13" t="inlineStr">
        <is>
          <t>A negative amount is the other way round.</t>
        </is>
      </c>
      <c r="D128" s="9" t="n"/>
    </row>
    <row r="129" ht="52.7" customHeight="1">
      <c r="A129" s="9" t="n"/>
      <c r="B129" s="9" t="n"/>
      <c r="C129" s="13" t="inlineStr">
        <is>
          <t>The old GL Code column is gone - it said 11300 on every row and these two columns replace it.</t>
        </is>
      </c>
      <c r="D129" s="9" t="n"/>
    </row>
    <row r="130" ht="6" customHeight="1">
      <c r="A130" s="9" t="n"/>
      <c r="B130" s="9" t="n"/>
      <c r="C130" s="9" t="n"/>
      <c r="D130" s="9" t="n"/>
    </row>
    <row r="131" ht="79.05000000000001" customHeight="1">
      <c r="A131" s="9" t="n"/>
      <c r="B131" s="9" t="n"/>
      <c r="C131" s="13" t="inlineStr">
        <is>
          <t>Month-End section 4 adds those rows up with the automatic deferrals and gives you the whole month as one journal, split by cost centre so it can carry tracking in Xero.</t>
        </is>
      </c>
      <c r="D131" s="9" t="n"/>
    </row>
    <row r="132" ht="52.7" customHeight="1">
      <c r="A132" s="9" t="n"/>
      <c r="B132" s="9" t="n"/>
      <c r="C132" s="13" t="inlineStr">
        <is>
          <t>Debit and credit must agree and the sheet says Balanced when they do.</t>
        </is>
      </c>
      <c r="D132" s="9" t="n"/>
    </row>
    <row r="133" ht="52.7" customHeight="1">
      <c r="A133" s="9" t="n"/>
      <c r="B133" s="9" t="n"/>
      <c r="C133" s="13" t="inlineStr">
        <is>
          <t>Nothing posts itself - you key it in and put the reference back on the rows.</t>
        </is>
      </c>
      <c r="D133" s="9" t="n"/>
    </row>
    <row r="134" ht="6" customHeight="1">
      <c r="A134" s="9" t="n"/>
      <c r="B134" s="9" t="n"/>
      <c r="C134" s="9" t="n"/>
      <c r="D134" s="9" t="n"/>
    </row>
    <row r="135" ht="52.7" customHeight="1">
      <c r="A135" s="9" t="n"/>
      <c r="B135" s="9" t="n"/>
      <c r="C135" s="13" t="inlineStr">
        <is>
          <t>The two accounts are set on the Lists sheet, column U rows 9 and 10.</t>
        </is>
      </c>
      <c r="D135" s="9" t="n"/>
    </row>
    <row r="136" ht="26.35" customHeight="1">
      <c r="A136" s="9" t="n"/>
      <c r="B136" s="9" t="n"/>
      <c r="C136" s="13" t="inlineStr">
        <is>
          <t>Change them there and every Debit / Credit follows.</t>
        </is>
      </c>
      <c r="D136" s="9" t="n"/>
    </row>
    <row r="137" ht="6" customHeight="1">
      <c r="A137" s="9" t="n"/>
      <c r="B137" s="9" t="n"/>
      <c r="C137" s="9" t="n"/>
      <c r="D137" s="9" t="n"/>
    </row>
    <row r="138" ht="15.5" customHeight="1">
      <c r="A138" s="9" t="n"/>
      <c r="B138" s="9" t="n"/>
      <c r="C138" s="9" t="n"/>
      <c r="D138" s="9" t="n"/>
    </row>
    <row r="139" ht="28" customHeight="1">
      <c r="A139" s="9" t="n"/>
      <c r="B139" s="12" t="inlineStr">
        <is>
          <t>Locked cells, links and totals</t>
        </is>
      </c>
      <c r="C139" s="9" t="n"/>
      <c r="D139" s="9" t="n"/>
    </row>
    <row r="140" ht="26.35" customHeight="1">
      <c r="A140" s="9" t="n"/>
      <c r="B140" s="9" t="n"/>
      <c r="C140" s="13" t="inlineStr">
        <is>
          <t>Every sheet is protected with the password CTS1234.</t>
        </is>
      </c>
      <c r="D140" s="9" t="n"/>
    </row>
    <row r="141" ht="79.05000000000001" customHeight="1">
      <c r="A141" s="9" t="n"/>
      <c r="B141" s="9" t="n"/>
      <c r="C141" s="13" t="inlineStr">
        <is>
          <t>Only the cells you are meant to fill are open; the grey calculated ones are locked so a stray keystroke cannot wipe a formula.</t>
        </is>
      </c>
      <c r="D141" s="9" t="n"/>
    </row>
    <row r="142" ht="26.35" customHeight="1">
      <c r="A142" s="9" t="n"/>
      <c r="B142" s="9" t="n"/>
      <c r="C142" s="13" t="inlineStr">
        <is>
          <t>To edit a locked cell: Review, Unprotect Sheet, type CTS1234.</t>
        </is>
      </c>
      <c r="D142" s="9" t="n"/>
    </row>
    <row r="143" ht="26.35" customHeight="1">
      <c r="A143" s="9" t="n"/>
      <c r="B143" s="9" t="n"/>
      <c r="C143" s="13" t="inlineStr">
        <is>
          <t>Sorting and filtering work without unprotecting anything.</t>
        </is>
      </c>
      <c r="D143" s="9" t="n"/>
    </row>
    <row r="144" ht="52.7" customHeight="1">
      <c r="A144" s="9" t="n"/>
      <c r="B144" s="9" t="n"/>
      <c r="C144" s="13" t="inlineStr">
        <is>
          <t>The workbook structure uses the same password, so sheets cannot be renamed, reordered or deleted by accident either.</t>
        </is>
      </c>
      <c r="D144" s="9" t="n"/>
    </row>
    <row r="145" ht="6" customHeight="1">
      <c r="A145" s="9" t="n"/>
      <c r="B145" s="9" t="n"/>
      <c r="C145" s="9" t="n"/>
      <c r="D145" s="9" t="n"/>
    </row>
    <row r="146" ht="26.35" customHeight="1">
      <c r="A146" s="9" t="n"/>
      <c r="B146" s="9" t="n"/>
      <c r="C146" s="13" t="inlineStr">
        <is>
          <t>Qwilr quotes and Current RMS numbers are clickable.</t>
        </is>
      </c>
      <c r="D146" s="9" t="n"/>
    </row>
    <row r="147" ht="79.05000000000001" customHeight="1">
      <c r="A147" s="9" t="n"/>
      <c r="B147" s="9" t="n"/>
      <c r="C147" s="13" t="inlineStr">
        <is>
          <t>Paste a full web address and it is used as it stands; type a bare number and it is added to the base address on the Lists sheet.</t>
        </is>
      </c>
      <c r="D147" s="9" t="n"/>
    </row>
    <row r="148" ht="105.4" customHeight="1">
      <c r="A148" s="9" t="n"/>
      <c r="B148" s="9" t="n"/>
      <c r="C148" s="13" t="inlineStr">
        <is>
          <t>The Qwilr base is already set, and Current RMS on the Production sheet now works exactly the same way - paste the whole Current RMS address into the Current RMS No cell and it links straight away.</t>
        </is>
      </c>
      <c r="D148" s="9" t="n"/>
    </row>
    <row r="149" ht="52.7" customHeight="1">
      <c r="A149" s="9" t="n"/>
      <c r="B149" s="9" t="n"/>
      <c r="C149" s="13" t="inlineStr">
        <is>
          <t>Only fill in Lists column U row 6 if you would rather type the bare opportunity number.</t>
        </is>
      </c>
      <c r="D149" s="9" t="n"/>
    </row>
    <row r="150" ht="6" customHeight="1">
      <c r="A150" s="9" t="n"/>
      <c r="B150" s="9" t="n"/>
      <c r="C150" s="9" t="n"/>
      <c r="D150" s="9" t="n"/>
    </row>
    <row r="151" ht="79.05000000000001" customHeight="1">
      <c r="A151" s="9" t="n"/>
      <c r="B151" s="9" t="n"/>
      <c r="C151" s="13" t="inlineStr">
        <is>
          <t>Each sheet shows its total ex-GST at the top, and it follows the filter - filter to one client or one month and the total follows.</t>
        </is>
      </c>
      <c r="D151" s="9" t="n"/>
    </row>
    <row r="152" ht="26.35" customHeight="1">
      <c r="A152" s="9" t="n"/>
      <c r="B152" s="9" t="n"/>
      <c r="C152" s="13" t="inlineStr">
        <is>
          <t>Finance shows Ex GST, GST and Inc GST.</t>
        </is>
      </c>
      <c r="D152" s="9" t="n"/>
    </row>
    <row r="153" ht="6" customHeight="1">
      <c r="A153" s="9" t="n"/>
      <c r="B153" s="9" t="n"/>
      <c r="C153" s="9" t="n"/>
      <c r="D153" s="9" t="n"/>
    </row>
    <row r="154" ht="26.35" customHeight="1">
      <c r="A154" s="9" t="n"/>
      <c r="B154" s="9" t="n"/>
      <c r="C154" s="13" t="inlineStr">
        <is>
          <t>The GST rate is no longer buried in the formula.</t>
        </is>
      </c>
      <c r="D154" s="9" t="n"/>
    </row>
    <row r="155" ht="52.7" customHeight="1">
      <c r="A155" s="9" t="n"/>
      <c r="B155" s="9" t="n"/>
      <c r="C155" s="13" t="inlineStr">
        <is>
          <t>It sits on the Lists sheet, column U row 8, and every GST cell reads it from there.</t>
        </is>
      </c>
      <c r="D155" s="9" t="n"/>
    </row>
    <row r="156" ht="6" customHeight="1">
      <c r="A156" s="9" t="n"/>
      <c r="B156" s="9" t="n"/>
      <c r="C156" s="9" t="n"/>
      <c r="D156" s="9" t="n"/>
    </row>
    <row r="157" ht="15.5" customHeight="1">
      <c r="A157" s="9" t="n"/>
      <c r="B157" s="9" t="n"/>
      <c r="C157" s="9" t="n"/>
      <c r="D157" s="9" t="n"/>
    </row>
    <row r="158" ht="28" customHeight="1">
      <c r="A158" s="9" t="n"/>
      <c r="B158" s="12" t="inlineStr">
        <is>
          <t>Rules that keep it fast</t>
        </is>
      </c>
      <c r="C158" s="9" t="n"/>
      <c r="D158" s="9" t="n"/>
    </row>
    <row r="159" ht="26.35" customHeight="1">
      <c r="A159" s="9" t="n"/>
      <c r="B159" s="9" t="n"/>
      <c r="C159" s="13" t="inlineStr">
        <is>
          <t>Never insert or delete rows above the header row.</t>
        </is>
      </c>
      <c r="D159" s="9" t="n"/>
    </row>
    <row r="160" ht="6" customHeight="1">
      <c r="A160" s="9" t="n"/>
      <c r="B160" s="9" t="n"/>
      <c r="C160" s="9" t="n"/>
      <c r="D160" s="9" t="n"/>
    </row>
    <row r="161" ht="79.05000000000001" customHeight="1">
      <c r="A161" s="9" t="n"/>
      <c r="B161" s="9" t="n"/>
      <c r="C161" s="13" t="inlineStr">
        <is>
          <t>Add rows by typing in the next blank row of the table, or press Tab at the end of the last row and the table grows with the formulas.</t>
        </is>
      </c>
      <c r="D161" s="9" t="n"/>
    </row>
    <row r="162" ht="6" customHeight="1">
      <c r="A162" s="9" t="n"/>
      <c r="B162" s="9" t="n"/>
      <c r="C162" s="9" t="n"/>
      <c r="D162" s="9" t="n"/>
    </row>
    <row r="163" ht="26.35" customHeight="1">
      <c r="A163" s="9" t="n"/>
      <c r="B163" s="9" t="n"/>
      <c r="C163" s="13" t="inlineStr">
        <is>
          <t>Paste values only, never whole columns.</t>
        </is>
      </c>
      <c r="D163" s="9" t="n"/>
    </row>
    <row r="164" ht="6" customHeight="1">
      <c r="A164" s="9" t="n"/>
      <c r="B164" s="9" t="n"/>
      <c r="C164" s="9" t="n"/>
      <c r="D164" s="9" t="n"/>
    </row>
    <row r="165" ht="26.35" customHeight="1">
      <c r="A165" s="9" t="n"/>
      <c r="B165" s="9" t="n"/>
      <c r="C165" s="13" t="inlineStr">
        <is>
          <t>Leave calculation on Automatic.</t>
        </is>
      </c>
      <c r="D165" s="9" t="n"/>
    </row>
    <row r="166" ht="52.7" customHeight="1">
      <c r="A166" s="9" t="n"/>
      <c r="B166" s="9" t="n"/>
      <c r="C166" s="13" t="inlineStr">
        <is>
          <t>Nothing here is volatile - no OFFSET, no INDIRECT, no TODAY in bulk.</t>
        </is>
      </c>
      <c r="D166" s="9" t="n"/>
    </row>
    <row r="167" ht="6" customHeight="1">
      <c r="A167" s="9" t="n"/>
      <c r="B167" s="9" t="n"/>
      <c r="C167" s="9" t="n"/>
      <c r="D167" s="9" t="n"/>
    </row>
    <row r="168" ht="26.35" customHeight="1">
      <c r="A168" s="9" t="n"/>
      <c r="B168" s="9" t="n"/>
      <c r="C168" s="13" t="inlineStr">
        <is>
          <t>Keep it as .xlsx.</t>
        </is>
      </c>
      <c r="D168" s="9" t="n"/>
    </row>
    <row r="169" ht="52.7" customHeight="1">
      <c r="A169" s="9" t="n"/>
      <c r="B169" s="9" t="n"/>
      <c r="C169" s="13" t="inlineStr">
        <is>
          <t>The moment someone saves it as .xlsm and adds a macro you are back where you started.</t>
        </is>
      </c>
      <c r="D169" s="9" t="n"/>
    </row>
    <row r="170" ht="6" customHeight="1">
      <c r="A170" s="9" t="n"/>
      <c r="B170" s="9" t="n"/>
      <c r="C170" s="9" t="n"/>
      <c r="D170" s="9" t="n"/>
    </row>
    <row r="171" ht="15.5" customHeight="1">
      <c r="A171" s="9" t="n"/>
      <c r="B171" s="9" t="n"/>
      <c r="C171" s="9" t="n"/>
      <c r="D171" s="9" t="n"/>
    </row>
    <row r="172" ht="28" customHeight="1">
      <c r="A172" s="9" t="n"/>
      <c r="B172" s="12" t="inlineStr">
        <is>
          <t>This is the empty test copy</t>
        </is>
      </c>
      <c r="C172" s="9" t="n"/>
      <c r="D172" s="9" t="n"/>
    </row>
    <row r="173" ht="26.35" customHeight="1">
      <c r="A173" s="9" t="n"/>
      <c r="B173" s="9" t="n"/>
      <c r="C173" s="13" t="inlineStr">
        <is>
          <t>Nothing has been migrated into this file.</t>
        </is>
      </c>
      <c r="D173" s="9" t="n"/>
    </row>
    <row r="174" ht="79.05000000000001" customHeight="1">
      <c r="A174" s="9" t="n"/>
      <c r="B174" s="9" t="n"/>
      <c r="C174" s="13" t="inlineStr">
        <is>
          <t>Every sheet is empty and ready to type into, and every formula, dropdown, lock, hyperlink and month-end check is exactly the same as the live workbook.</t>
        </is>
      </c>
      <c r="D174" s="9" t="n"/>
    </row>
    <row r="175" ht="6" customHeight="1">
      <c r="A175" s="9" t="n"/>
      <c r="B175" s="9" t="n"/>
      <c r="C175" s="9" t="n"/>
      <c r="D175" s="9" t="n"/>
    </row>
    <row r="176" ht="79.05000000000001" customHeight="1">
      <c r="A176" s="9" t="n"/>
      <c r="B176" s="9" t="n"/>
      <c r="C176" s="13" t="inlineStr">
        <is>
          <t>What is still here is reference data, because the dropdowns and the job checks need it: the Xero job list, the cost centres, the revenue GL codes and the month list on the Lists sheet.</t>
        </is>
      </c>
      <c r="D176" s="9" t="n"/>
    </row>
    <row r="177" ht="6" customHeight="1">
      <c r="A177" s="9" t="n"/>
      <c r="B177" s="9" t="n"/>
      <c r="C177" s="9" t="n"/>
      <c r="D177" s="9" t="n"/>
    </row>
    <row r="178" ht="79.05000000000001" customHeight="1">
      <c r="A178" s="9" t="n"/>
      <c r="B178" s="9" t="n"/>
      <c r="C178" s="13" t="inlineStr">
        <is>
          <t>To test it end to end: type an invoice line on the Finance sheet, then type the same job number on the matching department sheet, then open Month-End, set the month and work down.</t>
        </is>
      </c>
      <c r="D178" s="9" t="n"/>
    </row>
    <row r="179" ht="52.7" customHeight="1">
      <c r="A179" s="9" t="n"/>
      <c r="B179" s="9" t="n"/>
      <c r="C179" s="13" t="inlineStr">
        <is>
          <t>Section 3 should go to nil and section 1 should add up to what you typed.</t>
        </is>
      </c>
      <c r="D179" s="9" t="n"/>
    </row>
    <row r="180" ht="6" customHeight="1">
      <c r="A180" s="9" t="n"/>
      <c r="B180" s="9" t="n"/>
      <c r="C180" s="9" t="n"/>
      <c r="D180" s="9" t="n"/>
    </row>
    <row r="181" ht="15.5" customHeight="1">
      <c r="A181" s="9" t="n"/>
      <c r="B181" s="9" t="n"/>
      <c r="C181" s="9" t="n"/>
      <c r="D181" s="9" t="n"/>
    </row>
    <row r="182" ht="28" customHeight="1">
      <c r="A182" s="9" t="n"/>
      <c r="B182" s="16" t="inlineStr">
        <is>
          <t>Still to confirm</t>
        </is>
      </c>
      <c r="C182" s="9" t="n"/>
      <c r="D182" s="9" t="n"/>
    </row>
    <row r="183" ht="26.35" customHeight="1">
      <c r="A183" s="9" t="n"/>
      <c r="B183" s="9" t="n"/>
      <c r="C183" s="13" t="inlineStr">
        <is>
          <t>Discounts.</t>
        </is>
      </c>
      <c r="D183" s="9" t="n"/>
    </row>
    <row r="184" ht="105.4" customHeight="1">
      <c r="A184" s="9" t="n"/>
      <c r="B184" s="9" t="n"/>
      <c r="C184" s="13" t="inlineStr">
        <is>
          <t>Checked against Xero: for all 17 August production invoices carrying a discount, the ex-GST total on the Xero invoice equals Ex GST here exactly, and not one matched Ex GST minus the discount.</t>
        </is>
      </c>
      <c r="D184" s="9" t="n"/>
    </row>
    <row r="185" ht="52.7" customHeight="1">
      <c r="A185" s="9" t="n"/>
      <c r="B185" s="9" t="n"/>
      <c r="C185" s="13" t="inlineStr">
        <is>
          <t>So the discount comes off before the invoice is raised and Ex GST is what reconciles.</t>
        </is>
      </c>
      <c r="D185" s="9" t="n"/>
    </row>
    <row r="186" ht="79.05000000000001" customHeight="1">
      <c r="A186" s="9" t="n"/>
      <c r="B186" s="9" t="n"/>
      <c r="C186" s="13" t="inlineStr">
        <is>
          <t>The old "Net Total" is gone; Discounts Given now sits on the Production sheet at job level with Value Before Discount beside it.</t>
        </is>
      </c>
      <c r="D186" s="9" t="n"/>
    </row>
    <row r="187" ht="52.7" customHeight="1">
      <c r="A187" s="9" t="n"/>
      <c r="B187" s="9" t="n"/>
      <c r="C187" s="13" t="inlineStr">
        <is>
          <t>Assumption: it records what was given away off standard rates.</t>
        </is>
      </c>
      <c r="D187" s="9" t="n"/>
    </row>
    <row r="188" ht="6" customHeight="1">
      <c r="A188" s="9" t="n"/>
      <c r="B188" s="9" t="n"/>
      <c r="C188" s="9" t="n"/>
      <c r="D188" s="9" t="n"/>
    </row>
    <row r="189">
      <c r="A189" s="9" t="n"/>
      <c r="B189" s="9" t="n"/>
      <c r="C189" s="9" t="n"/>
      <c r="D189" s="9" t="n"/>
    </row>
    <row r="190" ht="52.7" customHeight="1">
      <c r="A190" s="9" t="n"/>
      <c r="B190" s="17" t="inlineStr">
        <is>
          <t>This is the easy-read version. The standard, more compact version is on the Read Me tab.</t>
        </is>
      </c>
      <c r="C190" s="9" t="n"/>
      <c r="D190" s="9" t="n"/>
    </row>
    <row r="191">
      <c r="A191" s="9" t="n"/>
      <c r="B191" s="9" t="n"/>
      <c r="C191" s="9" t="n"/>
      <c r="D191" s="9" t="n"/>
    </row>
    <row r="192">
      <c r="A192" s="9" t="n"/>
      <c r="B192" s="9" t="n"/>
      <c r="C192" s="9" t="n"/>
      <c r="D192" s="9" t="n"/>
    </row>
  </sheetData>
  <mergeCells count="13">
    <mergeCell ref="B74:C74"/>
    <mergeCell ref="B97:C97"/>
    <mergeCell ref="B182:C182"/>
    <mergeCell ref="B139:C139"/>
    <mergeCell ref="B25:C25"/>
    <mergeCell ref="B120:C120"/>
    <mergeCell ref="B5:C5"/>
    <mergeCell ref="B34:C34"/>
    <mergeCell ref="B172:C172"/>
    <mergeCell ref="B190:C190"/>
    <mergeCell ref="B61:C61"/>
    <mergeCell ref="B82:C82"/>
    <mergeCell ref="B158:C158"/>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K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5" customWidth="1" min="1" max="1"/>
    <col width="16" customWidth="1" min="2" max="2"/>
    <col width="11" customWidth="1" min="3" max="3"/>
    <col width="14" customWidth="1" min="4" max="4"/>
    <col width="14" customWidth="1" min="5" max="5"/>
    <col width="10" customWidth="1" min="6" max="6"/>
    <col width="13" customWidth="1" min="7" max="7"/>
    <col width="12" customWidth="1" min="8" max="8"/>
    <col width="34" customWidth="1" min="9" max="9"/>
    <col width="26" customWidth="1" min="10" max="10"/>
    <col width="44" customWidth="1" min="11" max="11"/>
    <col width="15" customWidth="1" min="12" max="12"/>
    <col width="12" customWidth="1" min="13" max="13"/>
    <col width="13" customWidth="1" min="14" max="14"/>
    <col width="12" customWidth="1" min="15" max="15"/>
    <col width="14" customWidth="1" min="16" max="16"/>
    <col width="18" customWidth="1" min="17" max="17"/>
    <col width="17" customWidth="1" min="18" max="18"/>
    <col width="14" customWidth="1" min="19" max="19"/>
    <col width="22" customWidth="1" min="20" max="20"/>
    <col width="14" customWidth="1" min="21" max="21"/>
    <col width="9" customWidth="1" min="22" max="22"/>
    <col width="12" customWidth="1" min="23" max="23"/>
    <col width="12" customWidth="1" min="24" max="24"/>
    <col width="14" customWidth="1" min="25" max="25"/>
    <col width="40" customWidth="1" min="26" max="26"/>
    <col width="34" customWidth="1" min="27" max="27"/>
    <col width="12" customWidth="1" min="28" max="28"/>
    <col width="15" customWidth="1" min="29" max="29"/>
    <col width="14" customWidth="1" min="30" max="30"/>
    <col width="14" customWidth="1" min="31" max="31"/>
    <col width="34" customWidth="1" min="32" max="32"/>
    <col width="13" customWidth="1" min="33" max="33"/>
    <col width="14" customWidth="1" min="34" max="34"/>
    <col width="14" customWidth="1" min="35" max="35"/>
    <col width="12" customWidth="1" min="36" max="36"/>
    <col width="34" customWidth="1" min="37" max="37"/>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Job Number</t>
        </is>
      </c>
      <c r="B4" s="20" t="inlineStr">
        <is>
          <t>Xero Invoice No</t>
        </is>
      </c>
      <c r="C4" s="20" t="inlineStr">
        <is>
          <t>Date</t>
        </is>
      </c>
      <c r="D4" s="20" t="inlineStr">
        <is>
          <t>Cost Centre</t>
        </is>
      </c>
      <c r="E4" s="20" t="inlineStr">
        <is>
          <t>Ex GST</t>
        </is>
      </c>
      <c r="F4" s="21" t="inlineStr">
        <is>
          <t>Month</t>
        </is>
      </c>
      <c r="G4" s="21" t="inlineStr">
        <is>
          <t>Department</t>
        </is>
      </c>
      <c r="H4" s="21" t="inlineStr">
        <is>
          <t>Job in Xero?</t>
        </is>
      </c>
      <c r="I4" s="21" t="inlineStr">
        <is>
          <t>Job Name (Xero)</t>
        </is>
      </c>
      <c r="J4" s="21" t="inlineStr">
        <is>
          <t>Client</t>
        </is>
      </c>
      <c r="K4" s="21" t="inlineStr">
        <is>
          <t>Description</t>
        </is>
      </c>
      <c r="L4" s="21" t="inlineStr">
        <is>
          <t>Invoice Type</t>
        </is>
      </c>
      <c r="M4" s="21" t="inlineStr">
        <is>
          <t>Tax Code</t>
        </is>
      </c>
      <c r="N4" s="21" t="inlineStr">
        <is>
          <t>Revenue GL</t>
        </is>
      </c>
      <c r="O4" s="21" t="inlineStr">
        <is>
          <t>GST</t>
        </is>
      </c>
      <c r="P4" s="21" t="inlineStr">
        <is>
          <t>Inc GST</t>
        </is>
      </c>
      <c r="Q4" s="21" t="inlineStr">
        <is>
          <t>Job Value per Dept</t>
        </is>
      </c>
      <c r="R4" s="21" t="inlineStr">
        <is>
          <t>Invoiced per Xero</t>
        </is>
      </c>
      <c r="S4" s="21" t="inlineStr">
        <is>
          <t>Dept vs Xero</t>
        </is>
      </c>
      <c r="T4" s="21" t="inlineStr">
        <is>
          <t>Compare</t>
        </is>
      </c>
      <c r="U4" s="20" t="inlineStr">
        <is>
          <t>Posted to Xero</t>
        </is>
      </c>
      <c r="V4" s="20" t="inlineStr">
        <is>
          <t>To WIP</t>
        </is>
      </c>
      <c r="W4" s="20" t="inlineStr">
        <is>
          <t>Defer Start</t>
        </is>
      </c>
      <c r="X4" s="20" t="inlineStr">
        <is>
          <t>Defer End</t>
        </is>
      </c>
      <c r="Y4" s="20" t="inlineStr">
        <is>
          <t>Status</t>
        </is>
      </c>
      <c r="Z4" s="20" t="inlineStr">
        <is>
          <t>Notes</t>
        </is>
      </c>
      <c r="AA4" s="21" t="inlineStr">
        <is>
          <t>Issue</t>
        </is>
      </c>
      <c r="AB4" s="21" t="inlineStr">
        <is>
          <t>Lines on this Job</t>
        </is>
      </c>
      <c r="AC4" s="21" t="inlineStr">
        <is>
          <t>Job Total Ex GST</t>
        </is>
      </c>
      <c r="AD4" s="21" t="inlineStr">
        <is>
          <t>Job Invoiced</t>
        </is>
      </c>
      <c r="AE4" s="21" t="inlineStr">
        <is>
          <t>Job To Invoice</t>
        </is>
      </c>
      <c r="AF4" s="21" t="inlineStr">
        <is>
          <t>Job Quote / Ref</t>
        </is>
      </c>
      <c r="AG4" s="21" t="inlineStr">
        <is>
          <t>Open Quote</t>
        </is>
      </c>
      <c r="AH4" s="21" t="inlineStr">
        <is>
          <t>Job Expense</t>
        </is>
      </c>
      <c r="AI4" s="21" t="inlineStr">
        <is>
          <t>Job Margin</t>
        </is>
      </c>
      <c r="AJ4" s="21" t="inlineStr">
        <is>
          <t>Job Margin %</t>
        </is>
      </c>
      <c r="AK4" s="21" t="inlineStr">
        <is>
          <t>Dept Notes</t>
        </is>
      </c>
    </row>
    <row r="5" ht="15" customHeight="1">
      <c r="A5" s="22" t="n"/>
      <c r="B5" s="22" t="n"/>
      <c r="C5" s="23" t="n"/>
      <c r="D5" s="22" t="n"/>
      <c r="E5" s="24" t="n"/>
      <c r="F5" s="25">
        <f>IF(C5="","",EOMONTH(C5,0))</f>
        <v/>
      </c>
      <c r="G5" s="26">
        <f>IF(A5="","",IF(COUNTIF(tbl_Onsite[Job Number],A5&amp;"")&gt;0,"Onsite",IF(COUNTIF(tbl_Production[Job Number],A5&amp;"")&gt;0,"Production",IF(COUNTIF(tbl_Consulting[Job Number],A5&amp;"")&gt;0,"Consulting","not set up yet"))))</f>
        <v/>
      </c>
      <c r="H5" s="26">
        <f>IF(A5="","",IF(COUNTIF(lst_Jobs,A5&amp;"")&gt;0,"OK","CHECK"))</f>
        <v/>
      </c>
      <c r="I5" s="26">
        <f>IF(A5="","",IFERROR(INDEX(lst_JobName,MATCH(A5&amp;"",lst_Jobs,0)),""))</f>
        <v/>
      </c>
      <c r="J5" s="26">
        <f>IF(A5="","",IFERROR(IF(INDEX(tbl_Onsite[Client],IFERROR(MATCH(A5&amp;"",tbl_Onsite[Job Number],0),MATCH(IFERROR(A5+0,A5),tbl_Onsite[Job Number],0)))="","",INDEX(tbl_Onsite[Client],IFERROR(MATCH(A5&amp;"",tbl_Onsite[Job Number],0),MATCH(IFERROR(A5+0,A5),tbl_Onsite[Job Number],0)))),IFERROR(IF(INDEX(tbl_Production[Client],IFERROR(MATCH(A5&amp;"",tbl_Production[Job Number],0),MATCH(IFERROR(A5+0,A5),tbl_Production[Job Number],0)))="","",INDEX(tbl_Production[Client],IFERROR(MATCH(A5&amp;"",tbl_Production[Job Number],0),MATCH(IFERROR(A5+0,A5),tbl_Production[Job Number],0)))),IFERROR(IF(INDEX(tbl_Consulting[Client],IFERROR(MATCH(A5&amp;"",tbl_Consulting[Job Number],0),MATCH(IFERROR(A5+0,A5),tbl_Consulting[Job Number],0)))="","",INDEX(tbl_Consulting[Client],IFERROR(MATCH(A5&amp;"",tbl_Consulting[Job Number],0),MATCH(IFERROR(A5+0,A5),tbl_Consulting[Job Number],0)))),""))))</f>
        <v/>
      </c>
      <c r="K5" s="26">
        <f>IF(A5="","",IFERROR(IF(INDEX(tbl_Onsite[Job Description],IFERROR(MATCH(A5&amp;"",tbl_Onsite[Job Number],0),MATCH(IFERROR(A5+0,A5),tbl_Onsite[Job Number],0)))="","",INDEX(tbl_Onsite[Job Description],IFERROR(MATCH(A5&amp;"",tbl_Onsite[Job Number],0),MATCH(IFERROR(A5+0,A5),tbl_Onsite[Job Number],0)))),IFERROR(IF(INDEX(tbl_Production[Job Description],IFERROR(MATCH(A5&amp;"",tbl_Production[Job Number],0),MATCH(IFERROR(A5+0,A5),tbl_Production[Job Number],0)))="","",INDEX(tbl_Production[Job Description],IFERROR(MATCH(A5&amp;"",tbl_Production[Job Number],0),MATCH(IFERROR(A5+0,A5),tbl_Production[Job Number],0)))),IFERROR(IF(INDEX(tbl_Consulting[Job Description],IFERROR(MATCH(A5&amp;"",tbl_Consulting[Job Number],0),MATCH(IFERROR(A5+0,A5),tbl_Consulting[Job Number],0)))="","",INDEX(tbl_Consulting[Job Description],IFERROR(MATCH(A5&amp;"",tbl_Consulting[Job Number],0),MATCH(IFERROR(A5+0,A5),tbl_Consulting[Job Number],0)))),""))))</f>
        <v/>
      </c>
      <c r="L5" s="26">
        <f>IF(A5="","",IFERROR(IF(INDEX(tbl_Onsite[Invoice Type],IFERROR(MATCH(A5&amp;"",tbl_Onsite[Job Number],0),MATCH(IFERROR(A5+0,A5),tbl_Onsite[Job Number],0)))="","",INDEX(tbl_Onsite[Invoice Type],IFERROR(MATCH(A5&amp;"",tbl_Onsite[Job Number],0),MATCH(IFERROR(A5+0,A5),tbl_Onsite[Job Number],0)))),IFERROR(IF(INDEX(tbl_Production[Invoice Type],IFERROR(MATCH(A5&amp;"",tbl_Production[Job Number],0),MATCH(IFERROR(A5+0,A5),tbl_Production[Job Number],0)))="","",INDEX(tbl_Production[Invoice Type],IFERROR(MATCH(A5&amp;"",tbl_Production[Job Number],0),MATCH(IFERROR(A5+0,A5),tbl_Production[Job Number],0)))),IFERROR(IF(INDEX(tbl_Consulting[Invoice Type],IFERROR(MATCH(A5&amp;"",tbl_Consulting[Job Number],0),MATCH(IFERROR(A5+0,A5),tbl_Consulting[Job Number],0)))="","",INDEX(tbl_Consulting[Invoice Type],IFERROR(MATCH(A5&amp;"",tbl_Consulting[Job Number],0),MATCH(IFERROR(A5+0,A5),tbl_Consulting[Job Number],0)))),""))))</f>
        <v/>
      </c>
      <c r="M5" s="26">
        <f>IF(A5="","",IF(IFERROR(IF(INDEX(tbl_Onsite[Tax Code],IFERROR(MATCH(A5&amp;"",tbl_Onsite[Job Number],0),MATCH(IFERROR(A5+0,A5),tbl_Onsite[Job Number],0)))="","",INDEX(tbl_Onsite[Tax Code],IFERROR(MATCH(A5&amp;"",tbl_Onsite[Job Number],0),MATCH(IFERROR(A5+0,A5),tbl_Onsite[Job Number],0)))),IFERROR(IF(INDEX(tbl_Production[Tax Code],IFERROR(MATCH(A5&amp;"",tbl_Production[Job Number],0),MATCH(IFERROR(A5+0,A5),tbl_Production[Job Number],0)))="","",INDEX(tbl_Production[Tax Code],IFERROR(MATCH(A5&amp;"",tbl_Production[Job Number],0),MATCH(IFERROR(A5+0,A5),tbl_Production[Job Number],0)))),IFERROR(IF(INDEX(tbl_Consulting[Tax Code],IFERROR(MATCH(A5&amp;"",tbl_Consulting[Job Number],0),MATCH(IFERROR(A5+0,A5),tbl_Consulting[Job Number],0)))="","",INDEX(tbl_Consulting[Tax Code],IFERROR(MATCH(A5&amp;"",tbl_Consulting[Job Number],0),MATCH(IFERROR(A5+0,A5),tbl_Consulting[Job Number],0)))),"")))="","GST 10%",IFERROR(IF(INDEX(tbl_Onsite[Tax Code],IFERROR(MATCH(A5&amp;"",tbl_Onsite[Job Number],0),MATCH(IFERROR(A5+0,A5),tbl_Onsite[Job Number],0)))="","",INDEX(tbl_Onsite[Tax Code],IFERROR(MATCH(A5&amp;"",tbl_Onsite[Job Number],0),MATCH(IFERROR(A5+0,A5),tbl_Onsite[Job Number],0)))),IFERROR(IF(INDEX(tbl_Production[Tax Code],IFERROR(MATCH(A5&amp;"",tbl_Production[Job Number],0),MATCH(IFERROR(A5+0,A5),tbl_Production[Job Number],0)))="","",INDEX(tbl_Production[Tax Code],IFERROR(MATCH(A5&amp;"",tbl_Production[Job Number],0),MATCH(IFERROR(A5+0,A5),tbl_Production[Job Number],0)))),IFERROR(IF(INDEX(tbl_Consulting[Tax Code],IFERROR(MATCH(A5&amp;"",tbl_Consulting[Job Number],0),MATCH(IFERROR(A5+0,A5),tbl_Consulting[Job Number],0)))="","",INDEX(tbl_Consulting[Tax Code],IFERROR(MATCH(A5&amp;"",tbl_Consulting[Job Number],0),MATCH(IFERROR(A5+0,A5),tbl_Consulting[Job Number],0)))),"")))))</f>
        <v/>
      </c>
      <c r="N5" s="26">
        <f>IF(D5="","",IFERROR(INDEX(lst_CCtoGL,MATCH(D5,lst_CCforGL,0)),""))</f>
        <v/>
      </c>
      <c r="O5" s="27">
        <f>IF(E5="","",IF(M5="GST 10%",ROUND(E5*set_GSTRate,2),0))</f>
        <v/>
      </c>
      <c r="P5" s="27">
        <f>IF(E5="","",E5+O5)</f>
        <v/>
      </c>
      <c r="Q5" s="27">
        <f>IF(A5="","",IFERROR(INDEX(tbl_Onsite[Expected Revenue Ex GST],IFERROR(MATCH(A5&amp;"",tbl_Onsite[Job Number],0),MATCH(IFERROR(A5+0,A5),tbl_Onsite[Job Number],0))),IFERROR(INDEX(tbl_Production[Expected Revenue Ex GST],IFERROR(MATCH(A5&amp;"",tbl_Production[Job Number],0),MATCH(IFERROR(A5+0,A5),tbl_Production[Job Number],0))),IFERROR(INDEX(tbl_Consulting[Expected Revenue Ex GST],IFERROR(MATCH(A5&amp;"",tbl_Consulting[Job Number],0),MATCH(IFERROR(A5+0,A5),tbl_Consulting[Job Number],0))),0))))</f>
        <v/>
      </c>
      <c r="R5" s="27">
        <f>IF(A5="","",SUMIFS(tbl_Finance[Ex GST],tbl_Finance[Job Number],A5&amp;""))</f>
        <v/>
      </c>
      <c r="S5" s="27">
        <f>IF(A5="","",Q5-R5)</f>
        <v/>
      </c>
      <c r="T5" s="26">
        <f>IF(A5="","",IF(Q5=0,"No dept value",IF(ROUND(S5,2)=0,"Agrees",IF(S5&gt;0,"Dept higher - to invoice","Xero higher - check dept"))))</f>
        <v/>
      </c>
      <c r="U5" s="22" t="n"/>
      <c r="V5" s="22" t="n"/>
      <c r="W5" s="23" t="n"/>
      <c r="X5" s="23" t="n"/>
      <c r="Y5" s="22" t="n"/>
      <c r="Z5" s="22" t="n"/>
      <c r="AA5" s="26">
        <f>IF(COUNTA(C5,A5,B5,E5)=0,"",IF(C5="","No date - sits outside every month",IF(A5="","No job number",IF(H5="CHECK","Job number is not in the Xero job list",IF(G5="not set up yet","No department has set this job up - nothing can pull through",IF(D5="","No cost centre",IF(AND(U5="Y",B5=""),"Marked posted to Xero but has no invoice number",IF(N5="","Cost centre has no revenue GL on the Lists sheet",IF(T5="Xero higher - check dept","Invoiced more than the department says the job is worth","")))))))))</f>
        <v/>
      </c>
      <c r="AB5" s="28">
        <f>IF(A5="","",COUNTIFS(tbl_Finance[Job Number],A5&amp;"",tbl_Finance[Ex GST],"&lt;&gt;"))</f>
        <v/>
      </c>
      <c r="AC5" s="27">
        <f>IF(A5="","",SUMIFS(tbl_Finance[Ex GST],tbl_Finance[Job Number],A5&amp;""))</f>
        <v/>
      </c>
      <c r="AD5" s="27">
        <f>IF(A5="","",SUMIFS(tbl_Finance[Ex GST],tbl_Finance[Job Number],A5&amp;"",tbl_Finance[Xero Invoice No],"&lt;&gt;"))</f>
        <v/>
      </c>
      <c r="AE5" s="27">
        <f>IF(A5="","",AC5-AD5)</f>
        <v/>
      </c>
      <c r="AF5" s="26">
        <f>IF(A5="","",IFERROR(IF(INDEX(tbl_Onsite[Qwilr Quote],IFERROR(MATCH(A5&amp;"",tbl_Onsite[Job Number],0),MATCH(IFERROR(A5+0,A5),tbl_Onsite[Job Number],0)))="","",INDEX(tbl_Onsite[Qwilr Quote],IFERROR(MATCH(A5&amp;"",tbl_Onsite[Job Number],0),MATCH(IFERROR(A5+0,A5),tbl_Onsite[Job Number],0)))),IFERROR(IF(IF(INDEX(tbl_Production[Current RMS No],IFERROR(MATCH(A5&amp;"",tbl_Production[Job Number],0),MATCH(IFERROR(A5+0,A5),tbl_Production[Job Number],0)))="",INDEX(tbl_Production[Qwilr Quote],IFERROR(MATCH(A5&amp;"",tbl_Production[Job Number],0),MATCH(IFERROR(A5+0,A5),tbl_Production[Job Number],0))),INDEX(tbl_Production[Current RMS No],IFERROR(MATCH(A5&amp;"",tbl_Production[Job Number],0),MATCH(IFERROR(A5+0,A5),tbl_Production[Job Number],0))))="","",IF(INDEX(tbl_Production[Current RMS No],IFERROR(MATCH(A5&amp;"",tbl_Production[Job Number],0),MATCH(IFERROR(A5+0,A5),tbl_Production[Job Number],0)))="",INDEX(tbl_Production[Qwilr Quote],IFERROR(MATCH(A5&amp;"",tbl_Production[Job Number],0),MATCH(IFERROR(A5+0,A5),tbl_Production[Job Number],0))),INDEX(tbl_Production[Current RMS No],IFERROR(MATCH(A5&amp;"",tbl_Production[Job Number],0),MATCH(IFERROR(A5+0,A5),tbl_Production[Job Number],0))))),IFERROR(IF(INDEX(tbl_Consulting[Qwilr Quote],IFERROR(MATCH(A5&amp;"",tbl_Consulting[Job Number],0),MATCH(IFERROR(A5+0,A5),tbl_Consulting[Job Number],0)))="","",INDEX(tbl_Consulting[Qwilr Quote],IFERROR(MATCH(A5&amp;"",tbl_Consulting[Job Number],0),MATCH(IFERROR(A5+0,A5),tbl_Consulting[Job Number],0)))),""))))</f>
        <v/>
      </c>
      <c r="AG5" s="26">
        <f>IF(AF5="","",IF(AND(LEFT(AF5,4)&lt;&gt;"http",IF(G5="Production",set_RMSBase,set_QwilrBase)=""),"",HYPERLINK(IF(LEFT(AF5,4)="http",AF5,IF(G5="Production",set_RMSBase,set_QwilrBase)&amp;AF5),"Open")))</f>
        <v/>
      </c>
      <c r="AH5" s="27">
        <f>IF(A5="","",IFERROR(INDEX(tbl_Production[Total Expense],IFERROR(MATCH(A5&amp;"",tbl_Production[Job Number],0),MATCH(IFERROR(A5+0,A5),tbl_Production[Job Number],0))),IFERROR(INDEX(tbl_Consulting[Total Expense],IFERROR(MATCH(A5&amp;"",tbl_Consulting[Job Number],0),MATCH(IFERROR(A5+0,A5),tbl_Consulting[Job Number],0))),0)))</f>
        <v/>
      </c>
      <c r="AI5" s="27">
        <f>IF(A5="","",AC5-N(AH5))</f>
        <v/>
      </c>
      <c r="AJ5" s="29">
        <f>IFERROR(AI5/AC5,"")</f>
        <v/>
      </c>
      <c r="AK5" s="26">
        <f>IF(A5="","",IFERROR(IF(INDEX(tbl_Onsite[Notes],IFERROR(MATCH(A5&amp;"",tbl_Onsite[Job Number],0),MATCH(IFERROR(A5+0,A5),tbl_Onsite[Job Number],0)))="","",INDEX(tbl_Onsite[Notes],IFERROR(MATCH(A5&amp;"",tbl_Onsite[Job Number],0),MATCH(IFERROR(A5+0,A5),tbl_Onsite[Job Number],0)))),IFERROR(IF(INDEX(tbl_Production[Notes],IFERROR(MATCH(A5&amp;"",tbl_Production[Job Number],0),MATCH(IFERROR(A5+0,A5),tbl_Production[Job Number],0)))="","",INDEX(tbl_Production[Notes],IFERROR(MATCH(A5&amp;"",tbl_Production[Job Number],0),MATCH(IFERROR(A5+0,A5),tbl_Production[Job Number],0)))),IFERROR(IF(INDEX(tbl_Consulting[Notes],IFERROR(MATCH(A5&amp;"",tbl_Consulting[Job Number],0),MATCH(IFERROR(A5+0,A5),tbl_Consulting[Job Number],0)))="","",INDEX(tbl_Consulting[Notes],IFERROR(MATCH(A5&amp;"",tbl_Consulting[Job Number],0),MATCH(IFERROR(A5+0,A5),tbl_Consulting[Job Number],0)))),""))))</f>
        <v/>
      </c>
    </row>
    <row r="6" ht="15" customHeight="1">
      <c r="A6" s="22" t="n"/>
      <c r="B6" s="22" t="n"/>
      <c r="C6" s="23" t="n"/>
      <c r="D6" s="22" t="n"/>
      <c r="E6" s="24" t="n"/>
      <c r="F6" s="25">
        <f>IF(C6="","",EOMONTH(C6,0))</f>
        <v/>
      </c>
      <c r="G6" s="26">
        <f>IF(A6="","",IF(COUNTIF(tbl_Onsite[Job Number],A6&amp;"")&gt;0,"Onsite",IF(COUNTIF(tbl_Production[Job Number],A6&amp;"")&gt;0,"Production",IF(COUNTIF(tbl_Consulting[Job Number],A6&amp;"")&gt;0,"Consulting","not set up yet"))))</f>
        <v/>
      </c>
      <c r="H6" s="26">
        <f>IF(A6="","",IF(COUNTIF(lst_Jobs,A6&amp;"")&gt;0,"OK","CHECK"))</f>
        <v/>
      </c>
      <c r="I6" s="26">
        <f>IF(A6="","",IFERROR(INDEX(lst_JobName,MATCH(A6&amp;"",lst_Jobs,0)),""))</f>
        <v/>
      </c>
      <c r="J6" s="26">
        <f>IF(A6="","",IFERROR(IF(INDEX(tbl_Onsite[Client],IFERROR(MATCH(A6&amp;"",tbl_Onsite[Job Number],0),MATCH(IFERROR(A6+0,A6),tbl_Onsite[Job Number],0)))="","",INDEX(tbl_Onsite[Client],IFERROR(MATCH(A6&amp;"",tbl_Onsite[Job Number],0),MATCH(IFERROR(A6+0,A6),tbl_Onsite[Job Number],0)))),IFERROR(IF(INDEX(tbl_Production[Client],IFERROR(MATCH(A6&amp;"",tbl_Production[Job Number],0),MATCH(IFERROR(A6+0,A6),tbl_Production[Job Number],0)))="","",INDEX(tbl_Production[Client],IFERROR(MATCH(A6&amp;"",tbl_Production[Job Number],0),MATCH(IFERROR(A6+0,A6),tbl_Production[Job Number],0)))),IFERROR(IF(INDEX(tbl_Consulting[Client],IFERROR(MATCH(A6&amp;"",tbl_Consulting[Job Number],0),MATCH(IFERROR(A6+0,A6),tbl_Consulting[Job Number],0)))="","",INDEX(tbl_Consulting[Client],IFERROR(MATCH(A6&amp;"",tbl_Consulting[Job Number],0),MATCH(IFERROR(A6+0,A6),tbl_Consulting[Job Number],0)))),""))))</f>
        <v/>
      </c>
      <c r="K6" s="26">
        <f>IF(A6="","",IFERROR(IF(INDEX(tbl_Onsite[Job Description],IFERROR(MATCH(A6&amp;"",tbl_Onsite[Job Number],0),MATCH(IFERROR(A6+0,A6),tbl_Onsite[Job Number],0)))="","",INDEX(tbl_Onsite[Job Description],IFERROR(MATCH(A6&amp;"",tbl_Onsite[Job Number],0),MATCH(IFERROR(A6+0,A6),tbl_Onsite[Job Number],0)))),IFERROR(IF(INDEX(tbl_Production[Job Description],IFERROR(MATCH(A6&amp;"",tbl_Production[Job Number],0),MATCH(IFERROR(A6+0,A6),tbl_Production[Job Number],0)))="","",INDEX(tbl_Production[Job Description],IFERROR(MATCH(A6&amp;"",tbl_Production[Job Number],0),MATCH(IFERROR(A6+0,A6),tbl_Production[Job Number],0)))),IFERROR(IF(INDEX(tbl_Consulting[Job Description],IFERROR(MATCH(A6&amp;"",tbl_Consulting[Job Number],0),MATCH(IFERROR(A6+0,A6),tbl_Consulting[Job Number],0)))="","",INDEX(tbl_Consulting[Job Description],IFERROR(MATCH(A6&amp;"",tbl_Consulting[Job Number],0),MATCH(IFERROR(A6+0,A6),tbl_Consulting[Job Number],0)))),""))))</f>
        <v/>
      </c>
      <c r="L6" s="26">
        <f>IF(A6="","",IFERROR(IF(INDEX(tbl_Onsite[Invoice Type],IFERROR(MATCH(A6&amp;"",tbl_Onsite[Job Number],0),MATCH(IFERROR(A6+0,A6),tbl_Onsite[Job Number],0)))="","",INDEX(tbl_Onsite[Invoice Type],IFERROR(MATCH(A6&amp;"",tbl_Onsite[Job Number],0),MATCH(IFERROR(A6+0,A6),tbl_Onsite[Job Number],0)))),IFERROR(IF(INDEX(tbl_Production[Invoice Type],IFERROR(MATCH(A6&amp;"",tbl_Production[Job Number],0),MATCH(IFERROR(A6+0,A6),tbl_Production[Job Number],0)))="","",INDEX(tbl_Production[Invoice Type],IFERROR(MATCH(A6&amp;"",tbl_Production[Job Number],0),MATCH(IFERROR(A6+0,A6),tbl_Production[Job Number],0)))),IFERROR(IF(INDEX(tbl_Consulting[Invoice Type],IFERROR(MATCH(A6&amp;"",tbl_Consulting[Job Number],0),MATCH(IFERROR(A6+0,A6),tbl_Consulting[Job Number],0)))="","",INDEX(tbl_Consulting[Invoice Type],IFERROR(MATCH(A6&amp;"",tbl_Consulting[Job Number],0),MATCH(IFERROR(A6+0,A6),tbl_Consulting[Job Number],0)))),""))))</f>
        <v/>
      </c>
      <c r="M6" s="26">
        <f>IF(A6="","",IF(IFERROR(IF(INDEX(tbl_Onsite[Tax Code],IFERROR(MATCH(A6&amp;"",tbl_Onsite[Job Number],0),MATCH(IFERROR(A6+0,A6),tbl_Onsite[Job Number],0)))="","",INDEX(tbl_Onsite[Tax Code],IFERROR(MATCH(A6&amp;"",tbl_Onsite[Job Number],0),MATCH(IFERROR(A6+0,A6),tbl_Onsite[Job Number],0)))),IFERROR(IF(INDEX(tbl_Production[Tax Code],IFERROR(MATCH(A6&amp;"",tbl_Production[Job Number],0),MATCH(IFERROR(A6+0,A6),tbl_Production[Job Number],0)))="","",INDEX(tbl_Production[Tax Code],IFERROR(MATCH(A6&amp;"",tbl_Production[Job Number],0),MATCH(IFERROR(A6+0,A6),tbl_Production[Job Number],0)))),IFERROR(IF(INDEX(tbl_Consulting[Tax Code],IFERROR(MATCH(A6&amp;"",tbl_Consulting[Job Number],0),MATCH(IFERROR(A6+0,A6),tbl_Consulting[Job Number],0)))="","",INDEX(tbl_Consulting[Tax Code],IFERROR(MATCH(A6&amp;"",tbl_Consulting[Job Number],0),MATCH(IFERROR(A6+0,A6),tbl_Consulting[Job Number],0)))),"")))="","GST 10%",IFERROR(IF(INDEX(tbl_Onsite[Tax Code],IFERROR(MATCH(A6&amp;"",tbl_Onsite[Job Number],0),MATCH(IFERROR(A6+0,A6),tbl_Onsite[Job Number],0)))="","",INDEX(tbl_Onsite[Tax Code],IFERROR(MATCH(A6&amp;"",tbl_Onsite[Job Number],0),MATCH(IFERROR(A6+0,A6),tbl_Onsite[Job Number],0)))),IFERROR(IF(INDEX(tbl_Production[Tax Code],IFERROR(MATCH(A6&amp;"",tbl_Production[Job Number],0),MATCH(IFERROR(A6+0,A6),tbl_Production[Job Number],0)))="","",INDEX(tbl_Production[Tax Code],IFERROR(MATCH(A6&amp;"",tbl_Production[Job Number],0),MATCH(IFERROR(A6+0,A6),tbl_Production[Job Number],0)))),IFERROR(IF(INDEX(tbl_Consulting[Tax Code],IFERROR(MATCH(A6&amp;"",tbl_Consulting[Job Number],0),MATCH(IFERROR(A6+0,A6),tbl_Consulting[Job Number],0)))="","",INDEX(tbl_Consulting[Tax Code],IFERROR(MATCH(A6&amp;"",tbl_Consulting[Job Number],0),MATCH(IFERROR(A6+0,A6),tbl_Consulting[Job Number],0)))),"")))))</f>
        <v/>
      </c>
      <c r="N6" s="26">
        <f>IF(D6="","",IFERROR(INDEX(lst_CCtoGL,MATCH(D6,lst_CCforGL,0)),""))</f>
        <v/>
      </c>
      <c r="O6" s="27">
        <f>IF(E6="","",IF(M6="GST 10%",ROUND(E6*set_GSTRate,2),0))</f>
        <v/>
      </c>
      <c r="P6" s="27">
        <f>IF(E6="","",E6+O6)</f>
        <v/>
      </c>
      <c r="Q6" s="27">
        <f>IF(A6="","",IFERROR(INDEX(tbl_Onsite[Expected Revenue Ex GST],IFERROR(MATCH(A6&amp;"",tbl_Onsite[Job Number],0),MATCH(IFERROR(A6+0,A6),tbl_Onsite[Job Number],0))),IFERROR(INDEX(tbl_Production[Expected Revenue Ex GST],IFERROR(MATCH(A6&amp;"",tbl_Production[Job Number],0),MATCH(IFERROR(A6+0,A6),tbl_Production[Job Number],0))),IFERROR(INDEX(tbl_Consulting[Expected Revenue Ex GST],IFERROR(MATCH(A6&amp;"",tbl_Consulting[Job Number],0),MATCH(IFERROR(A6+0,A6),tbl_Consulting[Job Number],0))),0))))</f>
        <v/>
      </c>
      <c r="R6" s="27">
        <f>IF(A6="","",SUMIFS(tbl_Finance[Ex GST],tbl_Finance[Job Number],A6&amp;""))</f>
        <v/>
      </c>
      <c r="S6" s="27">
        <f>IF(A6="","",Q6-R6)</f>
        <v/>
      </c>
      <c r="T6" s="26">
        <f>IF(A6="","",IF(Q6=0,"No dept value",IF(ROUND(S6,2)=0,"Agrees",IF(S6&gt;0,"Dept higher - to invoice","Xero higher - check dept"))))</f>
        <v/>
      </c>
      <c r="U6" s="22" t="n"/>
      <c r="V6" s="22" t="n"/>
      <c r="W6" s="23" t="n"/>
      <c r="X6" s="23" t="n"/>
      <c r="Y6" s="22" t="n"/>
      <c r="Z6" s="22" t="n"/>
      <c r="AA6" s="26">
        <f>IF(COUNTA(C6,A6,B6,E6)=0,"",IF(C6="","No date - sits outside every month",IF(A6="","No job number",IF(H6="CHECK","Job number is not in the Xero job list",IF(G6="not set up yet","No department has set this job up - nothing can pull through",IF(D6="","No cost centre",IF(AND(U6="Y",B6=""),"Marked posted to Xero but has no invoice number",IF(N6="","Cost centre has no revenue GL on the Lists sheet",IF(T6="Xero higher - check dept","Invoiced more than the department says the job is worth","")))))))))</f>
        <v/>
      </c>
      <c r="AB6" s="28">
        <f>IF(A6="","",COUNTIFS(tbl_Finance[Job Number],A6&amp;"",tbl_Finance[Ex GST],"&lt;&gt;"))</f>
        <v/>
      </c>
      <c r="AC6" s="27">
        <f>IF(A6="","",SUMIFS(tbl_Finance[Ex GST],tbl_Finance[Job Number],A6&amp;""))</f>
        <v/>
      </c>
      <c r="AD6" s="27">
        <f>IF(A6="","",SUMIFS(tbl_Finance[Ex GST],tbl_Finance[Job Number],A6&amp;"",tbl_Finance[Xero Invoice No],"&lt;&gt;"))</f>
        <v/>
      </c>
      <c r="AE6" s="27">
        <f>IF(A6="","",AC6-AD6)</f>
        <v/>
      </c>
      <c r="AF6" s="26">
        <f>IF(A6="","",IFERROR(IF(INDEX(tbl_Onsite[Qwilr Quote],IFERROR(MATCH(A6&amp;"",tbl_Onsite[Job Number],0),MATCH(IFERROR(A6+0,A6),tbl_Onsite[Job Number],0)))="","",INDEX(tbl_Onsite[Qwilr Quote],IFERROR(MATCH(A6&amp;"",tbl_Onsite[Job Number],0),MATCH(IFERROR(A6+0,A6),tbl_Onsite[Job Number],0)))),IFERROR(IF(IF(INDEX(tbl_Production[Current RMS No],IFERROR(MATCH(A6&amp;"",tbl_Production[Job Number],0),MATCH(IFERROR(A6+0,A6),tbl_Production[Job Number],0)))="",INDEX(tbl_Production[Qwilr Quote],IFERROR(MATCH(A6&amp;"",tbl_Production[Job Number],0),MATCH(IFERROR(A6+0,A6),tbl_Production[Job Number],0))),INDEX(tbl_Production[Current RMS No],IFERROR(MATCH(A6&amp;"",tbl_Production[Job Number],0),MATCH(IFERROR(A6+0,A6),tbl_Production[Job Number],0))))="","",IF(INDEX(tbl_Production[Current RMS No],IFERROR(MATCH(A6&amp;"",tbl_Production[Job Number],0),MATCH(IFERROR(A6+0,A6),tbl_Production[Job Number],0)))="",INDEX(tbl_Production[Qwilr Quote],IFERROR(MATCH(A6&amp;"",tbl_Production[Job Number],0),MATCH(IFERROR(A6+0,A6),tbl_Production[Job Number],0))),INDEX(tbl_Production[Current RMS No],IFERROR(MATCH(A6&amp;"",tbl_Production[Job Number],0),MATCH(IFERROR(A6+0,A6),tbl_Production[Job Number],0))))),IFERROR(IF(INDEX(tbl_Consulting[Qwilr Quote],IFERROR(MATCH(A6&amp;"",tbl_Consulting[Job Number],0),MATCH(IFERROR(A6+0,A6),tbl_Consulting[Job Number],0)))="","",INDEX(tbl_Consulting[Qwilr Quote],IFERROR(MATCH(A6&amp;"",tbl_Consulting[Job Number],0),MATCH(IFERROR(A6+0,A6),tbl_Consulting[Job Number],0)))),""))))</f>
        <v/>
      </c>
      <c r="AG6" s="26">
        <f>IF(AF6="","",IF(AND(LEFT(AF6,4)&lt;&gt;"http",IF(G6="Production",set_RMSBase,set_QwilrBase)=""),"",HYPERLINK(IF(LEFT(AF6,4)="http",AF6,IF(G6="Production",set_RMSBase,set_QwilrBase)&amp;AF6),"Open")))</f>
        <v/>
      </c>
      <c r="AH6" s="27">
        <f>IF(A6="","",IFERROR(INDEX(tbl_Production[Total Expense],IFERROR(MATCH(A6&amp;"",tbl_Production[Job Number],0),MATCH(IFERROR(A6+0,A6),tbl_Production[Job Number],0))),IFERROR(INDEX(tbl_Consulting[Total Expense],IFERROR(MATCH(A6&amp;"",tbl_Consulting[Job Number],0),MATCH(IFERROR(A6+0,A6),tbl_Consulting[Job Number],0))),0)))</f>
        <v/>
      </c>
      <c r="AI6" s="27">
        <f>IF(A6="","",AC6-N(AH6))</f>
        <v/>
      </c>
      <c r="AJ6" s="29">
        <f>IFERROR(AI6/AC6,"")</f>
        <v/>
      </c>
      <c r="AK6" s="26">
        <f>IF(A6="","",IFERROR(IF(INDEX(tbl_Onsite[Notes],IFERROR(MATCH(A6&amp;"",tbl_Onsite[Job Number],0),MATCH(IFERROR(A6+0,A6),tbl_Onsite[Job Number],0)))="","",INDEX(tbl_Onsite[Notes],IFERROR(MATCH(A6&amp;"",tbl_Onsite[Job Number],0),MATCH(IFERROR(A6+0,A6),tbl_Onsite[Job Number],0)))),IFERROR(IF(INDEX(tbl_Production[Notes],IFERROR(MATCH(A6&amp;"",tbl_Production[Job Number],0),MATCH(IFERROR(A6+0,A6),tbl_Production[Job Number],0)))="","",INDEX(tbl_Production[Notes],IFERROR(MATCH(A6&amp;"",tbl_Production[Job Number],0),MATCH(IFERROR(A6+0,A6),tbl_Production[Job Number],0)))),IFERROR(IF(INDEX(tbl_Consulting[Notes],IFERROR(MATCH(A6&amp;"",tbl_Consulting[Job Number],0),MATCH(IFERROR(A6+0,A6),tbl_Consulting[Job Number],0)))="","",INDEX(tbl_Consulting[Notes],IFERROR(MATCH(A6&amp;"",tbl_Consulting[Job Number],0),MATCH(IFERROR(A6+0,A6),tbl_Consulting[Job Number],0)))),""))))</f>
        <v/>
      </c>
    </row>
    <row r="7" ht="15" customHeight="1">
      <c r="A7" s="22" t="n"/>
      <c r="B7" s="22" t="n"/>
      <c r="C7" s="23" t="n"/>
      <c r="D7" s="22" t="n"/>
      <c r="E7" s="24" t="n"/>
      <c r="F7" s="25">
        <f>IF(C7="","",EOMONTH(C7,0))</f>
        <v/>
      </c>
      <c r="G7" s="26">
        <f>IF(A7="","",IF(COUNTIF(tbl_Onsite[Job Number],A7&amp;"")&gt;0,"Onsite",IF(COUNTIF(tbl_Production[Job Number],A7&amp;"")&gt;0,"Production",IF(COUNTIF(tbl_Consulting[Job Number],A7&amp;"")&gt;0,"Consulting","not set up yet"))))</f>
        <v/>
      </c>
      <c r="H7" s="26">
        <f>IF(A7="","",IF(COUNTIF(lst_Jobs,A7&amp;"")&gt;0,"OK","CHECK"))</f>
        <v/>
      </c>
      <c r="I7" s="26">
        <f>IF(A7="","",IFERROR(INDEX(lst_JobName,MATCH(A7&amp;"",lst_Jobs,0)),""))</f>
        <v/>
      </c>
      <c r="J7" s="26">
        <f>IF(A7="","",IFERROR(IF(INDEX(tbl_Onsite[Client],IFERROR(MATCH(A7&amp;"",tbl_Onsite[Job Number],0),MATCH(IFERROR(A7+0,A7),tbl_Onsite[Job Number],0)))="","",INDEX(tbl_Onsite[Client],IFERROR(MATCH(A7&amp;"",tbl_Onsite[Job Number],0),MATCH(IFERROR(A7+0,A7),tbl_Onsite[Job Number],0)))),IFERROR(IF(INDEX(tbl_Production[Client],IFERROR(MATCH(A7&amp;"",tbl_Production[Job Number],0),MATCH(IFERROR(A7+0,A7),tbl_Production[Job Number],0)))="","",INDEX(tbl_Production[Client],IFERROR(MATCH(A7&amp;"",tbl_Production[Job Number],0),MATCH(IFERROR(A7+0,A7),tbl_Production[Job Number],0)))),IFERROR(IF(INDEX(tbl_Consulting[Client],IFERROR(MATCH(A7&amp;"",tbl_Consulting[Job Number],0),MATCH(IFERROR(A7+0,A7),tbl_Consulting[Job Number],0)))="","",INDEX(tbl_Consulting[Client],IFERROR(MATCH(A7&amp;"",tbl_Consulting[Job Number],0),MATCH(IFERROR(A7+0,A7),tbl_Consulting[Job Number],0)))),""))))</f>
        <v/>
      </c>
      <c r="K7" s="26">
        <f>IF(A7="","",IFERROR(IF(INDEX(tbl_Onsite[Job Description],IFERROR(MATCH(A7&amp;"",tbl_Onsite[Job Number],0),MATCH(IFERROR(A7+0,A7),tbl_Onsite[Job Number],0)))="","",INDEX(tbl_Onsite[Job Description],IFERROR(MATCH(A7&amp;"",tbl_Onsite[Job Number],0),MATCH(IFERROR(A7+0,A7),tbl_Onsite[Job Number],0)))),IFERROR(IF(INDEX(tbl_Production[Job Description],IFERROR(MATCH(A7&amp;"",tbl_Production[Job Number],0),MATCH(IFERROR(A7+0,A7),tbl_Production[Job Number],0)))="","",INDEX(tbl_Production[Job Description],IFERROR(MATCH(A7&amp;"",tbl_Production[Job Number],0),MATCH(IFERROR(A7+0,A7),tbl_Production[Job Number],0)))),IFERROR(IF(INDEX(tbl_Consulting[Job Description],IFERROR(MATCH(A7&amp;"",tbl_Consulting[Job Number],0),MATCH(IFERROR(A7+0,A7),tbl_Consulting[Job Number],0)))="","",INDEX(tbl_Consulting[Job Description],IFERROR(MATCH(A7&amp;"",tbl_Consulting[Job Number],0),MATCH(IFERROR(A7+0,A7),tbl_Consulting[Job Number],0)))),""))))</f>
        <v/>
      </c>
      <c r="L7" s="26">
        <f>IF(A7="","",IFERROR(IF(INDEX(tbl_Onsite[Invoice Type],IFERROR(MATCH(A7&amp;"",tbl_Onsite[Job Number],0),MATCH(IFERROR(A7+0,A7),tbl_Onsite[Job Number],0)))="","",INDEX(tbl_Onsite[Invoice Type],IFERROR(MATCH(A7&amp;"",tbl_Onsite[Job Number],0),MATCH(IFERROR(A7+0,A7),tbl_Onsite[Job Number],0)))),IFERROR(IF(INDEX(tbl_Production[Invoice Type],IFERROR(MATCH(A7&amp;"",tbl_Production[Job Number],0),MATCH(IFERROR(A7+0,A7),tbl_Production[Job Number],0)))="","",INDEX(tbl_Production[Invoice Type],IFERROR(MATCH(A7&amp;"",tbl_Production[Job Number],0),MATCH(IFERROR(A7+0,A7),tbl_Production[Job Number],0)))),IFERROR(IF(INDEX(tbl_Consulting[Invoice Type],IFERROR(MATCH(A7&amp;"",tbl_Consulting[Job Number],0),MATCH(IFERROR(A7+0,A7),tbl_Consulting[Job Number],0)))="","",INDEX(tbl_Consulting[Invoice Type],IFERROR(MATCH(A7&amp;"",tbl_Consulting[Job Number],0),MATCH(IFERROR(A7+0,A7),tbl_Consulting[Job Number],0)))),""))))</f>
        <v/>
      </c>
      <c r="M7" s="26">
        <f>IF(A7="","",IF(IFERROR(IF(INDEX(tbl_Onsite[Tax Code],IFERROR(MATCH(A7&amp;"",tbl_Onsite[Job Number],0),MATCH(IFERROR(A7+0,A7),tbl_Onsite[Job Number],0)))="","",INDEX(tbl_Onsite[Tax Code],IFERROR(MATCH(A7&amp;"",tbl_Onsite[Job Number],0),MATCH(IFERROR(A7+0,A7),tbl_Onsite[Job Number],0)))),IFERROR(IF(INDEX(tbl_Production[Tax Code],IFERROR(MATCH(A7&amp;"",tbl_Production[Job Number],0),MATCH(IFERROR(A7+0,A7),tbl_Production[Job Number],0)))="","",INDEX(tbl_Production[Tax Code],IFERROR(MATCH(A7&amp;"",tbl_Production[Job Number],0),MATCH(IFERROR(A7+0,A7),tbl_Production[Job Number],0)))),IFERROR(IF(INDEX(tbl_Consulting[Tax Code],IFERROR(MATCH(A7&amp;"",tbl_Consulting[Job Number],0),MATCH(IFERROR(A7+0,A7),tbl_Consulting[Job Number],0)))="","",INDEX(tbl_Consulting[Tax Code],IFERROR(MATCH(A7&amp;"",tbl_Consulting[Job Number],0),MATCH(IFERROR(A7+0,A7),tbl_Consulting[Job Number],0)))),"")))="","GST 10%",IFERROR(IF(INDEX(tbl_Onsite[Tax Code],IFERROR(MATCH(A7&amp;"",tbl_Onsite[Job Number],0),MATCH(IFERROR(A7+0,A7),tbl_Onsite[Job Number],0)))="","",INDEX(tbl_Onsite[Tax Code],IFERROR(MATCH(A7&amp;"",tbl_Onsite[Job Number],0),MATCH(IFERROR(A7+0,A7),tbl_Onsite[Job Number],0)))),IFERROR(IF(INDEX(tbl_Production[Tax Code],IFERROR(MATCH(A7&amp;"",tbl_Production[Job Number],0),MATCH(IFERROR(A7+0,A7),tbl_Production[Job Number],0)))="","",INDEX(tbl_Production[Tax Code],IFERROR(MATCH(A7&amp;"",tbl_Production[Job Number],0),MATCH(IFERROR(A7+0,A7),tbl_Production[Job Number],0)))),IFERROR(IF(INDEX(tbl_Consulting[Tax Code],IFERROR(MATCH(A7&amp;"",tbl_Consulting[Job Number],0),MATCH(IFERROR(A7+0,A7),tbl_Consulting[Job Number],0)))="","",INDEX(tbl_Consulting[Tax Code],IFERROR(MATCH(A7&amp;"",tbl_Consulting[Job Number],0),MATCH(IFERROR(A7+0,A7),tbl_Consulting[Job Number],0)))),"")))))</f>
        <v/>
      </c>
      <c r="N7" s="26">
        <f>IF(D7="","",IFERROR(INDEX(lst_CCtoGL,MATCH(D7,lst_CCforGL,0)),""))</f>
        <v/>
      </c>
      <c r="O7" s="27">
        <f>IF(E7="","",IF(M7="GST 10%",ROUND(E7*set_GSTRate,2),0))</f>
        <v/>
      </c>
      <c r="P7" s="27">
        <f>IF(E7="","",E7+O7)</f>
        <v/>
      </c>
      <c r="Q7" s="27">
        <f>IF(A7="","",IFERROR(INDEX(tbl_Onsite[Expected Revenue Ex GST],IFERROR(MATCH(A7&amp;"",tbl_Onsite[Job Number],0),MATCH(IFERROR(A7+0,A7),tbl_Onsite[Job Number],0))),IFERROR(INDEX(tbl_Production[Expected Revenue Ex GST],IFERROR(MATCH(A7&amp;"",tbl_Production[Job Number],0),MATCH(IFERROR(A7+0,A7),tbl_Production[Job Number],0))),IFERROR(INDEX(tbl_Consulting[Expected Revenue Ex GST],IFERROR(MATCH(A7&amp;"",tbl_Consulting[Job Number],0),MATCH(IFERROR(A7+0,A7),tbl_Consulting[Job Number],0))),0))))</f>
        <v/>
      </c>
      <c r="R7" s="27">
        <f>IF(A7="","",SUMIFS(tbl_Finance[Ex GST],tbl_Finance[Job Number],A7&amp;""))</f>
        <v/>
      </c>
      <c r="S7" s="27">
        <f>IF(A7="","",Q7-R7)</f>
        <v/>
      </c>
      <c r="T7" s="26">
        <f>IF(A7="","",IF(Q7=0,"No dept value",IF(ROUND(S7,2)=0,"Agrees",IF(S7&gt;0,"Dept higher - to invoice","Xero higher - check dept"))))</f>
        <v/>
      </c>
      <c r="U7" s="22" t="n"/>
      <c r="V7" s="22" t="n"/>
      <c r="W7" s="23" t="n"/>
      <c r="X7" s="23" t="n"/>
      <c r="Y7" s="22" t="n"/>
      <c r="Z7" s="22" t="n"/>
      <c r="AA7" s="26">
        <f>IF(COUNTA(C7,A7,B7,E7)=0,"",IF(C7="","No date - sits outside every month",IF(A7="","No job number",IF(H7="CHECK","Job number is not in the Xero job list",IF(G7="not set up yet","No department has set this job up - nothing can pull through",IF(D7="","No cost centre",IF(AND(U7="Y",B7=""),"Marked posted to Xero but has no invoice number",IF(N7="","Cost centre has no revenue GL on the Lists sheet",IF(T7="Xero higher - check dept","Invoiced more than the department says the job is worth","")))))))))</f>
        <v/>
      </c>
      <c r="AB7" s="28">
        <f>IF(A7="","",COUNTIFS(tbl_Finance[Job Number],A7&amp;"",tbl_Finance[Ex GST],"&lt;&gt;"))</f>
        <v/>
      </c>
      <c r="AC7" s="27">
        <f>IF(A7="","",SUMIFS(tbl_Finance[Ex GST],tbl_Finance[Job Number],A7&amp;""))</f>
        <v/>
      </c>
      <c r="AD7" s="27">
        <f>IF(A7="","",SUMIFS(tbl_Finance[Ex GST],tbl_Finance[Job Number],A7&amp;"",tbl_Finance[Xero Invoice No],"&lt;&gt;"))</f>
        <v/>
      </c>
      <c r="AE7" s="27">
        <f>IF(A7="","",AC7-AD7)</f>
        <v/>
      </c>
      <c r="AF7" s="26">
        <f>IF(A7="","",IFERROR(IF(INDEX(tbl_Onsite[Qwilr Quote],IFERROR(MATCH(A7&amp;"",tbl_Onsite[Job Number],0),MATCH(IFERROR(A7+0,A7),tbl_Onsite[Job Number],0)))="","",INDEX(tbl_Onsite[Qwilr Quote],IFERROR(MATCH(A7&amp;"",tbl_Onsite[Job Number],0),MATCH(IFERROR(A7+0,A7),tbl_Onsite[Job Number],0)))),IFERROR(IF(IF(INDEX(tbl_Production[Current RMS No],IFERROR(MATCH(A7&amp;"",tbl_Production[Job Number],0),MATCH(IFERROR(A7+0,A7),tbl_Production[Job Number],0)))="",INDEX(tbl_Production[Qwilr Quote],IFERROR(MATCH(A7&amp;"",tbl_Production[Job Number],0),MATCH(IFERROR(A7+0,A7),tbl_Production[Job Number],0))),INDEX(tbl_Production[Current RMS No],IFERROR(MATCH(A7&amp;"",tbl_Production[Job Number],0),MATCH(IFERROR(A7+0,A7),tbl_Production[Job Number],0))))="","",IF(INDEX(tbl_Production[Current RMS No],IFERROR(MATCH(A7&amp;"",tbl_Production[Job Number],0),MATCH(IFERROR(A7+0,A7),tbl_Production[Job Number],0)))="",INDEX(tbl_Production[Qwilr Quote],IFERROR(MATCH(A7&amp;"",tbl_Production[Job Number],0),MATCH(IFERROR(A7+0,A7),tbl_Production[Job Number],0))),INDEX(tbl_Production[Current RMS No],IFERROR(MATCH(A7&amp;"",tbl_Production[Job Number],0),MATCH(IFERROR(A7+0,A7),tbl_Production[Job Number],0))))),IFERROR(IF(INDEX(tbl_Consulting[Qwilr Quote],IFERROR(MATCH(A7&amp;"",tbl_Consulting[Job Number],0),MATCH(IFERROR(A7+0,A7),tbl_Consulting[Job Number],0)))="","",INDEX(tbl_Consulting[Qwilr Quote],IFERROR(MATCH(A7&amp;"",tbl_Consulting[Job Number],0),MATCH(IFERROR(A7+0,A7),tbl_Consulting[Job Number],0)))),""))))</f>
        <v/>
      </c>
      <c r="AG7" s="26">
        <f>IF(AF7="","",IF(AND(LEFT(AF7,4)&lt;&gt;"http",IF(G7="Production",set_RMSBase,set_QwilrBase)=""),"",HYPERLINK(IF(LEFT(AF7,4)="http",AF7,IF(G7="Production",set_RMSBase,set_QwilrBase)&amp;AF7),"Open")))</f>
        <v/>
      </c>
      <c r="AH7" s="27">
        <f>IF(A7="","",IFERROR(INDEX(tbl_Production[Total Expense],IFERROR(MATCH(A7&amp;"",tbl_Production[Job Number],0),MATCH(IFERROR(A7+0,A7),tbl_Production[Job Number],0))),IFERROR(INDEX(tbl_Consulting[Total Expense],IFERROR(MATCH(A7&amp;"",tbl_Consulting[Job Number],0),MATCH(IFERROR(A7+0,A7),tbl_Consulting[Job Number],0))),0)))</f>
        <v/>
      </c>
      <c r="AI7" s="27">
        <f>IF(A7="","",AC7-N(AH7))</f>
        <v/>
      </c>
      <c r="AJ7" s="29">
        <f>IFERROR(AI7/AC7,"")</f>
        <v/>
      </c>
      <c r="AK7" s="26">
        <f>IF(A7="","",IFERROR(IF(INDEX(tbl_Onsite[Notes],IFERROR(MATCH(A7&amp;"",tbl_Onsite[Job Number],0),MATCH(IFERROR(A7+0,A7),tbl_Onsite[Job Number],0)))="","",INDEX(tbl_Onsite[Notes],IFERROR(MATCH(A7&amp;"",tbl_Onsite[Job Number],0),MATCH(IFERROR(A7+0,A7),tbl_Onsite[Job Number],0)))),IFERROR(IF(INDEX(tbl_Production[Notes],IFERROR(MATCH(A7&amp;"",tbl_Production[Job Number],0),MATCH(IFERROR(A7+0,A7),tbl_Production[Job Number],0)))="","",INDEX(tbl_Production[Notes],IFERROR(MATCH(A7&amp;"",tbl_Production[Job Number],0),MATCH(IFERROR(A7+0,A7),tbl_Production[Job Number],0)))),IFERROR(IF(INDEX(tbl_Consulting[Notes],IFERROR(MATCH(A7&amp;"",tbl_Consulting[Job Number],0),MATCH(IFERROR(A7+0,A7),tbl_Consulting[Job Number],0)))="","",INDEX(tbl_Consulting[Notes],IFERROR(MATCH(A7&amp;"",tbl_Consulting[Job Number],0),MATCH(IFERROR(A7+0,A7),tbl_Consulting[Job Number],0)))),""))))</f>
        <v/>
      </c>
    </row>
    <row r="8" ht="15" customHeight="1">
      <c r="A8" s="22" t="n"/>
      <c r="B8" s="22" t="n"/>
      <c r="C8" s="23" t="n"/>
      <c r="D8" s="22" t="n"/>
      <c r="E8" s="24" t="n"/>
      <c r="F8" s="25">
        <f>IF(C8="","",EOMONTH(C8,0))</f>
        <v/>
      </c>
      <c r="G8" s="26">
        <f>IF(A8="","",IF(COUNTIF(tbl_Onsite[Job Number],A8&amp;"")&gt;0,"Onsite",IF(COUNTIF(tbl_Production[Job Number],A8&amp;"")&gt;0,"Production",IF(COUNTIF(tbl_Consulting[Job Number],A8&amp;"")&gt;0,"Consulting","not set up yet"))))</f>
        <v/>
      </c>
      <c r="H8" s="26">
        <f>IF(A8="","",IF(COUNTIF(lst_Jobs,A8&amp;"")&gt;0,"OK","CHECK"))</f>
        <v/>
      </c>
      <c r="I8" s="26">
        <f>IF(A8="","",IFERROR(INDEX(lst_JobName,MATCH(A8&amp;"",lst_Jobs,0)),""))</f>
        <v/>
      </c>
      <c r="J8" s="26">
        <f>IF(A8="","",IFERROR(IF(INDEX(tbl_Onsite[Client],IFERROR(MATCH(A8&amp;"",tbl_Onsite[Job Number],0),MATCH(IFERROR(A8+0,A8),tbl_Onsite[Job Number],0)))="","",INDEX(tbl_Onsite[Client],IFERROR(MATCH(A8&amp;"",tbl_Onsite[Job Number],0),MATCH(IFERROR(A8+0,A8),tbl_Onsite[Job Number],0)))),IFERROR(IF(INDEX(tbl_Production[Client],IFERROR(MATCH(A8&amp;"",tbl_Production[Job Number],0),MATCH(IFERROR(A8+0,A8),tbl_Production[Job Number],0)))="","",INDEX(tbl_Production[Client],IFERROR(MATCH(A8&amp;"",tbl_Production[Job Number],0),MATCH(IFERROR(A8+0,A8),tbl_Production[Job Number],0)))),IFERROR(IF(INDEX(tbl_Consulting[Client],IFERROR(MATCH(A8&amp;"",tbl_Consulting[Job Number],0),MATCH(IFERROR(A8+0,A8),tbl_Consulting[Job Number],0)))="","",INDEX(tbl_Consulting[Client],IFERROR(MATCH(A8&amp;"",tbl_Consulting[Job Number],0),MATCH(IFERROR(A8+0,A8),tbl_Consulting[Job Number],0)))),""))))</f>
        <v/>
      </c>
      <c r="K8" s="26">
        <f>IF(A8="","",IFERROR(IF(INDEX(tbl_Onsite[Job Description],IFERROR(MATCH(A8&amp;"",tbl_Onsite[Job Number],0),MATCH(IFERROR(A8+0,A8),tbl_Onsite[Job Number],0)))="","",INDEX(tbl_Onsite[Job Description],IFERROR(MATCH(A8&amp;"",tbl_Onsite[Job Number],0),MATCH(IFERROR(A8+0,A8),tbl_Onsite[Job Number],0)))),IFERROR(IF(INDEX(tbl_Production[Job Description],IFERROR(MATCH(A8&amp;"",tbl_Production[Job Number],0),MATCH(IFERROR(A8+0,A8),tbl_Production[Job Number],0)))="","",INDEX(tbl_Production[Job Description],IFERROR(MATCH(A8&amp;"",tbl_Production[Job Number],0),MATCH(IFERROR(A8+0,A8),tbl_Production[Job Number],0)))),IFERROR(IF(INDEX(tbl_Consulting[Job Description],IFERROR(MATCH(A8&amp;"",tbl_Consulting[Job Number],0),MATCH(IFERROR(A8+0,A8),tbl_Consulting[Job Number],0)))="","",INDEX(tbl_Consulting[Job Description],IFERROR(MATCH(A8&amp;"",tbl_Consulting[Job Number],0),MATCH(IFERROR(A8+0,A8),tbl_Consulting[Job Number],0)))),""))))</f>
        <v/>
      </c>
      <c r="L8" s="26">
        <f>IF(A8="","",IFERROR(IF(INDEX(tbl_Onsite[Invoice Type],IFERROR(MATCH(A8&amp;"",tbl_Onsite[Job Number],0),MATCH(IFERROR(A8+0,A8),tbl_Onsite[Job Number],0)))="","",INDEX(tbl_Onsite[Invoice Type],IFERROR(MATCH(A8&amp;"",tbl_Onsite[Job Number],0),MATCH(IFERROR(A8+0,A8),tbl_Onsite[Job Number],0)))),IFERROR(IF(INDEX(tbl_Production[Invoice Type],IFERROR(MATCH(A8&amp;"",tbl_Production[Job Number],0),MATCH(IFERROR(A8+0,A8),tbl_Production[Job Number],0)))="","",INDEX(tbl_Production[Invoice Type],IFERROR(MATCH(A8&amp;"",tbl_Production[Job Number],0),MATCH(IFERROR(A8+0,A8),tbl_Production[Job Number],0)))),IFERROR(IF(INDEX(tbl_Consulting[Invoice Type],IFERROR(MATCH(A8&amp;"",tbl_Consulting[Job Number],0),MATCH(IFERROR(A8+0,A8),tbl_Consulting[Job Number],0)))="","",INDEX(tbl_Consulting[Invoice Type],IFERROR(MATCH(A8&amp;"",tbl_Consulting[Job Number],0),MATCH(IFERROR(A8+0,A8),tbl_Consulting[Job Number],0)))),""))))</f>
        <v/>
      </c>
      <c r="M8" s="26">
        <f>IF(A8="","",IF(IFERROR(IF(INDEX(tbl_Onsite[Tax Code],IFERROR(MATCH(A8&amp;"",tbl_Onsite[Job Number],0),MATCH(IFERROR(A8+0,A8),tbl_Onsite[Job Number],0)))="","",INDEX(tbl_Onsite[Tax Code],IFERROR(MATCH(A8&amp;"",tbl_Onsite[Job Number],0),MATCH(IFERROR(A8+0,A8),tbl_Onsite[Job Number],0)))),IFERROR(IF(INDEX(tbl_Production[Tax Code],IFERROR(MATCH(A8&amp;"",tbl_Production[Job Number],0),MATCH(IFERROR(A8+0,A8),tbl_Production[Job Number],0)))="","",INDEX(tbl_Production[Tax Code],IFERROR(MATCH(A8&amp;"",tbl_Production[Job Number],0),MATCH(IFERROR(A8+0,A8),tbl_Production[Job Number],0)))),IFERROR(IF(INDEX(tbl_Consulting[Tax Code],IFERROR(MATCH(A8&amp;"",tbl_Consulting[Job Number],0),MATCH(IFERROR(A8+0,A8),tbl_Consulting[Job Number],0)))="","",INDEX(tbl_Consulting[Tax Code],IFERROR(MATCH(A8&amp;"",tbl_Consulting[Job Number],0),MATCH(IFERROR(A8+0,A8),tbl_Consulting[Job Number],0)))),"")))="","GST 10%",IFERROR(IF(INDEX(tbl_Onsite[Tax Code],IFERROR(MATCH(A8&amp;"",tbl_Onsite[Job Number],0),MATCH(IFERROR(A8+0,A8),tbl_Onsite[Job Number],0)))="","",INDEX(tbl_Onsite[Tax Code],IFERROR(MATCH(A8&amp;"",tbl_Onsite[Job Number],0),MATCH(IFERROR(A8+0,A8),tbl_Onsite[Job Number],0)))),IFERROR(IF(INDEX(tbl_Production[Tax Code],IFERROR(MATCH(A8&amp;"",tbl_Production[Job Number],0),MATCH(IFERROR(A8+0,A8),tbl_Production[Job Number],0)))="","",INDEX(tbl_Production[Tax Code],IFERROR(MATCH(A8&amp;"",tbl_Production[Job Number],0),MATCH(IFERROR(A8+0,A8),tbl_Production[Job Number],0)))),IFERROR(IF(INDEX(tbl_Consulting[Tax Code],IFERROR(MATCH(A8&amp;"",tbl_Consulting[Job Number],0),MATCH(IFERROR(A8+0,A8),tbl_Consulting[Job Number],0)))="","",INDEX(tbl_Consulting[Tax Code],IFERROR(MATCH(A8&amp;"",tbl_Consulting[Job Number],0),MATCH(IFERROR(A8+0,A8),tbl_Consulting[Job Number],0)))),"")))))</f>
        <v/>
      </c>
      <c r="N8" s="26">
        <f>IF(D8="","",IFERROR(INDEX(lst_CCtoGL,MATCH(D8,lst_CCforGL,0)),""))</f>
        <v/>
      </c>
      <c r="O8" s="27">
        <f>IF(E8="","",IF(M8="GST 10%",ROUND(E8*set_GSTRate,2),0))</f>
        <v/>
      </c>
      <c r="P8" s="27">
        <f>IF(E8="","",E8+O8)</f>
        <v/>
      </c>
      <c r="Q8" s="27">
        <f>IF(A8="","",IFERROR(INDEX(tbl_Onsite[Expected Revenue Ex GST],IFERROR(MATCH(A8&amp;"",tbl_Onsite[Job Number],0),MATCH(IFERROR(A8+0,A8),tbl_Onsite[Job Number],0))),IFERROR(INDEX(tbl_Production[Expected Revenue Ex GST],IFERROR(MATCH(A8&amp;"",tbl_Production[Job Number],0),MATCH(IFERROR(A8+0,A8),tbl_Production[Job Number],0))),IFERROR(INDEX(tbl_Consulting[Expected Revenue Ex GST],IFERROR(MATCH(A8&amp;"",tbl_Consulting[Job Number],0),MATCH(IFERROR(A8+0,A8),tbl_Consulting[Job Number],0))),0))))</f>
        <v/>
      </c>
      <c r="R8" s="27">
        <f>IF(A8="","",SUMIFS(tbl_Finance[Ex GST],tbl_Finance[Job Number],A8&amp;""))</f>
        <v/>
      </c>
      <c r="S8" s="27">
        <f>IF(A8="","",Q8-R8)</f>
        <v/>
      </c>
      <c r="T8" s="26">
        <f>IF(A8="","",IF(Q8=0,"No dept value",IF(ROUND(S8,2)=0,"Agrees",IF(S8&gt;0,"Dept higher - to invoice","Xero higher - check dept"))))</f>
        <v/>
      </c>
      <c r="U8" s="22" t="n"/>
      <c r="V8" s="22" t="n"/>
      <c r="W8" s="23" t="n"/>
      <c r="X8" s="23" t="n"/>
      <c r="Y8" s="22" t="n"/>
      <c r="Z8" s="22" t="n"/>
      <c r="AA8" s="26">
        <f>IF(COUNTA(C8,A8,B8,E8)=0,"",IF(C8="","No date - sits outside every month",IF(A8="","No job number",IF(H8="CHECK","Job number is not in the Xero job list",IF(G8="not set up yet","No department has set this job up - nothing can pull through",IF(D8="","No cost centre",IF(AND(U8="Y",B8=""),"Marked posted to Xero but has no invoice number",IF(N8="","Cost centre has no revenue GL on the Lists sheet",IF(T8="Xero higher - check dept","Invoiced more than the department says the job is worth","")))))))))</f>
        <v/>
      </c>
      <c r="AB8" s="28">
        <f>IF(A8="","",COUNTIFS(tbl_Finance[Job Number],A8&amp;"",tbl_Finance[Ex GST],"&lt;&gt;"))</f>
        <v/>
      </c>
      <c r="AC8" s="27">
        <f>IF(A8="","",SUMIFS(tbl_Finance[Ex GST],tbl_Finance[Job Number],A8&amp;""))</f>
        <v/>
      </c>
      <c r="AD8" s="27">
        <f>IF(A8="","",SUMIFS(tbl_Finance[Ex GST],tbl_Finance[Job Number],A8&amp;"",tbl_Finance[Xero Invoice No],"&lt;&gt;"))</f>
        <v/>
      </c>
      <c r="AE8" s="27">
        <f>IF(A8="","",AC8-AD8)</f>
        <v/>
      </c>
      <c r="AF8" s="26">
        <f>IF(A8="","",IFERROR(IF(INDEX(tbl_Onsite[Qwilr Quote],IFERROR(MATCH(A8&amp;"",tbl_Onsite[Job Number],0),MATCH(IFERROR(A8+0,A8),tbl_Onsite[Job Number],0)))="","",INDEX(tbl_Onsite[Qwilr Quote],IFERROR(MATCH(A8&amp;"",tbl_Onsite[Job Number],0),MATCH(IFERROR(A8+0,A8),tbl_Onsite[Job Number],0)))),IFERROR(IF(IF(INDEX(tbl_Production[Current RMS No],IFERROR(MATCH(A8&amp;"",tbl_Production[Job Number],0),MATCH(IFERROR(A8+0,A8),tbl_Production[Job Number],0)))="",INDEX(tbl_Production[Qwilr Quote],IFERROR(MATCH(A8&amp;"",tbl_Production[Job Number],0),MATCH(IFERROR(A8+0,A8),tbl_Production[Job Number],0))),INDEX(tbl_Production[Current RMS No],IFERROR(MATCH(A8&amp;"",tbl_Production[Job Number],0),MATCH(IFERROR(A8+0,A8),tbl_Production[Job Number],0))))="","",IF(INDEX(tbl_Production[Current RMS No],IFERROR(MATCH(A8&amp;"",tbl_Production[Job Number],0),MATCH(IFERROR(A8+0,A8),tbl_Production[Job Number],0)))="",INDEX(tbl_Production[Qwilr Quote],IFERROR(MATCH(A8&amp;"",tbl_Production[Job Number],0),MATCH(IFERROR(A8+0,A8),tbl_Production[Job Number],0))),INDEX(tbl_Production[Current RMS No],IFERROR(MATCH(A8&amp;"",tbl_Production[Job Number],0),MATCH(IFERROR(A8+0,A8),tbl_Production[Job Number],0))))),IFERROR(IF(INDEX(tbl_Consulting[Qwilr Quote],IFERROR(MATCH(A8&amp;"",tbl_Consulting[Job Number],0),MATCH(IFERROR(A8+0,A8),tbl_Consulting[Job Number],0)))="","",INDEX(tbl_Consulting[Qwilr Quote],IFERROR(MATCH(A8&amp;"",tbl_Consulting[Job Number],0),MATCH(IFERROR(A8+0,A8),tbl_Consulting[Job Number],0)))),""))))</f>
        <v/>
      </c>
      <c r="AG8" s="26">
        <f>IF(AF8="","",IF(AND(LEFT(AF8,4)&lt;&gt;"http",IF(G8="Production",set_RMSBase,set_QwilrBase)=""),"",HYPERLINK(IF(LEFT(AF8,4)="http",AF8,IF(G8="Production",set_RMSBase,set_QwilrBase)&amp;AF8),"Open")))</f>
        <v/>
      </c>
      <c r="AH8" s="27">
        <f>IF(A8="","",IFERROR(INDEX(tbl_Production[Total Expense],IFERROR(MATCH(A8&amp;"",tbl_Production[Job Number],0),MATCH(IFERROR(A8+0,A8),tbl_Production[Job Number],0))),IFERROR(INDEX(tbl_Consulting[Total Expense],IFERROR(MATCH(A8&amp;"",tbl_Consulting[Job Number],0),MATCH(IFERROR(A8+0,A8),tbl_Consulting[Job Number],0))),0)))</f>
        <v/>
      </c>
      <c r="AI8" s="27">
        <f>IF(A8="","",AC8-N(AH8))</f>
        <v/>
      </c>
      <c r="AJ8" s="29">
        <f>IFERROR(AI8/AC8,"")</f>
        <v/>
      </c>
      <c r="AK8" s="26">
        <f>IF(A8="","",IFERROR(IF(INDEX(tbl_Onsite[Notes],IFERROR(MATCH(A8&amp;"",tbl_Onsite[Job Number],0),MATCH(IFERROR(A8+0,A8),tbl_Onsite[Job Number],0)))="","",INDEX(tbl_Onsite[Notes],IFERROR(MATCH(A8&amp;"",tbl_Onsite[Job Number],0),MATCH(IFERROR(A8+0,A8),tbl_Onsite[Job Number],0)))),IFERROR(IF(INDEX(tbl_Production[Notes],IFERROR(MATCH(A8&amp;"",tbl_Production[Job Number],0),MATCH(IFERROR(A8+0,A8),tbl_Production[Job Number],0)))="","",INDEX(tbl_Production[Notes],IFERROR(MATCH(A8&amp;"",tbl_Production[Job Number],0),MATCH(IFERROR(A8+0,A8),tbl_Production[Job Number],0)))),IFERROR(IF(INDEX(tbl_Consulting[Notes],IFERROR(MATCH(A8&amp;"",tbl_Consulting[Job Number],0),MATCH(IFERROR(A8+0,A8),tbl_Consulting[Job Number],0)))="","",INDEX(tbl_Consulting[Notes],IFERROR(MATCH(A8&amp;"",tbl_Consulting[Job Number],0),MATCH(IFERROR(A8+0,A8),tbl_Consulting[Job Number],0)))),""))))</f>
        <v/>
      </c>
    </row>
    <row r="9" ht="15" customHeight="1">
      <c r="A9" s="22" t="n"/>
      <c r="B9" s="22" t="n"/>
      <c r="C9" s="23" t="n"/>
      <c r="D9" s="22" t="n"/>
      <c r="E9" s="24" t="n"/>
      <c r="F9" s="25">
        <f>IF(C9="","",EOMONTH(C9,0))</f>
        <v/>
      </c>
      <c r="G9" s="26">
        <f>IF(A9="","",IF(COUNTIF(tbl_Onsite[Job Number],A9&amp;"")&gt;0,"Onsite",IF(COUNTIF(tbl_Production[Job Number],A9&amp;"")&gt;0,"Production",IF(COUNTIF(tbl_Consulting[Job Number],A9&amp;"")&gt;0,"Consulting","not set up yet"))))</f>
        <v/>
      </c>
      <c r="H9" s="26">
        <f>IF(A9="","",IF(COUNTIF(lst_Jobs,A9&amp;"")&gt;0,"OK","CHECK"))</f>
        <v/>
      </c>
      <c r="I9" s="26">
        <f>IF(A9="","",IFERROR(INDEX(lst_JobName,MATCH(A9&amp;"",lst_Jobs,0)),""))</f>
        <v/>
      </c>
      <c r="J9" s="26">
        <f>IF(A9="","",IFERROR(IF(INDEX(tbl_Onsite[Client],IFERROR(MATCH(A9&amp;"",tbl_Onsite[Job Number],0),MATCH(IFERROR(A9+0,A9),tbl_Onsite[Job Number],0)))="","",INDEX(tbl_Onsite[Client],IFERROR(MATCH(A9&amp;"",tbl_Onsite[Job Number],0),MATCH(IFERROR(A9+0,A9),tbl_Onsite[Job Number],0)))),IFERROR(IF(INDEX(tbl_Production[Client],IFERROR(MATCH(A9&amp;"",tbl_Production[Job Number],0),MATCH(IFERROR(A9+0,A9),tbl_Production[Job Number],0)))="","",INDEX(tbl_Production[Client],IFERROR(MATCH(A9&amp;"",tbl_Production[Job Number],0),MATCH(IFERROR(A9+0,A9),tbl_Production[Job Number],0)))),IFERROR(IF(INDEX(tbl_Consulting[Client],IFERROR(MATCH(A9&amp;"",tbl_Consulting[Job Number],0),MATCH(IFERROR(A9+0,A9),tbl_Consulting[Job Number],0)))="","",INDEX(tbl_Consulting[Client],IFERROR(MATCH(A9&amp;"",tbl_Consulting[Job Number],0),MATCH(IFERROR(A9+0,A9),tbl_Consulting[Job Number],0)))),""))))</f>
        <v/>
      </c>
      <c r="K9" s="26">
        <f>IF(A9="","",IFERROR(IF(INDEX(tbl_Onsite[Job Description],IFERROR(MATCH(A9&amp;"",tbl_Onsite[Job Number],0),MATCH(IFERROR(A9+0,A9),tbl_Onsite[Job Number],0)))="","",INDEX(tbl_Onsite[Job Description],IFERROR(MATCH(A9&amp;"",tbl_Onsite[Job Number],0),MATCH(IFERROR(A9+0,A9),tbl_Onsite[Job Number],0)))),IFERROR(IF(INDEX(tbl_Production[Job Description],IFERROR(MATCH(A9&amp;"",tbl_Production[Job Number],0),MATCH(IFERROR(A9+0,A9),tbl_Production[Job Number],0)))="","",INDEX(tbl_Production[Job Description],IFERROR(MATCH(A9&amp;"",tbl_Production[Job Number],0),MATCH(IFERROR(A9+0,A9),tbl_Production[Job Number],0)))),IFERROR(IF(INDEX(tbl_Consulting[Job Description],IFERROR(MATCH(A9&amp;"",tbl_Consulting[Job Number],0),MATCH(IFERROR(A9+0,A9),tbl_Consulting[Job Number],0)))="","",INDEX(tbl_Consulting[Job Description],IFERROR(MATCH(A9&amp;"",tbl_Consulting[Job Number],0),MATCH(IFERROR(A9+0,A9),tbl_Consulting[Job Number],0)))),""))))</f>
        <v/>
      </c>
      <c r="L9" s="26">
        <f>IF(A9="","",IFERROR(IF(INDEX(tbl_Onsite[Invoice Type],IFERROR(MATCH(A9&amp;"",tbl_Onsite[Job Number],0),MATCH(IFERROR(A9+0,A9),tbl_Onsite[Job Number],0)))="","",INDEX(tbl_Onsite[Invoice Type],IFERROR(MATCH(A9&amp;"",tbl_Onsite[Job Number],0),MATCH(IFERROR(A9+0,A9),tbl_Onsite[Job Number],0)))),IFERROR(IF(INDEX(tbl_Production[Invoice Type],IFERROR(MATCH(A9&amp;"",tbl_Production[Job Number],0),MATCH(IFERROR(A9+0,A9),tbl_Production[Job Number],0)))="","",INDEX(tbl_Production[Invoice Type],IFERROR(MATCH(A9&amp;"",tbl_Production[Job Number],0),MATCH(IFERROR(A9+0,A9),tbl_Production[Job Number],0)))),IFERROR(IF(INDEX(tbl_Consulting[Invoice Type],IFERROR(MATCH(A9&amp;"",tbl_Consulting[Job Number],0),MATCH(IFERROR(A9+0,A9),tbl_Consulting[Job Number],0)))="","",INDEX(tbl_Consulting[Invoice Type],IFERROR(MATCH(A9&amp;"",tbl_Consulting[Job Number],0),MATCH(IFERROR(A9+0,A9),tbl_Consulting[Job Number],0)))),""))))</f>
        <v/>
      </c>
      <c r="M9" s="26">
        <f>IF(A9="","",IF(IFERROR(IF(INDEX(tbl_Onsite[Tax Code],IFERROR(MATCH(A9&amp;"",tbl_Onsite[Job Number],0),MATCH(IFERROR(A9+0,A9),tbl_Onsite[Job Number],0)))="","",INDEX(tbl_Onsite[Tax Code],IFERROR(MATCH(A9&amp;"",tbl_Onsite[Job Number],0),MATCH(IFERROR(A9+0,A9),tbl_Onsite[Job Number],0)))),IFERROR(IF(INDEX(tbl_Production[Tax Code],IFERROR(MATCH(A9&amp;"",tbl_Production[Job Number],0),MATCH(IFERROR(A9+0,A9),tbl_Production[Job Number],0)))="","",INDEX(tbl_Production[Tax Code],IFERROR(MATCH(A9&amp;"",tbl_Production[Job Number],0),MATCH(IFERROR(A9+0,A9),tbl_Production[Job Number],0)))),IFERROR(IF(INDEX(tbl_Consulting[Tax Code],IFERROR(MATCH(A9&amp;"",tbl_Consulting[Job Number],0),MATCH(IFERROR(A9+0,A9),tbl_Consulting[Job Number],0)))="","",INDEX(tbl_Consulting[Tax Code],IFERROR(MATCH(A9&amp;"",tbl_Consulting[Job Number],0),MATCH(IFERROR(A9+0,A9),tbl_Consulting[Job Number],0)))),"")))="","GST 10%",IFERROR(IF(INDEX(tbl_Onsite[Tax Code],IFERROR(MATCH(A9&amp;"",tbl_Onsite[Job Number],0),MATCH(IFERROR(A9+0,A9),tbl_Onsite[Job Number],0)))="","",INDEX(tbl_Onsite[Tax Code],IFERROR(MATCH(A9&amp;"",tbl_Onsite[Job Number],0),MATCH(IFERROR(A9+0,A9),tbl_Onsite[Job Number],0)))),IFERROR(IF(INDEX(tbl_Production[Tax Code],IFERROR(MATCH(A9&amp;"",tbl_Production[Job Number],0),MATCH(IFERROR(A9+0,A9),tbl_Production[Job Number],0)))="","",INDEX(tbl_Production[Tax Code],IFERROR(MATCH(A9&amp;"",tbl_Production[Job Number],0),MATCH(IFERROR(A9+0,A9),tbl_Production[Job Number],0)))),IFERROR(IF(INDEX(tbl_Consulting[Tax Code],IFERROR(MATCH(A9&amp;"",tbl_Consulting[Job Number],0),MATCH(IFERROR(A9+0,A9),tbl_Consulting[Job Number],0)))="","",INDEX(tbl_Consulting[Tax Code],IFERROR(MATCH(A9&amp;"",tbl_Consulting[Job Number],0),MATCH(IFERROR(A9+0,A9),tbl_Consulting[Job Number],0)))),"")))))</f>
        <v/>
      </c>
      <c r="N9" s="26">
        <f>IF(D9="","",IFERROR(INDEX(lst_CCtoGL,MATCH(D9,lst_CCforGL,0)),""))</f>
        <v/>
      </c>
      <c r="O9" s="27">
        <f>IF(E9="","",IF(M9="GST 10%",ROUND(E9*set_GSTRate,2),0))</f>
        <v/>
      </c>
      <c r="P9" s="27">
        <f>IF(E9="","",E9+O9)</f>
        <v/>
      </c>
      <c r="Q9" s="27">
        <f>IF(A9="","",IFERROR(INDEX(tbl_Onsite[Expected Revenue Ex GST],IFERROR(MATCH(A9&amp;"",tbl_Onsite[Job Number],0),MATCH(IFERROR(A9+0,A9),tbl_Onsite[Job Number],0))),IFERROR(INDEX(tbl_Production[Expected Revenue Ex GST],IFERROR(MATCH(A9&amp;"",tbl_Production[Job Number],0),MATCH(IFERROR(A9+0,A9),tbl_Production[Job Number],0))),IFERROR(INDEX(tbl_Consulting[Expected Revenue Ex GST],IFERROR(MATCH(A9&amp;"",tbl_Consulting[Job Number],0),MATCH(IFERROR(A9+0,A9),tbl_Consulting[Job Number],0))),0))))</f>
        <v/>
      </c>
      <c r="R9" s="27">
        <f>IF(A9="","",SUMIFS(tbl_Finance[Ex GST],tbl_Finance[Job Number],A9&amp;""))</f>
        <v/>
      </c>
      <c r="S9" s="27">
        <f>IF(A9="","",Q9-R9)</f>
        <v/>
      </c>
      <c r="T9" s="26">
        <f>IF(A9="","",IF(Q9=0,"No dept value",IF(ROUND(S9,2)=0,"Agrees",IF(S9&gt;0,"Dept higher - to invoice","Xero higher - check dept"))))</f>
        <v/>
      </c>
      <c r="U9" s="22" t="n"/>
      <c r="V9" s="22" t="n"/>
      <c r="W9" s="23" t="n"/>
      <c r="X9" s="23" t="n"/>
      <c r="Y9" s="22" t="n"/>
      <c r="Z9" s="22" t="n"/>
      <c r="AA9" s="26">
        <f>IF(COUNTA(C9,A9,B9,E9)=0,"",IF(C9="","No date - sits outside every month",IF(A9="","No job number",IF(H9="CHECK","Job number is not in the Xero job list",IF(G9="not set up yet","No department has set this job up - nothing can pull through",IF(D9="","No cost centre",IF(AND(U9="Y",B9=""),"Marked posted to Xero but has no invoice number",IF(N9="","Cost centre has no revenue GL on the Lists sheet",IF(T9="Xero higher - check dept","Invoiced more than the department says the job is worth","")))))))))</f>
        <v/>
      </c>
      <c r="AB9" s="28">
        <f>IF(A9="","",COUNTIFS(tbl_Finance[Job Number],A9&amp;"",tbl_Finance[Ex GST],"&lt;&gt;"))</f>
        <v/>
      </c>
      <c r="AC9" s="27">
        <f>IF(A9="","",SUMIFS(tbl_Finance[Ex GST],tbl_Finance[Job Number],A9&amp;""))</f>
        <v/>
      </c>
      <c r="AD9" s="27">
        <f>IF(A9="","",SUMIFS(tbl_Finance[Ex GST],tbl_Finance[Job Number],A9&amp;"",tbl_Finance[Xero Invoice No],"&lt;&gt;"))</f>
        <v/>
      </c>
      <c r="AE9" s="27">
        <f>IF(A9="","",AC9-AD9)</f>
        <v/>
      </c>
      <c r="AF9" s="26">
        <f>IF(A9="","",IFERROR(IF(INDEX(tbl_Onsite[Qwilr Quote],IFERROR(MATCH(A9&amp;"",tbl_Onsite[Job Number],0),MATCH(IFERROR(A9+0,A9),tbl_Onsite[Job Number],0)))="","",INDEX(tbl_Onsite[Qwilr Quote],IFERROR(MATCH(A9&amp;"",tbl_Onsite[Job Number],0),MATCH(IFERROR(A9+0,A9),tbl_Onsite[Job Number],0)))),IFERROR(IF(IF(INDEX(tbl_Production[Current RMS No],IFERROR(MATCH(A9&amp;"",tbl_Production[Job Number],0),MATCH(IFERROR(A9+0,A9),tbl_Production[Job Number],0)))="",INDEX(tbl_Production[Qwilr Quote],IFERROR(MATCH(A9&amp;"",tbl_Production[Job Number],0),MATCH(IFERROR(A9+0,A9),tbl_Production[Job Number],0))),INDEX(tbl_Production[Current RMS No],IFERROR(MATCH(A9&amp;"",tbl_Production[Job Number],0),MATCH(IFERROR(A9+0,A9),tbl_Production[Job Number],0))))="","",IF(INDEX(tbl_Production[Current RMS No],IFERROR(MATCH(A9&amp;"",tbl_Production[Job Number],0),MATCH(IFERROR(A9+0,A9),tbl_Production[Job Number],0)))="",INDEX(tbl_Production[Qwilr Quote],IFERROR(MATCH(A9&amp;"",tbl_Production[Job Number],0),MATCH(IFERROR(A9+0,A9),tbl_Production[Job Number],0))),INDEX(tbl_Production[Current RMS No],IFERROR(MATCH(A9&amp;"",tbl_Production[Job Number],0),MATCH(IFERROR(A9+0,A9),tbl_Production[Job Number],0))))),IFERROR(IF(INDEX(tbl_Consulting[Qwilr Quote],IFERROR(MATCH(A9&amp;"",tbl_Consulting[Job Number],0),MATCH(IFERROR(A9+0,A9),tbl_Consulting[Job Number],0)))="","",INDEX(tbl_Consulting[Qwilr Quote],IFERROR(MATCH(A9&amp;"",tbl_Consulting[Job Number],0),MATCH(IFERROR(A9+0,A9),tbl_Consulting[Job Number],0)))),""))))</f>
        <v/>
      </c>
      <c r="AG9" s="26">
        <f>IF(AF9="","",IF(AND(LEFT(AF9,4)&lt;&gt;"http",IF(G9="Production",set_RMSBase,set_QwilrBase)=""),"",HYPERLINK(IF(LEFT(AF9,4)="http",AF9,IF(G9="Production",set_RMSBase,set_QwilrBase)&amp;AF9),"Open")))</f>
        <v/>
      </c>
      <c r="AH9" s="27">
        <f>IF(A9="","",IFERROR(INDEX(tbl_Production[Total Expense],IFERROR(MATCH(A9&amp;"",tbl_Production[Job Number],0),MATCH(IFERROR(A9+0,A9),tbl_Production[Job Number],0))),IFERROR(INDEX(tbl_Consulting[Total Expense],IFERROR(MATCH(A9&amp;"",tbl_Consulting[Job Number],0),MATCH(IFERROR(A9+0,A9),tbl_Consulting[Job Number],0))),0)))</f>
        <v/>
      </c>
      <c r="AI9" s="27">
        <f>IF(A9="","",AC9-N(AH9))</f>
        <v/>
      </c>
      <c r="AJ9" s="29">
        <f>IFERROR(AI9/AC9,"")</f>
        <v/>
      </c>
      <c r="AK9" s="26">
        <f>IF(A9="","",IFERROR(IF(INDEX(tbl_Onsite[Notes],IFERROR(MATCH(A9&amp;"",tbl_Onsite[Job Number],0),MATCH(IFERROR(A9+0,A9),tbl_Onsite[Job Number],0)))="","",INDEX(tbl_Onsite[Notes],IFERROR(MATCH(A9&amp;"",tbl_Onsite[Job Number],0),MATCH(IFERROR(A9+0,A9),tbl_Onsite[Job Number],0)))),IFERROR(IF(INDEX(tbl_Production[Notes],IFERROR(MATCH(A9&amp;"",tbl_Production[Job Number],0),MATCH(IFERROR(A9+0,A9),tbl_Production[Job Number],0)))="","",INDEX(tbl_Production[Notes],IFERROR(MATCH(A9&amp;"",tbl_Production[Job Number],0),MATCH(IFERROR(A9+0,A9),tbl_Production[Job Number],0)))),IFERROR(IF(INDEX(tbl_Consulting[Notes],IFERROR(MATCH(A9&amp;"",tbl_Consulting[Job Number],0),MATCH(IFERROR(A9+0,A9),tbl_Consulting[Job Number],0)))="","",INDEX(tbl_Consulting[Notes],IFERROR(MATCH(A9&amp;"",tbl_Consulting[Job Number],0),MATCH(IFERROR(A9+0,A9),tbl_Consulting[Job Number],0)))),""))))</f>
        <v/>
      </c>
    </row>
    <row r="10" ht="15" customHeight="1">
      <c r="A10" s="22" t="n"/>
      <c r="B10" s="22" t="n"/>
      <c r="C10" s="23" t="n"/>
      <c r="D10" s="22" t="n"/>
      <c r="E10" s="24" t="n"/>
      <c r="F10" s="25">
        <f>IF(C10="","",EOMONTH(C10,0))</f>
        <v/>
      </c>
      <c r="G10" s="26">
        <f>IF(A10="","",IF(COUNTIF(tbl_Onsite[Job Number],A10&amp;"")&gt;0,"Onsite",IF(COUNTIF(tbl_Production[Job Number],A10&amp;"")&gt;0,"Production",IF(COUNTIF(tbl_Consulting[Job Number],A10&amp;"")&gt;0,"Consulting","not set up yet"))))</f>
        <v/>
      </c>
      <c r="H10" s="26">
        <f>IF(A10="","",IF(COUNTIF(lst_Jobs,A10&amp;"")&gt;0,"OK","CHECK"))</f>
        <v/>
      </c>
      <c r="I10" s="26">
        <f>IF(A10="","",IFERROR(INDEX(lst_JobName,MATCH(A10&amp;"",lst_Jobs,0)),""))</f>
        <v/>
      </c>
      <c r="J10" s="26">
        <f>IF(A10="","",IFERROR(IF(INDEX(tbl_Onsite[Client],IFERROR(MATCH(A10&amp;"",tbl_Onsite[Job Number],0),MATCH(IFERROR(A10+0,A10),tbl_Onsite[Job Number],0)))="","",INDEX(tbl_Onsite[Client],IFERROR(MATCH(A10&amp;"",tbl_Onsite[Job Number],0),MATCH(IFERROR(A10+0,A10),tbl_Onsite[Job Number],0)))),IFERROR(IF(INDEX(tbl_Production[Client],IFERROR(MATCH(A10&amp;"",tbl_Production[Job Number],0),MATCH(IFERROR(A10+0,A10),tbl_Production[Job Number],0)))="","",INDEX(tbl_Production[Client],IFERROR(MATCH(A10&amp;"",tbl_Production[Job Number],0),MATCH(IFERROR(A10+0,A10),tbl_Production[Job Number],0)))),IFERROR(IF(INDEX(tbl_Consulting[Client],IFERROR(MATCH(A10&amp;"",tbl_Consulting[Job Number],0),MATCH(IFERROR(A10+0,A10),tbl_Consulting[Job Number],0)))="","",INDEX(tbl_Consulting[Client],IFERROR(MATCH(A10&amp;"",tbl_Consulting[Job Number],0),MATCH(IFERROR(A10+0,A10),tbl_Consulting[Job Number],0)))),""))))</f>
        <v/>
      </c>
      <c r="K10" s="26">
        <f>IF(A10="","",IFERROR(IF(INDEX(tbl_Onsite[Job Description],IFERROR(MATCH(A10&amp;"",tbl_Onsite[Job Number],0),MATCH(IFERROR(A10+0,A10),tbl_Onsite[Job Number],0)))="","",INDEX(tbl_Onsite[Job Description],IFERROR(MATCH(A10&amp;"",tbl_Onsite[Job Number],0),MATCH(IFERROR(A10+0,A10),tbl_Onsite[Job Number],0)))),IFERROR(IF(INDEX(tbl_Production[Job Description],IFERROR(MATCH(A10&amp;"",tbl_Production[Job Number],0),MATCH(IFERROR(A10+0,A10),tbl_Production[Job Number],0)))="","",INDEX(tbl_Production[Job Description],IFERROR(MATCH(A10&amp;"",tbl_Production[Job Number],0),MATCH(IFERROR(A10+0,A10),tbl_Production[Job Number],0)))),IFERROR(IF(INDEX(tbl_Consulting[Job Description],IFERROR(MATCH(A10&amp;"",tbl_Consulting[Job Number],0),MATCH(IFERROR(A10+0,A10),tbl_Consulting[Job Number],0)))="","",INDEX(tbl_Consulting[Job Description],IFERROR(MATCH(A10&amp;"",tbl_Consulting[Job Number],0),MATCH(IFERROR(A10+0,A10),tbl_Consulting[Job Number],0)))),""))))</f>
        <v/>
      </c>
      <c r="L10" s="26">
        <f>IF(A10="","",IFERROR(IF(INDEX(tbl_Onsite[Invoice Type],IFERROR(MATCH(A10&amp;"",tbl_Onsite[Job Number],0),MATCH(IFERROR(A10+0,A10),tbl_Onsite[Job Number],0)))="","",INDEX(tbl_Onsite[Invoice Type],IFERROR(MATCH(A10&amp;"",tbl_Onsite[Job Number],0),MATCH(IFERROR(A10+0,A10),tbl_Onsite[Job Number],0)))),IFERROR(IF(INDEX(tbl_Production[Invoice Type],IFERROR(MATCH(A10&amp;"",tbl_Production[Job Number],0),MATCH(IFERROR(A10+0,A10),tbl_Production[Job Number],0)))="","",INDEX(tbl_Production[Invoice Type],IFERROR(MATCH(A10&amp;"",tbl_Production[Job Number],0),MATCH(IFERROR(A10+0,A10),tbl_Production[Job Number],0)))),IFERROR(IF(INDEX(tbl_Consulting[Invoice Type],IFERROR(MATCH(A10&amp;"",tbl_Consulting[Job Number],0),MATCH(IFERROR(A10+0,A10),tbl_Consulting[Job Number],0)))="","",INDEX(tbl_Consulting[Invoice Type],IFERROR(MATCH(A10&amp;"",tbl_Consulting[Job Number],0),MATCH(IFERROR(A10+0,A10),tbl_Consulting[Job Number],0)))),""))))</f>
        <v/>
      </c>
      <c r="M10" s="26">
        <f>IF(A10="","",IF(IFERROR(IF(INDEX(tbl_Onsite[Tax Code],IFERROR(MATCH(A10&amp;"",tbl_Onsite[Job Number],0),MATCH(IFERROR(A10+0,A10),tbl_Onsite[Job Number],0)))="","",INDEX(tbl_Onsite[Tax Code],IFERROR(MATCH(A10&amp;"",tbl_Onsite[Job Number],0),MATCH(IFERROR(A10+0,A10),tbl_Onsite[Job Number],0)))),IFERROR(IF(INDEX(tbl_Production[Tax Code],IFERROR(MATCH(A10&amp;"",tbl_Production[Job Number],0),MATCH(IFERROR(A10+0,A10),tbl_Production[Job Number],0)))="","",INDEX(tbl_Production[Tax Code],IFERROR(MATCH(A10&amp;"",tbl_Production[Job Number],0),MATCH(IFERROR(A10+0,A10),tbl_Production[Job Number],0)))),IFERROR(IF(INDEX(tbl_Consulting[Tax Code],IFERROR(MATCH(A10&amp;"",tbl_Consulting[Job Number],0),MATCH(IFERROR(A10+0,A10),tbl_Consulting[Job Number],0)))="","",INDEX(tbl_Consulting[Tax Code],IFERROR(MATCH(A10&amp;"",tbl_Consulting[Job Number],0),MATCH(IFERROR(A10+0,A10),tbl_Consulting[Job Number],0)))),"")))="","GST 10%",IFERROR(IF(INDEX(tbl_Onsite[Tax Code],IFERROR(MATCH(A10&amp;"",tbl_Onsite[Job Number],0),MATCH(IFERROR(A10+0,A10),tbl_Onsite[Job Number],0)))="","",INDEX(tbl_Onsite[Tax Code],IFERROR(MATCH(A10&amp;"",tbl_Onsite[Job Number],0),MATCH(IFERROR(A10+0,A10),tbl_Onsite[Job Number],0)))),IFERROR(IF(INDEX(tbl_Production[Tax Code],IFERROR(MATCH(A10&amp;"",tbl_Production[Job Number],0),MATCH(IFERROR(A10+0,A10),tbl_Production[Job Number],0)))="","",INDEX(tbl_Production[Tax Code],IFERROR(MATCH(A10&amp;"",tbl_Production[Job Number],0),MATCH(IFERROR(A10+0,A10),tbl_Production[Job Number],0)))),IFERROR(IF(INDEX(tbl_Consulting[Tax Code],IFERROR(MATCH(A10&amp;"",tbl_Consulting[Job Number],0),MATCH(IFERROR(A10+0,A10),tbl_Consulting[Job Number],0)))="","",INDEX(tbl_Consulting[Tax Code],IFERROR(MATCH(A10&amp;"",tbl_Consulting[Job Number],0),MATCH(IFERROR(A10+0,A10),tbl_Consulting[Job Number],0)))),"")))))</f>
        <v/>
      </c>
      <c r="N10" s="26">
        <f>IF(D10="","",IFERROR(INDEX(lst_CCtoGL,MATCH(D10,lst_CCforGL,0)),""))</f>
        <v/>
      </c>
      <c r="O10" s="27">
        <f>IF(E10="","",IF(M10="GST 10%",ROUND(E10*set_GSTRate,2),0))</f>
        <v/>
      </c>
      <c r="P10" s="27">
        <f>IF(E10="","",E10+O10)</f>
        <v/>
      </c>
      <c r="Q10" s="27">
        <f>IF(A10="","",IFERROR(INDEX(tbl_Onsite[Expected Revenue Ex GST],IFERROR(MATCH(A10&amp;"",tbl_Onsite[Job Number],0),MATCH(IFERROR(A10+0,A10),tbl_Onsite[Job Number],0))),IFERROR(INDEX(tbl_Production[Expected Revenue Ex GST],IFERROR(MATCH(A10&amp;"",tbl_Production[Job Number],0),MATCH(IFERROR(A10+0,A10),tbl_Production[Job Number],0))),IFERROR(INDEX(tbl_Consulting[Expected Revenue Ex GST],IFERROR(MATCH(A10&amp;"",tbl_Consulting[Job Number],0),MATCH(IFERROR(A10+0,A10),tbl_Consulting[Job Number],0))),0))))</f>
        <v/>
      </c>
      <c r="R10" s="27">
        <f>IF(A10="","",SUMIFS(tbl_Finance[Ex GST],tbl_Finance[Job Number],A10&amp;""))</f>
        <v/>
      </c>
      <c r="S10" s="27">
        <f>IF(A10="","",Q10-R10)</f>
        <v/>
      </c>
      <c r="T10" s="26">
        <f>IF(A10="","",IF(Q10=0,"No dept value",IF(ROUND(S10,2)=0,"Agrees",IF(S10&gt;0,"Dept higher - to invoice","Xero higher - check dept"))))</f>
        <v/>
      </c>
      <c r="U10" s="22" t="n"/>
      <c r="V10" s="22" t="n"/>
      <c r="W10" s="23" t="n"/>
      <c r="X10" s="23" t="n"/>
      <c r="Y10" s="22" t="n"/>
      <c r="Z10" s="22" t="n"/>
      <c r="AA10" s="26">
        <f>IF(COUNTA(C10,A10,B10,E10)=0,"",IF(C10="","No date - sits outside every month",IF(A10="","No job number",IF(H10="CHECK","Job number is not in the Xero job list",IF(G10="not set up yet","No department has set this job up - nothing can pull through",IF(D10="","No cost centre",IF(AND(U10="Y",B10=""),"Marked posted to Xero but has no invoice number",IF(N10="","Cost centre has no revenue GL on the Lists sheet",IF(T10="Xero higher - check dept","Invoiced more than the department says the job is worth","")))))))))</f>
        <v/>
      </c>
      <c r="AB10" s="28">
        <f>IF(A10="","",COUNTIFS(tbl_Finance[Job Number],A10&amp;"",tbl_Finance[Ex GST],"&lt;&gt;"))</f>
        <v/>
      </c>
      <c r="AC10" s="27">
        <f>IF(A10="","",SUMIFS(tbl_Finance[Ex GST],tbl_Finance[Job Number],A10&amp;""))</f>
        <v/>
      </c>
      <c r="AD10" s="27">
        <f>IF(A10="","",SUMIFS(tbl_Finance[Ex GST],tbl_Finance[Job Number],A10&amp;"",tbl_Finance[Xero Invoice No],"&lt;&gt;"))</f>
        <v/>
      </c>
      <c r="AE10" s="27">
        <f>IF(A10="","",AC10-AD10)</f>
        <v/>
      </c>
      <c r="AF10" s="26">
        <f>IF(A10="","",IFERROR(IF(INDEX(tbl_Onsite[Qwilr Quote],IFERROR(MATCH(A10&amp;"",tbl_Onsite[Job Number],0),MATCH(IFERROR(A10+0,A10),tbl_Onsite[Job Number],0)))="","",INDEX(tbl_Onsite[Qwilr Quote],IFERROR(MATCH(A10&amp;"",tbl_Onsite[Job Number],0),MATCH(IFERROR(A10+0,A10),tbl_Onsite[Job Number],0)))),IFERROR(IF(IF(INDEX(tbl_Production[Current RMS No],IFERROR(MATCH(A10&amp;"",tbl_Production[Job Number],0),MATCH(IFERROR(A10+0,A10),tbl_Production[Job Number],0)))="",INDEX(tbl_Production[Qwilr Quote],IFERROR(MATCH(A10&amp;"",tbl_Production[Job Number],0),MATCH(IFERROR(A10+0,A10),tbl_Production[Job Number],0))),INDEX(tbl_Production[Current RMS No],IFERROR(MATCH(A10&amp;"",tbl_Production[Job Number],0),MATCH(IFERROR(A10+0,A10),tbl_Production[Job Number],0))))="","",IF(INDEX(tbl_Production[Current RMS No],IFERROR(MATCH(A10&amp;"",tbl_Production[Job Number],0),MATCH(IFERROR(A10+0,A10),tbl_Production[Job Number],0)))="",INDEX(tbl_Production[Qwilr Quote],IFERROR(MATCH(A10&amp;"",tbl_Production[Job Number],0),MATCH(IFERROR(A10+0,A10),tbl_Production[Job Number],0))),INDEX(tbl_Production[Current RMS No],IFERROR(MATCH(A10&amp;"",tbl_Production[Job Number],0),MATCH(IFERROR(A10+0,A10),tbl_Production[Job Number],0))))),IFERROR(IF(INDEX(tbl_Consulting[Qwilr Quote],IFERROR(MATCH(A10&amp;"",tbl_Consulting[Job Number],0),MATCH(IFERROR(A10+0,A10),tbl_Consulting[Job Number],0)))="","",INDEX(tbl_Consulting[Qwilr Quote],IFERROR(MATCH(A10&amp;"",tbl_Consulting[Job Number],0),MATCH(IFERROR(A10+0,A10),tbl_Consulting[Job Number],0)))),""))))</f>
        <v/>
      </c>
      <c r="AG10" s="26">
        <f>IF(AF10="","",IF(AND(LEFT(AF10,4)&lt;&gt;"http",IF(G10="Production",set_RMSBase,set_QwilrBase)=""),"",HYPERLINK(IF(LEFT(AF10,4)="http",AF10,IF(G10="Production",set_RMSBase,set_QwilrBase)&amp;AF10),"Open")))</f>
        <v/>
      </c>
      <c r="AH10" s="27">
        <f>IF(A10="","",IFERROR(INDEX(tbl_Production[Total Expense],IFERROR(MATCH(A10&amp;"",tbl_Production[Job Number],0),MATCH(IFERROR(A10+0,A10),tbl_Production[Job Number],0))),IFERROR(INDEX(tbl_Consulting[Total Expense],IFERROR(MATCH(A10&amp;"",tbl_Consulting[Job Number],0),MATCH(IFERROR(A10+0,A10),tbl_Consulting[Job Number],0))),0)))</f>
        <v/>
      </c>
      <c r="AI10" s="27">
        <f>IF(A10="","",AC10-N(AH10))</f>
        <v/>
      </c>
      <c r="AJ10" s="29">
        <f>IFERROR(AI10/AC10,"")</f>
        <v/>
      </c>
      <c r="AK10" s="26">
        <f>IF(A10="","",IFERROR(IF(INDEX(tbl_Onsite[Notes],IFERROR(MATCH(A10&amp;"",tbl_Onsite[Job Number],0),MATCH(IFERROR(A10+0,A10),tbl_Onsite[Job Number],0)))="","",INDEX(tbl_Onsite[Notes],IFERROR(MATCH(A10&amp;"",tbl_Onsite[Job Number],0),MATCH(IFERROR(A10+0,A10),tbl_Onsite[Job Number],0)))),IFERROR(IF(INDEX(tbl_Production[Notes],IFERROR(MATCH(A10&amp;"",tbl_Production[Job Number],0),MATCH(IFERROR(A10+0,A10),tbl_Production[Job Number],0)))="","",INDEX(tbl_Production[Notes],IFERROR(MATCH(A10&amp;"",tbl_Production[Job Number],0),MATCH(IFERROR(A10+0,A10),tbl_Production[Job Number],0)))),IFERROR(IF(INDEX(tbl_Consulting[Notes],IFERROR(MATCH(A10&amp;"",tbl_Consulting[Job Number],0),MATCH(IFERROR(A10+0,A10),tbl_Consulting[Job Number],0)))="","",INDEX(tbl_Consulting[Notes],IFERROR(MATCH(A10&amp;"",tbl_Consulting[Job Number],0),MATCH(IFERROR(A10+0,A10),tbl_Consulting[Job Number],0)))),""))))</f>
        <v/>
      </c>
    </row>
    <row r="11" ht="15" customHeight="1">
      <c r="A11" s="22" t="n"/>
      <c r="B11" s="22" t="n"/>
      <c r="C11" s="23" t="n"/>
      <c r="D11" s="22" t="n"/>
      <c r="E11" s="24" t="n"/>
      <c r="F11" s="25">
        <f>IF(C11="","",EOMONTH(C11,0))</f>
        <v/>
      </c>
      <c r="G11" s="26">
        <f>IF(A11="","",IF(COUNTIF(tbl_Onsite[Job Number],A11&amp;"")&gt;0,"Onsite",IF(COUNTIF(tbl_Production[Job Number],A11&amp;"")&gt;0,"Production",IF(COUNTIF(tbl_Consulting[Job Number],A11&amp;"")&gt;0,"Consulting","not set up yet"))))</f>
        <v/>
      </c>
      <c r="H11" s="26">
        <f>IF(A11="","",IF(COUNTIF(lst_Jobs,A11&amp;"")&gt;0,"OK","CHECK"))</f>
        <v/>
      </c>
      <c r="I11" s="26">
        <f>IF(A11="","",IFERROR(INDEX(lst_JobName,MATCH(A11&amp;"",lst_Jobs,0)),""))</f>
        <v/>
      </c>
      <c r="J11" s="26">
        <f>IF(A11="","",IFERROR(IF(INDEX(tbl_Onsite[Client],IFERROR(MATCH(A11&amp;"",tbl_Onsite[Job Number],0),MATCH(IFERROR(A11+0,A11),tbl_Onsite[Job Number],0)))="","",INDEX(tbl_Onsite[Client],IFERROR(MATCH(A11&amp;"",tbl_Onsite[Job Number],0),MATCH(IFERROR(A11+0,A11),tbl_Onsite[Job Number],0)))),IFERROR(IF(INDEX(tbl_Production[Client],IFERROR(MATCH(A11&amp;"",tbl_Production[Job Number],0),MATCH(IFERROR(A11+0,A11),tbl_Production[Job Number],0)))="","",INDEX(tbl_Production[Client],IFERROR(MATCH(A11&amp;"",tbl_Production[Job Number],0),MATCH(IFERROR(A11+0,A11),tbl_Production[Job Number],0)))),IFERROR(IF(INDEX(tbl_Consulting[Client],IFERROR(MATCH(A11&amp;"",tbl_Consulting[Job Number],0),MATCH(IFERROR(A11+0,A11),tbl_Consulting[Job Number],0)))="","",INDEX(tbl_Consulting[Client],IFERROR(MATCH(A11&amp;"",tbl_Consulting[Job Number],0),MATCH(IFERROR(A11+0,A11),tbl_Consulting[Job Number],0)))),""))))</f>
        <v/>
      </c>
      <c r="K11" s="26">
        <f>IF(A11="","",IFERROR(IF(INDEX(tbl_Onsite[Job Description],IFERROR(MATCH(A11&amp;"",tbl_Onsite[Job Number],0),MATCH(IFERROR(A11+0,A11),tbl_Onsite[Job Number],0)))="","",INDEX(tbl_Onsite[Job Description],IFERROR(MATCH(A11&amp;"",tbl_Onsite[Job Number],0),MATCH(IFERROR(A11+0,A11),tbl_Onsite[Job Number],0)))),IFERROR(IF(INDEX(tbl_Production[Job Description],IFERROR(MATCH(A11&amp;"",tbl_Production[Job Number],0),MATCH(IFERROR(A11+0,A11),tbl_Production[Job Number],0)))="","",INDEX(tbl_Production[Job Description],IFERROR(MATCH(A11&amp;"",tbl_Production[Job Number],0),MATCH(IFERROR(A11+0,A11),tbl_Production[Job Number],0)))),IFERROR(IF(INDEX(tbl_Consulting[Job Description],IFERROR(MATCH(A11&amp;"",tbl_Consulting[Job Number],0),MATCH(IFERROR(A11+0,A11),tbl_Consulting[Job Number],0)))="","",INDEX(tbl_Consulting[Job Description],IFERROR(MATCH(A11&amp;"",tbl_Consulting[Job Number],0),MATCH(IFERROR(A11+0,A11),tbl_Consulting[Job Number],0)))),""))))</f>
        <v/>
      </c>
      <c r="L11" s="26">
        <f>IF(A11="","",IFERROR(IF(INDEX(tbl_Onsite[Invoice Type],IFERROR(MATCH(A11&amp;"",tbl_Onsite[Job Number],0),MATCH(IFERROR(A11+0,A11),tbl_Onsite[Job Number],0)))="","",INDEX(tbl_Onsite[Invoice Type],IFERROR(MATCH(A11&amp;"",tbl_Onsite[Job Number],0),MATCH(IFERROR(A11+0,A11),tbl_Onsite[Job Number],0)))),IFERROR(IF(INDEX(tbl_Production[Invoice Type],IFERROR(MATCH(A11&amp;"",tbl_Production[Job Number],0),MATCH(IFERROR(A11+0,A11),tbl_Production[Job Number],0)))="","",INDEX(tbl_Production[Invoice Type],IFERROR(MATCH(A11&amp;"",tbl_Production[Job Number],0),MATCH(IFERROR(A11+0,A11),tbl_Production[Job Number],0)))),IFERROR(IF(INDEX(tbl_Consulting[Invoice Type],IFERROR(MATCH(A11&amp;"",tbl_Consulting[Job Number],0),MATCH(IFERROR(A11+0,A11),tbl_Consulting[Job Number],0)))="","",INDEX(tbl_Consulting[Invoice Type],IFERROR(MATCH(A11&amp;"",tbl_Consulting[Job Number],0),MATCH(IFERROR(A11+0,A11),tbl_Consulting[Job Number],0)))),""))))</f>
        <v/>
      </c>
      <c r="M11" s="26">
        <f>IF(A11="","",IF(IFERROR(IF(INDEX(tbl_Onsite[Tax Code],IFERROR(MATCH(A11&amp;"",tbl_Onsite[Job Number],0),MATCH(IFERROR(A11+0,A11),tbl_Onsite[Job Number],0)))="","",INDEX(tbl_Onsite[Tax Code],IFERROR(MATCH(A11&amp;"",tbl_Onsite[Job Number],0),MATCH(IFERROR(A11+0,A11),tbl_Onsite[Job Number],0)))),IFERROR(IF(INDEX(tbl_Production[Tax Code],IFERROR(MATCH(A11&amp;"",tbl_Production[Job Number],0),MATCH(IFERROR(A11+0,A11),tbl_Production[Job Number],0)))="","",INDEX(tbl_Production[Tax Code],IFERROR(MATCH(A11&amp;"",tbl_Production[Job Number],0),MATCH(IFERROR(A11+0,A11),tbl_Production[Job Number],0)))),IFERROR(IF(INDEX(tbl_Consulting[Tax Code],IFERROR(MATCH(A11&amp;"",tbl_Consulting[Job Number],0),MATCH(IFERROR(A11+0,A11),tbl_Consulting[Job Number],0)))="","",INDEX(tbl_Consulting[Tax Code],IFERROR(MATCH(A11&amp;"",tbl_Consulting[Job Number],0),MATCH(IFERROR(A11+0,A11),tbl_Consulting[Job Number],0)))),"")))="","GST 10%",IFERROR(IF(INDEX(tbl_Onsite[Tax Code],IFERROR(MATCH(A11&amp;"",tbl_Onsite[Job Number],0),MATCH(IFERROR(A11+0,A11),tbl_Onsite[Job Number],0)))="","",INDEX(tbl_Onsite[Tax Code],IFERROR(MATCH(A11&amp;"",tbl_Onsite[Job Number],0),MATCH(IFERROR(A11+0,A11),tbl_Onsite[Job Number],0)))),IFERROR(IF(INDEX(tbl_Production[Tax Code],IFERROR(MATCH(A11&amp;"",tbl_Production[Job Number],0),MATCH(IFERROR(A11+0,A11),tbl_Production[Job Number],0)))="","",INDEX(tbl_Production[Tax Code],IFERROR(MATCH(A11&amp;"",tbl_Production[Job Number],0),MATCH(IFERROR(A11+0,A11),tbl_Production[Job Number],0)))),IFERROR(IF(INDEX(tbl_Consulting[Tax Code],IFERROR(MATCH(A11&amp;"",tbl_Consulting[Job Number],0),MATCH(IFERROR(A11+0,A11),tbl_Consulting[Job Number],0)))="","",INDEX(tbl_Consulting[Tax Code],IFERROR(MATCH(A11&amp;"",tbl_Consulting[Job Number],0),MATCH(IFERROR(A11+0,A11),tbl_Consulting[Job Number],0)))),"")))))</f>
        <v/>
      </c>
      <c r="N11" s="26">
        <f>IF(D11="","",IFERROR(INDEX(lst_CCtoGL,MATCH(D11,lst_CCforGL,0)),""))</f>
        <v/>
      </c>
      <c r="O11" s="27">
        <f>IF(E11="","",IF(M11="GST 10%",ROUND(E11*set_GSTRate,2),0))</f>
        <v/>
      </c>
      <c r="P11" s="27">
        <f>IF(E11="","",E11+O11)</f>
        <v/>
      </c>
      <c r="Q11" s="27">
        <f>IF(A11="","",IFERROR(INDEX(tbl_Onsite[Expected Revenue Ex GST],IFERROR(MATCH(A11&amp;"",tbl_Onsite[Job Number],0),MATCH(IFERROR(A11+0,A11),tbl_Onsite[Job Number],0))),IFERROR(INDEX(tbl_Production[Expected Revenue Ex GST],IFERROR(MATCH(A11&amp;"",tbl_Production[Job Number],0),MATCH(IFERROR(A11+0,A11),tbl_Production[Job Number],0))),IFERROR(INDEX(tbl_Consulting[Expected Revenue Ex GST],IFERROR(MATCH(A11&amp;"",tbl_Consulting[Job Number],0),MATCH(IFERROR(A11+0,A11),tbl_Consulting[Job Number],0))),0))))</f>
        <v/>
      </c>
      <c r="R11" s="27">
        <f>IF(A11="","",SUMIFS(tbl_Finance[Ex GST],tbl_Finance[Job Number],A11&amp;""))</f>
        <v/>
      </c>
      <c r="S11" s="27">
        <f>IF(A11="","",Q11-R11)</f>
        <v/>
      </c>
      <c r="T11" s="26">
        <f>IF(A11="","",IF(Q11=0,"No dept value",IF(ROUND(S11,2)=0,"Agrees",IF(S11&gt;0,"Dept higher - to invoice","Xero higher - check dept"))))</f>
        <v/>
      </c>
      <c r="U11" s="22" t="n"/>
      <c r="V11" s="22" t="n"/>
      <c r="W11" s="23" t="n"/>
      <c r="X11" s="23" t="n"/>
      <c r="Y11" s="22" t="n"/>
      <c r="Z11" s="22" t="n"/>
      <c r="AA11" s="26">
        <f>IF(COUNTA(C11,A11,B11,E11)=0,"",IF(C11="","No date - sits outside every month",IF(A11="","No job number",IF(H11="CHECK","Job number is not in the Xero job list",IF(G11="not set up yet","No department has set this job up - nothing can pull through",IF(D11="","No cost centre",IF(AND(U11="Y",B11=""),"Marked posted to Xero but has no invoice number",IF(N11="","Cost centre has no revenue GL on the Lists sheet",IF(T11="Xero higher - check dept","Invoiced more than the department says the job is worth","")))))))))</f>
        <v/>
      </c>
      <c r="AB11" s="28">
        <f>IF(A11="","",COUNTIFS(tbl_Finance[Job Number],A11&amp;"",tbl_Finance[Ex GST],"&lt;&gt;"))</f>
        <v/>
      </c>
      <c r="AC11" s="27">
        <f>IF(A11="","",SUMIFS(tbl_Finance[Ex GST],tbl_Finance[Job Number],A11&amp;""))</f>
        <v/>
      </c>
      <c r="AD11" s="27">
        <f>IF(A11="","",SUMIFS(tbl_Finance[Ex GST],tbl_Finance[Job Number],A11&amp;"",tbl_Finance[Xero Invoice No],"&lt;&gt;"))</f>
        <v/>
      </c>
      <c r="AE11" s="27">
        <f>IF(A11="","",AC11-AD11)</f>
        <v/>
      </c>
      <c r="AF11" s="26">
        <f>IF(A11="","",IFERROR(IF(INDEX(tbl_Onsite[Qwilr Quote],IFERROR(MATCH(A11&amp;"",tbl_Onsite[Job Number],0),MATCH(IFERROR(A11+0,A11),tbl_Onsite[Job Number],0)))="","",INDEX(tbl_Onsite[Qwilr Quote],IFERROR(MATCH(A11&amp;"",tbl_Onsite[Job Number],0),MATCH(IFERROR(A11+0,A11),tbl_Onsite[Job Number],0)))),IFERROR(IF(IF(INDEX(tbl_Production[Current RMS No],IFERROR(MATCH(A11&amp;"",tbl_Production[Job Number],0),MATCH(IFERROR(A11+0,A11),tbl_Production[Job Number],0)))="",INDEX(tbl_Production[Qwilr Quote],IFERROR(MATCH(A11&amp;"",tbl_Production[Job Number],0),MATCH(IFERROR(A11+0,A11),tbl_Production[Job Number],0))),INDEX(tbl_Production[Current RMS No],IFERROR(MATCH(A11&amp;"",tbl_Production[Job Number],0),MATCH(IFERROR(A11+0,A11),tbl_Production[Job Number],0))))="","",IF(INDEX(tbl_Production[Current RMS No],IFERROR(MATCH(A11&amp;"",tbl_Production[Job Number],0),MATCH(IFERROR(A11+0,A11),tbl_Production[Job Number],0)))="",INDEX(tbl_Production[Qwilr Quote],IFERROR(MATCH(A11&amp;"",tbl_Production[Job Number],0),MATCH(IFERROR(A11+0,A11),tbl_Production[Job Number],0))),INDEX(tbl_Production[Current RMS No],IFERROR(MATCH(A11&amp;"",tbl_Production[Job Number],0),MATCH(IFERROR(A11+0,A11),tbl_Production[Job Number],0))))),IFERROR(IF(INDEX(tbl_Consulting[Qwilr Quote],IFERROR(MATCH(A11&amp;"",tbl_Consulting[Job Number],0),MATCH(IFERROR(A11+0,A11),tbl_Consulting[Job Number],0)))="","",INDEX(tbl_Consulting[Qwilr Quote],IFERROR(MATCH(A11&amp;"",tbl_Consulting[Job Number],0),MATCH(IFERROR(A11+0,A11),tbl_Consulting[Job Number],0)))),""))))</f>
        <v/>
      </c>
      <c r="AG11" s="26">
        <f>IF(AF11="","",IF(AND(LEFT(AF11,4)&lt;&gt;"http",IF(G11="Production",set_RMSBase,set_QwilrBase)=""),"",HYPERLINK(IF(LEFT(AF11,4)="http",AF11,IF(G11="Production",set_RMSBase,set_QwilrBase)&amp;AF11),"Open")))</f>
        <v/>
      </c>
      <c r="AH11" s="27">
        <f>IF(A11="","",IFERROR(INDEX(tbl_Production[Total Expense],IFERROR(MATCH(A11&amp;"",tbl_Production[Job Number],0),MATCH(IFERROR(A11+0,A11),tbl_Production[Job Number],0))),IFERROR(INDEX(tbl_Consulting[Total Expense],IFERROR(MATCH(A11&amp;"",tbl_Consulting[Job Number],0),MATCH(IFERROR(A11+0,A11),tbl_Consulting[Job Number],0))),0)))</f>
        <v/>
      </c>
      <c r="AI11" s="27">
        <f>IF(A11="","",AC11-N(AH11))</f>
        <v/>
      </c>
      <c r="AJ11" s="29">
        <f>IFERROR(AI11/AC11,"")</f>
        <v/>
      </c>
      <c r="AK11" s="26">
        <f>IF(A11="","",IFERROR(IF(INDEX(tbl_Onsite[Notes],IFERROR(MATCH(A11&amp;"",tbl_Onsite[Job Number],0),MATCH(IFERROR(A11+0,A11),tbl_Onsite[Job Number],0)))="","",INDEX(tbl_Onsite[Notes],IFERROR(MATCH(A11&amp;"",tbl_Onsite[Job Number],0),MATCH(IFERROR(A11+0,A11),tbl_Onsite[Job Number],0)))),IFERROR(IF(INDEX(tbl_Production[Notes],IFERROR(MATCH(A11&amp;"",tbl_Production[Job Number],0),MATCH(IFERROR(A11+0,A11),tbl_Production[Job Number],0)))="","",INDEX(tbl_Production[Notes],IFERROR(MATCH(A11&amp;"",tbl_Production[Job Number],0),MATCH(IFERROR(A11+0,A11),tbl_Production[Job Number],0)))),IFERROR(IF(INDEX(tbl_Consulting[Notes],IFERROR(MATCH(A11&amp;"",tbl_Consulting[Job Number],0),MATCH(IFERROR(A11+0,A11),tbl_Consulting[Job Number],0)))="","",INDEX(tbl_Consulting[Notes],IFERROR(MATCH(A11&amp;"",tbl_Consulting[Job Number],0),MATCH(IFERROR(A11+0,A11),tbl_Consulting[Job Number],0)))),""))))</f>
        <v/>
      </c>
    </row>
    <row r="12" ht="15" customHeight="1">
      <c r="A12" s="22" t="n"/>
      <c r="B12" s="22" t="n"/>
      <c r="C12" s="23" t="n"/>
      <c r="D12" s="22" t="n"/>
      <c r="E12" s="24" t="n"/>
      <c r="F12" s="25">
        <f>IF(C12="","",EOMONTH(C12,0))</f>
        <v/>
      </c>
      <c r="G12" s="26">
        <f>IF(A12="","",IF(COUNTIF(tbl_Onsite[Job Number],A12&amp;"")&gt;0,"Onsite",IF(COUNTIF(tbl_Production[Job Number],A12&amp;"")&gt;0,"Production",IF(COUNTIF(tbl_Consulting[Job Number],A12&amp;"")&gt;0,"Consulting","not set up yet"))))</f>
        <v/>
      </c>
      <c r="H12" s="26">
        <f>IF(A12="","",IF(COUNTIF(lst_Jobs,A12&amp;"")&gt;0,"OK","CHECK"))</f>
        <v/>
      </c>
      <c r="I12" s="26">
        <f>IF(A12="","",IFERROR(INDEX(lst_JobName,MATCH(A12&amp;"",lst_Jobs,0)),""))</f>
        <v/>
      </c>
      <c r="J12" s="26">
        <f>IF(A12="","",IFERROR(IF(INDEX(tbl_Onsite[Client],IFERROR(MATCH(A12&amp;"",tbl_Onsite[Job Number],0),MATCH(IFERROR(A12+0,A12),tbl_Onsite[Job Number],0)))="","",INDEX(tbl_Onsite[Client],IFERROR(MATCH(A12&amp;"",tbl_Onsite[Job Number],0),MATCH(IFERROR(A12+0,A12),tbl_Onsite[Job Number],0)))),IFERROR(IF(INDEX(tbl_Production[Client],IFERROR(MATCH(A12&amp;"",tbl_Production[Job Number],0),MATCH(IFERROR(A12+0,A12),tbl_Production[Job Number],0)))="","",INDEX(tbl_Production[Client],IFERROR(MATCH(A12&amp;"",tbl_Production[Job Number],0),MATCH(IFERROR(A12+0,A12),tbl_Production[Job Number],0)))),IFERROR(IF(INDEX(tbl_Consulting[Client],IFERROR(MATCH(A12&amp;"",tbl_Consulting[Job Number],0),MATCH(IFERROR(A12+0,A12),tbl_Consulting[Job Number],0)))="","",INDEX(tbl_Consulting[Client],IFERROR(MATCH(A12&amp;"",tbl_Consulting[Job Number],0),MATCH(IFERROR(A12+0,A12),tbl_Consulting[Job Number],0)))),""))))</f>
        <v/>
      </c>
      <c r="K12" s="26">
        <f>IF(A12="","",IFERROR(IF(INDEX(tbl_Onsite[Job Description],IFERROR(MATCH(A12&amp;"",tbl_Onsite[Job Number],0),MATCH(IFERROR(A12+0,A12),tbl_Onsite[Job Number],0)))="","",INDEX(tbl_Onsite[Job Description],IFERROR(MATCH(A12&amp;"",tbl_Onsite[Job Number],0),MATCH(IFERROR(A12+0,A12),tbl_Onsite[Job Number],0)))),IFERROR(IF(INDEX(tbl_Production[Job Description],IFERROR(MATCH(A12&amp;"",tbl_Production[Job Number],0),MATCH(IFERROR(A12+0,A12),tbl_Production[Job Number],0)))="","",INDEX(tbl_Production[Job Description],IFERROR(MATCH(A12&amp;"",tbl_Production[Job Number],0),MATCH(IFERROR(A12+0,A12),tbl_Production[Job Number],0)))),IFERROR(IF(INDEX(tbl_Consulting[Job Description],IFERROR(MATCH(A12&amp;"",tbl_Consulting[Job Number],0),MATCH(IFERROR(A12+0,A12),tbl_Consulting[Job Number],0)))="","",INDEX(tbl_Consulting[Job Description],IFERROR(MATCH(A12&amp;"",tbl_Consulting[Job Number],0),MATCH(IFERROR(A12+0,A12),tbl_Consulting[Job Number],0)))),""))))</f>
        <v/>
      </c>
      <c r="L12" s="26">
        <f>IF(A12="","",IFERROR(IF(INDEX(tbl_Onsite[Invoice Type],IFERROR(MATCH(A12&amp;"",tbl_Onsite[Job Number],0),MATCH(IFERROR(A12+0,A12),tbl_Onsite[Job Number],0)))="","",INDEX(tbl_Onsite[Invoice Type],IFERROR(MATCH(A12&amp;"",tbl_Onsite[Job Number],0),MATCH(IFERROR(A12+0,A12),tbl_Onsite[Job Number],0)))),IFERROR(IF(INDEX(tbl_Production[Invoice Type],IFERROR(MATCH(A12&amp;"",tbl_Production[Job Number],0),MATCH(IFERROR(A12+0,A12),tbl_Production[Job Number],0)))="","",INDEX(tbl_Production[Invoice Type],IFERROR(MATCH(A12&amp;"",tbl_Production[Job Number],0),MATCH(IFERROR(A12+0,A12),tbl_Production[Job Number],0)))),IFERROR(IF(INDEX(tbl_Consulting[Invoice Type],IFERROR(MATCH(A12&amp;"",tbl_Consulting[Job Number],0),MATCH(IFERROR(A12+0,A12),tbl_Consulting[Job Number],0)))="","",INDEX(tbl_Consulting[Invoice Type],IFERROR(MATCH(A12&amp;"",tbl_Consulting[Job Number],0),MATCH(IFERROR(A12+0,A12),tbl_Consulting[Job Number],0)))),""))))</f>
        <v/>
      </c>
      <c r="M12" s="26">
        <f>IF(A12="","",IF(IFERROR(IF(INDEX(tbl_Onsite[Tax Code],IFERROR(MATCH(A12&amp;"",tbl_Onsite[Job Number],0),MATCH(IFERROR(A12+0,A12),tbl_Onsite[Job Number],0)))="","",INDEX(tbl_Onsite[Tax Code],IFERROR(MATCH(A12&amp;"",tbl_Onsite[Job Number],0),MATCH(IFERROR(A12+0,A12),tbl_Onsite[Job Number],0)))),IFERROR(IF(INDEX(tbl_Production[Tax Code],IFERROR(MATCH(A12&amp;"",tbl_Production[Job Number],0),MATCH(IFERROR(A12+0,A12),tbl_Production[Job Number],0)))="","",INDEX(tbl_Production[Tax Code],IFERROR(MATCH(A12&amp;"",tbl_Production[Job Number],0),MATCH(IFERROR(A12+0,A12),tbl_Production[Job Number],0)))),IFERROR(IF(INDEX(tbl_Consulting[Tax Code],IFERROR(MATCH(A12&amp;"",tbl_Consulting[Job Number],0),MATCH(IFERROR(A12+0,A12),tbl_Consulting[Job Number],0)))="","",INDEX(tbl_Consulting[Tax Code],IFERROR(MATCH(A12&amp;"",tbl_Consulting[Job Number],0),MATCH(IFERROR(A12+0,A12),tbl_Consulting[Job Number],0)))),"")))="","GST 10%",IFERROR(IF(INDEX(tbl_Onsite[Tax Code],IFERROR(MATCH(A12&amp;"",tbl_Onsite[Job Number],0),MATCH(IFERROR(A12+0,A12),tbl_Onsite[Job Number],0)))="","",INDEX(tbl_Onsite[Tax Code],IFERROR(MATCH(A12&amp;"",tbl_Onsite[Job Number],0),MATCH(IFERROR(A12+0,A12),tbl_Onsite[Job Number],0)))),IFERROR(IF(INDEX(tbl_Production[Tax Code],IFERROR(MATCH(A12&amp;"",tbl_Production[Job Number],0),MATCH(IFERROR(A12+0,A12),tbl_Production[Job Number],0)))="","",INDEX(tbl_Production[Tax Code],IFERROR(MATCH(A12&amp;"",tbl_Production[Job Number],0),MATCH(IFERROR(A12+0,A12),tbl_Production[Job Number],0)))),IFERROR(IF(INDEX(tbl_Consulting[Tax Code],IFERROR(MATCH(A12&amp;"",tbl_Consulting[Job Number],0),MATCH(IFERROR(A12+0,A12),tbl_Consulting[Job Number],0)))="","",INDEX(tbl_Consulting[Tax Code],IFERROR(MATCH(A12&amp;"",tbl_Consulting[Job Number],0),MATCH(IFERROR(A12+0,A12),tbl_Consulting[Job Number],0)))),"")))))</f>
        <v/>
      </c>
      <c r="N12" s="26">
        <f>IF(D12="","",IFERROR(INDEX(lst_CCtoGL,MATCH(D12,lst_CCforGL,0)),""))</f>
        <v/>
      </c>
      <c r="O12" s="27">
        <f>IF(E12="","",IF(M12="GST 10%",ROUND(E12*set_GSTRate,2),0))</f>
        <v/>
      </c>
      <c r="P12" s="27">
        <f>IF(E12="","",E12+O12)</f>
        <v/>
      </c>
      <c r="Q12" s="27">
        <f>IF(A12="","",IFERROR(INDEX(tbl_Onsite[Expected Revenue Ex GST],IFERROR(MATCH(A12&amp;"",tbl_Onsite[Job Number],0),MATCH(IFERROR(A12+0,A12),tbl_Onsite[Job Number],0))),IFERROR(INDEX(tbl_Production[Expected Revenue Ex GST],IFERROR(MATCH(A12&amp;"",tbl_Production[Job Number],0),MATCH(IFERROR(A12+0,A12),tbl_Production[Job Number],0))),IFERROR(INDEX(tbl_Consulting[Expected Revenue Ex GST],IFERROR(MATCH(A12&amp;"",tbl_Consulting[Job Number],0),MATCH(IFERROR(A12+0,A12),tbl_Consulting[Job Number],0))),0))))</f>
        <v/>
      </c>
      <c r="R12" s="27">
        <f>IF(A12="","",SUMIFS(tbl_Finance[Ex GST],tbl_Finance[Job Number],A12&amp;""))</f>
        <v/>
      </c>
      <c r="S12" s="27">
        <f>IF(A12="","",Q12-R12)</f>
        <v/>
      </c>
      <c r="T12" s="26">
        <f>IF(A12="","",IF(Q12=0,"No dept value",IF(ROUND(S12,2)=0,"Agrees",IF(S12&gt;0,"Dept higher - to invoice","Xero higher - check dept"))))</f>
        <v/>
      </c>
      <c r="U12" s="22" t="n"/>
      <c r="V12" s="22" t="n"/>
      <c r="W12" s="23" t="n"/>
      <c r="X12" s="23" t="n"/>
      <c r="Y12" s="22" t="n"/>
      <c r="Z12" s="22" t="n"/>
      <c r="AA12" s="26">
        <f>IF(COUNTA(C12,A12,B12,E12)=0,"",IF(C12="","No date - sits outside every month",IF(A12="","No job number",IF(H12="CHECK","Job number is not in the Xero job list",IF(G12="not set up yet","No department has set this job up - nothing can pull through",IF(D12="","No cost centre",IF(AND(U12="Y",B12=""),"Marked posted to Xero but has no invoice number",IF(N12="","Cost centre has no revenue GL on the Lists sheet",IF(T12="Xero higher - check dept","Invoiced more than the department says the job is worth","")))))))))</f>
        <v/>
      </c>
      <c r="AB12" s="28">
        <f>IF(A12="","",COUNTIFS(tbl_Finance[Job Number],A12&amp;"",tbl_Finance[Ex GST],"&lt;&gt;"))</f>
        <v/>
      </c>
      <c r="AC12" s="27">
        <f>IF(A12="","",SUMIFS(tbl_Finance[Ex GST],tbl_Finance[Job Number],A12&amp;""))</f>
        <v/>
      </c>
      <c r="AD12" s="27">
        <f>IF(A12="","",SUMIFS(tbl_Finance[Ex GST],tbl_Finance[Job Number],A12&amp;"",tbl_Finance[Xero Invoice No],"&lt;&gt;"))</f>
        <v/>
      </c>
      <c r="AE12" s="27">
        <f>IF(A12="","",AC12-AD12)</f>
        <v/>
      </c>
      <c r="AF12" s="26">
        <f>IF(A12="","",IFERROR(IF(INDEX(tbl_Onsite[Qwilr Quote],IFERROR(MATCH(A12&amp;"",tbl_Onsite[Job Number],0),MATCH(IFERROR(A12+0,A12),tbl_Onsite[Job Number],0)))="","",INDEX(tbl_Onsite[Qwilr Quote],IFERROR(MATCH(A12&amp;"",tbl_Onsite[Job Number],0),MATCH(IFERROR(A12+0,A12),tbl_Onsite[Job Number],0)))),IFERROR(IF(IF(INDEX(tbl_Production[Current RMS No],IFERROR(MATCH(A12&amp;"",tbl_Production[Job Number],0),MATCH(IFERROR(A12+0,A12),tbl_Production[Job Number],0)))="",INDEX(tbl_Production[Qwilr Quote],IFERROR(MATCH(A12&amp;"",tbl_Production[Job Number],0),MATCH(IFERROR(A12+0,A12),tbl_Production[Job Number],0))),INDEX(tbl_Production[Current RMS No],IFERROR(MATCH(A12&amp;"",tbl_Production[Job Number],0),MATCH(IFERROR(A12+0,A12),tbl_Production[Job Number],0))))="","",IF(INDEX(tbl_Production[Current RMS No],IFERROR(MATCH(A12&amp;"",tbl_Production[Job Number],0),MATCH(IFERROR(A12+0,A12),tbl_Production[Job Number],0)))="",INDEX(tbl_Production[Qwilr Quote],IFERROR(MATCH(A12&amp;"",tbl_Production[Job Number],0),MATCH(IFERROR(A12+0,A12),tbl_Production[Job Number],0))),INDEX(tbl_Production[Current RMS No],IFERROR(MATCH(A12&amp;"",tbl_Production[Job Number],0),MATCH(IFERROR(A12+0,A12),tbl_Production[Job Number],0))))),IFERROR(IF(INDEX(tbl_Consulting[Qwilr Quote],IFERROR(MATCH(A12&amp;"",tbl_Consulting[Job Number],0),MATCH(IFERROR(A12+0,A12),tbl_Consulting[Job Number],0)))="","",INDEX(tbl_Consulting[Qwilr Quote],IFERROR(MATCH(A12&amp;"",tbl_Consulting[Job Number],0),MATCH(IFERROR(A12+0,A12),tbl_Consulting[Job Number],0)))),""))))</f>
        <v/>
      </c>
      <c r="AG12" s="26">
        <f>IF(AF12="","",IF(AND(LEFT(AF12,4)&lt;&gt;"http",IF(G12="Production",set_RMSBase,set_QwilrBase)=""),"",HYPERLINK(IF(LEFT(AF12,4)="http",AF12,IF(G12="Production",set_RMSBase,set_QwilrBase)&amp;AF12),"Open")))</f>
        <v/>
      </c>
      <c r="AH12" s="27">
        <f>IF(A12="","",IFERROR(INDEX(tbl_Production[Total Expense],IFERROR(MATCH(A12&amp;"",tbl_Production[Job Number],0),MATCH(IFERROR(A12+0,A12),tbl_Production[Job Number],0))),IFERROR(INDEX(tbl_Consulting[Total Expense],IFERROR(MATCH(A12&amp;"",tbl_Consulting[Job Number],0),MATCH(IFERROR(A12+0,A12),tbl_Consulting[Job Number],0))),0)))</f>
        <v/>
      </c>
      <c r="AI12" s="27">
        <f>IF(A12="","",AC12-N(AH12))</f>
        <v/>
      </c>
      <c r="AJ12" s="29">
        <f>IFERROR(AI12/AC12,"")</f>
        <v/>
      </c>
      <c r="AK12" s="26">
        <f>IF(A12="","",IFERROR(IF(INDEX(tbl_Onsite[Notes],IFERROR(MATCH(A12&amp;"",tbl_Onsite[Job Number],0),MATCH(IFERROR(A12+0,A12),tbl_Onsite[Job Number],0)))="","",INDEX(tbl_Onsite[Notes],IFERROR(MATCH(A12&amp;"",tbl_Onsite[Job Number],0),MATCH(IFERROR(A12+0,A12),tbl_Onsite[Job Number],0)))),IFERROR(IF(INDEX(tbl_Production[Notes],IFERROR(MATCH(A12&amp;"",tbl_Production[Job Number],0),MATCH(IFERROR(A12+0,A12),tbl_Production[Job Number],0)))="","",INDEX(tbl_Production[Notes],IFERROR(MATCH(A12&amp;"",tbl_Production[Job Number],0),MATCH(IFERROR(A12+0,A12),tbl_Production[Job Number],0)))),IFERROR(IF(INDEX(tbl_Consulting[Notes],IFERROR(MATCH(A12&amp;"",tbl_Consulting[Job Number],0),MATCH(IFERROR(A12+0,A12),tbl_Consulting[Job Number],0)))="","",INDEX(tbl_Consulting[Notes],IFERROR(MATCH(A12&amp;"",tbl_Consulting[Job Number],0),MATCH(IFERROR(A12+0,A12),tbl_Consulting[Job Number],0)))),""))))</f>
        <v/>
      </c>
    </row>
    <row r="13" ht="15" customHeight="1">
      <c r="A13" s="22" t="n"/>
      <c r="B13" s="22" t="n"/>
      <c r="C13" s="23" t="n"/>
      <c r="D13" s="22" t="n"/>
      <c r="E13" s="24" t="n"/>
      <c r="F13" s="25">
        <f>IF(C13="","",EOMONTH(C13,0))</f>
        <v/>
      </c>
      <c r="G13" s="26">
        <f>IF(A13="","",IF(COUNTIF(tbl_Onsite[Job Number],A13&amp;"")&gt;0,"Onsite",IF(COUNTIF(tbl_Production[Job Number],A13&amp;"")&gt;0,"Production",IF(COUNTIF(tbl_Consulting[Job Number],A13&amp;"")&gt;0,"Consulting","not set up yet"))))</f>
        <v/>
      </c>
      <c r="H13" s="26">
        <f>IF(A13="","",IF(COUNTIF(lst_Jobs,A13&amp;"")&gt;0,"OK","CHECK"))</f>
        <v/>
      </c>
      <c r="I13" s="26">
        <f>IF(A13="","",IFERROR(INDEX(lst_JobName,MATCH(A13&amp;"",lst_Jobs,0)),""))</f>
        <v/>
      </c>
      <c r="J13" s="26">
        <f>IF(A13="","",IFERROR(IF(INDEX(tbl_Onsite[Client],IFERROR(MATCH(A13&amp;"",tbl_Onsite[Job Number],0),MATCH(IFERROR(A13+0,A13),tbl_Onsite[Job Number],0)))="","",INDEX(tbl_Onsite[Client],IFERROR(MATCH(A13&amp;"",tbl_Onsite[Job Number],0),MATCH(IFERROR(A13+0,A13),tbl_Onsite[Job Number],0)))),IFERROR(IF(INDEX(tbl_Production[Client],IFERROR(MATCH(A13&amp;"",tbl_Production[Job Number],0),MATCH(IFERROR(A13+0,A13),tbl_Production[Job Number],0)))="","",INDEX(tbl_Production[Client],IFERROR(MATCH(A13&amp;"",tbl_Production[Job Number],0),MATCH(IFERROR(A13+0,A13),tbl_Production[Job Number],0)))),IFERROR(IF(INDEX(tbl_Consulting[Client],IFERROR(MATCH(A13&amp;"",tbl_Consulting[Job Number],0),MATCH(IFERROR(A13+0,A13),tbl_Consulting[Job Number],0)))="","",INDEX(tbl_Consulting[Client],IFERROR(MATCH(A13&amp;"",tbl_Consulting[Job Number],0),MATCH(IFERROR(A13+0,A13),tbl_Consulting[Job Number],0)))),""))))</f>
        <v/>
      </c>
      <c r="K13" s="26">
        <f>IF(A13="","",IFERROR(IF(INDEX(tbl_Onsite[Job Description],IFERROR(MATCH(A13&amp;"",tbl_Onsite[Job Number],0),MATCH(IFERROR(A13+0,A13),tbl_Onsite[Job Number],0)))="","",INDEX(tbl_Onsite[Job Description],IFERROR(MATCH(A13&amp;"",tbl_Onsite[Job Number],0),MATCH(IFERROR(A13+0,A13),tbl_Onsite[Job Number],0)))),IFERROR(IF(INDEX(tbl_Production[Job Description],IFERROR(MATCH(A13&amp;"",tbl_Production[Job Number],0),MATCH(IFERROR(A13+0,A13),tbl_Production[Job Number],0)))="","",INDEX(tbl_Production[Job Description],IFERROR(MATCH(A13&amp;"",tbl_Production[Job Number],0),MATCH(IFERROR(A13+0,A13),tbl_Production[Job Number],0)))),IFERROR(IF(INDEX(tbl_Consulting[Job Description],IFERROR(MATCH(A13&amp;"",tbl_Consulting[Job Number],0),MATCH(IFERROR(A13+0,A13),tbl_Consulting[Job Number],0)))="","",INDEX(tbl_Consulting[Job Description],IFERROR(MATCH(A13&amp;"",tbl_Consulting[Job Number],0),MATCH(IFERROR(A13+0,A13),tbl_Consulting[Job Number],0)))),""))))</f>
        <v/>
      </c>
      <c r="L13" s="26">
        <f>IF(A13="","",IFERROR(IF(INDEX(tbl_Onsite[Invoice Type],IFERROR(MATCH(A13&amp;"",tbl_Onsite[Job Number],0),MATCH(IFERROR(A13+0,A13),tbl_Onsite[Job Number],0)))="","",INDEX(tbl_Onsite[Invoice Type],IFERROR(MATCH(A13&amp;"",tbl_Onsite[Job Number],0),MATCH(IFERROR(A13+0,A13),tbl_Onsite[Job Number],0)))),IFERROR(IF(INDEX(tbl_Production[Invoice Type],IFERROR(MATCH(A13&amp;"",tbl_Production[Job Number],0),MATCH(IFERROR(A13+0,A13),tbl_Production[Job Number],0)))="","",INDEX(tbl_Production[Invoice Type],IFERROR(MATCH(A13&amp;"",tbl_Production[Job Number],0),MATCH(IFERROR(A13+0,A13),tbl_Production[Job Number],0)))),IFERROR(IF(INDEX(tbl_Consulting[Invoice Type],IFERROR(MATCH(A13&amp;"",tbl_Consulting[Job Number],0),MATCH(IFERROR(A13+0,A13),tbl_Consulting[Job Number],0)))="","",INDEX(tbl_Consulting[Invoice Type],IFERROR(MATCH(A13&amp;"",tbl_Consulting[Job Number],0),MATCH(IFERROR(A13+0,A13),tbl_Consulting[Job Number],0)))),""))))</f>
        <v/>
      </c>
      <c r="M13" s="26">
        <f>IF(A13="","",IF(IFERROR(IF(INDEX(tbl_Onsite[Tax Code],IFERROR(MATCH(A13&amp;"",tbl_Onsite[Job Number],0),MATCH(IFERROR(A13+0,A13),tbl_Onsite[Job Number],0)))="","",INDEX(tbl_Onsite[Tax Code],IFERROR(MATCH(A13&amp;"",tbl_Onsite[Job Number],0),MATCH(IFERROR(A13+0,A13),tbl_Onsite[Job Number],0)))),IFERROR(IF(INDEX(tbl_Production[Tax Code],IFERROR(MATCH(A13&amp;"",tbl_Production[Job Number],0),MATCH(IFERROR(A13+0,A13),tbl_Production[Job Number],0)))="","",INDEX(tbl_Production[Tax Code],IFERROR(MATCH(A13&amp;"",tbl_Production[Job Number],0),MATCH(IFERROR(A13+0,A13),tbl_Production[Job Number],0)))),IFERROR(IF(INDEX(tbl_Consulting[Tax Code],IFERROR(MATCH(A13&amp;"",tbl_Consulting[Job Number],0),MATCH(IFERROR(A13+0,A13),tbl_Consulting[Job Number],0)))="","",INDEX(tbl_Consulting[Tax Code],IFERROR(MATCH(A13&amp;"",tbl_Consulting[Job Number],0),MATCH(IFERROR(A13+0,A13),tbl_Consulting[Job Number],0)))),"")))="","GST 10%",IFERROR(IF(INDEX(tbl_Onsite[Tax Code],IFERROR(MATCH(A13&amp;"",tbl_Onsite[Job Number],0),MATCH(IFERROR(A13+0,A13),tbl_Onsite[Job Number],0)))="","",INDEX(tbl_Onsite[Tax Code],IFERROR(MATCH(A13&amp;"",tbl_Onsite[Job Number],0),MATCH(IFERROR(A13+0,A13),tbl_Onsite[Job Number],0)))),IFERROR(IF(INDEX(tbl_Production[Tax Code],IFERROR(MATCH(A13&amp;"",tbl_Production[Job Number],0),MATCH(IFERROR(A13+0,A13),tbl_Production[Job Number],0)))="","",INDEX(tbl_Production[Tax Code],IFERROR(MATCH(A13&amp;"",tbl_Production[Job Number],0),MATCH(IFERROR(A13+0,A13),tbl_Production[Job Number],0)))),IFERROR(IF(INDEX(tbl_Consulting[Tax Code],IFERROR(MATCH(A13&amp;"",tbl_Consulting[Job Number],0),MATCH(IFERROR(A13+0,A13),tbl_Consulting[Job Number],0)))="","",INDEX(tbl_Consulting[Tax Code],IFERROR(MATCH(A13&amp;"",tbl_Consulting[Job Number],0),MATCH(IFERROR(A13+0,A13),tbl_Consulting[Job Number],0)))),"")))))</f>
        <v/>
      </c>
      <c r="N13" s="26">
        <f>IF(D13="","",IFERROR(INDEX(lst_CCtoGL,MATCH(D13,lst_CCforGL,0)),""))</f>
        <v/>
      </c>
      <c r="O13" s="27">
        <f>IF(E13="","",IF(M13="GST 10%",ROUND(E13*set_GSTRate,2),0))</f>
        <v/>
      </c>
      <c r="P13" s="27">
        <f>IF(E13="","",E13+O13)</f>
        <v/>
      </c>
      <c r="Q13" s="27">
        <f>IF(A13="","",IFERROR(INDEX(tbl_Onsite[Expected Revenue Ex GST],IFERROR(MATCH(A13&amp;"",tbl_Onsite[Job Number],0),MATCH(IFERROR(A13+0,A13),tbl_Onsite[Job Number],0))),IFERROR(INDEX(tbl_Production[Expected Revenue Ex GST],IFERROR(MATCH(A13&amp;"",tbl_Production[Job Number],0),MATCH(IFERROR(A13+0,A13),tbl_Production[Job Number],0))),IFERROR(INDEX(tbl_Consulting[Expected Revenue Ex GST],IFERROR(MATCH(A13&amp;"",tbl_Consulting[Job Number],0),MATCH(IFERROR(A13+0,A13),tbl_Consulting[Job Number],0))),0))))</f>
        <v/>
      </c>
      <c r="R13" s="27">
        <f>IF(A13="","",SUMIFS(tbl_Finance[Ex GST],tbl_Finance[Job Number],A13&amp;""))</f>
        <v/>
      </c>
      <c r="S13" s="27">
        <f>IF(A13="","",Q13-R13)</f>
        <v/>
      </c>
      <c r="T13" s="26">
        <f>IF(A13="","",IF(Q13=0,"No dept value",IF(ROUND(S13,2)=0,"Agrees",IF(S13&gt;0,"Dept higher - to invoice","Xero higher - check dept"))))</f>
        <v/>
      </c>
      <c r="U13" s="22" t="n"/>
      <c r="V13" s="22" t="n"/>
      <c r="W13" s="23" t="n"/>
      <c r="X13" s="23" t="n"/>
      <c r="Y13" s="22" t="n"/>
      <c r="Z13" s="22" t="n"/>
      <c r="AA13" s="26">
        <f>IF(COUNTA(C13,A13,B13,E13)=0,"",IF(C13="","No date - sits outside every month",IF(A13="","No job number",IF(H13="CHECK","Job number is not in the Xero job list",IF(G13="not set up yet","No department has set this job up - nothing can pull through",IF(D13="","No cost centre",IF(AND(U13="Y",B13=""),"Marked posted to Xero but has no invoice number",IF(N13="","Cost centre has no revenue GL on the Lists sheet",IF(T13="Xero higher - check dept","Invoiced more than the department says the job is worth","")))))))))</f>
        <v/>
      </c>
      <c r="AB13" s="28">
        <f>IF(A13="","",COUNTIFS(tbl_Finance[Job Number],A13&amp;"",tbl_Finance[Ex GST],"&lt;&gt;"))</f>
        <v/>
      </c>
      <c r="AC13" s="27">
        <f>IF(A13="","",SUMIFS(tbl_Finance[Ex GST],tbl_Finance[Job Number],A13&amp;""))</f>
        <v/>
      </c>
      <c r="AD13" s="27">
        <f>IF(A13="","",SUMIFS(tbl_Finance[Ex GST],tbl_Finance[Job Number],A13&amp;"",tbl_Finance[Xero Invoice No],"&lt;&gt;"))</f>
        <v/>
      </c>
      <c r="AE13" s="27">
        <f>IF(A13="","",AC13-AD13)</f>
        <v/>
      </c>
      <c r="AF13" s="26">
        <f>IF(A13="","",IFERROR(IF(INDEX(tbl_Onsite[Qwilr Quote],IFERROR(MATCH(A13&amp;"",tbl_Onsite[Job Number],0),MATCH(IFERROR(A13+0,A13),tbl_Onsite[Job Number],0)))="","",INDEX(tbl_Onsite[Qwilr Quote],IFERROR(MATCH(A13&amp;"",tbl_Onsite[Job Number],0),MATCH(IFERROR(A13+0,A13),tbl_Onsite[Job Number],0)))),IFERROR(IF(IF(INDEX(tbl_Production[Current RMS No],IFERROR(MATCH(A13&amp;"",tbl_Production[Job Number],0),MATCH(IFERROR(A13+0,A13),tbl_Production[Job Number],0)))="",INDEX(tbl_Production[Qwilr Quote],IFERROR(MATCH(A13&amp;"",tbl_Production[Job Number],0),MATCH(IFERROR(A13+0,A13),tbl_Production[Job Number],0))),INDEX(tbl_Production[Current RMS No],IFERROR(MATCH(A13&amp;"",tbl_Production[Job Number],0),MATCH(IFERROR(A13+0,A13),tbl_Production[Job Number],0))))="","",IF(INDEX(tbl_Production[Current RMS No],IFERROR(MATCH(A13&amp;"",tbl_Production[Job Number],0),MATCH(IFERROR(A13+0,A13),tbl_Production[Job Number],0)))="",INDEX(tbl_Production[Qwilr Quote],IFERROR(MATCH(A13&amp;"",tbl_Production[Job Number],0),MATCH(IFERROR(A13+0,A13),tbl_Production[Job Number],0))),INDEX(tbl_Production[Current RMS No],IFERROR(MATCH(A13&amp;"",tbl_Production[Job Number],0),MATCH(IFERROR(A13+0,A13),tbl_Production[Job Number],0))))),IFERROR(IF(INDEX(tbl_Consulting[Qwilr Quote],IFERROR(MATCH(A13&amp;"",tbl_Consulting[Job Number],0),MATCH(IFERROR(A13+0,A13),tbl_Consulting[Job Number],0)))="","",INDEX(tbl_Consulting[Qwilr Quote],IFERROR(MATCH(A13&amp;"",tbl_Consulting[Job Number],0),MATCH(IFERROR(A13+0,A13),tbl_Consulting[Job Number],0)))),""))))</f>
        <v/>
      </c>
      <c r="AG13" s="26">
        <f>IF(AF13="","",IF(AND(LEFT(AF13,4)&lt;&gt;"http",IF(G13="Production",set_RMSBase,set_QwilrBase)=""),"",HYPERLINK(IF(LEFT(AF13,4)="http",AF13,IF(G13="Production",set_RMSBase,set_QwilrBase)&amp;AF13),"Open")))</f>
        <v/>
      </c>
      <c r="AH13" s="27">
        <f>IF(A13="","",IFERROR(INDEX(tbl_Production[Total Expense],IFERROR(MATCH(A13&amp;"",tbl_Production[Job Number],0),MATCH(IFERROR(A13+0,A13),tbl_Production[Job Number],0))),IFERROR(INDEX(tbl_Consulting[Total Expense],IFERROR(MATCH(A13&amp;"",tbl_Consulting[Job Number],0),MATCH(IFERROR(A13+0,A13),tbl_Consulting[Job Number],0))),0)))</f>
        <v/>
      </c>
      <c r="AI13" s="27">
        <f>IF(A13="","",AC13-N(AH13))</f>
        <v/>
      </c>
      <c r="AJ13" s="29">
        <f>IFERROR(AI13/AC13,"")</f>
        <v/>
      </c>
      <c r="AK13" s="26">
        <f>IF(A13="","",IFERROR(IF(INDEX(tbl_Onsite[Notes],IFERROR(MATCH(A13&amp;"",tbl_Onsite[Job Number],0),MATCH(IFERROR(A13+0,A13),tbl_Onsite[Job Number],0)))="","",INDEX(tbl_Onsite[Notes],IFERROR(MATCH(A13&amp;"",tbl_Onsite[Job Number],0),MATCH(IFERROR(A13+0,A13),tbl_Onsite[Job Number],0)))),IFERROR(IF(INDEX(tbl_Production[Notes],IFERROR(MATCH(A13&amp;"",tbl_Production[Job Number],0),MATCH(IFERROR(A13+0,A13),tbl_Production[Job Number],0)))="","",INDEX(tbl_Production[Notes],IFERROR(MATCH(A13&amp;"",tbl_Production[Job Number],0),MATCH(IFERROR(A13+0,A13),tbl_Production[Job Number],0)))),IFERROR(IF(INDEX(tbl_Consulting[Notes],IFERROR(MATCH(A13&amp;"",tbl_Consulting[Job Number],0),MATCH(IFERROR(A13+0,A13),tbl_Consulting[Job Number],0)))="","",INDEX(tbl_Consulting[Notes],IFERROR(MATCH(A13&amp;"",tbl_Consulting[Job Number],0),MATCH(IFERROR(A13+0,A13),tbl_Consulting[Job Number],0)))),""))))</f>
        <v/>
      </c>
    </row>
    <row r="14" ht="15" customHeight="1">
      <c r="A14" s="22" t="n"/>
      <c r="B14" s="22" t="n"/>
      <c r="C14" s="23" t="n"/>
      <c r="D14" s="22" t="n"/>
      <c r="E14" s="24" t="n"/>
      <c r="F14" s="25">
        <f>IF(C14="","",EOMONTH(C14,0))</f>
        <v/>
      </c>
      <c r="G14" s="26">
        <f>IF(A14="","",IF(COUNTIF(tbl_Onsite[Job Number],A14&amp;"")&gt;0,"Onsite",IF(COUNTIF(tbl_Production[Job Number],A14&amp;"")&gt;0,"Production",IF(COUNTIF(tbl_Consulting[Job Number],A14&amp;"")&gt;0,"Consulting","not set up yet"))))</f>
        <v/>
      </c>
      <c r="H14" s="26">
        <f>IF(A14="","",IF(COUNTIF(lst_Jobs,A14&amp;"")&gt;0,"OK","CHECK"))</f>
        <v/>
      </c>
      <c r="I14" s="26">
        <f>IF(A14="","",IFERROR(INDEX(lst_JobName,MATCH(A14&amp;"",lst_Jobs,0)),""))</f>
        <v/>
      </c>
      <c r="J14" s="26">
        <f>IF(A14="","",IFERROR(IF(INDEX(tbl_Onsite[Client],IFERROR(MATCH(A14&amp;"",tbl_Onsite[Job Number],0),MATCH(IFERROR(A14+0,A14),tbl_Onsite[Job Number],0)))="","",INDEX(tbl_Onsite[Client],IFERROR(MATCH(A14&amp;"",tbl_Onsite[Job Number],0),MATCH(IFERROR(A14+0,A14),tbl_Onsite[Job Number],0)))),IFERROR(IF(INDEX(tbl_Production[Client],IFERROR(MATCH(A14&amp;"",tbl_Production[Job Number],0),MATCH(IFERROR(A14+0,A14),tbl_Production[Job Number],0)))="","",INDEX(tbl_Production[Client],IFERROR(MATCH(A14&amp;"",tbl_Production[Job Number],0),MATCH(IFERROR(A14+0,A14),tbl_Production[Job Number],0)))),IFERROR(IF(INDEX(tbl_Consulting[Client],IFERROR(MATCH(A14&amp;"",tbl_Consulting[Job Number],0),MATCH(IFERROR(A14+0,A14),tbl_Consulting[Job Number],0)))="","",INDEX(tbl_Consulting[Client],IFERROR(MATCH(A14&amp;"",tbl_Consulting[Job Number],0),MATCH(IFERROR(A14+0,A14),tbl_Consulting[Job Number],0)))),""))))</f>
        <v/>
      </c>
      <c r="K14" s="26">
        <f>IF(A14="","",IFERROR(IF(INDEX(tbl_Onsite[Job Description],IFERROR(MATCH(A14&amp;"",tbl_Onsite[Job Number],0),MATCH(IFERROR(A14+0,A14),tbl_Onsite[Job Number],0)))="","",INDEX(tbl_Onsite[Job Description],IFERROR(MATCH(A14&amp;"",tbl_Onsite[Job Number],0),MATCH(IFERROR(A14+0,A14),tbl_Onsite[Job Number],0)))),IFERROR(IF(INDEX(tbl_Production[Job Description],IFERROR(MATCH(A14&amp;"",tbl_Production[Job Number],0),MATCH(IFERROR(A14+0,A14),tbl_Production[Job Number],0)))="","",INDEX(tbl_Production[Job Description],IFERROR(MATCH(A14&amp;"",tbl_Production[Job Number],0),MATCH(IFERROR(A14+0,A14),tbl_Production[Job Number],0)))),IFERROR(IF(INDEX(tbl_Consulting[Job Description],IFERROR(MATCH(A14&amp;"",tbl_Consulting[Job Number],0),MATCH(IFERROR(A14+0,A14),tbl_Consulting[Job Number],0)))="","",INDEX(tbl_Consulting[Job Description],IFERROR(MATCH(A14&amp;"",tbl_Consulting[Job Number],0),MATCH(IFERROR(A14+0,A14),tbl_Consulting[Job Number],0)))),""))))</f>
        <v/>
      </c>
      <c r="L14" s="26">
        <f>IF(A14="","",IFERROR(IF(INDEX(tbl_Onsite[Invoice Type],IFERROR(MATCH(A14&amp;"",tbl_Onsite[Job Number],0),MATCH(IFERROR(A14+0,A14),tbl_Onsite[Job Number],0)))="","",INDEX(tbl_Onsite[Invoice Type],IFERROR(MATCH(A14&amp;"",tbl_Onsite[Job Number],0),MATCH(IFERROR(A14+0,A14),tbl_Onsite[Job Number],0)))),IFERROR(IF(INDEX(tbl_Production[Invoice Type],IFERROR(MATCH(A14&amp;"",tbl_Production[Job Number],0),MATCH(IFERROR(A14+0,A14),tbl_Production[Job Number],0)))="","",INDEX(tbl_Production[Invoice Type],IFERROR(MATCH(A14&amp;"",tbl_Production[Job Number],0),MATCH(IFERROR(A14+0,A14),tbl_Production[Job Number],0)))),IFERROR(IF(INDEX(tbl_Consulting[Invoice Type],IFERROR(MATCH(A14&amp;"",tbl_Consulting[Job Number],0),MATCH(IFERROR(A14+0,A14),tbl_Consulting[Job Number],0)))="","",INDEX(tbl_Consulting[Invoice Type],IFERROR(MATCH(A14&amp;"",tbl_Consulting[Job Number],0),MATCH(IFERROR(A14+0,A14),tbl_Consulting[Job Number],0)))),""))))</f>
        <v/>
      </c>
      <c r="M14" s="26">
        <f>IF(A14="","",IF(IFERROR(IF(INDEX(tbl_Onsite[Tax Code],IFERROR(MATCH(A14&amp;"",tbl_Onsite[Job Number],0),MATCH(IFERROR(A14+0,A14),tbl_Onsite[Job Number],0)))="","",INDEX(tbl_Onsite[Tax Code],IFERROR(MATCH(A14&amp;"",tbl_Onsite[Job Number],0),MATCH(IFERROR(A14+0,A14),tbl_Onsite[Job Number],0)))),IFERROR(IF(INDEX(tbl_Production[Tax Code],IFERROR(MATCH(A14&amp;"",tbl_Production[Job Number],0),MATCH(IFERROR(A14+0,A14),tbl_Production[Job Number],0)))="","",INDEX(tbl_Production[Tax Code],IFERROR(MATCH(A14&amp;"",tbl_Production[Job Number],0),MATCH(IFERROR(A14+0,A14),tbl_Production[Job Number],0)))),IFERROR(IF(INDEX(tbl_Consulting[Tax Code],IFERROR(MATCH(A14&amp;"",tbl_Consulting[Job Number],0),MATCH(IFERROR(A14+0,A14),tbl_Consulting[Job Number],0)))="","",INDEX(tbl_Consulting[Tax Code],IFERROR(MATCH(A14&amp;"",tbl_Consulting[Job Number],0),MATCH(IFERROR(A14+0,A14),tbl_Consulting[Job Number],0)))),"")))="","GST 10%",IFERROR(IF(INDEX(tbl_Onsite[Tax Code],IFERROR(MATCH(A14&amp;"",tbl_Onsite[Job Number],0),MATCH(IFERROR(A14+0,A14),tbl_Onsite[Job Number],0)))="","",INDEX(tbl_Onsite[Tax Code],IFERROR(MATCH(A14&amp;"",tbl_Onsite[Job Number],0),MATCH(IFERROR(A14+0,A14),tbl_Onsite[Job Number],0)))),IFERROR(IF(INDEX(tbl_Production[Tax Code],IFERROR(MATCH(A14&amp;"",tbl_Production[Job Number],0),MATCH(IFERROR(A14+0,A14),tbl_Production[Job Number],0)))="","",INDEX(tbl_Production[Tax Code],IFERROR(MATCH(A14&amp;"",tbl_Production[Job Number],0),MATCH(IFERROR(A14+0,A14),tbl_Production[Job Number],0)))),IFERROR(IF(INDEX(tbl_Consulting[Tax Code],IFERROR(MATCH(A14&amp;"",tbl_Consulting[Job Number],0),MATCH(IFERROR(A14+0,A14),tbl_Consulting[Job Number],0)))="","",INDEX(tbl_Consulting[Tax Code],IFERROR(MATCH(A14&amp;"",tbl_Consulting[Job Number],0),MATCH(IFERROR(A14+0,A14),tbl_Consulting[Job Number],0)))),"")))))</f>
        <v/>
      </c>
      <c r="N14" s="26">
        <f>IF(D14="","",IFERROR(INDEX(lst_CCtoGL,MATCH(D14,lst_CCforGL,0)),""))</f>
        <v/>
      </c>
      <c r="O14" s="27">
        <f>IF(E14="","",IF(M14="GST 10%",ROUND(E14*set_GSTRate,2),0))</f>
        <v/>
      </c>
      <c r="P14" s="27">
        <f>IF(E14="","",E14+O14)</f>
        <v/>
      </c>
      <c r="Q14" s="27">
        <f>IF(A14="","",IFERROR(INDEX(tbl_Onsite[Expected Revenue Ex GST],IFERROR(MATCH(A14&amp;"",tbl_Onsite[Job Number],0),MATCH(IFERROR(A14+0,A14),tbl_Onsite[Job Number],0))),IFERROR(INDEX(tbl_Production[Expected Revenue Ex GST],IFERROR(MATCH(A14&amp;"",tbl_Production[Job Number],0),MATCH(IFERROR(A14+0,A14),tbl_Production[Job Number],0))),IFERROR(INDEX(tbl_Consulting[Expected Revenue Ex GST],IFERROR(MATCH(A14&amp;"",tbl_Consulting[Job Number],0),MATCH(IFERROR(A14+0,A14),tbl_Consulting[Job Number],0))),0))))</f>
        <v/>
      </c>
      <c r="R14" s="27">
        <f>IF(A14="","",SUMIFS(tbl_Finance[Ex GST],tbl_Finance[Job Number],A14&amp;""))</f>
        <v/>
      </c>
      <c r="S14" s="27">
        <f>IF(A14="","",Q14-R14)</f>
        <v/>
      </c>
      <c r="T14" s="26">
        <f>IF(A14="","",IF(Q14=0,"No dept value",IF(ROUND(S14,2)=0,"Agrees",IF(S14&gt;0,"Dept higher - to invoice","Xero higher - check dept"))))</f>
        <v/>
      </c>
      <c r="U14" s="22" t="n"/>
      <c r="V14" s="22" t="n"/>
      <c r="W14" s="23" t="n"/>
      <c r="X14" s="23" t="n"/>
      <c r="Y14" s="22" t="n"/>
      <c r="Z14" s="22" t="n"/>
      <c r="AA14" s="26">
        <f>IF(COUNTA(C14,A14,B14,E14)=0,"",IF(C14="","No date - sits outside every month",IF(A14="","No job number",IF(H14="CHECK","Job number is not in the Xero job list",IF(G14="not set up yet","No department has set this job up - nothing can pull through",IF(D14="","No cost centre",IF(AND(U14="Y",B14=""),"Marked posted to Xero but has no invoice number",IF(N14="","Cost centre has no revenue GL on the Lists sheet",IF(T14="Xero higher - check dept","Invoiced more than the department says the job is worth","")))))))))</f>
        <v/>
      </c>
      <c r="AB14" s="28">
        <f>IF(A14="","",COUNTIFS(tbl_Finance[Job Number],A14&amp;"",tbl_Finance[Ex GST],"&lt;&gt;"))</f>
        <v/>
      </c>
      <c r="AC14" s="27">
        <f>IF(A14="","",SUMIFS(tbl_Finance[Ex GST],tbl_Finance[Job Number],A14&amp;""))</f>
        <v/>
      </c>
      <c r="AD14" s="27">
        <f>IF(A14="","",SUMIFS(tbl_Finance[Ex GST],tbl_Finance[Job Number],A14&amp;"",tbl_Finance[Xero Invoice No],"&lt;&gt;"))</f>
        <v/>
      </c>
      <c r="AE14" s="27">
        <f>IF(A14="","",AC14-AD14)</f>
        <v/>
      </c>
      <c r="AF14" s="26">
        <f>IF(A14="","",IFERROR(IF(INDEX(tbl_Onsite[Qwilr Quote],IFERROR(MATCH(A14&amp;"",tbl_Onsite[Job Number],0),MATCH(IFERROR(A14+0,A14),tbl_Onsite[Job Number],0)))="","",INDEX(tbl_Onsite[Qwilr Quote],IFERROR(MATCH(A14&amp;"",tbl_Onsite[Job Number],0),MATCH(IFERROR(A14+0,A14),tbl_Onsite[Job Number],0)))),IFERROR(IF(IF(INDEX(tbl_Production[Current RMS No],IFERROR(MATCH(A14&amp;"",tbl_Production[Job Number],0),MATCH(IFERROR(A14+0,A14),tbl_Production[Job Number],0)))="",INDEX(tbl_Production[Qwilr Quote],IFERROR(MATCH(A14&amp;"",tbl_Production[Job Number],0),MATCH(IFERROR(A14+0,A14),tbl_Production[Job Number],0))),INDEX(tbl_Production[Current RMS No],IFERROR(MATCH(A14&amp;"",tbl_Production[Job Number],0),MATCH(IFERROR(A14+0,A14),tbl_Production[Job Number],0))))="","",IF(INDEX(tbl_Production[Current RMS No],IFERROR(MATCH(A14&amp;"",tbl_Production[Job Number],0),MATCH(IFERROR(A14+0,A14),tbl_Production[Job Number],0)))="",INDEX(tbl_Production[Qwilr Quote],IFERROR(MATCH(A14&amp;"",tbl_Production[Job Number],0),MATCH(IFERROR(A14+0,A14),tbl_Production[Job Number],0))),INDEX(tbl_Production[Current RMS No],IFERROR(MATCH(A14&amp;"",tbl_Production[Job Number],0),MATCH(IFERROR(A14+0,A14),tbl_Production[Job Number],0))))),IFERROR(IF(INDEX(tbl_Consulting[Qwilr Quote],IFERROR(MATCH(A14&amp;"",tbl_Consulting[Job Number],0),MATCH(IFERROR(A14+0,A14),tbl_Consulting[Job Number],0)))="","",INDEX(tbl_Consulting[Qwilr Quote],IFERROR(MATCH(A14&amp;"",tbl_Consulting[Job Number],0),MATCH(IFERROR(A14+0,A14),tbl_Consulting[Job Number],0)))),""))))</f>
        <v/>
      </c>
      <c r="AG14" s="26">
        <f>IF(AF14="","",IF(AND(LEFT(AF14,4)&lt;&gt;"http",IF(G14="Production",set_RMSBase,set_QwilrBase)=""),"",HYPERLINK(IF(LEFT(AF14,4)="http",AF14,IF(G14="Production",set_RMSBase,set_QwilrBase)&amp;AF14),"Open")))</f>
        <v/>
      </c>
      <c r="AH14" s="27">
        <f>IF(A14="","",IFERROR(INDEX(tbl_Production[Total Expense],IFERROR(MATCH(A14&amp;"",tbl_Production[Job Number],0),MATCH(IFERROR(A14+0,A14),tbl_Production[Job Number],0))),IFERROR(INDEX(tbl_Consulting[Total Expense],IFERROR(MATCH(A14&amp;"",tbl_Consulting[Job Number],0),MATCH(IFERROR(A14+0,A14),tbl_Consulting[Job Number],0))),0)))</f>
        <v/>
      </c>
      <c r="AI14" s="27">
        <f>IF(A14="","",AC14-N(AH14))</f>
        <v/>
      </c>
      <c r="AJ14" s="29">
        <f>IFERROR(AI14/AC14,"")</f>
        <v/>
      </c>
      <c r="AK14" s="26">
        <f>IF(A14="","",IFERROR(IF(INDEX(tbl_Onsite[Notes],IFERROR(MATCH(A14&amp;"",tbl_Onsite[Job Number],0),MATCH(IFERROR(A14+0,A14),tbl_Onsite[Job Number],0)))="","",INDEX(tbl_Onsite[Notes],IFERROR(MATCH(A14&amp;"",tbl_Onsite[Job Number],0),MATCH(IFERROR(A14+0,A14),tbl_Onsite[Job Number],0)))),IFERROR(IF(INDEX(tbl_Production[Notes],IFERROR(MATCH(A14&amp;"",tbl_Production[Job Number],0),MATCH(IFERROR(A14+0,A14),tbl_Production[Job Number],0)))="","",INDEX(tbl_Production[Notes],IFERROR(MATCH(A14&amp;"",tbl_Production[Job Number],0),MATCH(IFERROR(A14+0,A14),tbl_Production[Job Number],0)))),IFERROR(IF(INDEX(tbl_Consulting[Notes],IFERROR(MATCH(A14&amp;"",tbl_Consulting[Job Number],0),MATCH(IFERROR(A14+0,A14),tbl_Consulting[Job Number],0)))="","",INDEX(tbl_Consulting[Notes],IFERROR(MATCH(A14&amp;"",tbl_Consulting[Job Number],0),MATCH(IFERROR(A14+0,A14),tbl_Consulting[Job Number],0)))),""))))</f>
        <v/>
      </c>
    </row>
    <row r="15" ht="15" customHeight="1">
      <c r="A15" s="22" t="n"/>
      <c r="B15" s="22" t="n"/>
      <c r="C15" s="23" t="n"/>
      <c r="D15" s="22" t="n"/>
      <c r="E15" s="24" t="n"/>
      <c r="F15" s="25">
        <f>IF(C15="","",EOMONTH(C15,0))</f>
        <v/>
      </c>
      <c r="G15" s="26">
        <f>IF(A15="","",IF(COUNTIF(tbl_Onsite[Job Number],A15&amp;"")&gt;0,"Onsite",IF(COUNTIF(tbl_Production[Job Number],A15&amp;"")&gt;0,"Production",IF(COUNTIF(tbl_Consulting[Job Number],A15&amp;"")&gt;0,"Consulting","not set up yet"))))</f>
        <v/>
      </c>
      <c r="H15" s="26">
        <f>IF(A15="","",IF(COUNTIF(lst_Jobs,A15&amp;"")&gt;0,"OK","CHECK"))</f>
        <v/>
      </c>
      <c r="I15" s="26">
        <f>IF(A15="","",IFERROR(INDEX(lst_JobName,MATCH(A15&amp;"",lst_Jobs,0)),""))</f>
        <v/>
      </c>
      <c r="J15" s="26">
        <f>IF(A15="","",IFERROR(IF(INDEX(tbl_Onsite[Client],IFERROR(MATCH(A15&amp;"",tbl_Onsite[Job Number],0),MATCH(IFERROR(A15+0,A15),tbl_Onsite[Job Number],0)))="","",INDEX(tbl_Onsite[Client],IFERROR(MATCH(A15&amp;"",tbl_Onsite[Job Number],0),MATCH(IFERROR(A15+0,A15),tbl_Onsite[Job Number],0)))),IFERROR(IF(INDEX(tbl_Production[Client],IFERROR(MATCH(A15&amp;"",tbl_Production[Job Number],0),MATCH(IFERROR(A15+0,A15),tbl_Production[Job Number],0)))="","",INDEX(tbl_Production[Client],IFERROR(MATCH(A15&amp;"",tbl_Production[Job Number],0),MATCH(IFERROR(A15+0,A15),tbl_Production[Job Number],0)))),IFERROR(IF(INDEX(tbl_Consulting[Client],IFERROR(MATCH(A15&amp;"",tbl_Consulting[Job Number],0),MATCH(IFERROR(A15+0,A15),tbl_Consulting[Job Number],0)))="","",INDEX(tbl_Consulting[Client],IFERROR(MATCH(A15&amp;"",tbl_Consulting[Job Number],0),MATCH(IFERROR(A15+0,A15),tbl_Consulting[Job Number],0)))),""))))</f>
        <v/>
      </c>
      <c r="K15" s="26">
        <f>IF(A15="","",IFERROR(IF(INDEX(tbl_Onsite[Job Description],IFERROR(MATCH(A15&amp;"",tbl_Onsite[Job Number],0),MATCH(IFERROR(A15+0,A15),tbl_Onsite[Job Number],0)))="","",INDEX(tbl_Onsite[Job Description],IFERROR(MATCH(A15&amp;"",tbl_Onsite[Job Number],0),MATCH(IFERROR(A15+0,A15),tbl_Onsite[Job Number],0)))),IFERROR(IF(INDEX(tbl_Production[Job Description],IFERROR(MATCH(A15&amp;"",tbl_Production[Job Number],0),MATCH(IFERROR(A15+0,A15),tbl_Production[Job Number],0)))="","",INDEX(tbl_Production[Job Description],IFERROR(MATCH(A15&amp;"",tbl_Production[Job Number],0),MATCH(IFERROR(A15+0,A15),tbl_Production[Job Number],0)))),IFERROR(IF(INDEX(tbl_Consulting[Job Description],IFERROR(MATCH(A15&amp;"",tbl_Consulting[Job Number],0),MATCH(IFERROR(A15+0,A15),tbl_Consulting[Job Number],0)))="","",INDEX(tbl_Consulting[Job Description],IFERROR(MATCH(A15&amp;"",tbl_Consulting[Job Number],0),MATCH(IFERROR(A15+0,A15),tbl_Consulting[Job Number],0)))),""))))</f>
        <v/>
      </c>
      <c r="L15" s="26">
        <f>IF(A15="","",IFERROR(IF(INDEX(tbl_Onsite[Invoice Type],IFERROR(MATCH(A15&amp;"",tbl_Onsite[Job Number],0),MATCH(IFERROR(A15+0,A15),tbl_Onsite[Job Number],0)))="","",INDEX(tbl_Onsite[Invoice Type],IFERROR(MATCH(A15&amp;"",tbl_Onsite[Job Number],0),MATCH(IFERROR(A15+0,A15),tbl_Onsite[Job Number],0)))),IFERROR(IF(INDEX(tbl_Production[Invoice Type],IFERROR(MATCH(A15&amp;"",tbl_Production[Job Number],0),MATCH(IFERROR(A15+0,A15),tbl_Production[Job Number],0)))="","",INDEX(tbl_Production[Invoice Type],IFERROR(MATCH(A15&amp;"",tbl_Production[Job Number],0),MATCH(IFERROR(A15+0,A15),tbl_Production[Job Number],0)))),IFERROR(IF(INDEX(tbl_Consulting[Invoice Type],IFERROR(MATCH(A15&amp;"",tbl_Consulting[Job Number],0),MATCH(IFERROR(A15+0,A15),tbl_Consulting[Job Number],0)))="","",INDEX(tbl_Consulting[Invoice Type],IFERROR(MATCH(A15&amp;"",tbl_Consulting[Job Number],0),MATCH(IFERROR(A15+0,A15),tbl_Consulting[Job Number],0)))),""))))</f>
        <v/>
      </c>
      <c r="M15" s="26">
        <f>IF(A15="","",IF(IFERROR(IF(INDEX(tbl_Onsite[Tax Code],IFERROR(MATCH(A15&amp;"",tbl_Onsite[Job Number],0),MATCH(IFERROR(A15+0,A15),tbl_Onsite[Job Number],0)))="","",INDEX(tbl_Onsite[Tax Code],IFERROR(MATCH(A15&amp;"",tbl_Onsite[Job Number],0),MATCH(IFERROR(A15+0,A15),tbl_Onsite[Job Number],0)))),IFERROR(IF(INDEX(tbl_Production[Tax Code],IFERROR(MATCH(A15&amp;"",tbl_Production[Job Number],0),MATCH(IFERROR(A15+0,A15),tbl_Production[Job Number],0)))="","",INDEX(tbl_Production[Tax Code],IFERROR(MATCH(A15&amp;"",tbl_Production[Job Number],0),MATCH(IFERROR(A15+0,A15),tbl_Production[Job Number],0)))),IFERROR(IF(INDEX(tbl_Consulting[Tax Code],IFERROR(MATCH(A15&amp;"",tbl_Consulting[Job Number],0),MATCH(IFERROR(A15+0,A15),tbl_Consulting[Job Number],0)))="","",INDEX(tbl_Consulting[Tax Code],IFERROR(MATCH(A15&amp;"",tbl_Consulting[Job Number],0),MATCH(IFERROR(A15+0,A15),tbl_Consulting[Job Number],0)))),"")))="","GST 10%",IFERROR(IF(INDEX(tbl_Onsite[Tax Code],IFERROR(MATCH(A15&amp;"",tbl_Onsite[Job Number],0),MATCH(IFERROR(A15+0,A15),tbl_Onsite[Job Number],0)))="","",INDEX(tbl_Onsite[Tax Code],IFERROR(MATCH(A15&amp;"",tbl_Onsite[Job Number],0),MATCH(IFERROR(A15+0,A15),tbl_Onsite[Job Number],0)))),IFERROR(IF(INDEX(tbl_Production[Tax Code],IFERROR(MATCH(A15&amp;"",tbl_Production[Job Number],0),MATCH(IFERROR(A15+0,A15),tbl_Production[Job Number],0)))="","",INDEX(tbl_Production[Tax Code],IFERROR(MATCH(A15&amp;"",tbl_Production[Job Number],0),MATCH(IFERROR(A15+0,A15),tbl_Production[Job Number],0)))),IFERROR(IF(INDEX(tbl_Consulting[Tax Code],IFERROR(MATCH(A15&amp;"",tbl_Consulting[Job Number],0),MATCH(IFERROR(A15+0,A15),tbl_Consulting[Job Number],0)))="","",INDEX(tbl_Consulting[Tax Code],IFERROR(MATCH(A15&amp;"",tbl_Consulting[Job Number],0),MATCH(IFERROR(A15+0,A15),tbl_Consulting[Job Number],0)))),"")))))</f>
        <v/>
      </c>
      <c r="N15" s="26">
        <f>IF(D15="","",IFERROR(INDEX(lst_CCtoGL,MATCH(D15,lst_CCforGL,0)),""))</f>
        <v/>
      </c>
      <c r="O15" s="27">
        <f>IF(E15="","",IF(M15="GST 10%",ROUND(E15*set_GSTRate,2),0))</f>
        <v/>
      </c>
      <c r="P15" s="27">
        <f>IF(E15="","",E15+O15)</f>
        <v/>
      </c>
      <c r="Q15" s="27">
        <f>IF(A15="","",IFERROR(INDEX(tbl_Onsite[Expected Revenue Ex GST],IFERROR(MATCH(A15&amp;"",tbl_Onsite[Job Number],0),MATCH(IFERROR(A15+0,A15),tbl_Onsite[Job Number],0))),IFERROR(INDEX(tbl_Production[Expected Revenue Ex GST],IFERROR(MATCH(A15&amp;"",tbl_Production[Job Number],0),MATCH(IFERROR(A15+0,A15),tbl_Production[Job Number],0))),IFERROR(INDEX(tbl_Consulting[Expected Revenue Ex GST],IFERROR(MATCH(A15&amp;"",tbl_Consulting[Job Number],0),MATCH(IFERROR(A15+0,A15),tbl_Consulting[Job Number],0))),0))))</f>
        <v/>
      </c>
      <c r="R15" s="27">
        <f>IF(A15="","",SUMIFS(tbl_Finance[Ex GST],tbl_Finance[Job Number],A15&amp;""))</f>
        <v/>
      </c>
      <c r="S15" s="27">
        <f>IF(A15="","",Q15-R15)</f>
        <v/>
      </c>
      <c r="T15" s="26">
        <f>IF(A15="","",IF(Q15=0,"No dept value",IF(ROUND(S15,2)=0,"Agrees",IF(S15&gt;0,"Dept higher - to invoice","Xero higher - check dept"))))</f>
        <v/>
      </c>
      <c r="U15" s="22" t="n"/>
      <c r="V15" s="22" t="n"/>
      <c r="W15" s="23" t="n"/>
      <c r="X15" s="23" t="n"/>
      <c r="Y15" s="22" t="n"/>
      <c r="Z15" s="22" t="n"/>
      <c r="AA15" s="26">
        <f>IF(COUNTA(C15,A15,B15,E15)=0,"",IF(C15="","No date - sits outside every month",IF(A15="","No job number",IF(H15="CHECK","Job number is not in the Xero job list",IF(G15="not set up yet","No department has set this job up - nothing can pull through",IF(D15="","No cost centre",IF(AND(U15="Y",B15=""),"Marked posted to Xero but has no invoice number",IF(N15="","Cost centre has no revenue GL on the Lists sheet",IF(T15="Xero higher - check dept","Invoiced more than the department says the job is worth","")))))))))</f>
        <v/>
      </c>
      <c r="AB15" s="28">
        <f>IF(A15="","",COUNTIFS(tbl_Finance[Job Number],A15&amp;"",tbl_Finance[Ex GST],"&lt;&gt;"))</f>
        <v/>
      </c>
      <c r="AC15" s="27">
        <f>IF(A15="","",SUMIFS(tbl_Finance[Ex GST],tbl_Finance[Job Number],A15&amp;""))</f>
        <v/>
      </c>
      <c r="AD15" s="27">
        <f>IF(A15="","",SUMIFS(tbl_Finance[Ex GST],tbl_Finance[Job Number],A15&amp;"",tbl_Finance[Xero Invoice No],"&lt;&gt;"))</f>
        <v/>
      </c>
      <c r="AE15" s="27">
        <f>IF(A15="","",AC15-AD15)</f>
        <v/>
      </c>
      <c r="AF15" s="26">
        <f>IF(A15="","",IFERROR(IF(INDEX(tbl_Onsite[Qwilr Quote],IFERROR(MATCH(A15&amp;"",tbl_Onsite[Job Number],0),MATCH(IFERROR(A15+0,A15),tbl_Onsite[Job Number],0)))="","",INDEX(tbl_Onsite[Qwilr Quote],IFERROR(MATCH(A15&amp;"",tbl_Onsite[Job Number],0),MATCH(IFERROR(A15+0,A15),tbl_Onsite[Job Number],0)))),IFERROR(IF(IF(INDEX(tbl_Production[Current RMS No],IFERROR(MATCH(A15&amp;"",tbl_Production[Job Number],0),MATCH(IFERROR(A15+0,A15),tbl_Production[Job Number],0)))="",INDEX(tbl_Production[Qwilr Quote],IFERROR(MATCH(A15&amp;"",tbl_Production[Job Number],0),MATCH(IFERROR(A15+0,A15),tbl_Production[Job Number],0))),INDEX(tbl_Production[Current RMS No],IFERROR(MATCH(A15&amp;"",tbl_Production[Job Number],0),MATCH(IFERROR(A15+0,A15),tbl_Production[Job Number],0))))="","",IF(INDEX(tbl_Production[Current RMS No],IFERROR(MATCH(A15&amp;"",tbl_Production[Job Number],0),MATCH(IFERROR(A15+0,A15),tbl_Production[Job Number],0)))="",INDEX(tbl_Production[Qwilr Quote],IFERROR(MATCH(A15&amp;"",tbl_Production[Job Number],0),MATCH(IFERROR(A15+0,A15),tbl_Production[Job Number],0))),INDEX(tbl_Production[Current RMS No],IFERROR(MATCH(A15&amp;"",tbl_Production[Job Number],0),MATCH(IFERROR(A15+0,A15),tbl_Production[Job Number],0))))),IFERROR(IF(INDEX(tbl_Consulting[Qwilr Quote],IFERROR(MATCH(A15&amp;"",tbl_Consulting[Job Number],0),MATCH(IFERROR(A15+0,A15),tbl_Consulting[Job Number],0)))="","",INDEX(tbl_Consulting[Qwilr Quote],IFERROR(MATCH(A15&amp;"",tbl_Consulting[Job Number],0),MATCH(IFERROR(A15+0,A15),tbl_Consulting[Job Number],0)))),""))))</f>
        <v/>
      </c>
      <c r="AG15" s="26">
        <f>IF(AF15="","",IF(AND(LEFT(AF15,4)&lt;&gt;"http",IF(G15="Production",set_RMSBase,set_QwilrBase)=""),"",HYPERLINK(IF(LEFT(AF15,4)="http",AF15,IF(G15="Production",set_RMSBase,set_QwilrBase)&amp;AF15),"Open")))</f>
        <v/>
      </c>
      <c r="AH15" s="27">
        <f>IF(A15="","",IFERROR(INDEX(tbl_Production[Total Expense],IFERROR(MATCH(A15&amp;"",tbl_Production[Job Number],0),MATCH(IFERROR(A15+0,A15),tbl_Production[Job Number],0))),IFERROR(INDEX(tbl_Consulting[Total Expense],IFERROR(MATCH(A15&amp;"",tbl_Consulting[Job Number],0),MATCH(IFERROR(A15+0,A15),tbl_Consulting[Job Number],0))),0)))</f>
        <v/>
      </c>
      <c r="AI15" s="27">
        <f>IF(A15="","",AC15-N(AH15))</f>
        <v/>
      </c>
      <c r="AJ15" s="29">
        <f>IFERROR(AI15/AC15,"")</f>
        <v/>
      </c>
      <c r="AK15" s="26">
        <f>IF(A15="","",IFERROR(IF(INDEX(tbl_Onsite[Notes],IFERROR(MATCH(A15&amp;"",tbl_Onsite[Job Number],0),MATCH(IFERROR(A15+0,A15),tbl_Onsite[Job Number],0)))="","",INDEX(tbl_Onsite[Notes],IFERROR(MATCH(A15&amp;"",tbl_Onsite[Job Number],0),MATCH(IFERROR(A15+0,A15),tbl_Onsite[Job Number],0)))),IFERROR(IF(INDEX(tbl_Production[Notes],IFERROR(MATCH(A15&amp;"",tbl_Production[Job Number],0),MATCH(IFERROR(A15+0,A15),tbl_Production[Job Number],0)))="","",INDEX(tbl_Production[Notes],IFERROR(MATCH(A15&amp;"",tbl_Production[Job Number],0),MATCH(IFERROR(A15+0,A15),tbl_Production[Job Number],0)))),IFERROR(IF(INDEX(tbl_Consulting[Notes],IFERROR(MATCH(A15&amp;"",tbl_Consulting[Job Number],0),MATCH(IFERROR(A15+0,A15),tbl_Consulting[Job Number],0)))="","",INDEX(tbl_Consulting[Notes],IFERROR(MATCH(A15&amp;"",tbl_Consulting[Job Number],0),MATCH(IFERROR(A15+0,A15),tbl_Consulting[Job Number],0)))),""))))</f>
        <v/>
      </c>
    </row>
    <row r="16" ht="15" customHeight="1">
      <c r="A16" s="22" t="n"/>
      <c r="B16" s="22" t="n"/>
      <c r="C16" s="23" t="n"/>
      <c r="D16" s="22" t="n"/>
      <c r="E16" s="24" t="n"/>
      <c r="F16" s="25">
        <f>IF(C16="","",EOMONTH(C16,0))</f>
        <v/>
      </c>
      <c r="G16" s="26">
        <f>IF(A16="","",IF(COUNTIF(tbl_Onsite[Job Number],A16&amp;"")&gt;0,"Onsite",IF(COUNTIF(tbl_Production[Job Number],A16&amp;"")&gt;0,"Production",IF(COUNTIF(tbl_Consulting[Job Number],A16&amp;"")&gt;0,"Consulting","not set up yet"))))</f>
        <v/>
      </c>
      <c r="H16" s="26">
        <f>IF(A16="","",IF(COUNTIF(lst_Jobs,A16&amp;"")&gt;0,"OK","CHECK"))</f>
        <v/>
      </c>
      <c r="I16" s="26">
        <f>IF(A16="","",IFERROR(INDEX(lst_JobName,MATCH(A16&amp;"",lst_Jobs,0)),""))</f>
        <v/>
      </c>
      <c r="J16" s="26">
        <f>IF(A16="","",IFERROR(IF(INDEX(tbl_Onsite[Client],IFERROR(MATCH(A16&amp;"",tbl_Onsite[Job Number],0),MATCH(IFERROR(A16+0,A16),tbl_Onsite[Job Number],0)))="","",INDEX(tbl_Onsite[Client],IFERROR(MATCH(A16&amp;"",tbl_Onsite[Job Number],0),MATCH(IFERROR(A16+0,A16),tbl_Onsite[Job Number],0)))),IFERROR(IF(INDEX(tbl_Production[Client],IFERROR(MATCH(A16&amp;"",tbl_Production[Job Number],0),MATCH(IFERROR(A16+0,A16),tbl_Production[Job Number],0)))="","",INDEX(tbl_Production[Client],IFERROR(MATCH(A16&amp;"",tbl_Production[Job Number],0),MATCH(IFERROR(A16+0,A16),tbl_Production[Job Number],0)))),IFERROR(IF(INDEX(tbl_Consulting[Client],IFERROR(MATCH(A16&amp;"",tbl_Consulting[Job Number],0),MATCH(IFERROR(A16+0,A16),tbl_Consulting[Job Number],0)))="","",INDEX(tbl_Consulting[Client],IFERROR(MATCH(A16&amp;"",tbl_Consulting[Job Number],0),MATCH(IFERROR(A16+0,A16),tbl_Consulting[Job Number],0)))),""))))</f>
        <v/>
      </c>
      <c r="K16" s="26">
        <f>IF(A16="","",IFERROR(IF(INDEX(tbl_Onsite[Job Description],IFERROR(MATCH(A16&amp;"",tbl_Onsite[Job Number],0),MATCH(IFERROR(A16+0,A16),tbl_Onsite[Job Number],0)))="","",INDEX(tbl_Onsite[Job Description],IFERROR(MATCH(A16&amp;"",tbl_Onsite[Job Number],0),MATCH(IFERROR(A16+0,A16),tbl_Onsite[Job Number],0)))),IFERROR(IF(INDEX(tbl_Production[Job Description],IFERROR(MATCH(A16&amp;"",tbl_Production[Job Number],0),MATCH(IFERROR(A16+0,A16),tbl_Production[Job Number],0)))="","",INDEX(tbl_Production[Job Description],IFERROR(MATCH(A16&amp;"",tbl_Production[Job Number],0),MATCH(IFERROR(A16+0,A16),tbl_Production[Job Number],0)))),IFERROR(IF(INDEX(tbl_Consulting[Job Description],IFERROR(MATCH(A16&amp;"",tbl_Consulting[Job Number],0),MATCH(IFERROR(A16+0,A16),tbl_Consulting[Job Number],0)))="","",INDEX(tbl_Consulting[Job Description],IFERROR(MATCH(A16&amp;"",tbl_Consulting[Job Number],0),MATCH(IFERROR(A16+0,A16),tbl_Consulting[Job Number],0)))),""))))</f>
        <v/>
      </c>
      <c r="L16" s="26">
        <f>IF(A16="","",IFERROR(IF(INDEX(tbl_Onsite[Invoice Type],IFERROR(MATCH(A16&amp;"",tbl_Onsite[Job Number],0),MATCH(IFERROR(A16+0,A16),tbl_Onsite[Job Number],0)))="","",INDEX(tbl_Onsite[Invoice Type],IFERROR(MATCH(A16&amp;"",tbl_Onsite[Job Number],0),MATCH(IFERROR(A16+0,A16),tbl_Onsite[Job Number],0)))),IFERROR(IF(INDEX(tbl_Production[Invoice Type],IFERROR(MATCH(A16&amp;"",tbl_Production[Job Number],0),MATCH(IFERROR(A16+0,A16),tbl_Production[Job Number],0)))="","",INDEX(tbl_Production[Invoice Type],IFERROR(MATCH(A16&amp;"",tbl_Production[Job Number],0),MATCH(IFERROR(A16+0,A16),tbl_Production[Job Number],0)))),IFERROR(IF(INDEX(tbl_Consulting[Invoice Type],IFERROR(MATCH(A16&amp;"",tbl_Consulting[Job Number],0),MATCH(IFERROR(A16+0,A16),tbl_Consulting[Job Number],0)))="","",INDEX(tbl_Consulting[Invoice Type],IFERROR(MATCH(A16&amp;"",tbl_Consulting[Job Number],0),MATCH(IFERROR(A16+0,A16),tbl_Consulting[Job Number],0)))),""))))</f>
        <v/>
      </c>
      <c r="M16" s="26">
        <f>IF(A16="","",IF(IFERROR(IF(INDEX(tbl_Onsite[Tax Code],IFERROR(MATCH(A16&amp;"",tbl_Onsite[Job Number],0),MATCH(IFERROR(A16+0,A16),tbl_Onsite[Job Number],0)))="","",INDEX(tbl_Onsite[Tax Code],IFERROR(MATCH(A16&amp;"",tbl_Onsite[Job Number],0),MATCH(IFERROR(A16+0,A16),tbl_Onsite[Job Number],0)))),IFERROR(IF(INDEX(tbl_Production[Tax Code],IFERROR(MATCH(A16&amp;"",tbl_Production[Job Number],0),MATCH(IFERROR(A16+0,A16),tbl_Production[Job Number],0)))="","",INDEX(tbl_Production[Tax Code],IFERROR(MATCH(A16&amp;"",tbl_Production[Job Number],0),MATCH(IFERROR(A16+0,A16),tbl_Production[Job Number],0)))),IFERROR(IF(INDEX(tbl_Consulting[Tax Code],IFERROR(MATCH(A16&amp;"",tbl_Consulting[Job Number],0),MATCH(IFERROR(A16+0,A16),tbl_Consulting[Job Number],0)))="","",INDEX(tbl_Consulting[Tax Code],IFERROR(MATCH(A16&amp;"",tbl_Consulting[Job Number],0),MATCH(IFERROR(A16+0,A16),tbl_Consulting[Job Number],0)))),"")))="","GST 10%",IFERROR(IF(INDEX(tbl_Onsite[Tax Code],IFERROR(MATCH(A16&amp;"",tbl_Onsite[Job Number],0),MATCH(IFERROR(A16+0,A16),tbl_Onsite[Job Number],0)))="","",INDEX(tbl_Onsite[Tax Code],IFERROR(MATCH(A16&amp;"",tbl_Onsite[Job Number],0),MATCH(IFERROR(A16+0,A16),tbl_Onsite[Job Number],0)))),IFERROR(IF(INDEX(tbl_Production[Tax Code],IFERROR(MATCH(A16&amp;"",tbl_Production[Job Number],0),MATCH(IFERROR(A16+0,A16),tbl_Production[Job Number],0)))="","",INDEX(tbl_Production[Tax Code],IFERROR(MATCH(A16&amp;"",tbl_Production[Job Number],0),MATCH(IFERROR(A16+0,A16),tbl_Production[Job Number],0)))),IFERROR(IF(INDEX(tbl_Consulting[Tax Code],IFERROR(MATCH(A16&amp;"",tbl_Consulting[Job Number],0),MATCH(IFERROR(A16+0,A16),tbl_Consulting[Job Number],0)))="","",INDEX(tbl_Consulting[Tax Code],IFERROR(MATCH(A16&amp;"",tbl_Consulting[Job Number],0),MATCH(IFERROR(A16+0,A16),tbl_Consulting[Job Number],0)))),"")))))</f>
        <v/>
      </c>
      <c r="N16" s="26">
        <f>IF(D16="","",IFERROR(INDEX(lst_CCtoGL,MATCH(D16,lst_CCforGL,0)),""))</f>
        <v/>
      </c>
      <c r="O16" s="27">
        <f>IF(E16="","",IF(M16="GST 10%",ROUND(E16*set_GSTRate,2),0))</f>
        <v/>
      </c>
      <c r="P16" s="27">
        <f>IF(E16="","",E16+O16)</f>
        <v/>
      </c>
      <c r="Q16" s="27">
        <f>IF(A16="","",IFERROR(INDEX(tbl_Onsite[Expected Revenue Ex GST],IFERROR(MATCH(A16&amp;"",tbl_Onsite[Job Number],0),MATCH(IFERROR(A16+0,A16),tbl_Onsite[Job Number],0))),IFERROR(INDEX(tbl_Production[Expected Revenue Ex GST],IFERROR(MATCH(A16&amp;"",tbl_Production[Job Number],0),MATCH(IFERROR(A16+0,A16),tbl_Production[Job Number],0))),IFERROR(INDEX(tbl_Consulting[Expected Revenue Ex GST],IFERROR(MATCH(A16&amp;"",tbl_Consulting[Job Number],0),MATCH(IFERROR(A16+0,A16),tbl_Consulting[Job Number],0))),0))))</f>
        <v/>
      </c>
      <c r="R16" s="27">
        <f>IF(A16="","",SUMIFS(tbl_Finance[Ex GST],tbl_Finance[Job Number],A16&amp;""))</f>
        <v/>
      </c>
      <c r="S16" s="27">
        <f>IF(A16="","",Q16-R16)</f>
        <v/>
      </c>
      <c r="T16" s="26">
        <f>IF(A16="","",IF(Q16=0,"No dept value",IF(ROUND(S16,2)=0,"Agrees",IF(S16&gt;0,"Dept higher - to invoice","Xero higher - check dept"))))</f>
        <v/>
      </c>
      <c r="U16" s="22" t="n"/>
      <c r="V16" s="22" t="n"/>
      <c r="W16" s="23" t="n"/>
      <c r="X16" s="23" t="n"/>
      <c r="Y16" s="22" t="n"/>
      <c r="Z16" s="22" t="n"/>
      <c r="AA16" s="26">
        <f>IF(COUNTA(C16,A16,B16,E16)=0,"",IF(C16="","No date - sits outside every month",IF(A16="","No job number",IF(H16="CHECK","Job number is not in the Xero job list",IF(G16="not set up yet","No department has set this job up - nothing can pull through",IF(D16="","No cost centre",IF(AND(U16="Y",B16=""),"Marked posted to Xero but has no invoice number",IF(N16="","Cost centre has no revenue GL on the Lists sheet",IF(T16="Xero higher - check dept","Invoiced more than the department says the job is worth","")))))))))</f>
        <v/>
      </c>
      <c r="AB16" s="28">
        <f>IF(A16="","",COUNTIFS(tbl_Finance[Job Number],A16&amp;"",tbl_Finance[Ex GST],"&lt;&gt;"))</f>
        <v/>
      </c>
      <c r="AC16" s="27">
        <f>IF(A16="","",SUMIFS(tbl_Finance[Ex GST],tbl_Finance[Job Number],A16&amp;""))</f>
        <v/>
      </c>
      <c r="AD16" s="27">
        <f>IF(A16="","",SUMIFS(tbl_Finance[Ex GST],tbl_Finance[Job Number],A16&amp;"",tbl_Finance[Xero Invoice No],"&lt;&gt;"))</f>
        <v/>
      </c>
      <c r="AE16" s="27">
        <f>IF(A16="","",AC16-AD16)</f>
        <v/>
      </c>
      <c r="AF16" s="26">
        <f>IF(A16="","",IFERROR(IF(INDEX(tbl_Onsite[Qwilr Quote],IFERROR(MATCH(A16&amp;"",tbl_Onsite[Job Number],0),MATCH(IFERROR(A16+0,A16),tbl_Onsite[Job Number],0)))="","",INDEX(tbl_Onsite[Qwilr Quote],IFERROR(MATCH(A16&amp;"",tbl_Onsite[Job Number],0),MATCH(IFERROR(A16+0,A16),tbl_Onsite[Job Number],0)))),IFERROR(IF(IF(INDEX(tbl_Production[Current RMS No],IFERROR(MATCH(A16&amp;"",tbl_Production[Job Number],0),MATCH(IFERROR(A16+0,A16),tbl_Production[Job Number],0)))="",INDEX(tbl_Production[Qwilr Quote],IFERROR(MATCH(A16&amp;"",tbl_Production[Job Number],0),MATCH(IFERROR(A16+0,A16),tbl_Production[Job Number],0))),INDEX(tbl_Production[Current RMS No],IFERROR(MATCH(A16&amp;"",tbl_Production[Job Number],0),MATCH(IFERROR(A16+0,A16),tbl_Production[Job Number],0))))="","",IF(INDEX(tbl_Production[Current RMS No],IFERROR(MATCH(A16&amp;"",tbl_Production[Job Number],0),MATCH(IFERROR(A16+0,A16),tbl_Production[Job Number],0)))="",INDEX(tbl_Production[Qwilr Quote],IFERROR(MATCH(A16&amp;"",tbl_Production[Job Number],0),MATCH(IFERROR(A16+0,A16),tbl_Production[Job Number],0))),INDEX(tbl_Production[Current RMS No],IFERROR(MATCH(A16&amp;"",tbl_Production[Job Number],0),MATCH(IFERROR(A16+0,A16),tbl_Production[Job Number],0))))),IFERROR(IF(INDEX(tbl_Consulting[Qwilr Quote],IFERROR(MATCH(A16&amp;"",tbl_Consulting[Job Number],0),MATCH(IFERROR(A16+0,A16),tbl_Consulting[Job Number],0)))="","",INDEX(tbl_Consulting[Qwilr Quote],IFERROR(MATCH(A16&amp;"",tbl_Consulting[Job Number],0),MATCH(IFERROR(A16+0,A16),tbl_Consulting[Job Number],0)))),""))))</f>
        <v/>
      </c>
      <c r="AG16" s="26">
        <f>IF(AF16="","",IF(AND(LEFT(AF16,4)&lt;&gt;"http",IF(G16="Production",set_RMSBase,set_QwilrBase)=""),"",HYPERLINK(IF(LEFT(AF16,4)="http",AF16,IF(G16="Production",set_RMSBase,set_QwilrBase)&amp;AF16),"Open")))</f>
        <v/>
      </c>
      <c r="AH16" s="27">
        <f>IF(A16="","",IFERROR(INDEX(tbl_Production[Total Expense],IFERROR(MATCH(A16&amp;"",tbl_Production[Job Number],0),MATCH(IFERROR(A16+0,A16),tbl_Production[Job Number],0))),IFERROR(INDEX(tbl_Consulting[Total Expense],IFERROR(MATCH(A16&amp;"",tbl_Consulting[Job Number],0),MATCH(IFERROR(A16+0,A16),tbl_Consulting[Job Number],0))),0)))</f>
        <v/>
      </c>
      <c r="AI16" s="27">
        <f>IF(A16="","",AC16-N(AH16))</f>
        <v/>
      </c>
      <c r="AJ16" s="29">
        <f>IFERROR(AI16/AC16,"")</f>
        <v/>
      </c>
      <c r="AK16" s="26">
        <f>IF(A16="","",IFERROR(IF(INDEX(tbl_Onsite[Notes],IFERROR(MATCH(A16&amp;"",tbl_Onsite[Job Number],0),MATCH(IFERROR(A16+0,A16),tbl_Onsite[Job Number],0)))="","",INDEX(tbl_Onsite[Notes],IFERROR(MATCH(A16&amp;"",tbl_Onsite[Job Number],0),MATCH(IFERROR(A16+0,A16),tbl_Onsite[Job Number],0)))),IFERROR(IF(INDEX(tbl_Production[Notes],IFERROR(MATCH(A16&amp;"",tbl_Production[Job Number],0),MATCH(IFERROR(A16+0,A16),tbl_Production[Job Number],0)))="","",INDEX(tbl_Production[Notes],IFERROR(MATCH(A16&amp;"",tbl_Production[Job Number],0),MATCH(IFERROR(A16+0,A16),tbl_Production[Job Number],0)))),IFERROR(IF(INDEX(tbl_Consulting[Notes],IFERROR(MATCH(A16&amp;"",tbl_Consulting[Job Number],0),MATCH(IFERROR(A16+0,A16),tbl_Consulting[Job Number],0)))="","",INDEX(tbl_Consulting[Notes],IFERROR(MATCH(A16&amp;"",tbl_Consulting[Job Number],0),MATCH(IFERROR(A16+0,A16),tbl_Consulting[Job Number],0)))),""))))</f>
        <v/>
      </c>
    </row>
    <row r="17" ht="15" customHeight="1">
      <c r="A17" s="22" t="n"/>
      <c r="B17" s="22" t="n"/>
      <c r="C17" s="23" t="n"/>
      <c r="D17" s="22" t="n"/>
      <c r="E17" s="24" t="n"/>
      <c r="F17" s="25">
        <f>IF(C17="","",EOMONTH(C17,0))</f>
        <v/>
      </c>
      <c r="G17" s="26">
        <f>IF(A17="","",IF(COUNTIF(tbl_Onsite[Job Number],A17&amp;"")&gt;0,"Onsite",IF(COUNTIF(tbl_Production[Job Number],A17&amp;"")&gt;0,"Production",IF(COUNTIF(tbl_Consulting[Job Number],A17&amp;"")&gt;0,"Consulting","not set up yet"))))</f>
        <v/>
      </c>
      <c r="H17" s="26">
        <f>IF(A17="","",IF(COUNTIF(lst_Jobs,A17&amp;"")&gt;0,"OK","CHECK"))</f>
        <v/>
      </c>
      <c r="I17" s="26">
        <f>IF(A17="","",IFERROR(INDEX(lst_JobName,MATCH(A17&amp;"",lst_Jobs,0)),""))</f>
        <v/>
      </c>
      <c r="J17" s="26">
        <f>IF(A17="","",IFERROR(IF(INDEX(tbl_Onsite[Client],IFERROR(MATCH(A17&amp;"",tbl_Onsite[Job Number],0),MATCH(IFERROR(A17+0,A17),tbl_Onsite[Job Number],0)))="","",INDEX(tbl_Onsite[Client],IFERROR(MATCH(A17&amp;"",tbl_Onsite[Job Number],0),MATCH(IFERROR(A17+0,A17),tbl_Onsite[Job Number],0)))),IFERROR(IF(INDEX(tbl_Production[Client],IFERROR(MATCH(A17&amp;"",tbl_Production[Job Number],0),MATCH(IFERROR(A17+0,A17),tbl_Production[Job Number],0)))="","",INDEX(tbl_Production[Client],IFERROR(MATCH(A17&amp;"",tbl_Production[Job Number],0),MATCH(IFERROR(A17+0,A17),tbl_Production[Job Number],0)))),IFERROR(IF(INDEX(tbl_Consulting[Client],IFERROR(MATCH(A17&amp;"",tbl_Consulting[Job Number],0),MATCH(IFERROR(A17+0,A17),tbl_Consulting[Job Number],0)))="","",INDEX(tbl_Consulting[Client],IFERROR(MATCH(A17&amp;"",tbl_Consulting[Job Number],0),MATCH(IFERROR(A17+0,A17),tbl_Consulting[Job Number],0)))),""))))</f>
        <v/>
      </c>
      <c r="K17" s="26">
        <f>IF(A17="","",IFERROR(IF(INDEX(tbl_Onsite[Job Description],IFERROR(MATCH(A17&amp;"",tbl_Onsite[Job Number],0),MATCH(IFERROR(A17+0,A17),tbl_Onsite[Job Number],0)))="","",INDEX(tbl_Onsite[Job Description],IFERROR(MATCH(A17&amp;"",tbl_Onsite[Job Number],0),MATCH(IFERROR(A17+0,A17),tbl_Onsite[Job Number],0)))),IFERROR(IF(INDEX(tbl_Production[Job Description],IFERROR(MATCH(A17&amp;"",tbl_Production[Job Number],0),MATCH(IFERROR(A17+0,A17),tbl_Production[Job Number],0)))="","",INDEX(tbl_Production[Job Description],IFERROR(MATCH(A17&amp;"",tbl_Production[Job Number],0),MATCH(IFERROR(A17+0,A17),tbl_Production[Job Number],0)))),IFERROR(IF(INDEX(tbl_Consulting[Job Description],IFERROR(MATCH(A17&amp;"",tbl_Consulting[Job Number],0),MATCH(IFERROR(A17+0,A17),tbl_Consulting[Job Number],0)))="","",INDEX(tbl_Consulting[Job Description],IFERROR(MATCH(A17&amp;"",tbl_Consulting[Job Number],0),MATCH(IFERROR(A17+0,A17),tbl_Consulting[Job Number],0)))),""))))</f>
        <v/>
      </c>
      <c r="L17" s="26">
        <f>IF(A17="","",IFERROR(IF(INDEX(tbl_Onsite[Invoice Type],IFERROR(MATCH(A17&amp;"",tbl_Onsite[Job Number],0),MATCH(IFERROR(A17+0,A17),tbl_Onsite[Job Number],0)))="","",INDEX(tbl_Onsite[Invoice Type],IFERROR(MATCH(A17&amp;"",tbl_Onsite[Job Number],0),MATCH(IFERROR(A17+0,A17),tbl_Onsite[Job Number],0)))),IFERROR(IF(INDEX(tbl_Production[Invoice Type],IFERROR(MATCH(A17&amp;"",tbl_Production[Job Number],0),MATCH(IFERROR(A17+0,A17),tbl_Production[Job Number],0)))="","",INDEX(tbl_Production[Invoice Type],IFERROR(MATCH(A17&amp;"",tbl_Production[Job Number],0),MATCH(IFERROR(A17+0,A17),tbl_Production[Job Number],0)))),IFERROR(IF(INDEX(tbl_Consulting[Invoice Type],IFERROR(MATCH(A17&amp;"",tbl_Consulting[Job Number],0),MATCH(IFERROR(A17+0,A17),tbl_Consulting[Job Number],0)))="","",INDEX(tbl_Consulting[Invoice Type],IFERROR(MATCH(A17&amp;"",tbl_Consulting[Job Number],0),MATCH(IFERROR(A17+0,A17),tbl_Consulting[Job Number],0)))),""))))</f>
        <v/>
      </c>
      <c r="M17" s="26">
        <f>IF(A17="","",IF(IFERROR(IF(INDEX(tbl_Onsite[Tax Code],IFERROR(MATCH(A17&amp;"",tbl_Onsite[Job Number],0),MATCH(IFERROR(A17+0,A17),tbl_Onsite[Job Number],0)))="","",INDEX(tbl_Onsite[Tax Code],IFERROR(MATCH(A17&amp;"",tbl_Onsite[Job Number],0),MATCH(IFERROR(A17+0,A17),tbl_Onsite[Job Number],0)))),IFERROR(IF(INDEX(tbl_Production[Tax Code],IFERROR(MATCH(A17&amp;"",tbl_Production[Job Number],0),MATCH(IFERROR(A17+0,A17),tbl_Production[Job Number],0)))="","",INDEX(tbl_Production[Tax Code],IFERROR(MATCH(A17&amp;"",tbl_Production[Job Number],0),MATCH(IFERROR(A17+0,A17),tbl_Production[Job Number],0)))),IFERROR(IF(INDEX(tbl_Consulting[Tax Code],IFERROR(MATCH(A17&amp;"",tbl_Consulting[Job Number],0),MATCH(IFERROR(A17+0,A17),tbl_Consulting[Job Number],0)))="","",INDEX(tbl_Consulting[Tax Code],IFERROR(MATCH(A17&amp;"",tbl_Consulting[Job Number],0),MATCH(IFERROR(A17+0,A17),tbl_Consulting[Job Number],0)))),"")))="","GST 10%",IFERROR(IF(INDEX(tbl_Onsite[Tax Code],IFERROR(MATCH(A17&amp;"",tbl_Onsite[Job Number],0),MATCH(IFERROR(A17+0,A17),tbl_Onsite[Job Number],0)))="","",INDEX(tbl_Onsite[Tax Code],IFERROR(MATCH(A17&amp;"",tbl_Onsite[Job Number],0),MATCH(IFERROR(A17+0,A17),tbl_Onsite[Job Number],0)))),IFERROR(IF(INDEX(tbl_Production[Tax Code],IFERROR(MATCH(A17&amp;"",tbl_Production[Job Number],0),MATCH(IFERROR(A17+0,A17),tbl_Production[Job Number],0)))="","",INDEX(tbl_Production[Tax Code],IFERROR(MATCH(A17&amp;"",tbl_Production[Job Number],0),MATCH(IFERROR(A17+0,A17),tbl_Production[Job Number],0)))),IFERROR(IF(INDEX(tbl_Consulting[Tax Code],IFERROR(MATCH(A17&amp;"",tbl_Consulting[Job Number],0),MATCH(IFERROR(A17+0,A17),tbl_Consulting[Job Number],0)))="","",INDEX(tbl_Consulting[Tax Code],IFERROR(MATCH(A17&amp;"",tbl_Consulting[Job Number],0),MATCH(IFERROR(A17+0,A17),tbl_Consulting[Job Number],0)))),"")))))</f>
        <v/>
      </c>
      <c r="N17" s="26">
        <f>IF(D17="","",IFERROR(INDEX(lst_CCtoGL,MATCH(D17,lst_CCforGL,0)),""))</f>
        <v/>
      </c>
      <c r="O17" s="27">
        <f>IF(E17="","",IF(M17="GST 10%",ROUND(E17*set_GSTRate,2),0))</f>
        <v/>
      </c>
      <c r="P17" s="27">
        <f>IF(E17="","",E17+O17)</f>
        <v/>
      </c>
      <c r="Q17" s="27">
        <f>IF(A17="","",IFERROR(INDEX(tbl_Onsite[Expected Revenue Ex GST],IFERROR(MATCH(A17&amp;"",tbl_Onsite[Job Number],0),MATCH(IFERROR(A17+0,A17),tbl_Onsite[Job Number],0))),IFERROR(INDEX(tbl_Production[Expected Revenue Ex GST],IFERROR(MATCH(A17&amp;"",tbl_Production[Job Number],0),MATCH(IFERROR(A17+0,A17),tbl_Production[Job Number],0))),IFERROR(INDEX(tbl_Consulting[Expected Revenue Ex GST],IFERROR(MATCH(A17&amp;"",tbl_Consulting[Job Number],0),MATCH(IFERROR(A17+0,A17),tbl_Consulting[Job Number],0))),0))))</f>
        <v/>
      </c>
      <c r="R17" s="27">
        <f>IF(A17="","",SUMIFS(tbl_Finance[Ex GST],tbl_Finance[Job Number],A17&amp;""))</f>
        <v/>
      </c>
      <c r="S17" s="27">
        <f>IF(A17="","",Q17-R17)</f>
        <v/>
      </c>
      <c r="T17" s="26">
        <f>IF(A17="","",IF(Q17=0,"No dept value",IF(ROUND(S17,2)=0,"Agrees",IF(S17&gt;0,"Dept higher - to invoice","Xero higher - check dept"))))</f>
        <v/>
      </c>
      <c r="U17" s="22" t="n"/>
      <c r="V17" s="22" t="n"/>
      <c r="W17" s="23" t="n"/>
      <c r="X17" s="23" t="n"/>
      <c r="Y17" s="22" t="n"/>
      <c r="Z17" s="22" t="n"/>
      <c r="AA17" s="26">
        <f>IF(COUNTA(C17,A17,B17,E17)=0,"",IF(C17="","No date - sits outside every month",IF(A17="","No job number",IF(H17="CHECK","Job number is not in the Xero job list",IF(G17="not set up yet","No department has set this job up - nothing can pull through",IF(D17="","No cost centre",IF(AND(U17="Y",B17=""),"Marked posted to Xero but has no invoice number",IF(N17="","Cost centre has no revenue GL on the Lists sheet",IF(T17="Xero higher - check dept","Invoiced more than the department says the job is worth","")))))))))</f>
        <v/>
      </c>
      <c r="AB17" s="28">
        <f>IF(A17="","",COUNTIFS(tbl_Finance[Job Number],A17&amp;"",tbl_Finance[Ex GST],"&lt;&gt;"))</f>
        <v/>
      </c>
      <c r="AC17" s="27">
        <f>IF(A17="","",SUMIFS(tbl_Finance[Ex GST],tbl_Finance[Job Number],A17&amp;""))</f>
        <v/>
      </c>
      <c r="AD17" s="27">
        <f>IF(A17="","",SUMIFS(tbl_Finance[Ex GST],tbl_Finance[Job Number],A17&amp;"",tbl_Finance[Xero Invoice No],"&lt;&gt;"))</f>
        <v/>
      </c>
      <c r="AE17" s="27">
        <f>IF(A17="","",AC17-AD17)</f>
        <v/>
      </c>
      <c r="AF17" s="26">
        <f>IF(A17="","",IFERROR(IF(INDEX(tbl_Onsite[Qwilr Quote],IFERROR(MATCH(A17&amp;"",tbl_Onsite[Job Number],0),MATCH(IFERROR(A17+0,A17),tbl_Onsite[Job Number],0)))="","",INDEX(tbl_Onsite[Qwilr Quote],IFERROR(MATCH(A17&amp;"",tbl_Onsite[Job Number],0),MATCH(IFERROR(A17+0,A17),tbl_Onsite[Job Number],0)))),IFERROR(IF(IF(INDEX(tbl_Production[Current RMS No],IFERROR(MATCH(A17&amp;"",tbl_Production[Job Number],0),MATCH(IFERROR(A17+0,A17),tbl_Production[Job Number],0)))="",INDEX(tbl_Production[Qwilr Quote],IFERROR(MATCH(A17&amp;"",tbl_Production[Job Number],0),MATCH(IFERROR(A17+0,A17),tbl_Production[Job Number],0))),INDEX(tbl_Production[Current RMS No],IFERROR(MATCH(A17&amp;"",tbl_Production[Job Number],0),MATCH(IFERROR(A17+0,A17),tbl_Production[Job Number],0))))="","",IF(INDEX(tbl_Production[Current RMS No],IFERROR(MATCH(A17&amp;"",tbl_Production[Job Number],0),MATCH(IFERROR(A17+0,A17),tbl_Production[Job Number],0)))="",INDEX(tbl_Production[Qwilr Quote],IFERROR(MATCH(A17&amp;"",tbl_Production[Job Number],0),MATCH(IFERROR(A17+0,A17),tbl_Production[Job Number],0))),INDEX(tbl_Production[Current RMS No],IFERROR(MATCH(A17&amp;"",tbl_Production[Job Number],0),MATCH(IFERROR(A17+0,A17),tbl_Production[Job Number],0))))),IFERROR(IF(INDEX(tbl_Consulting[Qwilr Quote],IFERROR(MATCH(A17&amp;"",tbl_Consulting[Job Number],0),MATCH(IFERROR(A17+0,A17),tbl_Consulting[Job Number],0)))="","",INDEX(tbl_Consulting[Qwilr Quote],IFERROR(MATCH(A17&amp;"",tbl_Consulting[Job Number],0),MATCH(IFERROR(A17+0,A17),tbl_Consulting[Job Number],0)))),""))))</f>
        <v/>
      </c>
      <c r="AG17" s="26">
        <f>IF(AF17="","",IF(AND(LEFT(AF17,4)&lt;&gt;"http",IF(G17="Production",set_RMSBase,set_QwilrBase)=""),"",HYPERLINK(IF(LEFT(AF17,4)="http",AF17,IF(G17="Production",set_RMSBase,set_QwilrBase)&amp;AF17),"Open")))</f>
        <v/>
      </c>
      <c r="AH17" s="27">
        <f>IF(A17="","",IFERROR(INDEX(tbl_Production[Total Expense],IFERROR(MATCH(A17&amp;"",tbl_Production[Job Number],0),MATCH(IFERROR(A17+0,A17),tbl_Production[Job Number],0))),IFERROR(INDEX(tbl_Consulting[Total Expense],IFERROR(MATCH(A17&amp;"",tbl_Consulting[Job Number],0),MATCH(IFERROR(A17+0,A17),tbl_Consulting[Job Number],0))),0)))</f>
        <v/>
      </c>
      <c r="AI17" s="27">
        <f>IF(A17="","",AC17-N(AH17))</f>
        <v/>
      </c>
      <c r="AJ17" s="29">
        <f>IFERROR(AI17/AC17,"")</f>
        <v/>
      </c>
      <c r="AK17" s="26">
        <f>IF(A17="","",IFERROR(IF(INDEX(tbl_Onsite[Notes],IFERROR(MATCH(A17&amp;"",tbl_Onsite[Job Number],0),MATCH(IFERROR(A17+0,A17),tbl_Onsite[Job Number],0)))="","",INDEX(tbl_Onsite[Notes],IFERROR(MATCH(A17&amp;"",tbl_Onsite[Job Number],0),MATCH(IFERROR(A17+0,A17),tbl_Onsite[Job Number],0)))),IFERROR(IF(INDEX(tbl_Production[Notes],IFERROR(MATCH(A17&amp;"",tbl_Production[Job Number],0),MATCH(IFERROR(A17+0,A17),tbl_Production[Job Number],0)))="","",INDEX(tbl_Production[Notes],IFERROR(MATCH(A17&amp;"",tbl_Production[Job Number],0),MATCH(IFERROR(A17+0,A17),tbl_Production[Job Number],0)))),IFERROR(IF(INDEX(tbl_Consulting[Notes],IFERROR(MATCH(A17&amp;"",tbl_Consulting[Job Number],0),MATCH(IFERROR(A17+0,A17),tbl_Consulting[Job Number],0)))="","",INDEX(tbl_Consulting[Notes],IFERROR(MATCH(A17&amp;"",tbl_Consulting[Job Number],0),MATCH(IFERROR(A17+0,A17),tbl_Consulting[Job Number],0)))),""))))</f>
        <v/>
      </c>
    </row>
    <row r="18" ht="15" customHeight="1">
      <c r="A18" s="22" t="n"/>
      <c r="B18" s="22" t="n"/>
      <c r="C18" s="23" t="n"/>
      <c r="D18" s="22" t="n"/>
      <c r="E18" s="24" t="n"/>
      <c r="F18" s="25">
        <f>IF(C18="","",EOMONTH(C18,0))</f>
        <v/>
      </c>
      <c r="G18" s="26">
        <f>IF(A18="","",IF(COUNTIF(tbl_Onsite[Job Number],A18&amp;"")&gt;0,"Onsite",IF(COUNTIF(tbl_Production[Job Number],A18&amp;"")&gt;0,"Production",IF(COUNTIF(tbl_Consulting[Job Number],A18&amp;"")&gt;0,"Consulting","not set up yet"))))</f>
        <v/>
      </c>
      <c r="H18" s="26">
        <f>IF(A18="","",IF(COUNTIF(lst_Jobs,A18&amp;"")&gt;0,"OK","CHECK"))</f>
        <v/>
      </c>
      <c r="I18" s="26">
        <f>IF(A18="","",IFERROR(INDEX(lst_JobName,MATCH(A18&amp;"",lst_Jobs,0)),""))</f>
        <v/>
      </c>
      <c r="J18" s="26">
        <f>IF(A18="","",IFERROR(IF(INDEX(tbl_Onsite[Client],IFERROR(MATCH(A18&amp;"",tbl_Onsite[Job Number],0),MATCH(IFERROR(A18+0,A18),tbl_Onsite[Job Number],0)))="","",INDEX(tbl_Onsite[Client],IFERROR(MATCH(A18&amp;"",tbl_Onsite[Job Number],0),MATCH(IFERROR(A18+0,A18),tbl_Onsite[Job Number],0)))),IFERROR(IF(INDEX(tbl_Production[Client],IFERROR(MATCH(A18&amp;"",tbl_Production[Job Number],0),MATCH(IFERROR(A18+0,A18),tbl_Production[Job Number],0)))="","",INDEX(tbl_Production[Client],IFERROR(MATCH(A18&amp;"",tbl_Production[Job Number],0),MATCH(IFERROR(A18+0,A18),tbl_Production[Job Number],0)))),IFERROR(IF(INDEX(tbl_Consulting[Client],IFERROR(MATCH(A18&amp;"",tbl_Consulting[Job Number],0),MATCH(IFERROR(A18+0,A18),tbl_Consulting[Job Number],0)))="","",INDEX(tbl_Consulting[Client],IFERROR(MATCH(A18&amp;"",tbl_Consulting[Job Number],0),MATCH(IFERROR(A18+0,A18),tbl_Consulting[Job Number],0)))),""))))</f>
        <v/>
      </c>
      <c r="K18" s="26">
        <f>IF(A18="","",IFERROR(IF(INDEX(tbl_Onsite[Job Description],IFERROR(MATCH(A18&amp;"",tbl_Onsite[Job Number],0),MATCH(IFERROR(A18+0,A18),tbl_Onsite[Job Number],0)))="","",INDEX(tbl_Onsite[Job Description],IFERROR(MATCH(A18&amp;"",tbl_Onsite[Job Number],0),MATCH(IFERROR(A18+0,A18),tbl_Onsite[Job Number],0)))),IFERROR(IF(INDEX(tbl_Production[Job Description],IFERROR(MATCH(A18&amp;"",tbl_Production[Job Number],0),MATCH(IFERROR(A18+0,A18),tbl_Production[Job Number],0)))="","",INDEX(tbl_Production[Job Description],IFERROR(MATCH(A18&amp;"",tbl_Production[Job Number],0),MATCH(IFERROR(A18+0,A18),tbl_Production[Job Number],0)))),IFERROR(IF(INDEX(tbl_Consulting[Job Description],IFERROR(MATCH(A18&amp;"",tbl_Consulting[Job Number],0),MATCH(IFERROR(A18+0,A18),tbl_Consulting[Job Number],0)))="","",INDEX(tbl_Consulting[Job Description],IFERROR(MATCH(A18&amp;"",tbl_Consulting[Job Number],0),MATCH(IFERROR(A18+0,A18),tbl_Consulting[Job Number],0)))),""))))</f>
        <v/>
      </c>
      <c r="L18" s="26">
        <f>IF(A18="","",IFERROR(IF(INDEX(tbl_Onsite[Invoice Type],IFERROR(MATCH(A18&amp;"",tbl_Onsite[Job Number],0),MATCH(IFERROR(A18+0,A18),tbl_Onsite[Job Number],0)))="","",INDEX(tbl_Onsite[Invoice Type],IFERROR(MATCH(A18&amp;"",tbl_Onsite[Job Number],0),MATCH(IFERROR(A18+0,A18),tbl_Onsite[Job Number],0)))),IFERROR(IF(INDEX(tbl_Production[Invoice Type],IFERROR(MATCH(A18&amp;"",tbl_Production[Job Number],0),MATCH(IFERROR(A18+0,A18),tbl_Production[Job Number],0)))="","",INDEX(tbl_Production[Invoice Type],IFERROR(MATCH(A18&amp;"",tbl_Production[Job Number],0),MATCH(IFERROR(A18+0,A18),tbl_Production[Job Number],0)))),IFERROR(IF(INDEX(tbl_Consulting[Invoice Type],IFERROR(MATCH(A18&amp;"",tbl_Consulting[Job Number],0),MATCH(IFERROR(A18+0,A18),tbl_Consulting[Job Number],0)))="","",INDEX(tbl_Consulting[Invoice Type],IFERROR(MATCH(A18&amp;"",tbl_Consulting[Job Number],0),MATCH(IFERROR(A18+0,A18),tbl_Consulting[Job Number],0)))),""))))</f>
        <v/>
      </c>
      <c r="M18" s="26">
        <f>IF(A18="","",IF(IFERROR(IF(INDEX(tbl_Onsite[Tax Code],IFERROR(MATCH(A18&amp;"",tbl_Onsite[Job Number],0),MATCH(IFERROR(A18+0,A18),tbl_Onsite[Job Number],0)))="","",INDEX(tbl_Onsite[Tax Code],IFERROR(MATCH(A18&amp;"",tbl_Onsite[Job Number],0),MATCH(IFERROR(A18+0,A18),tbl_Onsite[Job Number],0)))),IFERROR(IF(INDEX(tbl_Production[Tax Code],IFERROR(MATCH(A18&amp;"",tbl_Production[Job Number],0),MATCH(IFERROR(A18+0,A18),tbl_Production[Job Number],0)))="","",INDEX(tbl_Production[Tax Code],IFERROR(MATCH(A18&amp;"",tbl_Production[Job Number],0),MATCH(IFERROR(A18+0,A18),tbl_Production[Job Number],0)))),IFERROR(IF(INDEX(tbl_Consulting[Tax Code],IFERROR(MATCH(A18&amp;"",tbl_Consulting[Job Number],0),MATCH(IFERROR(A18+0,A18),tbl_Consulting[Job Number],0)))="","",INDEX(tbl_Consulting[Tax Code],IFERROR(MATCH(A18&amp;"",tbl_Consulting[Job Number],0),MATCH(IFERROR(A18+0,A18),tbl_Consulting[Job Number],0)))),"")))="","GST 10%",IFERROR(IF(INDEX(tbl_Onsite[Tax Code],IFERROR(MATCH(A18&amp;"",tbl_Onsite[Job Number],0),MATCH(IFERROR(A18+0,A18),tbl_Onsite[Job Number],0)))="","",INDEX(tbl_Onsite[Tax Code],IFERROR(MATCH(A18&amp;"",tbl_Onsite[Job Number],0),MATCH(IFERROR(A18+0,A18),tbl_Onsite[Job Number],0)))),IFERROR(IF(INDEX(tbl_Production[Tax Code],IFERROR(MATCH(A18&amp;"",tbl_Production[Job Number],0),MATCH(IFERROR(A18+0,A18),tbl_Production[Job Number],0)))="","",INDEX(tbl_Production[Tax Code],IFERROR(MATCH(A18&amp;"",tbl_Production[Job Number],0),MATCH(IFERROR(A18+0,A18),tbl_Production[Job Number],0)))),IFERROR(IF(INDEX(tbl_Consulting[Tax Code],IFERROR(MATCH(A18&amp;"",tbl_Consulting[Job Number],0),MATCH(IFERROR(A18+0,A18),tbl_Consulting[Job Number],0)))="","",INDEX(tbl_Consulting[Tax Code],IFERROR(MATCH(A18&amp;"",tbl_Consulting[Job Number],0),MATCH(IFERROR(A18+0,A18),tbl_Consulting[Job Number],0)))),"")))))</f>
        <v/>
      </c>
      <c r="N18" s="26">
        <f>IF(D18="","",IFERROR(INDEX(lst_CCtoGL,MATCH(D18,lst_CCforGL,0)),""))</f>
        <v/>
      </c>
      <c r="O18" s="27">
        <f>IF(E18="","",IF(M18="GST 10%",ROUND(E18*set_GSTRate,2),0))</f>
        <v/>
      </c>
      <c r="P18" s="27">
        <f>IF(E18="","",E18+O18)</f>
        <v/>
      </c>
      <c r="Q18" s="27">
        <f>IF(A18="","",IFERROR(INDEX(tbl_Onsite[Expected Revenue Ex GST],IFERROR(MATCH(A18&amp;"",tbl_Onsite[Job Number],0),MATCH(IFERROR(A18+0,A18),tbl_Onsite[Job Number],0))),IFERROR(INDEX(tbl_Production[Expected Revenue Ex GST],IFERROR(MATCH(A18&amp;"",tbl_Production[Job Number],0),MATCH(IFERROR(A18+0,A18),tbl_Production[Job Number],0))),IFERROR(INDEX(tbl_Consulting[Expected Revenue Ex GST],IFERROR(MATCH(A18&amp;"",tbl_Consulting[Job Number],0),MATCH(IFERROR(A18+0,A18),tbl_Consulting[Job Number],0))),0))))</f>
        <v/>
      </c>
      <c r="R18" s="27">
        <f>IF(A18="","",SUMIFS(tbl_Finance[Ex GST],tbl_Finance[Job Number],A18&amp;""))</f>
        <v/>
      </c>
      <c r="S18" s="27">
        <f>IF(A18="","",Q18-R18)</f>
        <v/>
      </c>
      <c r="T18" s="26">
        <f>IF(A18="","",IF(Q18=0,"No dept value",IF(ROUND(S18,2)=0,"Agrees",IF(S18&gt;0,"Dept higher - to invoice","Xero higher - check dept"))))</f>
        <v/>
      </c>
      <c r="U18" s="22" t="n"/>
      <c r="V18" s="22" t="n"/>
      <c r="W18" s="23" t="n"/>
      <c r="X18" s="23" t="n"/>
      <c r="Y18" s="22" t="n"/>
      <c r="Z18" s="22" t="n"/>
      <c r="AA18" s="26">
        <f>IF(COUNTA(C18,A18,B18,E18)=0,"",IF(C18="","No date - sits outside every month",IF(A18="","No job number",IF(H18="CHECK","Job number is not in the Xero job list",IF(G18="not set up yet","No department has set this job up - nothing can pull through",IF(D18="","No cost centre",IF(AND(U18="Y",B18=""),"Marked posted to Xero but has no invoice number",IF(N18="","Cost centre has no revenue GL on the Lists sheet",IF(T18="Xero higher - check dept","Invoiced more than the department says the job is worth","")))))))))</f>
        <v/>
      </c>
      <c r="AB18" s="28">
        <f>IF(A18="","",COUNTIFS(tbl_Finance[Job Number],A18&amp;"",tbl_Finance[Ex GST],"&lt;&gt;"))</f>
        <v/>
      </c>
      <c r="AC18" s="27">
        <f>IF(A18="","",SUMIFS(tbl_Finance[Ex GST],tbl_Finance[Job Number],A18&amp;""))</f>
        <v/>
      </c>
      <c r="AD18" s="27">
        <f>IF(A18="","",SUMIFS(tbl_Finance[Ex GST],tbl_Finance[Job Number],A18&amp;"",tbl_Finance[Xero Invoice No],"&lt;&gt;"))</f>
        <v/>
      </c>
      <c r="AE18" s="27">
        <f>IF(A18="","",AC18-AD18)</f>
        <v/>
      </c>
      <c r="AF18" s="26">
        <f>IF(A18="","",IFERROR(IF(INDEX(tbl_Onsite[Qwilr Quote],IFERROR(MATCH(A18&amp;"",tbl_Onsite[Job Number],0),MATCH(IFERROR(A18+0,A18),tbl_Onsite[Job Number],0)))="","",INDEX(tbl_Onsite[Qwilr Quote],IFERROR(MATCH(A18&amp;"",tbl_Onsite[Job Number],0),MATCH(IFERROR(A18+0,A18),tbl_Onsite[Job Number],0)))),IFERROR(IF(IF(INDEX(tbl_Production[Current RMS No],IFERROR(MATCH(A18&amp;"",tbl_Production[Job Number],0),MATCH(IFERROR(A18+0,A18),tbl_Production[Job Number],0)))="",INDEX(tbl_Production[Qwilr Quote],IFERROR(MATCH(A18&amp;"",tbl_Production[Job Number],0),MATCH(IFERROR(A18+0,A18),tbl_Production[Job Number],0))),INDEX(tbl_Production[Current RMS No],IFERROR(MATCH(A18&amp;"",tbl_Production[Job Number],0),MATCH(IFERROR(A18+0,A18),tbl_Production[Job Number],0))))="","",IF(INDEX(tbl_Production[Current RMS No],IFERROR(MATCH(A18&amp;"",tbl_Production[Job Number],0),MATCH(IFERROR(A18+0,A18),tbl_Production[Job Number],0)))="",INDEX(tbl_Production[Qwilr Quote],IFERROR(MATCH(A18&amp;"",tbl_Production[Job Number],0),MATCH(IFERROR(A18+0,A18),tbl_Production[Job Number],0))),INDEX(tbl_Production[Current RMS No],IFERROR(MATCH(A18&amp;"",tbl_Production[Job Number],0),MATCH(IFERROR(A18+0,A18),tbl_Production[Job Number],0))))),IFERROR(IF(INDEX(tbl_Consulting[Qwilr Quote],IFERROR(MATCH(A18&amp;"",tbl_Consulting[Job Number],0),MATCH(IFERROR(A18+0,A18),tbl_Consulting[Job Number],0)))="","",INDEX(tbl_Consulting[Qwilr Quote],IFERROR(MATCH(A18&amp;"",tbl_Consulting[Job Number],0),MATCH(IFERROR(A18+0,A18),tbl_Consulting[Job Number],0)))),""))))</f>
        <v/>
      </c>
      <c r="AG18" s="26">
        <f>IF(AF18="","",IF(AND(LEFT(AF18,4)&lt;&gt;"http",IF(G18="Production",set_RMSBase,set_QwilrBase)=""),"",HYPERLINK(IF(LEFT(AF18,4)="http",AF18,IF(G18="Production",set_RMSBase,set_QwilrBase)&amp;AF18),"Open")))</f>
        <v/>
      </c>
      <c r="AH18" s="27">
        <f>IF(A18="","",IFERROR(INDEX(tbl_Production[Total Expense],IFERROR(MATCH(A18&amp;"",tbl_Production[Job Number],0),MATCH(IFERROR(A18+0,A18),tbl_Production[Job Number],0))),IFERROR(INDEX(tbl_Consulting[Total Expense],IFERROR(MATCH(A18&amp;"",tbl_Consulting[Job Number],0),MATCH(IFERROR(A18+0,A18),tbl_Consulting[Job Number],0))),0)))</f>
        <v/>
      </c>
      <c r="AI18" s="27">
        <f>IF(A18="","",AC18-N(AH18))</f>
        <v/>
      </c>
      <c r="AJ18" s="29">
        <f>IFERROR(AI18/AC18,"")</f>
        <v/>
      </c>
      <c r="AK18" s="26">
        <f>IF(A18="","",IFERROR(IF(INDEX(tbl_Onsite[Notes],IFERROR(MATCH(A18&amp;"",tbl_Onsite[Job Number],0),MATCH(IFERROR(A18+0,A18),tbl_Onsite[Job Number],0)))="","",INDEX(tbl_Onsite[Notes],IFERROR(MATCH(A18&amp;"",tbl_Onsite[Job Number],0),MATCH(IFERROR(A18+0,A18),tbl_Onsite[Job Number],0)))),IFERROR(IF(INDEX(tbl_Production[Notes],IFERROR(MATCH(A18&amp;"",tbl_Production[Job Number],0),MATCH(IFERROR(A18+0,A18),tbl_Production[Job Number],0)))="","",INDEX(tbl_Production[Notes],IFERROR(MATCH(A18&amp;"",tbl_Production[Job Number],0),MATCH(IFERROR(A18+0,A18),tbl_Production[Job Number],0)))),IFERROR(IF(INDEX(tbl_Consulting[Notes],IFERROR(MATCH(A18&amp;"",tbl_Consulting[Job Number],0),MATCH(IFERROR(A18+0,A18),tbl_Consulting[Job Number],0)))="","",INDEX(tbl_Consulting[Notes],IFERROR(MATCH(A18&amp;"",tbl_Consulting[Job Number],0),MATCH(IFERROR(A18+0,A18),tbl_Consulting[Job Number],0)))),""))))</f>
        <v/>
      </c>
    </row>
    <row r="19" ht="15" customHeight="1">
      <c r="A19" s="22" t="n"/>
      <c r="B19" s="22" t="n"/>
      <c r="C19" s="23" t="n"/>
      <c r="D19" s="22" t="n"/>
      <c r="E19" s="24" t="n"/>
      <c r="F19" s="25">
        <f>IF(C19="","",EOMONTH(C19,0))</f>
        <v/>
      </c>
      <c r="G19" s="26">
        <f>IF(A19="","",IF(COUNTIF(tbl_Onsite[Job Number],A19&amp;"")&gt;0,"Onsite",IF(COUNTIF(tbl_Production[Job Number],A19&amp;"")&gt;0,"Production",IF(COUNTIF(tbl_Consulting[Job Number],A19&amp;"")&gt;0,"Consulting","not set up yet"))))</f>
        <v/>
      </c>
      <c r="H19" s="26">
        <f>IF(A19="","",IF(COUNTIF(lst_Jobs,A19&amp;"")&gt;0,"OK","CHECK"))</f>
        <v/>
      </c>
      <c r="I19" s="26">
        <f>IF(A19="","",IFERROR(INDEX(lst_JobName,MATCH(A19&amp;"",lst_Jobs,0)),""))</f>
        <v/>
      </c>
      <c r="J19" s="26">
        <f>IF(A19="","",IFERROR(IF(INDEX(tbl_Onsite[Client],IFERROR(MATCH(A19&amp;"",tbl_Onsite[Job Number],0),MATCH(IFERROR(A19+0,A19),tbl_Onsite[Job Number],0)))="","",INDEX(tbl_Onsite[Client],IFERROR(MATCH(A19&amp;"",tbl_Onsite[Job Number],0),MATCH(IFERROR(A19+0,A19),tbl_Onsite[Job Number],0)))),IFERROR(IF(INDEX(tbl_Production[Client],IFERROR(MATCH(A19&amp;"",tbl_Production[Job Number],0),MATCH(IFERROR(A19+0,A19),tbl_Production[Job Number],0)))="","",INDEX(tbl_Production[Client],IFERROR(MATCH(A19&amp;"",tbl_Production[Job Number],0),MATCH(IFERROR(A19+0,A19),tbl_Production[Job Number],0)))),IFERROR(IF(INDEX(tbl_Consulting[Client],IFERROR(MATCH(A19&amp;"",tbl_Consulting[Job Number],0),MATCH(IFERROR(A19+0,A19),tbl_Consulting[Job Number],0)))="","",INDEX(tbl_Consulting[Client],IFERROR(MATCH(A19&amp;"",tbl_Consulting[Job Number],0),MATCH(IFERROR(A19+0,A19),tbl_Consulting[Job Number],0)))),""))))</f>
        <v/>
      </c>
      <c r="K19" s="26">
        <f>IF(A19="","",IFERROR(IF(INDEX(tbl_Onsite[Job Description],IFERROR(MATCH(A19&amp;"",tbl_Onsite[Job Number],0),MATCH(IFERROR(A19+0,A19),tbl_Onsite[Job Number],0)))="","",INDEX(tbl_Onsite[Job Description],IFERROR(MATCH(A19&amp;"",tbl_Onsite[Job Number],0),MATCH(IFERROR(A19+0,A19),tbl_Onsite[Job Number],0)))),IFERROR(IF(INDEX(tbl_Production[Job Description],IFERROR(MATCH(A19&amp;"",tbl_Production[Job Number],0),MATCH(IFERROR(A19+0,A19),tbl_Production[Job Number],0)))="","",INDEX(tbl_Production[Job Description],IFERROR(MATCH(A19&amp;"",tbl_Production[Job Number],0),MATCH(IFERROR(A19+0,A19),tbl_Production[Job Number],0)))),IFERROR(IF(INDEX(tbl_Consulting[Job Description],IFERROR(MATCH(A19&amp;"",tbl_Consulting[Job Number],0),MATCH(IFERROR(A19+0,A19),tbl_Consulting[Job Number],0)))="","",INDEX(tbl_Consulting[Job Description],IFERROR(MATCH(A19&amp;"",tbl_Consulting[Job Number],0),MATCH(IFERROR(A19+0,A19),tbl_Consulting[Job Number],0)))),""))))</f>
        <v/>
      </c>
      <c r="L19" s="26">
        <f>IF(A19="","",IFERROR(IF(INDEX(tbl_Onsite[Invoice Type],IFERROR(MATCH(A19&amp;"",tbl_Onsite[Job Number],0),MATCH(IFERROR(A19+0,A19),tbl_Onsite[Job Number],0)))="","",INDEX(tbl_Onsite[Invoice Type],IFERROR(MATCH(A19&amp;"",tbl_Onsite[Job Number],0),MATCH(IFERROR(A19+0,A19),tbl_Onsite[Job Number],0)))),IFERROR(IF(INDEX(tbl_Production[Invoice Type],IFERROR(MATCH(A19&amp;"",tbl_Production[Job Number],0),MATCH(IFERROR(A19+0,A19),tbl_Production[Job Number],0)))="","",INDEX(tbl_Production[Invoice Type],IFERROR(MATCH(A19&amp;"",tbl_Production[Job Number],0),MATCH(IFERROR(A19+0,A19),tbl_Production[Job Number],0)))),IFERROR(IF(INDEX(tbl_Consulting[Invoice Type],IFERROR(MATCH(A19&amp;"",tbl_Consulting[Job Number],0),MATCH(IFERROR(A19+0,A19),tbl_Consulting[Job Number],0)))="","",INDEX(tbl_Consulting[Invoice Type],IFERROR(MATCH(A19&amp;"",tbl_Consulting[Job Number],0),MATCH(IFERROR(A19+0,A19),tbl_Consulting[Job Number],0)))),""))))</f>
        <v/>
      </c>
      <c r="M19" s="26">
        <f>IF(A19="","",IF(IFERROR(IF(INDEX(tbl_Onsite[Tax Code],IFERROR(MATCH(A19&amp;"",tbl_Onsite[Job Number],0),MATCH(IFERROR(A19+0,A19),tbl_Onsite[Job Number],0)))="","",INDEX(tbl_Onsite[Tax Code],IFERROR(MATCH(A19&amp;"",tbl_Onsite[Job Number],0),MATCH(IFERROR(A19+0,A19),tbl_Onsite[Job Number],0)))),IFERROR(IF(INDEX(tbl_Production[Tax Code],IFERROR(MATCH(A19&amp;"",tbl_Production[Job Number],0),MATCH(IFERROR(A19+0,A19),tbl_Production[Job Number],0)))="","",INDEX(tbl_Production[Tax Code],IFERROR(MATCH(A19&amp;"",tbl_Production[Job Number],0),MATCH(IFERROR(A19+0,A19),tbl_Production[Job Number],0)))),IFERROR(IF(INDEX(tbl_Consulting[Tax Code],IFERROR(MATCH(A19&amp;"",tbl_Consulting[Job Number],0),MATCH(IFERROR(A19+0,A19),tbl_Consulting[Job Number],0)))="","",INDEX(tbl_Consulting[Tax Code],IFERROR(MATCH(A19&amp;"",tbl_Consulting[Job Number],0),MATCH(IFERROR(A19+0,A19),tbl_Consulting[Job Number],0)))),"")))="","GST 10%",IFERROR(IF(INDEX(tbl_Onsite[Tax Code],IFERROR(MATCH(A19&amp;"",tbl_Onsite[Job Number],0),MATCH(IFERROR(A19+0,A19),tbl_Onsite[Job Number],0)))="","",INDEX(tbl_Onsite[Tax Code],IFERROR(MATCH(A19&amp;"",tbl_Onsite[Job Number],0),MATCH(IFERROR(A19+0,A19),tbl_Onsite[Job Number],0)))),IFERROR(IF(INDEX(tbl_Production[Tax Code],IFERROR(MATCH(A19&amp;"",tbl_Production[Job Number],0),MATCH(IFERROR(A19+0,A19),tbl_Production[Job Number],0)))="","",INDEX(tbl_Production[Tax Code],IFERROR(MATCH(A19&amp;"",tbl_Production[Job Number],0),MATCH(IFERROR(A19+0,A19),tbl_Production[Job Number],0)))),IFERROR(IF(INDEX(tbl_Consulting[Tax Code],IFERROR(MATCH(A19&amp;"",tbl_Consulting[Job Number],0),MATCH(IFERROR(A19+0,A19),tbl_Consulting[Job Number],0)))="","",INDEX(tbl_Consulting[Tax Code],IFERROR(MATCH(A19&amp;"",tbl_Consulting[Job Number],0),MATCH(IFERROR(A19+0,A19),tbl_Consulting[Job Number],0)))),"")))))</f>
        <v/>
      </c>
      <c r="N19" s="26">
        <f>IF(D19="","",IFERROR(INDEX(lst_CCtoGL,MATCH(D19,lst_CCforGL,0)),""))</f>
        <v/>
      </c>
      <c r="O19" s="27">
        <f>IF(E19="","",IF(M19="GST 10%",ROUND(E19*set_GSTRate,2),0))</f>
        <v/>
      </c>
      <c r="P19" s="27">
        <f>IF(E19="","",E19+O19)</f>
        <v/>
      </c>
      <c r="Q19" s="27">
        <f>IF(A19="","",IFERROR(INDEX(tbl_Onsite[Expected Revenue Ex GST],IFERROR(MATCH(A19&amp;"",tbl_Onsite[Job Number],0),MATCH(IFERROR(A19+0,A19),tbl_Onsite[Job Number],0))),IFERROR(INDEX(tbl_Production[Expected Revenue Ex GST],IFERROR(MATCH(A19&amp;"",tbl_Production[Job Number],0),MATCH(IFERROR(A19+0,A19),tbl_Production[Job Number],0))),IFERROR(INDEX(tbl_Consulting[Expected Revenue Ex GST],IFERROR(MATCH(A19&amp;"",tbl_Consulting[Job Number],0),MATCH(IFERROR(A19+0,A19),tbl_Consulting[Job Number],0))),0))))</f>
        <v/>
      </c>
      <c r="R19" s="27">
        <f>IF(A19="","",SUMIFS(tbl_Finance[Ex GST],tbl_Finance[Job Number],A19&amp;""))</f>
        <v/>
      </c>
      <c r="S19" s="27">
        <f>IF(A19="","",Q19-R19)</f>
        <v/>
      </c>
      <c r="T19" s="26">
        <f>IF(A19="","",IF(Q19=0,"No dept value",IF(ROUND(S19,2)=0,"Agrees",IF(S19&gt;0,"Dept higher - to invoice","Xero higher - check dept"))))</f>
        <v/>
      </c>
      <c r="U19" s="22" t="n"/>
      <c r="V19" s="22" t="n"/>
      <c r="W19" s="23" t="n"/>
      <c r="X19" s="23" t="n"/>
      <c r="Y19" s="22" t="n"/>
      <c r="Z19" s="22" t="n"/>
      <c r="AA19" s="26">
        <f>IF(COUNTA(C19,A19,B19,E19)=0,"",IF(C19="","No date - sits outside every month",IF(A19="","No job number",IF(H19="CHECK","Job number is not in the Xero job list",IF(G19="not set up yet","No department has set this job up - nothing can pull through",IF(D19="","No cost centre",IF(AND(U19="Y",B19=""),"Marked posted to Xero but has no invoice number",IF(N19="","Cost centre has no revenue GL on the Lists sheet",IF(T19="Xero higher - check dept","Invoiced more than the department says the job is worth","")))))))))</f>
        <v/>
      </c>
      <c r="AB19" s="28">
        <f>IF(A19="","",COUNTIFS(tbl_Finance[Job Number],A19&amp;"",tbl_Finance[Ex GST],"&lt;&gt;"))</f>
        <v/>
      </c>
      <c r="AC19" s="27">
        <f>IF(A19="","",SUMIFS(tbl_Finance[Ex GST],tbl_Finance[Job Number],A19&amp;""))</f>
        <v/>
      </c>
      <c r="AD19" s="27">
        <f>IF(A19="","",SUMIFS(tbl_Finance[Ex GST],tbl_Finance[Job Number],A19&amp;"",tbl_Finance[Xero Invoice No],"&lt;&gt;"))</f>
        <v/>
      </c>
      <c r="AE19" s="27">
        <f>IF(A19="","",AC19-AD19)</f>
        <v/>
      </c>
      <c r="AF19" s="26">
        <f>IF(A19="","",IFERROR(IF(INDEX(tbl_Onsite[Qwilr Quote],IFERROR(MATCH(A19&amp;"",tbl_Onsite[Job Number],0),MATCH(IFERROR(A19+0,A19),tbl_Onsite[Job Number],0)))="","",INDEX(tbl_Onsite[Qwilr Quote],IFERROR(MATCH(A19&amp;"",tbl_Onsite[Job Number],0),MATCH(IFERROR(A19+0,A19),tbl_Onsite[Job Number],0)))),IFERROR(IF(IF(INDEX(tbl_Production[Current RMS No],IFERROR(MATCH(A19&amp;"",tbl_Production[Job Number],0),MATCH(IFERROR(A19+0,A19),tbl_Production[Job Number],0)))="",INDEX(tbl_Production[Qwilr Quote],IFERROR(MATCH(A19&amp;"",tbl_Production[Job Number],0),MATCH(IFERROR(A19+0,A19),tbl_Production[Job Number],0))),INDEX(tbl_Production[Current RMS No],IFERROR(MATCH(A19&amp;"",tbl_Production[Job Number],0),MATCH(IFERROR(A19+0,A19),tbl_Production[Job Number],0))))="","",IF(INDEX(tbl_Production[Current RMS No],IFERROR(MATCH(A19&amp;"",tbl_Production[Job Number],0),MATCH(IFERROR(A19+0,A19),tbl_Production[Job Number],0)))="",INDEX(tbl_Production[Qwilr Quote],IFERROR(MATCH(A19&amp;"",tbl_Production[Job Number],0),MATCH(IFERROR(A19+0,A19),tbl_Production[Job Number],0))),INDEX(tbl_Production[Current RMS No],IFERROR(MATCH(A19&amp;"",tbl_Production[Job Number],0),MATCH(IFERROR(A19+0,A19),tbl_Production[Job Number],0))))),IFERROR(IF(INDEX(tbl_Consulting[Qwilr Quote],IFERROR(MATCH(A19&amp;"",tbl_Consulting[Job Number],0),MATCH(IFERROR(A19+0,A19),tbl_Consulting[Job Number],0)))="","",INDEX(tbl_Consulting[Qwilr Quote],IFERROR(MATCH(A19&amp;"",tbl_Consulting[Job Number],0),MATCH(IFERROR(A19+0,A19),tbl_Consulting[Job Number],0)))),""))))</f>
        <v/>
      </c>
      <c r="AG19" s="26">
        <f>IF(AF19="","",IF(AND(LEFT(AF19,4)&lt;&gt;"http",IF(G19="Production",set_RMSBase,set_QwilrBase)=""),"",HYPERLINK(IF(LEFT(AF19,4)="http",AF19,IF(G19="Production",set_RMSBase,set_QwilrBase)&amp;AF19),"Open")))</f>
        <v/>
      </c>
      <c r="AH19" s="27">
        <f>IF(A19="","",IFERROR(INDEX(tbl_Production[Total Expense],IFERROR(MATCH(A19&amp;"",tbl_Production[Job Number],0),MATCH(IFERROR(A19+0,A19),tbl_Production[Job Number],0))),IFERROR(INDEX(tbl_Consulting[Total Expense],IFERROR(MATCH(A19&amp;"",tbl_Consulting[Job Number],0),MATCH(IFERROR(A19+0,A19),tbl_Consulting[Job Number],0))),0)))</f>
        <v/>
      </c>
      <c r="AI19" s="27">
        <f>IF(A19="","",AC19-N(AH19))</f>
        <v/>
      </c>
      <c r="AJ19" s="29">
        <f>IFERROR(AI19/AC19,"")</f>
        <v/>
      </c>
      <c r="AK19" s="26">
        <f>IF(A19="","",IFERROR(IF(INDEX(tbl_Onsite[Notes],IFERROR(MATCH(A19&amp;"",tbl_Onsite[Job Number],0),MATCH(IFERROR(A19+0,A19),tbl_Onsite[Job Number],0)))="","",INDEX(tbl_Onsite[Notes],IFERROR(MATCH(A19&amp;"",tbl_Onsite[Job Number],0),MATCH(IFERROR(A19+0,A19),tbl_Onsite[Job Number],0)))),IFERROR(IF(INDEX(tbl_Production[Notes],IFERROR(MATCH(A19&amp;"",tbl_Production[Job Number],0),MATCH(IFERROR(A19+0,A19),tbl_Production[Job Number],0)))="","",INDEX(tbl_Production[Notes],IFERROR(MATCH(A19&amp;"",tbl_Production[Job Number],0),MATCH(IFERROR(A19+0,A19),tbl_Production[Job Number],0)))),IFERROR(IF(INDEX(tbl_Consulting[Notes],IFERROR(MATCH(A19&amp;"",tbl_Consulting[Job Number],0),MATCH(IFERROR(A19+0,A19),tbl_Consulting[Job Number],0)))="","",INDEX(tbl_Consulting[Notes],IFERROR(MATCH(A19&amp;"",tbl_Consulting[Job Number],0),MATCH(IFERROR(A19+0,A19),tbl_Consulting[Job Number],0)))),""))))</f>
        <v/>
      </c>
    </row>
    <row r="20" ht="15" customHeight="1">
      <c r="A20" s="22" t="n"/>
      <c r="B20" s="22" t="n"/>
      <c r="C20" s="23" t="n"/>
      <c r="D20" s="22" t="n"/>
      <c r="E20" s="24" t="n"/>
      <c r="F20" s="25">
        <f>IF(C20="","",EOMONTH(C20,0))</f>
        <v/>
      </c>
      <c r="G20" s="26">
        <f>IF(A20="","",IF(COUNTIF(tbl_Onsite[Job Number],A20&amp;"")&gt;0,"Onsite",IF(COUNTIF(tbl_Production[Job Number],A20&amp;"")&gt;0,"Production",IF(COUNTIF(tbl_Consulting[Job Number],A20&amp;"")&gt;0,"Consulting","not set up yet"))))</f>
        <v/>
      </c>
      <c r="H20" s="26">
        <f>IF(A20="","",IF(COUNTIF(lst_Jobs,A20&amp;"")&gt;0,"OK","CHECK"))</f>
        <v/>
      </c>
      <c r="I20" s="26">
        <f>IF(A20="","",IFERROR(INDEX(lst_JobName,MATCH(A20&amp;"",lst_Jobs,0)),""))</f>
        <v/>
      </c>
      <c r="J20" s="26">
        <f>IF(A20="","",IFERROR(IF(INDEX(tbl_Onsite[Client],IFERROR(MATCH(A20&amp;"",tbl_Onsite[Job Number],0),MATCH(IFERROR(A20+0,A20),tbl_Onsite[Job Number],0)))="","",INDEX(tbl_Onsite[Client],IFERROR(MATCH(A20&amp;"",tbl_Onsite[Job Number],0),MATCH(IFERROR(A20+0,A20),tbl_Onsite[Job Number],0)))),IFERROR(IF(INDEX(tbl_Production[Client],IFERROR(MATCH(A20&amp;"",tbl_Production[Job Number],0),MATCH(IFERROR(A20+0,A20),tbl_Production[Job Number],0)))="","",INDEX(tbl_Production[Client],IFERROR(MATCH(A20&amp;"",tbl_Production[Job Number],0),MATCH(IFERROR(A20+0,A20),tbl_Production[Job Number],0)))),IFERROR(IF(INDEX(tbl_Consulting[Client],IFERROR(MATCH(A20&amp;"",tbl_Consulting[Job Number],0),MATCH(IFERROR(A20+0,A20),tbl_Consulting[Job Number],0)))="","",INDEX(tbl_Consulting[Client],IFERROR(MATCH(A20&amp;"",tbl_Consulting[Job Number],0),MATCH(IFERROR(A20+0,A20),tbl_Consulting[Job Number],0)))),""))))</f>
        <v/>
      </c>
      <c r="K20" s="26">
        <f>IF(A20="","",IFERROR(IF(INDEX(tbl_Onsite[Job Description],IFERROR(MATCH(A20&amp;"",tbl_Onsite[Job Number],0),MATCH(IFERROR(A20+0,A20),tbl_Onsite[Job Number],0)))="","",INDEX(tbl_Onsite[Job Description],IFERROR(MATCH(A20&amp;"",tbl_Onsite[Job Number],0),MATCH(IFERROR(A20+0,A20),tbl_Onsite[Job Number],0)))),IFERROR(IF(INDEX(tbl_Production[Job Description],IFERROR(MATCH(A20&amp;"",tbl_Production[Job Number],0),MATCH(IFERROR(A20+0,A20),tbl_Production[Job Number],0)))="","",INDEX(tbl_Production[Job Description],IFERROR(MATCH(A20&amp;"",tbl_Production[Job Number],0),MATCH(IFERROR(A20+0,A20),tbl_Production[Job Number],0)))),IFERROR(IF(INDEX(tbl_Consulting[Job Description],IFERROR(MATCH(A20&amp;"",tbl_Consulting[Job Number],0),MATCH(IFERROR(A20+0,A20),tbl_Consulting[Job Number],0)))="","",INDEX(tbl_Consulting[Job Description],IFERROR(MATCH(A20&amp;"",tbl_Consulting[Job Number],0),MATCH(IFERROR(A20+0,A20),tbl_Consulting[Job Number],0)))),""))))</f>
        <v/>
      </c>
      <c r="L20" s="26">
        <f>IF(A20="","",IFERROR(IF(INDEX(tbl_Onsite[Invoice Type],IFERROR(MATCH(A20&amp;"",tbl_Onsite[Job Number],0),MATCH(IFERROR(A20+0,A20),tbl_Onsite[Job Number],0)))="","",INDEX(tbl_Onsite[Invoice Type],IFERROR(MATCH(A20&amp;"",tbl_Onsite[Job Number],0),MATCH(IFERROR(A20+0,A20),tbl_Onsite[Job Number],0)))),IFERROR(IF(INDEX(tbl_Production[Invoice Type],IFERROR(MATCH(A20&amp;"",tbl_Production[Job Number],0),MATCH(IFERROR(A20+0,A20),tbl_Production[Job Number],0)))="","",INDEX(tbl_Production[Invoice Type],IFERROR(MATCH(A20&amp;"",tbl_Production[Job Number],0),MATCH(IFERROR(A20+0,A20),tbl_Production[Job Number],0)))),IFERROR(IF(INDEX(tbl_Consulting[Invoice Type],IFERROR(MATCH(A20&amp;"",tbl_Consulting[Job Number],0),MATCH(IFERROR(A20+0,A20),tbl_Consulting[Job Number],0)))="","",INDEX(tbl_Consulting[Invoice Type],IFERROR(MATCH(A20&amp;"",tbl_Consulting[Job Number],0),MATCH(IFERROR(A20+0,A20),tbl_Consulting[Job Number],0)))),""))))</f>
        <v/>
      </c>
      <c r="M20" s="26">
        <f>IF(A20="","",IF(IFERROR(IF(INDEX(tbl_Onsite[Tax Code],IFERROR(MATCH(A20&amp;"",tbl_Onsite[Job Number],0),MATCH(IFERROR(A20+0,A20),tbl_Onsite[Job Number],0)))="","",INDEX(tbl_Onsite[Tax Code],IFERROR(MATCH(A20&amp;"",tbl_Onsite[Job Number],0),MATCH(IFERROR(A20+0,A20),tbl_Onsite[Job Number],0)))),IFERROR(IF(INDEX(tbl_Production[Tax Code],IFERROR(MATCH(A20&amp;"",tbl_Production[Job Number],0),MATCH(IFERROR(A20+0,A20),tbl_Production[Job Number],0)))="","",INDEX(tbl_Production[Tax Code],IFERROR(MATCH(A20&amp;"",tbl_Production[Job Number],0),MATCH(IFERROR(A20+0,A20),tbl_Production[Job Number],0)))),IFERROR(IF(INDEX(tbl_Consulting[Tax Code],IFERROR(MATCH(A20&amp;"",tbl_Consulting[Job Number],0),MATCH(IFERROR(A20+0,A20),tbl_Consulting[Job Number],0)))="","",INDEX(tbl_Consulting[Tax Code],IFERROR(MATCH(A20&amp;"",tbl_Consulting[Job Number],0),MATCH(IFERROR(A20+0,A20),tbl_Consulting[Job Number],0)))),"")))="","GST 10%",IFERROR(IF(INDEX(tbl_Onsite[Tax Code],IFERROR(MATCH(A20&amp;"",tbl_Onsite[Job Number],0),MATCH(IFERROR(A20+0,A20),tbl_Onsite[Job Number],0)))="","",INDEX(tbl_Onsite[Tax Code],IFERROR(MATCH(A20&amp;"",tbl_Onsite[Job Number],0),MATCH(IFERROR(A20+0,A20),tbl_Onsite[Job Number],0)))),IFERROR(IF(INDEX(tbl_Production[Tax Code],IFERROR(MATCH(A20&amp;"",tbl_Production[Job Number],0),MATCH(IFERROR(A20+0,A20),tbl_Production[Job Number],0)))="","",INDEX(tbl_Production[Tax Code],IFERROR(MATCH(A20&amp;"",tbl_Production[Job Number],0),MATCH(IFERROR(A20+0,A20),tbl_Production[Job Number],0)))),IFERROR(IF(INDEX(tbl_Consulting[Tax Code],IFERROR(MATCH(A20&amp;"",tbl_Consulting[Job Number],0),MATCH(IFERROR(A20+0,A20),tbl_Consulting[Job Number],0)))="","",INDEX(tbl_Consulting[Tax Code],IFERROR(MATCH(A20&amp;"",tbl_Consulting[Job Number],0),MATCH(IFERROR(A20+0,A20),tbl_Consulting[Job Number],0)))),"")))))</f>
        <v/>
      </c>
      <c r="N20" s="26">
        <f>IF(D20="","",IFERROR(INDEX(lst_CCtoGL,MATCH(D20,lst_CCforGL,0)),""))</f>
        <v/>
      </c>
      <c r="O20" s="27">
        <f>IF(E20="","",IF(M20="GST 10%",ROUND(E20*set_GSTRate,2),0))</f>
        <v/>
      </c>
      <c r="P20" s="27">
        <f>IF(E20="","",E20+O20)</f>
        <v/>
      </c>
      <c r="Q20" s="27">
        <f>IF(A20="","",IFERROR(INDEX(tbl_Onsite[Expected Revenue Ex GST],IFERROR(MATCH(A20&amp;"",tbl_Onsite[Job Number],0),MATCH(IFERROR(A20+0,A20),tbl_Onsite[Job Number],0))),IFERROR(INDEX(tbl_Production[Expected Revenue Ex GST],IFERROR(MATCH(A20&amp;"",tbl_Production[Job Number],0),MATCH(IFERROR(A20+0,A20),tbl_Production[Job Number],0))),IFERROR(INDEX(tbl_Consulting[Expected Revenue Ex GST],IFERROR(MATCH(A20&amp;"",tbl_Consulting[Job Number],0),MATCH(IFERROR(A20+0,A20),tbl_Consulting[Job Number],0))),0))))</f>
        <v/>
      </c>
      <c r="R20" s="27">
        <f>IF(A20="","",SUMIFS(tbl_Finance[Ex GST],tbl_Finance[Job Number],A20&amp;""))</f>
        <v/>
      </c>
      <c r="S20" s="27">
        <f>IF(A20="","",Q20-R20)</f>
        <v/>
      </c>
      <c r="T20" s="26">
        <f>IF(A20="","",IF(Q20=0,"No dept value",IF(ROUND(S20,2)=0,"Agrees",IF(S20&gt;0,"Dept higher - to invoice","Xero higher - check dept"))))</f>
        <v/>
      </c>
      <c r="U20" s="22" t="n"/>
      <c r="V20" s="22" t="n"/>
      <c r="W20" s="23" t="n"/>
      <c r="X20" s="23" t="n"/>
      <c r="Y20" s="22" t="n"/>
      <c r="Z20" s="22" t="n"/>
      <c r="AA20" s="26">
        <f>IF(COUNTA(C20,A20,B20,E20)=0,"",IF(C20="","No date - sits outside every month",IF(A20="","No job number",IF(H20="CHECK","Job number is not in the Xero job list",IF(G20="not set up yet","No department has set this job up - nothing can pull through",IF(D20="","No cost centre",IF(AND(U20="Y",B20=""),"Marked posted to Xero but has no invoice number",IF(N20="","Cost centre has no revenue GL on the Lists sheet",IF(T20="Xero higher - check dept","Invoiced more than the department says the job is worth","")))))))))</f>
        <v/>
      </c>
      <c r="AB20" s="28">
        <f>IF(A20="","",COUNTIFS(tbl_Finance[Job Number],A20&amp;"",tbl_Finance[Ex GST],"&lt;&gt;"))</f>
        <v/>
      </c>
      <c r="AC20" s="27">
        <f>IF(A20="","",SUMIFS(tbl_Finance[Ex GST],tbl_Finance[Job Number],A20&amp;""))</f>
        <v/>
      </c>
      <c r="AD20" s="27">
        <f>IF(A20="","",SUMIFS(tbl_Finance[Ex GST],tbl_Finance[Job Number],A20&amp;"",tbl_Finance[Xero Invoice No],"&lt;&gt;"))</f>
        <v/>
      </c>
      <c r="AE20" s="27">
        <f>IF(A20="","",AC20-AD20)</f>
        <v/>
      </c>
      <c r="AF20" s="26">
        <f>IF(A20="","",IFERROR(IF(INDEX(tbl_Onsite[Qwilr Quote],IFERROR(MATCH(A20&amp;"",tbl_Onsite[Job Number],0),MATCH(IFERROR(A20+0,A20),tbl_Onsite[Job Number],0)))="","",INDEX(tbl_Onsite[Qwilr Quote],IFERROR(MATCH(A20&amp;"",tbl_Onsite[Job Number],0),MATCH(IFERROR(A20+0,A20),tbl_Onsite[Job Number],0)))),IFERROR(IF(IF(INDEX(tbl_Production[Current RMS No],IFERROR(MATCH(A20&amp;"",tbl_Production[Job Number],0),MATCH(IFERROR(A20+0,A20),tbl_Production[Job Number],0)))="",INDEX(tbl_Production[Qwilr Quote],IFERROR(MATCH(A20&amp;"",tbl_Production[Job Number],0),MATCH(IFERROR(A20+0,A20),tbl_Production[Job Number],0))),INDEX(tbl_Production[Current RMS No],IFERROR(MATCH(A20&amp;"",tbl_Production[Job Number],0),MATCH(IFERROR(A20+0,A20),tbl_Production[Job Number],0))))="","",IF(INDEX(tbl_Production[Current RMS No],IFERROR(MATCH(A20&amp;"",tbl_Production[Job Number],0),MATCH(IFERROR(A20+0,A20),tbl_Production[Job Number],0)))="",INDEX(tbl_Production[Qwilr Quote],IFERROR(MATCH(A20&amp;"",tbl_Production[Job Number],0),MATCH(IFERROR(A20+0,A20),tbl_Production[Job Number],0))),INDEX(tbl_Production[Current RMS No],IFERROR(MATCH(A20&amp;"",tbl_Production[Job Number],0),MATCH(IFERROR(A20+0,A20),tbl_Production[Job Number],0))))),IFERROR(IF(INDEX(tbl_Consulting[Qwilr Quote],IFERROR(MATCH(A20&amp;"",tbl_Consulting[Job Number],0),MATCH(IFERROR(A20+0,A20),tbl_Consulting[Job Number],0)))="","",INDEX(tbl_Consulting[Qwilr Quote],IFERROR(MATCH(A20&amp;"",tbl_Consulting[Job Number],0),MATCH(IFERROR(A20+0,A20),tbl_Consulting[Job Number],0)))),""))))</f>
        <v/>
      </c>
      <c r="AG20" s="26">
        <f>IF(AF20="","",IF(AND(LEFT(AF20,4)&lt;&gt;"http",IF(G20="Production",set_RMSBase,set_QwilrBase)=""),"",HYPERLINK(IF(LEFT(AF20,4)="http",AF20,IF(G20="Production",set_RMSBase,set_QwilrBase)&amp;AF20),"Open")))</f>
        <v/>
      </c>
      <c r="AH20" s="27">
        <f>IF(A20="","",IFERROR(INDEX(tbl_Production[Total Expense],IFERROR(MATCH(A20&amp;"",tbl_Production[Job Number],0),MATCH(IFERROR(A20+0,A20),tbl_Production[Job Number],0))),IFERROR(INDEX(tbl_Consulting[Total Expense],IFERROR(MATCH(A20&amp;"",tbl_Consulting[Job Number],0),MATCH(IFERROR(A20+0,A20),tbl_Consulting[Job Number],0))),0)))</f>
        <v/>
      </c>
      <c r="AI20" s="27">
        <f>IF(A20="","",AC20-N(AH20))</f>
        <v/>
      </c>
      <c r="AJ20" s="29">
        <f>IFERROR(AI20/AC20,"")</f>
        <v/>
      </c>
      <c r="AK20" s="26">
        <f>IF(A20="","",IFERROR(IF(INDEX(tbl_Onsite[Notes],IFERROR(MATCH(A20&amp;"",tbl_Onsite[Job Number],0),MATCH(IFERROR(A20+0,A20),tbl_Onsite[Job Number],0)))="","",INDEX(tbl_Onsite[Notes],IFERROR(MATCH(A20&amp;"",tbl_Onsite[Job Number],0),MATCH(IFERROR(A20+0,A20),tbl_Onsite[Job Number],0)))),IFERROR(IF(INDEX(tbl_Production[Notes],IFERROR(MATCH(A20&amp;"",tbl_Production[Job Number],0),MATCH(IFERROR(A20+0,A20),tbl_Production[Job Number],0)))="","",INDEX(tbl_Production[Notes],IFERROR(MATCH(A20&amp;"",tbl_Production[Job Number],0),MATCH(IFERROR(A20+0,A20),tbl_Production[Job Number],0)))),IFERROR(IF(INDEX(tbl_Consulting[Notes],IFERROR(MATCH(A20&amp;"",tbl_Consulting[Job Number],0),MATCH(IFERROR(A20+0,A20),tbl_Consulting[Job Number],0)))="","",INDEX(tbl_Consulting[Notes],IFERROR(MATCH(A20&amp;"",tbl_Consulting[Job Number],0),MATCH(IFERROR(A20+0,A20),tbl_Consulting[Job Number],0)))),""))))</f>
        <v/>
      </c>
    </row>
    <row r="21" ht="15" customHeight="1">
      <c r="A21" s="22" t="n"/>
      <c r="B21" s="22" t="n"/>
      <c r="C21" s="23" t="n"/>
      <c r="D21" s="22" t="n"/>
      <c r="E21" s="24" t="n"/>
      <c r="F21" s="25">
        <f>IF(C21="","",EOMONTH(C21,0))</f>
        <v/>
      </c>
      <c r="G21" s="26">
        <f>IF(A21="","",IF(COUNTIF(tbl_Onsite[Job Number],A21&amp;"")&gt;0,"Onsite",IF(COUNTIF(tbl_Production[Job Number],A21&amp;"")&gt;0,"Production",IF(COUNTIF(tbl_Consulting[Job Number],A21&amp;"")&gt;0,"Consulting","not set up yet"))))</f>
        <v/>
      </c>
      <c r="H21" s="26">
        <f>IF(A21="","",IF(COUNTIF(lst_Jobs,A21&amp;"")&gt;0,"OK","CHECK"))</f>
        <v/>
      </c>
      <c r="I21" s="26">
        <f>IF(A21="","",IFERROR(INDEX(lst_JobName,MATCH(A21&amp;"",lst_Jobs,0)),""))</f>
        <v/>
      </c>
      <c r="J21" s="26">
        <f>IF(A21="","",IFERROR(IF(INDEX(tbl_Onsite[Client],IFERROR(MATCH(A21&amp;"",tbl_Onsite[Job Number],0),MATCH(IFERROR(A21+0,A21),tbl_Onsite[Job Number],0)))="","",INDEX(tbl_Onsite[Client],IFERROR(MATCH(A21&amp;"",tbl_Onsite[Job Number],0),MATCH(IFERROR(A21+0,A21),tbl_Onsite[Job Number],0)))),IFERROR(IF(INDEX(tbl_Production[Client],IFERROR(MATCH(A21&amp;"",tbl_Production[Job Number],0),MATCH(IFERROR(A21+0,A21),tbl_Production[Job Number],0)))="","",INDEX(tbl_Production[Client],IFERROR(MATCH(A21&amp;"",tbl_Production[Job Number],0),MATCH(IFERROR(A21+0,A21),tbl_Production[Job Number],0)))),IFERROR(IF(INDEX(tbl_Consulting[Client],IFERROR(MATCH(A21&amp;"",tbl_Consulting[Job Number],0),MATCH(IFERROR(A21+0,A21),tbl_Consulting[Job Number],0)))="","",INDEX(tbl_Consulting[Client],IFERROR(MATCH(A21&amp;"",tbl_Consulting[Job Number],0),MATCH(IFERROR(A21+0,A21),tbl_Consulting[Job Number],0)))),""))))</f>
        <v/>
      </c>
      <c r="K21" s="26">
        <f>IF(A21="","",IFERROR(IF(INDEX(tbl_Onsite[Job Description],IFERROR(MATCH(A21&amp;"",tbl_Onsite[Job Number],0),MATCH(IFERROR(A21+0,A21),tbl_Onsite[Job Number],0)))="","",INDEX(tbl_Onsite[Job Description],IFERROR(MATCH(A21&amp;"",tbl_Onsite[Job Number],0),MATCH(IFERROR(A21+0,A21),tbl_Onsite[Job Number],0)))),IFERROR(IF(INDEX(tbl_Production[Job Description],IFERROR(MATCH(A21&amp;"",tbl_Production[Job Number],0),MATCH(IFERROR(A21+0,A21),tbl_Production[Job Number],0)))="","",INDEX(tbl_Production[Job Description],IFERROR(MATCH(A21&amp;"",tbl_Production[Job Number],0),MATCH(IFERROR(A21+0,A21),tbl_Production[Job Number],0)))),IFERROR(IF(INDEX(tbl_Consulting[Job Description],IFERROR(MATCH(A21&amp;"",tbl_Consulting[Job Number],0),MATCH(IFERROR(A21+0,A21),tbl_Consulting[Job Number],0)))="","",INDEX(tbl_Consulting[Job Description],IFERROR(MATCH(A21&amp;"",tbl_Consulting[Job Number],0),MATCH(IFERROR(A21+0,A21),tbl_Consulting[Job Number],0)))),""))))</f>
        <v/>
      </c>
      <c r="L21" s="26">
        <f>IF(A21="","",IFERROR(IF(INDEX(tbl_Onsite[Invoice Type],IFERROR(MATCH(A21&amp;"",tbl_Onsite[Job Number],0),MATCH(IFERROR(A21+0,A21),tbl_Onsite[Job Number],0)))="","",INDEX(tbl_Onsite[Invoice Type],IFERROR(MATCH(A21&amp;"",tbl_Onsite[Job Number],0),MATCH(IFERROR(A21+0,A21),tbl_Onsite[Job Number],0)))),IFERROR(IF(INDEX(tbl_Production[Invoice Type],IFERROR(MATCH(A21&amp;"",tbl_Production[Job Number],0),MATCH(IFERROR(A21+0,A21),tbl_Production[Job Number],0)))="","",INDEX(tbl_Production[Invoice Type],IFERROR(MATCH(A21&amp;"",tbl_Production[Job Number],0),MATCH(IFERROR(A21+0,A21),tbl_Production[Job Number],0)))),IFERROR(IF(INDEX(tbl_Consulting[Invoice Type],IFERROR(MATCH(A21&amp;"",tbl_Consulting[Job Number],0),MATCH(IFERROR(A21+0,A21),tbl_Consulting[Job Number],0)))="","",INDEX(tbl_Consulting[Invoice Type],IFERROR(MATCH(A21&amp;"",tbl_Consulting[Job Number],0),MATCH(IFERROR(A21+0,A21),tbl_Consulting[Job Number],0)))),""))))</f>
        <v/>
      </c>
      <c r="M21" s="26">
        <f>IF(A21="","",IF(IFERROR(IF(INDEX(tbl_Onsite[Tax Code],IFERROR(MATCH(A21&amp;"",tbl_Onsite[Job Number],0),MATCH(IFERROR(A21+0,A21),tbl_Onsite[Job Number],0)))="","",INDEX(tbl_Onsite[Tax Code],IFERROR(MATCH(A21&amp;"",tbl_Onsite[Job Number],0),MATCH(IFERROR(A21+0,A21),tbl_Onsite[Job Number],0)))),IFERROR(IF(INDEX(tbl_Production[Tax Code],IFERROR(MATCH(A21&amp;"",tbl_Production[Job Number],0),MATCH(IFERROR(A21+0,A21),tbl_Production[Job Number],0)))="","",INDEX(tbl_Production[Tax Code],IFERROR(MATCH(A21&amp;"",tbl_Production[Job Number],0),MATCH(IFERROR(A21+0,A21),tbl_Production[Job Number],0)))),IFERROR(IF(INDEX(tbl_Consulting[Tax Code],IFERROR(MATCH(A21&amp;"",tbl_Consulting[Job Number],0),MATCH(IFERROR(A21+0,A21),tbl_Consulting[Job Number],0)))="","",INDEX(tbl_Consulting[Tax Code],IFERROR(MATCH(A21&amp;"",tbl_Consulting[Job Number],0),MATCH(IFERROR(A21+0,A21),tbl_Consulting[Job Number],0)))),"")))="","GST 10%",IFERROR(IF(INDEX(tbl_Onsite[Tax Code],IFERROR(MATCH(A21&amp;"",tbl_Onsite[Job Number],0),MATCH(IFERROR(A21+0,A21),tbl_Onsite[Job Number],0)))="","",INDEX(tbl_Onsite[Tax Code],IFERROR(MATCH(A21&amp;"",tbl_Onsite[Job Number],0),MATCH(IFERROR(A21+0,A21),tbl_Onsite[Job Number],0)))),IFERROR(IF(INDEX(tbl_Production[Tax Code],IFERROR(MATCH(A21&amp;"",tbl_Production[Job Number],0),MATCH(IFERROR(A21+0,A21),tbl_Production[Job Number],0)))="","",INDEX(tbl_Production[Tax Code],IFERROR(MATCH(A21&amp;"",tbl_Production[Job Number],0),MATCH(IFERROR(A21+0,A21),tbl_Production[Job Number],0)))),IFERROR(IF(INDEX(tbl_Consulting[Tax Code],IFERROR(MATCH(A21&amp;"",tbl_Consulting[Job Number],0),MATCH(IFERROR(A21+0,A21),tbl_Consulting[Job Number],0)))="","",INDEX(tbl_Consulting[Tax Code],IFERROR(MATCH(A21&amp;"",tbl_Consulting[Job Number],0),MATCH(IFERROR(A21+0,A21),tbl_Consulting[Job Number],0)))),"")))))</f>
        <v/>
      </c>
      <c r="N21" s="26">
        <f>IF(D21="","",IFERROR(INDEX(lst_CCtoGL,MATCH(D21,lst_CCforGL,0)),""))</f>
        <v/>
      </c>
      <c r="O21" s="27">
        <f>IF(E21="","",IF(M21="GST 10%",ROUND(E21*set_GSTRate,2),0))</f>
        <v/>
      </c>
      <c r="P21" s="27">
        <f>IF(E21="","",E21+O21)</f>
        <v/>
      </c>
      <c r="Q21" s="27">
        <f>IF(A21="","",IFERROR(INDEX(tbl_Onsite[Expected Revenue Ex GST],IFERROR(MATCH(A21&amp;"",tbl_Onsite[Job Number],0),MATCH(IFERROR(A21+0,A21),tbl_Onsite[Job Number],0))),IFERROR(INDEX(tbl_Production[Expected Revenue Ex GST],IFERROR(MATCH(A21&amp;"",tbl_Production[Job Number],0),MATCH(IFERROR(A21+0,A21),tbl_Production[Job Number],0))),IFERROR(INDEX(tbl_Consulting[Expected Revenue Ex GST],IFERROR(MATCH(A21&amp;"",tbl_Consulting[Job Number],0),MATCH(IFERROR(A21+0,A21),tbl_Consulting[Job Number],0))),0))))</f>
        <v/>
      </c>
      <c r="R21" s="27">
        <f>IF(A21="","",SUMIFS(tbl_Finance[Ex GST],tbl_Finance[Job Number],A21&amp;""))</f>
        <v/>
      </c>
      <c r="S21" s="27">
        <f>IF(A21="","",Q21-R21)</f>
        <v/>
      </c>
      <c r="T21" s="26">
        <f>IF(A21="","",IF(Q21=0,"No dept value",IF(ROUND(S21,2)=0,"Agrees",IF(S21&gt;0,"Dept higher - to invoice","Xero higher - check dept"))))</f>
        <v/>
      </c>
      <c r="U21" s="22" t="n"/>
      <c r="V21" s="22" t="n"/>
      <c r="W21" s="23" t="n"/>
      <c r="X21" s="23" t="n"/>
      <c r="Y21" s="22" t="n"/>
      <c r="Z21" s="22" t="n"/>
      <c r="AA21" s="26">
        <f>IF(COUNTA(C21,A21,B21,E21)=0,"",IF(C21="","No date - sits outside every month",IF(A21="","No job number",IF(H21="CHECK","Job number is not in the Xero job list",IF(G21="not set up yet","No department has set this job up - nothing can pull through",IF(D21="","No cost centre",IF(AND(U21="Y",B21=""),"Marked posted to Xero but has no invoice number",IF(N21="","Cost centre has no revenue GL on the Lists sheet",IF(T21="Xero higher - check dept","Invoiced more than the department says the job is worth","")))))))))</f>
        <v/>
      </c>
      <c r="AB21" s="28">
        <f>IF(A21="","",COUNTIFS(tbl_Finance[Job Number],A21&amp;"",tbl_Finance[Ex GST],"&lt;&gt;"))</f>
        <v/>
      </c>
      <c r="AC21" s="27">
        <f>IF(A21="","",SUMIFS(tbl_Finance[Ex GST],tbl_Finance[Job Number],A21&amp;""))</f>
        <v/>
      </c>
      <c r="AD21" s="27">
        <f>IF(A21="","",SUMIFS(tbl_Finance[Ex GST],tbl_Finance[Job Number],A21&amp;"",tbl_Finance[Xero Invoice No],"&lt;&gt;"))</f>
        <v/>
      </c>
      <c r="AE21" s="27">
        <f>IF(A21="","",AC21-AD21)</f>
        <v/>
      </c>
      <c r="AF21" s="26">
        <f>IF(A21="","",IFERROR(IF(INDEX(tbl_Onsite[Qwilr Quote],IFERROR(MATCH(A21&amp;"",tbl_Onsite[Job Number],0),MATCH(IFERROR(A21+0,A21),tbl_Onsite[Job Number],0)))="","",INDEX(tbl_Onsite[Qwilr Quote],IFERROR(MATCH(A21&amp;"",tbl_Onsite[Job Number],0),MATCH(IFERROR(A21+0,A21),tbl_Onsite[Job Number],0)))),IFERROR(IF(IF(INDEX(tbl_Production[Current RMS No],IFERROR(MATCH(A21&amp;"",tbl_Production[Job Number],0),MATCH(IFERROR(A21+0,A21),tbl_Production[Job Number],0)))="",INDEX(tbl_Production[Qwilr Quote],IFERROR(MATCH(A21&amp;"",tbl_Production[Job Number],0),MATCH(IFERROR(A21+0,A21),tbl_Production[Job Number],0))),INDEX(tbl_Production[Current RMS No],IFERROR(MATCH(A21&amp;"",tbl_Production[Job Number],0),MATCH(IFERROR(A21+0,A21),tbl_Production[Job Number],0))))="","",IF(INDEX(tbl_Production[Current RMS No],IFERROR(MATCH(A21&amp;"",tbl_Production[Job Number],0),MATCH(IFERROR(A21+0,A21),tbl_Production[Job Number],0)))="",INDEX(tbl_Production[Qwilr Quote],IFERROR(MATCH(A21&amp;"",tbl_Production[Job Number],0),MATCH(IFERROR(A21+0,A21),tbl_Production[Job Number],0))),INDEX(tbl_Production[Current RMS No],IFERROR(MATCH(A21&amp;"",tbl_Production[Job Number],0),MATCH(IFERROR(A21+0,A21),tbl_Production[Job Number],0))))),IFERROR(IF(INDEX(tbl_Consulting[Qwilr Quote],IFERROR(MATCH(A21&amp;"",tbl_Consulting[Job Number],0),MATCH(IFERROR(A21+0,A21),tbl_Consulting[Job Number],0)))="","",INDEX(tbl_Consulting[Qwilr Quote],IFERROR(MATCH(A21&amp;"",tbl_Consulting[Job Number],0),MATCH(IFERROR(A21+0,A21),tbl_Consulting[Job Number],0)))),""))))</f>
        <v/>
      </c>
      <c r="AG21" s="26">
        <f>IF(AF21="","",IF(AND(LEFT(AF21,4)&lt;&gt;"http",IF(G21="Production",set_RMSBase,set_QwilrBase)=""),"",HYPERLINK(IF(LEFT(AF21,4)="http",AF21,IF(G21="Production",set_RMSBase,set_QwilrBase)&amp;AF21),"Open")))</f>
        <v/>
      </c>
      <c r="AH21" s="27">
        <f>IF(A21="","",IFERROR(INDEX(tbl_Production[Total Expense],IFERROR(MATCH(A21&amp;"",tbl_Production[Job Number],0),MATCH(IFERROR(A21+0,A21),tbl_Production[Job Number],0))),IFERROR(INDEX(tbl_Consulting[Total Expense],IFERROR(MATCH(A21&amp;"",tbl_Consulting[Job Number],0),MATCH(IFERROR(A21+0,A21),tbl_Consulting[Job Number],0))),0)))</f>
        <v/>
      </c>
      <c r="AI21" s="27">
        <f>IF(A21="","",AC21-N(AH21))</f>
        <v/>
      </c>
      <c r="AJ21" s="29">
        <f>IFERROR(AI21/AC21,"")</f>
        <v/>
      </c>
      <c r="AK21" s="26">
        <f>IF(A21="","",IFERROR(IF(INDEX(tbl_Onsite[Notes],IFERROR(MATCH(A21&amp;"",tbl_Onsite[Job Number],0),MATCH(IFERROR(A21+0,A21),tbl_Onsite[Job Number],0)))="","",INDEX(tbl_Onsite[Notes],IFERROR(MATCH(A21&amp;"",tbl_Onsite[Job Number],0),MATCH(IFERROR(A21+0,A21),tbl_Onsite[Job Number],0)))),IFERROR(IF(INDEX(tbl_Production[Notes],IFERROR(MATCH(A21&amp;"",tbl_Production[Job Number],0),MATCH(IFERROR(A21+0,A21),tbl_Production[Job Number],0)))="","",INDEX(tbl_Production[Notes],IFERROR(MATCH(A21&amp;"",tbl_Production[Job Number],0),MATCH(IFERROR(A21+0,A21),tbl_Production[Job Number],0)))),IFERROR(IF(INDEX(tbl_Consulting[Notes],IFERROR(MATCH(A21&amp;"",tbl_Consulting[Job Number],0),MATCH(IFERROR(A21+0,A21),tbl_Consulting[Job Number],0)))="","",INDEX(tbl_Consulting[Notes],IFERROR(MATCH(A21&amp;"",tbl_Consulting[Job Number],0),MATCH(IFERROR(A21+0,A21),tbl_Consulting[Job Number],0)))),""))))</f>
        <v/>
      </c>
    </row>
    <row r="22" ht="15" customHeight="1">
      <c r="A22" s="22" t="n"/>
      <c r="B22" s="22" t="n"/>
      <c r="C22" s="23" t="n"/>
      <c r="D22" s="22" t="n"/>
      <c r="E22" s="24" t="n"/>
      <c r="F22" s="25">
        <f>IF(C22="","",EOMONTH(C22,0))</f>
        <v/>
      </c>
      <c r="G22" s="26">
        <f>IF(A22="","",IF(COUNTIF(tbl_Onsite[Job Number],A22&amp;"")&gt;0,"Onsite",IF(COUNTIF(tbl_Production[Job Number],A22&amp;"")&gt;0,"Production",IF(COUNTIF(tbl_Consulting[Job Number],A22&amp;"")&gt;0,"Consulting","not set up yet"))))</f>
        <v/>
      </c>
      <c r="H22" s="26">
        <f>IF(A22="","",IF(COUNTIF(lst_Jobs,A22&amp;"")&gt;0,"OK","CHECK"))</f>
        <v/>
      </c>
      <c r="I22" s="26">
        <f>IF(A22="","",IFERROR(INDEX(lst_JobName,MATCH(A22&amp;"",lst_Jobs,0)),""))</f>
        <v/>
      </c>
      <c r="J22" s="26">
        <f>IF(A22="","",IFERROR(IF(INDEX(tbl_Onsite[Client],IFERROR(MATCH(A22&amp;"",tbl_Onsite[Job Number],0),MATCH(IFERROR(A22+0,A22),tbl_Onsite[Job Number],0)))="","",INDEX(tbl_Onsite[Client],IFERROR(MATCH(A22&amp;"",tbl_Onsite[Job Number],0),MATCH(IFERROR(A22+0,A22),tbl_Onsite[Job Number],0)))),IFERROR(IF(INDEX(tbl_Production[Client],IFERROR(MATCH(A22&amp;"",tbl_Production[Job Number],0),MATCH(IFERROR(A22+0,A22),tbl_Production[Job Number],0)))="","",INDEX(tbl_Production[Client],IFERROR(MATCH(A22&amp;"",tbl_Production[Job Number],0),MATCH(IFERROR(A22+0,A22),tbl_Production[Job Number],0)))),IFERROR(IF(INDEX(tbl_Consulting[Client],IFERROR(MATCH(A22&amp;"",tbl_Consulting[Job Number],0),MATCH(IFERROR(A22+0,A22),tbl_Consulting[Job Number],0)))="","",INDEX(tbl_Consulting[Client],IFERROR(MATCH(A22&amp;"",tbl_Consulting[Job Number],0),MATCH(IFERROR(A22+0,A22),tbl_Consulting[Job Number],0)))),""))))</f>
        <v/>
      </c>
      <c r="K22" s="26">
        <f>IF(A22="","",IFERROR(IF(INDEX(tbl_Onsite[Job Description],IFERROR(MATCH(A22&amp;"",tbl_Onsite[Job Number],0),MATCH(IFERROR(A22+0,A22),tbl_Onsite[Job Number],0)))="","",INDEX(tbl_Onsite[Job Description],IFERROR(MATCH(A22&amp;"",tbl_Onsite[Job Number],0),MATCH(IFERROR(A22+0,A22),tbl_Onsite[Job Number],0)))),IFERROR(IF(INDEX(tbl_Production[Job Description],IFERROR(MATCH(A22&amp;"",tbl_Production[Job Number],0),MATCH(IFERROR(A22+0,A22),tbl_Production[Job Number],0)))="","",INDEX(tbl_Production[Job Description],IFERROR(MATCH(A22&amp;"",tbl_Production[Job Number],0),MATCH(IFERROR(A22+0,A22),tbl_Production[Job Number],0)))),IFERROR(IF(INDEX(tbl_Consulting[Job Description],IFERROR(MATCH(A22&amp;"",tbl_Consulting[Job Number],0),MATCH(IFERROR(A22+0,A22),tbl_Consulting[Job Number],0)))="","",INDEX(tbl_Consulting[Job Description],IFERROR(MATCH(A22&amp;"",tbl_Consulting[Job Number],0),MATCH(IFERROR(A22+0,A22),tbl_Consulting[Job Number],0)))),""))))</f>
        <v/>
      </c>
      <c r="L22" s="26">
        <f>IF(A22="","",IFERROR(IF(INDEX(tbl_Onsite[Invoice Type],IFERROR(MATCH(A22&amp;"",tbl_Onsite[Job Number],0),MATCH(IFERROR(A22+0,A22),tbl_Onsite[Job Number],0)))="","",INDEX(tbl_Onsite[Invoice Type],IFERROR(MATCH(A22&amp;"",tbl_Onsite[Job Number],0),MATCH(IFERROR(A22+0,A22),tbl_Onsite[Job Number],0)))),IFERROR(IF(INDEX(tbl_Production[Invoice Type],IFERROR(MATCH(A22&amp;"",tbl_Production[Job Number],0),MATCH(IFERROR(A22+0,A22),tbl_Production[Job Number],0)))="","",INDEX(tbl_Production[Invoice Type],IFERROR(MATCH(A22&amp;"",tbl_Production[Job Number],0),MATCH(IFERROR(A22+0,A22),tbl_Production[Job Number],0)))),IFERROR(IF(INDEX(tbl_Consulting[Invoice Type],IFERROR(MATCH(A22&amp;"",tbl_Consulting[Job Number],0),MATCH(IFERROR(A22+0,A22),tbl_Consulting[Job Number],0)))="","",INDEX(tbl_Consulting[Invoice Type],IFERROR(MATCH(A22&amp;"",tbl_Consulting[Job Number],0),MATCH(IFERROR(A22+0,A22),tbl_Consulting[Job Number],0)))),""))))</f>
        <v/>
      </c>
      <c r="M22" s="26">
        <f>IF(A22="","",IF(IFERROR(IF(INDEX(tbl_Onsite[Tax Code],IFERROR(MATCH(A22&amp;"",tbl_Onsite[Job Number],0),MATCH(IFERROR(A22+0,A22),tbl_Onsite[Job Number],0)))="","",INDEX(tbl_Onsite[Tax Code],IFERROR(MATCH(A22&amp;"",tbl_Onsite[Job Number],0),MATCH(IFERROR(A22+0,A22),tbl_Onsite[Job Number],0)))),IFERROR(IF(INDEX(tbl_Production[Tax Code],IFERROR(MATCH(A22&amp;"",tbl_Production[Job Number],0),MATCH(IFERROR(A22+0,A22),tbl_Production[Job Number],0)))="","",INDEX(tbl_Production[Tax Code],IFERROR(MATCH(A22&amp;"",tbl_Production[Job Number],0),MATCH(IFERROR(A22+0,A22),tbl_Production[Job Number],0)))),IFERROR(IF(INDEX(tbl_Consulting[Tax Code],IFERROR(MATCH(A22&amp;"",tbl_Consulting[Job Number],0),MATCH(IFERROR(A22+0,A22),tbl_Consulting[Job Number],0)))="","",INDEX(tbl_Consulting[Tax Code],IFERROR(MATCH(A22&amp;"",tbl_Consulting[Job Number],0),MATCH(IFERROR(A22+0,A22),tbl_Consulting[Job Number],0)))),"")))="","GST 10%",IFERROR(IF(INDEX(tbl_Onsite[Tax Code],IFERROR(MATCH(A22&amp;"",tbl_Onsite[Job Number],0),MATCH(IFERROR(A22+0,A22),tbl_Onsite[Job Number],0)))="","",INDEX(tbl_Onsite[Tax Code],IFERROR(MATCH(A22&amp;"",tbl_Onsite[Job Number],0),MATCH(IFERROR(A22+0,A22),tbl_Onsite[Job Number],0)))),IFERROR(IF(INDEX(tbl_Production[Tax Code],IFERROR(MATCH(A22&amp;"",tbl_Production[Job Number],0),MATCH(IFERROR(A22+0,A22),tbl_Production[Job Number],0)))="","",INDEX(tbl_Production[Tax Code],IFERROR(MATCH(A22&amp;"",tbl_Production[Job Number],0),MATCH(IFERROR(A22+0,A22),tbl_Production[Job Number],0)))),IFERROR(IF(INDEX(tbl_Consulting[Tax Code],IFERROR(MATCH(A22&amp;"",tbl_Consulting[Job Number],0),MATCH(IFERROR(A22+0,A22),tbl_Consulting[Job Number],0)))="","",INDEX(tbl_Consulting[Tax Code],IFERROR(MATCH(A22&amp;"",tbl_Consulting[Job Number],0),MATCH(IFERROR(A22+0,A22),tbl_Consulting[Job Number],0)))),"")))))</f>
        <v/>
      </c>
      <c r="N22" s="26">
        <f>IF(D22="","",IFERROR(INDEX(lst_CCtoGL,MATCH(D22,lst_CCforGL,0)),""))</f>
        <v/>
      </c>
      <c r="O22" s="27">
        <f>IF(E22="","",IF(M22="GST 10%",ROUND(E22*set_GSTRate,2),0))</f>
        <v/>
      </c>
      <c r="P22" s="27">
        <f>IF(E22="","",E22+O22)</f>
        <v/>
      </c>
      <c r="Q22" s="27">
        <f>IF(A22="","",IFERROR(INDEX(tbl_Onsite[Expected Revenue Ex GST],IFERROR(MATCH(A22&amp;"",tbl_Onsite[Job Number],0),MATCH(IFERROR(A22+0,A22),tbl_Onsite[Job Number],0))),IFERROR(INDEX(tbl_Production[Expected Revenue Ex GST],IFERROR(MATCH(A22&amp;"",tbl_Production[Job Number],0),MATCH(IFERROR(A22+0,A22),tbl_Production[Job Number],0))),IFERROR(INDEX(tbl_Consulting[Expected Revenue Ex GST],IFERROR(MATCH(A22&amp;"",tbl_Consulting[Job Number],0),MATCH(IFERROR(A22+0,A22),tbl_Consulting[Job Number],0))),0))))</f>
        <v/>
      </c>
      <c r="R22" s="27">
        <f>IF(A22="","",SUMIFS(tbl_Finance[Ex GST],tbl_Finance[Job Number],A22&amp;""))</f>
        <v/>
      </c>
      <c r="S22" s="27">
        <f>IF(A22="","",Q22-R22)</f>
        <v/>
      </c>
      <c r="T22" s="26">
        <f>IF(A22="","",IF(Q22=0,"No dept value",IF(ROUND(S22,2)=0,"Agrees",IF(S22&gt;0,"Dept higher - to invoice","Xero higher - check dept"))))</f>
        <v/>
      </c>
      <c r="U22" s="22" t="n"/>
      <c r="V22" s="22" t="n"/>
      <c r="W22" s="23" t="n"/>
      <c r="X22" s="23" t="n"/>
      <c r="Y22" s="22" t="n"/>
      <c r="Z22" s="22" t="n"/>
      <c r="AA22" s="26">
        <f>IF(COUNTA(C22,A22,B22,E22)=0,"",IF(C22="","No date - sits outside every month",IF(A22="","No job number",IF(H22="CHECK","Job number is not in the Xero job list",IF(G22="not set up yet","No department has set this job up - nothing can pull through",IF(D22="","No cost centre",IF(AND(U22="Y",B22=""),"Marked posted to Xero but has no invoice number",IF(N22="","Cost centre has no revenue GL on the Lists sheet",IF(T22="Xero higher - check dept","Invoiced more than the department says the job is worth","")))))))))</f>
        <v/>
      </c>
      <c r="AB22" s="28">
        <f>IF(A22="","",COUNTIFS(tbl_Finance[Job Number],A22&amp;"",tbl_Finance[Ex GST],"&lt;&gt;"))</f>
        <v/>
      </c>
      <c r="AC22" s="27">
        <f>IF(A22="","",SUMIFS(tbl_Finance[Ex GST],tbl_Finance[Job Number],A22&amp;""))</f>
        <v/>
      </c>
      <c r="AD22" s="27">
        <f>IF(A22="","",SUMIFS(tbl_Finance[Ex GST],tbl_Finance[Job Number],A22&amp;"",tbl_Finance[Xero Invoice No],"&lt;&gt;"))</f>
        <v/>
      </c>
      <c r="AE22" s="27">
        <f>IF(A22="","",AC22-AD22)</f>
        <v/>
      </c>
      <c r="AF22" s="26">
        <f>IF(A22="","",IFERROR(IF(INDEX(tbl_Onsite[Qwilr Quote],IFERROR(MATCH(A22&amp;"",tbl_Onsite[Job Number],0),MATCH(IFERROR(A22+0,A22),tbl_Onsite[Job Number],0)))="","",INDEX(tbl_Onsite[Qwilr Quote],IFERROR(MATCH(A22&amp;"",tbl_Onsite[Job Number],0),MATCH(IFERROR(A22+0,A22),tbl_Onsite[Job Number],0)))),IFERROR(IF(IF(INDEX(tbl_Production[Current RMS No],IFERROR(MATCH(A22&amp;"",tbl_Production[Job Number],0),MATCH(IFERROR(A22+0,A22),tbl_Production[Job Number],0)))="",INDEX(tbl_Production[Qwilr Quote],IFERROR(MATCH(A22&amp;"",tbl_Production[Job Number],0),MATCH(IFERROR(A22+0,A22),tbl_Production[Job Number],0))),INDEX(tbl_Production[Current RMS No],IFERROR(MATCH(A22&amp;"",tbl_Production[Job Number],0),MATCH(IFERROR(A22+0,A22),tbl_Production[Job Number],0))))="","",IF(INDEX(tbl_Production[Current RMS No],IFERROR(MATCH(A22&amp;"",tbl_Production[Job Number],0),MATCH(IFERROR(A22+0,A22),tbl_Production[Job Number],0)))="",INDEX(tbl_Production[Qwilr Quote],IFERROR(MATCH(A22&amp;"",tbl_Production[Job Number],0),MATCH(IFERROR(A22+0,A22),tbl_Production[Job Number],0))),INDEX(tbl_Production[Current RMS No],IFERROR(MATCH(A22&amp;"",tbl_Production[Job Number],0),MATCH(IFERROR(A22+0,A22),tbl_Production[Job Number],0))))),IFERROR(IF(INDEX(tbl_Consulting[Qwilr Quote],IFERROR(MATCH(A22&amp;"",tbl_Consulting[Job Number],0),MATCH(IFERROR(A22+0,A22),tbl_Consulting[Job Number],0)))="","",INDEX(tbl_Consulting[Qwilr Quote],IFERROR(MATCH(A22&amp;"",tbl_Consulting[Job Number],0),MATCH(IFERROR(A22+0,A22),tbl_Consulting[Job Number],0)))),""))))</f>
        <v/>
      </c>
      <c r="AG22" s="26">
        <f>IF(AF22="","",IF(AND(LEFT(AF22,4)&lt;&gt;"http",IF(G22="Production",set_RMSBase,set_QwilrBase)=""),"",HYPERLINK(IF(LEFT(AF22,4)="http",AF22,IF(G22="Production",set_RMSBase,set_QwilrBase)&amp;AF22),"Open")))</f>
        <v/>
      </c>
      <c r="AH22" s="27">
        <f>IF(A22="","",IFERROR(INDEX(tbl_Production[Total Expense],IFERROR(MATCH(A22&amp;"",tbl_Production[Job Number],0),MATCH(IFERROR(A22+0,A22),tbl_Production[Job Number],0))),IFERROR(INDEX(tbl_Consulting[Total Expense],IFERROR(MATCH(A22&amp;"",tbl_Consulting[Job Number],0),MATCH(IFERROR(A22+0,A22),tbl_Consulting[Job Number],0))),0)))</f>
        <v/>
      </c>
      <c r="AI22" s="27">
        <f>IF(A22="","",AC22-N(AH22))</f>
        <v/>
      </c>
      <c r="AJ22" s="29">
        <f>IFERROR(AI22/AC22,"")</f>
        <v/>
      </c>
      <c r="AK22" s="26">
        <f>IF(A22="","",IFERROR(IF(INDEX(tbl_Onsite[Notes],IFERROR(MATCH(A22&amp;"",tbl_Onsite[Job Number],0),MATCH(IFERROR(A22+0,A22),tbl_Onsite[Job Number],0)))="","",INDEX(tbl_Onsite[Notes],IFERROR(MATCH(A22&amp;"",tbl_Onsite[Job Number],0),MATCH(IFERROR(A22+0,A22),tbl_Onsite[Job Number],0)))),IFERROR(IF(INDEX(tbl_Production[Notes],IFERROR(MATCH(A22&amp;"",tbl_Production[Job Number],0),MATCH(IFERROR(A22+0,A22),tbl_Production[Job Number],0)))="","",INDEX(tbl_Production[Notes],IFERROR(MATCH(A22&amp;"",tbl_Production[Job Number],0),MATCH(IFERROR(A22+0,A22),tbl_Production[Job Number],0)))),IFERROR(IF(INDEX(tbl_Consulting[Notes],IFERROR(MATCH(A22&amp;"",tbl_Consulting[Job Number],0),MATCH(IFERROR(A22+0,A22),tbl_Consulting[Job Number],0)))="","",INDEX(tbl_Consulting[Notes],IFERROR(MATCH(A22&amp;"",tbl_Consulting[Job Number],0),MATCH(IFERROR(A22+0,A22),tbl_Consulting[Job Number],0)))),""))))</f>
        <v/>
      </c>
    </row>
    <row r="23" ht="15" customHeight="1">
      <c r="A23" s="22" t="n"/>
      <c r="B23" s="22" t="n"/>
      <c r="C23" s="23" t="n"/>
      <c r="D23" s="22" t="n"/>
      <c r="E23" s="24" t="n"/>
      <c r="F23" s="25">
        <f>IF(C23="","",EOMONTH(C23,0))</f>
        <v/>
      </c>
      <c r="G23" s="26">
        <f>IF(A23="","",IF(COUNTIF(tbl_Onsite[Job Number],A23&amp;"")&gt;0,"Onsite",IF(COUNTIF(tbl_Production[Job Number],A23&amp;"")&gt;0,"Production",IF(COUNTIF(tbl_Consulting[Job Number],A23&amp;"")&gt;0,"Consulting","not set up yet"))))</f>
        <v/>
      </c>
      <c r="H23" s="26">
        <f>IF(A23="","",IF(COUNTIF(lst_Jobs,A23&amp;"")&gt;0,"OK","CHECK"))</f>
        <v/>
      </c>
      <c r="I23" s="26">
        <f>IF(A23="","",IFERROR(INDEX(lst_JobName,MATCH(A23&amp;"",lst_Jobs,0)),""))</f>
        <v/>
      </c>
      <c r="J23" s="26">
        <f>IF(A23="","",IFERROR(IF(INDEX(tbl_Onsite[Client],IFERROR(MATCH(A23&amp;"",tbl_Onsite[Job Number],0),MATCH(IFERROR(A23+0,A23),tbl_Onsite[Job Number],0)))="","",INDEX(tbl_Onsite[Client],IFERROR(MATCH(A23&amp;"",tbl_Onsite[Job Number],0),MATCH(IFERROR(A23+0,A23),tbl_Onsite[Job Number],0)))),IFERROR(IF(INDEX(tbl_Production[Client],IFERROR(MATCH(A23&amp;"",tbl_Production[Job Number],0),MATCH(IFERROR(A23+0,A23),tbl_Production[Job Number],0)))="","",INDEX(tbl_Production[Client],IFERROR(MATCH(A23&amp;"",tbl_Production[Job Number],0),MATCH(IFERROR(A23+0,A23),tbl_Production[Job Number],0)))),IFERROR(IF(INDEX(tbl_Consulting[Client],IFERROR(MATCH(A23&amp;"",tbl_Consulting[Job Number],0),MATCH(IFERROR(A23+0,A23),tbl_Consulting[Job Number],0)))="","",INDEX(tbl_Consulting[Client],IFERROR(MATCH(A23&amp;"",tbl_Consulting[Job Number],0),MATCH(IFERROR(A23+0,A23),tbl_Consulting[Job Number],0)))),""))))</f>
        <v/>
      </c>
      <c r="K23" s="26">
        <f>IF(A23="","",IFERROR(IF(INDEX(tbl_Onsite[Job Description],IFERROR(MATCH(A23&amp;"",tbl_Onsite[Job Number],0),MATCH(IFERROR(A23+0,A23),tbl_Onsite[Job Number],0)))="","",INDEX(tbl_Onsite[Job Description],IFERROR(MATCH(A23&amp;"",tbl_Onsite[Job Number],0),MATCH(IFERROR(A23+0,A23),tbl_Onsite[Job Number],0)))),IFERROR(IF(INDEX(tbl_Production[Job Description],IFERROR(MATCH(A23&amp;"",tbl_Production[Job Number],0),MATCH(IFERROR(A23+0,A23),tbl_Production[Job Number],0)))="","",INDEX(tbl_Production[Job Description],IFERROR(MATCH(A23&amp;"",tbl_Production[Job Number],0),MATCH(IFERROR(A23+0,A23),tbl_Production[Job Number],0)))),IFERROR(IF(INDEX(tbl_Consulting[Job Description],IFERROR(MATCH(A23&amp;"",tbl_Consulting[Job Number],0),MATCH(IFERROR(A23+0,A23),tbl_Consulting[Job Number],0)))="","",INDEX(tbl_Consulting[Job Description],IFERROR(MATCH(A23&amp;"",tbl_Consulting[Job Number],0),MATCH(IFERROR(A23+0,A23),tbl_Consulting[Job Number],0)))),""))))</f>
        <v/>
      </c>
      <c r="L23" s="26">
        <f>IF(A23="","",IFERROR(IF(INDEX(tbl_Onsite[Invoice Type],IFERROR(MATCH(A23&amp;"",tbl_Onsite[Job Number],0),MATCH(IFERROR(A23+0,A23),tbl_Onsite[Job Number],0)))="","",INDEX(tbl_Onsite[Invoice Type],IFERROR(MATCH(A23&amp;"",tbl_Onsite[Job Number],0),MATCH(IFERROR(A23+0,A23),tbl_Onsite[Job Number],0)))),IFERROR(IF(INDEX(tbl_Production[Invoice Type],IFERROR(MATCH(A23&amp;"",tbl_Production[Job Number],0),MATCH(IFERROR(A23+0,A23),tbl_Production[Job Number],0)))="","",INDEX(tbl_Production[Invoice Type],IFERROR(MATCH(A23&amp;"",tbl_Production[Job Number],0),MATCH(IFERROR(A23+0,A23),tbl_Production[Job Number],0)))),IFERROR(IF(INDEX(tbl_Consulting[Invoice Type],IFERROR(MATCH(A23&amp;"",tbl_Consulting[Job Number],0),MATCH(IFERROR(A23+0,A23),tbl_Consulting[Job Number],0)))="","",INDEX(tbl_Consulting[Invoice Type],IFERROR(MATCH(A23&amp;"",tbl_Consulting[Job Number],0),MATCH(IFERROR(A23+0,A23),tbl_Consulting[Job Number],0)))),""))))</f>
        <v/>
      </c>
      <c r="M23" s="26">
        <f>IF(A23="","",IF(IFERROR(IF(INDEX(tbl_Onsite[Tax Code],IFERROR(MATCH(A23&amp;"",tbl_Onsite[Job Number],0),MATCH(IFERROR(A23+0,A23),tbl_Onsite[Job Number],0)))="","",INDEX(tbl_Onsite[Tax Code],IFERROR(MATCH(A23&amp;"",tbl_Onsite[Job Number],0),MATCH(IFERROR(A23+0,A23),tbl_Onsite[Job Number],0)))),IFERROR(IF(INDEX(tbl_Production[Tax Code],IFERROR(MATCH(A23&amp;"",tbl_Production[Job Number],0),MATCH(IFERROR(A23+0,A23),tbl_Production[Job Number],0)))="","",INDEX(tbl_Production[Tax Code],IFERROR(MATCH(A23&amp;"",tbl_Production[Job Number],0),MATCH(IFERROR(A23+0,A23),tbl_Production[Job Number],0)))),IFERROR(IF(INDEX(tbl_Consulting[Tax Code],IFERROR(MATCH(A23&amp;"",tbl_Consulting[Job Number],0),MATCH(IFERROR(A23+0,A23),tbl_Consulting[Job Number],0)))="","",INDEX(tbl_Consulting[Tax Code],IFERROR(MATCH(A23&amp;"",tbl_Consulting[Job Number],0),MATCH(IFERROR(A23+0,A23),tbl_Consulting[Job Number],0)))),"")))="","GST 10%",IFERROR(IF(INDEX(tbl_Onsite[Tax Code],IFERROR(MATCH(A23&amp;"",tbl_Onsite[Job Number],0),MATCH(IFERROR(A23+0,A23),tbl_Onsite[Job Number],0)))="","",INDEX(tbl_Onsite[Tax Code],IFERROR(MATCH(A23&amp;"",tbl_Onsite[Job Number],0),MATCH(IFERROR(A23+0,A23),tbl_Onsite[Job Number],0)))),IFERROR(IF(INDEX(tbl_Production[Tax Code],IFERROR(MATCH(A23&amp;"",tbl_Production[Job Number],0),MATCH(IFERROR(A23+0,A23),tbl_Production[Job Number],0)))="","",INDEX(tbl_Production[Tax Code],IFERROR(MATCH(A23&amp;"",tbl_Production[Job Number],0),MATCH(IFERROR(A23+0,A23),tbl_Production[Job Number],0)))),IFERROR(IF(INDEX(tbl_Consulting[Tax Code],IFERROR(MATCH(A23&amp;"",tbl_Consulting[Job Number],0),MATCH(IFERROR(A23+0,A23),tbl_Consulting[Job Number],0)))="","",INDEX(tbl_Consulting[Tax Code],IFERROR(MATCH(A23&amp;"",tbl_Consulting[Job Number],0),MATCH(IFERROR(A23+0,A23),tbl_Consulting[Job Number],0)))),"")))))</f>
        <v/>
      </c>
      <c r="N23" s="26">
        <f>IF(D23="","",IFERROR(INDEX(lst_CCtoGL,MATCH(D23,lst_CCforGL,0)),""))</f>
        <v/>
      </c>
      <c r="O23" s="27">
        <f>IF(E23="","",IF(M23="GST 10%",ROUND(E23*set_GSTRate,2),0))</f>
        <v/>
      </c>
      <c r="P23" s="27">
        <f>IF(E23="","",E23+O23)</f>
        <v/>
      </c>
      <c r="Q23" s="27">
        <f>IF(A23="","",IFERROR(INDEX(tbl_Onsite[Expected Revenue Ex GST],IFERROR(MATCH(A23&amp;"",tbl_Onsite[Job Number],0),MATCH(IFERROR(A23+0,A23),tbl_Onsite[Job Number],0))),IFERROR(INDEX(tbl_Production[Expected Revenue Ex GST],IFERROR(MATCH(A23&amp;"",tbl_Production[Job Number],0),MATCH(IFERROR(A23+0,A23),tbl_Production[Job Number],0))),IFERROR(INDEX(tbl_Consulting[Expected Revenue Ex GST],IFERROR(MATCH(A23&amp;"",tbl_Consulting[Job Number],0),MATCH(IFERROR(A23+0,A23),tbl_Consulting[Job Number],0))),0))))</f>
        <v/>
      </c>
      <c r="R23" s="27">
        <f>IF(A23="","",SUMIFS(tbl_Finance[Ex GST],tbl_Finance[Job Number],A23&amp;""))</f>
        <v/>
      </c>
      <c r="S23" s="27">
        <f>IF(A23="","",Q23-R23)</f>
        <v/>
      </c>
      <c r="T23" s="26">
        <f>IF(A23="","",IF(Q23=0,"No dept value",IF(ROUND(S23,2)=0,"Agrees",IF(S23&gt;0,"Dept higher - to invoice","Xero higher - check dept"))))</f>
        <v/>
      </c>
      <c r="U23" s="22" t="n"/>
      <c r="V23" s="22" t="n"/>
      <c r="W23" s="23" t="n"/>
      <c r="X23" s="23" t="n"/>
      <c r="Y23" s="22" t="n"/>
      <c r="Z23" s="22" t="n"/>
      <c r="AA23" s="26">
        <f>IF(COUNTA(C23,A23,B23,E23)=0,"",IF(C23="","No date - sits outside every month",IF(A23="","No job number",IF(H23="CHECK","Job number is not in the Xero job list",IF(G23="not set up yet","No department has set this job up - nothing can pull through",IF(D23="","No cost centre",IF(AND(U23="Y",B23=""),"Marked posted to Xero but has no invoice number",IF(N23="","Cost centre has no revenue GL on the Lists sheet",IF(T23="Xero higher - check dept","Invoiced more than the department says the job is worth","")))))))))</f>
        <v/>
      </c>
      <c r="AB23" s="28">
        <f>IF(A23="","",COUNTIFS(tbl_Finance[Job Number],A23&amp;"",tbl_Finance[Ex GST],"&lt;&gt;"))</f>
        <v/>
      </c>
      <c r="AC23" s="27">
        <f>IF(A23="","",SUMIFS(tbl_Finance[Ex GST],tbl_Finance[Job Number],A23&amp;""))</f>
        <v/>
      </c>
      <c r="AD23" s="27">
        <f>IF(A23="","",SUMIFS(tbl_Finance[Ex GST],tbl_Finance[Job Number],A23&amp;"",tbl_Finance[Xero Invoice No],"&lt;&gt;"))</f>
        <v/>
      </c>
      <c r="AE23" s="27">
        <f>IF(A23="","",AC23-AD23)</f>
        <v/>
      </c>
      <c r="AF23" s="26">
        <f>IF(A23="","",IFERROR(IF(INDEX(tbl_Onsite[Qwilr Quote],IFERROR(MATCH(A23&amp;"",tbl_Onsite[Job Number],0),MATCH(IFERROR(A23+0,A23),tbl_Onsite[Job Number],0)))="","",INDEX(tbl_Onsite[Qwilr Quote],IFERROR(MATCH(A23&amp;"",tbl_Onsite[Job Number],0),MATCH(IFERROR(A23+0,A23),tbl_Onsite[Job Number],0)))),IFERROR(IF(IF(INDEX(tbl_Production[Current RMS No],IFERROR(MATCH(A23&amp;"",tbl_Production[Job Number],0),MATCH(IFERROR(A23+0,A23),tbl_Production[Job Number],0)))="",INDEX(tbl_Production[Qwilr Quote],IFERROR(MATCH(A23&amp;"",tbl_Production[Job Number],0),MATCH(IFERROR(A23+0,A23),tbl_Production[Job Number],0))),INDEX(tbl_Production[Current RMS No],IFERROR(MATCH(A23&amp;"",tbl_Production[Job Number],0),MATCH(IFERROR(A23+0,A23),tbl_Production[Job Number],0))))="","",IF(INDEX(tbl_Production[Current RMS No],IFERROR(MATCH(A23&amp;"",tbl_Production[Job Number],0),MATCH(IFERROR(A23+0,A23),tbl_Production[Job Number],0)))="",INDEX(tbl_Production[Qwilr Quote],IFERROR(MATCH(A23&amp;"",tbl_Production[Job Number],0),MATCH(IFERROR(A23+0,A23),tbl_Production[Job Number],0))),INDEX(tbl_Production[Current RMS No],IFERROR(MATCH(A23&amp;"",tbl_Production[Job Number],0),MATCH(IFERROR(A23+0,A23),tbl_Production[Job Number],0))))),IFERROR(IF(INDEX(tbl_Consulting[Qwilr Quote],IFERROR(MATCH(A23&amp;"",tbl_Consulting[Job Number],0),MATCH(IFERROR(A23+0,A23),tbl_Consulting[Job Number],0)))="","",INDEX(tbl_Consulting[Qwilr Quote],IFERROR(MATCH(A23&amp;"",tbl_Consulting[Job Number],0),MATCH(IFERROR(A23+0,A23),tbl_Consulting[Job Number],0)))),""))))</f>
        <v/>
      </c>
      <c r="AG23" s="26">
        <f>IF(AF23="","",IF(AND(LEFT(AF23,4)&lt;&gt;"http",IF(G23="Production",set_RMSBase,set_QwilrBase)=""),"",HYPERLINK(IF(LEFT(AF23,4)="http",AF23,IF(G23="Production",set_RMSBase,set_QwilrBase)&amp;AF23),"Open")))</f>
        <v/>
      </c>
      <c r="AH23" s="27">
        <f>IF(A23="","",IFERROR(INDEX(tbl_Production[Total Expense],IFERROR(MATCH(A23&amp;"",tbl_Production[Job Number],0),MATCH(IFERROR(A23+0,A23),tbl_Production[Job Number],0))),IFERROR(INDEX(tbl_Consulting[Total Expense],IFERROR(MATCH(A23&amp;"",tbl_Consulting[Job Number],0),MATCH(IFERROR(A23+0,A23),tbl_Consulting[Job Number],0))),0)))</f>
        <v/>
      </c>
      <c r="AI23" s="27">
        <f>IF(A23="","",AC23-N(AH23))</f>
        <v/>
      </c>
      <c r="AJ23" s="29">
        <f>IFERROR(AI23/AC23,"")</f>
        <v/>
      </c>
      <c r="AK23" s="26">
        <f>IF(A23="","",IFERROR(IF(INDEX(tbl_Onsite[Notes],IFERROR(MATCH(A23&amp;"",tbl_Onsite[Job Number],0),MATCH(IFERROR(A23+0,A23),tbl_Onsite[Job Number],0)))="","",INDEX(tbl_Onsite[Notes],IFERROR(MATCH(A23&amp;"",tbl_Onsite[Job Number],0),MATCH(IFERROR(A23+0,A23),tbl_Onsite[Job Number],0)))),IFERROR(IF(INDEX(tbl_Production[Notes],IFERROR(MATCH(A23&amp;"",tbl_Production[Job Number],0),MATCH(IFERROR(A23+0,A23),tbl_Production[Job Number],0)))="","",INDEX(tbl_Production[Notes],IFERROR(MATCH(A23&amp;"",tbl_Production[Job Number],0),MATCH(IFERROR(A23+0,A23),tbl_Production[Job Number],0)))),IFERROR(IF(INDEX(tbl_Consulting[Notes],IFERROR(MATCH(A23&amp;"",tbl_Consulting[Job Number],0),MATCH(IFERROR(A23+0,A23),tbl_Consulting[Job Number],0)))="","",INDEX(tbl_Consulting[Notes],IFERROR(MATCH(A23&amp;"",tbl_Consulting[Job Number],0),MATCH(IFERROR(A23+0,A23),tbl_Consulting[Job Number],0)))),""))))</f>
        <v/>
      </c>
    </row>
    <row r="24" ht="15" customHeight="1">
      <c r="A24" s="22" t="n"/>
      <c r="B24" s="22" t="n"/>
      <c r="C24" s="23" t="n"/>
      <c r="D24" s="22" t="n"/>
      <c r="E24" s="24" t="n"/>
      <c r="F24" s="25">
        <f>IF(C24="","",EOMONTH(C24,0))</f>
        <v/>
      </c>
      <c r="G24" s="26">
        <f>IF(A24="","",IF(COUNTIF(tbl_Onsite[Job Number],A24&amp;"")&gt;0,"Onsite",IF(COUNTIF(tbl_Production[Job Number],A24&amp;"")&gt;0,"Production",IF(COUNTIF(tbl_Consulting[Job Number],A24&amp;"")&gt;0,"Consulting","not set up yet"))))</f>
        <v/>
      </c>
      <c r="H24" s="26">
        <f>IF(A24="","",IF(COUNTIF(lst_Jobs,A24&amp;"")&gt;0,"OK","CHECK"))</f>
        <v/>
      </c>
      <c r="I24" s="26">
        <f>IF(A24="","",IFERROR(INDEX(lst_JobName,MATCH(A24&amp;"",lst_Jobs,0)),""))</f>
        <v/>
      </c>
      <c r="J24" s="26">
        <f>IF(A24="","",IFERROR(IF(INDEX(tbl_Onsite[Client],IFERROR(MATCH(A24&amp;"",tbl_Onsite[Job Number],0),MATCH(IFERROR(A24+0,A24),tbl_Onsite[Job Number],0)))="","",INDEX(tbl_Onsite[Client],IFERROR(MATCH(A24&amp;"",tbl_Onsite[Job Number],0),MATCH(IFERROR(A24+0,A24),tbl_Onsite[Job Number],0)))),IFERROR(IF(INDEX(tbl_Production[Client],IFERROR(MATCH(A24&amp;"",tbl_Production[Job Number],0),MATCH(IFERROR(A24+0,A24),tbl_Production[Job Number],0)))="","",INDEX(tbl_Production[Client],IFERROR(MATCH(A24&amp;"",tbl_Production[Job Number],0),MATCH(IFERROR(A24+0,A24),tbl_Production[Job Number],0)))),IFERROR(IF(INDEX(tbl_Consulting[Client],IFERROR(MATCH(A24&amp;"",tbl_Consulting[Job Number],0),MATCH(IFERROR(A24+0,A24),tbl_Consulting[Job Number],0)))="","",INDEX(tbl_Consulting[Client],IFERROR(MATCH(A24&amp;"",tbl_Consulting[Job Number],0),MATCH(IFERROR(A24+0,A24),tbl_Consulting[Job Number],0)))),""))))</f>
        <v/>
      </c>
      <c r="K24" s="26">
        <f>IF(A24="","",IFERROR(IF(INDEX(tbl_Onsite[Job Description],IFERROR(MATCH(A24&amp;"",tbl_Onsite[Job Number],0),MATCH(IFERROR(A24+0,A24),tbl_Onsite[Job Number],0)))="","",INDEX(tbl_Onsite[Job Description],IFERROR(MATCH(A24&amp;"",tbl_Onsite[Job Number],0),MATCH(IFERROR(A24+0,A24),tbl_Onsite[Job Number],0)))),IFERROR(IF(INDEX(tbl_Production[Job Description],IFERROR(MATCH(A24&amp;"",tbl_Production[Job Number],0),MATCH(IFERROR(A24+0,A24),tbl_Production[Job Number],0)))="","",INDEX(tbl_Production[Job Description],IFERROR(MATCH(A24&amp;"",tbl_Production[Job Number],0),MATCH(IFERROR(A24+0,A24),tbl_Production[Job Number],0)))),IFERROR(IF(INDEX(tbl_Consulting[Job Description],IFERROR(MATCH(A24&amp;"",tbl_Consulting[Job Number],0),MATCH(IFERROR(A24+0,A24),tbl_Consulting[Job Number],0)))="","",INDEX(tbl_Consulting[Job Description],IFERROR(MATCH(A24&amp;"",tbl_Consulting[Job Number],0),MATCH(IFERROR(A24+0,A24),tbl_Consulting[Job Number],0)))),""))))</f>
        <v/>
      </c>
      <c r="L24" s="26">
        <f>IF(A24="","",IFERROR(IF(INDEX(tbl_Onsite[Invoice Type],IFERROR(MATCH(A24&amp;"",tbl_Onsite[Job Number],0),MATCH(IFERROR(A24+0,A24),tbl_Onsite[Job Number],0)))="","",INDEX(tbl_Onsite[Invoice Type],IFERROR(MATCH(A24&amp;"",tbl_Onsite[Job Number],0),MATCH(IFERROR(A24+0,A24),tbl_Onsite[Job Number],0)))),IFERROR(IF(INDEX(tbl_Production[Invoice Type],IFERROR(MATCH(A24&amp;"",tbl_Production[Job Number],0),MATCH(IFERROR(A24+0,A24),tbl_Production[Job Number],0)))="","",INDEX(tbl_Production[Invoice Type],IFERROR(MATCH(A24&amp;"",tbl_Production[Job Number],0),MATCH(IFERROR(A24+0,A24),tbl_Production[Job Number],0)))),IFERROR(IF(INDEX(tbl_Consulting[Invoice Type],IFERROR(MATCH(A24&amp;"",tbl_Consulting[Job Number],0),MATCH(IFERROR(A24+0,A24),tbl_Consulting[Job Number],0)))="","",INDEX(tbl_Consulting[Invoice Type],IFERROR(MATCH(A24&amp;"",tbl_Consulting[Job Number],0),MATCH(IFERROR(A24+0,A24),tbl_Consulting[Job Number],0)))),""))))</f>
        <v/>
      </c>
      <c r="M24" s="26">
        <f>IF(A24="","",IF(IFERROR(IF(INDEX(tbl_Onsite[Tax Code],IFERROR(MATCH(A24&amp;"",tbl_Onsite[Job Number],0),MATCH(IFERROR(A24+0,A24),tbl_Onsite[Job Number],0)))="","",INDEX(tbl_Onsite[Tax Code],IFERROR(MATCH(A24&amp;"",tbl_Onsite[Job Number],0),MATCH(IFERROR(A24+0,A24),tbl_Onsite[Job Number],0)))),IFERROR(IF(INDEX(tbl_Production[Tax Code],IFERROR(MATCH(A24&amp;"",tbl_Production[Job Number],0),MATCH(IFERROR(A24+0,A24),tbl_Production[Job Number],0)))="","",INDEX(tbl_Production[Tax Code],IFERROR(MATCH(A24&amp;"",tbl_Production[Job Number],0),MATCH(IFERROR(A24+0,A24),tbl_Production[Job Number],0)))),IFERROR(IF(INDEX(tbl_Consulting[Tax Code],IFERROR(MATCH(A24&amp;"",tbl_Consulting[Job Number],0),MATCH(IFERROR(A24+0,A24),tbl_Consulting[Job Number],0)))="","",INDEX(tbl_Consulting[Tax Code],IFERROR(MATCH(A24&amp;"",tbl_Consulting[Job Number],0),MATCH(IFERROR(A24+0,A24),tbl_Consulting[Job Number],0)))),"")))="","GST 10%",IFERROR(IF(INDEX(tbl_Onsite[Tax Code],IFERROR(MATCH(A24&amp;"",tbl_Onsite[Job Number],0),MATCH(IFERROR(A24+0,A24),tbl_Onsite[Job Number],0)))="","",INDEX(tbl_Onsite[Tax Code],IFERROR(MATCH(A24&amp;"",tbl_Onsite[Job Number],0),MATCH(IFERROR(A24+0,A24),tbl_Onsite[Job Number],0)))),IFERROR(IF(INDEX(tbl_Production[Tax Code],IFERROR(MATCH(A24&amp;"",tbl_Production[Job Number],0),MATCH(IFERROR(A24+0,A24),tbl_Production[Job Number],0)))="","",INDEX(tbl_Production[Tax Code],IFERROR(MATCH(A24&amp;"",tbl_Production[Job Number],0),MATCH(IFERROR(A24+0,A24),tbl_Production[Job Number],0)))),IFERROR(IF(INDEX(tbl_Consulting[Tax Code],IFERROR(MATCH(A24&amp;"",tbl_Consulting[Job Number],0),MATCH(IFERROR(A24+0,A24),tbl_Consulting[Job Number],0)))="","",INDEX(tbl_Consulting[Tax Code],IFERROR(MATCH(A24&amp;"",tbl_Consulting[Job Number],0),MATCH(IFERROR(A24+0,A24),tbl_Consulting[Job Number],0)))),"")))))</f>
        <v/>
      </c>
      <c r="N24" s="26">
        <f>IF(D24="","",IFERROR(INDEX(lst_CCtoGL,MATCH(D24,lst_CCforGL,0)),""))</f>
        <v/>
      </c>
      <c r="O24" s="27">
        <f>IF(E24="","",IF(M24="GST 10%",ROUND(E24*set_GSTRate,2),0))</f>
        <v/>
      </c>
      <c r="P24" s="27">
        <f>IF(E24="","",E24+O24)</f>
        <v/>
      </c>
      <c r="Q24" s="27">
        <f>IF(A24="","",IFERROR(INDEX(tbl_Onsite[Expected Revenue Ex GST],IFERROR(MATCH(A24&amp;"",tbl_Onsite[Job Number],0),MATCH(IFERROR(A24+0,A24),tbl_Onsite[Job Number],0))),IFERROR(INDEX(tbl_Production[Expected Revenue Ex GST],IFERROR(MATCH(A24&amp;"",tbl_Production[Job Number],0),MATCH(IFERROR(A24+0,A24),tbl_Production[Job Number],0))),IFERROR(INDEX(tbl_Consulting[Expected Revenue Ex GST],IFERROR(MATCH(A24&amp;"",tbl_Consulting[Job Number],0),MATCH(IFERROR(A24+0,A24),tbl_Consulting[Job Number],0))),0))))</f>
        <v/>
      </c>
      <c r="R24" s="27">
        <f>IF(A24="","",SUMIFS(tbl_Finance[Ex GST],tbl_Finance[Job Number],A24&amp;""))</f>
        <v/>
      </c>
      <c r="S24" s="27">
        <f>IF(A24="","",Q24-R24)</f>
        <v/>
      </c>
      <c r="T24" s="26">
        <f>IF(A24="","",IF(Q24=0,"No dept value",IF(ROUND(S24,2)=0,"Agrees",IF(S24&gt;0,"Dept higher - to invoice","Xero higher - check dept"))))</f>
        <v/>
      </c>
      <c r="U24" s="22" t="n"/>
      <c r="V24" s="22" t="n"/>
      <c r="W24" s="23" t="n"/>
      <c r="X24" s="23" t="n"/>
      <c r="Y24" s="22" t="n"/>
      <c r="Z24" s="22" t="n"/>
      <c r="AA24" s="26">
        <f>IF(COUNTA(C24,A24,B24,E24)=0,"",IF(C24="","No date - sits outside every month",IF(A24="","No job number",IF(H24="CHECK","Job number is not in the Xero job list",IF(G24="not set up yet","No department has set this job up - nothing can pull through",IF(D24="","No cost centre",IF(AND(U24="Y",B24=""),"Marked posted to Xero but has no invoice number",IF(N24="","Cost centre has no revenue GL on the Lists sheet",IF(T24="Xero higher - check dept","Invoiced more than the department says the job is worth","")))))))))</f>
        <v/>
      </c>
      <c r="AB24" s="28">
        <f>IF(A24="","",COUNTIFS(tbl_Finance[Job Number],A24&amp;"",tbl_Finance[Ex GST],"&lt;&gt;"))</f>
        <v/>
      </c>
      <c r="AC24" s="27">
        <f>IF(A24="","",SUMIFS(tbl_Finance[Ex GST],tbl_Finance[Job Number],A24&amp;""))</f>
        <v/>
      </c>
      <c r="AD24" s="27">
        <f>IF(A24="","",SUMIFS(tbl_Finance[Ex GST],tbl_Finance[Job Number],A24&amp;"",tbl_Finance[Xero Invoice No],"&lt;&gt;"))</f>
        <v/>
      </c>
      <c r="AE24" s="27">
        <f>IF(A24="","",AC24-AD24)</f>
        <v/>
      </c>
      <c r="AF24" s="26">
        <f>IF(A24="","",IFERROR(IF(INDEX(tbl_Onsite[Qwilr Quote],IFERROR(MATCH(A24&amp;"",tbl_Onsite[Job Number],0),MATCH(IFERROR(A24+0,A24),tbl_Onsite[Job Number],0)))="","",INDEX(tbl_Onsite[Qwilr Quote],IFERROR(MATCH(A24&amp;"",tbl_Onsite[Job Number],0),MATCH(IFERROR(A24+0,A24),tbl_Onsite[Job Number],0)))),IFERROR(IF(IF(INDEX(tbl_Production[Current RMS No],IFERROR(MATCH(A24&amp;"",tbl_Production[Job Number],0),MATCH(IFERROR(A24+0,A24),tbl_Production[Job Number],0)))="",INDEX(tbl_Production[Qwilr Quote],IFERROR(MATCH(A24&amp;"",tbl_Production[Job Number],0),MATCH(IFERROR(A24+0,A24),tbl_Production[Job Number],0))),INDEX(tbl_Production[Current RMS No],IFERROR(MATCH(A24&amp;"",tbl_Production[Job Number],0),MATCH(IFERROR(A24+0,A24),tbl_Production[Job Number],0))))="","",IF(INDEX(tbl_Production[Current RMS No],IFERROR(MATCH(A24&amp;"",tbl_Production[Job Number],0),MATCH(IFERROR(A24+0,A24),tbl_Production[Job Number],0)))="",INDEX(tbl_Production[Qwilr Quote],IFERROR(MATCH(A24&amp;"",tbl_Production[Job Number],0),MATCH(IFERROR(A24+0,A24),tbl_Production[Job Number],0))),INDEX(tbl_Production[Current RMS No],IFERROR(MATCH(A24&amp;"",tbl_Production[Job Number],0),MATCH(IFERROR(A24+0,A24),tbl_Production[Job Number],0))))),IFERROR(IF(INDEX(tbl_Consulting[Qwilr Quote],IFERROR(MATCH(A24&amp;"",tbl_Consulting[Job Number],0),MATCH(IFERROR(A24+0,A24),tbl_Consulting[Job Number],0)))="","",INDEX(tbl_Consulting[Qwilr Quote],IFERROR(MATCH(A24&amp;"",tbl_Consulting[Job Number],0),MATCH(IFERROR(A24+0,A24),tbl_Consulting[Job Number],0)))),""))))</f>
        <v/>
      </c>
      <c r="AG24" s="26">
        <f>IF(AF24="","",IF(AND(LEFT(AF24,4)&lt;&gt;"http",IF(G24="Production",set_RMSBase,set_QwilrBase)=""),"",HYPERLINK(IF(LEFT(AF24,4)="http",AF24,IF(G24="Production",set_RMSBase,set_QwilrBase)&amp;AF24),"Open")))</f>
        <v/>
      </c>
      <c r="AH24" s="27">
        <f>IF(A24="","",IFERROR(INDEX(tbl_Production[Total Expense],IFERROR(MATCH(A24&amp;"",tbl_Production[Job Number],0),MATCH(IFERROR(A24+0,A24),tbl_Production[Job Number],0))),IFERROR(INDEX(tbl_Consulting[Total Expense],IFERROR(MATCH(A24&amp;"",tbl_Consulting[Job Number],0),MATCH(IFERROR(A24+0,A24),tbl_Consulting[Job Number],0))),0)))</f>
        <v/>
      </c>
      <c r="AI24" s="27">
        <f>IF(A24="","",AC24-N(AH24))</f>
        <v/>
      </c>
      <c r="AJ24" s="29">
        <f>IFERROR(AI24/AC24,"")</f>
        <v/>
      </c>
      <c r="AK24" s="26">
        <f>IF(A24="","",IFERROR(IF(INDEX(tbl_Onsite[Notes],IFERROR(MATCH(A24&amp;"",tbl_Onsite[Job Number],0),MATCH(IFERROR(A24+0,A24),tbl_Onsite[Job Number],0)))="","",INDEX(tbl_Onsite[Notes],IFERROR(MATCH(A24&amp;"",tbl_Onsite[Job Number],0),MATCH(IFERROR(A24+0,A24),tbl_Onsite[Job Number],0)))),IFERROR(IF(INDEX(tbl_Production[Notes],IFERROR(MATCH(A24&amp;"",tbl_Production[Job Number],0),MATCH(IFERROR(A24+0,A24),tbl_Production[Job Number],0)))="","",INDEX(tbl_Production[Notes],IFERROR(MATCH(A24&amp;"",tbl_Production[Job Number],0),MATCH(IFERROR(A24+0,A24),tbl_Production[Job Number],0)))),IFERROR(IF(INDEX(tbl_Consulting[Notes],IFERROR(MATCH(A24&amp;"",tbl_Consulting[Job Number],0),MATCH(IFERROR(A24+0,A24),tbl_Consulting[Job Number],0)))="","",INDEX(tbl_Consulting[Notes],IFERROR(MATCH(A24&amp;"",tbl_Consulting[Job Number],0),MATCH(IFERROR(A24+0,A24),tbl_Consulting[Job Number],0)))),""))))</f>
        <v/>
      </c>
    </row>
    <row r="25" ht="15" customHeight="1">
      <c r="A25" s="22" t="n"/>
      <c r="B25" s="22" t="n"/>
      <c r="C25" s="23" t="n"/>
      <c r="D25" s="22" t="n"/>
      <c r="E25" s="24" t="n"/>
      <c r="F25" s="25">
        <f>IF(C25="","",EOMONTH(C25,0))</f>
        <v/>
      </c>
      <c r="G25" s="26">
        <f>IF(A25="","",IF(COUNTIF(tbl_Onsite[Job Number],A25&amp;"")&gt;0,"Onsite",IF(COUNTIF(tbl_Production[Job Number],A25&amp;"")&gt;0,"Production",IF(COUNTIF(tbl_Consulting[Job Number],A25&amp;"")&gt;0,"Consulting","not set up yet"))))</f>
        <v/>
      </c>
      <c r="H25" s="26">
        <f>IF(A25="","",IF(COUNTIF(lst_Jobs,A25&amp;"")&gt;0,"OK","CHECK"))</f>
        <v/>
      </c>
      <c r="I25" s="26">
        <f>IF(A25="","",IFERROR(INDEX(lst_JobName,MATCH(A25&amp;"",lst_Jobs,0)),""))</f>
        <v/>
      </c>
      <c r="J25" s="26">
        <f>IF(A25="","",IFERROR(IF(INDEX(tbl_Onsite[Client],IFERROR(MATCH(A25&amp;"",tbl_Onsite[Job Number],0),MATCH(IFERROR(A25+0,A25),tbl_Onsite[Job Number],0)))="","",INDEX(tbl_Onsite[Client],IFERROR(MATCH(A25&amp;"",tbl_Onsite[Job Number],0),MATCH(IFERROR(A25+0,A25),tbl_Onsite[Job Number],0)))),IFERROR(IF(INDEX(tbl_Production[Client],IFERROR(MATCH(A25&amp;"",tbl_Production[Job Number],0),MATCH(IFERROR(A25+0,A25),tbl_Production[Job Number],0)))="","",INDEX(tbl_Production[Client],IFERROR(MATCH(A25&amp;"",tbl_Production[Job Number],0),MATCH(IFERROR(A25+0,A25),tbl_Production[Job Number],0)))),IFERROR(IF(INDEX(tbl_Consulting[Client],IFERROR(MATCH(A25&amp;"",tbl_Consulting[Job Number],0),MATCH(IFERROR(A25+0,A25),tbl_Consulting[Job Number],0)))="","",INDEX(tbl_Consulting[Client],IFERROR(MATCH(A25&amp;"",tbl_Consulting[Job Number],0),MATCH(IFERROR(A25+0,A25),tbl_Consulting[Job Number],0)))),""))))</f>
        <v/>
      </c>
      <c r="K25" s="26">
        <f>IF(A25="","",IFERROR(IF(INDEX(tbl_Onsite[Job Description],IFERROR(MATCH(A25&amp;"",tbl_Onsite[Job Number],0),MATCH(IFERROR(A25+0,A25),tbl_Onsite[Job Number],0)))="","",INDEX(tbl_Onsite[Job Description],IFERROR(MATCH(A25&amp;"",tbl_Onsite[Job Number],0),MATCH(IFERROR(A25+0,A25),tbl_Onsite[Job Number],0)))),IFERROR(IF(INDEX(tbl_Production[Job Description],IFERROR(MATCH(A25&amp;"",tbl_Production[Job Number],0),MATCH(IFERROR(A25+0,A25),tbl_Production[Job Number],0)))="","",INDEX(tbl_Production[Job Description],IFERROR(MATCH(A25&amp;"",tbl_Production[Job Number],0),MATCH(IFERROR(A25+0,A25),tbl_Production[Job Number],0)))),IFERROR(IF(INDEX(tbl_Consulting[Job Description],IFERROR(MATCH(A25&amp;"",tbl_Consulting[Job Number],0),MATCH(IFERROR(A25+0,A25),tbl_Consulting[Job Number],0)))="","",INDEX(tbl_Consulting[Job Description],IFERROR(MATCH(A25&amp;"",tbl_Consulting[Job Number],0),MATCH(IFERROR(A25+0,A25),tbl_Consulting[Job Number],0)))),""))))</f>
        <v/>
      </c>
      <c r="L25" s="26">
        <f>IF(A25="","",IFERROR(IF(INDEX(tbl_Onsite[Invoice Type],IFERROR(MATCH(A25&amp;"",tbl_Onsite[Job Number],0),MATCH(IFERROR(A25+0,A25),tbl_Onsite[Job Number],0)))="","",INDEX(tbl_Onsite[Invoice Type],IFERROR(MATCH(A25&amp;"",tbl_Onsite[Job Number],0),MATCH(IFERROR(A25+0,A25),tbl_Onsite[Job Number],0)))),IFERROR(IF(INDEX(tbl_Production[Invoice Type],IFERROR(MATCH(A25&amp;"",tbl_Production[Job Number],0),MATCH(IFERROR(A25+0,A25),tbl_Production[Job Number],0)))="","",INDEX(tbl_Production[Invoice Type],IFERROR(MATCH(A25&amp;"",tbl_Production[Job Number],0),MATCH(IFERROR(A25+0,A25),tbl_Production[Job Number],0)))),IFERROR(IF(INDEX(tbl_Consulting[Invoice Type],IFERROR(MATCH(A25&amp;"",tbl_Consulting[Job Number],0),MATCH(IFERROR(A25+0,A25),tbl_Consulting[Job Number],0)))="","",INDEX(tbl_Consulting[Invoice Type],IFERROR(MATCH(A25&amp;"",tbl_Consulting[Job Number],0),MATCH(IFERROR(A25+0,A25),tbl_Consulting[Job Number],0)))),""))))</f>
        <v/>
      </c>
      <c r="M25" s="26">
        <f>IF(A25="","",IF(IFERROR(IF(INDEX(tbl_Onsite[Tax Code],IFERROR(MATCH(A25&amp;"",tbl_Onsite[Job Number],0),MATCH(IFERROR(A25+0,A25),tbl_Onsite[Job Number],0)))="","",INDEX(tbl_Onsite[Tax Code],IFERROR(MATCH(A25&amp;"",tbl_Onsite[Job Number],0),MATCH(IFERROR(A25+0,A25),tbl_Onsite[Job Number],0)))),IFERROR(IF(INDEX(tbl_Production[Tax Code],IFERROR(MATCH(A25&amp;"",tbl_Production[Job Number],0),MATCH(IFERROR(A25+0,A25),tbl_Production[Job Number],0)))="","",INDEX(tbl_Production[Tax Code],IFERROR(MATCH(A25&amp;"",tbl_Production[Job Number],0),MATCH(IFERROR(A25+0,A25),tbl_Production[Job Number],0)))),IFERROR(IF(INDEX(tbl_Consulting[Tax Code],IFERROR(MATCH(A25&amp;"",tbl_Consulting[Job Number],0),MATCH(IFERROR(A25+0,A25),tbl_Consulting[Job Number],0)))="","",INDEX(tbl_Consulting[Tax Code],IFERROR(MATCH(A25&amp;"",tbl_Consulting[Job Number],0),MATCH(IFERROR(A25+0,A25),tbl_Consulting[Job Number],0)))),"")))="","GST 10%",IFERROR(IF(INDEX(tbl_Onsite[Tax Code],IFERROR(MATCH(A25&amp;"",tbl_Onsite[Job Number],0),MATCH(IFERROR(A25+0,A25),tbl_Onsite[Job Number],0)))="","",INDEX(tbl_Onsite[Tax Code],IFERROR(MATCH(A25&amp;"",tbl_Onsite[Job Number],0),MATCH(IFERROR(A25+0,A25),tbl_Onsite[Job Number],0)))),IFERROR(IF(INDEX(tbl_Production[Tax Code],IFERROR(MATCH(A25&amp;"",tbl_Production[Job Number],0),MATCH(IFERROR(A25+0,A25),tbl_Production[Job Number],0)))="","",INDEX(tbl_Production[Tax Code],IFERROR(MATCH(A25&amp;"",tbl_Production[Job Number],0),MATCH(IFERROR(A25+0,A25),tbl_Production[Job Number],0)))),IFERROR(IF(INDEX(tbl_Consulting[Tax Code],IFERROR(MATCH(A25&amp;"",tbl_Consulting[Job Number],0),MATCH(IFERROR(A25+0,A25),tbl_Consulting[Job Number],0)))="","",INDEX(tbl_Consulting[Tax Code],IFERROR(MATCH(A25&amp;"",tbl_Consulting[Job Number],0),MATCH(IFERROR(A25+0,A25),tbl_Consulting[Job Number],0)))),"")))))</f>
        <v/>
      </c>
      <c r="N25" s="26">
        <f>IF(D25="","",IFERROR(INDEX(lst_CCtoGL,MATCH(D25,lst_CCforGL,0)),""))</f>
        <v/>
      </c>
      <c r="O25" s="27">
        <f>IF(E25="","",IF(M25="GST 10%",ROUND(E25*set_GSTRate,2),0))</f>
        <v/>
      </c>
      <c r="P25" s="27">
        <f>IF(E25="","",E25+O25)</f>
        <v/>
      </c>
      <c r="Q25" s="27">
        <f>IF(A25="","",IFERROR(INDEX(tbl_Onsite[Expected Revenue Ex GST],IFERROR(MATCH(A25&amp;"",tbl_Onsite[Job Number],0),MATCH(IFERROR(A25+0,A25),tbl_Onsite[Job Number],0))),IFERROR(INDEX(tbl_Production[Expected Revenue Ex GST],IFERROR(MATCH(A25&amp;"",tbl_Production[Job Number],0),MATCH(IFERROR(A25+0,A25),tbl_Production[Job Number],0))),IFERROR(INDEX(tbl_Consulting[Expected Revenue Ex GST],IFERROR(MATCH(A25&amp;"",tbl_Consulting[Job Number],0),MATCH(IFERROR(A25+0,A25),tbl_Consulting[Job Number],0))),0))))</f>
        <v/>
      </c>
      <c r="R25" s="27">
        <f>IF(A25="","",SUMIFS(tbl_Finance[Ex GST],tbl_Finance[Job Number],A25&amp;""))</f>
        <v/>
      </c>
      <c r="S25" s="27">
        <f>IF(A25="","",Q25-R25)</f>
        <v/>
      </c>
      <c r="T25" s="26">
        <f>IF(A25="","",IF(Q25=0,"No dept value",IF(ROUND(S25,2)=0,"Agrees",IF(S25&gt;0,"Dept higher - to invoice","Xero higher - check dept"))))</f>
        <v/>
      </c>
      <c r="U25" s="22" t="n"/>
      <c r="V25" s="22" t="n"/>
      <c r="W25" s="23" t="n"/>
      <c r="X25" s="23" t="n"/>
      <c r="Y25" s="22" t="n"/>
      <c r="Z25" s="22" t="n"/>
      <c r="AA25" s="26">
        <f>IF(COUNTA(C25,A25,B25,E25)=0,"",IF(C25="","No date - sits outside every month",IF(A25="","No job number",IF(H25="CHECK","Job number is not in the Xero job list",IF(G25="not set up yet","No department has set this job up - nothing can pull through",IF(D25="","No cost centre",IF(AND(U25="Y",B25=""),"Marked posted to Xero but has no invoice number",IF(N25="","Cost centre has no revenue GL on the Lists sheet",IF(T25="Xero higher - check dept","Invoiced more than the department says the job is worth","")))))))))</f>
        <v/>
      </c>
      <c r="AB25" s="28">
        <f>IF(A25="","",COUNTIFS(tbl_Finance[Job Number],A25&amp;"",tbl_Finance[Ex GST],"&lt;&gt;"))</f>
        <v/>
      </c>
      <c r="AC25" s="27">
        <f>IF(A25="","",SUMIFS(tbl_Finance[Ex GST],tbl_Finance[Job Number],A25&amp;""))</f>
        <v/>
      </c>
      <c r="AD25" s="27">
        <f>IF(A25="","",SUMIFS(tbl_Finance[Ex GST],tbl_Finance[Job Number],A25&amp;"",tbl_Finance[Xero Invoice No],"&lt;&gt;"))</f>
        <v/>
      </c>
      <c r="AE25" s="27">
        <f>IF(A25="","",AC25-AD25)</f>
        <v/>
      </c>
      <c r="AF25" s="26">
        <f>IF(A25="","",IFERROR(IF(INDEX(tbl_Onsite[Qwilr Quote],IFERROR(MATCH(A25&amp;"",tbl_Onsite[Job Number],0),MATCH(IFERROR(A25+0,A25),tbl_Onsite[Job Number],0)))="","",INDEX(tbl_Onsite[Qwilr Quote],IFERROR(MATCH(A25&amp;"",tbl_Onsite[Job Number],0),MATCH(IFERROR(A25+0,A25),tbl_Onsite[Job Number],0)))),IFERROR(IF(IF(INDEX(tbl_Production[Current RMS No],IFERROR(MATCH(A25&amp;"",tbl_Production[Job Number],0),MATCH(IFERROR(A25+0,A25),tbl_Production[Job Number],0)))="",INDEX(tbl_Production[Qwilr Quote],IFERROR(MATCH(A25&amp;"",tbl_Production[Job Number],0),MATCH(IFERROR(A25+0,A25),tbl_Production[Job Number],0))),INDEX(tbl_Production[Current RMS No],IFERROR(MATCH(A25&amp;"",tbl_Production[Job Number],0),MATCH(IFERROR(A25+0,A25),tbl_Production[Job Number],0))))="","",IF(INDEX(tbl_Production[Current RMS No],IFERROR(MATCH(A25&amp;"",tbl_Production[Job Number],0),MATCH(IFERROR(A25+0,A25),tbl_Production[Job Number],0)))="",INDEX(tbl_Production[Qwilr Quote],IFERROR(MATCH(A25&amp;"",tbl_Production[Job Number],0),MATCH(IFERROR(A25+0,A25),tbl_Production[Job Number],0))),INDEX(tbl_Production[Current RMS No],IFERROR(MATCH(A25&amp;"",tbl_Production[Job Number],0),MATCH(IFERROR(A25+0,A25),tbl_Production[Job Number],0))))),IFERROR(IF(INDEX(tbl_Consulting[Qwilr Quote],IFERROR(MATCH(A25&amp;"",tbl_Consulting[Job Number],0),MATCH(IFERROR(A25+0,A25),tbl_Consulting[Job Number],0)))="","",INDEX(tbl_Consulting[Qwilr Quote],IFERROR(MATCH(A25&amp;"",tbl_Consulting[Job Number],0),MATCH(IFERROR(A25+0,A25),tbl_Consulting[Job Number],0)))),""))))</f>
        <v/>
      </c>
      <c r="AG25" s="26">
        <f>IF(AF25="","",IF(AND(LEFT(AF25,4)&lt;&gt;"http",IF(G25="Production",set_RMSBase,set_QwilrBase)=""),"",HYPERLINK(IF(LEFT(AF25,4)="http",AF25,IF(G25="Production",set_RMSBase,set_QwilrBase)&amp;AF25),"Open")))</f>
        <v/>
      </c>
      <c r="AH25" s="27">
        <f>IF(A25="","",IFERROR(INDEX(tbl_Production[Total Expense],IFERROR(MATCH(A25&amp;"",tbl_Production[Job Number],0),MATCH(IFERROR(A25+0,A25),tbl_Production[Job Number],0))),IFERROR(INDEX(tbl_Consulting[Total Expense],IFERROR(MATCH(A25&amp;"",tbl_Consulting[Job Number],0),MATCH(IFERROR(A25+0,A25),tbl_Consulting[Job Number],0))),0)))</f>
        <v/>
      </c>
      <c r="AI25" s="27">
        <f>IF(A25="","",AC25-N(AH25))</f>
        <v/>
      </c>
      <c r="AJ25" s="29">
        <f>IFERROR(AI25/AC25,"")</f>
        <v/>
      </c>
      <c r="AK25" s="26">
        <f>IF(A25="","",IFERROR(IF(INDEX(tbl_Onsite[Notes],IFERROR(MATCH(A25&amp;"",tbl_Onsite[Job Number],0),MATCH(IFERROR(A25+0,A25),tbl_Onsite[Job Number],0)))="","",INDEX(tbl_Onsite[Notes],IFERROR(MATCH(A25&amp;"",tbl_Onsite[Job Number],0),MATCH(IFERROR(A25+0,A25),tbl_Onsite[Job Number],0)))),IFERROR(IF(INDEX(tbl_Production[Notes],IFERROR(MATCH(A25&amp;"",tbl_Production[Job Number],0),MATCH(IFERROR(A25+0,A25),tbl_Production[Job Number],0)))="","",INDEX(tbl_Production[Notes],IFERROR(MATCH(A25&amp;"",tbl_Production[Job Number],0),MATCH(IFERROR(A25+0,A25),tbl_Production[Job Number],0)))),IFERROR(IF(INDEX(tbl_Consulting[Notes],IFERROR(MATCH(A25&amp;"",tbl_Consulting[Job Number],0),MATCH(IFERROR(A25+0,A25),tbl_Consulting[Job Number],0)))="","",INDEX(tbl_Consulting[Notes],IFERROR(MATCH(A25&amp;"",tbl_Consulting[Job Number],0),MATCH(IFERROR(A25+0,A25),tbl_Consulting[Job Number],0)))),""))))</f>
        <v/>
      </c>
    </row>
    <row r="26" ht="15" customHeight="1">
      <c r="A26" s="22" t="n"/>
      <c r="B26" s="22" t="n"/>
      <c r="C26" s="23" t="n"/>
      <c r="D26" s="22" t="n"/>
      <c r="E26" s="24" t="n"/>
      <c r="F26" s="25">
        <f>IF(C26="","",EOMONTH(C26,0))</f>
        <v/>
      </c>
      <c r="G26" s="26">
        <f>IF(A26="","",IF(COUNTIF(tbl_Onsite[Job Number],A26&amp;"")&gt;0,"Onsite",IF(COUNTIF(tbl_Production[Job Number],A26&amp;"")&gt;0,"Production",IF(COUNTIF(tbl_Consulting[Job Number],A26&amp;"")&gt;0,"Consulting","not set up yet"))))</f>
        <v/>
      </c>
      <c r="H26" s="26">
        <f>IF(A26="","",IF(COUNTIF(lst_Jobs,A26&amp;"")&gt;0,"OK","CHECK"))</f>
        <v/>
      </c>
      <c r="I26" s="26">
        <f>IF(A26="","",IFERROR(INDEX(lst_JobName,MATCH(A26&amp;"",lst_Jobs,0)),""))</f>
        <v/>
      </c>
      <c r="J26" s="26">
        <f>IF(A26="","",IFERROR(IF(INDEX(tbl_Onsite[Client],IFERROR(MATCH(A26&amp;"",tbl_Onsite[Job Number],0),MATCH(IFERROR(A26+0,A26),tbl_Onsite[Job Number],0)))="","",INDEX(tbl_Onsite[Client],IFERROR(MATCH(A26&amp;"",tbl_Onsite[Job Number],0),MATCH(IFERROR(A26+0,A26),tbl_Onsite[Job Number],0)))),IFERROR(IF(INDEX(tbl_Production[Client],IFERROR(MATCH(A26&amp;"",tbl_Production[Job Number],0),MATCH(IFERROR(A26+0,A26),tbl_Production[Job Number],0)))="","",INDEX(tbl_Production[Client],IFERROR(MATCH(A26&amp;"",tbl_Production[Job Number],0),MATCH(IFERROR(A26+0,A26),tbl_Production[Job Number],0)))),IFERROR(IF(INDEX(tbl_Consulting[Client],IFERROR(MATCH(A26&amp;"",tbl_Consulting[Job Number],0),MATCH(IFERROR(A26+0,A26),tbl_Consulting[Job Number],0)))="","",INDEX(tbl_Consulting[Client],IFERROR(MATCH(A26&amp;"",tbl_Consulting[Job Number],0),MATCH(IFERROR(A26+0,A26),tbl_Consulting[Job Number],0)))),""))))</f>
        <v/>
      </c>
      <c r="K26" s="26">
        <f>IF(A26="","",IFERROR(IF(INDEX(tbl_Onsite[Job Description],IFERROR(MATCH(A26&amp;"",tbl_Onsite[Job Number],0),MATCH(IFERROR(A26+0,A26),tbl_Onsite[Job Number],0)))="","",INDEX(tbl_Onsite[Job Description],IFERROR(MATCH(A26&amp;"",tbl_Onsite[Job Number],0),MATCH(IFERROR(A26+0,A26),tbl_Onsite[Job Number],0)))),IFERROR(IF(INDEX(tbl_Production[Job Description],IFERROR(MATCH(A26&amp;"",tbl_Production[Job Number],0),MATCH(IFERROR(A26+0,A26),tbl_Production[Job Number],0)))="","",INDEX(tbl_Production[Job Description],IFERROR(MATCH(A26&amp;"",tbl_Production[Job Number],0),MATCH(IFERROR(A26+0,A26),tbl_Production[Job Number],0)))),IFERROR(IF(INDEX(tbl_Consulting[Job Description],IFERROR(MATCH(A26&amp;"",tbl_Consulting[Job Number],0),MATCH(IFERROR(A26+0,A26),tbl_Consulting[Job Number],0)))="","",INDEX(tbl_Consulting[Job Description],IFERROR(MATCH(A26&amp;"",tbl_Consulting[Job Number],0),MATCH(IFERROR(A26+0,A26),tbl_Consulting[Job Number],0)))),""))))</f>
        <v/>
      </c>
      <c r="L26" s="26">
        <f>IF(A26="","",IFERROR(IF(INDEX(tbl_Onsite[Invoice Type],IFERROR(MATCH(A26&amp;"",tbl_Onsite[Job Number],0),MATCH(IFERROR(A26+0,A26),tbl_Onsite[Job Number],0)))="","",INDEX(tbl_Onsite[Invoice Type],IFERROR(MATCH(A26&amp;"",tbl_Onsite[Job Number],0),MATCH(IFERROR(A26+0,A26),tbl_Onsite[Job Number],0)))),IFERROR(IF(INDEX(tbl_Production[Invoice Type],IFERROR(MATCH(A26&amp;"",tbl_Production[Job Number],0),MATCH(IFERROR(A26+0,A26),tbl_Production[Job Number],0)))="","",INDEX(tbl_Production[Invoice Type],IFERROR(MATCH(A26&amp;"",tbl_Production[Job Number],0),MATCH(IFERROR(A26+0,A26),tbl_Production[Job Number],0)))),IFERROR(IF(INDEX(tbl_Consulting[Invoice Type],IFERROR(MATCH(A26&amp;"",tbl_Consulting[Job Number],0),MATCH(IFERROR(A26+0,A26),tbl_Consulting[Job Number],0)))="","",INDEX(tbl_Consulting[Invoice Type],IFERROR(MATCH(A26&amp;"",tbl_Consulting[Job Number],0),MATCH(IFERROR(A26+0,A26),tbl_Consulting[Job Number],0)))),""))))</f>
        <v/>
      </c>
      <c r="M26" s="26">
        <f>IF(A26="","",IF(IFERROR(IF(INDEX(tbl_Onsite[Tax Code],IFERROR(MATCH(A26&amp;"",tbl_Onsite[Job Number],0),MATCH(IFERROR(A26+0,A26),tbl_Onsite[Job Number],0)))="","",INDEX(tbl_Onsite[Tax Code],IFERROR(MATCH(A26&amp;"",tbl_Onsite[Job Number],0),MATCH(IFERROR(A26+0,A26),tbl_Onsite[Job Number],0)))),IFERROR(IF(INDEX(tbl_Production[Tax Code],IFERROR(MATCH(A26&amp;"",tbl_Production[Job Number],0),MATCH(IFERROR(A26+0,A26),tbl_Production[Job Number],0)))="","",INDEX(tbl_Production[Tax Code],IFERROR(MATCH(A26&amp;"",tbl_Production[Job Number],0),MATCH(IFERROR(A26+0,A26),tbl_Production[Job Number],0)))),IFERROR(IF(INDEX(tbl_Consulting[Tax Code],IFERROR(MATCH(A26&amp;"",tbl_Consulting[Job Number],0),MATCH(IFERROR(A26+0,A26),tbl_Consulting[Job Number],0)))="","",INDEX(tbl_Consulting[Tax Code],IFERROR(MATCH(A26&amp;"",tbl_Consulting[Job Number],0),MATCH(IFERROR(A26+0,A26),tbl_Consulting[Job Number],0)))),"")))="","GST 10%",IFERROR(IF(INDEX(tbl_Onsite[Tax Code],IFERROR(MATCH(A26&amp;"",tbl_Onsite[Job Number],0),MATCH(IFERROR(A26+0,A26),tbl_Onsite[Job Number],0)))="","",INDEX(tbl_Onsite[Tax Code],IFERROR(MATCH(A26&amp;"",tbl_Onsite[Job Number],0),MATCH(IFERROR(A26+0,A26),tbl_Onsite[Job Number],0)))),IFERROR(IF(INDEX(tbl_Production[Tax Code],IFERROR(MATCH(A26&amp;"",tbl_Production[Job Number],0),MATCH(IFERROR(A26+0,A26),tbl_Production[Job Number],0)))="","",INDEX(tbl_Production[Tax Code],IFERROR(MATCH(A26&amp;"",tbl_Production[Job Number],0),MATCH(IFERROR(A26+0,A26),tbl_Production[Job Number],0)))),IFERROR(IF(INDEX(tbl_Consulting[Tax Code],IFERROR(MATCH(A26&amp;"",tbl_Consulting[Job Number],0),MATCH(IFERROR(A26+0,A26),tbl_Consulting[Job Number],0)))="","",INDEX(tbl_Consulting[Tax Code],IFERROR(MATCH(A26&amp;"",tbl_Consulting[Job Number],0),MATCH(IFERROR(A26+0,A26),tbl_Consulting[Job Number],0)))),"")))))</f>
        <v/>
      </c>
      <c r="N26" s="26">
        <f>IF(D26="","",IFERROR(INDEX(lst_CCtoGL,MATCH(D26,lst_CCforGL,0)),""))</f>
        <v/>
      </c>
      <c r="O26" s="27">
        <f>IF(E26="","",IF(M26="GST 10%",ROUND(E26*set_GSTRate,2),0))</f>
        <v/>
      </c>
      <c r="P26" s="27">
        <f>IF(E26="","",E26+O26)</f>
        <v/>
      </c>
      <c r="Q26" s="27">
        <f>IF(A26="","",IFERROR(INDEX(tbl_Onsite[Expected Revenue Ex GST],IFERROR(MATCH(A26&amp;"",tbl_Onsite[Job Number],0),MATCH(IFERROR(A26+0,A26),tbl_Onsite[Job Number],0))),IFERROR(INDEX(tbl_Production[Expected Revenue Ex GST],IFERROR(MATCH(A26&amp;"",tbl_Production[Job Number],0),MATCH(IFERROR(A26+0,A26),tbl_Production[Job Number],0))),IFERROR(INDEX(tbl_Consulting[Expected Revenue Ex GST],IFERROR(MATCH(A26&amp;"",tbl_Consulting[Job Number],0),MATCH(IFERROR(A26+0,A26),tbl_Consulting[Job Number],0))),0))))</f>
        <v/>
      </c>
      <c r="R26" s="27">
        <f>IF(A26="","",SUMIFS(tbl_Finance[Ex GST],tbl_Finance[Job Number],A26&amp;""))</f>
        <v/>
      </c>
      <c r="S26" s="27">
        <f>IF(A26="","",Q26-R26)</f>
        <v/>
      </c>
      <c r="T26" s="26">
        <f>IF(A26="","",IF(Q26=0,"No dept value",IF(ROUND(S26,2)=0,"Agrees",IF(S26&gt;0,"Dept higher - to invoice","Xero higher - check dept"))))</f>
        <v/>
      </c>
      <c r="U26" s="22" t="n"/>
      <c r="V26" s="22" t="n"/>
      <c r="W26" s="23" t="n"/>
      <c r="X26" s="23" t="n"/>
      <c r="Y26" s="22" t="n"/>
      <c r="Z26" s="22" t="n"/>
      <c r="AA26" s="26">
        <f>IF(COUNTA(C26,A26,B26,E26)=0,"",IF(C26="","No date - sits outside every month",IF(A26="","No job number",IF(H26="CHECK","Job number is not in the Xero job list",IF(G26="not set up yet","No department has set this job up - nothing can pull through",IF(D26="","No cost centre",IF(AND(U26="Y",B26=""),"Marked posted to Xero but has no invoice number",IF(N26="","Cost centre has no revenue GL on the Lists sheet",IF(T26="Xero higher - check dept","Invoiced more than the department says the job is worth","")))))))))</f>
        <v/>
      </c>
      <c r="AB26" s="28">
        <f>IF(A26="","",COUNTIFS(tbl_Finance[Job Number],A26&amp;"",tbl_Finance[Ex GST],"&lt;&gt;"))</f>
        <v/>
      </c>
      <c r="AC26" s="27">
        <f>IF(A26="","",SUMIFS(tbl_Finance[Ex GST],tbl_Finance[Job Number],A26&amp;""))</f>
        <v/>
      </c>
      <c r="AD26" s="27">
        <f>IF(A26="","",SUMIFS(tbl_Finance[Ex GST],tbl_Finance[Job Number],A26&amp;"",tbl_Finance[Xero Invoice No],"&lt;&gt;"))</f>
        <v/>
      </c>
      <c r="AE26" s="27">
        <f>IF(A26="","",AC26-AD26)</f>
        <v/>
      </c>
      <c r="AF26" s="26">
        <f>IF(A26="","",IFERROR(IF(INDEX(tbl_Onsite[Qwilr Quote],IFERROR(MATCH(A26&amp;"",tbl_Onsite[Job Number],0),MATCH(IFERROR(A26+0,A26),tbl_Onsite[Job Number],0)))="","",INDEX(tbl_Onsite[Qwilr Quote],IFERROR(MATCH(A26&amp;"",tbl_Onsite[Job Number],0),MATCH(IFERROR(A26+0,A26),tbl_Onsite[Job Number],0)))),IFERROR(IF(IF(INDEX(tbl_Production[Current RMS No],IFERROR(MATCH(A26&amp;"",tbl_Production[Job Number],0),MATCH(IFERROR(A26+0,A26),tbl_Production[Job Number],0)))="",INDEX(tbl_Production[Qwilr Quote],IFERROR(MATCH(A26&amp;"",tbl_Production[Job Number],0),MATCH(IFERROR(A26+0,A26),tbl_Production[Job Number],0))),INDEX(tbl_Production[Current RMS No],IFERROR(MATCH(A26&amp;"",tbl_Production[Job Number],0),MATCH(IFERROR(A26+0,A26),tbl_Production[Job Number],0))))="","",IF(INDEX(tbl_Production[Current RMS No],IFERROR(MATCH(A26&amp;"",tbl_Production[Job Number],0),MATCH(IFERROR(A26+0,A26),tbl_Production[Job Number],0)))="",INDEX(tbl_Production[Qwilr Quote],IFERROR(MATCH(A26&amp;"",tbl_Production[Job Number],0),MATCH(IFERROR(A26+0,A26),tbl_Production[Job Number],0))),INDEX(tbl_Production[Current RMS No],IFERROR(MATCH(A26&amp;"",tbl_Production[Job Number],0),MATCH(IFERROR(A26+0,A26),tbl_Production[Job Number],0))))),IFERROR(IF(INDEX(tbl_Consulting[Qwilr Quote],IFERROR(MATCH(A26&amp;"",tbl_Consulting[Job Number],0),MATCH(IFERROR(A26+0,A26),tbl_Consulting[Job Number],0)))="","",INDEX(tbl_Consulting[Qwilr Quote],IFERROR(MATCH(A26&amp;"",tbl_Consulting[Job Number],0),MATCH(IFERROR(A26+0,A26),tbl_Consulting[Job Number],0)))),""))))</f>
        <v/>
      </c>
      <c r="AG26" s="26">
        <f>IF(AF26="","",IF(AND(LEFT(AF26,4)&lt;&gt;"http",IF(G26="Production",set_RMSBase,set_QwilrBase)=""),"",HYPERLINK(IF(LEFT(AF26,4)="http",AF26,IF(G26="Production",set_RMSBase,set_QwilrBase)&amp;AF26),"Open")))</f>
        <v/>
      </c>
      <c r="AH26" s="27">
        <f>IF(A26="","",IFERROR(INDEX(tbl_Production[Total Expense],IFERROR(MATCH(A26&amp;"",tbl_Production[Job Number],0),MATCH(IFERROR(A26+0,A26),tbl_Production[Job Number],0))),IFERROR(INDEX(tbl_Consulting[Total Expense],IFERROR(MATCH(A26&amp;"",tbl_Consulting[Job Number],0),MATCH(IFERROR(A26+0,A26),tbl_Consulting[Job Number],0))),0)))</f>
        <v/>
      </c>
      <c r="AI26" s="27">
        <f>IF(A26="","",AC26-N(AH26))</f>
        <v/>
      </c>
      <c r="AJ26" s="29">
        <f>IFERROR(AI26/AC26,"")</f>
        <v/>
      </c>
      <c r="AK26" s="26">
        <f>IF(A26="","",IFERROR(IF(INDEX(tbl_Onsite[Notes],IFERROR(MATCH(A26&amp;"",tbl_Onsite[Job Number],0),MATCH(IFERROR(A26+0,A26),tbl_Onsite[Job Number],0)))="","",INDEX(tbl_Onsite[Notes],IFERROR(MATCH(A26&amp;"",tbl_Onsite[Job Number],0),MATCH(IFERROR(A26+0,A26),tbl_Onsite[Job Number],0)))),IFERROR(IF(INDEX(tbl_Production[Notes],IFERROR(MATCH(A26&amp;"",tbl_Production[Job Number],0),MATCH(IFERROR(A26+0,A26),tbl_Production[Job Number],0)))="","",INDEX(tbl_Production[Notes],IFERROR(MATCH(A26&amp;"",tbl_Production[Job Number],0),MATCH(IFERROR(A26+0,A26),tbl_Production[Job Number],0)))),IFERROR(IF(INDEX(tbl_Consulting[Notes],IFERROR(MATCH(A26&amp;"",tbl_Consulting[Job Number],0),MATCH(IFERROR(A26+0,A26),tbl_Consulting[Job Number],0)))="","",INDEX(tbl_Consulting[Notes],IFERROR(MATCH(A26&amp;"",tbl_Consulting[Job Number],0),MATCH(IFERROR(A26+0,A26),tbl_Consulting[Job Number],0)))),""))))</f>
        <v/>
      </c>
    </row>
    <row r="27" ht="15" customHeight="1">
      <c r="A27" s="22" t="n"/>
      <c r="B27" s="22" t="n"/>
      <c r="C27" s="23" t="n"/>
      <c r="D27" s="22" t="n"/>
      <c r="E27" s="24" t="n"/>
      <c r="F27" s="25">
        <f>IF(C27="","",EOMONTH(C27,0))</f>
        <v/>
      </c>
      <c r="G27" s="26">
        <f>IF(A27="","",IF(COUNTIF(tbl_Onsite[Job Number],A27&amp;"")&gt;0,"Onsite",IF(COUNTIF(tbl_Production[Job Number],A27&amp;"")&gt;0,"Production",IF(COUNTIF(tbl_Consulting[Job Number],A27&amp;"")&gt;0,"Consulting","not set up yet"))))</f>
        <v/>
      </c>
      <c r="H27" s="26">
        <f>IF(A27="","",IF(COUNTIF(lst_Jobs,A27&amp;"")&gt;0,"OK","CHECK"))</f>
        <v/>
      </c>
      <c r="I27" s="26">
        <f>IF(A27="","",IFERROR(INDEX(lst_JobName,MATCH(A27&amp;"",lst_Jobs,0)),""))</f>
        <v/>
      </c>
      <c r="J27" s="26">
        <f>IF(A27="","",IFERROR(IF(INDEX(tbl_Onsite[Client],IFERROR(MATCH(A27&amp;"",tbl_Onsite[Job Number],0),MATCH(IFERROR(A27+0,A27),tbl_Onsite[Job Number],0)))="","",INDEX(tbl_Onsite[Client],IFERROR(MATCH(A27&amp;"",tbl_Onsite[Job Number],0),MATCH(IFERROR(A27+0,A27),tbl_Onsite[Job Number],0)))),IFERROR(IF(INDEX(tbl_Production[Client],IFERROR(MATCH(A27&amp;"",tbl_Production[Job Number],0),MATCH(IFERROR(A27+0,A27),tbl_Production[Job Number],0)))="","",INDEX(tbl_Production[Client],IFERROR(MATCH(A27&amp;"",tbl_Production[Job Number],0),MATCH(IFERROR(A27+0,A27),tbl_Production[Job Number],0)))),IFERROR(IF(INDEX(tbl_Consulting[Client],IFERROR(MATCH(A27&amp;"",tbl_Consulting[Job Number],0),MATCH(IFERROR(A27+0,A27),tbl_Consulting[Job Number],0)))="","",INDEX(tbl_Consulting[Client],IFERROR(MATCH(A27&amp;"",tbl_Consulting[Job Number],0),MATCH(IFERROR(A27+0,A27),tbl_Consulting[Job Number],0)))),""))))</f>
        <v/>
      </c>
      <c r="K27" s="26">
        <f>IF(A27="","",IFERROR(IF(INDEX(tbl_Onsite[Job Description],IFERROR(MATCH(A27&amp;"",tbl_Onsite[Job Number],0),MATCH(IFERROR(A27+0,A27),tbl_Onsite[Job Number],0)))="","",INDEX(tbl_Onsite[Job Description],IFERROR(MATCH(A27&amp;"",tbl_Onsite[Job Number],0),MATCH(IFERROR(A27+0,A27),tbl_Onsite[Job Number],0)))),IFERROR(IF(INDEX(tbl_Production[Job Description],IFERROR(MATCH(A27&amp;"",tbl_Production[Job Number],0),MATCH(IFERROR(A27+0,A27),tbl_Production[Job Number],0)))="","",INDEX(tbl_Production[Job Description],IFERROR(MATCH(A27&amp;"",tbl_Production[Job Number],0),MATCH(IFERROR(A27+0,A27),tbl_Production[Job Number],0)))),IFERROR(IF(INDEX(tbl_Consulting[Job Description],IFERROR(MATCH(A27&amp;"",tbl_Consulting[Job Number],0),MATCH(IFERROR(A27+0,A27),tbl_Consulting[Job Number],0)))="","",INDEX(tbl_Consulting[Job Description],IFERROR(MATCH(A27&amp;"",tbl_Consulting[Job Number],0),MATCH(IFERROR(A27+0,A27),tbl_Consulting[Job Number],0)))),""))))</f>
        <v/>
      </c>
      <c r="L27" s="26">
        <f>IF(A27="","",IFERROR(IF(INDEX(tbl_Onsite[Invoice Type],IFERROR(MATCH(A27&amp;"",tbl_Onsite[Job Number],0),MATCH(IFERROR(A27+0,A27),tbl_Onsite[Job Number],0)))="","",INDEX(tbl_Onsite[Invoice Type],IFERROR(MATCH(A27&amp;"",tbl_Onsite[Job Number],0),MATCH(IFERROR(A27+0,A27),tbl_Onsite[Job Number],0)))),IFERROR(IF(INDEX(tbl_Production[Invoice Type],IFERROR(MATCH(A27&amp;"",tbl_Production[Job Number],0),MATCH(IFERROR(A27+0,A27),tbl_Production[Job Number],0)))="","",INDEX(tbl_Production[Invoice Type],IFERROR(MATCH(A27&amp;"",tbl_Production[Job Number],0),MATCH(IFERROR(A27+0,A27),tbl_Production[Job Number],0)))),IFERROR(IF(INDEX(tbl_Consulting[Invoice Type],IFERROR(MATCH(A27&amp;"",tbl_Consulting[Job Number],0),MATCH(IFERROR(A27+0,A27),tbl_Consulting[Job Number],0)))="","",INDEX(tbl_Consulting[Invoice Type],IFERROR(MATCH(A27&amp;"",tbl_Consulting[Job Number],0),MATCH(IFERROR(A27+0,A27),tbl_Consulting[Job Number],0)))),""))))</f>
        <v/>
      </c>
      <c r="M27" s="26">
        <f>IF(A27="","",IF(IFERROR(IF(INDEX(tbl_Onsite[Tax Code],IFERROR(MATCH(A27&amp;"",tbl_Onsite[Job Number],0),MATCH(IFERROR(A27+0,A27),tbl_Onsite[Job Number],0)))="","",INDEX(tbl_Onsite[Tax Code],IFERROR(MATCH(A27&amp;"",tbl_Onsite[Job Number],0),MATCH(IFERROR(A27+0,A27),tbl_Onsite[Job Number],0)))),IFERROR(IF(INDEX(tbl_Production[Tax Code],IFERROR(MATCH(A27&amp;"",tbl_Production[Job Number],0),MATCH(IFERROR(A27+0,A27),tbl_Production[Job Number],0)))="","",INDEX(tbl_Production[Tax Code],IFERROR(MATCH(A27&amp;"",tbl_Production[Job Number],0),MATCH(IFERROR(A27+0,A27),tbl_Production[Job Number],0)))),IFERROR(IF(INDEX(tbl_Consulting[Tax Code],IFERROR(MATCH(A27&amp;"",tbl_Consulting[Job Number],0),MATCH(IFERROR(A27+0,A27),tbl_Consulting[Job Number],0)))="","",INDEX(tbl_Consulting[Tax Code],IFERROR(MATCH(A27&amp;"",tbl_Consulting[Job Number],0),MATCH(IFERROR(A27+0,A27),tbl_Consulting[Job Number],0)))),"")))="","GST 10%",IFERROR(IF(INDEX(tbl_Onsite[Tax Code],IFERROR(MATCH(A27&amp;"",tbl_Onsite[Job Number],0),MATCH(IFERROR(A27+0,A27),tbl_Onsite[Job Number],0)))="","",INDEX(tbl_Onsite[Tax Code],IFERROR(MATCH(A27&amp;"",tbl_Onsite[Job Number],0),MATCH(IFERROR(A27+0,A27),tbl_Onsite[Job Number],0)))),IFERROR(IF(INDEX(tbl_Production[Tax Code],IFERROR(MATCH(A27&amp;"",tbl_Production[Job Number],0),MATCH(IFERROR(A27+0,A27),tbl_Production[Job Number],0)))="","",INDEX(tbl_Production[Tax Code],IFERROR(MATCH(A27&amp;"",tbl_Production[Job Number],0),MATCH(IFERROR(A27+0,A27),tbl_Production[Job Number],0)))),IFERROR(IF(INDEX(tbl_Consulting[Tax Code],IFERROR(MATCH(A27&amp;"",tbl_Consulting[Job Number],0),MATCH(IFERROR(A27+0,A27),tbl_Consulting[Job Number],0)))="","",INDEX(tbl_Consulting[Tax Code],IFERROR(MATCH(A27&amp;"",tbl_Consulting[Job Number],0),MATCH(IFERROR(A27+0,A27),tbl_Consulting[Job Number],0)))),"")))))</f>
        <v/>
      </c>
      <c r="N27" s="26">
        <f>IF(D27="","",IFERROR(INDEX(lst_CCtoGL,MATCH(D27,lst_CCforGL,0)),""))</f>
        <v/>
      </c>
      <c r="O27" s="27">
        <f>IF(E27="","",IF(M27="GST 10%",ROUND(E27*set_GSTRate,2),0))</f>
        <v/>
      </c>
      <c r="P27" s="27">
        <f>IF(E27="","",E27+O27)</f>
        <v/>
      </c>
      <c r="Q27" s="27">
        <f>IF(A27="","",IFERROR(INDEX(tbl_Onsite[Expected Revenue Ex GST],IFERROR(MATCH(A27&amp;"",tbl_Onsite[Job Number],0),MATCH(IFERROR(A27+0,A27),tbl_Onsite[Job Number],0))),IFERROR(INDEX(tbl_Production[Expected Revenue Ex GST],IFERROR(MATCH(A27&amp;"",tbl_Production[Job Number],0),MATCH(IFERROR(A27+0,A27),tbl_Production[Job Number],0))),IFERROR(INDEX(tbl_Consulting[Expected Revenue Ex GST],IFERROR(MATCH(A27&amp;"",tbl_Consulting[Job Number],0),MATCH(IFERROR(A27+0,A27),tbl_Consulting[Job Number],0))),0))))</f>
        <v/>
      </c>
      <c r="R27" s="27">
        <f>IF(A27="","",SUMIFS(tbl_Finance[Ex GST],tbl_Finance[Job Number],A27&amp;""))</f>
        <v/>
      </c>
      <c r="S27" s="27">
        <f>IF(A27="","",Q27-R27)</f>
        <v/>
      </c>
      <c r="T27" s="26">
        <f>IF(A27="","",IF(Q27=0,"No dept value",IF(ROUND(S27,2)=0,"Agrees",IF(S27&gt;0,"Dept higher - to invoice","Xero higher - check dept"))))</f>
        <v/>
      </c>
      <c r="U27" s="22" t="n"/>
      <c r="V27" s="22" t="n"/>
      <c r="W27" s="23" t="n"/>
      <c r="X27" s="23" t="n"/>
      <c r="Y27" s="22" t="n"/>
      <c r="Z27" s="22" t="n"/>
      <c r="AA27" s="26">
        <f>IF(COUNTA(C27,A27,B27,E27)=0,"",IF(C27="","No date - sits outside every month",IF(A27="","No job number",IF(H27="CHECK","Job number is not in the Xero job list",IF(G27="not set up yet","No department has set this job up - nothing can pull through",IF(D27="","No cost centre",IF(AND(U27="Y",B27=""),"Marked posted to Xero but has no invoice number",IF(N27="","Cost centre has no revenue GL on the Lists sheet",IF(T27="Xero higher - check dept","Invoiced more than the department says the job is worth","")))))))))</f>
        <v/>
      </c>
      <c r="AB27" s="28">
        <f>IF(A27="","",COUNTIFS(tbl_Finance[Job Number],A27&amp;"",tbl_Finance[Ex GST],"&lt;&gt;"))</f>
        <v/>
      </c>
      <c r="AC27" s="27">
        <f>IF(A27="","",SUMIFS(tbl_Finance[Ex GST],tbl_Finance[Job Number],A27&amp;""))</f>
        <v/>
      </c>
      <c r="AD27" s="27">
        <f>IF(A27="","",SUMIFS(tbl_Finance[Ex GST],tbl_Finance[Job Number],A27&amp;"",tbl_Finance[Xero Invoice No],"&lt;&gt;"))</f>
        <v/>
      </c>
      <c r="AE27" s="27">
        <f>IF(A27="","",AC27-AD27)</f>
        <v/>
      </c>
      <c r="AF27" s="26">
        <f>IF(A27="","",IFERROR(IF(INDEX(tbl_Onsite[Qwilr Quote],IFERROR(MATCH(A27&amp;"",tbl_Onsite[Job Number],0),MATCH(IFERROR(A27+0,A27),tbl_Onsite[Job Number],0)))="","",INDEX(tbl_Onsite[Qwilr Quote],IFERROR(MATCH(A27&amp;"",tbl_Onsite[Job Number],0),MATCH(IFERROR(A27+0,A27),tbl_Onsite[Job Number],0)))),IFERROR(IF(IF(INDEX(tbl_Production[Current RMS No],IFERROR(MATCH(A27&amp;"",tbl_Production[Job Number],0),MATCH(IFERROR(A27+0,A27),tbl_Production[Job Number],0)))="",INDEX(tbl_Production[Qwilr Quote],IFERROR(MATCH(A27&amp;"",tbl_Production[Job Number],0),MATCH(IFERROR(A27+0,A27),tbl_Production[Job Number],0))),INDEX(tbl_Production[Current RMS No],IFERROR(MATCH(A27&amp;"",tbl_Production[Job Number],0),MATCH(IFERROR(A27+0,A27),tbl_Production[Job Number],0))))="","",IF(INDEX(tbl_Production[Current RMS No],IFERROR(MATCH(A27&amp;"",tbl_Production[Job Number],0),MATCH(IFERROR(A27+0,A27),tbl_Production[Job Number],0)))="",INDEX(tbl_Production[Qwilr Quote],IFERROR(MATCH(A27&amp;"",tbl_Production[Job Number],0),MATCH(IFERROR(A27+0,A27),tbl_Production[Job Number],0))),INDEX(tbl_Production[Current RMS No],IFERROR(MATCH(A27&amp;"",tbl_Production[Job Number],0),MATCH(IFERROR(A27+0,A27),tbl_Production[Job Number],0))))),IFERROR(IF(INDEX(tbl_Consulting[Qwilr Quote],IFERROR(MATCH(A27&amp;"",tbl_Consulting[Job Number],0),MATCH(IFERROR(A27+0,A27),tbl_Consulting[Job Number],0)))="","",INDEX(tbl_Consulting[Qwilr Quote],IFERROR(MATCH(A27&amp;"",tbl_Consulting[Job Number],0),MATCH(IFERROR(A27+0,A27),tbl_Consulting[Job Number],0)))),""))))</f>
        <v/>
      </c>
      <c r="AG27" s="26">
        <f>IF(AF27="","",IF(AND(LEFT(AF27,4)&lt;&gt;"http",IF(G27="Production",set_RMSBase,set_QwilrBase)=""),"",HYPERLINK(IF(LEFT(AF27,4)="http",AF27,IF(G27="Production",set_RMSBase,set_QwilrBase)&amp;AF27),"Open")))</f>
        <v/>
      </c>
      <c r="AH27" s="27">
        <f>IF(A27="","",IFERROR(INDEX(tbl_Production[Total Expense],IFERROR(MATCH(A27&amp;"",tbl_Production[Job Number],0),MATCH(IFERROR(A27+0,A27),tbl_Production[Job Number],0))),IFERROR(INDEX(tbl_Consulting[Total Expense],IFERROR(MATCH(A27&amp;"",tbl_Consulting[Job Number],0),MATCH(IFERROR(A27+0,A27),tbl_Consulting[Job Number],0))),0)))</f>
        <v/>
      </c>
      <c r="AI27" s="27">
        <f>IF(A27="","",AC27-N(AH27))</f>
        <v/>
      </c>
      <c r="AJ27" s="29">
        <f>IFERROR(AI27/AC27,"")</f>
        <v/>
      </c>
      <c r="AK27" s="26">
        <f>IF(A27="","",IFERROR(IF(INDEX(tbl_Onsite[Notes],IFERROR(MATCH(A27&amp;"",tbl_Onsite[Job Number],0),MATCH(IFERROR(A27+0,A27),tbl_Onsite[Job Number],0)))="","",INDEX(tbl_Onsite[Notes],IFERROR(MATCH(A27&amp;"",tbl_Onsite[Job Number],0),MATCH(IFERROR(A27+0,A27),tbl_Onsite[Job Number],0)))),IFERROR(IF(INDEX(tbl_Production[Notes],IFERROR(MATCH(A27&amp;"",tbl_Production[Job Number],0),MATCH(IFERROR(A27+0,A27),tbl_Production[Job Number],0)))="","",INDEX(tbl_Production[Notes],IFERROR(MATCH(A27&amp;"",tbl_Production[Job Number],0),MATCH(IFERROR(A27+0,A27),tbl_Production[Job Number],0)))),IFERROR(IF(INDEX(tbl_Consulting[Notes],IFERROR(MATCH(A27&amp;"",tbl_Consulting[Job Number],0),MATCH(IFERROR(A27+0,A27),tbl_Consulting[Job Number],0)))="","",INDEX(tbl_Consulting[Notes],IFERROR(MATCH(A27&amp;"",tbl_Consulting[Job Number],0),MATCH(IFERROR(A27+0,A27),tbl_Consulting[Job Number],0)))),""))))</f>
        <v/>
      </c>
    </row>
    <row r="28" ht="15" customHeight="1">
      <c r="A28" s="22" t="n"/>
      <c r="B28" s="22" t="n"/>
      <c r="C28" s="23" t="n"/>
      <c r="D28" s="22" t="n"/>
      <c r="E28" s="24" t="n"/>
      <c r="F28" s="25">
        <f>IF(C28="","",EOMONTH(C28,0))</f>
        <v/>
      </c>
      <c r="G28" s="26">
        <f>IF(A28="","",IF(COUNTIF(tbl_Onsite[Job Number],A28&amp;"")&gt;0,"Onsite",IF(COUNTIF(tbl_Production[Job Number],A28&amp;"")&gt;0,"Production",IF(COUNTIF(tbl_Consulting[Job Number],A28&amp;"")&gt;0,"Consulting","not set up yet"))))</f>
        <v/>
      </c>
      <c r="H28" s="26">
        <f>IF(A28="","",IF(COUNTIF(lst_Jobs,A28&amp;"")&gt;0,"OK","CHECK"))</f>
        <v/>
      </c>
      <c r="I28" s="26">
        <f>IF(A28="","",IFERROR(INDEX(lst_JobName,MATCH(A28&amp;"",lst_Jobs,0)),""))</f>
        <v/>
      </c>
      <c r="J28" s="26">
        <f>IF(A28="","",IFERROR(IF(INDEX(tbl_Onsite[Client],IFERROR(MATCH(A28&amp;"",tbl_Onsite[Job Number],0),MATCH(IFERROR(A28+0,A28),tbl_Onsite[Job Number],0)))="","",INDEX(tbl_Onsite[Client],IFERROR(MATCH(A28&amp;"",tbl_Onsite[Job Number],0),MATCH(IFERROR(A28+0,A28),tbl_Onsite[Job Number],0)))),IFERROR(IF(INDEX(tbl_Production[Client],IFERROR(MATCH(A28&amp;"",tbl_Production[Job Number],0),MATCH(IFERROR(A28+0,A28),tbl_Production[Job Number],0)))="","",INDEX(tbl_Production[Client],IFERROR(MATCH(A28&amp;"",tbl_Production[Job Number],0),MATCH(IFERROR(A28+0,A28),tbl_Production[Job Number],0)))),IFERROR(IF(INDEX(tbl_Consulting[Client],IFERROR(MATCH(A28&amp;"",tbl_Consulting[Job Number],0),MATCH(IFERROR(A28+0,A28),tbl_Consulting[Job Number],0)))="","",INDEX(tbl_Consulting[Client],IFERROR(MATCH(A28&amp;"",tbl_Consulting[Job Number],0),MATCH(IFERROR(A28+0,A28),tbl_Consulting[Job Number],0)))),""))))</f>
        <v/>
      </c>
      <c r="K28" s="26">
        <f>IF(A28="","",IFERROR(IF(INDEX(tbl_Onsite[Job Description],IFERROR(MATCH(A28&amp;"",tbl_Onsite[Job Number],0),MATCH(IFERROR(A28+0,A28),tbl_Onsite[Job Number],0)))="","",INDEX(tbl_Onsite[Job Description],IFERROR(MATCH(A28&amp;"",tbl_Onsite[Job Number],0),MATCH(IFERROR(A28+0,A28),tbl_Onsite[Job Number],0)))),IFERROR(IF(INDEX(tbl_Production[Job Description],IFERROR(MATCH(A28&amp;"",tbl_Production[Job Number],0),MATCH(IFERROR(A28+0,A28),tbl_Production[Job Number],0)))="","",INDEX(tbl_Production[Job Description],IFERROR(MATCH(A28&amp;"",tbl_Production[Job Number],0),MATCH(IFERROR(A28+0,A28),tbl_Production[Job Number],0)))),IFERROR(IF(INDEX(tbl_Consulting[Job Description],IFERROR(MATCH(A28&amp;"",tbl_Consulting[Job Number],0),MATCH(IFERROR(A28+0,A28),tbl_Consulting[Job Number],0)))="","",INDEX(tbl_Consulting[Job Description],IFERROR(MATCH(A28&amp;"",tbl_Consulting[Job Number],0),MATCH(IFERROR(A28+0,A28),tbl_Consulting[Job Number],0)))),""))))</f>
        <v/>
      </c>
      <c r="L28" s="26">
        <f>IF(A28="","",IFERROR(IF(INDEX(tbl_Onsite[Invoice Type],IFERROR(MATCH(A28&amp;"",tbl_Onsite[Job Number],0),MATCH(IFERROR(A28+0,A28),tbl_Onsite[Job Number],0)))="","",INDEX(tbl_Onsite[Invoice Type],IFERROR(MATCH(A28&amp;"",tbl_Onsite[Job Number],0),MATCH(IFERROR(A28+0,A28),tbl_Onsite[Job Number],0)))),IFERROR(IF(INDEX(tbl_Production[Invoice Type],IFERROR(MATCH(A28&amp;"",tbl_Production[Job Number],0),MATCH(IFERROR(A28+0,A28),tbl_Production[Job Number],0)))="","",INDEX(tbl_Production[Invoice Type],IFERROR(MATCH(A28&amp;"",tbl_Production[Job Number],0),MATCH(IFERROR(A28+0,A28),tbl_Production[Job Number],0)))),IFERROR(IF(INDEX(tbl_Consulting[Invoice Type],IFERROR(MATCH(A28&amp;"",tbl_Consulting[Job Number],0),MATCH(IFERROR(A28+0,A28),tbl_Consulting[Job Number],0)))="","",INDEX(tbl_Consulting[Invoice Type],IFERROR(MATCH(A28&amp;"",tbl_Consulting[Job Number],0),MATCH(IFERROR(A28+0,A28),tbl_Consulting[Job Number],0)))),""))))</f>
        <v/>
      </c>
      <c r="M28" s="26">
        <f>IF(A28="","",IF(IFERROR(IF(INDEX(tbl_Onsite[Tax Code],IFERROR(MATCH(A28&amp;"",tbl_Onsite[Job Number],0),MATCH(IFERROR(A28+0,A28),tbl_Onsite[Job Number],0)))="","",INDEX(tbl_Onsite[Tax Code],IFERROR(MATCH(A28&amp;"",tbl_Onsite[Job Number],0),MATCH(IFERROR(A28+0,A28),tbl_Onsite[Job Number],0)))),IFERROR(IF(INDEX(tbl_Production[Tax Code],IFERROR(MATCH(A28&amp;"",tbl_Production[Job Number],0),MATCH(IFERROR(A28+0,A28),tbl_Production[Job Number],0)))="","",INDEX(tbl_Production[Tax Code],IFERROR(MATCH(A28&amp;"",tbl_Production[Job Number],0),MATCH(IFERROR(A28+0,A28),tbl_Production[Job Number],0)))),IFERROR(IF(INDEX(tbl_Consulting[Tax Code],IFERROR(MATCH(A28&amp;"",tbl_Consulting[Job Number],0),MATCH(IFERROR(A28+0,A28),tbl_Consulting[Job Number],0)))="","",INDEX(tbl_Consulting[Tax Code],IFERROR(MATCH(A28&amp;"",tbl_Consulting[Job Number],0),MATCH(IFERROR(A28+0,A28),tbl_Consulting[Job Number],0)))),"")))="","GST 10%",IFERROR(IF(INDEX(tbl_Onsite[Tax Code],IFERROR(MATCH(A28&amp;"",tbl_Onsite[Job Number],0),MATCH(IFERROR(A28+0,A28),tbl_Onsite[Job Number],0)))="","",INDEX(tbl_Onsite[Tax Code],IFERROR(MATCH(A28&amp;"",tbl_Onsite[Job Number],0),MATCH(IFERROR(A28+0,A28),tbl_Onsite[Job Number],0)))),IFERROR(IF(INDEX(tbl_Production[Tax Code],IFERROR(MATCH(A28&amp;"",tbl_Production[Job Number],0),MATCH(IFERROR(A28+0,A28),tbl_Production[Job Number],0)))="","",INDEX(tbl_Production[Tax Code],IFERROR(MATCH(A28&amp;"",tbl_Production[Job Number],0),MATCH(IFERROR(A28+0,A28),tbl_Production[Job Number],0)))),IFERROR(IF(INDEX(tbl_Consulting[Tax Code],IFERROR(MATCH(A28&amp;"",tbl_Consulting[Job Number],0),MATCH(IFERROR(A28+0,A28),tbl_Consulting[Job Number],0)))="","",INDEX(tbl_Consulting[Tax Code],IFERROR(MATCH(A28&amp;"",tbl_Consulting[Job Number],0),MATCH(IFERROR(A28+0,A28),tbl_Consulting[Job Number],0)))),"")))))</f>
        <v/>
      </c>
      <c r="N28" s="26">
        <f>IF(D28="","",IFERROR(INDEX(lst_CCtoGL,MATCH(D28,lst_CCforGL,0)),""))</f>
        <v/>
      </c>
      <c r="O28" s="27">
        <f>IF(E28="","",IF(M28="GST 10%",ROUND(E28*set_GSTRate,2),0))</f>
        <v/>
      </c>
      <c r="P28" s="27">
        <f>IF(E28="","",E28+O28)</f>
        <v/>
      </c>
      <c r="Q28" s="27">
        <f>IF(A28="","",IFERROR(INDEX(tbl_Onsite[Expected Revenue Ex GST],IFERROR(MATCH(A28&amp;"",tbl_Onsite[Job Number],0),MATCH(IFERROR(A28+0,A28),tbl_Onsite[Job Number],0))),IFERROR(INDEX(tbl_Production[Expected Revenue Ex GST],IFERROR(MATCH(A28&amp;"",tbl_Production[Job Number],0),MATCH(IFERROR(A28+0,A28),tbl_Production[Job Number],0))),IFERROR(INDEX(tbl_Consulting[Expected Revenue Ex GST],IFERROR(MATCH(A28&amp;"",tbl_Consulting[Job Number],0),MATCH(IFERROR(A28+0,A28),tbl_Consulting[Job Number],0))),0))))</f>
        <v/>
      </c>
      <c r="R28" s="27">
        <f>IF(A28="","",SUMIFS(tbl_Finance[Ex GST],tbl_Finance[Job Number],A28&amp;""))</f>
        <v/>
      </c>
      <c r="S28" s="27">
        <f>IF(A28="","",Q28-R28)</f>
        <v/>
      </c>
      <c r="T28" s="26">
        <f>IF(A28="","",IF(Q28=0,"No dept value",IF(ROUND(S28,2)=0,"Agrees",IF(S28&gt;0,"Dept higher - to invoice","Xero higher - check dept"))))</f>
        <v/>
      </c>
      <c r="U28" s="22" t="n"/>
      <c r="V28" s="22" t="n"/>
      <c r="W28" s="23" t="n"/>
      <c r="X28" s="23" t="n"/>
      <c r="Y28" s="22" t="n"/>
      <c r="Z28" s="22" t="n"/>
      <c r="AA28" s="26">
        <f>IF(COUNTA(C28,A28,B28,E28)=0,"",IF(C28="","No date - sits outside every month",IF(A28="","No job number",IF(H28="CHECK","Job number is not in the Xero job list",IF(G28="not set up yet","No department has set this job up - nothing can pull through",IF(D28="","No cost centre",IF(AND(U28="Y",B28=""),"Marked posted to Xero but has no invoice number",IF(N28="","Cost centre has no revenue GL on the Lists sheet",IF(T28="Xero higher - check dept","Invoiced more than the department says the job is worth","")))))))))</f>
        <v/>
      </c>
      <c r="AB28" s="28">
        <f>IF(A28="","",COUNTIFS(tbl_Finance[Job Number],A28&amp;"",tbl_Finance[Ex GST],"&lt;&gt;"))</f>
        <v/>
      </c>
      <c r="AC28" s="27">
        <f>IF(A28="","",SUMIFS(tbl_Finance[Ex GST],tbl_Finance[Job Number],A28&amp;""))</f>
        <v/>
      </c>
      <c r="AD28" s="27">
        <f>IF(A28="","",SUMIFS(tbl_Finance[Ex GST],tbl_Finance[Job Number],A28&amp;"",tbl_Finance[Xero Invoice No],"&lt;&gt;"))</f>
        <v/>
      </c>
      <c r="AE28" s="27">
        <f>IF(A28="","",AC28-AD28)</f>
        <v/>
      </c>
      <c r="AF28" s="26">
        <f>IF(A28="","",IFERROR(IF(INDEX(tbl_Onsite[Qwilr Quote],IFERROR(MATCH(A28&amp;"",tbl_Onsite[Job Number],0),MATCH(IFERROR(A28+0,A28),tbl_Onsite[Job Number],0)))="","",INDEX(tbl_Onsite[Qwilr Quote],IFERROR(MATCH(A28&amp;"",tbl_Onsite[Job Number],0),MATCH(IFERROR(A28+0,A28),tbl_Onsite[Job Number],0)))),IFERROR(IF(IF(INDEX(tbl_Production[Current RMS No],IFERROR(MATCH(A28&amp;"",tbl_Production[Job Number],0),MATCH(IFERROR(A28+0,A28),tbl_Production[Job Number],0)))="",INDEX(tbl_Production[Qwilr Quote],IFERROR(MATCH(A28&amp;"",tbl_Production[Job Number],0),MATCH(IFERROR(A28+0,A28),tbl_Production[Job Number],0))),INDEX(tbl_Production[Current RMS No],IFERROR(MATCH(A28&amp;"",tbl_Production[Job Number],0),MATCH(IFERROR(A28+0,A28),tbl_Production[Job Number],0))))="","",IF(INDEX(tbl_Production[Current RMS No],IFERROR(MATCH(A28&amp;"",tbl_Production[Job Number],0),MATCH(IFERROR(A28+0,A28),tbl_Production[Job Number],0)))="",INDEX(tbl_Production[Qwilr Quote],IFERROR(MATCH(A28&amp;"",tbl_Production[Job Number],0),MATCH(IFERROR(A28+0,A28),tbl_Production[Job Number],0))),INDEX(tbl_Production[Current RMS No],IFERROR(MATCH(A28&amp;"",tbl_Production[Job Number],0),MATCH(IFERROR(A28+0,A28),tbl_Production[Job Number],0))))),IFERROR(IF(INDEX(tbl_Consulting[Qwilr Quote],IFERROR(MATCH(A28&amp;"",tbl_Consulting[Job Number],0),MATCH(IFERROR(A28+0,A28),tbl_Consulting[Job Number],0)))="","",INDEX(tbl_Consulting[Qwilr Quote],IFERROR(MATCH(A28&amp;"",tbl_Consulting[Job Number],0),MATCH(IFERROR(A28+0,A28),tbl_Consulting[Job Number],0)))),""))))</f>
        <v/>
      </c>
      <c r="AG28" s="26">
        <f>IF(AF28="","",IF(AND(LEFT(AF28,4)&lt;&gt;"http",IF(G28="Production",set_RMSBase,set_QwilrBase)=""),"",HYPERLINK(IF(LEFT(AF28,4)="http",AF28,IF(G28="Production",set_RMSBase,set_QwilrBase)&amp;AF28),"Open")))</f>
        <v/>
      </c>
      <c r="AH28" s="27">
        <f>IF(A28="","",IFERROR(INDEX(tbl_Production[Total Expense],IFERROR(MATCH(A28&amp;"",tbl_Production[Job Number],0),MATCH(IFERROR(A28+0,A28),tbl_Production[Job Number],0))),IFERROR(INDEX(tbl_Consulting[Total Expense],IFERROR(MATCH(A28&amp;"",tbl_Consulting[Job Number],0),MATCH(IFERROR(A28+0,A28),tbl_Consulting[Job Number],0))),0)))</f>
        <v/>
      </c>
      <c r="AI28" s="27">
        <f>IF(A28="","",AC28-N(AH28))</f>
        <v/>
      </c>
      <c r="AJ28" s="29">
        <f>IFERROR(AI28/AC28,"")</f>
        <v/>
      </c>
      <c r="AK28" s="26">
        <f>IF(A28="","",IFERROR(IF(INDEX(tbl_Onsite[Notes],IFERROR(MATCH(A28&amp;"",tbl_Onsite[Job Number],0),MATCH(IFERROR(A28+0,A28),tbl_Onsite[Job Number],0)))="","",INDEX(tbl_Onsite[Notes],IFERROR(MATCH(A28&amp;"",tbl_Onsite[Job Number],0),MATCH(IFERROR(A28+0,A28),tbl_Onsite[Job Number],0)))),IFERROR(IF(INDEX(tbl_Production[Notes],IFERROR(MATCH(A28&amp;"",tbl_Production[Job Number],0),MATCH(IFERROR(A28+0,A28),tbl_Production[Job Number],0)))="","",INDEX(tbl_Production[Notes],IFERROR(MATCH(A28&amp;"",tbl_Production[Job Number],0),MATCH(IFERROR(A28+0,A28),tbl_Production[Job Number],0)))),IFERROR(IF(INDEX(tbl_Consulting[Notes],IFERROR(MATCH(A28&amp;"",tbl_Consulting[Job Number],0),MATCH(IFERROR(A28+0,A28),tbl_Consulting[Job Number],0)))="","",INDEX(tbl_Consulting[Notes],IFERROR(MATCH(A28&amp;"",tbl_Consulting[Job Number],0),MATCH(IFERROR(A28+0,A28),tbl_Consulting[Job Number],0)))),""))))</f>
        <v/>
      </c>
    </row>
    <row r="29" ht="15" customHeight="1">
      <c r="A29" s="22" t="n"/>
      <c r="B29" s="22" t="n"/>
      <c r="C29" s="23" t="n"/>
      <c r="D29" s="22" t="n"/>
      <c r="E29" s="24" t="n"/>
      <c r="F29" s="25">
        <f>IF(C29="","",EOMONTH(C29,0))</f>
        <v/>
      </c>
      <c r="G29" s="26">
        <f>IF(A29="","",IF(COUNTIF(tbl_Onsite[Job Number],A29&amp;"")&gt;0,"Onsite",IF(COUNTIF(tbl_Production[Job Number],A29&amp;"")&gt;0,"Production",IF(COUNTIF(tbl_Consulting[Job Number],A29&amp;"")&gt;0,"Consulting","not set up yet"))))</f>
        <v/>
      </c>
      <c r="H29" s="26">
        <f>IF(A29="","",IF(COUNTIF(lst_Jobs,A29&amp;"")&gt;0,"OK","CHECK"))</f>
        <v/>
      </c>
      <c r="I29" s="26">
        <f>IF(A29="","",IFERROR(INDEX(lst_JobName,MATCH(A29&amp;"",lst_Jobs,0)),""))</f>
        <v/>
      </c>
      <c r="J29" s="26">
        <f>IF(A29="","",IFERROR(IF(INDEX(tbl_Onsite[Client],IFERROR(MATCH(A29&amp;"",tbl_Onsite[Job Number],0),MATCH(IFERROR(A29+0,A29),tbl_Onsite[Job Number],0)))="","",INDEX(tbl_Onsite[Client],IFERROR(MATCH(A29&amp;"",tbl_Onsite[Job Number],0),MATCH(IFERROR(A29+0,A29),tbl_Onsite[Job Number],0)))),IFERROR(IF(INDEX(tbl_Production[Client],IFERROR(MATCH(A29&amp;"",tbl_Production[Job Number],0),MATCH(IFERROR(A29+0,A29),tbl_Production[Job Number],0)))="","",INDEX(tbl_Production[Client],IFERROR(MATCH(A29&amp;"",tbl_Production[Job Number],0),MATCH(IFERROR(A29+0,A29),tbl_Production[Job Number],0)))),IFERROR(IF(INDEX(tbl_Consulting[Client],IFERROR(MATCH(A29&amp;"",tbl_Consulting[Job Number],0),MATCH(IFERROR(A29+0,A29),tbl_Consulting[Job Number],0)))="","",INDEX(tbl_Consulting[Client],IFERROR(MATCH(A29&amp;"",tbl_Consulting[Job Number],0),MATCH(IFERROR(A29+0,A29),tbl_Consulting[Job Number],0)))),""))))</f>
        <v/>
      </c>
      <c r="K29" s="26">
        <f>IF(A29="","",IFERROR(IF(INDEX(tbl_Onsite[Job Description],IFERROR(MATCH(A29&amp;"",tbl_Onsite[Job Number],0),MATCH(IFERROR(A29+0,A29),tbl_Onsite[Job Number],0)))="","",INDEX(tbl_Onsite[Job Description],IFERROR(MATCH(A29&amp;"",tbl_Onsite[Job Number],0),MATCH(IFERROR(A29+0,A29),tbl_Onsite[Job Number],0)))),IFERROR(IF(INDEX(tbl_Production[Job Description],IFERROR(MATCH(A29&amp;"",tbl_Production[Job Number],0),MATCH(IFERROR(A29+0,A29),tbl_Production[Job Number],0)))="","",INDEX(tbl_Production[Job Description],IFERROR(MATCH(A29&amp;"",tbl_Production[Job Number],0),MATCH(IFERROR(A29+0,A29),tbl_Production[Job Number],0)))),IFERROR(IF(INDEX(tbl_Consulting[Job Description],IFERROR(MATCH(A29&amp;"",tbl_Consulting[Job Number],0),MATCH(IFERROR(A29+0,A29),tbl_Consulting[Job Number],0)))="","",INDEX(tbl_Consulting[Job Description],IFERROR(MATCH(A29&amp;"",tbl_Consulting[Job Number],0),MATCH(IFERROR(A29+0,A29),tbl_Consulting[Job Number],0)))),""))))</f>
        <v/>
      </c>
      <c r="L29" s="26">
        <f>IF(A29="","",IFERROR(IF(INDEX(tbl_Onsite[Invoice Type],IFERROR(MATCH(A29&amp;"",tbl_Onsite[Job Number],0),MATCH(IFERROR(A29+0,A29),tbl_Onsite[Job Number],0)))="","",INDEX(tbl_Onsite[Invoice Type],IFERROR(MATCH(A29&amp;"",tbl_Onsite[Job Number],0),MATCH(IFERROR(A29+0,A29),tbl_Onsite[Job Number],0)))),IFERROR(IF(INDEX(tbl_Production[Invoice Type],IFERROR(MATCH(A29&amp;"",tbl_Production[Job Number],0),MATCH(IFERROR(A29+0,A29),tbl_Production[Job Number],0)))="","",INDEX(tbl_Production[Invoice Type],IFERROR(MATCH(A29&amp;"",tbl_Production[Job Number],0),MATCH(IFERROR(A29+0,A29),tbl_Production[Job Number],0)))),IFERROR(IF(INDEX(tbl_Consulting[Invoice Type],IFERROR(MATCH(A29&amp;"",tbl_Consulting[Job Number],0),MATCH(IFERROR(A29+0,A29),tbl_Consulting[Job Number],0)))="","",INDEX(tbl_Consulting[Invoice Type],IFERROR(MATCH(A29&amp;"",tbl_Consulting[Job Number],0),MATCH(IFERROR(A29+0,A29),tbl_Consulting[Job Number],0)))),""))))</f>
        <v/>
      </c>
      <c r="M29" s="26">
        <f>IF(A29="","",IF(IFERROR(IF(INDEX(tbl_Onsite[Tax Code],IFERROR(MATCH(A29&amp;"",tbl_Onsite[Job Number],0),MATCH(IFERROR(A29+0,A29),tbl_Onsite[Job Number],0)))="","",INDEX(tbl_Onsite[Tax Code],IFERROR(MATCH(A29&amp;"",tbl_Onsite[Job Number],0),MATCH(IFERROR(A29+0,A29),tbl_Onsite[Job Number],0)))),IFERROR(IF(INDEX(tbl_Production[Tax Code],IFERROR(MATCH(A29&amp;"",tbl_Production[Job Number],0),MATCH(IFERROR(A29+0,A29),tbl_Production[Job Number],0)))="","",INDEX(tbl_Production[Tax Code],IFERROR(MATCH(A29&amp;"",tbl_Production[Job Number],0),MATCH(IFERROR(A29+0,A29),tbl_Production[Job Number],0)))),IFERROR(IF(INDEX(tbl_Consulting[Tax Code],IFERROR(MATCH(A29&amp;"",tbl_Consulting[Job Number],0),MATCH(IFERROR(A29+0,A29),tbl_Consulting[Job Number],0)))="","",INDEX(tbl_Consulting[Tax Code],IFERROR(MATCH(A29&amp;"",tbl_Consulting[Job Number],0),MATCH(IFERROR(A29+0,A29),tbl_Consulting[Job Number],0)))),"")))="","GST 10%",IFERROR(IF(INDEX(tbl_Onsite[Tax Code],IFERROR(MATCH(A29&amp;"",tbl_Onsite[Job Number],0),MATCH(IFERROR(A29+0,A29),tbl_Onsite[Job Number],0)))="","",INDEX(tbl_Onsite[Tax Code],IFERROR(MATCH(A29&amp;"",tbl_Onsite[Job Number],0),MATCH(IFERROR(A29+0,A29),tbl_Onsite[Job Number],0)))),IFERROR(IF(INDEX(tbl_Production[Tax Code],IFERROR(MATCH(A29&amp;"",tbl_Production[Job Number],0),MATCH(IFERROR(A29+0,A29),tbl_Production[Job Number],0)))="","",INDEX(tbl_Production[Tax Code],IFERROR(MATCH(A29&amp;"",tbl_Production[Job Number],0),MATCH(IFERROR(A29+0,A29),tbl_Production[Job Number],0)))),IFERROR(IF(INDEX(tbl_Consulting[Tax Code],IFERROR(MATCH(A29&amp;"",tbl_Consulting[Job Number],0),MATCH(IFERROR(A29+0,A29),tbl_Consulting[Job Number],0)))="","",INDEX(tbl_Consulting[Tax Code],IFERROR(MATCH(A29&amp;"",tbl_Consulting[Job Number],0),MATCH(IFERROR(A29+0,A29),tbl_Consulting[Job Number],0)))),"")))))</f>
        <v/>
      </c>
      <c r="N29" s="26">
        <f>IF(D29="","",IFERROR(INDEX(lst_CCtoGL,MATCH(D29,lst_CCforGL,0)),""))</f>
        <v/>
      </c>
      <c r="O29" s="27">
        <f>IF(E29="","",IF(M29="GST 10%",ROUND(E29*set_GSTRate,2),0))</f>
        <v/>
      </c>
      <c r="P29" s="27">
        <f>IF(E29="","",E29+O29)</f>
        <v/>
      </c>
      <c r="Q29" s="27">
        <f>IF(A29="","",IFERROR(INDEX(tbl_Onsite[Expected Revenue Ex GST],IFERROR(MATCH(A29&amp;"",tbl_Onsite[Job Number],0),MATCH(IFERROR(A29+0,A29),tbl_Onsite[Job Number],0))),IFERROR(INDEX(tbl_Production[Expected Revenue Ex GST],IFERROR(MATCH(A29&amp;"",tbl_Production[Job Number],0),MATCH(IFERROR(A29+0,A29),tbl_Production[Job Number],0))),IFERROR(INDEX(tbl_Consulting[Expected Revenue Ex GST],IFERROR(MATCH(A29&amp;"",tbl_Consulting[Job Number],0),MATCH(IFERROR(A29+0,A29),tbl_Consulting[Job Number],0))),0))))</f>
        <v/>
      </c>
      <c r="R29" s="27">
        <f>IF(A29="","",SUMIFS(tbl_Finance[Ex GST],tbl_Finance[Job Number],A29&amp;""))</f>
        <v/>
      </c>
      <c r="S29" s="27">
        <f>IF(A29="","",Q29-R29)</f>
        <v/>
      </c>
      <c r="T29" s="26">
        <f>IF(A29="","",IF(Q29=0,"No dept value",IF(ROUND(S29,2)=0,"Agrees",IF(S29&gt;0,"Dept higher - to invoice","Xero higher - check dept"))))</f>
        <v/>
      </c>
      <c r="U29" s="22" t="n"/>
      <c r="V29" s="22" t="n"/>
      <c r="W29" s="23" t="n"/>
      <c r="X29" s="23" t="n"/>
      <c r="Y29" s="22" t="n"/>
      <c r="Z29" s="22" t="n"/>
      <c r="AA29" s="26">
        <f>IF(COUNTA(C29,A29,B29,E29)=0,"",IF(C29="","No date - sits outside every month",IF(A29="","No job number",IF(H29="CHECK","Job number is not in the Xero job list",IF(G29="not set up yet","No department has set this job up - nothing can pull through",IF(D29="","No cost centre",IF(AND(U29="Y",B29=""),"Marked posted to Xero but has no invoice number",IF(N29="","Cost centre has no revenue GL on the Lists sheet",IF(T29="Xero higher - check dept","Invoiced more than the department says the job is worth","")))))))))</f>
        <v/>
      </c>
      <c r="AB29" s="28">
        <f>IF(A29="","",COUNTIFS(tbl_Finance[Job Number],A29&amp;"",tbl_Finance[Ex GST],"&lt;&gt;"))</f>
        <v/>
      </c>
      <c r="AC29" s="27">
        <f>IF(A29="","",SUMIFS(tbl_Finance[Ex GST],tbl_Finance[Job Number],A29&amp;""))</f>
        <v/>
      </c>
      <c r="AD29" s="27">
        <f>IF(A29="","",SUMIFS(tbl_Finance[Ex GST],tbl_Finance[Job Number],A29&amp;"",tbl_Finance[Xero Invoice No],"&lt;&gt;"))</f>
        <v/>
      </c>
      <c r="AE29" s="27">
        <f>IF(A29="","",AC29-AD29)</f>
        <v/>
      </c>
      <c r="AF29" s="26">
        <f>IF(A29="","",IFERROR(IF(INDEX(tbl_Onsite[Qwilr Quote],IFERROR(MATCH(A29&amp;"",tbl_Onsite[Job Number],0),MATCH(IFERROR(A29+0,A29),tbl_Onsite[Job Number],0)))="","",INDEX(tbl_Onsite[Qwilr Quote],IFERROR(MATCH(A29&amp;"",tbl_Onsite[Job Number],0),MATCH(IFERROR(A29+0,A29),tbl_Onsite[Job Number],0)))),IFERROR(IF(IF(INDEX(tbl_Production[Current RMS No],IFERROR(MATCH(A29&amp;"",tbl_Production[Job Number],0),MATCH(IFERROR(A29+0,A29),tbl_Production[Job Number],0)))="",INDEX(tbl_Production[Qwilr Quote],IFERROR(MATCH(A29&amp;"",tbl_Production[Job Number],0),MATCH(IFERROR(A29+0,A29),tbl_Production[Job Number],0))),INDEX(tbl_Production[Current RMS No],IFERROR(MATCH(A29&amp;"",tbl_Production[Job Number],0),MATCH(IFERROR(A29+0,A29),tbl_Production[Job Number],0))))="","",IF(INDEX(tbl_Production[Current RMS No],IFERROR(MATCH(A29&amp;"",tbl_Production[Job Number],0),MATCH(IFERROR(A29+0,A29),tbl_Production[Job Number],0)))="",INDEX(tbl_Production[Qwilr Quote],IFERROR(MATCH(A29&amp;"",tbl_Production[Job Number],0),MATCH(IFERROR(A29+0,A29),tbl_Production[Job Number],0))),INDEX(tbl_Production[Current RMS No],IFERROR(MATCH(A29&amp;"",tbl_Production[Job Number],0),MATCH(IFERROR(A29+0,A29),tbl_Production[Job Number],0))))),IFERROR(IF(INDEX(tbl_Consulting[Qwilr Quote],IFERROR(MATCH(A29&amp;"",tbl_Consulting[Job Number],0),MATCH(IFERROR(A29+0,A29),tbl_Consulting[Job Number],0)))="","",INDEX(tbl_Consulting[Qwilr Quote],IFERROR(MATCH(A29&amp;"",tbl_Consulting[Job Number],0),MATCH(IFERROR(A29+0,A29),tbl_Consulting[Job Number],0)))),""))))</f>
        <v/>
      </c>
      <c r="AG29" s="26">
        <f>IF(AF29="","",IF(AND(LEFT(AF29,4)&lt;&gt;"http",IF(G29="Production",set_RMSBase,set_QwilrBase)=""),"",HYPERLINK(IF(LEFT(AF29,4)="http",AF29,IF(G29="Production",set_RMSBase,set_QwilrBase)&amp;AF29),"Open")))</f>
        <v/>
      </c>
      <c r="AH29" s="27">
        <f>IF(A29="","",IFERROR(INDEX(tbl_Production[Total Expense],IFERROR(MATCH(A29&amp;"",tbl_Production[Job Number],0),MATCH(IFERROR(A29+0,A29),tbl_Production[Job Number],0))),IFERROR(INDEX(tbl_Consulting[Total Expense],IFERROR(MATCH(A29&amp;"",tbl_Consulting[Job Number],0),MATCH(IFERROR(A29+0,A29),tbl_Consulting[Job Number],0))),0)))</f>
        <v/>
      </c>
      <c r="AI29" s="27">
        <f>IF(A29="","",AC29-N(AH29))</f>
        <v/>
      </c>
      <c r="AJ29" s="29">
        <f>IFERROR(AI29/AC29,"")</f>
        <v/>
      </c>
      <c r="AK29" s="26">
        <f>IF(A29="","",IFERROR(IF(INDEX(tbl_Onsite[Notes],IFERROR(MATCH(A29&amp;"",tbl_Onsite[Job Number],0),MATCH(IFERROR(A29+0,A29),tbl_Onsite[Job Number],0)))="","",INDEX(tbl_Onsite[Notes],IFERROR(MATCH(A29&amp;"",tbl_Onsite[Job Number],0),MATCH(IFERROR(A29+0,A29),tbl_Onsite[Job Number],0)))),IFERROR(IF(INDEX(tbl_Production[Notes],IFERROR(MATCH(A29&amp;"",tbl_Production[Job Number],0),MATCH(IFERROR(A29+0,A29),tbl_Production[Job Number],0)))="","",INDEX(tbl_Production[Notes],IFERROR(MATCH(A29&amp;"",tbl_Production[Job Number],0),MATCH(IFERROR(A29+0,A29),tbl_Production[Job Number],0)))),IFERROR(IF(INDEX(tbl_Consulting[Notes],IFERROR(MATCH(A29&amp;"",tbl_Consulting[Job Number],0),MATCH(IFERROR(A29+0,A29),tbl_Consulting[Job Number],0)))="","",INDEX(tbl_Consulting[Notes],IFERROR(MATCH(A29&amp;"",tbl_Consulting[Job Number],0),MATCH(IFERROR(A29+0,A29),tbl_Consulting[Job Number],0)))),""))))</f>
        <v/>
      </c>
    </row>
    <row r="30" ht="15" customHeight="1">
      <c r="A30" s="22" t="n"/>
      <c r="B30" s="22" t="n"/>
      <c r="C30" s="23" t="n"/>
      <c r="D30" s="22" t="n"/>
      <c r="E30" s="24" t="n"/>
      <c r="F30" s="25">
        <f>IF(C30="","",EOMONTH(C30,0))</f>
        <v/>
      </c>
      <c r="G30" s="26">
        <f>IF(A30="","",IF(COUNTIF(tbl_Onsite[Job Number],A30&amp;"")&gt;0,"Onsite",IF(COUNTIF(tbl_Production[Job Number],A30&amp;"")&gt;0,"Production",IF(COUNTIF(tbl_Consulting[Job Number],A30&amp;"")&gt;0,"Consulting","not set up yet"))))</f>
        <v/>
      </c>
      <c r="H30" s="26">
        <f>IF(A30="","",IF(COUNTIF(lst_Jobs,A30&amp;"")&gt;0,"OK","CHECK"))</f>
        <v/>
      </c>
      <c r="I30" s="26">
        <f>IF(A30="","",IFERROR(INDEX(lst_JobName,MATCH(A30&amp;"",lst_Jobs,0)),""))</f>
        <v/>
      </c>
      <c r="J30" s="26">
        <f>IF(A30="","",IFERROR(IF(INDEX(tbl_Onsite[Client],IFERROR(MATCH(A30&amp;"",tbl_Onsite[Job Number],0),MATCH(IFERROR(A30+0,A30),tbl_Onsite[Job Number],0)))="","",INDEX(tbl_Onsite[Client],IFERROR(MATCH(A30&amp;"",tbl_Onsite[Job Number],0),MATCH(IFERROR(A30+0,A30),tbl_Onsite[Job Number],0)))),IFERROR(IF(INDEX(tbl_Production[Client],IFERROR(MATCH(A30&amp;"",tbl_Production[Job Number],0),MATCH(IFERROR(A30+0,A30),tbl_Production[Job Number],0)))="","",INDEX(tbl_Production[Client],IFERROR(MATCH(A30&amp;"",tbl_Production[Job Number],0),MATCH(IFERROR(A30+0,A30),tbl_Production[Job Number],0)))),IFERROR(IF(INDEX(tbl_Consulting[Client],IFERROR(MATCH(A30&amp;"",tbl_Consulting[Job Number],0),MATCH(IFERROR(A30+0,A30),tbl_Consulting[Job Number],0)))="","",INDEX(tbl_Consulting[Client],IFERROR(MATCH(A30&amp;"",tbl_Consulting[Job Number],0),MATCH(IFERROR(A30+0,A30),tbl_Consulting[Job Number],0)))),""))))</f>
        <v/>
      </c>
      <c r="K30" s="26">
        <f>IF(A30="","",IFERROR(IF(INDEX(tbl_Onsite[Job Description],IFERROR(MATCH(A30&amp;"",tbl_Onsite[Job Number],0),MATCH(IFERROR(A30+0,A30),tbl_Onsite[Job Number],0)))="","",INDEX(tbl_Onsite[Job Description],IFERROR(MATCH(A30&amp;"",tbl_Onsite[Job Number],0),MATCH(IFERROR(A30+0,A30),tbl_Onsite[Job Number],0)))),IFERROR(IF(INDEX(tbl_Production[Job Description],IFERROR(MATCH(A30&amp;"",tbl_Production[Job Number],0),MATCH(IFERROR(A30+0,A30),tbl_Production[Job Number],0)))="","",INDEX(tbl_Production[Job Description],IFERROR(MATCH(A30&amp;"",tbl_Production[Job Number],0),MATCH(IFERROR(A30+0,A30),tbl_Production[Job Number],0)))),IFERROR(IF(INDEX(tbl_Consulting[Job Description],IFERROR(MATCH(A30&amp;"",tbl_Consulting[Job Number],0),MATCH(IFERROR(A30+0,A30),tbl_Consulting[Job Number],0)))="","",INDEX(tbl_Consulting[Job Description],IFERROR(MATCH(A30&amp;"",tbl_Consulting[Job Number],0),MATCH(IFERROR(A30+0,A30),tbl_Consulting[Job Number],0)))),""))))</f>
        <v/>
      </c>
      <c r="L30" s="26">
        <f>IF(A30="","",IFERROR(IF(INDEX(tbl_Onsite[Invoice Type],IFERROR(MATCH(A30&amp;"",tbl_Onsite[Job Number],0),MATCH(IFERROR(A30+0,A30),tbl_Onsite[Job Number],0)))="","",INDEX(tbl_Onsite[Invoice Type],IFERROR(MATCH(A30&amp;"",tbl_Onsite[Job Number],0),MATCH(IFERROR(A30+0,A30),tbl_Onsite[Job Number],0)))),IFERROR(IF(INDEX(tbl_Production[Invoice Type],IFERROR(MATCH(A30&amp;"",tbl_Production[Job Number],0),MATCH(IFERROR(A30+0,A30),tbl_Production[Job Number],0)))="","",INDEX(tbl_Production[Invoice Type],IFERROR(MATCH(A30&amp;"",tbl_Production[Job Number],0),MATCH(IFERROR(A30+0,A30),tbl_Production[Job Number],0)))),IFERROR(IF(INDEX(tbl_Consulting[Invoice Type],IFERROR(MATCH(A30&amp;"",tbl_Consulting[Job Number],0),MATCH(IFERROR(A30+0,A30),tbl_Consulting[Job Number],0)))="","",INDEX(tbl_Consulting[Invoice Type],IFERROR(MATCH(A30&amp;"",tbl_Consulting[Job Number],0),MATCH(IFERROR(A30+0,A30),tbl_Consulting[Job Number],0)))),""))))</f>
        <v/>
      </c>
      <c r="M30" s="26">
        <f>IF(A30="","",IF(IFERROR(IF(INDEX(tbl_Onsite[Tax Code],IFERROR(MATCH(A30&amp;"",tbl_Onsite[Job Number],0),MATCH(IFERROR(A30+0,A30),tbl_Onsite[Job Number],0)))="","",INDEX(tbl_Onsite[Tax Code],IFERROR(MATCH(A30&amp;"",tbl_Onsite[Job Number],0),MATCH(IFERROR(A30+0,A30),tbl_Onsite[Job Number],0)))),IFERROR(IF(INDEX(tbl_Production[Tax Code],IFERROR(MATCH(A30&amp;"",tbl_Production[Job Number],0),MATCH(IFERROR(A30+0,A30),tbl_Production[Job Number],0)))="","",INDEX(tbl_Production[Tax Code],IFERROR(MATCH(A30&amp;"",tbl_Production[Job Number],0),MATCH(IFERROR(A30+0,A30),tbl_Production[Job Number],0)))),IFERROR(IF(INDEX(tbl_Consulting[Tax Code],IFERROR(MATCH(A30&amp;"",tbl_Consulting[Job Number],0),MATCH(IFERROR(A30+0,A30),tbl_Consulting[Job Number],0)))="","",INDEX(tbl_Consulting[Tax Code],IFERROR(MATCH(A30&amp;"",tbl_Consulting[Job Number],0),MATCH(IFERROR(A30+0,A30),tbl_Consulting[Job Number],0)))),"")))="","GST 10%",IFERROR(IF(INDEX(tbl_Onsite[Tax Code],IFERROR(MATCH(A30&amp;"",tbl_Onsite[Job Number],0),MATCH(IFERROR(A30+0,A30),tbl_Onsite[Job Number],0)))="","",INDEX(tbl_Onsite[Tax Code],IFERROR(MATCH(A30&amp;"",tbl_Onsite[Job Number],0),MATCH(IFERROR(A30+0,A30),tbl_Onsite[Job Number],0)))),IFERROR(IF(INDEX(tbl_Production[Tax Code],IFERROR(MATCH(A30&amp;"",tbl_Production[Job Number],0),MATCH(IFERROR(A30+0,A30),tbl_Production[Job Number],0)))="","",INDEX(tbl_Production[Tax Code],IFERROR(MATCH(A30&amp;"",tbl_Production[Job Number],0),MATCH(IFERROR(A30+0,A30),tbl_Production[Job Number],0)))),IFERROR(IF(INDEX(tbl_Consulting[Tax Code],IFERROR(MATCH(A30&amp;"",tbl_Consulting[Job Number],0),MATCH(IFERROR(A30+0,A30),tbl_Consulting[Job Number],0)))="","",INDEX(tbl_Consulting[Tax Code],IFERROR(MATCH(A30&amp;"",tbl_Consulting[Job Number],0),MATCH(IFERROR(A30+0,A30),tbl_Consulting[Job Number],0)))),"")))))</f>
        <v/>
      </c>
      <c r="N30" s="26">
        <f>IF(D30="","",IFERROR(INDEX(lst_CCtoGL,MATCH(D30,lst_CCforGL,0)),""))</f>
        <v/>
      </c>
      <c r="O30" s="27">
        <f>IF(E30="","",IF(M30="GST 10%",ROUND(E30*set_GSTRate,2),0))</f>
        <v/>
      </c>
      <c r="P30" s="27">
        <f>IF(E30="","",E30+O30)</f>
        <v/>
      </c>
      <c r="Q30" s="27">
        <f>IF(A30="","",IFERROR(INDEX(tbl_Onsite[Expected Revenue Ex GST],IFERROR(MATCH(A30&amp;"",tbl_Onsite[Job Number],0),MATCH(IFERROR(A30+0,A30),tbl_Onsite[Job Number],0))),IFERROR(INDEX(tbl_Production[Expected Revenue Ex GST],IFERROR(MATCH(A30&amp;"",tbl_Production[Job Number],0),MATCH(IFERROR(A30+0,A30),tbl_Production[Job Number],0))),IFERROR(INDEX(tbl_Consulting[Expected Revenue Ex GST],IFERROR(MATCH(A30&amp;"",tbl_Consulting[Job Number],0),MATCH(IFERROR(A30+0,A30),tbl_Consulting[Job Number],0))),0))))</f>
        <v/>
      </c>
      <c r="R30" s="27">
        <f>IF(A30="","",SUMIFS(tbl_Finance[Ex GST],tbl_Finance[Job Number],A30&amp;""))</f>
        <v/>
      </c>
      <c r="S30" s="27">
        <f>IF(A30="","",Q30-R30)</f>
        <v/>
      </c>
      <c r="T30" s="26">
        <f>IF(A30="","",IF(Q30=0,"No dept value",IF(ROUND(S30,2)=0,"Agrees",IF(S30&gt;0,"Dept higher - to invoice","Xero higher - check dept"))))</f>
        <v/>
      </c>
      <c r="U30" s="22" t="n"/>
      <c r="V30" s="22" t="n"/>
      <c r="W30" s="23" t="n"/>
      <c r="X30" s="23" t="n"/>
      <c r="Y30" s="22" t="n"/>
      <c r="Z30" s="22" t="n"/>
      <c r="AA30" s="26">
        <f>IF(COUNTA(C30,A30,B30,E30)=0,"",IF(C30="","No date - sits outside every month",IF(A30="","No job number",IF(H30="CHECK","Job number is not in the Xero job list",IF(G30="not set up yet","No department has set this job up - nothing can pull through",IF(D30="","No cost centre",IF(AND(U30="Y",B30=""),"Marked posted to Xero but has no invoice number",IF(N30="","Cost centre has no revenue GL on the Lists sheet",IF(T30="Xero higher - check dept","Invoiced more than the department says the job is worth","")))))))))</f>
        <v/>
      </c>
      <c r="AB30" s="28">
        <f>IF(A30="","",COUNTIFS(tbl_Finance[Job Number],A30&amp;"",tbl_Finance[Ex GST],"&lt;&gt;"))</f>
        <v/>
      </c>
      <c r="AC30" s="27">
        <f>IF(A30="","",SUMIFS(tbl_Finance[Ex GST],tbl_Finance[Job Number],A30&amp;""))</f>
        <v/>
      </c>
      <c r="AD30" s="27">
        <f>IF(A30="","",SUMIFS(tbl_Finance[Ex GST],tbl_Finance[Job Number],A30&amp;"",tbl_Finance[Xero Invoice No],"&lt;&gt;"))</f>
        <v/>
      </c>
      <c r="AE30" s="27">
        <f>IF(A30="","",AC30-AD30)</f>
        <v/>
      </c>
      <c r="AF30" s="26">
        <f>IF(A30="","",IFERROR(IF(INDEX(tbl_Onsite[Qwilr Quote],IFERROR(MATCH(A30&amp;"",tbl_Onsite[Job Number],0),MATCH(IFERROR(A30+0,A30),tbl_Onsite[Job Number],0)))="","",INDEX(tbl_Onsite[Qwilr Quote],IFERROR(MATCH(A30&amp;"",tbl_Onsite[Job Number],0),MATCH(IFERROR(A30+0,A30),tbl_Onsite[Job Number],0)))),IFERROR(IF(IF(INDEX(tbl_Production[Current RMS No],IFERROR(MATCH(A30&amp;"",tbl_Production[Job Number],0),MATCH(IFERROR(A30+0,A30),tbl_Production[Job Number],0)))="",INDEX(tbl_Production[Qwilr Quote],IFERROR(MATCH(A30&amp;"",tbl_Production[Job Number],0),MATCH(IFERROR(A30+0,A30),tbl_Production[Job Number],0))),INDEX(tbl_Production[Current RMS No],IFERROR(MATCH(A30&amp;"",tbl_Production[Job Number],0),MATCH(IFERROR(A30+0,A30),tbl_Production[Job Number],0))))="","",IF(INDEX(tbl_Production[Current RMS No],IFERROR(MATCH(A30&amp;"",tbl_Production[Job Number],0),MATCH(IFERROR(A30+0,A30),tbl_Production[Job Number],0)))="",INDEX(tbl_Production[Qwilr Quote],IFERROR(MATCH(A30&amp;"",tbl_Production[Job Number],0),MATCH(IFERROR(A30+0,A30),tbl_Production[Job Number],0))),INDEX(tbl_Production[Current RMS No],IFERROR(MATCH(A30&amp;"",tbl_Production[Job Number],0),MATCH(IFERROR(A30+0,A30),tbl_Production[Job Number],0))))),IFERROR(IF(INDEX(tbl_Consulting[Qwilr Quote],IFERROR(MATCH(A30&amp;"",tbl_Consulting[Job Number],0),MATCH(IFERROR(A30+0,A30),tbl_Consulting[Job Number],0)))="","",INDEX(tbl_Consulting[Qwilr Quote],IFERROR(MATCH(A30&amp;"",tbl_Consulting[Job Number],0),MATCH(IFERROR(A30+0,A30),tbl_Consulting[Job Number],0)))),""))))</f>
        <v/>
      </c>
      <c r="AG30" s="26">
        <f>IF(AF30="","",IF(AND(LEFT(AF30,4)&lt;&gt;"http",IF(G30="Production",set_RMSBase,set_QwilrBase)=""),"",HYPERLINK(IF(LEFT(AF30,4)="http",AF30,IF(G30="Production",set_RMSBase,set_QwilrBase)&amp;AF30),"Open")))</f>
        <v/>
      </c>
      <c r="AH30" s="27">
        <f>IF(A30="","",IFERROR(INDEX(tbl_Production[Total Expense],IFERROR(MATCH(A30&amp;"",tbl_Production[Job Number],0),MATCH(IFERROR(A30+0,A30),tbl_Production[Job Number],0))),IFERROR(INDEX(tbl_Consulting[Total Expense],IFERROR(MATCH(A30&amp;"",tbl_Consulting[Job Number],0),MATCH(IFERROR(A30+0,A30),tbl_Consulting[Job Number],0))),0)))</f>
        <v/>
      </c>
      <c r="AI30" s="27">
        <f>IF(A30="","",AC30-N(AH30))</f>
        <v/>
      </c>
      <c r="AJ30" s="29">
        <f>IFERROR(AI30/AC30,"")</f>
        <v/>
      </c>
      <c r="AK30" s="26">
        <f>IF(A30="","",IFERROR(IF(INDEX(tbl_Onsite[Notes],IFERROR(MATCH(A30&amp;"",tbl_Onsite[Job Number],0),MATCH(IFERROR(A30+0,A30),tbl_Onsite[Job Number],0)))="","",INDEX(tbl_Onsite[Notes],IFERROR(MATCH(A30&amp;"",tbl_Onsite[Job Number],0),MATCH(IFERROR(A30+0,A30),tbl_Onsite[Job Number],0)))),IFERROR(IF(INDEX(tbl_Production[Notes],IFERROR(MATCH(A30&amp;"",tbl_Production[Job Number],0),MATCH(IFERROR(A30+0,A30),tbl_Production[Job Number],0)))="","",INDEX(tbl_Production[Notes],IFERROR(MATCH(A30&amp;"",tbl_Production[Job Number],0),MATCH(IFERROR(A30+0,A30),tbl_Production[Job Number],0)))),IFERROR(IF(INDEX(tbl_Consulting[Notes],IFERROR(MATCH(A30&amp;"",tbl_Consulting[Job Number],0),MATCH(IFERROR(A30+0,A30),tbl_Consulting[Job Number],0)))="","",INDEX(tbl_Consulting[Notes],IFERROR(MATCH(A30&amp;"",tbl_Consulting[Job Number],0),MATCH(IFERROR(A30+0,A30),tbl_Consulting[Job Number],0)))),""))))</f>
        <v/>
      </c>
    </row>
    <row r="31" ht="15" customHeight="1">
      <c r="A31" s="22" t="n"/>
      <c r="B31" s="22" t="n"/>
      <c r="C31" s="23" t="n"/>
      <c r="D31" s="22" t="n"/>
      <c r="E31" s="24" t="n"/>
      <c r="F31" s="25">
        <f>IF(C31="","",EOMONTH(C31,0))</f>
        <v/>
      </c>
      <c r="G31" s="26">
        <f>IF(A31="","",IF(COUNTIF(tbl_Onsite[Job Number],A31&amp;"")&gt;0,"Onsite",IF(COUNTIF(tbl_Production[Job Number],A31&amp;"")&gt;0,"Production",IF(COUNTIF(tbl_Consulting[Job Number],A31&amp;"")&gt;0,"Consulting","not set up yet"))))</f>
        <v/>
      </c>
      <c r="H31" s="26">
        <f>IF(A31="","",IF(COUNTIF(lst_Jobs,A31&amp;"")&gt;0,"OK","CHECK"))</f>
        <v/>
      </c>
      <c r="I31" s="26">
        <f>IF(A31="","",IFERROR(INDEX(lst_JobName,MATCH(A31&amp;"",lst_Jobs,0)),""))</f>
        <v/>
      </c>
      <c r="J31" s="26">
        <f>IF(A31="","",IFERROR(IF(INDEX(tbl_Onsite[Client],IFERROR(MATCH(A31&amp;"",tbl_Onsite[Job Number],0),MATCH(IFERROR(A31+0,A31),tbl_Onsite[Job Number],0)))="","",INDEX(tbl_Onsite[Client],IFERROR(MATCH(A31&amp;"",tbl_Onsite[Job Number],0),MATCH(IFERROR(A31+0,A31),tbl_Onsite[Job Number],0)))),IFERROR(IF(INDEX(tbl_Production[Client],IFERROR(MATCH(A31&amp;"",tbl_Production[Job Number],0),MATCH(IFERROR(A31+0,A31),tbl_Production[Job Number],0)))="","",INDEX(tbl_Production[Client],IFERROR(MATCH(A31&amp;"",tbl_Production[Job Number],0),MATCH(IFERROR(A31+0,A31),tbl_Production[Job Number],0)))),IFERROR(IF(INDEX(tbl_Consulting[Client],IFERROR(MATCH(A31&amp;"",tbl_Consulting[Job Number],0),MATCH(IFERROR(A31+0,A31),tbl_Consulting[Job Number],0)))="","",INDEX(tbl_Consulting[Client],IFERROR(MATCH(A31&amp;"",tbl_Consulting[Job Number],0),MATCH(IFERROR(A31+0,A31),tbl_Consulting[Job Number],0)))),""))))</f>
        <v/>
      </c>
      <c r="K31" s="26">
        <f>IF(A31="","",IFERROR(IF(INDEX(tbl_Onsite[Job Description],IFERROR(MATCH(A31&amp;"",tbl_Onsite[Job Number],0),MATCH(IFERROR(A31+0,A31),tbl_Onsite[Job Number],0)))="","",INDEX(tbl_Onsite[Job Description],IFERROR(MATCH(A31&amp;"",tbl_Onsite[Job Number],0),MATCH(IFERROR(A31+0,A31),tbl_Onsite[Job Number],0)))),IFERROR(IF(INDEX(tbl_Production[Job Description],IFERROR(MATCH(A31&amp;"",tbl_Production[Job Number],0),MATCH(IFERROR(A31+0,A31),tbl_Production[Job Number],0)))="","",INDEX(tbl_Production[Job Description],IFERROR(MATCH(A31&amp;"",tbl_Production[Job Number],0),MATCH(IFERROR(A31+0,A31),tbl_Production[Job Number],0)))),IFERROR(IF(INDEX(tbl_Consulting[Job Description],IFERROR(MATCH(A31&amp;"",tbl_Consulting[Job Number],0),MATCH(IFERROR(A31+0,A31),tbl_Consulting[Job Number],0)))="","",INDEX(tbl_Consulting[Job Description],IFERROR(MATCH(A31&amp;"",tbl_Consulting[Job Number],0),MATCH(IFERROR(A31+0,A31),tbl_Consulting[Job Number],0)))),""))))</f>
        <v/>
      </c>
      <c r="L31" s="26">
        <f>IF(A31="","",IFERROR(IF(INDEX(tbl_Onsite[Invoice Type],IFERROR(MATCH(A31&amp;"",tbl_Onsite[Job Number],0),MATCH(IFERROR(A31+0,A31),tbl_Onsite[Job Number],0)))="","",INDEX(tbl_Onsite[Invoice Type],IFERROR(MATCH(A31&amp;"",tbl_Onsite[Job Number],0),MATCH(IFERROR(A31+0,A31),tbl_Onsite[Job Number],0)))),IFERROR(IF(INDEX(tbl_Production[Invoice Type],IFERROR(MATCH(A31&amp;"",tbl_Production[Job Number],0),MATCH(IFERROR(A31+0,A31),tbl_Production[Job Number],0)))="","",INDEX(tbl_Production[Invoice Type],IFERROR(MATCH(A31&amp;"",tbl_Production[Job Number],0),MATCH(IFERROR(A31+0,A31),tbl_Production[Job Number],0)))),IFERROR(IF(INDEX(tbl_Consulting[Invoice Type],IFERROR(MATCH(A31&amp;"",tbl_Consulting[Job Number],0),MATCH(IFERROR(A31+0,A31),tbl_Consulting[Job Number],0)))="","",INDEX(tbl_Consulting[Invoice Type],IFERROR(MATCH(A31&amp;"",tbl_Consulting[Job Number],0),MATCH(IFERROR(A31+0,A31),tbl_Consulting[Job Number],0)))),""))))</f>
        <v/>
      </c>
      <c r="M31" s="26">
        <f>IF(A31="","",IF(IFERROR(IF(INDEX(tbl_Onsite[Tax Code],IFERROR(MATCH(A31&amp;"",tbl_Onsite[Job Number],0),MATCH(IFERROR(A31+0,A31),tbl_Onsite[Job Number],0)))="","",INDEX(tbl_Onsite[Tax Code],IFERROR(MATCH(A31&amp;"",tbl_Onsite[Job Number],0),MATCH(IFERROR(A31+0,A31),tbl_Onsite[Job Number],0)))),IFERROR(IF(INDEX(tbl_Production[Tax Code],IFERROR(MATCH(A31&amp;"",tbl_Production[Job Number],0),MATCH(IFERROR(A31+0,A31),tbl_Production[Job Number],0)))="","",INDEX(tbl_Production[Tax Code],IFERROR(MATCH(A31&amp;"",tbl_Production[Job Number],0),MATCH(IFERROR(A31+0,A31),tbl_Production[Job Number],0)))),IFERROR(IF(INDEX(tbl_Consulting[Tax Code],IFERROR(MATCH(A31&amp;"",tbl_Consulting[Job Number],0),MATCH(IFERROR(A31+0,A31),tbl_Consulting[Job Number],0)))="","",INDEX(tbl_Consulting[Tax Code],IFERROR(MATCH(A31&amp;"",tbl_Consulting[Job Number],0),MATCH(IFERROR(A31+0,A31),tbl_Consulting[Job Number],0)))),"")))="","GST 10%",IFERROR(IF(INDEX(tbl_Onsite[Tax Code],IFERROR(MATCH(A31&amp;"",tbl_Onsite[Job Number],0),MATCH(IFERROR(A31+0,A31),tbl_Onsite[Job Number],0)))="","",INDEX(tbl_Onsite[Tax Code],IFERROR(MATCH(A31&amp;"",tbl_Onsite[Job Number],0),MATCH(IFERROR(A31+0,A31),tbl_Onsite[Job Number],0)))),IFERROR(IF(INDEX(tbl_Production[Tax Code],IFERROR(MATCH(A31&amp;"",tbl_Production[Job Number],0),MATCH(IFERROR(A31+0,A31),tbl_Production[Job Number],0)))="","",INDEX(tbl_Production[Tax Code],IFERROR(MATCH(A31&amp;"",tbl_Production[Job Number],0),MATCH(IFERROR(A31+0,A31),tbl_Production[Job Number],0)))),IFERROR(IF(INDEX(tbl_Consulting[Tax Code],IFERROR(MATCH(A31&amp;"",tbl_Consulting[Job Number],0),MATCH(IFERROR(A31+0,A31),tbl_Consulting[Job Number],0)))="","",INDEX(tbl_Consulting[Tax Code],IFERROR(MATCH(A31&amp;"",tbl_Consulting[Job Number],0),MATCH(IFERROR(A31+0,A31),tbl_Consulting[Job Number],0)))),"")))))</f>
        <v/>
      </c>
      <c r="N31" s="26">
        <f>IF(D31="","",IFERROR(INDEX(lst_CCtoGL,MATCH(D31,lst_CCforGL,0)),""))</f>
        <v/>
      </c>
      <c r="O31" s="27">
        <f>IF(E31="","",IF(M31="GST 10%",ROUND(E31*set_GSTRate,2),0))</f>
        <v/>
      </c>
      <c r="P31" s="27">
        <f>IF(E31="","",E31+O31)</f>
        <v/>
      </c>
      <c r="Q31" s="27">
        <f>IF(A31="","",IFERROR(INDEX(tbl_Onsite[Expected Revenue Ex GST],IFERROR(MATCH(A31&amp;"",tbl_Onsite[Job Number],0),MATCH(IFERROR(A31+0,A31),tbl_Onsite[Job Number],0))),IFERROR(INDEX(tbl_Production[Expected Revenue Ex GST],IFERROR(MATCH(A31&amp;"",tbl_Production[Job Number],0),MATCH(IFERROR(A31+0,A31),tbl_Production[Job Number],0))),IFERROR(INDEX(tbl_Consulting[Expected Revenue Ex GST],IFERROR(MATCH(A31&amp;"",tbl_Consulting[Job Number],0),MATCH(IFERROR(A31+0,A31),tbl_Consulting[Job Number],0))),0))))</f>
        <v/>
      </c>
      <c r="R31" s="27">
        <f>IF(A31="","",SUMIFS(tbl_Finance[Ex GST],tbl_Finance[Job Number],A31&amp;""))</f>
        <v/>
      </c>
      <c r="S31" s="27">
        <f>IF(A31="","",Q31-R31)</f>
        <v/>
      </c>
      <c r="T31" s="26">
        <f>IF(A31="","",IF(Q31=0,"No dept value",IF(ROUND(S31,2)=0,"Agrees",IF(S31&gt;0,"Dept higher - to invoice","Xero higher - check dept"))))</f>
        <v/>
      </c>
      <c r="U31" s="22" t="n"/>
      <c r="V31" s="22" t="n"/>
      <c r="W31" s="23" t="n"/>
      <c r="X31" s="23" t="n"/>
      <c r="Y31" s="22" t="n"/>
      <c r="Z31" s="22" t="n"/>
      <c r="AA31" s="26">
        <f>IF(COUNTA(C31,A31,B31,E31)=0,"",IF(C31="","No date - sits outside every month",IF(A31="","No job number",IF(H31="CHECK","Job number is not in the Xero job list",IF(G31="not set up yet","No department has set this job up - nothing can pull through",IF(D31="","No cost centre",IF(AND(U31="Y",B31=""),"Marked posted to Xero but has no invoice number",IF(N31="","Cost centre has no revenue GL on the Lists sheet",IF(T31="Xero higher - check dept","Invoiced more than the department says the job is worth","")))))))))</f>
        <v/>
      </c>
      <c r="AB31" s="28">
        <f>IF(A31="","",COUNTIFS(tbl_Finance[Job Number],A31&amp;"",tbl_Finance[Ex GST],"&lt;&gt;"))</f>
        <v/>
      </c>
      <c r="AC31" s="27">
        <f>IF(A31="","",SUMIFS(tbl_Finance[Ex GST],tbl_Finance[Job Number],A31&amp;""))</f>
        <v/>
      </c>
      <c r="AD31" s="27">
        <f>IF(A31="","",SUMIFS(tbl_Finance[Ex GST],tbl_Finance[Job Number],A31&amp;"",tbl_Finance[Xero Invoice No],"&lt;&gt;"))</f>
        <v/>
      </c>
      <c r="AE31" s="27">
        <f>IF(A31="","",AC31-AD31)</f>
        <v/>
      </c>
      <c r="AF31" s="26">
        <f>IF(A31="","",IFERROR(IF(INDEX(tbl_Onsite[Qwilr Quote],IFERROR(MATCH(A31&amp;"",tbl_Onsite[Job Number],0),MATCH(IFERROR(A31+0,A31),tbl_Onsite[Job Number],0)))="","",INDEX(tbl_Onsite[Qwilr Quote],IFERROR(MATCH(A31&amp;"",tbl_Onsite[Job Number],0),MATCH(IFERROR(A31+0,A31),tbl_Onsite[Job Number],0)))),IFERROR(IF(IF(INDEX(tbl_Production[Current RMS No],IFERROR(MATCH(A31&amp;"",tbl_Production[Job Number],0),MATCH(IFERROR(A31+0,A31),tbl_Production[Job Number],0)))="",INDEX(tbl_Production[Qwilr Quote],IFERROR(MATCH(A31&amp;"",tbl_Production[Job Number],0),MATCH(IFERROR(A31+0,A31),tbl_Production[Job Number],0))),INDEX(tbl_Production[Current RMS No],IFERROR(MATCH(A31&amp;"",tbl_Production[Job Number],0),MATCH(IFERROR(A31+0,A31),tbl_Production[Job Number],0))))="","",IF(INDEX(tbl_Production[Current RMS No],IFERROR(MATCH(A31&amp;"",tbl_Production[Job Number],0),MATCH(IFERROR(A31+0,A31),tbl_Production[Job Number],0)))="",INDEX(tbl_Production[Qwilr Quote],IFERROR(MATCH(A31&amp;"",tbl_Production[Job Number],0),MATCH(IFERROR(A31+0,A31),tbl_Production[Job Number],0))),INDEX(tbl_Production[Current RMS No],IFERROR(MATCH(A31&amp;"",tbl_Production[Job Number],0),MATCH(IFERROR(A31+0,A31),tbl_Production[Job Number],0))))),IFERROR(IF(INDEX(tbl_Consulting[Qwilr Quote],IFERROR(MATCH(A31&amp;"",tbl_Consulting[Job Number],0),MATCH(IFERROR(A31+0,A31),tbl_Consulting[Job Number],0)))="","",INDEX(tbl_Consulting[Qwilr Quote],IFERROR(MATCH(A31&amp;"",tbl_Consulting[Job Number],0),MATCH(IFERROR(A31+0,A31),tbl_Consulting[Job Number],0)))),""))))</f>
        <v/>
      </c>
      <c r="AG31" s="26">
        <f>IF(AF31="","",IF(AND(LEFT(AF31,4)&lt;&gt;"http",IF(G31="Production",set_RMSBase,set_QwilrBase)=""),"",HYPERLINK(IF(LEFT(AF31,4)="http",AF31,IF(G31="Production",set_RMSBase,set_QwilrBase)&amp;AF31),"Open")))</f>
        <v/>
      </c>
      <c r="AH31" s="27">
        <f>IF(A31="","",IFERROR(INDEX(tbl_Production[Total Expense],IFERROR(MATCH(A31&amp;"",tbl_Production[Job Number],0),MATCH(IFERROR(A31+0,A31),tbl_Production[Job Number],0))),IFERROR(INDEX(tbl_Consulting[Total Expense],IFERROR(MATCH(A31&amp;"",tbl_Consulting[Job Number],0),MATCH(IFERROR(A31+0,A31),tbl_Consulting[Job Number],0))),0)))</f>
        <v/>
      </c>
      <c r="AI31" s="27">
        <f>IF(A31="","",AC31-N(AH31))</f>
        <v/>
      </c>
      <c r="AJ31" s="29">
        <f>IFERROR(AI31/AC31,"")</f>
        <v/>
      </c>
      <c r="AK31" s="26">
        <f>IF(A31="","",IFERROR(IF(INDEX(tbl_Onsite[Notes],IFERROR(MATCH(A31&amp;"",tbl_Onsite[Job Number],0),MATCH(IFERROR(A31+0,A31),tbl_Onsite[Job Number],0)))="","",INDEX(tbl_Onsite[Notes],IFERROR(MATCH(A31&amp;"",tbl_Onsite[Job Number],0),MATCH(IFERROR(A31+0,A31),tbl_Onsite[Job Number],0)))),IFERROR(IF(INDEX(tbl_Production[Notes],IFERROR(MATCH(A31&amp;"",tbl_Production[Job Number],0),MATCH(IFERROR(A31+0,A31),tbl_Production[Job Number],0)))="","",INDEX(tbl_Production[Notes],IFERROR(MATCH(A31&amp;"",tbl_Production[Job Number],0),MATCH(IFERROR(A31+0,A31),tbl_Production[Job Number],0)))),IFERROR(IF(INDEX(tbl_Consulting[Notes],IFERROR(MATCH(A31&amp;"",tbl_Consulting[Job Number],0),MATCH(IFERROR(A31+0,A31),tbl_Consulting[Job Number],0)))="","",INDEX(tbl_Consulting[Notes],IFERROR(MATCH(A31&amp;"",tbl_Consulting[Job Number],0),MATCH(IFERROR(A31+0,A31),tbl_Consulting[Job Number],0)))),""))))</f>
        <v/>
      </c>
    </row>
    <row r="32" ht="15" customHeight="1">
      <c r="A32" s="22" t="n"/>
      <c r="B32" s="22" t="n"/>
      <c r="C32" s="23" t="n"/>
      <c r="D32" s="22" t="n"/>
      <c r="E32" s="24" t="n"/>
      <c r="F32" s="25">
        <f>IF(C32="","",EOMONTH(C32,0))</f>
        <v/>
      </c>
      <c r="G32" s="26">
        <f>IF(A32="","",IF(COUNTIF(tbl_Onsite[Job Number],A32&amp;"")&gt;0,"Onsite",IF(COUNTIF(tbl_Production[Job Number],A32&amp;"")&gt;0,"Production",IF(COUNTIF(tbl_Consulting[Job Number],A32&amp;"")&gt;0,"Consulting","not set up yet"))))</f>
        <v/>
      </c>
      <c r="H32" s="26">
        <f>IF(A32="","",IF(COUNTIF(lst_Jobs,A32&amp;"")&gt;0,"OK","CHECK"))</f>
        <v/>
      </c>
      <c r="I32" s="26">
        <f>IF(A32="","",IFERROR(INDEX(lst_JobName,MATCH(A32&amp;"",lst_Jobs,0)),""))</f>
        <v/>
      </c>
      <c r="J32" s="26">
        <f>IF(A32="","",IFERROR(IF(INDEX(tbl_Onsite[Client],IFERROR(MATCH(A32&amp;"",tbl_Onsite[Job Number],0),MATCH(IFERROR(A32+0,A32),tbl_Onsite[Job Number],0)))="","",INDEX(tbl_Onsite[Client],IFERROR(MATCH(A32&amp;"",tbl_Onsite[Job Number],0),MATCH(IFERROR(A32+0,A32),tbl_Onsite[Job Number],0)))),IFERROR(IF(INDEX(tbl_Production[Client],IFERROR(MATCH(A32&amp;"",tbl_Production[Job Number],0),MATCH(IFERROR(A32+0,A32),tbl_Production[Job Number],0)))="","",INDEX(tbl_Production[Client],IFERROR(MATCH(A32&amp;"",tbl_Production[Job Number],0),MATCH(IFERROR(A32+0,A32),tbl_Production[Job Number],0)))),IFERROR(IF(INDEX(tbl_Consulting[Client],IFERROR(MATCH(A32&amp;"",tbl_Consulting[Job Number],0),MATCH(IFERROR(A32+0,A32),tbl_Consulting[Job Number],0)))="","",INDEX(tbl_Consulting[Client],IFERROR(MATCH(A32&amp;"",tbl_Consulting[Job Number],0),MATCH(IFERROR(A32+0,A32),tbl_Consulting[Job Number],0)))),""))))</f>
        <v/>
      </c>
      <c r="K32" s="26">
        <f>IF(A32="","",IFERROR(IF(INDEX(tbl_Onsite[Job Description],IFERROR(MATCH(A32&amp;"",tbl_Onsite[Job Number],0),MATCH(IFERROR(A32+0,A32),tbl_Onsite[Job Number],0)))="","",INDEX(tbl_Onsite[Job Description],IFERROR(MATCH(A32&amp;"",tbl_Onsite[Job Number],0),MATCH(IFERROR(A32+0,A32),tbl_Onsite[Job Number],0)))),IFERROR(IF(INDEX(tbl_Production[Job Description],IFERROR(MATCH(A32&amp;"",tbl_Production[Job Number],0),MATCH(IFERROR(A32+0,A32),tbl_Production[Job Number],0)))="","",INDEX(tbl_Production[Job Description],IFERROR(MATCH(A32&amp;"",tbl_Production[Job Number],0),MATCH(IFERROR(A32+0,A32),tbl_Production[Job Number],0)))),IFERROR(IF(INDEX(tbl_Consulting[Job Description],IFERROR(MATCH(A32&amp;"",tbl_Consulting[Job Number],0),MATCH(IFERROR(A32+0,A32),tbl_Consulting[Job Number],0)))="","",INDEX(tbl_Consulting[Job Description],IFERROR(MATCH(A32&amp;"",tbl_Consulting[Job Number],0),MATCH(IFERROR(A32+0,A32),tbl_Consulting[Job Number],0)))),""))))</f>
        <v/>
      </c>
      <c r="L32" s="26">
        <f>IF(A32="","",IFERROR(IF(INDEX(tbl_Onsite[Invoice Type],IFERROR(MATCH(A32&amp;"",tbl_Onsite[Job Number],0),MATCH(IFERROR(A32+0,A32),tbl_Onsite[Job Number],0)))="","",INDEX(tbl_Onsite[Invoice Type],IFERROR(MATCH(A32&amp;"",tbl_Onsite[Job Number],0),MATCH(IFERROR(A32+0,A32),tbl_Onsite[Job Number],0)))),IFERROR(IF(INDEX(tbl_Production[Invoice Type],IFERROR(MATCH(A32&amp;"",tbl_Production[Job Number],0),MATCH(IFERROR(A32+0,A32),tbl_Production[Job Number],0)))="","",INDEX(tbl_Production[Invoice Type],IFERROR(MATCH(A32&amp;"",tbl_Production[Job Number],0),MATCH(IFERROR(A32+0,A32),tbl_Production[Job Number],0)))),IFERROR(IF(INDEX(tbl_Consulting[Invoice Type],IFERROR(MATCH(A32&amp;"",tbl_Consulting[Job Number],0),MATCH(IFERROR(A32+0,A32),tbl_Consulting[Job Number],0)))="","",INDEX(tbl_Consulting[Invoice Type],IFERROR(MATCH(A32&amp;"",tbl_Consulting[Job Number],0),MATCH(IFERROR(A32+0,A32),tbl_Consulting[Job Number],0)))),""))))</f>
        <v/>
      </c>
      <c r="M32" s="26">
        <f>IF(A32="","",IF(IFERROR(IF(INDEX(tbl_Onsite[Tax Code],IFERROR(MATCH(A32&amp;"",tbl_Onsite[Job Number],0),MATCH(IFERROR(A32+0,A32),tbl_Onsite[Job Number],0)))="","",INDEX(tbl_Onsite[Tax Code],IFERROR(MATCH(A32&amp;"",tbl_Onsite[Job Number],0),MATCH(IFERROR(A32+0,A32),tbl_Onsite[Job Number],0)))),IFERROR(IF(INDEX(tbl_Production[Tax Code],IFERROR(MATCH(A32&amp;"",tbl_Production[Job Number],0),MATCH(IFERROR(A32+0,A32),tbl_Production[Job Number],0)))="","",INDEX(tbl_Production[Tax Code],IFERROR(MATCH(A32&amp;"",tbl_Production[Job Number],0),MATCH(IFERROR(A32+0,A32),tbl_Production[Job Number],0)))),IFERROR(IF(INDEX(tbl_Consulting[Tax Code],IFERROR(MATCH(A32&amp;"",tbl_Consulting[Job Number],0),MATCH(IFERROR(A32+0,A32),tbl_Consulting[Job Number],0)))="","",INDEX(tbl_Consulting[Tax Code],IFERROR(MATCH(A32&amp;"",tbl_Consulting[Job Number],0),MATCH(IFERROR(A32+0,A32),tbl_Consulting[Job Number],0)))),"")))="","GST 10%",IFERROR(IF(INDEX(tbl_Onsite[Tax Code],IFERROR(MATCH(A32&amp;"",tbl_Onsite[Job Number],0),MATCH(IFERROR(A32+0,A32),tbl_Onsite[Job Number],0)))="","",INDEX(tbl_Onsite[Tax Code],IFERROR(MATCH(A32&amp;"",tbl_Onsite[Job Number],0),MATCH(IFERROR(A32+0,A32),tbl_Onsite[Job Number],0)))),IFERROR(IF(INDEX(tbl_Production[Tax Code],IFERROR(MATCH(A32&amp;"",tbl_Production[Job Number],0),MATCH(IFERROR(A32+0,A32),tbl_Production[Job Number],0)))="","",INDEX(tbl_Production[Tax Code],IFERROR(MATCH(A32&amp;"",tbl_Production[Job Number],0),MATCH(IFERROR(A32+0,A32),tbl_Production[Job Number],0)))),IFERROR(IF(INDEX(tbl_Consulting[Tax Code],IFERROR(MATCH(A32&amp;"",tbl_Consulting[Job Number],0),MATCH(IFERROR(A32+0,A32),tbl_Consulting[Job Number],0)))="","",INDEX(tbl_Consulting[Tax Code],IFERROR(MATCH(A32&amp;"",tbl_Consulting[Job Number],0),MATCH(IFERROR(A32+0,A32),tbl_Consulting[Job Number],0)))),"")))))</f>
        <v/>
      </c>
      <c r="N32" s="26">
        <f>IF(D32="","",IFERROR(INDEX(lst_CCtoGL,MATCH(D32,lst_CCforGL,0)),""))</f>
        <v/>
      </c>
      <c r="O32" s="27">
        <f>IF(E32="","",IF(M32="GST 10%",ROUND(E32*set_GSTRate,2),0))</f>
        <v/>
      </c>
      <c r="P32" s="27">
        <f>IF(E32="","",E32+O32)</f>
        <v/>
      </c>
      <c r="Q32" s="27">
        <f>IF(A32="","",IFERROR(INDEX(tbl_Onsite[Expected Revenue Ex GST],IFERROR(MATCH(A32&amp;"",tbl_Onsite[Job Number],0),MATCH(IFERROR(A32+0,A32),tbl_Onsite[Job Number],0))),IFERROR(INDEX(tbl_Production[Expected Revenue Ex GST],IFERROR(MATCH(A32&amp;"",tbl_Production[Job Number],0),MATCH(IFERROR(A32+0,A32),tbl_Production[Job Number],0))),IFERROR(INDEX(tbl_Consulting[Expected Revenue Ex GST],IFERROR(MATCH(A32&amp;"",tbl_Consulting[Job Number],0),MATCH(IFERROR(A32+0,A32),tbl_Consulting[Job Number],0))),0))))</f>
        <v/>
      </c>
      <c r="R32" s="27">
        <f>IF(A32="","",SUMIFS(tbl_Finance[Ex GST],tbl_Finance[Job Number],A32&amp;""))</f>
        <v/>
      </c>
      <c r="S32" s="27">
        <f>IF(A32="","",Q32-R32)</f>
        <v/>
      </c>
      <c r="T32" s="26">
        <f>IF(A32="","",IF(Q32=0,"No dept value",IF(ROUND(S32,2)=0,"Agrees",IF(S32&gt;0,"Dept higher - to invoice","Xero higher - check dept"))))</f>
        <v/>
      </c>
      <c r="U32" s="22" t="n"/>
      <c r="V32" s="22" t="n"/>
      <c r="W32" s="23" t="n"/>
      <c r="X32" s="23" t="n"/>
      <c r="Y32" s="22" t="n"/>
      <c r="Z32" s="22" t="n"/>
      <c r="AA32" s="26">
        <f>IF(COUNTA(C32,A32,B32,E32)=0,"",IF(C32="","No date - sits outside every month",IF(A32="","No job number",IF(H32="CHECK","Job number is not in the Xero job list",IF(G32="not set up yet","No department has set this job up - nothing can pull through",IF(D32="","No cost centre",IF(AND(U32="Y",B32=""),"Marked posted to Xero but has no invoice number",IF(N32="","Cost centre has no revenue GL on the Lists sheet",IF(T32="Xero higher - check dept","Invoiced more than the department says the job is worth","")))))))))</f>
        <v/>
      </c>
      <c r="AB32" s="28">
        <f>IF(A32="","",COUNTIFS(tbl_Finance[Job Number],A32&amp;"",tbl_Finance[Ex GST],"&lt;&gt;"))</f>
        <v/>
      </c>
      <c r="AC32" s="27">
        <f>IF(A32="","",SUMIFS(tbl_Finance[Ex GST],tbl_Finance[Job Number],A32&amp;""))</f>
        <v/>
      </c>
      <c r="AD32" s="27">
        <f>IF(A32="","",SUMIFS(tbl_Finance[Ex GST],tbl_Finance[Job Number],A32&amp;"",tbl_Finance[Xero Invoice No],"&lt;&gt;"))</f>
        <v/>
      </c>
      <c r="AE32" s="27">
        <f>IF(A32="","",AC32-AD32)</f>
        <v/>
      </c>
      <c r="AF32" s="26">
        <f>IF(A32="","",IFERROR(IF(INDEX(tbl_Onsite[Qwilr Quote],IFERROR(MATCH(A32&amp;"",tbl_Onsite[Job Number],0),MATCH(IFERROR(A32+0,A32),tbl_Onsite[Job Number],0)))="","",INDEX(tbl_Onsite[Qwilr Quote],IFERROR(MATCH(A32&amp;"",tbl_Onsite[Job Number],0),MATCH(IFERROR(A32+0,A32),tbl_Onsite[Job Number],0)))),IFERROR(IF(IF(INDEX(tbl_Production[Current RMS No],IFERROR(MATCH(A32&amp;"",tbl_Production[Job Number],0),MATCH(IFERROR(A32+0,A32),tbl_Production[Job Number],0)))="",INDEX(tbl_Production[Qwilr Quote],IFERROR(MATCH(A32&amp;"",tbl_Production[Job Number],0),MATCH(IFERROR(A32+0,A32),tbl_Production[Job Number],0))),INDEX(tbl_Production[Current RMS No],IFERROR(MATCH(A32&amp;"",tbl_Production[Job Number],0),MATCH(IFERROR(A32+0,A32),tbl_Production[Job Number],0))))="","",IF(INDEX(tbl_Production[Current RMS No],IFERROR(MATCH(A32&amp;"",tbl_Production[Job Number],0),MATCH(IFERROR(A32+0,A32),tbl_Production[Job Number],0)))="",INDEX(tbl_Production[Qwilr Quote],IFERROR(MATCH(A32&amp;"",tbl_Production[Job Number],0),MATCH(IFERROR(A32+0,A32),tbl_Production[Job Number],0))),INDEX(tbl_Production[Current RMS No],IFERROR(MATCH(A32&amp;"",tbl_Production[Job Number],0),MATCH(IFERROR(A32+0,A32),tbl_Production[Job Number],0))))),IFERROR(IF(INDEX(tbl_Consulting[Qwilr Quote],IFERROR(MATCH(A32&amp;"",tbl_Consulting[Job Number],0),MATCH(IFERROR(A32+0,A32),tbl_Consulting[Job Number],0)))="","",INDEX(tbl_Consulting[Qwilr Quote],IFERROR(MATCH(A32&amp;"",tbl_Consulting[Job Number],0),MATCH(IFERROR(A32+0,A32),tbl_Consulting[Job Number],0)))),""))))</f>
        <v/>
      </c>
      <c r="AG32" s="26">
        <f>IF(AF32="","",IF(AND(LEFT(AF32,4)&lt;&gt;"http",IF(G32="Production",set_RMSBase,set_QwilrBase)=""),"",HYPERLINK(IF(LEFT(AF32,4)="http",AF32,IF(G32="Production",set_RMSBase,set_QwilrBase)&amp;AF32),"Open")))</f>
        <v/>
      </c>
      <c r="AH32" s="27">
        <f>IF(A32="","",IFERROR(INDEX(tbl_Production[Total Expense],IFERROR(MATCH(A32&amp;"",tbl_Production[Job Number],0),MATCH(IFERROR(A32+0,A32),tbl_Production[Job Number],0))),IFERROR(INDEX(tbl_Consulting[Total Expense],IFERROR(MATCH(A32&amp;"",tbl_Consulting[Job Number],0),MATCH(IFERROR(A32+0,A32),tbl_Consulting[Job Number],0))),0)))</f>
        <v/>
      </c>
      <c r="AI32" s="27">
        <f>IF(A32="","",AC32-N(AH32))</f>
        <v/>
      </c>
      <c r="AJ32" s="29">
        <f>IFERROR(AI32/AC32,"")</f>
        <v/>
      </c>
      <c r="AK32" s="26">
        <f>IF(A32="","",IFERROR(IF(INDEX(tbl_Onsite[Notes],IFERROR(MATCH(A32&amp;"",tbl_Onsite[Job Number],0),MATCH(IFERROR(A32+0,A32),tbl_Onsite[Job Number],0)))="","",INDEX(tbl_Onsite[Notes],IFERROR(MATCH(A32&amp;"",tbl_Onsite[Job Number],0),MATCH(IFERROR(A32+0,A32),tbl_Onsite[Job Number],0)))),IFERROR(IF(INDEX(tbl_Production[Notes],IFERROR(MATCH(A32&amp;"",tbl_Production[Job Number],0),MATCH(IFERROR(A32+0,A32),tbl_Production[Job Number],0)))="","",INDEX(tbl_Production[Notes],IFERROR(MATCH(A32&amp;"",tbl_Production[Job Number],0),MATCH(IFERROR(A32+0,A32),tbl_Production[Job Number],0)))),IFERROR(IF(INDEX(tbl_Consulting[Notes],IFERROR(MATCH(A32&amp;"",tbl_Consulting[Job Number],0),MATCH(IFERROR(A32+0,A32),tbl_Consulting[Job Number],0)))="","",INDEX(tbl_Consulting[Notes],IFERROR(MATCH(A32&amp;"",tbl_Consulting[Job Number],0),MATCH(IFERROR(A32+0,A32),tbl_Consulting[Job Number],0)))),""))))</f>
        <v/>
      </c>
    </row>
    <row r="33" ht="15" customHeight="1">
      <c r="A33" s="22" t="n"/>
      <c r="B33" s="22" t="n"/>
      <c r="C33" s="23" t="n"/>
      <c r="D33" s="22" t="n"/>
      <c r="E33" s="24" t="n"/>
      <c r="F33" s="25">
        <f>IF(C33="","",EOMONTH(C33,0))</f>
        <v/>
      </c>
      <c r="G33" s="26">
        <f>IF(A33="","",IF(COUNTIF(tbl_Onsite[Job Number],A33&amp;"")&gt;0,"Onsite",IF(COUNTIF(tbl_Production[Job Number],A33&amp;"")&gt;0,"Production",IF(COUNTIF(tbl_Consulting[Job Number],A33&amp;"")&gt;0,"Consulting","not set up yet"))))</f>
        <v/>
      </c>
      <c r="H33" s="26">
        <f>IF(A33="","",IF(COUNTIF(lst_Jobs,A33&amp;"")&gt;0,"OK","CHECK"))</f>
        <v/>
      </c>
      <c r="I33" s="26">
        <f>IF(A33="","",IFERROR(INDEX(lst_JobName,MATCH(A33&amp;"",lst_Jobs,0)),""))</f>
        <v/>
      </c>
      <c r="J33" s="26">
        <f>IF(A33="","",IFERROR(IF(INDEX(tbl_Onsite[Client],IFERROR(MATCH(A33&amp;"",tbl_Onsite[Job Number],0),MATCH(IFERROR(A33+0,A33),tbl_Onsite[Job Number],0)))="","",INDEX(tbl_Onsite[Client],IFERROR(MATCH(A33&amp;"",tbl_Onsite[Job Number],0),MATCH(IFERROR(A33+0,A33),tbl_Onsite[Job Number],0)))),IFERROR(IF(INDEX(tbl_Production[Client],IFERROR(MATCH(A33&amp;"",tbl_Production[Job Number],0),MATCH(IFERROR(A33+0,A33),tbl_Production[Job Number],0)))="","",INDEX(tbl_Production[Client],IFERROR(MATCH(A33&amp;"",tbl_Production[Job Number],0),MATCH(IFERROR(A33+0,A33),tbl_Production[Job Number],0)))),IFERROR(IF(INDEX(tbl_Consulting[Client],IFERROR(MATCH(A33&amp;"",tbl_Consulting[Job Number],0),MATCH(IFERROR(A33+0,A33),tbl_Consulting[Job Number],0)))="","",INDEX(tbl_Consulting[Client],IFERROR(MATCH(A33&amp;"",tbl_Consulting[Job Number],0),MATCH(IFERROR(A33+0,A33),tbl_Consulting[Job Number],0)))),""))))</f>
        <v/>
      </c>
      <c r="K33" s="26">
        <f>IF(A33="","",IFERROR(IF(INDEX(tbl_Onsite[Job Description],IFERROR(MATCH(A33&amp;"",tbl_Onsite[Job Number],0),MATCH(IFERROR(A33+0,A33),tbl_Onsite[Job Number],0)))="","",INDEX(tbl_Onsite[Job Description],IFERROR(MATCH(A33&amp;"",tbl_Onsite[Job Number],0),MATCH(IFERROR(A33+0,A33),tbl_Onsite[Job Number],0)))),IFERROR(IF(INDEX(tbl_Production[Job Description],IFERROR(MATCH(A33&amp;"",tbl_Production[Job Number],0),MATCH(IFERROR(A33+0,A33),tbl_Production[Job Number],0)))="","",INDEX(tbl_Production[Job Description],IFERROR(MATCH(A33&amp;"",tbl_Production[Job Number],0),MATCH(IFERROR(A33+0,A33),tbl_Production[Job Number],0)))),IFERROR(IF(INDEX(tbl_Consulting[Job Description],IFERROR(MATCH(A33&amp;"",tbl_Consulting[Job Number],0),MATCH(IFERROR(A33+0,A33),tbl_Consulting[Job Number],0)))="","",INDEX(tbl_Consulting[Job Description],IFERROR(MATCH(A33&amp;"",tbl_Consulting[Job Number],0),MATCH(IFERROR(A33+0,A33),tbl_Consulting[Job Number],0)))),""))))</f>
        <v/>
      </c>
      <c r="L33" s="26">
        <f>IF(A33="","",IFERROR(IF(INDEX(tbl_Onsite[Invoice Type],IFERROR(MATCH(A33&amp;"",tbl_Onsite[Job Number],0),MATCH(IFERROR(A33+0,A33),tbl_Onsite[Job Number],0)))="","",INDEX(tbl_Onsite[Invoice Type],IFERROR(MATCH(A33&amp;"",tbl_Onsite[Job Number],0),MATCH(IFERROR(A33+0,A33),tbl_Onsite[Job Number],0)))),IFERROR(IF(INDEX(tbl_Production[Invoice Type],IFERROR(MATCH(A33&amp;"",tbl_Production[Job Number],0),MATCH(IFERROR(A33+0,A33),tbl_Production[Job Number],0)))="","",INDEX(tbl_Production[Invoice Type],IFERROR(MATCH(A33&amp;"",tbl_Production[Job Number],0),MATCH(IFERROR(A33+0,A33),tbl_Production[Job Number],0)))),IFERROR(IF(INDEX(tbl_Consulting[Invoice Type],IFERROR(MATCH(A33&amp;"",tbl_Consulting[Job Number],0),MATCH(IFERROR(A33+0,A33),tbl_Consulting[Job Number],0)))="","",INDEX(tbl_Consulting[Invoice Type],IFERROR(MATCH(A33&amp;"",tbl_Consulting[Job Number],0),MATCH(IFERROR(A33+0,A33),tbl_Consulting[Job Number],0)))),""))))</f>
        <v/>
      </c>
      <c r="M33" s="26">
        <f>IF(A33="","",IF(IFERROR(IF(INDEX(tbl_Onsite[Tax Code],IFERROR(MATCH(A33&amp;"",tbl_Onsite[Job Number],0),MATCH(IFERROR(A33+0,A33),tbl_Onsite[Job Number],0)))="","",INDEX(tbl_Onsite[Tax Code],IFERROR(MATCH(A33&amp;"",tbl_Onsite[Job Number],0),MATCH(IFERROR(A33+0,A33),tbl_Onsite[Job Number],0)))),IFERROR(IF(INDEX(tbl_Production[Tax Code],IFERROR(MATCH(A33&amp;"",tbl_Production[Job Number],0),MATCH(IFERROR(A33+0,A33),tbl_Production[Job Number],0)))="","",INDEX(tbl_Production[Tax Code],IFERROR(MATCH(A33&amp;"",tbl_Production[Job Number],0),MATCH(IFERROR(A33+0,A33),tbl_Production[Job Number],0)))),IFERROR(IF(INDEX(tbl_Consulting[Tax Code],IFERROR(MATCH(A33&amp;"",tbl_Consulting[Job Number],0),MATCH(IFERROR(A33+0,A33),tbl_Consulting[Job Number],0)))="","",INDEX(tbl_Consulting[Tax Code],IFERROR(MATCH(A33&amp;"",tbl_Consulting[Job Number],0),MATCH(IFERROR(A33+0,A33),tbl_Consulting[Job Number],0)))),"")))="","GST 10%",IFERROR(IF(INDEX(tbl_Onsite[Tax Code],IFERROR(MATCH(A33&amp;"",tbl_Onsite[Job Number],0),MATCH(IFERROR(A33+0,A33),tbl_Onsite[Job Number],0)))="","",INDEX(tbl_Onsite[Tax Code],IFERROR(MATCH(A33&amp;"",tbl_Onsite[Job Number],0),MATCH(IFERROR(A33+0,A33),tbl_Onsite[Job Number],0)))),IFERROR(IF(INDEX(tbl_Production[Tax Code],IFERROR(MATCH(A33&amp;"",tbl_Production[Job Number],0),MATCH(IFERROR(A33+0,A33),tbl_Production[Job Number],0)))="","",INDEX(tbl_Production[Tax Code],IFERROR(MATCH(A33&amp;"",tbl_Production[Job Number],0),MATCH(IFERROR(A33+0,A33),tbl_Production[Job Number],0)))),IFERROR(IF(INDEX(tbl_Consulting[Tax Code],IFERROR(MATCH(A33&amp;"",tbl_Consulting[Job Number],0),MATCH(IFERROR(A33+0,A33),tbl_Consulting[Job Number],0)))="","",INDEX(tbl_Consulting[Tax Code],IFERROR(MATCH(A33&amp;"",tbl_Consulting[Job Number],0),MATCH(IFERROR(A33+0,A33),tbl_Consulting[Job Number],0)))),"")))))</f>
        <v/>
      </c>
      <c r="N33" s="26">
        <f>IF(D33="","",IFERROR(INDEX(lst_CCtoGL,MATCH(D33,lst_CCforGL,0)),""))</f>
        <v/>
      </c>
      <c r="O33" s="27">
        <f>IF(E33="","",IF(M33="GST 10%",ROUND(E33*set_GSTRate,2),0))</f>
        <v/>
      </c>
      <c r="P33" s="27">
        <f>IF(E33="","",E33+O33)</f>
        <v/>
      </c>
      <c r="Q33" s="27">
        <f>IF(A33="","",IFERROR(INDEX(tbl_Onsite[Expected Revenue Ex GST],IFERROR(MATCH(A33&amp;"",tbl_Onsite[Job Number],0),MATCH(IFERROR(A33+0,A33),tbl_Onsite[Job Number],0))),IFERROR(INDEX(tbl_Production[Expected Revenue Ex GST],IFERROR(MATCH(A33&amp;"",tbl_Production[Job Number],0),MATCH(IFERROR(A33+0,A33),tbl_Production[Job Number],0))),IFERROR(INDEX(tbl_Consulting[Expected Revenue Ex GST],IFERROR(MATCH(A33&amp;"",tbl_Consulting[Job Number],0),MATCH(IFERROR(A33+0,A33),tbl_Consulting[Job Number],0))),0))))</f>
        <v/>
      </c>
      <c r="R33" s="27">
        <f>IF(A33="","",SUMIFS(tbl_Finance[Ex GST],tbl_Finance[Job Number],A33&amp;""))</f>
        <v/>
      </c>
      <c r="S33" s="27">
        <f>IF(A33="","",Q33-R33)</f>
        <v/>
      </c>
      <c r="T33" s="26">
        <f>IF(A33="","",IF(Q33=0,"No dept value",IF(ROUND(S33,2)=0,"Agrees",IF(S33&gt;0,"Dept higher - to invoice","Xero higher - check dept"))))</f>
        <v/>
      </c>
      <c r="U33" s="22" t="n"/>
      <c r="V33" s="22" t="n"/>
      <c r="W33" s="23" t="n"/>
      <c r="X33" s="23" t="n"/>
      <c r="Y33" s="22" t="n"/>
      <c r="Z33" s="22" t="n"/>
      <c r="AA33" s="26">
        <f>IF(COUNTA(C33,A33,B33,E33)=0,"",IF(C33="","No date - sits outside every month",IF(A33="","No job number",IF(H33="CHECK","Job number is not in the Xero job list",IF(G33="not set up yet","No department has set this job up - nothing can pull through",IF(D33="","No cost centre",IF(AND(U33="Y",B33=""),"Marked posted to Xero but has no invoice number",IF(N33="","Cost centre has no revenue GL on the Lists sheet",IF(T33="Xero higher - check dept","Invoiced more than the department says the job is worth","")))))))))</f>
        <v/>
      </c>
      <c r="AB33" s="28">
        <f>IF(A33="","",COUNTIFS(tbl_Finance[Job Number],A33&amp;"",tbl_Finance[Ex GST],"&lt;&gt;"))</f>
        <v/>
      </c>
      <c r="AC33" s="27">
        <f>IF(A33="","",SUMIFS(tbl_Finance[Ex GST],tbl_Finance[Job Number],A33&amp;""))</f>
        <v/>
      </c>
      <c r="AD33" s="27">
        <f>IF(A33="","",SUMIFS(tbl_Finance[Ex GST],tbl_Finance[Job Number],A33&amp;"",tbl_Finance[Xero Invoice No],"&lt;&gt;"))</f>
        <v/>
      </c>
      <c r="AE33" s="27">
        <f>IF(A33="","",AC33-AD33)</f>
        <v/>
      </c>
      <c r="AF33" s="26">
        <f>IF(A33="","",IFERROR(IF(INDEX(tbl_Onsite[Qwilr Quote],IFERROR(MATCH(A33&amp;"",tbl_Onsite[Job Number],0),MATCH(IFERROR(A33+0,A33),tbl_Onsite[Job Number],0)))="","",INDEX(tbl_Onsite[Qwilr Quote],IFERROR(MATCH(A33&amp;"",tbl_Onsite[Job Number],0),MATCH(IFERROR(A33+0,A33),tbl_Onsite[Job Number],0)))),IFERROR(IF(IF(INDEX(tbl_Production[Current RMS No],IFERROR(MATCH(A33&amp;"",tbl_Production[Job Number],0),MATCH(IFERROR(A33+0,A33),tbl_Production[Job Number],0)))="",INDEX(tbl_Production[Qwilr Quote],IFERROR(MATCH(A33&amp;"",tbl_Production[Job Number],0),MATCH(IFERROR(A33+0,A33),tbl_Production[Job Number],0))),INDEX(tbl_Production[Current RMS No],IFERROR(MATCH(A33&amp;"",tbl_Production[Job Number],0),MATCH(IFERROR(A33+0,A33),tbl_Production[Job Number],0))))="","",IF(INDEX(tbl_Production[Current RMS No],IFERROR(MATCH(A33&amp;"",tbl_Production[Job Number],0),MATCH(IFERROR(A33+0,A33),tbl_Production[Job Number],0)))="",INDEX(tbl_Production[Qwilr Quote],IFERROR(MATCH(A33&amp;"",tbl_Production[Job Number],0),MATCH(IFERROR(A33+0,A33),tbl_Production[Job Number],0))),INDEX(tbl_Production[Current RMS No],IFERROR(MATCH(A33&amp;"",tbl_Production[Job Number],0),MATCH(IFERROR(A33+0,A33),tbl_Production[Job Number],0))))),IFERROR(IF(INDEX(tbl_Consulting[Qwilr Quote],IFERROR(MATCH(A33&amp;"",tbl_Consulting[Job Number],0),MATCH(IFERROR(A33+0,A33),tbl_Consulting[Job Number],0)))="","",INDEX(tbl_Consulting[Qwilr Quote],IFERROR(MATCH(A33&amp;"",tbl_Consulting[Job Number],0),MATCH(IFERROR(A33+0,A33),tbl_Consulting[Job Number],0)))),""))))</f>
        <v/>
      </c>
      <c r="AG33" s="26">
        <f>IF(AF33="","",IF(AND(LEFT(AF33,4)&lt;&gt;"http",IF(G33="Production",set_RMSBase,set_QwilrBase)=""),"",HYPERLINK(IF(LEFT(AF33,4)="http",AF33,IF(G33="Production",set_RMSBase,set_QwilrBase)&amp;AF33),"Open")))</f>
        <v/>
      </c>
      <c r="AH33" s="27">
        <f>IF(A33="","",IFERROR(INDEX(tbl_Production[Total Expense],IFERROR(MATCH(A33&amp;"",tbl_Production[Job Number],0),MATCH(IFERROR(A33+0,A33),tbl_Production[Job Number],0))),IFERROR(INDEX(tbl_Consulting[Total Expense],IFERROR(MATCH(A33&amp;"",tbl_Consulting[Job Number],0),MATCH(IFERROR(A33+0,A33),tbl_Consulting[Job Number],0))),0)))</f>
        <v/>
      </c>
      <c r="AI33" s="27">
        <f>IF(A33="","",AC33-N(AH33))</f>
        <v/>
      </c>
      <c r="AJ33" s="29">
        <f>IFERROR(AI33/AC33,"")</f>
        <v/>
      </c>
      <c r="AK33" s="26">
        <f>IF(A33="","",IFERROR(IF(INDEX(tbl_Onsite[Notes],IFERROR(MATCH(A33&amp;"",tbl_Onsite[Job Number],0),MATCH(IFERROR(A33+0,A33),tbl_Onsite[Job Number],0)))="","",INDEX(tbl_Onsite[Notes],IFERROR(MATCH(A33&amp;"",tbl_Onsite[Job Number],0),MATCH(IFERROR(A33+0,A33),tbl_Onsite[Job Number],0)))),IFERROR(IF(INDEX(tbl_Production[Notes],IFERROR(MATCH(A33&amp;"",tbl_Production[Job Number],0),MATCH(IFERROR(A33+0,A33),tbl_Production[Job Number],0)))="","",INDEX(tbl_Production[Notes],IFERROR(MATCH(A33&amp;"",tbl_Production[Job Number],0),MATCH(IFERROR(A33+0,A33),tbl_Production[Job Number],0)))),IFERROR(IF(INDEX(tbl_Consulting[Notes],IFERROR(MATCH(A33&amp;"",tbl_Consulting[Job Number],0),MATCH(IFERROR(A33+0,A33),tbl_Consulting[Job Number],0)))="","",INDEX(tbl_Consulting[Notes],IFERROR(MATCH(A33&amp;"",tbl_Consulting[Job Number],0),MATCH(IFERROR(A33+0,A33),tbl_Consulting[Job Number],0)))),""))))</f>
        <v/>
      </c>
    </row>
    <row r="34" ht="15" customHeight="1">
      <c r="A34" s="22" t="n"/>
      <c r="B34" s="22" t="n"/>
      <c r="C34" s="23" t="n"/>
      <c r="D34" s="22" t="n"/>
      <c r="E34" s="24" t="n"/>
      <c r="F34" s="25">
        <f>IF(C34="","",EOMONTH(C34,0))</f>
        <v/>
      </c>
      <c r="G34" s="26">
        <f>IF(A34="","",IF(COUNTIF(tbl_Onsite[Job Number],A34&amp;"")&gt;0,"Onsite",IF(COUNTIF(tbl_Production[Job Number],A34&amp;"")&gt;0,"Production",IF(COUNTIF(tbl_Consulting[Job Number],A34&amp;"")&gt;0,"Consulting","not set up yet"))))</f>
        <v/>
      </c>
      <c r="H34" s="26">
        <f>IF(A34="","",IF(COUNTIF(lst_Jobs,A34&amp;"")&gt;0,"OK","CHECK"))</f>
        <v/>
      </c>
      <c r="I34" s="26">
        <f>IF(A34="","",IFERROR(INDEX(lst_JobName,MATCH(A34&amp;"",lst_Jobs,0)),""))</f>
        <v/>
      </c>
      <c r="J34" s="26">
        <f>IF(A34="","",IFERROR(IF(INDEX(tbl_Onsite[Client],IFERROR(MATCH(A34&amp;"",tbl_Onsite[Job Number],0),MATCH(IFERROR(A34+0,A34),tbl_Onsite[Job Number],0)))="","",INDEX(tbl_Onsite[Client],IFERROR(MATCH(A34&amp;"",tbl_Onsite[Job Number],0),MATCH(IFERROR(A34+0,A34),tbl_Onsite[Job Number],0)))),IFERROR(IF(INDEX(tbl_Production[Client],IFERROR(MATCH(A34&amp;"",tbl_Production[Job Number],0),MATCH(IFERROR(A34+0,A34),tbl_Production[Job Number],0)))="","",INDEX(tbl_Production[Client],IFERROR(MATCH(A34&amp;"",tbl_Production[Job Number],0),MATCH(IFERROR(A34+0,A34),tbl_Production[Job Number],0)))),IFERROR(IF(INDEX(tbl_Consulting[Client],IFERROR(MATCH(A34&amp;"",tbl_Consulting[Job Number],0),MATCH(IFERROR(A34+0,A34),tbl_Consulting[Job Number],0)))="","",INDEX(tbl_Consulting[Client],IFERROR(MATCH(A34&amp;"",tbl_Consulting[Job Number],0),MATCH(IFERROR(A34+0,A34),tbl_Consulting[Job Number],0)))),""))))</f>
        <v/>
      </c>
      <c r="K34" s="26">
        <f>IF(A34="","",IFERROR(IF(INDEX(tbl_Onsite[Job Description],IFERROR(MATCH(A34&amp;"",tbl_Onsite[Job Number],0),MATCH(IFERROR(A34+0,A34),tbl_Onsite[Job Number],0)))="","",INDEX(tbl_Onsite[Job Description],IFERROR(MATCH(A34&amp;"",tbl_Onsite[Job Number],0),MATCH(IFERROR(A34+0,A34),tbl_Onsite[Job Number],0)))),IFERROR(IF(INDEX(tbl_Production[Job Description],IFERROR(MATCH(A34&amp;"",tbl_Production[Job Number],0),MATCH(IFERROR(A34+0,A34),tbl_Production[Job Number],0)))="","",INDEX(tbl_Production[Job Description],IFERROR(MATCH(A34&amp;"",tbl_Production[Job Number],0),MATCH(IFERROR(A34+0,A34),tbl_Production[Job Number],0)))),IFERROR(IF(INDEX(tbl_Consulting[Job Description],IFERROR(MATCH(A34&amp;"",tbl_Consulting[Job Number],0),MATCH(IFERROR(A34+0,A34),tbl_Consulting[Job Number],0)))="","",INDEX(tbl_Consulting[Job Description],IFERROR(MATCH(A34&amp;"",tbl_Consulting[Job Number],0),MATCH(IFERROR(A34+0,A34),tbl_Consulting[Job Number],0)))),""))))</f>
        <v/>
      </c>
      <c r="L34" s="26">
        <f>IF(A34="","",IFERROR(IF(INDEX(tbl_Onsite[Invoice Type],IFERROR(MATCH(A34&amp;"",tbl_Onsite[Job Number],0),MATCH(IFERROR(A34+0,A34),tbl_Onsite[Job Number],0)))="","",INDEX(tbl_Onsite[Invoice Type],IFERROR(MATCH(A34&amp;"",tbl_Onsite[Job Number],0),MATCH(IFERROR(A34+0,A34),tbl_Onsite[Job Number],0)))),IFERROR(IF(INDEX(tbl_Production[Invoice Type],IFERROR(MATCH(A34&amp;"",tbl_Production[Job Number],0),MATCH(IFERROR(A34+0,A34),tbl_Production[Job Number],0)))="","",INDEX(tbl_Production[Invoice Type],IFERROR(MATCH(A34&amp;"",tbl_Production[Job Number],0),MATCH(IFERROR(A34+0,A34),tbl_Production[Job Number],0)))),IFERROR(IF(INDEX(tbl_Consulting[Invoice Type],IFERROR(MATCH(A34&amp;"",tbl_Consulting[Job Number],0),MATCH(IFERROR(A34+0,A34),tbl_Consulting[Job Number],0)))="","",INDEX(tbl_Consulting[Invoice Type],IFERROR(MATCH(A34&amp;"",tbl_Consulting[Job Number],0),MATCH(IFERROR(A34+0,A34),tbl_Consulting[Job Number],0)))),""))))</f>
        <v/>
      </c>
      <c r="M34" s="26">
        <f>IF(A34="","",IF(IFERROR(IF(INDEX(tbl_Onsite[Tax Code],IFERROR(MATCH(A34&amp;"",tbl_Onsite[Job Number],0),MATCH(IFERROR(A34+0,A34),tbl_Onsite[Job Number],0)))="","",INDEX(tbl_Onsite[Tax Code],IFERROR(MATCH(A34&amp;"",tbl_Onsite[Job Number],0),MATCH(IFERROR(A34+0,A34),tbl_Onsite[Job Number],0)))),IFERROR(IF(INDEX(tbl_Production[Tax Code],IFERROR(MATCH(A34&amp;"",tbl_Production[Job Number],0),MATCH(IFERROR(A34+0,A34),tbl_Production[Job Number],0)))="","",INDEX(tbl_Production[Tax Code],IFERROR(MATCH(A34&amp;"",tbl_Production[Job Number],0),MATCH(IFERROR(A34+0,A34),tbl_Production[Job Number],0)))),IFERROR(IF(INDEX(tbl_Consulting[Tax Code],IFERROR(MATCH(A34&amp;"",tbl_Consulting[Job Number],0),MATCH(IFERROR(A34+0,A34),tbl_Consulting[Job Number],0)))="","",INDEX(tbl_Consulting[Tax Code],IFERROR(MATCH(A34&amp;"",tbl_Consulting[Job Number],0),MATCH(IFERROR(A34+0,A34),tbl_Consulting[Job Number],0)))),"")))="","GST 10%",IFERROR(IF(INDEX(tbl_Onsite[Tax Code],IFERROR(MATCH(A34&amp;"",tbl_Onsite[Job Number],0),MATCH(IFERROR(A34+0,A34),tbl_Onsite[Job Number],0)))="","",INDEX(tbl_Onsite[Tax Code],IFERROR(MATCH(A34&amp;"",tbl_Onsite[Job Number],0),MATCH(IFERROR(A34+0,A34),tbl_Onsite[Job Number],0)))),IFERROR(IF(INDEX(tbl_Production[Tax Code],IFERROR(MATCH(A34&amp;"",tbl_Production[Job Number],0),MATCH(IFERROR(A34+0,A34),tbl_Production[Job Number],0)))="","",INDEX(tbl_Production[Tax Code],IFERROR(MATCH(A34&amp;"",tbl_Production[Job Number],0),MATCH(IFERROR(A34+0,A34),tbl_Production[Job Number],0)))),IFERROR(IF(INDEX(tbl_Consulting[Tax Code],IFERROR(MATCH(A34&amp;"",tbl_Consulting[Job Number],0),MATCH(IFERROR(A34+0,A34),tbl_Consulting[Job Number],0)))="","",INDEX(tbl_Consulting[Tax Code],IFERROR(MATCH(A34&amp;"",tbl_Consulting[Job Number],0),MATCH(IFERROR(A34+0,A34),tbl_Consulting[Job Number],0)))),"")))))</f>
        <v/>
      </c>
      <c r="N34" s="26">
        <f>IF(D34="","",IFERROR(INDEX(lst_CCtoGL,MATCH(D34,lst_CCforGL,0)),""))</f>
        <v/>
      </c>
      <c r="O34" s="27">
        <f>IF(E34="","",IF(M34="GST 10%",ROUND(E34*set_GSTRate,2),0))</f>
        <v/>
      </c>
      <c r="P34" s="27">
        <f>IF(E34="","",E34+O34)</f>
        <v/>
      </c>
      <c r="Q34" s="27">
        <f>IF(A34="","",IFERROR(INDEX(tbl_Onsite[Expected Revenue Ex GST],IFERROR(MATCH(A34&amp;"",tbl_Onsite[Job Number],0),MATCH(IFERROR(A34+0,A34),tbl_Onsite[Job Number],0))),IFERROR(INDEX(tbl_Production[Expected Revenue Ex GST],IFERROR(MATCH(A34&amp;"",tbl_Production[Job Number],0),MATCH(IFERROR(A34+0,A34),tbl_Production[Job Number],0))),IFERROR(INDEX(tbl_Consulting[Expected Revenue Ex GST],IFERROR(MATCH(A34&amp;"",tbl_Consulting[Job Number],0),MATCH(IFERROR(A34+0,A34),tbl_Consulting[Job Number],0))),0))))</f>
        <v/>
      </c>
      <c r="R34" s="27">
        <f>IF(A34="","",SUMIFS(tbl_Finance[Ex GST],tbl_Finance[Job Number],A34&amp;""))</f>
        <v/>
      </c>
      <c r="S34" s="27">
        <f>IF(A34="","",Q34-R34)</f>
        <v/>
      </c>
      <c r="T34" s="26">
        <f>IF(A34="","",IF(Q34=0,"No dept value",IF(ROUND(S34,2)=0,"Agrees",IF(S34&gt;0,"Dept higher - to invoice","Xero higher - check dept"))))</f>
        <v/>
      </c>
      <c r="U34" s="22" t="n"/>
      <c r="V34" s="22" t="n"/>
      <c r="W34" s="23" t="n"/>
      <c r="X34" s="23" t="n"/>
      <c r="Y34" s="22" t="n"/>
      <c r="Z34" s="22" t="n"/>
      <c r="AA34" s="26">
        <f>IF(COUNTA(C34,A34,B34,E34)=0,"",IF(C34="","No date - sits outside every month",IF(A34="","No job number",IF(H34="CHECK","Job number is not in the Xero job list",IF(G34="not set up yet","No department has set this job up - nothing can pull through",IF(D34="","No cost centre",IF(AND(U34="Y",B34=""),"Marked posted to Xero but has no invoice number",IF(N34="","Cost centre has no revenue GL on the Lists sheet",IF(T34="Xero higher - check dept","Invoiced more than the department says the job is worth","")))))))))</f>
        <v/>
      </c>
      <c r="AB34" s="28">
        <f>IF(A34="","",COUNTIFS(tbl_Finance[Job Number],A34&amp;"",tbl_Finance[Ex GST],"&lt;&gt;"))</f>
        <v/>
      </c>
      <c r="AC34" s="27">
        <f>IF(A34="","",SUMIFS(tbl_Finance[Ex GST],tbl_Finance[Job Number],A34&amp;""))</f>
        <v/>
      </c>
      <c r="AD34" s="27">
        <f>IF(A34="","",SUMIFS(tbl_Finance[Ex GST],tbl_Finance[Job Number],A34&amp;"",tbl_Finance[Xero Invoice No],"&lt;&gt;"))</f>
        <v/>
      </c>
      <c r="AE34" s="27">
        <f>IF(A34="","",AC34-AD34)</f>
        <v/>
      </c>
      <c r="AF34" s="26">
        <f>IF(A34="","",IFERROR(IF(INDEX(tbl_Onsite[Qwilr Quote],IFERROR(MATCH(A34&amp;"",tbl_Onsite[Job Number],0),MATCH(IFERROR(A34+0,A34),tbl_Onsite[Job Number],0)))="","",INDEX(tbl_Onsite[Qwilr Quote],IFERROR(MATCH(A34&amp;"",tbl_Onsite[Job Number],0),MATCH(IFERROR(A34+0,A34),tbl_Onsite[Job Number],0)))),IFERROR(IF(IF(INDEX(tbl_Production[Current RMS No],IFERROR(MATCH(A34&amp;"",tbl_Production[Job Number],0),MATCH(IFERROR(A34+0,A34),tbl_Production[Job Number],0)))="",INDEX(tbl_Production[Qwilr Quote],IFERROR(MATCH(A34&amp;"",tbl_Production[Job Number],0),MATCH(IFERROR(A34+0,A34),tbl_Production[Job Number],0))),INDEX(tbl_Production[Current RMS No],IFERROR(MATCH(A34&amp;"",tbl_Production[Job Number],0),MATCH(IFERROR(A34+0,A34),tbl_Production[Job Number],0))))="","",IF(INDEX(tbl_Production[Current RMS No],IFERROR(MATCH(A34&amp;"",tbl_Production[Job Number],0),MATCH(IFERROR(A34+0,A34),tbl_Production[Job Number],0)))="",INDEX(tbl_Production[Qwilr Quote],IFERROR(MATCH(A34&amp;"",tbl_Production[Job Number],0),MATCH(IFERROR(A34+0,A34),tbl_Production[Job Number],0))),INDEX(tbl_Production[Current RMS No],IFERROR(MATCH(A34&amp;"",tbl_Production[Job Number],0),MATCH(IFERROR(A34+0,A34),tbl_Production[Job Number],0))))),IFERROR(IF(INDEX(tbl_Consulting[Qwilr Quote],IFERROR(MATCH(A34&amp;"",tbl_Consulting[Job Number],0),MATCH(IFERROR(A34+0,A34),tbl_Consulting[Job Number],0)))="","",INDEX(tbl_Consulting[Qwilr Quote],IFERROR(MATCH(A34&amp;"",tbl_Consulting[Job Number],0),MATCH(IFERROR(A34+0,A34),tbl_Consulting[Job Number],0)))),""))))</f>
        <v/>
      </c>
      <c r="AG34" s="26">
        <f>IF(AF34="","",IF(AND(LEFT(AF34,4)&lt;&gt;"http",IF(G34="Production",set_RMSBase,set_QwilrBase)=""),"",HYPERLINK(IF(LEFT(AF34,4)="http",AF34,IF(G34="Production",set_RMSBase,set_QwilrBase)&amp;AF34),"Open")))</f>
        <v/>
      </c>
      <c r="AH34" s="27">
        <f>IF(A34="","",IFERROR(INDEX(tbl_Production[Total Expense],IFERROR(MATCH(A34&amp;"",tbl_Production[Job Number],0),MATCH(IFERROR(A34+0,A34),tbl_Production[Job Number],0))),IFERROR(INDEX(tbl_Consulting[Total Expense],IFERROR(MATCH(A34&amp;"",tbl_Consulting[Job Number],0),MATCH(IFERROR(A34+0,A34),tbl_Consulting[Job Number],0))),0)))</f>
        <v/>
      </c>
      <c r="AI34" s="27">
        <f>IF(A34="","",AC34-N(AH34))</f>
        <v/>
      </c>
      <c r="AJ34" s="29">
        <f>IFERROR(AI34/AC34,"")</f>
        <v/>
      </c>
      <c r="AK34" s="26">
        <f>IF(A34="","",IFERROR(IF(INDEX(tbl_Onsite[Notes],IFERROR(MATCH(A34&amp;"",tbl_Onsite[Job Number],0),MATCH(IFERROR(A34+0,A34),tbl_Onsite[Job Number],0)))="","",INDEX(tbl_Onsite[Notes],IFERROR(MATCH(A34&amp;"",tbl_Onsite[Job Number],0),MATCH(IFERROR(A34+0,A34),tbl_Onsite[Job Number],0)))),IFERROR(IF(INDEX(tbl_Production[Notes],IFERROR(MATCH(A34&amp;"",tbl_Production[Job Number],0),MATCH(IFERROR(A34+0,A34),tbl_Production[Job Number],0)))="","",INDEX(tbl_Production[Notes],IFERROR(MATCH(A34&amp;"",tbl_Production[Job Number],0),MATCH(IFERROR(A34+0,A34),tbl_Production[Job Number],0)))),IFERROR(IF(INDEX(tbl_Consulting[Notes],IFERROR(MATCH(A34&amp;"",tbl_Consulting[Job Number],0),MATCH(IFERROR(A34+0,A34),tbl_Consulting[Job Number],0)))="","",INDEX(tbl_Consulting[Notes],IFERROR(MATCH(A34&amp;"",tbl_Consulting[Job Number],0),MATCH(IFERROR(A34+0,A34),tbl_Consulting[Job Number],0)))),""))))</f>
        <v/>
      </c>
    </row>
    <row r="35" ht="15" customHeight="1">
      <c r="A35" s="22" t="n"/>
      <c r="B35" s="22" t="n"/>
      <c r="C35" s="23" t="n"/>
      <c r="D35" s="22" t="n"/>
      <c r="E35" s="24" t="n"/>
      <c r="F35" s="25">
        <f>IF(C35="","",EOMONTH(C35,0))</f>
        <v/>
      </c>
      <c r="G35" s="26">
        <f>IF(A35="","",IF(COUNTIF(tbl_Onsite[Job Number],A35&amp;"")&gt;0,"Onsite",IF(COUNTIF(tbl_Production[Job Number],A35&amp;"")&gt;0,"Production",IF(COUNTIF(tbl_Consulting[Job Number],A35&amp;"")&gt;0,"Consulting","not set up yet"))))</f>
        <v/>
      </c>
      <c r="H35" s="26">
        <f>IF(A35="","",IF(COUNTIF(lst_Jobs,A35&amp;"")&gt;0,"OK","CHECK"))</f>
        <v/>
      </c>
      <c r="I35" s="26">
        <f>IF(A35="","",IFERROR(INDEX(lst_JobName,MATCH(A35&amp;"",lst_Jobs,0)),""))</f>
        <v/>
      </c>
      <c r="J35" s="26">
        <f>IF(A35="","",IFERROR(IF(INDEX(tbl_Onsite[Client],IFERROR(MATCH(A35&amp;"",tbl_Onsite[Job Number],0),MATCH(IFERROR(A35+0,A35),tbl_Onsite[Job Number],0)))="","",INDEX(tbl_Onsite[Client],IFERROR(MATCH(A35&amp;"",tbl_Onsite[Job Number],0),MATCH(IFERROR(A35+0,A35),tbl_Onsite[Job Number],0)))),IFERROR(IF(INDEX(tbl_Production[Client],IFERROR(MATCH(A35&amp;"",tbl_Production[Job Number],0),MATCH(IFERROR(A35+0,A35),tbl_Production[Job Number],0)))="","",INDEX(tbl_Production[Client],IFERROR(MATCH(A35&amp;"",tbl_Production[Job Number],0),MATCH(IFERROR(A35+0,A35),tbl_Production[Job Number],0)))),IFERROR(IF(INDEX(tbl_Consulting[Client],IFERROR(MATCH(A35&amp;"",tbl_Consulting[Job Number],0),MATCH(IFERROR(A35+0,A35),tbl_Consulting[Job Number],0)))="","",INDEX(tbl_Consulting[Client],IFERROR(MATCH(A35&amp;"",tbl_Consulting[Job Number],0),MATCH(IFERROR(A35+0,A35),tbl_Consulting[Job Number],0)))),""))))</f>
        <v/>
      </c>
      <c r="K35" s="26">
        <f>IF(A35="","",IFERROR(IF(INDEX(tbl_Onsite[Job Description],IFERROR(MATCH(A35&amp;"",tbl_Onsite[Job Number],0),MATCH(IFERROR(A35+0,A35),tbl_Onsite[Job Number],0)))="","",INDEX(tbl_Onsite[Job Description],IFERROR(MATCH(A35&amp;"",tbl_Onsite[Job Number],0),MATCH(IFERROR(A35+0,A35),tbl_Onsite[Job Number],0)))),IFERROR(IF(INDEX(tbl_Production[Job Description],IFERROR(MATCH(A35&amp;"",tbl_Production[Job Number],0),MATCH(IFERROR(A35+0,A35),tbl_Production[Job Number],0)))="","",INDEX(tbl_Production[Job Description],IFERROR(MATCH(A35&amp;"",tbl_Production[Job Number],0),MATCH(IFERROR(A35+0,A35),tbl_Production[Job Number],0)))),IFERROR(IF(INDEX(tbl_Consulting[Job Description],IFERROR(MATCH(A35&amp;"",tbl_Consulting[Job Number],0),MATCH(IFERROR(A35+0,A35),tbl_Consulting[Job Number],0)))="","",INDEX(tbl_Consulting[Job Description],IFERROR(MATCH(A35&amp;"",tbl_Consulting[Job Number],0),MATCH(IFERROR(A35+0,A35),tbl_Consulting[Job Number],0)))),""))))</f>
        <v/>
      </c>
      <c r="L35" s="26">
        <f>IF(A35="","",IFERROR(IF(INDEX(tbl_Onsite[Invoice Type],IFERROR(MATCH(A35&amp;"",tbl_Onsite[Job Number],0),MATCH(IFERROR(A35+0,A35),tbl_Onsite[Job Number],0)))="","",INDEX(tbl_Onsite[Invoice Type],IFERROR(MATCH(A35&amp;"",tbl_Onsite[Job Number],0),MATCH(IFERROR(A35+0,A35),tbl_Onsite[Job Number],0)))),IFERROR(IF(INDEX(tbl_Production[Invoice Type],IFERROR(MATCH(A35&amp;"",tbl_Production[Job Number],0),MATCH(IFERROR(A35+0,A35),tbl_Production[Job Number],0)))="","",INDEX(tbl_Production[Invoice Type],IFERROR(MATCH(A35&amp;"",tbl_Production[Job Number],0),MATCH(IFERROR(A35+0,A35),tbl_Production[Job Number],0)))),IFERROR(IF(INDEX(tbl_Consulting[Invoice Type],IFERROR(MATCH(A35&amp;"",tbl_Consulting[Job Number],0),MATCH(IFERROR(A35+0,A35),tbl_Consulting[Job Number],0)))="","",INDEX(tbl_Consulting[Invoice Type],IFERROR(MATCH(A35&amp;"",tbl_Consulting[Job Number],0),MATCH(IFERROR(A35+0,A35),tbl_Consulting[Job Number],0)))),""))))</f>
        <v/>
      </c>
      <c r="M35" s="26">
        <f>IF(A35="","",IF(IFERROR(IF(INDEX(tbl_Onsite[Tax Code],IFERROR(MATCH(A35&amp;"",tbl_Onsite[Job Number],0),MATCH(IFERROR(A35+0,A35),tbl_Onsite[Job Number],0)))="","",INDEX(tbl_Onsite[Tax Code],IFERROR(MATCH(A35&amp;"",tbl_Onsite[Job Number],0),MATCH(IFERROR(A35+0,A35),tbl_Onsite[Job Number],0)))),IFERROR(IF(INDEX(tbl_Production[Tax Code],IFERROR(MATCH(A35&amp;"",tbl_Production[Job Number],0),MATCH(IFERROR(A35+0,A35),tbl_Production[Job Number],0)))="","",INDEX(tbl_Production[Tax Code],IFERROR(MATCH(A35&amp;"",tbl_Production[Job Number],0),MATCH(IFERROR(A35+0,A35),tbl_Production[Job Number],0)))),IFERROR(IF(INDEX(tbl_Consulting[Tax Code],IFERROR(MATCH(A35&amp;"",tbl_Consulting[Job Number],0),MATCH(IFERROR(A35+0,A35),tbl_Consulting[Job Number],0)))="","",INDEX(tbl_Consulting[Tax Code],IFERROR(MATCH(A35&amp;"",tbl_Consulting[Job Number],0),MATCH(IFERROR(A35+0,A35),tbl_Consulting[Job Number],0)))),"")))="","GST 10%",IFERROR(IF(INDEX(tbl_Onsite[Tax Code],IFERROR(MATCH(A35&amp;"",tbl_Onsite[Job Number],0),MATCH(IFERROR(A35+0,A35),tbl_Onsite[Job Number],0)))="","",INDEX(tbl_Onsite[Tax Code],IFERROR(MATCH(A35&amp;"",tbl_Onsite[Job Number],0),MATCH(IFERROR(A35+0,A35),tbl_Onsite[Job Number],0)))),IFERROR(IF(INDEX(tbl_Production[Tax Code],IFERROR(MATCH(A35&amp;"",tbl_Production[Job Number],0),MATCH(IFERROR(A35+0,A35),tbl_Production[Job Number],0)))="","",INDEX(tbl_Production[Tax Code],IFERROR(MATCH(A35&amp;"",tbl_Production[Job Number],0),MATCH(IFERROR(A35+0,A35),tbl_Production[Job Number],0)))),IFERROR(IF(INDEX(tbl_Consulting[Tax Code],IFERROR(MATCH(A35&amp;"",tbl_Consulting[Job Number],0),MATCH(IFERROR(A35+0,A35),tbl_Consulting[Job Number],0)))="","",INDEX(tbl_Consulting[Tax Code],IFERROR(MATCH(A35&amp;"",tbl_Consulting[Job Number],0),MATCH(IFERROR(A35+0,A35),tbl_Consulting[Job Number],0)))),"")))))</f>
        <v/>
      </c>
      <c r="N35" s="26">
        <f>IF(D35="","",IFERROR(INDEX(lst_CCtoGL,MATCH(D35,lst_CCforGL,0)),""))</f>
        <v/>
      </c>
      <c r="O35" s="27">
        <f>IF(E35="","",IF(M35="GST 10%",ROUND(E35*set_GSTRate,2),0))</f>
        <v/>
      </c>
      <c r="P35" s="27">
        <f>IF(E35="","",E35+O35)</f>
        <v/>
      </c>
      <c r="Q35" s="27">
        <f>IF(A35="","",IFERROR(INDEX(tbl_Onsite[Expected Revenue Ex GST],IFERROR(MATCH(A35&amp;"",tbl_Onsite[Job Number],0),MATCH(IFERROR(A35+0,A35),tbl_Onsite[Job Number],0))),IFERROR(INDEX(tbl_Production[Expected Revenue Ex GST],IFERROR(MATCH(A35&amp;"",tbl_Production[Job Number],0),MATCH(IFERROR(A35+0,A35),tbl_Production[Job Number],0))),IFERROR(INDEX(tbl_Consulting[Expected Revenue Ex GST],IFERROR(MATCH(A35&amp;"",tbl_Consulting[Job Number],0),MATCH(IFERROR(A35+0,A35),tbl_Consulting[Job Number],0))),0))))</f>
        <v/>
      </c>
      <c r="R35" s="27">
        <f>IF(A35="","",SUMIFS(tbl_Finance[Ex GST],tbl_Finance[Job Number],A35&amp;""))</f>
        <v/>
      </c>
      <c r="S35" s="27">
        <f>IF(A35="","",Q35-R35)</f>
        <v/>
      </c>
      <c r="T35" s="26">
        <f>IF(A35="","",IF(Q35=0,"No dept value",IF(ROUND(S35,2)=0,"Agrees",IF(S35&gt;0,"Dept higher - to invoice","Xero higher - check dept"))))</f>
        <v/>
      </c>
      <c r="U35" s="22" t="n"/>
      <c r="V35" s="22" t="n"/>
      <c r="W35" s="23" t="n"/>
      <c r="X35" s="23" t="n"/>
      <c r="Y35" s="22" t="n"/>
      <c r="Z35" s="22" t="n"/>
      <c r="AA35" s="26">
        <f>IF(COUNTA(C35,A35,B35,E35)=0,"",IF(C35="","No date - sits outside every month",IF(A35="","No job number",IF(H35="CHECK","Job number is not in the Xero job list",IF(G35="not set up yet","No department has set this job up - nothing can pull through",IF(D35="","No cost centre",IF(AND(U35="Y",B35=""),"Marked posted to Xero but has no invoice number",IF(N35="","Cost centre has no revenue GL on the Lists sheet",IF(T35="Xero higher - check dept","Invoiced more than the department says the job is worth","")))))))))</f>
        <v/>
      </c>
      <c r="AB35" s="28">
        <f>IF(A35="","",COUNTIFS(tbl_Finance[Job Number],A35&amp;"",tbl_Finance[Ex GST],"&lt;&gt;"))</f>
        <v/>
      </c>
      <c r="AC35" s="27">
        <f>IF(A35="","",SUMIFS(tbl_Finance[Ex GST],tbl_Finance[Job Number],A35&amp;""))</f>
        <v/>
      </c>
      <c r="AD35" s="27">
        <f>IF(A35="","",SUMIFS(tbl_Finance[Ex GST],tbl_Finance[Job Number],A35&amp;"",tbl_Finance[Xero Invoice No],"&lt;&gt;"))</f>
        <v/>
      </c>
      <c r="AE35" s="27">
        <f>IF(A35="","",AC35-AD35)</f>
        <v/>
      </c>
      <c r="AF35" s="26">
        <f>IF(A35="","",IFERROR(IF(INDEX(tbl_Onsite[Qwilr Quote],IFERROR(MATCH(A35&amp;"",tbl_Onsite[Job Number],0),MATCH(IFERROR(A35+0,A35),tbl_Onsite[Job Number],0)))="","",INDEX(tbl_Onsite[Qwilr Quote],IFERROR(MATCH(A35&amp;"",tbl_Onsite[Job Number],0),MATCH(IFERROR(A35+0,A35),tbl_Onsite[Job Number],0)))),IFERROR(IF(IF(INDEX(tbl_Production[Current RMS No],IFERROR(MATCH(A35&amp;"",tbl_Production[Job Number],0),MATCH(IFERROR(A35+0,A35),tbl_Production[Job Number],0)))="",INDEX(tbl_Production[Qwilr Quote],IFERROR(MATCH(A35&amp;"",tbl_Production[Job Number],0),MATCH(IFERROR(A35+0,A35),tbl_Production[Job Number],0))),INDEX(tbl_Production[Current RMS No],IFERROR(MATCH(A35&amp;"",tbl_Production[Job Number],0),MATCH(IFERROR(A35+0,A35),tbl_Production[Job Number],0))))="","",IF(INDEX(tbl_Production[Current RMS No],IFERROR(MATCH(A35&amp;"",tbl_Production[Job Number],0),MATCH(IFERROR(A35+0,A35),tbl_Production[Job Number],0)))="",INDEX(tbl_Production[Qwilr Quote],IFERROR(MATCH(A35&amp;"",tbl_Production[Job Number],0),MATCH(IFERROR(A35+0,A35),tbl_Production[Job Number],0))),INDEX(tbl_Production[Current RMS No],IFERROR(MATCH(A35&amp;"",tbl_Production[Job Number],0),MATCH(IFERROR(A35+0,A35),tbl_Production[Job Number],0))))),IFERROR(IF(INDEX(tbl_Consulting[Qwilr Quote],IFERROR(MATCH(A35&amp;"",tbl_Consulting[Job Number],0),MATCH(IFERROR(A35+0,A35),tbl_Consulting[Job Number],0)))="","",INDEX(tbl_Consulting[Qwilr Quote],IFERROR(MATCH(A35&amp;"",tbl_Consulting[Job Number],0),MATCH(IFERROR(A35+0,A35),tbl_Consulting[Job Number],0)))),""))))</f>
        <v/>
      </c>
      <c r="AG35" s="26">
        <f>IF(AF35="","",IF(AND(LEFT(AF35,4)&lt;&gt;"http",IF(G35="Production",set_RMSBase,set_QwilrBase)=""),"",HYPERLINK(IF(LEFT(AF35,4)="http",AF35,IF(G35="Production",set_RMSBase,set_QwilrBase)&amp;AF35),"Open")))</f>
        <v/>
      </c>
      <c r="AH35" s="27">
        <f>IF(A35="","",IFERROR(INDEX(tbl_Production[Total Expense],IFERROR(MATCH(A35&amp;"",tbl_Production[Job Number],0),MATCH(IFERROR(A35+0,A35),tbl_Production[Job Number],0))),IFERROR(INDEX(tbl_Consulting[Total Expense],IFERROR(MATCH(A35&amp;"",tbl_Consulting[Job Number],0),MATCH(IFERROR(A35+0,A35),tbl_Consulting[Job Number],0))),0)))</f>
        <v/>
      </c>
      <c r="AI35" s="27">
        <f>IF(A35="","",AC35-N(AH35))</f>
        <v/>
      </c>
      <c r="AJ35" s="29">
        <f>IFERROR(AI35/AC35,"")</f>
        <v/>
      </c>
      <c r="AK35" s="26">
        <f>IF(A35="","",IFERROR(IF(INDEX(tbl_Onsite[Notes],IFERROR(MATCH(A35&amp;"",tbl_Onsite[Job Number],0),MATCH(IFERROR(A35+0,A35),tbl_Onsite[Job Number],0)))="","",INDEX(tbl_Onsite[Notes],IFERROR(MATCH(A35&amp;"",tbl_Onsite[Job Number],0),MATCH(IFERROR(A35+0,A35),tbl_Onsite[Job Number],0)))),IFERROR(IF(INDEX(tbl_Production[Notes],IFERROR(MATCH(A35&amp;"",tbl_Production[Job Number],0),MATCH(IFERROR(A35+0,A35),tbl_Production[Job Number],0)))="","",INDEX(tbl_Production[Notes],IFERROR(MATCH(A35&amp;"",tbl_Production[Job Number],0),MATCH(IFERROR(A35+0,A35),tbl_Production[Job Number],0)))),IFERROR(IF(INDEX(tbl_Consulting[Notes],IFERROR(MATCH(A35&amp;"",tbl_Consulting[Job Number],0),MATCH(IFERROR(A35+0,A35),tbl_Consulting[Job Number],0)))="","",INDEX(tbl_Consulting[Notes],IFERROR(MATCH(A35&amp;"",tbl_Consulting[Job Number],0),MATCH(IFERROR(A35+0,A35),tbl_Consulting[Job Number],0)))),""))))</f>
        <v/>
      </c>
    </row>
    <row r="36" ht="15" customHeight="1">
      <c r="A36" s="22" t="n"/>
      <c r="B36" s="22" t="n"/>
      <c r="C36" s="23" t="n"/>
      <c r="D36" s="22" t="n"/>
      <c r="E36" s="24" t="n"/>
      <c r="F36" s="25">
        <f>IF(C36="","",EOMONTH(C36,0))</f>
        <v/>
      </c>
      <c r="G36" s="26">
        <f>IF(A36="","",IF(COUNTIF(tbl_Onsite[Job Number],A36&amp;"")&gt;0,"Onsite",IF(COUNTIF(tbl_Production[Job Number],A36&amp;"")&gt;0,"Production",IF(COUNTIF(tbl_Consulting[Job Number],A36&amp;"")&gt;0,"Consulting","not set up yet"))))</f>
        <v/>
      </c>
      <c r="H36" s="26">
        <f>IF(A36="","",IF(COUNTIF(lst_Jobs,A36&amp;"")&gt;0,"OK","CHECK"))</f>
        <v/>
      </c>
      <c r="I36" s="26">
        <f>IF(A36="","",IFERROR(INDEX(lst_JobName,MATCH(A36&amp;"",lst_Jobs,0)),""))</f>
        <v/>
      </c>
      <c r="J36" s="26">
        <f>IF(A36="","",IFERROR(IF(INDEX(tbl_Onsite[Client],IFERROR(MATCH(A36&amp;"",tbl_Onsite[Job Number],0),MATCH(IFERROR(A36+0,A36),tbl_Onsite[Job Number],0)))="","",INDEX(tbl_Onsite[Client],IFERROR(MATCH(A36&amp;"",tbl_Onsite[Job Number],0),MATCH(IFERROR(A36+0,A36),tbl_Onsite[Job Number],0)))),IFERROR(IF(INDEX(tbl_Production[Client],IFERROR(MATCH(A36&amp;"",tbl_Production[Job Number],0),MATCH(IFERROR(A36+0,A36),tbl_Production[Job Number],0)))="","",INDEX(tbl_Production[Client],IFERROR(MATCH(A36&amp;"",tbl_Production[Job Number],0),MATCH(IFERROR(A36+0,A36),tbl_Production[Job Number],0)))),IFERROR(IF(INDEX(tbl_Consulting[Client],IFERROR(MATCH(A36&amp;"",tbl_Consulting[Job Number],0),MATCH(IFERROR(A36+0,A36),tbl_Consulting[Job Number],0)))="","",INDEX(tbl_Consulting[Client],IFERROR(MATCH(A36&amp;"",tbl_Consulting[Job Number],0),MATCH(IFERROR(A36+0,A36),tbl_Consulting[Job Number],0)))),""))))</f>
        <v/>
      </c>
      <c r="K36" s="26">
        <f>IF(A36="","",IFERROR(IF(INDEX(tbl_Onsite[Job Description],IFERROR(MATCH(A36&amp;"",tbl_Onsite[Job Number],0),MATCH(IFERROR(A36+0,A36),tbl_Onsite[Job Number],0)))="","",INDEX(tbl_Onsite[Job Description],IFERROR(MATCH(A36&amp;"",tbl_Onsite[Job Number],0),MATCH(IFERROR(A36+0,A36),tbl_Onsite[Job Number],0)))),IFERROR(IF(INDEX(tbl_Production[Job Description],IFERROR(MATCH(A36&amp;"",tbl_Production[Job Number],0),MATCH(IFERROR(A36+0,A36),tbl_Production[Job Number],0)))="","",INDEX(tbl_Production[Job Description],IFERROR(MATCH(A36&amp;"",tbl_Production[Job Number],0),MATCH(IFERROR(A36+0,A36),tbl_Production[Job Number],0)))),IFERROR(IF(INDEX(tbl_Consulting[Job Description],IFERROR(MATCH(A36&amp;"",tbl_Consulting[Job Number],0),MATCH(IFERROR(A36+0,A36),tbl_Consulting[Job Number],0)))="","",INDEX(tbl_Consulting[Job Description],IFERROR(MATCH(A36&amp;"",tbl_Consulting[Job Number],0),MATCH(IFERROR(A36+0,A36),tbl_Consulting[Job Number],0)))),""))))</f>
        <v/>
      </c>
      <c r="L36" s="26">
        <f>IF(A36="","",IFERROR(IF(INDEX(tbl_Onsite[Invoice Type],IFERROR(MATCH(A36&amp;"",tbl_Onsite[Job Number],0),MATCH(IFERROR(A36+0,A36),tbl_Onsite[Job Number],0)))="","",INDEX(tbl_Onsite[Invoice Type],IFERROR(MATCH(A36&amp;"",tbl_Onsite[Job Number],0),MATCH(IFERROR(A36+0,A36),tbl_Onsite[Job Number],0)))),IFERROR(IF(INDEX(tbl_Production[Invoice Type],IFERROR(MATCH(A36&amp;"",tbl_Production[Job Number],0),MATCH(IFERROR(A36+0,A36),tbl_Production[Job Number],0)))="","",INDEX(tbl_Production[Invoice Type],IFERROR(MATCH(A36&amp;"",tbl_Production[Job Number],0),MATCH(IFERROR(A36+0,A36),tbl_Production[Job Number],0)))),IFERROR(IF(INDEX(tbl_Consulting[Invoice Type],IFERROR(MATCH(A36&amp;"",tbl_Consulting[Job Number],0),MATCH(IFERROR(A36+0,A36),tbl_Consulting[Job Number],0)))="","",INDEX(tbl_Consulting[Invoice Type],IFERROR(MATCH(A36&amp;"",tbl_Consulting[Job Number],0),MATCH(IFERROR(A36+0,A36),tbl_Consulting[Job Number],0)))),""))))</f>
        <v/>
      </c>
      <c r="M36" s="26">
        <f>IF(A36="","",IF(IFERROR(IF(INDEX(tbl_Onsite[Tax Code],IFERROR(MATCH(A36&amp;"",tbl_Onsite[Job Number],0),MATCH(IFERROR(A36+0,A36),tbl_Onsite[Job Number],0)))="","",INDEX(tbl_Onsite[Tax Code],IFERROR(MATCH(A36&amp;"",tbl_Onsite[Job Number],0),MATCH(IFERROR(A36+0,A36),tbl_Onsite[Job Number],0)))),IFERROR(IF(INDEX(tbl_Production[Tax Code],IFERROR(MATCH(A36&amp;"",tbl_Production[Job Number],0),MATCH(IFERROR(A36+0,A36),tbl_Production[Job Number],0)))="","",INDEX(tbl_Production[Tax Code],IFERROR(MATCH(A36&amp;"",tbl_Production[Job Number],0),MATCH(IFERROR(A36+0,A36),tbl_Production[Job Number],0)))),IFERROR(IF(INDEX(tbl_Consulting[Tax Code],IFERROR(MATCH(A36&amp;"",tbl_Consulting[Job Number],0),MATCH(IFERROR(A36+0,A36),tbl_Consulting[Job Number],0)))="","",INDEX(tbl_Consulting[Tax Code],IFERROR(MATCH(A36&amp;"",tbl_Consulting[Job Number],0),MATCH(IFERROR(A36+0,A36),tbl_Consulting[Job Number],0)))),"")))="","GST 10%",IFERROR(IF(INDEX(tbl_Onsite[Tax Code],IFERROR(MATCH(A36&amp;"",tbl_Onsite[Job Number],0),MATCH(IFERROR(A36+0,A36),tbl_Onsite[Job Number],0)))="","",INDEX(tbl_Onsite[Tax Code],IFERROR(MATCH(A36&amp;"",tbl_Onsite[Job Number],0),MATCH(IFERROR(A36+0,A36),tbl_Onsite[Job Number],0)))),IFERROR(IF(INDEX(tbl_Production[Tax Code],IFERROR(MATCH(A36&amp;"",tbl_Production[Job Number],0),MATCH(IFERROR(A36+0,A36),tbl_Production[Job Number],0)))="","",INDEX(tbl_Production[Tax Code],IFERROR(MATCH(A36&amp;"",tbl_Production[Job Number],0),MATCH(IFERROR(A36+0,A36),tbl_Production[Job Number],0)))),IFERROR(IF(INDEX(tbl_Consulting[Tax Code],IFERROR(MATCH(A36&amp;"",tbl_Consulting[Job Number],0),MATCH(IFERROR(A36+0,A36),tbl_Consulting[Job Number],0)))="","",INDEX(tbl_Consulting[Tax Code],IFERROR(MATCH(A36&amp;"",tbl_Consulting[Job Number],0),MATCH(IFERROR(A36+0,A36),tbl_Consulting[Job Number],0)))),"")))))</f>
        <v/>
      </c>
      <c r="N36" s="26">
        <f>IF(D36="","",IFERROR(INDEX(lst_CCtoGL,MATCH(D36,lst_CCforGL,0)),""))</f>
        <v/>
      </c>
      <c r="O36" s="27">
        <f>IF(E36="","",IF(M36="GST 10%",ROUND(E36*set_GSTRate,2),0))</f>
        <v/>
      </c>
      <c r="P36" s="27">
        <f>IF(E36="","",E36+O36)</f>
        <v/>
      </c>
      <c r="Q36" s="27">
        <f>IF(A36="","",IFERROR(INDEX(tbl_Onsite[Expected Revenue Ex GST],IFERROR(MATCH(A36&amp;"",tbl_Onsite[Job Number],0),MATCH(IFERROR(A36+0,A36),tbl_Onsite[Job Number],0))),IFERROR(INDEX(tbl_Production[Expected Revenue Ex GST],IFERROR(MATCH(A36&amp;"",tbl_Production[Job Number],0),MATCH(IFERROR(A36+0,A36),tbl_Production[Job Number],0))),IFERROR(INDEX(tbl_Consulting[Expected Revenue Ex GST],IFERROR(MATCH(A36&amp;"",tbl_Consulting[Job Number],0),MATCH(IFERROR(A36+0,A36),tbl_Consulting[Job Number],0))),0))))</f>
        <v/>
      </c>
      <c r="R36" s="27">
        <f>IF(A36="","",SUMIFS(tbl_Finance[Ex GST],tbl_Finance[Job Number],A36&amp;""))</f>
        <v/>
      </c>
      <c r="S36" s="27">
        <f>IF(A36="","",Q36-R36)</f>
        <v/>
      </c>
      <c r="T36" s="26">
        <f>IF(A36="","",IF(Q36=0,"No dept value",IF(ROUND(S36,2)=0,"Agrees",IF(S36&gt;0,"Dept higher - to invoice","Xero higher - check dept"))))</f>
        <v/>
      </c>
      <c r="U36" s="22" t="n"/>
      <c r="V36" s="22" t="n"/>
      <c r="W36" s="23" t="n"/>
      <c r="X36" s="23" t="n"/>
      <c r="Y36" s="22" t="n"/>
      <c r="Z36" s="22" t="n"/>
      <c r="AA36" s="26">
        <f>IF(COUNTA(C36,A36,B36,E36)=0,"",IF(C36="","No date - sits outside every month",IF(A36="","No job number",IF(H36="CHECK","Job number is not in the Xero job list",IF(G36="not set up yet","No department has set this job up - nothing can pull through",IF(D36="","No cost centre",IF(AND(U36="Y",B36=""),"Marked posted to Xero but has no invoice number",IF(N36="","Cost centre has no revenue GL on the Lists sheet",IF(T36="Xero higher - check dept","Invoiced more than the department says the job is worth","")))))))))</f>
        <v/>
      </c>
      <c r="AB36" s="28">
        <f>IF(A36="","",COUNTIFS(tbl_Finance[Job Number],A36&amp;"",tbl_Finance[Ex GST],"&lt;&gt;"))</f>
        <v/>
      </c>
      <c r="AC36" s="27">
        <f>IF(A36="","",SUMIFS(tbl_Finance[Ex GST],tbl_Finance[Job Number],A36&amp;""))</f>
        <v/>
      </c>
      <c r="AD36" s="27">
        <f>IF(A36="","",SUMIFS(tbl_Finance[Ex GST],tbl_Finance[Job Number],A36&amp;"",tbl_Finance[Xero Invoice No],"&lt;&gt;"))</f>
        <v/>
      </c>
      <c r="AE36" s="27">
        <f>IF(A36="","",AC36-AD36)</f>
        <v/>
      </c>
      <c r="AF36" s="26">
        <f>IF(A36="","",IFERROR(IF(INDEX(tbl_Onsite[Qwilr Quote],IFERROR(MATCH(A36&amp;"",tbl_Onsite[Job Number],0),MATCH(IFERROR(A36+0,A36),tbl_Onsite[Job Number],0)))="","",INDEX(tbl_Onsite[Qwilr Quote],IFERROR(MATCH(A36&amp;"",tbl_Onsite[Job Number],0),MATCH(IFERROR(A36+0,A36),tbl_Onsite[Job Number],0)))),IFERROR(IF(IF(INDEX(tbl_Production[Current RMS No],IFERROR(MATCH(A36&amp;"",tbl_Production[Job Number],0),MATCH(IFERROR(A36+0,A36),tbl_Production[Job Number],0)))="",INDEX(tbl_Production[Qwilr Quote],IFERROR(MATCH(A36&amp;"",tbl_Production[Job Number],0),MATCH(IFERROR(A36+0,A36),tbl_Production[Job Number],0))),INDEX(tbl_Production[Current RMS No],IFERROR(MATCH(A36&amp;"",tbl_Production[Job Number],0),MATCH(IFERROR(A36+0,A36),tbl_Production[Job Number],0))))="","",IF(INDEX(tbl_Production[Current RMS No],IFERROR(MATCH(A36&amp;"",tbl_Production[Job Number],0),MATCH(IFERROR(A36+0,A36),tbl_Production[Job Number],0)))="",INDEX(tbl_Production[Qwilr Quote],IFERROR(MATCH(A36&amp;"",tbl_Production[Job Number],0),MATCH(IFERROR(A36+0,A36),tbl_Production[Job Number],0))),INDEX(tbl_Production[Current RMS No],IFERROR(MATCH(A36&amp;"",tbl_Production[Job Number],0),MATCH(IFERROR(A36+0,A36),tbl_Production[Job Number],0))))),IFERROR(IF(INDEX(tbl_Consulting[Qwilr Quote],IFERROR(MATCH(A36&amp;"",tbl_Consulting[Job Number],0),MATCH(IFERROR(A36+0,A36),tbl_Consulting[Job Number],0)))="","",INDEX(tbl_Consulting[Qwilr Quote],IFERROR(MATCH(A36&amp;"",tbl_Consulting[Job Number],0),MATCH(IFERROR(A36+0,A36),tbl_Consulting[Job Number],0)))),""))))</f>
        <v/>
      </c>
      <c r="AG36" s="26">
        <f>IF(AF36="","",IF(AND(LEFT(AF36,4)&lt;&gt;"http",IF(G36="Production",set_RMSBase,set_QwilrBase)=""),"",HYPERLINK(IF(LEFT(AF36,4)="http",AF36,IF(G36="Production",set_RMSBase,set_QwilrBase)&amp;AF36),"Open")))</f>
        <v/>
      </c>
      <c r="AH36" s="27">
        <f>IF(A36="","",IFERROR(INDEX(tbl_Production[Total Expense],IFERROR(MATCH(A36&amp;"",tbl_Production[Job Number],0),MATCH(IFERROR(A36+0,A36),tbl_Production[Job Number],0))),IFERROR(INDEX(tbl_Consulting[Total Expense],IFERROR(MATCH(A36&amp;"",tbl_Consulting[Job Number],0),MATCH(IFERROR(A36+0,A36),tbl_Consulting[Job Number],0))),0)))</f>
        <v/>
      </c>
      <c r="AI36" s="27">
        <f>IF(A36="","",AC36-N(AH36))</f>
        <v/>
      </c>
      <c r="AJ36" s="29">
        <f>IFERROR(AI36/AC36,"")</f>
        <v/>
      </c>
      <c r="AK36" s="26">
        <f>IF(A36="","",IFERROR(IF(INDEX(tbl_Onsite[Notes],IFERROR(MATCH(A36&amp;"",tbl_Onsite[Job Number],0),MATCH(IFERROR(A36+0,A36),tbl_Onsite[Job Number],0)))="","",INDEX(tbl_Onsite[Notes],IFERROR(MATCH(A36&amp;"",tbl_Onsite[Job Number],0),MATCH(IFERROR(A36+0,A36),tbl_Onsite[Job Number],0)))),IFERROR(IF(INDEX(tbl_Production[Notes],IFERROR(MATCH(A36&amp;"",tbl_Production[Job Number],0),MATCH(IFERROR(A36+0,A36),tbl_Production[Job Number],0)))="","",INDEX(tbl_Production[Notes],IFERROR(MATCH(A36&amp;"",tbl_Production[Job Number],0),MATCH(IFERROR(A36+0,A36),tbl_Production[Job Number],0)))),IFERROR(IF(INDEX(tbl_Consulting[Notes],IFERROR(MATCH(A36&amp;"",tbl_Consulting[Job Number],0),MATCH(IFERROR(A36+0,A36),tbl_Consulting[Job Number],0)))="","",INDEX(tbl_Consulting[Notes],IFERROR(MATCH(A36&amp;"",tbl_Consulting[Job Number],0),MATCH(IFERROR(A36+0,A36),tbl_Consulting[Job Number],0)))),""))))</f>
        <v/>
      </c>
    </row>
    <row r="37" ht="15" customHeight="1">
      <c r="A37" s="22" t="n"/>
      <c r="B37" s="22" t="n"/>
      <c r="C37" s="23" t="n"/>
      <c r="D37" s="22" t="n"/>
      <c r="E37" s="24" t="n"/>
      <c r="F37" s="25">
        <f>IF(C37="","",EOMONTH(C37,0))</f>
        <v/>
      </c>
      <c r="G37" s="26">
        <f>IF(A37="","",IF(COUNTIF(tbl_Onsite[Job Number],A37&amp;"")&gt;0,"Onsite",IF(COUNTIF(tbl_Production[Job Number],A37&amp;"")&gt;0,"Production",IF(COUNTIF(tbl_Consulting[Job Number],A37&amp;"")&gt;0,"Consulting","not set up yet"))))</f>
        <v/>
      </c>
      <c r="H37" s="26">
        <f>IF(A37="","",IF(COUNTIF(lst_Jobs,A37&amp;"")&gt;0,"OK","CHECK"))</f>
        <v/>
      </c>
      <c r="I37" s="26">
        <f>IF(A37="","",IFERROR(INDEX(lst_JobName,MATCH(A37&amp;"",lst_Jobs,0)),""))</f>
        <v/>
      </c>
      <c r="J37" s="26">
        <f>IF(A37="","",IFERROR(IF(INDEX(tbl_Onsite[Client],IFERROR(MATCH(A37&amp;"",tbl_Onsite[Job Number],0),MATCH(IFERROR(A37+0,A37),tbl_Onsite[Job Number],0)))="","",INDEX(tbl_Onsite[Client],IFERROR(MATCH(A37&amp;"",tbl_Onsite[Job Number],0),MATCH(IFERROR(A37+0,A37),tbl_Onsite[Job Number],0)))),IFERROR(IF(INDEX(tbl_Production[Client],IFERROR(MATCH(A37&amp;"",tbl_Production[Job Number],0),MATCH(IFERROR(A37+0,A37),tbl_Production[Job Number],0)))="","",INDEX(tbl_Production[Client],IFERROR(MATCH(A37&amp;"",tbl_Production[Job Number],0),MATCH(IFERROR(A37+0,A37),tbl_Production[Job Number],0)))),IFERROR(IF(INDEX(tbl_Consulting[Client],IFERROR(MATCH(A37&amp;"",tbl_Consulting[Job Number],0),MATCH(IFERROR(A37+0,A37),tbl_Consulting[Job Number],0)))="","",INDEX(tbl_Consulting[Client],IFERROR(MATCH(A37&amp;"",tbl_Consulting[Job Number],0),MATCH(IFERROR(A37+0,A37),tbl_Consulting[Job Number],0)))),""))))</f>
        <v/>
      </c>
      <c r="K37" s="26">
        <f>IF(A37="","",IFERROR(IF(INDEX(tbl_Onsite[Job Description],IFERROR(MATCH(A37&amp;"",tbl_Onsite[Job Number],0),MATCH(IFERROR(A37+0,A37),tbl_Onsite[Job Number],0)))="","",INDEX(tbl_Onsite[Job Description],IFERROR(MATCH(A37&amp;"",tbl_Onsite[Job Number],0),MATCH(IFERROR(A37+0,A37),tbl_Onsite[Job Number],0)))),IFERROR(IF(INDEX(tbl_Production[Job Description],IFERROR(MATCH(A37&amp;"",tbl_Production[Job Number],0),MATCH(IFERROR(A37+0,A37),tbl_Production[Job Number],0)))="","",INDEX(tbl_Production[Job Description],IFERROR(MATCH(A37&amp;"",tbl_Production[Job Number],0),MATCH(IFERROR(A37+0,A37),tbl_Production[Job Number],0)))),IFERROR(IF(INDEX(tbl_Consulting[Job Description],IFERROR(MATCH(A37&amp;"",tbl_Consulting[Job Number],0),MATCH(IFERROR(A37+0,A37),tbl_Consulting[Job Number],0)))="","",INDEX(tbl_Consulting[Job Description],IFERROR(MATCH(A37&amp;"",tbl_Consulting[Job Number],0),MATCH(IFERROR(A37+0,A37),tbl_Consulting[Job Number],0)))),""))))</f>
        <v/>
      </c>
      <c r="L37" s="26">
        <f>IF(A37="","",IFERROR(IF(INDEX(tbl_Onsite[Invoice Type],IFERROR(MATCH(A37&amp;"",tbl_Onsite[Job Number],0),MATCH(IFERROR(A37+0,A37),tbl_Onsite[Job Number],0)))="","",INDEX(tbl_Onsite[Invoice Type],IFERROR(MATCH(A37&amp;"",tbl_Onsite[Job Number],0),MATCH(IFERROR(A37+0,A37),tbl_Onsite[Job Number],0)))),IFERROR(IF(INDEX(tbl_Production[Invoice Type],IFERROR(MATCH(A37&amp;"",tbl_Production[Job Number],0),MATCH(IFERROR(A37+0,A37),tbl_Production[Job Number],0)))="","",INDEX(tbl_Production[Invoice Type],IFERROR(MATCH(A37&amp;"",tbl_Production[Job Number],0),MATCH(IFERROR(A37+0,A37),tbl_Production[Job Number],0)))),IFERROR(IF(INDEX(tbl_Consulting[Invoice Type],IFERROR(MATCH(A37&amp;"",tbl_Consulting[Job Number],0),MATCH(IFERROR(A37+0,A37),tbl_Consulting[Job Number],0)))="","",INDEX(tbl_Consulting[Invoice Type],IFERROR(MATCH(A37&amp;"",tbl_Consulting[Job Number],0),MATCH(IFERROR(A37+0,A37),tbl_Consulting[Job Number],0)))),""))))</f>
        <v/>
      </c>
      <c r="M37" s="26">
        <f>IF(A37="","",IF(IFERROR(IF(INDEX(tbl_Onsite[Tax Code],IFERROR(MATCH(A37&amp;"",tbl_Onsite[Job Number],0),MATCH(IFERROR(A37+0,A37),tbl_Onsite[Job Number],0)))="","",INDEX(tbl_Onsite[Tax Code],IFERROR(MATCH(A37&amp;"",tbl_Onsite[Job Number],0),MATCH(IFERROR(A37+0,A37),tbl_Onsite[Job Number],0)))),IFERROR(IF(INDEX(tbl_Production[Tax Code],IFERROR(MATCH(A37&amp;"",tbl_Production[Job Number],0),MATCH(IFERROR(A37+0,A37),tbl_Production[Job Number],0)))="","",INDEX(tbl_Production[Tax Code],IFERROR(MATCH(A37&amp;"",tbl_Production[Job Number],0),MATCH(IFERROR(A37+0,A37),tbl_Production[Job Number],0)))),IFERROR(IF(INDEX(tbl_Consulting[Tax Code],IFERROR(MATCH(A37&amp;"",tbl_Consulting[Job Number],0),MATCH(IFERROR(A37+0,A37),tbl_Consulting[Job Number],0)))="","",INDEX(tbl_Consulting[Tax Code],IFERROR(MATCH(A37&amp;"",tbl_Consulting[Job Number],0),MATCH(IFERROR(A37+0,A37),tbl_Consulting[Job Number],0)))),"")))="","GST 10%",IFERROR(IF(INDEX(tbl_Onsite[Tax Code],IFERROR(MATCH(A37&amp;"",tbl_Onsite[Job Number],0),MATCH(IFERROR(A37+0,A37),tbl_Onsite[Job Number],0)))="","",INDEX(tbl_Onsite[Tax Code],IFERROR(MATCH(A37&amp;"",tbl_Onsite[Job Number],0),MATCH(IFERROR(A37+0,A37),tbl_Onsite[Job Number],0)))),IFERROR(IF(INDEX(tbl_Production[Tax Code],IFERROR(MATCH(A37&amp;"",tbl_Production[Job Number],0),MATCH(IFERROR(A37+0,A37),tbl_Production[Job Number],0)))="","",INDEX(tbl_Production[Tax Code],IFERROR(MATCH(A37&amp;"",tbl_Production[Job Number],0),MATCH(IFERROR(A37+0,A37),tbl_Production[Job Number],0)))),IFERROR(IF(INDEX(tbl_Consulting[Tax Code],IFERROR(MATCH(A37&amp;"",tbl_Consulting[Job Number],0),MATCH(IFERROR(A37+0,A37),tbl_Consulting[Job Number],0)))="","",INDEX(tbl_Consulting[Tax Code],IFERROR(MATCH(A37&amp;"",tbl_Consulting[Job Number],0),MATCH(IFERROR(A37+0,A37),tbl_Consulting[Job Number],0)))),"")))))</f>
        <v/>
      </c>
      <c r="N37" s="26">
        <f>IF(D37="","",IFERROR(INDEX(lst_CCtoGL,MATCH(D37,lst_CCforGL,0)),""))</f>
        <v/>
      </c>
      <c r="O37" s="27">
        <f>IF(E37="","",IF(M37="GST 10%",ROUND(E37*set_GSTRate,2),0))</f>
        <v/>
      </c>
      <c r="P37" s="27">
        <f>IF(E37="","",E37+O37)</f>
        <v/>
      </c>
      <c r="Q37" s="27">
        <f>IF(A37="","",IFERROR(INDEX(tbl_Onsite[Expected Revenue Ex GST],IFERROR(MATCH(A37&amp;"",tbl_Onsite[Job Number],0),MATCH(IFERROR(A37+0,A37),tbl_Onsite[Job Number],0))),IFERROR(INDEX(tbl_Production[Expected Revenue Ex GST],IFERROR(MATCH(A37&amp;"",tbl_Production[Job Number],0),MATCH(IFERROR(A37+0,A37),tbl_Production[Job Number],0))),IFERROR(INDEX(tbl_Consulting[Expected Revenue Ex GST],IFERROR(MATCH(A37&amp;"",tbl_Consulting[Job Number],0),MATCH(IFERROR(A37+0,A37),tbl_Consulting[Job Number],0))),0))))</f>
        <v/>
      </c>
      <c r="R37" s="27">
        <f>IF(A37="","",SUMIFS(tbl_Finance[Ex GST],tbl_Finance[Job Number],A37&amp;""))</f>
        <v/>
      </c>
      <c r="S37" s="27">
        <f>IF(A37="","",Q37-R37)</f>
        <v/>
      </c>
      <c r="T37" s="26">
        <f>IF(A37="","",IF(Q37=0,"No dept value",IF(ROUND(S37,2)=0,"Agrees",IF(S37&gt;0,"Dept higher - to invoice","Xero higher - check dept"))))</f>
        <v/>
      </c>
      <c r="U37" s="22" t="n"/>
      <c r="V37" s="22" t="n"/>
      <c r="W37" s="23" t="n"/>
      <c r="X37" s="23" t="n"/>
      <c r="Y37" s="22" t="n"/>
      <c r="Z37" s="22" t="n"/>
      <c r="AA37" s="26">
        <f>IF(COUNTA(C37,A37,B37,E37)=0,"",IF(C37="","No date - sits outside every month",IF(A37="","No job number",IF(H37="CHECK","Job number is not in the Xero job list",IF(G37="not set up yet","No department has set this job up - nothing can pull through",IF(D37="","No cost centre",IF(AND(U37="Y",B37=""),"Marked posted to Xero but has no invoice number",IF(N37="","Cost centre has no revenue GL on the Lists sheet",IF(T37="Xero higher - check dept","Invoiced more than the department says the job is worth","")))))))))</f>
        <v/>
      </c>
      <c r="AB37" s="28">
        <f>IF(A37="","",COUNTIFS(tbl_Finance[Job Number],A37&amp;"",tbl_Finance[Ex GST],"&lt;&gt;"))</f>
        <v/>
      </c>
      <c r="AC37" s="27">
        <f>IF(A37="","",SUMIFS(tbl_Finance[Ex GST],tbl_Finance[Job Number],A37&amp;""))</f>
        <v/>
      </c>
      <c r="AD37" s="27">
        <f>IF(A37="","",SUMIFS(tbl_Finance[Ex GST],tbl_Finance[Job Number],A37&amp;"",tbl_Finance[Xero Invoice No],"&lt;&gt;"))</f>
        <v/>
      </c>
      <c r="AE37" s="27">
        <f>IF(A37="","",AC37-AD37)</f>
        <v/>
      </c>
      <c r="AF37" s="26">
        <f>IF(A37="","",IFERROR(IF(INDEX(tbl_Onsite[Qwilr Quote],IFERROR(MATCH(A37&amp;"",tbl_Onsite[Job Number],0),MATCH(IFERROR(A37+0,A37),tbl_Onsite[Job Number],0)))="","",INDEX(tbl_Onsite[Qwilr Quote],IFERROR(MATCH(A37&amp;"",tbl_Onsite[Job Number],0),MATCH(IFERROR(A37+0,A37),tbl_Onsite[Job Number],0)))),IFERROR(IF(IF(INDEX(tbl_Production[Current RMS No],IFERROR(MATCH(A37&amp;"",tbl_Production[Job Number],0),MATCH(IFERROR(A37+0,A37),tbl_Production[Job Number],0)))="",INDEX(tbl_Production[Qwilr Quote],IFERROR(MATCH(A37&amp;"",tbl_Production[Job Number],0),MATCH(IFERROR(A37+0,A37),tbl_Production[Job Number],0))),INDEX(tbl_Production[Current RMS No],IFERROR(MATCH(A37&amp;"",tbl_Production[Job Number],0),MATCH(IFERROR(A37+0,A37),tbl_Production[Job Number],0))))="","",IF(INDEX(tbl_Production[Current RMS No],IFERROR(MATCH(A37&amp;"",tbl_Production[Job Number],0),MATCH(IFERROR(A37+0,A37),tbl_Production[Job Number],0)))="",INDEX(tbl_Production[Qwilr Quote],IFERROR(MATCH(A37&amp;"",tbl_Production[Job Number],0),MATCH(IFERROR(A37+0,A37),tbl_Production[Job Number],0))),INDEX(tbl_Production[Current RMS No],IFERROR(MATCH(A37&amp;"",tbl_Production[Job Number],0),MATCH(IFERROR(A37+0,A37),tbl_Production[Job Number],0))))),IFERROR(IF(INDEX(tbl_Consulting[Qwilr Quote],IFERROR(MATCH(A37&amp;"",tbl_Consulting[Job Number],0),MATCH(IFERROR(A37+0,A37),tbl_Consulting[Job Number],0)))="","",INDEX(tbl_Consulting[Qwilr Quote],IFERROR(MATCH(A37&amp;"",tbl_Consulting[Job Number],0),MATCH(IFERROR(A37+0,A37),tbl_Consulting[Job Number],0)))),""))))</f>
        <v/>
      </c>
      <c r="AG37" s="26">
        <f>IF(AF37="","",IF(AND(LEFT(AF37,4)&lt;&gt;"http",IF(G37="Production",set_RMSBase,set_QwilrBase)=""),"",HYPERLINK(IF(LEFT(AF37,4)="http",AF37,IF(G37="Production",set_RMSBase,set_QwilrBase)&amp;AF37),"Open")))</f>
        <v/>
      </c>
      <c r="AH37" s="27">
        <f>IF(A37="","",IFERROR(INDEX(tbl_Production[Total Expense],IFERROR(MATCH(A37&amp;"",tbl_Production[Job Number],0),MATCH(IFERROR(A37+0,A37),tbl_Production[Job Number],0))),IFERROR(INDEX(tbl_Consulting[Total Expense],IFERROR(MATCH(A37&amp;"",tbl_Consulting[Job Number],0),MATCH(IFERROR(A37+0,A37),tbl_Consulting[Job Number],0))),0)))</f>
        <v/>
      </c>
      <c r="AI37" s="27">
        <f>IF(A37="","",AC37-N(AH37))</f>
        <v/>
      </c>
      <c r="AJ37" s="29">
        <f>IFERROR(AI37/AC37,"")</f>
        <v/>
      </c>
      <c r="AK37" s="26">
        <f>IF(A37="","",IFERROR(IF(INDEX(tbl_Onsite[Notes],IFERROR(MATCH(A37&amp;"",tbl_Onsite[Job Number],0),MATCH(IFERROR(A37+0,A37),tbl_Onsite[Job Number],0)))="","",INDEX(tbl_Onsite[Notes],IFERROR(MATCH(A37&amp;"",tbl_Onsite[Job Number],0),MATCH(IFERROR(A37+0,A37),tbl_Onsite[Job Number],0)))),IFERROR(IF(INDEX(tbl_Production[Notes],IFERROR(MATCH(A37&amp;"",tbl_Production[Job Number],0),MATCH(IFERROR(A37+0,A37),tbl_Production[Job Number],0)))="","",INDEX(tbl_Production[Notes],IFERROR(MATCH(A37&amp;"",tbl_Production[Job Number],0),MATCH(IFERROR(A37+0,A37),tbl_Production[Job Number],0)))),IFERROR(IF(INDEX(tbl_Consulting[Notes],IFERROR(MATCH(A37&amp;"",tbl_Consulting[Job Number],0),MATCH(IFERROR(A37+0,A37),tbl_Consulting[Job Number],0)))="","",INDEX(tbl_Consulting[Notes],IFERROR(MATCH(A37&amp;"",tbl_Consulting[Job Number],0),MATCH(IFERROR(A37+0,A37),tbl_Consulting[Job Number],0)))),""))))</f>
        <v/>
      </c>
    </row>
    <row r="38" ht="15" customHeight="1">
      <c r="A38" s="22" t="n"/>
      <c r="B38" s="22" t="n"/>
      <c r="C38" s="23" t="n"/>
      <c r="D38" s="22" t="n"/>
      <c r="E38" s="24" t="n"/>
      <c r="F38" s="25">
        <f>IF(C38="","",EOMONTH(C38,0))</f>
        <v/>
      </c>
      <c r="G38" s="26">
        <f>IF(A38="","",IF(COUNTIF(tbl_Onsite[Job Number],A38&amp;"")&gt;0,"Onsite",IF(COUNTIF(tbl_Production[Job Number],A38&amp;"")&gt;0,"Production",IF(COUNTIF(tbl_Consulting[Job Number],A38&amp;"")&gt;0,"Consulting","not set up yet"))))</f>
        <v/>
      </c>
      <c r="H38" s="26">
        <f>IF(A38="","",IF(COUNTIF(lst_Jobs,A38&amp;"")&gt;0,"OK","CHECK"))</f>
        <v/>
      </c>
      <c r="I38" s="26">
        <f>IF(A38="","",IFERROR(INDEX(lst_JobName,MATCH(A38&amp;"",lst_Jobs,0)),""))</f>
        <v/>
      </c>
      <c r="J38" s="26">
        <f>IF(A38="","",IFERROR(IF(INDEX(tbl_Onsite[Client],IFERROR(MATCH(A38&amp;"",tbl_Onsite[Job Number],0),MATCH(IFERROR(A38+0,A38),tbl_Onsite[Job Number],0)))="","",INDEX(tbl_Onsite[Client],IFERROR(MATCH(A38&amp;"",tbl_Onsite[Job Number],0),MATCH(IFERROR(A38+0,A38),tbl_Onsite[Job Number],0)))),IFERROR(IF(INDEX(tbl_Production[Client],IFERROR(MATCH(A38&amp;"",tbl_Production[Job Number],0),MATCH(IFERROR(A38+0,A38),tbl_Production[Job Number],0)))="","",INDEX(tbl_Production[Client],IFERROR(MATCH(A38&amp;"",tbl_Production[Job Number],0),MATCH(IFERROR(A38+0,A38),tbl_Production[Job Number],0)))),IFERROR(IF(INDEX(tbl_Consulting[Client],IFERROR(MATCH(A38&amp;"",tbl_Consulting[Job Number],0),MATCH(IFERROR(A38+0,A38),tbl_Consulting[Job Number],0)))="","",INDEX(tbl_Consulting[Client],IFERROR(MATCH(A38&amp;"",tbl_Consulting[Job Number],0),MATCH(IFERROR(A38+0,A38),tbl_Consulting[Job Number],0)))),""))))</f>
        <v/>
      </c>
      <c r="K38" s="26">
        <f>IF(A38="","",IFERROR(IF(INDEX(tbl_Onsite[Job Description],IFERROR(MATCH(A38&amp;"",tbl_Onsite[Job Number],0),MATCH(IFERROR(A38+0,A38),tbl_Onsite[Job Number],0)))="","",INDEX(tbl_Onsite[Job Description],IFERROR(MATCH(A38&amp;"",tbl_Onsite[Job Number],0),MATCH(IFERROR(A38+0,A38),tbl_Onsite[Job Number],0)))),IFERROR(IF(INDEX(tbl_Production[Job Description],IFERROR(MATCH(A38&amp;"",tbl_Production[Job Number],0),MATCH(IFERROR(A38+0,A38),tbl_Production[Job Number],0)))="","",INDEX(tbl_Production[Job Description],IFERROR(MATCH(A38&amp;"",tbl_Production[Job Number],0),MATCH(IFERROR(A38+0,A38),tbl_Production[Job Number],0)))),IFERROR(IF(INDEX(tbl_Consulting[Job Description],IFERROR(MATCH(A38&amp;"",tbl_Consulting[Job Number],0),MATCH(IFERROR(A38+0,A38),tbl_Consulting[Job Number],0)))="","",INDEX(tbl_Consulting[Job Description],IFERROR(MATCH(A38&amp;"",tbl_Consulting[Job Number],0),MATCH(IFERROR(A38+0,A38),tbl_Consulting[Job Number],0)))),""))))</f>
        <v/>
      </c>
      <c r="L38" s="26">
        <f>IF(A38="","",IFERROR(IF(INDEX(tbl_Onsite[Invoice Type],IFERROR(MATCH(A38&amp;"",tbl_Onsite[Job Number],0),MATCH(IFERROR(A38+0,A38),tbl_Onsite[Job Number],0)))="","",INDEX(tbl_Onsite[Invoice Type],IFERROR(MATCH(A38&amp;"",tbl_Onsite[Job Number],0),MATCH(IFERROR(A38+0,A38),tbl_Onsite[Job Number],0)))),IFERROR(IF(INDEX(tbl_Production[Invoice Type],IFERROR(MATCH(A38&amp;"",tbl_Production[Job Number],0),MATCH(IFERROR(A38+0,A38),tbl_Production[Job Number],0)))="","",INDEX(tbl_Production[Invoice Type],IFERROR(MATCH(A38&amp;"",tbl_Production[Job Number],0),MATCH(IFERROR(A38+0,A38),tbl_Production[Job Number],0)))),IFERROR(IF(INDEX(tbl_Consulting[Invoice Type],IFERROR(MATCH(A38&amp;"",tbl_Consulting[Job Number],0),MATCH(IFERROR(A38+0,A38),tbl_Consulting[Job Number],0)))="","",INDEX(tbl_Consulting[Invoice Type],IFERROR(MATCH(A38&amp;"",tbl_Consulting[Job Number],0),MATCH(IFERROR(A38+0,A38),tbl_Consulting[Job Number],0)))),""))))</f>
        <v/>
      </c>
      <c r="M38" s="26">
        <f>IF(A38="","",IF(IFERROR(IF(INDEX(tbl_Onsite[Tax Code],IFERROR(MATCH(A38&amp;"",tbl_Onsite[Job Number],0),MATCH(IFERROR(A38+0,A38),tbl_Onsite[Job Number],0)))="","",INDEX(tbl_Onsite[Tax Code],IFERROR(MATCH(A38&amp;"",tbl_Onsite[Job Number],0),MATCH(IFERROR(A38+0,A38),tbl_Onsite[Job Number],0)))),IFERROR(IF(INDEX(tbl_Production[Tax Code],IFERROR(MATCH(A38&amp;"",tbl_Production[Job Number],0),MATCH(IFERROR(A38+0,A38),tbl_Production[Job Number],0)))="","",INDEX(tbl_Production[Tax Code],IFERROR(MATCH(A38&amp;"",tbl_Production[Job Number],0),MATCH(IFERROR(A38+0,A38),tbl_Production[Job Number],0)))),IFERROR(IF(INDEX(tbl_Consulting[Tax Code],IFERROR(MATCH(A38&amp;"",tbl_Consulting[Job Number],0),MATCH(IFERROR(A38+0,A38),tbl_Consulting[Job Number],0)))="","",INDEX(tbl_Consulting[Tax Code],IFERROR(MATCH(A38&amp;"",tbl_Consulting[Job Number],0),MATCH(IFERROR(A38+0,A38),tbl_Consulting[Job Number],0)))),"")))="","GST 10%",IFERROR(IF(INDEX(tbl_Onsite[Tax Code],IFERROR(MATCH(A38&amp;"",tbl_Onsite[Job Number],0),MATCH(IFERROR(A38+0,A38),tbl_Onsite[Job Number],0)))="","",INDEX(tbl_Onsite[Tax Code],IFERROR(MATCH(A38&amp;"",tbl_Onsite[Job Number],0),MATCH(IFERROR(A38+0,A38),tbl_Onsite[Job Number],0)))),IFERROR(IF(INDEX(tbl_Production[Tax Code],IFERROR(MATCH(A38&amp;"",tbl_Production[Job Number],0),MATCH(IFERROR(A38+0,A38),tbl_Production[Job Number],0)))="","",INDEX(tbl_Production[Tax Code],IFERROR(MATCH(A38&amp;"",tbl_Production[Job Number],0),MATCH(IFERROR(A38+0,A38),tbl_Production[Job Number],0)))),IFERROR(IF(INDEX(tbl_Consulting[Tax Code],IFERROR(MATCH(A38&amp;"",tbl_Consulting[Job Number],0),MATCH(IFERROR(A38+0,A38),tbl_Consulting[Job Number],0)))="","",INDEX(tbl_Consulting[Tax Code],IFERROR(MATCH(A38&amp;"",tbl_Consulting[Job Number],0),MATCH(IFERROR(A38+0,A38),tbl_Consulting[Job Number],0)))),"")))))</f>
        <v/>
      </c>
      <c r="N38" s="26">
        <f>IF(D38="","",IFERROR(INDEX(lst_CCtoGL,MATCH(D38,lst_CCforGL,0)),""))</f>
        <v/>
      </c>
      <c r="O38" s="27">
        <f>IF(E38="","",IF(M38="GST 10%",ROUND(E38*set_GSTRate,2),0))</f>
        <v/>
      </c>
      <c r="P38" s="27">
        <f>IF(E38="","",E38+O38)</f>
        <v/>
      </c>
      <c r="Q38" s="27">
        <f>IF(A38="","",IFERROR(INDEX(tbl_Onsite[Expected Revenue Ex GST],IFERROR(MATCH(A38&amp;"",tbl_Onsite[Job Number],0),MATCH(IFERROR(A38+0,A38),tbl_Onsite[Job Number],0))),IFERROR(INDEX(tbl_Production[Expected Revenue Ex GST],IFERROR(MATCH(A38&amp;"",tbl_Production[Job Number],0),MATCH(IFERROR(A38+0,A38),tbl_Production[Job Number],0))),IFERROR(INDEX(tbl_Consulting[Expected Revenue Ex GST],IFERROR(MATCH(A38&amp;"",tbl_Consulting[Job Number],0),MATCH(IFERROR(A38+0,A38),tbl_Consulting[Job Number],0))),0))))</f>
        <v/>
      </c>
      <c r="R38" s="27">
        <f>IF(A38="","",SUMIFS(tbl_Finance[Ex GST],tbl_Finance[Job Number],A38&amp;""))</f>
        <v/>
      </c>
      <c r="S38" s="27">
        <f>IF(A38="","",Q38-R38)</f>
        <v/>
      </c>
      <c r="T38" s="26">
        <f>IF(A38="","",IF(Q38=0,"No dept value",IF(ROUND(S38,2)=0,"Agrees",IF(S38&gt;0,"Dept higher - to invoice","Xero higher - check dept"))))</f>
        <v/>
      </c>
      <c r="U38" s="22" t="n"/>
      <c r="V38" s="22" t="n"/>
      <c r="W38" s="23" t="n"/>
      <c r="X38" s="23" t="n"/>
      <c r="Y38" s="22" t="n"/>
      <c r="Z38" s="22" t="n"/>
      <c r="AA38" s="26">
        <f>IF(COUNTA(C38,A38,B38,E38)=0,"",IF(C38="","No date - sits outside every month",IF(A38="","No job number",IF(H38="CHECK","Job number is not in the Xero job list",IF(G38="not set up yet","No department has set this job up - nothing can pull through",IF(D38="","No cost centre",IF(AND(U38="Y",B38=""),"Marked posted to Xero but has no invoice number",IF(N38="","Cost centre has no revenue GL on the Lists sheet",IF(T38="Xero higher - check dept","Invoiced more than the department says the job is worth","")))))))))</f>
        <v/>
      </c>
      <c r="AB38" s="28">
        <f>IF(A38="","",COUNTIFS(tbl_Finance[Job Number],A38&amp;"",tbl_Finance[Ex GST],"&lt;&gt;"))</f>
        <v/>
      </c>
      <c r="AC38" s="27">
        <f>IF(A38="","",SUMIFS(tbl_Finance[Ex GST],tbl_Finance[Job Number],A38&amp;""))</f>
        <v/>
      </c>
      <c r="AD38" s="27">
        <f>IF(A38="","",SUMIFS(tbl_Finance[Ex GST],tbl_Finance[Job Number],A38&amp;"",tbl_Finance[Xero Invoice No],"&lt;&gt;"))</f>
        <v/>
      </c>
      <c r="AE38" s="27">
        <f>IF(A38="","",AC38-AD38)</f>
        <v/>
      </c>
      <c r="AF38" s="26">
        <f>IF(A38="","",IFERROR(IF(INDEX(tbl_Onsite[Qwilr Quote],IFERROR(MATCH(A38&amp;"",tbl_Onsite[Job Number],0),MATCH(IFERROR(A38+0,A38),tbl_Onsite[Job Number],0)))="","",INDEX(tbl_Onsite[Qwilr Quote],IFERROR(MATCH(A38&amp;"",tbl_Onsite[Job Number],0),MATCH(IFERROR(A38+0,A38),tbl_Onsite[Job Number],0)))),IFERROR(IF(IF(INDEX(tbl_Production[Current RMS No],IFERROR(MATCH(A38&amp;"",tbl_Production[Job Number],0),MATCH(IFERROR(A38+0,A38),tbl_Production[Job Number],0)))="",INDEX(tbl_Production[Qwilr Quote],IFERROR(MATCH(A38&amp;"",tbl_Production[Job Number],0),MATCH(IFERROR(A38+0,A38),tbl_Production[Job Number],0))),INDEX(tbl_Production[Current RMS No],IFERROR(MATCH(A38&amp;"",tbl_Production[Job Number],0),MATCH(IFERROR(A38+0,A38),tbl_Production[Job Number],0))))="","",IF(INDEX(tbl_Production[Current RMS No],IFERROR(MATCH(A38&amp;"",tbl_Production[Job Number],0),MATCH(IFERROR(A38+0,A38),tbl_Production[Job Number],0)))="",INDEX(tbl_Production[Qwilr Quote],IFERROR(MATCH(A38&amp;"",tbl_Production[Job Number],0),MATCH(IFERROR(A38+0,A38),tbl_Production[Job Number],0))),INDEX(tbl_Production[Current RMS No],IFERROR(MATCH(A38&amp;"",tbl_Production[Job Number],0),MATCH(IFERROR(A38+0,A38),tbl_Production[Job Number],0))))),IFERROR(IF(INDEX(tbl_Consulting[Qwilr Quote],IFERROR(MATCH(A38&amp;"",tbl_Consulting[Job Number],0),MATCH(IFERROR(A38+0,A38),tbl_Consulting[Job Number],0)))="","",INDEX(tbl_Consulting[Qwilr Quote],IFERROR(MATCH(A38&amp;"",tbl_Consulting[Job Number],0),MATCH(IFERROR(A38+0,A38),tbl_Consulting[Job Number],0)))),""))))</f>
        <v/>
      </c>
      <c r="AG38" s="26">
        <f>IF(AF38="","",IF(AND(LEFT(AF38,4)&lt;&gt;"http",IF(G38="Production",set_RMSBase,set_QwilrBase)=""),"",HYPERLINK(IF(LEFT(AF38,4)="http",AF38,IF(G38="Production",set_RMSBase,set_QwilrBase)&amp;AF38),"Open")))</f>
        <v/>
      </c>
      <c r="AH38" s="27">
        <f>IF(A38="","",IFERROR(INDEX(tbl_Production[Total Expense],IFERROR(MATCH(A38&amp;"",tbl_Production[Job Number],0),MATCH(IFERROR(A38+0,A38),tbl_Production[Job Number],0))),IFERROR(INDEX(tbl_Consulting[Total Expense],IFERROR(MATCH(A38&amp;"",tbl_Consulting[Job Number],0),MATCH(IFERROR(A38+0,A38),tbl_Consulting[Job Number],0))),0)))</f>
        <v/>
      </c>
      <c r="AI38" s="27">
        <f>IF(A38="","",AC38-N(AH38))</f>
        <v/>
      </c>
      <c r="AJ38" s="29">
        <f>IFERROR(AI38/AC38,"")</f>
        <v/>
      </c>
      <c r="AK38" s="26">
        <f>IF(A38="","",IFERROR(IF(INDEX(tbl_Onsite[Notes],IFERROR(MATCH(A38&amp;"",tbl_Onsite[Job Number],0),MATCH(IFERROR(A38+0,A38),tbl_Onsite[Job Number],0)))="","",INDEX(tbl_Onsite[Notes],IFERROR(MATCH(A38&amp;"",tbl_Onsite[Job Number],0),MATCH(IFERROR(A38+0,A38),tbl_Onsite[Job Number],0)))),IFERROR(IF(INDEX(tbl_Production[Notes],IFERROR(MATCH(A38&amp;"",tbl_Production[Job Number],0),MATCH(IFERROR(A38+0,A38),tbl_Production[Job Number],0)))="","",INDEX(tbl_Production[Notes],IFERROR(MATCH(A38&amp;"",tbl_Production[Job Number],0),MATCH(IFERROR(A38+0,A38),tbl_Production[Job Number],0)))),IFERROR(IF(INDEX(tbl_Consulting[Notes],IFERROR(MATCH(A38&amp;"",tbl_Consulting[Job Number],0),MATCH(IFERROR(A38+0,A38),tbl_Consulting[Job Number],0)))="","",INDEX(tbl_Consulting[Notes],IFERROR(MATCH(A38&amp;"",tbl_Consulting[Job Number],0),MATCH(IFERROR(A38+0,A38),tbl_Consulting[Job Number],0)))),""))))</f>
        <v/>
      </c>
    </row>
    <row r="39" ht="15" customHeight="1">
      <c r="A39" s="22" t="n"/>
      <c r="B39" s="22" t="n"/>
      <c r="C39" s="23" t="n"/>
      <c r="D39" s="22" t="n"/>
      <c r="E39" s="24" t="n"/>
      <c r="F39" s="25">
        <f>IF(C39="","",EOMONTH(C39,0))</f>
        <v/>
      </c>
      <c r="G39" s="26">
        <f>IF(A39="","",IF(COUNTIF(tbl_Onsite[Job Number],A39&amp;"")&gt;0,"Onsite",IF(COUNTIF(tbl_Production[Job Number],A39&amp;"")&gt;0,"Production",IF(COUNTIF(tbl_Consulting[Job Number],A39&amp;"")&gt;0,"Consulting","not set up yet"))))</f>
        <v/>
      </c>
      <c r="H39" s="26">
        <f>IF(A39="","",IF(COUNTIF(lst_Jobs,A39&amp;"")&gt;0,"OK","CHECK"))</f>
        <v/>
      </c>
      <c r="I39" s="26">
        <f>IF(A39="","",IFERROR(INDEX(lst_JobName,MATCH(A39&amp;"",lst_Jobs,0)),""))</f>
        <v/>
      </c>
      <c r="J39" s="26">
        <f>IF(A39="","",IFERROR(IF(INDEX(tbl_Onsite[Client],IFERROR(MATCH(A39&amp;"",tbl_Onsite[Job Number],0),MATCH(IFERROR(A39+0,A39),tbl_Onsite[Job Number],0)))="","",INDEX(tbl_Onsite[Client],IFERROR(MATCH(A39&amp;"",tbl_Onsite[Job Number],0),MATCH(IFERROR(A39+0,A39),tbl_Onsite[Job Number],0)))),IFERROR(IF(INDEX(tbl_Production[Client],IFERROR(MATCH(A39&amp;"",tbl_Production[Job Number],0),MATCH(IFERROR(A39+0,A39),tbl_Production[Job Number],0)))="","",INDEX(tbl_Production[Client],IFERROR(MATCH(A39&amp;"",tbl_Production[Job Number],0),MATCH(IFERROR(A39+0,A39),tbl_Production[Job Number],0)))),IFERROR(IF(INDEX(tbl_Consulting[Client],IFERROR(MATCH(A39&amp;"",tbl_Consulting[Job Number],0),MATCH(IFERROR(A39+0,A39),tbl_Consulting[Job Number],0)))="","",INDEX(tbl_Consulting[Client],IFERROR(MATCH(A39&amp;"",tbl_Consulting[Job Number],0),MATCH(IFERROR(A39+0,A39),tbl_Consulting[Job Number],0)))),""))))</f>
        <v/>
      </c>
      <c r="K39" s="26">
        <f>IF(A39="","",IFERROR(IF(INDEX(tbl_Onsite[Job Description],IFERROR(MATCH(A39&amp;"",tbl_Onsite[Job Number],0),MATCH(IFERROR(A39+0,A39),tbl_Onsite[Job Number],0)))="","",INDEX(tbl_Onsite[Job Description],IFERROR(MATCH(A39&amp;"",tbl_Onsite[Job Number],0),MATCH(IFERROR(A39+0,A39),tbl_Onsite[Job Number],0)))),IFERROR(IF(INDEX(tbl_Production[Job Description],IFERROR(MATCH(A39&amp;"",tbl_Production[Job Number],0),MATCH(IFERROR(A39+0,A39),tbl_Production[Job Number],0)))="","",INDEX(tbl_Production[Job Description],IFERROR(MATCH(A39&amp;"",tbl_Production[Job Number],0),MATCH(IFERROR(A39+0,A39),tbl_Production[Job Number],0)))),IFERROR(IF(INDEX(tbl_Consulting[Job Description],IFERROR(MATCH(A39&amp;"",tbl_Consulting[Job Number],0),MATCH(IFERROR(A39+0,A39),tbl_Consulting[Job Number],0)))="","",INDEX(tbl_Consulting[Job Description],IFERROR(MATCH(A39&amp;"",tbl_Consulting[Job Number],0),MATCH(IFERROR(A39+0,A39),tbl_Consulting[Job Number],0)))),""))))</f>
        <v/>
      </c>
      <c r="L39" s="26">
        <f>IF(A39="","",IFERROR(IF(INDEX(tbl_Onsite[Invoice Type],IFERROR(MATCH(A39&amp;"",tbl_Onsite[Job Number],0),MATCH(IFERROR(A39+0,A39),tbl_Onsite[Job Number],0)))="","",INDEX(tbl_Onsite[Invoice Type],IFERROR(MATCH(A39&amp;"",tbl_Onsite[Job Number],0),MATCH(IFERROR(A39+0,A39),tbl_Onsite[Job Number],0)))),IFERROR(IF(INDEX(tbl_Production[Invoice Type],IFERROR(MATCH(A39&amp;"",tbl_Production[Job Number],0),MATCH(IFERROR(A39+0,A39),tbl_Production[Job Number],0)))="","",INDEX(tbl_Production[Invoice Type],IFERROR(MATCH(A39&amp;"",tbl_Production[Job Number],0),MATCH(IFERROR(A39+0,A39),tbl_Production[Job Number],0)))),IFERROR(IF(INDEX(tbl_Consulting[Invoice Type],IFERROR(MATCH(A39&amp;"",tbl_Consulting[Job Number],0),MATCH(IFERROR(A39+0,A39),tbl_Consulting[Job Number],0)))="","",INDEX(tbl_Consulting[Invoice Type],IFERROR(MATCH(A39&amp;"",tbl_Consulting[Job Number],0),MATCH(IFERROR(A39+0,A39),tbl_Consulting[Job Number],0)))),""))))</f>
        <v/>
      </c>
      <c r="M39" s="26">
        <f>IF(A39="","",IF(IFERROR(IF(INDEX(tbl_Onsite[Tax Code],IFERROR(MATCH(A39&amp;"",tbl_Onsite[Job Number],0),MATCH(IFERROR(A39+0,A39),tbl_Onsite[Job Number],0)))="","",INDEX(tbl_Onsite[Tax Code],IFERROR(MATCH(A39&amp;"",tbl_Onsite[Job Number],0),MATCH(IFERROR(A39+0,A39),tbl_Onsite[Job Number],0)))),IFERROR(IF(INDEX(tbl_Production[Tax Code],IFERROR(MATCH(A39&amp;"",tbl_Production[Job Number],0),MATCH(IFERROR(A39+0,A39),tbl_Production[Job Number],0)))="","",INDEX(tbl_Production[Tax Code],IFERROR(MATCH(A39&amp;"",tbl_Production[Job Number],0),MATCH(IFERROR(A39+0,A39),tbl_Production[Job Number],0)))),IFERROR(IF(INDEX(tbl_Consulting[Tax Code],IFERROR(MATCH(A39&amp;"",tbl_Consulting[Job Number],0),MATCH(IFERROR(A39+0,A39),tbl_Consulting[Job Number],0)))="","",INDEX(tbl_Consulting[Tax Code],IFERROR(MATCH(A39&amp;"",tbl_Consulting[Job Number],0),MATCH(IFERROR(A39+0,A39),tbl_Consulting[Job Number],0)))),"")))="","GST 10%",IFERROR(IF(INDEX(tbl_Onsite[Tax Code],IFERROR(MATCH(A39&amp;"",tbl_Onsite[Job Number],0),MATCH(IFERROR(A39+0,A39),tbl_Onsite[Job Number],0)))="","",INDEX(tbl_Onsite[Tax Code],IFERROR(MATCH(A39&amp;"",tbl_Onsite[Job Number],0),MATCH(IFERROR(A39+0,A39),tbl_Onsite[Job Number],0)))),IFERROR(IF(INDEX(tbl_Production[Tax Code],IFERROR(MATCH(A39&amp;"",tbl_Production[Job Number],0),MATCH(IFERROR(A39+0,A39),tbl_Production[Job Number],0)))="","",INDEX(tbl_Production[Tax Code],IFERROR(MATCH(A39&amp;"",tbl_Production[Job Number],0),MATCH(IFERROR(A39+0,A39),tbl_Production[Job Number],0)))),IFERROR(IF(INDEX(tbl_Consulting[Tax Code],IFERROR(MATCH(A39&amp;"",tbl_Consulting[Job Number],0),MATCH(IFERROR(A39+0,A39),tbl_Consulting[Job Number],0)))="","",INDEX(tbl_Consulting[Tax Code],IFERROR(MATCH(A39&amp;"",tbl_Consulting[Job Number],0),MATCH(IFERROR(A39+0,A39),tbl_Consulting[Job Number],0)))),"")))))</f>
        <v/>
      </c>
      <c r="N39" s="26">
        <f>IF(D39="","",IFERROR(INDEX(lst_CCtoGL,MATCH(D39,lst_CCforGL,0)),""))</f>
        <v/>
      </c>
      <c r="O39" s="27">
        <f>IF(E39="","",IF(M39="GST 10%",ROUND(E39*set_GSTRate,2),0))</f>
        <v/>
      </c>
      <c r="P39" s="27">
        <f>IF(E39="","",E39+O39)</f>
        <v/>
      </c>
      <c r="Q39" s="27">
        <f>IF(A39="","",IFERROR(INDEX(tbl_Onsite[Expected Revenue Ex GST],IFERROR(MATCH(A39&amp;"",tbl_Onsite[Job Number],0),MATCH(IFERROR(A39+0,A39),tbl_Onsite[Job Number],0))),IFERROR(INDEX(tbl_Production[Expected Revenue Ex GST],IFERROR(MATCH(A39&amp;"",tbl_Production[Job Number],0),MATCH(IFERROR(A39+0,A39),tbl_Production[Job Number],0))),IFERROR(INDEX(tbl_Consulting[Expected Revenue Ex GST],IFERROR(MATCH(A39&amp;"",tbl_Consulting[Job Number],0),MATCH(IFERROR(A39+0,A39),tbl_Consulting[Job Number],0))),0))))</f>
        <v/>
      </c>
      <c r="R39" s="27">
        <f>IF(A39="","",SUMIFS(tbl_Finance[Ex GST],tbl_Finance[Job Number],A39&amp;""))</f>
        <v/>
      </c>
      <c r="S39" s="27">
        <f>IF(A39="","",Q39-R39)</f>
        <v/>
      </c>
      <c r="T39" s="26">
        <f>IF(A39="","",IF(Q39=0,"No dept value",IF(ROUND(S39,2)=0,"Agrees",IF(S39&gt;0,"Dept higher - to invoice","Xero higher - check dept"))))</f>
        <v/>
      </c>
      <c r="U39" s="22" t="n"/>
      <c r="V39" s="22" t="n"/>
      <c r="W39" s="23" t="n"/>
      <c r="X39" s="23" t="n"/>
      <c r="Y39" s="22" t="n"/>
      <c r="Z39" s="22" t="n"/>
      <c r="AA39" s="26">
        <f>IF(COUNTA(C39,A39,B39,E39)=0,"",IF(C39="","No date - sits outside every month",IF(A39="","No job number",IF(H39="CHECK","Job number is not in the Xero job list",IF(G39="not set up yet","No department has set this job up - nothing can pull through",IF(D39="","No cost centre",IF(AND(U39="Y",B39=""),"Marked posted to Xero but has no invoice number",IF(N39="","Cost centre has no revenue GL on the Lists sheet",IF(T39="Xero higher - check dept","Invoiced more than the department says the job is worth","")))))))))</f>
        <v/>
      </c>
      <c r="AB39" s="28">
        <f>IF(A39="","",COUNTIFS(tbl_Finance[Job Number],A39&amp;"",tbl_Finance[Ex GST],"&lt;&gt;"))</f>
        <v/>
      </c>
      <c r="AC39" s="27">
        <f>IF(A39="","",SUMIFS(tbl_Finance[Ex GST],tbl_Finance[Job Number],A39&amp;""))</f>
        <v/>
      </c>
      <c r="AD39" s="27">
        <f>IF(A39="","",SUMIFS(tbl_Finance[Ex GST],tbl_Finance[Job Number],A39&amp;"",tbl_Finance[Xero Invoice No],"&lt;&gt;"))</f>
        <v/>
      </c>
      <c r="AE39" s="27">
        <f>IF(A39="","",AC39-AD39)</f>
        <v/>
      </c>
      <c r="AF39" s="26">
        <f>IF(A39="","",IFERROR(IF(INDEX(tbl_Onsite[Qwilr Quote],IFERROR(MATCH(A39&amp;"",tbl_Onsite[Job Number],0),MATCH(IFERROR(A39+0,A39),tbl_Onsite[Job Number],0)))="","",INDEX(tbl_Onsite[Qwilr Quote],IFERROR(MATCH(A39&amp;"",tbl_Onsite[Job Number],0),MATCH(IFERROR(A39+0,A39),tbl_Onsite[Job Number],0)))),IFERROR(IF(IF(INDEX(tbl_Production[Current RMS No],IFERROR(MATCH(A39&amp;"",tbl_Production[Job Number],0),MATCH(IFERROR(A39+0,A39),tbl_Production[Job Number],0)))="",INDEX(tbl_Production[Qwilr Quote],IFERROR(MATCH(A39&amp;"",tbl_Production[Job Number],0),MATCH(IFERROR(A39+0,A39),tbl_Production[Job Number],0))),INDEX(tbl_Production[Current RMS No],IFERROR(MATCH(A39&amp;"",tbl_Production[Job Number],0),MATCH(IFERROR(A39+0,A39),tbl_Production[Job Number],0))))="","",IF(INDEX(tbl_Production[Current RMS No],IFERROR(MATCH(A39&amp;"",tbl_Production[Job Number],0),MATCH(IFERROR(A39+0,A39),tbl_Production[Job Number],0)))="",INDEX(tbl_Production[Qwilr Quote],IFERROR(MATCH(A39&amp;"",tbl_Production[Job Number],0),MATCH(IFERROR(A39+0,A39),tbl_Production[Job Number],0))),INDEX(tbl_Production[Current RMS No],IFERROR(MATCH(A39&amp;"",tbl_Production[Job Number],0),MATCH(IFERROR(A39+0,A39),tbl_Production[Job Number],0))))),IFERROR(IF(INDEX(tbl_Consulting[Qwilr Quote],IFERROR(MATCH(A39&amp;"",tbl_Consulting[Job Number],0),MATCH(IFERROR(A39+0,A39),tbl_Consulting[Job Number],0)))="","",INDEX(tbl_Consulting[Qwilr Quote],IFERROR(MATCH(A39&amp;"",tbl_Consulting[Job Number],0),MATCH(IFERROR(A39+0,A39),tbl_Consulting[Job Number],0)))),""))))</f>
        <v/>
      </c>
      <c r="AG39" s="26">
        <f>IF(AF39="","",IF(AND(LEFT(AF39,4)&lt;&gt;"http",IF(G39="Production",set_RMSBase,set_QwilrBase)=""),"",HYPERLINK(IF(LEFT(AF39,4)="http",AF39,IF(G39="Production",set_RMSBase,set_QwilrBase)&amp;AF39),"Open")))</f>
        <v/>
      </c>
      <c r="AH39" s="27">
        <f>IF(A39="","",IFERROR(INDEX(tbl_Production[Total Expense],IFERROR(MATCH(A39&amp;"",tbl_Production[Job Number],0),MATCH(IFERROR(A39+0,A39),tbl_Production[Job Number],0))),IFERROR(INDEX(tbl_Consulting[Total Expense],IFERROR(MATCH(A39&amp;"",tbl_Consulting[Job Number],0),MATCH(IFERROR(A39+0,A39),tbl_Consulting[Job Number],0))),0)))</f>
        <v/>
      </c>
      <c r="AI39" s="27">
        <f>IF(A39="","",AC39-N(AH39))</f>
        <v/>
      </c>
      <c r="AJ39" s="29">
        <f>IFERROR(AI39/AC39,"")</f>
        <v/>
      </c>
      <c r="AK39" s="26">
        <f>IF(A39="","",IFERROR(IF(INDEX(tbl_Onsite[Notes],IFERROR(MATCH(A39&amp;"",tbl_Onsite[Job Number],0),MATCH(IFERROR(A39+0,A39),tbl_Onsite[Job Number],0)))="","",INDEX(tbl_Onsite[Notes],IFERROR(MATCH(A39&amp;"",tbl_Onsite[Job Number],0),MATCH(IFERROR(A39+0,A39),tbl_Onsite[Job Number],0)))),IFERROR(IF(INDEX(tbl_Production[Notes],IFERROR(MATCH(A39&amp;"",tbl_Production[Job Number],0),MATCH(IFERROR(A39+0,A39),tbl_Production[Job Number],0)))="","",INDEX(tbl_Production[Notes],IFERROR(MATCH(A39&amp;"",tbl_Production[Job Number],0),MATCH(IFERROR(A39+0,A39),tbl_Production[Job Number],0)))),IFERROR(IF(INDEX(tbl_Consulting[Notes],IFERROR(MATCH(A39&amp;"",tbl_Consulting[Job Number],0),MATCH(IFERROR(A39+0,A39),tbl_Consulting[Job Number],0)))="","",INDEX(tbl_Consulting[Notes],IFERROR(MATCH(A39&amp;"",tbl_Consulting[Job Number],0),MATCH(IFERROR(A39+0,A39),tbl_Consulting[Job Number],0)))),""))))</f>
        <v/>
      </c>
    </row>
    <row r="40" ht="15" customHeight="1">
      <c r="A40" s="22" t="n"/>
      <c r="B40" s="22" t="n"/>
      <c r="C40" s="23" t="n"/>
      <c r="D40" s="22" t="n"/>
      <c r="E40" s="24" t="n"/>
      <c r="F40" s="25">
        <f>IF(C40="","",EOMONTH(C40,0))</f>
        <v/>
      </c>
      <c r="G40" s="26">
        <f>IF(A40="","",IF(COUNTIF(tbl_Onsite[Job Number],A40&amp;"")&gt;0,"Onsite",IF(COUNTIF(tbl_Production[Job Number],A40&amp;"")&gt;0,"Production",IF(COUNTIF(tbl_Consulting[Job Number],A40&amp;"")&gt;0,"Consulting","not set up yet"))))</f>
        <v/>
      </c>
      <c r="H40" s="26">
        <f>IF(A40="","",IF(COUNTIF(lst_Jobs,A40&amp;"")&gt;0,"OK","CHECK"))</f>
        <v/>
      </c>
      <c r="I40" s="26">
        <f>IF(A40="","",IFERROR(INDEX(lst_JobName,MATCH(A40&amp;"",lst_Jobs,0)),""))</f>
        <v/>
      </c>
      <c r="J40" s="26">
        <f>IF(A40="","",IFERROR(IF(INDEX(tbl_Onsite[Client],IFERROR(MATCH(A40&amp;"",tbl_Onsite[Job Number],0),MATCH(IFERROR(A40+0,A40),tbl_Onsite[Job Number],0)))="","",INDEX(tbl_Onsite[Client],IFERROR(MATCH(A40&amp;"",tbl_Onsite[Job Number],0),MATCH(IFERROR(A40+0,A40),tbl_Onsite[Job Number],0)))),IFERROR(IF(INDEX(tbl_Production[Client],IFERROR(MATCH(A40&amp;"",tbl_Production[Job Number],0),MATCH(IFERROR(A40+0,A40),tbl_Production[Job Number],0)))="","",INDEX(tbl_Production[Client],IFERROR(MATCH(A40&amp;"",tbl_Production[Job Number],0),MATCH(IFERROR(A40+0,A40),tbl_Production[Job Number],0)))),IFERROR(IF(INDEX(tbl_Consulting[Client],IFERROR(MATCH(A40&amp;"",tbl_Consulting[Job Number],0),MATCH(IFERROR(A40+0,A40),tbl_Consulting[Job Number],0)))="","",INDEX(tbl_Consulting[Client],IFERROR(MATCH(A40&amp;"",tbl_Consulting[Job Number],0),MATCH(IFERROR(A40+0,A40),tbl_Consulting[Job Number],0)))),""))))</f>
        <v/>
      </c>
      <c r="K40" s="26">
        <f>IF(A40="","",IFERROR(IF(INDEX(tbl_Onsite[Job Description],IFERROR(MATCH(A40&amp;"",tbl_Onsite[Job Number],0),MATCH(IFERROR(A40+0,A40),tbl_Onsite[Job Number],0)))="","",INDEX(tbl_Onsite[Job Description],IFERROR(MATCH(A40&amp;"",tbl_Onsite[Job Number],0),MATCH(IFERROR(A40+0,A40),tbl_Onsite[Job Number],0)))),IFERROR(IF(INDEX(tbl_Production[Job Description],IFERROR(MATCH(A40&amp;"",tbl_Production[Job Number],0),MATCH(IFERROR(A40+0,A40),tbl_Production[Job Number],0)))="","",INDEX(tbl_Production[Job Description],IFERROR(MATCH(A40&amp;"",tbl_Production[Job Number],0),MATCH(IFERROR(A40+0,A40),tbl_Production[Job Number],0)))),IFERROR(IF(INDEX(tbl_Consulting[Job Description],IFERROR(MATCH(A40&amp;"",tbl_Consulting[Job Number],0),MATCH(IFERROR(A40+0,A40),tbl_Consulting[Job Number],0)))="","",INDEX(tbl_Consulting[Job Description],IFERROR(MATCH(A40&amp;"",tbl_Consulting[Job Number],0),MATCH(IFERROR(A40+0,A40),tbl_Consulting[Job Number],0)))),""))))</f>
        <v/>
      </c>
      <c r="L40" s="26">
        <f>IF(A40="","",IFERROR(IF(INDEX(tbl_Onsite[Invoice Type],IFERROR(MATCH(A40&amp;"",tbl_Onsite[Job Number],0),MATCH(IFERROR(A40+0,A40),tbl_Onsite[Job Number],0)))="","",INDEX(tbl_Onsite[Invoice Type],IFERROR(MATCH(A40&amp;"",tbl_Onsite[Job Number],0),MATCH(IFERROR(A40+0,A40),tbl_Onsite[Job Number],0)))),IFERROR(IF(INDEX(tbl_Production[Invoice Type],IFERROR(MATCH(A40&amp;"",tbl_Production[Job Number],0),MATCH(IFERROR(A40+0,A40),tbl_Production[Job Number],0)))="","",INDEX(tbl_Production[Invoice Type],IFERROR(MATCH(A40&amp;"",tbl_Production[Job Number],0),MATCH(IFERROR(A40+0,A40),tbl_Production[Job Number],0)))),IFERROR(IF(INDEX(tbl_Consulting[Invoice Type],IFERROR(MATCH(A40&amp;"",tbl_Consulting[Job Number],0),MATCH(IFERROR(A40+0,A40),tbl_Consulting[Job Number],0)))="","",INDEX(tbl_Consulting[Invoice Type],IFERROR(MATCH(A40&amp;"",tbl_Consulting[Job Number],0),MATCH(IFERROR(A40+0,A40),tbl_Consulting[Job Number],0)))),""))))</f>
        <v/>
      </c>
      <c r="M40" s="26">
        <f>IF(A40="","",IF(IFERROR(IF(INDEX(tbl_Onsite[Tax Code],IFERROR(MATCH(A40&amp;"",tbl_Onsite[Job Number],0),MATCH(IFERROR(A40+0,A40),tbl_Onsite[Job Number],0)))="","",INDEX(tbl_Onsite[Tax Code],IFERROR(MATCH(A40&amp;"",tbl_Onsite[Job Number],0),MATCH(IFERROR(A40+0,A40),tbl_Onsite[Job Number],0)))),IFERROR(IF(INDEX(tbl_Production[Tax Code],IFERROR(MATCH(A40&amp;"",tbl_Production[Job Number],0),MATCH(IFERROR(A40+0,A40),tbl_Production[Job Number],0)))="","",INDEX(tbl_Production[Tax Code],IFERROR(MATCH(A40&amp;"",tbl_Production[Job Number],0),MATCH(IFERROR(A40+0,A40),tbl_Production[Job Number],0)))),IFERROR(IF(INDEX(tbl_Consulting[Tax Code],IFERROR(MATCH(A40&amp;"",tbl_Consulting[Job Number],0),MATCH(IFERROR(A40+0,A40),tbl_Consulting[Job Number],0)))="","",INDEX(tbl_Consulting[Tax Code],IFERROR(MATCH(A40&amp;"",tbl_Consulting[Job Number],0),MATCH(IFERROR(A40+0,A40),tbl_Consulting[Job Number],0)))),"")))="","GST 10%",IFERROR(IF(INDEX(tbl_Onsite[Tax Code],IFERROR(MATCH(A40&amp;"",tbl_Onsite[Job Number],0),MATCH(IFERROR(A40+0,A40),tbl_Onsite[Job Number],0)))="","",INDEX(tbl_Onsite[Tax Code],IFERROR(MATCH(A40&amp;"",tbl_Onsite[Job Number],0),MATCH(IFERROR(A40+0,A40),tbl_Onsite[Job Number],0)))),IFERROR(IF(INDEX(tbl_Production[Tax Code],IFERROR(MATCH(A40&amp;"",tbl_Production[Job Number],0),MATCH(IFERROR(A40+0,A40),tbl_Production[Job Number],0)))="","",INDEX(tbl_Production[Tax Code],IFERROR(MATCH(A40&amp;"",tbl_Production[Job Number],0),MATCH(IFERROR(A40+0,A40),tbl_Production[Job Number],0)))),IFERROR(IF(INDEX(tbl_Consulting[Tax Code],IFERROR(MATCH(A40&amp;"",tbl_Consulting[Job Number],0),MATCH(IFERROR(A40+0,A40),tbl_Consulting[Job Number],0)))="","",INDEX(tbl_Consulting[Tax Code],IFERROR(MATCH(A40&amp;"",tbl_Consulting[Job Number],0),MATCH(IFERROR(A40+0,A40),tbl_Consulting[Job Number],0)))),"")))))</f>
        <v/>
      </c>
      <c r="N40" s="26">
        <f>IF(D40="","",IFERROR(INDEX(lst_CCtoGL,MATCH(D40,lst_CCforGL,0)),""))</f>
        <v/>
      </c>
      <c r="O40" s="27">
        <f>IF(E40="","",IF(M40="GST 10%",ROUND(E40*set_GSTRate,2),0))</f>
        <v/>
      </c>
      <c r="P40" s="27">
        <f>IF(E40="","",E40+O40)</f>
        <v/>
      </c>
      <c r="Q40" s="27">
        <f>IF(A40="","",IFERROR(INDEX(tbl_Onsite[Expected Revenue Ex GST],IFERROR(MATCH(A40&amp;"",tbl_Onsite[Job Number],0),MATCH(IFERROR(A40+0,A40),tbl_Onsite[Job Number],0))),IFERROR(INDEX(tbl_Production[Expected Revenue Ex GST],IFERROR(MATCH(A40&amp;"",tbl_Production[Job Number],0),MATCH(IFERROR(A40+0,A40),tbl_Production[Job Number],0))),IFERROR(INDEX(tbl_Consulting[Expected Revenue Ex GST],IFERROR(MATCH(A40&amp;"",tbl_Consulting[Job Number],0),MATCH(IFERROR(A40+0,A40),tbl_Consulting[Job Number],0))),0))))</f>
        <v/>
      </c>
      <c r="R40" s="27">
        <f>IF(A40="","",SUMIFS(tbl_Finance[Ex GST],tbl_Finance[Job Number],A40&amp;""))</f>
        <v/>
      </c>
      <c r="S40" s="27">
        <f>IF(A40="","",Q40-R40)</f>
        <v/>
      </c>
      <c r="T40" s="26">
        <f>IF(A40="","",IF(Q40=0,"No dept value",IF(ROUND(S40,2)=0,"Agrees",IF(S40&gt;0,"Dept higher - to invoice","Xero higher - check dept"))))</f>
        <v/>
      </c>
      <c r="U40" s="22" t="n"/>
      <c r="V40" s="22" t="n"/>
      <c r="W40" s="23" t="n"/>
      <c r="X40" s="23" t="n"/>
      <c r="Y40" s="22" t="n"/>
      <c r="Z40" s="22" t="n"/>
      <c r="AA40" s="26">
        <f>IF(COUNTA(C40,A40,B40,E40)=0,"",IF(C40="","No date - sits outside every month",IF(A40="","No job number",IF(H40="CHECK","Job number is not in the Xero job list",IF(G40="not set up yet","No department has set this job up - nothing can pull through",IF(D40="","No cost centre",IF(AND(U40="Y",B40=""),"Marked posted to Xero but has no invoice number",IF(N40="","Cost centre has no revenue GL on the Lists sheet",IF(T40="Xero higher - check dept","Invoiced more than the department says the job is worth","")))))))))</f>
        <v/>
      </c>
      <c r="AB40" s="28">
        <f>IF(A40="","",COUNTIFS(tbl_Finance[Job Number],A40&amp;"",tbl_Finance[Ex GST],"&lt;&gt;"))</f>
        <v/>
      </c>
      <c r="AC40" s="27">
        <f>IF(A40="","",SUMIFS(tbl_Finance[Ex GST],tbl_Finance[Job Number],A40&amp;""))</f>
        <v/>
      </c>
      <c r="AD40" s="27">
        <f>IF(A40="","",SUMIFS(tbl_Finance[Ex GST],tbl_Finance[Job Number],A40&amp;"",tbl_Finance[Xero Invoice No],"&lt;&gt;"))</f>
        <v/>
      </c>
      <c r="AE40" s="27">
        <f>IF(A40="","",AC40-AD40)</f>
        <v/>
      </c>
      <c r="AF40" s="26">
        <f>IF(A40="","",IFERROR(IF(INDEX(tbl_Onsite[Qwilr Quote],IFERROR(MATCH(A40&amp;"",tbl_Onsite[Job Number],0),MATCH(IFERROR(A40+0,A40),tbl_Onsite[Job Number],0)))="","",INDEX(tbl_Onsite[Qwilr Quote],IFERROR(MATCH(A40&amp;"",tbl_Onsite[Job Number],0),MATCH(IFERROR(A40+0,A40),tbl_Onsite[Job Number],0)))),IFERROR(IF(IF(INDEX(tbl_Production[Current RMS No],IFERROR(MATCH(A40&amp;"",tbl_Production[Job Number],0),MATCH(IFERROR(A40+0,A40),tbl_Production[Job Number],0)))="",INDEX(tbl_Production[Qwilr Quote],IFERROR(MATCH(A40&amp;"",tbl_Production[Job Number],0),MATCH(IFERROR(A40+0,A40),tbl_Production[Job Number],0))),INDEX(tbl_Production[Current RMS No],IFERROR(MATCH(A40&amp;"",tbl_Production[Job Number],0),MATCH(IFERROR(A40+0,A40),tbl_Production[Job Number],0))))="","",IF(INDEX(tbl_Production[Current RMS No],IFERROR(MATCH(A40&amp;"",tbl_Production[Job Number],0),MATCH(IFERROR(A40+0,A40),tbl_Production[Job Number],0)))="",INDEX(tbl_Production[Qwilr Quote],IFERROR(MATCH(A40&amp;"",tbl_Production[Job Number],0),MATCH(IFERROR(A40+0,A40),tbl_Production[Job Number],0))),INDEX(tbl_Production[Current RMS No],IFERROR(MATCH(A40&amp;"",tbl_Production[Job Number],0),MATCH(IFERROR(A40+0,A40),tbl_Production[Job Number],0))))),IFERROR(IF(INDEX(tbl_Consulting[Qwilr Quote],IFERROR(MATCH(A40&amp;"",tbl_Consulting[Job Number],0),MATCH(IFERROR(A40+0,A40),tbl_Consulting[Job Number],0)))="","",INDEX(tbl_Consulting[Qwilr Quote],IFERROR(MATCH(A40&amp;"",tbl_Consulting[Job Number],0),MATCH(IFERROR(A40+0,A40),tbl_Consulting[Job Number],0)))),""))))</f>
        <v/>
      </c>
      <c r="AG40" s="26">
        <f>IF(AF40="","",IF(AND(LEFT(AF40,4)&lt;&gt;"http",IF(G40="Production",set_RMSBase,set_QwilrBase)=""),"",HYPERLINK(IF(LEFT(AF40,4)="http",AF40,IF(G40="Production",set_RMSBase,set_QwilrBase)&amp;AF40),"Open")))</f>
        <v/>
      </c>
      <c r="AH40" s="27">
        <f>IF(A40="","",IFERROR(INDEX(tbl_Production[Total Expense],IFERROR(MATCH(A40&amp;"",tbl_Production[Job Number],0),MATCH(IFERROR(A40+0,A40),tbl_Production[Job Number],0))),IFERROR(INDEX(tbl_Consulting[Total Expense],IFERROR(MATCH(A40&amp;"",tbl_Consulting[Job Number],0),MATCH(IFERROR(A40+0,A40),tbl_Consulting[Job Number],0))),0)))</f>
        <v/>
      </c>
      <c r="AI40" s="27">
        <f>IF(A40="","",AC40-N(AH40))</f>
        <v/>
      </c>
      <c r="AJ40" s="29">
        <f>IFERROR(AI40/AC40,"")</f>
        <v/>
      </c>
      <c r="AK40" s="26">
        <f>IF(A40="","",IFERROR(IF(INDEX(tbl_Onsite[Notes],IFERROR(MATCH(A40&amp;"",tbl_Onsite[Job Number],0),MATCH(IFERROR(A40+0,A40),tbl_Onsite[Job Number],0)))="","",INDEX(tbl_Onsite[Notes],IFERROR(MATCH(A40&amp;"",tbl_Onsite[Job Number],0),MATCH(IFERROR(A40+0,A40),tbl_Onsite[Job Number],0)))),IFERROR(IF(INDEX(tbl_Production[Notes],IFERROR(MATCH(A40&amp;"",tbl_Production[Job Number],0),MATCH(IFERROR(A40+0,A40),tbl_Production[Job Number],0)))="","",INDEX(tbl_Production[Notes],IFERROR(MATCH(A40&amp;"",tbl_Production[Job Number],0),MATCH(IFERROR(A40+0,A40),tbl_Production[Job Number],0)))),IFERROR(IF(INDEX(tbl_Consulting[Notes],IFERROR(MATCH(A40&amp;"",tbl_Consulting[Job Number],0),MATCH(IFERROR(A40+0,A40),tbl_Consulting[Job Number],0)))="","",INDEX(tbl_Consulting[Notes],IFERROR(MATCH(A40&amp;"",tbl_Consulting[Job Number],0),MATCH(IFERROR(A40+0,A40),tbl_Consulting[Job Number],0)))),""))))</f>
        <v/>
      </c>
    </row>
    <row r="41" ht="15" customHeight="1">
      <c r="A41" s="22" t="n"/>
      <c r="B41" s="22" t="n"/>
      <c r="C41" s="23" t="n"/>
      <c r="D41" s="22" t="n"/>
      <c r="E41" s="24" t="n"/>
      <c r="F41" s="25">
        <f>IF(C41="","",EOMONTH(C41,0))</f>
        <v/>
      </c>
      <c r="G41" s="26">
        <f>IF(A41="","",IF(COUNTIF(tbl_Onsite[Job Number],A41&amp;"")&gt;0,"Onsite",IF(COUNTIF(tbl_Production[Job Number],A41&amp;"")&gt;0,"Production",IF(COUNTIF(tbl_Consulting[Job Number],A41&amp;"")&gt;0,"Consulting","not set up yet"))))</f>
        <v/>
      </c>
      <c r="H41" s="26">
        <f>IF(A41="","",IF(COUNTIF(lst_Jobs,A41&amp;"")&gt;0,"OK","CHECK"))</f>
        <v/>
      </c>
      <c r="I41" s="26">
        <f>IF(A41="","",IFERROR(INDEX(lst_JobName,MATCH(A41&amp;"",lst_Jobs,0)),""))</f>
        <v/>
      </c>
      <c r="J41" s="26">
        <f>IF(A41="","",IFERROR(IF(INDEX(tbl_Onsite[Client],IFERROR(MATCH(A41&amp;"",tbl_Onsite[Job Number],0),MATCH(IFERROR(A41+0,A41),tbl_Onsite[Job Number],0)))="","",INDEX(tbl_Onsite[Client],IFERROR(MATCH(A41&amp;"",tbl_Onsite[Job Number],0),MATCH(IFERROR(A41+0,A41),tbl_Onsite[Job Number],0)))),IFERROR(IF(INDEX(tbl_Production[Client],IFERROR(MATCH(A41&amp;"",tbl_Production[Job Number],0),MATCH(IFERROR(A41+0,A41),tbl_Production[Job Number],0)))="","",INDEX(tbl_Production[Client],IFERROR(MATCH(A41&amp;"",tbl_Production[Job Number],0),MATCH(IFERROR(A41+0,A41),tbl_Production[Job Number],0)))),IFERROR(IF(INDEX(tbl_Consulting[Client],IFERROR(MATCH(A41&amp;"",tbl_Consulting[Job Number],0),MATCH(IFERROR(A41+0,A41),tbl_Consulting[Job Number],0)))="","",INDEX(tbl_Consulting[Client],IFERROR(MATCH(A41&amp;"",tbl_Consulting[Job Number],0),MATCH(IFERROR(A41+0,A41),tbl_Consulting[Job Number],0)))),""))))</f>
        <v/>
      </c>
      <c r="K41" s="26">
        <f>IF(A41="","",IFERROR(IF(INDEX(tbl_Onsite[Job Description],IFERROR(MATCH(A41&amp;"",tbl_Onsite[Job Number],0),MATCH(IFERROR(A41+0,A41),tbl_Onsite[Job Number],0)))="","",INDEX(tbl_Onsite[Job Description],IFERROR(MATCH(A41&amp;"",tbl_Onsite[Job Number],0),MATCH(IFERROR(A41+0,A41),tbl_Onsite[Job Number],0)))),IFERROR(IF(INDEX(tbl_Production[Job Description],IFERROR(MATCH(A41&amp;"",tbl_Production[Job Number],0),MATCH(IFERROR(A41+0,A41),tbl_Production[Job Number],0)))="","",INDEX(tbl_Production[Job Description],IFERROR(MATCH(A41&amp;"",tbl_Production[Job Number],0),MATCH(IFERROR(A41+0,A41),tbl_Production[Job Number],0)))),IFERROR(IF(INDEX(tbl_Consulting[Job Description],IFERROR(MATCH(A41&amp;"",tbl_Consulting[Job Number],0),MATCH(IFERROR(A41+0,A41),tbl_Consulting[Job Number],0)))="","",INDEX(tbl_Consulting[Job Description],IFERROR(MATCH(A41&amp;"",tbl_Consulting[Job Number],0),MATCH(IFERROR(A41+0,A41),tbl_Consulting[Job Number],0)))),""))))</f>
        <v/>
      </c>
      <c r="L41" s="26">
        <f>IF(A41="","",IFERROR(IF(INDEX(tbl_Onsite[Invoice Type],IFERROR(MATCH(A41&amp;"",tbl_Onsite[Job Number],0),MATCH(IFERROR(A41+0,A41),tbl_Onsite[Job Number],0)))="","",INDEX(tbl_Onsite[Invoice Type],IFERROR(MATCH(A41&amp;"",tbl_Onsite[Job Number],0),MATCH(IFERROR(A41+0,A41),tbl_Onsite[Job Number],0)))),IFERROR(IF(INDEX(tbl_Production[Invoice Type],IFERROR(MATCH(A41&amp;"",tbl_Production[Job Number],0),MATCH(IFERROR(A41+0,A41),tbl_Production[Job Number],0)))="","",INDEX(tbl_Production[Invoice Type],IFERROR(MATCH(A41&amp;"",tbl_Production[Job Number],0),MATCH(IFERROR(A41+0,A41),tbl_Production[Job Number],0)))),IFERROR(IF(INDEX(tbl_Consulting[Invoice Type],IFERROR(MATCH(A41&amp;"",tbl_Consulting[Job Number],0),MATCH(IFERROR(A41+0,A41),tbl_Consulting[Job Number],0)))="","",INDEX(tbl_Consulting[Invoice Type],IFERROR(MATCH(A41&amp;"",tbl_Consulting[Job Number],0),MATCH(IFERROR(A41+0,A41),tbl_Consulting[Job Number],0)))),""))))</f>
        <v/>
      </c>
      <c r="M41" s="26">
        <f>IF(A41="","",IF(IFERROR(IF(INDEX(tbl_Onsite[Tax Code],IFERROR(MATCH(A41&amp;"",tbl_Onsite[Job Number],0),MATCH(IFERROR(A41+0,A41),tbl_Onsite[Job Number],0)))="","",INDEX(tbl_Onsite[Tax Code],IFERROR(MATCH(A41&amp;"",tbl_Onsite[Job Number],0),MATCH(IFERROR(A41+0,A41),tbl_Onsite[Job Number],0)))),IFERROR(IF(INDEX(tbl_Production[Tax Code],IFERROR(MATCH(A41&amp;"",tbl_Production[Job Number],0),MATCH(IFERROR(A41+0,A41),tbl_Production[Job Number],0)))="","",INDEX(tbl_Production[Tax Code],IFERROR(MATCH(A41&amp;"",tbl_Production[Job Number],0),MATCH(IFERROR(A41+0,A41),tbl_Production[Job Number],0)))),IFERROR(IF(INDEX(tbl_Consulting[Tax Code],IFERROR(MATCH(A41&amp;"",tbl_Consulting[Job Number],0),MATCH(IFERROR(A41+0,A41),tbl_Consulting[Job Number],0)))="","",INDEX(tbl_Consulting[Tax Code],IFERROR(MATCH(A41&amp;"",tbl_Consulting[Job Number],0),MATCH(IFERROR(A41+0,A41),tbl_Consulting[Job Number],0)))),"")))="","GST 10%",IFERROR(IF(INDEX(tbl_Onsite[Tax Code],IFERROR(MATCH(A41&amp;"",tbl_Onsite[Job Number],0),MATCH(IFERROR(A41+0,A41),tbl_Onsite[Job Number],0)))="","",INDEX(tbl_Onsite[Tax Code],IFERROR(MATCH(A41&amp;"",tbl_Onsite[Job Number],0),MATCH(IFERROR(A41+0,A41),tbl_Onsite[Job Number],0)))),IFERROR(IF(INDEX(tbl_Production[Tax Code],IFERROR(MATCH(A41&amp;"",tbl_Production[Job Number],0),MATCH(IFERROR(A41+0,A41),tbl_Production[Job Number],0)))="","",INDEX(tbl_Production[Tax Code],IFERROR(MATCH(A41&amp;"",tbl_Production[Job Number],0),MATCH(IFERROR(A41+0,A41),tbl_Production[Job Number],0)))),IFERROR(IF(INDEX(tbl_Consulting[Tax Code],IFERROR(MATCH(A41&amp;"",tbl_Consulting[Job Number],0),MATCH(IFERROR(A41+0,A41),tbl_Consulting[Job Number],0)))="","",INDEX(tbl_Consulting[Tax Code],IFERROR(MATCH(A41&amp;"",tbl_Consulting[Job Number],0),MATCH(IFERROR(A41+0,A41),tbl_Consulting[Job Number],0)))),"")))))</f>
        <v/>
      </c>
      <c r="N41" s="26">
        <f>IF(D41="","",IFERROR(INDEX(lst_CCtoGL,MATCH(D41,lst_CCforGL,0)),""))</f>
        <v/>
      </c>
      <c r="O41" s="27">
        <f>IF(E41="","",IF(M41="GST 10%",ROUND(E41*set_GSTRate,2),0))</f>
        <v/>
      </c>
      <c r="P41" s="27">
        <f>IF(E41="","",E41+O41)</f>
        <v/>
      </c>
      <c r="Q41" s="27">
        <f>IF(A41="","",IFERROR(INDEX(tbl_Onsite[Expected Revenue Ex GST],IFERROR(MATCH(A41&amp;"",tbl_Onsite[Job Number],0),MATCH(IFERROR(A41+0,A41),tbl_Onsite[Job Number],0))),IFERROR(INDEX(tbl_Production[Expected Revenue Ex GST],IFERROR(MATCH(A41&amp;"",tbl_Production[Job Number],0),MATCH(IFERROR(A41+0,A41),tbl_Production[Job Number],0))),IFERROR(INDEX(tbl_Consulting[Expected Revenue Ex GST],IFERROR(MATCH(A41&amp;"",tbl_Consulting[Job Number],0),MATCH(IFERROR(A41+0,A41),tbl_Consulting[Job Number],0))),0))))</f>
        <v/>
      </c>
      <c r="R41" s="27">
        <f>IF(A41="","",SUMIFS(tbl_Finance[Ex GST],tbl_Finance[Job Number],A41&amp;""))</f>
        <v/>
      </c>
      <c r="S41" s="27">
        <f>IF(A41="","",Q41-R41)</f>
        <v/>
      </c>
      <c r="T41" s="26">
        <f>IF(A41="","",IF(Q41=0,"No dept value",IF(ROUND(S41,2)=0,"Agrees",IF(S41&gt;0,"Dept higher - to invoice","Xero higher - check dept"))))</f>
        <v/>
      </c>
      <c r="U41" s="22" t="n"/>
      <c r="V41" s="22" t="n"/>
      <c r="W41" s="23" t="n"/>
      <c r="X41" s="23" t="n"/>
      <c r="Y41" s="22" t="n"/>
      <c r="Z41" s="22" t="n"/>
      <c r="AA41" s="26">
        <f>IF(COUNTA(C41,A41,B41,E41)=0,"",IF(C41="","No date - sits outside every month",IF(A41="","No job number",IF(H41="CHECK","Job number is not in the Xero job list",IF(G41="not set up yet","No department has set this job up - nothing can pull through",IF(D41="","No cost centre",IF(AND(U41="Y",B41=""),"Marked posted to Xero but has no invoice number",IF(N41="","Cost centre has no revenue GL on the Lists sheet",IF(T41="Xero higher - check dept","Invoiced more than the department says the job is worth","")))))))))</f>
        <v/>
      </c>
      <c r="AB41" s="28">
        <f>IF(A41="","",COUNTIFS(tbl_Finance[Job Number],A41&amp;"",tbl_Finance[Ex GST],"&lt;&gt;"))</f>
        <v/>
      </c>
      <c r="AC41" s="27">
        <f>IF(A41="","",SUMIFS(tbl_Finance[Ex GST],tbl_Finance[Job Number],A41&amp;""))</f>
        <v/>
      </c>
      <c r="AD41" s="27">
        <f>IF(A41="","",SUMIFS(tbl_Finance[Ex GST],tbl_Finance[Job Number],A41&amp;"",tbl_Finance[Xero Invoice No],"&lt;&gt;"))</f>
        <v/>
      </c>
      <c r="AE41" s="27">
        <f>IF(A41="","",AC41-AD41)</f>
        <v/>
      </c>
      <c r="AF41" s="26">
        <f>IF(A41="","",IFERROR(IF(INDEX(tbl_Onsite[Qwilr Quote],IFERROR(MATCH(A41&amp;"",tbl_Onsite[Job Number],0),MATCH(IFERROR(A41+0,A41),tbl_Onsite[Job Number],0)))="","",INDEX(tbl_Onsite[Qwilr Quote],IFERROR(MATCH(A41&amp;"",tbl_Onsite[Job Number],0),MATCH(IFERROR(A41+0,A41),tbl_Onsite[Job Number],0)))),IFERROR(IF(IF(INDEX(tbl_Production[Current RMS No],IFERROR(MATCH(A41&amp;"",tbl_Production[Job Number],0),MATCH(IFERROR(A41+0,A41),tbl_Production[Job Number],0)))="",INDEX(tbl_Production[Qwilr Quote],IFERROR(MATCH(A41&amp;"",tbl_Production[Job Number],0),MATCH(IFERROR(A41+0,A41),tbl_Production[Job Number],0))),INDEX(tbl_Production[Current RMS No],IFERROR(MATCH(A41&amp;"",tbl_Production[Job Number],0),MATCH(IFERROR(A41+0,A41),tbl_Production[Job Number],0))))="","",IF(INDEX(tbl_Production[Current RMS No],IFERROR(MATCH(A41&amp;"",tbl_Production[Job Number],0),MATCH(IFERROR(A41+0,A41),tbl_Production[Job Number],0)))="",INDEX(tbl_Production[Qwilr Quote],IFERROR(MATCH(A41&amp;"",tbl_Production[Job Number],0),MATCH(IFERROR(A41+0,A41),tbl_Production[Job Number],0))),INDEX(tbl_Production[Current RMS No],IFERROR(MATCH(A41&amp;"",tbl_Production[Job Number],0),MATCH(IFERROR(A41+0,A41),tbl_Production[Job Number],0))))),IFERROR(IF(INDEX(tbl_Consulting[Qwilr Quote],IFERROR(MATCH(A41&amp;"",tbl_Consulting[Job Number],0),MATCH(IFERROR(A41+0,A41),tbl_Consulting[Job Number],0)))="","",INDEX(tbl_Consulting[Qwilr Quote],IFERROR(MATCH(A41&amp;"",tbl_Consulting[Job Number],0),MATCH(IFERROR(A41+0,A41),tbl_Consulting[Job Number],0)))),""))))</f>
        <v/>
      </c>
      <c r="AG41" s="26">
        <f>IF(AF41="","",IF(AND(LEFT(AF41,4)&lt;&gt;"http",IF(G41="Production",set_RMSBase,set_QwilrBase)=""),"",HYPERLINK(IF(LEFT(AF41,4)="http",AF41,IF(G41="Production",set_RMSBase,set_QwilrBase)&amp;AF41),"Open")))</f>
        <v/>
      </c>
      <c r="AH41" s="27">
        <f>IF(A41="","",IFERROR(INDEX(tbl_Production[Total Expense],IFERROR(MATCH(A41&amp;"",tbl_Production[Job Number],0),MATCH(IFERROR(A41+0,A41),tbl_Production[Job Number],0))),IFERROR(INDEX(tbl_Consulting[Total Expense],IFERROR(MATCH(A41&amp;"",tbl_Consulting[Job Number],0),MATCH(IFERROR(A41+0,A41),tbl_Consulting[Job Number],0))),0)))</f>
        <v/>
      </c>
      <c r="AI41" s="27">
        <f>IF(A41="","",AC41-N(AH41))</f>
        <v/>
      </c>
      <c r="AJ41" s="29">
        <f>IFERROR(AI41/AC41,"")</f>
        <v/>
      </c>
      <c r="AK41" s="26">
        <f>IF(A41="","",IFERROR(IF(INDEX(tbl_Onsite[Notes],IFERROR(MATCH(A41&amp;"",tbl_Onsite[Job Number],0),MATCH(IFERROR(A41+0,A41),tbl_Onsite[Job Number],0)))="","",INDEX(tbl_Onsite[Notes],IFERROR(MATCH(A41&amp;"",tbl_Onsite[Job Number],0),MATCH(IFERROR(A41+0,A41),tbl_Onsite[Job Number],0)))),IFERROR(IF(INDEX(tbl_Production[Notes],IFERROR(MATCH(A41&amp;"",tbl_Production[Job Number],0),MATCH(IFERROR(A41+0,A41),tbl_Production[Job Number],0)))="","",INDEX(tbl_Production[Notes],IFERROR(MATCH(A41&amp;"",tbl_Production[Job Number],0),MATCH(IFERROR(A41+0,A41),tbl_Production[Job Number],0)))),IFERROR(IF(INDEX(tbl_Consulting[Notes],IFERROR(MATCH(A41&amp;"",tbl_Consulting[Job Number],0),MATCH(IFERROR(A41+0,A41),tbl_Consulting[Job Number],0)))="","",INDEX(tbl_Consulting[Notes],IFERROR(MATCH(A41&amp;"",tbl_Consulting[Job Number],0),MATCH(IFERROR(A41+0,A41),tbl_Consulting[Job Number],0)))),""))))</f>
        <v/>
      </c>
    </row>
    <row r="42" ht="15" customHeight="1">
      <c r="A42" s="22" t="n"/>
      <c r="B42" s="22" t="n"/>
      <c r="C42" s="23" t="n"/>
      <c r="D42" s="22" t="n"/>
      <c r="E42" s="24" t="n"/>
      <c r="F42" s="25">
        <f>IF(C42="","",EOMONTH(C42,0))</f>
        <v/>
      </c>
      <c r="G42" s="26">
        <f>IF(A42="","",IF(COUNTIF(tbl_Onsite[Job Number],A42&amp;"")&gt;0,"Onsite",IF(COUNTIF(tbl_Production[Job Number],A42&amp;"")&gt;0,"Production",IF(COUNTIF(tbl_Consulting[Job Number],A42&amp;"")&gt;0,"Consulting","not set up yet"))))</f>
        <v/>
      </c>
      <c r="H42" s="26">
        <f>IF(A42="","",IF(COUNTIF(lst_Jobs,A42&amp;"")&gt;0,"OK","CHECK"))</f>
        <v/>
      </c>
      <c r="I42" s="26">
        <f>IF(A42="","",IFERROR(INDEX(lst_JobName,MATCH(A42&amp;"",lst_Jobs,0)),""))</f>
        <v/>
      </c>
      <c r="J42" s="26">
        <f>IF(A42="","",IFERROR(IF(INDEX(tbl_Onsite[Client],IFERROR(MATCH(A42&amp;"",tbl_Onsite[Job Number],0),MATCH(IFERROR(A42+0,A42),tbl_Onsite[Job Number],0)))="","",INDEX(tbl_Onsite[Client],IFERROR(MATCH(A42&amp;"",tbl_Onsite[Job Number],0),MATCH(IFERROR(A42+0,A42),tbl_Onsite[Job Number],0)))),IFERROR(IF(INDEX(tbl_Production[Client],IFERROR(MATCH(A42&amp;"",tbl_Production[Job Number],0),MATCH(IFERROR(A42+0,A42),tbl_Production[Job Number],0)))="","",INDEX(tbl_Production[Client],IFERROR(MATCH(A42&amp;"",tbl_Production[Job Number],0),MATCH(IFERROR(A42+0,A42),tbl_Production[Job Number],0)))),IFERROR(IF(INDEX(tbl_Consulting[Client],IFERROR(MATCH(A42&amp;"",tbl_Consulting[Job Number],0),MATCH(IFERROR(A42+0,A42),tbl_Consulting[Job Number],0)))="","",INDEX(tbl_Consulting[Client],IFERROR(MATCH(A42&amp;"",tbl_Consulting[Job Number],0),MATCH(IFERROR(A42+0,A42),tbl_Consulting[Job Number],0)))),""))))</f>
        <v/>
      </c>
      <c r="K42" s="26">
        <f>IF(A42="","",IFERROR(IF(INDEX(tbl_Onsite[Job Description],IFERROR(MATCH(A42&amp;"",tbl_Onsite[Job Number],0),MATCH(IFERROR(A42+0,A42),tbl_Onsite[Job Number],0)))="","",INDEX(tbl_Onsite[Job Description],IFERROR(MATCH(A42&amp;"",tbl_Onsite[Job Number],0),MATCH(IFERROR(A42+0,A42),tbl_Onsite[Job Number],0)))),IFERROR(IF(INDEX(tbl_Production[Job Description],IFERROR(MATCH(A42&amp;"",tbl_Production[Job Number],0),MATCH(IFERROR(A42+0,A42),tbl_Production[Job Number],0)))="","",INDEX(tbl_Production[Job Description],IFERROR(MATCH(A42&amp;"",tbl_Production[Job Number],0),MATCH(IFERROR(A42+0,A42),tbl_Production[Job Number],0)))),IFERROR(IF(INDEX(tbl_Consulting[Job Description],IFERROR(MATCH(A42&amp;"",tbl_Consulting[Job Number],0),MATCH(IFERROR(A42+0,A42),tbl_Consulting[Job Number],0)))="","",INDEX(tbl_Consulting[Job Description],IFERROR(MATCH(A42&amp;"",tbl_Consulting[Job Number],0),MATCH(IFERROR(A42+0,A42),tbl_Consulting[Job Number],0)))),""))))</f>
        <v/>
      </c>
      <c r="L42" s="26">
        <f>IF(A42="","",IFERROR(IF(INDEX(tbl_Onsite[Invoice Type],IFERROR(MATCH(A42&amp;"",tbl_Onsite[Job Number],0),MATCH(IFERROR(A42+0,A42),tbl_Onsite[Job Number],0)))="","",INDEX(tbl_Onsite[Invoice Type],IFERROR(MATCH(A42&amp;"",tbl_Onsite[Job Number],0),MATCH(IFERROR(A42+0,A42),tbl_Onsite[Job Number],0)))),IFERROR(IF(INDEX(tbl_Production[Invoice Type],IFERROR(MATCH(A42&amp;"",tbl_Production[Job Number],0),MATCH(IFERROR(A42+0,A42),tbl_Production[Job Number],0)))="","",INDEX(tbl_Production[Invoice Type],IFERROR(MATCH(A42&amp;"",tbl_Production[Job Number],0),MATCH(IFERROR(A42+0,A42),tbl_Production[Job Number],0)))),IFERROR(IF(INDEX(tbl_Consulting[Invoice Type],IFERROR(MATCH(A42&amp;"",tbl_Consulting[Job Number],0),MATCH(IFERROR(A42+0,A42),tbl_Consulting[Job Number],0)))="","",INDEX(tbl_Consulting[Invoice Type],IFERROR(MATCH(A42&amp;"",tbl_Consulting[Job Number],0),MATCH(IFERROR(A42+0,A42),tbl_Consulting[Job Number],0)))),""))))</f>
        <v/>
      </c>
      <c r="M42" s="26">
        <f>IF(A42="","",IF(IFERROR(IF(INDEX(tbl_Onsite[Tax Code],IFERROR(MATCH(A42&amp;"",tbl_Onsite[Job Number],0),MATCH(IFERROR(A42+0,A42),tbl_Onsite[Job Number],0)))="","",INDEX(tbl_Onsite[Tax Code],IFERROR(MATCH(A42&amp;"",tbl_Onsite[Job Number],0),MATCH(IFERROR(A42+0,A42),tbl_Onsite[Job Number],0)))),IFERROR(IF(INDEX(tbl_Production[Tax Code],IFERROR(MATCH(A42&amp;"",tbl_Production[Job Number],0),MATCH(IFERROR(A42+0,A42),tbl_Production[Job Number],0)))="","",INDEX(tbl_Production[Tax Code],IFERROR(MATCH(A42&amp;"",tbl_Production[Job Number],0),MATCH(IFERROR(A42+0,A42),tbl_Production[Job Number],0)))),IFERROR(IF(INDEX(tbl_Consulting[Tax Code],IFERROR(MATCH(A42&amp;"",tbl_Consulting[Job Number],0),MATCH(IFERROR(A42+0,A42),tbl_Consulting[Job Number],0)))="","",INDEX(tbl_Consulting[Tax Code],IFERROR(MATCH(A42&amp;"",tbl_Consulting[Job Number],0),MATCH(IFERROR(A42+0,A42),tbl_Consulting[Job Number],0)))),"")))="","GST 10%",IFERROR(IF(INDEX(tbl_Onsite[Tax Code],IFERROR(MATCH(A42&amp;"",tbl_Onsite[Job Number],0),MATCH(IFERROR(A42+0,A42),tbl_Onsite[Job Number],0)))="","",INDEX(tbl_Onsite[Tax Code],IFERROR(MATCH(A42&amp;"",tbl_Onsite[Job Number],0),MATCH(IFERROR(A42+0,A42),tbl_Onsite[Job Number],0)))),IFERROR(IF(INDEX(tbl_Production[Tax Code],IFERROR(MATCH(A42&amp;"",tbl_Production[Job Number],0),MATCH(IFERROR(A42+0,A42),tbl_Production[Job Number],0)))="","",INDEX(tbl_Production[Tax Code],IFERROR(MATCH(A42&amp;"",tbl_Production[Job Number],0),MATCH(IFERROR(A42+0,A42),tbl_Production[Job Number],0)))),IFERROR(IF(INDEX(tbl_Consulting[Tax Code],IFERROR(MATCH(A42&amp;"",tbl_Consulting[Job Number],0),MATCH(IFERROR(A42+0,A42),tbl_Consulting[Job Number],0)))="","",INDEX(tbl_Consulting[Tax Code],IFERROR(MATCH(A42&amp;"",tbl_Consulting[Job Number],0),MATCH(IFERROR(A42+0,A42),tbl_Consulting[Job Number],0)))),"")))))</f>
        <v/>
      </c>
      <c r="N42" s="26">
        <f>IF(D42="","",IFERROR(INDEX(lst_CCtoGL,MATCH(D42,lst_CCforGL,0)),""))</f>
        <v/>
      </c>
      <c r="O42" s="27">
        <f>IF(E42="","",IF(M42="GST 10%",ROUND(E42*set_GSTRate,2),0))</f>
        <v/>
      </c>
      <c r="P42" s="27">
        <f>IF(E42="","",E42+O42)</f>
        <v/>
      </c>
      <c r="Q42" s="27">
        <f>IF(A42="","",IFERROR(INDEX(tbl_Onsite[Expected Revenue Ex GST],IFERROR(MATCH(A42&amp;"",tbl_Onsite[Job Number],0),MATCH(IFERROR(A42+0,A42),tbl_Onsite[Job Number],0))),IFERROR(INDEX(tbl_Production[Expected Revenue Ex GST],IFERROR(MATCH(A42&amp;"",tbl_Production[Job Number],0),MATCH(IFERROR(A42+0,A42),tbl_Production[Job Number],0))),IFERROR(INDEX(tbl_Consulting[Expected Revenue Ex GST],IFERROR(MATCH(A42&amp;"",tbl_Consulting[Job Number],0),MATCH(IFERROR(A42+0,A42),tbl_Consulting[Job Number],0))),0))))</f>
        <v/>
      </c>
      <c r="R42" s="27">
        <f>IF(A42="","",SUMIFS(tbl_Finance[Ex GST],tbl_Finance[Job Number],A42&amp;""))</f>
        <v/>
      </c>
      <c r="S42" s="27">
        <f>IF(A42="","",Q42-R42)</f>
        <v/>
      </c>
      <c r="T42" s="26">
        <f>IF(A42="","",IF(Q42=0,"No dept value",IF(ROUND(S42,2)=0,"Agrees",IF(S42&gt;0,"Dept higher - to invoice","Xero higher - check dept"))))</f>
        <v/>
      </c>
      <c r="U42" s="22" t="n"/>
      <c r="V42" s="22" t="n"/>
      <c r="W42" s="23" t="n"/>
      <c r="X42" s="23" t="n"/>
      <c r="Y42" s="22" t="n"/>
      <c r="Z42" s="22" t="n"/>
      <c r="AA42" s="26">
        <f>IF(COUNTA(C42,A42,B42,E42)=0,"",IF(C42="","No date - sits outside every month",IF(A42="","No job number",IF(H42="CHECK","Job number is not in the Xero job list",IF(G42="not set up yet","No department has set this job up - nothing can pull through",IF(D42="","No cost centre",IF(AND(U42="Y",B42=""),"Marked posted to Xero but has no invoice number",IF(N42="","Cost centre has no revenue GL on the Lists sheet",IF(T42="Xero higher - check dept","Invoiced more than the department says the job is worth","")))))))))</f>
        <v/>
      </c>
      <c r="AB42" s="28">
        <f>IF(A42="","",COUNTIFS(tbl_Finance[Job Number],A42&amp;"",tbl_Finance[Ex GST],"&lt;&gt;"))</f>
        <v/>
      </c>
      <c r="AC42" s="27">
        <f>IF(A42="","",SUMIFS(tbl_Finance[Ex GST],tbl_Finance[Job Number],A42&amp;""))</f>
        <v/>
      </c>
      <c r="AD42" s="27">
        <f>IF(A42="","",SUMIFS(tbl_Finance[Ex GST],tbl_Finance[Job Number],A42&amp;"",tbl_Finance[Xero Invoice No],"&lt;&gt;"))</f>
        <v/>
      </c>
      <c r="AE42" s="27">
        <f>IF(A42="","",AC42-AD42)</f>
        <v/>
      </c>
      <c r="AF42" s="26">
        <f>IF(A42="","",IFERROR(IF(INDEX(tbl_Onsite[Qwilr Quote],IFERROR(MATCH(A42&amp;"",tbl_Onsite[Job Number],0),MATCH(IFERROR(A42+0,A42),tbl_Onsite[Job Number],0)))="","",INDEX(tbl_Onsite[Qwilr Quote],IFERROR(MATCH(A42&amp;"",tbl_Onsite[Job Number],0),MATCH(IFERROR(A42+0,A42),tbl_Onsite[Job Number],0)))),IFERROR(IF(IF(INDEX(tbl_Production[Current RMS No],IFERROR(MATCH(A42&amp;"",tbl_Production[Job Number],0),MATCH(IFERROR(A42+0,A42),tbl_Production[Job Number],0)))="",INDEX(tbl_Production[Qwilr Quote],IFERROR(MATCH(A42&amp;"",tbl_Production[Job Number],0),MATCH(IFERROR(A42+0,A42),tbl_Production[Job Number],0))),INDEX(tbl_Production[Current RMS No],IFERROR(MATCH(A42&amp;"",tbl_Production[Job Number],0),MATCH(IFERROR(A42+0,A42),tbl_Production[Job Number],0))))="","",IF(INDEX(tbl_Production[Current RMS No],IFERROR(MATCH(A42&amp;"",tbl_Production[Job Number],0),MATCH(IFERROR(A42+0,A42),tbl_Production[Job Number],0)))="",INDEX(tbl_Production[Qwilr Quote],IFERROR(MATCH(A42&amp;"",tbl_Production[Job Number],0),MATCH(IFERROR(A42+0,A42),tbl_Production[Job Number],0))),INDEX(tbl_Production[Current RMS No],IFERROR(MATCH(A42&amp;"",tbl_Production[Job Number],0),MATCH(IFERROR(A42+0,A42),tbl_Production[Job Number],0))))),IFERROR(IF(INDEX(tbl_Consulting[Qwilr Quote],IFERROR(MATCH(A42&amp;"",tbl_Consulting[Job Number],0),MATCH(IFERROR(A42+0,A42),tbl_Consulting[Job Number],0)))="","",INDEX(tbl_Consulting[Qwilr Quote],IFERROR(MATCH(A42&amp;"",tbl_Consulting[Job Number],0),MATCH(IFERROR(A42+0,A42),tbl_Consulting[Job Number],0)))),""))))</f>
        <v/>
      </c>
      <c r="AG42" s="26">
        <f>IF(AF42="","",IF(AND(LEFT(AF42,4)&lt;&gt;"http",IF(G42="Production",set_RMSBase,set_QwilrBase)=""),"",HYPERLINK(IF(LEFT(AF42,4)="http",AF42,IF(G42="Production",set_RMSBase,set_QwilrBase)&amp;AF42),"Open")))</f>
        <v/>
      </c>
      <c r="AH42" s="27">
        <f>IF(A42="","",IFERROR(INDEX(tbl_Production[Total Expense],IFERROR(MATCH(A42&amp;"",tbl_Production[Job Number],0),MATCH(IFERROR(A42+0,A42),tbl_Production[Job Number],0))),IFERROR(INDEX(tbl_Consulting[Total Expense],IFERROR(MATCH(A42&amp;"",tbl_Consulting[Job Number],0),MATCH(IFERROR(A42+0,A42),tbl_Consulting[Job Number],0))),0)))</f>
        <v/>
      </c>
      <c r="AI42" s="27">
        <f>IF(A42="","",AC42-N(AH42))</f>
        <v/>
      </c>
      <c r="AJ42" s="29">
        <f>IFERROR(AI42/AC42,"")</f>
        <v/>
      </c>
      <c r="AK42" s="26">
        <f>IF(A42="","",IFERROR(IF(INDEX(tbl_Onsite[Notes],IFERROR(MATCH(A42&amp;"",tbl_Onsite[Job Number],0),MATCH(IFERROR(A42+0,A42),tbl_Onsite[Job Number],0)))="","",INDEX(tbl_Onsite[Notes],IFERROR(MATCH(A42&amp;"",tbl_Onsite[Job Number],0),MATCH(IFERROR(A42+0,A42),tbl_Onsite[Job Number],0)))),IFERROR(IF(INDEX(tbl_Production[Notes],IFERROR(MATCH(A42&amp;"",tbl_Production[Job Number],0),MATCH(IFERROR(A42+0,A42),tbl_Production[Job Number],0)))="","",INDEX(tbl_Production[Notes],IFERROR(MATCH(A42&amp;"",tbl_Production[Job Number],0),MATCH(IFERROR(A42+0,A42),tbl_Production[Job Number],0)))),IFERROR(IF(INDEX(tbl_Consulting[Notes],IFERROR(MATCH(A42&amp;"",tbl_Consulting[Job Number],0),MATCH(IFERROR(A42+0,A42),tbl_Consulting[Job Number],0)))="","",INDEX(tbl_Consulting[Notes],IFERROR(MATCH(A42&amp;"",tbl_Consulting[Job Number],0),MATCH(IFERROR(A42+0,A42),tbl_Consulting[Job Number],0)))),""))))</f>
        <v/>
      </c>
    </row>
    <row r="43" ht="15" customHeight="1">
      <c r="A43" s="22" t="n"/>
      <c r="B43" s="22" t="n"/>
      <c r="C43" s="23" t="n"/>
      <c r="D43" s="22" t="n"/>
      <c r="E43" s="24" t="n"/>
      <c r="F43" s="25">
        <f>IF(C43="","",EOMONTH(C43,0))</f>
        <v/>
      </c>
      <c r="G43" s="26">
        <f>IF(A43="","",IF(COUNTIF(tbl_Onsite[Job Number],A43&amp;"")&gt;0,"Onsite",IF(COUNTIF(tbl_Production[Job Number],A43&amp;"")&gt;0,"Production",IF(COUNTIF(tbl_Consulting[Job Number],A43&amp;"")&gt;0,"Consulting","not set up yet"))))</f>
        <v/>
      </c>
      <c r="H43" s="26">
        <f>IF(A43="","",IF(COUNTIF(lst_Jobs,A43&amp;"")&gt;0,"OK","CHECK"))</f>
        <v/>
      </c>
      <c r="I43" s="26">
        <f>IF(A43="","",IFERROR(INDEX(lst_JobName,MATCH(A43&amp;"",lst_Jobs,0)),""))</f>
        <v/>
      </c>
      <c r="J43" s="26">
        <f>IF(A43="","",IFERROR(IF(INDEX(tbl_Onsite[Client],IFERROR(MATCH(A43&amp;"",tbl_Onsite[Job Number],0),MATCH(IFERROR(A43+0,A43),tbl_Onsite[Job Number],0)))="","",INDEX(tbl_Onsite[Client],IFERROR(MATCH(A43&amp;"",tbl_Onsite[Job Number],0),MATCH(IFERROR(A43+0,A43),tbl_Onsite[Job Number],0)))),IFERROR(IF(INDEX(tbl_Production[Client],IFERROR(MATCH(A43&amp;"",tbl_Production[Job Number],0),MATCH(IFERROR(A43+0,A43),tbl_Production[Job Number],0)))="","",INDEX(tbl_Production[Client],IFERROR(MATCH(A43&amp;"",tbl_Production[Job Number],0),MATCH(IFERROR(A43+0,A43),tbl_Production[Job Number],0)))),IFERROR(IF(INDEX(tbl_Consulting[Client],IFERROR(MATCH(A43&amp;"",tbl_Consulting[Job Number],0),MATCH(IFERROR(A43+0,A43),tbl_Consulting[Job Number],0)))="","",INDEX(tbl_Consulting[Client],IFERROR(MATCH(A43&amp;"",tbl_Consulting[Job Number],0),MATCH(IFERROR(A43+0,A43),tbl_Consulting[Job Number],0)))),""))))</f>
        <v/>
      </c>
      <c r="K43" s="26">
        <f>IF(A43="","",IFERROR(IF(INDEX(tbl_Onsite[Job Description],IFERROR(MATCH(A43&amp;"",tbl_Onsite[Job Number],0),MATCH(IFERROR(A43+0,A43),tbl_Onsite[Job Number],0)))="","",INDEX(tbl_Onsite[Job Description],IFERROR(MATCH(A43&amp;"",tbl_Onsite[Job Number],0),MATCH(IFERROR(A43+0,A43),tbl_Onsite[Job Number],0)))),IFERROR(IF(INDEX(tbl_Production[Job Description],IFERROR(MATCH(A43&amp;"",tbl_Production[Job Number],0),MATCH(IFERROR(A43+0,A43),tbl_Production[Job Number],0)))="","",INDEX(tbl_Production[Job Description],IFERROR(MATCH(A43&amp;"",tbl_Production[Job Number],0),MATCH(IFERROR(A43+0,A43),tbl_Production[Job Number],0)))),IFERROR(IF(INDEX(tbl_Consulting[Job Description],IFERROR(MATCH(A43&amp;"",tbl_Consulting[Job Number],0),MATCH(IFERROR(A43+0,A43),tbl_Consulting[Job Number],0)))="","",INDEX(tbl_Consulting[Job Description],IFERROR(MATCH(A43&amp;"",tbl_Consulting[Job Number],0),MATCH(IFERROR(A43+0,A43),tbl_Consulting[Job Number],0)))),""))))</f>
        <v/>
      </c>
      <c r="L43" s="26">
        <f>IF(A43="","",IFERROR(IF(INDEX(tbl_Onsite[Invoice Type],IFERROR(MATCH(A43&amp;"",tbl_Onsite[Job Number],0),MATCH(IFERROR(A43+0,A43),tbl_Onsite[Job Number],0)))="","",INDEX(tbl_Onsite[Invoice Type],IFERROR(MATCH(A43&amp;"",tbl_Onsite[Job Number],0),MATCH(IFERROR(A43+0,A43),tbl_Onsite[Job Number],0)))),IFERROR(IF(INDEX(tbl_Production[Invoice Type],IFERROR(MATCH(A43&amp;"",tbl_Production[Job Number],0),MATCH(IFERROR(A43+0,A43),tbl_Production[Job Number],0)))="","",INDEX(tbl_Production[Invoice Type],IFERROR(MATCH(A43&amp;"",tbl_Production[Job Number],0),MATCH(IFERROR(A43+0,A43),tbl_Production[Job Number],0)))),IFERROR(IF(INDEX(tbl_Consulting[Invoice Type],IFERROR(MATCH(A43&amp;"",tbl_Consulting[Job Number],0),MATCH(IFERROR(A43+0,A43),tbl_Consulting[Job Number],0)))="","",INDEX(tbl_Consulting[Invoice Type],IFERROR(MATCH(A43&amp;"",tbl_Consulting[Job Number],0),MATCH(IFERROR(A43+0,A43),tbl_Consulting[Job Number],0)))),""))))</f>
        <v/>
      </c>
      <c r="M43" s="26">
        <f>IF(A43="","",IF(IFERROR(IF(INDEX(tbl_Onsite[Tax Code],IFERROR(MATCH(A43&amp;"",tbl_Onsite[Job Number],0),MATCH(IFERROR(A43+0,A43),tbl_Onsite[Job Number],0)))="","",INDEX(tbl_Onsite[Tax Code],IFERROR(MATCH(A43&amp;"",tbl_Onsite[Job Number],0),MATCH(IFERROR(A43+0,A43),tbl_Onsite[Job Number],0)))),IFERROR(IF(INDEX(tbl_Production[Tax Code],IFERROR(MATCH(A43&amp;"",tbl_Production[Job Number],0),MATCH(IFERROR(A43+0,A43),tbl_Production[Job Number],0)))="","",INDEX(tbl_Production[Tax Code],IFERROR(MATCH(A43&amp;"",tbl_Production[Job Number],0),MATCH(IFERROR(A43+0,A43),tbl_Production[Job Number],0)))),IFERROR(IF(INDEX(tbl_Consulting[Tax Code],IFERROR(MATCH(A43&amp;"",tbl_Consulting[Job Number],0),MATCH(IFERROR(A43+0,A43),tbl_Consulting[Job Number],0)))="","",INDEX(tbl_Consulting[Tax Code],IFERROR(MATCH(A43&amp;"",tbl_Consulting[Job Number],0),MATCH(IFERROR(A43+0,A43),tbl_Consulting[Job Number],0)))),"")))="","GST 10%",IFERROR(IF(INDEX(tbl_Onsite[Tax Code],IFERROR(MATCH(A43&amp;"",tbl_Onsite[Job Number],0),MATCH(IFERROR(A43+0,A43),tbl_Onsite[Job Number],0)))="","",INDEX(tbl_Onsite[Tax Code],IFERROR(MATCH(A43&amp;"",tbl_Onsite[Job Number],0),MATCH(IFERROR(A43+0,A43),tbl_Onsite[Job Number],0)))),IFERROR(IF(INDEX(tbl_Production[Tax Code],IFERROR(MATCH(A43&amp;"",tbl_Production[Job Number],0),MATCH(IFERROR(A43+0,A43),tbl_Production[Job Number],0)))="","",INDEX(tbl_Production[Tax Code],IFERROR(MATCH(A43&amp;"",tbl_Production[Job Number],0),MATCH(IFERROR(A43+0,A43),tbl_Production[Job Number],0)))),IFERROR(IF(INDEX(tbl_Consulting[Tax Code],IFERROR(MATCH(A43&amp;"",tbl_Consulting[Job Number],0),MATCH(IFERROR(A43+0,A43),tbl_Consulting[Job Number],0)))="","",INDEX(tbl_Consulting[Tax Code],IFERROR(MATCH(A43&amp;"",tbl_Consulting[Job Number],0),MATCH(IFERROR(A43+0,A43),tbl_Consulting[Job Number],0)))),"")))))</f>
        <v/>
      </c>
      <c r="N43" s="26">
        <f>IF(D43="","",IFERROR(INDEX(lst_CCtoGL,MATCH(D43,lst_CCforGL,0)),""))</f>
        <v/>
      </c>
      <c r="O43" s="27">
        <f>IF(E43="","",IF(M43="GST 10%",ROUND(E43*set_GSTRate,2),0))</f>
        <v/>
      </c>
      <c r="P43" s="27">
        <f>IF(E43="","",E43+O43)</f>
        <v/>
      </c>
      <c r="Q43" s="27">
        <f>IF(A43="","",IFERROR(INDEX(tbl_Onsite[Expected Revenue Ex GST],IFERROR(MATCH(A43&amp;"",tbl_Onsite[Job Number],0),MATCH(IFERROR(A43+0,A43),tbl_Onsite[Job Number],0))),IFERROR(INDEX(tbl_Production[Expected Revenue Ex GST],IFERROR(MATCH(A43&amp;"",tbl_Production[Job Number],0),MATCH(IFERROR(A43+0,A43),tbl_Production[Job Number],0))),IFERROR(INDEX(tbl_Consulting[Expected Revenue Ex GST],IFERROR(MATCH(A43&amp;"",tbl_Consulting[Job Number],0),MATCH(IFERROR(A43+0,A43),tbl_Consulting[Job Number],0))),0))))</f>
        <v/>
      </c>
      <c r="R43" s="27">
        <f>IF(A43="","",SUMIFS(tbl_Finance[Ex GST],tbl_Finance[Job Number],A43&amp;""))</f>
        <v/>
      </c>
      <c r="S43" s="27">
        <f>IF(A43="","",Q43-R43)</f>
        <v/>
      </c>
      <c r="T43" s="26">
        <f>IF(A43="","",IF(Q43=0,"No dept value",IF(ROUND(S43,2)=0,"Agrees",IF(S43&gt;0,"Dept higher - to invoice","Xero higher - check dept"))))</f>
        <v/>
      </c>
      <c r="U43" s="22" t="n"/>
      <c r="V43" s="22" t="n"/>
      <c r="W43" s="23" t="n"/>
      <c r="X43" s="23" t="n"/>
      <c r="Y43" s="22" t="n"/>
      <c r="Z43" s="22" t="n"/>
      <c r="AA43" s="26">
        <f>IF(COUNTA(C43,A43,B43,E43)=0,"",IF(C43="","No date - sits outside every month",IF(A43="","No job number",IF(H43="CHECK","Job number is not in the Xero job list",IF(G43="not set up yet","No department has set this job up - nothing can pull through",IF(D43="","No cost centre",IF(AND(U43="Y",B43=""),"Marked posted to Xero but has no invoice number",IF(N43="","Cost centre has no revenue GL on the Lists sheet",IF(T43="Xero higher - check dept","Invoiced more than the department says the job is worth","")))))))))</f>
        <v/>
      </c>
      <c r="AB43" s="28">
        <f>IF(A43="","",COUNTIFS(tbl_Finance[Job Number],A43&amp;"",tbl_Finance[Ex GST],"&lt;&gt;"))</f>
        <v/>
      </c>
      <c r="AC43" s="27">
        <f>IF(A43="","",SUMIFS(tbl_Finance[Ex GST],tbl_Finance[Job Number],A43&amp;""))</f>
        <v/>
      </c>
      <c r="AD43" s="27">
        <f>IF(A43="","",SUMIFS(tbl_Finance[Ex GST],tbl_Finance[Job Number],A43&amp;"",tbl_Finance[Xero Invoice No],"&lt;&gt;"))</f>
        <v/>
      </c>
      <c r="AE43" s="27">
        <f>IF(A43="","",AC43-AD43)</f>
        <v/>
      </c>
      <c r="AF43" s="26">
        <f>IF(A43="","",IFERROR(IF(INDEX(tbl_Onsite[Qwilr Quote],IFERROR(MATCH(A43&amp;"",tbl_Onsite[Job Number],0),MATCH(IFERROR(A43+0,A43),tbl_Onsite[Job Number],0)))="","",INDEX(tbl_Onsite[Qwilr Quote],IFERROR(MATCH(A43&amp;"",tbl_Onsite[Job Number],0),MATCH(IFERROR(A43+0,A43),tbl_Onsite[Job Number],0)))),IFERROR(IF(IF(INDEX(tbl_Production[Current RMS No],IFERROR(MATCH(A43&amp;"",tbl_Production[Job Number],0),MATCH(IFERROR(A43+0,A43),tbl_Production[Job Number],0)))="",INDEX(tbl_Production[Qwilr Quote],IFERROR(MATCH(A43&amp;"",tbl_Production[Job Number],0),MATCH(IFERROR(A43+0,A43),tbl_Production[Job Number],0))),INDEX(tbl_Production[Current RMS No],IFERROR(MATCH(A43&amp;"",tbl_Production[Job Number],0),MATCH(IFERROR(A43+0,A43),tbl_Production[Job Number],0))))="","",IF(INDEX(tbl_Production[Current RMS No],IFERROR(MATCH(A43&amp;"",tbl_Production[Job Number],0),MATCH(IFERROR(A43+0,A43),tbl_Production[Job Number],0)))="",INDEX(tbl_Production[Qwilr Quote],IFERROR(MATCH(A43&amp;"",tbl_Production[Job Number],0),MATCH(IFERROR(A43+0,A43),tbl_Production[Job Number],0))),INDEX(tbl_Production[Current RMS No],IFERROR(MATCH(A43&amp;"",tbl_Production[Job Number],0),MATCH(IFERROR(A43+0,A43),tbl_Production[Job Number],0))))),IFERROR(IF(INDEX(tbl_Consulting[Qwilr Quote],IFERROR(MATCH(A43&amp;"",tbl_Consulting[Job Number],0),MATCH(IFERROR(A43+0,A43),tbl_Consulting[Job Number],0)))="","",INDEX(tbl_Consulting[Qwilr Quote],IFERROR(MATCH(A43&amp;"",tbl_Consulting[Job Number],0),MATCH(IFERROR(A43+0,A43),tbl_Consulting[Job Number],0)))),""))))</f>
        <v/>
      </c>
      <c r="AG43" s="26">
        <f>IF(AF43="","",IF(AND(LEFT(AF43,4)&lt;&gt;"http",IF(G43="Production",set_RMSBase,set_QwilrBase)=""),"",HYPERLINK(IF(LEFT(AF43,4)="http",AF43,IF(G43="Production",set_RMSBase,set_QwilrBase)&amp;AF43),"Open")))</f>
        <v/>
      </c>
      <c r="AH43" s="27">
        <f>IF(A43="","",IFERROR(INDEX(tbl_Production[Total Expense],IFERROR(MATCH(A43&amp;"",tbl_Production[Job Number],0),MATCH(IFERROR(A43+0,A43),tbl_Production[Job Number],0))),IFERROR(INDEX(tbl_Consulting[Total Expense],IFERROR(MATCH(A43&amp;"",tbl_Consulting[Job Number],0),MATCH(IFERROR(A43+0,A43),tbl_Consulting[Job Number],0))),0)))</f>
        <v/>
      </c>
      <c r="AI43" s="27">
        <f>IF(A43="","",AC43-N(AH43))</f>
        <v/>
      </c>
      <c r="AJ43" s="29">
        <f>IFERROR(AI43/AC43,"")</f>
        <v/>
      </c>
      <c r="AK43" s="26">
        <f>IF(A43="","",IFERROR(IF(INDEX(tbl_Onsite[Notes],IFERROR(MATCH(A43&amp;"",tbl_Onsite[Job Number],0),MATCH(IFERROR(A43+0,A43),tbl_Onsite[Job Number],0)))="","",INDEX(tbl_Onsite[Notes],IFERROR(MATCH(A43&amp;"",tbl_Onsite[Job Number],0),MATCH(IFERROR(A43+0,A43),tbl_Onsite[Job Number],0)))),IFERROR(IF(INDEX(tbl_Production[Notes],IFERROR(MATCH(A43&amp;"",tbl_Production[Job Number],0),MATCH(IFERROR(A43+0,A43),tbl_Production[Job Number],0)))="","",INDEX(tbl_Production[Notes],IFERROR(MATCH(A43&amp;"",tbl_Production[Job Number],0),MATCH(IFERROR(A43+0,A43),tbl_Production[Job Number],0)))),IFERROR(IF(INDEX(tbl_Consulting[Notes],IFERROR(MATCH(A43&amp;"",tbl_Consulting[Job Number],0),MATCH(IFERROR(A43+0,A43),tbl_Consulting[Job Number],0)))="","",INDEX(tbl_Consulting[Notes],IFERROR(MATCH(A43&amp;"",tbl_Consulting[Job Number],0),MATCH(IFERROR(A43+0,A43),tbl_Consulting[Job Number],0)))),""))))</f>
        <v/>
      </c>
    </row>
    <row r="44" ht="15" customHeight="1">
      <c r="A44" s="22" t="n"/>
      <c r="B44" s="22" t="n"/>
      <c r="C44" s="23" t="n"/>
      <c r="D44" s="22" t="n"/>
      <c r="E44" s="24" t="n"/>
      <c r="F44" s="25">
        <f>IF(C44="","",EOMONTH(C44,0))</f>
        <v/>
      </c>
      <c r="G44" s="26">
        <f>IF(A44="","",IF(COUNTIF(tbl_Onsite[Job Number],A44&amp;"")&gt;0,"Onsite",IF(COUNTIF(tbl_Production[Job Number],A44&amp;"")&gt;0,"Production",IF(COUNTIF(tbl_Consulting[Job Number],A44&amp;"")&gt;0,"Consulting","not set up yet"))))</f>
        <v/>
      </c>
      <c r="H44" s="26">
        <f>IF(A44="","",IF(COUNTIF(lst_Jobs,A44&amp;"")&gt;0,"OK","CHECK"))</f>
        <v/>
      </c>
      <c r="I44" s="26">
        <f>IF(A44="","",IFERROR(INDEX(lst_JobName,MATCH(A44&amp;"",lst_Jobs,0)),""))</f>
        <v/>
      </c>
      <c r="J44" s="26">
        <f>IF(A44="","",IFERROR(IF(INDEX(tbl_Onsite[Client],IFERROR(MATCH(A44&amp;"",tbl_Onsite[Job Number],0),MATCH(IFERROR(A44+0,A44),tbl_Onsite[Job Number],0)))="","",INDEX(tbl_Onsite[Client],IFERROR(MATCH(A44&amp;"",tbl_Onsite[Job Number],0),MATCH(IFERROR(A44+0,A44),tbl_Onsite[Job Number],0)))),IFERROR(IF(INDEX(tbl_Production[Client],IFERROR(MATCH(A44&amp;"",tbl_Production[Job Number],0),MATCH(IFERROR(A44+0,A44),tbl_Production[Job Number],0)))="","",INDEX(tbl_Production[Client],IFERROR(MATCH(A44&amp;"",tbl_Production[Job Number],0),MATCH(IFERROR(A44+0,A44),tbl_Production[Job Number],0)))),IFERROR(IF(INDEX(tbl_Consulting[Client],IFERROR(MATCH(A44&amp;"",tbl_Consulting[Job Number],0),MATCH(IFERROR(A44+0,A44),tbl_Consulting[Job Number],0)))="","",INDEX(tbl_Consulting[Client],IFERROR(MATCH(A44&amp;"",tbl_Consulting[Job Number],0),MATCH(IFERROR(A44+0,A44),tbl_Consulting[Job Number],0)))),""))))</f>
        <v/>
      </c>
      <c r="K44" s="26">
        <f>IF(A44="","",IFERROR(IF(INDEX(tbl_Onsite[Job Description],IFERROR(MATCH(A44&amp;"",tbl_Onsite[Job Number],0),MATCH(IFERROR(A44+0,A44),tbl_Onsite[Job Number],0)))="","",INDEX(tbl_Onsite[Job Description],IFERROR(MATCH(A44&amp;"",tbl_Onsite[Job Number],0),MATCH(IFERROR(A44+0,A44),tbl_Onsite[Job Number],0)))),IFERROR(IF(INDEX(tbl_Production[Job Description],IFERROR(MATCH(A44&amp;"",tbl_Production[Job Number],0),MATCH(IFERROR(A44+0,A44),tbl_Production[Job Number],0)))="","",INDEX(tbl_Production[Job Description],IFERROR(MATCH(A44&amp;"",tbl_Production[Job Number],0),MATCH(IFERROR(A44+0,A44),tbl_Production[Job Number],0)))),IFERROR(IF(INDEX(tbl_Consulting[Job Description],IFERROR(MATCH(A44&amp;"",tbl_Consulting[Job Number],0),MATCH(IFERROR(A44+0,A44),tbl_Consulting[Job Number],0)))="","",INDEX(tbl_Consulting[Job Description],IFERROR(MATCH(A44&amp;"",tbl_Consulting[Job Number],0),MATCH(IFERROR(A44+0,A44),tbl_Consulting[Job Number],0)))),""))))</f>
        <v/>
      </c>
      <c r="L44" s="26">
        <f>IF(A44="","",IFERROR(IF(INDEX(tbl_Onsite[Invoice Type],IFERROR(MATCH(A44&amp;"",tbl_Onsite[Job Number],0),MATCH(IFERROR(A44+0,A44),tbl_Onsite[Job Number],0)))="","",INDEX(tbl_Onsite[Invoice Type],IFERROR(MATCH(A44&amp;"",tbl_Onsite[Job Number],0),MATCH(IFERROR(A44+0,A44),tbl_Onsite[Job Number],0)))),IFERROR(IF(INDEX(tbl_Production[Invoice Type],IFERROR(MATCH(A44&amp;"",tbl_Production[Job Number],0),MATCH(IFERROR(A44+0,A44),tbl_Production[Job Number],0)))="","",INDEX(tbl_Production[Invoice Type],IFERROR(MATCH(A44&amp;"",tbl_Production[Job Number],0),MATCH(IFERROR(A44+0,A44),tbl_Production[Job Number],0)))),IFERROR(IF(INDEX(tbl_Consulting[Invoice Type],IFERROR(MATCH(A44&amp;"",tbl_Consulting[Job Number],0),MATCH(IFERROR(A44+0,A44),tbl_Consulting[Job Number],0)))="","",INDEX(tbl_Consulting[Invoice Type],IFERROR(MATCH(A44&amp;"",tbl_Consulting[Job Number],0),MATCH(IFERROR(A44+0,A44),tbl_Consulting[Job Number],0)))),""))))</f>
        <v/>
      </c>
      <c r="M44" s="26">
        <f>IF(A44="","",IF(IFERROR(IF(INDEX(tbl_Onsite[Tax Code],IFERROR(MATCH(A44&amp;"",tbl_Onsite[Job Number],0),MATCH(IFERROR(A44+0,A44),tbl_Onsite[Job Number],0)))="","",INDEX(tbl_Onsite[Tax Code],IFERROR(MATCH(A44&amp;"",tbl_Onsite[Job Number],0),MATCH(IFERROR(A44+0,A44),tbl_Onsite[Job Number],0)))),IFERROR(IF(INDEX(tbl_Production[Tax Code],IFERROR(MATCH(A44&amp;"",tbl_Production[Job Number],0),MATCH(IFERROR(A44+0,A44),tbl_Production[Job Number],0)))="","",INDEX(tbl_Production[Tax Code],IFERROR(MATCH(A44&amp;"",tbl_Production[Job Number],0),MATCH(IFERROR(A44+0,A44),tbl_Production[Job Number],0)))),IFERROR(IF(INDEX(tbl_Consulting[Tax Code],IFERROR(MATCH(A44&amp;"",tbl_Consulting[Job Number],0),MATCH(IFERROR(A44+0,A44),tbl_Consulting[Job Number],0)))="","",INDEX(tbl_Consulting[Tax Code],IFERROR(MATCH(A44&amp;"",tbl_Consulting[Job Number],0),MATCH(IFERROR(A44+0,A44),tbl_Consulting[Job Number],0)))),"")))="","GST 10%",IFERROR(IF(INDEX(tbl_Onsite[Tax Code],IFERROR(MATCH(A44&amp;"",tbl_Onsite[Job Number],0),MATCH(IFERROR(A44+0,A44),tbl_Onsite[Job Number],0)))="","",INDEX(tbl_Onsite[Tax Code],IFERROR(MATCH(A44&amp;"",tbl_Onsite[Job Number],0),MATCH(IFERROR(A44+0,A44),tbl_Onsite[Job Number],0)))),IFERROR(IF(INDEX(tbl_Production[Tax Code],IFERROR(MATCH(A44&amp;"",tbl_Production[Job Number],0),MATCH(IFERROR(A44+0,A44),tbl_Production[Job Number],0)))="","",INDEX(tbl_Production[Tax Code],IFERROR(MATCH(A44&amp;"",tbl_Production[Job Number],0),MATCH(IFERROR(A44+0,A44),tbl_Production[Job Number],0)))),IFERROR(IF(INDEX(tbl_Consulting[Tax Code],IFERROR(MATCH(A44&amp;"",tbl_Consulting[Job Number],0),MATCH(IFERROR(A44+0,A44),tbl_Consulting[Job Number],0)))="","",INDEX(tbl_Consulting[Tax Code],IFERROR(MATCH(A44&amp;"",tbl_Consulting[Job Number],0),MATCH(IFERROR(A44+0,A44),tbl_Consulting[Job Number],0)))),"")))))</f>
        <v/>
      </c>
      <c r="N44" s="26">
        <f>IF(D44="","",IFERROR(INDEX(lst_CCtoGL,MATCH(D44,lst_CCforGL,0)),""))</f>
        <v/>
      </c>
      <c r="O44" s="27">
        <f>IF(E44="","",IF(M44="GST 10%",ROUND(E44*set_GSTRate,2),0))</f>
        <v/>
      </c>
      <c r="P44" s="27">
        <f>IF(E44="","",E44+O44)</f>
        <v/>
      </c>
      <c r="Q44" s="27">
        <f>IF(A44="","",IFERROR(INDEX(tbl_Onsite[Expected Revenue Ex GST],IFERROR(MATCH(A44&amp;"",tbl_Onsite[Job Number],0),MATCH(IFERROR(A44+0,A44),tbl_Onsite[Job Number],0))),IFERROR(INDEX(tbl_Production[Expected Revenue Ex GST],IFERROR(MATCH(A44&amp;"",tbl_Production[Job Number],0),MATCH(IFERROR(A44+0,A44),tbl_Production[Job Number],0))),IFERROR(INDEX(tbl_Consulting[Expected Revenue Ex GST],IFERROR(MATCH(A44&amp;"",tbl_Consulting[Job Number],0),MATCH(IFERROR(A44+0,A44),tbl_Consulting[Job Number],0))),0))))</f>
        <v/>
      </c>
      <c r="R44" s="27">
        <f>IF(A44="","",SUMIFS(tbl_Finance[Ex GST],tbl_Finance[Job Number],A44&amp;""))</f>
        <v/>
      </c>
      <c r="S44" s="27">
        <f>IF(A44="","",Q44-R44)</f>
        <v/>
      </c>
      <c r="T44" s="26">
        <f>IF(A44="","",IF(Q44=0,"No dept value",IF(ROUND(S44,2)=0,"Agrees",IF(S44&gt;0,"Dept higher - to invoice","Xero higher - check dept"))))</f>
        <v/>
      </c>
      <c r="U44" s="22" t="n"/>
      <c r="V44" s="22" t="n"/>
      <c r="W44" s="23" t="n"/>
      <c r="X44" s="23" t="n"/>
      <c r="Y44" s="22" t="n"/>
      <c r="Z44" s="22" t="n"/>
      <c r="AA44" s="26">
        <f>IF(COUNTA(C44,A44,B44,E44)=0,"",IF(C44="","No date - sits outside every month",IF(A44="","No job number",IF(H44="CHECK","Job number is not in the Xero job list",IF(G44="not set up yet","No department has set this job up - nothing can pull through",IF(D44="","No cost centre",IF(AND(U44="Y",B44=""),"Marked posted to Xero but has no invoice number",IF(N44="","Cost centre has no revenue GL on the Lists sheet",IF(T44="Xero higher - check dept","Invoiced more than the department says the job is worth","")))))))))</f>
        <v/>
      </c>
      <c r="AB44" s="28">
        <f>IF(A44="","",COUNTIFS(tbl_Finance[Job Number],A44&amp;"",tbl_Finance[Ex GST],"&lt;&gt;"))</f>
        <v/>
      </c>
      <c r="AC44" s="27">
        <f>IF(A44="","",SUMIFS(tbl_Finance[Ex GST],tbl_Finance[Job Number],A44&amp;""))</f>
        <v/>
      </c>
      <c r="AD44" s="27">
        <f>IF(A44="","",SUMIFS(tbl_Finance[Ex GST],tbl_Finance[Job Number],A44&amp;"",tbl_Finance[Xero Invoice No],"&lt;&gt;"))</f>
        <v/>
      </c>
      <c r="AE44" s="27">
        <f>IF(A44="","",AC44-AD44)</f>
        <v/>
      </c>
      <c r="AF44" s="26">
        <f>IF(A44="","",IFERROR(IF(INDEX(tbl_Onsite[Qwilr Quote],IFERROR(MATCH(A44&amp;"",tbl_Onsite[Job Number],0),MATCH(IFERROR(A44+0,A44),tbl_Onsite[Job Number],0)))="","",INDEX(tbl_Onsite[Qwilr Quote],IFERROR(MATCH(A44&amp;"",tbl_Onsite[Job Number],0),MATCH(IFERROR(A44+0,A44),tbl_Onsite[Job Number],0)))),IFERROR(IF(IF(INDEX(tbl_Production[Current RMS No],IFERROR(MATCH(A44&amp;"",tbl_Production[Job Number],0),MATCH(IFERROR(A44+0,A44),tbl_Production[Job Number],0)))="",INDEX(tbl_Production[Qwilr Quote],IFERROR(MATCH(A44&amp;"",tbl_Production[Job Number],0),MATCH(IFERROR(A44+0,A44),tbl_Production[Job Number],0))),INDEX(tbl_Production[Current RMS No],IFERROR(MATCH(A44&amp;"",tbl_Production[Job Number],0),MATCH(IFERROR(A44+0,A44),tbl_Production[Job Number],0))))="","",IF(INDEX(tbl_Production[Current RMS No],IFERROR(MATCH(A44&amp;"",tbl_Production[Job Number],0),MATCH(IFERROR(A44+0,A44),tbl_Production[Job Number],0)))="",INDEX(tbl_Production[Qwilr Quote],IFERROR(MATCH(A44&amp;"",tbl_Production[Job Number],0),MATCH(IFERROR(A44+0,A44),tbl_Production[Job Number],0))),INDEX(tbl_Production[Current RMS No],IFERROR(MATCH(A44&amp;"",tbl_Production[Job Number],0),MATCH(IFERROR(A44+0,A44),tbl_Production[Job Number],0))))),IFERROR(IF(INDEX(tbl_Consulting[Qwilr Quote],IFERROR(MATCH(A44&amp;"",tbl_Consulting[Job Number],0),MATCH(IFERROR(A44+0,A44),tbl_Consulting[Job Number],0)))="","",INDEX(tbl_Consulting[Qwilr Quote],IFERROR(MATCH(A44&amp;"",tbl_Consulting[Job Number],0),MATCH(IFERROR(A44+0,A44),tbl_Consulting[Job Number],0)))),""))))</f>
        <v/>
      </c>
      <c r="AG44" s="26">
        <f>IF(AF44="","",IF(AND(LEFT(AF44,4)&lt;&gt;"http",IF(G44="Production",set_RMSBase,set_QwilrBase)=""),"",HYPERLINK(IF(LEFT(AF44,4)="http",AF44,IF(G44="Production",set_RMSBase,set_QwilrBase)&amp;AF44),"Open")))</f>
        <v/>
      </c>
      <c r="AH44" s="27">
        <f>IF(A44="","",IFERROR(INDEX(tbl_Production[Total Expense],IFERROR(MATCH(A44&amp;"",tbl_Production[Job Number],0),MATCH(IFERROR(A44+0,A44),tbl_Production[Job Number],0))),IFERROR(INDEX(tbl_Consulting[Total Expense],IFERROR(MATCH(A44&amp;"",tbl_Consulting[Job Number],0),MATCH(IFERROR(A44+0,A44),tbl_Consulting[Job Number],0))),0)))</f>
        <v/>
      </c>
      <c r="AI44" s="27">
        <f>IF(A44="","",AC44-N(AH44))</f>
        <v/>
      </c>
      <c r="AJ44" s="29">
        <f>IFERROR(AI44/AC44,"")</f>
        <v/>
      </c>
      <c r="AK44" s="26">
        <f>IF(A44="","",IFERROR(IF(INDEX(tbl_Onsite[Notes],IFERROR(MATCH(A44&amp;"",tbl_Onsite[Job Number],0),MATCH(IFERROR(A44+0,A44),tbl_Onsite[Job Number],0)))="","",INDEX(tbl_Onsite[Notes],IFERROR(MATCH(A44&amp;"",tbl_Onsite[Job Number],0),MATCH(IFERROR(A44+0,A44),tbl_Onsite[Job Number],0)))),IFERROR(IF(INDEX(tbl_Production[Notes],IFERROR(MATCH(A44&amp;"",tbl_Production[Job Number],0),MATCH(IFERROR(A44+0,A44),tbl_Production[Job Number],0)))="","",INDEX(tbl_Production[Notes],IFERROR(MATCH(A44&amp;"",tbl_Production[Job Number],0),MATCH(IFERROR(A44+0,A44),tbl_Production[Job Number],0)))),IFERROR(IF(INDEX(tbl_Consulting[Notes],IFERROR(MATCH(A44&amp;"",tbl_Consulting[Job Number],0),MATCH(IFERROR(A44+0,A44),tbl_Consulting[Job Number],0)))="","",INDEX(tbl_Consulting[Notes],IFERROR(MATCH(A44&amp;"",tbl_Consulting[Job Number],0),MATCH(IFERROR(A44+0,A44),tbl_Consulting[Job Number],0)))),""))))</f>
        <v/>
      </c>
    </row>
    <row r="45" ht="15" customHeight="1">
      <c r="A45" s="22" t="n"/>
      <c r="B45" s="22" t="n"/>
      <c r="C45" s="23" t="n"/>
      <c r="D45" s="22" t="n"/>
      <c r="E45" s="24" t="n"/>
      <c r="F45" s="25">
        <f>IF(C45="","",EOMONTH(C45,0))</f>
        <v/>
      </c>
      <c r="G45" s="26">
        <f>IF(A45="","",IF(COUNTIF(tbl_Onsite[Job Number],A45&amp;"")&gt;0,"Onsite",IF(COUNTIF(tbl_Production[Job Number],A45&amp;"")&gt;0,"Production",IF(COUNTIF(tbl_Consulting[Job Number],A45&amp;"")&gt;0,"Consulting","not set up yet"))))</f>
        <v/>
      </c>
      <c r="H45" s="26">
        <f>IF(A45="","",IF(COUNTIF(lst_Jobs,A45&amp;"")&gt;0,"OK","CHECK"))</f>
        <v/>
      </c>
      <c r="I45" s="26">
        <f>IF(A45="","",IFERROR(INDEX(lst_JobName,MATCH(A45&amp;"",lst_Jobs,0)),""))</f>
        <v/>
      </c>
      <c r="J45" s="26">
        <f>IF(A45="","",IFERROR(IF(INDEX(tbl_Onsite[Client],IFERROR(MATCH(A45&amp;"",tbl_Onsite[Job Number],0),MATCH(IFERROR(A45+0,A45),tbl_Onsite[Job Number],0)))="","",INDEX(tbl_Onsite[Client],IFERROR(MATCH(A45&amp;"",tbl_Onsite[Job Number],0),MATCH(IFERROR(A45+0,A45),tbl_Onsite[Job Number],0)))),IFERROR(IF(INDEX(tbl_Production[Client],IFERROR(MATCH(A45&amp;"",tbl_Production[Job Number],0),MATCH(IFERROR(A45+0,A45),tbl_Production[Job Number],0)))="","",INDEX(tbl_Production[Client],IFERROR(MATCH(A45&amp;"",tbl_Production[Job Number],0),MATCH(IFERROR(A45+0,A45),tbl_Production[Job Number],0)))),IFERROR(IF(INDEX(tbl_Consulting[Client],IFERROR(MATCH(A45&amp;"",tbl_Consulting[Job Number],0),MATCH(IFERROR(A45+0,A45),tbl_Consulting[Job Number],0)))="","",INDEX(tbl_Consulting[Client],IFERROR(MATCH(A45&amp;"",tbl_Consulting[Job Number],0),MATCH(IFERROR(A45+0,A45),tbl_Consulting[Job Number],0)))),""))))</f>
        <v/>
      </c>
      <c r="K45" s="26">
        <f>IF(A45="","",IFERROR(IF(INDEX(tbl_Onsite[Job Description],IFERROR(MATCH(A45&amp;"",tbl_Onsite[Job Number],0),MATCH(IFERROR(A45+0,A45),tbl_Onsite[Job Number],0)))="","",INDEX(tbl_Onsite[Job Description],IFERROR(MATCH(A45&amp;"",tbl_Onsite[Job Number],0),MATCH(IFERROR(A45+0,A45),tbl_Onsite[Job Number],0)))),IFERROR(IF(INDEX(tbl_Production[Job Description],IFERROR(MATCH(A45&amp;"",tbl_Production[Job Number],0),MATCH(IFERROR(A45+0,A45),tbl_Production[Job Number],0)))="","",INDEX(tbl_Production[Job Description],IFERROR(MATCH(A45&amp;"",tbl_Production[Job Number],0),MATCH(IFERROR(A45+0,A45),tbl_Production[Job Number],0)))),IFERROR(IF(INDEX(tbl_Consulting[Job Description],IFERROR(MATCH(A45&amp;"",tbl_Consulting[Job Number],0),MATCH(IFERROR(A45+0,A45),tbl_Consulting[Job Number],0)))="","",INDEX(tbl_Consulting[Job Description],IFERROR(MATCH(A45&amp;"",tbl_Consulting[Job Number],0),MATCH(IFERROR(A45+0,A45),tbl_Consulting[Job Number],0)))),""))))</f>
        <v/>
      </c>
      <c r="L45" s="26">
        <f>IF(A45="","",IFERROR(IF(INDEX(tbl_Onsite[Invoice Type],IFERROR(MATCH(A45&amp;"",tbl_Onsite[Job Number],0),MATCH(IFERROR(A45+0,A45),tbl_Onsite[Job Number],0)))="","",INDEX(tbl_Onsite[Invoice Type],IFERROR(MATCH(A45&amp;"",tbl_Onsite[Job Number],0),MATCH(IFERROR(A45+0,A45),tbl_Onsite[Job Number],0)))),IFERROR(IF(INDEX(tbl_Production[Invoice Type],IFERROR(MATCH(A45&amp;"",tbl_Production[Job Number],0),MATCH(IFERROR(A45+0,A45),tbl_Production[Job Number],0)))="","",INDEX(tbl_Production[Invoice Type],IFERROR(MATCH(A45&amp;"",tbl_Production[Job Number],0),MATCH(IFERROR(A45+0,A45),tbl_Production[Job Number],0)))),IFERROR(IF(INDEX(tbl_Consulting[Invoice Type],IFERROR(MATCH(A45&amp;"",tbl_Consulting[Job Number],0),MATCH(IFERROR(A45+0,A45),tbl_Consulting[Job Number],0)))="","",INDEX(tbl_Consulting[Invoice Type],IFERROR(MATCH(A45&amp;"",tbl_Consulting[Job Number],0),MATCH(IFERROR(A45+0,A45),tbl_Consulting[Job Number],0)))),""))))</f>
        <v/>
      </c>
      <c r="M45" s="26">
        <f>IF(A45="","",IF(IFERROR(IF(INDEX(tbl_Onsite[Tax Code],IFERROR(MATCH(A45&amp;"",tbl_Onsite[Job Number],0),MATCH(IFERROR(A45+0,A45),tbl_Onsite[Job Number],0)))="","",INDEX(tbl_Onsite[Tax Code],IFERROR(MATCH(A45&amp;"",tbl_Onsite[Job Number],0),MATCH(IFERROR(A45+0,A45),tbl_Onsite[Job Number],0)))),IFERROR(IF(INDEX(tbl_Production[Tax Code],IFERROR(MATCH(A45&amp;"",tbl_Production[Job Number],0),MATCH(IFERROR(A45+0,A45),tbl_Production[Job Number],0)))="","",INDEX(tbl_Production[Tax Code],IFERROR(MATCH(A45&amp;"",tbl_Production[Job Number],0),MATCH(IFERROR(A45+0,A45),tbl_Production[Job Number],0)))),IFERROR(IF(INDEX(tbl_Consulting[Tax Code],IFERROR(MATCH(A45&amp;"",tbl_Consulting[Job Number],0),MATCH(IFERROR(A45+0,A45),tbl_Consulting[Job Number],0)))="","",INDEX(tbl_Consulting[Tax Code],IFERROR(MATCH(A45&amp;"",tbl_Consulting[Job Number],0),MATCH(IFERROR(A45+0,A45),tbl_Consulting[Job Number],0)))),"")))="","GST 10%",IFERROR(IF(INDEX(tbl_Onsite[Tax Code],IFERROR(MATCH(A45&amp;"",tbl_Onsite[Job Number],0),MATCH(IFERROR(A45+0,A45),tbl_Onsite[Job Number],0)))="","",INDEX(tbl_Onsite[Tax Code],IFERROR(MATCH(A45&amp;"",tbl_Onsite[Job Number],0),MATCH(IFERROR(A45+0,A45),tbl_Onsite[Job Number],0)))),IFERROR(IF(INDEX(tbl_Production[Tax Code],IFERROR(MATCH(A45&amp;"",tbl_Production[Job Number],0),MATCH(IFERROR(A45+0,A45),tbl_Production[Job Number],0)))="","",INDEX(tbl_Production[Tax Code],IFERROR(MATCH(A45&amp;"",tbl_Production[Job Number],0),MATCH(IFERROR(A45+0,A45),tbl_Production[Job Number],0)))),IFERROR(IF(INDEX(tbl_Consulting[Tax Code],IFERROR(MATCH(A45&amp;"",tbl_Consulting[Job Number],0),MATCH(IFERROR(A45+0,A45),tbl_Consulting[Job Number],0)))="","",INDEX(tbl_Consulting[Tax Code],IFERROR(MATCH(A45&amp;"",tbl_Consulting[Job Number],0),MATCH(IFERROR(A45+0,A45),tbl_Consulting[Job Number],0)))),"")))))</f>
        <v/>
      </c>
      <c r="N45" s="26">
        <f>IF(D45="","",IFERROR(INDEX(lst_CCtoGL,MATCH(D45,lst_CCforGL,0)),""))</f>
        <v/>
      </c>
      <c r="O45" s="27">
        <f>IF(E45="","",IF(M45="GST 10%",ROUND(E45*set_GSTRate,2),0))</f>
        <v/>
      </c>
      <c r="P45" s="27">
        <f>IF(E45="","",E45+O45)</f>
        <v/>
      </c>
      <c r="Q45" s="27">
        <f>IF(A45="","",IFERROR(INDEX(tbl_Onsite[Expected Revenue Ex GST],IFERROR(MATCH(A45&amp;"",tbl_Onsite[Job Number],0),MATCH(IFERROR(A45+0,A45),tbl_Onsite[Job Number],0))),IFERROR(INDEX(tbl_Production[Expected Revenue Ex GST],IFERROR(MATCH(A45&amp;"",tbl_Production[Job Number],0),MATCH(IFERROR(A45+0,A45),tbl_Production[Job Number],0))),IFERROR(INDEX(tbl_Consulting[Expected Revenue Ex GST],IFERROR(MATCH(A45&amp;"",tbl_Consulting[Job Number],0),MATCH(IFERROR(A45+0,A45),tbl_Consulting[Job Number],0))),0))))</f>
        <v/>
      </c>
      <c r="R45" s="27">
        <f>IF(A45="","",SUMIFS(tbl_Finance[Ex GST],tbl_Finance[Job Number],A45&amp;""))</f>
        <v/>
      </c>
      <c r="S45" s="27">
        <f>IF(A45="","",Q45-R45)</f>
        <v/>
      </c>
      <c r="T45" s="26">
        <f>IF(A45="","",IF(Q45=0,"No dept value",IF(ROUND(S45,2)=0,"Agrees",IF(S45&gt;0,"Dept higher - to invoice","Xero higher - check dept"))))</f>
        <v/>
      </c>
      <c r="U45" s="22" t="n"/>
      <c r="V45" s="22" t="n"/>
      <c r="W45" s="23" t="n"/>
      <c r="X45" s="23" t="n"/>
      <c r="Y45" s="22" t="n"/>
      <c r="Z45" s="22" t="n"/>
      <c r="AA45" s="26">
        <f>IF(COUNTA(C45,A45,B45,E45)=0,"",IF(C45="","No date - sits outside every month",IF(A45="","No job number",IF(H45="CHECK","Job number is not in the Xero job list",IF(G45="not set up yet","No department has set this job up - nothing can pull through",IF(D45="","No cost centre",IF(AND(U45="Y",B45=""),"Marked posted to Xero but has no invoice number",IF(N45="","Cost centre has no revenue GL on the Lists sheet",IF(T45="Xero higher - check dept","Invoiced more than the department says the job is worth","")))))))))</f>
        <v/>
      </c>
      <c r="AB45" s="28">
        <f>IF(A45="","",COUNTIFS(tbl_Finance[Job Number],A45&amp;"",tbl_Finance[Ex GST],"&lt;&gt;"))</f>
        <v/>
      </c>
      <c r="AC45" s="27">
        <f>IF(A45="","",SUMIFS(tbl_Finance[Ex GST],tbl_Finance[Job Number],A45&amp;""))</f>
        <v/>
      </c>
      <c r="AD45" s="27">
        <f>IF(A45="","",SUMIFS(tbl_Finance[Ex GST],tbl_Finance[Job Number],A45&amp;"",tbl_Finance[Xero Invoice No],"&lt;&gt;"))</f>
        <v/>
      </c>
      <c r="AE45" s="27">
        <f>IF(A45="","",AC45-AD45)</f>
        <v/>
      </c>
      <c r="AF45" s="26">
        <f>IF(A45="","",IFERROR(IF(INDEX(tbl_Onsite[Qwilr Quote],IFERROR(MATCH(A45&amp;"",tbl_Onsite[Job Number],0),MATCH(IFERROR(A45+0,A45),tbl_Onsite[Job Number],0)))="","",INDEX(tbl_Onsite[Qwilr Quote],IFERROR(MATCH(A45&amp;"",tbl_Onsite[Job Number],0),MATCH(IFERROR(A45+0,A45),tbl_Onsite[Job Number],0)))),IFERROR(IF(IF(INDEX(tbl_Production[Current RMS No],IFERROR(MATCH(A45&amp;"",tbl_Production[Job Number],0),MATCH(IFERROR(A45+0,A45),tbl_Production[Job Number],0)))="",INDEX(tbl_Production[Qwilr Quote],IFERROR(MATCH(A45&amp;"",tbl_Production[Job Number],0),MATCH(IFERROR(A45+0,A45),tbl_Production[Job Number],0))),INDEX(tbl_Production[Current RMS No],IFERROR(MATCH(A45&amp;"",tbl_Production[Job Number],0),MATCH(IFERROR(A45+0,A45),tbl_Production[Job Number],0))))="","",IF(INDEX(tbl_Production[Current RMS No],IFERROR(MATCH(A45&amp;"",tbl_Production[Job Number],0),MATCH(IFERROR(A45+0,A45),tbl_Production[Job Number],0)))="",INDEX(tbl_Production[Qwilr Quote],IFERROR(MATCH(A45&amp;"",tbl_Production[Job Number],0),MATCH(IFERROR(A45+0,A45),tbl_Production[Job Number],0))),INDEX(tbl_Production[Current RMS No],IFERROR(MATCH(A45&amp;"",tbl_Production[Job Number],0),MATCH(IFERROR(A45+0,A45),tbl_Production[Job Number],0))))),IFERROR(IF(INDEX(tbl_Consulting[Qwilr Quote],IFERROR(MATCH(A45&amp;"",tbl_Consulting[Job Number],0),MATCH(IFERROR(A45+0,A45),tbl_Consulting[Job Number],0)))="","",INDEX(tbl_Consulting[Qwilr Quote],IFERROR(MATCH(A45&amp;"",tbl_Consulting[Job Number],0),MATCH(IFERROR(A45+0,A45),tbl_Consulting[Job Number],0)))),""))))</f>
        <v/>
      </c>
      <c r="AG45" s="26">
        <f>IF(AF45="","",IF(AND(LEFT(AF45,4)&lt;&gt;"http",IF(G45="Production",set_RMSBase,set_QwilrBase)=""),"",HYPERLINK(IF(LEFT(AF45,4)="http",AF45,IF(G45="Production",set_RMSBase,set_QwilrBase)&amp;AF45),"Open")))</f>
        <v/>
      </c>
      <c r="AH45" s="27">
        <f>IF(A45="","",IFERROR(INDEX(tbl_Production[Total Expense],IFERROR(MATCH(A45&amp;"",tbl_Production[Job Number],0),MATCH(IFERROR(A45+0,A45),tbl_Production[Job Number],0))),IFERROR(INDEX(tbl_Consulting[Total Expense],IFERROR(MATCH(A45&amp;"",tbl_Consulting[Job Number],0),MATCH(IFERROR(A45+0,A45),tbl_Consulting[Job Number],0))),0)))</f>
        <v/>
      </c>
      <c r="AI45" s="27">
        <f>IF(A45="","",AC45-N(AH45))</f>
        <v/>
      </c>
      <c r="AJ45" s="29">
        <f>IFERROR(AI45/AC45,"")</f>
        <v/>
      </c>
      <c r="AK45" s="26">
        <f>IF(A45="","",IFERROR(IF(INDEX(tbl_Onsite[Notes],IFERROR(MATCH(A45&amp;"",tbl_Onsite[Job Number],0),MATCH(IFERROR(A45+0,A45),tbl_Onsite[Job Number],0)))="","",INDEX(tbl_Onsite[Notes],IFERROR(MATCH(A45&amp;"",tbl_Onsite[Job Number],0),MATCH(IFERROR(A45+0,A45),tbl_Onsite[Job Number],0)))),IFERROR(IF(INDEX(tbl_Production[Notes],IFERROR(MATCH(A45&amp;"",tbl_Production[Job Number],0),MATCH(IFERROR(A45+0,A45),tbl_Production[Job Number],0)))="","",INDEX(tbl_Production[Notes],IFERROR(MATCH(A45&amp;"",tbl_Production[Job Number],0),MATCH(IFERROR(A45+0,A45),tbl_Production[Job Number],0)))),IFERROR(IF(INDEX(tbl_Consulting[Notes],IFERROR(MATCH(A45&amp;"",tbl_Consulting[Job Number],0),MATCH(IFERROR(A45+0,A45),tbl_Consulting[Job Number],0)))="","",INDEX(tbl_Consulting[Notes],IFERROR(MATCH(A45&amp;"",tbl_Consulting[Job Number],0),MATCH(IFERROR(A45+0,A45),tbl_Consulting[Job Number],0)))),""))))</f>
        <v/>
      </c>
    </row>
    <row r="46" ht="15" customHeight="1">
      <c r="A46" s="22" t="n"/>
      <c r="B46" s="22" t="n"/>
      <c r="C46" s="23" t="n"/>
      <c r="D46" s="22" t="n"/>
      <c r="E46" s="24" t="n"/>
      <c r="F46" s="25">
        <f>IF(C46="","",EOMONTH(C46,0))</f>
        <v/>
      </c>
      <c r="G46" s="26">
        <f>IF(A46="","",IF(COUNTIF(tbl_Onsite[Job Number],A46&amp;"")&gt;0,"Onsite",IF(COUNTIF(tbl_Production[Job Number],A46&amp;"")&gt;0,"Production",IF(COUNTIF(tbl_Consulting[Job Number],A46&amp;"")&gt;0,"Consulting","not set up yet"))))</f>
        <v/>
      </c>
      <c r="H46" s="26">
        <f>IF(A46="","",IF(COUNTIF(lst_Jobs,A46&amp;"")&gt;0,"OK","CHECK"))</f>
        <v/>
      </c>
      <c r="I46" s="26">
        <f>IF(A46="","",IFERROR(INDEX(lst_JobName,MATCH(A46&amp;"",lst_Jobs,0)),""))</f>
        <v/>
      </c>
      <c r="J46" s="26">
        <f>IF(A46="","",IFERROR(IF(INDEX(tbl_Onsite[Client],IFERROR(MATCH(A46&amp;"",tbl_Onsite[Job Number],0),MATCH(IFERROR(A46+0,A46),tbl_Onsite[Job Number],0)))="","",INDEX(tbl_Onsite[Client],IFERROR(MATCH(A46&amp;"",tbl_Onsite[Job Number],0),MATCH(IFERROR(A46+0,A46),tbl_Onsite[Job Number],0)))),IFERROR(IF(INDEX(tbl_Production[Client],IFERROR(MATCH(A46&amp;"",tbl_Production[Job Number],0),MATCH(IFERROR(A46+0,A46),tbl_Production[Job Number],0)))="","",INDEX(tbl_Production[Client],IFERROR(MATCH(A46&amp;"",tbl_Production[Job Number],0),MATCH(IFERROR(A46+0,A46),tbl_Production[Job Number],0)))),IFERROR(IF(INDEX(tbl_Consulting[Client],IFERROR(MATCH(A46&amp;"",tbl_Consulting[Job Number],0),MATCH(IFERROR(A46+0,A46),tbl_Consulting[Job Number],0)))="","",INDEX(tbl_Consulting[Client],IFERROR(MATCH(A46&amp;"",tbl_Consulting[Job Number],0),MATCH(IFERROR(A46+0,A46),tbl_Consulting[Job Number],0)))),""))))</f>
        <v/>
      </c>
      <c r="K46" s="26">
        <f>IF(A46="","",IFERROR(IF(INDEX(tbl_Onsite[Job Description],IFERROR(MATCH(A46&amp;"",tbl_Onsite[Job Number],0),MATCH(IFERROR(A46+0,A46),tbl_Onsite[Job Number],0)))="","",INDEX(tbl_Onsite[Job Description],IFERROR(MATCH(A46&amp;"",tbl_Onsite[Job Number],0),MATCH(IFERROR(A46+0,A46),tbl_Onsite[Job Number],0)))),IFERROR(IF(INDEX(tbl_Production[Job Description],IFERROR(MATCH(A46&amp;"",tbl_Production[Job Number],0),MATCH(IFERROR(A46+0,A46),tbl_Production[Job Number],0)))="","",INDEX(tbl_Production[Job Description],IFERROR(MATCH(A46&amp;"",tbl_Production[Job Number],0),MATCH(IFERROR(A46+0,A46),tbl_Production[Job Number],0)))),IFERROR(IF(INDEX(tbl_Consulting[Job Description],IFERROR(MATCH(A46&amp;"",tbl_Consulting[Job Number],0),MATCH(IFERROR(A46+0,A46),tbl_Consulting[Job Number],0)))="","",INDEX(tbl_Consulting[Job Description],IFERROR(MATCH(A46&amp;"",tbl_Consulting[Job Number],0),MATCH(IFERROR(A46+0,A46),tbl_Consulting[Job Number],0)))),""))))</f>
        <v/>
      </c>
      <c r="L46" s="26">
        <f>IF(A46="","",IFERROR(IF(INDEX(tbl_Onsite[Invoice Type],IFERROR(MATCH(A46&amp;"",tbl_Onsite[Job Number],0),MATCH(IFERROR(A46+0,A46),tbl_Onsite[Job Number],0)))="","",INDEX(tbl_Onsite[Invoice Type],IFERROR(MATCH(A46&amp;"",tbl_Onsite[Job Number],0),MATCH(IFERROR(A46+0,A46),tbl_Onsite[Job Number],0)))),IFERROR(IF(INDEX(tbl_Production[Invoice Type],IFERROR(MATCH(A46&amp;"",tbl_Production[Job Number],0),MATCH(IFERROR(A46+0,A46),tbl_Production[Job Number],0)))="","",INDEX(tbl_Production[Invoice Type],IFERROR(MATCH(A46&amp;"",tbl_Production[Job Number],0),MATCH(IFERROR(A46+0,A46),tbl_Production[Job Number],0)))),IFERROR(IF(INDEX(tbl_Consulting[Invoice Type],IFERROR(MATCH(A46&amp;"",tbl_Consulting[Job Number],0),MATCH(IFERROR(A46+0,A46),tbl_Consulting[Job Number],0)))="","",INDEX(tbl_Consulting[Invoice Type],IFERROR(MATCH(A46&amp;"",tbl_Consulting[Job Number],0),MATCH(IFERROR(A46+0,A46),tbl_Consulting[Job Number],0)))),""))))</f>
        <v/>
      </c>
      <c r="M46" s="26">
        <f>IF(A46="","",IF(IFERROR(IF(INDEX(tbl_Onsite[Tax Code],IFERROR(MATCH(A46&amp;"",tbl_Onsite[Job Number],0),MATCH(IFERROR(A46+0,A46),tbl_Onsite[Job Number],0)))="","",INDEX(tbl_Onsite[Tax Code],IFERROR(MATCH(A46&amp;"",tbl_Onsite[Job Number],0),MATCH(IFERROR(A46+0,A46),tbl_Onsite[Job Number],0)))),IFERROR(IF(INDEX(tbl_Production[Tax Code],IFERROR(MATCH(A46&amp;"",tbl_Production[Job Number],0),MATCH(IFERROR(A46+0,A46),tbl_Production[Job Number],0)))="","",INDEX(tbl_Production[Tax Code],IFERROR(MATCH(A46&amp;"",tbl_Production[Job Number],0),MATCH(IFERROR(A46+0,A46),tbl_Production[Job Number],0)))),IFERROR(IF(INDEX(tbl_Consulting[Tax Code],IFERROR(MATCH(A46&amp;"",tbl_Consulting[Job Number],0),MATCH(IFERROR(A46+0,A46),tbl_Consulting[Job Number],0)))="","",INDEX(tbl_Consulting[Tax Code],IFERROR(MATCH(A46&amp;"",tbl_Consulting[Job Number],0),MATCH(IFERROR(A46+0,A46),tbl_Consulting[Job Number],0)))),"")))="","GST 10%",IFERROR(IF(INDEX(tbl_Onsite[Tax Code],IFERROR(MATCH(A46&amp;"",tbl_Onsite[Job Number],0),MATCH(IFERROR(A46+0,A46),tbl_Onsite[Job Number],0)))="","",INDEX(tbl_Onsite[Tax Code],IFERROR(MATCH(A46&amp;"",tbl_Onsite[Job Number],0),MATCH(IFERROR(A46+0,A46),tbl_Onsite[Job Number],0)))),IFERROR(IF(INDEX(tbl_Production[Tax Code],IFERROR(MATCH(A46&amp;"",tbl_Production[Job Number],0),MATCH(IFERROR(A46+0,A46),tbl_Production[Job Number],0)))="","",INDEX(tbl_Production[Tax Code],IFERROR(MATCH(A46&amp;"",tbl_Production[Job Number],0),MATCH(IFERROR(A46+0,A46),tbl_Production[Job Number],0)))),IFERROR(IF(INDEX(tbl_Consulting[Tax Code],IFERROR(MATCH(A46&amp;"",tbl_Consulting[Job Number],0),MATCH(IFERROR(A46+0,A46),tbl_Consulting[Job Number],0)))="","",INDEX(tbl_Consulting[Tax Code],IFERROR(MATCH(A46&amp;"",tbl_Consulting[Job Number],0),MATCH(IFERROR(A46+0,A46),tbl_Consulting[Job Number],0)))),"")))))</f>
        <v/>
      </c>
      <c r="N46" s="26">
        <f>IF(D46="","",IFERROR(INDEX(lst_CCtoGL,MATCH(D46,lst_CCforGL,0)),""))</f>
        <v/>
      </c>
      <c r="O46" s="27">
        <f>IF(E46="","",IF(M46="GST 10%",ROUND(E46*set_GSTRate,2),0))</f>
        <v/>
      </c>
      <c r="P46" s="27">
        <f>IF(E46="","",E46+O46)</f>
        <v/>
      </c>
      <c r="Q46" s="27">
        <f>IF(A46="","",IFERROR(INDEX(tbl_Onsite[Expected Revenue Ex GST],IFERROR(MATCH(A46&amp;"",tbl_Onsite[Job Number],0),MATCH(IFERROR(A46+0,A46),tbl_Onsite[Job Number],0))),IFERROR(INDEX(tbl_Production[Expected Revenue Ex GST],IFERROR(MATCH(A46&amp;"",tbl_Production[Job Number],0),MATCH(IFERROR(A46+0,A46),tbl_Production[Job Number],0))),IFERROR(INDEX(tbl_Consulting[Expected Revenue Ex GST],IFERROR(MATCH(A46&amp;"",tbl_Consulting[Job Number],0),MATCH(IFERROR(A46+0,A46),tbl_Consulting[Job Number],0))),0))))</f>
        <v/>
      </c>
      <c r="R46" s="27">
        <f>IF(A46="","",SUMIFS(tbl_Finance[Ex GST],tbl_Finance[Job Number],A46&amp;""))</f>
        <v/>
      </c>
      <c r="S46" s="27">
        <f>IF(A46="","",Q46-R46)</f>
        <v/>
      </c>
      <c r="T46" s="26">
        <f>IF(A46="","",IF(Q46=0,"No dept value",IF(ROUND(S46,2)=0,"Agrees",IF(S46&gt;0,"Dept higher - to invoice","Xero higher - check dept"))))</f>
        <v/>
      </c>
      <c r="U46" s="22" t="n"/>
      <c r="V46" s="22" t="n"/>
      <c r="W46" s="23" t="n"/>
      <c r="X46" s="23" t="n"/>
      <c r="Y46" s="22" t="n"/>
      <c r="Z46" s="22" t="n"/>
      <c r="AA46" s="26">
        <f>IF(COUNTA(C46,A46,B46,E46)=0,"",IF(C46="","No date - sits outside every month",IF(A46="","No job number",IF(H46="CHECK","Job number is not in the Xero job list",IF(G46="not set up yet","No department has set this job up - nothing can pull through",IF(D46="","No cost centre",IF(AND(U46="Y",B46=""),"Marked posted to Xero but has no invoice number",IF(N46="","Cost centre has no revenue GL on the Lists sheet",IF(T46="Xero higher - check dept","Invoiced more than the department says the job is worth","")))))))))</f>
        <v/>
      </c>
      <c r="AB46" s="28">
        <f>IF(A46="","",COUNTIFS(tbl_Finance[Job Number],A46&amp;"",tbl_Finance[Ex GST],"&lt;&gt;"))</f>
        <v/>
      </c>
      <c r="AC46" s="27">
        <f>IF(A46="","",SUMIFS(tbl_Finance[Ex GST],tbl_Finance[Job Number],A46&amp;""))</f>
        <v/>
      </c>
      <c r="AD46" s="27">
        <f>IF(A46="","",SUMIFS(tbl_Finance[Ex GST],tbl_Finance[Job Number],A46&amp;"",tbl_Finance[Xero Invoice No],"&lt;&gt;"))</f>
        <v/>
      </c>
      <c r="AE46" s="27">
        <f>IF(A46="","",AC46-AD46)</f>
        <v/>
      </c>
      <c r="AF46" s="26">
        <f>IF(A46="","",IFERROR(IF(INDEX(tbl_Onsite[Qwilr Quote],IFERROR(MATCH(A46&amp;"",tbl_Onsite[Job Number],0),MATCH(IFERROR(A46+0,A46),tbl_Onsite[Job Number],0)))="","",INDEX(tbl_Onsite[Qwilr Quote],IFERROR(MATCH(A46&amp;"",tbl_Onsite[Job Number],0),MATCH(IFERROR(A46+0,A46),tbl_Onsite[Job Number],0)))),IFERROR(IF(IF(INDEX(tbl_Production[Current RMS No],IFERROR(MATCH(A46&amp;"",tbl_Production[Job Number],0),MATCH(IFERROR(A46+0,A46),tbl_Production[Job Number],0)))="",INDEX(tbl_Production[Qwilr Quote],IFERROR(MATCH(A46&amp;"",tbl_Production[Job Number],0),MATCH(IFERROR(A46+0,A46),tbl_Production[Job Number],0))),INDEX(tbl_Production[Current RMS No],IFERROR(MATCH(A46&amp;"",tbl_Production[Job Number],0),MATCH(IFERROR(A46+0,A46),tbl_Production[Job Number],0))))="","",IF(INDEX(tbl_Production[Current RMS No],IFERROR(MATCH(A46&amp;"",tbl_Production[Job Number],0),MATCH(IFERROR(A46+0,A46),tbl_Production[Job Number],0)))="",INDEX(tbl_Production[Qwilr Quote],IFERROR(MATCH(A46&amp;"",tbl_Production[Job Number],0),MATCH(IFERROR(A46+0,A46),tbl_Production[Job Number],0))),INDEX(tbl_Production[Current RMS No],IFERROR(MATCH(A46&amp;"",tbl_Production[Job Number],0),MATCH(IFERROR(A46+0,A46),tbl_Production[Job Number],0))))),IFERROR(IF(INDEX(tbl_Consulting[Qwilr Quote],IFERROR(MATCH(A46&amp;"",tbl_Consulting[Job Number],0),MATCH(IFERROR(A46+0,A46),tbl_Consulting[Job Number],0)))="","",INDEX(tbl_Consulting[Qwilr Quote],IFERROR(MATCH(A46&amp;"",tbl_Consulting[Job Number],0),MATCH(IFERROR(A46+0,A46),tbl_Consulting[Job Number],0)))),""))))</f>
        <v/>
      </c>
      <c r="AG46" s="26">
        <f>IF(AF46="","",IF(AND(LEFT(AF46,4)&lt;&gt;"http",IF(G46="Production",set_RMSBase,set_QwilrBase)=""),"",HYPERLINK(IF(LEFT(AF46,4)="http",AF46,IF(G46="Production",set_RMSBase,set_QwilrBase)&amp;AF46),"Open")))</f>
        <v/>
      </c>
      <c r="AH46" s="27">
        <f>IF(A46="","",IFERROR(INDEX(tbl_Production[Total Expense],IFERROR(MATCH(A46&amp;"",tbl_Production[Job Number],0),MATCH(IFERROR(A46+0,A46),tbl_Production[Job Number],0))),IFERROR(INDEX(tbl_Consulting[Total Expense],IFERROR(MATCH(A46&amp;"",tbl_Consulting[Job Number],0),MATCH(IFERROR(A46+0,A46),tbl_Consulting[Job Number],0))),0)))</f>
        <v/>
      </c>
      <c r="AI46" s="27">
        <f>IF(A46="","",AC46-N(AH46))</f>
        <v/>
      </c>
      <c r="AJ46" s="29">
        <f>IFERROR(AI46/AC46,"")</f>
        <v/>
      </c>
      <c r="AK46" s="26">
        <f>IF(A46="","",IFERROR(IF(INDEX(tbl_Onsite[Notes],IFERROR(MATCH(A46&amp;"",tbl_Onsite[Job Number],0),MATCH(IFERROR(A46+0,A46),tbl_Onsite[Job Number],0)))="","",INDEX(tbl_Onsite[Notes],IFERROR(MATCH(A46&amp;"",tbl_Onsite[Job Number],0),MATCH(IFERROR(A46+0,A46),tbl_Onsite[Job Number],0)))),IFERROR(IF(INDEX(tbl_Production[Notes],IFERROR(MATCH(A46&amp;"",tbl_Production[Job Number],0),MATCH(IFERROR(A46+0,A46),tbl_Production[Job Number],0)))="","",INDEX(tbl_Production[Notes],IFERROR(MATCH(A46&amp;"",tbl_Production[Job Number],0),MATCH(IFERROR(A46+0,A46),tbl_Production[Job Number],0)))),IFERROR(IF(INDEX(tbl_Consulting[Notes],IFERROR(MATCH(A46&amp;"",tbl_Consulting[Job Number],0),MATCH(IFERROR(A46+0,A46),tbl_Consulting[Job Number],0)))="","",INDEX(tbl_Consulting[Notes],IFERROR(MATCH(A46&amp;"",tbl_Consulting[Job Number],0),MATCH(IFERROR(A46+0,A46),tbl_Consulting[Job Number],0)))),""))))</f>
        <v/>
      </c>
    </row>
    <row r="47" ht="15" customHeight="1">
      <c r="A47" s="22" t="n"/>
      <c r="B47" s="22" t="n"/>
      <c r="C47" s="23" t="n"/>
      <c r="D47" s="22" t="n"/>
      <c r="E47" s="24" t="n"/>
      <c r="F47" s="25">
        <f>IF(C47="","",EOMONTH(C47,0))</f>
        <v/>
      </c>
      <c r="G47" s="26">
        <f>IF(A47="","",IF(COUNTIF(tbl_Onsite[Job Number],A47&amp;"")&gt;0,"Onsite",IF(COUNTIF(tbl_Production[Job Number],A47&amp;"")&gt;0,"Production",IF(COUNTIF(tbl_Consulting[Job Number],A47&amp;"")&gt;0,"Consulting","not set up yet"))))</f>
        <v/>
      </c>
      <c r="H47" s="26">
        <f>IF(A47="","",IF(COUNTIF(lst_Jobs,A47&amp;"")&gt;0,"OK","CHECK"))</f>
        <v/>
      </c>
      <c r="I47" s="26">
        <f>IF(A47="","",IFERROR(INDEX(lst_JobName,MATCH(A47&amp;"",lst_Jobs,0)),""))</f>
        <v/>
      </c>
      <c r="J47" s="26">
        <f>IF(A47="","",IFERROR(IF(INDEX(tbl_Onsite[Client],IFERROR(MATCH(A47&amp;"",tbl_Onsite[Job Number],0),MATCH(IFERROR(A47+0,A47),tbl_Onsite[Job Number],0)))="","",INDEX(tbl_Onsite[Client],IFERROR(MATCH(A47&amp;"",tbl_Onsite[Job Number],0),MATCH(IFERROR(A47+0,A47),tbl_Onsite[Job Number],0)))),IFERROR(IF(INDEX(tbl_Production[Client],IFERROR(MATCH(A47&amp;"",tbl_Production[Job Number],0),MATCH(IFERROR(A47+0,A47),tbl_Production[Job Number],0)))="","",INDEX(tbl_Production[Client],IFERROR(MATCH(A47&amp;"",tbl_Production[Job Number],0),MATCH(IFERROR(A47+0,A47),tbl_Production[Job Number],0)))),IFERROR(IF(INDEX(tbl_Consulting[Client],IFERROR(MATCH(A47&amp;"",tbl_Consulting[Job Number],0),MATCH(IFERROR(A47+0,A47),tbl_Consulting[Job Number],0)))="","",INDEX(tbl_Consulting[Client],IFERROR(MATCH(A47&amp;"",tbl_Consulting[Job Number],0),MATCH(IFERROR(A47+0,A47),tbl_Consulting[Job Number],0)))),""))))</f>
        <v/>
      </c>
      <c r="K47" s="26">
        <f>IF(A47="","",IFERROR(IF(INDEX(tbl_Onsite[Job Description],IFERROR(MATCH(A47&amp;"",tbl_Onsite[Job Number],0),MATCH(IFERROR(A47+0,A47),tbl_Onsite[Job Number],0)))="","",INDEX(tbl_Onsite[Job Description],IFERROR(MATCH(A47&amp;"",tbl_Onsite[Job Number],0),MATCH(IFERROR(A47+0,A47),tbl_Onsite[Job Number],0)))),IFERROR(IF(INDEX(tbl_Production[Job Description],IFERROR(MATCH(A47&amp;"",tbl_Production[Job Number],0),MATCH(IFERROR(A47+0,A47),tbl_Production[Job Number],0)))="","",INDEX(tbl_Production[Job Description],IFERROR(MATCH(A47&amp;"",tbl_Production[Job Number],0),MATCH(IFERROR(A47+0,A47),tbl_Production[Job Number],0)))),IFERROR(IF(INDEX(tbl_Consulting[Job Description],IFERROR(MATCH(A47&amp;"",tbl_Consulting[Job Number],0),MATCH(IFERROR(A47+0,A47),tbl_Consulting[Job Number],0)))="","",INDEX(tbl_Consulting[Job Description],IFERROR(MATCH(A47&amp;"",tbl_Consulting[Job Number],0),MATCH(IFERROR(A47+0,A47),tbl_Consulting[Job Number],0)))),""))))</f>
        <v/>
      </c>
      <c r="L47" s="26">
        <f>IF(A47="","",IFERROR(IF(INDEX(tbl_Onsite[Invoice Type],IFERROR(MATCH(A47&amp;"",tbl_Onsite[Job Number],0),MATCH(IFERROR(A47+0,A47),tbl_Onsite[Job Number],0)))="","",INDEX(tbl_Onsite[Invoice Type],IFERROR(MATCH(A47&amp;"",tbl_Onsite[Job Number],0),MATCH(IFERROR(A47+0,A47),tbl_Onsite[Job Number],0)))),IFERROR(IF(INDEX(tbl_Production[Invoice Type],IFERROR(MATCH(A47&amp;"",tbl_Production[Job Number],0),MATCH(IFERROR(A47+0,A47),tbl_Production[Job Number],0)))="","",INDEX(tbl_Production[Invoice Type],IFERROR(MATCH(A47&amp;"",tbl_Production[Job Number],0),MATCH(IFERROR(A47+0,A47),tbl_Production[Job Number],0)))),IFERROR(IF(INDEX(tbl_Consulting[Invoice Type],IFERROR(MATCH(A47&amp;"",tbl_Consulting[Job Number],0),MATCH(IFERROR(A47+0,A47),tbl_Consulting[Job Number],0)))="","",INDEX(tbl_Consulting[Invoice Type],IFERROR(MATCH(A47&amp;"",tbl_Consulting[Job Number],0),MATCH(IFERROR(A47+0,A47),tbl_Consulting[Job Number],0)))),""))))</f>
        <v/>
      </c>
      <c r="M47" s="26">
        <f>IF(A47="","",IF(IFERROR(IF(INDEX(tbl_Onsite[Tax Code],IFERROR(MATCH(A47&amp;"",tbl_Onsite[Job Number],0),MATCH(IFERROR(A47+0,A47),tbl_Onsite[Job Number],0)))="","",INDEX(tbl_Onsite[Tax Code],IFERROR(MATCH(A47&amp;"",tbl_Onsite[Job Number],0),MATCH(IFERROR(A47+0,A47),tbl_Onsite[Job Number],0)))),IFERROR(IF(INDEX(tbl_Production[Tax Code],IFERROR(MATCH(A47&amp;"",tbl_Production[Job Number],0),MATCH(IFERROR(A47+0,A47),tbl_Production[Job Number],0)))="","",INDEX(tbl_Production[Tax Code],IFERROR(MATCH(A47&amp;"",tbl_Production[Job Number],0),MATCH(IFERROR(A47+0,A47),tbl_Production[Job Number],0)))),IFERROR(IF(INDEX(tbl_Consulting[Tax Code],IFERROR(MATCH(A47&amp;"",tbl_Consulting[Job Number],0),MATCH(IFERROR(A47+0,A47),tbl_Consulting[Job Number],0)))="","",INDEX(tbl_Consulting[Tax Code],IFERROR(MATCH(A47&amp;"",tbl_Consulting[Job Number],0),MATCH(IFERROR(A47+0,A47),tbl_Consulting[Job Number],0)))),"")))="","GST 10%",IFERROR(IF(INDEX(tbl_Onsite[Tax Code],IFERROR(MATCH(A47&amp;"",tbl_Onsite[Job Number],0),MATCH(IFERROR(A47+0,A47),tbl_Onsite[Job Number],0)))="","",INDEX(tbl_Onsite[Tax Code],IFERROR(MATCH(A47&amp;"",tbl_Onsite[Job Number],0),MATCH(IFERROR(A47+0,A47),tbl_Onsite[Job Number],0)))),IFERROR(IF(INDEX(tbl_Production[Tax Code],IFERROR(MATCH(A47&amp;"",tbl_Production[Job Number],0),MATCH(IFERROR(A47+0,A47),tbl_Production[Job Number],0)))="","",INDEX(tbl_Production[Tax Code],IFERROR(MATCH(A47&amp;"",tbl_Production[Job Number],0),MATCH(IFERROR(A47+0,A47),tbl_Production[Job Number],0)))),IFERROR(IF(INDEX(tbl_Consulting[Tax Code],IFERROR(MATCH(A47&amp;"",tbl_Consulting[Job Number],0),MATCH(IFERROR(A47+0,A47),tbl_Consulting[Job Number],0)))="","",INDEX(tbl_Consulting[Tax Code],IFERROR(MATCH(A47&amp;"",tbl_Consulting[Job Number],0),MATCH(IFERROR(A47+0,A47),tbl_Consulting[Job Number],0)))),"")))))</f>
        <v/>
      </c>
      <c r="N47" s="26">
        <f>IF(D47="","",IFERROR(INDEX(lst_CCtoGL,MATCH(D47,lst_CCforGL,0)),""))</f>
        <v/>
      </c>
      <c r="O47" s="27">
        <f>IF(E47="","",IF(M47="GST 10%",ROUND(E47*set_GSTRate,2),0))</f>
        <v/>
      </c>
      <c r="P47" s="27">
        <f>IF(E47="","",E47+O47)</f>
        <v/>
      </c>
      <c r="Q47" s="27">
        <f>IF(A47="","",IFERROR(INDEX(tbl_Onsite[Expected Revenue Ex GST],IFERROR(MATCH(A47&amp;"",tbl_Onsite[Job Number],0),MATCH(IFERROR(A47+0,A47),tbl_Onsite[Job Number],0))),IFERROR(INDEX(tbl_Production[Expected Revenue Ex GST],IFERROR(MATCH(A47&amp;"",tbl_Production[Job Number],0),MATCH(IFERROR(A47+0,A47),tbl_Production[Job Number],0))),IFERROR(INDEX(tbl_Consulting[Expected Revenue Ex GST],IFERROR(MATCH(A47&amp;"",tbl_Consulting[Job Number],0),MATCH(IFERROR(A47+0,A47),tbl_Consulting[Job Number],0))),0))))</f>
        <v/>
      </c>
      <c r="R47" s="27">
        <f>IF(A47="","",SUMIFS(tbl_Finance[Ex GST],tbl_Finance[Job Number],A47&amp;""))</f>
        <v/>
      </c>
      <c r="S47" s="27">
        <f>IF(A47="","",Q47-R47)</f>
        <v/>
      </c>
      <c r="T47" s="26">
        <f>IF(A47="","",IF(Q47=0,"No dept value",IF(ROUND(S47,2)=0,"Agrees",IF(S47&gt;0,"Dept higher - to invoice","Xero higher - check dept"))))</f>
        <v/>
      </c>
      <c r="U47" s="22" t="n"/>
      <c r="V47" s="22" t="n"/>
      <c r="W47" s="23" t="n"/>
      <c r="X47" s="23" t="n"/>
      <c r="Y47" s="22" t="n"/>
      <c r="Z47" s="22" t="n"/>
      <c r="AA47" s="26">
        <f>IF(COUNTA(C47,A47,B47,E47)=0,"",IF(C47="","No date - sits outside every month",IF(A47="","No job number",IF(H47="CHECK","Job number is not in the Xero job list",IF(G47="not set up yet","No department has set this job up - nothing can pull through",IF(D47="","No cost centre",IF(AND(U47="Y",B47=""),"Marked posted to Xero but has no invoice number",IF(N47="","Cost centre has no revenue GL on the Lists sheet",IF(T47="Xero higher - check dept","Invoiced more than the department says the job is worth","")))))))))</f>
        <v/>
      </c>
      <c r="AB47" s="28">
        <f>IF(A47="","",COUNTIFS(tbl_Finance[Job Number],A47&amp;"",tbl_Finance[Ex GST],"&lt;&gt;"))</f>
        <v/>
      </c>
      <c r="AC47" s="27">
        <f>IF(A47="","",SUMIFS(tbl_Finance[Ex GST],tbl_Finance[Job Number],A47&amp;""))</f>
        <v/>
      </c>
      <c r="AD47" s="27">
        <f>IF(A47="","",SUMIFS(tbl_Finance[Ex GST],tbl_Finance[Job Number],A47&amp;"",tbl_Finance[Xero Invoice No],"&lt;&gt;"))</f>
        <v/>
      </c>
      <c r="AE47" s="27">
        <f>IF(A47="","",AC47-AD47)</f>
        <v/>
      </c>
      <c r="AF47" s="26">
        <f>IF(A47="","",IFERROR(IF(INDEX(tbl_Onsite[Qwilr Quote],IFERROR(MATCH(A47&amp;"",tbl_Onsite[Job Number],0),MATCH(IFERROR(A47+0,A47),tbl_Onsite[Job Number],0)))="","",INDEX(tbl_Onsite[Qwilr Quote],IFERROR(MATCH(A47&amp;"",tbl_Onsite[Job Number],0),MATCH(IFERROR(A47+0,A47),tbl_Onsite[Job Number],0)))),IFERROR(IF(IF(INDEX(tbl_Production[Current RMS No],IFERROR(MATCH(A47&amp;"",tbl_Production[Job Number],0),MATCH(IFERROR(A47+0,A47),tbl_Production[Job Number],0)))="",INDEX(tbl_Production[Qwilr Quote],IFERROR(MATCH(A47&amp;"",tbl_Production[Job Number],0),MATCH(IFERROR(A47+0,A47),tbl_Production[Job Number],0))),INDEX(tbl_Production[Current RMS No],IFERROR(MATCH(A47&amp;"",tbl_Production[Job Number],0),MATCH(IFERROR(A47+0,A47),tbl_Production[Job Number],0))))="","",IF(INDEX(tbl_Production[Current RMS No],IFERROR(MATCH(A47&amp;"",tbl_Production[Job Number],0),MATCH(IFERROR(A47+0,A47),tbl_Production[Job Number],0)))="",INDEX(tbl_Production[Qwilr Quote],IFERROR(MATCH(A47&amp;"",tbl_Production[Job Number],0),MATCH(IFERROR(A47+0,A47),tbl_Production[Job Number],0))),INDEX(tbl_Production[Current RMS No],IFERROR(MATCH(A47&amp;"",tbl_Production[Job Number],0),MATCH(IFERROR(A47+0,A47),tbl_Production[Job Number],0))))),IFERROR(IF(INDEX(tbl_Consulting[Qwilr Quote],IFERROR(MATCH(A47&amp;"",tbl_Consulting[Job Number],0),MATCH(IFERROR(A47+0,A47),tbl_Consulting[Job Number],0)))="","",INDEX(tbl_Consulting[Qwilr Quote],IFERROR(MATCH(A47&amp;"",tbl_Consulting[Job Number],0),MATCH(IFERROR(A47+0,A47),tbl_Consulting[Job Number],0)))),""))))</f>
        <v/>
      </c>
      <c r="AG47" s="26">
        <f>IF(AF47="","",IF(AND(LEFT(AF47,4)&lt;&gt;"http",IF(G47="Production",set_RMSBase,set_QwilrBase)=""),"",HYPERLINK(IF(LEFT(AF47,4)="http",AF47,IF(G47="Production",set_RMSBase,set_QwilrBase)&amp;AF47),"Open")))</f>
        <v/>
      </c>
      <c r="AH47" s="27">
        <f>IF(A47="","",IFERROR(INDEX(tbl_Production[Total Expense],IFERROR(MATCH(A47&amp;"",tbl_Production[Job Number],0),MATCH(IFERROR(A47+0,A47),tbl_Production[Job Number],0))),IFERROR(INDEX(tbl_Consulting[Total Expense],IFERROR(MATCH(A47&amp;"",tbl_Consulting[Job Number],0),MATCH(IFERROR(A47+0,A47),tbl_Consulting[Job Number],0))),0)))</f>
        <v/>
      </c>
      <c r="AI47" s="27">
        <f>IF(A47="","",AC47-N(AH47))</f>
        <v/>
      </c>
      <c r="AJ47" s="29">
        <f>IFERROR(AI47/AC47,"")</f>
        <v/>
      </c>
      <c r="AK47" s="26">
        <f>IF(A47="","",IFERROR(IF(INDEX(tbl_Onsite[Notes],IFERROR(MATCH(A47&amp;"",tbl_Onsite[Job Number],0),MATCH(IFERROR(A47+0,A47),tbl_Onsite[Job Number],0)))="","",INDEX(tbl_Onsite[Notes],IFERROR(MATCH(A47&amp;"",tbl_Onsite[Job Number],0),MATCH(IFERROR(A47+0,A47),tbl_Onsite[Job Number],0)))),IFERROR(IF(INDEX(tbl_Production[Notes],IFERROR(MATCH(A47&amp;"",tbl_Production[Job Number],0),MATCH(IFERROR(A47+0,A47),tbl_Production[Job Number],0)))="","",INDEX(tbl_Production[Notes],IFERROR(MATCH(A47&amp;"",tbl_Production[Job Number],0),MATCH(IFERROR(A47+0,A47),tbl_Production[Job Number],0)))),IFERROR(IF(INDEX(tbl_Consulting[Notes],IFERROR(MATCH(A47&amp;"",tbl_Consulting[Job Number],0),MATCH(IFERROR(A47+0,A47),tbl_Consulting[Job Number],0)))="","",INDEX(tbl_Consulting[Notes],IFERROR(MATCH(A47&amp;"",tbl_Consulting[Job Number],0),MATCH(IFERROR(A47+0,A47),tbl_Consulting[Job Number],0)))),""))))</f>
        <v/>
      </c>
    </row>
    <row r="48" ht="15" customHeight="1">
      <c r="A48" s="22" t="n"/>
      <c r="B48" s="22" t="n"/>
      <c r="C48" s="23" t="n"/>
      <c r="D48" s="22" t="n"/>
      <c r="E48" s="24" t="n"/>
      <c r="F48" s="25">
        <f>IF(C48="","",EOMONTH(C48,0))</f>
        <v/>
      </c>
      <c r="G48" s="26">
        <f>IF(A48="","",IF(COUNTIF(tbl_Onsite[Job Number],A48&amp;"")&gt;0,"Onsite",IF(COUNTIF(tbl_Production[Job Number],A48&amp;"")&gt;0,"Production",IF(COUNTIF(tbl_Consulting[Job Number],A48&amp;"")&gt;0,"Consulting","not set up yet"))))</f>
        <v/>
      </c>
      <c r="H48" s="26">
        <f>IF(A48="","",IF(COUNTIF(lst_Jobs,A48&amp;"")&gt;0,"OK","CHECK"))</f>
        <v/>
      </c>
      <c r="I48" s="26">
        <f>IF(A48="","",IFERROR(INDEX(lst_JobName,MATCH(A48&amp;"",lst_Jobs,0)),""))</f>
        <v/>
      </c>
      <c r="J48" s="26">
        <f>IF(A48="","",IFERROR(IF(INDEX(tbl_Onsite[Client],IFERROR(MATCH(A48&amp;"",tbl_Onsite[Job Number],0),MATCH(IFERROR(A48+0,A48),tbl_Onsite[Job Number],0)))="","",INDEX(tbl_Onsite[Client],IFERROR(MATCH(A48&amp;"",tbl_Onsite[Job Number],0),MATCH(IFERROR(A48+0,A48),tbl_Onsite[Job Number],0)))),IFERROR(IF(INDEX(tbl_Production[Client],IFERROR(MATCH(A48&amp;"",tbl_Production[Job Number],0),MATCH(IFERROR(A48+0,A48),tbl_Production[Job Number],0)))="","",INDEX(tbl_Production[Client],IFERROR(MATCH(A48&amp;"",tbl_Production[Job Number],0),MATCH(IFERROR(A48+0,A48),tbl_Production[Job Number],0)))),IFERROR(IF(INDEX(tbl_Consulting[Client],IFERROR(MATCH(A48&amp;"",tbl_Consulting[Job Number],0),MATCH(IFERROR(A48+0,A48),tbl_Consulting[Job Number],0)))="","",INDEX(tbl_Consulting[Client],IFERROR(MATCH(A48&amp;"",tbl_Consulting[Job Number],0),MATCH(IFERROR(A48+0,A48),tbl_Consulting[Job Number],0)))),""))))</f>
        <v/>
      </c>
      <c r="K48" s="26">
        <f>IF(A48="","",IFERROR(IF(INDEX(tbl_Onsite[Job Description],IFERROR(MATCH(A48&amp;"",tbl_Onsite[Job Number],0),MATCH(IFERROR(A48+0,A48),tbl_Onsite[Job Number],0)))="","",INDEX(tbl_Onsite[Job Description],IFERROR(MATCH(A48&amp;"",tbl_Onsite[Job Number],0),MATCH(IFERROR(A48+0,A48),tbl_Onsite[Job Number],0)))),IFERROR(IF(INDEX(tbl_Production[Job Description],IFERROR(MATCH(A48&amp;"",tbl_Production[Job Number],0),MATCH(IFERROR(A48+0,A48),tbl_Production[Job Number],0)))="","",INDEX(tbl_Production[Job Description],IFERROR(MATCH(A48&amp;"",tbl_Production[Job Number],0),MATCH(IFERROR(A48+0,A48),tbl_Production[Job Number],0)))),IFERROR(IF(INDEX(tbl_Consulting[Job Description],IFERROR(MATCH(A48&amp;"",tbl_Consulting[Job Number],0),MATCH(IFERROR(A48+0,A48),tbl_Consulting[Job Number],0)))="","",INDEX(tbl_Consulting[Job Description],IFERROR(MATCH(A48&amp;"",tbl_Consulting[Job Number],0),MATCH(IFERROR(A48+0,A48),tbl_Consulting[Job Number],0)))),""))))</f>
        <v/>
      </c>
      <c r="L48" s="26">
        <f>IF(A48="","",IFERROR(IF(INDEX(tbl_Onsite[Invoice Type],IFERROR(MATCH(A48&amp;"",tbl_Onsite[Job Number],0),MATCH(IFERROR(A48+0,A48),tbl_Onsite[Job Number],0)))="","",INDEX(tbl_Onsite[Invoice Type],IFERROR(MATCH(A48&amp;"",tbl_Onsite[Job Number],0),MATCH(IFERROR(A48+0,A48),tbl_Onsite[Job Number],0)))),IFERROR(IF(INDEX(tbl_Production[Invoice Type],IFERROR(MATCH(A48&amp;"",tbl_Production[Job Number],0),MATCH(IFERROR(A48+0,A48),tbl_Production[Job Number],0)))="","",INDEX(tbl_Production[Invoice Type],IFERROR(MATCH(A48&amp;"",tbl_Production[Job Number],0),MATCH(IFERROR(A48+0,A48),tbl_Production[Job Number],0)))),IFERROR(IF(INDEX(tbl_Consulting[Invoice Type],IFERROR(MATCH(A48&amp;"",tbl_Consulting[Job Number],0),MATCH(IFERROR(A48+0,A48),tbl_Consulting[Job Number],0)))="","",INDEX(tbl_Consulting[Invoice Type],IFERROR(MATCH(A48&amp;"",tbl_Consulting[Job Number],0),MATCH(IFERROR(A48+0,A48),tbl_Consulting[Job Number],0)))),""))))</f>
        <v/>
      </c>
      <c r="M48" s="26">
        <f>IF(A48="","",IF(IFERROR(IF(INDEX(tbl_Onsite[Tax Code],IFERROR(MATCH(A48&amp;"",tbl_Onsite[Job Number],0),MATCH(IFERROR(A48+0,A48),tbl_Onsite[Job Number],0)))="","",INDEX(tbl_Onsite[Tax Code],IFERROR(MATCH(A48&amp;"",tbl_Onsite[Job Number],0),MATCH(IFERROR(A48+0,A48),tbl_Onsite[Job Number],0)))),IFERROR(IF(INDEX(tbl_Production[Tax Code],IFERROR(MATCH(A48&amp;"",tbl_Production[Job Number],0),MATCH(IFERROR(A48+0,A48),tbl_Production[Job Number],0)))="","",INDEX(tbl_Production[Tax Code],IFERROR(MATCH(A48&amp;"",tbl_Production[Job Number],0),MATCH(IFERROR(A48+0,A48),tbl_Production[Job Number],0)))),IFERROR(IF(INDEX(tbl_Consulting[Tax Code],IFERROR(MATCH(A48&amp;"",tbl_Consulting[Job Number],0),MATCH(IFERROR(A48+0,A48),tbl_Consulting[Job Number],0)))="","",INDEX(tbl_Consulting[Tax Code],IFERROR(MATCH(A48&amp;"",tbl_Consulting[Job Number],0),MATCH(IFERROR(A48+0,A48),tbl_Consulting[Job Number],0)))),"")))="","GST 10%",IFERROR(IF(INDEX(tbl_Onsite[Tax Code],IFERROR(MATCH(A48&amp;"",tbl_Onsite[Job Number],0),MATCH(IFERROR(A48+0,A48),tbl_Onsite[Job Number],0)))="","",INDEX(tbl_Onsite[Tax Code],IFERROR(MATCH(A48&amp;"",tbl_Onsite[Job Number],0),MATCH(IFERROR(A48+0,A48),tbl_Onsite[Job Number],0)))),IFERROR(IF(INDEX(tbl_Production[Tax Code],IFERROR(MATCH(A48&amp;"",tbl_Production[Job Number],0),MATCH(IFERROR(A48+0,A48),tbl_Production[Job Number],0)))="","",INDEX(tbl_Production[Tax Code],IFERROR(MATCH(A48&amp;"",tbl_Production[Job Number],0),MATCH(IFERROR(A48+0,A48),tbl_Production[Job Number],0)))),IFERROR(IF(INDEX(tbl_Consulting[Tax Code],IFERROR(MATCH(A48&amp;"",tbl_Consulting[Job Number],0),MATCH(IFERROR(A48+0,A48),tbl_Consulting[Job Number],0)))="","",INDEX(tbl_Consulting[Tax Code],IFERROR(MATCH(A48&amp;"",tbl_Consulting[Job Number],0),MATCH(IFERROR(A48+0,A48),tbl_Consulting[Job Number],0)))),"")))))</f>
        <v/>
      </c>
      <c r="N48" s="26">
        <f>IF(D48="","",IFERROR(INDEX(lst_CCtoGL,MATCH(D48,lst_CCforGL,0)),""))</f>
        <v/>
      </c>
      <c r="O48" s="27">
        <f>IF(E48="","",IF(M48="GST 10%",ROUND(E48*set_GSTRate,2),0))</f>
        <v/>
      </c>
      <c r="P48" s="27">
        <f>IF(E48="","",E48+O48)</f>
        <v/>
      </c>
      <c r="Q48" s="27">
        <f>IF(A48="","",IFERROR(INDEX(tbl_Onsite[Expected Revenue Ex GST],IFERROR(MATCH(A48&amp;"",tbl_Onsite[Job Number],0),MATCH(IFERROR(A48+0,A48),tbl_Onsite[Job Number],0))),IFERROR(INDEX(tbl_Production[Expected Revenue Ex GST],IFERROR(MATCH(A48&amp;"",tbl_Production[Job Number],0),MATCH(IFERROR(A48+0,A48),tbl_Production[Job Number],0))),IFERROR(INDEX(tbl_Consulting[Expected Revenue Ex GST],IFERROR(MATCH(A48&amp;"",tbl_Consulting[Job Number],0),MATCH(IFERROR(A48+0,A48),tbl_Consulting[Job Number],0))),0))))</f>
        <v/>
      </c>
      <c r="R48" s="27">
        <f>IF(A48="","",SUMIFS(tbl_Finance[Ex GST],tbl_Finance[Job Number],A48&amp;""))</f>
        <v/>
      </c>
      <c r="S48" s="27">
        <f>IF(A48="","",Q48-R48)</f>
        <v/>
      </c>
      <c r="T48" s="26">
        <f>IF(A48="","",IF(Q48=0,"No dept value",IF(ROUND(S48,2)=0,"Agrees",IF(S48&gt;0,"Dept higher - to invoice","Xero higher - check dept"))))</f>
        <v/>
      </c>
      <c r="U48" s="22" t="n"/>
      <c r="V48" s="22" t="n"/>
      <c r="W48" s="23" t="n"/>
      <c r="X48" s="23" t="n"/>
      <c r="Y48" s="22" t="n"/>
      <c r="Z48" s="22" t="n"/>
      <c r="AA48" s="26">
        <f>IF(COUNTA(C48,A48,B48,E48)=0,"",IF(C48="","No date - sits outside every month",IF(A48="","No job number",IF(H48="CHECK","Job number is not in the Xero job list",IF(G48="not set up yet","No department has set this job up - nothing can pull through",IF(D48="","No cost centre",IF(AND(U48="Y",B48=""),"Marked posted to Xero but has no invoice number",IF(N48="","Cost centre has no revenue GL on the Lists sheet",IF(T48="Xero higher - check dept","Invoiced more than the department says the job is worth","")))))))))</f>
        <v/>
      </c>
      <c r="AB48" s="28">
        <f>IF(A48="","",COUNTIFS(tbl_Finance[Job Number],A48&amp;"",tbl_Finance[Ex GST],"&lt;&gt;"))</f>
        <v/>
      </c>
      <c r="AC48" s="27">
        <f>IF(A48="","",SUMIFS(tbl_Finance[Ex GST],tbl_Finance[Job Number],A48&amp;""))</f>
        <v/>
      </c>
      <c r="AD48" s="27">
        <f>IF(A48="","",SUMIFS(tbl_Finance[Ex GST],tbl_Finance[Job Number],A48&amp;"",tbl_Finance[Xero Invoice No],"&lt;&gt;"))</f>
        <v/>
      </c>
      <c r="AE48" s="27">
        <f>IF(A48="","",AC48-AD48)</f>
        <v/>
      </c>
      <c r="AF48" s="26">
        <f>IF(A48="","",IFERROR(IF(INDEX(tbl_Onsite[Qwilr Quote],IFERROR(MATCH(A48&amp;"",tbl_Onsite[Job Number],0),MATCH(IFERROR(A48+0,A48),tbl_Onsite[Job Number],0)))="","",INDEX(tbl_Onsite[Qwilr Quote],IFERROR(MATCH(A48&amp;"",tbl_Onsite[Job Number],0),MATCH(IFERROR(A48+0,A48),tbl_Onsite[Job Number],0)))),IFERROR(IF(IF(INDEX(tbl_Production[Current RMS No],IFERROR(MATCH(A48&amp;"",tbl_Production[Job Number],0),MATCH(IFERROR(A48+0,A48),tbl_Production[Job Number],0)))="",INDEX(tbl_Production[Qwilr Quote],IFERROR(MATCH(A48&amp;"",tbl_Production[Job Number],0),MATCH(IFERROR(A48+0,A48),tbl_Production[Job Number],0))),INDEX(tbl_Production[Current RMS No],IFERROR(MATCH(A48&amp;"",tbl_Production[Job Number],0),MATCH(IFERROR(A48+0,A48),tbl_Production[Job Number],0))))="","",IF(INDEX(tbl_Production[Current RMS No],IFERROR(MATCH(A48&amp;"",tbl_Production[Job Number],0),MATCH(IFERROR(A48+0,A48),tbl_Production[Job Number],0)))="",INDEX(tbl_Production[Qwilr Quote],IFERROR(MATCH(A48&amp;"",tbl_Production[Job Number],0),MATCH(IFERROR(A48+0,A48),tbl_Production[Job Number],0))),INDEX(tbl_Production[Current RMS No],IFERROR(MATCH(A48&amp;"",tbl_Production[Job Number],0),MATCH(IFERROR(A48+0,A48),tbl_Production[Job Number],0))))),IFERROR(IF(INDEX(tbl_Consulting[Qwilr Quote],IFERROR(MATCH(A48&amp;"",tbl_Consulting[Job Number],0),MATCH(IFERROR(A48+0,A48),tbl_Consulting[Job Number],0)))="","",INDEX(tbl_Consulting[Qwilr Quote],IFERROR(MATCH(A48&amp;"",tbl_Consulting[Job Number],0),MATCH(IFERROR(A48+0,A48),tbl_Consulting[Job Number],0)))),""))))</f>
        <v/>
      </c>
      <c r="AG48" s="26">
        <f>IF(AF48="","",IF(AND(LEFT(AF48,4)&lt;&gt;"http",IF(G48="Production",set_RMSBase,set_QwilrBase)=""),"",HYPERLINK(IF(LEFT(AF48,4)="http",AF48,IF(G48="Production",set_RMSBase,set_QwilrBase)&amp;AF48),"Open")))</f>
        <v/>
      </c>
      <c r="AH48" s="27">
        <f>IF(A48="","",IFERROR(INDEX(tbl_Production[Total Expense],IFERROR(MATCH(A48&amp;"",tbl_Production[Job Number],0),MATCH(IFERROR(A48+0,A48),tbl_Production[Job Number],0))),IFERROR(INDEX(tbl_Consulting[Total Expense],IFERROR(MATCH(A48&amp;"",tbl_Consulting[Job Number],0),MATCH(IFERROR(A48+0,A48),tbl_Consulting[Job Number],0))),0)))</f>
        <v/>
      </c>
      <c r="AI48" s="27">
        <f>IF(A48="","",AC48-N(AH48))</f>
        <v/>
      </c>
      <c r="AJ48" s="29">
        <f>IFERROR(AI48/AC48,"")</f>
        <v/>
      </c>
      <c r="AK48" s="26">
        <f>IF(A48="","",IFERROR(IF(INDEX(tbl_Onsite[Notes],IFERROR(MATCH(A48&amp;"",tbl_Onsite[Job Number],0),MATCH(IFERROR(A48+0,A48),tbl_Onsite[Job Number],0)))="","",INDEX(tbl_Onsite[Notes],IFERROR(MATCH(A48&amp;"",tbl_Onsite[Job Number],0),MATCH(IFERROR(A48+0,A48),tbl_Onsite[Job Number],0)))),IFERROR(IF(INDEX(tbl_Production[Notes],IFERROR(MATCH(A48&amp;"",tbl_Production[Job Number],0),MATCH(IFERROR(A48+0,A48),tbl_Production[Job Number],0)))="","",INDEX(tbl_Production[Notes],IFERROR(MATCH(A48&amp;"",tbl_Production[Job Number],0),MATCH(IFERROR(A48+0,A48),tbl_Production[Job Number],0)))),IFERROR(IF(INDEX(tbl_Consulting[Notes],IFERROR(MATCH(A48&amp;"",tbl_Consulting[Job Number],0),MATCH(IFERROR(A48+0,A48),tbl_Consulting[Job Number],0)))="","",INDEX(tbl_Consulting[Notes],IFERROR(MATCH(A48&amp;"",tbl_Consulting[Job Number],0),MATCH(IFERROR(A48+0,A48),tbl_Consulting[Job Number],0)))),""))))</f>
        <v/>
      </c>
    </row>
    <row r="49" ht="15" customHeight="1">
      <c r="A49" s="22" t="n"/>
      <c r="B49" s="22" t="n"/>
      <c r="C49" s="23" t="n"/>
      <c r="D49" s="22" t="n"/>
      <c r="E49" s="24" t="n"/>
      <c r="F49" s="25">
        <f>IF(C49="","",EOMONTH(C49,0))</f>
        <v/>
      </c>
      <c r="G49" s="26">
        <f>IF(A49="","",IF(COUNTIF(tbl_Onsite[Job Number],A49&amp;"")&gt;0,"Onsite",IF(COUNTIF(tbl_Production[Job Number],A49&amp;"")&gt;0,"Production",IF(COUNTIF(tbl_Consulting[Job Number],A49&amp;"")&gt;0,"Consulting","not set up yet"))))</f>
        <v/>
      </c>
      <c r="H49" s="26">
        <f>IF(A49="","",IF(COUNTIF(lst_Jobs,A49&amp;"")&gt;0,"OK","CHECK"))</f>
        <v/>
      </c>
      <c r="I49" s="26">
        <f>IF(A49="","",IFERROR(INDEX(lst_JobName,MATCH(A49&amp;"",lst_Jobs,0)),""))</f>
        <v/>
      </c>
      <c r="J49" s="26">
        <f>IF(A49="","",IFERROR(IF(INDEX(tbl_Onsite[Client],IFERROR(MATCH(A49&amp;"",tbl_Onsite[Job Number],0),MATCH(IFERROR(A49+0,A49),tbl_Onsite[Job Number],0)))="","",INDEX(tbl_Onsite[Client],IFERROR(MATCH(A49&amp;"",tbl_Onsite[Job Number],0),MATCH(IFERROR(A49+0,A49),tbl_Onsite[Job Number],0)))),IFERROR(IF(INDEX(tbl_Production[Client],IFERROR(MATCH(A49&amp;"",tbl_Production[Job Number],0),MATCH(IFERROR(A49+0,A49),tbl_Production[Job Number],0)))="","",INDEX(tbl_Production[Client],IFERROR(MATCH(A49&amp;"",tbl_Production[Job Number],0),MATCH(IFERROR(A49+0,A49),tbl_Production[Job Number],0)))),IFERROR(IF(INDEX(tbl_Consulting[Client],IFERROR(MATCH(A49&amp;"",tbl_Consulting[Job Number],0),MATCH(IFERROR(A49+0,A49),tbl_Consulting[Job Number],0)))="","",INDEX(tbl_Consulting[Client],IFERROR(MATCH(A49&amp;"",tbl_Consulting[Job Number],0),MATCH(IFERROR(A49+0,A49),tbl_Consulting[Job Number],0)))),""))))</f>
        <v/>
      </c>
      <c r="K49" s="26">
        <f>IF(A49="","",IFERROR(IF(INDEX(tbl_Onsite[Job Description],IFERROR(MATCH(A49&amp;"",tbl_Onsite[Job Number],0),MATCH(IFERROR(A49+0,A49),tbl_Onsite[Job Number],0)))="","",INDEX(tbl_Onsite[Job Description],IFERROR(MATCH(A49&amp;"",tbl_Onsite[Job Number],0),MATCH(IFERROR(A49+0,A49),tbl_Onsite[Job Number],0)))),IFERROR(IF(INDEX(tbl_Production[Job Description],IFERROR(MATCH(A49&amp;"",tbl_Production[Job Number],0),MATCH(IFERROR(A49+0,A49),tbl_Production[Job Number],0)))="","",INDEX(tbl_Production[Job Description],IFERROR(MATCH(A49&amp;"",tbl_Production[Job Number],0),MATCH(IFERROR(A49+0,A49),tbl_Production[Job Number],0)))),IFERROR(IF(INDEX(tbl_Consulting[Job Description],IFERROR(MATCH(A49&amp;"",tbl_Consulting[Job Number],0),MATCH(IFERROR(A49+0,A49),tbl_Consulting[Job Number],0)))="","",INDEX(tbl_Consulting[Job Description],IFERROR(MATCH(A49&amp;"",tbl_Consulting[Job Number],0),MATCH(IFERROR(A49+0,A49),tbl_Consulting[Job Number],0)))),""))))</f>
        <v/>
      </c>
      <c r="L49" s="26">
        <f>IF(A49="","",IFERROR(IF(INDEX(tbl_Onsite[Invoice Type],IFERROR(MATCH(A49&amp;"",tbl_Onsite[Job Number],0),MATCH(IFERROR(A49+0,A49),tbl_Onsite[Job Number],0)))="","",INDEX(tbl_Onsite[Invoice Type],IFERROR(MATCH(A49&amp;"",tbl_Onsite[Job Number],0),MATCH(IFERROR(A49+0,A49),tbl_Onsite[Job Number],0)))),IFERROR(IF(INDEX(tbl_Production[Invoice Type],IFERROR(MATCH(A49&amp;"",tbl_Production[Job Number],0),MATCH(IFERROR(A49+0,A49),tbl_Production[Job Number],0)))="","",INDEX(tbl_Production[Invoice Type],IFERROR(MATCH(A49&amp;"",tbl_Production[Job Number],0),MATCH(IFERROR(A49+0,A49),tbl_Production[Job Number],0)))),IFERROR(IF(INDEX(tbl_Consulting[Invoice Type],IFERROR(MATCH(A49&amp;"",tbl_Consulting[Job Number],0),MATCH(IFERROR(A49+0,A49),tbl_Consulting[Job Number],0)))="","",INDEX(tbl_Consulting[Invoice Type],IFERROR(MATCH(A49&amp;"",tbl_Consulting[Job Number],0),MATCH(IFERROR(A49+0,A49),tbl_Consulting[Job Number],0)))),""))))</f>
        <v/>
      </c>
      <c r="M49" s="26">
        <f>IF(A49="","",IF(IFERROR(IF(INDEX(tbl_Onsite[Tax Code],IFERROR(MATCH(A49&amp;"",tbl_Onsite[Job Number],0),MATCH(IFERROR(A49+0,A49),tbl_Onsite[Job Number],0)))="","",INDEX(tbl_Onsite[Tax Code],IFERROR(MATCH(A49&amp;"",tbl_Onsite[Job Number],0),MATCH(IFERROR(A49+0,A49),tbl_Onsite[Job Number],0)))),IFERROR(IF(INDEX(tbl_Production[Tax Code],IFERROR(MATCH(A49&amp;"",tbl_Production[Job Number],0),MATCH(IFERROR(A49+0,A49),tbl_Production[Job Number],0)))="","",INDEX(tbl_Production[Tax Code],IFERROR(MATCH(A49&amp;"",tbl_Production[Job Number],0),MATCH(IFERROR(A49+0,A49),tbl_Production[Job Number],0)))),IFERROR(IF(INDEX(tbl_Consulting[Tax Code],IFERROR(MATCH(A49&amp;"",tbl_Consulting[Job Number],0),MATCH(IFERROR(A49+0,A49),tbl_Consulting[Job Number],0)))="","",INDEX(tbl_Consulting[Tax Code],IFERROR(MATCH(A49&amp;"",tbl_Consulting[Job Number],0),MATCH(IFERROR(A49+0,A49),tbl_Consulting[Job Number],0)))),"")))="","GST 10%",IFERROR(IF(INDEX(tbl_Onsite[Tax Code],IFERROR(MATCH(A49&amp;"",tbl_Onsite[Job Number],0),MATCH(IFERROR(A49+0,A49),tbl_Onsite[Job Number],0)))="","",INDEX(tbl_Onsite[Tax Code],IFERROR(MATCH(A49&amp;"",tbl_Onsite[Job Number],0),MATCH(IFERROR(A49+0,A49),tbl_Onsite[Job Number],0)))),IFERROR(IF(INDEX(tbl_Production[Tax Code],IFERROR(MATCH(A49&amp;"",tbl_Production[Job Number],0),MATCH(IFERROR(A49+0,A49),tbl_Production[Job Number],0)))="","",INDEX(tbl_Production[Tax Code],IFERROR(MATCH(A49&amp;"",tbl_Production[Job Number],0),MATCH(IFERROR(A49+0,A49),tbl_Production[Job Number],0)))),IFERROR(IF(INDEX(tbl_Consulting[Tax Code],IFERROR(MATCH(A49&amp;"",tbl_Consulting[Job Number],0),MATCH(IFERROR(A49+0,A49),tbl_Consulting[Job Number],0)))="","",INDEX(tbl_Consulting[Tax Code],IFERROR(MATCH(A49&amp;"",tbl_Consulting[Job Number],0),MATCH(IFERROR(A49+0,A49),tbl_Consulting[Job Number],0)))),"")))))</f>
        <v/>
      </c>
      <c r="N49" s="26">
        <f>IF(D49="","",IFERROR(INDEX(lst_CCtoGL,MATCH(D49,lst_CCforGL,0)),""))</f>
        <v/>
      </c>
      <c r="O49" s="27">
        <f>IF(E49="","",IF(M49="GST 10%",ROUND(E49*set_GSTRate,2),0))</f>
        <v/>
      </c>
      <c r="P49" s="27">
        <f>IF(E49="","",E49+O49)</f>
        <v/>
      </c>
      <c r="Q49" s="27">
        <f>IF(A49="","",IFERROR(INDEX(tbl_Onsite[Expected Revenue Ex GST],IFERROR(MATCH(A49&amp;"",tbl_Onsite[Job Number],0),MATCH(IFERROR(A49+0,A49),tbl_Onsite[Job Number],0))),IFERROR(INDEX(tbl_Production[Expected Revenue Ex GST],IFERROR(MATCH(A49&amp;"",tbl_Production[Job Number],0),MATCH(IFERROR(A49+0,A49),tbl_Production[Job Number],0))),IFERROR(INDEX(tbl_Consulting[Expected Revenue Ex GST],IFERROR(MATCH(A49&amp;"",tbl_Consulting[Job Number],0),MATCH(IFERROR(A49+0,A49),tbl_Consulting[Job Number],0))),0))))</f>
        <v/>
      </c>
      <c r="R49" s="27">
        <f>IF(A49="","",SUMIFS(tbl_Finance[Ex GST],tbl_Finance[Job Number],A49&amp;""))</f>
        <v/>
      </c>
      <c r="S49" s="27">
        <f>IF(A49="","",Q49-R49)</f>
        <v/>
      </c>
      <c r="T49" s="26">
        <f>IF(A49="","",IF(Q49=0,"No dept value",IF(ROUND(S49,2)=0,"Agrees",IF(S49&gt;0,"Dept higher - to invoice","Xero higher - check dept"))))</f>
        <v/>
      </c>
      <c r="U49" s="22" t="n"/>
      <c r="V49" s="22" t="n"/>
      <c r="W49" s="23" t="n"/>
      <c r="X49" s="23" t="n"/>
      <c r="Y49" s="22" t="n"/>
      <c r="Z49" s="22" t="n"/>
      <c r="AA49" s="26">
        <f>IF(COUNTA(C49,A49,B49,E49)=0,"",IF(C49="","No date - sits outside every month",IF(A49="","No job number",IF(H49="CHECK","Job number is not in the Xero job list",IF(G49="not set up yet","No department has set this job up - nothing can pull through",IF(D49="","No cost centre",IF(AND(U49="Y",B49=""),"Marked posted to Xero but has no invoice number",IF(N49="","Cost centre has no revenue GL on the Lists sheet",IF(T49="Xero higher - check dept","Invoiced more than the department says the job is worth","")))))))))</f>
        <v/>
      </c>
      <c r="AB49" s="28">
        <f>IF(A49="","",COUNTIFS(tbl_Finance[Job Number],A49&amp;"",tbl_Finance[Ex GST],"&lt;&gt;"))</f>
        <v/>
      </c>
      <c r="AC49" s="27">
        <f>IF(A49="","",SUMIFS(tbl_Finance[Ex GST],tbl_Finance[Job Number],A49&amp;""))</f>
        <v/>
      </c>
      <c r="AD49" s="27">
        <f>IF(A49="","",SUMIFS(tbl_Finance[Ex GST],tbl_Finance[Job Number],A49&amp;"",tbl_Finance[Xero Invoice No],"&lt;&gt;"))</f>
        <v/>
      </c>
      <c r="AE49" s="27">
        <f>IF(A49="","",AC49-AD49)</f>
        <v/>
      </c>
      <c r="AF49" s="26">
        <f>IF(A49="","",IFERROR(IF(INDEX(tbl_Onsite[Qwilr Quote],IFERROR(MATCH(A49&amp;"",tbl_Onsite[Job Number],0),MATCH(IFERROR(A49+0,A49),tbl_Onsite[Job Number],0)))="","",INDEX(tbl_Onsite[Qwilr Quote],IFERROR(MATCH(A49&amp;"",tbl_Onsite[Job Number],0),MATCH(IFERROR(A49+0,A49),tbl_Onsite[Job Number],0)))),IFERROR(IF(IF(INDEX(tbl_Production[Current RMS No],IFERROR(MATCH(A49&amp;"",tbl_Production[Job Number],0),MATCH(IFERROR(A49+0,A49),tbl_Production[Job Number],0)))="",INDEX(tbl_Production[Qwilr Quote],IFERROR(MATCH(A49&amp;"",tbl_Production[Job Number],0),MATCH(IFERROR(A49+0,A49),tbl_Production[Job Number],0))),INDEX(tbl_Production[Current RMS No],IFERROR(MATCH(A49&amp;"",tbl_Production[Job Number],0),MATCH(IFERROR(A49+0,A49),tbl_Production[Job Number],0))))="","",IF(INDEX(tbl_Production[Current RMS No],IFERROR(MATCH(A49&amp;"",tbl_Production[Job Number],0),MATCH(IFERROR(A49+0,A49),tbl_Production[Job Number],0)))="",INDEX(tbl_Production[Qwilr Quote],IFERROR(MATCH(A49&amp;"",tbl_Production[Job Number],0),MATCH(IFERROR(A49+0,A49),tbl_Production[Job Number],0))),INDEX(tbl_Production[Current RMS No],IFERROR(MATCH(A49&amp;"",tbl_Production[Job Number],0),MATCH(IFERROR(A49+0,A49),tbl_Production[Job Number],0))))),IFERROR(IF(INDEX(tbl_Consulting[Qwilr Quote],IFERROR(MATCH(A49&amp;"",tbl_Consulting[Job Number],0),MATCH(IFERROR(A49+0,A49),tbl_Consulting[Job Number],0)))="","",INDEX(tbl_Consulting[Qwilr Quote],IFERROR(MATCH(A49&amp;"",tbl_Consulting[Job Number],0),MATCH(IFERROR(A49+0,A49),tbl_Consulting[Job Number],0)))),""))))</f>
        <v/>
      </c>
      <c r="AG49" s="26">
        <f>IF(AF49="","",IF(AND(LEFT(AF49,4)&lt;&gt;"http",IF(G49="Production",set_RMSBase,set_QwilrBase)=""),"",HYPERLINK(IF(LEFT(AF49,4)="http",AF49,IF(G49="Production",set_RMSBase,set_QwilrBase)&amp;AF49),"Open")))</f>
        <v/>
      </c>
      <c r="AH49" s="27">
        <f>IF(A49="","",IFERROR(INDEX(tbl_Production[Total Expense],IFERROR(MATCH(A49&amp;"",tbl_Production[Job Number],0),MATCH(IFERROR(A49+0,A49),tbl_Production[Job Number],0))),IFERROR(INDEX(tbl_Consulting[Total Expense],IFERROR(MATCH(A49&amp;"",tbl_Consulting[Job Number],0),MATCH(IFERROR(A49+0,A49),tbl_Consulting[Job Number],0))),0)))</f>
        <v/>
      </c>
      <c r="AI49" s="27">
        <f>IF(A49="","",AC49-N(AH49))</f>
        <v/>
      </c>
      <c r="AJ49" s="29">
        <f>IFERROR(AI49/AC49,"")</f>
        <v/>
      </c>
      <c r="AK49" s="26">
        <f>IF(A49="","",IFERROR(IF(INDEX(tbl_Onsite[Notes],IFERROR(MATCH(A49&amp;"",tbl_Onsite[Job Number],0),MATCH(IFERROR(A49+0,A49),tbl_Onsite[Job Number],0)))="","",INDEX(tbl_Onsite[Notes],IFERROR(MATCH(A49&amp;"",tbl_Onsite[Job Number],0),MATCH(IFERROR(A49+0,A49),tbl_Onsite[Job Number],0)))),IFERROR(IF(INDEX(tbl_Production[Notes],IFERROR(MATCH(A49&amp;"",tbl_Production[Job Number],0),MATCH(IFERROR(A49+0,A49),tbl_Production[Job Number],0)))="","",INDEX(tbl_Production[Notes],IFERROR(MATCH(A49&amp;"",tbl_Production[Job Number],0),MATCH(IFERROR(A49+0,A49),tbl_Production[Job Number],0)))),IFERROR(IF(INDEX(tbl_Consulting[Notes],IFERROR(MATCH(A49&amp;"",tbl_Consulting[Job Number],0),MATCH(IFERROR(A49+0,A49),tbl_Consulting[Job Number],0)))="","",INDEX(tbl_Consulting[Notes],IFERROR(MATCH(A49&amp;"",tbl_Consulting[Job Number],0),MATCH(IFERROR(A49+0,A49),tbl_Consulting[Job Number],0)))),""))))</f>
        <v/>
      </c>
    </row>
    <row r="50" ht="15" customHeight="1">
      <c r="A50" s="22" t="n"/>
      <c r="B50" s="22" t="n"/>
      <c r="C50" s="23" t="n"/>
      <c r="D50" s="22" t="n"/>
      <c r="E50" s="24" t="n"/>
      <c r="F50" s="25">
        <f>IF(C50="","",EOMONTH(C50,0))</f>
        <v/>
      </c>
      <c r="G50" s="26">
        <f>IF(A50="","",IF(COUNTIF(tbl_Onsite[Job Number],A50&amp;"")&gt;0,"Onsite",IF(COUNTIF(tbl_Production[Job Number],A50&amp;"")&gt;0,"Production",IF(COUNTIF(tbl_Consulting[Job Number],A50&amp;"")&gt;0,"Consulting","not set up yet"))))</f>
        <v/>
      </c>
      <c r="H50" s="26">
        <f>IF(A50="","",IF(COUNTIF(lst_Jobs,A50&amp;"")&gt;0,"OK","CHECK"))</f>
        <v/>
      </c>
      <c r="I50" s="26">
        <f>IF(A50="","",IFERROR(INDEX(lst_JobName,MATCH(A50&amp;"",lst_Jobs,0)),""))</f>
        <v/>
      </c>
      <c r="J50" s="26">
        <f>IF(A50="","",IFERROR(IF(INDEX(tbl_Onsite[Client],IFERROR(MATCH(A50&amp;"",tbl_Onsite[Job Number],0),MATCH(IFERROR(A50+0,A50),tbl_Onsite[Job Number],0)))="","",INDEX(tbl_Onsite[Client],IFERROR(MATCH(A50&amp;"",tbl_Onsite[Job Number],0),MATCH(IFERROR(A50+0,A50),tbl_Onsite[Job Number],0)))),IFERROR(IF(INDEX(tbl_Production[Client],IFERROR(MATCH(A50&amp;"",tbl_Production[Job Number],0),MATCH(IFERROR(A50+0,A50),tbl_Production[Job Number],0)))="","",INDEX(tbl_Production[Client],IFERROR(MATCH(A50&amp;"",tbl_Production[Job Number],0),MATCH(IFERROR(A50+0,A50),tbl_Production[Job Number],0)))),IFERROR(IF(INDEX(tbl_Consulting[Client],IFERROR(MATCH(A50&amp;"",tbl_Consulting[Job Number],0),MATCH(IFERROR(A50+0,A50),tbl_Consulting[Job Number],0)))="","",INDEX(tbl_Consulting[Client],IFERROR(MATCH(A50&amp;"",tbl_Consulting[Job Number],0),MATCH(IFERROR(A50+0,A50),tbl_Consulting[Job Number],0)))),""))))</f>
        <v/>
      </c>
      <c r="K50" s="26">
        <f>IF(A50="","",IFERROR(IF(INDEX(tbl_Onsite[Job Description],IFERROR(MATCH(A50&amp;"",tbl_Onsite[Job Number],0),MATCH(IFERROR(A50+0,A50),tbl_Onsite[Job Number],0)))="","",INDEX(tbl_Onsite[Job Description],IFERROR(MATCH(A50&amp;"",tbl_Onsite[Job Number],0),MATCH(IFERROR(A50+0,A50),tbl_Onsite[Job Number],0)))),IFERROR(IF(INDEX(tbl_Production[Job Description],IFERROR(MATCH(A50&amp;"",tbl_Production[Job Number],0),MATCH(IFERROR(A50+0,A50),tbl_Production[Job Number],0)))="","",INDEX(tbl_Production[Job Description],IFERROR(MATCH(A50&amp;"",tbl_Production[Job Number],0),MATCH(IFERROR(A50+0,A50),tbl_Production[Job Number],0)))),IFERROR(IF(INDEX(tbl_Consulting[Job Description],IFERROR(MATCH(A50&amp;"",tbl_Consulting[Job Number],0),MATCH(IFERROR(A50+0,A50),tbl_Consulting[Job Number],0)))="","",INDEX(tbl_Consulting[Job Description],IFERROR(MATCH(A50&amp;"",tbl_Consulting[Job Number],0),MATCH(IFERROR(A50+0,A50),tbl_Consulting[Job Number],0)))),""))))</f>
        <v/>
      </c>
      <c r="L50" s="26">
        <f>IF(A50="","",IFERROR(IF(INDEX(tbl_Onsite[Invoice Type],IFERROR(MATCH(A50&amp;"",tbl_Onsite[Job Number],0),MATCH(IFERROR(A50+0,A50),tbl_Onsite[Job Number],0)))="","",INDEX(tbl_Onsite[Invoice Type],IFERROR(MATCH(A50&amp;"",tbl_Onsite[Job Number],0),MATCH(IFERROR(A50+0,A50),tbl_Onsite[Job Number],0)))),IFERROR(IF(INDEX(tbl_Production[Invoice Type],IFERROR(MATCH(A50&amp;"",tbl_Production[Job Number],0),MATCH(IFERROR(A50+0,A50),tbl_Production[Job Number],0)))="","",INDEX(tbl_Production[Invoice Type],IFERROR(MATCH(A50&amp;"",tbl_Production[Job Number],0),MATCH(IFERROR(A50+0,A50),tbl_Production[Job Number],0)))),IFERROR(IF(INDEX(tbl_Consulting[Invoice Type],IFERROR(MATCH(A50&amp;"",tbl_Consulting[Job Number],0),MATCH(IFERROR(A50+0,A50),tbl_Consulting[Job Number],0)))="","",INDEX(tbl_Consulting[Invoice Type],IFERROR(MATCH(A50&amp;"",tbl_Consulting[Job Number],0),MATCH(IFERROR(A50+0,A50),tbl_Consulting[Job Number],0)))),""))))</f>
        <v/>
      </c>
      <c r="M50" s="26">
        <f>IF(A50="","",IF(IFERROR(IF(INDEX(tbl_Onsite[Tax Code],IFERROR(MATCH(A50&amp;"",tbl_Onsite[Job Number],0),MATCH(IFERROR(A50+0,A50),tbl_Onsite[Job Number],0)))="","",INDEX(tbl_Onsite[Tax Code],IFERROR(MATCH(A50&amp;"",tbl_Onsite[Job Number],0),MATCH(IFERROR(A50+0,A50),tbl_Onsite[Job Number],0)))),IFERROR(IF(INDEX(tbl_Production[Tax Code],IFERROR(MATCH(A50&amp;"",tbl_Production[Job Number],0),MATCH(IFERROR(A50+0,A50),tbl_Production[Job Number],0)))="","",INDEX(tbl_Production[Tax Code],IFERROR(MATCH(A50&amp;"",tbl_Production[Job Number],0),MATCH(IFERROR(A50+0,A50),tbl_Production[Job Number],0)))),IFERROR(IF(INDEX(tbl_Consulting[Tax Code],IFERROR(MATCH(A50&amp;"",tbl_Consulting[Job Number],0),MATCH(IFERROR(A50+0,A50),tbl_Consulting[Job Number],0)))="","",INDEX(tbl_Consulting[Tax Code],IFERROR(MATCH(A50&amp;"",tbl_Consulting[Job Number],0),MATCH(IFERROR(A50+0,A50),tbl_Consulting[Job Number],0)))),"")))="","GST 10%",IFERROR(IF(INDEX(tbl_Onsite[Tax Code],IFERROR(MATCH(A50&amp;"",tbl_Onsite[Job Number],0),MATCH(IFERROR(A50+0,A50),tbl_Onsite[Job Number],0)))="","",INDEX(tbl_Onsite[Tax Code],IFERROR(MATCH(A50&amp;"",tbl_Onsite[Job Number],0),MATCH(IFERROR(A50+0,A50),tbl_Onsite[Job Number],0)))),IFERROR(IF(INDEX(tbl_Production[Tax Code],IFERROR(MATCH(A50&amp;"",tbl_Production[Job Number],0),MATCH(IFERROR(A50+0,A50),tbl_Production[Job Number],0)))="","",INDEX(tbl_Production[Tax Code],IFERROR(MATCH(A50&amp;"",tbl_Production[Job Number],0),MATCH(IFERROR(A50+0,A50),tbl_Production[Job Number],0)))),IFERROR(IF(INDEX(tbl_Consulting[Tax Code],IFERROR(MATCH(A50&amp;"",tbl_Consulting[Job Number],0),MATCH(IFERROR(A50+0,A50),tbl_Consulting[Job Number],0)))="","",INDEX(tbl_Consulting[Tax Code],IFERROR(MATCH(A50&amp;"",tbl_Consulting[Job Number],0),MATCH(IFERROR(A50+0,A50),tbl_Consulting[Job Number],0)))),"")))))</f>
        <v/>
      </c>
      <c r="N50" s="26">
        <f>IF(D50="","",IFERROR(INDEX(lst_CCtoGL,MATCH(D50,lst_CCforGL,0)),""))</f>
        <v/>
      </c>
      <c r="O50" s="27">
        <f>IF(E50="","",IF(M50="GST 10%",ROUND(E50*set_GSTRate,2),0))</f>
        <v/>
      </c>
      <c r="P50" s="27">
        <f>IF(E50="","",E50+O50)</f>
        <v/>
      </c>
      <c r="Q50" s="27">
        <f>IF(A50="","",IFERROR(INDEX(tbl_Onsite[Expected Revenue Ex GST],IFERROR(MATCH(A50&amp;"",tbl_Onsite[Job Number],0),MATCH(IFERROR(A50+0,A50),tbl_Onsite[Job Number],0))),IFERROR(INDEX(tbl_Production[Expected Revenue Ex GST],IFERROR(MATCH(A50&amp;"",tbl_Production[Job Number],0),MATCH(IFERROR(A50+0,A50),tbl_Production[Job Number],0))),IFERROR(INDEX(tbl_Consulting[Expected Revenue Ex GST],IFERROR(MATCH(A50&amp;"",tbl_Consulting[Job Number],0),MATCH(IFERROR(A50+0,A50),tbl_Consulting[Job Number],0))),0))))</f>
        <v/>
      </c>
      <c r="R50" s="27">
        <f>IF(A50="","",SUMIFS(tbl_Finance[Ex GST],tbl_Finance[Job Number],A50&amp;""))</f>
        <v/>
      </c>
      <c r="S50" s="27">
        <f>IF(A50="","",Q50-R50)</f>
        <v/>
      </c>
      <c r="T50" s="26">
        <f>IF(A50="","",IF(Q50=0,"No dept value",IF(ROUND(S50,2)=0,"Agrees",IF(S50&gt;0,"Dept higher - to invoice","Xero higher - check dept"))))</f>
        <v/>
      </c>
      <c r="U50" s="22" t="n"/>
      <c r="V50" s="22" t="n"/>
      <c r="W50" s="23" t="n"/>
      <c r="X50" s="23" t="n"/>
      <c r="Y50" s="22" t="n"/>
      <c r="Z50" s="22" t="n"/>
      <c r="AA50" s="26">
        <f>IF(COUNTA(C50,A50,B50,E50)=0,"",IF(C50="","No date - sits outside every month",IF(A50="","No job number",IF(H50="CHECK","Job number is not in the Xero job list",IF(G50="not set up yet","No department has set this job up - nothing can pull through",IF(D50="","No cost centre",IF(AND(U50="Y",B50=""),"Marked posted to Xero but has no invoice number",IF(N50="","Cost centre has no revenue GL on the Lists sheet",IF(T50="Xero higher - check dept","Invoiced more than the department says the job is worth","")))))))))</f>
        <v/>
      </c>
      <c r="AB50" s="28">
        <f>IF(A50="","",COUNTIFS(tbl_Finance[Job Number],A50&amp;"",tbl_Finance[Ex GST],"&lt;&gt;"))</f>
        <v/>
      </c>
      <c r="AC50" s="27">
        <f>IF(A50="","",SUMIFS(tbl_Finance[Ex GST],tbl_Finance[Job Number],A50&amp;""))</f>
        <v/>
      </c>
      <c r="AD50" s="27">
        <f>IF(A50="","",SUMIFS(tbl_Finance[Ex GST],tbl_Finance[Job Number],A50&amp;"",tbl_Finance[Xero Invoice No],"&lt;&gt;"))</f>
        <v/>
      </c>
      <c r="AE50" s="27">
        <f>IF(A50="","",AC50-AD50)</f>
        <v/>
      </c>
      <c r="AF50" s="26">
        <f>IF(A50="","",IFERROR(IF(INDEX(tbl_Onsite[Qwilr Quote],IFERROR(MATCH(A50&amp;"",tbl_Onsite[Job Number],0),MATCH(IFERROR(A50+0,A50),tbl_Onsite[Job Number],0)))="","",INDEX(tbl_Onsite[Qwilr Quote],IFERROR(MATCH(A50&amp;"",tbl_Onsite[Job Number],0),MATCH(IFERROR(A50+0,A50),tbl_Onsite[Job Number],0)))),IFERROR(IF(IF(INDEX(tbl_Production[Current RMS No],IFERROR(MATCH(A50&amp;"",tbl_Production[Job Number],0),MATCH(IFERROR(A50+0,A50),tbl_Production[Job Number],0)))="",INDEX(tbl_Production[Qwilr Quote],IFERROR(MATCH(A50&amp;"",tbl_Production[Job Number],0),MATCH(IFERROR(A50+0,A50),tbl_Production[Job Number],0))),INDEX(tbl_Production[Current RMS No],IFERROR(MATCH(A50&amp;"",tbl_Production[Job Number],0),MATCH(IFERROR(A50+0,A50),tbl_Production[Job Number],0))))="","",IF(INDEX(tbl_Production[Current RMS No],IFERROR(MATCH(A50&amp;"",tbl_Production[Job Number],0),MATCH(IFERROR(A50+0,A50),tbl_Production[Job Number],0)))="",INDEX(tbl_Production[Qwilr Quote],IFERROR(MATCH(A50&amp;"",tbl_Production[Job Number],0),MATCH(IFERROR(A50+0,A50),tbl_Production[Job Number],0))),INDEX(tbl_Production[Current RMS No],IFERROR(MATCH(A50&amp;"",tbl_Production[Job Number],0),MATCH(IFERROR(A50+0,A50),tbl_Production[Job Number],0))))),IFERROR(IF(INDEX(tbl_Consulting[Qwilr Quote],IFERROR(MATCH(A50&amp;"",tbl_Consulting[Job Number],0),MATCH(IFERROR(A50+0,A50),tbl_Consulting[Job Number],0)))="","",INDEX(tbl_Consulting[Qwilr Quote],IFERROR(MATCH(A50&amp;"",tbl_Consulting[Job Number],0),MATCH(IFERROR(A50+0,A50),tbl_Consulting[Job Number],0)))),""))))</f>
        <v/>
      </c>
      <c r="AG50" s="26">
        <f>IF(AF50="","",IF(AND(LEFT(AF50,4)&lt;&gt;"http",IF(G50="Production",set_RMSBase,set_QwilrBase)=""),"",HYPERLINK(IF(LEFT(AF50,4)="http",AF50,IF(G50="Production",set_RMSBase,set_QwilrBase)&amp;AF50),"Open")))</f>
        <v/>
      </c>
      <c r="AH50" s="27">
        <f>IF(A50="","",IFERROR(INDEX(tbl_Production[Total Expense],IFERROR(MATCH(A50&amp;"",tbl_Production[Job Number],0),MATCH(IFERROR(A50+0,A50),tbl_Production[Job Number],0))),IFERROR(INDEX(tbl_Consulting[Total Expense],IFERROR(MATCH(A50&amp;"",tbl_Consulting[Job Number],0),MATCH(IFERROR(A50+0,A50),tbl_Consulting[Job Number],0))),0)))</f>
        <v/>
      </c>
      <c r="AI50" s="27">
        <f>IF(A50="","",AC50-N(AH50))</f>
        <v/>
      </c>
      <c r="AJ50" s="29">
        <f>IFERROR(AI50/AC50,"")</f>
        <v/>
      </c>
      <c r="AK50" s="26">
        <f>IF(A50="","",IFERROR(IF(INDEX(tbl_Onsite[Notes],IFERROR(MATCH(A50&amp;"",tbl_Onsite[Job Number],0),MATCH(IFERROR(A50+0,A50),tbl_Onsite[Job Number],0)))="","",INDEX(tbl_Onsite[Notes],IFERROR(MATCH(A50&amp;"",tbl_Onsite[Job Number],0),MATCH(IFERROR(A50+0,A50),tbl_Onsite[Job Number],0)))),IFERROR(IF(INDEX(tbl_Production[Notes],IFERROR(MATCH(A50&amp;"",tbl_Production[Job Number],0),MATCH(IFERROR(A50+0,A50),tbl_Production[Job Number],0)))="","",INDEX(tbl_Production[Notes],IFERROR(MATCH(A50&amp;"",tbl_Production[Job Number],0),MATCH(IFERROR(A50+0,A50),tbl_Production[Job Number],0)))),IFERROR(IF(INDEX(tbl_Consulting[Notes],IFERROR(MATCH(A50&amp;"",tbl_Consulting[Job Number],0),MATCH(IFERROR(A50+0,A50),tbl_Consulting[Job Number],0)))="","",INDEX(tbl_Consulting[Notes],IFERROR(MATCH(A50&amp;"",tbl_Consulting[Job Number],0),MATCH(IFERROR(A50+0,A50),tbl_Consulting[Job Number],0)))),""))))</f>
        <v/>
      </c>
    </row>
    <row r="51" ht="15" customHeight="1">
      <c r="A51" s="22" t="n"/>
      <c r="B51" s="22" t="n"/>
      <c r="C51" s="23" t="n"/>
      <c r="D51" s="22" t="n"/>
      <c r="E51" s="24" t="n"/>
      <c r="F51" s="25">
        <f>IF(C51="","",EOMONTH(C51,0))</f>
        <v/>
      </c>
      <c r="G51" s="26">
        <f>IF(A51="","",IF(COUNTIF(tbl_Onsite[Job Number],A51&amp;"")&gt;0,"Onsite",IF(COUNTIF(tbl_Production[Job Number],A51&amp;"")&gt;0,"Production",IF(COUNTIF(tbl_Consulting[Job Number],A51&amp;"")&gt;0,"Consulting","not set up yet"))))</f>
        <v/>
      </c>
      <c r="H51" s="26">
        <f>IF(A51="","",IF(COUNTIF(lst_Jobs,A51&amp;"")&gt;0,"OK","CHECK"))</f>
        <v/>
      </c>
      <c r="I51" s="26">
        <f>IF(A51="","",IFERROR(INDEX(lst_JobName,MATCH(A51&amp;"",lst_Jobs,0)),""))</f>
        <v/>
      </c>
      <c r="J51" s="26">
        <f>IF(A51="","",IFERROR(IF(INDEX(tbl_Onsite[Client],IFERROR(MATCH(A51&amp;"",tbl_Onsite[Job Number],0),MATCH(IFERROR(A51+0,A51),tbl_Onsite[Job Number],0)))="","",INDEX(tbl_Onsite[Client],IFERROR(MATCH(A51&amp;"",tbl_Onsite[Job Number],0),MATCH(IFERROR(A51+0,A51),tbl_Onsite[Job Number],0)))),IFERROR(IF(INDEX(tbl_Production[Client],IFERROR(MATCH(A51&amp;"",tbl_Production[Job Number],0),MATCH(IFERROR(A51+0,A51),tbl_Production[Job Number],0)))="","",INDEX(tbl_Production[Client],IFERROR(MATCH(A51&amp;"",tbl_Production[Job Number],0),MATCH(IFERROR(A51+0,A51),tbl_Production[Job Number],0)))),IFERROR(IF(INDEX(tbl_Consulting[Client],IFERROR(MATCH(A51&amp;"",tbl_Consulting[Job Number],0),MATCH(IFERROR(A51+0,A51),tbl_Consulting[Job Number],0)))="","",INDEX(tbl_Consulting[Client],IFERROR(MATCH(A51&amp;"",tbl_Consulting[Job Number],0),MATCH(IFERROR(A51+0,A51),tbl_Consulting[Job Number],0)))),""))))</f>
        <v/>
      </c>
      <c r="K51" s="26">
        <f>IF(A51="","",IFERROR(IF(INDEX(tbl_Onsite[Job Description],IFERROR(MATCH(A51&amp;"",tbl_Onsite[Job Number],0),MATCH(IFERROR(A51+0,A51),tbl_Onsite[Job Number],0)))="","",INDEX(tbl_Onsite[Job Description],IFERROR(MATCH(A51&amp;"",tbl_Onsite[Job Number],0),MATCH(IFERROR(A51+0,A51),tbl_Onsite[Job Number],0)))),IFERROR(IF(INDEX(tbl_Production[Job Description],IFERROR(MATCH(A51&amp;"",tbl_Production[Job Number],0),MATCH(IFERROR(A51+0,A51),tbl_Production[Job Number],0)))="","",INDEX(tbl_Production[Job Description],IFERROR(MATCH(A51&amp;"",tbl_Production[Job Number],0),MATCH(IFERROR(A51+0,A51),tbl_Production[Job Number],0)))),IFERROR(IF(INDEX(tbl_Consulting[Job Description],IFERROR(MATCH(A51&amp;"",tbl_Consulting[Job Number],0),MATCH(IFERROR(A51+0,A51),tbl_Consulting[Job Number],0)))="","",INDEX(tbl_Consulting[Job Description],IFERROR(MATCH(A51&amp;"",tbl_Consulting[Job Number],0),MATCH(IFERROR(A51+0,A51),tbl_Consulting[Job Number],0)))),""))))</f>
        <v/>
      </c>
      <c r="L51" s="26">
        <f>IF(A51="","",IFERROR(IF(INDEX(tbl_Onsite[Invoice Type],IFERROR(MATCH(A51&amp;"",tbl_Onsite[Job Number],0),MATCH(IFERROR(A51+0,A51),tbl_Onsite[Job Number],0)))="","",INDEX(tbl_Onsite[Invoice Type],IFERROR(MATCH(A51&amp;"",tbl_Onsite[Job Number],0),MATCH(IFERROR(A51+0,A51),tbl_Onsite[Job Number],0)))),IFERROR(IF(INDEX(tbl_Production[Invoice Type],IFERROR(MATCH(A51&amp;"",tbl_Production[Job Number],0),MATCH(IFERROR(A51+0,A51),tbl_Production[Job Number],0)))="","",INDEX(tbl_Production[Invoice Type],IFERROR(MATCH(A51&amp;"",tbl_Production[Job Number],0),MATCH(IFERROR(A51+0,A51),tbl_Production[Job Number],0)))),IFERROR(IF(INDEX(tbl_Consulting[Invoice Type],IFERROR(MATCH(A51&amp;"",tbl_Consulting[Job Number],0),MATCH(IFERROR(A51+0,A51),tbl_Consulting[Job Number],0)))="","",INDEX(tbl_Consulting[Invoice Type],IFERROR(MATCH(A51&amp;"",tbl_Consulting[Job Number],0),MATCH(IFERROR(A51+0,A51),tbl_Consulting[Job Number],0)))),""))))</f>
        <v/>
      </c>
      <c r="M51" s="26">
        <f>IF(A51="","",IF(IFERROR(IF(INDEX(tbl_Onsite[Tax Code],IFERROR(MATCH(A51&amp;"",tbl_Onsite[Job Number],0),MATCH(IFERROR(A51+0,A51),tbl_Onsite[Job Number],0)))="","",INDEX(tbl_Onsite[Tax Code],IFERROR(MATCH(A51&amp;"",tbl_Onsite[Job Number],0),MATCH(IFERROR(A51+0,A51),tbl_Onsite[Job Number],0)))),IFERROR(IF(INDEX(tbl_Production[Tax Code],IFERROR(MATCH(A51&amp;"",tbl_Production[Job Number],0),MATCH(IFERROR(A51+0,A51),tbl_Production[Job Number],0)))="","",INDEX(tbl_Production[Tax Code],IFERROR(MATCH(A51&amp;"",tbl_Production[Job Number],0),MATCH(IFERROR(A51+0,A51),tbl_Production[Job Number],0)))),IFERROR(IF(INDEX(tbl_Consulting[Tax Code],IFERROR(MATCH(A51&amp;"",tbl_Consulting[Job Number],0),MATCH(IFERROR(A51+0,A51),tbl_Consulting[Job Number],0)))="","",INDEX(tbl_Consulting[Tax Code],IFERROR(MATCH(A51&amp;"",tbl_Consulting[Job Number],0),MATCH(IFERROR(A51+0,A51),tbl_Consulting[Job Number],0)))),"")))="","GST 10%",IFERROR(IF(INDEX(tbl_Onsite[Tax Code],IFERROR(MATCH(A51&amp;"",tbl_Onsite[Job Number],0),MATCH(IFERROR(A51+0,A51),tbl_Onsite[Job Number],0)))="","",INDEX(tbl_Onsite[Tax Code],IFERROR(MATCH(A51&amp;"",tbl_Onsite[Job Number],0),MATCH(IFERROR(A51+0,A51),tbl_Onsite[Job Number],0)))),IFERROR(IF(INDEX(tbl_Production[Tax Code],IFERROR(MATCH(A51&amp;"",tbl_Production[Job Number],0),MATCH(IFERROR(A51+0,A51),tbl_Production[Job Number],0)))="","",INDEX(tbl_Production[Tax Code],IFERROR(MATCH(A51&amp;"",tbl_Production[Job Number],0),MATCH(IFERROR(A51+0,A51),tbl_Production[Job Number],0)))),IFERROR(IF(INDEX(tbl_Consulting[Tax Code],IFERROR(MATCH(A51&amp;"",tbl_Consulting[Job Number],0),MATCH(IFERROR(A51+0,A51),tbl_Consulting[Job Number],0)))="","",INDEX(tbl_Consulting[Tax Code],IFERROR(MATCH(A51&amp;"",tbl_Consulting[Job Number],0),MATCH(IFERROR(A51+0,A51),tbl_Consulting[Job Number],0)))),"")))))</f>
        <v/>
      </c>
      <c r="N51" s="26">
        <f>IF(D51="","",IFERROR(INDEX(lst_CCtoGL,MATCH(D51,lst_CCforGL,0)),""))</f>
        <v/>
      </c>
      <c r="O51" s="27">
        <f>IF(E51="","",IF(M51="GST 10%",ROUND(E51*set_GSTRate,2),0))</f>
        <v/>
      </c>
      <c r="P51" s="27">
        <f>IF(E51="","",E51+O51)</f>
        <v/>
      </c>
      <c r="Q51" s="27">
        <f>IF(A51="","",IFERROR(INDEX(tbl_Onsite[Expected Revenue Ex GST],IFERROR(MATCH(A51&amp;"",tbl_Onsite[Job Number],0),MATCH(IFERROR(A51+0,A51),tbl_Onsite[Job Number],0))),IFERROR(INDEX(tbl_Production[Expected Revenue Ex GST],IFERROR(MATCH(A51&amp;"",tbl_Production[Job Number],0),MATCH(IFERROR(A51+0,A51),tbl_Production[Job Number],0))),IFERROR(INDEX(tbl_Consulting[Expected Revenue Ex GST],IFERROR(MATCH(A51&amp;"",tbl_Consulting[Job Number],0),MATCH(IFERROR(A51+0,A51),tbl_Consulting[Job Number],0))),0))))</f>
        <v/>
      </c>
      <c r="R51" s="27">
        <f>IF(A51="","",SUMIFS(tbl_Finance[Ex GST],tbl_Finance[Job Number],A51&amp;""))</f>
        <v/>
      </c>
      <c r="S51" s="27">
        <f>IF(A51="","",Q51-R51)</f>
        <v/>
      </c>
      <c r="T51" s="26">
        <f>IF(A51="","",IF(Q51=0,"No dept value",IF(ROUND(S51,2)=0,"Agrees",IF(S51&gt;0,"Dept higher - to invoice","Xero higher - check dept"))))</f>
        <v/>
      </c>
      <c r="U51" s="22" t="n"/>
      <c r="V51" s="22" t="n"/>
      <c r="W51" s="23" t="n"/>
      <c r="X51" s="23" t="n"/>
      <c r="Y51" s="22" t="n"/>
      <c r="Z51" s="22" t="n"/>
      <c r="AA51" s="26">
        <f>IF(COUNTA(C51,A51,B51,E51)=0,"",IF(C51="","No date - sits outside every month",IF(A51="","No job number",IF(H51="CHECK","Job number is not in the Xero job list",IF(G51="not set up yet","No department has set this job up - nothing can pull through",IF(D51="","No cost centre",IF(AND(U51="Y",B51=""),"Marked posted to Xero but has no invoice number",IF(N51="","Cost centre has no revenue GL on the Lists sheet",IF(T51="Xero higher - check dept","Invoiced more than the department says the job is worth","")))))))))</f>
        <v/>
      </c>
      <c r="AB51" s="28">
        <f>IF(A51="","",COUNTIFS(tbl_Finance[Job Number],A51&amp;"",tbl_Finance[Ex GST],"&lt;&gt;"))</f>
        <v/>
      </c>
      <c r="AC51" s="27">
        <f>IF(A51="","",SUMIFS(tbl_Finance[Ex GST],tbl_Finance[Job Number],A51&amp;""))</f>
        <v/>
      </c>
      <c r="AD51" s="27">
        <f>IF(A51="","",SUMIFS(tbl_Finance[Ex GST],tbl_Finance[Job Number],A51&amp;"",tbl_Finance[Xero Invoice No],"&lt;&gt;"))</f>
        <v/>
      </c>
      <c r="AE51" s="27">
        <f>IF(A51="","",AC51-AD51)</f>
        <v/>
      </c>
      <c r="AF51" s="26">
        <f>IF(A51="","",IFERROR(IF(INDEX(tbl_Onsite[Qwilr Quote],IFERROR(MATCH(A51&amp;"",tbl_Onsite[Job Number],0),MATCH(IFERROR(A51+0,A51),tbl_Onsite[Job Number],0)))="","",INDEX(tbl_Onsite[Qwilr Quote],IFERROR(MATCH(A51&amp;"",tbl_Onsite[Job Number],0),MATCH(IFERROR(A51+0,A51),tbl_Onsite[Job Number],0)))),IFERROR(IF(IF(INDEX(tbl_Production[Current RMS No],IFERROR(MATCH(A51&amp;"",tbl_Production[Job Number],0),MATCH(IFERROR(A51+0,A51),tbl_Production[Job Number],0)))="",INDEX(tbl_Production[Qwilr Quote],IFERROR(MATCH(A51&amp;"",tbl_Production[Job Number],0),MATCH(IFERROR(A51+0,A51),tbl_Production[Job Number],0))),INDEX(tbl_Production[Current RMS No],IFERROR(MATCH(A51&amp;"",tbl_Production[Job Number],0),MATCH(IFERROR(A51+0,A51),tbl_Production[Job Number],0))))="","",IF(INDEX(tbl_Production[Current RMS No],IFERROR(MATCH(A51&amp;"",tbl_Production[Job Number],0),MATCH(IFERROR(A51+0,A51),tbl_Production[Job Number],0)))="",INDEX(tbl_Production[Qwilr Quote],IFERROR(MATCH(A51&amp;"",tbl_Production[Job Number],0),MATCH(IFERROR(A51+0,A51),tbl_Production[Job Number],0))),INDEX(tbl_Production[Current RMS No],IFERROR(MATCH(A51&amp;"",tbl_Production[Job Number],0),MATCH(IFERROR(A51+0,A51),tbl_Production[Job Number],0))))),IFERROR(IF(INDEX(tbl_Consulting[Qwilr Quote],IFERROR(MATCH(A51&amp;"",tbl_Consulting[Job Number],0),MATCH(IFERROR(A51+0,A51),tbl_Consulting[Job Number],0)))="","",INDEX(tbl_Consulting[Qwilr Quote],IFERROR(MATCH(A51&amp;"",tbl_Consulting[Job Number],0),MATCH(IFERROR(A51+0,A51),tbl_Consulting[Job Number],0)))),""))))</f>
        <v/>
      </c>
      <c r="AG51" s="26">
        <f>IF(AF51="","",IF(AND(LEFT(AF51,4)&lt;&gt;"http",IF(G51="Production",set_RMSBase,set_QwilrBase)=""),"",HYPERLINK(IF(LEFT(AF51,4)="http",AF51,IF(G51="Production",set_RMSBase,set_QwilrBase)&amp;AF51),"Open")))</f>
        <v/>
      </c>
      <c r="AH51" s="27">
        <f>IF(A51="","",IFERROR(INDEX(tbl_Production[Total Expense],IFERROR(MATCH(A51&amp;"",tbl_Production[Job Number],0),MATCH(IFERROR(A51+0,A51),tbl_Production[Job Number],0))),IFERROR(INDEX(tbl_Consulting[Total Expense],IFERROR(MATCH(A51&amp;"",tbl_Consulting[Job Number],0),MATCH(IFERROR(A51+0,A51),tbl_Consulting[Job Number],0))),0)))</f>
        <v/>
      </c>
      <c r="AI51" s="27">
        <f>IF(A51="","",AC51-N(AH51))</f>
        <v/>
      </c>
      <c r="AJ51" s="29">
        <f>IFERROR(AI51/AC51,"")</f>
        <v/>
      </c>
      <c r="AK51" s="26">
        <f>IF(A51="","",IFERROR(IF(INDEX(tbl_Onsite[Notes],IFERROR(MATCH(A51&amp;"",tbl_Onsite[Job Number],0),MATCH(IFERROR(A51+0,A51),tbl_Onsite[Job Number],0)))="","",INDEX(tbl_Onsite[Notes],IFERROR(MATCH(A51&amp;"",tbl_Onsite[Job Number],0),MATCH(IFERROR(A51+0,A51),tbl_Onsite[Job Number],0)))),IFERROR(IF(INDEX(tbl_Production[Notes],IFERROR(MATCH(A51&amp;"",tbl_Production[Job Number],0),MATCH(IFERROR(A51+0,A51),tbl_Production[Job Number],0)))="","",INDEX(tbl_Production[Notes],IFERROR(MATCH(A51&amp;"",tbl_Production[Job Number],0),MATCH(IFERROR(A51+0,A51),tbl_Production[Job Number],0)))),IFERROR(IF(INDEX(tbl_Consulting[Notes],IFERROR(MATCH(A51&amp;"",tbl_Consulting[Job Number],0),MATCH(IFERROR(A51+0,A51),tbl_Consulting[Job Number],0)))="","",INDEX(tbl_Consulting[Notes],IFERROR(MATCH(A51&amp;"",tbl_Consulting[Job Number],0),MATCH(IFERROR(A51+0,A51),tbl_Consulting[Job Number],0)))),""))))</f>
        <v/>
      </c>
    </row>
    <row r="52" ht="15" customHeight="1">
      <c r="A52" s="22" t="n"/>
      <c r="B52" s="22" t="n"/>
      <c r="C52" s="23" t="n"/>
      <c r="D52" s="22" t="n"/>
      <c r="E52" s="24" t="n"/>
      <c r="F52" s="25">
        <f>IF(C52="","",EOMONTH(C52,0))</f>
        <v/>
      </c>
      <c r="G52" s="26">
        <f>IF(A52="","",IF(COUNTIF(tbl_Onsite[Job Number],A52&amp;"")&gt;0,"Onsite",IF(COUNTIF(tbl_Production[Job Number],A52&amp;"")&gt;0,"Production",IF(COUNTIF(tbl_Consulting[Job Number],A52&amp;"")&gt;0,"Consulting","not set up yet"))))</f>
        <v/>
      </c>
      <c r="H52" s="26">
        <f>IF(A52="","",IF(COUNTIF(lst_Jobs,A52&amp;"")&gt;0,"OK","CHECK"))</f>
        <v/>
      </c>
      <c r="I52" s="26">
        <f>IF(A52="","",IFERROR(INDEX(lst_JobName,MATCH(A52&amp;"",lst_Jobs,0)),""))</f>
        <v/>
      </c>
      <c r="J52" s="26">
        <f>IF(A52="","",IFERROR(IF(INDEX(tbl_Onsite[Client],IFERROR(MATCH(A52&amp;"",tbl_Onsite[Job Number],0),MATCH(IFERROR(A52+0,A52),tbl_Onsite[Job Number],0)))="","",INDEX(tbl_Onsite[Client],IFERROR(MATCH(A52&amp;"",tbl_Onsite[Job Number],0),MATCH(IFERROR(A52+0,A52),tbl_Onsite[Job Number],0)))),IFERROR(IF(INDEX(tbl_Production[Client],IFERROR(MATCH(A52&amp;"",tbl_Production[Job Number],0),MATCH(IFERROR(A52+0,A52),tbl_Production[Job Number],0)))="","",INDEX(tbl_Production[Client],IFERROR(MATCH(A52&amp;"",tbl_Production[Job Number],0),MATCH(IFERROR(A52+0,A52),tbl_Production[Job Number],0)))),IFERROR(IF(INDEX(tbl_Consulting[Client],IFERROR(MATCH(A52&amp;"",tbl_Consulting[Job Number],0),MATCH(IFERROR(A52+0,A52),tbl_Consulting[Job Number],0)))="","",INDEX(tbl_Consulting[Client],IFERROR(MATCH(A52&amp;"",tbl_Consulting[Job Number],0),MATCH(IFERROR(A52+0,A52),tbl_Consulting[Job Number],0)))),""))))</f>
        <v/>
      </c>
      <c r="K52" s="26">
        <f>IF(A52="","",IFERROR(IF(INDEX(tbl_Onsite[Job Description],IFERROR(MATCH(A52&amp;"",tbl_Onsite[Job Number],0),MATCH(IFERROR(A52+0,A52),tbl_Onsite[Job Number],0)))="","",INDEX(tbl_Onsite[Job Description],IFERROR(MATCH(A52&amp;"",tbl_Onsite[Job Number],0),MATCH(IFERROR(A52+0,A52),tbl_Onsite[Job Number],0)))),IFERROR(IF(INDEX(tbl_Production[Job Description],IFERROR(MATCH(A52&amp;"",tbl_Production[Job Number],0),MATCH(IFERROR(A52+0,A52),tbl_Production[Job Number],0)))="","",INDEX(tbl_Production[Job Description],IFERROR(MATCH(A52&amp;"",tbl_Production[Job Number],0),MATCH(IFERROR(A52+0,A52),tbl_Production[Job Number],0)))),IFERROR(IF(INDEX(tbl_Consulting[Job Description],IFERROR(MATCH(A52&amp;"",tbl_Consulting[Job Number],0),MATCH(IFERROR(A52+0,A52),tbl_Consulting[Job Number],0)))="","",INDEX(tbl_Consulting[Job Description],IFERROR(MATCH(A52&amp;"",tbl_Consulting[Job Number],0),MATCH(IFERROR(A52+0,A52),tbl_Consulting[Job Number],0)))),""))))</f>
        <v/>
      </c>
      <c r="L52" s="26">
        <f>IF(A52="","",IFERROR(IF(INDEX(tbl_Onsite[Invoice Type],IFERROR(MATCH(A52&amp;"",tbl_Onsite[Job Number],0),MATCH(IFERROR(A52+0,A52),tbl_Onsite[Job Number],0)))="","",INDEX(tbl_Onsite[Invoice Type],IFERROR(MATCH(A52&amp;"",tbl_Onsite[Job Number],0),MATCH(IFERROR(A52+0,A52),tbl_Onsite[Job Number],0)))),IFERROR(IF(INDEX(tbl_Production[Invoice Type],IFERROR(MATCH(A52&amp;"",tbl_Production[Job Number],0),MATCH(IFERROR(A52+0,A52),tbl_Production[Job Number],0)))="","",INDEX(tbl_Production[Invoice Type],IFERROR(MATCH(A52&amp;"",tbl_Production[Job Number],0),MATCH(IFERROR(A52+0,A52),tbl_Production[Job Number],0)))),IFERROR(IF(INDEX(tbl_Consulting[Invoice Type],IFERROR(MATCH(A52&amp;"",tbl_Consulting[Job Number],0),MATCH(IFERROR(A52+0,A52),tbl_Consulting[Job Number],0)))="","",INDEX(tbl_Consulting[Invoice Type],IFERROR(MATCH(A52&amp;"",tbl_Consulting[Job Number],0),MATCH(IFERROR(A52+0,A52),tbl_Consulting[Job Number],0)))),""))))</f>
        <v/>
      </c>
      <c r="M52" s="26">
        <f>IF(A52="","",IF(IFERROR(IF(INDEX(tbl_Onsite[Tax Code],IFERROR(MATCH(A52&amp;"",tbl_Onsite[Job Number],0),MATCH(IFERROR(A52+0,A52),tbl_Onsite[Job Number],0)))="","",INDEX(tbl_Onsite[Tax Code],IFERROR(MATCH(A52&amp;"",tbl_Onsite[Job Number],0),MATCH(IFERROR(A52+0,A52),tbl_Onsite[Job Number],0)))),IFERROR(IF(INDEX(tbl_Production[Tax Code],IFERROR(MATCH(A52&amp;"",tbl_Production[Job Number],0),MATCH(IFERROR(A52+0,A52),tbl_Production[Job Number],0)))="","",INDEX(tbl_Production[Tax Code],IFERROR(MATCH(A52&amp;"",tbl_Production[Job Number],0),MATCH(IFERROR(A52+0,A52),tbl_Production[Job Number],0)))),IFERROR(IF(INDEX(tbl_Consulting[Tax Code],IFERROR(MATCH(A52&amp;"",tbl_Consulting[Job Number],0),MATCH(IFERROR(A52+0,A52),tbl_Consulting[Job Number],0)))="","",INDEX(tbl_Consulting[Tax Code],IFERROR(MATCH(A52&amp;"",tbl_Consulting[Job Number],0),MATCH(IFERROR(A52+0,A52),tbl_Consulting[Job Number],0)))),"")))="","GST 10%",IFERROR(IF(INDEX(tbl_Onsite[Tax Code],IFERROR(MATCH(A52&amp;"",tbl_Onsite[Job Number],0),MATCH(IFERROR(A52+0,A52),tbl_Onsite[Job Number],0)))="","",INDEX(tbl_Onsite[Tax Code],IFERROR(MATCH(A52&amp;"",tbl_Onsite[Job Number],0),MATCH(IFERROR(A52+0,A52),tbl_Onsite[Job Number],0)))),IFERROR(IF(INDEX(tbl_Production[Tax Code],IFERROR(MATCH(A52&amp;"",tbl_Production[Job Number],0),MATCH(IFERROR(A52+0,A52),tbl_Production[Job Number],0)))="","",INDEX(tbl_Production[Tax Code],IFERROR(MATCH(A52&amp;"",tbl_Production[Job Number],0),MATCH(IFERROR(A52+0,A52),tbl_Production[Job Number],0)))),IFERROR(IF(INDEX(tbl_Consulting[Tax Code],IFERROR(MATCH(A52&amp;"",tbl_Consulting[Job Number],0),MATCH(IFERROR(A52+0,A52),tbl_Consulting[Job Number],0)))="","",INDEX(tbl_Consulting[Tax Code],IFERROR(MATCH(A52&amp;"",tbl_Consulting[Job Number],0),MATCH(IFERROR(A52+0,A52),tbl_Consulting[Job Number],0)))),"")))))</f>
        <v/>
      </c>
      <c r="N52" s="26">
        <f>IF(D52="","",IFERROR(INDEX(lst_CCtoGL,MATCH(D52,lst_CCforGL,0)),""))</f>
        <v/>
      </c>
      <c r="O52" s="27">
        <f>IF(E52="","",IF(M52="GST 10%",ROUND(E52*set_GSTRate,2),0))</f>
        <v/>
      </c>
      <c r="P52" s="27">
        <f>IF(E52="","",E52+O52)</f>
        <v/>
      </c>
      <c r="Q52" s="27">
        <f>IF(A52="","",IFERROR(INDEX(tbl_Onsite[Expected Revenue Ex GST],IFERROR(MATCH(A52&amp;"",tbl_Onsite[Job Number],0),MATCH(IFERROR(A52+0,A52),tbl_Onsite[Job Number],0))),IFERROR(INDEX(tbl_Production[Expected Revenue Ex GST],IFERROR(MATCH(A52&amp;"",tbl_Production[Job Number],0),MATCH(IFERROR(A52+0,A52),tbl_Production[Job Number],0))),IFERROR(INDEX(tbl_Consulting[Expected Revenue Ex GST],IFERROR(MATCH(A52&amp;"",tbl_Consulting[Job Number],0),MATCH(IFERROR(A52+0,A52),tbl_Consulting[Job Number],0))),0))))</f>
        <v/>
      </c>
      <c r="R52" s="27">
        <f>IF(A52="","",SUMIFS(tbl_Finance[Ex GST],tbl_Finance[Job Number],A52&amp;""))</f>
        <v/>
      </c>
      <c r="S52" s="27">
        <f>IF(A52="","",Q52-R52)</f>
        <v/>
      </c>
      <c r="T52" s="26">
        <f>IF(A52="","",IF(Q52=0,"No dept value",IF(ROUND(S52,2)=0,"Agrees",IF(S52&gt;0,"Dept higher - to invoice","Xero higher - check dept"))))</f>
        <v/>
      </c>
      <c r="U52" s="22" t="n"/>
      <c r="V52" s="22" t="n"/>
      <c r="W52" s="23" t="n"/>
      <c r="X52" s="23" t="n"/>
      <c r="Y52" s="22" t="n"/>
      <c r="Z52" s="22" t="n"/>
      <c r="AA52" s="26">
        <f>IF(COUNTA(C52,A52,B52,E52)=0,"",IF(C52="","No date - sits outside every month",IF(A52="","No job number",IF(H52="CHECK","Job number is not in the Xero job list",IF(G52="not set up yet","No department has set this job up - nothing can pull through",IF(D52="","No cost centre",IF(AND(U52="Y",B52=""),"Marked posted to Xero but has no invoice number",IF(N52="","Cost centre has no revenue GL on the Lists sheet",IF(T52="Xero higher - check dept","Invoiced more than the department says the job is worth","")))))))))</f>
        <v/>
      </c>
      <c r="AB52" s="28">
        <f>IF(A52="","",COUNTIFS(tbl_Finance[Job Number],A52&amp;"",tbl_Finance[Ex GST],"&lt;&gt;"))</f>
        <v/>
      </c>
      <c r="AC52" s="27">
        <f>IF(A52="","",SUMIFS(tbl_Finance[Ex GST],tbl_Finance[Job Number],A52&amp;""))</f>
        <v/>
      </c>
      <c r="AD52" s="27">
        <f>IF(A52="","",SUMIFS(tbl_Finance[Ex GST],tbl_Finance[Job Number],A52&amp;"",tbl_Finance[Xero Invoice No],"&lt;&gt;"))</f>
        <v/>
      </c>
      <c r="AE52" s="27">
        <f>IF(A52="","",AC52-AD52)</f>
        <v/>
      </c>
      <c r="AF52" s="26">
        <f>IF(A52="","",IFERROR(IF(INDEX(tbl_Onsite[Qwilr Quote],IFERROR(MATCH(A52&amp;"",tbl_Onsite[Job Number],0),MATCH(IFERROR(A52+0,A52),tbl_Onsite[Job Number],0)))="","",INDEX(tbl_Onsite[Qwilr Quote],IFERROR(MATCH(A52&amp;"",tbl_Onsite[Job Number],0),MATCH(IFERROR(A52+0,A52),tbl_Onsite[Job Number],0)))),IFERROR(IF(IF(INDEX(tbl_Production[Current RMS No],IFERROR(MATCH(A52&amp;"",tbl_Production[Job Number],0),MATCH(IFERROR(A52+0,A52),tbl_Production[Job Number],0)))="",INDEX(tbl_Production[Qwilr Quote],IFERROR(MATCH(A52&amp;"",tbl_Production[Job Number],0),MATCH(IFERROR(A52+0,A52),tbl_Production[Job Number],0))),INDEX(tbl_Production[Current RMS No],IFERROR(MATCH(A52&amp;"",tbl_Production[Job Number],0),MATCH(IFERROR(A52+0,A52),tbl_Production[Job Number],0))))="","",IF(INDEX(tbl_Production[Current RMS No],IFERROR(MATCH(A52&amp;"",tbl_Production[Job Number],0),MATCH(IFERROR(A52+0,A52),tbl_Production[Job Number],0)))="",INDEX(tbl_Production[Qwilr Quote],IFERROR(MATCH(A52&amp;"",tbl_Production[Job Number],0),MATCH(IFERROR(A52+0,A52),tbl_Production[Job Number],0))),INDEX(tbl_Production[Current RMS No],IFERROR(MATCH(A52&amp;"",tbl_Production[Job Number],0),MATCH(IFERROR(A52+0,A52),tbl_Production[Job Number],0))))),IFERROR(IF(INDEX(tbl_Consulting[Qwilr Quote],IFERROR(MATCH(A52&amp;"",tbl_Consulting[Job Number],0),MATCH(IFERROR(A52+0,A52),tbl_Consulting[Job Number],0)))="","",INDEX(tbl_Consulting[Qwilr Quote],IFERROR(MATCH(A52&amp;"",tbl_Consulting[Job Number],0),MATCH(IFERROR(A52+0,A52),tbl_Consulting[Job Number],0)))),""))))</f>
        <v/>
      </c>
      <c r="AG52" s="26">
        <f>IF(AF52="","",IF(AND(LEFT(AF52,4)&lt;&gt;"http",IF(G52="Production",set_RMSBase,set_QwilrBase)=""),"",HYPERLINK(IF(LEFT(AF52,4)="http",AF52,IF(G52="Production",set_RMSBase,set_QwilrBase)&amp;AF52),"Open")))</f>
        <v/>
      </c>
      <c r="AH52" s="27">
        <f>IF(A52="","",IFERROR(INDEX(tbl_Production[Total Expense],IFERROR(MATCH(A52&amp;"",tbl_Production[Job Number],0),MATCH(IFERROR(A52+0,A52),tbl_Production[Job Number],0))),IFERROR(INDEX(tbl_Consulting[Total Expense],IFERROR(MATCH(A52&amp;"",tbl_Consulting[Job Number],0),MATCH(IFERROR(A52+0,A52),tbl_Consulting[Job Number],0))),0)))</f>
        <v/>
      </c>
      <c r="AI52" s="27">
        <f>IF(A52="","",AC52-N(AH52))</f>
        <v/>
      </c>
      <c r="AJ52" s="29">
        <f>IFERROR(AI52/AC52,"")</f>
        <v/>
      </c>
      <c r="AK52" s="26">
        <f>IF(A52="","",IFERROR(IF(INDEX(tbl_Onsite[Notes],IFERROR(MATCH(A52&amp;"",tbl_Onsite[Job Number],0),MATCH(IFERROR(A52+0,A52),tbl_Onsite[Job Number],0)))="","",INDEX(tbl_Onsite[Notes],IFERROR(MATCH(A52&amp;"",tbl_Onsite[Job Number],0),MATCH(IFERROR(A52+0,A52),tbl_Onsite[Job Number],0)))),IFERROR(IF(INDEX(tbl_Production[Notes],IFERROR(MATCH(A52&amp;"",tbl_Production[Job Number],0),MATCH(IFERROR(A52+0,A52),tbl_Production[Job Number],0)))="","",INDEX(tbl_Production[Notes],IFERROR(MATCH(A52&amp;"",tbl_Production[Job Number],0),MATCH(IFERROR(A52+0,A52),tbl_Production[Job Number],0)))),IFERROR(IF(INDEX(tbl_Consulting[Notes],IFERROR(MATCH(A52&amp;"",tbl_Consulting[Job Number],0),MATCH(IFERROR(A52+0,A52),tbl_Consulting[Job Number],0)))="","",INDEX(tbl_Consulting[Notes],IFERROR(MATCH(A52&amp;"",tbl_Consulting[Job Number],0),MATCH(IFERROR(A52+0,A52),tbl_Consulting[Job Number],0)))),""))))</f>
        <v/>
      </c>
    </row>
    <row r="53" ht="15" customHeight="1">
      <c r="A53" s="22" t="n"/>
      <c r="B53" s="22" t="n"/>
      <c r="C53" s="23" t="n"/>
      <c r="D53" s="22" t="n"/>
      <c r="E53" s="24" t="n"/>
      <c r="F53" s="25">
        <f>IF(C53="","",EOMONTH(C53,0))</f>
        <v/>
      </c>
      <c r="G53" s="26">
        <f>IF(A53="","",IF(COUNTIF(tbl_Onsite[Job Number],A53&amp;"")&gt;0,"Onsite",IF(COUNTIF(tbl_Production[Job Number],A53&amp;"")&gt;0,"Production",IF(COUNTIF(tbl_Consulting[Job Number],A53&amp;"")&gt;0,"Consulting","not set up yet"))))</f>
        <v/>
      </c>
      <c r="H53" s="26">
        <f>IF(A53="","",IF(COUNTIF(lst_Jobs,A53&amp;"")&gt;0,"OK","CHECK"))</f>
        <v/>
      </c>
      <c r="I53" s="26">
        <f>IF(A53="","",IFERROR(INDEX(lst_JobName,MATCH(A53&amp;"",lst_Jobs,0)),""))</f>
        <v/>
      </c>
      <c r="J53" s="26">
        <f>IF(A53="","",IFERROR(IF(INDEX(tbl_Onsite[Client],IFERROR(MATCH(A53&amp;"",tbl_Onsite[Job Number],0),MATCH(IFERROR(A53+0,A53),tbl_Onsite[Job Number],0)))="","",INDEX(tbl_Onsite[Client],IFERROR(MATCH(A53&amp;"",tbl_Onsite[Job Number],0),MATCH(IFERROR(A53+0,A53),tbl_Onsite[Job Number],0)))),IFERROR(IF(INDEX(tbl_Production[Client],IFERROR(MATCH(A53&amp;"",tbl_Production[Job Number],0),MATCH(IFERROR(A53+0,A53),tbl_Production[Job Number],0)))="","",INDEX(tbl_Production[Client],IFERROR(MATCH(A53&amp;"",tbl_Production[Job Number],0),MATCH(IFERROR(A53+0,A53),tbl_Production[Job Number],0)))),IFERROR(IF(INDEX(tbl_Consulting[Client],IFERROR(MATCH(A53&amp;"",tbl_Consulting[Job Number],0),MATCH(IFERROR(A53+0,A53),tbl_Consulting[Job Number],0)))="","",INDEX(tbl_Consulting[Client],IFERROR(MATCH(A53&amp;"",tbl_Consulting[Job Number],0),MATCH(IFERROR(A53+0,A53),tbl_Consulting[Job Number],0)))),""))))</f>
        <v/>
      </c>
      <c r="K53" s="26">
        <f>IF(A53="","",IFERROR(IF(INDEX(tbl_Onsite[Job Description],IFERROR(MATCH(A53&amp;"",tbl_Onsite[Job Number],0),MATCH(IFERROR(A53+0,A53),tbl_Onsite[Job Number],0)))="","",INDEX(tbl_Onsite[Job Description],IFERROR(MATCH(A53&amp;"",tbl_Onsite[Job Number],0),MATCH(IFERROR(A53+0,A53),tbl_Onsite[Job Number],0)))),IFERROR(IF(INDEX(tbl_Production[Job Description],IFERROR(MATCH(A53&amp;"",tbl_Production[Job Number],0),MATCH(IFERROR(A53+0,A53),tbl_Production[Job Number],0)))="","",INDEX(tbl_Production[Job Description],IFERROR(MATCH(A53&amp;"",tbl_Production[Job Number],0),MATCH(IFERROR(A53+0,A53),tbl_Production[Job Number],0)))),IFERROR(IF(INDEX(tbl_Consulting[Job Description],IFERROR(MATCH(A53&amp;"",tbl_Consulting[Job Number],0),MATCH(IFERROR(A53+0,A53),tbl_Consulting[Job Number],0)))="","",INDEX(tbl_Consulting[Job Description],IFERROR(MATCH(A53&amp;"",tbl_Consulting[Job Number],0),MATCH(IFERROR(A53+0,A53),tbl_Consulting[Job Number],0)))),""))))</f>
        <v/>
      </c>
      <c r="L53" s="26">
        <f>IF(A53="","",IFERROR(IF(INDEX(tbl_Onsite[Invoice Type],IFERROR(MATCH(A53&amp;"",tbl_Onsite[Job Number],0),MATCH(IFERROR(A53+0,A53),tbl_Onsite[Job Number],0)))="","",INDEX(tbl_Onsite[Invoice Type],IFERROR(MATCH(A53&amp;"",tbl_Onsite[Job Number],0),MATCH(IFERROR(A53+0,A53),tbl_Onsite[Job Number],0)))),IFERROR(IF(INDEX(tbl_Production[Invoice Type],IFERROR(MATCH(A53&amp;"",tbl_Production[Job Number],0),MATCH(IFERROR(A53+0,A53),tbl_Production[Job Number],0)))="","",INDEX(tbl_Production[Invoice Type],IFERROR(MATCH(A53&amp;"",tbl_Production[Job Number],0),MATCH(IFERROR(A53+0,A53),tbl_Production[Job Number],0)))),IFERROR(IF(INDEX(tbl_Consulting[Invoice Type],IFERROR(MATCH(A53&amp;"",tbl_Consulting[Job Number],0),MATCH(IFERROR(A53+0,A53),tbl_Consulting[Job Number],0)))="","",INDEX(tbl_Consulting[Invoice Type],IFERROR(MATCH(A53&amp;"",tbl_Consulting[Job Number],0),MATCH(IFERROR(A53+0,A53),tbl_Consulting[Job Number],0)))),""))))</f>
        <v/>
      </c>
      <c r="M53" s="26">
        <f>IF(A53="","",IF(IFERROR(IF(INDEX(tbl_Onsite[Tax Code],IFERROR(MATCH(A53&amp;"",tbl_Onsite[Job Number],0),MATCH(IFERROR(A53+0,A53),tbl_Onsite[Job Number],0)))="","",INDEX(tbl_Onsite[Tax Code],IFERROR(MATCH(A53&amp;"",tbl_Onsite[Job Number],0),MATCH(IFERROR(A53+0,A53),tbl_Onsite[Job Number],0)))),IFERROR(IF(INDEX(tbl_Production[Tax Code],IFERROR(MATCH(A53&amp;"",tbl_Production[Job Number],0),MATCH(IFERROR(A53+0,A53),tbl_Production[Job Number],0)))="","",INDEX(tbl_Production[Tax Code],IFERROR(MATCH(A53&amp;"",tbl_Production[Job Number],0),MATCH(IFERROR(A53+0,A53),tbl_Production[Job Number],0)))),IFERROR(IF(INDEX(tbl_Consulting[Tax Code],IFERROR(MATCH(A53&amp;"",tbl_Consulting[Job Number],0),MATCH(IFERROR(A53+0,A53),tbl_Consulting[Job Number],0)))="","",INDEX(tbl_Consulting[Tax Code],IFERROR(MATCH(A53&amp;"",tbl_Consulting[Job Number],0),MATCH(IFERROR(A53+0,A53),tbl_Consulting[Job Number],0)))),"")))="","GST 10%",IFERROR(IF(INDEX(tbl_Onsite[Tax Code],IFERROR(MATCH(A53&amp;"",tbl_Onsite[Job Number],0),MATCH(IFERROR(A53+0,A53),tbl_Onsite[Job Number],0)))="","",INDEX(tbl_Onsite[Tax Code],IFERROR(MATCH(A53&amp;"",tbl_Onsite[Job Number],0),MATCH(IFERROR(A53+0,A53),tbl_Onsite[Job Number],0)))),IFERROR(IF(INDEX(tbl_Production[Tax Code],IFERROR(MATCH(A53&amp;"",tbl_Production[Job Number],0),MATCH(IFERROR(A53+0,A53),tbl_Production[Job Number],0)))="","",INDEX(tbl_Production[Tax Code],IFERROR(MATCH(A53&amp;"",tbl_Production[Job Number],0),MATCH(IFERROR(A53+0,A53),tbl_Production[Job Number],0)))),IFERROR(IF(INDEX(tbl_Consulting[Tax Code],IFERROR(MATCH(A53&amp;"",tbl_Consulting[Job Number],0),MATCH(IFERROR(A53+0,A53),tbl_Consulting[Job Number],0)))="","",INDEX(tbl_Consulting[Tax Code],IFERROR(MATCH(A53&amp;"",tbl_Consulting[Job Number],0),MATCH(IFERROR(A53+0,A53),tbl_Consulting[Job Number],0)))),"")))))</f>
        <v/>
      </c>
      <c r="N53" s="26">
        <f>IF(D53="","",IFERROR(INDEX(lst_CCtoGL,MATCH(D53,lst_CCforGL,0)),""))</f>
        <v/>
      </c>
      <c r="O53" s="27">
        <f>IF(E53="","",IF(M53="GST 10%",ROUND(E53*set_GSTRate,2),0))</f>
        <v/>
      </c>
      <c r="P53" s="27">
        <f>IF(E53="","",E53+O53)</f>
        <v/>
      </c>
      <c r="Q53" s="27">
        <f>IF(A53="","",IFERROR(INDEX(tbl_Onsite[Expected Revenue Ex GST],IFERROR(MATCH(A53&amp;"",tbl_Onsite[Job Number],0),MATCH(IFERROR(A53+0,A53),tbl_Onsite[Job Number],0))),IFERROR(INDEX(tbl_Production[Expected Revenue Ex GST],IFERROR(MATCH(A53&amp;"",tbl_Production[Job Number],0),MATCH(IFERROR(A53+0,A53),tbl_Production[Job Number],0))),IFERROR(INDEX(tbl_Consulting[Expected Revenue Ex GST],IFERROR(MATCH(A53&amp;"",tbl_Consulting[Job Number],0),MATCH(IFERROR(A53+0,A53),tbl_Consulting[Job Number],0))),0))))</f>
        <v/>
      </c>
      <c r="R53" s="27">
        <f>IF(A53="","",SUMIFS(tbl_Finance[Ex GST],tbl_Finance[Job Number],A53&amp;""))</f>
        <v/>
      </c>
      <c r="S53" s="27">
        <f>IF(A53="","",Q53-R53)</f>
        <v/>
      </c>
      <c r="T53" s="26">
        <f>IF(A53="","",IF(Q53=0,"No dept value",IF(ROUND(S53,2)=0,"Agrees",IF(S53&gt;0,"Dept higher - to invoice","Xero higher - check dept"))))</f>
        <v/>
      </c>
      <c r="U53" s="22" t="n"/>
      <c r="V53" s="22" t="n"/>
      <c r="W53" s="23" t="n"/>
      <c r="X53" s="23" t="n"/>
      <c r="Y53" s="22" t="n"/>
      <c r="Z53" s="22" t="n"/>
      <c r="AA53" s="26">
        <f>IF(COUNTA(C53,A53,B53,E53)=0,"",IF(C53="","No date - sits outside every month",IF(A53="","No job number",IF(H53="CHECK","Job number is not in the Xero job list",IF(G53="not set up yet","No department has set this job up - nothing can pull through",IF(D53="","No cost centre",IF(AND(U53="Y",B53=""),"Marked posted to Xero but has no invoice number",IF(N53="","Cost centre has no revenue GL on the Lists sheet",IF(T53="Xero higher - check dept","Invoiced more than the department says the job is worth","")))))))))</f>
        <v/>
      </c>
      <c r="AB53" s="28">
        <f>IF(A53="","",COUNTIFS(tbl_Finance[Job Number],A53&amp;"",tbl_Finance[Ex GST],"&lt;&gt;"))</f>
        <v/>
      </c>
      <c r="AC53" s="27">
        <f>IF(A53="","",SUMIFS(tbl_Finance[Ex GST],tbl_Finance[Job Number],A53&amp;""))</f>
        <v/>
      </c>
      <c r="AD53" s="27">
        <f>IF(A53="","",SUMIFS(tbl_Finance[Ex GST],tbl_Finance[Job Number],A53&amp;"",tbl_Finance[Xero Invoice No],"&lt;&gt;"))</f>
        <v/>
      </c>
      <c r="AE53" s="27">
        <f>IF(A53="","",AC53-AD53)</f>
        <v/>
      </c>
      <c r="AF53" s="26">
        <f>IF(A53="","",IFERROR(IF(INDEX(tbl_Onsite[Qwilr Quote],IFERROR(MATCH(A53&amp;"",tbl_Onsite[Job Number],0),MATCH(IFERROR(A53+0,A53),tbl_Onsite[Job Number],0)))="","",INDEX(tbl_Onsite[Qwilr Quote],IFERROR(MATCH(A53&amp;"",tbl_Onsite[Job Number],0),MATCH(IFERROR(A53+0,A53),tbl_Onsite[Job Number],0)))),IFERROR(IF(IF(INDEX(tbl_Production[Current RMS No],IFERROR(MATCH(A53&amp;"",tbl_Production[Job Number],0),MATCH(IFERROR(A53+0,A53),tbl_Production[Job Number],0)))="",INDEX(tbl_Production[Qwilr Quote],IFERROR(MATCH(A53&amp;"",tbl_Production[Job Number],0),MATCH(IFERROR(A53+0,A53),tbl_Production[Job Number],0))),INDEX(tbl_Production[Current RMS No],IFERROR(MATCH(A53&amp;"",tbl_Production[Job Number],0),MATCH(IFERROR(A53+0,A53),tbl_Production[Job Number],0))))="","",IF(INDEX(tbl_Production[Current RMS No],IFERROR(MATCH(A53&amp;"",tbl_Production[Job Number],0),MATCH(IFERROR(A53+0,A53),tbl_Production[Job Number],0)))="",INDEX(tbl_Production[Qwilr Quote],IFERROR(MATCH(A53&amp;"",tbl_Production[Job Number],0),MATCH(IFERROR(A53+0,A53),tbl_Production[Job Number],0))),INDEX(tbl_Production[Current RMS No],IFERROR(MATCH(A53&amp;"",tbl_Production[Job Number],0),MATCH(IFERROR(A53+0,A53),tbl_Production[Job Number],0))))),IFERROR(IF(INDEX(tbl_Consulting[Qwilr Quote],IFERROR(MATCH(A53&amp;"",tbl_Consulting[Job Number],0),MATCH(IFERROR(A53+0,A53),tbl_Consulting[Job Number],0)))="","",INDEX(tbl_Consulting[Qwilr Quote],IFERROR(MATCH(A53&amp;"",tbl_Consulting[Job Number],0),MATCH(IFERROR(A53+0,A53),tbl_Consulting[Job Number],0)))),""))))</f>
        <v/>
      </c>
      <c r="AG53" s="26">
        <f>IF(AF53="","",IF(AND(LEFT(AF53,4)&lt;&gt;"http",IF(G53="Production",set_RMSBase,set_QwilrBase)=""),"",HYPERLINK(IF(LEFT(AF53,4)="http",AF53,IF(G53="Production",set_RMSBase,set_QwilrBase)&amp;AF53),"Open")))</f>
        <v/>
      </c>
      <c r="AH53" s="27">
        <f>IF(A53="","",IFERROR(INDEX(tbl_Production[Total Expense],IFERROR(MATCH(A53&amp;"",tbl_Production[Job Number],0),MATCH(IFERROR(A53+0,A53),tbl_Production[Job Number],0))),IFERROR(INDEX(tbl_Consulting[Total Expense],IFERROR(MATCH(A53&amp;"",tbl_Consulting[Job Number],0),MATCH(IFERROR(A53+0,A53),tbl_Consulting[Job Number],0))),0)))</f>
        <v/>
      </c>
      <c r="AI53" s="27">
        <f>IF(A53="","",AC53-N(AH53))</f>
        <v/>
      </c>
      <c r="AJ53" s="29">
        <f>IFERROR(AI53/AC53,"")</f>
        <v/>
      </c>
      <c r="AK53" s="26">
        <f>IF(A53="","",IFERROR(IF(INDEX(tbl_Onsite[Notes],IFERROR(MATCH(A53&amp;"",tbl_Onsite[Job Number],0),MATCH(IFERROR(A53+0,A53),tbl_Onsite[Job Number],0)))="","",INDEX(tbl_Onsite[Notes],IFERROR(MATCH(A53&amp;"",tbl_Onsite[Job Number],0),MATCH(IFERROR(A53+0,A53),tbl_Onsite[Job Number],0)))),IFERROR(IF(INDEX(tbl_Production[Notes],IFERROR(MATCH(A53&amp;"",tbl_Production[Job Number],0),MATCH(IFERROR(A53+0,A53),tbl_Production[Job Number],0)))="","",INDEX(tbl_Production[Notes],IFERROR(MATCH(A53&amp;"",tbl_Production[Job Number],0),MATCH(IFERROR(A53+0,A53),tbl_Production[Job Number],0)))),IFERROR(IF(INDEX(tbl_Consulting[Notes],IFERROR(MATCH(A53&amp;"",tbl_Consulting[Job Number],0),MATCH(IFERROR(A53+0,A53),tbl_Consulting[Job Number],0)))="","",INDEX(tbl_Consulting[Notes],IFERROR(MATCH(A53&amp;"",tbl_Consulting[Job Number],0),MATCH(IFERROR(A53+0,A53),tbl_Consulting[Job Number],0)))),""))))</f>
        <v/>
      </c>
    </row>
    <row r="54" ht="15" customHeight="1">
      <c r="A54" s="22" t="n"/>
      <c r="B54" s="22" t="n"/>
      <c r="C54" s="23" t="n"/>
      <c r="D54" s="22" t="n"/>
      <c r="E54" s="24" t="n"/>
      <c r="F54" s="25">
        <f>IF(C54="","",EOMONTH(C54,0))</f>
        <v/>
      </c>
      <c r="G54" s="26">
        <f>IF(A54="","",IF(COUNTIF(tbl_Onsite[Job Number],A54&amp;"")&gt;0,"Onsite",IF(COUNTIF(tbl_Production[Job Number],A54&amp;"")&gt;0,"Production",IF(COUNTIF(tbl_Consulting[Job Number],A54&amp;"")&gt;0,"Consulting","not set up yet"))))</f>
        <v/>
      </c>
      <c r="H54" s="26">
        <f>IF(A54="","",IF(COUNTIF(lst_Jobs,A54&amp;"")&gt;0,"OK","CHECK"))</f>
        <v/>
      </c>
      <c r="I54" s="26">
        <f>IF(A54="","",IFERROR(INDEX(lst_JobName,MATCH(A54&amp;"",lst_Jobs,0)),""))</f>
        <v/>
      </c>
      <c r="J54" s="26">
        <f>IF(A54="","",IFERROR(IF(INDEX(tbl_Onsite[Client],IFERROR(MATCH(A54&amp;"",tbl_Onsite[Job Number],0),MATCH(IFERROR(A54+0,A54),tbl_Onsite[Job Number],0)))="","",INDEX(tbl_Onsite[Client],IFERROR(MATCH(A54&amp;"",tbl_Onsite[Job Number],0),MATCH(IFERROR(A54+0,A54),tbl_Onsite[Job Number],0)))),IFERROR(IF(INDEX(tbl_Production[Client],IFERROR(MATCH(A54&amp;"",tbl_Production[Job Number],0),MATCH(IFERROR(A54+0,A54),tbl_Production[Job Number],0)))="","",INDEX(tbl_Production[Client],IFERROR(MATCH(A54&amp;"",tbl_Production[Job Number],0),MATCH(IFERROR(A54+0,A54),tbl_Production[Job Number],0)))),IFERROR(IF(INDEX(tbl_Consulting[Client],IFERROR(MATCH(A54&amp;"",tbl_Consulting[Job Number],0),MATCH(IFERROR(A54+0,A54),tbl_Consulting[Job Number],0)))="","",INDEX(tbl_Consulting[Client],IFERROR(MATCH(A54&amp;"",tbl_Consulting[Job Number],0),MATCH(IFERROR(A54+0,A54),tbl_Consulting[Job Number],0)))),""))))</f>
        <v/>
      </c>
      <c r="K54" s="26">
        <f>IF(A54="","",IFERROR(IF(INDEX(tbl_Onsite[Job Description],IFERROR(MATCH(A54&amp;"",tbl_Onsite[Job Number],0),MATCH(IFERROR(A54+0,A54),tbl_Onsite[Job Number],0)))="","",INDEX(tbl_Onsite[Job Description],IFERROR(MATCH(A54&amp;"",tbl_Onsite[Job Number],0),MATCH(IFERROR(A54+0,A54),tbl_Onsite[Job Number],0)))),IFERROR(IF(INDEX(tbl_Production[Job Description],IFERROR(MATCH(A54&amp;"",tbl_Production[Job Number],0),MATCH(IFERROR(A54+0,A54),tbl_Production[Job Number],0)))="","",INDEX(tbl_Production[Job Description],IFERROR(MATCH(A54&amp;"",tbl_Production[Job Number],0),MATCH(IFERROR(A54+0,A54),tbl_Production[Job Number],0)))),IFERROR(IF(INDEX(tbl_Consulting[Job Description],IFERROR(MATCH(A54&amp;"",tbl_Consulting[Job Number],0),MATCH(IFERROR(A54+0,A54),tbl_Consulting[Job Number],0)))="","",INDEX(tbl_Consulting[Job Description],IFERROR(MATCH(A54&amp;"",tbl_Consulting[Job Number],0),MATCH(IFERROR(A54+0,A54),tbl_Consulting[Job Number],0)))),""))))</f>
        <v/>
      </c>
      <c r="L54" s="26">
        <f>IF(A54="","",IFERROR(IF(INDEX(tbl_Onsite[Invoice Type],IFERROR(MATCH(A54&amp;"",tbl_Onsite[Job Number],0),MATCH(IFERROR(A54+0,A54),tbl_Onsite[Job Number],0)))="","",INDEX(tbl_Onsite[Invoice Type],IFERROR(MATCH(A54&amp;"",tbl_Onsite[Job Number],0),MATCH(IFERROR(A54+0,A54),tbl_Onsite[Job Number],0)))),IFERROR(IF(INDEX(tbl_Production[Invoice Type],IFERROR(MATCH(A54&amp;"",tbl_Production[Job Number],0),MATCH(IFERROR(A54+0,A54),tbl_Production[Job Number],0)))="","",INDEX(tbl_Production[Invoice Type],IFERROR(MATCH(A54&amp;"",tbl_Production[Job Number],0),MATCH(IFERROR(A54+0,A54),tbl_Production[Job Number],0)))),IFERROR(IF(INDEX(tbl_Consulting[Invoice Type],IFERROR(MATCH(A54&amp;"",tbl_Consulting[Job Number],0),MATCH(IFERROR(A54+0,A54),tbl_Consulting[Job Number],0)))="","",INDEX(tbl_Consulting[Invoice Type],IFERROR(MATCH(A54&amp;"",tbl_Consulting[Job Number],0),MATCH(IFERROR(A54+0,A54),tbl_Consulting[Job Number],0)))),""))))</f>
        <v/>
      </c>
      <c r="M54" s="26">
        <f>IF(A54="","",IF(IFERROR(IF(INDEX(tbl_Onsite[Tax Code],IFERROR(MATCH(A54&amp;"",tbl_Onsite[Job Number],0),MATCH(IFERROR(A54+0,A54),tbl_Onsite[Job Number],0)))="","",INDEX(tbl_Onsite[Tax Code],IFERROR(MATCH(A54&amp;"",tbl_Onsite[Job Number],0),MATCH(IFERROR(A54+0,A54),tbl_Onsite[Job Number],0)))),IFERROR(IF(INDEX(tbl_Production[Tax Code],IFERROR(MATCH(A54&amp;"",tbl_Production[Job Number],0),MATCH(IFERROR(A54+0,A54),tbl_Production[Job Number],0)))="","",INDEX(tbl_Production[Tax Code],IFERROR(MATCH(A54&amp;"",tbl_Production[Job Number],0),MATCH(IFERROR(A54+0,A54),tbl_Production[Job Number],0)))),IFERROR(IF(INDEX(tbl_Consulting[Tax Code],IFERROR(MATCH(A54&amp;"",tbl_Consulting[Job Number],0),MATCH(IFERROR(A54+0,A54),tbl_Consulting[Job Number],0)))="","",INDEX(tbl_Consulting[Tax Code],IFERROR(MATCH(A54&amp;"",tbl_Consulting[Job Number],0),MATCH(IFERROR(A54+0,A54),tbl_Consulting[Job Number],0)))),"")))="","GST 10%",IFERROR(IF(INDEX(tbl_Onsite[Tax Code],IFERROR(MATCH(A54&amp;"",tbl_Onsite[Job Number],0),MATCH(IFERROR(A54+0,A54),tbl_Onsite[Job Number],0)))="","",INDEX(tbl_Onsite[Tax Code],IFERROR(MATCH(A54&amp;"",tbl_Onsite[Job Number],0),MATCH(IFERROR(A54+0,A54),tbl_Onsite[Job Number],0)))),IFERROR(IF(INDEX(tbl_Production[Tax Code],IFERROR(MATCH(A54&amp;"",tbl_Production[Job Number],0),MATCH(IFERROR(A54+0,A54),tbl_Production[Job Number],0)))="","",INDEX(tbl_Production[Tax Code],IFERROR(MATCH(A54&amp;"",tbl_Production[Job Number],0),MATCH(IFERROR(A54+0,A54),tbl_Production[Job Number],0)))),IFERROR(IF(INDEX(tbl_Consulting[Tax Code],IFERROR(MATCH(A54&amp;"",tbl_Consulting[Job Number],0),MATCH(IFERROR(A54+0,A54),tbl_Consulting[Job Number],0)))="","",INDEX(tbl_Consulting[Tax Code],IFERROR(MATCH(A54&amp;"",tbl_Consulting[Job Number],0),MATCH(IFERROR(A54+0,A54),tbl_Consulting[Job Number],0)))),"")))))</f>
        <v/>
      </c>
      <c r="N54" s="26">
        <f>IF(D54="","",IFERROR(INDEX(lst_CCtoGL,MATCH(D54,lst_CCforGL,0)),""))</f>
        <v/>
      </c>
      <c r="O54" s="27">
        <f>IF(E54="","",IF(M54="GST 10%",ROUND(E54*set_GSTRate,2),0))</f>
        <v/>
      </c>
      <c r="P54" s="27">
        <f>IF(E54="","",E54+O54)</f>
        <v/>
      </c>
      <c r="Q54" s="27">
        <f>IF(A54="","",IFERROR(INDEX(tbl_Onsite[Expected Revenue Ex GST],IFERROR(MATCH(A54&amp;"",tbl_Onsite[Job Number],0),MATCH(IFERROR(A54+0,A54),tbl_Onsite[Job Number],0))),IFERROR(INDEX(tbl_Production[Expected Revenue Ex GST],IFERROR(MATCH(A54&amp;"",tbl_Production[Job Number],0),MATCH(IFERROR(A54+0,A54),tbl_Production[Job Number],0))),IFERROR(INDEX(tbl_Consulting[Expected Revenue Ex GST],IFERROR(MATCH(A54&amp;"",tbl_Consulting[Job Number],0),MATCH(IFERROR(A54+0,A54),tbl_Consulting[Job Number],0))),0))))</f>
        <v/>
      </c>
      <c r="R54" s="27">
        <f>IF(A54="","",SUMIFS(tbl_Finance[Ex GST],tbl_Finance[Job Number],A54&amp;""))</f>
        <v/>
      </c>
      <c r="S54" s="27">
        <f>IF(A54="","",Q54-R54)</f>
        <v/>
      </c>
      <c r="T54" s="26">
        <f>IF(A54="","",IF(Q54=0,"No dept value",IF(ROUND(S54,2)=0,"Agrees",IF(S54&gt;0,"Dept higher - to invoice","Xero higher - check dept"))))</f>
        <v/>
      </c>
      <c r="U54" s="22" t="n"/>
      <c r="V54" s="22" t="n"/>
      <c r="W54" s="23" t="n"/>
      <c r="X54" s="23" t="n"/>
      <c r="Y54" s="22" t="n"/>
      <c r="Z54" s="22" t="n"/>
      <c r="AA54" s="26">
        <f>IF(COUNTA(C54,A54,B54,E54)=0,"",IF(C54="","No date - sits outside every month",IF(A54="","No job number",IF(H54="CHECK","Job number is not in the Xero job list",IF(G54="not set up yet","No department has set this job up - nothing can pull through",IF(D54="","No cost centre",IF(AND(U54="Y",B54=""),"Marked posted to Xero but has no invoice number",IF(N54="","Cost centre has no revenue GL on the Lists sheet",IF(T54="Xero higher - check dept","Invoiced more than the department says the job is worth","")))))))))</f>
        <v/>
      </c>
      <c r="AB54" s="28">
        <f>IF(A54="","",COUNTIFS(tbl_Finance[Job Number],A54&amp;"",tbl_Finance[Ex GST],"&lt;&gt;"))</f>
        <v/>
      </c>
      <c r="AC54" s="27">
        <f>IF(A54="","",SUMIFS(tbl_Finance[Ex GST],tbl_Finance[Job Number],A54&amp;""))</f>
        <v/>
      </c>
      <c r="AD54" s="27">
        <f>IF(A54="","",SUMIFS(tbl_Finance[Ex GST],tbl_Finance[Job Number],A54&amp;"",tbl_Finance[Xero Invoice No],"&lt;&gt;"))</f>
        <v/>
      </c>
      <c r="AE54" s="27">
        <f>IF(A54="","",AC54-AD54)</f>
        <v/>
      </c>
      <c r="AF54" s="26">
        <f>IF(A54="","",IFERROR(IF(INDEX(tbl_Onsite[Qwilr Quote],IFERROR(MATCH(A54&amp;"",tbl_Onsite[Job Number],0),MATCH(IFERROR(A54+0,A54),tbl_Onsite[Job Number],0)))="","",INDEX(tbl_Onsite[Qwilr Quote],IFERROR(MATCH(A54&amp;"",tbl_Onsite[Job Number],0),MATCH(IFERROR(A54+0,A54),tbl_Onsite[Job Number],0)))),IFERROR(IF(IF(INDEX(tbl_Production[Current RMS No],IFERROR(MATCH(A54&amp;"",tbl_Production[Job Number],0),MATCH(IFERROR(A54+0,A54),tbl_Production[Job Number],0)))="",INDEX(tbl_Production[Qwilr Quote],IFERROR(MATCH(A54&amp;"",tbl_Production[Job Number],0),MATCH(IFERROR(A54+0,A54),tbl_Production[Job Number],0))),INDEX(tbl_Production[Current RMS No],IFERROR(MATCH(A54&amp;"",tbl_Production[Job Number],0),MATCH(IFERROR(A54+0,A54),tbl_Production[Job Number],0))))="","",IF(INDEX(tbl_Production[Current RMS No],IFERROR(MATCH(A54&amp;"",tbl_Production[Job Number],0),MATCH(IFERROR(A54+0,A54),tbl_Production[Job Number],0)))="",INDEX(tbl_Production[Qwilr Quote],IFERROR(MATCH(A54&amp;"",tbl_Production[Job Number],0),MATCH(IFERROR(A54+0,A54),tbl_Production[Job Number],0))),INDEX(tbl_Production[Current RMS No],IFERROR(MATCH(A54&amp;"",tbl_Production[Job Number],0),MATCH(IFERROR(A54+0,A54),tbl_Production[Job Number],0))))),IFERROR(IF(INDEX(tbl_Consulting[Qwilr Quote],IFERROR(MATCH(A54&amp;"",tbl_Consulting[Job Number],0),MATCH(IFERROR(A54+0,A54),tbl_Consulting[Job Number],0)))="","",INDEX(tbl_Consulting[Qwilr Quote],IFERROR(MATCH(A54&amp;"",tbl_Consulting[Job Number],0),MATCH(IFERROR(A54+0,A54),tbl_Consulting[Job Number],0)))),""))))</f>
        <v/>
      </c>
      <c r="AG54" s="26">
        <f>IF(AF54="","",IF(AND(LEFT(AF54,4)&lt;&gt;"http",IF(G54="Production",set_RMSBase,set_QwilrBase)=""),"",HYPERLINK(IF(LEFT(AF54,4)="http",AF54,IF(G54="Production",set_RMSBase,set_QwilrBase)&amp;AF54),"Open")))</f>
        <v/>
      </c>
      <c r="AH54" s="27">
        <f>IF(A54="","",IFERROR(INDEX(tbl_Production[Total Expense],IFERROR(MATCH(A54&amp;"",tbl_Production[Job Number],0),MATCH(IFERROR(A54+0,A54),tbl_Production[Job Number],0))),IFERROR(INDEX(tbl_Consulting[Total Expense],IFERROR(MATCH(A54&amp;"",tbl_Consulting[Job Number],0),MATCH(IFERROR(A54+0,A54),tbl_Consulting[Job Number],0))),0)))</f>
        <v/>
      </c>
      <c r="AI54" s="27">
        <f>IF(A54="","",AC54-N(AH54))</f>
        <v/>
      </c>
      <c r="AJ54" s="29">
        <f>IFERROR(AI54/AC54,"")</f>
        <v/>
      </c>
      <c r="AK54" s="26">
        <f>IF(A54="","",IFERROR(IF(INDEX(tbl_Onsite[Notes],IFERROR(MATCH(A54&amp;"",tbl_Onsite[Job Number],0),MATCH(IFERROR(A54+0,A54),tbl_Onsite[Job Number],0)))="","",INDEX(tbl_Onsite[Notes],IFERROR(MATCH(A54&amp;"",tbl_Onsite[Job Number],0),MATCH(IFERROR(A54+0,A54),tbl_Onsite[Job Number],0)))),IFERROR(IF(INDEX(tbl_Production[Notes],IFERROR(MATCH(A54&amp;"",tbl_Production[Job Number],0),MATCH(IFERROR(A54+0,A54),tbl_Production[Job Number],0)))="","",INDEX(tbl_Production[Notes],IFERROR(MATCH(A54&amp;"",tbl_Production[Job Number],0),MATCH(IFERROR(A54+0,A54),tbl_Production[Job Number],0)))),IFERROR(IF(INDEX(tbl_Consulting[Notes],IFERROR(MATCH(A54&amp;"",tbl_Consulting[Job Number],0),MATCH(IFERROR(A54+0,A54),tbl_Consulting[Job Number],0)))="","",INDEX(tbl_Consulting[Notes],IFERROR(MATCH(A54&amp;"",tbl_Consulting[Job Number],0),MATCH(IFERROR(A54+0,A54),tbl_Consulting[Job Number],0)))),""))))</f>
        <v/>
      </c>
    </row>
    <row r="55" ht="15" customHeight="1">
      <c r="A55" s="22" t="n"/>
      <c r="B55" s="22" t="n"/>
      <c r="C55" s="23" t="n"/>
      <c r="D55" s="22" t="n"/>
      <c r="E55" s="24" t="n"/>
      <c r="F55" s="25">
        <f>IF(C55="","",EOMONTH(C55,0))</f>
        <v/>
      </c>
      <c r="G55" s="26">
        <f>IF(A55="","",IF(COUNTIF(tbl_Onsite[Job Number],A55&amp;"")&gt;0,"Onsite",IF(COUNTIF(tbl_Production[Job Number],A55&amp;"")&gt;0,"Production",IF(COUNTIF(tbl_Consulting[Job Number],A55&amp;"")&gt;0,"Consulting","not set up yet"))))</f>
        <v/>
      </c>
      <c r="H55" s="26">
        <f>IF(A55="","",IF(COUNTIF(lst_Jobs,A55&amp;"")&gt;0,"OK","CHECK"))</f>
        <v/>
      </c>
      <c r="I55" s="26">
        <f>IF(A55="","",IFERROR(INDEX(lst_JobName,MATCH(A55&amp;"",lst_Jobs,0)),""))</f>
        <v/>
      </c>
      <c r="J55" s="26">
        <f>IF(A55="","",IFERROR(IF(INDEX(tbl_Onsite[Client],IFERROR(MATCH(A55&amp;"",tbl_Onsite[Job Number],0),MATCH(IFERROR(A55+0,A55),tbl_Onsite[Job Number],0)))="","",INDEX(tbl_Onsite[Client],IFERROR(MATCH(A55&amp;"",tbl_Onsite[Job Number],0),MATCH(IFERROR(A55+0,A55),tbl_Onsite[Job Number],0)))),IFERROR(IF(INDEX(tbl_Production[Client],IFERROR(MATCH(A55&amp;"",tbl_Production[Job Number],0),MATCH(IFERROR(A55+0,A55),tbl_Production[Job Number],0)))="","",INDEX(tbl_Production[Client],IFERROR(MATCH(A55&amp;"",tbl_Production[Job Number],0),MATCH(IFERROR(A55+0,A55),tbl_Production[Job Number],0)))),IFERROR(IF(INDEX(tbl_Consulting[Client],IFERROR(MATCH(A55&amp;"",tbl_Consulting[Job Number],0),MATCH(IFERROR(A55+0,A55),tbl_Consulting[Job Number],0)))="","",INDEX(tbl_Consulting[Client],IFERROR(MATCH(A55&amp;"",tbl_Consulting[Job Number],0),MATCH(IFERROR(A55+0,A55),tbl_Consulting[Job Number],0)))),""))))</f>
        <v/>
      </c>
      <c r="K55" s="26">
        <f>IF(A55="","",IFERROR(IF(INDEX(tbl_Onsite[Job Description],IFERROR(MATCH(A55&amp;"",tbl_Onsite[Job Number],0),MATCH(IFERROR(A55+0,A55),tbl_Onsite[Job Number],0)))="","",INDEX(tbl_Onsite[Job Description],IFERROR(MATCH(A55&amp;"",tbl_Onsite[Job Number],0),MATCH(IFERROR(A55+0,A55),tbl_Onsite[Job Number],0)))),IFERROR(IF(INDEX(tbl_Production[Job Description],IFERROR(MATCH(A55&amp;"",tbl_Production[Job Number],0),MATCH(IFERROR(A55+0,A55),tbl_Production[Job Number],0)))="","",INDEX(tbl_Production[Job Description],IFERROR(MATCH(A55&amp;"",tbl_Production[Job Number],0),MATCH(IFERROR(A55+0,A55),tbl_Production[Job Number],0)))),IFERROR(IF(INDEX(tbl_Consulting[Job Description],IFERROR(MATCH(A55&amp;"",tbl_Consulting[Job Number],0),MATCH(IFERROR(A55+0,A55),tbl_Consulting[Job Number],0)))="","",INDEX(tbl_Consulting[Job Description],IFERROR(MATCH(A55&amp;"",tbl_Consulting[Job Number],0),MATCH(IFERROR(A55+0,A55),tbl_Consulting[Job Number],0)))),""))))</f>
        <v/>
      </c>
      <c r="L55" s="26">
        <f>IF(A55="","",IFERROR(IF(INDEX(tbl_Onsite[Invoice Type],IFERROR(MATCH(A55&amp;"",tbl_Onsite[Job Number],0),MATCH(IFERROR(A55+0,A55),tbl_Onsite[Job Number],0)))="","",INDEX(tbl_Onsite[Invoice Type],IFERROR(MATCH(A55&amp;"",tbl_Onsite[Job Number],0),MATCH(IFERROR(A55+0,A55),tbl_Onsite[Job Number],0)))),IFERROR(IF(INDEX(tbl_Production[Invoice Type],IFERROR(MATCH(A55&amp;"",tbl_Production[Job Number],0),MATCH(IFERROR(A55+0,A55),tbl_Production[Job Number],0)))="","",INDEX(tbl_Production[Invoice Type],IFERROR(MATCH(A55&amp;"",tbl_Production[Job Number],0),MATCH(IFERROR(A55+0,A55),tbl_Production[Job Number],0)))),IFERROR(IF(INDEX(tbl_Consulting[Invoice Type],IFERROR(MATCH(A55&amp;"",tbl_Consulting[Job Number],0),MATCH(IFERROR(A55+0,A55),tbl_Consulting[Job Number],0)))="","",INDEX(tbl_Consulting[Invoice Type],IFERROR(MATCH(A55&amp;"",tbl_Consulting[Job Number],0),MATCH(IFERROR(A55+0,A55),tbl_Consulting[Job Number],0)))),""))))</f>
        <v/>
      </c>
      <c r="M55" s="26">
        <f>IF(A55="","",IF(IFERROR(IF(INDEX(tbl_Onsite[Tax Code],IFERROR(MATCH(A55&amp;"",tbl_Onsite[Job Number],0),MATCH(IFERROR(A55+0,A55),tbl_Onsite[Job Number],0)))="","",INDEX(tbl_Onsite[Tax Code],IFERROR(MATCH(A55&amp;"",tbl_Onsite[Job Number],0),MATCH(IFERROR(A55+0,A55),tbl_Onsite[Job Number],0)))),IFERROR(IF(INDEX(tbl_Production[Tax Code],IFERROR(MATCH(A55&amp;"",tbl_Production[Job Number],0),MATCH(IFERROR(A55+0,A55),tbl_Production[Job Number],0)))="","",INDEX(tbl_Production[Tax Code],IFERROR(MATCH(A55&amp;"",tbl_Production[Job Number],0),MATCH(IFERROR(A55+0,A55),tbl_Production[Job Number],0)))),IFERROR(IF(INDEX(tbl_Consulting[Tax Code],IFERROR(MATCH(A55&amp;"",tbl_Consulting[Job Number],0),MATCH(IFERROR(A55+0,A55),tbl_Consulting[Job Number],0)))="","",INDEX(tbl_Consulting[Tax Code],IFERROR(MATCH(A55&amp;"",tbl_Consulting[Job Number],0),MATCH(IFERROR(A55+0,A55),tbl_Consulting[Job Number],0)))),"")))="","GST 10%",IFERROR(IF(INDEX(tbl_Onsite[Tax Code],IFERROR(MATCH(A55&amp;"",tbl_Onsite[Job Number],0),MATCH(IFERROR(A55+0,A55),tbl_Onsite[Job Number],0)))="","",INDEX(tbl_Onsite[Tax Code],IFERROR(MATCH(A55&amp;"",tbl_Onsite[Job Number],0),MATCH(IFERROR(A55+0,A55),tbl_Onsite[Job Number],0)))),IFERROR(IF(INDEX(tbl_Production[Tax Code],IFERROR(MATCH(A55&amp;"",tbl_Production[Job Number],0),MATCH(IFERROR(A55+0,A55),tbl_Production[Job Number],0)))="","",INDEX(tbl_Production[Tax Code],IFERROR(MATCH(A55&amp;"",tbl_Production[Job Number],0),MATCH(IFERROR(A55+0,A55),tbl_Production[Job Number],0)))),IFERROR(IF(INDEX(tbl_Consulting[Tax Code],IFERROR(MATCH(A55&amp;"",tbl_Consulting[Job Number],0),MATCH(IFERROR(A55+0,A55),tbl_Consulting[Job Number],0)))="","",INDEX(tbl_Consulting[Tax Code],IFERROR(MATCH(A55&amp;"",tbl_Consulting[Job Number],0),MATCH(IFERROR(A55+0,A55),tbl_Consulting[Job Number],0)))),"")))))</f>
        <v/>
      </c>
      <c r="N55" s="26">
        <f>IF(D55="","",IFERROR(INDEX(lst_CCtoGL,MATCH(D55,lst_CCforGL,0)),""))</f>
        <v/>
      </c>
      <c r="O55" s="27">
        <f>IF(E55="","",IF(M55="GST 10%",ROUND(E55*set_GSTRate,2),0))</f>
        <v/>
      </c>
      <c r="P55" s="27">
        <f>IF(E55="","",E55+O55)</f>
        <v/>
      </c>
      <c r="Q55" s="27">
        <f>IF(A55="","",IFERROR(INDEX(tbl_Onsite[Expected Revenue Ex GST],IFERROR(MATCH(A55&amp;"",tbl_Onsite[Job Number],0),MATCH(IFERROR(A55+0,A55),tbl_Onsite[Job Number],0))),IFERROR(INDEX(tbl_Production[Expected Revenue Ex GST],IFERROR(MATCH(A55&amp;"",tbl_Production[Job Number],0),MATCH(IFERROR(A55+0,A55),tbl_Production[Job Number],0))),IFERROR(INDEX(tbl_Consulting[Expected Revenue Ex GST],IFERROR(MATCH(A55&amp;"",tbl_Consulting[Job Number],0),MATCH(IFERROR(A55+0,A55),tbl_Consulting[Job Number],0))),0))))</f>
        <v/>
      </c>
      <c r="R55" s="27">
        <f>IF(A55="","",SUMIFS(tbl_Finance[Ex GST],tbl_Finance[Job Number],A55&amp;""))</f>
        <v/>
      </c>
      <c r="S55" s="27">
        <f>IF(A55="","",Q55-R55)</f>
        <v/>
      </c>
      <c r="T55" s="26">
        <f>IF(A55="","",IF(Q55=0,"No dept value",IF(ROUND(S55,2)=0,"Agrees",IF(S55&gt;0,"Dept higher - to invoice","Xero higher - check dept"))))</f>
        <v/>
      </c>
      <c r="U55" s="22" t="n"/>
      <c r="V55" s="22" t="n"/>
      <c r="W55" s="23" t="n"/>
      <c r="X55" s="23" t="n"/>
      <c r="Y55" s="22" t="n"/>
      <c r="Z55" s="22" t="n"/>
      <c r="AA55" s="26">
        <f>IF(COUNTA(C55,A55,B55,E55)=0,"",IF(C55="","No date - sits outside every month",IF(A55="","No job number",IF(H55="CHECK","Job number is not in the Xero job list",IF(G55="not set up yet","No department has set this job up - nothing can pull through",IF(D55="","No cost centre",IF(AND(U55="Y",B55=""),"Marked posted to Xero but has no invoice number",IF(N55="","Cost centre has no revenue GL on the Lists sheet",IF(T55="Xero higher - check dept","Invoiced more than the department says the job is worth","")))))))))</f>
        <v/>
      </c>
      <c r="AB55" s="28">
        <f>IF(A55="","",COUNTIFS(tbl_Finance[Job Number],A55&amp;"",tbl_Finance[Ex GST],"&lt;&gt;"))</f>
        <v/>
      </c>
      <c r="AC55" s="27">
        <f>IF(A55="","",SUMIFS(tbl_Finance[Ex GST],tbl_Finance[Job Number],A55&amp;""))</f>
        <v/>
      </c>
      <c r="AD55" s="27">
        <f>IF(A55="","",SUMIFS(tbl_Finance[Ex GST],tbl_Finance[Job Number],A55&amp;"",tbl_Finance[Xero Invoice No],"&lt;&gt;"))</f>
        <v/>
      </c>
      <c r="AE55" s="27">
        <f>IF(A55="","",AC55-AD55)</f>
        <v/>
      </c>
      <c r="AF55" s="26">
        <f>IF(A55="","",IFERROR(IF(INDEX(tbl_Onsite[Qwilr Quote],IFERROR(MATCH(A55&amp;"",tbl_Onsite[Job Number],0),MATCH(IFERROR(A55+0,A55),tbl_Onsite[Job Number],0)))="","",INDEX(tbl_Onsite[Qwilr Quote],IFERROR(MATCH(A55&amp;"",tbl_Onsite[Job Number],0),MATCH(IFERROR(A55+0,A55),tbl_Onsite[Job Number],0)))),IFERROR(IF(IF(INDEX(tbl_Production[Current RMS No],IFERROR(MATCH(A55&amp;"",tbl_Production[Job Number],0),MATCH(IFERROR(A55+0,A55),tbl_Production[Job Number],0)))="",INDEX(tbl_Production[Qwilr Quote],IFERROR(MATCH(A55&amp;"",tbl_Production[Job Number],0),MATCH(IFERROR(A55+0,A55),tbl_Production[Job Number],0))),INDEX(tbl_Production[Current RMS No],IFERROR(MATCH(A55&amp;"",tbl_Production[Job Number],0),MATCH(IFERROR(A55+0,A55),tbl_Production[Job Number],0))))="","",IF(INDEX(tbl_Production[Current RMS No],IFERROR(MATCH(A55&amp;"",tbl_Production[Job Number],0),MATCH(IFERROR(A55+0,A55),tbl_Production[Job Number],0)))="",INDEX(tbl_Production[Qwilr Quote],IFERROR(MATCH(A55&amp;"",tbl_Production[Job Number],0),MATCH(IFERROR(A55+0,A55),tbl_Production[Job Number],0))),INDEX(tbl_Production[Current RMS No],IFERROR(MATCH(A55&amp;"",tbl_Production[Job Number],0),MATCH(IFERROR(A55+0,A55),tbl_Production[Job Number],0))))),IFERROR(IF(INDEX(tbl_Consulting[Qwilr Quote],IFERROR(MATCH(A55&amp;"",tbl_Consulting[Job Number],0),MATCH(IFERROR(A55+0,A55),tbl_Consulting[Job Number],0)))="","",INDEX(tbl_Consulting[Qwilr Quote],IFERROR(MATCH(A55&amp;"",tbl_Consulting[Job Number],0),MATCH(IFERROR(A55+0,A55),tbl_Consulting[Job Number],0)))),""))))</f>
        <v/>
      </c>
      <c r="AG55" s="26">
        <f>IF(AF55="","",IF(AND(LEFT(AF55,4)&lt;&gt;"http",IF(G55="Production",set_RMSBase,set_QwilrBase)=""),"",HYPERLINK(IF(LEFT(AF55,4)="http",AF55,IF(G55="Production",set_RMSBase,set_QwilrBase)&amp;AF55),"Open")))</f>
        <v/>
      </c>
      <c r="AH55" s="27">
        <f>IF(A55="","",IFERROR(INDEX(tbl_Production[Total Expense],IFERROR(MATCH(A55&amp;"",tbl_Production[Job Number],0),MATCH(IFERROR(A55+0,A55),tbl_Production[Job Number],0))),IFERROR(INDEX(tbl_Consulting[Total Expense],IFERROR(MATCH(A55&amp;"",tbl_Consulting[Job Number],0),MATCH(IFERROR(A55+0,A55),tbl_Consulting[Job Number],0))),0)))</f>
        <v/>
      </c>
      <c r="AI55" s="27">
        <f>IF(A55="","",AC55-N(AH55))</f>
        <v/>
      </c>
      <c r="AJ55" s="29">
        <f>IFERROR(AI55/AC55,"")</f>
        <v/>
      </c>
      <c r="AK55" s="26">
        <f>IF(A55="","",IFERROR(IF(INDEX(tbl_Onsite[Notes],IFERROR(MATCH(A55&amp;"",tbl_Onsite[Job Number],0),MATCH(IFERROR(A55+0,A55),tbl_Onsite[Job Number],0)))="","",INDEX(tbl_Onsite[Notes],IFERROR(MATCH(A55&amp;"",tbl_Onsite[Job Number],0),MATCH(IFERROR(A55+0,A55),tbl_Onsite[Job Number],0)))),IFERROR(IF(INDEX(tbl_Production[Notes],IFERROR(MATCH(A55&amp;"",tbl_Production[Job Number],0),MATCH(IFERROR(A55+0,A55),tbl_Production[Job Number],0)))="","",INDEX(tbl_Production[Notes],IFERROR(MATCH(A55&amp;"",tbl_Production[Job Number],0),MATCH(IFERROR(A55+0,A55),tbl_Production[Job Number],0)))),IFERROR(IF(INDEX(tbl_Consulting[Notes],IFERROR(MATCH(A55&amp;"",tbl_Consulting[Job Number],0),MATCH(IFERROR(A55+0,A55),tbl_Consulting[Job Number],0)))="","",INDEX(tbl_Consulting[Notes],IFERROR(MATCH(A55&amp;"",tbl_Consulting[Job Number],0),MATCH(IFERROR(A55+0,A55),tbl_Consulting[Job Number],0)))),""))))</f>
        <v/>
      </c>
    </row>
    <row r="56" ht="15" customHeight="1">
      <c r="A56" s="22" t="n"/>
      <c r="B56" s="22" t="n"/>
      <c r="C56" s="23" t="n"/>
      <c r="D56" s="22" t="n"/>
      <c r="E56" s="24" t="n"/>
      <c r="F56" s="25">
        <f>IF(C56="","",EOMONTH(C56,0))</f>
        <v/>
      </c>
      <c r="G56" s="26">
        <f>IF(A56="","",IF(COUNTIF(tbl_Onsite[Job Number],A56&amp;"")&gt;0,"Onsite",IF(COUNTIF(tbl_Production[Job Number],A56&amp;"")&gt;0,"Production",IF(COUNTIF(tbl_Consulting[Job Number],A56&amp;"")&gt;0,"Consulting","not set up yet"))))</f>
        <v/>
      </c>
      <c r="H56" s="26">
        <f>IF(A56="","",IF(COUNTIF(lst_Jobs,A56&amp;"")&gt;0,"OK","CHECK"))</f>
        <v/>
      </c>
      <c r="I56" s="26">
        <f>IF(A56="","",IFERROR(INDEX(lst_JobName,MATCH(A56&amp;"",lst_Jobs,0)),""))</f>
        <v/>
      </c>
      <c r="J56" s="26">
        <f>IF(A56="","",IFERROR(IF(INDEX(tbl_Onsite[Client],IFERROR(MATCH(A56&amp;"",tbl_Onsite[Job Number],0),MATCH(IFERROR(A56+0,A56),tbl_Onsite[Job Number],0)))="","",INDEX(tbl_Onsite[Client],IFERROR(MATCH(A56&amp;"",tbl_Onsite[Job Number],0),MATCH(IFERROR(A56+0,A56),tbl_Onsite[Job Number],0)))),IFERROR(IF(INDEX(tbl_Production[Client],IFERROR(MATCH(A56&amp;"",tbl_Production[Job Number],0),MATCH(IFERROR(A56+0,A56),tbl_Production[Job Number],0)))="","",INDEX(tbl_Production[Client],IFERROR(MATCH(A56&amp;"",tbl_Production[Job Number],0),MATCH(IFERROR(A56+0,A56),tbl_Production[Job Number],0)))),IFERROR(IF(INDEX(tbl_Consulting[Client],IFERROR(MATCH(A56&amp;"",tbl_Consulting[Job Number],0),MATCH(IFERROR(A56+0,A56),tbl_Consulting[Job Number],0)))="","",INDEX(tbl_Consulting[Client],IFERROR(MATCH(A56&amp;"",tbl_Consulting[Job Number],0),MATCH(IFERROR(A56+0,A56),tbl_Consulting[Job Number],0)))),""))))</f>
        <v/>
      </c>
      <c r="K56" s="26">
        <f>IF(A56="","",IFERROR(IF(INDEX(tbl_Onsite[Job Description],IFERROR(MATCH(A56&amp;"",tbl_Onsite[Job Number],0),MATCH(IFERROR(A56+0,A56),tbl_Onsite[Job Number],0)))="","",INDEX(tbl_Onsite[Job Description],IFERROR(MATCH(A56&amp;"",tbl_Onsite[Job Number],0),MATCH(IFERROR(A56+0,A56),tbl_Onsite[Job Number],0)))),IFERROR(IF(INDEX(tbl_Production[Job Description],IFERROR(MATCH(A56&amp;"",tbl_Production[Job Number],0),MATCH(IFERROR(A56+0,A56),tbl_Production[Job Number],0)))="","",INDEX(tbl_Production[Job Description],IFERROR(MATCH(A56&amp;"",tbl_Production[Job Number],0),MATCH(IFERROR(A56+0,A56),tbl_Production[Job Number],0)))),IFERROR(IF(INDEX(tbl_Consulting[Job Description],IFERROR(MATCH(A56&amp;"",tbl_Consulting[Job Number],0),MATCH(IFERROR(A56+0,A56),tbl_Consulting[Job Number],0)))="","",INDEX(tbl_Consulting[Job Description],IFERROR(MATCH(A56&amp;"",tbl_Consulting[Job Number],0),MATCH(IFERROR(A56+0,A56),tbl_Consulting[Job Number],0)))),""))))</f>
        <v/>
      </c>
      <c r="L56" s="26">
        <f>IF(A56="","",IFERROR(IF(INDEX(tbl_Onsite[Invoice Type],IFERROR(MATCH(A56&amp;"",tbl_Onsite[Job Number],0),MATCH(IFERROR(A56+0,A56),tbl_Onsite[Job Number],0)))="","",INDEX(tbl_Onsite[Invoice Type],IFERROR(MATCH(A56&amp;"",tbl_Onsite[Job Number],0),MATCH(IFERROR(A56+0,A56),tbl_Onsite[Job Number],0)))),IFERROR(IF(INDEX(tbl_Production[Invoice Type],IFERROR(MATCH(A56&amp;"",tbl_Production[Job Number],0),MATCH(IFERROR(A56+0,A56),tbl_Production[Job Number],0)))="","",INDEX(tbl_Production[Invoice Type],IFERROR(MATCH(A56&amp;"",tbl_Production[Job Number],0),MATCH(IFERROR(A56+0,A56),tbl_Production[Job Number],0)))),IFERROR(IF(INDEX(tbl_Consulting[Invoice Type],IFERROR(MATCH(A56&amp;"",tbl_Consulting[Job Number],0),MATCH(IFERROR(A56+0,A56),tbl_Consulting[Job Number],0)))="","",INDEX(tbl_Consulting[Invoice Type],IFERROR(MATCH(A56&amp;"",tbl_Consulting[Job Number],0),MATCH(IFERROR(A56+0,A56),tbl_Consulting[Job Number],0)))),""))))</f>
        <v/>
      </c>
      <c r="M56" s="26">
        <f>IF(A56="","",IF(IFERROR(IF(INDEX(tbl_Onsite[Tax Code],IFERROR(MATCH(A56&amp;"",tbl_Onsite[Job Number],0),MATCH(IFERROR(A56+0,A56),tbl_Onsite[Job Number],0)))="","",INDEX(tbl_Onsite[Tax Code],IFERROR(MATCH(A56&amp;"",tbl_Onsite[Job Number],0),MATCH(IFERROR(A56+0,A56),tbl_Onsite[Job Number],0)))),IFERROR(IF(INDEX(tbl_Production[Tax Code],IFERROR(MATCH(A56&amp;"",tbl_Production[Job Number],0),MATCH(IFERROR(A56+0,A56),tbl_Production[Job Number],0)))="","",INDEX(tbl_Production[Tax Code],IFERROR(MATCH(A56&amp;"",tbl_Production[Job Number],0),MATCH(IFERROR(A56+0,A56),tbl_Production[Job Number],0)))),IFERROR(IF(INDEX(tbl_Consulting[Tax Code],IFERROR(MATCH(A56&amp;"",tbl_Consulting[Job Number],0),MATCH(IFERROR(A56+0,A56),tbl_Consulting[Job Number],0)))="","",INDEX(tbl_Consulting[Tax Code],IFERROR(MATCH(A56&amp;"",tbl_Consulting[Job Number],0),MATCH(IFERROR(A56+0,A56),tbl_Consulting[Job Number],0)))),"")))="","GST 10%",IFERROR(IF(INDEX(tbl_Onsite[Tax Code],IFERROR(MATCH(A56&amp;"",tbl_Onsite[Job Number],0),MATCH(IFERROR(A56+0,A56),tbl_Onsite[Job Number],0)))="","",INDEX(tbl_Onsite[Tax Code],IFERROR(MATCH(A56&amp;"",tbl_Onsite[Job Number],0),MATCH(IFERROR(A56+0,A56),tbl_Onsite[Job Number],0)))),IFERROR(IF(INDEX(tbl_Production[Tax Code],IFERROR(MATCH(A56&amp;"",tbl_Production[Job Number],0),MATCH(IFERROR(A56+0,A56),tbl_Production[Job Number],0)))="","",INDEX(tbl_Production[Tax Code],IFERROR(MATCH(A56&amp;"",tbl_Production[Job Number],0),MATCH(IFERROR(A56+0,A56),tbl_Production[Job Number],0)))),IFERROR(IF(INDEX(tbl_Consulting[Tax Code],IFERROR(MATCH(A56&amp;"",tbl_Consulting[Job Number],0),MATCH(IFERROR(A56+0,A56),tbl_Consulting[Job Number],0)))="","",INDEX(tbl_Consulting[Tax Code],IFERROR(MATCH(A56&amp;"",tbl_Consulting[Job Number],0),MATCH(IFERROR(A56+0,A56),tbl_Consulting[Job Number],0)))),"")))))</f>
        <v/>
      </c>
      <c r="N56" s="26">
        <f>IF(D56="","",IFERROR(INDEX(lst_CCtoGL,MATCH(D56,lst_CCforGL,0)),""))</f>
        <v/>
      </c>
      <c r="O56" s="27">
        <f>IF(E56="","",IF(M56="GST 10%",ROUND(E56*set_GSTRate,2),0))</f>
        <v/>
      </c>
      <c r="P56" s="27">
        <f>IF(E56="","",E56+O56)</f>
        <v/>
      </c>
      <c r="Q56" s="27">
        <f>IF(A56="","",IFERROR(INDEX(tbl_Onsite[Expected Revenue Ex GST],IFERROR(MATCH(A56&amp;"",tbl_Onsite[Job Number],0),MATCH(IFERROR(A56+0,A56),tbl_Onsite[Job Number],0))),IFERROR(INDEX(tbl_Production[Expected Revenue Ex GST],IFERROR(MATCH(A56&amp;"",tbl_Production[Job Number],0),MATCH(IFERROR(A56+0,A56),tbl_Production[Job Number],0))),IFERROR(INDEX(tbl_Consulting[Expected Revenue Ex GST],IFERROR(MATCH(A56&amp;"",tbl_Consulting[Job Number],0),MATCH(IFERROR(A56+0,A56),tbl_Consulting[Job Number],0))),0))))</f>
        <v/>
      </c>
      <c r="R56" s="27">
        <f>IF(A56="","",SUMIFS(tbl_Finance[Ex GST],tbl_Finance[Job Number],A56&amp;""))</f>
        <v/>
      </c>
      <c r="S56" s="27">
        <f>IF(A56="","",Q56-R56)</f>
        <v/>
      </c>
      <c r="T56" s="26">
        <f>IF(A56="","",IF(Q56=0,"No dept value",IF(ROUND(S56,2)=0,"Agrees",IF(S56&gt;0,"Dept higher - to invoice","Xero higher - check dept"))))</f>
        <v/>
      </c>
      <c r="U56" s="22" t="n"/>
      <c r="V56" s="22" t="n"/>
      <c r="W56" s="23" t="n"/>
      <c r="X56" s="23" t="n"/>
      <c r="Y56" s="22" t="n"/>
      <c r="Z56" s="22" t="n"/>
      <c r="AA56" s="26">
        <f>IF(COUNTA(C56,A56,B56,E56)=0,"",IF(C56="","No date - sits outside every month",IF(A56="","No job number",IF(H56="CHECK","Job number is not in the Xero job list",IF(G56="not set up yet","No department has set this job up - nothing can pull through",IF(D56="","No cost centre",IF(AND(U56="Y",B56=""),"Marked posted to Xero but has no invoice number",IF(N56="","Cost centre has no revenue GL on the Lists sheet",IF(T56="Xero higher - check dept","Invoiced more than the department says the job is worth","")))))))))</f>
        <v/>
      </c>
      <c r="AB56" s="28">
        <f>IF(A56="","",COUNTIFS(tbl_Finance[Job Number],A56&amp;"",tbl_Finance[Ex GST],"&lt;&gt;"))</f>
        <v/>
      </c>
      <c r="AC56" s="27">
        <f>IF(A56="","",SUMIFS(tbl_Finance[Ex GST],tbl_Finance[Job Number],A56&amp;""))</f>
        <v/>
      </c>
      <c r="AD56" s="27">
        <f>IF(A56="","",SUMIFS(tbl_Finance[Ex GST],tbl_Finance[Job Number],A56&amp;"",tbl_Finance[Xero Invoice No],"&lt;&gt;"))</f>
        <v/>
      </c>
      <c r="AE56" s="27">
        <f>IF(A56="","",AC56-AD56)</f>
        <v/>
      </c>
      <c r="AF56" s="26">
        <f>IF(A56="","",IFERROR(IF(INDEX(tbl_Onsite[Qwilr Quote],IFERROR(MATCH(A56&amp;"",tbl_Onsite[Job Number],0),MATCH(IFERROR(A56+0,A56),tbl_Onsite[Job Number],0)))="","",INDEX(tbl_Onsite[Qwilr Quote],IFERROR(MATCH(A56&amp;"",tbl_Onsite[Job Number],0),MATCH(IFERROR(A56+0,A56),tbl_Onsite[Job Number],0)))),IFERROR(IF(IF(INDEX(tbl_Production[Current RMS No],IFERROR(MATCH(A56&amp;"",tbl_Production[Job Number],0),MATCH(IFERROR(A56+0,A56),tbl_Production[Job Number],0)))="",INDEX(tbl_Production[Qwilr Quote],IFERROR(MATCH(A56&amp;"",tbl_Production[Job Number],0),MATCH(IFERROR(A56+0,A56),tbl_Production[Job Number],0))),INDEX(tbl_Production[Current RMS No],IFERROR(MATCH(A56&amp;"",tbl_Production[Job Number],0),MATCH(IFERROR(A56+0,A56),tbl_Production[Job Number],0))))="","",IF(INDEX(tbl_Production[Current RMS No],IFERROR(MATCH(A56&amp;"",tbl_Production[Job Number],0),MATCH(IFERROR(A56+0,A56),tbl_Production[Job Number],0)))="",INDEX(tbl_Production[Qwilr Quote],IFERROR(MATCH(A56&amp;"",tbl_Production[Job Number],0),MATCH(IFERROR(A56+0,A56),tbl_Production[Job Number],0))),INDEX(tbl_Production[Current RMS No],IFERROR(MATCH(A56&amp;"",tbl_Production[Job Number],0),MATCH(IFERROR(A56+0,A56),tbl_Production[Job Number],0))))),IFERROR(IF(INDEX(tbl_Consulting[Qwilr Quote],IFERROR(MATCH(A56&amp;"",tbl_Consulting[Job Number],0),MATCH(IFERROR(A56+0,A56),tbl_Consulting[Job Number],0)))="","",INDEX(tbl_Consulting[Qwilr Quote],IFERROR(MATCH(A56&amp;"",tbl_Consulting[Job Number],0),MATCH(IFERROR(A56+0,A56),tbl_Consulting[Job Number],0)))),""))))</f>
        <v/>
      </c>
      <c r="AG56" s="26">
        <f>IF(AF56="","",IF(AND(LEFT(AF56,4)&lt;&gt;"http",IF(G56="Production",set_RMSBase,set_QwilrBase)=""),"",HYPERLINK(IF(LEFT(AF56,4)="http",AF56,IF(G56="Production",set_RMSBase,set_QwilrBase)&amp;AF56),"Open")))</f>
        <v/>
      </c>
      <c r="AH56" s="27">
        <f>IF(A56="","",IFERROR(INDEX(tbl_Production[Total Expense],IFERROR(MATCH(A56&amp;"",tbl_Production[Job Number],0),MATCH(IFERROR(A56+0,A56),tbl_Production[Job Number],0))),IFERROR(INDEX(tbl_Consulting[Total Expense],IFERROR(MATCH(A56&amp;"",tbl_Consulting[Job Number],0),MATCH(IFERROR(A56+0,A56),tbl_Consulting[Job Number],0))),0)))</f>
        <v/>
      </c>
      <c r="AI56" s="27">
        <f>IF(A56="","",AC56-N(AH56))</f>
        <v/>
      </c>
      <c r="AJ56" s="29">
        <f>IFERROR(AI56/AC56,"")</f>
        <v/>
      </c>
      <c r="AK56" s="26">
        <f>IF(A56="","",IFERROR(IF(INDEX(tbl_Onsite[Notes],IFERROR(MATCH(A56&amp;"",tbl_Onsite[Job Number],0),MATCH(IFERROR(A56+0,A56),tbl_Onsite[Job Number],0)))="","",INDEX(tbl_Onsite[Notes],IFERROR(MATCH(A56&amp;"",tbl_Onsite[Job Number],0),MATCH(IFERROR(A56+0,A56),tbl_Onsite[Job Number],0)))),IFERROR(IF(INDEX(tbl_Production[Notes],IFERROR(MATCH(A56&amp;"",tbl_Production[Job Number],0),MATCH(IFERROR(A56+0,A56),tbl_Production[Job Number],0)))="","",INDEX(tbl_Production[Notes],IFERROR(MATCH(A56&amp;"",tbl_Production[Job Number],0),MATCH(IFERROR(A56+0,A56),tbl_Production[Job Number],0)))),IFERROR(IF(INDEX(tbl_Consulting[Notes],IFERROR(MATCH(A56&amp;"",tbl_Consulting[Job Number],0),MATCH(IFERROR(A56+0,A56),tbl_Consulting[Job Number],0)))="","",INDEX(tbl_Consulting[Notes],IFERROR(MATCH(A56&amp;"",tbl_Consulting[Job Number],0),MATCH(IFERROR(A56+0,A56),tbl_Consulting[Job Number],0)))),""))))</f>
        <v/>
      </c>
    </row>
    <row r="57" ht="15" customHeight="1">
      <c r="A57" s="22" t="n"/>
      <c r="B57" s="22" t="n"/>
      <c r="C57" s="23" t="n"/>
      <c r="D57" s="22" t="n"/>
      <c r="E57" s="24" t="n"/>
      <c r="F57" s="25">
        <f>IF(C57="","",EOMONTH(C57,0))</f>
        <v/>
      </c>
      <c r="G57" s="26">
        <f>IF(A57="","",IF(COUNTIF(tbl_Onsite[Job Number],A57&amp;"")&gt;0,"Onsite",IF(COUNTIF(tbl_Production[Job Number],A57&amp;"")&gt;0,"Production",IF(COUNTIF(tbl_Consulting[Job Number],A57&amp;"")&gt;0,"Consulting","not set up yet"))))</f>
        <v/>
      </c>
      <c r="H57" s="26">
        <f>IF(A57="","",IF(COUNTIF(lst_Jobs,A57&amp;"")&gt;0,"OK","CHECK"))</f>
        <v/>
      </c>
      <c r="I57" s="26">
        <f>IF(A57="","",IFERROR(INDEX(lst_JobName,MATCH(A57&amp;"",lst_Jobs,0)),""))</f>
        <v/>
      </c>
      <c r="J57" s="26">
        <f>IF(A57="","",IFERROR(IF(INDEX(tbl_Onsite[Client],IFERROR(MATCH(A57&amp;"",tbl_Onsite[Job Number],0),MATCH(IFERROR(A57+0,A57),tbl_Onsite[Job Number],0)))="","",INDEX(tbl_Onsite[Client],IFERROR(MATCH(A57&amp;"",tbl_Onsite[Job Number],0),MATCH(IFERROR(A57+0,A57),tbl_Onsite[Job Number],0)))),IFERROR(IF(INDEX(tbl_Production[Client],IFERROR(MATCH(A57&amp;"",tbl_Production[Job Number],0),MATCH(IFERROR(A57+0,A57),tbl_Production[Job Number],0)))="","",INDEX(tbl_Production[Client],IFERROR(MATCH(A57&amp;"",tbl_Production[Job Number],0),MATCH(IFERROR(A57+0,A57),tbl_Production[Job Number],0)))),IFERROR(IF(INDEX(tbl_Consulting[Client],IFERROR(MATCH(A57&amp;"",tbl_Consulting[Job Number],0),MATCH(IFERROR(A57+0,A57),tbl_Consulting[Job Number],0)))="","",INDEX(tbl_Consulting[Client],IFERROR(MATCH(A57&amp;"",tbl_Consulting[Job Number],0),MATCH(IFERROR(A57+0,A57),tbl_Consulting[Job Number],0)))),""))))</f>
        <v/>
      </c>
      <c r="K57" s="26">
        <f>IF(A57="","",IFERROR(IF(INDEX(tbl_Onsite[Job Description],IFERROR(MATCH(A57&amp;"",tbl_Onsite[Job Number],0),MATCH(IFERROR(A57+0,A57),tbl_Onsite[Job Number],0)))="","",INDEX(tbl_Onsite[Job Description],IFERROR(MATCH(A57&amp;"",tbl_Onsite[Job Number],0),MATCH(IFERROR(A57+0,A57),tbl_Onsite[Job Number],0)))),IFERROR(IF(INDEX(tbl_Production[Job Description],IFERROR(MATCH(A57&amp;"",tbl_Production[Job Number],0),MATCH(IFERROR(A57+0,A57),tbl_Production[Job Number],0)))="","",INDEX(tbl_Production[Job Description],IFERROR(MATCH(A57&amp;"",tbl_Production[Job Number],0),MATCH(IFERROR(A57+0,A57),tbl_Production[Job Number],0)))),IFERROR(IF(INDEX(tbl_Consulting[Job Description],IFERROR(MATCH(A57&amp;"",tbl_Consulting[Job Number],0),MATCH(IFERROR(A57+0,A57),tbl_Consulting[Job Number],0)))="","",INDEX(tbl_Consulting[Job Description],IFERROR(MATCH(A57&amp;"",tbl_Consulting[Job Number],0),MATCH(IFERROR(A57+0,A57),tbl_Consulting[Job Number],0)))),""))))</f>
        <v/>
      </c>
      <c r="L57" s="26">
        <f>IF(A57="","",IFERROR(IF(INDEX(tbl_Onsite[Invoice Type],IFERROR(MATCH(A57&amp;"",tbl_Onsite[Job Number],0),MATCH(IFERROR(A57+0,A57),tbl_Onsite[Job Number],0)))="","",INDEX(tbl_Onsite[Invoice Type],IFERROR(MATCH(A57&amp;"",tbl_Onsite[Job Number],0),MATCH(IFERROR(A57+0,A57),tbl_Onsite[Job Number],0)))),IFERROR(IF(INDEX(tbl_Production[Invoice Type],IFERROR(MATCH(A57&amp;"",tbl_Production[Job Number],0),MATCH(IFERROR(A57+0,A57),tbl_Production[Job Number],0)))="","",INDEX(tbl_Production[Invoice Type],IFERROR(MATCH(A57&amp;"",tbl_Production[Job Number],0),MATCH(IFERROR(A57+0,A57),tbl_Production[Job Number],0)))),IFERROR(IF(INDEX(tbl_Consulting[Invoice Type],IFERROR(MATCH(A57&amp;"",tbl_Consulting[Job Number],0),MATCH(IFERROR(A57+0,A57),tbl_Consulting[Job Number],0)))="","",INDEX(tbl_Consulting[Invoice Type],IFERROR(MATCH(A57&amp;"",tbl_Consulting[Job Number],0),MATCH(IFERROR(A57+0,A57),tbl_Consulting[Job Number],0)))),""))))</f>
        <v/>
      </c>
      <c r="M57" s="26">
        <f>IF(A57="","",IF(IFERROR(IF(INDEX(tbl_Onsite[Tax Code],IFERROR(MATCH(A57&amp;"",tbl_Onsite[Job Number],0),MATCH(IFERROR(A57+0,A57),tbl_Onsite[Job Number],0)))="","",INDEX(tbl_Onsite[Tax Code],IFERROR(MATCH(A57&amp;"",tbl_Onsite[Job Number],0),MATCH(IFERROR(A57+0,A57),tbl_Onsite[Job Number],0)))),IFERROR(IF(INDEX(tbl_Production[Tax Code],IFERROR(MATCH(A57&amp;"",tbl_Production[Job Number],0),MATCH(IFERROR(A57+0,A57),tbl_Production[Job Number],0)))="","",INDEX(tbl_Production[Tax Code],IFERROR(MATCH(A57&amp;"",tbl_Production[Job Number],0),MATCH(IFERROR(A57+0,A57),tbl_Production[Job Number],0)))),IFERROR(IF(INDEX(tbl_Consulting[Tax Code],IFERROR(MATCH(A57&amp;"",tbl_Consulting[Job Number],0),MATCH(IFERROR(A57+0,A57),tbl_Consulting[Job Number],0)))="","",INDEX(tbl_Consulting[Tax Code],IFERROR(MATCH(A57&amp;"",tbl_Consulting[Job Number],0),MATCH(IFERROR(A57+0,A57),tbl_Consulting[Job Number],0)))),"")))="","GST 10%",IFERROR(IF(INDEX(tbl_Onsite[Tax Code],IFERROR(MATCH(A57&amp;"",tbl_Onsite[Job Number],0),MATCH(IFERROR(A57+0,A57),tbl_Onsite[Job Number],0)))="","",INDEX(tbl_Onsite[Tax Code],IFERROR(MATCH(A57&amp;"",tbl_Onsite[Job Number],0),MATCH(IFERROR(A57+0,A57),tbl_Onsite[Job Number],0)))),IFERROR(IF(INDEX(tbl_Production[Tax Code],IFERROR(MATCH(A57&amp;"",tbl_Production[Job Number],0),MATCH(IFERROR(A57+0,A57),tbl_Production[Job Number],0)))="","",INDEX(tbl_Production[Tax Code],IFERROR(MATCH(A57&amp;"",tbl_Production[Job Number],0),MATCH(IFERROR(A57+0,A57),tbl_Production[Job Number],0)))),IFERROR(IF(INDEX(tbl_Consulting[Tax Code],IFERROR(MATCH(A57&amp;"",tbl_Consulting[Job Number],0),MATCH(IFERROR(A57+0,A57),tbl_Consulting[Job Number],0)))="","",INDEX(tbl_Consulting[Tax Code],IFERROR(MATCH(A57&amp;"",tbl_Consulting[Job Number],0),MATCH(IFERROR(A57+0,A57),tbl_Consulting[Job Number],0)))),"")))))</f>
        <v/>
      </c>
      <c r="N57" s="26">
        <f>IF(D57="","",IFERROR(INDEX(lst_CCtoGL,MATCH(D57,lst_CCforGL,0)),""))</f>
        <v/>
      </c>
      <c r="O57" s="27">
        <f>IF(E57="","",IF(M57="GST 10%",ROUND(E57*set_GSTRate,2),0))</f>
        <v/>
      </c>
      <c r="P57" s="27">
        <f>IF(E57="","",E57+O57)</f>
        <v/>
      </c>
      <c r="Q57" s="27">
        <f>IF(A57="","",IFERROR(INDEX(tbl_Onsite[Expected Revenue Ex GST],IFERROR(MATCH(A57&amp;"",tbl_Onsite[Job Number],0),MATCH(IFERROR(A57+0,A57),tbl_Onsite[Job Number],0))),IFERROR(INDEX(tbl_Production[Expected Revenue Ex GST],IFERROR(MATCH(A57&amp;"",tbl_Production[Job Number],0),MATCH(IFERROR(A57+0,A57),tbl_Production[Job Number],0))),IFERROR(INDEX(tbl_Consulting[Expected Revenue Ex GST],IFERROR(MATCH(A57&amp;"",tbl_Consulting[Job Number],0),MATCH(IFERROR(A57+0,A57),tbl_Consulting[Job Number],0))),0))))</f>
        <v/>
      </c>
      <c r="R57" s="27">
        <f>IF(A57="","",SUMIFS(tbl_Finance[Ex GST],tbl_Finance[Job Number],A57&amp;""))</f>
        <v/>
      </c>
      <c r="S57" s="27">
        <f>IF(A57="","",Q57-R57)</f>
        <v/>
      </c>
      <c r="T57" s="26">
        <f>IF(A57="","",IF(Q57=0,"No dept value",IF(ROUND(S57,2)=0,"Agrees",IF(S57&gt;0,"Dept higher - to invoice","Xero higher - check dept"))))</f>
        <v/>
      </c>
      <c r="U57" s="22" t="n"/>
      <c r="V57" s="22" t="n"/>
      <c r="W57" s="23" t="n"/>
      <c r="X57" s="23" t="n"/>
      <c r="Y57" s="22" t="n"/>
      <c r="Z57" s="22" t="n"/>
      <c r="AA57" s="26">
        <f>IF(COUNTA(C57,A57,B57,E57)=0,"",IF(C57="","No date - sits outside every month",IF(A57="","No job number",IF(H57="CHECK","Job number is not in the Xero job list",IF(G57="not set up yet","No department has set this job up - nothing can pull through",IF(D57="","No cost centre",IF(AND(U57="Y",B57=""),"Marked posted to Xero but has no invoice number",IF(N57="","Cost centre has no revenue GL on the Lists sheet",IF(T57="Xero higher - check dept","Invoiced more than the department says the job is worth","")))))))))</f>
        <v/>
      </c>
      <c r="AB57" s="28">
        <f>IF(A57="","",COUNTIFS(tbl_Finance[Job Number],A57&amp;"",tbl_Finance[Ex GST],"&lt;&gt;"))</f>
        <v/>
      </c>
      <c r="AC57" s="27">
        <f>IF(A57="","",SUMIFS(tbl_Finance[Ex GST],tbl_Finance[Job Number],A57&amp;""))</f>
        <v/>
      </c>
      <c r="AD57" s="27">
        <f>IF(A57="","",SUMIFS(tbl_Finance[Ex GST],tbl_Finance[Job Number],A57&amp;"",tbl_Finance[Xero Invoice No],"&lt;&gt;"))</f>
        <v/>
      </c>
      <c r="AE57" s="27">
        <f>IF(A57="","",AC57-AD57)</f>
        <v/>
      </c>
      <c r="AF57" s="26">
        <f>IF(A57="","",IFERROR(IF(INDEX(tbl_Onsite[Qwilr Quote],IFERROR(MATCH(A57&amp;"",tbl_Onsite[Job Number],0),MATCH(IFERROR(A57+0,A57),tbl_Onsite[Job Number],0)))="","",INDEX(tbl_Onsite[Qwilr Quote],IFERROR(MATCH(A57&amp;"",tbl_Onsite[Job Number],0),MATCH(IFERROR(A57+0,A57),tbl_Onsite[Job Number],0)))),IFERROR(IF(IF(INDEX(tbl_Production[Current RMS No],IFERROR(MATCH(A57&amp;"",tbl_Production[Job Number],0),MATCH(IFERROR(A57+0,A57),tbl_Production[Job Number],0)))="",INDEX(tbl_Production[Qwilr Quote],IFERROR(MATCH(A57&amp;"",tbl_Production[Job Number],0),MATCH(IFERROR(A57+0,A57),tbl_Production[Job Number],0))),INDEX(tbl_Production[Current RMS No],IFERROR(MATCH(A57&amp;"",tbl_Production[Job Number],0),MATCH(IFERROR(A57+0,A57),tbl_Production[Job Number],0))))="","",IF(INDEX(tbl_Production[Current RMS No],IFERROR(MATCH(A57&amp;"",tbl_Production[Job Number],0),MATCH(IFERROR(A57+0,A57),tbl_Production[Job Number],0)))="",INDEX(tbl_Production[Qwilr Quote],IFERROR(MATCH(A57&amp;"",tbl_Production[Job Number],0),MATCH(IFERROR(A57+0,A57),tbl_Production[Job Number],0))),INDEX(tbl_Production[Current RMS No],IFERROR(MATCH(A57&amp;"",tbl_Production[Job Number],0),MATCH(IFERROR(A57+0,A57),tbl_Production[Job Number],0))))),IFERROR(IF(INDEX(tbl_Consulting[Qwilr Quote],IFERROR(MATCH(A57&amp;"",tbl_Consulting[Job Number],0),MATCH(IFERROR(A57+0,A57),tbl_Consulting[Job Number],0)))="","",INDEX(tbl_Consulting[Qwilr Quote],IFERROR(MATCH(A57&amp;"",tbl_Consulting[Job Number],0),MATCH(IFERROR(A57+0,A57),tbl_Consulting[Job Number],0)))),""))))</f>
        <v/>
      </c>
      <c r="AG57" s="26">
        <f>IF(AF57="","",IF(AND(LEFT(AF57,4)&lt;&gt;"http",IF(G57="Production",set_RMSBase,set_QwilrBase)=""),"",HYPERLINK(IF(LEFT(AF57,4)="http",AF57,IF(G57="Production",set_RMSBase,set_QwilrBase)&amp;AF57),"Open")))</f>
        <v/>
      </c>
      <c r="AH57" s="27">
        <f>IF(A57="","",IFERROR(INDEX(tbl_Production[Total Expense],IFERROR(MATCH(A57&amp;"",tbl_Production[Job Number],0),MATCH(IFERROR(A57+0,A57),tbl_Production[Job Number],0))),IFERROR(INDEX(tbl_Consulting[Total Expense],IFERROR(MATCH(A57&amp;"",tbl_Consulting[Job Number],0),MATCH(IFERROR(A57+0,A57),tbl_Consulting[Job Number],0))),0)))</f>
        <v/>
      </c>
      <c r="AI57" s="27">
        <f>IF(A57="","",AC57-N(AH57))</f>
        <v/>
      </c>
      <c r="AJ57" s="29">
        <f>IFERROR(AI57/AC57,"")</f>
        <v/>
      </c>
      <c r="AK57" s="26">
        <f>IF(A57="","",IFERROR(IF(INDEX(tbl_Onsite[Notes],IFERROR(MATCH(A57&amp;"",tbl_Onsite[Job Number],0),MATCH(IFERROR(A57+0,A57),tbl_Onsite[Job Number],0)))="","",INDEX(tbl_Onsite[Notes],IFERROR(MATCH(A57&amp;"",tbl_Onsite[Job Number],0),MATCH(IFERROR(A57+0,A57),tbl_Onsite[Job Number],0)))),IFERROR(IF(INDEX(tbl_Production[Notes],IFERROR(MATCH(A57&amp;"",tbl_Production[Job Number],0),MATCH(IFERROR(A57+0,A57),tbl_Production[Job Number],0)))="","",INDEX(tbl_Production[Notes],IFERROR(MATCH(A57&amp;"",tbl_Production[Job Number],0),MATCH(IFERROR(A57+0,A57),tbl_Production[Job Number],0)))),IFERROR(IF(INDEX(tbl_Consulting[Notes],IFERROR(MATCH(A57&amp;"",tbl_Consulting[Job Number],0),MATCH(IFERROR(A57+0,A57),tbl_Consulting[Job Number],0)))="","",INDEX(tbl_Consulting[Notes],IFERROR(MATCH(A57&amp;"",tbl_Consulting[Job Number],0),MATCH(IFERROR(A57+0,A57),tbl_Consulting[Job Number],0)))),""))))</f>
        <v/>
      </c>
    </row>
    <row r="58" ht="15" customHeight="1">
      <c r="A58" s="22" t="n"/>
      <c r="B58" s="22" t="n"/>
      <c r="C58" s="23" t="n"/>
      <c r="D58" s="22" t="n"/>
      <c r="E58" s="24" t="n"/>
      <c r="F58" s="25">
        <f>IF(C58="","",EOMONTH(C58,0))</f>
        <v/>
      </c>
      <c r="G58" s="26">
        <f>IF(A58="","",IF(COUNTIF(tbl_Onsite[Job Number],A58&amp;"")&gt;0,"Onsite",IF(COUNTIF(tbl_Production[Job Number],A58&amp;"")&gt;0,"Production",IF(COUNTIF(tbl_Consulting[Job Number],A58&amp;"")&gt;0,"Consulting","not set up yet"))))</f>
        <v/>
      </c>
      <c r="H58" s="26">
        <f>IF(A58="","",IF(COUNTIF(lst_Jobs,A58&amp;"")&gt;0,"OK","CHECK"))</f>
        <v/>
      </c>
      <c r="I58" s="26">
        <f>IF(A58="","",IFERROR(INDEX(lst_JobName,MATCH(A58&amp;"",lst_Jobs,0)),""))</f>
        <v/>
      </c>
      <c r="J58" s="26">
        <f>IF(A58="","",IFERROR(IF(INDEX(tbl_Onsite[Client],IFERROR(MATCH(A58&amp;"",tbl_Onsite[Job Number],0),MATCH(IFERROR(A58+0,A58),tbl_Onsite[Job Number],0)))="","",INDEX(tbl_Onsite[Client],IFERROR(MATCH(A58&amp;"",tbl_Onsite[Job Number],0),MATCH(IFERROR(A58+0,A58),tbl_Onsite[Job Number],0)))),IFERROR(IF(INDEX(tbl_Production[Client],IFERROR(MATCH(A58&amp;"",tbl_Production[Job Number],0),MATCH(IFERROR(A58+0,A58),tbl_Production[Job Number],0)))="","",INDEX(tbl_Production[Client],IFERROR(MATCH(A58&amp;"",tbl_Production[Job Number],0),MATCH(IFERROR(A58+0,A58),tbl_Production[Job Number],0)))),IFERROR(IF(INDEX(tbl_Consulting[Client],IFERROR(MATCH(A58&amp;"",tbl_Consulting[Job Number],0),MATCH(IFERROR(A58+0,A58),tbl_Consulting[Job Number],0)))="","",INDEX(tbl_Consulting[Client],IFERROR(MATCH(A58&amp;"",tbl_Consulting[Job Number],0),MATCH(IFERROR(A58+0,A58),tbl_Consulting[Job Number],0)))),""))))</f>
        <v/>
      </c>
      <c r="K58" s="26">
        <f>IF(A58="","",IFERROR(IF(INDEX(tbl_Onsite[Job Description],IFERROR(MATCH(A58&amp;"",tbl_Onsite[Job Number],0),MATCH(IFERROR(A58+0,A58),tbl_Onsite[Job Number],0)))="","",INDEX(tbl_Onsite[Job Description],IFERROR(MATCH(A58&amp;"",tbl_Onsite[Job Number],0),MATCH(IFERROR(A58+0,A58),tbl_Onsite[Job Number],0)))),IFERROR(IF(INDEX(tbl_Production[Job Description],IFERROR(MATCH(A58&amp;"",tbl_Production[Job Number],0),MATCH(IFERROR(A58+0,A58),tbl_Production[Job Number],0)))="","",INDEX(tbl_Production[Job Description],IFERROR(MATCH(A58&amp;"",tbl_Production[Job Number],0),MATCH(IFERROR(A58+0,A58),tbl_Production[Job Number],0)))),IFERROR(IF(INDEX(tbl_Consulting[Job Description],IFERROR(MATCH(A58&amp;"",tbl_Consulting[Job Number],0),MATCH(IFERROR(A58+0,A58),tbl_Consulting[Job Number],0)))="","",INDEX(tbl_Consulting[Job Description],IFERROR(MATCH(A58&amp;"",tbl_Consulting[Job Number],0),MATCH(IFERROR(A58+0,A58),tbl_Consulting[Job Number],0)))),""))))</f>
        <v/>
      </c>
      <c r="L58" s="26">
        <f>IF(A58="","",IFERROR(IF(INDEX(tbl_Onsite[Invoice Type],IFERROR(MATCH(A58&amp;"",tbl_Onsite[Job Number],0),MATCH(IFERROR(A58+0,A58),tbl_Onsite[Job Number],0)))="","",INDEX(tbl_Onsite[Invoice Type],IFERROR(MATCH(A58&amp;"",tbl_Onsite[Job Number],0),MATCH(IFERROR(A58+0,A58),tbl_Onsite[Job Number],0)))),IFERROR(IF(INDEX(tbl_Production[Invoice Type],IFERROR(MATCH(A58&amp;"",tbl_Production[Job Number],0),MATCH(IFERROR(A58+0,A58),tbl_Production[Job Number],0)))="","",INDEX(tbl_Production[Invoice Type],IFERROR(MATCH(A58&amp;"",tbl_Production[Job Number],0),MATCH(IFERROR(A58+0,A58),tbl_Production[Job Number],0)))),IFERROR(IF(INDEX(tbl_Consulting[Invoice Type],IFERROR(MATCH(A58&amp;"",tbl_Consulting[Job Number],0),MATCH(IFERROR(A58+0,A58),tbl_Consulting[Job Number],0)))="","",INDEX(tbl_Consulting[Invoice Type],IFERROR(MATCH(A58&amp;"",tbl_Consulting[Job Number],0),MATCH(IFERROR(A58+0,A58),tbl_Consulting[Job Number],0)))),""))))</f>
        <v/>
      </c>
      <c r="M58" s="26">
        <f>IF(A58="","",IF(IFERROR(IF(INDEX(tbl_Onsite[Tax Code],IFERROR(MATCH(A58&amp;"",tbl_Onsite[Job Number],0),MATCH(IFERROR(A58+0,A58),tbl_Onsite[Job Number],0)))="","",INDEX(tbl_Onsite[Tax Code],IFERROR(MATCH(A58&amp;"",tbl_Onsite[Job Number],0),MATCH(IFERROR(A58+0,A58),tbl_Onsite[Job Number],0)))),IFERROR(IF(INDEX(tbl_Production[Tax Code],IFERROR(MATCH(A58&amp;"",tbl_Production[Job Number],0),MATCH(IFERROR(A58+0,A58),tbl_Production[Job Number],0)))="","",INDEX(tbl_Production[Tax Code],IFERROR(MATCH(A58&amp;"",tbl_Production[Job Number],0),MATCH(IFERROR(A58+0,A58),tbl_Production[Job Number],0)))),IFERROR(IF(INDEX(tbl_Consulting[Tax Code],IFERROR(MATCH(A58&amp;"",tbl_Consulting[Job Number],0),MATCH(IFERROR(A58+0,A58),tbl_Consulting[Job Number],0)))="","",INDEX(tbl_Consulting[Tax Code],IFERROR(MATCH(A58&amp;"",tbl_Consulting[Job Number],0),MATCH(IFERROR(A58+0,A58),tbl_Consulting[Job Number],0)))),"")))="","GST 10%",IFERROR(IF(INDEX(tbl_Onsite[Tax Code],IFERROR(MATCH(A58&amp;"",tbl_Onsite[Job Number],0),MATCH(IFERROR(A58+0,A58),tbl_Onsite[Job Number],0)))="","",INDEX(tbl_Onsite[Tax Code],IFERROR(MATCH(A58&amp;"",tbl_Onsite[Job Number],0),MATCH(IFERROR(A58+0,A58),tbl_Onsite[Job Number],0)))),IFERROR(IF(INDEX(tbl_Production[Tax Code],IFERROR(MATCH(A58&amp;"",tbl_Production[Job Number],0),MATCH(IFERROR(A58+0,A58),tbl_Production[Job Number],0)))="","",INDEX(tbl_Production[Tax Code],IFERROR(MATCH(A58&amp;"",tbl_Production[Job Number],0),MATCH(IFERROR(A58+0,A58),tbl_Production[Job Number],0)))),IFERROR(IF(INDEX(tbl_Consulting[Tax Code],IFERROR(MATCH(A58&amp;"",tbl_Consulting[Job Number],0),MATCH(IFERROR(A58+0,A58),tbl_Consulting[Job Number],0)))="","",INDEX(tbl_Consulting[Tax Code],IFERROR(MATCH(A58&amp;"",tbl_Consulting[Job Number],0),MATCH(IFERROR(A58+0,A58),tbl_Consulting[Job Number],0)))),"")))))</f>
        <v/>
      </c>
      <c r="N58" s="26">
        <f>IF(D58="","",IFERROR(INDEX(lst_CCtoGL,MATCH(D58,lst_CCforGL,0)),""))</f>
        <v/>
      </c>
      <c r="O58" s="27">
        <f>IF(E58="","",IF(M58="GST 10%",ROUND(E58*set_GSTRate,2),0))</f>
        <v/>
      </c>
      <c r="P58" s="27">
        <f>IF(E58="","",E58+O58)</f>
        <v/>
      </c>
      <c r="Q58" s="27">
        <f>IF(A58="","",IFERROR(INDEX(tbl_Onsite[Expected Revenue Ex GST],IFERROR(MATCH(A58&amp;"",tbl_Onsite[Job Number],0),MATCH(IFERROR(A58+0,A58),tbl_Onsite[Job Number],0))),IFERROR(INDEX(tbl_Production[Expected Revenue Ex GST],IFERROR(MATCH(A58&amp;"",tbl_Production[Job Number],0),MATCH(IFERROR(A58+0,A58),tbl_Production[Job Number],0))),IFERROR(INDEX(tbl_Consulting[Expected Revenue Ex GST],IFERROR(MATCH(A58&amp;"",tbl_Consulting[Job Number],0),MATCH(IFERROR(A58+0,A58),tbl_Consulting[Job Number],0))),0))))</f>
        <v/>
      </c>
      <c r="R58" s="27">
        <f>IF(A58="","",SUMIFS(tbl_Finance[Ex GST],tbl_Finance[Job Number],A58&amp;""))</f>
        <v/>
      </c>
      <c r="S58" s="27">
        <f>IF(A58="","",Q58-R58)</f>
        <v/>
      </c>
      <c r="T58" s="26">
        <f>IF(A58="","",IF(Q58=0,"No dept value",IF(ROUND(S58,2)=0,"Agrees",IF(S58&gt;0,"Dept higher - to invoice","Xero higher - check dept"))))</f>
        <v/>
      </c>
      <c r="U58" s="22" t="n"/>
      <c r="V58" s="22" t="n"/>
      <c r="W58" s="23" t="n"/>
      <c r="X58" s="23" t="n"/>
      <c r="Y58" s="22" t="n"/>
      <c r="Z58" s="22" t="n"/>
      <c r="AA58" s="26">
        <f>IF(COUNTA(C58,A58,B58,E58)=0,"",IF(C58="","No date - sits outside every month",IF(A58="","No job number",IF(H58="CHECK","Job number is not in the Xero job list",IF(G58="not set up yet","No department has set this job up - nothing can pull through",IF(D58="","No cost centre",IF(AND(U58="Y",B58=""),"Marked posted to Xero but has no invoice number",IF(N58="","Cost centre has no revenue GL on the Lists sheet",IF(T58="Xero higher - check dept","Invoiced more than the department says the job is worth","")))))))))</f>
        <v/>
      </c>
      <c r="AB58" s="28">
        <f>IF(A58="","",COUNTIFS(tbl_Finance[Job Number],A58&amp;"",tbl_Finance[Ex GST],"&lt;&gt;"))</f>
        <v/>
      </c>
      <c r="AC58" s="27">
        <f>IF(A58="","",SUMIFS(tbl_Finance[Ex GST],tbl_Finance[Job Number],A58&amp;""))</f>
        <v/>
      </c>
      <c r="AD58" s="27">
        <f>IF(A58="","",SUMIFS(tbl_Finance[Ex GST],tbl_Finance[Job Number],A58&amp;"",tbl_Finance[Xero Invoice No],"&lt;&gt;"))</f>
        <v/>
      </c>
      <c r="AE58" s="27">
        <f>IF(A58="","",AC58-AD58)</f>
        <v/>
      </c>
      <c r="AF58" s="26">
        <f>IF(A58="","",IFERROR(IF(INDEX(tbl_Onsite[Qwilr Quote],IFERROR(MATCH(A58&amp;"",tbl_Onsite[Job Number],0),MATCH(IFERROR(A58+0,A58),tbl_Onsite[Job Number],0)))="","",INDEX(tbl_Onsite[Qwilr Quote],IFERROR(MATCH(A58&amp;"",tbl_Onsite[Job Number],0),MATCH(IFERROR(A58+0,A58),tbl_Onsite[Job Number],0)))),IFERROR(IF(IF(INDEX(tbl_Production[Current RMS No],IFERROR(MATCH(A58&amp;"",tbl_Production[Job Number],0),MATCH(IFERROR(A58+0,A58),tbl_Production[Job Number],0)))="",INDEX(tbl_Production[Qwilr Quote],IFERROR(MATCH(A58&amp;"",tbl_Production[Job Number],0),MATCH(IFERROR(A58+0,A58),tbl_Production[Job Number],0))),INDEX(tbl_Production[Current RMS No],IFERROR(MATCH(A58&amp;"",tbl_Production[Job Number],0),MATCH(IFERROR(A58+0,A58),tbl_Production[Job Number],0))))="","",IF(INDEX(tbl_Production[Current RMS No],IFERROR(MATCH(A58&amp;"",tbl_Production[Job Number],0),MATCH(IFERROR(A58+0,A58),tbl_Production[Job Number],0)))="",INDEX(tbl_Production[Qwilr Quote],IFERROR(MATCH(A58&amp;"",tbl_Production[Job Number],0),MATCH(IFERROR(A58+0,A58),tbl_Production[Job Number],0))),INDEX(tbl_Production[Current RMS No],IFERROR(MATCH(A58&amp;"",tbl_Production[Job Number],0),MATCH(IFERROR(A58+0,A58),tbl_Production[Job Number],0))))),IFERROR(IF(INDEX(tbl_Consulting[Qwilr Quote],IFERROR(MATCH(A58&amp;"",tbl_Consulting[Job Number],0),MATCH(IFERROR(A58+0,A58),tbl_Consulting[Job Number],0)))="","",INDEX(tbl_Consulting[Qwilr Quote],IFERROR(MATCH(A58&amp;"",tbl_Consulting[Job Number],0),MATCH(IFERROR(A58+0,A58),tbl_Consulting[Job Number],0)))),""))))</f>
        <v/>
      </c>
      <c r="AG58" s="26">
        <f>IF(AF58="","",IF(AND(LEFT(AF58,4)&lt;&gt;"http",IF(G58="Production",set_RMSBase,set_QwilrBase)=""),"",HYPERLINK(IF(LEFT(AF58,4)="http",AF58,IF(G58="Production",set_RMSBase,set_QwilrBase)&amp;AF58),"Open")))</f>
        <v/>
      </c>
      <c r="AH58" s="27">
        <f>IF(A58="","",IFERROR(INDEX(tbl_Production[Total Expense],IFERROR(MATCH(A58&amp;"",tbl_Production[Job Number],0),MATCH(IFERROR(A58+0,A58),tbl_Production[Job Number],0))),IFERROR(INDEX(tbl_Consulting[Total Expense],IFERROR(MATCH(A58&amp;"",tbl_Consulting[Job Number],0),MATCH(IFERROR(A58+0,A58),tbl_Consulting[Job Number],0))),0)))</f>
        <v/>
      </c>
      <c r="AI58" s="27">
        <f>IF(A58="","",AC58-N(AH58))</f>
        <v/>
      </c>
      <c r="AJ58" s="29">
        <f>IFERROR(AI58/AC58,"")</f>
        <v/>
      </c>
      <c r="AK58" s="26">
        <f>IF(A58="","",IFERROR(IF(INDEX(tbl_Onsite[Notes],IFERROR(MATCH(A58&amp;"",tbl_Onsite[Job Number],0),MATCH(IFERROR(A58+0,A58),tbl_Onsite[Job Number],0)))="","",INDEX(tbl_Onsite[Notes],IFERROR(MATCH(A58&amp;"",tbl_Onsite[Job Number],0),MATCH(IFERROR(A58+0,A58),tbl_Onsite[Job Number],0)))),IFERROR(IF(INDEX(tbl_Production[Notes],IFERROR(MATCH(A58&amp;"",tbl_Production[Job Number],0),MATCH(IFERROR(A58+0,A58),tbl_Production[Job Number],0)))="","",INDEX(tbl_Production[Notes],IFERROR(MATCH(A58&amp;"",tbl_Production[Job Number],0),MATCH(IFERROR(A58+0,A58),tbl_Production[Job Number],0)))),IFERROR(IF(INDEX(tbl_Consulting[Notes],IFERROR(MATCH(A58&amp;"",tbl_Consulting[Job Number],0),MATCH(IFERROR(A58+0,A58),tbl_Consulting[Job Number],0)))="","",INDEX(tbl_Consulting[Notes],IFERROR(MATCH(A58&amp;"",tbl_Consulting[Job Number],0),MATCH(IFERROR(A58+0,A58),tbl_Consulting[Job Number],0)))),""))))</f>
        <v/>
      </c>
    </row>
    <row r="59" ht="15" customHeight="1">
      <c r="A59" s="22" t="n"/>
      <c r="B59" s="22" t="n"/>
      <c r="C59" s="23" t="n"/>
      <c r="D59" s="22" t="n"/>
      <c r="E59" s="24" t="n"/>
      <c r="F59" s="25">
        <f>IF(C59="","",EOMONTH(C59,0))</f>
        <v/>
      </c>
      <c r="G59" s="26">
        <f>IF(A59="","",IF(COUNTIF(tbl_Onsite[Job Number],A59&amp;"")&gt;0,"Onsite",IF(COUNTIF(tbl_Production[Job Number],A59&amp;"")&gt;0,"Production",IF(COUNTIF(tbl_Consulting[Job Number],A59&amp;"")&gt;0,"Consulting","not set up yet"))))</f>
        <v/>
      </c>
      <c r="H59" s="26">
        <f>IF(A59="","",IF(COUNTIF(lst_Jobs,A59&amp;"")&gt;0,"OK","CHECK"))</f>
        <v/>
      </c>
      <c r="I59" s="26">
        <f>IF(A59="","",IFERROR(INDEX(lst_JobName,MATCH(A59&amp;"",lst_Jobs,0)),""))</f>
        <v/>
      </c>
      <c r="J59" s="26">
        <f>IF(A59="","",IFERROR(IF(INDEX(tbl_Onsite[Client],IFERROR(MATCH(A59&amp;"",tbl_Onsite[Job Number],0),MATCH(IFERROR(A59+0,A59),tbl_Onsite[Job Number],0)))="","",INDEX(tbl_Onsite[Client],IFERROR(MATCH(A59&amp;"",tbl_Onsite[Job Number],0),MATCH(IFERROR(A59+0,A59),tbl_Onsite[Job Number],0)))),IFERROR(IF(INDEX(tbl_Production[Client],IFERROR(MATCH(A59&amp;"",tbl_Production[Job Number],0),MATCH(IFERROR(A59+0,A59),tbl_Production[Job Number],0)))="","",INDEX(tbl_Production[Client],IFERROR(MATCH(A59&amp;"",tbl_Production[Job Number],0),MATCH(IFERROR(A59+0,A59),tbl_Production[Job Number],0)))),IFERROR(IF(INDEX(tbl_Consulting[Client],IFERROR(MATCH(A59&amp;"",tbl_Consulting[Job Number],0),MATCH(IFERROR(A59+0,A59),tbl_Consulting[Job Number],0)))="","",INDEX(tbl_Consulting[Client],IFERROR(MATCH(A59&amp;"",tbl_Consulting[Job Number],0),MATCH(IFERROR(A59+0,A59),tbl_Consulting[Job Number],0)))),""))))</f>
        <v/>
      </c>
      <c r="K59" s="26">
        <f>IF(A59="","",IFERROR(IF(INDEX(tbl_Onsite[Job Description],IFERROR(MATCH(A59&amp;"",tbl_Onsite[Job Number],0),MATCH(IFERROR(A59+0,A59),tbl_Onsite[Job Number],0)))="","",INDEX(tbl_Onsite[Job Description],IFERROR(MATCH(A59&amp;"",tbl_Onsite[Job Number],0),MATCH(IFERROR(A59+0,A59),tbl_Onsite[Job Number],0)))),IFERROR(IF(INDEX(tbl_Production[Job Description],IFERROR(MATCH(A59&amp;"",tbl_Production[Job Number],0),MATCH(IFERROR(A59+0,A59),tbl_Production[Job Number],0)))="","",INDEX(tbl_Production[Job Description],IFERROR(MATCH(A59&amp;"",tbl_Production[Job Number],0),MATCH(IFERROR(A59+0,A59),tbl_Production[Job Number],0)))),IFERROR(IF(INDEX(tbl_Consulting[Job Description],IFERROR(MATCH(A59&amp;"",tbl_Consulting[Job Number],0),MATCH(IFERROR(A59+0,A59),tbl_Consulting[Job Number],0)))="","",INDEX(tbl_Consulting[Job Description],IFERROR(MATCH(A59&amp;"",tbl_Consulting[Job Number],0),MATCH(IFERROR(A59+0,A59),tbl_Consulting[Job Number],0)))),""))))</f>
        <v/>
      </c>
      <c r="L59" s="26">
        <f>IF(A59="","",IFERROR(IF(INDEX(tbl_Onsite[Invoice Type],IFERROR(MATCH(A59&amp;"",tbl_Onsite[Job Number],0),MATCH(IFERROR(A59+0,A59),tbl_Onsite[Job Number],0)))="","",INDEX(tbl_Onsite[Invoice Type],IFERROR(MATCH(A59&amp;"",tbl_Onsite[Job Number],0),MATCH(IFERROR(A59+0,A59),tbl_Onsite[Job Number],0)))),IFERROR(IF(INDEX(tbl_Production[Invoice Type],IFERROR(MATCH(A59&amp;"",tbl_Production[Job Number],0),MATCH(IFERROR(A59+0,A59),tbl_Production[Job Number],0)))="","",INDEX(tbl_Production[Invoice Type],IFERROR(MATCH(A59&amp;"",tbl_Production[Job Number],0),MATCH(IFERROR(A59+0,A59),tbl_Production[Job Number],0)))),IFERROR(IF(INDEX(tbl_Consulting[Invoice Type],IFERROR(MATCH(A59&amp;"",tbl_Consulting[Job Number],0),MATCH(IFERROR(A59+0,A59),tbl_Consulting[Job Number],0)))="","",INDEX(tbl_Consulting[Invoice Type],IFERROR(MATCH(A59&amp;"",tbl_Consulting[Job Number],0),MATCH(IFERROR(A59+0,A59),tbl_Consulting[Job Number],0)))),""))))</f>
        <v/>
      </c>
      <c r="M59" s="26">
        <f>IF(A59="","",IF(IFERROR(IF(INDEX(tbl_Onsite[Tax Code],IFERROR(MATCH(A59&amp;"",tbl_Onsite[Job Number],0),MATCH(IFERROR(A59+0,A59),tbl_Onsite[Job Number],0)))="","",INDEX(tbl_Onsite[Tax Code],IFERROR(MATCH(A59&amp;"",tbl_Onsite[Job Number],0),MATCH(IFERROR(A59+0,A59),tbl_Onsite[Job Number],0)))),IFERROR(IF(INDEX(tbl_Production[Tax Code],IFERROR(MATCH(A59&amp;"",tbl_Production[Job Number],0),MATCH(IFERROR(A59+0,A59),tbl_Production[Job Number],0)))="","",INDEX(tbl_Production[Tax Code],IFERROR(MATCH(A59&amp;"",tbl_Production[Job Number],0),MATCH(IFERROR(A59+0,A59),tbl_Production[Job Number],0)))),IFERROR(IF(INDEX(tbl_Consulting[Tax Code],IFERROR(MATCH(A59&amp;"",tbl_Consulting[Job Number],0),MATCH(IFERROR(A59+0,A59),tbl_Consulting[Job Number],0)))="","",INDEX(tbl_Consulting[Tax Code],IFERROR(MATCH(A59&amp;"",tbl_Consulting[Job Number],0),MATCH(IFERROR(A59+0,A59),tbl_Consulting[Job Number],0)))),"")))="","GST 10%",IFERROR(IF(INDEX(tbl_Onsite[Tax Code],IFERROR(MATCH(A59&amp;"",tbl_Onsite[Job Number],0),MATCH(IFERROR(A59+0,A59),tbl_Onsite[Job Number],0)))="","",INDEX(tbl_Onsite[Tax Code],IFERROR(MATCH(A59&amp;"",tbl_Onsite[Job Number],0),MATCH(IFERROR(A59+0,A59),tbl_Onsite[Job Number],0)))),IFERROR(IF(INDEX(tbl_Production[Tax Code],IFERROR(MATCH(A59&amp;"",tbl_Production[Job Number],0),MATCH(IFERROR(A59+0,A59),tbl_Production[Job Number],0)))="","",INDEX(tbl_Production[Tax Code],IFERROR(MATCH(A59&amp;"",tbl_Production[Job Number],0),MATCH(IFERROR(A59+0,A59),tbl_Production[Job Number],0)))),IFERROR(IF(INDEX(tbl_Consulting[Tax Code],IFERROR(MATCH(A59&amp;"",tbl_Consulting[Job Number],0),MATCH(IFERROR(A59+0,A59),tbl_Consulting[Job Number],0)))="","",INDEX(tbl_Consulting[Tax Code],IFERROR(MATCH(A59&amp;"",tbl_Consulting[Job Number],0),MATCH(IFERROR(A59+0,A59),tbl_Consulting[Job Number],0)))),"")))))</f>
        <v/>
      </c>
      <c r="N59" s="26">
        <f>IF(D59="","",IFERROR(INDEX(lst_CCtoGL,MATCH(D59,lst_CCforGL,0)),""))</f>
        <v/>
      </c>
      <c r="O59" s="27">
        <f>IF(E59="","",IF(M59="GST 10%",ROUND(E59*set_GSTRate,2),0))</f>
        <v/>
      </c>
      <c r="P59" s="27">
        <f>IF(E59="","",E59+O59)</f>
        <v/>
      </c>
      <c r="Q59" s="27">
        <f>IF(A59="","",IFERROR(INDEX(tbl_Onsite[Expected Revenue Ex GST],IFERROR(MATCH(A59&amp;"",tbl_Onsite[Job Number],0),MATCH(IFERROR(A59+0,A59),tbl_Onsite[Job Number],0))),IFERROR(INDEX(tbl_Production[Expected Revenue Ex GST],IFERROR(MATCH(A59&amp;"",tbl_Production[Job Number],0),MATCH(IFERROR(A59+0,A59),tbl_Production[Job Number],0))),IFERROR(INDEX(tbl_Consulting[Expected Revenue Ex GST],IFERROR(MATCH(A59&amp;"",tbl_Consulting[Job Number],0),MATCH(IFERROR(A59+0,A59),tbl_Consulting[Job Number],0))),0))))</f>
        <v/>
      </c>
      <c r="R59" s="27">
        <f>IF(A59="","",SUMIFS(tbl_Finance[Ex GST],tbl_Finance[Job Number],A59&amp;""))</f>
        <v/>
      </c>
      <c r="S59" s="27">
        <f>IF(A59="","",Q59-R59)</f>
        <v/>
      </c>
      <c r="T59" s="26">
        <f>IF(A59="","",IF(Q59=0,"No dept value",IF(ROUND(S59,2)=0,"Agrees",IF(S59&gt;0,"Dept higher - to invoice","Xero higher - check dept"))))</f>
        <v/>
      </c>
      <c r="U59" s="22" t="n"/>
      <c r="V59" s="22" t="n"/>
      <c r="W59" s="23" t="n"/>
      <c r="X59" s="23" t="n"/>
      <c r="Y59" s="22" t="n"/>
      <c r="Z59" s="22" t="n"/>
      <c r="AA59" s="26">
        <f>IF(COUNTA(C59,A59,B59,E59)=0,"",IF(C59="","No date - sits outside every month",IF(A59="","No job number",IF(H59="CHECK","Job number is not in the Xero job list",IF(G59="not set up yet","No department has set this job up - nothing can pull through",IF(D59="","No cost centre",IF(AND(U59="Y",B59=""),"Marked posted to Xero but has no invoice number",IF(N59="","Cost centre has no revenue GL on the Lists sheet",IF(T59="Xero higher - check dept","Invoiced more than the department says the job is worth","")))))))))</f>
        <v/>
      </c>
      <c r="AB59" s="28">
        <f>IF(A59="","",COUNTIFS(tbl_Finance[Job Number],A59&amp;"",tbl_Finance[Ex GST],"&lt;&gt;"))</f>
        <v/>
      </c>
      <c r="AC59" s="27">
        <f>IF(A59="","",SUMIFS(tbl_Finance[Ex GST],tbl_Finance[Job Number],A59&amp;""))</f>
        <v/>
      </c>
      <c r="AD59" s="27">
        <f>IF(A59="","",SUMIFS(tbl_Finance[Ex GST],tbl_Finance[Job Number],A59&amp;"",tbl_Finance[Xero Invoice No],"&lt;&gt;"))</f>
        <v/>
      </c>
      <c r="AE59" s="27">
        <f>IF(A59="","",AC59-AD59)</f>
        <v/>
      </c>
      <c r="AF59" s="26">
        <f>IF(A59="","",IFERROR(IF(INDEX(tbl_Onsite[Qwilr Quote],IFERROR(MATCH(A59&amp;"",tbl_Onsite[Job Number],0),MATCH(IFERROR(A59+0,A59),tbl_Onsite[Job Number],0)))="","",INDEX(tbl_Onsite[Qwilr Quote],IFERROR(MATCH(A59&amp;"",tbl_Onsite[Job Number],0),MATCH(IFERROR(A59+0,A59),tbl_Onsite[Job Number],0)))),IFERROR(IF(IF(INDEX(tbl_Production[Current RMS No],IFERROR(MATCH(A59&amp;"",tbl_Production[Job Number],0),MATCH(IFERROR(A59+0,A59),tbl_Production[Job Number],0)))="",INDEX(tbl_Production[Qwilr Quote],IFERROR(MATCH(A59&amp;"",tbl_Production[Job Number],0),MATCH(IFERROR(A59+0,A59),tbl_Production[Job Number],0))),INDEX(tbl_Production[Current RMS No],IFERROR(MATCH(A59&amp;"",tbl_Production[Job Number],0),MATCH(IFERROR(A59+0,A59),tbl_Production[Job Number],0))))="","",IF(INDEX(tbl_Production[Current RMS No],IFERROR(MATCH(A59&amp;"",tbl_Production[Job Number],0),MATCH(IFERROR(A59+0,A59),tbl_Production[Job Number],0)))="",INDEX(tbl_Production[Qwilr Quote],IFERROR(MATCH(A59&amp;"",tbl_Production[Job Number],0),MATCH(IFERROR(A59+0,A59),tbl_Production[Job Number],0))),INDEX(tbl_Production[Current RMS No],IFERROR(MATCH(A59&amp;"",tbl_Production[Job Number],0),MATCH(IFERROR(A59+0,A59),tbl_Production[Job Number],0))))),IFERROR(IF(INDEX(tbl_Consulting[Qwilr Quote],IFERROR(MATCH(A59&amp;"",tbl_Consulting[Job Number],0),MATCH(IFERROR(A59+0,A59),tbl_Consulting[Job Number],0)))="","",INDEX(tbl_Consulting[Qwilr Quote],IFERROR(MATCH(A59&amp;"",tbl_Consulting[Job Number],0),MATCH(IFERROR(A59+0,A59),tbl_Consulting[Job Number],0)))),""))))</f>
        <v/>
      </c>
      <c r="AG59" s="26">
        <f>IF(AF59="","",IF(AND(LEFT(AF59,4)&lt;&gt;"http",IF(G59="Production",set_RMSBase,set_QwilrBase)=""),"",HYPERLINK(IF(LEFT(AF59,4)="http",AF59,IF(G59="Production",set_RMSBase,set_QwilrBase)&amp;AF59),"Open")))</f>
        <v/>
      </c>
      <c r="AH59" s="27">
        <f>IF(A59="","",IFERROR(INDEX(tbl_Production[Total Expense],IFERROR(MATCH(A59&amp;"",tbl_Production[Job Number],0),MATCH(IFERROR(A59+0,A59),tbl_Production[Job Number],0))),IFERROR(INDEX(tbl_Consulting[Total Expense],IFERROR(MATCH(A59&amp;"",tbl_Consulting[Job Number],0),MATCH(IFERROR(A59+0,A59),tbl_Consulting[Job Number],0))),0)))</f>
        <v/>
      </c>
      <c r="AI59" s="27">
        <f>IF(A59="","",AC59-N(AH59))</f>
        <v/>
      </c>
      <c r="AJ59" s="29">
        <f>IFERROR(AI59/AC59,"")</f>
        <v/>
      </c>
      <c r="AK59" s="26">
        <f>IF(A59="","",IFERROR(IF(INDEX(tbl_Onsite[Notes],IFERROR(MATCH(A59&amp;"",tbl_Onsite[Job Number],0),MATCH(IFERROR(A59+0,A59),tbl_Onsite[Job Number],0)))="","",INDEX(tbl_Onsite[Notes],IFERROR(MATCH(A59&amp;"",tbl_Onsite[Job Number],0),MATCH(IFERROR(A59+0,A59),tbl_Onsite[Job Number],0)))),IFERROR(IF(INDEX(tbl_Production[Notes],IFERROR(MATCH(A59&amp;"",tbl_Production[Job Number],0),MATCH(IFERROR(A59+0,A59),tbl_Production[Job Number],0)))="","",INDEX(tbl_Production[Notes],IFERROR(MATCH(A59&amp;"",tbl_Production[Job Number],0),MATCH(IFERROR(A59+0,A59),tbl_Production[Job Number],0)))),IFERROR(IF(INDEX(tbl_Consulting[Notes],IFERROR(MATCH(A59&amp;"",tbl_Consulting[Job Number],0),MATCH(IFERROR(A59+0,A59),tbl_Consulting[Job Number],0)))="","",INDEX(tbl_Consulting[Notes],IFERROR(MATCH(A59&amp;"",tbl_Consulting[Job Number],0),MATCH(IFERROR(A59+0,A59),tbl_Consulting[Job Number],0)))),""))))</f>
        <v/>
      </c>
    </row>
    <row r="60" ht="15" customHeight="1">
      <c r="A60" s="22" t="n"/>
      <c r="B60" s="22" t="n"/>
      <c r="C60" s="23" t="n"/>
      <c r="D60" s="22" t="n"/>
      <c r="E60" s="24" t="n"/>
      <c r="F60" s="25">
        <f>IF(C60="","",EOMONTH(C60,0))</f>
        <v/>
      </c>
      <c r="G60" s="26">
        <f>IF(A60="","",IF(COUNTIF(tbl_Onsite[Job Number],A60&amp;"")&gt;0,"Onsite",IF(COUNTIF(tbl_Production[Job Number],A60&amp;"")&gt;0,"Production",IF(COUNTIF(tbl_Consulting[Job Number],A60&amp;"")&gt;0,"Consulting","not set up yet"))))</f>
        <v/>
      </c>
      <c r="H60" s="26">
        <f>IF(A60="","",IF(COUNTIF(lst_Jobs,A60&amp;"")&gt;0,"OK","CHECK"))</f>
        <v/>
      </c>
      <c r="I60" s="26">
        <f>IF(A60="","",IFERROR(INDEX(lst_JobName,MATCH(A60&amp;"",lst_Jobs,0)),""))</f>
        <v/>
      </c>
      <c r="J60" s="26">
        <f>IF(A60="","",IFERROR(IF(INDEX(tbl_Onsite[Client],IFERROR(MATCH(A60&amp;"",tbl_Onsite[Job Number],0),MATCH(IFERROR(A60+0,A60),tbl_Onsite[Job Number],0)))="","",INDEX(tbl_Onsite[Client],IFERROR(MATCH(A60&amp;"",tbl_Onsite[Job Number],0),MATCH(IFERROR(A60+0,A60),tbl_Onsite[Job Number],0)))),IFERROR(IF(INDEX(tbl_Production[Client],IFERROR(MATCH(A60&amp;"",tbl_Production[Job Number],0),MATCH(IFERROR(A60+0,A60),tbl_Production[Job Number],0)))="","",INDEX(tbl_Production[Client],IFERROR(MATCH(A60&amp;"",tbl_Production[Job Number],0),MATCH(IFERROR(A60+0,A60),tbl_Production[Job Number],0)))),IFERROR(IF(INDEX(tbl_Consulting[Client],IFERROR(MATCH(A60&amp;"",tbl_Consulting[Job Number],0),MATCH(IFERROR(A60+0,A60),tbl_Consulting[Job Number],0)))="","",INDEX(tbl_Consulting[Client],IFERROR(MATCH(A60&amp;"",tbl_Consulting[Job Number],0),MATCH(IFERROR(A60+0,A60),tbl_Consulting[Job Number],0)))),""))))</f>
        <v/>
      </c>
      <c r="K60" s="26">
        <f>IF(A60="","",IFERROR(IF(INDEX(tbl_Onsite[Job Description],IFERROR(MATCH(A60&amp;"",tbl_Onsite[Job Number],0),MATCH(IFERROR(A60+0,A60),tbl_Onsite[Job Number],0)))="","",INDEX(tbl_Onsite[Job Description],IFERROR(MATCH(A60&amp;"",tbl_Onsite[Job Number],0),MATCH(IFERROR(A60+0,A60),tbl_Onsite[Job Number],0)))),IFERROR(IF(INDEX(tbl_Production[Job Description],IFERROR(MATCH(A60&amp;"",tbl_Production[Job Number],0),MATCH(IFERROR(A60+0,A60),tbl_Production[Job Number],0)))="","",INDEX(tbl_Production[Job Description],IFERROR(MATCH(A60&amp;"",tbl_Production[Job Number],0),MATCH(IFERROR(A60+0,A60),tbl_Production[Job Number],0)))),IFERROR(IF(INDEX(tbl_Consulting[Job Description],IFERROR(MATCH(A60&amp;"",tbl_Consulting[Job Number],0),MATCH(IFERROR(A60+0,A60),tbl_Consulting[Job Number],0)))="","",INDEX(tbl_Consulting[Job Description],IFERROR(MATCH(A60&amp;"",tbl_Consulting[Job Number],0),MATCH(IFERROR(A60+0,A60),tbl_Consulting[Job Number],0)))),""))))</f>
        <v/>
      </c>
      <c r="L60" s="26">
        <f>IF(A60="","",IFERROR(IF(INDEX(tbl_Onsite[Invoice Type],IFERROR(MATCH(A60&amp;"",tbl_Onsite[Job Number],0),MATCH(IFERROR(A60+0,A60),tbl_Onsite[Job Number],0)))="","",INDEX(tbl_Onsite[Invoice Type],IFERROR(MATCH(A60&amp;"",tbl_Onsite[Job Number],0),MATCH(IFERROR(A60+0,A60),tbl_Onsite[Job Number],0)))),IFERROR(IF(INDEX(tbl_Production[Invoice Type],IFERROR(MATCH(A60&amp;"",tbl_Production[Job Number],0),MATCH(IFERROR(A60+0,A60),tbl_Production[Job Number],0)))="","",INDEX(tbl_Production[Invoice Type],IFERROR(MATCH(A60&amp;"",tbl_Production[Job Number],0),MATCH(IFERROR(A60+0,A60),tbl_Production[Job Number],0)))),IFERROR(IF(INDEX(tbl_Consulting[Invoice Type],IFERROR(MATCH(A60&amp;"",tbl_Consulting[Job Number],0),MATCH(IFERROR(A60+0,A60),tbl_Consulting[Job Number],0)))="","",INDEX(tbl_Consulting[Invoice Type],IFERROR(MATCH(A60&amp;"",tbl_Consulting[Job Number],0),MATCH(IFERROR(A60+0,A60),tbl_Consulting[Job Number],0)))),""))))</f>
        <v/>
      </c>
      <c r="M60" s="26">
        <f>IF(A60="","",IF(IFERROR(IF(INDEX(tbl_Onsite[Tax Code],IFERROR(MATCH(A60&amp;"",tbl_Onsite[Job Number],0),MATCH(IFERROR(A60+0,A60),tbl_Onsite[Job Number],0)))="","",INDEX(tbl_Onsite[Tax Code],IFERROR(MATCH(A60&amp;"",tbl_Onsite[Job Number],0),MATCH(IFERROR(A60+0,A60),tbl_Onsite[Job Number],0)))),IFERROR(IF(INDEX(tbl_Production[Tax Code],IFERROR(MATCH(A60&amp;"",tbl_Production[Job Number],0),MATCH(IFERROR(A60+0,A60),tbl_Production[Job Number],0)))="","",INDEX(tbl_Production[Tax Code],IFERROR(MATCH(A60&amp;"",tbl_Production[Job Number],0),MATCH(IFERROR(A60+0,A60),tbl_Production[Job Number],0)))),IFERROR(IF(INDEX(tbl_Consulting[Tax Code],IFERROR(MATCH(A60&amp;"",tbl_Consulting[Job Number],0),MATCH(IFERROR(A60+0,A60),tbl_Consulting[Job Number],0)))="","",INDEX(tbl_Consulting[Tax Code],IFERROR(MATCH(A60&amp;"",tbl_Consulting[Job Number],0),MATCH(IFERROR(A60+0,A60),tbl_Consulting[Job Number],0)))),"")))="","GST 10%",IFERROR(IF(INDEX(tbl_Onsite[Tax Code],IFERROR(MATCH(A60&amp;"",tbl_Onsite[Job Number],0),MATCH(IFERROR(A60+0,A60),tbl_Onsite[Job Number],0)))="","",INDEX(tbl_Onsite[Tax Code],IFERROR(MATCH(A60&amp;"",tbl_Onsite[Job Number],0),MATCH(IFERROR(A60+0,A60),tbl_Onsite[Job Number],0)))),IFERROR(IF(INDEX(tbl_Production[Tax Code],IFERROR(MATCH(A60&amp;"",tbl_Production[Job Number],0),MATCH(IFERROR(A60+0,A60),tbl_Production[Job Number],0)))="","",INDEX(tbl_Production[Tax Code],IFERROR(MATCH(A60&amp;"",tbl_Production[Job Number],0),MATCH(IFERROR(A60+0,A60),tbl_Production[Job Number],0)))),IFERROR(IF(INDEX(tbl_Consulting[Tax Code],IFERROR(MATCH(A60&amp;"",tbl_Consulting[Job Number],0),MATCH(IFERROR(A60+0,A60),tbl_Consulting[Job Number],0)))="","",INDEX(tbl_Consulting[Tax Code],IFERROR(MATCH(A60&amp;"",tbl_Consulting[Job Number],0),MATCH(IFERROR(A60+0,A60),tbl_Consulting[Job Number],0)))),"")))))</f>
        <v/>
      </c>
      <c r="N60" s="26">
        <f>IF(D60="","",IFERROR(INDEX(lst_CCtoGL,MATCH(D60,lst_CCforGL,0)),""))</f>
        <v/>
      </c>
      <c r="O60" s="27">
        <f>IF(E60="","",IF(M60="GST 10%",ROUND(E60*set_GSTRate,2),0))</f>
        <v/>
      </c>
      <c r="P60" s="27">
        <f>IF(E60="","",E60+O60)</f>
        <v/>
      </c>
      <c r="Q60" s="27">
        <f>IF(A60="","",IFERROR(INDEX(tbl_Onsite[Expected Revenue Ex GST],IFERROR(MATCH(A60&amp;"",tbl_Onsite[Job Number],0),MATCH(IFERROR(A60+0,A60),tbl_Onsite[Job Number],0))),IFERROR(INDEX(tbl_Production[Expected Revenue Ex GST],IFERROR(MATCH(A60&amp;"",tbl_Production[Job Number],0),MATCH(IFERROR(A60+0,A60),tbl_Production[Job Number],0))),IFERROR(INDEX(tbl_Consulting[Expected Revenue Ex GST],IFERROR(MATCH(A60&amp;"",tbl_Consulting[Job Number],0),MATCH(IFERROR(A60+0,A60),tbl_Consulting[Job Number],0))),0))))</f>
        <v/>
      </c>
      <c r="R60" s="27">
        <f>IF(A60="","",SUMIFS(tbl_Finance[Ex GST],tbl_Finance[Job Number],A60&amp;""))</f>
        <v/>
      </c>
      <c r="S60" s="27">
        <f>IF(A60="","",Q60-R60)</f>
        <v/>
      </c>
      <c r="T60" s="26">
        <f>IF(A60="","",IF(Q60=0,"No dept value",IF(ROUND(S60,2)=0,"Agrees",IF(S60&gt;0,"Dept higher - to invoice","Xero higher - check dept"))))</f>
        <v/>
      </c>
      <c r="U60" s="22" t="n"/>
      <c r="V60" s="22" t="n"/>
      <c r="W60" s="23" t="n"/>
      <c r="X60" s="23" t="n"/>
      <c r="Y60" s="22" t="n"/>
      <c r="Z60" s="22" t="n"/>
      <c r="AA60" s="26">
        <f>IF(COUNTA(C60,A60,B60,E60)=0,"",IF(C60="","No date - sits outside every month",IF(A60="","No job number",IF(H60="CHECK","Job number is not in the Xero job list",IF(G60="not set up yet","No department has set this job up - nothing can pull through",IF(D60="","No cost centre",IF(AND(U60="Y",B60=""),"Marked posted to Xero but has no invoice number",IF(N60="","Cost centre has no revenue GL on the Lists sheet",IF(T60="Xero higher - check dept","Invoiced more than the department says the job is worth","")))))))))</f>
        <v/>
      </c>
      <c r="AB60" s="28">
        <f>IF(A60="","",COUNTIFS(tbl_Finance[Job Number],A60&amp;"",tbl_Finance[Ex GST],"&lt;&gt;"))</f>
        <v/>
      </c>
      <c r="AC60" s="27">
        <f>IF(A60="","",SUMIFS(tbl_Finance[Ex GST],tbl_Finance[Job Number],A60&amp;""))</f>
        <v/>
      </c>
      <c r="AD60" s="27">
        <f>IF(A60="","",SUMIFS(tbl_Finance[Ex GST],tbl_Finance[Job Number],A60&amp;"",tbl_Finance[Xero Invoice No],"&lt;&gt;"))</f>
        <v/>
      </c>
      <c r="AE60" s="27">
        <f>IF(A60="","",AC60-AD60)</f>
        <v/>
      </c>
      <c r="AF60" s="26">
        <f>IF(A60="","",IFERROR(IF(INDEX(tbl_Onsite[Qwilr Quote],IFERROR(MATCH(A60&amp;"",tbl_Onsite[Job Number],0),MATCH(IFERROR(A60+0,A60),tbl_Onsite[Job Number],0)))="","",INDEX(tbl_Onsite[Qwilr Quote],IFERROR(MATCH(A60&amp;"",tbl_Onsite[Job Number],0),MATCH(IFERROR(A60+0,A60),tbl_Onsite[Job Number],0)))),IFERROR(IF(IF(INDEX(tbl_Production[Current RMS No],IFERROR(MATCH(A60&amp;"",tbl_Production[Job Number],0),MATCH(IFERROR(A60+0,A60),tbl_Production[Job Number],0)))="",INDEX(tbl_Production[Qwilr Quote],IFERROR(MATCH(A60&amp;"",tbl_Production[Job Number],0),MATCH(IFERROR(A60+0,A60),tbl_Production[Job Number],0))),INDEX(tbl_Production[Current RMS No],IFERROR(MATCH(A60&amp;"",tbl_Production[Job Number],0),MATCH(IFERROR(A60+0,A60),tbl_Production[Job Number],0))))="","",IF(INDEX(tbl_Production[Current RMS No],IFERROR(MATCH(A60&amp;"",tbl_Production[Job Number],0),MATCH(IFERROR(A60+0,A60),tbl_Production[Job Number],0)))="",INDEX(tbl_Production[Qwilr Quote],IFERROR(MATCH(A60&amp;"",tbl_Production[Job Number],0),MATCH(IFERROR(A60+0,A60),tbl_Production[Job Number],0))),INDEX(tbl_Production[Current RMS No],IFERROR(MATCH(A60&amp;"",tbl_Production[Job Number],0),MATCH(IFERROR(A60+0,A60),tbl_Production[Job Number],0))))),IFERROR(IF(INDEX(tbl_Consulting[Qwilr Quote],IFERROR(MATCH(A60&amp;"",tbl_Consulting[Job Number],0),MATCH(IFERROR(A60+0,A60),tbl_Consulting[Job Number],0)))="","",INDEX(tbl_Consulting[Qwilr Quote],IFERROR(MATCH(A60&amp;"",tbl_Consulting[Job Number],0),MATCH(IFERROR(A60+0,A60),tbl_Consulting[Job Number],0)))),""))))</f>
        <v/>
      </c>
      <c r="AG60" s="26">
        <f>IF(AF60="","",IF(AND(LEFT(AF60,4)&lt;&gt;"http",IF(G60="Production",set_RMSBase,set_QwilrBase)=""),"",HYPERLINK(IF(LEFT(AF60,4)="http",AF60,IF(G60="Production",set_RMSBase,set_QwilrBase)&amp;AF60),"Open")))</f>
        <v/>
      </c>
      <c r="AH60" s="27">
        <f>IF(A60="","",IFERROR(INDEX(tbl_Production[Total Expense],IFERROR(MATCH(A60&amp;"",tbl_Production[Job Number],0),MATCH(IFERROR(A60+0,A60),tbl_Production[Job Number],0))),IFERROR(INDEX(tbl_Consulting[Total Expense],IFERROR(MATCH(A60&amp;"",tbl_Consulting[Job Number],0),MATCH(IFERROR(A60+0,A60),tbl_Consulting[Job Number],0))),0)))</f>
        <v/>
      </c>
      <c r="AI60" s="27">
        <f>IF(A60="","",AC60-N(AH60))</f>
        <v/>
      </c>
      <c r="AJ60" s="29">
        <f>IFERROR(AI60/AC60,"")</f>
        <v/>
      </c>
      <c r="AK60" s="26">
        <f>IF(A60="","",IFERROR(IF(INDEX(tbl_Onsite[Notes],IFERROR(MATCH(A60&amp;"",tbl_Onsite[Job Number],0),MATCH(IFERROR(A60+0,A60),tbl_Onsite[Job Number],0)))="","",INDEX(tbl_Onsite[Notes],IFERROR(MATCH(A60&amp;"",tbl_Onsite[Job Number],0),MATCH(IFERROR(A60+0,A60),tbl_Onsite[Job Number],0)))),IFERROR(IF(INDEX(tbl_Production[Notes],IFERROR(MATCH(A60&amp;"",tbl_Production[Job Number],0),MATCH(IFERROR(A60+0,A60),tbl_Production[Job Number],0)))="","",INDEX(tbl_Production[Notes],IFERROR(MATCH(A60&amp;"",tbl_Production[Job Number],0),MATCH(IFERROR(A60+0,A60),tbl_Production[Job Number],0)))),IFERROR(IF(INDEX(tbl_Consulting[Notes],IFERROR(MATCH(A60&amp;"",tbl_Consulting[Job Number],0),MATCH(IFERROR(A60+0,A60),tbl_Consulting[Job Number],0)))="","",INDEX(tbl_Consulting[Notes],IFERROR(MATCH(A60&amp;"",tbl_Consulting[Job Number],0),MATCH(IFERROR(A60+0,A60),tbl_Consulting[Job Number],0)))),""))))</f>
        <v/>
      </c>
    </row>
    <row r="61" ht="15" customHeight="1">
      <c r="A61" s="22" t="n"/>
      <c r="B61" s="22" t="n"/>
      <c r="C61" s="23" t="n"/>
      <c r="D61" s="22" t="n"/>
      <c r="E61" s="24" t="n"/>
      <c r="F61" s="25">
        <f>IF(C61="","",EOMONTH(C61,0))</f>
        <v/>
      </c>
      <c r="G61" s="26">
        <f>IF(A61="","",IF(COUNTIF(tbl_Onsite[Job Number],A61&amp;"")&gt;0,"Onsite",IF(COUNTIF(tbl_Production[Job Number],A61&amp;"")&gt;0,"Production",IF(COUNTIF(tbl_Consulting[Job Number],A61&amp;"")&gt;0,"Consulting","not set up yet"))))</f>
        <v/>
      </c>
      <c r="H61" s="26">
        <f>IF(A61="","",IF(COUNTIF(lst_Jobs,A61&amp;"")&gt;0,"OK","CHECK"))</f>
        <v/>
      </c>
      <c r="I61" s="26">
        <f>IF(A61="","",IFERROR(INDEX(lst_JobName,MATCH(A61&amp;"",lst_Jobs,0)),""))</f>
        <v/>
      </c>
      <c r="J61" s="26">
        <f>IF(A61="","",IFERROR(IF(INDEX(tbl_Onsite[Client],IFERROR(MATCH(A61&amp;"",tbl_Onsite[Job Number],0),MATCH(IFERROR(A61+0,A61),tbl_Onsite[Job Number],0)))="","",INDEX(tbl_Onsite[Client],IFERROR(MATCH(A61&amp;"",tbl_Onsite[Job Number],0),MATCH(IFERROR(A61+0,A61),tbl_Onsite[Job Number],0)))),IFERROR(IF(INDEX(tbl_Production[Client],IFERROR(MATCH(A61&amp;"",tbl_Production[Job Number],0),MATCH(IFERROR(A61+0,A61),tbl_Production[Job Number],0)))="","",INDEX(tbl_Production[Client],IFERROR(MATCH(A61&amp;"",tbl_Production[Job Number],0),MATCH(IFERROR(A61+0,A61),tbl_Production[Job Number],0)))),IFERROR(IF(INDEX(tbl_Consulting[Client],IFERROR(MATCH(A61&amp;"",tbl_Consulting[Job Number],0),MATCH(IFERROR(A61+0,A61),tbl_Consulting[Job Number],0)))="","",INDEX(tbl_Consulting[Client],IFERROR(MATCH(A61&amp;"",tbl_Consulting[Job Number],0),MATCH(IFERROR(A61+0,A61),tbl_Consulting[Job Number],0)))),""))))</f>
        <v/>
      </c>
      <c r="K61" s="26">
        <f>IF(A61="","",IFERROR(IF(INDEX(tbl_Onsite[Job Description],IFERROR(MATCH(A61&amp;"",tbl_Onsite[Job Number],0),MATCH(IFERROR(A61+0,A61),tbl_Onsite[Job Number],0)))="","",INDEX(tbl_Onsite[Job Description],IFERROR(MATCH(A61&amp;"",tbl_Onsite[Job Number],0),MATCH(IFERROR(A61+0,A61),tbl_Onsite[Job Number],0)))),IFERROR(IF(INDEX(tbl_Production[Job Description],IFERROR(MATCH(A61&amp;"",tbl_Production[Job Number],0),MATCH(IFERROR(A61+0,A61),tbl_Production[Job Number],0)))="","",INDEX(tbl_Production[Job Description],IFERROR(MATCH(A61&amp;"",tbl_Production[Job Number],0),MATCH(IFERROR(A61+0,A61),tbl_Production[Job Number],0)))),IFERROR(IF(INDEX(tbl_Consulting[Job Description],IFERROR(MATCH(A61&amp;"",tbl_Consulting[Job Number],0),MATCH(IFERROR(A61+0,A61),tbl_Consulting[Job Number],0)))="","",INDEX(tbl_Consulting[Job Description],IFERROR(MATCH(A61&amp;"",tbl_Consulting[Job Number],0),MATCH(IFERROR(A61+0,A61),tbl_Consulting[Job Number],0)))),""))))</f>
        <v/>
      </c>
      <c r="L61" s="26">
        <f>IF(A61="","",IFERROR(IF(INDEX(tbl_Onsite[Invoice Type],IFERROR(MATCH(A61&amp;"",tbl_Onsite[Job Number],0),MATCH(IFERROR(A61+0,A61),tbl_Onsite[Job Number],0)))="","",INDEX(tbl_Onsite[Invoice Type],IFERROR(MATCH(A61&amp;"",tbl_Onsite[Job Number],0),MATCH(IFERROR(A61+0,A61),tbl_Onsite[Job Number],0)))),IFERROR(IF(INDEX(tbl_Production[Invoice Type],IFERROR(MATCH(A61&amp;"",tbl_Production[Job Number],0),MATCH(IFERROR(A61+0,A61),tbl_Production[Job Number],0)))="","",INDEX(tbl_Production[Invoice Type],IFERROR(MATCH(A61&amp;"",tbl_Production[Job Number],0),MATCH(IFERROR(A61+0,A61),tbl_Production[Job Number],0)))),IFERROR(IF(INDEX(tbl_Consulting[Invoice Type],IFERROR(MATCH(A61&amp;"",tbl_Consulting[Job Number],0),MATCH(IFERROR(A61+0,A61),tbl_Consulting[Job Number],0)))="","",INDEX(tbl_Consulting[Invoice Type],IFERROR(MATCH(A61&amp;"",tbl_Consulting[Job Number],0),MATCH(IFERROR(A61+0,A61),tbl_Consulting[Job Number],0)))),""))))</f>
        <v/>
      </c>
      <c r="M61" s="26">
        <f>IF(A61="","",IF(IFERROR(IF(INDEX(tbl_Onsite[Tax Code],IFERROR(MATCH(A61&amp;"",tbl_Onsite[Job Number],0),MATCH(IFERROR(A61+0,A61),tbl_Onsite[Job Number],0)))="","",INDEX(tbl_Onsite[Tax Code],IFERROR(MATCH(A61&amp;"",tbl_Onsite[Job Number],0),MATCH(IFERROR(A61+0,A61),tbl_Onsite[Job Number],0)))),IFERROR(IF(INDEX(tbl_Production[Tax Code],IFERROR(MATCH(A61&amp;"",tbl_Production[Job Number],0),MATCH(IFERROR(A61+0,A61),tbl_Production[Job Number],0)))="","",INDEX(tbl_Production[Tax Code],IFERROR(MATCH(A61&amp;"",tbl_Production[Job Number],0),MATCH(IFERROR(A61+0,A61),tbl_Production[Job Number],0)))),IFERROR(IF(INDEX(tbl_Consulting[Tax Code],IFERROR(MATCH(A61&amp;"",tbl_Consulting[Job Number],0),MATCH(IFERROR(A61+0,A61),tbl_Consulting[Job Number],0)))="","",INDEX(tbl_Consulting[Tax Code],IFERROR(MATCH(A61&amp;"",tbl_Consulting[Job Number],0),MATCH(IFERROR(A61+0,A61),tbl_Consulting[Job Number],0)))),"")))="","GST 10%",IFERROR(IF(INDEX(tbl_Onsite[Tax Code],IFERROR(MATCH(A61&amp;"",tbl_Onsite[Job Number],0),MATCH(IFERROR(A61+0,A61),tbl_Onsite[Job Number],0)))="","",INDEX(tbl_Onsite[Tax Code],IFERROR(MATCH(A61&amp;"",tbl_Onsite[Job Number],0),MATCH(IFERROR(A61+0,A61),tbl_Onsite[Job Number],0)))),IFERROR(IF(INDEX(tbl_Production[Tax Code],IFERROR(MATCH(A61&amp;"",tbl_Production[Job Number],0),MATCH(IFERROR(A61+0,A61),tbl_Production[Job Number],0)))="","",INDEX(tbl_Production[Tax Code],IFERROR(MATCH(A61&amp;"",tbl_Production[Job Number],0),MATCH(IFERROR(A61+0,A61),tbl_Production[Job Number],0)))),IFERROR(IF(INDEX(tbl_Consulting[Tax Code],IFERROR(MATCH(A61&amp;"",tbl_Consulting[Job Number],0),MATCH(IFERROR(A61+0,A61),tbl_Consulting[Job Number],0)))="","",INDEX(tbl_Consulting[Tax Code],IFERROR(MATCH(A61&amp;"",tbl_Consulting[Job Number],0),MATCH(IFERROR(A61+0,A61),tbl_Consulting[Job Number],0)))),"")))))</f>
        <v/>
      </c>
      <c r="N61" s="26">
        <f>IF(D61="","",IFERROR(INDEX(lst_CCtoGL,MATCH(D61,lst_CCforGL,0)),""))</f>
        <v/>
      </c>
      <c r="O61" s="27">
        <f>IF(E61="","",IF(M61="GST 10%",ROUND(E61*set_GSTRate,2),0))</f>
        <v/>
      </c>
      <c r="P61" s="27">
        <f>IF(E61="","",E61+O61)</f>
        <v/>
      </c>
      <c r="Q61" s="27">
        <f>IF(A61="","",IFERROR(INDEX(tbl_Onsite[Expected Revenue Ex GST],IFERROR(MATCH(A61&amp;"",tbl_Onsite[Job Number],0),MATCH(IFERROR(A61+0,A61),tbl_Onsite[Job Number],0))),IFERROR(INDEX(tbl_Production[Expected Revenue Ex GST],IFERROR(MATCH(A61&amp;"",tbl_Production[Job Number],0),MATCH(IFERROR(A61+0,A61),tbl_Production[Job Number],0))),IFERROR(INDEX(tbl_Consulting[Expected Revenue Ex GST],IFERROR(MATCH(A61&amp;"",tbl_Consulting[Job Number],0),MATCH(IFERROR(A61+0,A61),tbl_Consulting[Job Number],0))),0))))</f>
        <v/>
      </c>
      <c r="R61" s="27">
        <f>IF(A61="","",SUMIFS(tbl_Finance[Ex GST],tbl_Finance[Job Number],A61&amp;""))</f>
        <v/>
      </c>
      <c r="S61" s="27">
        <f>IF(A61="","",Q61-R61)</f>
        <v/>
      </c>
      <c r="T61" s="26">
        <f>IF(A61="","",IF(Q61=0,"No dept value",IF(ROUND(S61,2)=0,"Agrees",IF(S61&gt;0,"Dept higher - to invoice","Xero higher - check dept"))))</f>
        <v/>
      </c>
      <c r="U61" s="22" t="n"/>
      <c r="V61" s="22" t="n"/>
      <c r="W61" s="23" t="n"/>
      <c r="X61" s="23" t="n"/>
      <c r="Y61" s="22" t="n"/>
      <c r="Z61" s="22" t="n"/>
      <c r="AA61" s="26">
        <f>IF(COUNTA(C61,A61,B61,E61)=0,"",IF(C61="","No date - sits outside every month",IF(A61="","No job number",IF(H61="CHECK","Job number is not in the Xero job list",IF(G61="not set up yet","No department has set this job up - nothing can pull through",IF(D61="","No cost centre",IF(AND(U61="Y",B61=""),"Marked posted to Xero but has no invoice number",IF(N61="","Cost centre has no revenue GL on the Lists sheet",IF(T61="Xero higher - check dept","Invoiced more than the department says the job is worth","")))))))))</f>
        <v/>
      </c>
      <c r="AB61" s="28">
        <f>IF(A61="","",COUNTIFS(tbl_Finance[Job Number],A61&amp;"",tbl_Finance[Ex GST],"&lt;&gt;"))</f>
        <v/>
      </c>
      <c r="AC61" s="27">
        <f>IF(A61="","",SUMIFS(tbl_Finance[Ex GST],tbl_Finance[Job Number],A61&amp;""))</f>
        <v/>
      </c>
      <c r="AD61" s="27">
        <f>IF(A61="","",SUMIFS(tbl_Finance[Ex GST],tbl_Finance[Job Number],A61&amp;"",tbl_Finance[Xero Invoice No],"&lt;&gt;"))</f>
        <v/>
      </c>
      <c r="AE61" s="27">
        <f>IF(A61="","",AC61-AD61)</f>
        <v/>
      </c>
      <c r="AF61" s="26">
        <f>IF(A61="","",IFERROR(IF(INDEX(tbl_Onsite[Qwilr Quote],IFERROR(MATCH(A61&amp;"",tbl_Onsite[Job Number],0),MATCH(IFERROR(A61+0,A61),tbl_Onsite[Job Number],0)))="","",INDEX(tbl_Onsite[Qwilr Quote],IFERROR(MATCH(A61&amp;"",tbl_Onsite[Job Number],0),MATCH(IFERROR(A61+0,A61),tbl_Onsite[Job Number],0)))),IFERROR(IF(IF(INDEX(tbl_Production[Current RMS No],IFERROR(MATCH(A61&amp;"",tbl_Production[Job Number],0),MATCH(IFERROR(A61+0,A61),tbl_Production[Job Number],0)))="",INDEX(tbl_Production[Qwilr Quote],IFERROR(MATCH(A61&amp;"",tbl_Production[Job Number],0),MATCH(IFERROR(A61+0,A61),tbl_Production[Job Number],0))),INDEX(tbl_Production[Current RMS No],IFERROR(MATCH(A61&amp;"",tbl_Production[Job Number],0),MATCH(IFERROR(A61+0,A61),tbl_Production[Job Number],0))))="","",IF(INDEX(tbl_Production[Current RMS No],IFERROR(MATCH(A61&amp;"",tbl_Production[Job Number],0),MATCH(IFERROR(A61+0,A61),tbl_Production[Job Number],0)))="",INDEX(tbl_Production[Qwilr Quote],IFERROR(MATCH(A61&amp;"",tbl_Production[Job Number],0),MATCH(IFERROR(A61+0,A61),tbl_Production[Job Number],0))),INDEX(tbl_Production[Current RMS No],IFERROR(MATCH(A61&amp;"",tbl_Production[Job Number],0),MATCH(IFERROR(A61+0,A61),tbl_Production[Job Number],0))))),IFERROR(IF(INDEX(tbl_Consulting[Qwilr Quote],IFERROR(MATCH(A61&amp;"",tbl_Consulting[Job Number],0),MATCH(IFERROR(A61+0,A61),tbl_Consulting[Job Number],0)))="","",INDEX(tbl_Consulting[Qwilr Quote],IFERROR(MATCH(A61&amp;"",tbl_Consulting[Job Number],0),MATCH(IFERROR(A61+0,A61),tbl_Consulting[Job Number],0)))),""))))</f>
        <v/>
      </c>
      <c r="AG61" s="26">
        <f>IF(AF61="","",IF(AND(LEFT(AF61,4)&lt;&gt;"http",IF(G61="Production",set_RMSBase,set_QwilrBase)=""),"",HYPERLINK(IF(LEFT(AF61,4)="http",AF61,IF(G61="Production",set_RMSBase,set_QwilrBase)&amp;AF61),"Open")))</f>
        <v/>
      </c>
      <c r="AH61" s="27">
        <f>IF(A61="","",IFERROR(INDEX(tbl_Production[Total Expense],IFERROR(MATCH(A61&amp;"",tbl_Production[Job Number],0),MATCH(IFERROR(A61+0,A61),tbl_Production[Job Number],0))),IFERROR(INDEX(tbl_Consulting[Total Expense],IFERROR(MATCH(A61&amp;"",tbl_Consulting[Job Number],0),MATCH(IFERROR(A61+0,A61),tbl_Consulting[Job Number],0))),0)))</f>
        <v/>
      </c>
      <c r="AI61" s="27">
        <f>IF(A61="","",AC61-N(AH61))</f>
        <v/>
      </c>
      <c r="AJ61" s="29">
        <f>IFERROR(AI61/AC61,"")</f>
        <v/>
      </c>
      <c r="AK61" s="26">
        <f>IF(A61="","",IFERROR(IF(INDEX(tbl_Onsite[Notes],IFERROR(MATCH(A61&amp;"",tbl_Onsite[Job Number],0),MATCH(IFERROR(A61+0,A61),tbl_Onsite[Job Number],0)))="","",INDEX(tbl_Onsite[Notes],IFERROR(MATCH(A61&amp;"",tbl_Onsite[Job Number],0),MATCH(IFERROR(A61+0,A61),tbl_Onsite[Job Number],0)))),IFERROR(IF(INDEX(tbl_Production[Notes],IFERROR(MATCH(A61&amp;"",tbl_Production[Job Number],0),MATCH(IFERROR(A61+0,A61),tbl_Production[Job Number],0)))="","",INDEX(tbl_Production[Notes],IFERROR(MATCH(A61&amp;"",tbl_Production[Job Number],0),MATCH(IFERROR(A61+0,A61),tbl_Production[Job Number],0)))),IFERROR(IF(INDEX(tbl_Consulting[Notes],IFERROR(MATCH(A61&amp;"",tbl_Consulting[Job Number],0),MATCH(IFERROR(A61+0,A61),tbl_Consulting[Job Number],0)))="","",INDEX(tbl_Consulting[Notes],IFERROR(MATCH(A61&amp;"",tbl_Consulting[Job Number],0),MATCH(IFERROR(A61+0,A61),tbl_Consulting[Job Number],0)))),""))))</f>
        <v/>
      </c>
    </row>
    <row r="62" ht="15" customHeight="1">
      <c r="A62" s="22" t="n"/>
      <c r="B62" s="22" t="n"/>
      <c r="C62" s="23" t="n"/>
      <c r="D62" s="22" t="n"/>
      <c r="E62" s="24" t="n"/>
      <c r="F62" s="25">
        <f>IF(C62="","",EOMONTH(C62,0))</f>
        <v/>
      </c>
      <c r="G62" s="26">
        <f>IF(A62="","",IF(COUNTIF(tbl_Onsite[Job Number],A62&amp;"")&gt;0,"Onsite",IF(COUNTIF(tbl_Production[Job Number],A62&amp;"")&gt;0,"Production",IF(COUNTIF(tbl_Consulting[Job Number],A62&amp;"")&gt;0,"Consulting","not set up yet"))))</f>
        <v/>
      </c>
      <c r="H62" s="26">
        <f>IF(A62="","",IF(COUNTIF(lst_Jobs,A62&amp;"")&gt;0,"OK","CHECK"))</f>
        <v/>
      </c>
      <c r="I62" s="26">
        <f>IF(A62="","",IFERROR(INDEX(lst_JobName,MATCH(A62&amp;"",lst_Jobs,0)),""))</f>
        <v/>
      </c>
      <c r="J62" s="26">
        <f>IF(A62="","",IFERROR(IF(INDEX(tbl_Onsite[Client],IFERROR(MATCH(A62&amp;"",tbl_Onsite[Job Number],0),MATCH(IFERROR(A62+0,A62),tbl_Onsite[Job Number],0)))="","",INDEX(tbl_Onsite[Client],IFERROR(MATCH(A62&amp;"",tbl_Onsite[Job Number],0),MATCH(IFERROR(A62+0,A62),tbl_Onsite[Job Number],0)))),IFERROR(IF(INDEX(tbl_Production[Client],IFERROR(MATCH(A62&amp;"",tbl_Production[Job Number],0),MATCH(IFERROR(A62+0,A62),tbl_Production[Job Number],0)))="","",INDEX(tbl_Production[Client],IFERROR(MATCH(A62&amp;"",tbl_Production[Job Number],0),MATCH(IFERROR(A62+0,A62),tbl_Production[Job Number],0)))),IFERROR(IF(INDEX(tbl_Consulting[Client],IFERROR(MATCH(A62&amp;"",tbl_Consulting[Job Number],0),MATCH(IFERROR(A62+0,A62),tbl_Consulting[Job Number],0)))="","",INDEX(tbl_Consulting[Client],IFERROR(MATCH(A62&amp;"",tbl_Consulting[Job Number],0),MATCH(IFERROR(A62+0,A62),tbl_Consulting[Job Number],0)))),""))))</f>
        <v/>
      </c>
      <c r="K62" s="26">
        <f>IF(A62="","",IFERROR(IF(INDEX(tbl_Onsite[Job Description],IFERROR(MATCH(A62&amp;"",tbl_Onsite[Job Number],0),MATCH(IFERROR(A62+0,A62),tbl_Onsite[Job Number],0)))="","",INDEX(tbl_Onsite[Job Description],IFERROR(MATCH(A62&amp;"",tbl_Onsite[Job Number],0),MATCH(IFERROR(A62+0,A62),tbl_Onsite[Job Number],0)))),IFERROR(IF(INDEX(tbl_Production[Job Description],IFERROR(MATCH(A62&amp;"",tbl_Production[Job Number],0),MATCH(IFERROR(A62+0,A62),tbl_Production[Job Number],0)))="","",INDEX(tbl_Production[Job Description],IFERROR(MATCH(A62&amp;"",tbl_Production[Job Number],0),MATCH(IFERROR(A62+0,A62),tbl_Production[Job Number],0)))),IFERROR(IF(INDEX(tbl_Consulting[Job Description],IFERROR(MATCH(A62&amp;"",tbl_Consulting[Job Number],0),MATCH(IFERROR(A62+0,A62),tbl_Consulting[Job Number],0)))="","",INDEX(tbl_Consulting[Job Description],IFERROR(MATCH(A62&amp;"",tbl_Consulting[Job Number],0),MATCH(IFERROR(A62+0,A62),tbl_Consulting[Job Number],0)))),""))))</f>
        <v/>
      </c>
      <c r="L62" s="26">
        <f>IF(A62="","",IFERROR(IF(INDEX(tbl_Onsite[Invoice Type],IFERROR(MATCH(A62&amp;"",tbl_Onsite[Job Number],0),MATCH(IFERROR(A62+0,A62),tbl_Onsite[Job Number],0)))="","",INDEX(tbl_Onsite[Invoice Type],IFERROR(MATCH(A62&amp;"",tbl_Onsite[Job Number],0),MATCH(IFERROR(A62+0,A62),tbl_Onsite[Job Number],0)))),IFERROR(IF(INDEX(tbl_Production[Invoice Type],IFERROR(MATCH(A62&amp;"",tbl_Production[Job Number],0),MATCH(IFERROR(A62+0,A62),tbl_Production[Job Number],0)))="","",INDEX(tbl_Production[Invoice Type],IFERROR(MATCH(A62&amp;"",tbl_Production[Job Number],0),MATCH(IFERROR(A62+0,A62),tbl_Production[Job Number],0)))),IFERROR(IF(INDEX(tbl_Consulting[Invoice Type],IFERROR(MATCH(A62&amp;"",tbl_Consulting[Job Number],0),MATCH(IFERROR(A62+0,A62),tbl_Consulting[Job Number],0)))="","",INDEX(tbl_Consulting[Invoice Type],IFERROR(MATCH(A62&amp;"",tbl_Consulting[Job Number],0),MATCH(IFERROR(A62+0,A62),tbl_Consulting[Job Number],0)))),""))))</f>
        <v/>
      </c>
      <c r="M62" s="26">
        <f>IF(A62="","",IF(IFERROR(IF(INDEX(tbl_Onsite[Tax Code],IFERROR(MATCH(A62&amp;"",tbl_Onsite[Job Number],0),MATCH(IFERROR(A62+0,A62),tbl_Onsite[Job Number],0)))="","",INDEX(tbl_Onsite[Tax Code],IFERROR(MATCH(A62&amp;"",tbl_Onsite[Job Number],0),MATCH(IFERROR(A62+0,A62),tbl_Onsite[Job Number],0)))),IFERROR(IF(INDEX(tbl_Production[Tax Code],IFERROR(MATCH(A62&amp;"",tbl_Production[Job Number],0),MATCH(IFERROR(A62+0,A62),tbl_Production[Job Number],0)))="","",INDEX(tbl_Production[Tax Code],IFERROR(MATCH(A62&amp;"",tbl_Production[Job Number],0),MATCH(IFERROR(A62+0,A62),tbl_Production[Job Number],0)))),IFERROR(IF(INDEX(tbl_Consulting[Tax Code],IFERROR(MATCH(A62&amp;"",tbl_Consulting[Job Number],0),MATCH(IFERROR(A62+0,A62),tbl_Consulting[Job Number],0)))="","",INDEX(tbl_Consulting[Tax Code],IFERROR(MATCH(A62&amp;"",tbl_Consulting[Job Number],0),MATCH(IFERROR(A62+0,A62),tbl_Consulting[Job Number],0)))),"")))="","GST 10%",IFERROR(IF(INDEX(tbl_Onsite[Tax Code],IFERROR(MATCH(A62&amp;"",tbl_Onsite[Job Number],0),MATCH(IFERROR(A62+0,A62),tbl_Onsite[Job Number],0)))="","",INDEX(tbl_Onsite[Tax Code],IFERROR(MATCH(A62&amp;"",tbl_Onsite[Job Number],0),MATCH(IFERROR(A62+0,A62),tbl_Onsite[Job Number],0)))),IFERROR(IF(INDEX(tbl_Production[Tax Code],IFERROR(MATCH(A62&amp;"",tbl_Production[Job Number],0),MATCH(IFERROR(A62+0,A62),tbl_Production[Job Number],0)))="","",INDEX(tbl_Production[Tax Code],IFERROR(MATCH(A62&amp;"",tbl_Production[Job Number],0),MATCH(IFERROR(A62+0,A62),tbl_Production[Job Number],0)))),IFERROR(IF(INDEX(tbl_Consulting[Tax Code],IFERROR(MATCH(A62&amp;"",tbl_Consulting[Job Number],0),MATCH(IFERROR(A62+0,A62),tbl_Consulting[Job Number],0)))="","",INDEX(tbl_Consulting[Tax Code],IFERROR(MATCH(A62&amp;"",tbl_Consulting[Job Number],0),MATCH(IFERROR(A62+0,A62),tbl_Consulting[Job Number],0)))),"")))))</f>
        <v/>
      </c>
      <c r="N62" s="26">
        <f>IF(D62="","",IFERROR(INDEX(lst_CCtoGL,MATCH(D62,lst_CCforGL,0)),""))</f>
        <v/>
      </c>
      <c r="O62" s="27">
        <f>IF(E62="","",IF(M62="GST 10%",ROUND(E62*set_GSTRate,2),0))</f>
        <v/>
      </c>
      <c r="P62" s="27">
        <f>IF(E62="","",E62+O62)</f>
        <v/>
      </c>
      <c r="Q62" s="27">
        <f>IF(A62="","",IFERROR(INDEX(tbl_Onsite[Expected Revenue Ex GST],IFERROR(MATCH(A62&amp;"",tbl_Onsite[Job Number],0),MATCH(IFERROR(A62+0,A62),tbl_Onsite[Job Number],0))),IFERROR(INDEX(tbl_Production[Expected Revenue Ex GST],IFERROR(MATCH(A62&amp;"",tbl_Production[Job Number],0),MATCH(IFERROR(A62+0,A62),tbl_Production[Job Number],0))),IFERROR(INDEX(tbl_Consulting[Expected Revenue Ex GST],IFERROR(MATCH(A62&amp;"",tbl_Consulting[Job Number],0),MATCH(IFERROR(A62+0,A62),tbl_Consulting[Job Number],0))),0))))</f>
        <v/>
      </c>
      <c r="R62" s="27">
        <f>IF(A62="","",SUMIFS(tbl_Finance[Ex GST],tbl_Finance[Job Number],A62&amp;""))</f>
        <v/>
      </c>
      <c r="S62" s="27">
        <f>IF(A62="","",Q62-R62)</f>
        <v/>
      </c>
      <c r="T62" s="26">
        <f>IF(A62="","",IF(Q62=0,"No dept value",IF(ROUND(S62,2)=0,"Agrees",IF(S62&gt;0,"Dept higher - to invoice","Xero higher - check dept"))))</f>
        <v/>
      </c>
      <c r="U62" s="22" t="n"/>
      <c r="V62" s="22" t="n"/>
      <c r="W62" s="23" t="n"/>
      <c r="X62" s="23" t="n"/>
      <c r="Y62" s="22" t="n"/>
      <c r="Z62" s="22" t="n"/>
      <c r="AA62" s="26">
        <f>IF(COUNTA(C62,A62,B62,E62)=0,"",IF(C62="","No date - sits outside every month",IF(A62="","No job number",IF(H62="CHECK","Job number is not in the Xero job list",IF(G62="not set up yet","No department has set this job up - nothing can pull through",IF(D62="","No cost centre",IF(AND(U62="Y",B62=""),"Marked posted to Xero but has no invoice number",IF(N62="","Cost centre has no revenue GL on the Lists sheet",IF(T62="Xero higher - check dept","Invoiced more than the department says the job is worth","")))))))))</f>
        <v/>
      </c>
      <c r="AB62" s="28">
        <f>IF(A62="","",COUNTIFS(tbl_Finance[Job Number],A62&amp;"",tbl_Finance[Ex GST],"&lt;&gt;"))</f>
        <v/>
      </c>
      <c r="AC62" s="27">
        <f>IF(A62="","",SUMIFS(tbl_Finance[Ex GST],tbl_Finance[Job Number],A62&amp;""))</f>
        <v/>
      </c>
      <c r="AD62" s="27">
        <f>IF(A62="","",SUMIFS(tbl_Finance[Ex GST],tbl_Finance[Job Number],A62&amp;"",tbl_Finance[Xero Invoice No],"&lt;&gt;"))</f>
        <v/>
      </c>
      <c r="AE62" s="27">
        <f>IF(A62="","",AC62-AD62)</f>
        <v/>
      </c>
      <c r="AF62" s="26">
        <f>IF(A62="","",IFERROR(IF(INDEX(tbl_Onsite[Qwilr Quote],IFERROR(MATCH(A62&amp;"",tbl_Onsite[Job Number],0),MATCH(IFERROR(A62+0,A62),tbl_Onsite[Job Number],0)))="","",INDEX(tbl_Onsite[Qwilr Quote],IFERROR(MATCH(A62&amp;"",tbl_Onsite[Job Number],0),MATCH(IFERROR(A62+0,A62),tbl_Onsite[Job Number],0)))),IFERROR(IF(IF(INDEX(tbl_Production[Current RMS No],IFERROR(MATCH(A62&amp;"",tbl_Production[Job Number],0),MATCH(IFERROR(A62+0,A62),tbl_Production[Job Number],0)))="",INDEX(tbl_Production[Qwilr Quote],IFERROR(MATCH(A62&amp;"",tbl_Production[Job Number],0),MATCH(IFERROR(A62+0,A62),tbl_Production[Job Number],0))),INDEX(tbl_Production[Current RMS No],IFERROR(MATCH(A62&amp;"",tbl_Production[Job Number],0),MATCH(IFERROR(A62+0,A62),tbl_Production[Job Number],0))))="","",IF(INDEX(tbl_Production[Current RMS No],IFERROR(MATCH(A62&amp;"",tbl_Production[Job Number],0),MATCH(IFERROR(A62+0,A62),tbl_Production[Job Number],0)))="",INDEX(tbl_Production[Qwilr Quote],IFERROR(MATCH(A62&amp;"",tbl_Production[Job Number],0),MATCH(IFERROR(A62+0,A62),tbl_Production[Job Number],0))),INDEX(tbl_Production[Current RMS No],IFERROR(MATCH(A62&amp;"",tbl_Production[Job Number],0),MATCH(IFERROR(A62+0,A62),tbl_Production[Job Number],0))))),IFERROR(IF(INDEX(tbl_Consulting[Qwilr Quote],IFERROR(MATCH(A62&amp;"",tbl_Consulting[Job Number],0),MATCH(IFERROR(A62+0,A62),tbl_Consulting[Job Number],0)))="","",INDEX(tbl_Consulting[Qwilr Quote],IFERROR(MATCH(A62&amp;"",tbl_Consulting[Job Number],0),MATCH(IFERROR(A62+0,A62),tbl_Consulting[Job Number],0)))),""))))</f>
        <v/>
      </c>
      <c r="AG62" s="26">
        <f>IF(AF62="","",IF(AND(LEFT(AF62,4)&lt;&gt;"http",IF(G62="Production",set_RMSBase,set_QwilrBase)=""),"",HYPERLINK(IF(LEFT(AF62,4)="http",AF62,IF(G62="Production",set_RMSBase,set_QwilrBase)&amp;AF62),"Open")))</f>
        <v/>
      </c>
      <c r="AH62" s="27">
        <f>IF(A62="","",IFERROR(INDEX(tbl_Production[Total Expense],IFERROR(MATCH(A62&amp;"",tbl_Production[Job Number],0),MATCH(IFERROR(A62+0,A62),tbl_Production[Job Number],0))),IFERROR(INDEX(tbl_Consulting[Total Expense],IFERROR(MATCH(A62&amp;"",tbl_Consulting[Job Number],0),MATCH(IFERROR(A62+0,A62),tbl_Consulting[Job Number],0))),0)))</f>
        <v/>
      </c>
      <c r="AI62" s="27">
        <f>IF(A62="","",AC62-N(AH62))</f>
        <v/>
      </c>
      <c r="AJ62" s="29">
        <f>IFERROR(AI62/AC62,"")</f>
        <v/>
      </c>
      <c r="AK62" s="26">
        <f>IF(A62="","",IFERROR(IF(INDEX(tbl_Onsite[Notes],IFERROR(MATCH(A62&amp;"",tbl_Onsite[Job Number],0),MATCH(IFERROR(A62+0,A62),tbl_Onsite[Job Number],0)))="","",INDEX(tbl_Onsite[Notes],IFERROR(MATCH(A62&amp;"",tbl_Onsite[Job Number],0),MATCH(IFERROR(A62+0,A62),tbl_Onsite[Job Number],0)))),IFERROR(IF(INDEX(tbl_Production[Notes],IFERROR(MATCH(A62&amp;"",tbl_Production[Job Number],0),MATCH(IFERROR(A62+0,A62),tbl_Production[Job Number],0)))="","",INDEX(tbl_Production[Notes],IFERROR(MATCH(A62&amp;"",tbl_Production[Job Number],0),MATCH(IFERROR(A62+0,A62),tbl_Production[Job Number],0)))),IFERROR(IF(INDEX(tbl_Consulting[Notes],IFERROR(MATCH(A62&amp;"",tbl_Consulting[Job Number],0),MATCH(IFERROR(A62+0,A62),tbl_Consulting[Job Number],0)))="","",INDEX(tbl_Consulting[Notes],IFERROR(MATCH(A62&amp;"",tbl_Consulting[Job Number],0),MATCH(IFERROR(A62+0,A62),tbl_Consulting[Job Number],0)))),""))))</f>
        <v/>
      </c>
    </row>
    <row r="63" ht="15" customHeight="1">
      <c r="A63" s="22" t="n"/>
      <c r="B63" s="22" t="n"/>
      <c r="C63" s="23" t="n"/>
      <c r="D63" s="22" t="n"/>
      <c r="E63" s="24" t="n"/>
      <c r="F63" s="25">
        <f>IF(C63="","",EOMONTH(C63,0))</f>
        <v/>
      </c>
      <c r="G63" s="26">
        <f>IF(A63="","",IF(COUNTIF(tbl_Onsite[Job Number],A63&amp;"")&gt;0,"Onsite",IF(COUNTIF(tbl_Production[Job Number],A63&amp;"")&gt;0,"Production",IF(COUNTIF(tbl_Consulting[Job Number],A63&amp;"")&gt;0,"Consulting","not set up yet"))))</f>
        <v/>
      </c>
      <c r="H63" s="26">
        <f>IF(A63="","",IF(COUNTIF(lst_Jobs,A63&amp;"")&gt;0,"OK","CHECK"))</f>
        <v/>
      </c>
      <c r="I63" s="26">
        <f>IF(A63="","",IFERROR(INDEX(lst_JobName,MATCH(A63&amp;"",lst_Jobs,0)),""))</f>
        <v/>
      </c>
      <c r="J63" s="26">
        <f>IF(A63="","",IFERROR(IF(INDEX(tbl_Onsite[Client],IFERROR(MATCH(A63&amp;"",tbl_Onsite[Job Number],0),MATCH(IFERROR(A63+0,A63),tbl_Onsite[Job Number],0)))="","",INDEX(tbl_Onsite[Client],IFERROR(MATCH(A63&amp;"",tbl_Onsite[Job Number],0),MATCH(IFERROR(A63+0,A63),tbl_Onsite[Job Number],0)))),IFERROR(IF(INDEX(tbl_Production[Client],IFERROR(MATCH(A63&amp;"",tbl_Production[Job Number],0),MATCH(IFERROR(A63+0,A63),tbl_Production[Job Number],0)))="","",INDEX(tbl_Production[Client],IFERROR(MATCH(A63&amp;"",tbl_Production[Job Number],0),MATCH(IFERROR(A63+0,A63),tbl_Production[Job Number],0)))),IFERROR(IF(INDEX(tbl_Consulting[Client],IFERROR(MATCH(A63&amp;"",tbl_Consulting[Job Number],0),MATCH(IFERROR(A63+0,A63),tbl_Consulting[Job Number],0)))="","",INDEX(tbl_Consulting[Client],IFERROR(MATCH(A63&amp;"",tbl_Consulting[Job Number],0),MATCH(IFERROR(A63+0,A63),tbl_Consulting[Job Number],0)))),""))))</f>
        <v/>
      </c>
      <c r="K63" s="26">
        <f>IF(A63="","",IFERROR(IF(INDEX(tbl_Onsite[Job Description],IFERROR(MATCH(A63&amp;"",tbl_Onsite[Job Number],0),MATCH(IFERROR(A63+0,A63),tbl_Onsite[Job Number],0)))="","",INDEX(tbl_Onsite[Job Description],IFERROR(MATCH(A63&amp;"",tbl_Onsite[Job Number],0),MATCH(IFERROR(A63+0,A63),tbl_Onsite[Job Number],0)))),IFERROR(IF(INDEX(tbl_Production[Job Description],IFERROR(MATCH(A63&amp;"",tbl_Production[Job Number],0),MATCH(IFERROR(A63+0,A63),tbl_Production[Job Number],0)))="","",INDEX(tbl_Production[Job Description],IFERROR(MATCH(A63&amp;"",tbl_Production[Job Number],0),MATCH(IFERROR(A63+0,A63),tbl_Production[Job Number],0)))),IFERROR(IF(INDEX(tbl_Consulting[Job Description],IFERROR(MATCH(A63&amp;"",tbl_Consulting[Job Number],0),MATCH(IFERROR(A63+0,A63),tbl_Consulting[Job Number],0)))="","",INDEX(tbl_Consulting[Job Description],IFERROR(MATCH(A63&amp;"",tbl_Consulting[Job Number],0),MATCH(IFERROR(A63+0,A63),tbl_Consulting[Job Number],0)))),""))))</f>
        <v/>
      </c>
      <c r="L63" s="26">
        <f>IF(A63="","",IFERROR(IF(INDEX(tbl_Onsite[Invoice Type],IFERROR(MATCH(A63&amp;"",tbl_Onsite[Job Number],0),MATCH(IFERROR(A63+0,A63),tbl_Onsite[Job Number],0)))="","",INDEX(tbl_Onsite[Invoice Type],IFERROR(MATCH(A63&amp;"",tbl_Onsite[Job Number],0),MATCH(IFERROR(A63+0,A63),tbl_Onsite[Job Number],0)))),IFERROR(IF(INDEX(tbl_Production[Invoice Type],IFERROR(MATCH(A63&amp;"",tbl_Production[Job Number],0),MATCH(IFERROR(A63+0,A63),tbl_Production[Job Number],0)))="","",INDEX(tbl_Production[Invoice Type],IFERROR(MATCH(A63&amp;"",tbl_Production[Job Number],0),MATCH(IFERROR(A63+0,A63),tbl_Production[Job Number],0)))),IFERROR(IF(INDEX(tbl_Consulting[Invoice Type],IFERROR(MATCH(A63&amp;"",tbl_Consulting[Job Number],0),MATCH(IFERROR(A63+0,A63),tbl_Consulting[Job Number],0)))="","",INDEX(tbl_Consulting[Invoice Type],IFERROR(MATCH(A63&amp;"",tbl_Consulting[Job Number],0),MATCH(IFERROR(A63+0,A63),tbl_Consulting[Job Number],0)))),""))))</f>
        <v/>
      </c>
      <c r="M63" s="26">
        <f>IF(A63="","",IF(IFERROR(IF(INDEX(tbl_Onsite[Tax Code],IFERROR(MATCH(A63&amp;"",tbl_Onsite[Job Number],0),MATCH(IFERROR(A63+0,A63),tbl_Onsite[Job Number],0)))="","",INDEX(tbl_Onsite[Tax Code],IFERROR(MATCH(A63&amp;"",tbl_Onsite[Job Number],0),MATCH(IFERROR(A63+0,A63),tbl_Onsite[Job Number],0)))),IFERROR(IF(INDEX(tbl_Production[Tax Code],IFERROR(MATCH(A63&amp;"",tbl_Production[Job Number],0),MATCH(IFERROR(A63+0,A63),tbl_Production[Job Number],0)))="","",INDEX(tbl_Production[Tax Code],IFERROR(MATCH(A63&amp;"",tbl_Production[Job Number],0),MATCH(IFERROR(A63+0,A63),tbl_Production[Job Number],0)))),IFERROR(IF(INDEX(tbl_Consulting[Tax Code],IFERROR(MATCH(A63&amp;"",tbl_Consulting[Job Number],0),MATCH(IFERROR(A63+0,A63),tbl_Consulting[Job Number],0)))="","",INDEX(tbl_Consulting[Tax Code],IFERROR(MATCH(A63&amp;"",tbl_Consulting[Job Number],0),MATCH(IFERROR(A63+0,A63),tbl_Consulting[Job Number],0)))),"")))="","GST 10%",IFERROR(IF(INDEX(tbl_Onsite[Tax Code],IFERROR(MATCH(A63&amp;"",tbl_Onsite[Job Number],0),MATCH(IFERROR(A63+0,A63),tbl_Onsite[Job Number],0)))="","",INDEX(tbl_Onsite[Tax Code],IFERROR(MATCH(A63&amp;"",tbl_Onsite[Job Number],0),MATCH(IFERROR(A63+0,A63),tbl_Onsite[Job Number],0)))),IFERROR(IF(INDEX(tbl_Production[Tax Code],IFERROR(MATCH(A63&amp;"",tbl_Production[Job Number],0),MATCH(IFERROR(A63+0,A63),tbl_Production[Job Number],0)))="","",INDEX(tbl_Production[Tax Code],IFERROR(MATCH(A63&amp;"",tbl_Production[Job Number],0),MATCH(IFERROR(A63+0,A63),tbl_Production[Job Number],0)))),IFERROR(IF(INDEX(tbl_Consulting[Tax Code],IFERROR(MATCH(A63&amp;"",tbl_Consulting[Job Number],0),MATCH(IFERROR(A63+0,A63),tbl_Consulting[Job Number],0)))="","",INDEX(tbl_Consulting[Tax Code],IFERROR(MATCH(A63&amp;"",tbl_Consulting[Job Number],0),MATCH(IFERROR(A63+0,A63),tbl_Consulting[Job Number],0)))),"")))))</f>
        <v/>
      </c>
      <c r="N63" s="26">
        <f>IF(D63="","",IFERROR(INDEX(lst_CCtoGL,MATCH(D63,lst_CCforGL,0)),""))</f>
        <v/>
      </c>
      <c r="O63" s="27">
        <f>IF(E63="","",IF(M63="GST 10%",ROUND(E63*set_GSTRate,2),0))</f>
        <v/>
      </c>
      <c r="P63" s="27">
        <f>IF(E63="","",E63+O63)</f>
        <v/>
      </c>
      <c r="Q63" s="27">
        <f>IF(A63="","",IFERROR(INDEX(tbl_Onsite[Expected Revenue Ex GST],IFERROR(MATCH(A63&amp;"",tbl_Onsite[Job Number],0),MATCH(IFERROR(A63+0,A63),tbl_Onsite[Job Number],0))),IFERROR(INDEX(tbl_Production[Expected Revenue Ex GST],IFERROR(MATCH(A63&amp;"",tbl_Production[Job Number],0),MATCH(IFERROR(A63+0,A63),tbl_Production[Job Number],0))),IFERROR(INDEX(tbl_Consulting[Expected Revenue Ex GST],IFERROR(MATCH(A63&amp;"",tbl_Consulting[Job Number],0),MATCH(IFERROR(A63+0,A63),tbl_Consulting[Job Number],0))),0))))</f>
        <v/>
      </c>
      <c r="R63" s="27">
        <f>IF(A63="","",SUMIFS(tbl_Finance[Ex GST],tbl_Finance[Job Number],A63&amp;""))</f>
        <v/>
      </c>
      <c r="S63" s="27">
        <f>IF(A63="","",Q63-R63)</f>
        <v/>
      </c>
      <c r="T63" s="26">
        <f>IF(A63="","",IF(Q63=0,"No dept value",IF(ROUND(S63,2)=0,"Agrees",IF(S63&gt;0,"Dept higher - to invoice","Xero higher - check dept"))))</f>
        <v/>
      </c>
      <c r="U63" s="22" t="n"/>
      <c r="V63" s="22" t="n"/>
      <c r="W63" s="23" t="n"/>
      <c r="X63" s="23" t="n"/>
      <c r="Y63" s="22" t="n"/>
      <c r="Z63" s="22" t="n"/>
      <c r="AA63" s="26">
        <f>IF(COUNTA(C63,A63,B63,E63)=0,"",IF(C63="","No date - sits outside every month",IF(A63="","No job number",IF(H63="CHECK","Job number is not in the Xero job list",IF(G63="not set up yet","No department has set this job up - nothing can pull through",IF(D63="","No cost centre",IF(AND(U63="Y",B63=""),"Marked posted to Xero but has no invoice number",IF(N63="","Cost centre has no revenue GL on the Lists sheet",IF(T63="Xero higher - check dept","Invoiced more than the department says the job is worth","")))))))))</f>
        <v/>
      </c>
      <c r="AB63" s="28">
        <f>IF(A63="","",COUNTIFS(tbl_Finance[Job Number],A63&amp;"",tbl_Finance[Ex GST],"&lt;&gt;"))</f>
        <v/>
      </c>
      <c r="AC63" s="27">
        <f>IF(A63="","",SUMIFS(tbl_Finance[Ex GST],tbl_Finance[Job Number],A63&amp;""))</f>
        <v/>
      </c>
      <c r="AD63" s="27">
        <f>IF(A63="","",SUMIFS(tbl_Finance[Ex GST],tbl_Finance[Job Number],A63&amp;"",tbl_Finance[Xero Invoice No],"&lt;&gt;"))</f>
        <v/>
      </c>
      <c r="AE63" s="27">
        <f>IF(A63="","",AC63-AD63)</f>
        <v/>
      </c>
      <c r="AF63" s="26">
        <f>IF(A63="","",IFERROR(IF(INDEX(tbl_Onsite[Qwilr Quote],IFERROR(MATCH(A63&amp;"",tbl_Onsite[Job Number],0),MATCH(IFERROR(A63+0,A63),tbl_Onsite[Job Number],0)))="","",INDEX(tbl_Onsite[Qwilr Quote],IFERROR(MATCH(A63&amp;"",tbl_Onsite[Job Number],0),MATCH(IFERROR(A63+0,A63),tbl_Onsite[Job Number],0)))),IFERROR(IF(IF(INDEX(tbl_Production[Current RMS No],IFERROR(MATCH(A63&amp;"",tbl_Production[Job Number],0),MATCH(IFERROR(A63+0,A63),tbl_Production[Job Number],0)))="",INDEX(tbl_Production[Qwilr Quote],IFERROR(MATCH(A63&amp;"",tbl_Production[Job Number],0),MATCH(IFERROR(A63+0,A63),tbl_Production[Job Number],0))),INDEX(tbl_Production[Current RMS No],IFERROR(MATCH(A63&amp;"",tbl_Production[Job Number],0),MATCH(IFERROR(A63+0,A63),tbl_Production[Job Number],0))))="","",IF(INDEX(tbl_Production[Current RMS No],IFERROR(MATCH(A63&amp;"",tbl_Production[Job Number],0),MATCH(IFERROR(A63+0,A63),tbl_Production[Job Number],0)))="",INDEX(tbl_Production[Qwilr Quote],IFERROR(MATCH(A63&amp;"",tbl_Production[Job Number],0),MATCH(IFERROR(A63+0,A63),tbl_Production[Job Number],0))),INDEX(tbl_Production[Current RMS No],IFERROR(MATCH(A63&amp;"",tbl_Production[Job Number],0),MATCH(IFERROR(A63+0,A63),tbl_Production[Job Number],0))))),IFERROR(IF(INDEX(tbl_Consulting[Qwilr Quote],IFERROR(MATCH(A63&amp;"",tbl_Consulting[Job Number],0),MATCH(IFERROR(A63+0,A63),tbl_Consulting[Job Number],0)))="","",INDEX(tbl_Consulting[Qwilr Quote],IFERROR(MATCH(A63&amp;"",tbl_Consulting[Job Number],0),MATCH(IFERROR(A63+0,A63),tbl_Consulting[Job Number],0)))),""))))</f>
        <v/>
      </c>
      <c r="AG63" s="26">
        <f>IF(AF63="","",IF(AND(LEFT(AF63,4)&lt;&gt;"http",IF(G63="Production",set_RMSBase,set_QwilrBase)=""),"",HYPERLINK(IF(LEFT(AF63,4)="http",AF63,IF(G63="Production",set_RMSBase,set_QwilrBase)&amp;AF63),"Open")))</f>
        <v/>
      </c>
      <c r="AH63" s="27">
        <f>IF(A63="","",IFERROR(INDEX(tbl_Production[Total Expense],IFERROR(MATCH(A63&amp;"",tbl_Production[Job Number],0),MATCH(IFERROR(A63+0,A63),tbl_Production[Job Number],0))),IFERROR(INDEX(tbl_Consulting[Total Expense],IFERROR(MATCH(A63&amp;"",tbl_Consulting[Job Number],0),MATCH(IFERROR(A63+0,A63),tbl_Consulting[Job Number],0))),0)))</f>
        <v/>
      </c>
      <c r="AI63" s="27">
        <f>IF(A63="","",AC63-N(AH63))</f>
        <v/>
      </c>
      <c r="AJ63" s="29">
        <f>IFERROR(AI63/AC63,"")</f>
        <v/>
      </c>
      <c r="AK63" s="26">
        <f>IF(A63="","",IFERROR(IF(INDEX(tbl_Onsite[Notes],IFERROR(MATCH(A63&amp;"",tbl_Onsite[Job Number],0),MATCH(IFERROR(A63+0,A63),tbl_Onsite[Job Number],0)))="","",INDEX(tbl_Onsite[Notes],IFERROR(MATCH(A63&amp;"",tbl_Onsite[Job Number],0),MATCH(IFERROR(A63+0,A63),tbl_Onsite[Job Number],0)))),IFERROR(IF(INDEX(tbl_Production[Notes],IFERROR(MATCH(A63&amp;"",tbl_Production[Job Number],0),MATCH(IFERROR(A63+0,A63),tbl_Production[Job Number],0)))="","",INDEX(tbl_Production[Notes],IFERROR(MATCH(A63&amp;"",tbl_Production[Job Number],0),MATCH(IFERROR(A63+0,A63),tbl_Production[Job Number],0)))),IFERROR(IF(INDEX(tbl_Consulting[Notes],IFERROR(MATCH(A63&amp;"",tbl_Consulting[Job Number],0),MATCH(IFERROR(A63+0,A63),tbl_Consulting[Job Number],0)))="","",INDEX(tbl_Consulting[Notes],IFERROR(MATCH(A63&amp;"",tbl_Consulting[Job Number],0),MATCH(IFERROR(A63+0,A63),tbl_Consulting[Job Number],0)))),""))))</f>
        <v/>
      </c>
    </row>
    <row r="64" ht="15" customHeight="1">
      <c r="A64" s="22" t="n"/>
      <c r="B64" s="22" t="n"/>
      <c r="C64" s="23" t="n"/>
      <c r="D64" s="22" t="n"/>
      <c r="E64" s="24" t="n"/>
      <c r="F64" s="25">
        <f>IF(C64="","",EOMONTH(C64,0))</f>
        <v/>
      </c>
      <c r="G64" s="26">
        <f>IF(A64="","",IF(COUNTIF(tbl_Onsite[Job Number],A64&amp;"")&gt;0,"Onsite",IF(COUNTIF(tbl_Production[Job Number],A64&amp;"")&gt;0,"Production",IF(COUNTIF(tbl_Consulting[Job Number],A64&amp;"")&gt;0,"Consulting","not set up yet"))))</f>
        <v/>
      </c>
      <c r="H64" s="26">
        <f>IF(A64="","",IF(COUNTIF(lst_Jobs,A64&amp;"")&gt;0,"OK","CHECK"))</f>
        <v/>
      </c>
      <c r="I64" s="26">
        <f>IF(A64="","",IFERROR(INDEX(lst_JobName,MATCH(A64&amp;"",lst_Jobs,0)),""))</f>
        <v/>
      </c>
      <c r="J64" s="26">
        <f>IF(A64="","",IFERROR(IF(INDEX(tbl_Onsite[Client],IFERROR(MATCH(A64&amp;"",tbl_Onsite[Job Number],0),MATCH(IFERROR(A64+0,A64),tbl_Onsite[Job Number],0)))="","",INDEX(tbl_Onsite[Client],IFERROR(MATCH(A64&amp;"",tbl_Onsite[Job Number],0),MATCH(IFERROR(A64+0,A64),tbl_Onsite[Job Number],0)))),IFERROR(IF(INDEX(tbl_Production[Client],IFERROR(MATCH(A64&amp;"",tbl_Production[Job Number],0),MATCH(IFERROR(A64+0,A64),tbl_Production[Job Number],0)))="","",INDEX(tbl_Production[Client],IFERROR(MATCH(A64&amp;"",tbl_Production[Job Number],0),MATCH(IFERROR(A64+0,A64),tbl_Production[Job Number],0)))),IFERROR(IF(INDEX(tbl_Consulting[Client],IFERROR(MATCH(A64&amp;"",tbl_Consulting[Job Number],0),MATCH(IFERROR(A64+0,A64),tbl_Consulting[Job Number],0)))="","",INDEX(tbl_Consulting[Client],IFERROR(MATCH(A64&amp;"",tbl_Consulting[Job Number],0),MATCH(IFERROR(A64+0,A64),tbl_Consulting[Job Number],0)))),""))))</f>
        <v/>
      </c>
      <c r="K64" s="26">
        <f>IF(A64="","",IFERROR(IF(INDEX(tbl_Onsite[Job Description],IFERROR(MATCH(A64&amp;"",tbl_Onsite[Job Number],0),MATCH(IFERROR(A64+0,A64),tbl_Onsite[Job Number],0)))="","",INDEX(tbl_Onsite[Job Description],IFERROR(MATCH(A64&amp;"",tbl_Onsite[Job Number],0),MATCH(IFERROR(A64+0,A64),tbl_Onsite[Job Number],0)))),IFERROR(IF(INDEX(tbl_Production[Job Description],IFERROR(MATCH(A64&amp;"",tbl_Production[Job Number],0),MATCH(IFERROR(A64+0,A64),tbl_Production[Job Number],0)))="","",INDEX(tbl_Production[Job Description],IFERROR(MATCH(A64&amp;"",tbl_Production[Job Number],0),MATCH(IFERROR(A64+0,A64),tbl_Production[Job Number],0)))),IFERROR(IF(INDEX(tbl_Consulting[Job Description],IFERROR(MATCH(A64&amp;"",tbl_Consulting[Job Number],0),MATCH(IFERROR(A64+0,A64),tbl_Consulting[Job Number],0)))="","",INDEX(tbl_Consulting[Job Description],IFERROR(MATCH(A64&amp;"",tbl_Consulting[Job Number],0),MATCH(IFERROR(A64+0,A64),tbl_Consulting[Job Number],0)))),""))))</f>
        <v/>
      </c>
      <c r="L64" s="26">
        <f>IF(A64="","",IFERROR(IF(INDEX(tbl_Onsite[Invoice Type],IFERROR(MATCH(A64&amp;"",tbl_Onsite[Job Number],0),MATCH(IFERROR(A64+0,A64),tbl_Onsite[Job Number],0)))="","",INDEX(tbl_Onsite[Invoice Type],IFERROR(MATCH(A64&amp;"",tbl_Onsite[Job Number],0),MATCH(IFERROR(A64+0,A64),tbl_Onsite[Job Number],0)))),IFERROR(IF(INDEX(tbl_Production[Invoice Type],IFERROR(MATCH(A64&amp;"",tbl_Production[Job Number],0),MATCH(IFERROR(A64+0,A64),tbl_Production[Job Number],0)))="","",INDEX(tbl_Production[Invoice Type],IFERROR(MATCH(A64&amp;"",tbl_Production[Job Number],0),MATCH(IFERROR(A64+0,A64),tbl_Production[Job Number],0)))),IFERROR(IF(INDEX(tbl_Consulting[Invoice Type],IFERROR(MATCH(A64&amp;"",tbl_Consulting[Job Number],0),MATCH(IFERROR(A64+0,A64),tbl_Consulting[Job Number],0)))="","",INDEX(tbl_Consulting[Invoice Type],IFERROR(MATCH(A64&amp;"",tbl_Consulting[Job Number],0),MATCH(IFERROR(A64+0,A64),tbl_Consulting[Job Number],0)))),""))))</f>
        <v/>
      </c>
      <c r="M64" s="26">
        <f>IF(A64="","",IF(IFERROR(IF(INDEX(tbl_Onsite[Tax Code],IFERROR(MATCH(A64&amp;"",tbl_Onsite[Job Number],0),MATCH(IFERROR(A64+0,A64),tbl_Onsite[Job Number],0)))="","",INDEX(tbl_Onsite[Tax Code],IFERROR(MATCH(A64&amp;"",tbl_Onsite[Job Number],0),MATCH(IFERROR(A64+0,A64),tbl_Onsite[Job Number],0)))),IFERROR(IF(INDEX(tbl_Production[Tax Code],IFERROR(MATCH(A64&amp;"",tbl_Production[Job Number],0),MATCH(IFERROR(A64+0,A64),tbl_Production[Job Number],0)))="","",INDEX(tbl_Production[Tax Code],IFERROR(MATCH(A64&amp;"",tbl_Production[Job Number],0),MATCH(IFERROR(A64+0,A64),tbl_Production[Job Number],0)))),IFERROR(IF(INDEX(tbl_Consulting[Tax Code],IFERROR(MATCH(A64&amp;"",tbl_Consulting[Job Number],0),MATCH(IFERROR(A64+0,A64),tbl_Consulting[Job Number],0)))="","",INDEX(tbl_Consulting[Tax Code],IFERROR(MATCH(A64&amp;"",tbl_Consulting[Job Number],0),MATCH(IFERROR(A64+0,A64),tbl_Consulting[Job Number],0)))),"")))="","GST 10%",IFERROR(IF(INDEX(tbl_Onsite[Tax Code],IFERROR(MATCH(A64&amp;"",tbl_Onsite[Job Number],0),MATCH(IFERROR(A64+0,A64),tbl_Onsite[Job Number],0)))="","",INDEX(tbl_Onsite[Tax Code],IFERROR(MATCH(A64&amp;"",tbl_Onsite[Job Number],0),MATCH(IFERROR(A64+0,A64),tbl_Onsite[Job Number],0)))),IFERROR(IF(INDEX(tbl_Production[Tax Code],IFERROR(MATCH(A64&amp;"",tbl_Production[Job Number],0),MATCH(IFERROR(A64+0,A64),tbl_Production[Job Number],0)))="","",INDEX(tbl_Production[Tax Code],IFERROR(MATCH(A64&amp;"",tbl_Production[Job Number],0),MATCH(IFERROR(A64+0,A64),tbl_Production[Job Number],0)))),IFERROR(IF(INDEX(tbl_Consulting[Tax Code],IFERROR(MATCH(A64&amp;"",tbl_Consulting[Job Number],0),MATCH(IFERROR(A64+0,A64),tbl_Consulting[Job Number],0)))="","",INDEX(tbl_Consulting[Tax Code],IFERROR(MATCH(A64&amp;"",tbl_Consulting[Job Number],0),MATCH(IFERROR(A64+0,A64),tbl_Consulting[Job Number],0)))),"")))))</f>
        <v/>
      </c>
      <c r="N64" s="26">
        <f>IF(D64="","",IFERROR(INDEX(lst_CCtoGL,MATCH(D64,lst_CCforGL,0)),""))</f>
        <v/>
      </c>
      <c r="O64" s="27">
        <f>IF(E64="","",IF(M64="GST 10%",ROUND(E64*set_GSTRate,2),0))</f>
        <v/>
      </c>
      <c r="P64" s="27">
        <f>IF(E64="","",E64+O64)</f>
        <v/>
      </c>
      <c r="Q64" s="27">
        <f>IF(A64="","",IFERROR(INDEX(tbl_Onsite[Expected Revenue Ex GST],IFERROR(MATCH(A64&amp;"",tbl_Onsite[Job Number],0),MATCH(IFERROR(A64+0,A64),tbl_Onsite[Job Number],0))),IFERROR(INDEX(tbl_Production[Expected Revenue Ex GST],IFERROR(MATCH(A64&amp;"",tbl_Production[Job Number],0),MATCH(IFERROR(A64+0,A64),tbl_Production[Job Number],0))),IFERROR(INDEX(tbl_Consulting[Expected Revenue Ex GST],IFERROR(MATCH(A64&amp;"",tbl_Consulting[Job Number],0),MATCH(IFERROR(A64+0,A64),tbl_Consulting[Job Number],0))),0))))</f>
        <v/>
      </c>
      <c r="R64" s="27">
        <f>IF(A64="","",SUMIFS(tbl_Finance[Ex GST],tbl_Finance[Job Number],A64&amp;""))</f>
        <v/>
      </c>
      <c r="S64" s="27">
        <f>IF(A64="","",Q64-R64)</f>
        <v/>
      </c>
      <c r="T64" s="26">
        <f>IF(A64="","",IF(Q64=0,"No dept value",IF(ROUND(S64,2)=0,"Agrees",IF(S64&gt;0,"Dept higher - to invoice","Xero higher - check dept"))))</f>
        <v/>
      </c>
      <c r="U64" s="22" t="n"/>
      <c r="V64" s="22" t="n"/>
      <c r="W64" s="23" t="n"/>
      <c r="X64" s="23" t="n"/>
      <c r="Y64" s="22" t="n"/>
      <c r="Z64" s="22" t="n"/>
      <c r="AA64" s="26">
        <f>IF(COUNTA(C64,A64,B64,E64)=0,"",IF(C64="","No date - sits outside every month",IF(A64="","No job number",IF(H64="CHECK","Job number is not in the Xero job list",IF(G64="not set up yet","No department has set this job up - nothing can pull through",IF(D64="","No cost centre",IF(AND(U64="Y",B64=""),"Marked posted to Xero but has no invoice number",IF(N64="","Cost centre has no revenue GL on the Lists sheet",IF(T64="Xero higher - check dept","Invoiced more than the department says the job is worth","")))))))))</f>
        <v/>
      </c>
      <c r="AB64" s="28">
        <f>IF(A64="","",COUNTIFS(tbl_Finance[Job Number],A64&amp;"",tbl_Finance[Ex GST],"&lt;&gt;"))</f>
        <v/>
      </c>
      <c r="AC64" s="27">
        <f>IF(A64="","",SUMIFS(tbl_Finance[Ex GST],tbl_Finance[Job Number],A64&amp;""))</f>
        <v/>
      </c>
      <c r="AD64" s="27">
        <f>IF(A64="","",SUMIFS(tbl_Finance[Ex GST],tbl_Finance[Job Number],A64&amp;"",tbl_Finance[Xero Invoice No],"&lt;&gt;"))</f>
        <v/>
      </c>
      <c r="AE64" s="27">
        <f>IF(A64="","",AC64-AD64)</f>
        <v/>
      </c>
      <c r="AF64" s="26">
        <f>IF(A64="","",IFERROR(IF(INDEX(tbl_Onsite[Qwilr Quote],IFERROR(MATCH(A64&amp;"",tbl_Onsite[Job Number],0),MATCH(IFERROR(A64+0,A64),tbl_Onsite[Job Number],0)))="","",INDEX(tbl_Onsite[Qwilr Quote],IFERROR(MATCH(A64&amp;"",tbl_Onsite[Job Number],0),MATCH(IFERROR(A64+0,A64),tbl_Onsite[Job Number],0)))),IFERROR(IF(IF(INDEX(tbl_Production[Current RMS No],IFERROR(MATCH(A64&amp;"",tbl_Production[Job Number],0),MATCH(IFERROR(A64+0,A64),tbl_Production[Job Number],0)))="",INDEX(tbl_Production[Qwilr Quote],IFERROR(MATCH(A64&amp;"",tbl_Production[Job Number],0),MATCH(IFERROR(A64+0,A64),tbl_Production[Job Number],0))),INDEX(tbl_Production[Current RMS No],IFERROR(MATCH(A64&amp;"",tbl_Production[Job Number],0),MATCH(IFERROR(A64+0,A64),tbl_Production[Job Number],0))))="","",IF(INDEX(tbl_Production[Current RMS No],IFERROR(MATCH(A64&amp;"",tbl_Production[Job Number],0),MATCH(IFERROR(A64+0,A64),tbl_Production[Job Number],0)))="",INDEX(tbl_Production[Qwilr Quote],IFERROR(MATCH(A64&amp;"",tbl_Production[Job Number],0),MATCH(IFERROR(A64+0,A64),tbl_Production[Job Number],0))),INDEX(tbl_Production[Current RMS No],IFERROR(MATCH(A64&amp;"",tbl_Production[Job Number],0),MATCH(IFERROR(A64+0,A64),tbl_Production[Job Number],0))))),IFERROR(IF(INDEX(tbl_Consulting[Qwilr Quote],IFERROR(MATCH(A64&amp;"",tbl_Consulting[Job Number],0),MATCH(IFERROR(A64+0,A64),tbl_Consulting[Job Number],0)))="","",INDEX(tbl_Consulting[Qwilr Quote],IFERROR(MATCH(A64&amp;"",tbl_Consulting[Job Number],0),MATCH(IFERROR(A64+0,A64),tbl_Consulting[Job Number],0)))),""))))</f>
        <v/>
      </c>
      <c r="AG64" s="26">
        <f>IF(AF64="","",IF(AND(LEFT(AF64,4)&lt;&gt;"http",IF(G64="Production",set_RMSBase,set_QwilrBase)=""),"",HYPERLINK(IF(LEFT(AF64,4)="http",AF64,IF(G64="Production",set_RMSBase,set_QwilrBase)&amp;AF64),"Open")))</f>
        <v/>
      </c>
      <c r="AH64" s="27">
        <f>IF(A64="","",IFERROR(INDEX(tbl_Production[Total Expense],IFERROR(MATCH(A64&amp;"",tbl_Production[Job Number],0),MATCH(IFERROR(A64+0,A64),tbl_Production[Job Number],0))),IFERROR(INDEX(tbl_Consulting[Total Expense],IFERROR(MATCH(A64&amp;"",tbl_Consulting[Job Number],0),MATCH(IFERROR(A64+0,A64),tbl_Consulting[Job Number],0))),0)))</f>
        <v/>
      </c>
      <c r="AI64" s="27">
        <f>IF(A64="","",AC64-N(AH64))</f>
        <v/>
      </c>
      <c r="AJ64" s="29">
        <f>IFERROR(AI64/AC64,"")</f>
        <v/>
      </c>
      <c r="AK64" s="26">
        <f>IF(A64="","",IFERROR(IF(INDEX(tbl_Onsite[Notes],IFERROR(MATCH(A64&amp;"",tbl_Onsite[Job Number],0),MATCH(IFERROR(A64+0,A64),tbl_Onsite[Job Number],0)))="","",INDEX(tbl_Onsite[Notes],IFERROR(MATCH(A64&amp;"",tbl_Onsite[Job Number],0),MATCH(IFERROR(A64+0,A64),tbl_Onsite[Job Number],0)))),IFERROR(IF(INDEX(tbl_Production[Notes],IFERROR(MATCH(A64&amp;"",tbl_Production[Job Number],0),MATCH(IFERROR(A64+0,A64),tbl_Production[Job Number],0)))="","",INDEX(tbl_Production[Notes],IFERROR(MATCH(A64&amp;"",tbl_Production[Job Number],0),MATCH(IFERROR(A64+0,A64),tbl_Production[Job Number],0)))),IFERROR(IF(INDEX(tbl_Consulting[Notes],IFERROR(MATCH(A64&amp;"",tbl_Consulting[Job Number],0),MATCH(IFERROR(A64+0,A64),tbl_Consulting[Job Number],0)))="","",INDEX(tbl_Consulting[Notes],IFERROR(MATCH(A64&amp;"",tbl_Consulting[Job Number],0),MATCH(IFERROR(A64+0,A64),tbl_Consulting[Job Number],0)))),""))))</f>
        <v/>
      </c>
    </row>
    <row r="65" ht="15" customHeight="1">
      <c r="A65" s="22" t="n"/>
      <c r="B65" s="22" t="n"/>
      <c r="C65" s="23" t="n"/>
      <c r="D65" s="22" t="n"/>
      <c r="E65" s="24" t="n"/>
      <c r="F65" s="25">
        <f>IF(C65="","",EOMONTH(C65,0))</f>
        <v/>
      </c>
      <c r="G65" s="26">
        <f>IF(A65="","",IF(COUNTIF(tbl_Onsite[Job Number],A65&amp;"")&gt;0,"Onsite",IF(COUNTIF(tbl_Production[Job Number],A65&amp;"")&gt;0,"Production",IF(COUNTIF(tbl_Consulting[Job Number],A65&amp;"")&gt;0,"Consulting","not set up yet"))))</f>
        <v/>
      </c>
      <c r="H65" s="26">
        <f>IF(A65="","",IF(COUNTIF(lst_Jobs,A65&amp;"")&gt;0,"OK","CHECK"))</f>
        <v/>
      </c>
      <c r="I65" s="26">
        <f>IF(A65="","",IFERROR(INDEX(lst_JobName,MATCH(A65&amp;"",lst_Jobs,0)),""))</f>
        <v/>
      </c>
      <c r="J65" s="26">
        <f>IF(A65="","",IFERROR(IF(INDEX(tbl_Onsite[Client],IFERROR(MATCH(A65&amp;"",tbl_Onsite[Job Number],0),MATCH(IFERROR(A65+0,A65),tbl_Onsite[Job Number],0)))="","",INDEX(tbl_Onsite[Client],IFERROR(MATCH(A65&amp;"",tbl_Onsite[Job Number],0),MATCH(IFERROR(A65+0,A65),tbl_Onsite[Job Number],0)))),IFERROR(IF(INDEX(tbl_Production[Client],IFERROR(MATCH(A65&amp;"",tbl_Production[Job Number],0),MATCH(IFERROR(A65+0,A65),tbl_Production[Job Number],0)))="","",INDEX(tbl_Production[Client],IFERROR(MATCH(A65&amp;"",tbl_Production[Job Number],0),MATCH(IFERROR(A65+0,A65),tbl_Production[Job Number],0)))),IFERROR(IF(INDEX(tbl_Consulting[Client],IFERROR(MATCH(A65&amp;"",tbl_Consulting[Job Number],0),MATCH(IFERROR(A65+0,A65),tbl_Consulting[Job Number],0)))="","",INDEX(tbl_Consulting[Client],IFERROR(MATCH(A65&amp;"",tbl_Consulting[Job Number],0),MATCH(IFERROR(A65+0,A65),tbl_Consulting[Job Number],0)))),""))))</f>
        <v/>
      </c>
      <c r="K65" s="26">
        <f>IF(A65="","",IFERROR(IF(INDEX(tbl_Onsite[Job Description],IFERROR(MATCH(A65&amp;"",tbl_Onsite[Job Number],0),MATCH(IFERROR(A65+0,A65),tbl_Onsite[Job Number],0)))="","",INDEX(tbl_Onsite[Job Description],IFERROR(MATCH(A65&amp;"",tbl_Onsite[Job Number],0),MATCH(IFERROR(A65+0,A65),tbl_Onsite[Job Number],0)))),IFERROR(IF(INDEX(tbl_Production[Job Description],IFERROR(MATCH(A65&amp;"",tbl_Production[Job Number],0),MATCH(IFERROR(A65+0,A65),tbl_Production[Job Number],0)))="","",INDEX(tbl_Production[Job Description],IFERROR(MATCH(A65&amp;"",tbl_Production[Job Number],0),MATCH(IFERROR(A65+0,A65),tbl_Production[Job Number],0)))),IFERROR(IF(INDEX(tbl_Consulting[Job Description],IFERROR(MATCH(A65&amp;"",tbl_Consulting[Job Number],0),MATCH(IFERROR(A65+0,A65),tbl_Consulting[Job Number],0)))="","",INDEX(tbl_Consulting[Job Description],IFERROR(MATCH(A65&amp;"",tbl_Consulting[Job Number],0),MATCH(IFERROR(A65+0,A65),tbl_Consulting[Job Number],0)))),""))))</f>
        <v/>
      </c>
      <c r="L65" s="26">
        <f>IF(A65="","",IFERROR(IF(INDEX(tbl_Onsite[Invoice Type],IFERROR(MATCH(A65&amp;"",tbl_Onsite[Job Number],0),MATCH(IFERROR(A65+0,A65),tbl_Onsite[Job Number],0)))="","",INDEX(tbl_Onsite[Invoice Type],IFERROR(MATCH(A65&amp;"",tbl_Onsite[Job Number],0),MATCH(IFERROR(A65+0,A65),tbl_Onsite[Job Number],0)))),IFERROR(IF(INDEX(tbl_Production[Invoice Type],IFERROR(MATCH(A65&amp;"",tbl_Production[Job Number],0),MATCH(IFERROR(A65+0,A65),tbl_Production[Job Number],0)))="","",INDEX(tbl_Production[Invoice Type],IFERROR(MATCH(A65&amp;"",tbl_Production[Job Number],0),MATCH(IFERROR(A65+0,A65),tbl_Production[Job Number],0)))),IFERROR(IF(INDEX(tbl_Consulting[Invoice Type],IFERROR(MATCH(A65&amp;"",tbl_Consulting[Job Number],0),MATCH(IFERROR(A65+0,A65),tbl_Consulting[Job Number],0)))="","",INDEX(tbl_Consulting[Invoice Type],IFERROR(MATCH(A65&amp;"",tbl_Consulting[Job Number],0),MATCH(IFERROR(A65+0,A65),tbl_Consulting[Job Number],0)))),""))))</f>
        <v/>
      </c>
      <c r="M65" s="26">
        <f>IF(A65="","",IF(IFERROR(IF(INDEX(tbl_Onsite[Tax Code],IFERROR(MATCH(A65&amp;"",tbl_Onsite[Job Number],0),MATCH(IFERROR(A65+0,A65),tbl_Onsite[Job Number],0)))="","",INDEX(tbl_Onsite[Tax Code],IFERROR(MATCH(A65&amp;"",tbl_Onsite[Job Number],0),MATCH(IFERROR(A65+0,A65),tbl_Onsite[Job Number],0)))),IFERROR(IF(INDEX(tbl_Production[Tax Code],IFERROR(MATCH(A65&amp;"",tbl_Production[Job Number],0),MATCH(IFERROR(A65+0,A65),tbl_Production[Job Number],0)))="","",INDEX(tbl_Production[Tax Code],IFERROR(MATCH(A65&amp;"",tbl_Production[Job Number],0),MATCH(IFERROR(A65+0,A65),tbl_Production[Job Number],0)))),IFERROR(IF(INDEX(tbl_Consulting[Tax Code],IFERROR(MATCH(A65&amp;"",tbl_Consulting[Job Number],0),MATCH(IFERROR(A65+0,A65),tbl_Consulting[Job Number],0)))="","",INDEX(tbl_Consulting[Tax Code],IFERROR(MATCH(A65&amp;"",tbl_Consulting[Job Number],0),MATCH(IFERROR(A65+0,A65),tbl_Consulting[Job Number],0)))),"")))="","GST 10%",IFERROR(IF(INDEX(tbl_Onsite[Tax Code],IFERROR(MATCH(A65&amp;"",tbl_Onsite[Job Number],0),MATCH(IFERROR(A65+0,A65),tbl_Onsite[Job Number],0)))="","",INDEX(tbl_Onsite[Tax Code],IFERROR(MATCH(A65&amp;"",tbl_Onsite[Job Number],0),MATCH(IFERROR(A65+0,A65),tbl_Onsite[Job Number],0)))),IFERROR(IF(INDEX(tbl_Production[Tax Code],IFERROR(MATCH(A65&amp;"",tbl_Production[Job Number],0),MATCH(IFERROR(A65+0,A65),tbl_Production[Job Number],0)))="","",INDEX(tbl_Production[Tax Code],IFERROR(MATCH(A65&amp;"",tbl_Production[Job Number],0),MATCH(IFERROR(A65+0,A65),tbl_Production[Job Number],0)))),IFERROR(IF(INDEX(tbl_Consulting[Tax Code],IFERROR(MATCH(A65&amp;"",tbl_Consulting[Job Number],0),MATCH(IFERROR(A65+0,A65),tbl_Consulting[Job Number],0)))="","",INDEX(tbl_Consulting[Tax Code],IFERROR(MATCH(A65&amp;"",tbl_Consulting[Job Number],0),MATCH(IFERROR(A65+0,A65),tbl_Consulting[Job Number],0)))),"")))))</f>
        <v/>
      </c>
      <c r="N65" s="26">
        <f>IF(D65="","",IFERROR(INDEX(lst_CCtoGL,MATCH(D65,lst_CCforGL,0)),""))</f>
        <v/>
      </c>
      <c r="O65" s="27">
        <f>IF(E65="","",IF(M65="GST 10%",ROUND(E65*set_GSTRate,2),0))</f>
        <v/>
      </c>
      <c r="P65" s="27">
        <f>IF(E65="","",E65+O65)</f>
        <v/>
      </c>
      <c r="Q65" s="27">
        <f>IF(A65="","",IFERROR(INDEX(tbl_Onsite[Expected Revenue Ex GST],IFERROR(MATCH(A65&amp;"",tbl_Onsite[Job Number],0),MATCH(IFERROR(A65+0,A65),tbl_Onsite[Job Number],0))),IFERROR(INDEX(tbl_Production[Expected Revenue Ex GST],IFERROR(MATCH(A65&amp;"",tbl_Production[Job Number],0),MATCH(IFERROR(A65+0,A65),tbl_Production[Job Number],0))),IFERROR(INDEX(tbl_Consulting[Expected Revenue Ex GST],IFERROR(MATCH(A65&amp;"",tbl_Consulting[Job Number],0),MATCH(IFERROR(A65+0,A65),tbl_Consulting[Job Number],0))),0))))</f>
        <v/>
      </c>
      <c r="R65" s="27">
        <f>IF(A65="","",SUMIFS(tbl_Finance[Ex GST],tbl_Finance[Job Number],A65&amp;""))</f>
        <v/>
      </c>
      <c r="S65" s="27">
        <f>IF(A65="","",Q65-R65)</f>
        <v/>
      </c>
      <c r="T65" s="26">
        <f>IF(A65="","",IF(Q65=0,"No dept value",IF(ROUND(S65,2)=0,"Agrees",IF(S65&gt;0,"Dept higher - to invoice","Xero higher - check dept"))))</f>
        <v/>
      </c>
      <c r="U65" s="22" t="n"/>
      <c r="V65" s="22" t="n"/>
      <c r="W65" s="23" t="n"/>
      <c r="X65" s="23" t="n"/>
      <c r="Y65" s="22" t="n"/>
      <c r="Z65" s="22" t="n"/>
      <c r="AA65" s="26">
        <f>IF(COUNTA(C65,A65,B65,E65)=0,"",IF(C65="","No date - sits outside every month",IF(A65="","No job number",IF(H65="CHECK","Job number is not in the Xero job list",IF(G65="not set up yet","No department has set this job up - nothing can pull through",IF(D65="","No cost centre",IF(AND(U65="Y",B65=""),"Marked posted to Xero but has no invoice number",IF(N65="","Cost centre has no revenue GL on the Lists sheet",IF(T65="Xero higher - check dept","Invoiced more than the department says the job is worth","")))))))))</f>
        <v/>
      </c>
      <c r="AB65" s="28">
        <f>IF(A65="","",COUNTIFS(tbl_Finance[Job Number],A65&amp;"",tbl_Finance[Ex GST],"&lt;&gt;"))</f>
        <v/>
      </c>
      <c r="AC65" s="27">
        <f>IF(A65="","",SUMIFS(tbl_Finance[Ex GST],tbl_Finance[Job Number],A65&amp;""))</f>
        <v/>
      </c>
      <c r="AD65" s="27">
        <f>IF(A65="","",SUMIFS(tbl_Finance[Ex GST],tbl_Finance[Job Number],A65&amp;"",tbl_Finance[Xero Invoice No],"&lt;&gt;"))</f>
        <v/>
      </c>
      <c r="AE65" s="27">
        <f>IF(A65="","",AC65-AD65)</f>
        <v/>
      </c>
      <c r="AF65" s="26">
        <f>IF(A65="","",IFERROR(IF(INDEX(tbl_Onsite[Qwilr Quote],IFERROR(MATCH(A65&amp;"",tbl_Onsite[Job Number],0),MATCH(IFERROR(A65+0,A65),tbl_Onsite[Job Number],0)))="","",INDEX(tbl_Onsite[Qwilr Quote],IFERROR(MATCH(A65&amp;"",tbl_Onsite[Job Number],0),MATCH(IFERROR(A65+0,A65),tbl_Onsite[Job Number],0)))),IFERROR(IF(IF(INDEX(tbl_Production[Current RMS No],IFERROR(MATCH(A65&amp;"",tbl_Production[Job Number],0),MATCH(IFERROR(A65+0,A65),tbl_Production[Job Number],0)))="",INDEX(tbl_Production[Qwilr Quote],IFERROR(MATCH(A65&amp;"",tbl_Production[Job Number],0),MATCH(IFERROR(A65+0,A65),tbl_Production[Job Number],0))),INDEX(tbl_Production[Current RMS No],IFERROR(MATCH(A65&amp;"",tbl_Production[Job Number],0),MATCH(IFERROR(A65+0,A65),tbl_Production[Job Number],0))))="","",IF(INDEX(tbl_Production[Current RMS No],IFERROR(MATCH(A65&amp;"",tbl_Production[Job Number],0),MATCH(IFERROR(A65+0,A65),tbl_Production[Job Number],0)))="",INDEX(tbl_Production[Qwilr Quote],IFERROR(MATCH(A65&amp;"",tbl_Production[Job Number],0),MATCH(IFERROR(A65+0,A65),tbl_Production[Job Number],0))),INDEX(tbl_Production[Current RMS No],IFERROR(MATCH(A65&amp;"",tbl_Production[Job Number],0),MATCH(IFERROR(A65+0,A65),tbl_Production[Job Number],0))))),IFERROR(IF(INDEX(tbl_Consulting[Qwilr Quote],IFERROR(MATCH(A65&amp;"",tbl_Consulting[Job Number],0),MATCH(IFERROR(A65+0,A65),tbl_Consulting[Job Number],0)))="","",INDEX(tbl_Consulting[Qwilr Quote],IFERROR(MATCH(A65&amp;"",tbl_Consulting[Job Number],0),MATCH(IFERROR(A65+0,A65),tbl_Consulting[Job Number],0)))),""))))</f>
        <v/>
      </c>
      <c r="AG65" s="26">
        <f>IF(AF65="","",IF(AND(LEFT(AF65,4)&lt;&gt;"http",IF(G65="Production",set_RMSBase,set_QwilrBase)=""),"",HYPERLINK(IF(LEFT(AF65,4)="http",AF65,IF(G65="Production",set_RMSBase,set_QwilrBase)&amp;AF65),"Open")))</f>
        <v/>
      </c>
      <c r="AH65" s="27">
        <f>IF(A65="","",IFERROR(INDEX(tbl_Production[Total Expense],IFERROR(MATCH(A65&amp;"",tbl_Production[Job Number],0),MATCH(IFERROR(A65+0,A65),tbl_Production[Job Number],0))),IFERROR(INDEX(tbl_Consulting[Total Expense],IFERROR(MATCH(A65&amp;"",tbl_Consulting[Job Number],0),MATCH(IFERROR(A65+0,A65),tbl_Consulting[Job Number],0))),0)))</f>
        <v/>
      </c>
      <c r="AI65" s="27">
        <f>IF(A65="","",AC65-N(AH65))</f>
        <v/>
      </c>
      <c r="AJ65" s="29">
        <f>IFERROR(AI65/AC65,"")</f>
        <v/>
      </c>
      <c r="AK65" s="26">
        <f>IF(A65="","",IFERROR(IF(INDEX(tbl_Onsite[Notes],IFERROR(MATCH(A65&amp;"",tbl_Onsite[Job Number],0),MATCH(IFERROR(A65+0,A65),tbl_Onsite[Job Number],0)))="","",INDEX(tbl_Onsite[Notes],IFERROR(MATCH(A65&amp;"",tbl_Onsite[Job Number],0),MATCH(IFERROR(A65+0,A65),tbl_Onsite[Job Number],0)))),IFERROR(IF(INDEX(tbl_Production[Notes],IFERROR(MATCH(A65&amp;"",tbl_Production[Job Number],0),MATCH(IFERROR(A65+0,A65),tbl_Production[Job Number],0)))="","",INDEX(tbl_Production[Notes],IFERROR(MATCH(A65&amp;"",tbl_Production[Job Number],0),MATCH(IFERROR(A65+0,A65),tbl_Production[Job Number],0)))),IFERROR(IF(INDEX(tbl_Consulting[Notes],IFERROR(MATCH(A65&amp;"",tbl_Consulting[Job Number],0),MATCH(IFERROR(A65+0,A65),tbl_Consulting[Job Number],0)))="","",INDEX(tbl_Consulting[Notes],IFERROR(MATCH(A65&amp;"",tbl_Consulting[Job Number],0),MATCH(IFERROR(A65+0,A65),tbl_Consulting[Job Number],0)))),""))))</f>
        <v/>
      </c>
    </row>
    <row r="66" ht="15" customHeight="1">
      <c r="A66" s="22" t="n"/>
      <c r="B66" s="22" t="n"/>
      <c r="C66" s="23" t="n"/>
      <c r="D66" s="22" t="n"/>
      <c r="E66" s="24" t="n"/>
      <c r="F66" s="25">
        <f>IF(C66="","",EOMONTH(C66,0))</f>
        <v/>
      </c>
      <c r="G66" s="26">
        <f>IF(A66="","",IF(COUNTIF(tbl_Onsite[Job Number],A66&amp;"")&gt;0,"Onsite",IF(COUNTIF(tbl_Production[Job Number],A66&amp;"")&gt;0,"Production",IF(COUNTIF(tbl_Consulting[Job Number],A66&amp;"")&gt;0,"Consulting","not set up yet"))))</f>
        <v/>
      </c>
      <c r="H66" s="26">
        <f>IF(A66="","",IF(COUNTIF(lst_Jobs,A66&amp;"")&gt;0,"OK","CHECK"))</f>
        <v/>
      </c>
      <c r="I66" s="26">
        <f>IF(A66="","",IFERROR(INDEX(lst_JobName,MATCH(A66&amp;"",lst_Jobs,0)),""))</f>
        <v/>
      </c>
      <c r="J66" s="26">
        <f>IF(A66="","",IFERROR(IF(INDEX(tbl_Onsite[Client],IFERROR(MATCH(A66&amp;"",tbl_Onsite[Job Number],0),MATCH(IFERROR(A66+0,A66),tbl_Onsite[Job Number],0)))="","",INDEX(tbl_Onsite[Client],IFERROR(MATCH(A66&amp;"",tbl_Onsite[Job Number],0),MATCH(IFERROR(A66+0,A66),tbl_Onsite[Job Number],0)))),IFERROR(IF(INDEX(tbl_Production[Client],IFERROR(MATCH(A66&amp;"",tbl_Production[Job Number],0),MATCH(IFERROR(A66+0,A66),tbl_Production[Job Number],0)))="","",INDEX(tbl_Production[Client],IFERROR(MATCH(A66&amp;"",tbl_Production[Job Number],0),MATCH(IFERROR(A66+0,A66),tbl_Production[Job Number],0)))),IFERROR(IF(INDEX(tbl_Consulting[Client],IFERROR(MATCH(A66&amp;"",tbl_Consulting[Job Number],0),MATCH(IFERROR(A66+0,A66),tbl_Consulting[Job Number],0)))="","",INDEX(tbl_Consulting[Client],IFERROR(MATCH(A66&amp;"",tbl_Consulting[Job Number],0),MATCH(IFERROR(A66+0,A66),tbl_Consulting[Job Number],0)))),""))))</f>
        <v/>
      </c>
      <c r="K66" s="26">
        <f>IF(A66="","",IFERROR(IF(INDEX(tbl_Onsite[Job Description],IFERROR(MATCH(A66&amp;"",tbl_Onsite[Job Number],0),MATCH(IFERROR(A66+0,A66),tbl_Onsite[Job Number],0)))="","",INDEX(tbl_Onsite[Job Description],IFERROR(MATCH(A66&amp;"",tbl_Onsite[Job Number],0),MATCH(IFERROR(A66+0,A66),tbl_Onsite[Job Number],0)))),IFERROR(IF(INDEX(tbl_Production[Job Description],IFERROR(MATCH(A66&amp;"",tbl_Production[Job Number],0),MATCH(IFERROR(A66+0,A66),tbl_Production[Job Number],0)))="","",INDEX(tbl_Production[Job Description],IFERROR(MATCH(A66&amp;"",tbl_Production[Job Number],0),MATCH(IFERROR(A66+0,A66),tbl_Production[Job Number],0)))),IFERROR(IF(INDEX(tbl_Consulting[Job Description],IFERROR(MATCH(A66&amp;"",tbl_Consulting[Job Number],0),MATCH(IFERROR(A66+0,A66),tbl_Consulting[Job Number],0)))="","",INDEX(tbl_Consulting[Job Description],IFERROR(MATCH(A66&amp;"",tbl_Consulting[Job Number],0),MATCH(IFERROR(A66+0,A66),tbl_Consulting[Job Number],0)))),""))))</f>
        <v/>
      </c>
      <c r="L66" s="26">
        <f>IF(A66="","",IFERROR(IF(INDEX(tbl_Onsite[Invoice Type],IFERROR(MATCH(A66&amp;"",tbl_Onsite[Job Number],0),MATCH(IFERROR(A66+0,A66),tbl_Onsite[Job Number],0)))="","",INDEX(tbl_Onsite[Invoice Type],IFERROR(MATCH(A66&amp;"",tbl_Onsite[Job Number],0),MATCH(IFERROR(A66+0,A66),tbl_Onsite[Job Number],0)))),IFERROR(IF(INDEX(tbl_Production[Invoice Type],IFERROR(MATCH(A66&amp;"",tbl_Production[Job Number],0),MATCH(IFERROR(A66+0,A66),tbl_Production[Job Number],0)))="","",INDEX(tbl_Production[Invoice Type],IFERROR(MATCH(A66&amp;"",tbl_Production[Job Number],0),MATCH(IFERROR(A66+0,A66),tbl_Production[Job Number],0)))),IFERROR(IF(INDEX(tbl_Consulting[Invoice Type],IFERROR(MATCH(A66&amp;"",tbl_Consulting[Job Number],0),MATCH(IFERROR(A66+0,A66),tbl_Consulting[Job Number],0)))="","",INDEX(tbl_Consulting[Invoice Type],IFERROR(MATCH(A66&amp;"",tbl_Consulting[Job Number],0),MATCH(IFERROR(A66+0,A66),tbl_Consulting[Job Number],0)))),""))))</f>
        <v/>
      </c>
      <c r="M66" s="26">
        <f>IF(A66="","",IF(IFERROR(IF(INDEX(tbl_Onsite[Tax Code],IFERROR(MATCH(A66&amp;"",tbl_Onsite[Job Number],0),MATCH(IFERROR(A66+0,A66),tbl_Onsite[Job Number],0)))="","",INDEX(tbl_Onsite[Tax Code],IFERROR(MATCH(A66&amp;"",tbl_Onsite[Job Number],0),MATCH(IFERROR(A66+0,A66),tbl_Onsite[Job Number],0)))),IFERROR(IF(INDEX(tbl_Production[Tax Code],IFERROR(MATCH(A66&amp;"",tbl_Production[Job Number],0),MATCH(IFERROR(A66+0,A66),tbl_Production[Job Number],0)))="","",INDEX(tbl_Production[Tax Code],IFERROR(MATCH(A66&amp;"",tbl_Production[Job Number],0),MATCH(IFERROR(A66+0,A66),tbl_Production[Job Number],0)))),IFERROR(IF(INDEX(tbl_Consulting[Tax Code],IFERROR(MATCH(A66&amp;"",tbl_Consulting[Job Number],0),MATCH(IFERROR(A66+0,A66),tbl_Consulting[Job Number],0)))="","",INDEX(tbl_Consulting[Tax Code],IFERROR(MATCH(A66&amp;"",tbl_Consulting[Job Number],0),MATCH(IFERROR(A66+0,A66),tbl_Consulting[Job Number],0)))),"")))="","GST 10%",IFERROR(IF(INDEX(tbl_Onsite[Tax Code],IFERROR(MATCH(A66&amp;"",tbl_Onsite[Job Number],0),MATCH(IFERROR(A66+0,A66),tbl_Onsite[Job Number],0)))="","",INDEX(tbl_Onsite[Tax Code],IFERROR(MATCH(A66&amp;"",tbl_Onsite[Job Number],0),MATCH(IFERROR(A66+0,A66),tbl_Onsite[Job Number],0)))),IFERROR(IF(INDEX(tbl_Production[Tax Code],IFERROR(MATCH(A66&amp;"",tbl_Production[Job Number],0),MATCH(IFERROR(A66+0,A66),tbl_Production[Job Number],0)))="","",INDEX(tbl_Production[Tax Code],IFERROR(MATCH(A66&amp;"",tbl_Production[Job Number],0),MATCH(IFERROR(A66+0,A66),tbl_Production[Job Number],0)))),IFERROR(IF(INDEX(tbl_Consulting[Tax Code],IFERROR(MATCH(A66&amp;"",tbl_Consulting[Job Number],0),MATCH(IFERROR(A66+0,A66),tbl_Consulting[Job Number],0)))="","",INDEX(tbl_Consulting[Tax Code],IFERROR(MATCH(A66&amp;"",tbl_Consulting[Job Number],0),MATCH(IFERROR(A66+0,A66),tbl_Consulting[Job Number],0)))),"")))))</f>
        <v/>
      </c>
      <c r="N66" s="26">
        <f>IF(D66="","",IFERROR(INDEX(lst_CCtoGL,MATCH(D66,lst_CCforGL,0)),""))</f>
        <v/>
      </c>
      <c r="O66" s="27">
        <f>IF(E66="","",IF(M66="GST 10%",ROUND(E66*set_GSTRate,2),0))</f>
        <v/>
      </c>
      <c r="P66" s="27">
        <f>IF(E66="","",E66+O66)</f>
        <v/>
      </c>
      <c r="Q66" s="27">
        <f>IF(A66="","",IFERROR(INDEX(tbl_Onsite[Expected Revenue Ex GST],IFERROR(MATCH(A66&amp;"",tbl_Onsite[Job Number],0),MATCH(IFERROR(A66+0,A66),tbl_Onsite[Job Number],0))),IFERROR(INDEX(tbl_Production[Expected Revenue Ex GST],IFERROR(MATCH(A66&amp;"",tbl_Production[Job Number],0),MATCH(IFERROR(A66+0,A66),tbl_Production[Job Number],0))),IFERROR(INDEX(tbl_Consulting[Expected Revenue Ex GST],IFERROR(MATCH(A66&amp;"",tbl_Consulting[Job Number],0),MATCH(IFERROR(A66+0,A66),tbl_Consulting[Job Number],0))),0))))</f>
        <v/>
      </c>
      <c r="R66" s="27">
        <f>IF(A66="","",SUMIFS(tbl_Finance[Ex GST],tbl_Finance[Job Number],A66&amp;""))</f>
        <v/>
      </c>
      <c r="S66" s="27">
        <f>IF(A66="","",Q66-R66)</f>
        <v/>
      </c>
      <c r="T66" s="26">
        <f>IF(A66="","",IF(Q66=0,"No dept value",IF(ROUND(S66,2)=0,"Agrees",IF(S66&gt;0,"Dept higher - to invoice","Xero higher - check dept"))))</f>
        <v/>
      </c>
      <c r="U66" s="22" t="n"/>
      <c r="V66" s="22" t="n"/>
      <c r="W66" s="23" t="n"/>
      <c r="X66" s="23" t="n"/>
      <c r="Y66" s="22" t="n"/>
      <c r="Z66" s="22" t="n"/>
      <c r="AA66" s="26">
        <f>IF(COUNTA(C66,A66,B66,E66)=0,"",IF(C66="","No date - sits outside every month",IF(A66="","No job number",IF(H66="CHECK","Job number is not in the Xero job list",IF(G66="not set up yet","No department has set this job up - nothing can pull through",IF(D66="","No cost centre",IF(AND(U66="Y",B66=""),"Marked posted to Xero but has no invoice number",IF(N66="","Cost centre has no revenue GL on the Lists sheet",IF(T66="Xero higher - check dept","Invoiced more than the department says the job is worth","")))))))))</f>
        <v/>
      </c>
      <c r="AB66" s="28">
        <f>IF(A66="","",COUNTIFS(tbl_Finance[Job Number],A66&amp;"",tbl_Finance[Ex GST],"&lt;&gt;"))</f>
        <v/>
      </c>
      <c r="AC66" s="27">
        <f>IF(A66="","",SUMIFS(tbl_Finance[Ex GST],tbl_Finance[Job Number],A66&amp;""))</f>
        <v/>
      </c>
      <c r="AD66" s="27">
        <f>IF(A66="","",SUMIFS(tbl_Finance[Ex GST],tbl_Finance[Job Number],A66&amp;"",tbl_Finance[Xero Invoice No],"&lt;&gt;"))</f>
        <v/>
      </c>
      <c r="AE66" s="27">
        <f>IF(A66="","",AC66-AD66)</f>
        <v/>
      </c>
      <c r="AF66" s="26">
        <f>IF(A66="","",IFERROR(IF(INDEX(tbl_Onsite[Qwilr Quote],IFERROR(MATCH(A66&amp;"",tbl_Onsite[Job Number],0),MATCH(IFERROR(A66+0,A66),tbl_Onsite[Job Number],0)))="","",INDEX(tbl_Onsite[Qwilr Quote],IFERROR(MATCH(A66&amp;"",tbl_Onsite[Job Number],0),MATCH(IFERROR(A66+0,A66),tbl_Onsite[Job Number],0)))),IFERROR(IF(IF(INDEX(tbl_Production[Current RMS No],IFERROR(MATCH(A66&amp;"",tbl_Production[Job Number],0),MATCH(IFERROR(A66+0,A66),tbl_Production[Job Number],0)))="",INDEX(tbl_Production[Qwilr Quote],IFERROR(MATCH(A66&amp;"",tbl_Production[Job Number],0),MATCH(IFERROR(A66+0,A66),tbl_Production[Job Number],0))),INDEX(tbl_Production[Current RMS No],IFERROR(MATCH(A66&amp;"",tbl_Production[Job Number],0),MATCH(IFERROR(A66+0,A66),tbl_Production[Job Number],0))))="","",IF(INDEX(tbl_Production[Current RMS No],IFERROR(MATCH(A66&amp;"",tbl_Production[Job Number],0),MATCH(IFERROR(A66+0,A66),tbl_Production[Job Number],0)))="",INDEX(tbl_Production[Qwilr Quote],IFERROR(MATCH(A66&amp;"",tbl_Production[Job Number],0),MATCH(IFERROR(A66+0,A66),tbl_Production[Job Number],0))),INDEX(tbl_Production[Current RMS No],IFERROR(MATCH(A66&amp;"",tbl_Production[Job Number],0),MATCH(IFERROR(A66+0,A66),tbl_Production[Job Number],0))))),IFERROR(IF(INDEX(tbl_Consulting[Qwilr Quote],IFERROR(MATCH(A66&amp;"",tbl_Consulting[Job Number],0),MATCH(IFERROR(A66+0,A66),tbl_Consulting[Job Number],0)))="","",INDEX(tbl_Consulting[Qwilr Quote],IFERROR(MATCH(A66&amp;"",tbl_Consulting[Job Number],0),MATCH(IFERROR(A66+0,A66),tbl_Consulting[Job Number],0)))),""))))</f>
        <v/>
      </c>
      <c r="AG66" s="26">
        <f>IF(AF66="","",IF(AND(LEFT(AF66,4)&lt;&gt;"http",IF(G66="Production",set_RMSBase,set_QwilrBase)=""),"",HYPERLINK(IF(LEFT(AF66,4)="http",AF66,IF(G66="Production",set_RMSBase,set_QwilrBase)&amp;AF66),"Open")))</f>
        <v/>
      </c>
      <c r="AH66" s="27">
        <f>IF(A66="","",IFERROR(INDEX(tbl_Production[Total Expense],IFERROR(MATCH(A66&amp;"",tbl_Production[Job Number],0),MATCH(IFERROR(A66+0,A66),tbl_Production[Job Number],0))),IFERROR(INDEX(tbl_Consulting[Total Expense],IFERROR(MATCH(A66&amp;"",tbl_Consulting[Job Number],0),MATCH(IFERROR(A66+0,A66),tbl_Consulting[Job Number],0))),0)))</f>
        <v/>
      </c>
      <c r="AI66" s="27">
        <f>IF(A66="","",AC66-N(AH66))</f>
        <v/>
      </c>
      <c r="AJ66" s="29">
        <f>IFERROR(AI66/AC66,"")</f>
        <v/>
      </c>
      <c r="AK66" s="26">
        <f>IF(A66="","",IFERROR(IF(INDEX(tbl_Onsite[Notes],IFERROR(MATCH(A66&amp;"",tbl_Onsite[Job Number],0),MATCH(IFERROR(A66+0,A66),tbl_Onsite[Job Number],0)))="","",INDEX(tbl_Onsite[Notes],IFERROR(MATCH(A66&amp;"",tbl_Onsite[Job Number],0),MATCH(IFERROR(A66+0,A66),tbl_Onsite[Job Number],0)))),IFERROR(IF(INDEX(tbl_Production[Notes],IFERROR(MATCH(A66&amp;"",tbl_Production[Job Number],0),MATCH(IFERROR(A66+0,A66),tbl_Production[Job Number],0)))="","",INDEX(tbl_Production[Notes],IFERROR(MATCH(A66&amp;"",tbl_Production[Job Number],0),MATCH(IFERROR(A66+0,A66),tbl_Production[Job Number],0)))),IFERROR(IF(INDEX(tbl_Consulting[Notes],IFERROR(MATCH(A66&amp;"",tbl_Consulting[Job Number],0),MATCH(IFERROR(A66+0,A66),tbl_Consulting[Job Number],0)))="","",INDEX(tbl_Consulting[Notes],IFERROR(MATCH(A66&amp;"",tbl_Consulting[Job Number],0),MATCH(IFERROR(A66+0,A66),tbl_Consulting[Job Number],0)))),""))))</f>
        <v/>
      </c>
    </row>
    <row r="67" ht="15" customHeight="1">
      <c r="A67" s="22" t="n"/>
      <c r="B67" s="22" t="n"/>
      <c r="C67" s="23" t="n"/>
      <c r="D67" s="22" t="n"/>
      <c r="E67" s="24" t="n"/>
      <c r="F67" s="25">
        <f>IF(C67="","",EOMONTH(C67,0))</f>
        <v/>
      </c>
      <c r="G67" s="26">
        <f>IF(A67="","",IF(COUNTIF(tbl_Onsite[Job Number],A67&amp;"")&gt;0,"Onsite",IF(COUNTIF(tbl_Production[Job Number],A67&amp;"")&gt;0,"Production",IF(COUNTIF(tbl_Consulting[Job Number],A67&amp;"")&gt;0,"Consulting","not set up yet"))))</f>
        <v/>
      </c>
      <c r="H67" s="26">
        <f>IF(A67="","",IF(COUNTIF(lst_Jobs,A67&amp;"")&gt;0,"OK","CHECK"))</f>
        <v/>
      </c>
      <c r="I67" s="26">
        <f>IF(A67="","",IFERROR(INDEX(lst_JobName,MATCH(A67&amp;"",lst_Jobs,0)),""))</f>
        <v/>
      </c>
      <c r="J67" s="26">
        <f>IF(A67="","",IFERROR(IF(INDEX(tbl_Onsite[Client],IFERROR(MATCH(A67&amp;"",tbl_Onsite[Job Number],0),MATCH(IFERROR(A67+0,A67),tbl_Onsite[Job Number],0)))="","",INDEX(tbl_Onsite[Client],IFERROR(MATCH(A67&amp;"",tbl_Onsite[Job Number],0),MATCH(IFERROR(A67+0,A67),tbl_Onsite[Job Number],0)))),IFERROR(IF(INDEX(tbl_Production[Client],IFERROR(MATCH(A67&amp;"",tbl_Production[Job Number],0),MATCH(IFERROR(A67+0,A67),tbl_Production[Job Number],0)))="","",INDEX(tbl_Production[Client],IFERROR(MATCH(A67&amp;"",tbl_Production[Job Number],0),MATCH(IFERROR(A67+0,A67),tbl_Production[Job Number],0)))),IFERROR(IF(INDEX(tbl_Consulting[Client],IFERROR(MATCH(A67&amp;"",tbl_Consulting[Job Number],0),MATCH(IFERROR(A67+0,A67),tbl_Consulting[Job Number],0)))="","",INDEX(tbl_Consulting[Client],IFERROR(MATCH(A67&amp;"",tbl_Consulting[Job Number],0),MATCH(IFERROR(A67+0,A67),tbl_Consulting[Job Number],0)))),""))))</f>
        <v/>
      </c>
      <c r="K67" s="26">
        <f>IF(A67="","",IFERROR(IF(INDEX(tbl_Onsite[Job Description],IFERROR(MATCH(A67&amp;"",tbl_Onsite[Job Number],0),MATCH(IFERROR(A67+0,A67),tbl_Onsite[Job Number],0)))="","",INDEX(tbl_Onsite[Job Description],IFERROR(MATCH(A67&amp;"",tbl_Onsite[Job Number],0),MATCH(IFERROR(A67+0,A67),tbl_Onsite[Job Number],0)))),IFERROR(IF(INDEX(tbl_Production[Job Description],IFERROR(MATCH(A67&amp;"",tbl_Production[Job Number],0),MATCH(IFERROR(A67+0,A67),tbl_Production[Job Number],0)))="","",INDEX(tbl_Production[Job Description],IFERROR(MATCH(A67&amp;"",tbl_Production[Job Number],0),MATCH(IFERROR(A67+0,A67),tbl_Production[Job Number],0)))),IFERROR(IF(INDEX(tbl_Consulting[Job Description],IFERROR(MATCH(A67&amp;"",tbl_Consulting[Job Number],0),MATCH(IFERROR(A67+0,A67),tbl_Consulting[Job Number],0)))="","",INDEX(tbl_Consulting[Job Description],IFERROR(MATCH(A67&amp;"",tbl_Consulting[Job Number],0),MATCH(IFERROR(A67+0,A67),tbl_Consulting[Job Number],0)))),""))))</f>
        <v/>
      </c>
      <c r="L67" s="26">
        <f>IF(A67="","",IFERROR(IF(INDEX(tbl_Onsite[Invoice Type],IFERROR(MATCH(A67&amp;"",tbl_Onsite[Job Number],0),MATCH(IFERROR(A67+0,A67),tbl_Onsite[Job Number],0)))="","",INDEX(tbl_Onsite[Invoice Type],IFERROR(MATCH(A67&amp;"",tbl_Onsite[Job Number],0),MATCH(IFERROR(A67+0,A67),tbl_Onsite[Job Number],0)))),IFERROR(IF(INDEX(tbl_Production[Invoice Type],IFERROR(MATCH(A67&amp;"",tbl_Production[Job Number],0),MATCH(IFERROR(A67+0,A67),tbl_Production[Job Number],0)))="","",INDEX(tbl_Production[Invoice Type],IFERROR(MATCH(A67&amp;"",tbl_Production[Job Number],0),MATCH(IFERROR(A67+0,A67),tbl_Production[Job Number],0)))),IFERROR(IF(INDEX(tbl_Consulting[Invoice Type],IFERROR(MATCH(A67&amp;"",tbl_Consulting[Job Number],0),MATCH(IFERROR(A67+0,A67),tbl_Consulting[Job Number],0)))="","",INDEX(tbl_Consulting[Invoice Type],IFERROR(MATCH(A67&amp;"",tbl_Consulting[Job Number],0),MATCH(IFERROR(A67+0,A67),tbl_Consulting[Job Number],0)))),""))))</f>
        <v/>
      </c>
      <c r="M67" s="26">
        <f>IF(A67="","",IF(IFERROR(IF(INDEX(tbl_Onsite[Tax Code],IFERROR(MATCH(A67&amp;"",tbl_Onsite[Job Number],0),MATCH(IFERROR(A67+0,A67),tbl_Onsite[Job Number],0)))="","",INDEX(tbl_Onsite[Tax Code],IFERROR(MATCH(A67&amp;"",tbl_Onsite[Job Number],0),MATCH(IFERROR(A67+0,A67),tbl_Onsite[Job Number],0)))),IFERROR(IF(INDEX(tbl_Production[Tax Code],IFERROR(MATCH(A67&amp;"",tbl_Production[Job Number],0),MATCH(IFERROR(A67+0,A67),tbl_Production[Job Number],0)))="","",INDEX(tbl_Production[Tax Code],IFERROR(MATCH(A67&amp;"",tbl_Production[Job Number],0),MATCH(IFERROR(A67+0,A67),tbl_Production[Job Number],0)))),IFERROR(IF(INDEX(tbl_Consulting[Tax Code],IFERROR(MATCH(A67&amp;"",tbl_Consulting[Job Number],0),MATCH(IFERROR(A67+0,A67),tbl_Consulting[Job Number],0)))="","",INDEX(tbl_Consulting[Tax Code],IFERROR(MATCH(A67&amp;"",tbl_Consulting[Job Number],0),MATCH(IFERROR(A67+0,A67),tbl_Consulting[Job Number],0)))),"")))="","GST 10%",IFERROR(IF(INDEX(tbl_Onsite[Tax Code],IFERROR(MATCH(A67&amp;"",tbl_Onsite[Job Number],0),MATCH(IFERROR(A67+0,A67),tbl_Onsite[Job Number],0)))="","",INDEX(tbl_Onsite[Tax Code],IFERROR(MATCH(A67&amp;"",tbl_Onsite[Job Number],0),MATCH(IFERROR(A67+0,A67),tbl_Onsite[Job Number],0)))),IFERROR(IF(INDEX(tbl_Production[Tax Code],IFERROR(MATCH(A67&amp;"",tbl_Production[Job Number],0),MATCH(IFERROR(A67+0,A67),tbl_Production[Job Number],0)))="","",INDEX(tbl_Production[Tax Code],IFERROR(MATCH(A67&amp;"",tbl_Production[Job Number],0),MATCH(IFERROR(A67+0,A67),tbl_Production[Job Number],0)))),IFERROR(IF(INDEX(tbl_Consulting[Tax Code],IFERROR(MATCH(A67&amp;"",tbl_Consulting[Job Number],0),MATCH(IFERROR(A67+0,A67),tbl_Consulting[Job Number],0)))="","",INDEX(tbl_Consulting[Tax Code],IFERROR(MATCH(A67&amp;"",tbl_Consulting[Job Number],0),MATCH(IFERROR(A67+0,A67),tbl_Consulting[Job Number],0)))),"")))))</f>
        <v/>
      </c>
      <c r="N67" s="26">
        <f>IF(D67="","",IFERROR(INDEX(lst_CCtoGL,MATCH(D67,lst_CCforGL,0)),""))</f>
        <v/>
      </c>
      <c r="O67" s="27">
        <f>IF(E67="","",IF(M67="GST 10%",ROUND(E67*set_GSTRate,2),0))</f>
        <v/>
      </c>
      <c r="P67" s="27">
        <f>IF(E67="","",E67+O67)</f>
        <v/>
      </c>
      <c r="Q67" s="27">
        <f>IF(A67="","",IFERROR(INDEX(tbl_Onsite[Expected Revenue Ex GST],IFERROR(MATCH(A67&amp;"",tbl_Onsite[Job Number],0),MATCH(IFERROR(A67+0,A67),tbl_Onsite[Job Number],0))),IFERROR(INDEX(tbl_Production[Expected Revenue Ex GST],IFERROR(MATCH(A67&amp;"",tbl_Production[Job Number],0),MATCH(IFERROR(A67+0,A67),tbl_Production[Job Number],0))),IFERROR(INDEX(tbl_Consulting[Expected Revenue Ex GST],IFERROR(MATCH(A67&amp;"",tbl_Consulting[Job Number],0),MATCH(IFERROR(A67+0,A67),tbl_Consulting[Job Number],0))),0))))</f>
        <v/>
      </c>
      <c r="R67" s="27">
        <f>IF(A67="","",SUMIFS(tbl_Finance[Ex GST],tbl_Finance[Job Number],A67&amp;""))</f>
        <v/>
      </c>
      <c r="S67" s="27">
        <f>IF(A67="","",Q67-R67)</f>
        <v/>
      </c>
      <c r="T67" s="26">
        <f>IF(A67="","",IF(Q67=0,"No dept value",IF(ROUND(S67,2)=0,"Agrees",IF(S67&gt;0,"Dept higher - to invoice","Xero higher - check dept"))))</f>
        <v/>
      </c>
      <c r="U67" s="22" t="n"/>
      <c r="V67" s="22" t="n"/>
      <c r="W67" s="23" t="n"/>
      <c r="X67" s="23" t="n"/>
      <c r="Y67" s="22" t="n"/>
      <c r="Z67" s="22" t="n"/>
      <c r="AA67" s="26">
        <f>IF(COUNTA(C67,A67,B67,E67)=0,"",IF(C67="","No date - sits outside every month",IF(A67="","No job number",IF(H67="CHECK","Job number is not in the Xero job list",IF(G67="not set up yet","No department has set this job up - nothing can pull through",IF(D67="","No cost centre",IF(AND(U67="Y",B67=""),"Marked posted to Xero but has no invoice number",IF(N67="","Cost centre has no revenue GL on the Lists sheet",IF(T67="Xero higher - check dept","Invoiced more than the department says the job is worth","")))))))))</f>
        <v/>
      </c>
      <c r="AB67" s="28">
        <f>IF(A67="","",COUNTIFS(tbl_Finance[Job Number],A67&amp;"",tbl_Finance[Ex GST],"&lt;&gt;"))</f>
        <v/>
      </c>
      <c r="AC67" s="27">
        <f>IF(A67="","",SUMIFS(tbl_Finance[Ex GST],tbl_Finance[Job Number],A67&amp;""))</f>
        <v/>
      </c>
      <c r="AD67" s="27">
        <f>IF(A67="","",SUMIFS(tbl_Finance[Ex GST],tbl_Finance[Job Number],A67&amp;"",tbl_Finance[Xero Invoice No],"&lt;&gt;"))</f>
        <v/>
      </c>
      <c r="AE67" s="27">
        <f>IF(A67="","",AC67-AD67)</f>
        <v/>
      </c>
      <c r="AF67" s="26">
        <f>IF(A67="","",IFERROR(IF(INDEX(tbl_Onsite[Qwilr Quote],IFERROR(MATCH(A67&amp;"",tbl_Onsite[Job Number],0),MATCH(IFERROR(A67+0,A67),tbl_Onsite[Job Number],0)))="","",INDEX(tbl_Onsite[Qwilr Quote],IFERROR(MATCH(A67&amp;"",tbl_Onsite[Job Number],0),MATCH(IFERROR(A67+0,A67),tbl_Onsite[Job Number],0)))),IFERROR(IF(IF(INDEX(tbl_Production[Current RMS No],IFERROR(MATCH(A67&amp;"",tbl_Production[Job Number],0),MATCH(IFERROR(A67+0,A67),tbl_Production[Job Number],0)))="",INDEX(tbl_Production[Qwilr Quote],IFERROR(MATCH(A67&amp;"",tbl_Production[Job Number],0),MATCH(IFERROR(A67+0,A67),tbl_Production[Job Number],0))),INDEX(tbl_Production[Current RMS No],IFERROR(MATCH(A67&amp;"",tbl_Production[Job Number],0),MATCH(IFERROR(A67+0,A67),tbl_Production[Job Number],0))))="","",IF(INDEX(tbl_Production[Current RMS No],IFERROR(MATCH(A67&amp;"",tbl_Production[Job Number],0),MATCH(IFERROR(A67+0,A67),tbl_Production[Job Number],0)))="",INDEX(tbl_Production[Qwilr Quote],IFERROR(MATCH(A67&amp;"",tbl_Production[Job Number],0),MATCH(IFERROR(A67+0,A67),tbl_Production[Job Number],0))),INDEX(tbl_Production[Current RMS No],IFERROR(MATCH(A67&amp;"",tbl_Production[Job Number],0),MATCH(IFERROR(A67+0,A67),tbl_Production[Job Number],0))))),IFERROR(IF(INDEX(tbl_Consulting[Qwilr Quote],IFERROR(MATCH(A67&amp;"",tbl_Consulting[Job Number],0),MATCH(IFERROR(A67+0,A67),tbl_Consulting[Job Number],0)))="","",INDEX(tbl_Consulting[Qwilr Quote],IFERROR(MATCH(A67&amp;"",tbl_Consulting[Job Number],0),MATCH(IFERROR(A67+0,A67),tbl_Consulting[Job Number],0)))),""))))</f>
        <v/>
      </c>
      <c r="AG67" s="26">
        <f>IF(AF67="","",IF(AND(LEFT(AF67,4)&lt;&gt;"http",IF(G67="Production",set_RMSBase,set_QwilrBase)=""),"",HYPERLINK(IF(LEFT(AF67,4)="http",AF67,IF(G67="Production",set_RMSBase,set_QwilrBase)&amp;AF67),"Open")))</f>
        <v/>
      </c>
      <c r="AH67" s="27">
        <f>IF(A67="","",IFERROR(INDEX(tbl_Production[Total Expense],IFERROR(MATCH(A67&amp;"",tbl_Production[Job Number],0),MATCH(IFERROR(A67+0,A67),tbl_Production[Job Number],0))),IFERROR(INDEX(tbl_Consulting[Total Expense],IFERROR(MATCH(A67&amp;"",tbl_Consulting[Job Number],0),MATCH(IFERROR(A67+0,A67),tbl_Consulting[Job Number],0))),0)))</f>
        <v/>
      </c>
      <c r="AI67" s="27">
        <f>IF(A67="","",AC67-N(AH67))</f>
        <v/>
      </c>
      <c r="AJ67" s="29">
        <f>IFERROR(AI67/AC67,"")</f>
        <v/>
      </c>
      <c r="AK67" s="26">
        <f>IF(A67="","",IFERROR(IF(INDEX(tbl_Onsite[Notes],IFERROR(MATCH(A67&amp;"",tbl_Onsite[Job Number],0),MATCH(IFERROR(A67+0,A67),tbl_Onsite[Job Number],0)))="","",INDEX(tbl_Onsite[Notes],IFERROR(MATCH(A67&amp;"",tbl_Onsite[Job Number],0),MATCH(IFERROR(A67+0,A67),tbl_Onsite[Job Number],0)))),IFERROR(IF(INDEX(tbl_Production[Notes],IFERROR(MATCH(A67&amp;"",tbl_Production[Job Number],0),MATCH(IFERROR(A67+0,A67),tbl_Production[Job Number],0)))="","",INDEX(tbl_Production[Notes],IFERROR(MATCH(A67&amp;"",tbl_Production[Job Number],0),MATCH(IFERROR(A67+0,A67),tbl_Production[Job Number],0)))),IFERROR(IF(INDEX(tbl_Consulting[Notes],IFERROR(MATCH(A67&amp;"",tbl_Consulting[Job Number],0),MATCH(IFERROR(A67+0,A67),tbl_Consulting[Job Number],0)))="","",INDEX(tbl_Consulting[Notes],IFERROR(MATCH(A67&amp;"",tbl_Consulting[Job Number],0),MATCH(IFERROR(A67+0,A67),tbl_Consulting[Job Number],0)))),""))))</f>
        <v/>
      </c>
    </row>
    <row r="68" ht="15" customHeight="1">
      <c r="A68" s="22" t="n"/>
      <c r="B68" s="22" t="n"/>
      <c r="C68" s="23" t="n"/>
      <c r="D68" s="22" t="n"/>
      <c r="E68" s="24" t="n"/>
      <c r="F68" s="25">
        <f>IF(C68="","",EOMONTH(C68,0))</f>
        <v/>
      </c>
      <c r="G68" s="26">
        <f>IF(A68="","",IF(COUNTIF(tbl_Onsite[Job Number],A68&amp;"")&gt;0,"Onsite",IF(COUNTIF(tbl_Production[Job Number],A68&amp;"")&gt;0,"Production",IF(COUNTIF(tbl_Consulting[Job Number],A68&amp;"")&gt;0,"Consulting","not set up yet"))))</f>
        <v/>
      </c>
      <c r="H68" s="26">
        <f>IF(A68="","",IF(COUNTIF(lst_Jobs,A68&amp;"")&gt;0,"OK","CHECK"))</f>
        <v/>
      </c>
      <c r="I68" s="26">
        <f>IF(A68="","",IFERROR(INDEX(lst_JobName,MATCH(A68&amp;"",lst_Jobs,0)),""))</f>
        <v/>
      </c>
      <c r="J68" s="26">
        <f>IF(A68="","",IFERROR(IF(INDEX(tbl_Onsite[Client],IFERROR(MATCH(A68&amp;"",tbl_Onsite[Job Number],0),MATCH(IFERROR(A68+0,A68),tbl_Onsite[Job Number],0)))="","",INDEX(tbl_Onsite[Client],IFERROR(MATCH(A68&amp;"",tbl_Onsite[Job Number],0),MATCH(IFERROR(A68+0,A68),tbl_Onsite[Job Number],0)))),IFERROR(IF(INDEX(tbl_Production[Client],IFERROR(MATCH(A68&amp;"",tbl_Production[Job Number],0),MATCH(IFERROR(A68+0,A68),tbl_Production[Job Number],0)))="","",INDEX(tbl_Production[Client],IFERROR(MATCH(A68&amp;"",tbl_Production[Job Number],0),MATCH(IFERROR(A68+0,A68),tbl_Production[Job Number],0)))),IFERROR(IF(INDEX(tbl_Consulting[Client],IFERROR(MATCH(A68&amp;"",tbl_Consulting[Job Number],0),MATCH(IFERROR(A68+0,A68),tbl_Consulting[Job Number],0)))="","",INDEX(tbl_Consulting[Client],IFERROR(MATCH(A68&amp;"",tbl_Consulting[Job Number],0),MATCH(IFERROR(A68+0,A68),tbl_Consulting[Job Number],0)))),""))))</f>
        <v/>
      </c>
      <c r="K68" s="26">
        <f>IF(A68="","",IFERROR(IF(INDEX(tbl_Onsite[Job Description],IFERROR(MATCH(A68&amp;"",tbl_Onsite[Job Number],0),MATCH(IFERROR(A68+0,A68),tbl_Onsite[Job Number],0)))="","",INDEX(tbl_Onsite[Job Description],IFERROR(MATCH(A68&amp;"",tbl_Onsite[Job Number],0),MATCH(IFERROR(A68+0,A68),tbl_Onsite[Job Number],0)))),IFERROR(IF(INDEX(tbl_Production[Job Description],IFERROR(MATCH(A68&amp;"",tbl_Production[Job Number],0),MATCH(IFERROR(A68+0,A68),tbl_Production[Job Number],0)))="","",INDEX(tbl_Production[Job Description],IFERROR(MATCH(A68&amp;"",tbl_Production[Job Number],0),MATCH(IFERROR(A68+0,A68),tbl_Production[Job Number],0)))),IFERROR(IF(INDEX(tbl_Consulting[Job Description],IFERROR(MATCH(A68&amp;"",tbl_Consulting[Job Number],0),MATCH(IFERROR(A68+0,A68),tbl_Consulting[Job Number],0)))="","",INDEX(tbl_Consulting[Job Description],IFERROR(MATCH(A68&amp;"",tbl_Consulting[Job Number],0),MATCH(IFERROR(A68+0,A68),tbl_Consulting[Job Number],0)))),""))))</f>
        <v/>
      </c>
      <c r="L68" s="26">
        <f>IF(A68="","",IFERROR(IF(INDEX(tbl_Onsite[Invoice Type],IFERROR(MATCH(A68&amp;"",tbl_Onsite[Job Number],0),MATCH(IFERROR(A68+0,A68),tbl_Onsite[Job Number],0)))="","",INDEX(tbl_Onsite[Invoice Type],IFERROR(MATCH(A68&amp;"",tbl_Onsite[Job Number],0),MATCH(IFERROR(A68+0,A68),tbl_Onsite[Job Number],0)))),IFERROR(IF(INDEX(tbl_Production[Invoice Type],IFERROR(MATCH(A68&amp;"",tbl_Production[Job Number],0),MATCH(IFERROR(A68+0,A68),tbl_Production[Job Number],0)))="","",INDEX(tbl_Production[Invoice Type],IFERROR(MATCH(A68&amp;"",tbl_Production[Job Number],0),MATCH(IFERROR(A68+0,A68),tbl_Production[Job Number],0)))),IFERROR(IF(INDEX(tbl_Consulting[Invoice Type],IFERROR(MATCH(A68&amp;"",tbl_Consulting[Job Number],0),MATCH(IFERROR(A68+0,A68),tbl_Consulting[Job Number],0)))="","",INDEX(tbl_Consulting[Invoice Type],IFERROR(MATCH(A68&amp;"",tbl_Consulting[Job Number],0),MATCH(IFERROR(A68+0,A68),tbl_Consulting[Job Number],0)))),""))))</f>
        <v/>
      </c>
      <c r="M68" s="26">
        <f>IF(A68="","",IF(IFERROR(IF(INDEX(tbl_Onsite[Tax Code],IFERROR(MATCH(A68&amp;"",tbl_Onsite[Job Number],0),MATCH(IFERROR(A68+0,A68),tbl_Onsite[Job Number],0)))="","",INDEX(tbl_Onsite[Tax Code],IFERROR(MATCH(A68&amp;"",tbl_Onsite[Job Number],0),MATCH(IFERROR(A68+0,A68),tbl_Onsite[Job Number],0)))),IFERROR(IF(INDEX(tbl_Production[Tax Code],IFERROR(MATCH(A68&amp;"",tbl_Production[Job Number],0),MATCH(IFERROR(A68+0,A68),tbl_Production[Job Number],0)))="","",INDEX(tbl_Production[Tax Code],IFERROR(MATCH(A68&amp;"",tbl_Production[Job Number],0),MATCH(IFERROR(A68+0,A68),tbl_Production[Job Number],0)))),IFERROR(IF(INDEX(tbl_Consulting[Tax Code],IFERROR(MATCH(A68&amp;"",tbl_Consulting[Job Number],0),MATCH(IFERROR(A68+0,A68),tbl_Consulting[Job Number],0)))="","",INDEX(tbl_Consulting[Tax Code],IFERROR(MATCH(A68&amp;"",tbl_Consulting[Job Number],0),MATCH(IFERROR(A68+0,A68),tbl_Consulting[Job Number],0)))),"")))="","GST 10%",IFERROR(IF(INDEX(tbl_Onsite[Tax Code],IFERROR(MATCH(A68&amp;"",tbl_Onsite[Job Number],0),MATCH(IFERROR(A68+0,A68),tbl_Onsite[Job Number],0)))="","",INDEX(tbl_Onsite[Tax Code],IFERROR(MATCH(A68&amp;"",tbl_Onsite[Job Number],0),MATCH(IFERROR(A68+0,A68),tbl_Onsite[Job Number],0)))),IFERROR(IF(INDEX(tbl_Production[Tax Code],IFERROR(MATCH(A68&amp;"",tbl_Production[Job Number],0),MATCH(IFERROR(A68+0,A68),tbl_Production[Job Number],0)))="","",INDEX(tbl_Production[Tax Code],IFERROR(MATCH(A68&amp;"",tbl_Production[Job Number],0),MATCH(IFERROR(A68+0,A68),tbl_Production[Job Number],0)))),IFERROR(IF(INDEX(tbl_Consulting[Tax Code],IFERROR(MATCH(A68&amp;"",tbl_Consulting[Job Number],0),MATCH(IFERROR(A68+0,A68),tbl_Consulting[Job Number],0)))="","",INDEX(tbl_Consulting[Tax Code],IFERROR(MATCH(A68&amp;"",tbl_Consulting[Job Number],0),MATCH(IFERROR(A68+0,A68),tbl_Consulting[Job Number],0)))),"")))))</f>
        <v/>
      </c>
      <c r="N68" s="26">
        <f>IF(D68="","",IFERROR(INDEX(lst_CCtoGL,MATCH(D68,lst_CCforGL,0)),""))</f>
        <v/>
      </c>
      <c r="O68" s="27">
        <f>IF(E68="","",IF(M68="GST 10%",ROUND(E68*set_GSTRate,2),0))</f>
        <v/>
      </c>
      <c r="P68" s="27">
        <f>IF(E68="","",E68+O68)</f>
        <v/>
      </c>
      <c r="Q68" s="27">
        <f>IF(A68="","",IFERROR(INDEX(tbl_Onsite[Expected Revenue Ex GST],IFERROR(MATCH(A68&amp;"",tbl_Onsite[Job Number],0),MATCH(IFERROR(A68+0,A68),tbl_Onsite[Job Number],0))),IFERROR(INDEX(tbl_Production[Expected Revenue Ex GST],IFERROR(MATCH(A68&amp;"",tbl_Production[Job Number],0),MATCH(IFERROR(A68+0,A68),tbl_Production[Job Number],0))),IFERROR(INDEX(tbl_Consulting[Expected Revenue Ex GST],IFERROR(MATCH(A68&amp;"",tbl_Consulting[Job Number],0),MATCH(IFERROR(A68+0,A68),tbl_Consulting[Job Number],0))),0))))</f>
        <v/>
      </c>
      <c r="R68" s="27">
        <f>IF(A68="","",SUMIFS(tbl_Finance[Ex GST],tbl_Finance[Job Number],A68&amp;""))</f>
        <v/>
      </c>
      <c r="S68" s="27">
        <f>IF(A68="","",Q68-R68)</f>
        <v/>
      </c>
      <c r="T68" s="26">
        <f>IF(A68="","",IF(Q68=0,"No dept value",IF(ROUND(S68,2)=0,"Agrees",IF(S68&gt;0,"Dept higher - to invoice","Xero higher - check dept"))))</f>
        <v/>
      </c>
      <c r="U68" s="22" t="n"/>
      <c r="V68" s="22" t="n"/>
      <c r="W68" s="23" t="n"/>
      <c r="X68" s="23" t="n"/>
      <c r="Y68" s="22" t="n"/>
      <c r="Z68" s="22" t="n"/>
      <c r="AA68" s="26">
        <f>IF(COUNTA(C68,A68,B68,E68)=0,"",IF(C68="","No date - sits outside every month",IF(A68="","No job number",IF(H68="CHECK","Job number is not in the Xero job list",IF(G68="not set up yet","No department has set this job up - nothing can pull through",IF(D68="","No cost centre",IF(AND(U68="Y",B68=""),"Marked posted to Xero but has no invoice number",IF(N68="","Cost centre has no revenue GL on the Lists sheet",IF(T68="Xero higher - check dept","Invoiced more than the department says the job is worth","")))))))))</f>
        <v/>
      </c>
      <c r="AB68" s="28">
        <f>IF(A68="","",COUNTIFS(tbl_Finance[Job Number],A68&amp;"",tbl_Finance[Ex GST],"&lt;&gt;"))</f>
        <v/>
      </c>
      <c r="AC68" s="27">
        <f>IF(A68="","",SUMIFS(tbl_Finance[Ex GST],tbl_Finance[Job Number],A68&amp;""))</f>
        <v/>
      </c>
      <c r="AD68" s="27">
        <f>IF(A68="","",SUMIFS(tbl_Finance[Ex GST],tbl_Finance[Job Number],A68&amp;"",tbl_Finance[Xero Invoice No],"&lt;&gt;"))</f>
        <v/>
      </c>
      <c r="AE68" s="27">
        <f>IF(A68="","",AC68-AD68)</f>
        <v/>
      </c>
      <c r="AF68" s="26">
        <f>IF(A68="","",IFERROR(IF(INDEX(tbl_Onsite[Qwilr Quote],IFERROR(MATCH(A68&amp;"",tbl_Onsite[Job Number],0),MATCH(IFERROR(A68+0,A68),tbl_Onsite[Job Number],0)))="","",INDEX(tbl_Onsite[Qwilr Quote],IFERROR(MATCH(A68&amp;"",tbl_Onsite[Job Number],0),MATCH(IFERROR(A68+0,A68),tbl_Onsite[Job Number],0)))),IFERROR(IF(IF(INDEX(tbl_Production[Current RMS No],IFERROR(MATCH(A68&amp;"",tbl_Production[Job Number],0),MATCH(IFERROR(A68+0,A68),tbl_Production[Job Number],0)))="",INDEX(tbl_Production[Qwilr Quote],IFERROR(MATCH(A68&amp;"",tbl_Production[Job Number],0),MATCH(IFERROR(A68+0,A68),tbl_Production[Job Number],0))),INDEX(tbl_Production[Current RMS No],IFERROR(MATCH(A68&amp;"",tbl_Production[Job Number],0),MATCH(IFERROR(A68+0,A68),tbl_Production[Job Number],0))))="","",IF(INDEX(tbl_Production[Current RMS No],IFERROR(MATCH(A68&amp;"",tbl_Production[Job Number],0),MATCH(IFERROR(A68+0,A68),tbl_Production[Job Number],0)))="",INDEX(tbl_Production[Qwilr Quote],IFERROR(MATCH(A68&amp;"",tbl_Production[Job Number],0),MATCH(IFERROR(A68+0,A68),tbl_Production[Job Number],0))),INDEX(tbl_Production[Current RMS No],IFERROR(MATCH(A68&amp;"",tbl_Production[Job Number],0),MATCH(IFERROR(A68+0,A68),tbl_Production[Job Number],0))))),IFERROR(IF(INDEX(tbl_Consulting[Qwilr Quote],IFERROR(MATCH(A68&amp;"",tbl_Consulting[Job Number],0),MATCH(IFERROR(A68+0,A68),tbl_Consulting[Job Number],0)))="","",INDEX(tbl_Consulting[Qwilr Quote],IFERROR(MATCH(A68&amp;"",tbl_Consulting[Job Number],0),MATCH(IFERROR(A68+0,A68),tbl_Consulting[Job Number],0)))),""))))</f>
        <v/>
      </c>
      <c r="AG68" s="26">
        <f>IF(AF68="","",IF(AND(LEFT(AF68,4)&lt;&gt;"http",IF(G68="Production",set_RMSBase,set_QwilrBase)=""),"",HYPERLINK(IF(LEFT(AF68,4)="http",AF68,IF(G68="Production",set_RMSBase,set_QwilrBase)&amp;AF68),"Open")))</f>
        <v/>
      </c>
      <c r="AH68" s="27">
        <f>IF(A68="","",IFERROR(INDEX(tbl_Production[Total Expense],IFERROR(MATCH(A68&amp;"",tbl_Production[Job Number],0),MATCH(IFERROR(A68+0,A68),tbl_Production[Job Number],0))),IFERROR(INDEX(tbl_Consulting[Total Expense],IFERROR(MATCH(A68&amp;"",tbl_Consulting[Job Number],0),MATCH(IFERROR(A68+0,A68),tbl_Consulting[Job Number],0))),0)))</f>
        <v/>
      </c>
      <c r="AI68" s="27">
        <f>IF(A68="","",AC68-N(AH68))</f>
        <v/>
      </c>
      <c r="AJ68" s="29">
        <f>IFERROR(AI68/AC68,"")</f>
        <v/>
      </c>
      <c r="AK68" s="26">
        <f>IF(A68="","",IFERROR(IF(INDEX(tbl_Onsite[Notes],IFERROR(MATCH(A68&amp;"",tbl_Onsite[Job Number],0),MATCH(IFERROR(A68+0,A68),tbl_Onsite[Job Number],0)))="","",INDEX(tbl_Onsite[Notes],IFERROR(MATCH(A68&amp;"",tbl_Onsite[Job Number],0),MATCH(IFERROR(A68+0,A68),tbl_Onsite[Job Number],0)))),IFERROR(IF(INDEX(tbl_Production[Notes],IFERROR(MATCH(A68&amp;"",tbl_Production[Job Number],0),MATCH(IFERROR(A68+0,A68),tbl_Production[Job Number],0)))="","",INDEX(tbl_Production[Notes],IFERROR(MATCH(A68&amp;"",tbl_Production[Job Number],0),MATCH(IFERROR(A68+0,A68),tbl_Production[Job Number],0)))),IFERROR(IF(INDEX(tbl_Consulting[Notes],IFERROR(MATCH(A68&amp;"",tbl_Consulting[Job Number],0),MATCH(IFERROR(A68+0,A68),tbl_Consulting[Job Number],0)))="","",INDEX(tbl_Consulting[Notes],IFERROR(MATCH(A68&amp;"",tbl_Consulting[Job Number],0),MATCH(IFERROR(A68+0,A68),tbl_Consulting[Job Number],0)))),""))))</f>
        <v/>
      </c>
    </row>
    <row r="69" ht="15" customHeight="1">
      <c r="A69" s="22" t="n"/>
      <c r="B69" s="22" t="n"/>
      <c r="C69" s="23" t="n"/>
      <c r="D69" s="22" t="n"/>
      <c r="E69" s="24" t="n"/>
      <c r="F69" s="25">
        <f>IF(C69="","",EOMONTH(C69,0))</f>
        <v/>
      </c>
      <c r="G69" s="26">
        <f>IF(A69="","",IF(COUNTIF(tbl_Onsite[Job Number],A69&amp;"")&gt;0,"Onsite",IF(COUNTIF(tbl_Production[Job Number],A69&amp;"")&gt;0,"Production",IF(COUNTIF(tbl_Consulting[Job Number],A69&amp;"")&gt;0,"Consulting","not set up yet"))))</f>
        <v/>
      </c>
      <c r="H69" s="26">
        <f>IF(A69="","",IF(COUNTIF(lst_Jobs,A69&amp;"")&gt;0,"OK","CHECK"))</f>
        <v/>
      </c>
      <c r="I69" s="26">
        <f>IF(A69="","",IFERROR(INDEX(lst_JobName,MATCH(A69&amp;"",lst_Jobs,0)),""))</f>
        <v/>
      </c>
      <c r="J69" s="26">
        <f>IF(A69="","",IFERROR(IF(INDEX(tbl_Onsite[Client],IFERROR(MATCH(A69&amp;"",tbl_Onsite[Job Number],0),MATCH(IFERROR(A69+0,A69),tbl_Onsite[Job Number],0)))="","",INDEX(tbl_Onsite[Client],IFERROR(MATCH(A69&amp;"",tbl_Onsite[Job Number],0),MATCH(IFERROR(A69+0,A69),tbl_Onsite[Job Number],0)))),IFERROR(IF(INDEX(tbl_Production[Client],IFERROR(MATCH(A69&amp;"",tbl_Production[Job Number],0),MATCH(IFERROR(A69+0,A69),tbl_Production[Job Number],0)))="","",INDEX(tbl_Production[Client],IFERROR(MATCH(A69&amp;"",tbl_Production[Job Number],0),MATCH(IFERROR(A69+0,A69),tbl_Production[Job Number],0)))),IFERROR(IF(INDEX(tbl_Consulting[Client],IFERROR(MATCH(A69&amp;"",tbl_Consulting[Job Number],0),MATCH(IFERROR(A69+0,A69),tbl_Consulting[Job Number],0)))="","",INDEX(tbl_Consulting[Client],IFERROR(MATCH(A69&amp;"",tbl_Consulting[Job Number],0),MATCH(IFERROR(A69+0,A69),tbl_Consulting[Job Number],0)))),""))))</f>
        <v/>
      </c>
      <c r="K69" s="26">
        <f>IF(A69="","",IFERROR(IF(INDEX(tbl_Onsite[Job Description],IFERROR(MATCH(A69&amp;"",tbl_Onsite[Job Number],0),MATCH(IFERROR(A69+0,A69),tbl_Onsite[Job Number],0)))="","",INDEX(tbl_Onsite[Job Description],IFERROR(MATCH(A69&amp;"",tbl_Onsite[Job Number],0),MATCH(IFERROR(A69+0,A69),tbl_Onsite[Job Number],0)))),IFERROR(IF(INDEX(tbl_Production[Job Description],IFERROR(MATCH(A69&amp;"",tbl_Production[Job Number],0),MATCH(IFERROR(A69+0,A69),tbl_Production[Job Number],0)))="","",INDEX(tbl_Production[Job Description],IFERROR(MATCH(A69&amp;"",tbl_Production[Job Number],0),MATCH(IFERROR(A69+0,A69),tbl_Production[Job Number],0)))),IFERROR(IF(INDEX(tbl_Consulting[Job Description],IFERROR(MATCH(A69&amp;"",tbl_Consulting[Job Number],0),MATCH(IFERROR(A69+0,A69),tbl_Consulting[Job Number],0)))="","",INDEX(tbl_Consulting[Job Description],IFERROR(MATCH(A69&amp;"",tbl_Consulting[Job Number],0),MATCH(IFERROR(A69+0,A69),tbl_Consulting[Job Number],0)))),""))))</f>
        <v/>
      </c>
      <c r="L69" s="26">
        <f>IF(A69="","",IFERROR(IF(INDEX(tbl_Onsite[Invoice Type],IFERROR(MATCH(A69&amp;"",tbl_Onsite[Job Number],0),MATCH(IFERROR(A69+0,A69),tbl_Onsite[Job Number],0)))="","",INDEX(tbl_Onsite[Invoice Type],IFERROR(MATCH(A69&amp;"",tbl_Onsite[Job Number],0),MATCH(IFERROR(A69+0,A69),tbl_Onsite[Job Number],0)))),IFERROR(IF(INDEX(tbl_Production[Invoice Type],IFERROR(MATCH(A69&amp;"",tbl_Production[Job Number],0),MATCH(IFERROR(A69+0,A69),tbl_Production[Job Number],0)))="","",INDEX(tbl_Production[Invoice Type],IFERROR(MATCH(A69&amp;"",tbl_Production[Job Number],0),MATCH(IFERROR(A69+0,A69),tbl_Production[Job Number],0)))),IFERROR(IF(INDEX(tbl_Consulting[Invoice Type],IFERROR(MATCH(A69&amp;"",tbl_Consulting[Job Number],0),MATCH(IFERROR(A69+0,A69),tbl_Consulting[Job Number],0)))="","",INDEX(tbl_Consulting[Invoice Type],IFERROR(MATCH(A69&amp;"",tbl_Consulting[Job Number],0),MATCH(IFERROR(A69+0,A69),tbl_Consulting[Job Number],0)))),""))))</f>
        <v/>
      </c>
      <c r="M69" s="26">
        <f>IF(A69="","",IF(IFERROR(IF(INDEX(tbl_Onsite[Tax Code],IFERROR(MATCH(A69&amp;"",tbl_Onsite[Job Number],0),MATCH(IFERROR(A69+0,A69),tbl_Onsite[Job Number],0)))="","",INDEX(tbl_Onsite[Tax Code],IFERROR(MATCH(A69&amp;"",tbl_Onsite[Job Number],0),MATCH(IFERROR(A69+0,A69),tbl_Onsite[Job Number],0)))),IFERROR(IF(INDEX(tbl_Production[Tax Code],IFERROR(MATCH(A69&amp;"",tbl_Production[Job Number],0),MATCH(IFERROR(A69+0,A69),tbl_Production[Job Number],0)))="","",INDEX(tbl_Production[Tax Code],IFERROR(MATCH(A69&amp;"",tbl_Production[Job Number],0),MATCH(IFERROR(A69+0,A69),tbl_Production[Job Number],0)))),IFERROR(IF(INDEX(tbl_Consulting[Tax Code],IFERROR(MATCH(A69&amp;"",tbl_Consulting[Job Number],0),MATCH(IFERROR(A69+0,A69),tbl_Consulting[Job Number],0)))="","",INDEX(tbl_Consulting[Tax Code],IFERROR(MATCH(A69&amp;"",tbl_Consulting[Job Number],0),MATCH(IFERROR(A69+0,A69),tbl_Consulting[Job Number],0)))),"")))="","GST 10%",IFERROR(IF(INDEX(tbl_Onsite[Tax Code],IFERROR(MATCH(A69&amp;"",tbl_Onsite[Job Number],0),MATCH(IFERROR(A69+0,A69),tbl_Onsite[Job Number],0)))="","",INDEX(tbl_Onsite[Tax Code],IFERROR(MATCH(A69&amp;"",tbl_Onsite[Job Number],0),MATCH(IFERROR(A69+0,A69),tbl_Onsite[Job Number],0)))),IFERROR(IF(INDEX(tbl_Production[Tax Code],IFERROR(MATCH(A69&amp;"",tbl_Production[Job Number],0),MATCH(IFERROR(A69+0,A69),tbl_Production[Job Number],0)))="","",INDEX(tbl_Production[Tax Code],IFERROR(MATCH(A69&amp;"",tbl_Production[Job Number],0),MATCH(IFERROR(A69+0,A69),tbl_Production[Job Number],0)))),IFERROR(IF(INDEX(tbl_Consulting[Tax Code],IFERROR(MATCH(A69&amp;"",tbl_Consulting[Job Number],0),MATCH(IFERROR(A69+0,A69),tbl_Consulting[Job Number],0)))="","",INDEX(tbl_Consulting[Tax Code],IFERROR(MATCH(A69&amp;"",tbl_Consulting[Job Number],0),MATCH(IFERROR(A69+0,A69),tbl_Consulting[Job Number],0)))),"")))))</f>
        <v/>
      </c>
      <c r="N69" s="26">
        <f>IF(D69="","",IFERROR(INDEX(lst_CCtoGL,MATCH(D69,lst_CCforGL,0)),""))</f>
        <v/>
      </c>
      <c r="O69" s="27">
        <f>IF(E69="","",IF(M69="GST 10%",ROUND(E69*set_GSTRate,2),0))</f>
        <v/>
      </c>
      <c r="P69" s="27">
        <f>IF(E69="","",E69+O69)</f>
        <v/>
      </c>
      <c r="Q69" s="27">
        <f>IF(A69="","",IFERROR(INDEX(tbl_Onsite[Expected Revenue Ex GST],IFERROR(MATCH(A69&amp;"",tbl_Onsite[Job Number],0),MATCH(IFERROR(A69+0,A69),tbl_Onsite[Job Number],0))),IFERROR(INDEX(tbl_Production[Expected Revenue Ex GST],IFERROR(MATCH(A69&amp;"",tbl_Production[Job Number],0),MATCH(IFERROR(A69+0,A69),tbl_Production[Job Number],0))),IFERROR(INDEX(tbl_Consulting[Expected Revenue Ex GST],IFERROR(MATCH(A69&amp;"",tbl_Consulting[Job Number],0),MATCH(IFERROR(A69+0,A69),tbl_Consulting[Job Number],0))),0))))</f>
        <v/>
      </c>
      <c r="R69" s="27">
        <f>IF(A69="","",SUMIFS(tbl_Finance[Ex GST],tbl_Finance[Job Number],A69&amp;""))</f>
        <v/>
      </c>
      <c r="S69" s="27">
        <f>IF(A69="","",Q69-R69)</f>
        <v/>
      </c>
      <c r="T69" s="26">
        <f>IF(A69="","",IF(Q69=0,"No dept value",IF(ROUND(S69,2)=0,"Agrees",IF(S69&gt;0,"Dept higher - to invoice","Xero higher - check dept"))))</f>
        <v/>
      </c>
      <c r="U69" s="22" t="n"/>
      <c r="V69" s="22" t="n"/>
      <c r="W69" s="23" t="n"/>
      <c r="X69" s="23" t="n"/>
      <c r="Y69" s="22" t="n"/>
      <c r="Z69" s="22" t="n"/>
      <c r="AA69" s="26">
        <f>IF(COUNTA(C69,A69,B69,E69)=0,"",IF(C69="","No date - sits outside every month",IF(A69="","No job number",IF(H69="CHECK","Job number is not in the Xero job list",IF(G69="not set up yet","No department has set this job up - nothing can pull through",IF(D69="","No cost centre",IF(AND(U69="Y",B69=""),"Marked posted to Xero but has no invoice number",IF(N69="","Cost centre has no revenue GL on the Lists sheet",IF(T69="Xero higher - check dept","Invoiced more than the department says the job is worth","")))))))))</f>
        <v/>
      </c>
      <c r="AB69" s="28">
        <f>IF(A69="","",COUNTIFS(tbl_Finance[Job Number],A69&amp;"",tbl_Finance[Ex GST],"&lt;&gt;"))</f>
        <v/>
      </c>
      <c r="AC69" s="27">
        <f>IF(A69="","",SUMIFS(tbl_Finance[Ex GST],tbl_Finance[Job Number],A69&amp;""))</f>
        <v/>
      </c>
      <c r="AD69" s="27">
        <f>IF(A69="","",SUMIFS(tbl_Finance[Ex GST],tbl_Finance[Job Number],A69&amp;"",tbl_Finance[Xero Invoice No],"&lt;&gt;"))</f>
        <v/>
      </c>
      <c r="AE69" s="27">
        <f>IF(A69="","",AC69-AD69)</f>
        <v/>
      </c>
      <c r="AF69" s="26">
        <f>IF(A69="","",IFERROR(IF(INDEX(tbl_Onsite[Qwilr Quote],IFERROR(MATCH(A69&amp;"",tbl_Onsite[Job Number],0),MATCH(IFERROR(A69+0,A69),tbl_Onsite[Job Number],0)))="","",INDEX(tbl_Onsite[Qwilr Quote],IFERROR(MATCH(A69&amp;"",tbl_Onsite[Job Number],0),MATCH(IFERROR(A69+0,A69),tbl_Onsite[Job Number],0)))),IFERROR(IF(IF(INDEX(tbl_Production[Current RMS No],IFERROR(MATCH(A69&amp;"",tbl_Production[Job Number],0),MATCH(IFERROR(A69+0,A69),tbl_Production[Job Number],0)))="",INDEX(tbl_Production[Qwilr Quote],IFERROR(MATCH(A69&amp;"",tbl_Production[Job Number],0),MATCH(IFERROR(A69+0,A69),tbl_Production[Job Number],0))),INDEX(tbl_Production[Current RMS No],IFERROR(MATCH(A69&amp;"",tbl_Production[Job Number],0),MATCH(IFERROR(A69+0,A69),tbl_Production[Job Number],0))))="","",IF(INDEX(tbl_Production[Current RMS No],IFERROR(MATCH(A69&amp;"",tbl_Production[Job Number],0),MATCH(IFERROR(A69+0,A69),tbl_Production[Job Number],0)))="",INDEX(tbl_Production[Qwilr Quote],IFERROR(MATCH(A69&amp;"",tbl_Production[Job Number],0),MATCH(IFERROR(A69+0,A69),tbl_Production[Job Number],0))),INDEX(tbl_Production[Current RMS No],IFERROR(MATCH(A69&amp;"",tbl_Production[Job Number],0),MATCH(IFERROR(A69+0,A69),tbl_Production[Job Number],0))))),IFERROR(IF(INDEX(tbl_Consulting[Qwilr Quote],IFERROR(MATCH(A69&amp;"",tbl_Consulting[Job Number],0),MATCH(IFERROR(A69+0,A69),tbl_Consulting[Job Number],0)))="","",INDEX(tbl_Consulting[Qwilr Quote],IFERROR(MATCH(A69&amp;"",tbl_Consulting[Job Number],0),MATCH(IFERROR(A69+0,A69),tbl_Consulting[Job Number],0)))),""))))</f>
        <v/>
      </c>
      <c r="AG69" s="26">
        <f>IF(AF69="","",IF(AND(LEFT(AF69,4)&lt;&gt;"http",IF(G69="Production",set_RMSBase,set_QwilrBase)=""),"",HYPERLINK(IF(LEFT(AF69,4)="http",AF69,IF(G69="Production",set_RMSBase,set_QwilrBase)&amp;AF69),"Open")))</f>
        <v/>
      </c>
      <c r="AH69" s="27">
        <f>IF(A69="","",IFERROR(INDEX(tbl_Production[Total Expense],IFERROR(MATCH(A69&amp;"",tbl_Production[Job Number],0),MATCH(IFERROR(A69+0,A69),tbl_Production[Job Number],0))),IFERROR(INDEX(tbl_Consulting[Total Expense],IFERROR(MATCH(A69&amp;"",tbl_Consulting[Job Number],0),MATCH(IFERROR(A69+0,A69),tbl_Consulting[Job Number],0))),0)))</f>
        <v/>
      </c>
      <c r="AI69" s="27">
        <f>IF(A69="","",AC69-N(AH69))</f>
        <v/>
      </c>
      <c r="AJ69" s="29">
        <f>IFERROR(AI69/AC69,"")</f>
        <v/>
      </c>
      <c r="AK69" s="26">
        <f>IF(A69="","",IFERROR(IF(INDEX(tbl_Onsite[Notes],IFERROR(MATCH(A69&amp;"",tbl_Onsite[Job Number],0),MATCH(IFERROR(A69+0,A69),tbl_Onsite[Job Number],0)))="","",INDEX(tbl_Onsite[Notes],IFERROR(MATCH(A69&amp;"",tbl_Onsite[Job Number],0),MATCH(IFERROR(A69+0,A69),tbl_Onsite[Job Number],0)))),IFERROR(IF(INDEX(tbl_Production[Notes],IFERROR(MATCH(A69&amp;"",tbl_Production[Job Number],0),MATCH(IFERROR(A69+0,A69),tbl_Production[Job Number],0)))="","",INDEX(tbl_Production[Notes],IFERROR(MATCH(A69&amp;"",tbl_Production[Job Number],0),MATCH(IFERROR(A69+0,A69),tbl_Production[Job Number],0)))),IFERROR(IF(INDEX(tbl_Consulting[Notes],IFERROR(MATCH(A69&amp;"",tbl_Consulting[Job Number],0),MATCH(IFERROR(A69+0,A69),tbl_Consulting[Job Number],0)))="","",INDEX(tbl_Consulting[Notes],IFERROR(MATCH(A69&amp;"",tbl_Consulting[Job Number],0),MATCH(IFERROR(A69+0,A69),tbl_Consulting[Job Number],0)))),""))))</f>
        <v/>
      </c>
    </row>
    <row r="70" ht="15" customHeight="1">
      <c r="A70" s="22" t="n"/>
      <c r="B70" s="22" t="n"/>
      <c r="C70" s="23" t="n"/>
      <c r="D70" s="22" t="n"/>
      <c r="E70" s="24" t="n"/>
      <c r="F70" s="25">
        <f>IF(C70="","",EOMONTH(C70,0))</f>
        <v/>
      </c>
      <c r="G70" s="26">
        <f>IF(A70="","",IF(COUNTIF(tbl_Onsite[Job Number],A70&amp;"")&gt;0,"Onsite",IF(COUNTIF(tbl_Production[Job Number],A70&amp;"")&gt;0,"Production",IF(COUNTIF(tbl_Consulting[Job Number],A70&amp;"")&gt;0,"Consulting","not set up yet"))))</f>
        <v/>
      </c>
      <c r="H70" s="26">
        <f>IF(A70="","",IF(COUNTIF(lst_Jobs,A70&amp;"")&gt;0,"OK","CHECK"))</f>
        <v/>
      </c>
      <c r="I70" s="26">
        <f>IF(A70="","",IFERROR(INDEX(lst_JobName,MATCH(A70&amp;"",lst_Jobs,0)),""))</f>
        <v/>
      </c>
      <c r="J70" s="26">
        <f>IF(A70="","",IFERROR(IF(INDEX(tbl_Onsite[Client],IFERROR(MATCH(A70&amp;"",tbl_Onsite[Job Number],0),MATCH(IFERROR(A70+0,A70),tbl_Onsite[Job Number],0)))="","",INDEX(tbl_Onsite[Client],IFERROR(MATCH(A70&amp;"",tbl_Onsite[Job Number],0),MATCH(IFERROR(A70+0,A70),tbl_Onsite[Job Number],0)))),IFERROR(IF(INDEX(tbl_Production[Client],IFERROR(MATCH(A70&amp;"",tbl_Production[Job Number],0),MATCH(IFERROR(A70+0,A70),tbl_Production[Job Number],0)))="","",INDEX(tbl_Production[Client],IFERROR(MATCH(A70&amp;"",tbl_Production[Job Number],0),MATCH(IFERROR(A70+0,A70),tbl_Production[Job Number],0)))),IFERROR(IF(INDEX(tbl_Consulting[Client],IFERROR(MATCH(A70&amp;"",tbl_Consulting[Job Number],0),MATCH(IFERROR(A70+0,A70),tbl_Consulting[Job Number],0)))="","",INDEX(tbl_Consulting[Client],IFERROR(MATCH(A70&amp;"",tbl_Consulting[Job Number],0),MATCH(IFERROR(A70+0,A70),tbl_Consulting[Job Number],0)))),""))))</f>
        <v/>
      </c>
      <c r="K70" s="26">
        <f>IF(A70="","",IFERROR(IF(INDEX(tbl_Onsite[Job Description],IFERROR(MATCH(A70&amp;"",tbl_Onsite[Job Number],0),MATCH(IFERROR(A70+0,A70),tbl_Onsite[Job Number],0)))="","",INDEX(tbl_Onsite[Job Description],IFERROR(MATCH(A70&amp;"",tbl_Onsite[Job Number],0),MATCH(IFERROR(A70+0,A70),tbl_Onsite[Job Number],0)))),IFERROR(IF(INDEX(tbl_Production[Job Description],IFERROR(MATCH(A70&amp;"",tbl_Production[Job Number],0),MATCH(IFERROR(A70+0,A70),tbl_Production[Job Number],0)))="","",INDEX(tbl_Production[Job Description],IFERROR(MATCH(A70&amp;"",tbl_Production[Job Number],0),MATCH(IFERROR(A70+0,A70),tbl_Production[Job Number],0)))),IFERROR(IF(INDEX(tbl_Consulting[Job Description],IFERROR(MATCH(A70&amp;"",tbl_Consulting[Job Number],0),MATCH(IFERROR(A70+0,A70),tbl_Consulting[Job Number],0)))="","",INDEX(tbl_Consulting[Job Description],IFERROR(MATCH(A70&amp;"",tbl_Consulting[Job Number],0),MATCH(IFERROR(A70+0,A70),tbl_Consulting[Job Number],0)))),""))))</f>
        <v/>
      </c>
      <c r="L70" s="26">
        <f>IF(A70="","",IFERROR(IF(INDEX(tbl_Onsite[Invoice Type],IFERROR(MATCH(A70&amp;"",tbl_Onsite[Job Number],0),MATCH(IFERROR(A70+0,A70),tbl_Onsite[Job Number],0)))="","",INDEX(tbl_Onsite[Invoice Type],IFERROR(MATCH(A70&amp;"",tbl_Onsite[Job Number],0),MATCH(IFERROR(A70+0,A70),tbl_Onsite[Job Number],0)))),IFERROR(IF(INDEX(tbl_Production[Invoice Type],IFERROR(MATCH(A70&amp;"",tbl_Production[Job Number],0),MATCH(IFERROR(A70+0,A70),tbl_Production[Job Number],0)))="","",INDEX(tbl_Production[Invoice Type],IFERROR(MATCH(A70&amp;"",tbl_Production[Job Number],0),MATCH(IFERROR(A70+0,A70),tbl_Production[Job Number],0)))),IFERROR(IF(INDEX(tbl_Consulting[Invoice Type],IFERROR(MATCH(A70&amp;"",tbl_Consulting[Job Number],0),MATCH(IFERROR(A70+0,A70),tbl_Consulting[Job Number],0)))="","",INDEX(tbl_Consulting[Invoice Type],IFERROR(MATCH(A70&amp;"",tbl_Consulting[Job Number],0),MATCH(IFERROR(A70+0,A70),tbl_Consulting[Job Number],0)))),""))))</f>
        <v/>
      </c>
      <c r="M70" s="26">
        <f>IF(A70="","",IF(IFERROR(IF(INDEX(tbl_Onsite[Tax Code],IFERROR(MATCH(A70&amp;"",tbl_Onsite[Job Number],0),MATCH(IFERROR(A70+0,A70),tbl_Onsite[Job Number],0)))="","",INDEX(tbl_Onsite[Tax Code],IFERROR(MATCH(A70&amp;"",tbl_Onsite[Job Number],0),MATCH(IFERROR(A70+0,A70),tbl_Onsite[Job Number],0)))),IFERROR(IF(INDEX(tbl_Production[Tax Code],IFERROR(MATCH(A70&amp;"",tbl_Production[Job Number],0),MATCH(IFERROR(A70+0,A70),tbl_Production[Job Number],0)))="","",INDEX(tbl_Production[Tax Code],IFERROR(MATCH(A70&amp;"",tbl_Production[Job Number],0),MATCH(IFERROR(A70+0,A70),tbl_Production[Job Number],0)))),IFERROR(IF(INDEX(tbl_Consulting[Tax Code],IFERROR(MATCH(A70&amp;"",tbl_Consulting[Job Number],0),MATCH(IFERROR(A70+0,A70),tbl_Consulting[Job Number],0)))="","",INDEX(tbl_Consulting[Tax Code],IFERROR(MATCH(A70&amp;"",tbl_Consulting[Job Number],0),MATCH(IFERROR(A70+0,A70),tbl_Consulting[Job Number],0)))),"")))="","GST 10%",IFERROR(IF(INDEX(tbl_Onsite[Tax Code],IFERROR(MATCH(A70&amp;"",tbl_Onsite[Job Number],0),MATCH(IFERROR(A70+0,A70),tbl_Onsite[Job Number],0)))="","",INDEX(tbl_Onsite[Tax Code],IFERROR(MATCH(A70&amp;"",tbl_Onsite[Job Number],0),MATCH(IFERROR(A70+0,A70),tbl_Onsite[Job Number],0)))),IFERROR(IF(INDEX(tbl_Production[Tax Code],IFERROR(MATCH(A70&amp;"",tbl_Production[Job Number],0),MATCH(IFERROR(A70+0,A70),tbl_Production[Job Number],0)))="","",INDEX(tbl_Production[Tax Code],IFERROR(MATCH(A70&amp;"",tbl_Production[Job Number],0),MATCH(IFERROR(A70+0,A70),tbl_Production[Job Number],0)))),IFERROR(IF(INDEX(tbl_Consulting[Tax Code],IFERROR(MATCH(A70&amp;"",tbl_Consulting[Job Number],0),MATCH(IFERROR(A70+0,A70),tbl_Consulting[Job Number],0)))="","",INDEX(tbl_Consulting[Tax Code],IFERROR(MATCH(A70&amp;"",tbl_Consulting[Job Number],0),MATCH(IFERROR(A70+0,A70),tbl_Consulting[Job Number],0)))),"")))))</f>
        <v/>
      </c>
      <c r="N70" s="26">
        <f>IF(D70="","",IFERROR(INDEX(lst_CCtoGL,MATCH(D70,lst_CCforGL,0)),""))</f>
        <v/>
      </c>
      <c r="O70" s="27">
        <f>IF(E70="","",IF(M70="GST 10%",ROUND(E70*set_GSTRate,2),0))</f>
        <v/>
      </c>
      <c r="P70" s="27">
        <f>IF(E70="","",E70+O70)</f>
        <v/>
      </c>
      <c r="Q70" s="27">
        <f>IF(A70="","",IFERROR(INDEX(tbl_Onsite[Expected Revenue Ex GST],IFERROR(MATCH(A70&amp;"",tbl_Onsite[Job Number],0),MATCH(IFERROR(A70+0,A70),tbl_Onsite[Job Number],0))),IFERROR(INDEX(tbl_Production[Expected Revenue Ex GST],IFERROR(MATCH(A70&amp;"",tbl_Production[Job Number],0),MATCH(IFERROR(A70+0,A70),tbl_Production[Job Number],0))),IFERROR(INDEX(tbl_Consulting[Expected Revenue Ex GST],IFERROR(MATCH(A70&amp;"",tbl_Consulting[Job Number],0),MATCH(IFERROR(A70+0,A70),tbl_Consulting[Job Number],0))),0))))</f>
        <v/>
      </c>
      <c r="R70" s="27">
        <f>IF(A70="","",SUMIFS(tbl_Finance[Ex GST],tbl_Finance[Job Number],A70&amp;""))</f>
        <v/>
      </c>
      <c r="S70" s="27">
        <f>IF(A70="","",Q70-R70)</f>
        <v/>
      </c>
      <c r="T70" s="26">
        <f>IF(A70="","",IF(Q70=0,"No dept value",IF(ROUND(S70,2)=0,"Agrees",IF(S70&gt;0,"Dept higher - to invoice","Xero higher - check dept"))))</f>
        <v/>
      </c>
      <c r="U70" s="22" t="n"/>
      <c r="V70" s="22" t="n"/>
      <c r="W70" s="23" t="n"/>
      <c r="X70" s="23" t="n"/>
      <c r="Y70" s="22" t="n"/>
      <c r="Z70" s="22" t="n"/>
      <c r="AA70" s="26">
        <f>IF(COUNTA(C70,A70,B70,E70)=0,"",IF(C70="","No date - sits outside every month",IF(A70="","No job number",IF(H70="CHECK","Job number is not in the Xero job list",IF(G70="not set up yet","No department has set this job up - nothing can pull through",IF(D70="","No cost centre",IF(AND(U70="Y",B70=""),"Marked posted to Xero but has no invoice number",IF(N70="","Cost centre has no revenue GL on the Lists sheet",IF(T70="Xero higher - check dept","Invoiced more than the department says the job is worth","")))))))))</f>
        <v/>
      </c>
      <c r="AB70" s="28">
        <f>IF(A70="","",COUNTIFS(tbl_Finance[Job Number],A70&amp;"",tbl_Finance[Ex GST],"&lt;&gt;"))</f>
        <v/>
      </c>
      <c r="AC70" s="27">
        <f>IF(A70="","",SUMIFS(tbl_Finance[Ex GST],tbl_Finance[Job Number],A70&amp;""))</f>
        <v/>
      </c>
      <c r="AD70" s="27">
        <f>IF(A70="","",SUMIFS(tbl_Finance[Ex GST],tbl_Finance[Job Number],A70&amp;"",tbl_Finance[Xero Invoice No],"&lt;&gt;"))</f>
        <v/>
      </c>
      <c r="AE70" s="27">
        <f>IF(A70="","",AC70-AD70)</f>
        <v/>
      </c>
      <c r="AF70" s="26">
        <f>IF(A70="","",IFERROR(IF(INDEX(tbl_Onsite[Qwilr Quote],IFERROR(MATCH(A70&amp;"",tbl_Onsite[Job Number],0),MATCH(IFERROR(A70+0,A70),tbl_Onsite[Job Number],0)))="","",INDEX(tbl_Onsite[Qwilr Quote],IFERROR(MATCH(A70&amp;"",tbl_Onsite[Job Number],0),MATCH(IFERROR(A70+0,A70),tbl_Onsite[Job Number],0)))),IFERROR(IF(IF(INDEX(tbl_Production[Current RMS No],IFERROR(MATCH(A70&amp;"",tbl_Production[Job Number],0),MATCH(IFERROR(A70+0,A70),tbl_Production[Job Number],0)))="",INDEX(tbl_Production[Qwilr Quote],IFERROR(MATCH(A70&amp;"",tbl_Production[Job Number],0),MATCH(IFERROR(A70+0,A70),tbl_Production[Job Number],0))),INDEX(tbl_Production[Current RMS No],IFERROR(MATCH(A70&amp;"",tbl_Production[Job Number],0),MATCH(IFERROR(A70+0,A70),tbl_Production[Job Number],0))))="","",IF(INDEX(tbl_Production[Current RMS No],IFERROR(MATCH(A70&amp;"",tbl_Production[Job Number],0),MATCH(IFERROR(A70+0,A70),tbl_Production[Job Number],0)))="",INDEX(tbl_Production[Qwilr Quote],IFERROR(MATCH(A70&amp;"",tbl_Production[Job Number],0),MATCH(IFERROR(A70+0,A70),tbl_Production[Job Number],0))),INDEX(tbl_Production[Current RMS No],IFERROR(MATCH(A70&amp;"",tbl_Production[Job Number],0),MATCH(IFERROR(A70+0,A70),tbl_Production[Job Number],0))))),IFERROR(IF(INDEX(tbl_Consulting[Qwilr Quote],IFERROR(MATCH(A70&amp;"",tbl_Consulting[Job Number],0),MATCH(IFERROR(A70+0,A70),tbl_Consulting[Job Number],0)))="","",INDEX(tbl_Consulting[Qwilr Quote],IFERROR(MATCH(A70&amp;"",tbl_Consulting[Job Number],0),MATCH(IFERROR(A70+0,A70),tbl_Consulting[Job Number],0)))),""))))</f>
        <v/>
      </c>
      <c r="AG70" s="26">
        <f>IF(AF70="","",IF(AND(LEFT(AF70,4)&lt;&gt;"http",IF(G70="Production",set_RMSBase,set_QwilrBase)=""),"",HYPERLINK(IF(LEFT(AF70,4)="http",AF70,IF(G70="Production",set_RMSBase,set_QwilrBase)&amp;AF70),"Open")))</f>
        <v/>
      </c>
      <c r="AH70" s="27">
        <f>IF(A70="","",IFERROR(INDEX(tbl_Production[Total Expense],IFERROR(MATCH(A70&amp;"",tbl_Production[Job Number],0),MATCH(IFERROR(A70+0,A70),tbl_Production[Job Number],0))),IFERROR(INDEX(tbl_Consulting[Total Expense],IFERROR(MATCH(A70&amp;"",tbl_Consulting[Job Number],0),MATCH(IFERROR(A70+0,A70),tbl_Consulting[Job Number],0))),0)))</f>
        <v/>
      </c>
      <c r="AI70" s="27">
        <f>IF(A70="","",AC70-N(AH70))</f>
        <v/>
      </c>
      <c r="AJ70" s="29">
        <f>IFERROR(AI70/AC70,"")</f>
        <v/>
      </c>
      <c r="AK70" s="26">
        <f>IF(A70="","",IFERROR(IF(INDEX(tbl_Onsite[Notes],IFERROR(MATCH(A70&amp;"",tbl_Onsite[Job Number],0),MATCH(IFERROR(A70+0,A70),tbl_Onsite[Job Number],0)))="","",INDEX(tbl_Onsite[Notes],IFERROR(MATCH(A70&amp;"",tbl_Onsite[Job Number],0),MATCH(IFERROR(A70+0,A70),tbl_Onsite[Job Number],0)))),IFERROR(IF(INDEX(tbl_Production[Notes],IFERROR(MATCH(A70&amp;"",tbl_Production[Job Number],0),MATCH(IFERROR(A70+0,A70),tbl_Production[Job Number],0)))="","",INDEX(tbl_Production[Notes],IFERROR(MATCH(A70&amp;"",tbl_Production[Job Number],0),MATCH(IFERROR(A70+0,A70),tbl_Production[Job Number],0)))),IFERROR(IF(INDEX(tbl_Consulting[Notes],IFERROR(MATCH(A70&amp;"",tbl_Consulting[Job Number],0),MATCH(IFERROR(A70+0,A70),tbl_Consulting[Job Number],0)))="","",INDEX(tbl_Consulting[Notes],IFERROR(MATCH(A70&amp;"",tbl_Consulting[Job Number],0),MATCH(IFERROR(A70+0,A70),tbl_Consulting[Job Number],0)))),""))))</f>
        <v/>
      </c>
    </row>
    <row r="71" ht="15" customHeight="1">
      <c r="A71" s="22" t="n"/>
      <c r="B71" s="22" t="n"/>
      <c r="C71" s="23" t="n"/>
      <c r="D71" s="22" t="n"/>
      <c r="E71" s="24" t="n"/>
      <c r="F71" s="25">
        <f>IF(C71="","",EOMONTH(C71,0))</f>
        <v/>
      </c>
      <c r="G71" s="26">
        <f>IF(A71="","",IF(COUNTIF(tbl_Onsite[Job Number],A71&amp;"")&gt;0,"Onsite",IF(COUNTIF(tbl_Production[Job Number],A71&amp;"")&gt;0,"Production",IF(COUNTIF(tbl_Consulting[Job Number],A71&amp;"")&gt;0,"Consulting","not set up yet"))))</f>
        <v/>
      </c>
      <c r="H71" s="26">
        <f>IF(A71="","",IF(COUNTIF(lst_Jobs,A71&amp;"")&gt;0,"OK","CHECK"))</f>
        <v/>
      </c>
      <c r="I71" s="26">
        <f>IF(A71="","",IFERROR(INDEX(lst_JobName,MATCH(A71&amp;"",lst_Jobs,0)),""))</f>
        <v/>
      </c>
      <c r="J71" s="26">
        <f>IF(A71="","",IFERROR(IF(INDEX(tbl_Onsite[Client],IFERROR(MATCH(A71&amp;"",tbl_Onsite[Job Number],0),MATCH(IFERROR(A71+0,A71),tbl_Onsite[Job Number],0)))="","",INDEX(tbl_Onsite[Client],IFERROR(MATCH(A71&amp;"",tbl_Onsite[Job Number],0),MATCH(IFERROR(A71+0,A71),tbl_Onsite[Job Number],0)))),IFERROR(IF(INDEX(tbl_Production[Client],IFERROR(MATCH(A71&amp;"",tbl_Production[Job Number],0),MATCH(IFERROR(A71+0,A71),tbl_Production[Job Number],0)))="","",INDEX(tbl_Production[Client],IFERROR(MATCH(A71&amp;"",tbl_Production[Job Number],0),MATCH(IFERROR(A71+0,A71),tbl_Production[Job Number],0)))),IFERROR(IF(INDEX(tbl_Consulting[Client],IFERROR(MATCH(A71&amp;"",tbl_Consulting[Job Number],0),MATCH(IFERROR(A71+0,A71),tbl_Consulting[Job Number],0)))="","",INDEX(tbl_Consulting[Client],IFERROR(MATCH(A71&amp;"",tbl_Consulting[Job Number],0),MATCH(IFERROR(A71+0,A71),tbl_Consulting[Job Number],0)))),""))))</f>
        <v/>
      </c>
      <c r="K71" s="26">
        <f>IF(A71="","",IFERROR(IF(INDEX(tbl_Onsite[Job Description],IFERROR(MATCH(A71&amp;"",tbl_Onsite[Job Number],0),MATCH(IFERROR(A71+0,A71),tbl_Onsite[Job Number],0)))="","",INDEX(tbl_Onsite[Job Description],IFERROR(MATCH(A71&amp;"",tbl_Onsite[Job Number],0),MATCH(IFERROR(A71+0,A71),tbl_Onsite[Job Number],0)))),IFERROR(IF(INDEX(tbl_Production[Job Description],IFERROR(MATCH(A71&amp;"",tbl_Production[Job Number],0),MATCH(IFERROR(A71+0,A71),tbl_Production[Job Number],0)))="","",INDEX(tbl_Production[Job Description],IFERROR(MATCH(A71&amp;"",tbl_Production[Job Number],0),MATCH(IFERROR(A71+0,A71),tbl_Production[Job Number],0)))),IFERROR(IF(INDEX(tbl_Consulting[Job Description],IFERROR(MATCH(A71&amp;"",tbl_Consulting[Job Number],0),MATCH(IFERROR(A71+0,A71),tbl_Consulting[Job Number],0)))="","",INDEX(tbl_Consulting[Job Description],IFERROR(MATCH(A71&amp;"",tbl_Consulting[Job Number],0),MATCH(IFERROR(A71+0,A71),tbl_Consulting[Job Number],0)))),""))))</f>
        <v/>
      </c>
      <c r="L71" s="26">
        <f>IF(A71="","",IFERROR(IF(INDEX(tbl_Onsite[Invoice Type],IFERROR(MATCH(A71&amp;"",tbl_Onsite[Job Number],0),MATCH(IFERROR(A71+0,A71),tbl_Onsite[Job Number],0)))="","",INDEX(tbl_Onsite[Invoice Type],IFERROR(MATCH(A71&amp;"",tbl_Onsite[Job Number],0),MATCH(IFERROR(A71+0,A71),tbl_Onsite[Job Number],0)))),IFERROR(IF(INDEX(tbl_Production[Invoice Type],IFERROR(MATCH(A71&amp;"",tbl_Production[Job Number],0),MATCH(IFERROR(A71+0,A71),tbl_Production[Job Number],0)))="","",INDEX(tbl_Production[Invoice Type],IFERROR(MATCH(A71&amp;"",tbl_Production[Job Number],0),MATCH(IFERROR(A71+0,A71),tbl_Production[Job Number],0)))),IFERROR(IF(INDEX(tbl_Consulting[Invoice Type],IFERROR(MATCH(A71&amp;"",tbl_Consulting[Job Number],0),MATCH(IFERROR(A71+0,A71),tbl_Consulting[Job Number],0)))="","",INDEX(tbl_Consulting[Invoice Type],IFERROR(MATCH(A71&amp;"",tbl_Consulting[Job Number],0),MATCH(IFERROR(A71+0,A71),tbl_Consulting[Job Number],0)))),""))))</f>
        <v/>
      </c>
      <c r="M71" s="26">
        <f>IF(A71="","",IF(IFERROR(IF(INDEX(tbl_Onsite[Tax Code],IFERROR(MATCH(A71&amp;"",tbl_Onsite[Job Number],0),MATCH(IFERROR(A71+0,A71),tbl_Onsite[Job Number],0)))="","",INDEX(tbl_Onsite[Tax Code],IFERROR(MATCH(A71&amp;"",tbl_Onsite[Job Number],0),MATCH(IFERROR(A71+0,A71),tbl_Onsite[Job Number],0)))),IFERROR(IF(INDEX(tbl_Production[Tax Code],IFERROR(MATCH(A71&amp;"",tbl_Production[Job Number],0),MATCH(IFERROR(A71+0,A71),tbl_Production[Job Number],0)))="","",INDEX(tbl_Production[Tax Code],IFERROR(MATCH(A71&amp;"",tbl_Production[Job Number],0),MATCH(IFERROR(A71+0,A71),tbl_Production[Job Number],0)))),IFERROR(IF(INDEX(tbl_Consulting[Tax Code],IFERROR(MATCH(A71&amp;"",tbl_Consulting[Job Number],0),MATCH(IFERROR(A71+0,A71),tbl_Consulting[Job Number],0)))="","",INDEX(tbl_Consulting[Tax Code],IFERROR(MATCH(A71&amp;"",tbl_Consulting[Job Number],0),MATCH(IFERROR(A71+0,A71),tbl_Consulting[Job Number],0)))),"")))="","GST 10%",IFERROR(IF(INDEX(tbl_Onsite[Tax Code],IFERROR(MATCH(A71&amp;"",tbl_Onsite[Job Number],0),MATCH(IFERROR(A71+0,A71),tbl_Onsite[Job Number],0)))="","",INDEX(tbl_Onsite[Tax Code],IFERROR(MATCH(A71&amp;"",tbl_Onsite[Job Number],0),MATCH(IFERROR(A71+0,A71),tbl_Onsite[Job Number],0)))),IFERROR(IF(INDEX(tbl_Production[Tax Code],IFERROR(MATCH(A71&amp;"",tbl_Production[Job Number],0),MATCH(IFERROR(A71+0,A71),tbl_Production[Job Number],0)))="","",INDEX(tbl_Production[Tax Code],IFERROR(MATCH(A71&amp;"",tbl_Production[Job Number],0),MATCH(IFERROR(A71+0,A71),tbl_Production[Job Number],0)))),IFERROR(IF(INDEX(tbl_Consulting[Tax Code],IFERROR(MATCH(A71&amp;"",tbl_Consulting[Job Number],0),MATCH(IFERROR(A71+0,A71),tbl_Consulting[Job Number],0)))="","",INDEX(tbl_Consulting[Tax Code],IFERROR(MATCH(A71&amp;"",tbl_Consulting[Job Number],0),MATCH(IFERROR(A71+0,A71),tbl_Consulting[Job Number],0)))),"")))))</f>
        <v/>
      </c>
      <c r="N71" s="26">
        <f>IF(D71="","",IFERROR(INDEX(lst_CCtoGL,MATCH(D71,lst_CCforGL,0)),""))</f>
        <v/>
      </c>
      <c r="O71" s="27">
        <f>IF(E71="","",IF(M71="GST 10%",ROUND(E71*set_GSTRate,2),0))</f>
        <v/>
      </c>
      <c r="P71" s="27">
        <f>IF(E71="","",E71+O71)</f>
        <v/>
      </c>
      <c r="Q71" s="27">
        <f>IF(A71="","",IFERROR(INDEX(tbl_Onsite[Expected Revenue Ex GST],IFERROR(MATCH(A71&amp;"",tbl_Onsite[Job Number],0),MATCH(IFERROR(A71+0,A71),tbl_Onsite[Job Number],0))),IFERROR(INDEX(tbl_Production[Expected Revenue Ex GST],IFERROR(MATCH(A71&amp;"",tbl_Production[Job Number],0),MATCH(IFERROR(A71+0,A71),tbl_Production[Job Number],0))),IFERROR(INDEX(tbl_Consulting[Expected Revenue Ex GST],IFERROR(MATCH(A71&amp;"",tbl_Consulting[Job Number],0),MATCH(IFERROR(A71+0,A71),tbl_Consulting[Job Number],0))),0))))</f>
        <v/>
      </c>
      <c r="R71" s="27">
        <f>IF(A71="","",SUMIFS(tbl_Finance[Ex GST],tbl_Finance[Job Number],A71&amp;""))</f>
        <v/>
      </c>
      <c r="S71" s="27">
        <f>IF(A71="","",Q71-R71)</f>
        <v/>
      </c>
      <c r="T71" s="26">
        <f>IF(A71="","",IF(Q71=0,"No dept value",IF(ROUND(S71,2)=0,"Agrees",IF(S71&gt;0,"Dept higher - to invoice","Xero higher - check dept"))))</f>
        <v/>
      </c>
      <c r="U71" s="22" t="n"/>
      <c r="V71" s="22" t="n"/>
      <c r="W71" s="23" t="n"/>
      <c r="X71" s="23" t="n"/>
      <c r="Y71" s="22" t="n"/>
      <c r="Z71" s="22" t="n"/>
      <c r="AA71" s="26">
        <f>IF(COUNTA(C71,A71,B71,E71)=0,"",IF(C71="","No date - sits outside every month",IF(A71="","No job number",IF(H71="CHECK","Job number is not in the Xero job list",IF(G71="not set up yet","No department has set this job up - nothing can pull through",IF(D71="","No cost centre",IF(AND(U71="Y",B71=""),"Marked posted to Xero but has no invoice number",IF(N71="","Cost centre has no revenue GL on the Lists sheet",IF(T71="Xero higher - check dept","Invoiced more than the department says the job is worth","")))))))))</f>
        <v/>
      </c>
      <c r="AB71" s="28">
        <f>IF(A71="","",COUNTIFS(tbl_Finance[Job Number],A71&amp;"",tbl_Finance[Ex GST],"&lt;&gt;"))</f>
        <v/>
      </c>
      <c r="AC71" s="27">
        <f>IF(A71="","",SUMIFS(tbl_Finance[Ex GST],tbl_Finance[Job Number],A71&amp;""))</f>
        <v/>
      </c>
      <c r="AD71" s="27">
        <f>IF(A71="","",SUMIFS(tbl_Finance[Ex GST],tbl_Finance[Job Number],A71&amp;"",tbl_Finance[Xero Invoice No],"&lt;&gt;"))</f>
        <v/>
      </c>
      <c r="AE71" s="27">
        <f>IF(A71="","",AC71-AD71)</f>
        <v/>
      </c>
      <c r="AF71" s="26">
        <f>IF(A71="","",IFERROR(IF(INDEX(tbl_Onsite[Qwilr Quote],IFERROR(MATCH(A71&amp;"",tbl_Onsite[Job Number],0),MATCH(IFERROR(A71+0,A71),tbl_Onsite[Job Number],0)))="","",INDEX(tbl_Onsite[Qwilr Quote],IFERROR(MATCH(A71&amp;"",tbl_Onsite[Job Number],0),MATCH(IFERROR(A71+0,A71),tbl_Onsite[Job Number],0)))),IFERROR(IF(IF(INDEX(tbl_Production[Current RMS No],IFERROR(MATCH(A71&amp;"",tbl_Production[Job Number],0),MATCH(IFERROR(A71+0,A71),tbl_Production[Job Number],0)))="",INDEX(tbl_Production[Qwilr Quote],IFERROR(MATCH(A71&amp;"",tbl_Production[Job Number],0),MATCH(IFERROR(A71+0,A71),tbl_Production[Job Number],0))),INDEX(tbl_Production[Current RMS No],IFERROR(MATCH(A71&amp;"",tbl_Production[Job Number],0),MATCH(IFERROR(A71+0,A71),tbl_Production[Job Number],0))))="","",IF(INDEX(tbl_Production[Current RMS No],IFERROR(MATCH(A71&amp;"",tbl_Production[Job Number],0),MATCH(IFERROR(A71+0,A71),tbl_Production[Job Number],0)))="",INDEX(tbl_Production[Qwilr Quote],IFERROR(MATCH(A71&amp;"",tbl_Production[Job Number],0),MATCH(IFERROR(A71+0,A71),tbl_Production[Job Number],0))),INDEX(tbl_Production[Current RMS No],IFERROR(MATCH(A71&amp;"",tbl_Production[Job Number],0),MATCH(IFERROR(A71+0,A71),tbl_Production[Job Number],0))))),IFERROR(IF(INDEX(tbl_Consulting[Qwilr Quote],IFERROR(MATCH(A71&amp;"",tbl_Consulting[Job Number],0),MATCH(IFERROR(A71+0,A71),tbl_Consulting[Job Number],0)))="","",INDEX(tbl_Consulting[Qwilr Quote],IFERROR(MATCH(A71&amp;"",tbl_Consulting[Job Number],0),MATCH(IFERROR(A71+0,A71),tbl_Consulting[Job Number],0)))),""))))</f>
        <v/>
      </c>
      <c r="AG71" s="26">
        <f>IF(AF71="","",IF(AND(LEFT(AF71,4)&lt;&gt;"http",IF(G71="Production",set_RMSBase,set_QwilrBase)=""),"",HYPERLINK(IF(LEFT(AF71,4)="http",AF71,IF(G71="Production",set_RMSBase,set_QwilrBase)&amp;AF71),"Open")))</f>
        <v/>
      </c>
      <c r="AH71" s="27">
        <f>IF(A71="","",IFERROR(INDEX(tbl_Production[Total Expense],IFERROR(MATCH(A71&amp;"",tbl_Production[Job Number],0),MATCH(IFERROR(A71+0,A71),tbl_Production[Job Number],0))),IFERROR(INDEX(tbl_Consulting[Total Expense],IFERROR(MATCH(A71&amp;"",tbl_Consulting[Job Number],0),MATCH(IFERROR(A71+0,A71),tbl_Consulting[Job Number],0))),0)))</f>
        <v/>
      </c>
      <c r="AI71" s="27">
        <f>IF(A71="","",AC71-N(AH71))</f>
        <v/>
      </c>
      <c r="AJ71" s="29">
        <f>IFERROR(AI71/AC71,"")</f>
        <v/>
      </c>
      <c r="AK71" s="26">
        <f>IF(A71="","",IFERROR(IF(INDEX(tbl_Onsite[Notes],IFERROR(MATCH(A71&amp;"",tbl_Onsite[Job Number],0),MATCH(IFERROR(A71+0,A71),tbl_Onsite[Job Number],0)))="","",INDEX(tbl_Onsite[Notes],IFERROR(MATCH(A71&amp;"",tbl_Onsite[Job Number],0),MATCH(IFERROR(A71+0,A71),tbl_Onsite[Job Number],0)))),IFERROR(IF(INDEX(tbl_Production[Notes],IFERROR(MATCH(A71&amp;"",tbl_Production[Job Number],0),MATCH(IFERROR(A71+0,A71),tbl_Production[Job Number],0)))="","",INDEX(tbl_Production[Notes],IFERROR(MATCH(A71&amp;"",tbl_Production[Job Number],0),MATCH(IFERROR(A71+0,A71),tbl_Production[Job Number],0)))),IFERROR(IF(INDEX(tbl_Consulting[Notes],IFERROR(MATCH(A71&amp;"",tbl_Consulting[Job Number],0),MATCH(IFERROR(A71+0,A71),tbl_Consulting[Job Number],0)))="","",INDEX(tbl_Consulting[Notes],IFERROR(MATCH(A71&amp;"",tbl_Consulting[Job Number],0),MATCH(IFERROR(A71+0,A71),tbl_Consulting[Job Number],0)))),""))))</f>
        <v/>
      </c>
    </row>
    <row r="72" ht="15" customHeight="1">
      <c r="A72" s="22" t="n"/>
      <c r="B72" s="22" t="n"/>
      <c r="C72" s="23" t="n"/>
      <c r="D72" s="22" t="n"/>
      <c r="E72" s="24" t="n"/>
      <c r="F72" s="25">
        <f>IF(C72="","",EOMONTH(C72,0))</f>
        <v/>
      </c>
      <c r="G72" s="26">
        <f>IF(A72="","",IF(COUNTIF(tbl_Onsite[Job Number],A72&amp;"")&gt;0,"Onsite",IF(COUNTIF(tbl_Production[Job Number],A72&amp;"")&gt;0,"Production",IF(COUNTIF(tbl_Consulting[Job Number],A72&amp;"")&gt;0,"Consulting","not set up yet"))))</f>
        <v/>
      </c>
      <c r="H72" s="26">
        <f>IF(A72="","",IF(COUNTIF(lst_Jobs,A72&amp;"")&gt;0,"OK","CHECK"))</f>
        <v/>
      </c>
      <c r="I72" s="26">
        <f>IF(A72="","",IFERROR(INDEX(lst_JobName,MATCH(A72&amp;"",lst_Jobs,0)),""))</f>
        <v/>
      </c>
      <c r="J72" s="26">
        <f>IF(A72="","",IFERROR(IF(INDEX(tbl_Onsite[Client],IFERROR(MATCH(A72&amp;"",tbl_Onsite[Job Number],0),MATCH(IFERROR(A72+0,A72),tbl_Onsite[Job Number],0)))="","",INDEX(tbl_Onsite[Client],IFERROR(MATCH(A72&amp;"",tbl_Onsite[Job Number],0),MATCH(IFERROR(A72+0,A72),tbl_Onsite[Job Number],0)))),IFERROR(IF(INDEX(tbl_Production[Client],IFERROR(MATCH(A72&amp;"",tbl_Production[Job Number],0),MATCH(IFERROR(A72+0,A72),tbl_Production[Job Number],0)))="","",INDEX(tbl_Production[Client],IFERROR(MATCH(A72&amp;"",tbl_Production[Job Number],0),MATCH(IFERROR(A72+0,A72),tbl_Production[Job Number],0)))),IFERROR(IF(INDEX(tbl_Consulting[Client],IFERROR(MATCH(A72&amp;"",tbl_Consulting[Job Number],0),MATCH(IFERROR(A72+0,A72),tbl_Consulting[Job Number],0)))="","",INDEX(tbl_Consulting[Client],IFERROR(MATCH(A72&amp;"",tbl_Consulting[Job Number],0),MATCH(IFERROR(A72+0,A72),tbl_Consulting[Job Number],0)))),""))))</f>
        <v/>
      </c>
      <c r="K72" s="26">
        <f>IF(A72="","",IFERROR(IF(INDEX(tbl_Onsite[Job Description],IFERROR(MATCH(A72&amp;"",tbl_Onsite[Job Number],0),MATCH(IFERROR(A72+0,A72),tbl_Onsite[Job Number],0)))="","",INDEX(tbl_Onsite[Job Description],IFERROR(MATCH(A72&amp;"",tbl_Onsite[Job Number],0),MATCH(IFERROR(A72+0,A72),tbl_Onsite[Job Number],0)))),IFERROR(IF(INDEX(tbl_Production[Job Description],IFERROR(MATCH(A72&amp;"",tbl_Production[Job Number],0),MATCH(IFERROR(A72+0,A72),tbl_Production[Job Number],0)))="","",INDEX(tbl_Production[Job Description],IFERROR(MATCH(A72&amp;"",tbl_Production[Job Number],0),MATCH(IFERROR(A72+0,A72),tbl_Production[Job Number],0)))),IFERROR(IF(INDEX(tbl_Consulting[Job Description],IFERROR(MATCH(A72&amp;"",tbl_Consulting[Job Number],0),MATCH(IFERROR(A72+0,A72),tbl_Consulting[Job Number],0)))="","",INDEX(tbl_Consulting[Job Description],IFERROR(MATCH(A72&amp;"",tbl_Consulting[Job Number],0),MATCH(IFERROR(A72+0,A72),tbl_Consulting[Job Number],0)))),""))))</f>
        <v/>
      </c>
      <c r="L72" s="26">
        <f>IF(A72="","",IFERROR(IF(INDEX(tbl_Onsite[Invoice Type],IFERROR(MATCH(A72&amp;"",tbl_Onsite[Job Number],0),MATCH(IFERROR(A72+0,A72),tbl_Onsite[Job Number],0)))="","",INDEX(tbl_Onsite[Invoice Type],IFERROR(MATCH(A72&amp;"",tbl_Onsite[Job Number],0),MATCH(IFERROR(A72+0,A72),tbl_Onsite[Job Number],0)))),IFERROR(IF(INDEX(tbl_Production[Invoice Type],IFERROR(MATCH(A72&amp;"",tbl_Production[Job Number],0),MATCH(IFERROR(A72+0,A72),tbl_Production[Job Number],0)))="","",INDEX(tbl_Production[Invoice Type],IFERROR(MATCH(A72&amp;"",tbl_Production[Job Number],0),MATCH(IFERROR(A72+0,A72),tbl_Production[Job Number],0)))),IFERROR(IF(INDEX(tbl_Consulting[Invoice Type],IFERROR(MATCH(A72&amp;"",tbl_Consulting[Job Number],0),MATCH(IFERROR(A72+0,A72),tbl_Consulting[Job Number],0)))="","",INDEX(tbl_Consulting[Invoice Type],IFERROR(MATCH(A72&amp;"",tbl_Consulting[Job Number],0),MATCH(IFERROR(A72+0,A72),tbl_Consulting[Job Number],0)))),""))))</f>
        <v/>
      </c>
      <c r="M72" s="26">
        <f>IF(A72="","",IF(IFERROR(IF(INDEX(tbl_Onsite[Tax Code],IFERROR(MATCH(A72&amp;"",tbl_Onsite[Job Number],0),MATCH(IFERROR(A72+0,A72),tbl_Onsite[Job Number],0)))="","",INDEX(tbl_Onsite[Tax Code],IFERROR(MATCH(A72&amp;"",tbl_Onsite[Job Number],0),MATCH(IFERROR(A72+0,A72),tbl_Onsite[Job Number],0)))),IFERROR(IF(INDEX(tbl_Production[Tax Code],IFERROR(MATCH(A72&amp;"",tbl_Production[Job Number],0),MATCH(IFERROR(A72+0,A72),tbl_Production[Job Number],0)))="","",INDEX(tbl_Production[Tax Code],IFERROR(MATCH(A72&amp;"",tbl_Production[Job Number],0),MATCH(IFERROR(A72+0,A72),tbl_Production[Job Number],0)))),IFERROR(IF(INDEX(tbl_Consulting[Tax Code],IFERROR(MATCH(A72&amp;"",tbl_Consulting[Job Number],0),MATCH(IFERROR(A72+0,A72),tbl_Consulting[Job Number],0)))="","",INDEX(tbl_Consulting[Tax Code],IFERROR(MATCH(A72&amp;"",tbl_Consulting[Job Number],0),MATCH(IFERROR(A72+0,A72),tbl_Consulting[Job Number],0)))),"")))="","GST 10%",IFERROR(IF(INDEX(tbl_Onsite[Tax Code],IFERROR(MATCH(A72&amp;"",tbl_Onsite[Job Number],0),MATCH(IFERROR(A72+0,A72),tbl_Onsite[Job Number],0)))="","",INDEX(tbl_Onsite[Tax Code],IFERROR(MATCH(A72&amp;"",tbl_Onsite[Job Number],0),MATCH(IFERROR(A72+0,A72),tbl_Onsite[Job Number],0)))),IFERROR(IF(INDEX(tbl_Production[Tax Code],IFERROR(MATCH(A72&amp;"",tbl_Production[Job Number],0),MATCH(IFERROR(A72+0,A72),tbl_Production[Job Number],0)))="","",INDEX(tbl_Production[Tax Code],IFERROR(MATCH(A72&amp;"",tbl_Production[Job Number],0),MATCH(IFERROR(A72+0,A72),tbl_Production[Job Number],0)))),IFERROR(IF(INDEX(tbl_Consulting[Tax Code],IFERROR(MATCH(A72&amp;"",tbl_Consulting[Job Number],0),MATCH(IFERROR(A72+0,A72),tbl_Consulting[Job Number],0)))="","",INDEX(tbl_Consulting[Tax Code],IFERROR(MATCH(A72&amp;"",tbl_Consulting[Job Number],0),MATCH(IFERROR(A72+0,A72),tbl_Consulting[Job Number],0)))),"")))))</f>
        <v/>
      </c>
      <c r="N72" s="26">
        <f>IF(D72="","",IFERROR(INDEX(lst_CCtoGL,MATCH(D72,lst_CCforGL,0)),""))</f>
        <v/>
      </c>
      <c r="O72" s="27">
        <f>IF(E72="","",IF(M72="GST 10%",ROUND(E72*set_GSTRate,2),0))</f>
        <v/>
      </c>
      <c r="P72" s="27">
        <f>IF(E72="","",E72+O72)</f>
        <v/>
      </c>
      <c r="Q72" s="27">
        <f>IF(A72="","",IFERROR(INDEX(tbl_Onsite[Expected Revenue Ex GST],IFERROR(MATCH(A72&amp;"",tbl_Onsite[Job Number],0),MATCH(IFERROR(A72+0,A72),tbl_Onsite[Job Number],0))),IFERROR(INDEX(tbl_Production[Expected Revenue Ex GST],IFERROR(MATCH(A72&amp;"",tbl_Production[Job Number],0),MATCH(IFERROR(A72+0,A72),tbl_Production[Job Number],0))),IFERROR(INDEX(tbl_Consulting[Expected Revenue Ex GST],IFERROR(MATCH(A72&amp;"",tbl_Consulting[Job Number],0),MATCH(IFERROR(A72+0,A72),tbl_Consulting[Job Number],0))),0))))</f>
        <v/>
      </c>
      <c r="R72" s="27">
        <f>IF(A72="","",SUMIFS(tbl_Finance[Ex GST],tbl_Finance[Job Number],A72&amp;""))</f>
        <v/>
      </c>
      <c r="S72" s="27">
        <f>IF(A72="","",Q72-R72)</f>
        <v/>
      </c>
      <c r="T72" s="26">
        <f>IF(A72="","",IF(Q72=0,"No dept value",IF(ROUND(S72,2)=0,"Agrees",IF(S72&gt;0,"Dept higher - to invoice","Xero higher - check dept"))))</f>
        <v/>
      </c>
      <c r="U72" s="22" t="n"/>
      <c r="V72" s="22" t="n"/>
      <c r="W72" s="23" t="n"/>
      <c r="X72" s="23" t="n"/>
      <c r="Y72" s="22" t="n"/>
      <c r="Z72" s="22" t="n"/>
      <c r="AA72" s="26">
        <f>IF(COUNTA(C72,A72,B72,E72)=0,"",IF(C72="","No date - sits outside every month",IF(A72="","No job number",IF(H72="CHECK","Job number is not in the Xero job list",IF(G72="not set up yet","No department has set this job up - nothing can pull through",IF(D72="","No cost centre",IF(AND(U72="Y",B72=""),"Marked posted to Xero but has no invoice number",IF(N72="","Cost centre has no revenue GL on the Lists sheet",IF(T72="Xero higher - check dept","Invoiced more than the department says the job is worth","")))))))))</f>
        <v/>
      </c>
      <c r="AB72" s="28">
        <f>IF(A72="","",COUNTIFS(tbl_Finance[Job Number],A72&amp;"",tbl_Finance[Ex GST],"&lt;&gt;"))</f>
        <v/>
      </c>
      <c r="AC72" s="27">
        <f>IF(A72="","",SUMIFS(tbl_Finance[Ex GST],tbl_Finance[Job Number],A72&amp;""))</f>
        <v/>
      </c>
      <c r="AD72" s="27">
        <f>IF(A72="","",SUMIFS(tbl_Finance[Ex GST],tbl_Finance[Job Number],A72&amp;"",tbl_Finance[Xero Invoice No],"&lt;&gt;"))</f>
        <v/>
      </c>
      <c r="AE72" s="27">
        <f>IF(A72="","",AC72-AD72)</f>
        <v/>
      </c>
      <c r="AF72" s="26">
        <f>IF(A72="","",IFERROR(IF(INDEX(tbl_Onsite[Qwilr Quote],IFERROR(MATCH(A72&amp;"",tbl_Onsite[Job Number],0),MATCH(IFERROR(A72+0,A72),tbl_Onsite[Job Number],0)))="","",INDEX(tbl_Onsite[Qwilr Quote],IFERROR(MATCH(A72&amp;"",tbl_Onsite[Job Number],0),MATCH(IFERROR(A72+0,A72),tbl_Onsite[Job Number],0)))),IFERROR(IF(IF(INDEX(tbl_Production[Current RMS No],IFERROR(MATCH(A72&amp;"",tbl_Production[Job Number],0),MATCH(IFERROR(A72+0,A72),tbl_Production[Job Number],0)))="",INDEX(tbl_Production[Qwilr Quote],IFERROR(MATCH(A72&amp;"",tbl_Production[Job Number],0),MATCH(IFERROR(A72+0,A72),tbl_Production[Job Number],0))),INDEX(tbl_Production[Current RMS No],IFERROR(MATCH(A72&amp;"",tbl_Production[Job Number],0),MATCH(IFERROR(A72+0,A72),tbl_Production[Job Number],0))))="","",IF(INDEX(tbl_Production[Current RMS No],IFERROR(MATCH(A72&amp;"",tbl_Production[Job Number],0),MATCH(IFERROR(A72+0,A72),tbl_Production[Job Number],0)))="",INDEX(tbl_Production[Qwilr Quote],IFERROR(MATCH(A72&amp;"",tbl_Production[Job Number],0),MATCH(IFERROR(A72+0,A72),tbl_Production[Job Number],0))),INDEX(tbl_Production[Current RMS No],IFERROR(MATCH(A72&amp;"",tbl_Production[Job Number],0),MATCH(IFERROR(A72+0,A72),tbl_Production[Job Number],0))))),IFERROR(IF(INDEX(tbl_Consulting[Qwilr Quote],IFERROR(MATCH(A72&amp;"",tbl_Consulting[Job Number],0),MATCH(IFERROR(A72+0,A72),tbl_Consulting[Job Number],0)))="","",INDEX(tbl_Consulting[Qwilr Quote],IFERROR(MATCH(A72&amp;"",tbl_Consulting[Job Number],0),MATCH(IFERROR(A72+0,A72),tbl_Consulting[Job Number],0)))),""))))</f>
        <v/>
      </c>
      <c r="AG72" s="26">
        <f>IF(AF72="","",IF(AND(LEFT(AF72,4)&lt;&gt;"http",IF(G72="Production",set_RMSBase,set_QwilrBase)=""),"",HYPERLINK(IF(LEFT(AF72,4)="http",AF72,IF(G72="Production",set_RMSBase,set_QwilrBase)&amp;AF72),"Open")))</f>
        <v/>
      </c>
      <c r="AH72" s="27">
        <f>IF(A72="","",IFERROR(INDEX(tbl_Production[Total Expense],IFERROR(MATCH(A72&amp;"",tbl_Production[Job Number],0),MATCH(IFERROR(A72+0,A72),tbl_Production[Job Number],0))),IFERROR(INDEX(tbl_Consulting[Total Expense],IFERROR(MATCH(A72&amp;"",tbl_Consulting[Job Number],0),MATCH(IFERROR(A72+0,A72),tbl_Consulting[Job Number],0))),0)))</f>
        <v/>
      </c>
      <c r="AI72" s="27">
        <f>IF(A72="","",AC72-N(AH72))</f>
        <v/>
      </c>
      <c r="AJ72" s="29">
        <f>IFERROR(AI72/AC72,"")</f>
        <v/>
      </c>
      <c r="AK72" s="26">
        <f>IF(A72="","",IFERROR(IF(INDEX(tbl_Onsite[Notes],IFERROR(MATCH(A72&amp;"",tbl_Onsite[Job Number],0),MATCH(IFERROR(A72+0,A72),tbl_Onsite[Job Number],0)))="","",INDEX(tbl_Onsite[Notes],IFERROR(MATCH(A72&amp;"",tbl_Onsite[Job Number],0),MATCH(IFERROR(A72+0,A72),tbl_Onsite[Job Number],0)))),IFERROR(IF(INDEX(tbl_Production[Notes],IFERROR(MATCH(A72&amp;"",tbl_Production[Job Number],0),MATCH(IFERROR(A72+0,A72),tbl_Production[Job Number],0)))="","",INDEX(tbl_Production[Notes],IFERROR(MATCH(A72&amp;"",tbl_Production[Job Number],0),MATCH(IFERROR(A72+0,A72),tbl_Production[Job Number],0)))),IFERROR(IF(INDEX(tbl_Consulting[Notes],IFERROR(MATCH(A72&amp;"",tbl_Consulting[Job Number],0),MATCH(IFERROR(A72+0,A72),tbl_Consulting[Job Number],0)))="","",INDEX(tbl_Consulting[Notes],IFERROR(MATCH(A72&amp;"",tbl_Consulting[Job Number],0),MATCH(IFERROR(A72+0,A72),tbl_Consulting[Job Number],0)))),""))))</f>
        <v/>
      </c>
    </row>
    <row r="73" ht="15" customHeight="1">
      <c r="A73" s="22" t="n"/>
      <c r="B73" s="22" t="n"/>
      <c r="C73" s="23" t="n"/>
      <c r="D73" s="22" t="n"/>
      <c r="E73" s="24" t="n"/>
      <c r="F73" s="25">
        <f>IF(C73="","",EOMONTH(C73,0))</f>
        <v/>
      </c>
      <c r="G73" s="26">
        <f>IF(A73="","",IF(COUNTIF(tbl_Onsite[Job Number],A73&amp;"")&gt;0,"Onsite",IF(COUNTIF(tbl_Production[Job Number],A73&amp;"")&gt;0,"Production",IF(COUNTIF(tbl_Consulting[Job Number],A73&amp;"")&gt;0,"Consulting","not set up yet"))))</f>
        <v/>
      </c>
      <c r="H73" s="26">
        <f>IF(A73="","",IF(COUNTIF(lst_Jobs,A73&amp;"")&gt;0,"OK","CHECK"))</f>
        <v/>
      </c>
      <c r="I73" s="26">
        <f>IF(A73="","",IFERROR(INDEX(lst_JobName,MATCH(A73&amp;"",lst_Jobs,0)),""))</f>
        <v/>
      </c>
      <c r="J73" s="26">
        <f>IF(A73="","",IFERROR(IF(INDEX(tbl_Onsite[Client],IFERROR(MATCH(A73&amp;"",tbl_Onsite[Job Number],0),MATCH(IFERROR(A73+0,A73),tbl_Onsite[Job Number],0)))="","",INDEX(tbl_Onsite[Client],IFERROR(MATCH(A73&amp;"",tbl_Onsite[Job Number],0),MATCH(IFERROR(A73+0,A73),tbl_Onsite[Job Number],0)))),IFERROR(IF(INDEX(tbl_Production[Client],IFERROR(MATCH(A73&amp;"",tbl_Production[Job Number],0),MATCH(IFERROR(A73+0,A73),tbl_Production[Job Number],0)))="","",INDEX(tbl_Production[Client],IFERROR(MATCH(A73&amp;"",tbl_Production[Job Number],0),MATCH(IFERROR(A73+0,A73),tbl_Production[Job Number],0)))),IFERROR(IF(INDEX(tbl_Consulting[Client],IFERROR(MATCH(A73&amp;"",tbl_Consulting[Job Number],0),MATCH(IFERROR(A73+0,A73),tbl_Consulting[Job Number],0)))="","",INDEX(tbl_Consulting[Client],IFERROR(MATCH(A73&amp;"",tbl_Consulting[Job Number],0),MATCH(IFERROR(A73+0,A73),tbl_Consulting[Job Number],0)))),""))))</f>
        <v/>
      </c>
      <c r="K73" s="26">
        <f>IF(A73="","",IFERROR(IF(INDEX(tbl_Onsite[Job Description],IFERROR(MATCH(A73&amp;"",tbl_Onsite[Job Number],0),MATCH(IFERROR(A73+0,A73),tbl_Onsite[Job Number],0)))="","",INDEX(tbl_Onsite[Job Description],IFERROR(MATCH(A73&amp;"",tbl_Onsite[Job Number],0),MATCH(IFERROR(A73+0,A73),tbl_Onsite[Job Number],0)))),IFERROR(IF(INDEX(tbl_Production[Job Description],IFERROR(MATCH(A73&amp;"",tbl_Production[Job Number],0),MATCH(IFERROR(A73+0,A73),tbl_Production[Job Number],0)))="","",INDEX(tbl_Production[Job Description],IFERROR(MATCH(A73&amp;"",tbl_Production[Job Number],0),MATCH(IFERROR(A73+0,A73),tbl_Production[Job Number],0)))),IFERROR(IF(INDEX(tbl_Consulting[Job Description],IFERROR(MATCH(A73&amp;"",tbl_Consulting[Job Number],0),MATCH(IFERROR(A73+0,A73),tbl_Consulting[Job Number],0)))="","",INDEX(tbl_Consulting[Job Description],IFERROR(MATCH(A73&amp;"",tbl_Consulting[Job Number],0),MATCH(IFERROR(A73+0,A73),tbl_Consulting[Job Number],0)))),""))))</f>
        <v/>
      </c>
      <c r="L73" s="26">
        <f>IF(A73="","",IFERROR(IF(INDEX(tbl_Onsite[Invoice Type],IFERROR(MATCH(A73&amp;"",tbl_Onsite[Job Number],0),MATCH(IFERROR(A73+0,A73),tbl_Onsite[Job Number],0)))="","",INDEX(tbl_Onsite[Invoice Type],IFERROR(MATCH(A73&amp;"",tbl_Onsite[Job Number],0),MATCH(IFERROR(A73+0,A73),tbl_Onsite[Job Number],0)))),IFERROR(IF(INDEX(tbl_Production[Invoice Type],IFERROR(MATCH(A73&amp;"",tbl_Production[Job Number],0),MATCH(IFERROR(A73+0,A73),tbl_Production[Job Number],0)))="","",INDEX(tbl_Production[Invoice Type],IFERROR(MATCH(A73&amp;"",tbl_Production[Job Number],0),MATCH(IFERROR(A73+0,A73),tbl_Production[Job Number],0)))),IFERROR(IF(INDEX(tbl_Consulting[Invoice Type],IFERROR(MATCH(A73&amp;"",tbl_Consulting[Job Number],0),MATCH(IFERROR(A73+0,A73),tbl_Consulting[Job Number],0)))="","",INDEX(tbl_Consulting[Invoice Type],IFERROR(MATCH(A73&amp;"",tbl_Consulting[Job Number],0),MATCH(IFERROR(A73+0,A73),tbl_Consulting[Job Number],0)))),""))))</f>
        <v/>
      </c>
      <c r="M73" s="26">
        <f>IF(A73="","",IF(IFERROR(IF(INDEX(tbl_Onsite[Tax Code],IFERROR(MATCH(A73&amp;"",tbl_Onsite[Job Number],0),MATCH(IFERROR(A73+0,A73),tbl_Onsite[Job Number],0)))="","",INDEX(tbl_Onsite[Tax Code],IFERROR(MATCH(A73&amp;"",tbl_Onsite[Job Number],0),MATCH(IFERROR(A73+0,A73),tbl_Onsite[Job Number],0)))),IFERROR(IF(INDEX(tbl_Production[Tax Code],IFERROR(MATCH(A73&amp;"",tbl_Production[Job Number],0),MATCH(IFERROR(A73+0,A73),tbl_Production[Job Number],0)))="","",INDEX(tbl_Production[Tax Code],IFERROR(MATCH(A73&amp;"",tbl_Production[Job Number],0),MATCH(IFERROR(A73+0,A73),tbl_Production[Job Number],0)))),IFERROR(IF(INDEX(tbl_Consulting[Tax Code],IFERROR(MATCH(A73&amp;"",tbl_Consulting[Job Number],0),MATCH(IFERROR(A73+0,A73),tbl_Consulting[Job Number],0)))="","",INDEX(tbl_Consulting[Tax Code],IFERROR(MATCH(A73&amp;"",tbl_Consulting[Job Number],0),MATCH(IFERROR(A73+0,A73),tbl_Consulting[Job Number],0)))),"")))="","GST 10%",IFERROR(IF(INDEX(tbl_Onsite[Tax Code],IFERROR(MATCH(A73&amp;"",tbl_Onsite[Job Number],0),MATCH(IFERROR(A73+0,A73),tbl_Onsite[Job Number],0)))="","",INDEX(tbl_Onsite[Tax Code],IFERROR(MATCH(A73&amp;"",tbl_Onsite[Job Number],0),MATCH(IFERROR(A73+0,A73),tbl_Onsite[Job Number],0)))),IFERROR(IF(INDEX(tbl_Production[Tax Code],IFERROR(MATCH(A73&amp;"",tbl_Production[Job Number],0),MATCH(IFERROR(A73+0,A73),tbl_Production[Job Number],0)))="","",INDEX(tbl_Production[Tax Code],IFERROR(MATCH(A73&amp;"",tbl_Production[Job Number],0),MATCH(IFERROR(A73+0,A73),tbl_Production[Job Number],0)))),IFERROR(IF(INDEX(tbl_Consulting[Tax Code],IFERROR(MATCH(A73&amp;"",tbl_Consulting[Job Number],0),MATCH(IFERROR(A73+0,A73),tbl_Consulting[Job Number],0)))="","",INDEX(tbl_Consulting[Tax Code],IFERROR(MATCH(A73&amp;"",tbl_Consulting[Job Number],0),MATCH(IFERROR(A73+0,A73),tbl_Consulting[Job Number],0)))),"")))))</f>
        <v/>
      </c>
      <c r="N73" s="26">
        <f>IF(D73="","",IFERROR(INDEX(lst_CCtoGL,MATCH(D73,lst_CCforGL,0)),""))</f>
        <v/>
      </c>
      <c r="O73" s="27">
        <f>IF(E73="","",IF(M73="GST 10%",ROUND(E73*set_GSTRate,2),0))</f>
        <v/>
      </c>
      <c r="P73" s="27">
        <f>IF(E73="","",E73+O73)</f>
        <v/>
      </c>
      <c r="Q73" s="27">
        <f>IF(A73="","",IFERROR(INDEX(tbl_Onsite[Expected Revenue Ex GST],IFERROR(MATCH(A73&amp;"",tbl_Onsite[Job Number],0),MATCH(IFERROR(A73+0,A73),tbl_Onsite[Job Number],0))),IFERROR(INDEX(tbl_Production[Expected Revenue Ex GST],IFERROR(MATCH(A73&amp;"",tbl_Production[Job Number],0),MATCH(IFERROR(A73+0,A73),tbl_Production[Job Number],0))),IFERROR(INDEX(tbl_Consulting[Expected Revenue Ex GST],IFERROR(MATCH(A73&amp;"",tbl_Consulting[Job Number],0),MATCH(IFERROR(A73+0,A73),tbl_Consulting[Job Number],0))),0))))</f>
        <v/>
      </c>
      <c r="R73" s="27">
        <f>IF(A73="","",SUMIFS(tbl_Finance[Ex GST],tbl_Finance[Job Number],A73&amp;""))</f>
        <v/>
      </c>
      <c r="S73" s="27">
        <f>IF(A73="","",Q73-R73)</f>
        <v/>
      </c>
      <c r="T73" s="26">
        <f>IF(A73="","",IF(Q73=0,"No dept value",IF(ROUND(S73,2)=0,"Agrees",IF(S73&gt;0,"Dept higher - to invoice","Xero higher - check dept"))))</f>
        <v/>
      </c>
      <c r="U73" s="22" t="n"/>
      <c r="V73" s="22" t="n"/>
      <c r="W73" s="23" t="n"/>
      <c r="X73" s="23" t="n"/>
      <c r="Y73" s="22" t="n"/>
      <c r="Z73" s="22" t="n"/>
      <c r="AA73" s="26">
        <f>IF(COUNTA(C73,A73,B73,E73)=0,"",IF(C73="","No date - sits outside every month",IF(A73="","No job number",IF(H73="CHECK","Job number is not in the Xero job list",IF(G73="not set up yet","No department has set this job up - nothing can pull through",IF(D73="","No cost centre",IF(AND(U73="Y",B73=""),"Marked posted to Xero but has no invoice number",IF(N73="","Cost centre has no revenue GL on the Lists sheet",IF(T73="Xero higher - check dept","Invoiced more than the department says the job is worth","")))))))))</f>
        <v/>
      </c>
      <c r="AB73" s="28">
        <f>IF(A73="","",COUNTIFS(tbl_Finance[Job Number],A73&amp;"",tbl_Finance[Ex GST],"&lt;&gt;"))</f>
        <v/>
      </c>
      <c r="AC73" s="27">
        <f>IF(A73="","",SUMIFS(tbl_Finance[Ex GST],tbl_Finance[Job Number],A73&amp;""))</f>
        <v/>
      </c>
      <c r="AD73" s="27">
        <f>IF(A73="","",SUMIFS(tbl_Finance[Ex GST],tbl_Finance[Job Number],A73&amp;"",tbl_Finance[Xero Invoice No],"&lt;&gt;"))</f>
        <v/>
      </c>
      <c r="AE73" s="27">
        <f>IF(A73="","",AC73-AD73)</f>
        <v/>
      </c>
      <c r="AF73" s="26">
        <f>IF(A73="","",IFERROR(IF(INDEX(tbl_Onsite[Qwilr Quote],IFERROR(MATCH(A73&amp;"",tbl_Onsite[Job Number],0),MATCH(IFERROR(A73+0,A73),tbl_Onsite[Job Number],0)))="","",INDEX(tbl_Onsite[Qwilr Quote],IFERROR(MATCH(A73&amp;"",tbl_Onsite[Job Number],0),MATCH(IFERROR(A73+0,A73),tbl_Onsite[Job Number],0)))),IFERROR(IF(IF(INDEX(tbl_Production[Current RMS No],IFERROR(MATCH(A73&amp;"",tbl_Production[Job Number],0),MATCH(IFERROR(A73+0,A73),tbl_Production[Job Number],0)))="",INDEX(tbl_Production[Qwilr Quote],IFERROR(MATCH(A73&amp;"",tbl_Production[Job Number],0),MATCH(IFERROR(A73+0,A73),tbl_Production[Job Number],0))),INDEX(tbl_Production[Current RMS No],IFERROR(MATCH(A73&amp;"",tbl_Production[Job Number],0),MATCH(IFERROR(A73+0,A73),tbl_Production[Job Number],0))))="","",IF(INDEX(tbl_Production[Current RMS No],IFERROR(MATCH(A73&amp;"",tbl_Production[Job Number],0),MATCH(IFERROR(A73+0,A73),tbl_Production[Job Number],0)))="",INDEX(tbl_Production[Qwilr Quote],IFERROR(MATCH(A73&amp;"",tbl_Production[Job Number],0),MATCH(IFERROR(A73+0,A73),tbl_Production[Job Number],0))),INDEX(tbl_Production[Current RMS No],IFERROR(MATCH(A73&amp;"",tbl_Production[Job Number],0),MATCH(IFERROR(A73+0,A73),tbl_Production[Job Number],0))))),IFERROR(IF(INDEX(tbl_Consulting[Qwilr Quote],IFERROR(MATCH(A73&amp;"",tbl_Consulting[Job Number],0),MATCH(IFERROR(A73+0,A73),tbl_Consulting[Job Number],0)))="","",INDEX(tbl_Consulting[Qwilr Quote],IFERROR(MATCH(A73&amp;"",tbl_Consulting[Job Number],0),MATCH(IFERROR(A73+0,A73),tbl_Consulting[Job Number],0)))),""))))</f>
        <v/>
      </c>
      <c r="AG73" s="26">
        <f>IF(AF73="","",IF(AND(LEFT(AF73,4)&lt;&gt;"http",IF(G73="Production",set_RMSBase,set_QwilrBase)=""),"",HYPERLINK(IF(LEFT(AF73,4)="http",AF73,IF(G73="Production",set_RMSBase,set_QwilrBase)&amp;AF73),"Open")))</f>
        <v/>
      </c>
      <c r="AH73" s="27">
        <f>IF(A73="","",IFERROR(INDEX(tbl_Production[Total Expense],IFERROR(MATCH(A73&amp;"",tbl_Production[Job Number],0),MATCH(IFERROR(A73+0,A73),tbl_Production[Job Number],0))),IFERROR(INDEX(tbl_Consulting[Total Expense],IFERROR(MATCH(A73&amp;"",tbl_Consulting[Job Number],0),MATCH(IFERROR(A73+0,A73),tbl_Consulting[Job Number],0))),0)))</f>
        <v/>
      </c>
      <c r="AI73" s="27">
        <f>IF(A73="","",AC73-N(AH73))</f>
        <v/>
      </c>
      <c r="AJ73" s="29">
        <f>IFERROR(AI73/AC73,"")</f>
        <v/>
      </c>
      <c r="AK73" s="26">
        <f>IF(A73="","",IFERROR(IF(INDEX(tbl_Onsite[Notes],IFERROR(MATCH(A73&amp;"",tbl_Onsite[Job Number],0),MATCH(IFERROR(A73+0,A73),tbl_Onsite[Job Number],0)))="","",INDEX(tbl_Onsite[Notes],IFERROR(MATCH(A73&amp;"",tbl_Onsite[Job Number],0),MATCH(IFERROR(A73+0,A73),tbl_Onsite[Job Number],0)))),IFERROR(IF(INDEX(tbl_Production[Notes],IFERROR(MATCH(A73&amp;"",tbl_Production[Job Number],0),MATCH(IFERROR(A73+0,A73),tbl_Production[Job Number],0)))="","",INDEX(tbl_Production[Notes],IFERROR(MATCH(A73&amp;"",tbl_Production[Job Number],0),MATCH(IFERROR(A73+0,A73),tbl_Production[Job Number],0)))),IFERROR(IF(INDEX(tbl_Consulting[Notes],IFERROR(MATCH(A73&amp;"",tbl_Consulting[Job Number],0),MATCH(IFERROR(A73+0,A73),tbl_Consulting[Job Number],0)))="","",INDEX(tbl_Consulting[Notes],IFERROR(MATCH(A73&amp;"",tbl_Consulting[Job Number],0),MATCH(IFERROR(A73+0,A73),tbl_Consulting[Job Number],0)))),""))))</f>
        <v/>
      </c>
    </row>
    <row r="74" ht="15" customHeight="1">
      <c r="A74" s="22" t="n"/>
      <c r="B74" s="22" t="n"/>
      <c r="C74" s="23" t="n"/>
      <c r="D74" s="22" t="n"/>
      <c r="E74" s="24" t="n"/>
      <c r="F74" s="25">
        <f>IF(C74="","",EOMONTH(C74,0))</f>
        <v/>
      </c>
      <c r="G74" s="26">
        <f>IF(A74="","",IF(COUNTIF(tbl_Onsite[Job Number],A74&amp;"")&gt;0,"Onsite",IF(COUNTIF(tbl_Production[Job Number],A74&amp;"")&gt;0,"Production",IF(COUNTIF(tbl_Consulting[Job Number],A74&amp;"")&gt;0,"Consulting","not set up yet"))))</f>
        <v/>
      </c>
      <c r="H74" s="26">
        <f>IF(A74="","",IF(COUNTIF(lst_Jobs,A74&amp;"")&gt;0,"OK","CHECK"))</f>
        <v/>
      </c>
      <c r="I74" s="26">
        <f>IF(A74="","",IFERROR(INDEX(lst_JobName,MATCH(A74&amp;"",lst_Jobs,0)),""))</f>
        <v/>
      </c>
      <c r="J74" s="26">
        <f>IF(A74="","",IFERROR(IF(INDEX(tbl_Onsite[Client],IFERROR(MATCH(A74&amp;"",tbl_Onsite[Job Number],0),MATCH(IFERROR(A74+0,A74),tbl_Onsite[Job Number],0)))="","",INDEX(tbl_Onsite[Client],IFERROR(MATCH(A74&amp;"",tbl_Onsite[Job Number],0),MATCH(IFERROR(A74+0,A74),tbl_Onsite[Job Number],0)))),IFERROR(IF(INDEX(tbl_Production[Client],IFERROR(MATCH(A74&amp;"",tbl_Production[Job Number],0),MATCH(IFERROR(A74+0,A74),tbl_Production[Job Number],0)))="","",INDEX(tbl_Production[Client],IFERROR(MATCH(A74&amp;"",tbl_Production[Job Number],0),MATCH(IFERROR(A74+0,A74),tbl_Production[Job Number],0)))),IFERROR(IF(INDEX(tbl_Consulting[Client],IFERROR(MATCH(A74&amp;"",tbl_Consulting[Job Number],0),MATCH(IFERROR(A74+0,A74),tbl_Consulting[Job Number],0)))="","",INDEX(tbl_Consulting[Client],IFERROR(MATCH(A74&amp;"",tbl_Consulting[Job Number],0),MATCH(IFERROR(A74+0,A74),tbl_Consulting[Job Number],0)))),""))))</f>
        <v/>
      </c>
      <c r="K74" s="26">
        <f>IF(A74="","",IFERROR(IF(INDEX(tbl_Onsite[Job Description],IFERROR(MATCH(A74&amp;"",tbl_Onsite[Job Number],0),MATCH(IFERROR(A74+0,A74),tbl_Onsite[Job Number],0)))="","",INDEX(tbl_Onsite[Job Description],IFERROR(MATCH(A74&amp;"",tbl_Onsite[Job Number],0),MATCH(IFERROR(A74+0,A74),tbl_Onsite[Job Number],0)))),IFERROR(IF(INDEX(tbl_Production[Job Description],IFERROR(MATCH(A74&amp;"",tbl_Production[Job Number],0),MATCH(IFERROR(A74+0,A74),tbl_Production[Job Number],0)))="","",INDEX(tbl_Production[Job Description],IFERROR(MATCH(A74&amp;"",tbl_Production[Job Number],0),MATCH(IFERROR(A74+0,A74),tbl_Production[Job Number],0)))),IFERROR(IF(INDEX(tbl_Consulting[Job Description],IFERROR(MATCH(A74&amp;"",tbl_Consulting[Job Number],0),MATCH(IFERROR(A74+0,A74),tbl_Consulting[Job Number],0)))="","",INDEX(tbl_Consulting[Job Description],IFERROR(MATCH(A74&amp;"",tbl_Consulting[Job Number],0),MATCH(IFERROR(A74+0,A74),tbl_Consulting[Job Number],0)))),""))))</f>
        <v/>
      </c>
      <c r="L74" s="26">
        <f>IF(A74="","",IFERROR(IF(INDEX(tbl_Onsite[Invoice Type],IFERROR(MATCH(A74&amp;"",tbl_Onsite[Job Number],0),MATCH(IFERROR(A74+0,A74),tbl_Onsite[Job Number],0)))="","",INDEX(tbl_Onsite[Invoice Type],IFERROR(MATCH(A74&amp;"",tbl_Onsite[Job Number],0),MATCH(IFERROR(A74+0,A74),tbl_Onsite[Job Number],0)))),IFERROR(IF(INDEX(tbl_Production[Invoice Type],IFERROR(MATCH(A74&amp;"",tbl_Production[Job Number],0),MATCH(IFERROR(A74+0,A74),tbl_Production[Job Number],0)))="","",INDEX(tbl_Production[Invoice Type],IFERROR(MATCH(A74&amp;"",tbl_Production[Job Number],0),MATCH(IFERROR(A74+0,A74),tbl_Production[Job Number],0)))),IFERROR(IF(INDEX(tbl_Consulting[Invoice Type],IFERROR(MATCH(A74&amp;"",tbl_Consulting[Job Number],0),MATCH(IFERROR(A74+0,A74),tbl_Consulting[Job Number],0)))="","",INDEX(tbl_Consulting[Invoice Type],IFERROR(MATCH(A74&amp;"",tbl_Consulting[Job Number],0),MATCH(IFERROR(A74+0,A74),tbl_Consulting[Job Number],0)))),""))))</f>
        <v/>
      </c>
      <c r="M74" s="26">
        <f>IF(A74="","",IF(IFERROR(IF(INDEX(tbl_Onsite[Tax Code],IFERROR(MATCH(A74&amp;"",tbl_Onsite[Job Number],0),MATCH(IFERROR(A74+0,A74),tbl_Onsite[Job Number],0)))="","",INDEX(tbl_Onsite[Tax Code],IFERROR(MATCH(A74&amp;"",tbl_Onsite[Job Number],0),MATCH(IFERROR(A74+0,A74),tbl_Onsite[Job Number],0)))),IFERROR(IF(INDEX(tbl_Production[Tax Code],IFERROR(MATCH(A74&amp;"",tbl_Production[Job Number],0),MATCH(IFERROR(A74+0,A74),tbl_Production[Job Number],0)))="","",INDEX(tbl_Production[Tax Code],IFERROR(MATCH(A74&amp;"",tbl_Production[Job Number],0),MATCH(IFERROR(A74+0,A74),tbl_Production[Job Number],0)))),IFERROR(IF(INDEX(tbl_Consulting[Tax Code],IFERROR(MATCH(A74&amp;"",tbl_Consulting[Job Number],0),MATCH(IFERROR(A74+0,A74),tbl_Consulting[Job Number],0)))="","",INDEX(tbl_Consulting[Tax Code],IFERROR(MATCH(A74&amp;"",tbl_Consulting[Job Number],0),MATCH(IFERROR(A74+0,A74),tbl_Consulting[Job Number],0)))),"")))="","GST 10%",IFERROR(IF(INDEX(tbl_Onsite[Tax Code],IFERROR(MATCH(A74&amp;"",tbl_Onsite[Job Number],0),MATCH(IFERROR(A74+0,A74),tbl_Onsite[Job Number],0)))="","",INDEX(tbl_Onsite[Tax Code],IFERROR(MATCH(A74&amp;"",tbl_Onsite[Job Number],0),MATCH(IFERROR(A74+0,A74),tbl_Onsite[Job Number],0)))),IFERROR(IF(INDEX(tbl_Production[Tax Code],IFERROR(MATCH(A74&amp;"",tbl_Production[Job Number],0),MATCH(IFERROR(A74+0,A74),tbl_Production[Job Number],0)))="","",INDEX(tbl_Production[Tax Code],IFERROR(MATCH(A74&amp;"",tbl_Production[Job Number],0),MATCH(IFERROR(A74+0,A74),tbl_Production[Job Number],0)))),IFERROR(IF(INDEX(tbl_Consulting[Tax Code],IFERROR(MATCH(A74&amp;"",tbl_Consulting[Job Number],0),MATCH(IFERROR(A74+0,A74),tbl_Consulting[Job Number],0)))="","",INDEX(tbl_Consulting[Tax Code],IFERROR(MATCH(A74&amp;"",tbl_Consulting[Job Number],0),MATCH(IFERROR(A74+0,A74),tbl_Consulting[Job Number],0)))),"")))))</f>
        <v/>
      </c>
      <c r="N74" s="26">
        <f>IF(D74="","",IFERROR(INDEX(lst_CCtoGL,MATCH(D74,lst_CCforGL,0)),""))</f>
        <v/>
      </c>
      <c r="O74" s="27">
        <f>IF(E74="","",IF(M74="GST 10%",ROUND(E74*set_GSTRate,2),0))</f>
        <v/>
      </c>
      <c r="P74" s="27">
        <f>IF(E74="","",E74+O74)</f>
        <v/>
      </c>
      <c r="Q74" s="27">
        <f>IF(A74="","",IFERROR(INDEX(tbl_Onsite[Expected Revenue Ex GST],IFERROR(MATCH(A74&amp;"",tbl_Onsite[Job Number],0),MATCH(IFERROR(A74+0,A74),tbl_Onsite[Job Number],0))),IFERROR(INDEX(tbl_Production[Expected Revenue Ex GST],IFERROR(MATCH(A74&amp;"",tbl_Production[Job Number],0),MATCH(IFERROR(A74+0,A74),tbl_Production[Job Number],0))),IFERROR(INDEX(tbl_Consulting[Expected Revenue Ex GST],IFERROR(MATCH(A74&amp;"",tbl_Consulting[Job Number],0),MATCH(IFERROR(A74+0,A74),tbl_Consulting[Job Number],0))),0))))</f>
        <v/>
      </c>
      <c r="R74" s="27">
        <f>IF(A74="","",SUMIFS(tbl_Finance[Ex GST],tbl_Finance[Job Number],A74&amp;""))</f>
        <v/>
      </c>
      <c r="S74" s="27">
        <f>IF(A74="","",Q74-R74)</f>
        <v/>
      </c>
      <c r="T74" s="26">
        <f>IF(A74="","",IF(Q74=0,"No dept value",IF(ROUND(S74,2)=0,"Agrees",IF(S74&gt;0,"Dept higher - to invoice","Xero higher - check dept"))))</f>
        <v/>
      </c>
      <c r="U74" s="22" t="n"/>
      <c r="V74" s="22" t="n"/>
      <c r="W74" s="23" t="n"/>
      <c r="X74" s="23" t="n"/>
      <c r="Y74" s="22" t="n"/>
      <c r="Z74" s="22" t="n"/>
      <c r="AA74" s="26">
        <f>IF(COUNTA(C74,A74,B74,E74)=0,"",IF(C74="","No date - sits outside every month",IF(A74="","No job number",IF(H74="CHECK","Job number is not in the Xero job list",IF(G74="not set up yet","No department has set this job up - nothing can pull through",IF(D74="","No cost centre",IF(AND(U74="Y",B74=""),"Marked posted to Xero but has no invoice number",IF(N74="","Cost centre has no revenue GL on the Lists sheet",IF(T74="Xero higher - check dept","Invoiced more than the department says the job is worth","")))))))))</f>
        <v/>
      </c>
      <c r="AB74" s="28">
        <f>IF(A74="","",COUNTIFS(tbl_Finance[Job Number],A74&amp;"",tbl_Finance[Ex GST],"&lt;&gt;"))</f>
        <v/>
      </c>
      <c r="AC74" s="27">
        <f>IF(A74="","",SUMIFS(tbl_Finance[Ex GST],tbl_Finance[Job Number],A74&amp;""))</f>
        <v/>
      </c>
      <c r="AD74" s="27">
        <f>IF(A74="","",SUMIFS(tbl_Finance[Ex GST],tbl_Finance[Job Number],A74&amp;"",tbl_Finance[Xero Invoice No],"&lt;&gt;"))</f>
        <v/>
      </c>
      <c r="AE74" s="27">
        <f>IF(A74="","",AC74-AD74)</f>
        <v/>
      </c>
      <c r="AF74" s="26">
        <f>IF(A74="","",IFERROR(IF(INDEX(tbl_Onsite[Qwilr Quote],IFERROR(MATCH(A74&amp;"",tbl_Onsite[Job Number],0),MATCH(IFERROR(A74+0,A74),tbl_Onsite[Job Number],0)))="","",INDEX(tbl_Onsite[Qwilr Quote],IFERROR(MATCH(A74&amp;"",tbl_Onsite[Job Number],0),MATCH(IFERROR(A74+0,A74),tbl_Onsite[Job Number],0)))),IFERROR(IF(IF(INDEX(tbl_Production[Current RMS No],IFERROR(MATCH(A74&amp;"",tbl_Production[Job Number],0),MATCH(IFERROR(A74+0,A74),tbl_Production[Job Number],0)))="",INDEX(tbl_Production[Qwilr Quote],IFERROR(MATCH(A74&amp;"",tbl_Production[Job Number],0),MATCH(IFERROR(A74+0,A74),tbl_Production[Job Number],0))),INDEX(tbl_Production[Current RMS No],IFERROR(MATCH(A74&amp;"",tbl_Production[Job Number],0),MATCH(IFERROR(A74+0,A74),tbl_Production[Job Number],0))))="","",IF(INDEX(tbl_Production[Current RMS No],IFERROR(MATCH(A74&amp;"",tbl_Production[Job Number],0),MATCH(IFERROR(A74+0,A74),tbl_Production[Job Number],0)))="",INDEX(tbl_Production[Qwilr Quote],IFERROR(MATCH(A74&amp;"",tbl_Production[Job Number],0),MATCH(IFERROR(A74+0,A74),tbl_Production[Job Number],0))),INDEX(tbl_Production[Current RMS No],IFERROR(MATCH(A74&amp;"",tbl_Production[Job Number],0),MATCH(IFERROR(A74+0,A74),tbl_Production[Job Number],0))))),IFERROR(IF(INDEX(tbl_Consulting[Qwilr Quote],IFERROR(MATCH(A74&amp;"",tbl_Consulting[Job Number],0),MATCH(IFERROR(A74+0,A74),tbl_Consulting[Job Number],0)))="","",INDEX(tbl_Consulting[Qwilr Quote],IFERROR(MATCH(A74&amp;"",tbl_Consulting[Job Number],0),MATCH(IFERROR(A74+0,A74),tbl_Consulting[Job Number],0)))),""))))</f>
        <v/>
      </c>
      <c r="AG74" s="26">
        <f>IF(AF74="","",IF(AND(LEFT(AF74,4)&lt;&gt;"http",IF(G74="Production",set_RMSBase,set_QwilrBase)=""),"",HYPERLINK(IF(LEFT(AF74,4)="http",AF74,IF(G74="Production",set_RMSBase,set_QwilrBase)&amp;AF74),"Open")))</f>
        <v/>
      </c>
      <c r="AH74" s="27">
        <f>IF(A74="","",IFERROR(INDEX(tbl_Production[Total Expense],IFERROR(MATCH(A74&amp;"",tbl_Production[Job Number],0),MATCH(IFERROR(A74+0,A74),tbl_Production[Job Number],0))),IFERROR(INDEX(tbl_Consulting[Total Expense],IFERROR(MATCH(A74&amp;"",tbl_Consulting[Job Number],0),MATCH(IFERROR(A74+0,A74),tbl_Consulting[Job Number],0))),0)))</f>
        <v/>
      </c>
      <c r="AI74" s="27">
        <f>IF(A74="","",AC74-N(AH74))</f>
        <v/>
      </c>
      <c r="AJ74" s="29">
        <f>IFERROR(AI74/AC74,"")</f>
        <v/>
      </c>
      <c r="AK74" s="26">
        <f>IF(A74="","",IFERROR(IF(INDEX(tbl_Onsite[Notes],IFERROR(MATCH(A74&amp;"",tbl_Onsite[Job Number],0),MATCH(IFERROR(A74+0,A74),tbl_Onsite[Job Number],0)))="","",INDEX(tbl_Onsite[Notes],IFERROR(MATCH(A74&amp;"",tbl_Onsite[Job Number],0),MATCH(IFERROR(A74+0,A74),tbl_Onsite[Job Number],0)))),IFERROR(IF(INDEX(tbl_Production[Notes],IFERROR(MATCH(A74&amp;"",tbl_Production[Job Number],0),MATCH(IFERROR(A74+0,A74),tbl_Production[Job Number],0)))="","",INDEX(tbl_Production[Notes],IFERROR(MATCH(A74&amp;"",tbl_Production[Job Number],0),MATCH(IFERROR(A74+0,A74),tbl_Production[Job Number],0)))),IFERROR(IF(INDEX(tbl_Consulting[Notes],IFERROR(MATCH(A74&amp;"",tbl_Consulting[Job Number],0),MATCH(IFERROR(A74+0,A74),tbl_Consulting[Job Number],0)))="","",INDEX(tbl_Consulting[Notes],IFERROR(MATCH(A74&amp;"",tbl_Consulting[Job Number],0),MATCH(IFERROR(A74+0,A74),tbl_Consulting[Job Number],0)))),""))))</f>
        <v/>
      </c>
    </row>
    <row r="75" ht="15" customHeight="1">
      <c r="A75" s="22" t="n"/>
      <c r="B75" s="22" t="n"/>
      <c r="C75" s="23" t="n"/>
      <c r="D75" s="22" t="n"/>
      <c r="E75" s="24" t="n"/>
      <c r="F75" s="25">
        <f>IF(C75="","",EOMONTH(C75,0))</f>
        <v/>
      </c>
      <c r="G75" s="26">
        <f>IF(A75="","",IF(COUNTIF(tbl_Onsite[Job Number],A75&amp;"")&gt;0,"Onsite",IF(COUNTIF(tbl_Production[Job Number],A75&amp;"")&gt;0,"Production",IF(COUNTIF(tbl_Consulting[Job Number],A75&amp;"")&gt;0,"Consulting","not set up yet"))))</f>
        <v/>
      </c>
      <c r="H75" s="26">
        <f>IF(A75="","",IF(COUNTIF(lst_Jobs,A75&amp;"")&gt;0,"OK","CHECK"))</f>
        <v/>
      </c>
      <c r="I75" s="26">
        <f>IF(A75="","",IFERROR(INDEX(lst_JobName,MATCH(A75&amp;"",lst_Jobs,0)),""))</f>
        <v/>
      </c>
      <c r="J75" s="26">
        <f>IF(A75="","",IFERROR(IF(INDEX(tbl_Onsite[Client],IFERROR(MATCH(A75&amp;"",tbl_Onsite[Job Number],0),MATCH(IFERROR(A75+0,A75),tbl_Onsite[Job Number],0)))="","",INDEX(tbl_Onsite[Client],IFERROR(MATCH(A75&amp;"",tbl_Onsite[Job Number],0),MATCH(IFERROR(A75+0,A75),tbl_Onsite[Job Number],0)))),IFERROR(IF(INDEX(tbl_Production[Client],IFERROR(MATCH(A75&amp;"",tbl_Production[Job Number],0),MATCH(IFERROR(A75+0,A75),tbl_Production[Job Number],0)))="","",INDEX(tbl_Production[Client],IFERROR(MATCH(A75&amp;"",tbl_Production[Job Number],0),MATCH(IFERROR(A75+0,A75),tbl_Production[Job Number],0)))),IFERROR(IF(INDEX(tbl_Consulting[Client],IFERROR(MATCH(A75&amp;"",tbl_Consulting[Job Number],0),MATCH(IFERROR(A75+0,A75),tbl_Consulting[Job Number],0)))="","",INDEX(tbl_Consulting[Client],IFERROR(MATCH(A75&amp;"",tbl_Consulting[Job Number],0),MATCH(IFERROR(A75+0,A75),tbl_Consulting[Job Number],0)))),""))))</f>
        <v/>
      </c>
      <c r="K75" s="26">
        <f>IF(A75="","",IFERROR(IF(INDEX(tbl_Onsite[Job Description],IFERROR(MATCH(A75&amp;"",tbl_Onsite[Job Number],0),MATCH(IFERROR(A75+0,A75),tbl_Onsite[Job Number],0)))="","",INDEX(tbl_Onsite[Job Description],IFERROR(MATCH(A75&amp;"",tbl_Onsite[Job Number],0),MATCH(IFERROR(A75+0,A75),tbl_Onsite[Job Number],0)))),IFERROR(IF(INDEX(tbl_Production[Job Description],IFERROR(MATCH(A75&amp;"",tbl_Production[Job Number],0),MATCH(IFERROR(A75+0,A75),tbl_Production[Job Number],0)))="","",INDEX(tbl_Production[Job Description],IFERROR(MATCH(A75&amp;"",tbl_Production[Job Number],0),MATCH(IFERROR(A75+0,A75),tbl_Production[Job Number],0)))),IFERROR(IF(INDEX(tbl_Consulting[Job Description],IFERROR(MATCH(A75&amp;"",tbl_Consulting[Job Number],0),MATCH(IFERROR(A75+0,A75),tbl_Consulting[Job Number],0)))="","",INDEX(tbl_Consulting[Job Description],IFERROR(MATCH(A75&amp;"",tbl_Consulting[Job Number],0),MATCH(IFERROR(A75+0,A75),tbl_Consulting[Job Number],0)))),""))))</f>
        <v/>
      </c>
      <c r="L75" s="26">
        <f>IF(A75="","",IFERROR(IF(INDEX(tbl_Onsite[Invoice Type],IFERROR(MATCH(A75&amp;"",tbl_Onsite[Job Number],0),MATCH(IFERROR(A75+0,A75),tbl_Onsite[Job Number],0)))="","",INDEX(tbl_Onsite[Invoice Type],IFERROR(MATCH(A75&amp;"",tbl_Onsite[Job Number],0),MATCH(IFERROR(A75+0,A75),tbl_Onsite[Job Number],0)))),IFERROR(IF(INDEX(tbl_Production[Invoice Type],IFERROR(MATCH(A75&amp;"",tbl_Production[Job Number],0),MATCH(IFERROR(A75+0,A75),tbl_Production[Job Number],0)))="","",INDEX(tbl_Production[Invoice Type],IFERROR(MATCH(A75&amp;"",tbl_Production[Job Number],0),MATCH(IFERROR(A75+0,A75),tbl_Production[Job Number],0)))),IFERROR(IF(INDEX(tbl_Consulting[Invoice Type],IFERROR(MATCH(A75&amp;"",tbl_Consulting[Job Number],0),MATCH(IFERROR(A75+0,A75),tbl_Consulting[Job Number],0)))="","",INDEX(tbl_Consulting[Invoice Type],IFERROR(MATCH(A75&amp;"",tbl_Consulting[Job Number],0),MATCH(IFERROR(A75+0,A75),tbl_Consulting[Job Number],0)))),""))))</f>
        <v/>
      </c>
      <c r="M75" s="26">
        <f>IF(A75="","",IF(IFERROR(IF(INDEX(tbl_Onsite[Tax Code],IFERROR(MATCH(A75&amp;"",tbl_Onsite[Job Number],0),MATCH(IFERROR(A75+0,A75),tbl_Onsite[Job Number],0)))="","",INDEX(tbl_Onsite[Tax Code],IFERROR(MATCH(A75&amp;"",tbl_Onsite[Job Number],0),MATCH(IFERROR(A75+0,A75),tbl_Onsite[Job Number],0)))),IFERROR(IF(INDEX(tbl_Production[Tax Code],IFERROR(MATCH(A75&amp;"",tbl_Production[Job Number],0),MATCH(IFERROR(A75+0,A75),tbl_Production[Job Number],0)))="","",INDEX(tbl_Production[Tax Code],IFERROR(MATCH(A75&amp;"",tbl_Production[Job Number],0),MATCH(IFERROR(A75+0,A75),tbl_Production[Job Number],0)))),IFERROR(IF(INDEX(tbl_Consulting[Tax Code],IFERROR(MATCH(A75&amp;"",tbl_Consulting[Job Number],0),MATCH(IFERROR(A75+0,A75),tbl_Consulting[Job Number],0)))="","",INDEX(tbl_Consulting[Tax Code],IFERROR(MATCH(A75&amp;"",tbl_Consulting[Job Number],0),MATCH(IFERROR(A75+0,A75),tbl_Consulting[Job Number],0)))),"")))="","GST 10%",IFERROR(IF(INDEX(tbl_Onsite[Tax Code],IFERROR(MATCH(A75&amp;"",tbl_Onsite[Job Number],0),MATCH(IFERROR(A75+0,A75),tbl_Onsite[Job Number],0)))="","",INDEX(tbl_Onsite[Tax Code],IFERROR(MATCH(A75&amp;"",tbl_Onsite[Job Number],0),MATCH(IFERROR(A75+0,A75),tbl_Onsite[Job Number],0)))),IFERROR(IF(INDEX(tbl_Production[Tax Code],IFERROR(MATCH(A75&amp;"",tbl_Production[Job Number],0),MATCH(IFERROR(A75+0,A75),tbl_Production[Job Number],0)))="","",INDEX(tbl_Production[Tax Code],IFERROR(MATCH(A75&amp;"",tbl_Production[Job Number],0),MATCH(IFERROR(A75+0,A75),tbl_Production[Job Number],0)))),IFERROR(IF(INDEX(tbl_Consulting[Tax Code],IFERROR(MATCH(A75&amp;"",tbl_Consulting[Job Number],0),MATCH(IFERROR(A75+0,A75),tbl_Consulting[Job Number],0)))="","",INDEX(tbl_Consulting[Tax Code],IFERROR(MATCH(A75&amp;"",tbl_Consulting[Job Number],0),MATCH(IFERROR(A75+0,A75),tbl_Consulting[Job Number],0)))),"")))))</f>
        <v/>
      </c>
      <c r="N75" s="26">
        <f>IF(D75="","",IFERROR(INDEX(lst_CCtoGL,MATCH(D75,lst_CCforGL,0)),""))</f>
        <v/>
      </c>
      <c r="O75" s="27">
        <f>IF(E75="","",IF(M75="GST 10%",ROUND(E75*set_GSTRate,2),0))</f>
        <v/>
      </c>
      <c r="P75" s="27">
        <f>IF(E75="","",E75+O75)</f>
        <v/>
      </c>
      <c r="Q75" s="27">
        <f>IF(A75="","",IFERROR(INDEX(tbl_Onsite[Expected Revenue Ex GST],IFERROR(MATCH(A75&amp;"",tbl_Onsite[Job Number],0),MATCH(IFERROR(A75+0,A75),tbl_Onsite[Job Number],0))),IFERROR(INDEX(tbl_Production[Expected Revenue Ex GST],IFERROR(MATCH(A75&amp;"",tbl_Production[Job Number],0),MATCH(IFERROR(A75+0,A75),tbl_Production[Job Number],0))),IFERROR(INDEX(tbl_Consulting[Expected Revenue Ex GST],IFERROR(MATCH(A75&amp;"",tbl_Consulting[Job Number],0),MATCH(IFERROR(A75+0,A75),tbl_Consulting[Job Number],0))),0))))</f>
        <v/>
      </c>
      <c r="R75" s="27">
        <f>IF(A75="","",SUMIFS(tbl_Finance[Ex GST],tbl_Finance[Job Number],A75&amp;""))</f>
        <v/>
      </c>
      <c r="S75" s="27">
        <f>IF(A75="","",Q75-R75)</f>
        <v/>
      </c>
      <c r="T75" s="26">
        <f>IF(A75="","",IF(Q75=0,"No dept value",IF(ROUND(S75,2)=0,"Agrees",IF(S75&gt;0,"Dept higher - to invoice","Xero higher - check dept"))))</f>
        <v/>
      </c>
      <c r="U75" s="22" t="n"/>
      <c r="V75" s="22" t="n"/>
      <c r="W75" s="23" t="n"/>
      <c r="X75" s="23" t="n"/>
      <c r="Y75" s="22" t="n"/>
      <c r="Z75" s="22" t="n"/>
      <c r="AA75" s="26">
        <f>IF(COUNTA(C75,A75,B75,E75)=0,"",IF(C75="","No date - sits outside every month",IF(A75="","No job number",IF(H75="CHECK","Job number is not in the Xero job list",IF(G75="not set up yet","No department has set this job up - nothing can pull through",IF(D75="","No cost centre",IF(AND(U75="Y",B75=""),"Marked posted to Xero but has no invoice number",IF(N75="","Cost centre has no revenue GL on the Lists sheet",IF(T75="Xero higher - check dept","Invoiced more than the department says the job is worth","")))))))))</f>
        <v/>
      </c>
      <c r="AB75" s="28">
        <f>IF(A75="","",COUNTIFS(tbl_Finance[Job Number],A75&amp;"",tbl_Finance[Ex GST],"&lt;&gt;"))</f>
        <v/>
      </c>
      <c r="AC75" s="27">
        <f>IF(A75="","",SUMIFS(tbl_Finance[Ex GST],tbl_Finance[Job Number],A75&amp;""))</f>
        <v/>
      </c>
      <c r="AD75" s="27">
        <f>IF(A75="","",SUMIFS(tbl_Finance[Ex GST],tbl_Finance[Job Number],A75&amp;"",tbl_Finance[Xero Invoice No],"&lt;&gt;"))</f>
        <v/>
      </c>
      <c r="AE75" s="27">
        <f>IF(A75="","",AC75-AD75)</f>
        <v/>
      </c>
      <c r="AF75" s="26">
        <f>IF(A75="","",IFERROR(IF(INDEX(tbl_Onsite[Qwilr Quote],IFERROR(MATCH(A75&amp;"",tbl_Onsite[Job Number],0),MATCH(IFERROR(A75+0,A75),tbl_Onsite[Job Number],0)))="","",INDEX(tbl_Onsite[Qwilr Quote],IFERROR(MATCH(A75&amp;"",tbl_Onsite[Job Number],0),MATCH(IFERROR(A75+0,A75),tbl_Onsite[Job Number],0)))),IFERROR(IF(IF(INDEX(tbl_Production[Current RMS No],IFERROR(MATCH(A75&amp;"",tbl_Production[Job Number],0),MATCH(IFERROR(A75+0,A75),tbl_Production[Job Number],0)))="",INDEX(tbl_Production[Qwilr Quote],IFERROR(MATCH(A75&amp;"",tbl_Production[Job Number],0),MATCH(IFERROR(A75+0,A75),tbl_Production[Job Number],0))),INDEX(tbl_Production[Current RMS No],IFERROR(MATCH(A75&amp;"",tbl_Production[Job Number],0),MATCH(IFERROR(A75+0,A75),tbl_Production[Job Number],0))))="","",IF(INDEX(tbl_Production[Current RMS No],IFERROR(MATCH(A75&amp;"",tbl_Production[Job Number],0),MATCH(IFERROR(A75+0,A75),tbl_Production[Job Number],0)))="",INDEX(tbl_Production[Qwilr Quote],IFERROR(MATCH(A75&amp;"",tbl_Production[Job Number],0),MATCH(IFERROR(A75+0,A75),tbl_Production[Job Number],0))),INDEX(tbl_Production[Current RMS No],IFERROR(MATCH(A75&amp;"",tbl_Production[Job Number],0),MATCH(IFERROR(A75+0,A75),tbl_Production[Job Number],0))))),IFERROR(IF(INDEX(tbl_Consulting[Qwilr Quote],IFERROR(MATCH(A75&amp;"",tbl_Consulting[Job Number],0),MATCH(IFERROR(A75+0,A75),tbl_Consulting[Job Number],0)))="","",INDEX(tbl_Consulting[Qwilr Quote],IFERROR(MATCH(A75&amp;"",tbl_Consulting[Job Number],0),MATCH(IFERROR(A75+0,A75),tbl_Consulting[Job Number],0)))),""))))</f>
        <v/>
      </c>
      <c r="AG75" s="26">
        <f>IF(AF75="","",IF(AND(LEFT(AF75,4)&lt;&gt;"http",IF(G75="Production",set_RMSBase,set_QwilrBase)=""),"",HYPERLINK(IF(LEFT(AF75,4)="http",AF75,IF(G75="Production",set_RMSBase,set_QwilrBase)&amp;AF75),"Open")))</f>
        <v/>
      </c>
      <c r="AH75" s="27">
        <f>IF(A75="","",IFERROR(INDEX(tbl_Production[Total Expense],IFERROR(MATCH(A75&amp;"",tbl_Production[Job Number],0),MATCH(IFERROR(A75+0,A75),tbl_Production[Job Number],0))),IFERROR(INDEX(tbl_Consulting[Total Expense],IFERROR(MATCH(A75&amp;"",tbl_Consulting[Job Number],0),MATCH(IFERROR(A75+0,A75),tbl_Consulting[Job Number],0))),0)))</f>
        <v/>
      </c>
      <c r="AI75" s="27">
        <f>IF(A75="","",AC75-N(AH75))</f>
        <v/>
      </c>
      <c r="AJ75" s="29">
        <f>IFERROR(AI75/AC75,"")</f>
        <v/>
      </c>
      <c r="AK75" s="26">
        <f>IF(A75="","",IFERROR(IF(INDEX(tbl_Onsite[Notes],IFERROR(MATCH(A75&amp;"",tbl_Onsite[Job Number],0),MATCH(IFERROR(A75+0,A75),tbl_Onsite[Job Number],0)))="","",INDEX(tbl_Onsite[Notes],IFERROR(MATCH(A75&amp;"",tbl_Onsite[Job Number],0),MATCH(IFERROR(A75+0,A75),tbl_Onsite[Job Number],0)))),IFERROR(IF(INDEX(tbl_Production[Notes],IFERROR(MATCH(A75&amp;"",tbl_Production[Job Number],0),MATCH(IFERROR(A75+0,A75),tbl_Production[Job Number],0)))="","",INDEX(tbl_Production[Notes],IFERROR(MATCH(A75&amp;"",tbl_Production[Job Number],0),MATCH(IFERROR(A75+0,A75),tbl_Production[Job Number],0)))),IFERROR(IF(INDEX(tbl_Consulting[Notes],IFERROR(MATCH(A75&amp;"",tbl_Consulting[Job Number],0),MATCH(IFERROR(A75+0,A75),tbl_Consulting[Job Number],0)))="","",INDEX(tbl_Consulting[Notes],IFERROR(MATCH(A75&amp;"",tbl_Consulting[Job Number],0),MATCH(IFERROR(A75+0,A75),tbl_Consulting[Job Number],0)))),""))))</f>
        <v/>
      </c>
    </row>
    <row r="76" ht="15" customHeight="1">
      <c r="A76" s="22" t="n"/>
      <c r="B76" s="22" t="n"/>
      <c r="C76" s="23" t="n"/>
      <c r="D76" s="22" t="n"/>
      <c r="E76" s="24" t="n"/>
      <c r="F76" s="25">
        <f>IF(C76="","",EOMONTH(C76,0))</f>
        <v/>
      </c>
      <c r="G76" s="26">
        <f>IF(A76="","",IF(COUNTIF(tbl_Onsite[Job Number],A76&amp;"")&gt;0,"Onsite",IF(COUNTIF(tbl_Production[Job Number],A76&amp;"")&gt;0,"Production",IF(COUNTIF(tbl_Consulting[Job Number],A76&amp;"")&gt;0,"Consulting","not set up yet"))))</f>
        <v/>
      </c>
      <c r="H76" s="26">
        <f>IF(A76="","",IF(COUNTIF(lst_Jobs,A76&amp;"")&gt;0,"OK","CHECK"))</f>
        <v/>
      </c>
      <c r="I76" s="26">
        <f>IF(A76="","",IFERROR(INDEX(lst_JobName,MATCH(A76&amp;"",lst_Jobs,0)),""))</f>
        <v/>
      </c>
      <c r="J76" s="26">
        <f>IF(A76="","",IFERROR(IF(INDEX(tbl_Onsite[Client],IFERROR(MATCH(A76&amp;"",tbl_Onsite[Job Number],0),MATCH(IFERROR(A76+0,A76),tbl_Onsite[Job Number],0)))="","",INDEX(tbl_Onsite[Client],IFERROR(MATCH(A76&amp;"",tbl_Onsite[Job Number],0),MATCH(IFERROR(A76+0,A76),tbl_Onsite[Job Number],0)))),IFERROR(IF(INDEX(tbl_Production[Client],IFERROR(MATCH(A76&amp;"",tbl_Production[Job Number],0),MATCH(IFERROR(A76+0,A76),tbl_Production[Job Number],0)))="","",INDEX(tbl_Production[Client],IFERROR(MATCH(A76&amp;"",tbl_Production[Job Number],0),MATCH(IFERROR(A76+0,A76),tbl_Production[Job Number],0)))),IFERROR(IF(INDEX(tbl_Consulting[Client],IFERROR(MATCH(A76&amp;"",tbl_Consulting[Job Number],0),MATCH(IFERROR(A76+0,A76),tbl_Consulting[Job Number],0)))="","",INDEX(tbl_Consulting[Client],IFERROR(MATCH(A76&amp;"",tbl_Consulting[Job Number],0),MATCH(IFERROR(A76+0,A76),tbl_Consulting[Job Number],0)))),""))))</f>
        <v/>
      </c>
      <c r="K76" s="26">
        <f>IF(A76="","",IFERROR(IF(INDEX(tbl_Onsite[Job Description],IFERROR(MATCH(A76&amp;"",tbl_Onsite[Job Number],0),MATCH(IFERROR(A76+0,A76),tbl_Onsite[Job Number],0)))="","",INDEX(tbl_Onsite[Job Description],IFERROR(MATCH(A76&amp;"",tbl_Onsite[Job Number],0),MATCH(IFERROR(A76+0,A76),tbl_Onsite[Job Number],0)))),IFERROR(IF(INDEX(tbl_Production[Job Description],IFERROR(MATCH(A76&amp;"",tbl_Production[Job Number],0),MATCH(IFERROR(A76+0,A76),tbl_Production[Job Number],0)))="","",INDEX(tbl_Production[Job Description],IFERROR(MATCH(A76&amp;"",tbl_Production[Job Number],0),MATCH(IFERROR(A76+0,A76),tbl_Production[Job Number],0)))),IFERROR(IF(INDEX(tbl_Consulting[Job Description],IFERROR(MATCH(A76&amp;"",tbl_Consulting[Job Number],0),MATCH(IFERROR(A76+0,A76),tbl_Consulting[Job Number],0)))="","",INDEX(tbl_Consulting[Job Description],IFERROR(MATCH(A76&amp;"",tbl_Consulting[Job Number],0),MATCH(IFERROR(A76+0,A76),tbl_Consulting[Job Number],0)))),""))))</f>
        <v/>
      </c>
      <c r="L76" s="26">
        <f>IF(A76="","",IFERROR(IF(INDEX(tbl_Onsite[Invoice Type],IFERROR(MATCH(A76&amp;"",tbl_Onsite[Job Number],0),MATCH(IFERROR(A76+0,A76),tbl_Onsite[Job Number],0)))="","",INDEX(tbl_Onsite[Invoice Type],IFERROR(MATCH(A76&amp;"",tbl_Onsite[Job Number],0),MATCH(IFERROR(A76+0,A76),tbl_Onsite[Job Number],0)))),IFERROR(IF(INDEX(tbl_Production[Invoice Type],IFERROR(MATCH(A76&amp;"",tbl_Production[Job Number],0),MATCH(IFERROR(A76+0,A76),tbl_Production[Job Number],0)))="","",INDEX(tbl_Production[Invoice Type],IFERROR(MATCH(A76&amp;"",tbl_Production[Job Number],0),MATCH(IFERROR(A76+0,A76),tbl_Production[Job Number],0)))),IFERROR(IF(INDEX(tbl_Consulting[Invoice Type],IFERROR(MATCH(A76&amp;"",tbl_Consulting[Job Number],0),MATCH(IFERROR(A76+0,A76),tbl_Consulting[Job Number],0)))="","",INDEX(tbl_Consulting[Invoice Type],IFERROR(MATCH(A76&amp;"",tbl_Consulting[Job Number],0),MATCH(IFERROR(A76+0,A76),tbl_Consulting[Job Number],0)))),""))))</f>
        <v/>
      </c>
      <c r="M76" s="26">
        <f>IF(A76="","",IF(IFERROR(IF(INDEX(tbl_Onsite[Tax Code],IFERROR(MATCH(A76&amp;"",tbl_Onsite[Job Number],0),MATCH(IFERROR(A76+0,A76),tbl_Onsite[Job Number],0)))="","",INDEX(tbl_Onsite[Tax Code],IFERROR(MATCH(A76&amp;"",tbl_Onsite[Job Number],0),MATCH(IFERROR(A76+0,A76),tbl_Onsite[Job Number],0)))),IFERROR(IF(INDEX(tbl_Production[Tax Code],IFERROR(MATCH(A76&amp;"",tbl_Production[Job Number],0),MATCH(IFERROR(A76+0,A76),tbl_Production[Job Number],0)))="","",INDEX(tbl_Production[Tax Code],IFERROR(MATCH(A76&amp;"",tbl_Production[Job Number],0),MATCH(IFERROR(A76+0,A76),tbl_Production[Job Number],0)))),IFERROR(IF(INDEX(tbl_Consulting[Tax Code],IFERROR(MATCH(A76&amp;"",tbl_Consulting[Job Number],0),MATCH(IFERROR(A76+0,A76),tbl_Consulting[Job Number],0)))="","",INDEX(tbl_Consulting[Tax Code],IFERROR(MATCH(A76&amp;"",tbl_Consulting[Job Number],0),MATCH(IFERROR(A76+0,A76),tbl_Consulting[Job Number],0)))),"")))="","GST 10%",IFERROR(IF(INDEX(tbl_Onsite[Tax Code],IFERROR(MATCH(A76&amp;"",tbl_Onsite[Job Number],0),MATCH(IFERROR(A76+0,A76),tbl_Onsite[Job Number],0)))="","",INDEX(tbl_Onsite[Tax Code],IFERROR(MATCH(A76&amp;"",tbl_Onsite[Job Number],0),MATCH(IFERROR(A76+0,A76),tbl_Onsite[Job Number],0)))),IFERROR(IF(INDEX(tbl_Production[Tax Code],IFERROR(MATCH(A76&amp;"",tbl_Production[Job Number],0),MATCH(IFERROR(A76+0,A76),tbl_Production[Job Number],0)))="","",INDEX(tbl_Production[Tax Code],IFERROR(MATCH(A76&amp;"",tbl_Production[Job Number],0),MATCH(IFERROR(A76+0,A76),tbl_Production[Job Number],0)))),IFERROR(IF(INDEX(tbl_Consulting[Tax Code],IFERROR(MATCH(A76&amp;"",tbl_Consulting[Job Number],0),MATCH(IFERROR(A76+0,A76),tbl_Consulting[Job Number],0)))="","",INDEX(tbl_Consulting[Tax Code],IFERROR(MATCH(A76&amp;"",tbl_Consulting[Job Number],0),MATCH(IFERROR(A76+0,A76),tbl_Consulting[Job Number],0)))),"")))))</f>
        <v/>
      </c>
      <c r="N76" s="26">
        <f>IF(D76="","",IFERROR(INDEX(lst_CCtoGL,MATCH(D76,lst_CCforGL,0)),""))</f>
        <v/>
      </c>
      <c r="O76" s="27">
        <f>IF(E76="","",IF(M76="GST 10%",ROUND(E76*set_GSTRate,2),0))</f>
        <v/>
      </c>
      <c r="P76" s="27">
        <f>IF(E76="","",E76+O76)</f>
        <v/>
      </c>
      <c r="Q76" s="27">
        <f>IF(A76="","",IFERROR(INDEX(tbl_Onsite[Expected Revenue Ex GST],IFERROR(MATCH(A76&amp;"",tbl_Onsite[Job Number],0),MATCH(IFERROR(A76+0,A76),tbl_Onsite[Job Number],0))),IFERROR(INDEX(tbl_Production[Expected Revenue Ex GST],IFERROR(MATCH(A76&amp;"",tbl_Production[Job Number],0),MATCH(IFERROR(A76+0,A76),tbl_Production[Job Number],0))),IFERROR(INDEX(tbl_Consulting[Expected Revenue Ex GST],IFERROR(MATCH(A76&amp;"",tbl_Consulting[Job Number],0),MATCH(IFERROR(A76+0,A76),tbl_Consulting[Job Number],0))),0))))</f>
        <v/>
      </c>
      <c r="R76" s="27">
        <f>IF(A76="","",SUMIFS(tbl_Finance[Ex GST],tbl_Finance[Job Number],A76&amp;""))</f>
        <v/>
      </c>
      <c r="S76" s="27">
        <f>IF(A76="","",Q76-R76)</f>
        <v/>
      </c>
      <c r="T76" s="26">
        <f>IF(A76="","",IF(Q76=0,"No dept value",IF(ROUND(S76,2)=0,"Agrees",IF(S76&gt;0,"Dept higher - to invoice","Xero higher - check dept"))))</f>
        <v/>
      </c>
      <c r="U76" s="22" t="n"/>
      <c r="V76" s="22" t="n"/>
      <c r="W76" s="23" t="n"/>
      <c r="X76" s="23" t="n"/>
      <c r="Y76" s="22" t="n"/>
      <c r="Z76" s="22" t="n"/>
      <c r="AA76" s="26">
        <f>IF(COUNTA(C76,A76,B76,E76)=0,"",IF(C76="","No date - sits outside every month",IF(A76="","No job number",IF(H76="CHECK","Job number is not in the Xero job list",IF(G76="not set up yet","No department has set this job up - nothing can pull through",IF(D76="","No cost centre",IF(AND(U76="Y",B76=""),"Marked posted to Xero but has no invoice number",IF(N76="","Cost centre has no revenue GL on the Lists sheet",IF(T76="Xero higher - check dept","Invoiced more than the department says the job is worth","")))))))))</f>
        <v/>
      </c>
      <c r="AB76" s="28">
        <f>IF(A76="","",COUNTIFS(tbl_Finance[Job Number],A76&amp;"",tbl_Finance[Ex GST],"&lt;&gt;"))</f>
        <v/>
      </c>
      <c r="AC76" s="27">
        <f>IF(A76="","",SUMIFS(tbl_Finance[Ex GST],tbl_Finance[Job Number],A76&amp;""))</f>
        <v/>
      </c>
      <c r="AD76" s="27">
        <f>IF(A76="","",SUMIFS(tbl_Finance[Ex GST],tbl_Finance[Job Number],A76&amp;"",tbl_Finance[Xero Invoice No],"&lt;&gt;"))</f>
        <v/>
      </c>
      <c r="AE76" s="27">
        <f>IF(A76="","",AC76-AD76)</f>
        <v/>
      </c>
      <c r="AF76" s="26">
        <f>IF(A76="","",IFERROR(IF(INDEX(tbl_Onsite[Qwilr Quote],IFERROR(MATCH(A76&amp;"",tbl_Onsite[Job Number],0),MATCH(IFERROR(A76+0,A76),tbl_Onsite[Job Number],0)))="","",INDEX(tbl_Onsite[Qwilr Quote],IFERROR(MATCH(A76&amp;"",tbl_Onsite[Job Number],0),MATCH(IFERROR(A76+0,A76),tbl_Onsite[Job Number],0)))),IFERROR(IF(IF(INDEX(tbl_Production[Current RMS No],IFERROR(MATCH(A76&amp;"",tbl_Production[Job Number],0),MATCH(IFERROR(A76+0,A76),tbl_Production[Job Number],0)))="",INDEX(tbl_Production[Qwilr Quote],IFERROR(MATCH(A76&amp;"",tbl_Production[Job Number],0),MATCH(IFERROR(A76+0,A76),tbl_Production[Job Number],0))),INDEX(tbl_Production[Current RMS No],IFERROR(MATCH(A76&amp;"",tbl_Production[Job Number],0),MATCH(IFERROR(A76+0,A76),tbl_Production[Job Number],0))))="","",IF(INDEX(tbl_Production[Current RMS No],IFERROR(MATCH(A76&amp;"",tbl_Production[Job Number],0),MATCH(IFERROR(A76+0,A76),tbl_Production[Job Number],0)))="",INDEX(tbl_Production[Qwilr Quote],IFERROR(MATCH(A76&amp;"",tbl_Production[Job Number],0),MATCH(IFERROR(A76+0,A76),tbl_Production[Job Number],0))),INDEX(tbl_Production[Current RMS No],IFERROR(MATCH(A76&amp;"",tbl_Production[Job Number],0),MATCH(IFERROR(A76+0,A76),tbl_Production[Job Number],0))))),IFERROR(IF(INDEX(tbl_Consulting[Qwilr Quote],IFERROR(MATCH(A76&amp;"",tbl_Consulting[Job Number],0),MATCH(IFERROR(A76+0,A76),tbl_Consulting[Job Number],0)))="","",INDEX(tbl_Consulting[Qwilr Quote],IFERROR(MATCH(A76&amp;"",tbl_Consulting[Job Number],0),MATCH(IFERROR(A76+0,A76),tbl_Consulting[Job Number],0)))),""))))</f>
        <v/>
      </c>
      <c r="AG76" s="26">
        <f>IF(AF76="","",IF(AND(LEFT(AF76,4)&lt;&gt;"http",IF(G76="Production",set_RMSBase,set_QwilrBase)=""),"",HYPERLINK(IF(LEFT(AF76,4)="http",AF76,IF(G76="Production",set_RMSBase,set_QwilrBase)&amp;AF76),"Open")))</f>
        <v/>
      </c>
      <c r="AH76" s="27">
        <f>IF(A76="","",IFERROR(INDEX(tbl_Production[Total Expense],IFERROR(MATCH(A76&amp;"",tbl_Production[Job Number],0),MATCH(IFERROR(A76+0,A76),tbl_Production[Job Number],0))),IFERROR(INDEX(tbl_Consulting[Total Expense],IFERROR(MATCH(A76&amp;"",tbl_Consulting[Job Number],0),MATCH(IFERROR(A76+0,A76),tbl_Consulting[Job Number],0))),0)))</f>
        <v/>
      </c>
      <c r="AI76" s="27">
        <f>IF(A76="","",AC76-N(AH76))</f>
        <v/>
      </c>
      <c r="AJ76" s="29">
        <f>IFERROR(AI76/AC76,"")</f>
        <v/>
      </c>
      <c r="AK76" s="26">
        <f>IF(A76="","",IFERROR(IF(INDEX(tbl_Onsite[Notes],IFERROR(MATCH(A76&amp;"",tbl_Onsite[Job Number],0),MATCH(IFERROR(A76+0,A76),tbl_Onsite[Job Number],0)))="","",INDEX(tbl_Onsite[Notes],IFERROR(MATCH(A76&amp;"",tbl_Onsite[Job Number],0),MATCH(IFERROR(A76+0,A76),tbl_Onsite[Job Number],0)))),IFERROR(IF(INDEX(tbl_Production[Notes],IFERROR(MATCH(A76&amp;"",tbl_Production[Job Number],0),MATCH(IFERROR(A76+0,A76),tbl_Production[Job Number],0)))="","",INDEX(tbl_Production[Notes],IFERROR(MATCH(A76&amp;"",tbl_Production[Job Number],0),MATCH(IFERROR(A76+0,A76),tbl_Production[Job Number],0)))),IFERROR(IF(INDEX(tbl_Consulting[Notes],IFERROR(MATCH(A76&amp;"",tbl_Consulting[Job Number],0),MATCH(IFERROR(A76+0,A76),tbl_Consulting[Job Number],0)))="","",INDEX(tbl_Consulting[Notes],IFERROR(MATCH(A76&amp;"",tbl_Consulting[Job Number],0),MATCH(IFERROR(A76+0,A76),tbl_Consulting[Job Number],0)))),""))))</f>
        <v/>
      </c>
    </row>
    <row r="77" ht="15" customHeight="1">
      <c r="A77" s="22" t="n"/>
      <c r="B77" s="22" t="n"/>
      <c r="C77" s="23" t="n"/>
      <c r="D77" s="22" t="n"/>
      <c r="E77" s="24" t="n"/>
      <c r="F77" s="25">
        <f>IF(C77="","",EOMONTH(C77,0))</f>
        <v/>
      </c>
      <c r="G77" s="26">
        <f>IF(A77="","",IF(COUNTIF(tbl_Onsite[Job Number],A77&amp;"")&gt;0,"Onsite",IF(COUNTIF(tbl_Production[Job Number],A77&amp;"")&gt;0,"Production",IF(COUNTIF(tbl_Consulting[Job Number],A77&amp;"")&gt;0,"Consulting","not set up yet"))))</f>
        <v/>
      </c>
      <c r="H77" s="26">
        <f>IF(A77="","",IF(COUNTIF(lst_Jobs,A77&amp;"")&gt;0,"OK","CHECK"))</f>
        <v/>
      </c>
      <c r="I77" s="26">
        <f>IF(A77="","",IFERROR(INDEX(lst_JobName,MATCH(A77&amp;"",lst_Jobs,0)),""))</f>
        <v/>
      </c>
      <c r="J77" s="26">
        <f>IF(A77="","",IFERROR(IF(INDEX(tbl_Onsite[Client],IFERROR(MATCH(A77&amp;"",tbl_Onsite[Job Number],0),MATCH(IFERROR(A77+0,A77),tbl_Onsite[Job Number],0)))="","",INDEX(tbl_Onsite[Client],IFERROR(MATCH(A77&amp;"",tbl_Onsite[Job Number],0),MATCH(IFERROR(A77+0,A77),tbl_Onsite[Job Number],0)))),IFERROR(IF(INDEX(tbl_Production[Client],IFERROR(MATCH(A77&amp;"",tbl_Production[Job Number],0),MATCH(IFERROR(A77+0,A77),tbl_Production[Job Number],0)))="","",INDEX(tbl_Production[Client],IFERROR(MATCH(A77&amp;"",tbl_Production[Job Number],0),MATCH(IFERROR(A77+0,A77),tbl_Production[Job Number],0)))),IFERROR(IF(INDEX(tbl_Consulting[Client],IFERROR(MATCH(A77&amp;"",tbl_Consulting[Job Number],0),MATCH(IFERROR(A77+0,A77),tbl_Consulting[Job Number],0)))="","",INDEX(tbl_Consulting[Client],IFERROR(MATCH(A77&amp;"",tbl_Consulting[Job Number],0),MATCH(IFERROR(A77+0,A77),tbl_Consulting[Job Number],0)))),""))))</f>
        <v/>
      </c>
      <c r="K77" s="26">
        <f>IF(A77="","",IFERROR(IF(INDEX(tbl_Onsite[Job Description],IFERROR(MATCH(A77&amp;"",tbl_Onsite[Job Number],0),MATCH(IFERROR(A77+0,A77),tbl_Onsite[Job Number],0)))="","",INDEX(tbl_Onsite[Job Description],IFERROR(MATCH(A77&amp;"",tbl_Onsite[Job Number],0),MATCH(IFERROR(A77+0,A77),tbl_Onsite[Job Number],0)))),IFERROR(IF(INDEX(tbl_Production[Job Description],IFERROR(MATCH(A77&amp;"",tbl_Production[Job Number],0),MATCH(IFERROR(A77+0,A77),tbl_Production[Job Number],0)))="","",INDEX(tbl_Production[Job Description],IFERROR(MATCH(A77&amp;"",tbl_Production[Job Number],0),MATCH(IFERROR(A77+0,A77),tbl_Production[Job Number],0)))),IFERROR(IF(INDEX(tbl_Consulting[Job Description],IFERROR(MATCH(A77&amp;"",tbl_Consulting[Job Number],0),MATCH(IFERROR(A77+0,A77),tbl_Consulting[Job Number],0)))="","",INDEX(tbl_Consulting[Job Description],IFERROR(MATCH(A77&amp;"",tbl_Consulting[Job Number],0),MATCH(IFERROR(A77+0,A77),tbl_Consulting[Job Number],0)))),""))))</f>
        <v/>
      </c>
      <c r="L77" s="26">
        <f>IF(A77="","",IFERROR(IF(INDEX(tbl_Onsite[Invoice Type],IFERROR(MATCH(A77&amp;"",tbl_Onsite[Job Number],0),MATCH(IFERROR(A77+0,A77),tbl_Onsite[Job Number],0)))="","",INDEX(tbl_Onsite[Invoice Type],IFERROR(MATCH(A77&amp;"",tbl_Onsite[Job Number],0),MATCH(IFERROR(A77+0,A77),tbl_Onsite[Job Number],0)))),IFERROR(IF(INDEX(tbl_Production[Invoice Type],IFERROR(MATCH(A77&amp;"",tbl_Production[Job Number],0),MATCH(IFERROR(A77+0,A77),tbl_Production[Job Number],0)))="","",INDEX(tbl_Production[Invoice Type],IFERROR(MATCH(A77&amp;"",tbl_Production[Job Number],0),MATCH(IFERROR(A77+0,A77),tbl_Production[Job Number],0)))),IFERROR(IF(INDEX(tbl_Consulting[Invoice Type],IFERROR(MATCH(A77&amp;"",tbl_Consulting[Job Number],0),MATCH(IFERROR(A77+0,A77),tbl_Consulting[Job Number],0)))="","",INDEX(tbl_Consulting[Invoice Type],IFERROR(MATCH(A77&amp;"",tbl_Consulting[Job Number],0),MATCH(IFERROR(A77+0,A77),tbl_Consulting[Job Number],0)))),""))))</f>
        <v/>
      </c>
      <c r="M77" s="26">
        <f>IF(A77="","",IF(IFERROR(IF(INDEX(tbl_Onsite[Tax Code],IFERROR(MATCH(A77&amp;"",tbl_Onsite[Job Number],0),MATCH(IFERROR(A77+0,A77),tbl_Onsite[Job Number],0)))="","",INDEX(tbl_Onsite[Tax Code],IFERROR(MATCH(A77&amp;"",tbl_Onsite[Job Number],0),MATCH(IFERROR(A77+0,A77),tbl_Onsite[Job Number],0)))),IFERROR(IF(INDEX(tbl_Production[Tax Code],IFERROR(MATCH(A77&amp;"",tbl_Production[Job Number],0),MATCH(IFERROR(A77+0,A77),tbl_Production[Job Number],0)))="","",INDEX(tbl_Production[Tax Code],IFERROR(MATCH(A77&amp;"",tbl_Production[Job Number],0),MATCH(IFERROR(A77+0,A77),tbl_Production[Job Number],0)))),IFERROR(IF(INDEX(tbl_Consulting[Tax Code],IFERROR(MATCH(A77&amp;"",tbl_Consulting[Job Number],0),MATCH(IFERROR(A77+0,A77),tbl_Consulting[Job Number],0)))="","",INDEX(tbl_Consulting[Tax Code],IFERROR(MATCH(A77&amp;"",tbl_Consulting[Job Number],0),MATCH(IFERROR(A77+0,A77),tbl_Consulting[Job Number],0)))),"")))="","GST 10%",IFERROR(IF(INDEX(tbl_Onsite[Tax Code],IFERROR(MATCH(A77&amp;"",tbl_Onsite[Job Number],0),MATCH(IFERROR(A77+0,A77),tbl_Onsite[Job Number],0)))="","",INDEX(tbl_Onsite[Tax Code],IFERROR(MATCH(A77&amp;"",tbl_Onsite[Job Number],0),MATCH(IFERROR(A77+0,A77),tbl_Onsite[Job Number],0)))),IFERROR(IF(INDEX(tbl_Production[Tax Code],IFERROR(MATCH(A77&amp;"",tbl_Production[Job Number],0),MATCH(IFERROR(A77+0,A77),tbl_Production[Job Number],0)))="","",INDEX(tbl_Production[Tax Code],IFERROR(MATCH(A77&amp;"",tbl_Production[Job Number],0),MATCH(IFERROR(A77+0,A77),tbl_Production[Job Number],0)))),IFERROR(IF(INDEX(tbl_Consulting[Tax Code],IFERROR(MATCH(A77&amp;"",tbl_Consulting[Job Number],0),MATCH(IFERROR(A77+0,A77),tbl_Consulting[Job Number],0)))="","",INDEX(tbl_Consulting[Tax Code],IFERROR(MATCH(A77&amp;"",tbl_Consulting[Job Number],0),MATCH(IFERROR(A77+0,A77),tbl_Consulting[Job Number],0)))),"")))))</f>
        <v/>
      </c>
      <c r="N77" s="26">
        <f>IF(D77="","",IFERROR(INDEX(lst_CCtoGL,MATCH(D77,lst_CCforGL,0)),""))</f>
        <v/>
      </c>
      <c r="O77" s="27">
        <f>IF(E77="","",IF(M77="GST 10%",ROUND(E77*set_GSTRate,2),0))</f>
        <v/>
      </c>
      <c r="P77" s="27">
        <f>IF(E77="","",E77+O77)</f>
        <v/>
      </c>
      <c r="Q77" s="27">
        <f>IF(A77="","",IFERROR(INDEX(tbl_Onsite[Expected Revenue Ex GST],IFERROR(MATCH(A77&amp;"",tbl_Onsite[Job Number],0),MATCH(IFERROR(A77+0,A77),tbl_Onsite[Job Number],0))),IFERROR(INDEX(tbl_Production[Expected Revenue Ex GST],IFERROR(MATCH(A77&amp;"",tbl_Production[Job Number],0),MATCH(IFERROR(A77+0,A77),tbl_Production[Job Number],0))),IFERROR(INDEX(tbl_Consulting[Expected Revenue Ex GST],IFERROR(MATCH(A77&amp;"",tbl_Consulting[Job Number],0),MATCH(IFERROR(A77+0,A77),tbl_Consulting[Job Number],0))),0))))</f>
        <v/>
      </c>
      <c r="R77" s="27">
        <f>IF(A77="","",SUMIFS(tbl_Finance[Ex GST],tbl_Finance[Job Number],A77&amp;""))</f>
        <v/>
      </c>
      <c r="S77" s="27">
        <f>IF(A77="","",Q77-R77)</f>
        <v/>
      </c>
      <c r="T77" s="26">
        <f>IF(A77="","",IF(Q77=0,"No dept value",IF(ROUND(S77,2)=0,"Agrees",IF(S77&gt;0,"Dept higher - to invoice","Xero higher - check dept"))))</f>
        <v/>
      </c>
      <c r="U77" s="22" t="n"/>
      <c r="V77" s="22" t="n"/>
      <c r="W77" s="23" t="n"/>
      <c r="X77" s="23" t="n"/>
      <c r="Y77" s="22" t="n"/>
      <c r="Z77" s="22" t="n"/>
      <c r="AA77" s="26">
        <f>IF(COUNTA(C77,A77,B77,E77)=0,"",IF(C77="","No date - sits outside every month",IF(A77="","No job number",IF(H77="CHECK","Job number is not in the Xero job list",IF(G77="not set up yet","No department has set this job up - nothing can pull through",IF(D77="","No cost centre",IF(AND(U77="Y",B77=""),"Marked posted to Xero but has no invoice number",IF(N77="","Cost centre has no revenue GL on the Lists sheet",IF(T77="Xero higher - check dept","Invoiced more than the department says the job is worth","")))))))))</f>
        <v/>
      </c>
      <c r="AB77" s="28">
        <f>IF(A77="","",COUNTIFS(tbl_Finance[Job Number],A77&amp;"",tbl_Finance[Ex GST],"&lt;&gt;"))</f>
        <v/>
      </c>
      <c r="AC77" s="27">
        <f>IF(A77="","",SUMIFS(tbl_Finance[Ex GST],tbl_Finance[Job Number],A77&amp;""))</f>
        <v/>
      </c>
      <c r="AD77" s="27">
        <f>IF(A77="","",SUMIFS(tbl_Finance[Ex GST],tbl_Finance[Job Number],A77&amp;"",tbl_Finance[Xero Invoice No],"&lt;&gt;"))</f>
        <v/>
      </c>
      <c r="AE77" s="27">
        <f>IF(A77="","",AC77-AD77)</f>
        <v/>
      </c>
      <c r="AF77" s="26">
        <f>IF(A77="","",IFERROR(IF(INDEX(tbl_Onsite[Qwilr Quote],IFERROR(MATCH(A77&amp;"",tbl_Onsite[Job Number],0),MATCH(IFERROR(A77+0,A77),tbl_Onsite[Job Number],0)))="","",INDEX(tbl_Onsite[Qwilr Quote],IFERROR(MATCH(A77&amp;"",tbl_Onsite[Job Number],0),MATCH(IFERROR(A77+0,A77),tbl_Onsite[Job Number],0)))),IFERROR(IF(IF(INDEX(tbl_Production[Current RMS No],IFERROR(MATCH(A77&amp;"",tbl_Production[Job Number],0),MATCH(IFERROR(A77+0,A77),tbl_Production[Job Number],0)))="",INDEX(tbl_Production[Qwilr Quote],IFERROR(MATCH(A77&amp;"",tbl_Production[Job Number],0),MATCH(IFERROR(A77+0,A77),tbl_Production[Job Number],0))),INDEX(tbl_Production[Current RMS No],IFERROR(MATCH(A77&amp;"",tbl_Production[Job Number],0),MATCH(IFERROR(A77+0,A77),tbl_Production[Job Number],0))))="","",IF(INDEX(tbl_Production[Current RMS No],IFERROR(MATCH(A77&amp;"",tbl_Production[Job Number],0),MATCH(IFERROR(A77+0,A77),tbl_Production[Job Number],0)))="",INDEX(tbl_Production[Qwilr Quote],IFERROR(MATCH(A77&amp;"",tbl_Production[Job Number],0),MATCH(IFERROR(A77+0,A77),tbl_Production[Job Number],0))),INDEX(tbl_Production[Current RMS No],IFERROR(MATCH(A77&amp;"",tbl_Production[Job Number],0),MATCH(IFERROR(A77+0,A77),tbl_Production[Job Number],0))))),IFERROR(IF(INDEX(tbl_Consulting[Qwilr Quote],IFERROR(MATCH(A77&amp;"",tbl_Consulting[Job Number],0),MATCH(IFERROR(A77+0,A77),tbl_Consulting[Job Number],0)))="","",INDEX(tbl_Consulting[Qwilr Quote],IFERROR(MATCH(A77&amp;"",tbl_Consulting[Job Number],0),MATCH(IFERROR(A77+0,A77),tbl_Consulting[Job Number],0)))),""))))</f>
        <v/>
      </c>
      <c r="AG77" s="26">
        <f>IF(AF77="","",IF(AND(LEFT(AF77,4)&lt;&gt;"http",IF(G77="Production",set_RMSBase,set_QwilrBase)=""),"",HYPERLINK(IF(LEFT(AF77,4)="http",AF77,IF(G77="Production",set_RMSBase,set_QwilrBase)&amp;AF77),"Open")))</f>
        <v/>
      </c>
      <c r="AH77" s="27">
        <f>IF(A77="","",IFERROR(INDEX(tbl_Production[Total Expense],IFERROR(MATCH(A77&amp;"",tbl_Production[Job Number],0),MATCH(IFERROR(A77+0,A77),tbl_Production[Job Number],0))),IFERROR(INDEX(tbl_Consulting[Total Expense],IFERROR(MATCH(A77&amp;"",tbl_Consulting[Job Number],0),MATCH(IFERROR(A77+0,A77),tbl_Consulting[Job Number],0))),0)))</f>
        <v/>
      </c>
      <c r="AI77" s="27">
        <f>IF(A77="","",AC77-N(AH77))</f>
        <v/>
      </c>
      <c r="AJ77" s="29">
        <f>IFERROR(AI77/AC77,"")</f>
        <v/>
      </c>
      <c r="AK77" s="26">
        <f>IF(A77="","",IFERROR(IF(INDEX(tbl_Onsite[Notes],IFERROR(MATCH(A77&amp;"",tbl_Onsite[Job Number],0),MATCH(IFERROR(A77+0,A77),tbl_Onsite[Job Number],0)))="","",INDEX(tbl_Onsite[Notes],IFERROR(MATCH(A77&amp;"",tbl_Onsite[Job Number],0),MATCH(IFERROR(A77+0,A77),tbl_Onsite[Job Number],0)))),IFERROR(IF(INDEX(tbl_Production[Notes],IFERROR(MATCH(A77&amp;"",tbl_Production[Job Number],0),MATCH(IFERROR(A77+0,A77),tbl_Production[Job Number],0)))="","",INDEX(tbl_Production[Notes],IFERROR(MATCH(A77&amp;"",tbl_Production[Job Number],0),MATCH(IFERROR(A77+0,A77),tbl_Production[Job Number],0)))),IFERROR(IF(INDEX(tbl_Consulting[Notes],IFERROR(MATCH(A77&amp;"",tbl_Consulting[Job Number],0),MATCH(IFERROR(A77+0,A77),tbl_Consulting[Job Number],0)))="","",INDEX(tbl_Consulting[Notes],IFERROR(MATCH(A77&amp;"",tbl_Consulting[Job Number],0),MATCH(IFERROR(A77+0,A77),tbl_Consulting[Job Number],0)))),""))))</f>
        <v/>
      </c>
    </row>
    <row r="78" ht="15" customHeight="1">
      <c r="A78" s="22" t="n"/>
      <c r="B78" s="22" t="n"/>
      <c r="C78" s="23" t="n"/>
      <c r="D78" s="22" t="n"/>
      <c r="E78" s="24" t="n"/>
      <c r="F78" s="25">
        <f>IF(C78="","",EOMONTH(C78,0))</f>
        <v/>
      </c>
      <c r="G78" s="26">
        <f>IF(A78="","",IF(COUNTIF(tbl_Onsite[Job Number],A78&amp;"")&gt;0,"Onsite",IF(COUNTIF(tbl_Production[Job Number],A78&amp;"")&gt;0,"Production",IF(COUNTIF(tbl_Consulting[Job Number],A78&amp;"")&gt;0,"Consulting","not set up yet"))))</f>
        <v/>
      </c>
      <c r="H78" s="26">
        <f>IF(A78="","",IF(COUNTIF(lst_Jobs,A78&amp;"")&gt;0,"OK","CHECK"))</f>
        <v/>
      </c>
      <c r="I78" s="26">
        <f>IF(A78="","",IFERROR(INDEX(lst_JobName,MATCH(A78&amp;"",lst_Jobs,0)),""))</f>
        <v/>
      </c>
      <c r="J78" s="26">
        <f>IF(A78="","",IFERROR(IF(INDEX(tbl_Onsite[Client],IFERROR(MATCH(A78&amp;"",tbl_Onsite[Job Number],0),MATCH(IFERROR(A78+0,A78),tbl_Onsite[Job Number],0)))="","",INDEX(tbl_Onsite[Client],IFERROR(MATCH(A78&amp;"",tbl_Onsite[Job Number],0),MATCH(IFERROR(A78+0,A78),tbl_Onsite[Job Number],0)))),IFERROR(IF(INDEX(tbl_Production[Client],IFERROR(MATCH(A78&amp;"",tbl_Production[Job Number],0),MATCH(IFERROR(A78+0,A78),tbl_Production[Job Number],0)))="","",INDEX(tbl_Production[Client],IFERROR(MATCH(A78&amp;"",tbl_Production[Job Number],0),MATCH(IFERROR(A78+0,A78),tbl_Production[Job Number],0)))),IFERROR(IF(INDEX(tbl_Consulting[Client],IFERROR(MATCH(A78&amp;"",tbl_Consulting[Job Number],0),MATCH(IFERROR(A78+0,A78),tbl_Consulting[Job Number],0)))="","",INDEX(tbl_Consulting[Client],IFERROR(MATCH(A78&amp;"",tbl_Consulting[Job Number],0),MATCH(IFERROR(A78+0,A78),tbl_Consulting[Job Number],0)))),""))))</f>
        <v/>
      </c>
      <c r="K78" s="26">
        <f>IF(A78="","",IFERROR(IF(INDEX(tbl_Onsite[Job Description],IFERROR(MATCH(A78&amp;"",tbl_Onsite[Job Number],0),MATCH(IFERROR(A78+0,A78),tbl_Onsite[Job Number],0)))="","",INDEX(tbl_Onsite[Job Description],IFERROR(MATCH(A78&amp;"",tbl_Onsite[Job Number],0),MATCH(IFERROR(A78+0,A78),tbl_Onsite[Job Number],0)))),IFERROR(IF(INDEX(tbl_Production[Job Description],IFERROR(MATCH(A78&amp;"",tbl_Production[Job Number],0),MATCH(IFERROR(A78+0,A78),tbl_Production[Job Number],0)))="","",INDEX(tbl_Production[Job Description],IFERROR(MATCH(A78&amp;"",tbl_Production[Job Number],0),MATCH(IFERROR(A78+0,A78),tbl_Production[Job Number],0)))),IFERROR(IF(INDEX(tbl_Consulting[Job Description],IFERROR(MATCH(A78&amp;"",tbl_Consulting[Job Number],0),MATCH(IFERROR(A78+0,A78),tbl_Consulting[Job Number],0)))="","",INDEX(tbl_Consulting[Job Description],IFERROR(MATCH(A78&amp;"",tbl_Consulting[Job Number],0),MATCH(IFERROR(A78+0,A78),tbl_Consulting[Job Number],0)))),""))))</f>
        <v/>
      </c>
      <c r="L78" s="26">
        <f>IF(A78="","",IFERROR(IF(INDEX(tbl_Onsite[Invoice Type],IFERROR(MATCH(A78&amp;"",tbl_Onsite[Job Number],0),MATCH(IFERROR(A78+0,A78),tbl_Onsite[Job Number],0)))="","",INDEX(tbl_Onsite[Invoice Type],IFERROR(MATCH(A78&amp;"",tbl_Onsite[Job Number],0),MATCH(IFERROR(A78+0,A78),tbl_Onsite[Job Number],0)))),IFERROR(IF(INDEX(tbl_Production[Invoice Type],IFERROR(MATCH(A78&amp;"",tbl_Production[Job Number],0),MATCH(IFERROR(A78+0,A78),tbl_Production[Job Number],0)))="","",INDEX(tbl_Production[Invoice Type],IFERROR(MATCH(A78&amp;"",tbl_Production[Job Number],0),MATCH(IFERROR(A78+0,A78),tbl_Production[Job Number],0)))),IFERROR(IF(INDEX(tbl_Consulting[Invoice Type],IFERROR(MATCH(A78&amp;"",tbl_Consulting[Job Number],0),MATCH(IFERROR(A78+0,A78),tbl_Consulting[Job Number],0)))="","",INDEX(tbl_Consulting[Invoice Type],IFERROR(MATCH(A78&amp;"",tbl_Consulting[Job Number],0),MATCH(IFERROR(A78+0,A78),tbl_Consulting[Job Number],0)))),""))))</f>
        <v/>
      </c>
      <c r="M78" s="26">
        <f>IF(A78="","",IF(IFERROR(IF(INDEX(tbl_Onsite[Tax Code],IFERROR(MATCH(A78&amp;"",tbl_Onsite[Job Number],0),MATCH(IFERROR(A78+0,A78),tbl_Onsite[Job Number],0)))="","",INDEX(tbl_Onsite[Tax Code],IFERROR(MATCH(A78&amp;"",tbl_Onsite[Job Number],0),MATCH(IFERROR(A78+0,A78),tbl_Onsite[Job Number],0)))),IFERROR(IF(INDEX(tbl_Production[Tax Code],IFERROR(MATCH(A78&amp;"",tbl_Production[Job Number],0),MATCH(IFERROR(A78+0,A78),tbl_Production[Job Number],0)))="","",INDEX(tbl_Production[Tax Code],IFERROR(MATCH(A78&amp;"",tbl_Production[Job Number],0),MATCH(IFERROR(A78+0,A78),tbl_Production[Job Number],0)))),IFERROR(IF(INDEX(tbl_Consulting[Tax Code],IFERROR(MATCH(A78&amp;"",tbl_Consulting[Job Number],0),MATCH(IFERROR(A78+0,A78),tbl_Consulting[Job Number],0)))="","",INDEX(tbl_Consulting[Tax Code],IFERROR(MATCH(A78&amp;"",tbl_Consulting[Job Number],0),MATCH(IFERROR(A78+0,A78),tbl_Consulting[Job Number],0)))),"")))="","GST 10%",IFERROR(IF(INDEX(tbl_Onsite[Tax Code],IFERROR(MATCH(A78&amp;"",tbl_Onsite[Job Number],0),MATCH(IFERROR(A78+0,A78),tbl_Onsite[Job Number],0)))="","",INDEX(tbl_Onsite[Tax Code],IFERROR(MATCH(A78&amp;"",tbl_Onsite[Job Number],0),MATCH(IFERROR(A78+0,A78),tbl_Onsite[Job Number],0)))),IFERROR(IF(INDEX(tbl_Production[Tax Code],IFERROR(MATCH(A78&amp;"",tbl_Production[Job Number],0),MATCH(IFERROR(A78+0,A78),tbl_Production[Job Number],0)))="","",INDEX(tbl_Production[Tax Code],IFERROR(MATCH(A78&amp;"",tbl_Production[Job Number],0),MATCH(IFERROR(A78+0,A78),tbl_Production[Job Number],0)))),IFERROR(IF(INDEX(tbl_Consulting[Tax Code],IFERROR(MATCH(A78&amp;"",tbl_Consulting[Job Number],0),MATCH(IFERROR(A78+0,A78),tbl_Consulting[Job Number],0)))="","",INDEX(tbl_Consulting[Tax Code],IFERROR(MATCH(A78&amp;"",tbl_Consulting[Job Number],0),MATCH(IFERROR(A78+0,A78),tbl_Consulting[Job Number],0)))),"")))))</f>
        <v/>
      </c>
      <c r="N78" s="26">
        <f>IF(D78="","",IFERROR(INDEX(lst_CCtoGL,MATCH(D78,lst_CCforGL,0)),""))</f>
        <v/>
      </c>
      <c r="O78" s="27">
        <f>IF(E78="","",IF(M78="GST 10%",ROUND(E78*set_GSTRate,2),0))</f>
        <v/>
      </c>
      <c r="P78" s="27">
        <f>IF(E78="","",E78+O78)</f>
        <v/>
      </c>
      <c r="Q78" s="27">
        <f>IF(A78="","",IFERROR(INDEX(tbl_Onsite[Expected Revenue Ex GST],IFERROR(MATCH(A78&amp;"",tbl_Onsite[Job Number],0),MATCH(IFERROR(A78+0,A78),tbl_Onsite[Job Number],0))),IFERROR(INDEX(tbl_Production[Expected Revenue Ex GST],IFERROR(MATCH(A78&amp;"",tbl_Production[Job Number],0),MATCH(IFERROR(A78+0,A78),tbl_Production[Job Number],0))),IFERROR(INDEX(tbl_Consulting[Expected Revenue Ex GST],IFERROR(MATCH(A78&amp;"",tbl_Consulting[Job Number],0),MATCH(IFERROR(A78+0,A78),tbl_Consulting[Job Number],0))),0))))</f>
        <v/>
      </c>
      <c r="R78" s="27">
        <f>IF(A78="","",SUMIFS(tbl_Finance[Ex GST],tbl_Finance[Job Number],A78&amp;""))</f>
        <v/>
      </c>
      <c r="S78" s="27">
        <f>IF(A78="","",Q78-R78)</f>
        <v/>
      </c>
      <c r="T78" s="26">
        <f>IF(A78="","",IF(Q78=0,"No dept value",IF(ROUND(S78,2)=0,"Agrees",IF(S78&gt;0,"Dept higher - to invoice","Xero higher - check dept"))))</f>
        <v/>
      </c>
      <c r="U78" s="22" t="n"/>
      <c r="V78" s="22" t="n"/>
      <c r="W78" s="23" t="n"/>
      <c r="X78" s="23" t="n"/>
      <c r="Y78" s="22" t="n"/>
      <c r="Z78" s="22" t="n"/>
      <c r="AA78" s="26">
        <f>IF(COUNTA(C78,A78,B78,E78)=0,"",IF(C78="","No date - sits outside every month",IF(A78="","No job number",IF(H78="CHECK","Job number is not in the Xero job list",IF(G78="not set up yet","No department has set this job up - nothing can pull through",IF(D78="","No cost centre",IF(AND(U78="Y",B78=""),"Marked posted to Xero but has no invoice number",IF(N78="","Cost centre has no revenue GL on the Lists sheet",IF(T78="Xero higher - check dept","Invoiced more than the department says the job is worth","")))))))))</f>
        <v/>
      </c>
      <c r="AB78" s="28">
        <f>IF(A78="","",COUNTIFS(tbl_Finance[Job Number],A78&amp;"",tbl_Finance[Ex GST],"&lt;&gt;"))</f>
        <v/>
      </c>
      <c r="AC78" s="27">
        <f>IF(A78="","",SUMIFS(tbl_Finance[Ex GST],tbl_Finance[Job Number],A78&amp;""))</f>
        <v/>
      </c>
      <c r="AD78" s="27">
        <f>IF(A78="","",SUMIFS(tbl_Finance[Ex GST],tbl_Finance[Job Number],A78&amp;"",tbl_Finance[Xero Invoice No],"&lt;&gt;"))</f>
        <v/>
      </c>
      <c r="AE78" s="27">
        <f>IF(A78="","",AC78-AD78)</f>
        <v/>
      </c>
      <c r="AF78" s="26">
        <f>IF(A78="","",IFERROR(IF(INDEX(tbl_Onsite[Qwilr Quote],IFERROR(MATCH(A78&amp;"",tbl_Onsite[Job Number],0),MATCH(IFERROR(A78+0,A78),tbl_Onsite[Job Number],0)))="","",INDEX(tbl_Onsite[Qwilr Quote],IFERROR(MATCH(A78&amp;"",tbl_Onsite[Job Number],0),MATCH(IFERROR(A78+0,A78),tbl_Onsite[Job Number],0)))),IFERROR(IF(IF(INDEX(tbl_Production[Current RMS No],IFERROR(MATCH(A78&amp;"",tbl_Production[Job Number],0),MATCH(IFERROR(A78+0,A78),tbl_Production[Job Number],0)))="",INDEX(tbl_Production[Qwilr Quote],IFERROR(MATCH(A78&amp;"",tbl_Production[Job Number],0),MATCH(IFERROR(A78+0,A78),tbl_Production[Job Number],0))),INDEX(tbl_Production[Current RMS No],IFERROR(MATCH(A78&amp;"",tbl_Production[Job Number],0),MATCH(IFERROR(A78+0,A78),tbl_Production[Job Number],0))))="","",IF(INDEX(tbl_Production[Current RMS No],IFERROR(MATCH(A78&amp;"",tbl_Production[Job Number],0),MATCH(IFERROR(A78+0,A78),tbl_Production[Job Number],0)))="",INDEX(tbl_Production[Qwilr Quote],IFERROR(MATCH(A78&amp;"",tbl_Production[Job Number],0),MATCH(IFERROR(A78+0,A78),tbl_Production[Job Number],0))),INDEX(tbl_Production[Current RMS No],IFERROR(MATCH(A78&amp;"",tbl_Production[Job Number],0),MATCH(IFERROR(A78+0,A78),tbl_Production[Job Number],0))))),IFERROR(IF(INDEX(tbl_Consulting[Qwilr Quote],IFERROR(MATCH(A78&amp;"",tbl_Consulting[Job Number],0),MATCH(IFERROR(A78+0,A78),tbl_Consulting[Job Number],0)))="","",INDEX(tbl_Consulting[Qwilr Quote],IFERROR(MATCH(A78&amp;"",tbl_Consulting[Job Number],0),MATCH(IFERROR(A78+0,A78),tbl_Consulting[Job Number],0)))),""))))</f>
        <v/>
      </c>
      <c r="AG78" s="26">
        <f>IF(AF78="","",IF(AND(LEFT(AF78,4)&lt;&gt;"http",IF(G78="Production",set_RMSBase,set_QwilrBase)=""),"",HYPERLINK(IF(LEFT(AF78,4)="http",AF78,IF(G78="Production",set_RMSBase,set_QwilrBase)&amp;AF78),"Open")))</f>
        <v/>
      </c>
      <c r="AH78" s="27">
        <f>IF(A78="","",IFERROR(INDEX(tbl_Production[Total Expense],IFERROR(MATCH(A78&amp;"",tbl_Production[Job Number],0),MATCH(IFERROR(A78+0,A78),tbl_Production[Job Number],0))),IFERROR(INDEX(tbl_Consulting[Total Expense],IFERROR(MATCH(A78&amp;"",tbl_Consulting[Job Number],0),MATCH(IFERROR(A78+0,A78),tbl_Consulting[Job Number],0))),0)))</f>
        <v/>
      </c>
      <c r="AI78" s="27">
        <f>IF(A78="","",AC78-N(AH78))</f>
        <v/>
      </c>
      <c r="AJ78" s="29">
        <f>IFERROR(AI78/AC78,"")</f>
        <v/>
      </c>
      <c r="AK78" s="26">
        <f>IF(A78="","",IFERROR(IF(INDEX(tbl_Onsite[Notes],IFERROR(MATCH(A78&amp;"",tbl_Onsite[Job Number],0),MATCH(IFERROR(A78+0,A78),tbl_Onsite[Job Number],0)))="","",INDEX(tbl_Onsite[Notes],IFERROR(MATCH(A78&amp;"",tbl_Onsite[Job Number],0),MATCH(IFERROR(A78+0,A78),tbl_Onsite[Job Number],0)))),IFERROR(IF(INDEX(tbl_Production[Notes],IFERROR(MATCH(A78&amp;"",tbl_Production[Job Number],0),MATCH(IFERROR(A78+0,A78),tbl_Production[Job Number],0)))="","",INDEX(tbl_Production[Notes],IFERROR(MATCH(A78&amp;"",tbl_Production[Job Number],0),MATCH(IFERROR(A78+0,A78),tbl_Production[Job Number],0)))),IFERROR(IF(INDEX(tbl_Consulting[Notes],IFERROR(MATCH(A78&amp;"",tbl_Consulting[Job Number],0),MATCH(IFERROR(A78+0,A78),tbl_Consulting[Job Number],0)))="","",INDEX(tbl_Consulting[Notes],IFERROR(MATCH(A78&amp;"",tbl_Consulting[Job Number],0),MATCH(IFERROR(A78+0,A78),tbl_Consulting[Job Number],0)))),""))))</f>
        <v/>
      </c>
    </row>
    <row r="79" ht="15" customHeight="1">
      <c r="A79" s="22" t="n"/>
      <c r="B79" s="22" t="n"/>
      <c r="C79" s="23" t="n"/>
      <c r="D79" s="22" t="n"/>
      <c r="E79" s="24" t="n"/>
      <c r="F79" s="25">
        <f>IF(C79="","",EOMONTH(C79,0))</f>
        <v/>
      </c>
      <c r="G79" s="26">
        <f>IF(A79="","",IF(COUNTIF(tbl_Onsite[Job Number],A79&amp;"")&gt;0,"Onsite",IF(COUNTIF(tbl_Production[Job Number],A79&amp;"")&gt;0,"Production",IF(COUNTIF(tbl_Consulting[Job Number],A79&amp;"")&gt;0,"Consulting","not set up yet"))))</f>
        <v/>
      </c>
      <c r="H79" s="26">
        <f>IF(A79="","",IF(COUNTIF(lst_Jobs,A79&amp;"")&gt;0,"OK","CHECK"))</f>
        <v/>
      </c>
      <c r="I79" s="26">
        <f>IF(A79="","",IFERROR(INDEX(lst_JobName,MATCH(A79&amp;"",lst_Jobs,0)),""))</f>
        <v/>
      </c>
      <c r="J79" s="26">
        <f>IF(A79="","",IFERROR(IF(INDEX(tbl_Onsite[Client],IFERROR(MATCH(A79&amp;"",tbl_Onsite[Job Number],0),MATCH(IFERROR(A79+0,A79),tbl_Onsite[Job Number],0)))="","",INDEX(tbl_Onsite[Client],IFERROR(MATCH(A79&amp;"",tbl_Onsite[Job Number],0),MATCH(IFERROR(A79+0,A79),tbl_Onsite[Job Number],0)))),IFERROR(IF(INDEX(tbl_Production[Client],IFERROR(MATCH(A79&amp;"",tbl_Production[Job Number],0),MATCH(IFERROR(A79+0,A79),tbl_Production[Job Number],0)))="","",INDEX(tbl_Production[Client],IFERROR(MATCH(A79&amp;"",tbl_Production[Job Number],0),MATCH(IFERROR(A79+0,A79),tbl_Production[Job Number],0)))),IFERROR(IF(INDEX(tbl_Consulting[Client],IFERROR(MATCH(A79&amp;"",tbl_Consulting[Job Number],0),MATCH(IFERROR(A79+0,A79),tbl_Consulting[Job Number],0)))="","",INDEX(tbl_Consulting[Client],IFERROR(MATCH(A79&amp;"",tbl_Consulting[Job Number],0),MATCH(IFERROR(A79+0,A79),tbl_Consulting[Job Number],0)))),""))))</f>
        <v/>
      </c>
      <c r="K79" s="26">
        <f>IF(A79="","",IFERROR(IF(INDEX(tbl_Onsite[Job Description],IFERROR(MATCH(A79&amp;"",tbl_Onsite[Job Number],0),MATCH(IFERROR(A79+0,A79),tbl_Onsite[Job Number],0)))="","",INDEX(tbl_Onsite[Job Description],IFERROR(MATCH(A79&amp;"",tbl_Onsite[Job Number],0),MATCH(IFERROR(A79+0,A79),tbl_Onsite[Job Number],0)))),IFERROR(IF(INDEX(tbl_Production[Job Description],IFERROR(MATCH(A79&amp;"",tbl_Production[Job Number],0),MATCH(IFERROR(A79+0,A79),tbl_Production[Job Number],0)))="","",INDEX(tbl_Production[Job Description],IFERROR(MATCH(A79&amp;"",tbl_Production[Job Number],0),MATCH(IFERROR(A79+0,A79),tbl_Production[Job Number],0)))),IFERROR(IF(INDEX(tbl_Consulting[Job Description],IFERROR(MATCH(A79&amp;"",tbl_Consulting[Job Number],0),MATCH(IFERROR(A79+0,A79),tbl_Consulting[Job Number],0)))="","",INDEX(tbl_Consulting[Job Description],IFERROR(MATCH(A79&amp;"",tbl_Consulting[Job Number],0),MATCH(IFERROR(A79+0,A79),tbl_Consulting[Job Number],0)))),""))))</f>
        <v/>
      </c>
      <c r="L79" s="26">
        <f>IF(A79="","",IFERROR(IF(INDEX(tbl_Onsite[Invoice Type],IFERROR(MATCH(A79&amp;"",tbl_Onsite[Job Number],0),MATCH(IFERROR(A79+0,A79),tbl_Onsite[Job Number],0)))="","",INDEX(tbl_Onsite[Invoice Type],IFERROR(MATCH(A79&amp;"",tbl_Onsite[Job Number],0),MATCH(IFERROR(A79+0,A79),tbl_Onsite[Job Number],0)))),IFERROR(IF(INDEX(tbl_Production[Invoice Type],IFERROR(MATCH(A79&amp;"",tbl_Production[Job Number],0),MATCH(IFERROR(A79+0,A79),tbl_Production[Job Number],0)))="","",INDEX(tbl_Production[Invoice Type],IFERROR(MATCH(A79&amp;"",tbl_Production[Job Number],0),MATCH(IFERROR(A79+0,A79),tbl_Production[Job Number],0)))),IFERROR(IF(INDEX(tbl_Consulting[Invoice Type],IFERROR(MATCH(A79&amp;"",tbl_Consulting[Job Number],0),MATCH(IFERROR(A79+0,A79),tbl_Consulting[Job Number],0)))="","",INDEX(tbl_Consulting[Invoice Type],IFERROR(MATCH(A79&amp;"",tbl_Consulting[Job Number],0),MATCH(IFERROR(A79+0,A79),tbl_Consulting[Job Number],0)))),""))))</f>
        <v/>
      </c>
      <c r="M79" s="26">
        <f>IF(A79="","",IF(IFERROR(IF(INDEX(tbl_Onsite[Tax Code],IFERROR(MATCH(A79&amp;"",tbl_Onsite[Job Number],0),MATCH(IFERROR(A79+0,A79),tbl_Onsite[Job Number],0)))="","",INDEX(tbl_Onsite[Tax Code],IFERROR(MATCH(A79&amp;"",tbl_Onsite[Job Number],0),MATCH(IFERROR(A79+0,A79),tbl_Onsite[Job Number],0)))),IFERROR(IF(INDEX(tbl_Production[Tax Code],IFERROR(MATCH(A79&amp;"",tbl_Production[Job Number],0),MATCH(IFERROR(A79+0,A79),tbl_Production[Job Number],0)))="","",INDEX(tbl_Production[Tax Code],IFERROR(MATCH(A79&amp;"",tbl_Production[Job Number],0),MATCH(IFERROR(A79+0,A79),tbl_Production[Job Number],0)))),IFERROR(IF(INDEX(tbl_Consulting[Tax Code],IFERROR(MATCH(A79&amp;"",tbl_Consulting[Job Number],0),MATCH(IFERROR(A79+0,A79),tbl_Consulting[Job Number],0)))="","",INDEX(tbl_Consulting[Tax Code],IFERROR(MATCH(A79&amp;"",tbl_Consulting[Job Number],0),MATCH(IFERROR(A79+0,A79),tbl_Consulting[Job Number],0)))),"")))="","GST 10%",IFERROR(IF(INDEX(tbl_Onsite[Tax Code],IFERROR(MATCH(A79&amp;"",tbl_Onsite[Job Number],0),MATCH(IFERROR(A79+0,A79),tbl_Onsite[Job Number],0)))="","",INDEX(tbl_Onsite[Tax Code],IFERROR(MATCH(A79&amp;"",tbl_Onsite[Job Number],0),MATCH(IFERROR(A79+0,A79),tbl_Onsite[Job Number],0)))),IFERROR(IF(INDEX(tbl_Production[Tax Code],IFERROR(MATCH(A79&amp;"",tbl_Production[Job Number],0),MATCH(IFERROR(A79+0,A79),tbl_Production[Job Number],0)))="","",INDEX(tbl_Production[Tax Code],IFERROR(MATCH(A79&amp;"",tbl_Production[Job Number],0),MATCH(IFERROR(A79+0,A79),tbl_Production[Job Number],0)))),IFERROR(IF(INDEX(tbl_Consulting[Tax Code],IFERROR(MATCH(A79&amp;"",tbl_Consulting[Job Number],0),MATCH(IFERROR(A79+0,A79),tbl_Consulting[Job Number],0)))="","",INDEX(tbl_Consulting[Tax Code],IFERROR(MATCH(A79&amp;"",tbl_Consulting[Job Number],0),MATCH(IFERROR(A79+0,A79),tbl_Consulting[Job Number],0)))),"")))))</f>
        <v/>
      </c>
      <c r="N79" s="26">
        <f>IF(D79="","",IFERROR(INDEX(lst_CCtoGL,MATCH(D79,lst_CCforGL,0)),""))</f>
        <v/>
      </c>
      <c r="O79" s="27">
        <f>IF(E79="","",IF(M79="GST 10%",ROUND(E79*set_GSTRate,2),0))</f>
        <v/>
      </c>
      <c r="P79" s="27">
        <f>IF(E79="","",E79+O79)</f>
        <v/>
      </c>
      <c r="Q79" s="27">
        <f>IF(A79="","",IFERROR(INDEX(tbl_Onsite[Expected Revenue Ex GST],IFERROR(MATCH(A79&amp;"",tbl_Onsite[Job Number],0),MATCH(IFERROR(A79+0,A79),tbl_Onsite[Job Number],0))),IFERROR(INDEX(tbl_Production[Expected Revenue Ex GST],IFERROR(MATCH(A79&amp;"",tbl_Production[Job Number],0),MATCH(IFERROR(A79+0,A79),tbl_Production[Job Number],0))),IFERROR(INDEX(tbl_Consulting[Expected Revenue Ex GST],IFERROR(MATCH(A79&amp;"",tbl_Consulting[Job Number],0),MATCH(IFERROR(A79+0,A79),tbl_Consulting[Job Number],0))),0))))</f>
        <v/>
      </c>
      <c r="R79" s="27">
        <f>IF(A79="","",SUMIFS(tbl_Finance[Ex GST],tbl_Finance[Job Number],A79&amp;""))</f>
        <v/>
      </c>
      <c r="S79" s="27">
        <f>IF(A79="","",Q79-R79)</f>
        <v/>
      </c>
      <c r="T79" s="26">
        <f>IF(A79="","",IF(Q79=0,"No dept value",IF(ROUND(S79,2)=0,"Agrees",IF(S79&gt;0,"Dept higher - to invoice","Xero higher - check dept"))))</f>
        <v/>
      </c>
      <c r="U79" s="22" t="n"/>
      <c r="V79" s="22" t="n"/>
      <c r="W79" s="23" t="n"/>
      <c r="X79" s="23" t="n"/>
      <c r="Y79" s="22" t="n"/>
      <c r="Z79" s="22" t="n"/>
      <c r="AA79" s="26">
        <f>IF(COUNTA(C79,A79,B79,E79)=0,"",IF(C79="","No date - sits outside every month",IF(A79="","No job number",IF(H79="CHECK","Job number is not in the Xero job list",IF(G79="not set up yet","No department has set this job up - nothing can pull through",IF(D79="","No cost centre",IF(AND(U79="Y",B79=""),"Marked posted to Xero but has no invoice number",IF(N79="","Cost centre has no revenue GL on the Lists sheet",IF(T79="Xero higher - check dept","Invoiced more than the department says the job is worth","")))))))))</f>
        <v/>
      </c>
      <c r="AB79" s="28">
        <f>IF(A79="","",COUNTIFS(tbl_Finance[Job Number],A79&amp;"",tbl_Finance[Ex GST],"&lt;&gt;"))</f>
        <v/>
      </c>
      <c r="AC79" s="27">
        <f>IF(A79="","",SUMIFS(tbl_Finance[Ex GST],tbl_Finance[Job Number],A79&amp;""))</f>
        <v/>
      </c>
      <c r="AD79" s="27">
        <f>IF(A79="","",SUMIFS(tbl_Finance[Ex GST],tbl_Finance[Job Number],A79&amp;"",tbl_Finance[Xero Invoice No],"&lt;&gt;"))</f>
        <v/>
      </c>
      <c r="AE79" s="27">
        <f>IF(A79="","",AC79-AD79)</f>
        <v/>
      </c>
      <c r="AF79" s="26">
        <f>IF(A79="","",IFERROR(IF(INDEX(tbl_Onsite[Qwilr Quote],IFERROR(MATCH(A79&amp;"",tbl_Onsite[Job Number],0),MATCH(IFERROR(A79+0,A79),tbl_Onsite[Job Number],0)))="","",INDEX(tbl_Onsite[Qwilr Quote],IFERROR(MATCH(A79&amp;"",tbl_Onsite[Job Number],0),MATCH(IFERROR(A79+0,A79),tbl_Onsite[Job Number],0)))),IFERROR(IF(IF(INDEX(tbl_Production[Current RMS No],IFERROR(MATCH(A79&amp;"",tbl_Production[Job Number],0),MATCH(IFERROR(A79+0,A79),tbl_Production[Job Number],0)))="",INDEX(tbl_Production[Qwilr Quote],IFERROR(MATCH(A79&amp;"",tbl_Production[Job Number],0),MATCH(IFERROR(A79+0,A79),tbl_Production[Job Number],0))),INDEX(tbl_Production[Current RMS No],IFERROR(MATCH(A79&amp;"",tbl_Production[Job Number],0),MATCH(IFERROR(A79+0,A79),tbl_Production[Job Number],0))))="","",IF(INDEX(tbl_Production[Current RMS No],IFERROR(MATCH(A79&amp;"",tbl_Production[Job Number],0),MATCH(IFERROR(A79+0,A79),tbl_Production[Job Number],0)))="",INDEX(tbl_Production[Qwilr Quote],IFERROR(MATCH(A79&amp;"",tbl_Production[Job Number],0),MATCH(IFERROR(A79+0,A79),tbl_Production[Job Number],0))),INDEX(tbl_Production[Current RMS No],IFERROR(MATCH(A79&amp;"",tbl_Production[Job Number],0),MATCH(IFERROR(A79+0,A79),tbl_Production[Job Number],0))))),IFERROR(IF(INDEX(tbl_Consulting[Qwilr Quote],IFERROR(MATCH(A79&amp;"",tbl_Consulting[Job Number],0),MATCH(IFERROR(A79+0,A79),tbl_Consulting[Job Number],0)))="","",INDEX(tbl_Consulting[Qwilr Quote],IFERROR(MATCH(A79&amp;"",tbl_Consulting[Job Number],0),MATCH(IFERROR(A79+0,A79),tbl_Consulting[Job Number],0)))),""))))</f>
        <v/>
      </c>
      <c r="AG79" s="26">
        <f>IF(AF79="","",IF(AND(LEFT(AF79,4)&lt;&gt;"http",IF(G79="Production",set_RMSBase,set_QwilrBase)=""),"",HYPERLINK(IF(LEFT(AF79,4)="http",AF79,IF(G79="Production",set_RMSBase,set_QwilrBase)&amp;AF79),"Open")))</f>
        <v/>
      </c>
      <c r="AH79" s="27">
        <f>IF(A79="","",IFERROR(INDEX(tbl_Production[Total Expense],IFERROR(MATCH(A79&amp;"",tbl_Production[Job Number],0),MATCH(IFERROR(A79+0,A79),tbl_Production[Job Number],0))),IFERROR(INDEX(tbl_Consulting[Total Expense],IFERROR(MATCH(A79&amp;"",tbl_Consulting[Job Number],0),MATCH(IFERROR(A79+0,A79),tbl_Consulting[Job Number],0))),0)))</f>
        <v/>
      </c>
      <c r="AI79" s="27">
        <f>IF(A79="","",AC79-N(AH79))</f>
        <v/>
      </c>
      <c r="AJ79" s="29">
        <f>IFERROR(AI79/AC79,"")</f>
        <v/>
      </c>
      <c r="AK79" s="26">
        <f>IF(A79="","",IFERROR(IF(INDEX(tbl_Onsite[Notes],IFERROR(MATCH(A79&amp;"",tbl_Onsite[Job Number],0),MATCH(IFERROR(A79+0,A79),tbl_Onsite[Job Number],0)))="","",INDEX(tbl_Onsite[Notes],IFERROR(MATCH(A79&amp;"",tbl_Onsite[Job Number],0),MATCH(IFERROR(A79+0,A79),tbl_Onsite[Job Number],0)))),IFERROR(IF(INDEX(tbl_Production[Notes],IFERROR(MATCH(A79&amp;"",tbl_Production[Job Number],0),MATCH(IFERROR(A79+0,A79),tbl_Production[Job Number],0)))="","",INDEX(tbl_Production[Notes],IFERROR(MATCH(A79&amp;"",tbl_Production[Job Number],0),MATCH(IFERROR(A79+0,A79),tbl_Production[Job Number],0)))),IFERROR(IF(INDEX(tbl_Consulting[Notes],IFERROR(MATCH(A79&amp;"",tbl_Consulting[Job Number],0),MATCH(IFERROR(A79+0,A79),tbl_Consulting[Job Number],0)))="","",INDEX(tbl_Consulting[Notes],IFERROR(MATCH(A79&amp;"",tbl_Consulting[Job Number],0),MATCH(IFERROR(A79+0,A79),tbl_Consulting[Job Number],0)))),""))))</f>
        <v/>
      </c>
    </row>
    <row r="80" ht="15" customHeight="1">
      <c r="A80" s="22" t="n"/>
      <c r="B80" s="22" t="n"/>
      <c r="C80" s="23" t="n"/>
      <c r="D80" s="22" t="n"/>
      <c r="E80" s="24" t="n"/>
      <c r="F80" s="25">
        <f>IF(C80="","",EOMONTH(C80,0))</f>
        <v/>
      </c>
      <c r="G80" s="26">
        <f>IF(A80="","",IF(COUNTIF(tbl_Onsite[Job Number],A80&amp;"")&gt;0,"Onsite",IF(COUNTIF(tbl_Production[Job Number],A80&amp;"")&gt;0,"Production",IF(COUNTIF(tbl_Consulting[Job Number],A80&amp;"")&gt;0,"Consulting","not set up yet"))))</f>
        <v/>
      </c>
      <c r="H80" s="26">
        <f>IF(A80="","",IF(COUNTIF(lst_Jobs,A80&amp;"")&gt;0,"OK","CHECK"))</f>
        <v/>
      </c>
      <c r="I80" s="26">
        <f>IF(A80="","",IFERROR(INDEX(lst_JobName,MATCH(A80&amp;"",lst_Jobs,0)),""))</f>
        <v/>
      </c>
      <c r="J80" s="26">
        <f>IF(A80="","",IFERROR(IF(INDEX(tbl_Onsite[Client],IFERROR(MATCH(A80&amp;"",tbl_Onsite[Job Number],0),MATCH(IFERROR(A80+0,A80),tbl_Onsite[Job Number],0)))="","",INDEX(tbl_Onsite[Client],IFERROR(MATCH(A80&amp;"",tbl_Onsite[Job Number],0),MATCH(IFERROR(A80+0,A80),tbl_Onsite[Job Number],0)))),IFERROR(IF(INDEX(tbl_Production[Client],IFERROR(MATCH(A80&amp;"",tbl_Production[Job Number],0),MATCH(IFERROR(A80+0,A80),tbl_Production[Job Number],0)))="","",INDEX(tbl_Production[Client],IFERROR(MATCH(A80&amp;"",tbl_Production[Job Number],0),MATCH(IFERROR(A80+0,A80),tbl_Production[Job Number],0)))),IFERROR(IF(INDEX(tbl_Consulting[Client],IFERROR(MATCH(A80&amp;"",tbl_Consulting[Job Number],0),MATCH(IFERROR(A80+0,A80),tbl_Consulting[Job Number],0)))="","",INDEX(tbl_Consulting[Client],IFERROR(MATCH(A80&amp;"",tbl_Consulting[Job Number],0),MATCH(IFERROR(A80+0,A80),tbl_Consulting[Job Number],0)))),""))))</f>
        <v/>
      </c>
      <c r="K80" s="26">
        <f>IF(A80="","",IFERROR(IF(INDEX(tbl_Onsite[Job Description],IFERROR(MATCH(A80&amp;"",tbl_Onsite[Job Number],0),MATCH(IFERROR(A80+0,A80),tbl_Onsite[Job Number],0)))="","",INDEX(tbl_Onsite[Job Description],IFERROR(MATCH(A80&amp;"",tbl_Onsite[Job Number],0),MATCH(IFERROR(A80+0,A80),tbl_Onsite[Job Number],0)))),IFERROR(IF(INDEX(tbl_Production[Job Description],IFERROR(MATCH(A80&amp;"",tbl_Production[Job Number],0),MATCH(IFERROR(A80+0,A80),tbl_Production[Job Number],0)))="","",INDEX(tbl_Production[Job Description],IFERROR(MATCH(A80&amp;"",tbl_Production[Job Number],0),MATCH(IFERROR(A80+0,A80),tbl_Production[Job Number],0)))),IFERROR(IF(INDEX(tbl_Consulting[Job Description],IFERROR(MATCH(A80&amp;"",tbl_Consulting[Job Number],0),MATCH(IFERROR(A80+0,A80),tbl_Consulting[Job Number],0)))="","",INDEX(tbl_Consulting[Job Description],IFERROR(MATCH(A80&amp;"",tbl_Consulting[Job Number],0),MATCH(IFERROR(A80+0,A80),tbl_Consulting[Job Number],0)))),""))))</f>
        <v/>
      </c>
      <c r="L80" s="26">
        <f>IF(A80="","",IFERROR(IF(INDEX(tbl_Onsite[Invoice Type],IFERROR(MATCH(A80&amp;"",tbl_Onsite[Job Number],0),MATCH(IFERROR(A80+0,A80),tbl_Onsite[Job Number],0)))="","",INDEX(tbl_Onsite[Invoice Type],IFERROR(MATCH(A80&amp;"",tbl_Onsite[Job Number],0),MATCH(IFERROR(A80+0,A80),tbl_Onsite[Job Number],0)))),IFERROR(IF(INDEX(tbl_Production[Invoice Type],IFERROR(MATCH(A80&amp;"",tbl_Production[Job Number],0),MATCH(IFERROR(A80+0,A80),tbl_Production[Job Number],0)))="","",INDEX(tbl_Production[Invoice Type],IFERROR(MATCH(A80&amp;"",tbl_Production[Job Number],0),MATCH(IFERROR(A80+0,A80),tbl_Production[Job Number],0)))),IFERROR(IF(INDEX(tbl_Consulting[Invoice Type],IFERROR(MATCH(A80&amp;"",tbl_Consulting[Job Number],0),MATCH(IFERROR(A80+0,A80),tbl_Consulting[Job Number],0)))="","",INDEX(tbl_Consulting[Invoice Type],IFERROR(MATCH(A80&amp;"",tbl_Consulting[Job Number],0),MATCH(IFERROR(A80+0,A80),tbl_Consulting[Job Number],0)))),""))))</f>
        <v/>
      </c>
      <c r="M80" s="26">
        <f>IF(A80="","",IF(IFERROR(IF(INDEX(tbl_Onsite[Tax Code],IFERROR(MATCH(A80&amp;"",tbl_Onsite[Job Number],0),MATCH(IFERROR(A80+0,A80),tbl_Onsite[Job Number],0)))="","",INDEX(tbl_Onsite[Tax Code],IFERROR(MATCH(A80&amp;"",tbl_Onsite[Job Number],0),MATCH(IFERROR(A80+0,A80),tbl_Onsite[Job Number],0)))),IFERROR(IF(INDEX(tbl_Production[Tax Code],IFERROR(MATCH(A80&amp;"",tbl_Production[Job Number],0),MATCH(IFERROR(A80+0,A80),tbl_Production[Job Number],0)))="","",INDEX(tbl_Production[Tax Code],IFERROR(MATCH(A80&amp;"",tbl_Production[Job Number],0),MATCH(IFERROR(A80+0,A80),tbl_Production[Job Number],0)))),IFERROR(IF(INDEX(tbl_Consulting[Tax Code],IFERROR(MATCH(A80&amp;"",tbl_Consulting[Job Number],0),MATCH(IFERROR(A80+0,A80),tbl_Consulting[Job Number],0)))="","",INDEX(tbl_Consulting[Tax Code],IFERROR(MATCH(A80&amp;"",tbl_Consulting[Job Number],0),MATCH(IFERROR(A80+0,A80),tbl_Consulting[Job Number],0)))),"")))="","GST 10%",IFERROR(IF(INDEX(tbl_Onsite[Tax Code],IFERROR(MATCH(A80&amp;"",tbl_Onsite[Job Number],0),MATCH(IFERROR(A80+0,A80),tbl_Onsite[Job Number],0)))="","",INDEX(tbl_Onsite[Tax Code],IFERROR(MATCH(A80&amp;"",tbl_Onsite[Job Number],0),MATCH(IFERROR(A80+0,A80),tbl_Onsite[Job Number],0)))),IFERROR(IF(INDEX(tbl_Production[Tax Code],IFERROR(MATCH(A80&amp;"",tbl_Production[Job Number],0),MATCH(IFERROR(A80+0,A80),tbl_Production[Job Number],0)))="","",INDEX(tbl_Production[Tax Code],IFERROR(MATCH(A80&amp;"",tbl_Production[Job Number],0),MATCH(IFERROR(A80+0,A80),tbl_Production[Job Number],0)))),IFERROR(IF(INDEX(tbl_Consulting[Tax Code],IFERROR(MATCH(A80&amp;"",tbl_Consulting[Job Number],0),MATCH(IFERROR(A80+0,A80),tbl_Consulting[Job Number],0)))="","",INDEX(tbl_Consulting[Tax Code],IFERROR(MATCH(A80&amp;"",tbl_Consulting[Job Number],0),MATCH(IFERROR(A80+0,A80),tbl_Consulting[Job Number],0)))),"")))))</f>
        <v/>
      </c>
      <c r="N80" s="26">
        <f>IF(D80="","",IFERROR(INDEX(lst_CCtoGL,MATCH(D80,lst_CCforGL,0)),""))</f>
        <v/>
      </c>
      <c r="O80" s="27">
        <f>IF(E80="","",IF(M80="GST 10%",ROUND(E80*set_GSTRate,2),0))</f>
        <v/>
      </c>
      <c r="P80" s="27">
        <f>IF(E80="","",E80+O80)</f>
        <v/>
      </c>
      <c r="Q80" s="27">
        <f>IF(A80="","",IFERROR(INDEX(tbl_Onsite[Expected Revenue Ex GST],IFERROR(MATCH(A80&amp;"",tbl_Onsite[Job Number],0),MATCH(IFERROR(A80+0,A80),tbl_Onsite[Job Number],0))),IFERROR(INDEX(tbl_Production[Expected Revenue Ex GST],IFERROR(MATCH(A80&amp;"",tbl_Production[Job Number],0),MATCH(IFERROR(A80+0,A80),tbl_Production[Job Number],0))),IFERROR(INDEX(tbl_Consulting[Expected Revenue Ex GST],IFERROR(MATCH(A80&amp;"",tbl_Consulting[Job Number],0),MATCH(IFERROR(A80+0,A80),tbl_Consulting[Job Number],0))),0))))</f>
        <v/>
      </c>
      <c r="R80" s="27">
        <f>IF(A80="","",SUMIFS(tbl_Finance[Ex GST],tbl_Finance[Job Number],A80&amp;""))</f>
        <v/>
      </c>
      <c r="S80" s="27">
        <f>IF(A80="","",Q80-R80)</f>
        <v/>
      </c>
      <c r="T80" s="26">
        <f>IF(A80="","",IF(Q80=0,"No dept value",IF(ROUND(S80,2)=0,"Agrees",IF(S80&gt;0,"Dept higher - to invoice","Xero higher - check dept"))))</f>
        <v/>
      </c>
      <c r="U80" s="22" t="n"/>
      <c r="V80" s="22" t="n"/>
      <c r="W80" s="23" t="n"/>
      <c r="X80" s="23" t="n"/>
      <c r="Y80" s="22" t="n"/>
      <c r="Z80" s="22" t="n"/>
      <c r="AA80" s="26">
        <f>IF(COUNTA(C80,A80,B80,E80)=0,"",IF(C80="","No date - sits outside every month",IF(A80="","No job number",IF(H80="CHECK","Job number is not in the Xero job list",IF(G80="not set up yet","No department has set this job up - nothing can pull through",IF(D80="","No cost centre",IF(AND(U80="Y",B80=""),"Marked posted to Xero but has no invoice number",IF(N80="","Cost centre has no revenue GL on the Lists sheet",IF(T80="Xero higher - check dept","Invoiced more than the department says the job is worth","")))))))))</f>
        <v/>
      </c>
      <c r="AB80" s="28">
        <f>IF(A80="","",COUNTIFS(tbl_Finance[Job Number],A80&amp;"",tbl_Finance[Ex GST],"&lt;&gt;"))</f>
        <v/>
      </c>
      <c r="AC80" s="27">
        <f>IF(A80="","",SUMIFS(tbl_Finance[Ex GST],tbl_Finance[Job Number],A80&amp;""))</f>
        <v/>
      </c>
      <c r="AD80" s="27">
        <f>IF(A80="","",SUMIFS(tbl_Finance[Ex GST],tbl_Finance[Job Number],A80&amp;"",tbl_Finance[Xero Invoice No],"&lt;&gt;"))</f>
        <v/>
      </c>
      <c r="AE80" s="27">
        <f>IF(A80="","",AC80-AD80)</f>
        <v/>
      </c>
      <c r="AF80" s="26">
        <f>IF(A80="","",IFERROR(IF(INDEX(tbl_Onsite[Qwilr Quote],IFERROR(MATCH(A80&amp;"",tbl_Onsite[Job Number],0),MATCH(IFERROR(A80+0,A80),tbl_Onsite[Job Number],0)))="","",INDEX(tbl_Onsite[Qwilr Quote],IFERROR(MATCH(A80&amp;"",tbl_Onsite[Job Number],0),MATCH(IFERROR(A80+0,A80),tbl_Onsite[Job Number],0)))),IFERROR(IF(IF(INDEX(tbl_Production[Current RMS No],IFERROR(MATCH(A80&amp;"",tbl_Production[Job Number],0),MATCH(IFERROR(A80+0,A80),tbl_Production[Job Number],0)))="",INDEX(tbl_Production[Qwilr Quote],IFERROR(MATCH(A80&amp;"",tbl_Production[Job Number],0),MATCH(IFERROR(A80+0,A80),tbl_Production[Job Number],0))),INDEX(tbl_Production[Current RMS No],IFERROR(MATCH(A80&amp;"",tbl_Production[Job Number],0),MATCH(IFERROR(A80+0,A80),tbl_Production[Job Number],0))))="","",IF(INDEX(tbl_Production[Current RMS No],IFERROR(MATCH(A80&amp;"",tbl_Production[Job Number],0),MATCH(IFERROR(A80+0,A80),tbl_Production[Job Number],0)))="",INDEX(tbl_Production[Qwilr Quote],IFERROR(MATCH(A80&amp;"",tbl_Production[Job Number],0),MATCH(IFERROR(A80+0,A80),tbl_Production[Job Number],0))),INDEX(tbl_Production[Current RMS No],IFERROR(MATCH(A80&amp;"",tbl_Production[Job Number],0),MATCH(IFERROR(A80+0,A80),tbl_Production[Job Number],0))))),IFERROR(IF(INDEX(tbl_Consulting[Qwilr Quote],IFERROR(MATCH(A80&amp;"",tbl_Consulting[Job Number],0),MATCH(IFERROR(A80+0,A80),tbl_Consulting[Job Number],0)))="","",INDEX(tbl_Consulting[Qwilr Quote],IFERROR(MATCH(A80&amp;"",tbl_Consulting[Job Number],0),MATCH(IFERROR(A80+0,A80),tbl_Consulting[Job Number],0)))),""))))</f>
        <v/>
      </c>
      <c r="AG80" s="26">
        <f>IF(AF80="","",IF(AND(LEFT(AF80,4)&lt;&gt;"http",IF(G80="Production",set_RMSBase,set_QwilrBase)=""),"",HYPERLINK(IF(LEFT(AF80,4)="http",AF80,IF(G80="Production",set_RMSBase,set_QwilrBase)&amp;AF80),"Open")))</f>
        <v/>
      </c>
      <c r="AH80" s="27">
        <f>IF(A80="","",IFERROR(INDEX(tbl_Production[Total Expense],IFERROR(MATCH(A80&amp;"",tbl_Production[Job Number],0),MATCH(IFERROR(A80+0,A80),tbl_Production[Job Number],0))),IFERROR(INDEX(tbl_Consulting[Total Expense],IFERROR(MATCH(A80&amp;"",tbl_Consulting[Job Number],0),MATCH(IFERROR(A80+0,A80),tbl_Consulting[Job Number],0))),0)))</f>
        <v/>
      </c>
      <c r="AI80" s="27">
        <f>IF(A80="","",AC80-N(AH80))</f>
        <v/>
      </c>
      <c r="AJ80" s="29">
        <f>IFERROR(AI80/AC80,"")</f>
        <v/>
      </c>
      <c r="AK80" s="26">
        <f>IF(A80="","",IFERROR(IF(INDEX(tbl_Onsite[Notes],IFERROR(MATCH(A80&amp;"",tbl_Onsite[Job Number],0),MATCH(IFERROR(A80+0,A80),tbl_Onsite[Job Number],0)))="","",INDEX(tbl_Onsite[Notes],IFERROR(MATCH(A80&amp;"",tbl_Onsite[Job Number],0),MATCH(IFERROR(A80+0,A80),tbl_Onsite[Job Number],0)))),IFERROR(IF(INDEX(tbl_Production[Notes],IFERROR(MATCH(A80&amp;"",tbl_Production[Job Number],0),MATCH(IFERROR(A80+0,A80),tbl_Production[Job Number],0)))="","",INDEX(tbl_Production[Notes],IFERROR(MATCH(A80&amp;"",tbl_Production[Job Number],0),MATCH(IFERROR(A80+0,A80),tbl_Production[Job Number],0)))),IFERROR(IF(INDEX(tbl_Consulting[Notes],IFERROR(MATCH(A80&amp;"",tbl_Consulting[Job Number],0),MATCH(IFERROR(A80+0,A80),tbl_Consulting[Job Number],0)))="","",INDEX(tbl_Consulting[Notes],IFERROR(MATCH(A80&amp;"",tbl_Consulting[Job Number],0),MATCH(IFERROR(A80+0,A80),tbl_Consulting[Job Number],0)))),""))))</f>
        <v/>
      </c>
    </row>
    <row r="81" ht="15" customHeight="1">
      <c r="A81" s="22" t="n"/>
      <c r="B81" s="22" t="n"/>
      <c r="C81" s="23" t="n"/>
      <c r="D81" s="22" t="n"/>
      <c r="E81" s="24" t="n"/>
      <c r="F81" s="25">
        <f>IF(C81="","",EOMONTH(C81,0))</f>
        <v/>
      </c>
      <c r="G81" s="26">
        <f>IF(A81="","",IF(COUNTIF(tbl_Onsite[Job Number],A81&amp;"")&gt;0,"Onsite",IF(COUNTIF(tbl_Production[Job Number],A81&amp;"")&gt;0,"Production",IF(COUNTIF(tbl_Consulting[Job Number],A81&amp;"")&gt;0,"Consulting","not set up yet"))))</f>
        <v/>
      </c>
      <c r="H81" s="26">
        <f>IF(A81="","",IF(COUNTIF(lst_Jobs,A81&amp;"")&gt;0,"OK","CHECK"))</f>
        <v/>
      </c>
      <c r="I81" s="26">
        <f>IF(A81="","",IFERROR(INDEX(lst_JobName,MATCH(A81&amp;"",lst_Jobs,0)),""))</f>
        <v/>
      </c>
      <c r="J81" s="26">
        <f>IF(A81="","",IFERROR(IF(INDEX(tbl_Onsite[Client],IFERROR(MATCH(A81&amp;"",tbl_Onsite[Job Number],0),MATCH(IFERROR(A81+0,A81),tbl_Onsite[Job Number],0)))="","",INDEX(tbl_Onsite[Client],IFERROR(MATCH(A81&amp;"",tbl_Onsite[Job Number],0),MATCH(IFERROR(A81+0,A81),tbl_Onsite[Job Number],0)))),IFERROR(IF(INDEX(tbl_Production[Client],IFERROR(MATCH(A81&amp;"",tbl_Production[Job Number],0),MATCH(IFERROR(A81+0,A81),tbl_Production[Job Number],0)))="","",INDEX(tbl_Production[Client],IFERROR(MATCH(A81&amp;"",tbl_Production[Job Number],0),MATCH(IFERROR(A81+0,A81),tbl_Production[Job Number],0)))),IFERROR(IF(INDEX(tbl_Consulting[Client],IFERROR(MATCH(A81&amp;"",tbl_Consulting[Job Number],0),MATCH(IFERROR(A81+0,A81),tbl_Consulting[Job Number],0)))="","",INDEX(tbl_Consulting[Client],IFERROR(MATCH(A81&amp;"",tbl_Consulting[Job Number],0),MATCH(IFERROR(A81+0,A81),tbl_Consulting[Job Number],0)))),""))))</f>
        <v/>
      </c>
      <c r="K81" s="26">
        <f>IF(A81="","",IFERROR(IF(INDEX(tbl_Onsite[Job Description],IFERROR(MATCH(A81&amp;"",tbl_Onsite[Job Number],0),MATCH(IFERROR(A81+0,A81),tbl_Onsite[Job Number],0)))="","",INDEX(tbl_Onsite[Job Description],IFERROR(MATCH(A81&amp;"",tbl_Onsite[Job Number],0),MATCH(IFERROR(A81+0,A81),tbl_Onsite[Job Number],0)))),IFERROR(IF(INDEX(tbl_Production[Job Description],IFERROR(MATCH(A81&amp;"",tbl_Production[Job Number],0),MATCH(IFERROR(A81+0,A81),tbl_Production[Job Number],0)))="","",INDEX(tbl_Production[Job Description],IFERROR(MATCH(A81&amp;"",tbl_Production[Job Number],0),MATCH(IFERROR(A81+0,A81),tbl_Production[Job Number],0)))),IFERROR(IF(INDEX(tbl_Consulting[Job Description],IFERROR(MATCH(A81&amp;"",tbl_Consulting[Job Number],0),MATCH(IFERROR(A81+0,A81),tbl_Consulting[Job Number],0)))="","",INDEX(tbl_Consulting[Job Description],IFERROR(MATCH(A81&amp;"",tbl_Consulting[Job Number],0),MATCH(IFERROR(A81+0,A81),tbl_Consulting[Job Number],0)))),""))))</f>
        <v/>
      </c>
      <c r="L81" s="26">
        <f>IF(A81="","",IFERROR(IF(INDEX(tbl_Onsite[Invoice Type],IFERROR(MATCH(A81&amp;"",tbl_Onsite[Job Number],0),MATCH(IFERROR(A81+0,A81),tbl_Onsite[Job Number],0)))="","",INDEX(tbl_Onsite[Invoice Type],IFERROR(MATCH(A81&amp;"",tbl_Onsite[Job Number],0),MATCH(IFERROR(A81+0,A81),tbl_Onsite[Job Number],0)))),IFERROR(IF(INDEX(tbl_Production[Invoice Type],IFERROR(MATCH(A81&amp;"",tbl_Production[Job Number],0),MATCH(IFERROR(A81+0,A81),tbl_Production[Job Number],0)))="","",INDEX(tbl_Production[Invoice Type],IFERROR(MATCH(A81&amp;"",tbl_Production[Job Number],0),MATCH(IFERROR(A81+0,A81),tbl_Production[Job Number],0)))),IFERROR(IF(INDEX(tbl_Consulting[Invoice Type],IFERROR(MATCH(A81&amp;"",tbl_Consulting[Job Number],0),MATCH(IFERROR(A81+0,A81),tbl_Consulting[Job Number],0)))="","",INDEX(tbl_Consulting[Invoice Type],IFERROR(MATCH(A81&amp;"",tbl_Consulting[Job Number],0),MATCH(IFERROR(A81+0,A81),tbl_Consulting[Job Number],0)))),""))))</f>
        <v/>
      </c>
      <c r="M81" s="26">
        <f>IF(A81="","",IF(IFERROR(IF(INDEX(tbl_Onsite[Tax Code],IFERROR(MATCH(A81&amp;"",tbl_Onsite[Job Number],0),MATCH(IFERROR(A81+0,A81),tbl_Onsite[Job Number],0)))="","",INDEX(tbl_Onsite[Tax Code],IFERROR(MATCH(A81&amp;"",tbl_Onsite[Job Number],0),MATCH(IFERROR(A81+0,A81),tbl_Onsite[Job Number],0)))),IFERROR(IF(INDEX(tbl_Production[Tax Code],IFERROR(MATCH(A81&amp;"",tbl_Production[Job Number],0),MATCH(IFERROR(A81+0,A81),tbl_Production[Job Number],0)))="","",INDEX(tbl_Production[Tax Code],IFERROR(MATCH(A81&amp;"",tbl_Production[Job Number],0),MATCH(IFERROR(A81+0,A81),tbl_Production[Job Number],0)))),IFERROR(IF(INDEX(tbl_Consulting[Tax Code],IFERROR(MATCH(A81&amp;"",tbl_Consulting[Job Number],0),MATCH(IFERROR(A81+0,A81),tbl_Consulting[Job Number],0)))="","",INDEX(tbl_Consulting[Tax Code],IFERROR(MATCH(A81&amp;"",tbl_Consulting[Job Number],0),MATCH(IFERROR(A81+0,A81),tbl_Consulting[Job Number],0)))),"")))="","GST 10%",IFERROR(IF(INDEX(tbl_Onsite[Tax Code],IFERROR(MATCH(A81&amp;"",tbl_Onsite[Job Number],0),MATCH(IFERROR(A81+0,A81),tbl_Onsite[Job Number],0)))="","",INDEX(tbl_Onsite[Tax Code],IFERROR(MATCH(A81&amp;"",tbl_Onsite[Job Number],0),MATCH(IFERROR(A81+0,A81),tbl_Onsite[Job Number],0)))),IFERROR(IF(INDEX(tbl_Production[Tax Code],IFERROR(MATCH(A81&amp;"",tbl_Production[Job Number],0),MATCH(IFERROR(A81+0,A81),tbl_Production[Job Number],0)))="","",INDEX(tbl_Production[Tax Code],IFERROR(MATCH(A81&amp;"",tbl_Production[Job Number],0),MATCH(IFERROR(A81+0,A81),tbl_Production[Job Number],0)))),IFERROR(IF(INDEX(tbl_Consulting[Tax Code],IFERROR(MATCH(A81&amp;"",tbl_Consulting[Job Number],0),MATCH(IFERROR(A81+0,A81),tbl_Consulting[Job Number],0)))="","",INDEX(tbl_Consulting[Tax Code],IFERROR(MATCH(A81&amp;"",tbl_Consulting[Job Number],0),MATCH(IFERROR(A81+0,A81),tbl_Consulting[Job Number],0)))),"")))))</f>
        <v/>
      </c>
      <c r="N81" s="26">
        <f>IF(D81="","",IFERROR(INDEX(lst_CCtoGL,MATCH(D81,lst_CCforGL,0)),""))</f>
        <v/>
      </c>
      <c r="O81" s="27">
        <f>IF(E81="","",IF(M81="GST 10%",ROUND(E81*set_GSTRate,2),0))</f>
        <v/>
      </c>
      <c r="P81" s="27">
        <f>IF(E81="","",E81+O81)</f>
        <v/>
      </c>
      <c r="Q81" s="27">
        <f>IF(A81="","",IFERROR(INDEX(tbl_Onsite[Expected Revenue Ex GST],IFERROR(MATCH(A81&amp;"",tbl_Onsite[Job Number],0),MATCH(IFERROR(A81+0,A81),tbl_Onsite[Job Number],0))),IFERROR(INDEX(tbl_Production[Expected Revenue Ex GST],IFERROR(MATCH(A81&amp;"",tbl_Production[Job Number],0),MATCH(IFERROR(A81+0,A81),tbl_Production[Job Number],0))),IFERROR(INDEX(tbl_Consulting[Expected Revenue Ex GST],IFERROR(MATCH(A81&amp;"",tbl_Consulting[Job Number],0),MATCH(IFERROR(A81+0,A81),tbl_Consulting[Job Number],0))),0))))</f>
        <v/>
      </c>
      <c r="R81" s="27">
        <f>IF(A81="","",SUMIFS(tbl_Finance[Ex GST],tbl_Finance[Job Number],A81&amp;""))</f>
        <v/>
      </c>
      <c r="S81" s="27">
        <f>IF(A81="","",Q81-R81)</f>
        <v/>
      </c>
      <c r="T81" s="26">
        <f>IF(A81="","",IF(Q81=0,"No dept value",IF(ROUND(S81,2)=0,"Agrees",IF(S81&gt;0,"Dept higher - to invoice","Xero higher - check dept"))))</f>
        <v/>
      </c>
      <c r="U81" s="22" t="n"/>
      <c r="V81" s="22" t="n"/>
      <c r="W81" s="23" t="n"/>
      <c r="X81" s="23" t="n"/>
      <c r="Y81" s="22" t="n"/>
      <c r="Z81" s="22" t="n"/>
      <c r="AA81" s="26">
        <f>IF(COUNTA(C81,A81,B81,E81)=0,"",IF(C81="","No date - sits outside every month",IF(A81="","No job number",IF(H81="CHECK","Job number is not in the Xero job list",IF(G81="not set up yet","No department has set this job up - nothing can pull through",IF(D81="","No cost centre",IF(AND(U81="Y",B81=""),"Marked posted to Xero but has no invoice number",IF(N81="","Cost centre has no revenue GL on the Lists sheet",IF(T81="Xero higher - check dept","Invoiced more than the department says the job is worth","")))))))))</f>
        <v/>
      </c>
      <c r="AB81" s="28">
        <f>IF(A81="","",COUNTIFS(tbl_Finance[Job Number],A81&amp;"",tbl_Finance[Ex GST],"&lt;&gt;"))</f>
        <v/>
      </c>
      <c r="AC81" s="27">
        <f>IF(A81="","",SUMIFS(tbl_Finance[Ex GST],tbl_Finance[Job Number],A81&amp;""))</f>
        <v/>
      </c>
      <c r="AD81" s="27">
        <f>IF(A81="","",SUMIFS(tbl_Finance[Ex GST],tbl_Finance[Job Number],A81&amp;"",tbl_Finance[Xero Invoice No],"&lt;&gt;"))</f>
        <v/>
      </c>
      <c r="AE81" s="27">
        <f>IF(A81="","",AC81-AD81)</f>
        <v/>
      </c>
      <c r="AF81" s="26">
        <f>IF(A81="","",IFERROR(IF(INDEX(tbl_Onsite[Qwilr Quote],IFERROR(MATCH(A81&amp;"",tbl_Onsite[Job Number],0),MATCH(IFERROR(A81+0,A81),tbl_Onsite[Job Number],0)))="","",INDEX(tbl_Onsite[Qwilr Quote],IFERROR(MATCH(A81&amp;"",tbl_Onsite[Job Number],0),MATCH(IFERROR(A81+0,A81),tbl_Onsite[Job Number],0)))),IFERROR(IF(IF(INDEX(tbl_Production[Current RMS No],IFERROR(MATCH(A81&amp;"",tbl_Production[Job Number],0),MATCH(IFERROR(A81+0,A81),tbl_Production[Job Number],0)))="",INDEX(tbl_Production[Qwilr Quote],IFERROR(MATCH(A81&amp;"",tbl_Production[Job Number],0),MATCH(IFERROR(A81+0,A81),tbl_Production[Job Number],0))),INDEX(tbl_Production[Current RMS No],IFERROR(MATCH(A81&amp;"",tbl_Production[Job Number],0),MATCH(IFERROR(A81+0,A81),tbl_Production[Job Number],0))))="","",IF(INDEX(tbl_Production[Current RMS No],IFERROR(MATCH(A81&amp;"",tbl_Production[Job Number],0),MATCH(IFERROR(A81+0,A81),tbl_Production[Job Number],0)))="",INDEX(tbl_Production[Qwilr Quote],IFERROR(MATCH(A81&amp;"",tbl_Production[Job Number],0),MATCH(IFERROR(A81+0,A81),tbl_Production[Job Number],0))),INDEX(tbl_Production[Current RMS No],IFERROR(MATCH(A81&amp;"",tbl_Production[Job Number],0),MATCH(IFERROR(A81+0,A81),tbl_Production[Job Number],0))))),IFERROR(IF(INDEX(tbl_Consulting[Qwilr Quote],IFERROR(MATCH(A81&amp;"",tbl_Consulting[Job Number],0),MATCH(IFERROR(A81+0,A81),tbl_Consulting[Job Number],0)))="","",INDEX(tbl_Consulting[Qwilr Quote],IFERROR(MATCH(A81&amp;"",tbl_Consulting[Job Number],0),MATCH(IFERROR(A81+0,A81),tbl_Consulting[Job Number],0)))),""))))</f>
        <v/>
      </c>
      <c r="AG81" s="26">
        <f>IF(AF81="","",IF(AND(LEFT(AF81,4)&lt;&gt;"http",IF(G81="Production",set_RMSBase,set_QwilrBase)=""),"",HYPERLINK(IF(LEFT(AF81,4)="http",AF81,IF(G81="Production",set_RMSBase,set_QwilrBase)&amp;AF81),"Open")))</f>
        <v/>
      </c>
      <c r="AH81" s="27">
        <f>IF(A81="","",IFERROR(INDEX(tbl_Production[Total Expense],IFERROR(MATCH(A81&amp;"",tbl_Production[Job Number],0),MATCH(IFERROR(A81+0,A81),tbl_Production[Job Number],0))),IFERROR(INDEX(tbl_Consulting[Total Expense],IFERROR(MATCH(A81&amp;"",tbl_Consulting[Job Number],0),MATCH(IFERROR(A81+0,A81),tbl_Consulting[Job Number],0))),0)))</f>
        <v/>
      </c>
      <c r="AI81" s="27">
        <f>IF(A81="","",AC81-N(AH81))</f>
        <v/>
      </c>
      <c r="AJ81" s="29">
        <f>IFERROR(AI81/AC81,"")</f>
        <v/>
      </c>
      <c r="AK81" s="26">
        <f>IF(A81="","",IFERROR(IF(INDEX(tbl_Onsite[Notes],IFERROR(MATCH(A81&amp;"",tbl_Onsite[Job Number],0),MATCH(IFERROR(A81+0,A81),tbl_Onsite[Job Number],0)))="","",INDEX(tbl_Onsite[Notes],IFERROR(MATCH(A81&amp;"",tbl_Onsite[Job Number],0),MATCH(IFERROR(A81+0,A81),tbl_Onsite[Job Number],0)))),IFERROR(IF(INDEX(tbl_Production[Notes],IFERROR(MATCH(A81&amp;"",tbl_Production[Job Number],0),MATCH(IFERROR(A81+0,A81),tbl_Production[Job Number],0)))="","",INDEX(tbl_Production[Notes],IFERROR(MATCH(A81&amp;"",tbl_Production[Job Number],0),MATCH(IFERROR(A81+0,A81),tbl_Production[Job Number],0)))),IFERROR(IF(INDEX(tbl_Consulting[Notes],IFERROR(MATCH(A81&amp;"",tbl_Consulting[Job Number],0),MATCH(IFERROR(A81+0,A81),tbl_Consulting[Job Number],0)))="","",INDEX(tbl_Consulting[Notes],IFERROR(MATCH(A81&amp;"",tbl_Consulting[Job Number],0),MATCH(IFERROR(A81+0,A81),tbl_Consulting[Job Number],0)))),""))))</f>
        <v/>
      </c>
    </row>
    <row r="82" ht="15" customHeight="1">
      <c r="A82" s="22" t="n"/>
      <c r="B82" s="22" t="n"/>
      <c r="C82" s="23" t="n"/>
      <c r="D82" s="22" t="n"/>
      <c r="E82" s="24" t="n"/>
      <c r="F82" s="25">
        <f>IF(C82="","",EOMONTH(C82,0))</f>
        <v/>
      </c>
      <c r="G82" s="26">
        <f>IF(A82="","",IF(COUNTIF(tbl_Onsite[Job Number],A82&amp;"")&gt;0,"Onsite",IF(COUNTIF(tbl_Production[Job Number],A82&amp;"")&gt;0,"Production",IF(COUNTIF(tbl_Consulting[Job Number],A82&amp;"")&gt;0,"Consulting","not set up yet"))))</f>
        <v/>
      </c>
      <c r="H82" s="26">
        <f>IF(A82="","",IF(COUNTIF(lst_Jobs,A82&amp;"")&gt;0,"OK","CHECK"))</f>
        <v/>
      </c>
      <c r="I82" s="26">
        <f>IF(A82="","",IFERROR(INDEX(lst_JobName,MATCH(A82&amp;"",lst_Jobs,0)),""))</f>
        <v/>
      </c>
      <c r="J82" s="26">
        <f>IF(A82="","",IFERROR(IF(INDEX(tbl_Onsite[Client],IFERROR(MATCH(A82&amp;"",tbl_Onsite[Job Number],0),MATCH(IFERROR(A82+0,A82),tbl_Onsite[Job Number],0)))="","",INDEX(tbl_Onsite[Client],IFERROR(MATCH(A82&amp;"",tbl_Onsite[Job Number],0),MATCH(IFERROR(A82+0,A82),tbl_Onsite[Job Number],0)))),IFERROR(IF(INDEX(tbl_Production[Client],IFERROR(MATCH(A82&amp;"",tbl_Production[Job Number],0),MATCH(IFERROR(A82+0,A82),tbl_Production[Job Number],0)))="","",INDEX(tbl_Production[Client],IFERROR(MATCH(A82&amp;"",tbl_Production[Job Number],0),MATCH(IFERROR(A82+0,A82),tbl_Production[Job Number],0)))),IFERROR(IF(INDEX(tbl_Consulting[Client],IFERROR(MATCH(A82&amp;"",tbl_Consulting[Job Number],0),MATCH(IFERROR(A82+0,A82),tbl_Consulting[Job Number],0)))="","",INDEX(tbl_Consulting[Client],IFERROR(MATCH(A82&amp;"",tbl_Consulting[Job Number],0),MATCH(IFERROR(A82+0,A82),tbl_Consulting[Job Number],0)))),""))))</f>
        <v/>
      </c>
      <c r="K82" s="26">
        <f>IF(A82="","",IFERROR(IF(INDEX(tbl_Onsite[Job Description],IFERROR(MATCH(A82&amp;"",tbl_Onsite[Job Number],0),MATCH(IFERROR(A82+0,A82),tbl_Onsite[Job Number],0)))="","",INDEX(tbl_Onsite[Job Description],IFERROR(MATCH(A82&amp;"",tbl_Onsite[Job Number],0),MATCH(IFERROR(A82+0,A82),tbl_Onsite[Job Number],0)))),IFERROR(IF(INDEX(tbl_Production[Job Description],IFERROR(MATCH(A82&amp;"",tbl_Production[Job Number],0),MATCH(IFERROR(A82+0,A82),tbl_Production[Job Number],0)))="","",INDEX(tbl_Production[Job Description],IFERROR(MATCH(A82&amp;"",tbl_Production[Job Number],0),MATCH(IFERROR(A82+0,A82),tbl_Production[Job Number],0)))),IFERROR(IF(INDEX(tbl_Consulting[Job Description],IFERROR(MATCH(A82&amp;"",tbl_Consulting[Job Number],0),MATCH(IFERROR(A82+0,A82),tbl_Consulting[Job Number],0)))="","",INDEX(tbl_Consulting[Job Description],IFERROR(MATCH(A82&amp;"",tbl_Consulting[Job Number],0),MATCH(IFERROR(A82+0,A82),tbl_Consulting[Job Number],0)))),""))))</f>
        <v/>
      </c>
      <c r="L82" s="26">
        <f>IF(A82="","",IFERROR(IF(INDEX(tbl_Onsite[Invoice Type],IFERROR(MATCH(A82&amp;"",tbl_Onsite[Job Number],0),MATCH(IFERROR(A82+0,A82),tbl_Onsite[Job Number],0)))="","",INDEX(tbl_Onsite[Invoice Type],IFERROR(MATCH(A82&amp;"",tbl_Onsite[Job Number],0),MATCH(IFERROR(A82+0,A82),tbl_Onsite[Job Number],0)))),IFERROR(IF(INDEX(tbl_Production[Invoice Type],IFERROR(MATCH(A82&amp;"",tbl_Production[Job Number],0),MATCH(IFERROR(A82+0,A82),tbl_Production[Job Number],0)))="","",INDEX(tbl_Production[Invoice Type],IFERROR(MATCH(A82&amp;"",tbl_Production[Job Number],0),MATCH(IFERROR(A82+0,A82),tbl_Production[Job Number],0)))),IFERROR(IF(INDEX(tbl_Consulting[Invoice Type],IFERROR(MATCH(A82&amp;"",tbl_Consulting[Job Number],0),MATCH(IFERROR(A82+0,A82),tbl_Consulting[Job Number],0)))="","",INDEX(tbl_Consulting[Invoice Type],IFERROR(MATCH(A82&amp;"",tbl_Consulting[Job Number],0),MATCH(IFERROR(A82+0,A82),tbl_Consulting[Job Number],0)))),""))))</f>
        <v/>
      </c>
      <c r="M82" s="26">
        <f>IF(A82="","",IF(IFERROR(IF(INDEX(tbl_Onsite[Tax Code],IFERROR(MATCH(A82&amp;"",tbl_Onsite[Job Number],0),MATCH(IFERROR(A82+0,A82),tbl_Onsite[Job Number],0)))="","",INDEX(tbl_Onsite[Tax Code],IFERROR(MATCH(A82&amp;"",tbl_Onsite[Job Number],0),MATCH(IFERROR(A82+0,A82),tbl_Onsite[Job Number],0)))),IFERROR(IF(INDEX(tbl_Production[Tax Code],IFERROR(MATCH(A82&amp;"",tbl_Production[Job Number],0),MATCH(IFERROR(A82+0,A82),tbl_Production[Job Number],0)))="","",INDEX(tbl_Production[Tax Code],IFERROR(MATCH(A82&amp;"",tbl_Production[Job Number],0),MATCH(IFERROR(A82+0,A82),tbl_Production[Job Number],0)))),IFERROR(IF(INDEX(tbl_Consulting[Tax Code],IFERROR(MATCH(A82&amp;"",tbl_Consulting[Job Number],0),MATCH(IFERROR(A82+0,A82),tbl_Consulting[Job Number],0)))="","",INDEX(tbl_Consulting[Tax Code],IFERROR(MATCH(A82&amp;"",tbl_Consulting[Job Number],0),MATCH(IFERROR(A82+0,A82),tbl_Consulting[Job Number],0)))),"")))="","GST 10%",IFERROR(IF(INDEX(tbl_Onsite[Tax Code],IFERROR(MATCH(A82&amp;"",tbl_Onsite[Job Number],0),MATCH(IFERROR(A82+0,A82),tbl_Onsite[Job Number],0)))="","",INDEX(tbl_Onsite[Tax Code],IFERROR(MATCH(A82&amp;"",tbl_Onsite[Job Number],0),MATCH(IFERROR(A82+0,A82),tbl_Onsite[Job Number],0)))),IFERROR(IF(INDEX(tbl_Production[Tax Code],IFERROR(MATCH(A82&amp;"",tbl_Production[Job Number],0),MATCH(IFERROR(A82+0,A82),tbl_Production[Job Number],0)))="","",INDEX(tbl_Production[Tax Code],IFERROR(MATCH(A82&amp;"",tbl_Production[Job Number],0),MATCH(IFERROR(A82+0,A82),tbl_Production[Job Number],0)))),IFERROR(IF(INDEX(tbl_Consulting[Tax Code],IFERROR(MATCH(A82&amp;"",tbl_Consulting[Job Number],0),MATCH(IFERROR(A82+0,A82),tbl_Consulting[Job Number],0)))="","",INDEX(tbl_Consulting[Tax Code],IFERROR(MATCH(A82&amp;"",tbl_Consulting[Job Number],0),MATCH(IFERROR(A82+0,A82),tbl_Consulting[Job Number],0)))),"")))))</f>
        <v/>
      </c>
      <c r="N82" s="26">
        <f>IF(D82="","",IFERROR(INDEX(lst_CCtoGL,MATCH(D82,lst_CCforGL,0)),""))</f>
        <v/>
      </c>
      <c r="O82" s="27">
        <f>IF(E82="","",IF(M82="GST 10%",ROUND(E82*set_GSTRate,2),0))</f>
        <v/>
      </c>
      <c r="P82" s="27">
        <f>IF(E82="","",E82+O82)</f>
        <v/>
      </c>
      <c r="Q82" s="27">
        <f>IF(A82="","",IFERROR(INDEX(tbl_Onsite[Expected Revenue Ex GST],IFERROR(MATCH(A82&amp;"",tbl_Onsite[Job Number],0),MATCH(IFERROR(A82+0,A82),tbl_Onsite[Job Number],0))),IFERROR(INDEX(tbl_Production[Expected Revenue Ex GST],IFERROR(MATCH(A82&amp;"",tbl_Production[Job Number],0),MATCH(IFERROR(A82+0,A82),tbl_Production[Job Number],0))),IFERROR(INDEX(tbl_Consulting[Expected Revenue Ex GST],IFERROR(MATCH(A82&amp;"",tbl_Consulting[Job Number],0),MATCH(IFERROR(A82+0,A82),tbl_Consulting[Job Number],0))),0))))</f>
        <v/>
      </c>
      <c r="R82" s="27">
        <f>IF(A82="","",SUMIFS(tbl_Finance[Ex GST],tbl_Finance[Job Number],A82&amp;""))</f>
        <v/>
      </c>
      <c r="S82" s="27">
        <f>IF(A82="","",Q82-R82)</f>
        <v/>
      </c>
      <c r="T82" s="26">
        <f>IF(A82="","",IF(Q82=0,"No dept value",IF(ROUND(S82,2)=0,"Agrees",IF(S82&gt;0,"Dept higher - to invoice","Xero higher - check dept"))))</f>
        <v/>
      </c>
      <c r="U82" s="22" t="n"/>
      <c r="V82" s="22" t="n"/>
      <c r="W82" s="23" t="n"/>
      <c r="X82" s="23" t="n"/>
      <c r="Y82" s="22" t="n"/>
      <c r="Z82" s="22" t="n"/>
      <c r="AA82" s="26">
        <f>IF(COUNTA(C82,A82,B82,E82)=0,"",IF(C82="","No date - sits outside every month",IF(A82="","No job number",IF(H82="CHECK","Job number is not in the Xero job list",IF(G82="not set up yet","No department has set this job up - nothing can pull through",IF(D82="","No cost centre",IF(AND(U82="Y",B82=""),"Marked posted to Xero but has no invoice number",IF(N82="","Cost centre has no revenue GL on the Lists sheet",IF(T82="Xero higher - check dept","Invoiced more than the department says the job is worth","")))))))))</f>
        <v/>
      </c>
      <c r="AB82" s="28">
        <f>IF(A82="","",COUNTIFS(tbl_Finance[Job Number],A82&amp;"",tbl_Finance[Ex GST],"&lt;&gt;"))</f>
        <v/>
      </c>
      <c r="AC82" s="27">
        <f>IF(A82="","",SUMIFS(tbl_Finance[Ex GST],tbl_Finance[Job Number],A82&amp;""))</f>
        <v/>
      </c>
      <c r="AD82" s="27">
        <f>IF(A82="","",SUMIFS(tbl_Finance[Ex GST],tbl_Finance[Job Number],A82&amp;"",tbl_Finance[Xero Invoice No],"&lt;&gt;"))</f>
        <v/>
      </c>
      <c r="AE82" s="27">
        <f>IF(A82="","",AC82-AD82)</f>
        <v/>
      </c>
      <c r="AF82" s="26">
        <f>IF(A82="","",IFERROR(IF(INDEX(tbl_Onsite[Qwilr Quote],IFERROR(MATCH(A82&amp;"",tbl_Onsite[Job Number],0),MATCH(IFERROR(A82+0,A82),tbl_Onsite[Job Number],0)))="","",INDEX(tbl_Onsite[Qwilr Quote],IFERROR(MATCH(A82&amp;"",tbl_Onsite[Job Number],0),MATCH(IFERROR(A82+0,A82),tbl_Onsite[Job Number],0)))),IFERROR(IF(IF(INDEX(tbl_Production[Current RMS No],IFERROR(MATCH(A82&amp;"",tbl_Production[Job Number],0),MATCH(IFERROR(A82+0,A82),tbl_Production[Job Number],0)))="",INDEX(tbl_Production[Qwilr Quote],IFERROR(MATCH(A82&amp;"",tbl_Production[Job Number],0),MATCH(IFERROR(A82+0,A82),tbl_Production[Job Number],0))),INDEX(tbl_Production[Current RMS No],IFERROR(MATCH(A82&amp;"",tbl_Production[Job Number],0),MATCH(IFERROR(A82+0,A82),tbl_Production[Job Number],0))))="","",IF(INDEX(tbl_Production[Current RMS No],IFERROR(MATCH(A82&amp;"",tbl_Production[Job Number],0),MATCH(IFERROR(A82+0,A82),tbl_Production[Job Number],0)))="",INDEX(tbl_Production[Qwilr Quote],IFERROR(MATCH(A82&amp;"",tbl_Production[Job Number],0),MATCH(IFERROR(A82+0,A82),tbl_Production[Job Number],0))),INDEX(tbl_Production[Current RMS No],IFERROR(MATCH(A82&amp;"",tbl_Production[Job Number],0),MATCH(IFERROR(A82+0,A82),tbl_Production[Job Number],0))))),IFERROR(IF(INDEX(tbl_Consulting[Qwilr Quote],IFERROR(MATCH(A82&amp;"",tbl_Consulting[Job Number],0),MATCH(IFERROR(A82+0,A82),tbl_Consulting[Job Number],0)))="","",INDEX(tbl_Consulting[Qwilr Quote],IFERROR(MATCH(A82&amp;"",tbl_Consulting[Job Number],0),MATCH(IFERROR(A82+0,A82),tbl_Consulting[Job Number],0)))),""))))</f>
        <v/>
      </c>
      <c r="AG82" s="26">
        <f>IF(AF82="","",IF(AND(LEFT(AF82,4)&lt;&gt;"http",IF(G82="Production",set_RMSBase,set_QwilrBase)=""),"",HYPERLINK(IF(LEFT(AF82,4)="http",AF82,IF(G82="Production",set_RMSBase,set_QwilrBase)&amp;AF82),"Open")))</f>
        <v/>
      </c>
      <c r="AH82" s="27">
        <f>IF(A82="","",IFERROR(INDEX(tbl_Production[Total Expense],IFERROR(MATCH(A82&amp;"",tbl_Production[Job Number],0),MATCH(IFERROR(A82+0,A82),tbl_Production[Job Number],0))),IFERROR(INDEX(tbl_Consulting[Total Expense],IFERROR(MATCH(A82&amp;"",tbl_Consulting[Job Number],0),MATCH(IFERROR(A82+0,A82),tbl_Consulting[Job Number],0))),0)))</f>
        <v/>
      </c>
      <c r="AI82" s="27">
        <f>IF(A82="","",AC82-N(AH82))</f>
        <v/>
      </c>
      <c r="AJ82" s="29">
        <f>IFERROR(AI82/AC82,"")</f>
        <v/>
      </c>
      <c r="AK82" s="26">
        <f>IF(A82="","",IFERROR(IF(INDEX(tbl_Onsite[Notes],IFERROR(MATCH(A82&amp;"",tbl_Onsite[Job Number],0),MATCH(IFERROR(A82+0,A82),tbl_Onsite[Job Number],0)))="","",INDEX(tbl_Onsite[Notes],IFERROR(MATCH(A82&amp;"",tbl_Onsite[Job Number],0),MATCH(IFERROR(A82+0,A82),tbl_Onsite[Job Number],0)))),IFERROR(IF(INDEX(tbl_Production[Notes],IFERROR(MATCH(A82&amp;"",tbl_Production[Job Number],0),MATCH(IFERROR(A82+0,A82),tbl_Production[Job Number],0)))="","",INDEX(tbl_Production[Notes],IFERROR(MATCH(A82&amp;"",tbl_Production[Job Number],0),MATCH(IFERROR(A82+0,A82),tbl_Production[Job Number],0)))),IFERROR(IF(INDEX(tbl_Consulting[Notes],IFERROR(MATCH(A82&amp;"",tbl_Consulting[Job Number],0),MATCH(IFERROR(A82+0,A82),tbl_Consulting[Job Number],0)))="","",INDEX(tbl_Consulting[Notes],IFERROR(MATCH(A82&amp;"",tbl_Consulting[Job Number],0),MATCH(IFERROR(A82+0,A82),tbl_Consulting[Job Number],0)))),""))))</f>
        <v/>
      </c>
    </row>
    <row r="83" ht="15" customHeight="1">
      <c r="A83" s="22" t="n"/>
      <c r="B83" s="22" t="n"/>
      <c r="C83" s="23" t="n"/>
      <c r="D83" s="22" t="n"/>
      <c r="E83" s="24" t="n"/>
      <c r="F83" s="25">
        <f>IF(C83="","",EOMONTH(C83,0))</f>
        <v/>
      </c>
      <c r="G83" s="26">
        <f>IF(A83="","",IF(COUNTIF(tbl_Onsite[Job Number],A83&amp;"")&gt;0,"Onsite",IF(COUNTIF(tbl_Production[Job Number],A83&amp;"")&gt;0,"Production",IF(COUNTIF(tbl_Consulting[Job Number],A83&amp;"")&gt;0,"Consulting","not set up yet"))))</f>
        <v/>
      </c>
      <c r="H83" s="26">
        <f>IF(A83="","",IF(COUNTIF(lst_Jobs,A83&amp;"")&gt;0,"OK","CHECK"))</f>
        <v/>
      </c>
      <c r="I83" s="26">
        <f>IF(A83="","",IFERROR(INDEX(lst_JobName,MATCH(A83&amp;"",lst_Jobs,0)),""))</f>
        <v/>
      </c>
      <c r="J83" s="26">
        <f>IF(A83="","",IFERROR(IF(INDEX(tbl_Onsite[Client],IFERROR(MATCH(A83&amp;"",tbl_Onsite[Job Number],0),MATCH(IFERROR(A83+0,A83),tbl_Onsite[Job Number],0)))="","",INDEX(tbl_Onsite[Client],IFERROR(MATCH(A83&amp;"",tbl_Onsite[Job Number],0),MATCH(IFERROR(A83+0,A83),tbl_Onsite[Job Number],0)))),IFERROR(IF(INDEX(tbl_Production[Client],IFERROR(MATCH(A83&amp;"",tbl_Production[Job Number],0),MATCH(IFERROR(A83+0,A83),tbl_Production[Job Number],0)))="","",INDEX(tbl_Production[Client],IFERROR(MATCH(A83&amp;"",tbl_Production[Job Number],0),MATCH(IFERROR(A83+0,A83),tbl_Production[Job Number],0)))),IFERROR(IF(INDEX(tbl_Consulting[Client],IFERROR(MATCH(A83&amp;"",tbl_Consulting[Job Number],0),MATCH(IFERROR(A83+0,A83),tbl_Consulting[Job Number],0)))="","",INDEX(tbl_Consulting[Client],IFERROR(MATCH(A83&amp;"",tbl_Consulting[Job Number],0),MATCH(IFERROR(A83+0,A83),tbl_Consulting[Job Number],0)))),""))))</f>
        <v/>
      </c>
      <c r="K83" s="26">
        <f>IF(A83="","",IFERROR(IF(INDEX(tbl_Onsite[Job Description],IFERROR(MATCH(A83&amp;"",tbl_Onsite[Job Number],0),MATCH(IFERROR(A83+0,A83),tbl_Onsite[Job Number],0)))="","",INDEX(tbl_Onsite[Job Description],IFERROR(MATCH(A83&amp;"",tbl_Onsite[Job Number],0),MATCH(IFERROR(A83+0,A83),tbl_Onsite[Job Number],0)))),IFERROR(IF(INDEX(tbl_Production[Job Description],IFERROR(MATCH(A83&amp;"",tbl_Production[Job Number],0),MATCH(IFERROR(A83+0,A83),tbl_Production[Job Number],0)))="","",INDEX(tbl_Production[Job Description],IFERROR(MATCH(A83&amp;"",tbl_Production[Job Number],0),MATCH(IFERROR(A83+0,A83),tbl_Production[Job Number],0)))),IFERROR(IF(INDEX(tbl_Consulting[Job Description],IFERROR(MATCH(A83&amp;"",tbl_Consulting[Job Number],0),MATCH(IFERROR(A83+0,A83),tbl_Consulting[Job Number],0)))="","",INDEX(tbl_Consulting[Job Description],IFERROR(MATCH(A83&amp;"",tbl_Consulting[Job Number],0),MATCH(IFERROR(A83+0,A83),tbl_Consulting[Job Number],0)))),""))))</f>
        <v/>
      </c>
      <c r="L83" s="26">
        <f>IF(A83="","",IFERROR(IF(INDEX(tbl_Onsite[Invoice Type],IFERROR(MATCH(A83&amp;"",tbl_Onsite[Job Number],0),MATCH(IFERROR(A83+0,A83),tbl_Onsite[Job Number],0)))="","",INDEX(tbl_Onsite[Invoice Type],IFERROR(MATCH(A83&amp;"",tbl_Onsite[Job Number],0),MATCH(IFERROR(A83+0,A83),tbl_Onsite[Job Number],0)))),IFERROR(IF(INDEX(tbl_Production[Invoice Type],IFERROR(MATCH(A83&amp;"",tbl_Production[Job Number],0),MATCH(IFERROR(A83+0,A83),tbl_Production[Job Number],0)))="","",INDEX(tbl_Production[Invoice Type],IFERROR(MATCH(A83&amp;"",tbl_Production[Job Number],0),MATCH(IFERROR(A83+0,A83),tbl_Production[Job Number],0)))),IFERROR(IF(INDEX(tbl_Consulting[Invoice Type],IFERROR(MATCH(A83&amp;"",tbl_Consulting[Job Number],0),MATCH(IFERROR(A83+0,A83),tbl_Consulting[Job Number],0)))="","",INDEX(tbl_Consulting[Invoice Type],IFERROR(MATCH(A83&amp;"",tbl_Consulting[Job Number],0),MATCH(IFERROR(A83+0,A83),tbl_Consulting[Job Number],0)))),""))))</f>
        <v/>
      </c>
      <c r="M83" s="26">
        <f>IF(A83="","",IF(IFERROR(IF(INDEX(tbl_Onsite[Tax Code],IFERROR(MATCH(A83&amp;"",tbl_Onsite[Job Number],0),MATCH(IFERROR(A83+0,A83),tbl_Onsite[Job Number],0)))="","",INDEX(tbl_Onsite[Tax Code],IFERROR(MATCH(A83&amp;"",tbl_Onsite[Job Number],0),MATCH(IFERROR(A83+0,A83),tbl_Onsite[Job Number],0)))),IFERROR(IF(INDEX(tbl_Production[Tax Code],IFERROR(MATCH(A83&amp;"",tbl_Production[Job Number],0),MATCH(IFERROR(A83+0,A83),tbl_Production[Job Number],0)))="","",INDEX(tbl_Production[Tax Code],IFERROR(MATCH(A83&amp;"",tbl_Production[Job Number],0),MATCH(IFERROR(A83+0,A83),tbl_Production[Job Number],0)))),IFERROR(IF(INDEX(tbl_Consulting[Tax Code],IFERROR(MATCH(A83&amp;"",tbl_Consulting[Job Number],0),MATCH(IFERROR(A83+0,A83),tbl_Consulting[Job Number],0)))="","",INDEX(tbl_Consulting[Tax Code],IFERROR(MATCH(A83&amp;"",tbl_Consulting[Job Number],0),MATCH(IFERROR(A83+0,A83),tbl_Consulting[Job Number],0)))),"")))="","GST 10%",IFERROR(IF(INDEX(tbl_Onsite[Tax Code],IFERROR(MATCH(A83&amp;"",tbl_Onsite[Job Number],0),MATCH(IFERROR(A83+0,A83),tbl_Onsite[Job Number],0)))="","",INDEX(tbl_Onsite[Tax Code],IFERROR(MATCH(A83&amp;"",tbl_Onsite[Job Number],0),MATCH(IFERROR(A83+0,A83),tbl_Onsite[Job Number],0)))),IFERROR(IF(INDEX(tbl_Production[Tax Code],IFERROR(MATCH(A83&amp;"",tbl_Production[Job Number],0),MATCH(IFERROR(A83+0,A83),tbl_Production[Job Number],0)))="","",INDEX(tbl_Production[Tax Code],IFERROR(MATCH(A83&amp;"",tbl_Production[Job Number],0),MATCH(IFERROR(A83+0,A83),tbl_Production[Job Number],0)))),IFERROR(IF(INDEX(tbl_Consulting[Tax Code],IFERROR(MATCH(A83&amp;"",tbl_Consulting[Job Number],0),MATCH(IFERROR(A83+0,A83),tbl_Consulting[Job Number],0)))="","",INDEX(tbl_Consulting[Tax Code],IFERROR(MATCH(A83&amp;"",tbl_Consulting[Job Number],0),MATCH(IFERROR(A83+0,A83),tbl_Consulting[Job Number],0)))),"")))))</f>
        <v/>
      </c>
      <c r="N83" s="26">
        <f>IF(D83="","",IFERROR(INDEX(lst_CCtoGL,MATCH(D83,lst_CCforGL,0)),""))</f>
        <v/>
      </c>
      <c r="O83" s="27">
        <f>IF(E83="","",IF(M83="GST 10%",ROUND(E83*set_GSTRate,2),0))</f>
        <v/>
      </c>
      <c r="P83" s="27">
        <f>IF(E83="","",E83+O83)</f>
        <v/>
      </c>
      <c r="Q83" s="27">
        <f>IF(A83="","",IFERROR(INDEX(tbl_Onsite[Expected Revenue Ex GST],IFERROR(MATCH(A83&amp;"",tbl_Onsite[Job Number],0),MATCH(IFERROR(A83+0,A83),tbl_Onsite[Job Number],0))),IFERROR(INDEX(tbl_Production[Expected Revenue Ex GST],IFERROR(MATCH(A83&amp;"",tbl_Production[Job Number],0),MATCH(IFERROR(A83+0,A83),tbl_Production[Job Number],0))),IFERROR(INDEX(tbl_Consulting[Expected Revenue Ex GST],IFERROR(MATCH(A83&amp;"",tbl_Consulting[Job Number],0),MATCH(IFERROR(A83+0,A83),tbl_Consulting[Job Number],0))),0))))</f>
        <v/>
      </c>
      <c r="R83" s="27">
        <f>IF(A83="","",SUMIFS(tbl_Finance[Ex GST],tbl_Finance[Job Number],A83&amp;""))</f>
        <v/>
      </c>
      <c r="S83" s="27">
        <f>IF(A83="","",Q83-R83)</f>
        <v/>
      </c>
      <c r="T83" s="26">
        <f>IF(A83="","",IF(Q83=0,"No dept value",IF(ROUND(S83,2)=0,"Agrees",IF(S83&gt;0,"Dept higher - to invoice","Xero higher - check dept"))))</f>
        <v/>
      </c>
      <c r="U83" s="22" t="n"/>
      <c r="V83" s="22" t="n"/>
      <c r="W83" s="23" t="n"/>
      <c r="X83" s="23" t="n"/>
      <c r="Y83" s="22" t="n"/>
      <c r="Z83" s="22" t="n"/>
      <c r="AA83" s="26">
        <f>IF(COUNTA(C83,A83,B83,E83)=0,"",IF(C83="","No date - sits outside every month",IF(A83="","No job number",IF(H83="CHECK","Job number is not in the Xero job list",IF(G83="not set up yet","No department has set this job up - nothing can pull through",IF(D83="","No cost centre",IF(AND(U83="Y",B83=""),"Marked posted to Xero but has no invoice number",IF(N83="","Cost centre has no revenue GL on the Lists sheet",IF(T83="Xero higher - check dept","Invoiced more than the department says the job is worth","")))))))))</f>
        <v/>
      </c>
      <c r="AB83" s="28">
        <f>IF(A83="","",COUNTIFS(tbl_Finance[Job Number],A83&amp;"",tbl_Finance[Ex GST],"&lt;&gt;"))</f>
        <v/>
      </c>
      <c r="AC83" s="27">
        <f>IF(A83="","",SUMIFS(tbl_Finance[Ex GST],tbl_Finance[Job Number],A83&amp;""))</f>
        <v/>
      </c>
      <c r="AD83" s="27">
        <f>IF(A83="","",SUMIFS(tbl_Finance[Ex GST],tbl_Finance[Job Number],A83&amp;"",tbl_Finance[Xero Invoice No],"&lt;&gt;"))</f>
        <v/>
      </c>
      <c r="AE83" s="27">
        <f>IF(A83="","",AC83-AD83)</f>
        <v/>
      </c>
      <c r="AF83" s="26">
        <f>IF(A83="","",IFERROR(IF(INDEX(tbl_Onsite[Qwilr Quote],IFERROR(MATCH(A83&amp;"",tbl_Onsite[Job Number],0),MATCH(IFERROR(A83+0,A83),tbl_Onsite[Job Number],0)))="","",INDEX(tbl_Onsite[Qwilr Quote],IFERROR(MATCH(A83&amp;"",tbl_Onsite[Job Number],0),MATCH(IFERROR(A83+0,A83),tbl_Onsite[Job Number],0)))),IFERROR(IF(IF(INDEX(tbl_Production[Current RMS No],IFERROR(MATCH(A83&amp;"",tbl_Production[Job Number],0),MATCH(IFERROR(A83+0,A83),tbl_Production[Job Number],0)))="",INDEX(tbl_Production[Qwilr Quote],IFERROR(MATCH(A83&amp;"",tbl_Production[Job Number],0),MATCH(IFERROR(A83+0,A83),tbl_Production[Job Number],0))),INDEX(tbl_Production[Current RMS No],IFERROR(MATCH(A83&amp;"",tbl_Production[Job Number],0),MATCH(IFERROR(A83+0,A83),tbl_Production[Job Number],0))))="","",IF(INDEX(tbl_Production[Current RMS No],IFERROR(MATCH(A83&amp;"",tbl_Production[Job Number],0),MATCH(IFERROR(A83+0,A83),tbl_Production[Job Number],0)))="",INDEX(tbl_Production[Qwilr Quote],IFERROR(MATCH(A83&amp;"",tbl_Production[Job Number],0),MATCH(IFERROR(A83+0,A83),tbl_Production[Job Number],0))),INDEX(tbl_Production[Current RMS No],IFERROR(MATCH(A83&amp;"",tbl_Production[Job Number],0),MATCH(IFERROR(A83+0,A83),tbl_Production[Job Number],0))))),IFERROR(IF(INDEX(tbl_Consulting[Qwilr Quote],IFERROR(MATCH(A83&amp;"",tbl_Consulting[Job Number],0),MATCH(IFERROR(A83+0,A83),tbl_Consulting[Job Number],0)))="","",INDEX(tbl_Consulting[Qwilr Quote],IFERROR(MATCH(A83&amp;"",tbl_Consulting[Job Number],0),MATCH(IFERROR(A83+0,A83),tbl_Consulting[Job Number],0)))),""))))</f>
        <v/>
      </c>
      <c r="AG83" s="26">
        <f>IF(AF83="","",IF(AND(LEFT(AF83,4)&lt;&gt;"http",IF(G83="Production",set_RMSBase,set_QwilrBase)=""),"",HYPERLINK(IF(LEFT(AF83,4)="http",AF83,IF(G83="Production",set_RMSBase,set_QwilrBase)&amp;AF83),"Open")))</f>
        <v/>
      </c>
      <c r="AH83" s="27">
        <f>IF(A83="","",IFERROR(INDEX(tbl_Production[Total Expense],IFERROR(MATCH(A83&amp;"",tbl_Production[Job Number],0),MATCH(IFERROR(A83+0,A83),tbl_Production[Job Number],0))),IFERROR(INDEX(tbl_Consulting[Total Expense],IFERROR(MATCH(A83&amp;"",tbl_Consulting[Job Number],0),MATCH(IFERROR(A83+0,A83),tbl_Consulting[Job Number],0))),0)))</f>
        <v/>
      </c>
      <c r="AI83" s="27">
        <f>IF(A83="","",AC83-N(AH83))</f>
        <v/>
      </c>
      <c r="AJ83" s="29">
        <f>IFERROR(AI83/AC83,"")</f>
        <v/>
      </c>
      <c r="AK83" s="26">
        <f>IF(A83="","",IFERROR(IF(INDEX(tbl_Onsite[Notes],IFERROR(MATCH(A83&amp;"",tbl_Onsite[Job Number],0),MATCH(IFERROR(A83+0,A83),tbl_Onsite[Job Number],0)))="","",INDEX(tbl_Onsite[Notes],IFERROR(MATCH(A83&amp;"",tbl_Onsite[Job Number],0),MATCH(IFERROR(A83+0,A83),tbl_Onsite[Job Number],0)))),IFERROR(IF(INDEX(tbl_Production[Notes],IFERROR(MATCH(A83&amp;"",tbl_Production[Job Number],0),MATCH(IFERROR(A83+0,A83),tbl_Production[Job Number],0)))="","",INDEX(tbl_Production[Notes],IFERROR(MATCH(A83&amp;"",tbl_Production[Job Number],0),MATCH(IFERROR(A83+0,A83),tbl_Production[Job Number],0)))),IFERROR(IF(INDEX(tbl_Consulting[Notes],IFERROR(MATCH(A83&amp;"",tbl_Consulting[Job Number],0),MATCH(IFERROR(A83+0,A83),tbl_Consulting[Job Number],0)))="","",INDEX(tbl_Consulting[Notes],IFERROR(MATCH(A83&amp;"",tbl_Consulting[Job Number],0),MATCH(IFERROR(A83+0,A83),tbl_Consulting[Job Number],0)))),""))))</f>
        <v/>
      </c>
    </row>
    <row r="84" ht="15" customHeight="1">
      <c r="A84" s="22" t="n"/>
      <c r="B84" s="22" t="n"/>
      <c r="C84" s="23" t="n"/>
      <c r="D84" s="22" t="n"/>
      <c r="E84" s="24" t="n"/>
      <c r="F84" s="25">
        <f>IF(C84="","",EOMONTH(C84,0))</f>
        <v/>
      </c>
      <c r="G84" s="26">
        <f>IF(A84="","",IF(COUNTIF(tbl_Onsite[Job Number],A84&amp;"")&gt;0,"Onsite",IF(COUNTIF(tbl_Production[Job Number],A84&amp;"")&gt;0,"Production",IF(COUNTIF(tbl_Consulting[Job Number],A84&amp;"")&gt;0,"Consulting","not set up yet"))))</f>
        <v/>
      </c>
      <c r="H84" s="26">
        <f>IF(A84="","",IF(COUNTIF(lst_Jobs,A84&amp;"")&gt;0,"OK","CHECK"))</f>
        <v/>
      </c>
      <c r="I84" s="26">
        <f>IF(A84="","",IFERROR(INDEX(lst_JobName,MATCH(A84&amp;"",lst_Jobs,0)),""))</f>
        <v/>
      </c>
      <c r="J84" s="26">
        <f>IF(A84="","",IFERROR(IF(INDEX(tbl_Onsite[Client],IFERROR(MATCH(A84&amp;"",tbl_Onsite[Job Number],0),MATCH(IFERROR(A84+0,A84),tbl_Onsite[Job Number],0)))="","",INDEX(tbl_Onsite[Client],IFERROR(MATCH(A84&amp;"",tbl_Onsite[Job Number],0),MATCH(IFERROR(A84+0,A84),tbl_Onsite[Job Number],0)))),IFERROR(IF(INDEX(tbl_Production[Client],IFERROR(MATCH(A84&amp;"",tbl_Production[Job Number],0),MATCH(IFERROR(A84+0,A84),tbl_Production[Job Number],0)))="","",INDEX(tbl_Production[Client],IFERROR(MATCH(A84&amp;"",tbl_Production[Job Number],0),MATCH(IFERROR(A84+0,A84),tbl_Production[Job Number],0)))),IFERROR(IF(INDEX(tbl_Consulting[Client],IFERROR(MATCH(A84&amp;"",tbl_Consulting[Job Number],0),MATCH(IFERROR(A84+0,A84),tbl_Consulting[Job Number],0)))="","",INDEX(tbl_Consulting[Client],IFERROR(MATCH(A84&amp;"",tbl_Consulting[Job Number],0),MATCH(IFERROR(A84+0,A84),tbl_Consulting[Job Number],0)))),""))))</f>
        <v/>
      </c>
      <c r="K84" s="26">
        <f>IF(A84="","",IFERROR(IF(INDEX(tbl_Onsite[Job Description],IFERROR(MATCH(A84&amp;"",tbl_Onsite[Job Number],0),MATCH(IFERROR(A84+0,A84),tbl_Onsite[Job Number],0)))="","",INDEX(tbl_Onsite[Job Description],IFERROR(MATCH(A84&amp;"",tbl_Onsite[Job Number],0),MATCH(IFERROR(A84+0,A84),tbl_Onsite[Job Number],0)))),IFERROR(IF(INDEX(tbl_Production[Job Description],IFERROR(MATCH(A84&amp;"",tbl_Production[Job Number],0),MATCH(IFERROR(A84+0,A84),tbl_Production[Job Number],0)))="","",INDEX(tbl_Production[Job Description],IFERROR(MATCH(A84&amp;"",tbl_Production[Job Number],0),MATCH(IFERROR(A84+0,A84),tbl_Production[Job Number],0)))),IFERROR(IF(INDEX(tbl_Consulting[Job Description],IFERROR(MATCH(A84&amp;"",tbl_Consulting[Job Number],0),MATCH(IFERROR(A84+0,A84),tbl_Consulting[Job Number],0)))="","",INDEX(tbl_Consulting[Job Description],IFERROR(MATCH(A84&amp;"",tbl_Consulting[Job Number],0),MATCH(IFERROR(A84+0,A84),tbl_Consulting[Job Number],0)))),""))))</f>
        <v/>
      </c>
      <c r="L84" s="26">
        <f>IF(A84="","",IFERROR(IF(INDEX(tbl_Onsite[Invoice Type],IFERROR(MATCH(A84&amp;"",tbl_Onsite[Job Number],0),MATCH(IFERROR(A84+0,A84),tbl_Onsite[Job Number],0)))="","",INDEX(tbl_Onsite[Invoice Type],IFERROR(MATCH(A84&amp;"",tbl_Onsite[Job Number],0),MATCH(IFERROR(A84+0,A84),tbl_Onsite[Job Number],0)))),IFERROR(IF(INDEX(tbl_Production[Invoice Type],IFERROR(MATCH(A84&amp;"",tbl_Production[Job Number],0),MATCH(IFERROR(A84+0,A84),tbl_Production[Job Number],0)))="","",INDEX(tbl_Production[Invoice Type],IFERROR(MATCH(A84&amp;"",tbl_Production[Job Number],0),MATCH(IFERROR(A84+0,A84),tbl_Production[Job Number],0)))),IFERROR(IF(INDEX(tbl_Consulting[Invoice Type],IFERROR(MATCH(A84&amp;"",tbl_Consulting[Job Number],0),MATCH(IFERROR(A84+0,A84),tbl_Consulting[Job Number],0)))="","",INDEX(tbl_Consulting[Invoice Type],IFERROR(MATCH(A84&amp;"",tbl_Consulting[Job Number],0),MATCH(IFERROR(A84+0,A84),tbl_Consulting[Job Number],0)))),""))))</f>
        <v/>
      </c>
      <c r="M84" s="26">
        <f>IF(A84="","",IF(IFERROR(IF(INDEX(tbl_Onsite[Tax Code],IFERROR(MATCH(A84&amp;"",tbl_Onsite[Job Number],0),MATCH(IFERROR(A84+0,A84),tbl_Onsite[Job Number],0)))="","",INDEX(tbl_Onsite[Tax Code],IFERROR(MATCH(A84&amp;"",tbl_Onsite[Job Number],0),MATCH(IFERROR(A84+0,A84),tbl_Onsite[Job Number],0)))),IFERROR(IF(INDEX(tbl_Production[Tax Code],IFERROR(MATCH(A84&amp;"",tbl_Production[Job Number],0),MATCH(IFERROR(A84+0,A84),tbl_Production[Job Number],0)))="","",INDEX(tbl_Production[Tax Code],IFERROR(MATCH(A84&amp;"",tbl_Production[Job Number],0),MATCH(IFERROR(A84+0,A84),tbl_Production[Job Number],0)))),IFERROR(IF(INDEX(tbl_Consulting[Tax Code],IFERROR(MATCH(A84&amp;"",tbl_Consulting[Job Number],0),MATCH(IFERROR(A84+0,A84),tbl_Consulting[Job Number],0)))="","",INDEX(tbl_Consulting[Tax Code],IFERROR(MATCH(A84&amp;"",tbl_Consulting[Job Number],0),MATCH(IFERROR(A84+0,A84),tbl_Consulting[Job Number],0)))),"")))="","GST 10%",IFERROR(IF(INDEX(tbl_Onsite[Tax Code],IFERROR(MATCH(A84&amp;"",tbl_Onsite[Job Number],0),MATCH(IFERROR(A84+0,A84),tbl_Onsite[Job Number],0)))="","",INDEX(tbl_Onsite[Tax Code],IFERROR(MATCH(A84&amp;"",tbl_Onsite[Job Number],0),MATCH(IFERROR(A84+0,A84),tbl_Onsite[Job Number],0)))),IFERROR(IF(INDEX(tbl_Production[Tax Code],IFERROR(MATCH(A84&amp;"",tbl_Production[Job Number],0),MATCH(IFERROR(A84+0,A84),tbl_Production[Job Number],0)))="","",INDEX(tbl_Production[Tax Code],IFERROR(MATCH(A84&amp;"",tbl_Production[Job Number],0),MATCH(IFERROR(A84+0,A84),tbl_Production[Job Number],0)))),IFERROR(IF(INDEX(tbl_Consulting[Tax Code],IFERROR(MATCH(A84&amp;"",tbl_Consulting[Job Number],0),MATCH(IFERROR(A84+0,A84),tbl_Consulting[Job Number],0)))="","",INDEX(tbl_Consulting[Tax Code],IFERROR(MATCH(A84&amp;"",tbl_Consulting[Job Number],0),MATCH(IFERROR(A84+0,A84),tbl_Consulting[Job Number],0)))),"")))))</f>
        <v/>
      </c>
      <c r="N84" s="26">
        <f>IF(D84="","",IFERROR(INDEX(lst_CCtoGL,MATCH(D84,lst_CCforGL,0)),""))</f>
        <v/>
      </c>
      <c r="O84" s="27">
        <f>IF(E84="","",IF(M84="GST 10%",ROUND(E84*set_GSTRate,2),0))</f>
        <v/>
      </c>
      <c r="P84" s="27">
        <f>IF(E84="","",E84+O84)</f>
        <v/>
      </c>
      <c r="Q84" s="27">
        <f>IF(A84="","",IFERROR(INDEX(tbl_Onsite[Expected Revenue Ex GST],IFERROR(MATCH(A84&amp;"",tbl_Onsite[Job Number],0),MATCH(IFERROR(A84+0,A84),tbl_Onsite[Job Number],0))),IFERROR(INDEX(tbl_Production[Expected Revenue Ex GST],IFERROR(MATCH(A84&amp;"",tbl_Production[Job Number],0),MATCH(IFERROR(A84+0,A84),tbl_Production[Job Number],0))),IFERROR(INDEX(tbl_Consulting[Expected Revenue Ex GST],IFERROR(MATCH(A84&amp;"",tbl_Consulting[Job Number],0),MATCH(IFERROR(A84+0,A84),tbl_Consulting[Job Number],0))),0))))</f>
        <v/>
      </c>
      <c r="R84" s="27">
        <f>IF(A84="","",SUMIFS(tbl_Finance[Ex GST],tbl_Finance[Job Number],A84&amp;""))</f>
        <v/>
      </c>
      <c r="S84" s="27">
        <f>IF(A84="","",Q84-R84)</f>
        <v/>
      </c>
      <c r="T84" s="26">
        <f>IF(A84="","",IF(Q84=0,"No dept value",IF(ROUND(S84,2)=0,"Agrees",IF(S84&gt;0,"Dept higher - to invoice","Xero higher - check dept"))))</f>
        <v/>
      </c>
      <c r="U84" s="22" t="n"/>
      <c r="V84" s="22" t="n"/>
      <c r="W84" s="23" t="n"/>
      <c r="X84" s="23" t="n"/>
      <c r="Y84" s="22" t="n"/>
      <c r="Z84" s="22" t="n"/>
      <c r="AA84" s="26">
        <f>IF(COUNTA(C84,A84,B84,E84)=0,"",IF(C84="","No date - sits outside every month",IF(A84="","No job number",IF(H84="CHECK","Job number is not in the Xero job list",IF(G84="not set up yet","No department has set this job up - nothing can pull through",IF(D84="","No cost centre",IF(AND(U84="Y",B84=""),"Marked posted to Xero but has no invoice number",IF(N84="","Cost centre has no revenue GL on the Lists sheet",IF(T84="Xero higher - check dept","Invoiced more than the department says the job is worth","")))))))))</f>
        <v/>
      </c>
      <c r="AB84" s="28">
        <f>IF(A84="","",COUNTIFS(tbl_Finance[Job Number],A84&amp;"",tbl_Finance[Ex GST],"&lt;&gt;"))</f>
        <v/>
      </c>
      <c r="AC84" s="27">
        <f>IF(A84="","",SUMIFS(tbl_Finance[Ex GST],tbl_Finance[Job Number],A84&amp;""))</f>
        <v/>
      </c>
      <c r="AD84" s="27">
        <f>IF(A84="","",SUMIFS(tbl_Finance[Ex GST],tbl_Finance[Job Number],A84&amp;"",tbl_Finance[Xero Invoice No],"&lt;&gt;"))</f>
        <v/>
      </c>
      <c r="AE84" s="27">
        <f>IF(A84="","",AC84-AD84)</f>
        <v/>
      </c>
      <c r="AF84" s="26">
        <f>IF(A84="","",IFERROR(IF(INDEX(tbl_Onsite[Qwilr Quote],IFERROR(MATCH(A84&amp;"",tbl_Onsite[Job Number],0),MATCH(IFERROR(A84+0,A84),tbl_Onsite[Job Number],0)))="","",INDEX(tbl_Onsite[Qwilr Quote],IFERROR(MATCH(A84&amp;"",tbl_Onsite[Job Number],0),MATCH(IFERROR(A84+0,A84),tbl_Onsite[Job Number],0)))),IFERROR(IF(IF(INDEX(tbl_Production[Current RMS No],IFERROR(MATCH(A84&amp;"",tbl_Production[Job Number],0),MATCH(IFERROR(A84+0,A84),tbl_Production[Job Number],0)))="",INDEX(tbl_Production[Qwilr Quote],IFERROR(MATCH(A84&amp;"",tbl_Production[Job Number],0),MATCH(IFERROR(A84+0,A84),tbl_Production[Job Number],0))),INDEX(tbl_Production[Current RMS No],IFERROR(MATCH(A84&amp;"",tbl_Production[Job Number],0),MATCH(IFERROR(A84+0,A84),tbl_Production[Job Number],0))))="","",IF(INDEX(tbl_Production[Current RMS No],IFERROR(MATCH(A84&amp;"",tbl_Production[Job Number],0),MATCH(IFERROR(A84+0,A84),tbl_Production[Job Number],0)))="",INDEX(tbl_Production[Qwilr Quote],IFERROR(MATCH(A84&amp;"",tbl_Production[Job Number],0),MATCH(IFERROR(A84+0,A84),tbl_Production[Job Number],0))),INDEX(tbl_Production[Current RMS No],IFERROR(MATCH(A84&amp;"",tbl_Production[Job Number],0),MATCH(IFERROR(A84+0,A84),tbl_Production[Job Number],0))))),IFERROR(IF(INDEX(tbl_Consulting[Qwilr Quote],IFERROR(MATCH(A84&amp;"",tbl_Consulting[Job Number],0),MATCH(IFERROR(A84+0,A84),tbl_Consulting[Job Number],0)))="","",INDEX(tbl_Consulting[Qwilr Quote],IFERROR(MATCH(A84&amp;"",tbl_Consulting[Job Number],0),MATCH(IFERROR(A84+0,A84),tbl_Consulting[Job Number],0)))),""))))</f>
        <v/>
      </c>
      <c r="AG84" s="26">
        <f>IF(AF84="","",IF(AND(LEFT(AF84,4)&lt;&gt;"http",IF(G84="Production",set_RMSBase,set_QwilrBase)=""),"",HYPERLINK(IF(LEFT(AF84,4)="http",AF84,IF(G84="Production",set_RMSBase,set_QwilrBase)&amp;AF84),"Open")))</f>
        <v/>
      </c>
      <c r="AH84" s="27">
        <f>IF(A84="","",IFERROR(INDEX(tbl_Production[Total Expense],IFERROR(MATCH(A84&amp;"",tbl_Production[Job Number],0),MATCH(IFERROR(A84+0,A84),tbl_Production[Job Number],0))),IFERROR(INDEX(tbl_Consulting[Total Expense],IFERROR(MATCH(A84&amp;"",tbl_Consulting[Job Number],0),MATCH(IFERROR(A84+0,A84),tbl_Consulting[Job Number],0))),0)))</f>
        <v/>
      </c>
      <c r="AI84" s="27">
        <f>IF(A84="","",AC84-N(AH84))</f>
        <v/>
      </c>
      <c r="AJ84" s="29">
        <f>IFERROR(AI84/AC84,"")</f>
        <v/>
      </c>
      <c r="AK84" s="26">
        <f>IF(A84="","",IFERROR(IF(INDEX(tbl_Onsite[Notes],IFERROR(MATCH(A84&amp;"",tbl_Onsite[Job Number],0),MATCH(IFERROR(A84+0,A84),tbl_Onsite[Job Number],0)))="","",INDEX(tbl_Onsite[Notes],IFERROR(MATCH(A84&amp;"",tbl_Onsite[Job Number],0),MATCH(IFERROR(A84+0,A84),tbl_Onsite[Job Number],0)))),IFERROR(IF(INDEX(tbl_Production[Notes],IFERROR(MATCH(A84&amp;"",tbl_Production[Job Number],0),MATCH(IFERROR(A84+0,A84),tbl_Production[Job Number],0)))="","",INDEX(tbl_Production[Notes],IFERROR(MATCH(A84&amp;"",tbl_Production[Job Number],0),MATCH(IFERROR(A84+0,A84),tbl_Production[Job Number],0)))),IFERROR(IF(INDEX(tbl_Consulting[Notes],IFERROR(MATCH(A84&amp;"",tbl_Consulting[Job Number],0),MATCH(IFERROR(A84+0,A84),tbl_Consulting[Job Number],0)))="","",INDEX(tbl_Consulting[Notes],IFERROR(MATCH(A84&amp;"",tbl_Consulting[Job Number],0),MATCH(IFERROR(A84+0,A84),tbl_Consulting[Job Number],0)))),""))))</f>
        <v/>
      </c>
    </row>
    <row r="85" ht="15" customHeight="1">
      <c r="A85" s="22" t="n"/>
      <c r="B85" s="22" t="n"/>
      <c r="C85" s="23" t="n"/>
      <c r="D85" s="22" t="n"/>
      <c r="E85" s="24" t="n"/>
      <c r="F85" s="25">
        <f>IF(C85="","",EOMONTH(C85,0))</f>
        <v/>
      </c>
      <c r="G85" s="26">
        <f>IF(A85="","",IF(COUNTIF(tbl_Onsite[Job Number],A85&amp;"")&gt;0,"Onsite",IF(COUNTIF(tbl_Production[Job Number],A85&amp;"")&gt;0,"Production",IF(COUNTIF(tbl_Consulting[Job Number],A85&amp;"")&gt;0,"Consulting","not set up yet"))))</f>
        <v/>
      </c>
      <c r="H85" s="26">
        <f>IF(A85="","",IF(COUNTIF(lst_Jobs,A85&amp;"")&gt;0,"OK","CHECK"))</f>
        <v/>
      </c>
      <c r="I85" s="26">
        <f>IF(A85="","",IFERROR(INDEX(lst_JobName,MATCH(A85&amp;"",lst_Jobs,0)),""))</f>
        <v/>
      </c>
      <c r="J85" s="26">
        <f>IF(A85="","",IFERROR(IF(INDEX(tbl_Onsite[Client],IFERROR(MATCH(A85&amp;"",tbl_Onsite[Job Number],0),MATCH(IFERROR(A85+0,A85),tbl_Onsite[Job Number],0)))="","",INDEX(tbl_Onsite[Client],IFERROR(MATCH(A85&amp;"",tbl_Onsite[Job Number],0),MATCH(IFERROR(A85+0,A85),tbl_Onsite[Job Number],0)))),IFERROR(IF(INDEX(tbl_Production[Client],IFERROR(MATCH(A85&amp;"",tbl_Production[Job Number],0),MATCH(IFERROR(A85+0,A85),tbl_Production[Job Number],0)))="","",INDEX(tbl_Production[Client],IFERROR(MATCH(A85&amp;"",tbl_Production[Job Number],0),MATCH(IFERROR(A85+0,A85),tbl_Production[Job Number],0)))),IFERROR(IF(INDEX(tbl_Consulting[Client],IFERROR(MATCH(A85&amp;"",tbl_Consulting[Job Number],0),MATCH(IFERROR(A85+0,A85),tbl_Consulting[Job Number],0)))="","",INDEX(tbl_Consulting[Client],IFERROR(MATCH(A85&amp;"",tbl_Consulting[Job Number],0),MATCH(IFERROR(A85+0,A85),tbl_Consulting[Job Number],0)))),""))))</f>
        <v/>
      </c>
      <c r="K85" s="26">
        <f>IF(A85="","",IFERROR(IF(INDEX(tbl_Onsite[Job Description],IFERROR(MATCH(A85&amp;"",tbl_Onsite[Job Number],0),MATCH(IFERROR(A85+0,A85),tbl_Onsite[Job Number],0)))="","",INDEX(tbl_Onsite[Job Description],IFERROR(MATCH(A85&amp;"",tbl_Onsite[Job Number],0),MATCH(IFERROR(A85+0,A85),tbl_Onsite[Job Number],0)))),IFERROR(IF(INDEX(tbl_Production[Job Description],IFERROR(MATCH(A85&amp;"",tbl_Production[Job Number],0),MATCH(IFERROR(A85+0,A85),tbl_Production[Job Number],0)))="","",INDEX(tbl_Production[Job Description],IFERROR(MATCH(A85&amp;"",tbl_Production[Job Number],0),MATCH(IFERROR(A85+0,A85),tbl_Production[Job Number],0)))),IFERROR(IF(INDEX(tbl_Consulting[Job Description],IFERROR(MATCH(A85&amp;"",tbl_Consulting[Job Number],0),MATCH(IFERROR(A85+0,A85),tbl_Consulting[Job Number],0)))="","",INDEX(tbl_Consulting[Job Description],IFERROR(MATCH(A85&amp;"",tbl_Consulting[Job Number],0),MATCH(IFERROR(A85+0,A85),tbl_Consulting[Job Number],0)))),""))))</f>
        <v/>
      </c>
      <c r="L85" s="26">
        <f>IF(A85="","",IFERROR(IF(INDEX(tbl_Onsite[Invoice Type],IFERROR(MATCH(A85&amp;"",tbl_Onsite[Job Number],0),MATCH(IFERROR(A85+0,A85),tbl_Onsite[Job Number],0)))="","",INDEX(tbl_Onsite[Invoice Type],IFERROR(MATCH(A85&amp;"",tbl_Onsite[Job Number],0),MATCH(IFERROR(A85+0,A85),tbl_Onsite[Job Number],0)))),IFERROR(IF(INDEX(tbl_Production[Invoice Type],IFERROR(MATCH(A85&amp;"",tbl_Production[Job Number],0),MATCH(IFERROR(A85+0,A85),tbl_Production[Job Number],0)))="","",INDEX(tbl_Production[Invoice Type],IFERROR(MATCH(A85&amp;"",tbl_Production[Job Number],0),MATCH(IFERROR(A85+0,A85),tbl_Production[Job Number],0)))),IFERROR(IF(INDEX(tbl_Consulting[Invoice Type],IFERROR(MATCH(A85&amp;"",tbl_Consulting[Job Number],0),MATCH(IFERROR(A85+0,A85),tbl_Consulting[Job Number],0)))="","",INDEX(tbl_Consulting[Invoice Type],IFERROR(MATCH(A85&amp;"",tbl_Consulting[Job Number],0),MATCH(IFERROR(A85+0,A85),tbl_Consulting[Job Number],0)))),""))))</f>
        <v/>
      </c>
      <c r="M85" s="26">
        <f>IF(A85="","",IF(IFERROR(IF(INDEX(tbl_Onsite[Tax Code],IFERROR(MATCH(A85&amp;"",tbl_Onsite[Job Number],0),MATCH(IFERROR(A85+0,A85),tbl_Onsite[Job Number],0)))="","",INDEX(tbl_Onsite[Tax Code],IFERROR(MATCH(A85&amp;"",tbl_Onsite[Job Number],0),MATCH(IFERROR(A85+0,A85),tbl_Onsite[Job Number],0)))),IFERROR(IF(INDEX(tbl_Production[Tax Code],IFERROR(MATCH(A85&amp;"",tbl_Production[Job Number],0),MATCH(IFERROR(A85+0,A85),tbl_Production[Job Number],0)))="","",INDEX(tbl_Production[Tax Code],IFERROR(MATCH(A85&amp;"",tbl_Production[Job Number],0),MATCH(IFERROR(A85+0,A85),tbl_Production[Job Number],0)))),IFERROR(IF(INDEX(tbl_Consulting[Tax Code],IFERROR(MATCH(A85&amp;"",tbl_Consulting[Job Number],0),MATCH(IFERROR(A85+0,A85),tbl_Consulting[Job Number],0)))="","",INDEX(tbl_Consulting[Tax Code],IFERROR(MATCH(A85&amp;"",tbl_Consulting[Job Number],0),MATCH(IFERROR(A85+0,A85),tbl_Consulting[Job Number],0)))),"")))="","GST 10%",IFERROR(IF(INDEX(tbl_Onsite[Tax Code],IFERROR(MATCH(A85&amp;"",tbl_Onsite[Job Number],0),MATCH(IFERROR(A85+0,A85),tbl_Onsite[Job Number],0)))="","",INDEX(tbl_Onsite[Tax Code],IFERROR(MATCH(A85&amp;"",tbl_Onsite[Job Number],0),MATCH(IFERROR(A85+0,A85),tbl_Onsite[Job Number],0)))),IFERROR(IF(INDEX(tbl_Production[Tax Code],IFERROR(MATCH(A85&amp;"",tbl_Production[Job Number],0),MATCH(IFERROR(A85+0,A85),tbl_Production[Job Number],0)))="","",INDEX(tbl_Production[Tax Code],IFERROR(MATCH(A85&amp;"",tbl_Production[Job Number],0),MATCH(IFERROR(A85+0,A85),tbl_Production[Job Number],0)))),IFERROR(IF(INDEX(tbl_Consulting[Tax Code],IFERROR(MATCH(A85&amp;"",tbl_Consulting[Job Number],0),MATCH(IFERROR(A85+0,A85),tbl_Consulting[Job Number],0)))="","",INDEX(tbl_Consulting[Tax Code],IFERROR(MATCH(A85&amp;"",tbl_Consulting[Job Number],0),MATCH(IFERROR(A85+0,A85),tbl_Consulting[Job Number],0)))),"")))))</f>
        <v/>
      </c>
      <c r="N85" s="26">
        <f>IF(D85="","",IFERROR(INDEX(lst_CCtoGL,MATCH(D85,lst_CCforGL,0)),""))</f>
        <v/>
      </c>
      <c r="O85" s="27">
        <f>IF(E85="","",IF(M85="GST 10%",ROUND(E85*set_GSTRate,2),0))</f>
        <v/>
      </c>
      <c r="P85" s="27">
        <f>IF(E85="","",E85+O85)</f>
        <v/>
      </c>
      <c r="Q85" s="27">
        <f>IF(A85="","",IFERROR(INDEX(tbl_Onsite[Expected Revenue Ex GST],IFERROR(MATCH(A85&amp;"",tbl_Onsite[Job Number],0),MATCH(IFERROR(A85+0,A85),tbl_Onsite[Job Number],0))),IFERROR(INDEX(tbl_Production[Expected Revenue Ex GST],IFERROR(MATCH(A85&amp;"",tbl_Production[Job Number],0),MATCH(IFERROR(A85+0,A85),tbl_Production[Job Number],0))),IFERROR(INDEX(tbl_Consulting[Expected Revenue Ex GST],IFERROR(MATCH(A85&amp;"",tbl_Consulting[Job Number],0),MATCH(IFERROR(A85+0,A85),tbl_Consulting[Job Number],0))),0))))</f>
        <v/>
      </c>
      <c r="R85" s="27">
        <f>IF(A85="","",SUMIFS(tbl_Finance[Ex GST],tbl_Finance[Job Number],A85&amp;""))</f>
        <v/>
      </c>
      <c r="S85" s="27">
        <f>IF(A85="","",Q85-R85)</f>
        <v/>
      </c>
      <c r="T85" s="26">
        <f>IF(A85="","",IF(Q85=0,"No dept value",IF(ROUND(S85,2)=0,"Agrees",IF(S85&gt;0,"Dept higher - to invoice","Xero higher - check dept"))))</f>
        <v/>
      </c>
      <c r="U85" s="22" t="n"/>
      <c r="V85" s="22" t="n"/>
      <c r="W85" s="23" t="n"/>
      <c r="X85" s="23" t="n"/>
      <c r="Y85" s="22" t="n"/>
      <c r="Z85" s="22" t="n"/>
      <c r="AA85" s="26">
        <f>IF(COUNTA(C85,A85,B85,E85)=0,"",IF(C85="","No date - sits outside every month",IF(A85="","No job number",IF(H85="CHECK","Job number is not in the Xero job list",IF(G85="not set up yet","No department has set this job up - nothing can pull through",IF(D85="","No cost centre",IF(AND(U85="Y",B85=""),"Marked posted to Xero but has no invoice number",IF(N85="","Cost centre has no revenue GL on the Lists sheet",IF(T85="Xero higher - check dept","Invoiced more than the department says the job is worth","")))))))))</f>
        <v/>
      </c>
      <c r="AB85" s="28">
        <f>IF(A85="","",COUNTIFS(tbl_Finance[Job Number],A85&amp;"",tbl_Finance[Ex GST],"&lt;&gt;"))</f>
        <v/>
      </c>
      <c r="AC85" s="27">
        <f>IF(A85="","",SUMIFS(tbl_Finance[Ex GST],tbl_Finance[Job Number],A85&amp;""))</f>
        <v/>
      </c>
      <c r="AD85" s="27">
        <f>IF(A85="","",SUMIFS(tbl_Finance[Ex GST],tbl_Finance[Job Number],A85&amp;"",tbl_Finance[Xero Invoice No],"&lt;&gt;"))</f>
        <v/>
      </c>
      <c r="AE85" s="27">
        <f>IF(A85="","",AC85-AD85)</f>
        <v/>
      </c>
      <c r="AF85" s="26">
        <f>IF(A85="","",IFERROR(IF(INDEX(tbl_Onsite[Qwilr Quote],IFERROR(MATCH(A85&amp;"",tbl_Onsite[Job Number],0),MATCH(IFERROR(A85+0,A85),tbl_Onsite[Job Number],0)))="","",INDEX(tbl_Onsite[Qwilr Quote],IFERROR(MATCH(A85&amp;"",tbl_Onsite[Job Number],0),MATCH(IFERROR(A85+0,A85),tbl_Onsite[Job Number],0)))),IFERROR(IF(IF(INDEX(tbl_Production[Current RMS No],IFERROR(MATCH(A85&amp;"",tbl_Production[Job Number],0),MATCH(IFERROR(A85+0,A85),tbl_Production[Job Number],0)))="",INDEX(tbl_Production[Qwilr Quote],IFERROR(MATCH(A85&amp;"",tbl_Production[Job Number],0),MATCH(IFERROR(A85+0,A85),tbl_Production[Job Number],0))),INDEX(tbl_Production[Current RMS No],IFERROR(MATCH(A85&amp;"",tbl_Production[Job Number],0),MATCH(IFERROR(A85+0,A85),tbl_Production[Job Number],0))))="","",IF(INDEX(tbl_Production[Current RMS No],IFERROR(MATCH(A85&amp;"",tbl_Production[Job Number],0),MATCH(IFERROR(A85+0,A85),tbl_Production[Job Number],0)))="",INDEX(tbl_Production[Qwilr Quote],IFERROR(MATCH(A85&amp;"",tbl_Production[Job Number],0),MATCH(IFERROR(A85+0,A85),tbl_Production[Job Number],0))),INDEX(tbl_Production[Current RMS No],IFERROR(MATCH(A85&amp;"",tbl_Production[Job Number],0),MATCH(IFERROR(A85+0,A85),tbl_Production[Job Number],0))))),IFERROR(IF(INDEX(tbl_Consulting[Qwilr Quote],IFERROR(MATCH(A85&amp;"",tbl_Consulting[Job Number],0),MATCH(IFERROR(A85+0,A85),tbl_Consulting[Job Number],0)))="","",INDEX(tbl_Consulting[Qwilr Quote],IFERROR(MATCH(A85&amp;"",tbl_Consulting[Job Number],0),MATCH(IFERROR(A85+0,A85),tbl_Consulting[Job Number],0)))),""))))</f>
        <v/>
      </c>
      <c r="AG85" s="26">
        <f>IF(AF85="","",IF(AND(LEFT(AF85,4)&lt;&gt;"http",IF(G85="Production",set_RMSBase,set_QwilrBase)=""),"",HYPERLINK(IF(LEFT(AF85,4)="http",AF85,IF(G85="Production",set_RMSBase,set_QwilrBase)&amp;AF85),"Open")))</f>
        <v/>
      </c>
      <c r="AH85" s="27">
        <f>IF(A85="","",IFERROR(INDEX(tbl_Production[Total Expense],IFERROR(MATCH(A85&amp;"",tbl_Production[Job Number],0),MATCH(IFERROR(A85+0,A85),tbl_Production[Job Number],0))),IFERROR(INDEX(tbl_Consulting[Total Expense],IFERROR(MATCH(A85&amp;"",tbl_Consulting[Job Number],0),MATCH(IFERROR(A85+0,A85),tbl_Consulting[Job Number],0))),0)))</f>
        <v/>
      </c>
      <c r="AI85" s="27">
        <f>IF(A85="","",AC85-N(AH85))</f>
        <v/>
      </c>
      <c r="AJ85" s="29">
        <f>IFERROR(AI85/AC85,"")</f>
        <v/>
      </c>
      <c r="AK85" s="26">
        <f>IF(A85="","",IFERROR(IF(INDEX(tbl_Onsite[Notes],IFERROR(MATCH(A85&amp;"",tbl_Onsite[Job Number],0),MATCH(IFERROR(A85+0,A85),tbl_Onsite[Job Number],0)))="","",INDEX(tbl_Onsite[Notes],IFERROR(MATCH(A85&amp;"",tbl_Onsite[Job Number],0),MATCH(IFERROR(A85+0,A85),tbl_Onsite[Job Number],0)))),IFERROR(IF(INDEX(tbl_Production[Notes],IFERROR(MATCH(A85&amp;"",tbl_Production[Job Number],0),MATCH(IFERROR(A85+0,A85),tbl_Production[Job Number],0)))="","",INDEX(tbl_Production[Notes],IFERROR(MATCH(A85&amp;"",tbl_Production[Job Number],0),MATCH(IFERROR(A85+0,A85),tbl_Production[Job Number],0)))),IFERROR(IF(INDEX(tbl_Consulting[Notes],IFERROR(MATCH(A85&amp;"",tbl_Consulting[Job Number],0),MATCH(IFERROR(A85+0,A85),tbl_Consulting[Job Number],0)))="","",INDEX(tbl_Consulting[Notes],IFERROR(MATCH(A85&amp;"",tbl_Consulting[Job Number],0),MATCH(IFERROR(A85+0,A85),tbl_Consulting[Job Number],0)))),""))))</f>
        <v/>
      </c>
    </row>
    <row r="86" ht="15" customHeight="1">
      <c r="A86" s="22" t="n"/>
      <c r="B86" s="22" t="n"/>
      <c r="C86" s="23" t="n"/>
      <c r="D86" s="22" t="n"/>
      <c r="E86" s="24" t="n"/>
      <c r="F86" s="25">
        <f>IF(C86="","",EOMONTH(C86,0))</f>
        <v/>
      </c>
      <c r="G86" s="26">
        <f>IF(A86="","",IF(COUNTIF(tbl_Onsite[Job Number],A86&amp;"")&gt;0,"Onsite",IF(COUNTIF(tbl_Production[Job Number],A86&amp;"")&gt;0,"Production",IF(COUNTIF(tbl_Consulting[Job Number],A86&amp;"")&gt;0,"Consulting","not set up yet"))))</f>
        <v/>
      </c>
      <c r="H86" s="26">
        <f>IF(A86="","",IF(COUNTIF(lst_Jobs,A86&amp;"")&gt;0,"OK","CHECK"))</f>
        <v/>
      </c>
      <c r="I86" s="26">
        <f>IF(A86="","",IFERROR(INDEX(lst_JobName,MATCH(A86&amp;"",lst_Jobs,0)),""))</f>
        <v/>
      </c>
      <c r="J86" s="26">
        <f>IF(A86="","",IFERROR(IF(INDEX(tbl_Onsite[Client],IFERROR(MATCH(A86&amp;"",tbl_Onsite[Job Number],0),MATCH(IFERROR(A86+0,A86),tbl_Onsite[Job Number],0)))="","",INDEX(tbl_Onsite[Client],IFERROR(MATCH(A86&amp;"",tbl_Onsite[Job Number],0),MATCH(IFERROR(A86+0,A86),tbl_Onsite[Job Number],0)))),IFERROR(IF(INDEX(tbl_Production[Client],IFERROR(MATCH(A86&amp;"",tbl_Production[Job Number],0),MATCH(IFERROR(A86+0,A86),tbl_Production[Job Number],0)))="","",INDEX(tbl_Production[Client],IFERROR(MATCH(A86&amp;"",tbl_Production[Job Number],0),MATCH(IFERROR(A86+0,A86),tbl_Production[Job Number],0)))),IFERROR(IF(INDEX(tbl_Consulting[Client],IFERROR(MATCH(A86&amp;"",tbl_Consulting[Job Number],0),MATCH(IFERROR(A86+0,A86),tbl_Consulting[Job Number],0)))="","",INDEX(tbl_Consulting[Client],IFERROR(MATCH(A86&amp;"",tbl_Consulting[Job Number],0),MATCH(IFERROR(A86+0,A86),tbl_Consulting[Job Number],0)))),""))))</f>
        <v/>
      </c>
      <c r="K86" s="26">
        <f>IF(A86="","",IFERROR(IF(INDEX(tbl_Onsite[Job Description],IFERROR(MATCH(A86&amp;"",tbl_Onsite[Job Number],0),MATCH(IFERROR(A86+0,A86),tbl_Onsite[Job Number],0)))="","",INDEX(tbl_Onsite[Job Description],IFERROR(MATCH(A86&amp;"",tbl_Onsite[Job Number],0),MATCH(IFERROR(A86+0,A86),tbl_Onsite[Job Number],0)))),IFERROR(IF(INDEX(tbl_Production[Job Description],IFERROR(MATCH(A86&amp;"",tbl_Production[Job Number],0),MATCH(IFERROR(A86+0,A86),tbl_Production[Job Number],0)))="","",INDEX(tbl_Production[Job Description],IFERROR(MATCH(A86&amp;"",tbl_Production[Job Number],0),MATCH(IFERROR(A86+0,A86),tbl_Production[Job Number],0)))),IFERROR(IF(INDEX(tbl_Consulting[Job Description],IFERROR(MATCH(A86&amp;"",tbl_Consulting[Job Number],0),MATCH(IFERROR(A86+0,A86),tbl_Consulting[Job Number],0)))="","",INDEX(tbl_Consulting[Job Description],IFERROR(MATCH(A86&amp;"",tbl_Consulting[Job Number],0),MATCH(IFERROR(A86+0,A86),tbl_Consulting[Job Number],0)))),""))))</f>
        <v/>
      </c>
      <c r="L86" s="26">
        <f>IF(A86="","",IFERROR(IF(INDEX(tbl_Onsite[Invoice Type],IFERROR(MATCH(A86&amp;"",tbl_Onsite[Job Number],0),MATCH(IFERROR(A86+0,A86),tbl_Onsite[Job Number],0)))="","",INDEX(tbl_Onsite[Invoice Type],IFERROR(MATCH(A86&amp;"",tbl_Onsite[Job Number],0),MATCH(IFERROR(A86+0,A86),tbl_Onsite[Job Number],0)))),IFERROR(IF(INDEX(tbl_Production[Invoice Type],IFERROR(MATCH(A86&amp;"",tbl_Production[Job Number],0),MATCH(IFERROR(A86+0,A86),tbl_Production[Job Number],0)))="","",INDEX(tbl_Production[Invoice Type],IFERROR(MATCH(A86&amp;"",tbl_Production[Job Number],0),MATCH(IFERROR(A86+0,A86),tbl_Production[Job Number],0)))),IFERROR(IF(INDEX(tbl_Consulting[Invoice Type],IFERROR(MATCH(A86&amp;"",tbl_Consulting[Job Number],0),MATCH(IFERROR(A86+0,A86),tbl_Consulting[Job Number],0)))="","",INDEX(tbl_Consulting[Invoice Type],IFERROR(MATCH(A86&amp;"",tbl_Consulting[Job Number],0),MATCH(IFERROR(A86+0,A86),tbl_Consulting[Job Number],0)))),""))))</f>
        <v/>
      </c>
      <c r="M86" s="26">
        <f>IF(A86="","",IF(IFERROR(IF(INDEX(tbl_Onsite[Tax Code],IFERROR(MATCH(A86&amp;"",tbl_Onsite[Job Number],0),MATCH(IFERROR(A86+0,A86),tbl_Onsite[Job Number],0)))="","",INDEX(tbl_Onsite[Tax Code],IFERROR(MATCH(A86&amp;"",tbl_Onsite[Job Number],0),MATCH(IFERROR(A86+0,A86),tbl_Onsite[Job Number],0)))),IFERROR(IF(INDEX(tbl_Production[Tax Code],IFERROR(MATCH(A86&amp;"",tbl_Production[Job Number],0),MATCH(IFERROR(A86+0,A86),tbl_Production[Job Number],0)))="","",INDEX(tbl_Production[Tax Code],IFERROR(MATCH(A86&amp;"",tbl_Production[Job Number],0),MATCH(IFERROR(A86+0,A86),tbl_Production[Job Number],0)))),IFERROR(IF(INDEX(tbl_Consulting[Tax Code],IFERROR(MATCH(A86&amp;"",tbl_Consulting[Job Number],0),MATCH(IFERROR(A86+0,A86),tbl_Consulting[Job Number],0)))="","",INDEX(tbl_Consulting[Tax Code],IFERROR(MATCH(A86&amp;"",tbl_Consulting[Job Number],0),MATCH(IFERROR(A86+0,A86),tbl_Consulting[Job Number],0)))),"")))="","GST 10%",IFERROR(IF(INDEX(tbl_Onsite[Tax Code],IFERROR(MATCH(A86&amp;"",tbl_Onsite[Job Number],0),MATCH(IFERROR(A86+0,A86),tbl_Onsite[Job Number],0)))="","",INDEX(tbl_Onsite[Tax Code],IFERROR(MATCH(A86&amp;"",tbl_Onsite[Job Number],0),MATCH(IFERROR(A86+0,A86),tbl_Onsite[Job Number],0)))),IFERROR(IF(INDEX(tbl_Production[Tax Code],IFERROR(MATCH(A86&amp;"",tbl_Production[Job Number],0),MATCH(IFERROR(A86+0,A86),tbl_Production[Job Number],0)))="","",INDEX(tbl_Production[Tax Code],IFERROR(MATCH(A86&amp;"",tbl_Production[Job Number],0),MATCH(IFERROR(A86+0,A86),tbl_Production[Job Number],0)))),IFERROR(IF(INDEX(tbl_Consulting[Tax Code],IFERROR(MATCH(A86&amp;"",tbl_Consulting[Job Number],0),MATCH(IFERROR(A86+0,A86),tbl_Consulting[Job Number],0)))="","",INDEX(tbl_Consulting[Tax Code],IFERROR(MATCH(A86&amp;"",tbl_Consulting[Job Number],0),MATCH(IFERROR(A86+0,A86),tbl_Consulting[Job Number],0)))),"")))))</f>
        <v/>
      </c>
      <c r="N86" s="26">
        <f>IF(D86="","",IFERROR(INDEX(lst_CCtoGL,MATCH(D86,lst_CCforGL,0)),""))</f>
        <v/>
      </c>
      <c r="O86" s="27">
        <f>IF(E86="","",IF(M86="GST 10%",ROUND(E86*set_GSTRate,2),0))</f>
        <v/>
      </c>
      <c r="P86" s="27">
        <f>IF(E86="","",E86+O86)</f>
        <v/>
      </c>
      <c r="Q86" s="27">
        <f>IF(A86="","",IFERROR(INDEX(tbl_Onsite[Expected Revenue Ex GST],IFERROR(MATCH(A86&amp;"",tbl_Onsite[Job Number],0),MATCH(IFERROR(A86+0,A86),tbl_Onsite[Job Number],0))),IFERROR(INDEX(tbl_Production[Expected Revenue Ex GST],IFERROR(MATCH(A86&amp;"",tbl_Production[Job Number],0),MATCH(IFERROR(A86+0,A86),tbl_Production[Job Number],0))),IFERROR(INDEX(tbl_Consulting[Expected Revenue Ex GST],IFERROR(MATCH(A86&amp;"",tbl_Consulting[Job Number],0),MATCH(IFERROR(A86+0,A86),tbl_Consulting[Job Number],0))),0))))</f>
        <v/>
      </c>
      <c r="R86" s="27">
        <f>IF(A86="","",SUMIFS(tbl_Finance[Ex GST],tbl_Finance[Job Number],A86&amp;""))</f>
        <v/>
      </c>
      <c r="S86" s="27">
        <f>IF(A86="","",Q86-R86)</f>
        <v/>
      </c>
      <c r="T86" s="26">
        <f>IF(A86="","",IF(Q86=0,"No dept value",IF(ROUND(S86,2)=0,"Agrees",IF(S86&gt;0,"Dept higher - to invoice","Xero higher - check dept"))))</f>
        <v/>
      </c>
      <c r="U86" s="22" t="n"/>
      <c r="V86" s="22" t="n"/>
      <c r="W86" s="23" t="n"/>
      <c r="X86" s="23" t="n"/>
      <c r="Y86" s="22" t="n"/>
      <c r="Z86" s="22" t="n"/>
      <c r="AA86" s="26">
        <f>IF(COUNTA(C86,A86,B86,E86)=0,"",IF(C86="","No date - sits outside every month",IF(A86="","No job number",IF(H86="CHECK","Job number is not in the Xero job list",IF(G86="not set up yet","No department has set this job up - nothing can pull through",IF(D86="","No cost centre",IF(AND(U86="Y",B86=""),"Marked posted to Xero but has no invoice number",IF(N86="","Cost centre has no revenue GL on the Lists sheet",IF(T86="Xero higher - check dept","Invoiced more than the department says the job is worth","")))))))))</f>
        <v/>
      </c>
      <c r="AB86" s="28">
        <f>IF(A86="","",COUNTIFS(tbl_Finance[Job Number],A86&amp;"",tbl_Finance[Ex GST],"&lt;&gt;"))</f>
        <v/>
      </c>
      <c r="AC86" s="27">
        <f>IF(A86="","",SUMIFS(tbl_Finance[Ex GST],tbl_Finance[Job Number],A86&amp;""))</f>
        <v/>
      </c>
      <c r="AD86" s="27">
        <f>IF(A86="","",SUMIFS(tbl_Finance[Ex GST],tbl_Finance[Job Number],A86&amp;"",tbl_Finance[Xero Invoice No],"&lt;&gt;"))</f>
        <v/>
      </c>
      <c r="AE86" s="27">
        <f>IF(A86="","",AC86-AD86)</f>
        <v/>
      </c>
      <c r="AF86" s="26">
        <f>IF(A86="","",IFERROR(IF(INDEX(tbl_Onsite[Qwilr Quote],IFERROR(MATCH(A86&amp;"",tbl_Onsite[Job Number],0),MATCH(IFERROR(A86+0,A86),tbl_Onsite[Job Number],0)))="","",INDEX(tbl_Onsite[Qwilr Quote],IFERROR(MATCH(A86&amp;"",tbl_Onsite[Job Number],0),MATCH(IFERROR(A86+0,A86),tbl_Onsite[Job Number],0)))),IFERROR(IF(IF(INDEX(tbl_Production[Current RMS No],IFERROR(MATCH(A86&amp;"",tbl_Production[Job Number],0),MATCH(IFERROR(A86+0,A86),tbl_Production[Job Number],0)))="",INDEX(tbl_Production[Qwilr Quote],IFERROR(MATCH(A86&amp;"",tbl_Production[Job Number],0),MATCH(IFERROR(A86+0,A86),tbl_Production[Job Number],0))),INDEX(tbl_Production[Current RMS No],IFERROR(MATCH(A86&amp;"",tbl_Production[Job Number],0),MATCH(IFERROR(A86+0,A86),tbl_Production[Job Number],0))))="","",IF(INDEX(tbl_Production[Current RMS No],IFERROR(MATCH(A86&amp;"",tbl_Production[Job Number],0),MATCH(IFERROR(A86+0,A86),tbl_Production[Job Number],0)))="",INDEX(tbl_Production[Qwilr Quote],IFERROR(MATCH(A86&amp;"",tbl_Production[Job Number],0),MATCH(IFERROR(A86+0,A86),tbl_Production[Job Number],0))),INDEX(tbl_Production[Current RMS No],IFERROR(MATCH(A86&amp;"",tbl_Production[Job Number],0),MATCH(IFERROR(A86+0,A86),tbl_Production[Job Number],0))))),IFERROR(IF(INDEX(tbl_Consulting[Qwilr Quote],IFERROR(MATCH(A86&amp;"",tbl_Consulting[Job Number],0),MATCH(IFERROR(A86+0,A86),tbl_Consulting[Job Number],0)))="","",INDEX(tbl_Consulting[Qwilr Quote],IFERROR(MATCH(A86&amp;"",tbl_Consulting[Job Number],0),MATCH(IFERROR(A86+0,A86),tbl_Consulting[Job Number],0)))),""))))</f>
        <v/>
      </c>
      <c r="AG86" s="26">
        <f>IF(AF86="","",IF(AND(LEFT(AF86,4)&lt;&gt;"http",IF(G86="Production",set_RMSBase,set_QwilrBase)=""),"",HYPERLINK(IF(LEFT(AF86,4)="http",AF86,IF(G86="Production",set_RMSBase,set_QwilrBase)&amp;AF86),"Open")))</f>
        <v/>
      </c>
      <c r="AH86" s="27">
        <f>IF(A86="","",IFERROR(INDEX(tbl_Production[Total Expense],IFERROR(MATCH(A86&amp;"",tbl_Production[Job Number],0),MATCH(IFERROR(A86+0,A86),tbl_Production[Job Number],0))),IFERROR(INDEX(tbl_Consulting[Total Expense],IFERROR(MATCH(A86&amp;"",tbl_Consulting[Job Number],0),MATCH(IFERROR(A86+0,A86),tbl_Consulting[Job Number],0))),0)))</f>
        <v/>
      </c>
      <c r="AI86" s="27">
        <f>IF(A86="","",AC86-N(AH86))</f>
        <v/>
      </c>
      <c r="AJ86" s="29">
        <f>IFERROR(AI86/AC86,"")</f>
        <v/>
      </c>
      <c r="AK86" s="26">
        <f>IF(A86="","",IFERROR(IF(INDEX(tbl_Onsite[Notes],IFERROR(MATCH(A86&amp;"",tbl_Onsite[Job Number],0),MATCH(IFERROR(A86+0,A86),tbl_Onsite[Job Number],0)))="","",INDEX(tbl_Onsite[Notes],IFERROR(MATCH(A86&amp;"",tbl_Onsite[Job Number],0),MATCH(IFERROR(A86+0,A86),tbl_Onsite[Job Number],0)))),IFERROR(IF(INDEX(tbl_Production[Notes],IFERROR(MATCH(A86&amp;"",tbl_Production[Job Number],0),MATCH(IFERROR(A86+0,A86),tbl_Production[Job Number],0)))="","",INDEX(tbl_Production[Notes],IFERROR(MATCH(A86&amp;"",tbl_Production[Job Number],0),MATCH(IFERROR(A86+0,A86),tbl_Production[Job Number],0)))),IFERROR(IF(INDEX(tbl_Consulting[Notes],IFERROR(MATCH(A86&amp;"",tbl_Consulting[Job Number],0),MATCH(IFERROR(A86+0,A86),tbl_Consulting[Job Number],0)))="","",INDEX(tbl_Consulting[Notes],IFERROR(MATCH(A86&amp;"",tbl_Consulting[Job Number],0),MATCH(IFERROR(A86+0,A86),tbl_Consulting[Job Number],0)))),""))))</f>
        <v/>
      </c>
    </row>
    <row r="87" ht="15" customHeight="1">
      <c r="A87" s="22" t="n"/>
      <c r="B87" s="22" t="n"/>
      <c r="C87" s="23" t="n"/>
      <c r="D87" s="22" t="n"/>
      <c r="E87" s="24" t="n"/>
      <c r="F87" s="25">
        <f>IF(C87="","",EOMONTH(C87,0))</f>
        <v/>
      </c>
      <c r="G87" s="26">
        <f>IF(A87="","",IF(COUNTIF(tbl_Onsite[Job Number],A87&amp;"")&gt;0,"Onsite",IF(COUNTIF(tbl_Production[Job Number],A87&amp;"")&gt;0,"Production",IF(COUNTIF(tbl_Consulting[Job Number],A87&amp;"")&gt;0,"Consulting","not set up yet"))))</f>
        <v/>
      </c>
      <c r="H87" s="26">
        <f>IF(A87="","",IF(COUNTIF(lst_Jobs,A87&amp;"")&gt;0,"OK","CHECK"))</f>
        <v/>
      </c>
      <c r="I87" s="26">
        <f>IF(A87="","",IFERROR(INDEX(lst_JobName,MATCH(A87&amp;"",lst_Jobs,0)),""))</f>
        <v/>
      </c>
      <c r="J87" s="26">
        <f>IF(A87="","",IFERROR(IF(INDEX(tbl_Onsite[Client],IFERROR(MATCH(A87&amp;"",tbl_Onsite[Job Number],0),MATCH(IFERROR(A87+0,A87),tbl_Onsite[Job Number],0)))="","",INDEX(tbl_Onsite[Client],IFERROR(MATCH(A87&amp;"",tbl_Onsite[Job Number],0),MATCH(IFERROR(A87+0,A87),tbl_Onsite[Job Number],0)))),IFERROR(IF(INDEX(tbl_Production[Client],IFERROR(MATCH(A87&amp;"",tbl_Production[Job Number],0),MATCH(IFERROR(A87+0,A87),tbl_Production[Job Number],0)))="","",INDEX(tbl_Production[Client],IFERROR(MATCH(A87&amp;"",tbl_Production[Job Number],0),MATCH(IFERROR(A87+0,A87),tbl_Production[Job Number],0)))),IFERROR(IF(INDEX(tbl_Consulting[Client],IFERROR(MATCH(A87&amp;"",tbl_Consulting[Job Number],0),MATCH(IFERROR(A87+0,A87),tbl_Consulting[Job Number],0)))="","",INDEX(tbl_Consulting[Client],IFERROR(MATCH(A87&amp;"",tbl_Consulting[Job Number],0),MATCH(IFERROR(A87+0,A87),tbl_Consulting[Job Number],0)))),""))))</f>
        <v/>
      </c>
      <c r="K87" s="26">
        <f>IF(A87="","",IFERROR(IF(INDEX(tbl_Onsite[Job Description],IFERROR(MATCH(A87&amp;"",tbl_Onsite[Job Number],0),MATCH(IFERROR(A87+0,A87),tbl_Onsite[Job Number],0)))="","",INDEX(tbl_Onsite[Job Description],IFERROR(MATCH(A87&amp;"",tbl_Onsite[Job Number],0),MATCH(IFERROR(A87+0,A87),tbl_Onsite[Job Number],0)))),IFERROR(IF(INDEX(tbl_Production[Job Description],IFERROR(MATCH(A87&amp;"",tbl_Production[Job Number],0),MATCH(IFERROR(A87+0,A87),tbl_Production[Job Number],0)))="","",INDEX(tbl_Production[Job Description],IFERROR(MATCH(A87&amp;"",tbl_Production[Job Number],0),MATCH(IFERROR(A87+0,A87),tbl_Production[Job Number],0)))),IFERROR(IF(INDEX(tbl_Consulting[Job Description],IFERROR(MATCH(A87&amp;"",tbl_Consulting[Job Number],0),MATCH(IFERROR(A87+0,A87),tbl_Consulting[Job Number],0)))="","",INDEX(tbl_Consulting[Job Description],IFERROR(MATCH(A87&amp;"",tbl_Consulting[Job Number],0),MATCH(IFERROR(A87+0,A87),tbl_Consulting[Job Number],0)))),""))))</f>
        <v/>
      </c>
      <c r="L87" s="26">
        <f>IF(A87="","",IFERROR(IF(INDEX(tbl_Onsite[Invoice Type],IFERROR(MATCH(A87&amp;"",tbl_Onsite[Job Number],0),MATCH(IFERROR(A87+0,A87),tbl_Onsite[Job Number],0)))="","",INDEX(tbl_Onsite[Invoice Type],IFERROR(MATCH(A87&amp;"",tbl_Onsite[Job Number],0),MATCH(IFERROR(A87+0,A87),tbl_Onsite[Job Number],0)))),IFERROR(IF(INDEX(tbl_Production[Invoice Type],IFERROR(MATCH(A87&amp;"",tbl_Production[Job Number],0),MATCH(IFERROR(A87+0,A87),tbl_Production[Job Number],0)))="","",INDEX(tbl_Production[Invoice Type],IFERROR(MATCH(A87&amp;"",tbl_Production[Job Number],0),MATCH(IFERROR(A87+0,A87),tbl_Production[Job Number],0)))),IFERROR(IF(INDEX(tbl_Consulting[Invoice Type],IFERROR(MATCH(A87&amp;"",tbl_Consulting[Job Number],0),MATCH(IFERROR(A87+0,A87),tbl_Consulting[Job Number],0)))="","",INDEX(tbl_Consulting[Invoice Type],IFERROR(MATCH(A87&amp;"",tbl_Consulting[Job Number],0),MATCH(IFERROR(A87+0,A87),tbl_Consulting[Job Number],0)))),""))))</f>
        <v/>
      </c>
      <c r="M87" s="26">
        <f>IF(A87="","",IF(IFERROR(IF(INDEX(tbl_Onsite[Tax Code],IFERROR(MATCH(A87&amp;"",tbl_Onsite[Job Number],0),MATCH(IFERROR(A87+0,A87),tbl_Onsite[Job Number],0)))="","",INDEX(tbl_Onsite[Tax Code],IFERROR(MATCH(A87&amp;"",tbl_Onsite[Job Number],0),MATCH(IFERROR(A87+0,A87),tbl_Onsite[Job Number],0)))),IFERROR(IF(INDEX(tbl_Production[Tax Code],IFERROR(MATCH(A87&amp;"",tbl_Production[Job Number],0),MATCH(IFERROR(A87+0,A87),tbl_Production[Job Number],0)))="","",INDEX(tbl_Production[Tax Code],IFERROR(MATCH(A87&amp;"",tbl_Production[Job Number],0),MATCH(IFERROR(A87+0,A87),tbl_Production[Job Number],0)))),IFERROR(IF(INDEX(tbl_Consulting[Tax Code],IFERROR(MATCH(A87&amp;"",tbl_Consulting[Job Number],0),MATCH(IFERROR(A87+0,A87),tbl_Consulting[Job Number],0)))="","",INDEX(tbl_Consulting[Tax Code],IFERROR(MATCH(A87&amp;"",tbl_Consulting[Job Number],0),MATCH(IFERROR(A87+0,A87),tbl_Consulting[Job Number],0)))),"")))="","GST 10%",IFERROR(IF(INDEX(tbl_Onsite[Tax Code],IFERROR(MATCH(A87&amp;"",tbl_Onsite[Job Number],0),MATCH(IFERROR(A87+0,A87),tbl_Onsite[Job Number],0)))="","",INDEX(tbl_Onsite[Tax Code],IFERROR(MATCH(A87&amp;"",tbl_Onsite[Job Number],0),MATCH(IFERROR(A87+0,A87),tbl_Onsite[Job Number],0)))),IFERROR(IF(INDEX(tbl_Production[Tax Code],IFERROR(MATCH(A87&amp;"",tbl_Production[Job Number],0),MATCH(IFERROR(A87+0,A87),tbl_Production[Job Number],0)))="","",INDEX(tbl_Production[Tax Code],IFERROR(MATCH(A87&amp;"",tbl_Production[Job Number],0),MATCH(IFERROR(A87+0,A87),tbl_Production[Job Number],0)))),IFERROR(IF(INDEX(tbl_Consulting[Tax Code],IFERROR(MATCH(A87&amp;"",tbl_Consulting[Job Number],0),MATCH(IFERROR(A87+0,A87),tbl_Consulting[Job Number],0)))="","",INDEX(tbl_Consulting[Tax Code],IFERROR(MATCH(A87&amp;"",tbl_Consulting[Job Number],0),MATCH(IFERROR(A87+0,A87),tbl_Consulting[Job Number],0)))),"")))))</f>
        <v/>
      </c>
      <c r="N87" s="26">
        <f>IF(D87="","",IFERROR(INDEX(lst_CCtoGL,MATCH(D87,lst_CCforGL,0)),""))</f>
        <v/>
      </c>
      <c r="O87" s="27">
        <f>IF(E87="","",IF(M87="GST 10%",ROUND(E87*set_GSTRate,2),0))</f>
        <v/>
      </c>
      <c r="P87" s="27">
        <f>IF(E87="","",E87+O87)</f>
        <v/>
      </c>
      <c r="Q87" s="27">
        <f>IF(A87="","",IFERROR(INDEX(tbl_Onsite[Expected Revenue Ex GST],IFERROR(MATCH(A87&amp;"",tbl_Onsite[Job Number],0),MATCH(IFERROR(A87+0,A87),tbl_Onsite[Job Number],0))),IFERROR(INDEX(tbl_Production[Expected Revenue Ex GST],IFERROR(MATCH(A87&amp;"",tbl_Production[Job Number],0),MATCH(IFERROR(A87+0,A87),tbl_Production[Job Number],0))),IFERROR(INDEX(tbl_Consulting[Expected Revenue Ex GST],IFERROR(MATCH(A87&amp;"",tbl_Consulting[Job Number],0),MATCH(IFERROR(A87+0,A87),tbl_Consulting[Job Number],0))),0))))</f>
        <v/>
      </c>
      <c r="R87" s="27">
        <f>IF(A87="","",SUMIFS(tbl_Finance[Ex GST],tbl_Finance[Job Number],A87&amp;""))</f>
        <v/>
      </c>
      <c r="S87" s="27">
        <f>IF(A87="","",Q87-R87)</f>
        <v/>
      </c>
      <c r="T87" s="26">
        <f>IF(A87="","",IF(Q87=0,"No dept value",IF(ROUND(S87,2)=0,"Agrees",IF(S87&gt;0,"Dept higher - to invoice","Xero higher - check dept"))))</f>
        <v/>
      </c>
      <c r="U87" s="22" t="n"/>
      <c r="V87" s="22" t="n"/>
      <c r="W87" s="23" t="n"/>
      <c r="X87" s="23" t="n"/>
      <c r="Y87" s="22" t="n"/>
      <c r="Z87" s="22" t="n"/>
      <c r="AA87" s="26">
        <f>IF(COUNTA(C87,A87,B87,E87)=0,"",IF(C87="","No date - sits outside every month",IF(A87="","No job number",IF(H87="CHECK","Job number is not in the Xero job list",IF(G87="not set up yet","No department has set this job up - nothing can pull through",IF(D87="","No cost centre",IF(AND(U87="Y",B87=""),"Marked posted to Xero but has no invoice number",IF(N87="","Cost centre has no revenue GL on the Lists sheet",IF(T87="Xero higher - check dept","Invoiced more than the department says the job is worth","")))))))))</f>
        <v/>
      </c>
      <c r="AB87" s="28">
        <f>IF(A87="","",COUNTIFS(tbl_Finance[Job Number],A87&amp;"",tbl_Finance[Ex GST],"&lt;&gt;"))</f>
        <v/>
      </c>
      <c r="AC87" s="27">
        <f>IF(A87="","",SUMIFS(tbl_Finance[Ex GST],tbl_Finance[Job Number],A87&amp;""))</f>
        <v/>
      </c>
      <c r="AD87" s="27">
        <f>IF(A87="","",SUMIFS(tbl_Finance[Ex GST],tbl_Finance[Job Number],A87&amp;"",tbl_Finance[Xero Invoice No],"&lt;&gt;"))</f>
        <v/>
      </c>
      <c r="AE87" s="27">
        <f>IF(A87="","",AC87-AD87)</f>
        <v/>
      </c>
      <c r="AF87" s="26">
        <f>IF(A87="","",IFERROR(IF(INDEX(tbl_Onsite[Qwilr Quote],IFERROR(MATCH(A87&amp;"",tbl_Onsite[Job Number],0),MATCH(IFERROR(A87+0,A87),tbl_Onsite[Job Number],0)))="","",INDEX(tbl_Onsite[Qwilr Quote],IFERROR(MATCH(A87&amp;"",tbl_Onsite[Job Number],0),MATCH(IFERROR(A87+0,A87),tbl_Onsite[Job Number],0)))),IFERROR(IF(IF(INDEX(tbl_Production[Current RMS No],IFERROR(MATCH(A87&amp;"",tbl_Production[Job Number],0),MATCH(IFERROR(A87+0,A87),tbl_Production[Job Number],0)))="",INDEX(tbl_Production[Qwilr Quote],IFERROR(MATCH(A87&amp;"",tbl_Production[Job Number],0),MATCH(IFERROR(A87+0,A87),tbl_Production[Job Number],0))),INDEX(tbl_Production[Current RMS No],IFERROR(MATCH(A87&amp;"",tbl_Production[Job Number],0),MATCH(IFERROR(A87+0,A87),tbl_Production[Job Number],0))))="","",IF(INDEX(tbl_Production[Current RMS No],IFERROR(MATCH(A87&amp;"",tbl_Production[Job Number],0),MATCH(IFERROR(A87+0,A87),tbl_Production[Job Number],0)))="",INDEX(tbl_Production[Qwilr Quote],IFERROR(MATCH(A87&amp;"",tbl_Production[Job Number],0),MATCH(IFERROR(A87+0,A87),tbl_Production[Job Number],0))),INDEX(tbl_Production[Current RMS No],IFERROR(MATCH(A87&amp;"",tbl_Production[Job Number],0),MATCH(IFERROR(A87+0,A87),tbl_Production[Job Number],0))))),IFERROR(IF(INDEX(tbl_Consulting[Qwilr Quote],IFERROR(MATCH(A87&amp;"",tbl_Consulting[Job Number],0),MATCH(IFERROR(A87+0,A87),tbl_Consulting[Job Number],0)))="","",INDEX(tbl_Consulting[Qwilr Quote],IFERROR(MATCH(A87&amp;"",tbl_Consulting[Job Number],0),MATCH(IFERROR(A87+0,A87),tbl_Consulting[Job Number],0)))),""))))</f>
        <v/>
      </c>
      <c r="AG87" s="26">
        <f>IF(AF87="","",IF(AND(LEFT(AF87,4)&lt;&gt;"http",IF(G87="Production",set_RMSBase,set_QwilrBase)=""),"",HYPERLINK(IF(LEFT(AF87,4)="http",AF87,IF(G87="Production",set_RMSBase,set_QwilrBase)&amp;AF87),"Open")))</f>
        <v/>
      </c>
      <c r="AH87" s="27">
        <f>IF(A87="","",IFERROR(INDEX(tbl_Production[Total Expense],IFERROR(MATCH(A87&amp;"",tbl_Production[Job Number],0),MATCH(IFERROR(A87+0,A87),tbl_Production[Job Number],0))),IFERROR(INDEX(tbl_Consulting[Total Expense],IFERROR(MATCH(A87&amp;"",tbl_Consulting[Job Number],0),MATCH(IFERROR(A87+0,A87),tbl_Consulting[Job Number],0))),0)))</f>
        <v/>
      </c>
      <c r="AI87" s="27">
        <f>IF(A87="","",AC87-N(AH87))</f>
        <v/>
      </c>
      <c r="AJ87" s="29">
        <f>IFERROR(AI87/AC87,"")</f>
        <v/>
      </c>
      <c r="AK87" s="26">
        <f>IF(A87="","",IFERROR(IF(INDEX(tbl_Onsite[Notes],IFERROR(MATCH(A87&amp;"",tbl_Onsite[Job Number],0),MATCH(IFERROR(A87+0,A87),tbl_Onsite[Job Number],0)))="","",INDEX(tbl_Onsite[Notes],IFERROR(MATCH(A87&amp;"",tbl_Onsite[Job Number],0),MATCH(IFERROR(A87+0,A87),tbl_Onsite[Job Number],0)))),IFERROR(IF(INDEX(tbl_Production[Notes],IFERROR(MATCH(A87&amp;"",tbl_Production[Job Number],0),MATCH(IFERROR(A87+0,A87),tbl_Production[Job Number],0)))="","",INDEX(tbl_Production[Notes],IFERROR(MATCH(A87&amp;"",tbl_Production[Job Number],0),MATCH(IFERROR(A87+0,A87),tbl_Production[Job Number],0)))),IFERROR(IF(INDEX(tbl_Consulting[Notes],IFERROR(MATCH(A87&amp;"",tbl_Consulting[Job Number],0),MATCH(IFERROR(A87+0,A87),tbl_Consulting[Job Number],0)))="","",INDEX(tbl_Consulting[Notes],IFERROR(MATCH(A87&amp;"",tbl_Consulting[Job Number],0),MATCH(IFERROR(A87+0,A87),tbl_Consulting[Job Number],0)))),""))))</f>
        <v/>
      </c>
    </row>
    <row r="88" ht="15" customHeight="1">
      <c r="A88" s="22" t="n"/>
      <c r="B88" s="22" t="n"/>
      <c r="C88" s="23" t="n"/>
      <c r="D88" s="22" t="n"/>
      <c r="E88" s="24" t="n"/>
      <c r="F88" s="25">
        <f>IF(C88="","",EOMONTH(C88,0))</f>
        <v/>
      </c>
      <c r="G88" s="26">
        <f>IF(A88="","",IF(COUNTIF(tbl_Onsite[Job Number],A88&amp;"")&gt;0,"Onsite",IF(COUNTIF(tbl_Production[Job Number],A88&amp;"")&gt;0,"Production",IF(COUNTIF(tbl_Consulting[Job Number],A88&amp;"")&gt;0,"Consulting","not set up yet"))))</f>
        <v/>
      </c>
      <c r="H88" s="26">
        <f>IF(A88="","",IF(COUNTIF(lst_Jobs,A88&amp;"")&gt;0,"OK","CHECK"))</f>
        <v/>
      </c>
      <c r="I88" s="26">
        <f>IF(A88="","",IFERROR(INDEX(lst_JobName,MATCH(A88&amp;"",lst_Jobs,0)),""))</f>
        <v/>
      </c>
      <c r="J88" s="26">
        <f>IF(A88="","",IFERROR(IF(INDEX(tbl_Onsite[Client],IFERROR(MATCH(A88&amp;"",tbl_Onsite[Job Number],0),MATCH(IFERROR(A88+0,A88),tbl_Onsite[Job Number],0)))="","",INDEX(tbl_Onsite[Client],IFERROR(MATCH(A88&amp;"",tbl_Onsite[Job Number],0),MATCH(IFERROR(A88+0,A88),tbl_Onsite[Job Number],0)))),IFERROR(IF(INDEX(tbl_Production[Client],IFERROR(MATCH(A88&amp;"",tbl_Production[Job Number],0),MATCH(IFERROR(A88+0,A88),tbl_Production[Job Number],0)))="","",INDEX(tbl_Production[Client],IFERROR(MATCH(A88&amp;"",tbl_Production[Job Number],0),MATCH(IFERROR(A88+0,A88),tbl_Production[Job Number],0)))),IFERROR(IF(INDEX(tbl_Consulting[Client],IFERROR(MATCH(A88&amp;"",tbl_Consulting[Job Number],0),MATCH(IFERROR(A88+0,A88),tbl_Consulting[Job Number],0)))="","",INDEX(tbl_Consulting[Client],IFERROR(MATCH(A88&amp;"",tbl_Consulting[Job Number],0),MATCH(IFERROR(A88+0,A88),tbl_Consulting[Job Number],0)))),""))))</f>
        <v/>
      </c>
      <c r="K88" s="26">
        <f>IF(A88="","",IFERROR(IF(INDEX(tbl_Onsite[Job Description],IFERROR(MATCH(A88&amp;"",tbl_Onsite[Job Number],0),MATCH(IFERROR(A88+0,A88),tbl_Onsite[Job Number],0)))="","",INDEX(tbl_Onsite[Job Description],IFERROR(MATCH(A88&amp;"",tbl_Onsite[Job Number],0),MATCH(IFERROR(A88+0,A88),tbl_Onsite[Job Number],0)))),IFERROR(IF(INDEX(tbl_Production[Job Description],IFERROR(MATCH(A88&amp;"",tbl_Production[Job Number],0),MATCH(IFERROR(A88+0,A88),tbl_Production[Job Number],0)))="","",INDEX(tbl_Production[Job Description],IFERROR(MATCH(A88&amp;"",tbl_Production[Job Number],0),MATCH(IFERROR(A88+0,A88),tbl_Production[Job Number],0)))),IFERROR(IF(INDEX(tbl_Consulting[Job Description],IFERROR(MATCH(A88&amp;"",tbl_Consulting[Job Number],0),MATCH(IFERROR(A88+0,A88),tbl_Consulting[Job Number],0)))="","",INDEX(tbl_Consulting[Job Description],IFERROR(MATCH(A88&amp;"",tbl_Consulting[Job Number],0),MATCH(IFERROR(A88+0,A88),tbl_Consulting[Job Number],0)))),""))))</f>
        <v/>
      </c>
      <c r="L88" s="26">
        <f>IF(A88="","",IFERROR(IF(INDEX(tbl_Onsite[Invoice Type],IFERROR(MATCH(A88&amp;"",tbl_Onsite[Job Number],0),MATCH(IFERROR(A88+0,A88),tbl_Onsite[Job Number],0)))="","",INDEX(tbl_Onsite[Invoice Type],IFERROR(MATCH(A88&amp;"",tbl_Onsite[Job Number],0),MATCH(IFERROR(A88+0,A88),tbl_Onsite[Job Number],0)))),IFERROR(IF(INDEX(tbl_Production[Invoice Type],IFERROR(MATCH(A88&amp;"",tbl_Production[Job Number],0),MATCH(IFERROR(A88+0,A88),tbl_Production[Job Number],0)))="","",INDEX(tbl_Production[Invoice Type],IFERROR(MATCH(A88&amp;"",tbl_Production[Job Number],0),MATCH(IFERROR(A88+0,A88),tbl_Production[Job Number],0)))),IFERROR(IF(INDEX(tbl_Consulting[Invoice Type],IFERROR(MATCH(A88&amp;"",tbl_Consulting[Job Number],0),MATCH(IFERROR(A88+0,A88),tbl_Consulting[Job Number],0)))="","",INDEX(tbl_Consulting[Invoice Type],IFERROR(MATCH(A88&amp;"",tbl_Consulting[Job Number],0),MATCH(IFERROR(A88+0,A88),tbl_Consulting[Job Number],0)))),""))))</f>
        <v/>
      </c>
      <c r="M88" s="26">
        <f>IF(A88="","",IF(IFERROR(IF(INDEX(tbl_Onsite[Tax Code],IFERROR(MATCH(A88&amp;"",tbl_Onsite[Job Number],0),MATCH(IFERROR(A88+0,A88),tbl_Onsite[Job Number],0)))="","",INDEX(tbl_Onsite[Tax Code],IFERROR(MATCH(A88&amp;"",tbl_Onsite[Job Number],0),MATCH(IFERROR(A88+0,A88),tbl_Onsite[Job Number],0)))),IFERROR(IF(INDEX(tbl_Production[Tax Code],IFERROR(MATCH(A88&amp;"",tbl_Production[Job Number],0),MATCH(IFERROR(A88+0,A88),tbl_Production[Job Number],0)))="","",INDEX(tbl_Production[Tax Code],IFERROR(MATCH(A88&amp;"",tbl_Production[Job Number],0),MATCH(IFERROR(A88+0,A88),tbl_Production[Job Number],0)))),IFERROR(IF(INDEX(tbl_Consulting[Tax Code],IFERROR(MATCH(A88&amp;"",tbl_Consulting[Job Number],0),MATCH(IFERROR(A88+0,A88),tbl_Consulting[Job Number],0)))="","",INDEX(tbl_Consulting[Tax Code],IFERROR(MATCH(A88&amp;"",tbl_Consulting[Job Number],0),MATCH(IFERROR(A88+0,A88),tbl_Consulting[Job Number],0)))),"")))="","GST 10%",IFERROR(IF(INDEX(tbl_Onsite[Tax Code],IFERROR(MATCH(A88&amp;"",tbl_Onsite[Job Number],0),MATCH(IFERROR(A88+0,A88),tbl_Onsite[Job Number],0)))="","",INDEX(tbl_Onsite[Tax Code],IFERROR(MATCH(A88&amp;"",tbl_Onsite[Job Number],0),MATCH(IFERROR(A88+0,A88),tbl_Onsite[Job Number],0)))),IFERROR(IF(INDEX(tbl_Production[Tax Code],IFERROR(MATCH(A88&amp;"",tbl_Production[Job Number],0),MATCH(IFERROR(A88+0,A88),tbl_Production[Job Number],0)))="","",INDEX(tbl_Production[Tax Code],IFERROR(MATCH(A88&amp;"",tbl_Production[Job Number],0),MATCH(IFERROR(A88+0,A88),tbl_Production[Job Number],0)))),IFERROR(IF(INDEX(tbl_Consulting[Tax Code],IFERROR(MATCH(A88&amp;"",tbl_Consulting[Job Number],0),MATCH(IFERROR(A88+0,A88),tbl_Consulting[Job Number],0)))="","",INDEX(tbl_Consulting[Tax Code],IFERROR(MATCH(A88&amp;"",tbl_Consulting[Job Number],0),MATCH(IFERROR(A88+0,A88),tbl_Consulting[Job Number],0)))),"")))))</f>
        <v/>
      </c>
      <c r="N88" s="26">
        <f>IF(D88="","",IFERROR(INDEX(lst_CCtoGL,MATCH(D88,lst_CCforGL,0)),""))</f>
        <v/>
      </c>
      <c r="O88" s="27">
        <f>IF(E88="","",IF(M88="GST 10%",ROUND(E88*set_GSTRate,2),0))</f>
        <v/>
      </c>
      <c r="P88" s="27">
        <f>IF(E88="","",E88+O88)</f>
        <v/>
      </c>
      <c r="Q88" s="27">
        <f>IF(A88="","",IFERROR(INDEX(tbl_Onsite[Expected Revenue Ex GST],IFERROR(MATCH(A88&amp;"",tbl_Onsite[Job Number],0),MATCH(IFERROR(A88+0,A88),tbl_Onsite[Job Number],0))),IFERROR(INDEX(tbl_Production[Expected Revenue Ex GST],IFERROR(MATCH(A88&amp;"",tbl_Production[Job Number],0),MATCH(IFERROR(A88+0,A88),tbl_Production[Job Number],0))),IFERROR(INDEX(tbl_Consulting[Expected Revenue Ex GST],IFERROR(MATCH(A88&amp;"",tbl_Consulting[Job Number],0),MATCH(IFERROR(A88+0,A88),tbl_Consulting[Job Number],0))),0))))</f>
        <v/>
      </c>
      <c r="R88" s="27">
        <f>IF(A88="","",SUMIFS(tbl_Finance[Ex GST],tbl_Finance[Job Number],A88&amp;""))</f>
        <v/>
      </c>
      <c r="S88" s="27">
        <f>IF(A88="","",Q88-R88)</f>
        <v/>
      </c>
      <c r="T88" s="26">
        <f>IF(A88="","",IF(Q88=0,"No dept value",IF(ROUND(S88,2)=0,"Agrees",IF(S88&gt;0,"Dept higher - to invoice","Xero higher - check dept"))))</f>
        <v/>
      </c>
      <c r="U88" s="22" t="n"/>
      <c r="V88" s="22" t="n"/>
      <c r="W88" s="23" t="n"/>
      <c r="X88" s="23" t="n"/>
      <c r="Y88" s="22" t="n"/>
      <c r="Z88" s="22" t="n"/>
      <c r="AA88" s="26">
        <f>IF(COUNTA(C88,A88,B88,E88)=0,"",IF(C88="","No date - sits outside every month",IF(A88="","No job number",IF(H88="CHECK","Job number is not in the Xero job list",IF(G88="not set up yet","No department has set this job up - nothing can pull through",IF(D88="","No cost centre",IF(AND(U88="Y",B88=""),"Marked posted to Xero but has no invoice number",IF(N88="","Cost centre has no revenue GL on the Lists sheet",IF(T88="Xero higher - check dept","Invoiced more than the department says the job is worth","")))))))))</f>
        <v/>
      </c>
      <c r="AB88" s="28">
        <f>IF(A88="","",COUNTIFS(tbl_Finance[Job Number],A88&amp;"",tbl_Finance[Ex GST],"&lt;&gt;"))</f>
        <v/>
      </c>
      <c r="AC88" s="27">
        <f>IF(A88="","",SUMIFS(tbl_Finance[Ex GST],tbl_Finance[Job Number],A88&amp;""))</f>
        <v/>
      </c>
      <c r="AD88" s="27">
        <f>IF(A88="","",SUMIFS(tbl_Finance[Ex GST],tbl_Finance[Job Number],A88&amp;"",tbl_Finance[Xero Invoice No],"&lt;&gt;"))</f>
        <v/>
      </c>
      <c r="AE88" s="27">
        <f>IF(A88="","",AC88-AD88)</f>
        <v/>
      </c>
      <c r="AF88" s="26">
        <f>IF(A88="","",IFERROR(IF(INDEX(tbl_Onsite[Qwilr Quote],IFERROR(MATCH(A88&amp;"",tbl_Onsite[Job Number],0),MATCH(IFERROR(A88+0,A88),tbl_Onsite[Job Number],0)))="","",INDEX(tbl_Onsite[Qwilr Quote],IFERROR(MATCH(A88&amp;"",tbl_Onsite[Job Number],0),MATCH(IFERROR(A88+0,A88),tbl_Onsite[Job Number],0)))),IFERROR(IF(IF(INDEX(tbl_Production[Current RMS No],IFERROR(MATCH(A88&amp;"",tbl_Production[Job Number],0),MATCH(IFERROR(A88+0,A88),tbl_Production[Job Number],0)))="",INDEX(tbl_Production[Qwilr Quote],IFERROR(MATCH(A88&amp;"",tbl_Production[Job Number],0),MATCH(IFERROR(A88+0,A88),tbl_Production[Job Number],0))),INDEX(tbl_Production[Current RMS No],IFERROR(MATCH(A88&amp;"",tbl_Production[Job Number],0),MATCH(IFERROR(A88+0,A88),tbl_Production[Job Number],0))))="","",IF(INDEX(tbl_Production[Current RMS No],IFERROR(MATCH(A88&amp;"",tbl_Production[Job Number],0),MATCH(IFERROR(A88+0,A88),tbl_Production[Job Number],0)))="",INDEX(tbl_Production[Qwilr Quote],IFERROR(MATCH(A88&amp;"",tbl_Production[Job Number],0),MATCH(IFERROR(A88+0,A88),tbl_Production[Job Number],0))),INDEX(tbl_Production[Current RMS No],IFERROR(MATCH(A88&amp;"",tbl_Production[Job Number],0),MATCH(IFERROR(A88+0,A88),tbl_Production[Job Number],0))))),IFERROR(IF(INDEX(tbl_Consulting[Qwilr Quote],IFERROR(MATCH(A88&amp;"",tbl_Consulting[Job Number],0),MATCH(IFERROR(A88+0,A88),tbl_Consulting[Job Number],0)))="","",INDEX(tbl_Consulting[Qwilr Quote],IFERROR(MATCH(A88&amp;"",tbl_Consulting[Job Number],0),MATCH(IFERROR(A88+0,A88),tbl_Consulting[Job Number],0)))),""))))</f>
        <v/>
      </c>
      <c r="AG88" s="26">
        <f>IF(AF88="","",IF(AND(LEFT(AF88,4)&lt;&gt;"http",IF(G88="Production",set_RMSBase,set_QwilrBase)=""),"",HYPERLINK(IF(LEFT(AF88,4)="http",AF88,IF(G88="Production",set_RMSBase,set_QwilrBase)&amp;AF88),"Open")))</f>
        <v/>
      </c>
      <c r="AH88" s="27">
        <f>IF(A88="","",IFERROR(INDEX(tbl_Production[Total Expense],IFERROR(MATCH(A88&amp;"",tbl_Production[Job Number],0),MATCH(IFERROR(A88+0,A88),tbl_Production[Job Number],0))),IFERROR(INDEX(tbl_Consulting[Total Expense],IFERROR(MATCH(A88&amp;"",tbl_Consulting[Job Number],0),MATCH(IFERROR(A88+0,A88),tbl_Consulting[Job Number],0))),0)))</f>
        <v/>
      </c>
      <c r="AI88" s="27">
        <f>IF(A88="","",AC88-N(AH88))</f>
        <v/>
      </c>
      <c r="AJ88" s="29">
        <f>IFERROR(AI88/AC88,"")</f>
        <v/>
      </c>
      <c r="AK88" s="26">
        <f>IF(A88="","",IFERROR(IF(INDEX(tbl_Onsite[Notes],IFERROR(MATCH(A88&amp;"",tbl_Onsite[Job Number],0),MATCH(IFERROR(A88+0,A88),tbl_Onsite[Job Number],0)))="","",INDEX(tbl_Onsite[Notes],IFERROR(MATCH(A88&amp;"",tbl_Onsite[Job Number],0),MATCH(IFERROR(A88+0,A88),tbl_Onsite[Job Number],0)))),IFERROR(IF(INDEX(tbl_Production[Notes],IFERROR(MATCH(A88&amp;"",tbl_Production[Job Number],0),MATCH(IFERROR(A88+0,A88),tbl_Production[Job Number],0)))="","",INDEX(tbl_Production[Notes],IFERROR(MATCH(A88&amp;"",tbl_Production[Job Number],0),MATCH(IFERROR(A88+0,A88),tbl_Production[Job Number],0)))),IFERROR(IF(INDEX(tbl_Consulting[Notes],IFERROR(MATCH(A88&amp;"",tbl_Consulting[Job Number],0),MATCH(IFERROR(A88+0,A88),tbl_Consulting[Job Number],0)))="","",INDEX(tbl_Consulting[Notes],IFERROR(MATCH(A88&amp;"",tbl_Consulting[Job Number],0),MATCH(IFERROR(A88+0,A88),tbl_Consulting[Job Number],0)))),""))))</f>
        <v/>
      </c>
    </row>
    <row r="89" ht="15" customHeight="1">
      <c r="A89" s="22" t="n"/>
      <c r="B89" s="22" t="n"/>
      <c r="C89" s="23" t="n"/>
      <c r="D89" s="22" t="n"/>
      <c r="E89" s="24" t="n"/>
      <c r="F89" s="25">
        <f>IF(C89="","",EOMONTH(C89,0))</f>
        <v/>
      </c>
      <c r="G89" s="26">
        <f>IF(A89="","",IF(COUNTIF(tbl_Onsite[Job Number],A89&amp;"")&gt;0,"Onsite",IF(COUNTIF(tbl_Production[Job Number],A89&amp;"")&gt;0,"Production",IF(COUNTIF(tbl_Consulting[Job Number],A89&amp;"")&gt;0,"Consulting","not set up yet"))))</f>
        <v/>
      </c>
      <c r="H89" s="26">
        <f>IF(A89="","",IF(COUNTIF(lst_Jobs,A89&amp;"")&gt;0,"OK","CHECK"))</f>
        <v/>
      </c>
      <c r="I89" s="26">
        <f>IF(A89="","",IFERROR(INDEX(lst_JobName,MATCH(A89&amp;"",lst_Jobs,0)),""))</f>
        <v/>
      </c>
      <c r="J89" s="26">
        <f>IF(A89="","",IFERROR(IF(INDEX(tbl_Onsite[Client],IFERROR(MATCH(A89&amp;"",tbl_Onsite[Job Number],0),MATCH(IFERROR(A89+0,A89),tbl_Onsite[Job Number],0)))="","",INDEX(tbl_Onsite[Client],IFERROR(MATCH(A89&amp;"",tbl_Onsite[Job Number],0),MATCH(IFERROR(A89+0,A89),tbl_Onsite[Job Number],0)))),IFERROR(IF(INDEX(tbl_Production[Client],IFERROR(MATCH(A89&amp;"",tbl_Production[Job Number],0),MATCH(IFERROR(A89+0,A89),tbl_Production[Job Number],0)))="","",INDEX(tbl_Production[Client],IFERROR(MATCH(A89&amp;"",tbl_Production[Job Number],0),MATCH(IFERROR(A89+0,A89),tbl_Production[Job Number],0)))),IFERROR(IF(INDEX(tbl_Consulting[Client],IFERROR(MATCH(A89&amp;"",tbl_Consulting[Job Number],0),MATCH(IFERROR(A89+0,A89),tbl_Consulting[Job Number],0)))="","",INDEX(tbl_Consulting[Client],IFERROR(MATCH(A89&amp;"",tbl_Consulting[Job Number],0),MATCH(IFERROR(A89+0,A89),tbl_Consulting[Job Number],0)))),""))))</f>
        <v/>
      </c>
      <c r="K89" s="26">
        <f>IF(A89="","",IFERROR(IF(INDEX(tbl_Onsite[Job Description],IFERROR(MATCH(A89&amp;"",tbl_Onsite[Job Number],0),MATCH(IFERROR(A89+0,A89),tbl_Onsite[Job Number],0)))="","",INDEX(tbl_Onsite[Job Description],IFERROR(MATCH(A89&amp;"",tbl_Onsite[Job Number],0),MATCH(IFERROR(A89+0,A89),tbl_Onsite[Job Number],0)))),IFERROR(IF(INDEX(tbl_Production[Job Description],IFERROR(MATCH(A89&amp;"",tbl_Production[Job Number],0),MATCH(IFERROR(A89+0,A89),tbl_Production[Job Number],0)))="","",INDEX(tbl_Production[Job Description],IFERROR(MATCH(A89&amp;"",tbl_Production[Job Number],0),MATCH(IFERROR(A89+0,A89),tbl_Production[Job Number],0)))),IFERROR(IF(INDEX(tbl_Consulting[Job Description],IFERROR(MATCH(A89&amp;"",tbl_Consulting[Job Number],0),MATCH(IFERROR(A89+0,A89),tbl_Consulting[Job Number],0)))="","",INDEX(tbl_Consulting[Job Description],IFERROR(MATCH(A89&amp;"",tbl_Consulting[Job Number],0),MATCH(IFERROR(A89+0,A89),tbl_Consulting[Job Number],0)))),""))))</f>
        <v/>
      </c>
      <c r="L89" s="26">
        <f>IF(A89="","",IFERROR(IF(INDEX(tbl_Onsite[Invoice Type],IFERROR(MATCH(A89&amp;"",tbl_Onsite[Job Number],0),MATCH(IFERROR(A89+0,A89),tbl_Onsite[Job Number],0)))="","",INDEX(tbl_Onsite[Invoice Type],IFERROR(MATCH(A89&amp;"",tbl_Onsite[Job Number],0),MATCH(IFERROR(A89+0,A89),tbl_Onsite[Job Number],0)))),IFERROR(IF(INDEX(tbl_Production[Invoice Type],IFERROR(MATCH(A89&amp;"",tbl_Production[Job Number],0),MATCH(IFERROR(A89+0,A89),tbl_Production[Job Number],0)))="","",INDEX(tbl_Production[Invoice Type],IFERROR(MATCH(A89&amp;"",tbl_Production[Job Number],0),MATCH(IFERROR(A89+0,A89),tbl_Production[Job Number],0)))),IFERROR(IF(INDEX(tbl_Consulting[Invoice Type],IFERROR(MATCH(A89&amp;"",tbl_Consulting[Job Number],0),MATCH(IFERROR(A89+0,A89),tbl_Consulting[Job Number],0)))="","",INDEX(tbl_Consulting[Invoice Type],IFERROR(MATCH(A89&amp;"",tbl_Consulting[Job Number],0),MATCH(IFERROR(A89+0,A89),tbl_Consulting[Job Number],0)))),""))))</f>
        <v/>
      </c>
      <c r="M89" s="26">
        <f>IF(A89="","",IF(IFERROR(IF(INDEX(tbl_Onsite[Tax Code],IFERROR(MATCH(A89&amp;"",tbl_Onsite[Job Number],0),MATCH(IFERROR(A89+0,A89),tbl_Onsite[Job Number],0)))="","",INDEX(tbl_Onsite[Tax Code],IFERROR(MATCH(A89&amp;"",tbl_Onsite[Job Number],0),MATCH(IFERROR(A89+0,A89),tbl_Onsite[Job Number],0)))),IFERROR(IF(INDEX(tbl_Production[Tax Code],IFERROR(MATCH(A89&amp;"",tbl_Production[Job Number],0),MATCH(IFERROR(A89+0,A89),tbl_Production[Job Number],0)))="","",INDEX(tbl_Production[Tax Code],IFERROR(MATCH(A89&amp;"",tbl_Production[Job Number],0),MATCH(IFERROR(A89+0,A89),tbl_Production[Job Number],0)))),IFERROR(IF(INDEX(tbl_Consulting[Tax Code],IFERROR(MATCH(A89&amp;"",tbl_Consulting[Job Number],0),MATCH(IFERROR(A89+0,A89),tbl_Consulting[Job Number],0)))="","",INDEX(tbl_Consulting[Tax Code],IFERROR(MATCH(A89&amp;"",tbl_Consulting[Job Number],0),MATCH(IFERROR(A89+0,A89),tbl_Consulting[Job Number],0)))),"")))="","GST 10%",IFERROR(IF(INDEX(tbl_Onsite[Tax Code],IFERROR(MATCH(A89&amp;"",tbl_Onsite[Job Number],0),MATCH(IFERROR(A89+0,A89),tbl_Onsite[Job Number],0)))="","",INDEX(tbl_Onsite[Tax Code],IFERROR(MATCH(A89&amp;"",tbl_Onsite[Job Number],0),MATCH(IFERROR(A89+0,A89),tbl_Onsite[Job Number],0)))),IFERROR(IF(INDEX(tbl_Production[Tax Code],IFERROR(MATCH(A89&amp;"",tbl_Production[Job Number],0),MATCH(IFERROR(A89+0,A89),tbl_Production[Job Number],0)))="","",INDEX(tbl_Production[Tax Code],IFERROR(MATCH(A89&amp;"",tbl_Production[Job Number],0),MATCH(IFERROR(A89+0,A89),tbl_Production[Job Number],0)))),IFERROR(IF(INDEX(tbl_Consulting[Tax Code],IFERROR(MATCH(A89&amp;"",tbl_Consulting[Job Number],0),MATCH(IFERROR(A89+0,A89),tbl_Consulting[Job Number],0)))="","",INDEX(tbl_Consulting[Tax Code],IFERROR(MATCH(A89&amp;"",tbl_Consulting[Job Number],0),MATCH(IFERROR(A89+0,A89),tbl_Consulting[Job Number],0)))),"")))))</f>
        <v/>
      </c>
      <c r="N89" s="26">
        <f>IF(D89="","",IFERROR(INDEX(lst_CCtoGL,MATCH(D89,lst_CCforGL,0)),""))</f>
        <v/>
      </c>
      <c r="O89" s="27">
        <f>IF(E89="","",IF(M89="GST 10%",ROUND(E89*set_GSTRate,2),0))</f>
        <v/>
      </c>
      <c r="P89" s="27">
        <f>IF(E89="","",E89+O89)</f>
        <v/>
      </c>
      <c r="Q89" s="27">
        <f>IF(A89="","",IFERROR(INDEX(tbl_Onsite[Expected Revenue Ex GST],IFERROR(MATCH(A89&amp;"",tbl_Onsite[Job Number],0),MATCH(IFERROR(A89+0,A89),tbl_Onsite[Job Number],0))),IFERROR(INDEX(tbl_Production[Expected Revenue Ex GST],IFERROR(MATCH(A89&amp;"",tbl_Production[Job Number],0),MATCH(IFERROR(A89+0,A89),tbl_Production[Job Number],0))),IFERROR(INDEX(tbl_Consulting[Expected Revenue Ex GST],IFERROR(MATCH(A89&amp;"",tbl_Consulting[Job Number],0),MATCH(IFERROR(A89+0,A89),tbl_Consulting[Job Number],0))),0))))</f>
        <v/>
      </c>
      <c r="R89" s="27">
        <f>IF(A89="","",SUMIFS(tbl_Finance[Ex GST],tbl_Finance[Job Number],A89&amp;""))</f>
        <v/>
      </c>
      <c r="S89" s="27">
        <f>IF(A89="","",Q89-R89)</f>
        <v/>
      </c>
      <c r="T89" s="26">
        <f>IF(A89="","",IF(Q89=0,"No dept value",IF(ROUND(S89,2)=0,"Agrees",IF(S89&gt;0,"Dept higher - to invoice","Xero higher - check dept"))))</f>
        <v/>
      </c>
      <c r="U89" s="22" t="n"/>
      <c r="V89" s="22" t="n"/>
      <c r="W89" s="23" t="n"/>
      <c r="X89" s="23" t="n"/>
      <c r="Y89" s="22" t="n"/>
      <c r="Z89" s="22" t="n"/>
      <c r="AA89" s="26">
        <f>IF(COUNTA(C89,A89,B89,E89)=0,"",IF(C89="","No date - sits outside every month",IF(A89="","No job number",IF(H89="CHECK","Job number is not in the Xero job list",IF(G89="not set up yet","No department has set this job up - nothing can pull through",IF(D89="","No cost centre",IF(AND(U89="Y",B89=""),"Marked posted to Xero but has no invoice number",IF(N89="","Cost centre has no revenue GL on the Lists sheet",IF(T89="Xero higher - check dept","Invoiced more than the department says the job is worth","")))))))))</f>
        <v/>
      </c>
      <c r="AB89" s="28">
        <f>IF(A89="","",COUNTIFS(tbl_Finance[Job Number],A89&amp;"",tbl_Finance[Ex GST],"&lt;&gt;"))</f>
        <v/>
      </c>
      <c r="AC89" s="27">
        <f>IF(A89="","",SUMIFS(tbl_Finance[Ex GST],tbl_Finance[Job Number],A89&amp;""))</f>
        <v/>
      </c>
      <c r="AD89" s="27">
        <f>IF(A89="","",SUMIFS(tbl_Finance[Ex GST],tbl_Finance[Job Number],A89&amp;"",tbl_Finance[Xero Invoice No],"&lt;&gt;"))</f>
        <v/>
      </c>
      <c r="AE89" s="27">
        <f>IF(A89="","",AC89-AD89)</f>
        <v/>
      </c>
      <c r="AF89" s="26">
        <f>IF(A89="","",IFERROR(IF(INDEX(tbl_Onsite[Qwilr Quote],IFERROR(MATCH(A89&amp;"",tbl_Onsite[Job Number],0),MATCH(IFERROR(A89+0,A89),tbl_Onsite[Job Number],0)))="","",INDEX(tbl_Onsite[Qwilr Quote],IFERROR(MATCH(A89&amp;"",tbl_Onsite[Job Number],0),MATCH(IFERROR(A89+0,A89),tbl_Onsite[Job Number],0)))),IFERROR(IF(IF(INDEX(tbl_Production[Current RMS No],IFERROR(MATCH(A89&amp;"",tbl_Production[Job Number],0),MATCH(IFERROR(A89+0,A89),tbl_Production[Job Number],0)))="",INDEX(tbl_Production[Qwilr Quote],IFERROR(MATCH(A89&amp;"",tbl_Production[Job Number],0),MATCH(IFERROR(A89+0,A89),tbl_Production[Job Number],0))),INDEX(tbl_Production[Current RMS No],IFERROR(MATCH(A89&amp;"",tbl_Production[Job Number],0),MATCH(IFERROR(A89+0,A89),tbl_Production[Job Number],0))))="","",IF(INDEX(tbl_Production[Current RMS No],IFERROR(MATCH(A89&amp;"",tbl_Production[Job Number],0),MATCH(IFERROR(A89+0,A89),tbl_Production[Job Number],0)))="",INDEX(tbl_Production[Qwilr Quote],IFERROR(MATCH(A89&amp;"",tbl_Production[Job Number],0),MATCH(IFERROR(A89+0,A89),tbl_Production[Job Number],0))),INDEX(tbl_Production[Current RMS No],IFERROR(MATCH(A89&amp;"",tbl_Production[Job Number],0),MATCH(IFERROR(A89+0,A89),tbl_Production[Job Number],0))))),IFERROR(IF(INDEX(tbl_Consulting[Qwilr Quote],IFERROR(MATCH(A89&amp;"",tbl_Consulting[Job Number],0),MATCH(IFERROR(A89+0,A89),tbl_Consulting[Job Number],0)))="","",INDEX(tbl_Consulting[Qwilr Quote],IFERROR(MATCH(A89&amp;"",tbl_Consulting[Job Number],0),MATCH(IFERROR(A89+0,A89),tbl_Consulting[Job Number],0)))),""))))</f>
        <v/>
      </c>
      <c r="AG89" s="26">
        <f>IF(AF89="","",IF(AND(LEFT(AF89,4)&lt;&gt;"http",IF(G89="Production",set_RMSBase,set_QwilrBase)=""),"",HYPERLINK(IF(LEFT(AF89,4)="http",AF89,IF(G89="Production",set_RMSBase,set_QwilrBase)&amp;AF89),"Open")))</f>
        <v/>
      </c>
      <c r="AH89" s="27">
        <f>IF(A89="","",IFERROR(INDEX(tbl_Production[Total Expense],IFERROR(MATCH(A89&amp;"",tbl_Production[Job Number],0),MATCH(IFERROR(A89+0,A89),tbl_Production[Job Number],0))),IFERROR(INDEX(tbl_Consulting[Total Expense],IFERROR(MATCH(A89&amp;"",tbl_Consulting[Job Number],0),MATCH(IFERROR(A89+0,A89),tbl_Consulting[Job Number],0))),0)))</f>
        <v/>
      </c>
      <c r="AI89" s="27">
        <f>IF(A89="","",AC89-N(AH89))</f>
        <v/>
      </c>
      <c r="AJ89" s="29">
        <f>IFERROR(AI89/AC89,"")</f>
        <v/>
      </c>
      <c r="AK89" s="26">
        <f>IF(A89="","",IFERROR(IF(INDEX(tbl_Onsite[Notes],IFERROR(MATCH(A89&amp;"",tbl_Onsite[Job Number],0),MATCH(IFERROR(A89+0,A89),tbl_Onsite[Job Number],0)))="","",INDEX(tbl_Onsite[Notes],IFERROR(MATCH(A89&amp;"",tbl_Onsite[Job Number],0),MATCH(IFERROR(A89+0,A89),tbl_Onsite[Job Number],0)))),IFERROR(IF(INDEX(tbl_Production[Notes],IFERROR(MATCH(A89&amp;"",tbl_Production[Job Number],0),MATCH(IFERROR(A89+0,A89),tbl_Production[Job Number],0)))="","",INDEX(tbl_Production[Notes],IFERROR(MATCH(A89&amp;"",tbl_Production[Job Number],0),MATCH(IFERROR(A89+0,A89),tbl_Production[Job Number],0)))),IFERROR(IF(INDEX(tbl_Consulting[Notes],IFERROR(MATCH(A89&amp;"",tbl_Consulting[Job Number],0),MATCH(IFERROR(A89+0,A89),tbl_Consulting[Job Number],0)))="","",INDEX(tbl_Consulting[Notes],IFERROR(MATCH(A89&amp;"",tbl_Consulting[Job Number],0),MATCH(IFERROR(A89+0,A89),tbl_Consulting[Job Number],0)))),""))))</f>
        <v/>
      </c>
    </row>
    <row r="90" ht="15" customHeight="1">
      <c r="A90" s="22" t="n"/>
      <c r="B90" s="22" t="n"/>
      <c r="C90" s="23" t="n"/>
      <c r="D90" s="22" t="n"/>
      <c r="E90" s="24" t="n"/>
      <c r="F90" s="25">
        <f>IF(C90="","",EOMONTH(C90,0))</f>
        <v/>
      </c>
      <c r="G90" s="26">
        <f>IF(A90="","",IF(COUNTIF(tbl_Onsite[Job Number],A90&amp;"")&gt;0,"Onsite",IF(COUNTIF(tbl_Production[Job Number],A90&amp;"")&gt;0,"Production",IF(COUNTIF(tbl_Consulting[Job Number],A90&amp;"")&gt;0,"Consulting","not set up yet"))))</f>
        <v/>
      </c>
      <c r="H90" s="26">
        <f>IF(A90="","",IF(COUNTIF(lst_Jobs,A90&amp;"")&gt;0,"OK","CHECK"))</f>
        <v/>
      </c>
      <c r="I90" s="26">
        <f>IF(A90="","",IFERROR(INDEX(lst_JobName,MATCH(A90&amp;"",lst_Jobs,0)),""))</f>
        <v/>
      </c>
      <c r="J90" s="26">
        <f>IF(A90="","",IFERROR(IF(INDEX(tbl_Onsite[Client],IFERROR(MATCH(A90&amp;"",tbl_Onsite[Job Number],0),MATCH(IFERROR(A90+0,A90),tbl_Onsite[Job Number],0)))="","",INDEX(tbl_Onsite[Client],IFERROR(MATCH(A90&amp;"",tbl_Onsite[Job Number],0),MATCH(IFERROR(A90+0,A90),tbl_Onsite[Job Number],0)))),IFERROR(IF(INDEX(tbl_Production[Client],IFERROR(MATCH(A90&amp;"",tbl_Production[Job Number],0),MATCH(IFERROR(A90+0,A90),tbl_Production[Job Number],0)))="","",INDEX(tbl_Production[Client],IFERROR(MATCH(A90&amp;"",tbl_Production[Job Number],0),MATCH(IFERROR(A90+0,A90),tbl_Production[Job Number],0)))),IFERROR(IF(INDEX(tbl_Consulting[Client],IFERROR(MATCH(A90&amp;"",tbl_Consulting[Job Number],0),MATCH(IFERROR(A90+0,A90),tbl_Consulting[Job Number],0)))="","",INDEX(tbl_Consulting[Client],IFERROR(MATCH(A90&amp;"",tbl_Consulting[Job Number],0),MATCH(IFERROR(A90+0,A90),tbl_Consulting[Job Number],0)))),""))))</f>
        <v/>
      </c>
      <c r="K90" s="26">
        <f>IF(A90="","",IFERROR(IF(INDEX(tbl_Onsite[Job Description],IFERROR(MATCH(A90&amp;"",tbl_Onsite[Job Number],0),MATCH(IFERROR(A90+0,A90),tbl_Onsite[Job Number],0)))="","",INDEX(tbl_Onsite[Job Description],IFERROR(MATCH(A90&amp;"",tbl_Onsite[Job Number],0),MATCH(IFERROR(A90+0,A90),tbl_Onsite[Job Number],0)))),IFERROR(IF(INDEX(tbl_Production[Job Description],IFERROR(MATCH(A90&amp;"",tbl_Production[Job Number],0),MATCH(IFERROR(A90+0,A90),tbl_Production[Job Number],0)))="","",INDEX(tbl_Production[Job Description],IFERROR(MATCH(A90&amp;"",tbl_Production[Job Number],0),MATCH(IFERROR(A90+0,A90),tbl_Production[Job Number],0)))),IFERROR(IF(INDEX(tbl_Consulting[Job Description],IFERROR(MATCH(A90&amp;"",tbl_Consulting[Job Number],0),MATCH(IFERROR(A90+0,A90),tbl_Consulting[Job Number],0)))="","",INDEX(tbl_Consulting[Job Description],IFERROR(MATCH(A90&amp;"",tbl_Consulting[Job Number],0),MATCH(IFERROR(A90+0,A90),tbl_Consulting[Job Number],0)))),""))))</f>
        <v/>
      </c>
      <c r="L90" s="26">
        <f>IF(A90="","",IFERROR(IF(INDEX(tbl_Onsite[Invoice Type],IFERROR(MATCH(A90&amp;"",tbl_Onsite[Job Number],0),MATCH(IFERROR(A90+0,A90),tbl_Onsite[Job Number],0)))="","",INDEX(tbl_Onsite[Invoice Type],IFERROR(MATCH(A90&amp;"",tbl_Onsite[Job Number],0),MATCH(IFERROR(A90+0,A90),tbl_Onsite[Job Number],0)))),IFERROR(IF(INDEX(tbl_Production[Invoice Type],IFERROR(MATCH(A90&amp;"",tbl_Production[Job Number],0),MATCH(IFERROR(A90+0,A90),tbl_Production[Job Number],0)))="","",INDEX(tbl_Production[Invoice Type],IFERROR(MATCH(A90&amp;"",tbl_Production[Job Number],0),MATCH(IFERROR(A90+0,A90),tbl_Production[Job Number],0)))),IFERROR(IF(INDEX(tbl_Consulting[Invoice Type],IFERROR(MATCH(A90&amp;"",tbl_Consulting[Job Number],0),MATCH(IFERROR(A90+0,A90),tbl_Consulting[Job Number],0)))="","",INDEX(tbl_Consulting[Invoice Type],IFERROR(MATCH(A90&amp;"",tbl_Consulting[Job Number],0),MATCH(IFERROR(A90+0,A90),tbl_Consulting[Job Number],0)))),""))))</f>
        <v/>
      </c>
      <c r="M90" s="26">
        <f>IF(A90="","",IF(IFERROR(IF(INDEX(tbl_Onsite[Tax Code],IFERROR(MATCH(A90&amp;"",tbl_Onsite[Job Number],0),MATCH(IFERROR(A90+0,A90),tbl_Onsite[Job Number],0)))="","",INDEX(tbl_Onsite[Tax Code],IFERROR(MATCH(A90&amp;"",tbl_Onsite[Job Number],0),MATCH(IFERROR(A90+0,A90),tbl_Onsite[Job Number],0)))),IFERROR(IF(INDEX(tbl_Production[Tax Code],IFERROR(MATCH(A90&amp;"",tbl_Production[Job Number],0),MATCH(IFERROR(A90+0,A90),tbl_Production[Job Number],0)))="","",INDEX(tbl_Production[Tax Code],IFERROR(MATCH(A90&amp;"",tbl_Production[Job Number],0),MATCH(IFERROR(A90+0,A90),tbl_Production[Job Number],0)))),IFERROR(IF(INDEX(tbl_Consulting[Tax Code],IFERROR(MATCH(A90&amp;"",tbl_Consulting[Job Number],0),MATCH(IFERROR(A90+0,A90),tbl_Consulting[Job Number],0)))="","",INDEX(tbl_Consulting[Tax Code],IFERROR(MATCH(A90&amp;"",tbl_Consulting[Job Number],0),MATCH(IFERROR(A90+0,A90),tbl_Consulting[Job Number],0)))),"")))="","GST 10%",IFERROR(IF(INDEX(tbl_Onsite[Tax Code],IFERROR(MATCH(A90&amp;"",tbl_Onsite[Job Number],0),MATCH(IFERROR(A90+0,A90),tbl_Onsite[Job Number],0)))="","",INDEX(tbl_Onsite[Tax Code],IFERROR(MATCH(A90&amp;"",tbl_Onsite[Job Number],0),MATCH(IFERROR(A90+0,A90),tbl_Onsite[Job Number],0)))),IFERROR(IF(INDEX(tbl_Production[Tax Code],IFERROR(MATCH(A90&amp;"",tbl_Production[Job Number],0),MATCH(IFERROR(A90+0,A90),tbl_Production[Job Number],0)))="","",INDEX(tbl_Production[Tax Code],IFERROR(MATCH(A90&amp;"",tbl_Production[Job Number],0),MATCH(IFERROR(A90+0,A90),tbl_Production[Job Number],0)))),IFERROR(IF(INDEX(tbl_Consulting[Tax Code],IFERROR(MATCH(A90&amp;"",tbl_Consulting[Job Number],0),MATCH(IFERROR(A90+0,A90),tbl_Consulting[Job Number],0)))="","",INDEX(tbl_Consulting[Tax Code],IFERROR(MATCH(A90&amp;"",tbl_Consulting[Job Number],0),MATCH(IFERROR(A90+0,A90),tbl_Consulting[Job Number],0)))),"")))))</f>
        <v/>
      </c>
      <c r="N90" s="26">
        <f>IF(D90="","",IFERROR(INDEX(lst_CCtoGL,MATCH(D90,lst_CCforGL,0)),""))</f>
        <v/>
      </c>
      <c r="O90" s="27">
        <f>IF(E90="","",IF(M90="GST 10%",ROUND(E90*set_GSTRate,2),0))</f>
        <v/>
      </c>
      <c r="P90" s="27">
        <f>IF(E90="","",E90+O90)</f>
        <v/>
      </c>
      <c r="Q90" s="27">
        <f>IF(A90="","",IFERROR(INDEX(tbl_Onsite[Expected Revenue Ex GST],IFERROR(MATCH(A90&amp;"",tbl_Onsite[Job Number],0),MATCH(IFERROR(A90+0,A90),tbl_Onsite[Job Number],0))),IFERROR(INDEX(tbl_Production[Expected Revenue Ex GST],IFERROR(MATCH(A90&amp;"",tbl_Production[Job Number],0),MATCH(IFERROR(A90+0,A90),tbl_Production[Job Number],0))),IFERROR(INDEX(tbl_Consulting[Expected Revenue Ex GST],IFERROR(MATCH(A90&amp;"",tbl_Consulting[Job Number],0),MATCH(IFERROR(A90+0,A90),tbl_Consulting[Job Number],0))),0))))</f>
        <v/>
      </c>
      <c r="R90" s="27">
        <f>IF(A90="","",SUMIFS(tbl_Finance[Ex GST],tbl_Finance[Job Number],A90&amp;""))</f>
        <v/>
      </c>
      <c r="S90" s="27">
        <f>IF(A90="","",Q90-R90)</f>
        <v/>
      </c>
      <c r="T90" s="26">
        <f>IF(A90="","",IF(Q90=0,"No dept value",IF(ROUND(S90,2)=0,"Agrees",IF(S90&gt;0,"Dept higher - to invoice","Xero higher - check dept"))))</f>
        <v/>
      </c>
      <c r="U90" s="22" t="n"/>
      <c r="V90" s="22" t="n"/>
      <c r="W90" s="23" t="n"/>
      <c r="X90" s="23" t="n"/>
      <c r="Y90" s="22" t="n"/>
      <c r="Z90" s="22" t="n"/>
      <c r="AA90" s="26">
        <f>IF(COUNTA(C90,A90,B90,E90)=0,"",IF(C90="","No date - sits outside every month",IF(A90="","No job number",IF(H90="CHECK","Job number is not in the Xero job list",IF(G90="not set up yet","No department has set this job up - nothing can pull through",IF(D90="","No cost centre",IF(AND(U90="Y",B90=""),"Marked posted to Xero but has no invoice number",IF(N90="","Cost centre has no revenue GL on the Lists sheet",IF(T90="Xero higher - check dept","Invoiced more than the department says the job is worth","")))))))))</f>
        <v/>
      </c>
      <c r="AB90" s="28">
        <f>IF(A90="","",COUNTIFS(tbl_Finance[Job Number],A90&amp;"",tbl_Finance[Ex GST],"&lt;&gt;"))</f>
        <v/>
      </c>
      <c r="AC90" s="27">
        <f>IF(A90="","",SUMIFS(tbl_Finance[Ex GST],tbl_Finance[Job Number],A90&amp;""))</f>
        <v/>
      </c>
      <c r="AD90" s="27">
        <f>IF(A90="","",SUMIFS(tbl_Finance[Ex GST],tbl_Finance[Job Number],A90&amp;"",tbl_Finance[Xero Invoice No],"&lt;&gt;"))</f>
        <v/>
      </c>
      <c r="AE90" s="27">
        <f>IF(A90="","",AC90-AD90)</f>
        <v/>
      </c>
      <c r="AF90" s="26">
        <f>IF(A90="","",IFERROR(IF(INDEX(tbl_Onsite[Qwilr Quote],IFERROR(MATCH(A90&amp;"",tbl_Onsite[Job Number],0),MATCH(IFERROR(A90+0,A90),tbl_Onsite[Job Number],0)))="","",INDEX(tbl_Onsite[Qwilr Quote],IFERROR(MATCH(A90&amp;"",tbl_Onsite[Job Number],0),MATCH(IFERROR(A90+0,A90),tbl_Onsite[Job Number],0)))),IFERROR(IF(IF(INDEX(tbl_Production[Current RMS No],IFERROR(MATCH(A90&amp;"",tbl_Production[Job Number],0),MATCH(IFERROR(A90+0,A90),tbl_Production[Job Number],0)))="",INDEX(tbl_Production[Qwilr Quote],IFERROR(MATCH(A90&amp;"",tbl_Production[Job Number],0),MATCH(IFERROR(A90+0,A90),tbl_Production[Job Number],0))),INDEX(tbl_Production[Current RMS No],IFERROR(MATCH(A90&amp;"",tbl_Production[Job Number],0),MATCH(IFERROR(A90+0,A90),tbl_Production[Job Number],0))))="","",IF(INDEX(tbl_Production[Current RMS No],IFERROR(MATCH(A90&amp;"",tbl_Production[Job Number],0),MATCH(IFERROR(A90+0,A90),tbl_Production[Job Number],0)))="",INDEX(tbl_Production[Qwilr Quote],IFERROR(MATCH(A90&amp;"",tbl_Production[Job Number],0),MATCH(IFERROR(A90+0,A90),tbl_Production[Job Number],0))),INDEX(tbl_Production[Current RMS No],IFERROR(MATCH(A90&amp;"",tbl_Production[Job Number],0),MATCH(IFERROR(A90+0,A90),tbl_Production[Job Number],0))))),IFERROR(IF(INDEX(tbl_Consulting[Qwilr Quote],IFERROR(MATCH(A90&amp;"",tbl_Consulting[Job Number],0),MATCH(IFERROR(A90+0,A90),tbl_Consulting[Job Number],0)))="","",INDEX(tbl_Consulting[Qwilr Quote],IFERROR(MATCH(A90&amp;"",tbl_Consulting[Job Number],0),MATCH(IFERROR(A90+0,A90),tbl_Consulting[Job Number],0)))),""))))</f>
        <v/>
      </c>
      <c r="AG90" s="26">
        <f>IF(AF90="","",IF(AND(LEFT(AF90,4)&lt;&gt;"http",IF(G90="Production",set_RMSBase,set_QwilrBase)=""),"",HYPERLINK(IF(LEFT(AF90,4)="http",AF90,IF(G90="Production",set_RMSBase,set_QwilrBase)&amp;AF90),"Open")))</f>
        <v/>
      </c>
      <c r="AH90" s="27">
        <f>IF(A90="","",IFERROR(INDEX(tbl_Production[Total Expense],IFERROR(MATCH(A90&amp;"",tbl_Production[Job Number],0),MATCH(IFERROR(A90+0,A90),tbl_Production[Job Number],0))),IFERROR(INDEX(tbl_Consulting[Total Expense],IFERROR(MATCH(A90&amp;"",tbl_Consulting[Job Number],0),MATCH(IFERROR(A90+0,A90),tbl_Consulting[Job Number],0))),0)))</f>
        <v/>
      </c>
      <c r="AI90" s="27">
        <f>IF(A90="","",AC90-N(AH90))</f>
        <v/>
      </c>
      <c r="AJ90" s="29">
        <f>IFERROR(AI90/AC90,"")</f>
        <v/>
      </c>
      <c r="AK90" s="26">
        <f>IF(A90="","",IFERROR(IF(INDEX(tbl_Onsite[Notes],IFERROR(MATCH(A90&amp;"",tbl_Onsite[Job Number],0),MATCH(IFERROR(A90+0,A90),tbl_Onsite[Job Number],0)))="","",INDEX(tbl_Onsite[Notes],IFERROR(MATCH(A90&amp;"",tbl_Onsite[Job Number],0),MATCH(IFERROR(A90+0,A90),tbl_Onsite[Job Number],0)))),IFERROR(IF(INDEX(tbl_Production[Notes],IFERROR(MATCH(A90&amp;"",tbl_Production[Job Number],0),MATCH(IFERROR(A90+0,A90),tbl_Production[Job Number],0)))="","",INDEX(tbl_Production[Notes],IFERROR(MATCH(A90&amp;"",tbl_Production[Job Number],0),MATCH(IFERROR(A90+0,A90),tbl_Production[Job Number],0)))),IFERROR(IF(INDEX(tbl_Consulting[Notes],IFERROR(MATCH(A90&amp;"",tbl_Consulting[Job Number],0),MATCH(IFERROR(A90+0,A90),tbl_Consulting[Job Number],0)))="","",INDEX(tbl_Consulting[Notes],IFERROR(MATCH(A90&amp;"",tbl_Consulting[Job Number],0),MATCH(IFERROR(A90+0,A90),tbl_Consulting[Job Number],0)))),""))))</f>
        <v/>
      </c>
    </row>
    <row r="91" ht="15" customHeight="1">
      <c r="A91" s="22" t="n"/>
      <c r="B91" s="22" t="n"/>
      <c r="C91" s="23" t="n"/>
      <c r="D91" s="22" t="n"/>
      <c r="E91" s="24" t="n"/>
      <c r="F91" s="25">
        <f>IF(C91="","",EOMONTH(C91,0))</f>
        <v/>
      </c>
      <c r="G91" s="26">
        <f>IF(A91="","",IF(COUNTIF(tbl_Onsite[Job Number],A91&amp;"")&gt;0,"Onsite",IF(COUNTIF(tbl_Production[Job Number],A91&amp;"")&gt;0,"Production",IF(COUNTIF(tbl_Consulting[Job Number],A91&amp;"")&gt;0,"Consulting","not set up yet"))))</f>
        <v/>
      </c>
      <c r="H91" s="26">
        <f>IF(A91="","",IF(COUNTIF(lst_Jobs,A91&amp;"")&gt;0,"OK","CHECK"))</f>
        <v/>
      </c>
      <c r="I91" s="26">
        <f>IF(A91="","",IFERROR(INDEX(lst_JobName,MATCH(A91&amp;"",lst_Jobs,0)),""))</f>
        <v/>
      </c>
      <c r="J91" s="26">
        <f>IF(A91="","",IFERROR(IF(INDEX(tbl_Onsite[Client],IFERROR(MATCH(A91&amp;"",tbl_Onsite[Job Number],0),MATCH(IFERROR(A91+0,A91),tbl_Onsite[Job Number],0)))="","",INDEX(tbl_Onsite[Client],IFERROR(MATCH(A91&amp;"",tbl_Onsite[Job Number],0),MATCH(IFERROR(A91+0,A91),tbl_Onsite[Job Number],0)))),IFERROR(IF(INDEX(tbl_Production[Client],IFERROR(MATCH(A91&amp;"",tbl_Production[Job Number],0),MATCH(IFERROR(A91+0,A91),tbl_Production[Job Number],0)))="","",INDEX(tbl_Production[Client],IFERROR(MATCH(A91&amp;"",tbl_Production[Job Number],0),MATCH(IFERROR(A91+0,A91),tbl_Production[Job Number],0)))),IFERROR(IF(INDEX(tbl_Consulting[Client],IFERROR(MATCH(A91&amp;"",tbl_Consulting[Job Number],0),MATCH(IFERROR(A91+0,A91),tbl_Consulting[Job Number],0)))="","",INDEX(tbl_Consulting[Client],IFERROR(MATCH(A91&amp;"",tbl_Consulting[Job Number],0),MATCH(IFERROR(A91+0,A91),tbl_Consulting[Job Number],0)))),""))))</f>
        <v/>
      </c>
      <c r="K91" s="26">
        <f>IF(A91="","",IFERROR(IF(INDEX(tbl_Onsite[Job Description],IFERROR(MATCH(A91&amp;"",tbl_Onsite[Job Number],0),MATCH(IFERROR(A91+0,A91),tbl_Onsite[Job Number],0)))="","",INDEX(tbl_Onsite[Job Description],IFERROR(MATCH(A91&amp;"",tbl_Onsite[Job Number],0),MATCH(IFERROR(A91+0,A91),tbl_Onsite[Job Number],0)))),IFERROR(IF(INDEX(tbl_Production[Job Description],IFERROR(MATCH(A91&amp;"",tbl_Production[Job Number],0),MATCH(IFERROR(A91+0,A91),tbl_Production[Job Number],0)))="","",INDEX(tbl_Production[Job Description],IFERROR(MATCH(A91&amp;"",tbl_Production[Job Number],0),MATCH(IFERROR(A91+0,A91),tbl_Production[Job Number],0)))),IFERROR(IF(INDEX(tbl_Consulting[Job Description],IFERROR(MATCH(A91&amp;"",tbl_Consulting[Job Number],0),MATCH(IFERROR(A91+0,A91),tbl_Consulting[Job Number],0)))="","",INDEX(tbl_Consulting[Job Description],IFERROR(MATCH(A91&amp;"",tbl_Consulting[Job Number],0),MATCH(IFERROR(A91+0,A91),tbl_Consulting[Job Number],0)))),""))))</f>
        <v/>
      </c>
      <c r="L91" s="26">
        <f>IF(A91="","",IFERROR(IF(INDEX(tbl_Onsite[Invoice Type],IFERROR(MATCH(A91&amp;"",tbl_Onsite[Job Number],0),MATCH(IFERROR(A91+0,A91),tbl_Onsite[Job Number],0)))="","",INDEX(tbl_Onsite[Invoice Type],IFERROR(MATCH(A91&amp;"",tbl_Onsite[Job Number],0),MATCH(IFERROR(A91+0,A91),tbl_Onsite[Job Number],0)))),IFERROR(IF(INDEX(tbl_Production[Invoice Type],IFERROR(MATCH(A91&amp;"",tbl_Production[Job Number],0),MATCH(IFERROR(A91+0,A91),tbl_Production[Job Number],0)))="","",INDEX(tbl_Production[Invoice Type],IFERROR(MATCH(A91&amp;"",tbl_Production[Job Number],0),MATCH(IFERROR(A91+0,A91),tbl_Production[Job Number],0)))),IFERROR(IF(INDEX(tbl_Consulting[Invoice Type],IFERROR(MATCH(A91&amp;"",tbl_Consulting[Job Number],0),MATCH(IFERROR(A91+0,A91),tbl_Consulting[Job Number],0)))="","",INDEX(tbl_Consulting[Invoice Type],IFERROR(MATCH(A91&amp;"",tbl_Consulting[Job Number],0),MATCH(IFERROR(A91+0,A91),tbl_Consulting[Job Number],0)))),""))))</f>
        <v/>
      </c>
      <c r="M91" s="26">
        <f>IF(A91="","",IF(IFERROR(IF(INDEX(tbl_Onsite[Tax Code],IFERROR(MATCH(A91&amp;"",tbl_Onsite[Job Number],0),MATCH(IFERROR(A91+0,A91),tbl_Onsite[Job Number],0)))="","",INDEX(tbl_Onsite[Tax Code],IFERROR(MATCH(A91&amp;"",tbl_Onsite[Job Number],0),MATCH(IFERROR(A91+0,A91),tbl_Onsite[Job Number],0)))),IFERROR(IF(INDEX(tbl_Production[Tax Code],IFERROR(MATCH(A91&amp;"",tbl_Production[Job Number],0),MATCH(IFERROR(A91+0,A91),tbl_Production[Job Number],0)))="","",INDEX(tbl_Production[Tax Code],IFERROR(MATCH(A91&amp;"",tbl_Production[Job Number],0),MATCH(IFERROR(A91+0,A91),tbl_Production[Job Number],0)))),IFERROR(IF(INDEX(tbl_Consulting[Tax Code],IFERROR(MATCH(A91&amp;"",tbl_Consulting[Job Number],0),MATCH(IFERROR(A91+0,A91),tbl_Consulting[Job Number],0)))="","",INDEX(tbl_Consulting[Tax Code],IFERROR(MATCH(A91&amp;"",tbl_Consulting[Job Number],0),MATCH(IFERROR(A91+0,A91),tbl_Consulting[Job Number],0)))),"")))="","GST 10%",IFERROR(IF(INDEX(tbl_Onsite[Tax Code],IFERROR(MATCH(A91&amp;"",tbl_Onsite[Job Number],0),MATCH(IFERROR(A91+0,A91),tbl_Onsite[Job Number],0)))="","",INDEX(tbl_Onsite[Tax Code],IFERROR(MATCH(A91&amp;"",tbl_Onsite[Job Number],0),MATCH(IFERROR(A91+0,A91),tbl_Onsite[Job Number],0)))),IFERROR(IF(INDEX(tbl_Production[Tax Code],IFERROR(MATCH(A91&amp;"",tbl_Production[Job Number],0),MATCH(IFERROR(A91+0,A91),tbl_Production[Job Number],0)))="","",INDEX(tbl_Production[Tax Code],IFERROR(MATCH(A91&amp;"",tbl_Production[Job Number],0),MATCH(IFERROR(A91+0,A91),tbl_Production[Job Number],0)))),IFERROR(IF(INDEX(tbl_Consulting[Tax Code],IFERROR(MATCH(A91&amp;"",tbl_Consulting[Job Number],0),MATCH(IFERROR(A91+0,A91),tbl_Consulting[Job Number],0)))="","",INDEX(tbl_Consulting[Tax Code],IFERROR(MATCH(A91&amp;"",tbl_Consulting[Job Number],0),MATCH(IFERROR(A91+0,A91),tbl_Consulting[Job Number],0)))),"")))))</f>
        <v/>
      </c>
      <c r="N91" s="26">
        <f>IF(D91="","",IFERROR(INDEX(lst_CCtoGL,MATCH(D91,lst_CCforGL,0)),""))</f>
        <v/>
      </c>
      <c r="O91" s="27">
        <f>IF(E91="","",IF(M91="GST 10%",ROUND(E91*set_GSTRate,2),0))</f>
        <v/>
      </c>
      <c r="P91" s="27">
        <f>IF(E91="","",E91+O91)</f>
        <v/>
      </c>
      <c r="Q91" s="27">
        <f>IF(A91="","",IFERROR(INDEX(tbl_Onsite[Expected Revenue Ex GST],IFERROR(MATCH(A91&amp;"",tbl_Onsite[Job Number],0),MATCH(IFERROR(A91+0,A91),tbl_Onsite[Job Number],0))),IFERROR(INDEX(tbl_Production[Expected Revenue Ex GST],IFERROR(MATCH(A91&amp;"",tbl_Production[Job Number],0),MATCH(IFERROR(A91+0,A91),tbl_Production[Job Number],0))),IFERROR(INDEX(tbl_Consulting[Expected Revenue Ex GST],IFERROR(MATCH(A91&amp;"",tbl_Consulting[Job Number],0),MATCH(IFERROR(A91+0,A91),tbl_Consulting[Job Number],0))),0))))</f>
        <v/>
      </c>
      <c r="R91" s="27">
        <f>IF(A91="","",SUMIFS(tbl_Finance[Ex GST],tbl_Finance[Job Number],A91&amp;""))</f>
        <v/>
      </c>
      <c r="S91" s="27">
        <f>IF(A91="","",Q91-R91)</f>
        <v/>
      </c>
      <c r="T91" s="26">
        <f>IF(A91="","",IF(Q91=0,"No dept value",IF(ROUND(S91,2)=0,"Agrees",IF(S91&gt;0,"Dept higher - to invoice","Xero higher - check dept"))))</f>
        <v/>
      </c>
      <c r="U91" s="22" t="n"/>
      <c r="V91" s="22" t="n"/>
      <c r="W91" s="23" t="n"/>
      <c r="X91" s="23" t="n"/>
      <c r="Y91" s="22" t="n"/>
      <c r="Z91" s="22" t="n"/>
      <c r="AA91" s="26">
        <f>IF(COUNTA(C91,A91,B91,E91)=0,"",IF(C91="","No date - sits outside every month",IF(A91="","No job number",IF(H91="CHECK","Job number is not in the Xero job list",IF(G91="not set up yet","No department has set this job up - nothing can pull through",IF(D91="","No cost centre",IF(AND(U91="Y",B91=""),"Marked posted to Xero but has no invoice number",IF(N91="","Cost centre has no revenue GL on the Lists sheet",IF(T91="Xero higher - check dept","Invoiced more than the department says the job is worth","")))))))))</f>
        <v/>
      </c>
      <c r="AB91" s="28">
        <f>IF(A91="","",COUNTIFS(tbl_Finance[Job Number],A91&amp;"",tbl_Finance[Ex GST],"&lt;&gt;"))</f>
        <v/>
      </c>
      <c r="AC91" s="27">
        <f>IF(A91="","",SUMIFS(tbl_Finance[Ex GST],tbl_Finance[Job Number],A91&amp;""))</f>
        <v/>
      </c>
      <c r="AD91" s="27">
        <f>IF(A91="","",SUMIFS(tbl_Finance[Ex GST],tbl_Finance[Job Number],A91&amp;"",tbl_Finance[Xero Invoice No],"&lt;&gt;"))</f>
        <v/>
      </c>
      <c r="AE91" s="27">
        <f>IF(A91="","",AC91-AD91)</f>
        <v/>
      </c>
      <c r="AF91" s="26">
        <f>IF(A91="","",IFERROR(IF(INDEX(tbl_Onsite[Qwilr Quote],IFERROR(MATCH(A91&amp;"",tbl_Onsite[Job Number],0),MATCH(IFERROR(A91+0,A91),tbl_Onsite[Job Number],0)))="","",INDEX(tbl_Onsite[Qwilr Quote],IFERROR(MATCH(A91&amp;"",tbl_Onsite[Job Number],0),MATCH(IFERROR(A91+0,A91),tbl_Onsite[Job Number],0)))),IFERROR(IF(IF(INDEX(tbl_Production[Current RMS No],IFERROR(MATCH(A91&amp;"",tbl_Production[Job Number],0),MATCH(IFERROR(A91+0,A91),tbl_Production[Job Number],0)))="",INDEX(tbl_Production[Qwilr Quote],IFERROR(MATCH(A91&amp;"",tbl_Production[Job Number],0),MATCH(IFERROR(A91+0,A91),tbl_Production[Job Number],0))),INDEX(tbl_Production[Current RMS No],IFERROR(MATCH(A91&amp;"",tbl_Production[Job Number],0),MATCH(IFERROR(A91+0,A91),tbl_Production[Job Number],0))))="","",IF(INDEX(tbl_Production[Current RMS No],IFERROR(MATCH(A91&amp;"",tbl_Production[Job Number],0),MATCH(IFERROR(A91+0,A91),tbl_Production[Job Number],0)))="",INDEX(tbl_Production[Qwilr Quote],IFERROR(MATCH(A91&amp;"",tbl_Production[Job Number],0),MATCH(IFERROR(A91+0,A91),tbl_Production[Job Number],0))),INDEX(tbl_Production[Current RMS No],IFERROR(MATCH(A91&amp;"",tbl_Production[Job Number],0),MATCH(IFERROR(A91+0,A91),tbl_Production[Job Number],0))))),IFERROR(IF(INDEX(tbl_Consulting[Qwilr Quote],IFERROR(MATCH(A91&amp;"",tbl_Consulting[Job Number],0),MATCH(IFERROR(A91+0,A91),tbl_Consulting[Job Number],0)))="","",INDEX(tbl_Consulting[Qwilr Quote],IFERROR(MATCH(A91&amp;"",tbl_Consulting[Job Number],0),MATCH(IFERROR(A91+0,A91),tbl_Consulting[Job Number],0)))),""))))</f>
        <v/>
      </c>
      <c r="AG91" s="26">
        <f>IF(AF91="","",IF(AND(LEFT(AF91,4)&lt;&gt;"http",IF(G91="Production",set_RMSBase,set_QwilrBase)=""),"",HYPERLINK(IF(LEFT(AF91,4)="http",AF91,IF(G91="Production",set_RMSBase,set_QwilrBase)&amp;AF91),"Open")))</f>
        <v/>
      </c>
      <c r="AH91" s="27">
        <f>IF(A91="","",IFERROR(INDEX(tbl_Production[Total Expense],IFERROR(MATCH(A91&amp;"",tbl_Production[Job Number],0),MATCH(IFERROR(A91+0,A91),tbl_Production[Job Number],0))),IFERROR(INDEX(tbl_Consulting[Total Expense],IFERROR(MATCH(A91&amp;"",tbl_Consulting[Job Number],0),MATCH(IFERROR(A91+0,A91),tbl_Consulting[Job Number],0))),0)))</f>
        <v/>
      </c>
      <c r="AI91" s="27">
        <f>IF(A91="","",AC91-N(AH91))</f>
        <v/>
      </c>
      <c r="AJ91" s="29">
        <f>IFERROR(AI91/AC91,"")</f>
        <v/>
      </c>
      <c r="AK91" s="26">
        <f>IF(A91="","",IFERROR(IF(INDEX(tbl_Onsite[Notes],IFERROR(MATCH(A91&amp;"",tbl_Onsite[Job Number],0),MATCH(IFERROR(A91+0,A91),tbl_Onsite[Job Number],0)))="","",INDEX(tbl_Onsite[Notes],IFERROR(MATCH(A91&amp;"",tbl_Onsite[Job Number],0),MATCH(IFERROR(A91+0,A91),tbl_Onsite[Job Number],0)))),IFERROR(IF(INDEX(tbl_Production[Notes],IFERROR(MATCH(A91&amp;"",tbl_Production[Job Number],0),MATCH(IFERROR(A91+0,A91),tbl_Production[Job Number],0)))="","",INDEX(tbl_Production[Notes],IFERROR(MATCH(A91&amp;"",tbl_Production[Job Number],0),MATCH(IFERROR(A91+0,A91),tbl_Production[Job Number],0)))),IFERROR(IF(INDEX(tbl_Consulting[Notes],IFERROR(MATCH(A91&amp;"",tbl_Consulting[Job Number],0),MATCH(IFERROR(A91+0,A91),tbl_Consulting[Job Number],0)))="","",INDEX(tbl_Consulting[Notes],IFERROR(MATCH(A91&amp;"",tbl_Consulting[Job Number],0),MATCH(IFERROR(A91+0,A91),tbl_Consulting[Job Number],0)))),""))))</f>
        <v/>
      </c>
    </row>
    <row r="92" ht="15" customHeight="1">
      <c r="A92" s="22" t="n"/>
      <c r="B92" s="22" t="n"/>
      <c r="C92" s="23" t="n"/>
      <c r="D92" s="22" t="n"/>
      <c r="E92" s="24" t="n"/>
      <c r="F92" s="25">
        <f>IF(C92="","",EOMONTH(C92,0))</f>
        <v/>
      </c>
      <c r="G92" s="26">
        <f>IF(A92="","",IF(COUNTIF(tbl_Onsite[Job Number],A92&amp;"")&gt;0,"Onsite",IF(COUNTIF(tbl_Production[Job Number],A92&amp;"")&gt;0,"Production",IF(COUNTIF(tbl_Consulting[Job Number],A92&amp;"")&gt;0,"Consulting","not set up yet"))))</f>
        <v/>
      </c>
      <c r="H92" s="26">
        <f>IF(A92="","",IF(COUNTIF(lst_Jobs,A92&amp;"")&gt;0,"OK","CHECK"))</f>
        <v/>
      </c>
      <c r="I92" s="26">
        <f>IF(A92="","",IFERROR(INDEX(lst_JobName,MATCH(A92&amp;"",lst_Jobs,0)),""))</f>
        <v/>
      </c>
      <c r="J92" s="26">
        <f>IF(A92="","",IFERROR(IF(INDEX(tbl_Onsite[Client],IFERROR(MATCH(A92&amp;"",tbl_Onsite[Job Number],0),MATCH(IFERROR(A92+0,A92),tbl_Onsite[Job Number],0)))="","",INDEX(tbl_Onsite[Client],IFERROR(MATCH(A92&amp;"",tbl_Onsite[Job Number],0),MATCH(IFERROR(A92+0,A92),tbl_Onsite[Job Number],0)))),IFERROR(IF(INDEX(tbl_Production[Client],IFERROR(MATCH(A92&amp;"",tbl_Production[Job Number],0),MATCH(IFERROR(A92+0,A92),tbl_Production[Job Number],0)))="","",INDEX(tbl_Production[Client],IFERROR(MATCH(A92&amp;"",tbl_Production[Job Number],0),MATCH(IFERROR(A92+0,A92),tbl_Production[Job Number],0)))),IFERROR(IF(INDEX(tbl_Consulting[Client],IFERROR(MATCH(A92&amp;"",tbl_Consulting[Job Number],0),MATCH(IFERROR(A92+0,A92),tbl_Consulting[Job Number],0)))="","",INDEX(tbl_Consulting[Client],IFERROR(MATCH(A92&amp;"",tbl_Consulting[Job Number],0),MATCH(IFERROR(A92+0,A92),tbl_Consulting[Job Number],0)))),""))))</f>
        <v/>
      </c>
      <c r="K92" s="26">
        <f>IF(A92="","",IFERROR(IF(INDEX(tbl_Onsite[Job Description],IFERROR(MATCH(A92&amp;"",tbl_Onsite[Job Number],0),MATCH(IFERROR(A92+0,A92),tbl_Onsite[Job Number],0)))="","",INDEX(tbl_Onsite[Job Description],IFERROR(MATCH(A92&amp;"",tbl_Onsite[Job Number],0),MATCH(IFERROR(A92+0,A92),tbl_Onsite[Job Number],0)))),IFERROR(IF(INDEX(tbl_Production[Job Description],IFERROR(MATCH(A92&amp;"",tbl_Production[Job Number],0),MATCH(IFERROR(A92+0,A92),tbl_Production[Job Number],0)))="","",INDEX(tbl_Production[Job Description],IFERROR(MATCH(A92&amp;"",tbl_Production[Job Number],0),MATCH(IFERROR(A92+0,A92),tbl_Production[Job Number],0)))),IFERROR(IF(INDEX(tbl_Consulting[Job Description],IFERROR(MATCH(A92&amp;"",tbl_Consulting[Job Number],0),MATCH(IFERROR(A92+0,A92),tbl_Consulting[Job Number],0)))="","",INDEX(tbl_Consulting[Job Description],IFERROR(MATCH(A92&amp;"",tbl_Consulting[Job Number],0),MATCH(IFERROR(A92+0,A92),tbl_Consulting[Job Number],0)))),""))))</f>
        <v/>
      </c>
      <c r="L92" s="26">
        <f>IF(A92="","",IFERROR(IF(INDEX(tbl_Onsite[Invoice Type],IFERROR(MATCH(A92&amp;"",tbl_Onsite[Job Number],0),MATCH(IFERROR(A92+0,A92),tbl_Onsite[Job Number],0)))="","",INDEX(tbl_Onsite[Invoice Type],IFERROR(MATCH(A92&amp;"",tbl_Onsite[Job Number],0),MATCH(IFERROR(A92+0,A92),tbl_Onsite[Job Number],0)))),IFERROR(IF(INDEX(tbl_Production[Invoice Type],IFERROR(MATCH(A92&amp;"",tbl_Production[Job Number],0),MATCH(IFERROR(A92+0,A92),tbl_Production[Job Number],0)))="","",INDEX(tbl_Production[Invoice Type],IFERROR(MATCH(A92&amp;"",tbl_Production[Job Number],0),MATCH(IFERROR(A92+0,A92),tbl_Production[Job Number],0)))),IFERROR(IF(INDEX(tbl_Consulting[Invoice Type],IFERROR(MATCH(A92&amp;"",tbl_Consulting[Job Number],0),MATCH(IFERROR(A92+0,A92),tbl_Consulting[Job Number],0)))="","",INDEX(tbl_Consulting[Invoice Type],IFERROR(MATCH(A92&amp;"",tbl_Consulting[Job Number],0),MATCH(IFERROR(A92+0,A92),tbl_Consulting[Job Number],0)))),""))))</f>
        <v/>
      </c>
      <c r="M92" s="26">
        <f>IF(A92="","",IF(IFERROR(IF(INDEX(tbl_Onsite[Tax Code],IFERROR(MATCH(A92&amp;"",tbl_Onsite[Job Number],0),MATCH(IFERROR(A92+0,A92),tbl_Onsite[Job Number],0)))="","",INDEX(tbl_Onsite[Tax Code],IFERROR(MATCH(A92&amp;"",tbl_Onsite[Job Number],0),MATCH(IFERROR(A92+0,A92),tbl_Onsite[Job Number],0)))),IFERROR(IF(INDEX(tbl_Production[Tax Code],IFERROR(MATCH(A92&amp;"",tbl_Production[Job Number],0),MATCH(IFERROR(A92+0,A92),tbl_Production[Job Number],0)))="","",INDEX(tbl_Production[Tax Code],IFERROR(MATCH(A92&amp;"",tbl_Production[Job Number],0),MATCH(IFERROR(A92+0,A92),tbl_Production[Job Number],0)))),IFERROR(IF(INDEX(tbl_Consulting[Tax Code],IFERROR(MATCH(A92&amp;"",tbl_Consulting[Job Number],0),MATCH(IFERROR(A92+0,A92),tbl_Consulting[Job Number],0)))="","",INDEX(tbl_Consulting[Tax Code],IFERROR(MATCH(A92&amp;"",tbl_Consulting[Job Number],0),MATCH(IFERROR(A92+0,A92),tbl_Consulting[Job Number],0)))),"")))="","GST 10%",IFERROR(IF(INDEX(tbl_Onsite[Tax Code],IFERROR(MATCH(A92&amp;"",tbl_Onsite[Job Number],0),MATCH(IFERROR(A92+0,A92),tbl_Onsite[Job Number],0)))="","",INDEX(tbl_Onsite[Tax Code],IFERROR(MATCH(A92&amp;"",tbl_Onsite[Job Number],0),MATCH(IFERROR(A92+0,A92),tbl_Onsite[Job Number],0)))),IFERROR(IF(INDEX(tbl_Production[Tax Code],IFERROR(MATCH(A92&amp;"",tbl_Production[Job Number],0),MATCH(IFERROR(A92+0,A92),tbl_Production[Job Number],0)))="","",INDEX(tbl_Production[Tax Code],IFERROR(MATCH(A92&amp;"",tbl_Production[Job Number],0),MATCH(IFERROR(A92+0,A92),tbl_Production[Job Number],0)))),IFERROR(IF(INDEX(tbl_Consulting[Tax Code],IFERROR(MATCH(A92&amp;"",tbl_Consulting[Job Number],0),MATCH(IFERROR(A92+0,A92),tbl_Consulting[Job Number],0)))="","",INDEX(tbl_Consulting[Tax Code],IFERROR(MATCH(A92&amp;"",tbl_Consulting[Job Number],0),MATCH(IFERROR(A92+0,A92),tbl_Consulting[Job Number],0)))),"")))))</f>
        <v/>
      </c>
      <c r="N92" s="26">
        <f>IF(D92="","",IFERROR(INDEX(lst_CCtoGL,MATCH(D92,lst_CCforGL,0)),""))</f>
        <v/>
      </c>
      <c r="O92" s="27">
        <f>IF(E92="","",IF(M92="GST 10%",ROUND(E92*set_GSTRate,2),0))</f>
        <v/>
      </c>
      <c r="P92" s="27">
        <f>IF(E92="","",E92+O92)</f>
        <v/>
      </c>
      <c r="Q92" s="27">
        <f>IF(A92="","",IFERROR(INDEX(tbl_Onsite[Expected Revenue Ex GST],IFERROR(MATCH(A92&amp;"",tbl_Onsite[Job Number],0),MATCH(IFERROR(A92+0,A92),tbl_Onsite[Job Number],0))),IFERROR(INDEX(tbl_Production[Expected Revenue Ex GST],IFERROR(MATCH(A92&amp;"",tbl_Production[Job Number],0),MATCH(IFERROR(A92+0,A92),tbl_Production[Job Number],0))),IFERROR(INDEX(tbl_Consulting[Expected Revenue Ex GST],IFERROR(MATCH(A92&amp;"",tbl_Consulting[Job Number],0),MATCH(IFERROR(A92+0,A92),tbl_Consulting[Job Number],0))),0))))</f>
        <v/>
      </c>
      <c r="R92" s="27">
        <f>IF(A92="","",SUMIFS(tbl_Finance[Ex GST],tbl_Finance[Job Number],A92&amp;""))</f>
        <v/>
      </c>
      <c r="S92" s="27">
        <f>IF(A92="","",Q92-R92)</f>
        <v/>
      </c>
      <c r="T92" s="26">
        <f>IF(A92="","",IF(Q92=0,"No dept value",IF(ROUND(S92,2)=0,"Agrees",IF(S92&gt;0,"Dept higher - to invoice","Xero higher - check dept"))))</f>
        <v/>
      </c>
      <c r="U92" s="22" t="n"/>
      <c r="V92" s="22" t="n"/>
      <c r="W92" s="23" t="n"/>
      <c r="X92" s="23" t="n"/>
      <c r="Y92" s="22" t="n"/>
      <c r="Z92" s="22" t="n"/>
      <c r="AA92" s="26">
        <f>IF(COUNTA(C92,A92,B92,E92)=0,"",IF(C92="","No date - sits outside every month",IF(A92="","No job number",IF(H92="CHECK","Job number is not in the Xero job list",IF(G92="not set up yet","No department has set this job up - nothing can pull through",IF(D92="","No cost centre",IF(AND(U92="Y",B92=""),"Marked posted to Xero but has no invoice number",IF(N92="","Cost centre has no revenue GL on the Lists sheet",IF(T92="Xero higher - check dept","Invoiced more than the department says the job is worth","")))))))))</f>
        <v/>
      </c>
      <c r="AB92" s="28">
        <f>IF(A92="","",COUNTIFS(tbl_Finance[Job Number],A92&amp;"",tbl_Finance[Ex GST],"&lt;&gt;"))</f>
        <v/>
      </c>
      <c r="AC92" s="27">
        <f>IF(A92="","",SUMIFS(tbl_Finance[Ex GST],tbl_Finance[Job Number],A92&amp;""))</f>
        <v/>
      </c>
      <c r="AD92" s="27">
        <f>IF(A92="","",SUMIFS(tbl_Finance[Ex GST],tbl_Finance[Job Number],A92&amp;"",tbl_Finance[Xero Invoice No],"&lt;&gt;"))</f>
        <v/>
      </c>
      <c r="AE92" s="27">
        <f>IF(A92="","",AC92-AD92)</f>
        <v/>
      </c>
      <c r="AF92" s="26">
        <f>IF(A92="","",IFERROR(IF(INDEX(tbl_Onsite[Qwilr Quote],IFERROR(MATCH(A92&amp;"",tbl_Onsite[Job Number],0),MATCH(IFERROR(A92+0,A92),tbl_Onsite[Job Number],0)))="","",INDEX(tbl_Onsite[Qwilr Quote],IFERROR(MATCH(A92&amp;"",tbl_Onsite[Job Number],0),MATCH(IFERROR(A92+0,A92),tbl_Onsite[Job Number],0)))),IFERROR(IF(IF(INDEX(tbl_Production[Current RMS No],IFERROR(MATCH(A92&amp;"",tbl_Production[Job Number],0),MATCH(IFERROR(A92+0,A92),tbl_Production[Job Number],0)))="",INDEX(tbl_Production[Qwilr Quote],IFERROR(MATCH(A92&amp;"",tbl_Production[Job Number],0),MATCH(IFERROR(A92+0,A92),tbl_Production[Job Number],0))),INDEX(tbl_Production[Current RMS No],IFERROR(MATCH(A92&amp;"",tbl_Production[Job Number],0),MATCH(IFERROR(A92+0,A92),tbl_Production[Job Number],0))))="","",IF(INDEX(tbl_Production[Current RMS No],IFERROR(MATCH(A92&amp;"",tbl_Production[Job Number],0),MATCH(IFERROR(A92+0,A92),tbl_Production[Job Number],0)))="",INDEX(tbl_Production[Qwilr Quote],IFERROR(MATCH(A92&amp;"",tbl_Production[Job Number],0),MATCH(IFERROR(A92+0,A92),tbl_Production[Job Number],0))),INDEX(tbl_Production[Current RMS No],IFERROR(MATCH(A92&amp;"",tbl_Production[Job Number],0),MATCH(IFERROR(A92+0,A92),tbl_Production[Job Number],0))))),IFERROR(IF(INDEX(tbl_Consulting[Qwilr Quote],IFERROR(MATCH(A92&amp;"",tbl_Consulting[Job Number],0),MATCH(IFERROR(A92+0,A92),tbl_Consulting[Job Number],0)))="","",INDEX(tbl_Consulting[Qwilr Quote],IFERROR(MATCH(A92&amp;"",tbl_Consulting[Job Number],0),MATCH(IFERROR(A92+0,A92),tbl_Consulting[Job Number],0)))),""))))</f>
        <v/>
      </c>
      <c r="AG92" s="26">
        <f>IF(AF92="","",IF(AND(LEFT(AF92,4)&lt;&gt;"http",IF(G92="Production",set_RMSBase,set_QwilrBase)=""),"",HYPERLINK(IF(LEFT(AF92,4)="http",AF92,IF(G92="Production",set_RMSBase,set_QwilrBase)&amp;AF92),"Open")))</f>
        <v/>
      </c>
      <c r="AH92" s="27">
        <f>IF(A92="","",IFERROR(INDEX(tbl_Production[Total Expense],IFERROR(MATCH(A92&amp;"",tbl_Production[Job Number],0),MATCH(IFERROR(A92+0,A92),tbl_Production[Job Number],0))),IFERROR(INDEX(tbl_Consulting[Total Expense],IFERROR(MATCH(A92&amp;"",tbl_Consulting[Job Number],0),MATCH(IFERROR(A92+0,A92),tbl_Consulting[Job Number],0))),0)))</f>
        <v/>
      </c>
      <c r="AI92" s="27">
        <f>IF(A92="","",AC92-N(AH92))</f>
        <v/>
      </c>
      <c r="AJ92" s="29">
        <f>IFERROR(AI92/AC92,"")</f>
        <v/>
      </c>
      <c r="AK92" s="26">
        <f>IF(A92="","",IFERROR(IF(INDEX(tbl_Onsite[Notes],IFERROR(MATCH(A92&amp;"",tbl_Onsite[Job Number],0),MATCH(IFERROR(A92+0,A92),tbl_Onsite[Job Number],0)))="","",INDEX(tbl_Onsite[Notes],IFERROR(MATCH(A92&amp;"",tbl_Onsite[Job Number],0),MATCH(IFERROR(A92+0,A92),tbl_Onsite[Job Number],0)))),IFERROR(IF(INDEX(tbl_Production[Notes],IFERROR(MATCH(A92&amp;"",tbl_Production[Job Number],0),MATCH(IFERROR(A92+0,A92),tbl_Production[Job Number],0)))="","",INDEX(tbl_Production[Notes],IFERROR(MATCH(A92&amp;"",tbl_Production[Job Number],0),MATCH(IFERROR(A92+0,A92),tbl_Production[Job Number],0)))),IFERROR(IF(INDEX(tbl_Consulting[Notes],IFERROR(MATCH(A92&amp;"",tbl_Consulting[Job Number],0),MATCH(IFERROR(A92+0,A92),tbl_Consulting[Job Number],0)))="","",INDEX(tbl_Consulting[Notes],IFERROR(MATCH(A92&amp;"",tbl_Consulting[Job Number],0),MATCH(IFERROR(A92+0,A92),tbl_Consulting[Job Number],0)))),""))))</f>
        <v/>
      </c>
    </row>
    <row r="93" ht="15" customHeight="1">
      <c r="A93" s="22" t="n"/>
      <c r="B93" s="22" t="n"/>
      <c r="C93" s="23" t="n"/>
      <c r="D93" s="22" t="n"/>
      <c r="E93" s="24" t="n"/>
      <c r="F93" s="25">
        <f>IF(C93="","",EOMONTH(C93,0))</f>
        <v/>
      </c>
      <c r="G93" s="26">
        <f>IF(A93="","",IF(COUNTIF(tbl_Onsite[Job Number],A93&amp;"")&gt;0,"Onsite",IF(COUNTIF(tbl_Production[Job Number],A93&amp;"")&gt;0,"Production",IF(COUNTIF(tbl_Consulting[Job Number],A93&amp;"")&gt;0,"Consulting","not set up yet"))))</f>
        <v/>
      </c>
      <c r="H93" s="26">
        <f>IF(A93="","",IF(COUNTIF(lst_Jobs,A93&amp;"")&gt;0,"OK","CHECK"))</f>
        <v/>
      </c>
      <c r="I93" s="26">
        <f>IF(A93="","",IFERROR(INDEX(lst_JobName,MATCH(A93&amp;"",lst_Jobs,0)),""))</f>
        <v/>
      </c>
      <c r="J93" s="26">
        <f>IF(A93="","",IFERROR(IF(INDEX(tbl_Onsite[Client],IFERROR(MATCH(A93&amp;"",tbl_Onsite[Job Number],0),MATCH(IFERROR(A93+0,A93),tbl_Onsite[Job Number],0)))="","",INDEX(tbl_Onsite[Client],IFERROR(MATCH(A93&amp;"",tbl_Onsite[Job Number],0),MATCH(IFERROR(A93+0,A93),tbl_Onsite[Job Number],0)))),IFERROR(IF(INDEX(tbl_Production[Client],IFERROR(MATCH(A93&amp;"",tbl_Production[Job Number],0),MATCH(IFERROR(A93+0,A93),tbl_Production[Job Number],0)))="","",INDEX(tbl_Production[Client],IFERROR(MATCH(A93&amp;"",tbl_Production[Job Number],0),MATCH(IFERROR(A93+0,A93),tbl_Production[Job Number],0)))),IFERROR(IF(INDEX(tbl_Consulting[Client],IFERROR(MATCH(A93&amp;"",tbl_Consulting[Job Number],0),MATCH(IFERROR(A93+0,A93),tbl_Consulting[Job Number],0)))="","",INDEX(tbl_Consulting[Client],IFERROR(MATCH(A93&amp;"",tbl_Consulting[Job Number],0),MATCH(IFERROR(A93+0,A93),tbl_Consulting[Job Number],0)))),""))))</f>
        <v/>
      </c>
      <c r="K93" s="26">
        <f>IF(A93="","",IFERROR(IF(INDEX(tbl_Onsite[Job Description],IFERROR(MATCH(A93&amp;"",tbl_Onsite[Job Number],0),MATCH(IFERROR(A93+0,A93),tbl_Onsite[Job Number],0)))="","",INDEX(tbl_Onsite[Job Description],IFERROR(MATCH(A93&amp;"",tbl_Onsite[Job Number],0),MATCH(IFERROR(A93+0,A93),tbl_Onsite[Job Number],0)))),IFERROR(IF(INDEX(tbl_Production[Job Description],IFERROR(MATCH(A93&amp;"",tbl_Production[Job Number],0),MATCH(IFERROR(A93+0,A93),tbl_Production[Job Number],0)))="","",INDEX(tbl_Production[Job Description],IFERROR(MATCH(A93&amp;"",tbl_Production[Job Number],0),MATCH(IFERROR(A93+0,A93),tbl_Production[Job Number],0)))),IFERROR(IF(INDEX(tbl_Consulting[Job Description],IFERROR(MATCH(A93&amp;"",tbl_Consulting[Job Number],0),MATCH(IFERROR(A93+0,A93),tbl_Consulting[Job Number],0)))="","",INDEX(tbl_Consulting[Job Description],IFERROR(MATCH(A93&amp;"",tbl_Consulting[Job Number],0),MATCH(IFERROR(A93+0,A93),tbl_Consulting[Job Number],0)))),""))))</f>
        <v/>
      </c>
      <c r="L93" s="26">
        <f>IF(A93="","",IFERROR(IF(INDEX(tbl_Onsite[Invoice Type],IFERROR(MATCH(A93&amp;"",tbl_Onsite[Job Number],0),MATCH(IFERROR(A93+0,A93),tbl_Onsite[Job Number],0)))="","",INDEX(tbl_Onsite[Invoice Type],IFERROR(MATCH(A93&amp;"",tbl_Onsite[Job Number],0),MATCH(IFERROR(A93+0,A93),tbl_Onsite[Job Number],0)))),IFERROR(IF(INDEX(tbl_Production[Invoice Type],IFERROR(MATCH(A93&amp;"",tbl_Production[Job Number],0),MATCH(IFERROR(A93+0,A93),tbl_Production[Job Number],0)))="","",INDEX(tbl_Production[Invoice Type],IFERROR(MATCH(A93&amp;"",tbl_Production[Job Number],0),MATCH(IFERROR(A93+0,A93),tbl_Production[Job Number],0)))),IFERROR(IF(INDEX(tbl_Consulting[Invoice Type],IFERROR(MATCH(A93&amp;"",tbl_Consulting[Job Number],0),MATCH(IFERROR(A93+0,A93),tbl_Consulting[Job Number],0)))="","",INDEX(tbl_Consulting[Invoice Type],IFERROR(MATCH(A93&amp;"",tbl_Consulting[Job Number],0),MATCH(IFERROR(A93+0,A93),tbl_Consulting[Job Number],0)))),""))))</f>
        <v/>
      </c>
      <c r="M93" s="26">
        <f>IF(A93="","",IF(IFERROR(IF(INDEX(tbl_Onsite[Tax Code],IFERROR(MATCH(A93&amp;"",tbl_Onsite[Job Number],0),MATCH(IFERROR(A93+0,A93),tbl_Onsite[Job Number],0)))="","",INDEX(tbl_Onsite[Tax Code],IFERROR(MATCH(A93&amp;"",tbl_Onsite[Job Number],0),MATCH(IFERROR(A93+0,A93),tbl_Onsite[Job Number],0)))),IFERROR(IF(INDEX(tbl_Production[Tax Code],IFERROR(MATCH(A93&amp;"",tbl_Production[Job Number],0),MATCH(IFERROR(A93+0,A93),tbl_Production[Job Number],0)))="","",INDEX(tbl_Production[Tax Code],IFERROR(MATCH(A93&amp;"",tbl_Production[Job Number],0),MATCH(IFERROR(A93+0,A93),tbl_Production[Job Number],0)))),IFERROR(IF(INDEX(tbl_Consulting[Tax Code],IFERROR(MATCH(A93&amp;"",tbl_Consulting[Job Number],0),MATCH(IFERROR(A93+0,A93),tbl_Consulting[Job Number],0)))="","",INDEX(tbl_Consulting[Tax Code],IFERROR(MATCH(A93&amp;"",tbl_Consulting[Job Number],0),MATCH(IFERROR(A93+0,A93),tbl_Consulting[Job Number],0)))),"")))="","GST 10%",IFERROR(IF(INDEX(tbl_Onsite[Tax Code],IFERROR(MATCH(A93&amp;"",tbl_Onsite[Job Number],0),MATCH(IFERROR(A93+0,A93),tbl_Onsite[Job Number],0)))="","",INDEX(tbl_Onsite[Tax Code],IFERROR(MATCH(A93&amp;"",tbl_Onsite[Job Number],0),MATCH(IFERROR(A93+0,A93),tbl_Onsite[Job Number],0)))),IFERROR(IF(INDEX(tbl_Production[Tax Code],IFERROR(MATCH(A93&amp;"",tbl_Production[Job Number],0),MATCH(IFERROR(A93+0,A93),tbl_Production[Job Number],0)))="","",INDEX(tbl_Production[Tax Code],IFERROR(MATCH(A93&amp;"",tbl_Production[Job Number],0),MATCH(IFERROR(A93+0,A93),tbl_Production[Job Number],0)))),IFERROR(IF(INDEX(tbl_Consulting[Tax Code],IFERROR(MATCH(A93&amp;"",tbl_Consulting[Job Number],0),MATCH(IFERROR(A93+0,A93),tbl_Consulting[Job Number],0)))="","",INDEX(tbl_Consulting[Tax Code],IFERROR(MATCH(A93&amp;"",tbl_Consulting[Job Number],0),MATCH(IFERROR(A93+0,A93),tbl_Consulting[Job Number],0)))),"")))))</f>
        <v/>
      </c>
      <c r="N93" s="26">
        <f>IF(D93="","",IFERROR(INDEX(lst_CCtoGL,MATCH(D93,lst_CCforGL,0)),""))</f>
        <v/>
      </c>
      <c r="O93" s="27">
        <f>IF(E93="","",IF(M93="GST 10%",ROUND(E93*set_GSTRate,2),0))</f>
        <v/>
      </c>
      <c r="P93" s="27">
        <f>IF(E93="","",E93+O93)</f>
        <v/>
      </c>
      <c r="Q93" s="27">
        <f>IF(A93="","",IFERROR(INDEX(tbl_Onsite[Expected Revenue Ex GST],IFERROR(MATCH(A93&amp;"",tbl_Onsite[Job Number],0),MATCH(IFERROR(A93+0,A93),tbl_Onsite[Job Number],0))),IFERROR(INDEX(tbl_Production[Expected Revenue Ex GST],IFERROR(MATCH(A93&amp;"",tbl_Production[Job Number],0),MATCH(IFERROR(A93+0,A93),tbl_Production[Job Number],0))),IFERROR(INDEX(tbl_Consulting[Expected Revenue Ex GST],IFERROR(MATCH(A93&amp;"",tbl_Consulting[Job Number],0),MATCH(IFERROR(A93+0,A93),tbl_Consulting[Job Number],0))),0))))</f>
        <v/>
      </c>
      <c r="R93" s="27">
        <f>IF(A93="","",SUMIFS(tbl_Finance[Ex GST],tbl_Finance[Job Number],A93&amp;""))</f>
        <v/>
      </c>
      <c r="S93" s="27">
        <f>IF(A93="","",Q93-R93)</f>
        <v/>
      </c>
      <c r="T93" s="26">
        <f>IF(A93="","",IF(Q93=0,"No dept value",IF(ROUND(S93,2)=0,"Agrees",IF(S93&gt;0,"Dept higher - to invoice","Xero higher - check dept"))))</f>
        <v/>
      </c>
      <c r="U93" s="22" t="n"/>
      <c r="V93" s="22" t="n"/>
      <c r="W93" s="23" t="n"/>
      <c r="X93" s="23" t="n"/>
      <c r="Y93" s="22" t="n"/>
      <c r="Z93" s="22" t="n"/>
      <c r="AA93" s="26">
        <f>IF(COUNTA(C93,A93,B93,E93)=0,"",IF(C93="","No date - sits outside every month",IF(A93="","No job number",IF(H93="CHECK","Job number is not in the Xero job list",IF(G93="not set up yet","No department has set this job up - nothing can pull through",IF(D93="","No cost centre",IF(AND(U93="Y",B93=""),"Marked posted to Xero but has no invoice number",IF(N93="","Cost centre has no revenue GL on the Lists sheet",IF(T93="Xero higher - check dept","Invoiced more than the department says the job is worth","")))))))))</f>
        <v/>
      </c>
      <c r="AB93" s="28">
        <f>IF(A93="","",COUNTIFS(tbl_Finance[Job Number],A93&amp;"",tbl_Finance[Ex GST],"&lt;&gt;"))</f>
        <v/>
      </c>
      <c r="AC93" s="27">
        <f>IF(A93="","",SUMIFS(tbl_Finance[Ex GST],tbl_Finance[Job Number],A93&amp;""))</f>
        <v/>
      </c>
      <c r="AD93" s="27">
        <f>IF(A93="","",SUMIFS(tbl_Finance[Ex GST],tbl_Finance[Job Number],A93&amp;"",tbl_Finance[Xero Invoice No],"&lt;&gt;"))</f>
        <v/>
      </c>
      <c r="AE93" s="27">
        <f>IF(A93="","",AC93-AD93)</f>
        <v/>
      </c>
      <c r="AF93" s="26">
        <f>IF(A93="","",IFERROR(IF(INDEX(tbl_Onsite[Qwilr Quote],IFERROR(MATCH(A93&amp;"",tbl_Onsite[Job Number],0),MATCH(IFERROR(A93+0,A93),tbl_Onsite[Job Number],0)))="","",INDEX(tbl_Onsite[Qwilr Quote],IFERROR(MATCH(A93&amp;"",tbl_Onsite[Job Number],0),MATCH(IFERROR(A93+0,A93),tbl_Onsite[Job Number],0)))),IFERROR(IF(IF(INDEX(tbl_Production[Current RMS No],IFERROR(MATCH(A93&amp;"",tbl_Production[Job Number],0),MATCH(IFERROR(A93+0,A93),tbl_Production[Job Number],0)))="",INDEX(tbl_Production[Qwilr Quote],IFERROR(MATCH(A93&amp;"",tbl_Production[Job Number],0),MATCH(IFERROR(A93+0,A93),tbl_Production[Job Number],0))),INDEX(tbl_Production[Current RMS No],IFERROR(MATCH(A93&amp;"",tbl_Production[Job Number],0),MATCH(IFERROR(A93+0,A93),tbl_Production[Job Number],0))))="","",IF(INDEX(tbl_Production[Current RMS No],IFERROR(MATCH(A93&amp;"",tbl_Production[Job Number],0),MATCH(IFERROR(A93+0,A93),tbl_Production[Job Number],0)))="",INDEX(tbl_Production[Qwilr Quote],IFERROR(MATCH(A93&amp;"",tbl_Production[Job Number],0),MATCH(IFERROR(A93+0,A93),tbl_Production[Job Number],0))),INDEX(tbl_Production[Current RMS No],IFERROR(MATCH(A93&amp;"",tbl_Production[Job Number],0),MATCH(IFERROR(A93+0,A93),tbl_Production[Job Number],0))))),IFERROR(IF(INDEX(tbl_Consulting[Qwilr Quote],IFERROR(MATCH(A93&amp;"",tbl_Consulting[Job Number],0),MATCH(IFERROR(A93+0,A93),tbl_Consulting[Job Number],0)))="","",INDEX(tbl_Consulting[Qwilr Quote],IFERROR(MATCH(A93&amp;"",tbl_Consulting[Job Number],0),MATCH(IFERROR(A93+0,A93),tbl_Consulting[Job Number],0)))),""))))</f>
        <v/>
      </c>
      <c r="AG93" s="26">
        <f>IF(AF93="","",IF(AND(LEFT(AF93,4)&lt;&gt;"http",IF(G93="Production",set_RMSBase,set_QwilrBase)=""),"",HYPERLINK(IF(LEFT(AF93,4)="http",AF93,IF(G93="Production",set_RMSBase,set_QwilrBase)&amp;AF93),"Open")))</f>
        <v/>
      </c>
      <c r="AH93" s="27">
        <f>IF(A93="","",IFERROR(INDEX(tbl_Production[Total Expense],IFERROR(MATCH(A93&amp;"",tbl_Production[Job Number],0),MATCH(IFERROR(A93+0,A93),tbl_Production[Job Number],0))),IFERROR(INDEX(tbl_Consulting[Total Expense],IFERROR(MATCH(A93&amp;"",tbl_Consulting[Job Number],0),MATCH(IFERROR(A93+0,A93),tbl_Consulting[Job Number],0))),0)))</f>
        <v/>
      </c>
      <c r="AI93" s="27">
        <f>IF(A93="","",AC93-N(AH93))</f>
        <v/>
      </c>
      <c r="AJ93" s="29">
        <f>IFERROR(AI93/AC93,"")</f>
        <v/>
      </c>
      <c r="AK93" s="26">
        <f>IF(A93="","",IFERROR(IF(INDEX(tbl_Onsite[Notes],IFERROR(MATCH(A93&amp;"",tbl_Onsite[Job Number],0),MATCH(IFERROR(A93+0,A93),tbl_Onsite[Job Number],0)))="","",INDEX(tbl_Onsite[Notes],IFERROR(MATCH(A93&amp;"",tbl_Onsite[Job Number],0),MATCH(IFERROR(A93+0,A93),tbl_Onsite[Job Number],0)))),IFERROR(IF(INDEX(tbl_Production[Notes],IFERROR(MATCH(A93&amp;"",tbl_Production[Job Number],0),MATCH(IFERROR(A93+0,A93),tbl_Production[Job Number],0)))="","",INDEX(tbl_Production[Notes],IFERROR(MATCH(A93&amp;"",tbl_Production[Job Number],0),MATCH(IFERROR(A93+0,A93),tbl_Production[Job Number],0)))),IFERROR(IF(INDEX(tbl_Consulting[Notes],IFERROR(MATCH(A93&amp;"",tbl_Consulting[Job Number],0),MATCH(IFERROR(A93+0,A93),tbl_Consulting[Job Number],0)))="","",INDEX(tbl_Consulting[Notes],IFERROR(MATCH(A93&amp;"",tbl_Consulting[Job Number],0),MATCH(IFERROR(A93+0,A93),tbl_Consulting[Job Number],0)))),""))))</f>
        <v/>
      </c>
    </row>
    <row r="94" ht="15" customHeight="1">
      <c r="A94" s="22" t="n"/>
      <c r="B94" s="22" t="n"/>
      <c r="C94" s="23" t="n"/>
      <c r="D94" s="22" t="n"/>
      <c r="E94" s="24" t="n"/>
      <c r="F94" s="25">
        <f>IF(C94="","",EOMONTH(C94,0))</f>
        <v/>
      </c>
      <c r="G94" s="26">
        <f>IF(A94="","",IF(COUNTIF(tbl_Onsite[Job Number],A94&amp;"")&gt;0,"Onsite",IF(COUNTIF(tbl_Production[Job Number],A94&amp;"")&gt;0,"Production",IF(COUNTIF(tbl_Consulting[Job Number],A94&amp;"")&gt;0,"Consulting","not set up yet"))))</f>
        <v/>
      </c>
      <c r="H94" s="26">
        <f>IF(A94="","",IF(COUNTIF(lst_Jobs,A94&amp;"")&gt;0,"OK","CHECK"))</f>
        <v/>
      </c>
      <c r="I94" s="26">
        <f>IF(A94="","",IFERROR(INDEX(lst_JobName,MATCH(A94&amp;"",lst_Jobs,0)),""))</f>
        <v/>
      </c>
      <c r="J94" s="26">
        <f>IF(A94="","",IFERROR(IF(INDEX(tbl_Onsite[Client],IFERROR(MATCH(A94&amp;"",tbl_Onsite[Job Number],0),MATCH(IFERROR(A94+0,A94),tbl_Onsite[Job Number],0)))="","",INDEX(tbl_Onsite[Client],IFERROR(MATCH(A94&amp;"",tbl_Onsite[Job Number],0),MATCH(IFERROR(A94+0,A94),tbl_Onsite[Job Number],0)))),IFERROR(IF(INDEX(tbl_Production[Client],IFERROR(MATCH(A94&amp;"",tbl_Production[Job Number],0),MATCH(IFERROR(A94+0,A94),tbl_Production[Job Number],0)))="","",INDEX(tbl_Production[Client],IFERROR(MATCH(A94&amp;"",tbl_Production[Job Number],0),MATCH(IFERROR(A94+0,A94),tbl_Production[Job Number],0)))),IFERROR(IF(INDEX(tbl_Consulting[Client],IFERROR(MATCH(A94&amp;"",tbl_Consulting[Job Number],0),MATCH(IFERROR(A94+0,A94),tbl_Consulting[Job Number],0)))="","",INDEX(tbl_Consulting[Client],IFERROR(MATCH(A94&amp;"",tbl_Consulting[Job Number],0),MATCH(IFERROR(A94+0,A94),tbl_Consulting[Job Number],0)))),""))))</f>
        <v/>
      </c>
      <c r="K94" s="26">
        <f>IF(A94="","",IFERROR(IF(INDEX(tbl_Onsite[Job Description],IFERROR(MATCH(A94&amp;"",tbl_Onsite[Job Number],0),MATCH(IFERROR(A94+0,A94),tbl_Onsite[Job Number],0)))="","",INDEX(tbl_Onsite[Job Description],IFERROR(MATCH(A94&amp;"",tbl_Onsite[Job Number],0),MATCH(IFERROR(A94+0,A94),tbl_Onsite[Job Number],0)))),IFERROR(IF(INDEX(tbl_Production[Job Description],IFERROR(MATCH(A94&amp;"",tbl_Production[Job Number],0),MATCH(IFERROR(A94+0,A94),tbl_Production[Job Number],0)))="","",INDEX(tbl_Production[Job Description],IFERROR(MATCH(A94&amp;"",tbl_Production[Job Number],0),MATCH(IFERROR(A94+0,A94),tbl_Production[Job Number],0)))),IFERROR(IF(INDEX(tbl_Consulting[Job Description],IFERROR(MATCH(A94&amp;"",tbl_Consulting[Job Number],0),MATCH(IFERROR(A94+0,A94),tbl_Consulting[Job Number],0)))="","",INDEX(tbl_Consulting[Job Description],IFERROR(MATCH(A94&amp;"",tbl_Consulting[Job Number],0),MATCH(IFERROR(A94+0,A94),tbl_Consulting[Job Number],0)))),""))))</f>
        <v/>
      </c>
      <c r="L94" s="26">
        <f>IF(A94="","",IFERROR(IF(INDEX(tbl_Onsite[Invoice Type],IFERROR(MATCH(A94&amp;"",tbl_Onsite[Job Number],0),MATCH(IFERROR(A94+0,A94),tbl_Onsite[Job Number],0)))="","",INDEX(tbl_Onsite[Invoice Type],IFERROR(MATCH(A94&amp;"",tbl_Onsite[Job Number],0),MATCH(IFERROR(A94+0,A94),tbl_Onsite[Job Number],0)))),IFERROR(IF(INDEX(tbl_Production[Invoice Type],IFERROR(MATCH(A94&amp;"",tbl_Production[Job Number],0),MATCH(IFERROR(A94+0,A94),tbl_Production[Job Number],0)))="","",INDEX(tbl_Production[Invoice Type],IFERROR(MATCH(A94&amp;"",tbl_Production[Job Number],0),MATCH(IFERROR(A94+0,A94),tbl_Production[Job Number],0)))),IFERROR(IF(INDEX(tbl_Consulting[Invoice Type],IFERROR(MATCH(A94&amp;"",tbl_Consulting[Job Number],0),MATCH(IFERROR(A94+0,A94),tbl_Consulting[Job Number],0)))="","",INDEX(tbl_Consulting[Invoice Type],IFERROR(MATCH(A94&amp;"",tbl_Consulting[Job Number],0),MATCH(IFERROR(A94+0,A94),tbl_Consulting[Job Number],0)))),""))))</f>
        <v/>
      </c>
      <c r="M94" s="26">
        <f>IF(A94="","",IF(IFERROR(IF(INDEX(tbl_Onsite[Tax Code],IFERROR(MATCH(A94&amp;"",tbl_Onsite[Job Number],0),MATCH(IFERROR(A94+0,A94),tbl_Onsite[Job Number],0)))="","",INDEX(tbl_Onsite[Tax Code],IFERROR(MATCH(A94&amp;"",tbl_Onsite[Job Number],0),MATCH(IFERROR(A94+0,A94),tbl_Onsite[Job Number],0)))),IFERROR(IF(INDEX(tbl_Production[Tax Code],IFERROR(MATCH(A94&amp;"",tbl_Production[Job Number],0),MATCH(IFERROR(A94+0,A94),tbl_Production[Job Number],0)))="","",INDEX(tbl_Production[Tax Code],IFERROR(MATCH(A94&amp;"",tbl_Production[Job Number],0),MATCH(IFERROR(A94+0,A94),tbl_Production[Job Number],0)))),IFERROR(IF(INDEX(tbl_Consulting[Tax Code],IFERROR(MATCH(A94&amp;"",tbl_Consulting[Job Number],0),MATCH(IFERROR(A94+0,A94),tbl_Consulting[Job Number],0)))="","",INDEX(tbl_Consulting[Tax Code],IFERROR(MATCH(A94&amp;"",tbl_Consulting[Job Number],0),MATCH(IFERROR(A94+0,A94),tbl_Consulting[Job Number],0)))),"")))="","GST 10%",IFERROR(IF(INDEX(tbl_Onsite[Tax Code],IFERROR(MATCH(A94&amp;"",tbl_Onsite[Job Number],0),MATCH(IFERROR(A94+0,A94),tbl_Onsite[Job Number],0)))="","",INDEX(tbl_Onsite[Tax Code],IFERROR(MATCH(A94&amp;"",tbl_Onsite[Job Number],0),MATCH(IFERROR(A94+0,A94),tbl_Onsite[Job Number],0)))),IFERROR(IF(INDEX(tbl_Production[Tax Code],IFERROR(MATCH(A94&amp;"",tbl_Production[Job Number],0),MATCH(IFERROR(A94+0,A94),tbl_Production[Job Number],0)))="","",INDEX(tbl_Production[Tax Code],IFERROR(MATCH(A94&amp;"",tbl_Production[Job Number],0),MATCH(IFERROR(A94+0,A94),tbl_Production[Job Number],0)))),IFERROR(IF(INDEX(tbl_Consulting[Tax Code],IFERROR(MATCH(A94&amp;"",tbl_Consulting[Job Number],0),MATCH(IFERROR(A94+0,A94),tbl_Consulting[Job Number],0)))="","",INDEX(tbl_Consulting[Tax Code],IFERROR(MATCH(A94&amp;"",tbl_Consulting[Job Number],0),MATCH(IFERROR(A94+0,A94),tbl_Consulting[Job Number],0)))),"")))))</f>
        <v/>
      </c>
      <c r="N94" s="26">
        <f>IF(D94="","",IFERROR(INDEX(lst_CCtoGL,MATCH(D94,lst_CCforGL,0)),""))</f>
        <v/>
      </c>
      <c r="O94" s="27">
        <f>IF(E94="","",IF(M94="GST 10%",ROUND(E94*set_GSTRate,2),0))</f>
        <v/>
      </c>
      <c r="P94" s="27">
        <f>IF(E94="","",E94+O94)</f>
        <v/>
      </c>
      <c r="Q94" s="27">
        <f>IF(A94="","",IFERROR(INDEX(tbl_Onsite[Expected Revenue Ex GST],IFERROR(MATCH(A94&amp;"",tbl_Onsite[Job Number],0),MATCH(IFERROR(A94+0,A94),tbl_Onsite[Job Number],0))),IFERROR(INDEX(tbl_Production[Expected Revenue Ex GST],IFERROR(MATCH(A94&amp;"",tbl_Production[Job Number],0),MATCH(IFERROR(A94+0,A94),tbl_Production[Job Number],0))),IFERROR(INDEX(tbl_Consulting[Expected Revenue Ex GST],IFERROR(MATCH(A94&amp;"",tbl_Consulting[Job Number],0),MATCH(IFERROR(A94+0,A94),tbl_Consulting[Job Number],0))),0))))</f>
        <v/>
      </c>
      <c r="R94" s="27">
        <f>IF(A94="","",SUMIFS(tbl_Finance[Ex GST],tbl_Finance[Job Number],A94&amp;""))</f>
        <v/>
      </c>
      <c r="S94" s="27">
        <f>IF(A94="","",Q94-R94)</f>
        <v/>
      </c>
      <c r="T94" s="26">
        <f>IF(A94="","",IF(Q94=0,"No dept value",IF(ROUND(S94,2)=0,"Agrees",IF(S94&gt;0,"Dept higher - to invoice","Xero higher - check dept"))))</f>
        <v/>
      </c>
      <c r="U94" s="22" t="n"/>
      <c r="V94" s="22" t="n"/>
      <c r="W94" s="23" t="n"/>
      <c r="X94" s="23" t="n"/>
      <c r="Y94" s="22" t="n"/>
      <c r="Z94" s="22" t="n"/>
      <c r="AA94" s="26">
        <f>IF(COUNTA(C94,A94,B94,E94)=0,"",IF(C94="","No date - sits outside every month",IF(A94="","No job number",IF(H94="CHECK","Job number is not in the Xero job list",IF(G94="not set up yet","No department has set this job up - nothing can pull through",IF(D94="","No cost centre",IF(AND(U94="Y",B94=""),"Marked posted to Xero but has no invoice number",IF(N94="","Cost centre has no revenue GL on the Lists sheet",IF(T94="Xero higher - check dept","Invoiced more than the department says the job is worth","")))))))))</f>
        <v/>
      </c>
      <c r="AB94" s="28">
        <f>IF(A94="","",COUNTIFS(tbl_Finance[Job Number],A94&amp;"",tbl_Finance[Ex GST],"&lt;&gt;"))</f>
        <v/>
      </c>
      <c r="AC94" s="27">
        <f>IF(A94="","",SUMIFS(tbl_Finance[Ex GST],tbl_Finance[Job Number],A94&amp;""))</f>
        <v/>
      </c>
      <c r="AD94" s="27">
        <f>IF(A94="","",SUMIFS(tbl_Finance[Ex GST],tbl_Finance[Job Number],A94&amp;"",tbl_Finance[Xero Invoice No],"&lt;&gt;"))</f>
        <v/>
      </c>
      <c r="AE94" s="27">
        <f>IF(A94="","",AC94-AD94)</f>
        <v/>
      </c>
      <c r="AF94" s="26">
        <f>IF(A94="","",IFERROR(IF(INDEX(tbl_Onsite[Qwilr Quote],IFERROR(MATCH(A94&amp;"",tbl_Onsite[Job Number],0),MATCH(IFERROR(A94+0,A94),tbl_Onsite[Job Number],0)))="","",INDEX(tbl_Onsite[Qwilr Quote],IFERROR(MATCH(A94&amp;"",tbl_Onsite[Job Number],0),MATCH(IFERROR(A94+0,A94),tbl_Onsite[Job Number],0)))),IFERROR(IF(IF(INDEX(tbl_Production[Current RMS No],IFERROR(MATCH(A94&amp;"",tbl_Production[Job Number],0),MATCH(IFERROR(A94+0,A94),tbl_Production[Job Number],0)))="",INDEX(tbl_Production[Qwilr Quote],IFERROR(MATCH(A94&amp;"",tbl_Production[Job Number],0),MATCH(IFERROR(A94+0,A94),tbl_Production[Job Number],0))),INDEX(tbl_Production[Current RMS No],IFERROR(MATCH(A94&amp;"",tbl_Production[Job Number],0),MATCH(IFERROR(A94+0,A94),tbl_Production[Job Number],0))))="","",IF(INDEX(tbl_Production[Current RMS No],IFERROR(MATCH(A94&amp;"",tbl_Production[Job Number],0),MATCH(IFERROR(A94+0,A94),tbl_Production[Job Number],0)))="",INDEX(tbl_Production[Qwilr Quote],IFERROR(MATCH(A94&amp;"",tbl_Production[Job Number],0),MATCH(IFERROR(A94+0,A94),tbl_Production[Job Number],0))),INDEX(tbl_Production[Current RMS No],IFERROR(MATCH(A94&amp;"",tbl_Production[Job Number],0),MATCH(IFERROR(A94+0,A94),tbl_Production[Job Number],0))))),IFERROR(IF(INDEX(tbl_Consulting[Qwilr Quote],IFERROR(MATCH(A94&amp;"",tbl_Consulting[Job Number],0),MATCH(IFERROR(A94+0,A94),tbl_Consulting[Job Number],0)))="","",INDEX(tbl_Consulting[Qwilr Quote],IFERROR(MATCH(A94&amp;"",tbl_Consulting[Job Number],0),MATCH(IFERROR(A94+0,A94),tbl_Consulting[Job Number],0)))),""))))</f>
        <v/>
      </c>
      <c r="AG94" s="26">
        <f>IF(AF94="","",IF(AND(LEFT(AF94,4)&lt;&gt;"http",IF(G94="Production",set_RMSBase,set_QwilrBase)=""),"",HYPERLINK(IF(LEFT(AF94,4)="http",AF94,IF(G94="Production",set_RMSBase,set_QwilrBase)&amp;AF94),"Open")))</f>
        <v/>
      </c>
      <c r="AH94" s="27">
        <f>IF(A94="","",IFERROR(INDEX(tbl_Production[Total Expense],IFERROR(MATCH(A94&amp;"",tbl_Production[Job Number],0),MATCH(IFERROR(A94+0,A94),tbl_Production[Job Number],0))),IFERROR(INDEX(tbl_Consulting[Total Expense],IFERROR(MATCH(A94&amp;"",tbl_Consulting[Job Number],0),MATCH(IFERROR(A94+0,A94),tbl_Consulting[Job Number],0))),0)))</f>
        <v/>
      </c>
      <c r="AI94" s="27">
        <f>IF(A94="","",AC94-N(AH94))</f>
        <v/>
      </c>
      <c r="AJ94" s="29">
        <f>IFERROR(AI94/AC94,"")</f>
        <v/>
      </c>
      <c r="AK94" s="26">
        <f>IF(A94="","",IFERROR(IF(INDEX(tbl_Onsite[Notes],IFERROR(MATCH(A94&amp;"",tbl_Onsite[Job Number],0),MATCH(IFERROR(A94+0,A94),tbl_Onsite[Job Number],0)))="","",INDEX(tbl_Onsite[Notes],IFERROR(MATCH(A94&amp;"",tbl_Onsite[Job Number],0),MATCH(IFERROR(A94+0,A94),tbl_Onsite[Job Number],0)))),IFERROR(IF(INDEX(tbl_Production[Notes],IFERROR(MATCH(A94&amp;"",tbl_Production[Job Number],0),MATCH(IFERROR(A94+0,A94),tbl_Production[Job Number],0)))="","",INDEX(tbl_Production[Notes],IFERROR(MATCH(A94&amp;"",tbl_Production[Job Number],0),MATCH(IFERROR(A94+0,A94),tbl_Production[Job Number],0)))),IFERROR(IF(INDEX(tbl_Consulting[Notes],IFERROR(MATCH(A94&amp;"",tbl_Consulting[Job Number],0),MATCH(IFERROR(A94+0,A94),tbl_Consulting[Job Number],0)))="","",INDEX(tbl_Consulting[Notes],IFERROR(MATCH(A94&amp;"",tbl_Consulting[Job Number],0),MATCH(IFERROR(A94+0,A94),tbl_Consulting[Job Number],0)))),""))))</f>
        <v/>
      </c>
    </row>
    <row r="95" ht="15" customHeight="1">
      <c r="A95" s="22" t="n"/>
      <c r="B95" s="22" t="n"/>
      <c r="C95" s="23" t="n"/>
      <c r="D95" s="22" t="n"/>
      <c r="E95" s="24" t="n"/>
      <c r="F95" s="25">
        <f>IF(C95="","",EOMONTH(C95,0))</f>
        <v/>
      </c>
      <c r="G95" s="26">
        <f>IF(A95="","",IF(COUNTIF(tbl_Onsite[Job Number],A95&amp;"")&gt;0,"Onsite",IF(COUNTIF(tbl_Production[Job Number],A95&amp;"")&gt;0,"Production",IF(COUNTIF(tbl_Consulting[Job Number],A95&amp;"")&gt;0,"Consulting","not set up yet"))))</f>
        <v/>
      </c>
      <c r="H95" s="26">
        <f>IF(A95="","",IF(COUNTIF(lst_Jobs,A95&amp;"")&gt;0,"OK","CHECK"))</f>
        <v/>
      </c>
      <c r="I95" s="26">
        <f>IF(A95="","",IFERROR(INDEX(lst_JobName,MATCH(A95&amp;"",lst_Jobs,0)),""))</f>
        <v/>
      </c>
      <c r="J95" s="26">
        <f>IF(A95="","",IFERROR(IF(INDEX(tbl_Onsite[Client],IFERROR(MATCH(A95&amp;"",tbl_Onsite[Job Number],0),MATCH(IFERROR(A95+0,A95),tbl_Onsite[Job Number],0)))="","",INDEX(tbl_Onsite[Client],IFERROR(MATCH(A95&amp;"",tbl_Onsite[Job Number],0),MATCH(IFERROR(A95+0,A95),tbl_Onsite[Job Number],0)))),IFERROR(IF(INDEX(tbl_Production[Client],IFERROR(MATCH(A95&amp;"",tbl_Production[Job Number],0),MATCH(IFERROR(A95+0,A95),tbl_Production[Job Number],0)))="","",INDEX(tbl_Production[Client],IFERROR(MATCH(A95&amp;"",tbl_Production[Job Number],0),MATCH(IFERROR(A95+0,A95),tbl_Production[Job Number],0)))),IFERROR(IF(INDEX(tbl_Consulting[Client],IFERROR(MATCH(A95&amp;"",tbl_Consulting[Job Number],0),MATCH(IFERROR(A95+0,A95),tbl_Consulting[Job Number],0)))="","",INDEX(tbl_Consulting[Client],IFERROR(MATCH(A95&amp;"",tbl_Consulting[Job Number],0),MATCH(IFERROR(A95+0,A95),tbl_Consulting[Job Number],0)))),""))))</f>
        <v/>
      </c>
      <c r="K95" s="26">
        <f>IF(A95="","",IFERROR(IF(INDEX(tbl_Onsite[Job Description],IFERROR(MATCH(A95&amp;"",tbl_Onsite[Job Number],0),MATCH(IFERROR(A95+0,A95),tbl_Onsite[Job Number],0)))="","",INDEX(tbl_Onsite[Job Description],IFERROR(MATCH(A95&amp;"",tbl_Onsite[Job Number],0),MATCH(IFERROR(A95+0,A95),tbl_Onsite[Job Number],0)))),IFERROR(IF(INDEX(tbl_Production[Job Description],IFERROR(MATCH(A95&amp;"",tbl_Production[Job Number],0),MATCH(IFERROR(A95+0,A95),tbl_Production[Job Number],0)))="","",INDEX(tbl_Production[Job Description],IFERROR(MATCH(A95&amp;"",tbl_Production[Job Number],0),MATCH(IFERROR(A95+0,A95),tbl_Production[Job Number],0)))),IFERROR(IF(INDEX(tbl_Consulting[Job Description],IFERROR(MATCH(A95&amp;"",tbl_Consulting[Job Number],0),MATCH(IFERROR(A95+0,A95),tbl_Consulting[Job Number],0)))="","",INDEX(tbl_Consulting[Job Description],IFERROR(MATCH(A95&amp;"",tbl_Consulting[Job Number],0),MATCH(IFERROR(A95+0,A95),tbl_Consulting[Job Number],0)))),""))))</f>
        <v/>
      </c>
      <c r="L95" s="26">
        <f>IF(A95="","",IFERROR(IF(INDEX(tbl_Onsite[Invoice Type],IFERROR(MATCH(A95&amp;"",tbl_Onsite[Job Number],0),MATCH(IFERROR(A95+0,A95),tbl_Onsite[Job Number],0)))="","",INDEX(tbl_Onsite[Invoice Type],IFERROR(MATCH(A95&amp;"",tbl_Onsite[Job Number],0),MATCH(IFERROR(A95+0,A95),tbl_Onsite[Job Number],0)))),IFERROR(IF(INDEX(tbl_Production[Invoice Type],IFERROR(MATCH(A95&amp;"",tbl_Production[Job Number],0),MATCH(IFERROR(A95+0,A95),tbl_Production[Job Number],0)))="","",INDEX(tbl_Production[Invoice Type],IFERROR(MATCH(A95&amp;"",tbl_Production[Job Number],0),MATCH(IFERROR(A95+0,A95),tbl_Production[Job Number],0)))),IFERROR(IF(INDEX(tbl_Consulting[Invoice Type],IFERROR(MATCH(A95&amp;"",tbl_Consulting[Job Number],0),MATCH(IFERROR(A95+0,A95),tbl_Consulting[Job Number],0)))="","",INDEX(tbl_Consulting[Invoice Type],IFERROR(MATCH(A95&amp;"",tbl_Consulting[Job Number],0),MATCH(IFERROR(A95+0,A95),tbl_Consulting[Job Number],0)))),""))))</f>
        <v/>
      </c>
      <c r="M95" s="26">
        <f>IF(A95="","",IF(IFERROR(IF(INDEX(tbl_Onsite[Tax Code],IFERROR(MATCH(A95&amp;"",tbl_Onsite[Job Number],0),MATCH(IFERROR(A95+0,A95),tbl_Onsite[Job Number],0)))="","",INDEX(tbl_Onsite[Tax Code],IFERROR(MATCH(A95&amp;"",tbl_Onsite[Job Number],0),MATCH(IFERROR(A95+0,A95),tbl_Onsite[Job Number],0)))),IFERROR(IF(INDEX(tbl_Production[Tax Code],IFERROR(MATCH(A95&amp;"",tbl_Production[Job Number],0),MATCH(IFERROR(A95+0,A95),tbl_Production[Job Number],0)))="","",INDEX(tbl_Production[Tax Code],IFERROR(MATCH(A95&amp;"",tbl_Production[Job Number],0),MATCH(IFERROR(A95+0,A95),tbl_Production[Job Number],0)))),IFERROR(IF(INDEX(tbl_Consulting[Tax Code],IFERROR(MATCH(A95&amp;"",tbl_Consulting[Job Number],0),MATCH(IFERROR(A95+0,A95),tbl_Consulting[Job Number],0)))="","",INDEX(tbl_Consulting[Tax Code],IFERROR(MATCH(A95&amp;"",tbl_Consulting[Job Number],0),MATCH(IFERROR(A95+0,A95),tbl_Consulting[Job Number],0)))),"")))="","GST 10%",IFERROR(IF(INDEX(tbl_Onsite[Tax Code],IFERROR(MATCH(A95&amp;"",tbl_Onsite[Job Number],0),MATCH(IFERROR(A95+0,A95),tbl_Onsite[Job Number],0)))="","",INDEX(tbl_Onsite[Tax Code],IFERROR(MATCH(A95&amp;"",tbl_Onsite[Job Number],0),MATCH(IFERROR(A95+0,A95),tbl_Onsite[Job Number],0)))),IFERROR(IF(INDEX(tbl_Production[Tax Code],IFERROR(MATCH(A95&amp;"",tbl_Production[Job Number],0),MATCH(IFERROR(A95+0,A95),tbl_Production[Job Number],0)))="","",INDEX(tbl_Production[Tax Code],IFERROR(MATCH(A95&amp;"",tbl_Production[Job Number],0),MATCH(IFERROR(A95+0,A95),tbl_Production[Job Number],0)))),IFERROR(IF(INDEX(tbl_Consulting[Tax Code],IFERROR(MATCH(A95&amp;"",tbl_Consulting[Job Number],0),MATCH(IFERROR(A95+0,A95),tbl_Consulting[Job Number],0)))="","",INDEX(tbl_Consulting[Tax Code],IFERROR(MATCH(A95&amp;"",tbl_Consulting[Job Number],0),MATCH(IFERROR(A95+0,A95),tbl_Consulting[Job Number],0)))),"")))))</f>
        <v/>
      </c>
      <c r="N95" s="26">
        <f>IF(D95="","",IFERROR(INDEX(lst_CCtoGL,MATCH(D95,lst_CCforGL,0)),""))</f>
        <v/>
      </c>
      <c r="O95" s="27">
        <f>IF(E95="","",IF(M95="GST 10%",ROUND(E95*set_GSTRate,2),0))</f>
        <v/>
      </c>
      <c r="P95" s="27">
        <f>IF(E95="","",E95+O95)</f>
        <v/>
      </c>
      <c r="Q95" s="27">
        <f>IF(A95="","",IFERROR(INDEX(tbl_Onsite[Expected Revenue Ex GST],IFERROR(MATCH(A95&amp;"",tbl_Onsite[Job Number],0),MATCH(IFERROR(A95+0,A95),tbl_Onsite[Job Number],0))),IFERROR(INDEX(tbl_Production[Expected Revenue Ex GST],IFERROR(MATCH(A95&amp;"",tbl_Production[Job Number],0),MATCH(IFERROR(A95+0,A95),tbl_Production[Job Number],0))),IFERROR(INDEX(tbl_Consulting[Expected Revenue Ex GST],IFERROR(MATCH(A95&amp;"",tbl_Consulting[Job Number],0),MATCH(IFERROR(A95+0,A95),tbl_Consulting[Job Number],0))),0))))</f>
        <v/>
      </c>
      <c r="R95" s="27">
        <f>IF(A95="","",SUMIFS(tbl_Finance[Ex GST],tbl_Finance[Job Number],A95&amp;""))</f>
        <v/>
      </c>
      <c r="S95" s="27">
        <f>IF(A95="","",Q95-R95)</f>
        <v/>
      </c>
      <c r="T95" s="26">
        <f>IF(A95="","",IF(Q95=0,"No dept value",IF(ROUND(S95,2)=0,"Agrees",IF(S95&gt;0,"Dept higher - to invoice","Xero higher - check dept"))))</f>
        <v/>
      </c>
      <c r="U95" s="22" t="n"/>
      <c r="V95" s="22" t="n"/>
      <c r="W95" s="23" t="n"/>
      <c r="X95" s="23" t="n"/>
      <c r="Y95" s="22" t="n"/>
      <c r="Z95" s="22" t="n"/>
      <c r="AA95" s="26">
        <f>IF(COUNTA(C95,A95,B95,E95)=0,"",IF(C95="","No date - sits outside every month",IF(A95="","No job number",IF(H95="CHECK","Job number is not in the Xero job list",IF(G95="not set up yet","No department has set this job up - nothing can pull through",IF(D95="","No cost centre",IF(AND(U95="Y",B95=""),"Marked posted to Xero but has no invoice number",IF(N95="","Cost centre has no revenue GL on the Lists sheet",IF(T95="Xero higher - check dept","Invoiced more than the department says the job is worth","")))))))))</f>
        <v/>
      </c>
      <c r="AB95" s="28">
        <f>IF(A95="","",COUNTIFS(tbl_Finance[Job Number],A95&amp;"",tbl_Finance[Ex GST],"&lt;&gt;"))</f>
        <v/>
      </c>
      <c r="AC95" s="27">
        <f>IF(A95="","",SUMIFS(tbl_Finance[Ex GST],tbl_Finance[Job Number],A95&amp;""))</f>
        <v/>
      </c>
      <c r="AD95" s="27">
        <f>IF(A95="","",SUMIFS(tbl_Finance[Ex GST],tbl_Finance[Job Number],A95&amp;"",tbl_Finance[Xero Invoice No],"&lt;&gt;"))</f>
        <v/>
      </c>
      <c r="AE95" s="27">
        <f>IF(A95="","",AC95-AD95)</f>
        <v/>
      </c>
      <c r="AF95" s="26">
        <f>IF(A95="","",IFERROR(IF(INDEX(tbl_Onsite[Qwilr Quote],IFERROR(MATCH(A95&amp;"",tbl_Onsite[Job Number],0),MATCH(IFERROR(A95+0,A95),tbl_Onsite[Job Number],0)))="","",INDEX(tbl_Onsite[Qwilr Quote],IFERROR(MATCH(A95&amp;"",tbl_Onsite[Job Number],0),MATCH(IFERROR(A95+0,A95),tbl_Onsite[Job Number],0)))),IFERROR(IF(IF(INDEX(tbl_Production[Current RMS No],IFERROR(MATCH(A95&amp;"",tbl_Production[Job Number],0),MATCH(IFERROR(A95+0,A95),tbl_Production[Job Number],0)))="",INDEX(tbl_Production[Qwilr Quote],IFERROR(MATCH(A95&amp;"",tbl_Production[Job Number],0),MATCH(IFERROR(A95+0,A95),tbl_Production[Job Number],0))),INDEX(tbl_Production[Current RMS No],IFERROR(MATCH(A95&amp;"",tbl_Production[Job Number],0),MATCH(IFERROR(A95+0,A95),tbl_Production[Job Number],0))))="","",IF(INDEX(tbl_Production[Current RMS No],IFERROR(MATCH(A95&amp;"",tbl_Production[Job Number],0),MATCH(IFERROR(A95+0,A95),tbl_Production[Job Number],0)))="",INDEX(tbl_Production[Qwilr Quote],IFERROR(MATCH(A95&amp;"",tbl_Production[Job Number],0),MATCH(IFERROR(A95+0,A95),tbl_Production[Job Number],0))),INDEX(tbl_Production[Current RMS No],IFERROR(MATCH(A95&amp;"",tbl_Production[Job Number],0),MATCH(IFERROR(A95+0,A95),tbl_Production[Job Number],0))))),IFERROR(IF(INDEX(tbl_Consulting[Qwilr Quote],IFERROR(MATCH(A95&amp;"",tbl_Consulting[Job Number],0),MATCH(IFERROR(A95+0,A95),tbl_Consulting[Job Number],0)))="","",INDEX(tbl_Consulting[Qwilr Quote],IFERROR(MATCH(A95&amp;"",tbl_Consulting[Job Number],0),MATCH(IFERROR(A95+0,A95),tbl_Consulting[Job Number],0)))),""))))</f>
        <v/>
      </c>
      <c r="AG95" s="26">
        <f>IF(AF95="","",IF(AND(LEFT(AF95,4)&lt;&gt;"http",IF(G95="Production",set_RMSBase,set_QwilrBase)=""),"",HYPERLINK(IF(LEFT(AF95,4)="http",AF95,IF(G95="Production",set_RMSBase,set_QwilrBase)&amp;AF95),"Open")))</f>
        <v/>
      </c>
      <c r="AH95" s="27">
        <f>IF(A95="","",IFERROR(INDEX(tbl_Production[Total Expense],IFERROR(MATCH(A95&amp;"",tbl_Production[Job Number],0),MATCH(IFERROR(A95+0,A95),tbl_Production[Job Number],0))),IFERROR(INDEX(tbl_Consulting[Total Expense],IFERROR(MATCH(A95&amp;"",tbl_Consulting[Job Number],0),MATCH(IFERROR(A95+0,A95),tbl_Consulting[Job Number],0))),0)))</f>
        <v/>
      </c>
      <c r="AI95" s="27">
        <f>IF(A95="","",AC95-N(AH95))</f>
        <v/>
      </c>
      <c r="AJ95" s="29">
        <f>IFERROR(AI95/AC95,"")</f>
        <v/>
      </c>
      <c r="AK95" s="26">
        <f>IF(A95="","",IFERROR(IF(INDEX(tbl_Onsite[Notes],IFERROR(MATCH(A95&amp;"",tbl_Onsite[Job Number],0),MATCH(IFERROR(A95+0,A95),tbl_Onsite[Job Number],0)))="","",INDEX(tbl_Onsite[Notes],IFERROR(MATCH(A95&amp;"",tbl_Onsite[Job Number],0),MATCH(IFERROR(A95+0,A95),tbl_Onsite[Job Number],0)))),IFERROR(IF(INDEX(tbl_Production[Notes],IFERROR(MATCH(A95&amp;"",tbl_Production[Job Number],0),MATCH(IFERROR(A95+0,A95),tbl_Production[Job Number],0)))="","",INDEX(tbl_Production[Notes],IFERROR(MATCH(A95&amp;"",tbl_Production[Job Number],0),MATCH(IFERROR(A95+0,A95),tbl_Production[Job Number],0)))),IFERROR(IF(INDEX(tbl_Consulting[Notes],IFERROR(MATCH(A95&amp;"",tbl_Consulting[Job Number],0),MATCH(IFERROR(A95+0,A95),tbl_Consulting[Job Number],0)))="","",INDEX(tbl_Consulting[Notes],IFERROR(MATCH(A95&amp;"",tbl_Consulting[Job Number],0),MATCH(IFERROR(A95+0,A95),tbl_Consulting[Job Number],0)))),""))))</f>
        <v/>
      </c>
    </row>
    <row r="96" ht="15" customHeight="1">
      <c r="A96" s="22" t="n"/>
      <c r="B96" s="22" t="n"/>
      <c r="C96" s="23" t="n"/>
      <c r="D96" s="22" t="n"/>
      <c r="E96" s="24" t="n"/>
      <c r="F96" s="25">
        <f>IF(C96="","",EOMONTH(C96,0))</f>
        <v/>
      </c>
      <c r="G96" s="26">
        <f>IF(A96="","",IF(COUNTIF(tbl_Onsite[Job Number],A96&amp;"")&gt;0,"Onsite",IF(COUNTIF(tbl_Production[Job Number],A96&amp;"")&gt;0,"Production",IF(COUNTIF(tbl_Consulting[Job Number],A96&amp;"")&gt;0,"Consulting","not set up yet"))))</f>
        <v/>
      </c>
      <c r="H96" s="26">
        <f>IF(A96="","",IF(COUNTIF(lst_Jobs,A96&amp;"")&gt;0,"OK","CHECK"))</f>
        <v/>
      </c>
      <c r="I96" s="26">
        <f>IF(A96="","",IFERROR(INDEX(lst_JobName,MATCH(A96&amp;"",lst_Jobs,0)),""))</f>
        <v/>
      </c>
      <c r="J96" s="26">
        <f>IF(A96="","",IFERROR(IF(INDEX(tbl_Onsite[Client],IFERROR(MATCH(A96&amp;"",tbl_Onsite[Job Number],0),MATCH(IFERROR(A96+0,A96),tbl_Onsite[Job Number],0)))="","",INDEX(tbl_Onsite[Client],IFERROR(MATCH(A96&amp;"",tbl_Onsite[Job Number],0),MATCH(IFERROR(A96+0,A96),tbl_Onsite[Job Number],0)))),IFERROR(IF(INDEX(tbl_Production[Client],IFERROR(MATCH(A96&amp;"",tbl_Production[Job Number],0),MATCH(IFERROR(A96+0,A96),tbl_Production[Job Number],0)))="","",INDEX(tbl_Production[Client],IFERROR(MATCH(A96&amp;"",tbl_Production[Job Number],0),MATCH(IFERROR(A96+0,A96),tbl_Production[Job Number],0)))),IFERROR(IF(INDEX(tbl_Consulting[Client],IFERROR(MATCH(A96&amp;"",tbl_Consulting[Job Number],0),MATCH(IFERROR(A96+0,A96),tbl_Consulting[Job Number],0)))="","",INDEX(tbl_Consulting[Client],IFERROR(MATCH(A96&amp;"",tbl_Consulting[Job Number],0),MATCH(IFERROR(A96+0,A96),tbl_Consulting[Job Number],0)))),""))))</f>
        <v/>
      </c>
      <c r="K96" s="26">
        <f>IF(A96="","",IFERROR(IF(INDEX(tbl_Onsite[Job Description],IFERROR(MATCH(A96&amp;"",tbl_Onsite[Job Number],0),MATCH(IFERROR(A96+0,A96),tbl_Onsite[Job Number],0)))="","",INDEX(tbl_Onsite[Job Description],IFERROR(MATCH(A96&amp;"",tbl_Onsite[Job Number],0),MATCH(IFERROR(A96+0,A96),tbl_Onsite[Job Number],0)))),IFERROR(IF(INDEX(tbl_Production[Job Description],IFERROR(MATCH(A96&amp;"",tbl_Production[Job Number],0),MATCH(IFERROR(A96+0,A96),tbl_Production[Job Number],0)))="","",INDEX(tbl_Production[Job Description],IFERROR(MATCH(A96&amp;"",tbl_Production[Job Number],0),MATCH(IFERROR(A96+0,A96),tbl_Production[Job Number],0)))),IFERROR(IF(INDEX(tbl_Consulting[Job Description],IFERROR(MATCH(A96&amp;"",tbl_Consulting[Job Number],0),MATCH(IFERROR(A96+0,A96),tbl_Consulting[Job Number],0)))="","",INDEX(tbl_Consulting[Job Description],IFERROR(MATCH(A96&amp;"",tbl_Consulting[Job Number],0),MATCH(IFERROR(A96+0,A96),tbl_Consulting[Job Number],0)))),""))))</f>
        <v/>
      </c>
      <c r="L96" s="26">
        <f>IF(A96="","",IFERROR(IF(INDEX(tbl_Onsite[Invoice Type],IFERROR(MATCH(A96&amp;"",tbl_Onsite[Job Number],0),MATCH(IFERROR(A96+0,A96),tbl_Onsite[Job Number],0)))="","",INDEX(tbl_Onsite[Invoice Type],IFERROR(MATCH(A96&amp;"",tbl_Onsite[Job Number],0),MATCH(IFERROR(A96+0,A96),tbl_Onsite[Job Number],0)))),IFERROR(IF(INDEX(tbl_Production[Invoice Type],IFERROR(MATCH(A96&amp;"",tbl_Production[Job Number],0),MATCH(IFERROR(A96+0,A96),tbl_Production[Job Number],0)))="","",INDEX(tbl_Production[Invoice Type],IFERROR(MATCH(A96&amp;"",tbl_Production[Job Number],0),MATCH(IFERROR(A96+0,A96),tbl_Production[Job Number],0)))),IFERROR(IF(INDEX(tbl_Consulting[Invoice Type],IFERROR(MATCH(A96&amp;"",tbl_Consulting[Job Number],0),MATCH(IFERROR(A96+0,A96),tbl_Consulting[Job Number],0)))="","",INDEX(tbl_Consulting[Invoice Type],IFERROR(MATCH(A96&amp;"",tbl_Consulting[Job Number],0),MATCH(IFERROR(A96+0,A96),tbl_Consulting[Job Number],0)))),""))))</f>
        <v/>
      </c>
      <c r="M96" s="26">
        <f>IF(A96="","",IF(IFERROR(IF(INDEX(tbl_Onsite[Tax Code],IFERROR(MATCH(A96&amp;"",tbl_Onsite[Job Number],0),MATCH(IFERROR(A96+0,A96),tbl_Onsite[Job Number],0)))="","",INDEX(tbl_Onsite[Tax Code],IFERROR(MATCH(A96&amp;"",tbl_Onsite[Job Number],0),MATCH(IFERROR(A96+0,A96),tbl_Onsite[Job Number],0)))),IFERROR(IF(INDEX(tbl_Production[Tax Code],IFERROR(MATCH(A96&amp;"",tbl_Production[Job Number],0),MATCH(IFERROR(A96+0,A96),tbl_Production[Job Number],0)))="","",INDEX(tbl_Production[Tax Code],IFERROR(MATCH(A96&amp;"",tbl_Production[Job Number],0),MATCH(IFERROR(A96+0,A96),tbl_Production[Job Number],0)))),IFERROR(IF(INDEX(tbl_Consulting[Tax Code],IFERROR(MATCH(A96&amp;"",tbl_Consulting[Job Number],0),MATCH(IFERROR(A96+0,A96),tbl_Consulting[Job Number],0)))="","",INDEX(tbl_Consulting[Tax Code],IFERROR(MATCH(A96&amp;"",tbl_Consulting[Job Number],0),MATCH(IFERROR(A96+0,A96),tbl_Consulting[Job Number],0)))),"")))="","GST 10%",IFERROR(IF(INDEX(tbl_Onsite[Tax Code],IFERROR(MATCH(A96&amp;"",tbl_Onsite[Job Number],0),MATCH(IFERROR(A96+0,A96),tbl_Onsite[Job Number],0)))="","",INDEX(tbl_Onsite[Tax Code],IFERROR(MATCH(A96&amp;"",tbl_Onsite[Job Number],0),MATCH(IFERROR(A96+0,A96),tbl_Onsite[Job Number],0)))),IFERROR(IF(INDEX(tbl_Production[Tax Code],IFERROR(MATCH(A96&amp;"",tbl_Production[Job Number],0),MATCH(IFERROR(A96+0,A96),tbl_Production[Job Number],0)))="","",INDEX(tbl_Production[Tax Code],IFERROR(MATCH(A96&amp;"",tbl_Production[Job Number],0),MATCH(IFERROR(A96+0,A96),tbl_Production[Job Number],0)))),IFERROR(IF(INDEX(tbl_Consulting[Tax Code],IFERROR(MATCH(A96&amp;"",tbl_Consulting[Job Number],0),MATCH(IFERROR(A96+0,A96),tbl_Consulting[Job Number],0)))="","",INDEX(tbl_Consulting[Tax Code],IFERROR(MATCH(A96&amp;"",tbl_Consulting[Job Number],0),MATCH(IFERROR(A96+0,A96),tbl_Consulting[Job Number],0)))),"")))))</f>
        <v/>
      </c>
      <c r="N96" s="26">
        <f>IF(D96="","",IFERROR(INDEX(lst_CCtoGL,MATCH(D96,lst_CCforGL,0)),""))</f>
        <v/>
      </c>
      <c r="O96" s="27">
        <f>IF(E96="","",IF(M96="GST 10%",ROUND(E96*set_GSTRate,2),0))</f>
        <v/>
      </c>
      <c r="P96" s="27">
        <f>IF(E96="","",E96+O96)</f>
        <v/>
      </c>
      <c r="Q96" s="27">
        <f>IF(A96="","",IFERROR(INDEX(tbl_Onsite[Expected Revenue Ex GST],IFERROR(MATCH(A96&amp;"",tbl_Onsite[Job Number],0),MATCH(IFERROR(A96+0,A96),tbl_Onsite[Job Number],0))),IFERROR(INDEX(tbl_Production[Expected Revenue Ex GST],IFERROR(MATCH(A96&amp;"",tbl_Production[Job Number],0),MATCH(IFERROR(A96+0,A96),tbl_Production[Job Number],0))),IFERROR(INDEX(tbl_Consulting[Expected Revenue Ex GST],IFERROR(MATCH(A96&amp;"",tbl_Consulting[Job Number],0),MATCH(IFERROR(A96+0,A96),tbl_Consulting[Job Number],0))),0))))</f>
        <v/>
      </c>
      <c r="R96" s="27">
        <f>IF(A96="","",SUMIFS(tbl_Finance[Ex GST],tbl_Finance[Job Number],A96&amp;""))</f>
        <v/>
      </c>
      <c r="S96" s="27">
        <f>IF(A96="","",Q96-R96)</f>
        <v/>
      </c>
      <c r="T96" s="26">
        <f>IF(A96="","",IF(Q96=0,"No dept value",IF(ROUND(S96,2)=0,"Agrees",IF(S96&gt;0,"Dept higher - to invoice","Xero higher - check dept"))))</f>
        <v/>
      </c>
      <c r="U96" s="22" t="n"/>
      <c r="V96" s="22" t="n"/>
      <c r="W96" s="23" t="n"/>
      <c r="X96" s="23" t="n"/>
      <c r="Y96" s="22" t="n"/>
      <c r="Z96" s="22" t="n"/>
      <c r="AA96" s="26">
        <f>IF(COUNTA(C96,A96,B96,E96)=0,"",IF(C96="","No date - sits outside every month",IF(A96="","No job number",IF(H96="CHECK","Job number is not in the Xero job list",IF(G96="not set up yet","No department has set this job up - nothing can pull through",IF(D96="","No cost centre",IF(AND(U96="Y",B96=""),"Marked posted to Xero but has no invoice number",IF(N96="","Cost centre has no revenue GL on the Lists sheet",IF(T96="Xero higher - check dept","Invoiced more than the department says the job is worth","")))))))))</f>
        <v/>
      </c>
      <c r="AB96" s="28">
        <f>IF(A96="","",COUNTIFS(tbl_Finance[Job Number],A96&amp;"",tbl_Finance[Ex GST],"&lt;&gt;"))</f>
        <v/>
      </c>
      <c r="AC96" s="27">
        <f>IF(A96="","",SUMIFS(tbl_Finance[Ex GST],tbl_Finance[Job Number],A96&amp;""))</f>
        <v/>
      </c>
      <c r="AD96" s="27">
        <f>IF(A96="","",SUMIFS(tbl_Finance[Ex GST],tbl_Finance[Job Number],A96&amp;"",tbl_Finance[Xero Invoice No],"&lt;&gt;"))</f>
        <v/>
      </c>
      <c r="AE96" s="27">
        <f>IF(A96="","",AC96-AD96)</f>
        <v/>
      </c>
      <c r="AF96" s="26">
        <f>IF(A96="","",IFERROR(IF(INDEX(tbl_Onsite[Qwilr Quote],IFERROR(MATCH(A96&amp;"",tbl_Onsite[Job Number],0),MATCH(IFERROR(A96+0,A96),tbl_Onsite[Job Number],0)))="","",INDEX(tbl_Onsite[Qwilr Quote],IFERROR(MATCH(A96&amp;"",tbl_Onsite[Job Number],0),MATCH(IFERROR(A96+0,A96),tbl_Onsite[Job Number],0)))),IFERROR(IF(IF(INDEX(tbl_Production[Current RMS No],IFERROR(MATCH(A96&amp;"",tbl_Production[Job Number],0),MATCH(IFERROR(A96+0,A96),tbl_Production[Job Number],0)))="",INDEX(tbl_Production[Qwilr Quote],IFERROR(MATCH(A96&amp;"",tbl_Production[Job Number],0),MATCH(IFERROR(A96+0,A96),tbl_Production[Job Number],0))),INDEX(tbl_Production[Current RMS No],IFERROR(MATCH(A96&amp;"",tbl_Production[Job Number],0),MATCH(IFERROR(A96+0,A96),tbl_Production[Job Number],0))))="","",IF(INDEX(tbl_Production[Current RMS No],IFERROR(MATCH(A96&amp;"",tbl_Production[Job Number],0),MATCH(IFERROR(A96+0,A96),tbl_Production[Job Number],0)))="",INDEX(tbl_Production[Qwilr Quote],IFERROR(MATCH(A96&amp;"",tbl_Production[Job Number],0),MATCH(IFERROR(A96+0,A96),tbl_Production[Job Number],0))),INDEX(tbl_Production[Current RMS No],IFERROR(MATCH(A96&amp;"",tbl_Production[Job Number],0),MATCH(IFERROR(A96+0,A96),tbl_Production[Job Number],0))))),IFERROR(IF(INDEX(tbl_Consulting[Qwilr Quote],IFERROR(MATCH(A96&amp;"",tbl_Consulting[Job Number],0),MATCH(IFERROR(A96+0,A96),tbl_Consulting[Job Number],0)))="","",INDEX(tbl_Consulting[Qwilr Quote],IFERROR(MATCH(A96&amp;"",tbl_Consulting[Job Number],0),MATCH(IFERROR(A96+0,A96),tbl_Consulting[Job Number],0)))),""))))</f>
        <v/>
      </c>
      <c r="AG96" s="26">
        <f>IF(AF96="","",IF(AND(LEFT(AF96,4)&lt;&gt;"http",IF(G96="Production",set_RMSBase,set_QwilrBase)=""),"",HYPERLINK(IF(LEFT(AF96,4)="http",AF96,IF(G96="Production",set_RMSBase,set_QwilrBase)&amp;AF96),"Open")))</f>
        <v/>
      </c>
      <c r="AH96" s="27">
        <f>IF(A96="","",IFERROR(INDEX(tbl_Production[Total Expense],IFERROR(MATCH(A96&amp;"",tbl_Production[Job Number],0),MATCH(IFERROR(A96+0,A96),tbl_Production[Job Number],0))),IFERROR(INDEX(tbl_Consulting[Total Expense],IFERROR(MATCH(A96&amp;"",tbl_Consulting[Job Number],0),MATCH(IFERROR(A96+0,A96),tbl_Consulting[Job Number],0))),0)))</f>
        <v/>
      </c>
      <c r="AI96" s="27">
        <f>IF(A96="","",AC96-N(AH96))</f>
        <v/>
      </c>
      <c r="AJ96" s="29">
        <f>IFERROR(AI96/AC96,"")</f>
        <v/>
      </c>
      <c r="AK96" s="26">
        <f>IF(A96="","",IFERROR(IF(INDEX(tbl_Onsite[Notes],IFERROR(MATCH(A96&amp;"",tbl_Onsite[Job Number],0),MATCH(IFERROR(A96+0,A96),tbl_Onsite[Job Number],0)))="","",INDEX(tbl_Onsite[Notes],IFERROR(MATCH(A96&amp;"",tbl_Onsite[Job Number],0),MATCH(IFERROR(A96+0,A96),tbl_Onsite[Job Number],0)))),IFERROR(IF(INDEX(tbl_Production[Notes],IFERROR(MATCH(A96&amp;"",tbl_Production[Job Number],0),MATCH(IFERROR(A96+0,A96),tbl_Production[Job Number],0)))="","",INDEX(tbl_Production[Notes],IFERROR(MATCH(A96&amp;"",tbl_Production[Job Number],0),MATCH(IFERROR(A96+0,A96),tbl_Production[Job Number],0)))),IFERROR(IF(INDEX(tbl_Consulting[Notes],IFERROR(MATCH(A96&amp;"",tbl_Consulting[Job Number],0),MATCH(IFERROR(A96+0,A96),tbl_Consulting[Job Number],0)))="","",INDEX(tbl_Consulting[Notes],IFERROR(MATCH(A96&amp;"",tbl_Consulting[Job Number],0),MATCH(IFERROR(A96+0,A96),tbl_Consulting[Job Number],0)))),""))))</f>
        <v/>
      </c>
    </row>
    <row r="97" ht="15" customHeight="1">
      <c r="A97" s="22" t="n"/>
      <c r="B97" s="22" t="n"/>
      <c r="C97" s="23" t="n"/>
      <c r="D97" s="22" t="n"/>
      <c r="E97" s="24" t="n"/>
      <c r="F97" s="25">
        <f>IF(C97="","",EOMONTH(C97,0))</f>
        <v/>
      </c>
      <c r="G97" s="26">
        <f>IF(A97="","",IF(COUNTIF(tbl_Onsite[Job Number],A97&amp;"")&gt;0,"Onsite",IF(COUNTIF(tbl_Production[Job Number],A97&amp;"")&gt;0,"Production",IF(COUNTIF(tbl_Consulting[Job Number],A97&amp;"")&gt;0,"Consulting","not set up yet"))))</f>
        <v/>
      </c>
      <c r="H97" s="26">
        <f>IF(A97="","",IF(COUNTIF(lst_Jobs,A97&amp;"")&gt;0,"OK","CHECK"))</f>
        <v/>
      </c>
      <c r="I97" s="26">
        <f>IF(A97="","",IFERROR(INDEX(lst_JobName,MATCH(A97&amp;"",lst_Jobs,0)),""))</f>
        <v/>
      </c>
      <c r="J97" s="26">
        <f>IF(A97="","",IFERROR(IF(INDEX(tbl_Onsite[Client],IFERROR(MATCH(A97&amp;"",tbl_Onsite[Job Number],0),MATCH(IFERROR(A97+0,A97),tbl_Onsite[Job Number],0)))="","",INDEX(tbl_Onsite[Client],IFERROR(MATCH(A97&amp;"",tbl_Onsite[Job Number],0),MATCH(IFERROR(A97+0,A97),tbl_Onsite[Job Number],0)))),IFERROR(IF(INDEX(tbl_Production[Client],IFERROR(MATCH(A97&amp;"",tbl_Production[Job Number],0),MATCH(IFERROR(A97+0,A97),tbl_Production[Job Number],0)))="","",INDEX(tbl_Production[Client],IFERROR(MATCH(A97&amp;"",tbl_Production[Job Number],0),MATCH(IFERROR(A97+0,A97),tbl_Production[Job Number],0)))),IFERROR(IF(INDEX(tbl_Consulting[Client],IFERROR(MATCH(A97&amp;"",tbl_Consulting[Job Number],0),MATCH(IFERROR(A97+0,A97),tbl_Consulting[Job Number],0)))="","",INDEX(tbl_Consulting[Client],IFERROR(MATCH(A97&amp;"",tbl_Consulting[Job Number],0),MATCH(IFERROR(A97+0,A97),tbl_Consulting[Job Number],0)))),""))))</f>
        <v/>
      </c>
      <c r="K97" s="26">
        <f>IF(A97="","",IFERROR(IF(INDEX(tbl_Onsite[Job Description],IFERROR(MATCH(A97&amp;"",tbl_Onsite[Job Number],0),MATCH(IFERROR(A97+0,A97),tbl_Onsite[Job Number],0)))="","",INDEX(tbl_Onsite[Job Description],IFERROR(MATCH(A97&amp;"",tbl_Onsite[Job Number],0),MATCH(IFERROR(A97+0,A97),tbl_Onsite[Job Number],0)))),IFERROR(IF(INDEX(tbl_Production[Job Description],IFERROR(MATCH(A97&amp;"",tbl_Production[Job Number],0),MATCH(IFERROR(A97+0,A97),tbl_Production[Job Number],0)))="","",INDEX(tbl_Production[Job Description],IFERROR(MATCH(A97&amp;"",tbl_Production[Job Number],0),MATCH(IFERROR(A97+0,A97),tbl_Production[Job Number],0)))),IFERROR(IF(INDEX(tbl_Consulting[Job Description],IFERROR(MATCH(A97&amp;"",tbl_Consulting[Job Number],0),MATCH(IFERROR(A97+0,A97),tbl_Consulting[Job Number],0)))="","",INDEX(tbl_Consulting[Job Description],IFERROR(MATCH(A97&amp;"",tbl_Consulting[Job Number],0),MATCH(IFERROR(A97+0,A97),tbl_Consulting[Job Number],0)))),""))))</f>
        <v/>
      </c>
      <c r="L97" s="26">
        <f>IF(A97="","",IFERROR(IF(INDEX(tbl_Onsite[Invoice Type],IFERROR(MATCH(A97&amp;"",tbl_Onsite[Job Number],0),MATCH(IFERROR(A97+0,A97),tbl_Onsite[Job Number],0)))="","",INDEX(tbl_Onsite[Invoice Type],IFERROR(MATCH(A97&amp;"",tbl_Onsite[Job Number],0),MATCH(IFERROR(A97+0,A97),tbl_Onsite[Job Number],0)))),IFERROR(IF(INDEX(tbl_Production[Invoice Type],IFERROR(MATCH(A97&amp;"",tbl_Production[Job Number],0),MATCH(IFERROR(A97+0,A97),tbl_Production[Job Number],0)))="","",INDEX(tbl_Production[Invoice Type],IFERROR(MATCH(A97&amp;"",tbl_Production[Job Number],0),MATCH(IFERROR(A97+0,A97),tbl_Production[Job Number],0)))),IFERROR(IF(INDEX(tbl_Consulting[Invoice Type],IFERROR(MATCH(A97&amp;"",tbl_Consulting[Job Number],0),MATCH(IFERROR(A97+0,A97),tbl_Consulting[Job Number],0)))="","",INDEX(tbl_Consulting[Invoice Type],IFERROR(MATCH(A97&amp;"",tbl_Consulting[Job Number],0),MATCH(IFERROR(A97+0,A97),tbl_Consulting[Job Number],0)))),""))))</f>
        <v/>
      </c>
      <c r="M97" s="26">
        <f>IF(A97="","",IF(IFERROR(IF(INDEX(tbl_Onsite[Tax Code],IFERROR(MATCH(A97&amp;"",tbl_Onsite[Job Number],0),MATCH(IFERROR(A97+0,A97),tbl_Onsite[Job Number],0)))="","",INDEX(tbl_Onsite[Tax Code],IFERROR(MATCH(A97&amp;"",tbl_Onsite[Job Number],0),MATCH(IFERROR(A97+0,A97),tbl_Onsite[Job Number],0)))),IFERROR(IF(INDEX(tbl_Production[Tax Code],IFERROR(MATCH(A97&amp;"",tbl_Production[Job Number],0),MATCH(IFERROR(A97+0,A97),tbl_Production[Job Number],0)))="","",INDEX(tbl_Production[Tax Code],IFERROR(MATCH(A97&amp;"",tbl_Production[Job Number],0),MATCH(IFERROR(A97+0,A97),tbl_Production[Job Number],0)))),IFERROR(IF(INDEX(tbl_Consulting[Tax Code],IFERROR(MATCH(A97&amp;"",tbl_Consulting[Job Number],0),MATCH(IFERROR(A97+0,A97),tbl_Consulting[Job Number],0)))="","",INDEX(tbl_Consulting[Tax Code],IFERROR(MATCH(A97&amp;"",tbl_Consulting[Job Number],0),MATCH(IFERROR(A97+0,A97),tbl_Consulting[Job Number],0)))),"")))="","GST 10%",IFERROR(IF(INDEX(tbl_Onsite[Tax Code],IFERROR(MATCH(A97&amp;"",tbl_Onsite[Job Number],0),MATCH(IFERROR(A97+0,A97),tbl_Onsite[Job Number],0)))="","",INDEX(tbl_Onsite[Tax Code],IFERROR(MATCH(A97&amp;"",tbl_Onsite[Job Number],0),MATCH(IFERROR(A97+0,A97),tbl_Onsite[Job Number],0)))),IFERROR(IF(INDEX(tbl_Production[Tax Code],IFERROR(MATCH(A97&amp;"",tbl_Production[Job Number],0),MATCH(IFERROR(A97+0,A97),tbl_Production[Job Number],0)))="","",INDEX(tbl_Production[Tax Code],IFERROR(MATCH(A97&amp;"",tbl_Production[Job Number],0),MATCH(IFERROR(A97+0,A97),tbl_Production[Job Number],0)))),IFERROR(IF(INDEX(tbl_Consulting[Tax Code],IFERROR(MATCH(A97&amp;"",tbl_Consulting[Job Number],0),MATCH(IFERROR(A97+0,A97),tbl_Consulting[Job Number],0)))="","",INDEX(tbl_Consulting[Tax Code],IFERROR(MATCH(A97&amp;"",tbl_Consulting[Job Number],0),MATCH(IFERROR(A97+0,A97),tbl_Consulting[Job Number],0)))),"")))))</f>
        <v/>
      </c>
      <c r="N97" s="26">
        <f>IF(D97="","",IFERROR(INDEX(lst_CCtoGL,MATCH(D97,lst_CCforGL,0)),""))</f>
        <v/>
      </c>
      <c r="O97" s="27">
        <f>IF(E97="","",IF(M97="GST 10%",ROUND(E97*set_GSTRate,2),0))</f>
        <v/>
      </c>
      <c r="P97" s="27">
        <f>IF(E97="","",E97+O97)</f>
        <v/>
      </c>
      <c r="Q97" s="27">
        <f>IF(A97="","",IFERROR(INDEX(tbl_Onsite[Expected Revenue Ex GST],IFERROR(MATCH(A97&amp;"",tbl_Onsite[Job Number],0),MATCH(IFERROR(A97+0,A97),tbl_Onsite[Job Number],0))),IFERROR(INDEX(tbl_Production[Expected Revenue Ex GST],IFERROR(MATCH(A97&amp;"",tbl_Production[Job Number],0),MATCH(IFERROR(A97+0,A97),tbl_Production[Job Number],0))),IFERROR(INDEX(tbl_Consulting[Expected Revenue Ex GST],IFERROR(MATCH(A97&amp;"",tbl_Consulting[Job Number],0),MATCH(IFERROR(A97+0,A97),tbl_Consulting[Job Number],0))),0))))</f>
        <v/>
      </c>
      <c r="R97" s="27">
        <f>IF(A97="","",SUMIFS(tbl_Finance[Ex GST],tbl_Finance[Job Number],A97&amp;""))</f>
        <v/>
      </c>
      <c r="S97" s="27">
        <f>IF(A97="","",Q97-R97)</f>
        <v/>
      </c>
      <c r="T97" s="26">
        <f>IF(A97="","",IF(Q97=0,"No dept value",IF(ROUND(S97,2)=0,"Agrees",IF(S97&gt;0,"Dept higher - to invoice","Xero higher - check dept"))))</f>
        <v/>
      </c>
      <c r="U97" s="22" t="n"/>
      <c r="V97" s="22" t="n"/>
      <c r="W97" s="23" t="n"/>
      <c r="X97" s="23" t="n"/>
      <c r="Y97" s="22" t="n"/>
      <c r="Z97" s="22" t="n"/>
      <c r="AA97" s="26">
        <f>IF(COUNTA(C97,A97,B97,E97)=0,"",IF(C97="","No date - sits outside every month",IF(A97="","No job number",IF(H97="CHECK","Job number is not in the Xero job list",IF(G97="not set up yet","No department has set this job up - nothing can pull through",IF(D97="","No cost centre",IF(AND(U97="Y",B97=""),"Marked posted to Xero but has no invoice number",IF(N97="","Cost centre has no revenue GL on the Lists sheet",IF(T97="Xero higher - check dept","Invoiced more than the department says the job is worth","")))))))))</f>
        <v/>
      </c>
      <c r="AB97" s="28">
        <f>IF(A97="","",COUNTIFS(tbl_Finance[Job Number],A97&amp;"",tbl_Finance[Ex GST],"&lt;&gt;"))</f>
        <v/>
      </c>
      <c r="AC97" s="27">
        <f>IF(A97="","",SUMIFS(tbl_Finance[Ex GST],tbl_Finance[Job Number],A97&amp;""))</f>
        <v/>
      </c>
      <c r="AD97" s="27">
        <f>IF(A97="","",SUMIFS(tbl_Finance[Ex GST],tbl_Finance[Job Number],A97&amp;"",tbl_Finance[Xero Invoice No],"&lt;&gt;"))</f>
        <v/>
      </c>
      <c r="AE97" s="27">
        <f>IF(A97="","",AC97-AD97)</f>
        <v/>
      </c>
      <c r="AF97" s="26">
        <f>IF(A97="","",IFERROR(IF(INDEX(tbl_Onsite[Qwilr Quote],IFERROR(MATCH(A97&amp;"",tbl_Onsite[Job Number],0),MATCH(IFERROR(A97+0,A97),tbl_Onsite[Job Number],0)))="","",INDEX(tbl_Onsite[Qwilr Quote],IFERROR(MATCH(A97&amp;"",tbl_Onsite[Job Number],0),MATCH(IFERROR(A97+0,A97),tbl_Onsite[Job Number],0)))),IFERROR(IF(IF(INDEX(tbl_Production[Current RMS No],IFERROR(MATCH(A97&amp;"",tbl_Production[Job Number],0),MATCH(IFERROR(A97+0,A97),tbl_Production[Job Number],0)))="",INDEX(tbl_Production[Qwilr Quote],IFERROR(MATCH(A97&amp;"",tbl_Production[Job Number],0),MATCH(IFERROR(A97+0,A97),tbl_Production[Job Number],0))),INDEX(tbl_Production[Current RMS No],IFERROR(MATCH(A97&amp;"",tbl_Production[Job Number],0),MATCH(IFERROR(A97+0,A97),tbl_Production[Job Number],0))))="","",IF(INDEX(tbl_Production[Current RMS No],IFERROR(MATCH(A97&amp;"",tbl_Production[Job Number],0),MATCH(IFERROR(A97+0,A97),tbl_Production[Job Number],0)))="",INDEX(tbl_Production[Qwilr Quote],IFERROR(MATCH(A97&amp;"",tbl_Production[Job Number],0),MATCH(IFERROR(A97+0,A97),tbl_Production[Job Number],0))),INDEX(tbl_Production[Current RMS No],IFERROR(MATCH(A97&amp;"",tbl_Production[Job Number],0),MATCH(IFERROR(A97+0,A97),tbl_Production[Job Number],0))))),IFERROR(IF(INDEX(tbl_Consulting[Qwilr Quote],IFERROR(MATCH(A97&amp;"",tbl_Consulting[Job Number],0),MATCH(IFERROR(A97+0,A97),tbl_Consulting[Job Number],0)))="","",INDEX(tbl_Consulting[Qwilr Quote],IFERROR(MATCH(A97&amp;"",tbl_Consulting[Job Number],0),MATCH(IFERROR(A97+0,A97),tbl_Consulting[Job Number],0)))),""))))</f>
        <v/>
      </c>
      <c r="AG97" s="26">
        <f>IF(AF97="","",IF(AND(LEFT(AF97,4)&lt;&gt;"http",IF(G97="Production",set_RMSBase,set_QwilrBase)=""),"",HYPERLINK(IF(LEFT(AF97,4)="http",AF97,IF(G97="Production",set_RMSBase,set_QwilrBase)&amp;AF97),"Open")))</f>
        <v/>
      </c>
      <c r="AH97" s="27">
        <f>IF(A97="","",IFERROR(INDEX(tbl_Production[Total Expense],IFERROR(MATCH(A97&amp;"",tbl_Production[Job Number],0),MATCH(IFERROR(A97+0,A97),tbl_Production[Job Number],0))),IFERROR(INDEX(tbl_Consulting[Total Expense],IFERROR(MATCH(A97&amp;"",tbl_Consulting[Job Number],0),MATCH(IFERROR(A97+0,A97),tbl_Consulting[Job Number],0))),0)))</f>
        <v/>
      </c>
      <c r="AI97" s="27">
        <f>IF(A97="","",AC97-N(AH97))</f>
        <v/>
      </c>
      <c r="AJ97" s="29">
        <f>IFERROR(AI97/AC97,"")</f>
        <v/>
      </c>
      <c r="AK97" s="26">
        <f>IF(A97="","",IFERROR(IF(INDEX(tbl_Onsite[Notes],IFERROR(MATCH(A97&amp;"",tbl_Onsite[Job Number],0),MATCH(IFERROR(A97+0,A97),tbl_Onsite[Job Number],0)))="","",INDEX(tbl_Onsite[Notes],IFERROR(MATCH(A97&amp;"",tbl_Onsite[Job Number],0),MATCH(IFERROR(A97+0,A97),tbl_Onsite[Job Number],0)))),IFERROR(IF(INDEX(tbl_Production[Notes],IFERROR(MATCH(A97&amp;"",tbl_Production[Job Number],0),MATCH(IFERROR(A97+0,A97),tbl_Production[Job Number],0)))="","",INDEX(tbl_Production[Notes],IFERROR(MATCH(A97&amp;"",tbl_Production[Job Number],0),MATCH(IFERROR(A97+0,A97),tbl_Production[Job Number],0)))),IFERROR(IF(INDEX(tbl_Consulting[Notes],IFERROR(MATCH(A97&amp;"",tbl_Consulting[Job Number],0),MATCH(IFERROR(A97+0,A97),tbl_Consulting[Job Number],0)))="","",INDEX(tbl_Consulting[Notes],IFERROR(MATCH(A97&amp;"",tbl_Consulting[Job Number],0),MATCH(IFERROR(A97+0,A97),tbl_Consulting[Job Number],0)))),""))))</f>
        <v/>
      </c>
    </row>
    <row r="98" ht="15" customHeight="1">
      <c r="A98" s="22" t="n"/>
      <c r="B98" s="22" t="n"/>
      <c r="C98" s="23" t="n"/>
      <c r="D98" s="22" t="n"/>
      <c r="E98" s="24" t="n"/>
      <c r="F98" s="25">
        <f>IF(C98="","",EOMONTH(C98,0))</f>
        <v/>
      </c>
      <c r="G98" s="26">
        <f>IF(A98="","",IF(COUNTIF(tbl_Onsite[Job Number],A98&amp;"")&gt;0,"Onsite",IF(COUNTIF(tbl_Production[Job Number],A98&amp;"")&gt;0,"Production",IF(COUNTIF(tbl_Consulting[Job Number],A98&amp;"")&gt;0,"Consulting","not set up yet"))))</f>
        <v/>
      </c>
      <c r="H98" s="26">
        <f>IF(A98="","",IF(COUNTIF(lst_Jobs,A98&amp;"")&gt;0,"OK","CHECK"))</f>
        <v/>
      </c>
      <c r="I98" s="26">
        <f>IF(A98="","",IFERROR(INDEX(lst_JobName,MATCH(A98&amp;"",lst_Jobs,0)),""))</f>
        <v/>
      </c>
      <c r="J98" s="26">
        <f>IF(A98="","",IFERROR(IF(INDEX(tbl_Onsite[Client],IFERROR(MATCH(A98&amp;"",tbl_Onsite[Job Number],0),MATCH(IFERROR(A98+0,A98),tbl_Onsite[Job Number],0)))="","",INDEX(tbl_Onsite[Client],IFERROR(MATCH(A98&amp;"",tbl_Onsite[Job Number],0),MATCH(IFERROR(A98+0,A98),tbl_Onsite[Job Number],0)))),IFERROR(IF(INDEX(tbl_Production[Client],IFERROR(MATCH(A98&amp;"",tbl_Production[Job Number],0),MATCH(IFERROR(A98+0,A98),tbl_Production[Job Number],0)))="","",INDEX(tbl_Production[Client],IFERROR(MATCH(A98&amp;"",tbl_Production[Job Number],0),MATCH(IFERROR(A98+0,A98),tbl_Production[Job Number],0)))),IFERROR(IF(INDEX(tbl_Consulting[Client],IFERROR(MATCH(A98&amp;"",tbl_Consulting[Job Number],0),MATCH(IFERROR(A98+0,A98),tbl_Consulting[Job Number],0)))="","",INDEX(tbl_Consulting[Client],IFERROR(MATCH(A98&amp;"",tbl_Consulting[Job Number],0),MATCH(IFERROR(A98+0,A98),tbl_Consulting[Job Number],0)))),""))))</f>
        <v/>
      </c>
      <c r="K98" s="26">
        <f>IF(A98="","",IFERROR(IF(INDEX(tbl_Onsite[Job Description],IFERROR(MATCH(A98&amp;"",tbl_Onsite[Job Number],0),MATCH(IFERROR(A98+0,A98),tbl_Onsite[Job Number],0)))="","",INDEX(tbl_Onsite[Job Description],IFERROR(MATCH(A98&amp;"",tbl_Onsite[Job Number],0),MATCH(IFERROR(A98+0,A98),tbl_Onsite[Job Number],0)))),IFERROR(IF(INDEX(tbl_Production[Job Description],IFERROR(MATCH(A98&amp;"",tbl_Production[Job Number],0),MATCH(IFERROR(A98+0,A98),tbl_Production[Job Number],0)))="","",INDEX(tbl_Production[Job Description],IFERROR(MATCH(A98&amp;"",tbl_Production[Job Number],0),MATCH(IFERROR(A98+0,A98),tbl_Production[Job Number],0)))),IFERROR(IF(INDEX(tbl_Consulting[Job Description],IFERROR(MATCH(A98&amp;"",tbl_Consulting[Job Number],0),MATCH(IFERROR(A98+0,A98),tbl_Consulting[Job Number],0)))="","",INDEX(tbl_Consulting[Job Description],IFERROR(MATCH(A98&amp;"",tbl_Consulting[Job Number],0),MATCH(IFERROR(A98+0,A98),tbl_Consulting[Job Number],0)))),""))))</f>
        <v/>
      </c>
      <c r="L98" s="26">
        <f>IF(A98="","",IFERROR(IF(INDEX(tbl_Onsite[Invoice Type],IFERROR(MATCH(A98&amp;"",tbl_Onsite[Job Number],0),MATCH(IFERROR(A98+0,A98),tbl_Onsite[Job Number],0)))="","",INDEX(tbl_Onsite[Invoice Type],IFERROR(MATCH(A98&amp;"",tbl_Onsite[Job Number],0),MATCH(IFERROR(A98+0,A98),tbl_Onsite[Job Number],0)))),IFERROR(IF(INDEX(tbl_Production[Invoice Type],IFERROR(MATCH(A98&amp;"",tbl_Production[Job Number],0),MATCH(IFERROR(A98+0,A98),tbl_Production[Job Number],0)))="","",INDEX(tbl_Production[Invoice Type],IFERROR(MATCH(A98&amp;"",tbl_Production[Job Number],0),MATCH(IFERROR(A98+0,A98),tbl_Production[Job Number],0)))),IFERROR(IF(INDEX(tbl_Consulting[Invoice Type],IFERROR(MATCH(A98&amp;"",tbl_Consulting[Job Number],0),MATCH(IFERROR(A98+0,A98),tbl_Consulting[Job Number],0)))="","",INDEX(tbl_Consulting[Invoice Type],IFERROR(MATCH(A98&amp;"",tbl_Consulting[Job Number],0),MATCH(IFERROR(A98+0,A98),tbl_Consulting[Job Number],0)))),""))))</f>
        <v/>
      </c>
      <c r="M98" s="26">
        <f>IF(A98="","",IF(IFERROR(IF(INDEX(tbl_Onsite[Tax Code],IFERROR(MATCH(A98&amp;"",tbl_Onsite[Job Number],0),MATCH(IFERROR(A98+0,A98),tbl_Onsite[Job Number],0)))="","",INDEX(tbl_Onsite[Tax Code],IFERROR(MATCH(A98&amp;"",tbl_Onsite[Job Number],0),MATCH(IFERROR(A98+0,A98),tbl_Onsite[Job Number],0)))),IFERROR(IF(INDEX(tbl_Production[Tax Code],IFERROR(MATCH(A98&amp;"",tbl_Production[Job Number],0),MATCH(IFERROR(A98+0,A98),tbl_Production[Job Number],0)))="","",INDEX(tbl_Production[Tax Code],IFERROR(MATCH(A98&amp;"",tbl_Production[Job Number],0),MATCH(IFERROR(A98+0,A98),tbl_Production[Job Number],0)))),IFERROR(IF(INDEX(tbl_Consulting[Tax Code],IFERROR(MATCH(A98&amp;"",tbl_Consulting[Job Number],0),MATCH(IFERROR(A98+0,A98),tbl_Consulting[Job Number],0)))="","",INDEX(tbl_Consulting[Tax Code],IFERROR(MATCH(A98&amp;"",tbl_Consulting[Job Number],0),MATCH(IFERROR(A98+0,A98),tbl_Consulting[Job Number],0)))),"")))="","GST 10%",IFERROR(IF(INDEX(tbl_Onsite[Tax Code],IFERROR(MATCH(A98&amp;"",tbl_Onsite[Job Number],0),MATCH(IFERROR(A98+0,A98),tbl_Onsite[Job Number],0)))="","",INDEX(tbl_Onsite[Tax Code],IFERROR(MATCH(A98&amp;"",tbl_Onsite[Job Number],0),MATCH(IFERROR(A98+0,A98),tbl_Onsite[Job Number],0)))),IFERROR(IF(INDEX(tbl_Production[Tax Code],IFERROR(MATCH(A98&amp;"",tbl_Production[Job Number],0),MATCH(IFERROR(A98+0,A98),tbl_Production[Job Number],0)))="","",INDEX(tbl_Production[Tax Code],IFERROR(MATCH(A98&amp;"",tbl_Production[Job Number],0),MATCH(IFERROR(A98+0,A98),tbl_Production[Job Number],0)))),IFERROR(IF(INDEX(tbl_Consulting[Tax Code],IFERROR(MATCH(A98&amp;"",tbl_Consulting[Job Number],0),MATCH(IFERROR(A98+0,A98),tbl_Consulting[Job Number],0)))="","",INDEX(tbl_Consulting[Tax Code],IFERROR(MATCH(A98&amp;"",tbl_Consulting[Job Number],0),MATCH(IFERROR(A98+0,A98),tbl_Consulting[Job Number],0)))),"")))))</f>
        <v/>
      </c>
      <c r="N98" s="26">
        <f>IF(D98="","",IFERROR(INDEX(lst_CCtoGL,MATCH(D98,lst_CCforGL,0)),""))</f>
        <v/>
      </c>
      <c r="O98" s="27">
        <f>IF(E98="","",IF(M98="GST 10%",ROUND(E98*set_GSTRate,2),0))</f>
        <v/>
      </c>
      <c r="P98" s="27">
        <f>IF(E98="","",E98+O98)</f>
        <v/>
      </c>
      <c r="Q98" s="27">
        <f>IF(A98="","",IFERROR(INDEX(tbl_Onsite[Expected Revenue Ex GST],IFERROR(MATCH(A98&amp;"",tbl_Onsite[Job Number],0),MATCH(IFERROR(A98+0,A98),tbl_Onsite[Job Number],0))),IFERROR(INDEX(tbl_Production[Expected Revenue Ex GST],IFERROR(MATCH(A98&amp;"",tbl_Production[Job Number],0),MATCH(IFERROR(A98+0,A98),tbl_Production[Job Number],0))),IFERROR(INDEX(tbl_Consulting[Expected Revenue Ex GST],IFERROR(MATCH(A98&amp;"",tbl_Consulting[Job Number],0),MATCH(IFERROR(A98+0,A98),tbl_Consulting[Job Number],0))),0))))</f>
        <v/>
      </c>
      <c r="R98" s="27">
        <f>IF(A98="","",SUMIFS(tbl_Finance[Ex GST],tbl_Finance[Job Number],A98&amp;""))</f>
        <v/>
      </c>
      <c r="S98" s="27">
        <f>IF(A98="","",Q98-R98)</f>
        <v/>
      </c>
      <c r="T98" s="26">
        <f>IF(A98="","",IF(Q98=0,"No dept value",IF(ROUND(S98,2)=0,"Agrees",IF(S98&gt;0,"Dept higher - to invoice","Xero higher - check dept"))))</f>
        <v/>
      </c>
      <c r="U98" s="22" t="n"/>
      <c r="V98" s="22" t="n"/>
      <c r="W98" s="23" t="n"/>
      <c r="X98" s="23" t="n"/>
      <c r="Y98" s="22" t="n"/>
      <c r="Z98" s="22" t="n"/>
      <c r="AA98" s="26">
        <f>IF(COUNTA(C98,A98,B98,E98)=0,"",IF(C98="","No date - sits outside every month",IF(A98="","No job number",IF(H98="CHECK","Job number is not in the Xero job list",IF(G98="not set up yet","No department has set this job up - nothing can pull through",IF(D98="","No cost centre",IF(AND(U98="Y",B98=""),"Marked posted to Xero but has no invoice number",IF(N98="","Cost centre has no revenue GL on the Lists sheet",IF(T98="Xero higher - check dept","Invoiced more than the department says the job is worth","")))))))))</f>
        <v/>
      </c>
      <c r="AB98" s="28">
        <f>IF(A98="","",COUNTIFS(tbl_Finance[Job Number],A98&amp;"",tbl_Finance[Ex GST],"&lt;&gt;"))</f>
        <v/>
      </c>
      <c r="AC98" s="27">
        <f>IF(A98="","",SUMIFS(tbl_Finance[Ex GST],tbl_Finance[Job Number],A98&amp;""))</f>
        <v/>
      </c>
      <c r="AD98" s="27">
        <f>IF(A98="","",SUMIFS(tbl_Finance[Ex GST],tbl_Finance[Job Number],A98&amp;"",tbl_Finance[Xero Invoice No],"&lt;&gt;"))</f>
        <v/>
      </c>
      <c r="AE98" s="27">
        <f>IF(A98="","",AC98-AD98)</f>
        <v/>
      </c>
      <c r="AF98" s="26">
        <f>IF(A98="","",IFERROR(IF(INDEX(tbl_Onsite[Qwilr Quote],IFERROR(MATCH(A98&amp;"",tbl_Onsite[Job Number],0),MATCH(IFERROR(A98+0,A98),tbl_Onsite[Job Number],0)))="","",INDEX(tbl_Onsite[Qwilr Quote],IFERROR(MATCH(A98&amp;"",tbl_Onsite[Job Number],0),MATCH(IFERROR(A98+0,A98),tbl_Onsite[Job Number],0)))),IFERROR(IF(IF(INDEX(tbl_Production[Current RMS No],IFERROR(MATCH(A98&amp;"",tbl_Production[Job Number],0),MATCH(IFERROR(A98+0,A98),tbl_Production[Job Number],0)))="",INDEX(tbl_Production[Qwilr Quote],IFERROR(MATCH(A98&amp;"",tbl_Production[Job Number],0),MATCH(IFERROR(A98+0,A98),tbl_Production[Job Number],0))),INDEX(tbl_Production[Current RMS No],IFERROR(MATCH(A98&amp;"",tbl_Production[Job Number],0),MATCH(IFERROR(A98+0,A98),tbl_Production[Job Number],0))))="","",IF(INDEX(tbl_Production[Current RMS No],IFERROR(MATCH(A98&amp;"",tbl_Production[Job Number],0),MATCH(IFERROR(A98+0,A98),tbl_Production[Job Number],0)))="",INDEX(tbl_Production[Qwilr Quote],IFERROR(MATCH(A98&amp;"",tbl_Production[Job Number],0),MATCH(IFERROR(A98+0,A98),tbl_Production[Job Number],0))),INDEX(tbl_Production[Current RMS No],IFERROR(MATCH(A98&amp;"",tbl_Production[Job Number],0),MATCH(IFERROR(A98+0,A98),tbl_Production[Job Number],0))))),IFERROR(IF(INDEX(tbl_Consulting[Qwilr Quote],IFERROR(MATCH(A98&amp;"",tbl_Consulting[Job Number],0),MATCH(IFERROR(A98+0,A98),tbl_Consulting[Job Number],0)))="","",INDEX(tbl_Consulting[Qwilr Quote],IFERROR(MATCH(A98&amp;"",tbl_Consulting[Job Number],0),MATCH(IFERROR(A98+0,A98),tbl_Consulting[Job Number],0)))),""))))</f>
        <v/>
      </c>
      <c r="AG98" s="26">
        <f>IF(AF98="","",IF(AND(LEFT(AF98,4)&lt;&gt;"http",IF(G98="Production",set_RMSBase,set_QwilrBase)=""),"",HYPERLINK(IF(LEFT(AF98,4)="http",AF98,IF(G98="Production",set_RMSBase,set_QwilrBase)&amp;AF98),"Open")))</f>
        <v/>
      </c>
      <c r="AH98" s="27">
        <f>IF(A98="","",IFERROR(INDEX(tbl_Production[Total Expense],IFERROR(MATCH(A98&amp;"",tbl_Production[Job Number],0),MATCH(IFERROR(A98+0,A98),tbl_Production[Job Number],0))),IFERROR(INDEX(tbl_Consulting[Total Expense],IFERROR(MATCH(A98&amp;"",tbl_Consulting[Job Number],0),MATCH(IFERROR(A98+0,A98),tbl_Consulting[Job Number],0))),0)))</f>
        <v/>
      </c>
      <c r="AI98" s="27">
        <f>IF(A98="","",AC98-N(AH98))</f>
        <v/>
      </c>
      <c r="AJ98" s="29">
        <f>IFERROR(AI98/AC98,"")</f>
        <v/>
      </c>
      <c r="AK98" s="26">
        <f>IF(A98="","",IFERROR(IF(INDEX(tbl_Onsite[Notes],IFERROR(MATCH(A98&amp;"",tbl_Onsite[Job Number],0),MATCH(IFERROR(A98+0,A98),tbl_Onsite[Job Number],0)))="","",INDEX(tbl_Onsite[Notes],IFERROR(MATCH(A98&amp;"",tbl_Onsite[Job Number],0),MATCH(IFERROR(A98+0,A98),tbl_Onsite[Job Number],0)))),IFERROR(IF(INDEX(tbl_Production[Notes],IFERROR(MATCH(A98&amp;"",tbl_Production[Job Number],0),MATCH(IFERROR(A98+0,A98),tbl_Production[Job Number],0)))="","",INDEX(tbl_Production[Notes],IFERROR(MATCH(A98&amp;"",tbl_Production[Job Number],0),MATCH(IFERROR(A98+0,A98),tbl_Production[Job Number],0)))),IFERROR(IF(INDEX(tbl_Consulting[Notes],IFERROR(MATCH(A98&amp;"",tbl_Consulting[Job Number],0),MATCH(IFERROR(A98+0,A98),tbl_Consulting[Job Number],0)))="","",INDEX(tbl_Consulting[Notes],IFERROR(MATCH(A98&amp;"",tbl_Consulting[Job Number],0),MATCH(IFERROR(A98+0,A98),tbl_Consulting[Job Number],0)))),""))))</f>
        <v/>
      </c>
    </row>
    <row r="99" ht="15" customHeight="1">
      <c r="A99" s="22" t="n"/>
      <c r="B99" s="22" t="n"/>
      <c r="C99" s="23" t="n"/>
      <c r="D99" s="22" t="n"/>
      <c r="E99" s="24" t="n"/>
      <c r="F99" s="25">
        <f>IF(C99="","",EOMONTH(C99,0))</f>
        <v/>
      </c>
      <c r="G99" s="26">
        <f>IF(A99="","",IF(COUNTIF(tbl_Onsite[Job Number],A99&amp;"")&gt;0,"Onsite",IF(COUNTIF(tbl_Production[Job Number],A99&amp;"")&gt;0,"Production",IF(COUNTIF(tbl_Consulting[Job Number],A99&amp;"")&gt;0,"Consulting","not set up yet"))))</f>
        <v/>
      </c>
      <c r="H99" s="26">
        <f>IF(A99="","",IF(COUNTIF(lst_Jobs,A99&amp;"")&gt;0,"OK","CHECK"))</f>
        <v/>
      </c>
      <c r="I99" s="26">
        <f>IF(A99="","",IFERROR(INDEX(lst_JobName,MATCH(A99&amp;"",lst_Jobs,0)),""))</f>
        <v/>
      </c>
      <c r="J99" s="26">
        <f>IF(A99="","",IFERROR(IF(INDEX(tbl_Onsite[Client],IFERROR(MATCH(A99&amp;"",tbl_Onsite[Job Number],0),MATCH(IFERROR(A99+0,A99),tbl_Onsite[Job Number],0)))="","",INDEX(tbl_Onsite[Client],IFERROR(MATCH(A99&amp;"",tbl_Onsite[Job Number],0),MATCH(IFERROR(A99+0,A99),tbl_Onsite[Job Number],0)))),IFERROR(IF(INDEX(tbl_Production[Client],IFERROR(MATCH(A99&amp;"",tbl_Production[Job Number],0),MATCH(IFERROR(A99+0,A99),tbl_Production[Job Number],0)))="","",INDEX(tbl_Production[Client],IFERROR(MATCH(A99&amp;"",tbl_Production[Job Number],0),MATCH(IFERROR(A99+0,A99),tbl_Production[Job Number],0)))),IFERROR(IF(INDEX(tbl_Consulting[Client],IFERROR(MATCH(A99&amp;"",tbl_Consulting[Job Number],0),MATCH(IFERROR(A99+0,A99),tbl_Consulting[Job Number],0)))="","",INDEX(tbl_Consulting[Client],IFERROR(MATCH(A99&amp;"",tbl_Consulting[Job Number],0),MATCH(IFERROR(A99+0,A99),tbl_Consulting[Job Number],0)))),""))))</f>
        <v/>
      </c>
      <c r="K99" s="26">
        <f>IF(A99="","",IFERROR(IF(INDEX(tbl_Onsite[Job Description],IFERROR(MATCH(A99&amp;"",tbl_Onsite[Job Number],0),MATCH(IFERROR(A99+0,A99),tbl_Onsite[Job Number],0)))="","",INDEX(tbl_Onsite[Job Description],IFERROR(MATCH(A99&amp;"",tbl_Onsite[Job Number],0),MATCH(IFERROR(A99+0,A99),tbl_Onsite[Job Number],0)))),IFERROR(IF(INDEX(tbl_Production[Job Description],IFERROR(MATCH(A99&amp;"",tbl_Production[Job Number],0),MATCH(IFERROR(A99+0,A99),tbl_Production[Job Number],0)))="","",INDEX(tbl_Production[Job Description],IFERROR(MATCH(A99&amp;"",tbl_Production[Job Number],0),MATCH(IFERROR(A99+0,A99),tbl_Production[Job Number],0)))),IFERROR(IF(INDEX(tbl_Consulting[Job Description],IFERROR(MATCH(A99&amp;"",tbl_Consulting[Job Number],0),MATCH(IFERROR(A99+0,A99),tbl_Consulting[Job Number],0)))="","",INDEX(tbl_Consulting[Job Description],IFERROR(MATCH(A99&amp;"",tbl_Consulting[Job Number],0),MATCH(IFERROR(A99+0,A99),tbl_Consulting[Job Number],0)))),""))))</f>
        <v/>
      </c>
      <c r="L99" s="26">
        <f>IF(A99="","",IFERROR(IF(INDEX(tbl_Onsite[Invoice Type],IFERROR(MATCH(A99&amp;"",tbl_Onsite[Job Number],0),MATCH(IFERROR(A99+0,A99),tbl_Onsite[Job Number],0)))="","",INDEX(tbl_Onsite[Invoice Type],IFERROR(MATCH(A99&amp;"",tbl_Onsite[Job Number],0),MATCH(IFERROR(A99+0,A99),tbl_Onsite[Job Number],0)))),IFERROR(IF(INDEX(tbl_Production[Invoice Type],IFERROR(MATCH(A99&amp;"",tbl_Production[Job Number],0),MATCH(IFERROR(A99+0,A99),tbl_Production[Job Number],0)))="","",INDEX(tbl_Production[Invoice Type],IFERROR(MATCH(A99&amp;"",tbl_Production[Job Number],0),MATCH(IFERROR(A99+0,A99),tbl_Production[Job Number],0)))),IFERROR(IF(INDEX(tbl_Consulting[Invoice Type],IFERROR(MATCH(A99&amp;"",tbl_Consulting[Job Number],0),MATCH(IFERROR(A99+0,A99),tbl_Consulting[Job Number],0)))="","",INDEX(tbl_Consulting[Invoice Type],IFERROR(MATCH(A99&amp;"",tbl_Consulting[Job Number],0),MATCH(IFERROR(A99+0,A99),tbl_Consulting[Job Number],0)))),""))))</f>
        <v/>
      </c>
      <c r="M99" s="26">
        <f>IF(A99="","",IF(IFERROR(IF(INDEX(tbl_Onsite[Tax Code],IFERROR(MATCH(A99&amp;"",tbl_Onsite[Job Number],0),MATCH(IFERROR(A99+0,A99),tbl_Onsite[Job Number],0)))="","",INDEX(tbl_Onsite[Tax Code],IFERROR(MATCH(A99&amp;"",tbl_Onsite[Job Number],0),MATCH(IFERROR(A99+0,A99),tbl_Onsite[Job Number],0)))),IFERROR(IF(INDEX(tbl_Production[Tax Code],IFERROR(MATCH(A99&amp;"",tbl_Production[Job Number],0),MATCH(IFERROR(A99+0,A99),tbl_Production[Job Number],0)))="","",INDEX(tbl_Production[Tax Code],IFERROR(MATCH(A99&amp;"",tbl_Production[Job Number],0),MATCH(IFERROR(A99+0,A99),tbl_Production[Job Number],0)))),IFERROR(IF(INDEX(tbl_Consulting[Tax Code],IFERROR(MATCH(A99&amp;"",tbl_Consulting[Job Number],0),MATCH(IFERROR(A99+0,A99),tbl_Consulting[Job Number],0)))="","",INDEX(tbl_Consulting[Tax Code],IFERROR(MATCH(A99&amp;"",tbl_Consulting[Job Number],0),MATCH(IFERROR(A99+0,A99),tbl_Consulting[Job Number],0)))),"")))="","GST 10%",IFERROR(IF(INDEX(tbl_Onsite[Tax Code],IFERROR(MATCH(A99&amp;"",tbl_Onsite[Job Number],0),MATCH(IFERROR(A99+0,A99),tbl_Onsite[Job Number],0)))="","",INDEX(tbl_Onsite[Tax Code],IFERROR(MATCH(A99&amp;"",tbl_Onsite[Job Number],0),MATCH(IFERROR(A99+0,A99),tbl_Onsite[Job Number],0)))),IFERROR(IF(INDEX(tbl_Production[Tax Code],IFERROR(MATCH(A99&amp;"",tbl_Production[Job Number],0),MATCH(IFERROR(A99+0,A99),tbl_Production[Job Number],0)))="","",INDEX(tbl_Production[Tax Code],IFERROR(MATCH(A99&amp;"",tbl_Production[Job Number],0),MATCH(IFERROR(A99+0,A99),tbl_Production[Job Number],0)))),IFERROR(IF(INDEX(tbl_Consulting[Tax Code],IFERROR(MATCH(A99&amp;"",tbl_Consulting[Job Number],0),MATCH(IFERROR(A99+0,A99),tbl_Consulting[Job Number],0)))="","",INDEX(tbl_Consulting[Tax Code],IFERROR(MATCH(A99&amp;"",tbl_Consulting[Job Number],0),MATCH(IFERROR(A99+0,A99),tbl_Consulting[Job Number],0)))),"")))))</f>
        <v/>
      </c>
      <c r="N99" s="26">
        <f>IF(D99="","",IFERROR(INDEX(lst_CCtoGL,MATCH(D99,lst_CCforGL,0)),""))</f>
        <v/>
      </c>
      <c r="O99" s="27">
        <f>IF(E99="","",IF(M99="GST 10%",ROUND(E99*set_GSTRate,2),0))</f>
        <v/>
      </c>
      <c r="P99" s="27">
        <f>IF(E99="","",E99+O99)</f>
        <v/>
      </c>
      <c r="Q99" s="27">
        <f>IF(A99="","",IFERROR(INDEX(tbl_Onsite[Expected Revenue Ex GST],IFERROR(MATCH(A99&amp;"",tbl_Onsite[Job Number],0),MATCH(IFERROR(A99+0,A99),tbl_Onsite[Job Number],0))),IFERROR(INDEX(tbl_Production[Expected Revenue Ex GST],IFERROR(MATCH(A99&amp;"",tbl_Production[Job Number],0),MATCH(IFERROR(A99+0,A99),tbl_Production[Job Number],0))),IFERROR(INDEX(tbl_Consulting[Expected Revenue Ex GST],IFERROR(MATCH(A99&amp;"",tbl_Consulting[Job Number],0),MATCH(IFERROR(A99+0,A99),tbl_Consulting[Job Number],0))),0))))</f>
        <v/>
      </c>
      <c r="R99" s="27">
        <f>IF(A99="","",SUMIFS(tbl_Finance[Ex GST],tbl_Finance[Job Number],A99&amp;""))</f>
        <v/>
      </c>
      <c r="S99" s="27">
        <f>IF(A99="","",Q99-R99)</f>
        <v/>
      </c>
      <c r="T99" s="26">
        <f>IF(A99="","",IF(Q99=0,"No dept value",IF(ROUND(S99,2)=0,"Agrees",IF(S99&gt;0,"Dept higher - to invoice","Xero higher - check dept"))))</f>
        <v/>
      </c>
      <c r="U99" s="22" t="n"/>
      <c r="V99" s="22" t="n"/>
      <c r="W99" s="23" t="n"/>
      <c r="X99" s="23" t="n"/>
      <c r="Y99" s="22" t="n"/>
      <c r="Z99" s="22" t="n"/>
      <c r="AA99" s="26">
        <f>IF(COUNTA(C99,A99,B99,E99)=0,"",IF(C99="","No date - sits outside every month",IF(A99="","No job number",IF(H99="CHECK","Job number is not in the Xero job list",IF(G99="not set up yet","No department has set this job up - nothing can pull through",IF(D99="","No cost centre",IF(AND(U99="Y",B99=""),"Marked posted to Xero but has no invoice number",IF(N99="","Cost centre has no revenue GL on the Lists sheet",IF(T99="Xero higher - check dept","Invoiced more than the department says the job is worth","")))))))))</f>
        <v/>
      </c>
      <c r="AB99" s="28">
        <f>IF(A99="","",COUNTIFS(tbl_Finance[Job Number],A99&amp;"",tbl_Finance[Ex GST],"&lt;&gt;"))</f>
        <v/>
      </c>
      <c r="AC99" s="27">
        <f>IF(A99="","",SUMIFS(tbl_Finance[Ex GST],tbl_Finance[Job Number],A99&amp;""))</f>
        <v/>
      </c>
      <c r="AD99" s="27">
        <f>IF(A99="","",SUMIFS(tbl_Finance[Ex GST],tbl_Finance[Job Number],A99&amp;"",tbl_Finance[Xero Invoice No],"&lt;&gt;"))</f>
        <v/>
      </c>
      <c r="AE99" s="27">
        <f>IF(A99="","",AC99-AD99)</f>
        <v/>
      </c>
      <c r="AF99" s="26">
        <f>IF(A99="","",IFERROR(IF(INDEX(tbl_Onsite[Qwilr Quote],IFERROR(MATCH(A99&amp;"",tbl_Onsite[Job Number],0),MATCH(IFERROR(A99+0,A99),tbl_Onsite[Job Number],0)))="","",INDEX(tbl_Onsite[Qwilr Quote],IFERROR(MATCH(A99&amp;"",tbl_Onsite[Job Number],0),MATCH(IFERROR(A99+0,A99),tbl_Onsite[Job Number],0)))),IFERROR(IF(IF(INDEX(tbl_Production[Current RMS No],IFERROR(MATCH(A99&amp;"",tbl_Production[Job Number],0),MATCH(IFERROR(A99+0,A99),tbl_Production[Job Number],0)))="",INDEX(tbl_Production[Qwilr Quote],IFERROR(MATCH(A99&amp;"",tbl_Production[Job Number],0),MATCH(IFERROR(A99+0,A99),tbl_Production[Job Number],0))),INDEX(tbl_Production[Current RMS No],IFERROR(MATCH(A99&amp;"",tbl_Production[Job Number],0),MATCH(IFERROR(A99+0,A99),tbl_Production[Job Number],0))))="","",IF(INDEX(tbl_Production[Current RMS No],IFERROR(MATCH(A99&amp;"",tbl_Production[Job Number],0),MATCH(IFERROR(A99+0,A99),tbl_Production[Job Number],0)))="",INDEX(tbl_Production[Qwilr Quote],IFERROR(MATCH(A99&amp;"",tbl_Production[Job Number],0),MATCH(IFERROR(A99+0,A99),tbl_Production[Job Number],0))),INDEX(tbl_Production[Current RMS No],IFERROR(MATCH(A99&amp;"",tbl_Production[Job Number],0),MATCH(IFERROR(A99+0,A99),tbl_Production[Job Number],0))))),IFERROR(IF(INDEX(tbl_Consulting[Qwilr Quote],IFERROR(MATCH(A99&amp;"",tbl_Consulting[Job Number],0),MATCH(IFERROR(A99+0,A99),tbl_Consulting[Job Number],0)))="","",INDEX(tbl_Consulting[Qwilr Quote],IFERROR(MATCH(A99&amp;"",tbl_Consulting[Job Number],0),MATCH(IFERROR(A99+0,A99),tbl_Consulting[Job Number],0)))),""))))</f>
        <v/>
      </c>
      <c r="AG99" s="26">
        <f>IF(AF99="","",IF(AND(LEFT(AF99,4)&lt;&gt;"http",IF(G99="Production",set_RMSBase,set_QwilrBase)=""),"",HYPERLINK(IF(LEFT(AF99,4)="http",AF99,IF(G99="Production",set_RMSBase,set_QwilrBase)&amp;AF99),"Open")))</f>
        <v/>
      </c>
      <c r="AH99" s="27">
        <f>IF(A99="","",IFERROR(INDEX(tbl_Production[Total Expense],IFERROR(MATCH(A99&amp;"",tbl_Production[Job Number],0),MATCH(IFERROR(A99+0,A99),tbl_Production[Job Number],0))),IFERROR(INDEX(tbl_Consulting[Total Expense],IFERROR(MATCH(A99&amp;"",tbl_Consulting[Job Number],0),MATCH(IFERROR(A99+0,A99),tbl_Consulting[Job Number],0))),0)))</f>
        <v/>
      </c>
      <c r="AI99" s="27">
        <f>IF(A99="","",AC99-N(AH99))</f>
        <v/>
      </c>
      <c r="AJ99" s="29">
        <f>IFERROR(AI99/AC99,"")</f>
        <v/>
      </c>
      <c r="AK99" s="26">
        <f>IF(A99="","",IFERROR(IF(INDEX(tbl_Onsite[Notes],IFERROR(MATCH(A99&amp;"",tbl_Onsite[Job Number],0),MATCH(IFERROR(A99+0,A99),tbl_Onsite[Job Number],0)))="","",INDEX(tbl_Onsite[Notes],IFERROR(MATCH(A99&amp;"",tbl_Onsite[Job Number],0),MATCH(IFERROR(A99+0,A99),tbl_Onsite[Job Number],0)))),IFERROR(IF(INDEX(tbl_Production[Notes],IFERROR(MATCH(A99&amp;"",tbl_Production[Job Number],0),MATCH(IFERROR(A99+0,A99),tbl_Production[Job Number],0)))="","",INDEX(tbl_Production[Notes],IFERROR(MATCH(A99&amp;"",tbl_Production[Job Number],0),MATCH(IFERROR(A99+0,A99),tbl_Production[Job Number],0)))),IFERROR(IF(INDEX(tbl_Consulting[Notes],IFERROR(MATCH(A99&amp;"",tbl_Consulting[Job Number],0),MATCH(IFERROR(A99+0,A99),tbl_Consulting[Job Number],0)))="","",INDEX(tbl_Consulting[Notes],IFERROR(MATCH(A99&amp;"",tbl_Consulting[Job Number],0),MATCH(IFERROR(A99+0,A99),tbl_Consulting[Job Number],0)))),""))))</f>
        <v/>
      </c>
    </row>
    <row r="100" ht="15" customHeight="1">
      <c r="A100" s="22" t="n"/>
      <c r="B100" s="22" t="n"/>
      <c r="C100" s="23" t="n"/>
      <c r="D100" s="22" t="n"/>
      <c r="E100" s="24" t="n"/>
      <c r="F100" s="25">
        <f>IF(C100="","",EOMONTH(C100,0))</f>
        <v/>
      </c>
      <c r="G100" s="26">
        <f>IF(A100="","",IF(COUNTIF(tbl_Onsite[Job Number],A100&amp;"")&gt;0,"Onsite",IF(COUNTIF(tbl_Production[Job Number],A100&amp;"")&gt;0,"Production",IF(COUNTIF(tbl_Consulting[Job Number],A100&amp;"")&gt;0,"Consulting","not set up yet"))))</f>
        <v/>
      </c>
      <c r="H100" s="26">
        <f>IF(A100="","",IF(COUNTIF(lst_Jobs,A100&amp;"")&gt;0,"OK","CHECK"))</f>
        <v/>
      </c>
      <c r="I100" s="26">
        <f>IF(A100="","",IFERROR(INDEX(lst_JobName,MATCH(A100&amp;"",lst_Jobs,0)),""))</f>
        <v/>
      </c>
      <c r="J100" s="26">
        <f>IF(A100="","",IFERROR(IF(INDEX(tbl_Onsite[Client],IFERROR(MATCH(A100&amp;"",tbl_Onsite[Job Number],0),MATCH(IFERROR(A100+0,A100),tbl_Onsite[Job Number],0)))="","",INDEX(tbl_Onsite[Client],IFERROR(MATCH(A100&amp;"",tbl_Onsite[Job Number],0),MATCH(IFERROR(A100+0,A100),tbl_Onsite[Job Number],0)))),IFERROR(IF(INDEX(tbl_Production[Client],IFERROR(MATCH(A100&amp;"",tbl_Production[Job Number],0),MATCH(IFERROR(A100+0,A100),tbl_Production[Job Number],0)))="","",INDEX(tbl_Production[Client],IFERROR(MATCH(A100&amp;"",tbl_Production[Job Number],0),MATCH(IFERROR(A100+0,A100),tbl_Production[Job Number],0)))),IFERROR(IF(INDEX(tbl_Consulting[Client],IFERROR(MATCH(A100&amp;"",tbl_Consulting[Job Number],0),MATCH(IFERROR(A100+0,A100),tbl_Consulting[Job Number],0)))="","",INDEX(tbl_Consulting[Client],IFERROR(MATCH(A100&amp;"",tbl_Consulting[Job Number],0),MATCH(IFERROR(A100+0,A100),tbl_Consulting[Job Number],0)))),""))))</f>
        <v/>
      </c>
      <c r="K100" s="26">
        <f>IF(A100="","",IFERROR(IF(INDEX(tbl_Onsite[Job Description],IFERROR(MATCH(A100&amp;"",tbl_Onsite[Job Number],0),MATCH(IFERROR(A100+0,A100),tbl_Onsite[Job Number],0)))="","",INDEX(tbl_Onsite[Job Description],IFERROR(MATCH(A100&amp;"",tbl_Onsite[Job Number],0),MATCH(IFERROR(A100+0,A100),tbl_Onsite[Job Number],0)))),IFERROR(IF(INDEX(tbl_Production[Job Description],IFERROR(MATCH(A100&amp;"",tbl_Production[Job Number],0),MATCH(IFERROR(A100+0,A100),tbl_Production[Job Number],0)))="","",INDEX(tbl_Production[Job Description],IFERROR(MATCH(A100&amp;"",tbl_Production[Job Number],0),MATCH(IFERROR(A100+0,A100),tbl_Production[Job Number],0)))),IFERROR(IF(INDEX(tbl_Consulting[Job Description],IFERROR(MATCH(A100&amp;"",tbl_Consulting[Job Number],0),MATCH(IFERROR(A100+0,A100),tbl_Consulting[Job Number],0)))="","",INDEX(tbl_Consulting[Job Description],IFERROR(MATCH(A100&amp;"",tbl_Consulting[Job Number],0),MATCH(IFERROR(A100+0,A100),tbl_Consulting[Job Number],0)))),""))))</f>
        <v/>
      </c>
      <c r="L100" s="26">
        <f>IF(A100="","",IFERROR(IF(INDEX(tbl_Onsite[Invoice Type],IFERROR(MATCH(A100&amp;"",tbl_Onsite[Job Number],0),MATCH(IFERROR(A100+0,A100),tbl_Onsite[Job Number],0)))="","",INDEX(tbl_Onsite[Invoice Type],IFERROR(MATCH(A100&amp;"",tbl_Onsite[Job Number],0),MATCH(IFERROR(A100+0,A100),tbl_Onsite[Job Number],0)))),IFERROR(IF(INDEX(tbl_Production[Invoice Type],IFERROR(MATCH(A100&amp;"",tbl_Production[Job Number],0),MATCH(IFERROR(A100+0,A100),tbl_Production[Job Number],0)))="","",INDEX(tbl_Production[Invoice Type],IFERROR(MATCH(A100&amp;"",tbl_Production[Job Number],0),MATCH(IFERROR(A100+0,A100),tbl_Production[Job Number],0)))),IFERROR(IF(INDEX(tbl_Consulting[Invoice Type],IFERROR(MATCH(A100&amp;"",tbl_Consulting[Job Number],0),MATCH(IFERROR(A100+0,A100),tbl_Consulting[Job Number],0)))="","",INDEX(tbl_Consulting[Invoice Type],IFERROR(MATCH(A100&amp;"",tbl_Consulting[Job Number],0),MATCH(IFERROR(A100+0,A100),tbl_Consulting[Job Number],0)))),""))))</f>
        <v/>
      </c>
      <c r="M100" s="26">
        <f>IF(A100="","",IF(IFERROR(IF(INDEX(tbl_Onsite[Tax Code],IFERROR(MATCH(A100&amp;"",tbl_Onsite[Job Number],0),MATCH(IFERROR(A100+0,A100),tbl_Onsite[Job Number],0)))="","",INDEX(tbl_Onsite[Tax Code],IFERROR(MATCH(A100&amp;"",tbl_Onsite[Job Number],0),MATCH(IFERROR(A100+0,A100),tbl_Onsite[Job Number],0)))),IFERROR(IF(INDEX(tbl_Production[Tax Code],IFERROR(MATCH(A100&amp;"",tbl_Production[Job Number],0),MATCH(IFERROR(A100+0,A100),tbl_Production[Job Number],0)))="","",INDEX(tbl_Production[Tax Code],IFERROR(MATCH(A100&amp;"",tbl_Production[Job Number],0),MATCH(IFERROR(A100+0,A100),tbl_Production[Job Number],0)))),IFERROR(IF(INDEX(tbl_Consulting[Tax Code],IFERROR(MATCH(A100&amp;"",tbl_Consulting[Job Number],0),MATCH(IFERROR(A100+0,A100),tbl_Consulting[Job Number],0)))="","",INDEX(tbl_Consulting[Tax Code],IFERROR(MATCH(A100&amp;"",tbl_Consulting[Job Number],0),MATCH(IFERROR(A100+0,A100),tbl_Consulting[Job Number],0)))),"")))="","GST 10%",IFERROR(IF(INDEX(tbl_Onsite[Tax Code],IFERROR(MATCH(A100&amp;"",tbl_Onsite[Job Number],0),MATCH(IFERROR(A100+0,A100),tbl_Onsite[Job Number],0)))="","",INDEX(tbl_Onsite[Tax Code],IFERROR(MATCH(A100&amp;"",tbl_Onsite[Job Number],0),MATCH(IFERROR(A100+0,A100),tbl_Onsite[Job Number],0)))),IFERROR(IF(INDEX(tbl_Production[Tax Code],IFERROR(MATCH(A100&amp;"",tbl_Production[Job Number],0),MATCH(IFERROR(A100+0,A100),tbl_Production[Job Number],0)))="","",INDEX(tbl_Production[Tax Code],IFERROR(MATCH(A100&amp;"",tbl_Production[Job Number],0),MATCH(IFERROR(A100+0,A100),tbl_Production[Job Number],0)))),IFERROR(IF(INDEX(tbl_Consulting[Tax Code],IFERROR(MATCH(A100&amp;"",tbl_Consulting[Job Number],0),MATCH(IFERROR(A100+0,A100),tbl_Consulting[Job Number],0)))="","",INDEX(tbl_Consulting[Tax Code],IFERROR(MATCH(A100&amp;"",tbl_Consulting[Job Number],0),MATCH(IFERROR(A100+0,A100),tbl_Consulting[Job Number],0)))),"")))))</f>
        <v/>
      </c>
      <c r="N100" s="26">
        <f>IF(D100="","",IFERROR(INDEX(lst_CCtoGL,MATCH(D100,lst_CCforGL,0)),""))</f>
        <v/>
      </c>
      <c r="O100" s="27">
        <f>IF(E100="","",IF(M100="GST 10%",ROUND(E100*set_GSTRate,2),0))</f>
        <v/>
      </c>
      <c r="P100" s="27">
        <f>IF(E100="","",E100+O100)</f>
        <v/>
      </c>
      <c r="Q100" s="27">
        <f>IF(A100="","",IFERROR(INDEX(tbl_Onsite[Expected Revenue Ex GST],IFERROR(MATCH(A100&amp;"",tbl_Onsite[Job Number],0),MATCH(IFERROR(A100+0,A100),tbl_Onsite[Job Number],0))),IFERROR(INDEX(tbl_Production[Expected Revenue Ex GST],IFERROR(MATCH(A100&amp;"",tbl_Production[Job Number],0),MATCH(IFERROR(A100+0,A100),tbl_Production[Job Number],0))),IFERROR(INDEX(tbl_Consulting[Expected Revenue Ex GST],IFERROR(MATCH(A100&amp;"",tbl_Consulting[Job Number],0),MATCH(IFERROR(A100+0,A100),tbl_Consulting[Job Number],0))),0))))</f>
        <v/>
      </c>
      <c r="R100" s="27">
        <f>IF(A100="","",SUMIFS(tbl_Finance[Ex GST],tbl_Finance[Job Number],A100&amp;""))</f>
        <v/>
      </c>
      <c r="S100" s="27">
        <f>IF(A100="","",Q100-R100)</f>
        <v/>
      </c>
      <c r="T100" s="26">
        <f>IF(A100="","",IF(Q100=0,"No dept value",IF(ROUND(S100,2)=0,"Agrees",IF(S100&gt;0,"Dept higher - to invoice","Xero higher - check dept"))))</f>
        <v/>
      </c>
      <c r="U100" s="22" t="n"/>
      <c r="V100" s="22" t="n"/>
      <c r="W100" s="23" t="n"/>
      <c r="X100" s="23" t="n"/>
      <c r="Y100" s="22" t="n"/>
      <c r="Z100" s="22" t="n"/>
      <c r="AA100" s="26">
        <f>IF(COUNTA(C100,A100,B100,E100)=0,"",IF(C100="","No date - sits outside every month",IF(A100="","No job number",IF(H100="CHECK","Job number is not in the Xero job list",IF(G100="not set up yet","No department has set this job up - nothing can pull through",IF(D100="","No cost centre",IF(AND(U100="Y",B100=""),"Marked posted to Xero but has no invoice number",IF(N100="","Cost centre has no revenue GL on the Lists sheet",IF(T100="Xero higher - check dept","Invoiced more than the department says the job is worth","")))))))))</f>
        <v/>
      </c>
      <c r="AB100" s="28">
        <f>IF(A100="","",COUNTIFS(tbl_Finance[Job Number],A100&amp;"",tbl_Finance[Ex GST],"&lt;&gt;"))</f>
        <v/>
      </c>
      <c r="AC100" s="27">
        <f>IF(A100="","",SUMIFS(tbl_Finance[Ex GST],tbl_Finance[Job Number],A100&amp;""))</f>
        <v/>
      </c>
      <c r="AD100" s="27">
        <f>IF(A100="","",SUMIFS(tbl_Finance[Ex GST],tbl_Finance[Job Number],A100&amp;"",tbl_Finance[Xero Invoice No],"&lt;&gt;"))</f>
        <v/>
      </c>
      <c r="AE100" s="27">
        <f>IF(A100="","",AC100-AD100)</f>
        <v/>
      </c>
      <c r="AF100" s="26">
        <f>IF(A100="","",IFERROR(IF(INDEX(tbl_Onsite[Qwilr Quote],IFERROR(MATCH(A100&amp;"",tbl_Onsite[Job Number],0),MATCH(IFERROR(A100+0,A100),tbl_Onsite[Job Number],0)))="","",INDEX(tbl_Onsite[Qwilr Quote],IFERROR(MATCH(A100&amp;"",tbl_Onsite[Job Number],0),MATCH(IFERROR(A100+0,A100),tbl_Onsite[Job Number],0)))),IFERROR(IF(IF(INDEX(tbl_Production[Current RMS No],IFERROR(MATCH(A100&amp;"",tbl_Production[Job Number],0),MATCH(IFERROR(A100+0,A100),tbl_Production[Job Number],0)))="",INDEX(tbl_Production[Qwilr Quote],IFERROR(MATCH(A100&amp;"",tbl_Production[Job Number],0),MATCH(IFERROR(A100+0,A100),tbl_Production[Job Number],0))),INDEX(tbl_Production[Current RMS No],IFERROR(MATCH(A100&amp;"",tbl_Production[Job Number],0),MATCH(IFERROR(A100+0,A100),tbl_Production[Job Number],0))))="","",IF(INDEX(tbl_Production[Current RMS No],IFERROR(MATCH(A100&amp;"",tbl_Production[Job Number],0),MATCH(IFERROR(A100+0,A100),tbl_Production[Job Number],0)))="",INDEX(tbl_Production[Qwilr Quote],IFERROR(MATCH(A100&amp;"",tbl_Production[Job Number],0),MATCH(IFERROR(A100+0,A100),tbl_Production[Job Number],0))),INDEX(tbl_Production[Current RMS No],IFERROR(MATCH(A100&amp;"",tbl_Production[Job Number],0),MATCH(IFERROR(A100+0,A100),tbl_Production[Job Number],0))))),IFERROR(IF(INDEX(tbl_Consulting[Qwilr Quote],IFERROR(MATCH(A100&amp;"",tbl_Consulting[Job Number],0),MATCH(IFERROR(A100+0,A100),tbl_Consulting[Job Number],0)))="","",INDEX(tbl_Consulting[Qwilr Quote],IFERROR(MATCH(A100&amp;"",tbl_Consulting[Job Number],0),MATCH(IFERROR(A100+0,A100),tbl_Consulting[Job Number],0)))),""))))</f>
        <v/>
      </c>
      <c r="AG100" s="26">
        <f>IF(AF100="","",IF(AND(LEFT(AF100,4)&lt;&gt;"http",IF(G100="Production",set_RMSBase,set_QwilrBase)=""),"",HYPERLINK(IF(LEFT(AF100,4)="http",AF100,IF(G100="Production",set_RMSBase,set_QwilrBase)&amp;AF100),"Open")))</f>
        <v/>
      </c>
      <c r="AH100" s="27">
        <f>IF(A100="","",IFERROR(INDEX(tbl_Production[Total Expense],IFERROR(MATCH(A100&amp;"",tbl_Production[Job Number],0),MATCH(IFERROR(A100+0,A100),tbl_Production[Job Number],0))),IFERROR(INDEX(tbl_Consulting[Total Expense],IFERROR(MATCH(A100&amp;"",tbl_Consulting[Job Number],0),MATCH(IFERROR(A100+0,A100),tbl_Consulting[Job Number],0))),0)))</f>
        <v/>
      </c>
      <c r="AI100" s="27">
        <f>IF(A100="","",AC100-N(AH100))</f>
        <v/>
      </c>
      <c r="AJ100" s="29">
        <f>IFERROR(AI100/AC100,"")</f>
        <v/>
      </c>
      <c r="AK100" s="26">
        <f>IF(A100="","",IFERROR(IF(INDEX(tbl_Onsite[Notes],IFERROR(MATCH(A100&amp;"",tbl_Onsite[Job Number],0),MATCH(IFERROR(A100+0,A100),tbl_Onsite[Job Number],0)))="","",INDEX(tbl_Onsite[Notes],IFERROR(MATCH(A100&amp;"",tbl_Onsite[Job Number],0),MATCH(IFERROR(A100+0,A100),tbl_Onsite[Job Number],0)))),IFERROR(IF(INDEX(tbl_Production[Notes],IFERROR(MATCH(A100&amp;"",tbl_Production[Job Number],0),MATCH(IFERROR(A100+0,A100),tbl_Production[Job Number],0)))="","",INDEX(tbl_Production[Notes],IFERROR(MATCH(A100&amp;"",tbl_Production[Job Number],0),MATCH(IFERROR(A100+0,A100),tbl_Production[Job Number],0)))),IFERROR(IF(INDEX(tbl_Consulting[Notes],IFERROR(MATCH(A100&amp;"",tbl_Consulting[Job Number],0),MATCH(IFERROR(A100+0,A100),tbl_Consulting[Job Number],0)))="","",INDEX(tbl_Consulting[Notes],IFERROR(MATCH(A100&amp;"",tbl_Consulting[Job Number],0),MATCH(IFERROR(A100+0,A100),tbl_Consulting[Job Number],0)))),""))))</f>
        <v/>
      </c>
    </row>
    <row r="101" ht="15" customHeight="1">
      <c r="A101" s="22" t="n"/>
      <c r="B101" s="22" t="n"/>
      <c r="C101" s="23" t="n"/>
      <c r="D101" s="22" t="n"/>
      <c r="E101" s="24" t="n"/>
      <c r="F101" s="25">
        <f>IF(C101="","",EOMONTH(C101,0))</f>
        <v/>
      </c>
      <c r="G101" s="26">
        <f>IF(A101="","",IF(COUNTIF(tbl_Onsite[Job Number],A101&amp;"")&gt;0,"Onsite",IF(COUNTIF(tbl_Production[Job Number],A101&amp;"")&gt;0,"Production",IF(COUNTIF(tbl_Consulting[Job Number],A101&amp;"")&gt;0,"Consulting","not set up yet"))))</f>
        <v/>
      </c>
      <c r="H101" s="26">
        <f>IF(A101="","",IF(COUNTIF(lst_Jobs,A101&amp;"")&gt;0,"OK","CHECK"))</f>
        <v/>
      </c>
      <c r="I101" s="26">
        <f>IF(A101="","",IFERROR(INDEX(lst_JobName,MATCH(A101&amp;"",lst_Jobs,0)),""))</f>
        <v/>
      </c>
      <c r="J101" s="26">
        <f>IF(A101="","",IFERROR(IF(INDEX(tbl_Onsite[Client],IFERROR(MATCH(A101&amp;"",tbl_Onsite[Job Number],0),MATCH(IFERROR(A101+0,A101),tbl_Onsite[Job Number],0)))="","",INDEX(tbl_Onsite[Client],IFERROR(MATCH(A101&amp;"",tbl_Onsite[Job Number],0),MATCH(IFERROR(A101+0,A101),tbl_Onsite[Job Number],0)))),IFERROR(IF(INDEX(tbl_Production[Client],IFERROR(MATCH(A101&amp;"",tbl_Production[Job Number],0),MATCH(IFERROR(A101+0,A101),tbl_Production[Job Number],0)))="","",INDEX(tbl_Production[Client],IFERROR(MATCH(A101&amp;"",tbl_Production[Job Number],0),MATCH(IFERROR(A101+0,A101),tbl_Production[Job Number],0)))),IFERROR(IF(INDEX(tbl_Consulting[Client],IFERROR(MATCH(A101&amp;"",tbl_Consulting[Job Number],0),MATCH(IFERROR(A101+0,A101),tbl_Consulting[Job Number],0)))="","",INDEX(tbl_Consulting[Client],IFERROR(MATCH(A101&amp;"",tbl_Consulting[Job Number],0),MATCH(IFERROR(A101+0,A101),tbl_Consulting[Job Number],0)))),""))))</f>
        <v/>
      </c>
      <c r="K101" s="26">
        <f>IF(A101="","",IFERROR(IF(INDEX(tbl_Onsite[Job Description],IFERROR(MATCH(A101&amp;"",tbl_Onsite[Job Number],0),MATCH(IFERROR(A101+0,A101),tbl_Onsite[Job Number],0)))="","",INDEX(tbl_Onsite[Job Description],IFERROR(MATCH(A101&amp;"",tbl_Onsite[Job Number],0),MATCH(IFERROR(A101+0,A101),tbl_Onsite[Job Number],0)))),IFERROR(IF(INDEX(tbl_Production[Job Description],IFERROR(MATCH(A101&amp;"",tbl_Production[Job Number],0),MATCH(IFERROR(A101+0,A101),tbl_Production[Job Number],0)))="","",INDEX(tbl_Production[Job Description],IFERROR(MATCH(A101&amp;"",tbl_Production[Job Number],0),MATCH(IFERROR(A101+0,A101),tbl_Production[Job Number],0)))),IFERROR(IF(INDEX(tbl_Consulting[Job Description],IFERROR(MATCH(A101&amp;"",tbl_Consulting[Job Number],0),MATCH(IFERROR(A101+0,A101),tbl_Consulting[Job Number],0)))="","",INDEX(tbl_Consulting[Job Description],IFERROR(MATCH(A101&amp;"",tbl_Consulting[Job Number],0),MATCH(IFERROR(A101+0,A101),tbl_Consulting[Job Number],0)))),""))))</f>
        <v/>
      </c>
      <c r="L101" s="26">
        <f>IF(A101="","",IFERROR(IF(INDEX(tbl_Onsite[Invoice Type],IFERROR(MATCH(A101&amp;"",tbl_Onsite[Job Number],0),MATCH(IFERROR(A101+0,A101),tbl_Onsite[Job Number],0)))="","",INDEX(tbl_Onsite[Invoice Type],IFERROR(MATCH(A101&amp;"",tbl_Onsite[Job Number],0),MATCH(IFERROR(A101+0,A101),tbl_Onsite[Job Number],0)))),IFERROR(IF(INDEX(tbl_Production[Invoice Type],IFERROR(MATCH(A101&amp;"",tbl_Production[Job Number],0),MATCH(IFERROR(A101+0,A101),tbl_Production[Job Number],0)))="","",INDEX(tbl_Production[Invoice Type],IFERROR(MATCH(A101&amp;"",tbl_Production[Job Number],0),MATCH(IFERROR(A101+0,A101),tbl_Production[Job Number],0)))),IFERROR(IF(INDEX(tbl_Consulting[Invoice Type],IFERROR(MATCH(A101&amp;"",tbl_Consulting[Job Number],0),MATCH(IFERROR(A101+0,A101),tbl_Consulting[Job Number],0)))="","",INDEX(tbl_Consulting[Invoice Type],IFERROR(MATCH(A101&amp;"",tbl_Consulting[Job Number],0),MATCH(IFERROR(A101+0,A101),tbl_Consulting[Job Number],0)))),""))))</f>
        <v/>
      </c>
      <c r="M101" s="26">
        <f>IF(A101="","",IF(IFERROR(IF(INDEX(tbl_Onsite[Tax Code],IFERROR(MATCH(A101&amp;"",tbl_Onsite[Job Number],0),MATCH(IFERROR(A101+0,A101),tbl_Onsite[Job Number],0)))="","",INDEX(tbl_Onsite[Tax Code],IFERROR(MATCH(A101&amp;"",tbl_Onsite[Job Number],0),MATCH(IFERROR(A101+0,A101),tbl_Onsite[Job Number],0)))),IFERROR(IF(INDEX(tbl_Production[Tax Code],IFERROR(MATCH(A101&amp;"",tbl_Production[Job Number],0),MATCH(IFERROR(A101+0,A101),tbl_Production[Job Number],0)))="","",INDEX(tbl_Production[Tax Code],IFERROR(MATCH(A101&amp;"",tbl_Production[Job Number],0),MATCH(IFERROR(A101+0,A101),tbl_Production[Job Number],0)))),IFERROR(IF(INDEX(tbl_Consulting[Tax Code],IFERROR(MATCH(A101&amp;"",tbl_Consulting[Job Number],0),MATCH(IFERROR(A101+0,A101),tbl_Consulting[Job Number],0)))="","",INDEX(tbl_Consulting[Tax Code],IFERROR(MATCH(A101&amp;"",tbl_Consulting[Job Number],0),MATCH(IFERROR(A101+0,A101),tbl_Consulting[Job Number],0)))),"")))="","GST 10%",IFERROR(IF(INDEX(tbl_Onsite[Tax Code],IFERROR(MATCH(A101&amp;"",tbl_Onsite[Job Number],0),MATCH(IFERROR(A101+0,A101),tbl_Onsite[Job Number],0)))="","",INDEX(tbl_Onsite[Tax Code],IFERROR(MATCH(A101&amp;"",tbl_Onsite[Job Number],0),MATCH(IFERROR(A101+0,A101),tbl_Onsite[Job Number],0)))),IFERROR(IF(INDEX(tbl_Production[Tax Code],IFERROR(MATCH(A101&amp;"",tbl_Production[Job Number],0),MATCH(IFERROR(A101+0,A101),tbl_Production[Job Number],0)))="","",INDEX(tbl_Production[Tax Code],IFERROR(MATCH(A101&amp;"",tbl_Production[Job Number],0),MATCH(IFERROR(A101+0,A101),tbl_Production[Job Number],0)))),IFERROR(IF(INDEX(tbl_Consulting[Tax Code],IFERROR(MATCH(A101&amp;"",tbl_Consulting[Job Number],0),MATCH(IFERROR(A101+0,A101),tbl_Consulting[Job Number],0)))="","",INDEX(tbl_Consulting[Tax Code],IFERROR(MATCH(A101&amp;"",tbl_Consulting[Job Number],0),MATCH(IFERROR(A101+0,A101),tbl_Consulting[Job Number],0)))),"")))))</f>
        <v/>
      </c>
      <c r="N101" s="26">
        <f>IF(D101="","",IFERROR(INDEX(lst_CCtoGL,MATCH(D101,lst_CCforGL,0)),""))</f>
        <v/>
      </c>
      <c r="O101" s="27">
        <f>IF(E101="","",IF(M101="GST 10%",ROUND(E101*set_GSTRate,2),0))</f>
        <v/>
      </c>
      <c r="P101" s="27">
        <f>IF(E101="","",E101+O101)</f>
        <v/>
      </c>
      <c r="Q101" s="27">
        <f>IF(A101="","",IFERROR(INDEX(tbl_Onsite[Expected Revenue Ex GST],IFERROR(MATCH(A101&amp;"",tbl_Onsite[Job Number],0),MATCH(IFERROR(A101+0,A101),tbl_Onsite[Job Number],0))),IFERROR(INDEX(tbl_Production[Expected Revenue Ex GST],IFERROR(MATCH(A101&amp;"",tbl_Production[Job Number],0),MATCH(IFERROR(A101+0,A101),tbl_Production[Job Number],0))),IFERROR(INDEX(tbl_Consulting[Expected Revenue Ex GST],IFERROR(MATCH(A101&amp;"",tbl_Consulting[Job Number],0),MATCH(IFERROR(A101+0,A101),tbl_Consulting[Job Number],0))),0))))</f>
        <v/>
      </c>
      <c r="R101" s="27">
        <f>IF(A101="","",SUMIFS(tbl_Finance[Ex GST],tbl_Finance[Job Number],A101&amp;""))</f>
        <v/>
      </c>
      <c r="S101" s="27">
        <f>IF(A101="","",Q101-R101)</f>
        <v/>
      </c>
      <c r="T101" s="26">
        <f>IF(A101="","",IF(Q101=0,"No dept value",IF(ROUND(S101,2)=0,"Agrees",IF(S101&gt;0,"Dept higher - to invoice","Xero higher - check dept"))))</f>
        <v/>
      </c>
      <c r="U101" s="22" t="n"/>
      <c r="V101" s="22" t="n"/>
      <c r="W101" s="23" t="n"/>
      <c r="X101" s="23" t="n"/>
      <c r="Y101" s="22" t="n"/>
      <c r="Z101" s="22" t="n"/>
      <c r="AA101" s="26">
        <f>IF(COUNTA(C101,A101,B101,E101)=0,"",IF(C101="","No date - sits outside every month",IF(A101="","No job number",IF(H101="CHECK","Job number is not in the Xero job list",IF(G101="not set up yet","No department has set this job up - nothing can pull through",IF(D101="","No cost centre",IF(AND(U101="Y",B101=""),"Marked posted to Xero but has no invoice number",IF(N101="","Cost centre has no revenue GL on the Lists sheet",IF(T101="Xero higher - check dept","Invoiced more than the department says the job is worth","")))))))))</f>
        <v/>
      </c>
      <c r="AB101" s="28">
        <f>IF(A101="","",COUNTIFS(tbl_Finance[Job Number],A101&amp;"",tbl_Finance[Ex GST],"&lt;&gt;"))</f>
        <v/>
      </c>
      <c r="AC101" s="27">
        <f>IF(A101="","",SUMIFS(tbl_Finance[Ex GST],tbl_Finance[Job Number],A101&amp;""))</f>
        <v/>
      </c>
      <c r="AD101" s="27">
        <f>IF(A101="","",SUMIFS(tbl_Finance[Ex GST],tbl_Finance[Job Number],A101&amp;"",tbl_Finance[Xero Invoice No],"&lt;&gt;"))</f>
        <v/>
      </c>
      <c r="AE101" s="27">
        <f>IF(A101="","",AC101-AD101)</f>
        <v/>
      </c>
      <c r="AF101" s="26">
        <f>IF(A101="","",IFERROR(IF(INDEX(tbl_Onsite[Qwilr Quote],IFERROR(MATCH(A101&amp;"",tbl_Onsite[Job Number],0),MATCH(IFERROR(A101+0,A101),tbl_Onsite[Job Number],0)))="","",INDEX(tbl_Onsite[Qwilr Quote],IFERROR(MATCH(A101&amp;"",tbl_Onsite[Job Number],0),MATCH(IFERROR(A101+0,A101),tbl_Onsite[Job Number],0)))),IFERROR(IF(IF(INDEX(tbl_Production[Current RMS No],IFERROR(MATCH(A101&amp;"",tbl_Production[Job Number],0),MATCH(IFERROR(A101+0,A101),tbl_Production[Job Number],0)))="",INDEX(tbl_Production[Qwilr Quote],IFERROR(MATCH(A101&amp;"",tbl_Production[Job Number],0),MATCH(IFERROR(A101+0,A101),tbl_Production[Job Number],0))),INDEX(tbl_Production[Current RMS No],IFERROR(MATCH(A101&amp;"",tbl_Production[Job Number],0),MATCH(IFERROR(A101+0,A101),tbl_Production[Job Number],0))))="","",IF(INDEX(tbl_Production[Current RMS No],IFERROR(MATCH(A101&amp;"",tbl_Production[Job Number],0),MATCH(IFERROR(A101+0,A101),tbl_Production[Job Number],0)))="",INDEX(tbl_Production[Qwilr Quote],IFERROR(MATCH(A101&amp;"",tbl_Production[Job Number],0),MATCH(IFERROR(A101+0,A101),tbl_Production[Job Number],0))),INDEX(tbl_Production[Current RMS No],IFERROR(MATCH(A101&amp;"",tbl_Production[Job Number],0),MATCH(IFERROR(A101+0,A101),tbl_Production[Job Number],0))))),IFERROR(IF(INDEX(tbl_Consulting[Qwilr Quote],IFERROR(MATCH(A101&amp;"",tbl_Consulting[Job Number],0),MATCH(IFERROR(A101+0,A101),tbl_Consulting[Job Number],0)))="","",INDEX(tbl_Consulting[Qwilr Quote],IFERROR(MATCH(A101&amp;"",tbl_Consulting[Job Number],0),MATCH(IFERROR(A101+0,A101),tbl_Consulting[Job Number],0)))),""))))</f>
        <v/>
      </c>
      <c r="AG101" s="26">
        <f>IF(AF101="","",IF(AND(LEFT(AF101,4)&lt;&gt;"http",IF(G101="Production",set_RMSBase,set_QwilrBase)=""),"",HYPERLINK(IF(LEFT(AF101,4)="http",AF101,IF(G101="Production",set_RMSBase,set_QwilrBase)&amp;AF101),"Open")))</f>
        <v/>
      </c>
      <c r="AH101" s="27">
        <f>IF(A101="","",IFERROR(INDEX(tbl_Production[Total Expense],IFERROR(MATCH(A101&amp;"",tbl_Production[Job Number],0),MATCH(IFERROR(A101+0,A101),tbl_Production[Job Number],0))),IFERROR(INDEX(tbl_Consulting[Total Expense],IFERROR(MATCH(A101&amp;"",tbl_Consulting[Job Number],0),MATCH(IFERROR(A101+0,A101),tbl_Consulting[Job Number],0))),0)))</f>
        <v/>
      </c>
      <c r="AI101" s="27">
        <f>IF(A101="","",AC101-N(AH101))</f>
        <v/>
      </c>
      <c r="AJ101" s="29">
        <f>IFERROR(AI101/AC101,"")</f>
        <v/>
      </c>
      <c r="AK101" s="26">
        <f>IF(A101="","",IFERROR(IF(INDEX(tbl_Onsite[Notes],IFERROR(MATCH(A101&amp;"",tbl_Onsite[Job Number],0),MATCH(IFERROR(A101+0,A101),tbl_Onsite[Job Number],0)))="","",INDEX(tbl_Onsite[Notes],IFERROR(MATCH(A101&amp;"",tbl_Onsite[Job Number],0),MATCH(IFERROR(A101+0,A101),tbl_Onsite[Job Number],0)))),IFERROR(IF(INDEX(tbl_Production[Notes],IFERROR(MATCH(A101&amp;"",tbl_Production[Job Number],0),MATCH(IFERROR(A101+0,A101),tbl_Production[Job Number],0)))="","",INDEX(tbl_Production[Notes],IFERROR(MATCH(A101&amp;"",tbl_Production[Job Number],0),MATCH(IFERROR(A101+0,A101),tbl_Production[Job Number],0)))),IFERROR(IF(INDEX(tbl_Consulting[Notes],IFERROR(MATCH(A101&amp;"",tbl_Consulting[Job Number],0),MATCH(IFERROR(A101+0,A101),tbl_Consulting[Job Number],0)))="","",INDEX(tbl_Consulting[Notes],IFERROR(MATCH(A101&amp;"",tbl_Consulting[Job Number],0),MATCH(IFERROR(A101+0,A101),tbl_Consulting[Job Number],0)))),""))))</f>
        <v/>
      </c>
    </row>
    <row r="102" ht="15" customHeight="1">
      <c r="A102" s="22" t="n"/>
      <c r="B102" s="22" t="n"/>
      <c r="C102" s="23" t="n"/>
      <c r="D102" s="22" t="n"/>
      <c r="E102" s="24" t="n"/>
      <c r="F102" s="25">
        <f>IF(C102="","",EOMONTH(C102,0))</f>
        <v/>
      </c>
      <c r="G102" s="26">
        <f>IF(A102="","",IF(COUNTIF(tbl_Onsite[Job Number],A102&amp;"")&gt;0,"Onsite",IF(COUNTIF(tbl_Production[Job Number],A102&amp;"")&gt;0,"Production",IF(COUNTIF(tbl_Consulting[Job Number],A102&amp;"")&gt;0,"Consulting","not set up yet"))))</f>
        <v/>
      </c>
      <c r="H102" s="26">
        <f>IF(A102="","",IF(COUNTIF(lst_Jobs,A102&amp;"")&gt;0,"OK","CHECK"))</f>
        <v/>
      </c>
      <c r="I102" s="26">
        <f>IF(A102="","",IFERROR(INDEX(lst_JobName,MATCH(A102&amp;"",lst_Jobs,0)),""))</f>
        <v/>
      </c>
      <c r="J102" s="26">
        <f>IF(A102="","",IFERROR(IF(INDEX(tbl_Onsite[Client],IFERROR(MATCH(A102&amp;"",tbl_Onsite[Job Number],0),MATCH(IFERROR(A102+0,A102),tbl_Onsite[Job Number],0)))="","",INDEX(tbl_Onsite[Client],IFERROR(MATCH(A102&amp;"",tbl_Onsite[Job Number],0),MATCH(IFERROR(A102+0,A102),tbl_Onsite[Job Number],0)))),IFERROR(IF(INDEX(tbl_Production[Client],IFERROR(MATCH(A102&amp;"",tbl_Production[Job Number],0),MATCH(IFERROR(A102+0,A102),tbl_Production[Job Number],0)))="","",INDEX(tbl_Production[Client],IFERROR(MATCH(A102&amp;"",tbl_Production[Job Number],0),MATCH(IFERROR(A102+0,A102),tbl_Production[Job Number],0)))),IFERROR(IF(INDEX(tbl_Consulting[Client],IFERROR(MATCH(A102&amp;"",tbl_Consulting[Job Number],0),MATCH(IFERROR(A102+0,A102),tbl_Consulting[Job Number],0)))="","",INDEX(tbl_Consulting[Client],IFERROR(MATCH(A102&amp;"",tbl_Consulting[Job Number],0),MATCH(IFERROR(A102+0,A102),tbl_Consulting[Job Number],0)))),""))))</f>
        <v/>
      </c>
      <c r="K102" s="26">
        <f>IF(A102="","",IFERROR(IF(INDEX(tbl_Onsite[Job Description],IFERROR(MATCH(A102&amp;"",tbl_Onsite[Job Number],0),MATCH(IFERROR(A102+0,A102),tbl_Onsite[Job Number],0)))="","",INDEX(tbl_Onsite[Job Description],IFERROR(MATCH(A102&amp;"",tbl_Onsite[Job Number],0),MATCH(IFERROR(A102+0,A102),tbl_Onsite[Job Number],0)))),IFERROR(IF(INDEX(tbl_Production[Job Description],IFERROR(MATCH(A102&amp;"",tbl_Production[Job Number],0),MATCH(IFERROR(A102+0,A102),tbl_Production[Job Number],0)))="","",INDEX(tbl_Production[Job Description],IFERROR(MATCH(A102&amp;"",tbl_Production[Job Number],0),MATCH(IFERROR(A102+0,A102),tbl_Production[Job Number],0)))),IFERROR(IF(INDEX(tbl_Consulting[Job Description],IFERROR(MATCH(A102&amp;"",tbl_Consulting[Job Number],0),MATCH(IFERROR(A102+0,A102),tbl_Consulting[Job Number],0)))="","",INDEX(tbl_Consulting[Job Description],IFERROR(MATCH(A102&amp;"",tbl_Consulting[Job Number],0),MATCH(IFERROR(A102+0,A102),tbl_Consulting[Job Number],0)))),""))))</f>
        <v/>
      </c>
      <c r="L102" s="26">
        <f>IF(A102="","",IFERROR(IF(INDEX(tbl_Onsite[Invoice Type],IFERROR(MATCH(A102&amp;"",tbl_Onsite[Job Number],0),MATCH(IFERROR(A102+0,A102),tbl_Onsite[Job Number],0)))="","",INDEX(tbl_Onsite[Invoice Type],IFERROR(MATCH(A102&amp;"",tbl_Onsite[Job Number],0),MATCH(IFERROR(A102+0,A102),tbl_Onsite[Job Number],0)))),IFERROR(IF(INDEX(tbl_Production[Invoice Type],IFERROR(MATCH(A102&amp;"",tbl_Production[Job Number],0),MATCH(IFERROR(A102+0,A102),tbl_Production[Job Number],0)))="","",INDEX(tbl_Production[Invoice Type],IFERROR(MATCH(A102&amp;"",tbl_Production[Job Number],0),MATCH(IFERROR(A102+0,A102),tbl_Production[Job Number],0)))),IFERROR(IF(INDEX(tbl_Consulting[Invoice Type],IFERROR(MATCH(A102&amp;"",tbl_Consulting[Job Number],0),MATCH(IFERROR(A102+0,A102),tbl_Consulting[Job Number],0)))="","",INDEX(tbl_Consulting[Invoice Type],IFERROR(MATCH(A102&amp;"",tbl_Consulting[Job Number],0),MATCH(IFERROR(A102+0,A102),tbl_Consulting[Job Number],0)))),""))))</f>
        <v/>
      </c>
      <c r="M102" s="26">
        <f>IF(A102="","",IF(IFERROR(IF(INDEX(tbl_Onsite[Tax Code],IFERROR(MATCH(A102&amp;"",tbl_Onsite[Job Number],0),MATCH(IFERROR(A102+0,A102),tbl_Onsite[Job Number],0)))="","",INDEX(tbl_Onsite[Tax Code],IFERROR(MATCH(A102&amp;"",tbl_Onsite[Job Number],0),MATCH(IFERROR(A102+0,A102),tbl_Onsite[Job Number],0)))),IFERROR(IF(INDEX(tbl_Production[Tax Code],IFERROR(MATCH(A102&amp;"",tbl_Production[Job Number],0),MATCH(IFERROR(A102+0,A102),tbl_Production[Job Number],0)))="","",INDEX(tbl_Production[Tax Code],IFERROR(MATCH(A102&amp;"",tbl_Production[Job Number],0),MATCH(IFERROR(A102+0,A102),tbl_Production[Job Number],0)))),IFERROR(IF(INDEX(tbl_Consulting[Tax Code],IFERROR(MATCH(A102&amp;"",tbl_Consulting[Job Number],0),MATCH(IFERROR(A102+0,A102),tbl_Consulting[Job Number],0)))="","",INDEX(tbl_Consulting[Tax Code],IFERROR(MATCH(A102&amp;"",tbl_Consulting[Job Number],0),MATCH(IFERROR(A102+0,A102),tbl_Consulting[Job Number],0)))),"")))="","GST 10%",IFERROR(IF(INDEX(tbl_Onsite[Tax Code],IFERROR(MATCH(A102&amp;"",tbl_Onsite[Job Number],0),MATCH(IFERROR(A102+0,A102),tbl_Onsite[Job Number],0)))="","",INDEX(tbl_Onsite[Tax Code],IFERROR(MATCH(A102&amp;"",tbl_Onsite[Job Number],0),MATCH(IFERROR(A102+0,A102),tbl_Onsite[Job Number],0)))),IFERROR(IF(INDEX(tbl_Production[Tax Code],IFERROR(MATCH(A102&amp;"",tbl_Production[Job Number],0),MATCH(IFERROR(A102+0,A102),tbl_Production[Job Number],0)))="","",INDEX(tbl_Production[Tax Code],IFERROR(MATCH(A102&amp;"",tbl_Production[Job Number],0),MATCH(IFERROR(A102+0,A102),tbl_Production[Job Number],0)))),IFERROR(IF(INDEX(tbl_Consulting[Tax Code],IFERROR(MATCH(A102&amp;"",tbl_Consulting[Job Number],0),MATCH(IFERROR(A102+0,A102),tbl_Consulting[Job Number],0)))="","",INDEX(tbl_Consulting[Tax Code],IFERROR(MATCH(A102&amp;"",tbl_Consulting[Job Number],0),MATCH(IFERROR(A102+0,A102),tbl_Consulting[Job Number],0)))),"")))))</f>
        <v/>
      </c>
      <c r="N102" s="26">
        <f>IF(D102="","",IFERROR(INDEX(lst_CCtoGL,MATCH(D102,lst_CCforGL,0)),""))</f>
        <v/>
      </c>
      <c r="O102" s="27">
        <f>IF(E102="","",IF(M102="GST 10%",ROUND(E102*set_GSTRate,2),0))</f>
        <v/>
      </c>
      <c r="P102" s="27">
        <f>IF(E102="","",E102+O102)</f>
        <v/>
      </c>
      <c r="Q102" s="27">
        <f>IF(A102="","",IFERROR(INDEX(tbl_Onsite[Expected Revenue Ex GST],IFERROR(MATCH(A102&amp;"",tbl_Onsite[Job Number],0),MATCH(IFERROR(A102+0,A102),tbl_Onsite[Job Number],0))),IFERROR(INDEX(tbl_Production[Expected Revenue Ex GST],IFERROR(MATCH(A102&amp;"",tbl_Production[Job Number],0),MATCH(IFERROR(A102+0,A102),tbl_Production[Job Number],0))),IFERROR(INDEX(tbl_Consulting[Expected Revenue Ex GST],IFERROR(MATCH(A102&amp;"",tbl_Consulting[Job Number],0),MATCH(IFERROR(A102+0,A102),tbl_Consulting[Job Number],0))),0))))</f>
        <v/>
      </c>
      <c r="R102" s="27">
        <f>IF(A102="","",SUMIFS(tbl_Finance[Ex GST],tbl_Finance[Job Number],A102&amp;""))</f>
        <v/>
      </c>
      <c r="S102" s="27">
        <f>IF(A102="","",Q102-R102)</f>
        <v/>
      </c>
      <c r="T102" s="26">
        <f>IF(A102="","",IF(Q102=0,"No dept value",IF(ROUND(S102,2)=0,"Agrees",IF(S102&gt;0,"Dept higher - to invoice","Xero higher - check dept"))))</f>
        <v/>
      </c>
      <c r="U102" s="22" t="n"/>
      <c r="V102" s="22" t="n"/>
      <c r="W102" s="23" t="n"/>
      <c r="X102" s="23" t="n"/>
      <c r="Y102" s="22" t="n"/>
      <c r="Z102" s="22" t="n"/>
      <c r="AA102" s="26">
        <f>IF(COUNTA(C102,A102,B102,E102)=0,"",IF(C102="","No date - sits outside every month",IF(A102="","No job number",IF(H102="CHECK","Job number is not in the Xero job list",IF(G102="not set up yet","No department has set this job up - nothing can pull through",IF(D102="","No cost centre",IF(AND(U102="Y",B102=""),"Marked posted to Xero but has no invoice number",IF(N102="","Cost centre has no revenue GL on the Lists sheet",IF(T102="Xero higher - check dept","Invoiced more than the department says the job is worth","")))))))))</f>
        <v/>
      </c>
      <c r="AB102" s="28">
        <f>IF(A102="","",COUNTIFS(tbl_Finance[Job Number],A102&amp;"",tbl_Finance[Ex GST],"&lt;&gt;"))</f>
        <v/>
      </c>
      <c r="AC102" s="27">
        <f>IF(A102="","",SUMIFS(tbl_Finance[Ex GST],tbl_Finance[Job Number],A102&amp;""))</f>
        <v/>
      </c>
      <c r="AD102" s="27">
        <f>IF(A102="","",SUMIFS(tbl_Finance[Ex GST],tbl_Finance[Job Number],A102&amp;"",tbl_Finance[Xero Invoice No],"&lt;&gt;"))</f>
        <v/>
      </c>
      <c r="AE102" s="27">
        <f>IF(A102="","",AC102-AD102)</f>
        <v/>
      </c>
      <c r="AF102" s="26">
        <f>IF(A102="","",IFERROR(IF(INDEX(tbl_Onsite[Qwilr Quote],IFERROR(MATCH(A102&amp;"",tbl_Onsite[Job Number],0),MATCH(IFERROR(A102+0,A102),tbl_Onsite[Job Number],0)))="","",INDEX(tbl_Onsite[Qwilr Quote],IFERROR(MATCH(A102&amp;"",tbl_Onsite[Job Number],0),MATCH(IFERROR(A102+0,A102),tbl_Onsite[Job Number],0)))),IFERROR(IF(IF(INDEX(tbl_Production[Current RMS No],IFERROR(MATCH(A102&amp;"",tbl_Production[Job Number],0),MATCH(IFERROR(A102+0,A102),tbl_Production[Job Number],0)))="",INDEX(tbl_Production[Qwilr Quote],IFERROR(MATCH(A102&amp;"",tbl_Production[Job Number],0),MATCH(IFERROR(A102+0,A102),tbl_Production[Job Number],0))),INDEX(tbl_Production[Current RMS No],IFERROR(MATCH(A102&amp;"",tbl_Production[Job Number],0),MATCH(IFERROR(A102+0,A102),tbl_Production[Job Number],0))))="","",IF(INDEX(tbl_Production[Current RMS No],IFERROR(MATCH(A102&amp;"",tbl_Production[Job Number],0),MATCH(IFERROR(A102+0,A102),tbl_Production[Job Number],0)))="",INDEX(tbl_Production[Qwilr Quote],IFERROR(MATCH(A102&amp;"",tbl_Production[Job Number],0),MATCH(IFERROR(A102+0,A102),tbl_Production[Job Number],0))),INDEX(tbl_Production[Current RMS No],IFERROR(MATCH(A102&amp;"",tbl_Production[Job Number],0),MATCH(IFERROR(A102+0,A102),tbl_Production[Job Number],0))))),IFERROR(IF(INDEX(tbl_Consulting[Qwilr Quote],IFERROR(MATCH(A102&amp;"",tbl_Consulting[Job Number],0),MATCH(IFERROR(A102+0,A102),tbl_Consulting[Job Number],0)))="","",INDEX(tbl_Consulting[Qwilr Quote],IFERROR(MATCH(A102&amp;"",tbl_Consulting[Job Number],0),MATCH(IFERROR(A102+0,A102),tbl_Consulting[Job Number],0)))),""))))</f>
        <v/>
      </c>
      <c r="AG102" s="26">
        <f>IF(AF102="","",IF(AND(LEFT(AF102,4)&lt;&gt;"http",IF(G102="Production",set_RMSBase,set_QwilrBase)=""),"",HYPERLINK(IF(LEFT(AF102,4)="http",AF102,IF(G102="Production",set_RMSBase,set_QwilrBase)&amp;AF102),"Open")))</f>
        <v/>
      </c>
      <c r="AH102" s="27">
        <f>IF(A102="","",IFERROR(INDEX(tbl_Production[Total Expense],IFERROR(MATCH(A102&amp;"",tbl_Production[Job Number],0),MATCH(IFERROR(A102+0,A102),tbl_Production[Job Number],0))),IFERROR(INDEX(tbl_Consulting[Total Expense],IFERROR(MATCH(A102&amp;"",tbl_Consulting[Job Number],0),MATCH(IFERROR(A102+0,A102),tbl_Consulting[Job Number],0))),0)))</f>
        <v/>
      </c>
      <c r="AI102" s="27">
        <f>IF(A102="","",AC102-N(AH102))</f>
        <v/>
      </c>
      <c r="AJ102" s="29">
        <f>IFERROR(AI102/AC102,"")</f>
        <v/>
      </c>
      <c r="AK102" s="26">
        <f>IF(A102="","",IFERROR(IF(INDEX(tbl_Onsite[Notes],IFERROR(MATCH(A102&amp;"",tbl_Onsite[Job Number],0),MATCH(IFERROR(A102+0,A102),tbl_Onsite[Job Number],0)))="","",INDEX(tbl_Onsite[Notes],IFERROR(MATCH(A102&amp;"",tbl_Onsite[Job Number],0),MATCH(IFERROR(A102+0,A102),tbl_Onsite[Job Number],0)))),IFERROR(IF(INDEX(tbl_Production[Notes],IFERROR(MATCH(A102&amp;"",tbl_Production[Job Number],0),MATCH(IFERROR(A102+0,A102),tbl_Production[Job Number],0)))="","",INDEX(tbl_Production[Notes],IFERROR(MATCH(A102&amp;"",tbl_Production[Job Number],0),MATCH(IFERROR(A102+0,A102),tbl_Production[Job Number],0)))),IFERROR(IF(INDEX(tbl_Consulting[Notes],IFERROR(MATCH(A102&amp;"",tbl_Consulting[Job Number],0),MATCH(IFERROR(A102+0,A102),tbl_Consulting[Job Number],0)))="","",INDEX(tbl_Consulting[Notes],IFERROR(MATCH(A102&amp;"",tbl_Consulting[Job Number],0),MATCH(IFERROR(A102+0,A102),tbl_Consulting[Job Number],0)))),""))))</f>
        <v/>
      </c>
    </row>
    <row r="103" ht="15" customHeight="1">
      <c r="A103" s="22" t="n"/>
      <c r="B103" s="22" t="n"/>
      <c r="C103" s="23" t="n"/>
      <c r="D103" s="22" t="n"/>
      <c r="E103" s="24" t="n"/>
      <c r="F103" s="25">
        <f>IF(C103="","",EOMONTH(C103,0))</f>
        <v/>
      </c>
      <c r="G103" s="26">
        <f>IF(A103="","",IF(COUNTIF(tbl_Onsite[Job Number],A103&amp;"")&gt;0,"Onsite",IF(COUNTIF(tbl_Production[Job Number],A103&amp;"")&gt;0,"Production",IF(COUNTIF(tbl_Consulting[Job Number],A103&amp;"")&gt;0,"Consulting","not set up yet"))))</f>
        <v/>
      </c>
      <c r="H103" s="26">
        <f>IF(A103="","",IF(COUNTIF(lst_Jobs,A103&amp;"")&gt;0,"OK","CHECK"))</f>
        <v/>
      </c>
      <c r="I103" s="26">
        <f>IF(A103="","",IFERROR(INDEX(lst_JobName,MATCH(A103&amp;"",lst_Jobs,0)),""))</f>
        <v/>
      </c>
      <c r="J103" s="26">
        <f>IF(A103="","",IFERROR(IF(INDEX(tbl_Onsite[Client],IFERROR(MATCH(A103&amp;"",tbl_Onsite[Job Number],0),MATCH(IFERROR(A103+0,A103),tbl_Onsite[Job Number],0)))="","",INDEX(tbl_Onsite[Client],IFERROR(MATCH(A103&amp;"",tbl_Onsite[Job Number],0),MATCH(IFERROR(A103+0,A103),tbl_Onsite[Job Number],0)))),IFERROR(IF(INDEX(tbl_Production[Client],IFERROR(MATCH(A103&amp;"",tbl_Production[Job Number],0),MATCH(IFERROR(A103+0,A103),tbl_Production[Job Number],0)))="","",INDEX(tbl_Production[Client],IFERROR(MATCH(A103&amp;"",tbl_Production[Job Number],0),MATCH(IFERROR(A103+0,A103),tbl_Production[Job Number],0)))),IFERROR(IF(INDEX(tbl_Consulting[Client],IFERROR(MATCH(A103&amp;"",tbl_Consulting[Job Number],0),MATCH(IFERROR(A103+0,A103),tbl_Consulting[Job Number],0)))="","",INDEX(tbl_Consulting[Client],IFERROR(MATCH(A103&amp;"",tbl_Consulting[Job Number],0),MATCH(IFERROR(A103+0,A103),tbl_Consulting[Job Number],0)))),""))))</f>
        <v/>
      </c>
      <c r="K103" s="26">
        <f>IF(A103="","",IFERROR(IF(INDEX(tbl_Onsite[Job Description],IFERROR(MATCH(A103&amp;"",tbl_Onsite[Job Number],0),MATCH(IFERROR(A103+0,A103),tbl_Onsite[Job Number],0)))="","",INDEX(tbl_Onsite[Job Description],IFERROR(MATCH(A103&amp;"",tbl_Onsite[Job Number],0),MATCH(IFERROR(A103+0,A103),tbl_Onsite[Job Number],0)))),IFERROR(IF(INDEX(tbl_Production[Job Description],IFERROR(MATCH(A103&amp;"",tbl_Production[Job Number],0),MATCH(IFERROR(A103+0,A103),tbl_Production[Job Number],0)))="","",INDEX(tbl_Production[Job Description],IFERROR(MATCH(A103&amp;"",tbl_Production[Job Number],0),MATCH(IFERROR(A103+0,A103),tbl_Production[Job Number],0)))),IFERROR(IF(INDEX(tbl_Consulting[Job Description],IFERROR(MATCH(A103&amp;"",tbl_Consulting[Job Number],0),MATCH(IFERROR(A103+0,A103),tbl_Consulting[Job Number],0)))="","",INDEX(tbl_Consulting[Job Description],IFERROR(MATCH(A103&amp;"",tbl_Consulting[Job Number],0),MATCH(IFERROR(A103+0,A103),tbl_Consulting[Job Number],0)))),""))))</f>
        <v/>
      </c>
      <c r="L103" s="26">
        <f>IF(A103="","",IFERROR(IF(INDEX(tbl_Onsite[Invoice Type],IFERROR(MATCH(A103&amp;"",tbl_Onsite[Job Number],0),MATCH(IFERROR(A103+0,A103),tbl_Onsite[Job Number],0)))="","",INDEX(tbl_Onsite[Invoice Type],IFERROR(MATCH(A103&amp;"",tbl_Onsite[Job Number],0),MATCH(IFERROR(A103+0,A103),tbl_Onsite[Job Number],0)))),IFERROR(IF(INDEX(tbl_Production[Invoice Type],IFERROR(MATCH(A103&amp;"",tbl_Production[Job Number],0),MATCH(IFERROR(A103+0,A103),tbl_Production[Job Number],0)))="","",INDEX(tbl_Production[Invoice Type],IFERROR(MATCH(A103&amp;"",tbl_Production[Job Number],0),MATCH(IFERROR(A103+0,A103),tbl_Production[Job Number],0)))),IFERROR(IF(INDEX(tbl_Consulting[Invoice Type],IFERROR(MATCH(A103&amp;"",tbl_Consulting[Job Number],0),MATCH(IFERROR(A103+0,A103),tbl_Consulting[Job Number],0)))="","",INDEX(tbl_Consulting[Invoice Type],IFERROR(MATCH(A103&amp;"",tbl_Consulting[Job Number],0),MATCH(IFERROR(A103+0,A103),tbl_Consulting[Job Number],0)))),""))))</f>
        <v/>
      </c>
      <c r="M103" s="26">
        <f>IF(A103="","",IF(IFERROR(IF(INDEX(tbl_Onsite[Tax Code],IFERROR(MATCH(A103&amp;"",tbl_Onsite[Job Number],0),MATCH(IFERROR(A103+0,A103),tbl_Onsite[Job Number],0)))="","",INDEX(tbl_Onsite[Tax Code],IFERROR(MATCH(A103&amp;"",tbl_Onsite[Job Number],0),MATCH(IFERROR(A103+0,A103),tbl_Onsite[Job Number],0)))),IFERROR(IF(INDEX(tbl_Production[Tax Code],IFERROR(MATCH(A103&amp;"",tbl_Production[Job Number],0),MATCH(IFERROR(A103+0,A103),tbl_Production[Job Number],0)))="","",INDEX(tbl_Production[Tax Code],IFERROR(MATCH(A103&amp;"",tbl_Production[Job Number],0),MATCH(IFERROR(A103+0,A103),tbl_Production[Job Number],0)))),IFERROR(IF(INDEX(tbl_Consulting[Tax Code],IFERROR(MATCH(A103&amp;"",tbl_Consulting[Job Number],0),MATCH(IFERROR(A103+0,A103),tbl_Consulting[Job Number],0)))="","",INDEX(tbl_Consulting[Tax Code],IFERROR(MATCH(A103&amp;"",tbl_Consulting[Job Number],0),MATCH(IFERROR(A103+0,A103),tbl_Consulting[Job Number],0)))),"")))="","GST 10%",IFERROR(IF(INDEX(tbl_Onsite[Tax Code],IFERROR(MATCH(A103&amp;"",tbl_Onsite[Job Number],0),MATCH(IFERROR(A103+0,A103),tbl_Onsite[Job Number],0)))="","",INDEX(tbl_Onsite[Tax Code],IFERROR(MATCH(A103&amp;"",tbl_Onsite[Job Number],0),MATCH(IFERROR(A103+0,A103),tbl_Onsite[Job Number],0)))),IFERROR(IF(INDEX(tbl_Production[Tax Code],IFERROR(MATCH(A103&amp;"",tbl_Production[Job Number],0),MATCH(IFERROR(A103+0,A103),tbl_Production[Job Number],0)))="","",INDEX(tbl_Production[Tax Code],IFERROR(MATCH(A103&amp;"",tbl_Production[Job Number],0),MATCH(IFERROR(A103+0,A103),tbl_Production[Job Number],0)))),IFERROR(IF(INDEX(tbl_Consulting[Tax Code],IFERROR(MATCH(A103&amp;"",tbl_Consulting[Job Number],0),MATCH(IFERROR(A103+0,A103),tbl_Consulting[Job Number],0)))="","",INDEX(tbl_Consulting[Tax Code],IFERROR(MATCH(A103&amp;"",tbl_Consulting[Job Number],0),MATCH(IFERROR(A103+0,A103),tbl_Consulting[Job Number],0)))),"")))))</f>
        <v/>
      </c>
      <c r="N103" s="26">
        <f>IF(D103="","",IFERROR(INDEX(lst_CCtoGL,MATCH(D103,lst_CCforGL,0)),""))</f>
        <v/>
      </c>
      <c r="O103" s="27">
        <f>IF(E103="","",IF(M103="GST 10%",ROUND(E103*set_GSTRate,2),0))</f>
        <v/>
      </c>
      <c r="P103" s="27">
        <f>IF(E103="","",E103+O103)</f>
        <v/>
      </c>
      <c r="Q103" s="27">
        <f>IF(A103="","",IFERROR(INDEX(tbl_Onsite[Expected Revenue Ex GST],IFERROR(MATCH(A103&amp;"",tbl_Onsite[Job Number],0),MATCH(IFERROR(A103+0,A103),tbl_Onsite[Job Number],0))),IFERROR(INDEX(tbl_Production[Expected Revenue Ex GST],IFERROR(MATCH(A103&amp;"",tbl_Production[Job Number],0),MATCH(IFERROR(A103+0,A103),tbl_Production[Job Number],0))),IFERROR(INDEX(tbl_Consulting[Expected Revenue Ex GST],IFERROR(MATCH(A103&amp;"",tbl_Consulting[Job Number],0),MATCH(IFERROR(A103+0,A103),tbl_Consulting[Job Number],0))),0))))</f>
        <v/>
      </c>
      <c r="R103" s="27">
        <f>IF(A103="","",SUMIFS(tbl_Finance[Ex GST],tbl_Finance[Job Number],A103&amp;""))</f>
        <v/>
      </c>
      <c r="S103" s="27">
        <f>IF(A103="","",Q103-R103)</f>
        <v/>
      </c>
      <c r="T103" s="26">
        <f>IF(A103="","",IF(Q103=0,"No dept value",IF(ROUND(S103,2)=0,"Agrees",IF(S103&gt;0,"Dept higher - to invoice","Xero higher - check dept"))))</f>
        <v/>
      </c>
      <c r="U103" s="22" t="n"/>
      <c r="V103" s="22" t="n"/>
      <c r="W103" s="23" t="n"/>
      <c r="X103" s="23" t="n"/>
      <c r="Y103" s="22" t="n"/>
      <c r="Z103" s="22" t="n"/>
      <c r="AA103" s="26">
        <f>IF(COUNTA(C103,A103,B103,E103)=0,"",IF(C103="","No date - sits outside every month",IF(A103="","No job number",IF(H103="CHECK","Job number is not in the Xero job list",IF(G103="not set up yet","No department has set this job up - nothing can pull through",IF(D103="","No cost centre",IF(AND(U103="Y",B103=""),"Marked posted to Xero but has no invoice number",IF(N103="","Cost centre has no revenue GL on the Lists sheet",IF(T103="Xero higher - check dept","Invoiced more than the department says the job is worth","")))))))))</f>
        <v/>
      </c>
      <c r="AB103" s="28">
        <f>IF(A103="","",COUNTIFS(tbl_Finance[Job Number],A103&amp;"",tbl_Finance[Ex GST],"&lt;&gt;"))</f>
        <v/>
      </c>
      <c r="AC103" s="27">
        <f>IF(A103="","",SUMIFS(tbl_Finance[Ex GST],tbl_Finance[Job Number],A103&amp;""))</f>
        <v/>
      </c>
      <c r="AD103" s="27">
        <f>IF(A103="","",SUMIFS(tbl_Finance[Ex GST],tbl_Finance[Job Number],A103&amp;"",tbl_Finance[Xero Invoice No],"&lt;&gt;"))</f>
        <v/>
      </c>
      <c r="AE103" s="27">
        <f>IF(A103="","",AC103-AD103)</f>
        <v/>
      </c>
      <c r="AF103" s="26">
        <f>IF(A103="","",IFERROR(IF(INDEX(tbl_Onsite[Qwilr Quote],IFERROR(MATCH(A103&amp;"",tbl_Onsite[Job Number],0),MATCH(IFERROR(A103+0,A103),tbl_Onsite[Job Number],0)))="","",INDEX(tbl_Onsite[Qwilr Quote],IFERROR(MATCH(A103&amp;"",tbl_Onsite[Job Number],0),MATCH(IFERROR(A103+0,A103),tbl_Onsite[Job Number],0)))),IFERROR(IF(IF(INDEX(tbl_Production[Current RMS No],IFERROR(MATCH(A103&amp;"",tbl_Production[Job Number],0),MATCH(IFERROR(A103+0,A103),tbl_Production[Job Number],0)))="",INDEX(tbl_Production[Qwilr Quote],IFERROR(MATCH(A103&amp;"",tbl_Production[Job Number],0),MATCH(IFERROR(A103+0,A103),tbl_Production[Job Number],0))),INDEX(tbl_Production[Current RMS No],IFERROR(MATCH(A103&amp;"",tbl_Production[Job Number],0),MATCH(IFERROR(A103+0,A103),tbl_Production[Job Number],0))))="","",IF(INDEX(tbl_Production[Current RMS No],IFERROR(MATCH(A103&amp;"",tbl_Production[Job Number],0),MATCH(IFERROR(A103+0,A103),tbl_Production[Job Number],0)))="",INDEX(tbl_Production[Qwilr Quote],IFERROR(MATCH(A103&amp;"",tbl_Production[Job Number],0),MATCH(IFERROR(A103+0,A103),tbl_Production[Job Number],0))),INDEX(tbl_Production[Current RMS No],IFERROR(MATCH(A103&amp;"",tbl_Production[Job Number],0),MATCH(IFERROR(A103+0,A103),tbl_Production[Job Number],0))))),IFERROR(IF(INDEX(tbl_Consulting[Qwilr Quote],IFERROR(MATCH(A103&amp;"",tbl_Consulting[Job Number],0),MATCH(IFERROR(A103+0,A103),tbl_Consulting[Job Number],0)))="","",INDEX(tbl_Consulting[Qwilr Quote],IFERROR(MATCH(A103&amp;"",tbl_Consulting[Job Number],0),MATCH(IFERROR(A103+0,A103),tbl_Consulting[Job Number],0)))),""))))</f>
        <v/>
      </c>
      <c r="AG103" s="26">
        <f>IF(AF103="","",IF(AND(LEFT(AF103,4)&lt;&gt;"http",IF(G103="Production",set_RMSBase,set_QwilrBase)=""),"",HYPERLINK(IF(LEFT(AF103,4)="http",AF103,IF(G103="Production",set_RMSBase,set_QwilrBase)&amp;AF103),"Open")))</f>
        <v/>
      </c>
      <c r="AH103" s="27">
        <f>IF(A103="","",IFERROR(INDEX(tbl_Production[Total Expense],IFERROR(MATCH(A103&amp;"",tbl_Production[Job Number],0),MATCH(IFERROR(A103+0,A103),tbl_Production[Job Number],0))),IFERROR(INDEX(tbl_Consulting[Total Expense],IFERROR(MATCH(A103&amp;"",tbl_Consulting[Job Number],0),MATCH(IFERROR(A103+0,A103),tbl_Consulting[Job Number],0))),0)))</f>
        <v/>
      </c>
      <c r="AI103" s="27">
        <f>IF(A103="","",AC103-N(AH103))</f>
        <v/>
      </c>
      <c r="AJ103" s="29">
        <f>IFERROR(AI103/AC103,"")</f>
        <v/>
      </c>
      <c r="AK103" s="26">
        <f>IF(A103="","",IFERROR(IF(INDEX(tbl_Onsite[Notes],IFERROR(MATCH(A103&amp;"",tbl_Onsite[Job Number],0),MATCH(IFERROR(A103+0,A103),tbl_Onsite[Job Number],0)))="","",INDEX(tbl_Onsite[Notes],IFERROR(MATCH(A103&amp;"",tbl_Onsite[Job Number],0),MATCH(IFERROR(A103+0,A103),tbl_Onsite[Job Number],0)))),IFERROR(IF(INDEX(tbl_Production[Notes],IFERROR(MATCH(A103&amp;"",tbl_Production[Job Number],0),MATCH(IFERROR(A103+0,A103),tbl_Production[Job Number],0)))="","",INDEX(tbl_Production[Notes],IFERROR(MATCH(A103&amp;"",tbl_Production[Job Number],0),MATCH(IFERROR(A103+0,A103),tbl_Production[Job Number],0)))),IFERROR(IF(INDEX(tbl_Consulting[Notes],IFERROR(MATCH(A103&amp;"",tbl_Consulting[Job Number],0),MATCH(IFERROR(A103+0,A103),tbl_Consulting[Job Number],0)))="","",INDEX(tbl_Consulting[Notes],IFERROR(MATCH(A103&amp;"",tbl_Consulting[Job Number],0),MATCH(IFERROR(A103+0,A103),tbl_Consulting[Job Number],0)))),""))))</f>
        <v/>
      </c>
    </row>
    <row r="104" ht="15" customHeight="1">
      <c r="A104" s="22" t="n"/>
      <c r="B104" s="22" t="n"/>
      <c r="C104" s="23" t="n"/>
      <c r="D104" s="22" t="n"/>
      <c r="E104" s="24" t="n"/>
      <c r="F104" s="25">
        <f>IF(C104="","",EOMONTH(C104,0))</f>
        <v/>
      </c>
      <c r="G104" s="26">
        <f>IF(A104="","",IF(COUNTIF(tbl_Onsite[Job Number],A104&amp;"")&gt;0,"Onsite",IF(COUNTIF(tbl_Production[Job Number],A104&amp;"")&gt;0,"Production",IF(COUNTIF(tbl_Consulting[Job Number],A104&amp;"")&gt;0,"Consulting","not set up yet"))))</f>
        <v/>
      </c>
      <c r="H104" s="26">
        <f>IF(A104="","",IF(COUNTIF(lst_Jobs,A104&amp;"")&gt;0,"OK","CHECK"))</f>
        <v/>
      </c>
      <c r="I104" s="26">
        <f>IF(A104="","",IFERROR(INDEX(lst_JobName,MATCH(A104&amp;"",lst_Jobs,0)),""))</f>
        <v/>
      </c>
      <c r="J104" s="26">
        <f>IF(A104="","",IFERROR(IF(INDEX(tbl_Onsite[Client],IFERROR(MATCH(A104&amp;"",tbl_Onsite[Job Number],0),MATCH(IFERROR(A104+0,A104),tbl_Onsite[Job Number],0)))="","",INDEX(tbl_Onsite[Client],IFERROR(MATCH(A104&amp;"",tbl_Onsite[Job Number],0),MATCH(IFERROR(A104+0,A104),tbl_Onsite[Job Number],0)))),IFERROR(IF(INDEX(tbl_Production[Client],IFERROR(MATCH(A104&amp;"",tbl_Production[Job Number],0),MATCH(IFERROR(A104+0,A104),tbl_Production[Job Number],0)))="","",INDEX(tbl_Production[Client],IFERROR(MATCH(A104&amp;"",tbl_Production[Job Number],0),MATCH(IFERROR(A104+0,A104),tbl_Production[Job Number],0)))),IFERROR(IF(INDEX(tbl_Consulting[Client],IFERROR(MATCH(A104&amp;"",tbl_Consulting[Job Number],0),MATCH(IFERROR(A104+0,A104),tbl_Consulting[Job Number],0)))="","",INDEX(tbl_Consulting[Client],IFERROR(MATCH(A104&amp;"",tbl_Consulting[Job Number],0),MATCH(IFERROR(A104+0,A104),tbl_Consulting[Job Number],0)))),""))))</f>
        <v/>
      </c>
      <c r="K104" s="26">
        <f>IF(A104="","",IFERROR(IF(INDEX(tbl_Onsite[Job Description],IFERROR(MATCH(A104&amp;"",tbl_Onsite[Job Number],0),MATCH(IFERROR(A104+0,A104),tbl_Onsite[Job Number],0)))="","",INDEX(tbl_Onsite[Job Description],IFERROR(MATCH(A104&amp;"",tbl_Onsite[Job Number],0),MATCH(IFERROR(A104+0,A104),tbl_Onsite[Job Number],0)))),IFERROR(IF(INDEX(tbl_Production[Job Description],IFERROR(MATCH(A104&amp;"",tbl_Production[Job Number],0),MATCH(IFERROR(A104+0,A104),tbl_Production[Job Number],0)))="","",INDEX(tbl_Production[Job Description],IFERROR(MATCH(A104&amp;"",tbl_Production[Job Number],0),MATCH(IFERROR(A104+0,A104),tbl_Production[Job Number],0)))),IFERROR(IF(INDEX(tbl_Consulting[Job Description],IFERROR(MATCH(A104&amp;"",tbl_Consulting[Job Number],0),MATCH(IFERROR(A104+0,A104),tbl_Consulting[Job Number],0)))="","",INDEX(tbl_Consulting[Job Description],IFERROR(MATCH(A104&amp;"",tbl_Consulting[Job Number],0),MATCH(IFERROR(A104+0,A104),tbl_Consulting[Job Number],0)))),""))))</f>
        <v/>
      </c>
      <c r="L104" s="26">
        <f>IF(A104="","",IFERROR(IF(INDEX(tbl_Onsite[Invoice Type],IFERROR(MATCH(A104&amp;"",tbl_Onsite[Job Number],0),MATCH(IFERROR(A104+0,A104),tbl_Onsite[Job Number],0)))="","",INDEX(tbl_Onsite[Invoice Type],IFERROR(MATCH(A104&amp;"",tbl_Onsite[Job Number],0),MATCH(IFERROR(A104+0,A104),tbl_Onsite[Job Number],0)))),IFERROR(IF(INDEX(tbl_Production[Invoice Type],IFERROR(MATCH(A104&amp;"",tbl_Production[Job Number],0),MATCH(IFERROR(A104+0,A104),tbl_Production[Job Number],0)))="","",INDEX(tbl_Production[Invoice Type],IFERROR(MATCH(A104&amp;"",tbl_Production[Job Number],0),MATCH(IFERROR(A104+0,A104),tbl_Production[Job Number],0)))),IFERROR(IF(INDEX(tbl_Consulting[Invoice Type],IFERROR(MATCH(A104&amp;"",tbl_Consulting[Job Number],0),MATCH(IFERROR(A104+0,A104),tbl_Consulting[Job Number],0)))="","",INDEX(tbl_Consulting[Invoice Type],IFERROR(MATCH(A104&amp;"",tbl_Consulting[Job Number],0),MATCH(IFERROR(A104+0,A104),tbl_Consulting[Job Number],0)))),""))))</f>
        <v/>
      </c>
      <c r="M104" s="26">
        <f>IF(A104="","",IF(IFERROR(IF(INDEX(tbl_Onsite[Tax Code],IFERROR(MATCH(A104&amp;"",tbl_Onsite[Job Number],0),MATCH(IFERROR(A104+0,A104),tbl_Onsite[Job Number],0)))="","",INDEX(tbl_Onsite[Tax Code],IFERROR(MATCH(A104&amp;"",tbl_Onsite[Job Number],0),MATCH(IFERROR(A104+0,A104),tbl_Onsite[Job Number],0)))),IFERROR(IF(INDEX(tbl_Production[Tax Code],IFERROR(MATCH(A104&amp;"",tbl_Production[Job Number],0),MATCH(IFERROR(A104+0,A104),tbl_Production[Job Number],0)))="","",INDEX(tbl_Production[Tax Code],IFERROR(MATCH(A104&amp;"",tbl_Production[Job Number],0),MATCH(IFERROR(A104+0,A104),tbl_Production[Job Number],0)))),IFERROR(IF(INDEX(tbl_Consulting[Tax Code],IFERROR(MATCH(A104&amp;"",tbl_Consulting[Job Number],0),MATCH(IFERROR(A104+0,A104),tbl_Consulting[Job Number],0)))="","",INDEX(tbl_Consulting[Tax Code],IFERROR(MATCH(A104&amp;"",tbl_Consulting[Job Number],0),MATCH(IFERROR(A104+0,A104),tbl_Consulting[Job Number],0)))),"")))="","GST 10%",IFERROR(IF(INDEX(tbl_Onsite[Tax Code],IFERROR(MATCH(A104&amp;"",tbl_Onsite[Job Number],0),MATCH(IFERROR(A104+0,A104),tbl_Onsite[Job Number],0)))="","",INDEX(tbl_Onsite[Tax Code],IFERROR(MATCH(A104&amp;"",tbl_Onsite[Job Number],0),MATCH(IFERROR(A104+0,A104),tbl_Onsite[Job Number],0)))),IFERROR(IF(INDEX(tbl_Production[Tax Code],IFERROR(MATCH(A104&amp;"",tbl_Production[Job Number],0),MATCH(IFERROR(A104+0,A104),tbl_Production[Job Number],0)))="","",INDEX(tbl_Production[Tax Code],IFERROR(MATCH(A104&amp;"",tbl_Production[Job Number],0),MATCH(IFERROR(A104+0,A104),tbl_Production[Job Number],0)))),IFERROR(IF(INDEX(tbl_Consulting[Tax Code],IFERROR(MATCH(A104&amp;"",tbl_Consulting[Job Number],0),MATCH(IFERROR(A104+0,A104),tbl_Consulting[Job Number],0)))="","",INDEX(tbl_Consulting[Tax Code],IFERROR(MATCH(A104&amp;"",tbl_Consulting[Job Number],0),MATCH(IFERROR(A104+0,A104),tbl_Consulting[Job Number],0)))),"")))))</f>
        <v/>
      </c>
      <c r="N104" s="26">
        <f>IF(D104="","",IFERROR(INDEX(lst_CCtoGL,MATCH(D104,lst_CCforGL,0)),""))</f>
        <v/>
      </c>
      <c r="O104" s="27">
        <f>IF(E104="","",IF(M104="GST 10%",ROUND(E104*set_GSTRate,2),0))</f>
        <v/>
      </c>
      <c r="P104" s="27">
        <f>IF(E104="","",E104+O104)</f>
        <v/>
      </c>
      <c r="Q104" s="27">
        <f>IF(A104="","",IFERROR(INDEX(tbl_Onsite[Expected Revenue Ex GST],IFERROR(MATCH(A104&amp;"",tbl_Onsite[Job Number],0),MATCH(IFERROR(A104+0,A104),tbl_Onsite[Job Number],0))),IFERROR(INDEX(tbl_Production[Expected Revenue Ex GST],IFERROR(MATCH(A104&amp;"",tbl_Production[Job Number],0),MATCH(IFERROR(A104+0,A104),tbl_Production[Job Number],0))),IFERROR(INDEX(tbl_Consulting[Expected Revenue Ex GST],IFERROR(MATCH(A104&amp;"",tbl_Consulting[Job Number],0),MATCH(IFERROR(A104+0,A104),tbl_Consulting[Job Number],0))),0))))</f>
        <v/>
      </c>
      <c r="R104" s="27">
        <f>IF(A104="","",SUMIFS(tbl_Finance[Ex GST],tbl_Finance[Job Number],A104&amp;""))</f>
        <v/>
      </c>
      <c r="S104" s="27">
        <f>IF(A104="","",Q104-R104)</f>
        <v/>
      </c>
      <c r="T104" s="26">
        <f>IF(A104="","",IF(Q104=0,"No dept value",IF(ROUND(S104,2)=0,"Agrees",IF(S104&gt;0,"Dept higher - to invoice","Xero higher - check dept"))))</f>
        <v/>
      </c>
      <c r="U104" s="22" t="n"/>
      <c r="V104" s="22" t="n"/>
      <c r="W104" s="23" t="n"/>
      <c r="X104" s="23" t="n"/>
      <c r="Y104" s="22" t="n"/>
      <c r="Z104" s="22" t="n"/>
      <c r="AA104" s="26">
        <f>IF(COUNTA(C104,A104,B104,E104)=0,"",IF(C104="","No date - sits outside every month",IF(A104="","No job number",IF(H104="CHECK","Job number is not in the Xero job list",IF(G104="not set up yet","No department has set this job up - nothing can pull through",IF(D104="","No cost centre",IF(AND(U104="Y",B104=""),"Marked posted to Xero but has no invoice number",IF(N104="","Cost centre has no revenue GL on the Lists sheet",IF(T104="Xero higher - check dept","Invoiced more than the department says the job is worth","")))))))))</f>
        <v/>
      </c>
      <c r="AB104" s="28">
        <f>IF(A104="","",COUNTIFS(tbl_Finance[Job Number],A104&amp;"",tbl_Finance[Ex GST],"&lt;&gt;"))</f>
        <v/>
      </c>
      <c r="AC104" s="27">
        <f>IF(A104="","",SUMIFS(tbl_Finance[Ex GST],tbl_Finance[Job Number],A104&amp;""))</f>
        <v/>
      </c>
      <c r="AD104" s="27">
        <f>IF(A104="","",SUMIFS(tbl_Finance[Ex GST],tbl_Finance[Job Number],A104&amp;"",tbl_Finance[Xero Invoice No],"&lt;&gt;"))</f>
        <v/>
      </c>
      <c r="AE104" s="27">
        <f>IF(A104="","",AC104-AD104)</f>
        <v/>
      </c>
      <c r="AF104" s="26">
        <f>IF(A104="","",IFERROR(IF(INDEX(tbl_Onsite[Qwilr Quote],IFERROR(MATCH(A104&amp;"",tbl_Onsite[Job Number],0),MATCH(IFERROR(A104+0,A104),tbl_Onsite[Job Number],0)))="","",INDEX(tbl_Onsite[Qwilr Quote],IFERROR(MATCH(A104&amp;"",tbl_Onsite[Job Number],0),MATCH(IFERROR(A104+0,A104),tbl_Onsite[Job Number],0)))),IFERROR(IF(IF(INDEX(tbl_Production[Current RMS No],IFERROR(MATCH(A104&amp;"",tbl_Production[Job Number],0),MATCH(IFERROR(A104+0,A104),tbl_Production[Job Number],0)))="",INDEX(tbl_Production[Qwilr Quote],IFERROR(MATCH(A104&amp;"",tbl_Production[Job Number],0),MATCH(IFERROR(A104+0,A104),tbl_Production[Job Number],0))),INDEX(tbl_Production[Current RMS No],IFERROR(MATCH(A104&amp;"",tbl_Production[Job Number],0),MATCH(IFERROR(A104+0,A104),tbl_Production[Job Number],0))))="","",IF(INDEX(tbl_Production[Current RMS No],IFERROR(MATCH(A104&amp;"",tbl_Production[Job Number],0),MATCH(IFERROR(A104+0,A104),tbl_Production[Job Number],0)))="",INDEX(tbl_Production[Qwilr Quote],IFERROR(MATCH(A104&amp;"",tbl_Production[Job Number],0),MATCH(IFERROR(A104+0,A104),tbl_Production[Job Number],0))),INDEX(tbl_Production[Current RMS No],IFERROR(MATCH(A104&amp;"",tbl_Production[Job Number],0),MATCH(IFERROR(A104+0,A104),tbl_Production[Job Number],0))))),IFERROR(IF(INDEX(tbl_Consulting[Qwilr Quote],IFERROR(MATCH(A104&amp;"",tbl_Consulting[Job Number],0),MATCH(IFERROR(A104+0,A104),tbl_Consulting[Job Number],0)))="","",INDEX(tbl_Consulting[Qwilr Quote],IFERROR(MATCH(A104&amp;"",tbl_Consulting[Job Number],0),MATCH(IFERROR(A104+0,A104),tbl_Consulting[Job Number],0)))),""))))</f>
        <v/>
      </c>
      <c r="AG104" s="26">
        <f>IF(AF104="","",IF(AND(LEFT(AF104,4)&lt;&gt;"http",IF(G104="Production",set_RMSBase,set_QwilrBase)=""),"",HYPERLINK(IF(LEFT(AF104,4)="http",AF104,IF(G104="Production",set_RMSBase,set_QwilrBase)&amp;AF104),"Open")))</f>
        <v/>
      </c>
      <c r="AH104" s="27">
        <f>IF(A104="","",IFERROR(INDEX(tbl_Production[Total Expense],IFERROR(MATCH(A104&amp;"",tbl_Production[Job Number],0),MATCH(IFERROR(A104+0,A104),tbl_Production[Job Number],0))),IFERROR(INDEX(tbl_Consulting[Total Expense],IFERROR(MATCH(A104&amp;"",tbl_Consulting[Job Number],0),MATCH(IFERROR(A104+0,A104),tbl_Consulting[Job Number],0))),0)))</f>
        <v/>
      </c>
      <c r="AI104" s="27">
        <f>IF(A104="","",AC104-N(AH104))</f>
        <v/>
      </c>
      <c r="AJ104" s="29">
        <f>IFERROR(AI104/AC104,"")</f>
        <v/>
      </c>
      <c r="AK104" s="26">
        <f>IF(A104="","",IFERROR(IF(INDEX(tbl_Onsite[Notes],IFERROR(MATCH(A104&amp;"",tbl_Onsite[Job Number],0),MATCH(IFERROR(A104+0,A104),tbl_Onsite[Job Number],0)))="","",INDEX(tbl_Onsite[Notes],IFERROR(MATCH(A104&amp;"",tbl_Onsite[Job Number],0),MATCH(IFERROR(A104+0,A104),tbl_Onsite[Job Number],0)))),IFERROR(IF(INDEX(tbl_Production[Notes],IFERROR(MATCH(A104&amp;"",tbl_Production[Job Number],0),MATCH(IFERROR(A104+0,A104),tbl_Production[Job Number],0)))="","",INDEX(tbl_Production[Notes],IFERROR(MATCH(A104&amp;"",tbl_Production[Job Number],0),MATCH(IFERROR(A104+0,A104),tbl_Production[Job Number],0)))),IFERROR(IF(INDEX(tbl_Consulting[Notes],IFERROR(MATCH(A104&amp;"",tbl_Consulting[Job Number],0),MATCH(IFERROR(A104+0,A104),tbl_Consulting[Job Number],0)))="","",INDEX(tbl_Consulting[Notes],IFERROR(MATCH(A104&amp;"",tbl_Consulting[Job Number],0),MATCH(IFERROR(A104+0,A104),tbl_Consulting[Job Number],0)))),""))))</f>
        <v/>
      </c>
    </row>
    <row r="105" ht="15" customHeight="1">
      <c r="A105" s="22" t="n"/>
      <c r="B105" s="22" t="n"/>
      <c r="C105" s="23" t="n"/>
      <c r="D105" s="22" t="n"/>
      <c r="E105" s="24" t="n"/>
      <c r="F105" s="25">
        <f>IF(C105="","",EOMONTH(C105,0))</f>
        <v/>
      </c>
      <c r="G105" s="26">
        <f>IF(A105="","",IF(COUNTIF(tbl_Onsite[Job Number],A105&amp;"")&gt;0,"Onsite",IF(COUNTIF(tbl_Production[Job Number],A105&amp;"")&gt;0,"Production",IF(COUNTIF(tbl_Consulting[Job Number],A105&amp;"")&gt;0,"Consulting","not set up yet"))))</f>
        <v/>
      </c>
      <c r="H105" s="26">
        <f>IF(A105="","",IF(COUNTIF(lst_Jobs,A105&amp;"")&gt;0,"OK","CHECK"))</f>
        <v/>
      </c>
      <c r="I105" s="26">
        <f>IF(A105="","",IFERROR(INDEX(lst_JobName,MATCH(A105&amp;"",lst_Jobs,0)),""))</f>
        <v/>
      </c>
      <c r="J105" s="26">
        <f>IF(A105="","",IFERROR(IF(INDEX(tbl_Onsite[Client],IFERROR(MATCH(A105&amp;"",tbl_Onsite[Job Number],0),MATCH(IFERROR(A105+0,A105),tbl_Onsite[Job Number],0)))="","",INDEX(tbl_Onsite[Client],IFERROR(MATCH(A105&amp;"",tbl_Onsite[Job Number],0),MATCH(IFERROR(A105+0,A105),tbl_Onsite[Job Number],0)))),IFERROR(IF(INDEX(tbl_Production[Client],IFERROR(MATCH(A105&amp;"",tbl_Production[Job Number],0),MATCH(IFERROR(A105+0,A105),tbl_Production[Job Number],0)))="","",INDEX(tbl_Production[Client],IFERROR(MATCH(A105&amp;"",tbl_Production[Job Number],0),MATCH(IFERROR(A105+0,A105),tbl_Production[Job Number],0)))),IFERROR(IF(INDEX(tbl_Consulting[Client],IFERROR(MATCH(A105&amp;"",tbl_Consulting[Job Number],0),MATCH(IFERROR(A105+0,A105),tbl_Consulting[Job Number],0)))="","",INDEX(tbl_Consulting[Client],IFERROR(MATCH(A105&amp;"",tbl_Consulting[Job Number],0),MATCH(IFERROR(A105+0,A105),tbl_Consulting[Job Number],0)))),""))))</f>
        <v/>
      </c>
      <c r="K105" s="26">
        <f>IF(A105="","",IFERROR(IF(INDEX(tbl_Onsite[Job Description],IFERROR(MATCH(A105&amp;"",tbl_Onsite[Job Number],0),MATCH(IFERROR(A105+0,A105),tbl_Onsite[Job Number],0)))="","",INDEX(tbl_Onsite[Job Description],IFERROR(MATCH(A105&amp;"",tbl_Onsite[Job Number],0),MATCH(IFERROR(A105+0,A105),tbl_Onsite[Job Number],0)))),IFERROR(IF(INDEX(tbl_Production[Job Description],IFERROR(MATCH(A105&amp;"",tbl_Production[Job Number],0),MATCH(IFERROR(A105+0,A105),tbl_Production[Job Number],0)))="","",INDEX(tbl_Production[Job Description],IFERROR(MATCH(A105&amp;"",tbl_Production[Job Number],0),MATCH(IFERROR(A105+0,A105),tbl_Production[Job Number],0)))),IFERROR(IF(INDEX(tbl_Consulting[Job Description],IFERROR(MATCH(A105&amp;"",tbl_Consulting[Job Number],0),MATCH(IFERROR(A105+0,A105),tbl_Consulting[Job Number],0)))="","",INDEX(tbl_Consulting[Job Description],IFERROR(MATCH(A105&amp;"",tbl_Consulting[Job Number],0),MATCH(IFERROR(A105+0,A105),tbl_Consulting[Job Number],0)))),""))))</f>
        <v/>
      </c>
      <c r="L105" s="26">
        <f>IF(A105="","",IFERROR(IF(INDEX(tbl_Onsite[Invoice Type],IFERROR(MATCH(A105&amp;"",tbl_Onsite[Job Number],0),MATCH(IFERROR(A105+0,A105),tbl_Onsite[Job Number],0)))="","",INDEX(tbl_Onsite[Invoice Type],IFERROR(MATCH(A105&amp;"",tbl_Onsite[Job Number],0),MATCH(IFERROR(A105+0,A105),tbl_Onsite[Job Number],0)))),IFERROR(IF(INDEX(tbl_Production[Invoice Type],IFERROR(MATCH(A105&amp;"",tbl_Production[Job Number],0),MATCH(IFERROR(A105+0,A105),tbl_Production[Job Number],0)))="","",INDEX(tbl_Production[Invoice Type],IFERROR(MATCH(A105&amp;"",tbl_Production[Job Number],0),MATCH(IFERROR(A105+0,A105),tbl_Production[Job Number],0)))),IFERROR(IF(INDEX(tbl_Consulting[Invoice Type],IFERROR(MATCH(A105&amp;"",tbl_Consulting[Job Number],0),MATCH(IFERROR(A105+0,A105),tbl_Consulting[Job Number],0)))="","",INDEX(tbl_Consulting[Invoice Type],IFERROR(MATCH(A105&amp;"",tbl_Consulting[Job Number],0),MATCH(IFERROR(A105+0,A105),tbl_Consulting[Job Number],0)))),""))))</f>
        <v/>
      </c>
      <c r="M105" s="26">
        <f>IF(A105="","",IF(IFERROR(IF(INDEX(tbl_Onsite[Tax Code],IFERROR(MATCH(A105&amp;"",tbl_Onsite[Job Number],0),MATCH(IFERROR(A105+0,A105),tbl_Onsite[Job Number],0)))="","",INDEX(tbl_Onsite[Tax Code],IFERROR(MATCH(A105&amp;"",tbl_Onsite[Job Number],0),MATCH(IFERROR(A105+0,A105),tbl_Onsite[Job Number],0)))),IFERROR(IF(INDEX(tbl_Production[Tax Code],IFERROR(MATCH(A105&amp;"",tbl_Production[Job Number],0),MATCH(IFERROR(A105+0,A105),tbl_Production[Job Number],0)))="","",INDEX(tbl_Production[Tax Code],IFERROR(MATCH(A105&amp;"",tbl_Production[Job Number],0),MATCH(IFERROR(A105+0,A105),tbl_Production[Job Number],0)))),IFERROR(IF(INDEX(tbl_Consulting[Tax Code],IFERROR(MATCH(A105&amp;"",tbl_Consulting[Job Number],0),MATCH(IFERROR(A105+0,A105),tbl_Consulting[Job Number],0)))="","",INDEX(tbl_Consulting[Tax Code],IFERROR(MATCH(A105&amp;"",tbl_Consulting[Job Number],0),MATCH(IFERROR(A105+0,A105),tbl_Consulting[Job Number],0)))),"")))="","GST 10%",IFERROR(IF(INDEX(tbl_Onsite[Tax Code],IFERROR(MATCH(A105&amp;"",tbl_Onsite[Job Number],0),MATCH(IFERROR(A105+0,A105),tbl_Onsite[Job Number],0)))="","",INDEX(tbl_Onsite[Tax Code],IFERROR(MATCH(A105&amp;"",tbl_Onsite[Job Number],0),MATCH(IFERROR(A105+0,A105),tbl_Onsite[Job Number],0)))),IFERROR(IF(INDEX(tbl_Production[Tax Code],IFERROR(MATCH(A105&amp;"",tbl_Production[Job Number],0),MATCH(IFERROR(A105+0,A105),tbl_Production[Job Number],0)))="","",INDEX(tbl_Production[Tax Code],IFERROR(MATCH(A105&amp;"",tbl_Production[Job Number],0),MATCH(IFERROR(A105+0,A105),tbl_Production[Job Number],0)))),IFERROR(IF(INDEX(tbl_Consulting[Tax Code],IFERROR(MATCH(A105&amp;"",tbl_Consulting[Job Number],0),MATCH(IFERROR(A105+0,A105),tbl_Consulting[Job Number],0)))="","",INDEX(tbl_Consulting[Tax Code],IFERROR(MATCH(A105&amp;"",tbl_Consulting[Job Number],0),MATCH(IFERROR(A105+0,A105),tbl_Consulting[Job Number],0)))),"")))))</f>
        <v/>
      </c>
      <c r="N105" s="26">
        <f>IF(D105="","",IFERROR(INDEX(lst_CCtoGL,MATCH(D105,lst_CCforGL,0)),""))</f>
        <v/>
      </c>
      <c r="O105" s="27">
        <f>IF(E105="","",IF(M105="GST 10%",ROUND(E105*set_GSTRate,2),0))</f>
        <v/>
      </c>
      <c r="P105" s="27">
        <f>IF(E105="","",E105+O105)</f>
        <v/>
      </c>
      <c r="Q105" s="27">
        <f>IF(A105="","",IFERROR(INDEX(tbl_Onsite[Expected Revenue Ex GST],IFERROR(MATCH(A105&amp;"",tbl_Onsite[Job Number],0),MATCH(IFERROR(A105+0,A105),tbl_Onsite[Job Number],0))),IFERROR(INDEX(tbl_Production[Expected Revenue Ex GST],IFERROR(MATCH(A105&amp;"",tbl_Production[Job Number],0),MATCH(IFERROR(A105+0,A105),tbl_Production[Job Number],0))),IFERROR(INDEX(tbl_Consulting[Expected Revenue Ex GST],IFERROR(MATCH(A105&amp;"",tbl_Consulting[Job Number],0),MATCH(IFERROR(A105+0,A105),tbl_Consulting[Job Number],0))),0))))</f>
        <v/>
      </c>
      <c r="R105" s="27">
        <f>IF(A105="","",SUMIFS(tbl_Finance[Ex GST],tbl_Finance[Job Number],A105&amp;""))</f>
        <v/>
      </c>
      <c r="S105" s="27">
        <f>IF(A105="","",Q105-R105)</f>
        <v/>
      </c>
      <c r="T105" s="26">
        <f>IF(A105="","",IF(Q105=0,"No dept value",IF(ROUND(S105,2)=0,"Agrees",IF(S105&gt;0,"Dept higher - to invoice","Xero higher - check dept"))))</f>
        <v/>
      </c>
      <c r="U105" s="22" t="n"/>
      <c r="V105" s="22" t="n"/>
      <c r="W105" s="23" t="n"/>
      <c r="X105" s="23" t="n"/>
      <c r="Y105" s="22" t="n"/>
      <c r="Z105" s="22" t="n"/>
      <c r="AA105" s="26">
        <f>IF(COUNTA(C105,A105,B105,E105)=0,"",IF(C105="","No date - sits outside every month",IF(A105="","No job number",IF(H105="CHECK","Job number is not in the Xero job list",IF(G105="not set up yet","No department has set this job up - nothing can pull through",IF(D105="","No cost centre",IF(AND(U105="Y",B105=""),"Marked posted to Xero but has no invoice number",IF(N105="","Cost centre has no revenue GL on the Lists sheet",IF(T105="Xero higher - check dept","Invoiced more than the department says the job is worth","")))))))))</f>
        <v/>
      </c>
      <c r="AB105" s="28">
        <f>IF(A105="","",COUNTIFS(tbl_Finance[Job Number],A105&amp;"",tbl_Finance[Ex GST],"&lt;&gt;"))</f>
        <v/>
      </c>
      <c r="AC105" s="27">
        <f>IF(A105="","",SUMIFS(tbl_Finance[Ex GST],tbl_Finance[Job Number],A105&amp;""))</f>
        <v/>
      </c>
      <c r="AD105" s="27">
        <f>IF(A105="","",SUMIFS(tbl_Finance[Ex GST],tbl_Finance[Job Number],A105&amp;"",tbl_Finance[Xero Invoice No],"&lt;&gt;"))</f>
        <v/>
      </c>
      <c r="AE105" s="27">
        <f>IF(A105="","",AC105-AD105)</f>
        <v/>
      </c>
      <c r="AF105" s="26">
        <f>IF(A105="","",IFERROR(IF(INDEX(tbl_Onsite[Qwilr Quote],IFERROR(MATCH(A105&amp;"",tbl_Onsite[Job Number],0),MATCH(IFERROR(A105+0,A105),tbl_Onsite[Job Number],0)))="","",INDEX(tbl_Onsite[Qwilr Quote],IFERROR(MATCH(A105&amp;"",tbl_Onsite[Job Number],0),MATCH(IFERROR(A105+0,A105),tbl_Onsite[Job Number],0)))),IFERROR(IF(IF(INDEX(tbl_Production[Current RMS No],IFERROR(MATCH(A105&amp;"",tbl_Production[Job Number],0),MATCH(IFERROR(A105+0,A105),tbl_Production[Job Number],0)))="",INDEX(tbl_Production[Qwilr Quote],IFERROR(MATCH(A105&amp;"",tbl_Production[Job Number],0),MATCH(IFERROR(A105+0,A105),tbl_Production[Job Number],0))),INDEX(tbl_Production[Current RMS No],IFERROR(MATCH(A105&amp;"",tbl_Production[Job Number],0),MATCH(IFERROR(A105+0,A105),tbl_Production[Job Number],0))))="","",IF(INDEX(tbl_Production[Current RMS No],IFERROR(MATCH(A105&amp;"",tbl_Production[Job Number],0),MATCH(IFERROR(A105+0,A105),tbl_Production[Job Number],0)))="",INDEX(tbl_Production[Qwilr Quote],IFERROR(MATCH(A105&amp;"",tbl_Production[Job Number],0),MATCH(IFERROR(A105+0,A105),tbl_Production[Job Number],0))),INDEX(tbl_Production[Current RMS No],IFERROR(MATCH(A105&amp;"",tbl_Production[Job Number],0),MATCH(IFERROR(A105+0,A105),tbl_Production[Job Number],0))))),IFERROR(IF(INDEX(tbl_Consulting[Qwilr Quote],IFERROR(MATCH(A105&amp;"",tbl_Consulting[Job Number],0),MATCH(IFERROR(A105+0,A105),tbl_Consulting[Job Number],0)))="","",INDEX(tbl_Consulting[Qwilr Quote],IFERROR(MATCH(A105&amp;"",tbl_Consulting[Job Number],0),MATCH(IFERROR(A105+0,A105),tbl_Consulting[Job Number],0)))),""))))</f>
        <v/>
      </c>
      <c r="AG105" s="26">
        <f>IF(AF105="","",IF(AND(LEFT(AF105,4)&lt;&gt;"http",IF(G105="Production",set_RMSBase,set_QwilrBase)=""),"",HYPERLINK(IF(LEFT(AF105,4)="http",AF105,IF(G105="Production",set_RMSBase,set_QwilrBase)&amp;AF105),"Open")))</f>
        <v/>
      </c>
      <c r="AH105" s="27">
        <f>IF(A105="","",IFERROR(INDEX(tbl_Production[Total Expense],IFERROR(MATCH(A105&amp;"",tbl_Production[Job Number],0),MATCH(IFERROR(A105+0,A105),tbl_Production[Job Number],0))),IFERROR(INDEX(tbl_Consulting[Total Expense],IFERROR(MATCH(A105&amp;"",tbl_Consulting[Job Number],0),MATCH(IFERROR(A105+0,A105),tbl_Consulting[Job Number],0))),0)))</f>
        <v/>
      </c>
      <c r="AI105" s="27">
        <f>IF(A105="","",AC105-N(AH105))</f>
        <v/>
      </c>
      <c r="AJ105" s="29">
        <f>IFERROR(AI105/AC105,"")</f>
        <v/>
      </c>
      <c r="AK105" s="26">
        <f>IF(A105="","",IFERROR(IF(INDEX(tbl_Onsite[Notes],IFERROR(MATCH(A105&amp;"",tbl_Onsite[Job Number],0),MATCH(IFERROR(A105+0,A105),tbl_Onsite[Job Number],0)))="","",INDEX(tbl_Onsite[Notes],IFERROR(MATCH(A105&amp;"",tbl_Onsite[Job Number],0),MATCH(IFERROR(A105+0,A105),tbl_Onsite[Job Number],0)))),IFERROR(IF(INDEX(tbl_Production[Notes],IFERROR(MATCH(A105&amp;"",tbl_Production[Job Number],0),MATCH(IFERROR(A105+0,A105),tbl_Production[Job Number],0)))="","",INDEX(tbl_Production[Notes],IFERROR(MATCH(A105&amp;"",tbl_Production[Job Number],0),MATCH(IFERROR(A105+0,A105),tbl_Production[Job Number],0)))),IFERROR(IF(INDEX(tbl_Consulting[Notes],IFERROR(MATCH(A105&amp;"",tbl_Consulting[Job Number],0),MATCH(IFERROR(A105+0,A105),tbl_Consulting[Job Number],0)))="","",INDEX(tbl_Consulting[Notes],IFERROR(MATCH(A105&amp;"",tbl_Consulting[Job Number],0),MATCH(IFERROR(A105+0,A105),tbl_Consulting[Job Number],0)))),""))))</f>
        <v/>
      </c>
    </row>
    <row r="106" ht="15" customHeight="1">
      <c r="A106" s="22" t="n"/>
      <c r="B106" s="22" t="n"/>
      <c r="C106" s="23" t="n"/>
      <c r="D106" s="22" t="n"/>
      <c r="E106" s="24" t="n"/>
      <c r="F106" s="25">
        <f>IF(C106="","",EOMONTH(C106,0))</f>
        <v/>
      </c>
      <c r="G106" s="26">
        <f>IF(A106="","",IF(COUNTIF(tbl_Onsite[Job Number],A106&amp;"")&gt;0,"Onsite",IF(COUNTIF(tbl_Production[Job Number],A106&amp;"")&gt;0,"Production",IF(COUNTIF(tbl_Consulting[Job Number],A106&amp;"")&gt;0,"Consulting","not set up yet"))))</f>
        <v/>
      </c>
      <c r="H106" s="26">
        <f>IF(A106="","",IF(COUNTIF(lst_Jobs,A106&amp;"")&gt;0,"OK","CHECK"))</f>
        <v/>
      </c>
      <c r="I106" s="26">
        <f>IF(A106="","",IFERROR(INDEX(lst_JobName,MATCH(A106&amp;"",lst_Jobs,0)),""))</f>
        <v/>
      </c>
      <c r="J106" s="26">
        <f>IF(A106="","",IFERROR(IF(INDEX(tbl_Onsite[Client],IFERROR(MATCH(A106&amp;"",tbl_Onsite[Job Number],0),MATCH(IFERROR(A106+0,A106),tbl_Onsite[Job Number],0)))="","",INDEX(tbl_Onsite[Client],IFERROR(MATCH(A106&amp;"",tbl_Onsite[Job Number],0),MATCH(IFERROR(A106+0,A106),tbl_Onsite[Job Number],0)))),IFERROR(IF(INDEX(tbl_Production[Client],IFERROR(MATCH(A106&amp;"",tbl_Production[Job Number],0),MATCH(IFERROR(A106+0,A106),tbl_Production[Job Number],0)))="","",INDEX(tbl_Production[Client],IFERROR(MATCH(A106&amp;"",tbl_Production[Job Number],0),MATCH(IFERROR(A106+0,A106),tbl_Production[Job Number],0)))),IFERROR(IF(INDEX(tbl_Consulting[Client],IFERROR(MATCH(A106&amp;"",tbl_Consulting[Job Number],0),MATCH(IFERROR(A106+0,A106),tbl_Consulting[Job Number],0)))="","",INDEX(tbl_Consulting[Client],IFERROR(MATCH(A106&amp;"",tbl_Consulting[Job Number],0),MATCH(IFERROR(A106+0,A106),tbl_Consulting[Job Number],0)))),""))))</f>
        <v/>
      </c>
      <c r="K106" s="26">
        <f>IF(A106="","",IFERROR(IF(INDEX(tbl_Onsite[Job Description],IFERROR(MATCH(A106&amp;"",tbl_Onsite[Job Number],0),MATCH(IFERROR(A106+0,A106),tbl_Onsite[Job Number],0)))="","",INDEX(tbl_Onsite[Job Description],IFERROR(MATCH(A106&amp;"",tbl_Onsite[Job Number],0),MATCH(IFERROR(A106+0,A106),tbl_Onsite[Job Number],0)))),IFERROR(IF(INDEX(tbl_Production[Job Description],IFERROR(MATCH(A106&amp;"",tbl_Production[Job Number],0),MATCH(IFERROR(A106+0,A106),tbl_Production[Job Number],0)))="","",INDEX(tbl_Production[Job Description],IFERROR(MATCH(A106&amp;"",tbl_Production[Job Number],0),MATCH(IFERROR(A106+0,A106),tbl_Production[Job Number],0)))),IFERROR(IF(INDEX(tbl_Consulting[Job Description],IFERROR(MATCH(A106&amp;"",tbl_Consulting[Job Number],0),MATCH(IFERROR(A106+0,A106),tbl_Consulting[Job Number],0)))="","",INDEX(tbl_Consulting[Job Description],IFERROR(MATCH(A106&amp;"",tbl_Consulting[Job Number],0),MATCH(IFERROR(A106+0,A106),tbl_Consulting[Job Number],0)))),""))))</f>
        <v/>
      </c>
      <c r="L106" s="26">
        <f>IF(A106="","",IFERROR(IF(INDEX(tbl_Onsite[Invoice Type],IFERROR(MATCH(A106&amp;"",tbl_Onsite[Job Number],0),MATCH(IFERROR(A106+0,A106),tbl_Onsite[Job Number],0)))="","",INDEX(tbl_Onsite[Invoice Type],IFERROR(MATCH(A106&amp;"",tbl_Onsite[Job Number],0),MATCH(IFERROR(A106+0,A106),tbl_Onsite[Job Number],0)))),IFERROR(IF(INDEX(tbl_Production[Invoice Type],IFERROR(MATCH(A106&amp;"",tbl_Production[Job Number],0),MATCH(IFERROR(A106+0,A106),tbl_Production[Job Number],0)))="","",INDEX(tbl_Production[Invoice Type],IFERROR(MATCH(A106&amp;"",tbl_Production[Job Number],0),MATCH(IFERROR(A106+0,A106),tbl_Production[Job Number],0)))),IFERROR(IF(INDEX(tbl_Consulting[Invoice Type],IFERROR(MATCH(A106&amp;"",tbl_Consulting[Job Number],0),MATCH(IFERROR(A106+0,A106),tbl_Consulting[Job Number],0)))="","",INDEX(tbl_Consulting[Invoice Type],IFERROR(MATCH(A106&amp;"",tbl_Consulting[Job Number],0),MATCH(IFERROR(A106+0,A106),tbl_Consulting[Job Number],0)))),""))))</f>
        <v/>
      </c>
      <c r="M106" s="26">
        <f>IF(A106="","",IF(IFERROR(IF(INDEX(tbl_Onsite[Tax Code],IFERROR(MATCH(A106&amp;"",tbl_Onsite[Job Number],0),MATCH(IFERROR(A106+0,A106),tbl_Onsite[Job Number],0)))="","",INDEX(tbl_Onsite[Tax Code],IFERROR(MATCH(A106&amp;"",tbl_Onsite[Job Number],0),MATCH(IFERROR(A106+0,A106),tbl_Onsite[Job Number],0)))),IFERROR(IF(INDEX(tbl_Production[Tax Code],IFERROR(MATCH(A106&amp;"",tbl_Production[Job Number],0),MATCH(IFERROR(A106+0,A106),tbl_Production[Job Number],0)))="","",INDEX(tbl_Production[Tax Code],IFERROR(MATCH(A106&amp;"",tbl_Production[Job Number],0),MATCH(IFERROR(A106+0,A106),tbl_Production[Job Number],0)))),IFERROR(IF(INDEX(tbl_Consulting[Tax Code],IFERROR(MATCH(A106&amp;"",tbl_Consulting[Job Number],0),MATCH(IFERROR(A106+0,A106),tbl_Consulting[Job Number],0)))="","",INDEX(tbl_Consulting[Tax Code],IFERROR(MATCH(A106&amp;"",tbl_Consulting[Job Number],0),MATCH(IFERROR(A106+0,A106),tbl_Consulting[Job Number],0)))),"")))="","GST 10%",IFERROR(IF(INDEX(tbl_Onsite[Tax Code],IFERROR(MATCH(A106&amp;"",tbl_Onsite[Job Number],0),MATCH(IFERROR(A106+0,A106),tbl_Onsite[Job Number],0)))="","",INDEX(tbl_Onsite[Tax Code],IFERROR(MATCH(A106&amp;"",tbl_Onsite[Job Number],0),MATCH(IFERROR(A106+0,A106),tbl_Onsite[Job Number],0)))),IFERROR(IF(INDEX(tbl_Production[Tax Code],IFERROR(MATCH(A106&amp;"",tbl_Production[Job Number],0),MATCH(IFERROR(A106+0,A106),tbl_Production[Job Number],0)))="","",INDEX(tbl_Production[Tax Code],IFERROR(MATCH(A106&amp;"",tbl_Production[Job Number],0),MATCH(IFERROR(A106+0,A106),tbl_Production[Job Number],0)))),IFERROR(IF(INDEX(tbl_Consulting[Tax Code],IFERROR(MATCH(A106&amp;"",tbl_Consulting[Job Number],0),MATCH(IFERROR(A106+0,A106),tbl_Consulting[Job Number],0)))="","",INDEX(tbl_Consulting[Tax Code],IFERROR(MATCH(A106&amp;"",tbl_Consulting[Job Number],0),MATCH(IFERROR(A106+0,A106),tbl_Consulting[Job Number],0)))),"")))))</f>
        <v/>
      </c>
      <c r="N106" s="26">
        <f>IF(D106="","",IFERROR(INDEX(lst_CCtoGL,MATCH(D106,lst_CCforGL,0)),""))</f>
        <v/>
      </c>
      <c r="O106" s="27">
        <f>IF(E106="","",IF(M106="GST 10%",ROUND(E106*set_GSTRate,2),0))</f>
        <v/>
      </c>
      <c r="P106" s="27">
        <f>IF(E106="","",E106+O106)</f>
        <v/>
      </c>
      <c r="Q106" s="27">
        <f>IF(A106="","",IFERROR(INDEX(tbl_Onsite[Expected Revenue Ex GST],IFERROR(MATCH(A106&amp;"",tbl_Onsite[Job Number],0),MATCH(IFERROR(A106+0,A106),tbl_Onsite[Job Number],0))),IFERROR(INDEX(tbl_Production[Expected Revenue Ex GST],IFERROR(MATCH(A106&amp;"",tbl_Production[Job Number],0),MATCH(IFERROR(A106+0,A106),tbl_Production[Job Number],0))),IFERROR(INDEX(tbl_Consulting[Expected Revenue Ex GST],IFERROR(MATCH(A106&amp;"",tbl_Consulting[Job Number],0),MATCH(IFERROR(A106+0,A106),tbl_Consulting[Job Number],0))),0))))</f>
        <v/>
      </c>
      <c r="R106" s="27">
        <f>IF(A106="","",SUMIFS(tbl_Finance[Ex GST],tbl_Finance[Job Number],A106&amp;""))</f>
        <v/>
      </c>
      <c r="S106" s="27">
        <f>IF(A106="","",Q106-R106)</f>
        <v/>
      </c>
      <c r="T106" s="26">
        <f>IF(A106="","",IF(Q106=0,"No dept value",IF(ROUND(S106,2)=0,"Agrees",IF(S106&gt;0,"Dept higher - to invoice","Xero higher - check dept"))))</f>
        <v/>
      </c>
      <c r="U106" s="22" t="n"/>
      <c r="V106" s="22" t="n"/>
      <c r="W106" s="23" t="n"/>
      <c r="X106" s="23" t="n"/>
      <c r="Y106" s="22" t="n"/>
      <c r="Z106" s="22" t="n"/>
      <c r="AA106" s="26">
        <f>IF(COUNTA(C106,A106,B106,E106)=0,"",IF(C106="","No date - sits outside every month",IF(A106="","No job number",IF(H106="CHECK","Job number is not in the Xero job list",IF(G106="not set up yet","No department has set this job up - nothing can pull through",IF(D106="","No cost centre",IF(AND(U106="Y",B106=""),"Marked posted to Xero but has no invoice number",IF(N106="","Cost centre has no revenue GL on the Lists sheet",IF(T106="Xero higher - check dept","Invoiced more than the department says the job is worth","")))))))))</f>
        <v/>
      </c>
      <c r="AB106" s="28">
        <f>IF(A106="","",COUNTIFS(tbl_Finance[Job Number],A106&amp;"",tbl_Finance[Ex GST],"&lt;&gt;"))</f>
        <v/>
      </c>
      <c r="AC106" s="27">
        <f>IF(A106="","",SUMIFS(tbl_Finance[Ex GST],tbl_Finance[Job Number],A106&amp;""))</f>
        <v/>
      </c>
      <c r="AD106" s="27">
        <f>IF(A106="","",SUMIFS(tbl_Finance[Ex GST],tbl_Finance[Job Number],A106&amp;"",tbl_Finance[Xero Invoice No],"&lt;&gt;"))</f>
        <v/>
      </c>
      <c r="AE106" s="27">
        <f>IF(A106="","",AC106-AD106)</f>
        <v/>
      </c>
      <c r="AF106" s="26">
        <f>IF(A106="","",IFERROR(IF(INDEX(tbl_Onsite[Qwilr Quote],IFERROR(MATCH(A106&amp;"",tbl_Onsite[Job Number],0),MATCH(IFERROR(A106+0,A106),tbl_Onsite[Job Number],0)))="","",INDEX(tbl_Onsite[Qwilr Quote],IFERROR(MATCH(A106&amp;"",tbl_Onsite[Job Number],0),MATCH(IFERROR(A106+0,A106),tbl_Onsite[Job Number],0)))),IFERROR(IF(IF(INDEX(tbl_Production[Current RMS No],IFERROR(MATCH(A106&amp;"",tbl_Production[Job Number],0),MATCH(IFERROR(A106+0,A106),tbl_Production[Job Number],0)))="",INDEX(tbl_Production[Qwilr Quote],IFERROR(MATCH(A106&amp;"",tbl_Production[Job Number],0),MATCH(IFERROR(A106+0,A106),tbl_Production[Job Number],0))),INDEX(tbl_Production[Current RMS No],IFERROR(MATCH(A106&amp;"",tbl_Production[Job Number],0),MATCH(IFERROR(A106+0,A106),tbl_Production[Job Number],0))))="","",IF(INDEX(tbl_Production[Current RMS No],IFERROR(MATCH(A106&amp;"",tbl_Production[Job Number],0),MATCH(IFERROR(A106+0,A106),tbl_Production[Job Number],0)))="",INDEX(tbl_Production[Qwilr Quote],IFERROR(MATCH(A106&amp;"",tbl_Production[Job Number],0),MATCH(IFERROR(A106+0,A106),tbl_Production[Job Number],0))),INDEX(tbl_Production[Current RMS No],IFERROR(MATCH(A106&amp;"",tbl_Production[Job Number],0),MATCH(IFERROR(A106+0,A106),tbl_Production[Job Number],0))))),IFERROR(IF(INDEX(tbl_Consulting[Qwilr Quote],IFERROR(MATCH(A106&amp;"",tbl_Consulting[Job Number],0),MATCH(IFERROR(A106+0,A106),tbl_Consulting[Job Number],0)))="","",INDEX(tbl_Consulting[Qwilr Quote],IFERROR(MATCH(A106&amp;"",tbl_Consulting[Job Number],0),MATCH(IFERROR(A106+0,A106),tbl_Consulting[Job Number],0)))),""))))</f>
        <v/>
      </c>
      <c r="AG106" s="26">
        <f>IF(AF106="","",IF(AND(LEFT(AF106,4)&lt;&gt;"http",IF(G106="Production",set_RMSBase,set_QwilrBase)=""),"",HYPERLINK(IF(LEFT(AF106,4)="http",AF106,IF(G106="Production",set_RMSBase,set_QwilrBase)&amp;AF106),"Open")))</f>
        <v/>
      </c>
      <c r="AH106" s="27">
        <f>IF(A106="","",IFERROR(INDEX(tbl_Production[Total Expense],IFERROR(MATCH(A106&amp;"",tbl_Production[Job Number],0),MATCH(IFERROR(A106+0,A106),tbl_Production[Job Number],0))),IFERROR(INDEX(tbl_Consulting[Total Expense],IFERROR(MATCH(A106&amp;"",tbl_Consulting[Job Number],0),MATCH(IFERROR(A106+0,A106),tbl_Consulting[Job Number],0))),0)))</f>
        <v/>
      </c>
      <c r="AI106" s="27">
        <f>IF(A106="","",AC106-N(AH106))</f>
        <v/>
      </c>
      <c r="AJ106" s="29">
        <f>IFERROR(AI106/AC106,"")</f>
        <v/>
      </c>
      <c r="AK106" s="26">
        <f>IF(A106="","",IFERROR(IF(INDEX(tbl_Onsite[Notes],IFERROR(MATCH(A106&amp;"",tbl_Onsite[Job Number],0),MATCH(IFERROR(A106+0,A106),tbl_Onsite[Job Number],0)))="","",INDEX(tbl_Onsite[Notes],IFERROR(MATCH(A106&amp;"",tbl_Onsite[Job Number],0),MATCH(IFERROR(A106+0,A106),tbl_Onsite[Job Number],0)))),IFERROR(IF(INDEX(tbl_Production[Notes],IFERROR(MATCH(A106&amp;"",tbl_Production[Job Number],0),MATCH(IFERROR(A106+0,A106),tbl_Production[Job Number],0)))="","",INDEX(tbl_Production[Notes],IFERROR(MATCH(A106&amp;"",tbl_Production[Job Number],0),MATCH(IFERROR(A106+0,A106),tbl_Production[Job Number],0)))),IFERROR(IF(INDEX(tbl_Consulting[Notes],IFERROR(MATCH(A106&amp;"",tbl_Consulting[Job Number],0),MATCH(IFERROR(A106+0,A106),tbl_Consulting[Job Number],0)))="","",INDEX(tbl_Consulting[Notes],IFERROR(MATCH(A106&amp;"",tbl_Consulting[Job Number],0),MATCH(IFERROR(A106+0,A106),tbl_Consulting[Job Number],0)))),""))))</f>
        <v/>
      </c>
    </row>
    <row r="107" ht="15" customHeight="1">
      <c r="A107" s="22" t="n"/>
      <c r="B107" s="22" t="n"/>
      <c r="C107" s="23" t="n"/>
      <c r="D107" s="22" t="n"/>
      <c r="E107" s="24" t="n"/>
      <c r="F107" s="25">
        <f>IF(C107="","",EOMONTH(C107,0))</f>
        <v/>
      </c>
      <c r="G107" s="26">
        <f>IF(A107="","",IF(COUNTIF(tbl_Onsite[Job Number],A107&amp;"")&gt;0,"Onsite",IF(COUNTIF(tbl_Production[Job Number],A107&amp;"")&gt;0,"Production",IF(COUNTIF(tbl_Consulting[Job Number],A107&amp;"")&gt;0,"Consulting","not set up yet"))))</f>
        <v/>
      </c>
      <c r="H107" s="26">
        <f>IF(A107="","",IF(COUNTIF(lst_Jobs,A107&amp;"")&gt;0,"OK","CHECK"))</f>
        <v/>
      </c>
      <c r="I107" s="26">
        <f>IF(A107="","",IFERROR(INDEX(lst_JobName,MATCH(A107&amp;"",lst_Jobs,0)),""))</f>
        <v/>
      </c>
      <c r="J107" s="26">
        <f>IF(A107="","",IFERROR(IF(INDEX(tbl_Onsite[Client],IFERROR(MATCH(A107&amp;"",tbl_Onsite[Job Number],0),MATCH(IFERROR(A107+0,A107),tbl_Onsite[Job Number],0)))="","",INDEX(tbl_Onsite[Client],IFERROR(MATCH(A107&amp;"",tbl_Onsite[Job Number],0),MATCH(IFERROR(A107+0,A107),tbl_Onsite[Job Number],0)))),IFERROR(IF(INDEX(tbl_Production[Client],IFERROR(MATCH(A107&amp;"",tbl_Production[Job Number],0),MATCH(IFERROR(A107+0,A107),tbl_Production[Job Number],0)))="","",INDEX(tbl_Production[Client],IFERROR(MATCH(A107&amp;"",tbl_Production[Job Number],0),MATCH(IFERROR(A107+0,A107),tbl_Production[Job Number],0)))),IFERROR(IF(INDEX(tbl_Consulting[Client],IFERROR(MATCH(A107&amp;"",tbl_Consulting[Job Number],0),MATCH(IFERROR(A107+0,A107),tbl_Consulting[Job Number],0)))="","",INDEX(tbl_Consulting[Client],IFERROR(MATCH(A107&amp;"",tbl_Consulting[Job Number],0),MATCH(IFERROR(A107+0,A107),tbl_Consulting[Job Number],0)))),""))))</f>
        <v/>
      </c>
      <c r="K107" s="26">
        <f>IF(A107="","",IFERROR(IF(INDEX(tbl_Onsite[Job Description],IFERROR(MATCH(A107&amp;"",tbl_Onsite[Job Number],0),MATCH(IFERROR(A107+0,A107),tbl_Onsite[Job Number],0)))="","",INDEX(tbl_Onsite[Job Description],IFERROR(MATCH(A107&amp;"",tbl_Onsite[Job Number],0),MATCH(IFERROR(A107+0,A107),tbl_Onsite[Job Number],0)))),IFERROR(IF(INDEX(tbl_Production[Job Description],IFERROR(MATCH(A107&amp;"",tbl_Production[Job Number],0),MATCH(IFERROR(A107+0,A107),tbl_Production[Job Number],0)))="","",INDEX(tbl_Production[Job Description],IFERROR(MATCH(A107&amp;"",tbl_Production[Job Number],0),MATCH(IFERROR(A107+0,A107),tbl_Production[Job Number],0)))),IFERROR(IF(INDEX(tbl_Consulting[Job Description],IFERROR(MATCH(A107&amp;"",tbl_Consulting[Job Number],0),MATCH(IFERROR(A107+0,A107),tbl_Consulting[Job Number],0)))="","",INDEX(tbl_Consulting[Job Description],IFERROR(MATCH(A107&amp;"",tbl_Consulting[Job Number],0),MATCH(IFERROR(A107+0,A107),tbl_Consulting[Job Number],0)))),""))))</f>
        <v/>
      </c>
      <c r="L107" s="26">
        <f>IF(A107="","",IFERROR(IF(INDEX(tbl_Onsite[Invoice Type],IFERROR(MATCH(A107&amp;"",tbl_Onsite[Job Number],0),MATCH(IFERROR(A107+0,A107),tbl_Onsite[Job Number],0)))="","",INDEX(tbl_Onsite[Invoice Type],IFERROR(MATCH(A107&amp;"",tbl_Onsite[Job Number],0),MATCH(IFERROR(A107+0,A107),tbl_Onsite[Job Number],0)))),IFERROR(IF(INDEX(tbl_Production[Invoice Type],IFERROR(MATCH(A107&amp;"",tbl_Production[Job Number],0),MATCH(IFERROR(A107+0,A107),tbl_Production[Job Number],0)))="","",INDEX(tbl_Production[Invoice Type],IFERROR(MATCH(A107&amp;"",tbl_Production[Job Number],0),MATCH(IFERROR(A107+0,A107),tbl_Production[Job Number],0)))),IFERROR(IF(INDEX(tbl_Consulting[Invoice Type],IFERROR(MATCH(A107&amp;"",tbl_Consulting[Job Number],0),MATCH(IFERROR(A107+0,A107),tbl_Consulting[Job Number],0)))="","",INDEX(tbl_Consulting[Invoice Type],IFERROR(MATCH(A107&amp;"",tbl_Consulting[Job Number],0),MATCH(IFERROR(A107+0,A107),tbl_Consulting[Job Number],0)))),""))))</f>
        <v/>
      </c>
      <c r="M107" s="26">
        <f>IF(A107="","",IF(IFERROR(IF(INDEX(tbl_Onsite[Tax Code],IFERROR(MATCH(A107&amp;"",tbl_Onsite[Job Number],0),MATCH(IFERROR(A107+0,A107),tbl_Onsite[Job Number],0)))="","",INDEX(tbl_Onsite[Tax Code],IFERROR(MATCH(A107&amp;"",tbl_Onsite[Job Number],0),MATCH(IFERROR(A107+0,A107),tbl_Onsite[Job Number],0)))),IFERROR(IF(INDEX(tbl_Production[Tax Code],IFERROR(MATCH(A107&amp;"",tbl_Production[Job Number],0),MATCH(IFERROR(A107+0,A107),tbl_Production[Job Number],0)))="","",INDEX(tbl_Production[Tax Code],IFERROR(MATCH(A107&amp;"",tbl_Production[Job Number],0),MATCH(IFERROR(A107+0,A107),tbl_Production[Job Number],0)))),IFERROR(IF(INDEX(tbl_Consulting[Tax Code],IFERROR(MATCH(A107&amp;"",tbl_Consulting[Job Number],0),MATCH(IFERROR(A107+0,A107),tbl_Consulting[Job Number],0)))="","",INDEX(tbl_Consulting[Tax Code],IFERROR(MATCH(A107&amp;"",tbl_Consulting[Job Number],0),MATCH(IFERROR(A107+0,A107),tbl_Consulting[Job Number],0)))),"")))="","GST 10%",IFERROR(IF(INDEX(tbl_Onsite[Tax Code],IFERROR(MATCH(A107&amp;"",tbl_Onsite[Job Number],0),MATCH(IFERROR(A107+0,A107),tbl_Onsite[Job Number],0)))="","",INDEX(tbl_Onsite[Tax Code],IFERROR(MATCH(A107&amp;"",tbl_Onsite[Job Number],0),MATCH(IFERROR(A107+0,A107),tbl_Onsite[Job Number],0)))),IFERROR(IF(INDEX(tbl_Production[Tax Code],IFERROR(MATCH(A107&amp;"",tbl_Production[Job Number],0),MATCH(IFERROR(A107+0,A107),tbl_Production[Job Number],0)))="","",INDEX(tbl_Production[Tax Code],IFERROR(MATCH(A107&amp;"",tbl_Production[Job Number],0),MATCH(IFERROR(A107+0,A107),tbl_Production[Job Number],0)))),IFERROR(IF(INDEX(tbl_Consulting[Tax Code],IFERROR(MATCH(A107&amp;"",tbl_Consulting[Job Number],0),MATCH(IFERROR(A107+0,A107),tbl_Consulting[Job Number],0)))="","",INDEX(tbl_Consulting[Tax Code],IFERROR(MATCH(A107&amp;"",tbl_Consulting[Job Number],0),MATCH(IFERROR(A107+0,A107),tbl_Consulting[Job Number],0)))),"")))))</f>
        <v/>
      </c>
      <c r="N107" s="26">
        <f>IF(D107="","",IFERROR(INDEX(lst_CCtoGL,MATCH(D107,lst_CCforGL,0)),""))</f>
        <v/>
      </c>
      <c r="O107" s="27">
        <f>IF(E107="","",IF(M107="GST 10%",ROUND(E107*set_GSTRate,2),0))</f>
        <v/>
      </c>
      <c r="P107" s="27">
        <f>IF(E107="","",E107+O107)</f>
        <v/>
      </c>
      <c r="Q107" s="27">
        <f>IF(A107="","",IFERROR(INDEX(tbl_Onsite[Expected Revenue Ex GST],IFERROR(MATCH(A107&amp;"",tbl_Onsite[Job Number],0),MATCH(IFERROR(A107+0,A107),tbl_Onsite[Job Number],0))),IFERROR(INDEX(tbl_Production[Expected Revenue Ex GST],IFERROR(MATCH(A107&amp;"",tbl_Production[Job Number],0),MATCH(IFERROR(A107+0,A107),tbl_Production[Job Number],0))),IFERROR(INDEX(tbl_Consulting[Expected Revenue Ex GST],IFERROR(MATCH(A107&amp;"",tbl_Consulting[Job Number],0),MATCH(IFERROR(A107+0,A107),tbl_Consulting[Job Number],0))),0))))</f>
        <v/>
      </c>
      <c r="R107" s="27">
        <f>IF(A107="","",SUMIFS(tbl_Finance[Ex GST],tbl_Finance[Job Number],A107&amp;""))</f>
        <v/>
      </c>
      <c r="S107" s="27">
        <f>IF(A107="","",Q107-R107)</f>
        <v/>
      </c>
      <c r="T107" s="26">
        <f>IF(A107="","",IF(Q107=0,"No dept value",IF(ROUND(S107,2)=0,"Agrees",IF(S107&gt;0,"Dept higher - to invoice","Xero higher - check dept"))))</f>
        <v/>
      </c>
      <c r="U107" s="22" t="n"/>
      <c r="V107" s="22" t="n"/>
      <c r="W107" s="23" t="n"/>
      <c r="X107" s="23" t="n"/>
      <c r="Y107" s="22" t="n"/>
      <c r="Z107" s="22" t="n"/>
      <c r="AA107" s="26">
        <f>IF(COUNTA(C107,A107,B107,E107)=0,"",IF(C107="","No date - sits outside every month",IF(A107="","No job number",IF(H107="CHECK","Job number is not in the Xero job list",IF(G107="not set up yet","No department has set this job up - nothing can pull through",IF(D107="","No cost centre",IF(AND(U107="Y",B107=""),"Marked posted to Xero but has no invoice number",IF(N107="","Cost centre has no revenue GL on the Lists sheet",IF(T107="Xero higher - check dept","Invoiced more than the department says the job is worth","")))))))))</f>
        <v/>
      </c>
      <c r="AB107" s="28">
        <f>IF(A107="","",COUNTIFS(tbl_Finance[Job Number],A107&amp;"",tbl_Finance[Ex GST],"&lt;&gt;"))</f>
        <v/>
      </c>
      <c r="AC107" s="27">
        <f>IF(A107="","",SUMIFS(tbl_Finance[Ex GST],tbl_Finance[Job Number],A107&amp;""))</f>
        <v/>
      </c>
      <c r="AD107" s="27">
        <f>IF(A107="","",SUMIFS(tbl_Finance[Ex GST],tbl_Finance[Job Number],A107&amp;"",tbl_Finance[Xero Invoice No],"&lt;&gt;"))</f>
        <v/>
      </c>
      <c r="AE107" s="27">
        <f>IF(A107="","",AC107-AD107)</f>
        <v/>
      </c>
      <c r="AF107" s="26">
        <f>IF(A107="","",IFERROR(IF(INDEX(tbl_Onsite[Qwilr Quote],IFERROR(MATCH(A107&amp;"",tbl_Onsite[Job Number],0),MATCH(IFERROR(A107+0,A107),tbl_Onsite[Job Number],0)))="","",INDEX(tbl_Onsite[Qwilr Quote],IFERROR(MATCH(A107&amp;"",tbl_Onsite[Job Number],0),MATCH(IFERROR(A107+0,A107),tbl_Onsite[Job Number],0)))),IFERROR(IF(IF(INDEX(tbl_Production[Current RMS No],IFERROR(MATCH(A107&amp;"",tbl_Production[Job Number],0),MATCH(IFERROR(A107+0,A107),tbl_Production[Job Number],0)))="",INDEX(tbl_Production[Qwilr Quote],IFERROR(MATCH(A107&amp;"",tbl_Production[Job Number],0),MATCH(IFERROR(A107+0,A107),tbl_Production[Job Number],0))),INDEX(tbl_Production[Current RMS No],IFERROR(MATCH(A107&amp;"",tbl_Production[Job Number],0),MATCH(IFERROR(A107+0,A107),tbl_Production[Job Number],0))))="","",IF(INDEX(tbl_Production[Current RMS No],IFERROR(MATCH(A107&amp;"",tbl_Production[Job Number],0),MATCH(IFERROR(A107+0,A107),tbl_Production[Job Number],0)))="",INDEX(tbl_Production[Qwilr Quote],IFERROR(MATCH(A107&amp;"",tbl_Production[Job Number],0),MATCH(IFERROR(A107+0,A107),tbl_Production[Job Number],0))),INDEX(tbl_Production[Current RMS No],IFERROR(MATCH(A107&amp;"",tbl_Production[Job Number],0),MATCH(IFERROR(A107+0,A107),tbl_Production[Job Number],0))))),IFERROR(IF(INDEX(tbl_Consulting[Qwilr Quote],IFERROR(MATCH(A107&amp;"",tbl_Consulting[Job Number],0),MATCH(IFERROR(A107+0,A107),tbl_Consulting[Job Number],0)))="","",INDEX(tbl_Consulting[Qwilr Quote],IFERROR(MATCH(A107&amp;"",tbl_Consulting[Job Number],0),MATCH(IFERROR(A107+0,A107),tbl_Consulting[Job Number],0)))),""))))</f>
        <v/>
      </c>
      <c r="AG107" s="26">
        <f>IF(AF107="","",IF(AND(LEFT(AF107,4)&lt;&gt;"http",IF(G107="Production",set_RMSBase,set_QwilrBase)=""),"",HYPERLINK(IF(LEFT(AF107,4)="http",AF107,IF(G107="Production",set_RMSBase,set_QwilrBase)&amp;AF107),"Open")))</f>
        <v/>
      </c>
      <c r="AH107" s="27">
        <f>IF(A107="","",IFERROR(INDEX(tbl_Production[Total Expense],IFERROR(MATCH(A107&amp;"",tbl_Production[Job Number],0),MATCH(IFERROR(A107+0,A107),tbl_Production[Job Number],0))),IFERROR(INDEX(tbl_Consulting[Total Expense],IFERROR(MATCH(A107&amp;"",tbl_Consulting[Job Number],0),MATCH(IFERROR(A107+0,A107),tbl_Consulting[Job Number],0))),0)))</f>
        <v/>
      </c>
      <c r="AI107" s="27">
        <f>IF(A107="","",AC107-N(AH107))</f>
        <v/>
      </c>
      <c r="AJ107" s="29">
        <f>IFERROR(AI107/AC107,"")</f>
        <v/>
      </c>
      <c r="AK107" s="26">
        <f>IF(A107="","",IFERROR(IF(INDEX(tbl_Onsite[Notes],IFERROR(MATCH(A107&amp;"",tbl_Onsite[Job Number],0),MATCH(IFERROR(A107+0,A107),tbl_Onsite[Job Number],0)))="","",INDEX(tbl_Onsite[Notes],IFERROR(MATCH(A107&amp;"",tbl_Onsite[Job Number],0),MATCH(IFERROR(A107+0,A107),tbl_Onsite[Job Number],0)))),IFERROR(IF(INDEX(tbl_Production[Notes],IFERROR(MATCH(A107&amp;"",tbl_Production[Job Number],0),MATCH(IFERROR(A107+0,A107),tbl_Production[Job Number],0)))="","",INDEX(tbl_Production[Notes],IFERROR(MATCH(A107&amp;"",tbl_Production[Job Number],0),MATCH(IFERROR(A107+0,A107),tbl_Production[Job Number],0)))),IFERROR(IF(INDEX(tbl_Consulting[Notes],IFERROR(MATCH(A107&amp;"",tbl_Consulting[Job Number],0),MATCH(IFERROR(A107+0,A107),tbl_Consulting[Job Number],0)))="","",INDEX(tbl_Consulting[Notes],IFERROR(MATCH(A107&amp;"",tbl_Consulting[Job Number],0),MATCH(IFERROR(A107+0,A107),tbl_Consulting[Job Number],0)))),""))))</f>
        <v/>
      </c>
    </row>
    <row r="108" ht="15" customHeight="1">
      <c r="A108" s="22" t="n"/>
      <c r="B108" s="22" t="n"/>
      <c r="C108" s="23" t="n"/>
      <c r="D108" s="22" t="n"/>
      <c r="E108" s="24" t="n"/>
      <c r="F108" s="25">
        <f>IF(C108="","",EOMONTH(C108,0))</f>
        <v/>
      </c>
      <c r="G108" s="26">
        <f>IF(A108="","",IF(COUNTIF(tbl_Onsite[Job Number],A108&amp;"")&gt;0,"Onsite",IF(COUNTIF(tbl_Production[Job Number],A108&amp;"")&gt;0,"Production",IF(COUNTIF(tbl_Consulting[Job Number],A108&amp;"")&gt;0,"Consulting","not set up yet"))))</f>
        <v/>
      </c>
      <c r="H108" s="26">
        <f>IF(A108="","",IF(COUNTIF(lst_Jobs,A108&amp;"")&gt;0,"OK","CHECK"))</f>
        <v/>
      </c>
      <c r="I108" s="26">
        <f>IF(A108="","",IFERROR(INDEX(lst_JobName,MATCH(A108&amp;"",lst_Jobs,0)),""))</f>
        <v/>
      </c>
      <c r="J108" s="26">
        <f>IF(A108="","",IFERROR(IF(INDEX(tbl_Onsite[Client],IFERROR(MATCH(A108&amp;"",tbl_Onsite[Job Number],0),MATCH(IFERROR(A108+0,A108),tbl_Onsite[Job Number],0)))="","",INDEX(tbl_Onsite[Client],IFERROR(MATCH(A108&amp;"",tbl_Onsite[Job Number],0),MATCH(IFERROR(A108+0,A108),tbl_Onsite[Job Number],0)))),IFERROR(IF(INDEX(tbl_Production[Client],IFERROR(MATCH(A108&amp;"",tbl_Production[Job Number],0),MATCH(IFERROR(A108+0,A108),tbl_Production[Job Number],0)))="","",INDEX(tbl_Production[Client],IFERROR(MATCH(A108&amp;"",tbl_Production[Job Number],0),MATCH(IFERROR(A108+0,A108),tbl_Production[Job Number],0)))),IFERROR(IF(INDEX(tbl_Consulting[Client],IFERROR(MATCH(A108&amp;"",tbl_Consulting[Job Number],0),MATCH(IFERROR(A108+0,A108),tbl_Consulting[Job Number],0)))="","",INDEX(tbl_Consulting[Client],IFERROR(MATCH(A108&amp;"",tbl_Consulting[Job Number],0),MATCH(IFERROR(A108+0,A108),tbl_Consulting[Job Number],0)))),""))))</f>
        <v/>
      </c>
      <c r="K108" s="26">
        <f>IF(A108="","",IFERROR(IF(INDEX(tbl_Onsite[Job Description],IFERROR(MATCH(A108&amp;"",tbl_Onsite[Job Number],0),MATCH(IFERROR(A108+0,A108),tbl_Onsite[Job Number],0)))="","",INDEX(tbl_Onsite[Job Description],IFERROR(MATCH(A108&amp;"",tbl_Onsite[Job Number],0),MATCH(IFERROR(A108+0,A108),tbl_Onsite[Job Number],0)))),IFERROR(IF(INDEX(tbl_Production[Job Description],IFERROR(MATCH(A108&amp;"",tbl_Production[Job Number],0),MATCH(IFERROR(A108+0,A108),tbl_Production[Job Number],0)))="","",INDEX(tbl_Production[Job Description],IFERROR(MATCH(A108&amp;"",tbl_Production[Job Number],0),MATCH(IFERROR(A108+0,A108),tbl_Production[Job Number],0)))),IFERROR(IF(INDEX(tbl_Consulting[Job Description],IFERROR(MATCH(A108&amp;"",tbl_Consulting[Job Number],0),MATCH(IFERROR(A108+0,A108),tbl_Consulting[Job Number],0)))="","",INDEX(tbl_Consulting[Job Description],IFERROR(MATCH(A108&amp;"",tbl_Consulting[Job Number],0),MATCH(IFERROR(A108+0,A108),tbl_Consulting[Job Number],0)))),""))))</f>
        <v/>
      </c>
      <c r="L108" s="26">
        <f>IF(A108="","",IFERROR(IF(INDEX(tbl_Onsite[Invoice Type],IFERROR(MATCH(A108&amp;"",tbl_Onsite[Job Number],0),MATCH(IFERROR(A108+0,A108),tbl_Onsite[Job Number],0)))="","",INDEX(tbl_Onsite[Invoice Type],IFERROR(MATCH(A108&amp;"",tbl_Onsite[Job Number],0),MATCH(IFERROR(A108+0,A108),tbl_Onsite[Job Number],0)))),IFERROR(IF(INDEX(tbl_Production[Invoice Type],IFERROR(MATCH(A108&amp;"",tbl_Production[Job Number],0),MATCH(IFERROR(A108+0,A108),tbl_Production[Job Number],0)))="","",INDEX(tbl_Production[Invoice Type],IFERROR(MATCH(A108&amp;"",tbl_Production[Job Number],0),MATCH(IFERROR(A108+0,A108),tbl_Production[Job Number],0)))),IFERROR(IF(INDEX(tbl_Consulting[Invoice Type],IFERROR(MATCH(A108&amp;"",tbl_Consulting[Job Number],0),MATCH(IFERROR(A108+0,A108),tbl_Consulting[Job Number],0)))="","",INDEX(tbl_Consulting[Invoice Type],IFERROR(MATCH(A108&amp;"",tbl_Consulting[Job Number],0),MATCH(IFERROR(A108+0,A108),tbl_Consulting[Job Number],0)))),""))))</f>
        <v/>
      </c>
      <c r="M108" s="26">
        <f>IF(A108="","",IF(IFERROR(IF(INDEX(tbl_Onsite[Tax Code],IFERROR(MATCH(A108&amp;"",tbl_Onsite[Job Number],0),MATCH(IFERROR(A108+0,A108),tbl_Onsite[Job Number],0)))="","",INDEX(tbl_Onsite[Tax Code],IFERROR(MATCH(A108&amp;"",tbl_Onsite[Job Number],0),MATCH(IFERROR(A108+0,A108),tbl_Onsite[Job Number],0)))),IFERROR(IF(INDEX(tbl_Production[Tax Code],IFERROR(MATCH(A108&amp;"",tbl_Production[Job Number],0),MATCH(IFERROR(A108+0,A108),tbl_Production[Job Number],0)))="","",INDEX(tbl_Production[Tax Code],IFERROR(MATCH(A108&amp;"",tbl_Production[Job Number],0),MATCH(IFERROR(A108+0,A108),tbl_Production[Job Number],0)))),IFERROR(IF(INDEX(tbl_Consulting[Tax Code],IFERROR(MATCH(A108&amp;"",tbl_Consulting[Job Number],0),MATCH(IFERROR(A108+0,A108),tbl_Consulting[Job Number],0)))="","",INDEX(tbl_Consulting[Tax Code],IFERROR(MATCH(A108&amp;"",tbl_Consulting[Job Number],0),MATCH(IFERROR(A108+0,A108),tbl_Consulting[Job Number],0)))),"")))="","GST 10%",IFERROR(IF(INDEX(tbl_Onsite[Tax Code],IFERROR(MATCH(A108&amp;"",tbl_Onsite[Job Number],0),MATCH(IFERROR(A108+0,A108),tbl_Onsite[Job Number],0)))="","",INDEX(tbl_Onsite[Tax Code],IFERROR(MATCH(A108&amp;"",tbl_Onsite[Job Number],0),MATCH(IFERROR(A108+0,A108),tbl_Onsite[Job Number],0)))),IFERROR(IF(INDEX(tbl_Production[Tax Code],IFERROR(MATCH(A108&amp;"",tbl_Production[Job Number],0),MATCH(IFERROR(A108+0,A108),tbl_Production[Job Number],0)))="","",INDEX(tbl_Production[Tax Code],IFERROR(MATCH(A108&amp;"",tbl_Production[Job Number],0),MATCH(IFERROR(A108+0,A108),tbl_Production[Job Number],0)))),IFERROR(IF(INDEX(tbl_Consulting[Tax Code],IFERROR(MATCH(A108&amp;"",tbl_Consulting[Job Number],0),MATCH(IFERROR(A108+0,A108),tbl_Consulting[Job Number],0)))="","",INDEX(tbl_Consulting[Tax Code],IFERROR(MATCH(A108&amp;"",tbl_Consulting[Job Number],0),MATCH(IFERROR(A108+0,A108),tbl_Consulting[Job Number],0)))),"")))))</f>
        <v/>
      </c>
      <c r="N108" s="26">
        <f>IF(D108="","",IFERROR(INDEX(lst_CCtoGL,MATCH(D108,lst_CCforGL,0)),""))</f>
        <v/>
      </c>
      <c r="O108" s="27">
        <f>IF(E108="","",IF(M108="GST 10%",ROUND(E108*set_GSTRate,2),0))</f>
        <v/>
      </c>
      <c r="P108" s="27">
        <f>IF(E108="","",E108+O108)</f>
        <v/>
      </c>
      <c r="Q108" s="27">
        <f>IF(A108="","",IFERROR(INDEX(tbl_Onsite[Expected Revenue Ex GST],IFERROR(MATCH(A108&amp;"",tbl_Onsite[Job Number],0),MATCH(IFERROR(A108+0,A108),tbl_Onsite[Job Number],0))),IFERROR(INDEX(tbl_Production[Expected Revenue Ex GST],IFERROR(MATCH(A108&amp;"",tbl_Production[Job Number],0),MATCH(IFERROR(A108+0,A108),tbl_Production[Job Number],0))),IFERROR(INDEX(tbl_Consulting[Expected Revenue Ex GST],IFERROR(MATCH(A108&amp;"",tbl_Consulting[Job Number],0),MATCH(IFERROR(A108+0,A108),tbl_Consulting[Job Number],0))),0))))</f>
        <v/>
      </c>
      <c r="R108" s="27">
        <f>IF(A108="","",SUMIFS(tbl_Finance[Ex GST],tbl_Finance[Job Number],A108&amp;""))</f>
        <v/>
      </c>
      <c r="S108" s="27">
        <f>IF(A108="","",Q108-R108)</f>
        <v/>
      </c>
      <c r="T108" s="26">
        <f>IF(A108="","",IF(Q108=0,"No dept value",IF(ROUND(S108,2)=0,"Agrees",IF(S108&gt;0,"Dept higher - to invoice","Xero higher - check dept"))))</f>
        <v/>
      </c>
      <c r="U108" s="22" t="n"/>
      <c r="V108" s="22" t="n"/>
      <c r="W108" s="23" t="n"/>
      <c r="X108" s="23" t="n"/>
      <c r="Y108" s="22" t="n"/>
      <c r="Z108" s="22" t="n"/>
      <c r="AA108" s="26">
        <f>IF(COUNTA(C108,A108,B108,E108)=0,"",IF(C108="","No date - sits outside every month",IF(A108="","No job number",IF(H108="CHECK","Job number is not in the Xero job list",IF(G108="not set up yet","No department has set this job up - nothing can pull through",IF(D108="","No cost centre",IF(AND(U108="Y",B108=""),"Marked posted to Xero but has no invoice number",IF(N108="","Cost centre has no revenue GL on the Lists sheet",IF(T108="Xero higher - check dept","Invoiced more than the department says the job is worth","")))))))))</f>
        <v/>
      </c>
      <c r="AB108" s="28">
        <f>IF(A108="","",COUNTIFS(tbl_Finance[Job Number],A108&amp;"",tbl_Finance[Ex GST],"&lt;&gt;"))</f>
        <v/>
      </c>
      <c r="AC108" s="27">
        <f>IF(A108="","",SUMIFS(tbl_Finance[Ex GST],tbl_Finance[Job Number],A108&amp;""))</f>
        <v/>
      </c>
      <c r="AD108" s="27">
        <f>IF(A108="","",SUMIFS(tbl_Finance[Ex GST],tbl_Finance[Job Number],A108&amp;"",tbl_Finance[Xero Invoice No],"&lt;&gt;"))</f>
        <v/>
      </c>
      <c r="AE108" s="27">
        <f>IF(A108="","",AC108-AD108)</f>
        <v/>
      </c>
      <c r="AF108" s="26">
        <f>IF(A108="","",IFERROR(IF(INDEX(tbl_Onsite[Qwilr Quote],IFERROR(MATCH(A108&amp;"",tbl_Onsite[Job Number],0),MATCH(IFERROR(A108+0,A108),tbl_Onsite[Job Number],0)))="","",INDEX(tbl_Onsite[Qwilr Quote],IFERROR(MATCH(A108&amp;"",tbl_Onsite[Job Number],0),MATCH(IFERROR(A108+0,A108),tbl_Onsite[Job Number],0)))),IFERROR(IF(IF(INDEX(tbl_Production[Current RMS No],IFERROR(MATCH(A108&amp;"",tbl_Production[Job Number],0),MATCH(IFERROR(A108+0,A108),tbl_Production[Job Number],0)))="",INDEX(tbl_Production[Qwilr Quote],IFERROR(MATCH(A108&amp;"",tbl_Production[Job Number],0),MATCH(IFERROR(A108+0,A108),tbl_Production[Job Number],0))),INDEX(tbl_Production[Current RMS No],IFERROR(MATCH(A108&amp;"",tbl_Production[Job Number],0),MATCH(IFERROR(A108+0,A108),tbl_Production[Job Number],0))))="","",IF(INDEX(tbl_Production[Current RMS No],IFERROR(MATCH(A108&amp;"",tbl_Production[Job Number],0),MATCH(IFERROR(A108+0,A108),tbl_Production[Job Number],0)))="",INDEX(tbl_Production[Qwilr Quote],IFERROR(MATCH(A108&amp;"",tbl_Production[Job Number],0),MATCH(IFERROR(A108+0,A108),tbl_Production[Job Number],0))),INDEX(tbl_Production[Current RMS No],IFERROR(MATCH(A108&amp;"",tbl_Production[Job Number],0),MATCH(IFERROR(A108+0,A108),tbl_Production[Job Number],0))))),IFERROR(IF(INDEX(tbl_Consulting[Qwilr Quote],IFERROR(MATCH(A108&amp;"",tbl_Consulting[Job Number],0),MATCH(IFERROR(A108+0,A108),tbl_Consulting[Job Number],0)))="","",INDEX(tbl_Consulting[Qwilr Quote],IFERROR(MATCH(A108&amp;"",tbl_Consulting[Job Number],0),MATCH(IFERROR(A108+0,A108),tbl_Consulting[Job Number],0)))),""))))</f>
        <v/>
      </c>
      <c r="AG108" s="26">
        <f>IF(AF108="","",IF(AND(LEFT(AF108,4)&lt;&gt;"http",IF(G108="Production",set_RMSBase,set_QwilrBase)=""),"",HYPERLINK(IF(LEFT(AF108,4)="http",AF108,IF(G108="Production",set_RMSBase,set_QwilrBase)&amp;AF108),"Open")))</f>
        <v/>
      </c>
      <c r="AH108" s="27">
        <f>IF(A108="","",IFERROR(INDEX(tbl_Production[Total Expense],IFERROR(MATCH(A108&amp;"",tbl_Production[Job Number],0),MATCH(IFERROR(A108+0,A108),tbl_Production[Job Number],0))),IFERROR(INDEX(tbl_Consulting[Total Expense],IFERROR(MATCH(A108&amp;"",tbl_Consulting[Job Number],0),MATCH(IFERROR(A108+0,A108),tbl_Consulting[Job Number],0))),0)))</f>
        <v/>
      </c>
      <c r="AI108" s="27">
        <f>IF(A108="","",AC108-N(AH108))</f>
        <v/>
      </c>
      <c r="AJ108" s="29">
        <f>IFERROR(AI108/AC108,"")</f>
        <v/>
      </c>
      <c r="AK108" s="26">
        <f>IF(A108="","",IFERROR(IF(INDEX(tbl_Onsite[Notes],IFERROR(MATCH(A108&amp;"",tbl_Onsite[Job Number],0),MATCH(IFERROR(A108+0,A108),tbl_Onsite[Job Number],0)))="","",INDEX(tbl_Onsite[Notes],IFERROR(MATCH(A108&amp;"",tbl_Onsite[Job Number],0),MATCH(IFERROR(A108+0,A108),tbl_Onsite[Job Number],0)))),IFERROR(IF(INDEX(tbl_Production[Notes],IFERROR(MATCH(A108&amp;"",tbl_Production[Job Number],0),MATCH(IFERROR(A108+0,A108),tbl_Production[Job Number],0)))="","",INDEX(tbl_Production[Notes],IFERROR(MATCH(A108&amp;"",tbl_Production[Job Number],0),MATCH(IFERROR(A108+0,A108),tbl_Production[Job Number],0)))),IFERROR(IF(INDEX(tbl_Consulting[Notes],IFERROR(MATCH(A108&amp;"",tbl_Consulting[Job Number],0),MATCH(IFERROR(A108+0,A108),tbl_Consulting[Job Number],0)))="","",INDEX(tbl_Consulting[Notes],IFERROR(MATCH(A108&amp;"",tbl_Consulting[Job Number],0),MATCH(IFERROR(A108+0,A108),tbl_Consulting[Job Number],0)))),""))))</f>
        <v/>
      </c>
    </row>
    <row r="109" ht="15" customHeight="1">
      <c r="A109" s="22" t="n"/>
      <c r="B109" s="22" t="n"/>
      <c r="C109" s="23" t="n"/>
      <c r="D109" s="22" t="n"/>
      <c r="E109" s="24" t="n"/>
      <c r="F109" s="25">
        <f>IF(C109="","",EOMONTH(C109,0))</f>
        <v/>
      </c>
      <c r="G109" s="26">
        <f>IF(A109="","",IF(COUNTIF(tbl_Onsite[Job Number],A109&amp;"")&gt;0,"Onsite",IF(COUNTIF(tbl_Production[Job Number],A109&amp;"")&gt;0,"Production",IF(COUNTIF(tbl_Consulting[Job Number],A109&amp;"")&gt;0,"Consulting","not set up yet"))))</f>
        <v/>
      </c>
      <c r="H109" s="26">
        <f>IF(A109="","",IF(COUNTIF(lst_Jobs,A109&amp;"")&gt;0,"OK","CHECK"))</f>
        <v/>
      </c>
      <c r="I109" s="26">
        <f>IF(A109="","",IFERROR(INDEX(lst_JobName,MATCH(A109&amp;"",lst_Jobs,0)),""))</f>
        <v/>
      </c>
      <c r="J109" s="26">
        <f>IF(A109="","",IFERROR(IF(INDEX(tbl_Onsite[Client],IFERROR(MATCH(A109&amp;"",tbl_Onsite[Job Number],0),MATCH(IFERROR(A109+0,A109),tbl_Onsite[Job Number],0)))="","",INDEX(tbl_Onsite[Client],IFERROR(MATCH(A109&amp;"",tbl_Onsite[Job Number],0),MATCH(IFERROR(A109+0,A109),tbl_Onsite[Job Number],0)))),IFERROR(IF(INDEX(tbl_Production[Client],IFERROR(MATCH(A109&amp;"",tbl_Production[Job Number],0),MATCH(IFERROR(A109+0,A109),tbl_Production[Job Number],0)))="","",INDEX(tbl_Production[Client],IFERROR(MATCH(A109&amp;"",tbl_Production[Job Number],0),MATCH(IFERROR(A109+0,A109),tbl_Production[Job Number],0)))),IFERROR(IF(INDEX(tbl_Consulting[Client],IFERROR(MATCH(A109&amp;"",tbl_Consulting[Job Number],0),MATCH(IFERROR(A109+0,A109),tbl_Consulting[Job Number],0)))="","",INDEX(tbl_Consulting[Client],IFERROR(MATCH(A109&amp;"",tbl_Consulting[Job Number],0),MATCH(IFERROR(A109+0,A109),tbl_Consulting[Job Number],0)))),""))))</f>
        <v/>
      </c>
      <c r="K109" s="26">
        <f>IF(A109="","",IFERROR(IF(INDEX(tbl_Onsite[Job Description],IFERROR(MATCH(A109&amp;"",tbl_Onsite[Job Number],0),MATCH(IFERROR(A109+0,A109),tbl_Onsite[Job Number],0)))="","",INDEX(tbl_Onsite[Job Description],IFERROR(MATCH(A109&amp;"",tbl_Onsite[Job Number],0),MATCH(IFERROR(A109+0,A109),tbl_Onsite[Job Number],0)))),IFERROR(IF(INDEX(tbl_Production[Job Description],IFERROR(MATCH(A109&amp;"",tbl_Production[Job Number],0),MATCH(IFERROR(A109+0,A109),tbl_Production[Job Number],0)))="","",INDEX(tbl_Production[Job Description],IFERROR(MATCH(A109&amp;"",tbl_Production[Job Number],0),MATCH(IFERROR(A109+0,A109),tbl_Production[Job Number],0)))),IFERROR(IF(INDEX(tbl_Consulting[Job Description],IFERROR(MATCH(A109&amp;"",tbl_Consulting[Job Number],0),MATCH(IFERROR(A109+0,A109),tbl_Consulting[Job Number],0)))="","",INDEX(tbl_Consulting[Job Description],IFERROR(MATCH(A109&amp;"",tbl_Consulting[Job Number],0),MATCH(IFERROR(A109+0,A109),tbl_Consulting[Job Number],0)))),""))))</f>
        <v/>
      </c>
      <c r="L109" s="26">
        <f>IF(A109="","",IFERROR(IF(INDEX(tbl_Onsite[Invoice Type],IFERROR(MATCH(A109&amp;"",tbl_Onsite[Job Number],0),MATCH(IFERROR(A109+0,A109),tbl_Onsite[Job Number],0)))="","",INDEX(tbl_Onsite[Invoice Type],IFERROR(MATCH(A109&amp;"",tbl_Onsite[Job Number],0),MATCH(IFERROR(A109+0,A109),tbl_Onsite[Job Number],0)))),IFERROR(IF(INDEX(tbl_Production[Invoice Type],IFERROR(MATCH(A109&amp;"",tbl_Production[Job Number],0),MATCH(IFERROR(A109+0,A109),tbl_Production[Job Number],0)))="","",INDEX(tbl_Production[Invoice Type],IFERROR(MATCH(A109&amp;"",tbl_Production[Job Number],0),MATCH(IFERROR(A109+0,A109),tbl_Production[Job Number],0)))),IFERROR(IF(INDEX(tbl_Consulting[Invoice Type],IFERROR(MATCH(A109&amp;"",tbl_Consulting[Job Number],0),MATCH(IFERROR(A109+0,A109),tbl_Consulting[Job Number],0)))="","",INDEX(tbl_Consulting[Invoice Type],IFERROR(MATCH(A109&amp;"",tbl_Consulting[Job Number],0),MATCH(IFERROR(A109+0,A109),tbl_Consulting[Job Number],0)))),""))))</f>
        <v/>
      </c>
      <c r="M109" s="26">
        <f>IF(A109="","",IF(IFERROR(IF(INDEX(tbl_Onsite[Tax Code],IFERROR(MATCH(A109&amp;"",tbl_Onsite[Job Number],0),MATCH(IFERROR(A109+0,A109),tbl_Onsite[Job Number],0)))="","",INDEX(tbl_Onsite[Tax Code],IFERROR(MATCH(A109&amp;"",tbl_Onsite[Job Number],0),MATCH(IFERROR(A109+0,A109),tbl_Onsite[Job Number],0)))),IFERROR(IF(INDEX(tbl_Production[Tax Code],IFERROR(MATCH(A109&amp;"",tbl_Production[Job Number],0),MATCH(IFERROR(A109+0,A109),tbl_Production[Job Number],0)))="","",INDEX(tbl_Production[Tax Code],IFERROR(MATCH(A109&amp;"",tbl_Production[Job Number],0),MATCH(IFERROR(A109+0,A109),tbl_Production[Job Number],0)))),IFERROR(IF(INDEX(tbl_Consulting[Tax Code],IFERROR(MATCH(A109&amp;"",tbl_Consulting[Job Number],0),MATCH(IFERROR(A109+0,A109),tbl_Consulting[Job Number],0)))="","",INDEX(tbl_Consulting[Tax Code],IFERROR(MATCH(A109&amp;"",tbl_Consulting[Job Number],0),MATCH(IFERROR(A109+0,A109),tbl_Consulting[Job Number],0)))),"")))="","GST 10%",IFERROR(IF(INDEX(tbl_Onsite[Tax Code],IFERROR(MATCH(A109&amp;"",tbl_Onsite[Job Number],0),MATCH(IFERROR(A109+0,A109),tbl_Onsite[Job Number],0)))="","",INDEX(tbl_Onsite[Tax Code],IFERROR(MATCH(A109&amp;"",tbl_Onsite[Job Number],0),MATCH(IFERROR(A109+0,A109),tbl_Onsite[Job Number],0)))),IFERROR(IF(INDEX(tbl_Production[Tax Code],IFERROR(MATCH(A109&amp;"",tbl_Production[Job Number],0),MATCH(IFERROR(A109+0,A109),tbl_Production[Job Number],0)))="","",INDEX(tbl_Production[Tax Code],IFERROR(MATCH(A109&amp;"",tbl_Production[Job Number],0),MATCH(IFERROR(A109+0,A109),tbl_Production[Job Number],0)))),IFERROR(IF(INDEX(tbl_Consulting[Tax Code],IFERROR(MATCH(A109&amp;"",tbl_Consulting[Job Number],0),MATCH(IFERROR(A109+0,A109),tbl_Consulting[Job Number],0)))="","",INDEX(tbl_Consulting[Tax Code],IFERROR(MATCH(A109&amp;"",tbl_Consulting[Job Number],0),MATCH(IFERROR(A109+0,A109),tbl_Consulting[Job Number],0)))),"")))))</f>
        <v/>
      </c>
      <c r="N109" s="26">
        <f>IF(D109="","",IFERROR(INDEX(lst_CCtoGL,MATCH(D109,lst_CCforGL,0)),""))</f>
        <v/>
      </c>
      <c r="O109" s="27">
        <f>IF(E109="","",IF(M109="GST 10%",ROUND(E109*set_GSTRate,2),0))</f>
        <v/>
      </c>
      <c r="P109" s="27">
        <f>IF(E109="","",E109+O109)</f>
        <v/>
      </c>
      <c r="Q109" s="27">
        <f>IF(A109="","",IFERROR(INDEX(tbl_Onsite[Expected Revenue Ex GST],IFERROR(MATCH(A109&amp;"",tbl_Onsite[Job Number],0),MATCH(IFERROR(A109+0,A109),tbl_Onsite[Job Number],0))),IFERROR(INDEX(tbl_Production[Expected Revenue Ex GST],IFERROR(MATCH(A109&amp;"",tbl_Production[Job Number],0),MATCH(IFERROR(A109+0,A109),tbl_Production[Job Number],0))),IFERROR(INDEX(tbl_Consulting[Expected Revenue Ex GST],IFERROR(MATCH(A109&amp;"",tbl_Consulting[Job Number],0),MATCH(IFERROR(A109+0,A109),tbl_Consulting[Job Number],0))),0))))</f>
        <v/>
      </c>
      <c r="R109" s="27">
        <f>IF(A109="","",SUMIFS(tbl_Finance[Ex GST],tbl_Finance[Job Number],A109&amp;""))</f>
        <v/>
      </c>
      <c r="S109" s="27">
        <f>IF(A109="","",Q109-R109)</f>
        <v/>
      </c>
      <c r="T109" s="26">
        <f>IF(A109="","",IF(Q109=0,"No dept value",IF(ROUND(S109,2)=0,"Agrees",IF(S109&gt;0,"Dept higher - to invoice","Xero higher - check dept"))))</f>
        <v/>
      </c>
      <c r="U109" s="22" t="n"/>
      <c r="V109" s="22" t="n"/>
      <c r="W109" s="23" t="n"/>
      <c r="X109" s="23" t="n"/>
      <c r="Y109" s="22" t="n"/>
      <c r="Z109" s="22" t="n"/>
      <c r="AA109" s="26">
        <f>IF(COUNTA(C109,A109,B109,E109)=0,"",IF(C109="","No date - sits outside every month",IF(A109="","No job number",IF(H109="CHECK","Job number is not in the Xero job list",IF(G109="not set up yet","No department has set this job up - nothing can pull through",IF(D109="","No cost centre",IF(AND(U109="Y",B109=""),"Marked posted to Xero but has no invoice number",IF(N109="","Cost centre has no revenue GL on the Lists sheet",IF(T109="Xero higher - check dept","Invoiced more than the department says the job is worth","")))))))))</f>
        <v/>
      </c>
      <c r="AB109" s="28">
        <f>IF(A109="","",COUNTIFS(tbl_Finance[Job Number],A109&amp;"",tbl_Finance[Ex GST],"&lt;&gt;"))</f>
        <v/>
      </c>
      <c r="AC109" s="27">
        <f>IF(A109="","",SUMIFS(tbl_Finance[Ex GST],tbl_Finance[Job Number],A109&amp;""))</f>
        <v/>
      </c>
      <c r="AD109" s="27">
        <f>IF(A109="","",SUMIFS(tbl_Finance[Ex GST],tbl_Finance[Job Number],A109&amp;"",tbl_Finance[Xero Invoice No],"&lt;&gt;"))</f>
        <v/>
      </c>
      <c r="AE109" s="27">
        <f>IF(A109="","",AC109-AD109)</f>
        <v/>
      </c>
      <c r="AF109" s="26">
        <f>IF(A109="","",IFERROR(IF(INDEX(tbl_Onsite[Qwilr Quote],IFERROR(MATCH(A109&amp;"",tbl_Onsite[Job Number],0),MATCH(IFERROR(A109+0,A109),tbl_Onsite[Job Number],0)))="","",INDEX(tbl_Onsite[Qwilr Quote],IFERROR(MATCH(A109&amp;"",tbl_Onsite[Job Number],0),MATCH(IFERROR(A109+0,A109),tbl_Onsite[Job Number],0)))),IFERROR(IF(IF(INDEX(tbl_Production[Current RMS No],IFERROR(MATCH(A109&amp;"",tbl_Production[Job Number],0),MATCH(IFERROR(A109+0,A109),tbl_Production[Job Number],0)))="",INDEX(tbl_Production[Qwilr Quote],IFERROR(MATCH(A109&amp;"",tbl_Production[Job Number],0),MATCH(IFERROR(A109+0,A109),tbl_Production[Job Number],0))),INDEX(tbl_Production[Current RMS No],IFERROR(MATCH(A109&amp;"",tbl_Production[Job Number],0),MATCH(IFERROR(A109+0,A109),tbl_Production[Job Number],0))))="","",IF(INDEX(tbl_Production[Current RMS No],IFERROR(MATCH(A109&amp;"",tbl_Production[Job Number],0),MATCH(IFERROR(A109+0,A109),tbl_Production[Job Number],0)))="",INDEX(tbl_Production[Qwilr Quote],IFERROR(MATCH(A109&amp;"",tbl_Production[Job Number],0),MATCH(IFERROR(A109+0,A109),tbl_Production[Job Number],0))),INDEX(tbl_Production[Current RMS No],IFERROR(MATCH(A109&amp;"",tbl_Production[Job Number],0),MATCH(IFERROR(A109+0,A109),tbl_Production[Job Number],0))))),IFERROR(IF(INDEX(tbl_Consulting[Qwilr Quote],IFERROR(MATCH(A109&amp;"",tbl_Consulting[Job Number],0),MATCH(IFERROR(A109+0,A109),tbl_Consulting[Job Number],0)))="","",INDEX(tbl_Consulting[Qwilr Quote],IFERROR(MATCH(A109&amp;"",tbl_Consulting[Job Number],0),MATCH(IFERROR(A109+0,A109),tbl_Consulting[Job Number],0)))),""))))</f>
        <v/>
      </c>
      <c r="AG109" s="26">
        <f>IF(AF109="","",IF(AND(LEFT(AF109,4)&lt;&gt;"http",IF(G109="Production",set_RMSBase,set_QwilrBase)=""),"",HYPERLINK(IF(LEFT(AF109,4)="http",AF109,IF(G109="Production",set_RMSBase,set_QwilrBase)&amp;AF109),"Open")))</f>
        <v/>
      </c>
      <c r="AH109" s="27">
        <f>IF(A109="","",IFERROR(INDEX(tbl_Production[Total Expense],IFERROR(MATCH(A109&amp;"",tbl_Production[Job Number],0),MATCH(IFERROR(A109+0,A109),tbl_Production[Job Number],0))),IFERROR(INDEX(tbl_Consulting[Total Expense],IFERROR(MATCH(A109&amp;"",tbl_Consulting[Job Number],0),MATCH(IFERROR(A109+0,A109),tbl_Consulting[Job Number],0))),0)))</f>
        <v/>
      </c>
      <c r="AI109" s="27">
        <f>IF(A109="","",AC109-N(AH109))</f>
        <v/>
      </c>
      <c r="AJ109" s="29">
        <f>IFERROR(AI109/AC109,"")</f>
        <v/>
      </c>
      <c r="AK109" s="26">
        <f>IF(A109="","",IFERROR(IF(INDEX(tbl_Onsite[Notes],IFERROR(MATCH(A109&amp;"",tbl_Onsite[Job Number],0),MATCH(IFERROR(A109+0,A109),tbl_Onsite[Job Number],0)))="","",INDEX(tbl_Onsite[Notes],IFERROR(MATCH(A109&amp;"",tbl_Onsite[Job Number],0),MATCH(IFERROR(A109+0,A109),tbl_Onsite[Job Number],0)))),IFERROR(IF(INDEX(tbl_Production[Notes],IFERROR(MATCH(A109&amp;"",tbl_Production[Job Number],0),MATCH(IFERROR(A109+0,A109),tbl_Production[Job Number],0)))="","",INDEX(tbl_Production[Notes],IFERROR(MATCH(A109&amp;"",tbl_Production[Job Number],0),MATCH(IFERROR(A109+0,A109),tbl_Production[Job Number],0)))),IFERROR(IF(INDEX(tbl_Consulting[Notes],IFERROR(MATCH(A109&amp;"",tbl_Consulting[Job Number],0),MATCH(IFERROR(A109+0,A109),tbl_Consulting[Job Number],0)))="","",INDEX(tbl_Consulting[Notes],IFERROR(MATCH(A109&amp;"",tbl_Consulting[Job Number],0),MATCH(IFERROR(A109+0,A109),tbl_Consulting[Job Number],0)))),""))))</f>
        <v/>
      </c>
    </row>
    <row r="110" ht="15" customHeight="1">
      <c r="A110" s="22" t="n"/>
      <c r="B110" s="22" t="n"/>
      <c r="C110" s="23" t="n"/>
      <c r="D110" s="22" t="n"/>
      <c r="E110" s="24" t="n"/>
      <c r="F110" s="25">
        <f>IF(C110="","",EOMONTH(C110,0))</f>
        <v/>
      </c>
      <c r="G110" s="26">
        <f>IF(A110="","",IF(COUNTIF(tbl_Onsite[Job Number],A110&amp;"")&gt;0,"Onsite",IF(COUNTIF(tbl_Production[Job Number],A110&amp;"")&gt;0,"Production",IF(COUNTIF(tbl_Consulting[Job Number],A110&amp;"")&gt;0,"Consulting","not set up yet"))))</f>
        <v/>
      </c>
      <c r="H110" s="26">
        <f>IF(A110="","",IF(COUNTIF(lst_Jobs,A110&amp;"")&gt;0,"OK","CHECK"))</f>
        <v/>
      </c>
      <c r="I110" s="26">
        <f>IF(A110="","",IFERROR(INDEX(lst_JobName,MATCH(A110&amp;"",lst_Jobs,0)),""))</f>
        <v/>
      </c>
      <c r="J110" s="26">
        <f>IF(A110="","",IFERROR(IF(INDEX(tbl_Onsite[Client],IFERROR(MATCH(A110&amp;"",tbl_Onsite[Job Number],0),MATCH(IFERROR(A110+0,A110),tbl_Onsite[Job Number],0)))="","",INDEX(tbl_Onsite[Client],IFERROR(MATCH(A110&amp;"",tbl_Onsite[Job Number],0),MATCH(IFERROR(A110+0,A110),tbl_Onsite[Job Number],0)))),IFERROR(IF(INDEX(tbl_Production[Client],IFERROR(MATCH(A110&amp;"",tbl_Production[Job Number],0),MATCH(IFERROR(A110+0,A110),tbl_Production[Job Number],0)))="","",INDEX(tbl_Production[Client],IFERROR(MATCH(A110&amp;"",tbl_Production[Job Number],0),MATCH(IFERROR(A110+0,A110),tbl_Production[Job Number],0)))),IFERROR(IF(INDEX(tbl_Consulting[Client],IFERROR(MATCH(A110&amp;"",tbl_Consulting[Job Number],0),MATCH(IFERROR(A110+0,A110),tbl_Consulting[Job Number],0)))="","",INDEX(tbl_Consulting[Client],IFERROR(MATCH(A110&amp;"",tbl_Consulting[Job Number],0),MATCH(IFERROR(A110+0,A110),tbl_Consulting[Job Number],0)))),""))))</f>
        <v/>
      </c>
      <c r="K110" s="26">
        <f>IF(A110="","",IFERROR(IF(INDEX(tbl_Onsite[Job Description],IFERROR(MATCH(A110&amp;"",tbl_Onsite[Job Number],0),MATCH(IFERROR(A110+0,A110),tbl_Onsite[Job Number],0)))="","",INDEX(tbl_Onsite[Job Description],IFERROR(MATCH(A110&amp;"",tbl_Onsite[Job Number],0),MATCH(IFERROR(A110+0,A110),tbl_Onsite[Job Number],0)))),IFERROR(IF(INDEX(tbl_Production[Job Description],IFERROR(MATCH(A110&amp;"",tbl_Production[Job Number],0),MATCH(IFERROR(A110+0,A110),tbl_Production[Job Number],0)))="","",INDEX(tbl_Production[Job Description],IFERROR(MATCH(A110&amp;"",tbl_Production[Job Number],0),MATCH(IFERROR(A110+0,A110),tbl_Production[Job Number],0)))),IFERROR(IF(INDEX(tbl_Consulting[Job Description],IFERROR(MATCH(A110&amp;"",tbl_Consulting[Job Number],0),MATCH(IFERROR(A110+0,A110),tbl_Consulting[Job Number],0)))="","",INDEX(tbl_Consulting[Job Description],IFERROR(MATCH(A110&amp;"",tbl_Consulting[Job Number],0),MATCH(IFERROR(A110+0,A110),tbl_Consulting[Job Number],0)))),""))))</f>
        <v/>
      </c>
      <c r="L110" s="26">
        <f>IF(A110="","",IFERROR(IF(INDEX(tbl_Onsite[Invoice Type],IFERROR(MATCH(A110&amp;"",tbl_Onsite[Job Number],0),MATCH(IFERROR(A110+0,A110),tbl_Onsite[Job Number],0)))="","",INDEX(tbl_Onsite[Invoice Type],IFERROR(MATCH(A110&amp;"",tbl_Onsite[Job Number],0),MATCH(IFERROR(A110+0,A110),tbl_Onsite[Job Number],0)))),IFERROR(IF(INDEX(tbl_Production[Invoice Type],IFERROR(MATCH(A110&amp;"",tbl_Production[Job Number],0),MATCH(IFERROR(A110+0,A110),tbl_Production[Job Number],0)))="","",INDEX(tbl_Production[Invoice Type],IFERROR(MATCH(A110&amp;"",tbl_Production[Job Number],0),MATCH(IFERROR(A110+0,A110),tbl_Production[Job Number],0)))),IFERROR(IF(INDEX(tbl_Consulting[Invoice Type],IFERROR(MATCH(A110&amp;"",tbl_Consulting[Job Number],0),MATCH(IFERROR(A110+0,A110),tbl_Consulting[Job Number],0)))="","",INDEX(tbl_Consulting[Invoice Type],IFERROR(MATCH(A110&amp;"",tbl_Consulting[Job Number],0),MATCH(IFERROR(A110+0,A110),tbl_Consulting[Job Number],0)))),""))))</f>
        <v/>
      </c>
      <c r="M110" s="26">
        <f>IF(A110="","",IF(IFERROR(IF(INDEX(tbl_Onsite[Tax Code],IFERROR(MATCH(A110&amp;"",tbl_Onsite[Job Number],0),MATCH(IFERROR(A110+0,A110),tbl_Onsite[Job Number],0)))="","",INDEX(tbl_Onsite[Tax Code],IFERROR(MATCH(A110&amp;"",tbl_Onsite[Job Number],0),MATCH(IFERROR(A110+0,A110),tbl_Onsite[Job Number],0)))),IFERROR(IF(INDEX(tbl_Production[Tax Code],IFERROR(MATCH(A110&amp;"",tbl_Production[Job Number],0),MATCH(IFERROR(A110+0,A110),tbl_Production[Job Number],0)))="","",INDEX(tbl_Production[Tax Code],IFERROR(MATCH(A110&amp;"",tbl_Production[Job Number],0),MATCH(IFERROR(A110+0,A110),tbl_Production[Job Number],0)))),IFERROR(IF(INDEX(tbl_Consulting[Tax Code],IFERROR(MATCH(A110&amp;"",tbl_Consulting[Job Number],0),MATCH(IFERROR(A110+0,A110),tbl_Consulting[Job Number],0)))="","",INDEX(tbl_Consulting[Tax Code],IFERROR(MATCH(A110&amp;"",tbl_Consulting[Job Number],0),MATCH(IFERROR(A110+0,A110),tbl_Consulting[Job Number],0)))),"")))="","GST 10%",IFERROR(IF(INDEX(tbl_Onsite[Tax Code],IFERROR(MATCH(A110&amp;"",tbl_Onsite[Job Number],0),MATCH(IFERROR(A110+0,A110),tbl_Onsite[Job Number],0)))="","",INDEX(tbl_Onsite[Tax Code],IFERROR(MATCH(A110&amp;"",tbl_Onsite[Job Number],0),MATCH(IFERROR(A110+0,A110),tbl_Onsite[Job Number],0)))),IFERROR(IF(INDEX(tbl_Production[Tax Code],IFERROR(MATCH(A110&amp;"",tbl_Production[Job Number],0),MATCH(IFERROR(A110+0,A110),tbl_Production[Job Number],0)))="","",INDEX(tbl_Production[Tax Code],IFERROR(MATCH(A110&amp;"",tbl_Production[Job Number],0),MATCH(IFERROR(A110+0,A110),tbl_Production[Job Number],0)))),IFERROR(IF(INDEX(tbl_Consulting[Tax Code],IFERROR(MATCH(A110&amp;"",tbl_Consulting[Job Number],0),MATCH(IFERROR(A110+0,A110),tbl_Consulting[Job Number],0)))="","",INDEX(tbl_Consulting[Tax Code],IFERROR(MATCH(A110&amp;"",tbl_Consulting[Job Number],0),MATCH(IFERROR(A110+0,A110),tbl_Consulting[Job Number],0)))),"")))))</f>
        <v/>
      </c>
      <c r="N110" s="26">
        <f>IF(D110="","",IFERROR(INDEX(lst_CCtoGL,MATCH(D110,lst_CCforGL,0)),""))</f>
        <v/>
      </c>
      <c r="O110" s="27">
        <f>IF(E110="","",IF(M110="GST 10%",ROUND(E110*set_GSTRate,2),0))</f>
        <v/>
      </c>
      <c r="P110" s="27">
        <f>IF(E110="","",E110+O110)</f>
        <v/>
      </c>
      <c r="Q110" s="27">
        <f>IF(A110="","",IFERROR(INDEX(tbl_Onsite[Expected Revenue Ex GST],IFERROR(MATCH(A110&amp;"",tbl_Onsite[Job Number],0),MATCH(IFERROR(A110+0,A110),tbl_Onsite[Job Number],0))),IFERROR(INDEX(tbl_Production[Expected Revenue Ex GST],IFERROR(MATCH(A110&amp;"",tbl_Production[Job Number],0),MATCH(IFERROR(A110+0,A110),tbl_Production[Job Number],0))),IFERROR(INDEX(tbl_Consulting[Expected Revenue Ex GST],IFERROR(MATCH(A110&amp;"",tbl_Consulting[Job Number],0),MATCH(IFERROR(A110+0,A110),tbl_Consulting[Job Number],0))),0))))</f>
        <v/>
      </c>
      <c r="R110" s="27">
        <f>IF(A110="","",SUMIFS(tbl_Finance[Ex GST],tbl_Finance[Job Number],A110&amp;""))</f>
        <v/>
      </c>
      <c r="S110" s="27">
        <f>IF(A110="","",Q110-R110)</f>
        <v/>
      </c>
      <c r="T110" s="26">
        <f>IF(A110="","",IF(Q110=0,"No dept value",IF(ROUND(S110,2)=0,"Agrees",IF(S110&gt;0,"Dept higher - to invoice","Xero higher - check dept"))))</f>
        <v/>
      </c>
      <c r="U110" s="22" t="n"/>
      <c r="V110" s="22" t="n"/>
      <c r="W110" s="23" t="n"/>
      <c r="X110" s="23" t="n"/>
      <c r="Y110" s="22" t="n"/>
      <c r="Z110" s="22" t="n"/>
      <c r="AA110" s="26">
        <f>IF(COUNTA(C110,A110,B110,E110)=0,"",IF(C110="","No date - sits outside every month",IF(A110="","No job number",IF(H110="CHECK","Job number is not in the Xero job list",IF(G110="not set up yet","No department has set this job up - nothing can pull through",IF(D110="","No cost centre",IF(AND(U110="Y",B110=""),"Marked posted to Xero but has no invoice number",IF(N110="","Cost centre has no revenue GL on the Lists sheet",IF(T110="Xero higher - check dept","Invoiced more than the department says the job is worth","")))))))))</f>
        <v/>
      </c>
      <c r="AB110" s="28">
        <f>IF(A110="","",COUNTIFS(tbl_Finance[Job Number],A110&amp;"",tbl_Finance[Ex GST],"&lt;&gt;"))</f>
        <v/>
      </c>
      <c r="AC110" s="27">
        <f>IF(A110="","",SUMIFS(tbl_Finance[Ex GST],tbl_Finance[Job Number],A110&amp;""))</f>
        <v/>
      </c>
      <c r="AD110" s="27">
        <f>IF(A110="","",SUMIFS(tbl_Finance[Ex GST],tbl_Finance[Job Number],A110&amp;"",tbl_Finance[Xero Invoice No],"&lt;&gt;"))</f>
        <v/>
      </c>
      <c r="AE110" s="27">
        <f>IF(A110="","",AC110-AD110)</f>
        <v/>
      </c>
      <c r="AF110" s="26">
        <f>IF(A110="","",IFERROR(IF(INDEX(tbl_Onsite[Qwilr Quote],IFERROR(MATCH(A110&amp;"",tbl_Onsite[Job Number],0),MATCH(IFERROR(A110+0,A110),tbl_Onsite[Job Number],0)))="","",INDEX(tbl_Onsite[Qwilr Quote],IFERROR(MATCH(A110&amp;"",tbl_Onsite[Job Number],0),MATCH(IFERROR(A110+0,A110),tbl_Onsite[Job Number],0)))),IFERROR(IF(IF(INDEX(tbl_Production[Current RMS No],IFERROR(MATCH(A110&amp;"",tbl_Production[Job Number],0),MATCH(IFERROR(A110+0,A110),tbl_Production[Job Number],0)))="",INDEX(tbl_Production[Qwilr Quote],IFERROR(MATCH(A110&amp;"",tbl_Production[Job Number],0),MATCH(IFERROR(A110+0,A110),tbl_Production[Job Number],0))),INDEX(tbl_Production[Current RMS No],IFERROR(MATCH(A110&amp;"",tbl_Production[Job Number],0),MATCH(IFERROR(A110+0,A110),tbl_Production[Job Number],0))))="","",IF(INDEX(tbl_Production[Current RMS No],IFERROR(MATCH(A110&amp;"",tbl_Production[Job Number],0),MATCH(IFERROR(A110+0,A110),tbl_Production[Job Number],0)))="",INDEX(tbl_Production[Qwilr Quote],IFERROR(MATCH(A110&amp;"",tbl_Production[Job Number],0),MATCH(IFERROR(A110+0,A110),tbl_Production[Job Number],0))),INDEX(tbl_Production[Current RMS No],IFERROR(MATCH(A110&amp;"",tbl_Production[Job Number],0),MATCH(IFERROR(A110+0,A110),tbl_Production[Job Number],0))))),IFERROR(IF(INDEX(tbl_Consulting[Qwilr Quote],IFERROR(MATCH(A110&amp;"",tbl_Consulting[Job Number],0),MATCH(IFERROR(A110+0,A110),tbl_Consulting[Job Number],0)))="","",INDEX(tbl_Consulting[Qwilr Quote],IFERROR(MATCH(A110&amp;"",tbl_Consulting[Job Number],0),MATCH(IFERROR(A110+0,A110),tbl_Consulting[Job Number],0)))),""))))</f>
        <v/>
      </c>
      <c r="AG110" s="26">
        <f>IF(AF110="","",IF(AND(LEFT(AF110,4)&lt;&gt;"http",IF(G110="Production",set_RMSBase,set_QwilrBase)=""),"",HYPERLINK(IF(LEFT(AF110,4)="http",AF110,IF(G110="Production",set_RMSBase,set_QwilrBase)&amp;AF110),"Open")))</f>
        <v/>
      </c>
      <c r="AH110" s="27">
        <f>IF(A110="","",IFERROR(INDEX(tbl_Production[Total Expense],IFERROR(MATCH(A110&amp;"",tbl_Production[Job Number],0),MATCH(IFERROR(A110+0,A110),tbl_Production[Job Number],0))),IFERROR(INDEX(tbl_Consulting[Total Expense],IFERROR(MATCH(A110&amp;"",tbl_Consulting[Job Number],0),MATCH(IFERROR(A110+0,A110),tbl_Consulting[Job Number],0))),0)))</f>
        <v/>
      </c>
      <c r="AI110" s="27">
        <f>IF(A110="","",AC110-N(AH110))</f>
        <v/>
      </c>
      <c r="AJ110" s="29">
        <f>IFERROR(AI110/AC110,"")</f>
        <v/>
      </c>
      <c r="AK110" s="26">
        <f>IF(A110="","",IFERROR(IF(INDEX(tbl_Onsite[Notes],IFERROR(MATCH(A110&amp;"",tbl_Onsite[Job Number],0),MATCH(IFERROR(A110+0,A110),tbl_Onsite[Job Number],0)))="","",INDEX(tbl_Onsite[Notes],IFERROR(MATCH(A110&amp;"",tbl_Onsite[Job Number],0),MATCH(IFERROR(A110+0,A110),tbl_Onsite[Job Number],0)))),IFERROR(IF(INDEX(tbl_Production[Notes],IFERROR(MATCH(A110&amp;"",tbl_Production[Job Number],0),MATCH(IFERROR(A110+0,A110),tbl_Production[Job Number],0)))="","",INDEX(tbl_Production[Notes],IFERROR(MATCH(A110&amp;"",tbl_Production[Job Number],0),MATCH(IFERROR(A110+0,A110),tbl_Production[Job Number],0)))),IFERROR(IF(INDEX(tbl_Consulting[Notes],IFERROR(MATCH(A110&amp;"",tbl_Consulting[Job Number],0),MATCH(IFERROR(A110+0,A110),tbl_Consulting[Job Number],0)))="","",INDEX(tbl_Consulting[Notes],IFERROR(MATCH(A110&amp;"",tbl_Consulting[Job Number],0),MATCH(IFERROR(A110+0,A110),tbl_Consulting[Job Number],0)))),""))))</f>
        <v/>
      </c>
    </row>
    <row r="111" ht="15" customHeight="1">
      <c r="A111" s="22" t="n"/>
      <c r="B111" s="22" t="n"/>
      <c r="C111" s="23" t="n"/>
      <c r="D111" s="22" t="n"/>
      <c r="E111" s="24" t="n"/>
      <c r="F111" s="25">
        <f>IF(C111="","",EOMONTH(C111,0))</f>
        <v/>
      </c>
      <c r="G111" s="26">
        <f>IF(A111="","",IF(COUNTIF(tbl_Onsite[Job Number],A111&amp;"")&gt;0,"Onsite",IF(COUNTIF(tbl_Production[Job Number],A111&amp;"")&gt;0,"Production",IF(COUNTIF(tbl_Consulting[Job Number],A111&amp;"")&gt;0,"Consulting","not set up yet"))))</f>
        <v/>
      </c>
      <c r="H111" s="26">
        <f>IF(A111="","",IF(COUNTIF(lst_Jobs,A111&amp;"")&gt;0,"OK","CHECK"))</f>
        <v/>
      </c>
      <c r="I111" s="26">
        <f>IF(A111="","",IFERROR(INDEX(lst_JobName,MATCH(A111&amp;"",lst_Jobs,0)),""))</f>
        <v/>
      </c>
      <c r="J111" s="26">
        <f>IF(A111="","",IFERROR(IF(INDEX(tbl_Onsite[Client],IFERROR(MATCH(A111&amp;"",tbl_Onsite[Job Number],0),MATCH(IFERROR(A111+0,A111),tbl_Onsite[Job Number],0)))="","",INDEX(tbl_Onsite[Client],IFERROR(MATCH(A111&amp;"",tbl_Onsite[Job Number],0),MATCH(IFERROR(A111+0,A111),tbl_Onsite[Job Number],0)))),IFERROR(IF(INDEX(tbl_Production[Client],IFERROR(MATCH(A111&amp;"",tbl_Production[Job Number],0),MATCH(IFERROR(A111+0,A111),tbl_Production[Job Number],0)))="","",INDEX(tbl_Production[Client],IFERROR(MATCH(A111&amp;"",tbl_Production[Job Number],0),MATCH(IFERROR(A111+0,A111),tbl_Production[Job Number],0)))),IFERROR(IF(INDEX(tbl_Consulting[Client],IFERROR(MATCH(A111&amp;"",tbl_Consulting[Job Number],0),MATCH(IFERROR(A111+0,A111),tbl_Consulting[Job Number],0)))="","",INDEX(tbl_Consulting[Client],IFERROR(MATCH(A111&amp;"",tbl_Consulting[Job Number],0),MATCH(IFERROR(A111+0,A111),tbl_Consulting[Job Number],0)))),""))))</f>
        <v/>
      </c>
      <c r="K111" s="26">
        <f>IF(A111="","",IFERROR(IF(INDEX(tbl_Onsite[Job Description],IFERROR(MATCH(A111&amp;"",tbl_Onsite[Job Number],0),MATCH(IFERROR(A111+0,A111),tbl_Onsite[Job Number],0)))="","",INDEX(tbl_Onsite[Job Description],IFERROR(MATCH(A111&amp;"",tbl_Onsite[Job Number],0),MATCH(IFERROR(A111+0,A111),tbl_Onsite[Job Number],0)))),IFERROR(IF(INDEX(tbl_Production[Job Description],IFERROR(MATCH(A111&amp;"",tbl_Production[Job Number],0),MATCH(IFERROR(A111+0,A111),tbl_Production[Job Number],0)))="","",INDEX(tbl_Production[Job Description],IFERROR(MATCH(A111&amp;"",tbl_Production[Job Number],0),MATCH(IFERROR(A111+0,A111),tbl_Production[Job Number],0)))),IFERROR(IF(INDEX(tbl_Consulting[Job Description],IFERROR(MATCH(A111&amp;"",tbl_Consulting[Job Number],0),MATCH(IFERROR(A111+0,A111),tbl_Consulting[Job Number],0)))="","",INDEX(tbl_Consulting[Job Description],IFERROR(MATCH(A111&amp;"",tbl_Consulting[Job Number],0),MATCH(IFERROR(A111+0,A111),tbl_Consulting[Job Number],0)))),""))))</f>
        <v/>
      </c>
      <c r="L111" s="26">
        <f>IF(A111="","",IFERROR(IF(INDEX(tbl_Onsite[Invoice Type],IFERROR(MATCH(A111&amp;"",tbl_Onsite[Job Number],0),MATCH(IFERROR(A111+0,A111),tbl_Onsite[Job Number],0)))="","",INDEX(tbl_Onsite[Invoice Type],IFERROR(MATCH(A111&amp;"",tbl_Onsite[Job Number],0),MATCH(IFERROR(A111+0,A111),tbl_Onsite[Job Number],0)))),IFERROR(IF(INDEX(tbl_Production[Invoice Type],IFERROR(MATCH(A111&amp;"",tbl_Production[Job Number],0),MATCH(IFERROR(A111+0,A111),tbl_Production[Job Number],0)))="","",INDEX(tbl_Production[Invoice Type],IFERROR(MATCH(A111&amp;"",tbl_Production[Job Number],0),MATCH(IFERROR(A111+0,A111),tbl_Production[Job Number],0)))),IFERROR(IF(INDEX(tbl_Consulting[Invoice Type],IFERROR(MATCH(A111&amp;"",tbl_Consulting[Job Number],0),MATCH(IFERROR(A111+0,A111),tbl_Consulting[Job Number],0)))="","",INDEX(tbl_Consulting[Invoice Type],IFERROR(MATCH(A111&amp;"",tbl_Consulting[Job Number],0),MATCH(IFERROR(A111+0,A111),tbl_Consulting[Job Number],0)))),""))))</f>
        <v/>
      </c>
      <c r="M111" s="26">
        <f>IF(A111="","",IF(IFERROR(IF(INDEX(tbl_Onsite[Tax Code],IFERROR(MATCH(A111&amp;"",tbl_Onsite[Job Number],0),MATCH(IFERROR(A111+0,A111),tbl_Onsite[Job Number],0)))="","",INDEX(tbl_Onsite[Tax Code],IFERROR(MATCH(A111&amp;"",tbl_Onsite[Job Number],0),MATCH(IFERROR(A111+0,A111),tbl_Onsite[Job Number],0)))),IFERROR(IF(INDEX(tbl_Production[Tax Code],IFERROR(MATCH(A111&amp;"",tbl_Production[Job Number],0),MATCH(IFERROR(A111+0,A111),tbl_Production[Job Number],0)))="","",INDEX(tbl_Production[Tax Code],IFERROR(MATCH(A111&amp;"",tbl_Production[Job Number],0),MATCH(IFERROR(A111+0,A111),tbl_Production[Job Number],0)))),IFERROR(IF(INDEX(tbl_Consulting[Tax Code],IFERROR(MATCH(A111&amp;"",tbl_Consulting[Job Number],0),MATCH(IFERROR(A111+0,A111),tbl_Consulting[Job Number],0)))="","",INDEX(tbl_Consulting[Tax Code],IFERROR(MATCH(A111&amp;"",tbl_Consulting[Job Number],0),MATCH(IFERROR(A111+0,A111),tbl_Consulting[Job Number],0)))),"")))="","GST 10%",IFERROR(IF(INDEX(tbl_Onsite[Tax Code],IFERROR(MATCH(A111&amp;"",tbl_Onsite[Job Number],0),MATCH(IFERROR(A111+0,A111),tbl_Onsite[Job Number],0)))="","",INDEX(tbl_Onsite[Tax Code],IFERROR(MATCH(A111&amp;"",tbl_Onsite[Job Number],0),MATCH(IFERROR(A111+0,A111),tbl_Onsite[Job Number],0)))),IFERROR(IF(INDEX(tbl_Production[Tax Code],IFERROR(MATCH(A111&amp;"",tbl_Production[Job Number],0),MATCH(IFERROR(A111+0,A111),tbl_Production[Job Number],0)))="","",INDEX(tbl_Production[Tax Code],IFERROR(MATCH(A111&amp;"",tbl_Production[Job Number],0),MATCH(IFERROR(A111+0,A111),tbl_Production[Job Number],0)))),IFERROR(IF(INDEX(tbl_Consulting[Tax Code],IFERROR(MATCH(A111&amp;"",tbl_Consulting[Job Number],0),MATCH(IFERROR(A111+0,A111),tbl_Consulting[Job Number],0)))="","",INDEX(tbl_Consulting[Tax Code],IFERROR(MATCH(A111&amp;"",tbl_Consulting[Job Number],0),MATCH(IFERROR(A111+0,A111),tbl_Consulting[Job Number],0)))),"")))))</f>
        <v/>
      </c>
      <c r="N111" s="26">
        <f>IF(D111="","",IFERROR(INDEX(lst_CCtoGL,MATCH(D111,lst_CCforGL,0)),""))</f>
        <v/>
      </c>
      <c r="O111" s="27">
        <f>IF(E111="","",IF(M111="GST 10%",ROUND(E111*set_GSTRate,2),0))</f>
        <v/>
      </c>
      <c r="P111" s="27">
        <f>IF(E111="","",E111+O111)</f>
        <v/>
      </c>
      <c r="Q111" s="27">
        <f>IF(A111="","",IFERROR(INDEX(tbl_Onsite[Expected Revenue Ex GST],IFERROR(MATCH(A111&amp;"",tbl_Onsite[Job Number],0),MATCH(IFERROR(A111+0,A111),tbl_Onsite[Job Number],0))),IFERROR(INDEX(tbl_Production[Expected Revenue Ex GST],IFERROR(MATCH(A111&amp;"",tbl_Production[Job Number],0),MATCH(IFERROR(A111+0,A111),tbl_Production[Job Number],0))),IFERROR(INDEX(tbl_Consulting[Expected Revenue Ex GST],IFERROR(MATCH(A111&amp;"",tbl_Consulting[Job Number],0),MATCH(IFERROR(A111+0,A111),tbl_Consulting[Job Number],0))),0))))</f>
        <v/>
      </c>
      <c r="R111" s="27">
        <f>IF(A111="","",SUMIFS(tbl_Finance[Ex GST],tbl_Finance[Job Number],A111&amp;""))</f>
        <v/>
      </c>
      <c r="S111" s="27">
        <f>IF(A111="","",Q111-R111)</f>
        <v/>
      </c>
      <c r="T111" s="26">
        <f>IF(A111="","",IF(Q111=0,"No dept value",IF(ROUND(S111,2)=0,"Agrees",IF(S111&gt;0,"Dept higher - to invoice","Xero higher - check dept"))))</f>
        <v/>
      </c>
      <c r="U111" s="22" t="n"/>
      <c r="V111" s="22" t="n"/>
      <c r="W111" s="23" t="n"/>
      <c r="X111" s="23" t="n"/>
      <c r="Y111" s="22" t="n"/>
      <c r="Z111" s="22" t="n"/>
      <c r="AA111" s="26">
        <f>IF(COUNTA(C111,A111,B111,E111)=0,"",IF(C111="","No date - sits outside every month",IF(A111="","No job number",IF(H111="CHECK","Job number is not in the Xero job list",IF(G111="not set up yet","No department has set this job up - nothing can pull through",IF(D111="","No cost centre",IF(AND(U111="Y",B111=""),"Marked posted to Xero but has no invoice number",IF(N111="","Cost centre has no revenue GL on the Lists sheet",IF(T111="Xero higher - check dept","Invoiced more than the department says the job is worth","")))))))))</f>
        <v/>
      </c>
      <c r="AB111" s="28">
        <f>IF(A111="","",COUNTIFS(tbl_Finance[Job Number],A111&amp;"",tbl_Finance[Ex GST],"&lt;&gt;"))</f>
        <v/>
      </c>
      <c r="AC111" s="27">
        <f>IF(A111="","",SUMIFS(tbl_Finance[Ex GST],tbl_Finance[Job Number],A111&amp;""))</f>
        <v/>
      </c>
      <c r="AD111" s="27">
        <f>IF(A111="","",SUMIFS(tbl_Finance[Ex GST],tbl_Finance[Job Number],A111&amp;"",tbl_Finance[Xero Invoice No],"&lt;&gt;"))</f>
        <v/>
      </c>
      <c r="AE111" s="27">
        <f>IF(A111="","",AC111-AD111)</f>
        <v/>
      </c>
      <c r="AF111" s="26">
        <f>IF(A111="","",IFERROR(IF(INDEX(tbl_Onsite[Qwilr Quote],IFERROR(MATCH(A111&amp;"",tbl_Onsite[Job Number],0),MATCH(IFERROR(A111+0,A111),tbl_Onsite[Job Number],0)))="","",INDEX(tbl_Onsite[Qwilr Quote],IFERROR(MATCH(A111&amp;"",tbl_Onsite[Job Number],0),MATCH(IFERROR(A111+0,A111),tbl_Onsite[Job Number],0)))),IFERROR(IF(IF(INDEX(tbl_Production[Current RMS No],IFERROR(MATCH(A111&amp;"",tbl_Production[Job Number],0),MATCH(IFERROR(A111+0,A111),tbl_Production[Job Number],0)))="",INDEX(tbl_Production[Qwilr Quote],IFERROR(MATCH(A111&amp;"",tbl_Production[Job Number],0),MATCH(IFERROR(A111+0,A111),tbl_Production[Job Number],0))),INDEX(tbl_Production[Current RMS No],IFERROR(MATCH(A111&amp;"",tbl_Production[Job Number],0),MATCH(IFERROR(A111+0,A111),tbl_Production[Job Number],0))))="","",IF(INDEX(tbl_Production[Current RMS No],IFERROR(MATCH(A111&amp;"",tbl_Production[Job Number],0),MATCH(IFERROR(A111+0,A111),tbl_Production[Job Number],0)))="",INDEX(tbl_Production[Qwilr Quote],IFERROR(MATCH(A111&amp;"",tbl_Production[Job Number],0),MATCH(IFERROR(A111+0,A111),tbl_Production[Job Number],0))),INDEX(tbl_Production[Current RMS No],IFERROR(MATCH(A111&amp;"",tbl_Production[Job Number],0),MATCH(IFERROR(A111+0,A111),tbl_Production[Job Number],0))))),IFERROR(IF(INDEX(tbl_Consulting[Qwilr Quote],IFERROR(MATCH(A111&amp;"",tbl_Consulting[Job Number],0),MATCH(IFERROR(A111+0,A111),tbl_Consulting[Job Number],0)))="","",INDEX(tbl_Consulting[Qwilr Quote],IFERROR(MATCH(A111&amp;"",tbl_Consulting[Job Number],0),MATCH(IFERROR(A111+0,A111),tbl_Consulting[Job Number],0)))),""))))</f>
        <v/>
      </c>
      <c r="AG111" s="26">
        <f>IF(AF111="","",IF(AND(LEFT(AF111,4)&lt;&gt;"http",IF(G111="Production",set_RMSBase,set_QwilrBase)=""),"",HYPERLINK(IF(LEFT(AF111,4)="http",AF111,IF(G111="Production",set_RMSBase,set_QwilrBase)&amp;AF111),"Open")))</f>
        <v/>
      </c>
      <c r="AH111" s="27">
        <f>IF(A111="","",IFERROR(INDEX(tbl_Production[Total Expense],IFERROR(MATCH(A111&amp;"",tbl_Production[Job Number],0),MATCH(IFERROR(A111+0,A111),tbl_Production[Job Number],0))),IFERROR(INDEX(tbl_Consulting[Total Expense],IFERROR(MATCH(A111&amp;"",tbl_Consulting[Job Number],0),MATCH(IFERROR(A111+0,A111),tbl_Consulting[Job Number],0))),0)))</f>
        <v/>
      </c>
      <c r="AI111" s="27">
        <f>IF(A111="","",AC111-N(AH111))</f>
        <v/>
      </c>
      <c r="AJ111" s="29">
        <f>IFERROR(AI111/AC111,"")</f>
        <v/>
      </c>
      <c r="AK111" s="26">
        <f>IF(A111="","",IFERROR(IF(INDEX(tbl_Onsite[Notes],IFERROR(MATCH(A111&amp;"",tbl_Onsite[Job Number],0),MATCH(IFERROR(A111+0,A111),tbl_Onsite[Job Number],0)))="","",INDEX(tbl_Onsite[Notes],IFERROR(MATCH(A111&amp;"",tbl_Onsite[Job Number],0),MATCH(IFERROR(A111+0,A111),tbl_Onsite[Job Number],0)))),IFERROR(IF(INDEX(tbl_Production[Notes],IFERROR(MATCH(A111&amp;"",tbl_Production[Job Number],0),MATCH(IFERROR(A111+0,A111),tbl_Production[Job Number],0)))="","",INDEX(tbl_Production[Notes],IFERROR(MATCH(A111&amp;"",tbl_Production[Job Number],0),MATCH(IFERROR(A111+0,A111),tbl_Production[Job Number],0)))),IFERROR(IF(INDEX(tbl_Consulting[Notes],IFERROR(MATCH(A111&amp;"",tbl_Consulting[Job Number],0),MATCH(IFERROR(A111+0,A111),tbl_Consulting[Job Number],0)))="","",INDEX(tbl_Consulting[Notes],IFERROR(MATCH(A111&amp;"",tbl_Consulting[Job Number],0),MATCH(IFERROR(A111+0,A111),tbl_Consulting[Job Number],0)))),""))))</f>
        <v/>
      </c>
    </row>
    <row r="112" ht="15" customHeight="1">
      <c r="A112" s="22" t="n"/>
      <c r="B112" s="22" t="n"/>
      <c r="C112" s="23" t="n"/>
      <c r="D112" s="22" t="n"/>
      <c r="E112" s="24" t="n"/>
      <c r="F112" s="25">
        <f>IF(C112="","",EOMONTH(C112,0))</f>
        <v/>
      </c>
      <c r="G112" s="26">
        <f>IF(A112="","",IF(COUNTIF(tbl_Onsite[Job Number],A112&amp;"")&gt;0,"Onsite",IF(COUNTIF(tbl_Production[Job Number],A112&amp;"")&gt;0,"Production",IF(COUNTIF(tbl_Consulting[Job Number],A112&amp;"")&gt;0,"Consulting","not set up yet"))))</f>
        <v/>
      </c>
      <c r="H112" s="26">
        <f>IF(A112="","",IF(COUNTIF(lst_Jobs,A112&amp;"")&gt;0,"OK","CHECK"))</f>
        <v/>
      </c>
      <c r="I112" s="26">
        <f>IF(A112="","",IFERROR(INDEX(lst_JobName,MATCH(A112&amp;"",lst_Jobs,0)),""))</f>
        <v/>
      </c>
      <c r="J112" s="26">
        <f>IF(A112="","",IFERROR(IF(INDEX(tbl_Onsite[Client],IFERROR(MATCH(A112&amp;"",tbl_Onsite[Job Number],0),MATCH(IFERROR(A112+0,A112),tbl_Onsite[Job Number],0)))="","",INDEX(tbl_Onsite[Client],IFERROR(MATCH(A112&amp;"",tbl_Onsite[Job Number],0),MATCH(IFERROR(A112+0,A112),tbl_Onsite[Job Number],0)))),IFERROR(IF(INDEX(tbl_Production[Client],IFERROR(MATCH(A112&amp;"",tbl_Production[Job Number],0),MATCH(IFERROR(A112+0,A112),tbl_Production[Job Number],0)))="","",INDEX(tbl_Production[Client],IFERROR(MATCH(A112&amp;"",tbl_Production[Job Number],0),MATCH(IFERROR(A112+0,A112),tbl_Production[Job Number],0)))),IFERROR(IF(INDEX(tbl_Consulting[Client],IFERROR(MATCH(A112&amp;"",tbl_Consulting[Job Number],0),MATCH(IFERROR(A112+0,A112),tbl_Consulting[Job Number],0)))="","",INDEX(tbl_Consulting[Client],IFERROR(MATCH(A112&amp;"",tbl_Consulting[Job Number],0),MATCH(IFERROR(A112+0,A112),tbl_Consulting[Job Number],0)))),""))))</f>
        <v/>
      </c>
      <c r="K112" s="26">
        <f>IF(A112="","",IFERROR(IF(INDEX(tbl_Onsite[Job Description],IFERROR(MATCH(A112&amp;"",tbl_Onsite[Job Number],0),MATCH(IFERROR(A112+0,A112),tbl_Onsite[Job Number],0)))="","",INDEX(tbl_Onsite[Job Description],IFERROR(MATCH(A112&amp;"",tbl_Onsite[Job Number],0),MATCH(IFERROR(A112+0,A112),tbl_Onsite[Job Number],0)))),IFERROR(IF(INDEX(tbl_Production[Job Description],IFERROR(MATCH(A112&amp;"",tbl_Production[Job Number],0),MATCH(IFERROR(A112+0,A112),tbl_Production[Job Number],0)))="","",INDEX(tbl_Production[Job Description],IFERROR(MATCH(A112&amp;"",tbl_Production[Job Number],0),MATCH(IFERROR(A112+0,A112),tbl_Production[Job Number],0)))),IFERROR(IF(INDEX(tbl_Consulting[Job Description],IFERROR(MATCH(A112&amp;"",tbl_Consulting[Job Number],0),MATCH(IFERROR(A112+0,A112),tbl_Consulting[Job Number],0)))="","",INDEX(tbl_Consulting[Job Description],IFERROR(MATCH(A112&amp;"",tbl_Consulting[Job Number],0),MATCH(IFERROR(A112+0,A112),tbl_Consulting[Job Number],0)))),""))))</f>
        <v/>
      </c>
      <c r="L112" s="26">
        <f>IF(A112="","",IFERROR(IF(INDEX(tbl_Onsite[Invoice Type],IFERROR(MATCH(A112&amp;"",tbl_Onsite[Job Number],0),MATCH(IFERROR(A112+0,A112),tbl_Onsite[Job Number],0)))="","",INDEX(tbl_Onsite[Invoice Type],IFERROR(MATCH(A112&amp;"",tbl_Onsite[Job Number],0),MATCH(IFERROR(A112+0,A112),tbl_Onsite[Job Number],0)))),IFERROR(IF(INDEX(tbl_Production[Invoice Type],IFERROR(MATCH(A112&amp;"",tbl_Production[Job Number],0),MATCH(IFERROR(A112+0,A112),tbl_Production[Job Number],0)))="","",INDEX(tbl_Production[Invoice Type],IFERROR(MATCH(A112&amp;"",tbl_Production[Job Number],0),MATCH(IFERROR(A112+0,A112),tbl_Production[Job Number],0)))),IFERROR(IF(INDEX(tbl_Consulting[Invoice Type],IFERROR(MATCH(A112&amp;"",tbl_Consulting[Job Number],0),MATCH(IFERROR(A112+0,A112),tbl_Consulting[Job Number],0)))="","",INDEX(tbl_Consulting[Invoice Type],IFERROR(MATCH(A112&amp;"",tbl_Consulting[Job Number],0),MATCH(IFERROR(A112+0,A112),tbl_Consulting[Job Number],0)))),""))))</f>
        <v/>
      </c>
      <c r="M112" s="26">
        <f>IF(A112="","",IF(IFERROR(IF(INDEX(tbl_Onsite[Tax Code],IFERROR(MATCH(A112&amp;"",tbl_Onsite[Job Number],0),MATCH(IFERROR(A112+0,A112),tbl_Onsite[Job Number],0)))="","",INDEX(tbl_Onsite[Tax Code],IFERROR(MATCH(A112&amp;"",tbl_Onsite[Job Number],0),MATCH(IFERROR(A112+0,A112),tbl_Onsite[Job Number],0)))),IFERROR(IF(INDEX(tbl_Production[Tax Code],IFERROR(MATCH(A112&amp;"",tbl_Production[Job Number],0),MATCH(IFERROR(A112+0,A112),tbl_Production[Job Number],0)))="","",INDEX(tbl_Production[Tax Code],IFERROR(MATCH(A112&amp;"",tbl_Production[Job Number],0),MATCH(IFERROR(A112+0,A112),tbl_Production[Job Number],0)))),IFERROR(IF(INDEX(tbl_Consulting[Tax Code],IFERROR(MATCH(A112&amp;"",tbl_Consulting[Job Number],0),MATCH(IFERROR(A112+0,A112),tbl_Consulting[Job Number],0)))="","",INDEX(tbl_Consulting[Tax Code],IFERROR(MATCH(A112&amp;"",tbl_Consulting[Job Number],0),MATCH(IFERROR(A112+0,A112),tbl_Consulting[Job Number],0)))),"")))="","GST 10%",IFERROR(IF(INDEX(tbl_Onsite[Tax Code],IFERROR(MATCH(A112&amp;"",tbl_Onsite[Job Number],0),MATCH(IFERROR(A112+0,A112),tbl_Onsite[Job Number],0)))="","",INDEX(tbl_Onsite[Tax Code],IFERROR(MATCH(A112&amp;"",tbl_Onsite[Job Number],0),MATCH(IFERROR(A112+0,A112),tbl_Onsite[Job Number],0)))),IFERROR(IF(INDEX(tbl_Production[Tax Code],IFERROR(MATCH(A112&amp;"",tbl_Production[Job Number],0),MATCH(IFERROR(A112+0,A112),tbl_Production[Job Number],0)))="","",INDEX(tbl_Production[Tax Code],IFERROR(MATCH(A112&amp;"",tbl_Production[Job Number],0),MATCH(IFERROR(A112+0,A112),tbl_Production[Job Number],0)))),IFERROR(IF(INDEX(tbl_Consulting[Tax Code],IFERROR(MATCH(A112&amp;"",tbl_Consulting[Job Number],0),MATCH(IFERROR(A112+0,A112),tbl_Consulting[Job Number],0)))="","",INDEX(tbl_Consulting[Tax Code],IFERROR(MATCH(A112&amp;"",tbl_Consulting[Job Number],0),MATCH(IFERROR(A112+0,A112),tbl_Consulting[Job Number],0)))),"")))))</f>
        <v/>
      </c>
      <c r="N112" s="26">
        <f>IF(D112="","",IFERROR(INDEX(lst_CCtoGL,MATCH(D112,lst_CCforGL,0)),""))</f>
        <v/>
      </c>
      <c r="O112" s="27">
        <f>IF(E112="","",IF(M112="GST 10%",ROUND(E112*set_GSTRate,2),0))</f>
        <v/>
      </c>
      <c r="P112" s="27">
        <f>IF(E112="","",E112+O112)</f>
        <v/>
      </c>
      <c r="Q112" s="27">
        <f>IF(A112="","",IFERROR(INDEX(tbl_Onsite[Expected Revenue Ex GST],IFERROR(MATCH(A112&amp;"",tbl_Onsite[Job Number],0),MATCH(IFERROR(A112+0,A112),tbl_Onsite[Job Number],0))),IFERROR(INDEX(tbl_Production[Expected Revenue Ex GST],IFERROR(MATCH(A112&amp;"",tbl_Production[Job Number],0),MATCH(IFERROR(A112+0,A112),tbl_Production[Job Number],0))),IFERROR(INDEX(tbl_Consulting[Expected Revenue Ex GST],IFERROR(MATCH(A112&amp;"",tbl_Consulting[Job Number],0),MATCH(IFERROR(A112+0,A112),tbl_Consulting[Job Number],0))),0))))</f>
        <v/>
      </c>
      <c r="R112" s="27">
        <f>IF(A112="","",SUMIFS(tbl_Finance[Ex GST],tbl_Finance[Job Number],A112&amp;""))</f>
        <v/>
      </c>
      <c r="S112" s="27">
        <f>IF(A112="","",Q112-R112)</f>
        <v/>
      </c>
      <c r="T112" s="26">
        <f>IF(A112="","",IF(Q112=0,"No dept value",IF(ROUND(S112,2)=0,"Agrees",IF(S112&gt;0,"Dept higher - to invoice","Xero higher - check dept"))))</f>
        <v/>
      </c>
      <c r="U112" s="22" t="n"/>
      <c r="V112" s="22" t="n"/>
      <c r="W112" s="23" t="n"/>
      <c r="X112" s="23" t="n"/>
      <c r="Y112" s="22" t="n"/>
      <c r="Z112" s="22" t="n"/>
      <c r="AA112" s="26">
        <f>IF(COUNTA(C112,A112,B112,E112)=0,"",IF(C112="","No date - sits outside every month",IF(A112="","No job number",IF(H112="CHECK","Job number is not in the Xero job list",IF(G112="not set up yet","No department has set this job up - nothing can pull through",IF(D112="","No cost centre",IF(AND(U112="Y",B112=""),"Marked posted to Xero but has no invoice number",IF(N112="","Cost centre has no revenue GL on the Lists sheet",IF(T112="Xero higher - check dept","Invoiced more than the department says the job is worth","")))))))))</f>
        <v/>
      </c>
      <c r="AB112" s="28">
        <f>IF(A112="","",COUNTIFS(tbl_Finance[Job Number],A112&amp;"",tbl_Finance[Ex GST],"&lt;&gt;"))</f>
        <v/>
      </c>
      <c r="AC112" s="27">
        <f>IF(A112="","",SUMIFS(tbl_Finance[Ex GST],tbl_Finance[Job Number],A112&amp;""))</f>
        <v/>
      </c>
      <c r="AD112" s="27">
        <f>IF(A112="","",SUMIFS(tbl_Finance[Ex GST],tbl_Finance[Job Number],A112&amp;"",tbl_Finance[Xero Invoice No],"&lt;&gt;"))</f>
        <v/>
      </c>
      <c r="AE112" s="27">
        <f>IF(A112="","",AC112-AD112)</f>
        <v/>
      </c>
      <c r="AF112" s="26">
        <f>IF(A112="","",IFERROR(IF(INDEX(tbl_Onsite[Qwilr Quote],IFERROR(MATCH(A112&amp;"",tbl_Onsite[Job Number],0),MATCH(IFERROR(A112+0,A112),tbl_Onsite[Job Number],0)))="","",INDEX(tbl_Onsite[Qwilr Quote],IFERROR(MATCH(A112&amp;"",tbl_Onsite[Job Number],0),MATCH(IFERROR(A112+0,A112),tbl_Onsite[Job Number],0)))),IFERROR(IF(IF(INDEX(tbl_Production[Current RMS No],IFERROR(MATCH(A112&amp;"",tbl_Production[Job Number],0),MATCH(IFERROR(A112+0,A112),tbl_Production[Job Number],0)))="",INDEX(tbl_Production[Qwilr Quote],IFERROR(MATCH(A112&amp;"",tbl_Production[Job Number],0),MATCH(IFERROR(A112+0,A112),tbl_Production[Job Number],0))),INDEX(tbl_Production[Current RMS No],IFERROR(MATCH(A112&amp;"",tbl_Production[Job Number],0),MATCH(IFERROR(A112+0,A112),tbl_Production[Job Number],0))))="","",IF(INDEX(tbl_Production[Current RMS No],IFERROR(MATCH(A112&amp;"",tbl_Production[Job Number],0),MATCH(IFERROR(A112+0,A112),tbl_Production[Job Number],0)))="",INDEX(tbl_Production[Qwilr Quote],IFERROR(MATCH(A112&amp;"",tbl_Production[Job Number],0),MATCH(IFERROR(A112+0,A112),tbl_Production[Job Number],0))),INDEX(tbl_Production[Current RMS No],IFERROR(MATCH(A112&amp;"",tbl_Production[Job Number],0),MATCH(IFERROR(A112+0,A112),tbl_Production[Job Number],0))))),IFERROR(IF(INDEX(tbl_Consulting[Qwilr Quote],IFERROR(MATCH(A112&amp;"",tbl_Consulting[Job Number],0),MATCH(IFERROR(A112+0,A112),tbl_Consulting[Job Number],0)))="","",INDEX(tbl_Consulting[Qwilr Quote],IFERROR(MATCH(A112&amp;"",tbl_Consulting[Job Number],0),MATCH(IFERROR(A112+0,A112),tbl_Consulting[Job Number],0)))),""))))</f>
        <v/>
      </c>
      <c r="AG112" s="26">
        <f>IF(AF112="","",IF(AND(LEFT(AF112,4)&lt;&gt;"http",IF(G112="Production",set_RMSBase,set_QwilrBase)=""),"",HYPERLINK(IF(LEFT(AF112,4)="http",AF112,IF(G112="Production",set_RMSBase,set_QwilrBase)&amp;AF112),"Open")))</f>
        <v/>
      </c>
      <c r="AH112" s="27">
        <f>IF(A112="","",IFERROR(INDEX(tbl_Production[Total Expense],IFERROR(MATCH(A112&amp;"",tbl_Production[Job Number],0),MATCH(IFERROR(A112+0,A112),tbl_Production[Job Number],0))),IFERROR(INDEX(tbl_Consulting[Total Expense],IFERROR(MATCH(A112&amp;"",tbl_Consulting[Job Number],0),MATCH(IFERROR(A112+0,A112),tbl_Consulting[Job Number],0))),0)))</f>
        <v/>
      </c>
      <c r="AI112" s="27">
        <f>IF(A112="","",AC112-N(AH112))</f>
        <v/>
      </c>
      <c r="AJ112" s="29">
        <f>IFERROR(AI112/AC112,"")</f>
        <v/>
      </c>
      <c r="AK112" s="26">
        <f>IF(A112="","",IFERROR(IF(INDEX(tbl_Onsite[Notes],IFERROR(MATCH(A112&amp;"",tbl_Onsite[Job Number],0),MATCH(IFERROR(A112+0,A112),tbl_Onsite[Job Number],0)))="","",INDEX(tbl_Onsite[Notes],IFERROR(MATCH(A112&amp;"",tbl_Onsite[Job Number],0),MATCH(IFERROR(A112+0,A112),tbl_Onsite[Job Number],0)))),IFERROR(IF(INDEX(tbl_Production[Notes],IFERROR(MATCH(A112&amp;"",tbl_Production[Job Number],0),MATCH(IFERROR(A112+0,A112),tbl_Production[Job Number],0)))="","",INDEX(tbl_Production[Notes],IFERROR(MATCH(A112&amp;"",tbl_Production[Job Number],0),MATCH(IFERROR(A112+0,A112),tbl_Production[Job Number],0)))),IFERROR(IF(INDEX(tbl_Consulting[Notes],IFERROR(MATCH(A112&amp;"",tbl_Consulting[Job Number],0),MATCH(IFERROR(A112+0,A112),tbl_Consulting[Job Number],0)))="","",INDEX(tbl_Consulting[Notes],IFERROR(MATCH(A112&amp;"",tbl_Consulting[Job Number],0),MATCH(IFERROR(A112+0,A112),tbl_Consulting[Job Number],0)))),""))))</f>
        <v/>
      </c>
    </row>
    <row r="113" ht="15" customHeight="1">
      <c r="A113" s="22" t="n"/>
      <c r="B113" s="22" t="n"/>
      <c r="C113" s="23" t="n"/>
      <c r="D113" s="22" t="n"/>
      <c r="E113" s="24" t="n"/>
      <c r="F113" s="25">
        <f>IF(C113="","",EOMONTH(C113,0))</f>
        <v/>
      </c>
      <c r="G113" s="26">
        <f>IF(A113="","",IF(COUNTIF(tbl_Onsite[Job Number],A113&amp;"")&gt;0,"Onsite",IF(COUNTIF(tbl_Production[Job Number],A113&amp;"")&gt;0,"Production",IF(COUNTIF(tbl_Consulting[Job Number],A113&amp;"")&gt;0,"Consulting","not set up yet"))))</f>
        <v/>
      </c>
      <c r="H113" s="26">
        <f>IF(A113="","",IF(COUNTIF(lst_Jobs,A113&amp;"")&gt;0,"OK","CHECK"))</f>
        <v/>
      </c>
      <c r="I113" s="26">
        <f>IF(A113="","",IFERROR(INDEX(lst_JobName,MATCH(A113&amp;"",lst_Jobs,0)),""))</f>
        <v/>
      </c>
      <c r="J113" s="26">
        <f>IF(A113="","",IFERROR(IF(INDEX(tbl_Onsite[Client],IFERROR(MATCH(A113&amp;"",tbl_Onsite[Job Number],0),MATCH(IFERROR(A113+0,A113),tbl_Onsite[Job Number],0)))="","",INDEX(tbl_Onsite[Client],IFERROR(MATCH(A113&amp;"",tbl_Onsite[Job Number],0),MATCH(IFERROR(A113+0,A113),tbl_Onsite[Job Number],0)))),IFERROR(IF(INDEX(tbl_Production[Client],IFERROR(MATCH(A113&amp;"",tbl_Production[Job Number],0),MATCH(IFERROR(A113+0,A113),tbl_Production[Job Number],0)))="","",INDEX(tbl_Production[Client],IFERROR(MATCH(A113&amp;"",tbl_Production[Job Number],0),MATCH(IFERROR(A113+0,A113),tbl_Production[Job Number],0)))),IFERROR(IF(INDEX(tbl_Consulting[Client],IFERROR(MATCH(A113&amp;"",tbl_Consulting[Job Number],0),MATCH(IFERROR(A113+0,A113),tbl_Consulting[Job Number],0)))="","",INDEX(tbl_Consulting[Client],IFERROR(MATCH(A113&amp;"",tbl_Consulting[Job Number],0),MATCH(IFERROR(A113+0,A113),tbl_Consulting[Job Number],0)))),""))))</f>
        <v/>
      </c>
      <c r="K113" s="26">
        <f>IF(A113="","",IFERROR(IF(INDEX(tbl_Onsite[Job Description],IFERROR(MATCH(A113&amp;"",tbl_Onsite[Job Number],0),MATCH(IFERROR(A113+0,A113),tbl_Onsite[Job Number],0)))="","",INDEX(tbl_Onsite[Job Description],IFERROR(MATCH(A113&amp;"",tbl_Onsite[Job Number],0),MATCH(IFERROR(A113+0,A113),tbl_Onsite[Job Number],0)))),IFERROR(IF(INDEX(tbl_Production[Job Description],IFERROR(MATCH(A113&amp;"",tbl_Production[Job Number],0),MATCH(IFERROR(A113+0,A113),tbl_Production[Job Number],0)))="","",INDEX(tbl_Production[Job Description],IFERROR(MATCH(A113&amp;"",tbl_Production[Job Number],0),MATCH(IFERROR(A113+0,A113),tbl_Production[Job Number],0)))),IFERROR(IF(INDEX(tbl_Consulting[Job Description],IFERROR(MATCH(A113&amp;"",tbl_Consulting[Job Number],0),MATCH(IFERROR(A113+0,A113),tbl_Consulting[Job Number],0)))="","",INDEX(tbl_Consulting[Job Description],IFERROR(MATCH(A113&amp;"",tbl_Consulting[Job Number],0),MATCH(IFERROR(A113+0,A113),tbl_Consulting[Job Number],0)))),""))))</f>
        <v/>
      </c>
      <c r="L113" s="26">
        <f>IF(A113="","",IFERROR(IF(INDEX(tbl_Onsite[Invoice Type],IFERROR(MATCH(A113&amp;"",tbl_Onsite[Job Number],0),MATCH(IFERROR(A113+0,A113),tbl_Onsite[Job Number],0)))="","",INDEX(tbl_Onsite[Invoice Type],IFERROR(MATCH(A113&amp;"",tbl_Onsite[Job Number],0),MATCH(IFERROR(A113+0,A113),tbl_Onsite[Job Number],0)))),IFERROR(IF(INDEX(tbl_Production[Invoice Type],IFERROR(MATCH(A113&amp;"",tbl_Production[Job Number],0),MATCH(IFERROR(A113+0,A113),tbl_Production[Job Number],0)))="","",INDEX(tbl_Production[Invoice Type],IFERROR(MATCH(A113&amp;"",tbl_Production[Job Number],0),MATCH(IFERROR(A113+0,A113),tbl_Production[Job Number],0)))),IFERROR(IF(INDEX(tbl_Consulting[Invoice Type],IFERROR(MATCH(A113&amp;"",tbl_Consulting[Job Number],0),MATCH(IFERROR(A113+0,A113),tbl_Consulting[Job Number],0)))="","",INDEX(tbl_Consulting[Invoice Type],IFERROR(MATCH(A113&amp;"",tbl_Consulting[Job Number],0),MATCH(IFERROR(A113+0,A113),tbl_Consulting[Job Number],0)))),""))))</f>
        <v/>
      </c>
      <c r="M113" s="26">
        <f>IF(A113="","",IF(IFERROR(IF(INDEX(tbl_Onsite[Tax Code],IFERROR(MATCH(A113&amp;"",tbl_Onsite[Job Number],0),MATCH(IFERROR(A113+0,A113),tbl_Onsite[Job Number],0)))="","",INDEX(tbl_Onsite[Tax Code],IFERROR(MATCH(A113&amp;"",tbl_Onsite[Job Number],0),MATCH(IFERROR(A113+0,A113),tbl_Onsite[Job Number],0)))),IFERROR(IF(INDEX(tbl_Production[Tax Code],IFERROR(MATCH(A113&amp;"",tbl_Production[Job Number],0),MATCH(IFERROR(A113+0,A113),tbl_Production[Job Number],0)))="","",INDEX(tbl_Production[Tax Code],IFERROR(MATCH(A113&amp;"",tbl_Production[Job Number],0),MATCH(IFERROR(A113+0,A113),tbl_Production[Job Number],0)))),IFERROR(IF(INDEX(tbl_Consulting[Tax Code],IFERROR(MATCH(A113&amp;"",tbl_Consulting[Job Number],0),MATCH(IFERROR(A113+0,A113),tbl_Consulting[Job Number],0)))="","",INDEX(tbl_Consulting[Tax Code],IFERROR(MATCH(A113&amp;"",tbl_Consulting[Job Number],0),MATCH(IFERROR(A113+0,A113),tbl_Consulting[Job Number],0)))),"")))="","GST 10%",IFERROR(IF(INDEX(tbl_Onsite[Tax Code],IFERROR(MATCH(A113&amp;"",tbl_Onsite[Job Number],0),MATCH(IFERROR(A113+0,A113),tbl_Onsite[Job Number],0)))="","",INDEX(tbl_Onsite[Tax Code],IFERROR(MATCH(A113&amp;"",tbl_Onsite[Job Number],0),MATCH(IFERROR(A113+0,A113),tbl_Onsite[Job Number],0)))),IFERROR(IF(INDEX(tbl_Production[Tax Code],IFERROR(MATCH(A113&amp;"",tbl_Production[Job Number],0),MATCH(IFERROR(A113+0,A113),tbl_Production[Job Number],0)))="","",INDEX(tbl_Production[Tax Code],IFERROR(MATCH(A113&amp;"",tbl_Production[Job Number],0),MATCH(IFERROR(A113+0,A113),tbl_Production[Job Number],0)))),IFERROR(IF(INDEX(tbl_Consulting[Tax Code],IFERROR(MATCH(A113&amp;"",tbl_Consulting[Job Number],0),MATCH(IFERROR(A113+0,A113),tbl_Consulting[Job Number],0)))="","",INDEX(tbl_Consulting[Tax Code],IFERROR(MATCH(A113&amp;"",tbl_Consulting[Job Number],0),MATCH(IFERROR(A113+0,A113),tbl_Consulting[Job Number],0)))),"")))))</f>
        <v/>
      </c>
      <c r="N113" s="26">
        <f>IF(D113="","",IFERROR(INDEX(lst_CCtoGL,MATCH(D113,lst_CCforGL,0)),""))</f>
        <v/>
      </c>
      <c r="O113" s="27">
        <f>IF(E113="","",IF(M113="GST 10%",ROUND(E113*set_GSTRate,2),0))</f>
        <v/>
      </c>
      <c r="P113" s="27">
        <f>IF(E113="","",E113+O113)</f>
        <v/>
      </c>
      <c r="Q113" s="27">
        <f>IF(A113="","",IFERROR(INDEX(tbl_Onsite[Expected Revenue Ex GST],IFERROR(MATCH(A113&amp;"",tbl_Onsite[Job Number],0),MATCH(IFERROR(A113+0,A113),tbl_Onsite[Job Number],0))),IFERROR(INDEX(tbl_Production[Expected Revenue Ex GST],IFERROR(MATCH(A113&amp;"",tbl_Production[Job Number],0),MATCH(IFERROR(A113+0,A113),tbl_Production[Job Number],0))),IFERROR(INDEX(tbl_Consulting[Expected Revenue Ex GST],IFERROR(MATCH(A113&amp;"",tbl_Consulting[Job Number],0),MATCH(IFERROR(A113+0,A113),tbl_Consulting[Job Number],0))),0))))</f>
        <v/>
      </c>
      <c r="R113" s="27">
        <f>IF(A113="","",SUMIFS(tbl_Finance[Ex GST],tbl_Finance[Job Number],A113&amp;""))</f>
        <v/>
      </c>
      <c r="S113" s="27">
        <f>IF(A113="","",Q113-R113)</f>
        <v/>
      </c>
      <c r="T113" s="26">
        <f>IF(A113="","",IF(Q113=0,"No dept value",IF(ROUND(S113,2)=0,"Agrees",IF(S113&gt;0,"Dept higher - to invoice","Xero higher - check dept"))))</f>
        <v/>
      </c>
      <c r="U113" s="22" t="n"/>
      <c r="V113" s="22" t="n"/>
      <c r="W113" s="23" t="n"/>
      <c r="X113" s="23" t="n"/>
      <c r="Y113" s="22" t="n"/>
      <c r="Z113" s="22" t="n"/>
      <c r="AA113" s="26">
        <f>IF(COUNTA(C113,A113,B113,E113)=0,"",IF(C113="","No date - sits outside every month",IF(A113="","No job number",IF(H113="CHECK","Job number is not in the Xero job list",IF(G113="not set up yet","No department has set this job up - nothing can pull through",IF(D113="","No cost centre",IF(AND(U113="Y",B113=""),"Marked posted to Xero but has no invoice number",IF(N113="","Cost centre has no revenue GL on the Lists sheet",IF(T113="Xero higher - check dept","Invoiced more than the department says the job is worth","")))))))))</f>
        <v/>
      </c>
      <c r="AB113" s="28">
        <f>IF(A113="","",COUNTIFS(tbl_Finance[Job Number],A113&amp;"",tbl_Finance[Ex GST],"&lt;&gt;"))</f>
        <v/>
      </c>
      <c r="AC113" s="27">
        <f>IF(A113="","",SUMIFS(tbl_Finance[Ex GST],tbl_Finance[Job Number],A113&amp;""))</f>
        <v/>
      </c>
      <c r="AD113" s="27">
        <f>IF(A113="","",SUMIFS(tbl_Finance[Ex GST],tbl_Finance[Job Number],A113&amp;"",tbl_Finance[Xero Invoice No],"&lt;&gt;"))</f>
        <v/>
      </c>
      <c r="AE113" s="27">
        <f>IF(A113="","",AC113-AD113)</f>
        <v/>
      </c>
      <c r="AF113" s="26">
        <f>IF(A113="","",IFERROR(IF(INDEX(tbl_Onsite[Qwilr Quote],IFERROR(MATCH(A113&amp;"",tbl_Onsite[Job Number],0),MATCH(IFERROR(A113+0,A113),tbl_Onsite[Job Number],0)))="","",INDEX(tbl_Onsite[Qwilr Quote],IFERROR(MATCH(A113&amp;"",tbl_Onsite[Job Number],0),MATCH(IFERROR(A113+0,A113),tbl_Onsite[Job Number],0)))),IFERROR(IF(IF(INDEX(tbl_Production[Current RMS No],IFERROR(MATCH(A113&amp;"",tbl_Production[Job Number],0),MATCH(IFERROR(A113+0,A113),tbl_Production[Job Number],0)))="",INDEX(tbl_Production[Qwilr Quote],IFERROR(MATCH(A113&amp;"",tbl_Production[Job Number],0),MATCH(IFERROR(A113+0,A113),tbl_Production[Job Number],0))),INDEX(tbl_Production[Current RMS No],IFERROR(MATCH(A113&amp;"",tbl_Production[Job Number],0),MATCH(IFERROR(A113+0,A113),tbl_Production[Job Number],0))))="","",IF(INDEX(tbl_Production[Current RMS No],IFERROR(MATCH(A113&amp;"",tbl_Production[Job Number],0),MATCH(IFERROR(A113+0,A113),tbl_Production[Job Number],0)))="",INDEX(tbl_Production[Qwilr Quote],IFERROR(MATCH(A113&amp;"",tbl_Production[Job Number],0),MATCH(IFERROR(A113+0,A113),tbl_Production[Job Number],0))),INDEX(tbl_Production[Current RMS No],IFERROR(MATCH(A113&amp;"",tbl_Production[Job Number],0),MATCH(IFERROR(A113+0,A113),tbl_Production[Job Number],0))))),IFERROR(IF(INDEX(tbl_Consulting[Qwilr Quote],IFERROR(MATCH(A113&amp;"",tbl_Consulting[Job Number],0),MATCH(IFERROR(A113+0,A113),tbl_Consulting[Job Number],0)))="","",INDEX(tbl_Consulting[Qwilr Quote],IFERROR(MATCH(A113&amp;"",tbl_Consulting[Job Number],0),MATCH(IFERROR(A113+0,A113),tbl_Consulting[Job Number],0)))),""))))</f>
        <v/>
      </c>
      <c r="AG113" s="26">
        <f>IF(AF113="","",IF(AND(LEFT(AF113,4)&lt;&gt;"http",IF(G113="Production",set_RMSBase,set_QwilrBase)=""),"",HYPERLINK(IF(LEFT(AF113,4)="http",AF113,IF(G113="Production",set_RMSBase,set_QwilrBase)&amp;AF113),"Open")))</f>
        <v/>
      </c>
      <c r="AH113" s="27">
        <f>IF(A113="","",IFERROR(INDEX(tbl_Production[Total Expense],IFERROR(MATCH(A113&amp;"",tbl_Production[Job Number],0),MATCH(IFERROR(A113+0,A113),tbl_Production[Job Number],0))),IFERROR(INDEX(tbl_Consulting[Total Expense],IFERROR(MATCH(A113&amp;"",tbl_Consulting[Job Number],0),MATCH(IFERROR(A113+0,A113),tbl_Consulting[Job Number],0))),0)))</f>
        <v/>
      </c>
      <c r="AI113" s="27">
        <f>IF(A113="","",AC113-N(AH113))</f>
        <v/>
      </c>
      <c r="AJ113" s="29">
        <f>IFERROR(AI113/AC113,"")</f>
        <v/>
      </c>
      <c r="AK113" s="26">
        <f>IF(A113="","",IFERROR(IF(INDEX(tbl_Onsite[Notes],IFERROR(MATCH(A113&amp;"",tbl_Onsite[Job Number],0),MATCH(IFERROR(A113+0,A113),tbl_Onsite[Job Number],0)))="","",INDEX(tbl_Onsite[Notes],IFERROR(MATCH(A113&amp;"",tbl_Onsite[Job Number],0),MATCH(IFERROR(A113+0,A113),tbl_Onsite[Job Number],0)))),IFERROR(IF(INDEX(tbl_Production[Notes],IFERROR(MATCH(A113&amp;"",tbl_Production[Job Number],0),MATCH(IFERROR(A113+0,A113),tbl_Production[Job Number],0)))="","",INDEX(tbl_Production[Notes],IFERROR(MATCH(A113&amp;"",tbl_Production[Job Number],0),MATCH(IFERROR(A113+0,A113),tbl_Production[Job Number],0)))),IFERROR(IF(INDEX(tbl_Consulting[Notes],IFERROR(MATCH(A113&amp;"",tbl_Consulting[Job Number],0),MATCH(IFERROR(A113+0,A113),tbl_Consulting[Job Number],0)))="","",INDEX(tbl_Consulting[Notes],IFERROR(MATCH(A113&amp;"",tbl_Consulting[Job Number],0),MATCH(IFERROR(A113+0,A113),tbl_Consulting[Job Number],0)))),""))))</f>
        <v/>
      </c>
    </row>
    <row r="114" ht="15" customHeight="1">
      <c r="A114" s="22" t="n"/>
      <c r="B114" s="22" t="n"/>
      <c r="C114" s="23" t="n"/>
      <c r="D114" s="22" t="n"/>
      <c r="E114" s="24" t="n"/>
      <c r="F114" s="25">
        <f>IF(C114="","",EOMONTH(C114,0))</f>
        <v/>
      </c>
      <c r="G114" s="26">
        <f>IF(A114="","",IF(COUNTIF(tbl_Onsite[Job Number],A114&amp;"")&gt;0,"Onsite",IF(COUNTIF(tbl_Production[Job Number],A114&amp;"")&gt;0,"Production",IF(COUNTIF(tbl_Consulting[Job Number],A114&amp;"")&gt;0,"Consulting","not set up yet"))))</f>
        <v/>
      </c>
      <c r="H114" s="26">
        <f>IF(A114="","",IF(COUNTIF(lst_Jobs,A114&amp;"")&gt;0,"OK","CHECK"))</f>
        <v/>
      </c>
      <c r="I114" s="26">
        <f>IF(A114="","",IFERROR(INDEX(lst_JobName,MATCH(A114&amp;"",lst_Jobs,0)),""))</f>
        <v/>
      </c>
      <c r="J114" s="26">
        <f>IF(A114="","",IFERROR(IF(INDEX(tbl_Onsite[Client],IFERROR(MATCH(A114&amp;"",tbl_Onsite[Job Number],0),MATCH(IFERROR(A114+0,A114),tbl_Onsite[Job Number],0)))="","",INDEX(tbl_Onsite[Client],IFERROR(MATCH(A114&amp;"",tbl_Onsite[Job Number],0),MATCH(IFERROR(A114+0,A114),tbl_Onsite[Job Number],0)))),IFERROR(IF(INDEX(tbl_Production[Client],IFERROR(MATCH(A114&amp;"",tbl_Production[Job Number],0),MATCH(IFERROR(A114+0,A114),tbl_Production[Job Number],0)))="","",INDEX(tbl_Production[Client],IFERROR(MATCH(A114&amp;"",tbl_Production[Job Number],0),MATCH(IFERROR(A114+0,A114),tbl_Production[Job Number],0)))),IFERROR(IF(INDEX(tbl_Consulting[Client],IFERROR(MATCH(A114&amp;"",tbl_Consulting[Job Number],0),MATCH(IFERROR(A114+0,A114),tbl_Consulting[Job Number],0)))="","",INDEX(tbl_Consulting[Client],IFERROR(MATCH(A114&amp;"",tbl_Consulting[Job Number],0),MATCH(IFERROR(A114+0,A114),tbl_Consulting[Job Number],0)))),""))))</f>
        <v/>
      </c>
      <c r="K114" s="26">
        <f>IF(A114="","",IFERROR(IF(INDEX(tbl_Onsite[Job Description],IFERROR(MATCH(A114&amp;"",tbl_Onsite[Job Number],0),MATCH(IFERROR(A114+0,A114),tbl_Onsite[Job Number],0)))="","",INDEX(tbl_Onsite[Job Description],IFERROR(MATCH(A114&amp;"",tbl_Onsite[Job Number],0),MATCH(IFERROR(A114+0,A114),tbl_Onsite[Job Number],0)))),IFERROR(IF(INDEX(tbl_Production[Job Description],IFERROR(MATCH(A114&amp;"",tbl_Production[Job Number],0),MATCH(IFERROR(A114+0,A114),tbl_Production[Job Number],0)))="","",INDEX(tbl_Production[Job Description],IFERROR(MATCH(A114&amp;"",tbl_Production[Job Number],0),MATCH(IFERROR(A114+0,A114),tbl_Production[Job Number],0)))),IFERROR(IF(INDEX(tbl_Consulting[Job Description],IFERROR(MATCH(A114&amp;"",tbl_Consulting[Job Number],0),MATCH(IFERROR(A114+0,A114),tbl_Consulting[Job Number],0)))="","",INDEX(tbl_Consulting[Job Description],IFERROR(MATCH(A114&amp;"",tbl_Consulting[Job Number],0),MATCH(IFERROR(A114+0,A114),tbl_Consulting[Job Number],0)))),""))))</f>
        <v/>
      </c>
      <c r="L114" s="26">
        <f>IF(A114="","",IFERROR(IF(INDEX(tbl_Onsite[Invoice Type],IFERROR(MATCH(A114&amp;"",tbl_Onsite[Job Number],0),MATCH(IFERROR(A114+0,A114),tbl_Onsite[Job Number],0)))="","",INDEX(tbl_Onsite[Invoice Type],IFERROR(MATCH(A114&amp;"",tbl_Onsite[Job Number],0),MATCH(IFERROR(A114+0,A114),tbl_Onsite[Job Number],0)))),IFERROR(IF(INDEX(tbl_Production[Invoice Type],IFERROR(MATCH(A114&amp;"",tbl_Production[Job Number],0),MATCH(IFERROR(A114+0,A114),tbl_Production[Job Number],0)))="","",INDEX(tbl_Production[Invoice Type],IFERROR(MATCH(A114&amp;"",tbl_Production[Job Number],0),MATCH(IFERROR(A114+0,A114),tbl_Production[Job Number],0)))),IFERROR(IF(INDEX(tbl_Consulting[Invoice Type],IFERROR(MATCH(A114&amp;"",tbl_Consulting[Job Number],0),MATCH(IFERROR(A114+0,A114),tbl_Consulting[Job Number],0)))="","",INDEX(tbl_Consulting[Invoice Type],IFERROR(MATCH(A114&amp;"",tbl_Consulting[Job Number],0),MATCH(IFERROR(A114+0,A114),tbl_Consulting[Job Number],0)))),""))))</f>
        <v/>
      </c>
      <c r="M114" s="26">
        <f>IF(A114="","",IF(IFERROR(IF(INDEX(tbl_Onsite[Tax Code],IFERROR(MATCH(A114&amp;"",tbl_Onsite[Job Number],0),MATCH(IFERROR(A114+0,A114),tbl_Onsite[Job Number],0)))="","",INDEX(tbl_Onsite[Tax Code],IFERROR(MATCH(A114&amp;"",tbl_Onsite[Job Number],0),MATCH(IFERROR(A114+0,A114),tbl_Onsite[Job Number],0)))),IFERROR(IF(INDEX(tbl_Production[Tax Code],IFERROR(MATCH(A114&amp;"",tbl_Production[Job Number],0),MATCH(IFERROR(A114+0,A114),tbl_Production[Job Number],0)))="","",INDEX(tbl_Production[Tax Code],IFERROR(MATCH(A114&amp;"",tbl_Production[Job Number],0),MATCH(IFERROR(A114+0,A114),tbl_Production[Job Number],0)))),IFERROR(IF(INDEX(tbl_Consulting[Tax Code],IFERROR(MATCH(A114&amp;"",tbl_Consulting[Job Number],0),MATCH(IFERROR(A114+0,A114),tbl_Consulting[Job Number],0)))="","",INDEX(tbl_Consulting[Tax Code],IFERROR(MATCH(A114&amp;"",tbl_Consulting[Job Number],0),MATCH(IFERROR(A114+0,A114),tbl_Consulting[Job Number],0)))),"")))="","GST 10%",IFERROR(IF(INDEX(tbl_Onsite[Tax Code],IFERROR(MATCH(A114&amp;"",tbl_Onsite[Job Number],0),MATCH(IFERROR(A114+0,A114),tbl_Onsite[Job Number],0)))="","",INDEX(tbl_Onsite[Tax Code],IFERROR(MATCH(A114&amp;"",tbl_Onsite[Job Number],0),MATCH(IFERROR(A114+0,A114),tbl_Onsite[Job Number],0)))),IFERROR(IF(INDEX(tbl_Production[Tax Code],IFERROR(MATCH(A114&amp;"",tbl_Production[Job Number],0),MATCH(IFERROR(A114+0,A114),tbl_Production[Job Number],0)))="","",INDEX(tbl_Production[Tax Code],IFERROR(MATCH(A114&amp;"",tbl_Production[Job Number],0),MATCH(IFERROR(A114+0,A114),tbl_Production[Job Number],0)))),IFERROR(IF(INDEX(tbl_Consulting[Tax Code],IFERROR(MATCH(A114&amp;"",tbl_Consulting[Job Number],0),MATCH(IFERROR(A114+0,A114),tbl_Consulting[Job Number],0)))="","",INDEX(tbl_Consulting[Tax Code],IFERROR(MATCH(A114&amp;"",tbl_Consulting[Job Number],0),MATCH(IFERROR(A114+0,A114),tbl_Consulting[Job Number],0)))),"")))))</f>
        <v/>
      </c>
      <c r="N114" s="26">
        <f>IF(D114="","",IFERROR(INDEX(lst_CCtoGL,MATCH(D114,lst_CCforGL,0)),""))</f>
        <v/>
      </c>
      <c r="O114" s="27">
        <f>IF(E114="","",IF(M114="GST 10%",ROUND(E114*set_GSTRate,2),0))</f>
        <v/>
      </c>
      <c r="P114" s="27">
        <f>IF(E114="","",E114+O114)</f>
        <v/>
      </c>
      <c r="Q114" s="27">
        <f>IF(A114="","",IFERROR(INDEX(tbl_Onsite[Expected Revenue Ex GST],IFERROR(MATCH(A114&amp;"",tbl_Onsite[Job Number],0),MATCH(IFERROR(A114+0,A114),tbl_Onsite[Job Number],0))),IFERROR(INDEX(tbl_Production[Expected Revenue Ex GST],IFERROR(MATCH(A114&amp;"",tbl_Production[Job Number],0),MATCH(IFERROR(A114+0,A114),tbl_Production[Job Number],0))),IFERROR(INDEX(tbl_Consulting[Expected Revenue Ex GST],IFERROR(MATCH(A114&amp;"",tbl_Consulting[Job Number],0),MATCH(IFERROR(A114+0,A114),tbl_Consulting[Job Number],0))),0))))</f>
        <v/>
      </c>
      <c r="R114" s="27">
        <f>IF(A114="","",SUMIFS(tbl_Finance[Ex GST],tbl_Finance[Job Number],A114&amp;""))</f>
        <v/>
      </c>
      <c r="S114" s="27">
        <f>IF(A114="","",Q114-R114)</f>
        <v/>
      </c>
      <c r="T114" s="26">
        <f>IF(A114="","",IF(Q114=0,"No dept value",IF(ROUND(S114,2)=0,"Agrees",IF(S114&gt;0,"Dept higher - to invoice","Xero higher - check dept"))))</f>
        <v/>
      </c>
      <c r="U114" s="22" t="n"/>
      <c r="V114" s="22" t="n"/>
      <c r="W114" s="23" t="n"/>
      <c r="X114" s="23" t="n"/>
      <c r="Y114" s="22" t="n"/>
      <c r="Z114" s="22" t="n"/>
      <c r="AA114" s="26">
        <f>IF(COUNTA(C114,A114,B114,E114)=0,"",IF(C114="","No date - sits outside every month",IF(A114="","No job number",IF(H114="CHECK","Job number is not in the Xero job list",IF(G114="not set up yet","No department has set this job up - nothing can pull through",IF(D114="","No cost centre",IF(AND(U114="Y",B114=""),"Marked posted to Xero but has no invoice number",IF(N114="","Cost centre has no revenue GL on the Lists sheet",IF(T114="Xero higher - check dept","Invoiced more than the department says the job is worth","")))))))))</f>
        <v/>
      </c>
      <c r="AB114" s="28">
        <f>IF(A114="","",COUNTIFS(tbl_Finance[Job Number],A114&amp;"",tbl_Finance[Ex GST],"&lt;&gt;"))</f>
        <v/>
      </c>
      <c r="AC114" s="27">
        <f>IF(A114="","",SUMIFS(tbl_Finance[Ex GST],tbl_Finance[Job Number],A114&amp;""))</f>
        <v/>
      </c>
      <c r="AD114" s="27">
        <f>IF(A114="","",SUMIFS(tbl_Finance[Ex GST],tbl_Finance[Job Number],A114&amp;"",tbl_Finance[Xero Invoice No],"&lt;&gt;"))</f>
        <v/>
      </c>
      <c r="AE114" s="27">
        <f>IF(A114="","",AC114-AD114)</f>
        <v/>
      </c>
      <c r="AF114" s="26">
        <f>IF(A114="","",IFERROR(IF(INDEX(tbl_Onsite[Qwilr Quote],IFERROR(MATCH(A114&amp;"",tbl_Onsite[Job Number],0),MATCH(IFERROR(A114+0,A114),tbl_Onsite[Job Number],0)))="","",INDEX(tbl_Onsite[Qwilr Quote],IFERROR(MATCH(A114&amp;"",tbl_Onsite[Job Number],0),MATCH(IFERROR(A114+0,A114),tbl_Onsite[Job Number],0)))),IFERROR(IF(IF(INDEX(tbl_Production[Current RMS No],IFERROR(MATCH(A114&amp;"",tbl_Production[Job Number],0),MATCH(IFERROR(A114+0,A114),tbl_Production[Job Number],0)))="",INDEX(tbl_Production[Qwilr Quote],IFERROR(MATCH(A114&amp;"",tbl_Production[Job Number],0),MATCH(IFERROR(A114+0,A114),tbl_Production[Job Number],0))),INDEX(tbl_Production[Current RMS No],IFERROR(MATCH(A114&amp;"",tbl_Production[Job Number],0),MATCH(IFERROR(A114+0,A114),tbl_Production[Job Number],0))))="","",IF(INDEX(tbl_Production[Current RMS No],IFERROR(MATCH(A114&amp;"",tbl_Production[Job Number],0),MATCH(IFERROR(A114+0,A114),tbl_Production[Job Number],0)))="",INDEX(tbl_Production[Qwilr Quote],IFERROR(MATCH(A114&amp;"",tbl_Production[Job Number],0),MATCH(IFERROR(A114+0,A114),tbl_Production[Job Number],0))),INDEX(tbl_Production[Current RMS No],IFERROR(MATCH(A114&amp;"",tbl_Production[Job Number],0),MATCH(IFERROR(A114+0,A114),tbl_Production[Job Number],0))))),IFERROR(IF(INDEX(tbl_Consulting[Qwilr Quote],IFERROR(MATCH(A114&amp;"",tbl_Consulting[Job Number],0),MATCH(IFERROR(A114+0,A114),tbl_Consulting[Job Number],0)))="","",INDEX(tbl_Consulting[Qwilr Quote],IFERROR(MATCH(A114&amp;"",tbl_Consulting[Job Number],0),MATCH(IFERROR(A114+0,A114),tbl_Consulting[Job Number],0)))),""))))</f>
        <v/>
      </c>
      <c r="AG114" s="26">
        <f>IF(AF114="","",IF(AND(LEFT(AF114,4)&lt;&gt;"http",IF(G114="Production",set_RMSBase,set_QwilrBase)=""),"",HYPERLINK(IF(LEFT(AF114,4)="http",AF114,IF(G114="Production",set_RMSBase,set_QwilrBase)&amp;AF114),"Open")))</f>
        <v/>
      </c>
      <c r="AH114" s="27">
        <f>IF(A114="","",IFERROR(INDEX(tbl_Production[Total Expense],IFERROR(MATCH(A114&amp;"",tbl_Production[Job Number],0),MATCH(IFERROR(A114+0,A114),tbl_Production[Job Number],0))),IFERROR(INDEX(tbl_Consulting[Total Expense],IFERROR(MATCH(A114&amp;"",tbl_Consulting[Job Number],0),MATCH(IFERROR(A114+0,A114),tbl_Consulting[Job Number],0))),0)))</f>
        <v/>
      </c>
      <c r="AI114" s="27">
        <f>IF(A114="","",AC114-N(AH114))</f>
        <v/>
      </c>
      <c r="AJ114" s="29">
        <f>IFERROR(AI114/AC114,"")</f>
        <v/>
      </c>
      <c r="AK114" s="26">
        <f>IF(A114="","",IFERROR(IF(INDEX(tbl_Onsite[Notes],IFERROR(MATCH(A114&amp;"",tbl_Onsite[Job Number],0),MATCH(IFERROR(A114+0,A114),tbl_Onsite[Job Number],0)))="","",INDEX(tbl_Onsite[Notes],IFERROR(MATCH(A114&amp;"",tbl_Onsite[Job Number],0),MATCH(IFERROR(A114+0,A114),tbl_Onsite[Job Number],0)))),IFERROR(IF(INDEX(tbl_Production[Notes],IFERROR(MATCH(A114&amp;"",tbl_Production[Job Number],0),MATCH(IFERROR(A114+0,A114),tbl_Production[Job Number],0)))="","",INDEX(tbl_Production[Notes],IFERROR(MATCH(A114&amp;"",tbl_Production[Job Number],0),MATCH(IFERROR(A114+0,A114),tbl_Production[Job Number],0)))),IFERROR(IF(INDEX(tbl_Consulting[Notes],IFERROR(MATCH(A114&amp;"",tbl_Consulting[Job Number],0),MATCH(IFERROR(A114+0,A114),tbl_Consulting[Job Number],0)))="","",INDEX(tbl_Consulting[Notes],IFERROR(MATCH(A114&amp;"",tbl_Consulting[Job Number],0),MATCH(IFERROR(A114+0,A114),tbl_Consulting[Job Number],0)))),""))))</f>
        <v/>
      </c>
    </row>
    <row r="115" ht="15" customHeight="1">
      <c r="A115" s="22" t="n"/>
      <c r="B115" s="22" t="n"/>
      <c r="C115" s="23" t="n"/>
      <c r="D115" s="22" t="n"/>
      <c r="E115" s="24" t="n"/>
      <c r="F115" s="25">
        <f>IF(C115="","",EOMONTH(C115,0))</f>
        <v/>
      </c>
      <c r="G115" s="26">
        <f>IF(A115="","",IF(COUNTIF(tbl_Onsite[Job Number],A115&amp;"")&gt;0,"Onsite",IF(COUNTIF(tbl_Production[Job Number],A115&amp;"")&gt;0,"Production",IF(COUNTIF(tbl_Consulting[Job Number],A115&amp;"")&gt;0,"Consulting","not set up yet"))))</f>
        <v/>
      </c>
      <c r="H115" s="26">
        <f>IF(A115="","",IF(COUNTIF(lst_Jobs,A115&amp;"")&gt;0,"OK","CHECK"))</f>
        <v/>
      </c>
      <c r="I115" s="26">
        <f>IF(A115="","",IFERROR(INDEX(lst_JobName,MATCH(A115&amp;"",lst_Jobs,0)),""))</f>
        <v/>
      </c>
      <c r="J115" s="26">
        <f>IF(A115="","",IFERROR(IF(INDEX(tbl_Onsite[Client],IFERROR(MATCH(A115&amp;"",tbl_Onsite[Job Number],0),MATCH(IFERROR(A115+0,A115),tbl_Onsite[Job Number],0)))="","",INDEX(tbl_Onsite[Client],IFERROR(MATCH(A115&amp;"",tbl_Onsite[Job Number],0),MATCH(IFERROR(A115+0,A115),tbl_Onsite[Job Number],0)))),IFERROR(IF(INDEX(tbl_Production[Client],IFERROR(MATCH(A115&amp;"",tbl_Production[Job Number],0),MATCH(IFERROR(A115+0,A115),tbl_Production[Job Number],0)))="","",INDEX(tbl_Production[Client],IFERROR(MATCH(A115&amp;"",tbl_Production[Job Number],0),MATCH(IFERROR(A115+0,A115),tbl_Production[Job Number],0)))),IFERROR(IF(INDEX(tbl_Consulting[Client],IFERROR(MATCH(A115&amp;"",tbl_Consulting[Job Number],0),MATCH(IFERROR(A115+0,A115),tbl_Consulting[Job Number],0)))="","",INDEX(tbl_Consulting[Client],IFERROR(MATCH(A115&amp;"",tbl_Consulting[Job Number],0),MATCH(IFERROR(A115+0,A115),tbl_Consulting[Job Number],0)))),""))))</f>
        <v/>
      </c>
      <c r="K115" s="26">
        <f>IF(A115="","",IFERROR(IF(INDEX(tbl_Onsite[Job Description],IFERROR(MATCH(A115&amp;"",tbl_Onsite[Job Number],0),MATCH(IFERROR(A115+0,A115),tbl_Onsite[Job Number],0)))="","",INDEX(tbl_Onsite[Job Description],IFERROR(MATCH(A115&amp;"",tbl_Onsite[Job Number],0),MATCH(IFERROR(A115+0,A115),tbl_Onsite[Job Number],0)))),IFERROR(IF(INDEX(tbl_Production[Job Description],IFERROR(MATCH(A115&amp;"",tbl_Production[Job Number],0),MATCH(IFERROR(A115+0,A115),tbl_Production[Job Number],0)))="","",INDEX(tbl_Production[Job Description],IFERROR(MATCH(A115&amp;"",tbl_Production[Job Number],0),MATCH(IFERROR(A115+0,A115),tbl_Production[Job Number],0)))),IFERROR(IF(INDEX(tbl_Consulting[Job Description],IFERROR(MATCH(A115&amp;"",tbl_Consulting[Job Number],0),MATCH(IFERROR(A115+0,A115),tbl_Consulting[Job Number],0)))="","",INDEX(tbl_Consulting[Job Description],IFERROR(MATCH(A115&amp;"",tbl_Consulting[Job Number],0),MATCH(IFERROR(A115+0,A115),tbl_Consulting[Job Number],0)))),""))))</f>
        <v/>
      </c>
      <c r="L115" s="26">
        <f>IF(A115="","",IFERROR(IF(INDEX(tbl_Onsite[Invoice Type],IFERROR(MATCH(A115&amp;"",tbl_Onsite[Job Number],0),MATCH(IFERROR(A115+0,A115),tbl_Onsite[Job Number],0)))="","",INDEX(tbl_Onsite[Invoice Type],IFERROR(MATCH(A115&amp;"",tbl_Onsite[Job Number],0),MATCH(IFERROR(A115+0,A115),tbl_Onsite[Job Number],0)))),IFERROR(IF(INDEX(tbl_Production[Invoice Type],IFERROR(MATCH(A115&amp;"",tbl_Production[Job Number],0),MATCH(IFERROR(A115+0,A115),tbl_Production[Job Number],0)))="","",INDEX(tbl_Production[Invoice Type],IFERROR(MATCH(A115&amp;"",tbl_Production[Job Number],0),MATCH(IFERROR(A115+0,A115),tbl_Production[Job Number],0)))),IFERROR(IF(INDEX(tbl_Consulting[Invoice Type],IFERROR(MATCH(A115&amp;"",tbl_Consulting[Job Number],0),MATCH(IFERROR(A115+0,A115),tbl_Consulting[Job Number],0)))="","",INDEX(tbl_Consulting[Invoice Type],IFERROR(MATCH(A115&amp;"",tbl_Consulting[Job Number],0),MATCH(IFERROR(A115+0,A115),tbl_Consulting[Job Number],0)))),""))))</f>
        <v/>
      </c>
      <c r="M115" s="26">
        <f>IF(A115="","",IF(IFERROR(IF(INDEX(tbl_Onsite[Tax Code],IFERROR(MATCH(A115&amp;"",tbl_Onsite[Job Number],0),MATCH(IFERROR(A115+0,A115),tbl_Onsite[Job Number],0)))="","",INDEX(tbl_Onsite[Tax Code],IFERROR(MATCH(A115&amp;"",tbl_Onsite[Job Number],0),MATCH(IFERROR(A115+0,A115),tbl_Onsite[Job Number],0)))),IFERROR(IF(INDEX(tbl_Production[Tax Code],IFERROR(MATCH(A115&amp;"",tbl_Production[Job Number],0),MATCH(IFERROR(A115+0,A115),tbl_Production[Job Number],0)))="","",INDEX(tbl_Production[Tax Code],IFERROR(MATCH(A115&amp;"",tbl_Production[Job Number],0),MATCH(IFERROR(A115+0,A115),tbl_Production[Job Number],0)))),IFERROR(IF(INDEX(tbl_Consulting[Tax Code],IFERROR(MATCH(A115&amp;"",tbl_Consulting[Job Number],0),MATCH(IFERROR(A115+0,A115),tbl_Consulting[Job Number],0)))="","",INDEX(tbl_Consulting[Tax Code],IFERROR(MATCH(A115&amp;"",tbl_Consulting[Job Number],0),MATCH(IFERROR(A115+0,A115),tbl_Consulting[Job Number],0)))),"")))="","GST 10%",IFERROR(IF(INDEX(tbl_Onsite[Tax Code],IFERROR(MATCH(A115&amp;"",tbl_Onsite[Job Number],0),MATCH(IFERROR(A115+0,A115),tbl_Onsite[Job Number],0)))="","",INDEX(tbl_Onsite[Tax Code],IFERROR(MATCH(A115&amp;"",tbl_Onsite[Job Number],0),MATCH(IFERROR(A115+0,A115),tbl_Onsite[Job Number],0)))),IFERROR(IF(INDEX(tbl_Production[Tax Code],IFERROR(MATCH(A115&amp;"",tbl_Production[Job Number],0),MATCH(IFERROR(A115+0,A115),tbl_Production[Job Number],0)))="","",INDEX(tbl_Production[Tax Code],IFERROR(MATCH(A115&amp;"",tbl_Production[Job Number],0),MATCH(IFERROR(A115+0,A115),tbl_Production[Job Number],0)))),IFERROR(IF(INDEX(tbl_Consulting[Tax Code],IFERROR(MATCH(A115&amp;"",tbl_Consulting[Job Number],0),MATCH(IFERROR(A115+0,A115),tbl_Consulting[Job Number],0)))="","",INDEX(tbl_Consulting[Tax Code],IFERROR(MATCH(A115&amp;"",tbl_Consulting[Job Number],0),MATCH(IFERROR(A115+0,A115),tbl_Consulting[Job Number],0)))),"")))))</f>
        <v/>
      </c>
      <c r="N115" s="26">
        <f>IF(D115="","",IFERROR(INDEX(lst_CCtoGL,MATCH(D115,lst_CCforGL,0)),""))</f>
        <v/>
      </c>
      <c r="O115" s="27">
        <f>IF(E115="","",IF(M115="GST 10%",ROUND(E115*set_GSTRate,2),0))</f>
        <v/>
      </c>
      <c r="P115" s="27">
        <f>IF(E115="","",E115+O115)</f>
        <v/>
      </c>
      <c r="Q115" s="27">
        <f>IF(A115="","",IFERROR(INDEX(tbl_Onsite[Expected Revenue Ex GST],IFERROR(MATCH(A115&amp;"",tbl_Onsite[Job Number],0),MATCH(IFERROR(A115+0,A115),tbl_Onsite[Job Number],0))),IFERROR(INDEX(tbl_Production[Expected Revenue Ex GST],IFERROR(MATCH(A115&amp;"",tbl_Production[Job Number],0),MATCH(IFERROR(A115+0,A115),tbl_Production[Job Number],0))),IFERROR(INDEX(tbl_Consulting[Expected Revenue Ex GST],IFERROR(MATCH(A115&amp;"",tbl_Consulting[Job Number],0),MATCH(IFERROR(A115+0,A115),tbl_Consulting[Job Number],0))),0))))</f>
        <v/>
      </c>
      <c r="R115" s="27">
        <f>IF(A115="","",SUMIFS(tbl_Finance[Ex GST],tbl_Finance[Job Number],A115&amp;""))</f>
        <v/>
      </c>
      <c r="S115" s="27">
        <f>IF(A115="","",Q115-R115)</f>
        <v/>
      </c>
      <c r="T115" s="26">
        <f>IF(A115="","",IF(Q115=0,"No dept value",IF(ROUND(S115,2)=0,"Agrees",IF(S115&gt;0,"Dept higher - to invoice","Xero higher - check dept"))))</f>
        <v/>
      </c>
      <c r="U115" s="22" t="n"/>
      <c r="V115" s="22" t="n"/>
      <c r="W115" s="23" t="n"/>
      <c r="X115" s="23" t="n"/>
      <c r="Y115" s="22" t="n"/>
      <c r="Z115" s="22" t="n"/>
      <c r="AA115" s="26">
        <f>IF(COUNTA(C115,A115,B115,E115)=0,"",IF(C115="","No date - sits outside every month",IF(A115="","No job number",IF(H115="CHECK","Job number is not in the Xero job list",IF(G115="not set up yet","No department has set this job up - nothing can pull through",IF(D115="","No cost centre",IF(AND(U115="Y",B115=""),"Marked posted to Xero but has no invoice number",IF(N115="","Cost centre has no revenue GL on the Lists sheet",IF(T115="Xero higher - check dept","Invoiced more than the department says the job is worth","")))))))))</f>
        <v/>
      </c>
      <c r="AB115" s="28">
        <f>IF(A115="","",COUNTIFS(tbl_Finance[Job Number],A115&amp;"",tbl_Finance[Ex GST],"&lt;&gt;"))</f>
        <v/>
      </c>
      <c r="AC115" s="27">
        <f>IF(A115="","",SUMIFS(tbl_Finance[Ex GST],tbl_Finance[Job Number],A115&amp;""))</f>
        <v/>
      </c>
      <c r="AD115" s="27">
        <f>IF(A115="","",SUMIFS(tbl_Finance[Ex GST],tbl_Finance[Job Number],A115&amp;"",tbl_Finance[Xero Invoice No],"&lt;&gt;"))</f>
        <v/>
      </c>
      <c r="AE115" s="27">
        <f>IF(A115="","",AC115-AD115)</f>
        <v/>
      </c>
      <c r="AF115" s="26">
        <f>IF(A115="","",IFERROR(IF(INDEX(tbl_Onsite[Qwilr Quote],IFERROR(MATCH(A115&amp;"",tbl_Onsite[Job Number],0),MATCH(IFERROR(A115+0,A115),tbl_Onsite[Job Number],0)))="","",INDEX(tbl_Onsite[Qwilr Quote],IFERROR(MATCH(A115&amp;"",tbl_Onsite[Job Number],0),MATCH(IFERROR(A115+0,A115),tbl_Onsite[Job Number],0)))),IFERROR(IF(IF(INDEX(tbl_Production[Current RMS No],IFERROR(MATCH(A115&amp;"",tbl_Production[Job Number],0),MATCH(IFERROR(A115+0,A115),tbl_Production[Job Number],0)))="",INDEX(tbl_Production[Qwilr Quote],IFERROR(MATCH(A115&amp;"",tbl_Production[Job Number],0),MATCH(IFERROR(A115+0,A115),tbl_Production[Job Number],0))),INDEX(tbl_Production[Current RMS No],IFERROR(MATCH(A115&amp;"",tbl_Production[Job Number],0),MATCH(IFERROR(A115+0,A115),tbl_Production[Job Number],0))))="","",IF(INDEX(tbl_Production[Current RMS No],IFERROR(MATCH(A115&amp;"",tbl_Production[Job Number],0),MATCH(IFERROR(A115+0,A115),tbl_Production[Job Number],0)))="",INDEX(tbl_Production[Qwilr Quote],IFERROR(MATCH(A115&amp;"",tbl_Production[Job Number],0),MATCH(IFERROR(A115+0,A115),tbl_Production[Job Number],0))),INDEX(tbl_Production[Current RMS No],IFERROR(MATCH(A115&amp;"",tbl_Production[Job Number],0),MATCH(IFERROR(A115+0,A115),tbl_Production[Job Number],0))))),IFERROR(IF(INDEX(tbl_Consulting[Qwilr Quote],IFERROR(MATCH(A115&amp;"",tbl_Consulting[Job Number],0),MATCH(IFERROR(A115+0,A115),tbl_Consulting[Job Number],0)))="","",INDEX(tbl_Consulting[Qwilr Quote],IFERROR(MATCH(A115&amp;"",tbl_Consulting[Job Number],0),MATCH(IFERROR(A115+0,A115),tbl_Consulting[Job Number],0)))),""))))</f>
        <v/>
      </c>
      <c r="AG115" s="26">
        <f>IF(AF115="","",IF(AND(LEFT(AF115,4)&lt;&gt;"http",IF(G115="Production",set_RMSBase,set_QwilrBase)=""),"",HYPERLINK(IF(LEFT(AF115,4)="http",AF115,IF(G115="Production",set_RMSBase,set_QwilrBase)&amp;AF115),"Open")))</f>
        <v/>
      </c>
      <c r="AH115" s="27">
        <f>IF(A115="","",IFERROR(INDEX(tbl_Production[Total Expense],IFERROR(MATCH(A115&amp;"",tbl_Production[Job Number],0),MATCH(IFERROR(A115+0,A115),tbl_Production[Job Number],0))),IFERROR(INDEX(tbl_Consulting[Total Expense],IFERROR(MATCH(A115&amp;"",tbl_Consulting[Job Number],0),MATCH(IFERROR(A115+0,A115),tbl_Consulting[Job Number],0))),0)))</f>
        <v/>
      </c>
      <c r="AI115" s="27">
        <f>IF(A115="","",AC115-N(AH115))</f>
        <v/>
      </c>
      <c r="AJ115" s="29">
        <f>IFERROR(AI115/AC115,"")</f>
        <v/>
      </c>
      <c r="AK115" s="26">
        <f>IF(A115="","",IFERROR(IF(INDEX(tbl_Onsite[Notes],IFERROR(MATCH(A115&amp;"",tbl_Onsite[Job Number],0),MATCH(IFERROR(A115+0,A115),tbl_Onsite[Job Number],0)))="","",INDEX(tbl_Onsite[Notes],IFERROR(MATCH(A115&amp;"",tbl_Onsite[Job Number],0),MATCH(IFERROR(A115+0,A115),tbl_Onsite[Job Number],0)))),IFERROR(IF(INDEX(tbl_Production[Notes],IFERROR(MATCH(A115&amp;"",tbl_Production[Job Number],0),MATCH(IFERROR(A115+0,A115),tbl_Production[Job Number],0)))="","",INDEX(tbl_Production[Notes],IFERROR(MATCH(A115&amp;"",tbl_Production[Job Number],0),MATCH(IFERROR(A115+0,A115),tbl_Production[Job Number],0)))),IFERROR(IF(INDEX(tbl_Consulting[Notes],IFERROR(MATCH(A115&amp;"",tbl_Consulting[Job Number],0),MATCH(IFERROR(A115+0,A115),tbl_Consulting[Job Number],0)))="","",INDEX(tbl_Consulting[Notes],IFERROR(MATCH(A115&amp;"",tbl_Consulting[Job Number],0),MATCH(IFERROR(A115+0,A115),tbl_Consulting[Job Number],0)))),""))))</f>
        <v/>
      </c>
    </row>
    <row r="116" ht="15" customHeight="1">
      <c r="A116" s="22" t="n"/>
      <c r="B116" s="22" t="n"/>
      <c r="C116" s="23" t="n"/>
      <c r="D116" s="22" t="n"/>
      <c r="E116" s="24" t="n"/>
      <c r="F116" s="25">
        <f>IF(C116="","",EOMONTH(C116,0))</f>
        <v/>
      </c>
      <c r="G116" s="26">
        <f>IF(A116="","",IF(COUNTIF(tbl_Onsite[Job Number],A116&amp;"")&gt;0,"Onsite",IF(COUNTIF(tbl_Production[Job Number],A116&amp;"")&gt;0,"Production",IF(COUNTIF(tbl_Consulting[Job Number],A116&amp;"")&gt;0,"Consulting","not set up yet"))))</f>
        <v/>
      </c>
      <c r="H116" s="26">
        <f>IF(A116="","",IF(COUNTIF(lst_Jobs,A116&amp;"")&gt;0,"OK","CHECK"))</f>
        <v/>
      </c>
      <c r="I116" s="26">
        <f>IF(A116="","",IFERROR(INDEX(lst_JobName,MATCH(A116&amp;"",lst_Jobs,0)),""))</f>
        <v/>
      </c>
      <c r="J116" s="26">
        <f>IF(A116="","",IFERROR(IF(INDEX(tbl_Onsite[Client],IFERROR(MATCH(A116&amp;"",tbl_Onsite[Job Number],0),MATCH(IFERROR(A116+0,A116),tbl_Onsite[Job Number],0)))="","",INDEX(tbl_Onsite[Client],IFERROR(MATCH(A116&amp;"",tbl_Onsite[Job Number],0),MATCH(IFERROR(A116+0,A116),tbl_Onsite[Job Number],0)))),IFERROR(IF(INDEX(tbl_Production[Client],IFERROR(MATCH(A116&amp;"",tbl_Production[Job Number],0),MATCH(IFERROR(A116+0,A116),tbl_Production[Job Number],0)))="","",INDEX(tbl_Production[Client],IFERROR(MATCH(A116&amp;"",tbl_Production[Job Number],0),MATCH(IFERROR(A116+0,A116),tbl_Production[Job Number],0)))),IFERROR(IF(INDEX(tbl_Consulting[Client],IFERROR(MATCH(A116&amp;"",tbl_Consulting[Job Number],0),MATCH(IFERROR(A116+0,A116),tbl_Consulting[Job Number],0)))="","",INDEX(tbl_Consulting[Client],IFERROR(MATCH(A116&amp;"",tbl_Consulting[Job Number],0),MATCH(IFERROR(A116+0,A116),tbl_Consulting[Job Number],0)))),""))))</f>
        <v/>
      </c>
      <c r="K116" s="26">
        <f>IF(A116="","",IFERROR(IF(INDEX(tbl_Onsite[Job Description],IFERROR(MATCH(A116&amp;"",tbl_Onsite[Job Number],0),MATCH(IFERROR(A116+0,A116),tbl_Onsite[Job Number],0)))="","",INDEX(tbl_Onsite[Job Description],IFERROR(MATCH(A116&amp;"",tbl_Onsite[Job Number],0),MATCH(IFERROR(A116+0,A116),tbl_Onsite[Job Number],0)))),IFERROR(IF(INDEX(tbl_Production[Job Description],IFERROR(MATCH(A116&amp;"",tbl_Production[Job Number],0),MATCH(IFERROR(A116+0,A116),tbl_Production[Job Number],0)))="","",INDEX(tbl_Production[Job Description],IFERROR(MATCH(A116&amp;"",tbl_Production[Job Number],0),MATCH(IFERROR(A116+0,A116),tbl_Production[Job Number],0)))),IFERROR(IF(INDEX(tbl_Consulting[Job Description],IFERROR(MATCH(A116&amp;"",tbl_Consulting[Job Number],0),MATCH(IFERROR(A116+0,A116),tbl_Consulting[Job Number],0)))="","",INDEX(tbl_Consulting[Job Description],IFERROR(MATCH(A116&amp;"",tbl_Consulting[Job Number],0),MATCH(IFERROR(A116+0,A116),tbl_Consulting[Job Number],0)))),""))))</f>
        <v/>
      </c>
      <c r="L116" s="26">
        <f>IF(A116="","",IFERROR(IF(INDEX(tbl_Onsite[Invoice Type],IFERROR(MATCH(A116&amp;"",tbl_Onsite[Job Number],0),MATCH(IFERROR(A116+0,A116),tbl_Onsite[Job Number],0)))="","",INDEX(tbl_Onsite[Invoice Type],IFERROR(MATCH(A116&amp;"",tbl_Onsite[Job Number],0),MATCH(IFERROR(A116+0,A116),tbl_Onsite[Job Number],0)))),IFERROR(IF(INDEX(tbl_Production[Invoice Type],IFERROR(MATCH(A116&amp;"",tbl_Production[Job Number],0),MATCH(IFERROR(A116+0,A116),tbl_Production[Job Number],0)))="","",INDEX(tbl_Production[Invoice Type],IFERROR(MATCH(A116&amp;"",tbl_Production[Job Number],0),MATCH(IFERROR(A116+0,A116),tbl_Production[Job Number],0)))),IFERROR(IF(INDEX(tbl_Consulting[Invoice Type],IFERROR(MATCH(A116&amp;"",tbl_Consulting[Job Number],0),MATCH(IFERROR(A116+0,A116),tbl_Consulting[Job Number],0)))="","",INDEX(tbl_Consulting[Invoice Type],IFERROR(MATCH(A116&amp;"",tbl_Consulting[Job Number],0),MATCH(IFERROR(A116+0,A116),tbl_Consulting[Job Number],0)))),""))))</f>
        <v/>
      </c>
      <c r="M116" s="26">
        <f>IF(A116="","",IF(IFERROR(IF(INDEX(tbl_Onsite[Tax Code],IFERROR(MATCH(A116&amp;"",tbl_Onsite[Job Number],0),MATCH(IFERROR(A116+0,A116),tbl_Onsite[Job Number],0)))="","",INDEX(tbl_Onsite[Tax Code],IFERROR(MATCH(A116&amp;"",tbl_Onsite[Job Number],0),MATCH(IFERROR(A116+0,A116),tbl_Onsite[Job Number],0)))),IFERROR(IF(INDEX(tbl_Production[Tax Code],IFERROR(MATCH(A116&amp;"",tbl_Production[Job Number],0),MATCH(IFERROR(A116+0,A116),tbl_Production[Job Number],0)))="","",INDEX(tbl_Production[Tax Code],IFERROR(MATCH(A116&amp;"",tbl_Production[Job Number],0),MATCH(IFERROR(A116+0,A116),tbl_Production[Job Number],0)))),IFERROR(IF(INDEX(tbl_Consulting[Tax Code],IFERROR(MATCH(A116&amp;"",tbl_Consulting[Job Number],0),MATCH(IFERROR(A116+0,A116),tbl_Consulting[Job Number],0)))="","",INDEX(tbl_Consulting[Tax Code],IFERROR(MATCH(A116&amp;"",tbl_Consulting[Job Number],0),MATCH(IFERROR(A116+0,A116),tbl_Consulting[Job Number],0)))),"")))="","GST 10%",IFERROR(IF(INDEX(tbl_Onsite[Tax Code],IFERROR(MATCH(A116&amp;"",tbl_Onsite[Job Number],0),MATCH(IFERROR(A116+0,A116),tbl_Onsite[Job Number],0)))="","",INDEX(tbl_Onsite[Tax Code],IFERROR(MATCH(A116&amp;"",tbl_Onsite[Job Number],0),MATCH(IFERROR(A116+0,A116),tbl_Onsite[Job Number],0)))),IFERROR(IF(INDEX(tbl_Production[Tax Code],IFERROR(MATCH(A116&amp;"",tbl_Production[Job Number],0),MATCH(IFERROR(A116+0,A116),tbl_Production[Job Number],0)))="","",INDEX(tbl_Production[Tax Code],IFERROR(MATCH(A116&amp;"",tbl_Production[Job Number],0),MATCH(IFERROR(A116+0,A116),tbl_Production[Job Number],0)))),IFERROR(IF(INDEX(tbl_Consulting[Tax Code],IFERROR(MATCH(A116&amp;"",tbl_Consulting[Job Number],0),MATCH(IFERROR(A116+0,A116),tbl_Consulting[Job Number],0)))="","",INDEX(tbl_Consulting[Tax Code],IFERROR(MATCH(A116&amp;"",tbl_Consulting[Job Number],0),MATCH(IFERROR(A116+0,A116),tbl_Consulting[Job Number],0)))),"")))))</f>
        <v/>
      </c>
      <c r="N116" s="26">
        <f>IF(D116="","",IFERROR(INDEX(lst_CCtoGL,MATCH(D116,lst_CCforGL,0)),""))</f>
        <v/>
      </c>
      <c r="O116" s="27">
        <f>IF(E116="","",IF(M116="GST 10%",ROUND(E116*set_GSTRate,2),0))</f>
        <v/>
      </c>
      <c r="P116" s="27">
        <f>IF(E116="","",E116+O116)</f>
        <v/>
      </c>
      <c r="Q116" s="27">
        <f>IF(A116="","",IFERROR(INDEX(tbl_Onsite[Expected Revenue Ex GST],IFERROR(MATCH(A116&amp;"",tbl_Onsite[Job Number],0),MATCH(IFERROR(A116+0,A116),tbl_Onsite[Job Number],0))),IFERROR(INDEX(tbl_Production[Expected Revenue Ex GST],IFERROR(MATCH(A116&amp;"",tbl_Production[Job Number],0),MATCH(IFERROR(A116+0,A116),tbl_Production[Job Number],0))),IFERROR(INDEX(tbl_Consulting[Expected Revenue Ex GST],IFERROR(MATCH(A116&amp;"",tbl_Consulting[Job Number],0),MATCH(IFERROR(A116+0,A116),tbl_Consulting[Job Number],0))),0))))</f>
        <v/>
      </c>
      <c r="R116" s="27">
        <f>IF(A116="","",SUMIFS(tbl_Finance[Ex GST],tbl_Finance[Job Number],A116&amp;""))</f>
        <v/>
      </c>
      <c r="S116" s="27">
        <f>IF(A116="","",Q116-R116)</f>
        <v/>
      </c>
      <c r="T116" s="26">
        <f>IF(A116="","",IF(Q116=0,"No dept value",IF(ROUND(S116,2)=0,"Agrees",IF(S116&gt;0,"Dept higher - to invoice","Xero higher - check dept"))))</f>
        <v/>
      </c>
      <c r="U116" s="22" t="n"/>
      <c r="V116" s="22" t="n"/>
      <c r="W116" s="23" t="n"/>
      <c r="X116" s="23" t="n"/>
      <c r="Y116" s="22" t="n"/>
      <c r="Z116" s="22" t="n"/>
      <c r="AA116" s="26">
        <f>IF(COUNTA(C116,A116,B116,E116)=0,"",IF(C116="","No date - sits outside every month",IF(A116="","No job number",IF(H116="CHECK","Job number is not in the Xero job list",IF(G116="not set up yet","No department has set this job up - nothing can pull through",IF(D116="","No cost centre",IF(AND(U116="Y",B116=""),"Marked posted to Xero but has no invoice number",IF(N116="","Cost centre has no revenue GL on the Lists sheet",IF(T116="Xero higher - check dept","Invoiced more than the department says the job is worth","")))))))))</f>
        <v/>
      </c>
      <c r="AB116" s="28">
        <f>IF(A116="","",COUNTIFS(tbl_Finance[Job Number],A116&amp;"",tbl_Finance[Ex GST],"&lt;&gt;"))</f>
        <v/>
      </c>
      <c r="AC116" s="27">
        <f>IF(A116="","",SUMIFS(tbl_Finance[Ex GST],tbl_Finance[Job Number],A116&amp;""))</f>
        <v/>
      </c>
      <c r="AD116" s="27">
        <f>IF(A116="","",SUMIFS(tbl_Finance[Ex GST],tbl_Finance[Job Number],A116&amp;"",tbl_Finance[Xero Invoice No],"&lt;&gt;"))</f>
        <v/>
      </c>
      <c r="AE116" s="27">
        <f>IF(A116="","",AC116-AD116)</f>
        <v/>
      </c>
      <c r="AF116" s="26">
        <f>IF(A116="","",IFERROR(IF(INDEX(tbl_Onsite[Qwilr Quote],IFERROR(MATCH(A116&amp;"",tbl_Onsite[Job Number],0),MATCH(IFERROR(A116+0,A116),tbl_Onsite[Job Number],0)))="","",INDEX(tbl_Onsite[Qwilr Quote],IFERROR(MATCH(A116&amp;"",tbl_Onsite[Job Number],0),MATCH(IFERROR(A116+0,A116),tbl_Onsite[Job Number],0)))),IFERROR(IF(IF(INDEX(tbl_Production[Current RMS No],IFERROR(MATCH(A116&amp;"",tbl_Production[Job Number],0),MATCH(IFERROR(A116+0,A116),tbl_Production[Job Number],0)))="",INDEX(tbl_Production[Qwilr Quote],IFERROR(MATCH(A116&amp;"",tbl_Production[Job Number],0),MATCH(IFERROR(A116+0,A116),tbl_Production[Job Number],0))),INDEX(tbl_Production[Current RMS No],IFERROR(MATCH(A116&amp;"",tbl_Production[Job Number],0),MATCH(IFERROR(A116+0,A116),tbl_Production[Job Number],0))))="","",IF(INDEX(tbl_Production[Current RMS No],IFERROR(MATCH(A116&amp;"",tbl_Production[Job Number],0),MATCH(IFERROR(A116+0,A116),tbl_Production[Job Number],0)))="",INDEX(tbl_Production[Qwilr Quote],IFERROR(MATCH(A116&amp;"",tbl_Production[Job Number],0),MATCH(IFERROR(A116+0,A116),tbl_Production[Job Number],0))),INDEX(tbl_Production[Current RMS No],IFERROR(MATCH(A116&amp;"",tbl_Production[Job Number],0),MATCH(IFERROR(A116+0,A116),tbl_Production[Job Number],0))))),IFERROR(IF(INDEX(tbl_Consulting[Qwilr Quote],IFERROR(MATCH(A116&amp;"",tbl_Consulting[Job Number],0),MATCH(IFERROR(A116+0,A116),tbl_Consulting[Job Number],0)))="","",INDEX(tbl_Consulting[Qwilr Quote],IFERROR(MATCH(A116&amp;"",tbl_Consulting[Job Number],0),MATCH(IFERROR(A116+0,A116),tbl_Consulting[Job Number],0)))),""))))</f>
        <v/>
      </c>
      <c r="AG116" s="26">
        <f>IF(AF116="","",IF(AND(LEFT(AF116,4)&lt;&gt;"http",IF(G116="Production",set_RMSBase,set_QwilrBase)=""),"",HYPERLINK(IF(LEFT(AF116,4)="http",AF116,IF(G116="Production",set_RMSBase,set_QwilrBase)&amp;AF116),"Open")))</f>
        <v/>
      </c>
      <c r="AH116" s="27">
        <f>IF(A116="","",IFERROR(INDEX(tbl_Production[Total Expense],IFERROR(MATCH(A116&amp;"",tbl_Production[Job Number],0),MATCH(IFERROR(A116+0,A116),tbl_Production[Job Number],0))),IFERROR(INDEX(tbl_Consulting[Total Expense],IFERROR(MATCH(A116&amp;"",tbl_Consulting[Job Number],0),MATCH(IFERROR(A116+0,A116),tbl_Consulting[Job Number],0))),0)))</f>
        <v/>
      </c>
      <c r="AI116" s="27">
        <f>IF(A116="","",AC116-N(AH116))</f>
        <v/>
      </c>
      <c r="AJ116" s="29">
        <f>IFERROR(AI116/AC116,"")</f>
        <v/>
      </c>
      <c r="AK116" s="26">
        <f>IF(A116="","",IFERROR(IF(INDEX(tbl_Onsite[Notes],IFERROR(MATCH(A116&amp;"",tbl_Onsite[Job Number],0),MATCH(IFERROR(A116+0,A116),tbl_Onsite[Job Number],0)))="","",INDEX(tbl_Onsite[Notes],IFERROR(MATCH(A116&amp;"",tbl_Onsite[Job Number],0),MATCH(IFERROR(A116+0,A116),tbl_Onsite[Job Number],0)))),IFERROR(IF(INDEX(tbl_Production[Notes],IFERROR(MATCH(A116&amp;"",tbl_Production[Job Number],0),MATCH(IFERROR(A116+0,A116),tbl_Production[Job Number],0)))="","",INDEX(tbl_Production[Notes],IFERROR(MATCH(A116&amp;"",tbl_Production[Job Number],0),MATCH(IFERROR(A116+0,A116),tbl_Production[Job Number],0)))),IFERROR(IF(INDEX(tbl_Consulting[Notes],IFERROR(MATCH(A116&amp;"",tbl_Consulting[Job Number],0),MATCH(IFERROR(A116+0,A116),tbl_Consulting[Job Number],0)))="","",INDEX(tbl_Consulting[Notes],IFERROR(MATCH(A116&amp;"",tbl_Consulting[Job Number],0),MATCH(IFERROR(A116+0,A116),tbl_Consulting[Job Number],0)))),""))))</f>
        <v/>
      </c>
    </row>
    <row r="117" ht="15" customHeight="1">
      <c r="A117" s="22" t="n"/>
      <c r="B117" s="22" t="n"/>
      <c r="C117" s="23" t="n"/>
      <c r="D117" s="22" t="n"/>
      <c r="E117" s="24" t="n"/>
      <c r="F117" s="25">
        <f>IF(C117="","",EOMONTH(C117,0))</f>
        <v/>
      </c>
      <c r="G117" s="26">
        <f>IF(A117="","",IF(COUNTIF(tbl_Onsite[Job Number],A117&amp;"")&gt;0,"Onsite",IF(COUNTIF(tbl_Production[Job Number],A117&amp;"")&gt;0,"Production",IF(COUNTIF(tbl_Consulting[Job Number],A117&amp;"")&gt;0,"Consulting","not set up yet"))))</f>
        <v/>
      </c>
      <c r="H117" s="26">
        <f>IF(A117="","",IF(COUNTIF(lst_Jobs,A117&amp;"")&gt;0,"OK","CHECK"))</f>
        <v/>
      </c>
      <c r="I117" s="26">
        <f>IF(A117="","",IFERROR(INDEX(lst_JobName,MATCH(A117&amp;"",lst_Jobs,0)),""))</f>
        <v/>
      </c>
      <c r="J117" s="26">
        <f>IF(A117="","",IFERROR(IF(INDEX(tbl_Onsite[Client],IFERROR(MATCH(A117&amp;"",tbl_Onsite[Job Number],0),MATCH(IFERROR(A117+0,A117),tbl_Onsite[Job Number],0)))="","",INDEX(tbl_Onsite[Client],IFERROR(MATCH(A117&amp;"",tbl_Onsite[Job Number],0),MATCH(IFERROR(A117+0,A117),tbl_Onsite[Job Number],0)))),IFERROR(IF(INDEX(tbl_Production[Client],IFERROR(MATCH(A117&amp;"",tbl_Production[Job Number],0),MATCH(IFERROR(A117+0,A117),tbl_Production[Job Number],0)))="","",INDEX(tbl_Production[Client],IFERROR(MATCH(A117&amp;"",tbl_Production[Job Number],0),MATCH(IFERROR(A117+0,A117),tbl_Production[Job Number],0)))),IFERROR(IF(INDEX(tbl_Consulting[Client],IFERROR(MATCH(A117&amp;"",tbl_Consulting[Job Number],0),MATCH(IFERROR(A117+0,A117),tbl_Consulting[Job Number],0)))="","",INDEX(tbl_Consulting[Client],IFERROR(MATCH(A117&amp;"",tbl_Consulting[Job Number],0),MATCH(IFERROR(A117+0,A117),tbl_Consulting[Job Number],0)))),""))))</f>
        <v/>
      </c>
      <c r="K117" s="26">
        <f>IF(A117="","",IFERROR(IF(INDEX(tbl_Onsite[Job Description],IFERROR(MATCH(A117&amp;"",tbl_Onsite[Job Number],0),MATCH(IFERROR(A117+0,A117),tbl_Onsite[Job Number],0)))="","",INDEX(tbl_Onsite[Job Description],IFERROR(MATCH(A117&amp;"",tbl_Onsite[Job Number],0),MATCH(IFERROR(A117+0,A117),tbl_Onsite[Job Number],0)))),IFERROR(IF(INDEX(tbl_Production[Job Description],IFERROR(MATCH(A117&amp;"",tbl_Production[Job Number],0),MATCH(IFERROR(A117+0,A117),tbl_Production[Job Number],0)))="","",INDEX(tbl_Production[Job Description],IFERROR(MATCH(A117&amp;"",tbl_Production[Job Number],0),MATCH(IFERROR(A117+0,A117),tbl_Production[Job Number],0)))),IFERROR(IF(INDEX(tbl_Consulting[Job Description],IFERROR(MATCH(A117&amp;"",tbl_Consulting[Job Number],0),MATCH(IFERROR(A117+0,A117),tbl_Consulting[Job Number],0)))="","",INDEX(tbl_Consulting[Job Description],IFERROR(MATCH(A117&amp;"",tbl_Consulting[Job Number],0),MATCH(IFERROR(A117+0,A117),tbl_Consulting[Job Number],0)))),""))))</f>
        <v/>
      </c>
      <c r="L117" s="26">
        <f>IF(A117="","",IFERROR(IF(INDEX(tbl_Onsite[Invoice Type],IFERROR(MATCH(A117&amp;"",tbl_Onsite[Job Number],0),MATCH(IFERROR(A117+0,A117),tbl_Onsite[Job Number],0)))="","",INDEX(tbl_Onsite[Invoice Type],IFERROR(MATCH(A117&amp;"",tbl_Onsite[Job Number],0),MATCH(IFERROR(A117+0,A117),tbl_Onsite[Job Number],0)))),IFERROR(IF(INDEX(tbl_Production[Invoice Type],IFERROR(MATCH(A117&amp;"",tbl_Production[Job Number],0),MATCH(IFERROR(A117+0,A117),tbl_Production[Job Number],0)))="","",INDEX(tbl_Production[Invoice Type],IFERROR(MATCH(A117&amp;"",tbl_Production[Job Number],0),MATCH(IFERROR(A117+0,A117),tbl_Production[Job Number],0)))),IFERROR(IF(INDEX(tbl_Consulting[Invoice Type],IFERROR(MATCH(A117&amp;"",tbl_Consulting[Job Number],0),MATCH(IFERROR(A117+0,A117),tbl_Consulting[Job Number],0)))="","",INDEX(tbl_Consulting[Invoice Type],IFERROR(MATCH(A117&amp;"",tbl_Consulting[Job Number],0),MATCH(IFERROR(A117+0,A117),tbl_Consulting[Job Number],0)))),""))))</f>
        <v/>
      </c>
      <c r="M117" s="26">
        <f>IF(A117="","",IF(IFERROR(IF(INDEX(tbl_Onsite[Tax Code],IFERROR(MATCH(A117&amp;"",tbl_Onsite[Job Number],0),MATCH(IFERROR(A117+0,A117),tbl_Onsite[Job Number],0)))="","",INDEX(tbl_Onsite[Tax Code],IFERROR(MATCH(A117&amp;"",tbl_Onsite[Job Number],0),MATCH(IFERROR(A117+0,A117),tbl_Onsite[Job Number],0)))),IFERROR(IF(INDEX(tbl_Production[Tax Code],IFERROR(MATCH(A117&amp;"",tbl_Production[Job Number],0),MATCH(IFERROR(A117+0,A117),tbl_Production[Job Number],0)))="","",INDEX(tbl_Production[Tax Code],IFERROR(MATCH(A117&amp;"",tbl_Production[Job Number],0),MATCH(IFERROR(A117+0,A117),tbl_Production[Job Number],0)))),IFERROR(IF(INDEX(tbl_Consulting[Tax Code],IFERROR(MATCH(A117&amp;"",tbl_Consulting[Job Number],0),MATCH(IFERROR(A117+0,A117),tbl_Consulting[Job Number],0)))="","",INDEX(tbl_Consulting[Tax Code],IFERROR(MATCH(A117&amp;"",tbl_Consulting[Job Number],0),MATCH(IFERROR(A117+0,A117),tbl_Consulting[Job Number],0)))),"")))="","GST 10%",IFERROR(IF(INDEX(tbl_Onsite[Tax Code],IFERROR(MATCH(A117&amp;"",tbl_Onsite[Job Number],0),MATCH(IFERROR(A117+0,A117),tbl_Onsite[Job Number],0)))="","",INDEX(tbl_Onsite[Tax Code],IFERROR(MATCH(A117&amp;"",tbl_Onsite[Job Number],0),MATCH(IFERROR(A117+0,A117),tbl_Onsite[Job Number],0)))),IFERROR(IF(INDEX(tbl_Production[Tax Code],IFERROR(MATCH(A117&amp;"",tbl_Production[Job Number],0),MATCH(IFERROR(A117+0,A117),tbl_Production[Job Number],0)))="","",INDEX(tbl_Production[Tax Code],IFERROR(MATCH(A117&amp;"",tbl_Production[Job Number],0),MATCH(IFERROR(A117+0,A117),tbl_Production[Job Number],0)))),IFERROR(IF(INDEX(tbl_Consulting[Tax Code],IFERROR(MATCH(A117&amp;"",tbl_Consulting[Job Number],0),MATCH(IFERROR(A117+0,A117),tbl_Consulting[Job Number],0)))="","",INDEX(tbl_Consulting[Tax Code],IFERROR(MATCH(A117&amp;"",tbl_Consulting[Job Number],0),MATCH(IFERROR(A117+0,A117),tbl_Consulting[Job Number],0)))),"")))))</f>
        <v/>
      </c>
      <c r="N117" s="26">
        <f>IF(D117="","",IFERROR(INDEX(lst_CCtoGL,MATCH(D117,lst_CCforGL,0)),""))</f>
        <v/>
      </c>
      <c r="O117" s="27">
        <f>IF(E117="","",IF(M117="GST 10%",ROUND(E117*set_GSTRate,2),0))</f>
        <v/>
      </c>
      <c r="P117" s="27">
        <f>IF(E117="","",E117+O117)</f>
        <v/>
      </c>
      <c r="Q117" s="27">
        <f>IF(A117="","",IFERROR(INDEX(tbl_Onsite[Expected Revenue Ex GST],IFERROR(MATCH(A117&amp;"",tbl_Onsite[Job Number],0),MATCH(IFERROR(A117+0,A117),tbl_Onsite[Job Number],0))),IFERROR(INDEX(tbl_Production[Expected Revenue Ex GST],IFERROR(MATCH(A117&amp;"",tbl_Production[Job Number],0),MATCH(IFERROR(A117+0,A117),tbl_Production[Job Number],0))),IFERROR(INDEX(tbl_Consulting[Expected Revenue Ex GST],IFERROR(MATCH(A117&amp;"",tbl_Consulting[Job Number],0),MATCH(IFERROR(A117+0,A117),tbl_Consulting[Job Number],0))),0))))</f>
        <v/>
      </c>
      <c r="R117" s="27">
        <f>IF(A117="","",SUMIFS(tbl_Finance[Ex GST],tbl_Finance[Job Number],A117&amp;""))</f>
        <v/>
      </c>
      <c r="S117" s="27">
        <f>IF(A117="","",Q117-R117)</f>
        <v/>
      </c>
      <c r="T117" s="26">
        <f>IF(A117="","",IF(Q117=0,"No dept value",IF(ROUND(S117,2)=0,"Agrees",IF(S117&gt;0,"Dept higher - to invoice","Xero higher - check dept"))))</f>
        <v/>
      </c>
      <c r="U117" s="22" t="n"/>
      <c r="V117" s="22" t="n"/>
      <c r="W117" s="23" t="n"/>
      <c r="X117" s="23" t="n"/>
      <c r="Y117" s="22" t="n"/>
      <c r="Z117" s="22" t="n"/>
      <c r="AA117" s="26">
        <f>IF(COUNTA(C117,A117,B117,E117)=0,"",IF(C117="","No date - sits outside every month",IF(A117="","No job number",IF(H117="CHECK","Job number is not in the Xero job list",IF(G117="not set up yet","No department has set this job up - nothing can pull through",IF(D117="","No cost centre",IF(AND(U117="Y",B117=""),"Marked posted to Xero but has no invoice number",IF(N117="","Cost centre has no revenue GL on the Lists sheet",IF(T117="Xero higher - check dept","Invoiced more than the department says the job is worth","")))))))))</f>
        <v/>
      </c>
      <c r="AB117" s="28">
        <f>IF(A117="","",COUNTIFS(tbl_Finance[Job Number],A117&amp;"",tbl_Finance[Ex GST],"&lt;&gt;"))</f>
        <v/>
      </c>
      <c r="AC117" s="27">
        <f>IF(A117="","",SUMIFS(tbl_Finance[Ex GST],tbl_Finance[Job Number],A117&amp;""))</f>
        <v/>
      </c>
      <c r="AD117" s="27">
        <f>IF(A117="","",SUMIFS(tbl_Finance[Ex GST],tbl_Finance[Job Number],A117&amp;"",tbl_Finance[Xero Invoice No],"&lt;&gt;"))</f>
        <v/>
      </c>
      <c r="AE117" s="27">
        <f>IF(A117="","",AC117-AD117)</f>
        <v/>
      </c>
      <c r="AF117" s="26">
        <f>IF(A117="","",IFERROR(IF(INDEX(tbl_Onsite[Qwilr Quote],IFERROR(MATCH(A117&amp;"",tbl_Onsite[Job Number],0),MATCH(IFERROR(A117+0,A117),tbl_Onsite[Job Number],0)))="","",INDEX(tbl_Onsite[Qwilr Quote],IFERROR(MATCH(A117&amp;"",tbl_Onsite[Job Number],0),MATCH(IFERROR(A117+0,A117),tbl_Onsite[Job Number],0)))),IFERROR(IF(IF(INDEX(tbl_Production[Current RMS No],IFERROR(MATCH(A117&amp;"",tbl_Production[Job Number],0),MATCH(IFERROR(A117+0,A117),tbl_Production[Job Number],0)))="",INDEX(tbl_Production[Qwilr Quote],IFERROR(MATCH(A117&amp;"",tbl_Production[Job Number],0),MATCH(IFERROR(A117+0,A117),tbl_Production[Job Number],0))),INDEX(tbl_Production[Current RMS No],IFERROR(MATCH(A117&amp;"",tbl_Production[Job Number],0),MATCH(IFERROR(A117+0,A117),tbl_Production[Job Number],0))))="","",IF(INDEX(tbl_Production[Current RMS No],IFERROR(MATCH(A117&amp;"",tbl_Production[Job Number],0),MATCH(IFERROR(A117+0,A117),tbl_Production[Job Number],0)))="",INDEX(tbl_Production[Qwilr Quote],IFERROR(MATCH(A117&amp;"",tbl_Production[Job Number],0),MATCH(IFERROR(A117+0,A117),tbl_Production[Job Number],0))),INDEX(tbl_Production[Current RMS No],IFERROR(MATCH(A117&amp;"",tbl_Production[Job Number],0),MATCH(IFERROR(A117+0,A117),tbl_Production[Job Number],0))))),IFERROR(IF(INDEX(tbl_Consulting[Qwilr Quote],IFERROR(MATCH(A117&amp;"",tbl_Consulting[Job Number],0),MATCH(IFERROR(A117+0,A117),tbl_Consulting[Job Number],0)))="","",INDEX(tbl_Consulting[Qwilr Quote],IFERROR(MATCH(A117&amp;"",tbl_Consulting[Job Number],0),MATCH(IFERROR(A117+0,A117),tbl_Consulting[Job Number],0)))),""))))</f>
        <v/>
      </c>
      <c r="AG117" s="26">
        <f>IF(AF117="","",IF(AND(LEFT(AF117,4)&lt;&gt;"http",IF(G117="Production",set_RMSBase,set_QwilrBase)=""),"",HYPERLINK(IF(LEFT(AF117,4)="http",AF117,IF(G117="Production",set_RMSBase,set_QwilrBase)&amp;AF117),"Open")))</f>
        <v/>
      </c>
      <c r="AH117" s="27">
        <f>IF(A117="","",IFERROR(INDEX(tbl_Production[Total Expense],IFERROR(MATCH(A117&amp;"",tbl_Production[Job Number],0),MATCH(IFERROR(A117+0,A117),tbl_Production[Job Number],0))),IFERROR(INDEX(tbl_Consulting[Total Expense],IFERROR(MATCH(A117&amp;"",tbl_Consulting[Job Number],0),MATCH(IFERROR(A117+0,A117),tbl_Consulting[Job Number],0))),0)))</f>
        <v/>
      </c>
      <c r="AI117" s="27">
        <f>IF(A117="","",AC117-N(AH117))</f>
        <v/>
      </c>
      <c r="AJ117" s="29">
        <f>IFERROR(AI117/AC117,"")</f>
        <v/>
      </c>
      <c r="AK117" s="26">
        <f>IF(A117="","",IFERROR(IF(INDEX(tbl_Onsite[Notes],IFERROR(MATCH(A117&amp;"",tbl_Onsite[Job Number],0),MATCH(IFERROR(A117+0,A117),tbl_Onsite[Job Number],0)))="","",INDEX(tbl_Onsite[Notes],IFERROR(MATCH(A117&amp;"",tbl_Onsite[Job Number],0),MATCH(IFERROR(A117+0,A117),tbl_Onsite[Job Number],0)))),IFERROR(IF(INDEX(tbl_Production[Notes],IFERROR(MATCH(A117&amp;"",tbl_Production[Job Number],0),MATCH(IFERROR(A117+0,A117),tbl_Production[Job Number],0)))="","",INDEX(tbl_Production[Notes],IFERROR(MATCH(A117&amp;"",tbl_Production[Job Number],0),MATCH(IFERROR(A117+0,A117),tbl_Production[Job Number],0)))),IFERROR(IF(INDEX(tbl_Consulting[Notes],IFERROR(MATCH(A117&amp;"",tbl_Consulting[Job Number],0),MATCH(IFERROR(A117+0,A117),tbl_Consulting[Job Number],0)))="","",INDEX(tbl_Consulting[Notes],IFERROR(MATCH(A117&amp;"",tbl_Consulting[Job Number],0),MATCH(IFERROR(A117+0,A117),tbl_Consulting[Job Number],0)))),""))))</f>
        <v/>
      </c>
    </row>
    <row r="118" ht="15" customHeight="1">
      <c r="A118" s="22" t="n"/>
      <c r="B118" s="22" t="n"/>
      <c r="C118" s="23" t="n"/>
      <c r="D118" s="22" t="n"/>
      <c r="E118" s="24" t="n"/>
      <c r="F118" s="25">
        <f>IF(C118="","",EOMONTH(C118,0))</f>
        <v/>
      </c>
      <c r="G118" s="26">
        <f>IF(A118="","",IF(COUNTIF(tbl_Onsite[Job Number],A118&amp;"")&gt;0,"Onsite",IF(COUNTIF(tbl_Production[Job Number],A118&amp;"")&gt;0,"Production",IF(COUNTIF(tbl_Consulting[Job Number],A118&amp;"")&gt;0,"Consulting","not set up yet"))))</f>
        <v/>
      </c>
      <c r="H118" s="26">
        <f>IF(A118="","",IF(COUNTIF(lst_Jobs,A118&amp;"")&gt;0,"OK","CHECK"))</f>
        <v/>
      </c>
      <c r="I118" s="26">
        <f>IF(A118="","",IFERROR(INDEX(lst_JobName,MATCH(A118&amp;"",lst_Jobs,0)),""))</f>
        <v/>
      </c>
      <c r="J118" s="26">
        <f>IF(A118="","",IFERROR(IF(INDEX(tbl_Onsite[Client],IFERROR(MATCH(A118&amp;"",tbl_Onsite[Job Number],0),MATCH(IFERROR(A118+0,A118),tbl_Onsite[Job Number],0)))="","",INDEX(tbl_Onsite[Client],IFERROR(MATCH(A118&amp;"",tbl_Onsite[Job Number],0),MATCH(IFERROR(A118+0,A118),tbl_Onsite[Job Number],0)))),IFERROR(IF(INDEX(tbl_Production[Client],IFERROR(MATCH(A118&amp;"",tbl_Production[Job Number],0),MATCH(IFERROR(A118+0,A118),tbl_Production[Job Number],0)))="","",INDEX(tbl_Production[Client],IFERROR(MATCH(A118&amp;"",tbl_Production[Job Number],0),MATCH(IFERROR(A118+0,A118),tbl_Production[Job Number],0)))),IFERROR(IF(INDEX(tbl_Consulting[Client],IFERROR(MATCH(A118&amp;"",tbl_Consulting[Job Number],0),MATCH(IFERROR(A118+0,A118),tbl_Consulting[Job Number],0)))="","",INDEX(tbl_Consulting[Client],IFERROR(MATCH(A118&amp;"",tbl_Consulting[Job Number],0),MATCH(IFERROR(A118+0,A118),tbl_Consulting[Job Number],0)))),""))))</f>
        <v/>
      </c>
      <c r="K118" s="26">
        <f>IF(A118="","",IFERROR(IF(INDEX(tbl_Onsite[Job Description],IFERROR(MATCH(A118&amp;"",tbl_Onsite[Job Number],0),MATCH(IFERROR(A118+0,A118),tbl_Onsite[Job Number],0)))="","",INDEX(tbl_Onsite[Job Description],IFERROR(MATCH(A118&amp;"",tbl_Onsite[Job Number],0),MATCH(IFERROR(A118+0,A118),tbl_Onsite[Job Number],0)))),IFERROR(IF(INDEX(tbl_Production[Job Description],IFERROR(MATCH(A118&amp;"",tbl_Production[Job Number],0),MATCH(IFERROR(A118+0,A118),tbl_Production[Job Number],0)))="","",INDEX(tbl_Production[Job Description],IFERROR(MATCH(A118&amp;"",tbl_Production[Job Number],0),MATCH(IFERROR(A118+0,A118),tbl_Production[Job Number],0)))),IFERROR(IF(INDEX(tbl_Consulting[Job Description],IFERROR(MATCH(A118&amp;"",tbl_Consulting[Job Number],0),MATCH(IFERROR(A118+0,A118),tbl_Consulting[Job Number],0)))="","",INDEX(tbl_Consulting[Job Description],IFERROR(MATCH(A118&amp;"",tbl_Consulting[Job Number],0),MATCH(IFERROR(A118+0,A118),tbl_Consulting[Job Number],0)))),""))))</f>
        <v/>
      </c>
      <c r="L118" s="26">
        <f>IF(A118="","",IFERROR(IF(INDEX(tbl_Onsite[Invoice Type],IFERROR(MATCH(A118&amp;"",tbl_Onsite[Job Number],0),MATCH(IFERROR(A118+0,A118),tbl_Onsite[Job Number],0)))="","",INDEX(tbl_Onsite[Invoice Type],IFERROR(MATCH(A118&amp;"",tbl_Onsite[Job Number],0),MATCH(IFERROR(A118+0,A118),tbl_Onsite[Job Number],0)))),IFERROR(IF(INDEX(tbl_Production[Invoice Type],IFERROR(MATCH(A118&amp;"",tbl_Production[Job Number],0),MATCH(IFERROR(A118+0,A118),tbl_Production[Job Number],0)))="","",INDEX(tbl_Production[Invoice Type],IFERROR(MATCH(A118&amp;"",tbl_Production[Job Number],0),MATCH(IFERROR(A118+0,A118),tbl_Production[Job Number],0)))),IFERROR(IF(INDEX(tbl_Consulting[Invoice Type],IFERROR(MATCH(A118&amp;"",tbl_Consulting[Job Number],0),MATCH(IFERROR(A118+0,A118),tbl_Consulting[Job Number],0)))="","",INDEX(tbl_Consulting[Invoice Type],IFERROR(MATCH(A118&amp;"",tbl_Consulting[Job Number],0),MATCH(IFERROR(A118+0,A118),tbl_Consulting[Job Number],0)))),""))))</f>
        <v/>
      </c>
      <c r="M118" s="26">
        <f>IF(A118="","",IF(IFERROR(IF(INDEX(tbl_Onsite[Tax Code],IFERROR(MATCH(A118&amp;"",tbl_Onsite[Job Number],0),MATCH(IFERROR(A118+0,A118),tbl_Onsite[Job Number],0)))="","",INDEX(tbl_Onsite[Tax Code],IFERROR(MATCH(A118&amp;"",tbl_Onsite[Job Number],0),MATCH(IFERROR(A118+0,A118),tbl_Onsite[Job Number],0)))),IFERROR(IF(INDEX(tbl_Production[Tax Code],IFERROR(MATCH(A118&amp;"",tbl_Production[Job Number],0),MATCH(IFERROR(A118+0,A118),tbl_Production[Job Number],0)))="","",INDEX(tbl_Production[Tax Code],IFERROR(MATCH(A118&amp;"",tbl_Production[Job Number],0),MATCH(IFERROR(A118+0,A118),tbl_Production[Job Number],0)))),IFERROR(IF(INDEX(tbl_Consulting[Tax Code],IFERROR(MATCH(A118&amp;"",tbl_Consulting[Job Number],0),MATCH(IFERROR(A118+0,A118),tbl_Consulting[Job Number],0)))="","",INDEX(tbl_Consulting[Tax Code],IFERROR(MATCH(A118&amp;"",tbl_Consulting[Job Number],0),MATCH(IFERROR(A118+0,A118),tbl_Consulting[Job Number],0)))),"")))="","GST 10%",IFERROR(IF(INDEX(tbl_Onsite[Tax Code],IFERROR(MATCH(A118&amp;"",tbl_Onsite[Job Number],0),MATCH(IFERROR(A118+0,A118),tbl_Onsite[Job Number],0)))="","",INDEX(tbl_Onsite[Tax Code],IFERROR(MATCH(A118&amp;"",tbl_Onsite[Job Number],0),MATCH(IFERROR(A118+0,A118),tbl_Onsite[Job Number],0)))),IFERROR(IF(INDEX(tbl_Production[Tax Code],IFERROR(MATCH(A118&amp;"",tbl_Production[Job Number],0),MATCH(IFERROR(A118+0,A118),tbl_Production[Job Number],0)))="","",INDEX(tbl_Production[Tax Code],IFERROR(MATCH(A118&amp;"",tbl_Production[Job Number],0),MATCH(IFERROR(A118+0,A118),tbl_Production[Job Number],0)))),IFERROR(IF(INDEX(tbl_Consulting[Tax Code],IFERROR(MATCH(A118&amp;"",tbl_Consulting[Job Number],0),MATCH(IFERROR(A118+0,A118),tbl_Consulting[Job Number],0)))="","",INDEX(tbl_Consulting[Tax Code],IFERROR(MATCH(A118&amp;"",tbl_Consulting[Job Number],0),MATCH(IFERROR(A118+0,A118),tbl_Consulting[Job Number],0)))),"")))))</f>
        <v/>
      </c>
      <c r="N118" s="26">
        <f>IF(D118="","",IFERROR(INDEX(lst_CCtoGL,MATCH(D118,lst_CCforGL,0)),""))</f>
        <v/>
      </c>
      <c r="O118" s="27">
        <f>IF(E118="","",IF(M118="GST 10%",ROUND(E118*set_GSTRate,2),0))</f>
        <v/>
      </c>
      <c r="P118" s="27">
        <f>IF(E118="","",E118+O118)</f>
        <v/>
      </c>
      <c r="Q118" s="27">
        <f>IF(A118="","",IFERROR(INDEX(tbl_Onsite[Expected Revenue Ex GST],IFERROR(MATCH(A118&amp;"",tbl_Onsite[Job Number],0),MATCH(IFERROR(A118+0,A118),tbl_Onsite[Job Number],0))),IFERROR(INDEX(tbl_Production[Expected Revenue Ex GST],IFERROR(MATCH(A118&amp;"",tbl_Production[Job Number],0),MATCH(IFERROR(A118+0,A118),tbl_Production[Job Number],0))),IFERROR(INDEX(tbl_Consulting[Expected Revenue Ex GST],IFERROR(MATCH(A118&amp;"",tbl_Consulting[Job Number],0),MATCH(IFERROR(A118+0,A118),tbl_Consulting[Job Number],0))),0))))</f>
        <v/>
      </c>
      <c r="R118" s="27">
        <f>IF(A118="","",SUMIFS(tbl_Finance[Ex GST],tbl_Finance[Job Number],A118&amp;""))</f>
        <v/>
      </c>
      <c r="S118" s="27">
        <f>IF(A118="","",Q118-R118)</f>
        <v/>
      </c>
      <c r="T118" s="26">
        <f>IF(A118="","",IF(Q118=0,"No dept value",IF(ROUND(S118,2)=0,"Agrees",IF(S118&gt;0,"Dept higher - to invoice","Xero higher - check dept"))))</f>
        <v/>
      </c>
      <c r="U118" s="22" t="n"/>
      <c r="V118" s="22" t="n"/>
      <c r="W118" s="23" t="n"/>
      <c r="X118" s="23" t="n"/>
      <c r="Y118" s="22" t="n"/>
      <c r="Z118" s="22" t="n"/>
      <c r="AA118" s="26">
        <f>IF(COUNTA(C118,A118,B118,E118)=0,"",IF(C118="","No date - sits outside every month",IF(A118="","No job number",IF(H118="CHECK","Job number is not in the Xero job list",IF(G118="not set up yet","No department has set this job up - nothing can pull through",IF(D118="","No cost centre",IF(AND(U118="Y",B118=""),"Marked posted to Xero but has no invoice number",IF(N118="","Cost centre has no revenue GL on the Lists sheet",IF(T118="Xero higher - check dept","Invoiced more than the department says the job is worth","")))))))))</f>
        <v/>
      </c>
      <c r="AB118" s="28">
        <f>IF(A118="","",COUNTIFS(tbl_Finance[Job Number],A118&amp;"",tbl_Finance[Ex GST],"&lt;&gt;"))</f>
        <v/>
      </c>
      <c r="AC118" s="27">
        <f>IF(A118="","",SUMIFS(tbl_Finance[Ex GST],tbl_Finance[Job Number],A118&amp;""))</f>
        <v/>
      </c>
      <c r="AD118" s="27">
        <f>IF(A118="","",SUMIFS(tbl_Finance[Ex GST],tbl_Finance[Job Number],A118&amp;"",tbl_Finance[Xero Invoice No],"&lt;&gt;"))</f>
        <v/>
      </c>
      <c r="AE118" s="27">
        <f>IF(A118="","",AC118-AD118)</f>
        <v/>
      </c>
      <c r="AF118" s="26">
        <f>IF(A118="","",IFERROR(IF(INDEX(tbl_Onsite[Qwilr Quote],IFERROR(MATCH(A118&amp;"",tbl_Onsite[Job Number],0),MATCH(IFERROR(A118+0,A118),tbl_Onsite[Job Number],0)))="","",INDEX(tbl_Onsite[Qwilr Quote],IFERROR(MATCH(A118&amp;"",tbl_Onsite[Job Number],0),MATCH(IFERROR(A118+0,A118),tbl_Onsite[Job Number],0)))),IFERROR(IF(IF(INDEX(tbl_Production[Current RMS No],IFERROR(MATCH(A118&amp;"",tbl_Production[Job Number],0),MATCH(IFERROR(A118+0,A118),tbl_Production[Job Number],0)))="",INDEX(tbl_Production[Qwilr Quote],IFERROR(MATCH(A118&amp;"",tbl_Production[Job Number],0),MATCH(IFERROR(A118+0,A118),tbl_Production[Job Number],0))),INDEX(tbl_Production[Current RMS No],IFERROR(MATCH(A118&amp;"",tbl_Production[Job Number],0),MATCH(IFERROR(A118+0,A118),tbl_Production[Job Number],0))))="","",IF(INDEX(tbl_Production[Current RMS No],IFERROR(MATCH(A118&amp;"",tbl_Production[Job Number],0),MATCH(IFERROR(A118+0,A118),tbl_Production[Job Number],0)))="",INDEX(tbl_Production[Qwilr Quote],IFERROR(MATCH(A118&amp;"",tbl_Production[Job Number],0),MATCH(IFERROR(A118+0,A118),tbl_Production[Job Number],0))),INDEX(tbl_Production[Current RMS No],IFERROR(MATCH(A118&amp;"",tbl_Production[Job Number],0),MATCH(IFERROR(A118+0,A118),tbl_Production[Job Number],0))))),IFERROR(IF(INDEX(tbl_Consulting[Qwilr Quote],IFERROR(MATCH(A118&amp;"",tbl_Consulting[Job Number],0),MATCH(IFERROR(A118+0,A118),tbl_Consulting[Job Number],0)))="","",INDEX(tbl_Consulting[Qwilr Quote],IFERROR(MATCH(A118&amp;"",tbl_Consulting[Job Number],0),MATCH(IFERROR(A118+0,A118),tbl_Consulting[Job Number],0)))),""))))</f>
        <v/>
      </c>
      <c r="AG118" s="26">
        <f>IF(AF118="","",IF(AND(LEFT(AF118,4)&lt;&gt;"http",IF(G118="Production",set_RMSBase,set_QwilrBase)=""),"",HYPERLINK(IF(LEFT(AF118,4)="http",AF118,IF(G118="Production",set_RMSBase,set_QwilrBase)&amp;AF118),"Open")))</f>
        <v/>
      </c>
      <c r="AH118" s="27">
        <f>IF(A118="","",IFERROR(INDEX(tbl_Production[Total Expense],IFERROR(MATCH(A118&amp;"",tbl_Production[Job Number],0),MATCH(IFERROR(A118+0,A118),tbl_Production[Job Number],0))),IFERROR(INDEX(tbl_Consulting[Total Expense],IFERROR(MATCH(A118&amp;"",tbl_Consulting[Job Number],0),MATCH(IFERROR(A118+0,A118),tbl_Consulting[Job Number],0))),0)))</f>
        <v/>
      </c>
      <c r="AI118" s="27">
        <f>IF(A118="","",AC118-N(AH118))</f>
        <v/>
      </c>
      <c r="AJ118" s="29">
        <f>IFERROR(AI118/AC118,"")</f>
        <v/>
      </c>
      <c r="AK118" s="26">
        <f>IF(A118="","",IFERROR(IF(INDEX(tbl_Onsite[Notes],IFERROR(MATCH(A118&amp;"",tbl_Onsite[Job Number],0),MATCH(IFERROR(A118+0,A118),tbl_Onsite[Job Number],0)))="","",INDEX(tbl_Onsite[Notes],IFERROR(MATCH(A118&amp;"",tbl_Onsite[Job Number],0),MATCH(IFERROR(A118+0,A118),tbl_Onsite[Job Number],0)))),IFERROR(IF(INDEX(tbl_Production[Notes],IFERROR(MATCH(A118&amp;"",tbl_Production[Job Number],0),MATCH(IFERROR(A118+0,A118),tbl_Production[Job Number],0)))="","",INDEX(tbl_Production[Notes],IFERROR(MATCH(A118&amp;"",tbl_Production[Job Number],0),MATCH(IFERROR(A118+0,A118),tbl_Production[Job Number],0)))),IFERROR(IF(INDEX(tbl_Consulting[Notes],IFERROR(MATCH(A118&amp;"",tbl_Consulting[Job Number],0),MATCH(IFERROR(A118+0,A118),tbl_Consulting[Job Number],0)))="","",INDEX(tbl_Consulting[Notes],IFERROR(MATCH(A118&amp;"",tbl_Consulting[Job Number],0),MATCH(IFERROR(A118+0,A118),tbl_Consulting[Job Number],0)))),""))))</f>
        <v/>
      </c>
    </row>
    <row r="119" ht="15" customHeight="1">
      <c r="A119" s="22" t="n"/>
      <c r="B119" s="22" t="n"/>
      <c r="C119" s="23" t="n"/>
      <c r="D119" s="22" t="n"/>
      <c r="E119" s="24" t="n"/>
      <c r="F119" s="25">
        <f>IF(C119="","",EOMONTH(C119,0))</f>
        <v/>
      </c>
      <c r="G119" s="26">
        <f>IF(A119="","",IF(COUNTIF(tbl_Onsite[Job Number],A119&amp;"")&gt;0,"Onsite",IF(COUNTIF(tbl_Production[Job Number],A119&amp;"")&gt;0,"Production",IF(COUNTIF(tbl_Consulting[Job Number],A119&amp;"")&gt;0,"Consulting","not set up yet"))))</f>
        <v/>
      </c>
      <c r="H119" s="26">
        <f>IF(A119="","",IF(COUNTIF(lst_Jobs,A119&amp;"")&gt;0,"OK","CHECK"))</f>
        <v/>
      </c>
      <c r="I119" s="26">
        <f>IF(A119="","",IFERROR(INDEX(lst_JobName,MATCH(A119&amp;"",lst_Jobs,0)),""))</f>
        <v/>
      </c>
      <c r="J119" s="26">
        <f>IF(A119="","",IFERROR(IF(INDEX(tbl_Onsite[Client],IFERROR(MATCH(A119&amp;"",tbl_Onsite[Job Number],0),MATCH(IFERROR(A119+0,A119),tbl_Onsite[Job Number],0)))="","",INDEX(tbl_Onsite[Client],IFERROR(MATCH(A119&amp;"",tbl_Onsite[Job Number],0),MATCH(IFERROR(A119+0,A119),tbl_Onsite[Job Number],0)))),IFERROR(IF(INDEX(tbl_Production[Client],IFERROR(MATCH(A119&amp;"",tbl_Production[Job Number],0),MATCH(IFERROR(A119+0,A119),tbl_Production[Job Number],0)))="","",INDEX(tbl_Production[Client],IFERROR(MATCH(A119&amp;"",tbl_Production[Job Number],0),MATCH(IFERROR(A119+0,A119),tbl_Production[Job Number],0)))),IFERROR(IF(INDEX(tbl_Consulting[Client],IFERROR(MATCH(A119&amp;"",tbl_Consulting[Job Number],0),MATCH(IFERROR(A119+0,A119),tbl_Consulting[Job Number],0)))="","",INDEX(tbl_Consulting[Client],IFERROR(MATCH(A119&amp;"",tbl_Consulting[Job Number],0),MATCH(IFERROR(A119+0,A119),tbl_Consulting[Job Number],0)))),""))))</f>
        <v/>
      </c>
      <c r="K119" s="26">
        <f>IF(A119="","",IFERROR(IF(INDEX(tbl_Onsite[Job Description],IFERROR(MATCH(A119&amp;"",tbl_Onsite[Job Number],0),MATCH(IFERROR(A119+0,A119),tbl_Onsite[Job Number],0)))="","",INDEX(tbl_Onsite[Job Description],IFERROR(MATCH(A119&amp;"",tbl_Onsite[Job Number],0),MATCH(IFERROR(A119+0,A119),tbl_Onsite[Job Number],0)))),IFERROR(IF(INDEX(tbl_Production[Job Description],IFERROR(MATCH(A119&amp;"",tbl_Production[Job Number],0),MATCH(IFERROR(A119+0,A119),tbl_Production[Job Number],0)))="","",INDEX(tbl_Production[Job Description],IFERROR(MATCH(A119&amp;"",tbl_Production[Job Number],0),MATCH(IFERROR(A119+0,A119),tbl_Production[Job Number],0)))),IFERROR(IF(INDEX(tbl_Consulting[Job Description],IFERROR(MATCH(A119&amp;"",tbl_Consulting[Job Number],0),MATCH(IFERROR(A119+0,A119),tbl_Consulting[Job Number],0)))="","",INDEX(tbl_Consulting[Job Description],IFERROR(MATCH(A119&amp;"",tbl_Consulting[Job Number],0),MATCH(IFERROR(A119+0,A119),tbl_Consulting[Job Number],0)))),""))))</f>
        <v/>
      </c>
      <c r="L119" s="26">
        <f>IF(A119="","",IFERROR(IF(INDEX(tbl_Onsite[Invoice Type],IFERROR(MATCH(A119&amp;"",tbl_Onsite[Job Number],0),MATCH(IFERROR(A119+0,A119),tbl_Onsite[Job Number],0)))="","",INDEX(tbl_Onsite[Invoice Type],IFERROR(MATCH(A119&amp;"",tbl_Onsite[Job Number],0),MATCH(IFERROR(A119+0,A119),tbl_Onsite[Job Number],0)))),IFERROR(IF(INDEX(tbl_Production[Invoice Type],IFERROR(MATCH(A119&amp;"",tbl_Production[Job Number],0),MATCH(IFERROR(A119+0,A119),tbl_Production[Job Number],0)))="","",INDEX(tbl_Production[Invoice Type],IFERROR(MATCH(A119&amp;"",tbl_Production[Job Number],0),MATCH(IFERROR(A119+0,A119),tbl_Production[Job Number],0)))),IFERROR(IF(INDEX(tbl_Consulting[Invoice Type],IFERROR(MATCH(A119&amp;"",tbl_Consulting[Job Number],0),MATCH(IFERROR(A119+0,A119),tbl_Consulting[Job Number],0)))="","",INDEX(tbl_Consulting[Invoice Type],IFERROR(MATCH(A119&amp;"",tbl_Consulting[Job Number],0),MATCH(IFERROR(A119+0,A119),tbl_Consulting[Job Number],0)))),""))))</f>
        <v/>
      </c>
      <c r="M119" s="26">
        <f>IF(A119="","",IF(IFERROR(IF(INDEX(tbl_Onsite[Tax Code],IFERROR(MATCH(A119&amp;"",tbl_Onsite[Job Number],0),MATCH(IFERROR(A119+0,A119),tbl_Onsite[Job Number],0)))="","",INDEX(tbl_Onsite[Tax Code],IFERROR(MATCH(A119&amp;"",tbl_Onsite[Job Number],0),MATCH(IFERROR(A119+0,A119),tbl_Onsite[Job Number],0)))),IFERROR(IF(INDEX(tbl_Production[Tax Code],IFERROR(MATCH(A119&amp;"",tbl_Production[Job Number],0),MATCH(IFERROR(A119+0,A119),tbl_Production[Job Number],0)))="","",INDEX(tbl_Production[Tax Code],IFERROR(MATCH(A119&amp;"",tbl_Production[Job Number],0),MATCH(IFERROR(A119+0,A119),tbl_Production[Job Number],0)))),IFERROR(IF(INDEX(tbl_Consulting[Tax Code],IFERROR(MATCH(A119&amp;"",tbl_Consulting[Job Number],0),MATCH(IFERROR(A119+0,A119),tbl_Consulting[Job Number],0)))="","",INDEX(tbl_Consulting[Tax Code],IFERROR(MATCH(A119&amp;"",tbl_Consulting[Job Number],0),MATCH(IFERROR(A119+0,A119),tbl_Consulting[Job Number],0)))),"")))="","GST 10%",IFERROR(IF(INDEX(tbl_Onsite[Tax Code],IFERROR(MATCH(A119&amp;"",tbl_Onsite[Job Number],0),MATCH(IFERROR(A119+0,A119),tbl_Onsite[Job Number],0)))="","",INDEX(tbl_Onsite[Tax Code],IFERROR(MATCH(A119&amp;"",tbl_Onsite[Job Number],0),MATCH(IFERROR(A119+0,A119),tbl_Onsite[Job Number],0)))),IFERROR(IF(INDEX(tbl_Production[Tax Code],IFERROR(MATCH(A119&amp;"",tbl_Production[Job Number],0),MATCH(IFERROR(A119+0,A119),tbl_Production[Job Number],0)))="","",INDEX(tbl_Production[Tax Code],IFERROR(MATCH(A119&amp;"",tbl_Production[Job Number],0),MATCH(IFERROR(A119+0,A119),tbl_Production[Job Number],0)))),IFERROR(IF(INDEX(tbl_Consulting[Tax Code],IFERROR(MATCH(A119&amp;"",tbl_Consulting[Job Number],0),MATCH(IFERROR(A119+0,A119),tbl_Consulting[Job Number],0)))="","",INDEX(tbl_Consulting[Tax Code],IFERROR(MATCH(A119&amp;"",tbl_Consulting[Job Number],0),MATCH(IFERROR(A119+0,A119),tbl_Consulting[Job Number],0)))),"")))))</f>
        <v/>
      </c>
      <c r="N119" s="26">
        <f>IF(D119="","",IFERROR(INDEX(lst_CCtoGL,MATCH(D119,lst_CCforGL,0)),""))</f>
        <v/>
      </c>
      <c r="O119" s="27">
        <f>IF(E119="","",IF(M119="GST 10%",ROUND(E119*set_GSTRate,2),0))</f>
        <v/>
      </c>
      <c r="P119" s="27">
        <f>IF(E119="","",E119+O119)</f>
        <v/>
      </c>
      <c r="Q119" s="27">
        <f>IF(A119="","",IFERROR(INDEX(tbl_Onsite[Expected Revenue Ex GST],IFERROR(MATCH(A119&amp;"",tbl_Onsite[Job Number],0),MATCH(IFERROR(A119+0,A119),tbl_Onsite[Job Number],0))),IFERROR(INDEX(tbl_Production[Expected Revenue Ex GST],IFERROR(MATCH(A119&amp;"",tbl_Production[Job Number],0),MATCH(IFERROR(A119+0,A119),tbl_Production[Job Number],0))),IFERROR(INDEX(tbl_Consulting[Expected Revenue Ex GST],IFERROR(MATCH(A119&amp;"",tbl_Consulting[Job Number],0),MATCH(IFERROR(A119+0,A119),tbl_Consulting[Job Number],0))),0))))</f>
        <v/>
      </c>
      <c r="R119" s="27">
        <f>IF(A119="","",SUMIFS(tbl_Finance[Ex GST],tbl_Finance[Job Number],A119&amp;""))</f>
        <v/>
      </c>
      <c r="S119" s="27">
        <f>IF(A119="","",Q119-R119)</f>
        <v/>
      </c>
      <c r="T119" s="26">
        <f>IF(A119="","",IF(Q119=0,"No dept value",IF(ROUND(S119,2)=0,"Agrees",IF(S119&gt;0,"Dept higher - to invoice","Xero higher - check dept"))))</f>
        <v/>
      </c>
      <c r="U119" s="22" t="n"/>
      <c r="V119" s="22" t="n"/>
      <c r="W119" s="23" t="n"/>
      <c r="X119" s="23" t="n"/>
      <c r="Y119" s="22" t="n"/>
      <c r="Z119" s="22" t="n"/>
      <c r="AA119" s="26">
        <f>IF(COUNTA(C119,A119,B119,E119)=0,"",IF(C119="","No date - sits outside every month",IF(A119="","No job number",IF(H119="CHECK","Job number is not in the Xero job list",IF(G119="not set up yet","No department has set this job up - nothing can pull through",IF(D119="","No cost centre",IF(AND(U119="Y",B119=""),"Marked posted to Xero but has no invoice number",IF(N119="","Cost centre has no revenue GL on the Lists sheet",IF(T119="Xero higher - check dept","Invoiced more than the department says the job is worth","")))))))))</f>
        <v/>
      </c>
      <c r="AB119" s="28">
        <f>IF(A119="","",COUNTIFS(tbl_Finance[Job Number],A119&amp;"",tbl_Finance[Ex GST],"&lt;&gt;"))</f>
        <v/>
      </c>
      <c r="AC119" s="27">
        <f>IF(A119="","",SUMIFS(tbl_Finance[Ex GST],tbl_Finance[Job Number],A119&amp;""))</f>
        <v/>
      </c>
      <c r="AD119" s="27">
        <f>IF(A119="","",SUMIFS(tbl_Finance[Ex GST],tbl_Finance[Job Number],A119&amp;"",tbl_Finance[Xero Invoice No],"&lt;&gt;"))</f>
        <v/>
      </c>
      <c r="AE119" s="27">
        <f>IF(A119="","",AC119-AD119)</f>
        <v/>
      </c>
      <c r="AF119" s="26">
        <f>IF(A119="","",IFERROR(IF(INDEX(tbl_Onsite[Qwilr Quote],IFERROR(MATCH(A119&amp;"",tbl_Onsite[Job Number],0),MATCH(IFERROR(A119+0,A119),tbl_Onsite[Job Number],0)))="","",INDEX(tbl_Onsite[Qwilr Quote],IFERROR(MATCH(A119&amp;"",tbl_Onsite[Job Number],0),MATCH(IFERROR(A119+0,A119),tbl_Onsite[Job Number],0)))),IFERROR(IF(IF(INDEX(tbl_Production[Current RMS No],IFERROR(MATCH(A119&amp;"",tbl_Production[Job Number],0),MATCH(IFERROR(A119+0,A119),tbl_Production[Job Number],0)))="",INDEX(tbl_Production[Qwilr Quote],IFERROR(MATCH(A119&amp;"",tbl_Production[Job Number],0),MATCH(IFERROR(A119+0,A119),tbl_Production[Job Number],0))),INDEX(tbl_Production[Current RMS No],IFERROR(MATCH(A119&amp;"",tbl_Production[Job Number],0),MATCH(IFERROR(A119+0,A119),tbl_Production[Job Number],0))))="","",IF(INDEX(tbl_Production[Current RMS No],IFERROR(MATCH(A119&amp;"",tbl_Production[Job Number],0),MATCH(IFERROR(A119+0,A119),tbl_Production[Job Number],0)))="",INDEX(tbl_Production[Qwilr Quote],IFERROR(MATCH(A119&amp;"",tbl_Production[Job Number],0),MATCH(IFERROR(A119+0,A119),tbl_Production[Job Number],0))),INDEX(tbl_Production[Current RMS No],IFERROR(MATCH(A119&amp;"",tbl_Production[Job Number],0),MATCH(IFERROR(A119+0,A119),tbl_Production[Job Number],0))))),IFERROR(IF(INDEX(tbl_Consulting[Qwilr Quote],IFERROR(MATCH(A119&amp;"",tbl_Consulting[Job Number],0),MATCH(IFERROR(A119+0,A119),tbl_Consulting[Job Number],0)))="","",INDEX(tbl_Consulting[Qwilr Quote],IFERROR(MATCH(A119&amp;"",tbl_Consulting[Job Number],0),MATCH(IFERROR(A119+0,A119),tbl_Consulting[Job Number],0)))),""))))</f>
        <v/>
      </c>
      <c r="AG119" s="26">
        <f>IF(AF119="","",IF(AND(LEFT(AF119,4)&lt;&gt;"http",IF(G119="Production",set_RMSBase,set_QwilrBase)=""),"",HYPERLINK(IF(LEFT(AF119,4)="http",AF119,IF(G119="Production",set_RMSBase,set_QwilrBase)&amp;AF119),"Open")))</f>
        <v/>
      </c>
      <c r="AH119" s="27">
        <f>IF(A119="","",IFERROR(INDEX(tbl_Production[Total Expense],IFERROR(MATCH(A119&amp;"",tbl_Production[Job Number],0),MATCH(IFERROR(A119+0,A119),tbl_Production[Job Number],0))),IFERROR(INDEX(tbl_Consulting[Total Expense],IFERROR(MATCH(A119&amp;"",tbl_Consulting[Job Number],0),MATCH(IFERROR(A119+0,A119),tbl_Consulting[Job Number],0))),0)))</f>
        <v/>
      </c>
      <c r="AI119" s="27">
        <f>IF(A119="","",AC119-N(AH119))</f>
        <v/>
      </c>
      <c r="AJ119" s="29">
        <f>IFERROR(AI119/AC119,"")</f>
        <v/>
      </c>
      <c r="AK119" s="26">
        <f>IF(A119="","",IFERROR(IF(INDEX(tbl_Onsite[Notes],IFERROR(MATCH(A119&amp;"",tbl_Onsite[Job Number],0),MATCH(IFERROR(A119+0,A119),tbl_Onsite[Job Number],0)))="","",INDEX(tbl_Onsite[Notes],IFERROR(MATCH(A119&amp;"",tbl_Onsite[Job Number],0),MATCH(IFERROR(A119+0,A119),tbl_Onsite[Job Number],0)))),IFERROR(IF(INDEX(tbl_Production[Notes],IFERROR(MATCH(A119&amp;"",tbl_Production[Job Number],0),MATCH(IFERROR(A119+0,A119),tbl_Production[Job Number],0)))="","",INDEX(tbl_Production[Notes],IFERROR(MATCH(A119&amp;"",tbl_Production[Job Number],0),MATCH(IFERROR(A119+0,A119),tbl_Production[Job Number],0)))),IFERROR(IF(INDEX(tbl_Consulting[Notes],IFERROR(MATCH(A119&amp;"",tbl_Consulting[Job Number],0),MATCH(IFERROR(A119+0,A119),tbl_Consulting[Job Number],0)))="","",INDEX(tbl_Consulting[Notes],IFERROR(MATCH(A119&amp;"",tbl_Consulting[Job Number],0),MATCH(IFERROR(A119+0,A119),tbl_Consulting[Job Number],0)))),""))))</f>
        <v/>
      </c>
    </row>
    <row r="120" ht="15" customHeight="1">
      <c r="A120" s="22" t="n"/>
      <c r="B120" s="22" t="n"/>
      <c r="C120" s="23" t="n"/>
      <c r="D120" s="22" t="n"/>
      <c r="E120" s="24" t="n"/>
      <c r="F120" s="25">
        <f>IF(C120="","",EOMONTH(C120,0))</f>
        <v/>
      </c>
      <c r="G120" s="26">
        <f>IF(A120="","",IF(COUNTIF(tbl_Onsite[Job Number],A120&amp;"")&gt;0,"Onsite",IF(COUNTIF(tbl_Production[Job Number],A120&amp;"")&gt;0,"Production",IF(COUNTIF(tbl_Consulting[Job Number],A120&amp;"")&gt;0,"Consulting","not set up yet"))))</f>
        <v/>
      </c>
      <c r="H120" s="26">
        <f>IF(A120="","",IF(COUNTIF(lst_Jobs,A120&amp;"")&gt;0,"OK","CHECK"))</f>
        <v/>
      </c>
      <c r="I120" s="26">
        <f>IF(A120="","",IFERROR(INDEX(lst_JobName,MATCH(A120&amp;"",lst_Jobs,0)),""))</f>
        <v/>
      </c>
      <c r="J120" s="26">
        <f>IF(A120="","",IFERROR(IF(INDEX(tbl_Onsite[Client],IFERROR(MATCH(A120&amp;"",tbl_Onsite[Job Number],0),MATCH(IFERROR(A120+0,A120),tbl_Onsite[Job Number],0)))="","",INDEX(tbl_Onsite[Client],IFERROR(MATCH(A120&amp;"",tbl_Onsite[Job Number],0),MATCH(IFERROR(A120+0,A120),tbl_Onsite[Job Number],0)))),IFERROR(IF(INDEX(tbl_Production[Client],IFERROR(MATCH(A120&amp;"",tbl_Production[Job Number],0),MATCH(IFERROR(A120+0,A120),tbl_Production[Job Number],0)))="","",INDEX(tbl_Production[Client],IFERROR(MATCH(A120&amp;"",tbl_Production[Job Number],0),MATCH(IFERROR(A120+0,A120),tbl_Production[Job Number],0)))),IFERROR(IF(INDEX(tbl_Consulting[Client],IFERROR(MATCH(A120&amp;"",tbl_Consulting[Job Number],0),MATCH(IFERROR(A120+0,A120),tbl_Consulting[Job Number],0)))="","",INDEX(tbl_Consulting[Client],IFERROR(MATCH(A120&amp;"",tbl_Consulting[Job Number],0),MATCH(IFERROR(A120+0,A120),tbl_Consulting[Job Number],0)))),""))))</f>
        <v/>
      </c>
      <c r="K120" s="26">
        <f>IF(A120="","",IFERROR(IF(INDEX(tbl_Onsite[Job Description],IFERROR(MATCH(A120&amp;"",tbl_Onsite[Job Number],0),MATCH(IFERROR(A120+0,A120),tbl_Onsite[Job Number],0)))="","",INDEX(tbl_Onsite[Job Description],IFERROR(MATCH(A120&amp;"",tbl_Onsite[Job Number],0),MATCH(IFERROR(A120+0,A120),tbl_Onsite[Job Number],0)))),IFERROR(IF(INDEX(tbl_Production[Job Description],IFERROR(MATCH(A120&amp;"",tbl_Production[Job Number],0),MATCH(IFERROR(A120+0,A120),tbl_Production[Job Number],0)))="","",INDEX(tbl_Production[Job Description],IFERROR(MATCH(A120&amp;"",tbl_Production[Job Number],0),MATCH(IFERROR(A120+0,A120),tbl_Production[Job Number],0)))),IFERROR(IF(INDEX(tbl_Consulting[Job Description],IFERROR(MATCH(A120&amp;"",tbl_Consulting[Job Number],0),MATCH(IFERROR(A120+0,A120),tbl_Consulting[Job Number],0)))="","",INDEX(tbl_Consulting[Job Description],IFERROR(MATCH(A120&amp;"",tbl_Consulting[Job Number],0),MATCH(IFERROR(A120+0,A120),tbl_Consulting[Job Number],0)))),""))))</f>
        <v/>
      </c>
      <c r="L120" s="26">
        <f>IF(A120="","",IFERROR(IF(INDEX(tbl_Onsite[Invoice Type],IFERROR(MATCH(A120&amp;"",tbl_Onsite[Job Number],0),MATCH(IFERROR(A120+0,A120),tbl_Onsite[Job Number],0)))="","",INDEX(tbl_Onsite[Invoice Type],IFERROR(MATCH(A120&amp;"",tbl_Onsite[Job Number],0),MATCH(IFERROR(A120+0,A120),tbl_Onsite[Job Number],0)))),IFERROR(IF(INDEX(tbl_Production[Invoice Type],IFERROR(MATCH(A120&amp;"",tbl_Production[Job Number],0),MATCH(IFERROR(A120+0,A120),tbl_Production[Job Number],0)))="","",INDEX(tbl_Production[Invoice Type],IFERROR(MATCH(A120&amp;"",tbl_Production[Job Number],0),MATCH(IFERROR(A120+0,A120),tbl_Production[Job Number],0)))),IFERROR(IF(INDEX(tbl_Consulting[Invoice Type],IFERROR(MATCH(A120&amp;"",tbl_Consulting[Job Number],0),MATCH(IFERROR(A120+0,A120),tbl_Consulting[Job Number],0)))="","",INDEX(tbl_Consulting[Invoice Type],IFERROR(MATCH(A120&amp;"",tbl_Consulting[Job Number],0),MATCH(IFERROR(A120+0,A120),tbl_Consulting[Job Number],0)))),""))))</f>
        <v/>
      </c>
      <c r="M120" s="26">
        <f>IF(A120="","",IF(IFERROR(IF(INDEX(tbl_Onsite[Tax Code],IFERROR(MATCH(A120&amp;"",tbl_Onsite[Job Number],0),MATCH(IFERROR(A120+0,A120),tbl_Onsite[Job Number],0)))="","",INDEX(tbl_Onsite[Tax Code],IFERROR(MATCH(A120&amp;"",tbl_Onsite[Job Number],0),MATCH(IFERROR(A120+0,A120),tbl_Onsite[Job Number],0)))),IFERROR(IF(INDEX(tbl_Production[Tax Code],IFERROR(MATCH(A120&amp;"",tbl_Production[Job Number],0),MATCH(IFERROR(A120+0,A120),tbl_Production[Job Number],0)))="","",INDEX(tbl_Production[Tax Code],IFERROR(MATCH(A120&amp;"",tbl_Production[Job Number],0),MATCH(IFERROR(A120+0,A120),tbl_Production[Job Number],0)))),IFERROR(IF(INDEX(tbl_Consulting[Tax Code],IFERROR(MATCH(A120&amp;"",tbl_Consulting[Job Number],0),MATCH(IFERROR(A120+0,A120),tbl_Consulting[Job Number],0)))="","",INDEX(tbl_Consulting[Tax Code],IFERROR(MATCH(A120&amp;"",tbl_Consulting[Job Number],0),MATCH(IFERROR(A120+0,A120),tbl_Consulting[Job Number],0)))),"")))="","GST 10%",IFERROR(IF(INDEX(tbl_Onsite[Tax Code],IFERROR(MATCH(A120&amp;"",tbl_Onsite[Job Number],0),MATCH(IFERROR(A120+0,A120),tbl_Onsite[Job Number],0)))="","",INDEX(tbl_Onsite[Tax Code],IFERROR(MATCH(A120&amp;"",tbl_Onsite[Job Number],0),MATCH(IFERROR(A120+0,A120),tbl_Onsite[Job Number],0)))),IFERROR(IF(INDEX(tbl_Production[Tax Code],IFERROR(MATCH(A120&amp;"",tbl_Production[Job Number],0),MATCH(IFERROR(A120+0,A120),tbl_Production[Job Number],0)))="","",INDEX(tbl_Production[Tax Code],IFERROR(MATCH(A120&amp;"",tbl_Production[Job Number],0),MATCH(IFERROR(A120+0,A120),tbl_Production[Job Number],0)))),IFERROR(IF(INDEX(tbl_Consulting[Tax Code],IFERROR(MATCH(A120&amp;"",tbl_Consulting[Job Number],0),MATCH(IFERROR(A120+0,A120),tbl_Consulting[Job Number],0)))="","",INDEX(tbl_Consulting[Tax Code],IFERROR(MATCH(A120&amp;"",tbl_Consulting[Job Number],0),MATCH(IFERROR(A120+0,A120),tbl_Consulting[Job Number],0)))),"")))))</f>
        <v/>
      </c>
      <c r="N120" s="26">
        <f>IF(D120="","",IFERROR(INDEX(lst_CCtoGL,MATCH(D120,lst_CCforGL,0)),""))</f>
        <v/>
      </c>
      <c r="O120" s="27">
        <f>IF(E120="","",IF(M120="GST 10%",ROUND(E120*set_GSTRate,2),0))</f>
        <v/>
      </c>
      <c r="P120" s="27">
        <f>IF(E120="","",E120+O120)</f>
        <v/>
      </c>
      <c r="Q120" s="27">
        <f>IF(A120="","",IFERROR(INDEX(tbl_Onsite[Expected Revenue Ex GST],IFERROR(MATCH(A120&amp;"",tbl_Onsite[Job Number],0),MATCH(IFERROR(A120+0,A120),tbl_Onsite[Job Number],0))),IFERROR(INDEX(tbl_Production[Expected Revenue Ex GST],IFERROR(MATCH(A120&amp;"",tbl_Production[Job Number],0),MATCH(IFERROR(A120+0,A120),tbl_Production[Job Number],0))),IFERROR(INDEX(tbl_Consulting[Expected Revenue Ex GST],IFERROR(MATCH(A120&amp;"",tbl_Consulting[Job Number],0),MATCH(IFERROR(A120+0,A120),tbl_Consulting[Job Number],0))),0))))</f>
        <v/>
      </c>
      <c r="R120" s="27">
        <f>IF(A120="","",SUMIFS(tbl_Finance[Ex GST],tbl_Finance[Job Number],A120&amp;""))</f>
        <v/>
      </c>
      <c r="S120" s="27">
        <f>IF(A120="","",Q120-R120)</f>
        <v/>
      </c>
      <c r="T120" s="26">
        <f>IF(A120="","",IF(Q120=0,"No dept value",IF(ROUND(S120,2)=0,"Agrees",IF(S120&gt;0,"Dept higher - to invoice","Xero higher - check dept"))))</f>
        <v/>
      </c>
      <c r="U120" s="22" t="n"/>
      <c r="V120" s="22" t="n"/>
      <c r="W120" s="23" t="n"/>
      <c r="X120" s="23" t="n"/>
      <c r="Y120" s="22" t="n"/>
      <c r="Z120" s="22" t="n"/>
      <c r="AA120" s="26">
        <f>IF(COUNTA(C120,A120,B120,E120)=0,"",IF(C120="","No date - sits outside every month",IF(A120="","No job number",IF(H120="CHECK","Job number is not in the Xero job list",IF(G120="not set up yet","No department has set this job up - nothing can pull through",IF(D120="","No cost centre",IF(AND(U120="Y",B120=""),"Marked posted to Xero but has no invoice number",IF(N120="","Cost centre has no revenue GL on the Lists sheet",IF(T120="Xero higher - check dept","Invoiced more than the department says the job is worth","")))))))))</f>
        <v/>
      </c>
      <c r="AB120" s="28">
        <f>IF(A120="","",COUNTIFS(tbl_Finance[Job Number],A120&amp;"",tbl_Finance[Ex GST],"&lt;&gt;"))</f>
        <v/>
      </c>
      <c r="AC120" s="27">
        <f>IF(A120="","",SUMIFS(tbl_Finance[Ex GST],tbl_Finance[Job Number],A120&amp;""))</f>
        <v/>
      </c>
      <c r="AD120" s="27">
        <f>IF(A120="","",SUMIFS(tbl_Finance[Ex GST],tbl_Finance[Job Number],A120&amp;"",tbl_Finance[Xero Invoice No],"&lt;&gt;"))</f>
        <v/>
      </c>
      <c r="AE120" s="27">
        <f>IF(A120="","",AC120-AD120)</f>
        <v/>
      </c>
      <c r="AF120" s="26">
        <f>IF(A120="","",IFERROR(IF(INDEX(tbl_Onsite[Qwilr Quote],IFERROR(MATCH(A120&amp;"",tbl_Onsite[Job Number],0),MATCH(IFERROR(A120+0,A120),tbl_Onsite[Job Number],0)))="","",INDEX(tbl_Onsite[Qwilr Quote],IFERROR(MATCH(A120&amp;"",tbl_Onsite[Job Number],0),MATCH(IFERROR(A120+0,A120),tbl_Onsite[Job Number],0)))),IFERROR(IF(IF(INDEX(tbl_Production[Current RMS No],IFERROR(MATCH(A120&amp;"",tbl_Production[Job Number],0),MATCH(IFERROR(A120+0,A120),tbl_Production[Job Number],0)))="",INDEX(tbl_Production[Qwilr Quote],IFERROR(MATCH(A120&amp;"",tbl_Production[Job Number],0),MATCH(IFERROR(A120+0,A120),tbl_Production[Job Number],0))),INDEX(tbl_Production[Current RMS No],IFERROR(MATCH(A120&amp;"",tbl_Production[Job Number],0),MATCH(IFERROR(A120+0,A120),tbl_Production[Job Number],0))))="","",IF(INDEX(tbl_Production[Current RMS No],IFERROR(MATCH(A120&amp;"",tbl_Production[Job Number],0),MATCH(IFERROR(A120+0,A120),tbl_Production[Job Number],0)))="",INDEX(tbl_Production[Qwilr Quote],IFERROR(MATCH(A120&amp;"",tbl_Production[Job Number],0),MATCH(IFERROR(A120+0,A120),tbl_Production[Job Number],0))),INDEX(tbl_Production[Current RMS No],IFERROR(MATCH(A120&amp;"",tbl_Production[Job Number],0),MATCH(IFERROR(A120+0,A120),tbl_Production[Job Number],0))))),IFERROR(IF(INDEX(tbl_Consulting[Qwilr Quote],IFERROR(MATCH(A120&amp;"",tbl_Consulting[Job Number],0),MATCH(IFERROR(A120+0,A120),tbl_Consulting[Job Number],0)))="","",INDEX(tbl_Consulting[Qwilr Quote],IFERROR(MATCH(A120&amp;"",tbl_Consulting[Job Number],0),MATCH(IFERROR(A120+0,A120),tbl_Consulting[Job Number],0)))),""))))</f>
        <v/>
      </c>
      <c r="AG120" s="26">
        <f>IF(AF120="","",IF(AND(LEFT(AF120,4)&lt;&gt;"http",IF(G120="Production",set_RMSBase,set_QwilrBase)=""),"",HYPERLINK(IF(LEFT(AF120,4)="http",AF120,IF(G120="Production",set_RMSBase,set_QwilrBase)&amp;AF120),"Open")))</f>
        <v/>
      </c>
      <c r="AH120" s="27">
        <f>IF(A120="","",IFERROR(INDEX(tbl_Production[Total Expense],IFERROR(MATCH(A120&amp;"",tbl_Production[Job Number],0),MATCH(IFERROR(A120+0,A120),tbl_Production[Job Number],0))),IFERROR(INDEX(tbl_Consulting[Total Expense],IFERROR(MATCH(A120&amp;"",tbl_Consulting[Job Number],0),MATCH(IFERROR(A120+0,A120),tbl_Consulting[Job Number],0))),0)))</f>
        <v/>
      </c>
      <c r="AI120" s="27">
        <f>IF(A120="","",AC120-N(AH120))</f>
        <v/>
      </c>
      <c r="AJ120" s="29">
        <f>IFERROR(AI120/AC120,"")</f>
        <v/>
      </c>
      <c r="AK120" s="26">
        <f>IF(A120="","",IFERROR(IF(INDEX(tbl_Onsite[Notes],IFERROR(MATCH(A120&amp;"",tbl_Onsite[Job Number],0),MATCH(IFERROR(A120+0,A120),tbl_Onsite[Job Number],0)))="","",INDEX(tbl_Onsite[Notes],IFERROR(MATCH(A120&amp;"",tbl_Onsite[Job Number],0),MATCH(IFERROR(A120+0,A120),tbl_Onsite[Job Number],0)))),IFERROR(IF(INDEX(tbl_Production[Notes],IFERROR(MATCH(A120&amp;"",tbl_Production[Job Number],0),MATCH(IFERROR(A120+0,A120),tbl_Production[Job Number],0)))="","",INDEX(tbl_Production[Notes],IFERROR(MATCH(A120&amp;"",tbl_Production[Job Number],0),MATCH(IFERROR(A120+0,A120),tbl_Production[Job Number],0)))),IFERROR(IF(INDEX(tbl_Consulting[Notes],IFERROR(MATCH(A120&amp;"",tbl_Consulting[Job Number],0),MATCH(IFERROR(A120+0,A120),tbl_Consulting[Job Number],0)))="","",INDEX(tbl_Consulting[Notes],IFERROR(MATCH(A120&amp;"",tbl_Consulting[Job Number],0),MATCH(IFERROR(A120+0,A120),tbl_Consulting[Job Number],0)))),""))))</f>
        <v/>
      </c>
    </row>
    <row r="121" ht="15" customHeight="1">
      <c r="A121" s="22" t="n"/>
      <c r="B121" s="22" t="n"/>
      <c r="C121" s="23" t="n"/>
      <c r="D121" s="22" t="n"/>
      <c r="E121" s="24" t="n"/>
      <c r="F121" s="25">
        <f>IF(C121="","",EOMONTH(C121,0))</f>
        <v/>
      </c>
      <c r="G121" s="26">
        <f>IF(A121="","",IF(COUNTIF(tbl_Onsite[Job Number],A121&amp;"")&gt;0,"Onsite",IF(COUNTIF(tbl_Production[Job Number],A121&amp;"")&gt;0,"Production",IF(COUNTIF(tbl_Consulting[Job Number],A121&amp;"")&gt;0,"Consulting","not set up yet"))))</f>
        <v/>
      </c>
      <c r="H121" s="26">
        <f>IF(A121="","",IF(COUNTIF(lst_Jobs,A121&amp;"")&gt;0,"OK","CHECK"))</f>
        <v/>
      </c>
      <c r="I121" s="26">
        <f>IF(A121="","",IFERROR(INDEX(lst_JobName,MATCH(A121&amp;"",lst_Jobs,0)),""))</f>
        <v/>
      </c>
      <c r="J121" s="26">
        <f>IF(A121="","",IFERROR(IF(INDEX(tbl_Onsite[Client],IFERROR(MATCH(A121&amp;"",tbl_Onsite[Job Number],0),MATCH(IFERROR(A121+0,A121),tbl_Onsite[Job Number],0)))="","",INDEX(tbl_Onsite[Client],IFERROR(MATCH(A121&amp;"",tbl_Onsite[Job Number],0),MATCH(IFERROR(A121+0,A121),tbl_Onsite[Job Number],0)))),IFERROR(IF(INDEX(tbl_Production[Client],IFERROR(MATCH(A121&amp;"",tbl_Production[Job Number],0),MATCH(IFERROR(A121+0,A121),tbl_Production[Job Number],0)))="","",INDEX(tbl_Production[Client],IFERROR(MATCH(A121&amp;"",tbl_Production[Job Number],0),MATCH(IFERROR(A121+0,A121),tbl_Production[Job Number],0)))),IFERROR(IF(INDEX(tbl_Consulting[Client],IFERROR(MATCH(A121&amp;"",tbl_Consulting[Job Number],0),MATCH(IFERROR(A121+0,A121),tbl_Consulting[Job Number],0)))="","",INDEX(tbl_Consulting[Client],IFERROR(MATCH(A121&amp;"",tbl_Consulting[Job Number],0),MATCH(IFERROR(A121+0,A121),tbl_Consulting[Job Number],0)))),""))))</f>
        <v/>
      </c>
      <c r="K121" s="26">
        <f>IF(A121="","",IFERROR(IF(INDEX(tbl_Onsite[Job Description],IFERROR(MATCH(A121&amp;"",tbl_Onsite[Job Number],0),MATCH(IFERROR(A121+0,A121),tbl_Onsite[Job Number],0)))="","",INDEX(tbl_Onsite[Job Description],IFERROR(MATCH(A121&amp;"",tbl_Onsite[Job Number],0),MATCH(IFERROR(A121+0,A121),tbl_Onsite[Job Number],0)))),IFERROR(IF(INDEX(tbl_Production[Job Description],IFERROR(MATCH(A121&amp;"",tbl_Production[Job Number],0),MATCH(IFERROR(A121+0,A121),tbl_Production[Job Number],0)))="","",INDEX(tbl_Production[Job Description],IFERROR(MATCH(A121&amp;"",tbl_Production[Job Number],0),MATCH(IFERROR(A121+0,A121),tbl_Production[Job Number],0)))),IFERROR(IF(INDEX(tbl_Consulting[Job Description],IFERROR(MATCH(A121&amp;"",tbl_Consulting[Job Number],0),MATCH(IFERROR(A121+0,A121),tbl_Consulting[Job Number],0)))="","",INDEX(tbl_Consulting[Job Description],IFERROR(MATCH(A121&amp;"",tbl_Consulting[Job Number],0),MATCH(IFERROR(A121+0,A121),tbl_Consulting[Job Number],0)))),""))))</f>
        <v/>
      </c>
      <c r="L121" s="26">
        <f>IF(A121="","",IFERROR(IF(INDEX(tbl_Onsite[Invoice Type],IFERROR(MATCH(A121&amp;"",tbl_Onsite[Job Number],0),MATCH(IFERROR(A121+0,A121),tbl_Onsite[Job Number],0)))="","",INDEX(tbl_Onsite[Invoice Type],IFERROR(MATCH(A121&amp;"",tbl_Onsite[Job Number],0),MATCH(IFERROR(A121+0,A121),tbl_Onsite[Job Number],0)))),IFERROR(IF(INDEX(tbl_Production[Invoice Type],IFERROR(MATCH(A121&amp;"",tbl_Production[Job Number],0),MATCH(IFERROR(A121+0,A121),tbl_Production[Job Number],0)))="","",INDEX(tbl_Production[Invoice Type],IFERROR(MATCH(A121&amp;"",tbl_Production[Job Number],0),MATCH(IFERROR(A121+0,A121),tbl_Production[Job Number],0)))),IFERROR(IF(INDEX(tbl_Consulting[Invoice Type],IFERROR(MATCH(A121&amp;"",tbl_Consulting[Job Number],0),MATCH(IFERROR(A121+0,A121),tbl_Consulting[Job Number],0)))="","",INDEX(tbl_Consulting[Invoice Type],IFERROR(MATCH(A121&amp;"",tbl_Consulting[Job Number],0),MATCH(IFERROR(A121+0,A121),tbl_Consulting[Job Number],0)))),""))))</f>
        <v/>
      </c>
      <c r="M121" s="26">
        <f>IF(A121="","",IF(IFERROR(IF(INDEX(tbl_Onsite[Tax Code],IFERROR(MATCH(A121&amp;"",tbl_Onsite[Job Number],0),MATCH(IFERROR(A121+0,A121),tbl_Onsite[Job Number],0)))="","",INDEX(tbl_Onsite[Tax Code],IFERROR(MATCH(A121&amp;"",tbl_Onsite[Job Number],0),MATCH(IFERROR(A121+0,A121),tbl_Onsite[Job Number],0)))),IFERROR(IF(INDEX(tbl_Production[Tax Code],IFERROR(MATCH(A121&amp;"",tbl_Production[Job Number],0),MATCH(IFERROR(A121+0,A121),tbl_Production[Job Number],0)))="","",INDEX(tbl_Production[Tax Code],IFERROR(MATCH(A121&amp;"",tbl_Production[Job Number],0),MATCH(IFERROR(A121+0,A121),tbl_Production[Job Number],0)))),IFERROR(IF(INDEX(tbl_Consulting[Tax Code],IFERROR(MATCH(A121&amp;"",tbl_Consulting[Job Number],0),MATCH(IFERROR(A121+0,A121),tbl_Consulting[Job Number],0)))="","",INDEX(tbl_Consulting[Tax Code],IFERROR(MATCH(A121&amp;"",tbl_Consulting[Job Number],0),MATCH(IFERROR(A121+0,A121),tbl_Consulting[Job Number],0)))),"")))="","GST 10%",IFERROR(IF(INDEX(tbl_Onsite[Tax Code],IFERROR(MATCH(A121&amp;"",tbl_Onsite[Job Number],0),MATCH(IFERROR(A121+0,A121),tbl_Onsite[Job Number],0)))="","",INDEX(tbl_Onsite[Tax Code],IFERROR(MATCH(A121&amp;"",tbl_Onsite[Job Number],0),MATCH(IFERROR(A121+0,A121),tbl_Onsite[Job Number],0)))),IFERROR(IF(INDEX(tbl_Production[Tax Code],IFERROR(MATCH(A121&amp;"",tbl_Production[Job Number],0),MATCH(IFERROR(A121+0,A121),tbl_Production[Job Number],0)))="","",INDEX(tbl_Production[Tax Code],IFERROR(MATCH(A121&amp;"",tbl_Production[Job Number],0),MATCH(IFERROR(A121+0,A121),tbl_Production[Job Number],0)))),IFERROR(IF(INDEX(tbl_Consulting[Tax Code],IFERROR(MATCH(A121&amp;"",tbl_Consulting[Job Number],0),MATCH(IFERROR(A121+0,A121),tbl_Consulting[Job Number],0)))="","",INDEX(tbl_Consulting[Tax Code],IFERROR(MATCH(A121&amp;"",tbl_Consulting[Job Number],0),MATCH(IFERROR(A121+0,A121),tbl_Consulting[Job Number],0)))),"")))))</f>
        <v/>
      </c>
      <c r="N121" s="26">
        <f>IF(D121="","",IFERROR(INDEX(lst_CCtoGL,MATCH(D121,lst_CCforGL,0)),""))</f>
        <v/>
      </c>
      <c r="O121" s="27">
        <f>IF(E121="","",IF(M121="GST 10%",ROUND(E121*set_GSTRate,2),0))</f>
        <v/>
      </c>
      <c r="P121" s="27">
        <f>IF(E121="","",E121+O121)</f>
        <v/>
      </c>
      <c r="Q121" s="27">
        <f>IF(A121="","",IFERROR(INDEX(tbl_Onsite[Expected Revenue Ex GST],IFERROR(MATCH(A121&amp;"",tbl_Onsite[Job Number],0),MATCH(IFERROR(A121+0,A121),tbl_Onsite[Job Number],0))),IFERROR(INDEX(tbl_Production[Expected Revenue Ex GST],IFERROR(MATCH(A121&amp;"",tbl_Production[Job Number],0),MATCH(IFERROR(A121+0,A121),tbl_Production[Job Number],0))),IFERROR(INDEX(tbl_Consulting[Expected Revenue Ex GST],IFERROR(MATCH(A121&amp;"",tbl_Consulting[Job Number],0),MATCH(IFERROR(A121+0,A121),tbl_Consulting[Job Number],0))),0))))</f>
        <v/>
      </c>
      <c r="R121" s="27">
        <f>IF(A121="","",SUMIFS(tbl_Finance[Ex GST],tbl_Finance[Job Number],A121&amp;""))</f>
        <v/>
      </c>
      <c r="S121" s="27">
        <f>IF(A121="","",Q121-R121)</f>
        <v/>
      </c>
      <c r="T121" s="26">
        <f>IF(A121="","",IF(Q121=0,"No dept value",IF(ROUND(S121,2)=0,"Agrees",IF(S121&gt;0,"Dept higher - to invoice","Xero higher - check dept"))))</f>
        <v/>
      </c>
      <c r="U121" s="22" t="n"/>
      <c r="V121" s="22" t="n"/>
      <c r="W121" s="23" t="n"/>
      <c r="X121" s="23" t="n"/>
      <c r="Y121" s="22" t="n"/>
      <c r="Z121" s="22" t="n"/>
      <c r="AA121" s="26">
        <f>IF(COUNTA(C121,A121,B121,E121)=0,"",IF(C121="","No date - sits outside every month",IF(A121="","No job number",IF(H121="CHECK","Job number is not in the Xero job list",IF(G121="not set up yet","No department has set this job up - nothing can pull through",IF(D121="","No cost centre",IF(AND(U121="Y",B121=""),"Marked posted to Xero but has no invoice number",IF(N121="","Cost centre has no revenue GL on the Lists sheet",IF(T121="Xero higher - check dept","Invoiced more than the department says the job is worth","")))))))))</f>
        <v/>
      </c>
      <c r="AB121" s="28">
        <f>IF(A121="","",COUNTIFS(tbl_Finance[Job Number],A121&amp;"",tbl_Finance[Ex GST],"&lt;&gt;"))</f>
        <v/>
      </c>
      <c r="AC121" s="27">
        <f>IF(A121="","",SUMIFS(tbl_Finance[Ex GST],tbl_Finance[Job Number],A121&amp;""))</f>
        <v/>
      </c>
      <c r="AD121" s="27">
        <f>IF(A121="","",SUMIFS(tbl_Finance[Ex GST],tbl_Finance[Job Number],A121&amp;"",tbl_Finance[Xero Invoice No],"&lt;&gt;"))</f>
        <v/>
      </c>
      <c r="AE121" s="27">
        <f>IF(A121="","",AC121-AD121)</f>
        <v/>
      </c>
      <c r="AF121" s="26">
        <f>IF(A121="","",IFERROR(IF(INDEX(tbl_Onsite[Qwilr Quote],IFERROR(MATCH(A121&amp;"",tbl_Onsite[Job Number],0),MATCH(IFERROR(A121+0,A121),tbl_Onsite[Job Number],0)))="","",INDEX(tbl_Onsite[Qwilr Quote],IFERROR(MATCH(A121&amp;"",tbl_Onsite[Job Number],0),MATCH(IFERROR(A121+0,A121),tbl_Onsite[Job Number],0)))),IFERROR(IF(IF(INDEX(tbl_Production[Current RMS No],IFERROR(MATCH(A121&amp;"",tbl_Production[Job Number],0),MATCH(IFERROR(A121+0,A121),tbl_Production[Job Number],0)))="",INDEX(tbl_Production[Qwilr Quote],IFERROR(MATCH(A121&amp;"",tbl_Production[Job Number],0),MATCH(IFERROR(A121+0,A121),tbl_Production[Job Number],0))),INDEX(tbl_Production[Current RMS No],IFERROR(MATCH(A121&amp;"",tbl_Production[Job Number],0),MATCH(IFERROR(A121+0,A121),tbl_Production[Job Number],0))))="","",IF(INDEX(tbl_Production[Current RMS No],IFERROR(MATCH(A121&amp;"",tbl_Production[Job Number],0),MATCH(IFERROR(A121+0,A121),tbl_Production[Job Number],0)))="",INDEX(tbl_Production[Qwilr Quote],IFERROR(MATCH(A121&amp;"",tbl_Production[Job Number],0),MATCH(IFERROR(A121+0,A121),tbl_Production[Job Number],0))),INDEX(tbl_Production[Current RMS No],IFERROR(MATCH(A121&amp;"",tbl_Production[Job Number],0),MATCH(IFERROR(A121+0,A121),tbl_Production[Job Number],0))))),IFERROR(IF(INDEX(tbl_Consulting[Qwilr Quote],IFERROR(MATCH(A121&amp;"",tbl_Consulting[Job Number],0),MATCH(IFERROR(A121+0,A121),tbl_Consulting[Job Number],0)))="","",INDEX(tbl_Consulting[Qwilr Quote],IFERROR(MATCH(A121&amp;"",tbl_Consulting[Job Number],0),MATCH(IFERROR(A121+0,A121),tbl_Consulting[Job Number],0)))),""))))</f>
        <v/>
      </c>
      <c r="AG121" s="26">
        <f>IF(AF121="","",IF(AND(LEFT(AF121,4)&lt;&gt;"http",IF(G121="Production",set_RMSBase,set_QwilrBase)=""),"",HYPERLINK(IF(LEFT(AF121,4)="http",AF121,IF(G121="Production",set_RMSBase,set_QwilrBase)&amp;AF121),"Open")))</f>
        <v/>
      </c>
      <c r="AH121" s="27">
        <f>IF(A121="","",IFERROR(INDEX(tbl_Production[Total Expense],IFERROR(MATCH(A121&amp;"",tbl_Production[Job Number],0),MATCH(IFERROR(A121+0,A121),tbl_Production[Job Number],0))),IFERROR(INDEX(tbl_Consulting[Total Expense],IFERROR(MATCH(A121&amp;"",tbl_Consulting[Job Number],0),MATCH(IFERROR(A121+0,A121),tbl_Consulting[Job Number],0))),0)))</f>
        <v/>
      </c>
      <c r="AI121" s="27">
        <f>IF(A121="","",AC121-N(AH121))</f>
        <v/>
      </c>
      <c r="AJ121" s="29">
        <f>IFERROR(AI121/AC121,"")</f>
        <v/>
      </c>
      <c r="AK121" s="26">
        <f>IF(A121="","",IFERROR(IF(INDEX(tbl_Onsite[Notes],IFERROR(MATCH(A121&amp;"",tbl_Onsite[Job Number],0),MATCH(IFERROR(A121+0,A121),tbl_Onsite[Job Number],0)))="","",INDEX(tbl_Onsite[Notes],IFERROR(MATCH(A121&amp;"",tbl_Onsite[Job Number],0),MATCH(IFERROR(A121+0,A121),tbl_Onsite[Job Number],0)))),IFERROR(IF(INDEX(tbl_Production[Notes],IFERROR(MATCH(A121&amp;"",tbl_Production[Job Number],0),MATCH(IFERROR(A121+0,A121),tbl_Production[Job Number],0)))="","",INDEX(tbl_Production[Notes],IFERROR(MATCH(A121&amp;"",tbl_Production[Job Number],0),MATCH(IFERROR(A121+0,A121),tbl_Production[Job Number],0)))),IFERROR(IF(INDEX(tbl_Consulting[Notes],IFERROR(MATCH(A121&amp;"",tbl_Consulting[Job Number],0),MATCH(IFERROR(A121+0,A121),tbl_Consulting[Job Number],0)))="","",INDEX(tbl_Consulting[Notes],IFERROR(MATCH(A121&amp;"",tbl_Consulting[Job Number],0),MATCH(IFERROR(A121+0,A121),tbl_Consulting[Job Number],0)))),""))))</f>
        <v/>
      </c>
    </row>
    <row r="122" ht="15" customHeight="1">
      <c r="A122" s="22" t="n"/>
      <c r="B122" s="22" t="n"/>
      <c r="C122" s="23" t="n"/>
      <c r="D122" s="22" t="n"/>
      <c r="E122" s="24" t="n"/>
      <c r="F122" s="25">
        <f>IF(C122="","",EOMONTH(C122,0))</f>
        <v/>
      </c>
      <c r="G122" s="26">
        <f>IF(A122="","",IF(COUNTIF(tbl_Onsite[Job Number],A122&amp;"")&gt;0,"Onsite",IF(COUNTIF(tbl_Production[Job Number],A122&amp;"")&gt;0,"Production",IF(COUNTIF(tbl_Consulting[Job Number],A122&amp;"")&gt;0,"Consulting","not set up yet"))))</f>
        <v/>
      </c>
      <c r="H122" s="26">
        <f>IF(A122="","",IF(COUNTIF(lst_Jobs,A122&amp;"")&gt;0,"OK","CHECK"))</f>
        <v/>
      </c>
      <c r="I122" s="26">
        <f>IF(A122="","",IFERROR(INDEX(lst_JobName,MATCH(A122&amp;"",lst_Jobs,0)),""))</f>
        <v/>
      </c>
      <c r="J122" s="26">
        <f>IF(A122="","",IFERROR(IF(INDEX(tbl_Onsite[Client],IFERROR(MATCH(A122&amp;"",tbl_Onsite[Job Number],0),MATCH(IFERROR(A122+0,A122),tbl_Onsite[Job Number],0)))="","",INDEX(tbl_Onsite[Client],IFERROR(MATCH(A122&amp;"",tbl_Onsite[Job Number],0),MATCH(IFERROR(A122+0,A122),tbl_Onsite[Job Number],0)))),IFERROR(IF(INDEX(tbl_Production[Client],IFERROR(MATCH(A122&amp;"",tbl_Production[Job Number],0),MATCH(IFERROR(A122+0,A122),tbl_Production[Job Number],0)))="","",INDEX(tbl_Production[Client],IFERROR(MATCH(A122&amp;"",tbl_Production[Job Number],0),MATCH(IFERROR(A122+0,A122),tbl_Production[Job Number],0)))),IFERROR(IF(INDEX(tbl_Consulting[Client],IFERROR(MATCH(A122&amp;"",tbl_Consulting[Job Number],0),MATCH(IFERROR(A122+0,A122),tbl_Consulting[Job Number],0)))="","",INDEX(tbl_Consulting[Client],IFERROR(MATCH(A122&amp;"",tbl_Consulting[Job Number],0),MATCH(IFERROR(A122+0,A122),tbl_Consulting[Job Number],0)))),""))))</f>
        <v/>
      </c>
      <c r="K122" s="26">
        <f>IF(A122="","",IFERROR(IF(INDEX(tbl_Onsite[Job Description],IFERROR(MATCH(A122&amp;"",tbl_Onsite[Job Number],0),MATCH(IFERROR(A122+0,A122),tbl_Onsite[Job Number],0)))="","",INDEX(tbl_Onsite[Job Description],IFERROR(MATCH(A122&amp;"",tbl_Onsite[Job Number],0),MATCH(IFERROR(A122+0,A122),tbl_Onsite[Job Number],0)))),IFERROR(IF(INDEX(tbl_Production[Job Description],IFERROR(MATCH(A122&amp;"",tbl_Production[Job Number],0),MATCH(IFERROR(A122+0,A122),tbl_Production[Job Number],0)))="","",INDEX(tbl_Production[Job Description],IFERROR(MATCH(A122&amp;"",tbl_Production[Job Number],0),MATCH(IFERROR(A122+0,A122),tbl_Production[Job Number],0)))),IFERROR(IF(INDEX(tbl_Consulting[Job Description],IFERROR(MATCH(A122&amp;"",tbl_Consulting[Job Number],0),MATCH(IFERROR(A122+0,A122),tbl_Consulting[Job Number],0)))="","",INDEX(tbl_Consulting[Job Description],IFERROR(MATCH(A122&amp;"",tbl_Consulting[Job Number],0),MATCH(IFERROR(A122+0,A122),tbl_Consulting[Job Number],0)))),""))))</f>
        <v/>
      </c>
      <c r="L122" s="26">
        <f>IF(A122="","",IFERROR(IF(INDEX(tbl_Onsite[Invoice Type],IFERROR(MATCH(A122&amp;"",tbl_Onsite[Job Number],0),MATCH(IFERROR(A122+0,A122),tbl_Onsite[Job Number],0)))="","",INDEX(tbl_Onsite[Invoice Type],IFERROR(MATCH(A122&amp;"",tbl_Onsite[Job Number],0),MATCH(IFERROR(A122+0,A122),tbl_Onsite[Job Number],0)))),IFERROR(IF(INDEX(tbl_Production[Invoice Type],IFERROR(MATCH(A122&amp;"",tbl_Production[Job Number],0),MATCH(IFERROR(A122+0,A122),tbl_Production[Job Number],0)))="","",INDEX(tbl_Production[Invoice Type],IFERROR(MATCH(A122&amp;"",tbl_Production[Job Number],0),MATCH(IFERROR(A122+0,A122),tbl_Production[Job Number],0)))),IFERROR(IF(INDEX(tbl_Consulting[Invoice Type],IFERROR(MATCH(A122&amp;"",tbl_Consulting[Job Number],0),MATCH(IFERROR(A122+0,A122),tbl_Consulting[Job Number],0)))="","",INDEX(tbl_Consulting[Invoice Type],IFERROR(MATCH(A122&amp;"",tbl_Consulting[Job Number],0),MATCH(IFERROR(A122+0,A122),tbl_Consulting[Job Number],0)))),""))))</f>
        <v/>
      </c>
      <c r="M122" s="26">
        <f>IF(A122="","",IF(IFERROR(IF(INDEX(tbl_Onsite[Tax Code],IFERROR(MATCH(A122&amp;"",tbl_Onsite[Job Number],0),MATCH(IFERROR(A122+0,A122),tbl_Onsite[Job Number],0)))="","",INDEX(tbl_Onsite[Tax Code],IFERROR(MATCH(A122&amp;"",tbl_Onsite[Job Number],0),MATCH(IFERROR(A122+0,A122),tbl_Onsite[Job Number],0)))),IFERROR(IF(INDEX(tbl_Production[Tax Code],IFERROR(MATCH(A122&amp;"",tbl_Production[Job Number],0),MATCH(IFERROR(A122+0,A122),tbl_Production[Job Number],0)))="","",INDEX(tbl_Production[Tax Code],IFERROR(MATCH(A122&amp;"",tbl_Production[Job Number],0),MATCH(IFERROR(A122+0,A122),tbl_Production[Job Number],0)))),IFERROR(IF(INDEX(tbl_Consulting[Tax Code],IFERROR(MATCH(A122&amp;"",tbl_Consulting[Job Number],0),MATCH(IFERROR(A122+0,A122),tbl_Consulting[Job Number],0)))="","",INDEX(tbl_Consulting[Tax Code],IFERROR(MATCH(A122&amp;"",tbl_Consulting[Job Number],0),MATCH(IFERROR(A122+0,A122),tbl_Consulting[Job Number],0)))),"")))="","GST 10%",IFERROR(IF(INDEX(tbl_Onsite[Tax Code],IFERROR(MATCH(A122&amp;"",tbl_Onsite[Job Number],0),MATCH(IFERROR(A122+0,A122),tbl_Onsite[Job Number],0)))="","",INDEX(tbl_Onsite[Tax Code],IFERROR(MATCH(A122&amp;"",tbl_Onsite[Job Number],0),MATCH(IFERROR(A122+0,A122),tbl_Onsite[Job Number],0)))),IFERROR(IF(INDEX(tbl_Production[Tax Code],IFERROR(MATCH(A122&amp;"",tbl_Production[Job Number],0),MATCH(IFERROR(A122+0,A122),tbl_Production[Job Number],0)))="","",INDEX(tbl_Production[Tax Code],IFERROR(MATCH(A122&amp;"",tbl_Production[Job Number],0),MATCH(IFERROR(A122+0,A122),tbl_Production[Job Number],0)))),IFERROR(IF(INDEX(tbl_Consulting[Tax Code],IFERROR(MATCH(A122&amp;"",tbl_Consulting[Job Number],0),MATCH(IFERROR(A122+0,A122),tbl_Consulting[Job Number],0)))="","",INDEX(tbl_Consulting[Tax Code],IFERROR(MATCH(A122&amp;"",tbl_Consulting[Job Number],0),MATCH(IFERROR(A122+0,A122),tbl_Consulting[Job Number],0)))),"")))))</f>
        <v/>
      </c>
      <c r="N122" s="26">
        <f>IF(D122="","",IFERROR(INDEX(lst_CCtoGL,MATCH(D122,lst_CCforGL,0)),""))</f>
        <v/>
      </c>
      <c r="O122" s="27">
        <f>IF(E122="","",IF(M122="GST 10%",ROUND(E122*set_GSTRate,2),0))</f>
        <v/>
      </c>
      <c r="P122" s="27">
        <f>IF(E122="","",E122+O122)</f>
        <v/>
      </c>
      <c r="Q122" s="27">
        <f>IF(A122="","",IFERROR(INDEX(tbl_Onsite[Expected Revenue Ex GST],IFERROR(MATCH(A122&amp;"",tbl_Onsite[Job Number],0),MATCH(IFERROR(A122+0,A122),tbl_Onsite[Job Number],0))),IFERROR(INDEX(tbl_Production[Expected Revenue Ex GST],IFERROR(MATCH(A122&amp;"",tbl_Production[Job Number],0),MATCH(IFERROR(A122+0,A122),tbl_Production[Job Number],0))),IFERROR(INDEX(tbl_Consulting[Expected Revenue Ex GST],IFERROR(MATCH(A122&amp;"",tbl_Consulting[Job Number],0),MATCH(IFERROR(A122+0,A122),tbl_Consulting[Job Number],0))),0))))</f>
        <v/>
      </c>
      <c r="R122" s="27">
        <f>IF(A122="","",SUMIFS(tbl_Finance[Ex GST],tbl_Finance[Job Number],A122&amp;""))</f>
        <v/>
      </c>
      <c r="S122" s="27">
        <f>IF(A122="","",Q122-R122)</f>
        <v/>
      </c>
      <c r="T122" s="26">
        <f>IF(A122="","",IF(Q122=0,"No dept value",IF(ROUND(S122,2)=0,"Agrees",IF(S122&gt;0,"Dept higher - to invoice","Xero higher - check dept"))))</f>
        <v/>
      </c>
      <c r="U122" s="22" t="n"/>
      <c r="V122" s="22" t="n"/>
      <c r="W122" s="23" t="n"/>
      <c r="X122" s="23" t="n"/>
      <c r="Y122" s="22" t="n"/>
      <c r="Z122" s="22" t="n"/>
      <c r="AA122" s="26">
        <f>IF(COUNTA(C122,A122,B122,E122)=0,"",IF(C122="","No date - sits outside every month",IF(A122="","No job number",IF(H122="CHECK","Job number is not in the Xero job list",IF(G122="not set up yet","No department has set this job up - nothing can pull through",IF(D122="","No cost centre",IF(AND(U122="Y",B122=""),"Marked posted to Xero but has no invoice number",IF(N122="","Cost centre has no revenue GL on the Lists sheet",IF(T122="Xero higher - check dept","Invoiced more than the department says the job is worth","")))))))))</f>
        <v/>
      </c>
      <c r="AB122" s="28">
        <f>IF(A122="","",COUNTIFS(tbl_Finance[Job Number],A122&amp;"",tbl_Finance[Ex GST],"&lt;&gt;"))</f>
        <v/>
      </c>
      <c r="AC122" s="27">
        <f>IF(A122="","",SUMIFS(tbl_Finance[Ex GST],tbl_Finance[Job Number],A122&amp;""))</f>
        <v/>
      </c>
      <c r="AD122" s="27">
        <f>IF(A122="","",SUMIFS(tbl_Finance[Ex GST],tbl_Finance[Job Number],A122&amp;"",tbl_Finance[Xero Invoice No],"&lt;&gt;"))</f>
        <v/>
      </c>
      <c r="AE122" s="27">
        <f>IF(A122="","",AC122-AD122)</f>
        <v/>
      </c>
      <c r="AF122" s="26">
        <f>IF(A122="","",IFERROR(IF(INDEX(tbl_Onsite[Qwilr Quote],IFERROR(MATCH(A122&amp;"",tbl_Onsite[Job Number],0),MATCH(IFERROR(A122+0,A122),tbl_Onsite[Job Number],0)))="","",INDEX(tbl_Onsite[Qwilr Quote],IFERROR(MATCH(A122&amp;"",tbl_Onsite[Job Number],0),MATCH(IFERROR(A122+0,A122),tbl_Onsite[Job Number],0)))),IFERROR(IF(IF(INDEX(tbl_Production[Current RMS No],IFERROR(MATCH(A122&amp;"",tbl_Production[Job Number],0),MATCH(IFERROR(A122+0,A122),tbl_Production[Job Number],0)))="",INDEX(tbl_Production[Qwilr Quote],IFERROR(MATCH(A122&amp;"",tbl_Production[Job Number],0),MATCH(IFERROR(A122+0,A122),tbl_Production[Job Number],0))),INDEX(tbl_Production[Current RMS No],IFERROR(MATCH(A122&amp;"",tbl_Production[Job Number],0),MATCH(IFERROR(A122+0,A122),tbl_Production[Job Number],0))))="","",IF(INDEX(tbl_Production[Current RMS No],IFERROR(MATCH(A122&amp;"",tbl_Production[Job Number],0),MATCH(IFERROR(A122+0,A122),tbl_Production[Job Number],0)))="",INDEX(tbl_Production[Qwilr Quote],IFERROR(MATCH(A122&amp;"",tbl_Production[Job Number],0),MATCH(IFERROR(A122+0,A122),tbl_Production[Job Number],0))),INDEX(tbl_Production[Current RMS No],IFERROR(MATCH(A122&amp;"",tbl_Production[Job Number],0),MATCH(IFERROR(A122+0,A122),tbl_Production[Job Number],0))))),IFERROR(IF(INDEX(tbl_Consulting[Qwilr Quote],IFERROR(MATCH(A122&amp;"",tbl_Consulting[Job Number],0),MATCH(IFERROR(A122+0,A122),tbl_Consulting[Job Number],0)))="","",INDEX(tbl_Consulting[Qwilr Quote],IFERROR(MATCH(A122&amp;"",tbl_Consulting[Job Number],0),MATCH(IFERROR(A122+0,A122),tbl_Consulting[Job Number],0)))),""))))</f>
        <v/>
      </c>
      <c r="AG122" s="26">
        <f>IF(AF122="","",IF(AND(LEFT(AF122,4)&lt;&gt;"http",IF(G122="Production",set_RMSBase,set_QwilrBase)=""),"",HYPERLINK(IF(LEFT(AF122,4)="http",AF122,IF(G122="Production",set_RMSBase,set_QwilrBase)&amp;AF122),"Open")))</f>
        <v/>
      </c>
      <c r="AH122" s="27">
        <f>IF(A122="","",IFERROR(INDEX(tbl_Production[Total Expense],IFERROR(MATCH(A122&amp;"",tbl_Production[Job Number],0),MATCH(IFERROR(A122+0,A122),tbl_Production[Job Number],0))),IFERROR(INDEX(tbl_Consulting[Total Expense],IFERROR(MATCH(A122&amp;"",tbl_Consulting[Job Number],0),MATCH(IFERROR(A122+0,A122),tbl_Consulting[Job Number],0))),0)))</f>
        <v/>
      </c>
      <c r="AI122" s="27">
        <f>IF(A122="","",AC122-N(AH122))</f>
        <v/>
      </c>
      <c r="AJ122" s="29">
        <f>IFERROR(AI122/AC122,"")</f>
        <v/>
      </c>
      <c r="AK122" s="26">
        <f>IF(A122="","",IFERROR(IF(INDEX(tbl_Onsite[Notes],IFERROR(MATCH(A122&amp;"",tbl_Onsite[Job Number],0),MATCH(IFERROR(A122+0,A122),tbl_Onsite[Job Number],0)))="","",INDEX(tbl_Onsite[Notes],IFERROR(MATCH(A122&amp;"",tbl_Onsite[Job Number],0),MATCH(IFERROR(A122+0,A122),tbl_Onsite[Job Number],0)))),IFERROR(IF(INDEX(tbl_Production[Notes],IFERROR(MATCH(A122&amp;"",tbl_Production[Job Number],0),MATCH(IFERROR(A122+0,A122),tbl_Production[Job Number],0)))="","",INDEX(tbl_Production[Notes],IFERROR(MATCH(A122&amp;"",tbl_Production[Job Number],0),MATCH(IFERROR(A122+0,A122),tbl_Production[Job Number],0)))),IFERROR(IF(INDEX(tbl_Consulting[Notes],IFERROR(MATCH(A122&amp;"",tbl_Consulting[Job Number],0),MATCH(IFERROR(A122+0,A122),tbl_Consulting[Job Number],0)))="","",INDEX(tbl_Consulting[Notes],IFERROR(MATCH(A122&amp;"",tbl_Consulting[Job Number],0),MATCH(IFERROR(A122+0,A122),tbl_Consulting[Job Number],0)))),""))))</f>
        <v/>
      </c>
    </row>
    <row r="123" ht="15" customHeight="1">
      <c r="A123" s="22" t="n"/>
      <c r="B123" s="22" t="n"/>
      <c r="C123" s="23" t="n"/>
      <c r="D123" s="22" t="n"/>
      <c r="E123" s="24" t="n"/>
      <c r="F123" s="25">
        <f>IF(C123="","",EOMONTH(C123,0))</f>
        <v/>
      </c>
      <c r="G123" s="26">
        <f>IF(A123="","",IF(COUNTIF(tbl_Onsite[Job Number],A123&amp;"")&gt;0,"Onsite",IF(COUNTIF(tbl_Production[Job Number],A123&amp;"")&gt;0,"Production",IF(COUNTIF(tbl_Consulting[Job Number],A123&amp;"")&gt;0,"Consulting","not set up yet"))))</f>
        <v/>
      </c>
      <c r="H123" s="26">
        <f>IF(A123="","",IF(COUNTIF(lst_Jobs,A123&amp;"")&gt;0,"OK","CHECK"))</f>
        <v/>
      </c>
      <c r="I123" s="26">
        <f>IF(A123="","",IFERROR(INDEX(lst_JobName,MATCH(A123&amp;"",lst_Jobs,0)),""))</f>
        <v/>
      </c>
      <c r="J123" s="26">
        <f>IF(A123="","",IFERROR(IF(INDEX(tbl_Onsite[Client],IFERROR(MATCH(A123&amp;"",tbl_Onsite[Job Number],0),MATCH(IFERROR(A123+0,A123),tbl_Onsite[Job Number],0)))="","",INDEX(tbl_Onsite[Client],IFERROR(MATCH(A123&amp;"",tbl_Onsite[Job Number],0),MATCH(IFERROR(A123+0,A123),tbl_Onsite[Job Number],0)))),IFERROR(IF(INDEX(tbl_Production[Client],IFERROR(MATCH(A123&amp;"",tbl_Production[Job Number],0),MATCH(IFERROR(A123+0,A123),tbl_Production[Job Number],0)))="","",INDEX(tbl_Production[Client],IFERROR(MATCH(A123&amp;"",tbl_Production[Job Number],0),MATCH(IFERROR(A123+0,A123),tbl_Production[Job Number],0)))),IFERROR(IF(INDEX(tbl_Consulting[Client],IFERROR(MATCH(A123&amp;"",tbl_Consulting[Job Number],0),MATCH(IFERROR(A123+0,A123),tbl_Consulting[Job Number],0)))="","",INDEX(tbl_Consulting[Client],IFERROR(MATCH(A123&amp;"",tbl_Consulting[Job Number],0),MATCH(IFERROR(A123+0,A123),tbl_Consulting[Job Number],0)))),""))))</f>
        <v/>
      </c>
      <c r="K123" s="26">
        <f>IF(A123="","",IFERROR(IF(INDEX(tbl_Onsite[Job Description],IFERROR(MATCH(A123&amp;"",tbl_Onsite[Job Number],0),MATCH(IFERROR(A123+0,A123),tbl_Onsite[Job Number],0)))="","",INDEX(tbl_Onsite[Job Description],IFERROR(MATCH(A123&amp;"",tbl_Onsite[Job Number],0),MATCH(IFERROR(A123+0,A123),tbl_Onsite[Job Number],0)))),IFERROR(IF(INDEX(tbl_Production[Job Description],IFERROR(MATCH(A123&amp;"",tbl_Production[Job Number],0),MATCH(IFERROR(A123+0,A123),tbl_Production[Job Number],0)))="","",INDEX(tbl_Production[Job Description],IFERROR(MATCH(A123&amp;"",tbl_Production[Job Number],0),MATCH(IFERROR(A123+0,A123),tbl_Production[Job Number],0)))),IFERROR(IF(INDEX(tbl_Consulting[Job Description],IFERROR(MATCH(A123&amp;"",tbl_Consulting[Job Number],0),MATCH(IFERROR(A123+0,A123),tbl_Consulting[Job Number],0)))="","",INDEX(tbl_Consulting[Job Description],IFERROR(MATCH(A123&amp;"",tbl_Consulting[Job Number],0),MATCH(IFERROR(A123+0,A123),tbl_Consulting[Job Number],0)))),""))))</f>
        <v/>
      </c>
      <c r="L123" s="26">
        <f>IF(A123="","",IFERROR(IF(INDEX(tbl_Onsite[Invoice Type],IFERROR(MATCH(A123&amp;"",tbl_Onsite[Job Number],0),MATCH(IFERROR(A123+0,A123),tbl_Onsite[Job Number],0)))="","",INDEX(tbl_Onsite[Invoice Type],IFERROR(MATCH(A123&amp;"",tbl_Onsite[Job Number],0),MATCH(IFERROR(A123+0,A123),tbl_Onsite[Job Number],0)))),IFERROR(IF(INDEX(tbl_Production[Invoice Type],IFERROR(MATCH(A123&amp;"",tbl_Production[Job Number],0),MATCH(IFERROR(A123+0,A123),tbl_Production[Job Number],0)))="","",INDEX(tbl_Production[Invoice Type],IFERROR(MATCH(A123&amp;"",tbl_Production[Job Number],0),MATCH(IFERROR(A123+0,A123),tbl_Production[Job Number],0)))),IFERROR(IF(INDEX(tbl_Consulting[Invoice Type],IFERROR(MATCH(A123&amp;"",tbl_Consulting[Job Number],0),MATCH(IFERROR(A123+0,A123),tbl_Consulting[Job Number],0)))="","",INDEX(tbl_Consulting[Invoice Type],IFERROR(MATCH(A123&amp;"",tbl_Consulting[Job Number],0),MATCH(IFERROR(A123+0,A123),tbl_Consulting[Job Number],0)))),""))))</f>
        <v/>
      </c>
      <c r="M123" s="26">
        <f>IF(A123="","",IF(IFERROR(IF(INDEX(tbl_Onsite[Tax Code],IFERROR(MATCH(A123&amp;"",tbl_Onsite[Job Number],0),MATCH(IFERROR(A123+0,A123),tbl_Onsite[Job Number],0)))="","",INDEX(tbl_Onsite[Tax Code],IFERROR(MATCH(A123&amp;"",tbl_Onsite[Job Number],0),MATCH(IFERROR(A123+0,A123),tbl_Onsite[Job Number],0)))),IFERROR(IF(INDEX(tbl_Production[Tax Code],IFERROR(MATCH(A123&amp;"",tbl_Production[Job Number],0),MATCH(IFERROR(A123+0,A123),tbl_Production[Job Number],0)))="","",INDEX(tbl_Production[Tax Code],IFERROR(MATCH(A123&amp;"",tbl_Production[Job Number],0),MATCH(IFERROR(A123+0,A123),tbl_Production[Job Number],0)))),IFERROR(IF(INDEX(tbl_Consulting[Tax Code],IFERROR(MATCH(A123&amp;"",tbl_Consulting[Job Number],0),MATCH(IFERROR(A123+0,A123),tbl_Consulting[Job Number],0)))="","",INDEX(tbl_Consulting[Tax Code],IFERROR(MATCH(A123&amp;"",tbl_Consulting[Job Number],0),MATCH(IFERROR(A123+0,A123),tbl_Consulting[Job Number],0)))),"")))="","GST 10%",IFERROR(IF(INDEX(tbl_Onsite[Tax Code],IFERROR(MATCH(A123&amp;"",tbl_Onsite[Job Number],0),MATCH(IFERROR(A123+0,A123),tbl_Onsite[Job Number],0)))="","",INDEX(tbl_Onsite[Tax Code],IFERROR(MATCH(A123&amp;"",tbl_Onsite[Job Number],0),MATCH(IFERROR(A123+0,A123),tbl_Onsite[Job Number],0)))),IFERROR(IF(INDEX(tbl_Production[Tax Code],IFERROR(MATCH(A123&amp;"",tbl_Production[Job Number],0),MATCH(IFERROR(A123+0,A123),tbl_Production[Job Number],0)))="","",INDEX(tbl_Production[Tax Code],IFERROR(MATCH(A123&amp;"",tbl_Production[Job Number],0),MATCH(IFERROR(A123+0,A123),tbl_Production[Job Number],0)))),IFERROR(IF(INDEX(tbl_Consulting[Tax Code],IFERROR(MATCH(A123&amp;"",tbl_Consulting[Job Number],0),MATCH(IFERROR(A123+0,A123),tbl_Consulting[Job Number],0)))="","",INDEX(tbl_Consulting[Tax Code],IFERROR(MATCH(A123&amp;"",tbl_Consulting[Job Number],0),MATCH(IFERROR(A123+0,A123),tbl_Consulting[Job Number],0)))),"")))))</f>
        <v/>
      </c>
      <c r="N123" s="26">
        <f>IF(D123="","",IFERROR(INDEX(lst_CCtoGL,MATCH(D123,lst_CCforGL,0)),""))</f>
        <v/>
      </c>
      <c r="O123" s="27">
        <f>IF(E123="","",IF(M123="GST 10%",ROUND(E123*set_GSTRate,2),0))</f>
        <v/>
      </c>
      <c r="P123" s="27">
        <f>IF(E123="","",E123+O123)</f>
        <v/>
      </c>
      <c r="Q123" s="27">
        <f>IF(A123="","",IFERROR(INDEX(tbl_Onsite[Expected Revenue Ex GST],IFERROR(MATCH(A123&amp;"",tbl_Onsite[Job Number],0),MATCH(IFERROR(A123+0,A123),tbl_Onsite[Job Number],0))),IFERROR(INDEX(tbl_Production[Expected Revenue Ex GST],IFERROR(MATCH(A123&amp;"",tbl_Production[Job Number],0),MATCH(IFERROR(A123+0,A123),tbl_Production[Job Number],0))),IFERROR(INDEX(tbl_Consulting[Expected Revenue Ex GST],IFERROR(MATCH(A123&amp;"",tbl_Consulting[Job Number],0),MATCH(IFERROR(A123+0,A123),tbl_Consulting[Job Number],0))),0))))</f>
        <v/>
      </c>
      <c r="R123" s="27">
        <f>IF(A123="","",SUMIFS(tbl_Finance[Ex GST],tbl_Finance[Job Number],A123&amp;""))</f>
        <v/>
      </c>
      <c r="S123" s="27">
        <f>IF(A123="","",Q123-R123)</f>
        <v/>
      </c>
      <c r="T123" s="26">
        <f>IF(A123="","",IF(Q123=0,"No dept value",IF(ROUND(S123,2)=0,"Agrees",IF(S123&gt;0,"Dept higher - to invoice","Xero higher - check dept"))))</f>
        <v/>
      </c>
      <c r="U123" s="22" t="n"/>
      <c r="V123" s="22" t="n"/>
      <c r="W123" s="23" t="n"/>
      <c r="X123" s="23" t="n"/>
      <c r="Y123" s="22" t="n"/>
      <c r="Z123" s="22" t="n"/>
      <c r="AA123" s="26">
        <f>IF(COUNTA(C123,A123,B123,E123)=0,"",IF(C123="","No date - sits outside every month",IF(A123="","No job number",IF(H123="CHECK","Job number is not in the Xero job list",IF(G123="not set up yet","No department has set this job up - nothing can pull through",IF(D123="","No cost centre",IF(AND(U123="Y",B123=""),"Marked posted to Xero but has no invoice number",IF(N123="","Cost centre has no revenue GL on the Lists sheet",IF(T123="Xero higher - check dept","Invoiced more than the department says the job is worth","")))))))))</f>
        <v/>
      </c>
      <c r="AB123" s="28">
        <f>IF(A123="","",COUNTIFS(tbl_Finance[Job Number],A123&amp;"",tbl_Finance[Ex GST],"&lt;&gt;"))</f>
        <v/>
      </c>
      <c r="AC123" s="27">
        <f>IF(A123="","",SUMIFS(tbl_Finance[Ex GST],tbl_Finance[Job Number],A123&amp;""))</f>
        <v/>
      </c>
      <c r="AD123" s="27">
        <f>IF(A123="","",SUMIFS(tbl_Finance[Ex GST],tbl_Finance[Job Number],A123&amp;"",tbl_Finance[Xero Invoice No],"&lt;&gt;"))</f>
        <v/>
      </c>
      <c r="AE123" s="27">
        <f>IF(A123="","",AC123-AD123)</f>
        <v/>
      </c>
      <c r="AF123" s="26">
        <f>IF(A123="","",IFERROR(IF(INDEX(tbl_Onsite[Qwilr Quote],IFERROR(MATCH(A123&amp;"",tbl_Onsite[Job Number],0),MATCH(IFERROR(A123+0,A123),tbl_Onsite[Job Number],0)))="","",INDEX(tbl_Onsite[Qwilr Quote],IFERROR(MATCH(A123&amp;"",tbl_Onsite[Job Number],0),MATCH(IFERROR(A123+0,A123),tbl_Onsite[Job Number],0)))),IFERROR(IF(IF(INDEX(tbl_Production[Current RMS No],IFERROR(MATCH(A123&amp;"",tbl_Production[Job Number],0),MATCH(IFERROR(A123+0,A123),tbl_Production[Job Number],0)))="",INDEX(tbl_Production[Qwilr Quote],IFERROR(MATCH(A123&amp;"",tbl_Production[Job Number],0),MATCH(IFERROR(A123+0,A123),tbl_Production[Job Number],0))),INDEX(tbl_Production[Current RMS No],IFERROR(MATCH(A123&amp;"",tbl_Production[Job Number],0),MATCH(IFERROR(A123+0,A123),tbl_Production[Job Number],0))))="","",IF(INDEX(tbl_Production[Current RMS No],IFERROR(MATCH(A123&amp;"",tbl_Production[Job Number],0),MATCH(IFERROR(A123+0,A123),tbl_Production[Job Number],0)))="",INDEX(tbl_Production[Qwilr Quote],IFERROR(MATCH(A123&amp;"",tbl_Production[Job Number],0),MATCH(IFERROR(A123+0,A123),tbl_Production[Job Number],0))),INDEX(tbl_Production[Current RMS No],IFERROR(MATCH(A123&amp;"",tbl_Production[Job Number],0),MATCH(IFERROR(A123+0,A123),tbl_Production[Job Number],0))))),IFERROR(IF(INDEX(tbl_Consulting[Qwilr Quote],IFERROR(MATCH(A123&amp;"",tbl_Consulting[Job Number],0),MATCH(IFERROR(A123+0,A123),tbl_Consulting[Job Number],0)))="","",INDEX(tbl_Consulting[Qwilr Quote],IFERROR(MATCH(A123&amp;"",tbl_Consulting[Job Number],0),MATCH(IFERROR(A123+0,A123),tbl_Consulting[Job Number],0)))),""))))</f>
        <v/>
      </c>
      <c r="AG123" s="26">
        <f>IF(AF123="","",IF(AND(LEFT(AF123,4)&lt;&gt;"http",IF(G123="Production",set_RMSBase,set_QwilrBase)=""),"",HYPERLINK(IF(LEFT(AF123,4)="http",AF123,IF(G123="Production",set_RMSBase,set_QwilrBase)&amp;AF123),"Open")))</f>
        <v/>
      </c>
      <c r="AH123" s="27">
        <f>IF(A123="","",IFERROR(INDEX(tbl_Production[Total Expense],IFERROR(MATCH(A123&amp;"",tbl_Production[Job Number],0),MATCH(IFERROR(A123+0,A123),tbl_Production[Job Number],0))),IFERROR(INDEX(tbl_Consulting[Total Expense],IFERROR(MATCH(A123&amp;"",tbl_Consulting[Job Number],0),MATCH(IFERROR(A123+0,A123),tbl_Consulting[Job Number],0))),0)))</f>
        <v/>
      </c>
      <c r="AI123" s="27">
        <f>IF(A123="","",AC123-N(AH123))</f>
        <v/>
      </c>
      <c r="AJ123" s="29">
        <f>IFERROR(AI123/AC123,"")</f>
        <v/>
      </c>
      <c r="AK123" s="26">
        <f>IF(A123="","",IFERROR(IF(INDEX(tbl_Onsite[Notes],IFERROR(MATCH(A123&amp;"",tbl_Onsite[Job Number],0),MATCH(IFERROR(A123+0,A123),tbl_Onsite[Job Number],0)))="","",INDEX(tbl_Onsite[Notes],IFERROR(MATCH(A123&amp;"",tbl_Onsite[Job Number],0),MATCH(IFERROR(A123+0,A123),tbl_Onsite[Job Number],0)))),IFERROR(IF(INDEX(tbl_Production[Notes],IFERROR(MATCH(A123&amp;"",tbl_Production[Job Number],0),MATCH(IFERROR(A123+0,A123),tbl_Production[Job Number],0)))="","",INDEX(tbl_Production[Notes],IFERROR(MATCH(A123&amp;"",tbl_Production[Job Number],0),MATCH(IFERROR(A123+0,A123),tbl_Production[Job Number],0)))),IFERROR(IF(INDEX(tbl_Consulting[Notes],IFERROR(MATCH(A123&amp;"",tbl_Consulting[Job Number],0),MATCH(IFERROR(A123+0,A123),tbl_Consulting[Job Number],0)))="","",INDEX(tbl_Consulting[Notes],IFERROR(MATCH(A123&amp;"",tbl_Consulting[Job Number],0),MATCH(IFERROR(A123+0,A123),tbl_Consulting[Job Number],0)))),""))))</f>
        <v/>
      </c>
    </row>
    <row r="124" ht="15" customHeight="1">
      <c r="A124" s="22" t="n"/>
      <c r="B124" s="22" t="n"/>
      <c r="C124" s="23" t="n"/>
      <c r="D124" s="22" t="n"/>
      <c r="E124" s="24" t="n"/>
      <c r="F124" s="25">
        <f>IF(C124="","",EOMONTH(C124,0))</f>
        <v/>
      </c>
      <c r="G124" s="26">
        <f>IF(A124="","",IF(COUNTIF(tbl_Onsite[Job Number],A124&amp;"")&gt;0,"Onsite",IF(COUNTIF(tbl_Production[Job Number],A124&amp;"")&gt;0,"Production",IF(COUNTIF(tbl_Consulting[Job Number],A124&amp;"")&gt;0,"Consulting","not set up yet"))))</f>
        <v/>
      </c>
      <c r="H124" s="26">
        <f>IF(A124="","",IF(COUNTIF(lst_Jobs,A124&amp;"")&gt;0,"OK","CHECK"))</f>
        <v/>
      </c>
      <c r="I124" s="26">
        <f>IF(A124="","",IFERROR(INDEX(lst_JobName,MATCH(A124&amp;"",lst_Jobs,0)),""))</f>
        <v/>
      </c>
      <c r="J124" s="26">
        <f>IF(A124="","",IFERROR(IF(INDEX(tbl_Onsite[Client],IFERROR(MATCH(A124&amp;"",tbl_Onsite[Job Number],0),MATCH(IFERROR(A124+0,A124),tbl_Onsite[Job Number],0)))="","",INDEX(tbl_Onsite[Client],IFERROR(MATCH(A124&amp;"",tbl_Onsite[Job Number],0),MATCH(IFERROR(A124+0,A124),tbl_Onsite[Job Number],0)))),IFERROR(IF(INDEX(tbl_Production[Client],IFERROR(MATCH(A124&amp;"",tbl_Production[Job Number],0),MATCH(IFERROR(A124+0,A124),tbl_Production[Job Number],0)))="","",INDEX(tbl_Production[Client],IFERROR(MATCH(A124&amp;"",tbl_Production[Job Number],0),MATCH(IFERROR(A124+0,A124),tbl_Production[Job Number],0)))),IFERROR(IF(INDEX(tbl_Consulting[Client],IFERROR(MATCH(A124&amp;"",tbl_Consulting[Job Number],0),MATCH(IFERROR(A124+0,A124),tbl_Consulting[Job Number],0)))="","",INDEX(tbl_Consulting[Client],IFERROR(MATCH(A124&amp;"",tbl_Consulting[Job Number],0),MATCH(IFERROR(A124+0,A124),tbl_Consulting[Job Number],0)))),""))))</f>
        <v/>
      </c>
      <c r="K124" s="26">
        <f>IF(A124="","",IFERROR(IF(INDEX(tbl_Onsite[Job Description],IFERROR(MATCH(A124&amp;"",tbl_Onsite[Job Number],0),MATCH(IFERROR(A124+0,A124),tbl_Onsite[Job Number],0)))="","",INDEX(tbl_Onsite[Job Description],IFERROR(MATCH(A124&amp;"",tbl_Onsite[Job Number],0),MATCH(IFERROR(A124+0,A124),tbl_Onsite[Job Number],0)))),IFERROR(IF(INDEX(tbl_Production[Job Description],IFERROR(MATCH(A124&amp;"",tbl_Production[Job Number],0),MATCH(IFERROR(A124+0,A124),tbl_Production[Job Number],0)))="","",INDEX(tbl_Production[Job Description],IFERROR(MATCH(A124&amp;"",tbl_Production[Job Number],0),MATCH(IFERROR(A124+0,A124),tbl_Production[Job Number],0)))),IFERROR(IF(INDEX(tbl_Consulting[Job Description],IFERROR(MATCH(A124&amp;"",tbl_Consulting[Job Number],0),MATCH(IFERROR(A124+0,A124),tbl_Consulting[Job Number],0)))="","",INDEX(tbl_Consulting[Job Description],IFERROR(MATCH(A124&amp;"",tbl_Consulting[Job Number],0),MATCH(IFERROR(A124+0,A124),tbl_Consulting[Job Number],0)))),""))))</f>
        <v/>
      </c>
      <c r="L124" s="26">
        <f>IF(A124="","",IFERROR(IF(INDEX(tbl_Onsite[Invoice Type],IFERROR(MATCH(A124&amp;"",tbl_Onsite[Job Number],0),MATCH(IFERROR(A124+0,A124),tbl_Onsite[Job Number],0)))="","",INDEX(tbl_Onsite[Invoice Type],IFERROR(MATCH(A124&amp;"",tbl_Onsite[Job Number],0),MATCH(IFERROR(A124+0,A124),tbl_Onsite[Job Number],0)))),IFERROR(IF(INDEX(tbl_Production[Invoice Type],IFERROR(MATCH(A124&amp;"",tbl_Production[Job Number],0),MATCH(IFERROR(A124+0,A124),tbl_Production[Job Number],0)))="","",INDEX(tbl_Production[Invoice Type],IFERROR(MATCH(A124&amp;"",tbl_Production[Job Number],0),MATCH(IFERROR(A124+0,A124),tbl_Production[Job Number],0)))),IFERROR(IF(INDEX(tbl_Consulting[Invoice Type],IFERROR(MATCH(A124&amp;"",tbl_Consulting[Job Number],0),MATCH(IFERROR(A124+0,A124),tbl_Consulting[Job Number],0)))="","",INDEX(tbl_Consulting[Invoice Type],IFERROR(MATCH(A124&amp;"",tbl_Consulting[Job Number],0),MATCH(IFERROR(A124+0,A124),tbl_Consulting[Job Number],0)))),""))))</f>
        <v/>
      </c>
      <c r="M124" s="26">
        <f>IF(A124="","",IF(IFERROR(IF(INDEX(tbl_Onsite[Tax Code],IFERROR(MATCH(A124&amp;"",tbl_Onsite[Job Number],0),MATCH(IFERROR(A124+0,A124),tbl_Onsite[Job Number],0)))="","",INDEX(tbl_Onsite[Tax Code],IFERROR(MATCH(A124&amp;"",tbl_Onsite[Job Number],0),MATCH(IFERROR(A124+0,A124),tbl_Onsite[Job Number],0)))),IFERROR(IF(INDEX(tbl_Production[Tax Code],IFERROR(MATCH(A124&amp;"",tbl_Production[Job Number],0),MATCH(IFERROR(A124+0,A124),tbl_Production[Job Number],0)))="","",INDEX(tbl_Production[Tax Code],IFERROR(MATCH(A124&amp;"",tbl_Production[Job Number],0),MATCH(IFERROR(A124+0,A124),tbl_Production[Job Number],0)))),IFERROR(IF(INDEX(tbl_Consulting[Tax Code],IFERROR(MATCH(A124&amp;"",tbl_Consulting[Job Number],0),MATCH(IFERROR(A124+0,A124),tbl_Consulting[Job Number],0)))="","",INDEX(tbl_Consulting[Tax Code],IFERROR(MATCH(A124&amp;"",tbl_Consulting[Job Number],0),MATCH(IFERROR(A124+0,A124),tbl_Consulting[Job Number],0)))),"")))="","GST 10%",IFERROR(IF(INDEX(tbl_Onsite[Tax Code],IFERROR(MATCH(A124&amp;"",tbl_Onsite[Job Number],0),MATCH(IFERROR(A124+0,A124),tbl_Onsite[Job Number],0)))="","",INDEX(tbl_Onsite[Tax Code],IFERROR(MATCH(A124&amp;"",tbl_Onsite[Job Number],0),MATCH(IFERROR(A124+0,A124),tbl_Onsite[Job Number],0)))),IFERROR(IF(INDEX(tbl_Production[Tax Code],IFERROR(MATCH(A124&amp;"",tbl_Production[Job Number],0),MATCH(IFERROR(A124+0,A124),tbl_Production[Job Number],0)))="","",INDEX(tbl_Production[Tax Code],IFERROR(MATCH(A124&amp;"",tbl_Production[Job Number],0),MATCH(IFERROR(A124+0,A124),tbl_Production[Job Number],0)))),IFERROR(IF(INDEX(tbl_Consulting[Tax Code],IFERROR(MATCH(A124&amp;"",tbl_Consulting[Job Number],0),MATCH(IFERROR(A124+0,A124),tbl_Consulting[Job Number],0)))="","",INDEX(tbl_Consulting[Tax Code],IFERROR(MATCH(A124&amp;"",tbl_Consulting[Job Number],0),MATCH(IFERROR(A124+0,A124),tbl_Consulting[Job Number],0)))),"")))))</f>
        <v/>
      </c>
      <c r="N124" s="26">
        <f>IF(D124="","",IFERROR(INDEX(lst_CCtoGL,MATCH(D124,lst_CCforGL,0)),""))</f>
        <v/>
      </c>
      <c r="O124" s="27">
        <f>IF(E124="","",IF(M124="GST 10%",ROUND(E124*set_GSTRate,2),0))</f>
        <v/>
      </c>
      <c r="P124" s="27">
        <f>IF(E124="","",E124+O124)</f>
        <v/>
      </c>
      <c r="Q124" s="27">
        <f>IF(A124="","",IFERROR(INDEX(tbl_Onsite[Expected Revenue Ex GST],IFERROR(MATCH(A124&amp;"",tbl_Onsite[Job Number],0),MATCH(IFERROR(A124+0,A124),tbl_Onsite[Job Number],0))),IFERROR(INDEX(tbl_Production[Expected Revenue Ex GST],IFERROR(MATCH(A124&amp;"",tbl_Production[Job Number],0),MATCH(IFERROR(A124+0,A124),tbl_Production[Job Number],0))),IFERROR(INDEX(tbl_Consulting[Expected Revenue Ex GST],IFERROR(MATCH(A124&amp;"",tbl_Consulting[Job Number],0),MATCH(IFERROR(A124+0,A124),tbl_Consulting[Job Number],0))),0))))</f>
        <v/>
      </c>
      <c r="R124" s="27">
        <f>IF(A124="","",SUMIFS(tbl_Finance[Ex GST],tbl_Finance[Job Number],A124&amp;""))</f>
        <v/>
      </c>
      <c r="S124" s="27">
        <f>IF(A124="","",Q124-R124)</f>
        <v/>
      </c>
      <c r="T124" s="26">
        <f>IF(A124="","",IF(Q124=0,"No dept value",IF(ROUND(S124,2)=0,"Agrees",IF(S124&gt;0,"Dept higher - to invoice","Xero higher - check dept"))))</f>
        <v/>
      </c>
      <c r="U124" s="22" t="n"/>
      <c r="V124" s="22" t="n"/>
      <c r="W124" s="23" t="n"/>
      <c r="X124" s="23" t="n"/>
      <c r="Y124" s="22" t="n"/>
      <c r="Z124" s="22" t="n"/>
      <c r="AA124" s="26">
        <f>IF(COUNTA(C124,A124,B124,E124)=0,"",IF(C124="","No date - sits outside every month",IF(A124="","No job number",IF(H124="CHECK","Job number is not in the Xero job list",IF(G124="not set up yet","No department has set this job up - nothing can pull through",IF(D124="","No cost centre",IF(AND(U124="Y",B124=""),"Marked posted to Xero but has no invoice number",IF(N124="","Cost centre has no revenue GL on the Lists sheet",IF(T124="Xero higher - check dept","Invoiced more than the department says the job is worth","")))))))))</f>
        <v/>
      </c>
      <c r="AB124" s="28">
        <f>IF(A124="","",COUNTIFS(tbl_Finance[Job Number],A124&amp;"",tbl_Finance[Ex GST],"&lt;&gt;"))</f>
        <v/>
      </c>
      <c r="AC124" s="27">
        <f>IF(A124="","",SUMIFS(tbl_Finance[Ex GST],tbl_Finance[Job Number],A124&amp;""))</f>
        <v/>
      </c>
      <c r="AD124" s="27">
        <f>IF(A124="","",SUMIFS(tbl_Finance[Ex GST],tbl_Finance[Job Number],A124&amp;"",tbl_Finance[Xero Invoice No],"&lt;&gt;"))</f>
        <v/>
      </c>
      <c r="AE124" s="27">
        <f>IF(A124="","",AC124-AD124)</f>
        <v/>
      </c>
      <c r="AF124" s="26">
        <f>IF(A124="","",IFERROR(IF(INDEX(tbl_Onsite[Qwilr Quote],IFERROR(MATCH(A124&amp;"",tbl_Onsite[Job Number],0),MATCH(IFERROR(A124+0,A124),tbl_Onsite[Job Number],0)))="","",INDEX(tbl_Onsite[Qwilr Quote],IFERROR(MATCH(A124&amp;"",tbl_Onsite[Job Number],0),MATCH(IFERROR(A124+0,A124),tbl_Onsite[Job Number],0)))),IFERROR(IF(IF(INDEX(tbl_Production[Current RMS No],IFERROR(MATCH(A124&amp;"",tbl_Production[Job Number],0),MATCH(IFERROR(A124+0,A124),tbl_Production[Job Number],0)))="",INDEX(tbl_Production[Qwilr Quote],IFERROR(MATCH(A124&amp;"",tbl_Production[Job Number],0),MATCH(IFERROR(A124+0,A124),tbl_Production[Job Number],0))),INDEX(tbl_Production[Current RMS No],IFERROR(MATCH(A124&amp;"",tbl_Production[Job Number],0),MATCH(IFERROR(A124+0,A124),tbl_Production[Job Number],0))))="","",IF(INDEX(tbl_Production[Current RMS No],IFERROR(MATCH(A124&amp;"",tbl_Production[Job Number],0),MATCH(IFERROR(A124+0,A124),tbl_Production[Job Number],0)))="",INDEX(tbl_Production[Qwilr Quote],IFERROR(MATCH(A124&amp;"",tbl_Production[Job Number],0),MATCH(IFERROR(A124+0,A124),tbl_Production[Job Number],0))),INDEX(tbl_Production[Current RMS No],IFERROR(MATCH(A124&amp;"",tbl_Production[Job Number],0),MATCH(IFERROR(A124+0,A124),tbl_Production[Job Number],0))))),IFERROR(IF(INDEX(tbl_Consulting[Qwilr Quote],IFERROR(MATCH(A124&amp;"",tbl_Consulting[Job Number],0),MATCH(IFERROR(A124+0,A124),tbl_Consulting[Job Number],0)))="","",INDEX(tbl_Consulting[Qwilr Quote],IFERROR(MATCH(A124&amp;"",tbl_Consulting[Job Number],0),MATCH(IFERROR(A124+0,A124),tbl_Consulting[Job Number],0)))),""))))</f>
        <v/>
      </c>
      <c r="AG124" s="26">
        <f>IF(AF124="","",IF(AND(LEFT(AF124,4)&lt;&gt;"http",IF(G124="Production",set_RMSBase,set_QwilrBase)=""),"",HYPERLINK(IF(LEFT(AF124,4)="http",AF124,IF(G124="Production",set_RMSBase,set_QwilrBase)&amp;AF124),"Open")))</f>
        <v/>
      </c>
      <c r="AH124" s="27">
        <f>IF(A124="","",IFERROR(INDEX(tbl_Production[Total Expense],IFERROR(MATCH(A124&amp;"",tbl_Production[Job Number],0),MATCH(IFERROR(A124+0,A124),tbl_Production[Job Number],0))),IFERROR(INDEX(tbl_Consulting[Total Expense],IFERROR(MATCH(A124&amp;"",tbl_Consulting[Job Number],0),MATCH(IFERROR(A124+0,A124),tbl_Consulting[Job Number],0))),0)))</f>
        <v/>
      </c>
      <c r="AI124" s="27">
        <f>IF(A124="","",AC124-N(AH124))</f>
        <v/>
      </c>
      <c r="AJ124" s="29">
        <f>IFERROR(AI124/AC124,"")</f>
        <v/>
      </c>
      <c r="AK124" s="26">
        <f>IF(A124="","",IFERROR(IF(INDEX(tbl_Onsite[Notes],IFERROR(MATCH(A124&amp;"",tbl_Onsite[Job Number],0),MATCH(IFERROR(A124+0,A124),tbl_Onsite[Job Number],0)))="","",INDEX(tbl_Onsite[Notes],IFERROR(MATCH(A124&amp;"",tbl_Onsite[Job Number],0),MATCH(IFERROR(A124+0,A124),tbl_Onsite[Job Number],0)))),IFERROR(IF(INDEX(tbl_Production[Notes],IFERROR(MATCH(A124&amp;"",tbl_Production[Job Number],0),MATCH(IFERROR(A124+0,A124),tbl_Production[Job Number],0)))="","",INDEX(tbl_Production[Notes],IFERROR(MATCH(A124&amp;"",tbl_Production[Job Number],0),MATCH(IFERROR(A124+0,A124),tbl_Production[Job Number],0)))),IFERROR(IF(INDEX(tbl_Consulting[Notes],IFERROR(MATCH(A124&amp;"",tbl_Consulting[Job Number],0),MATCH(IFERROR(A124+0,A124),tbl_Consulting[Job Number],0)))="","",INDEX(tbl_Consulting[Notes],IFERROR(MATCH(A124&amp;"",tbl_Consulting[Job Number],0),MATCH(IFERROR(A124+0,A124),tbl_Consulting[Job Number],0)))),""))))</f>
        <v/>
      </c>
    </row>
    <row r="125" ht="15" customHeight="1">
      <c r="A125" s="22" t="n"/>
      <c r="B125" s="22" t="n"/>
      <c r="C125" s="23" t="n"/>
      <c r="D125" s="22" t="n"/>
      <c r="E125" s="24" t="n"/>
      <c r="F125" s="25">
        <f>IF(C125="","",EOMONTH(C125,0))</f>
        <v/>
      </c>
      <c r="G125" s="26">
        <f>IF(A125="","",IF(COUNTIF(tbl_Onsite[Job Number],A125&amp;"")&gt;0,"Onsite",IF(COUNTIF(tbl_Production[Job Number],A125&amp;"")&gt;0,"Production",IF(COUNTIF(tbl_Consulting[Job Number],A125&amp;"")&gt;0,"Consulting","not set up yet"))))</f>
        <v/>
      </c>
      <c r="H125" s="26">
        <f>IF(A125="","",IF(COUNTIF(lst_Jobs,A125&amp;"")&gt;0,"OK","CHECK"))</f>
        <v/>
      </c>
      <c r="I125" s="26">
        <f>IF(A125="","",IFERROR(INDEX(lst_JobName,MATCH(A125&amp;"",lst_Jobs,0)),""))</f>
        <v/>
      </c>
      <c r="J125" s="26">
        <f>IF(A125="","",IFERROR(IF(INDEX(tbl_Onsite[Client],IFERROR(MATCH(A125&amp;"",tbl_Onsite[Job Number],0),MATCH(IFERROR(A125+0,A125),tbl_Onsite[Job Number],0)))="","",INDEX(tbl_Onsite[Client],IFERROR(MATCH(A125&amp;"",tbl_Onsite[Job Number],0),MATCH(IFERROR(A125+0,A125),tbl_Onsite[Job Number],0)))),IFERROR(IF(INDEX(tbl_Production[Client],IFERROR(MATCH(A125&amp;"",tbl_Production[Job Number],0),MATCH(IFERROR(A125+0,A125),tbl_Production[Job Number],0)))="","",INDEX(tbl_Production[Client],IFERROR(MATCH(A125&amp;"",tbl_Production[Job Number],0),MATCH(IFERROR(A125+0,A125),tbl_Production[Job Number],0)))),IFERROR(IF(INDEX(tbl_Consulting[Client],IFERROR(MATCH(A125&amp;"",tbl_Consulting[Job Number],0),MATCH(IFERROR(A125+0,A125),tbl_Consulting[Job Number],0)))="","",INDEX(tbl_Consulting[Client],IFERROR(MATCH(A125&amp;"",tbl_Consulting[Job Number],0),MATCH(IFERROR(A125+0,A125),tbl_Consulting[Job Number],0)))),""))))</f>
        <v/>
      </c>
      <c r="K125" s="26">
        <f>IF(A125="","",IFERROR(IF(INDEX(tbl_Onsite[Job Description],IFERROR(MATCH(A125&amp;"",tbl_Onsite[Job Number],0),MATCH(IFERROR(A125+0,A125),tbl_Onsite[Job Number],0)))="","",INDEX(tbl_Onsite[Job Description],IFERROR(MATCH(A125&amp;"",tbl_Onsite[Job Number],0),MATCH(IFERROR(A125+0,A125),tbl_Onsite[Job Number],0)))),IFERROR(IF(INDEX(tbl_Production[Job Description],IFERROR(MATCH(A125&amp;"",tbl_Production[Job Number],0),MATCH(IFERROR(A125+0,A125),tbl_Production[Job Number],0)))="","",INDEX(tbl_Production[Job Description],IFERROR(MATCH(A125&amp;"",tbl_Production[Job Number],0),MATCH(IFERROR(A125+0,A125),tbl_Production[Job Number],0)))),IFERROR(IF(INDEX(tbl_Consulting[Job Description],IFERROR(MATCH(A125&amp;"",tbl_Consulting[Job Number],0),MATCH(IFERROR(A125+0,A125),tbl_Consulting[Job Number],0)))="","",INDEX(tbl_Consulting[Job Description],IFERROR(MATCH(A125&amp;"",tbl_Consulting[Job Number],0),MATCH(IFERROR(A125+0,A125),tbl_Consulting[Job Number],0)))),""))))</f>
        <v/>
      </c>
      <c r="L125" s="26">
        <f>IF(A125="","",IFERROR(IF(INDEX(tbl_Onsite[Invoice Type],IFERROR(MATCH(A125&amp;"",tbl_Onsite[Job Number],0),MATCH(IFERROR(A125+0,A125),tbl_Onsite[Job Number],0)))="","",INDEX(tbl_Onsite[Invoice Type],IFERROR(MATCH(A125&amp;"",tbl_Onsite[Job Number],0),MATCH(IFERROR(A125+0,A125),tbl_Onsite[Job Number],0)))),IFERROR(IF(INDEX(tbl_Production[Invoice Type],IFERROR(MATCH(A125&amp;"",tbl_Production[Job Number],0),MATCH(IFERROR(A125+0,A125),tbl_Production[Job Number],0)))="","",INDEX(tbl_Production[Invoice Type],IFERROR(MATCH(A125&amp;"",tbl_Production[Job Number],0),MATCH(IFERROR(A125+0,A125),tbl_Production[Job Number],0)))),IFERROR(IF(INDEX(tbl_Consulting[Invoice Type],IFERROR(MATCH(A125&amp;"",tbl_Consulting[Job Number],0),MATCH(IFERROR(A125+0,A125),tbl_Consulting[Job Number],0)))="","",INDEX(tbl_Consulting[Invoice Type],IFERROR(MATCH(A125&amp;"",tbl_Consulting[Job Number],0),MATCH(IFERROR(A125+0,A125),tbl_Consulting[Job Number],0)))),""))))</f>
        <v/>
      </c>
      <c r="M125" s="26">
        <f>IF(A125="","",IF(IFERROR(IF(INDEX(tbl_Onsite[Tax Code],IFERROR(MATCH(A125&amp;"",tbl_Onsite[Job Number],0),MATCH(IFERROR(A125+0,A125),tbl_Onsite[Job Number],0)))="","",INDEX(tbl_Onsite[Tax Code],IFERROR(MATCH(A125&amp;"",tbl_Onsite[Job Number],0),MATCH(IFERROR(A125+0,A125),tbl_Onsite[Job Number],0)))),IFERROR(IF(INDEX(tbl_Production[Tax Code],IFERROR(MATCH(A125&amp;"",tbl_Production[Job Number],0),MATCH(IFERROR(A125+0,A125),tbl_Production[Job Number],0)))="","",INDEX(tbl_Production[Tax Code],IFERROR(MATCH(A125&amp;"",tbl_Production[Job Number],0),MATCH(IFERROR(A125+0,A125),tbl_Production[Job Number],0)))),IFERROR(IF(INDEX(tbl_Consulting[Tax Code],IFERROR(MATCH(A125&amp;"",tbl_Consulting[Job Number],0),MATCH(IFERROR(A125+0,A125),tbl_Consulting[Job Number],0)))="","",INDEX(tbl_Consulting[Tax Code],IFERROR(MATCH(A125&amp;"",tbl_Consulting[Job Number],0),MATCH(IFERROR(A125+0,A125),tbl_Consulting[Job Number],0)))),"")))="","GST 10%",IFERROR(IF(INDEX(tbl_Onsite[Tax Code],IFERROR(MATCH(A125&amp;"",tbl_Onsite[Job Number],0),MATCH(IFERROR(A125+0,A125),tbl_Onsite[Job Number],0)))="","",INDEX(tbl_Onsite[Tax Code],IFERROR(MATCH(A125&amp;"",tbl_Onsite[Job Number],0),MATCH(IFERROR(A125+0,A125),tbl_Onsite[Job Number],0)))),IFERROR(IF(INDEX(tbl_Production[Tax Code],IFERROR(MATCH(A125&amp;"",tbl_Production[Job Number],0),MATCH(IFERROR(A125+0,A125),tbl_Production[Job Number],0)))="","",INDEX(tbl_Production[Tax Code],IFERROR(MATCH(A125&amp;"",tbl_Production[Job Number],0),MATCH(IFERROR(A125+0,A125),tbl_Production[Job Number],0)))),IFERROR(IF(INDEX(tbl_Consulting[Tax Code],IFERROR(MATCH(A125&amp;"",tbl_Consulting[Job Number],0),MATCH(IFERROR(A125+0,A125),tbl_Consulting[Job Number],0)))="","",INDEX(tbl_Consulting[Tax Code],IFERROR(MATCH(A125&amp;"",tbl_Consulting[Job Number],0),MATCH(IFERROR(A125+0,A125),tbl_Consulting[Job Number],0)))),"")))))</f>
        <v/>
      </c>
      <c r="N125" s="26">
        <f>IF(D125="","",IFERROR(INDEX(lst_CCtoGL,MATCH(D125,lst_CCforGL,0)),""))</f>
        <v/>
      </c>
      <c r="O125" s="27">
        <f>IF(E125="","",IF(M125="GST 10%",ROUND(E125*set_GSTRate,2),0))</f>
        <v/>
      </c>
      <c r="P125" s="27">
        <f>IF(E125="","",E125+O125)</f>
        <v/>
      </c>
      <c r="Q125" s="27">
        <f>IF(A125="","",IFERROR(INDEX(tbl_Onsite[Expected Revenue Ex GST],IFERROR(MATCH(A125&amp;"",tbl_Onsite[Job Number],0),MATCH(IFERROR(A125+0,A125),tbl_Onsite[Job Number],0))),IFERROR(INDEX(tbl_Production[Expected Revenue Ex GST],IFERROR(MATCH(A125&amp;"",tbl_Production[Job Number],0),MATCH(IFERROR(A125+0,A125),tbl_Production[Job Number],0))),IFERROR(INDEX(tbl_Consulting[Expected Revenue Ex GST],IFERROR(MATCH(A125&amp;"",tbl_Consulting[Job Number],0),MATCH(IFERROR(A125+0,A125),tbl_Consulting[Job Number],0))),0))))</f>
        <v/>
      </c>
      <c r="R125" s="27">
        <f>IF(A125="","",SUMIFS(tbl_Finance[Ex GST],tbl_Finance[Job Number],A125&amp;""))</f>
        <v/>
      </c>
      <c r="S125" s="27">
        <f>IF(A125="","",Q125-R125)</f>
        <v/>
      </c>
      <c r="T125" s="26">
        <f>IF(A125="","",IF(Q125=0,"No dept value",IF(ROUND(S125,2)=0,"Agrees",IF(S125&gt;0,"Dept higher - to invoice","Xero higher - check dept"))))</f>
        <v/>
      </c>
      <c r="U125" s="22" t="n"/>
      <c r="V125" s="22" t="n"/>
      <c r="W125" s="23" t="n"/>
      <c r="X125" s="23" t="n"/>
      <c r="Y125" s="22" t="n"/>
      <c r="Z125" s="22" t="n"/>
      <c r="AA125" s="26">
        <f>IF(COUNTA(C125,A125,B125,E125)=0,"",IF(C125="","No date - sits outside every month",IF(A125="","No job number",IF(H125="CHECK","Job number is not in the Xero job list",IF(G125="not set up yet","No department has set this job up - nothing can pull through",IF(D125="","No cost centre",IF(AND(U125="Y",B125=""),"Marked posted to Xero but has no invoice number",IF(N125="","Cost centre has no revenue GL on the Lists sheet",IF(T125="Xero higher - check dept","Invoiced more than the department says the job is worth","")))))))))</f>
        <v/>
      </c>
      <c r="AB125" s="28">
        <f>IF(A125="","",COUNTIFS(tbl_Finance[Job Number],A125&amp;"",tbl_Finance[Ex GST],"&lt;&gt;"))</f>
        <v/>
      </c>
      <c r="AC125" s="27">
        <f>IF(A125="","",SUMIFS(tbl_Finance[Ex GST],tbl_Finance[Job Number],A125&amp;""))</f>
        <v/>
      </c>
      <c r="AD125" s="27">
        <f>IF(A125="","",SUMIFS(tbl_Finance[Ex GST],tbl_Finance[Job Number],A125&amp;"",tbl_Finance[Xero Invoice No],"&lt;&gt;"))</f>
        <v/>
      </c>
      <c r="AE125" s="27">
        <f>IF(A125="","",AC125-AD125)</f>
        <v/>
      </c>
      <c r="AF125" s="26">
        <f>IF(A125="","",IFERROR(IF(INDEX(tbl_Onsite[Qwilr Quote],IFERROR(MATCH(A125&amp;"",tbl_Onsite[Job Number],0),MATCH(IFERROR(A125+0,A125),tbl_Onsite[Job Number],0)))="","",INDEX(tbl_Onsite[Qwilr Quote],IFERROR(MATCH(A125&amp;"",tbl_Onsite[Job Number],0),MATCH(IFERROR(A125+0,A125),tbl_Onsite[Job Number],0)))),IFERROR(IF(IF(INDEX(tbl_Production[Current RMS No],IFERROR(MATCH(A125&amp;"",tbl_Production[Job Number],0),MATCH(IFERROR(A125+0,A125),tbl_Production[Job Number],0)))="",INDEX(tbl_Production[Qwilr Quote],IFERROR(MATCH(A125&amp;"",tbl_Production[Job Number],0),MATCH(IFERROR(A125+0,A125),tbl_Production[Job Number],0))),INDEX(tbl_Production[Current RMS No],IFERROR(MATCH(A125&amp;"",tbl_Production[Job Number],0),MATCH(IFERROR(A125+0,A125),tbl_Production[Job Number],0))))="","",IF(INDEX(tbl_Production[Current RMS No],IFERROR(MATCH(A125&amp;"",tbl_Production[Job Number],0),MATCH(IFERROR(A125+0,A125),tbl_Production[Job Number],0)))="",INDEX(tbl_Production[Qwilr Quote],IFERROR(MATCH(A125&amp;"",tbl_Production[Job Number],0),MATCH(IFERROR(A125+0,A125),tbl_Production[Job Number],0))),INDEX(tbl_Production[Current RMS No],IFERROR(MATCH(A125&amp;"",tbl_Production[Job Number],0),MATCH(IFERROR(A125+0,A125),tbl_Production[Job Number],0))))),IFERROR(IF(INDEX(tbl_Consulting[Qwilr Quote],IFERROR(MATCH(A125&amp;"",tbl_Consulting[Job Number],0),MATCH(IFERROR(A125+0,A125),tbl_Consulting[Job Number],0)))="","",INDEX(tbl_Consulting[Qwilr Quote],IFERROR(MATCH(A125&amp;"",tbl_Consulting[Job Number],0),MATCH(IFERROR(A125+0,A125),tbl_Consulting[Job Number],0)))),""))))</f>
        <v/>
      </c>
      <c r="AG125" s="26">
        <f>IF(AF125="","",IF(AND(LEFT(AF125,4)&lt;&gt;"http",IF(G125="Production",set_RMSBase,set_QwilrBase)=""),"",HYPERLINK(IF(LEFT(AF125,4)="http",AF125,IF(G125="Production",set_RMSBase,set_QwilrBase)&amp;AF125),"Open")))</f>
        <v/>
      </c>
      <c r="AH125" s="27">
        <f>IF(A125="","",IFERROR(INDEX(tbl_Production[Total Expense],IFERROR(MATCH(A125&amp;"",tbl_Production[Job Number],0),MATCH(IFERROR(A125+0,A125),tbl_Production[Job Number],0))),IFERROR(INDEX(tbl_Consulting[Total Expense],IFERROR(MATCH(A125&amp;"",tbl_Consulting[Job Number],0),MATCH(IFERROR(A125+0,A125),tbl_Consulting[Job Number],0))),0)))</f>
        <v/>
      </c>
      <c r="AI125" s="27">
        <f>IF(A125="","",AC125-N(AH125))</f>
        <v/>
      </c>
      <c r="AJ125" s="29">
        <f>IFERROR(AI125/AC125,"")</f>
        <v/>
      </c>
      <c r="AK125" s="26">
        <f>IF(A125="","",IFERROR(IF(INDEX(tbl_Onsite[Notes],IFERROR(MATCH(A125&amp;"",tbl_Onsite[Job Number],0),MATCH(IFERROR(A125+0,A125),tbl_Onsite[Job Number],0)))="","",INDEX(tbl_Onsite[Notes],IFERROR(MATCH(A125&amp;"",tbl_Onsite[Job Number],0),MATCH(IFERROR(A125+0,A125),tbl_Onsite[Job Number],0)))),IFERROR(IF(INDEX(tbl_Production[Notes],IFERROR(MATCH(A125&amp;"",tbl_Production[Job Number],0),MATCH(IFERROR(A125+0,A125),tbl_Production[Job Number],0)))="","",INDEX(tbl_Production[Notes],IFERROR(MATCH(A125&amp;"",tbl_Production[Job Number],0),MATCH(IFERROR(A125+0,A125),tbl_Production[Job Number],0)))),IFERROR(IF(INDEX(tbl_Consulting[Notes],IFERROR(MATCH(A125&amp;"",tbl_Consulting[Job Number],0),MATCH(IFERROR(A125+0,A125),tbl_Consulting[Job Number],0)))="","",INDEX(tbl_Consulting[Notes],IFERROR(MATCH(A125&amp;"",tbl_Consulting[Job Number],0),MATCH(IFERROR(A125+0,A125),tbl_Consulting[Job Number],0)))),""))))</f>
        <v/>
      </c>
    </row>
    <row r="126" ht="15" customHeight="1">
      <c r="A126" s="22" t="n"/>
      <c r="B126" s="22" t="n"/>
      <c r="C126" s="23" t="n"/>
      <c r="D126" s="22" t="n"/>
      <c r="E126" s="24" t="n"/>
      <c r="F126" s="25">
        <f>IF(C126="","",EOMONTH(C126,0))</f>
        <v/>
      </c>
      <c r="G126" s="26">
        <f>IF(A126="","",IF(COUNTIF(tbl_Onsite[Job Number],A126&amp;"")&gt;0,"Onsite",IF(COUNTIF(tbl_Production[Job Number],A126&amp;"")&gt;0,"Production",IF(COUNTIF(tbl_Consulting[Job Number],A126&amp;"")&gt;0,"Consulting","not set up yet"))))</f>
        <v/>
      </c>
      <c r="H126" s="26">
        <f>IF(A126="","",IF(COUNTIF(lst_Jobs,A126&amp;"")&gt;0,"OK","CHECK"))</f>
        <v/>
      </c>
      <c r="I126" s="26">
        <f>IF(A126="","",IFERROR(INDEX(lst_JobName,MATCH(A126&amp;"",lst_Jobs,0)),""))</f>
        <v/>
      </c>
      <c r="J126" s="26">
        <f>IF(A126="","",IFERROR(IF(INDEX(tbl_Onsite[Client],IFERROR(MATCH(A126&amp;"",tbl_Onsite[Job Number],0),MATCH(IFERROR(A126+0,A126),tbl_Onsite[Job Number],0)))="","",INDEX(tbl_Onsite[Client],IFERROR(MATCH(A126&amp;"",tbl_Onsite[Job Number],0),MATCH(IFERROR(A126+0,A126),tbl_Onsite[Job Number],0)))),IFERROR(IF(INDEX(tbl_Production[Client],IFERROR(MATCH(A126&amp;"",tbl_Production[Job Number],0),MATCH(IFERROR(A126+0,A126),tbl_Production[Job Number],0)))="","",INDEX(tbl_Production[Client],IFERROR(MATCH(A126&amp;"",tbl_Production[Job Number],0),MATCH(IFERROR(A126+0,A126),tbl_Production[Job Number],0)))),IFERROR(IF(INDEX(tbl_Consulting[Client],IFERROR(MATCH(A126&amp;"",tbl_Consulting[Job Number],0),MATCH(IFERROR(A126+0,A126),tbl_Consulting[Job Number],0)))="","",INDEX(tbl_Consulting[Client],IFERROR(MATCH(A126&amp;"",tbl_Consulting[Job Number],0),MATCH(IFERROR(A126+0,A126),tbl_Consulting[Job Number],0)))),""))))</f>
        <v/>
      </c>
      <c r="K126" s="26">
        <f>IF(A126="","",IFERROR(IF(INDEX(tbl_Onsite[Job Description],IFERROR(MATCH(A126&amp;"",tbl_Onsite[Job Number],0),MATCH(IFERROR(A126+0,A126),tbl_Onsite[Job Number],0)))="","",INDEX(tbl_Onsite[Job Description],IFERROR(MATCH(A126&amp;"",tbl_Onsite[Job Number],0),MATCH(IFERROR(A126+0,A126),tbl_Onsite[Job Number],0)))),IFERROR(IF(INDEX(tbl_Production[Job Description],IFERROR(MATCH(A126&amp;"",tbl_Production[Job Number],0),MATCH(IFERROR(A126+0,A126),tbl_Production[Job Number],0)))="","",INDEX(tbl_Production[Job Description],IFERROR(MATCH(A126&amp;"",tbl_Production[Job Number],0),MATCH(IFERROR(A126+0,A126),tbl_Production[Job Number],0)))),IFERROR(IF(INDEX(tbl_Consulting[Job Description],IFERROR(MATCH(A126&amp;"",tbl_Consulting[Job Number],0),MATCH(IFERROR(A126+0,A126),tbl_Consulting[Job Number],0)))="","",INDEX(tbl_Consulting[Job Description],IFERROR(MATCH(A126&amp;"",tbl_Consulting[Job Number],0),MATCH(IFERROR(A126+0,A126),tbl_Consulting[Job Number],0)))),""))))</f>
        <v/>
      </c>
      <c r="L126" s="26">
        <f>IF(A126="","",IFERROR(IF(INDEX(tbl_Onsite[Invoice Type],IFERROR(MATCH(A126&amp;"",tbl_Onsite[Job Number],0),MATCH(IFERROR(A126+0,A126),tbl_Onsite[Job Number],0)))="","",INDEX(tbl_Onsite[Invoice Type],IFERROR(MATCH(A126&amp;"",tbl_Onsite[Job Number],0),MATCH(IFERROR(A126+0,A126),tbl_Onsite[Job Number],0)))),IFERROR(IF(INDEX(tbl_Production[Invoice Type],IFERROR(MATCH(A126&amp;"",tbl_Production[Job Number],0),MATCH(IFERROR(A126+0,A126),tbl_Production[Job Number],0)))="","",INDEX(tbl_Production[Invoice Type],IFERROR(MATCH(A126&amp;"",tbl_Production[Job Number],0),MATCH(IFERROR(A126+0,A126),tbl_Production[Job Number],0)))),IFERROR(IF(INDEX(tbl_Consulting[Invoice Type],IFERROR(MATCH(A126&amp;"",tbl_Consulting[Job Number],0),MATCH(IFERROR(A126+0,A126),tbl_Consulting[Job Number],0)))="","",INDEX(tbl_Consulting[Invoice Type],IFERROR(MATCH(A126&amp;"",tbl_Consulting[Job Number],0),MATCH(IFERROR(A126+0,A126),tbl_Consulting[Job Number],0)))),""))))</f>
        <v/>
      </c>
      <c r="M126" s="26">
        <f>IF(A126="","",IF(IFERROR(IF(INDEX(tbl_Onsite[Tax Code],IFERROR(MATCH(A126&amp;"",tbl_Onsite[Job Number],0),MATCH(IFERROR(A126+0,A126),tbl_Onsite[Job Number],0)))="","",INDEX(tbl_Onsite[Tax Code],IFERROR(MATCH(A126&amp;"",tbl_Onsite[Job Number],0),MATCH(IFERROR(A126+0,A126),tbl_Onsite[Job Number],0)))),IFERROR(IF(INDEX(tbl_Production[Tax Code],IFERROR(MATCH(A126&amp;"",tbl_Production[Job Number],0),MATCH(IFERROR(A126+0,A126),tbl_Production[Job Number],0)))="","",INDEX(tbl_Production[Tax Code],IFERROR(MATCH(A126&amp;"",tbl_Production[Job Number],0),MATCH(IFERROR(A126+0,A126),tbl_Production[Job Number],0)))),IFERROR(IF(INDEX(tbl_Consulting[Tax Code],IFERROR(MATCH(A126&amp;"",tbl_Consulting[Job Number],0),MATCH(IFERROR(A126+0,A126),tbl_Consulting[Job Number],0)))="","",INDEX(tbl_Consulting[Tax Code],IFERROR(MATCH(A126&amp;"",tbl_Consulting[Job Number],0),MATCH(IFERROR(A126+0,A126),tbl_Consulting[Job Number],0)))),"")))="","GST 10%",IFERROR(IF(INDEX(tbl_Onsite[Tax Code],IFERROR(MATCH(A126&amp;"",tbl_Onsite[Job Number],0),MATCH(IFERROR(A126+0,A126),tbl_Onsite[Job Number],0)))="","",INDEX(tbl_Onsite[Tax Code],IFERROR(MATCH(A126&amp;"",tbl_Onsite[Job Number],0),MATCH(IFERROR(A126+0,A126),tbl_Onsite[Job Number],0)))),IFERROR(IF(INDEX(tbl_Production[Tax Code],IFERROR(MATCH(A126&amp;"",tbl_Production[Job Number],0),MATCH(IFERROR(A126+0,A126),tbl_Production[Job Number],0)))="","",INDEX(tbl_Production[Tax Code],IFERROR(MATCH(A126&amp;"",tbl_Production[Job Number],0),MATCH(IFERROR(A126+0,A126),tbl_Production[Job Number],0)))),IFERROR(IF(INDEX(tbl_Consulting[Tax Code],IFERROR(MATCH(A126&amp;"",tbl_Consulting[Job Number],0),MATCH(IFERROR(A126+0,A126),tbl_Consulting[Job Number],0)))="","",INDEX(tbl_Consulting[Tax Code],IFERROR(MATCH(A126&amp;"",tbl_Consulting[Job Number],0),MATCH(IFERROR(A126+0,A126),tbl_Consulting[Job Number],0)))),"")))))</f>
        <v/>
      </c>
      <c r="N126" s="26">
        <f>IF(D126="","",IFERROR(INDEX(lst_CCtoGL,MATCH(D126,lst_CCforGL,0)),""))</f>
        <v/>
      </c>
      <c r="O126" s="27">
        <f>IF(E126="","",IF(M126="GST 10%",ROUND(E126*set_GSTRate,2),0))</f>
        <v/>
      </c>
      <c r="P126" s="27">
        <f>IF(E126="","",E126+O126)</f>
        <v/>
      </c>
      <c r="Q126" s="27">
        <f>IF(A126="","",IFERROR(INDEX(tbl_Onsite[Expected Revenue Ex GST],IFERROR(MATCH(A126&amp;"",tbl_Onsite[Job Number],0),MATCH(IFERROR(A126+0,A126),tbl_Onsite[Job Number],0))),IFERROR(INDEX(tbl_Production[Expected Revenue Ex GST],IFERROR(MATCH(A126&amp;"",tbl_Production[Job Number],0),MATCH(IFERROR(A126+0,A126),tbl_Production[Job Number],0))),IFERROR(INDEX(tbl_Consulting[Expected Revenue Ex GST],IFERROR(MATCH(A126&amp;"",tbl_Consulting[Job Number],0),MATCH(IFERROR(A126+0,A126),tbl_Consulting[Job Number],0))),0))))</f>
        <v/>
      </c>
      <c r="R126" s="27">
        <f>IF(A126="","",SUMIFS(tbl_Finance[Ex GST],tbl_Finance[Job Number],A126&amp;""))</f>
        <v/>
      </c>
      <c r="S126" s="27">
        <f>IF(A126="","",Q126-R126)</f>
        <v/>
      </c>
      <c r="T126" s="26">
        <f>IF(A126="","",IF(Q126=0,"No dept value",IF(ROUND(S126,2)=0,"Agrees",IF(S126&gt;0,"Dept higher - to invoice","Xero higher - check dept"))))</f>
        <v/>
      </c>
      <c r="U126" s="22" t="n"/>
      <c r="V126" s="22" t="n"/>
      <c r="W126" s="23" t="n"/>
      <c r="X126" s="23" t="n"/>
      <c r="Y126" s="22" t="n"/>
      <c r="Z126" s="22" t="n"/>
      <c r="AA126" s="26">
        <f>IF(COUNTA(C126,A126,B126,E126)=0,"",IF(C126="","No date - sits outside every month",IF(A126="","No job number",IF(H126="CHECK","Job number is not in the Xero job list",IF(G126="not set up yet","No department has set this job up - nothing can pull through",IF(D126="","No cost centre",IF(AND(U126="Y",B126=""),"Marked posted to Xero but has no invoice number",IF(N126="","Cost centre has no revenue GL on the Lists sheet",IF(T126="Xero higher - check dept","Invoiced more than the department says the job is worth","")))))))))</f>
        <v/>
      </c>
      <c r="AB126" s="28">
        <f>IF(A126="","",COUNTIFS(tbl_Finance[Job Number],A126&amp;"",tbl_Finance[Ex GST],"&lt;&gt;"))</f>
        <v/>
      </c>
      <c r="AC126" s="27">
        <f>IF(A126="","",SUMIFS(tbl_Finance[Ex GST],tbl_Finance[Job Number],A126&amp;""))</f>
        <v/>
      </c>
      <c r="AD126" s="27">
        <f>IF(A126="","",SUMIFS(tbl_Finance[Ex GST],tbl_Finance[Job Number],A126&amp;"",tbl_Finance[Xero Invoice No],"&lt;&gt;"))</f>
        <v/>
      </c>
      <c r="AE126" s="27">
        <f>IF(A126="","",AC126-AD126)</f>
        <v/>
      </c>
      <c r="AF126" s="26">
        <f>IF(A126="","",IFERROR(IF(INDEX(tbl_Onsite[Qwilr Quote],IFERROR(MATCH(A126&amp;"",tbl_Onsite[Job Number],0),MATCH(IFERROR(A126+0,A126),tbl_Onsite[Job Number],0)))="","",INDEX(tbl_Onsite[Qwilr Quote],IFERROR(MATCH(A126&amp;"",tbl_Onsite[Job Number],0),MATCH(IFERROR(A126+0,A126),tbl_Onsite[Job Number],0)))),IFERROR(IF(IF(INDEX(tbl_Production[Current RMS No],IFERROR(MATCH(A126&amp;"",tbl_Production[Job Number],0),MATCH(IFERROR(A126+0,A126),tbl_Production[Job Number],0)))="",INDEX(tbl_Production[Qwilr Quote],IFERROR(MATCH(A126&amp;"",tbl_Production[Job Number],0),MATCH(IFERROR(A126+0,A126),tbl_Production[Job Number],0))),INDEX(tbl_Production[Current RMS No],IFERROR(MATCH(A126&amp;"",tbl_Production[Job Number],0),MATCH(IFERROR(A126+0,A126),tbl_Production[Job Number],0))))="","",IF(INDEX(tbl_Production[Current RMS No],IFERROR(MATCH(A126&amp;"",tbl_Production[Job Number],0),MATCH(IFERROR(A126+0,A126),tbl_Production[Job Number],0)))="",INDEX(tbl_Production[Qwilr Quote],IFERROR(MATCH(A126&amp;"",tbl_Production[Job Number],0),MATCH(IFERROR(A126+0,A126),tbl_Production[Job Number],0))),INDEX(tbl_Production[Current RMS No],IFERROR(MATCH(A126&amp;"",tbl_Production[Job Number],0),MATCH(IFERROR(A126+0,A126),tbl_Production[Job Number],0))))),IFERROR(IF(INDEX(tbl_Consulting[Qwilr Quote],IFERROR(MATCH(A126&amp;"",tbl_Consulting[Job Number],0),MATCH(IFERROR(A126+0,A126),tbl_Consulting[Job Number],0)))="","",INDEX(tbl_Consulting[Qwilr Quote],IFERROR(MATCH(A126&amp;"",tbl_Consulting[Job Number],0),MATCH(IFERROR(A126+0,A126),tbl_Consulting[Job Number],0)))),""))))</f>
        <v/>
      </c>
      <c r="AG126" s="26">
        <f>IF(AF126="","",IF(AND(LEFT(AF126,4)&lt;&gt;"http",IF(G126="Production",set_RMSBase,set_QwilrBase)=""),"",HYPERLINK(IF(LEFT(AF126,4)="http",AF126,IF(G126="Production",set_RMSBase,set_QwilrBase)&amp;AF126),"Open")))</f>
        <v/>
      </c>
      <c r="AH126" s="27">
        <f>IF(A126="","",IFERROR(INDEX(tbl_Production[Total Expense],IFERROR(MATCH(A126&amp;"",tbl_Production[Job Number],0),MATCH(IFERROR(A126+0,A126),tbl_Production[Job Number],0))),IFERROR(INDEX(tbl_Consulting[Total Expense],IFERROR(MATCH(A126&amp;"",tbl_Consulting[Job Number],0),MATCH(IFERROR(A126+0,A126),tbl_Consulting[Job Number],0))),0)))</f>
        <v/>
      </c>
      <c r="AI126" s="27">
        <f>IF(A126="","",AC126-N(AH126))</f>
        <v/>
      </c>
      <c r="AJ126" s="29">
        <f>IFERROR(AI126/AC126,"")</f>
        <v/>
      </c>
      <c r="AK126" s="26">
        <f>IF(A126="","",IFERROR(IF(INDEX(tbl_Onsite[Notes],IFERROR(MATCH(A126&amp;"",tbl_Onsite[Job Number],0),MATCH(IFERROR(A126+0,A126),tbl_Onsite[Job Number],0)))="","",INDEX(tbl_Onsite[Notes],IFERROR(MATCH(A126&amp;"",tbl_Onsite[Job Number],0),MATCH(IFERROR(A126+0,A126),tbl_Onsite[Job Number],0)))),IFERROR(IF(INDEX(tbl_Production[Notes],IFERROR(MATCH(A126&amp;"",tbl_Production[Job Number],0),MATCH(IFERROR(A126+0,A126),tbl_Production[Job Number],0)))="","",INDEX(tbl_Production[Notes],IFERROR(MATCH(A126&amp;"",tbl_Production[Job Number],0),MATCH(IFERROR(A126+0,A126),tbl_Production[Job Number],0)))),IFERROR(IF(INDEX(tbl_Consulting[Notes],IFERROR(MATCH(A126&amp;"",tbl_Consulting[Job Number],0),MATCH(IFERROR(A126+0,A126),tbl_Consulting[Job Number],0)))="","",INDEX(tbl_Consulting[Notes],IFERROR(MATCH(A126&amp;"",tbl_Consulting[Job Number],0),MATCH(IFERROR(A126+0,A126),tbl_Consulting[Job Number],0)))),""))))</f>
        <v/>
      </c>
    </row>
    <row r="127" ht="15" customHeight="1">
      <c r="A127" s="22" t="n"/>
      <c r="B127" s="22" t="n"/>
      <c r="C127" s="23" t="n"/>
      <c r="D127" s="22" t="n"/>
      <c r="E127" s="24" t="n"/>
      <c r="F127" s="25">
        <f>IF(C127="","",EOMONTH(C127,0))</f>
        <v/>
      </c>
      <c r="G127" s="26">
        <f>IF(A127="","",IF(COUNTIF(tbl_Onsite[Job Number],A127&amp;"")&gt;0,"Onsite",IF(COUNTIF(tbl_Production[Job Number],A127&amp;"")&gt;0,"Production",IF(COUNTIF(tbl_Consulting[Job Number],A127&amp;"")&gt;0,"Consulting","not set up yet"))))</f>
        <v/>
      </c>
      <c r="H127" s="26">
        <f>IF(A127="","",IF(COUNTIF(lst_Jobs,A127&amp;"")&gt;0,"OK","CHECK"))</f>
        <v/>
      </c>
      <c r="I127" s="26">
        <f>IF(A127="","",IFERROR(INDEX(lst_JobName,MATCH(A127&amp;"",lst_Jobs,0)),""))</f>
        <v/>
      </c>
      <c r="J127" s="26">
        <f>IF(A127="","",IFERROR(IF(INDEX(tbl_Onsite[Client],IFERROR(MATCH(A127&amp;"",tbl_Onsite[Job Number],0),MATCH(IFERROR(A127+0,A127),tbl_Onsite[Job Number],0)))="","",INDEX(tbl_Onsite[Client],IFERROR(MATCH(A127&amp;"",tbl_Onsite[Job Number],0),MATCH(IFERROR(A127+0,A127),tbl_Onsite[Job Number],0)))),IFERROR(IF(INDEX(tbl_Production[Client],IFERROR(MATCH(A127&amp;"",tbl_Production[Job Number],0),MATCH(IFERROR(A127+0,A127),tbl_Production[Job Number],0)))="","",INDEX(tbl_Production[Client],IFERROR(MATCH(A127&amp;"",tbl_Production[Job Number],0),MATCH(IFERROR(A127+0,A127),tbl_Production[Job Number],0)))),IFERROR(IF(INDEX(tbl_Consulting[Client],IFERROR(MATCH(A127&amp;"",tbl_Consulting[Job Number],0),MATCH(IFERROR(A127+0,A127),tbl_Consulting[Job Number],0)))="","",INDEX(tbl_Consulting[Client],IFERROR(MATCH(A127&amp;"",tbl_Consulting[Job Number],0),MATCH(IFERROR(A127+0,A127),tbl_Consulting[Job Number],0)))),""))))</f>
        <v/>
      </c>
      <c r="K127" s="26">
        <f>IF(A127="","",IFERROR(IF(INDEX(tbl_Onsite[Job Description],IFERROR(MATCH(A127&amp;"",tbl_Onsite[Job Number],0),MATCH(IFERROR(A127+0,A127),tbl_Onsite[Job Number],0)))="","",INDEX(tbl_Onsite[Job Description],IFERROR(MATCH(A127&amp;"",tbl_Onsite[Job Number],0),MATCH(IFERROR(A127+0,A127),tbl_Onsite[Job Number],0)))),IFERROR(IF(INDEX(tbl_Production[Job Description],IFERROR(MATCH(A127&amp;"",tbl_Production[Job Number],0),MATCH(IFERROR(A127+0,A127),tbl_Production[Job Number],0)))="","",INDEX(tbl_Production[Job Description],IFERROR(MATCH(A127&amp;"",tbl_Production[Job Number],0),MATCH(IFERROR(A127+0,A127),tbl_Production[Job Number],0)))),IFERROR(IF(INDEX(tbl_Consulting[Job Description],IFERROR(MATCH(A127&amp;"",tbl_Consulting[Job Number],0),MATCH(IFERROR(A127+0,A127),tbl_Consulting[Job Number],0)))="","",INDEX(tbl_Consulting[Job Description],IFERROR(MATCH(A127&amp;"",tbl_Consulting[Job Number],0),MATCH(IFERROR(A127+0,A127),tbl_Consulting[Job Number],0)))),""))))</f>
        <v/>
      </c>
      <c r="L127" s="26">
        <f>IF(A127="","",IFERROR(IF(INDEX(tbl_Onsite[Invoice Type],IFERROR(MATCH(A127&amp;"",tbl_Onsite[Job Number],0),MATCH(IFERROR(A127+0,A127),tbl_Onsite[Job Number],0)))="","",INDEX(tbl_Onsite[Invoice Type],IFERROR(MATCH(A127&amp;"",tbl_Onsite[Job Number],0),MATCH(IFERROR(A127+0,A127),tbl_Onsite[Job Number],0)))),IFERROR(IF(INDEX(tbl_Production[Invoice Type],IFERROR(MATCH(A127&amp;"",tbl_Production[Job Number],0),MATCH(IFERROR(A127+0,A127),tbl_Production[Job Number],0)))="","",INDEX(tbl_Production[Invoice Type],IFERROR(MATCH(A127&amp;"",tbl_Production[Job Number],0),MATCH(IFERROR(A127+0,A127),tbl_Production[Job Number],0)))),IFERROR(IF(INDEX(tbl_Consulting[Invoice Type],IFERROR(MATCH(A127&amp;"",tbl_Consulting[Job Number],0),MATCH(IFERROR(A127+0,A127),tbl_Consulting[Job Number],0)))="","",INDEX(tbl_Consulting[Invoice Type],IFERROR(MATCH(A127&amp;"",tbl_Consulting[Job Number],0),MATCH(IFERROR(A127+0,A127),tbl_Consulting[Job Number],0)))),""))))</f>
        <v/>
      </c>
      <c r="M127" s="26">
        <f>IF(A127="","",IF(IFERROR(IF(INDEX(tbl_Onsite[Tax Code],IFERROR(MATCH(A127&amp;"",tbl_Onsite[Job Number],0),MATCH(IFERROR(A127+0,A127),tbl_Onsite[Job Number],0)))="","",INDEX(tbl_Onsite[Tax Code],IFERROR(MATCH(A127&amp;"",tbl_Onsite[Job Number],0),MATCH(IFERROR(A127+0,A127),tbl_Onsite[Job Number],0)))),IFERROR(IF(INDEX(tbl_Production[Tax Code],IFERROR(MATCH(A127&amp;"",tbl_Production[Job Number],0),MATCH(IFERROR(A127+0,A127),tbl_Production[Job Number],0)))="","",INDEX(tbl_Production[Tax Code],IFERROR(MATCH(A127&amp;"",tbl_Production[Job Number],0),MATCH(IFERROR(A127+0,A127),tbl_Production[Job Number],0)))),IFERROR(IF(INDEX(tbl_Consulting[Tax Code],IFERROR(MATCH(A127&amp;"",tbl_Consulting[Job Number],0),MATCH(IFERROR(A127+0,A127),tbl_Consulting[Job Number],0)))="","",INDEX(tbl_Consulting[Tax Code],IFERROR(MATCH(A127&amp;"",tbl_Consulting[Job Number],0),MATCH(IFERROR(A127+0,A127),tbl_Consulting[Job Number],0)))),"")))="","GST 10%",IFERROR(IF(INDEX(tbl_Onsite[Tax Code],IFERROR(MATCH(A127&amp;"",tbl_Onsite[Job Number],0),MATCH(IFERROR(A127+0,A127),tbl_Onsite[Job Number],0)))="","",INDEX(tbl_Onsite[Tax Code],IFERROR(MATCH(A127&amp;"",tbl_Onsite[Job Number],0),MATCH(IFERROR(A127+0,A127),tbl_Onsite[Job Number],0)))),IFERROR(IF(INDEX(tbl_Production[Tax Code],IFERROR(MATCH(A127&amp;"",tbl_Production[Job Number],0),MATCH(IFERROR(A127+0,A127),tbl_Production[Job Number],0)))="","",INDEX(tbl_Production[Tax Code],IFERROR(MATCH(A127&amp;"",tbl_Production[Job Number],0),MATCH(IFERROR(A127+0,A127),tbl_Production[Job Number],0)))),IFERROR(IF(INDEX(tbl_Consulting[Tax Code],IFERROR(MATCH(A127&amp;"",tbl_Consulting[Job Number],0),MATCH(IFERROR(A127+0,A127),tbl_Consulting[Job Number],0)))="","",INDEX(tbl_Consulting[Tax Code],IFERROR(MATCH(A127&amp;"",tbl_Consulting[Job Number],0),MATCH(IFERROR(A127+0,A127),tbl_Consulting[Job Number],0)))),"")))))</f>
        <v/>
      </c>
      <c r="N127" s="26">
        <f>IF(D127="","",IFERROR(INDEX(lst_CCtoGL,MATCH(D127,lst_CCforGL,0)),""))</f>
        <v/>
      </c>
      <c r="O127" s="27">
        <f>IF(E127="","",IF(M127="GST 10%",ROUND(E127*set_GSTRate,2),0))</f>
        <v/>
      </c>
      <c r="P127" s="27">
        <f>IF(E127="","",E127+O127)</f>
        <v/>
      </c>
      <c r="Q127" s="27">
        <f>IF(A127="","",IFERROR(INDEX(tbl_Onsite[Expected Revenue Ex GST],IFERROR(MATCH(A127&amp;"",tbl_Onsite[Job Number],0),MATCH(IFERROR(A127+0,A127),tbl_Onsite[Job Number],0))),IFERROR(INDEX(tbl_Production[Expected Revenue Ex GST],IFERROR(MATCH(A127&amp;"",tbl_Production[Job Number],0),MATCH(IFERROR(A127+0,A127),tbl_Production[Job Number],0))),IFERROR(INDEX(tbl_Consulting[Expected Revenue Ex GST],IFERROR(MATCH(A127&amp;"",tbl_Consulting[Job Number],0),MATCH(IFERROR(A127+0,A127),tbl_Consulting[Job Number],0))),0))))</f>
        <v/>
      </c>
      <c r="R127" s="27">
        <f>IF(A127="","",SUMIFS(tbl_Finance[Ex GST],tbl_Finance[Job Number],A127&amp;""))</f>
        <v/>
      </c>
      <c r="S127" s="27">
        <f>IF(A127="","",Q127-R127)</f>
        <v/>
      </c>
      <c r="T127" s="26">
        <f>IF(A127="","",IF(Q127=0,"No dept value",IF(ROUND(S127,2)=0,"Agrees",IF(S127&gt;0,"Dept higher - to invoice","Xero higher - check dept"))))</f>
        <v/>
      </c>
      <c r="U127" s="22" t="n"/>
      <c r="V127" s="22" t="n"/>
      <c r="W127" s="23" t="n"/>
      <c r="X127" s="23" t="n"/>
      <c r="Y127" s="22" t="n"/>
      <c r="Z127" s="22" t="n"/>
      <c r="AA127" s="26">
        <f>IF(COUNTA(C127,A127,B127,E127)=0,"",IF(C127="","No date - sits outside every month",IF(A127="","No job number",IF(H127="CHECK","Job number is not in the Xero job list",IF(G127="not set up yet","No department has set this job up - nothing can pull through",IF(D127="","No cost centre",IF(AND(U127="Y",B127=""),"Marked posted to Xero but has no invoice number",IF(N127="","Cost centre has no revenue GL on the Lists sheet",IF(T127="Xero higher - check dept","Invoiced more than the department says the job is worth","")))))))))</f>
        <v/>
      </c>
      <c r="AB127" s="28">
        <f>IF(A127="","",COUNTIFS(tbl_Finance[Job Number],A127&amp;"",tbl_Finance[Ex GST],"&lt;&gt;"))</f>
        <v/>
      </c>
      <c r="AC127" s="27">
        <f>IF(A127="","",SUMIFS(tbl_Finance[Ex GST],tbl_Finance[Job Number],A127&amp;""))</f>
        <v/>
      </c>
      <c r="AD127" s="27">
        <f>IF(A127="","",SUMIFS(tbl_Finance[Ex GST],tbl_Finance[Job Number],A127&amp;"",tbl_Finance[Xero Invoice No],"&lt;&gt;"))</f>
        <v/>
      </c>
      <c r="AE127" s="27">
        <f>IF(A127="","",AC127-AD127)</f>
        <v/>
      </c>
      <c r="AF127" s="26">
        <f>IF(A127="","",IFERROR(IF(INDEX(tbl_Onsite[Qwilr Quote],IFERROR(MATCH(A127&amp;"",tbl_Onsite[Job Number],0),MATCH(IFERROR(A127+0,A127),tbl_Onsite[Job Number],0)))="","",INDEX(tbl_Onsite[Qwilr Quote],IFERROR(MATCH(A127&amp;"",tbl_Onsite[Job Number],0),MATCH(IFERROR(A127+0,A127),tbl_Onsite[Job Number],0)))),IFERROR(IF(IF(INDEX(tbl_Production[Current RMS No],IFERROR(MATCH(A127&amp;"",tbl_Production[Job Number],0),MATCH(IFERROR(A127+0,A127),tbl_Production[Job Number],0)))="",INDEX(tbl_Production[Qwilr Quote],IFERROR(MATCH(A127&amp;"",tbl_Production[Job Number],0),MATCH(IFERROR(A127+0,A127),tbl_Production[Job Number],0))),INDEX(tbl_Production[Current RMS No],IFERROR(MATCH(A127&amp;"",tbl_Production[Job Number],0),MATCH(IFERROR(A127+0,A127),tbl_Production[Job Number],0))))="","",IF(INDEX(tbl_Production[Current RMS No],IFERROR(MATCH(A127&amp;"",tbl_Production[Job Number],0),MATCH(IFERROR(A127+0,A127),tbl_Production[Job Number],0)))="",INDEX(tbl_Production[Qwilr Quote],IFERROR(MATCH(A127&amp;"",tbl_Production[Job Number],0),MATCH(IFERROR(A127+0,A127),tbl_Production[Job Number],0))),INDEX(tbl_Production[Current RMS No],IFERROR(MATCH(A127&amp;"",tbl_Production[Job Number],0),MATCH(IFERROR(A127+0,A127),tbl_Production[Job Number],0))))),IFERROR(IF(INDEX(tbl_Consulting[Qwilr Quote],IFERROR(MATCH(A127&amp;"",tbl_Consulting[Job Number],0),MATCH(IFERROR(A127+0,A127),tbl_Consulting[Job Number],0)))="","",INDEX(tbl_Consulting[Qwilr Quote],IFERROR(MATCH(A127&amp;"",tbl_Consulting[Job Number],0),MATCH(IFERROR(A127+0,A127),tbl_Consulting[Job Number],0)))),""))))</f>
        <v/>
      </c>
      <c r="AG127" s="26">
        <f>IF(AF127="","",IF(AND(LEFT(AF127,4)&lt;&gt;"http",IF(G127="Production",set_RMSBase,set_QwilrBase)=""),"",HYPERLINK(IF(LEFT(AF127,4)="http",AF127,IF(G127="Production",set_RMSBase,set_QwilrBase)&amp;AF127),"Open")))</f>
        <v/>
      </c>
      <c r="AH127" s="27">
        <f>IF(A127="","",IFERROR(INDEX(tbl_Production[Total Expense],IFERROR(MATCH(A127&amp;"",tbl_Production[Job Number],0),MATCH(IFERROR(A127+0,A127),tbl_Production[Job Number],0))),IFERROR(INDEX(tbl_Consulting[Total Expense],IFERROR(MATCH(A127&amp;"",tbl_Consulting[Job Number],0),MATCH(IFERROR(A127+0,A127),tbl_Consulting[Job Number],0))),0)))</f>
        <v/>
      </c>
      <c r="AI127" s="27">
        <f>IF(A127="","",AC127-N(AH127))</f>
        <v/>
      </c>
      <c r="AJ127" s="29">
        <f>IFERROR(AI127/AC127,"")</f>
        <v/>
      </c>
      <c r="AK127" s="26">
        <f>IF(A127="","",IFERROR(IF(INDEX(tbl_Onsite[Notes],IFERROR(MATCH(A127&amp;"",tbl_Onsite[Job Number],0),MATCH(IFERROR(A127+0,A127),tbl_Onsite[Job Number],0)))="","",INDEX(tbl_Onsite[Notes],IFERROR(MATCH(A127&amp;"",tbl_Onsite[Job Number],0),MATCH(IFERROR(A127+0,A127),tbl_Onsite[Job Number],0)))),IFERROR(IF(INDEX(tbl_Production[Notes],IFERROR(MATCH(A127&amp;"",tbl_Production[Job Number],0),MATCH(IFERROR(A127+0,A127),tbl_Production[Job Number],0)))="","",INDEX(tbl_Production[Notes],IFERROR(MATCH(A127&amp;"",tbl_Production[Job Number],0),MATCH(IFERROR(A127+0,A127),tbl_Production[Job Number],0)))),IFERROR(IF(INDEX(tbl_Consulting[Notes],IFERROR(MATCH(A127&amp;"",tbl_Consulting[Job Number],0),MATCH(IFERROR(A127+0,A127),tbl_Consulting[Job Number],0)))="","",INDEX(tbl_Consulting[Notes],IFERROR(MATCH(A127&amp;"",tbl_Consulting[Job Number],0),MATCH(IFERROR(A127+0,A127),tbl_Consulting[Job Number],0)))),""))))</f>
        <v/>
      </c>
    </row>
    <row r="128" ht="15" customHeight="1">
      <c r="A128" s="22" t="n"/>
      <c r="B128" s="22" t="n"/>
      <c r="C128" s="23" t="n"/>
      <c r="D128" s="22" t="n"/>
      <c r="E128" s="24" t="n"/>
      <c r="F128" s="25">
        <f>IF(C128="","",EOMONTH(C128,0))</f>
        <v/>
      </c>
      <c r="G128" s="26">
        <f>IF(A128="","",IF(COUNTIF(tbl_Onsite[Job Number],A128&amp;"")&gt;0,"Onsite",IF(COUNTIF(tbl_Production[Job Number],A128&amp;"")&gt;0,"Production",IF(COUNTIF(tbl_Consulting[Job Number],A128&amp;"")&gt;0,"Consulting","not set up yet"))))</f>
        <v/>
      </c>
      <c r="H128" s="26">
        <f>IF(A128="","",IF(COUNTIF(lst_Jobs,A128&amp;"")&gt;0,"OK","CHECK"))</f>
        <v/>
      </c>
      <c r="I128" s="26">
        <f>IF(A128="","",IFERROR(INDEX(lst_JobName,MATCH(A128&amp;"",lst_Jobs,0)),""))</f>
        <v/>
      </c>
      <c r="J128" s="26">
        <f>IF(A128="","",IFERROR(IF(INDEX(tbl_Onsite[Client],IFERROR(MATCH(A128&amp;"",tbl_Onsite[Job Number],0),MATCH(IFERROR(A128+0,A128),tbl_Onsite[Job Number],0)))="","",INDEX(tbl_Onsite[Client],IFERROR(MATCH(A128&amp;"",tbl_Onsite[Job Number],0),MATCH(IFERROR(A128+0,A128),tbl_Onsite[Job Number],0)))),IFERROR(IF(INDEX(tbl_Production[Client],IFERROR(MATCH(A128&amp;"",tbl_Production[Job Number],0),MATCH(IFERROR(A128+0,A128),tbl_Production[Job Number],0)))="","",INDEX(tbl_Production[Client],IFERROR(MATCH(A128&amp;"",tbl_Production[Job Number],0),MATCH(IFERROR(A128+0,A128),tbl_Production[Job Number],0)))),IFERROR(IF(INDEX(tbl_Consulting[Client],IFERROR(MATCH(A128&amp;"",tbl_Consulting[Job Number],0),MATCH(IFERROR(A128+0,A128),tbl_Consulting[Job Number],0)))="","",INDEX(tbl_Consulting[Client],IFERROR(MATCH(A128&amp;"",tbl_Consulting[Job Number],0),MATCH(IFERROR(A128+0,A128),tbl_Consulting[Job Number],0)))),""))))</f>
        <v/>
      </c>
      <c r="K128" s="26">
        <f>IF(A128="","",IFERROR(IF(INDEX(tbl_Onsite[Job Description],IFERROR(MATCH(A128&amp;"",tbl_Onsite[Job Number],0),MATCH(IFERROR(A128+0,A128),tbl_Onsite[Job Number],0)))="","",INDEX(tbl_Onsite[Job Description],IFERROR(MATCH(A128&amp;"",tbl_Onsite[Job Number],0),MATCH(IFERROR(A128+0,A128),tbl_Onsite[Job Number],0)))),IFERROR(IF(INDEX(tbl_Production[Job Description],IFERROR(MATCH(A128&amp;"",tbl_Production[Job Number],0),MATCH(IFERROR(A128+0,A128),tbl_Production[Job Number],0)))="","",INDEX(tbl_Production[Job Description],IFERROR(MATCH(A128&amp;"",tbl_Production[Job Number],0),MATCH(IFERROR(A128+0,A128),tbl_Production[Job Number],0)))),IFERROR(IF(INDEX(tbl_Consulting[Job Description],IFERROR(MATCH(A128&amp;"",tbl_Consulting[Job Number],0),MATCH(IFERROR(A128+0,A128),tbl_Consulting[Job Number],0)))="","",INDEX(tbl_Consulting[Job Description],IFERROR(MATCH(A128&amp;"",tbl_Consulting[Job Number],0),MATCH(IFERROR(A128+0,A128),tbl_Consulting[Job Number],0)))),""))))</f>
        <v/>
      </c>
      <c r="L128" s="26">
        <f>IF(A128="","",IFERROR(IF(INDEX(tbl_Onsite[Invoice Type],IFERROR(MATCH(A128&amp;"",tbl_Onsite[Job Number],0),MATCH(IFERROR(A128+0,A128),tbl_Onsite[Job Number],0)))="","",INDEX(tbl_Onsite[Invoice Type],IFERROR(MATCH(A128&amp;"",tbl_Onsite[Job Number],0),MATCH(IFERROR(A128+0,A128),tbl_Onsite[Job Number],0)))),IFERROR(IF(INDEX(tbl_Production[Invoice Type],IFERROR(MATCH(A128&amp;"",tbl_Production[Job Number],0),MATCH(IFERROR(A128+0,A128),tbl_Production[Job Number],0)))="","",INDEX(tbl_Production[Invoice Type],IFERROR(MATCH(A128&amp;"",tbl_Production[Job Number],0),MATCH(IFERROR(A128+0,A128),tbl_Production[Job Number],0)))),IFERROR(IF(INDEX(tbl_Consulting[Invoice Type],IFERROR(MATCH(A128&amp;"",tbl_Consulting[Job Number],0),MATCH(IFERROR(A128+0,A128),tbl_Consulting[Job Number],0)))="","",INDEX(tbl_Consulting[Invoice Type],IFERROR(MATCH(A128&amp;"",tbl_Consulting[Job Number],0),MATCH(IFERROR(A128+0,A128),tbl_Consulting[Job Number],0)))),""))))</f>
        <v/>
      </c>
      <c r="M128" s="26">
        <f>IF(A128="","",IF(IFERROR(IF(INDEX(tbl_Onsite[Tax Code],IFERROR(MATCH(A128&amp;"",tbl_Onsite[Job Number],0),MATCH(IFERROR(A128+0,A128),tbl_Onsite[Job Number],0)))="","",INDEX(tbl_Onsite[Tax Code],IFERROR(MATCH(A128&amp;"",tbl_Onsite[Job Number],0),MATCH(IFERROR(A128+0,A128),tbl_Onsite[Job Number],0)))),IFERROR(IF(INDEX(tbl_Production[Tax Code],IFERROR(MATCH(A128&amp;"",tbl_Production[Job Number],0),MATCH(IFERROR(A128+0,A128),tbl_Production[Job Number],0)))="","",INDEX(tbl_Production[Tax Code],IFERROR(MATCH(A128&amp;"",tbl_Production[Job Number],0),MATCH(IFERROR(A128+0,A128),tbl_Production[Job Number],0)))),IFERROR(IF(INDEX(tbl_Consulting[Tax Code],IFERROR(MATCH(A128&amp;"",tbl_Consulting[Job Number],0),MATCH(IFERROR(A128+0,A128),tbl_Consulting[Job Number],0)))="","",INDEX(tbl_Consulting[Tax Code],IFERROR(MATCH(A128&amp;"",tbl_Consulting[Job Number],0),MATCH(IFERROR(A128+0,A128),tbl_Consulting[Job Number],0)))),"")))="","GST 10%",IFERROR(IF(INDEX(tbl_Onsite[Tax Code],IFERROR(MATCH(A128&amp;"",tbl_Onsite[Job Number],0),MATCH(IFERROR(A128+0,A128),tbl_Onsite[Job Number],0)))="","",INDEX(tbl_Onsite[Tax Code],IFERROR(MATCH(A128&amp;"",tbl_Onsite[Job Number],0),MATCH(IFERROR(A128+0,A128),tbl_Onsite[Job Number],0)))),IFERROR(IF(INDEX(tbl_Production[Tax Code],IFERROR(MATCH(A128&amp;"",tbl_Production[Job Number],0),MATCH(IFERROR(A128+0,A128),tbl_Production[Job Number],0)))="","",INDEX(tbl_Production[Tax Code],IFERROR(MATCH(A128&amp;"",tbl_Production[Job Number],0),MATCH(IFERROR(A128+0,A128),tbl_Production[Job Number],0)))),IFERROR(IF(INDEX(tbl_Consulting[Tax Code],IFERROR(MATCH(A128&amp;"",tbl_Consulting[Job Number],0),MATCH(IFERROR(A128+0,A128),tbl_Consulting[Job Number],0)))="","",INDEX(tbl_Consulting[Tax Code],IFERROR(MATCH(A128&amp;"",tbl_Consulting[Job Number],0),MATCH(IFERROR(A128+0,A128),tbl_Consulting[Job Number],0)))),"")))))</f>
        <v/>
      </c>
      <c r="N128" s="26">
        <f>IF(D128="","",IFERROR(INDEX(lst_CCtoGL,MATCH(D128,lst_CCforGL,0)),""))</f>
        <v/>
      </c>
      <c r="O128" s="27">
        <f>IF(E128="","",IF(M128="GST 10%",ROUND(E128*set_GSTRate,2),0))</f>
        <v/>
      </c>
      <c r="P128" s="27">
        <f>IF(E128="","",E128+O128)</f>
        <v/>
      </c>
      <c r="Q128" s="27">
        <f>IF(A128="","",IFERROR(INDEX(tbl_Onsite[Expected Revenue Ex GST],IFERROR(MATCH(A128&amp;"",tbl_Onsite[Job Number],0),MATCH(IFERROR(A128+0,A128),tbl_Onsite[Job Number],0))),IFERROR(INDEX(tbl_Production[Expected Revenue Ex GST],IFERROR(MATCH(A128&amp;"",tbl_Production[Job Number],0),MATCH(IFERROR(A128+0,A128),tbl_Production[Job Number],0))),IFERROR(INDEX(tbl_Consulting[Expected Revenue Ex GST],IFERROR(MATCH(A128&amp;"",tbl_Consulting[Job Number],0),MATCH(IFERROR(A128+0,A128),tbl_Consulting[Job Number],0))),0))))</f>
        <v/>
      </c>
      <c r="R128" s="27">
        <f>IF(A128="","",SUMIFS(tbl_Finance[Ex GST],tbl_Finance[Job Number],A128&amp;""))</f>
        <v/>
      </c>
      <c r="S128" s="27">
        <f>IF(A128="","",Q128-R128)</f>
        <v/>
      </c>
      <c r="T128" s="26">
        <f>IF(A128="","",IF(Q128=0,"No dept value",IF(ROUND(S128,2)=0,"Agrees",IF(S128&gt;0,"Dept higher - to invoice","Xero higher - check dept"))))</f>
        <v/>
      </c>
      <c r="U128" s="22" t="n"/>
      <c r="V128" s="22" t="n"/>
      <c r="W128" s="23" t="n"/>
      <c r="X128" s="23" t="n"/>
      <c r="Y128" s="22" t="n"/>
      <c r="Z128" s="22" t="n"/>
      <c r="AA128" s="26">
        <f>IF(COUNTA(C128,A128,B128,E128)=0,"",IF(C128="","No date - sits outside every month",IF(A128="","No job number",IF(H128="CHECK","Job number is not in the Xero job list",IF(G128="not set up yet","No department has set this job up - nothing can pull through",IF(D128="","No cost centre",IF(AND(U128="Y",B128=""),"Marked posted to Xero but has no invoice number",IF(N128="","Cost centre has no revenue GL on the Lists sheet",IF(T128="Xero higher - check dept","Invoiced more than the department says the job is worth","")))))))))</f>
        <v/>
      </c>
      <c r="AB128" s="28">
        <f>IF(A128="","",COUNTIFS(tbl_Finance[Job Number],A128&amp;"",tbl_Finance[Ex GST],"&lt;&gt;"))</f>
        <v/>
      </c>
      <c r="AC128" s="27">
        <f>IF(A128="","",SUMIFS(tbl_Finance[Ex GST],tbl_Finance[Job Number],A128&amp;""))</f>
        <v/>
      </c>
      <c r="AD128" s="27">
        <f>IF(A128="","",SUMIFS(tbl_Finance[Ex GST],tbl_Finance[Job Number],A128&amp;"",tbl_Finance[Xero Invoice No],"&lt;&gt;"))</f>
        <v/>
      </c>
      <c r="AE128" s="27">
        <f>IF(A128="","",AC128-AD128)</f>
        <v/>
      </c>
      <c r="AF128" s="26">
        <f>IF(A128="","",IFERROR(IF(INDEX(tbl_Onsite[Qwilr Quote],IFERROR(MATCH(A128&amp;"",tbl_Onsite[Job Number],0),MATCH(IFERROR(A128+0,A128),tbl_Onsite[Job Number],0)))="","",INDEX(tbl_Onsite[Qwilr Quote],IFERROR(MATCH(A128&amp;"",tbl_Onsite[Job Number],0),MATCH(IFERROR(A128+0,A128),tbl_Onsite[Job Number],0)))),IFERROR(IF(IF(INDEX(tbl_Production[Current RMS No],IFERROR(MATCH(A128&amp;"",tbl_Production[Job Number],0),MATCH(IFERROR(A128+0,A128),tbl_Production[Job Number],0)))="",INDEX(tbl_Production[Qwilr Quote],IFERROR(MATCH(A128&amp;"",tbl_Production[Job Number],0),MATCH(IFERROR(A128+0,A128),tbl_Production[Job Number],0))),INDEX(tbl_Production[Current RMS No],IFERROR(MATCH(A128&amp;"",tbl_Production[Job Number],0),MATCH(IFERROR(A128+0,A128),tbl_Production[Job Number],0))))="","",IF(INDEX(tbl_Production[Current RMS No],IFERROR(MATCH(A128&amp;"",tbl_Production[Job Number],0),MATCH(IFERROR(A128+0,A128),tbl_Production[Job Number],0)))="",INDEX(tbl_Production[Qwilr Quote],IFERROR(MATCH(A128&amp;"",tbl_Production[Job Number],0),MATCH(IFERROR(A128+0,A128),tbl_Production[Job Number],0))),INDEX(tbl_Production[Current RMS No],IFERROR(MATCH(A128&amp;"",tbl_Production[Job Number],0),MATCH(IFERROR(A128+0,A128),tbl_Production[Job Number],0))))),IFERROR(IF(INDEX(tbl_Consulting[Qwilr Quote],IFERROR(MATCH(A128&amp;"",tbl_Consulting[Job Number],0),MATCH(IFERROR(A128+0,A128),tbl_Consulting[Job Number],0)))="","",INDEX(tbl_Consulting[Qwilr Quote],IFERROR(MATCH(A128&amp;"",tbl_Consulting[Job Number],0),MATCH(IFERROR(A128+0,A128),tbl_Consulting[Job Number],0)))),""))))</f>
        <v/>
      </c>
      <c r="AG128" s="26">
        <f>IF(AF128="","",IF(AND(LEFT(AF128,4)&lt;&gt;"http",IF(G128="Production",set_RMSBase,set_QwilrBase)=""),"",HYPERLINK(IF(LEFT(AF128,4)="http",AF128,IF(G128="Production",set_RMSBase,set_QwilrBase)&amp;AF128),"Open")))</f>
        <v/>
      </c>
      <c r="AH128" s="27">
        <f>IF(A128="","",IFERROR(INDEX(tbl_Production[Total Expense],IFERROR(MATCH(A128&amp;"",tbl_Production[Job Number],0),MATCH(IFERROR(A128+0,A128),tbl_Production[Job Number],0))),IFERROR(INDEX(tbl_Consulting[Total Expense],IFERROR(MATCH(A128&amp;"",tbl_Consulting[Job Number],0),MATCH(IFERROR(A128+0,A128),tbl_Consulting[Job Number],0))),0)))</f>
        <v/>
      </c>
      <c r="AI128" s="27">
        <f>IF(A128="","",AC128-N(AH128))</f>
        <v/>
      </c>
      <c r="AJ128" s="29">
        <f>IFERROR(AI128/AC128,"")</f>
        <v/>
      </c>
      <c r="AK128" s="26">
        <f>IF(A128="","",IFERROR(IF(INDEX(tbl_Onsite[Notes],IFERROR(MATCH(A128&amp;"",tbl_Onsite[Job Number],0),MATCH(IFERROR(A128+0,A128),tbl_Onsite[Job Number],0)))="","",INDEX(tbl_Onsite[Notes],IFERROR(MATCH(A128&amp;"",tbl_Onsite[Job Number],0),MATCH(IFERROR(A128+0,A128),tbl_Onsite[Job Number],0)))),IFERROR(IF(INDEX(tbl_Production[Notes],IFERROR(MATCH(A128&amp;"",tbl_Production[Job Number],0),MATCH(IFERROR(A128+0,A128),tbl_Production[Job Number],0)))="","",INDEX(tbl_Production[Notes],IFERROR(MATCH(A128&amp;"",tbl_Production[Job Number],0),MATCH(IFERROR(A128+0,A128),tbl_Production[Job Number],0)))),IFERROR(IF(INDEX(tbl_Consulting[Notes],IFERROR(MATCH(A128&amp;"",tbl_Consulting[Job Number],0),MATCH(IFERROR(A128+0,A128),tbl_Consulting[Job Number],0)))="","",INDEX(tbl_Consulting[Notes],IFERROR(MATCH(A128&amp;"",tbl_Consulting[Job Number],0),MATCH(IFERROR(A128+0,A128),tbl_Consulting[Job Number],0)))),""))))</f>
        <v/>
      </c>
    </row>
    <row r="129" ht="15" customHeight="1">
      <c r="A129" s="22" t="n"/>
      <c r="B129" s="22" t="n"/>
      <c r="C129" s="23" t="n"/>
      <c r="D129" s="22" t="n"/>
      <c r="E129" s="24" t="n"/>
      <c r="F129" s="25">
        <f>IF(C129="","",EOMONTH(C129,0))</f>
        <v/>
      </c>
      <c r="G129" s="26">
        <f>IF(A129="","",IF(COUNTIF(tbl_Onsite[Job Number],A129&amp;"")&gt;0,"Onsite",IF(COUNTIF(tbl_Production[Job Number],A129&amp;"")&gt;0,"Production",IF(COUNTIF(tbl_Consulting[Job Number],A129&amp;"")&gt;0,"Consulting","not set up yet"))))</f>
        <v/>
      </c>
      <c r="H129" s="26">
        <f>IF(A129="","",IF(COUNTIF(lst_Jobs,A129&amp;"")&gt;0,"OK","CHECK"))</f>
        <v/>
      </c>
      <c r="I129" s="26">
        <f>IF(A129="","",IFERROR(INDEX(lst_JobName,MATCH(A129&amp;"",lst_Jobs,0)),""))</f>
        <v/>
      </c>
      <c r="J129" s="26">
        <f>IF(A129="","",IFERROR(IF(INDEX(tbl_Onsite[Client],IFERROR(MATCH(A129&amp;"",tbl_Onsite[Job Number],0),MATCH(IFERROR(A129+0,A129),tbl_Onsite[Job Number],0)))="","",INDEX(tbl_Onsite[Client],IFERROR(MATCH(A129&amp;"",tbl_Onsite[Job Number],0),MATCH(IFERROR(A129+0,A129),tbl_Onsite[Job Number],0)))),IFERROR(IF(INDEX(tbl_Production[Client],IFERROR(MATCH(A129&amp;"",tbl_Production[Job Number],0),MATCH(IFERROR(A129+0,A129),tbl_Production[Job Number],0)))="","",INDEX(tbl_Production[Client],IFERROR(MATCH(A129&amp;"",tbl_Production[Job Number],0),MATCH(IFERROR(A129+0,A129),tbl_Production[Job Number],0)))),IFERROR(IF(INDEX(tbl_Consulting[Client],IFERROR(MATCH(A129&amp;"",tbl_Consulting[Job Number],0),MATCH(IFERROR(A129+0,A129),tbl_Consulting[Job Number],0)))="","",INDEX(tbl_Consulting[Client],IFERROR(MATCH(A129&amp;"",tbl_Consulting[Job Number],0),MATCH(IFERROR(A129+0,A129),tbl_Consulting[Job Number],0)))),""))))</f>
        <v/>
      </c>
      <c r="K129" s="26">
        <f>IF(A129="","",IFERROR(IF(INDEX(tbl_Onsite[Job Description],IFERROR(MATCH(A129&amp;"",tbl_Onsite[Job Number],0),MATCH(IFERROR(A129+0,A129),tbl_Onsite[Job Number],0)))="","",INDEX(tbl_Onsite[Job Description],IFERROR(MATCH(A129&amp;"",tbl_Onsite[Job Number],0),MATCH(IFERROR(A129+0,A129),tbl_Onsite[Job Number],0)))),IFERROR(IF(INDEX(tbl_Production[Job Description],IFERROR(MATCH(A129&amp;"",tbl_Production[Job Number],0),MATCH(IFERROR(A129+0,A129),tbl_Production[Job Number],0)))="","",INDEX(tbl_Production[Job Description],IFERROR(MATCH(A129&amp;"",tbl_Production[Job Number],0),MATCH(IFERROR(A129+0,A129),tbl_Production[Job Number],0)))),IFERROR(IF(INDEX(tbl_Consulting[Job Description],IFERROR(MATCH(A129&amp;"",tbl_Consulting[Job Number],0),MATCH(IFERROR(A129+0,A129),tbl_Consulting[Job Number],0)))="","",INDEX(tbl_Consulting[Job Description],IFERROR(MATCH(A129&amp;"",tbl_Consulting[Job Number],0),MATCH(IFERROR(A129+0,A129),tbl_Consulting[Job Number],0)))),""))))</f>
        <v/>
      </c>
      <c r="L129" s="26">
        <f>IF(A129="","",IFERROR(IF(INDEX(tbl_Onsite[Invoice Type],IFERROR(MATCH(A129&amp;"",tbl_Onsite[Job Number],0),MATCH(IFERROR(A129+0,A129),tbl_Onsite[Job Number],0)))="","",INDEX(tbl_Onsite[Invoice Type],IFERROR(MATCH(A129&amp;"",tbl_Onsite[Job Number],0),MATCH(IFERROR(A129+0,A129),tbl_Onsite[Job Number],0)))),IFERROR(IF(INDEX(tbl_Production[Invoice Type],IFERROR(MATCH(A129&amp;"",tbl_Production[Job Number],0),MATCH(IFERROR(A129+0,A129),tbl_Production[Job Number],0)))="","",INDEX(tbl_Production[Invoice Type],IFERROR(MATCH(A129&amp;"",tbl_Production[Job Number],0),MATCH(IFERROR(A129+0,A129),tbl_Production[Job Number],0)))),IFERROR(IF(INDEX(tbl_Consulting[Invoice Type],IFERROR(MATCH(A129&amp;"",tbl_Consulting[Job Number],0),MATCH(IFERROR(A129+0,A129),tbl_Consulting[Job Number],0)))="","",INDEX(tbl_Consulting[Invoice Type],IFERROR(MATCH(A129&amp;"",tbl_Consulting[Job Number],0),MATCH(IFERROR(A129+0,A129),tbl_Consulting[Job Number],0)))),""))))</f>
        <v/>
      </c>
      <c r="M129" s="26">
        <f>IF(A129="","",IF(IFERROR(IF(INDEX(tbl_Onsite[Tax Code],IFERROR(MATCH(A129&amp;"",tbl_Onsite[Job Number],0),MATCH(IFERROR(A129+0,A129),tbl_Onsite[Job Number],0)))="","",INDEX(tbl_Onsite[Tax Code],IFERROR(MATCH(A129&amp;"",tbl_Onsite[Job Number],0),MATCH(IFERROR(A129+0,A129),tbl_Onsite[Job Number],0)))),IFERROR(IF(INDEX(tbl_Production[Tax Code],IFERROR(MATCH(A129&amp;"",tbl_Production[Job Number],0),MATCH(IFERROR(A129+0,A129),tbl_Production[Job Number],0)))="","",INDEX(tbl_Production[Tax Code],IFERROR(MATCH(A129&amp;"",tbl_Production[Job Number],0),MATCH(IFERROR(A129+0,A129),tbl_Production[Job Number],0)))),IFERROR(IF(INDEX(tbl_Consulting[Tax Code],IFERROR(MATCH(A129&amp;"",tbl_Consulting[Job Number],0),MATCH(IFERROR(A129+0,A129),tbl_Consulting[Job Number],0)))="","",INDEX(tbl_Consulting[Tax Code],IFERROR(MATCH(A129&amp;"",tbl_Consulting[Job Number],0),MATCH(IFERROR(A129+0,A129),tbl_Consulting[Job Number],0)))),"")))="","GST 10%",IFERROR(IF(INDEX(tbl_Onsite[Tax Code],IFERROR(MATCH(A129&amp;"",tbl_Onsite[Job Number],0),MATCH(IFERROR(A129+0,A129),tbl_Onsite[Job Number],0)))="","",INDEX(tbl_Onsite[Tax Code],IFERROR(MATCH(A129&amp;"",tbl_Onsite[Job Number],0),MATCH(IFERROR(A129+0,A129),tbl_Onsite[Job Number],0)))),IFERROR(IF(INDEX(tbl_Production[Tax Code],IFERROR(MATCH(A129&amp;"",tbl_Production[Job Number],0),MATCH(IFERROR(A129+0,A129),tbl_Production[Job Number],0)))="","",INDEX(tbl_Production[Tax Code],IFERROR(MATCH(A129&amp;"",tbl_Production[Job Number],0),MATCH(IFERROR(A129+0,A129),tbl_Production[Job Number],0)))),IFERROR(IF(INDEX(tbl_Consulting[Tax Code],IFERROR(MATCH(A129&amp;"",tbl_Consulting[Job Number],0),MATCH(IFERROR(A129+0,A129),tbl_Consulting[Job Number],0)))="","",INDEX(tbl_Consulting[Tax Code],IFERROR(MATCH(A129&amp;"",tbl_Consulting[Job Number],0),MATCH(IFERROR(A129+0,A129),tbl_Consulting[Job Number],0)))),"")))))</f>
        <v/>
      </c>
      <c r="N129" s="26">
        <f>IF(D129="","",IFERROR(INDEX(lst_CCtoGL,MATCH(D129,lst_CCforGL,0)),""))</f>
        <v/>
      </c>
      <c r="O129" s="27">
        <f>IF(E129="","",IF(M129="GST 10%",ROUND(E129*set_GSTRate,2),0))</f>
        <v/>
      </c>
      <c r="P129" s="27">
        <f>IF(E129="","",E129+O129)</f>
        <v/>
      </c>
      <c r="Q129" s="27">
        <f>IF(A129="","",IFERROR(INDEX(tbl_Onsite[Expected Revenue Ex GST],IFERROR(MATCH(A129&amp;"",tbl_Onsite[Job Number],0),MATCH(IFERROR(A129+0,A129),tbl_Onsite[Job Number],0))),IFERROR(INDEX(tbl_Production[Expected Revenue Ex GST],IFERROR(MATCH(A129&amp;"",tbl_Production[Job Number],0),MATCH(IFERROR(A129+0,A129),tbl_Production[Job Number],0))),IFERROR(INDEX(tbl_Consulting[Expected Revenue Ex GST],IFERROR(MATCH(A129&amp;"",tbl_Consulting[Job Number],0),MATCH(IFERROR(A129+0,A129),tbl_Consulting[Job Number],0))),0))))</f>
        <v/>
      </c>
      <c r="R129" s="27">
        <f>IF(A129="","",SUMIFS(tbl_Finance[Ex GST],tbl_Finance[Job Number],A129&amp;""))</f>
        <v/>
      </c>
      <c r="S129" s="27">
        <f>IF(A129="","",Q129-R129)</f>
        <v/>
      </c>
      <c r="T129" s="26">
        <f>IF(A129="","",IF(Q129=0,"No dept value",IF(ROUND(S129,2)=0,"Agrees",IF(S129&gt;0,"Dept higher - to invoice","Xero higher - check dept"))))</f>
        <v/>
      </c>
      <c r="U129" s="22" t="n"/>
      <c r="V129" s="22" t="n"/>
      <c r="W129" s="23" t="n"/>
      <c r="X129" s="23" t="n"/>
      <c r="Y129" s="22" t="n"/>
      <c r="Z129" s="22" t="n"/>
      <c r="AA129" s="26">
        <f>IF(COUNTA(C129,A129,B129,E129)=0,"",IF(C129="","No date - sits outside every month",IF(A129="","No job number",IF(H129="CHECK","Job number is not in the Xero job list",IF(G129="not set up yet","No department has set this job up - nothing can pull through",IF(D129="","No cost centre",IF(AND(U129="Y",B129=""),"Marked posted to Xero but has no invoice number",IF(N129="","Cost centre has no revenue GL on the Lists sheet",IF(T129="Xero higher - check dept","Invoiced more than the department says the job is worth","")))))))))</f>
        <v/>
      </c>
      <c r="AB129" s="28">
        <f>IF(A129="","",COUNTIFS(tbl_Finance[Job Number],A129&amp;"",tbl_Finance[Ex GST],"&lt;&gt;"))</f>
        <v/>
      </c>
      <c r="AC129" s="27">
        <f>IF(A129="","",SUMIFS(tbl_Finance[Ex GST],tbl_Finance[Job Number],A129&amp;""))</f>
        <v/>
      </c>
      <c r="AD129" s="27">
        <f>IF(A129="","",SUMIFS(tbl_Finance[Ex GST],tbl_Finance[Job Number],A129&amp;"",tbl_Finance[Xero Invoice No],"&lt;&gt;"))</f>
        <v/>
      </c>
      <c r="AE129" s="27">
        <f>IF(A129="","",AC129-AD129)</f>
        <v/>
      </c>
      <c r="AF129" s="26">
        <f>IF(A129="","",IFERROR(IF(INDEX(tbl_Onsite[Qwilr Quote],IFERROR(MATCH(A129&amp;"",tbl_Onsite[Job Number],0),MATCH(IFERROR(A129+0,A129),tbl_Onsite[Job Number],0)))="","",INDEX(tbl_Onsite[Qwilr Quote],IFERROR(MATCH(A129&amp;"",tbl_Onsite[Job Number],0),MATCH(IFERROR(A129+0,A129),tbl_Onsite[Job Number],0)))),IFERROR(IF(IF(INDEX(tbl_Production[Current RMS No],IFERROR(MATCH(A129&amp;"",tbl_Production[Job Number],0),MATCH(IFERROR(A129+0,A129),tbl_Production[Job Number],0)))="",INDEX(tbl_Production[Qwilr Quote],IFERROR(MATCH(A129&amp;"",tbl_Production[Job Number],0),MATCH(IFERROR(A129+0,A129),tbl_Production[Job Number],0))),INDEX(tbl_Production[Current RMS No],IFERROR(MATCH(A129&amp;"",tbl_Production[Job Number],0),MATCH(IFERROR(A129+0,A129),tbl_Production[Job Number],0))))="","",IF(INDEX(tbl_Production[Current RMS No],IFERROR(MATCH(A129&amp;"",tbl_Production[Job Number],0),MATCH(IFERROR(A129+0,A129),tbl_Production[Job Number],0)))="",INDEX(tbl_Production[Qwilr Quote],IFERROR(MATCH(A129&amp;"",tbl_Production[Job Number],0),MATCH(IFERROR(A129+0,A129),tbl_Production[Job Number],0))),INDEX(tbl_Production[Current RMS No],IFERROR(MATCH(A129&amp;"",tbl_Production[Job Number],0),MATCH(IFERROR(A129+0,A129),tbl_Production[Job Number],0))))),IFERROR(IF(INDEX(tbl_Consulting[Qwilr Quote],IFERROR(MATCH(A129&amp;"",tbl_Consulting[Job Number],0),MATCH(IFERROR(A129+0,A129),tbl_Consulting[Job Number],0)))="","",INDEX(tbl_Consulting[Qwilr Quote],IFERROR(MATCH(A129&amp;"",tbl_Consulting[Job Number],0),MATCH(IFERROR(A129+0,A129),tbl_Consulting[Job Number],0)))),""))))</f>
        <v/>
      </c>
      <c r="AG129" s="26">
        <f>IF(AF129="","",IF(AND(LEFT(AF129,4)&lt;&gt;"http",IF(G129="Production",set_RMSBase,set_QwilrBase)=""),"",HYPERLINK(IF(LEFT(AF129,4)="http",AF129,IF(G129="Production",set_RMSBase,set_QwilrBase)&amp;AF129),"Open")))</f>
        <v/>
      </c>
      <c r="AH129" s="27">
        <f>IF(A129="","",IFERROR(INDEX(tbl_Production[Total Expense],IFERROR(MATCH(A129&amp;"",tbl_Production[Job Number],0),MATCH(IFERROR(A129+0,A129),tbl_Production[Job Number],0))),IFERROR(INDEX(tbl_Consulting[Total Expense],IFERROR(MATCH(A129&amp;"",tbl_Consulting[Job Number],0),MATCH(IFERROR(A129+0,A129),tbl_Consulting[Job Number],0))),0)))</f>
        <v/>
      </c>
      <c r="AI129" s="27">
        <f>IF(A129="","",AC129-N(AH129))</f>
        <v/>
      </c>
      <c r="AJ129" s="29">
        <f>IFERROR(AI129/AC129,"")</f>
        <v/>
      </c>
      <c r="AK129" s="26">
        <f>IF(A129="","",IFERROR(IF(INDEX(tbl_Onsite[Notes],IFERROR(MATCH(A129&amp;"",tbl_Onsite[Job Number],0),MATCH(IFERROR(A129+0,A129),tbl_Onsite[Job Number],0)))="","",INDEX(tbl_Onsite[Notes],IFERROR(MATCH(A129&amp;"",tbl_Onsite[Job Number],0),MATCH(IFERROR(A129+0,A129),tbl_Onsite[Job Number],0)))),IFERROR(IF(INDEX(tbl_Production[Notes],IFERROR(MATCH(A129&amp;"",tbl_Production[Job Number],0),MATCH(IFERROR(A129+0,A129),tbl_Production[Job Number],0)))="","",INDEX(tbl_Production[Notes],IFERROR(MATCH(A129&amp;"",tbl_Production[Job Number],0),MATCH(IFERROR(A129+0,A129),tbl_Production[Job Number],0)))),IFERROR(IF(INDEX(tbl_Consulting[Notes],IFERROR(MATCH(A129&amp;"",tbl_Consulting[Job Number],0),MATCH(IFERROR(A129+0,A129),tbl_Consulting[Job Number],0)))="","",INDEX(tbl_Consulting[Notes],IFERROR(MATCH(A129&amp;"",tbl_Consulting[Job Number],0),MATCH(IFERROR(A129+0,A129),tbl_Consulting[Job Number],0)))),""))))</f>
        <v/>
      </c>
    </row>
    <row r="130" ht="15" customHeight="1">
      <c r="A130" s="22" t="n"/>
      <c r="B130" s="22" t="n"/>
      <c r="C130" s="23" t="n"/>
      <c r="D130" s="22" t="n"/>
      <c r="E130" s="24" t="n"/>
      <c r="F130" s="25">
        <f>IF(C130="","",EOMONTH(C130,0))</f>
        <v/>
      </c>
      <c r="G130" s="26">
        <f>IF(A130="","",IF(COUNTIF(tbl_Onsite[Job Number],A130&amp;"")&gt;0,"Onsite",IF(COUNTIF(tbl_Production[Job Number],A130&amp;"")&gt;0,"Production",IF(COUNTIF(tbl_Consulting[Job Number],A130&amp;"")&gt;0,"Consulting","not set up yet"))))</f>
        <v/>
      </c>
      <c r="H130" s="26">
        <f>IF(A130="","",IF(COUNTIF(lst_Jobs,A130&amp;"")&gt;0,"OK","CHECK"))</f>
        <v/>
      </c>
      <c r="I130" s="26">
        <f>IF(A130="","",IFERROR(INDEX(lst_JobName,MATCH(A130&amp;"",lst_Jobs,0)),""))</f>
        <v/>
      </c>
      <c r="J130" s="26">
        <f>IF(A130="","",IFERROR(IF(INDEX(tbl_Onsite[Client],IFERROR(MATCH(A130&amp;"",tbl_Onsite[Job Number],0),MATCH(IFERROR(A130+0,A130),tbl_Onsite[Job Number],0)))="","",INDEX(tbl_Onsite[Client],IFERROR(MATCH(A130&amp;"",tbl_Onsite[Job Number],0),MATCH(IFERROR(A130+0,A130),tbl_Onsite[Job Number],0)))),IFERROR(IF(INDEX(tbl_Production[Client],IFERROR(MATCH(A130&amp;"",tbl_Production[Job Number],0),MATCH(IFERROR(A130+0,A130),tbl_Production[Job Number],0)))="","",INDEX(tbl_Production[Client],IFERROR(MATCH(A130&amp;"",tbl_Production[Job Number],0),MATCH(IFERROR(A130+0,A130),tbl_Production[Job Number],0)))),IFERROR(IF(INDEX(tbl_Consulting[Client],IFERROR(MATCH(A130&amp;"",tbl_Consulting[Job Number],0),MATCH(IFERROR(A130+0,A130),tbl_Consulting[Job Number],0)))="","",INDEX(tbl_Consulting[Client],IFERROR(MATCH(A130&amp;"",tbl_Consulting[Job Number],0),MATCH(IFERROR(A130+0,A130),tbl_Consulting[Job Number],0)))),""))))</f>
        <v/>
      </c>
      <c r="K130" s="26">
        <f>IF(A130="","",IFERROR(IF(INDEX(tbl_Onsite[Job Description],IFERROR(MATCH(A130&amp;"",tbl_Onsite[Job Number],0),MATCH(IFERROR(A130+0,A130),tbl_Onsite[Job Number],0)))="","",INDEX(tbl_Onsite[Job Description],IFERROR(MATCH(A130&amp;"",tbl_Onsite[Job Number],0),MATCH(IFERROR(A130+0,A130),tbl_Onsite[Job Number],0)))),IFERROR(IF(INDEX(tbl_Production[Job Description],IFERROR(MATCH(A130&amp;"",tbl_Production[Job Number],0),MATCH(IFERROR(A130+0,A130),tbl_Production[Job Number],0)))="","",INDEX(tbl_Production[Job Description],IFERROR(MATCH(A130&amp;"",tbl_Production[Job Number],0),MATCH(IFERROR(A130+0,A130),tbl_Production[Job Number],0)))),IFERROR(IF(INDEX(tbl_Consulting[Job Description],IFERROR(MATCH(A130&amp;"",tbl_Consulting[Job Number],0),MATCH(IFERROR(A130+0,A130),tbl_Consulting[Job Number],0)))="","",INDEX(tbl_Consulting[Job Description],IFERROR(MATCH(A130&amp;"",tbl_Consulting[Job Number],0),MATCH(IFERROR(A130+0,A130),tbl_Consulting[Job Number],0)))),""))))</f>
        <v/>
      </c>
      <c r="L130" s="26">
        <f>IF(A130="","",IFERROR(IF(INDEX(tbl_Onsite[Invoice Type],IFERROR(MATCH(A130&amp;"",tbl_Onsite[Job Number],0),MATCH(IFERROR(A130+0,A130),tbl_Onsite[Job Number],0)))="","",INDEX(tbl_Onsite[Invoice Type],IFERROR(MATCH(A130&amp;"",tbl_Onsite[Job Number],0),MATCH(IFERROR(A130+0,A130),tbl_Onsite[Job Number],0)))),IFERROR(IF(INDEX(tbl_Production[Invoice Type],IFERROR(MATCH(A130&amp;"",tbl_Production[Job Number],0),MATCH(IFERROR(A130+0,A130),tbl_Production[Job Number],0)))="","",INDEX(tbl_Production[Invoice Type],IFERROR(MATCH(A130&amp;"",tbl_Production[Job Number],0),MATCH(IFERROR(A130+0,A130),tbl_Production[Job Number],0)))),IFERROR(IF(INDEX(tbl_Consulting[Invoice Type],IFERROR(MATCH(A130&amp;"",tbl_Consulting[Job Number],0),MATCH(IFERROR(A130+0,A130),tbl_Consulting[Job Number],0)))="","",INDEX(tbl_Consulting[Invoice Type],IFERROR(MATCH(A130&amp;"",tbl_Consulting[Job Number],0),MATCH(IFERROR(A130+0,A130),tbl_Consulting[Job Number],0)))),""))))</f>
        <v/>
      </c>
      <c r="M130" s="26">
        <f>IF(A130="","",IF(IFERROR(IF(INDEX(tbl_Onsite[Tax Code],IFERROR(MATCH(A130&amp;"",tbl_Onsite[Job Number],0),MATCH(IFERROR(A130+0,A130),tbl_Onsite[Job Number],0)))="","",INDEX(tbl_Onsite[Tax Code],IFERROR(MATCH(A130&amp;"",tbl_Onsite[Job Number],0),MATCH(IFERROR(A130+0,A130),tbl_Onsite[Job Number],0)))),IFERROR(IF(INDEX(tbl_Production[Tax Code],IFERROR(MATCH(A130&amp;"",tbl_Production[Job Number],0),MATCH(IFERROR(A130+0,A130),tbl_Production[Job Number],0)))="","",INDEX(tbl_Production[Tax Code],IFERROR(MATCH(A130&amp;"",tbl_Production[Job Number],0),MATCH(IFERROR(A130+0,A130),tbl_Production[Job Number],0)))),IFERROR(IF(INDEX(tbl_Consulting[Tax Code],IFERROR(MATCH(A130&amp;"",tbl_Consulting[Job Number],0),MATCH(IFERROR(A130+0,A130),tbl_Consulting[Job Number],0)))="","",INDEX(tbl_Consulting[Tax Code],IFERROR(MATCH(A130&amp;"",tbl_Consulting[Job Number],0),MATCH(IFERROR(A130+0,A130),tbl_Consulting[Job Number],0)))),"")))="","GST 10%",IFERROR(IF(INDEX(tbl_Onsite[Tax Code],IFERROR(MATCH(A130&amp;"",tbl_Onsite[Job Number],0),MATCH(IFERROR(A130+0,A130),tbl_Onsite[Job Number],0)))="","",INDEX(tbl_Onsite[Tax Code],IFERROR(MATCH(A130&amp;"",tbl_Onsite[Job Number],0),MATCH(IFERROR(A130+0,A130),tbl_Onsite[Job Number],0)))),IFERROR(IF(INDEX(tbl_Production[Tax Code],IFERROR(MATCH(A130&amp;"",tbl_Production[Job Number],0),MATCH(IFERROR(A130+0,A130),tbl_Production[Job Number],0)))="","",INDEX(tbl_Production[Tax Code],IFERROR(MATCH(A130&amp;"",tbl_Production[Job Number],0),MATCH(IFERROR(A130+0,A130),tbl_Production[Job Number],0)))),IFERROR(IF(INDEX(tbl_Consulting[Tax Code],IFERROR(MATCH(A130&amp;"",tbl_Consulting[Job Number],0),MATCH(IFERROR(A130+0,A130),tbl_Consulting[Job Number],0)))="","",INDEX(tbl_Consulting[Tax Code],IFERROR(MATCH(A130&amp;"",tbl_Consulting[Job Number],0),MATCH(IFERROR(A130+0,A130),tbl_Consulting[Job Number],0)))),"")))))</f>
        <v/>
      </c>
      <c r="N130" s="26">
        <f>IF(D130="","",IFERROR(INDEX(lst_CCtoGL,MATCH(D130,lst_CCforGL,0)),""))</f>
        <v/>
      </c>
      <c r="O130" s="27">
        <f>IF(E130="","",IF(M130="GST 10%",ROUND(E130*set_GSTRate,2),0))</f>
        <v/>
      </c>
      <c r="P130" s="27">
        <f>IF(E130="","",E130+O130)</f>
        <v/>
      </c>
      <c r="Q130" s="27">
        <f>IF(A130="","",IFERROR(INDEX(tbl_Onsite[Expected Revenue Ex GST],IFERROR(MATCH(A130&amp;"",tbl_Onsite[Job Number],0),MATCH(IFERROR(A130+0,A130),tbl_Onsite[Job Number],0))),IFERROR(INDEX(tbl_Production[Expected Revenue Ex GST],IFERROR(MATCH(A130&amp;"",tbl_Production[Job Number],0),MATCH(IFERROR(A130+0,A130),tbl_Production[Job Number],0))),IFERROR(INDEX(tbl_Consulting[Expected Revenue Ex GST],IFERROR(MATCH(A130&amp;"",tbl_Consulting[Job Number],0),MATCH(IFERROR(A130+0,A130),tbl_Consulting[Job Number],0))),0))))</f>
        <v/>
      </c>
      <c r="R130" s="27">
        <f>IF(A130="","",SUMIFS(tbl_Finance[Ex GST],tbl_Finance[Job Number],A130&amp;""))</f>
        <v/>
      </c>
      <c r="S130" s="27">
        <f>IF(A130="","",Q130-R130)</f>
        <v/>
      </c>
      <c r="T130" s="26">
        <f>IF(A130="","",IF(Q130=0,"No dept value",IF(ROUND(S130,2)=0,"Agrees",IF(S130&gt;0,"Dept higher - to invoice","Xero higher - check dept"))))</f>
        <v/>
      </c>
      <c r="U130" s="22" t="n"/>
      <c r="V130" s="22" t="n"/>
      <c r="W130" s="23" t="n"/>
      <c r="X130" s="23" t="n"/>
      <c r="Y130" s="22" t="n"/>
      <c r="Z130" s="22" t="n"/>
      <c r="AA130" s="26">
        <f>IF(COUNTA(C130,A130,B130,E130)=0,"",IF(C130="","No date - sits outside every month",IF(A130="","No job number",IF(H130="CHECK","Job number is not in the Xero job list",IF(G130="not set up yet","No department has set this job up - nothing can pull through",IF(D130="","No cost centre",IF(AND(U130="Y",B130=""),"Marked posted to Xero but has no invoice number",IF(N130="","Cost centre has no revenue GL on the Lists sheet",IF(T130="Xero higher - check dept","Invoiced more than the department says the job is worth","")))))))))</f>
        <v/>
      </c>
      <c r="AB130" s="28">
        <f>IF(A130="","",COUNTIFS(tbl_Finance[Job Number],A130&amp;"",tbl_Finance[Ex GST],"&lt;&gt;"))</f>
        <v/>
      </c>
      <c r="AC130" s="27">
        <f>IF(A130="","",SUMIFS(tbl_Finance[Ex GST],tbl_Finance[Job Number],A130&amp;""))</f>
        <v/>
      </c>
      <c r="AD130" s="27">
        <f>IF(A130="","",SUMIFS(tbl_Finance[Ex GST],tbl_Finance[Job Number],A130&amp;"",tbl_Finance[Xero Invoice No],"&lt;&gt;"))</f>
        <v/>
      </c>
      <c r="AE130" s="27">
        <f>IF(A130="","",AC130-AD130)</f>
        <v/>
      </c>
      <c r="AF130" s="26">
        <f>IF(A130="","",IFERROR(IF(INDEX(tbl_Onsite[Qwilr Quote],IFERROR(MATCH(A130&amp;"",tbl_Onsite[Job Number],0),MATCH(IFERROR(A130+0,A130),tbl_Onsite[Job Number],0)))="","",INDEX(tbl_Onsite[Qwilr Quote],IFERROR(MATCH(A130&amp;"",tbl_Onsite[Job Number],0),MATCH(IFERROR(A130+0,A130),tbl_Onsite[Job Number],0)))),IFERROR(IF(IF(INDEX(tbl_Production[Current RMS No],IFERROR(MATCH(A130&amp;"",tbl_Production[Job Number],0),MATCH(IFERROR(A130+0,A130),tbl_Production[Job Number],0)))="",INDEX(tbl_Production[Qwilr Quote],IFERROR(MATCH(A130&amp;"",tbl_Production[Job Number],0),MATCH(IFERROR(A130+0,A130),tbl_Production[Job Number],0))),INDEX(tbl_Production[Current RMS No],IFERROR(MATCH(A130&amp;"",tbl_Production[Job Number],0),MATCH(IFERROR(A130+0,A130),tbl_Production[Job Number],0))))="","",IF(INDEX(tbl_Production[Current RMS No],IFERROR(MATCH(A130&amp;"",tbl_Production[Job Number],0),MATCH(IFERROR(A130+0,A130),tbl_Production[Job Number],0)))="",INDEX(tbl_Production[Qwilr Quote],IFERROR(MATCH(A130&amp;"",tbl_Production[Job Number],0),MATCH(IFERROR(A130+0,A130),tbl_Production[Job Number],0))),INDEX(tbl_Production[Current RMS No],IFERROR(MATCH(A130&amp;"",tbl_Production[Job Number],0),MATCH(IFERROR(A130+0,A130),tbl_Production[Job Number],0))))),IFERROR(IF(INDEX(tbl_Consulting[Qwilr Quote],IFERROR(MATCH(A130&amp;"",tbl_Consulting[Job Number],0),MATCH(IFERROR(A130+0,A130),tbl_Consulting[Job Number],0)))="","",INDEX(tbl_Consulting[Qwilr Quote],IFERROR(MATCH(A130&amp;"",tbl_Consulting[Job Number],0),MATCH(IFERROR(A130+0,A130),tbl_Consulting[Job Number],0)))),""))))</f>
        <v/>
      </c>
      <c r="AG130" s="26">
        <f>IF(AF130="","",IF(AND(LEFT(AF130,4)&lt;&gt;"http",IF(G130="Production",set_RMSBase,set_QwilrBase)=""),"",HYPERLINK(IF(LEFT(AF130,4)="http",AF130,IF(G130="Production",set_RMSBase,set_QwilrBase)&amp;AF130),"Open")))</f>
        <v/>
      </c>
      <c r="AH130" s="27">
        <f>IF(A130="","",IFERROR(INDEX(tbl_Production[Total Expense],IFERROR(MATCH(A130&amp;"",tbl_Production[Job Number],0),MATCH(IFERROR(A130+0,A130),tbl_Production[Job Number],0))),IFERROR(INDEX(tbl_Consulting[Total Expense],IFERROR(MATCH(A130&amp;"",tbl_Consulting[Job Number],0),MATCH(IFERROR(A130+0,A130),tbl_Consulting[Job Number],0))),0)))</f>
        <v/>
      </c>
      <c r="AI130" s="27">
        <f>IF(A130="","",AC130-N(AH130))</f>
        <v/>
      </c>
      <c r="AJ130" s="29">
        <f>IFERROR(AI130/AC130,"")</f>
        <v/>
      </c>
      <c r="AK130" s="26">
        <f>IF(A130="","",IFERROR(IF(INDEX(tbl_Onsite[Notes],IFERROR(MATCH(A130&amp;"",tbl_Onsite[Job Number],0),MATCH(IFERROR(A130+0,A130),tbl_Onsite[Job Number],0)))="","",INDEX(tbl_Onsite[Notes],IFERROR(MATCH(A130&amp;"",tbl_Onsite[Job Number],0),MATCH(IFERROR(A130+0,A130),tbl_Onsite[Job Number],0)))),IFERROR(IF(INDEX(tbl_Production[Notes],IFERROR(MATCH(A130&amp;"",tbl_Production[Job Number],0),MATCH(IFERROR(A130+0,A130),tbl_Production[Job Number],0)))="","",INDEX(tbl_Production[Notes],IFERROR(MATCH(A130&amp;"",tbl_Production[Job Number],0),MATCH(IFERROR(A130+0,A130),tbl_Production[Job Number],0)))),IFERROR(IF(INDEX(tbl_Consulting[Notes],IFERROR(MATCH(A130&amp;"",tbl_Consulting[Job Number],0),MATCH(IFERROR(A130+0,A130),tbl_Consulting[Job Number],0)))="","",INDEX(tbl_Consulting[Notes],IFERROR(MATCH(A130&amp;"",tbl_Consulting[Job Number],0),MATCH(IFERROR(A130+0,A130),tbl_Consulting[Job Number],0)))),""))))</f>
        <v/>
      </c>
    </row>
    <row r="131" ht="15" customHeight="1">
      <c r="A131" s="22" t="n"/>
      <c r="B131" s="22" t="n"/>
      <c r="C131" s="23" t="n"/>
      <c r="D131" s="22" t="n"/>
      <c r="E131" s="24" t="n"/>
      <c r="F131" s="25">
        <f>IF(C131="","",EOMONTH(C131,0))</f>
        <v/>
      </c>
      <c r="G131" s="26">
        <f>IF(A131="","",IF(COUNTIF(tbl_Onsite[Job Number],A131&amp;"")&gt;0,"Onsite",IF(COUNTIF(tbl_Production[Job Number],A131&amp;"")&gt;0,"Production",IF(COUNTIF(tbl_Consulting[Job Number],A131&amp;"")&gt;0,"Consulting","not set up yet"))))</f>
        <v/>
      </c>
      <c r="H131" s="26">
        <f>IF(A131="","",IF(COUNTIF(lst_Jobs,A131&amp;"")&gt;0,"OK","CHECK"))</f>
        <v/>
      </c>
      <c r="I131" s="26">
        <f>IF(A131="","",IFERROR(INDEX(lst_JobName,MATCH(A131&amp;"",lst_Jobs,0)),""))</f>
        <v/>
      </c>
      <c r="J131" s="26">
        <f>IF(A131="","",IFERROR(IF(INDEX(tbl_Onsite[Client],IFERROR(MATCH(A131&amp;"",tbl_Onsite[Job Number],0),MATCH(IFERROR(A131+0,A131),tbl_Onsite[Job Number],0)))="","",INDEX(tbl_Onsite[Client],IFERROR(MATCH(A131&amp;"",tbl_Onsite[Job Number],0),MATCH(IFERROR(A131+0,A131),tbl_Onsite[Job Number],0)))),IFERROR(IF(INDEX(tbl_Production[Client],IFERROR(MATCH(A131&amp;"",tbl_Production[Job Number],0),MATCH(IFERROR(A131+0,A131),tbl_Production[Job Number],0)))="","",INDEX(tbl_Production[Client],IFERROR(MATCH(A131&amp;"",tbl_Production[Job Number],0),MATCH(IFERROR(A131+0,A131),tbl_Production[Job Number],0)))),IFERROR(IF(INDEX(tbl_Consulting[Client],IFERROR(MATCH(A131&amp;"",tbl_Consulting[Job Number],0),MATCH(IFERROR(A131+0,A131),tbl_Consulting[Job Number],0)))="","",INDEX(tbl_Consulting[Client],IFERROR(MATCH(A131&amp;"",tbl_Consulting[Job Number],0),MATCH(IFERROR(A131+0,A131),tbl_Consulting[Job Number],0)))),""))))</f>
        <v/>
      </c>
      <c r="K131" s="26">
        <f>IF(A131="","",IFERROR(IF(INDEX(tbl_Onsite[Job Description],IFERROR(MATCH(A131&amp;"",tbl_Onsite[Job Number],0),MATCH(IFERROR(A131+0,A131),tbl_Onsite[Job Number],0)))="","",INDEX(tbl_Onsite[Job Description],IFERROR(MATCH(A131&amp;"",tbl_Onsite[Job Number],0),MATCH(IFERROR(A131+0,A131),tbl_Onsite[Job Number],0)))),IFERROR(IF(INDEX(tbl_Production[Job Description],IFERROR(MATCH(A131&amp;"",tbl_Production[Job Number],0),MATCH(IFERROR(A131+0,A131),tbl_Production[Job Number],0)))="","",INDEX(tbl_Production[Job Description],IFERROR(MATCH(A131&amp;"",tbl_Production[Job Number],0),MATCH(IFERROR(A131+0,A131),tbl_Production[Job Number],0)))),IFERROR(IF(INDEX(tbl_Consulting[Job Description],IFERROR(MATCH(A131&amp;"",tbl_Consulting[Job Number],0),MATCH(IFERROR(A131+0,A131),tbl_Consulting[Job Number],0)))="","",INDEX(tbl_Consulting[Job Description],IFERROR(MATCH(A131&amp;"",tbl_Consulting[Job Number],0),MATCH(IFERROR(A131+0,A131),tbl_Consulting[Job Number],0)))),""))))</f>
        <v/>
      </c>
      <c r="L131" s="26">
        <f>IF(A131="","",IFERROR(IF(INDEX(tbl_Onsite[Invoice Type],IFERROR(MATCH(A131&amp;"",tbl_Onsite[Job Number],0),MATCH(IFERROR(A131+0,A131),tbl_Onsite[Job Number],0)))="","",INDEX(tbl_Onsite[Invoice Type],IFERROR(MATCH(A131&amp;"",tbl_Onsite[Job Number],0),MATCH(IFERROR(A131+0,A131),tbl_Onsite[Job Number],0)))),IFERROR(IF(INDEX(tbl_Production[Invoice Type],IFERROR(MATCH(A131&amp;"",tbl_Production[Job Number],0),MATCH(IFERROR(A131+0,A131),tbl_Production[Job Number],0)))="","",INDEX(tbl_Production[Invoice Type],IFERROR(MATCH(A131&amp;"",tbl_Production[Job Number],0),MATCH(IFERROR(A131+0,A131),tbl_Production[Job Number],0)))),IFERROR(IF(INDEX(tbl_Consulting[Invoice Type],IFERROR(MATCH(A131&amp;"",tbl_Consulting[Job Number],0),MATCH(IFERROR(A131+0,A131),tbl_Consulting[Job Number],0)))="","",INDEX(tbl_Consulting[Invoice Type],IFERROR(MATCH(A131&amp;"",tbl_Consulting[Job Number],0),MATCH(IFERROR(A131+0,A131),tbl_Consulting[Job Number],0)))),""))))</f>
        <v/>
      </c>
      <c r="M131" s="26">
        <f>IF(A131="","",IF(IFERROR(IF(INDEX(tbl_Onsite[Tax Code],IFERROR(MATCH(A131&amp;"",tbl_Onsite[Job Number],0),MATCH(IFERROR(A131+0,A131),tbl_Onsite[Job Number],0)))="","",INDEX(tbl_Onsite[Tax Code],IFERROR(MATCH(A131&amp;"",tbl_Onsite[Job Number],0),MATCH(IFERROR(A131+0,A131),tbl_Onsite[Job Number],0)))),IFERROR(IF(INDEX(tbl_Production[Tax Code],IFERROR(MATCH(A131&amp;"",tbl_Production[Job Number],0),MATCH(IFERROR(A131+0,A131),tbl_Production[Job Number],0)))="","",INDEX(tbl_Production[Tax Code],IFERROR(MATCH(A131&amp;"",tbl_Production[Job Number],0),MATCH(IFERROR(A131+0,A131),tbl_Production[Job Number],0)))),IFERROR(IF(INDEX(tbl_Consulting[Tax Code],IFERROR(MATCH(A131&amp;"",tbl_Consulting[Job Number],0),MATCH(IFERROR(A131+0,A131),tbl_Consulting[Job Number],0)))="","",INDEX(tbl_Consulting[Tax Code],IFERROR(MATCH(A131&amp;"",tbl_Consulting[Job Number],0),MATCH(IFERROR(A131+0,A131),tbl_Consulting[Job Number],0)))),"")))="","GST 10%",IFERROR(IF(INDEX(tbl_Onsite[Tax Code],IFERROR(MATCH(A131&amp;"",tbl_Onsite[Job Number],0),MATCH(IFERROR(A131+0,A131),tbl_Onsite[Job Number],0)))="","",INDEX(tbl_Onsite[Tax Code],IFERROR(MATCH(A131&amp;"",tbl_Onsite[Job Number],0),MATCH(IFERROR(A131+0,A131),tbl_Onsite[Job Number],0)))),IFERROR(IF(INDEX(tbl_Production[Tax Code],IFERROR(MATCH(A131&amp;"",tbl_Production[Job Number],0),MATCH(IFERROR(A131+0,A131),tbl_Production[Job Number],0)))="","",INDEX(tbl_Production[Tax Code],IFERROR(MATCH(A131&amp;"",tbl_Production[Job Number],0),MATCH(IFERROR(A131+0,A131),tbl_Production[Job Number],0)))),IFERROR(IF(INDEX(tbl_Consulting[Tax Code],IFERROR(MATCH(A131&amp;"",tbl_Consulting[Job Number],0),MATCH(IFERROR(A131+0,A131),tbl_Consulting[Job Number],0)))="","",INDEX(tbl_Consulting[Tax Code],IFERROR(MATCH(A131&amp;"",tbl_Consulting[Job Number],0),MATCH(IFERROR(A131+0,A131),tbl_Consulting[Job Number],0)))),"")))))</f>
        <v/>
      </c>
      <c r="N131" s="26">
        <f>IF(D131="","",IFERROR(INDEX(lst_CCtoGL,MATCH(D131,lst_CCforGL,0)),""))</f>
        <v/>
      </c>
      <c r="O131" s="27">
        <f>IF(E131="","",IF(M131="GST 10%",ROUND(E131*set_GSTRate,2),0))</f>
        <v/>
      </c>
      <c r="P131" s="27">
        <f>IF(E131="","",E131+O131)</f>
        <v/>
      </c>
      <c r="Q131" s="27">
        <f>IF(A131="","",IFERROR(INDEX(tbl_Onsite[Expected Revenue Ex GST],IFERROR(MATCH(A131&amp;"",tbl_Onsite[Job Number],0),MATCH(IFERROR(A131+0,A131),tbl_Onsite[Job Number],0))),IFERROR(INDEX(tbl_Production[Expected Revenue Ex GST],IFERROR(MATCH(A131&amp;"",tbl_Production[Job Number],0),MATCH(IFERROR(A131+0,A131),tbl_Production[Job Number],0))),IFERROR(INDEX(tbl_Consulting[Expected Revenue Ex GST],IFERROR(MATCH(A131&amp;"",tbl_Consulting[Job Number],0),MATCH(IFERROR(A131+0,A131),tbl_Consulting[Job Number],0))),0))))</f>
        <v/>
      </c>
      <c r="R131" s="27">
        <f>IF(A131="","",SUMIFS(tbl_Finance[Ex GST],tbl_Finance[Job Number],A131&amp;""))</f>
        <v/>
      </c>
      <c r="S131" s="27">
        <f>IF(A131="","",Q131-R131)</f>
        <v/>
      </c>
      <c r="T131" s="26">
        <f>IF(A131="","",IF(Q131=0,"No dept value",IF(ROUND(S131,2)=0,"Agrees",IF(S131&gt;0,"Dept higher - to invoice","Xero higher - check dept"))))</f>
        <v/>
      </c>
      <c r="U131" s="22" t="n"/>
      <c r="V131" s="22" t="n"/>
      <c r="W131" s="23" t="n"/>
      <c r="X131" s="23" t="n"/>
      <c r="Y131" s="22" t="n"/>
      <c r="Z131" s="22" t="n"/>
      <c r="AA131" s="26">
        <f>IF(COUNTA(C131,A131,B131,E131)=0,"",IF(C131="","No date - sits outside every month",IF(A131="","No job number",IF(H131="CHECK","Job number is not in the Xero job list",IF(G131="not set up yet","No department has set this job up - nothing can pull through",IF(D131="","No cost centre",IF(AND(U131="Y",B131=""),"Marked posted to Xero but has no invoice number",IF(N131="","Cost centre has no revenue GL on the Lists sheet",IF(T131="Xero higher - check dept","Invoiced more than the department says the job is worth","")))))))))</f>
        <v/>
      </c>
      <c r="AB131" s="28">
        <f>IF(A131="","",COUNTIFS(tbl_Finance[Job Number],A131&amp;"",tbl_Finance[Ex GST],"&lt;&gt;"))</f>
        <v/>
      </c>
      <c r="AC131" s="27">
        <f>IF(A131="","",SUMIFS(tbl_Finance[Ex GST],tbl_Finance[Job Number],A131&amp;""))</f>
        <v/>
      </c>
      <c r="AD131" s="27">
        <f>IF(A131="","",SUMIFS(tbl_Finance[Ex GST],tbl_Finance[Job Number],A131&amp;"",tbl_Finance[Xero Invoice No],"&lt;&gt;"))</f>
        <v/>
      </c>
      <c r="AE131" s="27">
        <f>IF(A131="","",AC131-AD131)</f>
        <v/>
      </c>
      <c r="AF131" s="26">
        <f>IF(A131="","",IFERROR(IF(INDEX(tbl_Onsite[Qwilr Quote],IFERROR(MATCH(A131&amp;"",tbl_Onsite[Job Number],0),MATCH(IFERROR(A131+0,A131),tbl_Onsite[Job Number],0)))="","",INDEX(tbl_Onsite[Qwilr Quote],IFERROR(MATCH(A131&amp;"",tbl_Onsite[Job Number],0),MATCH(IFERROR(A131+0,A131),tbl_Onsite[Job Number],0)))),IFERROR(IF(IF(INDEX(tbl_Production[Current RMS No],IFERROR(MATCH(A131&amp;"",tbl_Production[Job Number],0),MATCH(IFERROR(A131+0,A131),tbl_Production[Job Number],0)))="",INDEX(tbl_Production[Qwilr Quote],IFERROR(MATCH(A131&amp;"",tbl_Production[Job Number],0),MATCH(IFERROR(A131+0,A131),tbl_Production[Job Number],0))),INDEX(tbl_Production[Current RMS No],IFERROR(MATCH(A131&amp;"",tbl_Production[Job Number],0),MATCH(IFERROR(A131+0,A131),tbl_Production[Job Number],0))))="","",IF(INDEX(tbl_Production[Current RMS No],IFERROR(MATCH(A131&amp;"",tbl_Production[Job Number],0),MATCH(IFERROR(A131+0,A131),tbl_Production[Job Number],0)))="",INDEX(tbl_Production[Qwilr Quote],IFERROR(MATCH(A131&amp;"",tbl_Production[Job Number],0),MATCH(IFERROR(A131+0,A131),tbl_Production[Job Number],0))),INDEX(tbl_Production[Current RMS No],IFERROR(MATCH(A131&amp;"",tbl_Production[Job Number],0),MATCH(IFERROR(A131+0,A131),tbl_Production[Job Number],0))))),IFERROR(IF(INDEX(tbl_Consulting[Qwilr Quote],IFERROR(MATCH(A131&amp;"",tbl_Consulting[Job Number],0),MATCH(IFERROR(A131+0,A131),tbl_Consulting[Job Number],0)))="","",INDEX(tbl_Consulting[Qwilr Quote],IFERROR(MATCH(A131&amp;"",tbl_Consulting[Job Number],0),MATCH(IFERROR(A131+0,A131),tbl_Consulting[Job Number],0)))),""))))</f>
        <v/>
      </c>
      <c r="AG131" s="26">
        <f>IF(AF131="","",IF(AND(LEFT(AF131,4)&lt;&gt;"http",IF(G131="Production",set_RMSBase,set_QwilrBase)=""),"",HYPERLINK(IF(LEFT(AF131,4)="http",AF131,IF(G131="Production",set_RMSBase,set_QwilrBase)&amp;AF131),"Open")))</f>
        <v/>
      </c>
      <c r="AH131" s="27">
        <f>IF(A131="","",IFERROR(INDEX(tbl_Production[Total Expense],IFERROR(MATCH(A131&amp;"",tbl_Production[Job Number],0),MATCH(IFERROR(A131+0,A131),tbl_Production[Job Number],0))),IFERROR(INDEX(tbl_Consulting[Total Expense],IFERROR(MATCH(A131&amp;"",tbl_Consulting[Job Number],0),MATCH(IFERROR(A131+0,A131),tbl_Consulting[Job Number],0))),0)))</f>
        <v/>
      </c>
      <c r="AI131" s="27">
        <f>IF(A131="","",AC131-N(AH131))</f>
        <v/>
      </c>
      <c r="AJ131" s="29">
        <f>IFERROR(AI131/AC131,"")</f>
        <v/>
      </c>
      <c r="AK131" s="26">
        <f>IF(A131="","",IFERROR(IF(INDEX(tbl_Onsite[Notes],IFERROR(MATCH(A131&amp;"",tbl_Onsite[Job Number],0),MATCH(IFERROR(A131+0,A131),tbl_Onsite[Job Number],0)))="","",INDEX(tbl_Onsite[Notes],IFERROR(MATCH(A131&amp;"",tbl_Onsite[Job Number],0),MATCH(IFERROR(A131+0,A131),tbl_Onsite[Job Number],0)))),IFERROR(IF(INDEX(tbl_Production[Notes],IFERROR(MATCH(A131&amp;"",tbl_Production[Job Number],0),MATCH(IFERROR(A131+0,A131),tbl_Production[Job Number],0)))="","",INDEX(tbl_Production[Notes],IFERROR(MATCH(A131&amp;"",tbl_Production[Job Number],0),MATCH(IFERROR(A131+0,A131),tbl_Production[Job Number],0)))),IFERROR(IF(INDEX(tbl_Consulting[Notes],IFERROR(MATCH(A131&amp;"",tbl_Consulting[Job Number],0),MATCH(IFERROR(A131+0,A131),tbl_Consulting[Job Number],0)))="","",INDEX(tbl_Consulting[Notes],IFERROR(MATCH(A131&amp;"",tbl_Consulting[Job Number],0),MATCH(IFERROR(A131+0,A131),tbl_Consulting[Job Number],0)))),""))))</f>
        <v/>
      </c>
    </row>
    <row r="132" ht="15" customHeight="1">
      <c r="A132" s="22" t="n"/>
      <c r="B132" s="22" t="n"/>
      <c r="C132" s="23" t="n"/>
      <c r="D132" s="22" t="n"/>
      <c r="E132" s="24" t="n"/>
      <c r="F132" s="25">
        <f>IF(C132="","",EOMONTH(C132,0))</f>
        <v/>
      </c>
      <c r="G132" s="26">
        <f>IF(A132="","",IF(COUNTIF(tbl_Onsite[Job Number],A132&amp;"")&gt;0,"Onsite",IF(COUNTIF(tbl_Production[Job Number],A132&amp;"")&gt;0,"Production",IF(COUNTIF(tbl_Consulting[Job Number],A132&amp;"")&gt;0,"Consulting","not set up yet"))))</f>
        <v/>
      </c>
      <c r="H132" s="26">
        <f>IF(A132="","",IF(COUNTIF(lst_Jobs,A132&amp;"")&gt;0,"OK","CHECK"))</f>
        <v/>
      </c>
      <c r="I132" s="26">
        <f>IF(A132="","",IFERROR(INDEX(lst_JobName,MATCH(A132&amp;"",lst_Jobs,0)),""))</f>
        <v/>
      </c>
      <c r="J132" s="26">
        <f>IF(A132="","",IFERROR(IF(INDEX(tbl_Onsite[Client],IFERROR(MATCH(A132&amp;"",tbl_Onsite[Job Number],0),MATCH(IFERROR(A132+0,A132),tbl_Onsite[Job Number],0)))="","",INDEX(tbl_Onsite[Client],IFERROR(MATCH(A132&amp;"",tbl_Onsite[Job Number],0),MATCH(IFERROR(A132+0,A132),tbl_Onsite[Job Number],0)))),IFERROR(IF(INDEX(tbl_Production[Client],IFERROR(MATCH(A132&amp;"",tbl_Production[Job Number],0),MATCH(IFERROR(A132+0,A132),tbl_Production[Job Number],0)))="","",INDEX(tbl_Production[Client],IFERROR(MATCH(A132&amp;"",tbl_Production[Job Number],0),MATCH(IFERROR(A132+0,A132),tbl_Production[Job Number],0)))),IFERROR(IF(INDEX(tbl_Consulting[Client],IFERROR(MATCH(A132&amp;"",tbl_Consulting[Job Number],0),MATCH(IFERROR(A132+0,A132),tbl_Consulting[Job Number],0)))="","",INDEX(tbl_Consulting[Client],IFERROR(MATCH(A132&amp;"",tbl_Consulting[Job Number],0),MATCH(IFERROR(A132+0,A132),tbl_Consulting[Job Number],0)))),""))))</f>
        <v/>
      </c>
      <c r="K132" s="26">
        <f>IF(A132="","",IFERROR(IF(INDEX(tbl_Onsite[Job Description],IFERROR(MATCH(A132&amp;"",tbl_Onsite[Job Number],0),MATCH(IFERROR(A132+0,A132),tbl_Onsite[Job Number],0)))="","",INDEX(tbl_Onsite[Job Description],IFERROR(MATCH(A132&amp;"",tbl_Onsite[Job Number],0),MATCH(IFERROR(A132+0,A132),tbl_Onsite[Job Number],0)))),IFERROR(IF(INDEX(tbl_Production[Job Description],IFERROR(MATCH(A132&amp;"",tbl_Production[Job Number],0),MATCH(IFERROR(A132+0,A132),tbl_Production[Job Number],0)))="","",INDEX(tbl_Production[Job Description],IFERROR(MATCH(A132&amp;"",tbl_Production[Job Number],0),MATCH(IFERROR(A132+0,A132),tbl_Production[Job Number],0)))),IFERROR(IF(INDEX(tbl_Consulting[Job Description],IFERROR(MATCH(A132&amp;"",tbl_Consulting[Job Number],0),MATCH(IFERROR(A132+0,A132),tbl_Consulting[Job Number],0)))="","",INDEX(tbl_Consulting[Job Description],IFERROR(MATCH(A132&amp;"",tbl_Consulting[Job Number],0),MATCH(IFERROR(A132+0,A132),tbl_Consulting[Job Number],0)))),""))))</f>
        <v/>
      </c>
      <c r="L132" s="26">
        <f>IF(A132="","",IFERROR(IF(INDEX(tbl_Onsite[Invoice Type],IFERROR(MATCH(A132&amp;"",tbl_Onsite[Job Number],0),MATCH(IFERROR(A132+0,A132),tbl_Onsite[Job Number],0)))="","",INDEX(tbl_Onsite[Invoice Type],IFERROR(MATCH(A132&amp;"",tbl_Onsite[Job Number],0),MATCH(IFERROR(A132+0,A132),tbl_Onsite[Job Number],0)))),IFERROR(IF(INDEX(tbl_Production[Invoice Type],IFERROR(MATCH(A132&amp;"",tbl_Production[Job Number],0),MATCH(IFERROR(A132+0,A132),tbl_Production[Job Number],0)))="","",INDEX(tbl_Production[Invoice Type],IFERROR(MATCH(A132&amp;"",tbl_Production[Job Number],0),MATCH(IFERROR(A132+0,A132),tbl_Production[Job Number],0)))),IFERROR(IF(INDEX(tbl_Consulting[Invoice Type],IFERROR(MATCH(A132&amp;"",tbl_Consulting[Job Number],0),MATCH(IFERROR(A132+0,A132),tbl_Consulting[Job Number],0)))="","",INDEX(tbl_Consulting[Invoice Type],IFERROR(MATCH(A132&amp;"",tbl_Consulting[Job Number],0),MATCH(IFERROR(A132+0,A132),tbl_Consulting[Job Number],0)))),""))))</f>
        <v/>
      </c>
      <c r="M132" s="26">
        <f>IF(A132="","",IF(IFERROR(IF(INDEX(tbl_Onsite[Tax Code],IFERROR(MATCH(A132&amp;"",tbl_Onsite[Job Number],0),MATCH(IFERROR(A132+0,A132),tbl_Onsite[Job Number],0)))="","",INDEX(tbl_Onsite[Tax Code],IFERROR(MATCH(A132&amp;"",tbl_Onsite[Job Number],0),MATCH(IFERROR(A132+0,A132),tbl_Onsite[Job Number],0)))),IFERROR(IF(INDEX(tbl_Production[Tax Code],IFERROR(MATCH(A132&amp;"",tbl_Production[Job Number],0),MATCH(IFERROR(A132+0,A132),tbl_Production[Job Number],0)))="","",INDEX(tbl_Production[Tax Code],IFERROR(MATCH(A132&amp;"",tbl_Production[Job Number],0),MATCH(IFERROR(A132+0,A132),tbl_Production[Job Number],0)))),IFERROR(IF(INDEX(tbl_Consulting[Tax Code],IFERROR(MATCH(A132&amp;"",tbl_Consulting[Job Number],0),MATCH(IFERROR(A132+0,A132),tbl_Consulting[Job Number],0)))="","",INDEX(tbl_Consulting[Tax Code],IFERROR(MATCH(A132&amp;"",tbl_Consulting[Job Number],0),MATCH(IFERROR(A132+0,A132),tbl_Consulting[Job Number],0)))),"")))="","GST 10%",IFERROR(IF(INDEX(tbl_Onsite[Tax Code],IFERROR(MATCH(A132&amp;"",tbl_Onsite[Job Number],0),MATCH(IFERROR(A132+0,A132),tbl_Onsite[Job Number],0)))="","",INDEX(tbl_Onsite[Tax Code],IFERROR(MATCH(A132&amp;"",tbl_Onsite[Job Number],0),MATCH(IFERROR(A132+0,A132),tbl_Onsite[Job Number],0)))),IFERROR(IF(INDEX(tbl_Production[Tax Code],IFERROR(MATCH(A132&amp;"",tbl_Production[Job Number],0),MATCH(IFERROR(A132+0,A132),tbl_Production[Job Number],0)))="","",INDEX(tbl_Production[Tax Code],IFERROR(MATCH(A132&amp;"",tbl_Production[Job Number],0),MATCH(IFERROR(A132+0,A132),tbl_Production[Job Number],0)))),IFERROR(IF(INDEX(tbl_Consulting[Tax Code],IFERROR(MATCH(A132&amp;"",tbl_Consulting[Job Number],0),MATCH(IFERROR(A132+0,A132),tbl_Consulting[Job Number],0)))="","",INDEX(tbl_Consulting[Tax Code],IFERROR(MATCH(A132&amp;"",tbl_Consulting[Job Number],0),MATCH(IFERROR(A132+0,A132),tbl_Consulting[Job Number],0)))),"")))))</f>
        <v/>
      </c>
      <c r="N132" s="26">
        <f>IF(D132="","",IFERROR(INDEX(lst_CCtoGL,MATCH(D132,lst_CCforGL,0)),""))</f>
        <v/>
      </c>
      <c r="O132" s="27">
        <f>IF(E132="","",IF(M132="GST 10%",ROUND(E132*set_GSTRate,2),0))</f>
        <v/>
      </c>
      <c r="P132" s="27">
        <f>IF(E132="","",E132+O132)</f>
        <v/>
      </c>
      <c r="Q132" s="27">
        <f>IF(A132="","",IFERROR(INDEX(tbl_Onsite[Expected Revenue Ex GST],IFERROR(MATCH(A132&amp;"",tbl_Onsite[Job Number],0),MATCH(IFERROR(A132+0,A132),tbl_Onsite[Job Number],0))),IFERROR(INDEX(tbl_Production[Expected Revenue Ex GST],IFERROR(MATCH(A132&amp;"",tbl_Production[Job Number],0),MATCH(IFERROR(A132+0,A132),tbl_Production[Job Number],0))),IFERROR(INDEX(tbl_Consulting[Expected Revenue Ex GST],IFERROR(MATCH(A132&amp;"",tbl_Consulting[Job Number],0),MATCH(IFERROR(A132+0,A132),tbl_Consulting[Job Number],0))),0))))</f>
        <v/>
      </c>
      <c r="R132" s="27">
        <f>IF(A132="","",SUMIFS(tbl_Finance[Ex GST],tbl_Finance[Job Number],A132&amp;""))</f>
        <v/>
      </c>
      <c r="S132" s="27">
        <f>IF(A132="","",Q132-R132)</f>
        <v/>
      </c>
      <c r="T132" s="26">
        <f>IF(A132="","",IF(Q132=0,"No dept value",IF(ROUND(S132,2)=0,"Agrees",IF(S132&gt;0,"Dept higher - to invoice","Xero higher - check dept"))))</f>
        <v/>
      </c>
      <c r="U132" s="22" t="n"/>
      <c r="V132" s="22" t="n"/>
      <c r="W132" s="23" t="n"/>
      <c r="X132" s="23" t="n"/>
      <c r="Y132" s="22" t="n"/>
      <c r="Z132" s="22" t="n"/>
      <c r="AA132" s="26">
        <f>IF(COUNTA(C132,A132,B132,E132)=0,"",IF(C132="","No date - sits outside every month",IF(A132="","No job number",IF(H132="CHECK","Job number is not in the Xero job list",IF(G132="not set up yet","No department has set this job up - nothing can pull through",IF(D132="","No cost centre",IF(AND(U132="Y",B132=""),"Marked posted to Xero but has no invoice number",IF(N132="","Cost centre has no revenue GL on the Lists sheet",IF(T132="Xero higher - check dept","Invoiced more than the department says the job is worth","")))))))))</f>
        <v/>
      </c>
      <c r="AB132" s="28">
        <f>IF(A132="","",COUNTIFS(tbl_Finance[Job Number],A132&amp;"",tbl_Finance[Ex GST],"&lt;&gt;"))</f>
        <v/>
      </c>
      <c r="AC132" s="27">
        <f>IF(A132="","",SUMIFS(tbl_Finance[Ex GST],tbl_Finance[Job Number],A132&amp;""))</f>
        <v/>
      </c>
      <c r="AD132" s="27">
        <f>IF(A132="","",SUMIFS(tbl_Finance[Ex GST],tbl_Finance[Job Number],A132&amp;"",tbl_Finance[Xero Invoice No],"&lt;&gt;"))</f>
        <v/>
      </c>
      <c r="AE132" s="27">
        <f>IF(A132="","",AC132-AD132)</f>
        <v/>
      </c>
      <c r="AF132" s="26">
        <f>IF(A132="","",IFERROR(IF(INDEX(tbl_Onsite[Qwilr Quote],IFERROR(MATCH(A132&amp;"",tbl_Onsite[Job Number],0),MATCH(IFERROR(A132+0,A132),tbl_Onsite[Job Number],0)))="","",INDEX(tbl_Onsite[Qwilr Quote],IFERROR(MATCH(A132&amp;"",tbl_Onsite[Job Number],0),MATCH(IFERROR(A132+0,A132),tbl_Onsite[Job Number],0)))),IFERROR(IF(IF(INDEX(tbl_Production[Current RMS No],IFERROR(MATCH(A132&amp;"",tbl_Production[Job Number],0),MATCH(IFERROR(A132+0,A132),tbl_Production[Job Number],0)))="",INDEX(tbl_Production[Qwilr Quote],IFERROR(MATCH(A132&amp;"",tbl_Production[Job Number],0),MATCH(IFERROR(A132+0,A132),tbl_Production[Job Number],0))),INDEX(tbl_Production[Current RMS No],IFERROR(MATCH(A132&amp;"",tbl_Production[Job Number],0),MATCH(IFERROR(A132+0,A132),tbl_Production[Job Number],0))))="","",IF(INDEX(tbl_Production[Current RMS No],IFERROR(MATCH(A132&amp;"",tbl_Production[Job Number],0),MATCH(IFERROR(A132+0,A132),tbl_Production[Job Number],0)))="",INDEX(tbl_Production[Qwilr Quote],IFERROR(MATCH(A132&amp;"",tbl_Production[Job Number],0),MATCH(IFERROR(A132+0,A132),tbl_Production[Job Number],0))),INDEX(tbl_Production[Current RMS No],IFERROR(MATCH(A132&amp;"",tbl_Production[Job Number],0),MATCH(IFERROR(A132+0,A132),tbl_Production[Job Number],0))))),IFERROR(IF(INDEX(tbl_Consulting[Qwilr Quote],IFERROR(MATCH(A132&amp;"",tbl_Consulting[Job Number],0),MATCH(IFERROR(A132+0,A132),tbl_Consulting[Job Number],0)))="","",INDEX(tbl_Consulting[Qwilr Quote],IFERROR(MATCH(A132&amp;"",tbl_Consulting[Job Number],0),MATCH(IFERROR(A132+0,A132),tbl_Consulting[Job Number],0)))),""))))</f>
        <v/>
      </c>
      <c r="AG132" s="26">
        <f>IF(AF132="","",IF(AND(LEFT(AF132,4)&lt;&gt;"http",IF(G132="Production",set_RMSBase,set_QwilrBase)=""),"",HYPERLINK(IF(LEFT(AF132,4)="http",AF132,IF(G132="Production",set_RMSBase,set_QwilrBase)&amp;AF132),"Open")))</f>
        <v/>
      </c>
      <c r="AH132" s="27">
        <f>IF(A132="","",IFERROR(INDEX(tbl_Production[Total Expense],IFERROR(MATCH(A132&amp;"",tbl_Production[Job Number],0),MATCH(IFERROR(A132+0,A132),tbl_Production[Job Number],0))),IFERROR(INDEX(tbl_Consulting[Total Expense],IFERROR(MATCH(A132&amp;"",tbl_Consulting[Job Number],0),MATCH(IFERROR(A132+0,A132),tbl_Consulting[Job Number],0))),0)))</f>
        <v/>
      </c>
      <c r="AI132" s="27">
        <f>IF(A132="","",AC132-N(AH132))</f>
        <v/>
      </c>
      <c r="AJ132" s="29">
        <f>IFERROR(AI132/AC132,"")</f>
        <v/>
      </c>
      <c r="AK132" s="26">
        <f>IF(A132="","",IFERROR(IF(INDEX(tbl_Onsite[Notes],IFERROR(MATCH(A132&amp;"",tbl_Onsite[Job Number],0),MATCH(IFERROR(A132+0,A132),tbl_Onsite[Job Number],0)))="","",INDEX(tbl_Onsite[Notes],IFERROR(MATCH(A132&amp;"",tbl_Onsite[Job Number],0),MATCH(IFERROR(A132+0,A132),tbl_Onsite[Job Number],0)))),IFERROR(IF(INDEX(tbl_Production[Notes],IFERROR(MATCH(A132&amp;"",tbl_Production[Job Number],0),MATCH(IFERROR(A132+0,A132),tbl_Production[Job Number],0)))="","",INDEX(tbl_Production[Notes],IFERROR(MATCH(A132&amp;"",tbl_Production[Job Number],0),MATCH(IFERROR(A132+0,A132),tbl_Production[Job Number],0)))),IFERROR(IF(INDEX(tbl_Consulting[Notes],IFERROR(MATCH(A132&amp;"",tbl_Consulting[Job Number],0),MATCH(IFERROR(A132+0,A132),tbl_Consulting[Job Number],0)))="","",INDEX(tbl_Consulting[Notes],IFERROR(MATCH(A132&amp;"",tbl_Consulting[Job Number],0),MATCH(IFERROR(A132+0,A132),tbl_Consulting[Job Number],0)))),""))))</f>
        <v/>
      </c>
    </row>
    <row r="133" ht="15" customHeight="1">
      <c r="A133" s="22" t="n"/>
      <c r="B133" s="22" t="n"/>
      <c r="C133" s="23" t="n"/>
      <c r="D133" s="22" t="n"/>
      <c r="E133" s="24" t="n"/>
      <c r="F133" s="25">
        <f>IF(C133="","",EOMONTH(C133,0))</f>
        <v/>
      </c>
      <c r="G133" s="26">
        <f>IF(A133="","",IF(COUNTIF(tbl_Onsite[Job Number],A133&amp;"")&gt;0,"Onsite",IF(COUNTIF(tbl_Production[Job Number],A133&amp;"")&gt;0,"Production",IF(COUNTIF(tbl_Consulting[Job Number],A133&amp;"")&gt;0,"Consulting","not set up yet"))))</f>
        <v/>
      </c>
      <c r="H133" s="26">
        <f>IF(A133="","",IF(COUNTIF(lst_Jobs,A133&amp;"")&gt;0,"OK","CHECK"))</f>
        <v/>
      </c>
      <c r="I133" s="26">
        <f>IF(A133="","",IFERROR(INDEX(lst_JobName,MATCH(A133&amp;"",lst_Jobs,0)),""))</f>
        <v/>
      </c>
      <c r="J133" s="26">
        <f>IF(A133="","",IFERROR(IF(INDEX(tbl_Onsite[Client],IFERROR(MATCH(A133&amp;"",tbl_Onsite[Job Number],0),MATCH(IFERROR(A133+0,A133),tbl_Onsite[Job Number],0)))="","",INDEX(tbl_Onsite[Client],IFERROR(MATCH(A133&amp;"",tbl_Onsite[Job Number],0),MATCH(IFERROR(A133+0,A133),tbl_Onsite[Job Number],0)))),IFERROR(IF(INDEX(tbl_Production[Client],IFERROR(MATCH(A133&amp;"",tbl_Production[Job Number],0),MATCH(IFERROR(A133+0,A133),tbl_Production[Job Number],0)))="","",INDEX(tbl_Production[Client],IFERROR(MATCH(A133&amp;"",tbl_Production[Job Number],0),MATCH(IFERROR(A133+0,A133),tbl_Production[Job Number],0)))),IFERROR(IF(INDEX(tbl_Consulting[Client],IFERROR(MATCH(A133&amp;"",tbl_Consulting[Job Number],0),MATCH(IFERROR(A133+0,A133),tbl_Consulting[Job Number],0)))="","",INDEX(tbl_Consulting[Client],IFERROR(MATCH(A133&amp;"",tbl_Consulting[Job Number],0),MATCH(IFERROR(A133+0,A133),tbl_Consulting[Job Number],0)))),""))))</f>
        <v/>
      </c>
      <c r="K133" s="26">
        <f>IF(A133="","",IFERROR(IF(INDEX(tbl_Onsite[Job Description],IFERROR(MATCH(A133&amp;"",tbl_Onsite[Job Number],0),MATCH(IFERROR(A133+0,A133),tbl_Onsite[Job Number],0)))="","",INDEX(tbl_Onsite[Job Description],IFERROR(MATCH(A133&amp;"",tbl_Onsite[Job Number],0),MATCH(IFERROR(A133+0,A133),tbl_Onsite[Job Number],0)))),IFERROR(IF(INDEX(tbl_Production[Job Description],IFERROR(MATCH(A133&amp;"",tbl_Production[Job Number],0),MATCH(IFERROR(A133+0,A133),tbl_Production[Job Number],0)))="","",INDEX(tbl_Production[Job Description],IFERROR(MATCH(A133&amp;"",tbl_Production[Job Number],0),MATCH(IFERROR(A133+0,A133),tbl_Production[Job Number],0)))),IFERROR(IF(INDEX(tbl_Consulting[Job Description],IFERROR(MATCH(A133&amp;"",tbl_Consulting[Job Number],0),MATCH(IFERROR(A133+0,A133),tbl_Consulting[Job Number],0)))="","",INDEX(tbl_Consulting[Job Description],IFERROR(MATCH(A133&amp;"",tbl_Consulting[Job Number],0),MATCH(IFERROR(A133+0,A133),tbl_Consulting[Job Number],0)))),""))))</f>
        <v/>
      </c>
      <c r="L133" s="26">
        <f>IF(A133="","",IFERROR(IF(INDEX(tbl_Onsite[Invoice Type],IFERROR(MATCH(A133&amp;"",tbl_Onsite[Job Number],0),MATCH(IFERROR(A133+0,A133),tbl_Onsite[Job Number],0)))="","",INDEX(tbl_Onsite[Invoice Type],IFERROR(MATCH(A133&amp;"",tbl_Onsite[Job Number],0),MATCH(IFERROR(A133+0,A133),tbl_Onsite[Job Number],0)))),IFERROR(IF(INDEX(tbl_Production[Invoice Type],IFERROR(MATCH(A133&amp;"",tbl_Production[Job Number],0),MATCH(IFERROR(A133+0,A133),tbl_Production[Job Number],0)))="","",INDEX(tbl_Production[Invoice Type],IFERROR(MATCH(A133&amp;"",tbl_Production[Job Number],0),MATCH(IFERROR(A133+0,A133),tbl_Production[Job Number],0)))),IFERROR(IF(INDEX(tbl_Consulting[Invoice Type],IFERROR(MATCH(A133&amp;"",tbl_Consulting[Job Number],0),MATCH(IFERROR(A133+0,A133),tbl_Consulting[Job Number],0)))="","",INDEX(tbl_Consulting[Invoice Type],IFERROR(MATCH(A133&amp;"",tbl_Consulting[Job Number],0),MATCH(IFERROR(A133+0,A133),tbl_Consulting[Job Number],0)))),""))))</f>
        <v/>
      </c>
      <c r="M133" s="26">
        <f>IF(A133="","",IF(IFERROR(IF(INDEX(tbl_Onsite[Tax Code],IFERROR(MATCH(A133&amp;"",tbl_Onsite[Job Number],0),MATCH(IFERROR(A133+0,A133),tbl_Onsite[Job Number],0)))="","",INDEX(tbl_Onsite[Tax Code],IFERROR(MATCH(A133&amp;"",tbl_Onsite[Job Number],0),MATCH(IFERROR(A133+0,A133),tbl_Onsite[Job Number],0)))),IFERROR(IF(INDEX(tbl_Production[Tax Code],IFERROR(MATCH(A133&amp;"",tbl_Production[Job Number],0),MATCH(IFERROR(A133+0,A133),tbl_Production[Job Number],0)))="","",INDEX(tbl_Production[Tax Code],IFERROR(MATCH(A133&amp;"",tbl_Production[Job Number],0),MATCH(IFERROR(A133+0,A133),tbl_Production[Job Number],0)))),IFERROR(IF(INDEX(tbl_Consulting[Tax Code],IFERROR(MATCH(A133&amp;"",tbl_Consulting[Job Number],0),MATCH(IFERROR(A133+0,A133),tbl_Consulting[Job Number],0)))="","",INDEX(tbl_Consulting[Tax Code],IFERROR(MATCH(A133&amp;"",tbl_Consulting[Job Number],0),MATCH(IFERROR(A133+0,A133),tbl_Consulting[Job Number],0)))),"")))="","GST 10%",IFERROR(IF(INDEX(tbl_Onsite[Tax Code],IFERROR(MATCH(A133&amp;"",tbl_Onsite[Job Number],0),MATCH(IFERROR(A133+0,A133),tbl_Onsite[Job Number],0)))="","",INDEX(tbl_Onsite[Tax Code],IFERROR(MATCH(A133&amp;"",tbl_Onsite[Job Number],0),MATCH(IFERROR(A133+0,A133),tbl_Onsite[Job Number],0)))),IFERROR(IF(INDEX(tbl_Production[Tax Code],IFERROR(MATCH(A133&amp;"",tbl_Production[Job Number],0),MATCH(IFERROR(A133+0,A133),tbl_Production[Job Number],0)))="","",INDEX(tbl_Production[Tax Code],IFERROR(MATCH(A133&amp;"",tbl_Production[Job Number],0),MATCH(IFERROR(A133+0,A133),tbl_Production[Job Number],0)))),IFERROR(IF(INDEX(tbl_Consulting[Tax Code],IFERROR(MATCH(A133&amp;"",tbl_Consulting[Job Number],0),MATCH(IFERROR(A133+0,A133),tbl_Consulting[Job Number],0)))="","",INDEX(tbl_Consulting[Tax Code],IFERROR(MATCH(A133&amp;"",tbl_Consulting[Job Number],0),MATCH(IFERROR(A133+0,A133),tbl_Consulting[Job Number],0)))),"")))))</f>
        <v/>
      </c>
      <c r="N133" s="26">
        <f>IF(D133="","",IFERROR(INDEX(lst_CCtoGL,MATCH(D133,lst_CCforGL,0)),""))</f>
        <v/>
      </c>
      <c r="O133" s="27">
        <f>IF(E133="","",IF(M133="GST 10%",ROUND(E133*set_GSTRate,2),0))</f>
        <v/>
      </c>
      <c r="P133" s="27">
        <f>IF(E133="","",E133+O133)</f>
        <v/>
      </c>
      <c r="Q133" s="27">
        <f>IF(A133="","",IFERROR(INDEX(tbl_Onsite[Expected Revenue Ex GST],IFERROR(MATCH(A133&amp;"",tbl_Onsite[Job Number],0),MATCH(IFERROR(A133+0,A133),tbl_Onsite[Job Number],0))),IFERROR(INDEX(tbl_Production[Expected Revenue Ex GST],IFERROR(MATCH(A133&amp;"",tbl_Production[Job Number],0),MATCH(IFERROR(A133+0,A133),tbl_Production[Job Number],0))),IFERROR(INDEX(tbl_Consulting[Expected Revenue Ex GST],IFERROR(MATCH(A133&amp;"",tbl_Consulting[Job Number],0),MATCH(IFERROR(A133+0,A133),tbl_Consulting[Job Number],0))),0))))</f>
        <v/>
      </c>
      <c r="R133" s="27">
        <f>IF(A133="","",SUMIFS(tbl_Finance[Ex GST],tbl_Finance[Job Number],A133&amp;""))</f>
        <v/>
      </c>
      <c r="S133" s="27">
        <f>IF(A133="","",Q133-R133)</f>
        <v/>
      </c>
      <c r="T133" s="26">
        <f>IF(A133="","",IF(Q133=0,"No dept value",IF(ROUND(S133,2)=0,"Agrees",IF(S133&gt;0,"Dept higher - to invoice","Xero higher - check dept"))))</f>
        <v/>
      </c>
      <c r="U133" s="22" t="n"/>
      <c r="V133" s="22" t="n"/>
      <c r="W133" s="23" t="n"/>
      <c r="X133" s="23" t="n"/>
      <c r="Y133" s="22" t="n"/>
      <c r="Z133" s="22" t="n"/>
      <c r="AA133" s="26">
        <f>IF(COUNTA(C133,A133,B133,E133)=0,"",IF(C133="","No date - sits outside every month",IF(A133="","No job number",IF(H133="CHECK","Job number is not in the Xero job list",IF(G133="not set up yet","No department has set this job up - nothing can pull through",IF(D133="","No cost centre",IF(AND(U133="Y",B133=""),"Marked posted to Xero but has no invoice number",IF(N133="","Cost centre has no revenue GL on the Lists sheet",IF(T133="Xero higher - check dept","Invoiced more than the department says the job is worth","")))))))))</f>
        <v/>
      </c>
      <c r="AB133" s="28">
        <f>IF(A133="","",COUNTIFS(tbl_Finance[Job Number],A133&amp;"",tbl_Finance[Ex GST],"&lt;&gt;"))</f>
        <v/>
      </c>
      <c r="AC133" s="27">
        <f>IF(A133="","",SUMIFS(tbl_Finance[Ex GST],tbl_Finance[Job Number],A133&amp;""))</f>
        <v/>
      </c>
      <c r="AD133" s="27">
        <f>IF(A133="","",SUMIFS(tbl_Finance[Ex GST],tbl_Finance[Job Number],A133&amp;"",tbl_Finance[Xero Invoice No],"&lt;&gt;"))</f>
        <v/>
      </c>
      <c r="AE133" s="27">
        <f>IF(A133="","",AC133-AD133)</f>
        <v/>
      </c>
      <c r="AF133" s="26">
        <f>IF(A133="","",IFERROR(IF(INDEX(tbl_Onsite[Qwilr Quote],IFERROR(MATCH(A133&amp;"",tbl_Onsite[Job Number],0),MATCH(IFERROR(A133+0,A133),tbl_Onsite[Job Number],0)))="","",INDEX(tbl_Onsite[Qwilr Quote],IFERROR(MATCH(A133&amp;"",tbl_Onsite[Job Number],0),MATCH(IFERROR(A133+0,A133),tbl_Onsite[Job Number],0)))),IFERROR(IF(IF(INDEX(tbl_Production[Current RMS No],IFERROR(MATCH(A133&amp;"",tbl_Production[Job Number],0),MATCH(IFERROR(A133+0,A133),tbl_Production[Job Number],0)))="",INDEX(tbl_Production[Qwilr Quote],IFERROR(MATCH(A133&amp;"",tbl_Production[Job Number],0),MATCH(IFERROR(A133+0,A133),tbl_Production[Job Number],0))),INDEX(tbl_Production[Current RMS No],IFERROR(MATCH(A133&amp;"",tbl_Production[Job Number],0),MATCH(IFERROR(A133+0,A133),tbl_Production[Job Number],0))))="","",IF(INDEX(tbl_Production[Current RMS No],IFERROR(MATCH(A133&amp;"",tbl_Production[Job Number],0),MATCH(IFERROR(A133+0,A133),tbl_Production[Job Number],0)))="",INDEX(tbl_Production[Qwilr Quote],IFERROR(MATCH(A133&amp;"",tbl_Production[Job Number],0),MATCH(IFERROR(A133+0,A133),tbl_Production[Job Number],0))),INDEX(tbl_Production[Current RMS No],IFERROR(MATCH(A133&amp;"",tbl_Production[Job Number],0),MATCH(IFERROR(A133+0,A133),tbl_Production[Job Number],0))))),IFERROR(IF(INDEX(tbl_Consulting[Qwilr Quote],IFERROR(MATCH(A133&amp;"",tbl_Consulting[Job Number],0),MATCH(IFERROR(A133+0,A133),tbl_Consulting[Job Number],0)))="","",INDEX(tbl_Consulting[Qwilr Quote],IFERROR(MATCH(A133&amp;"",tbl_Consulting[Job Number],0),MATCH(IFERROR(A133+0,A133),tbl_Consulting[Job Number],0)))),""))))</f>
        <v/>
      </c>
      <c r="AG133" s="26">
        <f>IF(AF133="","",IF(AND(LEFT(AF133,4)&lt;&gt;"http",IF(G133="Production",set_RMSBase,set_QwilrBase)=""),"",HYPERLINK(IF(LEFT(AF133,4)="http",AF133,IF(G133="Production",set_RMSBase,set_QwilrBase)&amp;AF133),"Open")))</f>
        <v/>
      </c>
      <c r="AH133" s="27">
        <f>IF(A133="","",IFERROR(INDEX(tbl_Production[Total Expense],IFERROR(MATCH(A133&amp;"",tbl_Production[Job Number],0),MATCH(IFERROR(A133+0,A133),tbl_Production[Job Number],0))),IFERROR(INDEX(tbl_Consulting[Total Expense],IFERROR(MATCH(A133&amp;"",tbl_Consulting[Job Number],0),MATCH(IFERROR(A133+0,A133),tbl_Consulting[Job Number],0))),0)))</f>
        <v/>
      </c>
      <c r="AI133" s="27">
        <f>IF(A133="","",AC133-N(AH133))</f>
        <v/>
      </c>
      <c r="AJ133" s="29">
        <f>IFERROR(AI133/AC133,"")</f>
        <v/>
      </c>
      <c r="AK133" s="26">
        <f>IF(A133="","",IFERROR(IF(INDEX(tbl_Onsite[Notes],IFERROR(MATCH(A133&amp;"",tbl_Onsite[Job Number],0),MATCH(IFERROR(A133+0,A133),tbl_Onsite[Job Number],0)))="","",INDEX(tbl_Onsite[Notes],IFERROR(MATCH(A133&amp;"",tbl_Onsite[Job Number],0),MATCH(IFERROR(A133+0,A133),tbl_Onsite[Job Number],0)))),IFERROR(IF(INDEX(tbl_Production[Notes],IFERROR(MATCH(A133&amp;"",tbl_Production[Job Number],0),MATCH(IFERROR(A133+0,A133),tbl_Production[Job Number],0)))="","",INDEX(tbl_Production[Notes],IFERROR(MATCH(A133&amp;"",tbl_Production[Job Number],0),MATCH(IFERROR(A133+0,A133),tbl_Production[Job Number],0)))),IFERROR(IF(INDEX(tbl_Consulting[Notes],IFERROR(MATCH(A133&amp;"",tbl_Consulting[Job Number],0),MATCH(IFERROR(A133+0,A133),tbl_Consulting[Job Number],0)))="","",INDEX(tbl_Consulting[Notes],IFERROR(MATCH(A133&amp;"",tbl_Consulting[Job Number],0),MATCH(IFERROR(A133+0,A133),tbl_Consulting[Job Number],0)))),""))))</f>
        <v/>
      </c>
    </row>
    <row r="134" ht="15" customHeight="1">
      <c r="A134" s="22" t="n"/>
      <c r="B134" s="22" t="n"/>
      <c r="C134" s="23" t="n"/>
      <c r="D134" s="22" t="n"/>
      <c r="E134" s="24" t="n"/>
      <c r="F134" s="25">
        <f>IF(C134="","",EOMONTH(C134,0))</f>
        <v/>
      </c>
      <c r="G134" s="26">
        <f>IF(A134="","",IF(COUNTIF(tbl_Onsite[Job Number],A134&amp;"")&gt;0,"Onsite",IF(COUNTIF(tbl_Production[Job Number],A134&amp;"")&gt;0,"Production",IF(COUNTIF(tbl_Consulting[Job Number],A134&amp;"")&gt;0,"Consulting","not set up yet"))))</f>
        <v/>
      </c>
      <c r="H134" s="26">
        <f>IF(A134="","",IF(COUNTIF(lst_Jobs,A134&amp;"")&gt;0,"OK","CHECK"))</f>
        <v/>
      </c>
      <c r="I134" s="26">
        <f>IF(A134="","",IFERROR(INDEX(lst_JobName,MATCH(A134&amp;"",lst_Jobs,0)),""))</f>
        <v/>
      </c>
      <c r="J134" s="26">
        <f>IF(A134="","",IFERROR(IF(INDEX(tbl_Onsite[Client],IFERROR(MATCH(A134&amp;"",tbl_Onsite[Job Number],0),MATCH(IFERROR(A134+0,A134),tbl_Onsite[Job Number],0)))="","",INDEX(tbl_Onsite[Client],IFERROR(MATCH(A134&amp;"",tbl_Onsite[Job Number],0),MATCH(IFERROR(A134+0,A134),tbl_Onsite[Job Number],0)))),IFERROR(IF(INDEX(tbl_Production[Client],IFERROR(MATCH(A134&amp;"",tbl_Production[Job Number],0),MATCH(IFERROR(A134+0,A134),tbl_Production[Job Number],0)))="","",INDEX(tbl_Production[Client],IFERROR(MATCH(A134&amp;"",tbl_Production[Job Number],0),MATCH(IFERROR(A134+0,A134),tbl_Production[Job Number],0)))),IFERROR(IF(INDEX(tbl_Consulting[Client],IFERROR(MATCH(A134&amp;"",tbl_Consulting[Job Number],0),MATCH(IFERROR(A134+0,A134),tbl_Consulting[Job Number],0)))="","",INDEX(tbl_Consulting[Client],IFERROR(MATCH(A134&amp;"",tbl_Consulting[Job Number],0),MATCH(IFERROR(A134+0,A134),tbl_Consulting[Job Number],0)))),""))))</f>
        <v/>
      </c>
      <c r="K134" s="26">
        <f>IF(A134="","",IFERROR(IF(INDEX(tbl_Onsite[Job Description],IFERROR(MATCH(A134&amp;"",tbl_Onsite[Job Number],0),MATCH(IFERROR(A134+0,A134),tbl_Onsite[Job Number],0)))="","",INDEX(tbl_Onsite[Job Description],IFERROR(MATCH(A134&amp;"",tbl_Onsite[Job Number],0),MATCH(IFERROR(A134+0,A134),tbl_Onsite[Job Number],0)))),IFERROR(IF(INDEX(tbl_Production[Job Description],IFERROR(MATCH(A134&amp;"",tbl_Production[Job Number],0),MATCH(IFERROR(A134+0,A134),tbl_Production[Job Number],0)))="","",INDEX(tbl_Production[Job Description],IFERROR(MATCH(A134&amp;"",tbl_Production[Job Number],0),MATCH(IFERROR(A134+0,A134),tbl_Production[Job Number],0)))),IFERROR(IF(INDEX(tbl_Consulting[Job Description],IFERROR(MATCH(A134&amp;"",tbl_Consulting[Job Number],0),MATCH(IFERROR(A134+0,A134),tbl_Consulting[Job Number],0)))="","",INDEX(tbl_Consulting[Job Description],IFERROR(MATCH(A134&amp;"",tbl_Consulting[Job Number],0),MATCH(IFERROR(A134+0,A134),tbl_Consulting[Job Number],0)))),""))))</f>
        <v/>
      </c>
      <c r="L134" s="26">
        <f>IF(A134="","",IFERROR(IF(INDEX(tbl_Onsite[Invoice Type],IFERROR(MATCH(A134&amp;"",tbl_Onsite[Job Number],0),MATCH(IFERROR(A134+0,A134),tbl_Onsite[Job Number],0)))="","",INDEX(tbl_Onsite[Invoice Type],IFERROR(MATCH(A134&amp;"",tbl_Onsite[Job Number],0),MATCH(IFERROR(A134+0,A134),tbl_Onsite[Job Number],0)))),IFERROR(IF(INDEX(tbl_Production[Invoice Type],IFERROR(MATCH(A134&amp;"",tbl_Production[Job Number],0),MATCH(IFERROR(A134+0,A134),tbl_Production[Job Number],0)))="","",INDEX(tbl_Production[Invoice Type],IFERROR(MATCH(A134&amp;"",tbl_Production[Job Number],0),MATCH(IFERROR(A134+0,A134),tbl_Production[Job Number],0)))),IFERROR(IF(INDEX(tbl_Consulting[Invoice Type],IFERROR(MATCH(A134&amp;"",tbl_Consulting[Job Number],0),MATCH(IFERROR(A134+0,A134),tbl_Consulting[Job Number],0)))="","",INDEX(tbl_Consulting[Invoice Type],IFERROR(MATCH(A134&amp;"",tbl_Consulting[Job Number],0),MATCH(IFERROR(A134+0,A134),tbl_Consulting[Job Number],0)))),""))))</f>
        <v/>
      </c>
      <c r="M134" s="26">
        <f>IF(A134="","",IF(IFERROR(IF(INDEX(tbl_Onsite[Tax Code],IFERROR(MATCH(A134&amp;"",tbl_Onsite[Job Number],0),MATCH(IFERROR(A134+0,A134),tbl_Onsite[Job Number],0)))="","",INDEX(tbl_Onsite[Tax Code],IFERROR(MATCH(A134&amp;"",tbl_Onsite[Job Number],0),MATCH(IFERROR(A134+0,A134),tbl_Onsite[Job Number],0)))),IFERROR(IF(INDEX(tbl_Production[Tax Code],IFERROR(MATCH(A134&amp;"",tbl_Production[Job Number],0),MATCH(IFERROR(A134+0,A134),tbl_Production[Job Number],0)))="","",INDEX(tbl_Production[Tax Code],IFERROR(MATCH(A134&amp;"",tbl_Production[Job Number],0),MATCH(IFERROR(A134+0,A134),tbl_Production[Job Number],0)))),IFERROR(IF(INDEX(tbl_Consulting[Tax Code],IFERROR(MATCH(A134&amp;"",tbl_Consulting[Job Number],0),MATCH(IFERROR(A134+0,A134),tbl_Consulting[Job Number],0)))="","",INDEX(tbl_Consulting[Tax Code],IFERROR(MATCH(A134&amp;"",tbl_Consulting[Job Number],0),MATCH(IFERROR(A134+0,A134),tbl_Consulting[Job Number],0)))),"")))="","GST 10%",IFERROR(IF(INDEX(tbl_Onsite[Tax Code],IFERROR(MATCH(A134&amp;"",tbl_Onsite[Job Number],0),MATCH(IFERROR(A134+0,A134),tbl_Onsite[Job Number],0)))="","",INDEX(tbl_Onsite[Tax Code],IFERROR(MATCH(A134&amp;"",tbl_Onsite[Job Number],0),MATCH(IFERROR(A134+0,A134),tbl_Onsite[Job Number],0)))),IFERROR(IF(INDEX(tbl_Production[Tax Code],IFERROR(MATCH(A134&amp;"",tbl_Production[Job Number],0),MATCH(IFERROR(A134+0,A134),tbl_Production[Job Number],0)))="","",INDEX(tbl_Production[Tax Code],IFERROR(MATCH(A134&amp;"",tbl_Production[Job Number],0),MATCH(IFERROR(A134+0,A134),tbl_Production[Job Number],0)))),IFERROR(IF(INDEX(tbl_Consulting[Tax Code],IFERROR(MATCH(A134&amp;"",tbl_Consulting[Job Number],0),MATCH(IFERROR(A134+0,A134),tbl_Consulting[Job Number],0)))="","",INDEX(tbl_Consulting[Tax Code],IFERROR(MATCH(A134&amp;"",tbl_Consulting[Job Number],0),MATCH(IFERROR(A134+0,A134),tbl_Consulting[Job Number],0)))),"")))))</f>
        <v/>
      </c>
      <c r="N134" s="26">
        <f>IF(D134="","",IFERROR(INDEX(lst_CCtoGL,MATCH(D134,lst_CCforGL,0)),""))</f>
        <v/>
      </c>
      <c r="O134" s="27">
        <f>IF(E134="","",IF(M134="GST 10%",ROUND(E134*set_GSTRate,2),0))</f>
        <v/>
      </c>
      <c r="P134" s="27">
        <f>IF(E134="","",E134+O134)</f>
        <v/>
      </c>
      <c r="Q134" s="27">
        <f>IF(A134="","",IFERROR(INDEX(tbl_Onsite[Expected Revenue Ex GST],IFERROR(MATCH(A134&amp;"",tbl_Onsite[Job Number],0),MATCH(IFERROR(A134+0,A134),tbl_Onsite[Job Number],0))),IFERROR(INDEX(tbl_Production[Expected Revenue Ex GST],IFERROR(MATCH(A134&amp;"",tbl_Production[Job Number],0),MATCH(IFERROR(A134+0,A134),tbl_Production[Job Number],0))),IFERROR(INDEX(tbl_Consulting[Expected Revenue Ex GST],IFERROR(MATCH(A134&amp;"",tbl_Consulting[Job Number],0),MATCH(IFERROR(A134+0,A134),tbl_Consulting[Job Number],0))),0))))</f>
        <v/>
      </c>
      <c r="R134" s="27">
        <f>IF(A134="","",SUMIFS(tbl_Finance[Ex GST],tbl_Finance[Job Number],A134&amp;""))</f>
        <v/>
      </c>
      <c r="S134" s="27">
        <f>IF(A134="","",Q134-R134)</f>
        <v/>
      </c>
      <c r="T134" s="26">
        <f>IF(A134="","",IF(Q134=0,"No dept value",IF(ROUND(S134,2)=0,"Agrees",IF(S134&gt;0,"Dept higher - to invoice","Xero higher - check dept"))))</f>
        <v/>
      </c>
      <c r="U134" s="22" t="n"/>
      <c r="V134" s="22" t="n"/>
      <c r="W134" s="23" t="n"/>
      <c r="X134" s="23" t="n"/>
      <c r="Y134" s="22" t="n"/>
      <c r="Z134" s="22" t="n"/>
      <c r="AA134" s="26">
        <f>IF(COUNTA(C134,A134,B134,E134)=0,"",IF(C134="","No date - sits outside every month",IF(A134="","No job number",IF(H134="CHECK","Job number is not in the Xero job list",IF(G134="not set up yet","No department has set this job up - nothing can pull through",IF(D134="","No cost centre",IF(AND(U134="Y",B134=""),"Marked posted to Xero but has no invoice number",IF(N134="","Cost centre has no revenue GL on the Lists sheet",IF(T134="Xero higher - check dept","Invoiced more than the department says the job is worth","")))))))))</f>
        <v/>
      </c>
      <c r="AB134" s="28">
        <f>IF(A134="","",COUNTIFS(tbl_Finance[Job Number],A134&amp;"",tbl_Finance[Ex GST],"&lt;&gt;"))</f>
        <v/>
      </c>
      <c r="AC134" s="27">
        <f>IF(A134="","",SUMIFS(tbl_Finance[Ex GST],tbl_Finance[Job Number],A134&amp;""))</f>
        <v/>
      </c>
      <c r="AD134" s="27">
        <f>IF(A134="","",SUMIFS(tbl_Finance[Ex GST],tbl_Finance[Job Number],A134&amp;"",tbl_Finance[Xero Invoice No],"&lt;&gt;"))</f>
        <v/>
      </c>
      <c r="AE134" s="27">
        <f>IF(A134="","",AC134-AD134)</f>
        <v/>
      </c>
      <c r="AF134" s="26">
        <f>IF(A134="","",IFERROR(IF(INDEX(tbl_Onsite[Qwilr Quote],IFERROR(MATCH(A134&amp;"",tbl_Onsite[Job Number],0),MATCH(IFERROR(A134+0,A134),tbl_Onsite[Job Number],0)))="","",INDEX(tbl_Onsite[Qwilr Quote],IFERROR(MATCH(A134&amp;"",tbl_Onsite[Job Number],0),MATCH(IFERROR(A134+0,A134),tbl_Onsite[Job Number],0)))),IFERROR(IF(IF(INDEX(tbl_Production[Current RMS No],IFERROR(MATCH(A134&amp;"",tbl_Production[Job Number],0),MATCH(IFERROR(A134+0,A134),tbl_Production[Job Number],0)))="",INDEX(tbl_Production[Qwilr Quote],IFERROR(MATCH(A134&amp;"",tbl_Production[Job Number],0),MATCH(IFERROR(A134+0,A134),tbl_Production[Job Number],0))),INDEX(tbl_Production[Current RMS No],IFERROR(MATCH(A134&amp;"",tbl_Production[Job Number],0),MATCH(IFERROR(A134+0,A134),tbl_Production[Job Number],0))))="","",IF(INDEX(tbl_Production[Current RMS No],IFERROR(MATCH(A134&amp;"",tbl_Production[Job Number],0),MATCH(IFERROR(A134+0,A134),tbl_Production[Job Number],0)))="",INDEX(tbl_Production[Qwilr Quote],IFERROR(MATCH(A134&amp;"",tbl_Production[Job Number],0),MATCH(IFERROR(A134+0,A134),tbl_Production[Job Number],0))),INDEX(tbl_Production[Current RMS No],IFERROR(MATCH(A134&amp;"",tbl_Production[Job Number],0),MATCH(IFERROR(A134+0,A134),tbl_Production[Job Number],0))))),IFERROR(IF(INDEX(tbl_Consulting[Qwilr Quote],IFERROR(MATCH(A134&amp;"",tbl_Consulting[Job Number],0),MATCH(IFERROR(A134+0,A134),tbl_Consulting[Job Number],0)))="","",INDEX(tbl_Consulting[Qwilr Quote],IFERROR(MATCH(A134&amp;"",tbl_Consulting[Job Number],0),MATCH(IFERROR(A134+0,A134),tbl_Consulting[Job Number],0)))),""))))</f>
        <v/>
      </c>
      <c r="AG134" s="26">
        <f>IF(AF134="","",IF(AND(LEFT(AF134,4)&lt;&gt;"http",IF(G134="Production",set_RMSBase,set_QwilrBase)=""),"",HYPERLINK(IF(LEFT(AF134,4)="http",AF134,IF(G134="Production",set_RMSBase,set_QwilrBase)&amp;AF134),"Open")))</f>
        <v/>
      </c>
      <c r="AH134" s="27">
        <f>IF(A134="","",IFERROR(INDEX(tbl_Production[Total Expense],IFERROR(MATCH(A134&amp;"",tbl_Production[Job Number],0),MATCH(IFERROR(A134+0,A134),tbl_Production[Job Number],0))),IFERROR(INDEX(tbl_Consulting[Total Expense],IFERROR(MATCH(A134&amp;"",tbl_Consulting[Job Number],0),MATCH(IFERROR(A134+0,A134),tbl_Consulting[Job Number],0))),0)))</f>
        <v/>
      </c>
      <c r="AI134" s="27">
        <f>IF(A134="","",AC134-N(AH134))</f>
        <v/>
      </c>
      <c r="AJ134" s="29">
        <f>IFERROR(AI134/AC134,"")</f>
        <v/>
      </c>
      <c r="AK134" s="26">
        <f>IF(A134="","",IFERROR(IF(INDEX(tbl_Onsite[Notes],IFERROR(MATCH(A134&amp;"",tbl_Onsite[Job Number],0),MATCH(IFERROR(A134+0,A134),tbl_Onsite[Job Number],0)))="","",INDEX(tbl_Onsite[Notes],IFERROR(MATCH(A134&amp;"",tbl_Onsite[Job Number],0),MATCH(IFERROR(A134+0,A134),tbl_Onsite[Job Number],0)))),IFERROR(IF(INDEX(tbl_Production[Notes],IFERROR(MATCH(A134&amp;"",tbl_Production[Job Number],0),MATCH(IFERROR(A134+0,A134),tbl_Production[Job Number],0)))="","",INDEX(tbl_Production[Notes],IFERROR(MATCH(A134&amp;"",tbl_Production[Job Number],0),MATCH(IFERROR(A134+0,A134),tbl_Production[Job Number],0)))),IFERROR(IF(INDEX(tbl_Consulting[Notes],IFERROR(MATCH(A134&amp;"",tbl_Consulting[Job Number],0),MATCH(IFERROR(A134+0,A134),tbl_Consulting[Job Number],0)))="","",INDEX(tbl_Consulting[Notes],IFERROR(MATCH(A134&amp;"",tbl_Consulting[Job Number],0),MATCH(IFERROR(A134+0,A134),tbl_Consulting[Job Number],0)))),""))))</f>
        <v/>
      </c>
    </row>
    <row r="135" ht="15" customHeight="1">
      <c r="A135" s="22" t="n"/>
      <c r="B135" s="22" t="n"/>
      <c r="C135" s="23" t="n"/>
      <c r="D135" s="22" t="n"/>
      <c r="E135" s="24" t="n"/>
      <c r="F135" s="25">
        <f>IF(C135="","",EOMONTH(C135,0))</f>
        <v/>
      </c>
      <c r="G135" s="26">
        <f>IF(A135="","",IF(COUNTIF(tbl_Onsite[Job Number],A135&amp;"")&gt;0,"Onsite",IF(COUNTIF(tbl_Production[Job Number],A135&amp;"")&gt;0,"Production",IF(COUNTIF(tbl_Consulting[Job Number],A135&amp;"")&gt;0,"Consulting","not set up yet"))))</f>
        <v/>
      </c>
      <c r="H135" s="26">
        <f>IF(A135="","",IF(COUNTIF(lst_Jobs,A135&amp;"")&gt;0,"OK","CHECK"))</f>
        <v/>
      </c>
      <c r="I135" s="26">
        <f>IF(A135="","",IFERROR(INDEX(lst_JobName,MATCH(A135&amp;"",lst_Jobs,0)),""))</f>
        <v/>
      </c>
      <c r="J135" s="26">
        <f>IF(A135="","",IFERROR(IF(INDEX(tbl_Onsite[Client],IFERROR(MATCH(A135&amp;"",tbl_Onsite[Job Number],0),MATCH(IFERROR(A135+0,A135),tbl_Onsite[Job Number],0)))="","",INDEX(tbl_Onsite[Client],IFERROR(MATCH(A135&amp;"",tbl_Onsite[Job Number],0),MATCH(IFERROR(A135+0,A135),tbl_Onsite[Job Number],0)))),IFERROR(IF(INDEX(tbl_Production[Client],IFERROR(MATCH(A135&amp;"",tbl_Production[Job Number],0),MATCH(IFERROR(A135+0,A135),tbl_Production[Job Number],0)))="","",INDEX(tbl_Production[Client],IFERROR(MATCH(A135&amp;"",tbl_Production[Job Number],0),MATCH(IFERROR(A135+0,A135),tbl_Production[Job Number],0)))),IFERROR(IF(INDEX(tbl_Consulting[Client],IFERROR(MATCH(A135&amp;"",tbl_Consulting[Job Number],0),MATCH(IFERROR(A135+0,A135),tbl_Consulting[Job Number],0)))="","",INDEX(tbl_Consulting[Client],IFERROR(MATCH(A135&amp;"",tbl_Consulting[Job Number],0),MATCH(IFERROR(A135+0,A135),tbl_Consulting[Job Number],0)))),""))))</f>
        <v/>
      </c>
      <c r="K135" s="26">
        <f>IF(A135="","",IFERROR(IF(INDEX(tbl_Onsite[Job Description],IFERROR(MATCH(A135&amp;"",tbl_Onsite[Job Number],0),MATCH(IFERROR(A135+0,A135),tbl_Onsite[Job Number],0)))="","",INDEX(tbl_Onsite[Job Description],IFERROR(MATCH(A135&amp;"",tbl_Onsite[Job Number],0),MATCH(IFERROR(A135+0,A135),tbl_Onsite[Job Number],0)))),IFERROR(IF(INDEX(tbl_Production[Job Description],IFERROR(MATCH(A135&amp;"",tbl_Production[Job Number],0),MATCH(IFERROR(A135+0,A135),tbl_Production[Job Number],0)))="","",INDEX(tbl_Production[Job Description],IFERROR(MATCH(A135&amp;"",tbl_Production[Job Number],0),MATCH(IFERROR(A135+0,A135),tbl_Production[Job Number],0)))),IFERROR(IF(INDEX(tbl_Consulting[Job Description],IFERROR(MATCH(A135&amp;"",tbl_Consulting[Job Number],0),MATCH(IFERROR(A135+0,A135),tbl_Consulting[Job Number],0)))="","",INDEX(tbl_Consulting[Job Description],IFERROR(MATCH(A135&amp;"",tbl_Consulting[Job Number],0),MATCH(IFERROR(A135+0,A135),tbl_Consulting[Job Number],0)))),""))))</f>
        <v/>
      </c>
      <c r="L135" s="26">
        <f>IF(A135="","",IFERROR(IF(INDEX(tbl_Onsite[Invoice Type],IFERROR(MATCH(A135&amp;"",tbl_Onsite[Job Number],0),MATCH(IFERROR(A135+0,A135),tbl_Onsite[Job Number],0)))="","",INDEX(tbl_Onsite[Invoice Type],IFERROR(MATCH(A135&amp;"",tbl_Onsite[Job Number],0),MATCH(IFERROR(A135+0,A135),tbl_Onsite[Job Number],0)))),IFERROR(IF(INDEX(tbl_Production[Invoice Type],IFERROR(MATCH(A135&amp;"",tbl_Production[Job Number],0),MATCH(IFERROR(A135+0,A135),tbl_Production[Job Number],0)))="","",INDEX(tbl_Production[Invoice Type],IFERROR(MATCH(A135&amp;"",tbl_Production[Job Number],0),MATCH(IFERROR(A135+0,A135),tbl_Production[Job Number],0)))),IFERROR(IF(INDEX(tbl_Consulting[Invoice Type],IFERROR(MATCH(A135&amp;"",tbl_Consulting[Job Number],0),MATCH(IFERROR(A135+0,A135),tbl_Consulting[Job Number],0)))="","",INDEX(tbl_Consulting[Invoice Type],IFERROR(MATCH(A135&amp;"",tbl_Consulting[Job Number],0),MATCH(IFERROR(A135+0,A135),tbl_Consulting[Job Number],0)))),""))))</f>
        <v/>
      </c>
      <c r="M135" s="26">
        <f>IF(A135="","",IF(IFERROR(IF(INDEX(tbl_Onsite[Tax Code],IFERROR(MATCH(A135&amp;"",tbl_Onsite[Job Number],0),MATCH(IFERROR(A135+0,A135),tbl_Onsite[Job Number],0)))="","",INDEX(tbl_Onsite[Tax Code],IFERROR(MATCH(A135&amp;"",tbl_Onsite[Job Number],0),MATCH(IFERROR(A135+0,A135),tbl_Onsite[Job Number],0)))),IFERROR(IF(INDEX(tbl_Production[Tax Code],IFERROR(MATCH(A135&amp;"",tbl_Production[Job Number],0),MATCH(IFERROR(A135+0,A135),tbl_Production[Job Number],0)))="","",INDEX(tbl_Production[Tax Code],IFERROR(MATCH(A135&amp;"",tbl_Production[Job Number],0),MATCH(IFERROR(A135+0,A135),tbl_Production[Job Number],0)))),IFERROR(IF(INDEX(tbl_Consulting[Tax Code],IFERROR(MATCH(A135&amp;"",tbl_Consulting[Job Number],0),MATCH(IFERROR(A135+0,A135),tbl_Consulting[Job Number],0)))="","",INDEX(tbl_Consulting[Tax Code],IFERROR(MATCH(A135&amp;"",tbl_Consulting[Job Number],0),MATCH(IFERROR(A135+0,A135),tbl_Consulting[Job Number],0)))),"")))="","GST 10%",IFERROR(IF(INDEX(tbl_Onsite[Tax Code],IFERROR(MATCH(A135&amp;"",tbl_Onsite[Job Number],0),MATCH(IFERROR(A135+0,A135),tbl_Onsite[Job Number],0)))="","",INDEX(tbl_Onsite[Tax Code],IFERROR(MATCH(A135&amp;"",tbl_Onsite[Job Number],0),MATCH(IFERROR(A135+0,A135),tbl_Onsite[Job Number],0)))),IFERROR(IF(INDEX(tbl_Production[Tax Code],IFERROR(MATCH(A135&amp;"",tbl_Production[Job Number],0),MATCH(IFERROR(A135+0,A135),tbl_Production[Job Number],0)))="","",INDEX(tbl_Production[Tax Code],IFERROR(MATCH(A135&amp;"",tbl_Production[Job Number],0),MATCH(IFERROR(A135+0,A135),tbl_Production[Job Number],0)))),IFERROR(IF(INDEX(tbl_Consulting[Tax Code],IFERROR(MATCH(A135&amp;"",tbl_Consulting[Job Number],0),MATCH(IFERROR(A135+0,A135),tbl_Consulting[Job Number],0)))="","",INDEX(tbl_Consulting[Tax Code],IFERROR(MATCH(A135&amp;"",tbl_Consulting[Job Number],0),MATCH(IFERROR(A135+0,A135),tbl_Consulting[Job Number],0)))),"")))))</f>
        <v/>
      </c>
      <c r="N135" s="26">
        <f>IF(D135="","",IFERROR(INDEX(lst_CCtoGL,MATCH(D135,lst_CCforGL,0)),""))</f>
        <v/>
      </c>
      <c r="O135" s="27">
        <f>IF(E135="","",IF(M135="GST 10%",ROUND(E135*set_GSTRate,2),0))</f>
        <v/>
      </c>
      <c r="P135" s="27">
        <f>IF(E135="","",E135+O135)</f>
        <v/>
      </c>
      <c r="Q135" s="27">
        <f>IF(A135="","",IFERROR(INDEX(tbl_Onsite[Expected Revenue Ex GST],IFERROR(MATCH(A135&amp;"",tbl_Onsite[Job Number],0),MATCH(IFERROR(A135+0,A135),tbl_Onsite[Job Number],0))),IFERROR(INDEX(tbl_Production[Expected Revenue Ex GST],IFERROR(MATCH(A135&amp;"",tbl_Production[Job Number],0),MATCH(IFERROR(A135+0,A135),tbl_Production[Job Number],0))),IFERROR(INDEX(tbl_Consulting[Expected Revenue Ex GST],IFERROR(MATCH(A135&amp;"",tbl_Consulting[Job Number],0),MATCH(IFERROR(A135+0,A135),tbl_Consulting[Job Number],0))),0))))</f>
        <v/>
      </c>
      <c r="R135" s="27">
        <f>IF(A135="","",SUMIFS(tbl_Finance[Ex GST],tbl_Finance[Job Number],A135&amp;""))</f>
        <v/>
      </c>
      <c r="S135" s="27">
        <f>IF(A135="","",Q135-R135)</f>
        <v/>
      </c>
      <c r="T135" s="26">
        <f>IF(A135="","",IF(Q135=0,"No dept value",IF(ROUND(S135,2)=0,"Agrees",IF(S135&gt;0,"Dept higher - to invoice","Xero higher - check dept"))))</f>
        <v/>
      </c>
      <c r="U135" s="22" t="n"/>
      <c r="V135" s="22" t="n"/>
      <c r="W135" s="23" t="n"/>
      <c r="X135" s="23" t="n"/>
      <c r="Y135" s="22" t="n"/>
      <c r="Z135" s="22" t="n"/>
      <c r="AA135" s="26">
        <f>IF(COUNTA(C135,A135,B135,E135)=0,"",IF(C135="","No date - sits outside every month",IF(A135="","No job number",IF(H135="CHECK","Job number is not in the Xero job list",IF(G135="not set up yet","No department has set this job up - nothing can pull through",IF(D135="","No cost centre",IF(AND(U135="Y",B135=""),"Marked posted to Xero but has no invoice number",IF(N135="","Cost centre has no revenue GL on the Lists sheet",IF(T135="Xero higher - check dept","Invoiced more than the department says the job is worth","")))))))))</f>
        <v/>
      </c>
      <c r="AB135" s="28">
        <f>IF(A135="","",COUNTIFS(tbl_Finance[Job Number],A135&amp;"",tbl_Finance[Ex GST],"&lt;&gt;"))</f>
        <v/>
      </c>
      <c r="AC135" s="27">
        <f>IF(A135="","",SUMIFS(tbl_Finance[Ex GST],tbl_Finance[Job Number],A135&amp;""))</f>
        <v/>
      </c>
      <c r="AD135" s="27">
        <f>IF(A135="","",SUMIFS(tbl_Finance[Ex GST],tbl_Finance[Job Number],A135&amp;"",tbl_Finance[Xero Invoice No],"&lt;&gt;"))</f>
        <v/>
      </c>
      <c r="AE135" s="27">
        <f>IF(A135="","",AC135-AD135)</f>
        <v/>
      </c>
      <c r="AF135" s="26">
        <f>IF(A135="","",IFERROR(IF(INDEX(tbl_Onsite[Qwilr Quote],IFERROR(MATCH(A135&amp;"",tbl_Onsite[Job Number],0),MATCH(IFERROR(A135+0,A135),tbl_Onsite[Job Number],0)))="","",INDEX(tbl_Onsite[Qwilr Quote],IFERROR(MATCH(A135&amp;"",tbl_Onsite[Job Number],0),MATCH(IFERROR(A135+0,A135),tbl_Onsite[Job Number],0)))),IFERROR(IF(IF(INDEX(tbl_Production[Current RMS No],IFERROR(MATCH(A135&amp;"",tbl_Production[Job Number],0),MATCH(IFERROR(A135+0,A135),tbl_Production[Job Number],0)))="",INDEX(tbl_Production[Qwilr Quote],IFERROR(MATCH(A135&amp;"",tbl_Production[Job Number],0),MATCH(IFERROR(A135+0,A135),tbl_Production[Job Number],0))),INDEX(tbl_Production[Current RMS No],IFERROR(MATCH(A135&amp;"",tbl_Production[Job Number],0),MATCH(IFERROR(A135+0,A135),tbl_Production[Job Number],0))))="","",IF(INDEX(tbl_Production[Current RMS No],IFERROR(MATCH(A135&amp;"",tbl_Production[Job Number],0),MATCH(IFERROR(A135+0,A135),tbl_Production[Job Number],0)))="",INDEX(tbl_Production[Qwilr Quote],IFERROR(MATCH(A135&amp;"",tbl_Production[Job Number],0),MATCH(IFERROR(A135+0,A135),tbl_Production[Job Number],0))),INDEX(tbl_Production[Current RMS No],IFERROR(MATCH(A135&amp;"",tbl_Production[Job Number],0),MATCH(IFERROR(A135+0,A135),tbl_Production[Job Number],0))))),IFERROR(IF(INDEX(tbl_Consulting[Qwilr Quote],IFERROR(MATCH(A135&amp;"",tbl_Consulting[Job Number],0),MATCH(IFERROR(A135+0,A135),tbl_Consulting[Job Number],0)))="","",INDEX(tbl_Consulting[Qwilr Quote],IFERROR(MATCH(A135&amp;"",tbl_Consulting[Job Number],0),MATCH(IFERROR(A135+0,A135),tbl_Consulting[Job Number],0)))),""))))</f>
        <v/>
      </c>
      <c r="AG135" s="26">
        <f>IF(AF135="","",IF(AND(LEFT(AF135,4)&lt;&gt;"http",IF(G135="Production",set_RMSBase,set_QwilrBase)=""),"",HYPERLINK(IF(LEFT(AF135,4)="http",AF135,IF(G135="Production",set_RMSBase,set_QwilrBase)&amp;AF135),"Open")))</f>
        <v/>
      </c>
      <c r="AH135" s="27">
        <f>IF(A135="","",IFERROR(INDEX(tbl_Production[Total Expense],IFERROR(MATCH(A135&amp;"",tbl_Production[Job Number],0),MATCH(IFERROR(A135+0,A135),tbl_Production[Job Number],0))),IFERROR(INDEX(tbl_Consulting[Total Expense],IFERROR(MATCH(A135&amp;"",tbl_Consulting[Job Number],0),MATCH(IFERROR(A135+0,A135),tbl_Consulting[Job Number],0))),0)))</f>
        <v/>
      </c>
      <c r="AI135" s="27">
        <f>IF(A135="","",AC135-N(AH135))</f>
        <v/>
      </c>
      <c r="AJ135" s="29">
        <f>IFERROR(AI135/AC135,"")</f>
        <v/>
      </c>
      <c r="AK135" s="26">
        <f>IF(A135="","",IFERROR(IF(INDEX(tbl_Onsite[Notes],IFERROR(MATCH(A135&amp;"",tbl_Onsite[Job Number],0),MATCH(IFERROR(A135+0,A135),tbl_Onsite[Job Number],0)))="","",INDEX(tbl_Onsite[Notes],IFERROR(MATCH(A135&amp;"",tbl_Onsite[Job Number],0),MATCH(IFERROR(A135+0,A135),tbl_Onsite[Job Number],0)))),IFERROR(IF(INDEX(tbl_Production[Notes],IFERROR(MATCH(A135&amp;"",tbl_Production[Job Number],0),MATCH(IFERROR(A135+0,A135),tbl_Production[Job Number],0)))="","",INDEX(tbl_Production[Notes],IFERROR(MATCH(A135&amp;"",tbl_Production[Job Number],0),MATCH(IFERROR(A135+0,A135),tbl_Production[Job Number],0)))),IFERROR(IF(INDEX(tbl_Consulting[Notes],IFERROR(MATCH(A135&amp;"",tbl_Consulting[Job Number],0),MATCH(IFERROR(A135+0,A135),tbl_Consulting[Job Number],0)))="","",INDEX(tbl_Consulting[Notes],IFERROR(MATCH(A135&amp;"",tbl_Consulting[Job Number],0),MATCH(IFERROR(A135+0,A135),tbl_Consulting[Job Number],0)))),""))))</f>
        <v/>
      </c>
    </row>
    <row r="136" ht="15" customHeight="1">
      <c r="A136" s="22" t="n"/>
      <c r="B136" s="22" t="n"/>
      <c r="C136" s="23" t="n"/>
      <c r="D136" s="22" t="n"/>
      <c r="E136" s="24" t="n"/>
      <c r="F136" s="25">
        <f>IF(C136="","",EOMONTH(C136,0))</f>
        <v/>
      </c>
      <c r="G136" s="26">
        <f>IF(A136="","",IF(COUNTIF(tbl_Onsite[Job Number],A136&amp;"")&gt;0,"Onsite",IF(COUNTIF(tbl_Production[Job Number],A136&amp;"")&gt;0,"Production",IF(COUNTIF(tbl_Consulting[Job Number],A136&amp;"")&gt;0,"Consulting","not set up yet"))))</f>
        <v/>
      </c>
      <c r="H136" s="26">
        <f>IF(A136="","",IF(COUNTIF(lst_Jobs,A136&amp;"")&gt;0,"OK","CHECK"))</f>
        <v/>
      </c>
      <c r="I136" s="26">
        <f>IF(A136="","",IFERROR(INDEX(lst_JobName,MATCH(A136&amp;"",lst_Jobs,0)),""))</f>
        <v/>
      </c>
      <c r="J136" s="26">
        <f>IF(A136="","",IFERROR(IF(INDEX(tbl_Onsite[Client],IFERROR(MATCH(A136&amp;"",tbl_Onsite[Job Number],0),MATCH(IFERROR(A136+0,A136),tbl_Onsite[Job Number],0)))="","",INDEX(tbl_Onsite[Client],IFERROR(MATCH(A136&amp;"",tbl_Onsite[Job Number],0),MATCH(IFERROR(A136+0,A136),tbl_Onsite[Job Number],0)))),IFERROR(IF(INDEX(tbl_Production[Client],IFERROR(MATCH(A136&amp;"",tbl_Production[Job Number],0),MATCH(IFERROR(A136+0,A136),tbl_Production[Job Number],0)))="","",INDEX(tbl_Production[Client],IFERROR(MATCH(A136&amp;"",tbl_Production[Job Number],0),MATCH(IFERROR(A136+0,A136),tbl_Production[Job Number],0)))),IFERROR(IF(INDEX(tbl_Consulting[Client],IFERROR(MATCH(A136&amp;"",tbl_Consulting[Job Number],0),MATCH(IFERROR(A136+0,A136),tbl_Consulting[Job Number],0)))="","",INDEX(tbl_Consulting[Client],IFERROR(MATCH(A136&amp;"",tbl_Consulting[Job Number],0),MATCH(IFERROR(A136+0,A136),tbl_Consulting[Job Number],0)))),""))))</f>
        <v/>
      </c>
      <c r="K136" s="26">
        <f>IF(A136="","",IFERROR(IF(INDEX(tbl_Onsite[Job Description],IFERROR(MATCH(A136&amp;"",tbl_Onsite[Job Number],0),MATCH(IFERROR(A136+0,A136),tbl_Onsite[Job Number],0)))="","",INDEX(tbl_Onsite[Job Description],IFERROR(MATCH(A136&amp;"",tbl_Onsite[Job Number],0),MATCH(IFERROR(A136+0,A136),tbl_Onsite[Job Number],0)))),IFERROR(IF(INDEX(tbl_Production[Job Description],IFERROR(MATCH(A136&amp;"",tbl_Production[Job Number],0),MATCH(IFERROR(A136+0,A136),tbl_Production[Job Number],0)))="","",INDEX(tbl_Production[Job Description],IFERROR(MATCH(A136&amp;"",tbl_Production[Job Number],0),MATCH(IFERROR(A136+0,A136),tbl_Production[Job Number],0)))),IFERROR(IF(INDEX(tbl_Consulting[Job Description],IFERROR(MATCH(A136&amp;"",tbl_Consulting[Job Number],0),MATCH(IFERROR(A136+0,A136),tbl_Consulting[Job Number],0)))="","",INDEX(tbl_Consulting[Job Description],IFERROR(MATCH(A136&amp;"",tbl_Consulting[Job Number],0),MATCH(IFERROR(A136+0,A136),tbl_Consulting[Job Number],0)))),""))))</f>
        <v/>
      </c>
      <c r="L136" s="26">
        <f>IF(A136="","",IFERROR(IF(INDEX(tbl_Onsite[Invoice Type],IFERROR(MATCH(A136&amp;"",tbl_Onsite[Job Number],0),MATCH(IFERROR(A136+0,A136),tbl_Onsite[Job Number],0)))="","",INDEX(tbl_Onsite[Invoice Type],IFERROR(MATCH(A136&amp;"",tbl_Onsite[Job Number],0),MATCH(IFERROR(A136+0,A136),tbl_Onsite[Job Number],0)))),IFERROR(IF(INDEX(tbl_Production[Invoice Type],IFERROR(MATCH(A136&amp;"",tbl_Production[Job Number],0),MATCH(IFERROR(A136+0,A136),tbl_Production[Job Number],0)))="","",INDEX(tbl_Production[Invoice Type],IFERROR(MATCH(A136&amp;"",tbl_Production[Job Number],0),MATCH(IFERROR(A136+0,A136),tbl_Production[Job Number],0)))),IFERROR(IF(INDEX(tbl_Consulting[Invoice Type],IFERROR(MATCH(A136&amp;"",tbl_Consulting[Job Number],0),MATCH(IFERROR(A136+0,A136),tbl_Consulting[Job Number],0)))="","",INDEX(tbl_Consulting[Invoice Type],IFERROR(MATCH(A136&amp;"",tbl_Consulting[Job Number],0),MATCH(IFERROR(A136+0,A136),tbl_Consulting[Job Number],0)))),""))))</f>
        <v/>
      </c>
      <c r="M136" s="26">
        <f>IF(A136="","",IF(IFERROR(IF(INDEX(tbl_Onsite[Tax Code],IFERROR(MATCH(A136&amp;"",tbl_Onsite[Job Number],0),MATCH(IFERROR(A136+0,A136),tbl_Onsite[Job Number],0)))="","",INDEX(tbl_Onsite[Tax Code],IFERROR(MATCH(A136&amp;"",tbl_Onsite[Job Number],0),MATCH(IFERROR(A136+0,A136),tbl_Onsite[Job Number],0)))),IFERROR(IF(INDEX(tbl_Production[Tax Code],IFERROR(MATCH(A136&amp;"",tbl_Production[Job Number],0),MATCH(IFERROR(A136+0,A136),tbl_Production[Job Number],0)))="","",INDEX(tbl_Production[Tax Code],IFERROR(MATCH(A136&amp;"",tbl_Production[Job Number],0),MATCH(IFERROR(A136+0,A136),tbl_Production[Job Number],0)))),IFERROR(IF(INDEX(tbl_Consulting[Tax Code],IFERROR(MATCH(A136&amp;"",tbl_Consulting[Job Number],0),MATCH(IFERROR(A136+0,A136),tbl_Consulting[Job Number],0)))="","",INDEX(tbl_Consulting[Tax Code],IFERROR(MATCH(A136&amp;"",tbl_Consulting[Job Number],0),MATCH(IFERROR(A136+0,A136),tbl_Consulting[Job Number],0)))),"")))="","GST 10%",IFERROR(IF(INDEX(tbl_Onsite[Tax Code],IFERROR(MATCH(A136&amp;"",tbl_Onsite[Job Number],0),MATCH(IFERROR(A136+0,A136),tbl_Onsite[Job Number],0)))="","",INDEX(tbl_Onsite[Tax Code],IFERROR(MATCH(A136&amp;"",tbl_Onsite[Job Number],0),MATCH(IFERROR(A136+0,A136),tbl_Onsite[Job Number],0)))),IFERROR(IF(INDEX(tbl_Production[Tax Code],IFERROR(MATCH(A136&amp;"",tbl_Production[Job Number],0),MATCH(IFERROR(A136+0,A136),tbl_Production[Job Number],0)))="","",INDEX(tbl_Production[Tax Code],IFERROR(MATCH(A136&amp;"",tbl_Production[Job Number],0),MATCH(IFERROR(A136+0,A136),tbl_Production[Job Number],0)))),IFERROR(IF(INDEX(tbl_Consulting[Tax Code],IFERROR(MATCH(A136&amp;"",tbl_Consulting[Job Number],0),MATCH(IFERROR(A136+0,A136),tbl_Consulting[Job Number],0)))="","",INDEX(tbl_Consulting[Tax Code],IFERROR(MATCH(A136&amp;"",tbl_Consulting[Job Number],0),MATCH(IFERROR(A136+0,A136),tbl_Consulting[Job Number],0)))),"")))))</f>
        <v/>
      </c>
      <c r="N136" s="26">
        <f>IF(D136="","",IFERROR(INDEX(lst_CCtoGL,MATCH(D136,lst_CCforGL,0)),""))</f>
        <v/>
      </c>
      <c r="O136" s="27">
        <f>IF(E136="","",IF(M136="GST 10%",ROUND(E136*set_GSTRate,2),0))</f>
        <v/>
      </c>
      <c r="P136" s="27">
        <f>IF(E136="","",E136+O136)</f>
        <v/>
      </c>
      <c r="Q136" s="27">
        <f>IF(A136="","",IFERROR(INDEX(tbl_Onsite[Expected Revenue Ex GST],IFERROR(MATCH(A136&amp;"",tbl_Onsite[Job Number],0),MATCH(IFERROR(A136+0,A136),tbl_Onsite[Job Number],0))),IFERROR(INDEX(tbl_Production[Expected Revenue Ex GST],IFERROR(MATCH(A136&amp;"",tbl_Production[Job Number],0),MATCH(IFERROR(A136+0,A136),tbl_Production[Job Number],0))),IFERROR(INDEX(tbl_Consulting[Expected Revenue Ex GST],IFERROR(MATCH(A136&amp;"",tbl_Consulting[Job Number],0),MATCH(IFERROR(A136+0,A136),tbl_Consulting[Job Number],0))),0))))</f>
        <v/>
      </c>
      <c r="R136" s="27">
        <f>IF(A136="","",SUMIFS(tbl_Finance[Ex GST],tbl_Finance[Job Number],A136&amp;""))</f>
        <v/>
      </c>
      <c r="S136" s="27">
        <f>IF(A136="","",Q136-R136)</f>
        <v/>
      </c>
      <c r="T136" s="26">
        <f>IF(A136="","",IF(Q136=0,"No dept value",IF(ROUND(S136,2)=0,"Agrees",IF(S136&gt;0,"Dept higher - to invoice","Xero higher - check dept"))))</f>
        <v/>
      </c>
      <c r="U136" s="22" t="n"/>
      <c r="V136" s="22" t="n"/>
      <c r="W136" s="23" t="n"/>
      <c r="X136" s="23" t="n"/>
      <c r="Y136" s="22" t="n"/>
      <c r="Z136" s="22" t="n"/>
      <c r="AA136" s="26">
        <f>IF(COUNTA(C136,A136,B136,E136)=0,"",IF(C136="","No date - sits outside every month",IF(A136="","No job number",IF(H136="CHECK","Job number is not in the Xero job list",IF(G136="not set up yet","No department has set this job up - nothing can pull through",IF(D136="","No cost centre",IF(AND(U136="Y",B136=""),"Marked posted to Xero but has no invoice number",IF(N136="","Cost centre has no revenue GL on the Lists sheet",IF(T136="Xero higher - check dept","Invoiced more than the department says the job is worth","")))))))))</f>
        <v/>
      </c>
      <c r="AB136" s="28">
        <f>IF(A136="","",COUNTIFS(tbl_Finance[Job Number],A136&amp;"",tbl_Finance[Ex GST],"&lt;&gt;"))</f>
        <v/>
      </c>
      <c r="AC136" s="27">
        <f>IF(A136="","",SUMIFS(tbl_Finance[Ex GST],tbl_Finance[Job Number],A136&amp;""))</f>
        <v/>
      </c>
      <c r="AD136" s="27">
        <f>IF(A136="","",SUMIFS(tbl_Finance[Ex GST],tbl_Finance[Job Number],A136&amp;"",tbl_Finance[Xero Invoice No],"&lt;&gt;"))</f>
        <v/>
      </c>
      <c r="AE136" s="27">
        <f>IF(A136="","",AC136-AD136)</f>
        <v/>
      </c>
      <c r="AF136" s="26">
        <f>IF(A136="","",IFERROR(IF(INDEX(tbl_Onsite[Qwilr Quote],IFERROR(MATCH(A136&amp;"",tbl_Onsite[Job Number],0),MATCH(IFERROR(A136+0,A136),tbl_Onsite[Job Number],0)))="","",INDEX(tbl_Onsite[Qwilr Quote],IFERROR(MATCH(A136&amp;"",tbl_Onsite[Job Number],0),MATCH(IFERROR(A136+0,A136),tbl_Onsite[Job Number],0)))),IFERROR(IF(IF(INDEX(tbl_Production[Current RMS No],IFERROR(MATCH(A136&amp;"",tbl_Production[Job Number],0),MATCH(IFERROR(A136+0,A136),tbl_Production[Job Number],0)))="",INDEX(tbl_Production[Qwilr Quote],IFERROR(MATCH(A136&amp;"",tbl_Production[Job Number],0),MATCH(IFERROR(A136+0,A136),tbl_Production[Job Number],0))),INDEX(tbl_Production[Current RMS No],IFERROR(MATCH(A136&amp;"",tbl_Production[Job Number],0),MATCH(IFERROR(A136+0,A136),tbl_Production[Job Number],0))))="","",IF(INDEX(tbl_Production[Current RMS No],IFERROR(MATCH(A136&amp;"",tbl_Production[Job Number],0),MATCH(IFERROR(A136+0,A136),tbl_Production[Job Number],0)))="",INDEX(tbl_Production[Qwilr Quote],IFERROR(MATCH(A136&amp;"",tbl_Production[Job Number],0),MATCH(IFERROR(A136+0,A136),tbl_Production[Job Number],0))),INDEX(tbl_Production[Current RMS No],IFERROR(MATCH(A136&amp;"",tbl_Production[Job Number],0),MATCH(IFERROR(A136+0,A136),tbl_Production[Job Number],0))))),IFERROR(IF(INDEX(tbl_Consulting[Qwilr Quote],IFERROR(MATCH(A136&amp;"",tbl_Consulting[Job Number],0),MATCH(IFERROR(A136+0,A136),tbl_Consulting[Job Number],0)))="","",INDEX(tbl_Consulting[Qwilr Quote],IFERROR(MATCH(A136&amp;"",tbl_Consulting[Job Number],0),MATCH(IFERROR(A136+0,A136),tbl_Consulting[Job Number],0)))),""))))</f>
        <v/>
      </c>
      <c r="AG136" s="26">
        <f>IF(AF136="","",IF(AND(LEFT(AF136,4)&lt;&gt;"http",IF(G136="Production",set_RMSBase,set_QwilrBase)=""),"",HYPERLINK(IF(LEFT(AF136,4)="http",AF136,IF(G136="Production",set_RMSBase,set_QwilrBase)&amp;AF136),"Open")))</f>
        <v/>
      </c>
      <c r="AH136" s="27">
        <f>IF(A136="","",IFERROR(INDEX(tbl_Production[Total Expense],IFERROR(MATCH(A136&amp;"",tbl_Production[Job Number],0),MATCH(IFERROR(A136+0,A136),tbl_Production[Job Number],0))),IFERROR(INDEX(tbl_Consulting[Total Expense],IFERROR(MATCH(A136&amp;"",tbl_Consulting[Job Number],0),MATCH(IFERROR(A136+0,A136),tbl_Consulting[Job Number],0))),0)))</f>
        <v/>
      </c>
      <c r="AI136" s="27">
        <f>IF(A136="","",AC136-N(AH136))</f>
        <v/>
      </c>
      <c r="AJ136" s="29">
        <f>IFERROR(AI136/AC136,"")</f>
        <v/>
      </c>
      <c r="AK136" s="26">
        <f>IF(A136="","",IFERROR(IF(INDEX(tbl_Onsite[Notes],IFERROR(MATCH(A136&amp;"",tbl_Onsite[Job Number],0),MATCH(IFERROR(A136+0,A136),tbl_Onsite[Job Number],0)))="","",INDEX(tbl_Onsite[Notes],IFERROR(MATCH(A136&amp;"",tbl_Onsite[Job Number],0),MATCH(IFERROR(A136+0,A136),tbl_Onsite[Job Number],0)))),IFERROR(IF(INDEX(tbl_Production[Notes],IFERROR(MATCH(A136&amp;"",tbl_Production[Job Number],0),MATCH(IFERROR(A136+0,A136),tbl_Production[Job Number],0)))="","",INDEX(tbl_Production[Notes],IFERROR(MATCH(A136&amp;"",tbl_Production[Job Number],0),MATCH(IFERROR(A136+0,A136),tbl_Production[Job Number],0)))),IFERROR(IF(INDEX(tbl_Consulting[Notes],IFERROR(MATCH(A136&amp;"",tbl_Consulting[Job Number],0),MATCH(IFERROR(A136+0,A136),tbl_Consulting[Job Number],0)))="","",INDEX(tbl_Consulting[Notes],IFERROR(MATCH(A136&amp;"",tbl_Consulting[Job Number],0),MATCH(IFERROR(A136+0,A136),tbl_Consulting[Job Number],0)))),""))))</f>
        <v/>
      </c>
    </row>
    <row r="137" ht="15" customHeight="1">
      <c r="A137" s="22" t="n"/>
      <c r="B137" s="22" t="n"/>
      <c r="C137" s="23" t="n"/>
      <c r="D137" s="22" t="n"/>
      <c r="E137" s="24" t="n"/>
      <c r="F137" s="25">
        <f>IF(C137="","",EOMONTH(C137,0))</f>
        <v/>
      </c>
      <c r="G137" s="26">
        <f>IF(A137="","",IF(COUNTIF(tbl_Onsite[Job Number],A137&amp;"")&gt;0,"Onsite",IF(COUNTIF(tbl_Production[Job Number],A137&amp;"")&gt;0,"Production",IF(COUNTIF(tbl_Consulting[Job Number],A137&amp;"")&gt;0,"Consulting","not set up yet"))))</f>
        <v/>
      </c>
      <c r="H137" s="26">
        <f>IF(A137="","",IF(COUNTIF(lst_Jobs,A137&amp;"")&gt;0,"OK","CHECK"))</f>
        <v/>
      </c>
      <c r="I137" s="26">
        <f>IF(A137="","",IFERROR(INDEX(lst_JobName,MATCH(A137&amp;"",lst_Jobs,0)),""))</f>
        <v/>
      </c>
      <c r="J137" s="26">
        <f>IF(A137="","",IFERROR(IF(INDEX(tbl_Onsite[Client],IFERROR(MATCH(A137&amp;"",tbl_Onsite[Job Number],0),MATCH(IFERROR(A137+0,A137),tbl_Onsite[Job Number],0)))="","",INDEX(tbl_Onsite[Client],IFERROR(MATCH(A137&amp;"",tbl_Onsite[Job Number],0),MATCH(IFERROR(A137+0,A137),tbl_Onsite[Job Number],0)))),IFERROR(IF(INDEX(tbl_Production[Client],IFERROR(MATCH(A137&amp;"",tbl_Production[Job Number],0),MATCH(IFERROR(A137+0,A137),tbl_Production[Job Number],0)))="","",INDEX(tbl_Production[Client],IFERROR(MATCH(A137&amp;"",tbl_Production[Job Number],0),MATCH(IFERROR(A137+0,A137),tbl_Production[Job Number],0)))),IFERROR(IF(INDEX(tbl_Consulting[Client],IFERROR(MATCH(A137&amp;"",tbl_Consulting[Job Number],0),MATCH(IFERROR(A137+0,A137),tbl_Consulting[Job Number],0)))="","",INDEX(tbl_Consulting[Client],IFERROR(MATCH(A137&amp;"",tbl_Consulting[Job Number],0),MATCH(IFERROR(A137+0,A137),tbl_Consulting[Job Number],0)))),""))))</f>
        <v/>
      </c>
      <c r="K137" s="26">
        <f>IF(A137="","",IFERROR(IF(INDEX(tbl_Onsite[Job Description],IFERROR(MATCH(A137&amp;"",tbl_Onsite[Job Number],0),MATCH(IFERROR(A137+0,A137),tbl_Onsite[Job Number],0)))="","",INDEX(tbl_Onsite[Job Description],IFERROR(MATCH(A137&amp;"",tbl_Onsite[Job Number],0),MATCH(IFERROR(A137+0,A137),tbl_Onsite[Job Number],0)))),IFERROR(IF(INDEX(tbl_Production[Job Description],IFERROR(MATCH(A137&amp;"",tbl_Production[Job Number],0),MATCH(IFERROR(A137+0,A137),tbl_Production[Job Number],0)))="","",INDEX(tbl_Production[Job Description],IFERROR(MATCH(A137&amp;"",tbl_Production[Job Number],0),MATCH(IFERROR(A137+0,A137),tbl_Production[Job Number],0)))),IFERROR(IF(INDEX(tbl_Consulting[Job Description],IFERROR(MATCH(A137&amp;"",tbl_Consulting[Job Number],0),MATCH(IFERROR(A137+0,A137),tbl_Consulting[Job Number],0)))="","",INDEX(tbl_Consulting[Job Description],IFERROR(MATCH(A137&amp;"",tbl_Consulting[Job Number],0),MATCH(IFERROR(A137+0,A137),tbl_Consulting[Job Number],0)))),""))))</f>
        <v/>
      </c>
      <c r="L137" s="26">
        <f>IF(A137="","",IFERROR(IF(INDEX(tbl_Onsite[Invoice Type],IFERROR(MATCH(A137&amp;"",tbl_Onsite[Job Number],0),MATCH(IFERROR(A137+0,A137),tbl_Onsite[Job Number],0)))="","",INDEX(tbl_Onsite[Invoice Type],IFERROR(MATCH(A137&amp;"",tbl_Onsite[Job Number],0),MATCH(IFERROR(A137+0,A137),tbl_Onsite[Job Number],0)))),IFERROR(IF(INDEX(tbl_Production[Invoice Type],IFERROR(MATCH(A137&amp;"",tbl_Production[Job Number],0),MATCH(IFERROR(A137+0,A137),tbl_Production[Job Number],0)))="","",INDEX(tbl_Production[Invoice Type],IFERROR(MATCH(A137&amp;"",tbl_Production[Job Number],0),MATCH(IFERROR(A137+0,A137),tbl_Production[Job Number],0)))),IFERROR(IF(INDEX(tbl_Consulting[Invoice Type],IFERROR(MATCH(A137&amp;"",tbl_Consulting[Job Number],0),MATCH(IFERROR(A137+0,A137),tbl_Consulting[Job Number],0)))="","",INDEX(tbl_Consulting[Invoice Type],IFERROR(MATCH(A137&amp;"",tbl_Consulting[Job Number],0),MATCH(IFERROR(A137+0,A137),tbl_Consulting[Job Number],0)))),""))))</f>
        <v/>
      </c>
      <c r="M137" s="26">
        <f>IF(A137="","",IF(IFERROR(IF(INDEX(tbl_Onsite[Tax Code],IFERROR(MATCH(A137&amp;"",tbl_Onsite[Job Number],0),MATCH(IFERROR(A137+0,A137),tbl_Onsite[Job Number],0)))="","",INDEX(tbl_Onsite[Tax Code],IFERROR(MATCH(A137&amp;"",tbl_Onsite[Job Number],0),MATCH(IFERROR(A137+0,A137),tbl_Onsite[Job Number],0)))),IFERROR(IF(INDEX(tbl_Production[Tax Code],IFERROR(MATCH(A137&amp;"",tbl_Production[Job Number],0),MATCH(IFERROR(A137+0,A137),tbl_Production[Job Number],0)))="","",INDEX(tbl_Production[Tax Code],IFERROR(MATCH(A137&amp;"",tbl_Production[Job Number],0),MATCH(IFERROR(A137+0,A137),tbl_Production[Job Number],0)))),IFERROR(IF(INDEX(tbl_Consulting[Tax Code],IFERROR(MATCH(A137&amp;"",tbl_Consulting[Job Number],0),MATCH(IFERROR(A137+0,A137),tbl_Consulting[Job Number],0)))="","",INDEX(tbl_Consulting[Tax Code],IFERROR(MATCH(A137&amp;"",tbl_Consulting[Job Number],0),MATCH(IFERROR(A137+0,A137),tbl_Consulting[Job Number],0)))),"")))="","GST 10%",IFERROR(IF(INDEX(tbl_Onsite[Tax Code],IFERROR(MATCH(A137&amp;"",tbl_Onsite[Job Number],0),MATCH(IFERROR(A137+0,A137),tbl_Onsite[Job Number],0)))="","",INDEX(tbl_Onsite[Tax Code],IFERROR(MATCH(A137&amp;"",tbl_Onsite[Job Number],0),MATCH(IFERROR(A137+0,A137),tbl_Onsite[Job Number],0)))),IFERROR(IF(INDEX(tbl_Production[Tax Code],IFERROR(MATCH(A137&amp;"",tbl_Production[Job Number],0),MATCH(IFERROR(A137+0,A137),tbl_Production[Job Number],0)))="","",INDEX(tbl_Production[Tax Code],IFERROR(MATCH(A137&amp;"",tbl_Production[Job Number],0),MATCH(IFERROR(A137+0,A137),tbl_Production[Job Number],0)))),IFERROR(IF(INDEX(tbl_Consulting[Tax Code],IFERROR(MATCH(A137&amp;"",tbl_Consulting[Job Number],0),MATCH(IFERROR(A137+0,A137),tbl_Consulting[Job Number],0)))="","",INDEX(tbl_Consulting[Tax Code],IFERROR(MATCH(A137&amp;"",tbl_Consulting[Job Number],0),MATCH(IFERROR(A137+0,A137),tbl_Consulting[Job Number],0)))),"")))))</f>
        <v/>
      </c>
      <c r="N137" s="26">
        <f>IF(D137="","",IFERROR(INDEX(lst_CCtoGL,MATCH(D137,lst_CCforGL,0)),""))</f>
        <v/>
      </c>
      <c r="O137" s="27">
        <f>IF(E137="","",IF(M137="GST 10%",ROUND(E137*set_GSTRate,2),0))</f>
        <v/>
      </c>
      <c r="P137" s="27">
        <f>IF(E137="","",E137+O137)</f>
        <v/>
      </c>
      <c r="Q137" s="27">
        <f>IF(A137="","",IFERROR(INDEX(tbl_Onsite[Expected Revenue Ex GST],IFERROR(MATCH(A137&amp;"",tbl_Onsite[Job Number],0),MATCH(IFERROR(A137+0,A137),tbl_Onsite[Job Number],0))),IFERROR(INDEX(tbl_Production[Expected Revenue Ex GST],IFERROR(MATCH(A137&amp;"",tbl_Production[Job Number],0),MATCH(IFERROR(A137+0,A137),tbl_Production[Job Number],0))),IFERROR(INDEX(tbl_Consulting[Expected Revenue Ex GST],IFERROR(MATCH(A137&amp;"",tbl_Consulting[Job Number],0),MATCH(IFERROR(A137+0,A137),tbl_Consulting[Job Number],0))),0))))</f>
        <v/>
      </c>
      <c r="R137" s="27">
        <f>IF(A137="","",SUMIFS(tbl_Finance[Ex GST],tbl_Finance[Job Number],A137&amp;""))</f>
        <v/>
      </c>
      <c r="S137" s="27">
        <f>IF(A137="","",Q137-R137)</f>
        <v/>
      </c>
      <c r="T137" s="26">
        <f>IF(A137="","",IF(Q137=0,"No dept value",IF(ROUND(S137,2)=0,"Agrees",IF(S137&gt;0,"Dept higher - to invoice","Xero higher - check dept"))))</f>
        <v/>
      </c>
      <c r="U137" s="22" t="n"/>
      <c r="V137" s="22" t="n"/>
      <c r="W137" s="23" t="n"/>
      <c r="X137" s="23" t="n"/>
      <c r="Y137" s="22" t="n"/>
      <c r="Z137" s="22" t="n"/>
      <c r="AA137" s="26">
        <f>IF(COUNTA(C137,A137,B137,E137)=0,"",IF(C137="","No date - sits outside every month",IF(A137="","No job number",IF(H137="CHECK","Job number is not in the Xero job list",IF(G137="not set up yet","No department has set this job up - nothing can pull through",IF(D137="","No cost centre",IF(AND(U137="Y",B137=""),"Marked posted to Xero but has no invoice number",IF(N137="","Cost centre has no revenue GL on the Lists sheet",IF(T137="Xero higher - check dept","Invoiced more than the department says the job is worth","")))))))))</f>
        <v/>
      </c>
      <c r="AB137" s="28">
        <f>IF(A137="","",COUNTIFS(tbl_Finance[Job Number],A137&amp;"",tbl_Finance[Ex GST],"&lt;&gt;"))</f>
        <v/>
      </c>
      <c r="AC137" s="27">
        <f>IF(A137="","",SUMIFS(tbl_Finance[Ex GST],tbl_Finance[Job Number],A137&amp;""))</f>
        <v/>
      </c>
      <c r="AD137" s="27">
        <f>IF(A137="","",SUMIFS(tbl_Finance[Ex GST],tbl_Finance[Job Number],A137&amp;"",tbl_Finance[Xero Invoice No],"&lt;&gt;"))</f>
        <v/>
      </c>
      <c r="AE137" s="27">
        <f>IF(A137="","",AC137-AD137)</f>
        <v/>
      </c>
      <c r="AF137" s="26">
        <f>IF(A137="","",IFERROR(IF(INDEX(tbl_Onsite[Qwilr Quote],IFERROR(MATCH(A137&amp;"",tbl_Onsite[Job Number],0),MATCH(IFERROR(A137+0,A137),tbl_Onsite[Job Number],0)))="","",INDEX(tbl_Onsite[Qwilr Quote],IFERROR(MATCH(A137&amp;"",tbl_Onsite[Job Number],0),MATCH(IFERROR(A137+0,A137),tbl_Onsite[Job Number],0)))),IFERROR(IF(IF(INDEX(tbl_Production[Current RMS No],IFERROR(MATCH(A137&amp;"",tbl_Production[Job Number],0),MATCH(IFERROR(A137+0,A137),tbl_Production[Job Number],0)))="",INDEX(tbl_Production[Qwilr Quote],IFERROR(MATCH(A137&amp;"",tbl_Production[Job Number],0),MATCH(IFERROR(A137+0,A137),tbl_Production[Job Number],0))),INDEX(tbl_Production[Current RMS No],IFERROR(MATCH(A137&amp;"",tbl_Production[Job Number],0),MATCH(IFERROR(A137+0,A137),tbl_Production[Job Number],0))))="","",IF(INDEX(tbl_Production[Current RMS No],IFERROR(MATCH(A137&amp;"",tbl_Production[Job Number],0),MATCH(IFERROR(A137+0,A137),tbl_Production[Job Number],0)))="",INDEX(tbl_Production[Qwilr Quote],IFERROR(MATCH(A137&amp;"",tbl_Production[Job Number],0),MATCH(IFERROR(A137+0,A137),tbl_Production[Job Number],0))),INDEX(tbl_Production[Current RMS No],IFERROR(MATCH(A137&amp;"",tbl_Production[Job Number],0),MATCH(IFERROR(A137+0,A137),tbl_Production[Job Number],0))))),IFERROR(IF(INDEX(tbl_Consulting[Qwilr Quote],IFERROR(MATCH(A137&amp;"",tbl_Consulting[Job Number],0),MATCH(IFERROR(A137+0,A137),tbl_Consulting[Job Number],0)))="","",INDEX(tbl_Consulting[Qwilr Quote],IFERROR(MATCH(A137&amp;"",tbl_Consulting[Job Number],0),MATCH(IFERROR(A137+0,A137),tbl_Consulting[Job Number],0)))),""))))</f>
        <v/>
      </c>
      <c r="AG137" s="26">
        <f>IF(AF137="","",IF(AND(LEFT(AF137,4)&lt;&gt;"http",IF(G137="Production",set_RMSBase,set_QwilrBase)=""),"",HYPERLINK(IF(LEFT(AF137,4)="http",AF137,IF(G137="Production",set_RMSBase,set_QwilrBase)&amp;AF137),"Open")))</f>
        <v/>
      </c>
      <c r="AH137" s="27">
        <f>IF(A137="","",IFERROR(INDEX(tbl_Production[Total Expense],IFERROR(MATCH(A137&amp;"",tbl_Production[Job Number],0),MATCH(IFERROR(A137+0,A137),tbl_Production[Job Number],0))),IFERROR(INDEX(tbl_Consulting[Total Expense],IFERROR(MATCH(A137&amp;"",tbl_Consulting[Job Number],0),MATCH(IFERROR(A137+0,A137),tbl_Consulting[Job Number],0))),0)))</f>
        <v/>
      </c>
      <c r="AI137" s="27">
        <f>IF(A137="","",AC137-N(AH137))</f>
        <v/>
      </c>
      <c r="AJ137" s="29">
        <f>IFERROR(AI137/AC137,"")</f>
        <v/>
      </c>
      <c r="AK137" s="26">
        <f>IF(A137="","",IFERROR(IF(INDEX(tbl_Onsite[Notes],IFERROR(MATCH(A137&amp;"",tbl_Onsite[Job Number],0),MATCH(IFERROR(A137+0,A137),tbl_Onsite[Job Number],0)))="","",INDEX(tbl_Onsite[Notes],IFERROR(MATCH(A137&amp;"",tbl_Onsite[Job Number],0),MATCH(IFERROR(A137+0,A137),tbl_Onsite[Job Number],0)))),IFERROR(IF(INDEX(tbl_Production[Notes],IFERROR(MATCH(A137&amp;"",tbl_Production[Job Number],0),MATCH(IFERROR(A137+0,A137),tbl_Production[Job Number],0)))="","",INDEX(tbl_Production[Notes],IFERROR(MATCH(A137&amp;"",tbl_Production[Job Number],0),MATCH(IFERROR(A137+0,A137),tbl_Production[Job Number],0)))),IFERROR(IF(INDEX(tbl_Consulting[Notes],IFERROR(MATCH(A137&amp;"",tbl_Consulting[Job Number],0),MATCH(IFERROR(A137+0,A137),tbl_Consulting[Job Number],0)))="","",INDEX(tbl_Consulting[Notes],IFERROR(MATCH(A137&amp;"",tbl_Consulting[Job Number],0),MATCH(IFERROR(A137+0,A137),tbl_Consulting[Job Number],0)))),""))))</f>
        <v/>
      </c>
    </row>
    <row r="138" ht="15" customHeight="1">
      <c r="A138" s="22" t="n"/>
      <c r="B138" s="22" t="n"/>
      <c r="C138" s="23" t="n"/>
      <c r="D138" s="22" t="n"/>
      <c r="E138" s="24" t="n"/>
      <c r="F138" s="25">
        <f>IF(C138="","",EOMONTH(C138,0))</f>
        <v/>
      </c>
      <c r="G138" s="26">
        <f>IF(A138="","",IF(COUNTIF(tbl_Onsite[Job Number],A138&amp;"")&gt;0,"Onsite",IF(COUNTIF(tbl_Production[Job Number],A138&amp;"")&gt;0,"Production",IF(COUNTIF(tbl_Consulting[Job Number],A138&amp;"")&gt;0,"Consulting","not set up yet"))))</f>
        <v/>
      </c>
      <c r="H138" s="26">
        <f>IF(A138="","",IF(COUNTIF(lst_Jobs,A138&amp;"")&gt;0,"OK","CHECK"))</f>
        <v/>
      </c>
      <c r="I138" s="26">
        <f>IF(A138="","",IFERROR(INDEX(lst_JobName,MATCH(A138&amp;"",lst_Jobs,0)),""))</f>
        <v/>
      </c>
      <c r="J138" s="26">
        <f>IF(A138="","",IFERROR(IF(INDEX(tbl_Onsite[Client],IFERROR(MATCH(A138&amp;"",tbl_Onsite[Job Number],0),MATCH(IFERROR(A138+0,A138),tbl_Onsite[Job Number],0)))="","",INDEX(tbl_Onsite[Client],IFERROR(MATCH(A138&amp;"",tbl_Onsite[Job Number],0),MATCH(IFERROR(A138+0,A138),tbl_Onsite[Job Number],0)))),IFERROR(IF(INDEX(tbl_Production[Client],IFERROR(MATCH(A138&amp;"",tbl_Production[Job Number],0),MATCH(IFERROR(A138+0,A138),tbl_Production[Job Number],0)))="","",INDEX(tbl_Production[Client],IFERROR(MATCH(A138&amp;"",tbl_Production[Job Number],0),MATCH(IFERROR(A138+0,A138),tbl_Production[Job Number],0)))),IFERROR(IF(INDEX(tbl_Consulting[Client],IFERROR(MATCH(A138&amp;"",tbl_Consulting[Job Number],0),MATCH(IFERROR(A138+0,A138),tbl_Consulting[Job Number],0)))="","",INDEX(tbl_Consulting[Client],IFERROR(MATCH(A138&amp;"",tbl_Consulting[Job Number],0),MATCH(IFERROR(A138+0,A138),tbl_Consulting[Job Number],0)))),""))))</f>
        <v/>
      </c>
      <c r="K138" s="26">
        <f>IF(A138="","",IFERROR(IF(INDEX(tbl_Onsite[Job Description],IFERROR(MATCH(A138&amp;"",tbl_Onsite[Job Number],0),MATCH(IFERROR(A138+0,A138),tbl_Onsite[Job Number],0)))="","",INDEX(tbl_Onsite[Job Description],IFERROR(MATCH(A138&amp;"",tbl_Onsite[Job Number],0),MATCH(IFERROR(A138+0,A138),tbl_Onsite[Job Number],0)))),IFERROR(IF(INDEX(tbl_Production[Job Description],IFERROR(MATCH(A138&amp;"",tbl_Production[Job Number],0),MATCH(IFERROR(A138+0,A138),tbl_Production[Job Number],0)))="","",INDEX(tbl_Production[Job Description],IFERROR(MATCH(A138&amp;"",tbl_Production[Job Number],0),MATCH(IFERROR(A138+0,A138),tbl_Production[Job Number],0)))),IFERROR(IF(INDEX(tbl_Consulting[Job Description],IFERROR(MATCH(A138&amp;"",tbl_Consulting[Job Number],0),MATCH(IFERROR(A138+0,A138),tbl_Consulting[Job Number],0)))="","",INDEX(tbl_Consulting[Job Description],IFERROR(MATCH(A138&amp;"",tbl_Consulting[Job Number],0),MATCH(IFERROR(A138+0,A138),tbl_Consulting[Job Number],0)))),""))))</f>
        <v/>
      </c>
      <c r="L138" s="26">
        <f>IF(A138="","",IFERROR(IF(INDEX(tbl_Onsite[Invoice Type],IFERROR(MATCH(A138&amp;"",tbl_Onsite[Job Number],0),MATCH(IFERROR(A138+0,A138),tbl_Onsite[Job Number],0)))="","",INDEX(tbl_Onsite[Invoice Type],IFERROR(MATCH(A138&amp;"",tbl_Onsite[Job Number],0),MATCH(IFERROR(A138+0,A138),tbl_Onsite[Job Number],0)))),IFERROR(IF(INDEX(tbl_Production[Invoice Type],IFERROR(MATCH(A138&amp;"",tbl_Production[Job Number],0),MATCH(IFERROR(A138+0,A138),tbl_Production[Job Number],0)))="","",INDEX(tbl_Production[Invoice Type],IFERROR(MATCH(A138&amp;"",tbl_Production[Job Number],0),MATCH(IFERROR(A138+0,A138),tbl_Production[Job Number],0)))),IFERROR(IF(INDEX(tbl_Consulting[Invoice Type],IFERROR(MATCH(A138&amp;"",tbl_Consulting[Job Number],0),MATCH(IFERROR(A138+0,A138),tbl_Consulting[Job Number],0)))="","",INDEX(tbl_Consulting[Invoice Type],IFERROR(MATCH(A138&amp;"",tbl_Consulting[Job Number],0),MATCH(IFERROR(A138+0,A138),tbl_Consulting[Job Number],0)))),""))))</f>
        <v/>
      </c>
      <c r="M138" s="26">
        <f>IF(A138="","",IF(IFERROR(IF(INDEX(tbl_Onsite[Tax Code],IFERROR(MATCH(A138&amp;"",tbl_Onsite[Job Number],0),MATCH(IFERROR(A138+0,A138),tbl_Onsite[Job Number],0)))="","",INDEX(tbl_Onsite[Tax Code],IFERROR(MATCH(A138&amp;"",tbl_Onsite[Job Number],0),MATCH(IFERROR(A138+0,A138),tbl_Onsite[Job Number],0)))),IFERROR(IF(INDEX(tbl_Production[Tax Code],IFERROR(MATCH(A138&amp;"",tbl_Production[Job Number],0),MATCH(IFERROR(A138+0,A138),tbl_Production[Job Number],0)))="","",INDEX(tbl_Production[Tax Code],IFERROR(MATCH(A138&amp;"",tbl_Production[Job Number],0),MATCH(IFERROR(A138+0,A138),tbl_Production[Job Number],0)))),IFERROR(IF(INDEX(tbl_Consulting[Tax Code],IFERROR(MATCH(A138&amp;"",tbl_Consulting[Job Number],0),MATCH(IFERROR(A138+0,A138),tbl_Consulting[Job Number],0)))="","",INDEX(tbl_Consulting[Tax Code],IFERROR(MATCH(A138&amp;"",tbl_Consulting[Job Number],0),MATCH(IFERROR(A138+0,A138),tbl_Consulting[Job Number],0)))),"")))="","GST 10%",IFERROR(IF(INDEX(tbl_Onsite[Tax Code],IFERROR(MATCH(A138&amp;"",tbl_Onsite[Job Number],0),MATCH(IFERROR(A138+0,A138),tbl_Onsite[Job Number],0)))="","",INDEX(tbl_Onsite[Tax Code],IFERROR(MATCH(A138&amp;"",tbl_Onsite[Job Number],0),MATCH(IFERROR(A138+0,A138),tbl_Onsite[Job Number],0)))),IFERROR(IF(INDEX(tbl_Production[Tax Code],IFERROR(MATCH(A138&amp;"",tbl_Production[Job Number],0),MATCH(IFERROR(A138+0,A138),tbl_Production[Job Number],0)))="","",INDEX(tbl_Production[Tax Code],IFERROR(MATCH(A138&amp;"",tbl_Production[Job Number],0),MATCH(IFERROR(A138+0,A138),tbl_Production[Job Number],0)))),IFERROR(IF(INDEX(tbl_Consulting[Tax Code],IFERROR(MATCH(A138&amp;"",tbl_Consulting[Job Number],0),MATCH(IFERROR(A138+0,A138),tbl_Consulting[Job Number],0)))="","",INDEX(tbl_Consulting[Tax Code],IFERROR(MATCH(A138&amp;"",tbl_Consulting[Job Number],0),MATCH(IFERROR(A138+0,A138),tbl_Consulting[Job Number],0)))),"")))))</f>
        <v/>
      </c>
      <c r="N138" s="26">
        <f>IF(D138="","",IFERROR(INDEX(lst_CCtoGL,MATCH(D138,lst_CCforGL,0)),""))</f>
        <v/>
      </c>
      <c r="O138" s="27">
        <f>IF(E138="","",IF(M138="GST 10%",ROUND(E138*set_GSTRate,2),0))</f>
        <v/>
      </c>
      <c r="P138" s="27">
        <f>IF(E138="","",E138+O138)</f>
        <v/>
      </c>
      <c r="Q138" s="27">
        <f>IF(A138="","",IFERROR(INDEX(tbl_Onsite[Expected Revenue Ex GST],IFERROR(MATCH(A138&amp;"",tbl_Onsite[Job Number],0),MATCH(IFERROR(A138+0,A138),tbl_Onsite[Job Number],0))),IFERROR(INDEX(tbl_Production[Expected Revenue Ex GST],IFERROR(MATCH(A138&amp;"",tbl_Production[Job Number],0),MATCH(IFERROR(A138+0,A138),tbl_Production[Job Number],0))),IFERROR(INDEX(tbl_Consulting[Expected Revenue Ex GST],IFERROR(MATCH(A138&amp;"",tbl_Consulting[Job Number],0),MATCH(IFERROR(A138+0,A138),tbl_Consulting[Job Number],0))),0))))</f>
        <v/>
      </c>
      <c r="R138" s="27">
        <f>IF(A138="","",SUMIFS(tbl_Finance[Ex GST],tbl_Finance[Job Number],A138&amp;""))</f>
        <v/>
      </c>
      <c r="S138" s="27">
        <f>IF(A138="","",Q138-R138)</f>
        <v/>
      </c>
      <c r="T138" s="26">
        <f>IF(A138="","",IF(Q138=0,"No dept value",IF(ROUND(S138,2)=0,"Agrees",IF(S138&gt;0,"Dept higher - to invoice","Xero higher - check dept"))))</f>
        <v/>
      </c>
      <c r="U138" s="22" t="n"/>
      <c r="V138" s="22" t="n"/>
      <c r="W138" s="23" t="n"/>
      <c r="X138" s="23" t="n"/>
      <c r="Y138" s="22" t="n"/>
      <c r="Z138" s="22" t="n"/>
      <c r="AA138" s="26">
        <f>IF(COUNTA(C138,A138,B138,E138)=0,"",IF(C138="","No date - sits outside every month",IF(A138="","No job number",IF(H138="CHECK","Job number is not in the Xero job list",IF(G138="not set up yet","No department has set this job up - nothing can pull through",IF(D138="","No cost centre",IF(AND(U138="Y",B138=""),"Marked posted to Xero but has no invoice number",IF(N138="","Cost centre has no revenue GL on the Lists sheet",IF(T138="Xero higher - check dept","Invoiced more than the department says the job is worth","")))))))))</f>
        <v/>
      </c>
      <c r="AB138" s="28">
        <f>IF(A138="","",COUNTIFS(tbl_Finance[Job Number],A138&amp;"",tbl_Finance[Ex GST],"&lt;&gt;"))</f>
        <v/>
      </c>
      <c r="AC138" s="27">
        <f>IF(A138="","",SUMIFS(tbl_Finance[Ex GST],tbl_Finance[Job Number],A138&amp;""))</f>
        <v/>
      </c>
      <c r="AD138" s="27">
        <f>IF(A138="","",SUMIFS(tbl_Finance[Ex GST],tbl_Finance[Job Number],A138&amp;"",tbl_Finance[Xero Invoice No],"&lt;&gt;"))</f>
        <v/>
      </c>
      <c r="AE138" s="27">
        <f>IF(A138="","",AC138-AD138)</f>
        <v/>
      </c>
      <c r="AF138" s="26">
        <f>IF(A138="","",IFERROR(IF(INDEX(tbl_Onsite[Qwilr Quote],IFERROR(MATCH(A138&amp;"",tbl_Onsite[Job Number],0),MATCH(IFERROR(A138+0,A138),tbl_Onsite[Job Number],0)))="","",INDEX(tbl_Onsite[Qwilr Quote],IFERROR(MATCH(A138&amp;"",tbl_Onsite[Job Number],0),MATCH(IFERROR(A138+0,A138),tbl_Onsite[Job Number],0)))),IFERROR(IF(IF(INDEX(tbl_Production[Current RMS No],IFERROR(MATCH(A138&amp;"",tbl_Production[Job Number],0),MATCH(IFERROR(A138+0,A138),tbl_Production[Job Number],0)))="",INDEX(tbl_Production[Qwilr Quote],IFERROR(MATCH(A138&amp;"",tbl_Production[Job Number],0),MATCH(IFERROR(A138+0,A138),tbl_Production[Job Number],0))),INDEX(tbl_Production[Current RMS No],IFERROR(MATCH(A138&amp;"",tbl_Production[Job Number],0),MATCH(IFERROR(A138+0,A138),tbl_Production[Job Number],0))))="","",IF(INDEX(tbl_Production[Current RMS No],IFERROR(MATCH(A138&amp;"",tbl_Production[Job Number],0),MATCH(IFERROR(A138+0,A138),tbl_Production[Job Number],0)))="",INDEX(tbl_Production[Qwilr Quote],IFERROR(MATCH(A138&amp;"",tbl_Production[Job Number],0),MATCH(IFERROR(A138+0,A138),tbl_Production[Job Number],0))),INDEX(tbl_Production[Current RMS No],IFERROR(MATCH(A138&amp;"",tbl_Production[Job Number],0),MATCH(IFERROR(A138+0,A138),tbl_Production[Job Number],0))))),IFERROR(IF(INDEX(tbl_Consulting[Qwilr Quote],IFERROR(MATCH(A138&amp;"",tbl_Consulting[Job Number],0),MATCH(IFERROR(A138+0,A138),tbl_Consulting[Job Number],0)))="","",INDEX(tbl_Consulting[Qwilr Quote],IFERROR(MATCH(A138&amp;"",tbl_Consulting[Job Number],0),MATCH(IFERROR(A138+0,A138),tbl_Consulting[Job Number],0)))),""))))</f>
        <v/>
      </c>
      <c r="AG138" s="26">
        <f>IF(AF138="","",IF(AND(LEFT(AF138,4)&lt;&gt;"http",IF(G138="Production",set_RMSBase,set_QwilrBase)=""),"",HYPERLINK(IF(LEFT(AF138,4)="http",AF138,IF(G138="Production",set_RMSBase,set_QwilrBase)&amp;AF138),"Open")))</f>
        <v/>
      </c>
      <c r="AH138" s="27">
        <f>IF(A138="","",IFERROR(INDEX(tbl_Production[Total Expense],IFERROR(MATCH(A138&amp;"",tbl_Production[Job Number],0),MATCH(IFERROR(A138+0,A138),tbl_Production[Job Number],0))),IFERROR(INDEX(tbl_Consulting[Total Expense],IFERROR(MATCH(A138&amp;"",tbl_Consulting[Job Number],0),MATCH(IFERROR(A138+0,A138),tbl_Consulting[Job Number],0))),0)))</f>
        <v/>
      </c>
      <c r="AI138" s="27">
        <f>IF(A138="","",AC138-N(AH138))</f>
        <v/>
      </c>
      <c r="AJ138" s="29">
        <f>IFERROR(AI138/AC138,"")</f>
        <v/>
      </c>
      <c r="AK138" s="26">
        <f>IF(A138="","",IFERROR(IF(INDEX(tbl_Onsite[Notes],IFERROR(MATCH(A138&amp;"",tbl_Onsite[Job Number],0),MATCH(IFERROR(A138+0,A138),tbl_Onsite[Job Number],0)))="","",INDEX(tbl_Onsite[Notes],IFERROR(MATCH(A138&amp;"",tbl_Onsite[Job Number],0),MATCH(IFERROR(A138+0,A138),tbl_Onsite[Job Number],0)))),IFERROR(IF(INDEX(tbl_Production[Notes],IFERROR(MATCH(A138&amp;"",tbl_Production[Job Number],0),MATCH(IFERROR(A138+0,A138),tbl_Production[Job Number],0)))="","",INDEX(tbl_Production[Notes],IFERROR(MATCH(A138&amp;"",tbl_Production[Job Number],0),MATCH(IFERROR(A138+0,A138),tbl_Production[Job Number],0)))),IFERROR(IF(INDEX(tbl_Consulting[Notes],IFERROR(MATCH(A138&amp;"",tbl_Consulting[Job Number],0),MATCH(IFERROR(A138+0,A138),tbl_Consulting[Job Number],0)))="","",INDEX(tbl_Consulting[Notes],IFERROR(MATCH(A138&amp;"",tbl_Consulting[Job Number],0),MATCH(IFERROR(A138+0,A138),tbl_Consulting[Job Number],0)))),""))))</f>
        <v/>
      </c>
    </row>
    <row r="139" ht="15" customHeight="1">
      <c r="A139" s="22" t="n"/>
      <c r="B139" s="22" t="n"/>
      <c r="C139" s="23" t="n"/>
      <c r="D139" s="22" t="n"/>
      <c r="E139" s="24" t="n"/>
      <c r="F139" s="25">
        <f>IF(C139="","",EOMONTH(C139,0))</f>
        <v/>
      </c>
      <c r="G139" s="26">
        <f>IF(A139="","",IF(COUNTIF(tbl_Onsite[Job Number],A139&amp;"")&gt;0,"Onsite",IF(COUNTIF(tbl_Production[Job Number],A139&amp;"")&gt;0,"Production",IF(COUNTIF(tbl_Consulting[Job Number],A139&amp;"")&gt;0,"Consulting","not set up yet"))))</f>
        <v/>
      </c>
      <c r="H139" s="26">
        <f>IF(A139="","",IF(COUNTIF(lst_Jobs,A139&amp;"")&gt;0,"OK","CHECK"))</f>
        <v/>
      </c>
      <c r="I139" s="26">
        <f>IF(A139="","",IFERROR(INDEX(lst_JobName,MATCH(A139&amp;"",lst_Jobs,0)),""))</f>
        <v/>
      </c>
      <c r="J139" s="26">
        <f>IF(A139="","",IFERROR(IF(INDEX(tbl_Onsite[Client],IFERROR(MATCH(A139&amp;"",tbl_Onsite[Job Number],0),MATCH(IFERROR(A139+0,A139),tbl_Onsite[Job Number],0)))="","",INDEX(tbl_Onsite[Client],IFERROR(MATCH(A139&amp;"",tbl_Onsite[Job Number],0),MATCH(IFERROR(A139+0,A139),tbl_Onsite[Job Number],0)))),IFERROR(IF(INDEX(tbl_Production[Client],IFERROR(MATCH(A139&amp;"",tbl_Production[Job Number],0),MATCH(IFERROR(A139+0,A139),tbl_Production[Job Number],0)))="","",INDEX(tbl_Production[Client],IFERROR(MATCH(A139&amp;"",tbl_Production[Job Number],0),MATCH(IFERROR(A139+0,A139),tbl_Production[Job Number],0)))),IFERROR(IF(INDEX(tbl_Consulting[Client],IFERROR(MATCH(A139&amp;"",tbl_Consulting[Job Number],0),MATCH(IFERROR(A139+0,A139),tbl_Consulting[Job Number],0)))="","",INDEX(tbl_Consulting[Client],IFERROR(MATCH(A139&amp;"",tbl_Consulting[Job Number],0),MATCH(IFERROR(A139+0,A139),tbl_Consulting[Job Number],0)))),""))))</f>
        <v/>
      </c>
      <c r="K139" s="26">
        <f>IF(A139="","",IFERROR(IF(INDEX(tbl_Onsite[Job Description],IFERROR(MATCH(A139&amp;"",tbl_Onsite[Job Number],0),MATCH(IFERROR(A139+0,A139),tbl_Onsite[Job Number],0)))="","",INDEX(tbl_Onsite[Job Description],IFERROR(MATCH(A139&amp;"",tbl_Onsite[Job Number],0),MATCH(IFERROR(A139+0,A139),tbl_Onsite[Job Number],0)))),IFERROR(IF(INDEX(tbl_Production[Job Description],IFERROR(MATCH(A139&amp;"",tbl_Production[Job Number],0),MATCH(IFERROR(A139+0,A139),tbl_Production[Job Number],0)))="","",INDEX(tbl_Production[Job Description],IFERROR(MATCH(A139&amp;"",tbl_Production[Job Number],0),MATCH(IFERROR(A139+0,A139),tbl_Production[Job Number],0)))),IFERROR(IF(INDEX(tbl_Consulting[Job Description],IFERROR(MATCH(A139&amp;"",tbl_Consulting[Job Number],0),MATCH(IFERROR(A139+0,A139),tbl_Consulting[Job Number],0)))="","",INDEX(tbl_Consulting[Job Description],IFERROR(MATCH(A139&amp;"",tbl_Consulting[Job Number],0),MATCH(IFERROR(A139+0,A139),tbl_Consulting[Job Number],0)))),""))))</f>
        <v/>
      </c>
      <c r="L139" s="26">
        <f>IF(A139="","",IFERROR(IF(INDEX(tbl_Onsite[Invoice Type],IFERROR(MATCH(A139&amp;"",tbl_Onsite[Job Number],0),MATCH(IFERROR(A139+0,A139),tbl_Onsite[Job Number],0)))="","",INDEX(tbl_Onsite[Invoice Type],IFERROR(MATCH(A139&amp;"",tbl_Onsite[Job Number],0),MATCH(IFERROR(A139+0,A139),tbl_Onsite[Job Number],0)))),IFERROR(IF(INDEX(tbl_Production[Invoice Type],IFERROR(MATCH(A139&amp;"",tbl_Production[Job Number],0),MATCH(IFERROR(A139+0,A139),tbl_Production[Job Number],0)))="","",INDEX(tbl_Production[Invoice Type],IFERROR(MATCH(A139&amp;"",tbl_Production[Job Number],0),MATCH(IFERROR(A139+0,A139),tbl_Production[Job Number],0)))),IFERROR(IF(INDEX(tbl_Consulting[Invoice Type],IFERROR(MATCH(A139&amp;"",tbl_Consulting[Job Number],0),MATCH(IFERROR(A139+0,A139),tbl_Consulting[Job Number],0)))="","",INDEX(tbl_Consulting[Invoice Type],IFERROR(MATCH(A139&amp;"",tbl_Consulting[Job Number],0),MATCH(IFERROR(A139+0,A139),tbl_Consulting[Job Number],0)))),""))))</f>
        <v/>
      </c>
      <c r="M139" s="26">
        <f>IF(A139="","",IF(IFERROR(IF(INDEX(tbl_Onsite[Tax Code],IFERROR(MATCH(A139&amp;"",tbl_Onsite[Job Number],0),MATCH(IFERROR(A139+0,A139),tbl_Onsite[Job Number],0)))="","",INDEX(tbl_Onsite[Tax Code],IFERROR(MATCH(A139&amp;"",tbl_Onsite[Job Number],0),MATCH(IFERROR(A139+0,A139),tbl_Onsite[Job Number],0)))),IFERROR(IF(INDEX(tbl_Production[Tax Code],IFERROR(MATCH(A139&amp;"",tbl_Production[Job Number],0),MATCH(IFERROR(A139+0,A139),tbl_Production[Job Number],0)))="","",INDEX(tbl_Production[Tax Code],IFERROR(MATCH(A139&amp;"",tbl_Production[Job Number],0),MATCH(IFERROR(A139+0,A139),tbl_Production[Job Number],0)))),IFERROR(IF(INDEX(tbl_Consulting[Tax Code],IFERROR(MATCH(A139&amp;"",tbl_Consulting[Job Number],0),MATCH(IFERROR(A139+0,A139),tbl_Consulting[Job Number],0)))="","",INDEX(tbl_Consulting[Tax Code],IFERROR(MATCH(A139&amp;"",tbl_Consulting[Job Number],0),MATCH(IFERROR(A139+0,A139),tbl_Consulting[Job Number],0)))),"")))="","GST 10%",IFERROR(IF(INDEX(tbl_Onsite[Tax Code],IFERROR(MATCH(A139&amp;"",tbl_Onsite[Job Number],0),MATCH(IFERROR(A139+0,A139),tbl_Onsite[Job Number],0)))="","",INDEX(tbl_Onsite[Tax Code],IFERROR(MATCH(A139&amp;"",tbl_Onsite[Job Number],0),MATCH(IFERROR(A139+0,A139),tbl_Onsite[Job Number],0)))),IFERROR(IF(INDEX(tbl_Production[Tax Code],IFERROR(MATCH(A139&amp;"",tbl_Production[Job Number],0),MATCH(IFERROR(A139+0,A139),tbl_Production[Job Number],0)))="","",INDEX(tbl_Production[Tax Code],IFERROR(MATCH(A139&amp;"",tbl_Production[Job Number],0),MATCH(IFERROR(A139+0,A139),tbl_Production[Job Number],0)))),IFERROR(IF(INDEX(tbl_Consulting[Tax Code],IFERROR(MATCH(A139&amp;"",tbl_Consulting[Job Number],0),MATCH(IFERROR(A139+0,A139),tbl_Consulting[Job Number],0)))="","",INDEX(tbl_Consulting[Tax Code],IFERROR(MATCH(A139&amp;"",tbl_Consulting[Job Number],0),MATCH(IFERROR(A139+0,A139),tbl_Consulting[Job Number],0)))),"")))))</f>
        <v/>
      </c>
      <c r="N139" s="26">
        <f>IF(D139="","",IFERROR(INDEX(lst_CCtoGL,MATCH(D139,lst_CCforGL,0)),""))</f>
        <v/>
      </c>
      <c r="O139" s="27">
        <f>IF(E139="","",IF(M139="GST 10%",ROUND(E139*set_GSTRate,2),0))</f>
        <v/>
      </c>
      <c r="P139" s="27">
        <f>IF(E139="","",E139+O139)</f>
        <v/>
      </c>
      <c r="Q139" s="27">
        <f>IF(A139="","",IFERROR(INDEX(tbl_Onsite[Expected Revenue Ex GST],IFERROR(MATCH(A139&amp;"",tbl_Onsite[Job Number],0),MATCH(IFERROR(A139+0,A139),tbl_Onsite[Job Number],0))),IFERROR(INDEX(tbl_Production[Expected Revenue Ex GST],IFERROR(MATCH(A139&amp;"",tbl_Production[Job Number],0),MATCH(IFERROR(A139+0,A139),tbl_Production[Job Number],0))),IFERROR(INDEX(tbl_Consulting[Expected Revenue Ex GST],IFERROR(MATCH(A139&amp;"",tbl_Consulting[Job Number],0),MATCH(IFERROR(A139+0,A139),tbl_Consulting[Job Number],0))),0))))</f>
        <v/>
      </c>
      <c r="R139" s="27">
        <f>IF(A139="","",SUMIFS(tbl_Finance[Ex GST],tbl_Finance[Job Number],A139&amp;""))</f>
        <v/>
      </c>
      <c r="S139" s="27">
        <f>IF(A139="","",Q139-R139)</f>
        <v/>
      </c>
      <c r="T139" s="26">
        <f>IF(A139="","",IF(Q139=0,"No dept value",IF(ROUND(S139,2)=0,"Agrees",IF(S139&gt;0,"Dept higher - to invoice","Xero higher - check dept"))))</f>
        <v/>
      </c>
      <c r="U139" s="22" t="n"/>
      <c r="V139" s="22" t="n"/>
      <c r="W139" s="23" t="n"/>
      <c r="X139" s="23" t="n"/>
      <c r="Y139" s="22" t="n"/>
      <c r="Z139" s="22" t="n"/>
      <c r="AA139" s="26">
        <f>IF(COUNTA(C139,A139,B139,E139)=0,"",IF(C139="","No date - sits outside every month",IF(A139="","No job number",IF(H139="CHECK","Job number is not in the Xero job list",IF(G139="not set up yet","No department has set this job up - nothing can pull through",IF(D139="","No cost centre",IF(AND(U139="Y",B139=""),"Marked posted to Xero but has no invoice number",IF(N139="","Cost centre has no revenue GL on the Lists sheet",IF(T139="Xero higher - check dept","Invoiced more than the department says the job is worth","")))))))))</f>
        <v/>
      </c>
      <c r="AB139" s="28">
        <f>IF(A139="","",COUNTIFS(tbl_Finance[Job Number],A139&amp;"",tbl_Finance[Ex GST],"&lt;&gt;"))</f>
        <v/>
      </c>
      <c r="AC139" s="27">
        <f>IF(A139="","",SUMIFS(tbl_Finance[Ex GST],tbl_Finance[Job Number],A139&amp;""))</f>
        <v/>
      </c>
      <c r="AD139" s="27">
        <f>IF(A139="","",SUMIFS(tbl_Finance[Ex GST],tbl_Finance[Job Number],A139&amp;"",tbl_Finance[Xero Invoice No],"&lt;&gt;"))</f>
        <v/>
      </c>
      <c r="AE139" s="27">
        <f>IF(A139="","",AC139-AD139)</f>
        <v/>
      </c>
      <c r="AF139" s="26">
        <f>IF(A139="","",IFERROR(IF(INDEX(tbl_Onsite[Qwilr Quote],IFERROR(MATCH(A139&amp;"",tbl_Onsite[Job Number],0),MATCH(IFERROR(A139+0,A139),tbl_Onsite[Job Number],0)))="","",INDEX(tbl_Onsite[Qwilr Quote],IFERROR(MATCH(A139&amp;"",tbl_Onsite[Job Number],0),MATCH(IFERROR(A139+0,A139),tbl_Onsite[Job Number],0)))),IFERROR(IF(IF(INDEX(tbl_Production[Current RMS No],IFERROR(MATCH(A139&amp;"",tbl_Production[Job Number],0),MATCH(IFERROR(A139+0,A139),tbl_Production[Job Number],0)))="",INDEX(tbl_Production[Qwilr Quote],IFERROR(MATCH(A139&amp;"",tbl_Production[Job Number],0),MATCH(IFERROR(A139+0,A139),tbl_Production[Job Number],0))),INDEX(tbl_Production[Current RMS No],IFERROR(MATCH(A139&amp;"",tbl_Production[Job Number],0),MATCH(IFERROR(A139+0,A139),tbl_Production[Job Number],0))))="","",IF(INDEX(tbl_Production[Current RMS No],IFERROR(MATCH(A139&amp;"",tbl_Production[Job Number],0),MATCH(IFERROR(A139+0,A139),tbl_Production[Job Number],0)))="",INDEX(tbl_Production[Qwilr Quote],IFERROR(MATCH(A139&amp;"",tbl_Production[Job Number],0),MATCH(IFERROR(A139+0,A139),tbl_Production[Job Number],0))),INDEX(tbl_Production[Current RMS No],IFERROR(MATCH(A139&amp;"",tbl_Production[Job Number],0),MATCH(IFERROR(A139+0,A139),tbl_Production[Job Number],0))))),IFERROR(IF(INDEX(tbl_Consulting[Qwilr Quote],IFERROR(MATCH(A139&amp;"",tbl_Consulting[Job Number],0),MATCH(IFERROR(A139+0,A139),tbl_Consulting[Job Number],0)))="","",INDEX(tbl_Consulting[Qwilr Quote],IFERROR(MATCH(A139&amp;"",tbl_Consulting[Job Number],0),MATCH(IFERROR(A139+0,A139),tbl_Consulting[Job Number],0)))),""))))</f>
        <v/>
      </c>
      <c r="AG139" s="26">
        <f>IF(AF139="","",IF(AND(LEFT(AF139,4)&lt;&gt;"http",IF(G139="Production",set_RMSBase,set_QwilrBase)=""),"",HYPERLINK(IF(LEFT(AF139,4)="http",AF139,IF(G139="Production",set_RMSBase,set_QwilrBase)&amp;AF139),"Open")))</f>
        <v/>
      </c>
      <c r="AH139" s="27">
        <f>IF(A139="","",IFERROR(INDEX(tbl_Production[Total Expense],IFERROR(MATCH(A139&amp;"",tbl_Production[Job Number],0),MATCH(IFERROR(A139+0,A139),tbl_Production[Job Number],0))),IFERROR(INDEX(tbl_Consulting[Total Expense],IFERROR(MATCH(A139&amp;"",tbl_Consulting[Job Number],0),MATCH(IFERROR(A139+0,A139),tbl_Consulting[Job Number],0))),0)))</f>
        <v/>
      </c>
      <c r="AI139" s="27">
        <f>IF(A139="","",AC139-N(AH139))</f>
        <v/>
      </c>
      <c r="AJ139" s="29">
        <f>IFERROR(AI139/AC139,"")</f>
        <v/>
      </c>
      <c r="AK139" s="26">
        <f>IF(A139="","",IFERROR(IF(INDEX(tbl_Onsite[Notes],IFERROR(MATCH(A139&amp;"",tbl_Onsite[Job Number],0),MATCH(IFERROR(A139+0,A139),tbl_Onsite[Job Number],0)))="","",INDEX(tbl_Onsite[Notes],IFERROR(MATCH(A139&amp;"",tbl_Onsite[Job Number],0),MATCH(IFERROR(A139+0,A139),tbl_Onsite[Job Number],0)))),IFERROR(IF(INDEX(tbl_Production[Notes],IFERROR(MATCH(A139&amp;"",tbl_Production[Job Number],0),MATCH(IFERROR(A139+0,A139),tbl_Production[Job Number],0)))="","",INDEX(tbl_Production[Notes],IFERROR(MATCH(A139&amp;"",tbl_Production[Job Number],0),MATCH(IFERROR(A139+0,A139),tbl_Production[Job Number],0)))),IFERROR(IF(INDEX(tbl_Consulting[Notes],IFERROR(MATCH(A139&amp;"",tbl_Consulting[Job Number],0),MATCH(IFERROR(A139+0,A139),tbl_Consulting[Job Number],0)))="","",INDEX(tbl_Consulting[Notes],IFERROR(MATCH(A139&amp;"",tbl_Consulting[Job Number],0),MATCH(IFERROR(A139+0,A139),tbl_Consulting[Job Number],0)))),""))))</f>
        <v/>
      </c>
    </row>
    <row r="140" ht="15" customHeight="1">
      <c r="A140" s="22" t="n"/>
      <c r="B140" s="22" t="n"/>
      <c r="C140" s="23" t="n"/>
      <c r="D140" s="22" t="n"/>
      <c r="E140" s="24" t="n"/>
      <c r="F140" s="25">
        <f>IF(C140="","",EOMONTH(C140,0))</f>
        <v/>
      </c>
      <c r="G140" s="26">
        <f>IF(A140="","",IF(COUNTIF(tbl_Onsite[Job Number],A140&amp;"")&gt;0,"Onsite",IF(COUNTIF(tbl_Production[Job Number],A140&amp;"")&gt;0,"Production",IF(COUNTIF(tbl_Consulting[Job Number],A140&amp;"")&gt;0,"Consulting","not set up yet"))))</f>
        <v/>
      </c>
      <c r="H140" s="26">
        <f>IF(A140="","",IF(COUNTIF(lst_Jobs,A140&amp;"")&gt;0,"OK","CHECK"))</f>
        <v/>
      </c>
      <c r="I140" s="26">
        <f>IF(A140="","",IFERROR(INDEX(lst_JobName,MATCH(A140&amp;"",lst_Jobs,0)),""))</f>
        <v/>
      </c>
      <c r="J140" s="26">
        <f>IF(A140="","",IFERROR(IF(INDEX(tbl_Onsite[Client],IFERROR(MATCH(A140&amp;"",tbl_Onsite[Job Number],0),MATCH(IFERROR(A140+0,A140),tbl_Onsite[Job Number],0)))="","",INDEX(tbl_Onsite[Client],IFERROR(MATCH(A140&amp;"",tbl_Onsite[Job Number],0),MATCH(IFERROR(A140+0,A140),tbl_Onsite[Job Number],0)))),IFERROR(IF(INDEX(tbl_Production[Client],IFERROR(MATCH(A140&amp;"",tbl_Production[Job Number],0),MATCH(IFERROR(A140+0,A140),tbl_Production[Job Number],0)))="","",INDEX(tbl_Production[Client],IFERROR(MATCH(A140&amp;"",tbl_Production[Job Number],0),MATCH(IFERROR(A140+0,A140),tbl_Production[Job Number],0)))),IFERROR(IF(INDEX(tbl_Consulting[Client],IFERROR(MATCH(A140&amp;"",tbl_Consulting[Job Number],0),MATCH(IFERROR(A140+0,A140),tbl_Consulting[Job Number],0)))="","",INDEX(tbl_Consulting[Client],IFERROR(MATCH(A140&amp;"",tbl_Consulting[Job Number],0),MATCH(IFERROR(A140+0,A140),tbl_Consulting[Job Number],0)))),""))))</f>
        <v/>
      </c>
      <c r="K140" s="26">
        <f>IF(A140="","",IFERROR(IF(INDEX(tbl_Onsite[Job Description],IFERROR(MATCH(A140&amp;"",tbl_Onsite[Job Number],0),MATCH(IFERROR(A140+0,A140),tbl_Onsite[Job Number],0)))="","",INDEX(tbl_Onsite[Job Description],IFERROR(MATCH(A140&amp;"",tbl_Onsite[Job Number],0),MATCH(IFERROR(A140+0,A140),tbl_Onsite[Job Number],0)))),IFERROR(IF(INDEX(tbl_Production[Job Description],IFERROR(MATCH(A140&amp;"",tbl_Production[Job Number],0),MATCH(IFERROR(A140+0,A140),tbl_Production[Job Number],0)))="","",INDEX(tbl_Production[Job Description],IFERROR(MATCH(A140&amp;"",tbl_Production[Job Number],0),MATCH(IFERROR(A140+0,A140),tbl_Production[Job Number],0)))),IFERROR(IF(INDEX(tbl_Consulting[Job Description],IFERROR(MATCH(A140&amp;"",tbl_Consulting[Job Number],0),MATCH(IFERROR(A140+0,A140),tbl_Consulting[Job Number],0)))="","",INDEX(tbl_Consulting[Job Description],IFERROR(MATCH(A140&amp;"",tbl_Consulting[Job Number],0),MATCH(IFERROR(A140+0,A140),tbl_Consulting[Job Number],0)))),""))))</f>
        <v/>
      </c>
      <c r="L140" s="26">
        <f>IF(A140="","",IFERROR(IF(INDEX(tbl_Onsite[Invoice Type],IFERROR(MATCH(A140&amp;"",tbl_Onsite[Job Number],0),MATCH(IFERROR(A140+0,A140),tbl_Onsite[Job Number],0)))="","",INDEX(tbl_Onsite[Invoice Type],IFERROR(MATCH(A140&amp;"",tbl_Onsite[Job Number],0),MATCH(IFERROR(A140+0,A140),tbl_Onsite[Job Number],0)))),IFERROR(IF(INDEX(tbl_Production[Invoice Type],IFERROR(MATCH(A140&amp;"",tbl_Production[Job Number],0),MATCH(IFERROR(A140+0,A140),tbl_Production[Job Number],0)))="","",INDEX(tbl_Production[Invoice Type],IFERROR(MATCH(A140&amp;"",tbl_Production[Job Number],0),MATCH(IFERROR(A140+0,A140),tbl_Production[Job Number],0)))),IFERROR(IF(INDEX(tbl_Consulting[Invoice Type],IFERROR(MATCH(A140&amp;"",tbl_Consulting[Job Number],0),MATCH(IFERROR(A140+0,A140),tbl_Consulting[Job Number],0)))="","",INDEX(tbl_Consulting[Invoice Type],IFERROR(MATCH(A140&amp;"",tbl_Consulting[Job Number],0),MATCH(IFERROR(A140+0,A140),tbl_Consulting[Job Number],0)))),""))))</f>
        <v/>
      </c>
      <c r="M140" s="26">
        <f>IF(A140="","",IF(IFERROR(IF(INDEX(tbl_Onsite[Tax Code],IFERROR(MATCH(A140&amp;"",tbl_Onsite[Job Number],0),MATCH(IFERROR(A140+0,A140),tbl_Onsite[Job Number],0)))="","",INDEX(tbl_Onsite[Tax Code],IFERROR(MATCH(A140&amp;"",tbl_Onsite[Job Number],0),MATCH(IFERROR(A140+0,A140),tbl_Onsite[Job Number],0)))),IFERROR(IF(INDEX(tbl_Production[Tax Code],IFERROR(MATCH(A140&amp;"",tbl_Production[Job Number],0),MATCH(IFERROR(A140+0,A140),tbl_Production[Job Number],0)))="","",INDEX(tbl_Production[Tax Code],IFERROR(MATCH(A140&amp;"",tbl_Production[Job Number],0),MATCH(IFERROR(A140+0,A140),tbl_Production[Job Number],0)))),IFERROR(IF(INDEX(tbl_Consulting[Tax Code],IFERROR(MATCH(A140&amp;"",tbl_Consulting[Job Number],0),MATCH(IFERROR(A140+0,A140),tbl_Consulting[Job Number],0)))="","",INDEX(tbl_Consulting[Tax Code],IFERROR(MATCH(A140&amp;"",tbl_Consulting[Job Number],0),MATCH(IFERROR(A140+0,A140),tbl_Consulting[Job Number],0)))),"")))="","GST 10%",IFERROR(IF(INDEX(tbl_Onsite[Tax Code],IFERROR(MATCH(A140&amp;"",tbl_Onsite[Job Number],0),MATCH(IFERROR(A140+0,A140),tbl_Onsite[Job Number],0)))="","",INDEX(tbl_Onsite[Tax Code],IFERROR(MATCH(A140&amp;"",tbl_Onsite[Job Number],0),MATCH(IFERROR(A140+0,A140),tbl_Onsite[Job Number],0)))),IFERROR(IF(INDEX(tbl_Production[Tax Code],IFERROR(MATCH(A140&amp;"",tbl_Production[Job Number],0),MATCH(IFERROR(A140+0,A140),tbl_Production[Job Number],0)))="","",INDEX(tbl_Production[Tax Code],IFERROR(MATCH(A140&amp;"",tbl_Production[Job Number],0),MATCH(IFERROR(A140+0,A140),tbl_Production[Job Number],0)))),IFERROR(IF(INDEX(tbl_Consulting[Tax Code],IFERROR(MATCH(A140&amp;"",tbl_Consulting[Job Number],0),MATCH(IFERROR(A140+0,A140),tbl_Consulting[Job Number],0)))="","",INDEX(tbl_Consulting[Tax Code],IFERROR(MATCH(A140&amp;"",tbl_Consulting[Job Number],0),MATCH(IFERROR(A140+0,A140),tbl_Consulting[Job Number],0)))),"")))))</f>
        <v/>
      </c>
      <c r="N140" s="26">
        <f>IF(D140="","",IFERROR(INDEX(lst_CCtoGL,MATCH(D140,lst_CCforGL,0)),""))</f>
        <v/>
      </c>
      <c r="O140" s="27">
        <f>IF(E140="","",IF(M140="GST 10%",ROUND(E140*set_GSTRate,2),0))</f>
        <v/>
      </c>
      <c r="P140" s="27">
        <f>IF(E140="","",E140+O140)</f>
        <v/>
      </c>
      <c r="Q140" s="27">
        <f>IF(A140="","",IFERROR(INDEX(tbl_Onsite[Expected Revenue Ex GST],IFERROR(MATCH(A140&amp;"",tbl_Onsite[Job Number],0),MATCH(IFERROR(A140+0,A140),tbl_Onsite[Job Number],0))),IFERROR(INDEX(tbl_Production[Expected Revenue Ex GST],IFERROR(MATCH(A140&amp;"",tbl_Production[Job Number],0),MATCH(IFERROR(A140+0,A140),tbl_Production[Job Number],0))),IFERROR(INDEX(tbl_Consulting[Expected Revenue Ex GST],IFERROR(MATCH(A140&amp;"",tbl_Consulting[Job Number],0),MATCH(IFERROR(A140+0,A140),tbl_Consulting[Job Number],0))),0))))</f>
        <v/>
      </c>
      <c r="R140" s="27">
        <f>IF(A140="","",SUMIFS(tbl_Finance[Ex GST],tbl_Finance[Job Number],A140&amp;""))</f>
        <v/>
      </c>
      <c r="S140" s="27">
        <f>IF(A140="","",Q140-R140)</f>
        <v/>
      </c>
      <c r="T140" s="26">
        <f>IF(A140="","",IF(Q140=0,"No dept value",IF(ROUND(S140,2)=0,"Agrees",IF(S140&gt;0,"Dept higher - to invoice","Xero higher - check dept"))))</f>
        <v/>
      </c>
      <c r="U140" s="22" t="n"/>
      <c r="V140" s="22" t="n"/>
      <c r="W140" s="23" t="n"/>
      <c r="X140" s="23" t="n"/>
      <c r="Y140" s="22" t="n"/>
      <c r="Z140" s="22" t="n"/>
      <c r="AA140" s="26">
        <f>IF(COUNTA(C140,A140,B140,E140)=0,"",IF(C140="","No date - sits outside every month",IF(A140="","No job number",IF(H140="CHECK","Job number is not in the Xero job list",IF(G140="not set up yet","No department has set this job up - nothing can pull through",IF(D140="","No cost centre",IF(AND(U140="Y",B140=""),"Marked posted to Xero but has no invoice number",IF(N140="","Cost centre has no revenue GL on the Lists sheet",IF(T140="Xero higher - check dept","Invoiced more than the department says the job is worth","")))))))))</f>
        <v/>
      </c>
      <c r="AB140" s="28">
        <f>IF(A140="","",COUNTIFS(tbl_Finance[Job Number],A140&amp;"",tbl_Finance[Ex GST],"&lt;&gt;"))</f>
        <v/>
      </c>
      <c r="AC140" s="27">
        <f>IF(A140="","",SUMIFS(tbl_Finance[Ex GST],tbl_Finance[Job Number],A140&amp;""))</f>
        <v/>
      </c>
      <c r="AD140" s="27">
        <f>IF(A140="","",SUMIFS(tbl_Finance[Ex GST],tbl_Finance[Job Number],A140&amp;"",tbl_Finance[Xero Invoice No],"&lt;&gt;"))</f>
        <v/>
      </c>
      <c r="AE140" s="27">
        <f>IF(A140="","",AC140-AD140)</f>
        <v/>
      </c>
      <c r="AF140" s="26">
        <f>IF(A140="","",IFERROR(IF(INDEX(tbl_Onsite[Qwilr Quote],IFERROR(MATCH(A140&amp;"",tbl_Onsite[Job Number],0),MATCH(IFERROR(A140+0,A140),tbl_Onsite[Job Number],0)))="","",INDEX(tbl_Onsite[Qwilr Quote],IFERROR(MATCH(A140&amp;"",tbl_Onsite[Job Number],0),MATCH(IFERROR(A140+0,A140),tbl_Onsite[Job Number],0)))),IFERROR(IF(IF(INDEX(tbl_Production[Current RMS No],IFERROR(MATCH(A140&amp;"",tbl_Production[Job Number],0),MATCH(IFERROR(A140+0,A140),tbl_Production[Job Number],0)))="",INDEX(tbl_Production[Qwilr Quote],IFERROR(MATCH(A140&amp;"",tbl_Production[Job Number],0),MATCH(IFERROR(A140+0,A140),tbl_Production[Job Number],0))),INDEX(tbl_Production[Current RMS No],IFERROR(MATCH(A140&amp;"",tbl_Production[Job Number],0),MATCH(IFERROR(A140+0,A140),tbl_Production[Job Number],0))))="","",IF(INDEX(tbl_Production[Current RMS No],IFERROR(MATCH(A140&amp;"",tbl_Production[Job Number],0),MATCH(IFERROR(A140+0,A140),tbl_Production[Job Number],0)))="",INDEX(tbl_Production[Qwilr Quote],IFERROR(MATCH(A140&amp;"",tbl_Production[Job Number],0),MATCH(IFERROR(A140+0,A140),tbl_Production[Job Number],0))),INDEX(tbl_Production[Current RMS No],IFERROR(MATCH(A140&amp;"",tbl_Production[Job Number],0),MATCH(IFERROR(A140+0,A140),tbl_Production[Job Number],0))))),IFERROR(IF(INDEX(tbl_Consulting[Qwilr Quote],IFERROR(MATCH(A140&amp;"",tbl_Consulting[Job Number],0),MATCH(IFERROR(A140+0,A140),tbl_Consulting[Job Number],0)))="","",INDEX(tbl_Consulting[Qwilr Quote],IFERROR(MATCH(A140&amp;"",tbl_Consulting[Job Number],0),MATCH(IFERROR(A140+0,A140),tbl_Consulting[Job Number],0)))),""))))</f>
        <v/>
      </c>
      <c r="AG140" s="26">
        <f>IF(AF140="","",IF(AND(LEFT(AF140,4)&lt;&gt;"http",IF(G140="Production",set_RMSBase,set_QwilrBase)=""),"",HYPERLINK(IF(LEFT(AF140,4)="http",AF140,IF(G140="Production",set_RMSBase,set_QwilrBase)&amp;AF140),"Open")))</f>
        <v/>
      </c>
      <c r="AH140" s="27">
        <f>IF(A140="","",IFERROR(INDEX(tbl_Production[Total Expense],IFERROR(MATCH(A140&amp;"",tbl_Production[Job Number],0),MATCH(IFERROR(A140+0,A140),tbl_Production[Job Number],0))),IFERROR(INDEX(tbl_Consulting[Total Expense],IFERROR(MATCH(A140&amp;"",tbl_Consulting[Job Number],0),MATCH(IFERROR(A140+0,A140),tbl_Consulting[Job Number],0))),0)))</f>
        <v/>
      </c>
      <c r="AI140" s="27">
        <f>IF(A140="","",AC140-N(AH140))</f>
        <v/>
      </c>
      <c r="AJ140" s="29">
        <f>IFERROR(AI140/AC140,"")</f>
        <v/>
      </c>
      <c r="AK140" s="26">
        <f>IF(A140="","",IFERROR(IF(INDEX(tbl_Onsite[Notes],IFERROR(MATCH(A140&amp;"",tbl_Onsite[Job Number],0),MATCH(IFERROR(A140+0,A140),tbl_Onsite[Job Number],0)))="","",INDEX(tbl_Onsite[Notes],IFERROR(MATCH(A140&amp;"",tbl_Onsite[Job Number],0),MATCH(IFERROR(A140+0,A140),tbl_Onsite[Job Number],0)))),IFERROR(IF(INDEX(tbl_Production[Notes],IFERROR(MATCH(A140&amp;"",tbl_Production[Job Number],0),MATCH(IFERROR(A140+0,A140),tbl_Production[Job Number],0)))="","",INDEX(tbl_Production[Notes],IFERROR(MATCH(A140&amp;"",tbl_Production[Job Number],0),MATCH(IFERROR(A140+0,A140),tbl_Production[Job Number],0)))),IFERROR(IF(INDEX(tbl_Consulting[Notes],IFERROR(MATCH(A140&amp;"",tbl_Consulting[Job Number],0),MATCH(IFERROR(A140+0,A140),tbl_Consulting[Job Number],0)))="","",INDEX(tbl_Consulting[Notes],IFERROR(MATCH(A140&amp;"",tbl_Consulting[Job Number],0),MATCH(IFERROR(A140+0,A140),tbl_Consulting[Job Number],0)))),""))))</f>
        <v/>
      </c>
    </row>
    <row r="141" ht="15" customHeight="1">
      <c r="A141" s="22" t="n"/>
      <c r="B141" s="22" t="n"/>
      <c r="C141" s="23" t="n"/>
      <c r="D141" s="22" t="n"/>
      <c r="E141" s="24" t="n"/>
      <c r="F141" s="25">
        <f>IF(C141="","",EOMONTH(C141,0))</f>
        <v/>
      </c>
      <c r="G141" s="26">
        <f>IF(A141="","",IF(COUNTIF(tbl_Onsite[Job Number],A141&amp;"")&gt;0,"Onsite",IF(COUNTIF(tbl_Production[Job Number],A141&amp;"")&gt;0,"Production",IF(COUNTIF(tbl_Consulting[Job Number],A141&amp;"")&gt;0,"Consulting","not set up yet"))))</f>
        <v/>
      </c>
      <c r="H141" s="26">
        <f>IF(A141="","",IF(COUNTIF(lst_Jobs,A141&amp;"")&gt;0,"OK","CHECK"))</f>
        <v/>
      </c>
      <c r="I141" s="26">
        <f>IF(A141="","",IFERROR(INDEX(lst_JobName,MATCH(A141&amp;"",lst_Jobs,0)),""))</f>
        <v/>
      </c>
      <c r="J141" s="26">
        <f>IF(A141="","",IFERROR(IF(INDEX(tbl_Onsite[Client],IFERROR(MATCH(A141&amp;"",tbl_Onsite[Job Number],0),MATCH(IFERROR(A141+0,A141),tbl_Onsite[Job Number],0)))="","",INDEX(tbl_Onsite[Client],IFERROR(MATCH(A141&amp;"",tbl_Onsite[Job Number],0),MATCH(IFERROR(A141+0,A141),tbl_Onsite[Job Number],0)))),IFERROR(IF(INDEX(tbl_Production[Client],IFERROR(MATCH(A141&amp;"",tbl_Production[Job Number],0),MATCH(IFERROR(A141+0,A141),tbl_Production[Job Number],0)))="","",INDEX(tbl_Production[Client],IFERROR(MATCH(A141&amp;"",tbl_Production[Job Number],0),MATCH(IFERROR(A141+0,A141),tbl_Production[Job Number],0)))),IFERROR(IF(INDEX(tbl_Consulting[Client],IFERROR(MATCH(A141&amp;"",tbl_Consulting[Job Number],0),MATCH(IFERROR(A141+0,A141),tbl_Consulting[Job Number],0)))="","",INDEX(tbl_Consulting[Client],IFERROR(MATCH(A141&amp;"",tbl_Consulting[Job Number],0),MATCH(IFERROR(A141+0,A141),tbl_Consulting[Job Number],0)))),""))))</f>
        <v/>
      </c>
      <c r="K141" s="26">
        <f>IF(A141="","",IFERROR(IF(INDEX(tbl_Onsite[Job Description],IFERROR(MATCH(A141&amp;"",tbl_Onsite[Job Number],0),MATCH(IFERROR(A141+0,A141),tbl_Onsite[Job Number],0)))="","",INDEX(tbl_Onsite[Job Description],IFERROR(MATCH(A141&amp;"",tbl_Onsite[Job Number],0),MATCH(IFERROR(A141+0,A141),tbl_Onsite[Job Number],0)))),IFERROR(IF(INDEX(tbl_Production[Job Description],IFERROR(MATCH(A141&amp;"",tbl_Production[Job Number],0),MATCH(IFERROR(A141+0,A141),tbl_Production[Job Number],0)))="","",INDEX(tbl_Production[Job Description],IFERROR(MATCH(A141&amp;"",tbl_Production[Job Number],0),MATCH(IFERROR(A141+0,A141),tbl_Production[Job Number],0)))),IFERROR(IF(INDEX(tbl_Consulting[Job Description],IFERROR(MATCH(A141&amp;"",tbl_Consulting[Job Number],0),MATCH(IFERROR(A141+0,A141),tbl_Consulting[Job Number],0)))="","",INDEX(tbl_Consulting[Job Description],IFERROR(MATCH(A141&amp;"",tbl_Consulting[Job Number],0),MATCH(IFERROR(A141+0,A141),tbl_Consulting[Job Number],0)))),""))))</f>
        <v/>
      </c>
      <c r="L141" s="26">
        <f>IF(A141="","",IFERROR(IF(INDEX(tbl_Onsite[Invoice Type],IFERROR(MATCH(A141&amp;"",tbl_Onsite[Job Number],0),MATCH(IFERROR(A141+0,A141),tbl_Onsite[Job Number],0)))="","",INDEX(tbl_Onsite[Invoice Type],IFERROR(MATCH(A141&amp;"",tbl_Onsite[Job Number],0),MATCH(IFERROR(A141+0,A141),tbl_Onsite[Job Number],0)))),IFERROR(IF(INDEX(tbl_Production[Invoice Type],IFERROR(MATCH(A141&amp;"",tbl_Production[Job Number],0),MATCH(IFERROR(A141+0,A141),tbl_Production[Job Number],0)))="","",INDEX(tbl_Production[Invoice Type],IFERROR(MATCH(A141&amp;"",tbl_Production[Job Number],0),MATCH(IFERROR(A141+0,A141),tbl_Production[Job Number],0)))),IFERROR(IF(INDEX(tbl_Consulting[Invoice Type],IFERROR(MATCH(A141&amp;"",tbl_Consulting[Job Number],0),MATCH(IFERROR(A141+0,A141),tbl_Consulting[Job Number],0)))="","",INDEX(tbl_Consulting[Invoice Type],IFERROR(MATCH(A141&amp;"",tbl_Consulting[Job Number],0),MATCH(IFERROR(A141+0,A141),tbl_Consulting[Job Number],0)))),""))))</f>
        <v/>
      </c>
      <c r="M141" s="26">
        <f>IF(A141="","",IF(IFERROR(IF(INDEX(tbl_Onsite[Tax Code],IFERROR(MATCH(A141&amp;"",tbl_Onsite[Job Number],0),MATCH(IFERROR(A141+0,A141),tbl_Onsite[Job Number],0)))="","",INDEX(tbl_Onsite[Tax Code],IFERROR(MATCH(A141&amp;"",tbl_Onsite[Job Number],0),MATCH(IFERROR(A141+0,A141),tbl_Onsite[Job Number],0)))),IFERROR(IF(INDEX(tbl_Production[Tax Code],IFERROR(MATCH(A141&amp;"",tbl_Production[Job Number],0),MATCH(IFERROR(A141+0,A141),tbl_Production[Job Number],0)))="","",INDEX(tbl_Production[Tax Code],IFERROR(MATCH(A141&amp;"",tbl_Production[Job Number],0),MATCH(IFERROR(A141+0,A141),tbl_Production[Job Number],0)))),IFERROR(IF(INDEX(tbl_Consulting[Tax Code],IFERROR(MATCH(A141&amp;"",tbl_Consulting[Job Number],0),MATCH(IFERROR(A141+0,A141),tbl_Consulting[Job Number],0)))="","",INDEX(tbl_Consulting[Tax Code],IFERROR(MATCH(A141&amp;"",tbl_Consulting[Job Number],0),MATCH(IFERROR(A141+0,A141),tbl_Consulting[Job Number],0)))),"")))="","GST 10%",IFERROR(IF(INDEX(tbl_Onsite[Tax Code],IFERROR(MATCH(A141&amp;"",tbl_Onsite[Job Number],0),MATCH(IFERROR(A141+0,A141),tbl_Onsite[Job Number],0)))="","",INDEX(tbl_Onsite[Tax Code],IFERROR(MATCH(A141&amp;"",tbl_Onsite[Job Number],0),MATCH(IFERROR(A141+0,A141),tbl_Onsite[Job Number],0)))),IFERROR(IF(INDEX(tbl_Production[Tax Code],IFERROR(MATCH(A141&amp;"",tbl_Production[Job Number],0),MATCH(IFERROR(A141+0,A141),tbl_Production[Job Number],0)))="","",INDEX(tbl_Production[Tax Code],IFERROR(MATCH(A141&amp;"",tbl_Production[Job Number],0),MATCH(IFERROR(A141+0,A141),tbl_Production[Job Number],0)))),IFERROR(IF(INDEX(tbl_Consulting[Tax Code],IFERROR(MATCH(A141&amp;"",tbl_Consulting[Job Number],0),MATCH(IFERROR(A141+0,A141),tbl_Consulting[Job Number],0)))="","",INDEX(tbl_Consulting[Tax Code],IFERROR(MATCH(A141&amp;"",tbl_Consulting[Job Number],0),MATCH(IFERROR(A141+0,A141),tbl_Consulting[Job Number],0)))),"")))))</f>
        <v/>
      </c>
      <c r="N141" s="26">
        <f>IF(D141="","",IFERROR(INDEX(lst_CCtoGL,MATCH(D141,lst_CCforGL,0)),""))</f>
        <v/>
      </c>
      <c r="O141" s="27">
        <f>IF(E141="","",IF(M141="GST 10%",ROUND(E141*set_GSTRate,2),0))</f>
        <v/>
      </c>
      <c r="P141" s="27">
        <f>IF(E141="","",E141+O141)</f>
        <v/>
      </c>
      <c r="Q141" s="27">
        <f>IF(A141="","",IFERROR(INDEX(tbl_Onsite[Expected Revenue Ex GST],IFERROR(MATCH(A141&amp;"",tbl_Onsite[Job Number],0),MATCH(IFERROR(A141+0,A141),tbl_Onsite[Job Number],0))),IFERROR(INDEX(tbl_Production[Expected Revenue Ex GST],IFERROR(MATCH(A141&amp;"",tbl_Production[Job Number],0),MATCH(IFERROR(A141+0,A141),tbl_Production[Job Number],0))),IFERROR(INDEX(tbl_Consulting[Expected Revenue Ex GST],IFERROR(MATCH(A141&amp;"",tbl_Consulting[Job Number],0),MATCH(IFERROR(A141+0,A141),tbl_Consulting[Job Number],0))),0))))</f>
        <v/>
      </c>
      <c r="R141" s="27">
        <f>IF(A141="","",SUMIFS(tbl_Finance[Ex GST],tbl_Finance[Job Number],A141&amp;""))</f>
        <v/>
      </c>
      <c r="S141" s="27">
        <f>IF(A141="","",Q141-R141)</f>
        <v/>
      </c>
      <c r="T141" s="26">
        <f>IF(A141="","",IF(Q141=0,"No dept value",IF(ROUND(S141,2)=0,"Agrees",IF(S141&gt;0,"Dept higher - to invoice","Xero higher - check dept"))))</f>
        <v/>
      </c>
      <c r="U141" s="22" t="n"/>
      <c r="V141" s="22" t="n"/>
      <c r="W141" s="23" t="n"/>
      <c r="X141" s="23" t="n"/>
      <c r="Y141" s="22" t="n"/>
      <c r="Z141" s="22" t="n"/>
      <c r="AA141" s="26">
        <f>IF(COUNTA(C141,A141,B141,E141)=0,"",IF(C141="","No date - sits outside every month",IF(A141="","No job number",IF(H141="CHECK","Job number is not in the Xero job list",IF(G141="not set up yet","No department has set this job up - nothing can pull through",IF(D141="","No cost centre",IF(AND(U141="Y",B141=""),"Marked posted to Xero but has no invoice number",IF(N141="","Cost centre has no revenue GL on the Lists sheet",IF(T141="Xero higher - check dept","Invoiced more than the department says the job is worth","")))))))))</f>
        <v/>
      </c>
      <c r="AB141" s="28">
        <f>IF(A141="","",COUNTIFS(tbl_Finance[Job Number],A141&amp;"",tbl_Finance[Ex GST],"&lt;&gt;"))</f>
        <v/>
      </c>
      <c r="AC141" s="27">
        <f>IF(A141="","",SUMIFS(tbl_Finance[Ex GST],tbl_Finance[Job Number],A141&amp;""))</f>
        <v/>
      </c>
      <c r="AD141" s="27">
        <f>IF(A141="","",SUMIFS(tbl_Finance[Ex GST],tbl_Finance[Job Number],A141&amp;"",tbl_Finance[Xero Invoice No],"&lt;&gt;"))</f>
        <v/>
      </c>
      <c r="AE141" s="27">
        <f>IF(A141="","",AC141-AD141)</f>
        <v/>
      </c>
      <c r="AF141" s="26">
        <f>IF(A141="","",IFERROR(IF(INDEX(tbl_Onsite[Qwilr Quote],IFERROR(MATCH(A141&amp;"",tbl_Onsite[Job Number],0),MATCH(IFERROR(A141+0,A141),tbl_Onsite[Job Number],0)))="","",INDEX(tbl_Onsite[Qwilr Quote],IFERROR(MATCH(A141&amp;"",tbl_Onsite[Job Number],0),MATCH(IFERROR(A141+0,A141),tbl_Onsite[Job Number],0)))),IFERROR(IF(IF(INDEX(tbl_Production[Current RMS No],IFERROR(MATCH(A141&amp;"",tbl_Production[Job Number],0),MATCH(IFERROR(A141+0,A141),tbl_Production[Job Number],0)))="",INDEX(tbl_Production[Qwilr Quote],IFERROR(MATCH(A141&amp;"",tbl_Production[Job Number],0),MATCH(IFERROR(A141+0,A141),tbl_Production[Job Number],0))),INDEX(tbl_Production[Current RMS No],IFERROR(MATCH(A141&amp;"",tbl_Production[Job Number],0),MATCH(IFERROR(A141+0,A141),tbl_Production[Job Number],0))))="","",IF(INDEX(tbl_Production[Current RMS No],IFERROR(MATCH(A141&amp;"",tbl_Production[Job Number],0),MATCH(IFERROR(A141+0,A141),tbl_Production[Job Number],0)))="",INDEX(tbl_Production[Qwilr Quote],IFERROR(MATCH(A141&amp;"",tbl_Production[Job Number],0),MATCH(IFERROR(A141+0,A141),tbl_Production[Job Number],0))),INDEX(tbl_Production[Current RMS No],IFERROR(MATCH(A141&amp;"",tbl_Production[Job Number],0),MATCH(IFERROR(A141+0,A141),tbl_Production[Job Number],0))))),IFERROR(IF(INDEX(tbl_Consulting[Qwilr Quote],IFERROR(MATCH(A141&amp;"",tbl_Consulting[Job Number],0),MATCH(IFERROR(A141+0,A141),tbl_Consulting[Job Number],0)))="","",INDEX(tbl_Consulting[Qwilr Quote],IFERROR(MATCH(A141&amp;"",tbl_Consulting[Job Number],0),MATCH(IFERROR(A141+0,A141),tbl_Consulting[Job Number],0)))),""))))</f>
        <v/>
      </c>
      <c r="AG141" s="26">
        <f>IF(AF141="","",IF(AND(LEFT(AF141,4)&lt;&gt;"http",IF(G141="Production",set_RMSBase,set_QwilrBase)=""),"",HYPERLINK(IF(LEFT(AF141,4)="http",AF141,IF(G141="Production",set_RMSBase,set_QwilrBase)&amp;AF141),"Open")))</f>
        <v/>
      </c>
      <c r="AH141" s="27">
        <f>IF(A141="","",IFERROR(INDEX(tbl_Production[Total Expense],IFERROR(MATCH(A141&amp;"",tbl_Production[Job Number],0),MATCH(IFERROR(A141+0,A141),tbl_Production[Job Number],0))),IFERROR(INDEX(tbl_Consulting[Total Expense],IFERROR(MATCH(A141&amp;"",tbl_Consulting[Job Number],0),MATCH(IFERROR(A141+0,A141),tbl_Consulting[Job Number],0))),0)))</f>
        <v/>
      </c>
      <c r="AI141" s="27">
        <f>IF(A141="","",AC141-N(AH141))</f>
        <v/>
      </c>
      <c r="AJ141" s="29">
        <f>IFERROR(AI141/AC141,"")</f>
        <v/>
      </c>
      <c r="AK141" s="26">
        <f>IF(A141="","",IFERROR(IF(INDEX(tbl_Onsite[Notes],IFERROR(MATCH(A141&amp;"",tbl_Onsite[Job Number],0),MATCH(IFERROR(A141+0,A141),tbl_Onsite[Job Number],0)))="","",INDEX(tbl_Onsite[Notes],IFERROR(MATCH(A141&amp;"",tbl_Onsite[Job Number],0),MATCH(IFERROR(A141+0,A141),tbl_Onsite[Job Number],0)))),IFERROR(IF(INDEX(tbl_Production[Notes],IFERROR(MATCH(A141&amp;"",tbl_Production[Job Number],0),MATCH(IFERROR(A141+0,A141),tbl_Production[Job Number],0)))="","",INDEX(tbl_Production[Notes],IFERROR(MATCH(A141&amp;"",tbl_Production[Job Number],0),MATCH(IFERROR(A141+0,A141),tbl_Production[Job Number],0)))),IFERROR(IF(INDEX(tbl_Consulting[Notes],IFERROR(MATCH(A141&amp;"",tbl_Consulting[Job Number],0),MATCH(IFERROR(A141+0,A141),tbl_Consulting[Job Number],0)))="","",INDEX(tbl_Consulting[Notes],IFERROR(MATCH(A141&amp;"",tbl_Consulting[Job Number],0),MATCH(IFERROR(A141+0,A141),tbl_Consulting[Job Number],0)))),""))))</f>
        <v/>
      </c>
    </row>
    <row r="142" ht="15" customHeight="1">
      <c r="A142" s="22" t="n"/>
      <c r="B142" s="22" t="n"/>
      <c r="C142" s="23" t="n"/>
      <c r="D142" s="22" t="n"/>
      <c r="E142" s="24" t="n"/>
      <c r="F142" s="25">
        <f>IF(C142="","",EOMONTH(C142,0))</f>
        <v/>
      </c>
      <c r="G142" s="26">
        <f>IF(A142="","",IF(COUNTIF(tbl_Onsite[Job Number],A142&amp;"")&gt;0,"Onsite",IF(COUNTIF(tbl_Production[Job Number],A142&amp;"")&gt;0,"Production",IF(COUNTIF(tbl_Consulting[Job Number],A142&amp;"")&gt;0,"Consulting","not set up yet"))))</f>
        <v/>
      </c>
      <c r="H142" s="26">
        <f>IF(A142="","",IF(COUNTIF(lst_Jobs,A142&amp;"")&gt;0,"OK","CHECK"))</f>
        <v/>
      </c>
      <c r="I142" s="26">
        <f>IF(A142="","",IFERROR(INDEX(lst_JobName,MATCH(A142&amp;"",lst_Jobs,0)),""))</f>
        <v/>
      </c>
      <c r="J142" s="26">
        <f>IF(A142="","",IFERROR(IF(INDEX(tbl_Onsite[Client],IFERROR(MATCH(A142&amp;"",tbl_Onsite[Job Number],0),MATCH(IFERROR(A142+0,A142),tbl_Onsite[Job Number],0)))="","",INDEX(tbl_Onsite[Client],IFERROR(MATCH(A142&amp;"",tbl_Onsite[Job Number],0),MATCH(IFERROR(A142+0,A142),tbl_Onsite[Job Number],0)))),IFERROR(IF(INDEX(tbl_Production[Client],IFERROR(MATCH(A142&amp;"",tbl_Production[Job Number],0),MATCH(IFERROR(A142+0,A142),tbl_Production[Job Number],0)))="","",INDEX(tbl_Production[Client],IFERROR(MATCH(A142&amp;"",tbl_Production[Job Number],0),MATCH(IFERROR(A142+0,A142),tbl_Production[Job Number],0)))),IFERROR(IF(INDEX(tbl_Consulting[Client],IFERROR(MATCH(A142&amp;"",tbl_Consulting[Job Number],0),MATCH(IFERROR(A142+0,A142),tbl_Consulting[Job Number],0)))="","",INDEX(tbl_Consulting[Client],IFERROR(MATCH(A142&amp;"",tbl_Consulting[Job Number],0),MATCH(IFERROR(A142+0,A142),tbl_Consulting[Job Number],0)))),""))))</f>
        <v/>
      </c>
      <c r="K142" s="26">
        <f>IF(A142="","",IFERROR(IF(INDEX(tbl_Onsite[Job Description],IFERROR(MATCH(A142&amp;"",tbl_Onsite[Job Number],0),MATCH(IFERROR(A142+0,A142),tbl_Onsite[Job Number],0)))="","",INDEX(tbl_Onsite[Job Description],IFERROR(MATCH(A142&amp;"",tbl_Onsite[Job Number],0),MATCH(IFERROR(A142+0,A142),tbl_Onsite[Job Number],0)))),IFERROR(IF(INDEX(tbl_Production[Job Description],IFERROR(MATCH(A142&amp;"",tbl_Production[Job Number],0),MATCH(IFERROR(A142+0,A142),tbl_Production[Job Number],0)))="","",INDEX(tbl_Production[Job Description],IFERROR(MATCH(A142&amp;"",tbl_Production[Job Number],0),MATCH(IFERROR(A142+0,A142),tbl_Production[Job Number],0)))),IFERROR(IF(INDEX(tbl_Consulting[Job Description],IFERROR(MATCH(A142&amp;"",tbl_Consulting[Job Number],0),MATCH(IFERROR(A142+0,A142),tbl_Consulting[Job Number],0)))="","",INDEX(tbl_Consulting[Job Description],IFERROR(MATCH(A142&amp;"",tbl_Consulting[Job Number],0),MATCH(IFERROR(A142+0,A142),tbl_Consulting[Job Number],0)))),""))))</f>
        <v/>
      </c>
      <c r="L142" s="26">
        <f>IF(A142="","",IFERROR(IF(INDEX(tbl_Onsite[Invoice Type],IFERROR(MATCH(A142&amp;"",tbl_Onsite[Job Number],0),MATCH(IFERROR(A142+0,A142),tbl_Onsite[Job Number],0)))="","",INDEX(tbl_Onsite[Invoice Type],IFERROR(MATCH(A142&amp;"",tbl_Onsite[Job Number],0),MATCH(IFERROR(A142+0,A142),tbl_Onsite[Job Number],0)))),IFERROR(IF(INDEX(tbl_Production[Invoice Type],IFERROR(MATCH(A142&amp;"",tbl_Production[Job Number],0),MATCH(IFERROR(A142+0,A142),tbl_Production[Job Number],0)))="","",INDEX(tbl_Production[Invoice Type],IFERROR(MATCH(A142&amp;"",tbl_Production[Job Number],0),MATCH(IFERROR(A142+0,A142),tbl_Production[Job Number],0)))),IFERROR(IF(INDEX(tbl_Consulting[Invoice Type],IFERROR(MATCH(A142&amp;"",tbl_Consulting[Job Number],0),MATCH(IFERROR(A142+0,A142),tbl_Consulting[Job Number],0)))="","",INDEX(tbl_Consulting[Invoice Type],IFERROR(MATCH(A142&amp;"",tbl_Consulting[Job Number],0),MATCH(IFERROR(A142+0,A142),tbl_Consulting[Job Number],0)))),""))))</f>
        <v/>
      </c>
      <c r="M142" s="26">
        <f>IF(A142="","",IF(IFERROR(IF(INDEX(tbl_Onsite[Tax Code],IFERROR(MATCH(A142&amp;"",tbl_Onsite[Job Number],0),MATCH(IFERROR(A142+0,A142),tbl_Onsite[Job Number],0)))="","",INDEX(tbl_Onsite[Tax Code],IFERROR(MATCH(A142&amp;"",tbl_Onsite[Job Number],0),MATCH(IFERROR(A142+0,A142),tbl_Onsite[Job Number],0)))),IFERROR(IF(INDEX(tbl_Production[Tax Code],IFERROR(MATCH(A142&amp;"",tbl_Production[Job Number],0),MATCH(IFERROR(A142+0,A142),tbl_Production[Job Number],0)))="","",INDEX(tbl_Production[Tax Code],IFERROR(MATCH(A142&amp;"",tbl_Production[Job Number],0),MATCH(IFERROR(A142+0,A142),tbl_Production[Job Number],0)))),IFERROR(IF(INDEX(tbl_Consulting[Tax Code],IFERROR(MATCH(A142&amp;"",tbl_Consulting[Job Number],0),MATCH(IFERROR(A142+0,A142),tbl_Consulting[Job Number],0)))="","",INDEX(tbl_Consulting[Tax Code],IFERROR(MATCH(A142&amp;"",tbl_Consulting[Job Number],0),MATCH(IFERROR(A142+0,A142),tbl_Consulting[Job Number],0)))),"")))="","GST 10%",IFERROR(IF(INDEX(tbl_Onsite[Tax Code],IFERROR(MATCH(A142&amp;"",tbl_Onsite[Job Number],0),MATCH(IFERROR(A142+0,A142),tbl_Onsite[Job Number],0)))="","",INDEX(tbl_Onsite[Tax Code],IFERROR(MATCH(A142&amp;"",tbl_Onsite[Job Number],0),MATCH(IFERROR(A142+0,A142),tbl_Onsite[Job Number],0)))),IFERROR(IF(INDEX(tbl_Production[Tax Code],IFERROR(MATCH(A142&amp;"",tbl_Production[Job Number],0),MATCH(IFERROR(A142+0,A142),tbl_Production[Job Number],0)))="","",INDEX(tbl_Production[Tax Code],IFERROR(MATCH(A142&amp;"",tbl_Production[Job Number],0),MATCH(IFERROR(A142+0,A142),tbl_Production[Job Number],0)))),IFERROR(IF(INDEX(tbl_Consulting[Tax Code],IFERROR(MATCH(A142&amp;"",tbl_Consulting[Job Number],0),MATCH(IFERROR(A142+0,A142),tbl_Consulting[Job Number],0)))="","",INDEX(tbl_Consulting[Tax Code],IFERROR(MATCH(A142&amp;"",tbl_Consulting[Job Number],0),MATCH(IFERROR(A142+0,A142),tbl_Consulting[Job Number],0)))),"")))))</f>
        <v/>
      </c>
      <c r="N142" s="26">
        <f>IF(D142="","",IFERROR(INDEX(lst_CCtoGL,MATCH(D142,lst_CCforGL,0)),""))</f>
        <v/>
      </c>
      <c r="O142" s="27">
        <f>IF(E142="","",IF(M142="GST 10%",ROUND(E142*set_GSTRate,2),0))</f>
        <v/>
      </c>
      <c r="P142" s="27">
        <f>IF(E142="","",E142+O142)</f>
        <v/>
      </c>
      <c r="Q142" s="27">
        <f>IF(A142="","",IFERROR(INDEX(tbl_Onsite[Expected Revenue Ex GST],IFERROR(MATCH(A142&amp;"",tbl_Onsite[Job Number],0),MATCH(IFERROR(A142+0,A142),tbl_Onsite[Job Number],0))),IFERROR(INDEX(tbl_Production[Expected Revenue Ex GST],IFERROR(MATCH(A142&amp;"",tbl_Production[Job Number],0),MATCH(IFERROR(A142+0,A142),tbl_Production[Job Number],0))),IFERROR(INDEX(tbl_Consulting[Expected Revenue Ex GST],IFERROR(MATCH(A142&amp;"",tbl_Consulting[Job Number],0),MATCH(IFERROR(A142+0,A142),tbl_Consulting[Job Number],0))),0))))</f>
        <v/>
      </c>
      <c r="R142" s="27">
        <f>IF(A142="","",SUMIFS(tbl_Finance[Ex GST],tbl_Finance[Job Number],A142&amp;""))</f>
        <v/>
      </c>
      <c r="S142" s="27">
        <f>IF(A142="","",Q142-R142)</f>
        <v/>
      </c>
      <c r="T142" s="26">
        <f>IF(A142="","",IF(Q142=0,"No dept value",IF(ROUND(S142,2)=0,"Agrees",IF(S142&gt;0,"Dept higher - to invoice","Xero higher - check dept"))))</f>
        <v/>
      </c>
      <c r="U142" s="22" t="n"/>
      <c r="V142" s="22" t="n"/>
      <c r="W142" s="23" t="n"/>
      <c r="X142" s="23" t="n"/>
      <c r="Y142" s="22" t="n"/>
      <c r="Z142" s="22" t="n"/>
      <c r="AA142" s="26">
        <f>IF(COUNTA(C142,A142,B142,E142)=0,"",IF(C142="","No date - sits outside every month",IF(A142="","No job number",IF(H142="CHECK","Job number is not in the Xero job list",IF(G142="not set up yet","No department has set this job up - nothing can pull through",IF(D142="","No cost centre",IF(AND(U142="Y",B142=""),"Marked posted to Xero but has no invoice number",IF(N142="","Cost centre has no revenue GL on the Lists sheet",IF(T142="Xero higher - check dept","Invoiced more than the department says the job is worth","")))))))))</f>
        <v/>
      </c>
      <c r="AB142" s="28">
        <f>IF(A142="","",COUNTIFS(tbl_Finance[Job Number],A142&amp;"",tbl_Finance[Ex GST],"&lt;&gt;"))</f>
        <v/>
      </c>
      <c r="AC142" s="27">
        <f>IF(A142="","",SUMIFS(tbl_Finance[Ex GST],tbl_Finance[Job Number],A142&amp;""))</f>
        <v/>
      </c>
      <c r="AD142" s="27">
        <f>IF(A142="","",SUMIFS(tbl_Finance[Ex GST],tbl_Finance[Job Number],A142&amp;"",tbl_Finance[Xero Invoice No],"&lt;&gt;"))</f>
        <v/>
      </c>
      <c r="AE142" s="27">
        <f>IF(A142="","",AC142-AD142)</f>
        <v/>
      </c>
      <c r="AF142" s="26">
        <f>IF(A142="","",IFERROR(IF(INDEX(tbl_Onsite[Qwilr Quote],IFERROR(MATCH(A142&amp;"",tbl_Onsite[Job Number],0),MATCH(IFERROR(A142+0,A142),tbl_Onsite[Job Number],0)))="","",INDEX(tbl_Onsite[Qwilr Quote],IFERROR(MATCH(A142&amp;"",tbl_Onsite[Job Number],0),MATCH(IFERROR(A142+0,A142),tbl_Onsite[Job Number],0)))),IFERROR(IF(IF(INDEX(tbl_Production[Current RMS No],IFERROR(MATCH(A142&amp;"",tbl_Production[Job Number],0),MATCH(IFERROR(A142+0,A142),tbl_Production[Job Number],0)))="",INDEX(tbl_Production[Qwilr Quote],IFERROR(MATCH(A142&amp;"",tbl_Production[Job Number],0),MATCH(IFERROR(A142+0,A142),tbl_Production[Job Number],0))),INDEX(tbl_Production[Current RMS No],IFERROR(MATCH(A142&amp;"",tbl_Production[Job Number],0),MATCH(IFERROR(A142+0,A142),tbl_Production[Job Number],0))))="","",IF(INDEX(tbl_Production[Current RMS No],IFERROR(MATCH(A142&amp;"",tbl_Production[Job Number],0),MATCH(IFERROR(A142+0,A142),tbl_Production[Job Number],0)))="",INDEX(tbl_Production[Qwilr Quote],IFERROR(MATCH(A142&amp;"",tbl_Production[Job Number],0),MATCH(IFERROR(A142+0,A142),tbl_Production[Job Number],0))),INDEX(tbl_Production[Current RMS No],IFERROR(MATCH(A142&amp;"",tbl_Production[Job Number],0),MATCH(IFERROR(A142+0,A142),tbl_Production[Job Number],0))))),IFERROR(IF(INDEX(tbl_Consulting[Qwilr Quote],IFERROR(MATCH(A142&amp;"",tbl_Consulting[Job Number],0),MATCH(IFERROR(A142+0,A142),tbl_Consulting[Job Number],0)))="","",INDEX(tbl_Consulting[Qwilr Quote],IFERROR(MATCH(A142&amp;"",tbl_Consulting[Job Number],0),MATCH(IFERROR(A142+0,A142),tbl_Consulting[Job Number],0)))),""))))</f>
        <v/>
      </c>
      <c r="AG142" s="26">
        <f>IF(AF142="","",IF(AND(LEFT(AF142,4)&lt;&gt;"http",IF(G142="Production",set_RMSBase,set_QwilrBase)=""),"",HYPERLINK(IF(LEFT(AF142,4)="http",AF142,IF(G142="Production",set_RMSBase,set_QwilrBase)&amp;AF142),"Open")))</f>
        <v/>
      </c>
      <c r="AH142" s="27">
        <f>IF(A142="","",IFERROR(INDEX(tbl_Production[Total Expense],IFERROR(MATCH(A142&amp;"",tbl_Production[Job Number],0),MATCH(IFERROR(A142+0,A142),tbl_Production[Job Number],0))),IFERROR(INDEX(tbl_Consulting[Total Expense],IFERROR(MATCH(A142&amp;"",tbl_Consulting[Job Number],0),MATCH(IFERROR(A142+0,A142),tbl_Consulting[Job Number],0))),0)))</f>
        <v/>
      </c>
      <c r="AI142" s="27">
        <f>IF(A142="","",AC142-N(AH142))</f>
        <v/>
      </c>
      <c r="AJ142" s="29">
        <f>IFERROR(AI142/AC142,"")</f>
        <v/>
      </c>
      <c r="AK142" s="26">
        <f>IF(A142="","",IFERROR(IF(INDEX(tbl_Onsite[Notes],IFERROR(MATCH(A142&amp;"",tbl_Onsite[Job Number],0),MATCH(IFERROR(A142+0,A142),tbl_Onsite[Job Number],0)))="","",INDEX(tbl_Onsite[Notes],IFERROR(MATCH(A142&amp;"",tbl_Onsite[Job Number],0),MATCH(IFERROR(A142+0,A142),tbl_Onsite[Job Number],0)))),IFERROR(IF(INDEX(tbl_Production[Notes],IFERROR(MATCH(A142&amp;"",tbl_Production[Job Number],0),MATCH(IFERROR(A142+0,A142),tbl_Production[Job Number],0)))="","",INDEX(tbl_Production[Notes],IFERROR(MATCH(A142&amp;"",tbl_Production[Job Number],0),MATCH(IFERROR(A142+0,A142),tbl_Production[Job Number],0)))),IFERROR(IF(INDEX(tbl_Consulting[Notes],IFERROR(MATCH(A142&amp;"",tbl_Consulting[Job Number],0),MATCH(IFERROR(A142+0,A142),tbl_Consulting[Job Number],0)))="","",INDEX(tbl_Consulting[Notes],IFERROR(MATCH(A142&amp;"",tbl_Consulting[Job Number],0),MATCH(IFERROR(A142+0,A142),tbl_Consulting[Job Number],0)))),""))))</f>
        <v/>
      </c>
    </row>
    <row r="143" ht="15" customHeight="1">
      <c r="A143" s="22" t="n"/>
      <c r="B143" s="22" t="n"/>
      <c r="C143" s="23" t="n"/>
      <c r="D143" s="22" t="n"/>
      <c r="E143" s="24" t="n"/>
      <c r="F143" s="25">
        <f>IF(C143="","",EOMONTH(C143,0))</f>
        <v/>
      </c>
      <c r="G143" s="26">
        <f>IF(A143="","",IF(COUNTIF(tbl_Onsite[Job Number],A143&amp;"")&gt;0,"Onsite",IF(COUNTIF(tbl_Production[Job Number],A143&amp;"")&gt;0,"Production",IF(COUNTIF(tbl_Consulting[Job Number],A143&amp;"")&gt;0,"Consulting","not set up yet"))))</f>
        <v/>
      </c>
      <c r="H143" s="26">
        <f>IF(A143="","",IF(COUNTIF(lst_Jobs,A143&amp;"")&gt;0,"OK","CHECK"))</f>
        <v/>
      </c>
      <c r="I143" s="26">
        <f>IF(A143="","",IFERROR(INDEX(lst_JobName,MATCH(A143&amp;"",lst_Jobs,0)),""))</f>
        <v/>
      </c>
      <c r="J143" s="26">
        <f>IF(A143="","",IFERROR(IF(INDEX(tbl_Onsite[Client],IFERROR(MATCH(A143&amp;"",tbl_Onsite[Job Number],0),MATCH(IFERROR(A143+0,A143),tbl_Onsite[Job Number],0)))="","",INDEX(tbl_Onsite[Client],IFERROR(MATCH(A143&amp;"",tbl_Onsite[Job Number],0),MATCH(IFERROR(A143+0,A143),tbl_Onsite[Job Number],0)))),IFERROR(IF(INDEX(tbl_Production[Client],IFERROR(MATCH(A143&amp;"",tbl_Production[Job Number],0),MATCH(IFERROR(A143+0,A143),tbl_Production[Job Number],0)))="","",INDEX(tbl_Production[Client],IFERROR(MATCH(A143&amp;"",tbl_Production[Job Number],0),MATCH(IFERROR(A143+0,A143),tbl_Production[Job Number],0)))),IFERROR(IF(INDEX(tbl_Consulting[Client],IFERROR(MATCH(A143&amp;"",tbl_Consulting[Job Number],0),MATCH(IFERROR(A143+0,A143),tbl_Consulting[Job Number],0)))="","",INDEX(tbl_Consulting[Client],IFERROR(MATCH(A143&amp;"",tbl_Consulting[Job Number],0),MATCH(IFERROR(A143+0,A143),tbl_Consulting[Job Number],0)))),""))))</f>
        <v/>
      </c>
      <c r="K143" s="26">
        <f>IF(A143="","",IFERROR(IF(INDEX(tbl_Onsite[Job Description],IFERROR(MATCH(A143&amp;"",tbl_Onsite[Job Number],0),MATCH(IFERROR(A143+0,A143),tbl_Onsite[Job Number],0)))="","",INDEX(tbl_Onsite[Job Description],IFERROR(MATCH(A143&amp;"",tbl_Onsite[Job Number],0),MATCH(IFERROR(A143+0,A143),tbl_Onsite[Job Number],0)))),IFERROR(IF(INDEX(tbl_Production[Job Description],IFERROR(MATCH(A143&amp;"",tbl_Production[Job Number],0),MATCH(IFERROR(A143+0,A143),tbl_Production[Job Number],0)))="","",INDEX(tbl_Production[Job Description],IFERROR(MATCH(A143&amp;"",tbl_Production[Job Number],0),MATCH(IFERROR(A143+0,A143),tbl_Production[Job Number],0)))),IFERROR(IF(INDEX(tbl_Consulting[Job Description],IFERROR(MATCH(A143&amp;"",tbl_Consulting[Job Number],0),MATCH(IFERROR(A143+0,A143),tbl_Consulting[Job Number],0)))="","",INDEX(tbl_Consulting[Job Description],IFERROR(MATCH(A143&amp;"",tbl_Consulting[Job Number],0),MATCH(IFERROR(A143+0,A143),tbl_Consulting[Job Number],0)))),""))))</f>
        <v/>
      </c>
      <c r="L143" s="26">
        <f>IF(A143="","",IFERROR(IF(INDEX(tbl_Onsite[Invoice Type],IFERROR(MATCH(A143&amp;"",tbl_Onsite[Job Number],0),MATCH(IFERROR(A143+0,A143),tbl_Onsite[Job Number],0)))="","",INDEX(tbl_Onsite[Invoice Type],IFERROR(MATCH(A143&amp;"",tbl_Onsite[Job Number],0),MATCH(IFERROR(A143+0,A143),tbl_Onsite[Job Number],0)))),IFERROR(IF(INDEX(tbl_Production[Invoice Type],IFERROR(MATCH(A143&amp;"",tbl_Production[Job Number],0),MATCH(IFERROR(A143+0,A143),tbl_Production[Job Number],0)))="","",INDEX(tbl_Production[Invoice Type],IFERROR(MATCH(A143&amp;"",tbl_Production[Job Number],0),MATCH(IFERROR(A143+0,A143),tbl_Production[Job Number],0)))),IFERROR(IF(INDEX(tbl_Consulting[Invoice Type],IFERROR(MATCH(A143&amp;"",tbl_Consulting[Job Number],0),MATCH(IFERROR(A143+0,A143),tbl_Consulting[Job Number],0)))="","",INDEX(tbl_Consulting[Invoice Type],IFERROR(MATCH(A143&amp;"",tbl_Consulting[Job Number],0),MATCH(IFERROR(A143+0,A143),tbl_Consulting[Job Number],0)))),""))))</f>
        <v/>
      </c>
      <c r="M143" s="26">
        <f>IF(A143="","",IF(IFERROR(IF(INDEX(tbl_Onsite[Tax Code],IFERROR(MATCH(A143&amp;"",tbl_Onsite[Job Number],0),MATCH(IFERROR(A143+0,A143),tbl_Onsite[Job Number],0)))="","",INDEX(tbl_Onsite[Tax Code],IFERROR(MATCH(A143&amp;"",tbl_Onsite[Job Number],0),MATCH(IFERROR(A143+0,A143),tbl_Onsite[Job Number],0)))),IFERROR(IF(INDEX(tbl_Production[Tax Code],IFERROR(MATCH(A143&amp;"",tbl_Production[Job Number],0),MATCH(IFERROR(A143+0,A143),tbl_Production[Job Number],0)))="","",INDEX(tbl_Production[Tax Code],IFERROR(MATCH(A143&amp;"",tbl_Production[Job Number],0),MATCH(IFERROR(A143+0,A143),tbl_Production[Job Number],0)))),IFERROR(IF(INDEX(tbl_Consulting[Tax Code],IFERROR(MATCH(A143&amp;"",tbl_Consulting[Job Number],0),MATCH(IFERROR(A143+0,A143),tbl_Consulting[Job Number],0)))="","",INDEX(tbl_Consulting[Tax Code],IFERROR(MATCH(A143&amp;"",tbl_Consulting[Job Number],0),MATCH(IFERROR(A143+0,A143),tbl_Consulting[Job Number],0)))),"")))="","GST 10%",IFERROR(IF(INDEX(tbl_Onsite[Tax Code],IFERROR(MATCH(A143&amp;"",tbl_Onsite[Job Number],0),MATCH(IFERROR(A143+0,A143),tbl_Onsite[Job Number],0)))="","",INDEX(tbl_Onsite[Tax Code],IFERROR(MATCH(A143&amp;"",tbl_Onsite[Job Number],0),MATCH(IFERROR(A143+0,A143),tbl_Onsite[Job Number],0)))),IFERROR(IF(INDEX(tbl_Production[Tax Code],IFERROR(MATCH(A143&amp;"",tbl_Production[Job Number],0),MATCH(IFERROR(A143+0,A143),tbl_Production[Job Number],0)))="","",INDEX(tbl_Production[Tax Code],IFERROR(MATCH(A143&amp;"",tbl_Production[Job Number],0),MATCH(IFERROR(A143+0,A143),tbl_Production[Job Number],0)))),IFERROR(IF(INDEX(tbl_Consulting[Tax Code],IFERROR(MATCH(A143&amp;"",tbl_Consulting[Job Number],0),MATCH(IFERROR(A143+0,A143),tbl_Consulting[Job Number],0)))="","",INDEX(tbl_Consulting[Tax Code],IFERROR(MATCH(A143&amp;"",tbl_Consulting[Job Number],0),MATCH(IFERROR(A143+0,A143),tbl_Consulting[Job Number],0)))),"")))))</f>
        <v/>
      </c>
      <c r="N143" s="26">
        <f>IF(D143="","",IFERROR(INDEX(lst_CCtoGL,MATCH(D143,lst_CCforGL,0)),""))</f>
        <v/>
      </c>
      <c r="O143" s="27">
        <f>IF(E143="","",IF(M143="GST 10%",ROUND(E143*set_GSTRate,2),0))</f>
        <v/>
      </c>
      <c r="P143" s="27">
        <f>IF(E143="","",E143+O143)</f>
        <v/>
      </c>
      <c r="Q143" s="27">
        <f>IF(A143="","",IFERROR(INDEX(tbl_Onsite[Expected Revenue Ex GST],IFERROR(MATCH(A143&amp;"",tbl_Onsite[Job Number],0),MATCH(IFERROR(A143+0,A143),tbl_Onsite[Job Number],0))),IFERROR(INDEX(tbl_Production[Expected Revenue Ex GST],IFERROR(MATCH(A143&amp;"",tbl_Production[Job Number],0),MATCH(IFERROR(A143+0,A143),tbl_Production[Job Number],0))),IFERROR(INDEX(tbl_Consulting[Expected Revenue Ex GST],IFERROR(MATCH(A143&amp;"",tbl_Consulting[Job Number],0),MATCH(IFERROR(A143+0,A143),tbl_Consulting[Job Number],0))),0))))</f>
        <v/>
      </c>
      <c r="R143" s="27">
        <f>IF(A143="","",SUMIFS(tbl_Finance[Ex GST],tbl_Finance[Job Number],A143&amp;""))</f>
        <v/>
      </c>
      <c r="S143" s="27">
        <f>IF(A143="","",Q143-R143)</f>
        <v/>
      </c>
      <c r="T143" s="26">
        <f>IF(A143="","",IF(Q143=0,"No dept value",IF(ROUND(S143,2)=0,"Agrees",IF(S143&gt;0,"Dept higher - to invoice","Xero higher - check dept"))))</f>
        <v/>
      </c>
      <c r="U143" s="22" t="n"/>
      <c r="V143" s="22" t="n"/>
      <c r="W143" s="23" t="n"/>
      <c r="X143" s="23" t="n"/>
      <c r="Y143" s="22" t="n"/>
      <c r="Z143" s="22" t="n"/>
      <c r="AA143" s="26">
        <f>IF(COUNTA(C143,A143,B143,E143)=0,"",IF(C143="","No date - sits outside every month",IF(A143="","No job number",IF(H143="CHECK","Job number is not in the Xero job list",IF(G143="not set up yet","No department has set this job up - nothing can pull through",IF(D143="","No cost centre",IF(AND(U143="Y",B143=""),"Marked posted to Xero but has no invoice number",IF(N143="","Cost centre has no revenue GL on the Lists sheet",IF(T143="Xero higher - check dept","Invoiced more than the department says the job is worth","")))))))))</f>
        <v/>
      </c>
      <c r="AB143" s="28">
        <f>IF(A143="","",COUNTIFS(tbl_Finance[Job Number],A143&amp;"",tbl_Finance[Ex GST],"&lt;&gt;"))</f>
        <v/>
      </c>
      <c r="AC143" s="27">
        <f>IF(A143="","",SUMIFS(tbl_Finance[Ex GST],tbl_Finance[Job Number],A143&amp;""))</f>
        <v/>
      </c>
      <c r="AD143" s="27">
        <f>IF(A143="","",SUMIFS(tbl_Finance[Ex GST],tbl_Finance[Job Number],A143&amp;"",tbl_Finance[Xero Invoice No],"&lt;&gt;"))</f>
        <v/>
      </c>
      <c r="AE143" s="27">
        <f>IF(A143="","",AC143-AD143)</f>
        <v/>
      </c>
      <c r="AF143" s="26">
        <f>IF(A143="","",IFERROR(IF(INDEX(tbl_Onsite[Qwilr Quote],IFERROR(MATCH(A143&amp;"",tbl_Onsite[Job Number],0),MATCH(IFERROR(A143+0,A143),tbl_Onsite[Job Number],0)))="","",INDEX(tbl_Onsite[Qwilr Quote],IFERROR(MATCH(A143&amp;"",tbl_Onsite[Job Number],0),MATCH(IFERROR(A143+0,A143),tbl_Onsite[Job Number],0)))),IFERROR(IF(IF(INDEX(tbl_Production[Current RMS No],IFERROR(MATCH(A143&amp;"",tbl_Production[Job Number],0),MATCH(IFERROR(A143+0,A143),tbl_Production[Job Number],0)))="",INDEX(tbl_Production[Qwilr Quote],IFERROR(MATCH(A143&amp;"",tbl_Production[Job Number],0),MATCH(IFERROR(A143+0,A143),tbl_Production[Job Number],0))),INDEX(tbl_Production[Current RMS No],IFERROR(MATCH(A143&amp;"",tbl_Production[Job Number],0),MATCH(IFERROR(A143+0,A143),tbl_Production[Job Number],0))))="","",IF(INDEX(tbl_Production[Current RMS No],IFERROR(MATCH(A143&amp;"",tbl_Production[Job Number],0),MATCH(IFERROR(A143+0,A143),tbl_Production[Job Number],0)))="",INDEX(tbl_Production[Qwilr Quote],IFERROR(MATCH(A143&amp;"",tbl_Production[Job Number],0),MATCH(IFERROR(A143+0,A143),tbl_Production[Job Number],0))),INDEX(tbl_Production[Current RMS No],IFERROR(MATCH(A143&amp;"",tbl_Production[Job Number],0),MATCH(IFERROR(A143+0,A143),tbl_Production[Job Number],0))))),IFERROR(IF(INDEX(tbl_Consulting[Qwilr Quote],IFERROR(MATCH(A143&amp;"",tbl_Consulting[Job Number],0),MATCH(IFERROR(A143+0,A143),tbl_Consulting[Job Number],0)))="","",INDEX(tbl_Consulting[Qwilr Quote],IFERROR(MATCH(A143&amp;"",tbl_Consulting[Job Number],0),MATCH(IFERROR(A143+0,A143),tbl_Consulting[Job Number],0)))),""))))</f>
        <v/>
      </c>
      <c r="AG143" s="26">
        <f>IF(AF143="","",IF(AND(LEFT(AF143,4)&lt;&gt;"http",IF(G143="Production",set_RMSBase,set_QwilrBase)=""),"",HYPERLINK(IF(LEFT(AF143,4)="http",AF143,IF(G143="Production",set_RMSBase,set_QwilrBase)&amp;AF143),"Open")))</f>
        <v/>
      </c>
      <c r="AH143" s="27">
        <f>IF(A143="","",IFERROR(INDEX(tbl_Production[Total Expense],IFERROR(MATCH(A143&amp;"",tbl_Production[Job Number],0),MATCH(IFERROR(A143+0,A143),tbl_Production[Job Number],0))),IFERROR(INDEX(tbl_Consulting[Total Expense],IFERROR(MATCH(A143&amp;"",tbl_Consulting[Job Number],0),MATCH(IFERROR(A143+0,A143),tbl_Consulting[Job Number],0))),0)))</f>
        <v/>
      </c>
      <c r="AI143" s="27">
        <f>IF(A143="","",AC143-N(AH143))</f>
        <v/>
      </c>
      <c r="AJ143" s="29">
        <f>IFERROR(AI143/AC143,"")</f>
        <v/>
      </c>
      <c r="AK143" s="26">
        <f>IF(A143="","",IFERROR(IF(INDEX(tbl_Onsite[Notes],IFERROR(MATCH(A143&amp;"",tbl_Onsite[Job Number],0),MATCH(IFERROR(A143+0,A143),tbl_Onsite[Job Number],0)))="","",INDEX(tbl_Onsite[Notes],IFERROR(MATCH(A143&amp;"",tbl_Onsite[Job Number],0),MATCH(IFERROR(A143+0,A143),tbl_Onsite[Job Number],0)))),IFERROR(IF(INDEX(tbl_Production[Notes],IFERROR(MATCH(A143&amp;"",tbl_Production[Job Number],0),MATCH(IFERROR(A143+0,A143),tbl_Production[Job Number],0)))="","",INDEX(tbl_Production[Notes],IFERROR(MATCH(A143&amp;"",tbl_Production[Job Number],0),MATCH(IFERROR(A143+0,A143),tbl_Production[Job Number],0)))),IFERROR(IF(INDEX(tbl_Consulting[Notes],IFERROR(MATCH(A143&amp;"",tbl_Consulting[Job Number],0),MATCH(IFERROR(A143+0,A143),tbl_Consulting[Job Number],0)))="","",INDEX(tbl_Consulting[Notes],IFERROR(MATCH(A143&amp;"",tbl_Consulting[Job Number],0),MATCH(IFERROR(A143+0,A143),tbl_Consulting[Job Number],0)))),""))))</f>
        <v/>
      </c>
    </row>
    <row r="144" ht="15" customHeight="1">
      <c r="A144" s="22" t="n"/>
      <c r="B144" s="22" t="n"/>
      <c r="C144" s="23" t="n"/>
      <c r="D144" s="22" t="n"/>
      <c r="E144" s="24" t="n"/>
      <c r="F144" s="25">
        <f>IF(C144="","",EOMONTH(C144,0))</f>
        <v/>
      </c>
      <c r="G144" s="26">
        <f>IF(A144="","",IF(COUNTIF(tbl_Onsite[Job Number],A144&amp;"")&gt;0,"Onsite",IF(COUNTIF(tbl_Production[Job Number],A144&amp;"")&gt;0,"Production",IF(COUNTIF(tbl_Consulting[Job Number],A144&amp;"")&gt;0,"Consulting","not set up yet"))))</f>
        <v/>
      </c>
      <c r="H144" s="26">
        <f>IF(A144="","",IF(COUNTIF(lst_Jobs,A144&amp;"")&gt;0,"OK","CHECK"))</f>
        <v/>
      </c>
      <c r="I144" s="26">
        <f>IF(A144="","",IFERROR(INDEX(lst_JobName,MATCH(A144&amp;"",lst_Jobs,0)),""))</f>
        <v/>
      </c>
      <c r="J144" s="26">
        <f>IF(A144="","",IFERROR(IF(INDEX(tbl_Onsite[Client],IFERROR(MATCH(A144&amp;"",tbl_Onsite[Job Number],0),MATCH(IFERROR(A144+0,A144),tbl_Onsite[Job Number],0)))="","",INDEX(tbl_Onsite[Client],IFERROR(MATCH(A144&amp;"",tbl_Onsite[Job Number],0),MATCH(IFERROR(A144+0,A144),tbl_Onsite[Job Number],0)))),IFERROR(IF(INDEX(tbl_Production[Client],IFERROR(MATCH(A144&amp;"",tbl_Production[Job Number],0),MATCH(IFERROR(A144+0,A144),tbl_Production[Job Number],0)))="","",INDEX(tbl_Production[Client],IFERROR(MATCH(A144&amp;"",tbl_Production[Job Number],0),MATCH(IFERROR(A144+0,A144),tbl_Production[Job Number],0)))),IFERROR(IF(INDEX(tbl_Consulting[Client],IFERROR(MATCH(A144&amp;"",tbl_Consulting[Job Number],0),MATCH(IFERROR(A144+0,A144),tbl_Consulting[Job Number],0)))="","",INDEX(tbl_Consulting[Client],IFERROR(MATCH(A144&amp;"",tbl_Consulting[Job Number],0),MATCH(IFERROR(A144+0,A144),tbl_Consulting[Job Number],0)))),""))))</f>
        <v/>
      </c>
      <c r="K144" s="26">
        <f>IF(A144="","",IFERROR(IF(INDEX(tbl_Onsite[Job Description],IFERROR(MATCH(A144&amp;"",tbl_Onsite[Job Number],0),MATCH(IFERROR(A144+0,A144),tbl_Onsite[Job Number],0)))="","",INDEX(tbl_Onsite[Job Description],IFERROR(MATCH(A144&amp;"",tbl_Onsite[Job Number],0),MATCH(IFERROR(A144+0,A144),tbl_Onsite[Job Number],0)))),IFERROR(IF(INDEX(tbl_Production[Job Description],IFERROR(MATCH(A144&amp;"",tbl_Production[Job Number],0),MATCH(IFERROR(A144+0,A144),tbl_Production[Job Number],0)))="","",INDEX(tbl_Production[Job Description],IFERROR(MATCH(A144&amp;"",tbl_Production[Job Number],0),MATCH(IFERROR(A144+0,A144),tbl_Production[Job Number],0)))),IFERROR(IF(INDEX(tbl_Consulting[Job Description],IFERROR(MATCH(A144&amp;"",tbl_Consulting[Job Number],0),MATCH(IFERROR(A144+0,A144),tbl_Consulting[Job Number],0)))="","",INDEX(tbl_Consulting[Job Description],IFERROR(MATCH(A144&amp;"",tbl_Consulting[Job Number],0),MATCH(IFERROR(A144+0,A144),tbl_Consulting[Job Number],0)))),""))))</f>
        <v/>
      </c>
      <c r="L144" s="26">
        <f>IF(A144="","",IFERROR(IF(INDEX(tbl_Onsite[Invoice Type],IFERROR(MATCH(A144&amp;"",tbl_Onsite[Job Number],0),MATCH(IFERROR(A144+0,A144),tbl_Onsite[Job Number],0)))="","",INDEX(tbl_Onsite[Invoice Type],IFERROR(MATCH(A144&amp;"",tbl_Onsite[Job Number],0),MATCH(IFERROR(A144+0,A144),tbl_Onsite[Job Number],0)))),IFERROR(IF(INDEX(tbl_Production[Invoice Type],IFERROR(MATCH(A144&amp;"",tbl_Production[Job Number],0),MATCH(IFERROR(A144+0,A144),tbl_Production[Job Number],0)))="","",INDEX(tbl_Production[Invoice Type],IFERROR(MATCH(A144&amp;"",tbl_Production[Job Number],0),MATCH(IFERROR(A144+0,A144),tbl_Production[Job Number],0)))),IFERROR(IF(INDEX(tbl_Consulting[Invoice Type],IFERROR(MATCH(A144&amp;"",tbl_Consulting[Job Number],0),MATCH(IFERROR(A144+0,A144),tbl_Consulting[Job Number],0)))="","",INDEX(tbl_Consulting[Invoice Type],IFERROR(MATCH(A144&amp;"",tbl_Consulting[Job Number],0),MATCH(IFERROR(A144+0,A144),tbl_Consulting[Job Number],0)))),""))))</f>
        <v/>
      </c>
      <c r="M144" s="26">
        <f>IF(A144="","",IF(IFERROR(IF(INDEX(tbl_Onsite[Tax Code],IFERROR(MATCH(A144&amp;"",tbl_Onsite[Job Number],0),MATCH(IFERROR(A144+0,A144),tbl_Onsite[Job Number],0)))="","",INDEX(tbl_Onsite[Tax Code],IFERROR(MATCH(A144&amp;"",tbl_Onsite[Job Number],0),MATCH(IFERROR(A144+0,A144),tbl_Onsite[Job Number],0)))),IFERROR(IF(INDEX(tbl_Production[Tax Code],IFERROR(MATCH(A144&amp;"",tbl_Production[Job Number],0),MATCH(IFERROR(A144+0,A144),tbl_Production[Job Number],0)))="","",INDEX(tbl_Production[Tax Code],IFERROR(MATCH(A144&amp;"",tbl_Production[Job Number],0),MATCH(IFERROR(A144+0,A144),tbl_Production[Job Number],0)))),IFERROR(IF(INDEX(tbl_Consulting[Tax Code],IFERROR(MATCH(A144&amp;"",tbl_Consulting[Job Number],0),MATCH(IFERROR(A144+0,A144),tbl_Consulting[Job Number],0)))="","",INDEX(tbl_Consulting[Tax Code],IFERROR(MATCH(A144&amp;"",tbl_Consulting[Job Number],0),MATCH(IFERROR(A144+0,A144),tbl_Consulting[Job Number],0)))),"")))="","GST 10%",IFERROR(IF(INDEX(tbl_Onsite[Tax Code],IFERROR(MATCH(A144&amp;"",tbl_Onsite[Job Number],0),MATCH(IFERROR(A144+0,A144),tbl_Onsite[Job Number],0)))="","",INDEX(tbl_Onsite[Tax Code],IFERROR(MATCH(A144&amp;"",tbl_Onsite[Job Number],0),MATCH(IFERROR(A144+0,A144),tbl_Onsite[Job Number],0)))),IFERROR(IF(INDEX(tbl_Production[Tax Code],IFERROR(MATCH(A144&amp;"",tbl_Production[Job Number],0),MATCH(IFERROR(A144+0,A144),tbl_Production[Job Number],0)))="","",INDEX(tbl_Production[Tax Code],IFERROR(MATCH(A144&amp;"",tbl_Production[Job Number],0),MATCH(IFERROR(A144+0,A144),tbl_Production[Job Number],0)))),IFERROR(IF(INDEX(tbl_Consulting[Tax Code],IFERROR(MATCH(A144&amp;"",tbl_Consulting[Job Number],0),MATCH(IFERROR(A144+0,A144),tbl_Consulting[Job Number],0)))="","",INDEX(tbl_Consulting[Tax Code],IFERROR(MATCH(A144&amp;"",tbl_Consulting[Job Number],0),MATCH(IFERROR(A144+0,A144),tbl_Consulting[Job Number],0)))),"")))))</f>
        <v/>
      </c>
      <c r="N144" s="26">
        <f>IF(D144="","",IFERROR(INDEX(lst_CCtoGL,MATCH(D144,lst_CCforGL,0)),""))</f>
        <v/>
      </c>
      <c r="O144" s="27">
        <f>IF(E144="","",IF(M144="GST 10%",ROUND(E144*set_GSTRate,2),0))</f>
        <v/>
      </c>
      <c r="P144" s="27">
        <f>IF(E144="","",E144+O144)</f>
        <v/>
      </c>
      <c r="Q144" s="27">
        <f>IF(A144="","",IFERROR(INDEX(tbl_Onsite[Expected Revenue Ex GST],IFERROR(MATCH(A144&amp;"",tbl_Onsite[Job Number],0),MATCH(IFERROR(A144+0,A144),tbl_Onsite[Job Number],0))),IFERROR(INDEX(tbl_Production[Expected Revenue Ex GST],IFERROR(MATCH(A144&amp;"",tbl_Production[Job Number],0),MATCH(IFERROR(A144+0,A144),tbl_Production[Job Number],0))),IFERROR(INDEX(tbl_Consulting[Expected Revenue Ex GST],IFERROR(MATCH(A144&amp;"",tbl_Consulting[Job Number],0),MATCH(IFERROR(A144+0,A144),tbl_Consulting[Job Number],0))),0))))</f>
        <v/>
      </c>
      <c r="R144" s="27">
        <f>IF(A144="","",SUMIFS(tbl_Finance[Ex GST],tbl_Finance[Job Number],A144&amp;""))</f>
        <v/>
      </c>
      <c r="S144" s="27">
        <f>IF(A144="","",Q144-R144)</f>
        <v/>
      </c>
      <c r="T144" s="26">
        <f>IF(A144="","",IF(Q144=0,"No dept value",IF(ROUND(S144,2)=0,"Agrees",IF(S144&gt;0,"Dept higher - to invoice","Xero higher - check dept"))))</f>
        <v/>
      </c>
      <c r="U144" s="22" t="n"/>
      <c r="V144" s="22" t="n"/>
      <c r="W144" s="23" t="n"/>
      <c r="X144" s="23" t="n"/>
      <c r="Y144" s="22" t="n"/>
      <c r="Z144" s="22" t="n"/>
      <c r="AA144" s="26">
        <f>IF(COUNTA(C144,A144,B144,E144)=0,"",IF(C144="","No date - sits outside every month",IF(A144="","No job number",IF(H144="CHECK","Job number is not in the Xero job list",IF(G144="not set up yet","No department has set this job up - nothing can pull through",IF(D144="","No cost centre",IF(AND(U144="Y",B144=""),"Marked posted to Xero but has no invoice number",IF(N144="","Cost centre has no revenue GL on the Lists sheet",IF(T144="Xero higher - check dept","Invoiced more than the department says the job is worth","")))))))))</f>
        <v/>
      </c>
      <c r="AB144" s="28">
        <f>IF(A144="","",COUNTIFS(tbl_Finance[Job Number],A144&amp;"",tbl_Finance[Ex GST],"&lt;&gt;"))</f>
        <v/>
      </c>
      <c r="AC144" s="27">
        <f>IF(A144="","",SUMIFS(tbl_Finance[Ex GST],tbl_Finance[Job Number],A144&amp;""))</f>
        <v/>
      </c>
      <c r="AD144" s="27">
        <f>IF(A144="","",SUMIFS(tbl_Finance[Ex GST],tbl_Finance[Job Number],A144&amp;"",tbl_Finance[Xero Invoice No],"&lt;&gt;"))</f>
        <v/>
      </c>
      <c r="AE144" s="27">
        <f>IF(A144="","",AC144-AD144)</f>
        <v/>
      </c>
      <c r="AF144" s="26">
        <f>IF(A144="","",IFERROR(IF(INDEX(tbl_Onsite[Qwilr Quote],IFERROR(MATCH(A144&amp;"",tbl_Onsite[Job Number],0),MATCH(IFERROR(A144+0,A144),tbl_Onsite[Job Number],0)))="","",INDEX(tbl_Onsite[Qwilr Quote],IFERROR(MATCH(A144&amp;"",tbl_Onsite[Job Number],0),MATCH(IFERROR(A144+0,A144),tbl_Onsite[Job Number],0)))),IFERROR(IF(IF(INDEX(tbl_Production[Current RMS No],IFERROR(MATCH(A144&amp;"",tbl_Production[Job Number],0),MATCH(IFERROR(A144+0,A144),tbl_Production[Job Number],0)))="",INDEX(tbl_Production[Qwilr Quote],IFERROR(MATCH(A144&amp;"",tbl_Production[Job Number],0),MATCH(IFERROR(A144+0,A144),tbl_Production[Job Number],0))),INDEX(tbl_Production[Current RMS No],IFERROR(MATCH(A144&amp;"",tbl_Production[Job Number],0),MATCH(IFERROR(A144+0,A144),tbl_Production[Job Number],0))))="","",IF(INDEX(tbl_Production[Current RMS No],IFERROR(MATCH(A144&amp;"",tbl_Production[Job Number],0),MATCH(IFERROR(A144+0,A144),tbl_Production[Job Number],0)))="",INDEX(tbl_Production[Qwilr Quote],IFERROR(MATCH(A144&amp;"",tbl_Production[Job Number],0),MATCH(IFERROR(A144+0,A144),tbl_Production[Job Number],0))),INDEX(tbl_Production[Current RMS No],IFERROR(MATCH(A144&amp;"",tbl_Production[Job Number],0),MATCH(IFERROR(A144+0,A144),tbl_Production[Job Number],0))))),IFERROR(IF(INDEX(tbl_Consulting[Qwilr Quote],IFERROR(MATCH(A144&amp;"",tbl_Consulting[Job Number],0),MATCH(IFERROR(A144+0,A144),tbl_Consulting[Job Number],0)))="","",INDEX(tbl_Consulting[Qwilr Quote],IFERROR(MATCH(A144&amp;"",tbl_Consulting[Job Number],0),MATCH(IFERROR(A144+0,A144),tbl_Consulting[Job Number],0)))),""))))</f>
        <v/>
      </c>
      <c r="AG144" s="26">
        <f>IF(AF144="","",IF(AND(LEFT(AF144,4)&lt;&gt;"http",IF(G144="Production",set_RMSBase,set_QwilrBase)=""),"",HYPERLINK(IF(LEFT(AF144,4)="http",AF144,IF(G144="Production",set_RMSBase,set_QwilrBase)&amp;AF144),"Open")))</f>
        <v/>
      </c>
      <c r="AH144" s="27">
        <f>IF(A144="","",IFERROR(INDEX(tbl_Production[Total Expense],IFERROR(MATCH(A144&amp;"",tbl_Production[Job Number],0),MATCH(IFERROR(A144+0,A144),tbl_Production[Job Number],0))),IFERROR(INDEX(tbl_Consulting[Total Expense],IFERROR(MATCH(A144&amp;"",tbl_Consulting[Job Number],0),MATCH(IFERROR(A144+0,A144),tbl_Consulting[Job Number],0))),0)))</f>
        <v/>
      </c>
      <c r="AI144" s="27">
        <f>IF(A144="","",AC144-N(AH144))</f>
        <v/>
      </c>
      <c r="AJ144" s="29">
        <f>IFERROR(AI144/AC144,"")</f>
        <v/>
      </c>
      <c r="AK144" s="26">
        <f>IF(A144="","",IFERROR(IF(INDEX(tbl_Onsite[Notes],IFERROR(MATCH(A144&amp;"",tbl_Onsite[Job Number],0),MATCH(IFERROR(A144+0,A144),tbl_Onsite[Job Number],0)))="","",INDEX(tbl_Onsite[Notes],IFERROR(MATCH(A144&amp;"",tbl_Onsite[Job Number],0),MATCH(IFERROR(A144+0,A144),tbl_Onsite[Job Number],0)))),IFERROR(IF(INDEX(tbl_Production[Notes],IFERROR(MATCH(A144&amp;"",tbl_Production[Job Number],0),MATCH(IFERROR(A144+0,A144),tbl_Production[Job Number],0)))="","",INDEX(tbl_Production[Notes],IFERROR(MATCH(A144&amp;"",tbl_Production[Job Number],0),MATCH(IFERROR(A144+0,A144),tbl_Production[Job Number],0)))),IFERROR(IF(INDEX(tbl_Consulting[Notes],IFERROR(MATCH(A144&amp;"",tbl_Consulting[Job Number],0),MATCH(IFERROR(A144+0,A144),tbl_Consulting[Job Number],0)))="","",INDEX(tbl_Consulting[Notes],IFERROR(MATCH(A144&amp;"",tbl_Consulting[Job Number],0),MATCH(IFERROR(A144+0,A144),tbl_Consulting[Job Number],0)))),""))))</f>
        <v/>
      </c>
    </row>
    <row r="145" ht="15" customHeight="1">
      <c r="A145" s="22" t="n"/>
      <c r="B145" s="22" t="n"/>
      <c r="C145" s="23" t="n"/>
      <c r="D145" s="22" t="n"/>
      <c r="E145" s="24" t="n"/>
      <c r="F145" s="25">
        <f>IF(C145="","",EOMONTH(C145,0))</f>
        <v/>
      </c>
      <c r="G145" s="26">
        <f>IF(A145="","",IF(COUNTIF(tbl_Onsite[Job Number],A145&amp;"")&gt;0,"Onsite",IF(COUNTIF(tbl_Production[Job Number],A145&amp;"")&gt;0,"Production",IF(COUNTIF(tbl_Consulting[Job Number],A145&amp;"")&gt;0,"Consulting","not set up yet"))))</f>
        <v/>
      </c>
      <c r="H145" s="26">
        <f>IF(A145="","",IF(COUNTIF(lst_Jobs,A145&amp;"")&gt;0,"OK","CHECK"))</f>
        <v/>
      </c>
      <c r="I145" s="26">
        <f>IF(A145="","",IFERROR(INDEX(lst_JobName,MATCH(A145&amp;"",lst_Jobs,0)),""))</f>
        <v/>
      </c>
      <c r="J145" s="26">
        <f>IF(A145="","",IFERROR(IF(INDEX(tbl_Onsite[Client],IFERROR(MATCH(A145&amp;"",tbl_Onsite[Job Number],0),MATCH(IFERROR(A145+0,A145),tbl_Onsite[Job Number],0)))="","",INDEX(tbl_Onsite[Client],IFERROR(MATCH(A145&amp;"",tbl_Onsite[Job Number],0),MATCH(IFERROR(A145+0,A145),tbl_Onsite[Job Number],0)))),IFERROR(IF(INDEX(tbl_Production[Client],IFERROR(MATCH(A145&amp;"",tbl_Production[Job Number],0),MATCH(IFERROR(A145+0,A145),tbl_Production[Job Number],0)))="","",INDEX(tbl_Production[Client],IFERROR(MATCH(A145&amp;"",tbl_Production[Job Number],0),MATCH(IFERROR(A145+0,A145),tbl_Production[Job Number],0)))),IFERROR(IF(INDEX(tbl_Consulting[Client],IFERROR(MATCH(A145&amp;"",tbl_Consulting[Job Number],0),MATCH(IFERROR(A145+0,A145),tbl_Consulting[Job Number],0)))="","",INDEX(tbl_Consulting[Client],IFERROR(MATCH(A145&amp;"",tbl_Consulting[Job Number],0),MATCH(IFERROR(A145+0,A145),tbl_Consulting[Job Number],0)))),""))))</f>
        <v/>
      </c>
      <c r="K145" s="26">
        <f>IF(A145="","",IFERROR(IF(INDEX(tbl_Onsite[Job Description],IFERROR(MATCH(A145&amp;"",tbl_Onsite[Job Number],0),MATCH(IFERROR(A145+0,A145),tbl_Onsite[Job Number],0)))="","",INDEX(tbl_Onsite[Job Description],IFERROR(MATCH(A145&amp;"",tbl_Onsite[Job Number],0),MATCH(IFERROR(A145+0,A145),tbl_Onsite[Job Number],0)))),IFERROR(IF(INDEX(tbl_Production[Job Description],IFERROR(MATCH(A145&amp;"",tbl_Production[Job Number],0),MATCH(IFERROR(A145+0,A145),tbl_Production[Job Number],0)))="","",INDEX(tbl_Production[Job Description],IFERROR(MATCH(A145&amp;"",tbl_Production[Job Number],0),MATCH(IFERROR(A145+0,A145),tbl_Production[Job Number],0)))),IFERROR(IF(INDEX(tbl_Consulting[Job Description],IFERROR(MATCH(A145&amp;"",tbl_Consulting[Job Number],0),MATCH(IFERROR(A145+0,A145),tbl_Consulting[Job Number],0)))="","",INDEX(tbl_Consulting[Job Description],IFERROR(MATCH(A145&amp;"",tbl_Consulting[Job Number],0),MATCH(IFERROR(A145+0,A145),tbl_Consulting[Job Number],0)))),""))))</f>
        <v/>
      </c>
      <c r="L145" s="26">
        <f>IF(A145="","",IFERROR(IF(INDEX(tbl_Onsite[Invoice Type],IFERROR(MATCH(A145&amp;"",tbl_Onsite[Job Number],0),MATCH(IFERROR(A145+0,A145),tbl_Onsite[Job Number],0)))="","",INDEX(tbl_Onsite[Invoice Type],IFERROR(MATCH(A145&amp;"",tbl_Onsite[Job Number],0),MATCH(IFERROR(A145+0,A145),tbl_Onsite[Job Number],0)))),IFERROR(IF(INDEX(tbl_Production[Invoice Type],IFERROR(MATCH(A145&amp;"",tbl_Production[Job Number],0),MATCH(IFERROR(A145+0,A145),tbl_Production[Job Number],0)))="","",INDEX(tbl_Production[Invoice Type],IFERROR(MATCH(A145&amp;"",tbl_Production[Job Number],0),MATCH(IFERROR(A145+0,A145),tbl_Production[Job Number],0)))),IFERROR(IF(INDEX(tbl_Consulting[Invoice Type],IFERROR(MATCH(A145&amp;"",tbl_Consulting[Job Number],0),MATCH(IFERROR(A145+0,A145),tbl_Consulting[Job Number],0)))="","",INDEX(tbl_Consulting[Invoice Type],IFERROR(MATCH(A145&amp;"",tbl_Consulting[Job Number],0),MATCH(IFERROR(A145+0,A145),tbl_Consulting[Job Number],0)))),""))))</f>
        <v/>
      </c>
      <c r="M145" s="26">
        <f>IF(A145="","",IF(IFERROR(IF(INDEX(tbl_Onsite[Tax Code],IFERROR(MATCH(A145&amp;"",tbl_Onsite[Job Number],0),MATCH(IFERROR(A145+0,A145),tbl_Onsite[Job Number],0)))="","",INDEX(tbl_Onsite[Tax Code],IFERROR(MATCH(A145&amp;"",tbl_Onsite[Job Number],0),MATCH(IFERROR(A145+0,A145),tbl_Onsite[Job Number],0)))),IFERROR(IF(INDEX(tbl_Production[Tax Code],IFERROR(MATCH(A145&amp;"",tbl_Production[Job Number],0),MATCH(IFERROR(A145+0,A145),tbl_Production[Job Number],0)))="","",INDEX(tbl_Production[Tax Code],IFERROR(MATCH(A145&amp;"",tbl_Production[Job Number],0),MATCH(IFERROR(A145+0,A145),tbl_Production[Job Number],0)))),IFERROR(IF(INDEX(tbl_Consulting[Tax Code],IFERROR(MATCH(A145&amp;"",tbl_Consulting[Job Number],0),MATCH(IFERROR(A145+0,A145),tbl_Consulting[Job Number],0)))="","",INDEX(tbl_Consulting[Tax Code],IFERROR(MATCH(A145&amp;"",tbl_Consulting[Job Number],0),MATCH(IFERROR(A145+0,A145),tbl_Consulting[Job Number],0)))),"")))="","GST 10%",IFERROR(IF(INDEX(tbl_Onsite[Tax Code],IFERROR(MATCH(A145&amp;"",tbl_Onsite[Job Number],0),MATCH(IFERROR(A145+0,A145),tbl_Onsite[Job Number],0)))="","",INDEX(tbl_Onsite[Tax Code],IFERROR(MATCH(A145&amp;"",tbl_Onsite[Job Number],0),MATCH(IFERROR(A145+0,A145),tbl_Onsite[Job Number],0)))),IFERROR(IF(INDEX(tbl_Production[Tax Code],IFERROR(MATCH(A145&amp;"",tbl_Production[Job Number],0),MATCH(IFERROR(A145+0,A145),tbl_Production[Job Number],0)))="","",INDEX(tbl_Production[Tax Code],IFERROR(MATCH(A145&amp;"",tbl_Production[Job Number],0),MATCH(IFERROR(A145+0,A145),tbl_Production[Job Number],0)))),IFERROR(IF(INDEX(tbl_Consulting[Tax Code],IFERROR(MATCH(A145&amp;"",tbl_Consulting[Job Number],0),MATCH(IFERROR(A145+0,A145),tbl_Consulting[Job Number],0)))="","",INDEX(tbl_Consulting[Tax Code],IFERROR(MATCH(A145&amp;"",tbl_Consulting[Job Number],0),MATCH(IFERROR(A145+0,A145),tbl_Consulting[Job Number],0)))),"")))))</f>
        <v/>
      </c>
      <c r="N145" s="26">
        <f>IF(D145="","",IFERROR(INDEX(lst_CCtoGL,MATCH(D145,lst_CCforGL,0)),""))</f>
        <v/>
      </c>
      <c r="O145" s="27">
        <f>IF(E145="","",IF(M145="GST 10%",ROUND(E145*set_GSTRate,2),0))</f>
        <v/>
      </c>
      <c r="P145" s="27">
        <f>IF(E145="","",E145+O145)</f>
        <v/>
      </c>
      <c r="Q145" s="27">
        <f>IF(A145="","",IFERROR(INDEX(tbl_Onsite[Expected Revenue Ex GST],IFERROR(MATCH(A145&amp;"",tbl_Onsite[Job Number],0),MATCH(IFERROR(A145+0,A145),tbl_Onsite[Job Number],0))),IFERROR(INDEX(tbl_Production[Expected Revenue Ex GST],IFERROR(MATCH(A145&amp;"",tbl_Production[Job Number],0),MATCH(IFERROR(A145+0,A145),tbl_Production[Job Number],0))),IFERROR(INDEX(tbl_Consulting[Expected Revenue Ex GST],IFERROR(MATCH(A145&amp;"",tbl_Consulting[Job Number],0),MATCH(IFERROR(A145+0,A145),tbl_Consulting[Job Number],0))),0))))</f>
        <v/>
      </c>
      <c r="R145" s="27">
        <f>IF(A145="","",SUMIFS(tbl_Finance[Ex GST],tbl_Finance[Job Number],A145&amp;""))</f>
        <v/>
      </c>
      <c r="S145" s="27">
        <f>IF(A145="","",Q145-R145)</f>
        <v/>
      </c>
      <c r="T145" s="26">
        <f>IF(A145="","",IF(Q145=0,"No dept value",IF(ROUND(S145,2)=0,"Agrees",IF(S145&gt;0,"Dept higher - to invoice","Xero higher - check dept"))))</f>
        <v/>
      </c>
      <c r="U145" s="22" t="n"/>
      <c r="V145" s="22" t="n"/>
      <c r="W145" s="23" t="n"/>
      <c r="X145" s="23" t="n"/>
      <c r="Y145" s="22" t="n"/>
      <c r="Z145" s="22" t="n"/>
      <c r="AA145" s="26">
        <f>IF(COUNTA(C145,A145,B145,E145)=0,"",IF(C145="","No date - sits outside every month",IF(A145="","No job number",IF(H145="CHECK","Job number is not in the Xero job list",IF(G145="not set up yet","No department has set this job up - nothing can pull through",IF(D145="","No cost centre",IF(AND(U145="Y",B145=""),"Marked posted to Xero but has no invoice number",IF(N145="","Cost centre has no revenue GL on the Lists sheet",IF(T145="Xero higher - check dept","Invoiced more than the department says the job is worth","")))))))))</f>
        <v/>
      </c>
      <c r="AB145" s="28">
        <f>IF(A145="","",COUNTIFS(tbl_Finance[Job Number],A145&amp;"",tbl_Finance[Ex GST],"&lt;&gt;"))</f>
        <v/>
      </c>
      <c r="AC145" s="27">
        <f>IF(A145="","",SUMIFS(tbl_Finance[Ex GST],tbl_Finance[Job Number],A145&amp;""))</f>
        <v/>
      </c>
      <c r="AD145" s="27">
        <f>IF(A145="","",SUMIFS(tbl_Finance[Ex GST],tbl_Finance[Job Number],A145&amp;"",tbl_Finance[Xero Invoice No],"&lt;&gt;"))</f>
        <v/>
      </c>
      <c r="AE145" s="27">
        <f>IF(A145="","",AC145-AD145)</f>
        <v/>
      </c>
      <c r="AF145" s="26">
        <f>IF(A145="","",IFERROR(IF(INDEX(tbl_Onsite[Qwilr Quote],IFERROR(MATCH(A145&amp;"",tbl_Onsite[Job Number],0),MATCH(IFERROR(A145+0,A145),tbl_Onsite[Job Number],0)))="","",INDEX(tbl_Onsite[Qwilr Quote],IFERROR(MATCH(A145&amp;"",tbl_Onsite[Job Number],0),MATCH(IFERROR(A145+0,A145),tbl_Onsite[Job Number],0)))),IFERROR(IF(IF(INDEX(tbl_Production[Current RMS No],IFERROR(MATCH(A145&amp;"",tbl_Production[Job Number],0),MATCH(IFERROR(A145+0,A145),tbl_Production[Job Number],0)))="",INDEX(tbl_Production[Qwilr Quote],IFERROR(MATCH(A145&amp;"",tbl_Production[Job Number],0),MATCH(IFERROR(A145+0,A145),tbl_Production[Job Number],0))),INDEX(tbl_Production[Current RMS No],IFERROR(MATCH(A145&amp;"",tbl_Production[Job Number],0),MATCH(IFERROR(A145+0,A145),tbl_Production[Job Number],0))))="","",IF(INDEX(tbl_Production[Current RMS No],IFERROR(MATCH(A145&amp;"",tbl_Production[Job Number],0),MATCH(IFERROR(A145+0,A145),tbl_Production[Job Number],0)))="",INDEX(tbl_Production[Qwilr Quote],IFERROR(MATCH(A145&amp;"",tbl_Production[Job Number],0),MATCH(IFERROR(A145+0,A145),tbl_Production[Job Number],0))),INDEX(tbl_Production[Current RMS No],IFERROR(MATCH(A145&amp;"",tbl_Production[Job Number],0),MATCH(IFERROR(A145+0,A145),tbl_Production[Job Number],0))))),IFERROR(IF(INDEX(tbl_Consulting[Qwilr Quote],IFERROR(MATCH(A145&amp;"",tbl_Consulting[Job Number],0),MATCH(IFERROR(A145+0,A145),tbl_Consulting[Job Number],0)))="","",INDEX(tbl_Consulting[Qwilr Quote],IFERROR(MATCH(A145&amp;"",tbl_Consulting[Job Number],0),MATCH(IFERROR(A145+0,A145),tbl_Consulting[Job Number],0)))),""))))</f>
        <v/>
      </c>
      <c r="AG145" s="26">
        <f>IF(AF145="","",IF(AND(LEFT(AF145,4)&lt;&gt;"http",IF(G145="Production",set_RMSBase,set_QwilrBase)=""),"",HYPERLINK(IF(LEFT(AF145,4)="http",AF145,IF(G145="Production",set_RMSBase,set_QwilrBase)&amp;AF145),"Open")))</f>
        <v/>
      </c>
      <c r="AH145" s="27">
        <f>IF(A145="","",IFERROR(INDEX(tbl_Production[Total Expense],IFERROR(MATCH(A145&amp;"",tbl_Production[Job Number],0),MATCH(IFERROR(A145+0,A145),tbl_Production[Job Number],0))),IFERROR(INDEX(tbl_Consulting[Total Expense],IFERROR(MATCH(A145&amp;"",tbl_Consulting[Job Number],0),MATCH(IFERROR(A145+0,A145),tbl_Consulting[Job Number],0))),0)))</f>
        <v/>
      </c>
      <c r="AI145" s="27">
        <f>IF(A145="","",AC145-N(AH145))</f>
        <v/>
      </c>
      <c r="AJ145" s="29">
        <f>IFERROR(AI145/AC145,"")</f>
        <v/>
      </c>
      <c r="AK145" s="26">
        <f>IF(A145="","",IFERROR(IF(INDEX(tbl_Onsite[Notes],IFERROR(MATCH(A145&amp;"",tbl_Onsite[Job Number],0),MATCH(IFERROR(A145+0,A145),tbl_Onsite[Job Number],0)))="","",INDEX(tbl_Onsite[Notes],IFERROR(MATCH(A145&amp;"",tbl_Onsite[Job Number],0),MATCH(IFERROR(A145+0,A145),tbl_Onsite[Job Number],0)))),IFERROR(IF(INDEX(tbl_Production[Notes],IFERROR(MATCH(A145&amp;"",tbl_Production[Job Number],0),MATCH(IFERROR(A145+0,A145),tbl_Production[Job Number],0)))="","",INDEX(tbl_Production[Notes],IFERROR(MATCH(A145&amp;"",tbl_Production[Job Number],0),MATCH(IFERROR(A145+0,A145),tbl_Production[Job Number],0)))),IFERROR(IF(INDEX(tbl_Consulting[Notes],IFERROR(MATCH(A145&amp;"",tbl_Consulting[Job Number],0),MATCH(IFERROR(A145+0,A145),tbl_Consulting[Job Number],0)))="","",INDEX(tbl_Consulting[Notes],IFERROR(MATCH(A145&amp;"",tbl_Consulting[Job Number],0),MATCH(IFERROR(A145+0,A145),tbl_Consulting[Job Number],0)))),""))))</f>
        <v/>
      </c>
    </row>
    <row r="146" ht="15" customHeight="1">
      <c r="A146" s="22" t="n"/>
      <c r="B146" s="22" t="n"/>
      <c r="C146" s="23" t="n"/>
      <c r="D146" s="22" t="n"/>
      <c r="E146" s="24" t="n"/>
      <c r="F146" s="25">
        <f>IF(C146="","",EOMONTH(C146,0))</f>
        <v/>
      </c>
      <c r="G146" s="26">
        <f>IF(A146="","",IF(COUNTIF(tbl_Onsite[Job Number],A146&amp;"")&gt;0,"Onsite",IF(COUNTIF(tbl_Production[Job Number],A146&amp;"")&gt;0,"Production",IF(COUNTIF(tbl_Consulting[Job Number],A146&amp;"")&gt;0,"Consulting","not set up yet"))))</f>
        <v/>
      </c>
      <c r="H146" s="26">
        <f>IF(A146="","",IF(COUNTIF(lst_Jobs,A146&amp;"")&gt;0,"OK","CHECK"))</f>
        <v/>
      </c>
      <c r="I146" s="26">
        <f>IF(A146="","",IFERROR(INDEX(lst_JobName,MATCH(A146&amp;"",lst_Jobs,0)),""))</f>
        <v/>
      </c>
      <c r="J146" s="26">
        <f>IF(A146="","",IFERROR(IF(INDEX(tbl_Onsite[Client],IFERROR(MATCH(A146&amp;"",tbl_Onsite[Job Number],0),MATCH(IFERROR(A146+0,A146),tbl_Onsite[Job Number],0)))="","",INDEX(tbl_Onsite[Client],IFERROR(MATCH(A146&amp;"",tbl_Onsite[Job Number],0),MATCH(IFERROR(A146+0,A146),tbl_Onsite[Job Number],0)))),IFERROR(IF(INDEX(tbl_Production[Client],IFERROR(MATCH(A146&amp;"",tbl_Production[Job Number],0),MATCH(IFERROR(A146+0,A146),tbl_Production[Job Number],0)))="","",INDEX(tbl_Production[Client],IFERROR(MATCH(A146&amp;"",tbl_Production[Job Number],0),MATCH(IFERROR(A146+0,A146),tbl_Production[Job Number],0)))),IFERROR(IF(INDEX(tbl_Consulting[Client],IFERROR(MATCH(A146&amp;"",tbl_Consulting[Job Number],0),MATCH(IFERROR(A146+0,A146),tbl_Consulting[Job Number],0)))="","",INDEX(tbl_Consulting[Client],IFERROR(MATCH(A146&amp;"",tbl_Consulting[Job Number],0),MATCH(IFERROR(A146+0,A146),tbl_Consulting[Job Number],0)))),""))))</f>
        <v/>
      </c>
      <c r="K146" s="26">
        <f>IF(A146="","",IFERROR(IF(INDEX(tbl_Onsite[Job Description],IFERROR(MATCH(A146&amp;"",tbl_Onsite[Job Number],0),MATCH(IFERROR(A146+0,A146),tbl_Onsite[Job Number],0)))="","",INDEX(tbl_Onsite[Job Description],IFERROR(MATCH(A146&amp;"",tbl_Onsite[Job Number],0),MATCH(IFERROR(A146+0,A146),tbl_Onsite[Job Number],0)))),IFERROR(IF(INDEX(tbl_Production[Job Description],IFERROR(MATCH(A146&amp;"",tbl_Production[Job Number],0),MATCH(IFERROR(A146+0,A146),tbl_Production[Job Number],0)))="","",INDEX(tbl_Production[Job Description],IFERROR(MATCH(A146&amp;"",tbl_Production[Job Number],0),MATCH(IFERROR(A146+0,A146),tbl_Production[Job Number],0)))),IFERROR(IF(INDEX(tbl_Consulting[Job Description],IFERROR(MATCH(A146&amp;"",tbl_Consulting[Job Number],0),MATCH(IFERROR(A146+0,A146),tbl_Consulting[Job Number],0)))="","",INDEX(tbl_Consulting[Job Description],IFERROR(MATCH(A146&amp;"",tbl_Consulting[Job Number],0),MATCH(IFERROR(A146+0,A146),tbl_Consulting[Job Number],0)))),""))))</f>
        <v/>
      </c>
      <c r="L146" s="26">
        <f>IF(A146="","",IFERROR(IF(INDEX(tbl_Onsite[Invoice Type],IFERROR(MATCH(A146&amp;"",tbl_Onsite[Job Number],0),MATCH(IFERROR(A146+0,A146),tbl_Onsite[Job Number],0)))="","",INDEX(tbl_Onsite[Invoice Type],IFERROR(MATCH(A146&amp;"",tbl_Onsite[Job Number],0),MATCH(IFERROR(A146+0,A146),tbl_Onsite[Job Number],0)))),IFERROR(IF(INDEX(tbl_Production[Invoice Type],IFERROR(MATCH(A146&amp;"",tbl_Production[Job Number],0),MATCH(IFERROR(A146+0,A146),tbl_Production[Job Number],0)))="","",INDEX(tbl_Production[Invoice Type],IFERROR(MATCH(A146&amp;"",tbl_Production[Job Number],0),MATCH(IFERROR(A146+0,A146),tbl_Production[Job Number],0)))),IFERROR(IF(INDEX(tbl_Consulting[Invoice Type],IFERROR(MATCH(A146&amp;"",tbl_Consulting[Job Number],0),MATCH(IFERROR(A146+0,A146),tbl_Consulting[Job Number],0)))="","",INDEX(tbl_Consulting[Invoice Type],IFERROR(MATCH(A146&amp;"",tbl_Consulting[Job Number],0),MATCH(IFERROR(A146+0,A146),tbl_Consulting[Job Number],0)))),""))))</f>
        <v/>
      </c>
      <c r="M146" s="26">
        <f>IF(A146="","",IF(IFERROR(IF(INDEX(tbl_Onsite[Tax Code],IFERROR(MATCH(A146&amp;"",tbl_Onsite[Job Number],0),MATCH(IFERROR(A146+0,A146),tbl_Onsite[Job Number],0)))="","",INDEX(tbl_Onsite[Tax Code],IFERROR(MATCH(A146&amp;"",tbl_Onsite[Job Number],0),MATCH(IFERROR(A146+0,A146),tbl_Onsite[Job Number],0)))),IFERROR(IF(INDEX(tbl_Production[Tax Code],IFERROR(MATCH(A146&amp;"",tbl_Production[Job Number],0),MATCH(IFERROR(A146+0,A146),tbl_Production[Job Number],0)))="","",INDEX(tbl_Production[Tax Code],IFERROR(MATCH(A146&amp;"",tbl_Production[Job Number],0),MATCH(IFERROR(A146+0,A146),tbl_Production[Job Number],0)))),IFERROR(IF(INDEX(tbl_Consulting[Tax Code],IFERROR(MATCH(A146&amp;"",tbl_Consulting[Job Number],0),MATCH(IFERROR(A146+0,A146),tbl_Consulting[Job Number],0)))="","",INDEX(tbl_Consulting[Tax Code],IFERROR(MATCH(A146&amp;"",tbl_Consulting[Job Number],0),MATCH(IFERROR(A146+0,A146),tbl_Consulting[Job Number],0)))),"")))="","GST 10%",IFERROR(IF(INDEX(tbl_Onsite[Tax Code],IFERROR(MATCH(A146&amp;"",tbl_Onsite[Job Number],0),MATCH(IFERROR(A146+0,A146),tbl_Onsite[Job Number],0)))="","",INDEX(tbl_Onsite[Tax Code],IFERROR(MATCH(A146&amp;"",tbl_Onsite[Job Number],0),MATCH(IFERROR(A146+0,A146),tbl_Onsite[Job Number],0)))),IFERROR(IF(INDEX(tbl_Production[Tax Code],IFERROR(MATCH(A146&amp;"",tbl_Production[Job Number],0),MATCH(IFERROR(A146+0,A146),tbl_Production[Job Number],0)))="","",INDEX(tbl_Production[Tax Code],IFERROR(MATCH(A146&amp;"",tbl_Production[Job Number],0),MATCH(IFERROR(A146+0,A146),tbl_Production[Job Number],0)))),IFERROR(IF(INDEX(tbl_Consulting[Tax Code],IFERROR(MATCH(A146&amp;"",tbl_Consulting[Job Number],0),MATCH(IFERROR(A146+0,A146),tbl_Consulting[Job Number],0)))="","",INDEX(tbl_Consulting[Tax Code],IFERROR(MATCH(A146&amp;"",tbl_Consulting[Job Number],0),MATCH(IFERROR(A146+0,A146),tbl_Consulting[Job Number],0)))),"")))))</f>
        <v/>
      </c>
      <c r="N146" s="26">
        <f>IF(D146="","",IFERROR(INDEX(lst_CCtoGL,MATCH(D146,lst_CCforGL,0)),""))</f>
        <v/>
      </c>
      <c r="O146" s="27">
        <f>IF(E146="","",IF(M146="GST 10%",ROUND(E146*set_GSTRate,2),0))</f>
        <v/>
      </c>
      <c r="P146" s="27">
        <f>IF(E146="","",E146+O146)</f>
        <v/>
      </c>
      <c r="Q146" s="27">
        <f>IF(A146="","",IFERROR(INDEX(tbl_Onsite[Expected Revenue Ex GST],IFERROR(MATCH(A146&amp;"",tbl_Onsite[Job Number],0),MATCH(IFERROR(A146+0,A146),tbl_Onsite[Job Number],0))),IFERROR(INDEX(tbl_Production[Expected Revenue Ex GST],IFERROR(MATCH(A146&amp;"",tbl_Production[Job Number],0),MATCH(IFERROR(A146+0,A146),tbl_Production[Job Number],0))),IFERROR(INDEX(tbl_Consulting[Expected Revenue Ex GST],IFERROR(MATCH(A146&amp;"",tbl_Consulting[Job Number],0),MATCH(IFERROR(A146+0,A146),tbl_Consulting[Job Number],0))),0))))</f>
        <v/>
      </c>
      <c r="R146" s="27">
        <f>IF(A146="","",SUMIFS(tbl_Finance[Ex GST],tbl_Finance[Job Number],A146&amp;""))</f>
        <v/>
      </c>
      <c r="S146" s="27">
        <f>IF(A146="","",Q146-R146)</f>
        <v/>
      </c>
      <c r="T146" s="26">
        <f>IF(A146="","",IF(Q146=0,"No dept value",IF(ROUND(S146,2)=0,"Agrees",IF(S146&gt;0,"Dept higher - to invoice","Xero higher - check dept"))))</f>
        <v/>
      </c>
      <c r="U146" s="22" t="n"/>
      <c r="V146" s="22" t="n"/>
      <c r="W146" s="23" t="n"/>
      <c r="X146" s="23" t="n"/>
      <c r="Y146" s="22" t="n"/>
      <c r="Z146" s="22" t="n"/>
      <c r="AA146" s="26">
        <f>IF(COUNTA(C146,A146,B146,E146)=0,"",IF(C146="","No date - sits outside every month",IF(A146="","No job number",IF(H146="CHECK","Job number is not in the Xero job list",IF(G146="not set up yet","No department has set this job up - nothing can pull through",IF(D146="","No cost centre",IF(AND(U146="Y",B146=""),"Marked posted to Xero but has no invoice number",IF(N146="","Cost centre has no revenue GL on the Lists sheet",IF(T146="Xero higher - check dept","Invoiced more than the department says the job is worth","")))))))))</f>
        <v/>
      </c>
      <c r="AB146" s="28">
        <f>IF(A146="","",COUNTIFS(tbl_Finance[Job Number],A146&amp;"",tbl_Finance[Ex GST],"&lt;&gt;"))</f>
        <v/>
      </c>
      <c r="AC146" s="27">
        <f>IF(A146="","",SUMIFS(tbl_Finance[Ex GST],tbl_Finance[Job Number],A146&amp;""))</f>
        <v/>
      </c>
      <c r="AD146" s="27">
        <f>IF(A146="","",SUMIFS(tbl_Finance[Ex GST],tbl_Finance[Job Number],A146&amp;"",tbl_Finance[Xero Invoice No],"&lt;&gt;"))</f>
        <v/>
      </c>
      <c r="AE146" s="27">
        <f>IF(A146="","",AC146-AD146)</f>
        <v/>
      </c>
      <c r="AF146" s="26">
        <f>IF(A146="","",IFERROR(IF(INDEX(tbl_Onsite[Qwilr Quote],IFERROR(MATCH(A146&amp;"",tbl_Onsite[Job Number],0),MATCH(IFERROR(A146+0,A146),tbl_Onsite[Job Number],0)))="","",INDEX(tbl_Onsite[Qwilr Quote],IFERROR(MATCH(A146&amp;"",tbl_Onsite[Job Number],0),MATCH(IFERROR(A146+0,A146),tbl_Onsite[Job Number],0)))),IFERROR(IF(IF(INDEX(tbl_Production[Current RMS No],IFERROR(MATCH(A146&amp;"",tbl_Production[Job Number],0),MATCH(IFERROR(A146+0,A146),tbl_Production[Job Number],0)))="",INDEX(tbl_Production[Qwilr Quote],IFERROR(MATCH(A146&amp;"",tbl_Production[Job Number],0),MATCH(IFERROR(A146+0,A146),tbl_Production[Job Number],0))),INDEX(tbl_Production[Current RMS No],IFERROR(MATCH(A146&amp;"",tbl_Production[Job Number],0),MATCH(IFERROR(A146+0,A146),tbl_Production[Job Number],0))))="","",IF(INDEX(tbl_Production[Current RMS No],IFERROR(MATCH(A146&amp;"",tbl_Production[Job Number],0),MATCH(IFERROR(A146+0,A146),tbl_Production[Job Number],0)))="",INDEX(tbl_Production[Qwilr Quote],IFERROR(MATCH(A146&amp;"",tbl_Production[Job Number],0),MATCH(IFERROR(A146+0,A146),tbl_Production[Job Number],0))),INDEX(tbl_Production[Current RMS No],IFERROR(MATCH(A146&amp;"",tbl_Production[Job Number],0),MATCH(IFERROR(A146+0,A146),tbl_Production[Job Number],0))))),IFERROR(IF(INDEX(tbl_Consulting[Qwilr Quote],IFERROR(MATCH(A146&amp;"",tbl_Consulting[Job Number],0),MATCH(IFERROR(A146+0,A146),tbl_Consulting[Job Number],0)))="","",INDEX(tbl_Consulting[Qwilr Quote],IFERROR(MATCH(A146&amp;"",tbl_Consulting[Job Number],0),MATCH(IFERROR(A146+0,A146),tbl_Consulting[Job Number],0)))),""))))</f>
        <v/>
      </c>
      <c r="AG146" s="26">
        <f>IF(AF146="","",IF(AND(LEFT(AF146,4)&lt;&gt;"http",IF(G146="Production",set_RMSBase,set_QwilrBase)=""),"",HYPERLINK(IF(LEFT(AF146,4)="http",AF146,IF(G146="Production",set_RMSBase,set_QwilrBase)&amp;AF146),"Open")))</f>
        <v/>
      </c>
      <c r="AH146" s="27">
        <f>IF(A146="","",IFERROR(INDEX(tbl_Production[Total Expense],IFERROR(MATCH(A146&amp;"",tbl_Production[Job Number],0),MATCH(IFERROR(A146+0,A146),tbl_Production[Job Number],0))),IFERROR(INDEX(tbl_Consulting[Total Expense],IFERROR(MATCH(A146&amp;"",tbl_Consulting[Job Number],0),MATCH(IFERROR(A146+0,A146),tbl_Consulting[Job Number],0))),0)))</f>
        <v/>
      </c>
      <c r="AI146" s="27">
        <f>IF(A146="","",AC146-N(AH146))</f>
        <v/>
      </c>
      <c r="AJ146" s="29">
        <f>IFERROR(AI146/AC146,"")</f>
        <v/>
      </c>
      <c r="AK146" s="26">
        <f>IF(A146="","",IFERROR(IF(INDEX(tbl_Onsite[Notes],IFERROR(MATCH(A146&amp;"",tbl_Onsite[Job Number],0),MATCH(IFERROR(A146+0,A146),tbl_Onsite[Job Number],0)))="","",INDEX(tbl_Onsite[Notes],IFERROR(MATCH(A146&amp;"",tbl_Onsite[Job Number],0),MATCH(IFERROR(A146+0,A146),tbl_Onsite[Job Number],0)))),IFERROR(IF(INDEX(tbl_Production[Notes],IFERROR(MATCH(A146&amp;"",tbl_Production[Job Number],0),MATCH(IFERROR(A146+0,A146),tbl_Production[Job Number],0)))="","",INDEX(tbl_Production[Notes],IFERROR(MATCH(A146&amp;"",tbl_Production[Job Number],0),MATCH(IFERROR(A146+0,A146),tbl_Production[Job Number],0)))),IFERROR(IF(INDEX(tbl_Consulting[Notes],IFERROR(MATCH(A146&amp;"",tbl_Consulting[Job Number],0),MATCH(IFERROR(A146+0,A146),tbl_Consulting[Job Number],0)))="","",INDEX(tbl_Consulting[Notes],IFERROR(MATCH(A146&amp;"",tbl_Consulting[Job Number],0),MATCH(IFERROR(A146+0,A146),tbl_Consulting[Job Number],0)))),""))))</f>
        <v/>
      </c>
    </row>
    <row r="147" ht="15" customHeight="1">
      <c r="A147" s="22" t="n"/>
      <c r="B147" s="22" t="n"/>
      <c r="C147" s="23" t="n"/>
      <c r="D147" s="22" t="n"/>
      <c r="E147" s="24" t="n"/>
      <c r="F147" s="25">
        <f>IF(C147="","",EOMONTH(C147,0))</f>
        <v/>
      </c>
      <c r="G147" s="26">
        <f>IF(A147="","",IF(COUNTIF(tbl_Onsite[Job Number],A147&amp;"")&gt;0,"Onsite",IF(COUNTIF(tbl_Production[Job Number],A147&amp;"")&gt;0,"Production",IF(COUNTIF(tbl_Consulting[Job Number],A147&amp;"")&gt;0,"Consulting","not set up yet"))))</f>
        <v/>
      </c>
      <c r="H147" s="26">
        <f>IF(A147="","",IF(COUNTIF(lst_Jobs,A147&amp;"")&gt;0,"OK","CHECK"))</f>
        <v/>
      </c>
      <c r="I147" s="26">
        <f>IF(A147="","",IFERROR(INDEX(lst_JobName,MATCH(A147&amp;"",lst_Jobs,0)),""))</f>
        <v/>
      </c>
      <c r="J147" s="26">
        <f>IF(A147="","",IFERROR(IF(INDEX(tbl_Onsite[Client],IFERROR(MATCH(A147&amp;"",tbl_Onsite[Job Number],0),MATCH(IFERROR(A147+0,A147),tbl_Onsite[Job Number],0)))="","",INDEX(tbl_Onsite[Client],IFERROR(MATCH(A147&amp;"",tbl_Onsite[Job Number],0),MATCH(IFERROR(A147+0,A147),tbl_Onsite[Job Number],0)))),IFERROR(IF(INDEX(tbl_Production[Client],IFERROR(MATCH(A147&amp;"",tbl_Production[Job Number],0),MATCH(IFERROR(A147+0,A147),tbl_Production[Job Number],0)))="","",INDEX(tbl_Production[Client],IFERROR(MATCH(A147&amp;"",tbl_Production[Job Number],0),MATCH(IFERROR(A147+0,A147),tbl_Production[Job Number],0)))),IFERROR(IF(INDEX(tbl_Consulting[Client],IFERROR(MATCH(A147&amp;"",tbl_Consulting[Job Number],0),MATCH(IFERROR(A147+0,A147),tbl_Consulting[Job Number],0)))="","",INDEX(tbl_Consulting[Client],IFERROR(MATCH(A147&amp;"",tbl_Consulting[Job Number],0),MATCH(IFERROR(A147+0,A147),tbl_Consulting[Job Number],0)))),""))))</f>
        <v/>
      </c>
      <c r="K147" s="26">
        <f>IF(A147="","",IFERROR(IF(INDEX(tbl_Onsite[Job Description],IFERROR(MATCH(A147&amp;"",tbl_Onsite[Job Number],0),MATCH(IFERROR(A147+0,A147),tbl_Onsite[Job Number],0)))="","",INDEX(tbl_Onsite[Job Description],IFERROR(MATCH(A147&amp;"",tbl_Onsite[Job Number],0),MATCH(IFERROR(A147+0,A147),tbl_Onsite[Job Number],0)))),IFERROR(IF(INDEX(tbl_Production[Job Description],IFERROR(MATCH(A147&amp;"",tbl_Production[Job Number],0),MATCH(IFERROR(A147+0,A147),tbl_Production[Job Number],0)))="","",INDEX(tbl_Production[Job Description],IFERROR(MATCH(A147&amp;"",tbl_Production[Job Number],0),MATCH(IFERROR(A147+0,A147),tbl_Production[Job Number],0)))),IFERROR(IF(INDEX(tbl_Consulting[Job Description],IFERROR(MATCH(A147&amp;"",tbl_Consulting[Job Number],0),MATCH(IFERROR(A147+0,A147),tbl_Consulting[Job Number],0)))="","",INDEX(tbl_Consulting[Job Description],IFERROR(MATCH(A147&amp;"",tbl_Consulting[Job Number],0),MATCH(IFERROR(A147+0,A147),tbl_Consulting[Job Number],0)))),""))))</f>
        <v/>
      </c>
      <c r="L147" s="26">
        <f>IF(A147="","",IFERROR(IF(INDEX(tbl_Onsite[Invoice Type],IFERROR(MATCH(A147&amp;"",tbl_Onsite[Job Number],0),MATCH(IFERROR(A147+0,A147),tbl_Onsite[Job Number],0)))="","",INDEX(tbl_Onsite[Invoice Type],IFERROR(MATCH(A147&amp;"",tbl_Onsite[Job Number],0),MATCH(IFERROR(A147+0,A147),tbl_Onsite[Job Number],0)))),IFERROR(IF(INDEX(tbl_Production[Invoice Type],IFERROR(MATCH(A147&amp;"",tbl_Production[Job Number],0),MATCH(IFERROR(A147+0,A147),tbl_Production[Job Number],0)))="","",INDEX(tbl_Production[Invoice Type],IFERROR(MATCH(A147&amp;"",tbl_Production[Job Number],0),MATCH(IFERROR(A147+0,A147),tbl_Production[Job Number],0)))),IFERROR(IF(INDEX(tbl_Consulting[Invoice Type],IFERROR(MATCH(A147&amp;"",tbl_Consulting[Job Number],0),MATCH(IFERROR(A147+0,A147),tbl_Consulting[Job Number],0)))="","",INDEX(tbl_Consulting[Invoice Type],IFERROR(MATCH(A147&amp;"",tbl_Consulting[Job Number],0),MATCH(IFERROR(A147+0,A147),tbl_Consulting[Job Number],0)))),""))))</f>
        <v/>
      </c>
      <c r="M147" s="26">
        <f>IF(A147="","",IF(IFERROR(IF(INDEX(tbl_Onsite[Tax Code],IFERROR(MATCH(A147&amp;"",tbl_Onsite[Job Number],0),MATCH(IFERROR(A147+0,A147),tbl_Onsite[Job Number],0)))="","",INDEX(tbl_Onsite[Tax Code],IFERROR(MATCH(A147&amp;"",tbl_Onsite[Job Number],0),MATCH(IFERROR(A147+0,A147),tbl_Onsite[Job Number],0)))),IFERROR(IF(INDEX(tbl_Production[Tax Code],IFERROR(MATCH(A147&amp;"",tbl_Production[Job Number],0),MATCH(IFERROR(A147+0,A147),tbl_Production[Job Number],0)))="","",INDEX(tbl_Production[Tax Code],IFERROR(MATCH(A147&amp;"",tbl_Production[Job Number],0),MATCH(IFERROR(A147+0,A147),tbl_Production[Job Number],0)))),IFERROR(IF(INDEX(tbl_Consulting[Tax Code],IFERROR(MATCH(A147&amp;"",tbl_Consulting[Job Number],0),MATCH(IFERROR(A147+0,A147),tbl_Consulting[Job Number],0)))="","",INDEX(tbl_Consulting[Tax Code],IFERROR(MATCH(A147&amp;"",tbl_Consulting[Job Number],0),MATCH(IFERROR(A147+0,A147),tbl_Consulting[Job Number],0)))),"")))="","GST 10%",IFERROR(IF(INDEX(tbl_Onsite[Tax Code],IFERROR(MATCH(A147&amp;"",tbl_Onsite[Job Number],0),MATCH(IFERROR(A147+0,A147),tbl_Onsite[Job Number],0)))="","",INDEX(tbl_Onsite[Tax Code],IFERROR(MATCH(A147&amp;"",tbl_Onsite[Job Number],0),MATCH(IFERROR(A147+0,A147),tbl_Onsite[Job Number],0)))),IFERROR(IF(INDEX(tbl_Production[Tax Code],IFERROR(MATCH(A147&amp;"",tbl_Production[Job Number],0),MATCH(IFERROR(A147+0,A147),tbl_Production[Job Number],0)))="","",INDEX(tbl_Production[Tax Code],IFERROR(MATCH(A147&amp;"",tbl_Production[Job Number],0),MATCH(IFERROR(A147+0,A147),tbl_Production[Job Number],0)))),IFERROR(IF(INDEX(tbl_Consulting[Tax Code],IFERROR(MATCH(A147&amp;"",tbl_Consulting[Job Number],0),MATCH(IFERROR(A147+0,A147),tbl_Consulting[Job Number],0)))="","",INDEX(tbl_Consulting[Tax Code],IFERROR(MATCH(A147&amp;"",tbl_Consulting[Job Number],0),MATCH(IFERROR(A147+0,A147),tbl_Consulting[Job Number],0)))),"")))))</f>
        <v/>
      </c>
      <c r="N147" s="26">
        <f>IF(D147="","",IFERROR(INDEX(lst_CCtoGL,MATCH(D147,lst_CCforGL,0)),""))</f>
        <v/>
      </c>
      <c r="O147" s="27">
        <f>IF(E147="","",IF(M147="GST 10%",ROUND(E147*set_GSTRate,2),0))</f>
        <v/>
      </c>
      <c r="P147" s="27">
        <f>IF(E147="","",E147+O147)</f>
        <v/>
      </c>
      <c r="Q147" s="27">
        <f>IF(A147="","",IFERROR(INDEX(tbl_Onsite[Expected Revenue Ex GST],IFERROR(MATCH(A147&amp;"",tbl_Onsite[Job Number],0),MATCH(IFERROR(A147+0,A147),tbl_Onsite[Job Number],0))),IFERROR(INDEX(tbl_Production[Expected Revenue Ex GST],IFERROR(MATCH(A147&amp;"",tbl_Production[Job Number],0),MATCH(IFERROR(A147+0,A147),tbl_Production[Job Number],0))),IFERROR(INDEX(tbl_Consulting[Expected Revenue Ex GST],IFERROR(MATCH(A147&amp;"",tbl_Consulting[Job Number],0),MATCH(IFERROR(A147+0,A147),tbl_Consulting[Job Number],0))),0))))</f>
        <v/>
      </c>
      <c r="R147" s="27">
        <f>IF(A147="","",SUMIFS(tbl_Finance[Ex GST],tbl_Finance[Job Number],A147&amp;""))</f>
        <v/>
      </c>
      <c r="S147" s="27">
        <f>IF(A147="","",Q147-R147)</f>
        <v/>
      </c>
      <c r="T147" s="26">
        <f>IF(A147="","",IF(Q147=0,"No dept value",IF(ROUND(S147,2)=0,"Agrees",IF(S147&gt;0,"Dept higher - to invoice","Xero higher - check dept"))))</f>
        <v/>
      </c>
      <c r="U147" s="22" t="n"/>
      <c r="V147" s="22" t="n"/>
      <c r="W147" s="23" t="n"/>
      <c r="X147" s="23" t="n"/>
      <c r="Y147" s="22" t="n"/>
      <c r="Z147" s="22" t="n"/>
      <c r="AA147" s="26">
        <f>IF(COUNTA(C147,A147,B147,E147)=0,"",IF(C147="","No date - sits outside every month",IF(A147="","No job number",IF(H147="CHECK","Job number is not in the Xero job list",IF(G147="not set up yet","No department has set this job up - nothing can pull through",IF(D147="","No cost centre",IF(AND(U147="Y",B147=""),"Marked posted to Xero but has no invoice number",IF(N147="","Cost centre has no revenue GL on the Lists sheet",IF(T147="Xero higher - check dept","Invoiced more than the department says the job is worth","")))))))))</f>
        <v/>
      </c>
      <c r="AB147" s="28">
        <f>IF(A147="","",COUNTIFS(tbl_Finance[Job Number],A147&amp;"",tbl_Finance[Ex GST],"&lt;&gt;"))</f>
        <v/>
      </c>
      <c r="AC147" s="27">
        <f>IF(A147="","",SUMIFS(tbl_Finance[Ex GST],tbl_Finance[Job Number],A147&amp;""))</f>
        <v/>
      </c>
      <c r="AD147" s="27">
        <f>IF(A147="","",SUMIFS(tbl_Finance[Ex GST],tbl_Finance[Job Number],A147&amp;"",tbl_Finance[Xero Invoice No],"&lt;&gt;"))</f>
        <v/>
      </c>
      <c r="AE147" s="27">
        <f>IF(A147="","",AC147-AD147)</f>
        <v/>
      </c>
      <c r="AF147" s="26">
        <f>IF(A147="","",IFERROR(IF(INDEX(tbl_Onsite[Qwilr Quote],IFERROR(MATCH(A147&amp;"",tbl_Onsite[Job Number],0),MATCH(IFERROR(A147+0,A147),tbl_Onsite[Job Number],0)))="","",INDEX(tbl_Onsite[Qwilr Quote],IFERROR(MATCH(A147&amp;"",tbl_Onsite[Job Number],0),MATCH(IFERROR(A147+0,A147),tbl_Onsite[Job Number],0)))),IFERROR(IF(IF(INDEX(tbl_Production[Current RMS No],IFERROR(MATCH(A147&amp;"",tbl_Production[Job Number],0),MATCH(IFERROR(A147+0,A147),tbl_Production[Job Number],0)))="",INDEX(tbl_Production[Qwilr Quote],IFERROR(MATCH(A147&amp;"",tbl_Production[Job Number],0),MATCH(IFERROR(A147+0,A147),tbl_Production[Job Number],0))),INDEX(tbl_Production[Current RMS No],IFERROR(MATCH(A147&amp;"",tbl_Production[Job Number],0),MATCH(IFERROR(A147+0,A147),tbl_Production[Job Number],0))))="","",IF(INDEX(tbl_Production[Current RMS No],IFERROR(MATCH(A147&amp;"",tbl_Production[Job Number],0),MATCH(IFERROR(A147+0,A147),tbl_Production[Job Number],0)))="",INDEX(tbl_Production[Qwilr Quote],IFERROR(MATCH(A147&amp;"",tbl_Production[Job Number],0),MATCH(IFERROR(A147+0,A147),tbl_Production[Job Number],0))),INDEX(tbl_Production[Current RMS No],IFERROR(MATCH(A147&amp;"",tbl_Production[Job Number],0),MATCH(IFERROR(A147+0,A147),tbl_Production[Job Number],0))))),IFERROR(IF(INDEX(tbl_Consulting[Qwilr Quote],IFERROR(MATCH(A147&amp;"",tbl_Consulting[Job Number],0),MATCH(IFERROR(A147+0,A147),tbl_Consulting[Job Number],0)))="","",INDEX(tbl_Consulting[Qwilr Quote],IFERROR(MATCH(A147&amp;"",tbl_Consulting[Job Number],0),MATCH(IFERROR(A147+0,A147),tbl_Consulting[Job Number],0)))),""))))</f>
        <v/>
      </c>
      <c r="AG147" s="26">
        <f>IF(AF147="","",IF(AND(LEFT(AF147,4)&lt;&gt;"http",IF(G147="Production",set_RMSBase,set_QwilrBase)=""),"",HYPERLINK(IF(LEFT(AF147,4)="http",AF147,IF(G147="Production",set_RMSBase,set_QwilrBase)&amp;AF147),"Open")))</f>
        <v/>
      </c>
      <c r="AH147" s="27">
        <f>IF(A147="","",IFERROR(INDEX(tbl_Production[Total Expense],IFERROR(MATCH(A147&amp;"",tbl_Production[Job Number],0),MATCH(IFERROR(A147+0,A147),tbl_Production[Job Number],0))),IFERROR(INDEX(tbl_Consulting[Total Expense],IFERROR(MATCH(A147&amp;"",tbl_Consulting[Job Number],0),MATCH(IFERROR(A147+0,A147),tbl_Consulting[Job Number],0))),0)))</f>
        <v/>
      </c>
      <c r="AI147" s="27">
        <f>IF(A147="","",AC147-N(AH147))</f>
        <v/>
      </c>
      <c r="AJ147" s="29">
        <f>IFERROR(AI147/AC147,"")</f>
        <v/>
      </c>
      <c r="AK147" s="26">
        <f>IF(A147="","",IFERROR(IF(INDEX(tbl_Onsite[Notes],IFERROR(MATCH(A147&amp;"",tbl_Onsite[Job Number],0),MATCH(IFERROR(A147+0,A147),tbl_Onsite[Job Number],0)))="","",INDEX(tbl_Onsite[Notes],IFERROR(MATCH(A147&amp;"",tbl_Onsite[Job Number],0),MATCH(IFERROR(A147+0,A147),tbl_Onsite[Job Number],0)))),IFERROR(IF(INDEX(tbl_Production[Notes],IFERROR(MATCH(A147&amp;"",tbl_Production[Job Number],0),MATCH(IFERROR(A147+0,A147),tbl_Production[Job Number],0)))="","",INDEX(tbl_Production[Notes],IFERROR(MATCH(A147&amp;"",tbl_Production[Job Number],0),MATCH(IFERROR(A147+0,A147),tbl_Production[Job Number],0)))),IFERROR(IF(INDEX(tbl_Consulting[Notes],IFERROR(MATCH(A147&amp;"",tbl_Consulting[Job Number],0),MATCH(IFERROR(A147+0,A147),tbl_Consulting[Job Number],0)))="","",INDEX(tbl_Consulting[Notes],IFERROR(MATCH(A147&amp;"",tbl_Consulting[Job Number],0),MATCH(IFERROR(A147+0,A147),tbl_Consulting[Job Number],0)))),""))))</f>
        <v/>
      </c>
    </row>
    <row r="148" ht="15" customHeight="1">
      <c r="A148" s="22" t="n"/>
      <c r="B148" s="22" t="n"/>
      <c r="C148" s="23" t="n"/>
      <c r="D148" s="22" t="n"/>
      <c r="E148" s="24" t="n"/>
      <c r="F148" s="25">
        <f>IF(C148="","",EOMONTH(C148,0))</f>
        <v/>
      </c>
      <c r="G148" s="26">
        <f>IF(A148="","",IF(COUNTIF(tbl_Onsite[Job Number],A148&amp;"")&gt;0,"Onsite",IF(COUNTIF(tbl_Production[Job Number],A148&amp;"")&gt;0,"Production",IF(COUNTIF(tbl_Consulting[Job Number],A148&amp;"")&gt;0,"Consulting","not set up yet"))))</f>
        <v/>
      </c>
      <c r="H148" s="26">
        <f>IF(A148="","",IF(COUNTIF(lst_Jobs,A148&amp;"")&gt;0,"OK","CHECK"))</f>
        <v/>
      </c>
      <c r="I148" s="26">
        <f>IF(A148="","",IFERROR(INDEX(lst_JobName,MATCH(A148&amp;"",lst_Jobs,0)),""))</f>
        <v/>
      </c>
      <c r="J148" s="26">
        <f>IF(A148="","",IFERROR(IF(INDEX(tbl_Onsite[Client],IFERROR(MATCH(A148&amp;"",tbl_Onsite[Job Number],0),MATCH(IFERROR(A148+0,A148),tbl_Onsite[Job Number],0)))="","",INDEX(tbl_Onsite[Client],IFERROR(MATCH(A148&amp;"",tbl_Onsite[Job Number],0),MATCH(IFERROR(A148+0,A148),tbl_Onsite[Job Number],0)))),IFERROR(IF(INDEX(tbl_Production[Client],IFERROR(MATCH(A148&amp;"",tbl_Production[Job Number],0),MATCH(IFERROR(A148+0,A148),tbl_Production[Job Number],0)))="","",INDEX(tbl_Production[Client],IFERROR(MATCH(A148&amp;"",tbl_Production[Job Number],0),MATCH(IFERROR(A148+0,A148),tbl_Production[Job Number],0)))),IFERROR(IF(INDEX(tbl_Consulting[Client],IFERROR(MATCH(A148&amp;"",tbl_Consulting[Job Number],0),MATCH(IFERROR(A148+0,A148),tbl_Consulting[Job Number],0)))="","",INDEX(tbl_Consulting[Client],IFERROR(MATCH(A148&amp;"",tbl_Consulting[Job Number],0),MATCH(IFERROR(A148+0,A148),tbl_Consulting[Job Number],0)))),""))))</f>
        <v/>
      </c>
      <c r="K148" s="26">
        <f>IF(A148="","",IFERROR(IF(INDEX(tbl_Onsite[Job Description],IFERROR(MATCH(A148&amp;"",tbl_Onsite[Job Number],0),MATCH(IFERROR(A148+0,A148),tbl_Onsite[Job Number],0)))="","",INDEX(tbl_Onsite[Job Description],IFERROR(MATCH(A148&amp;"",tbl_Onsite[Job Number],0),MATCH(IFERROR(A148+0,A148),tbl_Onsite[Job Number],0)))),IFERROR(IF(INDEX(tbl_Production[Job Description],IFERROR(MATCH(A148&amp;"",tbl_Production[Job Number],0),MATCH(IFERROR(A148+0,A148),tbl_Production[Job Number],0)))="","",INDEX(tbl_Production[Job Description],IFERROR(MATCH(A148&amp;"",tbl_Production[Job Number],0),MATCH(IFERROR(A148+0,A148),tbl_Production[Job Number],0)))),IFERROR(IF(INDEX(tbl_Consulting[Job Description],IFERROR(MATCH(A148&amp;"",tbl_Consulting[Job Number],0),MATCH(IFERROR(A148+0,A148),tbl_Consulting[Job Number],0)))="","",INDEX(tbl_Consulting[Job Description],IFERROR(MATCH(A148&amp;"",tbl_Consulting[Job Number],0),MATCH(IFERROR(A148+0,A148),tbl_Consulting[Job Number],0)))),""))))</f>
        <v/>
      </c>
      <c r="L148" s="26">
        <f>IF(A148="","",IFERROR(IF(INDEX(tbl_Onsite[Invoice Type],IFERROR(MATCH(A148&amp;"",tbl_Onsite[Job Number],0),MATCH(IFERROR(A148+0,A148),tbl_Onsite[Job Number],0)))="","",INDEX(tbl_Onsite[Invoice Type],IFERROR(MATCH(A148&amp;"",tbl_Onsite[Job Number],0),MATCH(IFERROR(A148+0,A148),tbl_Onsite[Job Number],0)))),IFERROR(IF(INDEX(tbl_Production[Invoice Type],IFERROR(MATCH(A148&amp;"",tbl_Production[Job Number],0),MATCH(IFERROR(A148+0,A148),tbl_Production[Job Number],0)))="","",INDEX(tbl_Production[Invoice Type],IFERROR(MATCH(A148&amp;"",tbl_Production[Job Number],0),MATCH(IFERROR(A148+0,A148),tbl_Production[Job Number],0)))),IFERROR(IF(INDEX(tbl_Consulting[Invoice Type],IFERROR(MATCH(A148&amp;"",tbl_Consulting[Job Number],0),MATCH(IFERROR(A148+0,A148),tbl_Consulting[Job Number],0)))="","",INDEX(tbl_Consulting[Invoice Type],IFERROR(MATCH(A148&amp;"",tbl_Consulting[Job Number],0),MATCH(IFERROR(A148+0,A148),tbl_Consulting[Job Number],0)))),""))))</f>
        <v/>
      </c>
      <c r="M148" s="26">
        <f>IF(A148="","",IF(IFERROR(IF(INDEX(tbl_Onsite[Tax Code],IFERROR(MATCH(A148&amp;"",tbl_Onsite[Job Number],0),MATCH(IFERROR(A148+0,A148),tbl_Onsite[Job Number],0)))="","",INDEX(tbl_Onsite[Tax Code],IFERROR(MATCH(A148&amp;"",tbl_Onsite[Job Number],0),MATCH(IFERROR(A148+0,A148),tbl_Onsite[Job Number],0)))),IFERROR(IF(INDEX(tbl_Production[Tax Code],IFERROR(MATCH(A148&amp;"",tbl_Production[Job Number],0),MATCH(IFERROR(A148+0,A148),tbl_Production[Job Number],0)))="","",INDEX(tbl_Production[Tax Code],IFERROR(MATCH(A148&amp;"",tbl_Production[Job Number],0),MATCH(IFERROR(A148+0,A148),tbl_Production[Job Number],0)))),IFERROR(IF(INDEX(tbl_Consulting[Tax Code],IFERROR(MATCH(A148&amp;"",tbl_Consulting[Job Number],0),MATCH(IFERROR(A148+0,A148),tbl_Consulting[Job Number],0)))="","",INDEX(tbl_Consulting[Tax Code],IFERROR(MATCH(A148&amp;"",tbl_Consulting[Job Number],0),MATCH(IFERROR(A148+0,A148),tbl_Consulting[Job Number],0)))),"")))="","GST 10%",IFERROR(IF(INDEX(tbl_Onsite[Tax Code],IFERROR(MATCH(A148&amp;"",tbl_Onsite[Job Number],0),MATCH(IFERROR(A148+0,A148),tbl_Onsite[Job Number],0)))="","",INDEX(tbl_Onsite[Tax Code],IFERROR(MATCH(A148&amp;"",tbl_Onsite[Job Number],0),MATCH(IFERROR(A148+0,A148),tbl_Onsite[Job Number],0)))),IFERROR(IF(INDEX(tbl_Production[Tax Code],IFERROR(MATCH(A148&amp;"",tbl_Production[Job Number],0),MATCH(IFERROR(A148+0,A148),tbl_Production[Job Number],0)))="","",INDEX(tbl_Production[Tax Code],IFERROR(MATCH(A148&amp;"",tbl_Production[Job Number],0),MATCH(IFERROR(A148+0,A148),tbl_Production[Job Number],0)))),IFERROR(IF(INDEX(tbl_Consulting[Tax Code],IFERROR(MATCH(A148&amp;"",tbl_Consulting[Job Number],0),MATCH(IFERROR(A148+0,A148),tbl_Consulting[Job Number],0)))="","",INDEX(tbl_Consulting[Tax Code],IFERROR(MATCH(A148&amp;"",tbl_Consulting[Job Number],0),MATCH(IFERROR(A148+0,A148),tbl_Consulting[Job Number],0)))),"")))))</f>
        <v/>
      </c>
      <c r="N148" s="26">
        <f>IF(D148="","",IFERROR(INDEX(lst_CCtoGL,MATCH(D148,lst_CCforGL,0)),""))</f>
        <v/>
      </c>
      <c r="O148" s="27">
        <f>IF(E148="","",IF(M148="GST 10%",ROUND(E148*set_GSTRate,2),0))</f>
        <v/>
      </c>
      <c r="P148" s="27">
        <f>IF(E148="","",E148+O148)</f>
        <v/>
      </c>
      <c r="Q148" s="27">
        <f>IF(A148="","",IFERROR(INDEX(tbl_Onsite[Expected Revenue Ex GST],IFERROR(MATCH(A148&amp;"",tbl_Onsite[Job Number],0),MATCH(IFERROR(A148+0,A148),tbl_Onsite[Job Number],0))),IFERROR(INDEX(tbl_Production[Expected Revenue Ex GST],IFERROR(MATCH(A148&amp;"",tbl_Production[Job Number],0),MATCH(IFERROR(A148+0,A148),tbl_Production[Job Number],0))),IFERROR(INDEX(tbl_Consulting[Expected Revenue Ex GST],IFERROR(MATCH(A148&amp;"",tbl_Consulting[Job Number],0),MATCH(IFERROR(A148+0,A148),tbl_Consulting[Job Number],0))),0))))</f>
        <v/>
      </c>
      <c r="R148" s="27">
        <f>IF(A148="","",SUMIFS(tbl_Finance[Ex GST],tbl_Finance[Job Number],A148&amp;""))</f>
        <v/>
      </c>
      <c r="S148" s="27">
        <f>IF(A148="","",Q148-R148)</f>
        <v/>
      </c>
      <c r="T148" s="26">
        <f>IF(A148="","",IF(Q148=0,"No dept value",IF(ROUND(S148,2)=0,"Agrees",IF(S148&gt;0,"Dept higher - to invoice","Xero higher - check dept"))))</f>
        <v/>
      </c>
      <c r="U148" s="22" t="n"/>
      <c r="V148" s="22" t="n"/>
      <c r="W148" s="23" t="n"/>
      <c r="X148" s="23" t="n"/>
      <c r="Y148" s="22" t="n"/>
      <c r="Z148" s="22" t="n"/>
      <c r="AA148" s="26">
        <f>IF(COUNTA(C148,A148,B148,E148)=0,"",IF(C148="","No date - sits outside every month",IF(A148="","No job number",IF(H148="CHECK","Job number is not in the Xero job list",IF(G148="not set up yet","No department has set this job up - nothing can pull through",IF(D148="","No cost centre",IF(AND(U148="Y",B148=""),"Marked posted to Xero but has no invoice number",IF(N148="","Cost centre has no revenue GL on the Lists sheet",IF(T148="Xero higher - check dept","Invoiced more than the department says the job is worth","")))))))))</f>
        <v/>
      </c>
      <c r="AB148" s="28">
        <f>IF(A148="","",COUNTIFS(tbl_Finance[Job Number],A148&amp;"",tbl_Finance[Ex GST],"&lt;&gt;"))</f>
        <v/>
      </c>
      <c r="AC148" s="27">
        <f>IF(A148="","",SUMIFS(tbl_Finance[Ex GST],tbl_Finance[Job Number],A148&amp;""))</f>
        <v/>
      </c>
      <c r="AD148" s="27">
        <f>IF(A148="","",SUMIFS(tbl_Finance[Ex GST],tbl_Finance[Job Number],A148&amp;"",tbl_Finance[Xero Invoice No],"&lt;&gt;"))</f>
        <v/>
      </c>
      <c r="AE148" s="27">
        <f>IF(A148="","",AC148-AD148)</f>
        <v/>
      </c>
      <c r="AF148" s="26">
        <f>IF(A148="","",IFERROR(IF(INDEX(tbl_Onsite[Qwilr Quote],IFERROR(MATCH(A148&amp;"",tbl_Onsite[Job Number],0),MATCH(IFERROR(A148+0,A148),tbl_Onsite[Job Number],0)))="","",INDEX(tbl_Onsite[Qwilr Quote],IFERROR(MATCH(A148&amp;"",tbl_Onsite[Job Number],0),MATCH(IFERROR(A148+0,A148),tbl_Onsite[Job Number],0)))),IFERROR(IF(IF(INDEX(tbl_Production[Current RMS No],IFERROR(MATCH(A148&amp;"",tbl_Production[Job Number],0),MATCH(IFERROR(A148+0,A148),tbl_Production[Job Number],0)))="",INDEX(tbl_Production[Qwilr Quote],IFERROR(MATCH(A148&amp;"",tbl_Production[Job Number],0),MATCH(IFERROR(A148+0,A148),tbl_Production[Job Number],0))),INDEX(tbl_Production[Current RMS No],IFERROR(MATCH(A148&amp;"",tbl_Production[Job Number],0),MATCH(IFERROR(A148+0,A148),tbl_Production[Job Number],0))))="","",IF(INDEX(tbl_Production[Current RMS No],IFERROR(MATCH(A148&amp;"",tbl_Production[Job Number],0),MATCH(IFERROR(A148+0,A148),tbl_Production[Job Number],0)))="",INDEX(tbl_Production[Qwilr Quote],IFERROR(MATCH(A148&amp;"",tbl_Production[Job Number],0),MATCH(IFERROR(A148+0,A148),tbl_Production[Job Number],0))),INDEX(tbl_Production[Current RMS No],IFERROR(MATCH(A148&amp;"",tbl_Production[Job Number],0),MATCH(IFERROR(A148+0,A148),tbl_Production[Job Number],0))))),IFERROR(IF(INDEX(tbl_Consulting[Qwilr Quote],IFERROR(MATCH(A148&amp;"",tbl_Consulting[Job Number],0),MATCH(IFERROR(A148+0,A148),tbl_Consulting[Job Number],0)))="","",INDEX(tbl_Consulting[Qwilr Quote],IFERROR(MATCH(A148&amp;"",tbl_Consulting[Job Number],0),MATCH(IFERROR(A148+0,A148),tbl_Consulting[Job Number],0)))),""))))</f>
        <v/>
      </c>
      <c r="AG148" s="26">
        <f>IF(AF148="","",IF(AND(LEFT(AF148,4)&lt;&gt;"http",IF(G148="Production",set_RMSBase,set_QwilrBase)=""),"",HYPERLINK(IF(LEFT(AF148,4)="http",AF148,IF(G148="Production",set_RMSBase,set_QwilrBase)&amp;AF148),"Open")))</f>
        <v/>
      </c>
      <c r="AH148" s="27">
        <f>IF(A148="","",IFERROR(INDEX(tbl_Production[Total Expense],IFERROR(MATCH(A148&amp;"",tbl_Production[Job Number],0),MATCH(IFERROR(A148+0,A148),tbl_Production[Job Number],0))),IFERROR(INDEX(tbl_Consulting[Total Expense],IFERROR(MATCH(A148&amp;"",tbl_Consulting[Job Number],0),MATCH(IFERROR(A148+0,A148),tbl_Consulting[Job Number],0))),0)))</f>
        <v/>
      </c>
      <c r="AI148" s="27">
        <f>IF(A148="","",AC148-N(AH148))</f>
        <v/>
      </c>
      <c r="AJ148" s="29">
        <f>IFERROR(AI148/AC148,"")</f>
        <v/>
      </c>
      <c r="AK148" s="26">
        <f>IF(A148="","",IFERROR(IF(INDEX(tbl_Onsite[Notes],IFERROR(MATCH(A148&amp;"",tbl_Onsite[Job Number],0),MATCH(IFERROR(A148+0,A148),tbl_Onsite[Job Number],0)))="","",INDEX(tbl_Onsite[Notes],IFERROR(MATCH(A148&amp;"",tbl_Onsite[Job Number],0),MATCH(IFERROR(A148+0,A148),tbl_Onsite[Job Number],0)))),IFERROR(IF(INDEX(tbl_Production[Notes],IFERROR(MATCH(A148&amp;"",tbl_Production[Job Number],0),MATCH(IFERROR(A148+0,A148),tbl_Production[Job Number],0)))="","",INDEX(tbl_Production[Notes],IFERROR(MATCH(A148&amp;"",tbl_Production[Job Number],0),MATCH(IFERROR(A148+0,A148),tbl_Production[Job Number],0)))),IFERROR(IF(INDEX(tbl_Consulting[Notes],IFERROR(MATCH(A148&amp;"",tbl_Consulting[Job Number],0),MATCH(IFERROR(A148+0,A148),tbl_Consulting[Job Number],0)))="","",INDEX(tbl_Consulting[Notes],IFERROR(MATCH(A148&amp;"",tbl_Consulting[Job Number],0),MATCH(IFERROR(A148+0,A148),tbl_Consulting[Job Number],0)))),""))))</f>
        <v/>
      </c>
    </row>
    <row r="149" ht="15" customHeight="1">
      <c r="A149" s="22" t="n"/>
      <c r="B149" s="22" t="n"/>
      <c r="C149" s="23" t="n"/>
      <c r="D149" s="22" t="n"/>
      <c r="E149" s="24" t="n"/>
      <c r="F149" s="25">
        <f>IF(C149="","",EOMONTH(C149,0))</f>
        <v/>
      </c>
      <c r="G149" s="26">
        <f>IF(A149="","",IF(COUNTIF(tbl_Onsite[Job Number],A149&amp;"")&gt;0,"Onsite",IF(COUNTIF(tbl_Production[Job Number],A149&amp;"")&gt;0,"Production",IF(COUNTIF(tbl_Consulting[Job Number],A149&amp;"")&gt;0,"Consulting","not set up yet"))))</f>
        <v/>
      </c>
      <c r="H149" s="26">
        <f>IF(A149="","",IF(COUNTIF(lst_Jobs,A149&amp;"")&gt;0,"OK","CHECK"))</f>
        <v/>
      </c>
      <c r="I149" s="26">
        <f>IF(A149="","",IFERROR(INDEX(lst_JobName,MATCH(A149&amp;"",lst_Jobs,0)),""))</f>
        <v/>
      </c>
      <c r="J149" s="26">
        <f>IF(A149="","",IFERROR(IF(INDEX(tbl_Onsite[Client],IFERROR(MATCH(A149&amp;"",tbl_Onsite[Job Number],0),MATCH(IFERROR(A149+0,A149),tbl_Onsite[Job Number],0)))="","",INDEX(tbl_Onsite[Client],IFERROR(MATCH(A149&amp;"",tbl_Onsite[Job Number],0),MATCH(IFERROR(A149+0,A149),tbl_Onsite[Job Number],0)))),IFERROR(IF(INDEX(tbl_Production[Client],IFERROR(MATCH(A149&amp;"",tbl_Production[Job Number],0),MATCH(IFERROR(A149+0,A149),tbl_Production[Job Number],0)))="","",INDEX(tbl_Production[Client],IFERROR(MATCH(A149&amp;"",tbl_Production[Job Number],0),MATCH(IFERROR(A149+0,A149),tbl_Production[Job Number],0)))),IFERROR(IF(INDEX(tbl_Consulting[Client],IFERROR(MATCH(A149&amp;"",tbl_Consulting[Job Number],0),MATCH(IFERROR(A149+0,A149),tbl_Consulting[Job Number],0)))="","",INDEX(tbl_Consulting[Client],IFERROR(MATCH(A149&amp;"",tbl_Consulting[Job Number],0),MATCH(IFERROR(A149+0,A149),tbl_Consulting[Job Number],0)))),""))))</f>
        <v/>
      </c>
      <c r="K149" s="26">
        <f>IF(A149="","",IFERROR(IF(INDEX(tbl_Onsite[Job Description],IFERROR(MATCH(A149&amp;"",tbl_Onsite[Job Number],0),MATCH(IFERROR(A149+0,A149),tbl_Onsite[Job Number],0)))="","",INDEX(tbl_Onsite[Job Description],IFERROR(MATCH(A149&amp;"",tbl_Onsite[Job Number],0),MATCH(IFERROR(A149+0,A149),tbl_Onsite[Job Number],0)))),IFERROR(IF(INDEX(tbl_Production[Job Description],IFERROR(MATCH(A149&amp;"",tbl_Production[Job Number],0),MATCH(IFERROR(A149+0,A149),tbl_Production[Job Number],0)))="","",INDEX(tbl_Production[Job Description],IFERROR(MATCH(A149&amp;"",tbl_Production[Job Number],0),MATCH(IFERROR(A149+0,A149),tbl_Production[Job Number],0)))),IFERROR(IF(INDEX(tbl_Consulting[Job Description],IFERROR(MATCH(A149&amp;"",tbl_Consulting[Job Number],0),MATCH(IFERROR(A149+0,A149),tbl_Consulting[Job Number],0)))="","",INDEX(tbl_Consulting[Job Description],IFERROR(MATCH(A149&amp;"",tbl_Consulting[Job Number],0),MATCH(IFERROR(A149+0,A149),tbl_Consulting[Job Number],0)))),""))))</f>
        <v/>
      </c>
      <c r="L149" s="26">
        <f>IF(A149="","",IFERROR(IF(INDEX(tbl_Onsite[Invoice Type],IFERROR(MATCH(A149&amp;"",tbl_Onsite[Job Number],0),MATCH(IFERROR(A149+0,A149),tbl_Onsite[Job Number],0)))="","",INDEX(tbl_Onsite[Invoice Type],IFERROR(MATCH(A149&amp;"",tbl_Onsite[Job Number],0),MATCH(IFERROR(A149+0,A149),tbl_Onsite[Job Number],0)))),IFERROR(IF(INDEX(tbl_Production[Invoice Type],IFERROR(MATCH(A149&amp;"",tbl_Production[Job Number],0),MATCH(IFERROR(A149+0,A149),tbl_Production[Job Number],0)))="","",INDEX(tbl_Production[Invoice Type],IFERROR(MATCH(A149&amp;"",tbl_Production[Job Number],0),MATCH(IFERROR(A149+0,A149),tbl_Production[Job Number],0)))),IFERROR(IF(INDEX(tbl_Consulting[Invoice Type],IFERROR(MATCH(A149&amp;"",tbl_Consulting[Job Number],0),MATCH(IFERROR(A149+0,A149),tbl_Consulting[Job Number],0)))="","",INDEX(tbl_Consulting[Invoice Type],IFERROR(MATCH(A149&amp;"",tbl_Consulting[Job Number],0),MATCH(IFERROR(A149+0,A149),tbl_Consulting[Job Number],0)))),""))))</f>
        <v/>
      </c>
      <c r="M149" s="26">
        <f>IF(A149="","",IF(IFERROR(IF(INDEX(tbl_Onsite[Tax Code],IFERROR(MATCH(A149&amp;"",tbl_Onsite[Job Number],0),MATCH(IFERROR(A149+0,A149),tbl_Onsite[Job Number],0)))="","",INDEX(tbl_Onsite[Tax Code],IFERROR(MATCH(A149&amp;"",tbl_Onsite[Job Number],0),MATCH(IFERROR(A149+0,A149),tbl_Onsite[Job Number],0)))),IFERROR(IF(INDEX(tbl_Production[Tax Code],IFERROR(MATCH(A149&amp;"",tbl_Production[Job Number],0),MATCH(IFERROR(A149+0,A149),tbl_Production[Job Number],0)))="","",INDEX(tbl_Production[Tax Code],IFERROR(MATCH(A149&amp;"",tbl_Production[Job Number],0),MATCH(IFERROR(A149+0,A149),tbl_Production[Job Number],0)))),IFERROR(IF(INDEX(tbl_Consulting[Tax Code],IFERROR(MATCH(A149&amp;"",tbl_Consulting[Job Number],0),MATCH(IFERROR(A149+0,A149),tbl_Consulting[Job Number],0)))="","",INDEX(tbl_Consulting[Tax Code],IFERROR(MATCH(A149&amp;"",tbl_Consulting[Job Number],0),MATCH(IFERROR(A149+0,A149),tbl_Consulting[Job Number],0)))),"")))="","GST 10%",IFERROR(IF(INDEX(tbl_Onsite[Tax Code],IFERROR(MATCH(A149&amp;"",tbl_Onsite[Job Number],0),MATCH(IFERROR(A149+0,A149),tbl_Onsite[Job Number],0)))="","",INDEX(tbl_Onsite[Tax Code],IFERROR(MATCH(A149&amp;"",tbl_Onsite[Job Number],0),MATCH(IFERROR(A149+0,A149),tbl_Onsite[Job Number],0)))),IFERROR(IF(INDEX(tbl_Production[Tax Code],IFERROR(MATCH(A149&amp;"",tbl_Production[Job Number],0),MATCH(IFERROR(A149+0,A149),tbl_Production[Job Number],0)))="","",INDEX(tbl_Production[Tax Code],IFERROR(MATCH(A149&amp;"",tbl_Production[Job Number],0),MATCH(IFERROR(A149+0,A149),tbl_Production[Job Number],0)))),IFERROR(IF(INDEX(tbl_Consulting[Tax Code],IFERROR(MATCH(A149&amp;"",tbl_Consulting[Job Number],0),MATCH(IFERROR(A149+0,A149),tbl_Consulting[Job Number],0)))="","",INDEX(tbl_Consulting[Tax Code],IFERROR(MATCH(A149&amp;"",tbl_Consulting[Job Number],0),MATCH(IFERROR(A149+0,A149),tbl_Consulting[Job Number],0)))),"")))))</f>
        <v/>
      </c>
      <c r="N149" s="26">
        <f>IF(D149="","",IFERROR(INDEX(lst_CCtoGL,MATCH(D149,lst_CCforGL,0)),""))</f>
        <v/>
      </c>
      <c r="O149" s="27">
        <f>IF(E149="","",IF(M149="GST 10%",ROUND(E149*set_GSTRate,2),0))</f>
        <v/>
      </c>
      <c r="P149" s="27">
        <f>IF(E149="","",E149+O149)</f>
        <v/>
      </c>
      <c r="Q149" s="27">
        <f>IF(A149="","",IFERROR(INDEX(tbl_Onsite[Expected Revenue Ex GST],IFERROR(MATCH(A149&amp;"",tbl_Onsite[Job Number],0),MATCH(IFERROR(A149+0,A149),tbl_Onsite[Job Number],0))),IFERROR(INDEX(tbl_Production[Expected Revenue Ex GST],IFERROR(MATCH(A149&amp;"",tbl_Production[Job Number],0),MATCH(IFERROR(A149+0,A149),tbl_Production[Job Number],0))),IFERROR(INDEX(tbl_Consulting[Expected Revenue Ex GST],IFERROR(MATCH(A149&amp;"",tbl_Consulting[Job Number],0),MATCH(IFERROR(A149+0,A149),tbl_Consulting[Job Number],0))),0))))</f>
        <v/>
      </c>
      <c r="R149" s="27">
        <f>IF(A149="","",SUMIFS(tbl_Finance[Ex GST],tbl_Finance[Job Number],A149&amp;""))</f>
        <v/>
      </c>
      <c r="S149" s="27">
        <f>IF(A149="","",Q149-R149)</f>
        <v/>
      </c>
      <c r="T149" s="26">
        <f>IF(A149="","",IF(Q149=0,"No dept value",IF(ROUND(S149,2)=0,"Agrees",IF(S149&gt;0,"Dept higher - to invoice","Xero higher - check dept"))))</f>
        <v/>
      </c>
      <c r="U149" s="22" t="n"/>
      <c r="V149" s="22" t="n"/>
      <c r="W149" s="23" t="n"/>
      <c r="X149" s="23" t="n"/>
      <c r="Y149" s="22" t="n"/>
      <c r="Z149" s="22" t="n"/>
      <c r="AA149" s="26">
        <f>IF(COUNTA(C149,A149,B149,E149)=0,"",IF(C149="","No date - sits outside every month",IF(A149="","No job number",IF(H149="CHECK","Job number is not in the Xero job list",IF(G149="not set up yet","No department has set this job up - nothing can pull through",IF(D149="","No cost centre",IF(AND(U149="Y",B149=""),"Marked posted to Xero but has no invoice number",IF(N149="","Cost centre has no revenue GL on the Lists sheet",IF(T149="Xero higher - check dept","Invoiced more than the department says the job is worth","")))))))))</f>
        <v/>
      </c>
      <c r="AB149" s="28">
        <f>IF(A149="","",COUNTIFS(tbl_Finance[Job Number],A149&amp;"",tbl_Finance[Ex GST],"&lt;&gt;"))</f>
        <v/>
      </c>
      <c r="AC149" s="27">
        <f>IF(A149="","",SUMIFS(tbl_Finance[Ex GST],tbl_Finance[Job Number],A149&amp;""))</f>
        <v/>
      </c>
      <c r="AD149" s="27">
        <f>IF(A149="","",SUMIFS(tbl_Finance[Ex GST],tbl_Finance[Job Number],A149&amp;"",tbl_Finance[Xero Invoice No],"&lt;&gt;"))</f>
        <v/>
      </c>
      <c r="AE149" s="27">
        <f>IF(A149="","",AC149-AD149)</f>
        <v/>
      </c>
      <c r="AF149" s="26">
        <f>IF(A149="","",IFERROR(IF(INDEX(tbl_Onsite[Qwilr Quote],IFERROR(MATCH(A149&amp;"",tbl_Onsite[Job Number],0),MATCH(IFERROR(A149+0,A149),tbl_Onsite[Job Number],0)))="","",INDEX(tbl_Onsite[Qwilr Quote],IFERROR(MATCH(A149&amp;"",tbl_Onsite[Job Number],0),MATCH(IFERROR(A149+0,A149),tbl_Onsite[Job Number],0)))),IFERROR(IF(IF(INDEX(tbl_Production[Current RMS No],IFERROR(MATCH(A149&amp;"",tbl_Production[Job Number],0),MATCH(IFERROR(A149+0,A149),tbl_Production[Job Number],0)))="",INDEX(tbl_Production[Qwilr Quote],IFERROR(MATCH(A149&amp;"",tbl_Production[Job Number],0),MATCH(IFERROR(A149+0,A149),tbl_Production[Job Number],0))),INDEX(tbl_Production[Current RMS No],IFERROR(MATCH(A149&amp;"",tbl_Production[Job Number],0),MATCH(IFERROR(A149+0,A149),tbl_Production[Job Number],0))))="","",IF(INDEX(tbl_Production[Current RMS No],IFERROR(MATCH(A149&amp;"",tbl_Production[Job Number],0),MATCH(IFERROR(A149+0,A149),tbl_Production[Job Number],0)))="",INDEX(tbl_Production[Qwilr Quote],IFERROR(MATCH(A149&amp;"",tbl_Production[Job Number],0),MATCH(IFERROR(A149+0,A149),tbl_Production[Job Number],0))),INDEX(tbl_Production[Current RMS No],IFERROR(MATCH(A149&amp;"",tbl_Production[Job Number],0),MATCH(IFERROR(A149+0,A149),tbl_Production[Job Number],0))))),IFERROR(IF(INDEX(tbl_Consulting[Qwilr Quote],IFERROR(MATCH(A149&amp;"",tbl_Consulting[Job Number],0),MATCH(IFERROR(A149+0,A149),tbl_Consulting[Job Number],0)))="","",INDEX(tbl_Consulting[Qwilr Quote],IFERROR(MATCH(A149&amp;"",tbl_Consulting[Job Number],0),MATCH(IFERROR(A149+0,A149),tbl_Consulting[Job Number],0)))),""))))</f>
        <v/>
      </c>
      <c r="AG149" s="26">
        <f>IF(AF149="","",IF(AND(LEFT(AF149,4)&lt;&gt;"http",IF(G149="Production",set_RMSBase,set_QwilrBase)=""),"",HYPERLINK(IF(LEFT(AF149,4)="http",AF149,IF(G149="Production",set_RMSBase,set_QwilrBase)&amp;AF149),"Open")))</f>
        <v/>
      </c>
      <c r="AH149" s="27">
        <f>IF(A149="","",IFERROR(INDEX(tbl_Production[Total Expense],IFERROR(MATCH(A149&amp;"",tbl_Production[Job Number],0),MATCH(IFERROR(A149+0,A149),tbl_Production[Job Number],0))),IFERROR(INDEX(tbl_Consulting[Total Expense],IFERROR(MATCH(A149&amp;"",tbl_Consulting[Job Number],0),MATCH(IFERROR(A149+0,A149),tbl_Consulting[Job Number],0))),0)))</f>
        <v/>
      </c>
      <c r="AI149" s="27">
        <f>IF(A149="","",AC149-N(AH149))</f>
        <v/>
      </c>
      <c r="AJ149" s="29">
        <f>IFERROR(AI149/AC149,"")</f>
        <v/>
      </c>
      <c r="AK149" s="26">
        <f>IF(A149="","",IFERROR(IF(INDEX(tbl_Onsite[Notes],IFERROR(MATCH(A149&amp;"",tbl_Onsite[Job Number],0),MATCH(IFERROR(A149+0,A149),tbl_Onsite[Job Number],0)))="","",INDEX(tbl_Onsite[Notes],IFERROR(MATCH(A149&amp;"",tbl_Onsite[Job Number],0),MATCH(IFERROR(A149+0,A149),tbl_Onsite[Job Number],0)))),IFERROR(IF(INDEX(tbl_Production[Notes],IFERROR(MATCH(A149&amp;"",tbl_Production[Job Number],0),MATCH(IFERROR(A149+0,A149),tbl_Production[Job Number],0)))="","",INDEX(tbl_Production[Notes],IFERROR(MATCH(A149&amp;"",tbl_Production[Job Number],0),MATCH(IFERROR(A149+0,A149),tbl_Production[Job Number],0)))),IFERROR(IF(INDEX(tbl_Consulting[Notes],IFERROR(MATCH(A149&amp;"",tbl_Consulting[Job Number],0),MATCH(IFERROR(A149+0,A149),tbl_Consulting[Job Number],0)))="","",INDEX(tbl_Consulting[Notes],IFERROR(MATCH(A149&amp;"",tbl_Consulting[Job Number],0),MATCH(IFERROR(A149+0,A149),tbl_Consulting[Job Number],0)))),""))))</f>
        <v/>
      </c>
    </row>
    <row r="150" ht="15" customHeight="1">
      <c r="A150" s="22" t="n"/>
      <c r="B150" s="22" t="n"/>
      <c r="C150" s="23" t="n"/>
      <c r="D150" s="22" t="n"/>
      <c r="E150" s="24" t="n"/>
      <c r="F150" s="25">
        <f>IF(C150="","",EOMONTH(C150,0))</f>
        <v/>
      </c>
      <c r="G150" s="26">
        <f>IF(A150="","",IF(COUNTIF(tbl_Onsite[Job Number],A150&amp;"")&gt;0,"Onsite",IF(COUNTIF(tbl_Production[Job Number],A150&amp;"")&gt;0,"Production",IF(COUNTIF(tbl_Consulting[Job Number],A150&amp;"")&gt;0,"Consulting","not set up yet"))))</f>
        <v/>
      </c>
      <c r="H150" s="26">
        <f>IF(A150="","",IF(COUNTIF(lst_Jobs,A150&amp;"")&gt;0,"OK","CHECK"))</f>
        <v/>
      </c>
      <c r="I150" s="26">
        <f>IF(A150="","",IFERROR(INDEX(lst_JobName,MATCH(A150&amp;"",lst_Jobs,0)),""))</f>
        <v/>
      </c>
      <c r="J150" s="26">
        <f>IF(A150="","",IFERROR(IF(INDEX(tbl_Onsite[Client],IFERROR(MATCH(A150&amp;"",tbl_Onsite[Job Number],0),MATCH(IFERROR(A150+0,A150),tbl_Onsite[Job Number],0)))="","",INDEX(tbl_Onsite[Client],IFERROR(MATCH(A150&amp;"",tbl_Onsite[Job Number],0),MATCH(IFERROR(A150+0,A150),tbl_Onsite[Job Number],0)))),IFERROR(IF(INDEX(tbl_Production[Client],IFERROR(MATCH(A150&amp;"",tbl_Production[Job Number],0),MATCH(IFERROR(A150+0,A150),tbl_Production[Job Number],0)))="","",INDEX(tbl_Production[Client],IFERROR(MATCH(A150&amp;"",tbl_Production[Job Number],0),MATCH(IFERROR(A150+0,A150),tbl_Production[Job Number],0)))),IFERROR(IF(INDEX(tbl_Consulting[Client],IFERROR(MATCH(A150&amp;"",tbl_Consulting[Job Number],0),MATCH(IFERROR(A150+0,A150),tbl_Consulting[Job Number],0)))="","",INDEX(tbl_Consulting[Client],IFERROR(MATCH(A150&amp;"",tbl_Consulting[Job Number],0),MATCH(IFERROR(A150+0,A150),tbl_Consulting[Job Number],0)))),""))))</f>
        <v/>
      </c>
      <c r="K150" s="26">
        <f>IF(A150="","",IFERROR(IF(INDEX(tbl_Onsite[Job Description],IFERROR(MATCH(A150&amp;"",tbl_Onsite[Job Number],0),MATCH(IFERROR(A150+0,A150),tbl_Onsite[Job Number],0)))="","",INDEX(tbl_Onsite[Job Description],IFERROR(MATCH(A150&amp;"",tbl_Onsite[Job Number],0),MATCH(IFERROR(A150+0,A150),tbl_Onsite[Job Number],0)))),IFERROR(IF(INDEX(tbl_Production[Job Description],IFERROR(MATCH(A150&amp;"",tbl_Production[Job Number],0),MATCH(IFERROR(A150+0,A150),tbl_Production[Job Number],0)))="","",INDEX(tbl_Production[Job Description],IFERROR(MATCH(A150&amp;"",tbl_Production[Job Number],0),MATCH(IFERROR(A150+0,A150),tbl_Production[Job Number],0)))),IFERROR(IF(INDEX(tbl_Consulting[Job Description],IFERROR(MATCH(A150&amp;"",tbl_Consulting[Job Number],0),MATCH(IFERROR(A150+0,A150),tbl_Consulting[Job Number],0)))="","",INDEX(tbl_Consulting[Job Description],IFERROR(MATCH(A150&amp;"",tbl_Consulting[Job Number],0),MATCH(IFERROR(A150+0,A150),tbl_Consulting[Job Number],0)))),""))))</f>
        <v/>
      </c>
      <c r="L150" s="26">
        <f>IF(A150="","",IFERROR(IF(INDEX(tbl_Onsite[Invoice Type],IFERROR(MATCH(A150&amp;"",tbl_Onsite[Job Number],0),MATCH(IFERROR(A150+0,A150),tbl_Onsite[Job Number],0)))="","",INDEX(tbl_Onsite[Invoice Type],IFERROR(MATCH(A150&amp;"",tbl_Onsite[Job Number],0),MATCH(IFERROR(A150+0,A150),tbl_Onsite[Job Number],0)))),IFERROR(IF(INDEX(tbl_Production[Invoice Type],IFERROR(MATCH(A150&amp;"",tbl_Production[Job Number],0),MATCH(IFERROR(A150+0,A150),tbl_Production[Job Number],0)))="","",INDEX(tbl_Production[Invoice Type],IFERROR(MATCH(A150&amp;"",tbl_Production[Job Number],0),MATCH(IFERROR(A150+0,A150),tbl_Production[Job Number],0)))),IFERROR(IF(INDEX(tbl_Consulting[Invoice Type],IFERROR(MATCH(A150&amp;"",tbl_Consulting[Job Number],0),MATCH(IFERROR(A150+0,A150),tbl_Consulting[Job Number],0)))="","",INDEX(tbl_Consulting[Invoice Type],IFERROR(MATCH(A150&amp;"",tbl_Consulting[Job Number],0),MATCH(IFERROR(A150+0,A150),tbl_Consulting[Job Number],0)))),""))))</f>
        <v/>
      </c>
      <c r="M150" s="26">
        <f>IF(A150="","",IF(IFERROR(IF(INDEX(tbl_Onsite[Tax Code],IFERROR(MATCH(A150&amp;"",tbl_Onsite[Job Number],0),MATCH(IFERROR(A150+0,A150),tbl_Onsite[Job Number],0)))="","",INDEX(tbl_Onsite[Tax Code],IFERROR(MATCH(A150&amp;"",tbl_Onsite[Job Number],0),MATCH(IFERROR(A150+0,A150),tbl_Onsite[Job Number],0)))),IFERROR(IF(INDEX(tbl_Production[Tax Code],IFERROR(MATCH(A150&amp;"",tbl_Production[Job Number],0),MATCH(IFERROR(A150+0,A150),tbl_Production[Job Number],0)))="","",INDEX(tbl_Production[Tax Code],IFERROR(MATCH(A150&amp;"",tbl_Production[Job Number],0),MATCH(IFERROR(A150+0,A150),tbl_Production[Job Number],0)))),IFERROR(IF(INDEX(tbl_Consulting[Tax Code],IFERROR(MATCH(A150&amp;"",tbl_Consulting[Job Number],0),MATCH(IFERROR(A150+0,A150),tbl_Consulting[Job Number],0)))="","",INDEX(tbl_Consulting[Tax Code],IFERROR(MATCH(A150&amp;"",tbl_Consulting[Job Number],0),MATCH(IFERROR(A150+0,A150),tbl_Consulting[Job Number],0)))),"")))="","GST 10%",IFERROR(IF(INDEX(tbl_Onsite[Tax Code],IFERROR(MATCH(A150&amp;"",tbl_Onsite[Job Number],0),MATCH(IFERROR(A150+0,A150),tbl_Onsite[Job Number],0)))="","",INDEX(tbl_Onsite[Tax Code],IFERROR(MATCH(A150&amp;"",tbl_Onsite[Job Number],0),MATCH(IFERROR(A150+0,A150),tbl_Onsite[Job Number],0)))),IFERROR(IF(INDEX(tbl_Production[Tax Code],IFERROR(MATCH(A150&amp;"",tbl_Production[Job Number],0),MATCH(IFERROR(A150+0,A150),tbl_Production[Job Number],0)))="","",INDEX(tbl_Production[Tax Code],IFERROR(MATCH(A150&amp;"",tbl_Production[Job Number],0),MATCH(IFERROR(A150+0,A150),tbl_Production[Job Number],0)))),IFERROR(IF(INDEX(tbl_Consulting[Tax Code],IFERROR(MATCH(A150&amp;"",tbl_Consulting[Job Number],0),MATCH(IFERROR(A150+0,A150),tbl_Consulting[Job Number],0)))="","",INDEX(tbl_Consulting[Tax Code],IFERROR(MATCH(A150&amp;"",tbl_Consulting[Job Number],0),MATCH(IFERROR(A150+0,A150),tbl_Consulting[Job Number],0)))),"")))))</f>
        <v/>
      </c>
      <c r="N150" s="26">
        <f>IF(D150="","",IFERROR(INDEX(lst_CCtoGL,MATCH(D150,lst_CCforGL,0)),""))</f>
        <v/>
      </c>
      <c r="O150" s="27">
        <f>IF(E150="","",IF(M150="GST 10%",ROUND(E150*set_GSTRate,2),0))</f>
        <v/>
      </c>
      <c r="P150" s="27">
        <f>IF(E150="","",E150+O150)</f>
        <v/>
      </c>
      <c r="Q150" s="27">
        <f>IF(A150="","",IFERROR(INDEX(tbl_Onsite[Expected Revenue Ex GST],IFERROR(MATCH(A150&amp;"",tbl_Onsite[Job Number],0),MATCH(IFERROR(A150+0,A150),tbl_Onsite[Job Number],0))),IFERROR(INDEX(tbl_Production[Expected Revenue Ex GST],IFERROR(MATCH(A150&amp;"",tbl_Production[Job Number],0),MATCH(IFERROR(A150+0,A150),tbl_Production[Job Number],0))),IFERROR(INDEX(tbl_Consulting[Expected Revenue Ex GST],IFERROR(MATCH(A150&amp;"",tbl_Consulting[Job Number],0),MATCH(IFERROR(A150+0,A150),tbl_Consulting[Job Number],0))),0))))</f>
        <v/>
      </c>
      <c r="R150" s="27">
        <f>IF(A150="","",SUMIFS(tbl_Finance[Ex GST],tbl_Finance[Job Number],A150&amp;""))</f>
        <v/>
      </c>
      <c r="S150" s="27">
        <f>IF(A150="","",Q150-R150)</f>
        <v/>
      </c>
      <c r="T150" s="26">
        <f>IF(A150="","",IF(Q150=0,"No dept value",IF(ROUND(S150,2)=0,"Agrees",IF(S150&gt;0,"Dept higher - to invoice","Xero higher - check dept"))))</f>
        <v/>
      </c>
      <c r="U150" s="22" t="n"/>
      <c r="V150" s="22" t="n"/>
      <c r="W150" s="23" t="n"/>
      <c r="X150" s="23" t="n"/>
      <c r="Y150" s="22" t="n"/>
      <c r="Z150" s="22" t="n"/>
      <c r="AA150" s="26">
        <f>IF(COUNTA(C150,A150,B150,E150)=0,"",IF(C150="","No date - sits outside every month",IF(A150="","No job number",IF(H150="CHECK","Job number is not in the Xero job list",IF(G150="not set up yet","No department has set this job up - nothing can pull through",IF(D150="","No cost centre",IF(AND(U150="Y",B150=""),"Marked posted to Xero but has no invoice number",IF(N150="","Cost centre has no revenue GL on the Lists sheet",IF(T150="Xero higher - check dept","Invoiced more than the department says the job is worth","")))))))))</f>
        <v/>
      </c>
      <c r="AB150" s="28">
        <f>IF(A150="","",COUNTIFS(tbl_Finance[Job Number],A150&amp;"",tbl_Finance[Ex GST],"&lt;&gt;"))</f>
        <v/>
      </c>
      <c r="AC150" s="27">
        <f>IF(A150="","",SUMIFS(tbl_Finance[Ex GST],tbl_Finance[Job Number],A150&amp;""))</f>
        <v/>
      </c>
      <c r="AD150" s="27">
        <f>IF(A150="","",SUMIFS(tbl_Finance[Ex GST],tbl_Finance[Job Number],A150&amp;"",tbl_Finance[Xero Invoice No],"&lt;&gt;"))</f>
        <v/>
      </c>
      <c r="AE150" s="27">
        <f>IF(A150="","",AC150-AD150)</f>
        <v/>
      </c>
      <c r="AF150" s="26">
        <f>IF(A150="","",IFERROR(IF(INDEX(tbl_Onsite[Qwilr Quote],IFERROR(MATCH(A150&amp;"",tbl_Onsite[Job Number],0),MATCH(IFERROR(A150+0,A150),tbl_Onsite[Job Number],0)))="","",INDEX(tbl_Onsite[Qwilr Quote],IFERROR(MATCH(A150&amp;"",tbl_Onsite[Job Number],0),MATCH(IFERROR(A150+0,A150),tbl_Onsite[Job Number],0)))),IFERROR(IF(IF(INDEX(tbl_Production[Current RMS No],IFERROR(MATCH(A150&amp;"",tbl_Production[Job Number],0),MATCH(IFERROR(A150+0,A150),tbl_Production[Job Number],0)))="",INDEX(tbl_Production[Qwilr Quote],IFERROR(MATCH(A150&amp;"",tbl_Production[Job Number],0),MATCH(IFERROR(A150+0,A150),tbl_Production[Job Number],0))),INDEX(tbl_Production[Current RMS No],IFERROR(MATCH(A150&amp;"",tbl_Production[Job Number],0),MATCH(IFERROR(A150+0,A150),tbl_Production[Job Number],0))))="","",IF(INDEX(tbl_Production[Current RMS No],IFERROR(MATCH(A150&amp;"",tbl_Production[Job Number],0),MATCH(IFERROR(A150+0,A150),tbl_Production[Job Number],0)))="",INDEX(tbl_Production[Qwilr Quote],IFERROR(MATCH(A150&amp;"",tbl_Production[Job Number],0),MATCH(IFERROR(A150+0,A150),tbl_Production[Job Number],0))),INDEX(tbl_Production[Current RMS No],IFERROR(MATCH(A150&amp;"",tbl_Production[Job Number],0),MATCH(IFERROR(A150+0,A150),tbl_Production[Job Number],0))))),IFERROR(IF(INDEX(tbl_Consulting[Qwilr Quote],IFERROR(MATCH(A150&amp;"",tbl_Consulting[Job Number],0),MATCH(IFERROR(A150+0,A150),tbl_Consulting[Job Number],0)))="","",INDEX(tbl_Consulting[Qwilr Quote],IFERROR(MATCH(A150&amp;"",tbl_Consulting[Job Number],0),MATCH(IFERROR(A150+0,A150),tbl_Consulting[Job Number],0)))),""))))</f>
        <v/>
      </c>
      <c r="AG150" s="26">
        <f>IF(AF150="","",IF(AND(LEFT(AF150,4)&lt;&gt;"http",IF(G150="Production",set_RMSBase,set_QwilrBase)=""),"",HYPERLINK(IF(LEFT(AF150,4)="http",AF150,IF(G150="Production",set_RMSBase,set_QwilrBase)&amp;AF150),"Open")))</f>
        <v/>
      </c>
      <c r="AH150" s="27">
        <f>IF(A150="","",IFERROR(INDEX(tbl_Production[Total Expense],IFERROR(MATCH(A150&amp;"",tbl_Production[Job Number],0),MATCH(IFERROR(A150+0,A150),tbl_Production[Job Number],0))),IFERROR(INDEX(tbl_Consulting[Total Expense],IFERROR(MATCH(A150&amp;"",tbl_Consulting[Job Number],0),MATCH(IFERROR(A150+0,A150),tbl_Consulting[Job Number],0))),0)))</f>
        <v/>
      </c>
      <c r="AI150" s="27">
        <f>IF(A150="","",AC150-N(AH150))</f>
        <v/>
      </c>
      <c r="AJ150" s="29">
        <f>IFERROR(AI150/AC150,"")</f>
        <v/>
      </c>
      <c r="AK150" s="26">
        <f>IF(A150="","",IFERROR(IF(INDEX(tbl_Onsite[Notes],IFERROR(MATCH(A150&amp;"",tbl_Onsite[Job Number],0),MATCH(IFERROR(A150+0,A150),tbl_Onsite[Job Number],0)))="","",INDEX(tbl_Onsite[Notes],IFERROR(MATCH(A150&amp;"",tbl_Onsite[Job Number],0),MATCH(IFERROR(A150+0,A150),tbl_Onsite[Job Number],0)))),IFERROR(IF(INDEX(tbl_Production[Notes],IFERROR(MATCH(A150&amp;"",tbl_Production[Job Number],0),MATCH(IFERROR(A150+0,A150),tbl_Production[Job Number],0)))="","",INDEX(tbl_Production[Notes],IFERROR(MATCH(A150&amp;"",tbl_Production[Job Number],0),MATCH(IFERROR(A150+0,A150),tbl_Production[Job Number],0)))),IFERROR(IF(INDEX(tbl_Consulting[Notes],IFERROR(MATCH(A150&amp;"",tbl_Consulting[Job Number],0),MATCH(IFERROR(A150+0,A150),tbl_Consulting[Job Number],0)))="","",INDEX(tbl_Consulting[Notes],IFERROR(MATCH(A150&amp;"",tbl_Consulting[Job Number],0),MATCH(IFERROR(A150+0,A150),tbl_Consulting[Job Number],0)))),""))))</f>
        <v/>
      </c>
    </row>
    <row r="151" ht="15" customHeight="1">
      <c r="A151" s="22" t="n"/>
      <c r="B151" s="22" t="n"/>
      <c r="C151" s="23" t="n"/>
      <c r="D151" s="22" t="n"/>
      <c r="E151" s="24" t="n"/>
      <c r="F151" s="25">
        <f>IF(C151="","",EOMONTH(C151,0))</f>
        <v/>
      </c>
      <c r="G151" s="26">
        <f>IF(A151="","",IF(COUNTIF(tbl_Onsite[Job Number],A151&amp;"")&gt;0,"Onsite",IF(COUNTIF(tbl_Production[Job Number],A151&amp;"")&gt;0,"Production",IF(COUNTIF(tbl_Consulting[Job Number],A151&amp;"")&gt;0,"Consulting","not set up yet"))))</f>
        <v/>
      </c>
      <c r="H151" s="26">
        <f>IF(A151="","",IF(COUNTIF(lst_Jobs,A151&amp;"")&gt;0,"OK","CHECK"))</f>
        <v/>
      </c>
      <c r="I151" s="26">
        <f>IF(A151="","",IFERROR(INDEX(lst_JobName,MATCH(A151&amp;"",lst_Jobs,0)),""))</f>
        <v/>
      </c>
      <c r="J151" s="26">
        <f>IF(A151="","",IFERROR(IF(INDEX(tbl_Onsite[Client],IFERROR(MATCH(A151&amp;"",tbl_Onsite[Job Number],0),MATCH(IFERROR(A151+0,A151),tbl_Onsite[Job Number],0)))="","",INDEX(tbl_Onsite[Client],IFERROR(MATCH(A151&amp;"",tbl_Onsite[Job Number],0),MATCH(IFERROR(A151+0,A151),tbl_Onsite[Job Number],0)))),IFERROR(IF(INDEX(tbl_Production[Client],IFERROR(MATCH(A151&amp;"",tbl_Production[Job Number],0),MATCH(IFERROR(A151+0,A151),tbl_Production[Job Number],0)))="","",INDEX(tbl_Production[Client],IFERROR(MATCH(A151&amp;"",tbl_Production[Job Number],0),MATCH(IFERROR(A151+0,A151),tbl_Production[Job Number],0)))),IFERROR(IF(INDEX(tbl_Consulting[Client],IFERROR(MATCH(A151&amp;"",tbl_Consulting[Job Number],0),MATCH(IFERROR(A151+0,A151),tbl_Consulting[Job Number],0)))="","",INDEX(tbl_Consulting[Client],IFERROR(MATCH(A151&amp;"",tbl_Consulting[Job Number],0),MATCH(IFERROR(A151+0,A151),tbl_Consulting[Job Number],0)))),""))))</f>
        <v/>
      </c>
      <c r="K151" s="26">
        <f>IF(A151="","",IFERROR(IF(INDEX(tbl_Onsite[Job Description],IFERROR(MATCH(A151&amp;"",tbl_Onsite[Job Number],0),MATCH(IFERROR(A151+0,A151),tbl_Onsite[Job Number],0)))="","",INDEX(tbl_Onsite[Job Description],IFERROR(MATCH(A151&amp;"",tbl_Onsite[Job Number],0),MATCH(IFERROR(A151+0,A151),tbl_Onsite[Job Number],0)))),IFERROR(IF(INDEX(tbl_Production[Job Description],IFERROR(MATCH(A151&amp;"",tbl_Production[Job Number],0),MATCH(IFERROR(A151+0,A151),tbl_Production[Job Number],0)))="","",INDEX(tbl_Production[Job Description],IFERROR(MATCH(A151&amp;"",tbl_Production[Job Number],0),MATCH(IFERROR(A151+0,A151),tbl_Production[Job Number],0)))),IFERROR(IF(INDEX(tbl_Consulting[Job Description],IFERROR(MATCH(A151&amp;"",tbl_Consulting[Job Number],0),MATCH(IFERROR(A151+0,A151),tbl_Consulting[Job Number],0)))="","",INDEX(tbl_Consulting[Job Description],IFERROR(MATCH(A151&amp;"",tbl_Consulting[Job Number],0),MATCH(IFERROR(A151+0,A151),tbl_Consulting[Job Number],0)))),""))))</f>
        <v/>
      </c>
      <c r="L151" s="26">
        <f>IF(A151="","",IFERROR(IF(INDEX(tbl_Onsite[Invoice Type],IFERROR(MATCH(A151&amp;"",tbl_Onsite[Job Number],0),MATCH(IFERROR(A151+0,A151),tbl_Onsite[Job Number],0)))="","",INDEX(tbl_Onsite[Invoice Type],IFERROR(MATCH(A151&amp;"",tbl_Onsite[Job Number],0),MATCH(IFERROR(A151+0,A151),tbl_Onsite[Job Number],0)))),IFERROR(IF(INDEX(tbl_Production[Invoice Type],IFERROR(MATCH(A151&amp;"",tbl_Production[Job Number],0),MATCH(IFERROR(A151+0,A151),tbl_Production[Job Number],0)))="","",INDEX(tbl_Production[Invoice Type],IFERROR(MATCH(A151&amp;"",tbl_Production[Job Number],0),MATCH(IFERROR(A151+0,A151),tbl_Production[Job Number],0)))),IFERROR(IF(INDEX(tbl_Consulting[Invoice Type],IFERROR(MATCH(A151&amp;"",tbl_Consulting[Job Number],0),MATCH(IFERROR(A151+0,A151),tbl_Consulting[Job Number],0)))="","",INDEX(tbl_Consulting[Invoice Type],IFERROR(MATCH(A151&amp;"",tbl_Consulting[Job Number],0),MATCH(IFERROR(A151+0,A151),tbl_Consulting[Job Number],0)))),""))))</f>
        <v/>
      </c>
      <c r="M151" s="26">
        <f>IF(A151="","",IF(IFERROR(IF(INDEX(tbl_Onsite[Tax Code],IFERROR(MATCH(A151&amp;"",tbl_Onsite[Job Number],0),MATCH(IFERROR(A151+0,A151),tbl_Onsite[Job Number],0)))="","",INDEX(tbl_Onsite[Tax Code],IFERROR(MATCH(A151&amp;"",tbl_Onsite[Job Number],0),MATCH(IFERROR(A151+0,A151),tbl_Onsite[Job Number],0)))),IFERROR(IF(INDEX(tbl_Production[Tax Code],IFERROR(MATCH(A151&amp;"",tbl_Production[Job Number],0),MATCH(IFERROR(A151+0,A151),tbl_Production[Job Number],0)))="","",INDEX(tbl_Production[Tax Code],IFERROR(MATCH(A151&amp;"",tbl_Production[Job Number],0),MATCH(IFERROR(A151+0,A151),tbl_Production[Job Number],0)))),IFERROR(IF(INDEX(tbl_Consulting[Tax Code],IFERROR(MATCH(A151&amp;"",tbl_Consulting[Job Number],0),MATCH(IFERROR(A151+0,A151),tbl_Consulting[Job Number],0)))="","",INDEX(tbl_Consulting[Tax Code],IFERROR(MATCH(A151&amp;"",tbl_Consulting[Job Number],0),MATCH(IFERROR(A151+0,A151),tbl_Consulting[Job Number],0)))),"")))="","GST 10%",IFERROR(IF(INDEX(tbl_Onsite[Tax Code],IFERROR(MATCH(A151&amp;"",tbl_Onsite[Job Number],0),MATCH(IFERROR(A151+0,A151),tbl_Onsite[Job Number],0)))="","",INDEX(tbl_Onsite[Tax Code],IFERROR(MATCH(A151&amp;"",tbl_Onsite[Job Number],0),MATCH(IFERROR(A151+0,A151),tbl_Onsite[Job Number],0)))),IFERROR(IF(INDEX(tbl_Production[Tax Code],IFERROR(MATCH(A151&amp;"",tbl_Production[Job Number],0),MATCH(IFERROR(A151+0,A151),tbl_Production[Job Number],0)))="","",INDEX(tbl_Production[Tax Code],IFERROR(MATCH(A151&amp;"",tbl_Production[Job Number],0),MATCH(IFERROR(A151+0,A151),tbl_Production[Job Number],0)))),IFERROR(IF(INDEX(tbl_Consulting[Tax Code],IFERROR(MATCH(A151&amp;"",tbl_Consulting[Job Number],0),MATCH(IFERROR(A151+0,A151),tbl_Consulting[Job Number],0)))="","",INDEX(tbl_Consulting[Tax Code],IFERROR(MATCH(A151&amp;"",tbl_Consulting[Job Number],0),MATCH(IFERROR(A151+0,A151),tbl_Consulting[Job Number],0)))),"")))))</f>
        <v/>
      </c>
      <c r="N151" s="26">
        <f>IF(D151="","",IFERROR(INDEX(lst_CCtoGL,MATCH(D151,lst_CCforGL,0)),""))</f>
        <v/>
      </c>
      <c r="O151" s="27">
        <f>IF(E151="","",IF(M151="GST 10%",ROUND(E151*set_GSTRate,2),0))</f>
        <v/>
      </c>
      <c r="P151" s="27">
        <f>IF(E151="","",E151+O151)</f>
        <v/>
      </c>
      <c r="Q151" s="27">
        <f>IF(A151="","",IFERROR(INDEX(tbl_Onsite[Expected Revenue Ex GST],IFERROR(MATCH(A151&amp;"",tbl_Onsite[Job Number],0),MATCH(IFERROR(A151+0,A151),tbl_Onsite[Job Number],0))),IFERROR(INDEX(tbl_Production[Expected Revenue Ex GST],IFERROR(MATCH(A151&amp;"",tbl_Production[Job Number],0),MATCH(IFERROR(A151+0,A151),tbl_Production[Job Number],0))),IFERROR(INDEX(tbl_Consulting[Expected Revenue Ex GST],IFERROR(MATCH(A151&amp;"",tbl_Consulting[Job Number],0),MATCH(IFERROR(A151+0,A151),tbl_Consulting[Job Number],0))),0))))</f>
        <v/>
      </c>
      <c r="R151" s="27">
        <f>IF(A151="","",SUMIFS(tbl_Finance[Ex GST],tbl_Finance[Job Number],A151&amp;""))</f>
        <v/>
      </c>
      <c r="S151" s="27">
        <f>IF(A151="","",Q151-R151)</f>
        <v/>
      </c>
      <c r="T151" s="26">
        <f>IF(A151="","",IF(Q151=0,"No dept value",IF(ROUND(S151,2)=0,"Agrees",IF(S151&gt;0,"Dept higher - to invoice","Xero higher - check dept"))))</f>
        <v/>
      </c>
      <c r="U151" s="22" t="n"/>
      <c r="V151" s="22" t="n"/>
      <c r="W151" s="23" t="n"/>
      <c r="X151" s="23" t="n"/>
      <c r="Y151" s="22" t="n"/>
      <c r="Z151" s="22" t="n"/>
      <c r="AA151" s="26">
        <f>IF(COUNTA(C151,A151,B151,E151)=0,"",IF(C151="","No date - sits outside every month",IF(A151="","No job number",IF(H151="CHECK","Job number is not in the Xero job list",IF(G151="not set up yet","No department has set this job up - nothing can pull through",IF(D151="","No cost centre",IF(AND(U151="Y",B151=""),"Marked posted to Xero but has no invoice number",IF(N151="","Cost centre has no revenue GL on the Lists sheet",IF(T151="Xero higher - check dept","Invoiced more than the department says the job is worth","")))))))))</f>
        <v/>
      </c>
      <c r="AB151" s="28">
        <f>IF(A151="","",COUNTIFS(tbl_Finance[Job Number],A151&amp;"",tbl_Finance[Ex GST],"&lt;&gt;"))</f>
        <v/>
      </c>
      <c r="AC151" s="27">
        <f>IF(A151="","",SUMIFS(tbl_Finance[Ex GST],tbl_Finance[Job Number],A151&amp;""))</f>
        <v/>
      </c>
      <c r="AD151" s="27">
        <f>IF(A151="","",SUMIFS(tbl_Finance[Ex GST],tbl_Finance[Job Number],A151&amp;"",tbl_Finance[Xero Invoice No],"&lt;&gt;"))</f>
        <v/>
      </c>
      <c r="AE151" s="27">
        <f>IF(A151="","",AC151-AD151)</f>
        <v/>
      </c>
      <c r="AF151" s="26">
        <f>IF(A151="","",IFERROR(IF(INDEX(tbl_Onsite[Qwilr Quote],IFERROR(MATCH(A151&amp;"",tbl_Onsite[Job Number],0),MATCH(IFERROR(A151+0,A151),tbl_Onsite[Job Number],0)))="","",INDEX(tbl_Onsite[Qwilr Quote],IFERROR(MATCH(A151&amp;"",tbl_Onsite[Job Number],0),MATCH(IFERROR(A151+0,A151),tbl_Onsite[Job Number],0)))),IFERROR(IF(IF(INDEX(tbl_Production[Current RMS No],IFERROR(MATCH(A151&amp;"",tbl_Production[Job Number],0),MATCH(IFERROR(A151+0,A151),tbl_Production[Job Number],0)))="",INDEX(tbl_Production[Qwilr Quote],IFERROR(MATCH(A151&amp;"",tbl_Production[Job Number],0),MATCH(IFERROR(A151+0,A151),tbl_Production[Job Number],0))),INDEX(tbl_Production[Current RMS No],IFERROR(MATCH(A151&amp;"",tbl_Production[Job Number],0),MATCH(IFERROR(A151+0,A151),tbl_Production[Job Number],0))))="","",IF(INDEX(tbl_Production[Current RMS No],IFERROR(MATCH(A151&amp;"",tbl_Production[Job Number],0),MATCH(IFERROR(A151+0,A151),tbl_Production[Job Number],0)))="",INDEX(tbl_Production[Qwilr Quote],IFERROR(MATCH(A151&amp;"",tbl_Production[Job Number],0),MATCH(IFERROR(A151+0,A151),tbl_Production[Job Number],0))),INDEX(tbl_Production[Current RMS No],IFERROR(MATCH(A151&amp;"",tbl_Production[Job Number],0),MATCH(IFERROR(A151+0,A151),tbl_Production[Job Number],0))))),IFERROR(IF(INDEX(tbl_Consulting[Qwilr Quote],IFERROR(MATCH(A151&amp;"",tbl_Consulting[Job Number],0),MATCH(IFERROR(A151+0,A151),tbl_Consulting[Job Number],0)))="","",INDEX(tbl_Consulting[Qwilr Quote],IFERROR(MATCH(A151&amp;"",tbl_Consulting[Job Number],0),MATCH(IFERROR(A151+0,A151),tbl_Consulting[Job Number],0)))),""))))</f>
        <v/>
      </c>
      <c r="AG151" s="26">
        <f>IF(AF151="","",IF(AND(LEFT(AF151,4)&lt;&gt;"http",IF(G151="Production",set_RMSBase,set_QwilrBase)=""),"",HYPERLINK(IF(LEFT(AF151,4)="http",AF151,IF(G151="Production",set_RMSBase,set_QwilrBase)&amp;AF151),"Open")))</f>
        <v/>
      </c>
      <c r="AH151" s="27">
        <f>IF(A151="","",IFERROR(INDEX(tbl_Production[Total Expense],IFERROR(MATCH(A151&amp;"",tbl_Production[Job Number],0),MATCH(IFERROR(A151+0,A151),tbl_Production[Job Number],0))),IFERROR(INDEX(tbl_Consulting[Total Expense],IFERROR(MATCH(A151&amp;"",tbl_Consulting[Job Number],0),MATCH(IFERROR(A151+0,A151),tbl_Consulting[Job Number],0))),0)))</f>
        <v/>
      </c>
      <c r="AI151" s="27">
        <f>IF(A151="","",AC151-N(AH151))</f>
        <v/>
      </c>
      <c r="AJ151" s="29">
        <f>IFERROR(AI151/AC151,"")</f>
        <v/>
      </c>
      <c r="AK151" s="26">
        <f>IF(A151="","",IFERROR(IF(INDEX(tbl_Onsite[Notes],IFERROR(MATCH(A151&amp;"",tbl_Onsite[Job Number],0),MATCH(IFERROR(A151+0,A151),tbl_Onsite[Job Number],0)))="","",INDEX(tbl_Onsite[Notes],IFERROR(MATCH(A151&amp;"",tbl_Onsite[Job Number],0),MATCH(IFERROR(A151+0,A151),tbl_Onsite[Job Number],0)))),IFERROR(IF(INDEX(tbl_Production[Notes],IFERROR(MATCH(A151&amp;"",tbl_Production[Job Number],0),MATCH(IFERROR(A151+0,A151),tbl_Production[Job Number],0)))="","",INDEX(tbl_Production[Notes],IFERROR(MATCH(A151&amp;"",tbl_Production[Job Number],0),MATCH(IFERROR(A151+0,A151),tbl_Production[Job Number],0)))),IFERROR(IF(INDEX(tbl_Consulting[Notes],IFERROR(MATCH(A151&amp;"",tbl_Consulting[Job Number],0),MATCH(IFERROR(A151+0,A151),tbl_Consulting[Job Number],0)))="","",INDEX(tbl_Consulting[Notes],IFERROR(MATCH(A151&amp;"",tbl_Consulting[Job Number],0),MATCH(IFERROR(A151+0,A151),tbl_Consulting[Job Number],0)))),""))))</f>
        <v/>
      </c>
    </row>
    <row r="152" ht="15" customHeight="1">
      <c r="A152" s="22" t="n"/>
      <c r="B152" s="22" t="n"/>
      <c r="C152" s="23" t="n"/>
      <c r="D152" s="22" t="n"/>
      <c r="E152" s="24" t="n"/>
      <c r="F152" s="25">
        <f>IF(C152="","",EOMONTH(C152,0))</f>
        <v/>
      </c>
      <c r="G152" s="26">
        <f>IF(A152="","",IF(COUNTIF(tbl_Onsite[Job Number],A152&amp;"")&gt;0,"Onsite",IF(COUNTIF(tbl_Production[Job Number],A152&amp;"")&gt;0,"Production",IF(COUNTIF(tbl_Consulting[Job Number],A152&amp;"")&gt;0,"Consulting","not set up yet"))))</f>
        <v/>
      </c>
      <c r="H152" s="26">
        <f>IF(A152="","",IF(COUNTIF(lst_Jobs,A152&amp;"")&gt;0,"OK","CHECK"))</f>
        <v/>
      </c>
      <c r="I152" s="26">
        <f>IF(A152="","",IFERROR(INDEX(lst_JobName,MATCH(A152&amp;"",lst_Jobs,0)),""))</f>
        <v/>
      </c>
      <c r="J152" s="26">
        <f>IF(A152="","",IFERROR(IF(INDEX(tbl_Onsite[Client],IFERROR(MATCH(A152&amp;"",tbl_Onsite[Job Number],0),MATCH(IFERROR(A152+0,A152),tbl_Onsite[Job Number],0)))="","",INDEX(tbl_Onsite[Client],IFERROR(MATCH(A152&amp;"",tbl_Onsite[Job Number],0),MATCH(IFERROR(A152+0,A152),tbl_Onsite[Job Number],0)))),IFERROR(IF(INDEX(tbl_Production[Client],IFERROR(MATCH(A152&amp;"",tbl_Production[Job Number],0),MATCH(IFERROR(A152+0,A152),tbl_Production[Job Number],0)))="","",INDEX(tbl_Production[Client],IFERROR(MATCH(A152&amp;"",tbl_Production[Job Number],0),MATCH(IFERROR(A152+0,A152),tbl_Production[Job Number],0)))),IFERROR(IF(INDEX(tbl_Consulting[Client],IFERROR(MATCH(A152&amp;"",tbl_Consulting[Job Number],0),MATCH(IFERROR(A152+0,A152),tbl_Consulting[Job Number],0)))="","",INDEX(tbl_Consulting[Client],IFERROR(MATCH(A152&amp;"",tbl_Consulting[Job Number],0),MATCH(IFERROR(A152+0,A152),tbl_Consulting[Job Number],0)))),""))))</f>
        <v/>
      </c>
      <c r="K152" s="26">
        <f>IF(A152="","",IFERROR(IF(INDEX(tbl_Onsite[Job Description],IFERROR(MATCH(A152&amp;"",tbl_Onsite[Job Number],0),MATCH(IFERROR(A152+0,A152),tbl_Onsite[Job Number],0)))="","",INDEX(tbl_Onsite[Job Description],IFERROR(MATCH(A152&amp;"",tbl_Onsite[Job Number],0),MATCH(IFERROR(A152+0,A152),tbl_Onsite[Job Number],0)))),IFERROR(IF(INDEX(tbl_Production[Job Description],IFERROR(MATCH(A152&amp;"",tbl_Production[Job Number],0),MATCH(IFERROR(A152+0,A152),tbl_Production[Job Number],0)))="","",INDEX(tbl_Production[Job Description],IFERROR(MATCH(A152&amp;"",tbl_Production[Job Number],0),MATCH(IFERROR(A152+0,A152),tbl_Production[Job Number],0)))),IFERROR(IF(INDEX(tbl_Consulting[Job Description],IFERROR(MATCH(A152&amp;"",tbl_Consulting[Job Number],0),MATCH(IFERROR(A152+0,A152),tbl_Consulting[Job Number],0)))="","",INDEX(tbl_Consulting[Job Description],IFERROR(MATCH(A152&amp;"",tbl_Consulting[Job Number],0),MATCH(IFERROR(A152+0,A152),tbl_Consulting[Job Number],0)))),""))))</f>
        <v/>
      </c>
      <c r="L152" s="26">
        <f>IF(A152="","",IFERROR(IF(INDEX(tbl_Onsite[Invoice Type],IFERROR(MATCH(A152&amp;"",tbl_Onsite[Job Number],0),MATCH(IFERROR(A152+0,A152),tbl_Onsite[Job Number],0)))="","",INDEX(tbl_Onsite[Invoice Type],IFERROR(MATCH(A152&amp;"",tbl_Onsite[Job Number],0),MATCH(IFERROR(A152+0,A152),tbl_Onsite[Job Number],0)))),IFERROR(IF(INDEX(tbl_Production[Invoice Type],IFERROR(MATCH(A152&amp;"",tbl_Production[Job Number],0),MATCH(IFERROR(A152+0,A152),tbl_Production[Job Number],0)))="","",INDEX(tbl_Production[Invoice Type],IFERROR(MATCH(A152&amp;"",tbl_Production[Job Number],0),MATCH(IFERROR(A152+0,A152),tbl_Production[Job Number],0)))),IFERROR(IF(INDEX(tbl_Consulting[Invoice Type],IFERROR(MATCH(A152&amp;"",tbl_Consulting[Job Number],0),MATCH(IFERROR(A152+0,A152),tbl_Consulting[Job Number],0)))="","",INDEX(tbl_Consulting[Invoice Type],IFERROR(MATCH(A152&amp;"",tbl_Consulting[Job Number],0),MATCH(IFERROR(A152+0,A152),tbl_Consulting[Job Number],0)))),""))))</f>
        <v/>
      </c>
      <c r="M152" s="26">
        <f>IF(A152="","",IF(IFERROR(IF(INDEX(tbl_Onsite[Tax Code],IFERROR(MATCH(A152&amp;"",tbl_Onsite[Job Number],0),MATCH(IFERROR(A152+0,A152),tbl_Onsite[Job Number],0)))="","",INDEX(tbl_Onsite[Tax Code],IFERROR(MATCH(A152&amp;"",tbl_Onsite[Job Number],0),MATCH(IFERROR(A152+0,A152),tbl_Onsite[Job Number],0)))),IFERROR(IF(INDEX(tbl_Production[Tax Code],IFERROR(MATCH(A152&amp;"",tbl_Production[Job Number],0),MATCH(IFERROR(A152+0,A152),tbl_Production[Job Number],0)))="","",INDEX(tbl_Production[Tax Code],IFERROR(MATCH(A152&amp;"",tbl_Production[Job Number],0),MATCH(IFERROR(A152+0,A152),tbl_Production[Job Number],0)))),IFERROR(IF(INDEX(tbl_Consulting[Tax Code],IFERROR(MATCH(A152&amp;"",tbl_Consulting[Job Number],0),MATCH(IFERROR(A152+0,A152),tbl_Consulting[Job Number],0)))="","",INDEX(tbl_Consulting[Tax Code],IFERROR(MATCH(A152&amp;"",tbl_Consulting[Job Number],0),MATCH(IFERROR(A152+0,A152),tbl_Consulting[Job Number],0)))),"")))="","GST 10%",IFERROR(IF(INDEX(tbl_Onsite[Tax Code],IFERROR(MATCH(A152&amp;"",tbl_Onsite[Job Number],0),MATCH(IFERROR(A152+0,A152),tbl_Onsite[Job Number],0)))="","",INDEX(tbl_Onsite[Tax Code],IFERROR(MATCH(A152&amp;"",tbl_Onsite[Job Number],0),MATCH(IFERROR(A152+0,A152),tbl_Onsite[Job Number],0)))),IFERROR(IF(INDEX(tbl_Production[Tax Code],IFERROR(MATCH(A152&amp;"",tbl_Production[Job Number],0),MATCH(IFERROR(A152+0,A152),tbl_Production[Job Number],0)))="","",INDEX(tbl_Production[Tax Code],IFERROR(MATCH(A152&amp;"",tbl_Production[Job Number],0),MATCH(IFERROR(A152+0,A152),tbl_Production[Job Number],0)))),IFERROR(IF(INDEX(tbl_Consulting[Tax Code],IFERROR(MATCH(A152&amp;"",tbl_Consulting[Job Number],0),MATCH(IFERROR(A152+0,A152),tbl_Consulting[Job Number],0)))="","",INDEX(tbl_Consulting[Tax Code],IFERROR(MATCH(A152&amp;"",tbl_Consulting[Job Number],0),MATCH(IFERROR(A152+0,A152),tbl_Consulting[Job Number],0)))),"")))))</f>
        <v/>
      </c>
      <c r="N152" s="26">
        <f>IF(D152="","",IFERROR(INDEX(lst_CCtoGL,MATCH(D152,lst_CCforGL,0)),""))</f>
        <v/>
      </c>
      <c r="O152" s="27">
        <f>IF(E152="","",IF(M152="GST 10%",ROUND(E152*set_GSTRate,2),0))</f>
        <v/>
      </c>
      <c r="P152" s="27">
        <f>IF(E152="","",E152+O152)</f>
        <v/>
      </c>
      <c r="Q152" s="27">
        <f>IF(A152="","",IFERROR(INDEX(tbl_Onsite[Expected Revenue Ex GST],IFERROR(MATCH(A152&amp;"",tbl_Onsite[Job Number],0),MATCH(IFERROR(A152+0,A152),tbl_Onsite[Job Number],0))),IFERROR(INDEX(tbl_Production[Expected Revenue Ex GST],IFERROR(MATCH(A152&amp;"",tbl_Production[Job Number],0),MATCH(IFERROR(A152+0,A152),tbl_Production[Job Number],0))),IFERROR(INDEX(tbl_Consulting[Expected Revenue Ex GST],IFERROR(MATCH(A152&amp;"",tbl_Consulting[Job Number],0),MATCH(IFERROR(A152+0,A152),tbl_Consulting[Job Number],0))),0))))</f>
        <v/>
      </c>
      <c r="R152" s="27">
        <f>IF(A152="","",SUMIFS(tbl_Finance[Ex GST],tbl_Finance[Job Number],A152&amp;""))</f>
        <v/>
      </c>
      <c r="S152" s="27">
        <f>IF(A152="","",Q152-R152)</f>
        <v/>
      </c>
      <c r="T152" s="26">
        <f>IF(A152="","",IF(Q152=0,"No dept value",IF(ROUND(S152,2)=0,"Agrees",IF(S152&gt;0,"Dept higher - to invoice","Xero higher - check dept"))))</f>
        <v/>
      </c>
      <c r="U152" s="22" t="n"/>
      <c r="V152" s="22" t="n"/>
      <c r="W152" s="23" t="n"/>
      <c r="X152" s="23" t="n"/>
      <c r="Y152" s="22" t="n"/>
      <c r="Z152" s="22" t="n"/>
      <c r="AA152" s="26">
        <f>IF(COUNTA(C152,A152,B152,E152)=0,"",IF(C152="","No date - sits outside every month",IF(A152="","No job number",IF(H152="CHECK","Job number is not in the Xero job list",IF(G152="not set up yet","No department has set this job up - nothing can pull through",IF(D152="","No cost centre",IF(AND(U152="Y",B152=""),"Marked posted to Xero but has no invoice number",IF(N152="","Cost centre has no revenue GL on the Lists sheet",IF(T152="Xero higher - check dept","Invoiced more than the department says the job is worth","")))))))))</f>
        <v/>
      </c>
      <c r="AB152" s="28">
        <f>IF(A152="","",COUNTIFS(tbl_Finance[Job Number],A152&amp;"",tbl_Finance[Ex GST],"&lt;&gt;"))</f>
        <v/>
      </c>
      <c r="AC152" s="27">
        <f>IF(A152="","",SUMIFS(tbl_Finance[Ex GST],tbl_Finance[Job Number],A152&amp;""))</f>
        <v/>
      </c>
      <c r="AD152" s="27">
        <f>IF(A152="","",SUMIFS(tbl_Finance[Ex GST],tbl_Finance[Job Number],A152&amp;"",tbl_Finance[Xero Invoice No],"&lt;&gt;"))</f>
        <v/>
      </c>
      <c r="AE152" s="27">
        <f>IF(A152="","",AC152-AD152)</f>
        <v/>
      </c>
      <c r="AF152" s="26">
        <f>IF(A152="","",IFERROR(IF(INDEX(tbl_Onsite[Qwilr Quote],IFERROR(MATCH(A152&amp;"",tbl_Onsite[Job Number],0),MATCH(IFERROR(A152+0,A152),tbl_Onsite[Job Number],0)))="","",INDEX(tbl_Onsite[Qwilr Quote],IFERROR(MATCH(A152&amp;"",tbl_Onsite[Job Number],0),MATCH(IFERROR(A152+0,A152),tbl_Onsite[Job Number],0)))),IFERROR(IF(IF(INDEX(tbl_Production[Current RMS No],IFERROR(MATCH(A152&amp;"",tbl_Production[Job Number],0),MATCH(IFERROR(A152+0,A152),tbl_Production[Job Number],0)))="",INDEX(tbl_Production[Qwilr Quote],IFERROR(MATCH(A152&amp;"",tbl_Production[Job Number],0),MATCH(IFERROR(A152+0,A152),tbl_Production[Job Number],0))),INDEX(tbl_Production[Current RMS No],IFERROR(MATCH(A152&amp;"",tbl_Production[Job Number],0),MATCH(IFERROR(A152+0,A152),tbl_Production[Job Number],0))))="","",IF(INDEX(tbl_Production[Current RMS No],IFERROR(MATCH(A152&amp;"",tbl_Production[Job Number],0),MATCH(IFERROR(A152+0,A152),tbl_Production[Job Number],0)))="",INDEX(tbl_Production[Qwilr Quote],IFERROR(MATCH(A152&amp;"",tbl_Production[Job Number],0),MATCH(IFERROR(A152+0,A152),tbl_Production[Job Number],0))),INDEX(tbl_Production[Current RMS No],IFERROR(MATCH(A152&amp;"",tbl_Production[Job Number],0),MATCH(IFERROR(A152+0,A152),tbl_Production[Job Number],0))))),IFERROR(IF(INDEX(tbl_Consulting[Qwilr Quote],IFERROR(MATCH(A152&amp;"",tbl_Consulting[Job Number],0),MATCH(IFERROR(A152+0,A152),tbl_Consulting[Job Number],0)))="","",INDEX(tbl_Consulting[Qwilr Quote],IFERROR(MATCH(A152&amp;"",tbl_Consulting[Job Number],0),MATCH(IFERROR(A152+0,A152),tbl_Consulting[Job Number],0)))),""))))</f>
        <v/>
      </c>
      <c r="AG152" s="26">
        <f>IF(AF152="","",IF(AND(LEFT(AF152,4)&lt;&gt;"http",IF(G152="Production",set_RMSBase,set_QwilrBase)=""),"",HYPERLINK(IF(LEFT(AF152,4)="http",AF152,IF(G152="Production",set_RMSBase,set_QwilrBase)&amp;AF152),"Open")))</f>
        <v/>
      </c>
      <c r="AH152" s="27">
        <f>IF(A152="","",IFERROR(INDEX(tbl_Production[Total Expense],IFERROR(MATCH(A152&amp;"",tbl_Production[Job Number],0),MATCH(IFERROR(A152+0,A152),tbl_Production[Job Number],0))),IFERROR(INDEX(tbl_Consulting[Total Expense],IFERROR(MATCH(A152&amp;"",tbl_Consulting[Job Number],0),MATCH(IFERROR(A152+0,A152),tbl_Consulting[Job Number],0))),0)))</f>
        <v/>
      </c>
      <c r="AI152" s="27">
        <f>IF(A152="","",AC152-N(AH152))</f>
        <v/>
      </c>
      <c r="AJ152" s="29">
        <f>IFERROR(AI152/AC152,"")</f>
        <v/>
      </c>
      <c r="AK152" s="26">
        <f>IF(A152="","",IFERROR(IF(INDEX(tbl_Onsite[Notes],IFERROR(MATCH(A152&amp;"",tbl_Onsite[Job Number],0),MATCH(IFERROR(A152+0,A152),tbl_Onsite[Job Number],0)))="","",INDEX(tbl_Onsite[Notes],IFERROR(MATCH(A152&amp;"",tbl_Onsite[Job Number],0),MATCH(IFERROR(A152+0,A152),tbl_Onsite[Job Number],0)))),IFERROR(IF(INDEX(tbl_Production[Notes],IFERROR(MATCH(A152&amp;"",tbl_Production[Job Number],0),MATCH(IFERROR(A152+0,A152),tbl_Production[Job Number],0)))="","",INDEX(tbl_Production[Notes],IFERROR(MATCH(A152&amp;"",tbl_Production[Job Number],0),MATCH(IFERROR(A152+0,A152),tbl_Production[Job Number],0)))),IFERROR(IF(INDEX(tbl_Consulting[Notes],IFERROR(MATCH(A152&amp;"",tbl_Consulting[Job Number],0),MATCH(IFERROR(A152+0,A152),tbl_Consulting[Job Number],0)))="","",INDEX(tbl_Consulting[Notes],IFERROR(MATCH(A152&amp;"",tbl_Consulting[Job Number],0),MATCH(IFERROR(A152+0,A152),tbl_Consulting[Job Number],0)))),""))))</f>
        <v/>
      </c>
    </row>
    <row r="153" ht="15" customHeight="1">
      <c r="A153" s="22" t="n"/>
      <c r="B153" s="22" t="n"/>
      <c r="C153" s="23" t="n"/>
      <c r="D153" s="22" t="n"/>
      <c r="E153" s="24" t="n"/>
      <c r="F153" s="25">
        <f>IF(C153="","",EOMONTH(C153,0))</f>
        <v/>
      </c>
      <c r="G153" s="26">
        <f>IF(A153="","",IF(COUNTIF(tbl_Onsite[Job Number],A153&amp;"")&gt;0,"Onsite",IF(COUNTIF(tbl_Production[Job Number],A153&amp;"")&gt;0,"Production",IF(COUNTIF(tbl_Consulting[Job Number],A153&amp;"")&gt;0,"Consulting","not set up yet"))))</f>
        <v/>
      </c>
      <c r="H153" s="26">
        <f>IF(A153="","",IF(COUNTIF(lst_Jobs,A153&amp;"")&gt;0,"OK","CHECK"))</f>
        <v/>
      </c>
      <c r="I153" s="26">
        <f>IF(A153="","",IFERROR(INDEX(lst_JobName,MATCH(A153&amp;"",lst_Jobs,0)),""))</f>
        <v/>
      </c>
      <c r="J153" s="26">
        <f>IF(A153="","",IFERROR(IF(INDEX(tbl_Onsite[Client],IFERROR(MATCH(A153&amp;"",tbl_Onsite[Job Number],0),MATCH(IFERROR(A153+0,A153),tbl_Onsite[Job Number],0)))="","",INDEX(tbl_Onsite[Client],IFERROR(MATCH(A153&amp;"",tbl_Onsite[Job Number],0),MATCH(IFERROR(A153+0,A153),tbl_Onsite[Job Number],0)))),IFERROR(IF(INDEX(tbl_Production[Client],IFERROR(MATCH(A153&amp;"",tbl_Production[Job Number],0),MATCH(IFERROR(A153+0,A153),tbl_Production[Job Number],0)))="","",INDEX(tbl_Production[Client],IFERROR(MATCH(A153&amp;"",tbl_Production[Job Number],0),MATCH(IFERROR(A153+0,A153),tbl_Production[Job Number],0)))),IFERROR(IF(INDEX(tbl_Consulting[Client],IFERROR(MATCH(A153&amp;"",tbl_Consulting[Job Number],0),MATCH(IFERROR(A153+0,A153),tbl_Consulting[Job Number],0)))="","",INDEX(tbl_Consulting[Client],IFERROR(MATCH(A153&amp;"",tbl_Consulting[Job Number],0),MATCH(IFERROR(A153+0,A153),tbl_Consulting[Job Number],0)))),""))))</f>
        <v/>
      </c>
      <c r="K153" s="26">
        <f>IF(A153="","",IFERROR(IF(INDEX(tbl_Onsite[Job Description],IFERROR(MATCH(A153&amp;"",tbl_Onsite[Job Number],0),MATCH(IFERROR(A153+0,A153),tbl_Onsite[Job Number],0)))="","",INDEX(tbl_Onsite[Job Description],IFERROR(MATCH(A153&amp;"",tbl_Onsite[Job Number],0),MATCH(IFERROR(A153+0,A153),tbl_Onsite[Job Number],0)))),IFERROR(IF(INDEX(tbl_Production[Job Description],IFERROR(MATCH(A153&amp;"",tbl_Production[Job Number],0),MATCH(IFERROR(A153+0,A153),tbl_Production[Job Number],0)))="","",INDEX(tbl_Production[Job Description],IFERROR(MATCH(A153&amp;"",tbl_Production[Job Number],0),MATCH(IFERROR(A153+0,A153),tbl_Production[Job Number],0)))),IFERROR(IF(INDEX(tbl_Consulting[Job Description],IFERROR(MATCH(A153&amp;"",tbl_Consulting[Job Number],0),MATCH(IFERROR(A153+0,A153),tbl_Consulting[Job Number],0)))="","",INDEX(tbl_Consulting[Job Description],IFERROR(MATCH(A153&amp;"",tbl_Consulting[Job Number],0),MATCH(IFERROR(A153+0,A153),tbl_Consulting[Job Number],0)))),""))))</f>
        <v/>
      </c>
      <c r="L153" s="26">
        <f>IF(A153="","",IFERROR(IF(INDEX(tbl_Onsite[Invoice Type],IFERROR(MATCH(A153&amp;"",tbl_Onsite[Job Number],0),MATCH(IFERROR(A153+0,A153),tbl_Onsite[Job Number],0)))="","",INDEX(tbl_Onsite[Invoice Type],IFERROR(MATCH(A153&amp;"",tbl_Onsite[Job Number],0),MATCH(IFERROR(A153+0,A153),tbl_Onsite[Job Number],0)))),IFERROR(IF(INDEX(tbl_Production[Invoice Type],IFERROR(MATCH(A153&amp;"",tbl_Production[Job Number],0),MATCH(IFERROR(A153+0,A153),tbl_Production[Job Number],0)))="","",INDEX(tbl_Production[Invoice Type],IFERROR(MATCH(A153&amp;"",tbl_Production[Job Number],0),MATCH(IFERROR(A153+0,A153),tbl_Production[Job Number],0)))),IFERROR(IF(INDEX(tbl_Consulting[Invoice Type],IFERROR(MATCH(A153&amp;"",tbl_Consulting[Job Number],0),MATCH(IFERROR(A153+0,A153),tbl_Consulting[Job Number],0)))="","",INDEX(tbl_Consulting[Invoice Type],IFERROR(MATCH(A153&amp;"",tbl_Consulting[Job Number],0),MATCH(IFERROR(A153+0,A153),tbl_Consulting[Job Number],0)))),""))))</f>
        <v/>
      </c>
      <c r="M153" s="26">
        <f>IF(A153="","",IF(IFERROR(IF(INDEX(tbl_Onsite[Tax Code],IFERROR(MATCH(A153&amp;"",tbl_Onsite[Job Number],0),MATCH(IFERROR(A153+0,A153),tbl_Onsite[Job Number],0)))="","",INDEX(tbl_Onsite[Tax Code],IFERROR(MATCH(A153&amp;"",tbl_Onsite[Job Number],0),MATCH(IFERROR(A153+0,A153),tbl_Onsite[Job Number],0)))),IFERROR(IF(INDEX(tbl_Production[Tax Code],IFERROR(MATCH(A153&amp;"",tbl_Production[Job Number],0),MATCH(IFERROR(A153+0,A153),tbl_Production[Job Number],0)))="","",INDEX(tbl_Production[Tax Code],IFERROR(MATCH(A153&amp;"",tbl_Production[Job Number],0),MATCH(IFERROR(A153+0,A153),tbl_Production[Job Number],0)))),IFERROR(IF(INDEX(tbl_Consulting[Tax Code],IFERROR(MATCH(A153&amp;"",tbl_Consulting[Job Number],0),MATCH(IFERROR(A153+0,A153),tbl_Consulting[Job Number],0)))="","",INDEX(tbl_Consulting[Tax Code],IFERROR(MATCH(A153&amp;"",tbl_Consulting[Job Number],0),MATCH(IFERROR(A153+0,A153),tbl_Consulting[Job Number],0)))),"")))="","GST 10%",IFERROR(IF(INDEX(tbl_Onsite[Tax Code],IFERROR(MATCH(A153&amp;"",tbl_Onsite[Job Number],0),MATCH(IFERROR(A153+0,A153),tbl_Onsite[Job Number],0)))="","",INDEX(tbl_Onsite[Tax Code],IFERROR(MATCH(A153&amp;"",tbl_Onsite[Job Number],0),MATCH(IFERROR(A153+0,A153),tbl_Onsite[Job Number],0)))),IFERROR(IF(INDEX(tbl_Production[Tax Code],IFERROR(MATCH(A153&amp;"",tbl_Production[Job Number],0),MATCH(IFERROR(A153+0,A153),tbl_Production[Job Number],0)))="","",INDEX(tbl_Production[Tax Code],IFERROR(MATCH(A153&amp;"",tbl_Production[Job Number],0),MATCH(IFERROR(A153+0,A153),tbl_Production[Job Number],0)))),IFERROR(IF(INDEX(tbl_Consulting[Tax Code],IFERROR(MATCH(A153&amp;"",tbl_Consulting[Job Number],0),MATCH(IFERROR(A153+0,A153),tbl_Consulting[Job Number],0)))="","",INDEX(tbl_Consulting[Tax Code],IFERROR(MATCH(A153&amp;"",tbl_Consulting[Job Number],0),MATCH(IFERROR(A153+0,A153),tbl_Consulting[Job Number],0)))),"")))))</f>
        <v/>
      </c>
      <c r="N153" s="26">
        <f>IF(D153="","",IFERROR(INDEX(lst_CCtoGL,MATCH(D153,lst_CCforGL,0)),""))</f>
        <v/>
      </c>
      <c r="O153" s="27">
        <f>IF(E153="","",IF(M153="GST 10%",ROUND(E153*set_GSTRate,2),0))</f>
        <v/>
      </c>
      <c r="P153" s="27">
        <f>IF(E153="","",E153+O153)</f>
        <v/>
      </c>
      <c r="Q153" s="27">
        <f>IF(A153="","",IFERROR(INDEX(tbl_Onsite[Expected Revenue Ex GST],IFERROR(MATCH(A153&amp;"",tbl_Onsite[Job Number],0),MATCH(IFERROR(A153+0,A153),tbl_Onsite[Job Number],0))),IFERROR(INDEX(tbl_Production[Expected Revenue Ex GST],IFERROR(MATCH(A153&amp;"",tbl_Production[Job Number],0),MATCH(IFERROR(A153+0,A153),tbl_Production[Job Number],0))),IFERROR(INDEX(tbl_Consulting[Expected Revenue Ex GST],IFERROR(MATCH(A153&amp;"",tbl_Consulting[Job Number],0),MATCH(IFERROR(A153+0,A153),tbl_Consulting[Job Number],0))),0))))</f>
        <v/>
      </c>
      <c r="R153" s="27">
        <f>IF(A153="","",SUMIFS(tbl_Finance[Ex GST],tbl_Finance[Job Number],A153&amp;""))</f>
        <v/>
      </c>
      <c r="S153" s="27">
        <f>IF(A153="","",Q153-R153)</f>
        <v/>
      </c>
      <c r="T153" s="26">
        <f>IF(A153="","",IF(Q153=0,"No dept value",IF(ROUND(S153,2)=0,"Agrees",IF(S153&gt;0,"Dept higher - to invoice","Xero higher - check dept"))))</f>
        <v/>
      </c>
      <c r="U153" s="22" t="n"/>
      <c r="V153" s="22" t="n"/>
      <c r="W153" s="23" t="n"/>
      <c r="X153" s="23" t="n"/>
      <c r="Y153" s="22" t="n"/>
      <c r="Z153" s="22" t="n"/>
      <c r="AA153" s="26">
        <f>IF(COUNTA(C153,A153,B153,E153)=0,"",IF(C153="","No date - sits outside every month",IF(A153="","No job number",IF(H153="CHECK","Job number is not in the Xero job list",IF(G153="not set up yet","No department has set this job up - nothing can pull through",IF(D153="","No cost centre",IF(AND(U153="Y",B153=""),"Marked posted to Xero but has no invoice number",IF(N153="","Cost centre has no revenue GL on the Lists sheet",IF(T153="Xero higher - check dept","Invoiced more than the department says the job is worth","")))))))))</f>
        <v/>
      </c>
      <c r="AB153" s="28">
        <f>IF(A153="","",COUNTIFS(tbl_Finance[Job Number],A153&amp;"",tbl_Finance[Ex GST],"&lt;&gt;"))</f>
        <v/>
      </c>
      <c r="AC153" s="27">
        <f>IF(A153="","",SUMIFS(tbl_Finance[Ex GST],tbl_Finance[Job Number],A153&amp;""))</f>
        <v/>
      </c>
      <c r="AD153" s="27">
        <f>IF(A153="","",SUMIFS(tbl_Finance[Ex GST],tbl_Finance[Job Number],A153&amp;"",tbl_Finance[Xero Invoice No],"&lt;&gt;"))</f>
        <v/>
      </c>
      <c r="AE153" s="27">
        <f>IF(A153="","",AC153-AD153)</f>
        <v/>
      </c>
      <c r="AF153" s="26">
        <f>IF(A153="","",IFERROR(IF(INDEX(tbl_Onsite[Qwilr Quote],IFERROR(MATCH(A153&amp;"",tbl_Onsite[Job Number],0),MATCH(IFERROR(A153+0,A153),tbl_Onsite[Job Number],0)))="","",INDEX(tbl_Onsite[Qwilr Quote],IFERROR(MATCH(A153&amp;"",tbl_Onsite[Job Number],0),MATCH(IFERROR(A153+0,A153),tbl_Onsite[Job Number],0)))),IFERROR(IF(IF(INDEX(tbl_Production[Current RMS No],IFERROR(MATCH(A153&amp;"",tbl_Production[Job Number],0),MATCH(IFERROR(A153+0,A153),tbl_Production[Job Number],0)))="",INDEX(tbl_Production[Qwilr Quote],IFERROR(MATCH(A153&amp;"",tbl_Production[Job Number],0),MATCH(IFERROR(A153+0,A153),tbl_Production[Job Number],0))),INDEX(tbl_Production[Current RMS No],IFERROR(MATCH(A153&amp;"",tbl_Production[Job Number],0),MATCH(IFERROR(A153+0,A153),tbl_Production[Job Number],0))))="","",IF(INDEX(tbl_Production[Current RMS No],IFERROR(MATCH(A153&amp;"",tbl_Production[Job Number],0),MATCH(IFERROR(A153+0,A153),tbl_Production[Job Number],0)))="",INDEX(tbl_Production[Qwilr Quote],IFERROR(MATCH(A153&amp;"",tbl_Production[Job Number],0),MATCH(IFERROR(A153+0,A153),tbl_Production[Job Number],0))),INDEX(tbl_Production[Current RMS No],IFERROR(MATCH(A153&amp;"",tbl_Production[Job Number],0),MATCH(IFERROR(A153+0,A153),tbl_Production[Job Number],0))))),IFERROR(IF(INDEX(tbl_Consulting[Qwilr Quote],IFERROR(MATCH(A153&amp;"",tbl_Consulting[Job Number],0),MATCH(IFERROR(A153+0,A153),tbl_Consulting[Job Number],0)))="","",INDEX(tbl_Consulting[Qwilr Quote],IFERROR(MATCH(A153&amp;"",tbl_Consulting[Job Number],0),MATCH(IFERROR(A153+0,A153),tbl_Consulting[Job Number],0)))),""))))</f>
        <v/>
      </c>
      <c r="AG153" s="26">
        <f>IF(AF153="","",IF(AND(LEFT(AF153,4)&lt;&gt;"http",IF(G153="Production",set_RMSBase,set_QwilrBase)=""),"",HYPERLINK(IF(LEFT(AF153,4)="http",AF153,IF(G153="Production",set_RMSBase,set_QwilrBase)&amp;AF153),"Open")))</f>
        <v/>
      </c>
      <c r="AH153" s="27">
        <f>IF(A153="","",IFERROR(INDEX(tbl_Production[Total Expense],IFERROR(MATCH(A153&amp;"",tbl_Production[Job Number],0),MATCH(IFERROR(A153+0,A153),tbl_Production[Job Number],0))),IFERROR(INDEX(tbl_Consulting[Total Expense],IFERROR(MATCH(A153&amp;"",tbl_Consulting[Job Number],0),MATCH(IFERROR(A153+0,A153),tbl_Consulting[Job Number],0))),0)))</f>
        <v/>
      </c>
      <c r="AI153" s="27">
        <f>IF(A153="","",AC153-N(AH153))</f>
        <v/>
      </c>
      <c r="AJ153" s="29">
        <f>IFERROR(AI153/AC153,"")</f>
        <v/>
      </c>
      <c r="AK153" s="26">
        <f>IF(A153="","",IFERROR(IF(INDEX(tbl_Onsite[Notes],IFERROR(MATCH(A153&amp;"",tbl_Onsite[Job Number],0),MATCH(IFERROR(A153+0,A153),tbl_Onsite[Job Number],0)))="","",INDEX(tbl_Onsite[Notes],IFERROR(MATCH(A153&amp;"",tbl_Onsite[Job Number],0),MATCH(IFERROR(A153+0,A153),tbl_Onsite[Job Number],0)))),IFERROR(IF(INDEX(tbl_Production[Notes],IFERROR(MATCH(A153&amp;"",tbl_Production[Job Number],0),MATCH(IFERROR(A153+0,A153),tbl_Production[Job Number],0)))="","",INDEX(tbl_Production[Notes],IFERROR(MATCH(A153&amp;"",tbl_Production[Job Number],0),MATCH(IFERROR(A153+0,A153),tbl_Production[Job Number],0)))),IFERROR(IF(INDEX(tbl_Consulting[Notes],IFERROR(MATCH(A153&amp;"",tbl_Consulting[Job Number],0),MATCH(IFERROR(A153+0,A153),tbl_Consulting[Job Number],0)))="","",INDEX(tbl_Consulting[Notes],IFERROR(MATCH(A153&amp;"",tbl_Consulting[Job Number],0),MATCH(IFERROR(A153+0,A153),tbl_Consulting[Job Number],0)))),""))))</f>
        <v/>
      </c>
    </row>
    <row r="154" ht="15" customHeight="1">
      <c r="A154" s="22" t="n"/>
      <c r="B154" s="22" t="n"/>
      <c r="C154" s="23" t="n"/>
      <c r="D154" s="22" t="n"/>
      <c r="E154" s="24" t="n"/>
      <c r="F154" s="25">
        <f>IF(C154="","",EOMONTH(C154,0))</f>
        <v/>
      </c>
      <c r="G154" s="26">
        <f>IF(A154="","",IF(COUNTIF(tbl_Onsite[Job Number],A154&amp;"")&gt;0,"Onsite",IF(COUNTIF(tbl_Production[Job Number],A154&amp;"")&gt;0,"Production",IF(COUNTIF(tbl_Consulting[Job Number],A154&amp;"")&gt;0,"Consulting","not set up yet"))))</f>
        <v/>
      </c>
      <c r="H154" s="26">
        <f>IF(A154="","",IF(COUNTIF(lst_Jobs,A154&amp;"")&gt;0,"OK","CHECK"))</f>
        <v/>
      </c>
      <c r="I154" s="26">
        <f>IF(A154="","",IFERROR(INDEX(lst_JobName,MATCH(A154&amp;"",lst_Jobs,0)),""))</f>
        <v/>
      </c>
      <c r="J154" s="26">
        <f>IF(A154="","",IFERROR(IF(INDEX(tbl_Onsite[Client],IFERROR(MATCH(A154&amp;"",tbl_Onsite[Job Number],0),MATCH(IFERROR(A154+0,A154),tbl_Onsite[Job Number],0)))="","",INDEX(tbl_Onsite[Client],IFERROR(MATCH(A154&amp;"",tbl_Onsite[Job Number],0),MATCH(IFERROR(A154+0,A154),tbl_Onsite[Job Number],0)))),IFERROR(IF(INDEX(tbl_Production[Client],IFERROR(MATCH(A154&amp;"",tbl_Production[Job Number],0),MATCH(IFERROR(A154+0,A154),tbl_Production[Job Number],0)))="","",INDEX(tbl_Production[Client],IFERROR(MATCH(A154&amp;"",tbl_Production[Job Number],0),MATCH(IFERROR(A154+0,A154),tbl_Production[Job Number],0)))),IFERROR(IF(INDEX(tbl_Consulting[Client],IFERROR(MATCH(A154&amp;"",tbl_Consulting[Job Number],0),MATCH(IFERROR(A154+0,A154),tbl_Consulting[Job Number],0)))="","",INDEX(tbl_Consulting[Client],IFERROR(MATCH(A154&amp;"",tbl_Consulting[Job Number],0),MATCH(IFERROR(A154+0,A154),tbl_Consulting[Job Number],0)))),""))))</f>
        <v/>
      </c>
      <c r="K154" s="26">
        <f>IF(A154="","",IFERROR(IF(INDEX(tbl_Onsite[Job Description],IFERROR(MATCH(A154&amp;"",tbl_Onsite[Job Number],0),MATCH(IFERROR(A154+0,A154),tbl_Onsite[Job Number],0)))="","",INDEX(tbl_Onsite[Job Description],IFERROR(MATCH(A154&amp;"",tbl_Onsite[Job Number],0),MATCH(IFERROR(A154+0,A154),tbl_Onsite[Job Number],0)))),IFERROR(IF(INDEX(tbl_Production[Job Description],IFERROR(MATCH(A154&amp;"",tbl_Production[Job Number],0),MATCH(IFERROR(A154+0,A154),tbl_Production[Job Number],0)))="","",INDEX(tbl_Production[Job Description],IFERROR(MATCH(A154&amp;"",tbl_Production[Job Number],0),MATCH(IFERROR(A154+0,A154),tbl_Production[Job Number],0)))),IFERROR(IF(INDEX(tbl_Consulting[Job Description],IFERROR(MATCH(A154&amp;"",tbl_Consulting[Job Number],0),MATCH(IFERROR(A154+0,A154),tbl_Consulting[Job Number],0)))="","",INDEX(tbl_Consulting[Job Description],IFERROR(MATCH(A154&amp;"",tbl_Consulting[Job Number],0),MATCH(IFERROR(A154+0,A154),tbl_Consulting[Job Number],0)))),""))))</f>
        <v/>
      </c>
      <c r="L154" s="26">
        <f>IF(A154="","",IFERROR(IF(INDEX(tbl_Onsite[Invoice Type],IFERROR(MATCH(A154&amp;"",tbl_Onsite[Job Number],0),MATCH(IFERROR(A154+0,A154),tbl_Onsite[Job Number],0)))="","",INDEX(tbl_Onsite[Invoice Type],IFERROR(MATCH(A154&amp;"",tbl_Onsite[Job Number],0),MATCH(IFERROR(A154+0,A154),tbl_Onsite[Job Number],0)))),IFERROR(IF(INDEX(tbl_Production[Invoice Type],IFERROR(MATCH(A154&amp;"",tbl_Production[Job Number],0),MATCH(IFERROR(A154+0,A154),tbl_Production[Job Number],0)))="","",INDEX(tbl_Production[Invoice Type],IFERROR(MATCH(A154&amp;"",tbl_Production[Job Number],0),MATCH(IFERROR(A154+0,A154),tbl_Production[Job Number],0)))),IFERROR(IF(INDEX(tbl_Consulting[Invoice Type],IFERROR(MATCH(A154&amp;"",tbl_Consulting[Job Number],0),MATCH(IFERROR(A154+0,A154),tbl_Consulting[Job Number],0)))="","",INDEX(tbl_Consulting[Invoice Type],IFERROR(MATCH(A154&amp;"",tbl_Consulting[Job Number],0),MATCH(IFERROR(A154+0,A154),tbl_Consulting[Job Number],0)))),""))))</f>
        <v/>
      </c>
      <c r="M154" s="26">
        <f>IF(A154="","",IF(IFERROR(IF(INDEX(tbl_Onsite[Tax Code],IFERROR(MATCH(A154&amp;"",tbl_Onsite[Job Number],0),MATCH(IFERROR(A154+0,A154),tbl_Onsite[Job Number],0)))="","",INDEX(tbl_Onsite[Tax Code],IFERROR(MATCH(A154&amp;"",tbl_Onsite[Job Number],0),MATCH(IFERROR(A154+0,A154),tbl_Onsite[Job Number],0)))),IFERROR(IF(INDEX(tbl_Production[Tax Code],IFERROR(MATCH(A154&amp;"",tbl_Production[Job Number],0),MATCH(IFERROR(A154+0,A154),tbl_Production[Job Number],0)))="","",INDEX(tbl_Production[Tax Code],IFERROR(MATCH(A154&amp;"",tbl_Production[Job Number],0),MATCH(IFERROR(A154+0,A154),tbl_Production[Job Number],0)))),IFERROR(IF(INDEX(tbl_Consulting[Tax Code],IFERROR(MATCH(A154&amp;"",tbl_Consulting[Job Number],0),MATCH(IFERROR(A154+0,A154),tbl_Consulting[Job Number],0)))="","",INDEX(tbl_Consulting[Tax Code],IFERROR(MATCH(A154&amp;"",tbl_Consulting[Job Number],0),MATCH(IFERROR(A154+0,A154),tbl_Consulting[Job Number],0)))),"")))="","GST 10%",IFERROR(IF(INDEX(tbl_Onsite[Tax Code],IFERROR(MATCH(A154&amp;"",tbl_Onsite[Job Number],0),MATCH(IFERROR(A154+0,A154),tbl_Onsite[Job Number],0)))="","",INDEX(tbl_Onsite[Tax Code],IFERROR(MATCH(A154&amp;"",tbl_Onsite[Job Number],0),MATCH(IFERROR(A154+0,A154),tbl_Onsite[Job Number],0)))),IFERROR(IF(INDEX(tbl_Production[Tax Code],IFERROR(MATCH(A154&amp;"",tbl_Production[Job Number],0),MATCH(IFERROR(A154+0,A154),tbl_Production[Job Number],0)))="","",INDEX(tbl_Production[Tax Code],IFERROR(MATCH(A154&amp;"",tbl_Production[Job Number],0),MATCH(IFERROR(A154+0,A154),tbl_Production[Job Number],0)))),IFERROR(IF(INDEX(tbl_Consulting[Tax Code],IFERROR(MATCH(A154&amp;"",tbl_Consulting[Job Number],0),MATCH(IFERROR(A154+0,A154),tbl_Consulting[Job Number],0)))="","",INDEX(tbl_Consulting[Tax Code],IFERROR(MATCH(A154&amp;"",tbl_Consulting[Job Number],0),MATCH(IFERROR(A154+0,A154),tbl_Consulting[Job Number],0)))),"")))))</f>
        <v/>
      </c>
      <c r="N154" s="26">
        <f>IF(D154="","",IFERROR(INDEX(lst_CCtoGL,MATCH(D154,lst_CCforGL,0)),""))</f>
        <v/>
      </c>
      <c r="O154" s="27">
        <f>IF(E154="","",IF(M154="GST 10%",ROUND(E154*set_GSTRate,2),0))</f>
        <v/>
      </c>
      <c r="P154" s="27">
        <f>IF(E154="","",E154+O154)</f>
        <v/>
      </c>
      <c r="Q154" s="27">
        <f>IF(A154="","",IFERROR(INDEX(tbl_Onsite[Expected Revenue Ex GST],IFERROR(MATCH(A154&amp;"",tbl_Onsite[Job Number],0),MATCH(IFERROR(A154+0,A154),tbl_Onsite[Job Number],0))),IFERROR(INDEX(tbl_Production[Expected Revenue Ex GST],IFERROR(MATCH(A154&amp;"",tbl_Production[Job Number],0),MATCH(IFERROR(A154+0,A154),tbl_Production[Job Number],0))),IFERROR(INDEX(tbl_Consulting[Expected Revenue Ex GST],IFERROR(MATCH(A154&amp;"",tbl_Consulting[Job Number],0),MATCH(IFERROR(A154+0,A154),tbl_Consulting[Job Number],0))),0))))</f>
        <v/>
      </c>
      <c r="R154" s="27">
        <f>IF(A154="","",SUMIFS(tbl_Finance[Ex GST],tbl_Finance[Job Number],A154&amp;""))</f>
        <v/>
      </c>
      <c r="S154" s="27">
        <f>IF(A154="","",Q154-R154)</f>
        <v/>
      </c>
      <c r="T154" s="26">
        <f>IF(A154="","",IF(Q154=0,"No dept value",IF(ROUND(S154,2)=0,"Agrees",IF(S154&gt;0,"Dept higher - to invoice","Xero higher - check dept"))))</f>
        <v/>
      </c>
      <c r="U154" s="22" t="n"/>
      <c r="V154" s="22" t="n"/>
      <c r="W154" s="23" t="n"/>
      <c r="X154" s="23" t="n"/>
      <c r="Y154" s="22" t="n"/>
      <c r="Z154" s="22" t="n"/>
      <c r="AA154" s="26">
        <f>IF(COUNTA(C154,A154,B154,E154)=0,"",IF(C154="","No date - sits outside every month",IF(A154="","No job number",IF(H154="CHECK","Job number is not in the Xero job list",IF(G154="not set up yet","No department has set this job up - nothing can pull through",IF(D154="","No cost centre",IF(AND(U154="Y",B154=""),"Marked posted to Xero but has no invoice number",IF(N154="","Cost centre has no revenue GL on the Lists sheet",IF(T154="Xero higher - check dept","Invoiced more than the department says the job is worth","")))))))))</f>
        <v/>
      </c>
      <c r="AB154" s="28">
        <f>IF(A154="","",COUNTIFS(tbl_Finance[Job Number],A154&amp;"",tbl_Finance[Ex GST],"&lt;&gt;"))</f>
        <v/>
      </c>
      <c r="AC154" s="27">
        <f>IF(A154="","",SUMIFS(tbl_Finance[Ex GST],tbl_Finance[Job Number],A154&amp;""))</f>
        <v/>
      </c>
      <c r="AD154" s="27">
        <f>IF(A154="","",SUMIFS(tbl_Finance[Ex GST],tbl_Finance[Job Number],A154&amp;"",tbl_Finance[Xero Invoice No],"&lt;&gt;"))</f>
        <v/>
      </c>
      <c r="AE154" s="27">
        <f>IF(A154="","",AC154-AD154)</f>
        <v/>
      </c>
      <c r="AF154" s="26">
        <f>IF(A154="","",IFERROR(IF(INDEX(tbl_Onsite[Qwilr Quote],IFERROR(MATCH(A154&amp;"",tbl_Onsite[Job Number],0),MATCH(IFERROR(A154+0,A154),tbl_Onsite[Job Number],0)))="","",INDEX(tbl_Onsite[Qwilr Quote],IFERROR(MATCH(A154&amp;"",tbl_Onsite[Job Number],0),MATCH(IFERROR(A154+0,A154),tbl_Onsite[Job Number],0)))),IFERROR(IF(IF(INDEX(tbl_Production[Current RMS No],IFERROR(MATCH(A154&amp;"",tbl_Production[Job Number],0),MATCH(IFERROR(A154+0,A154),tbl_Production[Job Number],0)))="",INDEX(tbl_Production[Qwilr Quote],IFERROR(MATCH(A154&amp;"",tbl_Production[Job Number],0),MATCH(IFERROR(A154+0,A154),tbl_Production[Job Number],0))),INDEX(tbl_Production[Current RMS No],IFERROR(MATCH(A154&amp;"",tbl_Production[Job Number],0),MATCH(IFERROR(A154+0,A154),tbl_Production[Job Number],0))))="","",IF(INDEX(tbl_Production[Current RMS No],IFERROR(MATCH(A154&amp;"",tbl_Production[Job Number],0),MATCH(IFERROR(A154+0,A154),tbl_Production[Job Number],0)))="",INDEX(tbl_Production[Qwilr Quote],IFERROR(MATCH(A154&amp;"",tbl_Production[Job Number],0),MATCH(IFERROR(A154+0,A154),tbl_Production[Job Number],0))),INDEX(tbl_Production[Current RMS No],IFERROR(MATCH(A154&amp;"",tbl_Production[Job Number],0),MATCH(IFERROR(A154+0,A154),tbl_Production[Job Number],0))))),IFERROR(IF(INDEX(tbl_Consulting[Qwilr Quote],IFERROR(MATCH(A154&amp;"",tbl_Consulting[Job Number],0),MATCH(IFERROR(A154+0,A154),tbl_Consulting[Job Number],0)))="","",INDEX(tbl_Consulting[Qwilr Quote],IFERROR(MATCH(A154&amp;"",tbl_Consulting[Job Number],0),MATCH(IFERROR(A154+0,A154),tbl_Consulting[Job Number],0)))),""))))</f>
        <v/>
      </c>
      <c r="AG154" s="26">
        <f>IF(AF154="","",IF(AND(LEFT(AF154,4)&lt;&gt;"http",IF(G154="Production",set_RMSBase,set_QwilrBase)=""),"",HYPERLINK(IF(LEFT(AF154,4)="http",AF154,IF(G154="Production",set_RMSBase,set_QwilrBase)&amp;AF154),"Open")))</f>
        <v/>
      </c>
      <c r="AH154" s="27">
        <f>IF(A154="","",IFERROR(INDEX(tbl_Production[Total Expense],IFERROR(MATCH(A154&amp;"",tbl_Production[Job Number],0),MATCH(IFERROR(A154+0,A154),tbl_Production[Job Number],0))),IFERROR(INDEX(tbl_Consulting[Total Expense],IFERROR(MATCH(A154&amp;"",tbl_Consulting[Job Number],0),MATCH(IFERROR(A154+0,A154),tbl_Consulting[Job Number],0))),0)))</f>
        <v/>
      </c>
      <c r="AI154" s="27">
        <f>IF(A154="","",AC154-N(AH154))</f>
        <v/>
      </c>
      <c r="AJ154" s="29">
        <f>IFERROR(AI154/AC154,"")</f>
        <v/>
      </c>
      <c r="AK154" s="26">
        <f>IF(A154="","",IFERROR(IF(INDEX(tbl_Onsite[Notes],IFERROR(MATCH(A154&amp;"",tbl_Onsite[Job Number],0),MATCH(IFERROR(A154+0,A154),tbl_Onsite[Job Number],0)))="","",INDEX(tbl_Onsite[Notes],IFERROR(MATCH(A154&amp;"",tbl_Onsite[Job Number],0),MATCH(IFERROR(A154+0,A154),tbl_Onsite[Job Number],0)))),IFERROR(IF(INDEX(tbl_Production[Notes],IFERROR(MATCH(A154&amp;"",tbl_Production[Job Number],0),MATCH(IFERROR(A154+0,A154),tbl_Production[Job Number],0)))="","",INDEX(tbl_Production[Notes],IFERROR(MATCH(A154&amp;"",tbl_Production[Job Number],0),MATCH(IFERROR(A154+0,A154),tbl_Production[Job Number],0)))),IFERROR(IF(INDEX(tbl_Consulting[Notes],IFERROR(MATCH(A154&amp;"",tbl_Consulting[Job Number],0),MATCH(IFERROR(A154+0,A154),tbl_Consulting[Job Number],0)))="","",INDEX(tbl_Consulting[Notes],IFERROR(MATCH(A154&amp;"",tbl_Consulting[Job Number],0),MATCH(IFERROR(A154+0,A154),tbl_Consulting[Job Number],0)))),""))))</f>
        <v/>
      </c>
    </row>
    <row r="155" ht="15" customHeight="1">
      <c r="A155" s="22" t="n"/>
      <c r="B155" s="22" t="n"/>
      <c r="C155" s="23" t="n"/>
      <c r="D155" s="22" t="n"/>
      <c r="E155" s="24" t="n"/>
      <c r="F155" s="25">
        <f>IF(C155="","",EOMONTH(C155,0))</f>
        <v/>
      </c>
      <c r="G155" s="26">
        <f>IF(A155="","",IF(COUNTIF(tbl_Onsite[Job Number],A155&amp;"")&gt;0,"Onsite",IF(COUNTIF(tbl_Production[Job Number],A155&amp;"")&gt;0,"Production",IF(COUNTIF(tbl_Consulting[Job Number],A155&amp;"")&gt;0,"Consulting","not set up yet"))))</f>
        <v/>
      </c>
      <c r="H155" s="26">
        <f>IF(A155="","",IF(COUNTIF(lst_Jobs,A155&amp;"")&gt;0,"OK","CHECK"))</f>
        <v/>
      </c>
      <c r="I155" s="26">
        <f>IF(A155="","",IFERROR(INDEX(lst_JobName,MATCH(A155&amp;"",lst_Jobs,0)),""))</f>
        <v/>
      </c>
      <c r="J155" s="26">
        <f>IF(A155="","",IFERROR(IF(INDEX(tbl_Onsite[Client],IFERROR(MATCH(A155&amp;"",tbl_Onsite[Job Number],0),MATCH(IFERROR(A155+0,A155),tbl_Onsite[Job Number],0)))="","",INDEX(tbl_Onsite[Client],IFERROR(MATCH(A155&amp;"",tbl_Onsite[Job Number],0),MATCH(IFERROR(A155+0,A155),tbl_Onsite[Job Number],0)))),IFERROR(IF(INDEX(tbl_Production[Client],IFERROR(MATCH(A155&amp;"",tbl_Production[Job Number],0),MATCH(IFERROR(A155+0,A155),tbl_Production[Job Number],0)))="","",INDEX(tbl_Production[Client],IFERROR(MATCH(A155&amp;"",tbl_Production[Job Number],0),MATCH(IFERROR(A155+0,A155),tbl_Production[Job Number],0)))),IFERROR(IF(INDEX(tbl_Consulting[Client],IFERROR(MATCH(A155&amp;"",tbl_Consulting[Job Number],0),MATCH(IFERROR(A155+0,A155),tbl_Consulting[Job Number],0)))="","",INDEX(tbl_Consulting[Client],IFERROR(MATCH(A155&amp;"",tbl_Consulting[Job Number],0),MATCH(IFERROR(A155+0,A155),tbl_Consulting[Job Number],0)))),""))))</f>
        <v/>
      </c>
      <c r="K155" s="26">
        <f>IF(A155="","",IFERROR(IF(INDEX(tbl_Onsite[Job Description],IFERROR(MATCH(A155&amp;"",tbl_Onsite[Job Number],0),MATCH(IFERROR(A155+0,A155),tbl_Onsite[Job Number],0)))="","",INDEX(tbl_Onsite[Job Description],IFERROR(MATCH(A155&amp;"",tbl_Onsite[Job Number],0),MATCH(IFERROR(A155+0,A155),tbl_Onsite[Job Number],0)))),IFERROR(IF(INDEX(tbl_Production[Job Description],IFERROR(MATCH(A155&amp;"",tbl_Production[Job Number],0),MATCH(IFERROR(A155+0,A155),tbl_Production[Job Number],0)))="","",INDEX(tbl_Production[Job Description],IFERROR(MATCH(A155&amp;"",tbl_Production[Job Number],0),MATCH(IFERROR(A155+0,A155),tbl_Production[Job Number],0)))),IFERROR(IF(INDEX(tbl_Consulting[Job Description],IFERROR(MATCH(A155&amp;"",tbl_Consulting[Job Number],0),MATCH(IFERROR(A155+0,A155),tbl_Consulting[Job Number],0)))="","",INDEX(tbl_Consulting[Job Description],IFERROR(MATCH(A155&amp;"",tbl_Consulting[Job Number],0),MATCH(IFERROR(A155+0,A155),tbl_Consulting[Job Number],0)))),""))))</f>
        <v/>
      </c>
      <c r="L155" s="26">
        <f>IF(A155="","",IFERROR(IF(INDEX(tbl_Onsite[Invoice Type],IFERROR(MATCH(A155&amp;"",tbl_Onsite[Job Number],0),MATCH(IFERROR(A155+0,A155),tbl_Onsite[Job Number],0)))="","",INDEX(tbl_Onsite[Invoice Type],IFERROR(MATCH(A155&amp;"",tbl_Onsite[Job Number],0),MATCH(IFERROR(A155+0,A155),tbl_Onsite[Job Number],0)))),IFERROR(IF(INDEX(tbl_Production[Invoice Type],IFERROR(MATCH(A155&amp;"",tbl_Production[Job Number],0),MATCH(IFERROR(A155+0,A155),tbl_Production[Job Number],0)))="","",INDEX(tbl_Production[Invoice Type],IFERROR(MATCH(A155&amp;"",tbl_Production[Job Number],0),MATCH(IFERROR(A155+0,A155),tbl_Production[Job Number],0)))),IFERROR(IF(INDEX(tbl_Consulting[Invoice Type],IFERROR(MATCH(A155&amp;"",tbl_Consulting[Job Number],0),MATCH(IFERROR(A155+0,A155),tbl_Consulting[Job Number],0)))="","",INDEX(tbl_Consulting[Invoice Type],IFERROR(MATCH(A155&amp;"",tbl_Consulting[Job Number],0),MATCH(IFERROR(A155+0,A155),tbl_Consulting[Job Number],0)))),""))))</f>
        <v/>
      </c>
      <c r="M155" s="26">
        <f>IF(A155="","",IF(IFERROR(IF(INDEX(tbl_Onsite[Tax Code],IFERROR(MATCH(A155&amp;"",tbl_Onsite[Job Number],0),MATCH(IFERROR(A155+0,A155),tbl_Onsite[Job Number],0)))="","",INDEX(tbl_Onsite[Tax Code],IFERROR(MATCH(A155&amp;"",tbl_Onsite[Job Number],0),MATCH(IFERROR(A155+0,A155),tbl_Onsite[Job Number],0)))),IFERROR(IF(INDEX(tbl_Production[Tax Code],IFERROR(MATCH(A155&amp;"",tbl_Production[Job Number],0),MATCH(IFERROR(A155+0,A155),tbl_Production[Job Number],0)))="","",INDEX(tbl_Production[Tax Code],IFERROR(MATCH(A155&amp;"",tbl_Production[Job Number],0),MATCH(IFERROR(A155+0,A155),tbl_Production[Job Number],0)))),IFERROR(IF(INDEX(tbl_Consulting[Tax Code],IFERROR(MATCH(A155&amp;"",tbl_Consulting[Job Number],0),MATCH(IFERROR(A155+0,A155),tbl_Consulting[Job Number],0)))="","",INDEX(tbl_Consulting[Tax Code],IFERROR(MATCH(A155&amp;"",tbl_Consulting[Job Number],0),MATCH(IFERROR(A155+0,A155),tbl_Consulting[Job Number],0)))),"")))="","GST 10%",IFERROR(IF(INDEX(tbl_Onsite[Tax Code],IFERROR(MATCH(A155&amp;"",tbl_Onsite[Job Number],0),MATCH(IFERROR(A155+0,A155),tbl_Onsite[Job Number],0)))="","",INDEX(tbl_Onsite[Tax Code],IFERROR(MATCH(A155&amp;"",tbl_Onsite[Job Number],0),MATCH(IFERROR(A155+0,A155),tbl_Onsite[Job Number],0)))),IFERROR(IF(INDEX(tbl_Production[Tax Code],IFERROR(MATCH(A155&amp;"",tbl_Production[Job Number],0),MATCH(IFERROR(A155+0,A155),tbl_Production[Job Number],0)))="","",INDEX(tbl_Production[Tax Code],IFERROR(MATCH(A155&amp;"",tbl_Production[Job Number],0),MATCH(IFERROR(A155+0,A155),tbl_Production[Job Number],0)))),IFERROR(IF(INDEX(tbl_Consulting[Tax Code],IFERROR(MATCH(A155&amp;"",tbl_Consulting[Job Number],0),MATCH(IFERROR(A155+0,A155),tbl_Consulting[Job Number],0)))="","",INDEX(tbl_Consulting[Tax Code],IFERROR(MATCH(A155&amp;"",tbl_Consulting[Job Number],0),MATCH(IFERROR(A155+0,A155),tbl_Consulting[Job Number],0)))),"")))))</f>
        <v/>
      </c>
      <c r="N155" s="26">
        <f>IF(D155="","",IFERROR(INDEX(lst_CCtoGL,MATCH(D155,lst_CCforGL,0)),""))</f>
        <v/>
      </c>
      <c r="O155" s="27">
        <f>IF(E155="","",IF(M155="GST 10%",ROUND(E155*set_GSTRate,2),0))</f>
        <v/>
      </c>
      <c r="P155" s="27">
        <f>IF(E155="","",E155+O155)</f>
        <v/>
      </c>
      <c r="Q155" s="27">
        <f>IF(A155="","",IFERROR(INDEX(tbl_Onsite[Expected Revenue Ex GST],IFERROR(MATCH(A155&amp;"",tbl_Onsite[Job Number],0),MATCH(IFERROR(A155+0,A155),tbl_Onsite[Job Number],0))),IFERROR(INDEX(tbl_Production[Expected Revenue Ex GST],IFERROR(MATCH(A155&amp;"",tbl_Production[Job Number],0),MATCH(IFERROR(A155+0,A155),tbl_Production[Job Number],0))),IFERROR(INDEX(tbl_Consulting[Expected Revenue Ex GST],IFERROR(MATCH(A155&amp;"",tbl_Consulting[Job Number],0),MATCH(IFERROR(A155+0,A155),tbl_Consulting[Job Number],0))),0))))</f>
        <v/>
      </c>
      <c r="R155" s="27">
        <f>IF(A155="","",SUMIFS(tbl_Finance[Ex GST],tbl_Finance[Job Number],A155&amp;""))</f>
        <v/>
      </c>
      <c r="S155" s="27">
        <f>IF(A155="","",Q155-R155)</f>
        <v/>
      </c>
      <c r="T155" s="26">
        <f>IF(A155="","",IF(Q155=0,"No dept value",IF(ROUND(S155,2)=0,"Agrees",IF(S155&gt;0,"Dept higher - to invoice","Xero higher - check dept"))))</f>
        <v/>
      </c>
      <c r="U155" s="22" t="n"/>
      <c r="V155" s="22" t="n"/>
      <c r="W155" s="23" t="n"/>
      <c r="X155" s="23" t="n"/>
      <c r="Y155" s="22" t="n"/>
      <c r="Z155" s="22" t="n"/>
      <c r="AA155" s="26">
        <f>IF(COUNTA(C155,A155,B155,E155)=0,"",IF(C155="","No date - sits outside every month",IF(A155="","No job number",IF(H155="CHECK","Job number is not in the Xero job list",IF(G155="not set up yet","No department has set this job up - nothing can pull through",IF(D155="","No cost centre",IF(AND(U155="Y",B155=""),"Marked posted to Xero but has no invoice number",IF(N155="","Cost centre has no revenue GL on the Lists sheet",IF(T155="Xero higher - check dept","Invoiced more than the department says the job is worth","")))))))))</f>
        <v/>
      </c>
      <c r="AB155" s="28">
        <f>IF(A155="","",COUNTIFS(tbl_Finance[Job Number],A155&amp;"",tbl_Finance[Ex GST],"&lt;&gt;"))</f>
        <v/>
      </c>
      <c r="AC155" s="27">
        <f>IF(A155="","",SUMIFS(tbl_Finance[Ex GST],tbl_Finance[Job Number],A155&amp;""))</f>
        <v/>
      </c>
      <c r="AD155" s="27">
        <f>IF(A155="","",SUMIFS(tbl_Finance[Ex GST],tbl_Finance[Job Number],A155&amp;"",tbl_Finance[Xero Invoice No],"&lt;&gt;"))</f>
        <v/>
      </c>
      <c r="AE155" s="27">
        <f>IF(A155="","",AC155-AD155)</f>
        <v/>
      </c>
      <c r="AF155" s="26">
        <f>IF(A155="","",IFERROR(IF(INDEX(tbl_Onsite[Qwilr Quote],IFERROR(MATCH(A155&amp;"",tbl_Onsite[Job Number],0),MATCH(IFERROR(A155+0,A155),tbl_Onsite[Job Number],0)))="","",INDEX(tbl_Onsite[Qwilr Quote],IFERROR(MATCH(A155&amp;"",tbl_Onsite[Job Number],0),MATCH(IFERROR(A155+0,A155),tbl_Onsite[Job Number],0)))),IFERROR(IF(IF(INDEX(tbl_Production[Current RMS No],IFERROR(MATCH(A155&amp;"",tbl_Production[Job Number],0),MATCH(IFERROR(A155+0,A155),tbl_Production[Job Number],0)))="",INDEX(tbl_Production[Qwilr Quote],IFERROR(MATCH(A155&amp;"",tbl_Production[Job Number],0),MATCH(IFERROR(A155+0,A155),tbl_Production[Job Number],0))),INDEX(tbl_Production[Current RMS No],IFERROR(MATCH(A155&amp;"",tbl_Production[Job Number],0),MATCH(IFERROR(A155+0,A155),tbl_Production[Job Number],0))))="","",IF(INDEX(tbl_Production[Current RMS No],IFERROR(MATCH(A155&amp;"",tbl_Production[Job Number],0),MATCH(IFERROR(A155+0,A155),tbl_Production[Job Number],0)))="",INDEX(tbl_Production[Qwilr Quote],IFERROR(MATCH(A155&amp;"",tbl_Production[Job Number],0),MATCH(IFERROR(A155+0,A155),tbl_Production[Job Number],0))),INDEX(tbl_Production[Current RMS No],IFERROR(MATCH(A155&amp;"",tbl_Production[Job Number],0),MATCH(IFERROR(A155+0,A155),tbl_Production[Job Number],0))))),IFERROR(IF(INDEX(tbl_Consulting[Qwilr Quote],IFERROR(MATCH(A155&amp;"",tbl_Consulting[Job Number],0),MATCH(IFERROR(A155+0,A155),tbl_Consulting[Job Number],0)))="","",INDEX(tbl_Consulting[Qwilr Quote],IFERROR(MATCH(A155&amp;"",tbl_Consulting[Job Number],0),MATCH(IFERROR(A155+0,A155),tbl_Consulting[Job Number],0)))),""))))</f>
        <v/>
      </c>
      <c r="AG155" s="26">
        <f>IF(AF155="","",IF(AND(LEFT(AF155,4)&lt;&gt;"http",IF(G155="Production",set_RMSBase,set_QwilrBase)=""),"",HYPERLINK(IF(LEFT(AF155,4)="http",AF155,IF(G155="Production",set_RMSBase,set_QwilrBase)&amp;AF155),"Open")))</f>
        <v/>
      </c>
      <c r="AH155" s="27">
        <f>IF(A155="","",IFERROR(INDEX(tbl_Production[Total Expense],IFERROR(MATCH(A155&amp;"",tbl_Production[Job Number],0),MATCH(IFERROR(A155+0,A155),tbl_Production[Job Number],0))),IFERROR(INDEX(tbl_Consulting[Total Expense],IFERROR(MATCH(A155&amp;"",tbl_Consulting[Job Number],0),MATCH(IFERROR(A155+0,A155),tbl_Consulting[Job Number],0))),0)))</f>
        <v/>
      </c>
      <c r="AI155" s="27">
        <f>IF(A155="","",AC155-N(AH155))</f>
        <v/>
      </c>
      <c r="AJ155" s="29">
        <f>IFERROR(AI155/AC155,"")</f>
        <v/>
      </c>
      <c r="AK155" s="26">
        <f>IF(A155="","",IFERROR(IF(INDEX(tbl_Onsite[Notes],IFERROR(MATCH(A155&amp;"",tbl_Onsite[Job Number],0),MATCH(IFERROR(A155+0,A155),tbl_Onsite[Job Number],0)))="","",INDEX(tbl_Onsite[Notes],IFERROR(MATCH(A155&amp;"",tbl_Onsite[Job Number],0),MATCH(IFERROR(A155+0,A155),tbl_Onsite[Job Number],0)))),IFERROR(IF(INDEX(tbl_Production[Notes],IFERROR(MATCH(A155&amp;"",tbl_Production[Job Number],0),MATCH(IFERROR(A155+0,A155),tbl_Production[Job Number],0)))="","",INDEX(tbl_Production[Notes],IFERROR(MATCH(A155&amp;"",tbl_Production[Job Number],0),MATCH(IFERROR(A155+0,A155),tbl_Production[Job Number],0)))),IFERROR(IF(INDEX(tbl_Consulting[Notes],IFERROR(MATCH(A155&amp;"",tbl_Consulting[Job Number],0),MATCH(IFERROR(A155+0,A155),tbl_Consulting[Job Number],0)))="","",INDEX(tbl_Consulting[Notes],IFERROR(MATCH(A155&amp;"",tbl_Consulting[Job Number],0),MATCH(IFERROR(A155+0,A155),tbl_Consulting[Job Number],0)))),""))))</f>
        <v/>
      </c>
    </row>
    <row r="156" ht="15" customHeight="1">
      <c r="A156" s="22" t="n"/>
      <c r="B156" s="22" t="n"/>
      <c r="C156" s="23" t="n"/>
      <c r="D156" s="22" t="n"/>
      <c r="E156" s="24" t="n"/>
      <c r="F156" s="25">
        <f>IF(C156="","",EOMONTH(C156,0))</f>
        <v/>
      </c>
      <c r="G156" s="26">
        <f>IF(A156="","",IF(COUNTIF(tbl_Onsite[Job Number],A156&amp;"")&gt;0,"Onsite",IF(COUNTIF(tbl_Production[Job Number],A156&amp;"")&gt;0,"Production",IF(COUNTIF(tbl_Consulting[Job Number],A156&amp;"")&gt;0,"Consulting","not set up yet"))))</f>
        <v/>
      </c>
      <c r="H156" s="26">
        <f>IF(A156="","",IF(COUNTIF(lst_Jobs,A156&amp;"")&gt;0,"OK","CHECK"))</f>
        <v/>
      </c>
      <c r="I156" s="26">
        <f>IF(A156="","",IFERROR(INDEX(lst_JobName,MATCH(A156&amp;"",lst_Jobs,0)),""))</f>
        <v/>
      </c>
      <c r="J156" s="26">
        <f>IF(A156="","",IFERROR(IF(INDEX(tbl_Onsite[Client],IFERROR(MATCH(A156&amp;"",tbl_Onsite[Job Number],0),MATCH(IFERROR(A156+0,A156),tbl_Onsite[Job Number],0)))="","",INDEX(tbl_Onsite[Client],IFERROR(MATCH(A156&amp;"",tbl_Onsite[Job Number],0),MATCH(IFERROR(A156+0,A156),tbl_Onsite[Job Number],0)))),IFERROR(IF(INDEX(tbl_Production[Client],IFERROR(MATCH(A156&amp;"",tbl_Production[Job Number],0),MATCH(IFERROR(A156+0,A156),tbl_Production[Job Number],0)))="","",INDEX(tbl_Production[Client],IFERROR(MATCH(A156&amp;"",tbl_Production[Job Number],0),MATCH(IFERROR(A156+0,A156),tbl_Production[Job Number],0)))),IFERROR(IF(INDEX(tbl_Consulting[Client],IFERROR(MATCH(A156&amp;"",tbl_Consulting[Job Number],0),MATCH(IFERROR(A156+0,A156),tbl_Consulting[Job Number],0)))="","",INDEX(tbl_Consulting[Client],IFERROR(MATCH(A156&amp;"",tbl_Consulting[Job Number],0),MATCH(IFERROR(A156+0,A156),tbl_Consulting[Job Number],0)))),""))))</f>
        <v/>
      </c>
      <c r="K156" s="26">
        <f>IF(A156="","",IFERROR(IF(INDEX(tbl_Onsite[Job Description],IFERROR(MATCH(A156&amp;"",tbl_Onsite[Job Number],0),MATCH(IFERROR(A156+0,A156),tbl_Onsite[Job Number],0)))="","",INDEX(tbl_Onsite[Job Description],IFERROR(MATCH(A156&amp;"",tbl_Onsite[Job Number],0),MATCH(IFERROR(A156+0,A156),tbl_Onsite[Job Number],0)))),IFERROR(IF(INDEX(tbl_Production[Job Description],IFERROR(MATCH(A156&amp;"",tbl_Production[Job Number],0),MATCH(IFERROR(A156+0,A156),tbl_Production[Job Number],0)))="","",INDEX(tbl_Production[Job Description],IFERROR(MATCH(A156&amp;"",tbl_Production[Job Number],0),MATCH(IFERROR(A156+0,A156),tbl_Production[Job Number],0)))),IFERROR(IF(INDEX(tbl_Consulting[Job Description],IFERROR(MATCH(A156&amp;"",tbl_Consulting[Job Number],0),MATCH(IFERROR(A156+0,A156),tbl_Consulting[Job Number],0)))="","",INDEX(tbl_Consulting[Job Description],IFERROR(MATCH(A156&amp;"",tbl_Consulting[Job Number],0),MATCH(IFERROR(A156+0,A156),tbl_Consulting[Job Number],0)))),""))))</f>
        <v/>
      </c>
      <c r="L156" s="26">
        <f>IF(A156="","",IFERROR(IF(INDEX(tbl_Onsite[Invoice Type],IFERROR(MATCH(A156&amp;"",tbl_Onsite[Job Number],0),MATCH(IFERROR(A156+0,A156),tbl_Onsite[Job Number],0)))="","",INDEX(tbl_Onsite[Invoice Type],IFERROR(MATCH(A156&amp;"",tbl_Onsite[Job Number],0),MATCH(IFERROR(A156+0,A156),tbl_Onsite[Job Number],0)))),IFERROR(IF(INDEX(tbl_Production[Invoice Type],IFERROR(MATCH(A156&amp;"",tbl_Production[Job Number],0),MATCH(IFERROR(A156+0,A156),tbl_Production[Job Number],0)))="","",INDEX(tbl_Production[Invoice Type],IFERROR(MATCH(A156&amp;"",tbl_Production[Job Number],0),MATCH(IFERROR(A156+0,A156),tbl_Production[Job Number],0)))),IFERROR(IF(INDEX(tbl_Consulting[Invoice Type],IFERROR(MATCH(A156&amp;"",tbl_Consulting[Job Number],0),MATCH(IFERROR(A156+0,A156),tbl_Consulting[Job Number],0)))="","",INDEX(tbl_Consulting[Invoice Type],IFERROR(MATCH(A156&amp;"",tbl_Consulting[Job Number],0),MATCH(IFERROR(A156+0,A156),tbl_Consulting[Job Number],0)))),""))))</f>
        <v/>
      </c>
      <c r="M156" s="26">
        <f>IF(A156="","",IF(IFERROR(IF(INDEX(tbl_Onsite[Tax Code],IFERROR(MATCH(A156&amp;"",tbl_Onsite[Job Number],0),MATCH(IFERROR(A156+0,A156),tbl_Onsite[Job Number],0)))="","",INDEX(tbl_Onsite[Tax Code],IFERROR(MATCH(A156&amp;"",tbl_Onsite[Job Number],0),MATCH(IFERROR(A156+0,A156),tbl_Onsite[Job Number],0)))),IFERROR(IF(INDEX(tbl_Production[Tax Code],IFERROR(MATCH(A156&amp;"",tbl_Production[Job Number],0),MATCH(IFERROR(A156+0,A156),tbl_Production[Job Number],0)))="","",INDEX(tbl_Production[Tax Code],IFERROR(MATCH(A156&amp;"",tbl_Production[Job Number],0),MATCH(IFERROR(A156+0,A156),tbl_Production[Job Number],0)))),IFERROR(IF(INDEX(tbl_Consulting[Tax Code],IFERROR(MATCH(A156&amp;"",tbl_Consulting[Job Number],0),MATCH(IFERROR(A156+0,A156),tbl_Consulting[Job Number],0)))="","",INDEX(tbl_Consulting[Tax Code],IFERROR(MATCH(A156&amp;"",tbl_Consulting[Job Number],0),MATCH(IFERROR(A156+0,A156),tbl_Consulting[Job Number],0)))),"")))="","GST 10%",IFERROR(IF(INDEX(tbl_Onsite[Tax Code],IFERROR(MATCH(A156&amp;"",tbl_Onsite[Job Number],0),MATCH(IFERROR(A156+0,A156),tbl_Onsite[Job Number],0)))="","",INDEX(tbl_Onsite[Tax Code],IFERROR(MATCH(A156&amp;"",tbl_Onsite[Job Number],0),MATCH(IFERROR(A156+0,A156),tbl_Onsite[Job Number],0)))),IFERROR(IF(INDEX(tbl_Production[Tax Code],IFERROR(MATCH(A156&amp;"",tbl_Production[Job Number],0),MATCH(IFERROR(A156+0,A156),tbl_Production[Job Number],0)))="","",INDEX(tbl_Production[Tax Code],IFERROR(MATCH(A156&amp;"",tbl_Production[Job Number],0),MATCH(IFERROR(A156+0,A156),tbl_Production[Job Number],0)))),IFERROR(IF(INDEX(tbl_Consulting[Tax Code],IFERROR(MATCH(A156&amp;"",tbl_Consulting[Job Number],0),MATCH(IFERROR(A156+0,A156),tbl_Consulting[Job Number],0)))="","",INDEX(tbl_Consulting[Tax Code],IFERROR(MATCH(A156&amp;"",tbl_Consulting[Job Number],0),MATCH(IFERROR(A156+0,A156),tbl_Consulting[Job Number],0)))),"")))))</f>
        <v/>
      </c>
      <c r="N156" s="26">
        <f>IF(D156="","",IFERROR(INDEX(lst_CCtoGL,MATCH(D156,lst_CCforGL,0)),""))</f>
        <v/>
      </c>
      <c r="O156" s="27">
        <f>IF(E156="","",IF(M156="GST 10%",ROUND(E156*set_GSTRate,2),0))</f>
        <v/>
      </c>
      <c r="P156" s="27">
        <f>IF(E156="","",E156+O156)</f>
        <v/>
      </c>
      <c r="Q156" s="27">
        <f>IF(A156="","",IFERROR(INDEX(tbl_Onsite[Expected Revenue Ex GST],IFERROR(MATCH(A156&amp;"",tbl_Onsite[Job Number],0),MATCH(IFERROR(A156+0,A156),tbl_Onsite[Job Number],0))),IFERROR(INDEX(tbl_Production[Expected Revenue Ex GST],IFERROR(MATCH(A156&amp;"",tbl_Production[Job Number],0),MATCH(IFERROR(A156+0,A156),tbl_Production[Job Number],0))),IFERROR(INDEX(tbl_Consulting[Expected Revenue Ex GST],IFERROR(MATCH(A156&amp;"",tbl_Consulting[Job Number],0),MATCH(IFERROR(A156+0,A156),tbl_Consulting[Job Number],0))),0))))</f>
        <v/>
      </c>
      <c r="R156" s="27">
        <f>IF(A156="","",SUMIFS(tbl_Finance[Ex GST],tbl_Finance[Job Number],A156&amp;""))</f>
        <v/>
      </c>
      <c r="S156" s="27">
        <f>IF(A156="","",Q156-R156)</f>
        <v/>
      </c>
      <c r="T156" s="26">
        <f>IF(A156="","",IF(Q156=0,"No dept value",IF(ROUND(S156,2)=0,"Agrees",IF(S156&gt;0,"Dept higher - to invoice","Xero higher - check dept"))))</f>
        <v/>
      </c>
      <c r="U156" s="22" t="n"/>
      <c r="V156" s="22" t="n"/>
      <c r="W156" s="23" t="n"/>
      <c r="X156" s="23" t="n"/>
      <c r="Y156" s="22" t="n"/>
      <c r="Z156" s="22" t="n"/>
      <c r="AA156" s="26">
        <f>IF(COUNTA(C156,A156,B156,E156)=0,"",IF(C156="","No date - sits outside every month",IF(A156="","No job number",IF(H156="CHECK","Job number is not in the Xero job list",IF(G156="not set up yet","No department has set this job up - nothing can pull through",IF(D156="","No cost centre",IF(AND(U156="Y",B156=""),"Marked posted to Xero but has no invoice number",IF(N156="","Cost centre has no revenue GL on the Lists sheet",IF(T156="Xero higher - check dept","Invoiced more than the department says the job is worth","")))))))))</f>
        <v/>
      </c>
      <c r="AB156" s="28">
        <f>IF(A156="","",COUNTIFS(tbl_Finance[Job Number],A156&amp;"",tbl_Finance[Ex GST],"&lt;&gt;"))</f>
        <v/>
      </c>
      <c r="AC156" s="27">
        <f>IF(A156="","",SUMIFS(tbl_Finance[Ex GST],tbl_Finance[Job Number],A156&amp;""))</f>
        <v/>
      </c>
      <c r="AD156" s="27">
        <f>IF(A156="","",SUMIFS(tbl_Finance[Ex GST],tbl_Finance[Job Number],A156&amp;"",tbl_Finance[Xero Invoice No],"&lt;&gt;"))</f>
        <v/>
      </c>
      <c r="AE156" s="27">
        <f>IF(A156="","",AC156-AD156)</f>
        <v/>
      </c>
      <c r="AF156" s="26">
        <f>IF(A156="","",IFERROR(IF(INDEX(tbl_Onsite[Qwilr Quote],IFERROR(MATCH(A156&amp;"",tbl_Onsite[Job Number],0),MATCH(IFERROR(A156+0,A156),tbl_Onsite[Job Number],0)))="","",INDEX(tbl_Onsite[Qwilr Quote],IFERROR(MATCH(A156&amp;"",tbl_Onsite[Job Number],0),MATCH(IFERROR(A156+0,A156),tbl_Onsite[Job Number],0)))),IFERROR(IF(IF(INDEX(tbl_Production[Current RMS No],IFERROR(MATCH(A156&amp;"",tbl_Production[Job Number],0),MATCH(IFERROR(A156+0,A156),tbl_Production[Job Number],0)))="",INDEX(tbl_Production[Qwilr Quote],IFERROR(MATCH(A156&amp;"",tbl_Production[Job Number],0),MATCH(IFERROR(A156+0,A156),tbl_Production[Job Number],0))),INDEX(tbl_Production[Current RMS No],IFERROR(MATCH(A156&amp;"",tbl_Production[Job Number],0),MATCH(IFERROR(A156+0,A156),tbl_Production[Job Number],0))))="","",IF(INDEX(tbl_Production[Current RMS No],IFERROR(MATCH(A156&amp;"",tbl_Production[Job Number],0),MATCH(IFERROR(A156+0,A156),tbl_Production[Job Number],0)))="",INDEX(tbl_Production[Qwilr Quote],IFERROR(MATCH(A156&amp;"",tbl_Production[Job Number],0),MATCH(IFERROR(A156+0,A156),tbl_Production[Job Number],0))),INDEX(tbl_Production[Current RMS No],IFERROR(MATCH(A156&amp;"",tbl_Production[Job Number],0),MATCH(IFERROR(A156+0,A156),tbl_Production[Job Number],0))))),IFERROR(IF(INDEX(tbl_Consulting[Qwilr Quote],IFERROR(MATCH(A156&amp;"",tbl_Consulting[Job Number],0),MATCH(IFERROR(A156+0,A156),tbl_Consulting[Job Number],0)))="","",INDEX(tbl_Consulting[Qwilr Quote],IFERROR(MATCH(A156&amp;"",tbl_Consulting[Job Number],0),MATCH(IFERROR(A156+0,A156),tbl_Consulting[Job Number],0)))),""))))</f>
        <v/>
      </c>
      <c r="AG156" s="26">
        <f>IF(AF156="","",IF(AND(LEFT(AF156,4)&lt;&gt;"http",IF(G156="Production",set_RMSBase,set_QwilrBase)=""),"",HYPERLINK(IF(LEFT(AF156,4)="http",AF156,IF(G156="Production",set_RMSBase,set_QwilrBase)&amp;AF156),"Open")))</f>
        <v/>
      </c>
      <c r="AH156" s="27">
        <f>IF(A156="","",IFERROR(INDEX(tbl_Production[Total Expense],IFERROR(MATCH(A156&amp;"",tbl_Production[Job Number],0),MATCH(IFERROR(A156+0,A156),tbl_Production[Job Number],0))),IFERROR(INDEX(tbl_Consulting[Total Expense],IFERROR(MATCH(A156&amp;"",tbl_Consulting[Job Number],0),MATCH(IFERROR(A156+0,A156),tbl_Consulting[Job Number],0))),0)))</f>
        <v/>
      </c>
      <c r="AI156" s="27">
        <f>IF(A156="","",AC156-N(AH156))</f>
        <v/>
      </c>
      <c r="AJ156" s="29">
        <f>IFERROR(AI156/AC156,"")</f>
        <v/>
      </c>
      <c r="AK156" s="26">
        <f>IF(A156="","",IFERROR(IF(INDEX(tbl_Onsite[Notes],IFERROR(MATCH(A156&amp;"",tbl_Onsite[Job Number],0),MATCH(IFERROR(A156+0,A156),tbl_Onsite[Job Number],0)))="","",INDEX(tbl_Onsite[Notes],IFERROR(MATCH(A156&amp;"",tbl_Onsite[Job Number],0),MATCH(IFERROR(A156+0,A156),tbl_Onsite[Job Number],0)))),IFERROR(IF(INDEX(tbl_Production[Notes],IFERROR(MATCH(A156&amp;"",tbl_Production[Job Number],0),MATCH(IFERROR(A156+0,A156),tbl_Production[Job Number],0)))="","",INDEX(tbl_Production[Notes],IFERROR(MATCH(A156&amp;"",tbl_Production[Job Number],0),MATCH(IFERROR(A156+0,A156),tbl_Production[Job Number],0)))),IFERROR(IF(INDEX(tbl_Consulting[Notes],IFERROR(MATCH(A156&amp;"",tbl_Consulting[Job Number],0),MATCH(IFERROR(A156+0,A156),tbl_Consulting[Job Number],0)))="","",INDEX(tbl_Consulting[Notes],IFERROR(MATCH(A156&amp;"",tbl_Consulting[Job Number],0),MATCH(IFERROR(A156+0,A156),tbl_Consulting[Job Number],0)))),""))))</f>
        <v/>
      </c>
    </row>
    <row r="157" ht="15" customHeight="1">
      <c r="A157" s="22" t="n"/>
      <c r="B157" s="22" t="n"/>
      <c r="C157" s="23" t="n"/>
      <c r="D157" s="22" t="n"/>
      <c r="E157" s="24" t="n"/>
      <c r="F157" s="25">
        <f>IF(C157="","",EOMONTH(C157,0))</f>
        <v/>
      </c>
      <c r="G157" s="26">
        <f>IF(A157="","",IF(COUNTIF(tbl_Onsite[Job Number],A157&amp;"")&gt;0,"Onsite",IF(COUNTIF(tbl_Production[Job Number],A157&amp;"")&gt;0,"Production",IF(COUNTIF(tbl_Consulting[Job Number],A157&amp;"")&gt;0,"Consulting","not set up yet"))))</f>
        <v/>
      </c>
      <c r="H157" s="26">
        <f>IF(A157="","",IF(COUNTIF(lst_Jobs,A157&amp;"")&gt;0,"OK","CHECK"))</f>
        <v/>
      </c>
      <c r="I157" s="26">
        <f>IF(A157="","",IFERROR(INDEX(lst_JobName,MATCH(A157&amp;"",lst_Jobs,0)),""))</f>
        <v/>
      </c>
      <c r="J157" s="26">
        <f>IF(A157="","",IFERROR(IF(INDEX(tbl_Onsite[Client],IFERROR(MATCH(A157&amp;"",tbl_Onsite[Job Number],0),MATCH(IFERROR(A157+0,A157),tbl_Onsite[Job Number],0)))="","",INDEX(tbl_Onsite[Client],IFERROR(MATCH(A157&amp;"",tbl_Onsite[Job Number],0),MATCH(IFERROR(A157+0,A157),tbl_Onsite[Job Number],0)))),IFERROR(IF(INDEX(tbl_Production[Client],IFERROR(MATCH(A157&amp;"",tbl_Production[Job Number],0),MATCH(IFERROR(A157+0,A157),tbl_Production[Job Number],0)))="","",INDEX(tbl_Production[Client],IFERROR(MATCH(A157&amp;"",tbl_Production[Job Number],0),MATCH(IFERROR(A157+0,A157),tbl_Production[Job Number],0)))),IFERROR(IF(INDEX(tbl_Consulting[Client],IFERROR(MATCH(A157&amp;"",tbl_Consulting[Job Number],0),MATCH(IFERROR(A157+0,A157),tbl_Consulting[Job Number],0)))="","",INDEX(tbl_Consulting[Client],IFERROR(MATCH(A157&amp;"",tbl_Consulting[Job Number],0),MATCH(IFERROR(A157+0,A157),tbl_Consulting[Job Number],0)))),""))))</f>
        <v/>
      </c>
      <c r="K157" s="26">
        <f>IF(A157="","",IFERROR(IF(INDEX(tbl_Onsite[Job Description],IFERROR(MATCH(A157&amp;"",tbl_Onsite[Job Number],0),MATCH(IFERROR(A157+0,A157),tbl_Onsite[Job Number],0)))="","",INDEX(tbl_Onsite[Job Description],IFERROR(MATCH(A157&amp;"",tbl_Onsite[Job Number],0),MATCH(IFERROR(A157+0,A157),tbl_Onsite[Job Number],0)))),IFERROR(IF(INDEX(tbl_Production[Job Description],IFERROR(MATCH(A157&amp;"",tbl_Production[Job Number],0),MATCH(IFERROR(A157+0,A157),tbl_Production[Job Number],0)))="","",INDEX(tbl_Production[Job Description],IFERROR(MATCH(A157&amp;"",tbl_Production[Job Number],0),MATCH(IFERROR(A157+0,A157),tbl_Production[Job Number],0)))),IFERROR(IF(INDEX(tbl_Consulting[Job Description],IFERROR(MATCH(A157&amp;"",tbl_Consulting[Job Number],0),MATCH(IFERROR(A157+0,A157),tbl_Consulting[Job Number],0)))="","",INDEX(tbl_Consulting[Job Description],IFERROR(MATCH(A157&amp;"",tbl_Consulting[Job Number],0),MATCH(IFERROR(A157+0,A157),tbl_Consulting[Job Number],0)))),""))))</f>
        <v/>
      </c>
      <c r="L157" s="26">
        <f>IF(A157="","",IFERROR(IF(INDEX(tbl_Onsite[Invoice Type],IFERROR(MATCH(A157&amp;"",tbl_Onsite[Job Number],0),MATCH(IFERROR(A157+0,A157),tbl_Onsite[Job Number],0)))="","",INDEX(tbl_Onsite[Invoice Type],IFERROR(MATCH(A157&amp;"",tbl_Onsite[Job Number],0),MATCH(IFERROR(A157+0,A157),tbl_Onsite[Job Number],0)))),IFERROR(IF(INDEX(tbl_Production[Invoice Type],IFERROR(MATCH(A157&amp;"",tbl_Production[Job Number],0),MATCH(IFERROR(A157+0,A157),tbl_Production[Job Number],0)))="","",INDEX(tbl_Production[Invoice Type],IFERROR(MATCH(A157&amp;"",tbl_Production[Job Number],0),MATCH(IFERROR(A157+0,A157),tbl_Production[Job Number],0)))),IFERROR(IF(INDEX(tbl_Consulting[Invoice Type],IFERROR(MATCH(A157&amp;"",tbl_Consulting[Job Number],0),MATCH(IFERROR(A157+0,A157),tbl_Consulting[Job Number],0)))="","",INDEX(tbl_Consulting[Invoice Type],IFERROR(MATCH(A157&amp;"",tbl_Consulting[Job Number],0),MATCH(IFERROR(A157+0,A157),tbl_Consulting[Job Number],0)))),""))))</f>
        <v/>
      </c>
      <c r="M157" s="26">
        <f>IF(A157="","",IF(IFERROR(IF(INDEX(tbl_Onsite[Tax Code],IFERROR(MATCH(A157&amp;"",tbl_Onsite[Job Number],0),MATCH(IFERROR(A157+0,A157),tbl_Onsite[Job Number],0)))="","",INDEX(tbl_Onsite[Tax Code],IFERROR(MATCH(A157&amp;"",tbl_Onsite[Job Number],0),MATCH(IFERROR(A157+0,A157),tbl_Onsite[Job Number],0)))),IFERROR(IF(INDEX(tbl_Production[Tax Code],IFERROR(MATCH(A157&amp;"",tbl_Production[Job Number],0),MATCH(IFERROR(A157+0,A157),tbl_Production[Job Number],0)))="","",INDEX(tbl_Production[Tax Code],IFERROR(MATCH(A157&amp;"",tbl_Production[Job Number],0),MATCH(IFERROR(A157+0,A157),tbl_Production[Job Number],0)))),IFERROR(IF(INDEX(tbl_Consulting[Tax Code],IFERROR(MATCH(A157&amp;"",tbl_Consulting[Job Number],0),MATCH(IFERROR(A157+0,A157),tbl_Consulting[Job Number],0)))="","",INDEX(tbl_Consulting[Tax Code],IFERROR(MATCH(A157&amp;"",tbl_Consulting[Job Number],0),MATCH(IFERROR(A157+0,A157),tbl_Consulting[Job Number],0)))),"")))="","GST 10%",IFERROR(IF(INDEX(tbl_Onsite[Tax Code],IFERROR(MATCH(A157&amp;"",tbl_Onsite[Job Number],0),MATCH(IFERROR(A157+0,A157),tbl_Onsite[Job Number],0)))="","",INDEX(tbl_Onsite[Tax Code],IFERROR(MATCH(A157&amp;"",tbl_Onsite[Job Number],0),MATCH(IFERROR(A157+0,A157),tbl_Onsite[Job Number],0)))),IFERROR(IF(INDEX(tbl_Production[Tax Code],IFERROR(MATCH(A157&amp;"",tbl_Production[Job Number],0),MATCH(IFERROR(A157+0,A157),tbl_Production[Job Number],0)))="","",INDEX(tbl_Production[Tax Code],IFERROR(MATCH(A157&amp;"",tbl_Production[Job Number],0),MATCH(IFERROR(A157+0,A157),tbl_Production[Job Number],0)))),IFERROR(IF(INDEX(tbl_Consulting[Tax Code],IFERROR(MATCH(A157&amp;"",tbl_Consulting[Job Number],0),MATCH(IFERROR(A157+0,A157),tbl_Consulting[Job Number],0)))="","",INDEX(tbl_Consulting[Tax Code],IFERROR(MATCH(A157&amp;"",tbl_Consulting[Job Number],0),MATCH(IFERROR(A157+0,A157),tbl_Consulting[Job Number],0)))),"")))))</f>
        <v/>
      </c>
      <c r="N157" s="26">
        <f>IF(D157="","",IFERROR(INDEX(lst_CCtoGL,MATCH(D157,lst_CCforGL,0)),""))</f>
        <v/>
      </c>
      <c r="O157" s="27">
        <f>IF(E157="","",IF(M157="GST 10%",ROUND(E157*set_GSTRate,2),0))</f>
        <v/>
      </c>
      <c r="P157" s="27">
        <f>IF(E157="","",E157+O157)</f>
        <v/>
      </c>
      <c r="Q157" s="27">
        <f>IF(A157="","",IFERROR(INDEX(tbl_Onsite[Expected Revenue Ex GST],IFERROR(MATCH(A157&amp;"",tbl_Onsite[Job Number],0),MATCH(IFERROR(A157+0,A157),tbl_Onsite[Job Number],0))),IFERROR(INDEX(tbl_Production[Expected Revenue Ex GST],IFERROR(MATCH(A157&amp;"",tbl_Production[Job Number],0),MATCH(IFERROR(A157+0,A157),tbl_Production[Job Number],0))),IFERROR(INDEX(tbl_Consulting[Expected Revenue Ex GST],IFERROR(MATCH(A157&amp;"",tbl_Consulting[Job Number],0),MATCH(IFERROR(A157+0,A157),tbl_Consulting[Job Number],0))),0))))</f>
        <v/>
      </c>
      <c r="R157" s="27">
        <f>IF(A157="","",SUMIFS(tbl_Finance[Ex GST],tbl_Finance[Job Number],A157&amp;""))</f>
        <v/>
      </c>
      <c r="S157" s="27">
        <f>IF(A157="","",Q157-R157)</f>
        <v/>
      </c>
      <c r="T157" s="26">
        <f>IF(A157="","",IF(Q157=0,"No dept value",IF(ROUND(S157,2)=0,"Agrees",IF(S157&gt;0,"Dept higher - to invoice","Xero higher - check dept"))))</f>
        <v/>
      </c>
      <c r="U157" s="22" t="n"/>
      <c r="V157" s="22" t="n"/>
      <c r="W157" s="23" t="n"/>
      <c r="X157" s="23" t="n"/>
      <c r="Y157" s="22" t="n"/>
      <c r="Z157" s="22" t="n"/>
      <c r="AA157" s="26">
        <f>IF(COUNTA(C157,A157,B157,E157)=0,"",IF(C157="","No date - sits outside every month",IF(A157="","No job number",IF(H157="CHECK","Job number is not in the Xero job list",IF(G157="not set up yet","No department has set this job up - nothing can pull through",IF(D157="","No cost centre",IF(AND(U157="Y",B157=""),"Marked posted to Xero but has no invoice number",IF(N157="","Cost centre has no revenue GL on the Lists sheet",IF(T157="Xero higher - check dept","Invoiced more than the department says the job is worth","")))))))))</f>
        <v/>
      </c>
      <c r="AB157" s="28">
        <f>IF(A157="","",COUNTIFS(tbl_Finance[Job Number],A157&amp;"",tbl_Finance[Ex GST],"&lt;&gt;"))</f>
        <v/>
      </c>
      <c r="AC157" s="27">
        <f>IF(A157="","",SUMIFS(tbl_Finance[Ex GST],tbl_Finance[Job Number],A157&amp;""))</f>
        <v/>
      </c>
      <c r="AD157" s="27">
        <f>IF(A157="","",SUMIFS(tbl_Finance[Ex GST],tbl_Finance[Job Number],A157&amp;"",tbl_Finance[Xero Invoice No],"&lt;&gt;"))</f>
        <v/>
      </c>
      <c r="AE157" s="27">
        <f>IF(A157="","",AC157-AD157)</f>
        <v/>
      </c>
      <c r="AF157" s="26">
        <f>IF(A157="","",IFERROR(IF(INDEX(tbl_Onsite[Qwilr Quote],IFERROR(MATCH(A157&amp;"",tbl_Onsite[Job Number],0),MATCH(IFERROR(A157+0,A157),tbl_Onsite[Job Number],0)))="","",INDEX(tbl_Onsite[Qwilr Quote],IFERROR(MATCH(A157&amp;"",tbl_Onsite[Job Number],0),MATCH(IFERROR(A157+0,A157),tbl_Onsite[Job Number],0)))),IFERROR(IF(IF(INDEX(tbl_Production[Current RMS No],IFERROR(MATCH(A157&amp;"",tbl_Production[Job Number],0),MATCH(IFERROR(A157+0,A157),tbl_Production[Job Number],0)))="",INDEX(tbl_Production[Qwilr Quote],IFERROR(MATCH(A157&amp;"",tbl_Production[Job Number],0),MATCH(IFERROR(A157+0,A157),tbl_Production[Job Number],0))),INDEX(tbl_Production[Current RMS No],IFERROR(MATCH(A157&amp;"",tbl_Production[Job Number],0),MATCH(IFERROR(A157+0,A157),tbl_Production[Job Number],0))))="","",IF(INDEX(tbl_Production[Current RMS No],IFERROR(MATCH(A157&amp;"",tbl_Production[Job Number],0),MATCH(IFERROR(A157+0,A157),tbl_Production[Job Number],0)))="",INDEX(tbl_Production[Qwilr Quote],IFERROR(MATCH(A157&amp;"",tbl_Production[Job Number],0),MATCH(IFERROR(A157+0,A157),tbl_Production[Job Number],0))),INDEX(tbl_Production[Current RMS No],IFERROR(MATCH(A157&amp;"",tbl_Production[Job Number],0),MATCH(IFERROR(A157+0,A157),tbl_Production[Job Number],0))))),IFERROR(IF(INDEX(tbl_Consulting[Qwilr Quote],IFERROR(MATCH(A157&amp;"",tbl_Consulting[Job Number],0),MATCH(IFERROR(A157+0,A157),tbl_Consulting[Job Number],0)))="","",INDEX(tbl_Consulting[Qwilr Quote],IFERROR(MATCH(A157&amp;"",tbl_Consulting[Job Number],0),MATCH(IFERROR(A157+0,A157),tbl_Consulting[Job Number],0)))),""))))</f>
        <v/>
      </c>
      <c r="AG157" s="26">
        <f>IF(AF157="","",IF(AND(LEFT(AF157,4)&lt;&gt;"http",IF(G157="Production",set_RMSBase,set_QwilrBase)=""),"",HYPERLINK(IF(LEFT(AF157,4)="http",AF157,IF(G157="Production",set_RMSBase,set_QwilrBase)&amp;AF157),"Open")))</f>
        <v/>
      </c>
      <c r="AH157" s="27">
        <f>IF(A157="","",IFERROR(INDEX(tbl_Production[Total Expense],IFERROR(MATCH(A157&amp;"",tbl_Production[Job Number],0),MATCH(IFERROR(A157+0,A157),tbl_Production[Job Number],0))),IFERROR(INDEX(tbl_Consulting[Total Expense],IFERROR(MATCH(A157&amp;"",tbl_Consulting[Job Number],0),MATCH(IFERROR(A157+0,A157),tbl_Consulting[Job Number],0))),0)))</f>
        <v/>
      </c>
      <c r="AI157" s="27">
        <f>IF(A157="","",AC157-N(AH157))</f>
        <v/>
      </c>
      <c r="AJ157" s="29">
        <f>IFERROR(AI157/AC157,"")</f>
        <v/>
      </c>
      <c r="AK157" s="26">
        <f>IF(A157="","",IFERROR(IF(INDEX(tbl_Onsite[Notes],IFERROR(MATCH(A157&amp;"",tbl_Onsite[Job Number],0),MATCH(IFERROR(A157+0,A157),tbl_Onsite[Job Number],0)))="","",INDEX(tbl_Onsite[Notes],IFERROR(MATCH(A157&amp;"",tbl_Onsite[Job Number],0),MATCH(IFERROR(A157+0,A157),tbl_Onsite[Job Number],0)))),IFERROR(IF(INDEX(tbl_Production[Notes],IFERROR(MATCH(A157&amp;"",tbl_Production[Job Number],0),MATCH(IFERROR(A157+0,A157),tbl_Production[Job Number],0)))="","",INDEX(tbl_Production[Notes],IFERROR(MATCH(A157&amp;"",tbl_Production[Job Number],0),MATCH(IFERROR(A157+0,A157),tbl_Production[Job Number],0)))),IFERROR(IF(INDEX(tbl_Consulting[Notes],IFERROR(MATCH(A157&amp;"",tbl_Consulting[Job Number],0),MATCH(IFERROR(A157+0,A157),tbl_Consulting[Job Number],0)))="","",INDEX(tbl_Consulting[Notes],IFERROR(MATCH(A157&amp;"",tbl_Consulting[Job Number],0),MATCH(IFERROR(A157+0,A157),tbl_Consulting[Job Number],0)))),""))))</f>
        <v/>
      </c>
    </row>
    <row r="158" ht="15" customHeight="1">
      <c r="A158" s="22" t="n"/>
      <c r="B158" s="22" t="n"/>
      <c r="C158" s="23" t="n"/>
      <c r="D158" s="22" t="n"/>
      <c r="E158" s="24" t="n"/>
      <c r="F158" s="25">
        <f>IF(C158="","",EOMONTH(C158,0))</f>
        <v/>
      </c>
      <c r="G158" s="26">
        <f>IF(A158="","",IF(COUNTIF(tbl_Onsite[Job Number],A158&amp;"")&gt;0,"Onsite",IF(COUNTIF(tbl_Production[Job Number],A158&amp;"")&gt;0,"Production",IF(COUNTIF(tbl_Consulting[Job Number],A158&amp;"")&gt;0,"Consulting","not set up yet"))))</f>
        <v/>
      </c>
      <c r="H158" s="26">
        <f>IF(A158="","",IF(COUNTIF(lst_Jobs,A158&amp;"")&gt;0,"OK","CHECK"))</f>
        <v/>
      </c>
      <c r="I158" s="26">
        <f>IF(A158="","",IFERROR(INDEX(lst_JobName,MATCH(A158&amp;"",lst_Jobs,0)),""))</f>
        <v/>
      </c>
      <c r="J158" s="26">
        <f>IF(A158="","",IFERROR(IF(INDEX(tbl_Onsite[Client],IFERROR(MATCH(A158&amp;"",tbl_Onsite[Job Number],0),MATCH(IFERROR(A158+0,A158),tbl_Onsite[Job Number],0)))="","",INDEX(tbl_Onsite[Client],IFERROR(MATCH(A158&amp;"",tbl_Onsite[Job Number],0),MATCH(IFERROR(A158+0,A158),tbl_Onsite[Job Number],0)))),IFERROR(IF(INDEX(tbl_Production[Client],IFERROR(MATCH(A158&amp;"",tbl_Production[Job Number],0),MATCH(IFERROR(A158+0,A158),tbl_Production[Job Number],0)))="","",INDEX(tbl_Production[Client],IFERROR(MATCH(A158&amp;"",tbl_Production[Job Number],0),MATCH(IFERROR(A158+0,A158),tbl_Production[Job Number],0)))),IFERROR(IF(INDEX(tbl_Consulting[Client],IFERROR(MATCH(A158&amp;"",tbl_Consulting[Job Number],0),MATCH(IFERROR(A158+0,A158),tbl_Consulting[Job Number],0)))="","",INDEX(tbl_Consulting[Client],IFERROR(MATCH(A158&amp;"",tbl_Consulting[Job Number],0),MATCH(IFERROR(A158+0,A158),tbl_Consulting[Job Number],0)))),""))))</f>
        <v/>
      </c>
      <c r="K158" s="26">
        <f>IF(A158="","",IFERROR(IF(INDEX(tbl_Onsite[Job Description],IFERROR(MATCH(A158&amp;"",tbl_Onsite[Job Number],0),MATCH(IFERROR(A158+0,A158),tbl_Onsite[Job Number],0)))="","",INDEX(tbl_Onsite[Job Description],IFERROR(MATCH(A158&amp;"",tbl_Onsite[Job Number],0),MATCH(IFERROR(A158+0,A158),tbl_Onsite[Job Number],0)))),IFERROR(IF(INDEX(tbl_Production[Job Description],IFERROR(MATCH(A158&amp;"",tbl_Production[Job Number],0),MATCH(IFERROR(A158+0,A158),tbl_Production[Job Number],0)))="","",INDEX(tbl_Production[Job Description],IFERROR(MATCH(A158&amp;"",tbl_Production[Job Number],0),MATCH(IFERROR(A158+0,A158),tbl_Production[Job Number],0)))),IFERROR(IF(INDEX(tbl_Consulting[Job Description],IFERROR(MATCH(A158&amp;"",tbl_Consulting[Job Number],0),MATCH(IFERROR(A158+0,A158),tbl_Consulting[Job Number],0)))="","",INDEX(tbl_Consulting[Job Description],IFERROR(MATCH(A158&amp;"",tbl_Consulting[Job Number],0),MATCH(IFERROR(A158+0,A158),tbl_Consulting[Job Number],0)))),""))))</f>
        <v/>
      </c>
      <c r="L158" s="26">
        <f>IF(A158="","",IFERROR(IF(INDEX(tbl_Onsite[Invoice Type],IFERROR(MATCH(A158&amp;"",tbl_Onsite[Job Number],0),MATCH(IFERROR(A158+0,A158),tbl_Onsite[Job Number],0)))="","",INDEX(tbl_Onsite[Invoice Type],IFERROR(MATCH(A158&amp;"",tbl_Onsite[Job Number],0),MATCH(IFERROR(A158+0,A158),tbl_Onsite[Job Number],0)))),IFERROR(IF(INDEX(tbl_Production[Invoice Type],IFERROR(MATCH(A158&amp;"",tbl_Production[Job Number],0),MATCH(IFERROR(A158+0,A158),tbl_Production[Job Number],0)))="","",INDEX(tbl_Production[Invoice Type],IFERROR(MATCH(A158&amp;"",tbl_Production[Job Number],0),MATCH(IFERROR(A158+0,A158),tbl_Production[Job Number],0)))),IFERROR(IF(INDEX(tbl_Consulting[Invoice Type],IFERROR(MATCH(A158&amp;"",tbl_Consulting[Job Number],0),MATCH(IFERROR(A158+0,A158),tbl_Consulting[Job Number],0)))="","",INDEX(tbl_Consulting[Invoice Type],IFERROR(MATCH(A158&amp;"",tbl_Consulting[Job Number],0),MATCH(IFERROR(A158+0,A158),tbl_Consulting[Job Number],0)))),""))))</f>
        <v/>
      </c>
      <c r="M158" s="26">
        <f>IF(A158="","",IF(IFERROR(IF(INDEX(tbl_Onsite[Tax Code],IFERROR(MATCH(A158&amp;"",tbl_Onsite[Job Number],0),MATCH(IFERROR(A158+0,A158),tbl_Onsite[Job Number],0)))="","",INDEX(tbl_Onsite[Tax Code],IFERROR(MATCH(A158&amp;"",tbl_Onsite[Job Number],0),MATCH(IFERROR(A158+0,A158),tbl_Onsite[Job Number],0)))),IFERROR(IF(INDEX(tbl_Production[Tax Code],IFERROR(MATCH(A158&amp;"",tbl_Production[Job Number],0),MATCH(IFERROR(A158+0,A158),tbl_Production[Job Number],0)))="","",INDEX(tbl_Production[Tax Code],IFERROR(MATCH(A158&amp;"",tbl_Production[Job Number],0),MATCH(IFERROR(A158+0,A158),tbl_Production[Job Number],0)))),IFERROR(IF(INDEX(tbl_Consulting[Tax Code],IFERROR(MATCH(A158&amp;"",tbl_Consulting[Job Number],0),MATCH(IFERROR(A158+0,A158),tbl_Consulting[Job Number],0)))="","",INDEX(tbl_Consulting[Tax Code],IFERROR(MATCH(A158&amp;"",tbl_Consulting[Job Number],0),MATCH(IFERROR(A158+0,A158),tbl_Consulting[Job Number],0)))),"")))="","GST 10%",IFERROR(IF(INDEX(tbl_Onsite[Tax Code],IFERROR(MATCH(A158&amp;"",tbl_Onsite[Job Number],0),MATCH(IFERROR(A158+0,A158),tbl_Onsite[Job Number],0)))="","",INDEX(tbl_Onsite[Tax Code],IFERROR(MATCH(A158&amp;"",tbl_Onsite[Job Number],0),MATCH(IFERROR(A158+0,A158),tbl_Onsite[Job Number],0)))),IFERROR(IF(INDEX(tbl_Production[Tax Code],IFERROR(MATCH(A158&amp;"",tbl_Production[Job Number],0),MATCH(IFERROR(A158+0,A158),tbl_Production[Job Number],0)))="","",INDEX(tbl_Production[Tax Code],IFERROR(MATCH(A158&amp;"",tbl_Production[Job Number],0),MATCH(IFERROR(A158+0,A158),tbl_Production[Job Number],0)))),IFERROR(IF(INDEX(tbl_Consulting[Tax Code],IFERROR(MATCH(A158&amp;"",tbl_Consulting[Job Number],0),MATCH(IFERROR(A158+0,A158),tbl_Consulting[Job Number],0)))="","",INDEX(tbl_Consulting[Tax Code],IFERROR(MATCH(A158&amp;"",tbl_Consulting[Job Number],0),MATCH(IFERROR(A158+0,A158),tbl_Consulting[Job Number],0)))),"")))))</f>
        <v/>
      </c>
      <c r="N158" s="26">
        <f>IF(D158="","",IFERROR(INDEX(lst_CCtoGL,MATCH(D158,lst_CCforGL,0)),""))</f>
        <v/>
      </c>
      <c r="O158" s="27">
        <f>IF(E158="","",IF(M158="GST 10%",ROUND(E158*set_GSTRate,2),0))</f>
        <v/>
      </c>
      <c r="P158" s="27">
        <f>IF(E158="","",E158+O158)</f>
        <v/>
      </c>
      <c r="Q158" s="27">
        <f>IF(A158="","",IFERROR(INDEX(tbl_Onsite[Expected Revenue Ex GST],IFERROR(MATCH(A158&amp;"",tbl_Onsite[Job Number],0),MATCH(IFERROR(A158+0,A158),tbl_Onsite[Job Number],0))),IFERROR(INDEX(tbl_Production[Expected Revenue Ex GST],IFERROR(MATCH(A158&amp;"",tbl_Production[Job Number],0),MATCH(IFERROR(A158+0,A158),tbl_Production[Job Number],0))),IFERROR(INDEX(tbl_Consulting[Expected Revenue Ex GST],IFERROR(MATCH(A158&amp;"",tbl_Consulting[Job Number],0),MATCH(IFERROR(A158+0,A158),tbl_Consulting[Job Number],0))),0))))</f>
        <v/>
      </c>
      <c r="R158" s="27">
        <f>IF(A158="","",SUMIFS(tbl_Finance[Ex GST],tbl_Finance[Job Number],A158&amp;""))</f>
        <v/>
      </c>
      <c r="S158" s="27">
        <f>IF(A158="","",Q158-R158)</f>
        <v/>
      </c>
      <c r="T158" s="26">
        <f>IF(A158="","",IF(Q158=0,"No dept value",IF(ROUND(S158,2)=0,"Agrees",IF(S158&gt;0,"Dept higher - to invoice","Xero higher - check dept"))))</f>
        <v/>
      </c>
      <c r="U158" s="22" t="n"/>
      <c r="V158" s="22" t="n"/>
      <c r="W158" s="23" t="n"/>
      <c r="X158" s="23" t="n"/>
      <c r="Y158" s="22" t="n"/>
      <c r="Z158" s="22" t="n"/>
      <c r="AA158" s="26">
        <f>IF(COUNTA(C158,A158,B158,E158)=0,"",IF(C158="","No date - sits outside every month",IF(A158="","No job number",IF(H158="CHECK","Job number is not in the Xero job list",IF(G158="not set up yet","No department has set this job up - nothing can pull through",IF(D158="","No cost centre",IF(AND(U158="Y",B158=""),"Marked posted to Xero but has no invoice number",IF(N158="","Cost centre has no revenue GL on the Lists sheet",IF(T158="Xero higher - check dept","Invoiced more than the department says the job is worth","")))))))))</f>
        <v/>
      </c>
      <c r="AB158" s="28">
        <f>IF(A158="","",COUNTIFS(tbl_Finance[Job Number],A158&amp;"",tbl_Finance[Ex GST],"&lt;&gt;"))</f>
        <v/>
      </c>
      <c r="AC158" s="27">
        <f>IF(A158="","",SUMIFS(tbl_Finance[Ex GST],tbl_Finance[Job Number],A158&amp;""))</f>
        <v/>
      </c>
      <c r="AD158" s="27">
        <f>IF(A158="","",SUMIFS(tbl_Finance[Ex GST],tbl_Finance[Job Number],A158&amp;"",tbl_Finance[Xero Invoice No],"&lt;&gt;"))</f>
        <v/>
      </c>
      <c r="AE158" s="27">
        <f>IF(A158="","",AC158-AD158)</f>
        <v/>
      </c>
      <c r="AF158" s="26">
        <f>IF(A158="","",IFERROR(IF(INDEX(tbl_Onsite[Qwilr Quote],IFERROR(MATCH(A158&amp;"",tbl_Onsite[Job Number],0),MATCH(IFERROR(A158+0,A158),tbl_Onsite[Job Number],0)))="","",INDEX(tbl_Onsite[Qwilr Quote],IFERROR(MATCH(A158&amp;"",tbl_Onsite[Job Number],0),MATCH(IFERROR(A158+0,A158),tbl_Onsite[Job Number],0)))),IFERROR(IF(IF(INDEX(tbl_Production[Current RMS No],IFERROR(MATCH(A158&amp;"",tbl_Production[Job Number],0),MATCH(IFERROR(A158+0,A158),tbl_Production[Job Number],0)))="",INDEX(tbl_Production[Qwilr Quote],IFERROR(MATCH(A158&amp;"",tbl_Production[Job Number],0),MATCH(IFERROR(A158+0,A158),tbl_Production[Job Number],0))),INDEX(tbl_Production[Current RMS No],IFERROR(MATCH(A158&amp;"",tbl_Production[Job Number],0),MATCH(IFERROR(A158+0,A158),tbl_Production[Job Number],0))))="","",IF(INDEX(tbl_Production[Current RMS No],IFERROR(MATCH(A158&amp;"",tbl_Production[Job Number],0),MATCH(IFERROR(A158+0,A158),tbl_Production[Job Number],0)))="",INDEX(tbl_Production[Qwilr Quote],IFERROR(MATCH(A158&amp;"",tbl_Production[Job Number],0),MATCH(IFERROR(A158+0,A158),tbl_Production[Job Number],0))),INDEX(tbl_Production[Current RMS No],IFERROR(MATCH(A158&amp;"",tbl_Production[Job Number],0),MATCH(IFERROR(A158+0,A158),tbl_Production[Job Number],0))))),IFERROR(IF(INDEX(tbl_Consulting[Qwilr Quote],IFERROR(MATCH(A158&amp;"",tbl_Consulting[Job Number],0),MATCH(IFERROR(A158+0,A158),tbl_Consulting[Job Number],0)))="","",INDEX(tbl_Consulting[Qwilr Quote],IFERROR(MATCH(A158&amp;"",tbl_Consulting[Job Number],0),MATCH(IFERROR(A158+0,A158),tbl_Consulting[Job Number],0)))),""))))</f>
        <v/>
      </c>
      <c r="AG158" s="26">
        <f>IF(AF158="","",IF(AND(LEFT(AF158,4)&lt;&gt;"http",IF(G158="Production",set_RMSBase,set_QwilrBase)=""),"",HYPERLINK(IF(LEFT(AF158,4)="http",AF158,IF(G158="Production",set_RMSBase,set_QwilrBase)&amp;AF158),"Open")))</f>
        <v/>
      </c>
      <c r="AH158" s="27">
        <f>IF(A158="","",IFERROR(INDEX(tbl_Production[Total Expense],IFERROR(MATCH(A158&amp;"",tbl_Production[Job Number],0),MATCH(IFERROR(A158+0,A158),tbl_Production[Job Number],0))),IFERROR(INDEX(tbl_Consulting[Total Expense],IFERROR(MATCH(A158&amp;"",tbl_Consulting[Job Number],0),MATCH(IFERROR(A158+0,A158),tbl_Consulting[Job Number],0))),0)))</f>
        <v/>
      </c>
      <c r="AI158" s="27">
        <f>IF(A158="","",AC158-N(AH158))</f>
        <v/>
      </c>
      <c r="AJ158" s="29">
        <f>IFERROR(AI158/AC158,"")</f>
        <v/>
      </c>
      <c r="AK158" s="26">
        <f>IF(A158="","",IFERROR(IF(INDEX(tbl_Onsite[Notes],IFERROR(MATCH(A158&amp;"",tbl_Onsite[Job Number],0),MATCH(IFERROR(A158+0,A158),tbl_Onsite[Job Number],0)))="","",INDEX(tbl_Onsite[Notes],IFERROR(MATCH(A158&amp;"",tbl_Onsite[Job Number],0),MATCH(IFERROR(A158+0,A158),tbl_Onsite[Job Number],0)))),IFERROR(IF(INDEX(tbl_Production[Notes],IFERROR(MATCH(A158&amp;"",tbl_Production[Job Number],0),MATCH(IFERROR(A158+0,A158),tbl_Production[Job Number],0)))="","",INDEX(tbl_Production[Notes],IFERROR(MATCH(A158&amp;"",tbl_Production[Job Number],0),MATCH(IFERROR(A158+0,A158),tbl_Production[Job Number],0)))),IFERROR(IF(INDEX(tbl_Consulting[Notes],IFERROR(MATCH(A158&amp;"",tbl_Consulting[Job Number],0),MATCH(IFERROR(A158+0,A158),tbl_Consulting[Job Number],0)))="","",INDEX(tbl_Consulting[Notes],IFERROR(MATCH(A158&amp;"",tbl_Consulting[Job Number],0),MATCH(IFERROR(A158+0,A158),tbl_Consulting[Job Number],0)))),""))))</f>
        <v/>
      </c>
    </row>
    <row r="159" ht="15" customHeight="1">
      <c r="A159" s="22" t="n"/>
      <c r="B159" s="22" t="n"/>
      <c r="C159" s="23" t="n"/>
      <c r="D159" s="22" t="n"/>
      <c r="E159" s="24" t="n"/>
      <c r="F159" s="25">
        <f>IF(C159="","",EOMONTH(C159,0))</f>
        <v/>
      </c>
      <c r="G159" s="26">
        <f>IF(A159="","",IF(COUNTIF(tbl_Onsite[Job Number],A159&amp;"")&gt;0,"Onsite",IF(COUNTIF(tbl_Production[Job Number],A159&amp;"")&gt;0,"Production",IF(COUNTIF(tbl_Consulting[Job Number],A159&amp;"")&gt;0,"Consulting","not set up yet"))))</f>
        <v/>
      </c>
      <c r="H159" s="26">
        <f>IF(A159="","",IF(COUNTIF(lst_Jobs,A159&amp;"")&gt;0,"OK","CHECK"))</f>
        <v/>
      </c>
      <c r="I159" s="26">
        <f>IF(A159="","",IFERROR(INDEX(lst_JobName,MATCH(A159&amp;"",lst_Jobs,0)),""))</f>
        <v/>
      </c>
      <c r="J159" s="26">
        <f>IF(A159="","",IFERROR(IF(INDEX(tbl_Onsite[Client],IFERROR(MATCH(A159&amp;"",tbl_Onsite[Job Number],0),MATCH(IFERROR(A159+0,A159),tbl_Onsite[Job Number],0)))="","",INDEX(tbl_Onsite[Client],IFERROR(MATCH(A159&amp;"",tbl_Onsite[Job Number],0),MATCH(IFERROR(A159+0,A159),tbl_Onsite[Job Number],0)))),IFERROR(IF(INDEX(tbl_Production[Client],IFERROR(MATCH(A159&amp;"",tbl_Production[Job Number],0),MATCH(IFERROR(A159+0,A159),tbl_Production[Job Number],0)))="","",INDEX(tbl_Production[Client],IFERROR(MATCH(A159&amp;"",tbl_Production[Job Number],0),MATCH(IFERROR(A159+0,A159),tbl_Production[Job Number],0)))),IFERROR(IF(INDEX(tbl_Consulting[Client],IFERROR(MATCH(A159&amp;"",tbl_Consulting[Job Number],0),MATCH(IFERROR(A159+0,A159),tbl_Consulting[Job Number],0)))="","",INDEX(tbl_Consulting[Client],IFERROR(MATCH(A159&amp;"",tbl_Consulting[Job Number],0),MATCH(IFERROR(A159+0,A159),tbl_Consulting[Job Number],0)))),""))))</f>
        <v/>
      </c>
      <c r="K159" s="26">
        <f>IF(A159="","",IFERROR(IF(INDEX(tbl_Onsite[Job Description],IFERROR(MATCH(A159&amp;"",tbl_Onsite[Job Number],0),MATCH(IFERROR(A159+0,A159),tbl_Onsite[Job Number],0)))="","",INDEX(tbl_Onsite[Job Description],IFERROR(MATCH(A159&amp;"",tbl_Onsite[Job Number],0),MATCH(IFERROR(A159+0,A159),tbl_Onsite[Job Number],0)))),IFERROR(IF(INDEX(tbl_Production[Job Description],IFERROR(MATCH(A159&amp;"",tbl_Production[Job Number],0),MATCH(IFERROR(A159+0,A159),tbl_Production[Job Number],0)))="","",INDEX(tbl_Production[Job Description],IFERROR(MATCH(A159&amp;"",tbl_Production[Job Number],0),MATCH(IFERROR(A159+0,A159),tbl_Production[Job Number],0)))),IFERROR(IF(INDEX(tbl_Consulting[Job Description],IFERROR(MATCH(A159&amp;"",tbl_Consulting[Job Number],0),MATCH(IFERROR(A159+0,A159),tbl_Consulting[Job Number],0)))="","",INDEX(tbl_Consulting[Job Description],IFERROR(MATCH(A159&amp;"",tbl_Consulting[Job Number],0),MATCH(IFERROR(A159+0,A159),tbl_Consulting[Job Number],0)))),""))))</f>
        <v/>
      </c>
      <c r="L159" s="26">
        <f>IF(A159="","",IFERROR(IF(INDEX(tbl_Onsite[Invoice Type],IFERROR(MATCH(A159&amp;"",tbl_Onsite[Job Number],0),MATCH(IFERROR(A159+0,A159),tbl_Onsite[Job Number],0)))="","",INDEX(tbl_Onsite[Invoice Type],IFERROR(MATCH(A159&amp;"",tbl_Onsite[Job Number],0),MATCH(IFERROR(A159+0,A159),tbl_Onsite[Job Number],0)))),IFERROR(IF(INDEX(tbl_Production[Invoice Type],IFERROR(MATCH(A159&amp;"",tbl_Production[Job Number],0),MATCH(IFERROR(A159+0,A159),tbl_Production[Job Number],0)))="","",INDEX(tbl_Production[Invoice Type],IFERROR(MATCH(A159&amp;"",tbl_Production[Job Number],0),MATCH(IFERROR(A159+0,A159),tbl_Production[Job Number],0)))),IFERROR(IF(INDEX(tbl_Consulting[Invoice Type],IFERROR(MATCH(A159&amp;"",tbl_Consulting[Job Number],0),MATCH(IFERROR(A159+0,A159),tbl_Consulting[Job Number],0)))="","",INDEX(tbl_Consulting[Invoice Type],IFERROR(MATCH(A159&amp;"",tbl_Consulting[Job Number],0),MATCH(IFERROR(A159+0,A159),tbl_Consulting[Job Number],0)))),""))))</f>
        <v/>
      </c>
      <c r="M159" s="26">
        <f>IF(A159="","",IF(IFERROR(IF(INDEX(tbl_Onsite[Tax Code],IFERROR(MATCH(A159&amp;"",tbl_Onsite[Job Number],0),MATCH(IFERROR(A159+0,A159),tbl_Onsite[Job Number],0)))="","",INDEX(tbl_Onsite[Tax Code],IFERROR(MATCH(A159&amp;"",tbl_Onsite[Job Number],0),MATCH(IFERROR(A159+0,A159),tbl_Onsite[Job Number],0)))),IFERROR(IF(INDEX(tbl_Production[Tax Code],IFERROR(MATCH(A159&amp;"",tbl_Production[Job Number],0),MATCH(IFERROR(A159+0,A159),tbl_Production[Job Number],0)))="","",INDEX(tbl_Production[Tax Code],IFERROR(MATCH(A159&amp;"",tbl_Production[Job Number],0),MATCH(IFERROR(A159+0,A159),tbl_Production[Job Number],0)))),IFERROR(IF(INDEX(tbl_Consulting[Tax Code],IFERROR(MATCH(A159&amp;"",tbl_Consulting[Job Number],0),MATCH(IFERROR(A159+0,A159),tbl_Consulting[Job Number],0)))="","",INDEX(tbl_Consulting[Tax Code],IFERROR(MATCH(A159&amp;"",tbl_Consulting[Job Number],0),MATCH(IFERROR(A159+0,A159),tbl_Consulting[Job Number],0)))),"")))="","GST 10%",IFERROR(IF(INDEX(tbl_Onsite[Tax Code],IFERROR(MATCH(A159&amp;"",tbl_Onsite[Job Number],0),MATCH(IFERROR(A159+0,A159),tbl_Onsite[Job Number],0)))="","",INDEX(tbl_Onsite[Tax Code],IFERROR(MATCH(A159&amp;"",tbl_Onsite[Job Number],0),MATCH(IFERROR(A159+0,A159),tbl_Onsite[Job Number],0)))),IFERROR(IF(INDEX(tbl_Production[Tax Code],IFERROR(MATCH(A159&amp;"",tbl_Production[Job Number],0),MATCH(IFERROR(A159+0,A159),tbl_Production[Job Number],0)))="","",INDEX(tbl_Production[Tax Code],IFERROR(MATCH(A159&amp;"",tbl_Production[Job Number],0),MATCH(IFERROR(A159+0,A159),tbl_Production[Job Number],0)))),IFERROR(IF(INDEX(tbl_Consulting[Tax Code],IFERROR(MATCH(A159&amp;"",tbl_Consulting[Job Number],0),MATCH(IFERROR(A159+0,A159),tbl_Consulting[Job Number],0)))="","",INDEX(tbl_Consulting[Tax Code],IFERROR(MATCH(A159&amp;"",tbl_Consulting[Job Number],0),MATCH(IFERROR(A159+0,A159),tbl_Consulting[Job Number],0)))),"")))))</f>
        <v/>
      </c>
      <c r="N159" s="26">
        <f>IF(D159="","",IFERROR(INDEX(lst_CCtoGL,MATCH(D159,lst_CCforGL,0)),""))</f>
        <v/>
      </c>
      <c r="O159" s="27">
        <f>IF(E159="","",IF(M159="GST 10%",ROUND(E159*set_GSTRate,2),0))</f>
        <v/>
      </c>
      <c r="P159" s="27">
        <f>IF(E159="","",E159+O159)</f>
        <v/>
      </c>
      <c r="Q159" s="27">
        <f>IF(A159="","",IFERROR(INDEX(tbl_Onsite[Expected Revenue Ex GST],IFERROR(MATCH(A159&amp;"",tbl_Onsite[Job Number],0),MATCH(IFERROR(A159+0,A159),tbl_Onsite[Job Number],0))),IFERROR(INDEX(tbl_Production[Expected Revenue Ex GST],IFERROR(MATCH(A159&amp;"",tbl_Production[Job Number],0),MATCH(IFERROR(A159+0,A159),tbl_Production[Job Number],0))),IFERROR(INDEX(tbl_Consulting[Expected Revenue Ex GST],IFERROR(MATCH(A159&amp;"",tbl_Consulting[Job Number],0),MATCH(IFERROR(A159+0,A159),tbl_Consulting[Job Number],0))),0))))</f>
        <v/>
      </c>
      <c r="R159" s="27">
        <f>IF(A159="","",SUMIFS(tbl_Finance[Ex GST],tbl_Finance[Job Number],A159&amp;""))</f>
        <v/>
      </c>
      <c r="S159" s="27">
        <f>IF(A159="","",Q159-R159)</f>
        <v/>
      </c>
      <c r="T159" s="26">
        <f>IF(A159="","",IF(Q159=0,"No dept value",IF(ROUND(S159,2)=0,"Agrees",IF(S159&gt;0,"Dept higher - to invoice","Xero higher - check dept"))))</f>
        <v/>
      </c>
      <c r="U159" s="22" t="n"/>
      <c r="V159" s="22" t="n"/>
      <c r="W159" s="23" t="n"/>
      <c r="X159" s="23" t="n"/>
      <c r="Y159" s="22" t="n"/>
      <c r="Z159" s="22" t="n"/>
      <c r="AA159" s="26">
        <f>IF(COUNTA(C159,A159,B159,E159)=0,"",IF(C159="","No date - sits outside every month",IF(A159="","No job number",IF(H159="CHECK","Job number is not in the Xero job list",IF(G159="not set up yet","No department has set this job up - nothing can pull through",IF(D159="","No cost centre",IF(AND(U159="Y",B159=""),"Marked posted to Xero but has no invoice number",IF(N159="","Cost centre has no revenue GL on the Lists sheet",IF(T159="Xero higher - check dept","Invoiced more than the department says the job is worth","")))))))))</f>
        <v/>
      </c>
      <c r="AB159" s="28">
        <f>IF(A159="","",COUNTIFS(tbl_Finance[Job Number],A159&amp;"",tbl_Finance[Ex GST],"&lt;&gt;"))</f>
        <v/>
      </c>
      <c r="AC159" s="27">
        <f>IF(A159="","",SUMIFS(tbl_Finance[Ex GST],tbl_Finance[Job Number],A159&amp;""))</f>
        <v/>
      </c>
      <c r="AD159" s="27">
        <f>IF(A159="","",SUMIFS(tbl_Finance[Ex GST],tbl_Finance[Job Number],A159&amp;"",tbl_Finance[Xero Invoice No],"&lt;&gt;"))</f>
        <v/>
      </c>
      <c r="AE159" s="27">
        <f>IF(A159="","",AC159-AD159)</f>
        <v/>
      </c>
      <c r="AF159" s="26">
        <f>IF(A159="","",IFERROR(IF(INDEX(tbl_Onsite[Qwilr Quote],IFERROR(MATCH(A159&amp;"",tbl_Onsite[Job Number],0),MATCH(IFERROR(A159+0,A159),tbl_Onsite[Job Number],0)))="","",INDEX(tbl_Onsite[Qwilr Quote],IFERROR(MATCH(A159&amp;"",tbl_Onsite[Job Number],0),MATCH(IFERROR(A159+0,A159),tbl_Onsite[Job Number],0)))),IFERROR(IF(IF(INDEX(tbl_Production[Current RMS No],IFERROR(MATCH(A159&amp;"",tbl_Production[Job Number],0),MATCH(IFERROR(A159+0,A159),tbl_Production[Job Number],0)))="",INDEX(tbl_Production[Qwilr Quote],IFERROR(MATCH(A159&amp;"",tbl_Production[Job Number],0),MATCH(IFERROR(A159+0,A159),tbl_Production[Job Number],0))),INDEX(tbl_Production[Current RMS No],IFERROR(MATCH(A159&amp;"",tbl_Production[Job Number],0),MATCH(IFERROR(A159+0,A159),tbl_Production[Job Number],0))))="","",IF(INDEX(tbl_Production[Current RMS No],IFERROR(MATCH(A159&amp;"",tbl_Production[Job Number],0),MATCH(IFERROR(A159+0,A159),tbl_Production[Job Number],0)))="",INDEX(tbl_Production[Qwilr Quote],IFERROR(MATCH(A159&amp;"",tbl_Production[Job Number],0),MATCH(IFERROR(A159+0,A159),tbl_Production[Job Number],0))),INDEX(tbl_Production[Current RMS No],IFERROR(MATCH(A159&amp;"",tbl_Production[Job Number],0),MATCH(IFERROR(A159+0,A159),tbl_Production[Job Number],0))))),IFERROR(IF(INDEX(tbl_Consulting[Qwilr Quote],IFERROR(MATCH(A159&amp;"",tbl_Consulting[Job Number],0),MATCH(IFERROR(A159+0,A159),tbl_Consulting[Job Number],0)))="","",INDEX(tbl_Consulting[Qwilr Quote],IFERROR(MATCH(A159&amp;"",tbl_Consulting[Job Number],0),MATCH(IFERROR(A159+0,A159),tbl_Consulting[Job Number],0)))),""))))</f>
        <v/>
      </c>
      <c r="AG159" s="26">
        <f>IF(AF159="","",IF(AND(LEFT(AF159,4)&lt;&gt;"http",IF(G159="Production",set_RMSBase,set_QwilrBase)=""),"",HYPERLINK(IF(LEFT(AF159,4)="http",AF159,IF(G159="Production",set_RMSBase,set_QwilrBase)&amp;AF159),"Open")))</f>
        <v/>
      </c>
      <c r="AH159" s="27">
        <f>IF(A159="","",IFERROR(INDEX(tbl_Production[Total Expense],IFERROR(MATCH(A159&amp;"",tbl_Production[Job Number],0),MATCH(IFERROR(A159+0,A159),tbl_Production[Job Number],0))),IFERROR(INDEX(tbl_Consulting[Total Expense],IFERROR(MATCH(A159&amp;"",tbl_Consulting[Job Number],0),MATCH(IFERROR(A159+0,A159),tbl_Consulting[Job Number],0))),0)))</f>
        <v/>
      </c>
      <c r="AI159" s="27">
        <f>IF(A159="","",AC159-N(AH159))</f>
        <v/>
      </c>
      <c r="AJ159" s="29">
        <f>IFERROR(AI159/AC159,"")</f>
        <v/>
      </c>
      <c r="AK159" s="26">
        <f>IF(A159="","",IFERROR(IF(INDEX(tbl_Onsite[Notes],IFERROR(MATCH(A159&amp;"",tbl_Onsite[Job Number],0),MATCH(IFERROR(A159+0,A159),tbl_Onsite[Job Number],0)))="","",INDEX(tbl_Onsite[Notes],IFERROR(MATCH(A159&amp;"",tbl_Onsite[Job Number],0),MATCH(IFERROR(A159+0,A159),tbl_Onsite[Job Number],0)))),IFERROR(IF(INDEX(tbl_Production[Notes],IFERROR(MATCH(A159&amp;"",tbl_Production[Job Number],0),MATCH(IFERROR(A159+0,A159),tbl_Production[Job Number],0)))="","",INDEX(tbl_Production[Notes],IFERROR(MATCH(A159&amp;"",tbl_Production[Job Number],0),MATCH(IFERROR(A159+0,A159),tbl_Production[Job Number],0)))),IFERROR(IF(INDEX(tbl_Consulting[Notes],IFERROR(MATCH(A159&amp;"",tbl_Consulting[Job Number],0),MATCH(IFERROR(A159+0,A159),tbl_Consulting[Job Number],0)))="","",INDEX(tbl_Consulting[Notes],IFERROR(MATCH(A159&amp;"",tbl_Consulting[Job Number],0),MATCH(IFERROR(A159+0,A159),tbl_Consulting[Job Number],0)))),""))))</f>
        <v/>
      </c>
    </row>
    <row r="160" ht="15" customHeight="1">
      <c r="A160" s="22" t="n"/>
      <c r="B160" s="22" t="n"/>
      <c r="C160" s="23" t="n"/>
      <c r="D160" s="22" t="n"/>
      <c r="E160" s="24" t="n"/>
      <c r="F160" s="25">
        <f>IF(C160="","",EOMONTH(C160,0))</f>
        <v/>
      </c>
      <c r="G160" s="26">
        <f>IF(A160="","",IF(COUNTIF(tbl_Onsite[Job Number],A160&amp;"")&gt;0,"Onsite",IF(COUNTIF(tbl_Production[Job Number],A160&amp;"")&gt;0,"Production",IF(COUNTIF(tbl_Consulting[Job Number],A160&amp;"")&gt;0,"Consulting","not set up yet"))))</f>
        <v/>
      </c>
      <c r="H160" s="26">
        <f>IF(A160="","",IF(COUNTIF(lst_Jobs,A160&amp;"")&gt;0,"OK","CHECK"))</f>
        <v/>
      </c>
      <c r="I160" s="26">
        <f>IF(A160="","",IFERROR(INDEX(lst_JobName,MATCH(A160&amp;"",lst_Jobs,0)),""))</f>
        <v/>
      </c>
      <c r="J160" s="26">
        <f>IF(A160="","",IFERROR(IF(INDEX(tbl_Onsite[Client],IFERROR(MATCH(A160&amp;"",tbl_Onsite[Job Number],0),MATCH(IFERROR(A160+0,A160),tbl_Onsite[Job Number],0)))="","",INDEX(tbl_Onsite[Client],IFERROR(MATCH(A160&amp;"",tbl_Onsite[Job Number],0),MATCH(IFERROR(A160+0,A160),tbl_Onsite[Job Number],0)))),IFERROR(IF(INDEX(tbl_Production[Client],IFERROR(MATCH(A160&amp;"",tbl_Production[Job Number],0),MATCH(IFERROR(A160+0,A160),tbl_Production[Job Number],0)))="","",INDEX(tbl_Production[Client],IFERROR(MATCH(A160&amp;"",tbl_Production[Job Number],0),MATCH(IFERROR(A160+0,A160),tbl_Production[Job Number],0)))),IFERROR(IF(INDEX(tbl_Consulting[Client],IFERROR(MATCH(A160&amp;"",tbl_Consulting[Job Number],0),MATCH(IFERROR(A160+0,A160),tbl_Consulting[Job Number],0)))="","",INDEX(tbl_Consulting[Client],IFERROR(MATCH(A160&amp;"",tbl_Consulting[Job Number],0),MATCH(IFERROR(A160+0,A160),tbl_Consulting[Job Number],0)))),""))))</f>
        <v/>
      </c>
      <c r="K160" s="26">
        <f>IF(A160="","",IFERROR(IF(INDEX(tbl_Onsite[Job Description],IFERROR(MATCH(A160&amp;"",tbl_Onsite[Job Number],0),MATCH(IFERROR(A160+0,A160),tbl_Onsite[Job Number],0)))="","",INDEX(tbl_Onsite[Job Description],IFERROR(MATCH(A160&amp;"",tbl_Onsite[Job Number],0),MATCH(IFERROR(A160+0,A160),tbl_Onsite[Job Number],0)))),IFERROR(IF(INDEX(tbl_Production[Job Description],IFERROR(MATCH(A160&amp;"",tbl_Production[Job Number],0),MATCH(IFERROR(A160+0,A160),tbl_Production[Job Number],0)))="","",INDEX(tbl_Production[Job Description],IFERROR(MATCH(A160&amp;"",tbl_Production[Job Number],0),MATCH(IFERROR(A160+0,A160),tbl_Production[Job Number],0)))),IFERROR(IF(INDEX(tbl_Consulting[Job Description],IFERROR(MATCH(A160&amp;"",tbl_Consulting[Job Number],0),MATCH(IFERROR(A160+0,A160),tbl_Consulting[Job Number],0)))="","",INDEX(tbl_Consulting[Job Description],IFERROR(MATCH(A160&amp;"",tbl_Consulting[Job Number],0),MATCH(IFERROR(A160+0,A160),tbl_Consulting[Job Number],0)))),""))))</f>
        <v/>
      </c>
      <c r="L160" s="26">
        <f>IF(A160="","",IFERROR(IF(INDEX(tbl_Onsite[Invoice Type],IFERROR(MATCH(A160&amp;"",tbl_Onsite[Job Number],0),MATCH(IFERROR(A160+0,A160),tbl_Onsite[Job Number],0)))="","",INDEX(tbl_Onsite[Invoice Type],IFERROR(MATCH(A160&amp;"",tbl_Onsite[Job Number],0),MATCH(IFERROR(A160+0,A160),tbl_Onsite[Job Number],0)))),IFERROR(IF(INDEX(tbl_Production[Invoice Type],IFERROR(MATCH(A160&amp;"",tbl_Production[Job Number],0),MATCH(IFERROR(A160+0,A160),tbl_Production[Job Number],0)))="","",INDEX(tbl_Production[Invoice Type],IFERROR(MATCH(A160&amp;"",tbl_Production[Job Number],0),MATCH(IFERROR(A160+0,A160),tbl_Production[Job Number],0)))),IFERROR(IF(INDEX(tbl_Consulting[Invoice Type],IFERROR(MATCH(A160&amp;"",tbl_Consulting[Job Number],0),MATCH(IFERROR(A160+0,A160),tbl_Consulting[Job Number],0)))="","",INDEX(tbl_Consulting[Invoice Type],IFERROR(MATCH(A160&amp;"",tbl_Consulting[Job Number],0),MATCH(IFERROR(A160+0,A160),tbl_Consulting[Job Number],0)))),""))))</f>
        <v/>
      </c>
      <c r="M160" s="26">
        <f>IF(A160="","",IF(IFERROR(IF(INDEX(tbl_Onsite[Tax Code],IFERROR(MATCH(A160&amp;"",tbl_Onsite[Job Number],0),MATCH(IFERROR(A160+0,A160),tbl_Onsite[Job Number],0)))="","",INDEX(tbl_Onsite[Tax Code],IFERROR(MATCH(A160&amp;"",tbl_Onsite[Job Number],0),MATCH(IFERROR(A160+0,A160),tbl_Onsite[Job Number],0)))),IFERROR(IF(INDEX(tbl_Production[Tax Code],IFERROR(MATCH(A160&amp;"",tbl_Production[Job Number],0),MATCH(IFERROR(A160+0,A160),tbl_Production[Job Number],0)))="","",INDEX(tbl_Production[Tax Code],IFERROR(MATCH(A160&amp;"",tbl_Production[Job Number],0),MATCH(IFERROR(A160+0,A160),tbl_Production[Job Number],0)))),IFERROR(IF(INDEX(tbl_Consulting[Tax Code],IFERROR(MATCH(A160&amp;"",tbl_Consulting[Job Number],0),MATCH(IFERROR(A160+0,A160),tbl_Consulting[Job Number],0)))="","",INDEX(tbl_Consulting[Tax Code],IFERROR(MATCH(A160&amp;"",tbl_Consulting[Job Number],0),MATCH(IFERROR(A160+0,A160),tbl_Consulting[Job Number],0)))),"")))="","GST 10%",IFERROR(IF(INDEX(tbl_Onsite[Tax Code],IFERROR(MATCH(A160&amp;"",tbl_Onsite[Job Number],0),MATCH(IFERROR(A160+0,A160),tbl_Onsite[Job Number],0)))="","",INDEX(tbl_Onsite[Tax Code],IFERROR(MATCH(A160&amp;"",tbl_Onsite[Job Number],0),MATCH(IFERROR(A160+0,A160),tbl_Onsite[Job Number],0)))),IFERROR(IF(INDEX(tbl_Production[Tax Code],IFERROR(MATCH(A160&amp;"",tbl_Production[Job Number],0),MATCH(IFERROR(A160+0,A160),tbl_Production[Job Number],0)))="","",INDEX(tbl_Production[Tax Code],IFERROR(MATCH(A160&amp;"",tbl_Production[Job Number],0),MATCH(IFERROR(A160+0,A160),tbl_Production[Job Number],0)))),IFERROR(IF(INDEX(tbl_Consulting[Tax Code],IFERROR(MATCH(A160&amp;"",tbl_Consulting[Job Number],0),MATCH(IFERROR(A160+0,A160),tbl_Consulting[Job Number],0)))="","",INDEX(tbl_Consulting[Tax Code],IFERROR(MATCH(A160&amp;"",tbl_Consulting[Job Number],0),MATCH(IFERROR(A160+0,A160),tbl_Consulting[Job Number],0)))),"")))))</f>
        <v/>
      </c>
      <c r="N160" s="26">
        <f>IF(D160="","",IFERROR(INDEX(lst_CCtoGL,MATCH(D160,lst_CCforGL,0)),""))</f>
        <v/>
      </c>
      <c r="O160" s="27">
        <f>IF(E160="","",IF(M160="GST 10%",ROUND(E160*set_GSTRate,2),0))</f>
        <v/>
      </c>
      <c r="P160" s="27">
        <f>IF(E160="","",E160+O160)</f>
        <v/>
      </c>
      <c r="Q160" s="27">
        <f>IF(A160="","",IFERROR(INDEX(tbl_Onsite[Expected Revenue Ex GST],IFERROR(MATCH(A160&amp;"",tbl_Onsite[Job Number],0),MATCH(IFERROR(A160+0,A160),tbl_Onsite[Job Number],0))),IFERROR(INDEX(tbl_Production[Expected Revenue Ex GST],IFERROR(MATCH(A160&amp;"",tbl_Production[Job Number],0),MATCH(IFERROR(A160+0,A160),tbl_Production[Job Number],0))),IFERROR(INDEX(tbl_Consulting[Expected Revenue Ex GST],IFERROR(MATCH(A160&amp;"",tbl_Consulting[Job Number],0),MATCH(IFERROR(A160+0,A160),tbl_Consulting[Job Number],0))),0))))</f>
        <v/>
      </c>
      <c r="R160" s="27">
        <f>IF(A160="","",SUMIFS(tbl_Finance[Ex GST],tbl_Finance[Job Number],A160&amp;""))</f>
        <v/>
      </c>
      <c r="S160" s="27">
        <f>IF(A160="","",Q160-R160)</f>
        <v/>
      </c>
      <c r="T160" s="26">
        <f>IF(A160="","",IF(Q160=0,"No dept value",IF(ROUND(S160,2)=0,"Agrees",IF(S160&gt;0,"Dept higher - to invoice","Xero higher - check dept"))))</f>
        <v/>
      </c>
      <c r="U160" s="22" t="n"/>
      <c r="V160" s="22" t="n"/>
      <c r="W160" s="23" t="n"/>
      <c r="X160" s="23" t="n"/>
      <c r="Y160" s="22" t="n"/>
      <c r="Z160" s="22" t="n"/>
      <c r="AA160" s="26">
        <f>IF(COUNTA(C160,A160,B160,E160)=0,"",IF(C160="","No date - sits outside every month",IF(A160="","No job number",IF(H160="CHECK","Job number is not in the Xero job list",IF(G160="not set up yet","No department has set this job up - nothing can pull through",IF(D160="","No cost centre",IF(AND(U160="Y",B160=""),"Marked posted to Xero but has no invoice number",IF(N160="","Cost centre has no revenue GL on the Lists sheet",IF(T160="Xero higher - check dept","Invoiced more than the department says the job is worth","")))))))))</f>
        <v/>
      </c>
      <c r="AB160" s="28">
        <f>IF(A160="","",COUNTIFS(tbl_Finance[Job Number],A160&amp;"",tbl_Finance[Ex GST],"&lt;&gt;"))</f>
        <v/>
      </c>
      <c r="AC160" s="27">
        <f>IF(A160="","",SUMIFS(tbl_Finance[Ex GST],tbl_Finance[Job Number],A160&amp;""))</f>
        <v/>
      </c>
      <c r="AD160" s="27">
        <f>IF(A160="","",SUMIFS(tbl_Finance[Ex GST],tbl_Finance[Job Number],A160&amp;"",tbl_Finance[Xero Invoice No],"&lt;&gt;"))</f>
        <v/>
      </c>
      <c r="AE160" s="27">
        <f>IF(A160="","",AC160-AD160)</f>
        <v/>
      </c>
      <c r="AF160" s="26">
        <f>IF(A160="","",IFERROR(IF(INDEX(tbl_Onsite[Qwilr Quote],IFERROR(MATCH(A160&amp;"",tbl_Onsite[Job Number],0),MATCH(IFERROR(A160+0,A160),tbl_Onsite[Job Number],0)))="","",INDEX(tbl_Onsite[Qwilr Quote],IFERROR(MATCH(A160&amp;"",tbl_Onsite[Job Number],0),MATCH(IFERROR(A160+0,A160),tbl_Onsite[Job Number],0)))),IFERROR(IF(IF(INDEX(tbl_Production[Current RMS No],IFERROR(MATCH(A160&amp;"",tbl_Production[Job Number],0),MATCH(IFERROR(A160+0,A160),tbl_Production[Job Number],0)))="",INDEX(tbl_Production[Qwilr Quote],IFERROR(MATCH(A160&amp;"",tbl_Production[Job Number],0),MATCH(IFERROR(A160+0,A160),tbl_Production[Job Number],0))),INDEX(tbl_Production[Current RMS No],IFERROR(MATCH(A160&amp;"",tbl_Production[Job Number],0),MATCH(IFERROR(A160+0,A160),tbl_Production[Job Number],0))))="","",IF(INDEX(tbl_Production[Current RMS No],IFERROR(MATCH(A160&amp;"",tbl_Production[Job Number],0),MATCH(IFERROR(A160+0,A160),tbl_Production[Job Number],0)))="",INDEX(tbl_Production[Qwilr Quote],IFERROR(MATCH(A160&amp;"",tbl_Production[Job Number],0),MATCH(IFERROR(A160+0,A160),tbl_Production[Job Number],0))),INDEX(tbl_Production[Current RMS No],IFERROR(MATCH(A160&amp;"",tbl_Production[Job Number],0),MATCH(IFERROR(A160+0,A160),tbl_Production[Job Number],0))))),IFERROR(IF(INDEX(tbl_Consulting[Qwilr Quote],IFERROR(MATCH(A160&amp;"",tbl_Consulting[Job Number],0),MATCH(IFERROR(A160+0,A160),tbl_Consulting[Job Number],0)))="","",INDEX(tbl_Consulting[Qwilr Quote],IFERROR(MATCH(A160&amp;"",tbl_Consulting[Job Number],0),MATCH(IFERROR(A160+0,A160),tbl_Consulting[Job Number],0)))),""))))</f>
        <v/>
      </c>
      <c r="AG160" s="26">
        <f>IF(AF160="","",IF(AND(LEFT(AF160,4)&lt;&gt;"http",IF(G160="Production",set_RMSBase,set_QwilrBase)=""),"",HYPERLINK(IF(LEFT(AF160,4)="http",AF160,IF(G160="Production",set_RMSBase,set_QwilrBase)&amp;AF160),"Open")))</f>
        <v/>
      </c>
      <c r="AH160" s="27">
        <f>IF(A160="","",IFERROR(INDEX(tbl_Production[Total Expense],IFERROR(MATCH(A160&amp;"",tbl_Production[Job Number],0),MATCH(IFERROR(A160+0,A160),tbl_Production[Job Number],0))),IFERROR(INDEX(tbl_Consulting[Total Expense],IFERROR(MATCH(A160&amp;"",tbl_Consulting[Job Number],0),MATCH(IFERROR(A160+0,A160),tbl_Consulting[Job Number],0))),0)))</f>
        <v/>
      </c>
      <c r="AI160" s="27">
        <f>IF(A160="","",AC160-N(AH160))</f>
        <v/>
      </c>
      <c r="AJ160" s="29">
        <f>IFERROR(AI160/AC160,"")</f>
        <v/>
      </c>
      <c r="AK160" s="26">
        <f>IF(A160="","",IFERROR(IF(INDEX(tbl_Onsite[Notes],IFERROR(MATCH(A160&amp;"",tbl_Onsite[Job Number],0),MATCH(IFERROR(A160+0,A160),tbl_Onsite[Job Number],0)))="","",INDEX(tbl_Onsite[Notes],IFERROR(MATCH(A160&amp;"",tbl_Onsite[Job Number],0),MATCH(IFERROR(A160+0,A160),tbl_Onsite[Job Number],0)))),IFERROR(IF(INDEX(tbl_Production[Notes],IFERROR(MATCH(A160&amp;"",tbl_Production[Job Number],0),MATCH(IFERROR(A160+0,A160),tbl_Production[Job Number],0)))="","",INDEX(tbl_Production[Notes],IFERROR(MATCH(A160&amp;"",tbl_Production[Job Number],0),MATCH(IFERROR(A160+0,A160),tbl_Production[Job Number],0)))),IFERROR(IF(INDEX(tbl_Consulting[Notes],IFERROR(MATCH(A160&amp;"",tbl_Consulting[Job Number],0),MATCH(IFERROR(A160+0,A160),tbl_Consulting[Job Number],0)))="","",INDEX(tbl_Consulting[Notes],IFERROR(MATCH(A160&amp;"",tbl_Consulting[Job Number],0),MATCH(IFERROR(A160+0,A160),tbl_Consulting[Job Number],0)))),""))))</f>
        <v/>
      </c>
    </row>
    <row r="161" ht="15" customHeight="1">
      <c r="A161" s="22" t="n"/>
      <c r="B161" s="22" t="n"/>
      <c r="C161" s="23" t="n"/>
      <c r="D161" s="22" t="n"/>
      <c r="E161" s="24" t="n"/>
      <c r="F161" s="25">
        <f>IF(C161="","",EOMONTH(C161,0))</f>
        <v/>
      </c>
      <c r="G161" s="26">
        <f>IF(A161="","",IF(COUNTIF(tbl_Onsite[Job Number],A161&amp;"")&gt;0,"Onsite",IF(COUNTIF(tbl_Production[Job Number],A161&amp;"")&gt;0,"Production",IF(COUNTIF(tbl_Consulting[Job Number],A161&amp;"")&gt;0,"Consulting","not set up yet"))))</f>
        <v/>
      </c>
      <c r="H161" s="26">
        <f>IF(A161="","",IF(COUNTIF(lst_Jobs,A161&amp;"")&gt;0,"OK","CHECK"))</f>
        <v/>
      </c>
      <c r="I161" s="26">
        <f>IF(A161="","",IFERROR(INDEX(lst_JobName,MATCH(A161&amp;"",lst_Jobs,0)),""))</f>
        <v/>
      </c>
      <c r="J161" s="26">
        <f>IF(A161="","",IFERROR(IF(INDEX(tbl_Onsite[Client],IFERROR(MATCH(A161&amp;"",tbl_Onsite[Job Number],0),MATCH(IFERROR(A161+0,A161),tbl_Onsite[Job Number],0)))="","",INDEX(tbl_Onsite[Client],IFERROR(MATCH(A161&amp;"",tbl_Onsite[Job Number],0),MATCH(IFERROR(A161+0,A161),tbl_Onsite[Job Number],0)))),IFERROR(IF(INDEX(tbl_Production[Client],IFERROR(MATCH(A161&amp;"",tbl_Production[Job Number],0),MATCH(IFERROR(A161+0,A161),tbl_Production[Job Number],0)))="","",INDEX(tbl_Production[Client],IFERROR(MATCH(A161&amp;"",tbl_Production[Job Number],0),MATCH(IFERROR(A161+0,A161),tbl_Production[Job Number],0)))),IFERROR(IF(INDEX(tbl_Consulting[Client],IFERROR(MATCH(A161&amp;"",tbl_Consulting[Job Number],0),MATCH(IFERROR(A161+0,A161),tbl_Consulting[Job Number],0)))="","",INDEX(tbl_Consulting[Client],IFERROR(MATCH(A161&amp;"",tbl_Consulting[Job Number],0),MATCH(IFERROR(A161+0,A161),tbl_Consulting[Job Number],0)))),""))))</f>
        <v/>
      </c>
      <c r="K161" s="26">
        <f>IF(A161="","",IFERROR(IF(INDEX(tbl_Onsite[Job Description],IFERROR(MATCH(A161&amp;"",tbl_Onsite[Job Number],0),MATCH(IFERROR(A161+0,A161),tbl_Onsite[Job Number],0)))="","",INDEX(tbl_Onsite[Job Description],IFERROR(MATCH(A161&amp;"",tbl_Onsite[Job Number],0),MATCH(IFERROR(A161+0,A161),tbl_Onsite[Job Number],0)))),IFERROR(IF(INDEX(tbl_Production[Job Description],IFERROR(MATCH(A161&amp;"",tbl_Production[Job Number],0),MATCH(IFERROR(A161+0,A161),tbl_Production[Job Number],0)))="","",INDEX(tbl_Production[Job Description],IFERROR(MATCH(A161&amp;"",tbl_Production[Job Number],0),MATCH(IFERROR(A161+0,A161),tbl_Production[Job Number],0)))),IFERROR(IF(INDEX(tbl_Consulting[Job Description],IFERROR(MATCH(A161&amp;"",tbl_Consulting[Job Number],0),MATCH(IFERROR(A161+0,A161),tbl_Consulting[Job Number],0)))="","",INDEX(tbl_Consulting[Job Description],IFERROR(MATCH(A161&amp;"",tbl_Consulting[Job Number],0),MATCH(IFERROR(A161+0,A161),tbl_Consulting[Job Number],0)))),""))))</f>
        <v/>
      </c>
      <c r="L161" s="26">
        <f>IF(A161="","",IFERROR(IF(INDEX(tbl_Onsite[Invoice Type],IFERROR(MATCH(A161&amp;"",tbl_Onsite[Job Number],0),MATCH(IFERROR(A161+0,A161),tbl_Onsite[Job Number],0)))="","",INDEX(tbl_Onsite[Invoice Type],IFERROR(MATCH(A161&amp;"",tbl_Onsite[Job Number],0),MATCH(IFERROR(A161+0,A161),tbl_Onsite[Job Number],0)))),IFERROR(IF(INDEX(tbl_Production[Invoice Type],IFERROR(MATCH(A161&amp;"",tbl_Production[Job Number],0),MATCH(IFERROR(A161+0,A161),tbl_Production[Job Number],0)))="","",INDEX(tbl_Production[Invoice Type],IFERROR(MATCH(A161&amp;"",tbl_Production[Job Number],0),MATCH(IFERROR(A161+0,A161),tbl_Production[Job Number],0)))),IFERROR(IF(INDEX(tbl_Consulting[Invoice Type],IFERROR(MATCH(A161&amp;"",tbl_Consulting[Job Number],0),MATCH(IFERROR(A161+0,A161),tbl_Consulting[Job Number],0)))="","",INDEX(tbl_Consulting[Invoice Type],IFERROR(MATCH(A161&amp;"",tbl_Consulting[Job Number],0),MATCH(IFERROR(A161+0,A161),tbl_Consulting[Job Number],0)))),""))))</f>
        <v/>
      </c>
      <c r="M161" s="26">
        <f>IF(A161="","",IF(IFERROR(IF(INDEX(tbl_Onsite[Tax Code],IFERROR(MATCH(A161&amp;"",tbl_Onsite[Job Number],0),MATCH(IFERROR(A161+0,A161),tbl_Onsite[Job Number],0)))="","",INDEX(tbl_Onsite[Tax Code],IFERROR(MATCH(A161&amp;"",tbl_Onsite[Job Number],0),MATCH(IFERROR(A161+0,A161),tbl_Onsite[Job Number],0)))),IFERROR(IF(INDEX(tbl_Production[Tax Code],IFERROR(MATCH(A161&amp;"",tbl_Production[Job Number],0),MATCH(IFERROR(A161+0,A161),tbl_Production[Job Number],0)))="","",INDEX(tbl_Production[Tax Code],IFERROR(MATCH(A161&amp;"",tbl_Production[Job Number],0),MATCH(IFERROR(A161+0,A161),tbl_Production[Job Number],0)))),IFERROR(IF(INDEX(tbl_Consulting[Tax Code],IFERROR(MATCH(A161&amp;"",tbl_Consulting[Job Number],0),MATCH(IFERROR(A161+0,A161),tbl_Consulting[Job Number],0)))="","",INDEX(tbl_Consulting[Tax Code],IFERROR(MATCH(A161&amp;"",tbl_Consulting[Job Number],0),MATCH(IFERROR(A161+0,A161),tbl_Consulting[Job Number],0)))),"")))="","GST 10%",IFERROR(IF(INDEX(tbl_Onsite[Tax Code],IFERROR(MATCH(A161&amp;"",tbl_Onsite[Job Number],0),MATCH(IFERROR(A161+0,A161),tbl_Onsite[Job Number],0)))="","",INDEX(tbl_Onsite[Tax Code],IFERROR(MATCH(A161&amp;"",tbl_Onsite[Job Number],0),MATCH(IFERROR(A161+0,A161),tbl_Onsite[Job Number],0)))),IFERROR(IF(INDEX(tbl_Production[Tax Code],IFERROR(MATCH(A161&amp;"",tbl_Production[Job Number],0),MATCH(IFERROR(A161+0,A161),tbl_Production[Job Number],0)))="","",INDEX(tbl_Production[Tax Code],IFERROR(MATCH(A161&amp;"",tbl_Production[Job Number],0),MATCH(IFERROR(A161+0,A161),tbl_Production[Job Number],0)))),IFERROR(IF(INDEX(tbl_Consulting[Tax Code],IFERROR(MATCH(A161&amp;"",tbl_Consulting[Job Number],0),MATCH(IFERROR(A161+0,A161),tbl_Consulting[Job Number],0)))="","",INDEX(tbl_Consulting[Tax Code],IFERROR(MATCH(A161&amp;"",tbl_Consulting[Job Number],0),MATCH(IFERROR(A161+0,A161),tbl_Consulting[Job Number],0)))),"")))))</f>
        <v/>
      </c>
      <c r="N161" s="26">
        <f>IF(D161="","",IFERROR(INDEX(lst_CCtoGL,MATCH(D161,lst_CCforGL,0)),""))</f>
        <v/>
      </c>
      <c r="O161" s="27">
        <f>IF(E161="","",IF(M161="GST 10%",ROUND(E161*set_GSTRate,2),0))</f>
        <v/>
      </c>
      <c r="P161" s="27">
        <f>IF(E161="","",E161+O161)</f>
        <v/>
      </c>
      <c r="Q161" s="27">
        <f>IF(A161="","",IFERROR(INDEX(tbl_Onsite[Expected Revenue Ex GST],IFERROR(MATCH(A161&amp;"",tbl_Onsite[Job Number],0),MATCH(IFERROR(A161+0,A161),tbl_Onsite[Job Number],0))),IFERROR(INDEX(tbl_Production[Expected Revenue Ex GST],IFERROR(MATCH(A161&amp;"",tbl_Production[Job Number],0),MATCH(IFERROR(A161+0,A161),tbl_Production[Job Number],0))),IFERROR(INDEX(tbl_Consulting[Expected Revenue Ex GST],IFERROR(MATCH(A161&amp;"",tbl_Consulting[Job Number],0),MATCH(IFERROR(A161+0,A161),tbl_Consulting[Job Number],0))),0))))</f>
        <v/>
      </c>
      <c r="R161" s="27">
        <f>IF(A161="","",SUMIFS(tbl_Finance[Ex GST],tbl_Finance[Job Number],A161&amp;""))</f>
        <v/>
      </c>
      <c r="S161" s="27">
        <f>IF(A161="","",Q161-R161)</f>
        <v/>
      </c>
      <c r="T161" s="26">
        <f>IF(A161="","",IF(Q161=0,"No dept value",IF(ROUND(S161,2)=0,"Agrees",IF(S161&gt;0,"Dept higher - to invoice","Xero higher - check dept"))))</f>
        <v/>
      </c>
      <c r="U161" s="22" t="n"/>
      <c r="V161" s="22" t="n"/>
      <c r="W161" s="23" t="n"/>
      <c r="X161" s="23" t="n"/>
      <c r="Y161" s="22" t="n"/>
      <c r="Z161" s="22" t="n"/>
      <c r="AA161" s="26">
        <f>IF(COUNTA(C161,A161,B161,E161)=0,"",IF(C161="","No date - sits outside every month",IF(A161="","No job number",IF(H161="CHECK","Job number is not in the Xero job list",IF(G161="not set up yet","No department has set this job up - nothing can pull through",IF(D161="","No cost centre",IF(AND(U161="Y",B161=""),"Marked posted to Xero but has no invoice number",IF(N161="","Cost centre has no revenue GL on the Lists sheet",IF(T161="Xero higher - check dept","Invoiced more than the department says the job is worth","")))))))))</f>
        <v/>
      </c>
      <c r="AB161" s="28">
        <f>IF(A161="","",COUNTIFS(tbl_Finance[Job Number],A161&amp;"",tbl_Finance[Ex GST],"&lt;&gt;"))</f>
        <v/>
      </c>
      <c r="AC161" s="27">
        <f>IF(A161="","",SUMIFS(tbl_Finance[Ex GST],tbl_Finance[Job Number],A161&amp;""))</f>
        <v/>
      </c>
      <c r="AD161" s="27">
        <f>IF(A161="","",SUMIFS(tbl_Finance[Ex GST],tbl_Finance[Job Number],A161&amp;"",tbl_Finance[Xero Invoice No],"&lt;&gt;"))</f>
        <v/>
      </c>
      <c r="AE161" s="27">
        <f>IF(A161="","",AC161-AD161)</f>
        <v/>
      </c>
      <c r="AF161" s="26">
        <f>IF(A161="","",IFERROR(IF(INDEX(tbl_Onsite[Qwilr Quote],IFERROR(MATCH(A161&amp;"",tbl_Onsite[Job Number],0),MATCH(IFERROR(A161+0,A161),tbl_Onsite[Job Number],0)))="","",INDEX(tbl_Onsite[Qwilr Quote],IFERROR(MATCH(A161&amp;"",tbl_Onsite[Job Number],0),MATCH(IFERROR(A161+0,A161),tbl_Onsite[Job Number],0)))),IFERROR(IF(IF(INDEX(tbl_Production[Current RMS No],IFERROR(MATCH(A161&amp;"",tbl_Production[Job Number],0),MATCH(IFERROR(A161+0,A161),tbl_Production[Job Number],0)))="",INDEX(tbl_Production[Qwilr Quote],IFERROR(MATCH(A161&amp;"",tbl_Production[Job Number],0),MATCH(IFERROR(A161+0,A161),tbl_Production[Job Number],0))),INDEX(tbl_Production[Current RMS No],IFERROR(MATCH(A161&amp;"",tbl_Production[Job Number],0),MATCH(IFERROR(A161+0,A161),tbl_Production[Job Number],0))))="","",IF(INDEX(tbl_Production[Current RMS No],IFERROR(MATCH(A161&amp;"",tbl_Production[Job Number],0),MATCH(IFERROR(A161+0,A161),tbl_Production[Job Number],0)))="",INDEX(tbl_Production[Qwilr Quote],IFERROR(MATCH(A161&amp;"",tbl_Production[Job Number],0),MATCH(IFERROR(A161+0,A161),tbl_Production[Job Number],0))),INDEX(tbl_Production[Current RMS No],IFERROR(MATCH(A161&amp;"",tbl_Production[Job Number],0),MATCH(IFERROR(A161+0,A161),tbl_Production[Job Number],0))))),IFERROR(IF(INDEX(tbl_Consulting[Qwilr Quote],IFERROR(MATCH(A161&amp;"",tbl_Consulting[Job Number],0),MATCH(IFERROR(A161+0,A161),tbl_Consulting[Job Number],0)))="","",INDEX(tbl_Consulting[Qwilr Quote],IFERROR(MATCH(A161&amp;"",tbl_Consulting[Job Number],0),MATCH(IFERROR(A161+0,A161),tbl_Consulting[Job Number],0)))),""))))</f>
        <v/>
      </c>
      <c r="AG161" s="26">
        <f>IF(AF161="","",IF(AND(LEFT(AF161,4)&lt;&gt;"http",IF(G161="Production",set_RMSBase,set_QwilrBase)=""),"",HYPERLINK(IF(LEFT(AF161,4)="http",AF161,IF(G161="Production",set_RMSBase,set_QwilrBase)&amp;AF161),"Open")))</f>
        <v/>
      </c>
      <c r="AH161" s="27">
        <f>IF(A161="","",IFERROR(INDEX(tbl_Production[Total Expense],IFERROR(MATCH(A161&amp;"",tbl_Production[Job Number],0),MATCH(IFERROR(A161+0,A161),tbl_Production[Job Number],0))),IFERROR(INDEX(tbl_Consulting[Total Expense],IFERROR(MATCH(A161&amp;"",tbl_Consulting[Job Number],0),MATCH(IFERROR(A161+0,A161),tbl_Consulting[Job Number],0))),0)))</f>
        <v/>
      </c>
      <c r="AI161" s="27">
        <f>IF(A161="","",AC161-N(AH161))</f>
        <v/>
      </c>
      <c r="AJ161" s="29">
        <f>IFERROR(AI161/AC161,"")</f>
        <v/>
      </c>
      <c r="AK161" s="26">
        <f>IF(A161="","",IFERROR(IF(INDEX(tbl_Onsite[Notes],IFERROR(MATCH(A161&amp;"",tbl_Onsite[Job Number],0),MATCH(IFERROR(A161+0,A161),tbl_Onsite[Job Number],0)))="","",INDEX(tbl_Onsite[Notes],IFERROR(MATCH(A161&amp;"",tbl_Onsite[Job Number],0),MATCH(IFERROR(A161+0,A161),tbl_Onsite[Job Number],0)))),IFERROR(IF(INDEX(tbl_Production[Notes],IFERROR(MATCH(A161&amp;"",tbl_Production[Job Number],0),MATCH(IFERROR(A161+0,A161),tbl_Production[Job Number],0)))="","",INDEX(tbl_Production[Notes],IFERROR(MATCH(A161&amp;"",tbl_Production[Job Number],0),MATCH(IFERROR(A161+0,A161),tbl_Production[Job Number],0)))),IFERROR(IF(INDEX(tbl_Consulting[Notes],IFERROR(MATCH(A161&amp;"",tbl_Consulting[Job Number],0),MATCH(IFERROR(A161+0,A161),tbl_Consulting[Job Number],0)))="","",INDEX(tbl_Consulting[Notes],IFERROR(MATCH(A161&amp;"",tbl_Consulting[Job Number],0),MATCH(IFERROR(A161+0,A161),tbl_Consulting[Job Number],0)))),""))))</f>
        <v/>
      </c>
    </row>
    <row r="162" ht="15" customHeight="1">
      <c r="A162" s="22" t="n"/>
      <c r="B162" s="22" t="n"/>
      <c r="C162" s="23" t="n"/>
      <c r="D162" s="22" t="n"/>
      <c r="E162" s="24" t="n"/>
      <c r="F162" s="25">
        <f>IF(C162="","",EOMONTH(C162,0))</f>
        <v/>
      </c>
      <c r="G162" s="26">
        <f>IF(A162="","",IF(COUNTIF(tbl_Onsite[Job Number],A162&amp;"")&gt;0,"Onsite",IF(COUNTIF(tbl_Production[Job Number],A162&amp;"")&gt;0,"Production",IF(COUNTIF(tbl_Consulting[Job Number],A162&amp;"")&gt;0,"Consulting","not set up yet"))))</f>
        <v/>
      </c>
      <c r="H162" s="26">
        <f>IF(A162="","",IF(COUNTIF(lst_Jobs,A162&amp;"")&gt;0,"OK","CHECK"))</f>
        <v/>
      </c>
      <c r="I162" s="26">
        <f>IF(A162="","",IFERROR(INDEX(lst_JobName,MATCH(A162&amp;"",lst_Jobs,0)),""))</f>
        <v/>
      </c>
      <c r="J162" s="26">
        <f>IF(A162="","",IFERROR(IF(INDEX(tbl_Onsite[Client],IFERROR(MATCH(A162&amp;"",tbl_Onsite[Job Number],0),MATCH(IFERROR(A162+0,A162),tbl_Onsite[Job Number],0)))="","",INDEX(tbl_Onsite[Client],IFERROR(MATCH(A162&amp;"",tbl_Onsite[Job Number],0),MATCH(IFERROR(A162+0,A162),tbl_Onsite[Job Number],0)))),IFERROR(IF(INDEX(tbl_Production[Client],IFERROR(MATCH(A162&amp;"",tbl_Production[Job Number],0),MATCH(IFERROR(A162+0,A162),tbl_Production[Job Number],0)))="","",INDEX(tbl_Production[Client],IFERROR(MATCH(A162&amp;"",tbl_Production[Job Number],0),MATCH(IFERROR(A162+0,A162),tbl_Production[Job Number],0)))),IFERROR(IF(INDEX(tbl_Consulting[Client],IFERROR(MATCH(A162&amp;"",tbl_Consulting[Job Number],0),MATCH(IFERROR(A162+0,A162),tbl_Consulting[Job Number],0)))="","",INDEX(tbl_Consulting[Client],IFERROR(MATCH(A162&amp;"",tbl_Consulting[Job Number],0),MATCH(IFERROR(A162+0,A162),tbl_Consulting[Job Number],0)))),""))))</f>
        <v/>
      </c>
      <c r="K162" s="26">
        <f>IF(A162="","",IFERROR(IF(INDEX(tbl_Onsite[Job Description],IFERROR(MATCH(A162&amp;"",tbl_Onsite[Job Number],0),MATCH(IFERROR(A162+0,A162),tbl_Onsite[Job Number],0)))="","",INDEX(tbl_Onsite[Job Description],IFERROR(MATCH(A162&amp;"",tbl_Onsite[Job Number],0),MATCH(IFERROR(A162+0,A162),tbl_Onsite[Job Number],0)))),IFERROR(IF(INDEX(tbl_Production[Job Description],IFERROR(MATCH(A162&amp;"",tbl_Production[Job Number],0),MATCH(IFERROR(A162+0,A162),tbl_Production[Job Number],0)))="","",INDEX(tbl_Production[Job Description],IFERROR(MATCH(A162&amp;"",tbl_Production[Job Number],0),MATCH(IFERROR(A162+0,A162),tbl_Production[Job Number],0)))),IFERROR(IF(INDEX(tbl_Consulting[Job Description],IFERROR(MATCH(A162&amp;"",tbl_Consulting[Job Number],0),MATCH(IFERROR(A162+0,A162),tbl_Consulting[Job Number],0)))="","",INDEX(tbl_Consulting[Job Description],IFERROR(MATCH(A162&amp;"",tbl_Consulting[Job Number],0),MATCH(IFERROR(A162+0,A162),tbl_Consulting[Job Number],0)))),""))))</f>
        <v/>
      </c>
      <c r="L162" s="26">
        <f>IF(A162="","",IFERROR(IF(INDEX(tbl_Onsite[Invoice Type],IFERROR(MATCH(A162&amp;"",tbl_Onsite[Job Number],0),MATCH(IFERROR(A162+0,A162),tbl_Onsite[Job Number],0)))="","",INDEX(tbl_Onsite[Invoice Type],IFERROR(MATCH(A162&amp;"",tbl_Onsite[Job Number],0),MATCH(IFERROR(A162+0,A162),tbl_Onsite[Job Number],0)))),IFERROR(IF(INDEX(tbl_Production[Invoice Type],IFERROR(MATCH(A162&amp;"",tbl_Production[Job Number],0),MATCH(IFERROR(A162+0,A162),tbl_Production[Job Number],0)))="","",INDEX(tbl_Production[Invoice Type],IFERROR(MATCH(A162&amp;"",tbl_Production[Job Number],0),MATCH(IFERROR(A162+0,A162),tbl_Production[Job Number],0)))),IFERROR(IF(INDEX(tbl_Consulting[Invoice Type],IFERROR(MATCH(A162&amp;"",tbl_Consulting[Job Number],0),MATCH(IFERROR(A162+0,A162),tbl_Consulting[Job Number],0)))="","",INDEX(tbl_Consulting[Invoice Type],IFERROR(MATCH(A162&amp;"",tbl_Consulting[Job Number],0),MATCH(IFERROR(A162+0,A162),tbl_Consulting[Job Number],0)))),""))))</f>
        <v/>
      </c>
      <c r="M162" s="26">
        <f>IF(A162="","",IF(IFERROR(IF(INDEX(tbl_Onsite[Tax Code],IFERROR(MATCH(A162&amp;"",tbl_Onsite[Job Number],0),MATCH(IFERROR(A162+0,A162),tbl_Onsite[Job Number],0)))="","",INDEX(tbl_Onsite[Tax Code],IFERROR(MATCH(A162&amp;"",tbl_Onsite[Job Number],0),MATCH(IFERROR(A162+0,A162),tbl_Onsite[Job Number],0)))),IFERROR(IF(INDEX(tbl_Production[Tax Code],IFERROR(MATCH(A162&amp;"",tbl_Production[Job Number],0),MATCH(IFERROR(A162+0,A162),tbl_Production[Job Number],0)))="","",INDEX(tbl_Production[Tax Code],IFERROR(MATCH(A162&amp;"",tbl_Production[Job Number],0),MATCH(IFERROR(A162+0,A162),tbl_Production[Job Number],0)))),IFERROR(IF(INDEX(tbl_Consulting[Tax Code],IFERROR(MATCH(A162&amp;"",tbl_Consulting[Job Number],0),MATCH(IFERROR(A162+0,A162),tbl_Consulting[Job Number],0)))="","",INDEX(tbl_Consulting[Tax Code],IFERROR(MATCH(A162&amp;"",tbl_Consulting[Job Number],0),MATCH(IFERROR(A162+0,A162),tbl_Consulting[Job Number],0)))),"")))="","GST 10%",IFERROR(IF(INDEX(tbl_Onsite[Tax Code],IFERROR(MATCH(A162&amp;"",tbl_Onsite[Job Number],0),MATCH(IFERROR(A162+0,A162),tbl_Onsite[Job Number],0)))="","",INDEX(tbl_Onsite[Tax Code],IFERROR(MATCH(A162&amp;"",tbl_Onsite[Job Number],0),MATCH(IFERROR(A162+0,A162),tbl_Onsite[Job Number],0)))),IFERROR(IF(INDEX(tbl_Production[Tax Code],IFERROR(MATCH(A162&amp;"",tbl_Production[Job Number],0),MATCH(IFERROR(A162+0,A162),tbl_Production[Job Number],0)))="","",INDEX(tbl_Production[Tax Code],IFERROR(MATCH(A162&amp;"",tbl_Production[Job Number],0),MATCH(IFERROR(A162+0,A162),tbl_Production[Job Number],0)))),IFERROR(IF(INDEX(tbl_Consulting[Tax Code],IFERROR(MATCH(A162&amp;"",tbl_Consulting[Job Number],0),MATCH(IFERROR(A162+0,A162),tbl_Consulting[Job Number],0)))="","",INDEX(tbl_Consulting[Tax Code],IFERROR(MATCH(A162&amp;"",tbl_Consulting[Job Number],0),MATCH(IFERROR(A162+0,A162),tbl_Consulting[Job Number],0)))),"")))))</f>
        <v/>
      </c>
      <c r="N162" s="26">
        <f>IF(D162="","",IFERROR(INDEX(lst_CCtoGL,MATCH(D162,lst_CCforGL,0)),""))</f>
        <v/>
      </c>
      <c r="O162" s="27">
        <f>IF(E162="","",IF(M162="GST 10%",ROUND(E162*set_GSTRate,2),0))</f>
        <v/>
      </c>
      <c r="P162" s="27">
        <f>IF(E162="","",E162+O162)</f>
        <v/>
      </c>
      <c r="Q162" s="27">
        <f>IF(A162="","",IFERROR(INDEX(tbl_Onsite[Expected Revenue Ex GST],IFERROR(MATCH(A162&amp;"",tbl_Onsite[Job Number],0),MATCH(IFERROR(A162+0,A162),tbl_Onsite[Job Number],0))),IFERROR(INDEX(tbl_Production[Expected Revenue Ex GST],IFERROR(MATCH(A162&amp;"",tbl_Production[Job Number],0),MATCH(IFERROR(A162+0,A162),tbl_Production[Job Number],0))),IFERROR(INDEX(tbl_Consulting[Expected Revenue Ex GST],IFERROR(MATCH(A162&amp;"",tbl_Consulting[Job Number],0),MATCH(IFERROR(A162+0,A162),tbl_Consulting[Job Number],0))),0))))</f>
        <v/>
      </c>
      <c r="R162" s="27">
        <f>IF(A162="","",SUMIFS(tbl_Finance[Ex GST],tbl_Finance[Job Number],A162&amp;""))</f>
        <v/>
      </c>
      <c r="S162" s="27">
        <f>IF(A162="","",Q162-R162)</f>
        <v/>
      </c>
      <c r="T162" s="26">
        <f>IF(A162="","",IF(Q162=0,"No dept value",IF(ROUND(S162,2)=0,"Agrees",IF(S162&gt;0,"Dept higher - to invoice","Xero higher - check dept"))))</f>
        <v/>
      </c>
      <c r="U162" s="22" t="n"/>
      <c r="V162" s="22" t="n"/>
      <c r="W162" s="23" t="n"/>
      <c r="X162" s="23" t="n"/>
      <c r="Y162" s="22" t="n"/>
      <c r="Z162" s="22" t="n"/>
      <c r="AA162" s="26">
        <f>IF(COUNTA(C162,A162,B162,E162)=0,"",IF(C162="","No date - sits outside every month",IF(A162="","No job number",IF(H162="CHECK","Job number is not in the Xero job list",IF(G162="not set up yet","No department has set this job up - nothing can pull through",IF(D162="","No cost centre",IF(AND(U162="Y",B162=""),"Marked posted to Xero but has no invoice number",IF(N162="","Cost centre has no revenue GL on the Lists sheet",IF(T162="Xero higher - check dept","Invoiced more than the department says the job is worth","")))))))))</f>
        <v/>
      </c>
      <c r="AB162" s="28">
        <f>IF(A162="","",COUNTIFS(tbl_Finance[Job Number],A162&amp;"",tbl_Finance[Ex GST],"&lt;&gt;"))</f>
        <v/>
      </c>
      <c r="AC162" s="27">
        <f>IF(A162="","",SUMIFS(tbl_Finance[Ex GST],tbl_Finance[Job Number],A162&amp;""))</f>
        <v/>
      </c>
      <c r="AD162" s="27">
        <f>IF(A162="","",SUMIFS(tbl_Finance[Ex GST],tbl_Finance[Job Number],A162&amp;"",tbl_Finance[Xero Invoice No],"&lt;&gt;"))</f>
        <v/>
      </c>
      <c r="AE162" s="27">
        <f>IF(A162="","",AC162-AD162)</f>
        <v/>
      </c>
      <c r="AF162" s="26">
        <f>IF(A162="","",IFERROR(IF(INDEX(tbl_Onsite[Qwilr Quote],IFERROR(MATCH(A162&amp;"",tbl_Onsite[Job Number],0),MATCH(IFERROR(A162+0,A162),tbl_Onsite[Job Number],0)))="","",INDEX(tbl_Onsite[Qwilr Quote],IFERROR(MATCH(A162&amp;"",tbl_Onsite[Job Number],0),MATCH(IFERROR(A162+0,A162),tbl_Onsite[Job Number],0)))),IFERROR(IF(IF(INDEX(tbl_Production[Current RMS No],IFERROR(MATCH(A162&amp;"",tbl_Production[Job Number],0),MATCH(IFERROR(A162+0,A162),tbl_Production[Job Number],0)))="",INDEX(tbl_Production[Qwilr Quote],IFERROR(MATCH(A162&amp;"",tbl_Production[Job Number],0),MATCH(IFERROR(A162+0,A162),tbl_Production[Job Number],0))),INDEX(tbl_Production[Current RMS No],IFERROR(MATCH(A162&amp;"",tbl_Production[Job Number],0),MATCH(IFERROR(A162+0,A162),tbl_Production[Job Number],0))))="","",IF(INDEX(tbl_Production[Current RMS No],IFERROR(MATCH(A162&amp;"",tbl_Production[Job Number],0),MATCH(IFERROR(A162+0,A162),tbl_Production[Job Number],0)))="",INDEX(tbl_Production[Qwilr Quote],IFERROR(MATCH(A162&amp;"",tbl_Production[Job Number],0),MATCH(IFERROR(A162+0,A162),tbl_Production[Job Number],0))),INDEX(tbl_Production[Current RMS No],IFERROR(MATCH(A162&amp;"",tbl_Production[Job Number],0),MATCH(IFERROR(A162+0,A162),tbl_Production[Job Number],0))))),IFERROR(IF(INDEX(tbl_Consulting[Qwilr Quote],IFERROR(MATCH(A162&amp;"",tbl_Consulting[Job Number],0),MATCH(IFERROR(A162+0,A162),tbl_Consulting[Job Number],0)))="","",INDEX(tbl_Consulting[Qwilr Quote],IFERROR(MATCH(A162&amp;"",tbl_Consulting[Job Number],0),MATCH(IFERROR(A162+0,A162),tbl_Consulting[Job Number],0)))),""))))</f>
        <v/>
      </c>
      <c r="AG162" s="26">
        <f>IF(AF162="","",IF(AND(LEFT(AF162,4)&lt;&gt;"http",IF(G162="Production",set_RMSBase,set_QwilrBase)=""),"",HYPERLINK(IF(LEFT(AF162,4)="http",AF162,IF(G162="Production",set_RMSBase,set_QwilrBase)&amp;AF162),"Open")))</f>
        <v/>
      </c>
      <c r="AH162" s="27">
        <f>IF(A162="","",IFERROR(INDEX(tbl_Production[Total Expense],IFERROR(MATCH(A162&amp;"",tbl_Production[Job Number],0),MATCH(IFERROR(A162+0,A162),tbl_Production[Job Number],0))),IFERROR(INDEX(tbl_Consulting[Total Expense],IFERROR(MATCH(A162&amp;"",tbl_Consulting[Job Number],0),MATCH(IFERROR(A162+0,A162),tbl_Consulting[Job Number],0))),0)))</f>
        <v/>
      </c>
      <c r="AI162" s="27">
        <f>IF(A162="","",AC162-N(AH162))</f>
        <v/>
      </c>
      <c r="AJ162" s="29">
        <f>IFERROR(AI162/AC162,"")</f>
        <v/>
      </c>
      <c r="AK162" s="26">
        <f>IF(A162="","",IFERROR(IF(INDEX(tbl_Onsite[Notes],IFERROR(MATCH(A162&amp;"",tbl_Onsite[Job Number],0),MATCH(IFERROR(A162+0,A162),tbl_Onsite[Job Number],0)))="","",INDEX(tbl_Onsite[Notes],IFERROR(MATCH(A162&amp;"",tbl_Onsite[Job Number],0),MATCH(IFERROR(A162+0,A162),tbl_Onsite[Job Number],0)))),IFERROR(IF(INDEX(tbl_Production[Notes],IFERROR(MATCH(A162&amp;"",tbl_Production[Job Number],0),MATCH(IFERROR(A162+0,A162),tbl_Production[Job Number],0)))="","",INDEX(tbl_Production[Notes],IFERROR(MATCH(A162&amp;"",tbl_Production[Job Number],0),MATCH(IFERROR(A162+0,A162),tbl_Production[Job Number],0)))),IFERROR(IF(INDEX(tbl_Consulting[Notes],IFERROR(MATCH(A162&amp;"",tbl_Consulting[Job Number],0),MATCH(IFERROR(A162+0,A162),tbl_Consulting[Job Number],0)))="","",INDEX(tbl_Consulting[Notes],IFERROR(MATCH(A162&amp;"",tbl_Consulting[Job Number],0),MATCH(IFERROR(A162+0,A162),tbl_Consulting[Job Number],0)))),""))))</f>
        <v/>
      </c>
    </row>
    <row r="163" ht="15" customHeight="1">
      <c r="A163" s="22" t="n"/>
      <c r="B163" s="22" t="n"/>
      <c r="C163" s="23" t="n"/>
      <c r="D163" s="22" t="n"/>
      <c r="E163" s="24" t="n"/>
      <c r="F163" s="25">
        <f>IF(C163="","",EOMONTH(C163,0))</f>
        <v/>
      </c>
      <c r="G163" s="26">
        <f>IF(A163="","",IF(COUNTIF(tbl_Onsite[Job Number],A163&amp;"")&gt;0,"Onsite",IF(COUNTIF(tbl_Production[Job Number],A163&amp;"")&gt;0,"Production",IF(COUNTIF(tbl_Consulting[Job Number],A163&amp;"")&gt;0,"Consulting","not set up yet"))))</f>
        <v/>
      </c>
      <c r="H163" s="26">
        <f>IF(A163="","",IF(COUNTIF(lst_Jobs,A163&amp;"")&gt;0,"OK","CHECK"))</f>
        <v/>
      </c>
      <c r="I163" s="26">
        <f>IF(A163="","",IFERROR(INDEX(lst_JobName,MATCH(A163&amp;"",lst_Jobs,0)),""))</f>
        <v/>
      </c>
      <c r="J163" s="26">
        <f>IF(A163="","",IFERROR(IF(INDEX(tbl_Onsite[Client],IFERROR(MATCH(A163&amp;"",tbl_Onsite[Job Number],0),MATCH(IFERROR(A163+0,A163),tbl_Onsite[Job Number],0)))="","",INDEX(tbl_Onsite[Client],IFERROR(MATCH(A163&amp;"",tbl_Onsite[Job Number],0),MATCH(IFERROR(A163+0,A163),tbl_Onsite[Job Number],0)))),IFERROR(IF(INDEX(tbl_Production[Client],IFERROR(MATCH(A163&amp;"",tbl_Production[Job Number],0),MATCH(IFERROR(A163+0,A163),tbl_Production[Job Number],0)))="","",INDEX(tbl_Production[Client],IFERROR(MATCH(A163&amp;"",tbl_Production[Job Number],0),MATCH(IFERROR(A163+0,A163),tbl_Production[Job Number],0)))),IFERROR(IF(INDEX(tbl_Consulting[Client],IFERROR(MATCH(A163&amp;"",tbl_Consulting[Job Number],0),MATCH(IFERROR(A163+0,A163),tbl_Consulting[Job Number],0)))="","",INDEX(tbl_Consulting[Client],IFERROR(MATCH(A163&amp;"",tbl_Consulting[Job Number],0),MATCH(IFERROR(A163+0,A163),tbl_Consulting[Job Number],0)))),""))))</f>
        <v/>
      </c>
      <c r="K163" s="26">
        <f>IF(A163="","",IFERROR(IF(INDEX(tbl_Onsite[Job Description],IFERROR(MATCH(A163&amp;"",tbl_Onsite[Job Number],0),MATCH(IFERROR(A163+0,A163),tbl_Onsite[Job Number],0)))="","",INDEX(tbl_Onsite[Job Description],IFERROR(MATCH(A163&amp;"",tbl_Onsite[Job Number],0),MATCH(IFERROR(A163+0,A163),tbl_Onsite[Job Number],0)))),IFERROR(IF(INDEX(tbl_Production[Job Description],IFERROR(MATCH(A163&amp;"",tbl_Production[Job Number],0),MATCH(IFERROR(A163+0,A163),tbl_Production[Job Number],0)))="","",INDEX(tbl_Production[Job Description],IFERROR(MATCH(A163&amp;"",tbl_Production[Job Number],0),MATCH(IFERROR(A163+0,A163),tbl_Production[Job Number],0)))),IFERROR(IF(INDEX(tbl_Consulting[Job Description],IFERROR(MATCH(A163&amp;"",tbl_Consulting[Job Number],0),MATCH(IFERROR(A163+0,A163),tbl_Consulting[Job Number],0)))="","",INDEX(tbl_Consulting[Job Description],IFERROR(MATCH(A163&amp;"",tbl_Consulting[Job Number],0),MATCH(IFERROR(A163+0,A163),tbl_Consulting[Job Number],0)))),""))))</f>
        <v/>
      </c>
      <c r="L163" s="26">
        <f>IF(A163="","",IFERROR(IF(INDEX(tbl_Onsite[Invoice Type],IFERROR(MATCH(A163&amp;"",tbl_Onsite[Job Number],0),MATCH(IFERROR(A163+0,A163),tbl_Onsite[Job Number],0)))="","",INDEX(tbl_Onsite[Invoice Type],IFERROR(MATCH(A163&amp;"",tbl_Onsite[Job Number],0),MATCH(IFERROR(A163+0,A163),tbl_Onsite[Job Number],0)))),IFERROR(IF(INDEX(tbl_Production[Invoice Type],IFERROR(MATCH(A163&amp;"",tbl_Production[Job Number],0),MATCH(IFERROR(A163+0,A163),tbl_Production[Job Number],0)))="","",INDEX(tbl_Production[Invoice Type],IFERROR(MATCH(A163&amp;"",tbl_Production[Job Number],0),MATCH(IFERROR(A163+0,A163),tbl_Production[Job Number],0)))),IFERROR(IF(INDEX(tbl_Consulting[Invoice Type],IFERROR(MATCH(A163&amp;"",tbl_Consulting[Job Number],0),MATCH(IFERROR(A163+0,A163),tbl_Consulting[Job Number],0)))="","",INDEX(tbl_Consulting[Invoice Type],IFERROR(MATCH(A163&amp;"",tbl_Consulting[Job Number],0),MATCH(IFERROR(A163+0,A163),tbl_Consulting[Job Number],0)))),""))))</f>
        <v/>
      </c>
      <c r="M163" s="26">
        <f>IF(A163="","",IF(IFERROR(IF(INDEX(tbl_Onsite[Tax Code],IFERROR(MATCH(A163&amp;"",tbl_Onsite[Job Number],0),MATCH(IFERROR(A163+0,A163),tbl_Onsite[Job Number],0)))="","",INDEX(tbl_Onsite[Tax Code],IFERROR(MATCH(A163&amp;"",tbl_Onsite[Job Number],0),MATCH(IFERROR(A163+0,A163),tbl_Onsite[Job Number],0)))),IFERROR(IF(INDEX(tbl_Production[Tax Code],IFERROR(MATCH(A163&amp;"",tbl_Production[Job Number],0),MATCH(IFERROR(A163+0,A163),tbl_Production[Job Number],0)))="","",INDEX(tbl_Production[Tax Code],IFERROR(MATCH(A163&amp;"",tbl_Production[Job Number],0),MATCH(IFERROR(A163+0,A163),tbl_Production[Job Number],0)))),IFERROR(IF(INDEX(tbl_Consulting[Tax Code],IFERROR(MATCH(A163&amp;"",tbl_Consulting[Job Number],0),MATCH(IFERROR(A163+0,A163),tbl_Consulting[Job Number],0)))="","",INDEX(tbl_Consulting[Tax Code],IFERROR(MATCH(A163&amp;"",tbl_Consulting[Job Number],0),MATCH(IFERROR(A163+0,A163),tbl_Consulting[Job Number],0)))),"")))="","GST 10%",IFERROR(IF(INDEX(tbl_Onsite[Tax Code],IFERROR(MATCH(A163&amp;"",tbl_Onsite[Job Number],0),MATCH(IFERROR(A163+0,A163),tbl_Onsite[Job Number],0)))="","",INDEX(tbl_Onsite[Tax Code],IFERROR(MATCH(A163&amp;"",tbl_Onsite[Job Number],0),MATCH(IFERROR(A163+0,A163),tbl_Onsite[Job Number],0)))),IFERROR(IF(INDEX(tbl_Production[Tax Code],IFERROR(MATCH(A163&amp;"",tbl_Production[Job Number],0),MATCH(IFERROR(A163+0,A163),tbl_Production[Job Number],0)))="","",INDEX(tbl_Production[Tax Code],IFERROR(MATCH(A163&amp;"",tbl_Production[Job Number],0),MATCH(IFERROR(A163+0,A163),tbl_Production[Job Number],0)))),IFERROR(IF(INDEX(tbl_Consulting[Tax Code],IFERROR(MATCH(A163&amp;"",tbl_Consulting[Job Number],0),MATCH(IFERROR(A163+0,A163),tbl_Consulting[Job Number],0)))="","",INDEX(tbl_Consulting[Tax Code],IFERROR(MATCH(A163&amp;"",tbl_Consulting[Job Number],0),MATCH(IFERROR(A163+0,A163),tbl_Consulting[Job Number],0)))),"")))))</f>
        <v/>
      </c>
      <c r="N163" s="26">
        <f>IF(D163="","",IFERROR(INDEX(lst_CCtoGL,MATCH(D163,lst_CCforGL,0)),""))</f>
        <v/>
      </c>
      <c r="O163" s="27">
        <f>IF(E163="","",IF(M163="GST 10%",ROUND(E163*set_GSTRate,2),0))</f>
        <v/>
      </c>
      <c r="P163" s="27">
        <f>IF(E163="","",E163+O163)</f>
        <v/>
      </c>
      <c r="Q163" s="27">
        <f>IF(A163="","",IFERROR(INDEX(tbl_Onsite[Expected Revenue Ex GST],IFERROR(MATCH(A163&amp;"",tbl_Onsite[Job Number],0),MATCH(IFERROR(A163+0,A163),tbl_Onsite[Job Number],0))),IFERROR(INDEX(tbl_Production[Expected Revenue Ex GST],IFERROR(MATCH(A163&amp;"",tbl_Production[Job Number],0),MATCH(IFERROR(A163+0,A163),tbl_Production[Job Number],0))),IFERROR(INDEX(tbl_Consulting[Expected Revenue Ex GST],IFERROR(MATCH(A163&amp;"",tbl_Consulting[Job Number],0),MATCH(IFERROR(A163+0,A163),tbl_Consulting[Job Number],0))),0))))</f>
        <v/>
      </c>
      <c r="R163" s="27">
        <f>IF(A163="","",SUMIFS(tbl_Finance[Ex GST],tbl_Finance[Job Number],A163&amp;""))</f>
        <v/>
      </c>
      <c r="S163" s="27">
        <f>IF(A163="","",Q163-R163)</f>
        <v/>
      </c>
      <c r="T163" s="26">
        <f>IF(A163="","",IF(Q163=0,"No dept value",IF(ROUND(S163,2)=0,"Agrees",IF(S163&gt;0,"Dept higher - to invoice","Xero higher - check dept"))))</f>
        <v/>
      </c>
      <c r="U163" s="22" t="n"/>
      <c r="V163" s="22" t="n"/>
      <c r="W163" s="23" t="n"/>
      <c r="X163" s="23" t="n"/>
      <c r="Y163" s="22" t="n"/>
      <c r="Z163" s="22" t="n"/>
      <c r="AA163" s="26">
        <f>IF(COUNTA(C163,A163,B163,E163)=0,"",IF(C163="","No date - sits outside every month",IF(A163="","No job number",IF(H163="CHECK","Job number is not in the Xero job list",IF(G163="not set up yet","No department has set this job up - nothing can pull through",IF(D163="","No cost centre",IF(AND(U163="Y",B163=""),"Marked posted to Xero but has no invoice number",IF(N163="","Cost centre has no revenue GL on the Lists sheet",IF(T163="Xero higher - check dept","Invoiced more than the department says the job is worth","")))))))))</f>
        <v/>
      </c>
      <c r="AB163" s="28">
        <f>IF(A163="","",COUNTIFS(tbl_Finance[Job Number],A163&amp;"",tbl_Finance[Ex GST],"&lt;&gt;"))</f>
        <v/>
      </c>
      <c r="AC163" s="27">
        <f>IF(A163="","",SUMIFS(tbl_Finance[Ex GST],tbl_Finance[Job Number],A163&amp;""))</f>
        <v/>
      </c>
      <c r="AD163" s="27">
        <f>IF(A163="","",SUMIFS(tbl_Finance[Ex GST],tbl_Finance[Job Number],A163&amp;"",tbl_Finance[Xero Invoice No],"&lt;&gt;"))</f>
        <v/>
      </c>
      <c r="AE163" s="27">
        <f>IF(A163="","",AC163-AD163)</f>
        <v/>
      </c>
      <c r="AF163" s="26">
        <f>IF(A163="","",IFERROR(IF(INDEX(tbl_Onsite[Qwilr Quote],IFERROR(MATCH(A163&amp;"",tbl_Onsite[Job Number],0),MATCH(IFERROR(A163+0,A163),tbl_Onsite[Job Number],0)))="","",INDEX(tbl_Onsite[Qwilr Quote],IFERROR(MATCH(A163&amp;"",tbl_Onsite[Job Number],0),MATCH(IFERROR(A163+0,A163),tbl_Onsite[Job Number],0)))),IFERROR(IF(IF(INDEX(tbl_Production[Current RMS No],IFERROR(MATCH(A163&amp;"",tbl_Production[Job Number],0),MATCH(IFERROR(A163+0,A163),tbl_Production[Job Number],0)))="",INDEX(tbl_Production[Qwilr Quote],IFERROR(MATCH(A163&amp;"",tbl_Production[Job Number],0),MATCH(IFERROR(A163+0,A163),tbl_Production[Job Number],0))),INDEX(tbl_Production[Current RMS No],IFERROR(MATCH(A163&amp;"",tbl_Production[Job Number],0),MATCH(IFERROR(A163+0,A163),tbl_Production[Job Number],0))))="","",IF(INDEX(tbl_Production[Current RMS No],IFERROR(MATCH(A163&amp;"",tbl_Production[Job Number],0),MATCH(IFERROR(A163+0,A163),tbl_Production[Job Number],0)))="",INDEX(tbl_Production[Qwilr Quote],IFERROR(MATCH(A163&amp;"",tbl_Production[Job Number],0),MATCH(IFERROR(A163+0,A163),tbl_Production[Job Number],0))),INDEX(tbl_Production[Current RMS No],IFERROR(MATCH(A163&amp;"",tbl_Production[Job Number],0),MATCH(IFERROR(A163+0,A163),tbl_Production[Job Number],0))))),IFERROR(IF(INDEX(tbl_Consulting[Qwilr Quote],IFERROR(MATCH(A163&amp;"",tbl_Consulting[Job Number],0),MATCH(IFERROR(A163+0,A163),tbl_Consulting[Job Number],0)))="","",INDEX(tbl_Consulting[Qwilr Quote],IFERROR(MATCH(A163&amp;"",tbl_Consulting[Job Number],0),MATCH(IFERROR(A163+0,A163),tbl_Consulting[Job Number],0)))),""))))</f>
        <v/>
      </c>
      <c r="AG163" s="26">
        <f>IF(AF163="","",IF(AND(LEFT(AF163,4)&lt;&gt;"http",IF(G163="Production",set_RMSBase,set_QwilrBase)=""),"",HYPERLINK(IF(LEFT(AF163,4)="http",AF163,IF(G163="Production",set_RMSBase,set_QwilrBase)&amp;AF163),"Open")))</f>
        <v/>
      </c>
      <c r="AH163" s="27">
        <f>IF(A163="","",IFERROR(INDEX(tbl_Production[Total Expense],IFERROR(MATCH(A163&amp;"",tbl_Production[Job Number],0),MATCH(IFERROR(A163+0,A163),tbl_Production[Job Number],0))),IFERROR(INDEX(tbl_Consulting[Total Expense],IFERROR(MATCH(A163&amp;"",tbl_Consulting[Job Number],0),MATCH(IFERROR(A163+0,A163),tbl_Consulting[Job Number],0))),0)))</f>
        <v/>
      </c>
      <c r="AI163" s="27">
        <f>IF(A163="","",AC163-N(AH163))</f>
        <v/>
      </c>
      <c r="AJ163" s="29">
        <f>IFERROR(AI163/AC163,"")</f>
        <v/>
      </c>
      <c r="AK163" s="26">
        <f>IF(A163="","",IFERROR(IF(INDEX(tbl_Onsite[Notes],IFERROR(MATCH(A163&amp;"",tbl_Onsite[Job Number],0),MATCH(IFERROR(A163+0,A163),tbl_Onsite[Job Number],0)))="","",INDEX(tbl_Onsite[Notes],IFERROR(MATCH(A163&amp;"",tbl_Onsite[Job Number],0),MATCH(IFERROR(A163+0,A163),tbl_Onsite[Job Number],0)))),IFERROR(IF(INDEX(tbl_Production[Notes],IFERROR(MATCH(A163&amp;"",tbl_Production[Job Number],0),MATCH(IFERROR(A163+0,A163),tbl_Production[Job Number],0)))="","",INDEX(tbl_Production[Notes],IFERROR(MATCH(A163&amp;"",tbl_Production[Job Number],0),MATCH(IFERROR(A163+0,A163),tbl_Production[Job Number],0)))),IFERROR(IF(INDEX(tbl_Consulting[Notes],IFERROR(MATCH(A163&amp;"",tbl_Consulting[Job Number],0),MATCH(IFERROR(A163+0,A163),tbl_Consulting[Job Number],0)))="","",INDEX(tbl_Consulting[Notes],IFERROR(MATCH(A163&amp;"",tbl_Consulting[Job Number],0),MATCH(IFERROR(A163+0,A163),tbl_Consulting[Job Number],0)))),""))))</f>
        <v/>
      </c>
    </row>
    <row r="164" ht="15" customHeight="1">
      <c r="A164" s="22" t="n"/>
      <c r="B164" s="22" t="n"/>
      <c r="C164" s="23" t="n"/>
      <c r="D164" s="22" t="n"/>
      <c r="E164" s="24" t="n"/>
      <c r="F164" s="25">
        <f>IF(C164="","",EOMONTH(C164,0))</f>
        <v/>
      </c>
      <c r="G164" s="26">
        <f>IF(A164="","",IF(COUNTIF(tbl_Onsite[Job Number],A164&amp;"")&gt;0,"Onsite",IF(COUNTIF(tbl_Production[Job Number],A164&amp;"")&gt;0,"Production",IF(COUNTIF(tbl_Consulting[Job Number],A164&amp;"")&gt;0,"Consulting","not set up yet"))))</f>
        <v/>
      </c>
      <c r="H164" s="26">
        <f>IF(A164="","",IF(COUNTIF(lst_Jobs,A164&amp;"")&gt;0,"OK","CHECK"))</f>
        <v/>
      </c>
      <c r="I164" s="26">
        <f>IF(A164="","",IFERROR(INDEX(lst_JobName,MATCH(A164&amp;"",lst_Jobs,0)),""))</f>
        <v/>
      </c>
      <c r="J164" s="26">
        <f>IF(A164="","",IFERROR(IF(INDEX(tbl_Onsite[Client],IFERROR(MATCH(A164&amp;"",tbl_Onsite[Job Number],0),MATCH(IFERROR(A164+0,A164),tbl_Onsite[Job Number],0)))="","",INDEX(tbl_Onsite[Client],IFERROR(MATCH(A164&amp;"",tbl_Onsite[Job Number],0),MATCH(IFERROR(A164+0,A164),tbl_Onsite[Job Number],0)))),IFERROR(IF(INDEX(tbl_Production[Client],IFERROR(MATCH(A164&amp;"",tbl_Production[Job Number],0),MATCH(IFERROR(A164+0,A164),tbl_Production[Job Number],0)))="","",INDEX(tbl_Production[Client],IFERROR(MATCH(A164&amp;"",tbl_Production[Job Number],0),MATCH(IFERROR(A164+0,A164),tbl_Production[Job Number],0)))),IFERROR(IF(INDEX(tbl_Consulting[Client],IFERROR(MATCH(A164&amp;"",tbl_Consulting[Job Number],0),MATCH(IFERROR(A164+0,A164),tbl_Consulting[Job Number],0)))="","",INDEX(tbl_Consulting[Client],IFERROR(MATCH(A164&amp;"",tbl_Consulting[Job Number],0),MATCH(IFERROR(A164+0,A164),tbl_Consulting[Job Number],0)))),""))))</f>
        <v/>
      </c>
      <c r="K164" s="26">
        <f>IF(A164="","",IFERROR(IF(INDEX(tbl_Onsite[Job Description],IFERROR(MATCH(A164&amp;"",tbl_Onsite[Job Number],0),MATCH(IFERROR(A164+0,A164),tbl_Onsite[Job Number],0)))="","",INDEX(tbl_Onsite[Job Description],IFERROR(MATCH(A164&amp;"",tbl_Onsite[Job Number],0),MATCH(IFERROR(A164+0,A164),tbl_Onsite[Job Number],0)))),IFERROR(IF(INDEX(tbl_Production[Job Description],IFERROR(MATCH(A164&amp;"",tbl_Production[Job Number],0),MATCH(IFERROR(A164+0,A164),tbl_Production[Job Number],0)))="","",INDEX(tbl_Production[Job Description],IFERROR(MATCH(A164&amp;"",tbl_Production[Job Number],0),MATCH(IFERROR(A164+0,A164),tbl_Production[Job Number],0)))),IFERROR(IF(INDEX(tbl_Consulting[Job Description],IFERROR(MATCH(A164&amp;"",tbl_Consulting[Job Number],0),MATCH(IFERROR(A164+0,A164),tbl_Consulting[Job Number],0)))="","",INDEX(tbl_Consulting[Job Description],IFERROR(MATCH(A164&amp;"",tbl_Consulting[Job Number],0),MATCH(IFERROR(A164+0,A164),tbl_Consulting[Job Number],0)))),""))))</f>
        <v/>
      </c>
      <c r="L164" s="26">
        <f>IF(A164="","",IFERROR(IF(INDEX(tbl_Onsite[Invoice Type],IFERROR(MATCH(A164&amp;"",tbl_Onsite[Job Number],0),MATCH(IFERROR(A164+0,A164),tbl_Onsite[Job Number],0)))="","",INDEX(tbl_Onsite[Invoice Type],IFERROR(MATCH(A164&amp;"",tbl_Onsite[Job Number],0),MATCH(IFERROR(A164+0,A164),tbl_Onsite[Job Number],0)))),IFERROR(IF(INDEX(tbl_Production[Invoice Type],IFERROR(MATCH(A164&amp;"",tbl_Production[Job Number],0),MATCH(IFERROR(A164+0,A164),tbl_Production[Job Number],0)))="","",INDEX(tbl_Production[Invoice Type],IFERROR(MATCH(A164&amp;"",tbl_Production[Job Number],0),MATCH(IFERROR(A164+0,A164),tbl_Production[Job Number],0)))),IFERROR(IF(INDEX(tbl_Consulting[Invoice Type],IFERROR(MATCH(A164&amp;"",tbl_Consulting[Job Number],0),MATCH(IFERROR(A164+0,A164),tbl_Consulting[Job Number],0)))="","",INDEX(tbl_Consulting[Invoice Type],IFERROR(MATCH(A164&amp;"",tbl_Consulting[Job Number],0),MATCH(IFERROR(A164+0,A164),tbl_Consulting[Job Number],0)))),""))))</f>
        <v/>
      </c>
      <c r="M164" s="26">
        <f>IF(A164="","",IF(IFERROR(IF(INDEX(tbl_Onsite[Tax Code],IFERROR(MATCH(A164&amp;"",tbl_Onsite[Job Number],0),MATCH(IFERROR(A164+0,A164),tbl_Onsite[Job Number],0)))="","",INDEX(tbl_Onsite[Tax Code],IFERROR(MATCH(A164&amp;"",tbl_Onsite[Job Number],0),MATCH(IFERROR(A164+0,A164),tbl_Onsite[Job Number],0)))),IFERROR(IF(INDEX(tbl_Production[Tax Code],IFERROR(MATCH(A164&amp;"",tbl_Production[Job Number],0),MATCH(IFERROR(A164+0,A164),tbl_Production[Job Number],0)))="","",INDEX(tbl_Production[Tax Code],IFERROR(MATCH(A164&amp;"",tbl_Production[Job Number],0),MATCH(IFERROR(A164+0,A164),tbl_Production[Job Number],0)))),IFERROR(IF(INDEX(tbl_Consulting[Tax Code],IFERROR(MATCH(A164&amp;"",tbl_Consulting[Job Number],0),MATCH(IFERROR(A164+0,A164),tbl_Consulting[Job Number],0)))="","",INDEX(tbl_Consulting[Tax Code],IFERROR(MATCH(A164&amp;"",tbl_Consulting[Job Number],0),MATCH(IFERROR(A164+0,A164),tbl_Consulting[Job Number],0)))),"")))="","GST 10%",IFERROR(IF(INDEX(tbl_Onsite[Tax Code],IFERROR(MATCH(A164&amp;"",tbl_Onsite[Job Number],0),MATCH(IFERROR(A164+0,A164),tbl_Onsite[Job Number],0)))="","",INDEX(tbl_Onsite[Tax Code],IFERROR(MATCH(A164&amp;"",tbl_Onsite[Job Number],0),MATCH(IFERROR(A164+0,A164),tbl_Onsite[Job Number],0)))),IFERROR(IF(INDEX(tbl_Production[Tax Code],IFERROR(MATCH(A164&amp;"",tbl_Production[Job Number],0),MATCH(IFERROR(A164+0,A164),tbl_Production[Job Number],0)))="","",INDEX(tbl_Production[Tax Code],IFERROR(MATCH(A164&amp;"",tbl_Production[Job Number],0),MATCH(IFERROR(A164+0,A164),tbl_Production[Job Number],0)))),IFERROR(IF(INDEX(tbl_Consulting[Tax Code],IFERROR(MATCH(A164&amp;"",tbl_Consulting[Job Number],0),MATCH(IFERROR(A164+0,A164),tbl_Consulting[Job Number],0)))="","",INDEX(tbl_Consulting[Tax Code],IFERROR(MATCH(A164&amp;"",tbl_Consulting[Job Number],0),MATCH(IFERROR(A164+0,A164),tbl_Consulting[Job Number],0)))),"")))))</f>
        <v/>
      </c>
      <c r="N164" s="26">
        <f>IF(D164="","",IFERROR(INDEX(lst_CCtoGL,MATCH(D164,lst_CCforGL,0)),""))</f>
        <v/>
      </c>
      <c r="O164" s="27">
        <f>IF(E164="","",IF(M164="GST 10%",ROUND(E164*set_GSTRate,2),0))</f>
        <v/>
      </c>
      <c r="P164" s="27">
        <f>IF(E164="","",E164+O164)</f>
        <v/>
      </c>
      <c r="Q164" s="27">
        <f>IF(A164="","",IFERROR(INDEX(tbl_Onsite[Expected Revenue Ex GST],IFERROR(MATCH(A164&amp;"",tbl_Onsite[Job Number],0),MATCH(IFERROR(A164+0,A164),tbl_Onsite[Job Number],0))),IFERROR(INDEX(tbl_Production[Expected Revenue Ex GST],IFERROR(MATCH(A164&amp;"",tbl_Production[Job Number],0),MATCH(IFERROR(A164+0,A164),tbl_Production[Job Number],0))),IFERROR(INDEX(tbl_Consulting[Expected Revenue Ex GST],IFERROR(MATCH(A164&amp;"",tbl_Consulting[Job Number],0),MATCH(IFERROR(A164+0,A164),tbl_Consulting[Job Number],0))),0))))</f>
        <v/>
      </c>
      <c r="R164" s="27">
        <f>IF(A164="","",SUMIFS(tbl_Finance[Ex GST],tbl_Finance[Job Number],A164&amp;""))</f>
        <v/>
      </c>
      <c r="S164" s="27">
        <f>IF(A164="","",Q164-R164)</f>
        <v/>
      </c>
      <c r="T164" s="26">
        <f>IF(A164="","",IF(Q164=0,"No dept value",IF(ROUND(S164,2)=0,"Agrees",IF(S164&gt;0,"Dept higher - to invoice","Xero higher - check dept"))))</f>
        <v/>
      </c>
      <c r="U164" s="22" t="n"/>
      <c r="V164" s="22" t="n"/>
      <c r="W164" s="23" t="n"/>
      <c r="X164" s="23" t="n"/>
      <c r="Y164" s="22" t="n"/>
      <c r="Z164" s="22" t="n"/>
      <c r="AA164" s="26">
        <f>IF(COUNTA(C164,A164,B164,E164)=0,"",IF(C164="","No date - sits outside every month",IF(A164="","No job number",IF(H164="CHECK","Job number is not in the Xero job list",IF(G164="not set up yet","No department has set this job up - nothing can pull through",IF(D164="","No cost centre",IF(AND(U164="Y",B164=""),"Marked posted to Xero but has no invoice number",IF(N164="","Cost centre has no revenue GL on the Lists sheet",IF(T164="Xero higher - check dept","Invoiced more than the department says the job is worth","")))))))))</f>
        <v/>
      </c>
      <c r="AB164" s="28">
        <f>IF(A164="","",COUNTIFS(tbl_Finance[Job Number],A164&amp;"",tbl_Finance[Ex GST],"&lt;&gt;"))</f>
        <v/>
      </c>
      <c r="AC164" s="27">
        <f>IF(A164="","",SUMIFS(tbl_Finance[Ex GST],tbl_Finance[Job Number],A164&amp;""))</f>
        <v/>
      </c>
      <c r="AD164" s="27">
        <f>IF(A164="","",SUMIFS(tbl_Finance[Ex GST],tbl_Finance[Job Number],A164&amp;"",tbl_Finance[Xero Invoice No],"&lt;&gt;"))</f>
        <v/>
      </c>
      <c r="AE164" s="27">
        <f>IF(A164="","",AC164-AD164)</f>
        <v/>
      </c>
      <c r="AF164" s="26">
        <f>IF(A164="","",IFERROR(IF(INDEX(tbl_Onsite[Qwilr Quote],IFERROR(MATCH(A164&amp;"",tbl_Onsite[Job Number],0),MATCH(IFERROR(A164+0,A164),tbl_Onsite[Job Number],0)))="","",INDEX(tbl_Onsite[Qwilr Quote],IFERROR(MATCH(A164&amp;"",tbl_Onsite[Job Number],0),MATCH(IFERROR(A164+0,A164),tbl_Onsite[Job Number],0)))),IFERROR(IF(IF(INDEX(tbl_Production[Current RMS No],IFERROR(MATCH(A164&amp;"",tbl_Production[Job Number],0),MATCH(IFERROR(A164+0,A164),tbl_Production[Job Number],0)))="",INDEX(tbl_Production[Qwilr Quote],IFERROR(MATCH(A164&amp;"",tbl_Production[Job Number],0),MATCH(IFERROR(A164+0,A164),tbl_Production[Job Number],0))),INDEX(tbl_Production[Current RMS No],IFERROR(MATCH(A164&amp;"",tbl_Production[Job Number],0),MATCH(IFERROR(A164+0,A164),tbl_Production[Job Number],0))))="","",IF(INDEX(tbl_Production[Current RMS No],IFERROR(MATCH(A164&amp;"",tbl_Production[Job Number],0),MATCH(IFERROR(A164+0,A164),tbl_Production[Job Number],0)))="",INDEX(tbl_Production[Qwilr Quote],IFERROR(MATCH(A164&amp;"",tbl_Production[Job Number],0),MATCH(IFERROR(A164+0,A164),tbl_Production[Job Number],0))),INDEX(tbl_Production[Current RMS No],IFERROR(MATCH(A164&amp;"",tbl_Production[Job Number],0),MATCH(IFERROR(A164+0,A164),tbl_Production[Job Number],0))))),IFERROR(IF(INDEX(tbl_Consulting[Qwilr Quote],IFERROR(MATCH(A164&amp;"",tbl_Consulting[Job Number],0),MATCH(IFERROR(A164+0,A164),tbl_Consulting[Job Number],0)))="","",INDEX(tbl_Consulting[Qwilr Quote],IFERROR(MATCH(A164&amp;"",tbl_Consulting[Job Number],0),MATCH(IFERROR(A164+0,A164),tbl_Consulting[Job Number],0)))),""))))</f>
        <v/>
      </c>
      <c r="AG164" s="26">
        <f>IF(AF164="","",IF(AND(LEFT(AF164,4)&lt;&gt;"http",IF(G164="Production",set_RMSBase,set_QwilrBase)=""),"",HYPERLINK(IF(LEFT(AF164,4)="http",AF164,IF(G164="Production",set_RMSBase,set_QwilrBase)&amp;AF164),"Open")))</f>
        <v/>
      </c>
      <c r="AH164" s="27">
        <f>IF(A164="","",IFERROR(INDEX(tbl_Production[Total Expense],IFERROR(MATCH(A164&amp;"",tbl_Production[Job Number],0),MATCH(IFERROR(A164+0,A164),tbl_Production[Job Number],0))),IFERROR(INDEX(tbl_Consulting[Total Expense],IFERROR(MATCH(A164&amp;"",tbl_Consulting[Job Number],0),MATCH(IFERROR(A164+0,A164),tbl_Consulting[Job Number],0))),0)))</f>
        <v/>
      </c>
      <c r="AI164" s="27">
        <f>IF(A164="","",AC164-N(AH164))</f>
        <v/>
      </c>
      <c r="AJ164" s="29">
        <f>IFERROR(AI164/AC164,"")</f>
        <v/>
      </c>
      <c r="AK164" s="26">
        <f>IF(A164="","",IFERROR(IF(INDEX(tbl_Onsite[Notes],IFERROR(MATCH(A164&amp;"",tbl_Onsite[Job Number],0),MATCH(IFERROR(A164+0,A164),tbl_Onsite[Job Number],0)))="","",INDEX(tbl_Onsite[Notes],IFERROR(MATCH(A164&amp;"",tbl_Onsite[Job Number],0),MATCH(IFERROR(A164+0,A164),tbl_Onsite[Job Number],0)))),IFERROR(IF(INDEX(tbl_Production[Notes],IFERROR(MATCH(A164&amp;"",tbl_Production[Job Number],0),MATCH(IFERROR(A164+0,A164),tbl_Production[Job Number],0)))="","",INDEX(tbl_Production[Notes],IFERROR(MATCH(A164&amp;"",tbl_Production[Job Number],0),MATCH(IFERROR(A164+0,A164),tbl_Production[Job Number],0)))),IFERROR(IF(INDEX(tbl_Consulting[Notes],IFERROR(MATCH(A164&amp;"",tbl_Consulting[Job Number],0),MATCH(IFERROR(A164+0,A164),tbl_Consulting[Job Number],0)))="","",INDEX(tbl_Consulting[Notes],IFERROR(MATCH(A164&amp;"",tbl_Consulting[Job Number],0),MATCH(IFERROR(A164+0,A164),tbl_Consulting[Job Number],0)))),""))))</f>
        <v/>
      </c>
    </row>
    <row r="165" ht="15" customHeight="1">
      <c r="A165" s="22" t="n"/>
      <c r="B165" s="22" t="n"/>
      <c r="C165" s="23" t="n"/>
      <c r="D165" s="22" t="n"/>
      <c r="E165" s="24" t="n"/>
      <c r="F165" s="25">
        <f>IF(C165="","",EOMONTH(C165,0))</f>
        <v/>
      </c>
      <c r="G165" s="26">
        <f>IF(A165="","",IF(COUNTIF(tbl_Onsite[Job Number],A165&amp;"")&gt;0,"Onsite",IF(COUNTIF(tbl_Production[Job Number],A165&amp;"")&gt;0,"Production",IF(COUNTIF(tbl_Consulting[Job Number],A165&amp;"")&gt;0,"Consulting","not set up yet"))))</f>
        <v/>
      </c>
      <c r="H165" s="26">
        <f>IF(A165="","",IF(COUNTIF(lst_Jobs,A165&amp;"")&gt;0,"OK","CHECK"))</f>
        <v/>
      </c>
      <c r="I165" s="26">
        <f>IF(A165="","",IFERROR(INDEX(lst_JobName,MATCH(A165&amp;"",lst_Jobs,0)),""))</f>
        <v/>
      </c>
      <c r="J165" s="26">
        <f>IF(A165="","",IFERROR(IF(INDEX(tbl_Onsite[Client],IFERROR(MATCH(A165&amp;"",tbl_Onsite[Job Number],0),MATCH(IFERROR(A165+0,A165),tbl_Onsite[Job Number],0)))="","",INDEX(tbl_Onsite[Client],IFERROR(MATCH(A165&amp;"",tbl_Onsite[Job Number],0),MATCH(IFERROR(A165+0,A165),tbl_Onsite[Job Number],0)))),IFERROR(IF(INDEX(tbl_Production[Client],IFERROR(MATCH(A165&amp;"",tbl_Production[Job Number],0),MATCH(IFERROR(A165+0,A165),tbl_Production[Job Number],0)))="","",INDEX(tbl_Production[Client],IFERROR(MATCH(A165&amp;"",tbl_Production[Job Number],0),MATCH(IFERROR(A165+0,A165),tbl_Production[Job Number],0)))),IFERROR(IF(INDEX(tbl_Consulting[Client],IFERROR(MATCH(A165&amp;"",tbl_Consulting[Job Number],0),MATCH(IFERROR(A165+0,A165),tbl_Consulting[Job Number],0)))="","",INDEX(tbl_Consulting[Client],IFERROR(MATCH(A165&amp;"",tbl_Consulting[Job Number],0),MATCH(IFERROR(A165+0,A165),tbl_Consulting[Job Number],0)))),""))))</f>
        <v/>
      </c>
      <c r="K165" s="26">
        <f>IF(A165="","",IFERROR(IF(INDEX(tbl_Onsite[Job Description],IFERROR(MATCH(A165&amp;"",tbl_Onsite[Job Number],0),MATCH(IFERROR(A165+0,A165),tbl_Onsite[Job Number],0)))="","",INDEX(tbl_Onsite[Job Description],IFERROR(MATCH(A165&amp;"",tbl_Onsite[Job Number],0),MATCH(IFERROR(A165+0,A165),tbl_Onsite[Job Number],0)))),IFERROR(IF(INDEX(tbl_Production[Job Description],IFERROR(MATCH(A165&amp;"",tbl_Production[Job Number],0),MATCH(IFERROR(A165+0,A165),tbl_Production[Job Number],0)))="","",INDEX(tbl_Production[Job Description],IFERROR(MATCH(A165&amp;"",tbl_Production[Job Number],0),MATCH(IFERROR(A165+0,A165),tbl_Production[Job Number],0)))),IFERROR(IF(INDEX(tbl_Consulting[Job Description],IFERROR(MATCH(A165&amp;"",tbl_Consulting[Job Number],0),MATCH(IFERROR(A165+0,A165),tbl_Consulting[Job Number],0)))="","",INDEX(tbl_Consulting[Job Description],IFERROR(MATCH(A165&amp;"",tbl_Consulting[Job Number],0),MATCH(IFERROR(A165+0,A165),tbl_Consulting[Job Number],0)))),""))))</f>
        <v/>
      </c>
      <c r="L165" s="26">
        <f>IF(A165="","",IFERROR(IF(INDEX(tbl_Onsite[Invoice Type],IFERROR(MATCH(A165&amp;"",tbl_Onsite[Job Number],0),MATCH(IFERROR(A165+0,A165),tbl_Onsite[Job Number],0)))="","",INDEX(tbl_Onsite[Invoice Type],IFERROR(MATCH(A165&amp;"",tbl_Onsite[Job Number],0),MATCH(IFERROR(A165+0,A165),tbl_Onsite[Job Number],0)))),IFERROR(IF(INDEX(tbl_Production[Invoice Type],IFERROR(MATCH(A165&amp;"",tbl_Production[Job Number],0),MATCH(IFERROR(A165+0,A165),tbl_Production[Job Number],0)))="","",INDEX(tbl_Production[Invoice Type],IFERROR(MATCH(A165&amp;"",tbl_Production[Job Number],0),MATCH(IFERROR(A165+0,A165),tbl_Production[Job Number],0)))),IFERROR(IF(INDEX(tbl_Consulting[Invoice Type],IFERROR(MATCH(A165&amp;"",tbl_Consulting[Job Number],0),MATCH(IFERROR(A165+0,A165),tbl_Consulting[Job Number],0)))="","",INDEX(tbl_Consulting[Invoice Type],IFERROR(MATCH(A165&amp;"",tbl_Consulting[Job Number],0),MATCH(IFERROR(A165+0,A165),tbl_Consulting[Job Number],0)))),""))))</f>
        <v/>
      </c>
      <c r="M165" s="26">
        <f>IF(A165="","",IF(IFERROR(IF(INDEX(tbl_Onsite[Tax Code],IFERROR(MATCH(A165&amp;"",tbl_Onsite[Job Number],0),MATCH(IFERROR(A165+0,A165),tbl_Onsite[Job Number],0)))="","",INDEX(tbl_Onsite[Tax Code],IFERROR(MATCH(A165&amp;"",tbl_Onsite[Job Number],0),MATCH(IFERROR(A165+0,A165),tbl_Onsite[Job Number],0)))),IFERROR(IF(INDEX(tbl_Production[Tax Code],IFERROR(MATCH(A165&amp;"",tbl_Production[Job Number],0),MATCH(IFERROR(A165+0,A165),tbl_Production[Job Number],0)))="","",INDEX(tbl_Production[Tax Code],IFERROR(MATCH(A165&amp;"",tbl_Production[Job Number],0),MATCH(IFERROR(A165+0,A165),tbl_Production[Job Number],0)))),IFERROR(IF(INDEX(tbl_Consulting[Tax Code],IFERROR(MATCH(A165&amp;"",tbl_Consulting[Job Number],0),MATCH(IFERROR(A165+0,A165),tbl_Consulting[Job Number],0)))="","",INDEX(tbl_Consulting[Tax Code],IFERROR(MATCH(A165&amp;"",tbl_Consulting[Job Number],0),MATCH(IFERROR(A165+0,A165),tbl_Consulting[Job Number],0)))),"")))="","GST 10%",IFERROR(IF(INDEX(tbl_Onsite[Tax Code],IFERROR(MATCH(A165&amp;"",tbl_Onsite[Job Number],0),MATCH(IFERROR(A165+0,A165),tbl_Onsite[Job Number],0)))="","",INDEX(tbl_Onsite[Tax Code],IFERROR(MATCH(A165&amp;"",tbl_Onsite[Job Number],0),MATCH(IFERROR(A165+0,A165),tbl_Onsite[Job Number],0)))),IFERROR(IF(INDEX(tbl_Production[Tax Code],IFERROR(MATCH(A165&amp;"",tbl_Production[Job Number],0),MATCH(IFERROR(A165+0,A165),tbl_Production[Job Number],0)))="","",INDEX(tbl_Production[Tax Code],IFERROR(MATCH(A165&amp;"",tbl_Production[Job Number],0),MATCH(IFERROR(A165+0,A165),tbl_Production[Job Number],0)))),IFERROR(IF(INDEX(tbl_Consulting[Tax Code],IFERROR(MATCH(A165&amp;"",tbl_Consulting[Job Number],0),MATCH(IFERROR(A165+0,A165),tbl_Consulting[Job Number],0)))="","",INDEX(tbl_Consulting[Tax Code],IFERROR(MATCH(A165&amp;"",tbl_Consulting[Job Number],0),MATCH(IFERROR(A165+0,A165),tbl_Consulting[Job Number],0)))),"")))))</f>
        <v/>
      </c>
      <c r="N165" s="26">
        <f>IF(D165="","",IFERROR(INDEX(lst_CCtoGL,MATCH(D165,lst_CCforGL,0)),""))</f>
        <v/>
      </c>
      <c r="O165" s="27">
        <f>IF(E165="","",IF(M165="GST 10%",ROUND(E165*set_GSTRate,2),0))</f>
        <v/>
      </c>
      <c r="P165" s="27">
        <f>IF(E165="","",E165+O165)</f>
        <v/>
      </c>
      <c r="Q165" s="27">
        <f>IF(A165="","",IFERROR(INDEX(tbl_Onsite[Expected Revenue Ex GST],IFERROR(MATCH(A165&amp;"",tbl_Onsite[Job Number],0),MATCH(IFERROR(A165+0,A165),tbl_Onsite[Job Number],0))),IFERROR(INDEX(tbl_Production[Expected Revenue Ex GST],IFERROR(MATCH(A165&amp;"",tbl_Production[Job Number],0),MATCH(IFERROR(A165+0,A165),tbl_Production[Job Number],0))),IFERROR(INDEX(tbl_Consulting[Expected Revenue Ex GST],IFERROR(MATCH(A165&amp;"",tbl_Consulting[Job Number],0),MATCH(IFERROR(A165+0,A165),tbl_Consulting[Job Number],0))),0))))</f>
        <v/>
      </c>
      <c r="R165" s="27">
        <f>IF(A165="","",SUMIFS(tbl_Finance[Ex GST],tbl_Finance[Job Number],A165&amp;""))</f>
        <v/>
      </c>
      <c r="S165" s="27">
        <f>IF(A165="","",Q165-R165)</f>
        <v/>
      </c>
      <c r="T165" s="26">
        <f>IF(A165="","",IF(Q165=0,"No dept value",IF(ROUND(S165,2)=0,"Agrees",IF(S165&gt;0,"Dept higher - to invoice","Xero higher - check dept"))))</f>
        <v/>
      </c>
      <c r="U165" s="22" t="n"/>
      <c r="V165" s="22" t="n"/>
      <c r="W165" s="23" t="n"/>
      <c r="X165" s="23" t="n"/>
      <c r="Y165" s="22" t="n"/>
      <c r="Z165" s="22" t="n"/>
      <c r="AA165" s="26">
        <f>IF(COUNTA(C165,A165,B165,E165)=0,"",IF(C165="","No date - sits outside every month",IF(A165="","No job number",IF(H165="CHECK","Job number is not in the Xero job list",IF(G165="not set up yet","No department has set this job up - nothing can pull through",IF(D165="","No cost centre",IF(AND(U165="Y",B165=""),"Marked posted to Xero but has no invoice number",IF(N165="","Cost centre has no revenue GL on the Lists sheet",IF(T165="Xero higher - check dept","Invoiced more than the department says the job is worth","")))))))))</f>
        <v/>
      </c>
      <c r="AB165" s="28">
        <f>IF(A165="","",COUNTIFS(tbl_Finance[Job Number],A165&amp;"",tbl_Finance[Ex GST],"&lt;&gt;"))</f>
        <v/>
      </c>
      <c r="AC165" s="27">
        <f>IF(A165="","",SUMIFS(tbl_Finance[Ex GST],tbl_Finance[Job Number],A165&amp;""))</f>
        <v/>
      </c>
      <c r="AD165" s="27">
        <f>IF(A165="","",SUMIFS(tbl_Finance[Ex GST],tbl_Finance[Job Number],A165&amp;"",tbl_Finance[Xero Invoice No],"&lt;&gt;"))</f>
        <v/>
      </c>
      <c r="AE165" s="27">
        <f>IF(A165="","",AC165-AD165)</f>
        <v/>
      </c>
      <c r="AF165" s="26">
        <f>IF(A165="","",IFERROR(IF(INDEX(tbl_Onsite[Qwilr Quote],IFERROR(MATCH(A165&amp;"",tbl_Onsite[Job Number],0),MATCH(IFERROR(A165+0,A165),tbl_Onsite[Job Number],0)))="","",INDEX(tbl_Onsite[Qwilr Quote],IFERROR(MATCH(A165&amp;"",tbl_Onsite[Job Number],0),MATCH(IFERROR(A165+0,A165),tbl_Onsite[Job Number],0)))),IFERROR(IF(IF(INDEX(tbl_Production[Current RMS No],IFERROR(MATCH(A165&amp;"",tbl_Production[Job Number],0),MATCH(IFERROR(A165+0,A165),tbl_Production[Job Number],0)))="",INDEX(tbl_Production[Qwilr Quote],IFERROR(MATCH(A165&amp;"",tbl_Production[Job Number],0),MATCH(IFERROR(A165+0,A165),tbl_Production[Job Number],0))),INDEX(tbl_Production[Current RMS No],IFERROR(MATCH(A165&amp;"",tbl_Production[Job Number],0),MATCH(IFERROR(A165+0,A165),tbl_Production[Job Number],0))))="","",IF(INDEX(tbl_Production[Current RMS No],IFERROR(MATCH(A165&amp;"",tbl_Production[Job Number],0),MATCH(IFERROR(A165+0,A165),tbl_Production[Job Number],0)))="",INDEX(tbl_Production[Qwilr Quote],IFERROR(MATCH(A165&amp;"",tbl_Production[Job Number],0),MATCH(IFERROR(A165+0,A165),tbl_Production[Job Number],0))),INDEX(tbl_Production[Current RMS No],IFERROR(MATCH(A165&amp;"",tbl_Production[Job Number],0),MATCH(IFERROR(A165+0,A165),tbl_Production[Job Number],0))))),IFERROR(IF(INDEX(tbl_Consulting[Qwilr Quote],IFERROR(MATCH(A165&amp;"",tbl_Consulting[Job Number],0),MATCH(IFERROR(A165+0,A165),tbl_Consulting[Job Number],0)))="","",INDEX(tbl_Consulting[Qwilr Quote],IFERROR(MATCH(A165&amp;"",tbl_Consulting[Job Number],0),MATCH(IFERROR(A165+0,A165),tbl_Consulting[Job Number],0)))),""))))</f>
        <v/>
      </c>
      <c r="AG165" s="26">
        <f>IF(AF165="","",IF(AND(LEFT(AF165,4)&lt;&gt;"http",IF(G165="Production",set_RMSBase,set_QwilrBase)=""),"",HYPERLINK(IF(LEFT(AF165,4)="http",AF165,IF(G165="Production",set_RMSBase,set_QwilrBase)&amp;AF165),"Open")))</f>
        <v/>
      </c>
      <c r="AH165" s="27">
        <f>IF(A165="","",IFERROR(INDEX(tbl_Production[Total Expense],IFERROR(MATCH(A165&amp;"",tbl_Production[Job Number],0),MATCH(IFERROR(A165+0,A165),tbl_Production[Job Number],0))),IFERROR(INDEX(tbl_Consulting[Total Expense],IFERROR(MATCH(A165&amp;"",tbl_Consulting[Job Number],0),MATCH(IFERROR(A165+0,A165),tbl_Consulting[Job Number],0))),0)))</f>
        <v/>
      </c>
      <c r="AI165" s="27">
        <f>IF(A165="","",AC165-N(AH165))</f>
        <v/>
      </c>
      <c r="AJ165" s="29">
        <f>IFERROR(AI165/AC165,"")</f>
        <v/>
      </c>
      <c r="AK165" s="26">
        <f>IF(A165="","",IFERROR(IF(INDEX(tbl_Onsite[Notes],IFERROR(MATCH(A165&amp;"",tbl_Onsite[Job Number],0),MATCH(IFERROR(A165+0,A165),tbl_Onsite[Job Number],0)))="","",INDEX(tbl_Onsite[Notes],IFERROR(MATCH(A165&amp;"",tbl_Onsite[Job Number],0),MATCH(IFERROR(A165+0,A165),tbl_Onsite[Job Number],0)))),IFERROR(IF(INDEX(tbl_Production[Notes],IFERROR(MATCH(A165&amp;"",tbl_Production[Job Number],0),MATCH(IFERROR(A165+0,A165),tbl_Production[Job Number],0)))="","",INDEX(tbl_Production[Notes],IFERROR(MATCH(A165&amp;"",tbl_Production[Job Number],0),MATCH(IFERROR(A165+0,A165),tbl_Production[Job Number],0)))),IFERROR(IF(INDEX(tbl_Consulting[Notes],IFERROR(MATCH(A165&amp;"",tbl_Consulting[Job Number],0),MATCH(IFERROR(A165+0,A165),tbl_Consulting[Job Number],0)))="","",INDEX(tbl_Consulting[Notes],IFERROR(MATCH(A165&amp;"",tbl_Consulting[Job Number],0),MATCH(IFERROR(A165+0,A165),tbl_Consulting[Job Number],0)))),""))))</f>
        <v/>
      </c>
    </row>
    <row r="166" ht="15" customHeight="1">
      <c r="A166" s="22" t="n"/>
      <c r="B166" s="22" t="n"/>
      <c r="C166" s="23" t="n"/>
      <c r="D166" s="22" t="n"/>
      <c r="E166" s="24" t="n"/>
      <c r="F166" s="25">
        <f>IF(C166="","",EOMONTH(C166,0))</f>
        <v/>
      </c>
      <c r="G166" s="26">
        <f>IF(A166="","",IF(COUNTIF(tbl_Onsite[Job Number],A166&amp;"")&gt;0,"Onsite",IF(COUNTIF(tbl_Production[Job Number],A166&amp;"")&gt;0,"Production",IF(COUNTIF(tbl_Consulting[Job Number],A166&amp;"")&gt;0,"Consulting","not set up yet"))))</f>
        <v/>
      </c>
      <c r="H166" s="26">
        <f>IF(A166="","",IF(COUNTIF(lst_Jobs,A166&amp;"")&gt;0,"OK","CHECK"))</f>
        <v/>
      </c>
      <c r="I166" s="26">
        <f>IF(A166="","",IFERROR(INDEX(lst_JobName,MATCH(A166&amp;"",lst_Jobs,0)),""))</f>
        <v/>
      </c>
      <c r="J166" s="26">
        <f>IF(A166="","",IFERROR(IF(INDEX(tbl_Onsite[Client],IFERROR(MATCH(A166&amp;"",tbl_Onsite[Job Number],0),MATCH(IFERROR(A166+0,A166),tbl_Onsite[Job Number],0)))="","",INDEX(tbl_Onsite[Client],IFERROR(MATCH(A166&amp;"",tbl_Onsite[Job Number],0),MATCH(IFERROR(A166+0,A166),tbl_Onsite[Job Number],0)))),IFERROR(IF(INDEX(tbl_Production[Client],IFERROR(MATCH(A166&amp;"",tbl_Production[Job Number],0),MATCH(IFERROR(A166+0,A166),tbl_Production[Job Number],0)))="","",INDEX(tbl_Production[Client],IFERROR(MATCH(A166&amp;"",tbl_Production[Job Number],0),MATCH(IFERROR(A166+0,A166),tbl_Production[Job Number],0)))),IFERROR(IF(INDEX(tbl_Consulting[Client],IFERROR(MATCH(A166&amp;"",tbl_Consulting[Job Number],0),MATCH(IFERROR(A166+0,A166),tbl_Consulting[Job Number],0)))="","",INDEX(tbl_Consulting[Client],IFERROR(MATCH(A166&amp;"",tbl_Consulting[Job Number],0),MATCH(IFERROR(A166+0,A166),tbl_Consulting[Job Number],0)))),""))))</f>
        <v/>
      </c>
      <c r="K166" s="26">
        <f>IF(A166="","",IFERROR(IF(INDEX(tbl_Onsite[Job Description],IFERROR(MATCH(A166&amp;"",tbl_Onsite[Job Number],0),MATCH(IFERROR(A166+0,A166),tbl_Onsite[Job Number],0)))="","",INDEX(tbl_Onsite[Job Description],IFERROR(MATCH(A166&amp;"",tbl_Onsite[Job Number],0),MATCH(IFERROR(A166+0,A166),tbl_Onsite[Job Number],0)))),IFERROR(IF(INDEX(tbl_Production[Job Description],IFERROR(MATCH(A166&amp;"",tbl_Production[Job Number],0),MATCH(IFERROR(A166+0,A166),tbl_Production[Job Number],0)))="","",INDEX(tbl_Production[Job Description],IFERROR(MATCH(A166&amp;"",tbl_Production[Job Number],0),MATCH(IFERROR(A166+0,A166),tbl_Production[Job Number],0)))),IFERROR(IF(INDEX(tbl_Consulting[Job Description],IFERROR(MATCH(A166&amp;"",tbl_Consulting[Job Number],0),MATCH(IFERROR(A166+0,A166),tbl_Consulting[Job Number],0)))="","",INDEX(tbl_Consulting[Job Description],IFERROR(MATCH(A166&amp;"",tbl_Consulting[Job Number],0),MATCH(IFERROR(A166+0,A166),tbl_Consulting[Job Number],0)))),""))))</f>
        <v/>
      </c>
      <c r="L166" s="26">
        <f>IF(A166="","",IFERROR(IF(INDEX(tbl_Onsite[Invoice Type],IFERROR(MATCH(A166&amp;"",tbl_Onsite[Job Number],0),MATCH(IFERROR(A166+0,A166),tbl_Onsite[Job Number],0)))="","",INDEX(tbl_Onsite[Invoice Type],IFERROR(MATCH(A166&amp;"",tbl_Onsite[Job Number],0),MATCH(IFERROR(A166+0,A166),tbl_Onsite[Job Number],0)))),IFERROR(IF(INDEX(tbl_Production[Invoice Type],IFERROR(MATCH(A166&amp;"",tbl_Production[Job Number],0),MATCH(IFERROR(A166+0,A166),tbl_Production[Job Number],0)))="","",INDEX(tbl_Production[Invoice Type],IFERROR(MATCH(A166&amp;"",tbl_Production[Job Number],0),MATCH(IFERROR(A166+0,A166),tbl_Production[Job Number],0)))),IFERROR(IF(INDEX(tbl_Consulting[Invoice Type],IFERROR(MATCH(A166&amp;"",tbl_Consulting[Job Number],0),MATCH(IFERROR(A166+0,A166),tbl_Consulting[Job Number],0)))="","",INDEX(tbl_Consulting[Invoice Type],IFERROR(MATCH(A166&amp;"",tbl_Consulting[Job Number],0),MATCH(IFERROR(A166+0,A166),tbl_Consulting[Job Number],0)))),""))))</f>
        <v/>
      </c>
      <c r="M166" s="26">
        <f>IF(A166="","",IF(IFERROR(IF(INDEX(tbl_Onsite[Tax Code],IFERROR(MATCH(A166&amp;"",tbl_Onsite[Job Number],0),MATCH(IFERROR(A166+0,A166),tbl_Onsite[Job Number],0)))="","",INDEX(tbl_Onsite[Tax Code],IFERROR(MATCH(A166&amp;"",tbl_Onsite[Job Number],0),MATCH(IFERROR(A166+0,A166),tbl_Onsite[Job Number],0)))),IFERROR(IF(INDEX(tbl_Production[Tax Code],IFERROR(MATCH(A166&amp;"",tbl_Production[Job Number],0),MATCH(IFERROR(A166+0,A166),tbl_Production[Job Number],0)))="","",INDEX(tbl_Production[Tax Code],IFERROR(MATCH(A166&amp;"",tbl_Production[Job Number],0),MATCH(IFERROR(A166+0,A166),tbl_Production[Job Number],0)))),IFERROR(IF(INDEX(tbl_Consulting[Tax Code],IFERROR(MATCH(A166&amp;"",tbl_Consulting[Job Number],0),MATCH(IFERROR(A166+0,A166),tbl_Consulting[Job Number],0)))="","",INDEX(tbl_Consulting[Tax Code],IFERROR(MATCH(A166&amp;"",tbl_Consulting[Job Number],0),MATCH(IFERROR(A166+0,A166),tbl_Consulting[Job Number],0)))),"")))="","GST 10%",IFERROR(IF(INDEX(tbl_Onsite[Tax Code],IFERROR(MATCH(A166&amp;"",tbl_Onsite[Job Number],0),MATCH(IFERROR(A166+0,A166),tbl_Onsite[Job Number],0)))="","",INDEX(tbl_Onsite[Tax Code],IFERROR(MATCH(A166&amp;"",tbl_Onsite[Job Number],0),MATCH(IFERROR(A166+0,A166),tbl_Onsite[Job Number],0)))),IFERROR(IF(INDEX(tbl_Production[Tax Code],IFERROR(MATCH(A166&amp;"",tbl_Production[Job Number],0),MATCH(IFERROR(A166+0,A166),tbl_Production[Job Number],0)))="","",INDEX(tbl_Production[Tax Code],IFERROR(MATCH(A166&amp;"",tbl_Production[Job Number],0),MATCH(IFERROR(A166+0,A166),tbl_Production[Job Number],0)))),IFERROR(IF(INDEX(tbl_Consulting[Tax Code],IFERROR(MATCH(A166&amp;"",tbl_Consulting[Job Number],0),MATCH(IFERROR(A166+0,A166),tbl_Consulting[Job Number],0)))="","",INDEX(tbl_Consulting[Tax Code],IFERROR(MATCH(A166&amp;"",tbl_Consulting[Job Number],0),MATCH(IFERROR(A166+0,A166),tbl_Consulting[Job Number],0)))),"")))))</f>
        <v/>
      </c>
      <c r="N166" s="26">
        <f>IF(D166="","",IFERROR(INDEX(lst_CCtoGL,MATCH(D166,lst_CCforGL,0)),""))</f>
        <v/>
      </c>
      <c r="O166" s="27">
        <f>IF(E166="","",IF(M166="GST 10%",ROUND(E166*set_GSTRate,2),0))</f>
        <v/>
      </c>
      <c r="P166" s="27">
        <f>IF(E166="","",E166+O166)</f>
        <v/>
      </c>
      <c r="Q166" s="27">
        <f>IF(A166="","",IFERROR(INDEX(tbl_Onsite[Expected Revenue Ex GST],IFERROR(MATCH(A166&amp;"",tbl_Onsite[Job Number],0),MATCH(IFERROR(A166+0,A166),tbl_Onsite[Job Number],0))),IFERROR(INDEX(tbl_Production[Expected Revenue Ex GST],IFERROR(MATCH(A166&amp;"",tbl_Production[Job Number],0),MATCH(IFERROR(A166+0,A166),tbl_Production[Job Number],0))),IFERROR(INDEX(tbl_Consulting[Expected Revenue Ex GST],IFERROR(MATCH(A166&amp;"",tbl_Consulting[Job Number],0),MATCH(IFERROR(A166+0,A166),tbl_Consulting[Job Number],0))),0))))</f>
        <v/>
      </c>
      <c r="R166" s="27">
        <f>IF(A166="","",SUMIFS(tbl_Finance[Ex GST],tbl_Finance[Job Number],A166&amp;""))</f>
        <v/>
      </c>
      <c r="S166" s="27">
        <f>IF(A166="","",Q166-R166)</f>
        <v/>
      </c>
      <c r="T166" s="26">
        <f>IF(A166="","",IF(Q166=0,"No dept value",IF(ROUND(S166,2)=0,"Agrees",IF(S166&gt;0,"Dept higher - to invoice","Xero higher - check dept"))))</f>
        <v/>
      </c>
      <c r="U166" s="22" t="n"/>
      <c r="V166" s="22" t="n"/>
      <c r="W166" s="23" t="n"/>
      <c r="X166" s="23" t="n"/>
      <c r="Y166" s="22" t="n"/>
      <c r="Z166" s="22" t="n"/>
      <c r="AA166" s="26">
        <f>IF(COUNTA(C166,A166,B166,E166)=0,"",IF(C166="","No date - sits outside every month",IF(A166="","No job number",IF(H166="CHECK","Job number is not in the Xero job list",IF(G166="not set up yet","No department has set this job up - nothing can pull through",IF(D166="","No cost centre",IF(AND(U166="Y",B166=""),"Marked posted to Xero but has no invoice number",IF(N166="","Cost centre has no revenue GL on the Lists sheet",IF(T166="Xero higher - check dept","Invoiced more than the department says the job is worth","")))))))))</f>
        <v/>
      </c>
      <c r="AB166" s="28">
        <f>IF(A166="","",COUNTIFS(tbl_Finance[Job Number],A166&amp;"",tbl_Finance[Ex GST],"&lt;&gt;"))</f>
        <v/>
      </c>
      <c r="AC166" s="27">
        <f>IF(A166="","",SUMIFS(tbl_Finance[Ex GST],tbl_Finance[Job Number],A166&amp;""))</f>
        <v/>
      </c>
      <c r="AD166" s="27">
        <f>IF(A166="","",SUMIFS(tbl_Finance[Ex GST],tbl_Finance[Job Number],A166&amp;"",tbl_Finance[Xero Invoice No],"&lt;&gt;"))</f>
        <v/>
      </c>
      <c r="AE166" s="27">
        <f>IF(A166="","",AC166-AD166)</f>
        <v/>
      </c>
      <c r="AF166" s="26">
        <f>IF(A166="","",IFERROR(IF(INDEX(tbl_Onsite[Qwilr Quote],IFERROR(MATCH(A166&amp;"",tbl_Onsite[Job Number],0),MATCH(IFERROR(A166+0,A166),tbl_Onsite[Job Number],0)))="","",INDEX(tbl_Onsite[Qwilr Quote],IFERROR(MATCH(A166&amp;"",tbl_Onsite[Job Number],0),MATCH(IFERROR(A166+0,A166),tbl_Onsite[Job Number],0)))),IFERROR(IF(IF(INDEX(tbl_Production[Current RMS No],IFERROR(MATCH(A166&amp;"",tbl_Production[Job Number],0),MATCH(IFERROR(A166+0,A166),tbl_Production[Job Number],0)))="",INDEX(tbl_Production[Qwilr Quote],IFERROR(MATCH(A166&amp;"",tbl_Production[Job Number],0),MATCH(IFERROR(A166+0,A166),tbl_Production[Job Number],0))),INDEX(tbl_Production[Current RMS No],IFERROR(MATCH(A166&amp;"",tbl_Production[Job Number],0),MATCH(IFERROR(A166+0,A166),tbl_Production[Job Number],0))))="","",IF(INDEX(tbl_Production[Current RMS No],IFERROR(MATCH(A166&amp;"",tbl_Production[Job Number],0),MATCH(IFERROR(A166+0,A166),tbl_Production[Job Number],0)))="",INDEX(tbl_Production[Qwilr Quote],IFERROR(MATCH(A166&amp;"",tbl_Production[Job Number],0),MATCH(IFERROR(A166+0,A166),tbl_Production[Job Number],0))),INDEX(tbl_Production[Current RMS No],IFERROR(MATCH(A166&amp;"",tbl_Production[Job Number],0),MATCH(IFERROR(A166+0,A166),tbl_Production[Job Number],0))))),IFERROR(IF(INDEX(tbl_Consulting[Qwilr Quote],IFERROR(MATCH(A166&amp;"",tbl_Consulting[Job Number],0),MATCH(IFERROR(A166+0,A166),tbl_Consulting[Job Number],0)))="","",INDEX(tbl_Consulting[Qwilr Quote],IFERROR(MATCH(A166&amp;"",tbl_Consulting[Job Number],0),MATCH(IFERROR(A166+0,A166),tbl_Consulting[Job Number],0)))),""))))</f>
        <v/>
      </c>
      <c r="AG166" s="26">
        <f>IF(AF166="","",IF(AND(LEFT(AF166,4)&lt;&gt;"http",IF(G166="Production",set_RMSBase,set_QwilrBase)=""),"",HYPERLINK(IF(LEFT(AF166,4)="http",AF166,IF(G166="Production",set_RMSBase,set_QwilrBase)&amp;AF166),"Open")))</f>
        <v/>
      </c>
      <c r="AH166" s="27">
        <f>IF(A166="","",IFERROR(INDEX(tbl_Production[Total Expense],IFERROR(MATCH(A166&amp;"",tbl_Production[Job Number],0),MATCH(IFERROR(A166+0,A166),tbl_Production[Job Number],0))),IFERROR(INDEX(tbl_Consulting[Total Expense],IFERROR(MATCH(A166&amp;"",tbl_Consulting[Job Number],0),MATCH(IFERROR(A166+0,A166),tbl_Consulting[Job Number],0))),0)))</f>
        <v/>
      </c>
      <c r="AI166" s="27">
        <f>IF(A166="","",AC166-N(AH166))</f>
        <v/>
      </c>
      <c r="AJ166" s="29">
        <f>IFERROR(AI166/AC166,"")</f>
        <v/>
      </c>
      <c r="AK166" s="26">
        <f>IF(A166="","",IFERROR(IF(INDEX(tbl_Onsite[Notes],IFERROR(MATCH(A166&amp;"",tbl_Onsite[Job Number],0),MATCH(IFERROR(A166+0,A166),tbl_Onsite[Job Number],0)))="","",INDEX(tbl_Onsite[Notes],IFERROR(MATCH(A166&amp;"",tbl_Onsite[Job Number],0),MATCH(IFERROR(A166+0,A166),tbl_Onsite[Job Number],0)))),IFERROR(IF(INDEX(tbl_Production[Notes],IFERROR(MATCH(A166&amp;"",tbl_Production[Job Number],0),MATCH(IFERROR(A166+0,A166),tbl_Production[Job Number],0)))="","",INDEX(tbl_Production[Notes],IFERROR(MATCH(A166&amp;"",tbl_Production[Job Number],0),MATCH(IFERROR(A166+0,A166),tbl_Production[Job Number],0)))),IFERROR(IF(INDEX(tbl_Consulting[Notes],IFERROR(MATCH(A166&amp;"",tbl_Consulting[Job Number],0),MATCH(IFERROR(A166+0,A166),tbl_Consulting[Job Number],0)))="","",INDEX(tbl_Consulting[Notes],IFERROR(MATCH(A166&amp;"",tbl_Consulting[Job Number],0),MATCH(IFERROR(A166+0,A166),tbl_Consulting[Job Number],0)))),""))))</f>
        <v/>
      </c>
    </row>
    <row r="167" ht="15" customHeight="1">
      <c r="A167" s="22" t="n"/>
      <c r="B167" s="22" t="n"/>
      <c r="C167" s="23" t="n"/>
      <c r="D167" s="22" t="n"/>
      <c r="E167" s="24" t="n"/>
      <c r="F167" s="25">
        <f>IF(C167="","",EOMONTH(C167,0))</f>
        <v/>
      </c>
      <c r="G167" s="26">
        <f>IF(A167="","",IF(COUNTIF(tbl_Onsite[Job Number],A167&amp;"")&gt;0,"Onsite",IF(COUNTIF(tbl_Production[Job Number],A167&amp;"")&gt;0,"Production",IF(COUNTIF(tbl_Consulting[Job Number],A167&amp;"")&gt;0,"Consulting","not set up yet"))))</f>
        <v/>
      </c>
      <c r="H167" s="26">
        <f>IF(A167="","",IF(COUNTIF(lst_Jobs,A167&amp;"")&gt;0,"OK","CHECK"))</f>
        <v/>
      </c>
      <c r="I167" s="26">
        <f>IF(A167="","",IFERROR(INDEX(lst_JobName,MATCH(A167&amp;"",lst_Jobs,0)),""))</f>
        <v/>
      </c>
      <c r="J167" s="26">
        <f>IF(A167="","",IFERROR(IF(INDEX(tbl_Onsite[Client],IFERROR(MATCH(A167&amp;"",tbl_Onsite[Job Number],0),MATCH(IFERROR(A167+0,A167),tbl_Onsite[Job Number],0)))="","",INDEX(tbl_Onsite[Client],IFERROR(MATCH(A167&amp;"",tbl_Onsite[Job Number],0),MATCH(IFERROR(A167+0,A167),tbl_Onsite[Job Number],0)))),IFERROR(IF(INDEX(tbl_Production[Client],IFERROR(MATCH(A167&amp;"",tbl_Production[Job Number],0),MATCH(IFERROR(A167+0,A167),tbl_Production[Job Number],0)))="","",INDEX(tbl_Production[Client],IFERROR(MATCH(A167&amp;"",tbl_Production[Job Number],0),MATCH(IFERROR(A167+0,A167),tbl_Production[Job Number],0)))),IFERROR(IF(INDEX(tbl_Consulting[Client],IFERROR(MATCH(A167&amp;"",tbl_Consulting[Job Number],0),MATCH(IFERROR(A167+0,A167),tbl_Consulting[Job Number],0)))="","",INDEX(tbl_Consulting[Client],IFERROR(MATCH(A167&amp;"",tbl_Consulting[Job Number],0),MATCH(IFERROR(A167+0,A167),tbl_Consulting[Job Number],0)))),""))))</f>
        <v/>
      </c>
      <c r="K167" s="26">
        <f>IF(A167="","",IFERROR(IF(INDEX(tbl_Onsite[Job Description],IFERROR(MATCH(A167&amp;"",tbl_Onsite[Job Number],0),MATCH(IFERROR(A167+0,A167),tbl_Onsite[Job Number],0)))="","",INDEX(tbl_Onsite[Job Description],IFERROR(MATCH(A167&amp;"",tbl_Onsite[Job Number],0),MATCH(IFERROR(A167+0,A167),tbl_Onsite[Job Number],0)))),IFERROR(IF(INDEX(tbl_Production[Job Description],IFERROR(MATCH(A167&amp;"",tbl_Production[Job Number],0),MATCH(IFERROR(A167+0,A167),tbl_Production[Job Number],0)))="","",INDEX(tbl_Production[Job Description],IFERROR(MATCH(A167&amp;"",tbl_Production[Job Number],0),MATCH(IFERROR(A167+0,A167),tbl_Production[Job Number],0)))),IFERROR(IF(INDEX(tbl_Consulting[Job Description],IFERROR(MATCH(A167&amp;"",tbl_Consulting[Job Number],0),MATCH(IFERROR(A167+0,A167),tbl_Consulting[Job Number],0)))="","",INDEX(tbl_Consulting[Job Description],IFERROR(MATCH(A167&amp;"",tbl_Consulting[Job Number],0),MATCH(IFERROR(A167+0,A167),tbl_Consulting[Job Number],0)))),""))))</f>
        <v/>
      </c>
      <c r="L167" s="26">
        <f>IF(A167="","",IFERROR(IF(INDEX(tbl_Onsite[Invoice Type],IFERROR(MATCH(A167&amp;"",tbl_Onsite[Job Number],0),MATCH(IFERROR(A167+0,A167),tbl_Onsite[Job Number],0)))="","",INDEX(tbl_Onsite[Invoice Type],IFERROR(MATCH(A167&amp;"",tbl_Onsite[Job Number],0),MATCH(IFERROR(A167+0,A167),tbl_Onsite[Job Number],0)))),IFERROR(IF(INDEX(tbl_Production[Invoice Type],IFERROR(MATCH(A167&amp;"",tbl_Production[Job Number],0),MATCH(IFERROR(A167+0,A167),tbl_Production[Job Number],0)))="","",INDEX(tbl_Production[Invoice Type],IFERROR(MATCH(A167&amp;"",tbl_Production[Job Number],0),MATCH(IFERROR(A167+0,A167),tbl_Production[Job Number],0)))),IFERROR(IF(INDEX(tbl_Consulting[Invoice Type],IFERROR(MATCH(A167&amp;"",tbl_Consulting[Job Number],0),MATCH(IFERROR(A167+0,A167),tbl_Consulting[Job Number],0)))="","",INDEX(tbl_Consulting[Invoice Type],IFERROR(MATCH(A167&amp;"",tbl_Consulting[Job Number],0),MATCH(IFERROR(A167+0,A167),tbl_Consulting[Job Number],0)))),""))))</f>
        <v/>
      </c>
      <c r="M167" s="26">
        <f>IF(A167="","",IF(IFERROR(IF(INDEX(tbl_Onsite[Tax Code],IFERROR(MATCH(A167&amp;"",tbl_Onsite[Job Number],0),MATCH(IFERROR(A167+0,A167),tbl_Onsite[Job Number],0)))="","",INDEX(tbl_Onsite[Tax Code],IFERROR(MATCH(A167&amp;"",tbl_Onsite[Job Number],0),MATCH(IFERROR(A167+0,A167),tbl_Onsite[Job Number],0)))),IFERROR(IF(INDEX(tbl_Production[Tax Code],IFERROR(MATCH(A167&amp;"",tbl_Production[Job Number],0),MATCH(IFERROR(A167+0,A167),tbl_Production[Job Number],0)))="","",INDEX(tbl_Production[Tax Code],IFERROR(MATCH(A167&amp;"",tbl_Production[Job Number],0),MATCH(IFERROR(A167+0,A167),tbl_Production[Job Number],0)))),IFERROR(IF(INDEX(tbl_Consulting[Tax Code],IFERROR(MATCH(A167&amp;"",tbl_Consulting[Job Number],0),MATCH(IFERROR(A167+0,A167),tbl_Consulting[Job Number],0)))="","",INDEX(tbl_Consulting[Tax Code],IFERROR(MATCH(A167&amp;"",tbl_Consulting[Job Number],0),MATCH(IFERROR(A167+0,A167),tbl_Consulting[Job Number],0)))),"")))="","GST 10%",IFERROR(IF(INDEX(tbl_Onsite[Tax Code],IFERROR(MATCH(A167&amp;"",tbl_Onsite[Job Number],0),MATCH(IFERROR(A167+0,A167),tbl_Onsite[Job Number],0)))="","",INDEX(tbl_Onsite[Tax Code],IFERROR(MATCH(A167&amp;"",tbl_Onsite[Job Number],0),MATCH(IFERROR(A167+0,A167),tbl_Onsite[Job Number],0)))),IFERROR(IF(INDEX(tbl_Production[Tax Code],IFERROR(MATCH(A167&amp;"",tbl_Production[Job Number],0),MATCH(IFERROR(A167+0,A167),tbl_Production[Job Number],0)))="","",INDEX(tbl_Production[Tax Code],IFERROR(MATCH(A167&amp;"",tbl_Production[Job Number],0),MATCH(IFERROR(A167+0,A167),tbl_Production[Job Number],0)))),IFERROR(IF(INDEX(tbl_Consulting[Tax Code],IFERROR(MATCH(A167&amp;"",tbl_Consulting[Job Number],0),MATCH(IFERROR(A167+0,A167),tbl_Consulting[Job Number],0)))="","",INDEX(tbl_Consulting[Tax Code],IFERROR(MATCH(A167&amp;"",tbl_Consulting[Job Number],0),MATCH(IFERROR(A167+0,A167),tbl_Consulting[Job Number],0)))),"")))))</f>
        <v/>
      </c>
      <c r="N167" s="26">
        <f>IF(D167="","",IFERROR(INDEX(lst_CCtoGL,MATCH(D167,lst_CCforGL,0)),""))</f>
        <v/>
      </c>
      <c r="O167" s="27">
        <f>IF(E167="","",IF(M167="GST 10%",ROUND(E167*set_GSTRate,2),0))</f>
        <v/>
      </c>
      <c r="P167" s="27">
        <f>IF(E167="","",E167+O167)</f>
        <v/>
      </c>
      <c r="Q167" s="27">
        <f>IF(A167="","",IFERROR(INDEX(tbl_Onsite[Expected Revenue Ex GST],IFERROR(MATCH(A167&amp;"",tbl_Onsite[Job Number],0),MATCH(IFERROR(A167+0,A167),tbl_Onsite[Job Number],0))),IFERROR(INDEX(tbl_Production[Expected Revenue Ex GST],IFERROR(MATCH(A167&amp;"",tbl_Production[Job Number],0),MATCH(IFERROR(A167+0,A167),tbl_Production[Job Number],0))),IFERROR(INDEX(tbl_Consulting[Expected Revenue Ex GST],IFERROR(MATCH(A167&amp;"",tbl_Consulting[Job Number],0),MATCH(IFERROR(A167+0,A167),tbl_Consulting[Job Number],0))),0))))</f>
        <v/>
      </c>
      <c r="R167" s="27">
        <f>IF(A167="","",SUMIFS(tbl_Finance[Ex GST],tbl_Finance[Job Number],A167&amp;""))</f>
        <v/>
      </c>
      <c r="S167" s="27">
        <f>IF(A167="","",Q167-R167)</f>
        <v/>
      </c>
      <c r="T167" s="26">
        <f>IF(A167="","",IF(Q167=0,"No dept value",IF(ROUND(S167,2)=0,"Agrees",IF(S167&gt;0,"Dept higher - to invoice","Xero higher - check dept"))))</f>
        <v/>
      </c>
      <c r="U167" s="22" t="n"/>
      <c r="V167" s="22" t="n"/>
      <c r="W167" s="23" t="n"/>
      <c r="X167" s="23" t="n"/>
      <c r="Y167" s="22" t="n"/>
      <c r="Z167" s="22" t="n"/>
      <c r="AA167" s="26">
        <f>IF(COUNTA(C167,A167,B167,E167)=0,"",IF(C167="","No date - sits outside every month",IF(A167="","No job number",IF(H167="CHECK","Job number is not in the Xero job list",IF(G167="not set up yet","No department has set this job up - nothing can pull through",IF(D167="","No cost centre",IF(AND(U167="Y",B167=""),"Marked posted to Xero but has no invoice number",IF(N167="","Cost centre has no revenue GL on the Lists sheet",IF(T167="Xero higher - check dept","Invoiced more than the department says the job is worth","")))))))))</f>
        <v/>
      </c>
      <c r="AB167" s="28">
        <f>IF(A167="","",COUNTIFS(tbl_Finance[Job Number],A167&amp;"",tbl_Finance[Ex GST],"&lt;&gt;"))</f>
        <v/>
      </c>
      <c r="AC167" s="27">
        <f>IF(A167="","",SUMIFS(tbl_Finance[Ex GST],tbl_Finance[Job Number],A167&amp;""))</f>
        <v/>
      </c>
      <c r="AD167" s="27">
        <f>IF(A167="","",SUMIFS(tbl_Finance[Ex GST],tbl_Finance[Job Number],A167&amp;"",tbl_Finance[Xero Invoice No],"&lt;&gt;"))</f>
        <v/>
      </c>
      <c r="AE167" s="27">
        <f>IF(A167="","",AC167-AD167)</f>
        <v/>
      </c>
      <c r="AF167" s="26">
        <f>IF(A167="","",IFERROR(IF(INDEX(tbl_Onsite[Qwilr Quote],IFERROR(MATCH(A167&amp;"",tbl_Onsite[Job Number],0),MATCH(IFERROR(A167+0,A167),tbl_Onsite[Job Number],0)))="","",INDEX(tbl_Onsite[Qwilr Quote],IFERROR(MATCH(A167&amp;"",tbl_Onsite[Job Number],0),MATCH(IFERROR(A167+0,A167),tbl_Onsite[Job Number],0)))),IFERROR(IF(IF(INDEX(tbl_Production[Current RMS No],IFERROR(MATCH(A167&amp;"",tbl_Production[Job Number],0),MATCH(IFERROR(A167+0,A167),tbl_Production[Job Number],0)))="",INDEX(tbl_Production[Qwilr Quote],IFERROR(MATCH(A167&amp;"",tbl_Production[Job Number],0),MATCH(IFERROR(A167+0,A167),tbl_Production[Job Number],0))),INDEX(tbl_Production[Current RMS No],IFERROR(MATCH(A167&amp;"",tbl_Production[Job Number],0),MATCH(IFERROR(A167+0,A167),tbl_Production[Job Number],0))))="","",IF(INDEX(tbl_Production[Current RMS No],IFERROR(MATCH(A167&amp;"",tbl_Production[Job Number],0),MATCH(IFERROR(A167+0,A167),tbl_Production[Job Number],0)))="",INDEX(tbl_Production[Qwilr Quote],IFERROR(MATCH(A167&amp;"",tbl_Production[Job Number],0),MATCH(IFERROR(A167+0,A167),tbl_Production[Job Number],0))),INDEX(tbl_Production[Current RMS No],IFERROR(MATCH(A167&amp;"",tbl_Production[Job Number],0),MATCH(IFERROR(A167+0,A167),tbl_Production[Job Number],0))))),IFERROR(IF(INDEX(tbl_Consulting[Qwilr Quote],IFERROR(MATCH(A167&amp;"",tbl_Consulting[Job Number],0),MATCH(IFERROR(A167+0,A167),tbl_Consulting[Job Number],0)))="","",INDEX(tbl_Consulting[Qwilr Quote],IFERROR(MATCH(A167&amp;"",tbl_Consulting[Job Number],0),MATCH(IFERROR(A167+0,A167),tbl_Consulting[Job Number],0)))),""))))</f>
        <v/>
      </c>
      <c r="AG167" s="26">
        <f>IF(AF167="","",IF(AND(LEFT(AF167,4)&lt;&gt;"http",IF(G167="Production",set_RMSBase,set_QwilrBase)=""),"",HYPERLINK(IF(LEFT(AF167,4)="http",AF167,IF(G167="Production",set_RMSBase,set_QwilrBase)&amp;AF167),"Open")))</f>
        <v/>
      </c>
      <c r="AH167" s="27">
        <f>IF(A167="","",IFERROR(INDEX(tbl_Production[Total Expense],IFERROR(MATCH(A167&amp;"",tbl_Production[Job Number],0),MATCH(IFERROR(A167+0,A167),tbl_Production[Job Number],0))),IFERROR(INDEX(tbl_Consulting[Total Expense],IFERROR(MATCH(A167&amp;"",tbl_Consulting[Job Number],0),MATCH(IFERROR(A167+0,A167),tbl_Consulting[Job Number],0))),0)))</f>
        <v/>
      </c>
      <c r="AI167" s="27">
        <f>IF(A167="","",AC167-N(AH167))</f>
        <v/>
      </c>
      <c r="AJ167" s="29">
        <f>IFERROR(AI167/AC167,"")</f>
        <v/>
      </c>
      <c r="AK167" s="26">
        <f>IF(A167="","",IFERROR(IF(INDEX(tbl_Onsite[Notes],IFERROR(MATCH(A167&amp;"",tbl_Onsite[Job Number],0),MATCH(IFERROR(A167+0,A167),tbl_Onsite[Job Number],0)))="","",INDEX(tbl_Onsite[Notes],IFERROR(MATCH(A167&amp;"",tbl_Onsite[Job Number],0),MATCH(IFERROR(A167+0,A167),tbl_Onsite[Job Number],0)))),IFERROR(IF(INDEX(tbl_Production[Notes],IFERROR(MATCH(A167&amp;"",tbl_Production[Job Number],0),MATCH(IFERROR(A167+0,A167),tbl_Production[Job Number],0)))="","",INDEX(tbl_Production[Notes],IFERROR(MATCH(A167&amp;"",tbl_Production[Job Number],0),MATCH(IFERROR(A167+0,A167),tbl_Production[Job Number],0)))),IFERROR(IF(INDEX(tbl_Consulting[Notes],IFERROR(MATCH(A167&amp;"",tbl_Consulting[Job Number],0),MATCH(IFERROR(A167+0,A167),tbl_Consulting[Job Number],0)))="","",INDEX(tbl_Consulting[Notes],IFERROR(MATCH(A167&amp;"",tbl_Consulting[Job Number],0),MATCH(IFERROR(A167+0,A167),tbl_Consulting[Job Number],0)))),""))))</f>
        <v/>
      </c>
    </row>
    <row r="168" ht="15" customHeight="1">
      <c r="A168" s="22" t="n"/>
      <c r="B168" s="22" t="n"/>
      <c r="C168" s="23" t="n"/>
      <c r="D168" s="22" t="n"/>
      <c r="E168" s="24" t="n"/>
      <c r="F168" s="25">
        <f>IF(C168="","",EOMONTH(C168,0))</f>
        <v/>
      </c>
      <c r="G168" s="26">
        <f>IF(A168="","",IF(COUNTIF(tbl_Onsite[Job Number],A168&amp;"")&gt;0,"Onsite",IF(COUNTIF(tbl_Production[Job Number],A168&amp;"")&gt;0,"Production",IF(COUNTIF(tbl_Consulting[Job Number],A168&amp;"")&gt;0,"Consulting","not set up yet"))))</f>
        <v/>
      </c>
      <c r="H168" s="26">
        <f>IF(A168="","",IF(COUNTIF(lst_Jobs,A168&amp;"")&gt;0,"OK","CHECK"))</f>
        <v/>
      </c>
      <c r="I168" s="26">
        <f>IF(A168="","",IFERROR(INDEX(lst_JobName,MATCH(A168&amp;"",lst_Jobs,0)),""))</f>
        <v/>
      </c>
      <c r="J168" s="26">
        <f>IF(A168="","",IFERROR(IF(INDEX(tbl_Onsite[Client],IFERROR(MATCH(A168&amp;"",tbl_Onsite[Job Number],0),MATCH(IFERROR(A168+0,A168),tbl_Onsite[Job Number],0)))="","",INDEX(tbl_Onsite[Client],IFERROR(MATCH(A168&amp;"",tbl_Onsite[Job Number],0),MATCH(IFERROR(A168+0,A168),tbl_Onsite[Job Number],0)))),IFERROR(IF(INDEX(tbl_Production[Client],IFERROR(MATCH(A168&amp;"",tbl_Production[Job Number],0),MATCH(IFERROR(A168+0,A168),tbl_Production[Job Number],0)))="","",INDEX(tbl_Production[Client],IFERROR(MATCH(A168&amp;"",tbl_Production[Job Number],0),MATCH(IFERROR(A168+0,A168),tbl_Production[Job Number],0)))),IFERROR(IF(INDEX(tbl_Consulting[Client],IFERROR(MATCH(A168&amp;"",tbl_Consulting[Job Number],0),MATCH(IFERROR(A168+0,A168),tbl_Consulting[Job Number],0)))="","",INDEX(tbl_Consulting[Client],IFERROR(MATCH(A168&amp;"",tbl_Consulting[Job Number],0),MATCH(IFERROR(A168+0,A168),tbl_Consulting[Job Number],0)))),""))))</f>
        <v/>
      </c>
      <c r="K168" s="26">
        <f>IF(A168="","",IFERROR(IF(INDEX(tbl_Onsite[Job Description],IFERROR(MATCH(A168&amp;"",tbl_Onsite[Job Number],0),MATCH(IFERROR(A168+0,A168),tbl_Onsite[Job Number],0)))="","",INDEX(tbl_Onsite[Job Description],IFERROR(MATCH(A168&amp;"",tbl_Onsite[Job Number],0),MATCH(IFERROR(A168+0,A168),tbl_Onsite[Job Number],0)))),IFERROR(IF(INDEX(tbl_Production[Job Description],IFERROR(MATCH(A168&amp;"",tbl_Production[Job Number],0),MATCH(IFERROR(A168+0,A168),tbl_Production[Job Number],0)))="","",INDEX(tbl_Production[Job Description],IFERROR(MATCH(A168&amp;"",tbl_Production[Job Number],0),MATCH(IFERROR(A168+0,A168),tbl_Production[Job Number],0)))),IFERROR(IF(INDEX(tbl_Consulting[Job Description],IFERROR(MATCH(A168&amp;"",tbl_Consulting[Job Number],0),MATCH(IFERROR(A168+0,A168),tbl_Consulting[Job Number],0)))="","",INDEX(tbl_Consulting[Job Description],IFERROR(MATCH(A168&amp;"",tbl_Consulting[Job Number],0),MATCH(IFERROR(A168+0,A168),tbl_Consulting[Job Number],0)))),""))))</f>
        <v/>
      </c>
      <c r="L168" s="26">
        <f>IF(A168="","",IFERROR(IF(INDEX(tbl_Onsite[Invoice Type],IFERROR(MATCH(A168&amp;"",tbl_Onsite[Job Number],0),MATCH(IFERROR(A168+0,A168),tbl_Onsite[Job Number],0)))="","",INDEX(tbl_Onsite[Invoice Type],IFERROR(MATCH(A168&amp;"",tbl_Onsite[Job Number],0),MATCH(IFERROR(A168+0,A168),tbl_Onsite[Job Number],0)))),IFERROR(IF(INDEX(tbl_Production[Invoice Type],IFERROR(MATCH(A168&amp;"",tbl_Production[Job Number],0),MATCH(IFERROR(A168+0,A168),tbl_Production[Job Number],0)))="","",INDEX(tbl_Production[Invoice Type],IFERROR(MATCH(A168&amp;"",tbl_Production[Job Number],0),MATCH(IFERROR(A168+0,A168),tbl_Production[Job Number],0)))),IFERROR(IF(INDEX(tbl_Consulting[Invoice Type],IFERROR(MATCH(A168&amp;"",tbl_Consulting[Job Number],0),MATCH(IFERROR(A168+0,A168),tbl_Consulting[Job Number],0)))="","",INDEX(tbl_Consulting[Invoice Type],IFERROR(MATCH(A168&amp;"",tbl_Consulting[Job Number],0),MATCH(IFERROR(A168+0,A168),tbl_Consulting[Job Number],0)))),""))))</f>
        <v/>
      </c>
      <c r="M168" s="26">
        <f>IF(A168="","",IF(IFERROR(IF(INDEX(tbl_Onsite[Tax Code],IFERROR(MATCH(A168&amp;"",tbl_Onsite[Job Number],0),MATCH(IFERROR(A168+0,A168),tbl_Onsite[Job Number],0)))="","",INDEX(tbl_Onsite[Tax Code],IFERROR(MATCH(A168&amp;"",tbl_Onsite[Job Number],0),MATCH(IFERROR(A168+0,A168),tbl_Onsite[Job Number],0)))),IFERROR(IF(INDEX(tbl_Production[Tax Code],IFERROR(MATCH(A168&amp;"",tbl_Production[Job Number],0),MATCH(IFERROR(A168+0,A168),tbl_Production[Job Number],0)))="","",INDEX(tbl_Production[Tax Code],IFERROR(MATCH(A168&amp;"",tbl_Production[Job Number],0),MATCH(IFERROR(A168+0,A168),tbl_Production[Job Number],0)))),IFERROR(IF(INDEX(tbl_Consulting[Tax Code],IFERROR(MATCH(A168&amp;"",tbl_Consulting[Job Number],0),MATCH(IFERROR(A168+0,A168),tbl_Consulting[Job Number],0)))="","",INDEX(tbl_Consulting[Tax Code],IFERROR(MATCH(A168&amp;"",tbl_Consulting[Job Number],0),MATCH(IFERROR(A168+0,A168),tbl_Consulting[Job Number],0)))),"")))="","GST 10%",IFERROR(IF(INDEX(tbl_Onsite[Tax Code],IFERROR(MATCH(A168&amp;"",tbl_Onsite[Job Number],0),MATCH(IFERROR(A168+0,A168),tbl_Onsite[Job Number],0)))="","",INDEX(tbl_Onsite[Tax Code],IFERROR(MATCH(A168&amp;"",tbl_Onsite[Job Number],0),MATCH(IFERROR(A168+0,A168),tbl_Onsite[Job Number],0)))),IFERROR(IF(INDEX(tbl_Production[Tax Code],IFERROR(MATCH(A168&amp;"",tbl_Production[Job Number],0),MATCH(IFERROR(A168+0,A168),tbl_Production[Job Number],0)))="","",INDEX(tbl_Production[Tax Code],IFERROR(MATCH(A168&amp;"",tbl_Production[Job Number],0),MATCH(IFERROR(A168+0,A168),tbl_Production[Job Number],0)))),IFERROR(IF(INDEX(tbl_Consulting[Tax Code],IFERROR(MATCH(A168&amp;"",tbl_Consulting[Job Number],0),MATCH(IFERROR(A168+0,A168),tbl_Consulting[Job Number],0)))="","",INDEX(tbl_Consulting[Tax Code],IFERROR(MATCH(A168&amp;"",tbl_Consulting[Job Number],0),MATCH(IFERROR(A168+0,A168),tbl_Consulting[Job Number],0)))),"")))))</f>
        <v/>
      </c>
      <c r="N168" s="26">
        <f>IF(D168="","",IFERROR(INDEX(lst_CCtoGL,MATCH(D168,lst_CCforGL,0)),""))</f>
        <v/>
      </c>
      <c r="O168" s="27">
        <f>IF(E168="","",IF(M168="GST 10%",ROUND(E168*set_GSTRate,2),0))</f>
        <v/>
      </c>
      <c r="P168" s="27">
        <f>IF(E168="","",E168+O168)</f>
        <v/>
      </c>
      <c r="Q168" s="27">
        <f>IF(A168="","",IFERROR(INDEX(tbl_Onsite[Expected Revenue Ex GST],IFERROR(MATCH(A168&amp;"",tbl_Onsite[Job Number],0),MATCH(IFERROR(A168+0,A168),tbl_Onsite[Job Number],0))),IFERROR(INDEX(tbl_Production[Expected Revenue Ex GST],IFERROR(MATCH(A168&amp;"",tbl_Production[Job Number],0),MATCH(IFERROR(A168+0,A168),tbl_Production[Job Number],0))),IFERROR(INDEX(tbl_Consulting[Expected Revenue Ex GST],IFERROR(MATCH(A168&amp;"",tbl_Consulting[Job Number],0),MATCH(IFERROR(A168+0,A168),tbl_Consulting[Job Number],0))),0))))</f>
        <v/>
      </c>
      <c r="R168" s="27">
        <f>IF(A168="","",SUMIFS(tbl_Finance[Ex GST],tbl_Finance[Job Number],A168&amp;""))</f>
        <v/>
      </c>
      <c r="S168" s="27">
        <f>IF(A168="","",Q168-R168)</f>
        <v/>
      </c>
      <c r="T168" s="26">
        <f>IF(A168="","",IF(Q168=0,"No dept value",IF(ROUND(S168,2)=0,"Agrees",IF(S168&gt;0,"Dept higher - to invoice","Xero higher - check dept"))))</f>
        <v/>
      </c>
      <c r="U168" s="22" t="n"/>
      <c r="V168" s="22" t="n"/>
      <c r="W168" s="23" t="n"/>
      <c r="X168" s="23" t="n"/>
      <c r="Y168" s="22" t="n"/>
      <c r="Z168" s="22" t="n"/>
      <c r="AA168" s="26">
        <f>IF(COUNTA(C168,A168,B168,E168)=0,"",IF(C168="","No date - sits outside every month",IF(A168="","No job number",IF(H168="CHECK","Job number is not in the Xero job list",IF(G168="not set up yet","No department has set this job up - nothing can pull through",IF(D168="","No cost centre",IF(AND(U168="Y",B168=""),"Marked posted to Xero but has no invoice number",IF(N168="","Cost centre has no revenue GL on the Lists sheet",IF(T168="Xero higher - check dept","Invoiced more than the department says the job is worth","")))))))))</f>
        <v/>
      </c>
      <c r="AB168" s="28">
        <f>IF(A168="","",COUNTIFS(tbl_Finance[Job Number],A168&amp;"",tbl_Finance[Ex GST],"&lt;&gt;"))</f>
        <v/>
      </c>
      <c r="AC168" s="27">
        <f>IF(A168="","",SUMIFS(tbl_Finance[Ex GST],tbl_Finance[Job Number],A168&amp;""))</f>
        <v/>
      </c>
      <c r="AD168" s="27">
        <f>IF(A168="","",SUMIFS(tbl_Finance[Ex GST],tbl_Finance[Job Number],A168&amp;"",tbl_Finance[Xero Invoice No],"&lt;&gt;"))</f>
        <v/>
      </c>
      <c r="AE168" s="27">
        <f>IF(A168="","",AC168-AD168)</f>
        <v/>
      </c>
      <c r="AF168" s="26">
        <f>IF(A168="","",IFERROR(IF(INDEX(tbl_Onsite[Qwilr Quote],IFERROR(MATCH(A168&amp;"",tbl_Onsite[Job Number],0),MATCH(IFERROR(A168+0,A168),tbl_Onsite[Job Number],0)))="","",INDEX(tbl_Onsite[Qwilr Quote],IFERROR(MATCH(A168&amp;"",tbl_Onsite[Job Number],0),MATCH(IFERROR(A168+0,A168),tbl_Onsite[Job Number],0)))),IFERROR(IF(IF(INDEX(tbl_Production[Current RMS No],IFERROR(MATCH(A168&amp;"",tbl_Production[Job Number],0),MATCH(IFERROR(A168+0,A168),tbl_Production[Job Number],0)))="",INDEX(tbl_Production[Qwilr Quote],IFERROR(MATCH(A168&amp;"",tbl_Production[Job Number],0),MATCH(IFERROR(A168+0,A168),tbl_Production[Job Number],0))),INDEX(tbl_Production[Current RMS No],IFERROR(MATCH(A168&amp;"",tbl_Production[Job Number],0),MATCH(IFERROR(A168+0,A168),tbl_Production[Job Number],0))))="","",IF(INDEX(tbl_Production[Current RMS No],IFERROR(MATCH(A168&amp;"",tbl_Production[Job Number],0),MATCH(IFERROR(A168+0,A168),tbl_Production[Job Number],0)))="",INDEX(tbl_Production[Qwilr Quote],IFERROR(MATCH(A168&amp;"",tbl_Production[Job Number],0),MATCH(IFERROR(A168+0,A168),tbl_Production[Job Number],0))),INDEX(tbl_Production[Current RMS No],IFERROR(MATCH(A168&amp;"",tbl_Production[Job Number],0),MATCH(IFERROR(A168+0,A168),tbl_Production[Job Number],0))))),IFERROR(IF(INDEX(tbl_Consulting[Qwilr Quote],IFERROR(MATCH(A168&amp;"",tbl_Consulting[Job Number],0),MATCH(IFERROR(A168+0,A168),tbl_Consulting[Job Number],0)))="","",INDEX(tbl_Consulting[Qwilr Quote],IFERROR(MATCH(A168&amp;"",tbl_Consulting[Job Number],0),MATCH(IFERROR(A168+0,A168),tbl_Consulting[Job Number],0)))),""))))</f>
        <v/>
      </c>
      <c r="AG168" s="26">
        <f>IF(AF168="","",IF(AND(LEFT(AF168,4)&lt;&gt;"http",IF(G168="Production",set_RMSBase,set_QwilrBase)=""),"",HYPERLINK(IF(LEFT(AF168,4)="http",AF168,IF(G168="Production",set_RMSBase,set_QwilrBase)&amp;AF168),"Open")))</f>
        <v/>
      </c>
      <c r="AH168" s="27">
        <f>IF(A168="","",IFERROR(INDEX(tbl_Production[Total Expense],IFERROR(MATCH(A168&amp;"",tbl_Production[Job Number],0),MATCH(IFERROR(A168+0,A168),tbl_Production[Job Number],0))),IFERROR(INDEX(tbl_Consulting[Total Expense],IFERROR(MATCH(A168&amp;"",tbl_Consulting[Job Number],0),MATCH(IFERROR(A168+0,A168),tbl_Consulting[Job Number],0))),0)))</f>
        <v/>
      </c>
      <c r="AI168" s="27">
        <f>IF(A168="","",AC168-N(AH168))</f>
        <v/>
      </c>
      <c r="AJ168" s="29">
        <f>IFERROR(AI168/AC168,"")</f>
        <v/>
      </c>
      <c r="AK168" s="26">
        <f>IF(A168="","",IFERROR(IF(INDEX(tbl_Onsite[Notes],IFERROR(MATCH(A168&amp;"",tbl_Onsite[Job Number],0),MATCH(IFERROR(A168+0,A168),tbl_Onsite[Job Number],0)))="","",INDEX(tbl_Onsite[Notes],IFERROR(MATCH(A168&amp;"",tbl_Onsite[Job Number],0),MATCH(IFERROR(A168+0,A168),tbl_Onsite[Job Number],0)))),IFERROR(IF(INDEX(tbl_Production[Notes],IFERROR(MATCH(A168&amp;"",tbl_Production[Job Number],0),MATCH(IFERROR(A168+0,A168),tbl_Production[Job Number],0)))="","",INDEX(tbl_Production[Notes],IFERROR(MATCH(A168&amp;"",tbl_Production[Job Number],0),MATCH(IFERROR(A168+0,A168),tbl_Production[Job Number],0)))),IFERROR(IF(INDEX(tbl_Consulting[Notes],IFERROR(MATCH(A168&amp;"",tbl_Consulting[Job Number],0),MATCH(IFERROR(A168+0,A168),tbl_Consulting[Job Number],0)))="","",INDEX(tbl_Consulting[Notes],IFERROR(MATCH(A168&amp;"",tbl_Consulting[Job Number],0),MATCH(IFERROR(A168+0,A168),tbl_Consulting[Job Number],0)))),""))))</f>
        <v/>
      </c>
    </row>
    <row r="169" ht="15" customHeight="1">
      <c r="A169" s="22" t="n"/>
      <c r="B169" s="22" t="n"/>
      <c r="C169" s="23" t="n"/>
      <c r="D169" s="22" t="n"/>
      <c r="E169" s="24" t="n"/>
      <c r="F169" s="25">
        <f>IF(C169="","",EOMONTH(C169,0))</f>
        <v/>
      </c>
      <c r="G169" s="26">
        <f>IF(A169="","",IF(COUNTIF(tbl_Onsite[Job Number],A169&amp;"")&gt;0,"Onsite",IF(COUNTIF(tbl_Production[Job Number],A169&amp;"")&gt;0,"Production",IF(COUNTIF(tbl_Consulting[Job Number],A169&amp;"")&gt;0,"Consulting","not set up yet"))))</f>
        <v/>
      </c>
      <c r="H169" s="26">
        <f>IF(A169="","",IF(COUNTIF(lst_Jobs,A169&amp;"")&gt;0,"OK","CHECK"))</f>
        <v/>
      </c>
      <c r="I169" s="26">
        <f>IF(A169="","",IFERROR(INDEX(lst_JobName,MATCH(A169&amp;"",lst_Jobs,0)),""))</f>
        <v/>
      </c>
      <c r="J169" s="26">
        <f>IF(A169="","",IFERROR(IF(INDEX(tbl_Onsite[Client],IFERROR(MATCH(A169&amp;"",tbl_Onsite[Job Number],0),MATCH(IFERROR(A169+0,A169),tbl_Onsite[Job Number],0)))="","",INDEX(tbl_Onsite[Client],IFERROR(MATCH(A169&amp;"",tbl_Onsite[Job Number],0),MATCH(IFERROR(A169+0,A169),tbl_Onsite[Job Number],0)))),IFERROR(IF(INDEX(tbl_Production[Client],IFERROR(MATCH(A169&amp;"",tbl_Production[Job Number],0),MATCH(IFERROR(A169+0,A169),tbl_Production[Job Number],0)))="","",INDEX(tbl_Production[Client],IFERROR(MATCH(A169&amp;"",tbl_Production[Job Number],0),MATCH(IFERROR(A169+0,A169),tbl_Production[Job Number],0)))),IFERROR(IF(INDEX(tbl_Consulting[Client],IFERROR(MATCH(A169&amp;"",tbl_Consulting[Job Number],0),MATCH(IFERROR(A169+0,A169),tbl_Consulting[Job Number],0)))="","",INDEX(tbl_Consulting[Client],IFERROR(MATCH(A169&amp;"",tbl_Consulting[Job Number],0),MATCH(IFERROR(A169+0,A169),tbl_Consulting[Job Number],0)))),""))))</f>
        <v/>
      </c>
      <c r="K169" s="26">
        <f>IF(A169="","",IFERROR(IF(INDEX(tbl_Onsite[Job Description],IFERROR(MATCH(A169&amp;"",tbl_Onsite[Job Number],0),MATCH(IFERROR(A169+0,A169),tbl_Onsite[Job Number],0)))="","",INDEX(tbl_Onsite[Job Description],IFERROR(MATCH(A169&amp;"",tbl_Onsite[Job Number],0),MATCH(IFERROR(A169+0,A169),tbl_Onsite[Job Number],0)))),IFERROR(IF(INDEX(tbl_Production[Job Description],IFERROR(MATCH(A169&amp;"",tbl_Production[Job Number],0),MATCH(IFERROR(A169+0,A169),tbl_Production[Job Number],0)))="","",INDEX(tbl_Production[Job Description],IFERROR(MATCH(A169&amp;"",tbl_Production[Job Number],0),MATCH(IFERROR(A169+0,A169),tbl_Production[Job Number],0)))),IFERROR(IF(INDEX(tbl_Consulting[Job Description],IFERROR(MATCH(A169&amp;"",tbl_Consulting[Job Number],0),MATCH(IFERROR(A169+0,A169),tbl_Consulting[Job Number],0)))="","",INDEX(tbl_Consulting[Job Description],IFERROR(MATCH(A169&amp;"",tbl_Consulting[Job Number],0),MATCH(IFERROR(A169+0,A169),tbl_Consulting[Job Number],0)))),""))))</f>
        <v/>
      </c>
      <c r="L169" s="26">
        <f>IF(A169="","",IFERROR(IF(INDEX(tbl_Onsite[Invoice Type],IFERROR(MATCH(A169&amp;"",tbl_Onsite[Job Number],0),MATCH(IFERROR(A169+0,A169),tbl_Onsite[Job Number],0)))="","",INDEX(tbl_Onsite[Invoice Type],IFERROR(MATCH(A169&amp;"",tbl_Onsite[Job Number],0),MATCH(IFERROR(A169+0,A169),tbl_Onsite[Job Number],0)))),IFERROR(IF(INDEX(tbl_Production[Invoice Type],IFERROR(MATCH(A169&amp;"",tbl_Production[Job Number],0),MATCH(IFERROR(A169+0,A169),tbl_Production[Job Number],0)))="","",INDEX(tbl_Production[Invoice Type],IFERROR(MATCH(A169&amp;"",tbl_Production[Job Number],0),MATCH(IFERROR(A169+0,A169),tbl_Production[Job Number],0)))),IFERROR(IF(INDEX(tbl_Consulting[Invoice Type],IFERROR(MATCH(A169&amp;"",tbl_Consulting[Job Number],0),MATCH(IFERROR(A169+0,A169),tbl_Consulting[Job Number],0)))="","",INDEX(tbl_Consulting[Invoice Type],IFERROR(MATCH(A169&amp;"",tbl_Consulting[Job Number],0),MATCH(IFERROR(A169+0,A169),tbl_Consulting[Job Number],0)))),""))))</f>
        <v/>
      </c>
      <c r="M169" s="26">
        <f>IF(A169="","",IF(IFERROR(IF(INDEX(tbl_Onsite[Tax Code],IFERROR(MATCH(A169&amp;"",tbl_Onsite[Job Number],0),MATCH(IFERROR(A169+0,A169),tbl_Onsite[Job Number],0)))="","",INDEX(tbl_Onsite[Tax Code],IFERROR(MATCH(A169&amp;"",tbl_Onsite[Job Number],0),MATCH(IFERROR(A169+0,A169),tbl_Onsite[Job Number],0)))),IFERROR(IF(INDEX(tbl_Production[Tax Code],IFERROR(MATCH(A169&amp;"",tbl_Production[Job Number],0),MATCH(IFERROR(A169+0,A169),tbl_Production[Job Number],0)))="","",INDEX(tbl_Production[Tax Code],IFERROR(MATCH(A169&amp;"",tbl_Production[Job Number],0),MATCH(IFERROR(A169+0,A169),tbl_Production[Job Number],0)))),IFERROR(IF(INDEX(tbl_Consulting[Tax Code],IFERROR(MATCH(A169&amp;"",tbl_Consulting[Job Number],0),MATCH(IFERROR(A169+0,A169),tbl_Consulting[Job Number],0)))="","",INDEX(tbl_Consulting[Tax Code],IFERROR(MATCH(A169&amp;"",tbl_Consulting[Job Number],0),MATCH(IFERROR(A169+0,A169),tbl_Consulting[Job Number],0)))),"")))="","GST 10%",IFERROR(IF(INDEX(tbl_Onsite[Tax Code],IFERROR(MATCH(A169&amp;"",tbl_Onsite[Job Number],0),MATCH(IFERROR(A169+0,A169),tbl_Onsite[Job Number],0)))="","",INDEX(tbl_Onsite[Tax Code],IFERROR(MATCH(A169&amp;"",tbl_Onsite[Job Number],0),MATCH(IFERROR(A169+0,A169),tbl_Onsite[Job Number],0)))),IFERROR(IF(INDEX(tbl_Production[Tax Code],IFERROR(MATCH(A169&amp;"",tbl_Production[Job Number],0),MATCH(IFERROR(A169+0,A169),tbl_Production[Job Number],0)))="","",INDEX(tbl_Production[Tax Code],IFERROR(MATCH(A169&amp;"",tbl_Production[Job Number],0),MATCH(IFERROR(A169+0,A169),tbl_Production[Job Number],0)))),IFERROR(IF(INDEX(tbl_Consulting[Tax Code],IFERROR(MATCH(A169&amp;"",tbl_Consulting[Job Number],0),MATCH(IFERROR(A169+0,A169),tbl_Consulting[Job Number],0)))="","",INDEX(tbl_Consulting[Tax Code],IFERROR(MATCH(A169&amp;"",tbl_Consulting[Job Number],0),MATCH(IFERROR(A169+0,A169),tbl_Consulting[Job Number],0)))),"")))))</f>
        <v/>
      </c>
      <c r="N169" s="26">
        <f>IF(D169="","",IFERROR(INDEX(lst_CCtoGL,MATCH(D169,lst_CCforGL,0)),""))</f>
        <v/>
      </c>
      <c r="O169" s="27">
        <f>IF(E169="","",IF(M169="GST 10%",ROUND(E169*set_GSTRate,2),0))</f>
        <v/>
      </c>
      <c r="P169" s="27">
        <f>IF(E169="","",E169+O169)</f>
        <v/>
      </c>
      <c r="Q169" s="27">
        <f>IF(A169="","",IFERROR(INDEX(tbl_Onsite[Expected Revenue Ex GST],IFERROR(MATCH(A169&amp;"",tbl_Onsite[Job Number],0),MATCH(IFERROR(A169+0,A169),tbl_Onsite[Job Number],0))),IFERROR(INDEX(tbl_Production[Expected Revenue Ex GST],IFERROR(MATCH(A169&amp;"",tbl_Production[Job Number],0),MATCH(IFERROR(A169+0,A169),tbl_Production[Job Number],0))),IFERROR(INDEX(tbl_Consulting[Expected Revenue Ex GST],IFERROR(MATCH(A169&amp;"",tbl_Consulting[Job Number],0),MATCH(IFERROR(A169+0,A169),tbl_Consulting[Job Number],0))),0))))</f>
        <v/>
      </c>
      <c r="R169" s="27">
        <f>IF(A169="","",SUMIFS(tbl_Finance[Ex GST],tbl_Finance[Job Number],A169&amp;""))</f>
        <v/>
      </c>
      <c r="S169" s="27">
        <f>IF(A169="","",Q169-R169)</f>
        <v/>
      </c>
      <c r="T169" s="26">
        <f>IF(A169="","",IF(Q169=0,"No dept value",IF(ROUND(S169,2)=0,"Agrees",IF(S169&gt;0,"Dept higher - to invoice","Xero higher - check dept"))))</f>
        <v/>
      </c>
      <c r="U169" s="22" t="n"/>
      <c r="V169" s="22" t="n"/>
      <c r="W169" s="23" t="n"/>
      <c r="X169" s="23" t="n"/>
      <c r="Y169" s="22" t="n"/>
      <c r="Z169" s="22" t="n"/>
      <c r="AA169" s="26">
        <f>IF(COUNTA(C169,A169,B169,E169)=0,"",IF(C169="","No date - sits outside every month",IF(A169="","No job number",IF(H169="CHECK","Job number is not in the Xero job list",IF(G169="not set up yet","No department has set this job up - nothing can pull through",IF(D169="","No cost centre",IF(AND(U169="Y",B169=""),"Marked posted to Xero but has no invoice number",IF(N169="","Cost centre has no revenue GL on the Lists sheet",IF(T169="Xero higher - check dept","Invoiced more than the department says the job is worth","")))))))))</f>
        <v/>
      </c>
      <c r="AB169" s="28">
        <f>IF(A169="","",COUNTIFS(tbl_Finance[Job Number],A169&amp;"",tbl_Finance[Ex GST],"&lt;&gt;"))</f>
        <v/>
      </c>
      <c r="AC169" s="27">
        <f>IF(A169="","",SUMIFS(tbl_Finance[Ex GST],tbl_Finance[Job Number],A169&amp;""))</f>
        <v/>
      </c>
      <c r="AD169" s="27">
        <f>IF(A169="","",SUMIFS(tbl_Finance[Ex GST],tbl_Finance[Job Number],A169&amp;"",tbl_Finance[Xero Invoice No],"&lt;&gt;"))</f>
        <v/>
      </c>
      <c r="AE169" s="27">
        <f>IF(A169="","",AC169-AD169)</f>
        <v/>
      </c>
      <c r="AF169" s="26">
        <f>IF(A169="","",IFERROR(IF(INDEX(tbl_Onsite[Qwilr Quote],IFERROR(MATCH(A169&amp;"",tbl_Onsite[Job Number],0),MATCH(IFERROR(A169+0,A169),tbl_Onsite[Job Number],0)))="","",INDEX(tbl_Onsite[Qwilr Quote],IFERROR(MATCH(A169&amp;"",tbl_Onsite[Job Number],0),MATCH(IFERROR(A169+0,A169),tbl_Onsite[Job Number],0)))),IFERROR(IF(IF(INDEX(tbl_Production[Current RMS No],IFERROR(MATCH(A169&amp;"",tbl_Production[Job Number],0),MATCH(IFERROR(A169+0,A169),tbl_Production[Job Number],0)))="",INDEX(tbl_Production[Qwilr Quote],IFERROR(MATCH(A169&amp;"",tbl_Production[Job Number],0),MATCH(IFERROR(A169+0,A169),tbl_Production[Job Number],0))),INDEX(tbl_Production[Current RMS No],IFERROR(MATCH(A169&amp;"",tbl_Production[Job Number],0),MATCH(IFERROR(A169+0,A169),tbl_Production[Job Number],0))))="","",IF(INDEX(tbl_Production[Current RMS No],IFERROR(MATCH(A169&amp;"",tbl_Production[Job Number],0),MATCH(IFERROR(A169+0,A169),tbl_Production[Job Number],0)))="",INDEX(tbl_Production[Qwilr Quote],IFERROR(MATCH(A169&amp;"",tbl_Production[Job Number],0),MATCH(IFERROR(A169+0,A169),tbl_Production[Job Number],0))),INDEX(tbl_Production[Current RMS No],IFERROR(MATCH(A169&amp;"",tbl_Production[Job Number],0),MATCH(IFERROR(A169+0,A169),tbl_Production[Job Number],0))))),IFERROR(IF(INDEX(tbl_Consulting[Qwilr Quote],IFERROR(MATCH(A169&amp;"",tbl_Consulting[Job Number],0),MATCH(IFERROR(A169+0,A169),tbl_Consulting[Job Number],0)))="","",INDEX(tbl_Consulting[Qwilr Quote],IFERROR(MATCH(A169&amp;"",tbl_Consulting[Job Number],0),MATCH(IFERROR(A169+0,A169),tbl_Consulting[Job Number],0)))),""))))</f>
        <v/>
      </c>
      <c r="AG169" s="26">
        <f>IF(AF169="","",IF(AND(LEFT(AF169,4)&lt;&gt;"http",IF(G169="Production",set_RMSBase,set_QwilrBase)=""),"",HYPERLINK(IF(LEFT(AF169,4)="http",AF169,IF(G169="Production",set_RMSBase,set_QwilrBase)&amp;AF169),"Open")))</f>
        <v/>
      </c>
      <c r="AH169" s="27">
        <f>IF(A169="","",IFERROR(INDEX(tbl_Production[Total Expense],IFERROR(MATCH(A169&amp;"",tbl_Production[Job Number],0),MATCH(IFERROR(A169+0,A169),tbl_Production[Job Number],0))),IFERROR(INDEX(tbl_Consulting[Total Expense],IFERROR(MATCH(A169&amp;"",tbl_Consulting[Job Number],0),MATCH(IFERROR(A169+0,A169),tbl_Consulting[Job Number],0))),0)))</f>
        <v/>
      </c>
      <c r="AI169" s="27">
        <f>IF(A169="","",AC169-N(AH169))</f>
        <v/>
      </c>
      <c r="AJ169" s="29">
        <f>IFERROR(AI169/AC169,"")</f>
        <v/>
      </c>
      <c r="AK169" s="26">
        <f>IF(A169="","",IFERROR(IF(INDEX(tbl_Onsite[Notes],IFERROR(MATCH(A169&amp;"",tbl_Onsite[Job Number],0),MATCH(IFERROR(A169+0,A169),tbl_Onsite[Job Number],0)))="","",INDEX(tbl_Onsite[Notes],IFERROR(MATCH(A169&amp;"",tbl_Onsite[Job Number],0),MATCH(IFERROR(A169+0,A169),tbl_Onsite[Job Number],0)))),IFERROR(IF(INDEX(tbl_Production[Notes],IFERROR(MATCH(A169&amp;"",tbl_Production[Job Number],0),MATCH(IFERROR(A169+0,A169),tbl_Production[Job Number],0)))="","",INDEX(tbl_Production[Notes],IFERROR(MATCH(A169&amp;"",tbl_Production[Job Number],0),MATCH(IFERROR(A169+0,A169),tbl_Production[Job Number],0)))),IFERROR(IF(INDEX(tbl_Consulting[Notes],IFERROR(MATCH(A169&amp;"",tbl_Consulting[Job Number],0),MATCH(IFERROR(A169+0,A169),tbl_Consulting[Job Number],0)))="","",INDEX(tbl_Consulting[Notes],IFERROR(MATCH(A169&amp;"",tbl_Consulting[Job Number],0),MATCH(IFERROR(A169+0,A169),tbl_Consulting[Job Number],0)))),""))))</f>
        <v/>
      </c>
    </row>
    <row r="170" ht="15" customHeight="1">
      <c r="A170" s="22" t="n"/>
      <c r="B170" s="22" t="n"/>
      <c r="C170" s="23" t="n"/>
      <c r="D170" s="22" t="n"/>
      <c r="E170" s="24" t="n"/>
      <c r="F170" s="25">
        <f>IF(C170="","",EOMONTH(C170,0))</f>
        <v/>
      </c>
      <c r="G170" s="26">
        <f>IF(A170="","",IF(COUNTIF(tbl_Onsite[Job Number],A170&amp;"")&gt;0,"Onsite",IF(COUNTIF(tbl_Production[Job Number],A170&amp;"")&gt;0,"Production",IF(COUNTIF(tbl_Consulting[Job Number],A170&amp;"")&gt;0,"Consulting","not set up yet"))))</f>
        <v/>
      </c>
      <c r="H170" s="26">
        <f>IF(A170="","",IF(COUNTIF(lst_Jobs,A170&amp;"")&gt;0,"OK","CHECK"))</f>
        <v/>
      </c>
      <c r="I170" s="26">
        <f>IF(A170="","",IFERROR(INDEX(lst_JobName,MATCH(A170&amp;"",lst_Jobs,0)),""))</f>
        <v/>
      </c>
      <c r="J170" s="26">
        <f>IF(A170="","",IFERROR(IF(INDEX(tbl_Onsite[Client],IFERROR(MATCH(A170&amp;"",tbl_Onsite[Job Number],0),MATCH(IFERROR(A170+0,A170),tbl_Onsite[Job Number],0)))="","",INDEX(tbl_Onsite[Client],IFERROR(MATCH(A170&amp;"",tbl_Onsite[Job Number],0),MATCH(IFERROR(A170+0,A170),tbl_Onsite[Job Number],0)))),IFERROR(IF(INDEX(tbl_Production[Client],IFERROR(MATCH(A170&amp;"",tbl_Production[Job Number],0),MATCH(IFERROR(A170+0,A170),tbl_Production[Job Number],0)))="","",INDEX(tbl_Production[Client],IFERROR(MATCH(A170&amp;"",tbl_Production[Job Number],0),MATCH(IFERROR(A170+0,A170),tbl_Production[Job Number],0)))),IFERROR(IF(INDEX(tbl_Consulting[Client],IFERROR(MATCH(A170&amp;"",tbl_Consulting[Job Number],0),MATCH(IFERROR(A170+0,A170),tbl_Consulting[Job Number],0)))="","",INDEX(tbl_Consulting[Client],IFERROR(MATCH(A170&amp;"",tbl_Consulting[Job Number],0),MATCH(IFERROR(A170+0,A170),tbl_Consulting[Job Number],0)))),""))))</f>
        <v/>
      </c>
      <c r="K170" s="26">
        <f>IF(A170="","",IFERROR(IF(INDEX(tbl_Onsite[Job Description],IFERROR(MATCH(A170&amp;"",tbl_Onsite[Job Number],0),MATCH(IFERROR(A170+0,A170),tbl_Onsite[Job Number],0)))="","",INDEX(tbl_Onsite[Job Description],IFERROR(MATCH(A170&amp;"",tbl_Onsite[Job Number],0),MATCH(IFERROR(A170+0,A170),tbl_Onsite[Job Number],0)))),IFERROR(IF(INDEX(tbl_Production[Job Description],IFERROR(MATCH(A170&amp;"",tbl_Production[Job Number],0),MATCH(IFERROR(A170+0,A170),tbl_Production[Job Number],0)))="","",INDEX(tbl_Production[Job Description],IFERROR(MATCH(A170&amp;"",tbl_Production[Job Number],0),MATCH(IFERROR(A170+0,A170),tbl_Production[Job Number],0)))),IFERROR(IF(INDEX(tbl_Consulting[Job Description],IFERROR(MATCH(A170&amp;"",tbl_Consulting[Job Number],0),MATCH(IFERROR(A170+0,A170),tbl_Consulting[Job Number],0)))="","",INDEX(tbl_Consulting[Job Description],IFERROR(MATCH(A170&amp;"",tbl_Consulting[Job Number],0),MATCH(IFERROR(A170+0,A170),tbl_Consulting[Job Number],0)))),""))))</f>
        <v/>
      </c>
      <c r="L170" s="26">
        <f>IF(A170="","",IFERROR(IF(INDEX(tbl_Onsite[Invoice Type],IFERROR(MATCH(A170&amp;"",tbl_Onsite[Job Number],0),MATCH(IFERROR(A170+0,A170),tbl_Onsite[Job Number],0)))="","",INDEX(tbl_Onsite[Invoice Type],IFERROR(MATCH(A170&amp;"",tbl_Onsite[Job Number],0),MATCH(IFERROR(A170+0,A170),tbl_Onsite[Job Number],0)))),IFERROR(IF(INDEX(tbl_Production[Invoice Type],IFERROR(MATCH(A170&amp;"",tbl_Production[Job Number],0),MATCH(IFERROR(A170+0,A170),tbl_Production[Job Number],0)))="","",INDEX(tbl_Production[Invoice Type],IFERROR(MATCH(A170&amp;"",tbl_Production[Job Number],0),MATCH(IFERROR(A170+0,A170),tbl_Production[Job Number],0)))),IFERROR(IF(INDEX(tbl_Consulting[Invoice Type],IFERROR(MATCH(A170&amp;"",tbl_Consulting[Job Number],0),MATCH(IFERROR(A170+0,A170),tbl_Consulting[Job Number],0)))="","",INDEX(tbl_Consulting[Invoice Type],IFERROR(MATCH(A170&amp;"",tbl_Consulting[Job Number],0),MATCH(IFERROR(A170+0,A170),tbl_Consulting[Job Number],0)))),""))))</f>
        <v/>
      </c>
      <c r="M170" s="26">
        <f>IF(A170="","",IF(IFERROR(IF(INDEX(tbl_Onsite[Tax Code],IFERROR(MATCH(A170&amp;"",tbl_Onsite[Job Number],0),MATCH(IFERROR(A170+0,A170),tbl_Onsite[Job Number],0)))="","",INDEX(tbl_Onsite[Tax Code],IFERROR(MATCH(A170&amp;"",tbl_Onsite[Job Number],0),MATCH(IFERROR(A170+0,A170),tbl_Onsite[Job Number],0)))),IFERROR(IF(INDEX(tbl_Production[Tax Code],IFERROR(MATCH(A170&amp;"",tbl_Production[Job Number],0),MATCH(IFERROR(A170+0,A170),tbl_Production[Job Number],0)))="","",INDEX(tbl_Production[Tax Code],IFERROR(MATCH(A170&amp;"",tbl_Production[Job Number],0),MATCH(IFERROR(A170+0,A170),tbl_Production[Job Number],0)))),IFERROR(IF(INDEX(tbl_Consulting[Tax Code],IFERROR(MATCH(A170&amp;"",tbl_Consulting[Job Number],0),MATCH(IFERROR(A170+0,A170),tbl_Consulting[Job Number],0)))="","",INDEX(tbl_Consulting[Tax Code],IFERROR(MATCH(A170&amp;"",tbl_Consulting[Job Number],0),MATCH(IFERROR(A170+0,A170),tbl_Consulting[Job Number],0)))),"")))="","GST 10%",IFERROR(IF(INDEX(tbl_Onsite[Tax Code],IFERROR(MATCH(A170&amp;"",tbl_Onsite[Job Number],0),MATCH(IFERROR(A170+0,A170),tbl_Onsite[Job Number],0)))="","",INDEX(tbl_Onsite[Tax Code],IFERROR(MATCH(A170&amp;"",tbl_Onsite[Job Number],0),MATCH(IFERROR(A170+0,A170),tbl_Onsite[Job Number],0)))),IFERROR(IF(INDEX(tbl_Production[Tax Code],IFERROR(MATCH(A170&amp;"",tbl_Production[Job Number],0),MATCH(IFERROR(A170+0,A170),tbl_Production[Job Number],0)))="","",INDEX(tbl_Production[Tax Code],IFERROR(MATCH(A170&amp;"",tbl_Production[Job Number],0),MATCH(IFERROR(A170+0,A170),tbl_Production[Job Number],0)))),IFERROR(IF(INDEX(tbl_Consulting[Tax Code],IFERROR(MATCH(A170&amp;"",tbl_Consulting[Job Number],0),MATCH(IFERROR(A170+0,A170),tbl_Consulting[Job Number],0)))="","",INDEX(tbl_Consulting[Tax Code],IFERROR(MATCH(A170&amp;"",tbl_Consulting[Job Number],0),MATCH(IFERROR(A170+0,A170),tbl_Consulting[Job Number],0)))),"")))))</f>
        <v/>
      </c>
      <c r="N170" s="26">
        <f>IF(D170="","",IFERROR(INDEX(lst_CCtoGL,MATCH(D170,lst_CCforGL,0)),""))</f>
        <v/>
      </c>
      <c r="O170" s="27">
        <f>IF(E170="","",IF(M170="GST 10%",ROUND(E170*set_GSTRate,2),0))</f>
        <v/>
      </c>
      <c r="P170" s="27">
        <f>IF(E170="","",E170+O170)</f>
        <v/>
      </c>
      <c r="Q170" s="27">
        <f>IF(A170="","",IFERROR(INDEX(tbl_Onsite[Expected Revenue Ex GST],IFERROR(MATCH(A170&amp;"",tbl_Onsite[Job Number],0),MATCH(IFERROR(A170+0,A170),tbl_Onsite[Job Number],0))),IFERROR(INDEX(tbl_Production[Expected Revenue Ex GST],IFERROR(MATCH(A170&amp;"",tbl_Production[Job Number],0),MATCH(IFERROR(A170+0,A170),tbl_Production[Job Number],0))),IFERROR(INDEX(tbl_Consulting[Expected Revenue Ex GST],IFERROR(MATCH(A170&amp;"",tbl_Consulting[Job Number],0),MATCH(IFERROR(A170+0,A170),tbl_Consulting[Job Number],0))),0))))</f>
        <v/>
      </c>
      <c r="R170" s="27">
        <f>IF(A170="","",SUMIFS(tbl_Finance[Ex GST],tbl_Finance[Job Number],A170&amp;""))</f>
        <v/>
      </c>
      <c r="S170" s="27">
        <f>IF(A170="","",Q170-R170)</f>
        <v/>
      </c>
      <c r="T170" s="26">
        <f>IF(A170="","",IF(Q170=0,"No dept value",IF(ROUND(S170,2)=0,"Agrees",IF(S170&gt;0,"Dept higher - to invoice","Xero higher - check dept"))))</f>
        <v/>
      </c>
      <c r="U170" s="22" t="n"/>
      <c r="V170" s="22" t="n"/>
      <c r="W170" s="23" t="n"/>
      <c r="X170" s="23" t="n"/>
      <c r="Y170" s="22" t="n"/>
      <c r="Z170" s="22" t="n"/>
      <c r="AA170" s="26">
        <f>IF(COUNTA(C170,A170,B170,E170)=0,"",IF(C170="","No date - sits outside every month",IF(A170="","No job number",IF(H170="CHECK","Job number is not in the Xero job list",IF(G170="not set up yet","No department has set this job up - nothing can pull through",IF(D170="","No cost centre",IF(AND(U170="Y",B170=""),"Marked posted to Xero but has no invoice number",IF(N170="","Cost centre has no revenue GL on the Lists sheet",IF(T170="Xero higher - check dept","Invoiced more than the department says the job is worth","")))))))))</f>
        <v/>
      </c>
      <c r="AB170" s="28">
        <f>IF(A170="","",COUNTIFS(tbl_Finance[Job Number],A170&amp;"",tbl_Finance[Ex GST],"&lt;&gt;"))</f>
        <v/>
      </c>
      <c r="AC170" s="27">
        <f>IF(A170="","",SUMIFS(tbl_Finance[Ex GST],tbl_Finance[Job Number],A170&amp;""))</f>
        <v/>
      </c>
      <c r="AD170" s="27">
        <f>IF(A170="","",SUMIFS(tbl_Finance[Ex GST],tbl_Finance[Job Number],A170&amp;"",tbl_Finance[Xero Invoice No],"&lt;&gt;"))</f>
        <v/>
      </c>
      <c r="AE170" s="27">
        <f>IF(A170="","",AC170-AD170)</f>
        <v/>
      </c>
      <c r="AF170" s="26">
        <f>IF(A170="","",IFERROR(IF(INDEX(tbl_Onsite[Qwilr Quote],IFERROR(MATCH(A170&amp;"",tbl_Onsite[Job Number],0),MATCH(IFERROR(A170+0,A170),tbl_Onsite[Job Number],0)))="","",INDEX(tbl_Onsite[Qwilr Quote],IFERROR(MATCH(A170&amp;"",tbl_Onsite[Job Number],0),MATCH(IFERROR(A170+0,A170),tbl_Onsite[Job Number],0)))),IFERROR(IF(IF(INDEX(tbl_Production[Current RMS No],IFERROR(MATCH(A170&amp;"",tbl_Production[Job Number],0),MATCH(IFERROR(A170+0,A170),tbl_Production[Job Number],0)))="",INDEX(tbl_Production[Qwilr Quote],IFERROR(MATCH(A170&amp;"",tbl_Production[Job Number],0),MATCH(IFERROR(A170+0,A170),tbl_Production[Job Number],0))),INDEX(tbl_Production[Current RMS No],IFERROR(MATCH(A170&amp;"",tbl_Production[Job Number],0),MATCH(IFERROR(A170+0,A170),tbl_Production[Job Number],0))))="","",IF(INDEX(tbl_Production[Current RMS No],IFERROR(MATCH(A170&amp;"",tbl_Production[Job Number],0),MATCH(IFERROR(A170+0,A170),tbl_Production[Job Number],0)))="",INDEX(tbl_Production[Qwilr Quote],IFERROR(MATCH(A170&amp;"",tbl_Production[Job Number],0),MATCH(IFERROR(A170+0,A170),tbl_Production[Job Number],0))),INDEX(tbl_Production[Current RMS No],IFERROR(MATCH(A170&amp;"",tbl_Production[Job Number],0),MATCH(IFERROR(A170+0,A170),tbl_Production[Job Number],0))))),IFERROR(IF(INDEX(tbl_Consulting[Qwilr Quote],IFERROR(MATCH(A170&amp;"",tbl_Consulting[Job Number],0),MATCH(IFERROR(A170+0,A170),tbl_Consulting[Job Number],0)))="","",INDEX(tbl_Consulting[Qwilr Quote],IFERROR(MATCH(A170&amp;"",tbl_Consulting[Job Number],0),MATCH(IFERROR(A170+0,A170),tbl_Consulting[Job Number],0)))),""))))</f>
        <v/>
      </c>
      <c r="AG170" s="26">
        <f>IF(AF170="","",IF(AND(LEFT(AF170,4)&lt;&gt;"http",IF(G170="Production",set_RMSBase,set_QwilrBase)=""),"",HYPERLINK(IF(LEFT(AF170,4)="http",AF170,IF(G170="Production",set_RMSBase,set_QwilrBase)&amp;AF170),"Open")))</f>
        <v/>
      </c>
      <c r="AH170" s="27">
        <f>IF(A170="","",IFERROR(INDEX(tbl_Production[Total Expense],IFERROR(MATCH(A170&amp;"",tbl_Production[Job Number],0),MATCH(IFERROR(A170+0,A170),tbl_Production[Job Number],0))),IFERROR(INDEX(tbl_Consulting[Total Expense],IFERROR(MATCH(A170&amp;"",tbl_Consulting[Job Number],0),MATCH(IFERROR(A170+0,A170),tbl_Consulting[Job Number],0))),0)))</f>
        <v/>
      </c>
      <c r="AI170" s="27">
        <f>IF(A170="","",AC170-N(AH170))</f>
        <v/>
      </c>
      <c r="AJ170" s="29">
        <f>IFERROR(AI170/AC170,"")</f>
        <v/>
      </c>
      <c r="AK170" s="26">
        <f>IF(A170="","",IFERROR(IF(INDEX(tbl_Onsite[Notes],IFERROR(MATCH(A170&amp;"",tbl_Onsite[Job Number],0),MATCH(IFERROR(A170+0,A170),tbl_Onsite[Job Number],0)))="","",INDEX(tbl_Onsite[Notes],IFERROR(MATCH(A170&amp;"",tbl_Onsite[Job Number],0),MATCH(IFERROR(A170+0,A170),tbl_Onsite[Job Number],0)))),IFERROR(IF(INDEX(tbl_Production[Notes],IFERROR(MATCH(A170&amp;"",tbl_Production[Job Number],0),MATCH(IFERROR(A170+0,A170),tbl_Production[Job Number],0)))="","",INDEX(tbl_Production[Notes],IFERROR(MATCH(A170&amp;"",tbl_Production[Job Number],0),MATCH(IFERROR(A170+0,A170),tbl_Production[Job Number],0)))),IFERROR(IF(INDEX(tbl_Consulting[Notes],IFERROR(MATCH(A170&amp;"",tbl_Consulting[Job Number],0),MATCH(IFERROR(A170+0,A170),tbl_Consulting[Job Number],0)))="","",INDEX(tbl_Consulting[Notes],IFERROR(MATCH(A170&amp;"",tbl_Consulting[Job Number],0),MATCH(IFERROR(A170+0,A170),tbl_Consulting[Job Number],0)))),""))))</f>
        <v/>
      </c>
    </row>
    <row r="171" ht="15" customHeight="1">
      <c r="A171" s="22" t="n"/>
      <c r="B171" s="22" t="n"/>
      <c r="C171" s="23" t="n"/>
      <c r="D171" s="22" t="n"/>
      <c r="E171" s="24" t="n"/>
      <c r="F171" s="25">
        <f>IF(C171="","",EOMONTH(C171,0))</f>
        <v/>
      </c>
      <c r="G171" s="26">
        <f>IF(A171="","",IF(COUNTIF(tbl_Onsite[Job Number],A171&amp;"")&gt;0,"Onsite",IF(COUNTIF(tbl_Production[Job Number],A171&amp;"")&gt;0,"Production",IF(COUNTIF(tbl_Consulting[Job Number],A171&amp;"")&gt;0,"Consulting","not set up yet"))))</f>
        <v/>
      </c>
      <c r="H171" s="26">
        <f>IF(A171="","",IF(COUNTIF(lst_Jobs,A171&amp;"")&gt;0,"OK","CHECK"))</f>
        <v/>
      </c>
      <c r="I171" s="26">
        <f>IF(A171="","",IFERROR(INDEX(lst_JobName,MATCH(A171&amp;"",lst_Jobs,0)),""))</f>
        <v/>
      </c>
      <c r="J171" s="26">
        <f>IF(A171="","",IFERROR(IF(INDEX(tbl_Onsite[Client],IFERROR(MATCH(A171&amp;"",tbl_Onsite[Job Number],0),MATCH(IFERROR(A171+0,A171),tbl_Onsite[Job Number],0)))="","",INDEX(tbl_Onsite[Client],IFERROR(MATCH(A171&amp;"",tbl_Onsite[Job Number],0),MATCH(IFERROR(A171+0,A171),tbl_Onsite[Job Number],0)))),IFERROR(IF(INDEX(tbl_Production[Client],IFERROR(MATCH(A171&amp;"",tbl_Production[Job Number],0),MATCH(IFERROR(A171+0,A171),tbl_Production[Job Number],0)))="","",INDEX(tbl_Production[Client],IFERROR(MATCH(A171&amp;"",tbl_Production[Job Number],0),MATCH(IFERROR(A171+0,A171),tbl_Production[Job Number],0)))),IFERROR(IF(INDEX(tbl_Consulting[Client],IFERROR(MATCH(A171&amp;"",tbl_Consulting[Job Number],0),MATCH(IFERROR(A171+0,A171),tbl_Consulting[Job Number],0)))="","",INDEX(tbl_Consulting[Client],IFERROR(MATCH(A171&amp;"",tbl_Consulting[Job Number],0),MATCH(IFERROR(A171+0,A171),tbl_Consulting[Job Number],0)))),""))))</f>
        <v/>
      </c>
      <c r="K171" s="26">
        <f>IF(A171="","",IFERROR(IF(INDEX(tbl_Onsite[Job Description],IFERROR(MATCH(A171&amp;"",tbl_Onsite[Job Number],0),MATCH(IFERROR(A171+0,A171),tbl_Onsite[Job Number],0)))="","",INDEX(tbl_Onsite[Job Description],IFERROR(MATCH(A171&amp;"",tbl_Onsite[Job Number],0),MATCH(IFERROR(A171+0,A171),tbl_Onsite[Job Number],0)))),IFERROR(IF(INDEX(tbl_Production[Job Description],IFERROR(MATCH(A171&amp;"",tbl_Production[Job Number],0),MATCH(IFERROR(A171+0,A171),tbl_Production[Job Number],0)))="","",INDEX(tbl_Production[Job Description],IFERROR(MATCH(A171&amp;"",tbl_Production[Job Number],0),MATCH(IFERROR(A171+0,A171),tbl_Production[Job Number],0)))),IFERROR(IF(INDEX(tbl_Consulting[Job Description],IFERROR(MATCH(A171&amp;"",tbl_Consulting[Job Number],0),MATCH(IFERROR(A171+0,A171),tbl_Consulting[Job Number],0)))="","",INDEX(tbl_Consulting[Job Description],IFERROR(MATCH(A171&amp;"",tbl_Consulting[Job Number],0),MATCH(IFERROR(A171+0,A171),tbl_Consulting[Job Number],0)))),""))))</f>
        <v/>
      </c>
      <c r="L171" s="26">
        <f>IF(A171="","",IFERROR(IF(INDEX(tbl_Onsite[Invoice Type],IFERROR(MATCH(A171&amp;"",tbl_Onsite[Job Number],0),MATCH(IFERROR(A171+0,A171),tbl_Onsite[Job Number],0)))="","",INDEX(tbl_Onsite[Invoice Type],IFERROR(MATCH(A171&amp;"",tbl_Onsite[Job Number],0),MATCH(IFERROR(A171+0,A171),tbl_Onsite[Job Number],0)))),IFERROR(IF(INDEX(tbl_Production[Invoice Type],IFERROR(MATCH(A171&amp;"",tbl_Production[Job Number],0),MATCH(IFERROR(A171+0,A171),tbl_Production[Job Number],0)))="","",INDEX(tbl_Production[Invoice Type],IFERROR(MATCH(A171&amp;"",tbl_Production[Job Number],0),MATCH(IFERROR(A171+0,A171),tbl_Production[Job Number],0)))),IFERROR(IF(INDEX(tbl_Consulting[Invoice Type],IFERROR(MATCH(A171&amp;"",tbl_Consulting[Job Number],0),MATCH(IFERROR(A171+0,A171),tbl_Consulting[Job Number],0)))="","",INDEX(tbl_Consulting[Invoice Type],IFERROR(MATCH(A171&amp;"",tbl_Consulting[Job Number],0),MATCH(IFERROR(A171+0,A171),tbl_Consulting[Job Number],0)))),""))))</f>
        <v/>
      </c>
      <c r="M171" s="26">
        <f>IF(A171="","",IF(IFERROR(IF(INDEX(tbl_Onsite[Tax Code],IFERROR(MATCH(A171&amp;"",tbl_Onsite[Job Number],0),MATCH(IFERROR(A171+0,A171),tbl_Onsite[Job Number],0)))="","",INDEX(tbl_Onsite[Tax Code],IFERROR(MATCH(A171&amp;"",tbl_Onsite[Job Number],0),MATCH(IFERROR(A171+0,A171),tbl_Onsite[Job Number],0)))),IFERROR(IF(INDEX(tbl_Production[Tax Code],IFERROR(MATCH(A171&amp;"",tbl_Production[Job Number],0),MATCH(IFERROR(A171+0,A171),tbl_Production[Job Number],0)))="","",INDEX(tbl_Production[Tax Code],IFERROR(MATCH(A171&amp;"",tbl_Production[Job Number],0),MATCH(IFERROR(A171+0,A171),tbl_Production[Job Number],0)))),IFERROR(IF(INDEX(tbl_Consulting[Tax Code],IFERROR(MATCH(A171&amp;"",tbl_Consulting[Job Number],0),MATCH(IFERROR(A171+0,A171),tbl_Consulting[Job Number],0)))="","",INDEX(tbl_Consulting[Tax Code],IFERROR(MATCH(A171&amp;"",tbl_Consulting[Job Number],0),MATCH(IFERROR(A171+0,A171),tbl_Consulting[Job Number],0)))),"")))="","GST 10%",IFERROR(IF(INDEX(tbl_Onsite[Tax Code],IFERROR(MATCH(A171&amp;"",tbl_Onsite[Job Number],0),MATCH(IFERROR(A171+0,A171),tbl_Onsite[Job Number],0)))="","",INDEX(tbl_Onsite[Tax Code],IFERROR(MATCH(A171&amp;"",tbl_Onsite[Job Number],0),MATCH(IFERROR(A171+0,A171),tbl_Onsite[Job Number],0)))),IFERROR(IF(INDEX(tbl_Production[Tax Code],IFERROR(MATCH(A171&amp;"",tbl_Production[Job Number],0),MATCH(IFERROR(A171+0,A171),tbl_Production[Job Number],0)))="","",INDEX(tbl_Production[Tax Code],IFERROR(MATCH(A171&amp;"",tbl_Production[Job Number],0),MATCH(IFERROR(A171+0,A171),tbl_Production[Job Number],0)))),IFERROR(IF(INDEX(tbl_Consulting[Tax Code],IFERROR(MATCH(A171&amp;"",tbl_Consulting[Job Number],0),MATCH(IFERROR(A171+0,A171),tbl_Consulting[Job Number],0)))="","",INDEX(tbl_Consulting[Tax Code],IFERROR(MATCH(A171&amp;"",tbl_Consulting[Job Number],0),MATCH(IFERROR(A171+0,A171),tbl_Consulting[Job Number],0)))),"")))))</f>
        <v/>
      </c>
      <c r="N171" s="26">
        <f>IF(D171="","",IFERROR(INDEX(lst_CCtoGL,MATCH(D171,lst_CCforGL,0)),""))</f>
        <v/>
      </c>
      <c r="O171" s="27">
        <f>IF(E171="","",IF(M171="GST 10%",ROUND(E171*set_GSTRate,2),0))</f>
        <v/>
      </c>
      <c r="P171" s="27">
        <f>IF(E171="","",E171+O171)</f>
        <v/>
      </c>
      <c r="Q171" s="27">
        <f>IF(A171="","",IFERROR(INDEX(tbl_Onsite[Expected Revenue Ex GST],IFERROR(MATCH(A171&amp;"",tbl_Onsite[Job Number],0),MATCH(IFERROR(A171+0,A171),tbl_Onsite[Job Number],0))),IFERROR(INDEX(tbl_Production[Expected Revenue Ex GST],IFERROR(MATCH(A171&amp;"",tbl_Production[Job Number],0),MATCH(IFERROR(A171+0,A171),tbl_Production[Job Number],0))),IFERROR(INDEX(tbl_Consulting[Expected Revenue Ex GST],IFERROR(MATCH(A171&amp;"",tbl_Consulting[Job Number],0),MATCH(IFERROR(A171+0,A171),tbl_Consulting[Job Number],0))),0))))</f>
        <v/>
      </c>
      <c r="R171" s="27">
        <f>IF(A171="","",SUMIFS(tbl_Finance[Ex GST],tbl_Finance[Job Number],A171&amp;""))</f>
        <v/>
      </c>
      <c r="S171" s="27">
        <f>IF(A171="","",Q171-R171)</f>
        <v/>
      </c>
      <c r="T171" s="26">
        <f>IF(A171="","",IF(Q171=0,"No dept value",IF(ROUND(S171,2)=0,"Agrees",IF(S171&gt;0,"Dept higher - to invoice","Xero higher - check dept"))))</f>
        <v/>
      </c>
      <c r="U171" s="22" t="n"/>
      <c r="V171" s="22" t="n"/>
      <c r="W171" s="23" t="n"/>
      <c r="X171" s="23" t="n"/>
      <c r="Y171" s="22" t="n"/>
      <c r="Z171" s="22" t="n"/>
      <c r="AA171" s="26">
        <f>IF(COUNTA(C171,A171,B171,E171)=0,"",IF(C171="","No date - sits outside every month",IF(A171="","No job number",IF(H171="CHECK","Job number is not in the Xero job list",IF(G171="not set up yet","No department has set this job up - nothing can pull through",IF(D171="","No cost centre",IF(AND(U171="Y",B171=""),"Marked posted to Xero but has no invoice number",IF(N171="","Cost centre has no revenue GL on the Lists sheet",IF(T171="Xero higher - check dept","Invoiced more than the department says the job is worth","")))))))))</f>
        <v/>
      </c>
      <c r="AB171" s="28">
        <f>IF(A171="","",COUNTIFS(tbl_Finance[Job Number],A171&amp;"",tbl_Finance[Ex GST],"&lt;&gt;"))</f>
        <v/>
      </c>
      <c r="AC171" s="27">
        <f>IF(A171="","",SUMIFS(tbl_Finance[Ex GST],tbl_Finance[Job Number],A171&amp;""))</f>
        <v/>
      </c>
      <c r="AD171" s="27">
        <f>IF(A171="","",SUMIFS(tbl_Finance[Ex GST],tbl_Finance[Job Number],A171&amp;"",tbl_Finance[Xero Invoice No],"&lt;&gt;"))</f>
        <v/>
      </c>
      <c r="AE171" s="27">
        <f>IF(A171="","",AC171-AD171)</f>
        <v/>
      </c>
      <c r="AF171" s="26">
        <f>IF(A171="","",IFERROR(IF(INDEX(tbl_Onsite[Qwilr Quote],IFERROR(MATCH(A171&amp;"",tbl_Onsite[Job Number],0),MATCH(IFERROR(A171+0,A171),tbl_Onsite[Job Number],0)))="","",INDEX(tbl_Onsite[Qwilr Quote],IFERROR(MATCH(A171&amp;"",tbl_Onsite[Job Number],0),MATCH(IFERROR(A171+0,A171),tbl_Onsite[Job Number],0)))),IFERROR(IF(IF(INDEX(tbl_Production[Current RMS No],IFERROR(MATCH(A171&amp;"",tbl_Production[Job Number],0),MATCH(IFERROR(A171+0,A171),tbl_Production[Job Number],0)))="",INDEX(tbl_Production[Qwilr Quote],IFERROR(MATCH(A171&amp;"",tbl_Production[Job Number],0),MATCH(IFERROR(A171+0,A171),tbl_Production[Job Number],0))),INDEX(tbl_Production[Current RMS No],IFERROR(MATCH(A171&amp;"",tbl_Production[Job Number],0),MATCH(IFERROR(A171+0,A171),tbl_Production[Job Number],0))))="","",IF(INDEX(tbl_Production[Current RMS No],IFERROR(MATCH(A171&amp;"",tbl_Production[Job Number],0),MATCH(IFERROR(A171+0,A171),tbl_Production[Job Number],0)))="",INDEX(tbl_Production[Qwilr Quote],IFERROR(MATCH(A171&amp;"",tbl_Production[Job Number],0),MATCH(IFERROR(A171+0,A171),tbl_Production[Job Number],0))),INDEX(tbl_Production[Current RMS No],IFERROR(MATCH(A171&amp;"",tbl_Production[Job Number],0),MATCH(IFERROR(A171+0,A171),tbl_Production[Job Number],0))))),IFERROR(IF(INDEX(tbl_Consulting[Qwilr Quote],IFERROR(MATCH(A171&amp;"",tbl_Consulting[Job Number],0),MATCH(IFERROR(A171+0,A171),tbl_Consulting[Job Number],0)))="","",INDEX(tbl_Consulting[Qwilr Quote],IFERROR(MATCH(A171&amp;"",tbl_Consulting[Job Number],0),MATCH(IFERROR(A171+0,A171),tbl_Consulting[Job Number],0)))),""))))</f>
        <v/>
      </c>
      <c r="AG171" s="26">
        <f>IF(AF171="","",IF(AND(LEFT(AF171,4)&lt;&gt;"http",IF(G171="Production",set_RMSBase,set_QwilrBase)=""),"",HYPERLINK(IF(LEFT(AF171,4)="http",AF171,IF(G171="Production",set_RMSBase,set_QwilrBase)&amp;AF171),"Open")))</f>
        <v/>
      </c>
      <c r="AH171" s="27">
        <f>IF(A171="","",IFERROR(INDEX(tbl_Production[Total Expense],IFERROR(MATCH(A171&amp;"",tbl_Production[Job Number],0),MATCH(IFERROR(A171+0,A171),tbl_Production[Job Number],0))),IFERROR(INDEX(tbl_Consulting[Total Expense],IFERROR(MATCH(A171&amp;"",tbl_Consulting[Job Number],0),MATCH(IFERROR(A171+0,A171),tbl_Consulting[Job Number],0))),0)))</f>
        <v/>
      </c>
      <c r="AI171" s="27">
        <f>IF(A171="","",AC171-N(AH171))</f>
        <v/>
      </c>
      <c r="AJ171" s="29">
        <f>IFERROR(AI171/AC171,"")</f>
        <v/>
      </c>
      <c r="AK171" s="26">
        <f>IF(A171="","",IFERROR(IF(INDEX(tbl_Onsite[Notes],IFERROR(MATCH(A171&amp;"",tbl_Onsite[Job Number],0),MATCH(IFERROR(A171+0,A171),tbl_Onsite[Job Number],0)))="","",INDEX(tbl_Onsite[Notes],IFERROR(MATCH(A171&amp;"",tbl_Onsite[Job Number],0),MATCH(IFERROR(A171+0,A171),tbl_Onsite[Job Number],0)))),IFERROR(IF(INDEX(tbl_Production[Notes],IFERROR(MATCH(A171&amp;"",tbl_Production[Job Number],0),MATCH(IFERROR(A171+0,A171),tbl_Production[Job Number],0)))="","",INDEX(tbl_Production[Notes],IFERROR(MATCH(A171&amp;"",tbl_Production[Job Number],0),MATCH(IFERROR(A171+0,A171),tbl_Production[Job Number],0)))),IFERROR(IF(INDEX(tbl_Consulting[Notes],IFERROR(MATCH(A171&amp;"",tbl_Consulting[Job Number],0),MATCH(IFERROR(A171+0,A171),tbl_Consulting[Job Number],0)))="","",INDEX(tbl_Consulting[Notes],IFERROR(MATCH(A171&amp;"",tbl_Consulting[Job Number],0),MATCH(IFERROR(A171+0,A171),tbl_Consulting[Job Number],0)))),""))))</f>
        <v/>
      </c>
    </row>
    <row r="172" ht="15" customHeight="1">
      <c r="A172" s="22" t="n"/>
      <c r="B172" s="22" t="n"/>
      <c r="C172" s="23" t="n"/>
      <c r="D172" s="22" t="n"/>
      <c r="E172" s="24" t="n"/>
      <c r="F172" s="25">
        <f>IF(C172="","",EOMONTH(C172,0))</f>
        <v/>
      </c>
      <c r="G172" s="26">
        <f>IF(A172="","",IF(COUNTIF(tbl_Onsite[Job Number],A172&amp;"")&gt;0,"Onsite",IF(COUNTIF(tbl_Production[Job Number],A172&amp;"")&gt;0,"Production",IF(COUNTIF(tbl_Consulting[Job Number],A172&amp;"")&gt;0,"Consulting","not set up yet"))))</f>
        <v/>
      </c>
      <c r="H172" s="26">
        <f>IF(A172="","",IF(COUNTIF(lst_Jobs,A172&amp;"")&gt;0,"OK","CHECK"))</f>
        <v/>
      </c>
      <c r="I172" s="26">
        <f>IF(A172="","",IFERROR(INDEX(lst_JobName,MATCH(A172&amp;"",lst_Jobs,0)),""))</f>
        <v/>
      </c>
      <c r="J172" s="26">
        <f>IF(A172="","",IFERROR(IF(INDEX(tbl_Onsite[Client],IFERROR(MATCH(A172&amp;"",tbl_Onsite[Job Number],0),MATCH(IFERROR(A172+0,A172),tbl_Onsite[Job Number],0)))="","",INDEX(tbl_Onsite[Client],IFERROR(MATCH(A172&amp;"",tbl_Onsite[Job Number],0),MATCH(IFERROR(A172+0,A172),tbl_Onsite[Job Number],0)))),IFERROR(IF(INDEX(tbl_Production[Client],IFERROR(MATCH(A172&amp;"",tbl_Production[Job Number],0),MATCH(IFERROR(A172+0,A172),tbl_Production[Job Number],0)))="","",INDEX(tbl_Production[Client],IFERROR(MATCH(A172&amp;"",tbl_Production[Job Number],0),MATCH(IFERROR(A172+0,A172),tbl_Production[Job Number],0)))),IFERROR(IF(INDEX(tbl_Consulting[Client],IFERROR(MATCH(A172&amp;"",tbl_Consulting[Job Number],0),MATCH(IFERROR(A172+0,A172),tbl_Consulting[Job Number],0)))="","",INDEX(tbl_Consulting[Client],IFERROR(MATCH(A172&amp;"",tbl_Consulting[Job Number],0),MATCH(IFERROR(A172+0,A172),tbl_Consulting[Job Number],0)))),""))))</f>
        <v/>
      </c>
      <c r="K172" s="26">
        <f>IF(A172="","",IFERROR(IF(INDEX(tbl_Onsite[Job Description],IFERROR(MATCH(A172&amp;"",tbl_Onsite[Job Number],0),MATCH(IFERROR(A172+0,A172),tbl_Onsite[Job Number],0)))="","",INDEX(tbl_Onsite[Job Description],IFERROR(MATCH(A172&amp;"",tbl_Onsite[Job Number],0),MATCH(IFERROR(A172+0,A172),tbl_Onsite[Job Number],0)))),IFERROR(IF(INDEX(tbl_Production[Job Description],IFERROR(MATCH(A172&amp;"",tbl_Production[Job Number],0),MATCH(IFERROR(A172+0,A172),tbl_Production[Job Number],0)))="","",INDEX(tbl_Production[Job Description],IFERROR(MATCH(A172&amp;"",tbl_Production[Job Number],0),MATCH(IFERROR(A172+0,A172),tbl_Production[Job Number],0)))),IFERROR(IF(INDEX(tbl_Consulting[Job Description],IFERROR(MATCH(A172&amp;"",tbl_Consulting[Job Number],0),MATCH(IFERROR(A172+0,A172),tbl_Consulting[Job Number],0)))="","",INDEX(tbl_Consulting[Job Description],IFERROR(MATCH(A172&amp;"",tbl_Consulting[Job Number],0),MATCH(IFERROR(A172+0,A172),tbl_Consulting[Job Number],0)))),""))))</f>
        <v/>
      </c>
      <c r="L172" s="26">
        <f>IF(A172="","",IFERROR(IF(INDEX(tbl_Onsite[Invoice Type],IFERROR(MATCH(A172&amp;"",tbl_Onsite[Job Number],0),MATCH(IFERROR(A172+0,A172),tbl_Onsite[Job Number],0)))="","",INDEX(tbl_Onsite[Invoice Type],IFERROR(MATCH(A172&amp;"",tbl_Onsite[Job Number],0),MATCH(IFERROR(A172+0,A172),tbl_Onsite[Job Number],0)))),IFERROR(IF(INDEX(tbl_Production[Invoice Type],IFERROR(MATCH(A172&amp;"",tbl_Production[Job Number],0),MATCH(IFERROR(A172+0,A172),tbl_Production[Job Number],0)))="","",INDEX(tbl_Production[Invoice Type],IFERROR(MATCH(A172&amp;"",tbl_Production[Job Number],0),MATCH(IFERROR(A172+0,A172),tbl_Production[Job Number],0)))),IFERROR(IF(INDEX(tbl_Consulting[Invoice Type],IFERROR(MATCH(A172&amp;"",tbl_Consulting[Job Number],0),MATCH(IFERROR(A172+0,A172),tbl_Consulting[Job Number],0)))="","",INDEX(tbl_Consulting[Invoice Type],IFERROR(MATCH(A172&amp;"",tbl_Consulting[Job Number],0),MATCH(IFERROR(A172+0,A172),tbl_Consulting[Job Number],0)))),""))))</f>
        <v/>
      </c>
      <c r="M172" s="26">
        <f>IF(A172="","",IF(IFERROR(IF(INDEX(tbl_Onsite[Tax Code],IFERROR(MATCH(A172&amp;"",tbl_Onsite[Job Number],0),MATCH(IFERROR(A172+0,A172),tbl_Onsite[Job Number],0)))="","",INDEX(tbl_Onsite[Tax Code],IFERROR(MATCH(A172&amp;"",tbl_Onsite[Job Number],0),MATCH(IFERROR(A172+0,A172),tbl_Onsite[Job Number],0)))),IFERROR(IF(INDEX(tbl_Production[Tax Code],IFERROR(MATCH(A172&amp;"",tbl_Production[Job Number],0),MATCH(IFERROR(A172+0,A172),tbl_Production[Job Number],0)))="","",INDEX(tbl_Production[Tax Code],IFERROR(MATCH(A172&amp;"",tbl_Production[Job Number],0),MATCH(IFERROR(A172+0,A172),tbl_Production[Job Number],0)))),IFERROR(IF(INDEX(tbl_Consulting[Tax Code],IFERROR(MATCH(A172&amp;"",tbl_Consulting[Job Number],0),MATCH(IFERROR(A172+0,A172),tbl_Consulting[Job Number],0)))="","",INDEX(tbl_Consulting[Tax Code],IFERROR(MATCH(A172&amp;"",tbl_Consulting[Job Number],0),MATCH(IFERROR(A172+0,A172),tbl_Consulting[Job Number],0)))),"")))="","GST 10%",IFERROR(IF(INDEX(tbl_Onsite[Tax Code],IFERROR(MATCH(A172&amp;"",tbl_Onsite[Job Number],0),MATCH(IFERROR(A172+0,A172),tbl_Onsite[Job Number],0)))="","",INDEX(tbl_Onsite[Tax Code],IFERROR(MATCH(A172&amp;"",tbl_Onsite[Job Number],0),MATCH(IFERROR(A172+0,A172),tbl_Onsite[Job Number],0)))),IFERROR(IF(INDEX(tbl_Production[Tax Code],IFERROR(MATCH(A172&amp;"",tbl_Production[Job Number],0),MATCH(IFERROR(A172+0,A172),tbl_Production[Job Number],0)))="","",INDEX(tbl_Production[Tax Code],IFERROR(MATCH(A172&amp;"",tbl_Production[Job Number],0),MATCH(IFERROR(A172+0,A172),tbl_Production[Job Number],0)))),IFERROR(IF(INDEX(tbl_Consulting[Tax Code],IFERROR(MATCH(A172&amp;"",tbl_Consulting[Job Number],0),MATCH(IFERROR(A172+0,A172),tbl_Consulting[Job Number],0)))="","",INDEX(tbl_Consulting[Tax Code],IFERROR(MATCH(A172&amp;"",tbl_Consulting[Job Number],0),MATCH(IFERROR(A172+0,A172),tbl_Consulting[Job Number],0)))),"")))))</f>
        <v/>
      </c>
      <c r="N172" s="26">
        <f>IF(D172="","",IFERROR(INDEX(lst_CCtoGL,MATCH(D172,lst_CCforGL,0)),""))</f>
        <v/>
      </c>
      <c r="O172" s="27">
        <f>IF(E172="","",IF(M172="GST 10%",ROUND(E172*set_GSTRate,2),0))</f>
        <v/>
      </c>
      <c r="P172" s="27">
        <f>IF(E172="","",E172+O172)</f>
        <v/>
      </c>
      <c r="Q172" s="27">
        <f>IF(A172="","",IFERROR(INDEX(tbl_Onsite[Expected Revenue Ex GST],IFERROR(MATCH(A172&amp;"",tbl_Onsite[Job Number],0),MATCH(IFERROR(A172+0,A172),tbl_Onsite[Job Number],0))),IFERROR(INDEX(tbl_Production[Expected Revenue Ex GST],IFERROR(MATCH(A172&amp;"",tbl_Production[Job Number],0),MATCH(IFERROR(A172+0,A172),tbl_Production[Job Number],0))),IFERROR(INDEX(tbl_Consulting[Expected Revenue Ex GST],IFERROR(MATCH(A172&amp;"",tbl_Consulting[Job Number],0),MATCH(IFERROR(A172+0,A172),tbl_Consulting[Job Number],0))),0))))</f>
        <v/>
      </c>
      <c r="R172" s="27">
        <f>IF(A172="","",SUMIFS(tbl_Finance[Ex GST],tbl_Finance[Job Number],A172&amp;""))</f>
        <v/>
      </c>
      <c r="S172" s="27">
        <f>IF(A172="","",Q172-R172)</f>
        <v/>
      </c>
      <c r="T172" s="26">
        <f>IF(A172="","",IF(Q172=0,"No dept value",IF(ROUND(S172,2)=0,"Agrees",IF(S172&gt;0,"Dept higher - to invoice","Xero higher - check dept"))))</f>
        <v/>
      </c>
      <c r="U172" s="22" t="n"/>
      <c r="V172" s="22" t="n"/>
      <c r="W172" s="23" t="n"/>
      <c r="X172" s="23" t="n"/>
      <c r="Y172" s="22" t="n"/>
      <c r="Z172" s="22" t="n"/>
      <c r="AA172" s="26">
        <f>IF(COUNTA(C172,A172,B172,E172)=0,"",IF(C172="","No date - sits outside every month",IF(A172="","No job number",IF(H172="CHECK","Job number is not in the Xero job list",IF(G172="not set up yet","No department has set this job up - nothing can pull through",IF(D172="","No cost centre",IF(AND(U172="Y",B172=""),"Marked posted to Xero but has no invoice number",IF(N172="","Cost centre has no revenue GL on the Lists sheet",IF(T172="Xero higher - check dept","Invoiced more than the department says the job is worth","")))))))))</f>
        <v/>
      </c>
      <c r="AB172" s="28">
        <f>IF(A172="","",COUNTIFS(tbl_Finance[Job Number],A172&amp;"",tbl_Finance[Ex GST],"&lt;&gt;"))</f>
        <v/>
      </c>
      <c r="AC172" s="27">
        <f>IF(A172="","",SUMIFS(tbl_Finance[Ex GST],tbl_Finance[Job Number],A172&amp;""))</f>
        <v/>
      </c>
      <c r="AD172" s="27">
        <f>IF(A172="","",SUMIFS(tbl_Finance[Ex GST],tbl_Finance[Job Number],A172&amp;"",tbl_Finance[Xero Invoice No],"&lt;&gt;"))</f>
        <v/>
      </c>
      <c r="AE172" s="27">
        <f>IF(A172="","",AC172-AD172)</f>
        <v/>
      </c>
      <c r="AF172" s="26">
        <f>IF(A172="","",IFERROR(IF(INDEX(tbl_Onsite[Qwilr Quote],IFERROR(MATCH(A172&amp;"",tbl_Onsite[Job Number],0),MATCH(IFERROR(A172+0,A172),tbl_Onsite[Job Number],0)))="","",INDEX(tbl_Onsite[Qwilr Quote],IFERROR(MATCH(A172&amp;"",tbl_Onsite[Job Number],0),MATCH(IFERROR(A172+0,A172),tbl_Onsite[Job Number],0)))),IFERROR(IF(IF(INDEX(tbl_Production[Current RMS No],IFERROR(MATCH(A172&amp;"",tbl_Production[Job Number],0),MATCH(IFERROR(A172+0,A172),tbl_Production[Job Number],0)))="",INDEX(tbl_Production[Qwilr Quote],IFERROR(MATCH(A172&amp;"",tbl_Production[Job Number],0),MATCH(IFERROR(A172+0,A172),tbl_Production[Job Number],0))),INDEX(tbl_Production[Current RMS No],IFERROR(MATCH(A172&amp;"",tbl_Production[Job Number],0),MATCH(IFERROR(A172+0,A172),tbl_Production[Job Number],0))))="","",IF(INDEX(tbl_Production[Current RMS No],IFERROR(MATCH(A172&amp;"",tbl_Production[Job Number],0),MATCH(IFERROR(A172+0,A172),tbl_Production[Job Number],0)))="",INDEX(tbl_Production[Qwilr Quote],IFERROR(MATCH(A172&amp;"",tbl_Production[Job Number],0),MATCH(IFERROR(A172+0,A172),tbl_Production[Job Number],0))),INDEX(tbl_Production[Current RMS No],IFERROR(MATCH(A172&amp;"",tbl_Production[Job Number],0),MATCH(IFERROR(A172+0,A172),tbl_Production[Job Number],0))))),IFERROR(IF(INDEX(tbl_Consulting[Qwilr Quote],IFERROR(MATCH(A172&amp;"",tbl_Consulting[Job Number],0),MATCH(IFERROR(A172+0,A172),tbl_Consulting[Job Number],0)))="","",INDEX(tbl_Consulting[Qwilr Quote],IFERROR(MATCH(A172&amp;"",tbl_Consulting[Job Number],0),MATCH(IFERROR(A172+0,A172),tbl_Consulting[Job Number],0)))),""))))</f>
        <v/>
      </c>
      <c r="AG172" s="26">
        <f>IF(AF172="","",IF(AND(LEFT(AF172,4)&lt;&gt;"http",IF(G172="Production",set_RMSBase,set_QwilrBase)=""),"",HYPERLINK(IF(LEFT(AF172,4)="http",AF172,IF(G172="Production",set_RMSBase,set_QwilrBase)&amp;AF172),"Open")))</f>
        <v/>
      </c>
      <c r="AH172" s="27">
        <f>IF(A172="","",IFERROR(INDEX(tbl_Production[Total Expense],IFERROR(MATCH(A172&amp;"",tbl_Production[Job Number],0),MATCH(IFERROR(A172+0,A172),tbl_Production[Job Number],0))),IFERROR(INDEX(tbl_Consulting[Total Expense],IFERROR(MATCH(A172&amp;"",tbl_Consulting[Job Number],0),MATCH(IFERROR(A172+0,A172),tbl_Consulting[Job Number],0))),0)))</f>
        <v/>
      </c>
      <c r="AI172" s="27">
        <f>IF(A172="","",AC172-N(AH172))</f>
        <v/>
      </c>
      <c r="AJ172" s="29">
        <f>IFERROR(AI172/AC172,"")</f>
        <v/>
      </c>
      <c r="AK172" s="26">
        <f>IF(A172="","",IFERROR(IF(INDEX(tbl_Onsite[Notes],IFERROR(MATCH(A172&amp;"",tbl_Onsite[Job Number],0),MATCH(IFERROR(A172+0,A172),tbl_Onsite[Job Number],0)))="","",INDEX(tbl_Onsite[Notes],IFERROR(MATCH(A172&amp;"",tbl_Onsite[Job Number],0),MATCH(IFERROR(A172+0,A172),tbl_Onsite[Job Number],0)))),IFERROR(IF(INDEX(tbl_Production[Notes],IFERROR(MATCH(A172&amp;"",tbl_Production[Job Number],0),MATCH(IFERROR(A172+0,A172),tbl_Production[Job Number],0)))="","",INDEX(tbl_Production[Notes],IFERROR(MATCH(A172&amp;"",tbl_Production[Job Number],0),MATCH(IFERROR(A172+0,A172),tbl_Production[Job Number],0)))),IFERROR(IF(INDEX(tbl_Consulting[Notes],IFERROR(MATCH(A172&amp;"",tbl_Consulting[Job Number],0),MATCH(IFERROR(A172+0,A172),tbl_Consulting[Job Number],0)))="","",INDEX(tbl_Consulting[Notes],IFERROR(MATCH(A172&amp;"",tbl_Consulting[Job Number],0),MATCH(IFERROR(A172+0,A172),tbl_Consulting[Job Number],0)))),""))))</f>
        <v/>
      </c>
    </row>
    <row r="173" ht="15" customHeight="1">
      <c r="A173" s="22" t="n"/>
      <c r="B173" s="22" t="n"/>
      <c r="C173" s="23" t="n"/>
      <c r="D173" s="22" t="n"/>
      <c r="E173" s="24" t="n"/>
      <c r="F173" s="25">
        <f>IF(C173="","",EOMONTH(C173,0))</f>
        <v/>
      </c>
      <c r="G173" s="26">
        <f>IF(A173="","",IF(COUNTIF(tbl_Onsite[Job Number],A173&amp;"")&gt;0,"Onsite",IF(COUNTIF(tbl_Production[Job Number],A173&amp;"")&gt;0,"Production",IF(COUNTIF(tbl_Consulting[Job Number],A173&amp;"")&gt;0,"Consulting","not set up yet"))))</f>
        <v/>
      </c>
      <c r="H173" s="26">
        <f>IF(A173="","",IF(COUNTIF(lst_Jobs,A173&amp;"")&gt;0,"OK","CHECK"))</f>
        <v/>
      </c>
      <c r="I173" s="26">
        <f>IF(A173="","",IFERROR(INDEX(lst_JobName,MATCH(A173&amp;"",lst_Jobs,0)),""))</f>
        <v/>
      </c>
      <c r="J173" s="26">
        <f>IF(A173="","",IFERROR(IF(INDEX(tbl_Onsite[Client],IFERROR(MATCH(A173&amp;"",tbl_Onsite[Job Number],0),MATCH(IFERROR(A173+0,A173),tbl_Onsite[Job Number],0)))="","",INDEX(tbl_Onsite[Client],IFERROR(MATCH(A173&amp;"",tbl_Onsite[Job Number],0),MATCH(IFERROR(A173+0,A173),tbl_Onsite[Job Number],0)))),IFERROR(IF(INDEX(tbl_Production[Client],IFERROR(MATCH(A173&amp;"",tbl_Production[Job Number],0),MATCH(IFERROR(A173+0,A173),tbl_Production[Job Number],0)))="","",INDEX(tbl_Production[Client],IFERROR(MATCH(A173&amp;"",tbl_Production[Job Number],0),MATCH(IFERROR(A173+0,A173),tbl_Production[Job Number],0)))),IFERROR(IF(INDEX(tbl_Consulting[Client],IFERROR(MATCH(A173&amp;"",tbl_Consulting[Job Number],0),MATCH(IFERROR(A173+0,A173),tbl_Consulting[Job Number],0)))="","",INDEX(tbl_Consulting[Client],IFERROR(MATCH(A173&amp;"",tbl_Consulting[Job Number],0),MATCH(IFERROR(A173+0,A173),tbl_Consulting[Job Number],0)))),""))))</f>
        <v/>
      </c>
      <c r="K173" s="26">
        <f>IF(A173="","",IFERROR(IF(INDEX(tbl_Onsite[Job Description],IFERROR(MATCH(A173&amp;"",tbl_Onsite[Job Number],0),MATCH(IFERROR(A173+0,A173),tbl_Onsite[Job Number],0)))="","",INDEX(tbl_Onsite[Job Description],IFERROR(MATCH(A173&amp;"",tbl_Onsite[Job Number],0),MATCH(IFERROR(A173+0,A173),tbl_Onsite[Job Number],0)))),IFERROR(IF(INDEX(tbl_Production[Job Description],IFERROR(MATCH(A173&amp;"",tbl_Production[Job Number],0),MATCH(IFERROR(A173+0,A173),tbl_Production[Job Number],0)))="","",INDEX(tbl_Production[Job Description],IFERROR(MATCH(A173&amp;"",tbl_Production[Job Number],0),MATCH(IFERROR(A173+0,A173),tbl_Production[Job Number],0)))),IFERROR(IF(INDEX(tbl_Consulting[Job Description],IFERROR(MATCH(A173&amp;"",tbl_Consulting[Job Number],0),MATCH(IFERROR(A173+0,A173),tbl_Consulting[Job Number],0)))="","",INDEX(tbl_Consulting[Job Description],IFERROR(MATCH(A173&amp;"",tbl_Consulting[Job Number],0),MATCH(IFERROR(A173+0,A173),tbl_Consulting[Job Number],0)))),""))))</f>
        <v/>
      </c>
      <c r="L173" s="26">
        <f>IF(A173="","",IFERROR(IF(INDEX(tbl_Onsite[Invoice Type],IFERROR(MATCH(A173&amp;"",tbl_Onsite[Job Number],0),MATCH(IFERROR(A173+0,A173),tbl_Onsite[Job Number],0)))="","",INDEX(tbl_Onsite[Invoice Type],IFERROR(MATCH(A173&amp;"",tbl_Onsite[Job Number],0),MATCH(IFERROR(A173+0,A173),tbl_Onsite[Job Number],0)))),IFERROR(IF(INDEX(tbl_Production[Invoice Type],IFERROR(MATCH(A173&amp;"",tbl_Production[Job Number],0),MATCH(IFERROR(A173+0,A173),tbl_Production[Job Number],0)))="","",INDEX(tbl_Production[Invoice Type],IFERROR(MATCH(A173&amp;"",tbl_Production[Job Number],0),MATCH(IFERROR(A173+0,A173),tbl_Production[Job Number],0)))),IFERROR(IF(INDEX(tbl_Consulting[Invoice Type],IFERROR(MATCH(A173&amp;"",tbl_Consulting[Job Number],0),MATCH(IFERROR(A173+0,A173),tbl_Consulting[Job Number],0)))="","",INDEX(tbl_Consulting[Invoice Type],IFERROR(MATCH(A173&amp;"",tbl_Consulting[Job Number],0),MATCH(IFERROR(A173+0,A173),tbl_Consulting[Job Number],0)))),""))))</f>
        <v/>
      </c>
      <c r="M173" s="26">
        <f>IF(A173="","",IF(IFERROR(IF(INDEX(tbl_Onsite[Tax Code],IFERROR(MATCH(A173&amp;"",tbl_Onsite[Job Number],0),MATCH(IFERROR(A173+0,A173),tbl_Onsite[Job Number],0)))="","",INDEX(tbl_Onsite[Tax Code],IFERROR(MATCH(A173&amp;"",tbl_Onsite[Job Number],0),MATCH(IFERROR(A173+0,A173),tbl_Onsite[Job Number],0)))),IFERROR(IF(INDEX(tbl_Production[Tax Code],IFERROR(MATCH(A173&amp;"",tbl_Production[Job Number],0),MATCH(IFERROR(A173+0,A173),tbl_Production[Job Number],0)))="","",INDEX(tbl_Production[Tax Code],IFERROR(MATCH(A173&amp;"",tbl_Production[Job Number],0),MATCH(IFERROR(A173+0,A173),tbl_Production[Job Number],0)))),IFERROR(IF(INDEX(tbl_Consulting[Tax Code],IFERROR(MATCH(A173&amp;"",tbl_Consulting[Job Number],0),MATCH(IFERROR(A173+0,A173),tbl_Consulting[Job Number],0)))="","",INDEX(tbl_Consulting[Tax Code],IFERROR(MATCH(A173&amp;"",tbl_Consulting[Job Number],0),MATCH(IFERROR(A173+0,A173),tbl_Consulting[Job Number],0)))),"")))="","GST 10%",IFERROR(IF(INDEX(tbl_Onsite[Tax Code],IFERROR(MATCH(A173&amp;"",tbl_Onsite[Job Number],0),MATCH(IFERROR(A173+0,A173),tbl_Onsite[Job Number],0)))="","",INDEX(tbl_Onsite[Tax Code],IFERROR(MATCH(A173&amp;"",tbl_Onsite[Job Number],0),MATCH(IFERROR(A173+0,A173),tbl_Onsite[Job Number],0)))),IFERROR(IF(INDEX(tbl_Production[Tax Code],IFERROR(MATCH(A173&amp;"",tbl_Production[Job Number],0),MATCH(IFERROR(A173+0,A173),tbl_Production[Job Number],0)))="","",INDEX(tbl_Production[Tax Code],IFERROR(MATCH(A173&amp;"",tbl_Production[Job Number],0),MATCH(IFERROR(A173+0,A173),tbl_Production[Job Number],0)))),IFERROR(IF(INDEX(tbl_Consulting[Tax Code],IFERROR(MATCH(A173&amp;"",tbl_Consulting[Job Number],0),MATCH(IFERROR(A173+0,A173),tbl_Consulting[Job Number],0)))="","",INDEX(tbl_Consulting[Tax Code],IFERROR(MATCH(A173&amp;"",tbl_Consulting[Job Number],0),MATCH(IFERROR(A173+0,A173),tbl_Consulting[Job Number],0)))),"")))))</f>
        <v/>
      </c>
      <c r="N173" s="26">
        <f>IF(D173="","",IFERROR(INDEX(lst_CCtoGL,MATCH(D173,lst_CCforGL,0)),""))</f>
        <v/>
      </c>
      <c r="O173" s="27">
        <f>IF(E173="","",IF(M173="GST 10%",ROUND(E173*set_GSTRate,2),0))</f>
        <v/>
      </c>
      <c r="P173" s="27">
        <f>IF(E173="","",E173+O173)</f>
        <v/>
      </c>
      <c r="Q173" s="27">
        <f>IF(A173="","",IFERROR(INDEX(tbl_Onsite[Expected Revenue Ex GST],IFERROR(MATCH(A173&amp;"",tbl_Onsite[Job Number],0),MATCH(IFERROR(A173+0,A173),tbl_Onsite[Job Number],0))),IFERROR(INDEX(tbl_Production[Expected Revenue Ex GST],IFERROR(MATCH(A173&amp;"",tbl_Production[Job Number],0),MATCH(IFERROR(A173+0,A173),tbl_Production[Job Number],0))),IFERROR(INDEX(tbl_Consulting[Expected Revenue Ex GST],IFERROR(MATCH(A173&amp;"",tbl_Consulting[Job Number],0),MATCH(IFERROR(A173+0,A173),tbl_Consulting[Job Number],0))),0))))</f>
        <v/>
      </c>
      <c r="R173" s="27">
        <f>IF(A173="","",SUMIFS(tbl_Finance[Ex GST],tbl_Finance[Job Number],A173&amp;""))</f>
        <v/>
      </c>
      <c r="S173" s="27">
        <f>IF(A173="","",Q173-R173)</f>
        <v/>
      </c>
      <c r="T173" s="26">
        <f>IF(A173="","",IF(Q173=0,"No dept value",IF(ROUND(S173,2)=0,"Agrees",IF(S173&gt;0,"Dept higher - to invoice","Xero higher - check dept"))))</f>
        <v/>
      </c>
      <c r="U173" s="22" t="n"/>
      <c r="V173" s="22" t="n"/>
      <c r="W173" s="23" t="n"/>
      <c r="X173" s="23" t="n"/>
      <c r="Y173" s="22" t="n"/>
      <c r="Z173" s="22" t="n"/>
      <c r="AA173" s="26">
        <f>IF(COUNTA(C173,A173,B173,E173)=0,"",IF(C173="","No date - sits outside every month",IF(A173="","No job number",IF(H173="CHECK","Job number is not in the Xero job list",IF(G173="not set up yet","No department has set this job up - nothing can pull through",IF(D173="","No cost centre",IF(AND(U173="Y",B173=""),"Marked posted to Xero but has no invoice number",IF(N173="","Cost centre has no revenue GL on the Lists sheet",IF(T173="Xero higher - check dept","Invoiced more than the department says the job is worth","")))))))))</f>
        <v/>
      </c>
      <c r="AB173" s="28">
        <f>IF(A173="","",COUNTIFS(tbl_Finance[Job Number],A173&amp;"",tbl_Finance[Ex GST],"&lt;&gt;"))</f>
        <v/>
      </c>
      <c r="AC173" s="27">
        <f>IF(A173="","",SUMIFS(tbl_Finance[Ex GST],tbl_Finance[Job Number],A173&amp;""))</f>
        <v/>
      </c>
      <c r="AD173" s="27">
        <f>IF(A173="","",SUMIFS(tbl_Finance[Ex GST],tbl_Finance[Job Number],A173&amp;"",tbl_Finance[Xero Invoice No],"&lt;&gt;"))</f>
        <v/>
      </c>
      <c r="AE173" s="27">
        <f>IF(A173="","",AC173-AD173)</f>
        <v/>
      </c>
      <c r="AF173" s="26">
        <f>IF(A173="","",IFERROR(IF(INDEX(tbl_Onsite[Qwilr Quote],IFERROR(MATCH(A173&amp;"",tbl_Onsite[Job Number],0),MATCH(IFERROR(A173+0,A173),tbl_Onsite[Job Number],0)))="","",INDEX(tbl_Onsite[Qwilr Quote],IFERROR(MATCH(A173&amp;"",tbl_Onsite[Job Number],0),MATCH(IFERROR(A173+0,A173),tbl_Onsite[Job Number],0)))),IFERROR(IF(IF(INDEX(tbl_Production[Current RMS No],IFERROR(MATCH(A173&amp;"",tbl_Production[Job Number],0),MATCH(IFERROR(A173+0,A173),tbl_Production[Job Number],0)))="",INDEX(tbl_Production[Qwilr Quote],IFERROR(MATCH(A173&amp;"",tbl_Production[Job Number],0),MATCH(IFERROR(A173+0,A173),tbl_Production[Job Number],0))),INDEX(tbl_Production[Current RMS No],IFERROR(MATCH(A173&amp;"",tbl_Production[Job Number],0),MATCH(IFERROR(A173+0,A173),tbl_Production[Job Number],0))))="","",IF(INDEX(tbl_Production[Current RMS No],IFERROR(MATCH(A173&amp;"",tbl_Production[Job Number],0),MATCH(IFERROR(A173+0,A173),tbl_Production[Job Number],0)))="",INDEX(tbl_Production[Qwilr Quote],IFERROR(MATCH(A173&amp;"",tbl_Production[Job Number],0),MATCH(IFERROR(A173+0,A173),tbl_Production[Job Number],0))),INDEX(tbl_Production[Current RMS No],IFERROR(MATCH(A173&amp;"",tbl_Production[Job Number],0),MATCH(IFERROR(A173+0,A173),tbl_Production[Job Number],0))))),IFERROR(IF(INDEX(tbl_Consulting[Qwilr Quote],IFERROR(MATCH(A173&amp;"",tbl_Consulting[Job Number],0),MATCH(IFERROR(A173+0,A173),tbl_Consulting[Job Number],0)))="","",INDEX(tbl_Consulting[Qwilr Quote],IFERROR(MATCH(A173&amp;"",tbl_Consulting[Job Number],0),MATCH(IFERROR(A173+0,A173),tbl_Consulting[Job Number],0)))),""))))</f>
        <v/>
      </c>
      <c r="AG173" s="26">
        <f>IF(AF173="","",IF(AND(LEFT(AF173,4)&lt;&gt;"http",IF(G173="Production",set_RMSBase,set_QwilrBase)=""),"",HYPERLINK(IF(LEFT(AF173,4)="http",AF173,IF(G173="Production",set_RMSBase,set_QwilrBase)&amp;AF173),"Open")))</f>
        <v/>
      </c>
      <c r="AH173" s="27">
        <f>IF(A173="","",IFERROR(INDEX(tbl_Production[Total Expense],IFERROR(MATCH(A173&amp;"",tbl_Production[Job Number],0),MATCH(IFERROR(A173+0,A173),tbl_Production[Job Number],0))),IFERROR(INDEX(tbl_Consulting[Total Expense],IFERROR(MATCH(A173&amp;"",tbl_Consulting[Job Number],0),MATCH(IFERROR(A173+0,A173),tbl_Consulting[Job Number],0))),0)))</f>
        <v/>
      </c>
      <c r="AI173" s="27">
        <f>IF(A173="","",AC173-N(AH173))</f>
        <v/>
      </c>
      <c r="AJ173" s="29">
        <f>IFERROR(AI173/AC173,"")</f>
        <v/>
      </c>
      <c r="AK173" s="26">
        <f>IF(A173="","",IFERROR(IF(INDEX(tbl_Onsite[Notes],IFERROR(MATCH(A173&amp;"",tbl_Onsite[Job Number],0),MATCH(IFERROR(A173+0,A173),tbl_Onsite[Job Number],0)))="","",INDEX(tbl_Onsite[Notes],IFERROR(MATCH(A173&amp;"",tbl_Onsite[Job Number],0),MATCH(IFERROR(A173+0,A173),tbl_Onsite[Job Number],0)))),IFERROR(IF(INDEX(tbl_Production[Notes],IFERROR(MATCH(A173&amp;"",tbl_Production[Job Number],0),MATCH(IFERROR(A173+0,A173),tbl_Production[Job Number],0)))="","",INDEX(tbl_Production[Notes],IFERROR(MATCH(A173&amp;"",tbl_Production[Job Number],0),MATCH(IFERROR(A173+0,A173),tbl_Production[Job Number],0)))),IFERROR(IF(INDEX(tbl_Consulting[Notes],IFERROR(MATCH(A173&amp;"",tbl_Consulting[Job Number],0),MATCH(IFERROR(A173+0,A173),tbl_Consulting[Job Number],0)))="","",INDEX(tbl_Consulting[Notes],IFERROR(MATCH(A173&amp;"",tbl_Consulting[Job Number],0),MATCH(IFERROR(A173+0,A173),tbl_Consulting[Job Number],0)))),""))))</f>
        <v/>
      </c>
    </row>
    <row r="174" ht="15" customHeight="1">
      <c r="A174" s="22" t="n"/>
      <c r="B174" s="22" t="n"/>
      <c r="C174" s="23" t="n"/>
      <c r="D174" s="22" t="n"/>
      <c r="E174" s="24" t="n"/>
      <c r="F174" s="25">
        <f>IF(C174="","",EOMONTH(C174,0))</f>
        <v/>
      </c>
      <c r="G174" s="26">
        <f>IF(A174="","",IF(COUNTIF(tbl_Onsite[Job Number],A174&amp;"")&gt;0,"Onsite",IF(COUNTIF(tbl_Production[Job Number],A174&amp;"")&gt;0,"Production",IF(COUNTIF(tbl_Consulting[Job Number],A174&amp;"")&gt;0,"Consulting","not set up yet"))))</f>
        <v/>
      </c>
      <c r="H174" s="26">
        <f>IF(A174="","",IF(COUNTIF(lst_Jobs,A174&amp;"")&gt;0,"OK","CHECK"))</f>
        <v/>
      </c>
      <c r="I174" s="26">
        <f>IF(A174="","",IFERROR(INDEX(lst_JobName,MATCH(A174&amp;"",lst_Jobs,0)),""))</f>
        <v/>
      </c>
      <c r="J174" s="26">
        <f>IF(A174="","",IFERROR(IF(INDEX(tbl_Onsite[Client],IFERROR(MATCH(A174&amp;"",tbl_Onsite[Job Number],0),MATCH(IFERROR(A174+0,A174),tbl_Onsite[Job Number],0)))="","",INDEX(tbl_Onsite[Client],IFERROR(MATCH(A174&amp;"",tbl_Onsite[Job Number],0),MATCH(IFERROR(A174+0,A174),tbl_Onsite[Job Number],0)))),IFERROR(IF(INDEX(tbl_Production[Client],IFERROR(MATCH(A174&amp;"",tbl_Production[Job Number],0),MATCH(IFERROR(A174+0,A174),tbl_Production[Job Number],0)))="","",INDEX(tbl_Production[Client],IFERROR(MATCH(A174&amp;"",tbl_Production[Job Number],0),MATCH(IFERROR(A174+0,A174),tbl_Production[Job Number],0)))),IFERROR(IF(INDEX(tbl_Consulting[Client],IFERROR(MATCH(A174&amp;"",tbl_Consulting[Job Number],0),MATCH(IFERROR(A174+0,A174),tbl_Consulting[Job Number],0)))="","",INDEX(tbl_Consulting[Client],IFERROR(MATCH(A174&amp;"",tbl_Consulting[Job Number],0),MATCH(IFERROR(A174+0,A174),tbl_Consulting[Job Number],0)))),""))))</f>
        <v/>
      </c>
      <c r="K174" s="26">
        <f>IF(A174="","",IFERROR(IF(INDEX(tbl_Onsite[Job Description],IFERROR(MATCH(A174&amp;"",tbl_Onsite[Job Number],0),MATCH(IFERROR(A174+0,A174),tbl_Onsite[Job Number],0)))="","",INDEX(tbl_Onsite[Job Description],IFERROR(MATCH(A174&amp;"",tbl_Onsite[Job Number],0),MATCH(IFERROR(A174+0,A174),tbl_Onsite[Job Number],0)))),IFERROR(IF(INDEX(tbl_Production[Job Description],IFERROR(MATCH(A174&amp;"",tbl_Production[Job Number],0),MATCH(IFERROR(A174+0,A174),tbl_Production[Job Number],0)))="","",INDEX(tbl_Production[Job Description],IFERROR(MATCH(A174&amp;"",tbl_Production[Job Number],0),MATCH(IFERROR(A174+0,A174),tbl_Production[Job Number],0)))),IFERROR(IF(INDEX(tbl_Consulting[Job Description],IFERROR(MATCH(A174&amp;"",tbl_Consulting[Job Number],0),MATCH(IFERROR(A174+0,A174),tbl_Consulting[Job Number],0)))="","",INDEX(tbl_Consulting[Job Description],IFERROR(MATCH(A174&amp;"",tbl_Consulting[Job Number],0),MATCH(IFERROR(A174+0,A174),tbl_Consulting[Job Number],0)))),""))))</f>
        <v/>
      </c>
      <c r="L174" s="26">
        <f>IF(A174="","",IFERROR(IF(INDEX(tbl_Onsite[Invoice Type],IFERROR(MATCH(A174&amp;"",tbl_Onsite[Job Number],0),MATCH(IFERROR(A174+0,A174),tbl_Onsite[Job Number],0)))="","",INDEX(tbl_Onsite[Invoice Type],IFERROR(MATCH(A174&amp;"",tbl_Onsite[Job Number],0),MATCH(IFERROR(A174+0,A174),tbl_Onsite[Job Number],0)))),IFERROR(IF(INDEX(tbl_Production[Invoice Type],IFERROR(MATCH(A174&amp;"",tbl_Production[Job Number],0),MATCH(IFERROR(A174+0,A174),tbl_Production[Job Number],0)))="","",INDEX(tbl_Production[Invoice Type],IFERROR(MATCH(A174&amp;"",tbl_Production[Job Number],0),MATCH(IFERROR(A174+0,A174),tbl_Production[Job Number],0)))),IFERROR(IF(INDEX(tbl_Consulting[Invoice Type],IFERROR(MATCH(A174&amp;"",tbl_Consulting[Job Number],0),MATCH(IFERROR(A174+0,A174),tbl_Consulting[Job Number],0)))="","",INDEX(tbl_Consulting[Invoice Type],IFERROR(MATCH(A174&amp;"",tbl_Consulting[Job Number],0),MATCH(IFERROR(A174+0,A174),tbl_Consulting[Job Number],0)))),""))))</f>
        <v/>
      </c>
      <c r="M174" s="26">
        <f>IF(A174="","",IF(IFERROR(IF(INDEX(tbl_Onsite[Tax Code],IFERROR(MATCH(A174&amp;"",tbl_Onsite[Job Number],0),MATCH(IFERROR(A174+0,A174),tbl_Onsite[Job Number],0)))="","",INDEX(tbl_Onsite[Tax Code],IFERROR(MATCH(A174&amp;"",tbl_Onsite[Job Number],0),MATCH(IFERROR(A174+0,A174),tbl_Onsite[Job Number],0)))),IFERROR(IF(INDEX(tbl_Production[Tax Code],IFERROR(MATCH(A174&amp;"",tbl_Production[Job Number],0),MATCH(IFERROR(A174+0,A174),tbl_Production[Job Number],0)))="","",INDEX(tbl_Production[Tax Code],IFERROR(MATCH(A174&amp;"",tbl_Production[Job Number],0),MATCH(IFERROR(A174+0,A174),tbl_Production[Job Number],0)))),IFERROR(IF(INDEX(tbl_Consulting[Tax Code],IFERROR(MATCH(A174&amp;"",tbl_Consulting[Job Number],0),MATCH(IFERROR(A174+0,A174),tbl_Consulting[Job Number],0)))="","",INDEX(tbl_Consulting[Tax Code],IFERROR(MATCH(A174&amp;"",tbl_Consulting[Job Number],0),MATCH(IFERROR(A174+0,A174),tbl_Consulting[Job Number],0)))),"")))="","GST 10%",IFERROR(IF(INDEX(tbl_Onsite[Tax Code],IFERROR(MATCH(A174&amp;"",tbl_Onsite[Job Number],0),MATCH(IFERROR(A174+0,A174),tbl_Onsite[Job Number],0)))="","",INDEX(tbl_Onsite[Tax Code],IFERROR(MATCH(A174&amp;"",tbl_Onsite[Job Number],0),MATCH(IFERROR(A174+0,A174),tbl_Onsite[Job Number],0)))),IFERROR(IF(INDEX(tbl_Production[Tax Code],IFERROR(MATCH(A174&amp;"",tbl_Production[Job Number],0),MATCH(IFERROR(A174+0,A174),tbl_Production[Job Number],0)))="","",INDEX(tbl_Production[Tax Code],IFERROR(MATCH(A174&amp;"",tbl_Production[Job Number],0),MATCH(IFERROR(A174+0,A174),tbl_Production[Job Number],0)))),IFERROR(IF(INDEX(tbl_Consulting[Tax Code],IFERROR(MATCH(A174&amp;"",tbl_Consulting[Job Number],0),MATCH(IFERROR(A174+0,A174),tbl_Consulting[Job Number],0)))="","",INDEX(tbl_Consulting[Tax Code],IFERROR(MATCH(A174&amp;"",tbl_Consulting[Job Number],0),MATCH(IFERROR(A174+0,A174),tbl_Consulting[Job Number],0)))),"")))))</f>
        <v/>
      </c>
      <c r="N174" s="26">
        <f>IF(D174="","",IFERROR(INDEX(lst_CCtoGL,MATCH(D174,lst_CCforGL,0)),""))</f>
        <v/>
      </c>
      <c r="O174" s="27">
        <f>IF(E174="","",IF(M174="GST 10%",ROUND(E174*set_GSTRate,2),0))</f>
        <v/>
      </c>
      <c r="P174" s="27">
        <f>IF(E174="","",E174+O174)</f>
        <v/>
      </c>
      <c r="Q174" s="27">
        <f>IF(A174="","",IFERROR(INDEX(tbl_Onsite[Expected Revenue Ex GST],IFERROR(MATCH(A174&amp;"",tbl_Onsite[Job Number],0),MATCH(IFERROR(A174+0,A174),tbl_Onsite[Job Number],0))),IFERROR(INDEX(tbl_Production[Expected Revenue Ex GST],IFERROR(MATCH(A174&amp;"",tbl_Production[Job Number],0),MATCH(IFERROR(A174+0,A174),tbl_Production[Job Number],0))),IFERROR(INDEX(tbl_Consulting[Expected Revenue Ex GST],IFERROR(MATCH(A174&amp;"",tbl_Consulting[Job Number],0),MATCH(IFERROR(A174+0,A174),tbl_Consulting[Job Number],0))),0))))</f>
        <v/>
      </c>
      <c r="R174" s="27">
        <f>IF(A174="","",SUMIFS(tbl_Finance[Ex GST],tbl_Finance[Job Number],A174&amp;""))</f>
        <v/>
      </c>
      <c r="S174" s="27">
        <f>IF(A174="","",Q174-R174)</f>
        <v/>
      </c>
      <c r="T174" s="26">
        <f>IF(A174="","",IF(Q174=0,"No dept value",IF(ROUND(S174,2)=0,"Agrees",IF(S174&gt;0,"Dept higher - to invoice","Xero higher - check dept"))))</f>
        <v/>
      </c>
      <c r="U174" s="22" t="n"/>
      <c r="V174" s="22" t="n"/>
      <c r="W174" s="23" t="n"/>
      <c r="X174" s="23" t="n"/>
      <c r="Y174" s="22" t="n"/>
      <c r="Z174" s="22" t="n"/>
      <c r="AA174" s="26">
        <f>IF(COUNTA(C174,A174,B174,E174)=0,"",IF(C174="","No date - sits outside every month",IF(A174="","No job number",IF(H174="CHECK","Job number is not in the Xero job list",IF(G174="not set up yet","No department has set this job up - nothing can pull through",IF(D174="","No cost centre",IF(AND(U174="Y",B174=""),"Marked posted to Xero but has no invoice number",IF(N174="","Cost centre has no revenue GL on the Lists sheet",IF(T174="Xero higher - check dept","Invoiced more than the department says the job is worth","")))))))))</f>
        <v/>
      </c>
      <c r="AB174" s="28">
        <f>IF(A174="","",COUNTIFS(tbl_Finance[Job Number],A174&amp;"",tbl_Finance[Ex GST],"&lt;&gt;"))</f>
        <v/>
      </c>
      <c r="AC174" s="27">
        <f>IF(A174="","",SUMIFS(tbl_Finance[Ex GST],tbl_Finance[Job Number],A174&amp;""))</f>
        <v/>
      </c>
      <c r="AD174" s="27">
        <f>IF(A174="","",SUMIFS(tbl_Finance[Ex GST],tbl_Finance[Job Number],A174&amp;"",tbl_Finance[Xero Invoice No],"&lt;&gt;"))</f>
        <v/>
      </c>
      <c r="AE174" s="27">
        <f>IF(A174="","",AC174-AD174)</f>
        <v/>
      </c>
      <c r="AF174" s="26">
        <f>IF(A174="","",IFERROR(IF(INDEX(tbl_Onsite[Qwilr Quote],IFERROR(MATCH(A174&amp;"",tbl_Onsite[Job Number],0),MATCH(IFERROR(A174+0,A174),tbl_Onsite[Job Number],0)))="","",INDEX(tbl_Onsite[Qwilr Quote],IFERROR(MATCH(A174&amp;"",tbl_Onsite[Job Number],0),MATCH(IFERROR(A174+0,A174),tbl_Onsite[Job Number],0)))),IFERROR(IF(IF(INDEX(tbl_Production[Current RMS No],IFERROR(MATCH(A174&amp;"",tbl_Production[Job Number],0),MATCH(IFERROR(A174+0,A174),tbl_Production[Job Number],0)))="",INDEX(tbl_Production[Qwilr Quote],IFERROR(MATCH(A174&amp;"",tbl_Production[Job Number],0),MATCH(IFERROR(A174+0,A174),tbl_Production[Job Number],0))),INDEX(tbl_Production[Current RMS No],IFERROR(MATCH(A174&amp;"",tbl_Production[Job Number],0),MATCH(IFERROR(A174+0,A174),tbl_Production[Job Number],0))))="","",IF(INDEX(tbl_Production[Current RMS No],IFERROR(MATCH(A174&amp;"",tbl_Production[Job Number],0),MATCH(IFERROR(A174+0,A174),tbl_Production[Job Number],0)))="",INDEX(tbl_Production[Qwilr Quote],IFERROR(MATCH(A174&amp;"",tbl_Production[Job Number],0),MATCH(IFERROR(A174+0,A174),tbl_Production[Job Number],0))),INDEX(tbl_Production[Current RMS No],IFERROR(MATCH(A174&amp;"",tbl_Production[Job Number],0),MATCH(IFERROR(A174+0,A174),tbl_Production[Job Number],0))))),IFERROR(IF(INDEX(tbl_Consulting[Qwilr Quote],IFERROR(MATCH(A174&amp;"",tbl_Consulting[Job Number],0),MATCH(IFERROR(A174+0,A174),tbl_Consulting[Job Number],0)))="","",INDEX(tbl_Consulting[Qwilr Quote],IFERROR(MATCH(A174&amp;"",tbl_Consulting[Job Number],0),MATCH(IFERROR(A174+0,A174),tbl_Consulting[Job Number],0)))),""))))</f>
        <v/>
      </c>
      <c r="AG174" s="26">
        <f>IF(AF174="","",IF(AND(LEFT(AF174,4)&lt;&gt;"http",IF(G174="Production",set_RMSBase,set_QwilrBase)=""),"",HYPERLINK(IF(LEFT(AF174,4)="http",AF174,IF(G174="Production",set_RMSBase,set_QwilrBase)&amp;AF174),"Open")))</f>
        <v/>
      </c>
      <c r="AH174" s="27">
        <f>IF(A174="","",IFERROR(INDEX(tbl_Production[Total Expense],IFERROR(MATCH(A174&amp;"",tbl_Production[Job Number],0),MATCH(IFERROR(A174+0,A174),tbl_Production[Job Number],0))),IFERROR(INDEX(tbl_Consulting[Total Expense],IFERROR(MATCH(A174&amp;"",tbl_Consulting[Job Number],0),MATCH(IFERROR(A174+0,A174),tbl_Consulting[Job Number],0))),0)))</f>
        <v/>
      </c>
      <c r="AI174" s="27">
        <f>IF(A174="","",AC174-N(AH174))</f>
        <v/>
      </c>
      <c r="AJ174" s="29">
        <f>IFERROR(AI174/AC174,"")</f>
        <v/>
      </c>
      <c r="AK174" s="26">
        <f>IF(A174="","",IFERROR(IF(INDEX(tbl_Onsite[Notes],IFERROR(MATCH(A174&amp;"",tbl_Onsite[Job Number],0),MATCH(IFERROR(A174+0,A174),tbl_Onsite[Job Number],0)))="","",INDEX(tbl_Onsite[Notes],IFERROR(MATCH(A174&amp;"",tbl_Onsite[Job Number],0),MATCH(IFERROR(A174+0,A174),tbl_Onsite[Job Number],0)))),IFERROR(IF(INDEX(tbl_Production[Notes],IFERROR(MATCH(A174&amp;"",tbl_Production[Job Number],0),MATCH(IFERROR(A174+0,A174),tbl_Production[Job Number],0)))="","",INDEX(tbl_Production[Notes],IFERROR(MATCH(A174&amp;"",tbl_Production[Job Number],0),MATCH(IFERROR(A174+0,A174),tbl_Production[Job Number],0)))),IFERROR(IF(INDEX(tbl_Consulting[Notes],IFERROR(MATCH(A174&amp;"",tbl_Consulting[Job Number],0),MATCH(IFERROR(A174+0,A174),tbl_Consulting[Job Number],0)))="","",INDEX(tbl_Consulting[Notes],IFERROR(MATCH(A174&amp;"",tbl_Consulting[Job Number],0),MATCH(IFERROR(A174+0,A174),tbl_Consulting[Job Number],0)))),""))))</f>
        <v/>
      </c>
    </row>
    <row r="175" ht="15" customHeight="1">
      <c r="A175" s="22" t="n"/>
      <c r="B175" s="22" t="n"/>
      <c r="C175" s="23" t="n"/>
      <c r="D175" s="22" t="n"/>
      <c r="E175" s="24" t="n"/>
      <c r="F175" s="25">
        <f>IF(C175="","",EOMONTH(C175,0))</f>
        <v/>
      </c>
      <c r="G175" s="26">
        <f>IF(A175="","",IF(COUNTIF(tbl_Onsite[Job Number],A175&amp;"")&gt;0,"Onsite",IF(COUNTIF(tbl_Production[Job Number],A175&amp;"")&gt;0,"Production",IF(COUNTIF(tbl_Consulting[Job Number],A175&amp;"")&gt;0,"Consulting","not set up yet"))))</f>
        <v/>
      </c>
      <c r="H175" s="26">
        <f>IF(A175="","",IF(COUNTIF(lst_Jobs,A175&amp;"")&gt;0,"OK","CHECK"))</f>
        <v/>
      </c>
      <c r="I175" s="26">
        <f>IF(A175="","",IFERROR(INDEX(lst_JobName,MATCH(A175&amp;"",lst_Jobs,0)),""))</f>
        <v/>
      </c>
      <c r="J175" s="26">
        <f>IF(A175="","",IFERROR(IF(INDEX(tbl_Onsite[Client],IFERROR(MATCH(A175&amp;"",tbl_Onsite[Job Number],0),MATCH(IFERROR(A175+0,A175),tbl_Onsite[Job Number],0)))="","",INDEX(tbl_Onsite[Client],IFERROR(MATCH(A175&amp;"",tbl_Onsite[Job Number],0),MATCH(IFERROR(A175+0,A175),tbl_Onsite[Job Number],0)))),IFERROR(IF(INDEX(tbl_Production[Client],IFERROR(MATCH(A175&amp;"",tbl_Production[Job Number],0),MATCH(IFERROR(A175+0,A175),tbl_Production[Job Number],0)))="","",INDEX(tbl_Production[Client],IFERROR(MATCH(A175&amp;"",tbl_Production[Job Number],0),MATCH(IFERROR(A175+0,A175),tbl_Production[Job Number],0)))),IFERROR(IF(INDEX(tbl_Consulting[Client],IFERROR(MATCH(A175&amp;"",tbl_Consulting[Job Number],0),MATCH(IFERROR(A175+0,A175),tbl_Consulting[Job Number],0)))="","",INDEX(tbl_Consulting[Client],IFERROR(MATCH(A175&amp;"",tbl_Consulting[Job Number],0),MATCH(IFERROR(A175+0,A175),tbl_Consulting[Job Number],0)))),""))))</f>
        <v/>
      </c>
      <c r="K175" s="26">
        <f>IF(A175="","",IFERROR(IF(INDEX(tbl_Onsite[Job Description],IFERROR(MATCH(A175&amp;"",tbl_Onsite[Job Number],0),MATCH(IFERROR(A175+0,A175),tbl_Onsite[Job Number],0)))="","",INDEX(tbl_Onsite[Job Description],IFERROR(MATCH(A175&amp;"",tbl_Onsite[Job Number],0),MATCH(IFERROR(A175+0,A175),tbl_Onsite[Job Number],0)))),IFERROR(IF(INDEX(tbl_Production[Job Description],IFERROR(MATCH(A175&amp;"",tbl_Production[Job Number],0),MATCH(IFERROR(A175+0,A175),tbl_Production[Job Number],0)))="","",INDEX(tbl_Production[Job Description],IFERROR(MATCH(A175&amp;"",tbl_Production[Job Number],0),MATCH(IFERROR(A175+0,A175),tbl_Production[Job Number],0)))),IFERROR(IF(INDEX(tbl_Consulting[Job Description],IFERROR(MATCH(A175&amp;"",tbl_Consulting[Job Number],0),MATCH(IFERROR(A175+0,A175),tbl_Consulting[Job Number],0)))="","",INDEX(tbl_Consulting[Job Description],IFERROR(MATCH(A175&amp;"",tbl_Consulting[Job Number],0),MATCH(IFERROR(A175+0,A175),tbl_Consulting[Job Number],0)))),""))))</f>
        <v/>
      </c>
      <c r="L175" s="26">
        <f>IF(A175="","",IFERROR(IF(INDEX(tbl_Onsite[Invoice Type],IFERROR(MATCH(A175&amp;"",tbl_Onsite[Job Number],0),MATCH(IFERROR(A175+0,A175),tbl_Onsite[Job Number],0)))="","",INDEX(tbl_Onsite[Invoice Type],IFERROR(MATCH(A175&amp;"",tbl_Onsite[Job Number],0),MATCH(IFERROR(A175+0,A175),tbl_Onsite[Job Number],0)))),IFERROR(IF(INDEX(tbl_Production[Invoice Type],IFERROR(MATCH(A175&amp;"",tbl_Production[Job Number],0),MATCH(IFERROR(A175+0,A175),tbl_Production[Job Number],0)))="","",INDEX(tbl_Production[Invoice Type],IFERROR(MATCH(A175&amp;"",tbl_Production[Job Number],0),MATCH(IFERROR(A175+0,A175),tbl_Production[Job Number],0)))),IFERROR(IF(INDEX(tbl_Consulting[Invoice Type],IFERROR(MATCH(A175&amp;"",tbl_Consulting[Job Number],0),MATCH(IFERROR(A175+0,A175),tbl_Consulting[Job Number],0)))="","",INDEX(tbl_Consulting[Invoice Type],IFERROR(MATCH(A175&amp;"",tbl_Consulting[Job Number],0),MATCH(IFERROR(A175+0,A175),tbl_Consulting[Job Number],0)))),""))))</f>
        <v/>
      </c>
      <c r="M175" s="26">
        <f>IF(A175="","",IF(IFERROR(IF(INDEX(tbl_Onsite[Tax Code],IFERROR(MATCH(A175&amp;"",tbl_Onsite[Job Number],0),MATCH(IFERROR(A175+0,A175),tbl_Onsite[Job Number],0)))="","",INDEX(tbl_Onsite[Tax Code],IFERROR(MATCH(A175&amp;"",tbl_Onsite[Job Number],0),MATCH(IFERROR(A175+0,A175),tbl_Onsite[Job Number],0)))),IFERROR(IF(INDEX(tbl_Production[Tax Code],IFERROR(MATCH(A175&amp;"",tbl_Production[Job Number],0),MATCH(IFERROR(A175+0,A175),tbl_Production[Job Number],0)))="","",INDEX(tbl_Production[Tax Code],IFERROR(MATCH(A175&amp;"",tbl_Production[Job Number],0),MATCH(IFERROR(A175+0,A175),tbl_Production[Job Number],0)))),IFERROR(IF(INDEX(tbl_Consulting[Tax Code],IFERROR(MATCH(A175&amp;"",tbl_Consulting[Job Number],0),MATCH(IFERROR(A175+0,A175),tbl_Consulting[Job Number],0)))="","",INDEX(tbl_Consulting[Tax Code],IFERROR(MATCH(A175&amp;"",tbl_Consulting[Job Number],0),MATCH(IFERROR(A175+0,A175),tbl_Consulting[Job Number],0)))),"")))="","GST 10%",IFERROR(IF(INDEX(tbl_Onsite[Tax Code],IFERROR(MATCH(A175&amp;"",tbl_Onsite[Job Number],0),MATCH(IFERROR(A175+0,A175),tbl_Onsite[Job Number],0)))="","",INDEX(tbl_Onsite[Tax Code],IFERROR(MATCH(A175&amp;"",tbl_Onsite[Job Number],0),MATCH(IFERROR(A175+0,A175),tbl_Onsite[Job Number],0)))),IFERROR(IF(INDEX(tbl_Production[Tax Code],IFERROR(MATCH(A175&amp;"",tbl_Production[Job Number],0),MATCH(IFERROR(A175+0,A175),tbl_Production[Job Number],0)))="","",INDEX(tbl_Production[Tax Code],IFERROR(MATCH(A175&amp;"",tbl_Production[Job Number],0),MATCH(IFERROR(A175+0,A175),tbl_Production[Job Number],0)))),IFERROR(IF(INDEX(tbl_Consulting[Tax Code],IFERROR(MATCH(A175&amp;"",tbl_Consulting[Job Number],0),MATCH(IFERROR(A175+0,A175),tbl_Consulting[Job Number],0)))="","",INDEX(tbl_Consulting[Tax Code],IFERROR(MATCH(A175&amp;"",tbl_Consulting[Job Number],0),MATCH(IFERROR(A175+0,A175),tbl_Consulting[Job Number],0)))),"")))))</f>
        <v/>
      </c>
      <c r="N175" s="26">
        <f>IF(D175="","",IFERROR(INDEX(lst_CCtoGL,MATCH(D175,lst_CCforGL,0)),""))</f>
        <v/>
      </c>
      <c r="O175" s="27">
        <f>IF(E175="","",IF(M175="GST 10%",ROUND(E175*set_GSTRate,2),0))</f>
        <v/>
      </c>
      <c r="P175" s="27">
        <f>IF(E175="","",E175+O175)</f>
        <v/>
      </c>
      <c r="Q175" s="27">
        <f>IF(A175="","",IFERROR(INDEX(tbl_Onsite[Expected Revenue Ex GST],IFERROR(MATCH(A175&amp;"",tbl_Onsite[Job Number],0),MATCH(IFERROR(A175+0,A175),tbl_Onsite[Job Number],0))),IFERROR(INDEX(tbl_Production[Expected Revenue Ex GST],IFERROR(MATCH(A175&amp;"",tbl_Production[Job Number],0),MATCH(IFERROR(A175+0,A175),tbl_Production[Job Number],0))),IFERROR(INDEX(tbl_Consulting[Expected Revenue Ex GST],IFERROR(MATCH(A175&amp;"",tbl_Consulting[Job Number],0),MATCH(IFERROR(A175+0,A175),tbl_Consulting[Job Number],0))),0))))</f>
        <v/>
      </c>
      <c r="R175" s="27">
        <f>IF(A175="","",SUMIFS(tbl_Finance[Ex GST],tbl_Finance[Job Number],A175&amp;""))</f>
        <v/>
      </c>
      <c r="S175" s="27">
        <f>IF(A175="","",Q175-R175)</f>
        <v/>
      </c>
      <c r="T175" s="26">
        <f>IF(A175="","",IF(Q175=0,"No dept value",IF(ROUND(S175,2)=0,"Agrees",IF(S175&gt;0,"Dept higher - to invoice","Xero higher - check dept"))))</f>
        <v/>
      </c>
      <c r="U175" s="22" t="n"/>
      <c r="V175" s="22" t="n"/>
      <c r="W175" s="23" t="n"/>
      <c r="X175" s="23" t="n"/>
      <c r="Y175" s="22" t="n"/>
      <c r="Z175" s="22" t="n"/>
      <c r="AA175" s="26">
        <f>IF(COUNTA(C175,A175,B175,E175)=0,"",IF(C175="","No date - sits outside every month",IF(A175="","No job number",IF(H175="CHECK","Job number is not in the Xero job list",IF(G175="not set up yet","No department has set this job up - nothing can pull through",IF(D175="","No cost centre",IF(AND(U175="Y",B175=""),"Marked posted to Xero but has no invoice number",IF(N175="","Cost centre has no revenue GL on the Lists sheet",IF(T175="Xero higher - check dept","Invoiced more than the department says the job is worth","")))))))))</f>
        <v/>
      </c>
      <c r="AB175" s="28">
        <f>IF(A175="","",COUNTIFS(tbl_Finance[Job Number],A175&amp;"",tbl_Finance[Ex GST],"&lt;&gt;"))</f>
        <v/>
      </c>
      <c r="AC175" s="27">
        <f>IF(A175="","",SUMIFS(tbl_Finance[Ex GST],tbl_Finance[Job Number],A175&amp;""))</f>
        <v/>
      </c>
      <c r="AD175" s="27">
        <f>IF(A175="","",SUMIFS(tbl_Finance[Ex GST],tbl_Finance[Job Number],A175&amp;"",tbl_Finance[Xero Invoice No],"&lt;&gt;"))</f>
        <v/>
      </c>
      <c r="AE175" s="27">
        <f>IF(A175="","",AC175-AD175)</f>
        <v/>
      </c>
      <c r="AF175" s="26">
        <f>IF(A175="","",IFERROR(IF(INDEX(tbl_Onsite[Qwilr Quote],IFERROR(MATCH(A175&amp;"",tbl_Onsite[Job Number],0),MATCH(IFERROR(A175+0,A175),tbl_Onsite[Job Number],0)))="","",INDEX(tbl_Onsite[Qwilr Quote],IFERROR(MATCH(A175&amp;"",tbl_Onsite[Job Number],0),MATCH(IFERROR(A175+0,A175),tbl_Onsite[Job Number],0)))),IFERROR(IF(IF(INDEX(tbl_Production[Current RMS No],IFERROR(MATCH(A175&amp;"",tbl_Production[Job Number],0),MATCH(IFERROR(A175+0,A175),tbl_Production[Job Number],0)))="",INDEX(tbl_Production[Qwilr Quote],IFERROR(MATCH(A175&amp;"",tbl_Production[Job Number],0),MATCH(IFERROR(A175+0,A175),tbl_Production[Job Number],0))),INDEX(tbl_Production[Current RMS No],IFERROR(MATCH(A175&amp;"",tbl_Production[Job Number],0),MATCH(IFERROR(A175+0,A175),tbl_Production[Job Number],0))))="","",IF(INDEX(tbl_Production[Current RMS No],IFERROR(MATCH(A175&amp;"",tbl_Production[Job Number],0),MATCH(IFERROR(A175+0,A175),tbl_Production[Job Number],0)))="",INDEX(tbl_Production[Qwilr Quote],IFERROR(MATCH(A175&amp;"",tbl_Production[Job Number],0),MATCH(IFERROR(A175+0,A175),tbl_Production[Job Number],0))),INDEX(tbl_Production[Current RMS No],IFERROR(MATCH(A175&amp;"",tbl_Production[Job Number],0),MATCH(IFERROR(A175+0,A175),tbl_Production[Job Number],0))))),IFERROR(IF(INDEX(tbl_Consulting[Qwilr Quote],IFERROR(MATCH(A175&amp;"",tbl_Consulting[Job Number],0),MATCH(IFERROR(A175+0,A175),tbl_Consulting[Job Number],0)))="","",INDEX(tbl_Consulting[Qwilr Quote],IFERROR(MATCH(A175&amp;"",tbl_Consulting[Job Number],0),MATCH(IFERROR(A175+0,A175),tbl_Consulting[Job Number],0)))),""))))</f>
        <v/>
      </c>
      <c r="AG175" s="26">
        <f>IF(AF175="","",IF(AND(LEFT(AF175,4)&lt;&gt;"http",IF(G175="Production",set_RMSBase,set_QwilrBase)=""),"",HYPERLINK(IF(LEFT(AF175,4)="http",AF175,IF(G175="Production",set_RMSBase,set_QwilrBase)&amp;AF175),"Open")))</f>
        <v/>
      </c>
      <c r="AH175" s="27">
        <f>IF(A175="","",IFERROR(INDEX(tbl_Production[Total Expense],IFERROR(MATCH(A175&amp;"",tbl_Production[Job Number],0),MATCH(IFERROR(A175+0,A175),tbl_Production[Job Number],0))),IFERROR(INDEX(tbl_Consulting[Total Expense],IFERROR(MATCH(A175&amp;"",tbl_Consulting[Job Number],0),MATCH(IFERROR(A175+0,A175),tbl_Consulting[Job Number],0))),0)))</f>
        <v/>
      </c>
      <c r="AI175" s="27">
        <f>IF(A175="","",AC175-N(AH175))</f>
        <v/>
      </c>
      <c r="AJ175" s="29">
        <f>IFERROR(AI175/AC175,"")</f>
        <v/>
      </c>
      <c r="AK175" s="26">
        <f>IF(A175="","",IFERROR(IF(INDEX(tbl_Onsite[Notes],IFERROR(MATCH(A175&amp;"",tbl_Onsite[Job Number],0),MATCH(IFERROR(A175+0,A175),tbl_Onsite[Job Number],0)))="","",INDEX(tbl_Onsite[Notes],IFERROR(MATCH(A175&amp;"",tbl_Onsite[Job Number],0),MATCH(IFERROR(A175+0,A175),tbl_Onsite[Job Number],0)))),IFERROR(IF(INDEX(tbl_Production[Notes],IFERROR(MATCH(A175&amp;"",tbl_Production[Job Number],0),MATCH(IFERROR(A175+0,A175),tbl_Production[Job Number],0)))="","",INDEX(tbl_Production[Notes],IFERROR(MATCH(A175&amp;"",tbl_Production[Job Number],0),MATCH(IFERROR(A175+0,A175),tbl_Production[Job Number],0)))),IFERROR(IF(INDEX(tbl_Consulting[Notes],IFERROR(MATCH(A175&amp;"",tbl_Consulting[Job Number],0),MATCH(IFERROR(A175+0,A175),tbl_Consulting[Job Number],0)))="","",INDEX(tbl_Consulting[Notes],IFERROR(MATCH(A175&amp;"",tbl_Consulting[Job Number],0),MATCH(IFERROR(A175+0,A175),tbl_Consulting[Job Number],0)))),""))))</f>
        <v/>
      </c>
    </row>
    <row r="176" ht="15" customHeight="1">
      <c r="A176" s="22" t="n"/>
      <c r="B176" s="22" t="n"/>
      <c r="C176" s="23" t="n"/>
      <c r="D176" s="22" t="n"/>
      <c r="E176" s="24" t="n"/>
      <c r="F176" s="25">
        <f>IF(C176="","",EOMONTH(C176,0))</f>
        <v/>
      </c>
      <c r="G176" s="26">
        <f>IF(A176="","",IF(COUNTIF(tbl_Onsite[Job Number],A176&amp;"")&gt;0,"Onsite",IF(COUNTIF(tbl_Production[Job Number],A176&amp;"")&gt;0,"Production",IF(COUNTIF(tbl_Consulting[Job Number],A176&amp;"")&gt;0,"Consulting","not set up yet"))))</f>
        <v/>
      </c>
      <c r="H176" s="26">
        <f>IF(A176="","",IF(COUNTIF(lst_Jobs,A176&amp;"")&gt;0,"OK","CHECK"))</f>
        <v/>
      </c>
      <c r="I176" s="26">
        <f>IF(A176="","",IFERROR(INDEX(lst_JobName,MATCH(A176&amp;"",lst_Jobs,0)),""))</f>
        <v/>
      </c>
      <c r="J176" s="26">
        <f>IF(A176="","",IFERROR(IF(INDEX(tbl_Onsite[Client],IFERROR(MATCH(A176&amp;"",tbl_Onsite[Job Number],0),MATCH(IFERROR(A176+0,A176),tbl_Onsite[Job Number],0)))="","",INDEX(tbl_Onsite[Client],IFERROR(MATCH(A176&amp;"",tbl_Onsite[Job Number],0),MATCH(IFERROR(A176+0,A176),tbl_Onsite[Job Number],0)))),IFERROR(IF(INDEX(tbl_Production[Client],IFERROR(MATCH(A176&amp;"",tbl_Production[Job Number],0),MATCH(IFERROR(A176+0,A176),tbl_Production[Job Number],0)))="","",INDEX(tbl_Production[Client],IFERROR(MATCH(A176&amp;"",tbl_Production[Job Number],0),MATCH(IFERROR(A176+0,A176),tbl_Production[Job Number],0)))),IFERROR(IF(INDEX(tbl_Consulting[Client],IFERROR(MATCH(A176&amp;"",tbl_Consulting[Job Number],0),MATCH(IFERROR(A176+0,A176),tbl_Consulting[Job Number],0)))="","",INDEX(tbl_Consulting[Client],IFERROR(MATCH(A176&amp;"",tbl_Consulting[Job Number],0),MATCH(IFERROR(A176+0,A176),tbl_Consulting[Job Number],0)))),""))))</f>
        <v/>
      </c>
      <c r="K176" s="26">
        <f>IF(A176="","",IFERROR(IF(INDEX(tbl_Onsite[Job Description],IFERROR(MATCH(A176&amp;"",tbl_Onsite[Job Number],0),MATCH(IFERROR(A176+0,A176),tbl_Onsite[Job Number],0)))="","",INDEX(tbl_Onsite[Job Description],IFERROR(MATCH(A176&amp;"",tbl_Onsite[Job Number],0),MATCH(IFERROR(A176+0,A176),tbl_Onsite[Job Number],0)))),IFERROR(IF(INDEX(tbl_Production[Job Description],IFERROR(MATCH(A176&amp;"",tbl_Production[Job Number],0),MATCH(IFERROR(A176+0,A176),tbl_Production[Job Number],0)))="","",INDEX(tbl_Production[Job Description],IFERROR(MATCH(A176&amp;"",tbl_Production[Job Number],0),MATCH(IFERROR(A176+0,A176),tbl_Production[Job Number],0)))),IFERROR(IF(INDEX(tbl_Consulting[Job Description],IFERROR(MATCH(A176&amp;"",tbl_Consulting[Job Number],0),MATCH(IFERROR(A176+0,A176),tbl_Consulting[Job Number],0)))="","",INDEX(tbl_Consulting[Job Description],IFERROR(MATCH(A176&amp;"",tbl_Consulting[Job Number],0),MATCH(IFERROR(A176+0,A176),tbl_Consulting[Job Number],0)))),""))))</f>
        <v/>
      </c>
      <c r="L176" s="26">
        <f>IF(A176="","",IFERROR(IF(INDEX(tbl_Onsite[Invoice Type],IFERROR(MATCH(A176&amp;"",tbl_Onsite[Job Number],0),MATCH(IFERROR(A176+0,A176),tbl_Onsite[Job Number],0)))="","",INDEX(tbl_Onsite[Invoice Type],IFERROR(MATCH(A176&amp;"",tbl_Onsite[Job Number],0),MATCH(IFERROR(A176+0,A176),tbl_Onsite[Job Number],0)))),IFERROR(IF(INDEX(tbl_Production[Invoice Type],IFERROR(MATCH(A176&amp;"",tbl_Production[Job Number],0),MATCH(IFERROR(A176+0,A176),tbl_Production[Job Number],0)))="","",INDEX(tbl_Production[Invoice Type],IFERROR(MATCH(A176&amp;"",tbl_Production[Job Number],0),MATCH(IFERROR(A176+0,A176),tbl_Production[Job Number],0)))),IFERROR(IF(INDEX(tbl_Consulting[Invoice Type],IFERROR(MATCH(A176&amp;"",tbl_Consulting[Job Number],0),MATCH(IFERROR(A176+0,A176),tbl_Consulting[Job Number],0)))="","",INDEX(tbl_Consulting[Invoice Type],IFERROR(MATCH(A176&amp;"",tbl_Consulting[Job Number],0),MATCH(IFERROR(A176+0,A176),tbl_Consulting[Job Number],0)))),""))))</f>
        <v/>
      </c>
      <c r="M176" s="26">
        <f>IF(A176="","",IF(IFERROR(IF(INDEX(tbl_Onsite[Tax Code],IFERROR(MATCH(A176&amp;"",tbl_Onsite[Job Number],0),MATCH(IFERROR(A176+0,A176),tbl_Onsite[Job Number],0)))="","",INDEX(tbl_Onsite[Tax Code],IFERROR(MATCH(A176&amp;"",tbl_Onsite[Job Number],0),MATCH(IFERROR(A176+0,A176),tbl_Onsite[Job Number],0)))),IFERROR(IF(INDEX(tbl_Production[Tax Code],IFERROR(MATCH(A176&amp;"",tbl_Production[Job Number],0),MATCH(IFERROR(A176+0,A176),tbl_Production[Job Number],0)))="","",INDEX(tbl_Production[Tax Code],IFERROR(MATCH(A176&amp;"",tbl_Production[Job Number],0),MATCH(IFERROR(A176+0,A176),tbl_Production[Job Number],0)))),IFERROR(IF(INDEX(tbl_Consulting[Tax Code],IFERROR(MATCH(A176&amp;"",tbl_Consulting[Job Number],0),MATCH(IFERROR(A176+0,A176),tbl_Consulting[Job Number],0)))="","",INDEX(tbl_Consulting[Tax Code],IFERROR(MATCH(A176&amp;"",tbl_Consulting[Job Number],0),MATCH(IFERROR(A176+0,A176),tbl_Consulting[Job Number],0)))),"")))="","GST 10%",IFERROR(IF(INDEX(tbl_Onsite[Tax Code],IFERROR(MATCH(A176&amp;"",tbl_Onsite[Job Number],0),MATCH(IFERROR(A176+0,A176),tbl_Onsite[Job Number],0)))="","",INDEX(tbl_Onsite[Tax Code],IFERROR(MATCH(A176&amp;"",tbl_Onsite[Job Number],0),MATCH(IFERROR(A176+0,A176),tbl_Onsite[Job Number],0)))),IFERROR(IF(INDEX(tbl_Production[Tax Code],IFERROR(MATCH(A176&amp;"",tbl_Production[Job Number],0),MATCH(IFERROR(A176+0,A176),tbl_Production[Job Number],0)))="","",INDEX(tbl_Production[Tax Code],IFERROR(MATCH(A176&amp;"",tbl_Production[Job Number],0),MATCH(IFERROR(A176+0,A176),tbl_Production[Job Number],0)))),IFERROR(IF(INDEX(tbl_Consulting[Tax Code],IFERROR(MATCH(A176&amp;"",tbl_Consulting[Job Number],0),MATCH(IFERROR(A176+0,A176),tbl_Consulting[Job Number],0)))="","",INDEX(tbl_Consulting[Tax Code],IFERROR(MATCH(A176&amp;"",tbl_Consulting[Job Number],0),MATCH(IFERROR(A176+0,A176),tbl_Consulting[Job Number],0)))),"")))))</f>
        <v/>
      </c>
      <c r="N176" s="26">
        <f>IF(D176="","",IFERROR(INDEX(lst_CCtoGL,MATCH(D176,lst_CCforGL,0)),""))</f>
        <v/>
      </c>
      <c r="O176" s="27">
        <f>IF(E176="","",IF(M176="GST 10%",ROUND(E176*set_GSTRate,2),0))</f>
        <v/>
      </c>
      <c r="P176" s="27">
        <f>IF(E176="","",E176+O176)</f>
        <v/>
      </c>
      <c r="Q176" s="27">
        <f>IF(A176="","",IFERROR(INDEX(tbl_Onsite[Expected Revenue Ex GST],IFERROR(MATCH(A176&amp;"",tbl_Onsite[Job Number],0),MATCH(IFERROR(A176+0,A176),tbl_Onsite[Job Number],0))),IFERROR(INDEX(tbl_Production[Expected Revenue Ex GST],IFERROR(MATCH(A176&amp;"",tbl_Production[Job Number],0),MATCH(IFERROR(A176+0,A176),tbl_Production[Job Number],0))),IFERROR(INDEX(tbl_Consulting[Expected Revenue Ex GST],IFERROR(MATCH(A176&amp;"",tbl_Consulting[Job Number],0),MATCH(IFERROR(A176+0,A176),tbl_Consulting[Job Number],0))),0))))</f>
        <v/>
      </c>
      <c r="R176" s="27">
        <f>IF(A176="","",SUMIFS(tbl_Finance[Ex GST],tbl_Finance[Job Number],A176&amp;""))</f>
        <v/>
      </c>
      <c r="S176" s="27">
        <f>IF(A176="","",Q176-R176)</f>
        <v/>
      </c>
      <c r="T176" s="26">
        <f>IF(A176="","",IF(Q176=0,"No dept value",IF(ROUND(S176,2)=0,"Agrees",IF(S176&gt;0,"Dept higher - to invoice","Xero higher - check dept"))))</f>
        <v/>
      </c>
      <c r="U176" s="22" t="n"/>
      <c r="V176" s="22" t="n"/>
      <c r="W176" s="23" t="n"/>
      <c r="X176" s="23" t="n"/>
      <c r="Y176" s="22" t="n"/>
      <c r="Z176" s="22" t="n"/>
      <c r="AA176" s="26">
        <f>IF(COUNTA(C176,A176,B176,E176)=0,"",IF(C176="","No date - sits outside every month",IF(A176="","No job number",IF(H176="CHECK","Job number is not in the Xero job list",IF(G176="not set up yet","No department has set this job up - nothing can pull through",IF(D176="","No cost centre",IF(AND(U176="Y",B176=""),"Marked posted to Xero but has no invoice number",IF(N176="","Cost centre has no revenue GL on the Lists sheet",IF(T176="Xero higher - check dept","Invoiced more than the department says the job is worth","")))))))))</f>
        <v/>
      </c>
      <c r="AB176" s="28">
        <f>IF(A176="","",COUNTIFS(tbl_Finance[Job Number],A176&amp;"",tbl_Finance[Ex GST],"&lt;&gt;"))</f>
        <v/>
      </c>
      <c r="AC176" s="27">
        <f>IF(A176="","",SUMIFS(tbl_Finance[Ex GST],tbl_Finance[Job Number],A176&amp;""))</f>
        <v/>
      </c>
      <c r="AD176" s="27">
        <f>IF(A176="","",SUMIFS(tbl_Finance[Ex GST],tbl_Finance[Job Number],A176&amp;"",tbl_Finance[Xero Invoice No],"&lt;&gt;"))</f>
        <v/>
      </c>
      <c r="AE176" s="27">
        <f>IF(A176="","",AC176-AD176)</f>
        <v/>
      </c>
      <c r="AF176" s="26">
        <f>IF(A176="","",IFERROR(IF(INDEX(tbl_Onsite[Qwilr Quote],IFERROR(MATCH(A176&amp;"",tbl_Onsite[Job Number],0),MATCH(IFERROR(A176+0,A176),tbl_Onsite[Job Number],0)))="","",INDEX(tbl_Onsite[Qwilr Quote],IFERROR(MATCH(A176&amp;"",tbl_Onsite[Job Number],0),MATCH(IFERROR(A176+0,A176),tbl_Onsite[Job Number],0)))),IFERROR(IF(IF(INDEX(tbl_Production[Current RMS No],IFERROR(MATCH(A176&amp;"",tbl_Production[Job Number],0),MATCH(IFERROR(A176+0,A176),tbl_Production[Job Number],0)))="",INDEX(tbl_Production[Qwilr Quote],IFERROR(MATCH(A176&amp;"",tbl_Production[Job Number],0),MATCH(IFERROR(A176+0,A176),tbl_Production[Job Number],0))),INDEX(tbl_Production[Current RMS No],IFERROR(MATCH(A176&amp;"",tbl_Production[Job Number],0),MATCH(IFERROR(A176+0,A176),tbl_Production[Job Number],0))))="","",IF(INDEX(tbl_Production[Current RMS No],IFERROR(MATCH(A176&amp;"",tbl_Production[Job Number],0),MATCH(IFERROR(A176+0,A176),tbl_Production[Job Number],0)))="",INDEX(tbl_Production[Qwilr Quote],IFERROR(MATCH(A176&amp;"",tbl_Production[Job Number],0),MATCH(IFERROR(A176+0,A176),tbl_Production[Job Number],0))),INDEX(tbl_Production[Current RMS No],IFERROR(MATCH(A176&amp;"",tbl_Production[Job Number],0),MATCH(IFERROR(A176+0,A176),tbl_Production[Job Number],0))))),IFERROR(IF(INDEX(tbl_Consulting[Qwilr Quote],IFERROR(MATCH(A176&amp;"",tbl_Consulting[Job Number],0),MATCH(IFERROR(A176+0,A176),tbl_Consulting[Job Number],0)))="","",INDEX(tbl_Consulting[Qwilr Quote],IFERROR(MATCH(A176&amp;"",tbl_Consulting[Job Number],0),MATCH(IFERROR(A176+0,A176),tbl_Consulting[Job Number],0)))),""))))</f>
        <v/>
      </c>
      <c r="AG176" s="26">
        <f>IF(AF176="","",IF(AND(LEFT(AF176,4)&lt;&gt;"http",IF(G176="Production",set_RMSBase,set_QwilrBase)=""),"",HYPERLINK(IF(LEFT(AF176,4)="http",AF176,IF(G176="Production",set_RMSBase,set_QwilrBase)&amp;AF176),"Open")))</f>
        <v/>
      </c>
      <c r="AH176" s="27">
        <f>IF(A176="","",IFERROR(INDEX(tbl_Production[Total Expense],IFERROR(MATCH(A176&amp;"",tbl_Production[Job Number],0),MATCH(IFERROR(A176+0,A176),tbl_Production[Job Number],0))),IFERROR(INDEX(tbl_Consulting[Total Expense],IFERROR(MATCH(A176&amp;"",tbl_Consulting[Job Number],0),MATCH(IFERROR(A176+0,A176),tbl_Consulting[Job Number],0))),0)))</f>
        <v/>
      </c>
      <c r="AI176" s="27">
        <f>IF(A176="","",AC176-N(AH176))</f>
        <v/>
      </c>
      <c r="AJ176" s="29">
        <f>IFERROR(AI176/AC176,"")</f>
        <v/>
      </c>
      <c r="AK176" s="26">
        <f>IF(A176="","",IFERROR(IF(INDEX(tbl_Onsite[Notes],IFERROR(MATCH(A176&amp;"",tbl_Onsite[Job Number],0),MATCH(IFERROR(A176+0,A176),tbl_Onsite[Job Number],0)))="","",INDEX(tbl_Onsite[Notes],IFERROR(MATCH(A176&amp;"",tbl_Onsite[Job Number],0),MATCH(IFERROR(A176+0,A176),tbl_Onsite[Job Number],0)))),IFERROR(IF(INDEX(tbl_Production[Notes],IFERROR(MATCH(A176&amp;"",tbl_Production[Job Number],0),MATCH(IFERROR(A176+0,A176),tbl_Production[Job Number],0)))="","",INDEX(tbl_Production[Notes],IFERROR(MATCH(A176&amp;"",tbl_Production[Job Number],0),MATCH(IFERROR(A176+0,A176),tbl_Production[Job Number],0)))),IFERROR(IF(INDEX(tbl_Consulting[Notes],IFERROR(MATCH(A176&amp;"",tbl_Consulting[Job Number],0),MATCH(IFERROR(A176+0,A176),tbl_Consulting[Job Number],0)))="","",INDEX(tbl_Consulting[Notes],IFERROR(MATCH(A176&amp;"",tbl_Consulting[Job Number],0),MATCH(IFERROR(A176+0,A176),tbl_Consulting[Job Number],0)))),""))))</f>
        <v/>
      </c>
    </row>
    <row r="177" ht="15" customHeight="1">
      <c r="A177" s="22" t="n"/>
      <c r="B177" s="22" t="n"/>
      <c r="C177" s="23" t="n"/>
      <c r="D177" s="22" t="n"/>
      <c r="E177" s="24" t="n"/>
      <c r="F177" s="25">
        <f>IF(C177="","",EOMONTH(C177,0))</f>
        <v/>
      </c>
      <c r="G177" s="26">
        <f>IF(A177="","",IF(COUNTIF(tbl_Onsite[Job Number],A177&amp;"")&gt;0,"Onsite",IF(COUNTIF(tbl_Production[Job Number],A177&amp;"")&gt;0,"Production",IF(COUNTIF(tbl_Consulting[Job Number],A177&amp;"")&gt;0,"Consulting","not set up yet"))))</f>
        <v/>
      </c>
      <c r="H177" s="26">
        <f>IF(A177="","",IF(COUNTIF(lst_Jobs,A177&amp;"")&gt;0,"OK","CHECK"))</f>
        <v/>
      </c>
      <c r="I177" s="26">
        <f>IF(A177="","",IFERROR(INDEX(lst_JobName,MATCH(A177&amp;"",lst_Jobs,0)),""))</f>
        <v/>
      </c>
      <c r="J177" s="26">
        <f>IF(A177="","",IFERROR(IF(INDEX(tbl_Onsite[Client],IFERROR(MATCH(A177&amp;"",tbl_Onsite[Job Number],0),MATCH(IFERROR(A177+0,A177),tbl_Onsite[Job Number],0)))="","",INDEX(tbl_Onsite[Client],IFERROR(MATCH(A177&amp;"",tbl_Onsite[Job Number],0),MATCH(IFERROR(A177+0,A177),tbl_Onsite[Job Number],0)))),IFERROR(IF(INDEX(tbl_Production[Client],IFERROR(MATCH(A177&amp;"",tbl_Production[Job Number],0),MATCH(IFERROR(A177+0,A177),tbl_Production[Job Number],0)))="","",INDEX(tbl_Production[Client],IFERROR(MATCH(A177&amp;"",tbl_Production[Job Number],0),MATCH(IFERROR(A177+0,A177),tbl_Production[Job Number],0)))),IFERROR(IF(INDEX(tbl_Consulting[Client],IFERROR(MATCH(A177&amp;"",tbl_Consulting[Job Number],0),MATCH(IFERROR(A177+0,A177),tbl_Consulting[Job Number],0)))="","",INDEX(tbl_Consulting[Client],IFERROR(MATCH(A177&amp;"",tbl_Consulting[Job Number],0),MATCH(IFERROR(A177+0,A177),tbl_Consulting[Job Number],0)))),""))))</f>
        <v/>
      </c>
      <c r="K177" s="26">
        <f>IF(A177="","",IFERROR(IF(INDEX(tbl_Onsite[Job Description],IFERROR(MATCH(A177&amp;"",tbl_Onsite[Job Number],0),MATCH(IFERROR(A177+0,A177),tbl_Onsite[Job Number],0)))="","",INDEX(tbl_Onsite[Job Description],IFERROR(MATCH(A177&amp;"",tbl_Onsite[Job Number],0),MATCH(IFERROR(A177+0,A177),tbl_Onsite[Job Number],0)))),IFERROR(IF(INDEX(tbl_Production[Job Description],IFERROR(MATCH(A177&amp;"",tbl_Production[Job Number],0),MATCH(IFERROR(A177+0,A177),tbl_Production[Job Number],0)))="","",INDEX(tbl_Production[Job Description],IFERROR(MATCH(A177&amp;"",tbl_Production[Job Number],0),MATCH(IFERROR(A177+0,A177),tbl_Production[Job Number],0)))),IFERROR(IF(INDEX(tbl_Consulting[Job Description],IFERROR(MATCH(A177&amp;"",tbl_Consulting[Job Number],0),MATCH(IFERROR(A177+0,A177),tbl_Consulting[Job Number],0)))="","",INDEX(tbl_Consulting[Job Description],IFERROR(MATCH(A177&amp;"",tbl_Consulting[Job Number],0),MATCH(IFERROR(A177+0,A177),tbl_Consulting[Job Number],0)))),""))))</f>
        <v/>
      </c>
      <c r="L177" s="26">
        <f>IF(A177="","",IFERROR(IF(INDEX(tbl_Onsite[Invoice Type],IFERROR(MATCH(A177&amp;"",tbl_Onsite[Job Number],0),MATCH(IFERROR(A177+0,A177),tbl_Onsite[Job Number],0)))="","",INDEX(tbl_Onsite[Invoice Type],IFERROR(MATCH(A177&amp;"",tbl_Onsite[Job Number],0),MATCH(IFERROR(A177+0,A177),tbl_Onsite[Job Number],0)))),IFERROR(IF(INDEX(tbl_Production[Invoice Type],IFERROR(MATCH(A177&amp;"",tbl_Production[Job Number],0),MATCH(IFERROR(A177+0,A177),tbl_Production[Job Number],0)))="","",INDEX(tbl_Production[Invoice Type],IFERROR(MATCH(A177&amp;"",tbl_Production[Job Number],0),MATCH(IFERROR(A177+0,A177),tbl_Production[Job Number],0)))),IFERROR(IF(INDEX(tbl_Consulting[Invoice Type],IFERROR(MATCH(A177&amp;"",tbl_Consulting[Job Number],0),MATCH(IFERROR(A177+0,A177),tbl_Consulting[Job Number],0)))="","",INDEX(tbl_Consulting[Invoice Type],IFERROR(MATCH(A177&amp;"",tbl_Consulting[Job Number],0),MATCH(IFERROR(A177+0,A177),tbl_Consulting[Job Number],0)))),""))))</f>
        <v/>
      </c>
      <c r="M177" s="26">
        <f>IF(A177="","",IF(IFERROR(IF(INDEX(tbl_Onsite[Tax Code],IFERROR(MATCH(A177&amp;"",tbl_Onsite[Job Number],0),MATCH(IFERROR(A177+0,A177),tbl_Onsite[Job Number],0)))="","",INDEX(tbl_Onsite[Tax Code],IFERROR(MATCH(A177&amp;"",tbl_Onsite[Job Number],0),MATCH(IFERROR(A177+0,A177),tbl_Onsite[Job Number],0)))),IFERROR(IF(INDEX(tbl_Production[Tax Code],IFERROR(MATCH(A177&amp;"",tbl_Production[Job Number],0),MATCH(IFERROR(A177+0,A177),tbl_Production[Job Number],0)))="","",INDEX(tbl_Production[Tax Code],IFERROR(MATCH(A177&amp;"",tbl_Production[Job Number],0),MATCH(IFERROR(A177+0,A177),tbl_Production[Job Number],0)))),IFERROR(IF(INDEX(tbl_Consulting[Tax Code],IFERROR(MATCH(A177&amp;"",tbl_Consulting[Job Number],0),MATCH(IFERROR(A177+0,A177),tbl_Consulting[Job Number],0)))="","",INDEX(tbl_Consulting[Tax Code],IFERROR(MATCH(A177&amp;"",tbl_Consulting[Job Number],0),MATCH(IFERROR(A177+0,A177),tbl_Consulting[Job Number],0)))),"")))="","GST 10%",IFERROR(IF(INDEX(tbl_Onsite[Tax Code],IFERROR(MATCH(A177&amp;"",tbl_Onsite[Job Number],0),MATCH(IFERROR(A177+0,A177),tbl_Onsite[Job Number],0)))="","",INDEX(tbl_Onsite[Tax Code],IFERROR(MATCH(A177&amp;"",tbl_Onsite[Job Number],0),MATCH(IFERROR(A177+0,A177),tbl_Onsite[Job Number],0)))),IFERROR(IF(INDEX(tbl_Production[Tax Code],IFERROR(MATCH(A177&amp;"",tbl_Production[Job Number],0),MATCH(IFERROR(A177+0,A177),tbl_Production[Job Number],0)))="","",INDEX(tbl_Production[Tax Code],IFERROR(MATCH(A177&amp;"",tbl_Production[Job Number],0),MATCH(IFERROR(A177+0,A177),tbl_Production[Job Number],0)))),IFERROR(IF(INDEX(tbl_Consulting[Tax Code],IFERROR(MATCH(A177&amp;"",tbl_Consulting[Job Number],0),MATCH(IFERROR(A177+0,A177),tbl_Consulting[Job Number],0)))="","",INDEX(tbl_Consulting[Tax Code],IFERROR(MATCH(A177&amp;"",tbl_Consulting[Job Number],0),MATCH(IFERROR(A177+0,A177),tbl_Consulting[Job Number],0)))),"")))))</f>
        <v/>
      </c>
      <c r="N177" s="26">
        <f>IF(D177="","",IFERROR(INDEX(lst_CCtoGL,MATCH(D177,lst_CCforGL,0)),""))</f>
        <v/>
      </c>
      <c r="O177" s="27">
        <f>IF(E177="","",IF(M177="GST 10%",ROUND(E177*set_GSTRate,2),0))</f>
        <v/>
      </c>
      <c r="P177" s="27">
        <f>IF(E177="","",E177+O177)</f>
        <v/>
      </c>
      <c r="Q177" s="27">
        <f>IF(A177="","",IFERROR(INDEX(tbl_Onsite[Expected Revenue Ex GST],IFERROR(MATCH(A177&amp;"",tbl_Onsite[Job Number],0),MATCH(IFERROR(A177+0,A177),tbl_Onsite[Job Number],0))),IFERROR(INDEX(tbl_Production[Expected Revenue Ex GST],IFERROR(MATCH(A177&amp;"",tbl_Production[Job Number],0),MATCH(IFERROR(A177+0,A177),tbl_Production[Job Number],0))),IFERROR(INDEX(tbl_Consulting[Expected Revenue Ex GST],IFERROR(MATCH(A177&amp;"",tbl_Consulting[Job Number],0),MATCH(IFERROR(A177+0,A177),tbl_Consulting[Job Number],0))),0))))</f>
        <v/>
      </c>
      <c r="R177" s="27">
        <f>IF(A177="","",SUMIFS(tbl_Finance[Ex GST],tbl_Finance[Job Number],A177&amp;""))</f>
        <v/>
      </c>
      <c r="S177" s="27">
        <f>IF(A177="","",Q177-R177)</f>
        <v/>
      </c>
      <c r="T177" s="26">
        <f>IF(A177="","",IF(Q177=0,"No dept value",IF(ROUND(S177,2)=0,"Agrees",IF(S177&gt;0,"Dept higher - to invoice","Xero higher - check dept"))))</f>
        <v/>
      </c>
      <c r="U177" s="22" t="n"/>
      <c r="V177" s="22" t="n"/>
      <c r="W177" s="23" t="n"/>
      <c r="X177" s="23" t="n"/>
      <c r="Y177" s="22" t="n"/>
      <c r="Z177" s="22" t="n"/>
      <c r="AA177" s="26">
        <f>IF(COUNTA(C177,A177,B177,E177)=0,"",IF(C177="","No date - sits outside every month",IF(A177="","No job number",IF(H177="CHECK","Job number is not in the Xero job list",IF(G177="not set up yet","No department has set this job up - nothing can pull through",IF(D177="","No cost centre",IF(AND(U177="Y",B177=""),"Marked posted to Xero but has no invoice number",IF(N177="","Cost centre has no revenue GL on the Lists sheet",IF(T177="Xero higher - check dept","Invoiced more than the department says the job is worth","")))))))))</f>
        <v/>
      </c>
      <c r="AB177" s="28">
        <f>IF(A177="","",COUNTIFS(tbl_Finance[Job Number],A177&amp;"",tbl_Finance[Ex GST],"&lt;&gt;"))</f>
        <v/>
      </c>
      <c r="AC177" s="27">
        <f>IF(A177="","",SUMIFS(tbl_Finance[Ex GST],tbl_Finance[Job Number],A177&amp;""))</f>
        <v/>
      </c>
      <c r="AD177" s="27">
        <f>IF(A177="","",SUMIFS(tbl_Finance[Ex GST],tbl_Finance[Job Number],A177&amp;"",tbl_Finance[Xero Invoice No],"&lt;&gt;"))</f>
        <v/>
      </c>
      <c r="AE177" s="27">
        <f>IF(A177="","",AC177-AD177)</f>
        <v/>
      </c>
      <c r="AF177" s="26">
        <f>IF(A177="","",IFERROR(IF(INDEX(tbl_Onsite[Qwilr Quote],IFERROR(MATCH(A177&amp;"",tbl_Onsite[Job Number],0),MATCH(IFERROR(A177+0,A177),tbl_Onsite[Job Number],0)))="","",INDEX(tbl_Onsite[Qwilr Quote],IFERROR(MATCH(A177&amp;"",tbl_Onsite[Job Number],0),MATCH(IFERROR(A177+0,A177),tbl_Onsite[Job Number],0)))),IFERROR(IF(IF(INDEX(tbl_Production[Current RMS No],IFERROR(MATCH(A177&amp;"",tbl_Production[Job Number],0),MATCH(IFERROR(A177+0,A177),tbl_Production[Job Number],0)))="",INDEX(tbl_Production[Qwilr Quote],IFERROR(MATCH(A177&amp;"",tbl_Production[Job Number],0),MATCH(IFERROR(A177+0,A177),tbl_Production[Job Number],0))),INDEX(tbl_Production[Current RMS No],IFERROR(MATCH(A177&amp;"",tbl_Production[Job Number],0),MATCH(IFERROR(A177+0,A177),tbl_Production[Job Number],0))))="","",IF(INDEX(tbl_Production[Current RMS No],IFERROR(MATCH(A177&amp;"",tbl_Production[Job Number],0),MATCH(IFERROR(A177+0,A177),tbl_Production[Job Number],0)))="",INDEX(tbl_Production[Qwilr Quote],IFERROR(MATCH(A177&amp;"",tbl_Production[Job Number],0),MATCH(IFERROR(A177+0,A177),tbl_Production[Job Number],0))),INDEX(tbl_Production[Current RMS No],IFERROR(MATCH(A177&amp;"",tbl_Production[Job Number],0),MATCH(IFERROR(A177+0,A177),tbl_Production[Job Number],0))))),IFERROR(IF(INDEX(tbl_Consulting[Qwilr Quote],IFERROR(MATCH(A177&amp;"",tbl_Consulting[Job Number],0),MATCH(IFERROR(A177+0,A177),tbl_Consulting[Job Number],0)))="","",INDEX(tbl_Consulting[Qwilr Quote],IFERROR(MATCH(A177&amp;"",tbl_Consulting[Job Number],0),MATCH(IFERROR(A177+0,A177),tbl_Consulting[Job Number],0)))),""))))</f>
        <v/>
      </c>
      <c r="AG177" s="26">
        <f>IF(AF177="","",IF(AND(LEFT(AF177,4)&lt;&gt;"http",IF(G177="Production",set_RMSBase,set_QwilrBase)=""),"",HYPERLINK(IF(LEFT(AF177,4)="http",AF177,IF(G177="Production",set_RMSBase,set_QwilrBase)&amp;AF177),"Open")))</f>
        <v/>
      </c>
      <c r="AH177" s="27">
        <f>IF(A177="","",IFERROR(INDEX(tbl_Production[Total Expense],IFERROR(MATCH(A177&amp;"",tbl_Production[Job Number],0),MATCH(IFERROR(A177+0,A177),tbl_Production[Job Number],0))),IFERROR(INDEX(tbl_Consulting[Total Expense],IFERROR(MATCH(A177&amp;"",tbl_Consulting[Job Number],0),MATCH(IFERROR(A177+0,A177),tbl_Consulting[Job Number],0))),0)))</f>
        <v/>
      </c>
      <c r="AI177" s="27">
        <f>IF(A177="","",AC177-N(AH177))</f>
        <v/>
      </c>
      <c r="AJ177" s="29">
        <f>IFERROR(AI177/AC177,"")</f>
        <v/>
      </c>
      <c r="AK177" s="26">
        <f>IF(A177="","",IFERROR(IF(INDEX(tbl_Onsite[Notes],IFERROR(MATCH(A177&amp;"",tbl_Onsite[Job Number],0),MATCH(IFERROR(A177+0,A177),tbl_Onsite[Job Number],0)))="","",INDEX(tbl_Onsite[Notes],IFERROR(MATCH(A177&amp;"",tbl_Onsite[Job Number],0),MATCH(IFERROR(A177+0,A177),tbl_Onsite[Job Number],0)))),IFERROR(IF(INDEX(tbl_Production[Notes],IFERROR(MATCH(A177&amp;"",tbl_Production[Job Number],0),MATCH(IFERROR(A177+0,A177),tbl_Production[Job Number],0)))="","",INDEX(tbl_Production[Notes],IFERROR(MATCH(A177&amp;"",tbl_Production[Job Number],0),MATCH(IFERROR(A177+0,A177),tbl_Production[Job Number],0)))),IFERROR(IF(INDEX(tbl_Consulting[Notes],IFERROR(MATCH(A177&amp;"",tbl_Consulting[Job Number],0),MATCH(IFERROR(A177+0,A177),tbl_Consulting[Job Number],0)))="","",INDEX(tbl_Consulting[Notes],IFERROR(MATCH(A177&amp;"",tbl_Consulting[Job Number],0),MATCH(IFERROR(A177+0,A177),tbl_Consulting[Job Number],0)))),""))))</f>
        <v/>
      </c>
    </row>
    <row r="178" ht="15" customHeight="1">
      <c r="A178" s="22" t="n"/>
      <c r="B178" s="22" t="n"/>
      <c r="C178" s="23" t="n"/>
      <c r="D178" s="22" t="n"/>
      <c r="E178" s="24" t="n"/>
      <c r="F178" s="25">
        <f>IF(C178="","",EOMONTH(C178,0))</f>
        <v/>
      </c>
      <c r="G178" s="26">
        <f>IF(A178="","",IF(COUNTIF(tbl_Onsite[Job Number],A178&amp;"")&gt;0,"Onsite",IF(COUNTIF(tbl_Production[Job Number],A178&amp;"")&gt;0,"Production",IF(COUNTIF(tbl_Consulting[Job Number],A178&amp;"")&gt;0,"Consulting","not set up yet"))))</f>
        <v/>
      </c>
      <c r="H178" s="26">
        <f>IF(A178="","",IF(COUNTIF(lst_Jobs,A178&amp;"")&gt;0,"OK","CHECK"))</f>
        <v/>
      </c>
      <c r="I178" s="26">
        <f>IF(A178="","",IFERROR(INDEX(lst_JobName,MATCH(A178&amp;"",lst_Jobs,0)),""))</f>
        <v/>
      </c>
      <c r="J178" s="26">
        <f>IF(A178="","",IFERROR(IF(INDEX(tbl_Onsite[Client],IFERROR(MATCH(A178&amp;"",tbl_Onsite[Job Number],0),MATCH(IFERROR(A178+0,A178),tbl_Onsite[Job Number],0)))="","",INDEX(tbl_Onsite[Client],IFERROR(MATCH(A178&amp;"",tbl_Onsite[Job Number],0),MATCH(IFERROR(A178+0,A178),tbl_Onsite[Job Number],0)))),IFERROR(IF(INDEX(tbl_Production[Client],IFERROR(MATCH(A178&amp;"",tbl_Production[Job Number],0),MATCH(IFERROR(A178+0,A178),tbl_Production[Job Number],0)))="","",INDEX(tbl_Production[Client],IFERROR(MATCH(A178&amp;"",tbl_Production[Job Number],0),MATCH(IFERROR(A178+0,A178),tbl_Production[Job Number],0)))),IFERROR(IF(INDEX(tbl_Consulting[Client],IFERROR(MATCH(A178&amp;"",tbl_Consulting[Job Number],0),MATCH(IFERROR(A178+0,A178),tbl_Consulting[Job Number],0)))="","",INDEX(tbl_Consulting[Client],IFERROR(MATCH(A178&amp;"",tbl_Consulting[Job Number],0),MATCH(IFERROR(A178+0,A178),tbl_Consulting[Job Number],0)))),""))))</f>
        <v/>
      </c>
      <c r="K178" s="26">
        <f>IF(A178="","",IFERROR(IF(INDEX(tbl_Onsite[Job Description],IFERROR(MATCH(A178&amp;"",tbl_Onsite[Job Number],0),MATCH(IFERROR(A178+0,A178),tbl_Onsite[Job Number],0)))="","",INDEX(tbl_Onsite[Job Description],IFERROR(MATCH(A178&amp;"",tbl_Onsite[Job Number],0),MATCH(IFERROR(A178+0,A178),tbl_Onsite[Job Number],0)))),IFERROR(IF(INDEX(tbl_Production[Job Description],IFERROR(MATCH(A178&amp;"",tbl_Production[Job Number],0),MATCH(IFERROR(A178+0,A178),tbl_Production[Job Number],0)))="","",INDEX(tbl_Production[Job Description],IFERROR(MATCH(A178&amp;"",tbl_Production[Job Number],0),MATCH(IFERROR(A178+0,A178),tbl_Production[Job Number],0)))),IFERROR(IF(INDEX(tbl_Consulting[Job Description],IFERROR(MATCH(A178&amp;"",tbl_Consulting[Job Number],0),MATCH(IFERROR(A178+0,A178),tbl_Consulting[Job Number],0)))="","",INDEX(tbl_Consulting[Job Description],IFERROR(MATCH(A178&amp;"",tbl_Consulting[Job Number],0),MATCH(IFERROR(A178+0,A178),tbl_Consulting[Job Number],0)))),""))))</f>
        <v/>
      </c>
      <c r="L178" s="26">
        <f>IF(A178="","",IFERROR(IF(INDEX(tbl_Onsite[Invoice Type],IFERROR(MATCH(A178&amp;"",tbl_Onsite[Job Number],0),MATCH(IFERROR(A178+0,A178),tbl_Onsite[Job Number],0)))="","",INDEX(tbl_Onsite[Invoice Type],IFERROR(MATCH(A178&amp;"",tbl_Onsite[Job Number],0),MATCH(IFERROR(A178+0,A178),tbl_Onsite[Job Number],0)))),IFERROR(IF(INDEX(tbl_Production[Invoice Type],IFERROR(MATCH(A178&amp;"",tbl_Production[Job Number],0),MATCH(IFERROR(A178+0,A178),tbl_Production[Job Number],0)))="","",INDEX(tbl_Production[Invoice Type],IFERROR(MATCH(A178&amp;"",tbl_Production[Job Number],0),MATCH(IFERROR(A178+0,A178),tbl_Production[Job Number],0)))),IFERROR(IF(INDEX(tbl_Consulting[Invoice Type],IFERROR(MATCH(A178&amp;"",tbl_Consulting[Job Number],0),MATCH(IFERROR(A178+0,A178),tbl_Consulting[Job Number],0)))="","",INDEX(tbl_Consulting[Invoice Type],IFERROR(MATCH(A178&amp;"",tbl_Consulting[Job Number],0),MATCH(IFERROR(A178+0,A178),tbl_Consulting[Job Number],0)))),""))))</f>
        <v/>
      </c>
      <c r="M178" s="26">
        <f>IF(A178="","",IF(IFERROR(IF(INDEX(tbl_Onsite[Tax Code],IFERROR(MATCH(A178&amp;"",tbl_Onsite[Job Number],0),MATCH(IFERROR(A178+0,A178),tbl_Onsite[Job Number],0)))="","",INDEX(tbl_Onsite[Tax Code],IFERROR(MATCH(A178&amp;"",tbl_Onsite[Job Number],0),MATCH(IFERROR(A178+0,A178),tbl_Onsite[Job Number],0)))),IFERROR(IF(INDEX(tbl_Production[Tax Code],IFERROR(MATCH(A178&amp;"",tbl_Production[Job Number],0),MATCH(IFERROR(A178+0,A178),tbl_Production[Job Number],0)))="","",INDEX(tbl_Production[Tax Code],IFERROR(MATCH(A178&amp;"",tbl_Production[Job Number],0),MATCH(IFERROR(A178+0,A178),tbl_Production[Job Number],0)))),IFERROR(IF(INDEX(tbl_Consulting[Tax Code],IFERROR(MATCH(A178&amp;"",tbl_Consulting[Job Number],0),MATCH(IFERROR(A178+0,A178),tbl_Consulting[Job Number],0)))="","",INDEX(tbl_Consulting[Tax Code],IFERROR(MATCH(A178&amp;"",tbl_Consulting[Job Number],0),MATCH(IFERROR(A178+0,A178),tbl_Consulting[Job Number],0)))),"")))="","GST 10%",IFERROR(IF(INDEX(tbl_Onsite[Tax Code],IFERROR(MATCH(A178&amp;"",tbl_Onsite[Job Number],0),MATCH(IFERROR(A178+0,A178),tbl_Onsite[Job Number],0)))="","",INDEX(tbl_Onsite[Tax Code],IFERROR(MATCH(A178&amp;"",tbl_Onsite[Job Number],0),MATCH(IFERROR(A178+0,A178),tbl_Onsite[Job Number],0)))),IFERROR(IF(INDEX(tbl_Production[Tax Code],IFERROR(MATCH(A178&amp;"",tbl_Production[Job Number],0),MATCH(IFERROR(A178+0,A178),tbl_Production[Job Number],0)))="","",INDEX(tbl_Production[Tax Code],IFERROR(MATCH(A178&amp;"",tbl_Production[Job Number],0),MATCH(IFERROR(A178+0,A178),tbl_Production[Job Number],0)))),IFERROR(IF(INDEX(tbl_Consulting[Tax Code],IFERROR(MATCH(A178&amp;"",tbl_Consulting[Job Number],0),MATCH(IFERROR(A178+0,A178),tbl_Consulting[Job Number],0)))="","",INDEX(tbl_Consulting[Tax Code],IFERROR(MATCH(A178&amp;"",tbl_Consulting[Job Number],0),MATCH(IFERROR(A178+0,A178),tbl_Consulting[Job Number],0)))),"")))))</f>
        <v/>
      </c>
      <c r="N178" s="26">
        <f>IF(D178="","",IFERROR(INDEX(lst_CCtoGL,MATCH(D178,lst_CCforGL,0)),""))</f>
        <v/>
      </c>
      <c r="O178" s="27">
        <f>IF(E178="","",IF(M178="GST 10%",ROUND(E178*set_GSTRate,2),0))</f>
        <v/>
      </c>
      <c r="P178" s="27">
        <f>IF(E178="","",E178+O178)</f>
        <v/>
      </c>
      <c r="Q178" s="27">
        <f>IF(A178="","",IFERROR(INDEX(tbl_Onsite[Expected Revenue Ex GST],IFERROR(MATCH(A178&amp;"",tbl_Onsite[Job Number],0),MATCH(IFERROR(A178+0,A178),tbl_Onsite[Job Number],0))),IFERROR(INDEX(tbl_Production[Expected Revenue Ex GST],IFERROR(MATCH(A178&amp;"",tbl_Production[Job Number],0),MATCH(IFERROR(A178+0,A178),tbl_Production[Job Number],0))),IFERROR(INDEX(tbl_Consulting[Expected Revenue Ex GST],IFERROR(MATCH(A178&amp;"",tbl_Consulting[Job Number],0),MATCH(IFERROR(A178+0,A178),tbl_Consulting[Job Number],0))),0))))</f>
        <v/>
      </c>
      <c r="R178" s="27">
        <f>IF(A178="","",SUMIFS(tbl_Finance[Ex GST],tbl_Finance[Job Number],A178&amp;""))</f>
        <v/>
      </c>
      <c r="S178" s="27">
        <f>IF(A178="","",Q178-R178)</f>
        <v/>
      </c>
      <c r="T178" s="26">
        <f>IF(A178="","",IF(Q178=0,"No dept value",IF(ROUND(S178,2)=0,"Agrees",IF(S178&gt;0,"Dept higher - to invoice","Xero higher - check dept"))))</f>
        <v/>
      </c>
      <c r="U178" s="22" t="n"/>
      <c r="V178" s="22" t="n"/>
      <c r="W178" s="23" t="n"/>
      <c r="X178" s="23" t="n"/>
      <c r="Y178" s="22" t="n"/>
      <c r="Z178" s="22" t="n"/>
      <c r="AA178" s="26">
        <f>IF(COUNTA(C178,A178,B178,E178)=0,"",IF(C178="","No date - sits outside every month",IF(A178="","No job number",IF(H178="CHECK","Job number is not in the Xero job list",IF(G178="not set up yet","No department has set this job up - nothing can pull through",IF(D178="","No cost centre",IF(AND(U178="Y",B178=""),"Marked posted to Xero but has no invoice number",IF(N178="","Cost centre has no revenue GL on the Lists sheet",IF(T178="Xero higher - check dept","Invoiced more than the department says the job is worth","")))))))))</f>
        <v/>
      </c>
      <c r="AB178" s="28">
        <f>IF(A178="","",COUNTIFS(tbl_Finance[Job Number],A178&amp;"",tbl_Finance[Ex GST],"&lt;&gt;"))</f>
        <v/>
      </c>
      <c r="AC178" s="27">
        <f>IF(A178="","",SUMIFS(tbl_Finance[Ex GST],tbl_Finance[Job Number],A178&amp;""))</f>
        <v/>
      </c>
      <c r="AD178" s="27">
        <f>IF(A178="","",SUMIFS(tbl_Finance[Ex GST],tbl_Finance[Job Number],A178&amp;"",tbl_Finance[Xero Invoice No],"&lt;&gt;"))</f>
        <v/>
      </c>
      <c r="AE178" s="27">
        <f>IF(A178="","",AC178-AD178)</f>
        <v/>
      </c>
      <c r="AF178" s="26">
        <f>IF(A178="","",IFERROR(IF(INDEX(tbl_Onsite[Qwilr Quote],IFERROR(MATCH(A178&amp;"",tbl_Onsite[Job Number],0),MATCH(IFERROR(A178+0,A178),tbl_Onsite[Job Number],0)))="","",INDEX(tbl_Onsite[Qwilr Quote],IFERROR(MATCH(A178&amp;"",tbl_Onsite[Job Number],0),MATCH(IFERROR(A178+0,A178),tbl_Onsite[Job Number],0)))),IFERROR(IF(IF(INDEX(tbl_Production[Current RMS No],IFERROR(MATCH(A178&amp;"",tbl_Production[Job Number],0),MATCH(IFERROR(A178+0,A178),tbl_Production[Job Number],0)))="",INDEX(tbl_Production[Qwilr Quote],IFERROR(MATCH(A178&amp;"",tbl_Production[Job Number],0),MATCH(IFERROR(A178+0,A178),tbl_Production[Job Number],0))),INDEX(tbl_Production[Current RMS No],IFERROR(MATCH(A178&amp;"",tbl_Production[Job Number],0),MATCH(IFERROR(A178+0,A178),tbl_Production[Job Number],0))))="","",IF(INDEX(tbl_Production[Current RMS No],IFERROR(MATCH(A178&amp;"",tbl_Production[Job Number],0),MATCH(IFERROR(A178+0,A178),tbl_Production[Job Number],0)))="",INDEX(tbl_Production[Qwilr Quote],IFERROR(MATCH(A178&amp;"",tbl_Production[Job Number],0),MATCH(IFERROR(A178+0,A178),tbl_Production[Job Number],0))),INDEX(tbl_Production[Current RMS No],IFERROR(MATCH(A178&amp;"",tbl_Production[Job Number],0),MATCH(IFERROR(A178+0,A178),tbl_Production[Job Number],0))))),IFERROR(IF(INDEX(tbl_Consulting[Qwilr Quote],IFERROR(MATCH(A178&amp;"",tbl_Consulting[Job Number],0),MATCH(IFERROR(A178+0,A178),tbl_Consulting[Job Number],0)))="","",INDEX(tbl_Consulting[Qwilr Quote],IFERROR(MATCH(A178&amp;"",tbl_Consulting[Job Number],0),MATCH(IFERROR(A178+0,A178),tbl_Consulting[Job Number],0)))),""))))</f>
        <v/>
      </c>
      <c r="AG178" s="26">
        <f>IF(AF178="","",IF(AND(LEFT(AF178,4)&lt;&gt;"http",IF(G178="Production",set_RMSBase,set_QwilrBase)=""),"",HYPERLINK(IF(LEFT(AF178,4)="http",AF178,IF(G178="Production",set_RMSBase,set_QwilrBase)&amp;AF178),"Open")))</f>
        <v/>
      </c>
      <c r="AH178" s="27">
        <f>IF(A178="","",IFERROR(INDEX(tbl_Production[Total Expense],IFERROR(MATCH(A178&amp;"",tbl_Production[Job Number],0),MATCH(IFERROR(A178+0,A178),tbl_Production[Job Number],0))),IFERROR(INDEX(tbl_Consulting[Total Expense],IFERROR(MATCH(A178&amp;"",tbl_Consulting[Job Number],0),MATCH(IFERROR(A178+0,A178),tbl_Consulting[Job Number],0))),0)))</f>
        <v/>
      </c>
      <c r="AI178" s="27">
        <f>IF(A178="","",AC178-N(AH178))</f>
        <v/>
      </c>
      <c r="AJ178" s="29">
        <f>IFERROR(AI178/AC178,"")</f>
        <v/>
      </c>
      <c r="AK178" s="26">
        <f>IF(A178="","",IFERROR(IF(INDEX(tbl_Onsite[Notes],IFERROR(MATCH(A178&amp;"",tbl_Onsite[Job Number],0),MATCH(IFERROR(A178+0,A178),tbl_Onsite[Job Number],0)))="","",INDEX(tbl_Onsite[Notes],IFERROR(MATCH(A178&amp;"",tbl_Onsite[Job Number],0),MATCH(IFERROR(A178+0,A178),tbl_Onsite[Job Number],0)))),IFERROR(IF(INDEX(tbl_Production[Notes],IFERROR(MATCH(A178&amp;"",tbl_Production[Job Number],0),MATCH(IFERROR(A178+0,A178),tbl_Production[Job Number],0)))="","",INDEX(tbl_Production[Notes],IFERROR(MATCH(A178&amp;"",tbl_Production[Job Number],0),MATCH(IFERROR(A178+0,A178),tbl_Production[Job Number],0)))),IFERROR(IF(INDEX(tbl_Consulting[Notes],IFERROR(MATCH(A178&amp;"",tbl_Consulting[Job Number],0),MATCH(IFERROR(A178+0,A178),tbl_Consulting[Job Number],0)))="","",INDEX(tbl_Consulting[Notes],IFERROR(MATCH(A178&amp;"",tbl_Consulting[Job Number],0),MATCH(IFERROR(A178+0,A178),tbl_Consulting[Job Number],0)))),""))))</f>
        <v/>
      </c>
    </row>
    <row r="179" ht="15" customHeight="1">
      <c r="A179" s="22" t="n"/>
      <c r="B179" s="22" t="n"/>
      <c r="C179" s="23" t="n"/>
      <c r="D179" s="22" t="n"/>
      <c r="E179" s="24" t="n"/>
      <c r="F179" s="25">
        <f>IF(C179="","",EOMONTH(C179,0))</f>
        <v/>
      </c>
      <c r="G179" s="26">
        <f>IF(A179="","",IF(COUNTIF(tbl_Onsite[Job Number],A179&amp;"")&gt;0,"Onsite",IF(COUNTIF(tbl_Production[Job Number],A179&amp;"")&gt;0,"Production",IF(COUNTIF(tbl_Consulting[Job Number],A179&amp;"")&gt;0,"Consulting","not set up yet"))))</f>
        <v/>
      </c>
      <c r="H179" s="26">
        <f>IF(A179="","",IF(COUNTIF(lst_Jobs,A179&amp;"")&gt;0,"OK","CHECK"))</f>
        <v/>
      </c>
      <c r="I179" s="26">
        <f>IF(A179="","",IFERROR(INDEX(lst_JobName,MATCH(A179&amp;"",lst_Jobs,0)),""))</f>
        <v/>
      </c>
      <c r="J179" s="26">
        <f>IF(A179="","",IFERROR(IF(INDEX(tbl_Onsite[Client],IFERROR(MATCH(A179&amp;"",tbl_Onsite[Job Number],0),MATCH(IFERROR(A179+0,A179),tbl_Onsite[Job Number],0)))="","",INDEX(tbl_Onsite[Client],IFERROR(MATCH(A179&amp;"",tbl_Onsite[Job Number],0),MATCH(IFERROR(A179+0,A179),tbl_Onsite[Job Number],0)))),IFERROR(IF(INDEX(tbl_Production[Client],IFERROR(MATCH(A179&amp;"",tbl_Production[Job Number],0),MATCH(IFERROR(A179+0,A179),tbl_Production[Job Number],0)))="","",INDEX(tbl_Production[Client],IFERROR(MATCH(A179&amp;"",tbl_Production[Job Number],0),MATCH(IFERROR(A179+0,A179),tbl_Production[Job Number],0)))),IFERROR(IF(INDEX(tbl_Consulting[Client],IFERROR(MATCH(A179&amp;"",tbl_Consulting[Job Number],0),MATCH(IFERROR(A179+0,A179),tbl_Consulting[Job Number],0)))="","",INDEX(tbl_Consulting[Client],IFERROR(MATCH(A179&amp;"",tbl_Consulting[Job Number],0),MATCH(IFERROR(A179+0,A179),tbl_Consulting[Job Number],0)))),""))))</f>
        <v/>
      </c>
      <c r="K179" s="26">
        <f>IF(A179="","",IFERROR(IF(INDEX(tbl_Onsite[Job Description],IFERROR(MATCH(A179&amp;"",tbl_Onsite[Job Number],0),MATCH(IFERROR(A179+0,A179),tbl_Onsite[Job Number],0)))="","",INDEX(tbl_Onsite[Job Description],IFERROR(MATCH(A179&amp;"",tbl_Onsite[Job Number],0),MATCH(IFERROR(A179+0,A179),tbl_Onsite[Job Number],0)))),IFERROR(IF(INDEX(tbl_Production[Job Description],IFERROR(MATCH(A179&amp;"",tbl_Production[Job Number],0),MATCH(IFERROR(A179+0,A179),tbl_Production[Job Number],0)))="","",INDEX(tbl_Production[Job Description],IFERROR(MATCH(A179&amp;"",tbl_Production[Job Number],0),MATCH(IFERROR(A179+0,A179),tbl_Production[Job Number],0)))),IFERROR(IF(INDEX(tbl_Consulting[Job Description],IFERROR(MATCH(A179&amp;"",tbl_Consulting[Job Number],0),MATCH(IFERROR(A179+0,A179),tbl_Consulting[Job Number],0)))="","",INDEX(tbl_Consulting[Job Description],IFERROR(MATCH(A179&amp;"",tbl_Consulting[Job Number],0),MATCH(IFERROR(A179+0,A179),tbl_Consulting[Job Number],0)))),""))))</f>
        <v/>
      </c>
      <c r="L179" s="26">
        <f>IF(A179="","",IFERROR(IF(INDEX(tbl_Onsite[Invoice Type],IFERROR(MATCH(A179&amp;"",tbl_Onsite[Job Number],0),MATCH(IFERROR(A179+0,A179),tbl_Onsite[Job Number],0)))="","",INDEX(tbl_Onsite[Invoice Type],IFERROR(MATCH(A179&amp;"",tbl_Onsite[Job Number],0),MATCH(IFERROR(A179+0,A179),tbl_Onsite[Job Number],0)))),IFERROR(IF(INDEX(tbl_Production[Invoice Type],IFERROR(MATCH(A179&amp;"",tbl_Production[Job Number],0),MATCH(IFERROR(A179+0,A179),tbl_Production[Job Number],0)))="","",INDEX(tbl_Production[Invoice Type],IFERROR(MATCH(A179&amp;"",tbl_Production[Job Number],0),MATCH(IFERROR(A179+0,A179),tbl_Production[Job Number],0)))),IFERROR(IF(INDEX(tbl_Consulting[Invoice Type],IFERROR(MATCH(A179&amp;"",tbl_Consulting[Job Number],0),MATCH(IFERROR(A179+0,A179),tbl_Consulting[Job Number],0)))="","",INDEX(tbl_Consulting[Invoice Type],IFERROR(MATCH(A179&amp;"",tbl_Consulting[Job Number],0),MATCH(IFERROR(A179+0,A179),tbl_Consulting[Job Number],0)))),""))))</f>
        <v/>
      </c>
      <c r="M179" s="26">
        <f>IF(A179="","",IF(IFERROR(IF(INDEX(tbl_Onsite[Tax Code],IFERROR(MATCH(A179&amp;"",tbl_Onsite[Job Number],0),MATCH(IFERROR(A179+0,A179),tbl_Onsite[Job Number],0)))="","",INDEX(tbl_Onsite[Tax Code],IFERROR(MATCH(A179&amp;"",tbl_Onsite[Job Number],0),MATCH(IFERROR(A179+0,A179),tbl_Onsite[Job Number],0)))),IFERROR(IF(INDEX(tbl_Production[Tax Code],IFERROR(MATCH(A179&amp;"",tbl_Production[Job Number],0),MATCH(IFERROR(A179+0,A179),tbl_Production[Job Number],0)))="","",INDEX(tbl_Production[Tax Code],IFERROR(MATCH(A179&amp;"",tbl_Production[Job Number],0),MATCH(IFERROR(A179+0,A179),tbl_Production[Job Number],0)))),IFERROR(IF(INDEX(tbl_Consulting[Tax Code],IFERROR(MATCH(A179&amp;"",tbl_Consulting[Job Number],0),MATCH(IFERROR(A179+0,A179),tbl_Consulting[Job Number],0)))="","",INDEX(tbl_Consulting[Tax Code],IFERROR(MATCH(A179&amp;"",tbl_Consulting[Job Number],0),MATCH(IFERROR(A179+0,A179),tbl_Consulting[Job Number],0)))),"")))="","GST 10%",IFERROR(IF(INDEX(tbl_Onsite[Tax Code],IFERROR(MATCH(A179&amp;"",tbl_Onsite[Job Number],0),MATCH(IFERROR(A179+0,A179),tbl_Onsite[Job Number],0)))="","",INDEX(tbl_Onsite[Tax Code],IFERROR(MATCH(A179&amp;"",tbl_Onsite[Job Number],0),MATCH(IFERROR(A179+0,A179),tbl_Onsite[Job Number],0)))),IFERROR(IF(INDEX(tbl_Production[Tax Code],IFERROR(MATCH(A179&amp;"",tbl_Production[Job Number],0),MATCH(IFERROR(A179+0,A179),tbl_Production[Job Number],0)))="","",INDEX(tbl_Production[Tax Code],IFERROR(MATCH(A179&amp;"",tbl_Production[Job Number],0),MATCH(IFERROR(A179+0,A179),tbl_Production[Job Number],0)))),IFERROR(IF(INDEX(tbl_Consulting[Tax Code],IFERROR(MATCH(A179&amp;"",tbl_Consulting[Job Number],0),MATCH(IFERROR(A179+0,A179),tbl_Consulting[Job Number],0)))="","",INDEX(tbl_Consulting[Tax Code],IFERROR(MATCH(A179&amp;"",tbl_Consulting[Job Number],0),MATCH(IFERROR(A179+0,A179),tbl_Consulting[Job Number],0)))),"")))))</f>
        <v/>
      </c>
      <c r="N179" s="26">
        <f>IF(D179="","",IFERROR(INDEX(lst_CCtoGL,MATCH(D179,lst_CCforGL,0)),""))</f>
        <v/>
      </c>
      <c r="O179" s="27">
        <f>IF(E179="","",IF(M179="GST 10%",ROUND(E179*set_GSTRate,2),0))</f>
        <v/>
      </c>
      <c r="P179" s="27">
        <f>IF(E179="","",E179+O179)</f>
        <v/>
      </c>
      <c r="Q179" s="27">
        <f>IF(A179="","",IFERROR(INDEX(tbl_Onsite[Expected Revenue Ex GST],IFERROR(MATCH(A179&amp;"",tbl_Onsite[Job Number],0),MATCH(IFERROR(A179+0,A179),tbl_Onsite[Job Number],0))),IFERROR(INDEX(tbl_Production[Expected Revenue Ex GST],IFERROR(MATCH(A179&amp;"",tbl_Production[Job Number],0),MATCH(IFERROR(A179+0,A179),tbl_Production[Job Number],0))),IFERROR(INDEX(tbl_Consulting[Expected Revenue Ex GST],IFERROR(MATCH(A179&amp;"",tbl_Consulting[Job Number],0),MATCH(IFERROR(A179+0,A179),tbl_Consulting[Job Number],0))),0))))</f>
        <v/>
      </c>
      <c r="R179" s="27">
        <f>IF(A179="","",SUMIFS(tbl_Finance[Ex GST],tbl_Finance[Job Number],A179&amp;""))</f>
        <v/>
      </c>
      <c r="S179" s="27">
        <f>IF(A179="","",Q179-R179)</f>
        <v/>
      </c>
      <c r="T179" s="26">
        <f>IF(A179="","",IF(Q179=0,"No dept value",IF(ROUND(S179,2)=0,"Agrees",IF(S179&gt;0,"Dept higher - to invoice","Xero higher - check dept"))))</f>
        <v/>
      </c>
      <c r="U179" s="22" t="n"/>
      <c r="V179" s="22" t="n"/>
      <c r="W179" s="23" t="n"/>
      <c r="X179" s="23" t="n"/>
      <c r="Y179" s="22" t="n"/>
      <c r="Z179" s="22" t="n"/>
      <c r="AA179" s="26">
        <f>IF(COUNTA(C179,A179,B179,E179)=0,"",IF(C179="","No date - sits outside every month",IF(A179="","No job number",IF(H179="CHECK","Job number is not in the Xero job list",IF(G179="not set up yet","No department has set this job up - nothing can pull through",IF(D179="","No cost centre",IF(AND(U179="Y",B179=""),"Marked posted to Xero but has no invoice number",IF(N179="","Cost centre has no revenue GL on the Lists sheet",IF(T179="Xero higher - check dept","Invoiced more than the department says the job is worth","")))))))))</f>
        <v/>
      </c>
      <c r="AB179" s="28">
        <f>IF(A179="","",COUNTIFS(tbl_Finance[Job Number],A179&amp;"",tbl_Finance[Ex GST],"&lt;&gt;"))</f>
        <v/>
      </c>
      <c r="AC179" s="27">
        <f>IF(A179="","",SUMIFS(tbl_Finance[Ex GST],tbl_Finance[Job Number],A179&amp;""))</f>
        <v/>
      </c>
      <c r="AD179" s="27">
        <f>IF(A179="","",SUMIFS(tbl_Finance[Ex GST],tbl_Finance[Job Number],A179&amp;"",tbl_Finance[Xero Invoice No],"&lt;&gt;"))</f>
        <v/>
      </c>
      <c r="AE179" s="27">
        <f>IF(A179="","",AC179-AD179)</f>
        <v/>
      </c>
      <c r="AF179" s="26">
        <f>IF(A179="","",IFERROR(IF(INDEX(tbl_Onsite[Qwilr Quote],IFERROR(MATCH(A179&amp;"",tbl_Onsite[Job Number],0),MATCH(IFERROR(A179+0,A179),tbl_Onsite[Job Number],0)))="","",INDEX(tbl_Onsite[Qwilr Quote],IFERROR(MATCH(A179&amp;"",tbl_Onsite[Job Number],0),MATCH(IFERROR(A179+0,A179),tbl_Onsite[Job Number],0)))),IFERROR(IF(IF(INDEX(tbl_Production[Current RMS No],IFERROR(MATCH(A179&amp;"",tbl_Production[Job Number],0),MATCH(IFERROR(A179+0,A179),tbl_Production[Job Number],0)))="",INDEX(tbl_Production[Qwilr Quote],IFERROR(MATCH(A179&amp;"",tbl_Production[Job Number],0),MATCH(IFERROR(A179+0,A179),tbl_Production[Job Number],0))),INDEX(tbl_Production[Current RMS No],IFERROR(MATCH(A179&amp;"",tbl_Production[Job Number],0),MATCH(IFERROR(A179+0,A179),tbl_Production[Job Number],0))))="","",IF(INDEX(tbl_Production[Current RMS No],IFERROR(MATCH(A179&amp;"",tbl_Production[Job Number],0),MATCH(IFERROR(A179+0,A179),tbl_Production[Job Number],0)))="",INDEX(tbl_Production[Qwilr Quote],IFERROR(MATCH(A179&amp;"",tbl_Production[Job Number],0),MATCH(IFERROR(A179+0,A179),tbl_Production[Job Number],0))),INDEX(tbl_Production[Current RMS No],IFERROR(MATCH(A179&amp;"",tbl_Production[Job Number],0),MATCH(IFERROR(A179+0,A179),tbl_Production[Job Number],0))))),IFERROR(IF(INDEX(tbl_Consulting[Qwilr Quote],IFERROR(MATCH(A179&amp;"",tbl_Consulting[Job Number],0),MATCH(IFERROR(A179+0,A179),tbl_Consulting[Job Number],0)))="","",INDEX(tbl_Consulting[Qwilr Quote],IFERROR(MATCH(A179&amp;"",tbl_Consulting[Job Number],0),MATCH(IFERROR(A179+0,A179),tbl_Consulting[Job Number],0)))),""))))</f>
        <v/>
      </c>
      <c r="AG179" s="26">
        <f>IF(AF179="","",IF(AND(LEFT(AF179,4)&lt;&gt;"http",IF(G179="Production",set_RMSBase,set_QwilrBase)=""),"",HYPERLINK(IF(LEFT(AF179,4)="http",AF179,IF(G179="Production",set_RMSBase,set_QwilrBase)&amp;AF179),"Open")))</f>
        <v/>
      </c>
      <c r="AH179" s="27">
        <f>IF(A179="","",IFERROR(INDEX(tbl_Production[Total Expense],IFERROR(MATCH(A179&amp;"",tbl_Production[Job Number],0),MATCH(IFERROR(A179+0,A179),tbl_Production[Job Number],0))),IFERROR(INDEX(tbl_Consulting[Total Expense],IFERROR(MATCH(A179&amp;"",tbl_Consulting[Job Number],0),MATCH(IFERROR(A179+0,A179),tbl_Consulting[Job Number],0))),0)))</f>
        <v/>
      </c>
      <c r="AI179" s="27">
        <f>IF(A179="","",AC179-N(AH179))</f>
        <v/>
      </c>
      <c r="AJ179" s="29">
        <f>IFERROR(AI179/AC179,"")</f>
        <v/>
      </c>
      <c r="AK179" s="26">
        <f>IF(A179="","",IFERROR(IF(INDEX(tbl_Onsite[Notes],IFERROR(MATCH(A179&amp;"",tbl_Onsite[Job Number],0),MATCH(IFERROR(A179+0,A179),tbl_Onsite[Job Number],0)))="","",INDEX(tbl_Onsite[Notes],IFERROR(MATCH(A179&amp;"",tbl_Onsite[Job Number],0),MATCH(IFERROR(A179+0,A179),tbl_Onsite[Job Number],0)))),IFERROR(IF(INDEX(tbl_Production[Notes],IFERROR(MATCH(A179&amp;"",tbl_Production[Job Number],0),MATCH(IFERROR(A179+0,A179),tbl_Production[Job Number],0)))="","",INDEX(tbl_Production[Notes],IFERROR(MATCH(A179&amp;"",tbl_Production[Job Number],0),MATCH(IFERROR(A179+0,A179),tbl_Production[Job Number],0)))),IFERROR(IF(INDEX(tbl_Consulting[Notes],IFERROR(MATCH(A179&amp;"",tbl_Consulting[Job Number],0),MATCH(IFERROR(A179+0,A179),tbl_Consulting[Job Number],0)))="","",INDEX(tbl_Consulting[Notes],IFERROR(MATCH(A179&amp;"",tbl_Consulting[Job Number],0),MATCH(IFERROR(A179+0,A179),tbl_Consulting[Job Number],0)))),""))))</f>
        <v/>
      </c>
    </row>
    <row r="180" ht="15" customHeight="1">
      <c r="A180" s="22" t="n"/>
      <c r="B180" s="22" t="n"/>
      <c r="C180" s="23" t="n"/>
      <c r="D180" s="22" t="n"/>
      <c r="E180" s="24" t="n"/>
      <c r="F180" s="25">
        <f>IF(C180="","",EOMONTH(C180,0))</f>
        <v/>
      </c>
      <c r="G180" s="26">
        <f>IF(A180="","",IF(COUNTIF(tbl_Onsite[Job Number],A180&amp;"")&gt;0,"Onsite",IF(COUNTIF(tbl_Production[Job Number],A180&amp;"")&gt;0,"Production",IF(COUNTIF(tbl_Consulting[Job Number],A180&amp;"")&gt;0,"Consulting","not set up yet"))))</f>
        <v/>
      </c>
      <c r="H180" s="26">
        <f>IF(A180="","",IF(COUNTIF(lst_Jobs,A180&amp;"")&gt;0,"OK","CHECK"))</f>
        <v/>
      </c>
      <c r="I180" s="26">
        <f>IF(A180="","",IFERROR(INDEX(lst_JobName,MATCH(A180&amp;"",lst_Jobs,0)),""))</f>
        <v/>
      </c>
      <c r="J180" s="26">
        <f>IF(A180="","",IFERROR(IF(INDEX(tbl_Onsite[Client],IFERROR(MATCH(A180&amp;"",tbl_Onsite[Job Number],0),MATCH(IFERROR(A180+0,A180),tbl_Onsite[Job Number],0)))="","",INDEX(tbl_Onsite[Client],IFERROR(MATCH(A180&amp;"",tbl_Onsite[Job Number],0),MATCH(IFERROR(A180+0,A180),tbl_Onsite[Job Number],0)))),IFERROR(IF(INDEX(tbl_Production[Client],IFERROR(MATCH(A180&amp;"",tbl_Production[Job Number],0),MATCH(IFERROR(A180+0,A180),tbl_Production[Job Number],0)))="","",INDEX(tbl_Production[Client],IFERROR(MATCH(A180&amp;"",tbl_Production[Job Number],0),MATCH(IFERROR(A180+0,A180),tbl_Production[Job Number],0)))),IFERROR(IF(INDEX(tbl_Consulting[Client],IFERROR(MATCH(A180&amp;"",tbl_Consulting[Job Number],0),MATCH(IFERROR(A180+0,A180),tbl_Consulting[Job Number],0)))="","",INDEX(tbl_Consulting[Client],IFERROR(MATCH(A180&amp;"",tbl_Consulting[Job Number],0),MATCH(IFERROR(A180+0,A180),tbl_Consulting[Job Number],0)))),""))))</f>
        <v/>
      </c>
      <c r="K180" s="26">
        <f>IF(A180="","",IFERROR(IF(INDEX(tbl_Onsite[Job Description],IFERROR(MATCH(A180&amp;"",tbl_Onsite[Job Number],0),MATCH(IFERROR(A180+0,A180),tbl_Onsite[Job Number],0)))="","",INDEX(tbl_Onsite[Job Description],IFERROR(MATCH(A180&amp;"",tbl_Onsite[Job Number],0),MATCH(IFERROR(A180+0,A180),tbl_Onsite[Job Number],0)))),IFERROR(IF(INDEX(tbl_Production[Job Description],IFERROR(MATCH(A180&amp;"",tbl_Production[Job Number],0),MATCH(IFERROR(A180+0,A180),tbl_Production[Job Number],0)))="","",INDEX(tbl_Production[Job Description],IFERROR(MATCH(A180&amp;"",tbl_Production[Job Number],0),MATCH(IFERROR(A180+0,A180),tbl_Production[Job Number],0)))),IFERROR(IF(INDEX(tbl_Consulting[Job Description],IFERROR(MATCH(A180&amp;"",tbl_Consulting[Job Number],0),MATCH(IFERROR(A180+0,A180),tbl_Consulting[Job Number],0)))="","",INDEX(tbl_Consulting[Job Description],IFERROR(MATCH(A180&amp;"",tbl_Consulting[Job Number],0),MATCH(IFERROR(A180+0,A180),tbl_Consulting[Job Number],0)))),""))))</f>
        <v/>
      </c>
      <c r="L180" s="26">
        <f>IF(A180="","",IFERROR(IF(INDEX(tbl_Onsite[Invoice Type],IFERROR(MATCH(A180&amp;"",tbl_Onsite[Job Number],0),MATCH(IFERROR(A180+0,A180),tbl_Onsite[Job Number],0)))="","",INDEX(tbl_Onsite[Invoice Type],IFERROR(MATCH(A180&amp;"",tbl_Onsite[Job Number],0),MATCH(IFERROR(A180+0,A180),tbl_Onsite[Job Number],0)))),IFERROR(IF(INDEX(tbl_Production[Invoice Type],IFERROR(MATCH(A180&amp;"",tbl_Production[Job Number],0),MATCH(IFERROR(A180+0,A180),tbl_Production[Job Number],0)))="","",INDEX(tbl_Production[Invoice Type],IFERROR(MATCH(A180&amp;"",tbl_Production[Job Number],0),MATCH(IFERROR(A180+0,A180),tbl_Production[Job Number],0)))),IFERROR(IF(INDEX(tbl_Consulting[Invoice Type],IFERROR(MATCH(A180&amp;"",tbl_Consulting[Job Number],0),MATCH(IFERROR(A180+0,A180),tbl_Consulting[Job Number],0)))="","",INDEX(tbl_Consulting[Invoice Type],IFERROR(MATCH(A180&amp;"",tbl_Consulting[Job Number],0),MATCH(IFERROR(A180+0,A180),tbl_Consulting[Job Number],0)))),""))))</f>
        <v/>
      </c>
      <c r="M180" s="26">
        <f>IF(A180="","",IF(IFERROR(IF(INDEX(tbl_Onsite[Tax Code],IFERROR(MATCH(A180&amp;"",tbl_Onsite[Job Number],0),MATCH(IFERROR(A180+0,A180),tbl_Onsite[Job Number],0)))="","",INDEX(tbl_Onsite[Tax Code],IFERROR(MATCH(A180&amp;"",tbl_Onsite[Job Number],0),MATCH(IFERROR(A180+0,A180),tbl_Onsite[Job Number],0)))),IFERROR(IF(INDEX(tbl_Production[Tax Code],IFERROR(MATCH(A180&amp;"",tbl_Production[Job Number],0),MATCH(IFERROR(A180+0,A180),tbl_Production[Job Number],0)))="","",INDEX(tbl_Production[Tax Code],IFERROR(MATCH(A180&amp;"",tbl_Production[Job Number],0),MATCH(IFERROR(A180+0,A180),tbl_Production[Job Number],0)))),IFERROR(IF(INDEX(tbl_Consulting[Tax Code],IFERROR(MATCH(A180&amp;"",tbl_Consulting[Job Number],0),MATCH(IFERROR(A180+0,A180),tbl_Consulting[Job Number],0)))="","",INDEX(tbl_Consulting[Tax Code],IFERROR(MATCH(A180&amp;"",tbl_Consulting[Job Number],0),MATCH(IFERROR(A180+0,A180),tbl_Consulting[Job Number],0)))),"")))="","GST 10%",IFERROR(IF(INDEX(tbl_Onsite[Tax Code],IFERROR(MATCH(A180&amp;"",tbl_Onsite[Job Number],0),MATCH(IFERROR(A180+0,A180),tbl_Onsite[Job Number],0)))="","",INDEX(tbl_Onsite[Tax Code],IFERROR(MATCH(A180&amp;"",tbl_Onsite[Job Number],0),MATCH(IFERROR(A180+0,A180),tbl_Onsite[Job Number],0)))),IFERROR(IF(INDEX(tbl_Production[Tax Code],IFERROR(MATCH(A180&amp;"",tbl_Production[Job Number],0),MATCH(IFERROR(A180+0,A180),tbl_Production[Job Number],0)))="","",INDEX(tbl_Production[Tax Code],IFERROR(MATCH(A180&amp;"",tbl_Production[Job Number],0),MATCH(IFERROR(A180+0,A180),tbl_Production[Job Number],0)))),IFERROR(IF(INDEX(tbl_Consulting[Tax Code],IFERROR(MATCH(A180&amp;"",tbl_Consulting[Job Number],0),MATCH(IFERROR(A180+0,A180),tbl_Consulting[Job Number],0)))="","",INDEX(tbl_Consulting[Tax Code],IFERROR(MATCH(A180&amp;"",tbl_Consulting[Job Number],0),MATCH(IFERROR(A180+0,A180),tbl_Consulting[Job Number],0)))),"")))))</f>
        <v/>
      </c>
      <c r="N180" s="26">
        <f>IF(D180="","",IFERROR(INDEX(lst_CCtoGL,MATCH(D180,lst_CCforGL,0)),""))</f>
        <v/>
      </c>
      <c r="O180" s="27">
        <f>IF(E180="","",IF(M180="GST 10%",ROUND(E180*set_GSTRate,2),0))</f>
        <v/>
      </c>
      <c r="P180" s="27">
        <f>IF(E180="","",E180+O180)</f>
        <v/>
      </c>
      <c r="Q180" s="27">
        <f>IF(A180="","",IFERROR(INDEX(tbl_Onsite[Expected Revenue Ex GST],IFERROR(MATCH(A180&amp;"",tbl_Onsite[Job Number],0),MATCH(IFERROR(A180+0,A180),tbl_Onsite[Job Number],0))),IFERROR(INDEX(tbl_Production[Expected Revenue Ex GST],IFERROR(MATCH(A180&amp;"",tbl_Production[Job Number],0),MATCH(IFERROR(A180+0,A180),tbl_Production[Job Number],0))),IFERROR(INDEX(tbl_Consulting[Expected Revenue Ex GST],IFERROR(MATCH(A180&amp;"",tbl_Consulting[Job Number],0),MATCH(IFERROR(A180+0,A180),tbl_Consulting[Job Number],0))),0))))</f>
        <v/>
      </c>
      <c r="R180" s="27">
        <f>IF(A180="","",SUMIFS(tbl_Finance[Ex GST],tbl_Finance[Job Number],A180&amp;""))</f>
        <v/>
      </c>
      <c r="S180" s="27">
        <f>IF(A180="","",Q180-R180)</f>
        <v/>
      </c>
      <c r="T180" s="26">
        <f>IF(A180="","",IF(Q180=0,"No dept value",IF(ROUND(S180,2)=0,"Agrees",IF(S180&gt;0,"Dept higher - to invoice","Xero higher - check dept"))))</f>
        <v/>
      </c>
      <c r="U180" s="22" t="n"/>
      <c r="V180" s="22" t="n"/>
      <c r="W180" s="23" t="n"/>
      <c r="X180" s="23" t="n"/>
      <c r="Y180" s="22" t="n"/>
      <c r="Z180" s="22" t="n"/>
      <c r="AA180" s="26">
        <f>IF(COUNTA(C180,A180,B180,E180)=0,"",IF(C180="","No date - sits outside every month",IF(A180="","No job number",IF(H180="CHECK","Job number is not in the Xero job list",IF(G180="not set up yet","No department has set this job up - nothing can pull through",IF(D180="","No cost centre",IF(AND(U180="Y",B180=""),"Marked posted to Xero but has no invoice number",IF(N180="","Cost centre has no revenue GL on the Lists sheet",IF(T180="Xero higher - check dept","Invoiced more than the department says the job is worth","")))))))))</f>
        <v/>
      </c>
      <c r="AB180" s="28">
        <f>IF(A180="","",COUNTIFS(tbl_Finance[Job Number],A180&amp;"",tbl_Finance[Ex GST],"&lt;&gt;"))</f>
        <v/>
      </c>
      <c r="AC180" s="27">
        <f>IF(A180="","",SUMIFS(tbl_Finance[Ex GST],tbl_Finance[Job Number],A180&amp;""))</f>
        <v/>
      </c>
      <c r="AD180" s="27">
        <f>IF(A180="","",SUMIFS(tbl_Finance[Ex GST],tbl_Finance[Job Number],A180&amp;"",tbl_Finance[Xero Invoice No],"&lt;&gt;"))</f>
        <v/>
      </c>
      <c r="AE180" s="27">
        <f>IF(A180="","",AC180-AD180)</f>
        <v/>
      </c>
      <c r="AF180" s="26">
        <f>IF(A180="","",IFERROR(IF(INDEX(tbl_Onsite[Qwilr Quote],IFERROR(MATCH(A180&amp;"",tbl_Onsite[Job Number],0),MATCH(IFERROR(A180+0,A180),tbl_Onsite[Job Number],0)))="","",INDEX(tbl_Onsite[Qwilr Quote],IFERROR(MATCH(A180&amp;"",tbl_Onsite[Job Number],0),MATCH(IFERROR(A180+0,A180),tbl_Onsite[Job Number],0)))),IFERROR(IF(IF(INDEX(tbl_Production[Current RMS No],IFERROR(MATCH(A180&amp;"",tbl_Production[Job Number],0),MATCH(IFERROR(A180+0,A180),tbl_Production[Job Number],0)))="",INDEX(tbl_Production[Qwilr Quote],IFERROR(MATCH(A180&amp;"",tbl_Production[Job Number],0),MATCH(IFERROR(A180+0,A180),tbl_Production[Job Number],0))),INDEX(tbl_Production[Current RMS No],IFERROR(MATCH(A180&amp;"",tbl_Production[Job Number],0),MATCH(IFERROR(A180+0,A180),tbl_Production[Job Number],0))))="","",IF(INDEX(tbl_Production[Current RMS No],IFERROR(MATCH(A180&amp;"",tbl_Production[Job Number],0),MATCH(IFERROR(A180+0,A180),tbl_Production[Job Number],0)))="",INDEX(tbl_Production[Qwilr Quote],IFERROR(MATCH(A180&amp;"",tbl_Production[Job Number],0),MATCH(IFERROR(A180+0,A180),tbl_Production[Job Number],0))),INDEX(tbl_Production[Current RMS No],IFERROR(MATCH(A180&amp;"",tbl_Production[Job Number],0),MATCH(IFERROR(A180+0,A180),tbl_Production[Job Number],0))))),IFERROR(IF(INDEX(tbl_Consulting[Qwilr Quote],IFERROR(MATCH(A180&amp;"",tbl_Consulting[Job Number],0),MATCH(IFERROR(A180+0,A180),tbl_Consulting[Job Number],0)))="","",INDEX(tbl_Consulting[Qwilr Quote],IFERROR(MATCH(A180&amp;"",tbl_Consulting[Job Number],0),MATCH(IFERROR(A180+0,A180),tbl_Consulting[Job Number],0)))),""))))</f>
        <v/>
      </c>
      <c r="AG180" s="26">
        <f>IF(AF180="","",IF(AND(LEFT(AF180,4)&lt;&gt;"http",IF(G180="Production",set_RMSBase,set_QwilrBase)=""),"",HYPERLINK(IF(LEFT(AF180,4)="http",AF180,IF(G180="Production",set_RMSBase,set_QwilrBase)&amp;AF180),"Open")))</f>
        <v/>
      </c>
      <c r="AH180" s="27">
        <f>IF(A180="","",IFERROR(INDEX(tbl_Production[Total Expense],IFERROR(MATCH(A180&amp;"",tbl_Production[Job Number],0),MATCH(IFERROR(A180+0,A180),tbl_Production[Job Number],0))),IFERROR(INDEX(tbl_Consulting[Total Expense],IFERROR(MATCH(A180&amp;"",tbl_Consulting[Job Number],0),MATCH(IFERROR(A180+0,A180),tbl_Consulting[Job Number],0))),0)))</f>
        <v/>
      </c>
      <c r="AI180" s="27">
        <f>IF(A180="","",AC180-N(AH180))</f>
        <v/>
      </c>
      <c r="AJ180" s="29">
        <f>IFERROR(AI180/AC180,"")</f>
        <v/>
      </c>
      <c r="AK180" s="26">
        <f>IF(A180="","",IFERROR(IF(INDEX(tbl_Onsite[Notes],IFERROR(MATCH(A180&amp;"",tbl_Onsite[Job Number],0),MATCH(IFERROR(A180+0,A180),tbl_Onsite[Job Number],0)))="","",INDEX(tbl_Onsite[Notes],IFERROR(MATCH(A180&amp;"",tbl_Onsite[Job Number],0),MATCH(IFERROR(A180+0,A180),tbl_Onsite[Job Number],0)))),IFERROR(IF(INDEX(tbl_Production[Notes],IFERROR(MATCH(A180&amp;"",tbl_Production[Job Number],0),MATCH(IFERROR(A180+0,A180),tbl_Production[Job Number],0)))="","",INDEX(tbl_Production[Notes],IFERROR(MATCH(A180&amp;"",tbl_Production[Job Number],0),MATCH(IFERROR(A180+0,A180),tbl_Production[Job Number],0)))),IFERROR(IF(INDEX(tbl_Consulting[Notes],IFERROR(MATCH(A180&amp;"",tbl_Consulting[Job Number],0),MATCH(IFERROR(A180+0,A180),tbl_Consulting[Job Number],0)))="","",INDEX(tbl_Consulting[Notes],IFERROR(MATCH(A180&amp;"",tbl_Consulting[Job Number],0),MATCH(IFERROR(A180+0,A180),tbl_Consulting[Job Number],0)))),""))))</f>
        <v/>
      </c>
    </row>
    <row r="181" ht="15" customHeight="1">
      <c r="A181" s="22" t="n"/>
      <c r="B181" s="22" t="n"/>
      <c r="C181" s="23" t="n"/>
      <c r="D181" s="22" t="n"/>
      <c r="E181" s="24" t="n"/>
      <c r="F181" s="25">
        <f>IF(C181="","",EOMONTH(C181,0))</f>
        <v/>
      </c>
      <c r="G181" s="26">
        <f>IF(A181="","",IF(COUNTIF(tbl_Onsite[Job Number],A181&amp;"")&gt;0,"Onsite",IF(COUNTIF(tbl_Production[Job Number],A181&amp;"")&gt;0,"Production",IF(COUNTIF(tbl_Consulting[Job Number],A181&amp;"")&gt;0,"Consulting","not set up yet"))))</f>
        <v/>
      </c>
      <c r="H181" s="26">
        <f>IF(A181="","",IF(COUNTIF(lst_Jobs,A181&amp;"")&gt;0,"OK","CHECK"))</f>
        <v/>
      </c>
      <c r="I181" s="26">
        <f>IF(A181="","",IFERROR(INDEX(lst_JobName,MATCH(A181&amp;"",lst_Jobs,0)),""))</f>
        <v/>
      </c>
      <c r="J181" s="26">
        <f>IF(A181="","",IFERROR(IF(INDEX(tbl_Onsite[Client],IFERROR(MATCH(A181&amp;"",tbl_Onsite[Job Number],0),MATCH(IFERROR(A181+0,A181),tbl_Onsite[Job Number],0)))="","",INDEX(tbl_Onsite[Client],IFERROR(MATCH(A181&amp;"",tbl_Onsite[Job Number],0),MATCH(IFERROR(A181+0,A181),tbl_Onsite[Job Number],0)))),IFERROR(IF(INDEX(tbl_Production[Client],IFERROR(MATCH(A181&amp;"",tbl_Production[Job Number],0),MATCH(IFERROR(A181+0,A181),tbl_Production[Job Number],0)))="","",INDEX(tbl_Production[Client],IFERROR(MATCH(A181&amp;"",tbl_Production[Job Number],0),MATCH(IFERROR(A181+0,A181),tbl_Production[Job Number],0)))),IFERROR(IF(INDEX(tbl_Consulting[Client],IFERROR(MATCH(A181&amp;"",tbl_Consulting[Job Number],0),MATCH(IFERROR(A181+0,A181),tbl_Consulting[Job Number],0)))="","",INDEX(tbl_Consulting[Client],IFERROR(MATCH(A181&amp;"",tbl_Consulting[Job Number],0),MATCH(IFERROR(A181+0,A181),tbl_Consulting[Job Number],0)))),""))))</f>
        <v/>
      </c>
      <c r="K181" s="26">
        <f>IF(A181="","",IFERROR(IF(INDEX(tbl_Onsite[Job Description],IFERROR(MATCH(A181&amp;"",tbl_Onsite[Job Number],0),MATCH(IFERROR(A181+0,A181),tbl_Onsite[Job Number],0)))="","",INDEX(tbl_Onsite[Job Description],IFERROR(MATCH(A181&amp;"",tbl_Onsite[Job Number],0),MATCH(IFERROR(A181+0,A181),tbl_Onsite[Job Number],0)))),IFERROR(IF(INDEX(tbl_Production[Job Description],IFERROR(MATCH(A181&amp;"",tbl_Production[Job Number],0),MATCH(IFERROR(A181+0,A181),tbl_Production[Job Number],0)))="","",INDEX(tbl_Production[Job Description],IFERROR(MATCH(A181&amp;"",tbl_Production[Job Number],0),MATCH(IFERROR(A181+0,A181),tbl_Production[Job Number],0)))),IFERROR(IF(INDEX(tbl_Consulting[Job Description],IFERROR(MATCH(A181&amp;"",tbl_Consulting[Job Number],0),MATCH(IFERROR(A181+0,A181),tbl_Consulting[Job Number],0)))="","",INDEX(tbl_Consulting[Job Description],IFERROR(MATCH(A181&amp;"",tbl_Consulting[Job Number],0),MATCH(IFERROR(A181+0,A181),tbl_Consulting[Job Number],0)))),""))))</f>
        <v/>
      </c>
      <c r="L181" s="26">
        <f>IF(A181="","",IFERROR(IF(INDEX(tbl_Onsite[Invoice Type],IFERROR(MATCH(A181&amp;"",tbl_Onsite[Job Number],0),MATCH(IFERROR(A181+0,A181),tbl_Onsite[Job Number],0)))="","",INDEX(tbl_Onsite[Invoice Type],IFERROR(MATCH(A181&amp;"",tbl_Onsite[Job Number],0),MATCH(IFERROR(A181+0,A181),tbl_Onsite[Job Number],0)))),IFERROR(IF(INDEX(tbl_Production[Invoice Type],IFERROR(MATCH(A181&amp;"",tbl_Production[Job Number],0),MATCH(IFERROR(A181+0,A181),tbl_Production[Job Number],0)))="","",INDEX(tbl_Production[Invoice Type],IFERROR(MATCH(A181&amp;"",tbl_Production[Job Number],0),MATCH(IFERROR(A181+0,A181),tbl_Production[Job Number],0)))),IFERROR(IF(INDEX(tbl_Consulting[Invoice Type],IFERROR(MATCH(A181&amp;"",tbl_Consulting[Job Number],0),MATCH(IFERROR(A181+0,A181),tbl_Consulting[Job Number],0)))="","",INDEX(tbl_Consulting[Invoice Type],IFERROR(MATCH(A181&amp;"",tbl_Consulting[Job Number],0),MATCH(IFERROR(A181+0,A181),tbl_Consulting[Job Number],0)))),""))))</f>
        <v/>
      </c>
      <c r="M181" s="26">
        <f>IF(A181="","",IF(IFERROR(IF(INDEX(tbl_Onsite[Tax Code],IFERROR(MATCH(A181&amp;"",tbl_Onsite[Job Number],0),MATCH(IFERROR(A181+0,A181),tbl_Onsite[Job Number],0)))="","",INDEX(tbl_Onsite[Tax Code],IFERROR(MATCH(A181&amp;"",tbl_Onsite[Job Number],0),MATCH(IFERROR(A181+0,A181),tbl_Onsite[Job Number],0)))),IFERROR(IF(INDEX(tbl_Production[Tax Code],IFERROR(MATCH(A181&amp;"",tbl_Production[Job Number],0),MATCH(IFERROR(A181+0,A181),tbl_Production[Job Number],0)))="","",INDEX(tbl_Production[Tax Code],IFERROR(MATCH(A181&amp;"",tbl_Production[Job Number],0),MATCH(IFERROR(A181+0,A181),tbl_Production[Job Number],0)))),IFERROR(IF(INDEX(tbl_Consulting[Tax Code],IFERROR(MATCH(A181&amp;"",tbl_Consulting[Job Number],0),MATCH(IFERROR(A181+0,A181),tbl_Consulting[Job Number],0)))="","",INDEX(tbl_Consulting[Tax Code],IFERROR(MATCH(A181&amp;"",tbl_Consulting[Job Number],0),MATCH(IFERROR(A181+0,A181),tbl_Consulting[Job Number],0)))),"")))="","GST 10%",IFERROR(IF(INDEX(tbl_Onsite[Tax Code],IFERROR(MATCH(A181&amp;"",tbl_Onsite[Job Number],0),MATCH(IFERROR(A181+0,A181),tbl_Onsite[Job Number],0)))="","",INDEX(tbl_Onsite[Tax Code],IFERROR(MATCH(A181&amp;"",tbl_Onsite[Job Number],0),MATCH(IFERROR(A181+0,A181),tbl_Onsite[Job Number],0)))),IFERROR(IF(INDEX(tbl_Production[Tax Code],IFERROR(MATCH(A181&amp;"",tbl_Production[Job Number],0),MATCH(IFERROR(A181+0,A181),tbl_Production[Job Number],0)))="","",INDEX(tbl_Production[Tax Code],IFERROR(MATCH(A181&amp;"",tbl_Production[Job Number],0),MATCH(IFERROR(A181+0,A181),tbl_Production[Job Number],0)))),IFERROR(IF(INDEX(tbl_Consulting[Tax Code],IFERROR(MATCH(A181&amp;"",tbl_Consulting[Job Number],0),MATCH(IFERROR(A181+0,A181),tbl_Consulting[Job Number],0)))="","",INDEX(tbl_Consulting[Tax Code],IFERROR(MATCH(A181&amp;"",tbl_Consulting[Job Number],0),MATCH(IFERROR(A181+0,A181),tbl_Consulting[Job Number],0)))),"")))))</f>
        <v/>
      </c>
      <c r="N181" s="26">
        <f>IF(D181="","",IFERROR(INDEX(lst_CCtoGL,MATCH(D181,lst_CCforGL,0)),""))</f>
        <v/>
      </c>
      <c r="O181" s="27">
        <f>IF(E181="","",IF(M181="GST 10%",ROUND(E181*set_GSTRate,2),0))</f>
        <v/>
      </c>
      <c r="P181" s="27">
        <f>IF(E181="","",E181+O181)</f>
        <v/>
      </c>
      <c r="Q181" s="27">
        <f>IF(A181="","",IFERROR(INDEX(tbl_Onsite[Expected Revenue Ex GST],IFERROR(MATCH(A181&amp;"",tbl_Onsite[Job Number],0),MATCH(IFERROR(A181+0,A181),tbl_Onsite[Job Number],0))),IFERROR(INDEX(tbl_Production[Expected Revenue Ex GST],IFERROR(MATCH(A181&amp;"",tbl_Production[Job Number],0),MATCH(IFERROR(A181+0,A181),tbl_Production[Job Number],0))),IFERROR(INDEX(tbl_Consulting[Expected Revenue Ex GST],IFERROR(MATCH(A181&amp;"",tbl_Consulting[Job Number],0),MATCH(IFERROR(A181+0,A181),tbl_Consulting[Job Number],0))),0))))</f>
        <v/>
      </c>
      <c r="R181" s="27">
        <f>IF(A181="","",SUMIFS(tbl_Finance[Ex GST],tbl_Finance[Job Number],A181&amp;""))</f>
        <v/>
      </c>
      <c r="S181" s="27">
        <f>IF(A181="","",Q181-R181)</f>
        <v/>
      </c>
      <c r="T181" s="26">
        <f>IF(A181="","",IF(Q181=0,"No dept value",IF(ROUND(S181,2)=0,"Agrees",IF(S181&gt;0,"Dept higher - to invoice","Xero higher - check dept"))))</f>
        <v/>
      </c>
      <c r="U181" s="22" t="n"/>
      <c r="V181" s="22" t="n"/>
      <c r="W181" s="23" t="n"/>
      <c r="X181" s="23" t="n"/>
      <c r="Y181" s="22" t="n"/>
      <c r="Z181" s="22" t="n"/>
      <c r="AA181" s="26">
        <f>IF(COUNTA(C181,A181,B181,E181)=0,"",IF(C181="","No date - sits outside every month",IF(A181="","No job number",IF(H181="CHECK","Job number is not in the Xero job list",IF(G181="not set up yet","No department has set this job up - nothing can pull through",IF(D181="","No cost centre",IF(AND(U181="Y",B181=""),"Marked posted to Xero but has no invoice number",IF(N181="","Cost centre has no revenue GL on the Lists sheet",IF(T181="Xero higher - check dept","Invoiced more than the department says the job is worth","")))))))))</f>
        <v/>
      </c>
      <c r="AB181" s="28">
        <f>IF(A181="","",COUNTIFS(tbl_Finance[Job Number],A181&amp;"",tbl_Finance[Ex GST],"&lt;&gt;"))</f>
        <v/>
      </c>
      <c r="AC181" s="27">
        <f>IF(A181="","",SUMIFS(tbl_Finance[Ex GST],tbl_Finance[Job Number],A181&amp;""))</f>
        <v/>
      </c>
      <c r="AD181" s="27">
        <f>IF(A181="","",SUMIFS(tbl_Finance[Ex GST],tbl_Finance[Job Number],A181&amp;"",tbl_Finance[Xero Invoice No],"&lt;&gt;"))</f>
        <v/>
      </c>
      <c r="AE181" s="27">
        <f>IF(A181="","",AC181-AD181)</f>
        <v/>
      </c>
      <c r="AF181" s="26">
        <f>IF(A181="","",IFERROR(IF(INDEX(tbl_Onsite[Qwilr Quote],IFERROR(MATCH(A181&amp;"",tbl_Onsite[Job Number],0),MATCH(IFERROR(A181+0,A181),tbl_Onsite[Job Number],0)))="","",INDEX(tbl_Onsite[Qwilr Quote],IFERROR(MATCH(A181&amp;"",tbl_Onsite[Job Number],0),MATCH(IFERROR(A181+0,A181),tbl_Onsite[Job Number],0)))),IFERROR(IF(IF(INDEX(tbl_Production[Current RMS No],IFERROR(MATCH(A181&amp;"",tbl_Production[Job Number],0),MATCH(IFERROR(A181+0,A181),tbl_Production[Job Number],0)))="",INDEX(tbl_Production[Qwilr Quote],IFERROR(MATCH(A181&amp;"",tbl_Production[Job Number],0),MATCH(IFERROR(A181+0,A181),tbl_Production[Job Number],0))),INDEX(tbl_Production[Current RMS No],IFERROR(MATCH(A181&amp;"",tbl_Production[Job Number],0),MATCH(IFERROR(A181+0,A181),tbl_Production[Job Number],0))))="","",IF(INDEX(tbl_Production[Current RMS No],IFERROR(MATCH(A181&amp;"",tbl_Production[Job Number],0),MATCH(IFERROR(A181+0,A181),tbl_Production[Job Number],0)))="",INDEX(tbl_Production[Qwilr Quote],IFERROR(MATCH(A181&amp;"",tbl_Production[Job Number],0),MATCH(IFERROR(A181+0,A181),tbl_Production[Job Number],0))),INDEX(tbl_Production[Current RMS No],IFERROR(MATCH(A181&amp;"",tbl_Production[Job Number],0),MATCH(IFERROR(A181+0,A181),tbl_Production[Job Number],0))))),IFERROR(IF(INDEX(tbl_Consulting[Qwilr Quote],IFERROR(MATCH(A181&amp;"",tbl_Consulting[Job Number],0),MATCH(IFERROR(A181+0,A181),tbl_Consulting[Job Number],0)))="","",INDEX(tbl_Consulting[Qwilr Quote],IFERROR(MATCH(A181&amp;"",tbl_Consulting[Job Number],0),MATCH(IFERROR(A181+0,A181),tbl_Consulting[Job Number],0)))),""))))</f>
        <v/>
      </c>
      <c r="AG181" s="26">
        <f>IF(AF181="","",IF(AND(LEFT(AF181,4)&lt;&gt;"http",IF(G181="Production",set_RMSBase,set_QwilrBase)=""),"",HYPERLINK(IF(LEFT(AF181,4)="http",AF181,IF(G181="Production",set_RMSBase,set_QwilrBase)&amp;AF181),"Open")))</f>
        <v/>
      </c>
      <c r="AH181" s="27">
        <f>IF(A181="","",IFERROR(INDEX(tbl_Production[Total Expense],IFERROR(MATCH(A181&amp;"",tbl_Production[Job Number],0),MATCH(IFERROR(A181+0,A181),tbl_Production[Job Number],0))),IFERROR(INDEX(tbl_Consulting[Total Expense],IFERROR(MATCH(A181&amp;"",tbl_Consulting[Job Number],0),MATCH(IFERROR(A181+0,A181),tbl_Consulting[Job Number],0))),0)))</f>
        <v/>
      </c>
      <c r="AI181" s="27">
        <f>IF(A181="","",AC181-N(AH181))</f>
        <v/>
      </c>
      <c r="AJ181" s="29">
        <f>IFERROR(AI181/AC181,"")</f>
        <v/>
      </c>
      <c r="AK181" s="26">
        <f>IF(A181="","",IFERROR(IF(INDEX(tbl_Onsite[Notes],IFERROR(MATCH(A181&amp;"",tbl_Onsite[Job Number],0),MATCH(IFERROR(A181+0,A181),tbl_Onsite[Job Number],0)))="","",INDEX(tbl_Onsite[Notes],IFERROR(MATCH(A181&amp;"",tbl_Onsite[Job Number],0),MATCH(IFERROR(A181+0,A181),tbl_Onsite[Job Number],0)))),IFERROR(IF(INDEX(tbl_Production[Notes],IFERROR(MATCH(A181&amp;"",tbl_Production[Job Number],0),MATCH(IFERROR(A181+0,A181),tbl_Production[Job Number],0)))="","",INDEX(tbl_Production[Notes],IFERROR(MATCH(A181&amp;"",tbl_Production[Job Number],0),MATCH(IFERROR(A181+0,A181),tbl_Production[Job Number],0)))),IFERROR(IF(INDEX(tbl_Consulting[Notes],IFERROR(MATCH(A181&amp;"",tbl_Consulting[Job Number],0),MATCH(IFERROR(A181+0,A181),tbl_Consulting[Job Number],0)))="","",INDEX(tbl_Consulting[Notes],IFERROR(MATCH(A181&amp;"",tbl_Consulting[Job Number],0),MATCH(IFERROR(A181+0,A181),tbl_Consulting[Job Number],0)))),""))))</f>
        <v/>
      </c>
    </row>
    <row r="182" ht="15" customHeight="1">
      <c r="A182" s="22" t="n"/>
      <c r="B182" s="22" t="n"/>
      <c r="C182" s="23" t="n"/>
      <c r="D182" s="22" t="n"/>
      <c r="E182" s="24" t="n"/>
      <c r="F182" s="25">
        <f>IF(C182="","",EOMONTH(C182,0))</f>
        <v/>
      </c>
      <c r="G182" s="26">
        <f>IF(A182="","",IF(COUNTIF(tbl_Onsite[Job Number],A182&amp;"")&gt;0,"Onsite",IF(COUNTIF(tbl_Production[Job Number],A182&amp;"")&gt;0,"Production",IF(COUNTIF(tbl_Consulting[Job Number],A182&amp;"")&gt;0,"Consulting","not set up yet"))))</f>
        <v/>
      </c>
      <c r="H182" s="26">
        <f>IF(A182="","",IF(COUNTIF(lst_Jobs,A182&amp;"")&gt;0,"OK","CHECK"))</f>
        <v/>
      </c>
      <c r="I182" s="26">
        <f>IF(A182="","",IFERROR(INDEX(lst_JobName,MATCH(A182&amp;"",lst_Jobs,0)),""))</f>
        <v/>
      </c>
      <c r="J182" s="26">
        <f>IF(A182="","",IFERROR(IF(INDEX(tbl_Onsite[Client],IFERROR(MATCH(A182&amp;"",tbl_Onsite[Job Number],0),MATCH(IFERROR(A182+0,A182),tbl_Onsite[Job Number],0)))="","",INDEX(tbl_Onsite[Client],IFERROR(MATCH(A182&amp;"",tbl_Onsite[Job Number],0),MATCH(IFERROR(A182+0,A182),tbl_Onsite[Job Number],0)))),IFERROR(IF(INDEX(tbl_Production[Client],IFERROR(MATCH(A182&amp;"",tbl_Production[Job Number],0),MATCH(IFERROR(A182+0,A182),tbl_Production[Job Number],0)))="","",INDEX(tbl_Production[Client],IFERROR(MATCH(A182&amp;"",tbl_Production[Job Number],0),MATCH(IFERROR(A182+0,A182),tbl_Production[Job Number],0)))),IFERROR(IF(INDEX(tbl_Consulting[Client],IFERROR(MATCH(A182&amp;"",tbl_Consulting[Job Number],0),MATCH(IFERROR(A182+0,A182),tbl_Consulting[Job Number],0)))="","",INDEX(tbl_Consulting[Client],IFERROR(MATCH(A182&amp;"",tbl_Consulting[Job Number],0),MATCH(IFERROR(A182+0,A182),tbl_Consulting[Job Number],0)))),""))))</f>
        <v/>
      </c>
      <c r="K182" s="26">
        <f>IF(A182="","",IFERROR(IF(INDEX(tbl_Onsite[Job Description],IFERROR(MATCH(A182&amp;"",tbl_Onsite[Job Number],0),MATCH(IFERROR(A182+0,A182),tbl_Onsite[Job Number],0)))="","",INDEX(tbl_Onsite[Job Description],IFERROR(MATCH(A182&amp;"",tbl_Onsite[Job Number],0),MATCH(IFERROR(A182+0,A182),tbl_Onsite[Job Number],0)))),IFERROR(IF(INDEX(tbl_Production[Job Description],IFERROR(MATCH(A182&amp;"",tbl_Production[Job Number],0),MATCH(IFERROR(A182+0,A182),tbl_Production[Job Number],0)))="","",INDEX(tbl_Production[Job Description],IFERROR(MATCH(A182&amp;"",tbl_Production[Job Number],0),MATCH(IFERROR(A182+0,A182),tbl_Production[Job Number],0)))),IFERROR(IF(INDEX(tbl_Consulting[Job Description],IFERROR(MATCH(A182&amp;"",tbl_Consulting[Job Number],0),MATCH(IFERROR(A182+0,A182),tbl_Consulting[Job Number],0)))="","",INDEX(tbl_Consulting[Job Description],IFERROR(MATCH(A182&amp;"",tbl_Consulting[Job Number],0),MATCH(IFERROR(A182+0,A182),tbl_Consulting[Job Number],0)))),""))))</f>
        <v/>
      </c>
      <c r="L182" s="26">
        <f>IF(A182="","",IFERROR(IF(INDEX(tbl_Onsite[Invoice Type],IFERROR(MATCH(A182&amp;"",tbl_Onsite[Job Number],0),MATCH(IFERROR(A182+0,A182),tbl_Onsite[Job Number],0)))="","",INDEX(tbl_Onsite[Invoice Type],IFERROR(MATCH(A182&amp;"",tbl_Onsite[Job Number],0),MATCH(IFERROR(A182+0,A182),tbl_Onsite[Job Number],0)))),IFERROR(IF(INDEX(tbl_Production[Invoice Type],IFERROR(MATCH(A182&amp;"",tbl_Production[Job Number],0),MATCH(IFERROR(A182+0,A182),tbl_Production[Job Number],0)))="","",INDEX(tbl_Production[Invoice Type],IFERROR(MATCH(A182&amp;"",tbl_Production[Job Number],0),MATCH(IFERROR(A182+0,A182),tbl_Production[Job Number],0)))),IFERROR(IF(INDEX(tbl_Consulting[Invoice Type],IFERROR(MATCH(A182&amp;"",tbl_Consulting[Job Number],0),MATCH(IFERROR(A182+0,A182),tbl_Consulting[Job Number],0)))="","",INDEX(tbl_Consulting[Invoice Type],IFERROR(MATCH(A182&amp;"",tbl_Consulting[Job Number],0),MATCH(IFERROR(A182+0,A182),tbl_Consulting[Job Number],0)))),""))))</f>
        <v/>
      </c>
      <c r="M182" s="26">
        <f>IF(A182="","",IF(IFERROR(IF(INDEX(tbl_Onsite[Tax Code],IFERROR(MATCH(A182&amp;"",tbl_Onsite[Job Number],0),MATCH(IFERROR(A182+0,A182),tbl_Onsite[Job Number],0)))="","",INDEX(tbl_Onsite[Tax Code],IFERROR(MATCH(A182&amp;"",tbl_Onsite[Job Number],0),MATCH(IFERROR(A182+0,A182),tbl_Onsite[Job Number],0)))),IFERROR(IF(INDEX(tbl_Production[Tax Code],IFERROR(MATCH(A182&amp;"",tbl_Production[Job Number],0),MATCH(IFERROR(A182+0,A182),tbl_Production[Job Number],0)))="","",INDEX(tbl_Production[Tax Code],IFERROR(MATCH(A182&amp;"",tbl_Production[Job Number],0),MATCH(IFERROR(A182+0,A182),tbl_Production[Job Number],0)))),IFERROR(IF(INDEX(tbl_Consulting[Tax Code],IFERROR(MATCH(A182&amp;"",tbl_Consulting[Job Number],0),MATCH(IFERROR(A182+0,A182),tbl_Consulting[Job Number],0)))="","",INDEX(tbl_Consulting[Tax Code],IFERROR(MATCH(A182&amp;"",tbl_Consulting[Job Number],0),MATCH(IFERROR(A182+0,A182),tbl_Consulting[Job Number],0)))),"")))="","GST 10%",IFERROR(IF(INDEX(tbl_Onsite[Tax Code],IFERROR(MATCH(A182&amp;"",tbl_Onsite[Job Number],0),MATCH(IFERROR(A182+0,A182),tbl_Onsite[Job Number],0)))="","",INDEX(tbl_Onsite[Tax Code],IFERROR(MATCH(A182&amp;"",tbl_Onsite[Job Number],0),MATCH(IFERROR(A182+0,A182),tbl_Onsite[Job Number],0)))),IFERROR(IF(INDEX(tbl_Production[Tax Code],IFERROR(MATCH(A182&amp;"",tbl_Production[Job Number],0),MATCH(IFERROR(A182+0,A182),tbl_Production[Job Number],0)))="","",INDEX(tbl_Production[Tax Code],IFERROR(MATCH(A182&amp;"",tbl_Production[Job Number],0),MATCH(IFERROR(A182+0,A182),tbl_Production[Job Number],0)))),IFERROR(IF(INDEX(tbl_Consulting[Tax Code],IFERROR(MATCH(A182&amp;"",tbl_Consulting[Job Number],0),MATCH(IFERROR(A182+0,A182),tbl_Consulting[Job Number],0)))="","",INDEX(tbl_Consulting[Tax Code],IFERROR(MATCH(A182&amp;"",tbl_Consulting[Job Number],0),MATCH(IFERROR(A182+0,A182),tbl_Consulting[Job Number],0)))),"")))))</f>
        <v/>
      </c>
      <c r="N182" s="26">
        <f>IF(D182="","",IFERROR(INDEX(lst_CCtoGL,MATCH(D182,lst_CCforGL,0)),""))</f>
        <v/>
      </c>
      <c r="O182" s="27">
        <f>IF(E182="","",IF(M182="GST 10%",ROUND(E182*set_GSTRate,2),0))</f>
        <v/>
      </c>
      <c r="P182" s="27">
        <f>IF(E182="","",E182+O182)</f>
        <v/>
      </c>
      <c r="Q182" s="27">
        <f>IF(A182="","",IFERROR(INDEX(tbl_Onsite[Expected Revenue Ex GST],IFERROR(MATCH(A182&amp;"",tbl_Onsite[Job Number],0),MATCH(IFERROR(A182+0,A182),tbl_Onsite[Job Number],0))),IFERROR(INDEX(tbl_Production[Expected Revenue Ex GST],IFERROR(MATCH(A182&amp;"",tbl_Production[Job Number],0),MATCH(IFERROR(A182+0,A182),tbl_Production[Job Number],0))),IFERROR(INDEX(tbl_Consulting[Expected Revenue Ex GST],IFERROR(MATCH(A182&amp;"",tbl_Consulting[Job Number],0),MATCH(IFERROR(A182+0,A182),tbl_Consulting[Job Number],0))),0))))</f>
        <v/>
      </c>
      <c r="R182" s="27">
        <f>IF(A182="","",SUMIFS(tbl_Finance[Ex GST],tbl_Finance[Job Number],A182&amp;""))</f>
        <v/>
      </c>
      <c r="S182" s="27">
        <f>IF(A182="","",Q182-R182)</f>
        <v/>
      </c>
      <c r="T182" s="26">
        <f>IF(A182="","",IF(Q182=0,"No dept value",IF(ROUND(S182,2)=0,"Agrees",IF(S182&gt;0,"Dept higher - to invoice","Xero higher - check dept"))))</f>
        <v/>
      </c>
      <c r="U182" s="22" t="n"/>
      <c r="V182" s="22" t="n"/>
      <c r="W182" s="23" t="n"/>
      <c r="X182" s="23" t="n"/>
      <c r="Y182" s="22" t="n"/>
      <c r="Z182" s="22" t="n"/>
      <c r="AA182" s="26">
        <f>IF(COUNTA(C182,A182,B182,E182)=0,"",IF(C182="","No date - sits outside every month",IF(A182="","No job number",IF(H182="CHECK","Job number is not in the Xero job list",IF(G182="not set up yet","No department has set this job up - nothing can pull through",IF(D182="","No cost centre",IF(AND(U182="Y",B182=""),"Marked posted to Xero but has no invoice number",IF(N182="","Cost centre has no revenue GL on the Lists sheet",IF(T182="Xero higher - check dept","Invoiced more than the department says the job is worth","")))))))))</f>
        <v/>
      </c>
      <c r="AB182" s="28">
        <f>IF(A182="","",COUNTIFS(tbl_Finance[Job Number],A182&amp;"",tbl_Finance[Ex GST],"&lt;&gt;"))</f>
        <v/>
      </c>
      <c r="AC182" s="27">
        <f>IF(A182="","",SUMIFS(tbl_Finance[Ex GST],tbl_Finance[Job Number],A182&amp;""))</f>
        <v/>
      </c>
      <c r="AD182" s="27">
        <f>IF(A182="","",SUMIFS(tbl_Finance[Ex GST],tbl_Finance[Job Number],A182&amp;"",tbl_Finance[Xero Invoice No],"&lt;&gt;"))</f>
        <v/>
      </c>
      <c r="AE182" s="27">
        <f>IF(A182="","",AC182-AD182)</f>
        <v/>
      </c>
      <c r="AF182" s="26">
        <f>IF(A182="","",IFERROR(IF(INDEX(tbl_Onsite[Qwilr Quote],IFERROR(MATCH(A182&amp;"",tbl_Onsite[Job Number],0),MATCH(IFERROR(A182+0,A182),tbl_Onsite[Job Number],0)))="","",INDEX(tbl_Onsite[Qwilr Quote],IFERROR(MATCH(A182&amp;"",tbl_Onsite[Job Number],0),MATCH(IFERROR(A182+0,A182),tbl_Onsite[Job Number],0)))),IFERROR(IF(IF(INDEX(tbl_Production[Current RMS No],IFERROR(MATCH(A182&amp;"",tbl_Production[Job Number],0),MATCH(IFERROR(A182+0,A182),tbl_Production[Job Number],0)))="",INDEX(tbl_Production[Qwilr Quote],IFERROR(MATCH(A182&amp;"",tbl_Production[Job Number],0),MATCH(IFERROR(A182+0,A182),tbl_Production[Job Number],0))),INDEX(tbl_Production[Current RMS No],IFERROR(MATCH(A182&amp;"",tbl_Production[Job Number],0),MATCH(IFERROR(A182+0,A182),tbl_Production[Job Number],0))))="","",IF(INDEX(tbl_Production[Current RMS No],IFERROR(MATCH(A182&amp;"",tbl_Production[Job Number],0),MATCH(IFERROR(A182+0,A182),tbl_Production[Job Number],0)))="",INDEX(tbl_Production[Qwilr Quote],IFERROR(MATCH(A182&amp;"",tbl_Production[Job Number],0),MATCH(IFERROR(A182+0,A182),tbl_Production[Job Number],0))),INDEX(tbl_Production[Current RMS No],IFERROR(MATCH(A182&amp;"",tbl_Production[Job Number],0),MATCH(IFERROR(A182+0,A182),tbl_Production[Job Number],0))))),IFERROR(IF(INDEX(tbl_Consulting[Qwilr Quote],IFERROR(MATCH(A182&amp;"",tbl_Consulting[Job Number],0),MATCH(IFERROR(A182+0,A182),tbl_Consulting[Job Number],0)))="","",INDEX(tbl_Consulting[Qwilr Quote],IFERROR(MATCH(A182&amp;"",tbl_Consulting[Job Number],0),MATCH(IFERROR(A182+0,A182),tbl_Consulting[Job Number],0)))),""))))</f>
        <v/>
      </c>
      <c r="AG182" s="26">
        <f>IF(AF182="","",IF(AND(LEFT(AF182,4)&lt;&gt;"http",IF(G182="Production",set_RMSBase,set_QwilrBase)=""),"",HYPERLINK(IF(LEFT(AF182,4)="http",AF182,IF(G182="Production",set_RMSBase,set_QwilrBase)&amp;AF182),"Open")))</f>
        <v/>
      </c>
      <c r="AH182" s="27">
        <f>IF(A182="","",IFERROR(INDEX(tbl_Production[Total Expense],IFERROR(MATCH(A182&amp;"",tbl_Production[Job Number],0),MATCH(IFERROR(A182+0,A182),tbl_Production[Job Number],0))),IFERROR(INDEX(tbl_Consulting[Total Expense],IFERROR(MATCH(A182&amp;"",tbl_Consulting[Job Number],0),MATCH(IFERROR(A182+0,A182),tbl_Consulting[Job Number],0))),0)))</f>
        <v/>
      </c>
      <c r="AI182" s="27">
        <f>IF(A182="","",AC182-N(AH182))</f>
        <v/>
      </c>
      <c r="AJ182" s="29">
        <f>IFERROR(AI182/AC182,"")</f>
        <v/>
      </c>
      <c r="AK182" s="26">
        <f>IF(A182="","",IFERROR(IF(INDEX(tbl_Onsite[Notes],IFERROR(MATCH(A182&amp;"",tbl_Onsite[Job Number],0),MATCH(IFERROR(A182+0,A182),tbl_Onsite[Job Number],0)))="","",INDEX(tbl_Onsite[Notes],IFERROR(MATCH(A182&amp;"",tbl_Onsite[Job Number],0),MATCH(IFERROR(A182+0,A182),tbl_Onsite[Job Number],0)))),IFERROR(IF(INDEX(tbl_Production[Notes],IFERROR(MATCH(A182&amp;"",tbl_Production[Job Number],0),MATCH(IFERROR(A182+0,A182),tbl_Production[Job Number],0)))="","",INDEX(tbl_Production[Notes],IFERROR(MATCH(A182&amp;"",tbl_Production[Job Number],0),MATCH(IFERROR(A182+0,A182),tbl_Production[Job Number],0)))),IFERROR(IF(INDEX(tbl_Consulting[Notes],IFERROR(MATCH(A182&amp;"",tbl_Consulting[Job Number],0),MATCH(IFERROR(A182+0,A182),tbl_Consulting[Job Number],0)))="","",INDEX(tbl_Consulting[Notes],IFERROR(MATCH(A182&amp;"",tbl_Consulting[Job Number],0),MATCH(IFERROR(A182+0,A182),tbl_Consulting[Job Number],0)))),""))))</f>
        <v/>
      </c>
    </row>
    <row r="183" ht="15" customHeight="1">
      <c r="A183" s="22" t="n"/>
      <c r="B183" s="22" t="n"/>
      <c r="C183" s="23" t="n"/>
      <c r="D183" s="22" t="n"/>
      <c r="E183" s="24" t="n"/>
      <c r="F183" s="25">
        <f>IF(C183="","",EOMONTH(C183,0))</f>
        <v/>
      </c>
      <c r="G183" s="26">
        <f>IF(A183="","",IF(COUNTIF(tbl_Onsite[Job Number],A183&amp;"")&gt;0,"Onsite",IF(COUNTIF(tbl_Production[Job Number],A183&amp;"")&gt;0,"Production",IF(COUNTIF(tbl_Consulting[Job Number],A183&amp;"")&gt;0,"Consulting","not set up yet"))))</f>
        <v/>
      </c>
      <c r="H183" s="26">
        <f>IF(A183="","",IF(COUNTIF(lst_Jobs,A183&amp;"")&gt;0,"OK","CHECK"))</f>
        <v/>
      </c>
      <c r="I183" s="26">
        <f>IF(A183="","",IFERROR(INDEX(lst_JobName,MATCH(A183&amp;"",lst_Jobs,0)),""))</f>
        <v/>
      </c>
      <c r="J183" s="26">
        <f>IF(A183="","",IFERROR(IF(INDEX(tbl_Onsite[Client],IFERROR(MATCH(A183&amp;"",tbl_Onsite[Job Number],0),MATCH(IFERROR(A183+0,A183),tbl_Onsite[Job Number],0)))="","",INDEX(tbl_Onsite[Client],IFERROR(MATCH(A183&amp;"",tbl_Onsite[Job Number],0),MATCH(IFERROR(A183+0,A183),tbl_Onsite[Job Number],0)))),IFERROR(IF(INDEX(tbl_Production[Client],IFERROR(MATCH(A183&amp;"",tbl_Production[Job Number],0),MATCH(IFERROR(A183+0,A183),tbl_Production[Job Number],0)))="","",INDEX(tbl_Production[Client],IFERROR(MATCH(A183&amp;"",tbl_Production[Job Number],0),MATCH(IFERROR(A183+0,A183),tbl_Production[Job Number],0)))),IFERROR(IF(INDEX(tbl_Consulting[Client],IFERROR(MATCH(A183&amp;"",tbl_Consulting[Job Number],0),MATCH(IFERROR(A183+0,A183),tbl_Consulting[Job Number],0)))="","",INDEX(tbl_Consulting[Client],IFERROR(MATCH(A183&amp;"",tbl_Consulting[Job Number],0),MATCH(IFERROR(A183+0,A183),tbl_Consulting[Job Number],0)))),""))))</f>
        <v/>
      </c>
      <c r="K183" s="26">
        <f>IF(A183="","",IFERROR(IF(INDEX(tbl_Onsite[Job Description],IFERROR(MATCH(A183&amp;"",tbl_Onsite[Job Number],0),MATCH(IFERROR(A183+0,A183),tbl_Onsite[Job Number],0)))="","",INDEX(tbl_Onsite[Job Description],IFERROR(MATCH(A183&amp;"",tbl_Onsite[Job Number],0),MATCH(IFERROR(A183+0,A183),tbl_Onsite[Job Number],0)))),IFERROR(IF(INDEX(tbl_Production[Job Description],IFERROR(MATCH(A183&amp;"",tbl_Production[Job Number],0),MATCH(IFERROR(A183+0,A183),tbl_Production[Job Number],0)))="","",INDEX(tbl_Production[Job Description],IFERROR(MATCH(A183&amp;"",tbl_Production[Job Number],0),MATCH(IFERROR(A183+0,A183),tbl_Production[Job Number],0)))),IFERROR(IF(INDEX(tbl_Consulting[Job Description],IFERROR(MATCH(A183&amp;"",tbl_Consulting[Job Number],0),MATCH(IFERROR(A183+0,A183),tbl_Consulting[Job Number],0)))="","",INDEX(tbl_Consulting[Job Description],IFERROR(MATCH(A183&amp;"",tbl_Consulting[Job Number],0),MATCH(IFERROR(A183+0,A183),tbl_Consulting[Job Number],0)))),""))))</f>
        <v/>
      </c>
      <c r="L183" s="26">
        <f>IF(A183="","",IFERROR(IF(INDEX(tbl_Onsite[Invoice Type],IFERROR(MATCH(A183&amp;"",tbl_Onsite[Job Number],0),MATCH(IFERROR(A183+0,A183),tbl_Onsite[Job Number],0)))="","",INDEX(tbl_Onsite[Invoice Type],IFERROR(MATCH(A183&amp;"",tbl_Onsite[Job Number],0),MATCH(IFERROR(A183+0,A183),tbl_Onsite[Job Number],0)))),IFERROR(IF(INDEX(tbl_Production[Invoice Type],IFERROR(MATCH(A183&amp;"",tbl_Production[Job Number],0),MATCH(IFERROR(A183+0,A183),tbl_Production[Job Number],0)))="","",INDEX(tbl_Production[Invoice Type],IFERROR(MATCH(A183&amp;"",tbl_Production[Job Number],0),MATCH(IFERROR(A183+0,A183),tbl_Production[Job Number],0)))),IFERROR(IF(INDEX(tbl_Consulting[Invoice Type],IFERROR(MATCH(A183&amp;"",tbl_Consulting[Job Number],0),MATCH(IFERROR(A183+0,A183),tbl_Consulting[Job Number],0)))="","",INDEX(tbl_Consulting[Invoice Type],IFERROR(MATCH(A183&amp;"",tbl_Consulting[Job Number],0),MATCH(IFERROR(A183+0,A183),tbl_Consulting[Job Number],0)))),""))))</f>
        <v/>
      </c>
      <c r="M183" s="26">
        <f>IF(A183="","",IF(IFERROR(IF(INDEX(tbl_Onsite[Tax Code],IFERROR(MATCH(A183&amp;"",tbl_Onsite[Job Number],0),MATCH(IFERROR(A183+0,A183),tbl_Onsite[Job Number],0)))="","",INDEX(tbl_Onsite[Tax Code],IFERROR(MATCH(A183&amp;"",tbl_Onsite[Job Number],0),MATCH(IFERROR(A183+0,A183),tbl_Onsite[Job Number],0)))),IFERROR(IF(INDEX(tbl_Production[Tax Code],IFERROR(MATCH(A183&amp;"",tbl_Production[Job Number],0),MATCH(IFERROR(A183+0,A183),tbl_Production[Job Number],0)))="","",INDEX(tbl_Production[Tax Code],IFERROR(MATCH(A183&amp;"",tbl_Production[Job Number],0),MATCH(IFERROR(A183+0,A183),tbl_Production[Job Number],0)))),IFERROR(IF(INDEX(tbl_Consulting[Tax Code],IFERROR(MATCH(A183&amp;"",tbl_Consulting[Job Number],0),MATCH(IFERROR(A183+0,A183),tbl_Consulting[Job Number],0)))="","",INDEX(tbl_Consulting[Tax Code],IFERROR(MATCH(A183&amp;"",tbl_Consulting[Job Number],0),MATCH(IFERROR(A183+0,A183),tbl_Consulting[Job Number],0)))),"")))="","GST 10%",IFERROR(IF(INDEX(tbl_Onsite[Tax Code],IFERROR(MATCH(A183&amp;"",tbl_Onsite[Job Number],0),MATCH(IFERROR(A183+0,A183),tbl_Onsite[Job Number],0)))="","",INDEX(tbl_Onsite[Tax Code],IFERROR(MATCH(A183&amp;"",tbl_Onsite[Job Number],0),MATCH(IFERROR(A183+0,A183),tbl_Onsite[Job Number],0)))),IFERROR(IF(INDEX(tbl_Production[Tax Code],IFERROR(MATCH(A183&amp;"",tbl_Production[Job Number],0),MATCH(IFERROR(A183+0,A183),tbl_Production[Job Number],0)))="","",INDEX(tbl_Production[Tax Code],IFERROR(MATCH(A183&amp;"",tbl_Production[Job Number],0),MATCH(IFERROR(A183+0,A183),tbl_Production[Job Number],0)))),IFERROR(IF(INDEX(tbl_Consulting[Tax Code],IFERROR(MATCH(A183&amp;"",tbl_Consulting[Job Number],0),MATCH(IFERROR(A183+0,A183),tbl_Consulting[Job Number],0)))="","",INDEX(tbl_Consulting[Tax Code],IFERROR(MATCH(A183&amp;"",tbl_Consulting[Job Number],0),MATCH(IFERROR(A183+0,A183),tbl_Consulting[Job Number],0)))),"")))))</f>
        <v/>
      </c>
      <c r="N183" s="26">
        <f>IF(D183="","",IFERROR(INDEX(lst_CCtoGL,MATCH(D183,lst_CCforGL,0)),""))</f>
        <v/>
      </c>
      <c r="O183" s="27">
        <f>IF(E183="","",IF(M183="GST 10%",ROUND(E183*set_GSTRate,2),0))</f>
        <v/>
      </c>
      <c r="P183" s="27">
        <f>IF(E183="","",E183+O183)</f>
        <v/>
      </c>
      <c r="Q183" s="27">
        <f>IF(A183="","",IFERROR(INDEX(tbl_Onsite[Expected Revenue Ex GST],IFERROR(MATCH(A183&amp;"",tbl_Onsite[Job Number],0),MATCH(IFERROR(A183+0,A183),tbl_Onsite[Job Number],0))),IFERROR(INDEX(tbl_Production[Expected Revenue Ex GST],IFERROR(MATCH(A183&amp;"",tbl_Production[Job Number],0),MATCH(IFERROR(A183+0,A183),tbl_Production[Job Number],0))),IFERROR(INDEX(tbl_Consulting[Expected Revenue Ex GST],IFERROR(MATCH(A183&amp;"",tbl_Consulting[Job Number],0),MATCH(IFERROR(A183+0,A183),tbl_Consulting[Job Number],0))),0))))</f>
        <v/>
      </c>
      <c r="R183" s="27">
        <f>IF(A183="","",SUMIFS(tbl_Finance[Ex GST],tbl_Finance[Job Number],A183&amp;""))</f>
        <v/>
      </c>
      <c r="S183" s="27">
        <f>IF(A183="","",Q183-R183)</f>
        <v/>
      </c>
      <c r="T183" s="26">
        <f>IF(A183="","",IF(Q183=0,"No dept value",IF(ROUND(S183,2)=0,"Agrees",IF(S183&gt;0,"Dept higher - to invoice","Xero higher - check dept"))))</f>
        <v/>
      </c>
      <c r="U183" s="22" t="n"/>
      <c r="V183" s="22" t="n"/>
      <c r="W183" s="23" t="n"/>
      <c r="X183" s="23" t="n"/>
      <c r="Y183" s="22" t="n"/>
      <c r="Z183" s="22" t="n"/>
      <c r="AA183" s="26">
        <f>IF(COUNTA(C183,A183,B183,E183)=0,"",IF(C183="","No date - sits outside every month",IF(A183="","No job number",IF(H183="CHECK","Job number is not in the Xero job list",IF(G183="not set up yet","No department has set this job up - nothing can pull through",IF(D183="","No cost centre",IF(AND(U183="Y",B183=""),"Marked posted to Xero but has no invoice number",IF(N183="","Cost centre has no revenue GL on the Lists sheet",IF(T183="Xero higher - check dept","Invoiced more than the department says the job is worth","")))))))))</f>
        <v/>
      </c>
      <c r="AB183" s="28">
        <f>IF(A183="","",COUNTIFS(tbl_Finance[Job Number],A183&amp;"",tbl_Finance[Ex GST],"&lt;&gt;"))</f>
        <v/>
      </c>
      <c r="AC183" s="27">
        <f>IF(A183="","",SUMIFS(tbl_Finance[Ex GST],tbl_Finance[Job Number],A183&amp;""))</f>
        <v/>
      </c>
      <c r="AD183" s="27">
        <f>IF(A183="","",SUMIFS(tbl_Finance[Ex GST],tbl_Finance[Job Number],A183&amp;"",tbl_Finance[Xero Invoice No],"&lt;&gt;"))</f>
        <v/>
      </c>
      <c r="AE183" s="27">
        <f>IF(A183="","",AC183-AD183)</f>
        <v/>
      </c>
      <c r="AF183" s="26">
        <f>IF(A183="","",IFERROR(IF(INDEX(tbl_Onsite[Qwilr Quote],IFERROR(MATCH(A183&amp;"",tbl_Onsite[Job Number],0),MATCH(IFERROR(A183+0,A183),tbl_Onsite[Job Number],0)))="","",INDEX(tbl_Onsite[Qwilr Quote],IFERROR(MATCH(A183&amp;"",tbl_Onsite[Job Number],0),MATCH(IFERROR(A183+0,A183),tbl_Onsite[Job Number],0)))),IFERROR(IF(IF(INDEX(tbl_Production[Current RMS No],IFERROR(MATCH(A183&amp;"",tbl_Production[Job Number],0),MATCH(IFERROR(A183+0,A183),tbl_Production[Job Number],0)))="",INDEX(tbl_Production[Qwilr Quote],IFERROR(MATCH(A183&amp;"",tbl_Production[Job Number],0),MATCH(IFERROR(A183+0,A183),tbl_Production[Job Number],0))),INDEX(tbl_Production[Current RMS No],IFERROR(MATCH(A183&amp;"",tbl_Production[Job Number],0),MATCH(IFERROR(A183+0,A183),tbl_Production[Job Number],0))))="","",IF(INDEX(tbl_Production[Current RMS No],IFERROR(MATCH(A183&amp;"",tbl_Production[Job Number],0),MATCH(IFERROR(A183+0,A183),tbl_Production[Job Number],0)))="",INDEX(tbl_Production[Qwilr Quote],IFERROR(MATCH(A183&amp;"",tbl_Production[Job Number],0),MATCH(IFERROR(A183+0,A183),tbl_Production[Job Number],0))),INDEX(tbl_Production[Current RMS No],IFERROR(MATCH(A183&amp;"",tbl_Production[Job Number],0),MATCH(IFERROR(A183+0,A183),tbl_Production[Job Number],0))))),IFERROR(IF(INDEX(tbl_Consulting[Qwilr Quote],IFERROR(MATCH(A183&amp;"",tbl_Consulting[Job Number],0),MATCH(IFERROR(A183+0,A183),tbl_Consulting[Job Number],0)))="","",INDEX(tbl_Consulting[Qwilr Quote],IFERROR(MATCH(A183&amp;"",tbl_Consulting[Job Number],0),MATCH(IFERROR(A183+0,A183),tbl_Consulting[Job Number],0)))),""))))</f>
        <v/>
      </c>
      <c r="AG183" s="26">
        <f>IF(AF183="","",IF(AND(LEFT(AF183,4)&lt;&gt;"http",IF(G183="Production",set_RMSBase,set_QwilrBase)=""),"",HYPERLINK(IF(LEFT(AF183,4)="http",AF183,IF(G183="Production",set_RMSBase,set_QwilrBase)&amp;AF183),"Open")))</f>
        <v/>
      </c>
      <c r="AH183" s="27">
        <f>IF(A183="","",IFERROR(INDEX(tbl_Production[Total Expense],IFERROR(MATCH(A183&amp;"",tbl_Production[Job Number],0),MATCH(IFERROR(A183+0,A183),tbl_Production[Job Number],0))),IFERROR(INDEX(tbl_Consulting[Total Expense],IFERROR(MATCH(A183&amp;"",tbl_Consulting[Job Number],0),MATCH(IFERROR(A183+0,A183),tbl_Consulting[Job Number],0))),0)))</f>
        <v/>
      </c>
      <c r="AI183" s="27">
        <f>IF(A183="","",AC183-N(AH183))</f>
        <v/>
      </c>
      <c r="AJ183" s="29">
        <f>IFERROR(AI183/AC183,"")</f>
        <v/>
      </c>
      <c r="AK183" s="26">
        <f>IF(A183="","",IFERROR(IF(INDEX(tbl_Onsite[Notes],IFERROR(MATCH(A183&amp;"",tbl_Onsite[Job Number],0),MATCH(IFERROR(A183+0,A183),tbl_Onsite[Job Number],0)))="","",INDEX(tbl_Onsite[Notes],IFERROR(MATCH(A183&amp;"",tbl_Onsite[Job Number],0),MATCH(IFERROR(A183+0,A183),tbl_Onsite[Job Number],0)))),IFERROR(IF(INDEX(tbl_Production[Notes],IFERROR(MATCH(A183&amp;"",tbl_Production[Job Number],0),MATCH(IFERROR(A183+0,A183),tbl_Production[Job Number],0)))="","",INDEX(tbl_Production[Notes],IFERROR(MATCH(A183&amp;"",tbl_Production[Job Number],0),MATCH(IFERROR(A183+0,A183),tbl_Production[Job Number],0)))),IFERROR(IF(INDEX(tbl_Consulting[Notes],IFERROR(MATCH(A183&amp;"",tbl_Consulting[Job Number],0),MATCH(IFERROR(A183+0,A183),tbl_Consulting[Job Number],0)))="","",INDEX(tbl_Consulting[Notes],IFERROR(MATCH(A183&amp;"",tbl_Consulting[Job Number],0),MATCH(IFERROR(A183+0,A183),tbl_Consulting[Job Number],0)))),""))))</f>
        <v/>
      </c>
    </row>
    <row r="184" ht="15" customHeight="1">
      <c r="A184" s="22" t="n"/>
      <c r="B184" s="22" t="n"/>
      <c r="C184" s="23" t="n"/>
      <c r="D184" s="22" t="n"/>
      <c r="E184" s="24" t="n"/>
      <c r="F184" s="25">
        <f>IF(C184="","",EOMONTH(C184,0))</f>
        <v/>
      </c>
      <c r="G184" s="26">
        <f>IF(A184="","",IF(COUNTIF(tbl_Onsite[Job Number],A184&amp;"")&gt;0,"Onsite",IF(COUNTIF(tbl_Production[Job Number],A184&amp;"")&gt;0,"Production",IF(COUNTIF(tbl_Consulting[Job Number],A184&amp;"")&gt;0,"Consulting","not set up yet"))))</f>
        <v/>
      </c>
      <c r="H184" s="26">
        <f>IF(A184="","",IF(COUNTIF(lst_Jobs,A184&amp;"")&gt;0,"OK","CHECK"))</f>
        <v/>
      </c>
      <c r="I184" s="26">
        <f>IF(A184="","",IFERROR(INDEX(lst_JobName,MATCH(A184&amp;"",lst_Jobs,0)),""))</f>
        <v/>
      </c>
      <c r="J184" s="26">
        <f>IF(A184="","",IFERROR(IF(INDEX(tbl_Onsite[Client],IFERROR(MATCH(A184&amp;"",tbl_Onsite[Job Number],0),MATCH(IFERROR(A184+0,A184),tbl_Onsite[Job Number],0)))="","",INDEX(tbl_Onsite[Client],IFERROR(MATCH(A184&amp;"",tbl_Onsite[Job Number],0),MATCH(IFERROR(A184+0,A184),tbl_Onsite[Job Number],0)))),IFERROR(IF(INDEX(tbl_Production[Client],IFERROR(MATCH(A184&amp;"",tbl_Production[Job Number],0),MATCH(IFERROR(A184+0,A184),tbl_Production[Job Number],0)))="","",INDEX(tbl_Production[Client],IFERROR(MATCH(A184&amp;"",tbl_Production[Job Number],0),MATCH(IFERROR(A184+0,A184),tbl_Production[Job Number],0)))),IFERROR(IF(INDEX(tbl_Consulting[Client],IFERROR(MATCH(A184&amp;"",tbl_Consulting[Job Number],0),MATCH(IFERROR(A184+0,A184),tbl_Consulting[Job Number],0)))="","",INDEX(tbl_Consulting[Client],IFERROR(MATCH(A184&amp;"",tbl_Consulting[Job Number],0),MATCH(IFERROR(A184+0,A184),tbl_Consulting[Job Number],0)))),""))))</f>
        <v/>
      </c>
      <c r="K184" s="26">
        <f>IF(A184="","",IFERROR(IF(INDEX(tbl_Onsite[Job Description],IFERROR(MATCH(A184&amp;"",tbl_Onsite[Job Number],0),MATCH(IFERROR(A184+0,A184),tbl_Onsite[Job Number],0)))="","",INDEX(tbl_Onsite[Job Description],IFERROR(MATCH(A184&amp;"",tbl_Onsite[Job Number],0),MATCH(IFERROR(A184+0,A184),tbl_Onsite[Job Number],0)))),IFERROR(IF(INDEX(tbl_Production[Job Description],IFERROR(MATCH(A184&amp;"",tbl_Production[Job Number],0),MATCH(IFERROR(A184+0,A184),tbl_Production[Job Number],0)))="","",INDEX(tbl_Production[Job Description],IFERROR(MATCH(A184&amp;"",tbl_Production[Job Number],0),MATCH(IFERROR(A184+0,A184),tbl_Production[Job Number],0)))),IFERROR(IF(INDEX(tbl_Consulting[Job Description],IFERROR(MATCH(A184&amp;"",tbl_Consulting[Job Number],0),MATCH(IFERROR(A184+0,A184),tbl_Consulting[Job Number],0)))="","",INDEX(tbl_Consulting[Job Description],IFERROR(MATCH(A184&amp;"",tbl_Consulting[Job Number],0),MATCH(IFERROR(A184+0,A184),tbl_Consulting[Job Number],0)))),""))))</f>
        <v/>
      </c>
      <c r="L184" s="26">
        <f>IF(A184="","",IFERROR(IF(INDEX(tbl_Onsite[Invoice Type],IFERROR(MATCH(A184&amp;"",tbl_Onsite[Job Number],0),MATCH(IFERROR(A184+0,A184),tbl_Onsite[Job Number],0)))="","",INDEX(tbl_Onsite[Invoice Type],IFERROR(MATCH(A184&amp;"",tbl_Onsite[Job Number],0),MATCH(IFERROR(A184+0,A184),tbl_Onsite[Job Number],0)))),IFERROR(IF(INDEX(tbl_Production[Invoice Type],IFERROR(MATCH(A184&amp;"",tbl_Production[Job Number],0),MATCH(IFERROR(A184+0,A184),tbl_Production[Job Number],0)))="","",INDEX(tbl_Production[Invoice Type],IFERROR(MATCH(A184&amp;"",tbl_Production[Job Number],0),MATCH(IFERROR(A184+0,A184),tbl_Production[Job Number],0)))),IFERROR(IF(INDEX(tbl_Consulting[Invoice Type],IFERROR(MATCH(A184&amp;"",tbl_Consulting[Job Number],0),MATCH(IFERROR(A184+0,A184),tbl_Consulting[Job Number],0)))="","",INDEX(tbl_Consulting[Invoice Type],IFERROR(MATCH(A184&amp;"",tbl_Consulting[Job Number],0),MATCH(IFERROR(A184+0,A184),tbl_Consulting[Job Number],0)))),""))))</f>
        <v/>
      </c>
      <c r="M184" s="26">
        <f>IF(A184="","",IF(IFERROR(IF(INDEX(tbl_Onsite[Tax Code],IFERROR(MATCH(A184&amp;"",tbl_Onsite[Job Number],0),MATCH(IFERROR(A184+0,A184),tbl_Onsite[Job Number],0)))="","",INDEX(tbl_Onsite[Tax Code],IFERROR(MATCH(A184&amp;"",tbl_Onsite[Job Number],0),MATCH(IFERROR(A184+0,A184),tbl_Onsite[Job Number],0)))),IFERROR(IF(INDEX(tbl_Production[Tax Code],IFERROR(MATCH(A184&amp;"",tbl_Production[Job Number],0),MATCH(IFERROR(A184+0,A184),tbl_Production[Job Number],0)))="","",INDEX(tbl_Production[Tax Code],IFERROR(MATCH(A184&amp;"",tbl_Production[Job Number],0),MATCH(IFERROR(A184+0,A184),tbl_Production[Job Number],0)))),IFERROR(IF(INDEX(tbl_Consulting[Tax Code],IFERROR(MATCH(A184&amp;"",tbl_Consulting[Job Number],0),MATCH(IFERROR(A184+0,A184),tbl_Consulting[Job Number],0)))="","",INDEX(tbl_Consulting[Tax Code],IFERROR(MATCH(A184&amp;"",tbl_Consulting[Job Number],0),MATCH(IFERROR(A184+0,A184),tbl_Consulting[Job Number],0)))),"")))="","GST 10%",IFERROR(IF(INDEX(tbl_Onsite[Tax Code],IFERROR(MATCH(A184&amp;"",tbl_Onsite[Job Number],0),MATCH(IFERROR(A184+0,A184),tbl_Onsite[Job Number],0)))="","",INDEX(tbl_Onsite[Tax Code],IFERROR(MATCH(A184&amp;"",tbl_Onsite[Job Number],0),MATCH(IFERROR(A184+0,A184),tbl_Onsite[Job Number],0)))),IFERROR(IF(INDEX(tbl_Production[Tax Code],IFERROR(MATCH(A184&amp;"",tbl_Production[Job Number],0),MATCH(IFERROR(A184+0,A184),tbl_Production[Job Number],0)))="","",INDEX(tbl_Production[Tax Code],IFERROR(MATCH(A184&amp;"",tbl_Production[Job Number],0),MATCH(IFERROR(A184+0,A184),tbl_Production[Job Number],0)))),IFERROR(IF(INDEX(tbl_Consulting[Tax Code],IFERROR(MATCH(A184&amp;"",tbl_Consulting[Job Number],0),MATCH(IFERROR(A184+0,A184),tbl_Consulting[Job Number],0)))="","",INDEX(tbl_Consulting[Tax Code],IFERROR(MATCH(A184&amp;"",tbl_Consulting[Job Number],0),MATCH(IFERROR(A184+0,A184),tbl_Consulting[Job Number],0)))),"")))))</f>
        <v/>
      </c>
      <c r="N184" s="26">
        <f>IF(D184="","",IFERROR(INDEX(lst_CCtoGL,MATCH(D184,lst_CCforGL,0)),""))</f>
        <v/>
      </c>
      <c r="O184" s="27">
        <f>IF(E184="","",IF(M184="GST 10%",ROUND(E184*set_GSTRate,2),0))</f>
        <v/>
      </c>
      <c r="P184" s="27">
        <f>IF(E184="","",E184+O184)</f>
        <v/>
      </c>
      <c r="Q184" s="27">
        <f>IF(A184="","",IFERROR(INDEX(tbl_Onsite[Expected Revenue Ex GST],IFERROR(MATCH(A184&amp;"",tbl_Onsite[Job Number],0),MATCH(IFERROR(A184+0,A184),tbl_Onsite[Job Number],0))),IFERROR(INDEX(tbl_Production[Expected Revenue Ex GST],IFERROR(MATCH(A184&amp;"",tbl_Production[Job Number],0),MATCH(IFERROR(A184+0,A184),tbl_Production[Job Number],0))),IFERROR(INDEX(tbl_Consulting[Expected Revenue Ex GST],IFERROR(MATCH(A184&amp;"",tbl_Consulting[Job Number],0),MATCH(IFERROR(A184+0,A184),tbl_Consulting[Job Number],0))),0))))</f>
        <v/>
      </c>
      <c r="R184" s="27">
        <f>IF(A184="","",SUMIFS(tbl_Finance[Ex GST],tbl_Finance[Job Number],A184&amp;""))</f>
        <v/>
      </c>
      <c r="S184" s="27">
        <f>IF(A184="","",Q184-R184)</f>
        <v/>
      </c>
      <c r="T184" s="26">
        <f>IF(A184="","",IF(Q184=0,"No dept value",IF(ROUND(S184,2)=0,"Agrees",IF(S184&gt;0,"Dept higher - to invoice","Xero higher - check dept"))))</f>
        <v/>
      </c>
      <c r="U184" s="22" t="n"/>
      <c r="V184" s="22" t="n"/>
      <c r="W184" s="23" t="n"/>
      <c r="X184" s="23" t="n"/>
      <c r="Y184" s="22" t="n"/>
      <c r="Z184" s="22" t="n"/>
      <c r="AA184" s="26">
        <f>IF(COUNTA(C184,A184,B184,E184)=0,"",IF(C184="","No date - sits outside every month",IF(A184="","No job number",IF(H184="CHECK","Job number is not in the Xero job list",IF(G184="not set up yet","No department has set this job up - nothing can pull through",IF(D184="","No cost centre",IF(AND(U184="Y",B184=""),"Marked posted to Xero but has no invoice number",IF(N184="","Cost centre has no revenue GL on the Lists sheet",IF(T184="Xero higher - check dept","Invoiced more than the department says the job is worth","")))))))))</f>
        <v/>
      </c>
      <c r="AB184" s="28">
        <f>IF(A184="","",COUNTIFS(tbl_Finance[Job Number],A184&amp;"",tbl_Finance[Ex GST],"&lt;&gt;"))</f>
        <v/>
      </c>
      <c r="AC184" s="27">
        <f>IF(A184="","",SUMIFS(tbl_Finance[Ex GST],tbl_Finance[Job Number],A184&amp;""))</f>
        <v/>
      </c>
      <c r="AD184" s="27">
        <f>IF(A184="","",SUMIFS(tbl_Finance[Ex GST],tbl_Finance[Job Number],A184&amp;"",tbl_Finance[Xero Invoice No],"&lt;&gt;"))</f>
        <v/>
      </c>
      <c r="AE184" s="27">
        <f>IF(A184="","",AC184-AD184)</f>
        <v/>
      </c>
      <c r="AF184" s="26">
        <f>IF(A184="","",IFERROR(IF(INDEX(tbl_Onsite[Qwilr Quote],IFERROR(MATCH(A184&amp;"",tbl_Onsite[Job Number],0),MATCH(IFERROR(A184+0,A184),tbl_Onsite[Job Number],0)))="","",INDEX(tbl_Onsite[Qwilr Quote],IFERROR(MATCH(A184&amp;"",tbl_Onsite[Job Number],0),MATCH(IFERROR(A184+0,A184),tbl_Onsite[Job Number],0)))),IFERROR(IF(IF(INDEX(tbl_Production[Current RMS No],IFERROR(MATCH(A184&amp;"",tbl_Production[Job Number],0),MATCH(IFERROR(A184+0,A184),tbl_Production[Job Number],0)))="",INDEX(tbl_Production[Qwilr Quote],IFERROR(MATCH(A184&amp;"",tbl_Production[Job Number],0),MATCH(IFERROR(A184+0,A184),tbl_Production[Job Number],0))),INDEX(tbl_Production[Current RMS No],IFERROR(MATCH(A184&amp;"",tbl_Production[Job Number],0),MATCH(IFERROR(A184+0,A184),tbl_Production[Job Number],0))))="","",IF(INDEX(tbl_Production[Current RMS No],IFERROR(MATCH(A184&amp;"",tbl_Production[Job Number],0),MATCH(IFERROR(A184+0,A184),tbl_Production[Job Number],0)))="",INDEX(tbl_Production[Qwilr Quote],IFERROR(MATCH(A184&amp;"",tbl_Production[Job Number],0),MATCH(IFERROR(A184+0,A184),tbl_Production[Job Number],0))),INDEX(tbl_Production[Current RMS No],IFERROR(MATCH(A184&amp;"",tbl_Production[Job Number],0),MATCH(IFERROR(A184+0,A184),tbl_Production[Job Number],0))))),IFERROR(IF(INDEX(tbl_Consulting[Qwilr Quote],IFERROR(MATCH(A184&amp;"",tbl_Consulting[Job Number],0),MATCH(IFERROR(A184+0,A184),tbl_Consulting[Job Number],0)))="","",INDEX(tbl_Consulting[Qwilr Quote],IFERROR(MATCH(A184&amp;"",tbl_Consulting[Job Number],0),MATCH(IFERROR(A184+0,A184),tbl_Consulting[Job Number],0)))),""))))</f>
        <v/>
      </c>
      <c r="AG184" s="26">
        <f>IF(AF184="","",IF(AND(LEFT(AF184,4)&lt;&gt;"http",IF(G184="Production",set_RMSBase,set_QwilrBase)=""),"",HYPERLINK(IF(LEFT(AF184,4)="http",AF184,IF(G184="Production",set_RMSBase,set_QwilrBase)&amp;AF184),"Open")))</f>
        <v/>
      </c>
      <c r="AH184" s="27">
        <f>IF(A184="","",IFERROR(INDEX(tbl_Production[Total Expense],IFERROR(MATCH(A184&amp;"",tbl_Production[Job Number],0),MATCH(IFERROR(A184+0,A184),tbl_Production[Job Number],0))),IFERROR(INDEX(tbl_Consulting[Total Expense],IFERROR(MATCH(A184&amp;"",tbl_Consulting[Job Number],0),MATCH(IFERROR(A184+0,A184),tbl_Consulting[Job Number],0))),0)))</f>
        <v/>
      </c>
      <c r="AI184" s="27">
        <f>IF(A184="","",AC184-N(AH184))</f>
        <v/>
      </c>
      <c r="AJ184" s="29">
        <f>IFERROR(AI184/AC184,"")</f>
        <v/>
      </c>
      <c r="AK184" s="26">
        <f>IF(A184="","",IFERROR(IF(INDEX(tbl_Onsite[Notes],IFERROR(MATCH(A184&amp;"",tbl_Onsite[Job Number],0),MATCH(IFERROR(A184+0,A184),tbl_Onsite[Job Number],0)))="","",INDEX(tbl_Onsite[Notes],IFERROR(MATCH(A184&amp;"",tbl_Onsite[Job Number],0),MATCH(IFERROR(A184+0,A184),tbl_Onsite[Job Number],0)))),IFERROR(IF(INDEX(tbl_Production[Notes],IFERROR(MATCH(A184&amp;"",tbl_Production[Job Number],0),MATCH(IFERROR(A184+0,A184),tbl_Production[Job Number],0)))="","",INDEX(tbl_Production[Notes],IFERROR(MATCH(A184&amp;"",tbl_Production[Job Number],0),MATCH(IFERROR(A184+0,A184),tbl_Production[Job Number],0)))),IFERROR(IF(INDEX(tbl_Consulting[Notes],IFERROR(MATCH(A184&amp;"",tbl_Consulting[Job Number],0),MATCH(IFERROR(A184+0,A184),tbl_Consulting[Job Number],0)))="","",INDEX(tbl_Consulting[Notes],IFERROR(MATCH(A184&amp;"",tbl_Consulting[Job Number],0),MATCH(IFERROR(A184+0,A184),tbl_Consulting[Job Number],0)))),""))))</f>
        <v/>
      </c>
    </row>
    <row r="185" ht="15" customHeight="1">
      <c r="A185" s="22" t="n"/>
      <c r="B185" s="22" t="n"/>
      <c r="C185" s="23" t="n"/>
      <c r="D185" s="22" t="n"/>
      <c r="E185" s="24" t="n"/>
      <c r="F185" s="25">
        <f>IF(C185="","",EOMONTH(C185,0))</f>
        <v/>
      </c>
      <c r="G185" s="26">
        <f>IF(A185="","",IF(COUNTIF(tbl_Onsite[Job Number],A185&amp;"")&gt;0,"Onsite",IF(COUNTIF(tbl_Production[Job Number],A185&amp;"")&gt;0,"Production",IF(COUNTIF(tbl_Consulting[Job Number],A185&amp;"")&gt;0,"Consulting","not set up yet"))))</f>
        <v/>
      </c>
      <c r="H185" s="26">
        <f>IF(A185="","",IF(COUNTIF(lst_Jobs,A185&amp;"")&gt;0,"OK","CHECK"))</f>
        <v/>
      </c>
      <c r="I185" s="26">
        <f>IF(A185="","",IFERROR(INDEX(lst_JobName,MATCH(A185&amp;"",lst_Jobs,0)),""))</f>
        <v/>
      </c>
      <c r="J185" s="26">
        <f>IF(A185="","",IFERROR(IF(INDEX(tbl_Onsite[Client],IFERROR(MATCH(A185&amp;"",tbl_Onsite[Job Number],0),MATCH(IFERROR(A185+0,A185),tbl_Onsite[Job Number],0)))="","",INDEX(tbl_Onsite[Client],IFERROR(MATCH(A185&amp;"",tbl_Onsite[Job Number],0),MATCH(IFERROR(A185+0,A185),tbl_Onsite[Job Number],0)))),IFERROR(IF(INDEX(tbl_Production[Client],IFERROR(MATCH(A185&amp;"",tbl_Production[Job Number],0),MATCH(IFERROR(A185+0,A185),tbl_Production[Job Number],0)))="","",INDEX(tbl_Production[Client],IFERROR(MATCH(A185&amp;"",tbl_Production[Job Number],0),MATCH(IFERROR(A185+0,A185),tbl_Production[Job Number],0)))),IFERROR(IF(INDEX(tbl_Consulting[Client],IFERROR(MATCH(A185&amp;"",tbl_Consulting[Job Number],0),MATCH(IFERROR(A185+0,A185),tbl_Consulting[Job Number],0)))="","",INDEX(tbl_Consulting[Client],IFERROR(MATCH(A185&amp;"",tbl_Consulting[Job Number],0),MATCH(IFERROR(A185+0,A185),tbl_Consulting[Job Number],0)))),""))))</f>
        <v/>
      </c>
      <c r="K185" s="26">
        <f>IF(A185="","",IFERROR(IF(INDEX(tbl_Onsite[Job Description],IFERROR(MATCH(A185&amp;"",tbl_Onsite[Job Number],0),MATCH(IFERROR(A185+0,A185),tbl_Onsite[Job Number],0)))="","",INDEX(tbl_Onsite[Job Description],IFERROR(MATCH(A185&amp;"",tbl_Onsite[Job Number],0),MATCH(IFERROR(A185+0,A185),tbl_Onsite[Job Number],0)))),IFERROR(IF(INDEX(tbl_Production[Job Description],IFERROR(MATCH(A185&amp;"",tbl_Production[Job Number],0),MATCH(IFERROR(A185+0,A185),tbl_Production[Job Number],0)))="","",INDEX(tbl_Production[Job Description],IFERROR(MATCH(A185&amp;"",tbl_Production[Job Number],0),MATCH(IFERROR(A185+0,A185),tbl_Production[Job Number],0)))),IFERROR(IF(INDEX(tbl_Consulting[Job Description],IFERROR(MATCH(A185&amp;"",tbl_Consulting[Job Number],0),MATCH(IFERROR(A185+0,A185),tbl_Consulting[Job Number],0)))="","",INDEX(tbl_Consulting[Job Description],IFERROR(MATCH(A185&amp;"",tbl_Consulting[Job Number],0),MATCH(IFERROR(A185+0,A185),tbl_Consulting[Job Number],0)))),""))))</f>
        <v/>
      </c>
      <c r="L185" s="26">
        <f>IF(A185="","",IFERROR(IF(INDEX(tbl_Onsite[Invoice Type],IFERROR(MATCH(A185&amp;"",tbl_Onsite[Job Number],0),MATCH(IFERROR(A185+0,A185),tbl_Onsite[Job Number],0)))="","",INDEX(tbl_Onsite[Invoice Type],IFERROR(MATCH(A185&amp;"",tbl_Onsite[Job Number],0),MATCH(IFERROR(A185+0,A185),tbl_Onsite[Job Number],0)))),IFERROR(IF(INDEX(tbl_Production[Invoice Type],IFERROR(MATCH(A185&amp;"",tbl_Production[Job Number],0),MATCH(IFERROR(A185+0,A185),tbl_Production[Job Number],0)))="","",INDEX(tbl_Production[Invoice Type],IFERROR(MATCH(A185&amp;"",tbl_Production[Job Number],0),MATCH(IFERROR(A185+0,A185),tbl_Production[Job Number],0)))),IFERROR(IF(INDEX(tbl_Consulting[Invoice Type],IFERROR(MATCH(A185&amp;"",tbl_Consulting[Job Number],0),MATCH(IFERROR(A185+0,A185),tbl_Consulting[Job Number],0)))="","",INDEX(tbl_Consulting[Invoice Type],IFERROR(MATCH(A185&amp;"",tbl_Consulting[Job Number],0),MATCH(IFERROR(A185+0,A185),tbl_Consulting[Job Number],0)))),""))))</f>
        <v/>
      </c>
      <c r="M185" s="26">
        <f>IF(A185="","",IF(IFERROR(IF(INDEX(tbl_Onsite[Tax Code],IFERROR(MATCH(A185&amp;"",tbl_Onsite[Job Number],0),MATCH(IFERROR(A185+0,A185),tbl_Onsite[Job Number],0)))="","",INDEX(tbl_Onsite[Tax Code],IFERROR(MATCH(A185&amp;"",tbl_Onsite[Job Number],0),MATCH(IFERROR(A185+0,A185),tbl_Onsite[Job Number],0)))),IFERROR(IF(INDEX(tbl_Production[Tax Code],IFERROR(MATCH(A185&amp;"",tbl_Production[Job Number],0),MATCH(IFERROR(A185+0,A185),tbl_Production[Job Number],0)))="","",INDEX(tbl_Production[Tax Code],IFERROR(MATCH(A185&amp;"",tbl_Production[Job Number],0),MATCH(IFERROR(A185+0,A185),tbl_Production[Job Number],0)))),IFERROR(IF(INDEX(tbl_Consulting[Tax Code],IFERROR(MATCH(A185&amp;"",tbl_Consulting[Job Number],0),MATCH(IFERROR(A185+0,A185),tbl_Consulting[Job Number],0)))="","",INDEX(tbl_Consulting[Tax Code],IFERROR(MATCH(A185&amp;"",tbl_Consulting[Job Number],0),MATCH(IFERROR(A185+0,A185),tbl_Consulting[Job Number],0)))),"")))="","GST 10%",IFERROR(IF(INDEX(tbl_Onsite[Tax Code],IFERROR(MATCH(A185&amp;"",tbl_Onsite[Job Number],0),MATCH(IFERROR(A185+0,A185),tbl_Onsite[Job Number],0)))="","",INDEX(tbl_Onsite[Tax Code],IFERROR(MATCH(A185&amp;"",tbl_Onsite[Job Number],0),MATCH(IFERROR(A185+0,A185),tbl_Onsite[Job Number],0)))),IFERROR(IF(INDEX(tbl_Production[Tax Code],IFERROR(MATCH(A185&amp;"",tbl_Production[Job Number],0),MATCH(IFERROR(A185+0,A185),tbl_Production[Job Number],0)))="","",INDEX(tbl_Production[Tax Code],IFERROR(MATCH(A185&amp;"",tbl_Production[Job Number],0),MATCH(IFERROR(A185+0,A185),tbl_Production[Job Number],0)))),IFERROR(IF(INDEX(tbl_Consulting[Tax Code],IFERROR(MATCH(A185&amp;"",tbl_Consulting[Job Number],0),MATCH(IFERROR(A185+0,A185),tbl_Consulting[Job Number],0)))="","",INDEX(tbl_Consulting[Tax Code],IFERROR(MATCH(A185&amp;"",tbl_Consulting[Job Number],0),MATCH(IFERROR(A185+0,A185),tbl_Consulting[Job Number],0)))),"")))))</f>
        <v/>
      </c>
      <c r="N185" s="26">
        <f>IF(D185="","",IFERROR(INDEX(lst_CCtoGL,MATCH(D185,lst_CCforGL,0)),""))</f>
        <v/>
      </c>
      <c r="O185" s="27">
        <f>IF(E185="","",IF(M185="GST 10%",ROUND(E185*set_GSTRate,2),0))</f>
        <v/>
      </c>
      <c r="P185" s="27">
        <f>IF(E185="","",E185+O185)</f>
        <v/>
      </c>
      <c r="Q185" s="27">
        <f>IF(A185="","",IFERROR(INDEX(tbl_Onsite[Expected Revenue Ex GST],IFERROR(MATCH(A185&amp;"",tbl_Onsite[Job Number],0),MATCH(IFERROR(A185+0,A185),tbl_Onsite[Job Number],0))),IFERROR(INDEX(tbl_Production[Expected Revenue Ex GST],IFERROR(MATCH(A185&amp;"",tbl_Production[Job Number],0),MATCH(IFERROR(A185+0,A185),tbl_Production[Job Number],0))),IFERROR(INDEX(tbl_Consulting[Expected Revenue Ex GST],IFERROR(MATCH(A185&amp;"",tbl_Consulting[Job Number],0),MATCH(IFERROR(A185+0,A185),tbl_Consulting[Job Number],0))),0))))</f>
        <v/>
      </c>
      <c r="R185" s="27">
        <f>IF(A185="","",SUMIFS(tbl_Finance[Ex GST],tbl_Finance[Job Number],A185&amp;""))</f>
        <v/>
      </c>
      <c r="S185" s="27">
        <f>IF(A185="","",Q185-R185)</f>
        <v/>
      </c>
      <c r="T185" s="26">
        <f>IF(A185="","",IF(Q185=0,"No dept value",IF(ROUND(S185,2)=0,"Agrees",IF(S185&gt;0,"Dept higher - to invoice","Xero higher - check dept"))))</f>
        <v/>
      </c>
      <c r="U185" s="22" t="n"/>
      <c r="V185" s="22" t="n"/>
      <c r="W185" s="23" t="n"/>
      <c r="X185" s="23" t="n"/>
      <c r="Y185" s="22" t="n"/>
      <c r="Z185" s="22" t="n"/>
      <c r="AA185" s="26">
        <f>IF(COUNTA(C185,A185,B185,E185)=0,"",IF(C185="","No date - sits outside every month",IF(A185="","No job number",IF(H185="CHECK","Job number is not in the Xero job list",IF(G185="not set up yet","No department has set this job up - nothing can pull through",IF(D185="","No cost centre",IF(AND(U185="Y",B185=""),"Marked posted to Xero but has no invoice number",IF(N185="","Cost centre has no revenue GL on the Lists sheet",IF(T185="Xero higher - check dept","Invoiced more than the department says the job is worth","")))))))))</f>
        <v/>
      </c>
      <c r="AB185" s="28">
        <f>IF(A185="","",COUNTIFS(tbl_Finance[Job Number],A185&amp;"",tbl_Finance[Ex GST],"&lt;&gt;"))</f>
        <v/>
      </c>
      <c r="AC185" s="27">
        <f>IF(A185="","",SUMIFS(tbl_Finance[Ex GST],tbl_Finance[Job Number],A185&amp;""))</f>
        <v/>
      </c>
      <c r="AD185" s="27">
        <f>IF(A185="","",SUMIFS(tbl_Finance[Ex GST],tbl_Finance[Job Number],A185&amp;"",tbl_Finance[Xero Invoice No],"&lt;&gt;"))</f>
        <v/>
      </c>
      <c r="AE185" s="27">
        <f>IF(A185="","",AC185-AD185)</f>
        <v/>
      </c>
      <c r="AF185" s="26">
        <f>IF(A185="","",IFERROR(IF(INDEX(tbl_Onsite[Qwilr Quote],IFERROR(MATCH(A185&amp;"",tbl_Onsite[Job Number],0),MATCH(IFERROR(A185+0,A185),tbl_Onsite[Job Number],0)))="","",INDEX(tbl_Onsite[Qwilr Quote],IFERROR(MATCH(A185&amp;"",tbl_Onsite[Job Number],0),MATCH(IFERROR(A185+0,A185),tbl_Onsite[Job Number],0)))),IFERROR(IF(IF(INDEX(tbl_Production[Current RMS No],IFERROR(MATCH(A185&amp;"",tbl_Production[Job Number],0),MATCH(IFERROR(A185+0,A185),tbl_Production[Job Number],0)))="",INDEX(tbl_Production[Qwilr Quote],IFERROR(MATCH(A185&amp;"",tbl_Production[Job Number],0),MATCH(IFERROR(A185+0,A185),tbl_Production[Job Number],0))),INDEX(tbl_Production[Current RMS No],IFERROR(MATCH(A185&amp;"",tbl_Production[Job Number],0),MATCH(IFERROR(A185+0,A185),tbl_Production[Job Number],0))))="","",IF(INDEX(tbl_Production[Current RMS No],IFERROR(MATCH(A185&amp;"",tbl_Production[Job Number],0),MATCH(IFERROR(A185+0,A185),tbl_Production[Job Number],0)))="",INDEX(tbl_Production[Qwilr Quote],IFERROR(MATCH(A185&amp;"",tbl_Production[Job Number],0),MATCH(IFERROR(A185+0,A185),tbl_Production[Job Number],0))),INDEX(tbl_Production[Current RMS No],IFERROR(MATCH(A185&amp;"",tbl_Production[Job Number],0),MATCH(IFERROR(A185+0,A185),tbl_Production[Job Number],0))))),IFERROR(IF(INDEX(tbl_Consulting[Qwilr Quote],IFERROR(MATCH(A185&amp;"",tbl_Consulting[Job Number],0),MATCH(IFERROR(A185+0,A185),tbl_Consulting[Job Number],0)))="","",INDEX(tbl_Consulting[Qwilr Quote],IFERROR(MATCH(A185&amp;"",tbl_Consulting[Job Number],0),MATCH(IFERROR(A185+0,A185),tbl_Consulting[Job Number],0)))),""))))</f>
        <v/>
      </c>
      <c r="AG185" s="26">
        <f>IF(AF185="","",IF(AND(LEFT(AF185,4)&lt;&gt;"http",IF(G185="Production",set_RMSBase,set_QwilrBase)=""),"",HYPERLINK(IF(LEFT(AF185,4)="http",AF185,IF(G185="Production",set_RMSBase,set_QwilrBase)&amp;AF185),"Open")))</f>
        <v/>
      </c>
      <c r="AH185" s="27">
        <f>IF(A185="","",IFERROR(INDEX(tbl_Production[Total Expense],IFERROR(MATCH(A185&amp;"",tbl_Production[Job Number],0),MATCH(IFERROR(A185+0,A185),tbl_Production[Job Number],0))),IFERROR(INDEX(tbl_Consulting[Total Expense],IFERROR(MATCH(A185&amp;"",tbl_Consulting[Job Number],0),MATCH(IFERROR(A185+0,A185),tbl_Consulting[Job Number],0))),0)))</f>
        <v/>
      </c>
      <c r="AI185" s="27">
        <f>IF(A185="","",AC185-N(AH185))</f>
        <v/>
      </c>
      <c r="AJ185" s="29">
        <f>IFERROR(AI185/AC185,"")</f>
        <v/>
      </c>
      <c r="AK185" s="26">
        <f>IF(A185="","",IFERROR(IF(INDEX(tbl_Onsite[Notes],IFERROR(MATCH(A185&amp;"",tbl_Onsite[Job Number],0),MATCH(IFERROR(A185+0,A185),tbl_Onsite[Job Number],0)))="","",INDEX(tbl_Onsite[Notes],IFERROR(MATCH(A185&amp;"",tbl_Onsite[Job Number],0),MATCH(IFERROR(A185+0,A185),tbl_Onsite[Job Number],0)))),IFERROR(IF(INDEX(tbl_Production[Notes],IFERROR(MATCH(A185&amp;"",tbl_Production[Job Number],0),MATCH(IFERROR(A185+0,A185),tbl_Production[Job Number],0)))="","",INDEX(tbl_Production[Notes],IFERROR(MATCH(A185&amp;"",tbl_Production[Job Number],0),MATCH(IFERROR(A185+0,A185),tbl_Production[Job Number],0)))),IFERROR(IF(INDEX(tbl_Consulting[Notes],IFERROR(MATCH(A185&amp;"",tbl_Consulting[Job Number],0),MATCH(IFERROR(A185+0,A185),tbl_Consulting[Job Number],0)))="","",INDEX(tbl_Consulting[Notes],IFERROR(MATCH(A185&amp;"",tbl_Consulting[Job Number],0),MATCH(IFERROR(A185+0,A185),tbl_Consulting[Job Number],0)))),""))))</f>
        <v/>
      </c>
    </row>
    <row r="186" ht="15" customHeight="1">
      <c r="A186" s="22" t="n"/>
      <c r="B186" s="22" t="n"/>
      <c r="C186" s="23" t="n"/>
      <c r="D186" s="22" t="n"/>
      <c r="E186" s="24" t="n"/>
      <c r="F186" s="25">
        <f>IF(C186="","",EOMONTH(C186,0))</f>
        <v/>
      </c>
      <c r="G186" s="26">
        <f>IF(A186="","",IF(COUNTIF(tbl_Onsite[Job Number],A186&amp;"")&gt;0,"Onsite",IF(COUNTIF(tbl_Production[Job Number],A186&amp;"")&gt;0,"Production",IF(COUNTIF(tbl_Consulting[Job Number],A186&amp;"")&gt;0,"Consulting","not set up yet"))))</f>
        <v/>
      </c>
      <c r="H186" s="26">
        <f>IF(A186="","",IF(COUNTIF(lst_Jobs,A186&amp;"")&gt;0,"OK","CHECK"))</f>
        <v/>
      </c>
      <c r="I186" s="26">
        <f>IF(A186="","",IFERROR(INDEX(lst_JobName,MATCH(A186&amp;"",lst_Jobs,0)),""))</f>
        <v/>
      </c>
      <c r="J186" s="26">
        <f>IF(A186="","",IFERROR(IF(INDEX(tbl_Onsite[Client],IFERROR(MATCH(A186&amp;"",tbl_Onsite[Job Number],0),MATCH(IFERROR(A186+0,A186),tbl_Onsite[Job Number],0)))="","",INDEX(tbl_Onsite[Client],IFERROR(MATCH(A186&amp;"",tbl_Onsite[Job Number],0),MATCH(IFERROR(A186+0,A186),tbl_Onsite[Job Number],0)))),IFERROR(IF(INDEX(tbl_Production[Client],IFERROR(MATCH(A186&amp;"",tbl_Production[Job Number],0),MATCH(IFERROR(A186+0,A186),tbl_Production[Job Number],0)))="","",INDEX(tbl_Production[Client],IFERROR(MATCH(A186&amp;"",tbl_Production[Job Number],0),MATCH(IFERROR(A186+0,A186),tbl_Production[Job Number],0)))),IFERROR(IF(INDEX(tbl_Consulting[Client],IFERROR(MATCH(A186&amp;"",tbl_Consulting[Job Number],0),MATCH(IFERROR(A186+0,A186),tbl_Consulting[Job Number],0)))="","",INDEX(tbl_Consulting[Client],IFERROR(MATCH(A186&amp;"",tbl_Consulting[Job Number],0),MATCH(IFERROR(A186+0,A186),tbl_Consulting[Job Number],0)))),""))))</f>
        <v/>
      </c>
      <c r="K186" s="26">
        <f>IF(A186="","",IFERROR(IF(INDEX(tbl_Onsite[Job Description],IFERROR(MATCH(A186&amp;"",tbl_Onsite[Job Number],0),MATCH(IFERROR(A186+0,A186),tbl_Onsite[Job Number],0)))="","",INDEX(tbl_Onsite[Job Description],IFERROR(MATCH(A186&amp;"",tbl_Onsite[Job Number],0),MATCH(IFERROR(A186+0,A186),tbl_Onsite[Job Number],0)))),IFERROR(IF(INDEX(tbl_Production[Job Description],IFERROR(MATCH(A186&amp;"",tbl_Production[Job Number],0),MATCH(IFERROR(A186+0,A186),tbl_Production[Job Number],0)))="","",INDEX(tbl_Production[Job Description],IFERROR(MATCH(A186&amp;"",tbl_Production[Job Number],0),MATCH(IFERROR(A186+0,A186),tbl_Production[Job Number],0)))),IFERROR(IF(INDEX(tbl_Consulting[Job Description],IFERROR(MATCH(A186&amp;"",tbl_Consulting[Job Number],0),MATCH(IFERROR(A186+0,A186),tbl_Consulting[Job Number],0)))="","",INDEX(tbl_Consulting[Job Description],IFERROR(MATCH(A186&amp;"",tbl_Consulting[Job Number],0),MATCH(IFERROR(A186+0,A186),tbl_Consulting[Job Number],0)))),""))))</f>
        <v/>
      </c>
      <c r="L186" s="26">
        <f>IF(A186="","",IFERROR(IF(INDEX(tbl_Onsite[Invoice Type],IFERROR(MATCH(A186&amp;"",tbl_Onsite[Job Number],0),MATCH(IFERROR(A186+0,A186),tbl_Onsite[Job Number],0)))="","",INDEX(tbl_Onsite[Invoice Type],IFERROR(MATCH(A186&amp;"",tbl_Onsite[Job Number],0),MATCH(IFERROR(A186+0,A186),tbl_Onsite[Job Number],0)))),IFERROR(IF(INDEX(tbl_Production[Invoice Type],IFERROR(MATCH(A186&amp;"",tbl_Production[Job Number],0),MATCH(IFERROR(A186+0,A186),tbl_Production[Job Number],0)))="","",INDEX(tbl_Production[Invoice Type],IFERROR(MATCH(A186&amp;"",tbl_Production[Job Number],0),MATCH(IFERROR(A186+0,A186),tbl_Production[Job Number],0)))),IFERROR(IF(INDEX(tbl_Consulting[Invoice Type],IFERROR(MATCH(A186&amp;"",tbl_Consulting[Job Number],0),MATCH(IFERROR(A186+0,A186),tbl_Consulting[Job Number],0)))="","",INDEX(tbl_Consulting[Invoice Type],IFERROR(MATCH(A186&amp;"",tbl_Consulting[Job Number],0),MATCH(IFERROR(A186+0,A186),tbl_Consulting[Job Number],0)))),""))))</f>
        <v/>
      </c>
      <c r="M186" s="26">
        <f>IF(A186="","",IF(IFERROR(IF(INDEX(tbl_Onsite[Tax Code],IFERROR(MATCH(A186&amp;"",tbl_Onsite[Job Number],0),MATCH(IFERROR(A186+0,A186),tbl_Onsite[Job Number],0)))="","",INDEX(tbl_Onsite[Tax Code],IFERROR(MATCH(A186&amp;"",tbl_Onsite[Job Number],0),MATCH(IFERROR(A186+0,A186),tbl_Onsite[Job Number],0)))),IFERROR(IF(INDEX(tbl_Production[Tax Code],IFERROR(MATCH(A186&amp;"",tbl_Production[Job Number],0),MATCH(IFERROR(A186+0,A186),tbl_Production[Job Number],0)))="","",INDEX(tbl_Production[Tax Code],IFERROR(MATCH(A186&amp;"",tbl_Production[Job Number],0),MATCH(IFERROR(A186+0,A186),tbl_Production[Job Number],0)))),IFERROR(IF(INDEX(tbl_Consulting[Tax Code],IFERROR(MATCH(A186&amp;"",tbl_Consulting[Job Number],0),MATCH(IFERROR(A186+0,A186),tbl_Consulting[Job Number],0)))="","",INDEX(tbl_Consulting[Tax Code],IFERROR(MATCH(A186&amp;"",tbl_Consulting[Job Number],0),MATCH(IFERROR(A186+0,A186),tbl_Consulting[Job Number],0)))),"")))="","GST 10%",IFERROR(IF(INDEX(tbl_Onsite[Tax Code],IFERROR(MATCH(A186&amp;"",tbl_Onsite[Job Number],0),MATCH(IFERROR(A186+0,A186),tbl_Onsite[Job Number],0)))="","",INDEX(tbl_Onsite[Tax Code],IFERROR(MATCH(A186&amp;"",tbl_Onsite[Job Number],0),MATCH(IFERROR(A186+0,A186),tbl_Onsite[Job Number],0)))),IFERROR(IF(INDEX(tbl_Production[Tax Code],IFERROR(MATCH(A186&amp;"",tbl_Production[Job Number],0),MATCH(IFERROR(A186+0,A186),tbl_Production[Job Number],0)))="","",INDEX(tbl_Production[Tax Code],IFERROR(MATCH(A186&amp;"",tbl_Production[Job Number],0),MATCH(IFERROR(A186+0,A186),tbl_Production[Job Number],0)))),IFERROR(IF(INDEX(tbl_Consulting[Tax Code],IFERROR(MATCH(A186&amp;"",tbl_Consulting[Job Number],0),MATCH(IFERROR(A186+0,A186),tbl_Consulting[Job Number],0)))="","",INDEX(tbl_Consulting[Tax Code],IFERROR(MATCH(A186&amp;"",tbl_Consulting[Job Number],0),MATCH(IFERROR(A186+0,A186),tbl_Consulting[Job Number],0)))),"")))))</f>
        <v/>
      </c>
      <c r="N186" s="26">
        <f>IF(D186="","",IFERROR(INDEX(lst_CCtoGL,MATCH(D186,lst_CCforGL,0)),""))</f>
        <v/>
      </c>
      <c r="O186" s="27">
        <f>IF(E186="","",IF(M186="GST 10%",ROUND(E186*set_GSTRate,2),0))</f>
        <v/>
      </c>
      <c r="P186" s="27">
        <f>IF(E186="","",E186+O186)</f>
        <v/>
      </c>
      <c r="Q186" s="27">
        <f>IF(A186="","",IFERROR(INDEX(tbl_Onsite[Expected Revenue Ex GST],IFERROR(MATCH(A186&amp;"",tbl_Onsite[Job Number],0),MATCH(IFERROR(A186+0,A186),tbl_Onsite[Job Number],0))),IFERROR(INDEX(tbl_Production[Expected Revenue Ex GST],IFERROR(MATCH(A186&amp;"",tbl_Production[Job Number],0),MATCH(IFERROR(A186+0,A186),tbl_Production[Job Number],0))),IFERROR(INDEX(tbl_Consulting[Expected Revenue Ex GST],IFERROR(MATCH(A186&amp;"",tbl_Consulting[Job Number],0),MATCH(IFERROR(A186+0,A186),tbl_Consulting[Job Number],0))),0))))</f>
        <v/>
      </c>
      <c r="R186" s="27">
        <f>IF(A186="","",SUMIFS(tbl_Finance[Ex GST],tbl_Finance[Job Number],A186&amp;""))</f>
        <v/>
      </c>
      <c r="S186" s="27">
        <f>IF(A186="","",Q186-R186)</f>
        <v/>
      </c>
      <c r="T186" s="26">
        <f>IF(A186="","",IF(Q186=0,"No dept value",IF(ROUND(S186,2)=0,"Agrees",IF(S186&gt;0,"Dept higher - to invoice","Xero higher - check dept"))))</f>
        <v/>
      </c>
      <c r="U186" s="22" t="n"/>
      <c r="V186" s="22" t="n"/>
      <c r="W186" s="23" t="n"/>
      <c r="X186" s="23" t="n"/>
      <c r="Y186" s="22" t="n"/>
      <c r="Z186" s="22" t="n"/>
      <c r="AA186" s="26">
        <f>IF(COUNTA(C186,A186,B186,E186)=0,"",IF(C186="","No date - sits outside every month",IF(A186="","No job number",IF(H186="CHECK","Job number is not in the Xero job list",IF(G186="not set up yet","No department has set this job up - nothing can pull through",IF(D186="","No cost centre",IF(AND(U186="Y",B186=""),"Marked posted to Xero but has no invoice number",IF(N186="","Cost centre has no revenue GL on the Lists sheet",IF(T186="Xero higher - check dept","Invoiced more than the department says the job is worth","")))))))))</f>
        <v/>
      </c>
      <c r="AB186" s="28">
        <f>IF(A186="","",COUNTIFS(tbl_Finance[Job Number],A186&amp;"",tbl_Finance[Ex GST],"&lt;&gt;"))</f>
        <v/>
      </c>
      <c r="AC186" s="27">
        <f>IF(A186="","",SUMIFS(tbl_Finance[Ex GST],tbl_Finance[Job Number],A186&amp;""))</f>
        <v/>
      </c>
      <c r="AD186" s="27">
        <f>IF(A186="","",SUMIFS(tbl_Finance[Ex GST],tbl_Finance[Job Number],A186&amp;"",tbl_Finance[Xero Invoice No],"&lt;&gt;"))</f>
        <v/>
      </c>
      <c r="AE186" s="27">
        <f>IF(A186="","",AC186-AD186)</f>
        <v/>
      </c>
      <c r="AF186" s="26">
        <f>IF(A186="","",IFERROR(IF(INDEX(tbl_Onsite[Qwilr Quote],IFERROR(MATCH(A186&amp;"",tbl_Onsite[Job Number],0),MATCH(IFERROR(A186+0,A186),tbl_Onsite[Job Number],0)))="","",INDEX(tbl_Onsite[Qwilr Quote],IFERROR(MATCH(A186&amp;"",tbl_Onsite[Job Number],0),MATCH(IFERROR(A186+0,A186),tbl_Onsite[Job Number],0)))),IFERROR(IF(IF(INDEX(tbl_Production[Current RMS No],IFERROR(MATCH(A186&amp;"",tbl_Production[Job Number],0),MATCH(IFERROR(A186+0,A186),tbl_Production[Job Number],0)))="",INDEX(tbl_Production[Qwilr Quote],IFERROR(MATCH(A186&amp;"",tbl_Production[Job Number],0),MATCH(IFERROR(A186+0,A186),tbl_Production[Job Number],0))),INDEX(tbl_Production[Current RMS No],IFERROR(MATCH(A186&amp;"",tbl_Production[Job Number],0),MATCH(IFERROR(A186+0,A186),tbl_Production[Job Number],0))))="","",IF(INDEX(tbl_Production[Current RMS No],IFERROR(MATCH(A186&amp;"",tbl_Production[Job Number],0),MATCH(IFERROR(A186+0,A186),tbl_Production[Job Number],0)))="",INDEX(tbl_Production[Qwilr Quote],IFERROR(MATCH(A186&amp;"",tbl_Production[Job Number],0),MATCH(IFERROR(A186+0,A186),tbl_Production[Job Number],0))),INDEX(tbl_Production[Current RMS No],IFERROR(MATCH(A186&amp;"",tbl_Production[Job Number],0),MATCH(IFERROR(A186+0,A186),tbl_Production[Job Number],0))))),IFERROR(IF(INDEX(tbl_Consulting[Qwilr Quote],IFERROR(MATCH(A186&amp;"",tbl_Consulting[Job Number],0),MATCH(IFERROR(A186+0,A186),tbl_Consulting[Job Number],0)))="","",INDEX(tbl_Consulting[Qwilr Quote],IFERROR(MATCH(A186&amp;"",tbl_Consulting[Job Number],0),MATCH(IFERROR(A186+0,A186),tbl_Consulting[Job Number],0)))),""))))</f>
        <v/>
      </c>
      <c r="AG186" s="26">
        <f>IF(AF186="","",IF(AND(LEFT(AF186,4)&lt;&gt;"http",IF(G186="Production",set_RMSBase,set_QwilrBase)=""),"",HYPERLINK(IF(LEFT(AF186,4)="http",AF186,IF(G186="Production",set_RMSBase,set_QwilrBase)&amp;AF186),"Open")))</f>
        <v/>
      </c>
      <c r="AH186" s="27">
        <f>IF(A186="","",IFERROR(INDEX(tbl_Production[Total Expense],IFERROR(MATCH(A186&amp;"",tbl_Production[Job Number],0),MATCH(IFERROR(A186+0,A186),tbl_Production[Job Number],0))),IFERROR(INDEX(tbl_Consulting[Total Expense],IFERROR(MATCH(A186&amp;"",tbl_Consulting[Job Number],0),MATCH(IFERROR(A186+0,A186),tbl_Consulting[Job Number],0))),0)))</f>
        <v/>
      </c>
      <c r="AI186" s="27">
        <f>IF(A186="","",AC186-N(AH186))</f>
        <v/>
      </c>
      <c r="AJ186" s="29">
        <f>IFERROR(AI186/AC186,"")</f>
        <v/>
      </c>
      <c r="AK186" s="26">
        <f>IF(A186="","",IFERROR(IF(INDEX(tbl_Onsite[Notes],IFERROR(MATCH(A186&amp;"",tbl_Onsite[Job Number],0),MATCH(IFERROR(A186+0,A186),tbl_Onsite[Job Number],0)))="","",INDEX(tbl_Onsite[Notes],IFERROR(MATCH(A186&amp;"",tbl_Onsite[Job Number],0),MATCH(IFERROR(A186+0,A186),tbl_Onsite[Job Number],0)))),IFERROR(IF(INDEX(tbl_Production[Notes],IFERROR(MATCH(A186&amp;"",tbl_Production[Job Number],0),MATCH(IFERROR(A186+0,A186),tbl_Production[Job Number],0)))="","",INDEX(tbl_Production[Notes],IFERROR(MATCH(A186&amp;"",tbl_Production[Job Number],0),MATCH(IFERROR(A186+0,A186),tbl_Production[Job Number],0)))),IFERROR(IF(INDEX(tbl_Consulting[Notes],IFERROR(MATCH(A186&amp;"",tbl_Consulting[Job Number],0),MATCH(IFERROR(A186+0,A186),tbl_Consulting[Job Number],0)))="","",INDEX(tbl_Consulting[Notes],IFERROR(MATCH(A186&amp;"",tbl_Consulting[Job Number],0),MATCH(IFERROR(A186+0,A186),tbl_Consulting[Job Number],0)))),""))))</f>
        <v/>
      </c>
    </row>
    <row r="187" ht="15" customHeight="1">
      <c r="A187" s="22" t="n"/>
      <c r="B187" s="22" t="n"/>
      <c r="C187" s="23" t="n"/>
      <c r="D187" s="22" t="n"/>
      <c r="E187" s="24" t="n"/>
      <c r="F187" s="25">
        <f>IF(C187="","",EOMONTH(C187,0))</f>
        <v/>
      </c>
      <c r="G187" s="26">
        <f>IF(A187="","",IF(COUNTIF(tbl_Onsite[Job Number],A187&amp;"")&gt;0,"Onsite",IF(COUNTIF(tbl_Production[Job Number],A187&amp;"")&gt;0,"Production",IF(COUNTIF(tbl_Consulting[Job Number],A187&amp;"")&gt;0,"Consulting","not set up yet"))))</f>
        <v/>
      </c>
      <c r="H187" s="26">
        <f>IF(A187="","",IF(COUNTIF(lst_Jobs,A187&amp;"")&gt;0,"OK","CHECK"))</f>
        <v/>
      </c>
      <c r="I187" s="26">
        <f>IF(A187="","",IFERROR(INDEX(lst_JobName,MATCH(A187&amp;"",lst_Jobs,0)),""))</f>
        <v/>
      </c>
      <c r="J187" s="26">
        <f>IF(A187="","",IFERROR(IF(INDEX(tbl_Onsite[Client],IFERROR(MATCH(A187&amp;"",tbl_Onsite[Job Number],0),MATCH(IFERROR(A187+0,A187),tbl_Onsite[Job Number],0)))="","",INDEX(tbl_Onsite[Client],IFERROR(MATCH(A187&amp;"",tbl_Onsite[Job Number],0),MATCH(IFERROR(A187+0,A187),tbl_Onsite[Job Number],0)))),IFERROR(IF(INDEX(tbl_Production[Client],IFERROR(MATCH(A187&amp;"",tbl_Production[Job Number],0),MATCH(IFERROR(A187+0,A187),tbl_Production[Job Number],0)))="","",INDEX(tbl_Production[Client],IFERROR(MATCH(A187&amp;"",tbl_Production[Job Number],0),MATCH(IFERROR(A187+0,A187),tbl_Production[Job Number],0)))),IFERROR(IF(INDEX(tbl_Consulting[Client],IFERROR(MATCH(A187&amp;"",tbl_Consulting[Job Number],0),MATCH(IFERROR(A187+0,A187),tbl_Consulting[Job Number],0)))="","",INDEX(tbl_Consulting[Client],IFERROR(MATCH(A187&amp;"",tbl_Consulting[Job Number],0),MATCH(IFERROR(A187+0,A187),tbl_Consulting[Job Number],0)))),""))))</f>
        <v/>
      </c>
      <c r="K187" s="26">
        <f>IF(A187="","",IFERROR(IF(INDEX(tbl_Onsite[Job Description],IFERROR(MATCH(A187&amp;"",tbl_Onsite[Job Number],0),MATCH(IFERROR(A187+0,A187),tbl_Onsite[Job Number],0)))="","",INDEX(tbl_Onsite[Job Description],IFERROR(MATCH(A187&amp;"",tbl_Onsite[Job Number],0),MATCH(IFERROR(A187+0,A187),tbl_Onsite[Job Number],0)))),IFERROR(IF(INDEX(tbl_Production[Job Description],IFERROR(MATCH(A187&amp;"",tbl_Production[Job Number],0),MATCH(IFERROR(A187+0,A187),tbl_Production[Job Number],0)))="","",INDEX(tbl_Production[Job Description],IFERROR(MATCH(A187&amp;"",tbl_Production[Job Number],0),MATCH(IFERROR(A187+0,A187),tbl_Production[Job Number],0)))),IFERROR(IF(INDEX(tbl_Consulting[Job Description],IFERROR(MATCH(A187&amp;"",tbl_Consulting[Job Number],0),MATCH(IFERROR(A187+0,A187),tbl_Consulting[Job Number],0)))="","",INDEX(tbl_Consulting[Job Description],IFERROR(MATCH(A187&amp;"",tbl_Consulting[Job Number],0),MATCH(IFERROR(A187+0,A187),tbl_Consulting[Job Number],0)))),""))))</f>
        <v/>
      </c>
      <c r="L187" s="26">
        <f>IF(A187="","",IFERROR(IF(INDEX(tbl_Onsite[Invoice Type],IFERROR(MATCH(A187&amp;"",tbl_Onsite[Job Number],0),MATCH(IFERROR(A187+0,A187),tbl_Onsite[Job Number],0)))="","",INDEX(tbl_Onsite[Invoice Type],IFERROR(MATCH(A187&amp;"",tbl_Onsite[Job Number],0),MATCH(IFERROR(A187+0,A187),tbl_Onsite[Job Number],0)))),IFERROR(IF(INDEX(tbl_Production[Invoice Type],IFERROR(MATCH(A187&amp;"",tbl_Production[Job Number],0),MATCH(IFERROR(A187+0,A187),tbl_Production[Job Number],0)))="","",INDEX(tbl_Production[Invoice Type],IFERROR(MATCH(A187&amp;"",tbl_Production[Job Number],0),MATCH(IFERROR(A187+0,A187),tbl_Production[Job Number],0)))),IFERROR(IF(INDEX(tbl_Consulting[Invoice Type],IFERROR(MATCH(A187&amp;"",tbl_Consulting[Job Number],0),MATCH(IFERROR(A187+0,A187),tbl_Consulting[Job Number],0)))="","",INDEX(tbl_Consulting[Invoice Type],IFERROR(MATCH(A187&amp;"",tbl_Consulting[Job Number],0),MATCH(IFERROR(A187+0,A187),tbl_Consulting[Job Number],0)))),""))))</f>
        <v/>
      </c>
      <c r="M187" s="26">
        <f>IF(A187="","",IF(IFERROR(IF(INDEX(tbl_Onsite[Tax Code],IFERROR(MATCH(A187&amp;"",tbl_Onsite[Job Number],0),MATCH(IFERROR(A187+0,A187),tbl_Onsite[Job Number],0)))="","",INDEX(tbl_Onsite[Tax Code],IFERROR(MATCH(A187&amp;"",tbl_Onsite[Job Number],0),MATCH(IFERROR(A187+0,A187),tbl_Onsite[Job Number],0)))),IFERROR(IF(INDEX(tbl_Production[Tax Code],IFERROR(MATCH(A187&amp;"",tbl_Production[Job Number],0),MATCH(IFERROR(A187+0,A187),tbl_Production[Job Number],0)))="","",INDEX(tbl_Production[Tax Code],IFERROR(MATCH(A187&amp;"",tbl_Production[Job Number],0),MATCH(IFERROR(A187+0,A187),tbl_Production[Job Number],0)))),IFERROR(IF(INDEX(tbl_Consulting[Tax Code],IFERROR(MATCH(A187&amp;"",tbl_Consulting[Job Number],0),MATCH(IFERROR(A187+0,A187),tbl_Consulting[Job Number],0)))="","",INDEX(tbl_Consulting[Tax Code],IFERROR(MATCH(A187&amp;"",tbl_Consulting[Job Number],0),MATCH(IFERROR(A187+0,A187),tbl_Consulting[Job Number],0)))),"")))="","GST 10%",IFERROR(IF(INDEX(tbl_Onsite[Tax Code],IFERROR(MATCH(A187&amp;"",tbl_Onsite[Job Number],0),MATCH(IFERROR(A187+0,A187),tbl_Onsite[Job Number],0)))="","",INDEX(tbl_Onsite[Tax Code],IFERROR(MATCH(A187&amp;"",tbl_Onsite[Job Number],0),MATCH(IFERROR(A187+0,A187),tbl_Onsite[Job Number],0)))),IFERROR(IF(INDEX(tbl_Production[Tax Code],IFERROR(MATCH(A187&amp;"",tbl_Production[Job Number],0),MATCH(IFERROR(A187+0,A187),tbl_Production[Job Number],0)))="","",INDEX(tbl_Production[Tax Code],IFERROR(MATCH(A187&amp;"",tbl_Production[Job Number],0),MATCH(IFERROR(A187+0,A187),tbl_Production[Job Number],0)))),IFERROR(IF(INDEX(tbl_Consulting[Tax Code],IFERROR(MATCH(A187&amp;"",tbl_Consulting[Job Number],0),MATCH(IFERROR(A187+0,A187),tbl_Consulting[Job Number],0)))="","",INDEX(tbl_Consulting[Tax Code],IFERROR(MATCH(A187&amp;"",tbl_Consulting[Job Number],0),MATCH(IFERROR(A187+0,A187),tbl_Consulting[Job Number],0)))),"")))))</f>
        <v/>
      </c>
      <c r="N187" s="26">
        <f>IF(D187="","",IFERROR(INDEX(lst_CCtoGL,MATCH(D187,lst_CCforGL,0)),""))</f>
        <v/>
      </c>
      <c r="O187" s="27">
        <f>IF(E187="","",IF(M187="GST 10%",ROUND(E187*set_GSTRate,2),0))</f>
        <v/>
      </c>
      <c r="P187" s="27">
        <f>IF(E187="","",E187+O187)</f>
        <v/>
      </c>
      <c r="Q187" s="27">
        <f>IF(A187="","",IFERROR(INDEX(tbl_Onsite[Expected Revenue Ex GST],IFERROR(MATCH(A187&amp;"",tbl_Onsite[Job Number],0),MATCH(IFERROR(A187+0,A187),tbl_Onsite[Job Number],0))),IFERROR(INDEX(tbl_Production[Expected Revenue Ex GST],IFERROR(MATCH(A187&amp;"",tbl_Production[Job Number],0),MATCH(IFERROR(A187+0,A187),tbl_Production[Job Number],0))),IFERROR(INDEX(tbl_Consulting[Expected Revenue Ex GST],IFERROR(MATCH(A187&amp;"",tbl_Consulting[Job Number],0),MATCH(IFERROR(A187+0,A187),tbl_Consulting[Job Number],0))),0))))</f>
        <v/>
      </c>
      <c r="R187" s="27">
        <f>IF(A187="","",SUMIFS(tbl_Finance[Ex GST],tbl_Finance[Job Number],A187&amp;""))</f>
        <v/>
      </c>
      <c r="S187" s="27">
        <f>IF(A187="","",Q187-R187)</f>
        <v/>
      </c>
      <c r="T187" s="26">
        <f>IF(A187="","",IF(Q187=0,"No dept value",IF(ROUND(S187,2)=0,"Agrees",IF(S187&gt;0,"Dept higher - to invoice","Xero higher - check dept"))))</f>
        <v/>
      </c>
      <c r="U187" s="22" t="n"/>
      <c r="V187" s="22" t="n"/>
      <c r="W187" s="23" t="n"/>
      <c r="X187" s="23" t="n"/>
      <c r="Y187" s="22" t="n"/>
      <c r="Z187" s="22" t="n"/>
      <c r="AA187" s="26">
        <f>IF(COUNTA(C187,A187,B187,E187)=0,"",IF(C187="","No date - sits outside every month",IF(A187="","No job number",IF(H187="CHECK","Job number is not in the Xero job list",IF(G187="not set up yet","No department has set this job up - nothing can pull through",IF(D187="","No cost centre",IF(AND(U187="Y",B187=""),"Marked posted to Xero but has no invoice number",IF(N187="","Cost centre has no revenue GL on the Lists sheet",IF(T187="Xero higher - check dept","Invoiced more than the department says the job is worth","")))))))))</f>
        <v/>
      </c>
      <c r="AB187" s="28">
        <f>IF(A187="","",COUNTIFS(tbl_Finance[Job Number],A187&amp;"",tbl_Finance[Ex GST],"&lt;&gt;"))</f>
        <v/>
      </c>
      <c r="AC187" s="27">
        <f>IF(A187="","",SUMIFS(tbl_Finance[Ex GST],tbl_Finance[Job Number],A187&amp;""))</f>
        <v/>
      </c>
      <c r="AD187" s="27">
        <f>IF(A187="","",SUMIFS(tbl_Finance[Ex GST],tbl_Finance[Job Number],A187&amp;"",tbl_Finance[Xero Invoice No],"&lt;&gt;"))</f>
        <v/>
      </c>
      <c r="AE187" s="27">
        <f>IF(A187="","",AC187-AD187)</f>
        <v/>
      </c>
      <c r="AF187" s="26">
        <f>IF(A187="","",IFERROR(IF(INDEX(tbl_Onsite[Qwilr Quote],IFERROR(MATCH(A187&amp;"",tbl_Onsite[Job Number],0),MATCH(IFERROR(A187+0,A187),tbl_Onsite[Job Number],0)))="","",INDEX(tbl_Onsite[Qwilr Quote],IFERROR(MATCH(A187&amp;"",tbl_Onsite[Job Number],0),MATCH(IFERROR(A187+0,A187),tbl_Onsite[Job Number],0)))),IFERROR(IF(IF(INDEX(tbl_Production[Current RMS No],IFERROR(MATCH(A187&amp;"",tbl_Production[Job Number],0),MATCH(IFERROR(A187+0,A187),tbl_Production[Job Number],0)))="",INDEX(tbl_Production[Qwilr Quote],IFERROR(MATCH(A187&amp;"",tbl_Production[Job Number],0),MATCH(IFERROR(A187+0,A187),tbl_Production[Job Number],0))),INDEX(tbl_Production[Current RMS No],IFERROR(MATCH(A187&amp;"",tbl_Production[Job Number],0),MATCH(IFERROR(A187+0,A187),tbl_Production[Job Number],0))))="","",IF(INDEX(tbl_Production[Current RMS No],IFERROR(MATCH(A187&amp;"",tbl_Production[Job Number],0),MATCH(IFERROR(A187+0,A187),tbl_Production[Job Number],0)))="",INDEX(tbl_Production[Qwilr Quote],IFERROR(MATCH(A187&amp;"",tbl_Production[Job Number],0),MATCH(IFERROR(A187+0,A187),tbl_Production[Job Number],0))),INDEX(tbl_Production[Current RMS No],IFERROR(MATCH(A187&amp;"",tbl_Production[Job Number],0),MATCH(IFERROR(A187+0,A187),tbl_Production[Job Number],0))))),IFERROR(IF(INDEX(tbl_Consulting[Qwilr Quote],IFERROR(MATCH(A187&amp;"",tbl_Consulting[Job Number],0),MATCH(IFERROR(A187+0,A187),tbl_Consulting[Job Number],0)))="","",INDEX(tbl_Consulting[Qwilr Quote],IFERROR(MATCH(A187&amp;"",tbl_Consulting[Job Number],0),MATCH(IFERROR(A187+0,A187),tbl_Consulting[Job Number],0)))),""))))</f>
        <v/>
      </c>
      <c r="AG187" s="26">
        <f>IF(AF187="","",IF(AND(LEFT(AF187,4)&lt;&gt;"http",IF(G187="Production",set_RMSBase,set_QwilrBase)=""),"",HYPERLINK(IF(LEFT(AF187,4)="http",AF187,IF(G187="Production",set_RMSBase,set_QwilrBase)&amp;AF187),"Open")))</f>
        <v/>
      </c>
      <c r="AH187" s="27">
        <f>IF(A187="","",IFERROR(INDEX(tbl_Production[Total Expense],IFERROR(MATCH(A187&amp;"",tbl_Production[Job Number],0),MATCH(IFERROR(A187+0,A187),tbl_Production[Job Number],0))),IFERROR(INDEX(tbl_Consulting[Total Expense],IFERROR(MATCH(A187&amp;"",tbl_Consulting[Job Number],0),MATCH(IFERROR(A187+0,A187),tbl_Consulting[Job Number],0))),0)))</f>
        <v/>
      </c>
      <c r="AI187" s="27">
        <f>IF(A187="","",AC187-N(AH187))</f>
        <v/>
      </c>
      <c r="AJ187" s="29">
        <f>IFERROR(AI187/AC187,"")</f>
        <v/>
      </c>
      <c r="AK187" s="26">
        <f>IF(A187="","",IFERROR(IF(INDEX(tbl_Onsite[Notes],IFERROR(MATCH(A187&amp;"",tbl_Onsite[Job Number],0),MATCH(IFERROR(A187+0,A187),tbl_Onsite[Job Number],0)))="","",INDEX(tbl_Onsite[Notes],IFERROR(MATCH(A187&amp;"",tbl_Onsite[Job Number],0),MATCH(IFERROR(A187+0,A187),tbl_Onsite[Job Number],0)))),IFERROR(IF(INDEX(tbl_Production[Notes],IFERROR(MATCH(A187&amp;"",tbl_Production[Job Number],0),MATCH(IFERROR(A187+0,A187),tbl_Production[Job Number],0)))="","",INDEX(tbl_Production[Notes],IFERROR(MATCH(A187&amp;"",tbl_Production[Job Number],0),MATCH(IFERROR(A187+0,A187),tbl_Production[Job Number],0)))),IFERROR(IF(INDEX(tbl_Consulting[Notes],IFERROR(MATCH(A187&amp;"",tbl_Consulting[Job Number],0),MATCH(IFERROR(A187+0,A187),tbl_Consulting[Job Number],0)))="","",INDEX(tbl_Consulting[Notes],IFERROR(MATCH(A187&amp;"",tbl_Consulting[Job Number],0),MATCH(IFERROR(A187+0,A187),tbl_Consulting[Job Number],0)))),""))))</f>
        <v/>
      </c>
    </row>
    <row r="188" ht="15" customHeight="1">
      <c r="A188" s="22" t="n"/>
      <c r="B188" s="22" t="n"/>
      <c r="C188" s="23" t="n"/>
      <c r="D188" s="22" t="n"/>
      <c r="E188" s="24" t="n"/>
      <c r="F188" s="25">
        <f>IF(C188="","",EOMONTH(C188,0))</f>
        <v/>
      </c>
      <c r="G188" s="26">
        <f>IF(A188="","",IF(COUNTIF(tbl_Onsite[Job Number],A188&amp;"")&gt;0,"Onsite",IF(COUNTIF(tbl_Production[Job Number],A188&amp;"")&gt;0,"Production",IF(COUNTIF(tbl_Consulting[Job Number],A188&amp;"")&gt;0,"Consulting","not set up yet"))))</f>
        <v/>
      </c>
      <c r="H188" s="26">
        <f>IF(A188="","",IF(COUNTIF(lst_Jobs,A188&amp;"")&gt;0,"OK","CHECK"))</f>
        <v/>
      </c>
      <c r="I188" s="26">
        <f>IF(A188="","",IFERROR(INDEX(lst_JobName,MATCH(A188&amp;"",lst_Jobs,0)),""))</f>
        <v/>
      </c>
      <c r="J188" s="26">
        <f>IF(A188="","",IFERROR(IF(INDEX(tbl_Onsite[Client],IFERROR(MATCH(A188&amp;"",tbl_Onsite[Job Number],0),MATCH(IFERROR(A188+0,A188),tbl_Onsite[Job Number],0)))="","",INDEX(tbl_Onsite[Client],IFERROR(MATCH(A188&amp;"",tbl_Onsite[Job Number],0),MATCH(IFERROR(A188+0,A188),tbl_Onsite[Job Number],0)))),IFERROR(IF(INDEX(tbl_Production[Client],IFERROR(MATCH(A188&amp;"",tbl_Production[Job Number],0),MATCH(IFERROR(A188+0,A188),tbl_Production[Job Number],0)))="","",INDEX(tbl_Production[Client],IFERROR(MATCH(A188&amp;"",tbl_Production[Job Number],0),MATCH(IFERROR(A188+0,A188),tbl_Production[Job Number],0)))),IFERROR(IF(INDEX(tbl_Consulting[Client],IFERROR(MATCH(A188&amp;"",tbl_Consulting[Job Number],0),MATCH(IFERROR(A188+0,A188),tbl_Consulting[Job Number],0)))="","",INDEX(tbl_Consulting[Client],IFERROR(MATCH(A188&amp;"",tbl_Consulting[Job Number],0),MATCH(IFERROR(A188+0,A188),tbl_Consulting[Job Number],0)))),""))))</f>
        <v/>
      </c>
      <c r="K188" s="26">
        <f>IF(A188="","",IFERROR(IF(INDEX(tbl_Onsite[Job Description],IFERROR(MATCH(A188&amp;"",tbl_Onsite[Job Number],0),MATCH(IFERROR(A188+0,A188),tbl_Onsite[Job Number],0)))="","",INDEX(tbl_Onsite[Job Description],IFERROR(MATCH(A188&amp;"",tbl_Onsite[Job Number],0),MATCH(IFERROR(A188+0,A188),tbl_Onsite[Job Number],0)))),IFERROR(IF(INDEX(tbl_Production[Job Description],IFERROR(MATCH(A188&amp;"",tbl_Production[Job Number],0),MATCH(IFERROR(A188+0,A188),tbl_Production[Job Number],0)))="","",INDEX(tbl_Production[Job Description],IFERROR(MATCH(A188&amp;"",tbl_Production[Job Number],0),MATCH(IFERROR(A188+0,A188),tbl_Production[Job Number],0)))),IFERROR(IF(INDEX(tbl_Consulting[Job Description],IFERROR(MATCH(A188&amp;"",tbl_Consulting[Job Number],0),MATCH(IFERROR(A188+0,A188),tbl_Consulting[Job Number],0)))="","",INDEX(tbl_Consulting[Job Description],IFERROR(MATCH(A188&amp;"",tbl_Consulting[Job Number],0),MATCH(IFERROR(A188+0,A188),tbl_Consulting[Job Number],0)))),""))))</f>
        <v/>
      </c>
      <c r="L188" s="26">
        <f>IF(A188="","",IFERROR(IF(INDEX(tbl_Onsite[Invoice Type],IFERROR(MATCH(A188&amp;"",tbl_Onsite[Job Number],0),MATCH(IFERROR(A188+0,A188),tbl_Onsite[Job Number],0)))="","",INDEX(tbl_Onsite[Invoice Type],IFERROR(MATCH(A188&amp;"",tbl_Onsite[Job Number],0),MATCH(IFERROR(A188+0,A188),tbl_Onsite[Job Number],0)))),IFERROR(IF(INDEX(tbl_Production[Invoice Type],IFERROR(MATCH(A188&amp;"",tbl_Production[Job Number],0),MATCH(IFERROR(A188+0,A188),tbl_Production[Job Number],0)))="","",INDEX(tbl_Production[Invoice Type],IFERROR(MATCH(A188&amp;"",tbl_Production[Job Number],0),MATCH(IFERROR(A188+0,A188),tbl_Production[Job Number],0)))),IFERROR(IF(INDEX(tbl_Consulting[Invoice Type],IFERROR(MATCH(A188&amp;"",tbl_Consulting[Job Number],0),MATCH(IFERROR(A188+0,A188),tbl_Consulting[Job Number],0)))="","",INDEX(tbl_Consulting[Invoice Type],IFERROR(MATCH(A188&amp;"",tbl_Consulting[Job Number],0),MATCH(IFERROR(A188+0,A188),tbl_Consulting[Job Number],0)))),""))))</f>
        <v/>
      </c>
      <c r="M188" s="26">
        <f>IF(A188="","",IF(IFERROR(IF(INDEX(tbl_Onsite[Tax Code],IFERROR(MATCH(A188&amp;"",tbl_Onsite[Job Number],0),MATCH(IFERROR(A188+0,A188),tbl_Onsite[Job Number],0)))="","",INDEX(tbl_Onsite[Tax Code],IFERROR(MATCH(A188&amp;"",tbl_Onsite[Job Number],0),MATCH(IFERROR(A188+0,A188),tbl_Onsite[Job Number],0)))),IFERROR(IF(INDEX(tbl_Production[Tax Code],IFERROR(MATCH(A188&amp;"",tbl_Production[Job Number],0),MATCH(IFERROR(A188+0,A188),tbl_Production[Job Number],0)))="","",INDEX(tbl_Production[Tax Code],IFERROR(MATCH(A188&amp;"",tbl_Production[Job Number],0),MATCH(IFERROR(A188+0,A188),tbl_Production[Job Number],0)))),IFERROR(IF(INDEX(tbl_Consulting[Tax Code],IFERROR(MATCH(A188&amp;"",tbl_Consulting[Job Number],0),MATCH(IFERROR(A188+0,A188),tbl_Consulting[Job Number],0)))="","",INDEX(tbl_Consulting[Tax Code],IFERROR(MATCH(A188&amp;"",tbl_Consulting[Job Number],0),MATCH(IFERROR(A188+0,A188),tbl_Consulting[Job Number],0)))),"")))="","GST 10%",IFERROR(IF(INDEX(tbl_Onsite[Tax Code],IFERROR(MATCH(A188&amp;"",tbl_Onsite[Job Number],0),MATCH(IFERROR(A188+0,A188),tbl_Onsite[Job Number],0)))="","",INDEX(tbl_Onsite[Tax Code],IFERROR(MATCH(A188&amp;"",tbl_Onsite[Job Number],0),MATCH(IFERROR(A188+0,A188),tbl_Onsite[Job Number],0)))),IFERROR(IF(INDEX(tbl_Production[Tax Code],IFERROR(MATCH(A188&amp;"",tbl_Production[Job Number],0),MATCH(IFERROR(A188+0,A188),tbl_Production[Job Number],0)))="","",INDEX(tbl_Production[Tax Code],IFERROR(MATCH(A188&amp;"",tbl_Production[Job Number],0),MATCH(IFERROR(A188+0,A188),tbl_Production[Job Number],0)))),IFERROR(IF(INDEX(tbl_Consulting[Tax Code],IFERROR(MATCH(A188&amp;"",tbl_Consulting[Job Number],0),MATCH(IFERROR(A188+0,A188),tbl_Consulting[Job Number],0)))="","",INDEX(tbl_Consulting[Tax Code],IFERROR(MATCH(A188&amp;"",tbl_Consulting[Job Number],0),MATCH(IFERROR(A188+0,A188),tbl_Consulting[Job Number],0)))),"")))))</f>
        <v/>
      </c>
      <c r="N188" s="26">
        <f>IF(D188="","",IFERROR(INDEX(lst_CCtoGL,MATCH(D188,lst_CCforGL,0)),""))</f>
        <v/>
      </c>
      <c r="O188" s="27">
        <f>IF(E188="","",IF(M188="GST 10%",ROUND(E188*set_GSTRate,2),0))</f>
        <v/>
      </c>
      <c r="P188" s="27">
        <f>IF(E188="","",E188+O188)</f>
        <v/>
      </c>
      <c r="Q188" s="27">
        <f>IF(A188="","",IFERROR(INDEX(tbl_Onsite[Expected Revenue Ex GST],IFERROR(MATCH(A188&amp;"",tbl_Onsite[Job Number],0),MATCH(IFERROR(A188+0,A188),tbl_Onsite[Job Number],0))),IFERROR(INDEX(tbl_Production[Expected Revenue Ex GST],IFERROR(MATCH(A188&amp;"",tbl_Production[Job Number],0),MATCH(IFERROR(A188+0,A188),tbl_Production[Job Number],0))),IFERROR(INDEX(tbl_Consulting[Expected Revenue Ex GST],IFERROR(MATCH(A188&amp;"",tbl_Consulting[Job Number],0),MATCH(IFERROR(A188+0,A188),tbl_Consulting[Job Number],0))),0))))</f>
        <v/>
      </c>
      <c r="R188" s="27">
        <f>IF(A188="","",SUMIFS(tbl_Finance[Ex GST],tbl_Finance[Job Number],A188&amp;""))</f>
        <v/>
      </c>
      <c r="S188" s="27">
        <f>IF(A188="","",Q188-R188)</f>
        <v/>
      </c>
      <c r="T188" s="26">
        <f>IF(A188="","",IF(Q188=0,"No dept value",IF(ROUND(S188,2)=0,"Agrees",IF(S188&gt;0,"Dept higher - to invoice","Xero higher - check dept"))))</f>
        <v/>
      </c>
      <c r="U188" s="22" t="n"/>
      <c r="V188" s="22" t="n"/>
      <c r="W188" s="23" t="n"/>
      <c r="X188" s="23" t="n"/>
      <c r="Y188" s="22" t="n"/>
      <c r="Z188" s="22" t="n"/>
      <c r="AA188" s="26">
        <f>IF(COUNTA(C188,A188,B188,E188)=0,"",IF(C188="","No date - sits outside every month",IF(A188="","No job number",IF(H188="CHECK","Job number is not in the Xero job list",IF(G188="not set up yet","No department has set this job up - nothing can pull through",IF(D188="","No cost centre",IF(AND(U188="Y",B188=""),"Marked posted to Xero but has no invoice number",IF(N188="","Cost centre has no revenue GL on the Lists sheet",IF(T188="Xero higher - check dept","Invoiced more than the department says the job is worth","")))))))))</f>
        <v/>
      </c>
      <c r="AB188" s="28">
        <f>IF(A188="","",COUNTIFS(tbl_Finance[Job Number],A188&amp;"",tbl_Finance[Ex GST],"&lt;&gt;"))</f>
        <v/>
      </c>
      <c r="AC188" s="27">
        <f>IF(A188="","",SUMIFS(tbl_Finance[Ex GST],tbl_Finance[Job Number],A188&amp;""))</f>
        <v/>
      </c>
      <c r="AD188" s="27">
        <f>IF(A188="","",SUMIFS(tbl_Finance[Ex GST],tbl_Finance[Job Number],A188&amp;"",tbl_Finance[Xero Invoice No],"&lt;&gt;"))</f>
        <v/>
      </c>
      <c r="AE188" s="27">
        <f>IF(A188="","",AC188-AD188)</f>
        <v/>
      </c>
      <c r="AF188" s="26">
        <f>IF(A188="","",IFERROR(IF(INDEX(tbl_Onsite[Qwilr Quote],IFERROR(MATCH(A188&amp;"",tbl_Onsite[Job Number],0),MATCH(IFERROR(A188+0,A188),tbl_Onsite[Job Number],0)))="","",INDEX(tbl_Onsite[Qwilr Quote],IFERROR(MATCH(A188&amp;"",tbl_Onsite[Job Number],0),MATCH(IFERROR(A188+0,A188),tbl_Onsite[Job Number],0)))),IFERROR(IF(IF(INDEX(tbl_Production[Current RMS No],IFERROR(MATCH(A188&amp;"",tbl_Production[Job Number],0),MATCH(IFERROR(A188+0,A188),tbl_Production[Job Number],0)))="",INDEX(tbl_Production[Qwilr Quote],IFERROR(MATCH(A188&amp;"",tbl_Production[Job Number],0),MATCH(IFERROR(A188+0,A188),tbl_Production[Job Number],0))),INDEX(tbl_Production[Current RMS No],IFERROR(MATCH(A188&amp;"",tbl_Production[Job Number],0),MATCH(IFERROR(A188+0,A188),tbl_Production[Job Number],0))))="","",IF(INDEX(tbl_Production[Current RMS No],IFERROR(MATCH(A188&amp;"",tbl_Production[Job Number],0),MATCH(IFERROR(A188+0,A188),tbl_Production[Job Number],0)))="",INDEX(tbl_Production[Qwilr Quote],IFERROR(MATCH(A188&amp;"",tbl_Production[Job Number],0),MATCH(IFERROR(A188+0,A188),tbl_Production[Job Number],0))),INDEX(tbl_Production[Current RMS No],IFERROR(MATCH(A188&amp;"",tbl_Production[Job Number],0),MATCH(IFERROR(A188+0,A188),tbl_Production[Job Number],0))))),IFERROR(IF(INDEX(tbl_Consulting[Qwilr Quote],IFERROR(MATCH(A188&amp;"",tbl_Consulting[Job Number],0),MATCH(IFERROR(A188+0,A188),tbl_Consulting[Job Number],0)))="","",INDEX(tbl_Consulting[Qwilr Quote],IFERROR(MATCH(A188&amp;"",tbl_Consulting[Job Number],0),MATCH(IFERROR(A188+0,A188),tbl_Consulting[Job Number],0)))),""))))</f>
        <v/>
      </c>
      <c r="AG188" s="26">
        <f>IF(AF188="","",IF(AND(LEFT(AF188,4)&lt;&gt;"http",IF(G188="Production",set_RMSBase,set_QwilrBase)=""),"",HYPERLINK(IF(LEFT(AF188,4)="http",AF188,IF(G188="Production",set_RMSBase,set_QwilrBase)&amp;AF188),"Open")))</f>
        <v/>
      </c>
      <c r="AH188" s="27">
        <f>IF(A188="","",IFERROR(INDEX(tbl_Production[Total Expense],IFERROR(MATCH(A188&amp;"",tbl_Production[Job Number],0),MATCH(IFERROR(A188+0,A188),tbl_Production[Job Number],0))),IFERROR(INDEX(tbl_Consulting[Total Expense],IFERROR(MATCH(A188&amp;"",tbl_Consulting[Job Number],0),MATCH(IFERROR(A188+0,A188),tbl_Consulting[Job Number],0))),0)))</f>
        <v/>
      </c>
      <c r="AI188" s="27">
        <f>IF(A188="","",AC188-N(AH188))</f>
        <v/>
      </c>
      <c r="AJ188" s="29">
        <f>IFERROR(AI188/AC188,"")</f>
        <v/>
      </c>
      <c r="AK188" s="26">
        <f>IF(A188="","",IFERROR(IF(INDEX(tbl_Onsite[Notes],IFERROR(MATCH(A188&amp;"",tbl_Onsite[Job Number],0),MATCH(IFERROR(A188+0,A188),tbl_Onsite[Job Number],0)))="","",INDEX(tbl_Onsite[Notes],IFERROR(MATCH(A188&amp;"",tbl_Onsite[Job Number],0),MATCH(IFERROR(A188+0,A188),tbl_Onsite[Job Number],0)))),IFERROR(IF(INDEX(tbl_Production[Notes],IFERROR(MATCH(A188&amp;"",tbl_Production[Job Number],0),MATCH(IFERROR(A188+0,A188),tbl_Production[Job Number],0)))="","",INDEX(tbl_Production[Notes],IFERROR(MATCH(A188&amp;"",tbl_Production[Job Number],0),MATCH(IFERROR(A188+0,A188),tbl_Production[Job Number],0)))),IFERROR(IF(INDEX(tbl_Consulting[Notes],IFERROR(MATCH(A188&amp;"",tbl_Consulting[Job Number],0),MATCH(IFERROR(A188+0,A188),tbl_Consulting[Job Number],0)))="","",INDEX(tbl_Consulting[Notes],IFERROR(MATCH(A188&amp;"",tbl_Consulting[Job Number],0),MATCH(IFERROR(A188+0,A188),tbl_Consulting[Job Number],0)))),""))))</f>
        <v/>
      </c>
    </row>
    <row r="189" ht="15" customHeight="1">
      <c r="A189" s="22" t="n"/>
      <c r="B189" s="22" t="n"/>
      <c r="C189" s="23" t="n"/>
      <c r="D189" s="22" t="n"/>
      <c r="E189" s="24" t="n"/>
      <c r="F189" s="25">
        <f>IF(C189="","",EOMONTH(C189,0))</f>
        <v/>
      </c>
      <c r="G189" s="26">
        <f>IF(A189="","",IF(COUNTIF(tbl_Onsite[Job Number],A189&amp;"")&gt;0,"Onsite",IF(COUNTIF(tbl_Production[Job Number],A189&amp;"")&gt;0,"Production",IF(COUNTIF(tbl_Consulting[Job Number],A189&amp;"")&gt;0,"Consulting","not set up yet"))))</f>
        <v/>
      </c>
      <c r="H189" s="26">
        <f>IF(A189="","",IF(COUNTIF(lst_Jobs,A189&amp;"")&gt;0,"OK","CHECK"))</f>
        <v/>
      </c>
      <c r="I189" s="26">
        <f>IF(A189="","",IFERROR(INDEX(lst_JobName,MATCH(A189&amp;"",lst_Jobs,0)),""))</f>
        <v/>
      </c>
      <c r="J189" s="26">
        <f>IF(A189="","",IFERROR(IF(INDEX(tbl_Onsite[Client],IFERROR(MATCH(A189&amp;"",tbl_Onsite[Job Number],0),MATCH(IFERROR(A189+0,A189),tbl_Onsite[Job Number],0)))="","",INDEX(tbl_Onsite[Client],IFERROR(MATCH(A189&amp;"",tbl_Onsite[Job Number],0),MATCH(IFERROR(A189+0,A189),tbl_Onsite[Job Number],0)))),IFERROR(IF(INDEX(tbl_Production[Client],IFERROR(MATCH(A189&amp;"",tbl_Production[Job Number],0),MATCH(IFERROR(A189+0,A189),tbl_Production[Job Number],0)))="","",INDEX(tbl_Production[Client],IFERROR(MATCH(A189&amp;"",tbl_Production[Job Number],0),MATCH(IFERROR(A189+0,A189),tbl_Production[Job Number],0)))),IFERROR(IF(INDEX(tbl_Consulting[Client],IFERROR(MATCH(A189&amp;"",tbl_Consulting[Job Number],0),MATCH(IFERROR(A189+0,A189),tbl_Consulting[Job Number],0)))="","",INDEX(tbl_Consulting[Client],IFERROR(MATCH(A189&amp;"",tbl_Consulting[Job Number],0),MATCH(IFERROR(A189+0,A189),tbl_Consulting[Job Number],0)))),""))))</f>
        <v/>
      </c>
      <c r="K189" s="26">
        <f>IF(A189="","",IFERROR(IF(INDEX(tbl_Onsite[Job Description],IFERROR(MATCH(A189&amp;"",tbl_Onsite[Job Number],0),MATCH(IFERROR(A189+0,A189),tbl_Onsite[Job Number],0)))="","",INDEX(tbl_Onsite[Job Description],IFERROR(MATCH(A189&amp;"",tbl_Onsite[Job Number],0),MATCH(IFERROR(A189+0,A189),tbl_Onsite[Job Number],0)))),IFERROR(IF(INDEX(tbl_Production[Job Description],IFERROR(MATCH(A189&amp;"",tbl_Production[Job Number],0),MATCH(IFERROR(A189+0,A189),tbl_Production[Job Number],0)))="","",INDEX(tbl_Production[Job Description],IFERROR(MATCH(A189&amp;"",tbl_Production[Job Number],0),MATCH(IFERROR(A189+0,A189),tbl_Production[Job Number],0)))),IFERROR(IF(INDEX(tbl_Consulting[Job Description],IFERROR(MATCH(A189&amp;"",tbl_Consulting[Job Number],0),MATCH(IFERROR(A189+0,A189),tbl_Consulting[Job Number],0)))="","",INDEX(tbl_Consulting[Job Description],IFERROR(MATCH(A189&amp;"",tbl_Consulting[Job Number],0),MATCH(IFERROR(A189+0,A189),tbl_Consulting[Job Number],0)))),""))))</f>
        <v/>
      </c>
      <c r="L189" s="26">
        <f>IF(A189="","",IFERROR(IF(INDEX(tbl_Onsite[Invoice Type],IFERROR(MATCH(A189&amp;"",tbl_Onsite[Job Number],0),MATCH(IFERROR(A189+0,A189),tbl_Onsite[Job Number],0)))="","",INDEX(tbl_Onsite[Invoice Type],IFERROR(MATCH(A189&amp;"",tbl_Onsite[Job Number],0),MATCH(IFERROR(A189+0,A189),tbl_Onsite[Job Number],0)))),IFERROR(IF(INDEX(tbl_Production[Invoice Type],IFERROR(MATCH(A189&amp;"",tbl_Production[Job Number],0),MATCH(IFERROR(A189+0,A189),tbl_Production[Job Number],0)))="","",INDEX(tbl_Production[Invoice Type],IFERROR(MATCH(A189&amp;"",tbl_Production[Job Number],0),MATCH(IFERROR(A189+0,A189),tbl_Production[Job Number],0)))),IFERROR(IF(INDEX(tbl_Consulting[Invoice Type],IFERROR(MATCH(A189&amp;"",tbl_Consulting[Job Number],0),MATCH(IFERROR(A189+0,A189),tbl_Consulting[Job Number],0)))="","",INDEX(tbl_Consulting[Invoice Type],IFERROR(MATCH(A189&amp;"",tbl_Consulting[Job Number],0),MATCH(IFERROR(A189+0,A189),tbl_Consulting[Job Number],0)))),""))))</f>
        <v/>
      </c>
      <c r="M189" s="26">
        <f>IF(A189="","",IF(IFERROR(IF(INDEX(tbl_Onsite[Tax Code],IFERROR(MATCH(A189&amp;"",tbl_Onsite[Job Number],0),MATCH(IFERROR(A189+0,A189),tbl_Onsite[Job Number],0)))="","",INDEX(tbl_Onsite[Tax Code],IFERROR(MATCH(A189&amp;"",tbl_Onsite[Job Number],0),MATCH(IFERROR(A189+0,A189),tbl_Onsite[Job Number],0)))),IFERROR(IF(INDEX(tbl_Production[Tax Code],IFERROR(MATCH(A189&amp;"",tbl_Production[Job Number],0),MATCH(IFERROR(A189+0,A189),tbl_Production[Job Number],0)))="","",INDEX(tbl_Production[Tax Code],IFERROR(MATCH(A189&amp;"",tbl_Production[Job Number],0),MATCH(IFERROR(A189+0,A189),tbl_Production[Job Number],0)))),IFERROR(IF(INDEX(tbl_Consulting[Tax Code],IFERROR(MATCH(A189&amp;"",tbl_Consulting[Job Number],0),MATCH(IFERROR(A189+0,A189),tbl_Consulting[Job Number],0)))="","",INDEX(tbl_Consulting[Tax Code],IFERROR(MATCH(A189&amp;"",tbl_Consulting[Job Number],0),MATCH(IFERROR(A189+0,A189),tbl_Consulting[Job Number],0)))),"")))="","GST 10%",IFERROR(IF(INDEX(tbl_Onsite[Tax Code],IFERROR(MATCH(A189&amp;"",tbl_Onsite[Job Number],0),MATCH(IFERROR(A189+0,A189),tbl_Onsite[Job Number],0)))="","",INDEX(tbl_Onsite[Tax Code],IFERROR(MATCH(A189&amp;"",tbl_Onsite[Job Number],0),MATCH(IFERROR(A189+0,A189),tbl_Onsite[Job Number],0)))),IFERROR(IF(INDEX(tbl_Production[Tax Code],IFERROR(MATCH(A189&amp;"",tbl_Production[Job Number],0),MATCH(IFERROR(A189+0,A189),tbl_Production[Job Number],0)))="","",INDEX(tbl_Production[Tax Code],IFERROR(MATCH(A189&amp;"",tbl_Production[Job Number],0),MATCH(IFERROR(A189+0,A189),tbl_Production[Job Number],0)))),IFERROR(IF(INDEX(tbl_Consulting[Tax Code],IFERROR(MATCH(A189&amp;"",tbl_Consulting[Job Number],0),MATCH(IFERROR(A189+0,A189),tbl_Consulting[Job Number],0)))="","",INDEX(tbl_Consulting[Tax Code],IFERROR(MATCH(A189&amp;"",tbl_Consulting[Job Number],0),MATCH(IFERROR(A189+0,A189),tbl_Consulting[Job Number],0)))),"")))))</f>
        <v/>
      </c>
      <c r="N189" s="26">
        <f>IF(D189="","",IFERROR(INDEX(lst_CCtoGL,MATCH(D189,lst_CCforGL,0)),""))</f>
        <v/>
      </c>
      <c r="O189" s="27">
        <f>IF(E189="","",IF(M189="GST 10%",ROUND(E189*set_GSTRate,2),0))</f>
        <v/>
      </c>
      <c r="P189" s="27">
        <f>IF(E189="","",E189+O189)</f>
        <v/>
      </c>
      <c r="Q189" s="27">
        <f>IF(A189="","",IFERROR(INDEX(tbl_Onsite[Expected Revenue Ex GST],IFERROR(MATCH(A189&amp;"",tbl_Onsite[Job Number],0),MATCH(IFERROR(A189+0,A189),tbl_Onsite[Job Number],0))),IFERROR(INDEX(tbl_Production[Expected Revenue Ex GST],IFERROR(MATCH(A189&amp;"",tbl_Production[Job Number],0),MATCH(IFERROR(A189+0,A189),tbl_Production[Job Number],0))),IFERROR(INDEX(tbl_Consulting[Expected Revenue Ex GST],IFERROR(MATCH(A189&amp;"",tbl_Consulting[Job Number],0),MATCH(IFERROR(A189+0,A189),tbl_Consulting[Job Number],0))),0))))</f>
        <v/>
      </c>
      <c r="R189" s="27">
        <f>IF(A189="","",SUMIFS(tbl_Finance[Ex GST],tbl_Finance[Job Number],A189&amp;""))</f>
        <v/>
      </c>
      <c r="S189" s="27">
        <f>IF(A189="","",Q189-R189)</f>
        <v/>
      </c>
      <c r="T189" s="26">
        <f>IF(A189="","",IF(Q189=0,"No dept value",IF(ROUND(S189,2)=0,"Agrees",IF(S189&gt;0,"Dept higher - to invoice","Xero higher - check dept"))))</f>
        <v/>
      </c>
      <c r="U189" s="22" t="n"/>
      <c r="V189" s="22" t="n"/>
      <c r="W189" s="23" t="n"/>
      <c r="X189" s="23" t="n"/>
      <c r="Y189" s="22" t="n"/>
      <c r="Z189" s="22" t="n"/>
      <c r="AA189" s="26">
        <f>IF(COUNTA(C189,A189,B189,E189)=0,"",IF(C189="","No date - sits outside every month",IF(A189="","No job number",IF(H189="CHECK","Job number is not in the Xero job list",IF(G189="not set up yet","No department has set this job up - nothing can pull through",IF(D189="","No cost centre",IF(AND(U189="Y",B189=""),"Marked posted to Xero but has no invoice number",IF(N189="","Cost centre has no revenue GL on the Lists sheet",IF(T189="Xero higher - check dept","Invoiced more than the department says the job is worth","")))))))))</f>
        <v/>
      </c>
      <c r="AB189" s="28">
        <f>IF(A189="","",COUNTIFS(tbl_Finance[Job Number],A189&amp;"",tbl_Finance[Ex GST],"&lt;&gt;"))</f>
        <v/>
      </c>
      <c r="AC189" s="27">
        <f>IF(A189="","",SUMIFS(tbl_Finance[Ex GST],tbl_Finance[Job Number],A189&amp;""))</f>
        <v/>
      </c>
      <c r="AD189" s="27">
        <f>IF(A189="","",SUMIFS(tbl_Finance[Ex GST],tbl_Finance[Job Number],A189&amp;"",tbl_Finance[Xero Invoice No],"&lt;&gt;"))</f>
        <v/>
      </c>
      <c r="AE189" s="27">
        <f>IF(A189="","",AC189-AD189)</f>
        <v/>
      </c>
      <c r="AF189" s="26">
        <f>IF(A189="","",IFERROR(IF(INDEX(tbl_Onsite[Qwilr Quote],IFERROR(MATCH(A189&amp;"",tbl_Onsite[Job Number],0),MATCH(IFERROR(A189+0,A189),tbl_Onsite[Job Number],0)))="","",INDEX(tbl_Onsite[Qwilr Quote],IFERROR(MATCH(A189&amp;"",tbl_Onsite[Job Number],0),MATCH(IFERROR(A189+0,A189),tbl_Onsite[Job Number],0)))),IFERROR(IF(IF(INDEX(tbl_Production[Current RMS No],IFERROR(MATCH(A189&amp;"",tbl_Production[Job Number],0),MATCH(IFERROR(A189+0,A189),tbl_Production[Job Number],0)))="",INDEX(tbl_Production[Qwilr Quote],IFERROR(MATCH(A189&amp;"",tbl_Production[Job Number],0),MATCH(IFERROR(A189+0,A189),tbl_Production[Job Number],0))),INDEX(tbl_Production[Current RMS No],IFERROR(MATCH(A189&amp;"",tbl_Production[Job Number],0),MATCH(IFERROR(A189+0,A189),tbl_Production[Job Number],0))))="","",IF(INDEX(tbl_Production[Current RMS No],IFERROR(MATCH(A189&amp;"",tbl_Production[Job Number],0),MATCH(IFERROR(A189+0,A189),tbl_Production[Job Number],0)))="",INDEX(tbl_Production[Qwilr Quote],IFERROR(MATCH(A189&amp;"",tbl_Production[Job Number],0),MATCH(IFERROR(A189+0,A189),tbl_Production[Job Number],0))),INDEX(tbl_Production[Current RMS No],IFERROR(MATCH(A189&amp;"",tbl_Production[Job Number],0),MATCH(IFERROR(A189+0,A189),tbl_Production[Job Number],0))))),IFERROR(IF(INDEX(tbl_Consulting[Qwilr Quote],IFERROR(MATCH(A189&amp;"",tbl_Consulting[Job Number],0),MATCH(IFERROR(A189+0,A189),tbl_Consulting[Job Number],0)))="","",INDEX(tbl_Consulting[Qwilr Quote],IFERROR(MATCH(A189&amp;"",tbl_Consulting[Job Number],0),MATCH(IFERROR(A189+0,A189),tbl_Consulting[Job Number],0)))),""))))</f>
        <v/>
      </c>
      <c r="AG189" s="26">
        <f>IF(AF189="","",IF(AND(LEFT(AF189,4)&lt;&gt;"http",IF(G189="Production",set_RMSBase,set_QwilrBase)=""),"",HYPERLINK(IF(LEFT(AF189,4)="http",AF189,IF(G189="Production",set_RMSBase,set_QwilrBase)&amp;AF189),"Open")))</f>
        <v/>
      </c>
      <c r="AH189" s="27">
        <f>IF(A189="","",IFERROR(INDEX(tbl_Production[Total Expense],IFERROR(MATCH(A189&amp;"",tbl_Production[Job Number],0),MATCH(IFERROR(A189+0,A189),tbl_Production[Job Number],0))),IFERROR(INDEX(tbl_Consulting[Total Expense],IFERROR(MATCH(A189&amp;"",tbl_Consulting[Job Number],0),MATCH(IFERROR(A189+0,A189),tbl_Consulting[Job Number],0))),0)))</f>
        <v/>
      </c>
      <c r="AI189" s="27">
        <f>IF(A189="","",AC189-N(AH189))</f>
        <v/>
      </c>
      <c r="AJ189" s="29">
        <f>IFERROR(AI189/AC189,"")</f>
        <v/>
      </c>
      <c r="AK189" s="26">
        <f>IF(A189="","",IFERROR(IF(INDEX(tbl_Onsite[Notes],IFERROR(MATCH(A189&amp;"",tbl_Onsite[Job Number],0),MATCH(IFERROR(A189+0,A189),tbl_Onsite[Job Number],0)))="","",INDEX(tbl_Onsite[Notes],IFERROR(MATCH(A189&amp;"",tbl_Onsite[Job Number],0),MATCH(IFERROR(A189+0,A189),tbl_Onsite[Job Number],0)))),IFERROR(IF(INDEX(tbl_Production[Notes],IFERROR(MATCH(A189&amp;"",tbl_Production[Job Number],0),MATCH(IFERROR(A189+0,A189),tbl_Production[Job Number],0)))="","",INDEX(tbl_Production[Notes],IFERROR(MATCH(A189&amp;"",tbl_Production[Job Number],0),MATCH(IFERROR(A189+0,A189),tbl_Production[Job Number],0)))),IFERROR(IF(INDEX(tbl_Consulting[Notes],IFERROR(MATCH(A189&amp;"",tbl_Consulting[Job Number],0),MATCH(IFERROR(A189+0,A189),tbl_Consulting[Job Number],0)))="","",INDEX(tbl_Consulting[Notes],IFERROR(MATCH(A189&amp;"",tbl_Consulting[Job Number],0),MATCH(IFERROR(A189+0,A189),tbl_Consulting[Job Number],0)))),""))))</f>
        <v/>
      </c>
    </row>
    <row r="190" ht="15" customHeight="1">
      <c r="A190" s="22" t="n"/>
      <c r="B190" s="22" t="n"/>
      <c r="C190" s="23" t="n"/>
      <c r="D190" s="22" t="n"/>
      <c r="E190" s="24" t="n"/>
      <c r="F190" s="25">
        <f>IF(C190="","",EOMONTH(C190,0))</f>
        <v/>
      </c>
      <c r="G190" s="26">
        <f>IF(A190="","",IF(COUNTIF(tbl_Onsite[Job Number],A190&amp;"")&gt;0,"Onsite",IF(COUNTIF(tbl_Production[Job Number],A190&amp;"")&gt;0,"Production",IF(COUNTIF(tbl_Consulting[Job Number],A190&amp;"")&gt;0,"Consulting","not set up yet"))))</f>
        <v/>
      </c>
      <c r="H190" s="26">
        <f>IF(A190="","",IF(COUNTIF(lst_Jobs,A190&amp;"")&gt;0,"OK","CHECK"))</f>
        <v/>
      </c>
      <c r="I190" s="26">
        <f>IF(A190="","",IFERROR(INDEX(lst_JobName,MATCH(A190&amp;"",lst_Jobs,0)),""))</f>
        <v/>
      </c>
      <c r="J190" s="26">
        <f>IF(A190="","",IFERROR(IF(INDEX(tbl_Onsite[Client],IFERROR(MATCH(A190&amp;"",tbl_Onsite[Job Number],0),MATCH(IFERROR(A190+0,A190),tbl_Onsite[Job Number],0)))="","",INDEX(tbl_Onsite[Client],IFERROR(MATCH(A190&amp;"",tbl_Onsite[Job Number],0),MATCH(IFERROR(A190+0,A190),tbl_Onsite[Job Number],0)))),IFERROR(IF(INDEX(tbl_Production[Client],IFERROR(MATCH(A190&amp;"",tbl_Production[Job Number],0),MATCH(IFERROR(A190+0,A190),tbl_Production[Job Number],0)))="","",INDEX(tbl_Production[Client],IFERROR(MATCH(A190&amp;"",tbl_Production[Job Number],0),MATCH(IFERROR(A190+0,A190),tbl_Production[Job Number],0)))),IFERROR(IF(INDEX(tbl_Consulting[Client],IFERROR(MATCH(A190&amp;"",tbl_Consulting[Job Number],0),MATCH(IFERROR(A190+0,A190),tbl_Consulting[Job Number],0)))="","",INDEX(tbl_Consulting[Client],IFERROR(MATCH(A190&amp;"",tbl_Consulting[Job Number],0),MATCH(IFERROR(A190+0,A190),tbl_Consulting[Job Number],0)))),""))))</f>
        <v/>
      </c>
      <c r="K190" s="26">
        <f>IF(A190="","",IFERROR(IF(INDEX(tbl_Onsite[Job Description],IFERROR(MATCH(A190&amp;"",tbl_Onsite[Job Number],0),MATCH(IFERROR(A190+0,A190),tbl_Onsite[Job Number],0)))="","",INDEX(tbl_Onsite[Job Description],IFERROR(MATCH(A190&amp;"",tbl_Onsite[Job Number],0),MATCH(IFERROR(A190+0,A190),tbl_Onsite[Job Number],0)))),IFERROR(IF(INDEX(tbl_Production[Job Description],IFERROR(MATCH(A190&amp;"",tbl_Production[Job Number],0),MATCH(IFERROR(A190+0,A190),tbl_Production[Job Number],0)))="","",INDEX(tbl_Production[Job Description],IFERROR(MATCH(A190&amp;"",tbl_Production[Job Number],0),MATCH(IFERROR(A190+0,A190),tbl_Production[Job Number],0)))),IFERROR(IF(INDEX(tbl_Consulting[Job Description],IFERROR(MATCH(A190&amp;"",tbl_Consulting[Job Number],0),MATCH(IFERROR(A190+0,A190),tbl_Consulting[Job Number],0)))="","",INDEX(tbl_Consulting[Job Description],IFERROR(MATCH(A190&amp;"",tbl_Consulting[Job Number],0),MATCH(IFERROR(A190+0,A190),tbl_Consulting[Job Number],0)))),""))))</f>
        <v/>
      </c>
      <c r="L190" s="26">
        <f>IF(A190="","",IFERROR(IF(INDEX(tbl_Onsite[Invoice Type],IFERROR(MATCH(A190&amp;"",tbl_Onsite[Job Number],0),MATCH(IFERROR(A190+0,A190),tbl_Onsite[Job Number],0)))="","",INDEX(tbl_Onsite[Invoice Type],IFERROR(MATCH(A190&amp;"",tbl_Onsite[Job Number],0),MATCH(IFERROR(A190+0,A190),tbl_Onsite[Job Number],0)))),IFERROR(IF(INDEX(tbl_Production[Invoice Type],IFERROR(MATCH(A190&amp;"",tbl_Production[Job Number],0),MATCH(IFERROR(A190+0,A190),tbl_Production[Job Number],0)))="","",INDEX(tbl_Production[Invoice Type],IFERROR(MATCH(A190&amp;"",tbl_Production[Job Number],0),MATCH(IFERROR(A190+0,A190),tbl_Production[Job Number],0)))),IFERROR(IF(INDEX(tbl_Consulting[Invoice Type],IFERROR(MATCH(A190&amp;"",tbl_Consulting[Job Number],0),MATCH(IFERROR(A190+0,A190),tbl_Consulting[Job Number],0)))="","",INDEX(tbl_Consulting[Invoice Type],IFERROR(MATCH(A190&amp;"",tbl_Consulting[Job Number],0),MATCH(IFERROR(A190+0,A190),tbl_Consulting[Job Number],0)))),""))))</f>
        <v/>
      </c>
      <c r="M190" s="26">
        <f>IF(A190="","",IF(IFERROR(IF(INDEX(tbl_Onsite[Tax Code],IFERROR(MATCH(A190&amp;"",tbl_Onsite[Job Number],0),MATCH(IFERROR(A190+0,A190),tbl_Onsite[Job Number],0)))="","",INDEX(tbl_Onsite[Tax Code],IFERROR(MATCH(A190&amp;"",tbl_Onsite[Job Number],0),MATCH(IFERROR(A190+0,A190),tbl_Onsite[Job Number],0)))),IFERROR(IF(INDEX(tbl_Production[Tax Code],IFERROR(MATCH(A190&amp;"",tbl_Production[Job Number],0),MATCH(IFERROR(A190+0,A190),tbl_Production[Job Number],0)))="","",INDEX(tbl_Production[Tax Code],IFERROR(MATCH(A190&amp;"",tbl_Production[Job Number],0),MATCH(IFERROR(A190+0,A190),tbl_Production[Job Number],0)))),IFERROR(IF(INDEX(tbl_Consulting[Tax Code],IFERROR(MATCH(A190&amp;"",tbl_Consulting[Job Number],0),MATCH(IFERROR(A190+0,A190),tbl_Consulting[Job Number],0)))="","",INDEX(tbl_Consulting[Tax Code],IFERROR(MATCH(A190&amp;"",tbl_Consulting[Job Number],0),MATCH(IFERROR(A190+0,A190),tbl_Consulting[Job Number],0)))),"")))="","GST 10%",IFERROR(IF(INDEX(tbl_Onsite[Tax Code],IFERROR(MATCH(A190&amp;"",tbl_Onsite[Job Number],0),MATCH(IFERROR(A190+0,A190),tbl_Onsite[Job Number],0)))="","",INDEX(tbl_Onsite[Tax Code],IFERROR(MATCH(A190&amp;"",tbl_Onsite[Job Number],0),MATCH(IFERROR(A190+0,A190),tbl_Onsite[Job Number],0)))),IFERROR(IF(INDEX(tbl_Production[Tax Code],IFERROR(MATCH(A190&amp;"",tbl_Production[Job Number],0),MATCH(IFERROR(A190+0,A190),tbl_Production[Job Number],0)))="","",INDEX(tbl_Production[Tax Code],IFERROR(MATCH(A190&amp;"",tbl_Production[Job Number],0),MATCH(IFERROR(A190+0,A190),tbl_Production[Job Number],0)))),IFERROR(IF(INDEX(tbl_Consulting[Tax Code],IFERROR(MATCH(A190&amp;"",tbl_Consulting[Job Number],0),MATCH(IFERROR(A190+0,A190),tbl_Consulting[Job Number],0)))="","",INDEX(tbl_Consulting[Tax Code],IFERROR(MATCH(A190&amp;"",tbl_Consulting[Job Number],0),MATCH(IFERROR(A190+0,A190),tbl_Consulting[Job Number],0)))),"")))))</f>
        <v/>
      </c>
      <c r="N190" s="26">
        <f>IF(D190="","",IFERROR(INDEX(lst_CCtoGL,MATCH(D190,lst_CCforGL,0)),""))</f>
        <v/>
      </c>
      <c r="O190" s="27">
        <f>IF(E190="","",IF(M190="GST 10%",ROUND(E190*set_GSTRate,2),0))</f>
        <v/>
      </c>
      <c r="P190" s="27">
        <f>IF(E190="","",E190+O190)</f>
        <v/>
      </c>
      <c r="Q190" s="27">
        <f>IF(A190="","",IFERROR(INDEX(tbl_Onsite[Expected Revenue Ex GST],IFERROR(MATCH(A190&amp;"",tbl_Onsite[Job Number],0),MATCH(IFERROR(A190+0,A190),tbl_Onsite[Job Number],0))),IFERROR(INDEX(tbl_Production[Expected Revenue Ex GST],IFERROR(MATCH(A190&amp;"",tbl_Production[Job Number],0),MATCH(IFERROR(A190+0,A190),tbl_Production[Job Number],0))),IFERROR(INDEX(tbl_Consulting[Expected Revenue Ex GST],IFERROR(MATCH(A190&amp;"",tbl_Consulting[Job Number],0),MATCH(IFERROR(A190+0,A190),tbl_Consulting[Job Number],0))),0))))</f>
        <v/>
      </c>
      <c r="R190" s="27">
        <f>IF(A190="","",SUMIFS(tbl_Finance[Ex GST],tbl_Finance[Job Number],A190&amp;""))</f>
        <v/>
      </c>
      <c r="S190" s="27">
        <f>IF(A190="","",Q190-R190)</f>
        <v/>
      </c>
      <c r="T190" s="26">
        <f>IF(A190="","",IF(Q190=0,"No dept value",IF(ROUND(S190,2)=0,"Agrees",IF(S190&gt;0,"Dept higher - to invoice","Xero higher - check dept"))))</f>
        <v/>
      </c>
      <c r="U190" s="22" t="n"/>
      <c r="V190" s="22" t="n"/>
      <c r="W190" s="23" t="n"/>
      <c r="X190" s="23" t="n"/>
      <c r="Y190" s="22" t="n"/>
      <c r="Z190" s="22" t="n"/>
      <c r="AA190" s="26">
        <f>IF(COUNTA(C190,A190,B190,E190)=0,"",IF(C190="","No date - sits outside every month",IF(A190="","No job number",IF(H190="CHECK","Job number is not in the Xero job list",IF(G190="not set up yet","No department has set this job up - nothing can pull through",IF(D190="","No cost centre",IF(AND(U190="Y",B190=""),"Marked posted to Xero but has no invoice number",IF(N190="","Cost centre has no revenue GL on the Lists sheet",IF(T190="Xero higher - check dept","Invoiced more than the department says the job is worth","")))))))))</f>
        <v/>
      </c>
      <c r="AB190" s="28">
        <f>IF(A190="","",COUNTIFS(tbl_Finance[Job Number],A190&amp;"",tbl_Finance[Ex GST],"&lt;&gt;"))</f>
        <v/>
      </c>
      <c r="AC190" s="27">
        <f>IF(A190="","",SUMIFS(tbl_Finance[Ex GST],tbl_Finance[Job Number],A190&amp;""))</f>
        <v/>
      </c>
      <c r="AD190" s="27">
        <f>IF(A190="","",SUMIFS(tbl_Finance[Ex GST],tbl_Finance[Job Number],A190&amp;"",tbl_Finance[Xero Invoice No],"&lt;&gt;"))</f>
        <v/>
      </c>
      <c r="AE190" s="27">
        <f>IF(A190="","",AC190-AD190)</f>
        <v/>
      </c>
      <c r="AF190" s="26">
        <f>IF(A190="","",IFERROR(IF(INDEX(tbl_Onsite[Qwilr Quote],IFERROR(MATCH(A190&amp;"",tbl_Onsite[Job Number],0),MATCH(IFERROR(A190+0,A190),tbl_Onsite[Job Number],0)))="","",INDEX(tbl_Onsite[Qwilr Quote],IFERROR(MATCH(A190&amp;"",tbl_Onsite[Job Number],0),MATCH(IFERROR(A190+0,A190),tbl_Onsite[Job Number],0)))),IFERROR(IF(IF(INDEX(tbl_Production[Current RMS No],IFERROR(MATCH(A190&amp;"",tbl_Production[Job Number],0),MATCH(IFERROR(A190+0,A190),tbl_Production[Job Number],0)))="",INDEX(tbl_Production[Qwilr Quote],IFERROR(MATCH(A190&amp;"",tbl_Production[Job Number],0),MATCH(IFERROR(A190+0,A190),tbl_Production[Job Number],0))),INDEX(tbl_Production[Current RMS No],IFERROR(MATCH(A190&amp;"",tbl_Production[Job Number],0),MATCH(IFERROR(A190+0,A190),tbl_Production[Job Number],0))))="","",IF(INDEX(tbl_Production[Current RMS No],IFERROR(MATCH(A190&amp;"",tbl_Production[Job Number],0),MATCH(IFERROR(A190+0,A190),tbl_Production[Job Number],0)))="",INDEX(tbl_Production[Qwilr Quote],IFERROR(MATCH(A190&amp;"",tbl_Production[Job Number],0),MATCH(IFERROR(A190+0,A190),tbl_Production[Job Number],0))),INDEX(tbl_Production[Current RMS No],IFERROR(MATCH(A190&amp;"",tbl_Production[Job Number],0),MATCH(IFERROR(A190+0,A190),tbl_Production[Job Number],0))))),IFERROR(IF(INDEX(tbl_Consulting[Qwilr Quote],IFERROR(MATCH(A190&amp;"",tbl_Consulting[Job Number],0),MATCH(IFERROR(A190+0,A190),tbl_Consulting[Job Number],0)))="","",INDEX(tbl_Consulting[Qwilr Quote],IFERROR(MATCH(A190&amp;"",tbl_Consulting[Job Number],0),MATCH(IFERROR(A190+0,A190),tbl_Consulting[Job Number],0)))),""))))</f>
        <v/>
      </c>
      <c r="AG190" s="26">
        <f>IF(AF190="","",IF(AND(LEFT(AF190,4)&lt;&gt;"http",IF(G190="Production",set_RMSBase,set_QwilrBase)=""),"",HYPERLINK(IF(LEFT(AF190,4)="http",AF190,IF(G190="Production",set_RMSBase,set_QwilrBase)&amp;AF190),"Open")))</f>
        <v/>
      </c>
      <c r="AH190" s="27">
        <f>IF(A190="","",IFERROR(INDEX(tbl_Production[Total Expense],IFERROR(MATCH(A190&amp;"",tbl_Production[Job Number],0),MATCH(IFERROR(A190+0,A190),tbl_Production[Job Number],0))),IFERROR(INDEX(tbl_Consulting[Total Expense],IFERROR(MATCH(A190&amp;"",tbl_Consulting[Job Number],0),MATCH(IFERROR(A190+0,A190),tbl_Consulting[Job Number],0))),0)))</f>
        <v/>
      </c>
      <c r="AI190" s="27">
        <f>IF(A190="","",AC190-N(AH190))</f>
        <v/>
      </c>
      <c r="AJ190" s="29">
        <f>IFERROR(AI190/AC190,"")</f>
        <v/>
      </c>
      <c r="AK190" s="26">
        <f>IF(A190="","",IFERROR(IF(INDEX(tbl_Onsite[Notes],IFERROR(MATCH(A190&amp;"",tbl_Onsite[Job Number],0),MATCH(IFERROR(A190+0,A190),tbl_Onsite[Job Number],0)))="","",INDEX(tbl_Onsite[Notes],IFERROR(MATCH(A190&amp;"",tbl_Onsite[Job Number],0),MATCH(IFERROR(A190+0,A190),tbl_Onsite[Job Number],0)))),IFERROR(IF(INDEX(tbl_Production[Notes],IFERROR(MATCH(A190&amp;"",tbl_Production[Job Number],0),MATCH(IFERROR(A190+0,A190),tbl_Production[Job Number],0)))="","",INDEX(tbl_Production[Notes],IFERROR(MATCH(A190&amp;"",tbl_Production[Job Number],0),MATCH(IFERROR(A190+0,A190),tbl_Production[Job Number],0)))),IFERROR(IF(INDEX(tbl_Consulting[Notes],IFERROR(MATCH(A190&amp;"",tbl_Consulting[Job Number],0),MATCH(IFERROR(A190+0,A190),tbl_Consulting[Job Number],0)))="","",INDEX(tbl_Consulting[Notes],IFERROR(MATCH(A190&amp;"",tbl_Consulting[Job Number],0),MATCH(IFERROR(A190+0,A190),tbl_Consulting[Job Number],0)))),""))))</f>
        <v/>
      </c>
    </row>
    <row r="191" ht="15" customHeight="1">
      <c r="A191" s="22" t="n"/>
      <c r="B191" s="22" t="n"/>
      <c r="C191" s="23" t="n"/>
      <c r="D191" s="22" t="n"/>
      <c r="E191" s="24" t="n"/>
      <c r="F191" s="25">
        <f>IF(C191="","",EOMONTH(C191,0))</f>
        <v/>
      </c>
      <c r="G191" s="26">
        <f>IF(A191="","",IF(COUNTIF(tbl_Onsite[Job Number],A191&amp;"")&gt;0,"Onsite",IF(COUNTIF(tbl_Production[Job Number],A191&amp;"")&gt;0,"Production",IF(COUNTIF(tbl_Consulting[Job Number],A191&amp;"")&gt;0,"Consulting","not set up yet"))))</f>
        <v/>
      </c>
      <c r="H191" s="26">
        <f>IF(A191="","",IF(COUNTIF(lst_Jobs,A191&amp;"")&gt;0,"OK","CHECK"))</f>
        <v/>
      </c>
      <c r="I191" s="26">
        <f>IF(A191="","",IFERROR(INDEX(lst_JobName,MATCH(A191&amp;"",lst_Jobs,0)),""))</f>
        <v/>
      </c>
      <c r="J191" s="26">
        <f>IF(A191="","",IFERROR(IF(INDEX(tbl_Onsite[Client],IFERROR(MATCH(A191&amp;"",tbl_Onsite[Job Number],0),MATCH(IFERROR(A191+0,A191),tbl_Onsite[Job Number],0)))="","",INDEX(tbl_Onsite[Client],IFERROR(MATCH(A191&amp;"",tbl_Onsite[Job Number],0),MATCH(IFERROR(A191+0,A191),tbl_Onsite[Job Number],0)))),IFERROR(IF(INDEX(tbl_Production[Client],IFERROR(MATCH(A191&amp;"",tbl_Production[Job Number],0),MATCH(IFERROR(A191+0,A191),tbl_Production[Job Number],0)))="","",INDEX(tbl_Production[Client],IFERROR(MATCH(A191&amp;"",tbl_Production[Job Number],0),MATCH(IFERROR(A191+0,A191),tbl_Production[Job Number],0)))),IFERROR(IF(INDEX(tbl_Consulting[Client],IFERROR(MATCH(A191&amp;"",tbl_Consulting[Job Number],0),MATCH(IFERROR(A191+0,A191),tbl_Consulting[Job Number],0)))="","",INDEX(tbl_Consulting[Client],IFERROR(MATCH(A191&amp;"",tbl_Consulting[Job Number],0),MATCH(IFERROR(A191+0,A191),tbl_Consulting[Job Number],0)))),""))))</f>
        <v/>
      </c>
      <c r="K191" s="26">
        <f>IF(A191="","",IFERROR(IF(INDEX(tbl_Onsite[Job Description],IFERROR(MATCH(A191&amp;"",tbl_Onsite[Job Number],0),MATCH(IFERROR(A191+0,A191),tbl_Onsite[Job Number],0)))="","",INDEX(tbl_Onsite[Job Description],IFERROR(MATCH(A191&amp;"",tbl_Onsite[Job Number],0),MATCH(IFERROR(A191+0,A191),tbl_Onsite[Job Number],0)))),IFERROR(IF(INDEX(tbl_Production[Job Description],IFERROR(MATCH(A191&amp;"",tbl_Production[Job Number],0),MATCH(IFERROR(A191+0,A191),tbl_Production[Job Number],0)))="","",INDEX(tbl_Production[Job Description],IFERROR(MATCH(A191&amp;"",tbl_Production[Job Number],0),MATCH(IFERROR(A191+0,A191),tbl_Production[Job Number],0)))),IFERROR(IF(INDEX(tbl_Consulting[Job Description],IFERROR(MATCH(A191&amp;"",tbl_Consulting[Job Number],0),MATCH(IFERROR(A191+0,A191),tbl_Consulting[Job Number],0)))="","",INDEX(tbl_Consulting[Job Description],IFERROR(MATCH(A191&amp;"",tbl_Consulting[Job Number],0),MATCH(IFERROR(A191+0,A191),tbl_Consulting[Job Number],0)))),""))))</f>
        <v/>
      </c>
      <c r="L191" s="26">
        <f>IF(A191="","",IFERROR(IF(INDEX(tbl_Onsite[Invoice Type],IFERROR(MATCH(A191&amp;"",tbl_Onsite[Job Number],0),MATCH(IFERROR(A191+0,A191),tbl_Onsite[Job Number],0)))="","",INDEX(tbl_Onsite[Invoice Type],IFERROR(MATCH(A191&amp;"",tbl_Onsite[Job Number],0),MATCH(IFERROR(A191+0,A191),tbl_Onsite[Job Number],0)))),IFERROR(IF(INDEX(tbl_Production[Invoice Type],IFERROR(MATCH(A191&amp;"",tbl_Production[Job Number],0),MATCH(IFERROR(A191+0,A191),tbl_Production[Job Number],0)))="","",INDEX(tbl_Production[Invoice Type],IFERROR(MATCH(A191&amp;"",tbl_Production[Job Number],0),MATCH(IFERROR(A191+0,A191),tbl_Production[Job Number],0)))),IFERROR(IF(INDEX(tbl_Consulting[Invoice Type],IFERROR(MATCH(A191&amp;"",tbl_Consulting[Job Number],0),MATCH(IFERROR(A191+0,A191),tbl_Consulting[Job Number],0)))="","",INDEX(tbl_Consulting[Invoice Type],IFERROR(MATCH(A191&amp;"",tbl_Consulting[Job Number],0),MATCH(IFERROR(A191+0,A191),tbl_Consulting[Job Number],0)))),""))))</f>
        <v/>
      </c>
      <c r="M191" s="26">
        <f>IF(A191="","",IF(IFERROR(IF(INDEX(tbl_Onsite[Tax Code],IFERROR(MATCH(A191&amp;"",tbl_Onsite[Job Number],0),MATCH(IFERROR(A191+0,A191),tbl_Onsite[Job Number],0)))="","",INDEX(tbl_Onsite[Tax Code],IFERROR(MATCH(A191&amp;"",tbl_Onsite[Job Number],0),MATCH(IFERROR(A191+0,A191),tbl_Onsite[Job Number],0)))),IFERROR(IF(INDEX(tbl_Production[Tax Code],IFERROR(MATCH(A191&amp;"",tbl_Production[Job Number],0),MATCH(IFERROR(A191+0,A191),tbl_Production[Job Number],0)))="","",INDEX(tbl_Production[Tax Code],IFERROR(MATCH(A191&amp;"",tbl_Production[Job Number],0),MATCH(IFERROR(A191+0,A191),tbl_Production[Job Number],0)))),IFERROR(IF(INDEX(tbl_Consulting[Tax Code],IFERROR(MATCH(A191&amp;"",tbl_Consulting[Job Number],0),MATCH(IFERROR(A191+0,A191),tbl_Consulting[Job Number],0)))="","",INDEX(tbl_Consulting[Tax Code],IFERROR(MATCH(A191&amp;"",tbl_Consulting[Job Number],0),MATCH(IFERROR(A191+0,A191),tbl_Consulting[Job Number],0)))),"")))="","GST 10%",IFERROR(IF(INDEX(tbl_Onsite[Tax Code],IFERROR(MATCH(A191&amp;"",tbl_Onsite[Job Number],0),MATCH(IFERROR(A191+0,A191),tbl_Onsite[Job Number],0)))="","",INDEX(tbl_Onsite[Tax Code],IFERROR(MATCH(A191&amp;"",tbl_Onsite[Job Number],0),MATCH(IFERROR(A191+0,A191),tbl_Onsite[Job Number],0)))),IFERROR(IF(INDEX(tbl_Production[Tax Code],IFERROR(MATCH(A191&amp;"",tbl_Production[Job Number],0),MATCH(IFERROR(A191+0,A191),tbl_Production[Job Number],0)))="","",INDEX(tbl_Production[Tax Code],IFERROR(MATCH(A191&amp;"",tbl_Production[Job Number],0),MATCH(IFERROR(A191+0,A191),tbl_Production[Job Number],0)))),IFERROR(IF(INDEX(tbl_Consulting[Tax Code],IFERROR(MATCH(A191&amp;"",tbl_Consulting[Job Number],0),MATCH(IFERROR(A191+0,A191),tbl_Consulting[Job Number],0)))="","",INDEX(tbl_Consulting[Tax Code],IFERROR(MATCH(A191&amp;"",tbl_Consulting[Job Number],0),MATCH(IFERROR(A191+0,A191),tbl_Consulting[Job Number],0)))),"")))))</f>
        <v/>
      </c>
      <c r="N191" s="26">
        <f>IF(D191="","",IFERROR(INDEX(lst_CCtoGL,MATCH(D191,lst_CCforGL,0)),""))</f>
        <v/>
      </c>
      <c r="O191" s="27">
        <f>IF(E191="","",IF(M191="GST 10%",ROUND(E191*set_GSTRate,2),0))</f>
        <v/>
      </c>
      <c r="P191" s="27">
        <f>IF(E191="","",E191+O191)</f>
        <v/>
      </c>
      <c r="Q191" s="27">
        <f>IF(A191="","",IFERROR(INDEX(tbl_Onsite[Expected Revenue Ex GST],IFERROR(MATCH(A191&amp;"",tbl_Onsite[Job Number],0),MATCH(IFERROR(A191+0,A191),tbl_Onsite[Job Number],0))),IFERROR(INDEX(tbl_Production[Expected Revenue Ex GST],IFERROR(MATCH(A191&amp;"",tbl_Production[Job Number],0),MATCH(IFERROR(A191+0,A191),tbl_Production[Job Number],0))),IFERROR(INDEX(tbl_Consulting[Expected Revenue Ex GST],IFERROR(MATCH(A191&amp;"",tbl_Consulting[Job Number],0),MATCH(IFERROR(A191+0,A191),tbl_Consulting[Job Number],0))),0))))</f>
        <v/>
      </c>
      <c r="R191" s="27">
        <f>IF(A191="","",SUMIFS(tbl_Finance[Ex GST],tbl_Finance[Job Number],A191&amp;""))</f>
        <v/>
      </c>
      <c r="S191" s="27">
        <f>IF(A191="","",Q191-R191)</f>
        <v/>
      </c>
      <c r="T191" s="26">
        <f>IF(A191="","",IF(Q191=0,"No dept value",IF(ROUND(S191,2)=0,"Agrees",IF(S191&gt;0,"Dept higher - to invoice","Xero higher - check dept"))))</f>
        <v/>
      </c>
      <c r="U191" s="22" t="n"/>
      <c r="V191" s="22" t="n"/>
      <c r="W191" s="23" t="n"/>
      <c r="X191" s="23" t="n"/>
      <c r="Y191" s="22" t="n"/>
      <c r="Z191" s="22" t="n"/>
      <c r="AA191" s="26">
        <f>IF(COUNTA(C191,A191,B191,E191)=0,"",IF(C191="","No date - sits outside every month",IF(A191="","No job number",IF(H191="CHECK","Job number is not in the Xero job list",IF(G191="not set up yet","No department has set this job up - nothing can pull through",IF(D191="","No cost centre",IF(AND(U191="Y",B191=""),"Marked posted to Xero but has no invoice number",IF(N191="","Cost centre has no revenue GL on the Lists sheet",IF(T191="Xero higher - check dept","Invoiced more than the department says the job is worth","")))))))))</f>
        <v/>
      </c>
      <c r="AB191" s="28">
        <f>IF(A191="","",COUNTIFS(tbl_Finance[Job Number],A191&amp;"",tbl_Finance[Ex GST],"&lt;&gt;"))</f>
        <v/>
      </c>
      <c r="AC191" s="27">
        <f>IF(A191="","",SUMIFS(tbl_Finance[Ex GST],tbl_Finance[Job Number],A191&amp;""))</f>
        <v/>
      </c>
      <c r="AD191" s="27">
        <f>IF(A191="","",SUMIFS(tbl_Finance[Ex GST],tbl_Finance[Job Number],A191&amp;"",tbl_Finance[Xero Invoice No],"&lt;&gt;"))</f>
        <v/>
      </c>
      <c r="AE191" s="27">
        <f>IF(A191="","",AC191-AD191)</f>
        <v/>
      </c>
      <c r="AF191" s="26">
        <f>IF(A191="","",IFERROR(IF(INDEX(tbl_Onsite[Qwilr Quote],IFERROR(MATCH(A191&amp;"",tbl_Onsite[Job Number],0),MATCH(IFERROR(A191+0,A191),tbl_Onsite[Job Number],0)))="","",INDEX(tbl_Onsite[Qwilr Quote],IFERROR(MATCH(A191&amp;"",tbl_Onsite[Job Number],0),MATCH(IFERROR(A191+0,A191),tbl_Onsite[Job Number],0)))),IFERROR(IF(IF(INDEX(tbl_Production[Current RMS No],IFERROR(MATCH(A191&amp;"",tbl_Production[Job Number],0),MATCH(IFERROR(A191+0,A191),tbl_Production[Job Number],0)))="",INDEX(tbl_Production[Qwilr Quote],IFERROR(MATCH(A191&amp;"",tbl_Production[Job Number],0),MATCH(IFERROR(A191+0,A191),tbl_Production[Job Number],0))),INDEX(tbl_Production[Current RMS No],IFERROR(MATCH(A191&amp;"",tbl_Production[Job Number],0),MATCH(IFERROR(A191+0,A191),tbl_Production[Job Number],0))))="","",IF(INDEX(tbl_Production[Current RMS No],IFERROR(MATCH(A191&amp;"",tbl_Production[Job Number],0),MATCH(IFERROR(A191+0,A191),tbl_Production[Job Number],0)))="",INDEX(tbl_Production[Qwilr Quote],IFERROR(MATCH(A191&amp;"",tbl_Production[Job Number],0),MATCH(IFERROR(A191+0,A191),tbl_Production[Job Number],0))),INDEX(tbl_Production[Current RMS No],IFERROR(MATCH(A191&amp;"",tbl_Production[Job Number],0),MATCH(IFERROR(A191+0,A191),tbl_Production[Job Number],0))))),IFERROR(IF(INDEX(tbl_Consulting[Qwilr Quote],IFERROR(MATCH(A191&amp;"",tbl_Consulting[Job Number],0),MATCH(IFERROR(A191+0,A191),tbl_Consulting[Job Number],0)))="","",INDEX(tbl_Consulting[Qwilr Quote],IFERROR(MATCH(A191&amp;"",tbl_Consulting[Job Number],0),MATCH(IFERROR(A191+0,A191),tbl_Consulting[Job Number],0)))),""))))</f>
        <v/>
      </c>
      <c r="AG191" s="26">
        <f>IF(AF191="","",IF(AND(LEFT(AF191,4)&lt;&gt;"http",IF(G191="Production",set_RMSBase,set_QwilrBase)=""),"",HYPERLINK(IF(LEFT(AF191,4)="http",AF191,IF(G191="Production",set_RMSBase,set_QwilrBase)&amp;AF191),"Open")))</f>
        <v/>
      </c>
      <c r="AH191" s="27">
        <f>IF(A191="","",IFERROR(INDEX(tbl_Production[Total Expense],IFERROR(MATCH(A191&amp;"",tbl_Production[Job Number],0),MATCH(IFERROR(A191+0,A191),tbl_Production[Job Number],0))),IFERROR(INDEX(tbl_Consulting[Total Expense],IFERROR(MATCH(A191&amp;"",tbl_Consulting[Job Number],0),MATCH(IFERROR(A191+0,A191),tbl_Consulting[Job Number],0))),0)))</f>
        <v/>
      </c>
      <c r="AI191" s="27">
        <f>IF(A191="","",AC191-N(AH191))</f>
        <v/>
      </c>
      <c r="AJ191" s="29">
        <f>IFERROR(AI191/AC191,"")</f>
        <v/>
      </c>
      <c r="AK191" s="26">
        <f>IF(A191="","",IFERROR(IF(INDEX(tbl_Onsite[Notes],IFERROR(MATCH(A191&amp;"",tbl_Onsite[Job Number],0),MATCH(IFERROR(A191+0,A191),tbl_Onsite[Job Number],0)))="","",INDEX(tbl_Onsite[Notes],IFERROR(MATCH(A191&amp;"",tbl_Onsite[Job Number],0),MATCH(IFERROR(A191+0,A191),tbl_Onsite[Job Number],0)))),IFERROR(IF(INDEX(tbl_Production[Notes],IFERROR(MATCH(A191&amp;"",tbl_Production[Job Number],0),MATCH(IFERROR(A191+0,A191),tbl_Production[Job Number],0)))="","",INDEX(tbl_Production[Notes],IFERROR(MATCH(A191&amp;"",tbl_Production[Job Number],0),MATCH(IFERROR(A191+0,A191),tbl_Production[Job Number],0)))),IFERROR(IF(INDEX(tbl_Consulting[Notes],IFERROR(MATCH(A191&amp;"",tbl_Consulting[Job Number],0),MATCH(IFERROR(A191+0,A191),tbl_Consulting[Job Number],0)))="","",INDEX(tbl_Consulting[Notes],IFERROR(MATCH(A191&amp;"",tbl_Consulting[Job Number],0),MATCH(IFERROR(A191+0,A191),tbl_Consulting[Job Number],0)))),""))))</f>
        <v/>
      </c>
    </row>
    <row r="192" ht="15" customHeight="1">
      <c r="A192" s="22" t="n"/>
      <c r="B192" s="22" t="n"/>
      <c r="C192" s="23" t="n"/>
      <c r="D192" s="22" t="n"/>
      <c r="E192" s="24" t="n"/>
      <c r="F192" s="25">
        <f>IF(C192="","",EOMONTH(C192,0))</f>
        <v/>
      </c>
      <c r="G192" s="26">
        <f>IF(A192="","",IF(COUNTIF(tbl_Onsite[Job Number],A192&amp;"")&gt;0,"Onsite",IF(COUNTIF(tbl_Production[Job Number],A192&amp;"")&gt;0,"Production",IF(COUNTIF(tbl_Consulting[Job Number],A192&amp;"")&gt;0,"Consulting","not set up yet"))))</f>
        <v/>
      </c>
      <c r="H192" s="26">
        <f>IF(A192="","",IF(COUNTIF(lst_Jobs,A192&amp;"")&gt;0,"OK","CHECK"))</f>
        <v/>
      </c>
      <c r="I192" s="26">
        <f>IF(A192="","",IFERROR(INDEX(lst_JobName,MATCH(A192&amp;"",lst_Jobs,0)),""))</f>
        <v/>
      </c>
      <c r="J192" s="26">
        <f>IF(A192="","",IFERROR(IF(INDEX(tbl_Onsite[Client],IFERROR(MATCH(A192&amp;"",tbl_Onsite[Job Number],0),MATCH(IFERROR(A192+0,A192),tbl_Onsite[Job Number],0)))="","",INDEX(tbl_Onsite[Client],IFERROR(MATCH(A192&amp;"",tbl_Onsite[Job Number],0),MATCH(IFERROR(A192+0,A192),tbl_Onsite[Job Number],0)))),IFERROR(IF(INDEX(tbl_Production[Client],IFERROR(MATCH(A192&amp;"",tbl_Production[Job Number],0),MATCH(IFERROR(A192+0,A192),tbl_Production[Job Number],0)))="","",INDEX(tbl_Production[Client],IFERROR(MATCH(A192&amp;"",tbl_Production[Job Number],0),MATCH(IFERROR(A192+0,A192),tbl_Production[Job Number],0)))),IFERROR(IF(INDEX(tbl_Consulting[Client],IFERROR(MATCH(A192&amp;"",tbl_Consulting[Job Number],0),MATCH(IFERROR(A192+0,A192),tbl_Consulting[Job Number],0)))="","",INDEX(tbl_Consulting[Client],IFERROR(MATCH(A192&amp;"",tbl_Consulting[Job Number],0),MATCH(IFERROR(A192+0,A192),tbl_Consulting[Job Number],0)))),""))))</f>
        <v/>
      </c>
      <c r="K192" s="26">
        <f>IF(A192="","",IFERROR(IF(INDEX(tbl_Onsite[Job Description],IFERROR(MATCH(A192&amp;"",tbl_Onsite[Job Number],0),MATCH(IFERROR(A192+0,A192),tbl_Onsite[Job Number],0)))="","",INDEX(tbl_Onsite[Job Description],IFERROR(MATCH(A192&amp;"",tbl_Onsite[Job Number],0),MATCH(IFERROR(A192+0,A192),tbl_Onsite[Job Number],0)))),IFERROR(IF(INDEX(tbl_Production[Job Description],IFERROR(MATCH(A192&amp;"",tbl_Production[Job Number],0),MATCH(IFERROR(A192+0,A192),tbl_Production[Job Number],0)))="","",INDEX(tbl_Production[Job Description],IFERROR(MATCH(A192&amp;"",tbl_Production[Job Number],0),MATCH(IFERROR(A192+0,A192),tbl_Production[Job Number],0)))),IFERROR(IF(INDEX(tbl_Consulting[Job Description],IFERROR(MATCH(A192&amp;"",tbl_Consulting[Job Number],0),MATCH(IFERROR(A192+0,A192),tbl_Consulting[Job Number],0)))="","",INDEX(tbl_Consulting[Job Description],IFERROR(MATCH(A192&amp;"",tbl_Consulting[Job Number],0),MATCH(IFERROR(A192+0,A192),tbl_Consulting[Job Number],0)))),""))))</f>
        <v/>
      </c>
      <c r="L192" s="26">
        <f>IF(A192="","",IFERROR(IF(INDEX(tbl_Onsite[Invoice Type],IFERROR(MATCH(A192&amp;"",tbl_Onsite[Job Number],0),MATCH(IFERROR(A192+0,A192),tbl_Onsite[Job Number],0)))="","",INDEX(tbl_Onsite[Invoice Type],IFERROR(MATCH(A192&amp;"",tbl_Onsite[Job Number],0),MATCH(IFERROR(A192+0,A192),tbl_Onsite[Job Number],0)))),IFERROR(IF(INDEX(tbl_Production[Invoice Type],IFERROR(MATCH(A192&amp;"",tbl_Production[Job Number],0),MATCH(IFERROR(A192+0,A192),tbl_Production[Job Number],0)))="","",INDEX(tbl_Production[Invoice Type],IFERROR(MATCH(A192&amp;"",tbl_Production[Job Number],0),MATCH(IFERROR(A192+0,A192),tbl_Production[Job Number],0)))),IFERROR(IF(INDEX(tbl_Consulting[Invoice Type],IFERROR(MATCH(A192&amp;"",tbl_Consulting[Job Number],0),MATCH(IFERROR(A192+0,A192),tbl_Consulting[Job Number],0)))="","",INDEX(tbl_Consulting[Invoice Type],IFERROR(MATCH(A192&amp;"",tbl_Consulting[Job Number],0),MATCH(IFERROR(A192+0,A192),tbl_Consulting[Job Number],0)))),""))))</f>
        <v/>
      </c>
      <c r="M192" s="26">
        <f>IF(A192="","",IF(IFERROR(IF(INDEX(tbl_Onsite[Tax Code],IFERROR(MATCH(A192&amp;"",tbl_Onsite[Job Number],0),MATCH(IFERROR(A192+0,A192),tbl_Onsite[Job Number],0)))="","",INDEX(tbl_Onsite[Tax Code],IFERROR(MATCH(A192&amp;"",tbl_Onsite[Job Number],0),MATCH(IFERROR(A192+0,A192),tbl_Onsite[Job Number],0)))),IFERROR(IF(INDEX(tbl_Production[Tax Code],IFERROR(MATCH(A192&amp;"",tbl_Production[Job Number],0),MATCH(IFERROR(A192+0,A192),tbl_Production[Job Number],0)))="","",INDEX(tbl_Production[Tax Code],IFERROR(MATCH(A192&amp;"",tbl_Production[Job Number],0),MATCH(IFERROR(A192+0,A192),tbl_Production[Job Number],0)))),IFERROR(IF(INDEX(tbl_Consulting[Tax Code],IFERROR(MATCH(A192&amp;"",tbl_Consulting[Job Number],0),MATCH(IFERROR(A192+0,A192),tbl_Consulting[Job Number],0)))="","",INDEX(tbl_Consulting[Tax Code],IFERROR(MATCH(A192&amp;"",tbl_Consulting[Job Number],0),MATCH(IFERROR(A192+0,A192),tbl_Consulting[Job Number],0)))),"")))="","GST 10%",IFERROR(IF(INDEX(tbl_Onsite[Tax Code],IFERROR(MATCH(A192&amp;"",tbl_Onsite[Job Number],0),MATCH(IFERROR(A192+0,A192),tbl_Onsite[Job Number],0)))="","",INDEX(tbl_Onsite[Tax Code],IFERROR(MATCH(A192&amp;"",tbl_Onsite[Job Number],0),MATCH(IFERROR(A192+0,A192),tbl_Onsite[Job Number],0)))),IFERROR(IF(INDEX(tbl_Production[Tax Code],IFERROR(MATCH(A192&amp;"",tbl_Production[Job Number],0),MATCH(IFERROR(A192+0,A192),tbl_Production[Job Number],0)))="","",INDEX(tbl_Production[Tax Code],IFERROR(MATCH(A192&amp;"",tbl_Production[Job Number],0),MATCH(IFERROR(A192+0,A192),tbl_Production[Job Number],0)))),IFERROR(IF(INDEX(tbl_Consulting[Tax Code],IFERROR(MATCH(A192&amp;"",tbl_Consulting[Job Number],0),MATCH(IFERROR(A192+0,A192),tbl_Consulting[Job Number],0)))="","",INDEX(tbl_Consulting[Tax Code],IFERROR(MATCH(A192&amp;"",tbl_Consulting[Job Number],0),MATCH(IFERROR(A192+0,A192),tbl_Consulting[Job Number],0)))),"")))))</f>
        <v/>
      </c>
      <c r="N192" s="26">
        <f>IF(D192="","",IFERROR(INDEX(lst_CCtoGL,MATCH(D192,lst_CCforGL,0)),""))</f>
        <v/>
      </c>
      <c r="O192" s="27">
        <f>IF(E192="","",IF(M192="GST 10%",ROUND(E192*set_GSTRate,2),0))</f>
        <v/>
      </c>
      <c r="P192" s="27">
        <f>IF(E192="","",E192+O192)</f>
        <v/>
      </c>
      <c r="Q192" s="27">
        <f>IF(A192="","",IFERROR(INDEX(tbl_Onsite[Expected Revenue Ex GST],IFERROR(MATCH(A192&amp;"",tbl_Onsite[Job Number],0),MATCH(IFERROR(A192+0,A192),tbl_Onsite[Job Number],0))),IFERROR(INDEX(tbl_Production[Expected Revenue Ex GST],IFERROR(MATCH(A192&amp;"",tbl_Production[Job Number],0),MATCH(IFERROR(A192+0,A192),tbl_Production[Job Number],0))),IFERROR(INDEX(tbl_Consulting[Expected Revenue Ex GST],IFERROR(MATCH(A192&amp;"",tbl_Consulting[Job Number],0),MATCH(IFERROR(A192+0,A192),tbl_Consulting[Job Number],0))),0))))</f>
        <v/>
      </c>
      <c r="R192" s="27">
        <f>IF(A192="","",SUMIFS(tbl_Finance[Ex GST],tbl_Finance[Job Number],A192&amp;""))</f>
        <v/>
      </c>
      <c r="S192" s="27">
        <f>IF(A192="","",Q192-R192)</f>
        <v/>
      </c>
      <c r="T192" s="26">
        <f>IF(A192="","",IF(Q192=0,"No dept value",IF(ROUND(S192,2)=0,"Agrees",IF(S192&gt;0,"Dept higher - to invoice","Xero higher - check dept"))))</f>
        <v/>
      </c>
      <c r="U192" s="22" t="n"/>
      <c r="V192" s="22" t="n"/>
      <c r="W192" s="23" t="n"/>
      <c r="X192" s="23" t="n"/>
      <c r="Y192" s="22" t="n"/>
      <c r="Z192" s="22" t="n"/>
      <c r="AA192" s="26">
        <f>IF(COUNTA(C192,A192,B192,E192)=0,"",IF(C192="","No date - sits outside every month",IF(A192="","No job number",IF(H192="CHECK","Job number is not in the Xero job list",IF(G192="not set up yet","No department has set this job up - nothing can pull through",IF(D192="","No cost centre",IF(AND(U192="Y",B192=""),"Marked posted to Xero but has no invoice number",IF(N192="","Cost centre has no revenue GL on the Lists sheet",IF(T192="Xero higher - check dept","Invoiced more than the department says the job is worth","")))))))))</f>
        <v/>
      </c>
      <c r="AB192" s="28">
        <f>IF(A192="","",COUNTIFS(tbl_Finance[Job Number],A192&amp;"",tbl_Finance[Ex GST],"&lt;&gt;"))</f>
        <v/>
      </c>
      <c r="AC192" s="27">
        <f>IF(A192="","",SUMIFS(tbl_Finance[Ex GST],tbl_Finance[Job Number],A192&amp;""))</f>
        <v/>
      </c>
      <c r="AD192" s="27">
        <f>IF(A192="","",SUMIFS(tbl_Finance[Ex GST],tbl_Finance[Job Number],A192&amp;"",tbl_Finance[Xero Invoice No],"&lt;&gt;"))</f>
        <v/>
      </c>
      <c r="AE192" s="27">
        <f>IF(A192="","",AC192-AD192)</f>
        <v/>
      </c>
      <c r="AF192" s="26">
        <f>IF(A192="","",IFERROR(IF(INDEX(tbl_Onsite[Qwilr Quote],IFERROR(MATCH(A192&amp;"",tbl_Onsite[Job Number],0),MATCH(IFERROR(A192+0,A192),tbl_Onsite[Job Number],0)))="","",INDEX(tbl_Onsite[Qwilr Quote],IFERROR(MATCH(A192&amp;"",tbl_Onsite[Job Number],0),MATCH(IFERROR(A192+0,A192),tbl_Onsite[Job Number],0)))),IFERROR(IF(IF(INDEX(tbl_Production[Current RMS No],IFERROR(MATCH(A192&amp;"",tbl_Production[Job Number],0),MATCH(IFERROR(A192+0,A192),tbl_Production[Job Number],0)))="",INDEX(tbl_Production[Qwilr Quote],IFERROR(MATCH(A192&amp;"",tbl_Production[Job Number],0),MATCH(IFERROR(A192+0,A192),tbl_Production[Job Number],0))),INDEX(tbl_Production[Current RMS No],IFERROR(MATCH(A192&amp;"",tbl_Production[Job Number],0),MATCH(IFERROR(A192+0,A192),tbl_Production[Job Number],0))))="","",IF(INDEX(tbl_Production[Current RMS No],IFERROR(MATCH(A192&amp;"",tbl_Production[Job Number],0),MATCH(IFERROR(A192+0,A192),tbl_Production[Job Number],0)))="",INDEX(tbl_Production[Qwilr Quote],IFERROR(MATCH(A192&amp;"",tbl_Production[Job Number],0),MATCH(IFERROR(A192+0,A192),tbl_Production[Job Number],0))),INDEX(tbl_Production[Current RMS No],IFERROR(MATCH(A192&amp;"",tbl_Production[Job Number],0),MATCH(IFERROR(A192+0,A192),tbl_Production[Job Number],0))))),IFERROR(IF(INDEX(tbl_Consulting[Qwilr Quote],IFERROR(MATCH(A192&amp;"",tbl_Consulting[Job Number],0),MATCH(IFERROR(A192+0,A192),tbl_Consulting[Job Number],0)))="","",INDEX(tbl_Consulting[Qwilr Quote],IFERROR(MATCH(A192&amp;"",tbl_Consulting[Job Number],0),MATCH(IFERROR(A192+0,A192),tbl_Consulting[Job Number],0)))),""))))</f>
        <v/>
      </c>
      <c r="AG192" s="26">
        <f>IF(AF192="","",IF(AND(LEFT(AF192,4)&lt;&gt;"http",IF(G192="Production",set_RMSBase,set_QwilrBase)=""),"",HYPERLINK(IF(LEFT(AF192,4)="http",AF192,IF(G192="Production",set_RMSBase,set_QwilrBase)&amp;AF192),"Open")))</f>
        <v/>
      </c>
      <c r="AH192" s="27">
        <f>IF(A192="","",IFERROR(INDEX(tbl_Production[Total Expense],IFERROR(MATCH(A192&amp;"",tbl_Production[Job Number],0),MATCH(IFERROR(A192+0,A192),tbl_Production[Job Number],0))),IFERROR(INDEX(tbl_Consulting[Total Expense],IFERROR(MATCH(A192&amp;"",tbl_Consulting[Job Number],0),MATCH(IFERROR(A192+0,A192),tbl_Consulting[Job Number],0))),0)))</f>
        <v/>
      </c>
      <c r="AI192" s="27">
        <f>IF(A192="","",AC192-N(AH192))</f>
        <v/>
      </c>
      <c r="AJ192" s="29">
        <f>IFERROR(AI192/AC192,"")</f>
        <v/>
      </c>
      <c r="AK192" s="26">
        <f>IF(A192="","",IFERROR(IF(INDEX(tbl_Onsite[Notes],IFERROR(MATCH(A192&amp;"",tbl_Onsite[Job Number],0),MATCH(IFERROR(A192+0,A192),tbl_Onsite[Job Number],0)))="","",INDEX(tbl_Onsite[Notes],IFERROR(MATCH(A192&amp;"",tbl_Onsite[Job Number],0),MATCH(IFERROR(A192+0,A192),tbl_Onsite[Job Number],0)))),IFERROR(IF(INDEX(tbl_Production[Notes],IFERROR(MATCH(A192&amp;"",tbl_Production[Job Number],0),MATCH(IFERROR(A192+0,A192),tbl_Production[Job Number],0)))="","",INDEX(tbl_Production[Notes],IFERROR(MATCH(A192&amp;"",tbl_Production[Job Number],0),MATCH(IFERROR(A192+0,A192),tbl_Production[Job Number],0)))),IFERROR(IF(INDEX(tbl_Consulting[Notes],IFERROR(MATCH(A192&amp;"",tbl_Consulting[Job Number],0),MATCH(IFERROR(A192+0,A192),tbl_Consulting[Job Number],0)))="","",INDEX(tbl_Consulting[Notes],IFERROR(MATCH(A192&amp;"",tbl_Consulting[Job Number],0),MATCH(IFERROR(A192+0,A192),tbl_Consulting[Job Number],0)))),""))))</f>
        <v/>
      </c>
    </row>
    <row r="193" ht="15" customHeight="1">
      <c r="A193" s="22" t="n"/>
      <c r="B193" s="22" t="n"/>
      <c r="C193" s="23" t="n"/>
      <c r="D193" s="22" t="n"/>
      <c r="E193" s="24" t="n"/>
      <c r="F193" s="25">
        <f>IF(C193="","",EOMONTH(C193,0))</f>
        <v/>
      </c>
      <c r="G193" s="26">
        <f>IF(A193="","",IF(COUNTIF(tbl_Onsite[Job Number],A193&amp;"")&gt;0,"Onsite",IF(COUNTIF(tbl_Production[Job Number],A193&amp;"")&gt;0,"Production",IF(COUNTIF(tbl_Consulting[Job Number],A193&amp;"")&gt;0,"Consulting","not set up yet"))))</f>
        <v/>
      </c>
      <c r="H193" s="26">
        <f>IF(A193="","",IF(COUNTIF(lst_Jobs,A193&amp;"")&gt;0,"OK","CHECK"))</f>
        <v/>
      </c>
      <c r="I193" s="26">
        <f>IF(A193="","",IFERROR(INDEX(lst_JobName,MATCH(A193&amp;"",lst_Jobs,0)),""))</f>
        <v/>
      </c>
      <c r="J193" s="26">
        <f>IF(A193="","",IFERROR(IF(INDEX(tbl_Onsite[Client],IFERROR(MATCH(A193&amp;"",tbl_Onsite[Job Number],0),MATCH(IFERROR(A193+0,A193),tbl_Onsite[Job Number],0)))="","",INDEX(tbl_Onsite[Client],IFERROR(MATCH(A193&amp;"",tbl_Onsite[Job Number],0),MATCH(IFERROR(A193+0,A193),tbl_Onsite[Job Number],0)))),IFERROR(IF(INDEX(tbl_Production[Client],IFERROR(MATCH(A193&amp;"",tbl_Production[Job Number],0),MATCH(IFERROR(A193+0,A193),tbl_Production[Job Number],0)))="","",INDEX(tbl_Production[Client],IFERROR(MATCH(A193&amp;"",tbl_Production[Job Number],0),MATCH(IFERROR(A193+0,A193),tbl_Production[Job Number],0)))),IFERROR(IF(INDEX(tbl_Consulting[Client],IFERROR(MATCH(A193&amp;"",tbl_Consulting[Job Number],0),MATCH(IFERROR(A193+0,A193),tbl_Consulting[Job Number],0)))="","",INDEX(tbl_Consulting[Client],IFERROR(MATCH(A193&amp;"",tbl_Consulting[Job Number],0),MATCH(IFERROR(A193+0,A193),tbl_Consulting[Job Number],0)))),""))))</f>
        <v/>
      </c>
      <c r="K193" s="26">
        <f>IF(A193="","",IFERROR(IF(INDEX(tbl_Onsite[Job Description],IFERROR(MATCH(A193&amp;"",tbl_Onsite[Job Number],0),MATCH(IFERROR(A193+0,A193),tbl_Onsite[Job Number],0)))="","",INDEX(tbl_Onsite[Job Description],IFERROR(MATCH(A193&amp;"",tbl_Onsite[Job Number],0),MATCH(IFERROR(A193+0,A193),tbl_Onsite[Job Number],0)))),IFERROR(IF(INDEX(tbl_Production[Job Description],IFERROR(MATCH(A193&amp;"",tbl_Production[Job Number],0),MATCH(IFERROR(A193+0,A193),tbl_Production[Job Number],0)))="","",INDEX(tbl_Production[Job Description],IFERROR(MATCH(A193&amp;"",tbl_Production[Job Number],0),MATCH(IFERROR(A193+0,A193),tbl_Production[Job Number],0)))),IFERROR(IF(INDEX(tbl_Consulting[Job Description],IFERROR(MATCH(A193&amp;"",tbl_Consulting[Job Number],0),MATCH(IFERROR(A193+0,A193),tbl_Consulting[Job Number],0)))="","",INDEX(tbl_Consulting[Job Description],IFERROR(MATCH(A193&amp;"",tbl_Consulting[Job Number],0),MATCH(IFERROR(A193+0,A193),tbl_Consulting[Job Number],0)))),""))))</f>
        <v/>
      </c>
      <c r="L193" s="26">
        <f>IF(A193="","",IFERROR(IF(INDEX(tbl_Onsite[Invoice Type],IFERROR(MATCH(A193&amp;"",tbl_Onsite[Job Number],0),MATCH(IFERROR(A193+0,A193),tbl_Onsite[Job Number],0)))="","",INDEX(tbl_Onsite[Invoice Type],IFERROR(MATCH(A193&amp;"",tbl_Onsite[Job Number],0),MATCH(IFERROR(A193+0,A193),tbl_Onsite[Job Number],0)))),IFERROR(IF(INDEX(tbl_Production[Invoice Type],IFERROR(MATCH(A193&amp;"",tbl_Production[Job Number],0),MATCH(IFERROR(A193+0,A193),tbl_Production[Job Number],0)))="","",INDEX(tbl_Production[Invoice Type],IFERROR(MATCH(A193&amp;"",tbl_Production[Job Number],0),MATCH(IFERROR(A193+0,A193),tbl_Production[Job Number],0)))),IFERROR(IF(INDEX(tbl_Consulting[Invoice Type],IFERROR(MATCH(A193&amp;"",tbl_Consulting[Job Number],0),MATCH(IFERROR(A193+0,A193),tbl_Consulting[Job Number],0)))="","",INDEX(tbl_Consulting[Invoice Type],IFERROR(MATCH(A193&amp;"",tbl_Consulting[Job Number],0),MATCH(IFERROR(A193+0,A193),tbl_Consulting[Job Number],0)))),""))))</f>
        <v/>
      </c>
      <c r="M193" s="26">
        <f>IF(A193="","",IF(IFERROR(IF(INDEX(tbl_Onsite[Tax Code],IFERROR(MATCH(A193&amp;"",tbl_Onsite[Job Number],0),MATCH(IFERROR(A193+0,A193),tbl_Onsite[Job Number],0)))="","",INDEX(tbl_Onsite[Tax Code],IFERROR(MATCH(A193&amp;"",tbl_Onsite[Job Number],0),MATCH(IFERROR(A193+0,A193),tbl_Onsite[Job Number],0)))),IFERROR(IF(INDEX(tbl_Production[Tax Code],IFERROR(MATCH(A193&amp;"",tbl_Production[Job Number],0),MATCH(IFERROR(A193+0,A193),tbl_Production[Job Number],0)))="","",INDEX(tbl_Production[Tax Code],IFERROR(MATCH(A193&amp;"",tbl_Production[Job Number],0),MATCH(IFERROR(A193+0,A193),tbl_Production[Job Number],0)))),IFERROR(IF(INDEX(tbl_Consulting[Tax Code],IFERROR(MATCH(A193&amp;"",tbl_Consulting[Job Number],0),MATCH(IFERROR(A193+0,A193),tbl_Consulting[Job Number],0)))="","",INDEX(tbl_Consulting[Tax Code],IFERROR(MATCH(A193&amp;"",tbl_Consulting[Job Number],0),MATCH(IFERROR(A193+0,A193),tbl_Consulting[Job Number],0)))),"")))="","GST 10%",IFERROR(IF(INDEX(tbl_Onsite[Tax Code],IFERROR(MATCH(A193&amp;"",tbl_Onsite[Job Number],0),MATCH(IFERROR(A193+0,A193),tbl_Onsite[Job Number],0)))="","",INDEX(tbl_Onsite[Tax Code],IFERROR(MATCH(A193&amp;"",tbl_Onsite[Job Number],0),MATCH(IFERROR(A193+0,A193),tbl_Onsite[Job Number],0)))),IFERROR(IF(INDEX(tbl_Production[Tax Code],IFERROR(MATCH(A193&amp;"",tbl_Production[Job Number],0),MATCH(IFERROR(A193+0,A193),tbl_Production[Job Number],0)))="","",INDEX(tbl_Production[Tax Code],IFERROR(MATCH(A193&amp;"",tbl_Production[Job Number],0),MATCH(IFERROR(A193+0,A193),tbl_Production[Job Number],0)))),IFERROR(IF(INDEX(tbl_Consulting[Tax Code],IFERROR(MATCH(A193&amp;"",tbl_Consulting[Job Number],0),MATCH(IFERROR(A193+0,A193),tbl_Consulting[Job Number],0)))="","",INDEX(tbl_Consulting[Tax Code],IFERROR(MATCH(A193&amp;"",tbl_Consulting[Job Number],0),MATCH(IFERROR(A193+0,A193),tbl_Consulting[Job Number],0)))),"")))))</f>
        <v/>
      </c>
      <c r="N193" s="26">
        <f>IF(D193="","",IFERROR(INDEX(lst_CCtoGL,MATCH(D193,lst_CCforGL,0)),""))</f>
        <v/>
      </c>
      <c r="O193" s="27">
        <f>IF(E193="","",IF(M193="GST 10%",ROUND(E193*set_GSTRate,2),0))</f>
        <v/>
      </c>
      <c r="P193" s="27">
        <f>IF(E193="","",E193+O193)</f>
        <v/>
      </c>
      <c r="Q193" s="27">
        <f>IF(A193="","",IFERROR(INDEX(tbl_Onsite[Expected Revenue Ex GST],IFERROR(MATCH(A193&amp;"",tbl_Onsite[Job Number],0),MATCH(IFERROR(A193+0,A193),tbl_Onsite[Job Number],0))),IFERROR(INDEX(tbl_Production[Expected Revenue Ex GST],IFERROR(MATCH(A193&amp;"",tbl_Production[Job Number],0),MATCH(IFERROR(A193+0,A193),tbl_Production[Job Number],0))),IFERROR(INDEX(tbl_Consulting[Expected Revenue Ex GST],IFERROR(MATCH(A193&amp;"",tbl_Consulting[Job Number],0),MATCH(IFERROR(A193+0,A193),tbl_Consulting[Job Number],0))),0))))</f>
        <v/>
      </c>
      <c r="R193" s="27">
        <f>IF(A193="","",SUMIFS(tbl_Finance[Ex GST],tbl_Finance[Job Number],A193&amp;""))</f>
        <v/>
      </c>
      <c r="S193" s="27">
        <f>IF(A193="","",Q193-R193)</f>
        <v/>
      </c>
      <c r="T193" s="26">
        <f>IF(A193="","",IF(Q193=0,"No dept value",IF(ROUND(S193,2)=0,"Agrees",IF(S193&gt;0,"Dept higher - to invoice","Xero higher - check dept"))))</f>
        <v/>
      </c>
      <c r="U193" s="22" t="n"/>
      <c r="V193" s="22" t="n"/>
      <c r="W193" s="23" t="n"/>
      <c r="X193" s="23" t="n"/>
      <c r="Y193" s="22" t="n"/>
      <c r="Z193" s="22" t="n"/>
      <c r="AA193" s="26">
        <f>IF(COUNTA(C193,A193,B193,E193)=0,"",IF(C193="","No date - sits outside every month",IF(A193="","No job number",IF(H193="CHECK","Job number is not in the Xero job list",IF(G193="not set up yet","No department has set this job up - nothing can pull through",IF(D193="","No cost centre",IF(AND(U193="Y",B193=""),"Marked posted to Xero but has no invoice number",IF(N193="","Cost centre has no revenue GL on the Lists sheet",IF(T193="Xero higher - check dept","Invoiced more than the department says the job is worth","")))))))))</f>
        <v/>
      </c>
      <c r="AB193" s="28">
        <f>IF(A193="","",COUNTIFS(tbl_Finance[Job Number],A193&amp;"",tbl_Finance[Ex GST],"&lt;&gt;"))</f>
        <v/>
      </c>
      <c r="AC193" s="27">
        <f>IF(A193="","",SUMIFS(tbl_Finance[Ex GST],tbl_Finance[Job Number],A193&amp;""))</f>
        <v/>
      </c>
      <c r="AD193" s="27">
        <f>IF(A193="","",SUMIFS(tbl_Finance[Ex GST],tbl_Finance[Job Number],A193&amp;"",tbl_Finance[Xero Invoice No],"&lt;&gt;"))</f>
        <v/>
      </c>
      <c r="AE193" s="27">
        <f>IF(A193="","",AC193-AD193)</f>
        <v/>
      </c>
      <c r="AF193" s="26">
        <f>IF(A193="","",IFERROR(IF(INDEX(tbl_Onsite[Qwilr Quote],IFERROR(MATCH(A193&amp;"",tbl_Onsite[Job Number],0),MATCH(IFERROR(A193+0,A193),tbl_Onsite[Job Number],0)))="","",INDEX(tbl_Onsite[Qwilr Quote],IFERROR(MATCH(A193&amp;"",tbl_Onsite[Job Number],0),MATCH(IFERROR(A193+0,A193),tbl_Onsite[Job Number],0)))),IFERROR(IF(IF(INDEX(tbl_Production[Current RMS No],IFERROR(MATCH(A193&amp;"",tbl_Production[Job Number],0),MATCH(IFERROR(A193+0,A193),tbl_Production[Job Number],0)))="",INDEX(tbl_Production[Qwilr Quote],IFERROR(MATCH(A193&amp;"",tbl_Production[Job Number],0),MATCH(IFERROR(A193+0,A193),tbl_Production[Job Number],0))),INDEX(tbl_Production[Current RMS No],IFERROR(MATCH(A193&amp;"",tbl_Production[Job Number],0),MATCH(IFERROR(A193+0,A193),tbl_Production[Job Number],0))))="","",IF(INDEX(tbl_Production[Current RMS No],IFERROR(MATCH(A193&amp;"",tbl_Production[Job Number],0),MATCH(IFERROR(A193+0,A193),tbl_Production[Job Number],0)))="",INDEX(tbl_Production[Qwilr Quote],IFERROR(MATCH(A193&amp;"",tbl_Production[Job Number],0),MATCH(IFERROR(A193+0,A193),tbl_Production[Job Number],0))),INDEX(tbl_Production[Current RMS No],IFERROR(MATCH(A193&amp;"",tbl_Production[Job Number],0),MATCH(IFERROR(A193+0,A193),tbl_Production[Job Number],0))))),IFERROR(IF(INDEX(tbl_Consulting[Qwilr Quote],IFERROR(MATCH(A193&amp;"",tbl_Consulting[Job Number],0),MATCH(IFERROR(A193+0,A193),tbl_Consulting[Job Number],0)))="","",INDEX(tbl_Consulting[Qwilr Quote],IFERROR(MATCH(A193&amp;"",tbl_Consulting[Job Number],0),MATCH(IFERROR(A193+0,A193),tbl_Consulting[Job Number],0)))),""))))</f>
        <v/>
      </c>
      <c r="AG193" s="26">
        <f>IF(AF193="","",IF(AND(LEFT(AF193,4)&lt;&gt;"http",IF(G193="Production",set_RMSBase,set_QwilrBase)=""),"",HYPERLINK(IF(LEFT(AF193,4)="http",AF193,IF(G193="Production",set_RMSBase,set_QwilrBase)&amp;AF193),"Open")))</f>
        <v/>
      </c>
      <c r="AH193" s="27">
        <f>IF(A193="","",IFERROR(INDEX(tbl_Production[Total Expense],IFERROR(MATCH(A193&amp;"",tbl_Production[Job Number],0),MATCH(IFERROR(A193+0,A193),tbl_Production[Job Number],0))),IFERROR(INDEX(tbl_Consulting[Total Expense],IFERROR(MATCH(A193&amp;"",tbl_Consulting[Job Number],0),MATCH(IFERROR(A193+0,A193),tbl_Consulting[Job Number],0))),0)))</f>
        <v/>
      </c>
      <c r="AI193" s="27">
        <f>IF(A193="","",AC193-N(AH193))</f>
        <v/>
      </c>
      <c r="AJ193" s="29">
        <f>IFERROR(AI193/AC193,"")</f>
        <v/>
      </c>
      <c r="AK193" s="26">
        <f>IF(A193="","",IFERROR(IF(INDEX(tbl_Onsite[Notes],IFERROR(MATCH(A193&amp;"",tbl_Onsite[Job Number],0),MATCH(IFERROR(A193+0,A193),tbl_Onsite[Job Number],0)))="","",INDEX(tbl_Onsite[Notes],IFERROR(MATCH(A193&amp;"",tbl_Onsite[Job Number],0),MATCH(IFERROR(A193+0,A193),tbl_Onsite[Job Number],0)))),IFERROR(IF(INDEX(tbl_Production[Notes],IFERROR(MATCH(A193&amp;"",tbl_Production[Job Number],0),MATCH(IFERROR(A193+0,A193),tbl_Production[Job Number],0)))="","",INDEX(tbl_Production[Notes],IFERROR(MATCH(A193&amp;"",tbl_Production[Job Number],0),MATCH(IFERROR(A193+0,A193),tbl_Production[Job Number],0)))),IFERROR(IF(INDEX(tbl_Consulting[Notes],IFERROR(MATCH(A193&amp;"",tbl_Consulting[Job Number],0),MATCH(IFERROR(A193+0,A193),tbl_Consulting[Job Number],0)))="","",INDEX(tbl_Consulting[Notes],IFERROR(MATCH(A193&amp;"",tbl_Consulting[Job Number],0),MATCH(IFERROR(A193+0,A193),tbl_Consulting[Job Number],0)))),""))))</f>
        <v/>
      </c>
    </row>
    <row r="194" ht="15" customHeight="1">
      <c r="A194" s="22" t="n"/>
      <c r="B194" s="22" t="n"/>
      <c r="C194" s="23" t="n"/>
      <c r="D194" s="22" t="n"/>
      <c r="E194" s="24" t="n"/>
      <c r="F194" s="25">
        <f>IF(C194="","",EOMONTH(C194,0))</f>
        <v/>
      </c>
      <c r="G194" s="26">
        <f>IF(A194="","",IF(COUNTIF(tbl_Onsite[Job Number],A194&amp;"")&gt;0,"Onsite",IF(COUNTIF(tbl_Production[Job Number],A194&amp;"")&gt;0,"Production",IF(COUNTIF(tbl_Consulting[Job Number],A194&amp;"")&gt;0,"Consulting","not set up yet"))))</f>
        <v/>
      </c>
      <c r="H194" s="26">
        <f>IF(A194="","",IF(COUNTIF(lst_Jobs,A194&amp;"")&gt;0,"OK","CHECK"))</f>
        <v/>
      </c>
      <c r="I194" s="26">
        <f>IF(A194="","",IFERROR(INDEX(lst_JobName,MATCH(A194&amp;"",lst_Jobs,0)),""))</f>
        <v/>
      </c>
      <c r="J194" s="26">
        <f>IF(A194="","",IFERROR(IF(INDEX(tbl_Onsite[Client],IFERROR(MATCH(A194&amp;"",tbl_Onsite[Job Number],0),MATCH(IFERROR(A194+0,A194),tbl_Onsite[Job Number],0)))="","",INDEX(tbl_Onsite[Client],IFERROR(MATCH(A194&amp;"",tbl_Onsite[Job Number],0),MATCH(IFERROR(A194+0,A194),tbl_Onsite[Job Number],0)))),IFERROR(IF(INDEX(tbl_Production[Client],IFERROR(MATCH(A194&amp;"",tbl_Production[Job Number],0),MATCH(IFERROR(A194+0,A194),tbl_Production[Job Number],0)))="","",INDEX(tbl_Production[Client],IFERROR(MATCH(A194&amp;"",tbl_Production[Job Number],0),MATCH(IFERROR(A194+0,A194),tbl_Production[Job Number],0)))),IFERROR(IF(INDEX(tbl_Consulting[Client],IFERROR(MATCH(A194&amp;"",tbl_Consulting[Job Number],0),MATCH(IFERROR(A194+0,A194),tbl_Consulting[Job Number],0)))="","",INDEX(tbl_Consulting[Client],IFERROR(MATCH(A194&amp;"",tbl_Consulting[Job Number],0),MATCH(IFERROR(A194+0,A194),tbl_Consulting[Job Number],0)))),""))))</f>
        <v/>
      </c>
      <c r="K194" s="26">
        <f>IF(A194="","",IFERROR(IF(INDEX(tbl_Onsite[Job Description],IFERROR(MATCH(A194&amp;"",tbl_Onsite[Job Number],0),MATCH(IFERROR(A194+0,A194),tbl_Onsite[Job Number],0)))="","",INDEX(tbl_Onsite[Job Description],IFERROR(MATCH(A194&amp;"",tbl_Onsite[Job Number],0),MATCH(IFERROR(A194+0,A194),tbl_Onsite[Job Number],0)))),IFERROR(IF(INDEX(tbl_Production[Job Description],IFERROR(MATCH(A194&amp;"",tbl_Production[Job Number],0),MATCH(IFERROR(A194+0,A194),tbl_Production[Job Number],0)))="","",INDEX(tbl_Production[Job Description],IFERROR(MATCH(A194&amp;"",tbl_Production[Job Number],0),MATCH(IFERROR(A194+0,A194),tbl_Production[Job Number],0)))),IFERROR(IF(INDEX(tbl_Consulting[Job Description],IFERROR(MATCH(A194&amp;"",tbl_Consulting[Job Number],0),MATCH(IFERROR(A194+0,A194),tbl_Consulting[Job Number],0)))="","",INDEX(tbl_Consulting[Job Description],IFERROR(MATCH(A194&amp;"",tbl_Consulting[Job Number],0),MATCH(IFERROR(A194+0,A194),tbl_Consulting[Job Number],0)))),""))))</f>
        <v/>
      </c>
      <c r="L194" s="26">
        <f>IF(A194="","",IFERROR(IF(INDEX(tbl_Onsite[Invoice Type],IFERROR(MATCH(A194&amp;"",tbl_Onsite[Job Number],0),MATCH(IFERROR(A194+0,A194),tbl_Onsite[Job Number],0)))="","",INDEX(tbl_Onsite[Invoice Type],IFERROR(MATCH(A194&amp;"",tbl_Onsite[Job Number],0),MATCH(IFERROR(A194+0,A194),tbl_Onsite[Job Number],0)))),IFERROR(IF(INDEX(tbl_Production[Invoice Type],IFERROR(MATCH(A194&amp;"",tbl_Production[Job Number],0),MATCH(IFERROR(A194+0,A194),tbl_Production[Job Number],0)))="","",INDEX(tbl_Production[Invoice Type],IFERROR(MATCH(A194&amp;"",tbl_Production[Job Number],0),MATCH(IFERROR(A194+0,A194),tbl_Production[Job Number],0)))),IFERROR(IF(INDEX(tbl_Consulting[Invoice Type],IFERROR(MATCH(A194&amp;"",tbl_Consulting[Job Number],0),MATCH(IFERROR(A194+0,A194),tbl_Consulting[Job Number],0)))="","",INDEX(tbl_Consulting[Invoice Type],IFERROR(MATCH(A194&amp;"",tbl_Consulting[Job Number],0),MATCH(IFERROR(A194+0,A194),tbl_Consulting[Job Number],0)))),""))))</f>
        <v/>
      </c>
      <c r="M194" s="26">
        <f>IF(A194="","",IF(IFERROR(IF(INDEX(tbl_Onsite[Tax Code],IFERROR(MATCH(A194&amp;"",tbl_Onsite[Job Number],0),MATCH(IFERROR(A194+0,A194),tbl_Onsite[Job Number],0)))="","",INDEX(tbl_Onsite[Tax Code],IFERROR(MATCH(A194&amp;"",tbl_Onsite[Job Number],0),MATCH(IFERROR(A194+0,A194),tbl_Onsite[Job Number],0)))),IFERROR(IF(INDEX(tbl_Production[Tax Code],IFERROR(MATCH(A194&amp;"",tbl_Production[Job Number],0),MATCH(IFERROR(A194+0,A194),tbl_Production[Job Number],0)))="","",INDEX(tbl_Production[Tax Code],IFERROR(MATCH(A194&amp;"",tbl_Production[Job Number],0),MATCH(IFERROR(A194+0,A194),tbl_Production[Job Number],0)))),IFERROR(IF(INDEX(tbl_Consulting[Tax Code],IFERROR(MATCH(A194&amp;"",tbl_Consulting[Job Number],0),MATCH(IFERROR(A194+0,A194),tbl_Consulting[Job Number],0)))="","",INDEX(tbl_Consulting[Tax Code],IFERROR(MATCH(A194&amp;"",tbl_Consulting[Job Number],0),MATCH(IFERROR(A194+0,A194),tbl_Consulting[Job Number],0)))),"")))="","GST 10%",IFERROR(IF(INDEX(tbl_Onsite[Tax Code],IFERROR(MATCH(A194&amp;"",tbl_Onsite[Job Number],0),MATCH(IFERROR(A194+0,A194),tbl_Onsite[Job Number],0)))="","",INDEX(tbl_Onsite[Tax Code],IFERROR(MATCH(A194&amp;"",tbl_Onsite[Job Number],0),MATCH(IFERROR(A194+0,A194),tbl_Onsite[Job Number],0)))),IFERROR(IF(INDEX(tbl_Production[Tax Code],IFERROR(MATCH(A194&amp;"",tbl_Production[Job Number],0),MATCH(IFERROR(A194+0,A194),tbl_Production[Job Number],0)))="","",INDEX(tbl_Production[Tax Code],IFERROR(MATCH(A194&amp;"",tbl_Production[Job Number],0),MATCH(IFERROR(A194+0,A194),tbl_Production[Job Number],0)))),IFERROR(IF(INDEX(tbl_Consulting[Tax Code],IFERROR(MATCH(A194&amp;"",tbl_Consulting[Job Number],0),MATCH(IFERROR(A194+0,A194),tbl_Consulting[Job Number],0)))="","",INDEX(tbl_Consulting[Tax Code],IFERROR(MATCH(A194&amp;"",tbl_Consulting[Job Number],0),MATCH(IFERROR(A194+0,A194),tbl_Consulting[Job Number],0)))),"")))))</f>
        <v/>
      </c>
      <c r="N194" s="26">
        <f>IF(D194="","",IFERROR(INDEX(lst_CCtoGL,MATCH(D194,lst_CCforGL,0)),""))</f>
        <v/>
      </c>
      <c r="O194" s="27">
        <f>IF(E194="","",IF(M194="GST 10%",ROUND(E194*set_GSTRate,2),0))</f>
        <v/>
      </c>
      <c r="P194" s="27">
        <f>IF(E194="","",E194+O194)</f>
        <v/>
      </c>
      <c r="Q194" s="27">
        <f>IF(A194="","",IFERROR(INDEX(tbl_Onsite[Expected Revenue Ex GST],IFERROR(MATCH(A194&amp;"",tbl_Onsite[Job Number],0),MATCH(IFERROR(A194+0,A194),tbl_Onsite[Job Number],0))),IFERROR(INDEX(tbl_Production[Expected Revenue Ex GST],IFERROR(MATCH(A194&amp;"",tbl_Production[Job Number],0),MATCH(IFERROR(A194+0,A194),tbl_Production[Job Number],0))),IFERROR(INDEX(tbl_Consulting[Expected Revenue Ex GST],IFERROR(MATCH(A194&amp;"",tbl_Consulting[Job Number],0),MATCH(IFERROR(A194+0,A194),tbl_Consulting[Job Number],0))),0))))</f>
        <v/>
      </c>
      <c r="R194" s="27">
        <f>IF(A194="","",SUMIFS(tbl_Finance[Ex GST],tbl_Finance[Job Number],A194&amp;""))</f>
        <v/>
      </c>
      <c r="S194" s="27">
        <f>IF(A194="","",Q194-R194)</f>
        <v/>
      </c>
      <c r="T194" s="26">
        <f>IF(A194="","",IF(Q194=0,"No dept value",IF(ROUND(S194,2)=0,"Agrees",IF(S194&gt;0,"Dept higher - to invoice","Xero higher - check dept"))))</f>
        <v/>
      </c>
      <c r="U194" s="22" t="n"/>
      <c r="V194" s="22" t="n"/>
      <c r="W194" s="23" t="n"/>
      <c r="X194" s="23" t="n"/>
      <c r="Y194" s="22" t="n"/>
      <c r="Z194" s="22" t="n"/>
      <c r="AA194" s="26">
        <f>IF(COUNTA(C194,A194,B194,E194)=0,"",IF(C194="","No date - sits outside every month",IF(A194="","No job number",IF(H194="CHECK","Job number is not in the Xero job list",IF(G194="not set up yet","No department has set this job up - nothing can pull through",IF(D194="","No cost centre",IF(AND(U194="Y",B194=""),"Marked posted to Xero but has no invoice number",IF(N194="","Cost centre has no revenue GL on the Lists sheet",IF(T194="Xero higher - check dept","Invoiced more than the department says the job is worth","")))))))))</f>
        <v/>
      </c>
      <c r="AB194" s="28">
        <f>IF(A194="","",COUNTIFS(tbl_Finance[Job Number],A194&amp;"",tbl_Finance[Ex GST],"&lt;&gt;"))</f>
        <v/>
      </c>
      <c r="AC194" s="27">
        <f>IF(A194="","",SUMIFS(tbl_Finance[Ex GST],tbl_Finance[Job Number],A194&amp;""))</f>
        <v/>
      </c>
      <c r="AD194" s="27">
        <f>IF(A194="","",SUMIFS(tbl_Finance[Ex GST],tbl_Finance[Job Number],A194&amp;"",tbl_Finance[Xero Invoice No],"&lt;&gt;"))</f>
        <v/>
      </c>
      <c r="AE194" s="27">
        <f>IF(A194="","",AC194-AD194)</f>
        <v/>
      </c>
      <c r="AF194" s="26">
        <f>IF(A194="","",IFERROR(IF(INDEX(tbl_Onsite[Qwilr Quote],IFERROR(MATCH(A194&amp;"",tbl_Onsite[Job Number],0),MATCH(IFERROR(A194+0,A194),tbl_Onsite[Job Number],0)))="","",INDEX(tbl_Onsite[Qwilr Quote],IFERROR(MATCH(A194&amp;"",tbl_Onsite[Job Number],0),MATCH(IFERROR(A194+0,A194),tbl_Onsite[Job Number],0)))),IFERROR(IF(IF(INDEX(tbl_Production[Current RMS No],IFERROR(MATCH(A194&amp;"",tbl_Production[Job Number],0),MATCH(IFERROR(A194+0,A194),tbl_Production[Job Number],0)))="",INDEX(tbl_Production[Qwilr Quote],IFERROR(MATCH(A194&amp;"",tbl_Production[Job Number],0),MATCH(IFERROR(A194+0,A194),tbl_Production[Job Number],0))),INDEX(tbl_Production[Current RMS No],IFERROR(MATCH(A194&amp;"",tbl_Production[Job Number],0),MATCH(IFERROR(A194+0,A194),tbl_Production[Job Number],0))))="","",IF(INDEX(tbl_Production[Current RMS No],IFERROR(MATCH(A194&amp;"",tbl_Production[Job Number],0),MATCH(IFERROR(A194+0,A194),tbl_Production[Job Number],0)))="",INDEX(tbl_Production[Qwilr Quote],IFERROR(MATCH(A194&amp;"",tbl_Production[Job Number],0),MATCH(IFERROR(A194+0,A194),tbl_Production[Job Number],0))),INDEX(tbl_Production[Current RMS No],IFERROR(MATCH(A194&amp;"",tbl_Production[Job Number],0),MATCH(IFERROR(A194+0,A194),tbl_Production[Job Number],0))))),IFERROR(IF(INDEX(tbl_Consulting[Qwilr Quote],IFERROR(MATCH(A194&amp;"",tbl_Consulting[Job Number],0),MATCH(IFERROR(A194+0,A194),tbl_Consulting[Job Number],0)))="","",INDEX(tbl_Consulting[Qwilr Quote],IFERROR(MATCH(A194&amp;"",tbl_Consulting[Job Number],0),MATCH(IFERROR(A194+0,A194),tbl_Consulting[Job Number],0)))),""))))</f>
        <v/>
      </c>
      <c r="AG194" s="26">
        <f>IF(AF194="","",IF(AND(LEFT(AF194,4)&lt;&gt;"http",IF(G194="Production",set_RMSBase,set_QwilrBase)=""),"",HYPERLINK(IF(LEFT(AF194,4)="http",AF194,IF(G194="Production",set_RMSBase,set_QwilrBase)&amp;AF194),"Open")))</f>
        <v/>
      </c>
      <c r="AH194" s="27">
        <f>IF(A194="","",IFERROR(INDEX(tbl_Production[Total Expense],IFERROR(MATCH(A194&amp;"",tbl_Production[Job Number],0),MATCH(IFERROR(A194+0,A194),tbl_Production[Job Number],0))),IFERROR(INDEX(tbl_Consulting[Total Expense],IFERROR(MATCH(A194&amp;"",tbl_Consulting[Job Number],0),MATCH(IFERROR(A194+0,A194),tbl_Consulting[Job Number],0))),0)))</f>
        <v/>
      </c>
      <c r="AI194" s="27">
        <f>IF(A194="","",AC194-N(AH194))</f>
        <v/>
      </c>
      <c r="AJ194" s="29">
        <f>IFERROR(AI194/AC194,"")</f>
        <v/>
      </c>
      <c r="AK194" s="26">
        <f>IF(A194="","",IFERROR(IF(INDEX(tbl_Onsite[Notes],IFERROR(MATCH(A194&amp;"",tbl_Onsite[Job Number],0),MATCH(IFERROR(A194+0,A194),tbl_Onsite[Job Number],0)))="","",INDEX(tbl_Onsite[Notes],IFERROR(MATCH(A194&amp;"",tbl_Onsite[Job Number],0),MATCH(IFERROR(A194+0,A194),tbl_Onsite[Job Number],0)))),IFERROR(IF(INDEX(tbl_Production[Notes],IFERROR(MATCH(A194&amp;"",tbl_Production[Job Number],0),MATCH(IFERROR(A194+0,A194),tbl_Production[Job Number],0)))="","",INDEX(tbl_Production[Notes],IFERROR(MATCH(A194&amp;"",tbl_Production[Job Number],0),MATCH(IFERROR(A194+0,A194),tbl_Production[Job Number],0)))),IFERROR(IF(INDEX(tbl_Consulting[Notes],IFERROR(MATCH(A194&amp;"",tbl_Consulting[Job Number],0),MATCH(IFERROR(A194+0,A194),tbl_Consulting[Job Number],0)))="","",INDEX(tbl_Consulting[Notes],IFERROR(MATCH(A194&amp;"",tbl_Consulting[Job Number],0),MATCH(IFERROR(A194+0,A194),tbl_Consulting[Job Number],0)))),""))))</f>
        <v/>
      </c>
    </row>
    <row r="195" ht="15" customHeight="1">
      <c r="A195" s="22" t="n"/>
      <c r="B195" s="22" t="n"/>
      <c r="C195" s="23" t="n"/>
      <c r="D195" s="22" t="n"/>
      <c r="E195" s="24" t="n"/>
      <c r="F195" s="25">
        <f>IF(C195="","",EOMONTH(C195,0))</f>
        <v/>
      </c>
      <c r="G195" s="26">
        <f>IF(A195="","",IF(COUNTIF(tbl_Onsite[Job Number],A195&amp;"")&gt;0,"Onsite",IF(COUNTIF(tbl_Production[Job Number],A195&amp;"")&gt;0,"Production",IF(COUNTIF(tbl_Consulting[Job Number],A195&amp;"")&gt;0,"Consulting","not set up yet"))))</f>
        <v/>
      </c>
      <c r="H195" s="26">
        <f>IF(A195="","",IF(COUNTIF(lst_Jobs,A195&amp;"")&gt;0,"OK","CHECK"))</f>
        <v/>
      </c>
      <c r="I195" s="26">
        <f>IF(A195="","",IFERROR(INDEX(lst_JobName,MATCH(A195&amp;"",lst_Jobs,0)),""))</f>
        <v/>
      </c>
      <c r="J195" s="26">
        <f>IF(A195="","",IFERROR(IF(INDEX(tbl_Onsite[Client],IFERROR(MATCH(A195&amp;"",tbl_Onsite[Job Number],0),MATCH(IFERROR(A195+0,A195),tbl_Onsite[Job Number],0)))="","",INDEX(tbl_Onsite[Client],IFERROR(MATCH(A195&amp;"",tbl_Onsite[Job Number],0),MATCH(IFERROR(A195+0,A195),tbl_Onsite[Job Number],0)))),IFERROR(IF(INDEX(tbl_Production[Client],IFERROR(MATCH(A195&amp;"",tbl_Production[Job Number],0),MATCH(IFERROR(A195+0,A195),tbl_Production[Job Number],0)))="","",INDEX(tbl_Production[Client],IFERROR(MATCH(A195&amp;"",tbl_Production[Job Number],0),MATCH(IFERROR(A195+0,A195),tbl_Production[Job Number],0)))),IFERROR(IF(INDEX(tbl_Consulting[Client],IFERROR(MATCH(A195&amp;"",tbl_Consulting[Job Number],0),MATCH(IFERROR(A195+0,A195),tbl_Consulting[Job Number],0)))="","",INDEX(tbl_Consulting[Client],IFERROR(MATCH(A195&amp;"",tbl_Consulting[Job Number],0),MATCH(IFERROR(A195+0,A195),tbl_Consulting[Job Number],0)))),""))))</f>
        <v/>
      </c>
      <c r="K195" s="26">
        <f>IF(A195="","",IFERROR(IF(INDEX(tbl_Onsite[Job Description],IFERROR(MATCH(A195&amp;"",tbl_Onsite[Job Number],0),MATCH(IFERROR(A195+0,A195),tbl_Onsite[Job Number],0)))="","",INDEX(tbl_Onsite[Job Description],IFERROR(MATCH(A195&amp;"",tbl_Onsite[Job Number],0),MATCH(IFERROR(A195+0,A195),tbl_Onsite[Job Number],0)))),IFERROR(IF(INDEX(tbl_Production[Job Description],IFERROR(MATCH(A195&amp;"",tbl_Production[Job Number],0),MATCH(IFERROR(A195+0,A195),tbl_Production[Job Number],0)))="","",INDEX(tbl_Production[Job Description],IFERROR(MATCH(A195&amp;"",tbl_Production[Job Number],0),MATCH(IFERROR(A195+0,A195),tbl_Production[Job Number],0)))),IFERROR(IF(INDEX(tbl_Consulting[Job Description],IFERROR(MATCH(A195&amp;"",tbl_Consulting[Job Number],0),MATCH(IFERROR(A195+0,A195),tbl_Consulting[Job Number],0)))="","",INDEX(tbl_Consulting[Job Description],IFERROR(MATCH(A195&amp;"",tbl_Consulting[Job Number],0),MATCH(IFERROR(A195+0,A195),tbl_Consulting[Job Number],0)))),""))))</f>
        <v/>
      </c>
      <c r="L195" s="26">
        <f>IF(A195="","",IFERROR(IF(INDEX(tbl_Onsite[Invoice Type],IFERROR(MATCH(A195&amp;"",tbl_Onsite[Job Number],0),MATCH(IFERROR(A195+0,A195),tbl_Onsite[Job Number],0)))="","",INDEX(tbl_Onsite[Invoice Type],IFERROR(MATCH(A195&amp;"",tbl_Onsite[Job Number],0),MATCH(IFERROR(A195+0,A195),tbl_Onsite[Job Number],0)))),IFERROR(IF(INDEX(tbl_Production[Invoice Type],IFERROR(MATCH(A195&amp;"",tbl_Production[Job Number],0),MATCH(IFERROR(A195+0,A195),tbl_Production[Job Number],0)))="","",INDEX(tbl_Production[Invoice Type],IFERROR(MATCH(A195&amp;"",tbl_Production[Job Number],0),MATCH(IFERROR(A195+0,A195),tbl_Production[Job Number],0)))),IFERROR(IF(INDEX(tbl_Consulting[Invoice Type],IFERROR(MATCH(A195&amp;"",tbl_Consulting[Job Number],0),MATCH(IFERROR(A195+0,A195),tbl_Consulting[Job Number],0)))="","",INDEX(tbl_Consulting[Invoice Type],IFERROR(MATCH(A195&amp;"",tbl_Consulting[Job Number],0),MATCH(IFERROR(A195+0,A195),tbl_Consulting[Job Number],0)))),""))))</f>
        <v/>
      </c>
      <c r="M195" s="26">
        <f>IF(A195="","",IF(IFERROR(IF(INDEX(tbl_Onsite[Tax Code],IFERROR(MATCH(A195&amp;"",tbl_Onsite[Job Number],0),MATCH(IFERROR(A195+0,A195),tbl_Onsite[Job Number],0)))="","",INDEX(tbl_Onsite[Tax Code],IFERROR(MATCH(A195&amp;"",tbl_Onsite[Job Number],0),MATCH(IFERROR(A195+0,A195),tbl_Onsite[Job Number],0)))),IFERROR(IF(INDEX(tbl_Production[Tax Code],IFERROR(MATCH(A195&amp;"",tbl_Production[Job Number],0),MATCH(IFERROR(A195+0,A195),tbl_Production[Job Number],0)))="","",INDEX(tbl_Production[Tax Code],IFERROR(MATCH(A195&amp;"",tbl_Production[Job Number],0),MATCH(IFERROR(A195+0,A195),tbl_Production[Job Number],0)))),IFERROR(IF(INDEX(tbl_Consulting[Tax Code],IFERROR(MATCH(A195&amp;"",tbl_Consulting[Job Number],0),MATCH(IFERROR(A195+0,A195),tbl_Consulting[Job Number],0)))="","",INDEX(tbl_Consulting[Tax Code],IFERROR(MATCH(A195&amp;"",tbl_Consulting[Job Number],0),MATCH(IFERROR(A195+0,A195),tbl_Consulting[Job Number],0)))),"")))="","GST 10%",IFERROR(IF(INDEX(tbl_Onsite[Tax Code],IFERROR(MATCH(A195&amp;"",tbl_Onsite[Job Number],0),MATCH(IFERROR(A195+0,A195),tbl_Onsite[Job Number],0)))="","",INDEX(tbl_Onsite[Tax Code],IFERROR(MATCH(A195&amp;"",tbl_Onsite[Job Number],0),MATCH(IFERROR(A195+0,A195),tbl_Onsite[Job Number],0)))),IFERROR(IF(INDEX(tbl_Production[Tax Code],IFERROR(MATCH(A195&amp;"",tbl_Production[Job Number],0),MATCH(IFERROR(A195+0,A195),tbl_Production[Job Number],0)))="","",INDEX(tbl_Production[Tax Code],IFERROR(MATCH(A195&amp;"",tbl_Production[Job Number],0),MATCH(IFERROR(A195+0,A195),tbl_Production[Job Number],0)))),IFERROR(IF(INDEX(tbl_Consulting[Tax Code],IFERROR(MATCH(A195&amp;"",tbl_Consulting[Job Number],0),MATCH(IFERROR(A195+0,A195),tbl_Consulting[Job Number],0)))="","",INDEX(tbl_Consulting[Tax Code],IFERROR(MATCH(A195&amp;"",tbl_Consulting[Job Number],0),MATCH(IFERROR(A195+0,A195),tbl_Consulting[Job Number],0)))),"")))))</f>
        <v/>
      </c>
      <c r="N195" s="26">
        <f>IF(D195="","",IFERROR(INDEX(lst_CCtoGL,MATCH(D195,lst_CCforGL,0)),""))</f>
        <v/>
      </c>
      <c r="O195" s="27">
        <f>IF(E195="","",IF(M195="GST 10%",ROUND(E195*set_GSTRate,2),0))</f>
        <v/>
      </c>
      <c r="P195" s="27">
        <f>IF(E195="","",E195+O195)</f>
        <v/>
      </c>
      <c r="Q195" s="27">
        <f>IF(A195="","",IFERROR(INDEX(tbl_Onsite[Expected Revenue Ex GST],IFERROR(MATCH(A195&amp;"",tbl_Onsite[Job Number],0),MATCH(IFERROR(A195+0,A195),tbl_Onsite[Job Number],0))),IFERROR(INDEX(tbl_Production[Expected Revenue Ex GST],IFERROR(MATCH(A195&amp;"",tbl_Production[Job Number],0),MATCH(IFERROR(A195+0,A195),tbl_Production[Job Number],0))),IFERROR(INDEX(tbl_Consulting[Expected Revenue Ex GST],IFERROR(MATCH(A195&amp;"",tbl_Consulting[Job Number],0),MATCH(IFERROR(A195+0,A195),tbl_Consulting[Job Number],0))),0))))</f>
        <v/>
      </c>
      <c r="R195" s="27">
        <f>IF(A195="","",SUMIFS(tbl_Finance[Ex GST],tbl_Finance[Job Number],A195&amp;""))</f>
        <v/>
      </c>
      <c r="S195" s="27">
        <f>IF(A195="","",Q195-R195)</f>
        <v/>
      </c>
      <c r="T195" s="26">
        <f>IF(A195="","",IF(Q195=0,"No dept value",IF(ROUND(S195,2)=0,"Agrees",IF(S195&gt;0,"Dept higher - to invoice","Xero higher - check dept"))))</f>
        <v/>
      </c>
      <c r="U195" s="22" t="n"/>
      <c r="V195" s="22" t="n"/>
      <c r="W195" s="23" t="n"/>
      <c r="X195" s="23" t="n"/>
      <c r="Y195" s="22" t="n"/>
      <c r="Z195" s="22" t="n"/>
      <c r="AA195" s="26">
        <f>IF(COUNTA(C195,A195,B195,E195)=0,"",IF(C195="","No date - sits outside every month",IF(A195="","No job number",IF(H195="CHECK","Job number is not in the Xero job list",IF(G195="not set up yet","No department has set this job up - nothing can pull through",IF(D195="","No cost centre",IF(AND(U195="Y",B195=""),"Marked posted to Xero but has no invoice number",IF(N195="","Cost centre has no revenue GL on the Lists sheet",IF(T195="Xero higher - check dept","Invoiced more than the department says the job is worth","")))))))))</f>
        <v/>
      </c>
      <c r="AB195" s="28">
        <f>IF(A195="","",COUNTIFS(tbl_Finance[Job Number],A195&amp;"",tbl_Finance[Ex GST],"&lt;&gt;"))</f>
        <v/>
      </c>
      <c r="AC195" s="27">
        <f>IF(A195="","",SUMIFS(tbl_Finance[Ex GST],tbl_Finance[Job Number],A195&amp;""))</f>
        <v/>
      </c>
      <c r="AD195" s="27">
        <f>IF(A195="","",SUMIFS(tbl_Finance[Ex GST],tbl_Finance[Job Number],A195&amp;"",tbl_Finance[Xero Invoice No],"&lt;&gt;"))</f>
        <v/>
      </c>
      <c r="AE195" s="27">
        <f>IF(A195="","",AC195-AD195)</f>
        <v/>
      </c>
      <c r="AF195" s="26">
        <f>IF(A195="","",IFERROR(IF(INDEX(tbl_Onsite[Qwilr Quote],IFERROR(MATCH(A195&amp;"",tbl_Onsite[Job Number],0),MATCH(IFERROR(A195+0,A195),tbl_Onsite[Job Number],0)))="","",INDEX(tbl_Onsite[Qwilr Quote],IFERROR(MATCH(A195&amp;"",tbl_Onsite[Job Number],0),MATCH(IFERROR(A195+0,A195),tbl_Onsite[Job Number],0)))),IFERROR(IF(IF(INDEX(tbl_Production[Current RMS No],IFERROR(MATCH(A195&amp;"",tbl_Production[Job Number],0),MATCH(IFERROR(A195+0,A195),tbl_Production[Job Number],0)))="",INDEX(tbl_Production[Qwilr Quote],IFERROR(MATCH(A195&amp;"",tbl_Production[Job Number],0),MATCH(IFERROR(A195+0,A195),tbl_Production[Job Number],0))),INDEX(tbl_Production[Current RMS No],IFERROR(MATCH(A195&amp;"",tbl_Production[Job Number],0),MATCH(IFERROR(A195+0,A195),tbl_Production[Job Number],0))))="","",IF(INDEX(tbl_Production[Current RMS No],IFERROR(MATCH(A195&amp;"",tbl_Production[Job Number],0),MATCH(IFERROR(A195+0,A195),tbl_Production[Job Number],0)))="",INDEX(tbl_Production[Qwilr Quote],IFERROR(MATCH(A195&amp;"",tbl_Production[Job Number],0),MATCH(IFERROR(A195+0,A195),tbl_Production[Job Number],0))),INDEX(tbl_Production[Current RMS No],IFERROR(MATCH(A195&amp;"",tbl_Production[Job Number],0),MATCH(IFERROR(A195+0,A195),tbl_Production[Job Number],0))))),IFERROR(IF(INDEX(tbl_Consulting[Qwilr Quote],IFERROR(MATCH(A195&amp;"",tbl_Consulting[Job Number],0),MATCH(IFERROR(A195+0,A195),tbl_Consulting[Job Number],0)))="","",INDEX(tbl_Consulting[Qwilr Quote],IFERROR(MATCH(A195&amp;"",tbl_Consulting[Job Number],0),MATCH(IFERROR(A195+0,A195),tbl_Consulting[Job Number],0)))),""))))</f>
        <v/>
      </c>
      <c r="AG195" s="26">
        <f>IF(AF195="","",IF(AND(LEFT(AF195,4)&lt;&gt;"http",IF(G195="Production",set_RMSBase,set_QwilrBase)=""),"",HYPERLINK(IF(LEFT(AF195,4)="http",AF195,IF(G195="Production",set_RMSBase,set_QwilrBase)&amp;AF195),"Open")))</f>
        <v/>
      </c>
      <c r="AH195" s="27">
        <f>IF(A195="","",IFERROR(INDEX(tbl_Production[Total Expense],IFERROR(MATCH(A195&amp;"",tbl_Production[Job Number],0),MATCH(IFERROR(A195+0,A195),tbl_Production[Job Number],0))),IFERROR(INDEX(tbl_Consulting[Total Expense],IFERROR(MATCH(A195&amp;"",tbl_Consulting[Job Number],0),MATCH(IFERROR(A195+0,A195),tbl_Consulting[Job Number],0))),0)))</f>
        <v/>
      </c>
      <c r="AI195" s="27">
        <f>IF(A195="","",AC195-N(AH195))</f>
        <v/>
      </c>
      <c r="AJ195" s="29">
        <f>IFERROR(AI195/AC195,"")</f>
        <v/>
      </c>
      <c r="AK195" s="26">
        <f>IF(A195="","",IFERROR(IF(INDEX(tbl_Onsite[Notes],IFERROR(MATCH(A195&amp;"",tbl_Onsite[Job Number],0),MATCH(IFERROR(A195+0,A195),tbl_Onsite[Job Number],0)))="","",INDEX(tbl_Onsite[Notes],IFERROR(MATCH(A195&amp;"",tbl_Onsite[Job Number],0),MATCH(IFERROR(A195+0,A195),tbl_Onsite[Job Number],0)))),IFERROR(IF(INDEX(tbl_Production[Notes],IFERROR(MATCH(A195&amp;"",tbl_Production[Job Number],0),MATCH(IFERROR(A195+0,A195),tbl_Production[Job Number],0)))="","",INDEX(tbl_Production[Notes],IFERROR(MATCH(A195&amp;"",tbl_Production[Job Number],0),MATCH(IFERROR(A195+0,A195),tbl_Production[Job Number],0)))),IFERROR(IF(INDEX(tbl_Consulting[Notes],IFERROR(MATCH(A195&amp;"",tbl_Consulting[Job Number],0),MATCH(IFERROR(A195+0,A195),tbl_Consulting[Job Number],0)))="","",INDEX(tbl_Consulting[Notes],IFERROR(MATCH(A195&amp;"",tbl_Consulting[Job Number],0),MATCH(IFERROR(A195+0,A195),tbl_Consulting[Job Number],0)))),""))))</f>
        <v/>
      </c>
    </row>
    <row r="196" ht="15" customHeight="1">
      <c r="A196" s="22" t="n"/>
      <c r="B196" s="22" t="n"/>
      <c r="C196" s="23" t="n"/>
      <c r="D196" s="22" t="n"/>
      <c r="E196" s="24" t="n"/>
      <c r="F196" s="25">
        <f>IF(C196="","",EOMONTH(C196,0))</f>
        <v/>
      </c>
      <c r="G196" s="26">
        <f>IF(A196="","",IF(COUNTIF(tbl_Onsite[Job Number],A196&amp;"")&gt;0,"Onsite",IF(COUNTIF(tbl_Production[Job Number],A196&amp;"")&gt;0,"Production",IF(COUNTIF(tbl_Consulting[Job Number],A196&amp;"")&gt;0,"Consulting","not set up yet"))))</f>
        <v/>
      </c>
      <c r="H196" s="26">
        <f>IF(A196="","",IF(COUNTIF(lst_Jobs,A196&amp;"")&gt;0,"OK","CHECK"))</f>
        <v/>
      </c>
      <c r="I196" s="26">
        <f>IF(A196="","",IFERROR(INDEX(lst_JobName,MATCH(A196&amp;"",lst_Jobs,0)),""))</f>
        <v/>
      </c>
      <c r="J196" s="26">
        <f>IF(A196="","",IFERROR(IF(INDEX(tbl_Onsite[Client],IFERROR(MATCH(A196&amp;"",tbl_Onsite[Job Number],0),MATCH(IFERROR(A196+0,A196),tbl_Onsite[Job Number],0)))="","",INDEX(tbl_Onsite[Client],IFERROR(MATCH(A196&amp;"",tbl_Onsite[Job Number],0),MATCH(IFERROR(A196+0,A196),tbl_Onsite[Job Number],0)))),IFERROR(IF(INDEX(tbl_Production[Client],IFERROR(MATCH(A196&amp;"",tbl_Production[Job Number],0),MATCH(IFERROR(A196+0,A196),tbl_Production[Job Number],0)))="","",INDEX(tbl_Production[Client],IFERROR(MATCH(A196&amp;"",tbl_Production[Job Number],0),MATCH(IFERROR(A196+0,A196),tbl_Production[Job Number],0)))),IFERROR(IF(INDEX(tbl_Consulting[Client],IFERROR(MATCH(A196&amp;"",tbl_Consulting[Job Number],0),MATCH(IFERROR(A196+0,A196),tbl_Consulting[Job Number],0)))="","",INDEX(tbl_Consulting[Client],IFERROR(MATCH(A196&amp;"",tbl_Consulting[Job Number],0),MATCH(IFERROR(A196+0,A196),tbl_Consulting[Job Number],0)))),""))))</f>
        <v/>
      </c>
      <c r="K196" s="26">
        <f>IF(A196="","",IFERROR(IF(INDEX(tbl_Onsite[Job Description],IFERROR(MATCH(A196&amp;"",tbl_Onsite[Job Number],0),MATCH(IFERROR(A196+0,A196),tbl_Onsite[Job Number],0)))="","",INDEX(tbl_Onsite[Job Description],IFERROR(MATCH(A196&amp;"",tbl_Onsite[Job Number],0),MATCH(IFERROR(A196+0,A196),tbl_Onsite[Job Number],0)))),IFERROR(IF(INDEX(tbl_Production[Job Description],IFERROR(MATCH(A196&amp;"",tbl_Production[Job Number],0),MATCH(IFERROR(A196+0,A196),tbl_Production[Job Number],0)))="","",INDEX(tbl_Production[Job Description],IFERROR(MATCH(A196&amp;"",tbl_Production[Job Number],0),MATCH(IFERROR(A196+0,A196),tbl_Production[Job Number],0)))),IFERROR(IF(INDEX(tbl_Consulting[Job Description],IFERROR(MATCH(A196&amp;"",tbl_Consulting[Job Number],0),MATCH(IFERROR(A196+0,A196),tbl_Consulting[Job Number],0)))="","",INDEX(tbl_Consulting[Job Description],IFERROR(MATCH(A196&amp;"",tbl_Consulting[Job Number],0),MATCH(IFERROR(A196+0,A196),tbl_Consulting[Job Number],0)))),""))))</f>
        <v/>
      </c>
      <c r="L196" s="26">
        <f>IF(A196="","",IFERROR(IF(INDEX(tbl_Onsite[Invoice Type],IFERROR(MATCH(A196&amp;"",tbl_Onsite[Job Number],0),MATCH(IFERROR(A196+0,A196),tbl_Onsite[Job Number],0)))="","",INDEX(tbl_Onsite[Invoice Type],IFERROR(MATCH(A196&amp;"",tbl_Onsite[Job Number],0),MATCH(IFERROR(A196+0,A196),tbl_Onsite[Job Number],0)))),IFERROR(IF(INDEX(tbl_Production[Invoice Type],IFERROR(MATCH(A196&amp;"",tbl_Production[Job Number],0),MATCH(IFERROR(A196+0,A196),tbl_Production[Job Number],0)))="","",INDEX(tbl_Production[Invoice Type],IFERROR(MATCH(A196&amp;"",tbl_Production[Job Number],0),MATCH(IFERROR(A196+0,A196),tbl_Production[Job Number],0)))),IFERROR(IF(INDEX(tbl_Consulting[Invoice Type],IFERROR(MATCH(A196&amp;"",tbl_Consulting[Job Number],0),MATCH(IFERROR(A196+0,A196),tbl_Consulting[Job Number],0)))="","",INDEX(tbl_Consulting[Invoice Type],IFERROR(MATCH(A196&amp;"",tbl_Consulting[Job Number],0),MATCH(IFERROR(A196+0,A196),tbl_Consulting[Job Number],0)))),""))))</f>
        <v/>
      </c>
      <c r="M196" s="26">
        <f>IF(A196="","",IF(IFERROR(IF(INDEX(tbl_Onsite[Tax Code],IFERROR(MATCH(A196&amp;"",tbl_Onsite[Job Number],0),MATCH(IFERROR(A196+0,A196),tbl_Onsite[Job Number],0)))="","",INDEX(tbl_Onsite[Tax Code],IFERROR(MATCH(A196&amp;"",tbl_Onsite[Job Number],0),MATCH(IFERROR(A196+0,A196),tbl_Onsite[Job Number],0)))),IFERROR(IF(INDEX(tbl_Production[Tax Code],IFERROR(MATCH(A196&amp;"",tbl_Production[Job Number],0),MATCH(IFERROR(A196+0,A196),tbl_Production[Job Number],0)))="","",INDEX(tbl_Production[Tax Code],IFERROR(MATCH(A196&amp;"",tbl_Production[Job Number],0),MATCH(IFERROR(A196+0,A196),tbl_Production[Job Number],0)))),IFERROR(IF(INDEX(tbl_Consulting[Tax Code],IFERROR(MATCH(A196&amp;"",tbl_Consulting[Job Number],0),MATCH(IFERROR(A196+0,A196),tbl_Consulting[Job Number],0)))="","",INDEX(tbl_Consulting[Tax Code],IFERROR(MATCH(A196&amp;"",tbl_Consulting[Job Number],0),MATCH(IFERROR(A196+0,A196),tbl_Consulting[Job Number],0)))),"")))="","GST 10%",IFERROR(IF(INDEX(tbl_Onsite[Tax Code],IFERROR(MATCH(A196&amp;"",tbl_Onsite[Job Number],0),MATCH(IFERROR(A196+0,A196),tbl_Onsite[Job Number],0)))="","",INDEX(tbl_Onsite[Tax Code],IFERROR(MATCH(A196&amp;"",tbl_Onsite[Job Number],0),MATCH(IFERROR(A196+0,A196),tbl_Onsite[Job Number],0)))),IFERROR(IF(INDEX(tbl_Production[Tax Code],IFERROR(MATCH(A196&amp;"",tbl_Production[Job Number],0),MATCH(IFERROR(A196+0,A196),tbl_Production[Job Number],0)))="","",INDEX(tbl_Production[Tax Code],IFERROR(MATCH(A196&amp;"",tbl_Production[Job Number],0),MATCH(IFERROR(A196+0,A196),tbl_Production[Job Number],0)))),IFERROR(IF(INDEX(tbl_Consulting[Tax Code],IFERROR(MATCH(A196&amp;"",tbl_Consulting[Job Number],0),MATCH(IFERROR(A196+0,A196),tbl_Consulting[Job Number],0)))="","",INDEX(tbl_Consulting[Tax Code],IFERROR(MATCH(A196&amp;"",tbl_Consulting[Job Number],0),MATCH(IFERROR(A196+0,A196),tbl_Consulting[Job Number],0)))),"")))))</f>
        <v/>
      </c>
      <c r="N196" s="26">
        <f>IF(D196="","",IFERROR(INDEX(lst_CCtoGL,MATCH(D196,lst_CCforGL,0)),""))</f>
        <v/>
      </c>
      <c r="O196" s="27">
        <f>IF(E196="","",IF(M196="GST 10%",ROUND(E196*set_GSTRate,2),0))</f>
        <v/>
      </c>
      <c r="P196" s="27">
        <f>IF(E196="","",E196+O196)</f>
        <v/>
      </c>
      <c r="Q196" s="27">
        <f>IF(A196="","",IFERROR(INDEX(tbl_Onsite[Expected Revenue Ex GST],IFERROR(MATCH(A196&amp;"",tbl_Onsite[Job Number],0),MATCH(IFERROR(A196+0,A196),tbl_Onsite[Job Number],0))),IFERROR(INDEX(tbl_Production[Expected Revenue Ex GST],IFERROR(MATCH(A196&amp;"",tbl_Production[Job Number],0),MATCH(IFERROR(A196+0,A196),tbl_Production[Job Number],0))),IFERROR(INDEX(tbl_Consulting[Expected Revenue Ex GST],IFERROR(MATCH(A196&amp;"",tbl_Consulting[Job Number],0),MATCH(IFERROR(A196+0,A196),tbl_Consulting[Job Number],0))),0))))</f>
        <v/>
      </c>
      <c r="R196" s="27">
        <f>IF(A196="","",SUMIFS(tbl_Finance[Ex GST],tbl_Finance[Job Number],A196&amp;""))</f>
        <v/>
      </c>
      <c r="S196" s="27">
        <f>IF(A196="","",Q196-R196)</f>
        <v/>
      </c>
      <c r="T196" s="26">
        <f>IF(A196="","",IF(Q196=0,"No dept value",IF(ROUND(S196,2)=0,"Agrees",IF(S196&gt;0,"Dept higher - to invoice","Xero higher - check dept"))))</f>
        <v/>
      </c>
      <c r="U196" s="22" t="n"/>
      <c r="V196" s="22" t="n"/>
      <c r="W196" s="23" t="n"/>
      <c r="X196" s="23" t="n"/>
      <c r="Y196" s="22" t="n"/>
      <c r="Z196" s="22" t="n"/>
      <c r="AA196" s="26">
        <f>IF(COUNTA(C196,A196,B196,E196)=0,"",IF(C196="","No date - sits outside every month",IF(A196="","No job number",IF(H196="CHECK","Job number is not in the Xero job list",IF(G196="not set up yet","No department has set this job up - nothing can pull through",IF(D196="","No cost centre",IF(AND(U196="Y",B196=""),"Marked posted to Xero but has no invoice number",IF(N196="","Cost centre has no revenue GL on the Lists sheet",IF(T196="Xero higher - check dept","Invoiced more than the department says the job is worth","")))))))))</f>
        <v/>
      </c>
      <c r="AB196" s="28">
        <f>IF(A196="","",COUNTIFS(tbl_Finance[Job Number],A196&amp;"",tbl_Finance[Ex GST],"&lt;&gt;"))</f>
        <v/>
      </c>
      <c r="AC196" s="27">
        <f>IF(A196="","",SUMIFS(tbl_Finance[Ex GST],tbl_Finance[Job Number],A196&amp;""))</f>
        <v/>
      </c>
      <c r="AD196" s="27">
        <f>IF(A196="","",SUMIFS(tbl_Finance[Ex GST],tbl_Finance[Job Number],A196&amp;"",tbl_Finance[Xero Invoice No],"&lt;&gt;"))</f>
        <v/>
      </c>
      <c r="AE196" s="27">
        <f>IF(A196="","",AC196-AD196)</f>
        <v/>
      </c>
      <c r="AF196" s="26">
        <f>IF(A196="","",IFERROR(IF(INDEX(tbl_Onsite[Qwilr Quote],IFERROR(MATCH(A196&amp;"",tbl_Onsite[Job Number],0),MATCH(IFERROR(A196+0,A196),tbl_Onsite[Job Number],0)))="","",INDEX(tbl_Onsite[Qwilr Quote],IFERROR(MATCH(A196&amp;"",tbl_Onsite[Job Number],0),MATCH(IFERROR(A196+0,A196),tbl_Onsite[Job Number],0)))),IFERROR(IF(IF(INDEX(tbl_Production[Current RMS No],IFERROR(MATCH(A196&amp;"",tbl_Production[Job Number],0),MATCH(IFERROR(A196+0,A196),tbl_Production[Job Number],0)))="",INDEX(tbl_Production[Qwilr Quote],IFERROR(MATCH(A196&amp;"",tbl_Production[Job Number],0),MATCH(IFERROR(A196+0,A196),tbl_Production[Job Number],0))),INDEX(tbl_Production[Current RMS No],IFERROR(MATCH(A196&amp;"",tbl_Production[Job Number],0),MATCH(IFERROR(A196+0,A196),tbl_Production[Job Number],0))))="","",IF(INDEX(tbl_Production[Current RMS No],IFERROR(MATCH(A196&amp;"",tbl_Production[Job Number],0),MATCH(IFERROR(A196+0,A196),tbl_Production[Job Number],0)))="",INDEX(tbl_Production[Qwilr Quote],IFERROR(MATCH(A196&amp;"",tbl_Production[Job Number],0),MATCH(IFERROR(A196+0,A196),tbl_Production[Job Number],0))),INDEX(tbl_Production[Current RMS No],IFERROR(MATCH(A196&amp;"",tbl_Production[Job Number],0),MATCH(IFERROR(A196+0,A196),tbl_Production[Job Number],0))))),IFERROR(IF(INDEX(tbl_Consulting[Qwilr Quote],IFERROR(MATCH(A196&amp;"",tbl_Consulting[Job Number],0),MATCH(IFERROR(A196+0,A196),tbl_Consulting[Job Number],0)))="","",INDEX(tbl_Consulting[Qwilr Quote],IFERROR(MATCH(A196&amp;"",tbl_Consulting[Job Number],0),MATCH(IFERROR(A196+0,A196),tbl_Consulting[Job Number],0)))),""))))</f>
        <v/>
      </c>
      <c r="AG196" s="26">
        <f>IF(AF196="","",IF(AND(LEFT(AF196,4)&lt;&gt;"http",IF(G196="Production",set_RMSBase,set_QwilrBase)=""),"",HYPERLINK(IF(LEFT(AF196,4)="http",AF196,IF(G196="Production",set_RMSBase,set_QwilrBase)&amp;AF196),"Open")))</f>
        <v/>
      </c>
      <c r="AH196" s="27">
        <f>IF(A196="","",IFERROR(INDEX(tbl_Production[Total Expense],IFERROR(MATCH(A196&amp;"",tbl_Production[Job Number],0),MATCH(IFERROR(A196+0,A196),tbl_Production[Job Number],0))),IFERROR(INDEX(tbl_Consulting[Total Expense],IFERROR(MATCH(A196&amp;"",tbl_Consulting[Job Number],0),MATCH(IFERROR(A196+0,A196),tbl_Consulting[Job Number],0))),0)))</f>
        <v/>
      </c>
      <c r="AI196" s="27">
        <f>IF(A196="","",AC196-N(AH196))</f>
        <v/>
      </c>
      <c r="AJ196" s="29">
        <f>IFERROR(AI196/AC196,"")</f>
        <v/>
      </c>
      <c r="AK196" s="26">
        <f>IF(A196="","",IFERROR(IF(INDEX(tbl_Onsite[Notes],IFERROR(MATCH(A196&amp;"",tbl_Onsite[Job Number],0),MATCH(IFERROR(A196+0,A196),tbl_Onsite[Job Number],0)))="","",INDEX(tbl_Onsite[Notes],IFERROR(MATCH(A196&amp;"",tbl_Onsite[Job Number],0),MATCH(IFERROR(A196+0,A196),tbl_Onsite[Job Number],0)))),IFERROR(IF(INDEX(tbl_Production[Notes],IFERROR(MATCH(A196&amp;"",tbl_Production[Job Number],0),MATCH(IFERROR(A196+0,A196),tbl_Production[Job Number],0)))="","",INDEX(tbl_Production[Notes],IFERROR(MATCH(A196&amp;"",tbl_Production[Job Number],0),MATCH(IFERROR(A196+0,A196),tbl_Production[Job Number],0)))),IFERROR(IF(INDEX(tbl_Consulting[Notes],IFERROR(MATCH(A196&amp;"",tbl_Consulting[Job Number],0),MATCH(IFERROR(A196+0,A196),tbl_Consulting[Job Number],0)))="","",INDEX(tbl_Consulting[Notes],IFERROR(MATCH(A196&amp;"",tbl_Consulting[Job Number],0),MATCH(IFERROR(A196+0,A196),tbl_Consulting[Job Number],0)))),""))))</f>
        <v/>
      </c>
    </row>
    <row r="197" ht="15" customHeight="1">
      <c r="A197" s="22" t="n"/>
      <c r="B197" s="22" t="n"/>
      <c r="C197" s="23" t="n"/>
      <c r="D197" s="22" t="n"/>
      <c r="E197" s="24" t="n"/>
      <c r="F197" s="25">
        <f>IF(C197="","",EOMONTH(C197,0))</f>
        <v/>
      </c>
      <c r="G197" s="26">
        <f>IF(A197="","",IF(COUNTIF(tbl_Onsite[Job Number],A197&amp;"")&gt;0,"Onsite",IF(COUNTIF(tbl_Production[Job Number],A197&amp;"")&gt;0,"Production",IF(COUNTIF(tbl_Consulting[Job Number],A197&amp;"")&gt;0,"Consulting","not set up yet"))))</f>
        <v/>
      </c>
      <c r="H197" s="26">
        <f>IF(A197="","",IF(COUNTIF(lst_Jobs,A197&amp;"")&gt;0,"OK","CHECK"))</f>
        <v/>
      </c>
      <c r="I197" s="26">
        <f>IF(A197="","",IFERROR(INDEX(lst_JobName,MATCH(A197&amp;"",lst_Jobs,0)),""))</f>
        <v/>
      </c>
      <c r="J197" s="26">
        <f>IF(A197="","",IFERROR(IF(INDEX(tbl_Onsite[Client],IFERROR(MATCH(A197&amp;"",tbl_Onsite[Job Number],0),MATCH(IFERROR(A197+0,A197),tbl_Onsite[Job Number],0)))="","",INDEX(tbl_Onsite[Client],IFERROR(MATCH(A197&amp;"",tbl_Onsite[Job Number],0),MATCH(IFERROR(A197+0,A197),tbl_Onsite[Job Number],0)))),IFERROR(IF(INDEX(tbl_Production[Client],IFERROR(MATCH(A197&amp;"",tbl_Production[Job Number],0),MATCH(IFERROR(A197+0,A197),tbl_Production[Job Number],0)))="","",INDEX(tbl_Production[Client],IFERROR(MATCH(A197&amp;"",tbl_Production[Job Number],0),MATCH(IFERROR(A197+0,A197),tbl_Production[Job Number],0)))),IFERROR(IF(INDEX(tbl_Consulting[Client],IFERROR(MATCH(A197&amp;"",tbl_Consulting[Job Number],0),MATCH(IFERROR(A197+0,A197),tbl_Consulting[Job Number],0)))="","",INDEX(tbl_Consulting[Client],IFERROR(MATCH(A197&amp;"",tbl_Consulting[Job Number],0),MATCH(IFERROR(A197+0,A197),tbl_Consulting[Job Number],0)))),""))))</f>
        <v/>
      </c>
      <c r="K197" s="26">
        <f>IF(A197="","",IFERROR(IF(INDEX(tbl_Onsite[Job Description],IFERROR(MATCH(A197&amp;"",tbl_Onsite[Job Number],0),MATCH(IFERROR(A197+0,A197),tbl_Onsite[Job Number],0)))="","",INDEX(tbl_Onsite[Job Description],IFERROR(MATCH(A197&amp;"",tbl_Onsite[Job Number],0),MATCH(IFERROR(A197+0,A197),tbl_Onsite[Job Number],0)))),IFERROR(IF(INDEX(tbl_Production[Job Description],IFERROR(MATCH(A197&amp;"",tbl_Production[Job Number],0),MATCH(IFERROR(A197+0,A197),tbl_Production[Job Number],0)))="","",INDEX(tbl_Production[Job Description],IFERROR(MATCH(A197&amp;"",tbl_Production[Job Number],0),MATCH(IFERROR(A197+0,A197),tbl_Production[Job Number],0)))),IFERROR(IF(INDEX(tbl_Consulting[Job Description],IFERROR(MATCH(A197&amp;"",tbl_Consulting[Job Number],0),MATCH(IFERROR(A197+0,A197),tbl_Consulting[Job Number],0)))="","",INDEX(tbl_Consulting[Job Description],IFERROR(MATCH(A197&amp;"",tbl_Consulting[Job Number],0),MATCH(IFERROR(A197+0,A197),tbl_Consulting[Job Number],0)))),""))))</f>
        <v/>
      </c>
      <c r="L197" s="26">
        <f>IF(A197="","",IFERROR(IF(INDEX(tbl_Onsite[Invoice Type],IFERROR(MATCH(A197&amp;"",tbl_Onsite[Job Number],0),MATCH(IFERROR(A197+0,A197),tbl_Onsite[Job Number],0)))="","",INDEX(tbl_Onsite[Invoice Type],IFERROR(MATCH(A197&amp;"",tbl_Onsite[Job Number],0),MATCH(IFERROR(A197+0,A197),tbl_Onsite[Job Number],0)))),IFERROR(IF(INDEX(tbl_Production[Invoice Type],IFERROR(MATCH(A197&amp;"",tbl_Production[Job Number],0),MATCH(IFERROR(A197+0,A197),tbl_Production[Job Number],0)))="","",INDEX(tbl_Production[Invoice Type],IFERROR(MATCH(A197&amp;"",tbl_Production[Job Number],0),MATCH(IFERROR(A197+0,A197),tbl_Production[Job Number],0)))),IFERROR(IF(INDEX(tbl_Consulting[Invoice Type],IFERROR(MATCH(A197&amp;"",tbl_Consulting[Job Number],0),MATCH(IFERROR(A197+0,A197),tbl_Consulting[Job Number],0)))="","",INDEX(tbl_Consulting[Invoice Type],IFERROR(MATCH(A197&amp;"",tbl_Consulting[Job Number],0),MATCH(IFERROR(A197+0,A197),tbl_Consulting[Job Number],0)))),""))))</f>
        <v/>
      </c>
      <c r="M197" s="26">
        <f>IF(A197="","",IF(IFERROR(IF(INDEX(tbl_Onsite[Tax Code],IFERROR(MATCH(A197&amp;"",tbl_Onsite[Job Number],0),MATCH(IFERROR(A197+0,A197),tbl_Onsite[Job Number],0)))="","",INDEX(tbl_Onsite[Tax Code],IFERROR(MATCH(A197&amp;"",tbl_Onsite[Job Number],0),MATCH(IFERROR(A197+0,A197),tbl_Onsite[Job Number],0)))),IFERROR(IF(INDEX(tbl_Production[Tax Code],IFERROR(MATCH(A197&amp;"",tbl_Production[Job Number],0),MATCH(IFERROR(A197+0,A197),tbl_Production[Job Number],0)))="","",INDEX(tbl_Production[Tax Code],IFERROR(MATCH(A197&amp;"",tbl_Production[Job Number],0),MATCH(IFERROR(A197+0,A197),tbl_Production[Job Number],0)))),IFERROR(IF(INDEX(tbl_Consulting[Tax Code],IFERROR(MATCH(A197&amp;"",tbl_Consulting[Job Number],0),MATCH(IFERROR(A197+0,A197),tbl_Consulting[Job Number],0)))="","",INDEX(tbl_Consulting[Tax Code],IFERROR(MATCH(A197&amp;"",tbl_Consulting[Job Number],0),MATCH(IFERROR(A197+0,A197),tbl_Consulting[Job Number],0)))),"")))="","GST 10%",IFERROR(IF(INDEX(tbl_Onsite[Tax Code],IFERROR(MATCH(A197&amp;"",tbl_Onsite[Job Number],0),MATCH(IFERROR(A197+0,A197),tbl_Onsite[Job Number],0)))="","",INDEX(tbl_Onsite[Tax Code],IFERROR(MATCH(A197&amp;"",tbl_Onsite[Job Number],0),MATCH(IFERROR(A197+0,A197),tbl_Onsite[Job Number],0)))),IFERROR(IF(INDEX(tbl_Production[Tax Code],IFERROR(MATCH(A197&amp;"",tbl_Production[Job Number],0),MATCH(IFERROR(A197+0,A197),tbl_Production[Job Number],0)))="","",INDEX(tbl_Production[Tax Code],IFERROR(MATCH(A197&amp;"",tbl_Production[Job Number],0),MATCH(IFERROR(A197+0,A197),tbl_Production[Job Number],0)))),IFERROR(IF(INDEX(tbl_Consulting[Tax Code],IFERROR(MATCH(A197&amp;"",tbl_Consulting[Job Number],0),MATCH(IFERROR(A197+0,A197),tbl_Consulting[Job Number],0)))="","",INDEX(tbl_Consulting[Tax Code],IFERROR(MATCH(A197&amp;"",tbl_Consulting[Job Number],0),MATCH(IFERROR(A197+0,A197),tbl_Consulting[Job Number],0)))),"")))))</f>
        <v/>
      </c>
      <c r="N197" s="26">
        <f>IF(D197="","",IFERROR(INDEX(lst_CCtoGL,MATCH(D197,lst_CCforGL,0)),""))</f>
        <v/>
      </c>
      <c r="O197" s="27">
        <f>IF(E197="","",IF(M197="GST 10%",ROUND(E197*set_GSTRate,2),0))</f>
        <v/>
      </c>
      <c r="P197" s="27">
        <f>IF(E197="","",E197+O197)</f>
        <v/>
      </c>
      <c r="Q197" s="27">
        <f>IF(A197="","",IFERROR(INDEX(tbl_Onsite[Expected Revenue Ex GST],IFERROR(MATCH(A197&amp;"",tbl_Onsite[Job Number],0),MATCH(IFERROR(A197+0,A197),tbl_Onsite[Job Number],0))),IFERROR(INDEX(tbl_Production[Expected Revenue Ex GST],IFERROR(MATCH(A197&amp;"",tbl_Production[Job Number],0),MATCH(IFERROR(A197+0,A197),tbl_Production[Job Number],0))),IFERROR(INDEX(tbl_Consulting[Expected Revenue Ex GST],IFERROR(MATCH(A197&amp;"",tbl_Consulting[Job Number],0),MATCH(IFERROR(A197+0,A197),tbl_Consulting[Job Number],0))),0))))</f>
        <v/>
      </c>
      <c r="R197" s="27">
        <f>IF(A197="","",SUMIFS(tbl_Finance[Ex GST],tbl_Finance[Job Number],A197&amp;""))</f>
        <v/>
      </c>
      <c r="S197" s="27">
        <f>IF(A197="","",Q197-R197)</f>
        <v/>
      </c>
      <c r="T197" s="26">
        <f>IF(A197="","",IF(Q197=0,"No dept value",IF(ROUND(S197,2)=0,"Agrees",IF(S197&gt;0,"Dept higher - to invoice","Xero higher - check dept"))))</f>
        <v/>
      </c>
      <c r="U197" s="22" t="n"/>
      <c r="V197" s="22" t="n"/>
      <c r="W197" s="23" t="n"/>
      <c r="X197" s="23" t="n"/>
      <c r="Y197" s="22" t="n"/>
      <c r="Z197" s="22" t="n"/>
      <c r="AA197" s="26">
        <f>IF(COUNTA(C197,A197,B197,E197)=0,"",IF(C197="","No date - sits outside every month",IF(A197="","No job number",IF(H197="CHECK","Job number is not in the Xero job list",IF(G197="not set up yet","No department has set this job up - nothing can pull through",IF(D197="","No cost centre",IF(AND(U197="Y",B197=""),"Marked posted to Xero but has no invoice number",IF(N197="","Cost centre has no revenue GL on the Lists sheet",IF(T197="Xero higher - check dept","Invoiced more than the department says the job is worth","")))))))))</f>
        <v/>
      </c>
      <c r="AB197" s="28">
        <f>IF(A197="","",COUNTIFS(tbl_Finance[Job Number],A197&amp;"",tbl_Finance[Ex GST],"&lt;&gt;"))</f>
        <v/>
      </c>
      <c r="AC197" s="27">
        <f>IF(A197="","",SUMIFS(tbl_Finance[Ex GST],tbl_Finance[Job Number],A197&amp;""))</f>
        <v/>
      </c>
      <c r="AD197" s="27">
        <f>IF(A197="","",SUMIFS(tbl_Finance[Ex GST],tbl_Finance[Job Number],A197&amp;"",tbl_Finance[Xero Invoice No],"&lt;&gt;"))</f>
        <v/>
      </c>
      <c r="AE197" s="27">
        <f>IF(A197="","",AC197-AD197)</f>
        <v/>
      </c>
      <c r="AF197" s="26">
        <f>IF(A197="","",IFERROR(IF(INDEX(tbl_Onsite[Qwilr Quote],IFERROR(MATCH(A197&amp;"",tbl_Onsite[Job Number],0),MATCH(IFERROR(A197+0,A197),tbl_Onsite[Job Number],0)))="","",INDEX(tbl_Onsite[Qwilr Quote],IFERROR(MATCH(A197&amp;"",tbl_Onsite[Job Number],0),MATCH(IFERROR(A197+0,A197),tbl_Onsite[Job Number],0)))),IFERROR(IF(IF(INDEX(tbl_Production[Current RMS No],IFERROR(MATCH(A197&amp;"",tbl_Production[Job Number],0),MATCH(IFERROR(A197+0,A197),tbl_Production[Job Number],0)))="",INDEX(tbl_Production[Qwilr Quote],IFERROR(MATCH(A197&amp;"",tbl_Production[Job Number],0),MATCH(IFERROR(A197+0,A197),tbl_Production[Job Number],0))),INDEX(tbl_Production[Current RMS No],IFERROR(MATCH(A197&amp;"",tbl_Production[Job Number],0),MATCH(IFERROR(A197+0,A197),tbl_Production[Job Number],0))))="","",IF(INDEX(tbl_Production[Current RMS No],IFERROR(MATCH(A197&amp;"",tbl_Production[Job Number],0),MATCH(IFERROR(A197+0,A197),tbl_Production[Job Number],0)))="",INDEX(tbl_Production[Qwilr Quote],IFERROR(MATCH(A197&amp;"",tbl_Production[Job Number],0),MATCH(IFERROR(A197+0,A197),tbl_Production[Job Number],0))),INDEX(tbl_Production[Current RMS No],IFERROR(MATCH(A197&amp;"",tbl_Production[Job Number],0),MATCH(IFERROR(A197+0,A197),tbl_Production[Job Number],0))))),IFERROR(IF(INDEX(tbl_Consulting[Qwilr Quote],IFERROR(MATCH(A197&amp;"",tbl_Consulting[Job Number],0),MATCH(IFERROR(A197+0,A197),tbl_Consulting[Job Number],0)))="","",INDEX(tbl_Consulting[Qwilr Quote],IFERROR(MATCH(A197&amp;"",tbl_Consulting[Job Number],0),MATCH(IFERROR(A197+0,A197),tbl_Consulting[Job Number],0)))),""))))</f>
        <v/>
      </c>
      <c r="AG197" s="26">
        <f>IF(AF197="","",IF(AND(LEFT(AF197,4)&lt;&gt;"http",IF(G197="Production",set_RMSBase,set_QwilrBase)=""),"",HYPERLINK(IF(LEFT(AF197,4)="http",AF197,IF(G197="Production",set_RMSBase,set_QwilrBase)&amp;AF197),"Open")))</f>
        <v/>
      </c>
      <c r="AH197" s="27">
        <f>IF(A197="","",IFERROR(INDEX(tbl_Production[Total Expense],IFERROR(MATCH(A197&amp;"",tbl_Production[Job Number],0),MATCH(IFERROR(A197+0,A197),tbl_Production[Job Number],0))),IFERROR(INDEX(tbl_Consulting[Total Expense],IFERROR(MATCH(A197&amp;"",tbl_Consulting[Job Number],0),MATCH(IFERROR(A197+0,A197),tbl_Consulting[Job Number],0))),0)))</f>
        <v/>
      </c>
      <c r="AI197" s="27">
        <f>IF(A197="","",AC197-N(AH197))</f>
        <v/>
      </c>
      <c r="AJ197" s="29">
        <f>IFERROR(AI197/AC197,"")</f>
        <v/>
      </c>
      <c r="AK197" s="26">
        <f>IF(A197="","",IFERROR(IF(INDEX(tbl_Onsite[Notes],IFERROR(MATCH(A197&amp;"",tbl_Onsite[Job Number],0),MATCH(IFERROR(A197+0,A197),tbl_Onsite[Job Number],0)))="","",INDEX(tbl_Onsite[Notes],IFERROR(MATCH(A197&amp;"",tbl_Onsite[Job Number],0),MATCH(IFERROR(A197+0,A197),tbl_Onsite[Job Number],0)))),IFERROR(IF(INDEX(tbl_Production[Notes],IFERROR(MATCH(A197&amp;"",tbl_Production[Job Number],0),MATCH(IFERROR(A197+0,A197),tbl_Production[Job Number],0)))="","",INDEX(tbl_Production[Notes],IFERROR(MATCH(A197&amp;"",tbl_Production[Job Number],0),MATCH(IFERROR(A197+0,A197),tbl_Production[Job Number],0)))),IFERROR(IF(INDEX(tbl_Consulting[Notes],IFERROR(MATCH(A197&amp;"",tbl_Consulting[Job Number],0),MATCH(IFERROR(A197+0,A197),tbl_Consulting[Job Number],0)))="","",INDEX(tbl_Consulting[Notes],IFERROR(MATCH(A197&amp;"",tbl_Consulting[Job Number],0),MATCH(IFERROR(A197+0,A197),tbl_Consulting[Job Number],0)))),""))))</f>
        <v/>
      </c>
    </row>
    <row r="198" ht="15" customHeight="1">
      <c r="A198" s="22" t="n"/>
      <c r="B198" s="22" t="n"/>
      <c r="C198" s="23" t="n"/>
      <c r="D198" s="22" t="n"/>
      <c r="E198" s="24" t="n"/>
      <c r="F198" s="25">
        <f>IF(C198="","",EOMONTH(C198,0))</f>
        <v/>
      </c>
      <c r="G198" s="26">
        <f>IF(A198="","",IF(COUNTIF(tbl_Onsite[Job Number],A198&amp;"")&gt;0,"Onsite",IF(COUNTIF(tbl_Production[Job Number],A198&amp;"")&gt;0,"Production",IF(COUNTIF(tbl_Consulting[Job Number],A198&amp;"")&gt;0,"Consulting","not set up yet"))))</f>
        <v/>
      </c>
      <c r="H198" s="26">
        <f>IF(A198="","",IF(COUNTIF(lst_Jobs,A198&amp;"")&gt;0,"OK","CHECK"))</f>
        <v/>
      </c>
      <c r="I198" s="26">
        <f>IF(A198="","",IFERROR(INDEX(lst_JobName,MATCH(A198&amp;"",lst_Jobs,0)),""))</f>
        <v/>
      </c>
      <c r="J198" s="26">
        <f>IF(A198="","",IFERROR(IF(INDEX(tbl_Onsite[Client],IFERROR(MATCH(A198&amp;"",tbl_Onsite[Job Number],0),MATCH(IFERROR(A198+0,A198),tbl_Onsite[Job Number],0)))="","",INDEX(tbl_Onsite[Client],IFERROR(MATCH(A198&amp;"",tbl_Onsite[Job Number],0),MATCH(IFERROR(A198+0,A198),tbl_Onsite[Job Number],0)))),IFERROR(IF(INDEX(tbl_Production[Client],IFERROR(MATCH(A198&amp;"",tbl_Production[Job Number],0),MATCH(IFERROR(A198+0,A198),tbl_Production[Job Number],0)))="","",INDEX(tbl_Production[Client],IFERROR(MATCH(A198&amp;"",tbl_Production[Job Number],0),MATCH(IFERROR(A198+0,A198),tbl_Production[Job Number],0)))),IFERROR(IF(INDEX(tbl_Consulting[Client],IFERROR(MATCH(A198&amp;"",tbl_Consulting[Job Number],0),MATCH(IFERROR(A198+0,A198),tbl_Consulting[Job Number],0)))="","",INDEX(tbl_Consulting[Client],IFERROR(MATCH(A198&amp;"",tbl_Consulting[Job Number],0),MATCH(IFERROR(A198+0,A198),tbl_Consulting[Job Number],0)))),""))))</f>
        <v/>
      </c>
      <c r="K198" s="26">
        <f>IF(A198="","",IFERROR(IF(INDEX(tbl_Onsite[Job Description],IFERROR(MATCH(A198&amp;"",tbl_Onsite[Job Number],0),MATCH(IFERROR(A198+0,A198),tbl_Onsite[Job Number],0)))="","",INDEX(tbl_Onsite[Job Description],IFERROR(MATCH(A198&amp;"",tbl_Onsite[Job Number],0),MATCH(IFERROR(A198+0,A198),tbl_Onsite[Job Number],0)))),IFERROR(IF(INDEX(tbl_Production[Job Description],IFERROR(MATCH(A198&amp;"",tbl_Production[Job Number],0),MATCH(IFERROR(A198+0,A198),tbl_Production[Job Number],0)))="","",INDEX(tbl_Production[Job Description],IFERROR(MATCH(A198&amp;"",tbl_Production[Job Number],0),MATCH(IFERROR(A198+0,A198),tbl_Production[Job Number],0)))),IFERROR(IF(INDEX(tbl_Consulting[Job Description],IFERROR(MATCH(A198&amp;"",tbl_Consulting[Job Number],0),MATCH(IFERROR(A198+0,A198),tbl_Consulting[Job Number],0)))="","",INDEX(tbl_Consulting[Job Description],IFERROR(MATCH(A198&amp;"",tbl_Consulting[Job Number],0),MATCH(IFERROR(A198+0,A198),tbl_Consulting[Job Number],0)))),""))))</f>
        <v/>
      </c>
      <c r="L198" s="26">
        <f>IF(A198="","",IFERROR(IF(INDEX(tbl_Onsite[Invoice Type],IFERROR(MATCH(A198&amp;"",tbl_Onsite[Job Number],0),MATCH(IFERROR(A198+0,A198),tbl_Onsite[Job Number],0)))="","",INDEX(tbl_Onsite[Invoice Type],IFERROR(MATCH(A198&amp;"",tbl_Onsite[Job Number],0),MATCH(IFERROR(A198+0,A198),tbl_Onsite[Job Number],0)))),IFERROR(IF(INDEX(tbl_Production[Invoice Type],IFERROR(MATCH(A198&amp;"",tbl_Production[Job Number],0),MATCH(IFERROR(A198+0,A198),tbl_Production[Job Number],0)))="","",INDEX(tbl_Production[Invoice Type],IFERROR(MATCH(A198&amp;"",tbl_Production[Job Number],0),MATCH(IFERROR(A198+0,A198),tbl_Production[Job Number],0)))),IFERROR(IF(INDEX(tbl_Consulting[Invoice Type],IFERROR(MATCH(A198&amp;"",tbl_Consulting[Job Number],0),MATCH(IFERROR(A198+0,A198),tbl_Consulting[Job Number],0)))="","",INDEX(tbl_Consulting[Invoice Type],IFERROR(MATCH(A198&amp;"",tbl_Consulting[Job Number],0),MATCH(IFERROR(A198+0,A198),tbl_Consulting[Job Number],0)))),""))))</f>
        <v/>
      </c>
      <c r="M198" s="26">
        <f>IF(A198="","",IF(IFERROR(IF(INDEX(tbl_Onsite[Tax Code],IFERROR(MATCH(A198&amp;"",tbl_Onsite[Job Number],0),MATCH(IFERROR(A198+0,A198),tbl_Onsite[Job Number],0)))="","",INDEX(tbl_Onsite[Tax Code],IFERROR(MATCH(A198&amp;"",tbl_Onsite[Job Number],0),MATCH(IFERROR(A198+0,A198),tbl_Onsite[Job Number],0)))),IFERROR(IF(INDEX(tbl_Production[Tax Code],IFERROR(MATCH(A198&amp;"",tbl_Production[Job Number],0),MATCH(IFERROR(A198+0,A198),tbl_Production[Job Number],0)))="","",INDEX(tbl_Production[Tax Code],IFERROR(MATCH(A198&amp;"",tbl_Production[Job Number],0),MATCH(IFERROR(A198+0,A198),tbl_Production[Job Number],0)))),IFERROR(IF(INDEX(tbl_Consulting[Tax Code],IFERROR(MATCH(A198&amp;"",tbl_Consulting[Job Number],0),MATCH(IFERROR(A198+0,A198),tbl_Consulting[Job Number],0)))="","",INDEX(tbl_Consulting[Tax Code],IFERROR(MATCH(A198&amp;"",tbl_Consulting[Job Number],0),MATCH(IFERROR(A198+0,A198),tbl_Consulting[Job Number],0)))),"")))="","GST 10%",IFERROR(IF(INDEX(tbl_Onsite[Tax Code],IFERROR(MATCH(A198&amp;"",tbl_Onsite[Job Number],0),MATCH(IFERROR(A198+0,A198),tbl_Onsite[Job Number],0)))="","",INDEX(tbl_Onsite[Tax Code],IFERROR(MATCH(A198&amp;"",tbl_Onsite[Job Number],0),MATCH(IFERROR(A198+0,A198),tbl_Onsite[Job Number],0)))),IFERROR(IF(INDEX(tbl_Production[Tax Code],IFERROR(MATCH(A198&amp;"",tbl_Production[Job Number],0),MATCH(IFERROR(A198+0,A198),tbl_Production[Job Number],0)))="","",INDEX(tbl_Production[Tax Code],IFERROR(MATCH(A198&amp;"",tbl_Production[Job Number],0),MATCH(IFERROR(A198+0,A198),tbl_Production[Job Number],0)))),IFERROR(IF(INDEX(tbl_Consulting[Tax Code],IFERROR(MATCH(A198&amp;"",tbl_Consulting[Job Number],0),MATCH(IFERROR(A198+0,A198),tbl_Consulting[Job Number],0)))="","",INDEX(tbl_Consulting[Tax Code],IFERROR(MATCH(A198&amp;"",tbl_Consulting[Job Number],0),MATCH(IFERROR(A198+0,A198),tbl_Consulting[Job Number],0)))),"")))))</f>
        <v/>
      </c>
      <c r="N198" s="26">
        <f>IF(D198="","",IFERROR(INDEX(lst_CCtoGL,MATCH(D198,lst_CCforGL,0)),""))</f>
        <v/>
      </c>
      <c r="O198" s="27">
        <f>IF(E198="","",IF(M198="GST 10%",ROUND(E198*set_GSTRate,2),0))</f>
        <v/>
      </c>
      <c r="P198" s="27">
        <f>IF(E198="","",E198+O198)</f>
        <v/>
      </c>
      <c r="Q198" s="27">
        <f>IF(A198="","",IFERROR(INDEX(tbl_Onsite[Expected Revenue Ex GST],IFERROR(MATCH(A198&amp;"",tbl_Onsite[Job Number],0),MATCH(IFERROR(A198+0,A198),tbl_Onsite[Job Number],0))),IFERROR(INDEX(tbl_Production[Expected Revenue Ex GST],IFERROR(MATCH(A198&amp;"",tbl_Production[Job Number],0),MATCH(IFERROR(A198+0,A198),tbl_Production[Job Number],0))),IFERROR(INDEX(tbl_Consulting[Expected Revenue Ex GST],IFERROR(MATCH(A198&amp;"",tbl_Consulting[Job Number],0),MATCH(IFERROR(A198+0,A198),tbl_Consulting[Job Number],0))),0))))</f>
        <v/>
      </c>
      <c r="R198" s="27">
        <f>IF(A198="","",SUMIFS(tbl_Finance[Ex GST],tbl_Finance[Job Number],A198&amp;""))</f>
        <v/>
      </c>
      <c r="S198" s="27">
        <f>IF(A198="","",Q198-R198)</f>
        <v/>
      </c>
      <c r="T198" s="26">
        <f>IF(A198="","",IF(Q198=0,"No dept value",IF(ROUND(S198,2)=0,"Agrees",IF(S198&gt;0,"Dept higher - to invoice","Xero higher - check dept"))))</f>
        <v/>
      </c>
      <c r="U198" s="22" t="n"/>
      <c r="V198" s="22" t="n"/>
      <c r="W198" s="23" t="n"/>
      <c r="X198" s="23" t="n"/>
      <c r="Y198" s="22" t="n"/>
      <c r="Z198" s="22" t="n"/>
      <c r="AA198" s="26">
        <f>IF(COUNTA(C198,A198,B198,E198)=0,"",IF(C198="","No date - sits outside every month",IF(A198="","No job number",IF(H198="CHECK","Job number is not in the Xero job list",IF(G198="not set up yet","No department has set this job up - nothing can pull through",IF(D198="","No cost centre",IF(AND(U198="Y",B198=""),"Marked posted to Xero but has no invoice number",IF(N198="","Cost centre has no revenue GL on the Lists sheet",IF(T198="Xero higher - check dept","Invoiced more than the department says the job is worth","")))))))))</f>
        <v/>
      </c>
      <c r="AB198" s="28">
        <f>IF(A198="","",COUNTIFS(tbl_Finance[Job Number],A198&amp;"",tbl_Finance[Ex GST],"&lt;&gt;"))</f>
        <v/>
      </c>
      <c r="AC198" s="27">
        <f>IF(A198="","",SUMIFS(tbl_Finance[Ex GST],tbl_Finance[Job Number],A198&amp;""))</f>
        <v/>
      </c>
      <c r="AD198" s="27">
        <f>IF(A198="","",SUMIFS(tbl_Finance[Ex GST],tbl_Finance[Job Number],A198&amp;"",tbl_Finance[Xero Invoice No],"&lt;&gt;"))</f>
        <v/>
      </c>
      <c r="AE198" s="27">
        <f>IF(A198="","",AC198-AD198)</f>
        <v/>
      </c>
      <c r="AF198" s="26">
        <f>IF(A198="","",IFERROR(IF(INDEX(tbl_Onsite[Qwilr Quote],IFERROR(MATCH(A198&amp;"",tbl_Onsite[Job Number],0),MATCH(IFERROR(A198+0,A198),tbl_Onsite[Job Number],0)))="","",INDEX(tbl_Onsite[Qwilr Quote],IFERROR(MATCH(A198&amp;"",tbl_Onsite[Job Number],0),MATCH(IFERROR(A198+0,A198),tbl_Onsite[Job Number],0)))),IFERROR(IF(IF(INDEX(tbl_Production[Current RMS No],IFERROR(MATCH(A198&amp;"",tbl_Production[Job Number],0),MATCH(IFERROR(A198+0,A198),tbl_Production[Job Number],0)))="",INDEX(tbl_Production[Qwilr Quote],IFERROR(MATCH(A198&amp;"",tbl_Production[Job Number],0),MATCH(IFERROR(A198+0,A198),tbl_Production[Job Number],0))),INDEX(tbl_Production[Current RMS No],IFERROR(MATCH(A198&amp;"",tbl_Production[Job Number],0),MATCH(IFERROR(A198+0,A198),tbl_Production[Job Number],0))))="","",IF(INDEX(tbl_Production[Current RMS No],IFERROR(MATCH(A198&amp;"",tbl_Production[Job Number],0),MATCH(IFERROR(A198+0,A198),tbl_Production[Job Number],0)))="",INDEX(tbl_Production[Qwilr Quote],IFERROR(MATCH(A198&amp;"",tbl_Production[Job Number],0),MATCH(IFERROR(A198+0,A198),tbl_Production[Job Number],0))),INDEX(tbl_Production[Current RMS No],IFERROR(MATCH(A198&amp;"",tbl_Production[Job Number],0),MATCH(IFERROR(A198+0,A198),tbl_Production[Job Number],0))))),IFERROR(IF(INDEX(tbl_Consulting[Qwilr Quote],IFERROR(MATCH(A198&amp;"",tbl_Consulting[Job Number],0),MATCH(IFERROR(A198+0,A198),tbl_Consulting[Job Number],0)))="","",INDEX(tbl_Consulting[Qwilr Quote],IFERROR(MATCH(A198&amp;"",tbl_Consulting[Job Number],0),MATCH(IFERROR(A198+0,A198),tbl_Consulting[Job Number],0)))),""))))</f>
        <v/>
      </c>
      <c r="AG198" s="26">
        <f>IF(AF198="","",IF(AND(LEFT(AF198,4)&lt;&gt;"http",IF(G198="Production",set_RMSBase,set_QwilrBase)=""),"",HYPERLINK(IF(LEFT(AF198,4)="http",AF198,IF(G198="Production",set_RMSBase,set_QwilrBase)&amp;AF198),"Open")))</f>
        <v/>
      </c>
      <c r="AH198" s="27">
        <f>IF(A198="","",IFERROR(INDEX(tbl_Production[Total Expense],IFERROR(MATCH(A198&amp;"",tbl_Production[Job Number],0),MATCH(IFERROR(A198+0,A198),tbl_Production[Job Number],0))),IFERROR(INDEX(tbl_Consulting[Total Expense],IFERROR(MATCH(A198&amp;"",tbl_Consulting[Job Number],0),MATCH(IFERROR(A198+0,A198),tbl_Consulting[Job Number],0))),0)))</f>
        <v/>
      </c>
      <c r="AI198" s="27">
        <f>IF(A198="","",AC198-N(AH198))</f>
        <v/>
      </c>
      <c r="AJ198" s="29">
        <f>IFERROR(AI198/AC198,"")</f>
        <v/>
      </c>
      <c r="AK198" s="26">
        <f>IF(A198="","",IFERROR(IF(INDEX(tbl_Onsite[Notes],IFERROR(MATCH(A198&amp;"",tbl_Onsite[Job Number],0),MATCH(IFERROR(A198+0,A198),tbl_Onsite[Job Number],0)))="","",INDEX(tbl_Onsite[Notes],IFERROR(MATCH(A198&amp;"",tbl_Onsite[Job Number],0),MATCH(IFERROR(A198+0,A198),tbl_Onsite[Job Number],0)))),IFERROR(IF(INDEX(tbl_Production[Notes],IFERROR(MATCH(A198&amp;"",tbl_Production[Job Number],0),MATCH(IFERROR(A198+0,A198),tbl_Production[Job Number],0)))="","",INDEX(tbl_Production[Notes],IFERROR(MATCH(A198&amp;"",tbl_Production[Job Number],0),MATCH(IFERROR(A198+0,A198),tbl_Production[Job Number],0)))),IFERROR(IF(INDEX(tbl_Consulting[Notes],IFERROR(MATCH(A198&amp;"",tbl_Consulting[Job Number],0),MATCH(IFERROR(A198+0,A198),tbl_Consulting[Job Number],0)))="","",INDEX(tbl_Consulting[Notes],IFERROR(MATCH(A198&amp;"",tbl_Consulting[Job Number],0),MATCH(IFERROR(A198+0,A198),tbl_Consulting[Job Number],0)))),""))))</f>
        <v/>
      </c>
    </row>
    <row r="199" ht="15" customHeight="1">
      <c r="A199" s="22" t="n"/>
      <c r="B199" s="22" t="n"/>
      <c r="C199" s="23" t="n"/>
      <c r="D199" s="22" t="n"/>
      <c r="E199" s="24" t="n"/>
      <c r="F199" s="25">
        <f>IF(C199="","",EOMONTH(C199,0))</f>
        <v/>
      </c>
      <c r="G199" s="26">
        <f>IF(A199="","",IF(COUNTIF(tbl_Onsite[Job Number],A199&amp;"")&gt;0,"Onsite",IF(COUNTIF(tbl_Production[Job Number],A199&amp;"")&gt;0,"Production",IF(COUNTIF(tbl_Consulting[Job Number],A199&amp;"")&gt;0,"Consulting","not set up yet"))))</f>
        <v/>
      </c>
      <c r="H199" s="26">
        <f>IF(A199="","",IF(COUNTIF(lst_Jobs,A199&amp;"")&gt;0,"OK","CHECK"))</f>
        <v/>
      </c>
      <c r="I199" s="26">
        <f>IF(A199="","",IFERROR(INDEX(lst_JobName,MATCH(A199&amp;"",lst_Jobs,0)),""))</f>
        <v/>
      </c>
      <c r="J199" s="26">
        <f>IF(A199="","",IFERROR(IF(INDEX(tbl_Onsite[Client],IFERROR(MATCH(A199&amp;"",tbl_Onsite[Job Number],0),MATCH(IFERROR(A199+0,A199),tbl_Onsite[Job Number],0)))="","",INDEX(tbl_Onsite[Client],IFERROR(MATCH(A199&amp;"",tbl_Onsite[Job Number],0),MATCH(IFERROR(A199+0,A199),tbl_Onsite[Job Number],0)))),IFERROR(IF(INDEX(tbl_Production[Client],IFERROR(MATCH(A199&amp;"",tbl_Production[Job Number],0),MATCH(IFERROR(A199+0,A199),tbl_Production[Job Number],0)))="","",INDEX(tbl_Production[Client],IFERROR(MATCH(A199&amp;"",tbl_Production[Job Number],0),MATCH(IFERROR(A199+0,A199),tbl_Production[Job Number],0)))),IFERROR(IF(INDEX(tbl_Consulting[Client],IFERROR(MATCH(A199&amp;"",tbl_Consulting[Job Number],0),MATCH(IFERROR(A199+0,A199),tbl_Consulting[Job Number],0)))="","",INDEX(tbl_Consulting[Client],IFERROR(MATCH(A199&amp;"",tbl_Consulting[Job Number],0),MATCH(IFERROR(A199+0,A199),tbl_Consulting[Job Number],0)))),""))))</f>
        <v/>
      </c>
      <c r="K199" s="26">
        <f>IF(A199="","",IFERROR(IF(INDEX(tbl_Onsite[Job Description],IFERROR(MATCH(A199&amp;"",tbl_Onsite[Job Number],0),MATCH(IFERROR(A199+0,A199),tbl_Onsite[Job Number],0)))="","",INDEX(tbl_Onsite[Job Description],IFERROR(MATCH(A199&amp;"",tbl_Onsite[Job Number],0),MATCH(IFERROR(A199+0,A199),tbl_Onsite[Job Number],0)))),IFERROR(IF(INDEX(tbl_Production[Job Description],IFERROR(MATCH(A199&amp;"",tbl_Production[Job Number],0),MATCH(IFERROR(A199+0,A199),tbl_Production[Job Number],0)))="","",INDEX(tbl_Production[Job Description],IFERROR(MATCH(A199&amp;"",tbl_Production[Job Number],0),MATCH(IFERROR(A199+0,A199),tbl_Production[Job Number],0)))),IFERROR(IF(INDEX(tbl_Consulting[Job Description],IFERROR(MATCH(A199&amp;"",tbl_Consulting[Job Number],0),MATCH(IFERROR(A199+0,A199),tbl_Consulting[Job Number],0)))="","",INDEX(tbl_Consulting[Job Description],IFERROR(MATCH(A199&amp;"",tbl_Consulting[Job Number],0),MATCH(IFERROR(A199+0,A199),tbl_Consulting[Job Number],0)))),""))))</f>
        <v/>
      </c>
      <c r="L199" s="26">
        <f>IF(A199="","",IFERROR(IF(INDEX(tbl_Onsite[Invoice Type],IFERROR(MATCH(A199&amp;"",tbl_Onsite[Job Number],0),MATCH(IFERROR(A199+0,A199),tbl_Onsite[Job Number],0)))="","",INDEX(tbl_Onsite[Invoice Type],IFERROR(MATCH(A199&amp;"",tbl_Onsite[Job Number],0),MATCH(IFERROR(A199+0,A199),tbl_Onsite[Job Number],0)))),IFERROR(IF(INDEX(tbl_Production[Invoice Type],IFERROR(MATCH(A199&amp;"",tbl_Production[Job Number],0),MATCH(IFERROR(A199+0,A199),tbl_Production[Job Number],0)))="","",INDEX(tbl_Production[Invoice Type],IFERROR(MATCH(A199&amp;"",tbl_Production[Job Number],0),MATCH(IFERROR(A199+0,A199),tbl_Production[Job Number],0)))),IFERROR(IF(INDEX(tbl_Consulting[Invoice Type],IFERROR(MATCH(A199&amp;"",tbl_Consulting[Job Number],0),MATCH(IFERROR(A199+0,A199),tbl_Consulting[Job Number],0)))="","",INDEX(tbl_Consulting[Invoice Type],IFERROR(MATCH(A199&amp;"",tbl_Consulting[Job Number],0),MATCH(IFERROR(A199+0,A199),tbl_Consulting[Job Number],0)))),""))))</f>
        <v/>
      </c>
      <c r="M199" s="26">
        <f>IF(A199="","",IF(IFERROR(IF(INDEX(tbl_Onsite[Tax Code],IFERROR(MATCH(A199&amp;"",tbl_Onsite[Job Number],0),MATCH(IFERROR(A199+0,A199),tbl_Onsite[Job Number],0)))="","",INDEX(tbl_Onsite[Tax Code],IFERROR(MATCH(A199&amp;"",tbl_Onsite[Job Number],0),MATCH(IFERROR(A199+0,A199),tbl_Onsite[Job Number],0)))),IFERROR(IF(INDEX(tbl_Production[Tax Code],IFERROR(MATCH(A199&amp;"",tbl_Production[Job Number],0),MATCH(IFERROR(A199+0,A199),tbl_Production[Job Number],0)))="","",INDEX(tbl_Production[Tax Code],IFERROR(MATCH(A199&amp;"",tbl_Production[Job Number],0),MATCH(IFERROR(A199+0,A199),tbl_Production[Job Number],0)))),IFERROR(IF(INDEX(tbl_Consulting[Tax Code],IFERROR(MATCH(A199&amp;"",tbl_Consulting[Job Number],0),MATCH(IFERROR(A199+0,A199),tbl_Consulting[Job Number],0)))="","",INDEX(tbl_Consulting[Tax Code],IFERROR(MATCH(A199&amp;"",tbl_Consulting[Job Number],0),MATCH(IFERROR(A199+0,A199),tbl_Consulting[Job Number],0)))),"")))="","GST 10%",IFERROR(IF(INDEX(tbl_Onsite[Tax Code],IFERROR(MATCH(A199&amp;"",tbl_Onsite[Job Number],0),MATCH(IFERROR(A199+0,A199),tbl_Onsite[Job Number],0)))="","",INDEX(tbl_Onsite[Tax Code],IFERROR(MATCH(A199&amp;"",tbl_Onsite[Job Number],0),MATCH(IFERROR(A199+0,A199),tbl_Onsite[Job Number],0)))),IFERROR(IF(INDEX(tbl_Production[Tax Code],IFERROR(MATCH(A199&amp;"",tbl_Production[Job Number],0),MATCH(IFERROR(A199+0,A199),tbl_Production[Job Number],0)))="","",INDEX(tbl_Production[Tax Code],IFERROR(MATCH(A199&amp;"",tbl_Production[Job Number],0),MATCH(IFERROR(A199+0,A199),tbl_Production[Job Number],0)))),IFERROR(IF(INDEX(tbl_Consulting[Tax Code],IFERROR(MATCH(A199&amp;"",tbl_Consulting[Job Number],0),MATCH(IFERROR(A199+0,A199),tbl_Consulting[Job Number],0)))="","",INDEX(tbl_Consulting[Tax Code],IFERROR(MATCH(A199&amp;"",tbl_Consulting[Job Number],0),MATCH(IFERROR(A199+0,A199),tbl_Consulting[Job Number],0)))),"")))))</f>
        <v/>
      </c>
      <c r="N199" s="26">
        <f>IF(D199="","",IFERROR(INDEX(lst_CCtoGL,MATCH(D199,lst_CCforGL,0)),""))</f>
        <v/>
      </c>
      <c r="O199" s="27">
        <f>IF(E199="","",IF(M199="GST 10%",ROUND(E199*set_GSTRate,2),0))</f>
        <v/>
      </c>
      <c r="P199" s="27">
        <f>IF(E199="","",E199+O199)</f>
        <v/>
      </c>
      <c r="Q199" s="27">
        <f>IF(A199="","",IFERROR(INDEX(tbl_Onsite[Expected Revenue Ex GST],IFERROR(MATCH(A199&amp;"",tbl_Onsite[Job Number],0),MATCH(IFERROR(A199+0,A199),tbl_Onsite[Job Number],0))),IFERROR(INDEX(tbl_Production[Expected Revenue Ex GST],IFERROR(MATCH(A199&amp;"",tbl_Production[Job Number],0),MATCH(IFERROR(A199+0,A199),tbl_Production[Job Number],0))),IFERROR(INDEX(tbl_Consulting[Expected Revenue Ex GST],IFERROR(MATCH(A199&amp;"",tbl_Consulting[Job Number],0),MATCH(IFERROR(A199+0,A199),tbl_Consulting[Job Number],0))),0))))</f>
        <v/>
      </c>
      <c r="R199" s="27">
        <f>IF(A199="","",SUMIFS(tbl_Finance[Ex GST],tbl_Finance[Job Number],A199&amp;""))</f>
        <v/>
      </c>
      <c r="S199" s="27">
        <f>IF(A199="","",Q199-R199)</f>
        <v/>
      </c>
      <c r="T199" s="26">
        <f>IF(A199="","",IF(Q199=0,"No dept value",IF(ROUND(S199,2)=0,"Agrees",IF(S199&gt;0,"Dept higher - to invoice","Xero higher - check dept"))))</f>
        <v/>
      </c>
      <c r="U199" s="22" t="n"/>
      <c r="V199" s="22" t="n"/>
      <c r="W199" s="23" t="n"/>
      <c r="X199" s="23" t="n"/>
      <c r="Y199" s="22" t="n"/>
      <c r="Z199" s="22" t="n"/>
      <c r="AA199" s="26">
        <f>IF(COUNTA(C199,A199,B199,E199)=0,"",IF(C199="","No date - sits outside every month",IF(A199="","No job number",IF(H199="CHECK","Job number is not in the Xero job list",IF(G199="not set up yet","No department has set this job up - nothing can pull through",IF(D199="","No cost centre",IF(AND(U199="Y",B199=""),"Marked posted to Xero but has no invoice number",IF(N199="","Cost centre has no revenue GL on the Lists sheet",IF(T199="Xero higher - check dept","Invoiced more than the department says the job is worth","")))))))))</f>
        <v/>
      </c>
      <c r="AB199" s="28">
        <f>IF(A199="","",COUNTIFS(tbl_Finance[Job Number],A199&amp;"",tbl_Finance[Ex GST],"&lt;&gt;"))</f>
        <v/>
      </c>
      <c r="AC199" s="27">
        <f>IF(A199="","",SUMIFS(tbl_Finance[Ex GST],tbl_Finance[Job Number],A199&amp;""))</f>
        <v/>
      </c>
      <c r="AD199" s="27">
        <f>IF(A199="","",SUMIFS(tbl_Finance[Ex GST],tbl_Finance[Job Number],A199&amp;"",tbl_Finance[Xero Invoice No],"&lt;&gt;"))</f>
        <v/>
      </c>
      <c r="AE199" s="27">
        <f>IF(A199="","",AC199-AD199)</f>
        <v/>
      </c>
      <c r="AF199" s="26">
        <f>IF(A199="","",IFERROR(IF(INDEX(tbl_Onsite[Qwilr Quote],IFERROR(MATCH(A199&amp;"",tbl_Onsite[Job Number],0),MATCH(IFERROR(A199+0,A199),tbl_Onsite[Job Number],0)))="","",INDEX(tbl_Onsite[Qwilr Quote],IFERROR(MATCH(A199&amp;"",tbl_Onsite[Job Number],0),MATCH(IFERROR(A199+0,A199),tbl_Onsite[Job Number],0)))),IFERROR(IF(IF(INDEX(tbl_Production[Current RMS No],IFERROR(MATCH(A199&amp;"",tbl_Production[Job Number],0),MATCH(IFERROR(A199+0,A199),tbl_Production[Job Number],0)))="",INDEX(tbl_Production[Qwilr Quote],IFERROR(MATCH(A199&amp;"",tbl_Production[Job Number],0),MATCH(IFERROR(A199+0,A199),tbl_Production[Job Number],0))),INDEX(tbl_Production[Current RMS No],IFERROR(MATCH(A199&amp;"",tbl_Production[Job Number],0),MATCH(IFERROR(A199+0,A199),tbl_Production[Job Number],0))))="","",IF(INDEX(tbl_Production[Current RMS No],IFERROR(MATCH(A199&amp;"",tbl_Production[Job Number],0),MATCH(IFERROR(A199+0,A199),tbl_Production[Job Number],0)))="",INDEX(tbl_Production[Qwilr Quote],IFERROR(MATCH(A199&amp;"",tbl_Production[Job Number],0),MATCH(IFERROR(A199+0,A199),tbl_Production[Job Number],0))),INDEX(tbl_Production[Current RMS No],IFERROR(MATCH(A199&amp;"",tbl_Production[Job Number],0),MATCH(IFERROR(A199+0,A199),tbl_Production[Job Number],0))))),IFERROR(IF(INDEX(tbl_Consulting[Qwilr Quote],IFERROR(MATCH(A199&amp;"",tbl_Consulting[Job Number],0),MATCH(IFERROR(A199+0,A199),tbl_Consulting[Job Number],0)))="","",INDEX(tbl_Consulting[Qwilr Quote],IFERROR(MATCH(A199&amp;"",tbl_Consulting[Job Number],0),MATCH(IFERROR(A199+0,A199),tbl_Consulting[Job Number],0)))),""))))</f>
        <v/>
      </c>
      <c r="AG199" s="26">
        <f>IF(AF199="","",IF(AND(LEFT(AF199,4)&lt;&gt;"http",IF(G199="Production",set_RMSBase,set_QwilrBase)=""),"",HYPERLINK(IF(LEFT(AF199,4)="http",AF199,IF(G199="Production",set_RMSBase,set_QwilrBase)&amp;AF199),"Open")))</f>
        <v/>
      </c>
      <c r="AH199" s="27">
        <f>IF(A199="","",IFERROR(INDEX(tbl_Production[Total Expense],IFERROR(MATCH(A199&amp;"",tbl_Production[Job Number],0),MATCH(IFERROR(A199+0,A199),tbl_Production[Job Number],0))),IFERROR(INDEX(tbl_Consulting[Total Expense],IFERROR(MATCH(A199&amp;"",tbl_Consulting[Job Number],0),MATCH(IFERROR(A199+0,A199),tbl_Consulting[Job Number],0))),0)))</f>
        <v/>
      </c>
      <c r="AI199" s="27">
        <f>IF(A199="","",AC199-N(AH199))</f>
        <v/>
      </c>
      <c r="AJ199" s="29">
        <f>IFERROR(AI199/AC199,"")</f>
        <v/>
      </c>
      <c r="AK199" s="26">
        <f>IF(A199="","",IFERROR(IF(INDEX(tbl_Onsite[Notes],IFERROR(MATCH(A199&amp;"",tbl_Onsite[Job Number],0),MATCH(IFERROR(A199+0,A199),tbl_Onsite[Job Number],0)))="","",INDEX(tbl_Onsite[Notes],IFERROR(MATCH(A199&amp;"",tbl_Onsite[Job Number],0),MATCH(IFERROR(A199+0,A199),tbl_Onsite[Job Number],0)))),IFERROR(IF(INDEX(tbl_Production[Notes],IFERROR(MATCH(A199&amp;"",tbl_Production[Job Number],0),MATCH(IFERROR(A199+0,A199),tbl_Production[Job Number],0)))="","",INDEX(tbl_Production[Notes],IFERROR(MATCH(A199&amp;"",tbl_Production[Job Number],0),MATCH(IFERROR(A199+0,A199),tbl_Production[Job Number],0)))),IFERROR(IF(INDEX(tbl_Consulting[Notes],IFERROR(MATCH(A199&amp;"",tbl_Consulting[Job Number],0),MATCH(IFERROR(A199+0,A199),tbl_Consulting[Job Number],0)))="","",INDEX(tbl_Consulting[Notes],IFERROR(MATCH(A199&amp;"",tbl_Consulting[Job Number],0),MATCH(IFERROR(A199+0,A199),tbl_Consulting[Job Number],0)))),""))))</f>
        <v/>
      </c>
    </row>
    <row r="200" ht="15" customHeight="1">
      <c r="A200" s="22" t="n"/>
      <c r="B200" s="22" t="n"/>
      <c r="C200" s="23" t="n"/>
      <c r="D200" s="22" t="n"/>
      <c r="E200" s="24" t="n"/>
      <c r="F200" s="25">
        <f>IF(C200="","",EOMONTH(C200,0))</f>
        <v/>
      </c>
      <c r="G200" s="26">
        <f>IF(A200="","",IF(COUNTIF(tbl_Onsite[Job Number],A200&amp;"")&gt;0,"Onsite",IF(COUNTIF(tbl_Production[Job Number],A200&amp;"")&gt;0,"Production",IF(COUNTIF(tbl_Consulting[Job Number],A200&amp;"")&gt;0,"Consulting","not set up yet"))))</f>
        <v/>
      </c>
      <c r="H200" s="26">
        <f>IF(A200="","",IF(COUNTIF(lst_Jobs,A200&amp;"")&gt;0,"OK","CHECK"))</f>
        <v/>
      </c>
      <c r="I200" s="26">
        <f>IF(A200="","",IFERROR(INDEX(lst_JobName,MATCH(A200&amp;"",lst_Jobs,0)),""))</f>
        <v/>
      </c>
      <c r="J200" s="26">
        <f>IF(A200="","",IFERROR(IF(INDEX(tbl_Onsite[Client],IFERROR(MATCH(A200&amp;"",tbl_Onsite[Job Number],0),MATCH(IFERROR(A200+0,A200),tbl_Onsite[Job Number],0)))="","",INDEX(tbl_Onsite[Client],IFERROR(MATCH(A200&amp;"",tbl_Onsite[Job Number],0),MATCH(IFERROR(A200+0,A200),tbl_Onsite[Job Number],0)))),IFERROR(IF(INDEX(tbl_Production[Client],IFERROR(MATCH(A200&amp;"",tbl_Production[Job Number],0),MATCH(IFERROR(A200+0,A200),tbl_Production[Job Number],0)))="","",INDEX(tbl_Production[Client],IFERROR(MATCH(A200&amp;"",tbl_Production[Job Number],0),MATCH(IFERROR(A200+0,A200),tbl_Production[Job Number],0)))),IFERROR(IF(INDEX(tbl_Consulting[Client],IFERROR(MATCH(A200&amp;"",tbl_Consulting[Job Number],0),MATCH(IFERROR(A200+0,A200),tbl_Consulting[Job Number],0)))="","",INDEX(tbl_Consulting[Client],IFERROR(MATCH(A200&amp;"",tbl_Consulting[Job Number],0),MATCH(IFERROR(A200+0,A200),tbl_Consulting[Job Number],0)))),""))))</f>
        <v/>
      </c>
      <c r="K200" s="26">
        <f>IF(A200="","",IFERROR(IF(INDEX(tbl_Onsite[Job Description],IFERROR(MATCH(A200&amp;"",tbl_Onsite[Job Number],0),MATCH(IFERROR(A200+0,A200),tbl_Onsite[Job Number],0)))="","",INDEX(tbl_Onsite[Job Description],IFERROR(MATCH(A200&amp;"",tbl_Onsite[Job Number],0),MATCH(IFERROR(A200+0,A200),tbl_Onsite[Job Number],0)))),IFERROR(IF(INDEX(tbl_Production[Job Description],IFERROR(MATCH(A200&amp;"",tbl_Production[Job Number],0),MATCH(IFERROR(A200+0,A200),tbl_Production[Job Number],0)))="","",INDEX(tbl_Production[Job Description],IFERROR(MATCH(A200&amp;"",tbl_Production[Job Number],0),MATCH(IFERROR(A200+0,A200),tbl_Production[Job Number],0)))),IFERROR(IF(INDEX(tbl_Consulting[Job Description],IFERROR(MATCH(A200&amp;"",tbl_Consulting[Job Number],0),MATCH(IFERROR(A200+0,A200),tbl_Consulting[Job Number],0)))="","",INDEX(tbl_Consulting[Job Description],IFERROR(MATCH(A200&amp;"",tbl_Consulting[Job Number],0),MATCH(IFERROR(A200+0,A200),tbl_Consulting[Job Number],0)))),""))))</f>
        <v/>
      </c>
      <c r="L200" s="26">
        <f>IF(A200="","",IFERROR(IF(INDEX(tbl_Onsite[Invoice Type],IFERROR(MATCH(A200&amp;"",tbl_Onsite[Job Number],0),MATCH(IFERROR(A200+0,A200),tbl_Onsite[Job Number],0)))="","",INDEX(tbl_Onsite[Invoice Type],IFERROR(MATCH(A200&amp;"",tbl_Onsite[Job Number],0),MATCH(IFERROR(A200+0,A200),tbl_Onsite[Job Number],0)))),IFERROR(IF(INDEX(tbl_Production[Invoice Type],IFERROR(MATCH(A200&amp;"",tbl_Production[Job Number],0),MATCH(IFERROR(A200+0,A200),tbl_Production[Job Number],0)))="","",INDEX(tbl_Production[Invoice Type],IFERROR(MATCH(A200&amp;"",tbl_Production[Job Number],0),MATCH(IFERROR(A200+0,A200),tbl_Production[Job Number],0)))),IFERROR(IF(INDEX(tbl_Consulting[Invoice Type],IFERROR(MATCH(A200&amp;"",tbl_Consulting[Job Number],0),MATCH(IFERROR(A200+0,A200),tbl_Consulting[Job Number],0)))="","",INDEX(tbl_Consulting[Invoice Type],IFERROR(MATCH(A200&amp;"",tbl_Consulting[Job Number],0),MATCH(IFERROR(A200+0,A200),tbl_Consulting[Job Number],0)))),""))))</f>
        <v/>
      </c>
      <c r="M200" s="26">
        <f>IF(A200="","",IF(IFERROR(IF(INDEX(tbl_Onsite[Tax Code],IFERROR(MATCH(A200&amp;"",tbl_Onsite[Job Number],0),MATCH(IFERROR(A200+0,A200),tbl_Onsite[Job Number],0)))="","",INDEX(tbl_Onsite[Tax Code],IFERROR(MATCH(A200&amp;"",tbl_Onsite[Job Number],0),MATCH(IFERROR(A200+0,A200),tbl_Onsite[Job Number],0)))),IFERROR(IF(INDEX(tbl_Production[Tax Code],IFERROR(MATCH(A200&amp;"",tbl_Production[Job Number],0),MATCH(IFERROR(A200+0,A200),tbl_Production[Job Number],0)))="","",INDEX(tbl_Production[Tax Code],IFERROR(MATCH(A200&amp;"",tbl_Production[Job Number],0),MATCH(IFERROR(A200+0,A200),tbl_Production[Job Number],0)))),IFERROR(IF(INDEX(tbl_Consulting[Tax Code],IFERROR(MATCH(A200&amp;"",tbl_Consulting[Job Number],0),MATCH(IFERROR(A200+0,A200),tbl_Consulting[Job Number],0)))="","",INDEX(tbl_Consulting[Tax Code],IFERROR(MATCH(A200&amp;"",tbl_Consulting[Job Number],0),MATCH(IFERROR(A200+0,A200),tbl_Consulting[Job Number],0)))),"")))="","GST 10%",IFERROR(IF(INDEX(tbl_Onsite[Tax Code],IFERROR(MATCH(A200&amp;"",tbl_Onsite[Job Number],0),MATCH(IFERROR(A200+0,A200),tbl_Onsite[Job Number],0)))="","",INDEX(tbl_Onsite[Tax Code],IFERROR(MATCH(A200&amp;"",tbl_Onsite[Job Number],0),MATCH(IFERROR(A200+0,A200),tbl_Onsite[Job Number],0)))),IFERROR(IF(INDEX(tbl_Production[Tax Code],IFERROR(MATCH(A200&amp;"",tbl_Production[Job Number],0),MATCH(IFERROR(A200+0,A200),tbl_Production[Job Number],0)))="","",INDEX(tbl_Production[Tax Code],IFERROR(MATCH(A200&amp;"",tbl_Production[Job Number],0),MATCH(IFERROR(A200+0,A200),tbl_Production[Job Number],0)))),IFERROR(IF(INDEX(tbl_Consulting[Tax Code],IFERROR(MATCH(A200&amp;"",tbl_Consulting[Job Number],0),MATCH(IFERROR(A200+0,A200),tbl_Consulting[Job Number],0)))="","",INDEX(tbl_Consulting[Tax Code],IFERROR(MATCH(A200&amp;"",tbl_Consulting[Job Number],0),MATCH(IFERROR(A200+0,A200),tbl_Consulting[Job Number],0)))),"")))))</f>
        <v/>
      </c>
      <c r="N200" s="26">
        <f>IF(D200="","",IFERROR(INDEX(lst_CCtoGL,MATCH(D200,lst_CCforGL,0)),""))</f>
        <v/>
      </c>
      <c r="O200" s="27">
        <f>IF(E200="","",IF(M200="GST 10%",ROUND(E200*set_GSTRate,2),0))</f>
        <v/>
      </c>
      <c r="P200" s="27">
        <f>IF(E200="","",E200+O200)</f>
        <v/>
      </c>
      <c r="Q200" s="27">
        <f>IF(A200="","",IFERROR(INDEX(tbl_Onsite[Expected Revenue Ex GST],IFERROR(MATCH(A200&amp;"",tbl_Onsite[Job Number],0),MATCH(IFERROR(A200+0,A200),tbl_Onsite[Job Number],0))),IFERROR(INDEX(tbl_Production[Expected Revenue Ex GST],IFERROR(MATCH(A200&amp;"",tbl_Production[Job Number],0),MATCH(IFERROR(A200+0,A200),tbl_Production[Job Number],0))),IFERROR(INDEX(tbl_Consulting[Expected Revenue Ex GST],IFERROR(MATCH(A200&amp;"",tbl_Consulting[Job Number],0),MATCH(IFERROR(A200+0,A200),tbl_Consulting[Job Number],0))),0))))</f>
        <v/>
      </c>
      <c r="R200" s="27">
        <f>IF(A200="","",SUMIFS(tbl_Finance[Ex GST],tbl_Finance[Job Number],A200&amp;""))</f>
        <v/>
      </c>
      <c r="S200" s="27">
        <f>IF(A200="","",Q200-R200)</f>
        <v/>
      </c>
      <c r="T200" s="26">
        <f>IF(A200="","",IF(Q200=0,"No dept value",IF(ROUND(S200,2)=0,"Agrees",IF(S200&gt;0,"Dept higher - to invoice","Xero higher - check dept"))))</f>
        <v/>
      </c>
      <c r="U200" s="22" t="n"/>
      <c r="V200" s="22" t="n"/>
      <c r="W200" s="23" t="n"/>
      <c r="X200" s="23" t="n"/>
      <c r="Y200" s="22" t="n"/>
      <c r="Z200" s="22" t="n"/>
      <c r="AA200" s="26">
        <f>IF(COUNTA(C200,A200,B200,E200)=0,"",IF(C200="","No date - sits outside every month",IF(A200="","No job number",IF(H200="CHECK","Job number is not in the Xero job list",IF(G200="not set up yet","No department has set this job up - nothing can pull through",IF(D200="","No cost centre",IF(AND(U200="Y",B200=""),"Marked posted to Xero but has no invoice number",IF(N200="","Cost centre has no revenue GL on the Lists sheet",IF(T200="Xero higher - check dept","Invoiced more than the department says the job is worth","")))))))))</f>
        <v/>
      </c>
      <c r="AB200" s="28">
        <f>IF(A200="","",COUNTIFS(tbl_Finance[Job Number],A200&amp;"",tbl_Finance[Ex GST],"&lt;&gt;"))</f>
        <v/>
      </c>
      <c r="AC200" s="27">
        <f>IF(A200="","",SUMIFS(tbl_Finance[Ex GST],tbl_Finance[Job Number],A200&amp;""))</f>
        <v/>
      </c>
      <c r="AD200" s="27">
        <f>IF(A200="","",SUMIFS(tbl_Finance[Ex GST],tbl_Finance[Job Number],A200&amp;"",tbl_Finance[Xero Invoice No],"&lt;&gt;"))</f>
        <v/>
      </c>
      <c r="AE200" s="27">
        <f>IF(A200="","",AC200-AD200)</f>
        <v/>
      </c>
      <c r="AF200" s="26">
        <f>IF(A200="","",IFERROR(IF(INDEX(tbl_Onsite[Qwilr Quote],IFERROR(MATCH(A200&amp;"",tbl_Onsite[Job Number],0),MATCH(IFERROR(A200+0,A200),tbl_Onsite[Job Number],0)))="","",INDEX(tbl_Onsite[Qwilr Quote],IFERROR(MATCH(A200&amp;"",tbl_Onsite[Job Number],0),MATCH(IFERROR(A200+0,A200),tbl_Onsite[Job Number],0)))),IFERROR(IF(IF(INDEX(tbl_Production[Current RMS No],IFERROR(MATCH(A200&amp;"",tbl_Production[Job Number],0),MATCH(IFERROR(A200+0,A200),tbl_Production[Job Number],0)))="",INDEX(tbl_Production[Qwilr Quote],IFERROR(MATCH(A200&amp;"",tbl_Production[Job Number],0),MATCH(IFERROR(A200+0,A200),tbl_Production[Job Number],0))),INDEX(tbl_Production[Current RMS No],IFERROR(MATCH(A200&amp;"",tbl_Production[Job Number],0),MATCH(IFERROR(A200+0,A200),tbl_Production[Job Number],0))))="","",IF(INDEX(tbl_Production[Current RMS No],IFERROR(MATCH(A200&amp;"",tbl_Production[Job Number],0),MATCH(IFERROR(A200+0,A200),tbl_Production[Job Number],0)))="",INDEX(tbl_Production[Qwilr Quote],IFERROR(MATCH(A200&amp;"",tbl_Production[Job Number],0),MATCH(IFERROR(A200+0,A200),tbl_Production[Job Number],0))),INDEX(tbl_Production[Current RMS No],IFERROR(MATCH(A200&amp;"",tbl_Production[Job Number],0),MATCH(IFERROR(A200+0,A200),tbl_Production[Job Number],0))))),IFERROR(IF(INDEX(tbl_Consulting[Qwilr Quote],IFERROR(MATCH(A200&amp;"",tbl_Consulting[Job Number],0),MATCH(IFERROR(A200+0,A200),tbl_Consulting[Job Number],0)))="","",INDEX(tbl_Consulting[Qwilr Quote],IFERROR(MATCH(A200&amp;"",tbl_Consulting[Job Number],0),MATCH(IFERROR(A200+0,A200),tbl_Consulting[Job Number],0)))),""))))</f>
        <v/>
      </c>
      <c r="AG200" s="26">
        <f>IF(AF200="","",IF(AND(LEFT(AF200,4)&lt;&gt;"http",IF(G200="Production",set_RMSBase,set_QwilrBase)=""),"",HYPERLINK(IF(LEFT(AF200,4)="http",AF200,IF(G200="Production",set_RMSBase,set_QwilrBase)&amp;AF200),"Open")))</f>
        <v/>
      </c>
      <c r="AH200" s="27">
        <f>IF(A200="","",IFERROR(INDEX(tbl_Production[Total Expense],IFERROR(MATCH(A200&amp;"",tbl_Production[Job Number],0),MATCH(IFERROR(A200+0,A200),tbl_Production[Job Number],0))),IFERROR(INDEX(tbl_Consulting[Total Expense],IFERROR(MATCH(A200&amp;"",tbl_Consulting[Job Number],0),MATCH(IFERROR(A200+0,A200),tbl_Consulting[Job Number],0))),0)))</f>
        <v/>
      </c>
      <c r="AI200" s="27">
        <f>IF(A200="","",AC200-N(AH200))</f>
        <v/>
      </c>
      <c r="AJ200" s="29">
        <f>IFERROR(AI200/AC200,"")</f>
        <v/>
      </c>
      <c r="AK200" s="26">
        <f>IF(A200="","",IFERROR(IF(INDEX(tbl_Onsite[Notes],IFERROR(MATCH(A200&amp;"",tbl_Onsite[Job Number],0),MATCH(IFERROR(A200+0,A200),tbl_Onsite[Job Number],0)))="","",INDEX(tbl_Onsite[Notes],IFERROR(MATCH(A200&amp;"",tbl_Onsite[Job Number],0),MATCH(IFERROR(A200+0,A200),tbl_Onsite[Job Number],0)))),IFERROR(IF(INDEX(tbl_Production[Notes],IFERROR(MATCH(A200&amp;"",tbl_Production[Job Number],0),MATCH(IFERROR(A200+0,A200),tbl_Production[Job Number],0)))="","",INDEX(tbl_Production[Notes],IFERROR(MATCH(A200&amp;"",tbl_Production[Job Number],0),MATCH(IFERROR(A200+0,A200),tbl_Production[Job Number],0)))),IFERROR(IF(INDEX(tbl_Consulting[Notes],IFERROR(MATCH(A200&amp;"",tbl_Consulting[Job Number],0),MATCH(IFERROR(A200+0,A200),tbl_Consulting[Job Number],0)))="","",INDEX(tbl_Consulting[Notes],IFERROR(MATCH(A200&amp;"",tbl_Consulting[Job Number],0),MATCH(IFERROR(A200+0,A200),tbl_Consulting[Job Number],0)))),""))))</f>
        <v/>
      </c>
    </row>
    <row r="201" ht="15" customHeight="1">
      <c r="A201" s="22" t="n"/>
      <c r="B201" s="22" t="n"/>
      <c r="C201" s="23" t="n"/>
      <c r="D201" s="22" t="n"/>
      <c r="E201" s="24" t="n"/>
      <c r="F201" s="25">
        <f>IF(C201="","",EOMONTH(C201,0))</f>
        <v/>
      </c>
      <c r="G201" s="26">
        <f>IF(A201="","",IF(COUNTIF(tbl_Onsite[Job Number],A201&amp;"")&gt;0,"Onsite",IF(COUNTIF(tbl_Production[Job Number],A201&amp;"")&gt;0,"Production",IF(COUNTIF(tbl_Consulting[Job Number],A201&amp;"")&gt;0,"Consulting","not set up yet"))))</f>
        <v/>
      </c>
      <c r="H201" s="26">
        <f>IF(A201="","",IF(COUNTIF(lst_Jobs,A201&amp;"")&gt;0,"OK","CHECK"))</f>
        <v/>
      </c>
      <c r="I201" s="26">
        <f>IF(A201="","",IFERROR(INDEX(lst_JobName,MATCH(A201&amp;"",lst_Jobs,0)),""))</f>
        <v/>
      </c>
      <c r="J201" s="26">
        <f>IF(A201="","",IFERROR(IF(INDEX(tbl_Onsite[Client],IFERROR(MATCH(A201&amp;"",tbl_Onsite[Job Number],0),MATCH(IFERROR(A201+0,A201),tbl_Onsite[Job Number],0)))="","",INDEX(tbl_Onsite[Client],IFERROR(MATCH(A201&amp;"",tbl_Onsite[Job Number],0),MATCH(IFERROR(A201+0,A201),tbl_Onsite[Job Number],0)))),IFERROR(IF(INDEX(tbl_Production[Client],IFERROR(MATCH(A201&amp;"",tbl_Production[Job Number],0),MATCH(IFERROR(A201+0,A201),tbl_Production[Job Number],0)))="","",INDEX(tbl_Production[Client],IFERROR(MATCH(A201&amp;"",tbl_Production[Job Number],0),MATCH(IFERROR(A201+0,A201),tbl_Production[Job Number],0)))),IFERROR(IF(INDEX(tbl_Consulting[Client],IFERROR(MATCH(A201&amp;"",tbl_Consulting[Job Number],0),MATCH(IFERROR(A201+0,A201),tbl_Consulting[Job Number],0)))="","",INDEX(tbl_Consulting[Client],IFERROR(MATCH(A201&amp;"",tbl_Consulting[Job Number],0),MATCH(IFERROR(A201+0,A201),tbl_Consulting[Job Number],0)))),""))))</f>
        <v/>
      </c>
      <c r="K201" s="26">
        <f>IF(A201="","",IFERROR(IF(INDEX(tbl_Onsite[Job Description],IFERROR(MATCH(A201&amp;"",tbl_Onsite[Job Number],0),MATCH(IFERROR(A201+0,A201),tbl_Onsite[Job Number],0)))="","",INDEX(tbl_Onsite[Job Description],IFERROR(MATCH(A201&amp;"",tbl_Onsite[Job Number],0),MATCH(IFERROR(A201+0,A201),tbl_Onsite[Job Number],0)))),IFERROR(IF(INDEX(tbl_Production[Job Description],IFERROR(MATCH(A201&amp;"",tbl_Production[Job Number],0),MATCH(IFERROR(A201+0,A201),tbl_Production[Job Number],0)))="","",INDEX(tbl_Production[Job Description],IFERROR(MATCH(A201&amp;"",tbl_Production[Job Number],0),MATCH(IFERROR(A201+0,A201),tbl_Production[Job Number],0)))),IFERROR(IF(INDEX(tbl_Consulting[Job Description],IFERROR(MATCH(A201&amp;"",tbl_Consulting[Job Number],0),MATCH(IFERROR(A201+0,A201),tbl_Consulting[Job Number],0)))="","",INDEX(tbl_Consulting[Job Description],IFERROR(MATCH(A201&amp;"",tbl_Consulting[Job Number],0),MATCH(IFERROR(A201+0,A201),tbl_Consulting[Job Number],0)))),""))))</f>
        <v/>
      </c>
      <c r="L201" s="26">
        <f>IF(A201="","",IFERROR(IF(INDEX(tbl_Onsite[Invoice Type],IFERROR(MATCH(A201&amp;"",tbl_Onsite[Job Number],0),MATCH(IFERROR(A201+0,A201),tbl_Onsite[Job Number],0)))="","",INDEX(tbl_Onsite[Invoice Type],IFERROR(MATCH(A201&amp;"",tbl_Onsite[Job Number],0),MATCH(IFERROR(A201+0,A201),tbl_Onsite[Job Number],0)))),IFERROR(IF(INDEX(tbl_Production[Invoice Type],IFERROR(MATCH(A201&amp;"",tbl_Production[Job Number],0),MATCH(IFERROR(A201+0,A201),tbl_Production[Job Number],0)))="","",INDEX(tbl_Production[Invoice Type],IFERROR(MATCH(A201&amp;"",tbl_Production[Job Number],0),MATCH(IFERROR(A201+0,A201),tbl_Production[Job Number],0)))),IFERROR(IF(INDEX(tbl_Consulting[Invoice Type],IFERROR(MATCH(A201&amp;"",tbl_Consulting[Job Number],0),MATCH(IFERROR(A201+0,A201),tbl_Consulting[Job Number],0)))="","",INDEX(tbl_Consulting[Invoice Type],IFERROR(MATCH(A201&amp;"",tbl_Consulting[Job Number],0),MATCH(IFERROR(A201+0,A201),tbl_Consulting[Job Number],0)))),""))))</f>
        <v/>
      </c>
      <c r="M201" s="26">
        <f>IF(A201="","",IF(IFERROR(IF(INDEX(tbl_Onsite[Tax Code],IFERROR(MATCH(A201&amp;"",tbl_Onsite[Job Number],0),MATCH(IFERROR(A201+0,A201),tbl_Onsite[Job Number],0)))="","",INDEX(tbl_Onsite[Tax Code],IFERROR(MATCH(A201&amp;"",tbl_Onsite[Job Number],0),MATCH(IFERROR(A201+0,A201),tbl_Onsite[Job Number],0)))),IFERROR(IF(INDEX(tbl_Production[Tax Code],IFERROR(MATCH(A201&amp;"",tbl_Production[Job Number],0),MATCH(IFERROR(A201+0,A201),tbl_Production[Job Number],0)))="","",INDEX(tbl_Production[Tax Code],IFERROR(MATCH(A201&amp;"",tbl_Production[Job Number],0),MATCH(IFERROR(A201+0,A201),tbl_Production[Job Number],0)))),IFERROR(IF(INDEX(tbl_Consulting[Tax Code],IFERROR(MATCH(A201&amp;"",tbl_Consulting[Job Number],0),MATCH(IFERROR(A201+0,A201),tbl_Consulting[Job Number],0)))="","",INDEX(tbl_Consulting[Tax Code],IFERROR(MATCH(A201&amp;"",tbl_Consulting[Job Number],0),MATCH(IFERROR(A201+0,A201),tbl_Consulting[Job Number],0)))),"")))="","GST 10%",IFERROR(IF(INDEX(tbl_Onsite[Tax Code],IFERROR(MATCH(A201&amp;"",tbl_Onsite[Job Number],0),MATCH(IFERROR(A201+0,A201),tbl_Onsite[Job Number],0)))="","",INDEX(tbl_Onsite[Tax Code],IFERROR(MATCH(A201&amp;"",tbl_Onsite[Job Number],0),MATCH(IFERROR(A201+0,A201),tbl_Onsite[Job Number],0)))),IFERROR(IF(INDEX(tbl_Production[Tax Code],IFERROR(MATCH(A201&amp;"",tbl_Production[Job Number],0),MATCH(IFERROR(A201+0,A201),tbl_Production[Job Number],0)))="","",INDEX(tbl_Production[Tax Code],IFERROR(MATCH(A201&amp;"",tbl_Production[Job Number],0),MATCH(IFERROR(A201+0,A201),tbl_Production[Job Number],0)))),IFERROR(IF(INDEX(tbl_Consulting[Tax Code],IFERROR(MATCH(A201&amp;"",tbl_Consulting[Job Number],0),MATCH(IFERROR(A201+0,A201),tbl_Consulting[Job Number],0)))="","",INDEX(tbl_Consulting[Tax Code],IFERROR(MATCH(A201&amp;"",tbl_Consulting[Job Number],0),MATCH(IFERROR(A201+0,A201),tbl_Consulting[Job Number],0)))),"")))))</f>
        <v/>
      </c>
      <c r="N201" s="26">
        <f>IF(D201="","",IFERROR(INDEX(lst_CCtoGL,MATCH(D201,lst_CCforGL,0)),""))</f>
        <v/>
      </c>
      <c r="O201" s="27">
        <f>IF(E201="","",IF(M201="GST 10%",ROUND(E201*set_GSTRate,2),0))</f>
        <v/>
      </c>
      <c r="P201" s="27">
        <f>IF(E201="","",E201+O201)</f>
        <v/>
      </c>
      <c r="Q201" s="27">
        <f>IF(A201="","",IFERROR(INDEX(tbl_Onsite[Expected Revenue Ex GST],IFERROR(MATCH(A201&amp;"",tbl_Onsite[Job Number],0),MATCH(IFERROR(A201+0,A201),tbl_Onsite[Job Number],0))),IFERROR(INDEX(tbl_Production[Expected Revenue Ex GST],IFERROR(MATCH(A201&amp;"",tbl_Production[Job Number],0),MATCH(IFERROR(A201+0,A201),tbl_Production[Job Number],0))),IFERROR(INDEX(tbl_Consulting[Expected Revenue Ex GST],IFERROR(MATCH(A201&amp;"",tbl_Consulting[Job Number],0),MATCH(IFERROR(A201+0,A201),tbl_Consulting[Job Number],0))),0))))</f>
        <v/>
      </c>
      <c r="R201" s="27">
        <f>IF(A201="","",SUMIFS(tbl_Finance[Ex GST],tbl_Finance[Job Number],A201&amp;""))</f>
        <v/>
      </c>
      <c r="S201" s="27">
        <f>IF(A201="","",Q201-R201)</f>
        <v/>
      </c>
      <c r="T201" s="26">
        <f>IF(A201="","",IF(Q201=0,"No dept value",IF(ROUND(S201,2)=0,"Agrees",IF(S201&gt;0,"Dept higher - to invoice","Xero higher - check dept"))))</f>
        <v/>
      </c>
      <c r="U201" s="22" t="n"/>
      <c r="V201" s="22" t="n"/>
      <c r="W201" s="23" t="n"/>
      <c r="X201" s="23" t="n"/>
      <c r="Y201" s="22" t="n"/>
      <c r="Z201" s="22" t="n"/>
      <c r="AA201" s="26">
        <f>IF(COUNTA(C201,A201,B201,E201)=0,"",IF(C201="","No date - sits outside every month",IF(A201="","No job number",IF(H201="CHECK","Job number is not in the Xero job list",IF(G201="not set up yet","No department has set this job up - nothing can pull through",IF(D201="","No cost centre",IF(AND(U201="Y",B201=""),"Marked posted to Xero but has no invoice number",IF(N201="","Cost centre has no revenue GL on the Lists sheet",IF(T201="Xero higher - check dept","Invoiced more than the department says the job is worth","")))))))))</f>
        <v/>
      </c>
      <c r="AB201" s="28">
        <f>IF(A201="","",COUNTIFS(tbl_Finance[Job Number],A201&amp;"",tbl_Finance[Ex GST],"&lt;&gt;"))</f>
        <v/>
      </c>
      <c r="AC201" s="27">
        <f>IF(A201="","",SUMIFS(tbl_Finance[Ex GST],tbl_Finance[Job Number],A201&amp;""))</f>
        <v/>
      </c>
      <c r="AD201" s="27">
        <f>IF(A201="","",SUMIFS(tbl_Finance[Ex GST],tbl_Finance[Job Number],A201&amp;"",tbl_Finance[Xero Invoice No],"&lt;&gt;"))</f>
        <v/>
      </c>
      <c r="AE201" s="27">
        <f>IF(A201="","",AC201-AD201)</f>
        <v/>
      </c>
      <c r="AF201" s="26">
        <f>IF(A201="","",IFERROR(IF(INDEX(tbl_Onsite[Qwilr Quote],IFERROR(MATCH(A201&amp;"",tbl_Onsite[Job Number],0),MATCH(IFERROR(A201+0,A201),tbl_Onsite[Job Number],0)))="","",INDEX(tbl_Onsite[Qwilr Quote],IFERROR(MATCH(A201&amp;"",tbl_Onsite[Job Number],0),MATCH(IFERROR(A201+0,A201),tbl_Onsite[Job Number],0)))),IFERROR(IF(IF(INDEX(tbl_Production[Current RMS No],IFERROR(MATCH(A201&amp;"",tbl_Production[Job Number],0),MATCH(IFERROR(A201+0,A201),tbl_Production[Job Number],0)))="",INDEX(tbl_Production[Qwilr Quote],IFERROR(MATCH(A201&amp;"",tbl_Production[Job Number],0),MATCH(IFERROR(A201+0,A201),tbl_Production[Job Number],0))),INDEX(tbl_Production[Current RMS No],IFERROR(MATCH(A201&amp;"",tbl_Production[Job Number],0),MATCH(IFERROR(A201+0,A201),tbl_Production[Job Number],0))))="","",IF(INDEX(tbl_Production[Current RMS No],IFERROR(MATCH(A201&amp;"",tbl_Production[Job Number],0),MATCH(IFERROR(A201+0,A201),tbl_Production[Job Number],0)))="",INDEX(tbl_Production[Qwilr Quote],IFERROR(MATCH(A201&amp;"",tbl_Production[Job Number],0),MATCH(IFERROR(A201+0,A201),tbl_Production[Job Number],0))),INDEX(tbl_Production[Current RMS No],IFERROR(MATCH(A201&amp;"",tbl_Production[Job Number],0),MATCH(IFERROR(A201+0,A201),tbl_Production[Job Number],0))))),IFERROR(IF(INDEX(tbl_Consulting[Qwilr Quote],IFERROR(MATCH(A201&amp;"",tbl_Consulting[Job Number],0),MATCH(IFERROR(A201+0,A201),tbl_Consulting[Job Number],0)))="","",INDEX(tbl_Consulting[Qwilr Quote],IFERROR(MATCH(A201&amp;"",tbl_Consulting[Job Number],0),MATCH(IFERROR(A201+0,A201),tbl_Consulting[Job Number],0)))),""))))</f>
        <v/>
      </c>
      <c r="AG201" s="26">
        <f>IF(AF201="","",IF(AND(LEFT(AF201,4)&lt;&gt;"http",IF(G201="Production",set_RMSBase,set_QwilrBase)=""),"",HYPERLINK(IF(LEFT(AF201,4)="http",AF201,IF(G201="Production",set_RMSBase,set_QwilrBase)&amp;AF201),"Open")))</f>
        <v/>
      </c>
      <c r="AH201" s="27">
        <f>IF(A201="","",IFERROR(INDEX(tbl_Production[Total Expense],IFERROR(MATCH(A201&amp;"",tbl_Production[Job Number],0),MATCH(IFERROR(A201+0,A201),tbl_Production[Job Number],0))),IFERROR(INDEX(tbl_Consulting[Total Expense],IFERROR(MATCH(A201&amp;"",tbl_Consulting[Job Number],0),MATCH(IFERROR(A201+0,A201),tbl_Consulting[Job Number],0))),0)))</f>
        <v/>
      </c>
      <c r="AI201" s="27">
        <f>IF(A201="","",AC201-N(AH201))</f>
        <v/>
      </c>
      <c r="AJ201" s="29">
        <f>IFERROR(AI201/AC201,"")</f>
        <v/>
      </c>
      <c r="AK201" s="26">
        <f>IF(A201="","",IFERROR(IF(INDEX(tbl_Onsite[Notes],IFERROR(MATCH(A201&amp;"",tbl_Onsite[Job Number],0),MATCH(IFERROR(A201+0,A201),tbl_Onsite[Job Number],0)))="","",INDEX(tbl_Onsite[Notes],IFERROR(MATCH(A201&amp;"",tbl_Onsite[Job Number],0),MATCH(IFERROR(A201+0,A201),tbl_Onsite[Job Number],0)))),IFERROR(IF(INDEX(tbl_Production[Notes],IFERROR(MATCH(A201&amp;"",tbl_Production[Job Number],0),MATCH(IFERROR(A201+0,A201),tbl_Production[Job Number],0)))="","",INDEX(tbl_Production[Notes],IFERROR(MATCH(A201&amp;"",tbl_Production[Job Number],0),MATCH(IFERROR(A201+0,A201),tbl_Production[Job Number],0)))),IFERROR(IF(INDEX(tbl_Consulting[Notes],IFERROR(MATCH(A201&amp;"",tbl_Consulting[Job Number],0),MATCH(IFERROR(A201+0,A201),tbl_Consulting[Job Number],0)))="","",INDEX(tbl_Consulting[Notes],IFERROR(MATCH(A201&amp;"",tbl_Consulting[Job Number],0),MATCH(IFERROR(A201+0,A201),tbl_Consulting[Job Number],0)))),""))))</f>
        <v/>
      </c>
    </row>
    <row r="202" ht="15" customHeight="1">
      <c r="A202" s="22" t="n"/>
      <c r="B202" s="22" t="n"/>
      <c r="C202" s="23" t="n"/>
      <c r="D202" s="22" t="n"/>
      <c r="E202" s="24" t="n"/>
      <c r="F202" s="25">
        <f>IF(C202="","",EOMONTH(C202,0))</f>
        <v/>
      </c>
      <c r="G202" s="26">
        <f>IF(A202="","",IF(COUNTIF(tbl_Onsite[Job Number],A202&amp;"")&gt;0,"Onsite",IF(COUNTIF(tbl_Production[Job Number],A202&amp;"")&gt;0,"Production",IF(COUNTIF(tbl_Consulting[Job Number],A202&amp;"")&gt;0,"Consulting","not set up yet"))))</f>
        <v/>
      </c>
      <c r="H202" s="26">
        <f>IF(A202="","",IF(COUNTIF(lst_Jobs,A202&amp;"")&gt;0,"OK","CHECK"))</f>
        <v/>
      </c>
      <c r="I202" s="26">
        <f>IF(A202="","",IFERROR(INDEX(lst_JobName,MATCH(A202&amp;"",lst_Jobs,0)),""))</f>
        <v/>
      </c>
      <c r="J202" s="26">
        <f>IF(A202="","",IFERROR(IF(INDEX(tbl_Onsite[Client],IFERROR(MATCH(A202&amp;"",tbl_Onsite[Job Number],0),MATCH(IFERROR(A202+0,A202),tbl_Onsite[Job Number],0)))="","",INDEX(tbl_Onsite[Client],IFERROR(MATCH(A202&amp;"",tbl_Onsite[Job Number],0),MATCH(IFERROR(A202+0,A202),tbl_Onsite[Job Number],0)))),IFERROR(IF(INDEX(tbl_Production[Client],IFERROR(MATCH(A202&amp;"",tbl_Production[Job Number],0),MATCH(IFERROR(A202+0,A202),tbl_Production[Job Number],0)))="","",INDEX(tbl_Production[Client],IFERROR(MATCH(A202&amp;"",tbl_Production[Job Number],0),MATCH(IFERROR(A202+0,A202),tbl_Production[Job Number],0)))),IFERROR(IF(INDEX(tbl_Consulting[Client],IFERROR(MATCH(A202&amp;"",tbl_Consulting[Job Number],0),MATCH(IFERROR(A202+0,A202),tbl_Consulting[Job Number],0)))="","",INDEX(tbl_Consulting[Client],IFERROR(MATCH(A202&amp;"",tbl_Consulting[Job Number],0),MATCH(IFERROR(A202+0,A202),tbl_Consulting[Job Number],0)))),""))))</f>
        <v/>
      </c>
      <c r="K202" s="26">
        <f>IF(A202="","",IFERROR(IF(INDEX(tbl_Onsite[Job Description],IFERROR(MATCH(A202&amp;"",tbl_Onsite[Job Number],0),MATCH(IFERROR(A202+0,A202),tbl_Onsite[Job Number],0)))="","",INDEX(tbl_Onsite[Job Description],IFERROR(MATCH(A202&amp;"",tbl_Onsite[Job Number],0),MATCH(IFERROR(A202+0,A202),tbl_Onsite[Job Number],0)))),IFERROR(IF(INDEX(tbl_Production[Job Description],IFERROR(MATCH(A202&amp;"",tbl_Production[Job Number],0),MATCH(IFERROR(A202+0,A202),tbl_Production[Job Number],0)))="","",INDEX(tbl_Production[Job Description],IFERROR(MATCH(A202&amp;"",tbl_Production[Job Number],0),MATCH(IFERROR(A202+0,A202),tbl_Production[Job Number],0)))),IFERROR(IF(INDEX(tbl_Consulting[Job Description],IFERROR(MATCH(A202&amp;"",tbl_Consulting[Job Number],0),MATCH(IFERROR(A202+0,A202),tbl_Consulting[Job Number],0)))="","",INDEX(tbl_Consulting[Job Description],IFERROR(MATCH(A202&amp;"",tbl_Consulting[Job Number],0),MATCH(IFERROR(A202+0,A202),tbl_Consulting[Job Number],0)))),""))))</f>
        <v/>
      </c>
      <c r="L202" s="26">
        <f>IF(A202="","",IFERROR(IF(INDEX(tbl_Onsite[Invoice Type],IFERROR(MATCH(A202&amp;"",tbl_Onsite[Job Number],0),MATCH(IFERROR(A202+0,A202),tbl_Onsite[Job Number],0)))="","",INDEX(tbl_Onsite[Invoice Type],IFERROR(MATCH(A202&amp;"",tbl_Onsite[Job Number],0),MATCH(IFERROR(A202+0,A202),tbl_Onsite[Job Number],0)))),IFERROR(IF(INDEX(tbl_Production[Invoice Type],IFERROR(MATCH(A202&amp;"",tbl_Production[Job Number],0),MATCH(IFERROR(A202+0,A202),tbl_Production[Job Number],0)))="","",INDEX(tbl_Production[Invoice Type],IFERROR(MATCH(A202&amp;"",tbl_Production[Job Number],0),MATCH(IFERROR(A202+0,A202),tbl_Production[Job Number],0)))),IFERROR(IF(INDEX(tbl_Consulting[Invoice Type],IFERROR(MATCH(A202&amp;"",tbl_Consulting[Job Number],0),MATCH(IFERROR(A202+0,A202),tbl_Consulting[Job Number],0)))="","",INDEX(tbl_Consulting[Invoice Type],IFERROR(MATCH(A202&amp;"",tbl_Consulting[Job Number],0),MATCH(IFERROR(A202+0,A202),tbl_Consulting[Job Number],0)))),""))))</f>
        <v/>
      </c>
      <c r="M202" s="26">
        <f>IF(A202="","",IF(IFERROR(IF(INDEX(tbl_Onsite[Tax Code],IFERROR(MATCH(A202&amp;"",tbl_Onsite[Job Number],0),MATCH(IFERROR(A202+0,A202),tbl_Onsite[Job Number],0)))="","",INDEX(tbl_Onsite[Tax Code],IFERROR(MATCH(A202&amp;"",tbl_Onsite[Job Number],0),MATCH(IFERROR(A202+0,A202),tbl_Onsite[Job Number],0)))),IFERROR(IF(INDEX(tbl_Production[Tax Code],IFERROR(MATCH(A202&amp;"",tbl_Production[Job Number],0),MATCH(IFERROR(A202+0,A202),tbl_Production[Job Number],0)))="","",INDEX(tbl_Production[Tax Code],IFERROR(MATCH(A202&amp;"",tbl_Production[Job Number],0),MATCH(IFERROR(A202+0,A202),tbl_Production[Job Number],0)))),IFERROR(IF(INDEX(tbl_Consulting[Tax Code],IFERROR(MATCH(A202&amp;"",tbl_Consulting[Job Number],0),MATCH(IFERROR(A202+0,A202),tbl_Consulting[Job Number],0)))="","",INDEX(tbl_Consulting[Tax Code],IFERROR(MATCH(A202&amp;"",tbl_Consulting[Job Number],0),MATCH(IFERROR(A202+0,A202),tbl_Consulting[Job Number],0)))),"")))="","GST 10%",IFERROR(IF(INDEX(tbl_Onsite[Tax Code],IFERROR(MATCH(A202&amp;"",tbl_Onsite[Job Number],0),MATCH(IFERROR(A202+0,A202),tbl_Onsite[Job Number],0)))="","",INDEX(tbl_Onsite[Tax Code],IFERROR(MATCH(A202&amp;"",tbl_Onsite[Job Number],0),MATCH(IFERROR(A202+0,A202),tbl_Onsite[Job Number],0)))),IFERROR(IF(INDEX(tbl_Production[Tax Code],IFERROR(MATCH(A202&amp;"",tbl_Production[Job Number],0),MATCH(IFERROR(A202+0,A202),tbl_Production[Job Number],0)))="","",INDEX(tbl_Production[Tax Code],IFERROR(MATCH(A202&amp;"",tbl_Production[Job Number],0),MATCH(IFERROR(A202+0,A202),tbl_Production[Job Number],0)))),IFERROR(IF(INDEX(tbl_Consulting[Tax Code],IFERROR(MATCH(A202&amp;"",tbl_Consulting[Job Number],0),MATCH(IFERROR(A202+0,A202),tbl_Consulting[Job Number],0)))="","",INDEX(tbl_Consulting[Tax Code],IFERROR(MATCH(A202&amp;"",tbl_Consulting[Job Number],0),MATCH(IFERROR(A202+0,A202),tbl_Consulting[Job Number],0)))),"")))))</f>
        <v/>
      </c>
      <c r="N202" s="26">
        <f>IF(D202="","",IFERROR(INDEX(lst_CCtoGL,MATCH(D202,lst_CCforGL,0)),""))</f>
        <v/>
      </c>
      <c r="O202" s="27">
        <f>IF(E202="","",IF(M202="GST 10%",ROUND(E202*set_GSTRate,2),0))</f>
        <v/>
      </c>
      <c r="P202" s="27">
        <f>IF(E202="","",E202+O202)</f>
        <v/>
      </c>
      <c r="Q202" s="27">
        <f>IF(A202="","",IFERROR(INDEX(tbl_Onsite[Expected Revenue Ex GST],IFERROR(MATCH(A202&amp;"",tbl_Onsite[Job Number],0),MATCH(IFERROR(A202+0,A202),tbl_Onsite[Job Number],0))),IFERROR(INDEX(tbl_Production[Expected Revenue Ex GST],IFERROR(MATCH(A202&amp;"",tbl_Production[Job Number],0),MATCH(IFERROR(A202+0,A202),tbl_Production[Job Number],0))),IFERROR(INDEX(tbl_Consulting[Expected Revenue Ex GST],IFERROR(MATCH(A202&amp;"",tbl_Consulting[Job Number],0),MATCH(IFERROR(A202+0,A202),tbl_Consulting[Job Number],0))),0))))</f>
        <v/>
      </c>
      <c r="R202" s="27">
        <f>IF(A202="","",SUMIFS(tbl_Finance[Ex GST],tbl_Finance[Job Number],A202&amp;""))</f>
        <v/>
      </c>
      <c r="S202" s="27">
        <f>IF(A202="","",Q202-R202)</f>
        <v/>
      </c>
      <c r="T202" s="26">
        <f>IF(A202="","",IF(Q202=0,"No dept value",IF(ROUND(S202,2)=0,"Agrees",IF(S202&gt;0,"Dept higher - to invoice","Xero higher - check dept"))))</f>
        <v/>
      </c>
      <c r="U202" s="22" t="n"/>
      <c r="V202" s="22" t="n"/>
      <c r="W202" s="23" t="n"/>
      <c r="X202" s="23" t="n"/>
      <c r="Y202" s="22" t="n"/>
      <c r="Z202" s="22" t="n"/>
      <c r="AA202" s="26">
        <f>IF(COUNTA(C202,A202,B202,E202)=0,"",IF(C202="","No date - sits outside every month",IF(A202="","No job number",IF(H202="CHECK","Job number is not in the Xero job list",IF(G202="not set up yet","No department has set this job up - nothing can pull through",IF(D202="","No cost centre",IF(AND(U202="Y",B202=""),"Marked posted to Xero but has no invoice number",IF(N202="","Cost centre has no revenue GL on the Lists sheet",IF(T202="Xero higher - check dept","Invoiced more than the department says the job is worth","")))))))))</f>
        <v/>
      </c>
      <c r="AB202" s="28">
        <f>IF(A202="","",COUNTIFS(tbl_Finance[Job Number],A202&amp;"",tbl_Finance[Ex GST],"&lt;&gt;"))</f>
        <v/>
      </c>
      <c r="AC202" s="27">
        <f>IF(A202="","",SUMIFS(tbl_Finance[Ex GST],tbl_Finance[Job Number],A202&amp;""))</f>
        <v/>
      </c>
      <c r="AD202" s="27">
        <f>IF(A202="","",SUMIFS(tbl_Finance[Ex GST],tbl_Finance[Job Number],A202&amp;"",tbl_Finance[Xero Invoice No],"&lt;&gt;"))</f>
        <v/>
      </c>
      <c r="AE202" s="27">
        <f>IF(A202="","",AC202-AD202)</f>
        <v/>
      </c>
      <c r="AF202" s="26">
        <f>IF(A202="","",IFERROR(IF(INDEX(tbl_Onsite[Qwilr Quote],IFERROR(MATCH(A202&amp;"",tbl_Onsite[Job Number],0),MATCH(IFERROR(A202+0,A202),tbl_Onsite[Job Number],0)))="","",INDEX(tbl_Onsite[Qwilr Quote],IFERROR(MATCH(A202&amp;"",tbl_Onsite[Job Number],0),MATCH(IFERROR(A202+0,A202),tbl_Onsite[Job Number],0)))),IFERROR(IF(IF(INDEX(tbl_Production[Current RMS No],IFERROR(MATCH(A202&amp;"",tbl_Production[Job Number],0),MATCH(IFERROR(A202+0,A202),tbl_Production[Job Number],0)))="",INDEX(tbl_Production[Qwilr Quote],IFERROR(MATCH(A202&amp;"",tbl_Production[Job Number],0),MATCH(IFERROR(A202+0,A202),tbl_Production[Job Number],0))),INDEX(tbl_Production[Current RMS No],IFERROR(MATCH(A202&amp;"",tbl_Production[Job Number],0),MATCH(IFERROR(A202+0,A202),tbl_Production[Job Number],0))))="","",IF(INDEX(tbl_Production[Current RMS No],IFERROR(MATCH(A202&amp;"",tbl_Production[Job Number],0),MATCH(IFERROR(A202+0,A202),tbl_Production[Job Number],0)))="",INDEX(tbl_Production[Qwilr Quote],IFERROR(MATCH(A202&amp;"",tbl_Production[Job Number],0),MATCH(IFERROR(A202+0,A202),tbl_Production[Job Number],0))),INDEX(tbl_Production[Current RMS No],IFERROR(MATCH(A202&amp;"",tbl_Production[Job Number],0),MATCH(IFERROR(A202+0,A202),tbl_Production[Job Number],0))))),IFERROR(IF(INDEX(tbl_Consulting[Qwilr Quote],IFERROR(MATCH(A202&amp;"",tbl_Consulting[Job Number],0),MATCH(IFERROR(A202+0,A202),tbl_Consulting[Job Number],0)))="","",INDEX(tbl_Consulting[Qwilr Quote],IFERROR(MATCH(A202&amp;"",tbl_Consulting[Job Number],0),MATCH(IFERROR(A202+0,A202),tbl_Consulting[Job Number],0)))),""))))</f>
        <v/>
      </c>
      <c r="AG202" s="26">
        <f>IF(AF202="","",IF(AND(LEFT(AF202,4)&lt;&gt;"http",IF(G202="Production",set_RMSBase,set_QwilrBase)=""),"",HYPERLINK(IF(LEFT(AF202,4)="http",AF202,IF(G202="Production",set_RMSBase,set_QwilrBase)&amp;AF202),"Open")))</f>
        <v/>
      </c>
      <c r="AH202" s="27">
        <f>IF(A202="","",IFERROR(INDEX(tbl_Production[Total Expense],IFERROR(MATCH(A202&amp;"",tbl_Production[Job Number],0),MATCH(IFERROR(A202+0,A202),tbl_Production[Job Number],0))),IFERROR(INDEX(tbl_Consulting[Total Expense],IFERROR(MATCH(A202&amp;"",tbl_Consulting[Job Number],0),MATCH(IFERROR(A202+0,A202),tbl_Consulting[Job Number],0))),0)))</f>
        <v/>
      </c>
      <c r="AI202" s="27">
        <f>IF(A202="","",AC202-N(AH202))</f>
        <v/>
      </c>
      <c r="AJ202" s="29">
        <f>IFERROR(AI202/AC202,"")</f>
        <v/>
      </c>
      <c r="AK202" s="26">
        <f>IF(A202="","",IFERROR(IF(INDEX(tbl_Onsite[Notes],IFERROR(MATCH(A202&amp;"",tbl_Onsite[Job Number],0),MATCH(IFERROR(A202+0,A202),tbl_Onsite[Job Number],0)))="","",INDEX(tbl_Onsite[Notes],IFERROR(MATCH(A202&amp;"",tbl_Onsite[Job Number],0),MATCH(IFERROR(A202+0,A202),tbl_Onsite[Job Number],0)))),IFERROR(IF(INDEX(tbl_Production[Notes],IFERROR(MATCH(A202&amp;"",tbl_Production[Job Number],0),MATCH(IFERROR(A202+0,A202),tbl_Production[Job Number],0)))="","",INDEX(tbl_Production[Notes],IFERROR(MATCH(A202&amp;"",tbl_Production[Job Number],0),MATCH(IFERROR(A202+0,A202),tbl_Production[Job Number],0)))),IFERROR(IF(INDEX(tbl_Consulting[Notes],IFERROR(MATCH(A202&amp;"",tbl_Consulting[Job Number],0),MATCH(IFERROR(A202+0,A202),tbl_Consulting[Job Number],0)))="","",INDEX(tbl_Consulting[Notes],IFERROR(MATCH(A202&amp;"",tbl_Consulting[Job Number],0),MATCH(IFERROR(A202+0,A202),tbl_Consulting[Job Number],0)))),""))))</f>
        <v/>
      </c>
    </row>
    <row r="203" ht="15" customHeight="1">
      <c r="A203" s="22" t="n"/>
      <c r="B203" s="22" t="n"/>
      <c r="C203" s="23" t="n"/>
      <c r="D203" s="22" t="n"/>
      <c r="E203" s="24" t="n"/>
      <c r="F203" s="25">
        <f>IF(C203="","",EOMONTH(C203,0))</f>
        <v/>
      </c>
      <c r="G203" s="26">
        <f>IF(A203="","",IF(COUNTIF(tbl_Onsite[Job Number],A203&amp;"")&gt;0,"Onsite",IF(COUNTIF(tbl_Production[Job Number],A203&amp;"")&gt;0,"Production",IF(COUNTIF(tbl_Consulting[Job Number],A203&amp;"")&gt;0,"Consulting","not set up yet"))))</f>
        <v/>
      </c>
      <c r="H203" s="26">
        <f>IF(A203="","",IF(COUNTIF(lst_Jobs,A203&amp;"")&gt;0,"OK","CHECK"))</f>
        <v/>
      </c>
      <c r="I203" s="26">
        <f>IF(A203="","",IFERROR(INDEX(lst_JobName,MATCH(A203&amp;"",lst_Jobs,0)),""))</f>
        <v/>
      </c>
      <c r="J203" s="26">
        <f>IF(A203="","",IFERROR(IF(INDEX(tbl_Onsite[Client],IFERROR(MATCH(A203&amp;"",tbl_Onsite[Job Number],0),MATCH(IFERROR(A203+0,A203),tbl_Onsite[Job Number],0)))="","",INDEX(tbl_Onsite[Client],IFERROR(MATCH(A203&amp;"",tbl_Onsite[Job Number],0),MATCH(IFERROR(A203+0,A203),tbl_Onsite[Job Number],0)))),IFERROR(IF(INDEX(tbl_Production[Client],IFERROR(MATCH(A203&amp;"",tbl_Production[Job Number],0),MATCH(IFERROR(A203+0,A203),tbl_Production[Job Number],0)))="","",INDEX(tbl_Production[Client],IFERROR(MATCH(A203&amp;"",tbl_Production[Job Number],0),MATCH(IFERROR(A203+0,A203),tbl_Production[Job Number],0)))),IFERROR(IF(INDEX(tbl_Consulting[Client],IFERROR(MATCH(A203&amp;"",tbl_Consulting[Job Number],0),MATCH(IFERROR(A203+0,A203),tbl_Consulting[Job Number],0)))="","",INDEX(tbl_Consulting[Client],IFERROR(MATCH(A203&amp;"",tbl_Consulting[Job Number],0),MATCH(IFERROR(A203+0,A203),tbl_Consulting[Job Number],0)))),""))))</f>
        <v/>
      </c>
      <c r="K203" s="26">
        <f>IF(A203="","",IFERROR(IF(INDEX(tbl_Onsite[Job Description],IFERROR(MATCH(A203&amp;"",tbl_Onsite[Job Number],0),MATCH(IFERROR(A203+0,A203),tbl_Onsite[Job Number],0)))="","",INDEX(tbl_Onsite[Job Description],IFERROR(MATCH(A203&amp;"",tbl_Onsite[Job Number],0),MATCH(IFERROR(A203+0,A203),tbl_Onsite[Job Number],0)))),IFERROR(IF(INDEX(tbl_Production[Job Description],IFERROR(MATCH(A203&amp;"",tbl_Production[Job Number],0),MATCH(IFERROR(A203+0,A203),tbl_Production[Job Number],0)))="","",INDEX(tbl_Production[Job Description],IFERROR(MATCH(A203&amp;"",tbl_Production[Job Number],0),MATCH(IFERROR(A203+0,A203),tbl_Production[Job Number],0)))),IFERROR(IF(INDEX(tbl_Consulting[Job Description],IFERROR(MATCH(A203&amp;"",tbl_Consulting[Job Number],0),MATCH(IFERROR(A203+0,A203),tbl_Consulting[Job Number],0)))="","",INDEX(tbl_Consulting[Job Description],IFERROR(MATCH(A203&amp;"",tbl_Consulting[Job Number],0),MATCH(IFERROR(A203+0,A203),tbl_Consulting[Job Number],0)))),""))))</f>
        <v/>
      </c>
      <c r="L203" s="26">
        <f>IF(A203="","",IFERROR(IF(INDEX(tbl_Onsite[Invoice Type],IFERROR(MATCH(A203&amp;"",tbl_Onsite[Job Number],0),MATCH(IFERROR(A203+0,A203),tbl_Onsite[Job Number],0)))="","",INDEX(tbl_Onsite[Invoice Type],IFERROR(MATCH(A203&amp;"",tbl_Onsite[Job Number],0),MATCH(IFERROR(A203+0,A203),tbl_Onsite[Job Number],0)))),IFERROR(IF(INDEX(tbl_Production[Invoice Type],IFERROR(MATCH(A203&amp;"",tbl_Production[Job Number],0),MATCH(IFERROR(A203+0,A203),tbl_Production[Job Number],0)))="","",INDEX(tbl_Production[Invoice Type],IFERROR(MATCH(A203&amp;"",tbl_Production[Job Number],0),MATCH(IFERROR(A203+0,A203),tbl_Production[Job Number],0)))),IFERROR(IF(INDEX(tbl_Consulting[Invoice Type],IFERROR(MATCH(A203&amp;"",tbl_Consulting[Job Number],0),MATCH(IFERROR(A203+0,A203),tbl_Consulting[Job Number],0)))="","",INDEX(tbl_Consulting[Invoice Type],IFERROR(MATCH(A203&amp;"",tbl_Consulting[Job Number],0),MATCH(IFERROR(A203+0,A203),tbl_Consulting[Job Number],0)))),""))))</f>
        <v/>
      </c>
      <c r="M203" s="26">
        <f>IF(A203="","",IF(IFERROR(IF(INDEX(tbl_Onsite[Tax Code],IFERROR(MATCH(A203&amp;"",tbl_Onsite[Job Number],0),MATCH(IFERROR(A203+0,A203),tbl_Onsite[Job Number],0)))="","",INDEX(tbl_Onsite[Tax Code],IFERROR(MATCH(A203&amp;"",tbl_Onsite[Job Number],0),MATCH(IFERROR(A203+0,A203),tbl_Onsite[Job Number],0)))),IFERROR(IF(INDEX(tbl_Production[Tax Code],IFERROR(MATCH(A203&amp;"",tbl_Production[Job Number],0),MATCH(IFERROR(A203+0,A203),tbl_Production[Job Number],0)))="","",INDEX(tbl_Production[Tax Code],IFERROR(MATCH(A203&amp;"",tbl_Production[Job Number],0),MATCH(IFERROR(A203+0,A203),tbl_Production[Job Number],0)))),IFERROR(IF(INDEX(tbl_Consulting[Tax Code],IFERROR(MATCH(A203&amp;"",tbl_Consulting[Job Number],0),MATCH(IFERROR(A203+0,A203),tbl_Consulting[Job Number],0)))="","",INDEX(tbl_Consulting[Tax Code],IFERROR(MATCH(A203&amp;"",tbl_Consulting[Job Number],0),MATCH(IFERROR(A203+0,A203),tbl_Consulting[Job Number],0)))),"")))="","GST 10%",IFERROR(IF(INDEX(tbl_Onsite[Tax Code],IFERROR(MATCH(A203&amp;"",tbl_Onsite[Job Number],0),MATCH(IFERROR(A203+0,A203),tbl_Onsite[Job Number],0)))="","",INDEX(tbl_Onsite[Tax Code],IFERROR(MATCH(A203&amp;"",tbl_Onsite[Job Number],0),MATCH(IFERROR(A203+0,A203),tbl_Onsite[Job Number],0)))),IFERROR(IF(INDEX(tbl_Production[Tax Code],IFERROR(MATCH(A203&amp;"",tbl_Production[Job Number],0),MATCH(IFERROR(A203+0,A203),tbl_Production[Job Number],0)))="","",INDEX(tbl_Production[Tax Code],IFERROR(MATCH(A203&amp;"",tbl_Production[Job Number],0),MATCH(IFERROR(A203+0,A203),tbl_Production[Job Number],0)))),IFERROR(IF(INDEX(tbl_Consulting[Tax Code],IFERROR(MATCH(A203&amp;"",tbl_Consulting[Job Number],0),MATCH(IFERROR(A203+0,A203),tbl_Consulting[Job Number],0)))="","",INDEX(tbl_Consulting[Tax Code],IFERROR(MATCH(A203&amp;"",tbl_Consulting[Job Number],0),MATCH(IFERROR(A203+0,A203),tbl_Consulting[Job Number],0)))),"")))))</f>
        <v/>
      </c>
      <c r="N203" s="26">
        <f>IF(D203="","",IFERROR(INDEX(lst_CCtoGL,MATCH(D203,lst_CCforGL,0)),""))</f>
        <v/>
      </c>
      <c r="O203" s="27">
        <f>IF(E203="","",IF(M203="GST 10%",ROUND(E203*set_GSTRate,2),0))</f>
        <v/>
      </c>
      <c r="P203" s="27">
        <f>IF(E203="","",E203+O203)</f>
        <v/>
      </c>
      <c r="Q203" s="27">
        <f>IF(A203="","",IFERROR(INDEX(tbl_Onsite[Expected Revenue Ex GST],IFERROR(MATCH(A203&amp;"",tbl_Onsite[Job Number],0),MATCH(IFERROR(A203+0,A203),tbl_Onsite[Job Number],0))),IFERROR(INDEX(tbl_Production[Expected Revenue Ex GST],IFERROR(MATCH(A203&amp;"",tbl_Production[Job Number],0),MATCH(IFERROR(A203+0,A203),tbl_Production[Job Number],0))),IFERROR(INDEX(tbl_Consulting[Expected Revenue Ex GST],IFERROR(MATCH(A203&amp;"",tbl_Consulting[Job Number],0),MATCH(IFERROR(A203+0,A203),tbl_Consulting[Job Number],0))),0))))</f>
        <v/>
      </c>
      <c r="R203" s="27">
        <f>IF(A203="","",SUMIFS(tbl_Finance[Ex GST],tbl_Finance[Job Number],A203&amp;""))</f>
        <v/>
      </c>
      <c r="S203" s="27">
        <f>IF(A203="","",Q203-R203)</f>
        <v/>
      </c>
      <c r="T203" s="26">
        <f>IF(A203="","",IF(Q203=0,"No dept value",IF(ROUND(S203,2)=0,"Agrees",IF(S203&gt;0,"Dept higher - to invoice","Xero higher - check dept"))))</f>
        <v/>
      </c>
      <c r="U203" s="22" t="n"/>
      <c r="V203" s="22" t="n"/>
      <c r="W203" s="23" t="n"/>
      <c r="X203" s="23" t="n"/>
      <c r="Y203" s="22" t="n"/>
      <c r="Z203" s="22" t="n"/>
      <c r="AA203" s="26">
        <f>IF(COUNTA(C203,A203,B203,E203)=0,"",IF(C203="","No date - sits outside every month",IF(A203="","No job number",IF(H203="CHECK","Job number is not in the Xero job list",IF(G203="not set up yet","No department has set this job up - nothing can pull through",IF(D203="","No cost centre",IF(AND(U203="Y",B203=""),"Marked posted to Xero but has no invoice number",IF(N203="","Cost centre has no revenue GL on the Lists sheet",IF(T203="Xero higher - check dept","Invoiced more than the department says the job is worth","")))))))))</f>
        <v/>
      </c>
      <c r="AB203" s="28">
        <f>IF(A203="","",COUNTIFS(tbl_Finance[Job Number],A203&amp;"",tbl_Finance[Ex GST],"&lt;&gt;"))</f>
        <v/>
      </c>
      <c r="AC203" s="27">
        <f>IF(A203="","",SUMIFS(tbl_Finance[Ex GST],tbl_Finance[Job Number],A203&amp;""))</f>
        <v/>
      </c>
      <c r="AD203" s="27">
        <f>IF(A203="","",SUMIFS(tbl_Finance[Ex GST],tbl_Finance[Job Number],A203&amp;"",tbl_Finance[Xero Invoice No],"&lt;&gt;"))</f>
        <v/>
      </c>
      <c r="AE203" s="27">
        <f>IF(A203="","",AC203-AD203)</f>
        <v/>
      </c>
      <c r="AF203" s="26">
        <f>IF(A203="","",IFERROR(IF(INDEX(tbl_Onsite[Qwilr Quote],IFERROR(MATCH(A203&amp;"",tbl_Onsite[Job Number],0),MATCH(IFERROR(A203+0,A203),tbl_Onsite[Job Number],0)))="","",INDEX(tbl_Onsite[Qwilr Quote],IFERROR(MATCH(A203&amp;"",tbl_Onsite[Job Number],0),MATCH(IFERROR(A203+0,A203),tbl_Onsite[Job Number],0)))),IFERROR(IF(IF(INDEX(tbl_Production[Current RMS No],IFERROR(MATCH(A203&amp;"",tbl_Production[Job Number],0),MATCH(IFERROR(A203+0,A203),tbl_Production[Job Number],0)))="",INDEX(tbl_Production[Qwilr Quote],IFERROR(MATCH(A203&amp;"",tbl_Production[Job Number],0),MATCH(IFERROR(A203+0,A203),tbl_Production[Job Number],0))),INDEX(tbl_Production[Current RMS No],IFERROR(MATCH(A203&amp;"",tbl_Production[Job Number],0),MATCH(IFERROR(A203+0,A203),tbl_Production[Job Number],0))))="","",IF(INDEX(tbl_Production[Current RMS No],IFERROR(MATCH(A203&amp;"",tbl_Production[Job Number],0),MATCH(IFERROR(A203+0,A203),tbl_Production[Job Number],0)))="",INDEX(tbl_Production[Qwilr Quote],IFERROR(MATCH(A203&amp;"",tbl_Production[Job Number],0),MATCH(IFERROR(A203+0,A203),tbl_Production[Job Number],0))),INDEX(tbl_Production[Current RMS No],IFERROR(MATCH(A203&amp;"",tbl_Production[Job Number],0),MATCH(IFERROR(A203+0,A203),tbl_Production[Job Number],0))))),IFERROR(IF(INDEX(tbl_Consulting[Qwilr Quote],IFERROR(MATCH(A203&amp;"",tbl_Consulting[Job Number],0),MATCH(IFERROR(A203+0,A203),tbl_Consulting[Job Number],0)))="","",INDEX(tbl_Consulting[Qwilr Quote],IFERROR(MATCH(A203&amp;"",tbl_Consulting[Job Number],0),MATCH(IFERROR(A203+0,A203),tbl_Consulting[Job Number],0)))),""))))</f>
        <v/>
      </c>
      <c r="AG203" s="26">
        <f>IF(AF203="","",IF(AND(LEFT(AF203,4)&lt;&gt;"http",IF(G203="Production",set_RMSBase,set_QwilrBase)=""),"",HYPERLINK(IF(LEFT(AF203,4)="http",AF203,IF(G203="Production",set_RMSBase,set_QwilrBase)&amp;AF203),"Open")))</f>
        <v/>
      </c>
      <c r="AH203" s="27">
        <f>IF(A203="","",IFERROR(INDEX(tbl_Production[Total Expense],IFERROR(MATCH(A203&amp;"",tbl_Production[Job Number],0),MATCH(IFERROR(A203+0,A203),tbl_Production[Job Number],0))),IFERROR(INDEX(tbl_Consulting[Total Expense],IFERROR(MATCH(A203&amp;"",tbl_Consulting[Job Number],0),MATCH(IFERROR(A203+0,A203),tbl_Consulting[Job Number],0))),0)))</f>
        <v/>
      </c>
      <c r="AI203" s="27">
        <f>IF(A203="","",AC203-N(AH203))</f>
        <v/>
      </c>
      <c r="AJ203" s="29">
        <f>IFERROR(AI203/AC203,"")</f>
        <v/>
      </c>
      <c r="AK203" s="26">
        <f>IF(A203="","",IFERROR(IF(INDEX(tbl_Onsite[Notes],IFERROR(MATCH(A203&amp;"",tbl_Onsite[Job Number],0),MATCH(IFERROR(A203+0,A203),tbl_Onsite[Job Number],0)))="","",INDEX(tbl_Onsite[Notes],IFERROR(MATCH(A203&amp;"",tbl_Onsite[Job Number],0),MATCH(IFERROR(A203+0,A203),tbl_Onsite[Job Number],0)))),IFERROR(IF(INDEX(tbl_Production[Notes],IFERROR(MATCH(A203&amp;"",tbl_Production[Job Number],0),MATCH(IFERROR(A203+0,A203),tbl_Production[Job Number],0)))="","",INDEX(tbl_Production[Notes],IFERROR(MATCH(A203&amp;"",tbl_Production[Job Number],0),MATCH(IFERROR(A203+0,A203),tbl_Production[Job Number],0)))),IFERROR(IF(INDEX(tbl_Consulting[Notes],IFERROR(MATCH(A203&amp;"",tbl_Consulting[Job Number],0),MATCH(IFERROR(A203+0,A203),tbl_Consulting[Job Number],0)))="","",INDEX(tbl_Consulting[Notes],IFERROR(MATCH(A203&amp;"",tbl_Consulting[Job Number],0),MATCH(IFERROR(A203+0,A203),tbl_Consulting[Job Number],0)))),""))))</f>
        <v/>
      </c>
    </row>
    <row r="204" ht="15" customHeight="1">
      <c r="A204" s="22" t="n"/>
      <c r="B204" s="22" t="n"/>
      <c r="C204" s="23" t="n"/>
      <c r="D204" s="22" t="n"/>
      <c r="E204" s="24" t="n"/>
      <c r="F204" s="25">
        <f>IF(C204="","",EOMONTH(C204,0))</f>
        <v/>
      </c>
      <c r="G204" s="26">
        <f>IF(A204="","",IF(COUNTIF(tbl_Onsite[Job Number],A204&amp;"")&gt;0,"Onsite",IF(COUNTIF(tbl_Production[Job Number],A204&amp;"")&gt;0,"Production",IF(COUNTIF(tbl_Consulting[Job Number],A204&amp;"")&gt;0,"Consulting","not set up yet"))))</f>
        <v/>
      </c>
      <c r="H204" s="26">
        <f>IF(A204="","",IF(COUNTIF(lst_Jobs,A204&amp;"")&gt;0,"OK","CHECK"))</f>
        <v/>
      </c>
      <c r="I204" s="26">
        <f>IF(A204="","",IFERROR(INDEX(lst_JobName,MATCH(A204&amp;"",lst_Jobs,0)),""))</f>
        <v/>
      </c>
      <c r="J204" s="26">
        <f>IF(A204="","",IFERROR(IF(INDEX(tbl_Onsite[Client],IFERROR(MATCH(A204&amp;"",tbl_Onsite[Job Number],0),MATCH(IFERROR(A204+0,A204),tbl_Onsite[Job Number],0)))="","",INDEX(tbl_Onsite[Client],IFERROR(MATCH(A204&amp;"",tbl_Onsite[Job Number],0),MATCH(IFERROR(A204+0,A204),tbl_Onsite[Job Number],0)))),IFERROR(IF(INDEX(tbl_Production[Client],IFERROR(MATCH(A204&amp;"",tbl_Production[Job Number],0),MATCH(IFERROR(A204+0,A204),tbl_Production[Job Number],0)))="","",INDEX(tbl_Production[Client],IFERROR(MATCH(A204&amp;"",tbl_Production[Job Number],0),MATCH(IFERROR(A204+0,A204),tbl_Production[Job Number],0)))),IFERROR(IF(INDEX(tbl_Consulting[Client],IFERROR(MATCH(A204&amp;"",tbl_Consulting[Job Number],0),MATCH(IFERROR(A204+0,A204),tbl_Consulting[Job Number],0)))="","",INDEX(tbl_Consulting[Client],IFERROR(MATCH(A204&amp;"",tbl_Consulting[Job Number],0),MATCH(IFERROR(A204+0,A204),tbl_Consulting[Job Number],0)))),""))))</f>
        <v/>
      </c>
      <c r="K204" s="26">
        <f>IF(A204="","",IFERROR(IF(INDEX(tbl_Onsite[Job Description],IFERROR(MATCH(A204&amp;"",tbl_Onsite[Job Number],0),MATCH(IFERROR(A204+0,A204),tbl_Onsite[Job Number],0)))="","",INDEX(tbl_Onsite[Job Description],IFERROR(MATCH(A204&amp;"",tbl_Onsite[Job Number],0),MATCH(IFERROR(A204+0,A204),tbl_Onsite[Job Number],0)))),IFERROR(IF(INDEX(tbl_Production[Job Description],IFERROR(MATCH(A204&amp;"",tbl_Production[Job Number],0),MATCH(IFERROR(A204+0,A204),tbl_Production[Job Number],0)))="","",INDEX(tbl_Production[Job Description],IFERROR(MATCH(A204&amp;"",tbl_Production[Job Number],0),MATCH(IFERROR(A204+0,A204),tbl_Production[Job Number],0)))),IFERROR(IF(INDEX(tbl_Consulting[Job Description],IFERROR(MATCH(A204&amp;"",tbl_Consulting[Job Number],0),MATCH(IFERROR(A204+0,A204),tbl_Consulting[Job Number],0)))="","",INDEX(tbl_Consulting[Job Description],IFERROR(MATCH(A204&amp;"",tbl_Consulting[Job Number],0),MATCH(IFERROR(A204+0,A204),tbl_Consulting[Job Number],0)))),""))))</f>
        <v/>
      </c>
      <c r="L204" s="26">
        <f>IF(A204="","",IFERROR(IF(INDEX(tbl_Onsite[Invoice Type],IFERROR(MATCH(A204&amp;"",tbl_Onsite[Job Number],0),MATCH(IFERROR(A204+0,A204),tbl_Onsite[Job Number],0)))="","",INDEX(tbl_Onsite[Invoice Type],IFERROR(MATCH(A204&amp;"",tbl_Onsite[Job Number],0),MATCH(IFERROR(A204+0,A204),tbl_Onsite[Job Number],0)))),IFERROR(IF(INDEX(tbl_Production[Invoice Type],IFERROR(MATCH(A204&amp;"",tbl_Production[Job Number],0),MATCH(IFERROR(A204+0,A204),tbl_Production[Job Number],0)))="","",INDEX(tbl_Production[Invoice Type],IFERROR(MATCH(A204&amp;"",tbl_Production[Job Number],0),MATCH(IFERROR(A204+0,A204),tbl_Production[Job Number],0)))),IFERROR(IF(INDEX(tbl_Consulting[Invoice Type],IFERROR(MATCH(A204&amp;"",tbl_Consulting[Job Number],0),MATCH(IFERROR(A204+0,A204),tbl_Consulting[Job Number],0)))="","",INDEX(tbl_Consulting[Invoice Type],IFERROR(MATCH(A204&amp;"",tbl_Consulting[Job Number],0),MATCH(IFERROR(A204+0,A204),tbl_Consulting[Job Number],0)))),""))))</f>
        <v/>
      </c>
      <c r="M204" s="26">
        <f>IF(A204="","",IF(IFERROR(IF(INDEX(tbl_Onsite[Tax Code],IFERROR(MATCH(A204&amp;"",tbl_Onsite[Job Number],0),MATCH(IFERROR(A204+0,A204),tbl_Onsite[Job Number],0)))="","",INDEX(tbl_Onsite[Tax Code],IFERROR(MATCH(A204&amp;"",tbl_Onsite[Job Number],0),MATCH(IFERROR(A204+0,A204),tbl_Onsite[Job Number],0)))),IFERROR(IF(INDEX(tbl_Production[Tax Code],IFERROR(MATCH(A204&amp;"",tbl_Production[Job Number],0),MATCH(IFERROR(A204+0,A204),tbl_Production[Job Number],0)))="","",INDEX(tbl_Production[Tax Code],IFERROR(MATCH(A204&amp;"",tbl_Production[Job Number],0),MATCH(IFERROR(A204+0,A204),tbl_Production[Job Number],0)))),IFERROR(IF(INDEX(tbl_Consulting[Tax Code],IFERROR(MATCH(A204&amp;"",tbl_Consulting[Job Number],0),MATCH(IFERROR(A204+0,A204),tbl_Consulting[Job Number],0)))="","",INDEX(tbl_Consulting[Tax Code],IFERROR(MATCH(A204&amp;"",tbl_Consulting[Job Number],0),MATCH(IFERROR(A204+0,A204),tbl_Consulting[Job Number],0)))),"")))="","GST 10%",IFERROR(IF(INDEX(tbl_Onsite[Tax Code],IFERROR(MATCH(A204&amp;"",tbl_Onsite[Job Number],0),MATCH(IFERROR(A204+0,A204),tbl_Onsite[Job Number],0)))="","",INDEX(tbl_Onsite[Tax Code],IFERROR(MATCH(A204&amp;"",tbl_Onsite[Job Number],0),MATCH(IFERROR(A204+0,A204),tbl_Onsite[Job Number],0)))),IFERROR(IF(INDEX(tbl_Production[Tax Code],IFERROR(MATCH(A204&amp;"",tbl_Production[Job Number],0),MATCH(IFERROR(A204+0,A204),tbl_Production[Job Number],0)))="","",INDEX(tbl_Production[Tax Code],IFERROR(MATCH(A204&amp;"",tbl_Production[Job Number],0),MATCH(IFERROR(A204+0,A204),tbl_Production[Job Number],0)))),IFERROR(IF(INDEX(tbl_Consulting[Tax Code],IFERROR(MATCH(A204&amp;"",tbl_Consulting[Job Number],0),MATCH(IFERROR(A204+0,A204),tbl_Consulting[Job Number],0)))="","",INDEX(tbl_Consulting[Tax Code],IFERROR(MATCH(A204&amp;"",tbl_Consulting[Job Number],0),MATCH(IFERROR(A204+0,A204),tbl_Consulting[Job Number],0)))),"")))))</f>
        <v/>
      </c>
      <c r="N204" s="26">
        <f>IF(D204="","",IFERROR(INDEX(lst_CCtoGL,MATCH(D204,lst_CCforGL,0)),""))</f>
        <v/>
      </c>
      <c r="O204" s="27">
        <f>IF(E204="","",IF(M204="GST 10%",ROUND(E204*set_GSTRate,2),0))</f>
        <v/>
      </c>
      <c r="P204" s="27">
        <f>IF(E204="","",E204+O204)</f>
        <v/>
      </c>
      <c r="Q204" s="27">
        <f>IF(A204="","",IFERROR(INDEX(tbl_Onsite[Expected Revenue Ex GST],IFERROR(MATCH(A204&amp;"",tbl_Onsite[Job Number],0),MATCH(IFERROR(A204+0,A204),tbl_Onsite[Job Number],0))),IFERROR(INDEX(tbl_Production[Expected Revenue Ex GST],IFERROR(MATCH(A204&amp;"",tbl_Production[Job Number],0),MATCH(IFERROR(A204+0,A204),tbl_Production[Job Number],0))),IFERROR(INDEX(tbl_Consulting[Expected Revenue Ex GST],IFERROR(MATCH(A204&amp;"",tbl_Consulting[Job Number],0),MATCH(IFERROR(A204+0,A204),tbl_Consulting[Job Number],0))),0))))</f>
        <v/>
      </c>
      <c r="R204" s="27">
        <f>IF(A204="","",SUMIFS(tbl_Finance[Ex GST],tbl_Finance[Job Number],A204&amp;""))</f>
        <v/>
      </c>
      <c r="S204" s="27">
        <f>IF(A204="","",Q204-R204)</f>
        <v/>
      </c>
      <c r="T204" s="26">
        <f>IF(A204="","",IF(Q204=0,"No dept value",IF(ROUND(S204,2)=0,"Agrees",IF(S204&gt;0,"Dept higher - to invoice","Xero higher - check dept"))))</f>
        <v/>
      </c>
      <c r="U204" s="22" t="n"/>
      <c r="V204" s="22" t="n"/>
      <c r="W204" s="23" t="n"/>
      <c r="X204" s="23" t="n"/>
      <c r="Y204" s="22" t="n"/>
      <c r="Z204" s="22" t="n"/>
      <c r="AA204" s="26">
        <f>IF(COUNTA(C204,A204,B204,E204)=0,"",IF(C204="","No date - sits outside every month",IF(A204="","No job number",IF(H204="CHECK","Job number is not in the Xero job list",IF(G204="not set up yet","No department has set this job up - nothing can pull through",IF(D204="","No cost centre",IF(AND(U204="Y",B204=""),"Marked posted to Xero but has no invoice number",IF(N204="","Cost centre has no revenue GL on the Lists sheet",IF(T204="Xero higher - check dept","Invoiced more than the department says the job is worth","")))))))))</f>
        <v/>
      </c>
      <c r="AB204" s="28">
        <f>IF(A204="","",COUNTIFS(tbl_Finance[Job Number],A204&amp;"",tbl_Finance[Ex GST],"&lt;&gt;"))</f>
        <v/>
      </c>
      <c r="AC204" s="27">
        <f>IF(A204="","",SUMIFS(tbl_Finance[Ex GST],tbl_Finance[Job Number],A204&amp;""))</f>
        <v/>
      </c>
      <c r="AD204" s="27">
        <f>IF(A204="","",SUMIFS(tbl_Finance[Ex GST],tbl_Finance[Job Number],A204&amp;"",tbl_Finance[Xero Invoice No],"&lt;&gt;"))</f>
        <v/>
      </c>
      <c r="AE204" s="27">
        <f>IF(A204="","",AC204-AD204)</f>
        <v/>
      </c>
      <c r="AF204" s="26">
        <f>IF(A204="","",IFERROR(IF(INDEX(tbl_Onsite[Qwilr Quote],IFERROR(MATCH(A204&amp;"",tbl_Onsite[Job Number],0),MATCH(IFERROR(A204+0,A204),tbl_Onsite[Job Number],0)))="","",INDEX(tbl_Onsite[Qwilr Quote],IFERROR(MATCH(A204&amp;"",tbl_Onsite[Job Number],0),MATCH(IFERROR(A204+0,A204),tbl_Onsite[Job Number],0)))),IFERROR(IF(IF(INDEX(tbl_Production[Current RMS No],IFERROR(MATCH(A204&amp;"",tbl_Production[Job Number],0),MATCH(IFERROR(A204+0,A204),tbl_Production[Job Number],0)))="",INDEX(tbl_Production[Qwilr Quote],IFERROR(MATCH(A204&amp;"",tbl_Production[Job Number],0),MATCH(IFERROR(A204+0,A204),tbl_Production[Job Number],0))),INDEX(tbl_Production[Current RMS No],IFERROR(MATCH(A204&amp;"",tbl_Production[Job Number],0),MATCH(IFERROR(A204+0,A204),tbl_Production[Job Number],0))))="","",IF(INDEX(tbl_Production[Current RMS No],IFERROR(MATCH(A204&amp;"",tbl_Production[Job Number],0),MATCH(IFERROR(A204+0,A204),tbl_Production[Job Number],0)))="",INDEX(tbl_Production[Qwilr Quote],IFERROR(MATCH(A204&amp;"",tbl_Production[Job Number],0),MATCH(IFERROR(A204+0,A204),tbl_Production[Job Number],0))),INDEX(tbl_Production[Current RMS No],IFERROR(MATCH(A204&amp;"",tbl_Production[Job Number],0),MATCH(IFERROR(A204+0,A204),tbl_Production[Job Number],0))))),IFERROR(IF(INDEX(tbl_Consulting[Qwilr Quote],IFERROR(MATCH(A204&amp;"",tbl_Consulting[Job Number],0),MATCH(IFERROR(A204+0,A204),tbl_Consulting[Job Number],0)))="","",INDEX(tbl_Consulting[Qwilr Quote],IFERROR(MATCH(A204&amp;"",tbl_Consulting[Job Number],0),MATCH(IFERROR(A204+0,A204),tbl_Consulting[Job Number],0)))),""))))</f>
        <v/>
      </c>
      <c r="AG204" s="26">
        <f>IF(AF204="","",IF(AND(LEFT(AF204,4)&lt;&gt;"http",IF(G204="Production",set_RMSBase,set_QwilrBase)=""),"",HYPERLINK(IF(LEFT(AF204,4)="http",AF204,IF(G204="Production",set_RMSBase,set_QwilrBase)&amp;AF204),"Open")))</f>
        <v/>
      </c>
      <c r="AH204" s="27">
        <f>IF(A204="","",IFERROR(INDEX(tbl_Production[Total Expense],IFERROR(MATCH(A204&amp;"",tbl_Production[Job Number],0),MATCH(IFERROR(A204+0,A204),tbl_Production[Job Number],0))),IFERROR(INDEX(tbl_Consulting[Total Expense],IFERROR(MATCH(A204&amp;"",tbl_Consulting[Job Number],0),MATCH(IFERROR(A204+0,A204),tbl_Consulting[Job Number],0))),0)))</f>
        <v/>
      </c>
      <c r="AI204" s="27">
        <f>IF(A204="","",AC204-N(AH204))</f>
        <v/>
      </c>
      <c r="AJ204" s="29">
        <f>IFERROR(AI204/AC204,"")</f>
        <v/>
      </c>
      <c r="AK204" s="26">
        <f>IF(A204="","",IFERROR(IF(INDEX(tbl_Onsite[Notes],IFERROR(MATCH(A204&amp;"",tbl_Onsite[Job Number],0),MATCH(IFERROR(A204+0,A204),tbl_Onsite[Job Number],0)))="","",INDEX(tbl_Onsite[Notes],IFERROR(MATCH(A204&amp;"",tbl_Onsite[Job Number],0),MATCH(IFERROR(A204+0,A204),tbl_Onsite[Job Number],0)))),IFERROR(IF(INDEX(tbl_Production[Notes],IFERROR(MATCH(A204&amp;"",tbl_Production[Job Number],0),MATCH(IFERROR(A204+0,A204),tbl_Production[Job Number],0)))="","",INDEX(tbl_Production[Notes],IFERROR(MATCH(A204&amp;"",tbl_Production[Job Number],0),MATCH(IFERROR(A204+0,A204),tbl_Production[Job Number],0)))),IFERROR(IF(INDEX(tbl_Consulting[Notes],IFERROR(MATCH(A204&amp;"",tbl_Consulting[Job Number],0),MATCH(IFERROR(A204+0,A204),tbl_Consulting[Job Number],0)))="","",INDEX(tbl_Consulting[Notes],IFERROR(MATCH(A204&amp;"",tbl_Consulting[Job Number],0),MATCH(IFERROR(A204+0,A204),tbl_Consulting[Job Number],0)))),""))))</f>
        <v/>
      </c>
    </row>
    <row r="205" ht="15" customHeight="1">
      <c r="A205" s="22" t="n"/>
      <c r="B205" s="22" t="n"/>
      <c r="C205" s="23" t="n"/>
      <c r="D205" s="22" t="n"/>
      <c r="E205" s="24" t="n"/>
      <c r="F205" s="25">
        <f>IF(C205="","",EOMONTH(C205,0))</f>
        <v/>
      </c>
      <c r="G205" s="26">
        <f>IF(A205="","",IF(COUNTIF(tbl_Onsite[Job Number],A205&amp;"")&gt;0,"Onsite",IF(COUNTIF(tbl_Production[Job Number],A205&amp;"")&gt;0,"Production",IF(COUNTIF(tbl_Consulting[Job Number],A205&amp;"")&gt;0,"Consulting","not set up yet"))))</f>
        <v/>
      </c>
      <c r="H205" s="26">
        <f>IF(A205="","",IF(COUNTIF(lst_Jobs,A205&amp;"")&gt;0,"OK","CHECK"))</f>
        <v/>
      </c>
      <c r="I205" s="26">
        <f>IF(A205="","",IFERROR(INDEX(lst_JobName,MATCH(A205&amp;"",lst_Jobs,0)),""))</f>
        <v/>
      </c>
      <c r="J205" s="26">
        <f>IF(A205="","",IFERROR(IF(INDEX(tbl_Onsite[Client],IFERROR(MATCH(A205&amp;"",tbl_Onsite[Job Number],0),MATCH(IFERROR(A205+0,A205),tbl_Onsite[Job Number],0)))="","",INDEX(tbl_Onsite[Client],IFERROR(MATCH(A205&amp;"",tbl_Onsite[Job Number],0),MATCH(IFERROR(A205+0,A205),tbl_Onsite[Job Number],0)))),IFERROR(IF(INDEX(tbl_Production[Client],IFERROR(MATCH(A205&amp;"",tbl_Production[Job Number],0),MATCH(IFERROR(A205+0,A205),tbl_Production[Job Number],0)))="","",INDEX(tbl_Production[Client],IFERROR(MATCH(A205&amp;"",tbl_Production[Job Number],0),MATCH(IFERROR(A205+0,A205),tbl_Production[Job Number],0)))),IFERROR(IF(INDEX(tbl_Consulting[Client],IFERROR(MATCH(A205&amp;"",tbl_Consulting[Job Number],0),MATCH(IFERROR(A205+0,A205),tbl_Consulting[Job Number],0)))="","",INDEX(tbl_Consulting[Client],IFERROR(MATCH(A205&amp;"",tbl_Consulting[Job Number],0),MATCH(IFERROR(A205+0,A205),tbl_Consulting[Job Number],0)))),""))))</f>
        <v/>
      </c>
      <c r="K205" s="26">
        <f>IF(A205="","",IFERROR(IF(INDEX(tbl_Onsite[Job Description],IFERROR(MATCH(A205&amp;"",tbl_Onsite[Job Number],0),MATCH(IFERROR(A205+0,A205),tbl_Onsite[Job Number],0)))="","",INDEX(tbl_Onsite[Job Description],IFERROR(MATCH(A205&amp;"",tbl_Onsite[Job Number],0),MATCH(IFERROR(A205+0,A205),tbl_Onsite[Job Number],0)))),IFERROR(IF(INDEX(tbl_Production[Job Description],IFERROR(MATCH(A205&amp;"",tbl_Production[Job Number],0),MATCH(IFERROR(A205+0,A205),tbl_Production[Job Number],0)))="","",INDEX(tbl_Production[Job Description],IFERROR(MATCH(A205&amp;"",tbl_Production[Job Number],0),MATCH(IFERROR(A205+0,A205),tbl_Production[Job Number],0)))),IFERROR(IF(INDEX(tbl_Consulting[Job Description],IFERROR(MATCH(A205&amp;"",tbl_Consulting[Job Number],0),MATCH(IFERROR(A205+0,A205),tbl_Consulting[Job Number],0)))="","",INDEX(tbl_Consulting[Job Description],IFERROR(MATCH(A205&amp;"",tbl_Consulting[Job Number],0),MATCH(IFERROR(A205+0,A205),tbl_Consulting[Job Number],0)))),""))))</f>
        <v/>
      </c>
      <c r="L205" s="26">
        <f>IF(A205="","",IFERROR(IF(INDEX(tbl_Onsite[Invoice Type],IFERROR(MATCH(A205&amp;"",tbl_Onsite[Job Number],0),MATCH(IFERROR(A205+0,A205),tbl_Onsite[Job Number],0)))="","",INDEX(tbl_Onsite[Invoice Type],IFERROR(MATCH(A205&amp;"",tbl_Onsite[Job Number],0),MATCH(IFERROR(A205+0,A205),tbl_Onsite[Job Number],0)))),IFERROR(IF(INDEX(tbl_Production[Invoice Type],IFERROR(MATCH(A205&amp;"",tbl_Production[Job Number],0),MATCH(IFERROR(A205+0,A205),tbl_Production[Job Number],0)))="","",INDEX(tbl_Production[Invoice Type],IFERROR(MATCH(A205&amp;"",tbl_Production[Job Number],0),MATCH(IFERROR(A205+0,A205),tbl_Production[Job Number],0)))),IFERROR(IF(INDEX(tbl_Consulting[Invoice Type],IFERROR(MATCH(A205&amp;"",tbl_Consulting[Job Number],0),MATCH(IFERROR(A205+0,A205),tbl_Consulting[Job Number],0)))="","",INDEX(tbl_Consulting[Invoice Type],IFERROR(MATCH(A205&amp;"",tbl_Consulting[Job Number],0),MATCH(IFERROR(A205+0,A205),tbl_Consulting[Job Number],0)))),""))))</f>
        <v/>
      </c>
      <c r="M205" s="26">
        <f>IF(A205="","",IF(IFERROR(IF(INDEX(tbl_Onsite[Tax Code],IFERROR(MATCH(A205&amp;"",tbl_Onsite[Job Number],0),MATCH(IFERROR(A205+0,A205),tbl_Onsite[Job Number],0)))="","",INDEX(tbl_Onsite[Tax Code],IFERROR(MATCH(A205&amp;"",tbl_Onsite[Job Number],0),MATCH(IFERROR(A205+0,A205),tbl_Onsite[Job Number],0)))),IFERROR(IF(INDEX(tbl_Production[Tax Code],IFERROR(MATCH(A205&amp;"",tbl_Production[Job Number],0),MATCH(IFERROR(A205+0,A205),tbl_Production[Job Number],0)))="","",INDEX(tbl_Production[Tax Code],IFERROR(MATCH(A205&amp;"",tbl_Production[Job Number],0),MATCH(IFERROR(A205+0,A205),tbl_Production[Job Number],0)))),IFERROR(IF(INDEX(tbl_Consulting[Tax Code],IFERROR(MATCH(A205&amp;"",tbl_Consulting[Job Number],0),MATCH(IFERROR(A205+0,A205),tbl_Consulting[Job Number],0)))="","",INDEX(tbl_Consulting[Tax Code],IFERROR(MATCH(A205&amp;"",tbl_Consulting[Job Number],0),MATCH(IFERROR(A205+0,A205),tbl_Consulting[Job Number],0)))),"")))="","GST 10%",IFERROR(IF(INDEX(tbl_Onsite[Tax Code],IFERROR(MATCH(A205&amp;"",tbl_Onsite[Job Number],0),MATCH(IFERROR(A205+0,A205),tbl_Onsite[Job Number],0)))="","",INDEX(tbl_Onsite[Tax Code],IFERROR(MATCH(A205&amp;"",tbl_Onsite[Job Number],0),MATCH(IFERROR(A205+0,A205),tbl_Onsite[Job Number],0)))),IFERROR(IF(INDEX(tbl_Production[Tax Code],IFERROR(MATCH(A205&amp;"",tbl_Production[Job Number],0),MATCH(IFERROR(A205+0,A205),tbl_Production[Job Number],0)))="","",INDEX(tbl_Production[Tax Code],IFERROR(MATCH(A205&amp;"",tbl_Production[Job Number],0),MATCH(IFERROR(A205+0,A205),tbl_Production[Job Number],0)))),IFERROR(IF(INDEX(tbl_Consulting[Tax Code],IFERROR(MATCH(A205&amp;"",tbl_Consulting[Job Number],0),MATCH(IFERROR(A205+0,A205),tbl_Consulting[Job Number],0)))="","",INDEX(tbl_Consulting[Tax Code],IFERROR(MATCH(A205&amp;"",tbl_Consulting[Job Number],0),MATCH(IFERROR(A205+0,A205),tbl_Consulting[Job Number],0)))),"")))))</f>
        <v/>
      </c>
      <c r="N205" s="26">
        <f>IF(D205="","",IFERROR(INDEX(lst_CCtoGL,MATCH(D205,lst_CCforGL,0)),""))</f>
        <v/>
      </c>
      <c r="O205" s="27">
        <f>IF(E205="","",IF(M205="GST 10%",ROUND(E205*set_GSTRate,2),0))</f>
        <v/>
      </c>
      <c r="P205" s="27">
        <f>IF(E205="","",E205+O205)</f>
        <v/>
      </c>
      <c r="Q205" s="27">
        <f>IF(A205="","",IFERROR(INDEX(tbl_Onsite[Expected Revenue Ex GST],IFERROR(MATCH(A205&amp;"",tbl_Onsite[Job Number],0),MATCH(IFERROR(A205+0,A205),tbl_Onsite[Job Number],0))),IFERROR(INDEX(tbl_Production[Expected Revenue Ex GST],IFERROR(MATCH(A205&amp;"",tbl_Production[Job Number],0),MATCH(IFERROR(A205+0,A205),tbl_Production[Job Number],0))),IFERROR(INDEX(tbl_Consulting[Expected Revenue Ex GST],IFERROR(MATCH(A205&amp;"",tbl_Consulting[Job Number],0),MATCH(IFERROR(A205+0,A205),tbl_Consulting[Job Number],0))),0))))</f>
        <v/>
      </c>
      <c r="R205" s="27">
        <f>IF(A205="","",SUMIFS(tbl_Finance[Ex GST],tbl_Finance[Job Number],A205&amp;""))</f>
        <v/>
      </c>
      <c r="S205" s="27">
        <f>IF(A205="","",Q205-R205)</f>
        <v/>
      </c>
      <c r="T205" s="26">
        <f>IF(A205="","",IF(Q205=0,"No dept value",IF(ROUND(S205,2)=0,"Agrees",IF(S205&gt;0,"Dept higher - to invoice","Xero higher - check dept"))))</f>
        <v/>
      </c>
      <c r="U205" s="22" t="n"/>
      <c r="V205" s="22" t="n"/>
      <c r="W205" s="23" t="n"/>
      <c r="X205" s="23" t="n"/>
      <c r="Y205" s="22" t="n"/>
      <c r="Z205" s="22" t="n"/>
      <c r="AA205" s="26">
        <f>IF(COUNTA(C205,A205,B205,E205)=0,"",IF(C205="","No date - sits outside every month",IF(A205="","No job number",IF(H205="CHECK","Job number is not in the Xero job list",IF(G205="not set up yet","No department has set this job up - nothing can pull through",IF(D205="","No cost centre",IF(AND(U205="Y",B205=""),"Marked posted to Xero but has no invoice number",IF(N205="","Cost centre has no revenue GL on the Lists sheet",IF(T205="Xero higher - check dept","Invoiced more than the department says the job is worth","")))))))))</f>
        <v/>
      </c>
      <c r="AB205" s="28">
        <f>IF(A205="","",COUNTIFS(tbl_Finance[Job Number],A205&amp;"",tbl_Finance[Ex GST],"&lt;&gt;"))</f>
        <v/>
      </c>
      <c r="AC205" s="27">
        <f>IF(A205="","",SUMIFS(tbl_Finance[Ex GST],tbl_Finance[Job Number],A205&amp;""))</f>
        <v/>
      </c>
      <c r="AD205" s="27">
        <f>IF(A205="","",SUMIFS(tbl_Finance[Ex GST],tbl_Finance[Job Number],A205&amp;"",tbl_Finance[Xero Invoice No],"&lt;&gt;"))</f>
        <v/>
      </c>
      <c r="AE205" s="27">
        <f>IF(A205="","",AC205-AD205)</f>
        <v/>
      </c>
      <c r="AF205" s="26">
        <f>IF(A205="","",IFERROR(IF(INDEX(tbl_Onsite[Qwilr Quote],IFERROR(MATCH(A205&amp;"",tbl_Onsite[Job Number],0),MATCH(IFERROR(A205+0,A205),tbl_Onsite[Job Number],0)))="","",INDEX(tbl_Onsite[Qwilr Quote],IFERROR(MATCH(A205&amp;"",tbl_Onsite[Job Number],0),MATCH(IFERROR(A205+0,A205),tbl_Onsite[Job Number],0)))),IFERROR(IF(IF(INDEX(tbl_Production[Current RMS No],IFERROR(MATCH(A205&amp;"",tbl_Production[Job Number],0),MATCH(IFERROR(A205+0,A205),tbl_Production[Job Number],0)))="",INDEX(tbl_Production[Qwilr Quote],IFERROR(MATCH(A205&amp;"",tbl_Production[Job Number],0),MATCH(IFERROR(A205+0,A205),tbl_Production[Job Number],0))),INDEX(tbl_Production[Current RMS No],IFERROR(MATCH(A205&amp;"",tbl_Production[Job Number],0),MATCH(IFERROR(A205+0,A205),tbl_Production[Job Number],0))))="","",IF(INDEX(tbl_Production[Current RMS No],IFERROR(MATCH(A205&amp;"",tbl_Production[Job Number],0),MATCH(IFERROR(A205+0,A205),tbl_Production[Job Number],0)))="",INDEX(tbl_Production[Qwilr Quote],IFERROR(MATCH(A205&amp;"",tbl_Production[Job Number],0),MATCH(IFERROR(A205+0,A205),tbl_Production[Job Number],0))),INDEX(tbl_Production[Current RMS No],IFERROR(MATCH(A205&amp;"",tbl_Production[Job Number],0),MATCH(IFERROR(A205+0,A205),tbl_Production[Job Number],0))))),IFERROR(IF(INDEX(tbl_Consulting[Qwilr Quote],IFERROR(MATCH(A205&amp;"",tbl_Consulting[Job Number],0),MATCH(IFERROR(A205+0,A205),tbl_Consulting[Job Number],0)))="","",INDEX(tbl_Consulting[Qwilr Quote],IFERROR(MATCH(A205&amp;"",tbl_Consulting[Job Number],0),MATCH(IFERROR(A205+0,A205),tbl_Consulting[Job Number],0)))),""))))</f>
        <v/>
      </c>
      <c r="AG205" s="26">
        <f>IF(AF205="","",IF(AND(LEFT(AF205,4)&lt;&gt;"http",IF(G205="Production",set_RMSBase,set_QwilrBase)=""),"",HYPERLINK(IF(LEFT(AF205,4)="http",AF205,IF(G205="Production",set_RMSBase,set_QwilrBase)&amp;AF205),"Open")))</f>
        <v/>
      </c>
      <c r="AH205" s="27">
        <f>IF(A205="","",IFERROR(INDEX(tbl_Production[Total Expense],IFERROR(MATCH(A205&amp;"",tbl_Production[Job Number],0),MATCH(IFERROR(A205+0,A205),tbl_Production[Job Number],0))),IFERROR(INDEX(tbl_Consulting[Total Expense],IFERROR(MATCH(A205&amp;"",tbl_Consulting[Job Number],0),MATCH(IFERROR(A205+0,A205),tbl_Consulting[Job Number],0))),0)))</f>
        <v/>
      </c>
      <c r="AI205" s="27">
        <f>IF(A205="","",AC205-N(AH205))</f>
        <v/>
      </c>
      <c r="AJ205" s="29">
        <f>IFERROR(AI205/AC205,"")</f>
        <v/>
      </c>
      <c r="AK205" s="26">
        <f>IF(A205="","",IFERROR(IF(INDEX(tbl_Onsite[Notes],IFERROR(MATCH(A205&amp;"",tbl_Onsite[Job Number],0),MATCH(IFERROR(A205+0,A205),tbl_Onsite[Job Number],0)))="","",INDEX(tbl_Onsite[Notes],IFERROR(MATCH(A205&amp;"",tbl_Onsite[Job Number],0),MATCH(IFERROR(A205+0,A205),tbl_Onsite[Job Number],0)))),IFERROR(IF(INDEX(tbl_Production[Notes],IFERROR(MATCH(A205&amp;"",tbl_Production[Job Number],0),MATCH(IFERROR(A205+0,A205),tbl_Production[Job Number],0)))="","",INDEX(tbl_Production[Notes],IFERROR(MATCH(A205&amp;"",tbl_Production[Job Number],0),MATCH(IFERROR(A205+0,A205),tbl_Production[Job Number],0)))),IFERROR(IF(INDEX(tbl_Consulting[Notes],IFERROR(MATCH(A205&amp;"",tbl_Consulting[Job Number],0),MATCH(IFERROR(A205+0,A205),tbl_Consulting[Job Number],0)))="","",INDEX(tbl_Consulting[Notes],IFERROR(MATCH(A205&amp;"",tbl_Consulting[Job Number],0),MATCH(IFERROR(A205+0,A205),tbl_Consulting[Job Number],0)))),""))))</f>
        <v/>
      </c>
    </row>
    <row r="206" ht="15" customHeight="1">
      <c r="A206" s="22" t="n"/>
      <c r="B206" s="22" t="n"/>
      <c r="C206" s="23" t="n"/>
      <c r="D206" s="22" t="n"/>
      <c r="E206" s="24" t="n"/>
      <c r="F206" s="25">
        <f>IF(C206="","",EOMONTH(C206,0))</f>
        <v/>
      </c>
      <c r="G206" s="26">
        <f>IF(A206="","",IF(COUNTIF(tbl_Onsite[Job Number],A206&amp;"")&gt;0,"Onsite",IF(COUNTIF(tbl_Production[Job Number],A206&amp;"")&gt;0,"Production",IF(COUNTIF(tbl_Consulting[Job Number],A206&amp;"")&gt;0,"Consulting","not set up yet"))))</f>
        <v/>
      </c>
      <c r="H206" s="26">
        <f>IF(A206="","",IF(COUNTIF(lst_Jobs,A206&amp;"")&gt;0,"OK","CHECK"))</f>
        <v/>
      </c>
      <c r="I206" s="26">
        <f>IF(A206="","",IFERROR(INDEX(lst_JobName,MATCH(A206&amp;"",lst_Jobs,0)),""))</f>
        <v/>
      </c>
      <c r="J206" s="26">
        <f>IF(A206="","",IFERROR(IF(INDEX(tbl_Onsite[Client],IFERROR(MATCH(A206&amp;"",tbl_Onsite[Job Number],0),MATCH(IFERROR(A206+0,A206),tbl_Onsite[Job Number],0)))="","",INDEX(tbl_Onsite[Client],IFERROR(MATCH(A206&amp;"",tbl_Onsite[Job Number],0),MATCH(IFERROR(A206+0,A206),tbl_Onsite[Job Number],0)))),IFERROR(IF(INDEX(tbl_Production[Client],IFERROR(MATCH(A206&amp;"",tbl_Production[Job Number],0),MATCH(IFERROR(A206+0,A206),tbl_Production[Job Number],0)))="","",INDEX(tbl_Production[Client],IFERROR(MATCH(A206&amp;"",tbl_Production[Job Number],0),MATCH(IFERROR(A206+0,A206),tbl_Production[Job Number],0)))),IFERROR(IF(INDEX(tbl_Consulting[Client],IFERROR(MATCH(A206&amp;"",tbl_Consulting[Job Number],0),MATCH(IFERROR(A206+0,A206),tbl_Consulting[Job Number],0)))="","",INDEX(tbl_Consulting[Client],IFERROR(MATCH(A206&amp;"",tbl_Consulting[Job Number],0),MATCH(IFERROR(A206+0,A206),tbl_Consulting[Job Number],0)))),""))))</f>
        <v/>
      </c>
      <c r="K206" s="26">
        <f>IF(A206="","",IFERROR(IF(INDEX(tbl_Onsite[Job Description],IFERROR(MATCH(A206&amp;"",tbl_Onsite[Job Number],0),MATCH(IFERROR(A206+0,A206),tbl_Onsite[Job Number],0)))="","",INDEX(tbl_Onsite[Job Description],IFERROR(MATCH(A206&amp;"",tbl_Onsite[Job Number],0),MATCH(IFERROR(A206+0,A206),tbl_Onsite[Job Number],0)))),IFERROR(IF(INDEX(tbl_Production[Job Description],IFERROR(MATCH(A206&amp;"",tbl_Production[Job Number],0),MATCH(IFERROR(A206+0,A206),tbl_Production[Job Number],0)))="","",INDEX(tbl_Production[Job Description],IFERROR(MATCH(A206&amp;"",tbl_Production[Job Number],0),MATCH(IFERROR(A206+0,A206),tbl_Production[Job Number],0)))),IFERROR(IF(INDEX(tbl_Consulting[Job Description],IFERROR(MATCH(A206&amp;"",tbl_Consulting[Job Number],0),MATCH(IFERROR(A206+0,A206),tbl_Consulting[Job Number],0)))="","",INDEX(tbl_Consulting[Job Description],IFERROR(MATCH(A206&amp;"",tbl_Consulting[Job Number],0),MATCH(IFERROR(A206+0,A206),tbl_Consulting[Job Number],0)))),""))))</f>
        <v/>
      </c>
      <c r="L206" s="26">
        <f>IF(A206="","",IFERROR(IF(INDEX(tbl_Onsite[Invoice Type],IFERROR(MATCH(A206&amp;"",tbl_Onsite[Job Number],0),MATCH(IFERROR(A206+0,A206),tbl_Onsite[Job Number],0)))="","",INDEX(tbl_Onsite[Invoice Type],IFERROR(MATCH(A206&amp;"",tbl_Onsite[Job Number],0),MATCH(IFERROR(A206+0,A206),tbl_Onsite[Job Number],0)))),IFERROR(IF(INDEX(tbl_Production[Invoice Type],IFERROR(MATCH(A206&amp;"",tbl_Production[Job Number],0),MATCH(IFERROR(A206+0,A206),tbl_Production[Job Number],0)))="","",INDEX(tbl_Production[Invoice Type],IFERROR(MATCH(A206&amp;"",tbl_Production[Job Number],0),MATCH(IFERROR(A206+0,A206),tbl_Production[Job Number],0)))),IFERROR(IF(INDEX(tbl_Consulting[Invoice Type],IFERROR(MATCH(A206&amp;"",tbl_Consulting[Job Number],0),MATCH(IFERROR(A206+0,A206),tbl_Consulting[Job Number],0)))="","",INDEX(tbl_Consulting[Invoice Type],IFERROR(MATCH(A206&amp;"",tbl_Consulting[Job Number],0),MATCH(IFERROR(A206+0,A206),tbl_Consulting[Job Number],0)))),""))))</f>
        <v/>
      </c>
      <c r="M206" s="26">
        <f>IF(A206="","",IF(IFERROR(IF(INDEX(tbl_Onsite[Tax Code],IFERROR(MATCH(A206&amp;"",tbl_Onsite[Job Number],0),MATCH(IFERROR(A206+0,A206),tbl_Onsite[Job Number],0)))="","",INDEX(tbl_Onsite[Tax Code],IFERROR(MATCH(A206&amp;"",tbl_Onsite[Job Number],0),MATCH(IFERROR(A206+0,A206),tbl_Onsite[Job Number],0)))),IFERROR(IF(INDEX(tbl_Production[Tax Code],IFERROR(MATCH(A206&amp;"",tbl_Production[Job Number],0),MATCH(IFERROR(A206+0,A206),tbl_Production[Job Number],0)))="","",INDEX(tbl_Production[Tax Code],IFERROR(MATCH(A206&amp;"",tbl_Production[Job Number],0),MATCH(IFERROR(A206+0,A206),tbl_Production[Job Number],0)))),IFERROR(IF(INDEX(tbl_Consulting[Tax Code],IFERROR(MATCH(A206&amp;"",tbl_Consulting[Job Number],0),MATCH(IFERROR(A206+0,A206),tbl_Consulting[Job Number],0)))="","",INDEX(tbl_Consulting[Tax Code],IFERROR(MATCH(A206&amp;"",tbl_Consulting[Job Number],0),MATCH(IFERROR(A206+0,A206),tbl_Consulting[Job Number],0)))),"")))="","GST 10%",IFERROR(IF(INDEX(tbl_Onsite[Tax Code],IFERROR(MATCH(A206&amp;"",tbl_Onsite[Job Number],0),MATCH(IFERROR(A206+0,A206),tbl_Onsite[Job Number],0)))="","",INDEX(tbl_Onsite[Tax Code],IFERROR(MATCH(A206&amp;"",tbl_Onsite[Job Number],0),MATCH(IFERROR(A206+0,A206),tbl_Onsite[Job Number],0)))),IFERROR(IF(INDEX(tbl_Production[Tax Code],IFERROR(MATCH(A206&amp;"",tbl_Production[Job Number],0),MATCH(IFERROR(A206+0,A206),tbl_Production[Job Number],0)))="","",INDEX(tbl_Production[Tax Code],IFERROR(MATCH(A206&amp;"",tbl_Production[Job Number],0),MATCH(IFERROR(A206+0,A206),tbl_Production[Job Number],0)))),IFERROR(IF(INDEX(tbl_Consulting[Tax Code],IFERROR(MATCH(A206&amp;"",tbl_Consulting[Job Number],0),MATCH(IFERROR(A206+0,A206),tbl_Consulting[Job Number],0)))="","",INDEX(tbl_Consulting[Tax Code],IFERROR(MATCH(A206&amp;"",tbl_Consulting[Job Number],0),MATCH(IFERROR(A206+0,A206),tbl_Consulting[Job Number],0)))),"")))))</f>
        <v/>
      </c>
      <c r="N206" s="26">
        <f>IF(D206="","",IFERROR(INDEX(lst_CCtoGL,MATCH(D206,lst_CCforGL,0)),""))</f>
        <v/>
      </c>
      <c r="O206" s="27">
        <f>IF(E206="","",IF(M206="GST 10%",ROUND(E206*set_GSTRate,2),0))</f>
        <v/>
      </c>
      <c r="P206" s="27">
        <f>IF(E206="","",E206+O206)</f>
        <v/>
      </c>
      <c r="Q206" s="27">
        <f>IF(A206="","",IFERROR(INDEX(tbl_Onsite[Expected Revenue Ex GST],IFERROR(MATCH(A206&amp;"",tbl_Onsite[Job Number],0),MATCH(IFERROR(A206+0,A206),tbl_Onsite[Job Number],0))),IFERROR(INDEX(tbl_Production[Expected Revenue Ex GST],IFERROR(MATCH(A206&amp;"",tbl_Production[Job Number],0),MATCH(IFERROR(A206+0,A206),tbl_Production[Job Number],0))),IFERROR(INDEX(tbl_Consulting[Expected Revenue Ex GST],IFERROR(MATCH(A206&amp;"",tbl_Consulting[Job Number],0),MATCH(IFERROR(A206+0,A206),tbl_Consulting[Job Number],0))),0))))</f>
        <v/>
      </c>
      <c r="R206" s="27">
        <f>IF(A206="","",SUMIFS(tbl_Finance[Ex GST],tbl_Finance[Job Number],A206&amp;""))</f>
        <v/>
      </c>
      <c r="S206" s="27">
        <f>IF(A206="","",Q206-R206)</f>
        <v/>
      </c>
      <c r="T206" s="26">
        <f>IF(A206="","",IF(Q206=0,"No dept value",IF(ROUND(S206,2)=0,"Agrees",IF(S206&gt;0,"Dept higher - to invoice","Xero higher - check dept"))))</f>
        <v/>
      </c>
      <c r="U206" s="22" t="n"/>
      <c r="V206" s="22" t="n"/>
      <c r="W206" s="23" t="n"/>
      <c r="X206" s="23" t="n"/>
      <c r="Y206" s="22" t="n"/>
      <c r="Z206" s="22" t="n"/>
      <c r="AA206" s="26">
        <f>IF(COUNTA(C206,A206,B206,E206)=0,"",IF(C206="","No date - sits outside every month",IF(A206="","No job number",IF(H206="CHECK","Job number is not in the Xero job list",IF(G206="not set up yet","No department has set this job up - nothing can pull through",IF(D206="","No cost centre",IF(AND(U206="Y",B206=""),"Marked posted to Xero but has no invoice number",IF(N206="","Cost centre has no revenue GL on the Lists sheet",IF(T206="Xero higher - check dept","Invoiced more than the department says the job is worth","")))))))))</f>
        <v/>
      </c>
      <c r="AB206" s="28">
        <f>IF(A206="","",COUNTIFS(tbl_Finance[Job Number],A206&amp;"",tbl_Finance[Ex GST],"&lt;&gt;"))</f>
        <v/>
      </c>
      <c r="AC206" s="27">
        <f>IF(A206="","",SUMIFS(tbl_Finance[Ex GST],tbl_Finance[Job Number],A206&amp;""))</f>
        <v/>
      </c>
      <c r="AD206" s="27">
        <f>IF(A206="","",SUMIFS(tbl_Finance[Ex GST],tbl_Finance[Job Number],A206&amp;"",tbl_Finance[Xero Invoice No],"&lt;&gt;"))</f>
        <v/>
      </c>
      <c r="AE206" s="27">
        <f>IF(A206="","",AC206-AD206)</f>
        <v/>
      </c>
      <c r="AF206" s="26">
        <f>IF(A206="","",IFERROR(IF(INDEX(tbl_Onsite[Qwilr Quote],IFERROR(MATCH(A206&amp;"",tbl_Onsite[Job Number],0),MATCH(IFERROR(A206+0,A206),tbl_Onsite[Job Number],0)))="","",INDEX(tbl_Onsite[Qwilr Quote],IFERROR(MATCH(A206&amp;"",tbl_Onsite[Job Number],0),MATCH(IFERROR(A206+0,A206),tbl_Onsite[Job Number],0)))),IFERROR(IF(IF(INDEX(tbl_Production[Current RMS No],IFERROR(MATCH(A206&amp;"",tbl_Production[Job Number],0),MATCH(IFERROR(A206+0,A206),tbl_Production[Job Number],0)))="",INDEX(tbl_Production[Qwilr Quote],IFERROR(MATCH(A206&amp;"",tbl_Production[Job Number],0),MATCH(IFERROR(A206+0,A206),tbl_Production[Job Number],0))),INDEX(tbl_Production[Current RMS No],IFERROR(MATCH(A206&amp;"",tbl_Production[Job Number],0),MATCH(IFERROR(A206+0,A206),tbl_Production[Job Number],0))))="","",IF(INDEX(tbl_Production[Current RMS No],IFERROR(MATCH(A206&amp;"",tbl_Production[Job Number],0),MATCH(IFERROR(A206+0,A206),tbl_Production[Job Number],0)))="",INDEX(tbl_Production[Qwilr Quote],IFERROR(MATCH(A206&amp;"",tbl_Production[Job Number],0),MATCH(IFERROR(A206+0,A206),tbl_Production[Job Number],0))),INDEX(tbl_Production[Current RMS No],IFERROR(MATCH(A206&amp;"",tbl_Production[Job Number],0),MATCH(IFERROR(A206+0,A206),tbl_Production[Job Number],0))))),IFERROR(IF(INDEX(tbl_Consulting[Qwilr Quote],IFERROR(MATCH(A206&amp;"",tbl_Consulting[Job Number],0),MATCH(IFERROR(A206+0,A206),tbl_Consulting[Job Number],0)))="","",INDEX(tbl_Consulting[Qwilr Quote],IFERROR(MATCH(A206&amp;"",tbl_Consulting[Job Number],0),MATCH(IFERROR(A206+0,A206),tbl_Consulting[Job Number],0)))),""))))</f>
        <v/>
      </c>
      <c r="AG206" s="26">
        <f>IF(AF206="","",IF(AND(LEFT(AF206,4)&lt;&gt;"http",IF(G206="Production",set_RMSBase,set_QwilrBase)=""),"",HYPERLINK(IF(LEFT(AF206,4)="http",AF206,IF(G206="Production",set_RMSBase,set_QwilrBase)&amp;AF206),"Open")))</f>
        <v/>
      </c>
      <c r="AH206" s="27">
        <f>IF(A206="","",IFERROR(INDEX(tbl_Production[Total Expense],IFERROR(MATCH(A206&amp;"",tbl_Production[Job Number],0),MATCH(IFERROR(A206+0,A206),tbl_Production[Job Number],0))),IFERROR(INDEX(tbl_Consulting[Total Expense],IFERROR(MATCH(A206&amp;"",tbl_Consulting[Job Number],0),MATCH(IFERROR(A206+0,A206),tbl_Consulting[Job Number],0))),0)))</f>
        <v/>
      </c>
      <c r="AI206" s="27">
        <f>IF(A206="","",AC206-N(AH206))</f>
        <v/>
      </c>
      <c r="AJ206" s="29">
        <f>IFERROR(AI206/AC206,"")</f>
        <v/>
      </c>
      <c r="AK206" s="26">
        <f>IF(A206="","",IFERROR(IF(INDEX(tbl_Onsite[Notes],IFERROR(MATCH(A206&amp;"",tbl_Onsite[Job Number],0),MATCH(IFERROR(A206+0,A206),tbl_Onsite[Job Number],0)))="","",INDEX(tbl_Onsite[Notes],IFERROR(MATCH(A206&amp;"",tbl_Onsite[Job Number],0),MATCH(IFERROR(A206+0,A206),tbl_Onsite[Job Number],0)))),IFERROR(IF(INDEX(tbl_Production[Notes],IFERROR(MATCH(A206&amp;"",tbl_Production[Job Number],0),MATCH(IFERROR(A206+0,A206),tbl_Production[Job Number],0)))="","",INDEX(tbl_Production[Notes],IFERROR(MATCH(A206&amp;"",tbl_Production[Job Number],0),MATCH(IFERROR(A206+0,A206),tbl_Production[Job Number],0)))),IFERROR(IF(INDEX(tbl_Consulting[Notes],IFERROR(MATCH(A206&amp;"",tbl_Consulting[Job Number],0),MATCH(IFERROR(A206+0,A206),tbl_Consulting[Job Number],0)))="","",INDEX(tbl_Consulting[Notes],IFERROR(MATCH(A206&amp;"",tbl_Consulting[Job Number],0),MATCH(IFERROR(A206+0,A206),tbl_Consulting[Job Number],0)))),""))))</f>
        <v/>
      </c>
    </row>
    <row r="207" ht="15" customHeight="1">
      <c r="A207" s="22" t="n"/>
      <c r="B207" s="22" t="n"/>
      <c r="C207" s="23" t="n"/>
      <c r="D207" s="22" t="n"/>
      <c r="E207" s="24" t="n"/>
      <c r="F207" s="25">
        <f>IF(C207="","",EOMONTH(C207,0))</f>
        <v/>
      </c>
      <c r="G207" s="26">
        <f>IF(A207="","",IF(COUNTIF(tbl_Onsite[Job Number],A207&amp;"")&gt;0,"Onsite",IF(COUNTIF(tbl_Production[Job Number],A207&amp;"")&gt;0,"Production",IF(COUNTIF(tbl_Consulting[Job Number],A207&amp;"")&gt;0,"Consulting","not set up yet"))))</f>
        <v/>
      </c>
      <c r="H207" s="26">
        <f>IF(A207="","",IF(COUNTIF(lst_Jobs,A207&amp;"")&gt;0,"OK","CHECK"))</f>
        <v/>
      </c>
      <c r="I207" s="26">
        <f>IF(A207="","",IFERROR(INDEX(lst_JobName,MATCH(A207&amp;"",lst_Jobs,0)),""))</f>
        <v/>
      </c>
      <c r="J207" s="26">
        <f>IF(A207="","",IFERROR(IF(INDEX(tbl_Onsite[Client],IFERROR(MATCH(A207&amp;"",tbl_Onsite[Job Number],0),MATCH(IFERROR(A207+0,A207),tbl_Onsite[Job Number],0)))="","",INDEX(tbl_Onsite[Client],IFERROR(MATCH(A207&amp;"",tbl_Onsite[Job Number],0),MATCH(IFERROR(A207+0,A207),tbl_Onsite[Job Number],0)))),IFERROR(IF(INDEX(tbl_Production[Client],IFERROR(MATCH(A207&amp;"",tbl_Production[Job Number],0),MATCH(IFERROR(A207+0,A207),tbl_Production[Job Number],0)))="","",INDEX(tbl_Production[Client],IFERROR(MATCH(A207&amp;"",tbl_Production[Job Number],0),MATCH(IFERROR(A207+0,A207),tbl_Production[Job Number],0)))),IFERROR(IF(INDEX(tbl_Consulting[Client],IFERROR(MATCH(A207&amp;"",tbl_Consulting[Job Number],0),MATCH(IFERROR(A207+0,A207),tbl_Consulting[Job Number],0)))="","",INDEX(tbl_Consulting[Client],IFERROR(MATCH(A207&amp;"",tbl_Consulting[Job Number],0),MATCH(IFERROR(A207+0,A207),tbl_Consulting[Job Number],0)))),""))))</f>
        <v/>
      </c>
      <c r="K207" s="26">
        <f>IF(A207="","",IFERROR(IF(INDEX(tbl_Onsite[Job Description],IFERROR(MATCH(A207&amp;"",tbl_Onsite[Job Number],0),MATCH(IFERROR(A207+0,A207),tbl_Onsite[Job Number],0)))="","",INDEX(tbl_Onsite[Job Description],IFERROR(MATCH(A207&amp;"",tbl_Onsite[Job Number],0),MATCH(IFERROR(A207+0,A207),tbl_Onsite[Job Number],0)))),IFERROR(IF(INDEX(tbl_Production[Job Description],IFERROR(MATCH(A207&amp;"",tbl_Production[Job Number],0),MATCH(IFERROR(A207+0,A207),tbl_Production[Job Number],0)))="","",INDEX(tbl_Production[Job Description],IFERROR(MATCH(A207&amp;"",tbl_Production[Job Number],0),MATCH(IFERROR(A207+0,A207),tbl_Production[Job Number],0)))),IFERROR(IF(INDEX(tbl_Consulting[Job Description],IFERROR(MATCH(A207&amp;"",tbl_Consulting[Job Number],0),MATCH(IFERROR(A207+0,A207),tbl_Consulting[Job Number],0)))="","",INDEX(tbl_Consulting[Job Description],IFERROR(MATCH(A207&amp;"",tbl_Consulting[Job Number],0),MATCH(IFERROR(A207+0,A207),tbl_Consulting[Job Number],0)))),""))))</f>
        <v/>
      </c>
      <c r="L207" s="26">
        <f>IF(A207="","",IFERROR(IF(INDEX(tbl_Onsite[Invoice Type],IFERROR(MATCH(A207&amp;"",tbl_Onsite[Job Number],0),MATCH(IFERROR(A207+0,A207),tbl_Onsite[Job Number],0)))="","",INDEX(tbl_Onsite[Invoice Type],IFERROR(MATCH(A207&amp;"",tbl_Onsite[Job Number],0),MATCH(IFERROR(A207+0,A207),tbl_Onsite[Job Number],0)))),IFERROR(IF(INDEX(tbl_Production[Invoice Type],IFERROR(MATCH(A207&amp;"",tbl_Production[Job Number],0),MATCH(IFERROR(A207+0,A207),tbl_Production[Job Number],0)))="","",INDEX(tbl_Production[Invoice Type],IFERROR(MATCH(A207&amp;"",tbl_Production[Job Number],0),MATCH(IFERROR(A207+0,A207),tbl_Production[Job Number],0)))),IFERROR(IF(INDEX(tbl_Consulting[Invoice Type],IFERROR(MATCH(A207&amp;"",tbl_Consulting[Job Number],0),MATCH(IFERROR(A207+0,A207),tbl_Consulting[Job Number],0)))="","",INDEX(tbl_Consulting[Invoice Type],IFERROR(MATCH(A207&amp;"",tbl_Consulting[Job Number],0),MATCH(IFERROR(A207+0,A207),tbl_Consulting[Job Number],0)))),""))))</f>
        <v/>
      </c>
      <c r="M207" s="26">
        <f>IF(A207="","",IF(IFERROR(IF(INDEX(tbl_Onsite[Tax Code],IFERROR(MATCH(A207&amp;"",tbl_Onsite[Job Number],0),MATCH(IFERROR(A207+0,A207),tbl_Onsite[Job Number],0)))="","",INDEX(tbl_Onsite[Tax Code],IFERROR(MATCH(A207&amp;"",tbl_Onsite[Job Number],0),MATCH(IFERROR(A207+0,A207),tbl_Onsite[Job Number],0)))),IFERROR(IF(INDEX(tbl_Production[Tax Code],IFERROR(MATCH(A207&amp;"",tbl_Production[Job Number],0),MATCH(IFERROR(A207+0,A207),tbl_Production[Job Number],0)))="","",INDEX(tbl_Production[Tax Code],IFERROR(MATCH(A207&amp;"",tbl_Production[Job Number],0),MATCH(IFERROR(A207+0,A207),tbl_Production[Job Number],0)))),IFERROR(IF(INDEX(tbl_Consulting[Tax Code],IFERROR(MATCH(A207&amp;"",tbl_Consulting[Job Number],0),MATCH(IFERROR(A207+0,A207),tbl_Consulting[Job Number],0)))="","",INDEX(tbl_Consulting[Tax Code],IFERROR(MATCH(A207&amp;"",tbl_Consulting[Job Number],0),MATCH(IFERROR(A207+0,A207),tbl_Consulting[Job Number],0)))),"")))="","GST 10%",IFERROR(IF(INDEX(tbl_Onsite[Tax Code],IFERROR(MATCH(A207&amp;"",tbl_Onsite[Job Number],0),MATCH(IFERROR(A207+0,A207),tbl_Onsite[Job Number],0)))="","",INDEX(tbl_Onsite[Tax Code],IFERROR(MATCH(A207&amp;"",tbl_Onsite[Job Number],0),MATCH(IFERROR(A207+0,A207),tbl_Onsite[Job Number],0)))),IFERROR(IF(INDEX(tbl_Production[Tax Code],IFERROR(MATCH(A207&amp;"",tbl_Production[Job Number],0),MATCH(IFERROR(A207+0,A207),tbl_Production[Job Number],0)))="","",INDEX(tbl_Production[Tax Code],IFERROR(MATCH(A207&amp;"",tbl_Production[Job Number],0),MATCH(IFERROR(A207+0,A207),tbl_Production[Job Number],0)))),IFERROR(IF(INDEX(tbl_Consulting[Tax Code],IFERROR(MATCH(A207&amp;"",tbl_Consulting[Job Number],0),MATCH(IFERROR(A207+0,A207),tbl_Consulting[Job Number],0)))="","",INDEX(tbl_Consulting[Tax Code],IFERROR(MATCH(A207&amp;"",tbl_Consulting[Job Number],0),MATCH(IFERROR(A207+0,A207),tbl_Consulting[Job Number],0)))),"")))))</f>
        <v/>
      </c>
      <c r="N207" s="26">
        <f>IF(D207="","",IFERROR(INDEX(lst_CCtoGL,MATCH(D207,lst_CCforGL,0)),""))</f>
        <v/>
      </c>
      <c r="O207" s="27">
        <f>IF(E207="","",IF(M207="GST 10%",ROUND(E207*set_GSTRate,2),0))</f>
        <v/>
      </c>
      <c r="P207" s="27">
        <f>IF(E207="","",E207+O207)</f>
        <v/>
      </c>
      <c r="Q207" s="27">
        <f>IF(A207="","",IFERROR(INDEX(tbl_Onsite[Expected Revenue Ex GST],IFERROR(MATCH(A207&amp;"",tbl_Onsite[Job Number],0),MATCH(IFERROR(A207+0,A207),tbl_Onsite[Job Number],0))),IFERROR(INDEX(tbl_Production[Expected Revenue Ex GST],IFERROR(MATCH(A207&amp;"",tbl_Production[Job Number],0),MATCH(IFERROR(A207+0,A207),tbl_Production[Job Number],0))),IFERROR(INDEX(tbl_Consulting[Expected Revenue Ex GST],IFERROR(MATCH(A207&amp;"",tbl_Consulting[Job Number],0),MATCH(IFERROR(A207+0,A207),tbl_Consulting[Job Number],0))),0))))</f>
        <v/>
      </c>
      <c r="R207" s="27">
        <f>IF(A207="","",SUMIFS(tbl_Finance[Ex GST],tbl_Finance[Job Number],A207&amp;""))</f>
        <v/>
      </c>
      <c r="S207" s="27">
        <f>IF(A207="","",Q207-R207)</f>
        <v/>
      </c>
      <c r="T207" s="26">
        <f>IF(A207="","",IF(Q207=0,"No dept value",IF(ROUND(S207,2)=0,"Agrees",IF(S207&gt;0,"Dept higher - to invoice","Xero higher - check dept"))))</f>
        <v/>
      </c>
      <c r="U207" s="22" t="n"/>
      <c r="V207" s="22" t="n"/>
      <c r="W207" s="23" t="n"/>
      <c r="X207" s="23" t="n"/>
      <c r="Y207" s="22" t="n"/>
      <c r="Z207" s="22" t="n"/>
      <c r="AA207" s="26">
        <f>IF(COUNTA(C207,A207,B207,E207)=0,"",IF(C207="","No date - sits outside every month",IF(A207="","No job number",IF(H207="CHECK","Job number is not in the Xero job list",IF(G207="not set up yet","No department has set this job up - nothing can pull through",IF(D207="","No cost centre",IF(AND(U207="Y",B207=""),"Marked posted to Xero but has no invoice number",IF(N207="","Cost centre has no revenue GL on the Lists sheet",IF(T207="Xero higher - check dept","Invoiced more than the department says the job is worth","")))))))))</f>
        <v/>
      </c>
      <c r="AB207" s="28">
        <f>IF(A207="","",COUNTIFS(tbl_Finance[Job Number],A207&amp;"",tbl_Finance[Ex GST],"&lt;&gt;"))</f>
        <v/>
      </c>
      <c r="AC207" s="27">
        <f>IF(A207="","",SUMIFS(tbl_Finance[Ex GST],tbl_Finance[Job Number],A207&amp;""))</f>
        <v/>
      </c>
      <c r="AD207" s="27">
        <f>IF(A207="","",SUMIFS(tbl_Finance[Ex GST],tbl_Finance[Job Number],A207&amp;"",tbl_Finance[Xero Invoice No],"&lt;&gt;"))</f>
        <v/>
      </c>
      <c r="AE207" s="27">
        <f>IF(A207="","",AC207-AD207)</f>
        <v/>
      </c>
      <c r="AF207" s="26">
        <f>IF(A207="","",IFERROR(IF(INDEX(tbl_Onsite[Qwilr Quote],IFERROR(MATCH(A207&amp;"",tbl_Onsite[Job Number],0),MATCH(IFERROR(A207+0,A207),tbl_Onsite[Job Number],0)))="","",INDEX(tbl_Onsite[Qwilr Quote],IFERROR(MATCH(A207&amp;"",tbl_Onsite[Job Number],0),MATCH(IFERROR(A207+0,A207),tbl_Onsite[Job Number],0)))),IFERROR(IF(IF(INDEX(tbl_Production[Current RMS No],IFERROR(MATCH(A207&amp;"",tbl_Production[Job Number],0),MATCH(IFERROR(A207+0,A207),tbl_Production[Job Number],0)))="",INDEX(tbl_Production[Qwilr Quote],IFERROR(MATCH(A207&amp;"",tbl_Production[Job Number],0),MATCH(IFERROR(A207+0,A207),tbl_Production[Job Number],0))),INDEX(tbl_Production[Current RMS No],IFERROR(MATCH(A207&amp;"",tbl_Production[Job Number],0),MATCH(IFERROR(A207+0,A207),tbl_Production[Job Number],0))))="","",IF(INDEX(tbl_Production[Current RMS No],IFERROR(MATCH(A207&amp;"",tbl_Production[Job Number],0),MATCH(IFERROR(A207+0,A207),tbl_Production[Job Number],0)))="",INDEX(tbl_Production[Qwilr Quote],IFERROR(MATCH(A207&amp;"",tbl_Production[Job Number],0),MATCH(IFERROR(A207+0,A207),tbl_Production[Job Number],0))),INDEX(tbl_Production[Current RMS No],IFERROR(MATCH(A207&amp;"",tbl_Production[Job Number],0),MATCH(IFERROR(A207+0,A207),tbl_Production[Job Number],0))))),IFERROR(IF(INDEX(tbl_Consulting[Qwilr Quote],IFERROR(MATCH(A207&amp;"",tbl_Consulting[Job Number],0),MATCH(IFERROR(A207+0,A207),tbl_Consulting[Job Number],0)))="","",INDEX(tbl_Consulting[Qwilr Quote],IFERROR(MATCH(A207&amp;"",tbl_Consulting[Job Number],0),MATCH(IFERROR(A207+0,A207),tbl_Consulting[Job Number],0)))),""))))</f>
        <v/>
      </c>
      <c r="AG207" s="26">
        <f>IF(AF207="","",IF(AND(LEFT(AF207,4)&lt;&gt;"http",IF(G207="Production",set_RMSBase,set_QwilrBase)=""),"",HYPERLINK(IF(LEFT(AF207,4)="http",AF207,IF(G207="Production",set_RMSBase,set_QwilrBase)&amp;AF207),"Open")))</f>
        <v/>
      </c>
      <c r="AH207" s="27">
        <f>IF(A207="","",IFERROR(INDEX(tbl_Production[Total Expense],IFERROR(MATCH(A207&amp;"",tbl_Production[Job Number],0),MATCH(IFERROR(A207+0,A207),tbl_Production[Job Number],0))),IFERROR(INDEX(tbl_Consulting[Total Expense],IFERROR(MATCH(A207&amp;"",tbl_Consulting[Job Number],0),MATCH(IFERROR(A207+0,A207),tbl_Consulting[Job Number],0))),0)))</f>
        <v/>
      </c>
      <c r="AI207" s="27">
        <f>IF(A207="","",AC207-N(AH207))</f>
        <v/>
      </c>
      <c r="AJ207" s="29">
        <f>IFERROR(AI207/AC207,"")</f>
        <v/>
      </c>
      <c r="AK207" s="26">
        <f>IF(A207="","",IFERROR(IF(INDEX(tbl_Onsite[Notes],IFERROR(MATCH(A207&amp;"",tbl_Onsite[Job Number],0),MATCH(IFERROR(A207+0,A207),tbl_Onsite[Job Number],0)))="","",INDEX(tbl_Onsite[Notes],IFERROR(MATCH(A207&amp;"",tbl_Onsite[Job Number],0),MATCH(IFERROR(A207+0,A207),tbl_Onsite[Job Number],0)))),IFERROR(IF(INDEX(tbl_Production[Notes],IFERROR(MATCH(A207&amp;"",tbl_Production[Job Number],0),MATCH(IFERROR(A207+0,A207),tbl_Production[Job Number],0)))="","",INDEX(tbl_Production[Notes],IFERROR(MATCH(A207&amp;"",tbl_Production[Job Number],0),MATCH(IFERROR(A207+0,A207),tbl_Production[Job Number],0)))),IFERROR(IF(INDEX(tbl_Consulting[Notes],IFERROR(MATCH(A207&amp;"",tbl_Consulting[Job Number],0),MATCH(IFERROR(A207+0,A207),tbl_Consulting[Job Number],0)))="","",INDEX(tbl_Consulting[Notes],IFERROR(MATCH(A207&amp;"",tbl_Consulting[Job Number],0),MATCH(IFERROR(A207+0,A207),tbl_Consulting[Job Number],0)))),""))))</f>
        <v/>
      </c>
    </row>
    <row r="208" ht="15" customHeight="1">
      <c r="A208" s="22" t="n"/>
      <c r="B208" s="22" t="n"/>
      <c r="C208" s="23" t="n"/>
      <c r="D208" s="22" t="n"/>
      <c r="E208" s="24" t="n"/>
      <c r="F208" s="25">
        <f>IF(C208="","",EOMONTH(C208,0))</f>
        <v/>
      </c>
      <c r="G208" s="26">
        <f>IF(A208="","",IF(COUNTIF(tbl_Onsite[Job Number],A208&amp;"")&gt;0,"Onsite",IF(COUNTIF(tbl_Production[Job Number],A208&amp;"")&gt;0,"Production",IF(COUNTIF(tbl_Consulting[Job Number],A208&amp;"")&gt;0,"Consulting","not set up yet"))))</f>
        <v/>
      </c>
      <c r="H208" s="26">
        <f>IF(A208="","",IF(COUNTIF(lst_Jobs,A208&amp;"")&gt;0,"OK","CHECK"))</f>
        <v/>
      </c>
      <c r="I208" s="26">
        <f>IF(A208="","",IFERROR(INDEX(lst_JobName,MATCH(A208&amp;"",lst_Jobs,0)),""))</f>
        <v/>
      </c>
      <c r="J208" s="26">
        <f>IF(A208="","",IFERROR(IF(INDEX(tbl_Onsite[Client],IFERROR(MATCH(A208&amp;"",tbl_Onsite[Job Number],0),MATCH(IFERROR(A208+0,A208),tbl_Onsite[Job Number],0)))="","",INDEX(tbl_Onsite[Client],IFERROR(MATCH(A208&amp;"",tbl_Onsite[Job Number],0),MATCH(IFERROR(A208+0,A208),tbl_Onsite[Job Number],0)))),IFERROR(IF(INDEX(tbl_Production[Client],IFERROR(MATCH(A208&amp;"",tbl_Production[Job Number],0),MATCH(IFERROR(A208+0,A208),tbl_Production[Job Number],0)))="","",INDEX(tbl_Production[Client],IFERROR(MATCH(A208&amp;"",tbl_Production[Job Number],0),MATCH(IFERROR(A208+0,A208),tbl_Production[Job Number],0)))),IFERROR(IF(INDEX(tbl_Consulting[Client],IFERROR(MATCH(A208&amp;"",tbl_Consulting[Job Number],0),MATCH(IFERROR(A208+0,A208),tbl_Consulting[Job Number],0)))="","",INDEX(tbl_Consulting[Client],IFERROR(MATCH(A208&amp;"",tbl_Consulting[Job Number],0),MATCH(IFERROR(A208+0,A208),tbl_Consulting[Job Number],0)))),""))))</f>
        <v/>
      </c>
      <c r="K208" s="26">
        <f>IF(A208="","",IFERROR(IF(INDEX(tbl_Onsite[Job Description],IFERROR(MATCH(A208&amp;"",tbl_Onsite[Job Number],0),MATCH(IFERROR(A208+0,A208),tbl_Onsite[Job Number],0)))="","",INDEX(tbl_Onsite[Job Description],IFERROR(MATCH(A208&amp;"",tbl_Onsite[Job Number],0),MATCH(IFERROR(A208+0,A208),tbl_Onsite[Job Number],0)))),IFERROR(IF(INDEX(tbl_Production[Job Description],IFERROR(MATCH(A208&amp;"",tbl_Production[Job Number],0),MATCH(IFERROR(A208+0,A208),tbl_Production[Job Number],0)))="","",INDEX(tbl_Production[Job Description],IFERROR(MATCH(A208&amp;"",tbl_Production[Job Number],0),MATCH(IFERROR(A208+0,A208),tbl_Production[Job Number],0)))),IFERROR(IF(INDEX(tbl_Consulting[Job Description],IFERROR(MATCH(A208&amp;"",tbl_Consulting[Job Number],0),MATCH(IFERROR(A208+0,A208),tbl_Consulting[Job Number],0)))="","",INDEX(tbl_Consulting[Job Description],IFERROR(MATCH(A208&amp;"",tbl_Consulting[Job Number],0),MATCH(IFERROR(A208+0,A208),tbl_Consulting[Job Number],0)))),""))))</f>
        <v/>
      </c>
      <c r="L208" s="26">
        <f>IF(A208="","",IFERROR(IF(INDEX(tbl_Onsite[Invoice Type],IFERROR(MATCH(A208&amp;"",tbl_Onsite[Job Number],0),MATCH(IFERROR(A208+0,A208),tbl_Onsite[Job Number],0)))="","",INDEX(tbl_Onsite[Invoice Type],IFERROR(MATCH(A208&amp;"",tbl_Onsite[Job Number],0),MATCH(IFERROR(A208+0,A208),tbl_Onsite[Job Number],0)))),IFERROR(IF(INDEX(tbl_Production[Invoice Type],IFERROR(MATCH(A208&amp;"",tbl_Production[Job Number],0),MATCH(IFERROR(A208+0,A208),tbl_Production[Job Number],0)))="","",INDEX(tbl_Production[Invoice Type],IFERROR(MATCH(A208&amp;"",tbl_Production[Job Number],0),MATCH(IFERROR(A208+0,A208),tbl_Production[Job Number],0)))),IFERROR(IF(INDEX(tbl_Consulting[Invoice Type],IFERROR(MATCH(A208&amp;"",tbl_Consulting[Job Number],0),MATCH(IFERROR(A208+0,A208),tbl_Consulting[Job Number],0)))="","",INDEX(tbl_Consulting[Invoice Type],IFERROR(MATCH(A208&amp;"",tbl_Consulting[Job Number],0),MATCH(IFERROR(A208+0,A208),tbl_Consulting[Job Number],0)))),""))))</f>
        <v/>
      </c>
      <c r="M208" s="26">
        <f>IF(A208="","",IF(IFERROR(IF(INDEX(tbl_Onsite[Tax Code],IFERROR(MATCH(A208&amp;"",tbl_Onsite[Job Number],0),MATCH(IFERROR(A208+0,A208),tbl_Onsite[Job Number],0)))="","",INDEX(tbl_Onsite[Tax Code],IFERROR(MATCH(A208&amp;"",tbl_Onsite[Job Number],0),MATCH(IFERROR(A208+0,A208),tbl_Onsite[Job Number],0)))),IFERROR(IF(INDEX(tbl_Production[Tax Code],IFERROR(MATCH(A208&amp;"",tbl_Production[Job Number],0),MATCH(IFERROR(A208+0,A208),tbl_Production[Job Number],0)))="","",INDEX(tbl_Production[Tax Code],IFERROR(MATCH(A208&amp;"",tbl_Production[Job Number],0),MATCH(IFERROR(A208+0,A208),tbl_Production[Job Number],0)))),IFERROR(IF(INDEX(tbl_Consulting[Tax Code],IFERROR(MATCH(A208&amp;"",tbl_Consulting[Job Number],0),MATCH(IFERROR(A208+0,A208),tbl_Consulting[Job Number],0)))="","",INDEX(tbl_Consulting[Tax Code],IFERROR(MATCH(A208&amp;"",tbl_Consulting[Job Number],0),MATCH(IFERROR(A208+0,A208),tbl_Consulting[Job Number],0)))),"")))="","GST 10%",IFERROR(IF(INDEX(tbl_Onsite[Tax Code],IFERROR(MATCH(A208&amp;"",tbl_Onsite[Job Number],0),MATCH(IFERROR(A208+0,A208),tbl_Onsite[Job Number],0)))="","",INDEX(tbl_Onsite[Tax Code],IFERROR(MATCH(A208&amp;"",tbl_Onsite[Job Number],0),MATCH(IFERROR(A208+0,A208),tbl_Onsite[Job Number],0)))),IFERROR(IF(INDEX(tbl_Production[Tax Code],IFERROR(MATCH(A208&amp;"",tbl_Production[Job Number],0),MATCH(IFERROR(A208+0,A208),tbl_Production[Job Number],0)))="","",INDEX(tbl_Production[Tax Code],IFERROR(MATCH(A208&amp;"",tbl_Production[Job Number],0),MATCH(IFERROR(A208+0,A208),tbl_Production[Job Number],0)))),IFERROR(IF(INDEX(tbl_Consulting[Tax Code],IFERROR(MATCH(A208&amp;"",tbl_Consulting[Job Number],0),MATCH(IFERROR(A208+0,A208),tbl_Consulting[Job Number],0)))="","",INDEX(tbl_Consulting[Tax Code],IFERROR(MATCH(A208&amp;"",tbl_Consulting[Job Number],0),MATCH(IFERROR(A208+0,A208),tbl_Consulting[Job Number],0)))),"")))))</f>
        <v/>
      </c>
      <c r="N208" s="26">
        <f>IF(D208="","",IFERROR(INDEX(lst_CCtoGL,MATCH(D208,lst_CCforGL,0)),""))</f>
        <v/>
      </c>
      <c r="O208" s="27">
        <f>IF(E208="","",IF(M208="GST 10%",ROUND(E208*set_GSTRate,2),0))</f>
        <v/>
      </c>
      <c r="P208" s="27">
        <f>IF(E208="","",E208+O208)</f>
        <v/>
      </c>
      <c r="Q208" s="27">
        <f>IF(A208="","",IFERROR(INDEX(tbl_Onsite[Expected Revenue Ex GST],IFERROR(MATCH(A208&amp;"",tbl_Onsite[Job Number],0),MATCH(IFERROR(A208+0,A208),tbl_Onsite[Job Number],0))),IFERROR(INDEX(tbl_Production[Expected Revenue Ex GST],IFERROR(MATCH(A208&amp;"",tbl_Production[Job Number],0),MATCH(IFERROR(A208+0,A208),tbl_Production[Job Number],0))),IFERROR(INDEX(tbl_Consulting[Expected Revenue Ex GST],IFERROR(MATCH(A208&amp;"",tbl_Consulting[Job Number],0),MATCH(IFERROR(A208+0,A208),tbl_Consulting[Job Number],0))),0))))</f>
        <v/>
      </c>
      <c r="R208" s="27">
        <f>IF(A208="","",SUMIFS(tbl_Finance[Ex GST],tbl_Finance[Job Number],A208&amp;""))</f>
        <v/>
      </c>
      <c r="S208" s="27">
        <f>IF(A208="","",Q208-R208)</f>
        <v/>
      </c>
      <c r="T208" s="26">
        <f>IF(A208="","",IF(Q208=0,"No dept value",IF(ROUND(S208,2)=0,"Agrees",IF(S208&gt;0,"Dept higher - to invoice","Xero higher - check dept"))))</f>
        <v/>
      </c>
      <c r="U208" s="22" t="n"/>
      <c r="V208" s="22" t="n"/>
      <c r="W208" s="23" t="n"/>
      <c r="X208" s="23" t="n"/>
      <c r="Y208" s="22" t="n"/>
      <c r="Z208" s="22" t="n"/>
      <c r="AA208" s="26">
        <f>IF(COUNTA(C208,A208,B208,E208)=0,"",IF(C208="","No date - sits outside every month",IF(A208="","No job number",IF(H208="CHECK","Job number is not in the Xero job list",IF(G208="not set up yet","No department has set this job up - nothing can pull through",IF(D208="","No cost centre",IF(AND(U208="Y",B208=""),"Marked posted to Xero but has no invoice number",IF(N208="","Cost centre has no revenue GL on the Lists sheet",IF(T208="Xero higher - check dept","Invoiced more than the department says the job is worth","")))))))))</f>
        <v/>
      </c>
      <c r="AB208" s="28">
        <f>IF(A208="","",COUNTIFS(tbl_Finance[Job Number],A208&amp;"",tbl_Finance[Ex GST],"&lt;&gt;"))</f>
        <v/>
      </c>
      <c r="AC208" s="27">
        <f>IF(A208="","",SUMIFS(tbl_Finance[Ex GST],tbl_Finance[Job Number],A208&amp;""))</f>
        <v/>
      </c>
      <c r="AD208" s="27">
        <f>IF(A208="","",SUMIFS(tbl_Finance[Ex GST],tbl_Finance[Job Number],A208&amp;"",tbl_Finance[Xero Invoice No],"&lt;&gt;"))</f>
        <v/>
      </c>
      <c r="AE208" s="27">
        <f>IF(A208="","",AC208-AD208)</f>
        <v/>
      </c>
      <c r="AF208" s="26">
        <f>IF(A208="","",IFERROR(IF(INDEX(tbl_Onsite[Qwilr Quote],IFERROR(MATCH(A208&amp;"",tbl_Onsite[Job Number],0),MATCH(IFERROR(A208+0,A208),tbl_Onsite[Job Number],0)))="","",INDEX(tbl_Onsite[Qwilr Quote],IFERROR(MATCH(A208&amp;"",tbl_Onsite[Job Number],0),MATCH(IFERROR(A208+0,A208),tbl_Onsite[Job Number],0)))),IFERROR(IF(IF(INDEX(tbl_Production[Current RMS No],IFERROR(MATCH(A208&amp;"",tbl_Production[Job Number],0),MATCH(IFERROR(A208+0,A208),tbl_Production[Job Number],0)))="",INDEX(tbl_Production[Qwilr Quote],IFERROR(MATCH(A208&amp;"",tbl_Production[Job Number],0),MATCH(IFERROR(A208+0,A208),tbl_Production[Job Number],0))),INDEX(tbl_Production[Current RMS No],IFERROR(MATCH(A208&amp;"",tbl_Production[Job Number],0),MATCH(IFERROR(A208+0,A208),tbl_Production[Job Number],0))))="","",IF(INDEX(tbl_Production[Current RMS No],IFERROR(MATCH(A208&amp;"",tbl_Production[Job Number],0),MATCH(IFERROR(A208+0,A208),tbl_Production[Job Number],0)))="",INDEX(tbl_Production[Qwilr Quote],IFERROR(MATCH(A208&amp;"",tbl_Production[Job Number],0),MATCH(IFERROR(A208+0,A208),tbl_Production[Job Number],0))),INDEX(tbl_Production[Current RMS No],IFERROR(MATCH(A208&amp;"",tbl_Production[Job Number],0),MATCH(IFERROR(A208+0,A208),tbl_Production[Job Number],0))))),IFERROR(IF(INDEX(tbl_Consulting[Qwilr Quote],IFERROR(MATCH(A208&amp;"",tbl_Consulting[Job Number],0),MATCH(IFERROR(A208+0,A208),tbl_Consulting[Job Number],0)))="","",INDEX(tbl_Consulting[Qwilr Quote],IFERROR(MATCH(A208&amp;"",tbl_Consulting[Job Number],0),MATCH(IFERROR(A208+0,A208),tbl_Consulting[Job Number],0)))),""))))</f>
        <v/>
      </c>
      <c r="AG208" s="26">
        <f>IF(AF208="","",IF(AND(LEFT(AF208,4)&lt;&gt;"http",IF(G208="Production",set_RMSBase,set_QwilrBase)=""),"",HYPERLINK(IF(LEFT(AF208,4)="http",AF208,IF(G208="Production",set_RMSBase,set_QwilrBase)&amp;AF208),"Open")))</f>
        <v/>
      </c>
      <c r="AH208" s="27">
        <f>IF(A208="","",IFERROR(INDEX(tbl_Production[Total Expense],IFERROR(MATCH(A208&amp;"",tbl_Production[Job Number],0),MATCH(IFERROR(A208+0,A208),tbl_Production[Job Number],0))),IFERROR(INDEX(tbl_Consulting[Total Expense],IFERROR(MATCH(A208&amp;"",tbl_Consulting[Job Number],0),MATCH(IFERROR(A208+0,A208),tbl_Consulting[Job Number],0))),0)))</f>
        <v/>
      </c>
      <c r="AI208" s="27">
        <f>IF(A208="","",AC208-N(AH208))</f>
        <v/>
      </c>
      <c r="AJ208" s="29">
        <f>IFERROR(AI208/AC208,"")</f>
        <v/>
      </c>
      <c r="AK208" s="26">
        <f>IF(A208="","",IFERROR(IF(INDEX(tbl_Onsite[Notes],IFERROR(MATCH(A208&amp;"",tbl_Onsite[Job Number],0),MATCH(IFERROR(A208+0,A208),tbl_Onsite[Job Number],0)))="","",INDEX(tbl_Onsite[Notes],IFERROR(MATCH(A208&amp;"",tbl_Onsite[Job Number],0),MATCH(IFERROR(A208+0,A208),tbl_Onsite[Job Number],0)))),IFERROR(IF(INDEX(tbl_Production[Notes],IFERROR(MATCH(A208&amp;"",tbl_Production[Job Number],0),MATCH(IFERROR(A208+0,A208),tbl_Production[Job Number],0)))="","",INDEX(tbl_Production[Notes],IFERROR(MATCH(A208&amp;"",tbl_Production[Job Number],0),MATCH(IFERROR(A208+0,A208),tbl_Production[Job Number],0)))),IFERROR(IF(INDEX(tbl_Consulting[Notes],IFERROR(MATCH(A208&amp;"",tbl_Consulting[Job Number],0),MATCH(IFERROR(A208+0,A208),tbl_Consulting[Job Number],0)))="","",INDEX(tbl_Consulting[Notes],IFERROR(MATCH(A208&amp;"",tbl_Consulting[Job Number],0),MATCH(IFERROR(A208+0,A208),tbl_Consulting[Job Number],0)))),""))))</f>
        <v/>
      </c>
    </row>
    <row r="209" ht="15" customHeight="1">
      <c r="A209" s="22" t="n"/>
      <c r="B209" s="22" t="n"/>
      <c r="C209" s="23" t="n"/>
      <c r="D209" s="22" t="n"/>
      <c r="E209" s="24" t="n"/>
      <c r="F209" s="25">
        <f>IF(C209="","",EOMONTH(C209,0))</f>
        <v/>
      </c>
      <c r="G209" s="26">
        <f>IF(A209="","",IF(COUNTIF(tbl_Onsite[Job Number],A209&amp;"")&gt;0,"Onsite",IF(COUNTIF(tbl_Production[Job Number],A209&amp;"")&gt;0,"Production",IF(COUNTIF(tbl_Consulting[Job Number],A209&amp;"")&gt;0,"Consulting","not set up yet"))))</f>
        <v/>
      </c>
      <c r="H209" s="26">
        <f>IF(A209="","",IF(COUNTIF(lst_Jobs,A209&amp;"")&gt;0,"OK","CHECK"))</f>
        <v/>
      </c>
      <c r="I209" s="26">
        <f>IF(A209="","",IFERROR(INDEX(lst_JobName,MATCH(A209&amp;"",lst_Jobs,0)),""))</f>
        <v/>
      </c>
      <c r="J209" s="26">
        <f>IF(A209="","",IFERROR(IF(INDEX(tbl_Onsite[Client],IFERROR(MATCH(A209&amp;"",tbl_Onsite[Job Number],0),MATCH(IFERROR(A209+0,A209),tbl_Onsite[Job Number],0)))="","",INDEX(tbl_Onsite[Client],IFERROR(MATCH(A209&amp;"",tbl_Onsite[Job Number],0),MATCH(IFERROR(A209+0,A209),tbl_Onsite[Job Number],0)))),IFERROR(IF(INDEX(tbl_Production[Client],IFERROR(MATCH(A209&amp;"",tbl_Production[Job Number],0),MATCH(IFERROR(A209+0,A209),tbl_Production[Job Number],0)))="","",INDEX(tbl_Production[Client],IFERROR(MATCH(A209&amp;"",tbl_Production[Job Number],0),MATCH(IFERROR(A209+0,A209),tbl_Production[Job Number],0)))),IFERROR(IF(INDEX(tbl_Consulting[Client],IFERROR(MATCH(A209&amp;"",tbl_Consulting[Job Number],0),MATCH(IFERROR(A209+0,A209),tbl_Consulting[Job Number],0)))="","",INDEX(tbl_Consulting[Client],IFERROR(MATCH(A209&amp;"",tbl_Consulting[Job Number],0),MATCH(IFERROR(A209+0,A209),tbl_Consulting[Job Number],0)))),""))))</f>
        <v/>
      </c>
      <c r="K209" s="26">
        <f>IF(A209="","",IFERROR(IF(INDEX(tbl_Onsite[Job Description],IFERROR(MATCH(A209&amp;"",tbl_Onsite[Job Number],0),MATCH(IFERROR(A209+0,A209),tbl_Onsite[Job Number],0)))="","",INDEX(tbl_Onsite[Job Description],IFERROR(MATCH(A209&amp;"",tbl_Onsite[Job Number],0),MATCH(IFERROR(A209+0,A209),tbl_Onsite[Job Number],0)))),IFERROR(IF(INDEX(tbl_Production[Job Description],IFERROR(MATCH(A209&amp;"",tbl_Production[Job Number],0),MATCH(IFERROR(A209+0,A209),tbl_Production[Job Number],0)))="","",INDEX(tbl_Production[Job Description],IFERROR(MATCH(A209&amp;"",tbl_Production[Job Number],0),MATCH(IFERROR(A209+0,A209),tbl_Production[Job Number],0)))),IFERROR(IF(INDEX(tbl_Consulting[Job Description],IFERROR(MATCH(A209&amp;"",tbl_Consulting[Job Number],0),MATCH(IFERROR(A209+0,A209),tbl_Consulting[Job Number],0)))="","",INDEX(tbl_Consulting[Job Description],IFERROR(MATCH(A209&amp;"",tbl_Consulting[Job Number],0),MATCH(IFERROR(A209+0,A209),tbl_Consulting[Job Number],0)))),""))))</f>
        <v/>
      </c>
      <c r="L209" s="26">
        <f>IF(A209="","",IFERROR(IF(INDEX(tbl_Onsite[Invoice Type],IFERROR(MATCH(A209&amp;"",tbl_Onsite[Job Number],0),MATCH(IFERROR(A209+0,A209),tbl_Onsite[Job Number],0)))="","",INDEX(tbl_Onsite[Invoice Type],IFERROR(MATCH(A209&amp;"",tbl_Onsite[Job Number],0),MATCH(IFERROR(A209+0,A209),tbl_Onsite[Job Number],0)))),IFERROR(IF(INDEX(tbl_Production[Invoice Type],IFERROR(MATCH(A209&amp;"",tbl_Production[Job Number],0),MATCH(IFERROR(A209+0,A209),tbl_Production[Job Number],0)))="","",INDEX(tbl_Production[Invoice Type],IFERROR(MATCH(A209&amp;"",tbl_Production[Job Number],0),MATCH(IFERROR(A209+0,A209),tbl_Production[Job Number],0)))),IFERROR(IF(INDEX(tbl_Consulting[Invoice Type],IFERROR(MATCH(A209&amp;"",tbl_Consulting[Job Number],0),MATCH(IFERROR(A209+0,A209),tbl_Consulting[Job Number],0)))="","",INDEX(tbl_Consulting[Invoice Type],IFERROR(MATCH(A209&amp;"",tbl_Consulting[Job Number],0),MATCH(IFERROR(A209+0,A209),tbl_Consulting[Job Number],0)))),""))))</f>
        <v/>
      </c>
      <c r="M209" s="26">
        <f>IF(A209="","",IF(IFERROR(IF(INDEX(tbl_Onsite[Tax Code],IFERROR(MATCH(A209&amp;"",tbl_Onsite[Job Number],0),MATCH(IFERROR(A209+0,A209),tbl_Onsite[Job Number],0)))="","",INDEX(tbl_Onsite[Tax Code],IFERROR(MATCH(A209&amp;"",tbl_Onsite[Job Number],0),MATCH(IFERROR(A209+0,A209),tbl_Onsite[Job Number],0)))),IFERROR(IF(INDEX(tbl_Production[Tax Code],IFERROR(MATCH(A209&amp;"",tbl_Production[Job Number],0),MATCH(IFERROR(A209+0,A209),tbl_Production[Job Number],0)))="","",INDEX(tbl_Production[Tax Code],IFERROR(MATCH(A209&amp;"",tbl_Production[Job Number],0),MATCH(IFERROR(A209+0,A209),tbl_Production[Job Number],0)))),IFERROR(IF(INDEX(tbl_Consulting[Tax Code],IFERROR(MATCH(A209&amp;"",tbl_Consulting[Job Number],0),MATCH(IFERROR(A209+0,A209),tbl_Consulting[Job Number],0)))="","",INDEX(tbl_Consulting[Tax Code],IFERROR(MATCH(A209&amp;"",tbl_Consulting[Job Number],0),MATCH(IFERROR(A209+0,A209),tbl_Consulting[Job Number],0)))),"")))="","GST 10%",IFERROR(IF(INDEX(tbl_Onsite[Tax Code],IFERROR(MATCH(A209&amp;"",tbl_Onsite[Job Number],0),MATCH(IFERROR(A209+0,A209),tbl_Onsite[Job Number],0)))="","",INDEX(tbl_Onsite[Tax Code],IFERROR(MATCH(A209&amp;"",tbl_Onsite[Job Number],0),MATCH(IFERROR(A209+0,A209),tbl_Onsite[Job Number],0)))),IFERROR(IF(INDEX(tbl_Production[Tax Code],IFERROR(MATCH(A209&amp;"",tbl_Production[Job Number],0),MATCH(IFERROR(A209+0,A209),tbl_Production[Job Number],0)))="","",INDEX(tbl_Production[Tax Code],IFERROR(MATCH(A209&amp;"",tbl_Production[Job Number],0),MATCH(IFERROR(A209+0,A209),tbl_Production[Job Number],0)))),IFERROR(IF(INDEX(tbl_Consulting[Tax Code],IFERROR(MATCH(A209&amp;"",tbl_Consulting[Job Number],0),MATCH(IFERROR(A209+0,A209),tbl_Consulting[Job Number],0)))="","",INDEX(tbl_Consulting[Tax Code],IFERROR(MATCH(A209&amp;"",tbl_Consulting[Job Number],0),MATCH(IFERROR(A209+0,A209),tbl_Consulting[Job Number],0)))),"")))))</f>
        <v/>
      </c>
      <c r="N209" s="26">
        <f>IF(D209="","",IFERROR(INDEX(lst_CCtoGL,MATCH(D209,lst_CCforGL,0)),""))</f>
        <v/>
      </c>
      <c r="O209" s="27">
        <f>IF(E209="","",IF(M209="GST 10%",ROUND(E209*set_GSTRate,2),0))</f>
        <v/>
      </c>
      <c r="P209" s="27">
        <f>IF(E209="","",E209+O209)</f>
        <v/>
      </c>
      <c r="Q209" s="27">
        <f>IF(A209="","",IFERROR(INDEX(tbl_Onsite[Expected Revenue Ex GST],IFERROR(MATCH(A209&amp;"",tbl_Onsite[Job Number],0),MATCH(IFERROR(A209+0,A209),tbl_Onsite[Job Number],0))),IFERROR(INDEX(tbl_Production[Expected Revenue Ex GST],IFERROR(MATCH(A209&amp;"",tbl_Production[Job Number],0),MATCH(IFERROR(A209+0,A209),tbl_Production[Job Number],0))),IFERROR(INDEX(tbl_Consulting[Expected Revenue Ex GST],IFERROR(MATCH(A209&amp;"",tbl_Consulting[Job Number],0),MATCH(IFERROR(A209+0,A209),tbl_Consulting[Job Number],0))),0))))</f>
        <v/>
      </c>
      <c r="R209" s="27">
        <f>IF(A209="","",SUMIFS(tbl_Finance[Ex GST],tbl_Finance[Job Number],A209&amp;""))</f>
        <v/>
      </c>
      <c r="S209" s="27">
        <f>IF(A209="","",Q209-R209)</f>
        <v/>
      </c>
      <c r="T209" s="26">
        <f>IF(A209="","",IF(Q209=0,"No dept value",IF(ROUND(S209,2)=0,"Agrees",IF(S209&gt;0,"Dept higher - to invoice","Xero higher - check dept"))))</f>
        <v/>
      </c>
      <c r="U209" s="22" t="n"/>
      <c r="V209" s="22" t="n"/>
      <c r="W209" s="23" t="n"/>
      <c r="X209" s="23" t="n"/>
      <c r="Y209" s="22" t="n"/>
      <c r="Z209" s="22" t="n"/>
      <c r="AA209" s="26">
        <f>IF(COUNTA(C209,A209,B209,E209)=0,"",IF(C209="","No date - sits outside every month",IF(A209="","No job number",IF(H209="CHECK","Job number is not in the Xero job list",IF(G209="not set up yet","No department has set this job up - nothing can pull through",IF(D209="","No cost centre",IF(AND(U209="Y",B209=""),"Marked posted to Xero but has no invoice number",IF(N209="","Cost centre has no revenue GL on the Lists sheet",IF(T209="Xero higher - check dept","Invoiced more than the department says the job is worth","")))))))))</f>
        <v/>
      </c>
      <c r="AB209" s="28">
        <f>IF(A209="","",COUNTIFS(tbl_Finance[Job Number],A209&amp;"",tbl_Finance[Ex GST],"&lt;&gt;"))</f>
        <v/>
      </c>
      <c r="AC209" s="27">
        <f>IF(A209="","",SUMIFS(tbl_Finance[Ex GST],tbl_Finance[Job Number],A209&amp;""))</f>
        <v/>
      </c>
      <c r="AD209" s="27">
        <f>IF(A209="","",SUMIFS(tbl_Finance[Ex GST],tbl_Finance[Job Number],A209&amp;"",tbl_Finance[Xero Invoice No],"&lt;&gt;"))</f>
        <v/>
      </c>
      <c r="AE209" s="27">
        <f>IF(A209="","",AC209-AD209)</f>
        <v/>
      </c>
      <c r="AF209" s="26">
        <f>IF(A209="","",IFERROR(IF(INDEX(tbl_Onsite[Qwilr Quote],IFERROR(MATCH(A209&amp;"",tbl_Onsite[Job Number],0),MATCH(IFERROR(A209+0,A209),tbl_Onsite[Job Number],0)))="","",INDEX(tbl_Onsite[Qwilr Quote],IFERROR(MATCH(A209&amp;"",tbl_Onsite[Job Number],0),MATCH(IFERROR(A209+0,A209),tbl_Onsite[Job Number],0)))),IFERROR(IF(IF(INDEX(tbl_Production[Current RMS No],IFERROR(MATCH(A209&amp;"",tbl_Production[Job Number],0),MATCH(IFERROR(A209+0,A209),tbl_Production[Job Number],0)))="",INDEX(tbl_Production[Qwilr Quote],IFERROR(MATCH(A209&amp;"",tbl_Production[Job Number],0),MATCH(IFERROR(A209+0,A209),tbl_Production[Job Number],0))),INDEX(tbl_Production[Current RMS No],IFERROR(MATCH(A209&amp;"",tbl_Production[Job Number],0),MATCH(IFERROR(A209+0,A209),tbl_Production[Job Number],0))))="","",IF(INDEX(tbl_Production[Current RMS No],IFERROR(MATCH(A209&amp;"",tbl_Production[Job Number],0),MATCH(IFERROR(A209+0,A209),tbl_Production[Job Number],0)))="",INDEX(tbl_Production[Qwilr Quote],IFERROR(MATCH(A209&amp;"",tbl_Production[Job Number],0),MATCH(IFERROR(A209+0,A209),tbl_Production[Job Number],0))),INDEX(tbl_Production[Current RMS No],IFERROR(MATCH(A209&amp;"",tbl_Production[Job Number],0),MATCH(IFERROR(A209+0,A209),tbl_Production[Job Number],0))))),IFERROR(IF(INDEX(tbl_Consulting[Qwilr Quote],IFERROR(MATCH(A209&amp;"",tbl_Consulting[Job Number],0),MATCH(IFERROR(A209+0,A209),tbl_Consulting[Job Number],0)))="","",INDEX(tbl_Consulting[Qwilr Quote],IFERROR(MATCH(A209&amp;"",tbl_Consulting[Job Number],0),MATCH(IFERROR(A209+0,A209),tbl_Consulting[Job Number],0)))),""))))</f>
        <v/>
      </c>
      <c r="AG209" s="26">
        <f>IF(AF209="","",IF(AND(LEFT(AF209,4)&lt;&gt;"http",IF(G209="Production",set_RMSBase,set_QwilrBase)=""),"",HYPERLINK(IF(LEFT(AF209,4)="http",AF209,IF(G209="Production",set_RMSBase,set_QwilrBase)&amp;AF209),"Open")))</f>
        <v/>
      </c>
      <c r="AH209" s="27">
        <f>IF(A209="","",IFERROR(INDEX(tbl_Production[Total Expense],IFERROR(MATCH(A209&amp;"",tbl_Production[Job Number],0),MATCH(IFERROR(A209+0,A209),tbl_Production[Job Number],0))),IFERROR(INDEX(tbl_Consulting[Total Expense],IFERROR(MATCH(A209&amp;"",tbl_Consulting[Job Number],0),MATCH(IFERROR(A209+0,A209),tbl_Consulting[Job Number],0))),0)))</f>
        <v/>
      </c>
      <c r="AI209" s="27">
        <f>IF(A209="","",AC209-N(AH209))</f>
        <v/>
      </c>
      <c r="AJ209" s="29">
        <f>IFERROR(AI209/AC209,"")</f>
        <v/>
      </c>
      <c r="AK209" s="26">
        <f>IF(A209="","",IFERROR(IF(INDEX(tbl_Onsite[Notes],IFERROR(MATCH(A209&amp;"",tbl_Onsite[Job Number],0),MATCH(IFERROR(A209+0,A209),tbl_Onsite[Job Number],0)))="","",INDEX(tbl_Onsite[Notes],IFERROR(MATCH(A209&amp;"",tbl_Onsite[Job Number],0),MATCH(IFERROR(A209+0,A209),tbl_Onsite[Job Number],0)))),IFERROR(IF(INDEX(tbl_Production[Notes],IFERROR(MATCH(A209&amp;"",tbl_Production[Job Number],0),MATCH(IFERROR(A209+0,A209),tbl_Production[Job Number],0)))="","",INDEX(tbl_Production[Notes],IFERROR(MATCH(A209&amp;"",tbl_Production[Job Number],0),MATCH(IFERROR(A209+0,A209),tbl_Production[Job Number],0)))),IFERROR(IF(INDEX(tbl_Consulting[Notes],IFERROR(MATCH(A209&amp;"",tbl_Consulting[Job Number],0),MATCH(IFERROR(A209+0,A209),tbl_Consulting[Job Number],0)))="","",INDEX(tbl_Consulting[Notes],IFERROR(MATCH(A209&amp;"",tbl_Consulting[Job Number],0),MATCH(IFERROR(A209+0,A209),tbl_Consulting[Job Number],0)))),""))))</f>
        <v/>
      </c>
    </row>
    <row r="210" ht="15" customHeight="1">
      <c r="A210" s="22" t="n"/>
      <c r="B210" s="22" t="n"/>
      <c r="C210" s="23" t="n"/>
      <c r="D210" s="22" t="n"/>
      <c r="E210" s="24" t="n"/>
      <c r="F210" s="25">
        <f>IF(C210="","",EOMONTH(C210,0))</f>
        <v/>
      </c>
      <c r="G210" s="26">
        <f>IF(A210="","",IF(COUNTIF(tbl_Onsite[Job Number],A210&amp;"")&gt;0,"Onsite",IF(COUNTIF(tbl_Production[Job Number],A210&amp;"")&gt;0,"Production",IF(COUNTIF(tbl_Consulting[Job Number],A210&amp;"")&gt;0,"Consulting","not set up yet"))))</f>
        <v/>
      </c>
      <c r="H210" s="26">
        <f>IF(A210="","",IF(COUNTIF(lst_Jobs,A210&amp;"")&gt;0,"OK","CHECK"))</f>
        <v/>
      </c>
      <c r="I210" s="26">
        <f>IF(A210="","",IFERROR(INDEX(lst_JobName,MATCH(A210&amp;"",lst_Jobs,0)),""))</f>
        <v/>
      </c>
      <c r="J210" s="26">
        <f>IF(A210="","",IFERROR(IF(INDEX(tbl_Onsite[Client],IFERROR(MATCH(A210&amp;"",tbl_Onsite[Job Number],0),MATCH(IFERROR(A210+0,A210),tbl_Onsite[Job Number],0)))="","",INDEX(tbl_Onsite[Client],IFERROR(MATCH(A210&amp;"",tbl_Onsite[Job Number],0),MATCH(IFERROR(A210+0,A210),tbl_Onsite[Job Number],0)))),IFERROR(IF(INDEX(tbl_Production[Client],IFERROR(MATCH(A210&amp;"",tbl_Production[Job Number],0),MATCH(IFERROR(A210+0,A210),tbl_Production[Job Number],0)))="","",INDEX(tbl_Production[Client],IFERROR(MATCH(A210&amp;"",tbl_Production[Job Number],0),MATCH(IFERROR(A210+0,A210),tbl_Production[Job Number],0)))),IFERROR(IF(INDEX(tbl_Consulting[Client],IFERROR(MATCH(A210&amp;"",tbl_Consulting[Job Number],0),MATCH(IFERROR(A210+0,A210),tbl_Consulting[Job Number],0)))="","",INDEX(tbl_Consulting[Client],IFERROR(MATCH(A210&amp;"",tbl_Consulting[Job Number],0),MATCH(IFERROR(A210+0,A210),tbl_Consulting[Job Number],0)))),""))))</f>
        <v/>
      </c>
      <c r="K210" s="26">
        <f>IF(A210="","",IFERROR(IF(INDEX(tbl_Onsite[Job Description],IFERROR(MATCH(A210&amp;"",tbl_Onsite[Job Number],0),MATCH(IFERROR(A210+0,A210),tbl_Onsite[Job Number],0)))="","",INDEX(tbl_Onsite[Job Description],IFERROR(MATCH(A210&amp;"",tbl_Onsite[Job Number],0),MATCH(IFERROR(A210+0,A210),tbl_Onsite[Job Number],0)))),IFERROR(IF(INDEX(tbl_Production[Job Description],IFERROR(MATCH(A210&amp;"",tbl_Production[Job Number],0),MATCH(IFERROR(A210+0,A210),tbl_Production[Job Number],0)))="","",INDEX(tbl_Production[Job Description],IFERROR(MATCH(A210&amp;"",tbl_Production[Job Number],0),MATCH(IFERROR(A210+0,A210),tbl_Production[Job Number],0)))),IFERROR(IF(INDEX(tbl_Consulting[Job Description],IFERROR(MATCH(A210&amp;"",tbl_Consulting[Job Number],0),MATCH(IFERROR(A210+0,A210),tbl_Consulting[Job Number],0)))="","",INDEX(tbl_Consulting[Job Description],IFERROR(MATCH(A210&amp;"",tbl_Consulting[Job Number],0),MATCH(IFERROR(A210+0,A210),tbl_Consulting[Job Number],0)))),""))))</f>
        <v/>
      </c>
      <c r="L210" s="26">
        <f>IF(A210="","",IFERROR(IF(INDEX(tbl_Onsite[Invoice Type],IFERROR(MATCH(A210&amp;"",tbl_Onsite[Job Number],0),MATCH(IFERROR(A210+0,A210),tbl_Onsite[Job Number],0)))="","",INDEX(tbl_Onsite[Invoice Type],IFERROR(MATCH(A210&amp;"",tbl_Onsite[Job Number],0),MATCH(IFERROR(A210+0,A210),tbl_Onsite[Job Number],0)))),IFERROR(IF(INDEX(tbl_Production[Invoice Type],IFERROR(MATCH(A210&amp;"",tbl_Production[Job Number],0),MATCH(IFERROR(A210+0,A210),tbl_Production[Job Number],0)))="","",INDEX(tbl_Production[Invoice Type],IFERROR(MATCH(A210&amp;"",tbl_Production[Job Number],0),MATCH(IFERROR(A210+0,A210),tbl_Production[Job Number],0)))),IFERROR(IF(INDEX(tbl_Consulting[Invoice Type],IFERROR(MATCH(A210&amp;"",tbl_Consulting[Job Number],0),MATCH(IFERROR(A210+0,A210),tbl_Consulting[Job Number],0)))="","",INDEX(tbl_Consulting[Invoice Type],IFERROR(MATCH(A210&amp;"",tbl_Consulting[Job Number],0),MATCH(IFERROR(A210+0,A210),tbl_Consulting[Job Number],0)))),""))))</f>
        <v/>
      </c>
      <c r="M210" s="26">
        <f>IF(A210="","",IF(IFERROR(IF(INDEX(tbl_Onsite[Tax Code],IFERROR(MATCH(A210&amp;"",tbl_Onsite[Job Number],0),MATCH(IFERROR(A210+0,A210),tbl_Onsite[Job Number],0)))="","",INDEX(tbl_Onsite[Tax Code],IFERROR(MATCH(A210&amp;"",tbl_Onsite[Job Number],0),MATCH(IFERROR(A210+0,A210),tbl_Onsite[Job Number],0)))),IFERROR(IF(INDEX(tbl_Production[Tax Code],IFERROR(MATCH(A210&amp;"",tbl_Production[Job Number],0),MATCH(IFERROR(A210+0,A210),tbl_Production[Job Number],0)))="","",INDEX(tbl_Production[Tax Code],IFERROR(MATCH(A210&amp;"",tbl_Production[Job Number],0),MATCH(IFERROR(A210+0,A210),tbl_Production[Job Number],0)))),IFERROR(IF(INDEX(tbl_Consulting[Tax Code],IFERROR(MATCH(A210&amp;"",tbl_Consulting[Job Number],0),MATCH(IFERROR(A210+0,A210),tbl_Consulting[Job Number],0)))="","",INDEX(tbl_Consulting[Tax Code],IFERROR(MATCH(A210&amp;"",tbl_Consulting[Job Number],0),MATCH(IFERROR(A210+0,A210),tbl_Consulting[Job Number],0)))),"")))="","GST 10%",IFERROR(IF(INDEX(tbl_Onsite[Tax Code],IFERROR(MATCH(A210&amp;"",tbl_Onsite[Job Number],0),MATCH(IFERROR(A210+0,A210),tbl_Onsite[Job Number],0)))="","",INDEX(tbl_Onsite[Tax Code],IFERROR(MATCH(A210&amp;"",tbl_Onsite[Job Number],0),MATCH(IFERROR(A210+0,A210),tbl_Onsite[Job Number],0)))),IFERROR(IF(INDEX(tbl_Production[Tax Code],IFERROR(MATCH(A210&amp;"",tbl_Production[Job Number],0),MATCH(IFERROR(A210+0,A210),tbl_Production[Job Number],0)))="","",INDEX(tbl_Production[Tax Code],IFERROR(MATCH(A210&amp;"",tbl_Production[Job Number],0),MATCH(IFERROR(A210+0,A210),tbl_Production[Job Number],0)))),IFERROR(IF(INDEX(tbl_Consulting[Tax Code],IFERROR(MATCH(A210&amp;"",tbl_Consulting[Job Number],0),MATCH(IFERROR(A210+0,A210),tbl_Consulting[Job Number],0)))="","",INDEX(tbl_Consulting[Tax Code],IFERROR(MATCH(A210&amp;"",tbl_Consulting[Job Number],0),MATCH(IFERROR(A210+0,A210),tbl_Consulting[Job Number],0)))),"")))))</f>
        <v/>
      </c>
      <c r="N210" s="26">
        <f>IF(D210="","",IFERROR(INDEX(lst_CCtoGL,MATCH(D210,lst_CCforGL,0)),""))</f>
        <v/>
      </c>
      <c r="O210" s="27">
        <f>IF(E210="","",IF(M210="GST 10%",ROUND(E210*set_GSTRate,2),0))</f>
        <v/>
      </c>
      <c r="P210" s="27">
        <f>IF(E210="","",E210+O210)</f>
        <v/>
      </c>
      <c r="Q210" s="27">
        <f>IF(A210="","",IFERROR(INDEX(tbl_Onsite[Expected Revenue Ex GST],IFERROR(MATCH(A210&amp;"",tbl_Onsite[Job Number],0),MATCH(IFERROR(A210+0,A210),tbl_Onsite[Job Number],0))),IFERROR(INDEX(tbl_Production[Expected Revenue Ex GST],IFERROR(MATCH(A210&amp;"",tbl_Production[Job Number],0),MATCH(IFERROR(A210+0,A210),tbl_Production[Job Number],0))),IFERROR(INDEX(tbl_Consulting[Expected Revenue Ex GST],IFERROR(MATCH(A210&amp;"",tbl_Consulting[Job Number],0),MATCH(IFERROR(A210+0,A210),tbl_Consulting[Job Number],0))),0))))</f>
        <v/>
      </c>
      <c r="R210" s="27">
        <f>IF(A210="","",SUMIFS(tbl_Finance[Ex GST],tbl_Finance[Job Number],A210&amp;""))</f>
        <v/>
      </c>
      <c r="S210" s="27">
        <f>IF(A210="","",Q210-R210)</f>
        <v/>
      </c>
      <c r="T210" s="26">
        <f>IF(A210="","",IF(Q210=0,"No dept value",IF(ROUND(S210,2)=0,"Agrees",IF(S210&gt;0,"Dept higher - to invoice","Xero higher - check dept"))))</f>
        <v/>
      </c>
      <c r="U210" s="22" t="n"/>
      <c r="V210" s="22" t="n"/>
      <c r="W210" s="23" t="n"/>
      <c r="X210" s="23" t="n"/>
      <c r="Y210" s="22" t="n"/>
      <c r="Z210" s="22" t="n"/>
      <c r="AA210" s="26">
        <f>IF(COUNTA(C210,A210,B210,E210)=0,"",IF(C210="","No date - sits outside every month",IF(A210="","No job number",IF(H210="CHECK","Job number is not in the Xero job list",IF(G210="not set up yet","No department has set this job up - nothing can pull through",IF(D210="","No cost centre",IF(AND(U210="Y",B210=""),"Marked posted to Xero but has no invoice number",IF(N210="","Cost centre has no revenue GL on the Lists sheet",IF(T210="Xero higher - check dept","Invoiced more than the department says the job is worth","")))))))))</f>
        <v/>
      </c>
      <c r="AB210" s="28">
        <f>IF(A210="","",COUNTIFS(tbl_Finance[Job Number],A210&amp;"",tbl_Finance[Ex GST],"&lt;&gt;"))</f>
        <v/>
      </c>
      <c r="AC210" s="27">
        <f>IF(A210="","",SUMIFS(tbl_Finance[Ex GST],tbl_Finance[Job Number],A210&amp;""))</f>
        <v/>
      </c>
      <c r="AD210" s="27">
        <f>IF(A210="","",SUMIFS(tbl_Finance[Ex GST],tbl_Finance[Job Number],A210&amp;"",tbl_Finance[Xero Invoice No],"&lt;&gt;"))</f>
        <v/>
      </c>
      <c r="AE210" s="27">
        <f>IF(A210="","",AC210-AD210)</f>
        <v/>
      </c>
      <c r="AF210" s="26">
        <f>IF(A210="","",IFERROR(IF(INDEX(tbl_Onsite[Qwilr Quote],IFERROR(MATCH(A210&amp;"",tbl_Onsite[Job Number],0),MATCH(IFERROR(A210+0,A210),tbl_Onsite[Job Number],0)))="","",INDEX(tbl_Onsite[Qwilr Quote],IFERROR(MATCH(A210&amp;"",tbl_Onsite[Job Number],0),MATCH(IFERROR(A210+0,A210),tbl_Onsite[Job Number],0)))),IFERROR(IF(IF(INDEX(tbl_Production[Current RMS No],IFERROR(MATCH(A210&amp;"",tbl_Production[Job Number],0),MATCH(IFERROR(A210+0,A210),tbl_Production[Job Number],0)))="",INDEX(tbl_Production[Qwilr Quote],IFERROR(MATCH(A210&amp;"",tbl_Production[Job Number],0),MATCH(IFERROR(A210+0,A210),tbl_Production[Job Number],0))),INDEX(tbl_Production[Current RMS No],IFERROR(MATCH(A210&amp;"",tbl_Production[Job Number],0),MATCH(IFERROR(A210+0,A210),tbl_Production[Job Number],0))))="","",IF(INDEX(tbl_Production[Current RMS No],IFERROR(MATCH(A210&amp;"",tbl_Production[Job Number],0),MATCH(IFERROR(A210+0,A210),tbl_Production[Job Number],0)))="",INDEX(tbl_Production[Qwilr Quote],IFERROR(MATCH(A210&amp;"",tbl_Production[Job Number],0),MATCH(IFERROR(A210+0,A210),tbl_Production[Job Number],0))),INDEX(tbl_Production[Current RMS No],IFERROR(MATCH(A210&amp;"",tbl_Production[Job Number],0),MATCH(IFERROR(A210+0,A210),tbl_Production[Job Number],0))))),IFERROR(IF(INDEX(tbl_Consulting[Qwilr Quote],IFERROR(MATCH(A210&amp;"",tbl_Consulting[Job Number],0),MATCH(IFERROR(A210+0,A210),tbl_Consulting[Job Number],0)))="","",INDEX(tbl_Consulting[Qwilr Quote],IFERROR(MATCH(A210&amp;"",tbl_Consulting[Job Number],0),MATCH(IFERROR(A210+0,A210),tbl_Consulting[Job Number],0)))),""))))</f>
        <v/>
      </c>
      <c r="AG210" s="26">
        <f>IF(AF210="","",IF(AND(LEFT(AF210,4)&lt;&gt;"http",IF(G210="Production",set_RMSBase,set_QwilrBase)=""),"",HYPERLINK(IF(LEFT(AF210,4)="http",AF210,IF(G210="Production",set_RMSBase,set_QwilrBase)&amp;AF210),"Open")))</f>
        <v/>
      </c>
      <c r="AH210" s="27">
        <f>IF(A210="","",IFERROR(INDEX(tbl_Production[Total Expense],IFERROR(MATCH(A210&amp;"",tbl_Production[Job Number],0),MATCH(IFERROR(A210+0,A210),tbl_Production[Job Number],0))),IFERROR(INDEX(tbl_Consulting[Total Expense],IFERROR(MATCH(A210&amp;"",tbl_Consulting[Job Number],0),MATCH(IFERROR(A210+0,A210),tbl_Consulting[Job Number],0))),0)))</f>
        <v/>
      </c>
      <c r="AI210" s="27">
        <f>IF(A210="","",AC210-N(AH210))</f>
        <v/>
      </c>
      <c r="AJ210" s="29">
        <f>IFERROR(AI210/AC210,"")</f>
        <v/>
      </c>
      <c r="AK210" s="26">
        <f>IF(A210="","",IFERROR(IF(INDEX(tbl_Onsite[Notes],IFERROR(MATCH(A210&amp;"",tbl_Onsite[Job Number],0),MATCH(IFERROR(A210+0,A210),tbl_Onsite[Job Number],0)))="","",INDEX(tbl_Onsite[Notes],IFERROR(MATCH(A210&amp;"",tbl_Onsite[Job Number],0),MATCH(IFERROR(A210+0,A210),tbl_Onsite[Job Number],0)))),IFERROR(IF(INDEX(tbl_Production[Notes],IFERROR(MATCH(A210&amp;"",tbl_Production[Job Number],0),MATCH(IFERROR(A210+0,A210),tbl_Production[Job Number],0)))="","",INDEX(tbl_Production[Notes],IFERROR(MATCH(A210&amp;"",tbl_Production[Job Number],0),MATCH(IFERROR(A210+0,A210),tbl_Production[Job Number],0)))),IFERROR(IF(INDEX(tbl_Consulting[Notes],IFERROR(MATCH(A210&amp;"",tbl_Consulting[Job Number],0),MATCH(IFERROR(A210+0,A210),tbl_Consulting[Job Number],0)))="","",INDEX(tbl_Consulting[Notes],IFERROR(MATCH(A210&amp;"",tbl_Consulting[Job Number],0),MATCH(IFERROR(A210+0,A210),tbl_Consulting[Job Number],0)))),""))))</f>
        <v/>
      </c>
    </row>
    <row r="211" ht="15" customHeight="1">
      <c r="A211" s="22" t="n"/>
      <c r="B211" s="22" t="n"/>
      <c r="C211" s="23" t="n"/>
      <c r="D211" s="22" t="n"/>
      <c r="E211" s="24" t="n"/>
      <c r="F211" s="25">
        <f>IF(C211="","",EOMONTH(C211,0))</f>
        <v/>
      </c>
      <c r="G211" s="26">
        <f>IF(A211="","",IF(COUNTIF(tbl_Onsite[Job Number],A211&amp;"")&gt;0,"Onsite",IF(COUNTIF(tbl_Production[Job Number],A211&amp;"")&gt;0,"Production",IF(COUNTIF(tbl_Consulting[Job Number],A211&amp;"")&gt;0,"Consulting","not set up yet"))))</f>
        <v/>
      </c>
      <c r="H211" s="26">
        <f>IF(A211="","",IF(COUNTIF(lst_Jobs,A211&amp;"")&gt;0,"OK","CHECK"))</f>
        <v/>
      </c>
      <c r="I211" s="26">
        <f>IF(A211="","",IFERROR(INDEX(lst_JobName,MATCH(A211&amp;"",lst_Jobs,0)),""))</f>
        <v/>
      </c>
      <c r="J211" s="26">
        <f>IF(A211="","",IFERROR(IF(INDEX(tbl_Onsite[Client],IFERROR(MATCH(A211&amp;"",tbl_Onsite[Job Number],0),MATCH(IFERROR(A211+0,A211),tbl_Onsite[Job Number],0)))="","",INDEX(tbl_Onsite[Client],IFERROR(MATCH(A211&amp;"",tbl_Onsite[Job Number],0),MATCH(IFERROR(A211+0,A211),tbl_Onsite[Job Number],0)))),IFERROR(IF(INDEX(tbl_Production[Client],IFERROR(MATCH(A211&amp;"",tbl_Production[Job Number],0),MATCH(IFERROR(A211+0,A211),tbl_Production[Job Number],0)))="","",INDEX(tbl_Production[Client],IFERROR(MATCH(A211&amp;"",tbl_Production[Job Number],0),MATCH(IFERROR(A211+0,A211),tbl_Production[Job Number],0)))),IFERROR(IF(INDEX(tbl_Consulting[Client],IFERROR(MATCH(A211&amp;"",tbl_Consulting[Job Number],0),MATCH(IFERROR(A211+0,A211),tbl_Consulting[Job Number],0)))="","",INDEX(tbl_Consulting[Client],IFERROR(MATCH(A211&amp;"",tbl_Consulting[Job Number],0),MATCH(IFERROR(A211+0,A211),tbl_Consulting[Job Number],0)))),""))))</f>
        <v/>
      </c>
      <c r="K211" s="26">
        <f>IF(A211="","",IFERROR(IF(INDEX(tbl_Onsite[Job Description],IFERROR(MATCH(A211&amp;"",tbl_Onsite[Job Number],0),MATCH(IFERROR(A211+0,A211),tbl_Onsite[Job Number],0)))="","",INDEX(tbl_Onsite[Job Description],IFERROR(MATCH(A211&amp;"",tbl_Onsite[Job Number],0),MATCH(IFERROR(A211+0,A211),tbl_Onsite[Job Number],0)))),IFERROR(IF(INDEX(tbl_Production[Job Description],IFERROR(MATCH(A211&amp;"",tbl_Production[Job Number],0),MATCH(IFERROR(A211+0,A211),tbl_Production[Job Number],0)))="","",INDEX(tbl_Production[Job Description],IFERROR(MATCH(A211&amp;"",tbl_Production[Job Number],0),MATCH(IFERROR(A211+0,A211),tbl_Production[Job Number],0)))),IFERROR(IF(INDEX(tbl_Consulting[Job Description],IFERROR(MATCH(A211&amp;"",tbl_Consulting[Job Number],0),MATCH(IFERROR(A211+0,A211),tbl_Consulting[Job Number],0)))="","",INDEX(tbl_Consulting[Job Description],IFERROR(MATCH(A211&amp;"",tbl_Consulting[Job Number],0),MATCH(IFERROR(A211+0,A211),tbl_Consulting[Job Number],0)))),""))))</f>
        <v/>
      </c>
      <c r="L211" s="26">
        <f>IF(A211="","",IFERROR(IF(INDEX(tbl_Onsite[Invoice Type],IFERROR(MATCH(A211&amp;"",tbl_Onsite[Job Number],0),MATCH(IFERROR(A211+0,A211),tbl_Onsite[Job Number],0)))="","",INDEX(tbl_Onsite[Invoice Type],IFERROR(MATCH(A211&amp;"",tbl_Onsite[Job Number],0),MATCH(IFERROR(A211+0,A211),tbl_Onsite[Job Number],0)))),IFERROR(IF(INDEX(tbl_Production[Invoice Type],IFERROR(MATCH(A211&amp;"",tbl_Production[Job Number],0),MATCH(IFERROR(A211+0,A211),tbl_Production[Job Number],0)))="","",INDEX(tbl_Production[Invoice Type],IFERROR(MATCH(A211&amp;"",tbl_Production[Job Number],0),MATCH(IFERROR(A211+0,A211),tbl_Production[Job Number],0)))),IFERROR(IF(INDEX(tbl_Consulting[Invoice Type],IFERROR(MATCH(A211&amp;"",tbl_Consulting[Job Number],0),MATCH(IFERROR(A211+0,A211),tbl_Consulting[Job Number],0)))="","",INDEX(tbl_Consulting[Invoice Type],IFERROR(MATCH(A211&amp;"",tbl_Consulting[Job Number],0),MATCH(IFERROR(A211+0,A211),tbl_Consulting[Job Number],0)))),""))))</f>
        <v/>
      </c>
      <c r="M211" s="26">
        <f>IF(A211="","",IF(IFERROR(IF(INDEX(tbl_Onsite[Tax Code],IFERROR(MATCH(A211&amp;"",tbl_Onsite[Job Number],0),MATCH(IFERROR(A211+0,A211),tbl_Onsite[Job Number],0)))="","",INDEX(tbl_Onsite[Tax Code],IFERROR(MATCH(A211&amp;"",tbl_Onsite[Job Number],0),MATCH(IFERROR(A211+0,A211),tbl_Onsite[Job Number],0)))),IFERROR(IF(INDEX(tbl_Production[Tax Code],IFERROR(MATCH(A211&amp;"",tbl_Production[Job Number],0),MATCH(IFERROR(A211+0,A211),tbl_Production[Job Number],0)))="","",INDEX(tbl_Production[Tax Code],IFERROR(MATCH(A211&amp;"",tbl_Production[Job Number],0),MATCH(IFERROR(A211+0,A211),tbl_Production[Job Number],0)))),IFERROR(IF(INDEX(tbl_Consulting[Tax Code],IFERROR(MATCH(A211&amp;"",tbl_Consulting[Job Number],0),MATCH(IFERROR(A211+0,A211),tbl_Consulting[Job Number],0)))="","",INDEX(tbl_Consulting[Tax Code],IFERROR(MATCH(A211&amp;"",tbl_Consulting[Job Number],0),MATCH(IFERROR(A211+0,A211),tbl_Consulting[Job Number],0)))),"")))="","GST 10%",IFERROR(IF(INDEX(tbl_Onsite[Tax Code],IFERROR(MATCH(A211&amp;"",tbl_Onsite[Job Number],0),MATCH(IFERROR(A211+0,A211),tbl_Onsite[Job Number],0)))="","",INDEX(tbl_Onsite[Tax Code],IFERROR(MATCH(A211&amp;"",tbl_Onsite[Job Number],0),MATCH(IFERROR(A211+0,A211),tbl_Onsite[Job Number],0)))),IFERROR(IF(INDEX(tbl_Production[Tax Code],IFERROR(MATCH(A211&amp;"",tbl_Production[Job Number],0),MATCH(IFERROR(A211+0,A211),tbl_Production[Job Number],0)))="","",INDEX(tbl_Production[Tax Code],IFERROR(MATCH(A211&amp;"",tbl_Production[Job Number],0),MATCH(IFERROR(A211+0,A211),tbl_Production[Job Number],0)))),IFERROR(IF(INDEX(tbl_Consulting[Tax Code],IFERROR(MATCH(A211&amp;"",tbl_Consulting[Job Number],0),MATCH(IFERROR(A211+0,A211),tbl_Consulting[Job Number],0)))="","",INDEX(tbl_Consulting[Tax Code],IFERROR(MATCH(A211&amp;"",tbl_Consulting[Job Number],0),MATCH(IFERROR(A211+0,A211),tbl_Consulting[Job Number],0)))),"")))))</f>
        <v/>
      </c>
      <c r="N211" s="26">
        <f>IF(D211="","",IFERROR(INDEX(lst_CCtoGL,MATCH(D211,lst_CCforGL,0)),""))</f>
        <v/>
      </c>
      <c r="O211" s="27">
        <f>IF(E211="","",IF(M211="GST 10%",ROUND(E211*set_GSTRate,2),0))</f>
        <v/>
      </c>
      <c r="P211" s="27">
        <f>IF(E211="","",E211+O211)</f>
        <v/>
      </c>
      <c r="Q211" s="27">
        <f>IF(A211="","",IFERROR(INDEX(tbl_Onsite[Expected Revenue Ex GST],IFERROR(MATCH(A211&amp;"",tbl_Onsite[Job Number],0),MATCH(IFERROR(A211+0,A211),tbl_Onsite[Job Number],0))),IFERROR(INDEX(tbl_Production[Expected Revenue Ex GST],IFERROR(MATCH(A211&amp;"",tbl_Production[Job Number],0),MATCH(IFERROR(A211+0,A211),tbl_Production[Job Number],0))),IFERROR(INDEX(tbl_Consulting[Expected Revenue Ex GST],IFERROR(MATCH(A211&amp;"",tbl_Consulting[Job Number],0),MATCH(IFERROR(A211+0,A211),tbl_Consulting[Job Number],0))),0))))</f>
        <v/>
      </c>
      <c r="R211" s="27">
        <f>IF(A211="","",SUMIFS(tbl_Finance[Ex GST],tbl_Finance[Job Number],A211&amp;""))</f>
        <v/>
      </c>
      <c r="S211" s="27">
        <f>IF(A211="","",Q211-R211)</f>
        <v/>
      </c>
      <c r="T211" s="26">
        <f>IF(A211="","",IF(Q211=0,"No dept value",IF(ROUND(S211,2)=0,"Agrees",IF(S211&gt;0,"Dept higher - to invoice","Xero higher - check dept"))))</f>
        <v/>
      </c>
      <c r="U211" s="22" t="n"/>
      <c r="V211" s="22" t="n"/>
      <c r="W211" s="23" t="n"/>
      <c r="X211" s="23" t="n"/>
      <c r="Y211" s="22" t="n"/>
      <c r="Z211" s="22" t="n"/>
      <c r="AA211" s="26">
        <f>IF(COUNTA(C211,A211,B211,E211)=0,"",IF(C211="","No date - sits outside every month",IF(A211="","No job number",IF(H211="CHECK","Job number is not in the Xero job list",IF(G211="not set up yet","No department has set this job up - nothing can pull through",IF(D211="","No cost centre",IF(AND(U211="Y",B211=""),"Marked posted to Xero but has no invoice number",IF(N211="","Cost centre has no revenue GL on the Lists sheet",IF(T211="Xero higher - check dept","Invoiced more than the department says the job is worth","")))))))))</f>
        <v/>
      </c>
      <c r="AB211" s="28">
        <f>IF(A211="","",COUNTIFS(tbl_Finance[Job Number],A211&amp;"",tbl_Finance[Ex GST],"&lt;&gt;"))</f>
        <v/>
      </c>
      <c r="AC211" s="27">
        <f>IF(A211="","",SUMIFS(tbl_Finance[Ex GST],tbl_Finance[Job Number],A211&amp;""))</f>
        <v/>
      </c>
      <c r="AD211" s="27">
        <f>IF(A211="","",SUMIFS(tbl_Finance[Ex GST],tbl_Finance[Job Number],A211&amp;"",tbl_Finance[Xero Invoice No],"&lt;&gt;"))</f>
        <v/>
      </c>
      <c r="AE211" s="27">
        <f>IF(A211="","",AC211-AD211)</f>
        <v/>
      </c>
      <c r="AF211" s="26">
        <f>IF(A211="","",IFERROR(IF(INDEX(tbl_Onsite[Qwilr Quote],IFERROR(MATCH(A211&amp;"",tbl_Onsite[Job Number],0),MATCH(IFERROR(A211+0,A211),tbl_Onsite[Job Number],0)))="","",INDEX(tbl_Onsite[Qwilr Quote],IFERROR(MATCH(A211&amp;"",tbl_Onsite[Job Number],0),MATCH(IFERROR(A211+0,A211),tbl_Onsite[Job Number],0)))),IFERROR(IF(IF(INDEX(tbl_Production[Current RMS No],IFERROR(MATCH(A211&amp;"",tbl_Production[Job Number],0),MATCH(IFERROR(A211+0,A211),tbl_Production[Job Number],0)))="",INDEX(tbl_Production[Qwilr Quote],IFERROR(MATCH(A211&amp;"",tbl_Production[Job Number],0),MATCH(IFERROR(A211+0,A211),tbl_Production[Job Number],0))),INDEX(tbl_Production[Current RMS No],IFERROR(MATCH(A211&amp;"",tbl_Production[Job Number],0),MATCH(IFERROR(A211+0,A211),tbl_Production[Job Number],0))))="","",IF(INDEX(tbl_Production[Current RMS No],IFERROR(MATCH(A211&amp;"",tbl_Production[Job Number],0),MATCH(IFERROR(A211+0,A211),tbl_Production[Job Number],0)))="",INDEX(tbl_Production[Qwilr Quote],IFERROR(MATCH(A211&amp;"",tbl_Production[Job Number],0),MATCH(IFERROR(A211+0,A211),tbl_Production[Job Number],0))),INDEX(tbl_Production[Current RMS No],IFERROR(MATCH(A211&amp;"",tbl_Production[Job Number],0),MATCH(IFERROR(A211+0,A211),tbl_Production[Job Number],0))))),IFERROR(IF(INDEX(tbl_Consulting[Qwilr Quote],IFERROR(MATCH(A211&amp;"",tbl_Consulting[Job Number],0),MATCH(IFERROR(A211+0,A211),tbl_Consulting[Job Number],0)))="","",INDEX(tbl_Consulting[Qwilr Quote],IFERROR(MATCH(A211&amp;"",tbl_Consulting[Job Number],0),MATCH(IFERROR(A211+0,A211),tbl_Consulting[Job Number],0)))),""))))</f>
        <v/>
      </c>
      <c r="AG211" s="26">
        <f>IF(AF211="","",IF(AND(LEFT(AF211,4)&lt;&gt;"http",IF(G211="Production",set_RMSBase,set_QwilrBase)=""),"",HYPERLINK(IF(LEFT(AF211,4)="http",AF211,IF(G211="Production",set_RMSBase,set_QwilrBase)&amp;AF211),"Open")))</f>
        <v/>
      </c>
      <c r="AH211" s="27">
        <f>IF(A211="","",IFERROR(INDEX(tbl_Production[Total Expense],IFERROR(MATCH(A211&amp;"",tbl_Production[Job Number],0),MATCH(IFERROR(A211+0,A211),tbl_Production[Job Number],0))),IFERROR(INDEX(tbl_Consulting[Total Expense],IFERROR(MATCH(A211&amp;"",tbl_Consulting[Job Number],0),MATCH(IFERROR(A211+0,A211),tbl_Consulting[Job Number],0))),0)))</f>
        <v/>
      </c>
      <c r="AI211" s="27">
        <f>IF(A211="","",AC211-N(AH211))</f>
        <v/>
      </c>
      <c r="AJ211" s="29">
        <f>IFERROR(AI211/AC211,"")</f>
        <v/>
      </c>
      <c r="AK211" s="26">
        <f>IF(A211="","",IFERROR(IF(INDEX(tbl_Onsite[Notes],IFERROR(MATCH(A211&amp;"",tbl_Onsite[Job Number],0),MATCH(IFERROR(A211+0,A211),tbl_Onsite[Job Number],0)))="","",INDEX(tbl_Onsite[Notes],IFERROR(MATCH(A211&amp;"",tbl_Onsite[Job Number],0),MATCH(IFERROR(A211+0,A211),tbl_Onsite[Job Number],0)))),IFERROR(IF(INDEX(tbl_Production[Notes],IFERROR(MATCH(A211&amp;"",tbl_Production[Job Number],0),MATCH(IFERROR(A211+0,A211),tbl_Production[Job Number],0)))="","",INDEX(tbl_Production[Notes],IFERROR(MATCH(A211&amp;"",tbl_Production[Job Number],0),MATCH(IFERROR(A211+0,A211),tbl_Production[Job Number],0)))),IFERROR(IF(INDEX(tbl_Consulting[Notes],IFERROR(MATCH(A211&amp;"",tbl_Consulting[Job Number],0),MATCH(IFERROR(A211+0,A211),tbl_Consulting[Job Number],0)))="","",INDEX(tbl_Consulting[Notes],IFERROR(MATCH(A211&amp;"",tbl_Consulting[Job Number],0),MATCH(IFERROR(A211+0,A211),tbl_Consulting[Job Number],0)))),""))))</f>
        <v/>
      </c>
    </row>
    <row r="212" ht="15" customHeight="1">
      <c r="A212" s="22" t="n"/>
      <c r="B212" s="22" t="n"/>
      <c r="C212" s="23" t="n"/>
      <c r="D212" s="22" t="n"/>
      <c r="E212" s="24" t="n"/>
      <c r="F212" s="25">
        <f>IF(C212="","",EOMONTH(C212,0))</f>
        <v/>
      </c>
      <c r="G212" s="26">
        <f>IF(A212="","",IF(COUNTIF(tbl_Onsite[Job Number],A212&amp;"")&gt;0,"Onsite",IF(COUNTIF(tbl_Production[Job Number],A212&amp;"")&gt;0,"Production",IF(COUNTIF(tbl_Consulting[Job Number],A212&amp;"")&gt;0,"Consulting","not set up yet"))))</f>
        <v/>
      </c>
      <c r="H212" s="26">
        <f>IF(A212="","",IF(COUNTIF(lst_Jobs,A212&amp;"")&gt;0,"OK","CHECK"))</f>
        <v/>
      </c>
      <c r="I212" s="26">
        <f>IF(A212="","",IFERROR(INDEX(lst_JobName,MATCH(A212&amp;"",lst_Jobs,0)),""))</f>
        <v/>
      </c>
      <c r="J212" s="26">
        <f>IF(A212="","",IFERROR(IF(INDEX(tbl_Onsite[Client],IFERROR(MATCH(A212&amp;"",tbl_Onsite[Job Number],0),MATCH(IFERROR(A212+0,A212),tbl_Onsite[Job Number],0)))="","",INDEX(tbl_Onsite[Client],IFERROR(MATCH(A212&amp;"",tbl_Onsite[Job Number],0),MATCH(IFERROR(A212+0,A212),tbl_Onsite[Job Number],0)))),IFERROR(IF(INDEX(tbl_Production[Client],IFERROR(MATCH(A212&amp;"",tbl_Production[Job Number],0),MATCH(IFERROR(A212+0,A212),tbl_Production[Job Number],0)))="","",INDEX(tbl_Production[Client],IFERROR(MATCH(A212&amp;"",tbl_Production[Job Number],0),MATCH(IFERROR(A212+0,A212),tbl_Production[Job Number],0)))),IFERROR(IF(INDEX(tbl_Consulting[Client],IFERROR(MATCH(A212&amp;"",tbl_Consulting[Job Number],0),MATCH(IFERROR(A212+0,A212),tbl_Consulting[Job Number],0)))="","",INDEX(tbl_Consulting[Client],IFERROR(MATCH(A212&amp;"",tbl_Consulting[Job Number],0),MATCH(IFERROR(A212+0,A212),tbl_Consulting[Job Number],0)))),""))))</f>
        <v/>
      </c>
      <c r="K212" s="26">
        <f>IF(A212="","",IFERROR(IF(INDEX(tbl_Onsite[Job Description],IFERROR(MATCH(A212&amp;"",tbl_Onsite[Job Number],0),MATCH(IFERROR(A212+0,A212),tbl_Onsite[Job Number],0)))="","",INDEX(tbl_Onsite[Job Description],IFERROR(MATCH(A212&amp;"",tbl_Onsite[Job Number],0),MATCH(IFERROR(A212+0,A212),tbl_Onsite[Job Number],0)))),IFERROR(IF(INDEX(tbl_Production[Job Description],IFERROR(MATCH(A212&amp;"",tbl_Production[Job Number],0),MATCH(IFERROR(A212+0,A212),tbl_Production[Job Number],0)))="","",INDEX(tbl_Production[Job Description],IFERROR(MATCH(A212&amp;"",tbl_Production[Job Number],0),MATCH(IFERROR(A212+0,A212),tbl_Production[Job Number],0)))),IFERROR(IF(INDEX(tbl_Consulting[Job Description],IFERROR(MATCH(A212&amp;"",tbl_Consulting[Job Number],0),MATCH(IFERROR(A212+0,A212),tbl_Consulting[Job Number],0)))="","",INDEX(tbl_Consulting[Job Description],IFERROR(MATCH(A212&amp;"",tbl_Consulting[Job Number],0),MATCH(IFERROR(A212+0,A212),tbl_Consulting[Job Number],0)))),""))))</f>
        <v/>
      </c>
      <c r="L212" s="26">
        <f>IF(A212="","",IFERROR(IF(INDEX(tbl_Onsite[Invoice Type],IFERROR(MATCH(A212&amp;"",tbl_Onsite[Job Number],0),MATCH(IFERROR(A212+0,A212),tbl_Onsite[Job Number],0)))="","",INDEX(tbl_Onsite[Invoice Type],IFERROR(MATCH(A212&amp;"",tbl_Onsite[Job Number],0),MATCH(IFERROR(A212+0,A212),tbl_Onsite[Job Number],0)))),IFERROR(IF(INDEX(tbl_Production[Invoice Type],IFERROR(MATCH(A212&amp;"",tbl_Production[Job Number],0),MATCH(IFERROR(A212+0,A212),tbl_Production[Job Number],0)))="","",INDEX(tbl_Production[Invoice Type],IFERROR(MATCH(A212&amp;"",tbl_Production[Job Number],0),MATCH(IFERROR(A212+0,A212),tbl_Production[Job Number],0)))),IFERROR(IF(INDEX(tbl_Consulting[Invoice Type],IFERROR(MATCH(A212&amp;"",tbl_Consulting[Job Number],0),MATCH(IFERROR(A212+0,A212),tbl_Consulting[Job Number],0)))="","",INDEX(tbl_Consulting[Invoice Type],IFERROR(MATCH(A212&amp;"",tbl_Consulting[Job Number],0),MATCH(IFERROR(A212+0,A212),tbl_Consulting[Job Number],0)))),""))))</f>
        <v/>
      </c>
      <c r="M212" s="26">
        <f>IF(A212="","",IF(IFERROR(IF(INDEX(tbl_Onsite[Tax Code],IFERROR(MATCH(A212&amp;"",tbl_Onsite[Job Number],0),MATCH(IFERROR(A212+0,A212),tbl_Onsite[Job Number],0)))="","",INDEX(tbl_Onsite[Tax Code],IFERROR(MATCH(A212&amp;"",tbl_Onsite[Job Number],0),MATCH(IFERROR(A212+0,A212),tbl_Onsite[Job Number],0)))),IFERROR(IF(INDEX(tbl_Production[Tax Code],IFERROR(MATCH(A212&amp;"",tbl_Production[Job Number],0),MATCH(IFERROR(A212+0,A212),tbl_Production[Job Number],0)))="","",INDEX(tbl_Production[Tax Code],IFERROR(MATCH(A212&amp;"",tbl_Production[Job Number],0),MATCH(IFERROR(A212+0,A212),tbl_Production[Job Number],0)))),IFERROR(IF(INDEX(tbl_Consulting[Tax Code],IFERROR(MATCH(A212&amp;"",tbl_Consulting[Job Number],0),MATCH(IFERROR(A212+0,A212),tbl_Consulting[Job Number],0)))="","",INDEX(tbl_Consulting[Tax Code],IFERROR(MATCH(A212&amp;"",tbl_Consulting[Job Number],0),MATCH(IFERROR(A212+0,A212),tbl_Consulting[Job Number],0)))),"")))="","GST 10%",IFERROR(IF(INDEX(tbl_Onsite[Tax Code],IFERROR(MATCH(A212&amp;"",tbl_Onsite[Job Number],0),MATCH(IFERROR(A212+0,A212),tbl_Onsite[Job Number],0)))="","",INDEX(tbl_Onsite[Tax Code],IFERROR(MATCH(A212&amp;"",tbl_Onsite[Job Number],0),MATCH(IFERROR(A212+0,A212),tbl_Onsite[Job Number],0)))),IFERROR(IF(INDEX(tbl_Production[Tax Code],IFERROR(MATCH(A212&amp;"",tbl_Production[Job Number],0),MATCH(IFERROR(A212+0,A212),tbl_Production[Job Number],0)))="","",INDEX(tbl_Production[Tax Code],IFERROR(MATCH(A212&amp;"",tbl_Production[Job Number],0),MATCH(IFERROR(A212+0,A212),tbl_Production[Job Number],0)))),IFERROR(IF(INDEX(tbl_Consulting[Tax Code],IFERROR(MATCH(A212&amp;"",tbl_Consulting[Job Number],0),MATCH(IFERROR(A212+0,A212),tbl_Consulting[Job Number],0)))="","",INDEX(tbl_Consulting[Tax Code],IFERROR(MATCH(A212&amp;"",tbl_Consulting[Job Number],0),MATCH(IFERROR(A212+0,A212),tbl_Consulting[Job Number],0)))),"")))))</f>
        <v/>
      </c>
      <c r="N212" s="26">
        <f>IF(D212="","",IFERROR(INDEX(lst_CCtoGL,MATCH(D212,lst_CCforGL,0)),""))</f>
        <v/>
      </c>
      <c r="O212" s="27">
        <f>IF(E212="","",IF(M212="GST 10%",ROUND(E212*set_GSTRate,2),0))</f>
        <v/>
      </c>
      <c r="P212" s="27">
        <f>IF(E212="","",E212+O212)</f>
        <v/>
      </c>
      <c r="Q212" s="27">
        <f>IF(A212="","",IFERROR(INDEX(tbl_Onsite[Expected Revenue Ex GST],IFERROR(MATCH(A212&amp;"",tbl_Onsite[Job Number],0),MATCH(IFERROR(A212+0,A212),tbl_Onsite[Job Number],0))),IFERROR(INDEX(tbl_Production[Expected Revenue Ex GST],IFERROR(MATCH(A212&amp;"",tbl_Production[Job Number],0),MATCH(IFERROR(A212+0,A212),tbl_Production[Job Number],0))),IFERROR(INDEX(tbl_Consulting[Expected Revenue Ex GST],IFERROR(MATCH(A212&amp;"",tbl_Consulting[Job Number],0),MATCH(IFERROR(A212+0,A212),tbl_Consulting[Job Number],0))),0))))</f>
        <v/>
      </c>
      <c r="R212" s="27">
        <f>IF(A212="","",SUMIFS(tbl_Finance[Ex GST],tbl_Finance[Job Number],A212&amp;""))</f>
        <v/>
      </c>
      <c r="S212" s="27">
        <f>IF(A212="","",Q212-R212)</f>
        <v/>
      </c>
      <c r="T212" s="26">
        <f>IF(A212="","",IF(Q212=0,"No dept value",IF(ROUND(S212,2)=0,"Agrees",IF(S212&gt;0,"Dept higher - to invoice","Xero higher - check dept"))))</f>
        <v/>
      </c>
      <c r="U212" s="22" t="n"/>
      <c r="V212" s="22" t="n"/>
      <c r="W212" s="23" t="n"/>
      <c r="X212" s="23" t="n"/>
      <c r="Y212" s="22" t="n"/>
      <c r="Z212" s="22" t="n"/>
      <c r="AA212" s="26">
        <f>IF(COUNTA(C212,A212,B212,E212)=0,"",IF(C212="","No date - sits outside every month",IF(A212="","No job number",IF(H212="CHECK","Job number is not in the Xero job list",IF(G212="not set up yet","No department has set this job up - nothing can pull through",IF(D212="","No cost centre",IF(AND(U212="Y",B212=""),"Marked posted to Xero but has no invoice number",IF(N212="","Cost centre has no revenue GL on the Lists sheet",IF(T212="Xero higher - check dept","Invoiced more than the department says the job is worth","")))))))))</f>
        <v/>
      </c>
      <c r="AB212" s="28">
        <f>IF(A212="","",COUNTIFS(tbl_Finance[Job Number],A212&amp;"",tbl_Finance[Ex GST],"&lt;&gt;"))</f>
        <v/>
      </c>
      <c r="AC212" s="27">
        <f>IF(A212="","",SUMIFS(tbl_Finance[Ex GST],tbl_Finance[Job Number],A212&amp;""))</f>
        <v/>
      </c>
      <c r="AD212" s="27">
        <f>IF(A212="","",SUMIFS(tbl_Finance[Ex GST],tbl_Finance[Job Number],A212&amp;"",tbl_Finance[Xero Invoice No],"&lt;&gt;"))</f>
        <v/>
      </c>
      <c r="AE212" s="27">
        <f>IF(A212="","",AC212-AD212)</f>
        <v/>
      </c>
      <c r="AF212" s="26">
        <f>IF(A212="","",IFERROR(IF(INDEX(tbl_Onsite[Qwilr Quote],IFERROR(MATCH(A212&amp;"",tbl_Onsite[Job Number],0),MATCH(IFERROR(A212+0,A212),tbl_Onsite[Job Number],0)))="","",INDEX(tbl_Onsite[Qwilr Quote],IFERROR(MATCH(A212&amp;"",tbl_Onsite[Job Number],0),MATCH(IFERROR(A212+0,A212),tbl_Onsite[Job Number],0)))),IFERROR(IF(IF(INDEX(tbl_Production[Current RMS No],IFERROR(MATCH(A212&amp;"",tbl_Production[Job Number],0),MATCH(IFERROR(A212+0,A212),tbl_Production[Job Number],0)))="",INDEX(tbl_Production[Qwilr Quote],IFERROR(MATCH(A212&amp;"",tbl_Production[Job Number],0),MATCH(IFERROR(A212+0,A212),tbl_Production[Job Number],0))),INDEX(tbl_Production[Current RMS No],IFERROR(MATCH(A212&amp;"",tbl_Production[Job Number],0),MATCH(IFERROR(A212+0,A212),tbl_Production[Job Number],0))))="","",IF(INDEX(tbl_Production[Current RMS No],IFERROR(MATCH(A212&amp;"",tbl_Production[Job Number],0),MATCH(IFERROR(A212+0,A212),tbl_Production[Job Number],0)))="",INDEX(tbl_Production[Qwilr Quote],IFERROR(MATCH(A212&amp;"",tbl_Production[Job Number],0),MATCH(IFERROR(A212+0,A212),tbl_Production[Job Number],0))),INDEX(tbl_Production[Current RMS No],IFERROR(MATCH(A212&amp;"",tbl_Production[Job Number],0),MATCH(IFERROR(A212+0,A212),tbl_Production[Job Number],0))))),IFERROR(IF(INDEX(tbl_Consulting[Qwilr Quote],IFERROR(MATCH(A212&amp;"",tbl_Consulting[Job Number],0),MATCH(IFERROR(A212+0,A212),tbl_Consulting[Job Number],0)))="","",INDEX(tbl_Consulting[Qwilr Quote],IFERROR(MATCH(A212&amp;"",tbl_Consulting[Job Number],0),MATCH(IFERROR(A212+0,A212),tbl_Consulting[Job Number],0)))),""))))</f>
        <v/>
      </c>
      <c r="AG212" s="26">
        <f>IF(AF212="","",IF(AND(LEFT(AF212,4)&lt;&gt;"http",IF(G212="Production",set_RMSBase,set_QwilrBase)=""),"",HYPERLINK(IF(LEFT(AF212,4)="http",AF212,IF(G212="Production",set_RMSBase,set_QwilrBase)&amp;AF212),"Open")))</f>
        <v/>
      </c>
      <c r="AH212" s="27">
        <f>IF(A212="","",IFERROR(INDEX(tbl_Production[Total Expense],IFERROR(MATCH(A212&amp;"",tbl_Production[Job Number],0),MATCH(IFERROR(A212+0,A212),tbl_Production[Job Number],0))),IFERROR(INDEX(tbl_Consulting[Total Expense],IFERROR(MATCH(A212&amp;"",tbl_Consulting[Job Number],0),MATCH(IFERROR(A212+0,A212),tbl_Consulting[Job Number],0))),0)))</f>
        <v/>
      </c>
      <c r="AI212" s="27">
        <f>IF(A212="","",AC212-N(AH212))</f>
        <v/>
      </c>
      <c r="AJ212" s="29">
        <f>IFERROR(AI212/AC212,"")</f>
        <v/>
      </c>
      <c r="AK212" s="26">
        <f>IF(A212="","",IFERROR(IF(INDEX(tbl_Onsite[Notes],IFERROR(MATCH(A212&amp;"",tbl_Onsite[Job Number],0),MATCH(IFERROR(A212+0,A212),tbl_Onsite[Job Number],0)))="","",INDEX(tbl_Onsite[Notes],IFERROR(MATCH(A212&amp;"",tbl_Onsite[Job Number],0),MATCH(IFERROR(A212+0,A212),tbl_Onsite[Job Number],0)))),IFERROR(IF(INDEX(tbl_Production[Notes],IFERROR(MATCH(A212&amp;"",tbl_Production[Job Number],0),MATCH(IFERROR(A212+0,A212),tbl_Production[Job Number],0)))="","",INDEX(tbl_Production[Notes],IFERROR(MATCH(A212&amp;"",tbl_Production[Job Number],0),MATCH(IFERROR(A212+0,A212),tbl_Production[Job Number],0)))),IFERROR(IF(INDEX(tbl_Consulting[Notes],IFERROR(MATCH(A212&amp;"",tbl_Consulting[Job Number],0),MATCH(IFERROR(A212+0,A212),tbl_Consulting[Job Number],0)))="","",INDEX(tbl_Consulting[Notes],IFERROR(MATCH(A212&amp;"",tbl_Consulting[Job Number],0),MATCH(IFERROR(A212+0,A212),tbl_Consulting[Job Number],0)))),""))))</f>
        <v/>
      </c>
    </row>
    <row r="213" ht="15" customHeight="1">
      <c r="A213" s="22" t="n"/>
      <c r="B213" s="22" t="n"/>
      <c r="C213" s="23" t="n"/>
      <c r="D213" s="22" t="n"/>
      <c r="E213" s="24" t="n"/>
      <c r="F213" s="25">
        <f>IF(C213="","",EOMONTH(C213,0))</f>
        <v/>
      </c>
      <c r="G213" s="26">
        <f>IF(A213="","",IF(COUNTIF(tbl_Onsite[Job Number],A213&amp;"")&gt;0,"Onsite",IF(COUNTIF(tbl_Production[Job Number],A213&amp;"")&gt;0,"Production",IF(COUNTIF(tbl_Consulting[Job Number],A213&amp;"")&gt;0,"Consulting","not set up yet"))))</f>
        <v/>
      </c>
      <c r="H213" s="26">
        <f>IF(A213="","",IF(COUNTIF(lst_Jobs,A213&amp;"")&gt;0,"OK","CHECK"))</f>
        <v/>
      </c>
      <c r="I213" s="26">
        <f>IF(A213="","",IFERROR(INDEX(lst_JobName,MATCH(A213&amp;"",lst_Jobs,0)),""))</f>
        <v/>
      </c>
      <c r="J213" s="26">
        <f>IF(A213="","",IFERROR(IF(INDEX(tbl_Onsite[Client],IFERROR(MATCH(A213&amp;"",tbl_Onsite[Job Number],0),MATCH(IFERROR(A213+0,A213),tbl_Onsite[Job Number],0)))="","",INDEX(tbl_Onsite[Client],IFERROR(MATCH(A213&amp;"",tbl_Onsite[Job Number],0),MATCH(IFERROR(A213+0,A213),tbl_Onsite[Job Number],0)))),IFERROR(IF(INDEX(tbl_Production[Client],IFERROR(MATCH(A213&amp;"",tbl_Production[Job Number],0),MATCH(IFERROR(A213+0,A213),tbl_Production[Job Number],0)))="","",INDEX(tbl_Production[Client],IFERROR(MATCH(A213&amp;"",tbl_Production[Job Number],0),MATCH(IFERROR(A213+0,A213),tbl_Production[Job Number],0)))),IFERROR(IF(INDEX(tbl_Consulting[Client],IFERROR(MATCH(A213&amp;"",tbl_Consulting[Job Number],0),MATCH(IFERROR(A213+0,A213),tbl_Consulting[Job Number],0)))="","",INDEX(tbl_Consulting[Client],IFERROR(MATCH(A213&amp;"",tbl_Consulting[Job Number],0),MATCH(IFERROR(A213+0,A213),tbl_Consulting[Job Number],0)))),""))))</f>
        <v/>
      </c>
      <c r="K213" s="26">
        <f>IF(A213="","",IFERROR(IF(INDEX(tbl_Onsite[Job Description],IFERROR(MATCH(A213&amp;"",tbl_Onsite[Job Number],0),MATCH(IFERROR(A213+0,A213),tbl_Onsite[Job Number],0)))="","",INDEX(tbl_Onsite[Job Description],IFERROR(MATCH(A213&amp;"",tbl_Onsite[Job Number],0),MATCH(IFERROR(A213+0,A213),tbl_Onsite[Job Number],0)))),IFERROR(IF(INDEX(tbl_Production[Job Description],IFERROR(MATCH(A213&amp;"",tbl_Production[Job Number],0),MATCH(IFERROR(A213+0,A213),tbl_Production[Job Number],0)))="","",INDEX(tbl_Production[Job Description],IFERROR(MATCH(A213&amp;"",tbl_Production[Job Number],0),MATCH(IFERROR(A213+0,A213),tbl_Production[Job Number],0)))),IFERROR(IF(INDEX(tbl_Consulting[Job Description],IFERROR(MATCH(A213&amp;"",tbl_Consulting[Job Number],0),MATCH(IFERROR(A213+0,A213),tbl_Consulting[Job Number],0)))="","",INDEX(tbl_Consulting[Job Description],IFERROR(MATCH(A213&amp;"",tbl_Consulting[Job Number],0),MATCH(IFERROR(A213+0,A213),tbl_Consulting[Job Number],0)))),""))))</f>
        <v/>
      </c>
      <c r="L213" s="26">
        <f>IF(A213="","",IFERROR(IF(INDEX(tbl_Onsite[Invoice Type],IFERROR(MATCH(A213&amp;"",tbl_Onsite[Job Number],0),MATCH(IFERROR(A213+0,A213),tbl_Onsite[Job Number],0)))="","",INDEX(tbl_Onsite[Invoice Type],IFERROR(MATCH(A213&amp;"",tbl_Onsite[Job Number],0),MATCH(IFERROR(A213+0,A213),tbl_Onsite[Job Number],0)))),IFERROR(IF(INDEX(tbl_Production[Invoice Type],IFERROR(MATCH(A213&amp;"",tbl_Production[Job Number],0),MATCH(IFERROR(A213+0,A213),tbl_Production[Job Number],0)))="","",INDEX(tbl_Production[Invoice Type],IFERROR(MATCH(A213&amp;"",tbl_Production[Job Number],0),MATCH(IFERROR(A213+0,A213),tbl_Production[Job Number],0)))),IFERROR(IF(INDEX(tbl_Consulting[Invoice Type],IFERROR(MATCH(A213&amp;"",tbl_Consulting[Job Number],0),MATCH(IFERROR(A213+0,A213),tbl_Consulting[Job Number],0)))="","",INDEX(tbl_Consulting[Invoice Type],IFERROR(MATCH(A213&amp;"",tbl_Consulting[Job Number],0),MATCH(IFERROR(A213+0,A213),tbl_Consulting[Job Number],0)))),""))))</f>
        <v/>
      </c>
      <c r="M213" s="26">
        <f>IF(A213="","",IF(IFERROR(IF(INDEX(tbl_Onsite[Tax Code],IFERROR(MATCH(A213&amp;"",tbl_Onsite[Job Number],0),MATCH(IFERROR(A213+0,A213),tbl_Onsite[Job Number],0)))="","",INDEX(tbl_Onsite[Tax Code],IFERROR(MATCH(A213&amp;"",tbl_Onsite[Job Number],0),MATCH(IFERROR(A213+0,A213),tbl_Onsite[Job Number],0)))),IFERROR(IF(INDEX(tbl_Production[Tax Code],IFERROR(MATCH(A213&amp;"",tbl_Production[Job Number],0),MATCH(IFERROR(A213+0,A213),tbl_Production[Job Number],0)))="","",INDEX(tbl_Production[Tax Code],IFERROR(MATCH(A213&amp;"",tbl_Production[Job Number],0),MATCH(IFERROR(A213+0,A213),tbl_Production[Job Number],0)))),IFERROR(IF(INDEX(tbl_Consulting[Tax Code],IFERROR(MATCH(A213&amp;"",tbl_Consulting[Job Number],0),MATCH(IFERROR(A213+0,A213),tbl_Consulting[Job Number],0)))="","",INDEX(tbl_Consulting[Tax Code],IFERROR(MATCH(A213&amp;"",tbl_Consulting[Job Number],0),MATCH(IFERROR(A213+0,A213),tbl_Consulting[Job Number],0)))),"")))="","GST 10%",IFERROR(IF(INDEX(tbl_Onsite[Tax Code],IFERROR(MATCH(A213&amp;"",tbl_Onsite[Job Number],0),MATCH(IFERROR(A213+0,A213),tbl_Onsite[Job Number],0)))="","",INDEX(tbl_Onsite[Tax Code],IFERROR(MATCH(A213&amp;"",tbl_Onsite[Job Number],0),MATCH(IFERROR(A213+0,A213),tbl_Onsite[Job Number],0)))),IFERROR(IF(INDEX(tbl_Production[Tax Code],IFERROR(MATCH(A213&amp;"",tbl_Production[Job Number],0),MATCH(IFERROR(A213+0,A213),tbl_Production[Job Number],0)))="","",INDEX(tbl_Production[Tax Code],IFERROR(MATCH(A213&amp;"",tbl_Production[Job Number],0),MATCH(IFERROR(A213+0,A213),tbl_Production[Job Number],0)))),IFERROR(IF(INDEX(tbl_Consulting[Tax Code],IFERROR(MATCH(A213&amp;"",tbl_Consulting[Job Number],0),MATCH(IFERROR(A213+0,A213),tbl_Consulting[Job Number],0)))="","",INDEX(tbl_Consulting[Tax Code],IFERROR(MATCH(A213&amp;"",tbl_Consulting[Job Number],0),MATCH(IFERROR(A213+0,A213),tbl_Consulting[Job Number],0)))),"")))))</f>
        <v/>
      </c>
      <c r="N213" s="26">
        <f>IF(D213="","",IFERROR(INDEX(lst_CCtoGL,MATCH(D213,lst_CCforGL,0)),""))</f>
        <v/>
      </c>
      <c r="O213" s="27">
        <f>IF(E213="","",IF(M213="GST 10%",ROUND(E213*set_GSTRate,2),0))</f>
        <v/>
      </c>
      <c r="P213" s="27">
        <f>IF(E213="","",E213+O213)</f>
        <v/>
      </c>
      <c r="Q213" s="27">
        <f>IF(A213="","",IFERROR(INDEX(tbl_Onsite[Expected Revenue Ex GST],IFERROR(MATCH(A213&amp;"",tbl_Onsite[Job Number],0),MATCH(IFERROR(A213+0,A213),tbl_Onsite[Job Number],0))),IFERROR(INDEX(tbl_Production[Expected Revenue Ex GST],IFERROR(MATCH(A213&amp;"",tbl_Production[Job Number],0),MATCH(IFERROR(A213+0,A213),tbl_Production[Job Number],0))),IFERROR(INDEX(tbl_Consulting[Expected Revenue Ex GST],IFERROR(MATCH(A213&amp;"",tbl_Consulting[Job Number],0),MATCH(IFERROR(A213+0,A213),tbl_Consulting[Job Number],0))),0))))</f>
        <v/>
      </c>
      <c r="R213" s="27">
        <f>IF(A213="","",SUMIFS(tbl_Finance[Ex GST],tbl_Finance[Job Number],A213&amp;""))</f>
        <v/>
      </c>
      <c r="S213" s="27">
        <f>IF(A213="","",Q213-R213)</f>
        <v/>
      </c>
      <c r="T213" s="26">
        <f>IF(A213="","",IF(Q213=0,"No dept value",IF(ROUND(S213,2)=0,"Agrees",IF(S213&gt;0,"Dept higher - to invoice","Xero higher - check dept"))))</f>
        <v/>
      </c>
      <c r="U213" s="22" t="n"/>
      <c r="V213" s="22" t="n"/>
      <c r="W213" s="23" t="n"/>
      <c r="X213" s="23" t="n"/>
      <c r="Y213" s="22" t="n"/>
      <c r="Z213" s="22" t="n"/>
      <c r="AA213" s="26">
        <f>IF(COUNTA(C213,A213,B213,E213)=0,"",IF(C213="","No date - sits outside every month",IF(A213="","No job number",IF(H213="CHECK","Job number is not in the Xero job list",IF(G213="not set up yet","No department has set this job up - nothing can pull through",IF(D213="","No cost centre",IF(AND(U213="Y",B213=""),"Marked posted to Xero but has no invoice number",IF(N213="","Cost centre has no revenue GL on the Lists sheet",IF(T213="Xero higher - check dept","Invoiced more than the department says the job is worth","")))))))))</f>
        <v/>
      </c>
      <c r="AB213" s="28">
        <f>IF(A213="","",COUNTIFS(tbl_Finance[Job Number],A213&amp;"",tbl_Finance[Ex GST],"&lt;&gt;"))</f>
        <v/>
      </c>
      <c r="AC213" s="27">
        <f>IF(A213="","",SUMIFS(tbl_Finance[Ex GST],tbl_Finance[Job Number],A213&amp;""))</f>
        <v/>
      </c>
      <c r="AD213" s="27">
        <f>IF(A213="","",SUMIFS(tbl_Finance[Ex GST],tbl_Finance[Job Number],A213&amp;"",tbl_Finance[Xero Invoice No],"&lt;&gt;"))</f>
        <v/>
      </c>
      <c r="AE213" s="27">
        <f>IF(A213="","",AC213-AD213)</f>
        <v/>
      </c>
      <c r="AF213" s="26">
        <f>IF(A213="","",IFERROR(IF(INDEX(tbl_Onsite[Qwilr Quote],IFERROR(MATCH(A213&amp;"",tbl_Onsite[Job Number],0),MATCH(IFERROR(A213+0,A213),tbl_Onsite[Job Number],0)))="","",INDEX(tbl_Onsite[Qwilr Quote],IFERROR(MATCH(A213&amp;"",tbl_Onsite[Job Number],0),MATCH(IFERROR(A213+0,A213),tbl_Onsite[Job Number],0)))),IFERROR(IF(IF(INDEX(tbl_Production[Current RMS No],IFERROR(MATCH(A213&amp;"",tbl_Production[Job Number],0),MATCH(IFERROR(A213+0,A213),tbl_Production[Job Number],0)))="",INDEX(tbl_Production[Qwilr Quote],IFERROR(MATCH(A213&amp;"",tbl_Production[Job Number],0),MATCH(IFERROR(A213+0,A213),tbl_Production[Job Number],0))),INDEX(tbl_Production[Current RMS No],IFERROR(MATCH(A213&amp;"",tbl_Production[Job Number],0),MATCH(IFERROR(A213+0,A213),tbl_Production[Job Number],0))))="","",IF(INDEX(tbl_Production[Current RMS No],IFERROR(MATCH(A213&amp;"",tbl_Production[Job Number],0),MATCH(IFERROR(A213+0,A213),tbl_Production[Job Number],0)))="",INDEX(tbl_Production[Qwilr Quote],IFERROR(MATCH(A213&amp;"",tbl_Production[Job Number],0),MATCH(IFERROR(A213+0,A213),tbl_Production[Job Number],0))),INDEX(tbl_Production[Current RMS No],IFERROR(MATCH(A213&amp;"",tbl_Production[Job Number],0),MATCH(IFERROR(A213+0,A213),tbl_Production[Job Number],0))))),IFERROR(IF(INDEX(tbl_Consulting[Qwilr Quote],IFERROR(MATCH(A213&amp;"",tbl_Consulting[Job Number],0),MATCH(IFERROR(A213+0,A213),tbl_Consulting[Job Number],0)))="","",INDEX(tbl_Consulting[Qwilr Quote],IFERROR(MATCH(A213&amp;"",tbl_Consulting[Job Number],0),MATCH(IFERROR(A213+0,A213),tbl_Consulting[Job Number],0)))),""))))</f>
        <v/>
      </c>
      <c r="AG213" s="26">
        <f>IF(AF213="","",IF(AND(LEFT(AF213,4)&lt;&gt;"http",IF(G213="Production",set_RMSBase,set_QwilrBase)=""),"",HYPERLINK(IF(LEFT(AF213,4)="http",AF213,IF(G213="Production",set_RMSBase,set_QwilrBase)&amp;AF213),"Open")))</f>
        <v/>
      </c>
      <c r="AH213" s="27">
        <f>IF(A213="","",IFERROR(INDEX(tbl_Production[Total Expense],IFERROR(MATCH(A213&amp;"",tbl_Production[Job Number],0),MATCH(IFERROR(A213+0,A213),tbl_Production[Job Number],0))),IFERROR(INDEX(tbl_Consulting[Total Expense],IFERROR(MATCH(A213&amp;"",tbl_Consulting[Job Number],0),MATCH(IFERROR(A213+0,A213),tbl_Consulting[Job Number],0))),0)))</f>
        <v/>
      </c>
      <c r="AI213" s="27">
        <f>IF(A213="","",AC213-N(AH213))</f>
        <v/>
      </c>
      <c r="AJ213" s="29">
        <f>IFERROR(AI213/AC213,"")</f>
        <v/>
      </c>
      <c r="AK213" s="26">
        <f>IF(A213="","",IFERROR(IF(INDEX(tbl_Onsite[Notes],IFERROR(MATCH(A213&amp;"",tbl_Onsite[Job Number],0),MATCH(IFERROR(A213+0,A213),tbl_Onsite[Job Number],0)))="","",INDEX(tbl_Onsite[Notes],IFERROR(MATCH(A213&amp;"",tbl_Onsite[Job Number],0),MATCH(IFERROR(A213+0,A213),tbl_Onsite[Job Number],0)))),IFERROR(IF(INDEX(tbl_Production[Notes],IFERROR(MATCH(A213&amp;"",tbl_Production[Job Number],0),MATCH(IFERROR(A213+0,A213),tbl_Production[Job Number],0)))="","",INDEX(tbl_Production[Notes],IFERROR(MATCH(A213&amp;"",tbl_Production[Job Number],0),MATCH(IFERROR(A213+0,A213),tbl_Production[Job Number],0)))),IFERROR(IF(INDEX(tbl_Consulting[Notes],IFERROR(MATCH(A213&amp;"",tbl_Consulting[Job Number],0),MATCH(IFERROR(A213+0,A213),tbl_Consulting[Job Number],0)))="","",INDEX(tbl_Consulting[Notes],IFERROR(MATCH(A213&amp;"",tbl_Consulting[Job Number],0),MATCH(IFERROR(A213+0,A213),tbl_Consulting[Job Number],0)))),""))))</f>
        <v/>
      </c>
    </row>
    <row r="214" ht="15" customHeight="1">
      <c r="A214" s="22" t="n"/>
      <c r="B214" s="22" t="n"/>
      <c r="C214" s="23" t="n"/>
      <c r="D214" s="22" t="n"/>
      <c r="E214" s="24" t="n"/>
      <c r="F214" s="25">
        <f>IF(C214="","",EOMONTH(C214,0))</f>
        <v/>
      </c>
      <c r="G214" s="26">
        <f>IF(A214="","",IF(COUNTIF(tbl_Onsite[Job Number],A214&amp;"")&gt;0,"Onsite",IF(COUNTIF(tbl_Production[Job Number],A214&amp;"")&gt;0,"Production",IF(COUNTIF(tbl_Consulting[Job Number],A214&amp;"")&gt;0,"Consulting","not set up yet"))))</f>
        <v/>
      </c>
      <c r="H214" s="26">
        <f>IF(A214="","",IF(COUNTIF(lst_Jobs,A214&amp;"")&gt;0,"OK","CHECK"))</f>
        <v/>
      </c>
      <c r="I214" s="26">
        <f>IF(A214="","",IFERROR(INDEX(lst_JobName,MATCH(A214&amp;"",lst_Jobs,0)),""))</f>
        <v/>
      </c>
      <c r="J214" s="26">
        <f>IF(A214="","",IFERROR(IF(INDEX(tbl_Onsite[Client],IFERROR(MATCH(A214&amp;"",tbl_Onsite[Job Number],0),MATCH(IFERROR(A214+0,A214),tbl_Onsite[Job Number],0)))="","",INDEX(tbl_Onsite[Client],IFERROR(MATCH(A214&amp;"",tbl_Onsite[Job Number],0),MATCH(IFERROR(A214+0,A214),tbl_Onsite[Job Number],0)))),IFERROR(IF(INDEX(tbl_Production[Client],IFERROR(MATCH(A214&amp;"",tbl_Production[Job Number],0),MATCH(IFERROR(A214+0,A214),tbl_Production[Job Number],0)))="","",INDEX(tbl_Production[Client],IFERROR(MATCH(A214&amp;"",tbl_Production[Job Number],0),MATCH(IFERROR(A214+0,A214),tbl_Production[Job Number],0)))),IFERROR(IF(INDEX(tbl_Consulting[Client],IFERROR(MATCH(A214&amp;"",tbl_Consulting[Job Number],0),MATCH(IFERROR(A214+0,A214),tbl_Consulting[Job Number],0)))="","",INDEX(tbl_Consulting[Client],IFERROR(MATCH(A214&amp;"",tbl_Consulting[Job Number],0),MATCH(IFERROR(A214+0,A214),tbl_Consulting[Job Number],0)))),""))))</f>
        <v/>
      </c>
      <c r="K214" s="26">
        <f>IF(A214="","",IFERROR(IF(INDEX(tbl_Onsite[Job Description],IFERROR(MATCH(A214&amp;"",tbl_Onsite[Job Number],0),MATCH(IFERROR(A214+0,A214),tbl_Onsite[Job Number],0)))="","",INDEX(tbl_Onsite[Job Description],IFERROR(MATCH(A214&amp;"",tbl_Onsite[Job Number],0),MATCH(IFERROR(A214+0,A214),tbl_Onsite[Job Number],0)))),IFERROR(IF(INDEX(tbl_Production[Job Description],IFERROR(MATCH(A214&amp;"",tbl_Production[Job Number],0),MATCH(IFERROR(A214+0,A214),tbl_Production[Job Number],0)))="","",INDEX(tbl_Production[Job Description],IFERROR(MATCH(A214&amp;"",tbl_Production[Job Number],0),MATCH(IFERROR(A214+0,A214),tbl_Production[Job Number],0)))),IFERROR(IF(INDEX(tbl_Consulting[Job Description],IFERROR(MATCH(A214&amp;"",tbl_Consulting[Job Number],0),MATCH(IFERROR(A214+0,A214),tbl_Consulting[Job Number],0)))="","",INDEX(tbl_Consulting[Job Description],IFERROR(MATCH(A214&amp;"",tbl_Consulting[Job Number],0),MATCH(IFERROR(A214+0,A214),tbl_Consulting[Job Number],0)))),""))))</f>
        <v/>
      </c>
      <c r="L214" s="26">
        <f>IF(A214="","",IFERROR(IF(INDEX(tbl_Onsite[Invoice Type],IFERROR(MATCH(A214&amp;"",tbl_Onsite[Job Number],0),MATCH(IFERROR(A214+0,A214),tbl_Onsite[Job Number],0)))="","",INDEX(tbl_Onsite[Invoice Type],IFERROR(MATCH(A214&amp;"",tbl_Onsite[Job Number],0),MATCH(IFERROR(A214+0,A214),tbl_Onsite[Job Number],0)))),IFERROR(IF(INDEX(tbl_Production[Invoice Type],IFERROR(MATCH(A214&amp;"",tbl_Production[Job Number],0),MATCH(IFERROR(A214+0,A214),tbl_Production[Job Number],0)))="","",INDEX(tbl_Production[Invoice Type],IFERROR(MATCH(A214&amp;"",tbl_Production[Job Number],0),MATCH(IFERROR(A214+0,A214),tbl_Production[Job Number],0)))),IFERROR(IF(INDEX(tbl_Consulting[Invoice Type],IFERROR(MATCH(A214&amp;"",tbl_Consulting[Job Number],0),MATCH(IFERROR(A214+0,A214),tbl_Consulting[Job Number],0)))="","",INDEX(tbl_Consulting[Invoice Type],IFERROR(MATCH(A214&amp;"",tbl_Consulting[Job Number],0),MATCH(IFERROR(A214+0,A214),tbl_Consulting[Job Number],0)))),""))))</f>
        <v/>
      </c>
      <c r="M214" s="26">
        <f>IF(A214="","",IF(IFERROR(IF(INDEX(tbl_Onsite[Tax Code],IFERROR(MATCH(A214&amp;"",tbl_Onsite[Job Number],0),MATCH(IFERROR(A214+0,A214),tbl_Onsite[Job Number],0)))="","",INDEX(tbl_Onsite[Tax Code],IFERROR(MATCH(A214&amp;"",tbl_Onsite[Job Number],0),MATCH(IFERROR(A214+0,A214),tbl_Onsite[Job Number],0)))),IFERROR(IF(INDEX(tbl_Production[Tax Code],IFERROR(MATCH(A214&amp;"",tbl_Production[Job Number],0),MATCH(IFERROR(A214+0,A214),tbl_Production[Job Number],0)))="","",INDEX(tbl_Production[Tax Code],IFERROR(MATCH(A214&amp;"",tbl_Production[Job Number],0),MATCH(IFERROR(A214+0,A214),tbl_Production[Job Number],0)))),IFERROR(IF(INDEX(tbl_Consulting[Tax Code],IFERROR(MATCH(A214&amp;"",tbl_Consulting[Job Number],0),MATCH(IFERROR(A214+0,A214),tbl_Consulting[Job Number],0)))="","",INDEX(tbl_Consulting[Tax Code],IFERROR(MATCH(A214&amp;"",tbl_Consulting[Job Number],0),MATCH(IFERROR(A214+0,A214),tbl_Consulting[Job Number],0)))),"")))="","GST 10%",IFERROR(IF(INDEX(tbl_Onsite[Tax Code],IFERROR(MATCH(A214&amp;"",tbl_Onsite[Job Number],0),MATCH(IFERROR(A214+0,A214),tbl_Onsite[Job Number],0)))="","",INDEX(tbl_Onsite[Tax Code],IFERROR(MATCH(A214&amp;"",tbl_Onsite[Job Number],0),MATCH(IFERROR(A214+0,A214),tbl_Onsite[Job Number],0)))),IFERROR(IF(INDEX(tbl_Production[Tax Code],IFERROR(MATCH(A214&amp;"",tbl_Production[Job Number],0),MATCH(IFERROR(A214+0,A214),tbl_Production[Job Number],0)))="","",INDEX(tbl_Production[Tax Code],IFERROR(MATCH(A214&amp;"",tbl_Production[Job Number],0),MATCH(IFERROR(A214+0,A214),tbl_Production[Job Number],0)))),IFERROR(IF(INDEX(tbl_Consulting[Tax Code],IFERROR(MATCH(A214&amp;"",tbl_Consulting[Job Number],0),MATCH(IFERROR(A214+0,A214),tbl_Consulting[Job Number],0)))="","",INDEX(tbl_Consulting[Tax Code],IFERROR(MATCH(A214&amp;"",tbl_Consulting[Job Number],0),MATCH(IFERROR(A214+0,A214),tbl_Consulting[Job Number],0)))),"")))))</f>
        <v/>
      </c>
      <c r="N214" s="26">
        <f>IF(D214="","",IFERROR(INDEX(lst_CCtoGL,MATCH(D214,lst_CCforGL,0)),""))</f>
        <v/>
      </c>
      <c r="O214" s="27">
        <f>IF(E214="","",IF(M214="GST 10%",ROUND(E214*set_GSTRate,2),0))</f>
        <v/>
      </c>
      <c r="P214" s="27">
        <f>IF(E214="","",E214+O214)</f>
        <v/>
      </c>
      <c r="Q214" s="27">
        <f>IF(A214="","",IFERROR(INDEX(tbl_Onsite[Expected Revenue Ex GST],IFERROR(MATCH(A214&amp;"",tbl_Onsite[Job Number],0),MATCH(IFERROR(A214+0,A214),tbl_Onsite[Job Number],0))),IFERROR(INDEX(tbl_Production[Expected Revenue Ex GST],IFERROR(MATCH(A214&amp;"",tbl_Production[Job Number],0),MATCH(IFERROR(A214+0,A214),tbl_Production[Job Number],0))),IFERROR(INDEX(tbl_Consulting[Expected Revenue Ex GST],IFERROR(MATCH(A214&amp;"",tbl_Consulting[Job Number],0),MATCH(IFERROR(A214+0,A214),tbl_Consulting[Job Number],0))),0))))</f>
        <v/>
      </c>
      <c r="R214" s="27">
        <f>IF(A214="","",SUMIFS(tbl_Finance[Ex GST],tbl_Finance[Job Number],A214&amp;""))</f>
        <v/>
      </c>
      <c r="S214" s="27">
        <f>IF(A214="","",Q214-R214)</f>
        <v/>
      </c>
      <c r="T214" s="26">
        <f>IF(A214="","",IF(Q214=0,"No dept value",IF(ROUND(S214,2)=0,"Agrees",IF(S214&gt;0,"Dept higher - to invoice","Xero higher - check dept"))))</f>
        <v/>
      </c>
      <c r="U214" s="22" t="n"/>
      <c r="V214" s="22" t="n"/>
      <c r="W214" s="23" t="n"/>
      <c r="X214" s="23" t="n"/>
      <c r="Y214" s="22" t="n"/>
      <c r="Z214" s="22" t="n"/>
      <c r="AA214" s="26">
        <f>IF(COUNTA(C214,A214,B214,E214)=0,"",IF(C214="","No date - sits outside every month",IF(A214="","No job number",IF(H214="CHECK","Job number is not in the Xero job list",IF(G214="not set up yet","No department has set this job up - nothing can pull through",IF(D214="","No cost centre",IF(AND(U214="Y",B214=""),"Marked posted to Xero but has no invoice number",IF(N214="","Cost centre has no revenue GL on the Lists sheet",IF(T214="Xero higher - check dept","Invoiced more than the department says the job is worth","")))))))))</f>
        <v/>
      </c>
      <c r="AB214" s="28">
        <f>IF(A214="","",COUNTIFS(tbl_Finance[Job Number],A214&amp;"",tbl_Finance[Ex GST],"&lt;&gt;"))</f>
        <v/>
      </c>
      <c r="AC214" s="27">
        <f>IF(A214="","",SUMIFS(tbl_Finance[Ex GST],tbl_Finance[Job Number],A214&amp;""))</f>
        <v/>
      </c>
      <c r="AD214" s="27">
        <f>IF(A214="","",SUMIFS(tbl_Finance[Ex GST],tbl_Finance[Job Number],A214&amp;"",tbl_Finance[Xero Invoice No],"&lt;&gt;"))</f>
        <v/>
      </c>
      <c r="AE214" s="27">
        <f>IF(A214="","",AC214-AD214)</f>
        <v/>
      </c>
      <c r="AF214" s="26">
        <f>IF(A214="","",IFERROR(IF(INDEX(tbl_Onsite[Qwilr Quote],IFERROR(MATCH(A214&amp;"",tbl_Onsite[Job Number],0),MATCH(IFERROR(A214+0,A214),tbl_Onsite[Job Number],0)))="","",INDEX(tbl_Onsite[Qwilr Quote],IFERROR(MATCH(A214&amp;"",tbl_Onsite[Job Number],0),MATCH(IFERROR(A214+0,A214),tbl_Onsite[Job Number],0)))),IFERROR(IF(IF(INDEX(tbl_Production[Current RMS No],IFERROR(MATCH(A214&amp;"",tbl_Production[Job Number],0),MATCH(IFERROR(A214+0,A214),tbl_Production[Job Number],0)))="",INDEX(tbl_Production[Qwilr Quote],IFERROR(MATCH(A214&amp;"",tbl_Production[Job Number],0),MATCH(IFERROR(A214+0,A214),tbl_Production[Job Number],0))),INDEX(tbl_Production[Current RMS No],IFERROR(MATCH(A214&amp;"",tbl_Production[Job Number],0),MATCH(IFERROR(A214+0,A214),tbl_Production[Job Number],0))))="","",IF(INDEX(tbl_Production[Current RMS No],IFERROR(MATCH(A214&amp;"",tbl_Production[Job Number],0),MATCH(IFERROR(A214+0,A214),tbl_Production[Job Number],0)))="",INDEX(tbl_Production[Qwilr Quote],IFERROR(MATCH(A214&amp;"",tbl_Production[Job Number],0),MATCH(IFERROR(A214+0,A214),tbl_Production[Job Number],0))),INDEX(tbl_Production[Current RMS No],IFERROR(MATCH(A214&amp;"",tbl_Production[Job Number],0),MATCH(IFERROR(A214+0,A214),tbl_Production[Job Number],0))))),IFERROR(IF(INDEX(tbl_Consulting[Qwilr Quote],IFERROR(MATCH(A214&amp;"",tbl_Consulting[Job Number],0),MATCH(IFERROR(A214+0,A214),tbl_Consulting[Job Number],0)))="","",INDEX(tbl_Consulting[Qwilr Quote],IFERROR(MATCH(A214&amp;"",tbl_Consulting[Job Number],0),MATCH(IFERROR(A214+0,A214),tbl_Consulting[Job Number],0)))),""))))</f>
        <v/>
      </c>
      <c r="AG214" s="26">
        <f>IF(AF214="","",IF(AND(LEFT(AF214,4)&lt;&gt;"http",IF(G214="Production",set_RMSBase,set_QwilrBase)=""),"",HYPERLINK(IF(LEFT(AF214,4)="http",AF214,IF(G214="Production",set_RMSBase,set_QwilrBase)&amp;AF214),"Open")))</f>
        <v/>
      </c>
      <c r="AH214" s="27">
        <f>IF(A214="","",IFERROR(INDEX(tbl_Production[Total Expense],IFERROR(MATCH(A214&amp;"",tbl_Production[Job Number],0),MATCH(IFERROR(A214+0,A214),tbl_Production[Job Number],0))),IFERROR(INDEX(tbl_Consulting[Total Expense],IFERROR(MATCH(A214&amp;"",tbl_Consulting[Job Number],0),MATCH(IFERROR(A214+0,A214),tbl_Consulting[Job Number],0))),0)))</f>
        <v/>
      </c>
      <c r="AI214" s="27">
        <f>IF(A214="","",AC214-N(AH214))</f>
        <v/>
      </c>
      <c r="AJ214" s="29">
        <f>IFERROR(AI214/AC214,"")</f>
        <v/>
      </c>
      <c r="AK214" s="26">
        <f>IF(A214="","",IFERROR(IF(INDEX(tbl_Onsite[Notes],IFERROR(MATCH(A214&amp;"",tbl_Onsite[Job Number],0),MATCH(IFERROR(A214+0,A214),tbl_Onsite[Job Number],0)))="","",INDEX(tbl_Onsite[Notes],IFERROR(MATCH(A214&amp;"",tbl_Onsite[Job Number],0),MATCH(IFERROR(A214+0,A214),tbl_Onsite[Job Number],0)))),IFERROR(IF(INDEX(tbl_Production[Notes],IFERROR(MATCH(A214&amp;"",tbl_Production[Job Number],0),MATCH(IFERROR(A214+0,A214),tbl_Production[Job Number],0)))="","",INDEX(tbl_Production[Notes],IFERROR(MATCH(A214&amp;"",tbl_Production[Job Number],0),MATCH(IFERROR(A214+0,A214),tbl_Production[Job Number],0)))),IFERROR(IF(INDEX(tbl_Consulting[Notes],IFERROR(MATCH(A214&amp;"",tbl_Consulting[Job Number],0),MATCH(IFERROR(A214+0,A214),tbl_Consulting[Job Number],0)))="","",INDEX(tbl_Consulting[Notes],IFERROR(MATCH(A214&amp;"",tbl_Consulting[Job Number],0),MATCH(IFERROR(A214+0,A214),tbl_Consulting[Job Number],0)))),""))))</f>
        <v/>
      </c>
    </row>
    <row r="215" ht="15" customHeight="1">
      <c r="A215" s="22" t="n"/>
      <c r="B215" s="22" t="n"/>
      <c r="C215" s="23" t="n"/>
      <c r="D215" s="22" t="n"/>
      <c r="E215" s="24" t="n"/>
      <c r="F215" s="25">
        <f>IF(C215="","",EOMONTH(C215,0))</f>
        <v/>
      </c>
      <c r="G215" s="26">
        <f>IF(A215="","",IF(COUNTIF(tbl_Onsite[Job Number],A215&amp;"")&gt;0,"Onsite",IF(COUNTIF(tbl_Production[Job Number],A215&amp;"")&gt;0,"Production",IF(COUNTIF(tbl_Consulting[Job Number],A215&amp;"")&gt;0,"Consulting","not set up yet"))))</f>
        <v/>
      </c>
      <c r="H215" s="26">
        <f>IF(A215="","",IF(COUNTIF(lst_Jobs,A215&amp;"")&gt;0,"OK","CHECK"))</f>
        <v/>
      </c>
      <c r="I215" s="26">
        <f>IF(A215="","",IFERROR(INDEX(lst_JobName,MATCH(A215&amp;"",lst_Jobs,0)),""))</f>
        <v/>
      </c>
      <c r="J215" s="26">
        <f>IF(A215="","",IFERROR(IF(INDEX(tbl_Onsite[Client],IFERROR(MATCH(A215&amp;"",tbl_Onsite[Job Number],0),MATCH(IFERROR(A215+0,A215),tbl_Onsite[Job Number],0)))="","",INDEX(tbl_Onsite[Client],IFERROR(MATCH(A215&amp;"",tbl_Onsite[Job Number],0),MATCH(IFERROR(A215+0,A215),tbl_Onsite[Job Number],0)))),IFERROR(IF(INDEX(tbl_Production[Client],IFERROR(MATCH(A215&amp;"",tbl_Production[Job Number],0),MATCH(IFERROR(A215+0,A215),tbl_Production[Job Number],0)))="","",INDEX(tbl_Production[Client],IFERROR(MATCH(A215&amp;"",tbl_Production[Job Number],0),MATCH(IFERROR(A215+0,A215),tbl_Production[Job Number],0)))),IFERROR(IF(INDEX(tbl_Consulting[Client],IFERROR(MATCH(A215&amp;"",tbl_Consulting[Job Number],0),MATCH(IFERROR(A215+0,A215),tbl_Consulting[Job Number],0)))="","",INDEX(tbl_Consulting[Client],IFERROR(MATCH(A215&amp;"",tbl_Consulting[Job Number],0),MATCH(IFERROR(A215+0,A215),tbl_Consulting[Job Number],0)))),""))))</f>
        <v/>
      </c>
      <c r="K215" s="26">
        <f>IF(A215="","",IFERROR(IF(INDEX(tbl_Onsite[Job Description],IFERROR(MATCH(A215&amp;"",tbl_Onsite[Job Number],0),MATCH(IFERROR(A215+0,A215),tbl_Onsite[Job Number],0)))="","",INDEX(tbl_Onsite[Job Description],IFERROR(MATCH(A215&amp;"",tbl_Onsite[Job Number],0),MATCH(IFERROR(A215+0,A215),tbl_Onsite[Job Number],0)))),IFERROR(IF(INDEX(tbl_Production[Job Description],IFERROR(MATCH(A215&amp;"",tbl_Production[Job Number],0),MATCH(IFERROR(A215+0,A215),tbl_Production[Job Number],0)))="","",INDEX(tbl_Production[Job Description],IFERROR(MATCH(A215&amp;"",tbl_Production[Job Number],0),MATCH(IFERROR(A215+0,A215),tbl_Production[Job Number],0)))),IFERROR(IF(INDEX(tbl_Consulting[Job Description],IFERROR(MATCH(A215&amp;"",tbl_Consulting[Job Number],0),MATCH(IFERROR(A215+0,A215),tbl_Consulting[Job Number],0)))="","",INDEX(tbl_Consulting[Job Description],IFERROR(MATCH(A215&amp;"",tbl_Consulting[Job Number],0),MATCH(IFERROR(A215+0,A215),tbl_Consulting[Job Number],0)))),""))))</f>
        <v/>
      </c>
      <c r="L215" s="26">
        <f>IF(A215="","",IFERROR(IF(INDEX(tbl_Onsite[Invoice Type],IFERROR(MATCH(A215&amp;"",tbl_Onsite[Job Number],0),MATCH(IFERROR(A215+0,A215),tbl_Onsite[Job Number],0)))="","",INDEX(tbl_Onsite[Invoice Type],IFERROR(MATCH(A215&amp;"",tbl_Onsite[Job Number],0),MATCH(IFERROR(A215+0,A215),tbl_Onsite[Job Number],0)))),IFERROR(IF(INDEX(tbl_Production[Invoice Type],IFERROR(MATCH(A215&amp;"",tbl_Production[Job Number],0),MATCH(IFERROR(A215+0,A215),tbl_Production[Job Number],0)))="","",INDEX(tbl_Production[Invoice Type],IFERROR(MATCH(A215&amp;"",tbl_Production[Job Number],0),MATCH(IFERROR(A215+0,A215),tbl_Production[Job Number],0)))),IFERROR(IF(INDEX(tbl_Consulting[Invoice Type],IFERROR(MATCH(A215&amp;"",tbl_Consulting[Job Number],0),MATCH(IFERROR(A215+0,A215),tbl_Consulting[Job Number],0)))="","",INDEX(tbl_Consulting[Invoice Type],IFERROR(MATCH(A215&amp;"",tbl_Consulting[Job Number],0),MATCH(IFERROR(A215+0,A215),tbl_Consulting[Job Number],0)))),""))))</f>
        <v/>
      </c>
      <c r="M215" s="26">
        <f>IF(A215="","",IF(IFERROR(IF(INDEX(tbl_Onsite[Tax Code],IFERROR(MATCH(A215&amp;"",tbl_Onsite[Job Number],0),MATCH(IFERROR(A215+0,A215),tbl_Onsite[Job Number],0)))="","",INDEX(tbl_Onsite[Tax Code],IFERROR(MATCH(A215&amp;"",tbl_Onsite[Job Number],0),MATCH(IFERROR(A215+0,A215),tbl_Onsite[Job Number],0)))),IFERROR(IF(INDEX(tbl_Production[Tax Code],IFERROR(MATCH(A215&amp;"",tbl_Production[Job Number],0),MATCH(IFERROR(A215+0,A215),tbl_Production[Job Number],0)))="","",INDEX(tbl_Production[Tax Code],IFERROR(MATCH(A215&amp;"",tbl_Production[Job Number],0),MATCH(IFERROR(A215+0,A215),tbl_Production[Job Number],0)))),IFERROR(IF(INDEX(tbl_Consulting[Tax Code],IFERROR(MATCH(A215&amp;"",tbl_Consulting[Job Number],0),MATCH(IFERROR(A215+0,A215),tbl_Consulting[Job Number],0)))="","",INDEX(tbl_Consulting[Tax Code],IFERROR(MATCH(A215&amp;"",tbl_Consulting[Job Number],0),MATCH(IFERROR(A215+0,A215),tbl_Consulting[Job Number],0)))),"")))="","GST 10%",IFERROR(IF(INDEX(tbl_Onsite[Tax Code],IFERROR(MATCH(A215&amp;"",tbl_Onsite[Job Number],0),MATCH(IFERROR(A215+0,A215),tbl_Onsite[Job Number],0)))="","",INDEX(tbl_Onsite[Tax Code],IFERROR(MATCH(A215&amp;"",tbl_Onsite[Job Number],0),MATCH(IFERROR(A215+0,A215),tbl_Onsite[Job Number],0)))),IFERROR(IF(INDEX(tbl_Production[Tax Code],IFERROR(MATCH(A215&amp;"",tbl_Production[Job Number],0),MATCH(IFERROR(A215+0,A215),tbl_Production[Job Number],0)))="","",INDEX(tbl_Production[Tax Code],IFERROR(MATCH(A215&amp;"",tbl_Production[Job Number],0),MATCH(IFERROR(A215+0,A215),tbl_Production[Job Number],0)))),IFERROR(IF(INDEX(tbl_Consulting[Tax Code],IFERROR(MATCH(A215&amp;"",tbl_Consulting[Job Number],0),MATCH(IFERROR(A215+0,A215),tbl_Consulting[Job Number],0)))="","",INDEX(tbl_Consulting[Tax Code],IFERROR(MATCH(A215&amp;"",tbl_Consulting[Job Number],0),MATCH(IFERROR(A215+0,A215),tbl_Consulting[Job Number],0)))),"")))))</f>
        <v/>
      </c>
      <c r="N215" s="26">
        <f>IF(D215="","",IFERROR(INDEX(lst_CCtoGL,MATCH(D215,lst_CCforGL,0)),""))</f>
        <v/>
      </c>
      <c r="O215" s="27">
        <f>IF(E215="","",IF(M215="GST 10%",ROUND(E215*set_GSTRate,2),0))</f>
        <v/>
      </c>
      <c r="P215" s="27">
        <f>IF(E215="","",E215+O215)</f>
        <v/>
      </c>
      <c r="Q215" s="27">
        <f>IF(A215="","",IFERROR(INDEX(tbl_Onsite[Expected Revenue Ex GST],IFERROR(MATCH(A215&amp;"",tbl_Onsite[Job Number],0),MATCH(IFERROR(A215+0,A215),tbl_Onsite[Job Number],0))),IFERROR(INDEX(tbl_Production[Expected Revenue Ex GST],IFERROR(MATCH(A215&amp;"",tbl_Production[Job Number],0),MATCH(IFERROR(A215+0,A215),tbl_Production[Job Number],0))),IFERROR(INDEX(tbl_Consulting[Expected Revenue Ex GST],IFERROR(MATCH(A215&amp;"",tbl_Consulting[Job Number],0),MATCH(IFERROR(A215+0,A215),tbl_Consulting[Job Number],0))),0))))</f>
        <v/>
      </c>
      <c r="R215" s="27">
        <f>IF(A215="","",SUMIFS(tbl_Finance[Ex GST],tbl_Finance[Job Number],A215&amp;""))</f>
        <v/>
      </c>
      <c r="S215" s="27">
        <f>IF(A215="","",Q215-R215)</f>
        <v/>
      </c>
      <c r="T215" s="26">
        <f>IF(A215="","",IF(Q215=0,"No dept value",IF(ROUND(S215,2)=0,"Agrees",IF(S215&gt;0,"Dept higher - to invoice","Xero higher - check dept"))))</f>
        <v/>
      </c>
      <c r="U215" s="22" t="n"/>
      <c r="V215" s="22" t="n"/>
      <c r="W215" s="23" t="n"/>
      <c r="X215" s="23" t="n"/>
      <c r="Y215" s="22" t="n"/>
      <c r="Z215" s="22" t="n"/>
      <c r="AA215" s="26">
        <f>IF(COUNTA(C215,A215,B215,E215)=0,"",IF(C215="","No date - sits outside every month",IF(A215="","No job number",IF(H215="CHECK","Job number is not in the Xero job list",IF(G215="not set up yet","No department has set this job up - nothing can pull through",IF(D215="","No cost centre",IF(AND(U215="Y",B215=""),"Marked posted to Xero but has no invoice number",IF(N215="","Cost centre has no revenue GL on the Lists sheet",IF(T215="Xero higher - check dept","Invoiced more than the department says the job is worth","")))))))))</f>
        <v/>
      </c>
      <c r="AB215" s="28">
        <f>IF(A215="","",COUNTIFS(tbl_Finance[Job Number],A215&amp;"",tbl_Finance[Ex GST],"&lt;&gt;"))</f>
        <v/>
      </c>
      <c r="AC215" s="27">
        <f>IF(A215="","",SUMIFS(tbl_Finance[Ex GST],tbl_Finance[Job Number],A215&amp;""))</f>
        <v/>
      </c>
      <c r="AD215" s="27">
        <f>IF(A215="","",SUMIFS(tbl_Finance[Ex GST],tbl_Finance[Job Number],A215&amp;"",tbl_Finance[Xero Invoice No],"&lt;&gt;"))</f>
        <v/>
      </c>
      <c r="AE215" s="27">
        <f>IF(A215="","",AC215-AD215)</f>
        <v/>
      </c>
      <c r="AF215" s="26">
        <f>IF(A215="","",IFERROR(IF(INDEX(tbl_Onsite[Qwilr Quote],IFERROR(MATCH(A215&amp;"",tbl_Onsite[Job Number],0),MATCH(IFERROR(A215+0,A215),tbl_Onsite[Job Number],0)))="","",INDEX(tbl_Onsite[Qwilr Quote],IFERROR(MATCH(A215&amp;"",tbl_Onsite[Job Number],0),MATCH(IFERROR(A215+0,A215),tbl_Onsite[Job Number],0)))),IFERROR(IF(IF(INDEX(tbl_Production[Current RMS No],IFERROR(MATCH(A215&amp;"",tbl_Production[Job Number],0),MATCH(IFERROR(A215+0,A215),tbl_Production[Job Number],0)))="",INDEX(tbl_Production[Qwilr Quote],IFERROR(MATCH(A215&amp;"",tbl_Production[Job Number],0),MATCH(IFERROR(A215+0,A215),tbl_Production[Job Number],0))),INDEX(tbl_Production[Current RMS No],IFERROR(MATCH(A215&amp;"",tbl_Production[Job Number],0),MATCH(IFERROR(A215+0,A215),tbl_Production[Job Number],0))))="","",IF(INDEX(tbl_Production[Current RMS No],IFERROR(MATCH(A215&amp;"",tbl_Production[Job Number],0),MATCH(IFERROR(A215+0,A215),tbl_Production[Job Number],0)))="",INDEX(tbl_Production[Qwilr Quote],IFERROR(MATCH(A215&amp;"",tbl_Production[Job Number],0),MATCH(IFERROR(A215+0,A215),tbl_Production[Job Number],0))),INDEX(tbl_Production[Current RMS No],IFERROR(MATCH(A215&amp;"",tbl_Production[Job Number],0),MATCH(IFERROR(A215+0,A215),tbl_Production[Job Number],0))))),IFERROR(IF(INDEX(tbl_Consulting[Qwilr Quote],IFERROR(MATCH(A215&amp;"",tbl_Consulting[Job Number],0),MATCH(IFERROR(A215+0,A215),tbl_Consulting[Job Number],0)))="","",INDEX(tbl_Consulting[Qwilr Quote],IFERROR(MATCH(A215&amp;"",tbl_Consulting[Job Number],0),MATCH(IFERROR(A215+0,A215),tbl_Consulting[Job Number],0)))),""))))</f>
        <v/>
      </c>
      <c r="AG215" s="26">
        <f>IF(AF215="","",IF(AND(LEFT(AF215,4)&lt;&gt;"http",IF(G215="Production",set_RMSBase,set_QwilrBase)=""),"",HYPERLINK(IF(LEFT(AF215,4)="http",AF215,IF(G215="Production",set_RMSBase,set_QwilrBase)&amp;AF215),"Open")))</f>
        <v/>
      </c>
      <c r="AH215" s="27">
        <f>IF(A215="","",IFERROR(INDEX(tbl_Production[Total Expense],IFERROR(MATCH(A215&amp;"",tbl_Production[Job Number],0),MATCH(IFERROR(A215+0,A215),tbl_Production[Job Number],0))),IFERROR(INDEX(tbl_Consulting[Total Expense],IFERROR(MATCH(A215&amp;"",tbl_Consulting[Job Number],0),MATCH(IFERROR(A215+0,A215),tbl_Consulting[Job Number],0))),0)))</f>
        <v/>
      </c>
      <c r="AI215" s="27">
        <f>IF(A215="","",AC215-N(AH215))</f>
        <v/>
      </c>
      <c r="AJ215" s="29">
        <f>IFERROR(AI215/AC215,"")</f>
        <v/>
      </c>
      <c r="AK215" s="26">
        <f>IF(A215="","",IFERROR(IF(INDEX(tbl_Onsite[Notes],IFERROR(MATCH(A215&amp;"",tbl_Onsite[Job Number],0),MATCH(IFERROR(A215+0,A215),tbl_Onsite[Job Number],0)))="","",INDEX(tbl_Onsite[Notes],IFERROR(MATCH(A215&amp;"",tbl_Onsite[Job Number],0),MATCH(IFERROR(A215+0,A215),tbl_Onsite[Job Number],0)))),IFERROR(IF(INDEX(tbl_Production[Notes],IFERROR(MATCH(A215&amp;"",tbl_Production[Job Number],0),MATCH(IFERROR(A215+0,A215),tbl_Production[Job Number],0)))="","",INDEX(tbl_Production[Notes],IFERROR(MATCH(A215&amp;"",tbl_Production[Job Number],0),MATCH(IFERROR(A215+0,A215),tbl_Production[Job Number],0)))),IFERROR(IF(INDEX(tbl_Consulting[Notes],IFERROR(MATCH(A215&amp;"",tbl_Consulting[Job Number],0),MATCH(IFERROR(A215+0,A215),tbl_Consulting[Job Number],0)))="","",INDEX(tbl_Consulting[Notes],IFERROR(MATCH(A215&amp;"",tbl_Consulting[Job Number],0),MATCH(IFERROR(A215+0,A215),tbl_Consulting[Job Number],0)))),""))))</f>
        <v/>
      </c>
    </row>
    <row r="216" ht="15" customHeight="1">
      <c r="A216" s="22" t="n"/>
      <c r="B216" s="22" t="n"/>
      <c r="C216" s="23" t="n"/>
      <c r="D216" s="22" t="n"/>
      <c r="E216" s="24" t="n"/>
      <c r="F216" s="25">
        <f>IF(C216="","",EOMONTH(C216,0))</f>
        <v/>
      </c>
      <c r="G216" s="26">
        <f>IF(A216="","",IF(COUNTIF(tbl_Onsite[Job Number],A216&amp;"")&gt;0,"Onsite",IF(COUNTIF(tbl_Production[Job Number],A216&amp;"")&gt;0,"Production",IF(COUNTIF(tbl_Consulting[Job Number],A216&amp;"")&gt;0,"Consulting","not set up yet"))))</f>
        <v/>
      </c>
      <c r="H216" s="26">
        <f>IF(A216="","",IF(COUNTIF(lst_Jobs,A216&amp;"")&gt;0,"OK","CHECK"))</f>
        <v/>
      </c>
      <c r="I216" s="26">
        <f>IF(A216="","",IFERROR(INDEX(lst_JobName,MATCH(A216&amp;"",lst_Jobs,0)),""))</f>
        <v/>
      </c>
      <c r="J216" s="26">
        <f>IF(A216="","",IFERROR(IF(INDEX(tbl_Onsite[Client],IFERROR(MATCH(A216&amp;"",tbl_Onsite[Job Number],0),MATCH(IFERROR(A216+0,A216),tbl_Onsite[Job Number],0)))="","",INDEX(tbl_Onsite[Client],IFERROR(MATCH(A216&amp;"",tbl_Onsite[Job Number],0),MATCH(IFERROR(A216+0,A216),tbl_Onsite[Job Number],0)))),IFERROR(IF(INDEX(tbl_Production[Client],IFERROR(MATCH(A216&amp;"",tbl_Production[Job Number],0),MATCH(IFERROR(A216+0,A216),tbl_Production[Job Number],0)))="","",INDEX(tbl_Production[Client],IFERROR(MATCH(A216&amp;"",tbl_Production[Job Number],0),MATCH(IFERROR(A216+0,A216),tbl_Production[Job Number],0)))),IFERROR(IF(INDEX(tbl_Consulting[Client],IFERROR(MATCH(A216&amp;"",tbl_Consulting[Job Number],0),MATCH(IFERROR(A216+0,A216),tbl_Consulting[Job Number],0)))="","",INDEX(tbl_Consulting[Client],IFERROR(MATCH(A216&amp;"",tbl_Consulting[Job Number],0),MATCH(IFERROR(A216+0,A216),tbl_Consulting[Job Number],0)))),""))))</f>
        <v/>
      </c>
      <c r="K216" s="26">
        <f>IF(A216="","",IFERROR(IF(INDEX(tbl_Onsite[Job Description],IFERROR(MATCH(A216&amp;"",tbl_Onsite[Job Number],0),MATCH(IFERROR(A216+0,A216),tbl_Onsite[Job Number],0)))="","",INDEX(tbl_Onsite[Job Description],IFERROR(MATCH(A216&amp;"",tbl_Onsite[Job Number],0),MATCH(IFERROR(A216+0,A216),tbl_Onsite[Job Number],0)))),IFERROR(IF(INDEX(tbl_Production[Job Description],IFERROR(MATCH(A216&amp;"",tbl_Production[Job Number],0),MATCH(IFERROR(A216+0,A216),tbl_Production[Job Number],0)))="","",INDEX(tbl_Production[Job Description],IFERROR(MATCH(A216&amp;"",tbl_Production[Job Number],0),MATCH(IFERROR(A216+0,A216),tbl_Production[Job Number],0)))),IFERROR(IF(INDEX(tbl_Consulting[Job Description],IFERROR(MATCH(A216&amp;"",tbl_Consulting[Job Number],0),MATCH(IFERROR(A216+0,A216),tbl_Consulting[Job Number],0)))="","",INDEX(tbl_Consulting[Job Description],IFERROR(MATCH(A216&amp;"",tbl_Consulting[Job Number],0),MATCH(IFERROR(A216+0,A216),tbl_Consulting[Job Number],0)))),""))))</f>
        <v/>
      </c>
      <c r="L216" s="26">
        <f>IF(A216="","",IFERROR(IF(INDEX(tbl_Onsite[Invoice Type],IFERROR(MATCH(A216&amp;"",tbl_Onsite[Job Number],0),MATCH(IFERROR(A216+0,A216),tbl_Onsite[Job Number],0)))="","",INDEX(tbl_Onsite[Invoice Type],IFERROR(MATCH(A216&amp;"",tbl_Onsite[Job Number],0),MATCH(IFERROR(A216+0,A216),tbl_Onsite[Job Number],0)))),IFERROR(IF(INDEX(tbl_Production[Invoice Type],IFERROR(MATCH(A216&amp;"",tbl_Production[Job Number],0),MATCH(IFERROR(A216+0,A216),tbl_Production[Job Number],0)))="","",INDEX(tbl_Production[Invoice Type],IFERROR(MATCH(A216&amp;"",tbl_Production[Job Number],0),MATCH(IFERROR(A216+0,A216),tbl_Production[Job Number],0)))),IFERROR(IF(INDEX(tbl_Consulting[Invoice Type],IFERROR(MATCH(A216&amp;"",tbl_Consulting[Job Number],0),MATCH(IFERROR(A216+0,A216),tbl_Consulting[Job Number],0)))="","",INDEX(tbl_Consulting[Invoice Type],IFERROR(MATCH(A216&amp;"",tbl_Consulting[Job Number],0),MATCH(IFERROR(A216+0,A216),tbl_Consulting[Job Number],0)))),""))))</f>
        <v/>
      </c>
      <c r="M216" s="26">
        <f>IF(A216="","",IF(IFERROR(IF(INDEX(tbl_Onsite[Tax Code],IFERROR(MATCH(A216&amp;"",tbl_Onsite[Job Number],0),MATCH(IFERROR(A216+0,A216),tbl_Onsite[Job Number],0)))="","",INDEX(tbl_Onsite[Tax Code],IFERROR(MATCH(A216&amp;"",tbl_Onsite[Job Number],0),MATCH(IFERROR(A216+0,A216),tbl_Onsite[Job Number],0)))),IFERROR(IF(INDEX(tbl_Production[Tax Code],IFERROR(MATCH(A216&amp;"",tbl_Production[Job Number],0),MATCH(IFERROR(A216+0,A216),tbl_Production[Job Number],0)))="","",INDEX(tbl_Production[Tax Code],IFERROR(MATCH(A216&amp;"",tbl_Production[Job Number],0),MATCH(IFERROR(A216+0,A216),tbl_Production[Job Number],0)))),IFERROR(IF(INDEX(tbl_Consulting[Tax Code],IFERROR(MATCH(A216&amp;"",tbl_Consulting[Job Number],0),MATCH(IFERROR(A216+0,A216),tbl_Consulting[Job Number],0)))="","",INDEX(tbl_Consulting[Tax Code],IFERROR(MATCH(A216&amp;"",tbl_Consulting[Job Number],0),MATCH(IFERROR(A216+0,A216),tbl_Consulting[Job Number],0)))),"")))="","GST 10%",IFERROR(IF(INDEX(tbl_Onsite[Tax Code],IFERROR(MATCH(A216&amp;"",tbl_Onsite[Job Number],0),MATCH(IFERROR(A216+0,A216),tbl_Onsite[Job Number],0)))="","",INDEX(tbl_Onsite[Tax Code],IFERROR(MATCH(A216&amp;"",tbl_Onsite[Job Number],0),MATCH(IFERROR(A216+0,A216),tbl_Onsite[Job Number],0)))),IFERROR(IF(INDEX(tbl_Production[Tax Code],IFERROR(MATCH(A216&amp;"",tbl_Production[Job Number],0),MATCH(IFERROR(A216+0,A216),tbl_Production[Job Number],0)))="","",INDEX(tbl_Production[Tax Code],IFERROR(MATCH(A216&amp;"",tbl_Production[Job Number],0),MATCH(IFERROR(A216+0,A216),tbl_Production[Job Number],0)))),IFERROR(IF(INDEX(tbl_Consulting[Tax Code],IFERROR(MATCH(A216&amp;"",tbl_Consulting[Job Number],0),MATCH(IFERROR(A216+0,A216),tbl_Consulting[Job Number],0)))="","",INDEX(tbl_Consulting[Tax Code],IFERROR(MATCH(A216&amp;"",tbl_Consulting[Job Number],0),MATCH(IFERROR(A216+0,A216),tbl_Consulting[Job Number],0)))),"")))))</f>
        <v/>
      </c>
      <c r="N216" s="26">
        <f>IF(D216="","",IFERROR(INDEX(lst_CCtoGL,MATCH(D216,lst_CCforGL,0)),""))</f>
        <v/>
      </c>
      <c r="O216" s="27">
        <f>IF(E216="","",IF(M216="GST 10%",ROUND(E216*set_GSTRate,2),0))</f>
        <v/>
      </c>
      <c r="P216" s="27">
        <f>IF(E216="","",E216+O216)</f>
        <v/>
      </c>
      <c r="Q216" s="27">
        <f>IF(A216="","",IFERROR(INDEX(tbl_Onsite[Expected Revenue Ex GST],IFERROR(MATCH(A216&amp;"",tbl_Onsite[Job Number],0),MATCH(IFERROR(A216+0,A216),tbl_Onsite[Job Number],0))),IFERROR(INDEX(tbl_Production[Expected Revenue Ex GST],IFERROR(MATCH(A216&amp;"",tbl_Production[Job Number],0),MATCH(IFERROR(A216+0,A216),tbl_Production[Job Number],0))),IFERROR(INDEX(tbl_Consulting[Expected Revenue Ex GST],IFERROR(MATCH(A216&amp;"",tbl_Consulting[Job Number],0),MATCH(IFERROR(A216+0,A216),tbl_Consulting[Job Number],0))),0))))</f>
        <v/>
      </c>
      <c r="R216" s="27">
        <f>IF(A216="","",SUMIFS(tbl_Finance[Ex GST],tbl_Finance[Job Number],A216&amp;""))</f>
        <v/>
      </c>
      <c r="S216" s="27">
        <f>IF(A216="","",Q216-R216)</f>
        <v/>
      </c>
      <c r="T216" s="26">
        <f>IF(A216="","",IF(Q216=0,"No dept value",IF(ROUND(S216,2)=0,"Agrees",IF(S216&gt;0,"Dept higher - to invoice","Xero higher - check dept"))))</f>
        <v/>
      </c>
      <c r="U216" s="22" t="n"/>
      <c r="V216" s="22" t="n"/>
      <c r="W216" s="23" t="n"/>
      <c r="X216" s="23" t="n"/>
      <c r="Y216" s="22" t="n"/>
      <c r="Z216" s="22" t="n"/>
      <c r="AA216" s="26">
        <f>IF(COUNTA(C216,A216,B216,E216)=0,"",IF(C216="","No date - sits outside every month",IF(A216="","No job number",IF(H216="CHECK","Job number is not in the Xero job list",IF(G216="not set up yet","No department has set this job up - nothing can pull through",IF(D216="","No cost centre",IF(AND(U216="Y",B216=""),"Marked posted to Xero but has no invoice number",IF(N216="","Cost centre has no revenue GL on the Lists sheet",IF(T216="Xero higher - check dept","Invoiced more than the department says the job is worth","")))))))))</f>
        <v/>
      </c>
      <c r="AB216" s="28">
        <f>IF(A216="","",COUNTIFS(tbl_Finance[Job Number],A216&amp;"",tbl_Finance[Ex GST],"&lt;&gt;"))</f>
        <v/>
      </c>
      <c r="AC216" s="27">
        <f>IF(A216="","",SUMIFS(tbl_Finance[Ex GST],tbl_Finance[Job Number],A216&amp;""))</f>
        <v/>
      </c>
      <c r="AD216" s="27">
        <f>IF(A216="","",SUMIFS(tbl_Finance[Ex GST],tbl_Finance[Job Number],A216&amp;"",tbl_Finance[Xero Invoice No],"&lt;&gt;"))</f>
        <v/>
      </c>
      <c r="AE216" s="27">
        <f>IF(A216="","",AC216-AD216)</f>
        <v/>
      </c>
      <c r="AF216" s="26">
        <f>IF(A216="","",IFERROR(IF(INDEX(tbl_Onsite[Qwilr Quote],IFERROR(MATCH(A216&amp;"",tbl_Onsite[Job Number],0),MATCH(IFERROR(A216+0,A216),tbl_Onsite[Job Number],0)))="","",INDEX(tbl_Onsite[Qwilr Quote],IFERROR(MATCH(A216&amp;"",tbl_Onsite[Job Number],0),MATCH(IFERROR(A216+0,A216),tbl_Onsite[Job Number],0)))),IFERROR(IF(IF(INDEX(tbl_Production[Current RMS No],IFERROR(MATCH(A216&amp;"",tbl_Production[Job Number],0),MATCH(IFERROR(A216+0,A216),tbl_Production[Job Number],0)))="",INDEX(tbl_Production[Qwilr Quote],IFERROR(MATCH(A216&amp;"",tbl_Production[Job Number],0),MATCH(IFERROR(A216+0,A216),tbl_Production[Job Number],0))),INDEX(tbl_Production[Current RMS No],IFERROR(MATCH(A216&amp;"",tbl_Production[Job Number],0),MATCH(IFERROR(A216+0,A216),tbl_Production[Job Number],0))))="","",IF(INDEX(tbl_Production[Current RMS No],IFERROR(MATCH(A216&amp;"",tbl_Production[Job Number],0),MATCH(IFERROR(A216+0,A216),tbl_Production[Job Number],0)))="",INDEX(tbl_Production[Qwilr Quote],IFERROR(MATCH(A216&amp;"",tbl_Production[Job Number],0),MATCH(IFERROR(A216+0,A216),tbl_Production[Job Number],0))),INDEX(tbl_Production[Current RMS No],IFERROR(MATCH(A216&amp;"",tbl_Production[Job Number],0),MATCH(IFERROR(A216+0,A216),tbl_Production[Job Number],0))))),IFERROR(IF(INDEX(tbl_Consulting[Qwilr Quote],IFERROR(MATCH(A216&amp;"",tbl_Consulting[Job Number],0),MATCH(IFERROR(A216+0,A216),tbl_Consulting[Job Number],0)))="","",INDEX(tbl_Consulting[Qwilr Quote],IFERROR(MATCH(A216&amp;"",tbl_Consulting[Job Number],0),MATCH(IFERROR(A216+0,A216),tbl_Consulting[Job Number],0)))),""))))</f>
        <v/>
      </c>
      <c r="AG216" s="26">
        <f>IF(AF216="","",IF(AND(LEFT(AF216,4)&lt;&gt;"http",IF(G216="Production",set_RMSBase,set_QwilrBase)=""),"",HYPERLINK(IF(LEFT(AF216,4)="http",AF216,IF(G216="Production",set_RMSBase,set_QwilrBase)&amp;AF216),"Open")))</f>
        <v/>
      </c>
      <c r="AH216" s="27">
        <f>IF(A216="","",IFERROR(INDEX(tbl_Production[Total Expense],IFERROR(MATCH(A216&amp;"",tbl_Production[Job Number],0),MATCH(IFERROR(A216+0,A216),tbl_Production[Job Number],0))),IFERROR(INDEX(tbl_Consulting[Total Expense],IFERROR(MATCH(A216&amp;"",tbl_Consulting[Job Number],0),MATCH(IFERROR(A216+0,A216),tbl_Consulting[Job Number],0))),0)))</f>
        <v/>
      </c>
      <c r="AI216" s="27">
        <f>IF(A216="","",AC216-N(AH216))</f>
        <v/>
      </c>
      <c r="AJ216" s="29">
        <f>IFERROR(AI216/AC216,"")</f>
        <v/>
      </c>
      <c r="AK216" s="26">
        <f>IF(A216="","",IFERROR(IF(INDEX(tbl_Onsite[Notes],IFERROR(MATCH(A216&amp;"",tbl_Onsite[Job Number],0),MATCH(IFERROR(A216+0,A216),tbl_Onsite[Job Number],0)))="","",INDEX(tbl_Onsite[Notes],IFERROR(MATCH(A216&amp;"",tbl_Onsite[Job Number],0),MATCH(IFERROR(A216+0,A216),tbl_Onsite[Job Number],0)))),IFERROR(IF(INDEX(tbl_Production[Notes],IFERROR(MATCH(A216&amp;"",tbl_Production[Job Number],0),MATCH(IFERROR(A216+0,A216),tbl_Production[Job Number],0)))="","",INDEX(tbl_Production[Notes],IFERROR(MATCH(A216&amp;"",tbl_Production[Job Number],0),MATCH(IFERROR(A216+0,A216),tbl_Production[Job Number],0)))),IFERROR(IF(INDEX(tbl_Consulting[Notes],IFERROR(MATCH(A216&amp;"",tbl_Consulting[Job Number],0),MATCH(IFERROR(A216+0,A216),tbl_Consulting[Job Number],0)))="","",INDEX(tbl_Consulting[Notes],IFERROR(MATCH(A216&amp;"",tbl_Consulting[Job Number],0),MATCH(IFERROR(A216+0,A216),tbl_Consulting[Job Number],0)))),""))))</f>
        <v/>
      </c>
    </row>
    <row r="217" ht="15" customHeight="1">
      <c r="A217" s="22" t="n"/>
      <c r="B217" s="22" t="n"/>
      <c r="C217" s="23" t="n"/>
      <c r="D217" s="22" t="n"/>
      <c r="E217" s="24" t="n"/>
      <c r="F217" s="25">
        <f>IF(C217="","",EOMONTH(C217,0))</f>
        <v/>
      </c>
      <c r="G217" s="26">
        <f>IF(A217="","",IF(COUNTIF(tbl_Onsite[Job Number],A217&amp;"")&gt;0,"Onsite",IF(COUNTIF(tbl_Production[Job Number],A217&amp;"")&gt;0,"Production",IF(COUNTIF(tbl_Consulting[Job Number],A217&amp;"")&gt;0,"Consulting","not set up yet"))))</f>
        <v/>
      </c>
      <c r="H217" s="26">
        <f>IF(A217="","",IF(COUNTIF(lst_Jobs,A217&amp;"")&gt;0,"OK","CHECK"))</f>
        <v/>
      </c>
      <c r="I217" s="26">
        <f>IF(A217="","",IFERROR(INDEX(lst_JobName,MATCH(A217&amp;"",lst_Jobs,0)),""))</f>
        <v/>
      </c>
      <c r="J217" s="26">
        <f>IF(A217="","",IFERROR(IF(INDEX(tbl_Onsite[Client],IFERROR(MATCH(A217&amp;"",tbl_Onsite[Job Number],0),MATCH(IFERROR(A217+0,A217),tbl_Onsite[Job Number],0)))="","",INDEX(tbl_Onsite[Client],IFERROR(MATCH(A217&amp;"",tbl_Onsite[Job Number],0),MATCH(IFERROR(A217+0,A217),tbl_Onsite[Job Number],0)))),IFERROR(IF(INDEX(tbl_Production[Client],IFERROR(MATCH(A217&amp;"",tbl_Production[Job Number],0),MATCH(IFERROR(A217+0,A217),tbl_Production[Job Number],0)))="","",INDEX(tbl_Production[Client],IFERROR(MATCH(A217&amp;"",tbl_Production[Job Number],0),MATCH(IFERROR(A217+0,A217),tbl_Production[Job Number],0)))),IFERROR(IF(INDEX(tbl_Consulting[Client],IFERROR(MATCH(A217&amp;"",tbl_Consulting[Job Number],0),MATCH(IFERROR(A217+0,A217),tbl_Consulting[Job Number],0)))="","",INDEX(tbl_Consulting[Client],IFERROR(MATCH(A217&amp;"",tbl_Consulting[Job Number],0),MATCH(IFERROR(A217+0,A217),tbl_Consulting[Job Number],0)))),""))))</f>
        <v/>
      </c>
      <c r="K217" s="26">
        <f>IF(A217="","",IFERROR(IF(INDEX(tbl_Onsite[Job Description],IFERROR(MATCH(A217&amp;"",tbl_Onsite[Job Number],0),MATCH(IFERROR(A217+0,A217),tbl_Onsite[Job Number],0)))="","",INDEX(tbl_Onsite[Job Description],IFERROR(MATCH(A217&amp;"",tbl_Onsite[Job Number],0),MATCH(IFERROR(A217+0,A217),tbl_Onsite[Job Number],0)))),IFERROR(IF(INDEX(tbl_Production[Job Description],IFERROR(MATCH(A217&amp;"",tbl_Production[Job Number],0),MATCH(IFERROR(A217+0,A217),tbl_Production[Job Number],0)))="","",INDEX(tbl_Production[Job Description],IFERROR(MATCH(A217&amp;"",tbl_Production[Job Number],0),MATCH(IFERROR(A217+0,A217),tbl_Production[Job Number],0)))),IFERROR(IF(INDEX(tbl_Consulting[Job Description],IFERROR(MATCH(A217&amp;"",tbl_Consulting[Job Number],0),MATCH(IFERROR(A217+0,A217),tbl_Consulting[Job Number],0)))="","",INDEX(tbl_Consulting[Job Description],IFERROR(MATCH(A217&amp;"",tbl_Consulting[Job Number],0),MATCH(IFERROR(A217+0,A217),tbl_Consulting[Job Number],0)))),""))))</f>
        <v/>
      </c>
      <c r="L217" s="26">
        <f>IF(A217="","",IFERROR(IF(INDEX(tbl_Onsite[Invoice Type],IFERROR(MATCH(A217&amp;"",tbl_Onsite[Job Number],0),MATCH(IFERROR(A217+0,A217),tbl_Onsite[Job Number],0)))="","",INDEX(tbl_Onsite[Invoice Type],IFERROR(MATCH(A217&amp;"",tbl_Onsite[Job Number],0),MATCH(IFERROR(A217+0,A217),tbl_Onsite[Job Number],0)))),IFERROR(IF(INDEX(tbl_Production[Invoice Type],IFERROR(MATCH(A217&amp;"",tbl_Production[Job Number],0),MATCH(IFERROR(A217+0,A217),tbl_Production[Job Number],0)))="","",INDEX(tbl_Production[Invoice Type],IFERROR(MATCH(A217&amp;"",tbl_Production[Job Number],0),MATCH(IFERROR(A217+0,A217),tbl_Production[Job Number],0)))),IFERROR(IF(INDEX(tbl_Consulting[Invoice Type],IFERROR(MATCH(A217&amp;"",tbl_Consulting[Job Number],0),MATCH(IFERROR(A217+0,A217),tbl_Consulting[Job Number],0)))="","",INDEX(tbl_Consulting[Invoice Type],IFERROR(MATCH(A217&amp;"",tbl_Consulting[Job Number],0),MATCH(IFERROR(A217+0,A217),tbl_Consulting[Job Number],0)))),""))))</f>
        <v/>
      </c>
      <c r="M217" s="26">
        <f>IF(A217="","",IF(IFERROR(IF(INDEX(tbl_Onsite[Tax Code],IFERROR(MATCH(A217&amp;"",tbl_Onsite[Job Number],0),MATCH(IFERROR(A217+0,A217),tbl_Onsite[Job Number],0)))="","",INDEX(tbl_Onsite[Tax Code],IFERROR(MATCH(A217&amp;"",tbl_Onsite[Job Number],0),MATCH(IFERROR(A217+0,A217),tbl_Onsite[Job Number],0)))),IFERROR(IF(INDEX(tbl_Production[Tax Code],IFERROR(MATCH(A217&amp;"",tbl_Production[Job Number],0),MATCH(IFERROR(A217+0,A217),tbl_Production[Job Number],0)))="","",INDEX(tbl_Production[Tax Code],IFERROR(MATCH(A217&amp;"",tbl_Production[Job Number],0),MATCH(IFERROR(A217+0,A217),tbl_Production[Job Number],0)))),IFERROR(IF(INDEX(tbl_Consulting[Tax Code],IFERROR(MATCH(A217&amp;"",tbl_Consulting[Job Number],0),MATCH(IFERROR(A217+0,A217),tbl_Consulting[Job Number],0)))="","",INDEX(tbl_Consulting[Tax Code],IFERROR(MATCH(A217&amp;"",tbl_Consulting[Job Number],0),MATCH(IFERROR(A217+0,A217),tbl_Consulting[Job Number],0)))),"")))="","GST 10%",IFERROR(IF(INDEX(tbl_Onsite[Tax Code],IFERROR(MATCH(A217&amp;"",tbl_Onsite[Job Number],0),MATCH(IFERROR(A217+0,A217),tbl_Onsite[Job Number],0)))="","",INDEX(tbl_Onsite[Tax Code],IFERROR(MATCH(A217&amp;"",tbl_Onsite[Job Number],0),MATCH(IFERROR(A217+0,A217),tbl_Onsite[Job Number],0)))),IFERROR(IF(INDEX(tbl_Production[Tax Code],IFERROR(MATCH(A217&amp;"",tbl_Production[Job Number],0),MATCH(IFERROR(A217+0,A217),tbl_Production[Job Number],0)))="","",INDEX(tbl_Production[Tax Code],IFERROR(MATCH(A217&amp;"",tbl_Production[Job Number],0),MATCH(IFERROR(A217+0,A217),tbl_Production[Job Number],0)))),IFERROR(IF(INDEX(tbl_Consulting[Tax Code],IFERROR(MATCH(A217&amp;"",tbl_Consulting[Job Number],0),MATCH(IFERROR(A217+0,A217),tbl_Consulting[Job Number],0)))="","",INDEX(tbl_Consulting[Tax Code],IFERROR(MATCH(A217&amp;"",tbl_Consulting[Job Number],0),MATCH(IFERROR(A217+0,A217),tbl_Consulting[Job Number],0)))),"")))))</f>
        <v/>
      </c>
      <c r="N217" s="26">
        <f>IF(D217="","",IFERROR(INDEX(lst_CCtoGL,MATCH(D217,lst_CCforGL,0)),""))</f>
        <v/>
      </c>
      <c r="O217" s="27">
        <f>IF(E217="","",IF(M217="GST 10%",ROUND(E217*set_GSTRate,2),0))</f>
        <v/>
      </c>
      <c r="P217" s="27">
        <f>IF(E217="","",E217+O217)</f>
        <v/>
      </c>
      <c r="Q217" s="27">
        <f>IF(A217="","",IFERROR(INDEX(tbl_Onsite[Expected Revenue Ex GST],IFERROR(MATCH(A217&amp;"",tbl_Onsite[Job Number],0),MATCH(IFERROR(A217+0,A217),tbl_Onsite[Job Number],0))),IFERROR(INDEX(tbl_Production[Expected Revenue Ex GST],IFERROR(MATCH(A217&amp;"",tbl_Production[Job Number],0),MATCH(IFERROR(A217+0,A217),tbl_Production[Job Number],0))),IFERROR(INDEX(tbl_Consulting[Expected Revenue Ex GST],IFERROR(MATCH(A217&amp;"",tbl_Consulting[Job Number],0),MATCH(IFERROR(A217+0,A217),tbl_Consulting[Job Number],0))),0))))</f>
        <v/>
      </c>
      <c r="R217" s="27">
        <f>IF(A217="","",SUMIFS(tbl_Finance[Ex GST],tbl_Finance[Job Number],A217&amp;""))</f>
        <v/>
      </c>
      <c r="S217" s="27">
        <f>IF(A217="","",Q217-R217)</f>
        <v/>
      </c>
      <c r="T217" s="26">
        <f>IF(A217="","",IF(Q217=0,"No dept value",IF(ROUND(S217,2)=0,"Agrees",IF(S217&gt;0,"Dept higher - to invoice","Xero higher - check dept"))))</f>
        <v/>
      </c>
      <c r="U217" s="22" t="n"/>
      <c r="V217" s="22" t="n"/>
      <c r="W217" s="23" t="n"/>
      <c r="X217" s="23" t="n"/>
      <c r="Y217" s="22" t="n"/>
      <c r="Z217" s="22" t="n"/>
      <c r="AA217" s="26">
        <f>IF(COUNTA(C217,A217,B217,E217)=0,"",IF(C217="","No date - sits outside every month",IF(A217="","No job number",IF(H217="CHECK","Job number is not in the Xero job list",IF(G217="not set up yet","No department has set this job up - nothing can pull through",IF(D217="","No cost centre",IF(AND(U217="Y",B217=""),"Marked posted to Xero but has no invoice number",IF(N217="","Cost centre has no revenue GL on the Lists sheet",IF(T217="Xero higher - check dept","Invoiced more than the department says the job is worth","")))))))))</f>
        <v/>
      </c>
      <c r="AB217" s="28">
        <f>IF(A217="","",COUNTIFS(tbl_Finance[Job Number],A217&amp;"",tbl_Finance[Ex GST],"&lt;&gt;"))</f>
        <v/>
      </c>
      <c r="AC217" s="27">
        <f>IF(A217="","",SUMIFS(tbl_Finance[Ex GST],tbl_Finance[Job Number],A217&amp;""))</f>
        <v/>
      </c>
      <c r="AD217" s="27">
        <f>IF(A217="","",SUMIFS(tbl_Finance[Ex GST],tbl_Finance[Job Number],A217&amp;"",tbl_Finance[Xero Invoice No],"&lt;&gt;"))</f>
        <v/>
      </c>
      <c r="AE217" s="27">
        <f>IF(A217="","",AC217-AD217)</f>
        <v/>
      </c>
      <c r="AF217" s="26">
        <f>IF(A217="","",IFERROR(IF(INDEX(tbl_Onsite[Qwilr Quote],IFERROR(MATCH(A217&amp;"",tbl_Onsite[Job Number],0),MATCH(IFERROR(A217+0,A217),tbl_Onsite[Job Number],0)))="","",INDEX(tbl_Onsite[Qwilr Quote],IFERROR(MATCH(A217&amp;"",tbl_Onsite[Job Number],0),MATCH(IFERROR(A217+0,A217),tbl_Onsite[Job Number],0)))),IFERROR(IF(IF(INDEX(tbl_Production[Current RMS No],IFERROR(MATCH(A217&amp;"",tbl_Production[Job Number],0),MATCH(IFERROR(A217+0,A217),tbl_Production[Job Number],0)))="",INDEX(tbl_Production[Qwilr Quote],IFERROR(MATCH(A217&amp;"",tbl_Production[Job Number],0),MATCH(IFERROR(A217+0,A217),tbl_Production[Job Number],0))),INDEX(tbl_Production[Current RMS No],IFERROR(MATCH(A217&amp;"",tbl_Production[Job Number],0),MATCH(IFERROR(A217+0,A217),tbl_Production[Job Number],0))))="","",IF(INDEX(tbl_Production[Current RMS No],IFERROR(MATCH(A217&amp;"",tbl_Production[Job Number],0),MATCH(IFERROR(A217+0,A217),tbl_Production[Job Number],0)))="",INDEX(tbl_Production[Qwilr Quote],IFERROR(MATCH(A217&amp;"",tbl_Production[Job Number],0),MATCH(IFERROR(A217+0,A217),tbl_Production[Job Number],0))),INDEX(tbl_Production[Current RMS No],IFERROR(MATCH(A217&amp;"",tbl_Production[Job Number],0),MATCH(IFERROR(A217+0,A217),tbl_Production[Job Number],0))))),IFERROR(IF(INDEX(tbl_Consulting[Qwilr Quote],IFERROR(MATCH(A217&amp;"",tbl_Consulting[Job Number],0),MATCH(IFERROR(A217+0,A217),tbl_Consulting[Job Number],0)))="","",INDEX(tbl_Consulting[Qwilr Quote],IFERROR(MATCH(A217&amp;"",tbl_Consulting[Job Number],0),MATCH(IFERROR(A217+0,A217),tbl_Consulting[Job Number],0)))),""))))</f>
        <v/>
      </c>
      <c r="AG217" s="26">
        <f>IF(AF217="","",IF(AND(LEFT(AF217,4)&lt;&gt;"http",IF(G217="Production",set_RMSBase,set_QwilrBase)=""),"",HYPERLINK(IF(LEFT(AF217,4)="http",AF217,IF(G217="Production",set_RMSBase,set_QwilrBase)&amp;AF217),"Open")))</f>
        <v/>
      </c>
      <c r="AH217" s="27">
        <f>IF(A217="","",IFERROR(INDEX(tbl_Production[Total Expense],IFERROR(MATCH(A217&amp;"",tbl_Production[Job Number],0),MATCH(IFERROR(A217+0,A217),tbl_Production[Job Number],0))),IFERROR(INDEX(tbl_Consulting[Total Expense],IFERROR(MATCH(A217&amp;"",tbl_Consulting[Job Number],0),MATCH(IFERROR(A217+0,A217),tbl_Consulting[Job Number],0))),0)))</f>
        <v/>
      </c>
      <c r="AI217" s="27">
        <f>IF(A217="","",AC217-N(AH217))</f>
        <v/>
      </c>
      <c r="AJ217" s="29">
        <f>IFERROR(AI217/AC217,"")</f>
        <v/>
      </c>
      <c r="AK217" s="26">
        <f>IF(A217="","",IFERROR(IF(INDEX(tbl_Onsite[Notes],IFERROR(MATCH(A217&amp;"",tbl_Onsite[Job Number],0),MATCH(IFERROR(A217+0,A217),tbl_Onsite[Job Number],0)))="","",INDEX(tbl_Onsite[Notes],IFERROR(MATCH(A217&amp;"",tbl_Onsite[Job Number],0),MATCH(IFERROR(A217+0,A217),tbl_Onsite[Job Number],0)))),IFERROR(IF(INDEX(tbl_Production[Notes],IFERROR(MATCH(A217&amp;"",tbl_Production[Job Number],0),MATCH(IFERROR(A217+0,A217),tbl_Production[Job Number],0)))="","",INDEX(tbl_Production[Notes],IFERROR(MATCH(A217&amp;"",tbl_Production[Job Number],0),MATCH(IFERROR(A217+0,A217),tbl_Production[Job Number],0)))),IFERROR(IF(INDEX(tbl_Consulting[Notes],IFERROR(MATCH(A217&amp;"",tbl_Consulting[Job Number],0),MATCH(IFERROR(A217+0,A217),tbl_Consulting[Job Number],0)))="","",INDEX(tbl_Consulting[Notes],IFERROR(MATCH(A217&amp;"",tbl_Consulting[Job Number],0),MATCH(IFERROR(A217+0,A217),tbl_Consulting[Job Number],0)))),""))))</f>
        <v/>
      </c>
    </row>
    <row r="218" ht="15" customHeight="1">
      <c r="A218" s="22" t="n"/>
      <c r="B218" s="22" t="n"/>
      <c r="C218" s="23" t="n"/>
      <c r="D218" s="22" t="n"/>
      <c r="E218" s="24" t="n"/>
      <c r="F218" s="25">
        <f>IF(C218="","",EOMONTH(C218,0))</f>
        <v/>
      </c>
      <c r="G218" s="26">
        <f>IF(A218="","",IF(COUNTIF(tbl_Onsite[Job Number],A218&amp;"")&gt;0,"Onsite",IF(COUNTIF(tbl_Production[Job Number],A218&amp;"")&gt;0,"Production",IF(COUNTIF(tbl_Consulting[Job Number],A218&amp;"")&gt;0,"Consulting","not set up yet"))))</f>
        <v/>
      </c>
      <c r="H218" s="26">
        <f>IF(A218="","",IF(COUNTIF(lst_Jobs,A218&amp;"")&gt;0,"OK","CHECK"))</f>
        <v/>
      </c>
      <c r="I218" s="26">
        <f>IF(A218="","",IFERROR(INDEX(lst_JobName,MATCH(A218&amp;"",lst_Jobs,0)),""))</f>
        <v/>
      </c>
      <c r="J218" s="26">
        <f>IF(A218="","",IFERROR(IF(INDEX(tbl_Onsite[Client],IFERROR(MATCH(A218&amp;"",tbl_Onsite[Job Number],0),MATCH(IFERROR(A218+0,A218),tbl_Onsite[Job Number],0)))="","",INDEX(tbl_Onsite[Client],IFERROR(MATCH(A218&amp;"",tbl_Onsite[Job Number],0),MATCH(IFERROR(A218+0,A218),tbl_Onsite[Job Number],0)))),IFERROR(IF(INDEX(tbl_Production[Client],IFERROR(MATCH(A218&amp;"",tbl_Production[Job Number],0),MATCH(IFERROR(A218+0,A218),tbl_Production[Job Number],0)))="","",INDEX(tbl_Production[Client],IFERROR(MATCH(A218&amp;"",tbl_Production[Job Number],0),MATCH(IFERROR(A218+0,A218),tbl_Production[Job Number],0)))),IFERROR(IF(INDEX(tbl_Consulting[Client],IFERROR(MATCH(A218&amp;"",tbl_Consulting[Job Number],0),MATCH(IFERROR(A218+0,A218),tbl_Consulting[Job Number],0)))="","",INDEX(tbl_Consulting[Client],IFERROR(MATCH(A218&amp;"",tbl_Consulting[Job Number],0),MATCH(IFERROR(A218+0,A218),tbl_Consulting[Job Number],0)))),""))))</f>
        <v/>
      </c>
      <c r="K218" s="26">
        <f>IF(A218="","",IFERROR(IF(INDEX(tbl_Onsite[Job Description],IFERROR(MATCH(A218&amp;"",tbl_Onsite[Job Number],0),MATCH(IFERROR(A218+0,A218),tbl_Onsite[Job Number],0)))="","",INDEX(tbl_Onsite[Job Description],IFERROR(MATCH(A218&amp;"",tbl_Onsite[Job Number],0),MATCH(IFERROR(A218+0,A218),tbl_Onsite[Job Number],0)))),IFERROR(IF(INDEX(tbl_Production[Job Description],IFERROR(MATCH(A218&amp;"",tbl_Production[Job Number],0),MATCH(IFERROR(A218+0,A218),tbl_Production[Job Number],0)))="","",INDEX(tbl_Production[Job Description],IFERROR(MATCH(A218&amp;"",tbl_Production[Job Number],0),MATCH(IFERROR(A218+0,A218),tbl_Production[Job Number],0)))),IFERROR(IF(INDEX(tbl_Consulting[Job Description],IFERROR(MATCH(A218&amp;"",tbl_Consulting[Job Number],0),MATCH(IFERROR(A218+0,A218),tbl_Consulting[Job Number],0)))="","",INDEX(tbl_Consulting[Job Description],IFERROR(MATCH(A218&amp;"",tbl_Consulting[Job Number],0),MATCH(IFERROR(A218+0,A218),tbl_Consulting[Job Number],0)))),""))))</f>
        <v/>
      </c>
      <c r="L218" s="26">
        <f>IF(A218="","",IFERROR(IF(INDEX(tbl_Onsite[Invoice Type],IFERROR(MATCH(A218&amp;"",tbl_Onsite[Job Number],0),MATCH(IFERROR(A218+0,A218),tbl_Onsite[Job Number],0)))="","",INDEX(tbl_Onsite[Invoice Type],IFERROR(MATCH(A218&amp;"",tbl_Onsite[Job Number],0),MATCH(IFERROR(A218+0,A218),tbl_Onsite[Job Number],0)))),IFERROR(IF(INDEX(tbl_Production[Invoice Type],IFERROR(MATCH(A218&amp;"",tbl_Production[Job Number],0),MATCH(IFERROR(A218+0,A218),tbl_Production[Job Number],0)))="","",INDEX(tbl_Production[Invoice Type],IFERROR(MATCH(A218&amp;"",tbl_Production[Job Number],0),MATCH(IFERROR(A218+0,A218),tbl_Production[Job Number],0)))),IFERROR(IF(INDEX(tbl_Consulting[Invoice Type],IFERROR(MATCH(A218&amp;"",tbl_Consulting[Job Number],0),MATCH(IFERROR(A218+0,A218),tbl_Consulting[Job Number],0)))="","",INDEX(tbl_Consulting[Invoice Type],IFERROR(MATCH(A218&amp;"",tbl_Consulting[Job Number],0),MATCH(IFERROR(A218+0,A218),tbl_Consulting[Job Number],0)))),""))))</f>
        <v/>
      </c>
      <c r="M218" s="26">
        <f>IF(A218="","",IF(IFERROR(IF(INDEX(tbl_Onsite[Tax Code],IFERROR(MATCH(A218&amp;"",tbl_Onsite[Job Number],0),MATCH(IFERROR(A218+0,A218),tbl_Onsite[Job Number],0)))="","",INDEX(tbl_Onsite[Tax Code],IFERROR(MATCH(A218&amp;"",tbl_Onsite[Job Number],0),MATCH(IFERROR(A218+0,A218),tbl_Onsite[Job Number],0)))),IFERROR(IF(INDEX(tbl_Production[Tax Code],IFERROR(MATCH(A218&amp;"",tbl_Production[Job Number],0),MATCH(IFERROR(A218+0,A218),tbl_Production[Job Number],0)))="","",INDEX(tbl_Production[Tax Code],IFERROR(MATCH(A218&amp;"",tbl_Production[Job Number],0),MATCH(IFERROR(A218+0,A218),tbl_Production[Job Number],0)))),IFERROR(IF(INDEX(tbl_Consulting[Tax Code],IFERROR(MATCH(A218&amp;"",tbl_Consulting[Job Number],0),MATCH(IFERROR(A218+0,A218),tbl_Consulting[Job Number],0)))="","",INDEX(tbl_Consulting[Tax Code],IFERROR(MATCH(A218&amp;"",tbl_Consulting[Job Number],0),MATCH(IFERROR(A218+0,A218),tbl_Consulting[Job Number],0)))),"")))="","GST 10%",IFERROR(IF(INDEX(tbl_Onsite[Tax Code],IFERROR(MATCH(A218&amp;"",tbl_Onsite[Job Number],0),MATCH(IFERROR(A218+0,A218),tbl_Onsite[Job Number],0)))="","",INDEX(tbl_Onsite[Tax Code],IFERROR(MATCH(A218&amp;"",tbl_Onsite[Job Number],0),MATCH(IFERROR(A218+0,A218),tbl_Onsite[Job Number],0)))),IFERROR(IF(INDEX(tbl_Production[Tax Code],IFERROR(MATCH(A218&amp;"",tbl_Production[Job Number],0),MATCH(IFERROR(A218+0,A218),tbl_Production[Job Number],0)))="","",INDEX(tbl_Production[Tax Code],IFERROR(MATCH(A218&amp;"",tbl_Production[Job Number],0),MATCH(IFERROR(A218+0,A218),tbl_Production[Job Number],0)))),IFERROR(IF(INDEX(tbl_Consulting[Tax Code],IFERROR(MATCH(A218&amp;"",tbl_Consulting[Job Number],0),MATCH(IFERROR(A218+0,A218),tbl_Consulting[Job Number],0)))="","",INDEX(tbl_Consulting[Tax Code],IFERROR(MATCH(A218&amp;"",tbl_Consulting[Job Number],0),MATCH(IFERROR(A218+0,A218),tbl_Consulting[Job Number],0)))),"")))))</f>
        <v/>
      </c>
      <c r="N218" s="26">
        <f>IF(D218="","",IFERROR(INDEX(lst_CCtoGL,MATCH(D218,lst_CCforGL,0)),""))</f>
        <v/>
      </c>
      <c r="O218" s="27">
        <f>IF(E218="","",IF(M218="GST 10%",ROUND(E218*set_GSTRate,2),0))</f>
        <v/>
      </c>
      <c r="P218" s="27">
        <f>IF(E218="","",E218+O218)</f>
        <v/>
      </c>
      <c r="Q218" s="27">
        <f>IF(A218="","",IFERROR(INDEX(tbl_Onsite[Expected Revenue Ex GST],IFERROR(MATCH(A218&amp;"",tbl_Onsite[Job Number],0),MATCH(IFERROR(A218+0,A218),tbl_Onsite[Job Number],0))),IFERROR(INDEX(tbl_Production[Expected Revenue Ex GST],IFERROR(MATCH(A218&amp;"",tbl_Production[Job Number],0),MATCH(IFERROR(A218+0,A218),tbl_Production[Job Number],0))),IFERROR(INDEX(tbl_Consulting[Expected Revenue Ex GST],IFERROR(MATCH(A218&amp;"",tbl_Consulting[Job Number],0),MATCH(IFERROR(A218+0,A218),tbl_Consulting[Job Number],0))),0))))</f>
        <v/>
      </c>
      <c r="R218" s="27">
        <f>IF(A218="","",SUMIFS(tbl_Finance[Ex GST],tbl_Finance[Job Number],A218&amp;""))</f>
        <v/>
      </c>
      <c r="S218" s="27">
        <f>IF(A218="","",Q218-R218)</f>
        <v/>
      </c>
      <c r="T218" s="26">
        <f>IF(A218="","",IF(Q218=0,"No dept value",IF(ROUND(S218,2)=0,"Agrees",IF(S218&gt;0,"Dept higher - to invoice","Xero higher - check dept"))))</f>
        <v/>
      </c>
      <c r="U218" s="22" t="n"/>
      <c r="V218" s="22" t="n"/>
      <c r="W218" s="23" t="n"/>
      <c r="X218" s="23" t="n"/>
      <c r="Y218" s="22" t="n"/>
      <c r="Z218" s="22" t="n"/>
      <c r="AA218" s="26">
        <f>IF(COUNTA(C218,A218,B218,E218)=0,"",IF(C218="","No date - sits outside every month",IF(A218="","No job number",IF(H218="CHECK","Job number is not in the Xero job list",IF(G218="not set up yet","No department has set this job up - nothing can pull through",IF(D218="","No cost centre",IF(AND(U218="Y",B218=""),"Marked posted to Xero but has no invoice number",IF(N218="","Cost centre has no revenue GL on the Lists sheet",IF(T218="Xero higher - check dept","Invoiced more than the department says the job is worth","")))))))))</f>
        <v/>
      </c>
      <c r="AB218" s="28">
        <f>IF(A218="","",COUNTIFS(tbl_Finance[Job Number],A218&amp;"",tbl_Finance[Ex GST],"&lt;&gt;"))</f>
        <v/>
      </c>
      <c r="AC218" s="27">
        <f>IF(A218="","",SUMIFS(tbl_Finance[Ex GST],tbl_Finance[Job Number],A218&amp;""))</f>
        <v/>
      </c>
      <c r="AD218" s="27">
        <f>IF(A218="","",SUMIFS(tbl_Finance[Ex GST],tbl_Finance[Job Number],A218&amp;"",tbl_Finance[Xero Invoice No],"&lt;&gt;"))</f>
        <v/>
      </c>
      <c r="AE218" s="27">
        <f>IF(A218="","",AC218-AD218)</f>
        <v/>
      </c>
      <c r="AF218" s="26">
        <f>IF(A218="","",IFERROR(IF(INDEX(tbl_Onsite[Qwilr Quote],IFERROR(MATCH(A218&amp;"",tbl_Onsite[Job Number],0),MATCH(IFERROR(A218+0,A218),tbl_Onsite[Job Number],0)))="","",INDEX(tbl_Onsite[Qwilr Quote],IFERROR(MATCH(A218&amp;"",tbl_Onsite[Job Number],0),MATCH(IFERROR(A218+0,A218),tbl_Onsite[Job Number],0)))),IFERROR(IF(IF(INDEX(tbl_Production[Current RMS No],IFERROR(MATCH(A218&amp;"",tbl_Production[Job Number],0),MATCH(IFERROR(A218+0,A218),tbl_Production[Job Number],0)))="",INDEX(tbl_Production[Qwilr Quote],IFERROR(MATCH(A218&amp;"",tbl_Production[Job Number],0),MATCH(IFERROR(A218+0,A218),tbl_Production[Job Number],0))),INDEX(tbl_Production[Current RMS No],IFERROR(MATCH(A218&amp;"",tbl_Production[Job Number],0),MATCH(IFERROR(A218+0,A218),tbl_Production[Job Number],0))))="","",IF(INDEX(tbl_Production[Current RMS No],IFERROR(MATCH(A218&amp;"",tbl_Production[Job Number],0),MATCH(IFERROR(A218+0,A218),tbl_Production[Job Number],0)))="",INDEX(tbl_Production[Qwilr Quote],IFERROR(MATCH(A218&amp;"",tbl_Production[Job Number],0),MATCH(IFERROR(A218+0,A218),tbl_Production[Job Number],0))),INDEX(tbl_Production[Current RMS No],IFERROR(MATCH(A218&amp;"",tbl_Production[Job Number],0),MATCH(IFERROR(A218+0,A218),tbl_Production[Job Number],0))))),IFERROR(IF(INDEX(tbl_Consulting[Qwilr Quote],IFERROR(MATCH(A218&amp;"",tbl_Consulting[Job Number],0),MATCH(IFERROR(A218+0,A218),tbl_Consulting[Job Number],0)))="","",INDEX(tbl_Consulting[Qwilr Quote],IFERROR(MATCH(A218&amp;"",tbl_Consulting[Job Number],0),MATCH(IFERROR(A218+0,A218),tbl_Consulting[Job Number],0)))),""))))</f>
        <v/>
      </c>
      <c r="AG218" s="26">
        <f>IF(AF218="","",IF(AND(LEFT(AF218,4)&lt;&gt;"http",IF(G218="Production",set_RMSBase,set_QwilrBase)=""),"",HYPERLINK(IF(LEFT(AF218,4)="http",AF218,IF(G218="Production",set_RMSBase,set_QwilrBase)&amp;AF218),"Open")))</f>
        <v/>
      </c>
      <c r="AH218" s="27">
        <f>IF(A218="","",IFERROR(INDEX(tbl_Production[Total Expense],IFERROR(MATCH(A218&amp;"",tbl_Production[Job Number],0),MATCH(IFERROR(A218+0,A218),tbl_Production[Job Number],0))),IFERROR(INDEX(tbl_Consulting[Total Expense],IFERROR(MATCH(A218&amp;"",tbl_Consulting[Job Number],0),MATCH(IFERROR(A218+0,A218),tbl_Consulting[Job Number],0))),0)))</f>
        <v/>
      </c>
      <c r="AI218" s="27">
        <f>IF(A218="","",AC218-N(AH218))</f>
        <v/>
      </c>
      <c r="AJ218" s="29">
        <f>IFERROR(AI218/AC218,"")</f>
        <v/>
      </c>
      <c r="AK218" s="26">
        <f>IF(A218="","",IFERROR(IF(INDEX(tbl_Onsite[Notes],IFERROR(MATCH(A218&amp;"",tbl_Onsite[Job Number],0),MATCH(IFERROR(A218+0,A218),tbl_Onsite[Job Number],0)))="","",INDEX(tbl_Onsite[Notes],IFERROR(MATCH(A218&amp;"",tbl_Onsite[Job Number],0),MATCH(IFERROR(A218+0,A218),tbl_Onsite[Job Number],0)))),IFERROR(IF(INDEX(tbl_Production[Notes],IFERROR(MATCH(A218&amp;"",tbl_Production[Job Number],0),MATCH(IFERROR(A218+0,A218),tbl_Production[Job Number],0)))="","",INDEX(tbl_Production[Notes],IFERROR(MATCH(A218&amp;"",tbl_Production[Job Number],0),MATCH(IFERROR(A218+0,A218),tbl_Production[Job Number],0)))),IFERROR(IF(INDEX(tbl_Consulting[Notes],IFERROR(MATCH(A218&amp;"",tbl_Consulting[Job Number],0),MATCH(IFERROR(A218+0,A218),tbl_Consulting[Job Number],0)))="","",INDEX(tbl_Consulting[Notes],IFERROR(MATCH(A218&amp;"",tbl_Consulting[Job Number],0),MATCH(IFERROR(A218+0,A218),tbl_Consulting[Job Number],0)))),""))))</f>
        <v/>
      </c>
    </row>
    <row r="219" ht="15" customHeight="1">
      <c r="A219" s="22" t="n"/>
      <c r="B219" s="22" t="n"/>
      <c r="C219" s="23" t="n"/>
      <c r="D219" s="22" t="n"/>
      <c r="E219" s="24" t="n"/>
      <c r="F219" s="25">
        <f>IF(C219="","",EOMONTH(C219,0))</f>
        <v/>
      </c>
      <c r="G219" s="26">
        <f>IF(A219="","",IF(COUNTIF(tbl_Onsite[Job Number],A219&amp;"")&gt;0,"Onsite",IF(COUNTIF(tbl_Production[Job Number],A219&amp;"")&gt;0,"Production",IF(COUNTIF(tbl_Consulting[Job Number],A219&amp;"")&gt;0,"Consulting","not set up yet"))))</f>
        <v/>
      </c>
      <c r="H219" s="26">
        <f>IF(A219="","",IF(COUNTIF(lst_Jobs,A219&amp;"")&gt;0,"OK","CHECK"))</f>
        <v/>
      </c>
      <c r="I219" s="26">
        <f>IF(A219="","",IFERROR(INDEX(lst_JobName,MATCH(A219&amp;"",lst_Jobs,0)),""))</f>
        <v/>
      </c>
      <c r="J219" s="26">
        <f>IF(A219="","",IFERROR(IF(INDEX(tbl_Onsite[Client],IFERROR(MATCH(A219&amp;"",tbl_Onsite[Job Number],0),MATCH(IFERROR(A219+0,A219),tbl_Onsite[Job Number],0)))="","",INDEX(tbl_Onsite[Client],IFERROR(MATCH(A219&amp;"",tbl_Onsite[Job Number],0),MATCH(IFERROR(A219+0,A219),tbl_Onsite[Job Number],0)))),IFERROR(IF(INDEX(tbl_Production[Client],IFERROR(MATCH(A219&amp;"",tbl_Production[Job Number],0),MATCH(IFERROR(A219+0,A219),tbl_Production[Job Number],0)))="","",INDEX(tbl_Production[Client],IFERROR(MATCH(A219&amp;"",tbl_Production[Job Number],0),MATCH(IFERROR(A219+0,A219),tbl_Production[Job Number],0)))),IFERROR(IF(INDEX(tbl_Consulting[Client],IFERROR(MATCH(A219&amp;"",tbl_Consulting[Job Number],0),MATCH(IFERROR(A219+0,A219),tbl_Consulting[Job Number],0)))="","",INDEX(tbl_Consulting[Client],IFERROR(MATCH(A219&amp;"",tbl_Consulting[Job Number],0),MATCH(IFERROR(A219+0,A219),tbl_Consulting[Job Number],0)))),""))))</f>
        <v/>
      </c>
      <c r="K219" s="26">
        <f>IF(A219="","",IFERROR(IF(INDEX(tbl_Onsite[Job Description],IFERROR(MATCH(A219&amp;"",tbl_Onsite[Job Number],0),MATCH(IFERROR(A219+0,A219),tbl_Onsite[Job Number],0)))="","",INDEX(tbl_Onsite[Job Description],IFERROR(MATCH(A219&amp;"",tbl_Onsite[Job Number],0),MATCH(IFERROR(A219+0,A219),tbl_Onsite[Job Number],0)))),IFERROR(IF(INDEX(tbl_Production[Job Description],IFERROR(MATCH(A219&amp;"",tbl_Production[Job Number],0),MATCH(IFERROR(A219+0,A219),tbl_Production[Job Number],0)))="","",INDEX(tbl_Production[Job Description],IFERROR(MATCH(A219&amp;"",tbl_Production[Job Number],0),MATCH(IFERROR(A219+0,A219),tbl_Production[Job Number],0)))),IFERROR(IF(INDEX(tbl_Consulting[Job Description],IFERROR(MATCH(A219&amp;"",tbl_Consulting[Job Number],0),MATCH(IFERROR(A219+0,A219),tbl_Consulting[Job Number],0)))="","",INDEX(tbl_Consulting[Job Description],IFERROR(MATCH(A219&amp;"",tbl_Consulting[Job Number],0),MATCH(IFERROR(A219+0,A219),tbl_Consulting[Job Number],0)))),""))))</f>
        <v/>
      </c>
      <c r="L219" s="26">
        <f>IF(A219="","",IFERROR(IF(INDEX(tbl_Onsite[Invoice Type],IFERROR(MATCH(A219&amp;"",tbl_Onsite[Job Number],0),MATCH(IFERROR(A219+0,A219),tbl_Onsite[Job Number],0)))="","",INDEX(tbl_Onsite[Invoice Type],IFERROR(MATCH(A219&amp;"",tbl_Onsite[Job Number],0),MATCH(IFERROR(A219+0,A219),tbl_Onsite[Job Number],0)))),IFERROR(IF(INDEX(tbl_Production[Invoice Type],IFERROR(MATCH(A219&amp;"",tbl_Production[Job Number],0),MATCH(IFERROR(A219+0,A219),tbl_Production[Job Number],0)))="","",INDEX(tbl_Production[Invoice Type],IFERROR(MATCH(A219&amp;"",tbl_Production[Job Number],0),MATCH(IFERROR(A219+0,A219),tbl_Production[Job Number],0)))),IFERROR(IF(INDEX(tbl_Consulting[Invoice Type],IFERROR(MATCH(A219&amp;"",tbl_Consulting[Job Number],0),MATCH(IFERROR(A219+0,A219),tbl_Consulting[Job Number],0)))="","",INDEX(tbl_Consulting[Invoice Type],IFERROR(MATCH(A219&amp;"",tbl_Consulting[Job Number],0),MATCH(IFERROR(A219+0,A219),tbl_Consulting[Job Number],0)))),""))))</f>
        <v/>
      </c>
      <c r="M219" s="26">
        <f>IF(A219="","",IF(IFERROR(IF(INDEX(tbl_Onsite[Tax Code],IFERROR(MATCH(A219&amp;"",tbl_Onsite[Job Number],0),MATCH(IFERROR(A219+0,A219),tbl_Onsite[Job Number],0)))="","",INDEX(tbl_Onsite[Tax Code],IFERROR(MATCH(A219&amp;"",tbl_Onsite[Job Number],0),MATCH(IFERROR(A219+0,A219),tbl_Onsite[Job Number],0)))),IFERROR(IF(INDEX(tbl_Production[Tax Code],IFERROR(MATCH(A219&amp;"",tbl_Production[Job Number],0),MATCH(IFERROR(A219+0,A219),tbl_Production[Job Number],0)))="","",INDEX(tbl_Production[Tax Code],IFERROR(MATCH(A219&amp;"",tbl_Production[Job Number],0),MATCH(IFERROR(A219+0,A219),tbl_Production[Job Number],0)))),IFERROR(IF(INDEX(tbl_Consulting[Tax Code],IFERROR(MATCH(A219&amp;"",tbl_Consulting[Job Number],0),MATCH(IFERROR(A219+0,A219),tbl_Consulting[Job Number],0)))="","",INDEX(tbl_Consulting[Tax Code],IFERROR(MATCH(A219&amp;"",tbl_Consulting[Job Number],0),MATCH(IFERROR(A219+0,A219),tbl_Consulting[Job Number],0)))),"")))="","GST 10%",IFERROR(IF(INDEX(tbl_Onsite[Tax Code],IFERROR(MATCH(A219&amp;"",tbl_Onsite[Job Number],0),MATCH(IFERROR(A219+0,A219),tbl_Onsite[Job Number],0)))="","",INDEX(tbl_Onsite[Tax Code],IFERROR(MATCH(A219&amp;"",tbl_Onsite[Job Number],0),MATCH(IFERROR(A219+0,A219),tbl_Onsite[Job Number],0)))),IFERROR(IF(INDEX(tbl_Production[Tax Code],IFERROR(MATCH(A219&amp;"",tbl_Production[Job Number],0),MATCH(IFERROR(A219+0,A219),tbl_Production[Job Number],0)))="","",INDEX(tbl_Production[Tax Code],IFERROR(MATCH(A219&amp;"",tbl_Production[Job Number],0),MATCH(IFERROR(A219+0,A219),tbl_Production[Job Number],0)))),IFERROR(IF(INDEX(tbl_Consulting[Tax Code],IFERROR(MATCH(A219&amp;"",tbl_Consulting[Job Number],0),MATCH(IFERROR(A219+0,A219),tbl_Consulting[Job Number],0)))="","",INDEX(tbl_Consulting[Tax Code],IFERROR(MATCH(A219&amp;"",tbl_Consulting[Job Number],0),MATCH(IFERROR(A219+0,A219),tbl_Consulting[Job Number],0)))),"")))))</f>
        <v/>
      </c>
      <c r="N219" s="26">
        <f>IF(D219="","",IFERROR(INDEX(lst_CCtoGL,MATCH(D219,lst_CCforGL,0)),""))</f>
        <v/>
      </c>
      <c r="O219" s="27">
        <f>IF(E219="","",IF(M219="GST 10%",ROUND(E219*set_GSTRate,2),0))</f>
        <v/>
      </c>
      <c r="P219" s="27">
        <f>IF(E219="","",E219+O219)</f>
        <v/>
      </c>
      <c r="Q219" s="27">
        <f>IF(A219="","",IFERROR(INDEX(tbl_Onsite[Expected Revenue Ex GST],IFERROR(MATCH(A219&amp;"",tbl_Onsite[Job Number],0),MATCH(IFERROR(A219+0,A219),tbl_Onsite[Job Number],0))),IFERROR(INDEX(tbl_Production[Expected Revenue Ex GST],IFERROR(MATCH(A219&amp;"",tbl_Production[Job Number],0),MATCH(IFERROR(A219+0,A219),tbl_Production[Job Number],0))),IFERROR(INDEX(tbl_Consulting[Expected Revenue Ex GST],IFERROR(MATCH(A219&amp;"",tbl_Consulting[Job Number],0),MATCH(IFERROR(A219+0,A219),tbl_Consulting[Job Number],0))),0))))</f>
        <v/>
      </c>
      <c r="R219" s="27">
        <f>IF(A219="","",SUMIFS(tbl_Finance[Ex GST],tbl_Finance[Job Number],A219&amp;""))</f>
        <v/>
      </c>
      <c r="S219" s="27">
        <f>IF(A219="","",Q219-R219)</f>
        <v/>
      </c>
      <c r="T219" s="26">
        <f>IF(A219="","",IF(Q219=0,"No dept value",IF(ROUND(S219,2)=0,"Agrees",IF(S219&gt;0,"Dept higher - to invoice","Xero higher - check dept"))))</f>
        <v/>
      </c>
      <c r="U219" s="22" t="n"/>
      <c r="V219" s="22" t="n"/>
      <c r="W219" s="23" t="n"/>
      <c r="X219" s="23" t="n"/>
      <c r="Y219" s="22" t="n"/>
      <c r="Z219" s="22" t="n"/>
      <c r="AA219" s="26">
        <f>IF(COUNTA(C219,A219,B219,E219)=0,"",IF(C219="","No date - sits outside every month",IF(A219="","No job number",IF(H219="CHECK","Job number is not in the Xero job list",IF(G219="not set up yet","No department has set this job up - nothing can pull through",IF(D219="","No cost centre",IF(AND(U219="Y",B219=""),"Marked posted to Xero but has no invoice number",IF(N219="","Cost centre has no revenue GL on the Lists sheet",IF(T219="Xero higher - check dept","Invoiced more than the department says the job is worth","")))))))))</f>
        <v/>
      </c>
      <c r="AB219" s="28">
        <f>IF(A219="","",COUNTIFS(tbl_Finance[Job Number],A219&amp;"",tbl_Finance[Ex GST],"&lt;&gt;"))</f>
        <v/>
      </c>
      <c r="AC219" s="27">
        <f>IF(A219="","",SUMIFS(tbl_Finance[Ex GST],tbl_Finance[Job Number],A219&amp;""))</f>
        <v/>
      </c>
      <c r="AD219" s="27">
        <f>IF(A219="","",SUMIFS(tbl_Finance[Ex GST],tbl_Finance[Job Number],A219&amp;"",tbl_Finance[Xero Invoice No],"&lt;&gt;"))</f>
        <v/>
      </c>
      <c r="AE219" s="27">
        <f>IF(A219="","",AC219-AD219)</f>
        <v/>
      </c>
      <c r="AF219" s="26">
        <f>IF(A219="","",IFERROR(IF(INDEX(tbl_Onsite[Qwilr Quote],IFERROR(MATCH(A219&amp;"",tbl_Onsite[Job Number],0),MATCH(IFERROR(A219+0,A219),tbl_Onsite[Job Number],0)))="","",INDEX(tbl_Onsite[Qwilr Quote],IFERROR(MATCH(A219&amp;"",tbl_Onsite[Job Number],0),MATCH(IFERROR(A219+0,A219),tbl_Onsite[Job Number],0)))),IFERROR(IF(IF(INDEX(tbl_Production[Current RMS No],IFERROR(MATCH(A219&amp;"",tbl_Production[Job Number],0),MATCH(IFERROR(A219+0,A219),tbl_Production[Job Number],0)))="",INDEX(tbl_Production[Qwilr Quote],IFERROR(MATCH(A219&amp;"",tbl_Production[Job Number],0),MATCH(IFERROR(A219+0,A219),tbl_Production[Job Number],0))),INDEX(tbl_Production[Current RMS No],IFERROR(MATCH(A219&amp;"",tbl_Production[Job Number],0),MATCH(IFERROR(A219+0,A219),tbl_Production[Job Number],0))))="","",IF(INDEX(tbl_Production[Current RMS No],IFERROR(MATCH(A219&amp;"",tbl_Production[Job Number],0),MATCH(IFERROR(A219+0,A219),tbl_Production[Job Number],0)))="",INDEX(tbl_Production[Qwilr Quote],IFERROR(MATCH(A219&amp;"",tbl_Production[Job Number],0),MATCH(IFERROR(A219+0,A219),tbl_Production[Job Number],0))),INDEX(tbl_Production[Current RMS No],IFERROR(MATCH(A219&amp;"",tbl_Production[Job Number],0),MATCH(IFERROR(A219+0,A219),tbl_Production[Job Number],0))))),IFERROR(IF(INDEX(tbl_Consulting[Qwilr Quote],IFERROR(MATCH(A219&amp;"",tbl_Consulting[Job Number],0),MATCH(IFERROR(A219+0,A219),tbl_Consulting[Job Number],0)))="","",INDEX(tbl_Consulting[Qwilr Quote],IFERROR(MATCH(A219&amp;"",tbl_Consulting[Job Number],0),MATCH(IFERROR(A219+0,A219),tbl_Consulting[Job Number],0)))),""))))</f>
        <v/>
      </c>
      <c r="AG219" s="26">
        <f>IF(AF219="","",IF(AND(LEFT(AF219,4)&lt;&gt;"http",IF(G219="Production",set_RMSBase,set_QwilrBase)=""),"",HYPERLINK(IF(LEFT(AF219,4)="http",AF219,IF(G219="Production",set_RMSBase,set_QwilrBase)&amp;AF219),"Open")))</f>
        <v/>
      </c>
      <c r="AH219" s="27">
        <f>IF(A219="","",IFERROR(INDEX(tbl_Production[Total Expense],IFERROR(MATCH(A219&amp;"",tbl_Production[Job Number],0),MATCH(IFERROR(A219+0,A219),tbl_Production[Job Number],0))),IFERROR(INDEX(tbl_Consulting[Total Expense],IFERROR(MATCH(A219&amp;"",tbl_Consulting[Job Number],0),MATCH(IFERROR(A219+0,A219),tbl_Consulting[Job Number],0))),0)))</f>
        <v/>
      </c>
      <c r="AI219" s="27">
        <f>IF(A219="","",AC219-N(AH219))</f>
        <v/>
      </c>
      <c r="AJ219" s="29">
        <f>IFERROR(AI219/AC219,"")</f>
        <v/>
      </c>
      <c r="AK219" s="26">
        <f>IF(A219="","",IFERROR(IF(INDEX(tbl_Onsite[Notes],IFERROR(MATCH(A219&amp;"",tbl_Onsite[Job Number],0),MATCH(IFERROR(A219+0,A219),tbl_Onsite[Job Number],0)))="","",INDEX(tbl_Onsite[Notes],IFERROR(MATCH(A219&amp;"",tbl_Onsite[Job Number],0),MATCH(IFERROR(A219+0,A219),tbl_Onsite[Job Number],0)))),IFERROR(IF(INDEX(tbl_Production[Notes],IFERROR(MATCH(A219&amp;"",tbl_Production[Job Number],0),MATCH(IFERROR(A219+0,A219),tbl_Production[Job Number],0)))="","",INDEX(tbl_Production[Notes],IFERROR(MATCH(A219&amp;"",tbl_Production[Job Number],0),MATCH(IFERROR(A219+0,A219),tbl_Production[Job Number],0)))),IFERROR(IF(INDEX(tbl_Consulting[Notes],IFERROR(MATCH(A219&amp;"",tbl_Consulting[Job Number],0),MATCH(IFERROR(A219+0,A219),tbl_Consulting[Job Number],0)))="","",INDEX(tbl_Consulting[Notes],IFERROR(MATCH(A219&amp;"",tbl_Consulting[Job Number],0),MATCH(IFERROR(A219+0,A219),tbl_Consulting[Job Number],0)))),""))))</f>
        <v/>
      </c>
    </row>
    <row r="220" ht="15" customHeight="1">
      <c r="A220" s="22" t="n"/>
      <c r="B220" s="22" t="n"/>
      <c r="C220" s="23" t="n"/>
      <c r="D220" s="22" t="n"/>
      <c r="E220" s="24" t="n"/>
      <c r="F220" s="25">
        <f>IF(C220="","",EOMONTH(C220,0))</f>
        <v/>
      </c>
      <c r="G220" s="26">
        <f>IF(A220="","",IF(COUNTIF(tbl_Onsite[Job Number],A220&amp;"")&gt;0,"Onsite",IF(COUNTIF(tbl_Production[Job Number],A220&amp;"")&gt;0,"Production",IF(COUNTIF(tbl_Consulting[Job Number],A220&amp;"")&gt;0,"Consulting","not set up yet"))))</f>
        <v/>
      </c>
      <c r="H220" s="26">
        <f>IF(A220="","",IF(COUNTIF(lst_Jobs,A220&amp;"")&gt;0,"OK","CHECK"))</f>
        <v/>
      </c>
      <c r="I220" s="26">
        <f>IF(A220="","",IFERROR(INDEX(lst_JobName,MATCH(A220&amp;"",lst_Jobs,0)),""))</f>
        <v/>
      </c>
      <c r="J220" s="26">
        <f>IF(A220="","",IFERROR(IF(INDEX(tbl_Onsite[Client],IFERROR(MATCH(A220&amp;"",tbl_Onsite[Job Number],0),MATCH(IFERROR(A220+0,A220),tbl_Onsite[Job Number],0)))="","",INDEX(tbl_Onsite[Client],IFERROR(MATCH(A220&amp;"",tbl_Onsite[Job Number],0),MATCH(IFERROR(A220+0,A220),tbl_Onsite[Job Number],0)))),IFERROR(IF(INDEX(tbl_Production[Client],IFERROR(MATCH(A220&amp;"",tbl_Production[Job Number],0),MATCH(IFERROR(A220+0,A220),tbl_Production[Job Number],0)))="","",INDEX(tbl_Production[Client],IFERROR(MATCH(A220&amp;"",tbl_Production[Job Number],0),MATCH(IFERROR(A220+0,A220),tbl_Production[Job Number],0)))),IFERROR(IF(INDEX(tbl_Consulting[Client],IFERROR(MATCH(A220&amp;"",tbl_Consulting[Job Number],0),MATCH(IFERROR(A220+0,A220),tbl_Consulting[Job Number],0)))="","",INDEX(tbl_Consulting[Client],IFERROR(MATCH(A220&amp;"",tbl_Consulting[Job Number],0),MATCH(IFERROR(A220+0,A220),tbl_Consulting[Job Number],0)))),""))))</f>
        <v/>
      </c>
      <c r="K220" s="26">
        <f>IF(A220="","",IFERROR(IF(INDEX(tbl_Onsite[Job Description],IFERROR(MATCH(A220&amp;"",tbl_Onsite[Job Number],0),MATCH(IFERROR(A220+0,A220),tbl_Onsite[Job Number],0)))="","",INDEX(tbl_Onsite[Job Description],IFERROR(MATCH(A220&amp;"",tbl_Onsite[Job Number],0),MATCH(IFERROR(A220+0,A220),tbl_Onsite[Job Number],0)))),IFERROR(IF(INDEX(tbl_Production[Job Description],IFERROR(MATCH(A220&amp;"",tbl_Production[Job Number],0),MATCH(IFERROR(A220+0,A220),tbl_Production[Job Number],0)))="","",INDEX(tbl_Production[Job Description],IFERROR(MATCH(A220&amp;"",tbl_Production[Job Number],0),MATCH(IFERROR(A220+0,A220),tbl_Production[Job Number],0)))),IFERROR(IF(INDEX(tbl_Consulting[Job Description],IFERROR(MATCH(A220&amp;"",tbl_Consulting[Job Number],0),MATCH(IFERROR(A220+0,A220),tbl_Consulting[Job Number],0)))="","",INDEX(tbl_Consulting[Job Description],IFERROR(MATCH(A220&amp;"",tbl_Consulting[Job Number],0),MATCH(IFERROR(A220+0,A220),tbl_Consulting[Job Number],0)))),""))))</f>
        <v/>
      </c>
      <c r="L220" s="26">
        <f>IF(A220="","",IFERROR(IF(INDEX(tbl_Onsite[Invoice Type],IFERROR(MATCH(A220&amp;"",tbl_Onsite[Job Number],0),MATCH(IFERROR(A220+0,A220),tbl_Onsite[Job Number],0)))="","",INDEX(tbl_Onsite[Invoice Type],IFERROR(MATCH(A220&amp;"",tbl_Onsite[Job Number],0),MATCH(IFERROR(A220+0,A220),tbl_Onsite[Job Number],0)))),IFERROR(IF(INDEX(tbl_Production[Invoice Type],IFERROR(MATCH(A220&amp;"",tbl_Production[Job Number],0),MATCH(IFERROR(A220+0,A220),tbl_Production[Job Number],0)))="","",INDEX(tbl_Production[Invoice Type],IFERROR(MATCH(A220&amp;"",tbl_Production[Job Number],0),MATCH(IFERROR(A220+0,A220),tbl_Production[Job Number],0)))),IFERROR(IF(INDEX(tbl_Consulting[Invoice Type],IFERROR(MATCH(A220&amp;"",tbl_Consulting[Job Number],0),MATCH(IFERROR(A220+0,A220),tbl_Consulting[Job Number],0)))="","",INDEX(tbl_Consulting[Invoice Type],IFERROR(MATCH(A220&amp;"",tbl_Consulting[Job Number],0),MATCH(IFERROR(A220+0,A220),tbl_Consulting[Job Number],0)))),""))))</f>
        <v/>
      </c>
      <c r="M220" s="26">
        <f>IF(A220="","",IF(IFERROR(IF(INDEX(tbl_Onsite[Tax Code],IFERROR(MATCH(A220&amp;"",tbl_Onsite[Job Number],0),MATCH(IFERROR(A220+0,A220),tbl_Onsite[Job Number],0)))="","",INDEX(tbl_Onsite[Tax Code],IFERROR(MATCH(A220&amp;"",tbl_Onsite[Job Number],0),MATCH(IFERROR(A220+0,A220),tbl_Onsite[Job Number],0)))),IFERROR(IF(INDEX(tbl_Production[Tax Code],IFERROR(MATCH(A220&amp;"",tbl_Production[Job Number],0),MATCH(IFERROR(A220+0,A220),tbl_Production[Job Number],0)))="","",INDEX(tbl_Production[Tax Code],IFERROR(MATCH(A220&amp;"",tbl_Production[Job Number],0),MATCH(IFERROR(A220+0,A220),tbl_Production[Job Number],0)))),IFERROR(IF(INDEX(tbl_Consulting[Tax Code],IFERROR(MATCH(A220&amp;"",tbl_Consulting[Job Number],0),MATCH(IFERROR(A220+0,A220),tbl_Consulting[Job Number],0)))="","",INDEX(tbl_Consulting[Tax Code],IFERROR(MATCH(A220&amp;"",tbl_Consulting[Job Number],0),MATCH(IFERROR(A220+0,A220),tbl_Consulting[Job Number],0)))),"")))="","GST 10%",IFERROR(IF(INDEX(tbl_Onsite[Tax Code],IFERROR(MATCH(A220&amp;"",tbl_Onsite[Job Number],0),MATCH(IFERROR(A220+0,A220),tbl_Onsite[Job Number],0)))="","",INDEX(tbl_Onsite[Tax Code],IFERROR(MATCH(A220&amp;"",tbl_Onsite[Job Number],0),MATCH(IFERROR(A220+0,A220),tbl_Onsite[Job Number],0)))),IFERROR(IF(INDEX(tbl_Production[Tax Code],IFERROR(MATCH(A220&amp;"",tbl_Production[Job Number],0),MATCH(IFERROR(A220+0,A220),tbl_Production[Job Number],0)))="","",INDEX(tbl_Production[Tax Code],IFERROR(MATCH(A220&amp;"",tbl_Production[Job Number],0),MATCH(IFERROR(A220+0,A220),tbl_Production[Job Number],0)))),IFERROR(IF(INDEX(tbl_Consulting[Tax Code],IFERROR(MATCH(A220&amp;"",tbl_Consulting[Job Number],0),MATCH(IFERROR(A220+0,A220),tbl_Consulting[Job Number],0)))="","",INDEX(tbl_Consulting[Tax Code],IFERROR(MATCH(A220&amp;"",tbl_Consulting[Job Number],0),MATCH(IFERROR(A220+0,A220),tbl_Consulting[Job Number],0)))),"")))))</f>
        <v/>
      </c>
      <c r="N220" s="26">
        <f>IF(D220="","",IFERROR(INDEX(lst_CCtoGL,MATCH(D220,lst_CCforGL,0)),""))</f>
        <v/>
      </c>
      <c r="O220" s="27">
        <f>IF(E220="","",IF(M220="GST 10%",ROUND(E220*set_GSTRate,2),0))</f>
        <v/>
      </c>
      <c r="P220" s="27">
        <f>IF(E220="","",E220+O220)</f>
        <v/>
      </c>
      <c r="Q220" s="27">
        <f>IF(A220="","",IFERROR(INDEX(tbl_Onsite[Expected Revenue Ex GST],IFERROR(MATCH(A220&amp;"",tbl_Onsite[Job Number],0),MATCH(IFERROR(A220+0,A220),tbl_Onsite[Job Number],0))),IFERROR(INDEX(tbl_Production[Expected Revenue Ex GST],IFERROR(MATCH(A220&amp;"",tbl_Production[Job Number],0),MATCH(IFERROR(A220+0,A220),tbl_Production[Job Number],0))),IFERROR(INDEX(tbl_Consulting[Expected Revenue Ex GST],IFERROR(MATCH(A220&amp;"",tbl_Consulting[Job Number],0),MATCH(IFERROR(A220+0,A220),tbl_Consulting[Job Number],0))),0))))</f>
        <v/>
      </c>
      <c r="R220" s="27">
        <f>IF(A220="","",SUMIFS(tbl_Finance[Ex GST],tbl_Finance[Job Number],A220&amp;""))</f>
        <v/>
      </c>
      <c r="S220" s="27">
        <f>IF(A220="","",Q220-R220)</f>
        <v/>
      </c>
      <c r="T220" s="26">
        <f>IF(A220="","",IF(Q220=0,"No dept value",IF(ROUND(S220,2)=0,"Agrees",IF(S220&gt;0,"Dept higher - to invoice","Xero higher - check dept"))))</f>
        <v/>
      </c>
      <c r="U220" s="22" t="n"/>
      <c r="V220" s="22" t="n"/>
      <c r="W220" s="23" t="n"/>
      <c r="X220" s="23" t="n"/>
      <c r="Y220" s="22" t="n"/>
      <c r="Z220" s="22" t="n"/>
      <c r="AA220" s="26">
        <f>IF(COUNTA(C220,A220,B220,E220)=0,"",IF(C220="","No date - sits outside every month",IF(A220="","No job number",IF(H220="CHECK","Job number is not in the Xero job list",IF(G220="not set up yet","No department has set this job up - nothing can pull through",IF(D220="","No cost centre",IF(AND(U220="Y",B220=""),"Marked posted to Xero but has no invoice number",IF(N220="","Cost centre has no revenue GL on the Lists sheet",IF(T220="Xero higher - check dept","Invoiced more than the department says the job is worth","")))))))))</f>
        <v/>
      </c>
      <c r="AB220" s="28">
        <f>IF(A220="","",COUNTIFS(tbl_Finance[Job Number],A220&amp;"",tbl_Finance[Ex GST],"&lt;&gt;"))</f>
        <v/>
      </c>
      <c r="AC220" s="27">
        <f>IF(A220="","",SUMIFS(tbl_Finance[Ex GST],tbl_Finance[Job Number],A220&amp;""))</f>
        <v/>
      </c>
      <c r="AD220" s="27">
        <f>IF(A220="","",SUMIFS(tbl_Finance[Ex GST],tbl_Finance[Job Number],A220&amp;"",tbl_Finance[Xero Invoice No],"&lt;&gt;"))</f>
        <v/>
      </c>
      <c r="AE220" s="27">
        <f>IF(A220="","",AC220-AD220)</f>
        <v/>
      </c>
      <c r="AF220" s="26">
        <f>IF(A220="","",IFERROR(IF(INDEX(tbl_Onsite[Qwilr Quote],IFERROR(MATCH(A220&amp;"",tbl_Onsite[Job Number],0),MATCH(IFERROR(A220+0,A220),tbl_Onsite[Job Number],0)))="","",INDEX(tbl_Onsite[Qwilr Quote],IFERROR(MATCH(A220&amp;"",tbl_Onsite[Job Number],0),MATCH(IFERROR(A220+0,A220),tbl_Onsite[Job Number],0)))),IFERROR(IF(IF(INDEX(tbl_Production[Current RMS No],IFERROR(MATCH(A220&amp;"",tbl_Production[Job Number],0),MATCH(IFERROR(A220+0,A220),tbl_Production[Job Number],0)))="",INDEX(tbl_Production[Qwilr Quote],IFERROR(MATCH(A220&amp;"",tbl_Production[Job Number],0),MATCH(IFERROR(A220+0,A220),tbl_Production[Job Number],0))),INDEX(tbl_Production[Current RMS No],IFERROR(MATCH(A220&amp;"",tbl_Production[Job Number],0),MATCH(IFERROR(A220+0,A220),tbl_Production[Job Number],0))))="","",IF(INDEX(tbl_Production[Current RMS No],IFERROR(MATCH(A220&amp;"",tbl_Production[Job Number],0),MATCH(IFERROR(A220+0,A220),tbl_Production[Job Number],0)))="",INDEX(tbl_Production[Qwilr Quote],IFERROR(MATCH(A220&amp;"",tbl_Production[Job Number],0),MATCH(IFERROR(A220+0,A220),tbl_Production[Job Number],0))),INDEX(tbl_Production[Current RMS No],IFERROR(MATCH(A220&amp;"",tbl_Production[Job Number],0),MATCH(IFERROR(A220+0,A220),tbl_Production[Job Number],0))))),IFERROR(IF(INDEX(tbl_Consulting[Qwilr Quote],IFERROR(MATCH(A220&amp;"",tbl_Consulting[Job Number],0),MATCH(IFERROR(A220+0,A220),tbl_Consulting[Job Number],0)))="","",INDEX(tbl_Consulting[Qwilr Quote],IFERROR(MATCH(A220&amp;"",tbl_Consulting[Job Number],0),MATCH(IFERROR(A220+0,A220),tbl_Consulting[Job Number],0)))),""))))</f>
        <v/>
      </c>
      <c r="AG220" s="26">
        <f>IF(AF220="","",IF(AND(LEFT(AF220,4)&lt;&gt;"http",IF(G220="Production",set_RMSBase,set_QwilrBase)=""),"",HYPERLINK(IF(LEFT(AF220,4)="http",AF220,IF(G220="Production",set_RMSBase,set_QwilrBase)&amp;AF220),"Open")))</f>
        <v/>
      </c>
      <c r="AH220" s="27">
        <f>IF(A220="","",IFERROR(INDEX(tbl_Production[Total Expense],IFERROR(MATCH(A220&amp;"",tbl_Production[Job Number],0),MATCH(IFERROR(A220+0,A220),tbl_Production[Job Number],0))),IFERROR(INDEX(tbl_Consulting[Total Expense],IFERROR(MATCH(A220&amp;"",tbl_Consulting[Job Number],0),MATCH(IFERROR(A220+0,A220),tbl_Consulting[Job Number],0))),0)))</f>
        <v/>
      </c>
      <c r="AI220" s="27">
        <f>IF(A220="","",AC220-N(AH220))</f>
        <v/>
      </c>
      <c r="AJ220" s="29">
        <f>IFERROR(AI220/AC220,"")</f>
        <v/>
      </c>
      <c r="AK220" s="26">
        <f>IF(A220="","",IFERROR(IF(INDEX(tbl_Onsite[Notes],IFERROR(MATCH(A220&amp;"",tbl_Onsite[Job Number],0),MATCH(IFERROR(A220+0,A220),tbl_Onsite[Job Number],0)))="","",INDEX(tbl_Onsite[Notes],IFERROR(MATCH(A220&amp;"",tbl_Onsite[Job Number],0),MATCH(IFERROR(A220+0,A220),tbl_Onsite[Job Number],0)))),IFERROR(IF(INDEX(tbl_Production[Notes],IFERROR(MATCH(A220&amp;"",tbl_Production[Job Number],0),MATCH(IFERROR(A220+0,A220),tbl_Production[Job Number],0)))="","",INDEX(tbl_Production[Notes],IFERROR(MATCH(A220&amp;"",tbl_Production[Job Number],0),MATCH(IFERROR(A220+0,A220),tbl_Production[Job Number],0)))),IFERROR(IF(INDEX(tbl_Consulting[Notes],IFERROR(MATCH(A220&amp;"",tbl_Consulting[Job Number],0),MATCH(IFERROR(A220+0,A220),tbl_Consulting[Job Number],0)))="","",INDEX(tbl_Consulting[Notes],IFERROR(MATCH(A220&amp;"",tbl_Consulting[Job Number],0),MATCH(IFERROR(A220+0,A220),tbl_Consulting[Job Number],0)))),""))))</f>
        <v/>
      </c>
    </row>
    <row r="221" ht="15" customHeight="1">
      <c r="A221" s="22" t="n"/>
      <c r="B221" s="22" t="n"/>
      <c r="C221" s="23" t="n"/>
      <c r="D221" s="22" t="n"/>
      <c r="E221" s="24" t="n"/>
      <c r="F221" s="25">
        <f>IF(C221="","",EOMONTH(C221,0))</f>
        <v/>
      </c>
      <c r="G221" s="26">
        <f>IF(A221="","",IF(COUNTIF(tbl_Onsite[Job Number],A221&amp;"")&gt;0,"Onsite",IF(COUNTIF(tbl_Production[Job Number],A221&amp;"")&gt;0,"Production",IF(COUNTIF(tbl_Consulting[Job Number],A221&amp;"")&gt;0,"Consulting","not set up yet"))))</f>
        <v/>
      </c>
      <c r="H221" s="26">
        <f>IF(A221="","",IF(COUNTIF(lst_Jobs,A221&amp;"")&gt;0,"OK","CHECK"))</f>
        <v/>
      </c>
      <c r="I221" s="26">
        <f>IF(A221="","",IFERROR(INDEX(lst_JobName,MATCH(A221&amp;"",lst_Jobs,0)),""))</f>
        <v/>
      </c>
      <c r="J221" s="26">
        <f>IF(A221="","",IFERROR(IF(INDEX(tbl_Onsite[Client],IFERROR(MATCH(A221&amp;"",tbl_Onsite[Job Number],0),MATCH(IFERROR(A221+0,A221),tbl_Onsite[Job Number],0)))="","",INDEX(tbl_Onsite[Client],IFERROR(MATCH(A221&amp;"",tbl_Onsite[Job Number],0),MATCH(IFERROR(A221+0,A221),tbl_Onsite[Job Number],0)))),IFERROR(IF(INDEX(tbl_Production[Client],IFERROR(MATCH(A221&amp;"",tbl_Production[Job Number],0),MATCH(IFERROR(A221+0,A221),tbl_Production[Job Number],0)))="","",INDEX(tbl_Production[Client],IFERROR(MATCH(A221&amp;"",tbl_Production[Job Number],0),MATCH(IFERROR(A221+0,A221),tbl_Production[Job Number],0)))),IFERROR(IF(INDEX(tbl_Consulting[Client],IFERROR(MATCH(A221&amp;"",tbl_Consulting[Job Number],0),MATCH(IFERROR(A221+0,A221),tbl_Consulting[Job Number],0)))="","",INDEX(tbl_Consulting[Client],IFERROR(MATCH(A221&amp;"",tbl_Consulting[Job Number],0),MATCH(IFERROR(A221+0,A221),tbl_Consulting[Job Number],0)))),""))))</f>
        <v/>
      </c>
      <c r="K221" s="26">
        <f>IF(A221="","",IFERROR(IF(INDEX(tbl_Onsite[Job Description],IFERROR(MATCH(A221&amp;"",tbl_Onsite[Job Number],0),MATCH(IFERROR(A221+0,A221),tbl_Onsite[Job Number],0)))="","",INDEX(tbl_Onsite[Job Description],IFERROR(MATCH(A221&amp;"",tbl_Onsite[Job Number],0),MATCH(IFERROR(A221+0,A221),tbl_Onsite[Job Number],0)))),IFERROR(IF(INDEX(tbl_Production[Job Description],IFERROR(MATCH(A221&amp;"",tbl_Production[Job Number],0),MATCH(IFERROR(A221+0,A221),tbl_Production[Job Number],0)))="","",INDEX(tbl_Production[Job Description],IFERROR(MATCH(A221&amp;"",tbl_Production[Job Number],0),MATCH(IFERROR(A221+0,A221),tbl_Production[Job Number],0)))),IFERROR(IF(INDEX(tbl_Consulting[Job Description],IFERROR(MATCH(A221&amp;"",tbl_Consulting[Job Number],0),MATCH(IFERROR(A221+0,A221),tbl_Consulting[Job Number],0)))="","",INDEX(tbl_Consulting[Job Description],IFERROR(MATCH(A221&amp;"",tbl_Consulting[Job Number],0),MATCH(IFERROR(A221+0,A221),tbl_Consulting[Job Number],0)))),""))))</f>
        <v/>
      </c>
      <c r="L221" s="26">
        <f>IF(A221="","",IFERROR(IF(INDEX(tbl_Onsite[Invoice Type],IFERROR(MATCH(A221&amp;"",tbl_Onsite[Job Number],0),MATCH(IFERROR(A221+0,A221),tbl_Onsite[Job Number],0)))="","",INDEX(tbl_Onsite[Invoice Type],IFERROR(MATCH(A221&amp;"",tbl_Onsite[Job Number],0),MATCH(IFERROR(A221+0,A221),tbl_Onsite[Job Number],0)))),IFERROR(IF(INDEX(tbl_Production[Invoice Type],IFERROR(MATCH(A221&amp;"",tbl_Production[Job Number],0),MATCH(IFERROR(A221+0,A221),tbl_Production[Job Number],0)))="","",INDEX(tbl_Production[Invoice Type],IFERROR(MATCH(A221&amp;"",tbl_Production[Job Number],0),MATCH(IFERROR(A221+0,A221),tbl_Production[Job Number],0)))),IFERROR(IF(INDEX(tbl_Consulting[Invoice Type],IFERROR(MATCH(A221&amp;"",tbl_Consulting[Job Number],0),MATCH(IFERROR(A221+0,A221),tbl_Consulting[Job Number],0)))="","",INDEX(tbl_Consulting[Invoice Type],IFERROR(MATCH(A221&amp;"",tbl_Consulting[Job Number],0),MATCH(IFERROR(A221+0,A221),tbl_Consulting[Job Number],0)))),""))))</f>
        <v/>
      </c>
      <c r="M221" s="26">
        <f>IF(A221="","",IF(IFERROR(IF(INDEX(tbl_Onsite[Tax Code],IFERROR(MATCH(A221&amp;"",tbl_Onsite[Job Number],0),MATCH(IFERROR(A221+0,A221),tbl_Onsite[Job Number],0)))="","",INDEX(tbl_Onsite[Tax Code],IFERROR(MATCH(A221&amp;"",tbl_Onsite[Job Number],0),MATCH(IFERROR(A221+0,A221),tbl_Onsite[Job Number],0)))),IFERROR(IF(INDEX(tbl_Production[Tax Code],IFERROR(MATCH(A221&amp;"",tbl_Production[Job Number],0),MATCH(IFERROR(A221+0,A221),tbl_Production[Job Number],0)))="","",INDEX(tbl_Production[Tax Code],IFERROR(MATCH(A221&amp;"",tbl_Production[Job Number],0),MATCH(IFERROR(A221+0,A221),tbl_Production[Job Number],0)))),IFERROR(IF(INDEX(tbl_Consulting[Tax Code],IFERROR(MATCH(A221&amp;"",tbl_Consulting[Job Number],0),MATCH(IFERROR(A221+0,A221),tbl_Consulting[Job Number],0)))="","",INDEX(tbl_Consulting[Tax Code],IFERROR(MATCH(A221&amp;"",tbl_Consulting[Job Number],0),MATCH(IFERROR(A221+0,A221),tbl_Consulting[Job Number],0)))),"")))="","GST 10%",IFERROR(IF(INDEX(tbl_Onsite[Tax Code],IFERROR(MATCH(A221&amp;"",tbl_Onsite[Job Number],0),MATCH(IFERROR(A221+0,A221),tbl_Onsite[Job Number],0)))="","",INDEX(tbl_Onsite[Tax Code],IFERROR(MATCH(A221&amp;"",tbl_Onsite[Job Number],0),MATCH(IFERROR(A221+0,A221),tbl_Onsite[Job Number],0)))),IFERROR(IF(INDEX(tbl_Production[Tax Code],IFERROR(MATCH(A221&amp;"",tbl_Production[Job Number],0),MATCH(IFERROR(A221+0,A221),tbl_Production[Job Number],0)))="","",INDEX(tbl_Production[Tax Code],IFERROR(MATCH(A221&amp;"",tbl_Production[Job Number],0),MATCH(IFERROR(A221+0,A221),tbl_Production[Job Number],0)))),IFERROR(IF(INDEX(tbl_Consulting[Tax Code],IFERROR(MATCH(A221&amp;"",tbl_Consulting[Job Number],0),MATCH(IFERROR(A221+0,A221),tbl_Consulting[Job Number],0)))="","",INDEX(tbl_Consulting[Tax Code],IFERROR(MATCH(A221&amp;"",tbl_Consulting[Job Number],0),MATCH(IFERROR(A221+0,A221),tbl_Consulting[Job Number],0)))),"")))))</f>
        <v/>
      </c>
      <c r="N221" s="26">
        <f>IF(D221="","",IFERROR(INDEX(lst_CCtoGL,MATCH(D221,lst_CCforGL,0)),""))</f>
        <v/>
      </c>
      <c r="O221" s="27">
        <f>IF(E221="","",IF(M221="GST 10%",ROUND(E221*set_GSTRate,2),0))</f>
        <v/>
      </c>
      <c r="P221" s="27">
        <f>IF(E221="","",E221+O221)</f>
        <v/>
      </c>
      <c r="Q221" s="27">
        <f>IF(A221="","",IFERROR(INDEX(tbl_Onsite[Expected Revenue Ex GST],IFERROR(MATCH(A221&amp;"",tbl_Onsite[Job Number],0),MATCH(IFERROR(A221+0,A221),tbl_Onsite[Job Number],0))),IFERROR(INDEX(tbl_Production[Expected Revenue Ex GST],IFERROR(MATCH(A221&amp;"",tbl_Production[Job Number],0),MATCH(IFERROR(A221+0,A221),tbl_Production[Job Number],0))),IFERROR(INDEX(tbl_Consulting[Expected Revenue Ex GST],IFERROR(MATCH(A221&amp;"",tbl_Consulting[Job Number],0),MATCH(IFERROR(A221+0,A221),tbl_Consulting[Job Number],0))),0))))</f>
        <v/>
      </c>
      <c r="R221" s="27">
        <f>IF(A221="","",SUMIFS(tbl_Finance[Ex GST],tbl_Finance[Job Number],A221&amp;""))</f>
        <v/>
      </c>
      <c r="S221" s="27">
        <f>IF(A221="","",Q221-R221)</f>
        <v/>
      </c>
      <c r="T221" s="26">
        <f>IF(A221="","",IF(Q221=0,"No dept value",IF(ROUND(S221,2)=0,"Agrees",IF(S221&gt;0,"Dept higher - to invoice","Xero higher - check dept"))))</f>
        <v/>
      </c>
      <c r="U221" s="22" t="n"/>
      <c r="V221" s="22" t="n"/>
      <c r="W221" s="23" t="n"/>
      <c r="X221" s="23" t="n"/>
      <c r="Y221" s="22" t="n"/>
      <c r="Z221" s="22" t="n"/>
      <c r="AA221" s="26">
        <f>IF(COUNTA(C221,A221,B221,E221)=0,"",IF(C221="","No date - sits outside every month",IF(A221="","No job number",IF(H221="CHECK","Job number is not in the Xero job list",IF(G221="not set up yet","No department has set this job up - nothing can pull through",IF(D221="","No cost centre",IF(AND(U221="Y",B221=""),"Marked posted to Xero but has no invoice number",IF(N221="","Cost centre has no revenue GL on the Lists sheet",IF(T221="Xero higher - check dept","Invoiced more than the department says the job is worth","")))))))))</f>
        <v/>
      </c>
      <c r="AB221" s="28">
        <f>IF(A221="","",COUNTIFS(tbl_Finance[Job Number],A221&amp;"",tbl_Finance[Ex GST],"&lt;&gt;"))</f>
        <v/>
      </c>
      <c r="AC221" s="27">
        <f>IF(A221="","",SUMIFS(tbl_Finance[Ex GST],tbl_Finance[Job Number],A221&amp;""))</f>
        <v/>
      </c>
      <c r="AD221" s="27">
        <f>IF(A221="","",SUMIFS(tbl_Finance[Ex GST],tbl_Finance[Job Number],A221&amp;"",tbl_Finance[Xero Invoice No],"&lt;&gt;"))</f>
        <v/>
      </c>
      <c r="AE221" s="27">
        <f>IF(A221="","",AC221-AD221)</f>
        <v/>
      </c>
      <c r="AF221" s="26">
        <f>IF(A221="","",IFERROR(IF(INDEX(tbl_Onsite[Qwilr Quote],IFERROR(MATCH(A221&amp;"",tbl_Onsite[Job Number],0),MATCH(IFERROR(A221+0,A221),tbl_Onsite[Job Number],0)))="","",INDEX(tbl_Onsite[Qwilr Quote],IFERROR(MATCH(A221&amp;"",tbl_Onsite[Job Number],0),MATCH(IFERROR(A221+0,A221),tbl_Onsite[Job Number],0)))),IFERROR(IF(IF(INDEX(tbl_Production[Current RMS No],IFERROR(MATCH(A221&amp;"",tbl_Production[Job Number],0),MATCH(IFERROR(A221+0,A221),tbl_Production[Job Number],0)))="",INDEX(tbl_Production[Qwilr Quote],IFERROR(MATCH(A221&amp;"",tbl_Production[Job Number],0),MATCH(IFERROR(A221+0,A221),tbl_Production[Job Number],0))),INDEX(tbl_Production[Current RMS No],IFERROR(MATCH(A221&amp;"",tbl_Production[Job Number],0),MATCH(IFERROR(A221+0,A221),tbl_Production[Job Number],0))))="","",IF(INDEX(tbl_Production[Current RMS No],IFERROR(MATCH(A221&amp;"",tbl_Production[Job Number],0),MATCH(IFERROR(A221+0,A221),tbl_Production[Job Number],0)))="",INDEX(tbl_Production[Qwilr Quote],IFERROR(MATCH(A221&amp;"",tbl_Production[Job Number],0),MATCH(IFERROR(A221+0,A221),tbl_Production[Job Number],0))),INDEX(tbl_Production[Current RMS No],IFERROR(MATCH(A221&amp;"",tbl_Production[Job Number],0),MATCH(IFERROR(A221+0,A221),tbl_Production[Job Number],0))))),IFERROR(IF(INDEX(tbl_Consulting[Qwilr Quote],IFERROR(MATCH(A221&amp;"",tbl_Consulting[Job Number],0),MATCH(IFERROR(A221+0,A221),tbl_Consulting[Job Number],0)))="","",INDEX(tbl_Consulting[Qwilr Quote],IFERROR(MATCH(A221&amp;"",tbl_Consulting[Job Number],0),MATCH(IFERROR(A221+0,A221),tbl_Consulting[Job Number],0)))),""))))</f>
        <v/>
      </c>
      <c r="AG221" s="26">
        <f>IF(AF221="","",IF(AND(LEFT(AF221,4)&lt;&gt;"http",IF(G221="Production",set_RMSBase,set_QwilrBase)=""),"",HYPERLINK(IF(LEFT(AF221,4)="http",AF221,IF(G221="Production",set_RMSBase,set_QwilrBase)&amp;AF221),"Open")))</f>
        <v/>
      </c>
      <c r="AH221" s="27">
        <f>IF(A221="","",IFERROR(INDEX(tbl_Production[Total Expense],IFERROR(MATCH(A221&amp;"",tbl_Production[Job Number],0),MATCH(IFERROR(A221+0,A221),tbl_Production[Job Number],0))),IFERROR(INDEX(tbl_Consulting[Total Expense],IFERROR(MATCH(A221&amp;"",tbl_Consulting[Job Number],0),MATCH(IFERROR(A221+0,A221),tbl_Consulting[Job Number],0))),0)))</f>
        <v/>
      </c>
      <c r="AI221" s="27">
        <f>IF(A221="","",AC221-N(AH221))</f>
        <v/>
      </c>
      <c r="AJ221" s="29">
        <f>IFERROR(AI221/AC221,"")</f>
        <v/>
      </c>
      <c r="AK221" s="26">
        <f>IF(A221="","",IFERROR(IF(INDEX(tbl_Onsite[Notes],IFERROR(MATCH(A221&amp;"",tbl_Onsite[Job Number],0),MATCH(IFERROR(A221+0,A221),tbl_Onsite[Job Number],0)))="","",INDEX(tbl_Onsite[Notes],IFERROR(MATCH(A221&amp;"",tbl_Onsite[Job Number],0),MATCH(IFERROR(A221+0,A221),tbl_Onsite[Job Number],0)))),IFERROR(IF(INDEX(tbl_Production[Notes],IFERROR(MATCH(A221&amp;"",tbl_Production[Job Number],0),MATCH(IFERROR(A221+0,A221),tbl_Production[Job Number],0)))="","",INDEX(tbl_Production[Notes],IFERROR(MATCH(A221&amp;"",tbl_Production[Job Number],0),MATCH(IFERROR(A221+0,A221),tbl_Production[Job Number],0)))),IFERROR(IF(INDEX(tbl_Consulting[Notes],IFERROR(MATCH(A221&amp;"",tbl_Consulting[Job Number],0),MATCH(IFERROR(A221+0,A221),tbl_Consulting[Job Number],0)))="","",INDEX(tbl_Consulting[Notes],IFERROR(MATCH(A221&amp;"",tbl_Consulting[Job Number],0),MATCH(IFERROR(A221+0,A221),tbl_Consulting[Job Number],0)))),""))))</f>
        <v/>
      </c>
    </row>
    <row r="222" ht="15" customHeight="1">
      <c r="A222" s="22" t="n"/>
      <c r="B222" s="22" t="n"/>
      <c r="C222" s="23" t="n"/>
      <c r="D222" s="22" t="n"/>
      <c r="E222" s="24" t="n"/>
      <c r="F222" s="25">
        <f>IF(C222="","",EOMONTH(C222,0))</f>
        <v/>
      </c>
      <c r="G222" s="26">
        <f>IF(A222="","",IF(COUNTIF(tbl_Onsite[Job Number],A222&amp;"")&gt;0,"Onsite",IF(COUNTIF(tbl_Production[Job Number],A222&amp;"")&gt;0,"Production",IF(COUNTIF(tbl_Consulting[Job Number],A222&amp;"")&gt;0,"Consulting","not set up yet"))))</f>
        <v/>
      </c>
      <c r="H222" s="26">
        <f>IF(A222="","",IF(COUNTIF(lst_Jobs,A222&amp;"")&gt;0,"OK","CHECK"))</f>
        <v/>
      </c>
      <c r="I222" s="26">
        <f>IF(A222="","",IFERROR(INDEX(lst_JobName,MATCH(A222&amp;"",lst_Jobs,0)),""))</f>
        <v/>
      </c>
      <c r="J222" s="26">
        <f>IF(A222="","",IFERROR(IF(INDEX(tbl_Onsite[Client],IFERROR(MATCH(A222&amp;"",tbl_Onsite[Job Number],0),MATCH(IFERROR(A222+0,A222),tbl_Onsite[Job Number],0)))="","",INDEX(tbl_Onsite[Client],IFERROR(MATCH(A222&amp;"",tbl_Onsite[Job Number],0),MATCH(IFERROR(A222+0,A222),tbl_Onsite[Job Number],0)))),IFERROR(IF(INDEX(tbl_Production[Client],IFERROR(MATCH(A222&amp;"",tbl_Production[Job Number],0),MATCH(IFERROR(A222+0,A222),tbl_Production[Job Number],0)))="","",INDEX(tbl_Production[Client],IFERROR(MATCH(A222&amp;"",tbl_Production[Job Number],0),MATCH(IFERROR(A222+0,A222),tbl_Production[Job Number],0)))),IFERROR(IF(INDEX(tbl_Consulting[Client],IFERROR(MATCH(A222&amp;"",tbl_Consulting[Job Number],0),MATCH(IFERROR(A222+0,A222),tbl_Consulting[Job Number],0)))="","",INDEX(tbl_Consulting[Client],IFERROR(MATCH(A222&amp;"",tbl_Consulting[Job Number],0),MATCH(IFERROR(A222+0,A222),tbl_Consulting[Job Number],0)))),""))))</f>
        <v/>
      </c>
      <c r="K222" s="26">
        <f>IF(A222="","",IFERROR(IF(INDEX(tbl_Onsite[Job Description],IFERROR(MATCH(A222&amp;"",tbl_Onsite[Job Number],0),MATCH(IFERROR(A222+0,A222),tbl_Onsite[Job Number],0)))="","",INDEX(tbl_Onsite[Job Description],IFERROR(MATCH(A222&amp;"",tbl_Onsite[Job Number],0),MATCH(IFERROR(A222+0,A222),tbl_Onsite[Job Number],0)))),IFERROR(IF(INDEX(tbl_Production[Job Description],IFERROR(MATCH(A222&amp;"",tbl_Production[Job Number],0),MATCH(IFERROR(A222+0,A222),tbl_Production[Job Number],0)))="","",INDEX(tbl_Production[Job Description],IFERROR(MATCH(A222&amp;"",tbl_Production[Job Number],0),MATCH(IFERROR(A222+0,A222),tbl_Production[Job Number],0)))),IFERROR(IF(INDEX(tbl_Consulting[Job Description],IFERROR(MATCH(A222&amp;"",tbl_Consulting[Job Number],0),MATCH(IFERROR(A222+0,A222),tbl_Consulting[Job Number],0)))="","",INDEX(tbl_Consulting[Job Description],IFERROR(MATCH(A222&amp;"",tbl_Consulting[Job Number],0),MATCH(IFERROR(A222+0,A222),tbl_Consulting[Job Number],0)))),""))))</f>
        <v/>
      </c>
      <c r="L222" s="26">
        <f>IF(A222="","",IFERROR(IF(INDEX(tbl_Onsite[Invoice Type],IFERROR(MATCH(A222&amp;"",tbl_Onsite[Job Number],0),MATCH(IFERROR(A222+0,A222),tbl_Onsite[Job Number],0)))="","",INDEX(tbl_Onsite[Invoice Type],IFERROR(MATCH(A222&amp;"",tbl_Onsite[Job Number],0),MATCH(IFERROR(A222+0,A222),tbl_Onsite[Job Number],0)))),IFERROR(IF(INDEX(tbl_Production[Invoice Type],IFERROR(MATCH(A222&amp;"",tbl_Production[Job Number],0),MATCH(IFERROR(A222+0,A222),tbl_Production[Job Number],0)))="","",INDEX(tbl_Production[Invoice Type],IFERROR(MATCH(A222&amp;"",tbl_Production[Job Number],0),MATCH(IFERROR(A222+0,A222),tbl_Production[Job Number],0)))),IFERROR(IF(INDEX(tbl_Consulting[Invoice Type],IFERROR(MATCH(A222&amp;"",tbl_Consulting[Job Number],0),MATCH(IFERROR(A222+0,A222),tbl_Consulting[Job Number],0)))="","",INDEX(tbl_Consulting[Invoice Type],IFERROR(MATCH(A222&amp;"",tbl_Consulting[Job Number],0),MATCH(IFERROR(A222+0,A222),tbl_Consulting[Job Number],0)))),""))))</f>
        <v/>
      </c>
      <c r="M222" s="26">
        <f>IF(A222="","",IF(IFERROR(IF(INDEX(tbl_Onsite[Tax Code],IFERROR(MATCH(A222&amp;"",tbl_Onsite[Job Number],0),MATCH(IFERROR(A222+0,A222),tbl_Onsite[Job Number],0)))="","",INDEX(tbl_Onsite[Tax Code],IFERROR(MATCH(A222&amp;"",tbl_Onsite[Job Number],0),MATCH(IFERROR(A222+0,A222),tbl_Onsite[Job Number],0)))),IFERROR(IF(INDEX(tbl_Production[Tax Code],IFERROR(MATCH(A222&amp;"",tbl_Production[Job Number],0),MATCH(IFERROR(A222+0,A222),tbl_Production[Job Number],0)))="","",INDEX(tbl_Production[Tax Code],IFERROR(MATCH(A222&amp;"",tbl_Production[Job Number],0),MATCH(IFERROR(A222+0,A222),tbl_Production[Job Number],0)))),IFERROR(IF(INDEX(tbl_Consulting[Tax Code],IFERROR(MATCH(A222&amp;"",tbl_Consulting[Job Number],0),MATCH(IFERROR(A222+0,A222),tbl_Consulting[Job Number],0)))="","",INDEX(tbl_Consulting[Tax Code],IFERROR(MATCH(A222&amp;"",tbl_Consulting[Job Number],0),MATCH(IFERROR(A222+0,A222),tbl_Consulting[Job Number],0)))),"")))="","GST 10%",IFERROR(IF(INDEX(tbl_Onsite[Tax Code],IFERROR(MATCH(A222&amp;"",tbl_Onsite[Job Number],0),MATCH(IFERROR(A222+0,A222),tbl_Onsite[Job Number],0)))="","",INDEX(tbl_Onsite[Tax Code],IFERROR(MATCH(A222&amp;"",tbl_Onsite[Job Number],0),MATCH(IFERROR(A222+0,A222),tbl_Onsite[Job Number],0)))),IFERROR(IF(INDEX(tbl_Production[Tax Code],IFERROR(MATCH(A222&amp;"",tbl_Production[Job Number],0),MATCH(IFERROR(A222+0,A222),tbl_Production[Job Number],0)))="","",INDEX(tbl_Production[Tax Code],IFERROR(MATCH(A222&amp;"",tbl_Production[Job Number],0),MATCH(IFERROR(A222+0,A222),tbl_Production[Job Number],0)))),IFERROR(IF(INDEX(tbl_Consulting[Tax Code],IFERROR(MATCH(A222&amp;"",tbl_Consulting[Job Number],0),MATCH(IFERROR(A222+0,A222),tbl_Consulting[Job Number],0)))="","",INDEX(tbl_Consulting[Tax Code],IFERROR(MATCH(A222&amp;"",tbl_Consulting[Job Number],0),MATCH(IFERROR(A222+0,A222),tbl_Consulting[Job Number],0)))),"")))))</f>
        <v/>
      </c>
      <c r="N222" s="26">
        <f>IF(D222="","",IFERROR(INDEX(lst_CCtoGL,MATCH(D222,lst_CCforGL,0)),""))</f>
        <v/>
      </c>
      <c r="O222" s="27">
        <f>IF(E222="","",IF(M222="GST 10%",ROUND(E222*set_GSTRate,2),0))</f>
        <v/>
      </c>
      <c r="P222" s="27">
        <f>IF(E222="","",E222+O222)</f>
        <v/>
      </c>
      <c r="Q222" s="27">
        <f>IF(A222="","",IFERROR(INDEX(tbl_Onsite[Expected Revenue Ex GST],IFERROR(MATCH(A222&amp;"",tbl_Onsite[Job Number],0),MATCH(IFERROR(A222+0,A222),tbl_Onsite[Job Number],0))),IFERROR(INDEX(tbl_Production[Expected Revenue Ex GST],IFERROR(MATCH(A222&amp;"",tbl_Production[Job Number],0),MATCH(IFERROR(A222+0,A222),tbl_Production[Job Number],0))),IFERROR(INDEX(tbl_Consulting[Expected Revenue Ex GST],IFERROR(MATCH(A222&amp;"",tbl_Consulting[Job Number],0),MATCH(IFERROR(A222+0,A222),tbl_Consulting[Job Number],0))),0))))</f>
        <v/>
      </c>
      <c r="R222" s="27">
        <f>IF(A222="","",SUMIFS(tbl_Finance[Ex GST],tbl_Finance[Job Number],A222&amp;""))</f>
        <v/>
      </c>
      <c r="S222" s="27">
        <f>IF(A222="","",Q222-R222)</f>
        <v/>
      </c>
      <c r="T222" s="26">
        <f>IF(A222="","",IF(Q222=0,"No dept value",IF(ROUND(S222,2)=0,"Agrees",IF(S222&gt;0,"Dept higher - to invoice","Xero higher - check dept"))))</f>
        <v/>
      </c>
      <c r="U222" s="22" t="n"/>
      <c r="V222" s="22" t="n"/>
      <c r="W222" s="23" t="n"/>
      <c r="X222" s="23" t="n"/>
      <c r="Y222" s="22" t="n"/>
      <c r="Z222" s="22" t="n"/>
      <c r="AA222" s="26">
        <f>IF(COUNTA(C222,A222,B222,E222)=0,"",IF(C222="","No date - sits outside every month",IF(A222="","No job number",IF(H222="CHECK","Job number is not in the Xero job list",IF(G222="not set up yet","No department has set this job up - nothing can pull through",IF(D222="","No cost centre",IF(AND(U222="Y",B222=""),"Marked posted to Xero but has no invoice number",IF(N222="","Cost centre has no revenue GL on the Lists sheet",IF(T222="Xero higher - check dept","Invoiced more than the department says the job is worth","")))))))))</f>
        <v/>
      </c>
      <c r="AB222" s="28">
        <f>IF(A222="","",COUNTIFS(tbl_Finance[Job Number],A222&amp;"",tbl_Finance[Ex GST],"&lt;&gt;"))</f>
        <v/>
      </c>
      <c r="AC222" s="27">
        <f>IF(A222="","",SUMIFS(tbl_Finance[Ex GST],tbl_Finance[Job Number],A222&amp;""))</f>
        <v/>
      </c>
      <c r="AD222" s="27">
        <f>IF(A222="","",SUMIFS(tbl_Finance[Ex GST],tbl_Finance[Job Number],A222&amp;"",tbl_Finance[Xero Invoice No],"&lt;&gt;"))</f>
        <v/>
      </c>
      <c r="AE222" s="27">
        <f>IF(A222="","",AC222-AD222)</f>
        <v/>
      </c>
      <c r="AF222" s="26">
        <f>IF(A222="","",IFERROR(IF(INDEX(tbl_Onsite[Qwilr Quote],IFERROR(MATCH(A222&amp;"",tbl_Onsite[Job Number],0),MATCH(IFERROR(A222+0,A222),tbl_Onsite[Job Number],0)))="","",INDEX(tbl_Onsite[Qwilr Quote],IFERROR(MATCH(A222&amp;"",tbl_Onsite[Job Number],0),MATCH(IFERROR(A222+0,A222),tbl_Onsite[Job Number],0)))),IFERROR(IF(IF(INDEX(tbl_Production[Current RMS No],IFERROR(MATCH(A222&amp;"",tbl_Production[Job Number],0),MATCH(IFERROR(A222+0,A222),tbl_Production[Job Number],0)))="",INDEX(tbl_Production[Qwilr Quote],IFERROR(MATCH(A222&amp;"",tbl_Production[Job Number],0),MATCH(IFERROR(A222+0,A222),tbl_Production[Job Number],0))),INDEX(tbl_Production[Current RMS No],IFERROR(MATCH(A222&amp;"",tbl_Production[Job Number],0),MATCH(IFERROR(A222+0,A222),tbl_Production[Job Number],0))))="","",IF(INDEX(tbl_Production[Current RMS No],IFERROR(MATCH(A222&amp;"",tbl_Production[Job Number],0),MATCH(IFERROR(A222+0,A222),tbl_Production[Job Number],0)))="",INDEX(tbl_Production[Qwilr Quote],IFERROR(MATCH(A222&amp;"",tbl_Production[Job Number],0),MATCH(IFERROR(A222+0,A222),tbl_Production[Job Number],0))),INDEX(tbl_Production[Current RMS No],IFERROR(MATCH(A222&amp;"",tbl_Production[Job Number],0),MATCH(IFERROR(A222+0,A222),tbl_Production[Job Number],0))))),IFERROR(IF(INDEX(tbl_Consulting[Qwilr Quote],IFERROR(MATCH(A222&amp;"",tbl_Consulting[Job Number],0),MATCH(IFERROR(A222+0,A222),tbl_Consulting[Job Number],0)))="","",INDEX(tbl_Consulting[Qwilr Quote],IFERROR(MATCH(A222&amp;"",tbl_Consulting[Job Number],0),MATCH(IFERROR(A222+0,A222),tbl_Consulting[Job Number],0)))),""))))</f>
        <v/>
      </c>
      <c r="AG222" s="26">
        <f>IF(AF222="","",IF(AND(LEFT(AF222,4)&lt;&gt;"http",IF(G222="Production",set_RMSBase,set_QwilrBase)=""),"",HYPERLINK(IF(LEFT(AF222,4)="http",AF222,IF(G222="Production",set_RMSBase,set_QwilrBase)&amp;AF222),"Open")))</f>
        <v/>
      </c>
      <c r="AH222" s="27">
        <f>IF(A222="","",IFERROR(INDEX(tbl_Production[Total Expense],IFERROR(MATCH(A222&amp;"",tbl_Production[Job Number],0),MATCH(IFERROR(A222+0,A222),tbl_Production[Job Number],0))),IFERROR(INDEX(tbl_Consulting[Total Expense],IFERROR(MATCH(A222&amp;"",tbl_Consulting[Job Number],0),MATCH(IFERROR(A222+0,A222),tbl_Consulting[Job Number],0))),0)))</f>
        <v/>
      </c>
      <c r="AI222" s="27">
        <f>IF(A222="","",AC222-N(AH222))</f>
        <v/>
      </c>
      <c r="AJ222" s="29">
        <f>IFERROR(AI222/AC222,"")</f>
        <v/>
      </c>
      <c r="AK222" s="26">
        <f>IF(A222="","",IFERROR(IF(INDEX(tbl_Onsite[Notes],IFERROR(MATCH(A222&amp;"",tbl_Onsite[Job Number],0),MATCH(IFERROR(A222+0,A222),tbl_Onsite[Job Number],0)))="","",INDEX(tbl_Onsite[Notes],IFERROR(MATCH(A222&amp;"",tbl_Onsite[Job Number],0),MATCH(IFERROR(A222+0,A222),tbl_Onsite[Job Number],0)))),IFERROR(IF(INDEX(tbl_Production[Notes],IFERROR(MATCH(A222&amp;"",tbl_Production[Job Number],0),MATCH(IFERROR(A222+0,A222),tbl_Production[Job Number],0)))="","",INDEX(tbl_Production[Notes],IFERROR(MATCH(A222&amp;"",tbl_Production[Job Number],0),MATCH(IFERROR(A222+0,A222),tbl_Production[Job Number],0)))),IFERROR(IF(INDEX(tbl_Consulting[Notes],IFERROR(MATCH(A222&amp;"",tbl_Consulting[Job Number],0),MATCH(IFERROR(A222+0,A222),tbl_Consulting[Job Number],0)))="","",INDEX(tbl_Consulting[Notes],IFERROR(MATCH(A222&amp;"",tbl_Consulting[Job Number],0),MATCH(IFERROR(A222+0,A222),tbl_Consulting[Job Number],0)))),""))))</f>
        <v/>
      </c>
    </row>
    <row r="223" ht="15" customHeight="1">
      <c r="A223" s="22" t="n"/>
      <c r="B223" s="22" t="n"/>
      <c r="C223" s="23" t="n"/>
      <c r="D223" s="22" t="n"/>
      <c r="E223" s="24" t="n"/>
      <c r="F223" s="25">
        <f>IF(C223="","",EOMONTH(C223,0))</f>
        <v/>
      </c>
      <c r="G223" s="26">
        <f>IF(A223="","",IF(COUNTIF(tbl_Onsite[Job Number],A223&amp;"")&gt;0,"Onsite",IF(COUNTIF(tbl_Production[Job Number],A223&amp;"")&gt;0,"Production",IF(COUNTIF(tbl_Consulting[Job Number],A223&amp;"")&gt;0,"Consulting","not set up yet"))))</f>
        <v/>
      </c>
      <c r="H223" s="26">
        <f>IF(A223="","",IF(COUNTIF(lst_Jobs,A223&amp;"")&gt;0,"OK","CHECK"))</f>
        <v/>
      </c>
      <c r="I223" s="26">
        <f>IF(A223="","",IFERROR(INDEX(lst_JobName,MATCH(A223&amp;"",lst_Jobs,0)),""))</f>
        <v/>
      </c>
      <c r="J223" s="26">
        <f>IF(A223="","",IFERROR(IF(INDEX(tbl_Onsite[Client],IFERROR(MATCH(A223&amp;"",tbl_Onsite[Job Number],0),MATCH(IFERROR(A223+0,A223),tbl_Onsite[Job Number],0)))="","",INDEX(tbl_Onsite[Client],IFERROR(MATCH(A223&amp;"",tbl_Onsite[Job Number],0),MATCH(IFERROR(A223+0,A223),tbl_Onsite[Job Number],0)))),IFERROR(IF(INDEX(tbl_Production[Client],IFERROR(MATCH(A223&amp;"",tbl_Production[Job Number],0),MATCH(IFERROR(A223+0,A223),tbl_Production[Job Number],0)))="","",INDEX(tbl_Production[Client],IFERROR(MATCH(A223&amp;"",tbl_Production[Job Number],0),MATCH(IFERROR(A223+0,A223),tbl_Production[Job Number],0)))),IFERROR(IF(INDEX(tbl_Consulting[Client],IFERROR(MATCH(A223&amp;"",tbl_Consulting[Job Number],0),MATCH(IFERROR(A223+0,A223),tbl_Consulting[Job Number],0)))="","",INDEX(tbl_Consulting[Client],IFERROR(MATCH(A223&amp;"",tbl_Consulting[Job Number],0),MATCH(IFERROR(A223+0,A223),tbl_Consulting[Job Number],0)))),""))))</f>
        <v/>
      </c>
      <c r="K223" s="26">
        <f>IF(A223="","",IFERROR(IF(INDEX(tbl_Onsite[Job Description],IFERROR(MATCH(A223&amp;"",tbl_Onsite[Job Number],0),MATCH(IFERROR(A223+0,A223),tbl_Onsite[Job Number],0)))="","",INDEX(tbl_Onsite[Job Description],IFERROR(MATCH(A223&amp;"",tbl_Onsite[Job Number],0),MATCH(IFERROR(A223+0,A223),tbl_Onsite[Job Number],0)))),IFERROR(IF(INDEX(tbl_Production[Job Description],IFERROR(MATCH(A223&amp;"",tbl_Production[Job Number],0),MATCH(IFERROR(A223+0,A223),tbl_Production[Job Number],0)))="","",INDEX(tbl_Production[Job Description],IFERROR(MATCH(A223&amp;"",tbl_Production[Job Number],0),MATCH(IFERROR(A223+0,A223),tbl_Production[Job Number],0)))),IFERROR(IF(INDEX(tbl_Consulting[Job Description],IFERROR(MATCH(A223&amp;"",tbl_Consulting[Job Number],0),MATCH(IFERROR(A223+0,A223),tbl_Consulting[Job Number],0)))="","",INDEX(tbl_Consulting[Job Description],IFERROR(MATCH(A223&amp;"",tbl_Consulting[Job Number],0),MATCH(IFERROR(A223+0,A223),tbl_Consulting[Job Number],0)))),""))))</f>
        <v/>
      </c>
      <c r="L223" s="26">
        <f>IF(A223="","",IFERROR(IF(INDEX(tbl_Onsite[Invoice Type],IFERROR(MATCH(A223&amp;"",tbl_Onsite[Job Number],0),MATCH(IFERROR(A223+0,A223),tbl_Onsite[Job Number],0)))="","",INDEX(tbl_Onsite[Invoice Type],IFERROR(MATCH(A223&amp;"",tbl_Onsite[Job Number],0),MATCH(IFERROR(A223+0,A223),tbl_Onsite[Job Number],0)))),IFERROR(IF(INDEX(tbl_Production[Invoice Type],IFERROR(MATCH(A223&amp;"",tbl_Production[Job Number],0),MATCH(IFERROR(A223+0,A223),tbl_Production[Job Number],0)))="","",INDEX(tbl_Production[Invoice Type],IFERROR(MATCH(A223&amp;"",tbl_Production[Job Number],0),MATCH(IFERROR(A223+0,A223),tbl_Production[Job Number],0)))),IFERROR(IF(INDEX(tbl_Consulting[Invoice Type],IFERROR(MATCH(A223&amp;"",tbl_Consulting[Job Number],0),MATCH(IFERROR(A223+0,A223),tbl_Consulting[Job Number],0)))="","",INDEX(tbl_Consulting[Invoice Type],IFERROR(MATCH(A223&amp;"",tbl_Consulting[Job Number],0),MATCH(IFERROR(A223+0,A223),tbl_Consulting[Job Number],0)))),""))))</f>
        <v/>
      </c>
      <c r="M223" s="26">
        <f>IF(A223="","",IF(IFERROR(IF(INDEX(tbl_Onsite[Tax Code],IFERROR(MATCH(A223&amp;"",tbl_Onsite[Job Number],0),MATCH(IFERROR(A223+0,A223),tbl_Onsite[Job Number],0)))="","",INDEX(tbl_Onsite[Tax Code],IFERROR(MATCH(A223&amp;"",tbl_Onsite[Job Number],0),MATCH(IFERROR(A223+0,A223),tbl_Onsite[Job Number],0)))),IFERROR(IF(INDEX(tbl_Production[Tax Code],IFERROR(MATCH(A223&amp;"",tbl_Production[Job Number],0),MATCH(IFERROR(A223+0,A223),tbl_Production[Job Number],0)))="","",INDEX(tbl_Production[Tax Code],IFERROR(MATCH(A223&amp;"",tbl_Production[Job Number],0),MATCH(IFERROR(A223+0,A223),tbl_Production[Job Number],0)))),IFERROR(IF(INDEX(tbl_Consulting[Tax Code],IFERROR(MATCH(A223&amp;"",tbl_Consulting[Job Number],0),MATCH(IFERROR(A223+0,A223),tbl_Consulting[Job Number],0)))="","",INDEX(tbl_Consulting[Tax Code],IFERROR(MATCH(A223&amp;"",tbl_Consulting[Job Number],0),MATCH(IFERROR(A223+0,A223),tbl_Consulting[Job Number],0)))),"")))="","GST 10%",IFERROR(IF(INDEX(tbl_Onsite[Tax Code],IFERROR(MATCH(A223&amp;"",tbl_Onsite[Job Number],0),MATCH(IFERROR(A223+0,A223),tbl_Onsite[Job Number],0)))="","",INDEX(tbl_Onsite[Tax Code],IFERROR(MATCH(A223&amp;"",tbl_Onsite[Job Number],0),MATCH(IFERROR(A223+0,A223),tbl_Onsite[Job Number],0)))),IFERROR(IF(INDEX(tbl_Production[Tax Code],IFERROR(MATCH(A223&amp;"",tbl_Production[Job Number],0),MATCH(IFERROR(A223+0,A223),tbl_Production[Job Number],0)))="","",INDEX(tbl_Production[Tax Code],IFERROR(MATCH(A223&amp;"",tbl_Production[Job Number],0),MATCH(IFERROR(A223+0,A223),tbl_Production[Job Number],0)))),IFERROR(IF(INDEX(tbl_Consulting[Tax Code],IFERROR(MATCH(A223&amp;"",tbl_Consulting[Job Number],0),MATCH(IFERROR(A223+0,A223),tbl_Consulting[Job Number],0)))="","",INDEX(tbl_Consulting[Tax Code],IFERROR(MATCH(A223&amp;"",tbl_Consulting[Job Number],0),MATCH(IFERROR(A223+0,A223),tbl_Consulting[Job Number],0)))),"")))))</f>
        <v/>
      </c>
      <c r="N223" s="26">
        <f>IF(D223="","",IFERROR(INDEX(lst_CCtoGL,MATCH(D223,lst_CCforGL,0)),""))</f>
        <v/>
      </c>
      <c r="O223" s="27">
        <f>IF(E223="","",IF(M223="GST 10%",ROUND(E223*set_GSTRate,2),0))</f>
        <v/>
      </c>
      <c r="P223" s="27">
        <f>IF(E223="","",E223+O223)</f>
        <v/>
      </c>
      <c r="Q223" s="27">
        <f>IF(A223="","",IFERROR(INDEX(tbl_Onsite[Expected Revenue Ex GST],IFERROR(MATCH(A223&amp;"",tbl_Onsite[Job Number],0),MATCH(IFERROR(A223+0,A223),tbl_Onsite[Job Number],0))),IFERROR(INDEX(tbl_Production[Expected Revenue Ex GST],IFERROR(MATCH(A223&amp;"",tbl_Production[Job Number],0),MATCH(IFERROR(A223+0,A223),tbl_Production[Job Number],0))),IFERROR(INDEX(tbl_Consulting[Expected Revenue Ex GST],IFERROR(MATCH(A223&amp;"",tbl_Consulting[Job Number],0),MATCH(IFERROR(A223+0,A223),tbl_Consulting[Job Number],0))),0))))</f>
        <v/>
      </c>
      <c r="R223" s="27">
        <f>IF(A223="","",SUMIFS(tbl_Finance[Ex GST],tbl_Finance[Job Number],A223&amp;""))</f>
        <v/>
      </c>
      <c r="S223" s="27">
        <f>IF(A223="","",Q223-R223)</f>
        <v/>
      </c>
      <c r="T223" s="26">
        <f>IF(A223="","",IF(Q223=0,"No dept value",IF(ROUND(S223,2)=0,"Agrees",IF(S223&gt;0,"Dept higher - to invoice","Xero higher - check dept"))))</f>
        <v/>
      </c>
      <c r="U223" s="22" t="n"/>
      <c r="V223" s="22" t="n"/>
      <c r="W223" s="23" t="n"/>
      <c r="X223" s="23" t="n"/>
      <c r="Y223" s="22" t="n"/>
      <c r="Z223" s="22" t="n"/>
      <c r="AA223" s="26">
        <f>IF(COUNTA(C223,A223,B223,E223)=0,"",IF(C223="","No date - sits outside every month",IF(A223="","No job number",IF(H223="CHECK","Job number is not in the Xero job list",IF(G223="not set up yet","No department has set this job up - nothing can pull through",IF(D223="","No cost centre",IF(AND(U223="Y",B223=""),"Marked posted to Xero but has no invoice number",IF(N223="","Cost centre has no revenue GL on the Lists sheet",IF(T223="Xero higher - check dept","Invoiced more than the department says the job is worth","")))))))))</f>
        <v/>
      </c>
      <c r="AB223" s="28">
        <f>IF(A223="","",COUNTIFS(tbl_Finance[Job Number],A223&amp;"",tbl_Finance[Ex GST],"&lt;&gt;"))</f>
        <v/>
      </c>
      <c r="AC223" s="27">
        <f>IF(A223="","",SUMIFS(tbl_Finance[Ex GST],tbl_Finance[Job Number],A223&amp;""))</f>
        <v/>
      </c>
      <c r="AD223" s="27">
        <f>IF(A223="","",SUMIFS(tbl_Finance[Ex GST],tbl_Finance[Job Number],A223&amp;"",tbl_Finance[Xero Invoice No],"&lt;&gt;"))</f>
        <v/>
      </c>
      <c r="AE223" s="27">
        <f>IF(A223="","",AC223-AD223)</f>
        <v/>
      </c>
      <c r="AF223" s="26">
        <f>IF(A223="","",IFERROR(IF(INDEX(tbl_Onsite[Qwilr Quote],IFERROR(MATCH(A223&amp;"",tbl_Onsite[Job Number],0),MATCH(IFERROR(A223+0,A223),tbl_Onsite[Job Number],0)))="","",INDEX(tbl_Onsite[Qwilr Quote],IFERROR(MATCH(A223&amp;"",tbl_Onsite[Job Number],0),MATCH(IFERROR(A223+0,A223),tbl_Onsite[Job Number],0)))),IFERROR(IF(IF(INDEX(tbl_Production[Current RMS No],IFERROR(MATCH(A223&amp;"",tbl_Production[Job Number],0),MATCH(IFERROR(A223+0,A223),tbl_Production[Job Number],0)))="",INDEX(tbl_Production[Qwilr Quote],IFERROR(MATCH(A223&amp;"",tbl_Production[Job Number],0),MATCH(IFERROR(A223+0,A223),tbl_Production[Job Number],0))),INDEX(tbl_Production[Current RMS No],IFERROR(MATCH(A223&amp;"",tbl_Production[Job Number],0),MATCH(IFERROR(A223+0,A223),tbl_Production[Job Number],0))))="","",IF(INDEX(tbl_Production[Current RMS No],IFERROR(MATCH(A223&amp;"",tbl_Production[Job Number],0),MATCH(IFERROR(A223+0,A223),tbl_Production[Job Number],0)))="",INDEX(tbl_Production[Qwilr Quote],IFERROR(MATCH(A223&amp;"",tbl_Production[Job Number],0),MATCH(IFERROR(A223+0,A223),tbl_Production[Job Number],0))),INDEX(tbl_Production[Current RMS No],IFERROR(MATCH(A223&amp;"",tbl_Production[Job Number],0),MATCH(IFERROR(A223+0,A223),tbl_Production[Job Number],0))))),IFERROR(IF(INDEX(tbl_Consulting[Qwilr Quote],IFERROR(MATCH(A223&amp;"",tbl_Consulting[Job Number],0),MATCH(IFERROR(A223+0,A223),tbl_Consulting[Job Number],0)))="","",INDEX(tbl_Consulting[Qwilr Quote],IFERROR(MATCH(A223&amp;"",tbl_Consulting[Job Number],0),MATCH(IFERROR(A223+0,A223),tbl_Consulting[Job Number],0)))),""))))</f>
        <v/>
      </c>
      <c r="AG223" s="26">
        <f>IF(AF223="","",IF(AND(LEFT(AF223,4)&lt;&gt;"http",IF(G223="Production",set_RMSBase,set_QwilrBase)=""),"",HYPERLINK(IF(LEFT(AF223,4)="http",AF223,IF(G223="Production",set_RMSBase,set_QwilrBase)&amp;AF223),"Open")))</f>
        <v/>
      </c>
      <c r="AH223" s="27">
        <f>IF(A223="","",IFERROR(INDEX(tbl_Production[Total Expense],IFERROR(MATCH(A223&amp;"",tbl_Production[Job Number],0),MATCH(IFERROR(A223+0,A223),tbl_Production[Job Number],0))),IFERROR(INDEX(tbl_Consulting[Total Expense],IFERROR(MATCH(A223&amp;"",tbl_Consulting[Job Number],0),MATCH(IFERROR(A223+0,A223),tbl_Consulting[Job Number],0))),0)))</f>
        <v/>
      </c>
      <c r="AI223" s="27">
        <f>IF(A223="","",AC223-N(AH223))</f>
        <v/>
      </c>
      <c r="AJ223" s="29">
        <f>IFERROR(AI223/AC223,"")</f>
        <v/>
      </c>
      <c r="AK223" s="26">
        <f>IF(A223="","",IFERROR(IF(INDEX(tbl_Onsite[Notes],IFERROR(MATCH(A223&amp;"",tbl_Onsite[Job Number],0),MATCH(IFERROR(A223+0,A223),tbl_Onsite[Job Number],0)))="","",INDEX(tbl_Onsite[Notes],IFERROR(MATCH(A223&amp;"",tbl_Onsite[Job Number],0),MATCH(IFERROR(A223+0,A223),tbl_Onsite[Job Number],0)))),IFERROR(IF(INDEX(tbl_Production[Notes],IFERROR(MATCH(A223&amp;"",tbl_Production[Job Number],0),MATCH(IFERROR(A223+0,A223),tbl_Production[Job Number],0)))="","",INDEX(tbl_Production[Notes],IFERROR(MATCH(A223&amp;"",tbl_Production[Job Number],0),MATCH(IFERROR(A223+0,A223),tbl_Production[Job Number],0)))),IFERROR(IF(INDEX(tbl_Consulting[Notes],IFERROR(MATCH(A223&amp;"",tbl_Consulting[Job Number],0),MATCH(IFERROR(A223+0,A223),tbl_Consulting[Job Number],0)))="","",INDEX(tbl_Consulting[Notes],IFERROR(MATCH(A223&amp;"",tbl_Consulting[Job Number],0),MATCH(IFERROR(A223+0,A223),tbl_Consulting[Job Number],0)))),""))))</f>
        <v/>
      </c>
    </row>
    <row r="224" ht="15" customHeight="1">
      <c r="A224" s="22" t="n"/>
      <c r="B224" s="22" t="n"/>
      <c r="C224" s="23" t="n"/>
      <c r="D224" s="22" t="n"/>
      <c r="E224" s="24" t="n"/>
      <c r="F224" s="25">
        <f>IF(C224="","",EOMONTH(C224,0))</f>
        <v/>
      </c>
      <c r="G224" s="26">
        <f>IF(A224="","",IF(COUNTIF(tbl_Onsite[Job Number],A224&amp;"")&gt;0,"Onsite",IF(COUNTIF(tbl_Production[Job Number],A224&amp;"")&gt;0,"Production",IF(COUNTIF(tbl_Consulting[Job Number],A224&amp;"")&gt;0,"Consulting","not set up yet"))))</f>
        <v/>
      </c>
      <c r="H224" s="26">
        <f>IF(A224="","",IF(COUNTIF(lst_Jobs,A224&amp;"")&gt;0,"OK","CHECK"))</f>
        <v/>
      </c>
      <c r="I224" s="26">
        <f>IF(A224="","",IFERROR(INDEX(lst_JobName,MATCH(A224&amp;"",lst_Jobs,0)),""))</f>
        <v/>
      </c>
      <c r="J224" s="26">
        <f>IF(A224="","",IFERROR(IF(INDEX(tbl_Onsite[Client],IFERROR(MATCH(A224&amp;"",tbl_Onsite[Job Number],0),MATCH(IFERROR(A224+0,A224),tbl_Onsite[Job Number],0)))="","",INDEX(tbl_Onsite[Client],IFERROR(MATCH(A224&amp;"",tbl_Onsite[Job Number],0),MATCH(IFERROR(A224+0,A224),tbl_Onsite[Job Number],0)))),IFERROR(IF(INDEX(tbl_Production[Client],IFERROR(MATCH(A224&amp;"",tbl_Production[Job Number],0),MATCH(IFERROR(A224+0,A224),tbl_Production[Job Number],0)))="","",INDEX(tbl_Production[Client],IFERROR(MATCH(A224&amp;"",tbl_Production[Job Number],0),MATCH(IFERROR(A224+0,A224),tbl_Production[Job Number],0)))),IFERROR(IF(INDEX(tbl_Consulting[Client],IFERROR(MATCH(A224&amp;"",tbl_Consulting[Job Number],0),MATCH(IFERROR(A224+0,A224),tbl_Consulting[Job Number],0)))="","",INDEX(tbl_Consulting[Client],IFERROR(MATCH(A224&amp;"",tbl_Consulting[Job Number],0),MATCH(IFERROR(A224+0,A224),tbl_Consulting[Job Number],0)))),""))))</f>
        <v/>
      </c>
      <c r="K224" s="26">
        <f>IF(A224="","",IFERROR(IF(INDEX(tbl_Onsite[Job Description],IFERROR(MATCH(A224&amp;"",tbl_Onsite[Job Number],0),MATCH(IFERROR(A224+0,A224),tbl_Onsite[Job Number],0)))="","",INDEX(tbl_Onsite[Job Description],IFERROR(MATCH(A224&amp;"",tbl_Onsite[Job Number],0),MATCH(IFERROR(A224+0,A224),tbl_Onsite[Job Number],0)))),IFERROR(IF(INDEX(tbl_Production[Job Description],IFERROR(MATCH(A224&amp;"",tbl_Production[Job Number],0),MATCH(IFERROR(A224+0,A224),tbl_Production[Job Number],0)))="","",INDEX(tbl_Production[Job Description],IFERROR(MATCH(A224&amp;"",tbl_Production[Job Number],0),MATCH(IFERROR(A224+0,A224),tbl_Production[Job Number],0)))),IFERROR(IF(INDEX(tbl_Consulting[Job Description],IFERROR(MATCH(A224&amp;"",tbl_Consulting[Job Number],0),MATCH(IFERROR(A224+0,A224),tbl_Consulting[Job Number],0)))="","",INDEX(tbl_Consulting[Job Description],IFERROR(MATCH(A224&amp;"",tbl_Consulting[Job Number],0),MATCH(IFERROR(A224+0,A224),tbl_Consulting[Job Number],0)))),""))))</f>
        <v/>
      </c>
      <c r="L224" s="26">
        <f>IF(A224="","",IFERROR(IF(INDEX(tbl_Onsite[Invoice Type],IFERROR(MATCH(A224&amp;"",tbl_Onsite[Job Number],0),MATCH(IFERROR(A224+0,A224),tbl_Onsite[Job Number],0)))="","",INDEX(tbl_Onsite[Invoice Type],IFERROR(MATCH(A224&amp;"",tbl_Onsite[Job Number],0),MATCH(IFERROR(A224+0,A224),tbl_Onsite[Job Number],0)))),IFERROR(IF(INDEX(tbl_Production[Invoice Type],IFERROR(MATCH(A224&amp;"",tbl_Production[Job Number],0),MATCH(IFERROR(A224+0,A224),tbl_Production[Job Number],0)))="","",INDEX(tbl_Production[Invoice Type],IFERROR(MATCH(A224&amp;"",tbl_Production[Job Number],0),MATCH(IFERROR(A224+0,A224),tbl_Production[Job Number],0)))),IFERROR(IF(INDEX(tbl_Consulting[Invoice Type],IFERROR(MATCH(A224&amp;"",tbl_Consulting[Job Number],0),MATCH(IFERROR(A224+0,A224),tbl_Consulting[Job Number],0)))="","",INDEX(tbl_Consulting[Invoice Type],IFERROR(MATCH(A224&amp;"",tbl_Consulting[Job Number],0),MATCH(IFERROR(A224+0,A224),tbl_Consulting[Job Number],0)))),""))))</f>
        <v/>
      </c>
      <c r="M224" s="26">
        <f>IF(A224="","",IF(IFERROR(IF(INDEX(tbl_Onsite[Tax Code],IFERROR(MATCH(A224&amp;"",tbl_Onsite[Job Number],0),MATCH(IFERROR(A224+0,A224),tbl_Onsite[Job Number],0)))="","",INDEX(tbl_Onsite[Tax Code],IFERROR(MATCH(A224&amp;"",tbl_Onsite[Job Number],0),MATCH(IFERROR(A224+0,A224),tbl_Onsite[Job Number],0)))),IFERROR(IF(INDEX(tbl_Production[Tax Code],IFERROR(MATCH(A224&amp;"",tbl_Production[Job Number],0),MATCH(IFERROR(A224+0,A224),tbl_Production[Job Number],0)))="","",INDEX(tbl_Production[Tax Code],IFERROR(MATCH(A224&amp;"",tbl_Production[Job Number],0),MATCH(IFERROR(A224+0,A224),tbl_Production[Job Number],0)))),IFERROR(IF(INDEX(tbl_Consulting[Tax Code],IFERROR(MATCH(A224&amp;"",tbl_Consulting[Job Number],0),MATCH(IFERROR(A224+0,A224),tbl_Consulting[Job Number],0)))="","",INDEX(tbl_Consulting[Tax Code],IFERROR(MATCH(A224&amp;"",tbl_Consulting[Job Number],0),MATCH(IFERROR(A224+0,A224),tbl_Consulting[Job Number],0)))),"")))="","GST 10%",IFERROR(IF(INDEX(tbl_Onsite[Tax Code],IFERROR(MATCH(A224&amp;"",tbl_Onsite[Job Number],0),MATCH(IFERROR(A224+0,A224),tbl_Onsite[Job Number],0)))="","",INDEX(tbl_Onsite[Tax Code],IFERROR(MATCH(A224&amp;"",tbl_Onsite[Job Number],0),MATCH(IFERROR(A224+0,A224),tbl_Onsite[Job Number],0)))),IFERROR(IF(INDEX(tbl_Production[Tax Code],IFERROR(MATCH(A224&amp;"",tbl_Production[Job Number],0),MATCH(IFERROR(A224+0,A224),tbl_Production[Job Number],0)))="","",INDEX(tbl_Production[Tax Code],IFERROR(MATCH(A224&amp;"",tbl_Production[Job Number],0),MATCH(IFERROR(A224+0,A224),tbl_Production[Job Number],0)))),IFERROR(IF(INDEX(tbl_Consulting[Tax Code],IFERROR(MATCH(A224&amp;"",tbl_Consulting[Job Number],0),MATCH(IFERROR(A224+0,A224),tbl_Consulting[Job Number],0)))="","",INDEX(tbl_Consulting[Tax Code],IFERROR(MATCH(A224&amp;"",tbl_Consulting[Job Number],0),MATCH(IFERROR(A224+0,A224),tbl_Consulting[Job Number],0)))),"")))))</f>
        <v/>
      </c>
      <c r="N224" s="26">
        <f>IF(D224="","",IFERROR(INDEX(lst_CCtoGL,MATCH(D224,lst_CCforGL,0)),""))</f>
        <v/>
      </c>
      <c r="O224" s="27">
        <f>IF(E224="","",IF(M224="GST 10%",ROUND(E224*set_GSTRate,2),0))</f>
        <v/>
      </c>
      <c r="P224" s="27">
        <f>IF(E224="","",E224+O224)</f>
        <v/>
      </c>
      <c r="Q224" s="27">
        <f>IF(A224="","",IFERROR(INDEX(tbl_Onsite[Expected Revenue Ex GST],IFERROR(MATCH(A224&amp;"",tbl_Onsite[Job Number],0),MATCH(IFERROR(A224+0,A224),tbl_Onsite[Job Number],0))),IFERROR(INDEX(tbl_Production[Expected Revenue Ex GST],IFERROR(MATCH(A224&amp;"",tbl_Production[Job Number],0),MATCH(IFERROR(A224+0,A224),tbl_Production[Job Number],0))),IFERROR(INDEX(tbl_Consulting[Expected Revenue Ex GST],IFERROR(MATCH(A224&amp;"",tbl_Consulting[Job Number],0),MATCH(IFERROR(A224+0,A224),tbl_Consulting[Job Number],0))),0))))</f>
        <v/>
      </c>
      <c r="R224" s="27">
        <f>IF(A224="","",SUMIFS(tbl_Finance[Ex GST],tbl_Finance[Job Number],A224&amp;""))</f>
        <v/>
      </c>
      <c r="S224" s="27">
        <f>IF(A224="","",Q224-R224)</f>
        <v/>
      </c>
      <c r="T224" s="26">
        <f>IF(A224="","",IF(Q224=0,"No dept value",IF(ROUND(S224,2)=0,"Agrees",IF(S224&gt;0,"Dept higher - to invoice","Xero higher - check dept"))))</f>
        <v/>
      </c>
      <c r="U224" s="22" t="n"/>
      <c r="V224" s="22" t="n"/>
      <c r="W224" s="23" t="n"/>
      <c r="X224" s="23" t="n"/>
      <c r="Y224" s="22" t="n"/>
      <c r="Z224" s="22" t="n"/>
      <c r="AA224" s="26">
        <f>IF(COUNTA(C224,A224,B224,E224)=0,"",IF(C224="","No date - sits outside every month",IF(A224="","No job number",IF(H224="CHECK","Job number is not in the Xero job list",IF(G224="not set up yet","No department has set this job up - nothing can pull through",IF(D224="","No cost centre",IF(AND(U224="Y",B224=""),"Marked posted to Xero but has no invoice number",IF(N224="","Cost centre has no revenue GL on the Lists sheet",IF(T224="Xero higher - check dept","Invoiced more than the department says the job is worth","")))))))))</f>
        <v/>
      </c>
      <c r="AB224" s="28">
        <f>IF(A224="","",COUNTIFS(tbl_Finance[Job Number],A224&amp;"",tbl_Finance[Ex GST],"&lt;&gt;"))</f>
        <v/>
      </c>
      <c r="AC224" s="27">
        <f>IF(A224="","",SUMIFS(tbl_Finance[Ex GST],tbl_Finance[Job Number],A224&amp;""))</f>
        <v/>
      </c>
      <c r="AD224" s="27">
        <f>IF(A224="","",SUMIFS(tbl_Finance[Ex GST],tbl_Finance[Job Number],A224&amp;"",tbl_Finance[Xero Invoice No],"&lt;&gt;"))</f>
        <v/>
      </c>
      <c r="AE224" s="27">
        <f>IF(A224="","",AC224-AD224)</f>
        <v/>
      </c>
      <c r="AF224" s="26">
        <f>IF(A224="","",IFERROR(IF(INDEX(tbl_Onsite[Qwilr Quote],IFERROR(MATCH(A224&amp;"",tbl_Onsite[Job Number],0),MATCH(IFERROR(A224+0,A224),tbl_Onsite[Job Number],0)))="","",INDEX(tbl_Onsite[Qwilr Quote],IFERROR(MATCH(A224&amp;"",tbl_Onsite[Job Number],0),MATCH(IFERROR(A224+0,A224),tbl_Onsite[Job Number],0)))),IFERROR(IF(IF(INDEX(tbl_Production[Current RMS No],IFERROR(MATCH(A224&amp;"",tbl_Production[Job Number],0),MATCH(IFERROR(A224+0,A224),tbl_Production[Job Number],0)))="",INDEX(tbl_Production[Qwilr Quote],IFERROR(MATCH(A224&amp;"",tbl_Production[Job Number],0),MATCH(IFERROR(A224+0,A224),tbl_Production[Job Number],0))),INDEX(tbl_Production[Current RMS No],IFERROR(MATCH(A224&amp;"",tbl_Production[Job Number],0),MATCH(IFERROR(A224+0,A224),tbl_Production[Job Number],0))))="","",IF(INDEX(tbl_Production[Current RMS No],IFERROR(MATCH(A224&amp;"",tbl_Production[Job Number],0),MATCH(IFERROR(A224+0,A224),tbl_Production[Job Number],0)))="",INDEX(tbl_Production[Qwilr Quote],IFERROR(MATCH(A224&amp;"",tbl_Production[Job Number],0),MATCH(IFERROR(A224+0,A224),tbl_Production[Job Number],0))),INDEX(tbl_Production[Current RMS No],IFERROR(MATCH(A224&amp;"",tbl_Production[Job Number],0),MATCH(IFERROR(A224+0,A224),tbl_Production[Job Number],0))))),IFERROR(IF(INDEX(tbl_Consulting[Qwilr Quote],IFERROR(MATCH(A224&amp;"",tbl_Consulting[Job Number],0),MATCH(IFERROR(A224+0,A224),tbl_Consulting[Job Number],0)))="","",INDEX(tbl_Consulting[Qwilr Quote],IFERROR(MATCH(A224&amp;"",tbl_Consulting[Job Number],0),MATCH(IFERROR(A224+0,A224),tbl_Consulting[Job Number],0)))),""))))</f>
        <v/>
      </c>
      <c r="AG224" s="26">
        <f>IF(AF224="","",IF(AND(LEFT(AF224,4)&lt;&gt;"http",IF(G224="Production",set_RMSBase,set_QwilrBase)=""),"",HYPERLINK(IF(LEFT(AF224,4)="http",AF224,IF(G224="Production",set_RMSBase,set_QwilrBase)&amp;AF224),"Open")))</f>
        <v/>
      </c>
      <c r="AH224" s="27">
        <f>IF(A224="","",IFERROR(INDEX(tbl_Production[Total Expense],IFERROR(MATCH(A224&amp;"",tbl_Production[Job Number],0),MATCH(IFERROR(A224+0,A224),tbl_Production[Job Number],0))),IFERROR(INDEX(tbl_Consulting[Total Expense],IFERROR(MATCH(A224&amp;"",tbl_Consulting[Job Number],0),MATCH(IFERROR(A224+0,A224),tbl_Consulting[Job Number],0))),0)))</f>
        <v/>
      </c>
      <c r="AI224" s="27">
        <f>IF(A224="","",AC224-N(AH224))</f>
        <v/>
      </c>
      <c r="AJ224" s="29">
        <f>IFERROR(AI224/AC224,"")</f>
        <v/>
      </c>
      <c r="AK224" s="26">
        <f>IF(A224="","",IFERROR(IF(INDEX(tbl_Onsite[Notes],IFERROR(MATCH(A224&amp;"",tbl_Onsite[Job Number],0),MATCH(IFERROR(A224+0,A224),tbl_Onsite[Job Number],0)))="","",INDEX(tbl_Onsite[Notes],IFERROR(MATCH(A224&amp;"",tbl_Onsite[Job Number],0),MATCH(IFERROR(A224+0,A224),tbl_Onsite[Job Number],0)))),IFERROR(IF(INDEX(tbl_Production[Notes],IFERROR(MATCH(A224&amp;"",tbl_Production[Job Number],0),MATCH(IFERROR(A224+0,A224),tbl_Production[Job Number],0)))="","",INDEX(tbl_Production[Notes],IFERROR(MATCH(A224&amp;"",tbl_Production[Job Number],0),MATCH(IFERROR(A224+0,A224),tbl_Production[Job Number],0)))),IFERROR(IF(INDEX(tbl_Consulting[Notes],IFERROR(MATCH(A224&amp;"",tbl_Consulting[Job Number],0),MATCH(IFERROR(A224+0,A224),tbl_Consulting[Job Number],0)))="","",INDEX(tbl_Consulting[Notes],IFERROR(MATCH(A224&amp;"",tbl_Consulting[Job Number],0),MATCH(IFERROR(A224+0,A224),tbl_Consulting[Job Number],0)))),""))))</f>
        <v/>
      </c>
    </row>
    <row r="225" ht="15" customHeight="1">
      <c r="A225" s="22" t="n"/>
      <c r="B225" s="22" t="n"/>
      <c r="C225" s="23" t="n"/>
      <c r="D225" s="22" t="n"/>
      <c r="E225" s="24" t="n"/>
      <c r="F225" s="25">
        <f>IF(C225="","",EOMONTH(C225,0))</f>
        <v/>
      </c>
      <c r="G225" s="26">
        <f>IF(A225="","",IF(COUNTIF(tbl_Onsite[Job Number],A225&amp;"")&gt;0,"Onsite",IF(COUNTIF(tbl_Production[Job Number],A225&amp;"")&gt;0,"Production",IF(COUNTIF(tbl_Consulting[Job Number],A225&amp;"")&gt;0,"Consulting","not set up yet"))))</f>
        <v/>
      </c>
      <c r="H225" s="26">
        <f>IF(A225="","",IF(COUNTIF(lst_Jobs,A225&amp;"")&gt;0,"OK","CHECK"))</f>
        <v/>
      </c>
      <c r="I225" s="26">
        <f>IF(A225="","",IFERROR(INDEX(lst_JobName,MATCH(A225&amp;"",lst_Jobs,0)),""))</f>
        <v/>
      </c>
      <c r="J225" s="26">
        <f>IF(A225="","",IFERROR(IF(INDEX(tbl_Onsite[Client],IFERROR(MATCH(A225&amp;"",tbl_Onsite[Job Number],0),MATCH(IFERROR(A225+0,A225),tbl_Onsite[Job Number],0)))="","",INDEX(tbl_Onsite[Client],IFERROR(MATCH(A225&amp;"",tbl_Onsite[Job Number],0),MATCH(IFERROR(A225+0,A225),tbl_Onsite[Job Number],0)))),IFERROR(IF(INDEX(tbl_Production[Client],IFERROR(MATCH(A225&amp;"",tbl_Production[Job Number],0),MATCH(IFERROR(A225+0,A225),tbl_Production[Job Number],0)))="","",INDEX(tbl_Production[Client],IFERROR(MATCH(A225&amp;"",tbl_Production[Job Number],0),MATCH(IFERROR(A225+0,A225),tbl_Production[Job Number],0)))),IFERROR(IF(INDEX(tbl_Consulting[Client],IFERROR(MATCH(A225&amp;"",tbl_Consulting[Job Number],0),MATCH(IFERROR(A225+0,A225),tbl_Consulting[Job Number],0)))="","",INDEX(tbl_Consulting[Client],IFERROR(MATCH(A225&amp;"",tbl_Consulting[Job Number],0),MATCH(IFERROR(A225+0,A225),tbl_Consulting[Job Number],0)))),""))))</f>
        <v/>
      </c>
      <c r="K225" s="26">
        <f>IF(A225="","",IFERROR(IF(INDEX(tbl_Onsite[Job Description],IFERROR(MATCH(A225&amp;"",tbl_Onsite[Job Number],0),MATCH(IFERROR(A225+0,A225),tbl_Onsite[Job Number],0)))="","",INDEX(tbl_Onsite[Job Description],IFERROR(MATCH(A225&amp;"",tbl_Onsite[Job Number],0),MATCH(IFERROR(A225+0,A225),tbl_Onsite[Job Number],0)))),IFERROR(IF(INDEX(tbl_Production[Job Description],IFERROR(MATCH(A225&amp;"",tbl_Production[Job Number],0),MATCH(IFERROR(A225+0,A225),tbl_Production[Job Number],0)))="","",INDEX(tbl_Production[Job Description],IFERROR(MATCH(A225&amp;"",tbl_Production[Job Number],0),MATCH(IFERROR(A225+0,A225),tbl_Production[Job Number],0)))),IFERROR(IF(INDEX(tbl_Consulting[Job Description],IFERROR(MATCH(A225&amp;"",tbl_Consulting[Job Number],0),MATCH(IFERROR(A225+0,A225),tbl_Consulting[Job Number],0)))="","",INDEX(tbl_Consulting[Job Description],IFERROR(MATCH(A225&amp;"",tbl_Consulting[Job Number],0),MATCH(IFERROR(A225+0,A225),tbl_Consulting[Job Number],0)))),""))))</f>
        <v/>
      </c>
      <c r="L225" s="26">
        <f>IF(A225="","",IFERROR(IF(INDEX(tbl_Onsite[Invoice Type],IFERROR(MATCH(A225&amp;"",tbl_Onsite[Job Number],0),MATCH(IFERROR(A225+0,A225),tbl_Onsite[Job Number],0)))="","",INDEX(tbl_Onsite[Invoice Type],IFERROR(MATCH(A225&amp;"",tbl_Onsite[Job Number],0),MATCH(IFERROR(A225+0,A225),tbl_Onsite[Job Number],0)))),IFERROR(IF(INDEX(tbl_Production[Invoice Type],IFERROR(MATCH(A225&amp;"",tbl_Production[Job Number],0),MATCH(IFERROR(A225+0,A225),tbl_Production[Job Number],0)))="","",INDEX(tbl_Production[Invoice Type],IFERROR(MATCH(A225&amp;"",tbl_Production[Job Number],0),MATCH(IFERROR(A225+0,A225),tbl_Production[Job Number],0)))),IFERROR(IF(INDEX(tbl_Consulting[Invoice Type],IFERROR(MATCH(A225&amp;"",tbl_Consulting[Job Number],0),MATCH(IFERROR(A225+0,A225),tbl_Consulting[Job Number],0)))="","",INDEX(tbl_Consulting[Invoice Type],IFERROR(MATCH(A225&amp;"",tbl_Consulting[Job Number],0),MATCH(IFERROR(A225+0,A225),tbl_Consulting[Job Number],0)))),""))))</f>
        <v/>
      </c>
      <c r="M225" s="26">
        <f>IF(A225="","",IF(IFERROR(IF(INDEX(tbl_Onsite[Tax Code],IFERROR(MATCH(A225&amp;"",tbl_Onsite[Job Number],0),MATCH(IFERROR(A225+0,A225),tbl_Onsite[Job Number],0)))="","",INDEX(tbl_Onsite[Tax Code],IFERROR(MATCH(A225&amp;"",tbl_Onsite[Job Number],0),MATCH(IFERROR(A225+0,A225),tbl_Onsite[Job Number],0)))),IFERROR(IF(INDEX(tbl_Production[Tax Code],IFERROR(MATCH(A225&amp;"",tbl_Production[Job Number],0),MATCH(IFERROR(A225+0,A225),tbl_Production[Job Number],0)))="","",INDEX(tbl_Production[Tax Code],IFERROR(MATCH(A225&amp;"",tbl_Production[Job Number],0),MATCH(IFERROR(A225+0,A225),tbl_Production[Job Number],0)))),IFERROR(IF(INDEX(tbl_Consulting[Tax Code],IFERROR(MATCH(A225&amp;"",tbl_Consulting[Job Number],0),MATCH(IFERROR(A225+0,A225),tbl_Consulting[Job Number],0)))="","",INDEX(tbl_Consulting[Tax Code],IFERROR(MATCH(A225&amp;"",tbl_Consulting[Job Number],0),MATCH(IFERROR(A225+0,A225),tbl_Consulting[Job Number],0)))),"")))="","GST 10%",IFERROR(IF(INDEX(tbl_Onsite[Tax Code],IFERROR(MATCH(A225&amp;"",tbl_Onsite[Job Number],0),MATCH(IFERROR(A225+0,A225),tbl_Onsite[Job Number],0)))="","",INDEX(tbl_Onsite[Tax Code],IFERROR(MATCH(A225&amp;"",tbl_Onsite[Job Number],0),MATCH(IFERROR(A225+0,A225),tbl_Onsite[Job Number],0)))),IFERROR(IF(INDEX(tbl_Production[Tax Code],IFERROR(MATCH(A225&amp;"",tbl_Production[Job Number],0),MATCH(IFERROR(A225+0,A225),tbl_Production[Job Number],0)))="","",INDEX(tbl_Production[Tax Code],IFERROR(MATCH(A225&amp;"",tbl_Production[Job Number],0),MATCH(IFERROR(A225+0,A225),tbl_Production[Job Number],0)))),IFERROR(IF(INDEX(tbl_Consulting[Tax Code],IFERROR(MATCH(A225&amp;"",tbl_Consulting[Job Number],0),MATCH(IFERROR(A225+0,A225),tbl_Consulting[Job Number],0)))="","",INDEX(tbl_Consulting[Tax Code],IFERROR(MATCH(A225&amp;"",tbl_Consulting[Job Number],0),MATCH(IFERROR(A225+0,A225),tbl_Consulting[Job Number],0)))),"")))))</f>
        <v/>
      </c>
      <c r="N225" s="26">
        <f>IF(D225="","",IFERROR(INDEX(lst_CCtoGL,MATCH(D225,lst_CCforGL,0)),""))</f>
        <v/>
      </c>
      <c r="O225" s="27">
        <f>IF(E225="","",IF(M225="GST 10%",ROUND(E225*set_GSTRate,2),0))</f>
        <v/>
      </c>
      <c r="P225" s="27">
        <f>IF(E225="","",E225+O225)</f>
        <v/>
      </c>
      <c r="Q225" s="27">
        <f>IF(A225="","",IFERROR(INDEX(tbl_Onsite[Expected Revenue Ex GST],IFERROR(MATCH(A225&amp;"",tbl_Onsite[Job Number],0),MATCH(IFERROR(A225+0,A225),tbl_Onsite[Job Number],0))),IFERROR(INDEX(tbl_Production[Expected Revenue Ex GST],IFERROR(MATCH(A225&amp;"",tbl_Production[Job Number],0),MATCH(IFERROR(A225+0,A225),tbl_Production[Job Number],0))),IFERROR(INDEX(tbl_Consulting[Expected Revenue Ex GST],IFERROR(MATCH(A225&amp;"",tbl_Consulting[Job Number],0),MATCH(IFERROR(A225+0,A225),tbl_Consulting[Job Number],0))),0))))</f>
        <v/>
      </c>
      <c r="R225" s="27">
        <f>IF(A225="","",SUMIFS(tbl_Finance[Ex GST],tbl_Finance[Job Number],A225&amp;""))</f>
        <v/>
      </c>
      <c r="S225" s="27">
        <f>IF(A225="","",Q225-R225)</f>
        <v/>
      </c>
      <c r="T225" s="26">
        <f>IF(A225="","",IF(Q225=0,"No dept value",IF(ROUND(S225,2)=0,"Agrees",IF(S225&gt;0,"Dept higher - to invoice","Xero higher - check dept"))))</f>
        <v/>
      </c>
      <c r="U225" s="22" t="n"/>
      <c r="V225" s="22" t="n"/>
      <c r="W225" s="23" t="n"/>
      <c r="X225" s="23" t="n"/>
      <c r="Y225" s="22" t="n"/>
      <c r="Z225" s="22" t="n"/>
      <c r="AA225" s="26">
        <f>IF(COUNTA(C225,A225,B225,E225)=0,"",IF(C225="","No date - sits outside every month",IF(A225="","No job number",IF(H225="CHECK","Job number is not in the Xero job list",IF(G225="not set up yet","No department has set this job up - nothing can pull through",IF(D225="","No cost centre",IF(AND(U225="Y",B225=""),"Marked posted to Xero but has no invoice number",IF(N225="","Cost centre has no revenue GL on the Lists sheet",IF(T225="Xero higher - check dept","Invoiced more than the department says the job is worth","")))))))))</f>
        <v/>
      </c>
      <c r="AB225" s="28">
        <f>IF(A225="","",COUNTIFS(tbl_Finance[Job Number],A225&amp;"",tbl_Finance[Ex GST],"&lt;&gt;"))</f>
        <v/>
      </c>
      <c r="AC225" s="27">
        <f>IF(A225="","",SUMIFS(tbl_Finance[Ex GST],tbl_Finance[Job Number],A225&amp;""))</f>
        <v/>
      </c>
      <c r="AD225" s="27">
        <f>IF(A225="","",SUMIFS(tbl_Finance[Ex GST],tbl_Finance[Job Number],A225&amp;"",tbl_Finance[Xero Invoice No],"&lt;&gt;"))</f>
        <v/>
      </c>
      <c r="AE225" s="27">
        <f>IF(A225="","",AC225-AD225)</f>
        <v/>
      </c>
      <c r="AF225" s="26">
        <f>IF(A225="","",IFERROR(IF(INDEX(tbl_Onsite[Qwilr Quote],IFERROR(MATCH(A225&amp;"",tbl_Onsite[Job Number],0),MATCH(IFERROR(A225+0,A225),tbl_Onsite[Job Number],0)))="","",INDEX(tbl_Onsite[Qwilr Quote],IFERROR(MATCH(A225&amp;"",tbl_Onsite[Job Number],0),MATCH(IFERROR(A225+0,A225),tbl_Onsite[Job Number],0)))),IFERROR(IF(IF(INDEX(tbl_Production[Current RMS No],IFERROR(MATCH(A225&amp;"",tbl_Production[Job Number],0),MATCH(IFERROR(A225+0,A225),tbl_Production[Job Number],0)))="",INDEX(tbl_Production[Qwilr Quote],IFERROR(MATCH(A225&amp;"",tbl_Production[Job Number],0),MATCH(IFERROR(A225+0,A225),tbl_Production[Job Number],0))),INDEX(tbl_Production[Current RMS No],IFERROR(MATCH(A225&amp;"",tbl_Production[Job Number],0),MATCH(IFERROR(A225+0,A225),tbl_Production[Job Number],0))))="","",IF(INDEX(tbl_Production[Current RMS No],IFERROR(MATCH(A225&amp;"",tbl_Production[Job Number],0),MATCH(IFERROR(A225+0,A225),tbl_Production[Job Number],0)))="",INDEX(tbl_Production[Qwilr Quote],IFERROR(MATCH(A225&amp;"",tbl_Production[Job Number],0),MATCH(IFERROR(A225+0,A225),tbl_Production[Job Number],0))),INDEX(tbl_Production[Current RMS No],IFERROR(MATCH(A225&amp;"",tbl_Production[Job Number],0),MATCH(IFERROR(A225+0,A225),tbl_Production[Job Number],0))))),IFERROR(IF(INDEX(tbl_Consulting[Qwilr Quote],IFERROR(MATCH(A225&amp;"",tbl_Consulting[Job Number],0),MATCH(IFERROR(A225+0,A225),tbl_Consulting[Job Number],0)))="","",INDEX(tbl_Consulting[Qwilr Quote],IFERROR(MATCH(A225&amp;"",tbl_Consulting[Job Number],0),MATCH(IFERROR(A225+0,A225),tbl_Consulting[Job Number],0)))),""))))</f>
        <v/>
      </c>
      <c r="AG225" s="26">
        <f>IF(AF225="","",IF(AND(LEFT(AF225,4)&lt;&gt;"http",IF(G225="Production",set_RMSBase,set_QwilrBase)=""),"",HYPERLINK(IF(LEFT(AF225,4)="http",AF225,IF(G225="Production",set_RMSBase,set_QwilrBase)&amp;AF225),"Open")))</f>
        <v/>
      </c>
      <c r="AH225" s="27">
        <f>IF(A225="","",IFERROR(INDEX(tbl_Production[Total Expense],IFERROR(MATCH(A225&amp;"",tbl_Production[Job Number],0),MATCH(IFERROR(A225+0,A225),tbl_Production[Job Number],0))),IFERROR(INDEX(tbl_Consulting[Total Expense],IFERROR(MATCH(A225&amp;"",tbl_Consulting[Job Number],0),MATCH(IFERROR(A225+0,A225),tbl_Consulting[Job Number],0))),0)))</f>
        <v/>
      </c>
      <c r="AI225" s="27">
        <f>IF(A225="","",AC225-N(AH225))</f>
        <v/>
      </c>
      <c r="AJ225" s="29">
        <f>IFERROR(AI225/AC225,"")</f>
        <v/>
      </c>
      <c r="AK225" s="26">
        <f>IF(A225="","",IFERROR(IF(INDEX(tbl_Onsite[Notes],IFERROR(MATCH(A225&amp;"",tbl_Onsite[Job Number],0),MATCH(IFERROR(A225+0,A225),tbl_Onsite[Job Number],0)))="","",INDEX(tbl_Onsite[Notes],IFERROR(MATCH(A225&amp;"",tbl_Onsite[Job Number],0),MATCH(IFERROR(A225+0,A225),tbl_Onsite[Job Number],0)))),IFERROR(IF(INDEX(tbl_Production[Notes],IFERROR(MATCH(A225&amp;"",tbl_Production[Job Number],0),MATCH(IFERROR(A225+0,A225),tbl_Production[Job Number],0)))="","",INDEX(tbl_Production[Notes],IFERROR(MATCH(A225&amp;"",tbl_Production[Job Number],0),MATCH(IFERROR(A225+0,A225),tbl_Production[Job Number],0)))),IFERROR(IF(INDEX(tbl_Consulting[Notes],IFERROR(MATCH(A225&amp;"",tbl_Consulting[Job Number],0),MATCH(IFERROR(A225+0,A225),tbl_Consulting[Job Number],0)))="","",INDEX(tbl_Consulting[Notes],IFERROR(MATCH(A225&amp;"",tbl_Consulting[Job Number],0),MATCH(IFERROR(A225+0,A225),tbl_Consulting[Job Number],0)))),""))))</f>
        <v/>
      </c>
    </row>
    <row r="226" ht="15" customHeight="1">
      <c r="A226" s="22" t="n"/>
      <c r="B226" s="22" t="n"/>
      <c r="C226" s="23" t="n"/>
      <c r="D226" s="22" t="n"/>
      <c r="E226" s="24" t="n"/>
      <c r="F226" s="25">
        <f>IF(C226="","",EOMONTH(C226,0))</f>
        <v/>
      </c>
      <c r="G226" s="26">
        <f>IF(A226="","",IF(COUNTIF(tbl_Onsite[Job Number],A226&amp;"")&gt;0,"Onsite",IF(COUNTIF(tbl_Production[Job Number],A226&amp;"")&gt;0,"Production",IF(COUNTIF(tbl_Consulting[Job Number],A226&amp;"")&gt;0,"Consulting","not set up yet"))))</f>
        <v/>
      </c>
      <c r="H226" s="26">
        <f>IF(A226="","",IF(COUNTIF(lst_Jobs,A226&amp;"")&gt;0,"OK","CHECK"))</f>
        <v/>
      </c>
      <c r="I226" s="26">
        <f>IF(A226="","",IFERROR(INDEX(lst_JobName,MATCH(A226&amp;"",lst_Jobs,0)),""))</f>
        <v/>
      </c>
      <c r="J226" s="26">
        <f>IF(A226="","",IFERROR(IF(INDEX(tbl_Onsite[Client],IFERROR(MATCH(A226&amp;"",tbl_Onsite[Job Number],0),MATCH(IFERROR(A226+0,A226),tbl_Onsite[Job Number],0)))="","",INDEX(tbl_Onsite[Client],IFERROR(MATCH(A226&amp;"",tbl_Onsite[Job Number],0),MATCH(IFERROR(A226+0,A226),tbl_Onsite[Job Number],0)))),IFERROR(IF(INDEX(tbl_Production[Client],IFERROR(MATCH(A226&amp;"",tbl_Production[Job Number],0),MATCH(IFERROR(A226+0,A226),tbl_Production[Job Number],0)))="","",INDEX(tbl_Production[Client],IFERROR(MATCH(A226&amp;"",tbl_Production[Job Number],0),MATCH(IFERROR(A226+0,A226),tbl_Production[Job Number],0)))),IFERROR(IF(INDEX(tbl_Consulting[Client],IFERROR(MATCH(A226&amp;"",tbl_Consulting[Job Number],0),MATCH(IFERROR(A226+0,A226),tbl_Consulting[Job Number],0)))="","",INDEX(tbl_Consulting[Client],IFERROR(MATCH(A226&amp;"",tbl_Consulting[Job Number],0),MATCH(IFERROR(A226+0,A226),tbl_Consulting[Job Number],0)))),""))))</f>
        <v/>
      </c>
      <c r="K226" s="26">
        <f>IF(A226="","",IFERROR(IF(INDEX(tbl_Onsite[Job Description],IFERROR(MATCH(A226&amp;"",tbl_Onsite[Job Number],0),MATCH(IFERROR(A226+0,A226),tbl_Onsite[Job Number],0)))="","",INDEX(tbl_Onsite[Job Description],IFERROR(MATCH(A226&amp;"",tbl_Onsite[Job Number],0),MATCH(IFERROR(A226+0,A226),tbl_Onsite[Job Number],0)))),IFERROR(IF(INDEX(tbl_Production[Job Description],IFERROR(MATCH(A226&amp;"",tbl_Production[Job Number],0),MATCH(IFERROR(A226+0,A226),tbl_Production[Job Number],0)))="","",INDEX(tbl_Production[Job Description],IFERROR(MATCH(A226&amp;"",tbl_Production[Job Number],0),MATCH(IFERROR(A226+0,A226),tbl_Production[Job Number],0)))),IFERROR(IF(INDEX(tbl_Consulting[Job Description],IFERROR(MATCH(A226&amp;"",tbl_Consulting[Job Number],0),MATCH(IFERROR(A226+0,A226),tbl_Consulting[Job Number],0)))="","",INDEX(tbl_Consulting[Job Description],IFERROR(MATCH(A226&amp;"",tbl_Consulting[Job Number],0),MATCH(IFERROR(A226+0,A226),tbl_Consulting[Job Number],0)))),""))))</f>
        <v/>
      </c>
      <c r="L226" s="26">
        <f>IF(A226="","",IFERROR(IF(INDEX(tbl_Onsite[Invoice Type],IFERROR(MATCH(A226&amp;"",tbl_Onsite[Job Number],0),MATCH(IFERROR(A226+0,A226),tbl_Onsite[Job Number],0)))="","",INDEX(tbl_Onsite[Invoice Type],IFERROR(MATCH(A226&amp;"",tbl_Onsite[Job Number],0),MATCH(IFERROR(A226+0,A226),tbl_Onsite[Job Number],0)))),IFERROR(IF(INDEX(tbl_Production[Invoice Type],IFERROR(MATCH(A226&amp;"",tbl_Production[Job Number],0),MATCH(IFERROR(A226+0,A226),tbl_Production[Job Number],0)))="","",INDEX(tbl_Production[Invoice Type],IFERROR(MATCH(A226&amp;"",tbl_Production[Job Number],0),MATCH(IFERROR(A226+0,A226),tbl_Production[Job Number],0)))),IFERROR(IF(INDEX(tbl_Consulting[Invoice Type],IFERROR(MATCH(A226&amp;"",tbl_Consulting[Job Number],0),MATCH(IFERROR(A226+0,A226),tbl_Consulting[Job Number],0)))="","",INDEX(tbl_Consulting[Invoice Type],IFERROR(MATCH(A226&amp;"",tbl_Consulting[Job Number],0),MATCH(IFERROR(A226+0,A226),tbl_Consulting[Job Number],0)))),""))))</f>
        <v/>
      </c>
      <c r="M226" s="26">
        <f>IF(A226="","",IF(IFERROR(IF(INDEX(tbl_Onsite[Tax Code],IFERROR(MATCH(A226&amp;"",tbl_Onsite[Job Number],0),MATCH(IFERROR(A226+0,A226),tbl_Onsite[Job Number],0)))="","",INDEX(tbl_Onsite[Tax Code],IFERROR(MATCH(A226&amp;"",tbl_Onsite[Job Number],0),MATCH(IFERROR(A226+0,A226),tbl_Onsite[Job Number],0)))),IFERROR(IF(INDEX(tbl_Production[Tax Code],IFERROR(MATCH(A226&amp;"",tbl_Production[Job Number],0),MATCH(IFERROR(A226+0,A226),tbl_Production[Job Number],0)))="","",INDEX(tbl_Production[Tax Code],IFERROR(MATCH(A226&amp;"",tbl_Production[Job Number],0),MATCH(IFERROR(A226+0,A226),tbl_Production[Job Number],0)))),IFERROR(IF(INDEX(tbl_Consulting[Tax Code],IFERROR(MATCH(A226&amp;"",tbl_Consulting[Job Number],0),MATCH(IFERROR(A226+0,A226),tbl_Consulting[Job Number],0)))="","",INDEX(tbl_Consulting[Tax Code],IFERROR(MATCH(A226&amp;"",tbl_Consulting[Job Number],0),MATCH(IFERROR(A226+0,A226),tbl_Consulting[Job Number],0)))),"")))="","GST 10%",IFERROR(IF(INDEX(tbl_Onsite[Tax Code],IFERROR(MATCH(A226&amp;"",tbl_Onsite[Job Number],0),MATCH(IFERROR(A226+0,A226),tbl_Onsite[Job Number],0)))="","",INDEX(tbl_Onsite[Tax Code],IFERROR(MATCH(A226&amp;"",tbl_Onsite[Job Number],0),MATCH(IFERROR(A226+0,A226),tbl_Onsite[Job Number],0)))),IFERROR(IF(INDEX(tbl_Production[Tax Code],IFERROR(MATCH(A226&amp;"",tbl_Production[Job Number],0),MATCH(IFERROR(A226+0,A226),tbl_Production[Job Number],0)))="","",INDEX(tbl_Production[Tax Code],IFERROR(MATCH(A226&amp;"",tbl_Production[Job Number],0),MATCH(IFERROR(A226+0,A226),tbl_Production[Job Number],0)))),IFERROR(IF(INDEX(tbl_Consulting[Tax Code],IFERROR(MATCH(A226&amp;"",tbl_Consulting[Job Number],0),MATCH(IFERROR(A226+0,A226),tbl_Consulting[Job Number],0)))="","",INDEX(tbl_Consulting[Tax Code],IFERROR(MATCH(A226&amp;"",tbl_Consulting[Job Number],0),MATCH(IFERROR(A226+0,A226),tbl_Consulting[Job Number],0)))),"")))))</f>
        <v/>
      </c>
      <c r="N226" s="26">
        <f>IF(D226="","",IFERROR(INDEX(lst_CCtoGL,MATCH(D226,lst_CCforGL,0)),""))</f>
        <v/>
      </c>
      <c r="O226" s="27">
        <f>IF(E226="","",IF(M226="GST 10%",ROUND(E226*set_GSTRate,2),0))</f>
        <v/>
      </c>
      <c r="P226" s="27">
        <f>IF(E226="","",E226+O226)</f>
        <v/>
      </c>
      <c r="Q226" s="27">
        <f>IF(A226="","",IFERROR(INDEX(tbl_Onsite[Expected Revenue Ex GST],IFERROR(MATCH(A226&amp;"",tbl_Onsite[Job Number],0),MATCH(IFERROR(A226+0,A226),tbl_Onsite[Job Number],0))),IFERROR(INDEX(tbl_Production[Expected Revenue Ex GST],IFERROR(MATCH(A226&amp;"",tbl_Production[Job Number],0),MATCH(IFERROR(A226+0,A226),tbl_Production[Job Number],0))),IFERROR(INDEX(tbl_Consulting[Expected Revenue Ex GST],IFERROR(MATCH(A226&amp;"",tbl_Consulting[Job Number],0),MATCH(IFERROR(A226+0,A226),tbl_Consulting[Job Number],0))),0))))</f>
        <v/>
      </c>
      <c r="R226" s="27">
        <f>IF(A226="","",SUMIFS(tbl_Finance[Ex GST],tbl_Finance[Job Number],A226&amp;""))</f>
        <v/>
      </c>
      <c r="S226" s="27">
        <f>IF(A226="","",Q226-R226)</f>
        <v/>
      </c>
      <c r="T226" s="26">
        <f>IF(A226="","",IF(Q226=0,"No dept value",IF(ROUND(S226,2)=0,"Agrees",IF(S226&gt;0,"Dept higher - to invoice","Xero higher - check dept"))))</f>
        <v/>
      </c>
      <c r="U226" s="22" t="n"/>
      <c r="V226" s="22" t="n"/>
      <c r="W226" s="23" t="n"/>
      <c r="X226" s="23" t="n"/>
      <c r="Y226" s="22" t="n"/>
      <c r="Z226" s="22" t="n"/>
      <c r="AA226" s="26">
        <f>IF(COUNTA(C226,A226,B226,E226)=0,"",IF(C226="","No date - sits outside every month",IF(A226="","No job number",IF(H226="CHECK","Job number is not in the Xero job list",IF(G226="not set up yet","No department has set this job up - nothing can pull through",IF(D226="","No cost centre",IF(AND(U226="Y",B226=""),"Marked posted to Xero but has no invoice number",IF(N226="","Cost centre has no revenue GL on the Lists sheet",IF(T226="Xero higher - check dept","Invoiced more than the department says the job is worth","")))))))))</f>
        <v/>
      </c>
      <c r="AB226" s="28">
        <f>IF(A226="","",COUNTIFS(tbl_Finance[Job Number],A226&amp;"",tbl_Finance[Ex GST],"&lt;&gt;"))</f>
        <v/>
      </c>
      <c r="AC226" s="27">
        <f>IF(A226="","",SUMIFS(tbl_Finance[Ex GST],tbl_Finance[Job Number],A226&amp;""))</f>
        <v/>
      </c>
      <c r="AD226" s="27">
        <f>IF(A226="","",SUMIFS(tbl_Finance[Ex GST],tbl_Finance[Job Number],A226&amp;"",tbl_Finance[Xero Invoice No],"&lt;&gt;"))</f>
        <v/>
      </c>
      <c r="AE226" s="27">
        <f>IF(A226="","",AC226-AD226)</f>
        <v/>
      </c>
      <c r="AF226" s="26">
        <f>IF(A226="","",IFERROR(IF(INDEX(tbl_Onsite[Qwilr Quote],IFERROR(MATCH(A226&amp;"",tbl_Onsite[Job Number],0),MATCH(IFERROR(A226+0,A226),tbl_Onsite[Job Number],0)))="","",INDEX(tbl_Onsite[Qwilr Quote],IFERROR(MATCH(A226&amp;"",tbl_Onsite[Job Number],0),MATCH(IFERROR(A226+0,A226),tbl_Onsite[Job Number],0)))),IFERROR(IF(IF(INDEX(tbl_Production[Current RMS No],IFERROR(MATCH(A226&amp;"",tbl_Production[Job Number],0),MATCH(IFERROR(A226+0,A226),tbl_Production[Job Number],0)))="",INDEX(tbl_Production[Qwilr Quote],IFERROR(MATCH(A226&amp;"",tbl_Production[Job Number],0),MATCH(IFERROR(A226+0,A226),tbl_Production[Job Number],0))),INDEX(tbl_Production[Current RMS No],IFERROR(MATCH(A226&amp;"",tbl_Production[Job Number],0),MATCH(IFERROR(A226+0,A226),tbl_Production[Job Number],0))))="","",IF(INDEX(tbl_Production[Current RMS No],IFERROR(MATCH(A226&amp;"",tbl_Production[Job Number],0),MATCH(IFERROR(A226+0,A226),tbl_Production[Job Number],0)))="",INDEX(tbl_Production[Qwilr Quote],IFERROR(MATCH(A226&amp;"",tbl_Production[Job Number],0),MATCH(IFERROR(A226+0,A226),tbl_Production[Job Number],0))),INDEX(tbl_Production[Current RMS No],IFERROR(MATCH(A226&amp;"",tbl_Production[Job Number],0),MATCH(IFERROR(A226+0,A226),tbl_Production[Job Number],0))))),IFERROR(IF(INDEX(tbl_Consulting[Qwilr Quote],IFERROR(MATCH(A226&amp;"",tbl_Consulting[Job Number],0),MATCH(IFERROR(A226+0,A226),tbl_Consulting[Job Number],0)))="","",INDEX(tbl_Consulting[Qwilr Quote],IFERROR(MATCH(A226&amp;"",tbl_Consulting[Job Number],0),MATCH(IFERROR(A226+0,A226),tbl_Consulting[Job Number],0)))),""))))</f>
        <v/>
      </c>
      <c r="AG226" s="26">
        <f>IF(AF226="","",IF(AND(LEFT(AF226,4)&lt;&gt;"http",IF(G226="Production",set_RMSBase,set_QwilrBase)=""),"",HYPERLINK(IF(LEFT(AF226,4)="http",AF226,IF(G226="Production",set_RMSBase,set_QwilrBase)&amp;AF226),"Open")))</f>
        <v/>
      </c>
      <c r="AH226" s="27">
        <f>IF(A226="","",IFERROR(INDEX(tbl_Production[Total Expense],IFERROR(MATCH(A226&amp;"",tbl_Production[Job Number],0),MATCH(IFERROR(A226+0,A226),tbl_Production[Job Number],0))),IFERROR(INDEX(tbl_Consulting[Total Expense],IFERROR(MATCH(A226&amp;"",tbl_Consulting[Job Number],0),MATCH(IFERROR(A226+0,A226),tbl_Consulting[Job Number],0))),0)))</f>
        <v/>
      </c>
      <c r="AI226" s="27">
        <f>IF(A226="","",AC226-N(AH226))</f>
        <v/>
      </c>
      <c r="AJ226" s="29">
        <f>IFERROR(AI226/AC226,"")</f>
        <v/>
      </c>
      <c r="AK226" s="26">
        <f>IF(A226="","",IFERROR(IF(INDEX(tbl_Onsite[Notes],IFERROR(MATCH(A226&amp;"",tbl_Onsite[Job Number],0),MATCH(IFERROR(A226+0,A226),tbl_Onsite[Job Number],0)))="","",INDEX(tbl_Onsite[Notes],IFERROR(MATCH(A226&amp;"",tbl_Onsite[Job Number],0),MATCH(IFERROR(A226+0,A226),tbl_Onsite[Job Number],0)))),IFERROR(IF(INDEX(tbl_Production[Notes],IFERROR(MATCH(A226&amp;"",tbl_Production[Job Number],0),MATCH(IFERROR(A226+0,A226),tbl_Production[Job Number],0)))="","",INDEX(tbl_Production[Notes],IFERROR(MATCH(A226&amp;"",tbl_Production[Job Number],0),MATCH(IFERROR(A226+0,A226),tbl_Production[Job Number],0)))),IFERROR(IF(INDEX(tbl_Consulting[Notes],IFERROR(MATCH(A226&amp;"",tbl_Consulting[Job Number],0),MATCH(IFERROR(A226+0,A226),tbl_Consulting[Job Number],0)))="","",INDEX(tbl_Consulting[Notes],IFERROR(MATCH(A226&amp;"",tbl_Consulting[Job Number],0),MATCH(IFERROR(A226+0,A226),tbl_Consulting[Job Number],0)))),""))))</f>
        <v/>
      </c>
    </row>
    <row r="227" ht="15" customHeight="1">
      <c r="A227" s="22" t="n"/>
      <c r="B227" s="22" t="n"/>
      <c r="C227" s="23" t="n"/>
      <c r="D227" s="22" t="n"/>
      <c r="E227" s="24" t="n"/>
      <c r="F227" s="25">
        <f>IF(C227="","",EOMONTH(C227,0))</f>
        <v/>
      </c>
      <c r="G227" s="26">
        <f>IF(A227="","",IF(COUNTIF(tbl_Onsite[Job Number],A227&amp;"")&gt;0,"Onsite",IF(COUNTIF(tbl_Production[Job Number],A227&amp;"")&gt;0,"Production",IF(COUNTIF(tbl_Consulting[Job Number],A227&amp;"")&gt;0,"Consulting","not set up yet"))))</f>
        <v/>
      </c>
      <c r="H227" s="26">
        <f>IF(A227="","",IF(COUNTIF(lst_Jobs,A227&amp;"")&gt;0,"OK","CHECK"))</f>
        <v/>
      </c>
      <c r="I227" s="26">
        <f>IF(A227="","",IFERROR(INDEX(lst_JobName,MATCH(A227&amp;"",lst_Jobs,0)),""))</f>
        <v/>
      </c>
      <c r="J227" s="26">
        <f>IF(A227="","",IFERROR(IF(INDEX(tbl_Onsite[Client],IFERROR(MATCH(A227&amp;"",tbl_Onsite[Job Number],0),MATCH(IFERROR(A227+0,A227),tbl_Onsite[Job Number],0)))="","",INDEX(tbl_Onsite[Client],IFERROR(MATCH(A227&amp;"",tbl_Onsite[Job Number],0),MATCH(IFERROR(A227+0,A227),tbl_Onsite[Job Number],0)))),IFERROR(IF(INDEX(tbl_Production[Client],IFERROR(MATCH(A227&amp;"",tbl_Production[Job Number],0),MATCH(IFERROR(A227+0,A227),tbl_Production[Job Number],0)))="","",INDEX(tbl_Production[Client],IFERROR(MATCH(A227&amp;"",tbl_Production[Job Number],0),MATCH(IFERROR(A227+0,A227),tbl_Production[Job Number],0)))),IFERROR(IF(INDEX(tbl_Consulting[Client],IFERROR(MATCH(A227&amp;"",tbl_Consulting[Job Number],0),MATCH(IFERROR(A227+0,A227),tbl_Consulting[Job Number],0)))="","",INDEX(tbl_Consulting[Client],IFERROR(MATCH(A227&amp;"",tbl_Consulting[Job Number],0),MATCH(IFERROR(A227+0,A227),tbl_Consulting[Job Number],0)))),""))))</f>
        <v/>
      </c>
      <c r="K227" s="26">
        <f>IF(A227="","",IFERROR(IF(INDEX(tbl_Onsite[Job Description],IFERROR(MATCH(A227&amp;"",tbl_Onsite[Job Number],0),MATCH(IFERROR(A227+0,A227),tbl_Onsite[Job Number],0)))="","",INDEX(tbl_Onsite[Job Description],IFERROR(MATCH(A227&amp;"",tbl_Onsite[Job Number],0),MATCH(IFERROR(A227+0,A227),tbl_Onsite[Job Number],0)))),IFERROR(IF(INDEX(tbl_Production[Job Description],IFERROR(MATCH(A227&amp;"",tbl_Production[Job Number],0),MATCH(IFERROR(A227+0,A227),tbl_Production[Job Number],0)))="","",INDEX(tbl_Production[Job Description],IFERROR(MATCH(A227&amp;"",tbl_Production[Job Number],0),MATCH(IFERROR(A227+0,A227),tbl_Production[Job Number],0)))),IFERROR(IF(INDEX(tbl_Consulting[Job Description],IFERROR(MATCH(A227&amp;"",tbl_Consulting[Job Number],0),MATCH(IFERROR(A227+0,A227),tbl_Consulting[Job Number],0)))="","",INDEX(tbl_Consulting[Job Description],IFERROR(MATCH(A227&amp;"",tbl_Consulting[Job Number],0),MATCH(IFERROR(A227+0,A227),tbl_Consulting[Job Number],0)))),""))))</f>
        <v/>
      </c>
      <c r="L227" s="26">
        <f>IF(A227="","",IFERROR(IF(INDEX(tbl_Onsite[Invoice Type],IFERROR(MATCH(A227&amp;"",tbl_Onsite[Job Number],0),MATCH(IFERROR(A227+0,A227),tbl_Onsite[Job Number],0)))="","",INDEX(tbl_Onsite[Invoice Type],IFERROR(MATCH(A227&amp;"",tbl_Onsite[Job Number],0),MATCH(IFERROR(A227+0,A227),tbl_Onsite[Job Number],0)))),IFERROR(IF(INDEX(tbl_Production[Invoice Type],IFERROR(MATCH(A227&amp;"",tbl_Production[Job Number],0),MATCH(IFERROR(A227+0,A227),tbl_Production[Job Number],0)))="","",INDEX(tbl_Production[Invoice Type],IFERROR(MATCH(A227&amp;"",tbl_Production[Job Number],0),MATCH(IFERROR(A227+0,A227),tbl_Production[Job Number],0)))),IFERROR(IF(INDEX(tbl_Consulting[Invoice Type],IFERROR(MATCH(A227&amp;"",tbl_Consulting[Job Number],0),MATCH(IFERROR(A227+0,A227),tbl_Consulting[Job Number],0)))="","",INDEX(tbl_Consulting[Invoice Type],IFERROR(MATCH(A227&amp;"",tbl_Consulting[Job Number],0),MATCH(IFERROR(A227+0,A227),tbl_Consulting[Job Number],0)))),""))))</f>
        <v/>
      </c>
      <c r="M227" s="26">
        <f>IF(A227="","",IF(IFERROR(IF(INDEX(tbl_Onsite[Tax Code],IFERROR(MATCH(A227&amp;"",tbl_Onsite[Job Number],0),MATCH(IFERROR(A227+0,A227),tbl_Onsite[Job Number],0)))="","",INDEX(tbl_Onsite[Tax Code],IFERROR(MATCH(A227&amp;"",tbl_Onsite[Job Number],0),MATCH(IFERROR(A227+0,A227),tbl_Onsite[Job Number],0)))),IFERROR(IF(INDEX(tbl_Production[Tax Code],IFERROR(MATCH(A227&amp;"",tbl_Production[Job Number],0),MATCH(IFERROR(A227+0,A227),tbl_Production[Job Number],0)))="","",INDEX(tbl_Production[Tax Code],IFERROR(MATCH(A227&amp;"",tbl_Production[Job Number],0),MATCH(IFERROR(A227+0,A227),tbl_Production[Job Number],0)))),IFERROR(IF(INDEX(tbl_Consulting[Tax Code],IFERROR(MATCH(A227&amp;"",tbl_Consulting[Job Number],0),MATCH(IFERROR(A227+0,A227),tbl_Consulting[Job Number],0)))="","",INDEX(tbl_Consulting[Tax Code],IFERROR(MATCH(A227&amp;"",tbl_Consulting[Job Number],0),MATCH(IFERROR(A227+0,A227),tbl_Consulting[Job Number],0)))),"")))="","GST 10%",IFERROR(IF(INDEX(tbl_Onsite[Tax Code],IFERROR(MATCH(A227&amp;"",tbl_Onsite[Job Number],0),MATCH(IFERROR(A227+0,A227),tbl_Onsite[Job Number],0)))="","",INDEX(tbl_Onsite[Tax Code],IFERROR(MATCH(A227&amp;"",tbl_Onsite[Job Number],0),MATCH(IFERROR(A227+0,A227),tbl_Onsite[Job Number],0)))),IFERROR(IF(INDEX(tbl_Production[Tax Code],IFERROR(MATCH(A227&amp;"",tbl_Production[Job Number],0),MATCH(IFERROR(A227+0,A227),tbl_Production[Job Number],0)))="","",INDEX(tbl_Production[Tax Code],IFERROR(MATCH(A227&amp;"",tbl_Production[Job Number],0),MATCH(IFERROR(A227+0,A227),tbl_Production[Job Number],0)))),IFERROR(IF(INDEX(tbl_Consulting[Tax Code],IFERROR(MATCH(A227&amp;"",tbl_Consulting[Job Number],0),MATCH(IFERROR(A227+0,A227),tbl_Consulting[Job Number],0)))="","",INDEX(tbl_Consulting[Tax Code],IFERROR(MATCH(A227&amp;"",tbl_Consulting[Job Number],0),MATCH(IFERROR(A227+0,A227),tbl_Consulting[Job Number],0)))),"")))))</f>
        <v/>
      </c>
      <c r="N227" s="26">
        <f>IF(D227="","",IFERROR(INDEX(lst_CCtoGL,MATCH(D227,lst_CCforGL,0)),""))</f>
        <v/>
      </c>
      <c r="O227" s="27">
        <f>IF(E227="","",IF(M227="GST 10%",ROUND(E227*set_GSTRate,2),0))</f>
        <v/>
      </c>
      <c r="P227" s="27">
        <f>IF(E227="","",E227+O227)</f>
        <v/>
      </c>
      <c r="Q227" s="27">
        <f>IF(A227="","",IFERROR(INDEX(tbl_Onsite[Expected Revenue Ex GST],IFERROR(MATCH(A227&amp;"",tbl_Onsite[Job Number],0),MATCH(IFERROR(A227+0,A227),tbl_Onsite[Job Number],0))),IFERROR(INDEX(tbl_Production[Expected Revenue Ex GST],IFERROR(MATCH(A227&amp;"",tbl_Production[Job Number],0),MATCH(IFERROR(A227+0,A227),tbl_Production[Job Number],0))),IFERROR(INDEX(tbl_Consulting[Expected Revenue Ex GST],IFERROR(MATCH(A227&amp;"",tbl_Consulting[Job Number],0),MATCH(IFERROR(A227+0,A227),tbl_Consulting[Job Number],0))),0))))</f>
        <v/>
      </c>
      <c r="R227" s="27">
        <f>IF(A227="","",SUMIFS(tbl_Finance[Ex GST],tbl_Finance[Job Number],A227&amp;""))</f>
        <v/>
      </c>
      <c r="S227" s="27">
        <f>IF(A227="","",Q227-R227)</f>
        <v/>
      </c>
      <c r="T227" s="26">
        <f>IF(A227="","",IF(Q227=0,"No dept value",IF(ROUND(S227,2)=0,"Agrees",IF(S227&gt;0,"Dept higher - to invoice","Xero higher - check dept"))))</f>
        <v/>
      </c>
      <c r="U227" s="22" t="n"/>
      <c r="V227" s="22" t="n"/>
      <c r="W227" s="23" t="n"/>
      <c r="X227" s="23" t="n"/>
      <c r="Y227" s="22" t="n"/>
      <c r="Z227" s="22" t="n"/>
      <c r="AA227" s="26">
        <f>IF(COUNTA(C227,A227,B227,E227)=0,"",IF(C227="","No date - sits outside every month",IF(A227="","No job number",IF(H227="CHECK","Job number is not in the Xero job list",IF(G227="not set up yet","No department has set this job up - nothing can pull through",IF(D227="","No cost centre",IF(AND(U227="Y",B227=""),"Marked posted to Xero but has no invoice number",IF(N227="","Cost centre has no revenue GL on the Lists sheet",IF(T227="Xero higher - check dept","Invoiced more than the department says the job is worth","")))))))))</f>
        <v/>
      </c>
      <c r="AB227" s="28">
        <f>IF(A227="","",COUNTIFS(tbl_Finance[Job Number],A227&amp;"",tbl_Finance[Ex GST],"&lt;&gt;"))</f>
        <v/>
      </c>
      <c r="AC227" s="27">
        <f>IF(A227="","",SUMIFS(tbl_Finance[Ex GST],tbl_Finance[Job Number],A227&amp;""))</f>
        <v/>
      </c>
      <c r="AD227" s="27">
        <f>IF(A227="","",SUMIFS(tbl_Finance[Ex GST],tbl_Finance[Job Number],A227&amp;"",tbl_Finance[Xero Invoice No],"&lt;&gt;"))</f>
        <v/>
      </c>
      <c r="AE227" s="27">
        <f>IF(A227="","",AC227-AD227)</f>
        <v/>
      </c>
      <c r="AF227" s="26">
        <f>IF(A227="","",IFERROR(IF(INDEX(tbl_Onsite[Qwilr Quote],IFERROR(MATCH(A227&amp;"",tbl_Onsite[Job Number],0),MATCH(IFERROR(A227+0,A227),tbl_Onsite[Job Number],0)))="","",INDEX(tbl_Onsite[Qwilr Quote],IFERROR(MATCH(A227&amp;"",tbl_Onsite[Job Number],0),MATCH(IFERROR(A227+0,A227),tbl_Onsite[Job Number],0)))),IFERROR(IF(IF(INDEX(tbl_Production[Current RMS No],IFERROR(MATCH(A227&amp;"",tbl_Production[Job Number],0),MATCH(IFERROR(A227+0,A227),tbl_Production[Job Number],0)))="",INDEX(tbl_Production[Qwilr Quote],IFERROR(MATCH(A227&amp;"",tbl_Production[Job Number],0),MATCH(IFERROR(A227+0,A227),tbl_Production[Job Number],0))),INDEX(tbl_Production[Current RMS No],IFERROR(MATCH(A227&amp;"",tbl_Production[Job Number],0),MATCH(IFERROR(A227+0,A227),tbl_Production[Job Number],0))))="","",IF(INDEX(tbl_Production[Current RMS No],IFERROR(MATCH(A227&amp;"",tbl_Production[Job Number],0),MATCH(IFERROR(A227+0,A227),tbl_Production[Job Number],0)))="",INDEX(tbl_Production[Qwilr Quote],IFERROR(MATCH(A227&amp;"",tbl_Production[Job Number],0),MATCH(IFERROR(A227+0,A227),tbl_Production[Job Number],0))),INDEX(tbl_Production[Current RMS No],IFERROR(MATCH(A227&amp;"",tbl_Production[Job Number],0),MATCH(IFERROR(A227+0,A227),tbl_Production[Job Number],0))))),IFERROR(IF(INDEX(tbl_Consulting[Qwilr Quote],IFERROR(MATCH(A227&amp;"",tbl_Consulting[Job Number],0),MATCH(IFERROR(A227+0,A227),tbl_Consulting[Job Number],0)))="","",INDEX(tbl_Consulting[Qwilr Quote],IFERROR(MATCH(A227&amp;"",tbl_Consulting[Job Number],0),MATCH(IFERROR(A227+0,A227),tbl_Consulting[Job Number],0)))),""))))</f>
        <v/>
      </c>
      <c r="AG227" s="26">
        <f>IF(AF227="","",IF(AND(LEFT(AF227,4)&lt;&gt;"http",IF(G227="Production",set_RMSBase,set_QwilrBase)=""),"",HYPERLINK(IF(LEFT(AF227,4)="http",AF227,IF(G227="Production",set_RMSBase,set_QwilrBase)&amp;AF227),"Open")))</f>
        <v/>
      </c>
      <c r="AH227" s="27">
        <f>IF(A227="","",IFERROR(INDEX(tbl_Production[Total Expense],IFERROR(MATCH(A227&amp;"",tbl_Production[Job Number],0),MATCH(IFERROR(A227+0,A227),tbl_Production[Job Number],0))),IFERROR(INDEX(tbl_Consulting[Total Expense],IFERROR(MATCH(A227&amp;"",tbl_Consulting[Job Number],0),MATCH(IFERROR(A227+0,A227),tbl_Consulting[Job Number],0))),0)))</f>
        <v/>
      </c>
      <c r="AI227" s="27">
        <f>IF(A227="","",AC227-N(AH227))</f>
        <v/>
      </c>
      <c r="AJ227" s="29">
        <f>IFERROR(AI227/AC227,"")</f>
        <v/>
      </c>
      <c r="AK227" s="26">
        <f>IF(A227="","",IFERROR(IF(INDEX(tbl_Onsite[Notes],IFERROR(MATCH(A227&amp;"",tbl_Onsite[Job Number],0),MATCH(IFERROR(A227+0,A227),tbl_Onsite[Job Number],0)))="","",INDEX(tbl_Onsite[Notes],IFERROR(MATCH(A227&amp;"",tbl_Onsite[Job Number],0),MATCH(IFERROR(A227+0,A227),tbl_Onsite[Job Number],0)))),IFERROR(IF(INDEX(tbl_Production[Notes],IFERROR(MATCH(A227&amp;"",tbl_Production[Job Number],0),MATCH(IFERROR(A227+0,A227),tbl_Production[Job Number],0)))="","",INDEX(tbl_Production[Notes],IFERROR(MATCH(A227&amp;"",tbl_Production[Job Number],0),MATCH(IFERROR(A227+0,A227),tbl_Production[Job Number],0)))),IFERROR(IF(INDEX(tbl_Consulting[Notes],IFERROR(MATCH(A227&amp;"",tbl_Consulting[Job Number],0),MATCH(IFERROR(A227+0,A227),tbl_Consulting[Job Number],0)))="","",INDEX(tbl_Consulting[Notes],IFERROR(MATCH(A227&amp;"",tbl_Consulting[Job Number],0),MATCH(IFERROR(A227+0,A227),tbl_Consulting[Job Number],0)))),""))))</f>
        <v/>
      </c>
    </row>
    <row r="228" ht="15" customHeight="1">
      <c r="A228" s="22" t="n"/>
      <c r="B228" s="22" t="n"/>
      <c r="C228" s="23" t="n"/>
      <c r="D228" s="22" t="n"/>
      <c r="E228" s="24" t="n"/>
      <c r="F228" s="25">
        <f>IF(C228="","",EOMONTH(C228,0))</f>
        <v/>
      </c>
      <c r="G228" s="26">
        <f>IF(A228="","",IF(COUNTIF(tbl_Onsite[Job Number],A228&amp;"")&gt;0,"Onsite",IF(COUNTIF(tbl_Production[Job Number],A228&amp;"")&gt;0,"Production",IF(COUNTIF(tbl_Consulting[Job Number],A228&amp;"")&gt;0,"Consulting","not set up yet"))))</f>
        <v/>
      </c>
      <c r="H228" s="26">
        <f>IF(A228="","",IF(COUNTIF(lst_Jobs,A228&amp;"")&gt;0,"OK","CHECK"))</f>
        <v/>
      </c>
      <c r="I228" s="26">
        <f>IF(A228="","",IFERROR(INDEX(lst_JobName,MATCH(A228&amp;"",lst_Jobs,0)),""))</f>
        <v/>
      </c>
      <c r="J228" s="26">
        <f>IF(A228="","",IFERROR(IF(INDEX(tbl_Onsite[Client],IFERROR(MATCH(A228&amp;"",tbl_Onsite[Job Number],0),MATCH(IFERROR(A228+0,A228),tbl_Onsite[Job Number],0)))="","",INDEX(tbl_Onsite[Client],IFERROR(MATCH(A228&amp;"",tbl_Onsite[Job Number],0),MATCH(IFERROR(A228+0,A228),tbl_Onsite[Job Number],0)))),IFERROR(IF(INDEX(tbl_Production[Client],IFERROR(MATCH(A228&amp;"",tbl_Production[Job Number],0),MATCH(IFERROR(A228+0,A228),tbl_Production[Job Number],0)))="","",INDEX(tbl_Production[Client],IFERROR(MATCH(A228&amp;"",tbl_Production[Job Number],0),MATCH(IFERROR(A228+0,A228),tbl_Production[Job Number],0)))),IFERROR(IF(INDEX(tbl_Consulting[Client],IFERROR(MATCH(A228&amp;"",tbl_Consulting[Job Number],0),MATCH(IFERROR(A228+0,A228),tbl_Consulting[Job Number],0)))="","",INDEX(tbl_Consulting[Client],IFERROR(MATCH(A228&amp;"",tbl_Consulting[Job Number],0),MATCH(IFERROR(A228+0,A228),tbl_Consulting[Job Number],0)))),""))))</f>
        <v/>
      </c>
      <c r="K228" s="26">
        <f>IF(A228="","",IFERROR(IF(INDEX(tbl_Onsite[Job Description],IFERROR(MATCH(A228&amp;"",tbl_Onsite[Job Number],0),MATCH(IFERROR(A228+0,A228),tbl_Onsite[Job Number],0)))="","",INDEX(tbl_Onsite[Job Description],IFERROR(MATCH(A228&amp;"",tbl_Onsite[Job Number],0),MATCH(IFERROR(A228+0,A228),tbl_Onsite[Job Number],0)))),IFERROR(IF(INDEX(tbl_Production[Job Description],IFERROR(MATCH(A228&amp;"",tbl_Production[Job Number],0),MATCH(IFERROR(A228+0,A228),tbl_Production[Job Number],0)))="","",INDEX(tbl_Production[Job Description],IFERROR(MATCH(A228&amp;"",tbl_Production[Job Number],0),MATCH(IFERROR(A228+0,A228),tbl_Production[Job Number],0)))),IFERROR(IF(INDEX(tbl_Consulting[Job Description],IFERROR(MATCH(A228&amp;"",tbl_Consulting[Job Number],0),MATCH(IFERROR(A228+0,A228),tbl_Consulting[Job Number],0)))="","",INDEX(tbl_Consulting[Job Description],IFERROR(MATCH(A228&amp;"",tbl_Consulting[Job Number],0),MATCH(IFERROR(A228+0,A228),tbl_Consulting[Job Number],0)))),""))))</f>
        <v/>
      </c>
      <c r="L228" s="26">
        <f>IF(A228="","",IFERROR(IF(INDEX(tbl_Onsite[Invoice Type],IFERROR(MATCH(A228&amp;"",tbl_Onsite[Job Number],0),MATCH(IFERROR(A228+0,A228),tbl_Onsite[Job Number],0)))="","",INDEX(tbl_Onsite[Invoice Type],IFERROR(MATCH(A228&amp;"",tbl_Onsite[Job Number],0),MATCH(IFERROR(A228+0,A228),tbl_Onsite[Job Number],0)))),IFERROR(IF(INDEX(tbl_Production[Invoice Type],IFERROR(MATCH(A228&amp;"",tbl_Production[Job Number],0),MATCH(IFERROR(A228+0,A228),tbl_Production[Job Number],0)))="","",INDEX(tbl_Production[Invoice Type],IFERROR(MATCH(A228&amp;"",tbl_Production[Job Number],0),MATCH(IFERROR(A228+0,A228),tbl_Production[Job Number],0)))),IFERROR(IF(INDEX(tbl_Consulting[Invoice Type],IFERROR(MATCH(A228&amp;"",tbl_Consulting[Job Number],0),MATCH(IFERROR(A228+0,A228),tbl_Consulting[Job Number],0)))="","",INDEX(tbl_Consulting[Invoice Type],IFERROR(MATCH(A228&amp;"",tbl_Consulting[Job Number],0),MATCH(IFERROR(A228+0,A228),tbl_Consulting[Job Number],0)))),""))))</f>
        <v/>
      </c>
      <c r="M228" s="26">
        <f>IF(A228="","",IF(IFERROR(IF(INDEX(tbl_Onsite[Tax Code],IFERROR(MATCH(A228&amp;"",tbl_Onsite[Job Number],0),MATCH(IFERROR(A228+0,A228),tbl_Onsite[Job Number],0)))="","",INDEX(tbl_Onsite[Tax Code],IFERROR(MATCH(A228&amp;"",tbl_Onsite[Job Number],0),MATCH(IFERROR(A228+0,A228),tbl_Onsite[Job Number],0)))),IFERROR(IF(INDEX(tbl_Production[Tax Code],IFERROR(MATCH(A228&amp;"",tbl_Production[Job Number],0),MATCH(IFERROR(A228+0,A228),tbl_Production[Job Number],0)))="","",INDEX(tbl_Production[Tax Code],IFERROR(MATCH(A228&amp;"",tbl_Production[Job Number],0),MATCH(IFERROR(A228+0,A228),tbl_Production[Job Number],0)))),IFERROR(IF(INDEX(tbl_Consulting[Tax Code],IFERROR(MATCH(A228&amp;"",tbl_Consulting[Job Number],0),MATCH(IFERROR(A228+0,A228),tbl_Consulting[Job Number],0)))="","",INDEX(tbl_Consulting[Tax Code],IFERROR(MATCH(A228&amp;"",tbl_Consulting[Job Number],0),MATCH(IFERROR(A228+0,A228),tbl_Consulting[Job Number],0)))),"")))="","GST 10%",IFERROR(IF(INDEX(tbl_Onsite[Tax Code],IFERROR(MATCH(A228&amp;"",tbl_Onsite[Job Number],0),MATCH(IFERROR(A228+0,A228),tbl_Onsite[Job Number],0)))="","",INDEX(tbl_Onsite[Tax Code],IFERROR(MATCH(A228&amp;"",tbl_Onsite[Job Number],0),MATCH(IFERROR(A228+0,A228),tbl_Onsite[Job Number],0)))),IFERROR(IF(INDEX(tbl_Production[Tax Code],IFERROR(MATCH(A228&amp;"",tbl_Production[Job Number],0),MATCH(IFERROR(A228+0,A228),tbl_Production[Job Number],0)))="","",INDEX(tbl_Production[Tax Code],IFERROR(MATCH(A228&amp;"",tbl_Production[Job Number],0),MATCH(IFERROR(A228+0,A228),tbl_Production[Job Number],0)))),IFERROR(IF(INDEX(tbl_Consulting[Tax Code],IFERROR(MATCH(A228&amp;"",tbl_Consulting[Job Number],0),MATCH(IFERROR(A228+0,A228),tbl_Consulting[Job Number],0)))="","",INDEX(tbl_Consulting[Tax Code],IFERROR(MATCH(A228&amp;"",tbl_Consulting[Job Number],0),MATCH(IFERROR(A228+0,A228),tbl_Consulting[Job Number],0)))),"")))))</f>
        <v/>
      </c>
      <c r="N228" s="26">
        <f>IF(D228="","",IFERROR(INDEX(lst_CCtoGL,MATCH(D228,lst_CCforGL,0)),""))</f>
        <v/>
      </c>
      <c r="O228" s="27">
        <f>IF(E228="","",IF(M228="GST 10%",ROUND(E228*set_GSTRate,2),0))</f>
        <v/>
      </c>
      <c r="P228" s="27">
        <f>IF(E228="","",E228+O228)</f>
        <v/>
      </c>
      <c r="Q228" s="27">
        <f>IF(A228="","",IFERROR(INDEX(tbl_Onsite[Expected Revenue Ex GST],IFERROR(MATCH(A228&amp;"",tbl_Onsite[Job Number],0),MATCH(IFERROR(A228+0,A228),tbl_Onsite[Job Number],0))),IFERROR(INDEX(tbl_Production[Expected Revenue Ex GST],IFERROR(MATCH(A228&amp;"",tbl_Production[Job Number],0),MATCH(IFERROR(A228+0,A228),tbl_Production[Job Number],0))),IFERROR(INDEX(tbl_Consulting[Expected Revenue Ex GST],IFERROR(MATCH(A228&amp;"",tbl_Consulting[Job Number],0),MATCH(IFERROR(A228+0,A228),tbl_Consulting[Job Number],0))),0))))</f>
        <v/>
      </c>
      <c r="R228" s="27">
        <f>IF(A228="","",SUMIFS(tbl_Finance[Ex GST],tbl_Finance[Job Number],A228&amp;""))</f>
        <v/>
      </c>
      <c r="S228" s="27">
        <f>IF(A228="","",Q228-R228)</f>
        <v/>
      </c>
      <c r="T228" s="26">
        <f>IF(A228="","",IF(Q228=0,"No dept value",IF(ROUND(S228,2)=0,"Agrees",IF(S228&gt;0,"Dept higher - to invoice","Xero higher - check dept"))))</f>
        <v/>
      </c>
      <c r="U228" s="22" t="n"/>
      <c r="V228" s="22" t="n"/>
      <c r="W228" s="23" t="n"/>
      <c r="X228" s="23" t="n"/>
      <c r="Y228" s="22" t="n"/>
      <c r="Z228" s="22" t="n"/>
      <c r="AA228" s="26">
        <f>IF(COUNTA(C228,A228,B228,E228)=0,"",IF(C228="","No date - sits outside every month",IF(A228="","No job number",IF(H228="CHECK","Job number is not in the Xero job list",IF(G228="not set up yet","No department has set this job up - nothing can pull through",IF(D228="","No cost centre",IF(AND(U228="Y",B228=""),"Marked posted to Xero but has no invoice number",IF(N228="","Cost centre has no revenue GL on the Lists sheet",IF(T228="Xero higher - check dept","Invoiced more than the department says the job is worth","")))))))))</f>
        <v/>
      </c>
      <c r="AB228" s="28">
        <f>IF(A228="","",COUNTIFS(tbl_Finance[Job Number],A228&amp;"",tbl_Finance[Ex GST],"&lt;&gt;"))</f>
        <v/>
      </c>
      <c r="AC228" s="27">
        <f>IF(A228="","",SUMIFS(tbl_Finance[Ex GST],tbl_Finance[Job Number],A228&amp;""))</f>
        <v/>
      </c>
      <c r="AD228" s="27">
        <f>IF(A228="","",SUMIFS(tbl_Finance[Ex GST],tbl_Finance[Job Number],A228&amp;"",tbl_Finance[Xero Invoice No],"&lt;&gt;"))</f>
        <v/>
      </c>
      <c r="AE228" s="27">
        <f>IF(A228="","",AC228-AD228)</f>
        <v/>
      </c>
      <c r="AF228" s="26">
        <f>IF(A228="","",IFERROR(IF(INDEX(tbl_Onsite[Qwilr Quote],IFERROR(MATCH(A228&amp;"",tbl_Onsite[Job Number],0),MATCH(IFERROR(A228+0,A228),tbl_Onsite[Job Number],0)))="","",INDEX(tbl_Onsite[Qwilr Quote],IFERROR(MATCH(A228&amp;"",tbl_Onsite[Job Number],0),MATCH(IFERROR(A228+0,A228),tbl_Onsite[Job Number],0)))),IFERROR(IF(IF(INDEX(tbl_Production[Current RMS No],IFERROR(MATCH(A228&amp;"",tbl_Production[Job Number],0),MATCH(IFERROR(A228+0,A228),tbl_Production[Job Number],0)))="",INDEX(tbl_Production[Qwilr Quote],IFERROR(MATCH(A228&amp;"",tbl_Production[Job Number],0),MATCH(IFERROR(A228+0,A228),tbl_Production[Job Number],0))),INDEX(tbl_Production[Current RMS No],IFERROR(MATCH(A228&amp;"",tbl_Production[Job Number],0),MATCH(IFERROR(A228+0,A228),tbl_Production[Job Number],0))))="","",IF(INDEX(tbl_Production[Current RMS No],IFERROR(MATCH(A228&amp;"",tbl_Production[Job Number],0),MATCH(IFERROR(A228+0,A228),tbl_Production[Job Number],0)))="",INDEX(tbl_Production[Qwilr Quote],IFERROR(MATCH(A228&amp;"",tbl_Production[Job Number],0),MATCH(IFERROR(A228+0,A228),tbl_Production[Job Number],0))),INDEX(tbl_Production[Current RMS No],IFERROR(MATCH(A228&amp;"",tbl_Production[Job Number],0),MATCH(IFERROR(A228+0,A228),tbl_Production[Job Number],0))))),IFERROR(IF(INDEX(tbl_Consulting[Qwilr Quote],IFERROR(MATCH(A228&amp;"",tbl_Consulting[Job Number],0),MATCH(IFERROR(A228+0,A228),tbl_Consulting[Job Number],0)))="","",INDEX(tbl_Consulting[Qwilr Quote],IFERROR(MATCH(A228&amp;"",tbl_Consulting[Job Number],0),MATCH(IFERROR(A228+0,A228),tbl_Consulting[Job Number],0)))),""))))</f>
        <v/>
      </c>
      <c r="AG228" s="26">
        <f>IF(AF228="","",IF(AND(LEFT(AF228,4)&lt;&gt;"http",IF(G228="Production",set_RMSBase,set_QwilrBase)=""),"",HYPERLINK(IF(LEFT(AF228,4)="http",AF228,IF(G228="Production",set_RMSBase,set_QwilrBase)&amp;AF228),"Open")))</f>
        <v/>
      </c>
      <c r="AH228" s="27">
        <f>IF(A228="","",IFERROR(INDEX(tbl_Production[Total Expense],IFERROR(MATCH(A228&amp;"",tbl_Production[Job Number],0),MATCH(IFERROR(A228+0,A228),tbl_Production[Job Number],0))),IFERROR(INDEX(tbl_Consulting[Total Expense],IFERROR(MATCH(A228&amp;"",tbl_Consulting[Job Number],0),MATCH(IFERROR(A228+0,A228),tbl_Consulting[Job Number],0))),0)))</f>
        <v/>
      </c>
      <c r="AI228" s="27">
        <f>IF(A228="","",AC228-N(AH228))</f>
        <v/>
      </c>
      <c r="AJ228" s="29">
        <f>IFERROR(AI228/AC228,"")</f>
        <v/>
      </c>
      <c r="AK228" s="26">
        <f>IF(A228="","",IFERROR(IF(INDEX(tbl_Onsite[Notes],IFERROR(MATCH(A228&amp;"",tbl_Onsite[Job Number],0),MATCH(IFERROR(A228+0,A228),tbl_Onsite[Job Number],0)))="","",INDEX(tbl_Onsite[Notes],IFERROR(MATCH(A228&amp;"",tbl_Onsite[Job Number],0),MATCH(IFERROR(A228+0,A228),tbl_Onsite[Job Number],0)))),IFERROR(IF(INDEX(tbl_Production[Notes],IFERROR(MATCH(A228&amp;"",tbl_Production[Job Number],0),MATCH(IFERROR(A228+0,A228),tbl_Production[Job Number],0)))="","",INDEX(tbl_Production[Notes],IFERROR(MATCH(A228&amp;"",tbl_Production[Job Number],0),MATCH(IFERROR(A228+0,A228),tbl_Production[Job Number],0)))),IFERROR(IF(INDEX(tbl_Consulting[Notes],IFERROR(MATCH(A228&amp;"",tbl_Consulting[Job Number],0),MATCH(IFERROR(A228+0,A228),tbl_Consulting[Job Number],0)))="","",INDEX(tbl_Consulting[Notes],IFERROR(MATCH(A228&amp;"",tbl_Consulting[Job Number],0),MATCH(IFERROR(A228+0,A228),tbl_Consulting[Job Number],0)))),""))))</f>
        <v/>
      </c>
    </row>
    <row r="229" ht="15" customHeight="1">
      <c r="A229" s="22" t="n"/>
      <c r="B229" s="22" t="n"/>
      <c r="C229" s="23" t="n"/>
      <c r="D229" s="22" t="n"/>
      <c r="E229" s="24" t="n"/>
      <c r="F229" s="25">
        <f>IF(C229="","",EOMONTH(C229,0))</f>
        <v/>
      </c>
      <c r="G229" s="26">
        <f>IF(A229="","",IF(COUNTIF(tbl_Onsite[Job Number],A229&amp;"")&gt;0,"Onsite",IF(COUNTIF(tbl_Production[Job Number],A229&amp;"")&gt;0,"Production",IF(COUNTIF(tbl_Consulting[Job Number],A229&amp;"")&gt;0,"Consulting","not set up yet"))))</f>
        <v/>
      </c>
      <c r="H229" s="26">
        <f>IF(A229="","",IF(COUNTIF(lst_Jobs,A229&amp;"")&gt;0,"OK","CHECK"))</f>
        <v/>
      </c>
      <c r="I229" s="26">
        <f>IF(A229="","",IFERROR(INDEX(lst_JobName,MATCH(A229&amp;"",lst_Jobs,0)),""))</f>
        <v/>
      </c>
      <c r="J229" s="26">
        <f>IF(A229="","",IFERROR(IF(INDEX(tbl_Onsite[Client],IFERROR(MATCH(A229&amp;"",tbl_Onsite[Job Number],0),MATCH(IFERROR(A229+0,A229),tbl_Onsite[Job Number],0)))="","",INDEX(tbl_Onsite[Client],IFERROR(MATCH(A229&amp;"",tbl_Onsite[Job Number],0),MATCH(IFERROR(A229+0,A229),tbl_Onsite[Job Number],0)))),IFERROR(IF(INDEX(tbl_Production[Client],IFERROR(MATCH(A229&amp;"",tbl_Production[Job Number],0),MATCH(IFERROR(A229+0,A229),tbl_Production[Job Number],0)))="","",INDEX(tbl_Production[Client],IFERROR(MATCH(A229&amp;"",tbl_Production[Job Number],0),MATCH(IFERROR(A229+0,A229),tbl_Production[Job Number],0)))),IFERROR(IF(INDEX(tbl_Consulting[Client],IFERROR(MATCH(A229&amp;"",tbl_Consulting[Job Number],0),MATCH(IFERROR(A229+0,A229),tbl_Consulting[Job Number],0)))="","",INDEX(tbl_Consulting[Client],IFERROR(MATCH(A229&amp;"",tbl_Consulting[Job Number],0),MATCH(IFERROR(A229+0,A229),tbl_Consulting[Job Number],0)))),""))))</f>
        <v/>
      </c>
      <c r="K229" s="26">
        <f>IF(A229="","",IFERROR(IF(INDEX(tbl_Onsite[Job Description],IFERROR(MATCH(A229&amp;"",tbl_Onsite[Job Number],0),MATCH(IFERROR(A229+0,A229),tbl_Onsite[Job Number],0)))="","",INDEX(tbl_Onsite[Job Description],IFERROR(MATCH(A229&amp;"",tbl_Onsite[Job Number],0),MATCH(IFERROR(A229+0,A229),tbl_Onsite[Job Number],0)))),IFERROR(IF(INDEX(tbl_Production[Job Description],IFERROR(MATCH(A229&amp;"",tbl_Production[Job Number],0),MATCH(IFERROR(A229+0,A229),tbl_Production[Job Number],0)))="","",INDEX(tbl_Production[Job Description],IFERROR(MATCH(A229&amp;"",tbl_Production[Job Number],0),MATCH(IFERROR(A229+0,A229),tbl_Production[Job Number],0)))),IFERROR(IF(INDEX(tbl_Consulting[Job Description],IFERROR(MATCH(A229&amp;"",tbl_Consulting[Job Number],0),MATCH(IFERROR(A229+0,A229),tbl_Consulting[Job Number],0)))="","",INDEX(tbl_Consulting[Job Description],IFERROR(MATCH(A229&amp;"",tbl_Consulting[Job Number],0),MATCH(IFERROR(A229+0,A229),tbl_Consulting[Job Number],0)))),""))))</f>
        <v/>
      </c>
      <c r="L229" s="26">
        <f>IF(A229="","",IFERROR(IF(INDEX(tbl_Onsite[Invoice Type],IFERROR(MATCH(A229&amp;"",tbl_Onsite[Job Number],0),MATCH(IFERROR(A229+0,A229),tbl_Onsite[Job Number],0)))="","",INDEX(tbl_Onsite[Invoice Type],IFERROR(MATCH(A229&amp;"",tbl_Onsite[Job Number],0),MATCH(IFERROR(A229+0,A229),tbl_Onsite[Job Number],0)))),IFERROR(IF(INDEX(tbl_Production[Invoice Type],IFERROR(MATCH(A229&amp;"",tbl_Production[Job Number],0),MATCH(IFERROR(A229+0,A229),tbl_Production[Job Number],0)))="","",INDEX(tbl_Production[Invoice Type],IFERROR(MATCH(A229&amp;"",tbl_Production[Job Number],0),MATCH(IFERROR(A229+0,A229),tbl_Production[Job Number],0)))),IFERROR(IF(INDEX(tbl_Consulting[Invoice Type],IFERROR(MATCH(A229&amp;"",tbl_Consulting[Job Number],0),MATCH(IFERROR(A229+0,A229),tbl_Consulting[Job Number],0)))="","",INDEX(tbl_Consulting[Invoice Type],IFERROR(MATCH(A229&amp;"",tbl_Consulting[Job Number],0),MATCH(IFERROR(A229+0,A229),tbl_Consulting[Job Number],0)))),""))))</f>
        <v/>
      </c>
      <c r="M229" s="26">
        <f>IF(A229="","",IF(IFERROR(IF(INDEX(tbl_Onsite[Tax Code],IFERROR(MATCH(A229&amp;"",tbl_Onsite[Job Number],0),MATCH(IFERROR(A229+0,A229),tbl_Onsite[Job Number],0)))="","",INDEX(tbl_Onsite[Tax Code],IFERROR(MATCH(A229&amp;"",tbl_Onsite[Job Number],0),MATCH(IFERROR(A229+0,A229),tbl_Onsite[Job Number],0)))),IFERROR(IF(INDEX(tbl_Production[Tax Code],IFERROR(MATCH(A229&amp;"",tbl_Production[Job Number],0),MATCH(IFERROR(A229+0,A229),tbl_Production[Job Number],0)))="","",INDEX(tbl_Production[Tax Code],IFERROR(MATCH(A229&amp;"",tbl_Production[Job Number],0),MATCH(IFERROR(A229+0,A229),tbl_Production[Job Number],0)))),IFERROR(IF(INDEX(tbl_Consulting[Tax Code],IFERROR(MATCH(A229&amp;"",tbl_Consulting[Job Number],0),MATCH(IFERROR(A229+0,A229),tbl_Consulting[Job Number],0)))="","",INDEX(tbl_Consulting[Tax Code],IFERROR(MATCH(A229&amp;"",tbl_Consulting[Job Number],0),MATCH(IFERROR(A229+0,A229),tbl_Consulting[Job Number],0)))),"")))="","GST 10%",IFERROR(IF(INDEX(tbl_Onsite[Tax Code],IFERROR(MATCH(A229&amp;"",tbl_Onsite[Job Number],0),MATCH(IFERROR(A229+0,A229),tbl_Onsite[Job Number],0)))="","",INDEX(tbl_Onsite[Tax Code],IFERROR(MATCH(A229&amp;"",tbl_Onsite[Job Number],0),MATCH(IFERROR(A229+0,A229),tbl_Onsite[Job Number],0)))),IFERROR(IF(INDEX(tbl_Production[Tax Code],IFERROR(MATCH(A229&amp;"",tbl_Production[Job Number],0),MATCH(IFERROR(A229+0,A229),tbl_Production[Job Number],0)))="","",INDEX(tbl_Production[Tax Code],IFERROR(MATCH(A229&amp;"",tbl_Production[Job Number],0),MATCH(IFERROR(A229+0,A229),tbl_Production[Job Number],0)))),IFERROR(IF(INDEX(tbl_Consulting[Tax Code],IFERROR(MATCH(A229&amp;"",tbl_Consulting[Job Number],0),MATCH(IFERROR(A229+0,A229),tbl_Consulting[Job Number],0)))="","",INDEX(tbl_Consulting[Tax Code],IFERROR(MATCH(A229&amp;"",tbl_Consulting[Job Number],0),MATCH(IFERROR(A229+0,A229),tbl_Consulting[Job Number],0)))),"")))))</f>
        <v/>
      </c>
      <c r="N229" s="26">
        <f>IF(D229="","",IFERROR(INDEX(lst_CCtoGL,MATCH(D229,lst_CCforGL,0)),""))</f>
        <v/>
      </c>
      <c r="O229" s="27">
        <f>IF(E229="","",IF(M229="GST 10%",ROUND(E229*set_GSTRate,2),0))</f>
        <v/>
      </c>
      <c r="P229" s="27">
        <f>IF(E229="","",E229+O229)</f>
        <v/>
      </c>
      <c r="Q229" s="27">
        <f>IF(A229="","",IFERROR(INDEX(tbl_Onsite[Expected Revenue Ex GST],IFERROR(MATCH(A229&amp;"",tbl_Onsite[Job Number],0),MATCH(IFERROR(A229+0,A229),tbl_Onsite[Job Number],0))),IFERROR(INDEX(tbl_Production[Expected Revenue Ex GST],IFERROR(MATCH(A229&amp;"",tbl_Production[Job Number],0),MATCH(IFERROR(A229+0,A229),tbl_Production[Job Number],0))),IFERROR(INDEX(tbl_Consulting[Expected Revenue Ex GST],IFERROR(MATCH(A229&amp;"",tbl_Consulting[Job Number],0),MATCH(IFERROR(A229+0,A229),tbl_Consulting[Job Number],0))),0))))</f>
        <v/>
      </c>
      <c r="R229" s="27">
        <f>IF(A229="","",SUMIFS(tbl_Finance[Ex GST],tbl_Finance[Job Number],A229&amp;""))</f>
        <v/>
      </c>
      <c r="S229" s="27">
        <f>IF(A229="","",Q229-R229)</f>
        <v/>
      </c>
      <c r="T229" s="26">
        <f>IF(A229="","",IF(Q229=0,"No dept value",IF(ROUND(S229,2)=0,"Agrees",IF(S229&gt;0,"Dept higher - to invoice","Xero higher - check dept"))))</f>
        <v/>
      </c>
      <c r="U229" s="22" t="n"/>
      <c r="V229" s="22" t="n"/>
      <c r="W229" s="23" t="n"/>
      <c r="X229" s="23" t="n"/>
      <c r="Y229" s="22" t="n"/>
      <c r="Z229" s="22" t="n"/>
      <c r="AA229" s="26">
        <f>IF(COUNTA(C229,A229,B229,E229)=0,"",IF(C229="","No date - sits outside every month",IF(A229="","No job number",IF(H229="CHECK","Job number is not in the Xero job list",IF(G229="not set up yet","No department has set this job up - nothing can pull through",IF(D229="","No cost centre",IF(AND(U229="Y",B229=""),"Marked posted to Xero but has no invoice number",IF(N229="","Cost centre has no revenue GL on the Lists sheet",IF(T229="Xero higher - check dept","Invoiced more than the department says the job is worth","")))))))))</f>
        <v/>
      </c>
      <c r="AB229" s="28">
        <f>IF(A229="","",COUNTIFS(tbl_Finance[Job Number],A229&amp;"",tbl_Finance[Ex GST],"&lt;&gt;"))</f>
        <v/>
      </c>
      <c r="AC229" s="27">
        <f>IF(A229="","",SUMIFS(tbl_Finance[Ex GST],tbl_Finance[Job Number],A229&amp;""))</f>
        <v/>
      </c>
      <c r="AD229" s="27">
        <f>IF(A229="","",SUMIFS(tbl_Finance[Ex GST],tbl_Finance[Job Number],A229&amp;"",tbl_Finance[Xero Invoice No],"&lt;&gt;"))</f>
        <v/>
      </c>
      <c r="AE229" s="27">
        <f>IF(A229="","",AC229-AD229)</f>
        <v/>
      </c>
      <c r="AF229" s="26">
        <f>IF(A229="","",IFERROR(IF(INDEX(tbl_Onsite[Qwilr Quote],IFERROR(MATCH(A229&amp;"",tbl_Onsite[Job Number],0),MATCH(IFERROR(A229+0,A229),tbl_Onsite[Job Number],0)))="","",INDEX(tbl_Onsite[Qwilr Quote],IFERROR(MATCH(A229&amp;"",tbl_Onsite[Job Number],0),MATCH(IFERROR(A229+0,A229),tbl_Onsite[Job Number],0)))),IFERROR(IF(IF(INDEX(tbl_Production[Current RMS No],IFERROR(MATCH(A229&amp;"",tbl_Production[Job Number],0),MATCH(IFERROR(A229+0,A229),tbl_Production[Job Number],0)))="",INDEX(tbl_Production[Qwilr Quote],IFERROR(MATCH(A229&amp;"",tbl_Production[Job Number],0),MATCH(IFERROR(A229+0,A229),tbl_Production[Job Number],0))),INDEX(tbl_Production[Current RMS No],IFERROR(MATCH(A229&amp;"",tbl_Production[Job Number],0),MATCH(IFERROR(A229+0,A229),tbl_Production[Job Number],0))))="","",IF(INDEX(tbl_Production[Current RMS No],IFERROR(MATCH(A229&amp;"",tbl_Production[Job Number],0),MATCH(IFERROR(A229+0,A229),tbl_Production[Job Number],0)))="",INDEX(tbl_Production[Qwilr Quote],IFERROR(MATCH(A229&amp;"",tbl_Production[Job Number],0),MATCH(IFERROR(A229+0,A229),tbl_Production[Job Number],0))),INDEX(tbl_Production[Current RMS No],IFERROR(MATCH(A229&amp;"",tbl_Production[Job Number],0),MATCH(IFERROR(A229+0,A229),tbl_Production[Job Number],0))))),IFERROR(IF(INDEX(tbl_Consulting[Qwilr Quote],IFERROR(MATCH(A229&amp;"",tbl_Consulting[Job Number],0),MATCH(IFERROR(A229+0,A229),tbl_Consulting[Job Number],0)))="","",INDEX(tbl_Consulting[Qwilr Quote],IFERROR(MATCH(A229&amp;"",tbl_Consulting[Job Number],0),MATCH(IFERROR(A229+0,A229),tbl_Consulting[Job Number],0)))),""))))</f>
        <v/>
      </c>
      <c r="AG229" s="26">
        <f>IF(AF229="","",IF(AND(LEFT(AF229,4)&lt;&gt;"http",IF(G229="Production",set_RMSBase,set_QwilrBase)=""),"",HYPERLINK(IF(LEFT(AF229,4)="http",AF229,IF(G229="Production",set_RMSBase,set_QwilrBase)&amp;AF229),"Open")))</f>
        <v/>
      </c>
      <c r="AH229" s="27">
        <f>IF(A229="","",IFERROR(INDEX(tbl_Production[Total Expense],IFERROR(MATCH(A229&amp;"",tbl_Production[Job Number],0),MATCH(IFERROR(A229+0,A229),tbl_Production[Job Number],0))),IFERROR(INDEX(tbl_Consulting[Total Expense],IFERROR(MATCH(A229&amp;"",tbl_Consulting[Job Number],0),MATCH(IFERROR(A229+0,A229),tbl_Consulting[Job Number],0))),0)))</f>
        <v/>
      </c>
      <c r="AI229" s="27">
        <f>IF(A229="","",AC229-N(AH229))</f>
        <v/>
      </c>
      <c r="AJ229" s="29">
        <f>IFERROR(AI229/AC229,"")</f>
        <v/>
      </c>
      <c r="AK229" s="26">
        <f>IF(A229="","",IFERROR(IF(INDEX(tbl_Onsite[Notes],IFERROR(MATCH(A229&amp;"",tbl_Onsite[Job Number],0),MATCH(IFERROR(A229+0,A229),tbl_Onsite[Job Number],0)))="","",INDEX(tbl_Onsite[Notes],IFERROR(MATCH(A229&amp;"",tbl_Onsite[Job Number],0),MATCH(IFERROR(A229+0,A229),tbl_Onsite[Job Number],0)))),IFERROR(IF(INDEX(tbl_Production[Notes],IFERROR(MATCH(A229&amp;"",tbl_Production[Job Number],0),MATCH(IFERROR(A229+0,A229),tbl_Production[Job Number],0)))="","",INDEX(tbl_Production[Notes],IFERROR(MATCH(A229&amp;"",tbl_Production[Job Number],0),MATCH(IFERROR(A229+0,A229),tbl_Production[Job Number],0)))),IFERROR(IF(INDEX(tbl_Consulting[Notes],IFERROR(MATCH(A229&amp;"",tbl_Consulting[Job Number],0),MATCH(IFERROR(A229+0,A229),tbl_Consulting[Job Number],0)))="","",INDEX(tbl_Consulting[Notes],IFERROR(MATCH(A229&amp;"",tbl_Consulting[Job Number],0),MATCH(IFERROR(A229+0,A229),tbl_Consulting[Job Number],0)))),""))))</f>
        <v/>
      </c>
    </row>
    <row r="230" ht="15" customHeight="1">
      <c r="A230" s="22" t="n"/>
      <c r="B230" s="22" t="n"/>
      <c r="C230" s="23" t="n"/>
      <c r="D230" s="22" t="n"/>
      <c r="E230" s="24" t="n"/>
      <c r="F230" s="25">
        <f>IF(C230="","",EOMONTH(C230,0))</f>
        <v/>
      </c>
      <c r="G230" s="26">
        <f>IF(A230="","",IF(COUNTIF(tbl_Onsite[Job Number],A230&amp;"")&gt;0,"Onsite",IF(COUNTIF(tbl_Production[Job Number],A230&amp;"")&gt;0,"Production",IF(COUNTIF(tbl_Consulting[Job Number],A230&amp;"")&gt;0,"Consulting","not set up yet"))))</f>
        <v/>
      </c>
      <c r="H230" s="26">
        <f>IF(A230="","",IF(COUNTIF(lst_Jobs,A230&amp;"")&gt;0,"OK","CHECK"))</f>
        <v/>
      </c>
      <c r="I230" s="26">
        <f>IF(A230="","",IFERROR(INDEX(lst_JobName,MATCH(A230&amp;"",lst_Jobs,0)),""))</f>
        <v/>
      </c>
      <c r="J230" s="26">
        <f>IF(A230="","",IFERROR(IF(INDEX(tbl_Onsite[Client],IFERROR(MATCH(A230&amp;"",tbl_Onsite[Job Number],0),MATCH(IFERROR(A230+0,A230),tbl_Onsite[Job Number],0)))="","",INDEX(tbl_Onsite[Client],IFERROR(MATCH(A230&amp;"",tbl_Onsite[Job Number],0),MATCH(IFERROR(A230+0,A230),tbl_Onsite[Job Number],0)))),IFERROR(IF(INDEX(tbl_Production[Client],IFERROR(MATCH(A230&amp;"",tbl_Production[Job Number],0),MATCH(IFERROR(A230+0,A230),tbl_Production[Job Number],0)))="","",INDEX(tbl_Production[Client],IFERROR(MATCH(A230&amp;"",tbl_Production[Job Number],0),MATCH(IFERROR(A230+0,A230),tbl_Production[Job Number],0)))),IFERROR(IF(INDEX(tbl_Consulting[Client],IFERROR(MATCH(A230&amp;"",tbl_Consulting[Job Number],0),MATCH(IFERROR(A230+0,A230),tbl_Consulting[Job Number],0)))="","",INDEX(tbl_Consulting[Client],IFERROR(MATCH(A230&amp;"",tbl_Consulting[Job Number],0),MATCH(IFERROR(A230+0,A230),tbl_Consulting[Job Number],0)))),""))))</f>
        <v/>
      </c>
      <c r="K230" s="26">
        <f>IF(A230="","",IFERROR(IF(INDEX(tbl_Onsite[Job Description],IFERROR(MATCH(A230&amp;"",tbl_Onsite[Job Number],0),MATCH(IFERROR(A230+0,A230),tbl_Onsite[Job Number],0)))="","",INDEX(tbl_Onsite[Job Description],IFERROR(MATCH(A230&amp;"",tbl_Onsite[Job Number],0),MATCH(IFERROR(A230+0,A230),tbl_Onsite[Job Number],0)))),IFERROR(IF(INDEX(tbl_Production[Job Description],IFERROR(MATCH(A230&amp;"",tbl_Production[Job Number],0),MATCH(IFERROR(A230+0,A230),tbl_Production[Job Number],0)))="","",INDEX(tbl_Production[Job Description],IFERROR(MATCH(A230&amp;"",tbl_Production[Job Number],0),MATCH(IFERROR(A230+0,A230),tbl_Production[Job Number],0)))),IFERROR(IF(INDEX(tbl_Consulting[Job Description],IFERROR(MATCH(A230&amp;"",tbl_Consulting[Job Number],0),MATCH(IFERROR(A230+0,A230),tbl_Consulting[Job Number],0)))="","",INDEX(tbl_Consulting[Job Description],IFERROR(MATCH(A230&amp;"",tbl_Consulting[Job Number],0),MATCH(IFERROR(A230+0,A230),tbl_Consulting[Job Number],0)))),""))))</f>
        <v/>
      </c>
      <c r="L230" s="26">
        <f>IF(A230="","",IFERROR(IF(INDEX(tbl_Onsite[Invoice Type],IFERROR(MATCH(A230&amp;"",tbl_Onsite[Job Number],0),MATCH(IFERROR(A230+0,A230),tbl_Onsite[Job Number],0)))="","",INDEX(tbl_Onsite[Invoice Type],IFERROR(MATCH(A230&amp;"",tbl_Onsite[Job Number],0),MATCH(IFERROR(A230+0,A230),tbl_Onsite[Job Number],0)))),IFERROR(IF(INDEX(tbl_Production[Invoice Type],IFERROR(MATCH(A230&amp;"",tbl_Production[Job Number],0),MATCH(IFERROR(A230+0,A230),tbl_Production[Job Number],0)))="","",INDEX(tbl_Production[Invoice Type],IFERROR(MATCH(A230&amp;"",tbl_Production[Job Number],0),MATCH(IFERROR(A230+0,A230),tbl_Production[Job Number],0)))),IFERROR(IF(INDEX(tbl_Consulting[Invoice Type],IFERROR(MATCH(A230&amp;"",tbl_Consulting[Job Number],0),MATCH(IFERROR(A230+0,A230),tbl_Consulting[Job Number],0)))="","",INDEX(tbl_Consulting[Invoice Type],IFERROR(MATCH(A230&amp;"",tbl_Consulting[Job Number],0),MATCH(IFERROR(A230+0,A230),tbl_Consulting[Job Number],0)))),""))))</f>
        <v/>
      </c>
      <c r="M230" s="26">
        <f>IF(A230="","",IF(IFERROR(IF(INDEX(tbl_Onsite[Tax Code],IFERROR(MATCH(A230&amp;"",tbl_Onsite[Job Number],0),MATCH(IFERROR(A230+0,A230),tbl_Onsite[Job Number],0)))="","",INDEX(tbl_Onsite[Tax Code],IFERROR(MATCH(A230&amp;"",tbl_Onsite[Job Number],0),MATCH(IFERROR(A230+0,A230),tbl_Onsite[Job Number],0)))),IFERROR(IF(INDEX(tbl_Production[Tax Code],IFERROR(MATCH(A230&amp;"",tbl_Production[Job Number],0),MATCH(IFERROR(A230+0,A230),tbl_Production[Job Number],0)))="","",INDEX(tbl_Production[Tax Code],IFERROR(MATCH(A230&amp;"",tbl_Production[Job Number],0),MATCH(IFERROR(A230+0,A230),tbl_Production[Job Number],0)))),IFERROR(IF(INDEX(tbl_Consulting[Tax Code],IFERROR(MATCH(A230&amp;"",tbl_Consulting[Job Number],0),MATCH(IFERROR(A230+0,A230),tbl_Consulting[Job Number],0)))="","",INDEX(tbl_Consulting[Tax Code],IFERROR(MATCH(A230&amp;"",tbl_Consulting[Job Number],0),MATCH(IFERROR(A230+0,A230),tbl_Consulting[Job Number],0)))),"")))="","GST 10%",IFERROR(IF(INDEX(tbl_Onsite[Tax Code],IFERROR(MATCH(A230&amp;"",tbl_Onsite[Job Number],0),MATCH(IFERROR(A230+0,A230),tbl_Onsite[Job Number],0)))="","",INDEX(tbl_Onsite[Tax Code],IFERROR(MATCH(A230&amp;"",tbl_Onsite[Job Number],0),MATCH(IFERROR(A230+0,A230),tbl_Onsite[Job Number],0)))),IFERROR(IF(INDEX(tbl_Production[Tax Code],IFERROR(MATCH(A230&amp;"",tbl_Production[Job Number],0),MATCH(IFERROR(A230+0,A230),tbl_Production[Job Number],0)))="","",INDEX(tbl_Production[Tax Code],IFERROR(MATCH(A230&amp;"",tbl_Production[Job Number],0),MATCH(IFERROR(A230+0,A230),tbl_Production[Job Number],0)))),IFERROR(IF(INDEX(tbl_Consulting[Tax Code],IFERROR(MATCH(A230&amp;"",tbl_Consulting[Job Number],0),MATCH(IFERROR(A230+0,A230),tbl_Consulting[Job Number],0)))="","",INDEX(tbl_Consulting[Tax Code],IFERROR(MATCH(A230&amp;"",tbl_Consulting[Job Number],0),MATCH(IFERROR(A230+0,A230),tbl_Consulting[Job Number],0)))),"")))))</f>
        <v/>
      </c>
      <c r="N230" s="26">
        <f>IF(D230="","",IFERROR(INDEX(lst_CCtoGL,MATCH(D230,lst_CCforGL,0)),""))</f>
        <v/>
      </c>
      <c r="O230" s="27">
        <f>IF(E230="","",IF(M230="GST 10%",ROUND(E230*set_GSTRate,2),0))</f>
        <v/>
      </c>
      <c r="P230" s="27">
        <f>IF(E230="","",E230+O230)</f>
        <v/>
      </c>
      <c r="Q230" s="27">
        <f>IF(A230="","",IFERROR(INDEX(tbl_Onsite[Expected Revenue Ex GST],IFERROR(MATCH(A230&amp;"",tbl_Onsite[Job Number],0),MATCH(IFERROR(A230+0,A230),tbl_Onsite[Job Number],0))),IFERROR(INDEX(tbl_Production[Expected Revenue Ex GST],IFERROR(MATCH(A230&amp;"",tbl_Production[Job Number],0),MATCH(IFERROR(A230+0,A230),tbl_Production[Job Number],0))),IFERROR(INDEX(tbl_Consulting[Expected Revenue Ex GST],IFERROR(MATCH(A230&amp;"",tbl_Consulting[Job Number],0),MATCH(IFERROR(A230+0,A230),tbl_Consulting[Job Number],0))),0))))</f>
        <v/>
      </c>
      <c r="R230" s="27">
        <f>IF(A230="","",SUMIFS(tbl_Finance[Ex GST],tbl_Finance[Job Number],A230&amp;""))</f>
        <v/>
      </c>
      <c r="S230" s="27">
        <f>IF(A230="","",Q230-R230)</f>
        <v/>
      </c>
      <c r="T230" s="26">
        <f>IF(A230="","",IF(Q230=0,"No dept value",IF(ROUND(S230,2)=0,"Agrees",IF(S230&gt;0,"Dept higher - to invoice","Xero higher - check dept"))))</f>
        <v/>
      </c>
      <c r="U230" s="22" t="n"/>
      <c r="V230" s="22" t="n"/>
      <c r="W230" s="23" t="n"/>
      <c r="X230" s="23" t="n"/>
      <c r="Y230" s="22" t="n"/>
      <c r="Z230" s="22" t="n"/>
      <c r="AA230" s="26">
        <f>IF(COUNTA(C230,A230,B230,E230)=0,"",IF(C230="","No date - sits outside every month",IF(A230="","No job number",IF(H230="CHECK","Job number is not in the Xero job list",IF(G230="not set up yet","No department has set this job up - nothing can pull through",IF(D230="","No cost centre",IF(AND(U230="Y",B230=""),"Marked posted to Xero but has no invoice number",IF(N230="","Cost centre has no revenue GL on the Lists sheet",IF(T230="Xero higher - check dept","Invoiced more than the department says the job is worth","")))))))))</f>
        <v/>
      </c>
      <c r="AB230" s="28">
        <f>IF(A230="","",COUNTIFS(tbl_Finance[Job Number],A230&amp;"",tbl_Finance[Ex GST],"&lt;&gt;"))</f>
        <v/>
      </c>
      <c r="AC230" s="27">
        <f>IF(A230="","",SUMIFS(tbl_Finance[Ex GST],tbl_Finance[Job Number],A230&amp;""))</f>
        <v/>
      </c>
      <c r="AD230" s="27">
        <f>IF(A230="","",SUMIFS(tbl_Finance[Ex GST],tbl_Finance[Job Number],A230&amp;"",tbl_Finance[Xero Invoice No],"&lt;&gt;"))</f>
        <v/>
      </c>
      <c r="AE230" s="27">
        <f>IF(A230="","",AC230-AD230)</f>
        <v/>
      </c>
      <c r="AF230" s="26">
        <f>IF(A230="","",IFERROR(IF(INDEX(tbl_Onsite[Qwilr Quote],IFERROR(MATCH(A230&amp;"",tbl_Onsite[Job Number],0),MATCH(IFERROR(A230+0,A230),tbl_Onsite[Job Number],0)))="","",INDEX(tbl_Onsite[Qwilr Quote],IFERROR(MATCH(A230&amp;"",tbl_Onsite[Job Number],0),MATCH(IFERROR(A230+0,A230),tbl_Onsite[Job Number],0)))),IFERROR(IF(IF(INDEX(tbl_Production[Current RMS No],IFERROR(MATCH(A230&amp;"",tbl_Production[Job Number],0),MATCH(IFERROR(A230+0,A230),tbl_Production[Job Number],0)))="",INDEX(tbl_Production[Qwilr Quote],IFERROR(MATCH(A230&amp;"",tbl_Production[Job Number],0),MATCH(IFERROR(A230+0,A230),tbl_Production[Job Number],0))),INDEX(tbl_Production[Current RMS No],IFERROR(MATCH(A230&amp;"",tbl_Production[Job Number],0),MATCH(IFERROR(A230+0,A230),tbl_Production[Job Number],0))))="","",IF(INDEX(tbl_Production[Current RMS No],IFERROR(MATCH(A230&amp;"",tbl_Production[Job Number],0),MATCH(IFERROR(A230+0,A230),tbl_Production[Job Number],0)))="",INDEX(tbl_Production[Qwilr Quote],IFERROR(MATCH(A230&amp;"",tbl_Production[Job Number],0),MATCH(IFERROR(A230+0,A230),tbl_Production[Job Number],0))),INDEX(tbl_Production[Current RMS No],IFERROR(MATCH(A230&amp;"",tbl_Production[Job Number],0),MATCH(IFERROR(A230+0,A230),tbl_Production[Job Number],0))))),IFERROR(IF(INDEX(tbl_Consulting[Qwilr Quote],IFERROR(MATCH(A230&amp;"",tbl_Consulting[Job Number],0),MATCH(IFERROR(A230+0,A230),tbl_Consulting[Job Number],0)))="","",INDEX(tbl_Consulting[Qwilr Quote],IFERROR(MATCH(A230&amp;"",tbl_Consulting[Job Number],0),MATCH(IFERROR(A230+0,A230),tbl_Consulting[Job Number],0)))),""))))</f>
        <v/>
      </c>
      <c r="AG230" s="26">
        <f>IF(AF230="","",IF(AND(LEFT(AF230,4)&lt;&gt;"http",IF(G230="Production",set_RMSBase,set_QwilrBase)=""),"",HYPERLINK(IF(LEFT(AF230,4)="http",AF230,IF(G230="Production",set_RMSBase,set_QwilrBase)&amp;AF230),"Open")))</f>
        <v/>
      </c>
      <c r="AH230" s="27">
        <f>IF(A230="","",IFERROR(INDEX(tbl_Production[Total Expense],IFERROR(MATCH(A230&amp;"",tbl_Production[Job Number],0),MATCH(IFERROR(A230+0,A230),tbl_Production[Job Number],0))),IFERROR(INDEX(tbl_Consulting[Total Expense],IFERROR(MATCH(A230&amp;"",tbl_Consulting[Job Number],0),MATCH(IFERROR(A230+0,A230),tbl_Consulting[Job Number],0))),0)))</f>
        <v/>
      </c>
      <c r="AI230" s="27">
        <f>IF(A230="","",AC230-N(AH230))</f>
        <v/>
      </c>
      <c r="AJ230" s="29">
        <f>IFERROR(AI230/AC230,"")</f>
        <v/>
      </c>
      <c r="AK230" s="26">
        <f>IF(A230="","",IFERROR(IF(INDEX(tbl_Onsite[Notes],IFERROR(MATCH(A230&amp;"",tbl_Onsite[Job Number],0),MATCH(IFERROR(A230+0,A230),tbl_Onsite[Job Number],0)))="","",INDEX(tbl_Onsite[Notes],IFERROR(MATCH(A230&amp;"",tbl_Onsite[Job Number],0),MATCH(IFERROR(A230+0,A230),tbl_Onsite[Job Number],0)))),IFERROR(IF(INDEX(tbl_Production[Notes],IFERROR(MATCH(A230&amp;"",tbl_Production[Job Number],0),MATCH(IFERROR(A230+0,A230),tbl_Production[Job Number],0)))="","",INDEX(tbl_Production[Notes],IFERROR(MATCH(A230&amp;"",tbl_Production[Job Number],0),MATCH(IFERROR(A230+0,A230),tbl_Production[Job Number],0)))),IFERROR(IF(INDEX(tbl_Consulting[Notes],IFERROR(MATCH(A230&amp;"",tbl_Consulting[Job Number],0),MATCH(IFERROR(A230+0,A230),tbl_Consulting[Job Number],0)))="","",INDEX(tbl_Consulting[Notes],IFERROR(MATCH(A230&amp;"",tbl_Consulting[Job Number],0),MATCH(IFERROR(A230+0,A230),tbl_Consulting[Job Number],0)))),""))))</f>
        <v/>
      </c>
    </row>
    <row r="231" ht="15" customHeight="1">
      <c r="A231" s="22" t="n"/>
      <c r="B231" s="22" t="n"/>
      <c r="C231" s="23" t="n"/>
      <c r="D231" s="22" t="n"/>
      <c r="E231" s="24" t="n"/>
      <c r="F231" s="25">
        <f>IF(C231="","",EOMONTH(C231,0))</f>
        <v/>
      </c>
      <c r="G231" s="26">
        <f>IF(A231="","",IF(COUNTIF(tbl_Onsite[Job Number],A231&amp;"")&gt;0,"Onsite",IF(COUNTIF(tbl_Production[Job Number],A231&amp;"")&gt;0,"Production",IF(COUNTIF(tbl_Consulting[Job Number],A231&amp;"")&gt;0,"Consulting","not set up yet"))))</f>
        <v/>
      </c>
      <c r="H231" s="26">
        <f>IF(A231="","",IF(COUNTIF(lst_Jobs,A231&amp;"")&gt;0,"OK","CHECK"))</f>
        <v/>
      </c>
      <c r="I231" s="26">
        <f>IF(A231="","",IFERROR(INDEX(lst_JobName,MATCH(A231&amp;"",lst_Jobs,0)),""))</f>
        <v/>
      </c>
      <c r="J231" s="26">
        <f>IF(A231="","",IFERROR(IF(INDEX(tbl_Onsite[Client],IFERROR(MATCH(A231&amp;"",tbl_Onsite[Job Number],0),MATCH(IFERROR(A231+0,A231),tbl_Onsite[Job Number],0)))="","",INDEX(tbl_Onsite[Client],IFERROR(MATCH(A231&amp;"",tbl_Onsite[Job Number],0),MATCH(IFERROR(A231+0,A231),tbl_Onsite[Job Number],0)))),IFERROR(IF(INDEX(tbl_Production[Client],IFERROR(MATCH(A231&amp;"",tbl_Production[Job Number],0),MATCH(IFERROR(A231+0,A231),tbl_Production[Job Number],0)))="","",INDEX(tbl_Production[Client],IFERROR(MATCH(A231&amp;"",tbl_Production[Job Number],0),MATCH(IFERROR(A231+0,A231),tbl_Production[Job Number],0)))),IFERROR(IF(INDEX(tbl_Consulting[Client],IFERROR(MATCH(A231&amp;"",tbl_Consulting[Job Number],0),MATCH(IFERROR(A231+0,A231),tbl_Consulting[Job Number],0)))="","",INDEX(tbl_Consulting[Client],IFERROR(MATCH(A231&amp;"",tbl_Consulting[Job Number],0),MATCH(IFERROR(A231+0,A231),tbl_Consulting[Job Number],0)))),""))))</f>
        <v/>
      </c>
      <c r="K231" s="26">
        <f>IF(A231="","",IFERROR(IF(INDEX(tbl_Onsite[Job Description],IFERROR(MATCH(A231&amp;"",tbl_Onsite[Job Number],0),MATCH(IFERROR(A231+0,A231),tbl_Onsite[Job Number],0)))="","",INDEX(tbl_Onsite[Job Description],IFERROR(MATCH(A231&amp;"",tbl_Onsite[Job Number],0),MATCH(IFERROR(A231+0,A231),tbl_Onsite[Job Number],0)))),IFERROR(IF(INDEX(tbl_Production[Job Description],IFERROR(MATCH(A231&amp;"",tbl_Production[Job Number],0),MATCH(IFERROR(A231+0,A231),tbl_Production[Job Number],0)))="","",INDEX(tbl_Production[Job Description],IFERROR(MATCH(A231&amp;"",tbl_Production[Job Number],0),MATCH(IFERROR(A231+0,A231),tbl_Production[Job Number],0)))),IFERROR(IF(INDEX(tbl_Consulting[Job Description],IFERROR(MATCH(A231&amp;"",tbl_Consulting[Job Number],0),MATCH(IFERROR(A231+0,A231),tbl_Consulting[Job Number],0)))="","",INDEX(tbl_Consulting[Job Description],IFERROR(MATCH(A231&amp;"",tbl_Consulting[Job Number],0),MATCH(IFERROR(A231+0,A231),tbl_Consulting[Job Number],0)))),""))))</f>
        <v/>
      </c>
      <c r="L231" s="26">
        <f>IF(A231="","",IFERROR(IF(INDEX(tbl_Onsite[Invoice Type],IFERROR(MATCH(A231&amp;"",tbl_Onsite[Job Number],0),MATCH(IFERROR(A231+0,A231),tbl_Onsite[Job Number],0)))="","",INDEX(tbl_Onsite[Invoice Type],IFERROR(MATCH(A231&amp;"",tbl_Onsite[Job Number],0),MATCH(IFERROR(A231+0,A231),tbl_Onsite[Job Number],0)))),IFERROR(IF(INDEX(tbl_Production[Invoice Type],IFERROR(MATCH(A231&amp;"",tbl_Production[Job Number],0),MATCH(IFERROR(A231+0,A231),tbl_Production[Job Number],0)))="","",INDEX(tbl_Production[Invoice Type],IFERROR(MATCH(A231&amp;"",tbl_Production[Job Number],0),MATCH(IFERROR(A231+0,A231),tbl_Production[Job Number],0)))),IFERROR(IF(INDEX(tbl_Consulting[Invoice Type],IFERROR(MATCH(A231&amp;"",tbl_Consulting[Job Number],0),MATCH(IFERROR(A231+0,A231),tbl_Consulting[Job Number],0)))="","",INDEX(tbl_Consulting[Invoice Type],IFERROR(MATCH(A231&amp;"",tbl_Consulting[Job Number],0),MATCH(IFERROR(A231+0,A231),tbl_Consulting[Job Number],0)))),""))))</f>
        <v/>
      </c>
      <c r="M231" s="26">
        <f>IF(A231="","",IF(IFERROR(IF(INDEX(tbl_Onsite[Tax Code],IFERROR(MATCH(A231&amp;"",tbl_Onsite[Job Number],0),MATCH(IFERROR(A231+0,A231),tbl_Onsite[Job Number],0)))="","",INDEX(tbl_Onsite[Tax Code],IFERROR(MATCH(A231&amp;"",tbl_Onsite[Job Number],0),MATCH(IFERROR(A231+0,A231),tbl_Onsite[Job Number],0)))),IFERROR(IF(INDEX(tbl_Production[Tax Code],IFERROR(MATCH(A231&amp;"",tbl_Production[Job Number],0),MATCH(IFERROR(A231+0,A231),tbl_Production[Job Number],0)))="","",INDEX(tbl_Production[Tax Code],IFERROR(MATCH(A231&amp;"",tbl_Production[Job Number],0),MATCH(IFERROR(A231+0,A231),tbl_Production[Job Number],0)))),IFERROR(IF(INDEX(tbl_Consulting[Tax Code],IFERROR(MATCH(A231&amp;"",tbl_Consulting[Job Number],0),MATCH(IFERROR(A231+0,A231),tbl_Consulting[Job Number],0)))="","",INDEX(tbl_Consulting[Tax Code],IFERROR(MATCH(A231&amp;"",tbl_Consulting[Job Number],0),MATCH(IFERROR(A231+0,A231),tbl_Consulting[Job Number],0)))),"")))="","GST 10%",IFERROR(IF(INDEX(tbl_Onsite[Tax Code],IFERROR(MATCH(A231&amp;"",tbl_Onsite[Job Number],0),MATCH(IFERROR(A231+0,A231),tbl_Onsite[Job Number],0)))="","",INDEX(tbl_Onsite[Tax Code],IFERROR(MATCH(A231&amp;"",tbl_Onsite[Job Number],0),MATCH(IFERROR(A231+0,A231),tbl_Onsite[Job Number],0)))),IFERROR(IF(INDEX(tbl_Production[Tax Code],IFERROR(MATCH(A231&amp;"",tbl_Production[Job Number],0),MATCH(IFERROR(A231+0,A231),tbl_Production[Job Number],0)))="","",INDEX(tbl_Production[Tax Code],IFERROR(MATCH(A231&amp;"",tbl_Production[Job Number],0),MATCH(IFERROR(A231+0,A231),tbl_Production[Job Number],0)))),IFERROR(IF(INDEX(tbl_Consulting[Tax Code],IFERROR(MATCH(A231&amp;"",tbl_Consulting[Job Number],0),MATCH(IFERROR(A231+0,A231),tbl_Consulting[Job Number],0)))="","",INDEX(tbl_Consulting[Tax Code],IFERROR(MATCH(A231&amp;"",tbl_Consulting[Job Number],0),MATCH(IFERROR(A231+0,A231),tbl_Consulting[Job Number],0)))),"")))))</f>
        <v/>
      </c>
      <c r="N231" s="26">
        <f>IF(D231="","",IFERROR(INDEX(lst_CCtoGL,MATCH(D231,lst_CCforGL,0)),""))</f>
        <v/>
      </c>
      <c r="O231" s="27">
        <f>IF(E231="","",IF(M231="GST 10%",ROUND(E231*set_GSTRate,2),0))</f>
        <v/>
      </c>
      <c r="P231" s="27">
        <f>IF(E231="","",E231+O231)</f>
        <v/>
      </c>
      <c r="Q231" s="27">
        <f>IF(A231="","",IFERROR(INDEX(tbl_Onsite[Expected Revenue Ex GST],IFERROR(MATCH(A231&amp;"",tbl_Onsite[Job Number],0),MATCH(IFERROR(A231+0,A231),tbl_Onsite[Job Number],0))),IFERROR(INDEX(tbl_Production[Expected Revenue Ex GST],IFERROR(MATCH(A231&amp;"",tbl_Production[Job Number],0),MATCH(IFERROR(A231+0,A231),tbl_Production[Job Number],0))),IFERROR(INDEX(tbl_Consulting[Expected Revenue Ex GST],IFERROR(MATCH(A231&amp;"",tbl_Consulting[Job Number],0),MATCH(IFERROR(A231+0,A231),tbl_Consulting[Job Number],0))),0))))</f>
        <v/>
      </c>
      <c r="R231" s="27">
        <f>IF(A231="","",SUMIFS(tbl_Finance[Ex GST],tbl_Finance[Job Number],A231&amp;""))</f>
        <v/>
      </c>
      <c r="S231" s="27">
        <f>IF(A231="","",Q231-R231)</f>
        <v/>
      </c>
      <c r="T231" s="26">
        <f>IF(A231="","",IF(Q231=0,"No dept value",IF(ROUND(S231,2)=0,"Agrees",IF(S231&gt;0,"Dept higher - to invoice","Xero higher - check dept"))))</f>
        <v/>
      </c>
      <c r="U231" s="22" t="n"/>
      <c r="V231" s="22" t="n"/>
      <c r="W231" s="23" t="n"/>
      <c r="X231" s="23" t="n"/>
      <c r="Y231" s="22" t="n"/>
      <c r="Z231" s="22" t="n"/>
      <c r="AA231" s="26">
        <f>IF(COUNTA(C231,A231,B231,E231)=0,"",IF(C231="","No date - sits outside every month",IF(A231="","No job number",IF(H231="CHECK","Job number is not in the Xero job list",IF(G231="not set up yet","No department has set this job up - nothing can pull through",IF(D231="","No cost centre",IF(AND(U231="Y",B231=""),"Marked posted to Xero but has no invoice number",IF(N231="","Cost centre has no revenue GL on the Lists sheet",IF(T231="Xero higher - check dept","Invoiced more than the department says the job is worth","")))))))))</f>
        <v/>
      </c>
      <c r="AB231" s="28">
        <f>IF(A231="","",COUNTIFS(tbl_Finance[Job Number],A231&amp;"",tbl_Finance[Ex GST],"&lt;&gt;"))</f>
        <v/>
      </c>
      <c r="AC231" s="27">
        <f>IF(A231="","",SUMIFS(tbl_Finance[Ex GST],tbl_Finance[Job Number],A231&amp;""))</f>
        <v/>
      </c>
      <c r="AD231" s="27">
        <f>IF(A231="","",SUMIFS(tbl_Finance[Ex GST],tbl_Finance[Job Number],A231&amp;"",tbl_Finance[Xero Invoice No],"&lt;&gt;"))</f>
        <v/>
      </c>
      <c r="AE231" s="27">
        <f>IF(A231="","",AC231-AD231)</f>
        <v/>
      </c>
      <c r="AF231" s="26">
        <f>IF(A231="","",IFERROR(IF(INDEX(tbl_Onsite[Qwilr Quote],IFERROR(MATCH(A231&amp;"",tbl_Onsite[Job Number],0),MATCH(IFERROR(A231+0,A231),tbl_Onsite[Job Number],0)))="","",INDEX(tbl_Onsite[Qwilr Quote],IFERROR(MATCH(A231&amp;"",tbl_Onsite[Job Number],0),MATCH(IFERROR(A231+0,A231),tbl_Onsite[Job Number],0)))),IFERROR(IF(IF(INDEX(tbl_Production[Current RMS No],IFERROR(MATCH(A231&amp;"",tbl_Production[Job Number],0),MATCH(IFERROR(A231+0,A231),tbl_Production[Job Number],0)))="",INDEX(tbl_Production[Qwilr Quote],IFERROR(MATCH(A231&amp;"",tbl_Production[Job Number],0),MATCH(IFERROR(A231+0,A231),tbl_Production[Job Number],0))),INDEX(tbl_Production[Current RMS No],IFERROR(MATCH(A231&amp;"",tbl_Production[Job Number],0),MATCH(IFERROR(A231+0,A231),tbl_Production[Job Number],0))))="","",IF(INDEX(tbl_Production[Current RMS No],IFERROR(MATCH(A231&amp;"",tbl_Production[Job Number],0),MATCH(IFERROR(A231+0,A231),tbl_Production[Job Number],0)))="",INDEX(tbl_Production[Qwilr Quote],IFERROR(MATCH(A231&amp;"",tbl_Production[Job Number],0),MATCH(IFERROR(A231+0,A231),tbl_Production[Job Number],0))),INDEX(tbl_Production[Current RMS No],IFERROR(MATCH(A231&amp;"",tbl_Production[Job Number],0),MATCH(IFERROR(A231+0,A231),tbl_Production[Job Number],0))))),IFERROR(IF(INDEX(tbl_Consulting[Qwilr Quote],IFERROR(MATCH(A231&amp;"",tbl_Consulting[Job Number],0),MATCH(IFERROR(A231+0,A231),tbl_Consulting[Job Number],0)))="","",INDEX(tbl_Consulting[Qwilr Quote],IFERROR(MATCH(A231&amp;"",tbl_Consulting[Job Number],0),MATCH(IFERROR(A231+0,A231),tbl_Consulting[Job Number],0)))),""))))</f>
        <v/>
      </c>
      <c r="AG231" s="26">
        <f>IF(AF231="","",IF(AND(LEFT(AF231,4)&lt;&gt;"http",IF(G231="Production",set_RMSBase,set_QwilrBase)=""),"",HYPERLINK(IF(LEFT(AF231,4)="http",AF231,IF(G231="Production",set_RMSBase,set_QwilrBase)&amp;AF231),"Open")))</f>
        <v/>
      </c>
      <c r="AH231" s="27">
        <f>IF(A231="","",IFERROR(INDEX(tbl_Production[Total Expense],IFERROR(MATCH(A231&amp;"",tbl_Production[Job Number],0),MATCH(IFERROR(A231+0,A231),tbl_Production[Job Number],0))),IFERROR(INDEX(tbl_Consulting[Total Expense],IFERROR(MATCH(A231&amp;"",tbl_Consulting[Job Number],0),MATCH(IFERROR(A231+0,A231),tbl_Consulting[Job Number],0))),0)))</f>
        <v/>
      </c>
      <c r="AI231" s="27">
        <f>IF(A231="","",AC231-N(AH231))</f>
        <v/>
      </c>
      <c r="AJ231" s="29">
        <f>IFERROR(AI231/AC231,"")</f>
        <v/>
      </c>
      <c r="AK231" s="26">
        <f>IF(A231="","",IFERROR(IF(INDEX(tbl_Onsite[Notes],IFERROR(MATCH(A231&amp;"",tbl_Onsite[Job Number],0),MATCH(IFERROR(A231+0,A231),tbl_Onsite[Job Number],0)))="","",INDEX(tbl_Onsite[Notes],IFERROR(MATCH(A231&amp;"",tbl_Onsite[Job Number],0),MATCH(IFERROR(A231+0,A231),tbl_Onsite[Job Number],0)))),IFERROR(IF(INDEX(tbl_Production[Notes],IFERROR(MATCH(A231&amp;"",tbl_Production[Job Number],0),MATCH(IFERROR(A231+0,A231),tbl_Production[Job Number],0)))="","",INDEX(tbl_Production[Notes],IFERROR(MATCH(A231&amp;"",tbl_Production[Job Number],0),MATCH(IFERROR(A231+0,A231),tbl_Production[Job Number],0)))),IFERROR(IF(INDEX(tbl_Consulting[Notes],IFERROR(MATCH(A231&amp;"",tbl_Consulting[Job Number],0),MATCH(IFERROR(A231+0,A231),tbl_Consulting[Job Number],0)))="","",INDEX(tbl_Consulting[Notes],IFERROR(MATCH(A231&amp;"",tbl_Consulting[Job Number],0),MATCH(IFERROR(A231+0,A231),tbl_Consulting[Job Number],0)))),""))))</f>
        <v/>
      </c>
    </row>
    <row r="232" ht="15" customHeight="1">
      <c r="A232" s="22" t="n"/>
      <c r="B232" s="22" t="n"/>
      <c r="C232" s="23" t="n"/>
      <c r="D232" s="22" t="n"/>
      <c r="E232" s="24" t="n"/>
      <c r="F232" s="25">
        <f>IF(C232="","",EOMONTH(C232,0))</f>
        <v/>
      </c>
      <c r="G232" s="26">
        <f>IF(A232="","",IF(COUNTIF(tbl_Onsite[Job Number],A232&amp;"")&gt;0,"Onsite",IF(COUNTIF(tbl_Production[Job Number],A232&amp;"")&gt;0,"Production",IF(COUNTIF(tbl_Consulting[Job Number],A232&amp;"")&gt;0,"Consulting","not set up yet"))))</f>
        <v/>
      </c>
      <c r="H232" s="26">
        <f>IF(A232="","",IF(COUNTIF(lst_Jobs,A232&amp;"")&gt;0,"OK","CHECK"))</f>
        <v/>
      </c>
      <c r="I232" s="26">
        <f>IF(A232="","",IFERROR(INDEX(lst_JobName,MATCH(A232&amp;"",lst_Jobs,0)),""))</f>
        <v/>
      </c>
      <c r="J232" s="26">
        <f>IF(A232="","",IFERROR(IF(INDEX(tbl_Onsite[Client],IFERROR(MATCH(A232&amp;"",tbl_Onsite[Job Number],0),MATCH(IFERROR(A232+0,A232),tbl_Onsite[Job Number],0)))="","",INDEX(tbl_Onsite[Client],IFERROR(MATCH(A232&amp;"",tbl_Onsite[Job Number],0),MATCH(IFERROR(A232+0,A232),tbl_Onsite[Job Number],0)))),IFERROR(IF(INDEX(tbl_Production[Client],IFERROR(MATCH(A232&amp;"",tbl_Production[Job Number],0),MATCH(IFERROR(A232+0,A232),tbl_Production[Job Number],0)))="","",INDEX(tbl_Production[Client],IFERROR(MATCH(A232&amp;"",tbl_Production[Job Number],0),MATCH(IFERROR(A232+0,A232),tbl_Production[Job Number],0)))),IFERROR(IF(INDEX(tbl_Consulting[Client],IFERROR(MATCH(A232&amp;"",tbl_Consulting[Job Number],0),MATCH(IFERROR(A232+0,A232),tbl_Consulting[Job Number],0)))="","",INDEX(tbl_Consulting[Client],IFERROR(MATCH(A232&amp;"",tbl_Consulting[Job Number],0),MATCH(IFERROR(A232+0,A232),tbl_Consulting[Job Number],0)))),""))))</f>
        <v/>
      </c>
      <c r="K232" s="26">
        <f>IF(A232="","",IFERROR(IF(INDEX(tbl_Onsite[Job Description],IFERROR(MATCH(A232&amp;"",tbl_Onsite[Job Number],0),MATCH(IFERROR(A232+0,A232),tbl_Onsite[Job Number],0)))="","",INDEX(tbl_Onsite[Job Description],IFERROR(MATCH(A232&amp;"",tbl_Onsite[Job Number],0),MATCH(IFERROR(A232+0,A232),tbl_Onsite[Job Number],0)))),IFERROR(IF(INDEX(tbl_Production[Job Description],IFERROR(MATCH(A232&amp;"",tbl_Production[Job Number],0),MATCH(IFERROR(A232+0,A232),tbl_Production[Job Number],0)))="","",INDEX(tbl_Production[Job Description],IFERROR(MATCH(A232&amp;"",tbl_Production[Job Number],0),MATCH(IFERROR(A232+0,A232),tbl_Production[Job Number],0)))),IFERROR(IF(INDEX(tbl_Consulting[Job Description],IFERROR(MATCH(A232&amp;"",tbl_Consulting[Job Number],0),MATCH(IFERROR(A232+0,A232),tbl_Consulting[Job Number],0)))="","",INDEX(tbl_Consulting[Job Description],IFERROR(MATCH(A232&amp;"",tbl_Consulting[Job Number],0),MATCH(IFERROR(A232+0,A232),tbl_Consulting[Job Number],0)))),""))))</f>
        <v/>
      </c>
      <c r="L232" s="26">
        <f>IF(A232="","",IFERROR(IF(INDEX(tbl_Onsite[Invoice Type],IFERROR(MATCH(A232&amp;"",tbl_Onsite[Job Number],0),MATCH(IFERROR(A232+0,A232),tbl_Onsite[Job Number],0)))="","",INDEX(tbl_Onsite[Invoice Type],IFERROR(MATCH(A232&amp;"",tbl_Onsite[Job Number],0),MATCH(IFERROR(A232+0,A232),tbl_Onsite[Job Number],0)))),IFERROR(IF(INDEX(tbl_Production[Invoice Type],IFERROR(MATCH(A232&amp;"",tbl_Production[Job Number],0),MATCH(IFERROR(A232+0,A232),tbl_Production[Job Number],0)))="","",INDEX(tbl_Production[Invoice Type],IFERROR(MATCH(A232&amp;"",tbl_Production[Job Number],0),MATCH(IFERROR(A232+0,A232),tbl_Production[Job Number],0)))),IFERROR(IF(INDEX(tbl_Consulting[Invoice Type],IFERROR(MATCH(A232&amp;"",tbl_Consulting[Job Number],0),MATCH(IFERROR(A232+0,A232),tbl_Consulting[Job Number],0)))="","",INDEX(tbl_Consulting[Invoice Type],IFERROR(MATCH(A232&amp;"",tbl_Consulting[Job Number],0),MATCH(IFERROR(A232+0,A232),tbl_Consulting[Job Number],0)))),""))))</f>
        <v/>
      </c>
      <c r="M232" s="26">
        <f>IF(A232="","",IF(IFERROR(IF(INDEX(tbl_Onsite[Tax Code],IFERROR(MATCH(A232&amp;"",tbl_Onsite[Job Number],0),MATCH(IFERROR(A232+0,A232),tbl_Onsite[Job Number],0)))="","",INDEX(tbl_Onsite[Tax Code],IFERROR(MATCH(A232&amp;"",tbl_Onsite[Job Number],0),MATCH(IFERROR(A232+0,A232),tbl_Onsite[Job Number],0)))),IFERROR(IF(INDEX(tbl_Production[Tax Code],IFERROR(MATCH(A232&amp;"",tbl_Production[Job Number],0),MATCH(IFERROR(A232+0,A232),tbl_Production[Job Number],0)))="","",INDEX(tbl_Production[Tax Code],IFERROR(MATCH(A232&amp;"",tbl_Production[Job Number],0),MATCH(IFERROR(A232+0,A232),tbl_Production[Job Number],0)))),IFERROR(IF(INDEX(tbl_Consulting[Tax Code],IFERROR(MATCH(A232&amp;"",tbl_Consulting[Job Number],0),MATCH(IFERROR(A232+0,A232),tbl_Consulting[Job Number],0)))="","",INDEX(tbl_Consulting[Tax Code],IFERROR(MATCH(A232&amp;"",tbl_Consulting[Job Number],0),MATCH(IFERROR(A232+0,A232),tbl_Consulting[Job Number],0)))),"")))="","GST 10%",IFERROR(IF(INDEX(tbl_Onsite[Tax Code],IFERROR(MATCH(A232&amp;"",tbl_Onsite[Job Number],0),MATCH(IFERROR(A232+0,A232),tbl_Onsite[Job Number],0)))="","",INDEX(tbl_Onsite[Tax Code],IFERROR(MATCH(A232&amp;"",tbl_Onsite[Job Number],0),MATCH(IFERROR(A232+0,A232),tbl_Onsite[Job Number],0)))),IFERROR(IF(INDEX(tbl_Production[Tax Code],IFERROR(MATCH(A232&amp;"",tbl_Production[Job Number],0),MATCH(IFERROR(A232+0,A232),tbl_Production[Job Number],0)))="","",INDEX(tbl_Production[Tax Code],IFERROR(MATCH(A232&amp;"",tbl_Production[Job Number],0),MATCH(IFERROR(A232+0,A232),tbl_Production[Job Number],0)))),IFERROR(IF(INDEX(tbl_Consulting[Tax Code],IFERROR(MATCH(A232&amp;"",tbl_Consulting[Job Number],0),MATCH(IFERROR(A232+0,A232),tbl_Consulting[Job Number],0)))="","",INDEX(tbl_Consulting[Tax Code],IFERROR(MATCH(A232&amp;"",tbl_Consulting[Job Number],0),MATCH(IFERROR(A232+0,A232),tbl_Consulting[Job Number],0)))),"")))))</f>
        <v/>
      </c>
      <c r="N232" s="26">
        <f>IF(D232="","",IFERROR(INDEX(lst_CCtoGL,MATCH(D232,lst_CCforGL,0)),""))</f>
        <v/>
      </c>
      <c r="O232" s="27">
        <f>IF(E232="","",IF(M232="GST 10%",ROUND(E232*set_GSTRate,2),0))</f>
        <v/>
      </c>
      <c r="P232" s="27">
        <f>IF(E232="","",E232+O232)</f>
        <v/>
      </c>
      <c r="Q232" s="27">
        <f>IF(A232="","",IFERROR(INDEX(tbl_Onsite[Expected Revenue Ex GST],IFERROR(MATCH(A232&amp;"",tbl_Onsite[Job Number],0),MATCH(IFERROR(A232+0,A232),tbl_Onsite[Job Number],0))),IFERROR(INDEX(tbl_Production[Expected Revenue Ex GST],IFERROR(MATCH(A232&amp;"",tbl_Production[Job Number],0),MATCH(IFERROR(A232+0,A232),tbl_Production[Job Number],0))),IFERROR(INDEX(tbl_Consulting[Expected Revenue Ex GST],IFERROR(MATCH(A232&amp;"",tbl_Consulting[Job Number],0),MATCH(IFERROR(A232+0,A232),tbl_Consulting[Job Number],0))),0))))</f>
        <v/>
      </c>
      <c r="R232" s="27">
        <f>IF(A232="","",SUMIFS(tbl_Finance[Ex GST],tbl_Finance[Job Number],A232&amp;""))</f>
        <v/>
      </c>
      <c r="S232" s="27">
        <f>IF(A232="","",Q232-R232)</f>
        <v/>
      </c>
      <c r="T232" s="26">
        <f>IF(A232="","",IF(Q232=0,"No dept value",IF(ROUND(S232,2)=0,"Agrees",IF(S232&gt;0,"Dept higher - to invoice","Xero higher - check dept"))))</f>
        <v/>
      </c>
      <c r="U232" s="22" t="n"/>
      <c r="V232" s="22" t="n"/>
      <c r="W232" s="23" t="n"/>
      <c r="X232" s="23" t="n"/>
      <c r="Y232" s="22" t="n"/>
      <c r="Z232" s="22" t="n"/>
      <c r="AA232" s="26">
        <f>IF(COUNTA(C232,A232,B232,E232)=0,"",IF(C232="","No date - sits outside every month",IF(A232="","No job number",IF(H232="CHECK","Job number is not in the Xero job list",IF(G232="not set up yet","No department has set this job up - nothing can pull through",IF(D232="","No cost centre",IF(AND(U232="Y",B232=""),"Marked posted to Xero but has no invoice number",IF(N232="","Cost centre has no revenue GL on the Lists sheet",IF(T232="Xero higher - check dept","Invoiced more than the department says the job is worth","")))))))))</f>
        <v/>
      </c>
      <c r="AB232" s="28">
        <f>IF(A232="","",COUNTIFS(tbl_Finance[Job Number],A232&amp;"",tbl_Finance[Ex GST],"&lt;&gt;"))</f>
        <v/>
      </c>
      <c r="AC232" s="27">
        <f>IF(A232="","",SUMIFS(tbl_Finance[Ex GST],tbl_Finance[Job Number],A232&amp;""))</f>
        <v/>
      </c>
      <c r="AD232" s="27">
        <f>IF(A232="","",SUMIFS(tbl_Finance[Ex GST],tbl_Finance[Job Number],A232&amp;"",tbl_Finance[Xero Invoice No],"&lt;&gt;"))</f>
        <v/>
      </c>
      <c r="AE232" s="27">
        <f>IF(A232="","",AC232-AD232)</f>
        <v/>
      </c>
      <c r="AF232" s="26">
        <f>IF(A232="","",IFERROR(IF(INDEX(tbl_Onsite[Qwilr Quote],IFERROR(MATCH(A232&amp;"",tbl_Onsite[Job Number],0),MATCH(IFERROR(A232+0,A232),tbl_Onsite[Job Number],0)))="","",INDEX(tbl_Onsite[Qwilr Quote],IFERROR(MATCH(A232&amp;"",tbl_Onsite[Job Number],0),MATCH(IFERROR(A232+0,A232),tbl_Onsite[Job Number],0)))),IFERROR(IF(IF(INDEX(tbl_Production[Current RMS No],IFERROR(MATCH(A232&amp;"",tbl_Production[Job Number],0),MATCH(IFERROR(A232+0,A232),tbl_Production[Job Number],0)))="",INDEX(tbl_Production[Qwilr Quote],IFERROR(MATCH(A232&amp;"",tbl_Production[Job Number],0),MATCH(IFERROR(A232+0,A232),tbl_Production[Job Number],0))),INDEX(tbl_Production[Current RMS No],IFERROR(MATCH(A232&amp;"",tbl_Production[Job Number],0),MATCH(IFERROR(A232+0,A232),tbl_Production[Job Number],0))))="","",IF(INDEX(tbl_Production[Current RMS No],IFERROR(MATCH(A232&amp;"",tbl_Production[Job Number],0),MATCH(IFERROR(A232+0,A232),tbl_Production[Job Number],0)))="",INDEX(tbl_Production[Qwilr Quote],IFERROR(MATCH(A232&amp;"",tbl_Production[Job Number],0),MATCH(IFERROR(A232+0,A232),tbl_Production[Job Number],0))),INDEX(tbl_Production[Current RMS No],IFERROR(MATCH(A232&amp;"",tbl_Production[Job Number],0),MATCH(IFERROR(A232+0,A232),tbl_Production[Job Number],0))))),IFERROR(IF(INDEX(tbl_Consulting[Qwilr Quote],IFERROR(MATCH(A232&amp;"",tbl_Consulting[Job Number],0),MATCH(IFERROR(A232+0,A232),tbl_Consulting[Job Number],0)))="","",INDEX(tbl_Consulting[Qwilr Quote],IFERROR(MATCH(A232&amp;"",tbl_Consulting[Job Number],0),MATCH(IFERROR(A232+0,A232),tbl_Consulting[Job Number],0)))),""))))</f>
        <v/>
      </c>
      <c r="AG232" s="26">
        <f>IF(AF232="","",IF(AND(LEFT(AF232,4)&lt;&gt;"http",IF(G232="Production",set_RMSBase,set_QwilrBase)=""),"",HYPERLINK(IF(LEFT(AF232,4)="http",AF232,IF(G232="Production",set_RMSBase,set_QwilrBase)&amp;AF232),"Open")))</f>
        <v/>
      </c>
      <c r="AH232" s="27">
        <f>IF(A232="","",IFERROR(INDEX(tbl_Production[Total Expense],IFERROR(MATCH(A232&amp;"",tbl_Production[Job Number],0),MATCH(IFERROR(A232+0,A232),tbl_Production[Job Number],0))),IFERROR(INDEX(tbl_Consulting[Total Expense],IFERROR(MATCH(A232&amp;"",tbl_Consulting[Job Number],0),MATCH(IFERROR(A232+0,A232),tbl_Consulting[Job Number],0))),0)))</f>
        <v/>
      </c>
      <c r="AI232" s="27">
        <f>IF(A232="","",AC232-N(AH232))</f>
        <v/>
      </c>
      <c r="AJ232" s="29">
        <f>IFERROR(AI232/AC232,"")</f>
        <v/>
      </c>
      <c r="AK232" s="26">
        <f>IF(A232="","",IFERROR(IF(INDEX(tbl_Onsite[Notes],IFERROR(MATCH(A232&amp;"",tbl_Onsite[Job Number],0),MATCH(IFERROR(A232+0,A232),tbl_Onsite[Job Number],0)))="","",INDEX(tbl_Onsite[Notes],IFERROR(MATCH(A232&amp;"",tbl_Onsite[Job Number],0),MATCH(IFERROR(A232+0,A232),tbl_Onsite[Job Number],0)))),IFERROR(IF(INDEX(tbl_Production[Notes],IFERROR(MATCH(A232&amp;"",tbl_Production[Job Number],0),MATCH(IFERROR(A232+0,A232),tbl_Production[Job Number],0)))="","",INDEX(tbl_Production[Notes],IFERROR(MATCH(A232&amp;"",tbl_Production[Job Number],0),MATCH(IFERROR(A232+0,A232),tbl_Production[Job Number],0)))),IFERROR(IF(INDEX(tbl_Consulting[Notes],IFERROR(MATCH(A232&amp;"",tbl_Consulting[Job Number],0),MATCH(IFERROR(A232+0,A232),tbl_Consulting[Job Number],0)))="","",INDEX(tbl_Consulting[Notes],IFERROR(MATCH(A232&amp;"",tbl_Consulting[Job Number],0),MATCH(IFERROR(A232+0,A232),tbl_Consulting[Job Number],0)))),""))))</f>
        <v/>
      </c>
    </row>
    <row r="233" ht="15" customHeight="1">
      <c r="A233" s="22" t="n"/>
      <c r="B233" s="22" t="n"/>
      <c r="C233" s="23" t="n"/>
      <c r="D233" s="22" t="n"/>
      <c r="E233" s="24" t="n"/>
      <c r="F233" s="25">
        <f>IF(C233="","",EOMONTH(C233,0))</f>
        <v/>
      </c>
      <c r="G233" s="26">
        <f>IF(A233="","",IF(COUNTIF(tbl_Onsite[Job Number],A233&amp;"")&gt;0,"Onsite",IF(COUNTIF(tbl_Production[Job Number],A233&amp;"")&gt;0,"Production",IF(COUNTIF(tbl_Consulting[Job Number],A233&amp;"")&gt;0,"Consulting","not set up yet"))))</f>
        <v/>
      </c>
      <c r="H233" s="26">
        <f>IF(A233="","",IF(COUNTIF(lst_Jobs,A233&amp;"")&gt;0,"OK","CHECK"))</f>
        <v/>
      </c>
      <c r="I233" s="26">
        <f>IF(A233="","",IFERROR(INDEX(lst_JobName,MATCH(A233&amp;"",lst_Jobs,0)),""))</f>
        <v/>
      </c>
      <c r="J233" s="26">
        <f>IF(A233="","",IFERROR(IF(INDEX(tbl_Onsite[Client],IFERROR(MATCH(A233&amp;"",tbl_Onsite[Job Number],0),MATCH(IFERROR(A233+0,A233),tbl_Onsite[Job Number],0)))="","",INDEX(tbl_Onsite[Client],IFERROR(MATCH(A233&amp;"",tbl_Onsite[Job Number],0),MATCH(IFERROR(A233+0,A233),tbl_Onsite[Job Number],0)))),IFERROR(IF(INDEX(tbl_Production[Client],IFERROR(MATCH(A233&amp;"",tbl_Production[Job Number],0),MATCH(IFERROR(A233+0,A233),tbl_Production[Job Number],0)))="","",INDEX(tbl_Production[Client],IFERROR(MATCH(A233&amp;"",tbl_Production[Job Number],0),MATCH(IFERROR(A233+0,A233),tbl_Production[Job Number],0)))),IFERROR(IF(INDEX(tbl_Consulting[Client],IFERROR(MATCH(A233&amp;"",tbl_Consulting[Job Number],0),MATCH(IFERROR(A233+0,A233),tbl_Consulting[Job Number],0)))="","",INDEX(tbl_Consulting[Client],IFERROR(MATCH(A233&amp;"",tbl_Consulting[Job Number],0),MATCH(IFERROR(A233+0,A233),tbl_Consulting[Job Number],0)))),""))))</f>
        <v/>
      </c>
      <c r="K233" s="26">
        <f>IF(A233="","",IFERROR(IF(INDEX(tbl_Onsite[Job Description],IFERROR(MATCH(A233&amp;"",tbl_Onsite[Job Number],0),MATCH(IFERROR(A233+0,A233),tbl_Onsite[Job Number],0)))="","",INDEX(tbl_Onsite[Job Description],IFERROR(MATCH(A233&amp;"",tbl_Onsite[Job Number],0),MATCH(IFERROR(A233+0,A233),tbl_Onsite[Job Number],0)))),IFERROR(IF(INDEX(tbl_Production[Job Description],IFERROR(MATCH(A233&amp;"",tbl_Production[Job Number],0),MATCH(IFERROR(A233+0,A233),tbl_Production[Job Number],0)))="","",INDEX(tbl_Production[Job Description],IFERROR(MATCH(A233&amp;"",tbl_Production[Job Number],0),MATCH(IFERROR(A233+0,A233),tbl_Production[Job Number],0)))),IFERROR(IF(INDEX(tbl_Consulting[Job Description],IFERROR(MATCH(A233&amp;"",tbl_Consulting[Job Number],0),MATCH(IFERROR(A233+0,A233),tbl_Consulting[Job Number],0)))="","",INDEX(tbl_Consulting[Job Description],IFERROR(MATCH(A233&amp;"",tbl_Consulting[Job Number],0),MATCH(IFERROR(A233+0,A233),tbl_Consulting[Job Number],0)))),""))))</f>
        <v/>
      </c>
      <c r="L233" s="26">
        <f>IF(A233="","",IFERROR(IF(INDEX(tbl_Onsite[Invoice Type],IFERROR(MATCH(A233&amp;"",tbl_Onsite[Job Number],0),MATCH(IFERROR(A233+0,A233),tbl_Onsite[Job Number],0)))="","",INDEX(tbl_Onsite[Invoice Type],IFERROR(MATCH(A233&amp;"",tbl_Onsite[Job Number],0),MATCH(IFERROR(A233+0,A233),tbl_Onsite[Job Number],0)))),IFERROR(IF(INDEX(tbl_Production[Invoice Type],IFERROR(MATCH(A233&amp;"",tbl_Production[Job Number],0),MATCH(IFERROR(A233+0,A233),tbl_Production[Job Number],0)))="","",INDEX(tbl_Production[Invoice Type],IFERROR(MATCH(A233&amp;"",tbl_Production[Job Number],0),MATCH(IFERROR(A233+0,A233),tbl_Production[Job Number],0)))),IFERROR(IF(INDEX(tbl_Consulting[Invoice Type],IFERROR(MATCH(A233&amp;"",tbl_Consulting[Job Number],0),MATCH(IFERROR(A233+0,A233),tbl_Consulting[Job Number],0)))="","",INDEX(tbl_Consulting[Invoice Type],IFERROR(MATCH(A233&amp;"",tbl_Consulting[Job Number],0),MATCH(IFERROR(A233+0,A233),tbl_Consulting[Job Number],0)))),""))))</f>
        <v/>
      </c>
      <c r="M233" s="26">
        <f>IF(A233="","",IF(IFERROR(IF(INDEX(tbl_Onsite[Tax Code],IFERROR(MATCH(A233&amp;"",tbl_Onsite[Job Number],0),MATCH(IFERROR(A233+0,A233),tbl_Onsite[Job Number],0)))="","",INDEX(tbl_Onsite[Tax Code],IFERROR(MATCH(A233&amp;"",tbl_Onsite[Job Number],0),MATCH(IFERROR(A233+0,A233),tbl_Onsite[Job Number],0)))),IFERROR(IF(INDEX(tbl_Production[Tax Code],IFERROR(MATCH(A233&amp;"",tbl_Production[Job Number],0),MATCH(IFERROR(A233+0,A233),tbl_Production[Job Number],0)))="","",INDEX(tbl_Production[Tax Code],IFERROR(MATCH(A233&amp;"",tbl_Production[Job Number],0),MATCH(IFERROR(A233+0,A233),tbl_Production[Job Number],0)))),IFERROR(IF(INDEX(tbl_Consulting[Tax Code],IFERROR(MATCH(A233&amp;"",tbl_Consulting[Job Number],0),MATCH(IFERROR(A233+0,A233),tbl_Consulting[Job Number],0)))="","",INDEX(tbl_Consulting[Tax Code],IFERROR(MATCH(A233&amp;"",tbl_Consulting[Job Number],0),MATCH(IFERROR(A233+0,A233),tbl_Consulting[Job Number],0)))),"")))="","GST 10%",IFERROR(IF(INDEX(tbl_Onsite[Tax Code],IFERROR(MATCH(A233&amp;"",tbl_Onsite[Job Number],0),MATCH(IFERROR(A233+0,A233),tbl_Onsite[Job Number],0)))="","",INDEX(tbl_Onsite[Tax Code],IFERROR(MATCH(A233&amp;"",tbl_Onsite[Job Number],0),MATCH(IFERROR(A233+0,A233),tbl_Onsite[Job Number],0)))),IFERROR(IF(INDEX(tbl_Production[Tax Code],IFERROR(MATCH(A233&amp;"",tbl_Production[Job Number],0),MATCH(IFERROR(A233+0,A233),tbl_Production[Job Number],0)))="","",INDEX(tbl_Production[Tax Code],IFERROR(MATCH(A233&amp;"",tbl_Production[Job Number],0),MATCH(IFERROR(A233+0,A233),tbl_Production[Job Number],0)))),IFERROR(IF(INDEX(tbl_Consulting[Tax Code],IFERROR(MATCH(A233&amp;"",tbl_Consulting[Job Number],0),MATCH(IFERROR(A233+0,A233),tbl_Consulting[Job Number],0)))="","",INDEX(tbl_Consulting[Tax Code],IFERROR(MATCH(A233&amp;"",tbl_Consulting[Job Number],0),MATCH(IFERROR(A233+0,A233),tbl_Consulting[Job Number],0)))),"")))))</f>
        <v/>
      </c>
      <c r="N233" s="26">
        <f>IF(D233="","",IFERROR(INDEX(lst_CCtoGL,MATCH(D233,lst_CCforGL,0)),""))</f>
        <v/>
      </c>
      <c r="O233" s="27">
        <f>IF(E233="","",IF(M233="GST 10%",ROUND(E233*set_GSTRate,2),0))</f>
        <v/>
      </c>
      <c r="P233" s="27">
        <f>IF(E233="","",E233+O233)</f>
        <v/>
      </c>
      <c r="Q233" s="27">
        <f>IF(A233="","",IFERROR(INDEX(tbl_Onsite[Expected Revenue Ex GST],IFERROR(MATCH(A233&amp;"",tbl_Onsite[Job Number],0),MATCH(IFERROR(A233+0,A233),tbl_Onsite[Job Number],0))),IFERROR(INDEX(tbl_Production[Expected Revenue Ex GST],IFERROR(MATCH(A233&amp;"",tbl_Production[Job Number],0),MATCH(IFERROR(A233+0,A233),tbl_Production[Job Number],0))),IFERROR(INDEX(tbl_Consulting[Expected Revenue Ex GST],IFERROR(MATCH(A233&amp;"",tbl_Consulting[Job Number],0),MATCH(IFERROR(A233+0,A233),tbl_Consulting[Job Number],0))),0))))</f>
        <v/>
      </c>
      <c r="R233" s="27">
        <f>IF(A233="","",SUMIFS(tbl_Finance[Ex GST],tbl_Finance[Job Number],A233&amp;""))</f>
        <v/>
      </c>
      <c r="S233" s="27">
        <f>IF(A233="","",Q233-R233)</f>
        <v/>
      </c>
      <c r="T233" s="26">
        <f>IF(A233="","",IF(Q233=0,"No dept value",IF(ROUND(S233,2)=0,"Agrees",IF(S233&gt;0,"Dept higher - to invoice","Xero higher - check dept"))))</f>
        <v/>
      </c>
      <c r="U233" s="22" t="n"/>
      <c r="V233" s="22" t="n"/>
      <c r="W233" s="23" t="n"/>
      <c r="X233" s="23" t="n"/>
      <c r="Y233" s="22" t="n"/>
      <c r="Z233" s="22" t="n"/>
      <c r="AA233" s="26">
        <f>IF(COUNTA(C233,A233,B233,E233)=0,"",IF(C233="","No date - sits outside every month",IF(A233="","No job number",IF(H233="CHECK","Job number is not in the Xero job list",IF(G233="not set up yet","No department has set this job up - nothing can pull through",IF(D233="","No cost centre",IF(AND(U233="Y",B233=""),"Marked posted to Xero but has no invoice number",IF(N233="","Cost centre has no revenue GL on the Lists sheet",IF(T233="Xero higher - check dept","Invoiced more than the department says the job is worth","")))))))))</f>
        <v/>
      </c>
      <c r="AB233" s="28">
        <f>IF(A233="","",COUNTIFS(tbl_Finance[Job Number],A233&amp;"",tbl_Finance[Ex GST],"&lt;&gt;"))</f>
        <v/>
      </c>
      <c r="AC233" s="27">
        <f>IF(A233="","",SUMIFS(tbl_Finance[Ex GST],tbl_Finance[Job Number],A233&amp;""))</f>
        <v/>
      </c>
      <c r="AD233" s="27">
        <f>IF(A233="","",SUMIFS(tbl_Finance[Ex GST],tbl_Finance[Job Number],A233&amp;"",tbl_Finance[Xero Invoice No],"&lt;&gt;"))</f>
        <v/>
      </c>
      <c r="AE233" s="27">
        <f>IF(A233="","",AC233-AD233)</f>
        <v/>
      </c>
      <c r="AF233" s="26">
        <f>IF(A233="","",IFERROR(IF(INDEX(tbl_Onsite[Qwilr Quote],IFERROR(MATCH(A233&amp;"",tbl_Onsite[Job Number],0),MATCH(IFERROR(A233+0,A233),tbl_Onsite[Job Number],0)))="","",INDEX(tbl_Onsite[Qwilr Quote],IFERROR(MATCH(A233&amp;"",tbl_Onsite[Job Number],0),MATCH(IFERROR(A233+0,A233),tbl_Onsite[Job Number],0)))),IFERROR(IF(IF(INDEX(tbl_Production[Current RMS No],IFERROR(MATCH(A233&amp;"",tbl_Production[Job Number],0),MATCH(IFERROR(A233+0,A233),tbl_Production[Job Number],0)))="",INDEX(tbl_Production[Qwilr Quote],IFERROR(MATCH(A233&amp;"",tbl_Production[Job Number],0),MATCH(IFERROR(A233+0,A233),tbl_Production[Job Number],0))),INDEX(tbl_Production[Current RMS No],IFERROR(MATCH(A233&amp;"",tbl_Production[Job Number],0),MATCH(IFERROR(A233+0,A233),tbl_Production[Job Number],0))))="","",IF(INDEX(tbl_Production[Current RMS No],IFERROR(MATCH(A233&amp;"",tbl_Production[Job Number],0),MATCH(IFERROR(A233+0,A233),tbl_Production[Job Number],0)))="",INDEX(tbl_Production[Qwilr Quote],IFERROR(MATCH(A233&amp;"",tbl_Production[Job Number],0),MATCH(IFERROR(A233+0,A233),tbl_Production[Job Number],0))),INDEX(tbl_Production[Current RMS No],IFERROR(MATCH(A233&amp;"",tbl_Production[Job Number],0),MATCH(IFERROR(A233+0,A233),tbl_Production[Job Number],0))))),IFERROR(IF(INDEX(tbl_Consulting[Qwilr Quote],IFERROR(MATCH(A233&amp;"",tbl_Consulting[Job Number],0),MATCH(IFERROR(A233+0,A233),tbl_Consulting[Job Number],0)))="","",INDEX(tbl_Consulting[Qwilr Quote],IFERROR(MATCH(A233&amp;"",tbl_Consulting[Job Number],0),MATCH(IFERROR(A233+0,A233),tbl_Consulting[Job Number],0)))),""))))</f>
        <v/>
      </c>
      <c r="AG233" s="26">
        <f>IF(AF233="","",IF(AND(LEFT(AF233,4)&lt;&gt;"http",IF(G233="Production",set_RMSBase,set_QwilrBase)=""),"",HYPERLINK(IF(LEFT(AF233,4)="http",AF233,IF(G233="Production",set_RMSBase,set_QwilrBase)&amp;AF233),"Open")))</f>
        <v/>
      </c>
      <c r="AH233" s="27">
        <f>IF(A233="","",IFERROR(INDEX(tbl_Production[Total Expense],IFERROR(MATCH(A233&amp;"",tbl_Production[Job Number],0),MATCH(IFERROR(A233+0,A233),tbl_Production[Job Number],0))),IFERROR(INDEX(tbl_Consulting[Total Expense],IFERROR(MATCH(A233&amp;"",tbl_Consulting[Job Number],0),MATCH(IFERROR(A233+0,A233),tbl_Consulting[Job Number],0))),0)))</f>
        <v/>
      </c>
      <c r="AI233" s="27">
        <f>IF(A233="","",AC233-N(AH233))</f>
        <v/>
      </c>
      <c r="AJ233" s="29">
        <f>IFERROR(AI233/AC233,"")</f>
        <v/>
      </c>
      <c r="AK233" s="26">
        <f>IF(A233="","",IFERROR(IF(INDEX(tbl_Onsite[Notes],IFERROR(MATCH(A233&amp;"",tbl_Onsite[Job Number],0),MATCH(IFERROR(A233+0,A233),tbl_Onsite[Job Number],0)))="","",INDEX(tbl_Onsite[Notes],IFERROR(MATCH(A233&amp;"",tbl_Onsite[Job Number],0),MATCH(IFERROR(A233+0,A233),tbl_Onsite[Job Number],0)))),IFERROR(IF(INDEX(tbl_Production[Notes],IFERROR(MATCH(A233&amp;"",tbl_Production[Job Number],0),MATCH(IFERROR(A233+0,A233),tbl_Production[Job Number],0)))="","",INDEX(tbl_Production[Notes],IFERROR(MATCH(A233&amp;"",tbl_Production[Job Number],0),MATCH(IFERROR(A233+0,A233),tbl_Production[Job Number],0)))),IFERROR(IF(INDEX(tbl_Consulting[Notes],IFERROR(MATCH(A233&amp;"",tbl_Consulting[Job Number],0),MATCH(IFERROR(A233+0,A233),tbl_Consulting[Job Number],0)))="","",INDEX(tbl_Consulting[Notes],IFERROR(MATCH(A233&amp;"",tbl_Consulting[Job Number],0),MATCH(IFERROR(A233+0,A233),tbl_Consulting[Job Number],0)))),""))))</f>
        <v/>
      </c>
    </row>
    <row r="234" ht="15" customHeight="1">
      <c r="A234" s="22" t="n"/>
      <c r="B234" s="22" t="n"/>
      <c r="C234" s="23" t="n"/>
      <c r="D234" s="22" t="n"/>
      <c r="E234" s="24" t="n"/>
      <c r="F234" s="25">
        <f>IF(C234="","",EOMONTH(C234,0))</f>
        <v/>
      </c>
      <c r="G234" s="26">
        <f>IF(A234="","",IF(COUNTIF(tbl_Onsite[Job Number],A234&amp;"")&gt;0,"Onsite",IF(COUNTIF(tbl_Production[Job Number],A234&amp;"")&gt;0,"Production",IF(COUNTIF(tbl_Consulting[Job Number],A234&amp;"")&gt;0,"Consulting","not set up yet"))))</f>
        <v/>
      </c>
      <c r="H234" s="26">
        <f>IF(A234="","",IF(COUNTIF(lst_Jobs,A234&amp;"")&gt;0,"OK","CHECK"))</f>
        <v/>
      </c>
      <c r="I234" s="26">
        <f>IF(A234="","",IFERROR(INDEX(lst_JobName,MATCH(A234&amp;"",lst_Jobs,0)),""))</f>
        <v/>
      </c>
      <c r="J234" s="26">
        <f>IF(A234="","",IFERROR(IF(INDEX(tbl_Onsite[Client],IFERROR(MATCH(A234&amp;"",tbl_Onsite[Job Number],0),MATCH(IFERROR(A234+0,A234),tbl_Onsite[Job Number],0)))="","",INDEX(tbl_Onsite[Client],IFERROR(MATCH(A234&amp;"",tbl_Onsite[Job Number],0),MATCH(IFERROR(A234+0,A234),tbl_Onsite[Job Number],0)))),IFERROR(IF(INDEX(tbl_Production[Client],IFERROR(MATCH(A234&amp;"",tbl_Production[Job Number],0),MATCH(IFERROR(A234+0,A234),tbl_Production[Job Number],0)))="","",INDEX(tbl_Production[Client],IFERROR(MATCH(A234&amp;"",tbl_Production[Job Number],0),MATCH(IFERROR(A234+0,A234),tbl_Production[Job Number],0)))),IFERROR(IF(INDEX(tbl_Consulting[Client],IFERROR(MATCH(A234&amp;"",tbl_Consulting[Job Number],0),MATCH(IFERROR(A234+0,A234),tbl_Consulting[Job Number],0)))="","",INDEX(tbl_Consulting[Client],IFERROR(MATCH(A234&amp;"",tbl_Consulting[Job Number],0),MATCH(IFERROR(A234+0,A234),tbl_Consulting[Job Number],0)))),""))))</f>
        <v/>
      </c>
      <c r="K234" s="26">
        <f>IF(A234="","",IFERROR(IF(INDEX(tbl_Onsite[Job Description],IFERROR(MATCH(A234&amp;"",tbl_Onsite[Job Number],0),MATCH(IFERROR(A234+0,A234),tbl_Onsite[Job Number],0)))="","",INDEX(tbl_Onsite[Job Description],IFERROR(MATCH(A234&amp;"",tbl_Onsite[Job Number],0),MATCH(IFERROR(A234+0,A234),tbl_Onsite[Job Number],0)))),IFERROR(IF(INDEX(tbl_Production[Job Description],IFERROR(MATCH(A234&amp;"",tbl_Production[Job Number],0),MATCH(IFERROR(A234+0,A234),tbl_Production[Job Number],0)))="","",INDEX(tbl_Production[Job Description],IFERROR(MATCH(A234&amp;"",tbl_Production[Job Number],0),MATCH(IFERROR(A234+0,A234),tbl_Production[Job Number],0)))),IFERROR(IF(INDEX(tbl_Consulting[Job Description],IFERROR(MATCH(A234&amp;"",tbl_Consulting[Job Number],0),MATCH(IFERROR(A234+0,A234),tbl_Consulting[Job Number],0)))="","",INDEX(tbl_Consulting[Job Description],IFERROR(MATCH(A234&amp;"",tbl_Consulting[Job Number],0),MATCH(IFERROR(A234+0,A234),tbl_Consulting[Job Number],0)))),""))))</f>
        <v/>
      </c>
      <c r="L234" s="26">
        <f>IF(A234="","",IFERROR(IF(INDEX(tbl_Onsite[Invoice Type],IFERROR(MATCH(A234&amp;"",tbl_Onsite[Job Number],0),MATCH(IFERROR(A234+0,A234),tbl_Onsite[Job Number],0)))="","",INDEX(tbl_Onsite[Invoice Type],IFERROR(MATCH(A234&amp;"",tbl_Onsite[Job Number],0),MATCH(IFERROR(A234+0,A234),tbl_Onsite[Job Number],0)))),IFERROR(IF(INDEX(tbl_Production[Invoice Type],IFERROR(MATCH(A234&amp;"",tbl_Production[Job Number],0),MATCH(IFERROR(A234+0,A234),tbl_Production[Job Number],0)))="","",INDEX(tbl_Production[Invoice Type],IFERROR(MATCH(A234&amp;"",tbl_Production[Job Number],0),MATCH(IFERROR(A234+0,A234),tbl_Production[Job Number],0)))),IFERROR(IF(INDEX(tbl_Consulting[Invoice Type],IFERROR(MATCH(A234&amp;"",tbl_Consulting[Job Number],0),MATCH(IFERROR(A234+0,A234),tbl_Consulting[Job Number],0)))="","",INDEX(tbl_Consulting[Invoice Type],IFERROR(MATCH(A234&amp;"",tbl_Consulting[Job Number],0),MATCH(IFERROR(A234+0,A234),tbl_Consulting[Job Number],0)))),""))))</f>
        <v/>
      </c>
      <c r="M234" s="26">
        <f>IF(A234="","",IF(IFERROR(IF(INDEX(tbl_Onsite[Tax Code],IFERROR(MATCH(A234&amp;"",tbl_Onsite[Job Number],0),MATCH(IFERROR(A234+0,A234),tbl_Onsite[Job Number],0)))="","",INDEX(tbl_Onsite[Tax Code],IFERROR(MATCH(A234&amp;"",tbl_Onsite[Job Number],0),MATCH(IFERROR(A234+0,A234),tbl_Onsite[Job Number],0)))),IFERROR(IF(INDEX(tbl_Production[Tax Code],IFERROR(MATCH(A234&amp;"",tbl_Production[Job Number],0),MATCH(IFERROR(A234+0,A234),tbl_Production[Job Number],0)))="","",INDEX(tbl_Production[Tax Code],IFERROR(MATCH(A234&amp;"",tbl_Production[Job Number],0),MATCH(IFERROR(A234+0,A234),tbl_Production[Job Number],0)))),IFERROR(IF(INDEX(tbl_Consulting[Tax Code],IFERROR(MATCH(A234&amp;"",tbl_Consulting[Job Number],0),MATCH(IFERROR(A234+0,A234),tbl_Consulting[Job Number],0)))="","",INDEX(tbl_Consulting[Tax Code],IFERROR(MATCH(A234&amp;"",tbl_Consulting[Job Number],0),MATCH(IFERROR(A234+0,A234),tbl_Consulting[Job Number],0)))),"")))="","GST 10%",IFERROR(IF(INDEX(tbl_Onsite[Tax Code],IFERROR(MATCH(A234&amp;"",tbl_Onsite[Job Number],0),MATCH(IFERROR(A234+0,A234),tbl_Onsite[Job Number],0)))="","",INDEX(tbl_Onsite[Tax Code],IFERROR(MATCH(A234&amp;"",tbl_Onsite[Job Number],0),MATCH(IFERROR(A234+0,A234),tbl_Onsite[Job Number],0)))),IFERROR(IF(INDEX(tbl_Production[Tax Code],IFERROR(MATCH(A234&amp;"",tbl_Production[Job Number],0),MATCH(IFERROR(A234+0,A234),tbl_Production[Job Number],0)))="","",INDEX(tbl_Production[Tax Code],IFERROR(MATCH(A234&amp;"",tbl_Production[Job Number],0),MATCH(IFERROR(A234+0,A234),tbl_Production[Job Number],0)))),IFERROR(IF(INDEX(tbl_Consulting[Tax Code],IFERROR(MATCH(A234&amp;"",tbl_Consulting[Job Number],0),MATCH(IFERROR(A234+0,A234),tbl_Consulting[Job Number],0)))="","",INDEX(tbl_Consulting[Tax Code],IFERROR(MATCH(A234&amp;"",tbl_Consulting[Job Number],0),MATCH(IFERROR(A234+0,A234),tbl_Consulting[Job Number],0)))),"")))))</f>
        <v/>
      </c>
      <c r="N234" s="26">
        <f>IF(D234="","",IFERROR(INDEX(lst_CCtoGL,MATCH(D234,lst_CCforGL,0)),""))</f>
        <v/>
      </c>
      <c r="O234" s="27">
        <f>IF(E234="","",IF(M234="GST 10%",ROUND(E234*set_GSTRate,2),0))</f>
        <v/>
      </c>
      <c r="P234" s="27">
        <f>IF(E234="","",E234+O234)</f>
        <v/>
      </c>
      <c r="Q234" s="27">
        <f>IF(A234="","",IFERROR(INDEX(tbl_Onsite[Expected Revenue Ex GST],IFERROR(MATCH(A234&amp;"",tbl_Onsite[Job Number],0),MATCH(IFERROR(A234+0,A234),tbl_Onsite[Job Number],0))),IFERROR(INDEX(tbl_Production[Expected Revenue Ex GST],IFERROR(MATCH(A234&amp;"",tbl_Production[Job Number],0),MATCH(IFERROR(A234+0,A234),tbl_Production[Job Number],0))),IFERROR(INDEX(tbl_Consulting[Expected Revenue Ex GST],IFERROR(MATCH(A234&amp;"",tbl_Consulting[Job Number],0),MATCH(IFERROR(A234+0,A234),tbl_Consulting[Job Number],0))),0))))</f>
        <v/>
      </c>
      <c r="R234" s="27">
        <f>IF(A234="","",SUMIFS(tbl_Finance[Ex GST],tbl_Finance[Job Number],A234&amp;""))</f>
        <v/>
      </c>
      <c r="S234" s="27">
        <f>IF(A234="","",Q234-R234)</f>
        <v/>
      </c>
      <c r="T234" s="26">
        <f>IF(A234="","",IF(Q234=0,"No dept value",IF(ROUND(S234,2)=0,"Agrees",IF(S234&gt;0,"Dept higher - to invoice","Xero higher - check dept"))))</f>
        <v/>
      </c>
      <c r="U234" s="22" t="n"/>
      <c r="V234" s="22" t="n"/>
      <c r="W234" s="23" t="n"/>
      <c r="X234" s="23" t="n"/>
      <c r="Y234" s="22" t="n"/>
      <c r="Z234" s="22" t="n"/>
      <c r="AA234" s="26">
        <f>IF(COUNTA(C234,A234,B234,E234)=0,"",IF(C234="","No date - sits outside every month",IF(A234="","No job number",IF(H234="CHECK","Job number is not in the Xero job list",IF(G234="not set up yet","No department has set this job up - nothing can pull through",IF(D234="","No cost centre",IF(AND(U234="Y",B234=""),"Marked posted to Xero but has no invoice number",IF(N234="","Cost centre has no revenue GL on the Lists sheet",IF(T234="Xero higher - check dept","Invoiced more than the department says the job is worth","")))))))))</f>
        <v/>
      </c>
      <c r="AB234" s="28">
        <f>IF(A234="","",COUNTIFS(tbl_Finance[Job Number],A234&amp;"",tbl_Finance[Ex GST],"&lt;&gt;"))</f>
        <v/>
      </c>
      <c r="AC234" s="27">
        <f>IF(A234="","",SUMIFS(tbl_Finance[Ex GST],tbl_Finance[Job Number],A234&amp;""))</f>
        <v/>
      </c>
      <c r="AD234" s="27">
        <f>IF(A234="","",SUMIFS(tbl_Finance[Ex GST],tbl_Finance[Job Number],A234&amp;"",tbl_Finance[Xero Invoice No],"&lt;&gt;"))</f>
        <v/>
      </c>
      <c r="AE234" s="27">
        <f>IF(A234="","",AC234-AD234)</f>
        <v/>
      </c>
      <c r="AF234" s="26">
        <f>IF(A234="","",IFERROR(IF(INDEX(tbl_Onsite[Qwilr Quote],IFERROR(MATCH(A234&amp;"",tbl_Onsite[Job Number],0),MATCH(IFERROR(A234+0,A234),tbl_Onsite[Job Number],0)))="","",INDEX(tbl_Onsite[Qwilr Quote],IFERROR(MATCH(A234&amp;"",tbl_Onsite[Job Number],0),MATCH(IFERROR(A234+0,A234),tbl_Onsite[Job Number],0)))),IFERROR(IF(IF(INDEX(tbl_Production[Current RMS No],IFERROR(MATCH(A234&amp;"",tbl_Production[Job Number],0),MATCH(IFERROR(A234+0,A234),tbl_Production[Job Number],0)))="",INDEX(tbl_Production[Qwilr Quote],IFERROR(MATCH(A234&amp;"",tbl_Production[Job Number],0),MATCH(IFERROR(A234+0,A234),tbl_Production[Job Number],0))),INDEX(tbl_Production[Current RMS No],IFERROR(MATCH(A234&amp;"",tbl_Production[Job Number],0),MATCH(IFERROR(A234+0,A234),tbl_Production[Job Number],0))))="","",IF(INDEX(tbl_Production[Current RMS No],IFERROR(MATCH(A234&amp;"",tbl_Production[Job Number],0),MATCH(IFERROR(A234+0,A234),tbl_Production[Job Number],0)))="",INDEX(tbl_Production[Qwilr Quote],IFERROR(MATCH(A234&amp;"",tbl_Production[Job Number],0),MATCH(IFERROR(A234+0,A234),tbl_Production[Job Number],0))),INDEX(tbl_Production[Current RMS No],IFERROR(MATCH(A234&amp;"",tbl_Production[Job Number],0),MATCH(IFERROR(A234+0,A234),tbl_Production[Job Number],0))))),IFERROR(IF(INDEX(tbl_Consulting[Qwilr Quote],IFERROR(MATCH(A234&amp;"",tbl_Consulting[Job Number],0),MATCH(IFERROR(A234+0,A234),tbl_Consulting[Job Number],0)))="","",INDEX(tbl_Consulting[Qwilr Quote],IFERROR(MATCH(A234&amp;"",tbl_Consulting[Job Number],0),MATCH(IFERROR(A234+0,A234),tbl_Consulting[Job Number],0)))),""))))</f>
        <v/>
      </c>
      <c r="AG234" s="26">
        <f>IF(AF234="","",IF(AND(LEFT(AF234,4)&lt;&gt;"http",IF(G234="Production",set_RMSBase,set_QwilrBase)=""),"",HYPERLINK(IF(LEFT(AF234,4)="http",AF234,IF(G234="Production",set_RMSBase,set_QwilrBase)&amp;AF234),"Open")))</f>
        <v/>
      </c>
      <c r="AH234" s="27">
        <f>IF(A234="","",IFERROR(INDEX(tbl_Production[Total Expense],IFERROR(MATCH(A234&amp;"",tbl_Production[Job Number],0),MATCH(IFERROR(A234+0,A234),tbl_Production[Job Number],0))),IFERROR(INDEX(tbl_Consulting[Total Expense],IFERROR(MATCH(A234&amp;"",tbl_Consulting[Job Number],0),MATCH(IFERROR(A234+0,A234),tbl_Consulting[Job Number],0))),0)))</f>
        <v/>
      </c>
      <c r="AI234" s="27">
        <f>IF(A234="","",AC234-N(AH234))</f>
        <v/>
      </c>
      <c r="AJ234" s="29">
        <f>IFERROR(AI234/AC234,"")</f>
        <v/>
      </c>
      <c r="AK234" s="26">
        <f>IF(A234="","",IFERROR(IF(INDEX(tbl_Onsite[Notes],IFERROR(MATCH(A234&amp;"",tbl_Onsite[Job Number],0),MATCH(IFERROR(A234+0,A234),tbl_Onsite[Job Number],0)))="","",INDEX(tbl_Onsite[Notes],IFERROR(MATCH(A234&amp;"",tbl_Onsite[Job Number],0),MATCH(IFERROR(A234+0,A234),tbl_Onsite[Job Number],0)))),IFERROR(IF(INDEX(tbl_Production[Notes],IFERROR(MATCH(A234&amp;"",tbl_Production[Job Number],0),MATCH(IFERROR(A234+0,A234),tbl_Production[Job Number],0)))="","",INDEX(tbl_Production[Notes],IFERROR(MATCH(A234&amp;"",tbl_Production[Job Number],0),MATCH(IFERROR(A234+0,A234),tbl_Production[Job Number],0)))),IFERROR(IF(INDEX(tbl_Consulting[Notes],IFERROR(MATCH(A234&amp;"",tbl_Consulting[Job Number],0),MATCH(IFERROR(A234+0,A234),tbl_Consulting[Job Number],0)))="","",INDEX(tbl_Consulting[Notes],IFERROR(MATCH(A234&amp;"",tbl_Consulting[Job Number],0),MATCH(IFERROR(A234+0,A234),tbl_Consulting[Job Number],0)))),""))))</f>
        <v/>
      </c>
    </row>
    <row r="235" ht="15" customHeight="1">
      <c r="A235" s="22" t="n"/>
      <c r="B235" s="22" t="n"/>
      <c r="C235" s="23" t="n"/>
      <c r="D235" s="22" t="n"/>
      <c r="E235" s="24" t="n"/>
      <c r="F235" s="25">
        <f>IF(C235="","",EOMONTH(C235,0))</f>
        <v/>
      </c>
      <c r="G235" s="26">
        <f>IF(A235="","",IF(COUNTIF(tbl_Onsite[Job Number],A235&amp;"")&gt;0,"Onsite",IF(COUNTIF(tbl_Production[Job Number],A235&amp;"")&gt;0,"Production",IF(COUNTIF(tbl_Consulting[Job Number],A235&amp;"")&gt;0,"Consulting","not set up yet"))))</f>
        <v/>
      </c>
      <c r="H235" s="26">
        <f>IF(A235="","",IF(COUNTIF(lst_Jobs,A235&amp;"")&gt;0,"OK","CHECK"))</f>
        <v/>
      </c>
      <c r="I235" s="26">
        <f>IF(A235="","",IFERROR(INDEX(lst_JobName,MATCH(A235&amp;"",lst_Jobs,0)),""))</f>
        <v/>
      </c>
      <c r="J235" s="26">
        <f>IF(A235="","",IFERROR(IF(INDEX(tbl_Onsite[Client],IFERROR(MATCH(A235&amp;"",tbl_Onsite[Job Number],0),MATCH(IFERROR(A235+0,A235),tbl_Onsite[Job Number],0)))="","",INDEX(tbl_Onsite[Client],IFERROR(MATCH(A235&amp;"",tbl_Onsite[Job Number],0),MATCH(IFERROR(A235+0,A235),tbl_Onsite[Job Number],0)))),IFERROR(IF(INDEX(tbl_Production[Client],IFERROR(MATCH(A235&amp;"",tbl_Production[Job Number],0),MATCH(IFERROR(A235+0,A235),tbl_Production[Job Number],0)))="","",INDEX(tbl_Production[Client],IFERROR(MATCH(A235&amp;"",tbl_Production[Job Number],0),MATCH(IFERROR(A235+0,A235),tbl_Production[Job Number],0)))),IFERROR(IF(INDEX(tbl_Consulting[Client],IFERROR(MATCH(A235&amp;"",tbl_Consulting[Job Number],0),MATCH(IFERROR(A235+0,A235),tbl_Consulting[Job Number],0)))="","",INDEX(tbl_Consulting[Client],IFERROR(MATCH(A235&amp;"",tbl_Consulting[Job Number],0),MATCH(IFERROR(A235+0,A235),tbl_Consulting[Job Number],0)))),""))))</f>
        <v/>
      </c>
      <c r="K235" s="26">
        <f>IF(A235="","",IFERROR(IF(INDEX(tbl_Onsite[Job Description],IFERROR(MATCH(A235&amp;"",tbl_Onsite[Job Number],0),MATCH(IFERROR(A235+0,A235),tbl_Onsite[Job Number],0)))="","",INDEX(tbl_Onsite[Job Description],IFERROR(MATCH(A235&amp;"",tbl_Onsite[Job Number],0),MATCH(IFERROR(A235+0,A235),tbl_Onsite[Job Number],0)))),IFERROR(IF(INDEX(tbl_Production[Job Description],IFERROR(MATCH(A235&amp;"",tbl_Production[Job Number],0),MATCH(IFERROR(A235+0,A235),tbl_Production[Job Number],0)))="","",INDEX(tbl_Production[Job Description],IFERROR(MATCH(A235&amp;"",tbl_Production[Job Number],0),MATCH(IFERROR(A235+0,A235),tbl_Production[Job Number],0)))),IFERROR(IF(INDEX(tbl_Consulting[Job Description],IFERROR(MATCH(A235&amp;"",tbl_Consulting[Job Number],0),MATCH(IFERROR(A235+0,A235),tbl_Consulting[Job Number],0)))="","",INDEX(tbl_Consulting[Job Description],IFERROR(MATCH(A235&amp;"",tbl_Consulting[Job Number],0),MATCH(IFERROR(A235+0,A235),tbl_Consulting[Job Number],0)))),""))))</f>
        <v/>
      </c>
      <c r="L235" s="26">
        <f>IF(A235="","",IFERROR(IF(INDEX(tbl_Onsite[Invoice Type],IFERROR(MATCH(A235&amp;"",tbl_Onsite[Job Number],0),MATCH(IFERROR(A235+0,A235),tbl_Onsite[Job Number],0)))="","",INDEX(tbl_Onsite[Invoice Type],IFERROR(MATCH(A235&amp;"",tbl_Onsite[Job Number],0),MATCH(IFERROR(A235+0,A235),tbl_Onsite[Job Number],0)))),IFERROR(IF(INDEX(tbl_Production[Invoice Type],IFERROR(MATCH(A235&amp;"",tbl_Production[Job Number],0),MATCH(IFERROR(A235+0,A235),tbl_Production[Job Number],0)))="","",INDEX(tbl_Production[Invoice Type],IFERROR(MATCH(A235&amp;"",tbl_Production[Job Number],0),MATCH(IFERROR(A235+0,A235),tbl_Production[Job Number],0)))),IFERROR(IF(INDEX(tbl_Consulting[Invoice Type],IFERROR(MATCH(A235&amp;"",tbl_Consulting[Job Number],0),MATCH(IFERROR(A235+0,A235),tbl_Consulting[Job Number],0)))="","",INDEX(tbl_Consulting[Invoice Type],IFERROR(MATCH(A235&amp;"",tbl_Consulting[Job Number],0),MATCH(IFERROR(A235+0,A235),tbl_Consulting[Job Number],0)))),""))))</f>
        <v/>
      </c>
      <c r="M235" s="26">
        <f>IF(A235="","",IF(IFERROR(IF(INDEX(tbl_Onsite[Tax Code],IFERROR(MATCH(A235&amp;"",tbl_Onsite[Job Number],0),MATCH(IFERROR(A235+0,A235),tbl_Onsite[Job Number],0)))="","",INDEX(tbl_Onsite[Tax Code],IFERROR(MATCH(A235&amp;"",tbl_Onsite[Job Number],0),MATCH(IFERROR(A235+0,A235),tbl_Onsite[Job Number],0)))),IFERROR(IF(INDEX(tbl_Production[Tax Code],IFERROR(MATCH(A235&amp;"",tbl_Production[Job Number],0),MATCH(IFERROR(A235+0,A235),tbl_Production[Job Number],0)))="","",INDEX(tbl_Production[Tax Code],IFERROR(MATCH(A235&amp;"",tbl_Production[Job Number],0),MATCH(IFERROR(A235+0,A235),tbl_Production[Job Number],0)))),IFERROR(IF(INDEX(tbl_Consulting[Tax Code],IFERROR(MATCH(A235&amp;"",tbl_Consulting[Job Number],0),MATCH(IFERROR(A235+0,A235),tbl_Consulting[Job Number],0)))="","",INDEX(tbl_Consulting[Tax Code],IFERROR(MATCH(A235&amp;"",tbl_Consulting[Job Number],0),MATCH(IFERROR(A235+0,A235),tbl_Consulting[Job Number],0)))),"")))="","GST 10%",IFERROR(IF(INDEX(tbl_Onsite[Tax Code],IFERROR(MATCH(A235&amp;"",tbl_Onsite[Job Number],0),MATCH(IFERROR(A235+0,A235),tbl_Onsite[Job Number],0)))="","",INDEX(tbl_Onsite[Tax Code],IFERROR(MATCH(A235&amp;"",tbl_Onsite[Job Number],0),MATCH(IFERROR(A235+0,A235),tbl_Onsite[Job Number],0)))),IFERROR(IF(INDEX(tbl_Production[Tax Code],IFERROR(MATCH(A235&amp;"",tbl_Production[Job Number],0),MATCH(IFERROR(A235+0,A235),tbl_Production[Job Number],0)))="","",INDEX(tbl_Production[Tax Code],IFERROR(MATCH(A235&amp;"",tbl_Production[Job Number],0),MATCH(IFERROR(A235+0,A235),tbl_Production[Job Number],0)))),IFERROR(IF(INDEX(tbl_Consulting[Tax Code],IFERROR(MATCH(A235&amp;"",tbl_Consulting[Job Number],0),MATCH(IFERROR(A235+0,A235),tbl_Consulting[Job Number],0)))="","",INDEX(tbl_Consulting[Tax Code],IFERROR(MATCH(A235&amp;"",tbl_Consulting[Job Number],0),MATCH(IFERROR(A235+0,A235),tbl_Consulting[Job Number],0)))),"")))))</f>
        <v/>
      </c>
      <c r="N235" s="26">
        <f>IF(D235="","",IFERROR(INDEX(lst_CCtoGL,MATCH(D235,lst_CCforGL,0)),""))</f>
        <v/>
      </c>
      <c r="O235" s="27">
        <f>IF(E235="","",IF(M235="GST 10%",ROUND(E235*set_GSTRate,2),0))</f>
        <v/>
      </c>
      <c r="P235" s="27">
        <f>IF(E235="","",E235+O235)</f>
        <v/>
      </c>
      <c r="Q235" s="27">
        <f>IF(A235="","",IFERROR(INDEX(tbl_Onsite[Expected Revenue Ex GST],IFERROR(MATCH(A235&amp;"",tbl_Onsite[Job Number],0),MATCH(IFERROR(A235+0,A235),tbl_Onsite[Job Number],0))),IFERROR(INDEX(tbl_Production[Expected Revenue Ex GST],IFERROR(MATCH(A235&amp;"",tbl_Production[Job Number],0),MATCH(IFERROR(A235+0,A235),tbl_Production[Job Number],0))),IFERROR(INDEX(tbl_Consulting[Expected Revenue Ex GST],IFERROR(MATCH(A235&amp;"",tbl_Consulting[Job Number],0),MATCH(IFERROR(A235+0,A235),tbl_Consulting[Job Number],0))),0))))</f>
        <v/>
      </c>
      <c r="R235" s="27">
        <f>IF(A235="","",SUMIFS(tbl_Finance[Ex GST],tbl_Finance[Job Number],A235&amp;""))</f>
        <v/>
      </c>
      <c r="S235" s="27">
        <f>IF(A235="","",Q235-R235)</f>
        <v/>
      </c>
      <c r="T235" s="26">
        <f>IF(A235="","",IF(Q235=0,"No dept value",IF(ROUND(S235,2)=0,"Agrees",IF(S235&gt;0,"Dept higher - to invoice","Xero higher - check dept"))))</f>
        <v/>
      </c>
      <c r="U235" s="22" t="n"/>
      <c r="V235" s="22" t="n"/>
      <c r="W235" s="23" t="n"/>
      <c r="X235" s="23" t="n"/>
      <c r="Y235" s="22" t="n"/>
      <c r="Z235" s="22" t="n"/>
      <c r="AA235" s="26">
        <f>IF(COUNTA(C235,A235,B235,E235)=0,"",IF(C235="","No date - sits outside every month",IF(A235="","No job number",IF(H235="CHECK","Job number is not in the Xero job list",IF(G235="not set up yet","No department has set this job up - nothing can pull through",IF(D235="","No cost centre",IF(AND(U235="Y",B235=""),"Marked posted to Xero but has no invoice number",IF(N235="","Cost centre has no revenue GL on the Lists sheet",IF(T235="Xero higher - check dept","Invoiced more than the department says the job is worth","")))))))))</f>
        <v/>
      </c>
      <c r="AB235" s="28">
        <f>IF(A235="","",COUNTIFS(tbl_Finance[Job Number],A235&amp;"",tbl_Finance[Ex GST],"&lt;&gt;"))</f>
        <v/>
      </c>
      <c r="AC235" s="27">
        <f>IF(A235="","",SUMIFS(tbl_Finance[Ex GST],tbl_Finance[Job Number],A235&amp;""))</f>
        <v/>
      </c>
      <c r="AD235" s="27">
        <f>IF(A235="","",SUMIFS(tbl_Finance[Ex GST],tbl_Finance[Job Number],A235&amp;"",tbl_Finance[Xero Invoice No],"&lt;&gt;"))</f>
        <v/>
      </c>
      <c r="AE235" s="27">
        <f>IF(A235="","",AC235-AD235)</f>
        <v/>
      </c>
      <c r="AF235" s="26">
        <f>IF(A235="","",IFERROR(IF(INDEX(tbl_Onsite[Qwilr Quote],IFERROR(MATCH(A235&amp;"",tbl_Onsite[Job Number],0),MATCH(IFERROR(A235+0,A235),tbl_Onsite[Job Number],0)))="","",INDEX(tbl_Onsite[Qwilr Quote],IFERROR(MATCH(A235&amp;"",tbl_Onsite[Job Number],0),MATCH(IFERROR(A235+0,A235),tbl_Onsite[Job Number],0)))),IFERROR(IF(IF(INDEX(tbl_Production[Current RMS No],IFERROR(MATCH(A235&amp;"",tbl_Production[Job Number],0),MATCH(IFERROR(A235+0,A235),tbl_Production[Job Number],0)))="",INDEX(tbl_Production[Qwilr Quote],IFERROR(MATCH(A235&amp;"",tbl_Production[Job Number],0),MATCH(IFERROR(A235+0,A235),tbl_Production[Job Number],0))),INDEX(tbl_Production[Current RMS No],IFERROR(MATCH(A235&amp;"",tbl_Production[Job Number],0),MATCH(IFERROR(A235+0,A235),tbl_Production[Job Number],0))))="","",IF(INDEX(tbl_Production[Current RMS No],IFERROR(MATCH(A235&amp;"",tbl_Production[Job Number],0),MATCH(IFERROR(A235+0,A235),tbl_Production[Job Number],0)))="",INDEX(tbl_Production[Qwilr Quote],IFERROR(MATCH(A235&amp;"",tbl_Production[Job Number],0),MATCH(IFERROR(A235+0,A235),tbl_Production[Job Number],0))),INDEX(tbl_Production[Current RMS No],IFERROR(MATCH(A235&amp;"",tbl_Production[Job Number],0),MATCH(IFERROR(A235+0,A235),tbl_Production[Job Number],0))))),IFERROR(IF(INDEX(tbl_Consulting[Qwilr Quote],IFERROR(MATCH(A235&amp;"",tbl_Consulting[Job Number],0),MATCH(IFERROR(A235+0,A235),tbl_Consulting[Job Number],0)))="","",INDEX(tbl_Consulting[Qwilr Quote],IFERROR(MATCH(A235&amp;"",tbl_Consulting[Job Number],0),MATCH(IFERROR(A235+0,A235),tbl_Consulting[Job Number],0)))),""))))</f>
        <v/>
      </c>
      <c r="AG235" s="26">
        <f>IF(AF235="","",IF(AND(LEFT(AF235,4)&lt;&gt;"http",IF(G235="Production",set_RMSBase,set_QwilrBase)=""),"",HYPERLINK(IF(LEFT(AF235,4)="http",AF235,IF(G235="Production",set_RMSBase,set_QwilrBase)&amp;AF235),"Open")))</f>
        <v/>
      </c>
      <c r="AH235" s="27">
        <f>IF(A235="","",IFERROR(INDEX(tbl_Production[Total Expense],IFERROR(MATCH(A235&amp;"",tbl_Production[Job Number],0),MATCH(IFERROR(A235+0,A235),tbl_Production[Job Number],0))),IFERROR(INDEX(tbl_Consulting[Total Expense],IFERROR(MATCH(A235&amp;"",tbl_Consulting[Job Number],0),MATCH(IFERROR(A235+0,A235),tbl_Consulting[Job Number],0))),0)))</f>
        <v/>
      </c>
      <c r="AI235" s="27">
        <f>IF(A235="","",AC235-N(AH235))</f>
        <v/>
      </c>
      <c r="AJ235" s="29">
        <f>IFERROR(AI235/AC235,"")</f>
        <v/>
      </c>
      <c r="AK235" s="26">
        <f>IF(A235="","",IFERROR(IF(INDEX(tbl_Onsite[Notes],IFERROR(MATCH(A235&amp;"",tbl_Onsite[Job Number],0),MATCH(IFERROR(A235+0,A235),tbl_Onsite[Job Number],0)))="","",INDEX(tbl_Onsite[Notes],IFERROR(MATCH(A235&amp;"",tbl_Onsite[Job Number],0),MATCH(IFERROR(A235+0,A235),tbl_Onsite[Job Number],0)))),IFERROR(IF(INDEX(tbl_Production[Notes],IFERROR(MATCH(A235&amp;"",tbl_Production[Job Number],0),MATCH(IFERROR(A235+0,A235),tbl_Production[Job Number],0)))="","",INDEX(tbl_Production[Notes],IFERROR(MATCH(A235&amp;"",tbl_Production[Job Number],0),MATCH(IFERROR(A235+0,A235),tbl_Production[Job Number],0)))),IFERROR(IF(INDEX(tbl_Consulting[Notes],IFERROR(MATCH(A235&amp;"",tbl_Consulting[Job Number],0),MATCH(IFERROR(A235+0,A235),tbl_Consulting[Job Number],0)))="","",INDEX(tbl_Consulting[Notes],IFERROR(MATCH(A235&amp;"",tbl_Consulting[Job Number],0),MATCH(IFERROR(A235+0,A235),tbl_Consulting[Job Number],0)))),""))))</f>
        <v/>
      </c>
    </row>
    <row r="236" ht="15" customHeight="1">
      <c r="A236" s="22" t="n"/>
      <c r="B236" s="22" t="n"/>
      <c r="C236" s="23" t="n"/>
      <c r="D236" s="22" t="n"/>
      <c r="E236" s="24" t="n"/>
      <c r="F236" s="25">
        <f>IF(C236="","",EOMONTH(C236,0))</f>
        <v/>
      </c>
      <c r="G236" s="26">
        <f>IF(A236="","",IF(COUNTIF(tbl_Onsite[Job Number],A236&amp;"")&gt;0,"Onsite",IF(COUNTIF(tbl_Production[Job Number],A236&amp;"")&gt;0,"Production",IF(COUNTIF(tbl_Consulting[Job Number],A236&amp;"")&gt;0,"Consulting","not set up yet"))))</f>
        <v/>
      </c>
      <c r="H236" s="26">
        <f>IF(A236="","",IF(COUNTIF(lst_Jobs,A236&amp;"")&gt;0,"OK","CHECK"))</f>
        <v/>
      </c>
      <c r="I236" s="26">
        <f>IF(A236="","",IFERROR(INDEX(lst_JobName,MATCH(A236&amp;"",lst_Jobs,0)),""))</f>
        <v/>
      </c>
      <c r="J236" s="26">
        <f>IF(A236="","",IFERROR(IF(INDEX(tbl_Onsite[Client],IFERROR(MATCH(A236&amp;"",tbl_Onsite[Job Number],0),MATCH(IFERROR(A236+0,A236),tbl_Onsite[Job Number],0)))="","",INDEX(tbl_Onsite[Client],IFERROR(MATCH(A236&amp;"",tbl_Onsite[Job Number],0),MATCH(IFERROR(A236+0,A236),tbl_Onsite[Job Number],0)))),IFERROR(IF(INDEX(tbl_Production[Client],IFERROR(MATCH(A236&amp;"",tbl_Production[Job Number],0),MATCH(IFERROR(A236+0,A236),tbl_Production[Job Number],0)))="","",INDEX(tbl_Production[Client],IFERROR(MATCH(A236&amp;"",tbl_Production[Job Number],0),MATCH(IFERROR(A236+0,A236),tbl_Production[Job Number],0)))),IFERROR(IF(INDEX(tbl_Consulting[Client],IFERROR(MATCH(A236&amp;"",tbl_Consulting[Job Number],0),MATCH(IFERROR(A236+0,A236),tbl_Consulting[Job Number],0)))="","",INDEX(tbl_Consulting[Client],IFERROR(MATCH(A236&amp;"",tbl_Consulting[Job Number],0),MATCH(IFERROR(A236+0,A236),tbl_Consulting[Job Number],0)))),""))))</f>
        <v/>
      </c>
      <c r="K236" s="26">
        <f>IF(A236="","",IFERROR(IF(INDEX(tbl_Onsite[Job Description],IFERROR(MATCH(A236&amp;"",tbl_Onsite[Job Number],0),MATCH(IFERROR(A236+0,A236),tbl_Onsite[Job Number],0)))="","",INDEX(tbl_Onsite[Job Description],IFERROR(MATCH(A236&amp;"",tbl_Onsite[Job Number],0),MATCH(IFERROR(A236+0,A236),tbl_Onsite[Job Number],0)))),IFERROR(IF(INDEX(tbl_Production[Job Description],IFERROR(MATCH(A236&amp;"",tbl_Production[Job Number],0),MATCH(IFERROR(A236+0,A236),tbl_Production[Job Number],0)))="","",INDEX(tbl_Production[Job Description],IFERROR(MATCH(A236&amp;"",tbl_Production[Job Number],0),MATCH(IFERROR(A236+0,A236),tbl_Production[Job Number],0)))),IFERROR(IF(INDEX(tbl_Consulting[Job Description],IFERROR(MATCH(A236&amp;"",tbl_Consulting[Job Number],0),MATCH(IFERROR(A236+0,A236),tbl_Consulting[Job Number],0)))="","",INDEX(tbl_Consulting[Job Description],IFERROR(MATCH(A236&amp;"",tbl_Consulting[Job Number],0),MATCH(IFERROR(A236+0,A236),tbl_Consulting[Job Number],0)))),""))))</f>
        <v/>
      </c>
      <c r="L236" s="26">
        <f>IF(A236="","",IFERROR(IF(INDEX(tbl_Onsite[Invoice Type],IFERROR(MATCH(A236&amp;"",tbl_Onsite[Job Number],0),MATCH(IFERROR(A236+0,A236),tbl_Onsite[Job Number],0)))="","",INDEX(tbl_Onsite[Invoice Type],IFERROR(MATCH(A236&amp;"",tbl_Onsite[Job Number],0),MATCH(IFERROR(A236+0,A236),tbl_Onsite[Job Number],0)))),IFERROR(IF(INDEX(tbl_Production[Invoice Type],IFERROR(MATCH(A236&amp;"",tbl_Production[Job Number],0),MATCH(IFERROR(A236+0,A236),tbl_Production[Job Number],0)))="","",INDEX(tbl_Production[Invoice Type],IFERROR(MATCH(A236&amp;"",tbl_Production[Job Number],0),MATCH(IFERROR(A236+0,A236),tbl_Production[Job Number],0)))),IFERROR(IF(INDEX(tbl_Consulting[Invoice Type],IFERROR(MATCH(A236&amp;"",tbl_Consulting[Job Number],0),MATCH(IFERROR(A236+0,A236),tbl_Consulting[Job Number],0)))="","",INDEX(tbl_Consulting[Invoice Type],IFERROR(MATCH(A236&amp;"",tbl_Consulting[Job Number],0),MATCH(IFERROR(A236+0,A236),tbl_Consulting[Job Number],0)))),""))))</f>
        <v/>
      </c>
      <c r="M236" s="26">
        <f>IF(A236="","",IF(IFERROR(IF(INDEX(tbl_Onsite[Tax Code],IFERROR(MATCH(A236&amp;"",tbl_Onsite[Job Number],0),MATCH(IFERROR(A236+0,A236),tbl_Onsite[Job Number],0)))="","",INDEX(tbl_Onsite[Tax Code],IFERROR(MATCH(A236&amp;"",tbl_Onsite[Job Number],0),MATCH(IFERROR(A236+0,A236),tbl_Onsite[Job Number],0)))),IFERROR(IF(INDEX(tbl_Production[Tax Code],IFERROR(MATCH(A236&amp;"",tbl_Production[Job Number],0),MATCH(IFERROR(A236+0,A236),tbl_Production[Job Number],0)))="","",INDEX(tbl_Production[Tax Code],IFERROR(MATCH(A236&amp;"",tbl_Production[Job Number],0),MATCH(IFERROR(A236+0,A236),tbl_Production[Job Number],0)))),IFERROR(IF(INDEX(tbl_Consulting[Tax Code],IFERROR(MATCH(A236&amp;"",tbl_Consulting[Job Number],0),MATCH(IFERROR(A236+0,A236),tbl_Consulting[Job Number],0)))="","",INDEX(tbl_Consulting[Tax Code],IFERROR(MATCH(A236&amp;"",tbl_Consulting[Job Number],0),MATCH(IFERROR(A236+0,A236),tbl_Consulting[Job Number],0)))),"")))="","GST 10%",IFERROR(IF(INDEX(tbl_Onsite[Tax Code],IFERROR(MATCH(A236&amp;"",tbl_Onsite[Job Number],0),MATCH(IFERROR(A236+0,A236),tbl_Onsite[Job Number],0)))="","",INDEX(tbl_Onsite[Tax Code],IFERROR(MATCH(A236&amp;"",tbl_Onsite[Job Number],0),MATCH(IFERROR(A236+0,A236),tbl_Onsite[Job Number],0)))),IFERROR(IF(INDEX(tbl_Production[Tax Code],IFERROR(MATCH(A236&amp;"",tbl_Production[Job Number],0),MATCH(IFERROR(A236+0,A236),tbl_Production[Job Number],0)))="","",INDEX(tbl_Production[Tax Code],IFERROR(MATCH(A236&amp;"",tbl_Production[Job Number],0),MATCH(IFERROR(A236+0,A236),tbl_Production[Job Number],0)))),IFERROR(IF(INDEX(tbl_Consulting[Tax Code],IFERROR(MATCH(A236&amp;"",tbl_Consulting[Job Number],0),MATCH(IFERROR(A236+0,A236),tbl_Consulting[Job Number],0)))="","",INDEX(tbl_Consulting[Tax Code],IFERROR(MATCH(A236&amp;"",tbl_Consulting[Job Number],0),MATCH(IFERROR(A236+0,A236),tbl_Consulting[Job Number],0)))),"")))))</f>
        <v/>
      </c>
      <c r="N236" s="26">
        <f>IF(D236="","",IFERROR(INDEX(lst_CCtoGL,MATCH(D236,lst_CCforGL,0)),""))</f>
        <v/>
      </c>
      <c r="O236" s="27">
        <f>IF(E236="","",IF(M236="GST 10%",ROUND(E236*set_GSTRate,2),0))</f>
        <v/>
      </c>
      <c r="P236" s="27">
        <f>IF(E236="","",E236+O236)</f>
        <v/>
      </c>
      <c r="Q236" s="27">
        <f>IF(A236="","",IFERROR(INDEX(tbl_Onsite[Expected Revenue Ex GST],IFERROR(MATCH(A236&amp;"",tbl_Onsite[Job Number],0),MATCH(IFERROR(A236+0,A236),tbl_Onsite[Job Number],0))),IFERROR(INDEX(tbl_Production[Expected Revenue Ex GST],IFERROR(MATCH(A236&amp;"",tbl_Production[Job Number],0),MATCH(IFERROR(A236+0,A236),tbl_Production[Job Number],0))),IFERROR(INDEX(tbl_Consulting[Expected Revenue Ex GST],IFERROR(MATCH(A236&amp;"",tbl_Consulting[Job Number],0),MATCH(IFERROR(A236+0,A236),tbl_Consulting[Job Number],0))),0))))</f>
        <v/>
      </c>
      <c r="R236" s="27">
        <f>IF(A236="","",SUMIFS(tbl_Finance[Ex GST],tbl_Finance[Job Number],A236&amp;""))</f>
        <v/>
      </c>
      <c r="S236" s="27">
        <f>IF(A236="","",Q236-R236)</f>
        <v/>
      </c>
      <c r="T236" s="26">
        <f>IF(A236="","",IF(Q236=0,"No dept value",IF(ROUND(S236,2)=0,"Agrees",IF(S236&gt;0,"Dept higher - to invoice","Xero higher - check dept"))))</f>
        <v/>
      </c>
      <c r="U236" s="22" t="n"/>
      <c r="V236" s="22" t="n"/>
      <c r="W236" s="23" t="n"/>
      <c r="X236" s="23" t="n"/>
      <c r="Y236" s="22" t="n"/>
      <c r="Z236" s="22" t="n"/>
      <c r="AA236" s="26">
        <f>IF(COUNTA(C236,A236,B236,E236)=0,"",IF(C236="","No date - sits outside every month",IF(A236="","No job number",IF(H236="CHECK","Job number is not in the Xero job list",IF(G236="not set up yet","No department has set this job up - nothing can pull through",IF(D236="","No cost centre",IF(AND(U236="Y",B236=""),"Marked posted to Xero but has no invoice number",IF(N236="","Cost centre has no revenue GL on the Lists sheet",IF(T236="Xero higher - check dept","Invoiced more than the department says the job is worth","")))))))))</f>
        <v/>
      </c>
      <c r="AB236" s="28">
        <f>IF(A236="","",COUNTIFS(tbl_Finance[Job Number],A236&amp;"",tbl_Finance[Ex GST],"&lt;&gt;"))</f>
        <v/>
      </c>
      <c r="AC236" s="27">
        <f>IF(A236="","",SUMIFS(tbl_Finance[Ex GST],tbl_Finance[Job Number],A236&amp;""))</f>
        <v/>
      </c>
      <c r="AD236" s="27">
        <f>IF(A236="","",SUMIFS(tbl_Finance[Ex GST],tbl_Finance[Job Number],A236&amp;"",tbl_Finance[Xero Invoice No],"&lt;&gt;"))</f>
        <v/>
      </c>
      <c r="AE236" s="27">
        <f>IF(A236="","",AC236-AD236)</f>
        <v/>
      </c>
      <c r="AF236" s="26">
        <f>IF(A236="","",IFERROR(IF(INDEX(tbl_Onsite[Qwilr Quote],IFERROR(MATCH(A236&amp;"",tbl_Onsite[Job Number],0),MATCH(IFERROR(A236+0,A236),tbl_Onsite[Job Number],0)))="","",INDEX(tbl_Onsite[Qwilr Quote],IFERROR(MATCH(A236&amp;"",tbl_Onsite[Job Number],0),MATCH(IFERROR(A236+0,A236),tbl_Onsite[Job Number],0)))),IFERROR(IF(IF(INDEX(tbl_Production[Current RMS No],IFERROR(MATCH(A236&amp;"",tbl_Production[Job Number],0),MATCH(IFERROR(A236+0,A236),tbl_Production[Job Number],0)))="",INDEX(tbl_Production[Qwilr Quote],IFERROR(MATCH(A236&amp;"",tbl_Production[Job Number],0),MATCH(IFERROR(A236+0,A236),tbl_Production[Job Number],0))),INDEX(tbl_Production[Current RMS No],IFERROR(MATCH(A236&amp;"",tbl_Production[Job Number],0),MATCH(IFERROR(A236+0,A236),tbl_Production[Job Number],0))))="","",IF(INDEX(tbl_Production[Current RMS No],IFERROR(MATCH(A236&amp;"",tbl_Production[Job Number],0),MATCH(IFERROR(A236+0,A236),tbl_Production[Job Number],0)))="",INDEX(tbl_Production[Qwilr Quote],IFERROR(MATCH(A236&amp;"",tbl_Production[Job Number],0),MATCH(IFERROR(A236+0,A236),tbl_Production[Job Number],0))),INDEX(tbl_Production[Current RMS No],IFERROR(MATCH(A236&amp;"",tbl_Production[Job Number],0),MATCH(IFERROR(A236+0,A236),tbl_Production[Job Number],0))))),IFERROR(IF(INDEX(tbl_Consulting[Qwilr Quote],IFERROR(MATCH(A236&amp;"",tbl_Consulting[Job Number],0),MATCH(IFERROR(A236+0,A236),tbl_Consulting[Job Number],0)))="","",INDEX(tbl_Consulting[Qwilr Quote],IFERROR(MATCH(A236&amp;"",tbl_Consulting[Job Number],0),MATCH(IFERROR(A236+0,A236),tbl_Consulting[Job Number],0)))),""))))</f>
        <v/>
      </c>
      <c r="AG236" s="26">
        <f>IF(AF236="","",IF(AND(LEFT(AF236,4)&lt;&gt;"http",IF(G236="Production",set_RMSBase,set_QwilrBase)=""),"",HYPERLINK(IF(LEFT(AF236,4)="http",AF236,IF(G236="Production",set_RMSBase,set_QwilrBase)&amp;AF236),"Open")))</f>
        <v/>
      </c>
      <c r="AH236" s="27">
        <f>IF(A236="","",IFERROR(INDEX(tbl_Production[Total Expense],IFERROR(MATCH(A236&amp;"",tbl_Production[Job Number],0),MATCH(IFERROR(A236+0,A236),tbl_Production[Job Number],0))),IFERROR(INDEX(tbl_Consulting[Total Expense],IFERROR(MATCH(A236&amp;"",tbl_Consulting[Job Number],0),MATCH(IFERROR(A236+0,A236),tbl_Consulting[Job Number],0))),0)))</f>
        <v/>
      </c>
      <c r="AI236" s="27">
        <f>IF(A236="","",AC236-N(AH236))</f>
        <v/>
      </c>
      <c r="AJ236" s="29">
        <f>IFERROR(AI236/AC236,"")</f>
        <v/>
      </c>
      <c r="AK236" s="26">
        <f>IF(A236="","",IFERROR(IF(INDEX(tbl_Onsite[Notes],IFERROR(MATCH(A236&amp;"",tbl_Onsite[Job Number],0),MATCH(IFERROR(A236+0,A236),tbl_Onsite[Job Number],0)))="","",INDEX(tbl_Onsite[Notes],IFERROR(MATCH(A236&amp;"",tbl_Onsite[Job Number],0),MATCH(IFERROR(A236+0,A236),tbl_Onsite[Job Number],0)))),IFERROR(IF(INDEX(tbl_Production[Notes],IFERROR(MATCH(A236&amp;"",tbl_Production[Job Number],0),MATCH(IFERROR(A236+0,A236),tbl_Production[Job Number],0)))="","",INDEX(tbl_Production[Notes],IFERROR(MATCH(A236&amp;"",tbl_Production[Job Number],0),MATCH(IFERROR(A236+0,A236),tbl_Production[Job Number],0)))),IFERROR(IF(INDEX(tbl_Consulting[Notes],IFERROR(MATCH(A236&amp;"",tbl_Consulting[Job Number],0),MATCH(IFERROR(A236+0,A236),tbl_Consulting[Job Number],0)))="","",INDEX(tbl_Consulting[Notes],IFERROR(MATCH(A236&amp;"",tbl_Consulting[Job Number],0),MATCH(IFERROR(A236+0,A236),tbl_Consulting[Job Number],0)))),""))))</f>
        <v/>
      </c>
    </row>
    <row r="237" ht="15" customHeight="1">
      <c r="A237" s="22" t="n"/>
      <c r="B237" s="22" t="n"/>
      <c r="C237" s="23" t="n"/>
      <c r="D237" s="22" t="n"/>
      <c r="E237" s="24" t="n"/>
      <c r="F237" s="25">
        <f>IF(C237="","",EOMONTH(C237,0))</f>
        <v/>
      </c>
      <c r="G237" s="26">
        <f>IF(A237="","",IF(COUNTIF(tbl_Onsite[Job Number],A237&amp;"")&gt;0,"Onsite",IF(COUNTIF(tbl_Production[Job Number],A237&amp;"")&gt;0,"Production",IF(COUNTIF(tbl_Consulting[Job Number],A237&amp;"")&gt;0,"Consulting","not set up yet"))))</f>
        <v/>
      </c>
      <c r="H237" s="26">
        <f>IF(A237="","",IF(COUNTIF(lst_Jobs,A237&amp;"")&gt;0,"OK","CHECK"))</f>
        <v/>
      </c>
      <c r="I237" s="26">
        <f>IF(A237="","",IFERROR(INDEX(lst_JobName,MATCH(A237&amp;"",lst_Jobs,0)),""))</f>
        <v/>
      </c>
      <c r="J237" s="26">
        <f>IF(A237="","",IFERROR(IF(INDEX(tbl_Onsite[Client],IFERROR(MATCH(A237&amp;"",tbl_Onsite[Job Number],0),MATCH(IFERROR(A237+0,A237),tbl_Onsite[Job Number],0)))="","",INDEX(tbl_Onsite[Client],IFERROR(MATCH(A237&amp;"",tbl_Onsite[Job Number],0),MATCH(IFERROR(A237+0,A237),tbl_Onsite[Job Number],0)))),IFERROR(IF(INDEX(tbl_Production[Client],IFERROR(MATCH(A237&amp;"",tbl_Production[Job Number],0),MATCH(IFERROR(A237+0,A237),tbl_Production[Job Number],0)))="","",INDEX(tbl_Production[Client],IFERROR(MATCH(A237&amp;"",tbl_Production[Job Number],0),MATCH(IFERROR(A237+0,A237),tbl_Production[Job Number],0)))),IFERROR(IF(INDEX(tbl_Consulting[Client],IFERROR(MATCH(A237&amp;"",tbl_Consulting[Job Number],0),MATCH(IFERROR(A237+0,A237),tbl_Consulting[Job Number],0)))="","",INDEX(tbl_Consulting[Client],IFERROR(MATCH(A237&amp;"",tbl_Consulting[Job Number],0),MATCH(IFERROR(A237+0,A237),tbl_Consulting[Job Number],0)))),""))))</f>
        <v/>
      </c>
      <c r="K237" s="26">
        <f>IF(A237="","",IFERROR(IF(INDEX(tbl_Onsite[Job Description],IFERROR(MATCH(A237&amp;"",tbl_Onsite[Job Number],0),MATCH(IFERROR(A237+0,A237),tbl_Onsite[Job Number],0)))="","",INDEX(tbl_Onsite[Job Description],IFERROR(MATCH(A237&amp;"",tbl_Onsite[Job Number],0),MATCH(IFERROR(A237+0,A237),tbl_Onsite[Job Number],0)))),IFERROR(IF(INDEX(tbl_Production[Job Description],IFERROR(MATCH(A237&amp;"",tbl_Production[Job Number],0),MATCH(IFERROR(A237+0,A237),tbl_Production[Job Number],0)))="","",INDEX(tbl_Production[Job Description],IFERROR(MATCH(A237&amp;"",tbl_Production[Job Number],0),MATCH(IFERROR(A237+0,A237),tbl_Production[Job Number],0)))),IFERROR(IF(INDEX(tbl_Consulting[Job Description],IFERROR(MATCH(A237&amp;"",tbl_Consulting[Job Number],0),MATCH(IFERROR(A237+0,A237),tbl_Consulting[Job Number],0)))="","",INDEX(tbl_Consulting[Job Description],IFERROR(MATCH(A237&amp;"",tbl_Consulting[Job Number],0),MATCH(IFERROR(A237+0,A237),tbl_Consulting[Job Number],0)))),""))))</f>
        <v/>
      </c>
      <c r="L237" s="26">
        <f>IF(A237="","",IFERROR(IF(INDEX(tbl_Onsite[Invoice Type],IFERROR(MATCH(A237&amp;"",tbl_Onsite[Job Number],0),MATCH(IFERROR(A237+0,A237),tbl_Onsite[Job Number],0)))="","",INDEX(tbl_Onsite[Invoice Type],IFERROR(MATCH(A237&amp;"",tbl_Onsite[Job Number],0),MATCH(IFERROR(A237+0,A237),tbl_Onsite[Job Number],0)))),IFERROR(IF(INDEX(tbl_Production[Invoice Type],IFERROR(MATCH(A237&amp;"",tbl_Production[Job Number],0),MATCH(IFERROR(A237+0,A237),tbl_Production[Job Number],0)))="","",INDEX(tbl_Production[Invoice Type],IFERROR(MATCH(A237&amp;"",tbl_Production[Job Number],0),MATCH(IFERROR(A237+0,A237),tbl_Production[Job Number],0)))),IFERROR(IF(INDEX(tbl_Consulting[Invoice Type],IFERROR(MATCH(A237&amp;"",tbl_Consulting[Job Number],0),MATCH(IFERROR(A237+0,A237),tbl_Consulting[Job Number],0)))="","",INDEX(tbl_Consulting[Invoice Type],IFERROR(MATCH(A237&amp;"",tbl_Consulting[Job Number],0),MATCH(IFERROR(A237+0,A237),tbl_Consulting[Job Number],0)))),""))))</f>
        <v/>
      </c>
      <c r="M237" s="26">
        <f>IF(A237="","",IF(IFERROR(IF(INDEX(tbl_Onsite[Tax Code],IFERROR(MATCH(A237&amp;"",tbl_Onsite[Job Number],0),MATCH(IFERROR(A237+0,A237),tbl_Onsite[Job Number],0)))="","",INDEX(tbl_Onsite[Tax Code],IFERROR(MATCH(A237&amp;"",tbl_Onsite[Job Number],0),MATCH(IFERROR(A237+0,A237),tbl_Onsite[Job Number],0)))),IFERROR(IF(INDEX(tbl_Production[Tax Code],IFERROR(MATCH(A237&amp;"",tbl_Production[Job Number],0),MATCH(IFERROR(A237+0,A237),tbl_Production[Job Number],0)))="","",INDEX(tbl_Production[Tax Code],IFERROR(MATCH(A237&amp;"",tbl_Production[Job Number],0),MATCH(IFERROR(A237+0,A237),tbl_Production[Job Number],0)))),IFERROR(IF(INDEX(tbl_Consulting[Tax Code],IFERROR(MATCH(A237&amp;"",tbl_Consulting[Job Number],0),MATCH(IFERROR(A237+0,A237),tbl_Consulting[Job Number],0)))="","",INDEX(tbl_Consulting[Tax Code],IFERROR(MATCH(A237&amp;"",tbl_Consulting[Job Number],0),MATCH(IFERROR(A237+0,A237),tbl_Consulting[Job Number],0)))),"")))="","GST 10%",IFERROR(IF(INDEX(tbl_Onsite[Tax Code],IFERROR(MATCH(A237&amp;"",tbl_Onsite[Job Number],0),MATCH(IFERROR(A237+0,A237),tbl_Onsite[Job Number],0)))="","",INDEX(tbl_Onsite[Tax Code],IFERROR(MATCH(A237&amp;"",tbl_Onsite[Job Number],0),MATCH(IFERROR(A237+0,A237),tbl_Onsite[Job Number],0)))),IFERROR(IF(INDEX(tbl_Production[Tax Code],IFERROR(MATCH(A237&amp;"",tbl_Production[Job Number],0),MATCH(IFERROR(A237+0,A237),tbl_Production[Job Number],0)))="","",INDEX(tbl_Production[Tax Code],IFERROR(MATCH(A237&amp;"",tbl_Production[Job Number],0),MATCH(IFERROR(A237+0,A237),tbl_Production[Job Number],0)))),IFERROR(IF(INDEX(tbl_Consulting[Tax Code],IFERROR(MATCH(A237&amp;"",tbl_Consulting[Job Number],0),MATCH(IFERROR(A237+0,A237),tbl_Consulting[Job Number],0)))="","",INDEX(tbl_Consulting[Tax Code],IFERROR(MATCH(A237&amp;"",tbl_Consulting[Job Number],0),MATCH(IFERROR(A237+0,A237),tbl_Consulting[Job Number],0)))),"")))))</f>
        <v/>
      </c>
      <c r="N237" s="26">
        <f>IF(D237="","",IFERROR(INDEX(lst_CCtoGL,MATCH(D237,lst_CCforGL,0)),""))</f>
        <v/>
      </c>
      <c r="O237" s="27">
        <f>IF(E237="","",IF(M237="GST 10%",ROUND(E237*set_GSTRate,2),0))</f>
        <v/>
      </c>
      <c r="P237" s="27">
        <f>IF(E237="","",E237+O237)</f>
        <v/>
      </c>
      <c r="Q237" s="27">
        <f>IF(A237="","",IFERROR(INDEX(tbl_Onsite[Expected Revenue Ex GST],IFERROR(MATCH(A237&amp;"",tbl_Onsite[Job Number],0),MATCH(IFERROR(A237+0,A237),tbl_Onsite[Job Number],0))),IFERROR(INDEX(tbl_Production[Expected Revenue Ex GST],IFERROR(MATCH(A237&amp;"",tbl_Production[Job Number],0),MATCH(IFERROR(A237+0,A237),tbl_Production[Job Number],0))),IFERROR(INDEX(tbl_Consulting[Expected Revenue Ex GST],IFERROR(MATCH(A237&amp;"",tbl_Consulting[Job Number],0),MATCH(IFERROR(A237+0,A237),tbl_Consulting[Job Number],0))),0))))</f>
        <v/>
      </c>
      <c r="R237" s="27">
        <f>IF(A237="","",SUMIFS(tbl_Finance[Ex GST],tbl_Finance[Job Number],A237&amp;""))</f>
        <v/>
      </c>
      <c r="S237" s="27">
        <f>IF(A237="","",Q237-R237)</f>
        <v/>
      </c>
      <c r="T237" s="26">
        <f>IF(A237="","",IF(Q237=0,"No dept value",IF(ROUND(S237,2)=0,"Agrees",IF(S237&gt;0,"Dept higher - to invoice","Xero higher - check dept"))))</f>
        <v/>
      </c>
      <c r="U237" s="22" t="n"/>
      <c r="V237" s="22" t="n"/>
      <c r="W237" s="23" t="n"/>
      <c r="X237" s="23" t="n"/>
      <c r="Y237" s="22" t="n"/>
      <c r="Z237" s="22" t="n"/>
      <c r="AA237" s="26">
        <f>IF(COUNTA(C237,A237,B237,E237)=0,"",IF(C237="","No date - sits outside every month",IF(A237="","No job number",IF(H237="CHECK","Job number is not in the Xero job list",IF(G237="not set up yet","No department has set this job up - nothing can pull through",IF(D237="","No cost centre",IF(AND(U237="Y",B237=""),"Marked posted to Xero but has no invoice number",IF(N237="","Cost centre has no revenue GL on the Lists sheet",IF(T237="Xero higher - check dept","Invoiced more than the department says the job is worth","")))))))))</f>
        <v/>
      </c>
      <c r="AB237" s="28">
        <f>IF(A237="","",COUNTIFS(tbl_Finance[Job Number],A237&amp;"",tbl_Finance[Ex GST],"&lt;&gt;"))</f>
        <v/>
      </c>
      <c r="AC237" s="27">
        <f>IF(A237="","",SUMIFS(tbl_Finance[Ex GST],tbl_Finance[Job Number],A237&amp;""))</f>
        <v/>
      </c>
      <c r="AD237" s="27">
        <f>IF(A237="","",SUMIFS(tbl_Finance[Ex GST],tbl_Finance[Job Number],A237&amp;"",tbl_Finance[Xero Invoice No],"&lt;&gt;"))</f>
        <v/>
      </c>
      <c r="AE237" s="27">
        <f>IF(A237="","",AC237-AD237)</f>
        <v/>
      </c>
      <c r="AF237" s="26">
        <f>IF(A237="","",IFERROR(IF(INDEX(tbl_Onsite[Qwilr Quote],IFERROR(MATCH(A237&amp;"",tbl_Onsite[Job Number],0),MATCH(IFERROR(A237+0,A237),tbl_Onsite[Job Number],0)))="","",INDEX(tbl_Onsite[Qwilr Quote],IFERROR(MATCH(A237&amp;"",tbl_Onsite[Job Number],0),MATCH(IFERROR(A237+0,A237),tbl_Onsite[Job Number],0)))),IFERROR(IF(IF(INDEX(tbl_Production[Current RMS No],IFERROR(MATCH(A237&amp;"",tbl_Production[Job Number],0),MATCH(IFERROR(A237+0,A237),tbl_Production[Job Number],0)))="",INDEX(tbl_Production[Qwilr Quote],IFERROR(MATCH(A237&amp;"",tbl_Production[Job Number],0),MATCH(IFERROR(A237+0,A237),tbl_Production[Job Number],0))),INDEX(tbl_Production[Current RMS No],IFERROR(MATCH(A237&amp;"",tbl_Production[Job Number],0),MATCH(IFERROR(A237+0,A237),tbl_Production[Job Number],0))))="","",IF(INDEX(tbl_Production[Current RMS No],IFERROR(MATCH(A237&amp;"",tbl_Production[Job Number],0),MATCH(IFERROR(A237+0,A237),tbl_Production[Job Number],0)))="",INDEX(tbl_Production[Qwilr Quote],IFERROR(MATCH(A237&amp;"",tbl_Production[Job Number],0),MATCH(IFERROR(A237+0,A237),tbl_Production[Job Number],0))),INDEX(tbl_Production[Current RMS No],IFERROR(MATCH(A237&amp;"",tbl_Production[Job Number],0),MATCH(IFERROR(A237+0,A237),tbl_Production[Job Number],0))))),IFERROR(IF(INDEX(tbl_Consulting[Qwilr Quote],IFERROR(MATCH(A237&amp;"",tbl_Consulting[Job Number],0),MATCH(IFERROR(A237+0,A237),tbl_Consulting[Job Number],0)))="","",INDEX(tbl_Consulting[Qwilr Quote],IFERROR(MATCH(A237&amp;"",tbl_Consulting[Job Number],0),MATCH(IFERROR(A237+0,A237),tbl_Consulting[Job Number],0)))),""))))</f>
        <v/>
      </c>
      <c r="AG237" s="26">
        <f>IF(AF237="","",IF(AND(LEFT(AF237,4)&lt;&gt;"http",IF(G237="Production",set_RMSBase,set_QwilrBase)=""),"",HYPERLINK(IF(LEFT(AF237,4)="http",AF237,IF(G237="Production",set_RMSBase,set_QwilrBase)&amp;AF237),"Open")))</f>
        <v/>
      </c>
      <c r="AH237" s="27">
        <f>IF(A237="","",IFERROR(INDEX(tbl_Production[Total Expense],IFERROR(MATCH(A237&amp;"",tbl_Production[Job Number],0),MATCH(IFERROR(A237+0,A237),tbl_Production[Job Number],0))),IFERROR(INDEX(tbl_Consulting[Total Expense],IFERROR(MATCH(A237&amp;"",tbl_Consulting[Job Number],0),MATCH(IFERROR(A237+0,A237),tbl_Consulting[Job Number],0))),0)))</f>
        <v/>
      </c>
      <c r="AI237" s="27">
        <f>IF(A237="","",AC237-N(AH237))</f>
        <v/>
      </c>
      <c r="AJ237" s="29">
        <f>IFERROR(AI237/AC237,"")</f>
        <v/>
      </c>
      <c r="AK237" s="26">
        <f>IF(A237="","",IFERROR(IF(INDEX(tbl_Onsite[Notes],IFERROR(MATCH(A237&amp;"",tbl_Onsite[Job Number],0),MATCH(IFERROR(A237+0,A237),tbl_Onsite[Job Number],0)))="","",INDEX(tbl_Onsite[Notes],IFERROR(MATCH(A237&amp;"",tbl_Onsite[Job Number],0),MATCH(IFERROR(A237+0,A237),tbl_Onsite[Job Number],0)))),IFERROR(IF(INDEX(tbl_Production[Notes],IFERROR(MATCH(A237&amp;"",tbl_Production[Job Number],0),MATCH(IFERROR(A237+0,A237),tbl_Production[Job Number],0)))="","",INDEX(tbl_Production[Notes],IFERROR(MATCH(A237&amp;"",tbl_Production[Job Number],0),MATCH(IFERROR(A237+0,A237),tbl_Production[Job Number],0)))),IFERROR(IF(INDEX(tbl_Consulting[Notes],IFERROR(MATCH(A237&amp;"",tbl_Consulting[Job Number],0),MATCH(IFERROR(A237+0,A237),tbl_Consulting[Job Number],0)))="","",INDEX(tbl_Consulting[Notes],IFERROR(MATCH(A237&amp;"",tbl_Consulting[Job Number],0),MATCH(IFERROR(A237+0,A237),tbl_Consulting[Job Number],0)))),""))))</f>
        <v/>
      </c>
    </row>
    <row r="238" ht="15" customHeight="1">
      <c r="A238" s="22" t="n"/>
      <c r="B238" s="22" t="n"/>
      <c r="C238" s="23" t="n"/>
      <c r="D238" s="22" t="n"/>
      <c r="E238" s="24" t="n"/>
      <c r="F238" s="25">
        <f>IF(C238="","",EOMONTH(C238,0))</f>
        <v/>
      </c>
      <c r="G238" s="26">
        <f>IF(A238="","",IF(COUNTIF(tbl_Onsite[Job Number],A238&amp;"")&gt;0,"Onsite",IF(COUNTIF(tbl_Production[Job Number],A238&amp;"")&gt;0,"Production",IF(COUNTIF(tbl_Consulting[Job Number],A238&amp;"")&gt;0,"Consulting","not set up yet"))))</f>
        <v/>
      </c>
      <c r="H238" s="26">
        <f>IF(A238="","",IF(COUNTIF(lst_Jobs,A238&amp;"")&gt;0,"OK","CHECK"))</f>
        <v/>
      </c>
      <c r="I238" s="26">
        <f>IF(A238="","",IFERROR(INDEX(lst_JobName,MATCH(A238&amp;"",lst_Jobs,0)),""))</f>
        <v/>
      </c>
      <c r="J238" s="26">
        <f>IF(A238="","",IFERROR(IF(INDEX(tbl_Onsite[Client],IFERROR(MATCH(A238&amp;"",tbl_Onsite[Job Number],0),MATCH(IFERROR(A238+0,A238),tbl_Onsite[Job Number],0)))="","",INDEX(tbl_Onsite[Client],IFERROR(MATCH(A238&amp;"",tbl_Onsite[Job Number],0),MATCH(IFERROR(A238+0,A238),tbl_Onsite[Job Number],0)))),IFERROR(IF(INDEX(tbl_Production[Client],IFERROR(MATCH(A238&amp;"",tbl_Production[Job Number],0),MATCH(IFERROR(A238+0,A238),tbl_Production[Job Number],0)))="","",INDEX(tbl_Production[Client],IFERROR(MATCH(A238&amp;"",tbl_Production[Job Number],0),MATCH(IFERROR(A238+0,A238),tbl_Production[Job Number],0)))),IFERROR(IF(INDEX(tbl_Consulting[Client],IFERROR(MATCH(A238&amp;"",tbl_Consulting[Job Number],0),MATCH(IFERROR(A238+0,A238),tbl_Consulting[Job Number],0)))="","",INDEX(tbl_Consulting[Client],IFERROR(MATCH(A238&amp;"",tbl_Consulting[Job Number],0),MATCH(IFERROR(A238+0,A238),tbl_Consulting[Job Number],0)))),""))))</f>
        <v/>
      </c>
      <c r="K238" s="26">
        <f>IF(A238="","",IFERROR(IF(INDEX(tbl_Onsite[Job Description],IFERROR(MATCH(A238&amp;"",tbl_Onsite[Job Number],0),MATCH(IFERROR(A238+0,A238),tbl_Onsite[Job Number],0)))="","",INDEX(tbl_Onsite[Job Description],IFERROR(MATCH(A238&amp;"",tbl_Onsite[Job Number],0),MATCH(IFERROR(A238+0,A238),tbl_Onsite[Job Number],0)))),IFERROR(IF(INDEX(tbl_Production[Job Description],IFERROR(MATCH(A238&amp;"",tbl_Production[Job Number],0),MATCH(IFERROR(A238+0,A238),tbl_Production[Job Number],0)))="","",INDEX(tbl_Production[Job Description],IFERROR(MATCH(A238&amp;"",tbl_Production[Job Number],0),MATCH(IFERROR(A238+0,A238),tbl_Production[Job Number],0)))),IFERROR(IF(INDEX(tbl_Consulting[Job Description],IFERROR(MATCH(A238&amp;"",tbl_Consulting[Job Number],0),MATCH(IFERROR(A238+0,A238),tbl_Consulting[Job Number],0)))="","",INDEX(tbl_Consulting[Job Description],IFERROR(MATCH(A238&amp;"",tbl_Consulting[Job Number],0),MATCH(IFERROR(A238+0,A238),tbl_Consulting[Job Number],0)))),""))))</f>
        <v/>
      </c>
      <c r="L238" s="26">
        <f>IF(A238="","",IFERROR(IF(INDEX(tbl_Onsite[Invoice Type],IFERROR(MATCH(A238&amp;"",tbl_Onsite[Job Number],0),MATCH(IFERROR(A238+0,A238),tbl_Onsite[Job Number],0)))="","",INDEX(tbl_Onsite[Invoice Type],IFERROR(MATCH(A238&amp;"",tbl_Onsite[Job Number],0),MATCH(IFERROR(A238+0,A238),tbl_Onsite[Job Number],0)))),IFERROR(IF(INDEX(tbl_Production[Invoice Type],IFERROR(MATCH(A238&amp;"",tbl_Production[Job Number],0),MATCH(IFERROR(A238+0,A238),tbl_Production[Job Number],0)))="","",INDEX(tbl_Production[Invoice Type],IFERROR(MATCH(A238&amp;"",tbl_Production[Job Number],0),MATCH(IFERROR(A238+0,A238),tbl_Production[Job Number],0)))),IFERROR(IF(INDEX(tbl_Consulting[Invoice Type],IFERROR(MATCH(A238&amp;"",tbl_Consulting[Job Number],0),MATCH(IFERROR(A238+0,A238),tbl_Consulting[Job Number],0)))="","",INDEX(tbl_Consulting[Invoice Type],IFERROR(MATCH(A238&amp;"",tbl_Consulting[Job Number],0),MATCH(IFERROR(A238+0,A238),tbl_Consulting[Job Number],0)))),""))))</f>
        <v/>
      </c>
      <c r="M238" s="26">
        <f>IF(A238="","",IF(IFERROR(IF(INDEX(tbl_Onsite[Tax Code],IFERROR(MATCH(A238&amp;"",tbl_Onsite[Job Number],0),MATCH(IFERROR(A238+0,A238),tbl_Onsite[Job Number],0)))="","",INDEX(tbl_Onsite[Tax Code],IFERROR(MATCH(A238&amp;"",tbl_Onsite[Job Number],0),MATCH(IFERROR(A238+0,A238),tbl_Onsite[Job Number],0)))),IFERROR(IF(INDEX(tbl_Production[Tax Code],IFERROR(MATCH(A238&amp;"",tbl_Production[Job Number],0),MATCH(IFERROR(A238+0,A238),tbl_Production[Job Number],0)))="","",INDEX(tbl_Production[Tax Code],IFERROR(MATCH(A238&amp;"",tbl_Production[Job Number],0),MATCH(IFERROR(A238+0,A238),tbl_Production[Job Number],0)))),IFERROR(IF(INDEX(tbl_Consulting[Tax Code],IFERROR(MATCH(A238&amp;"",tbl_Consulting[Job Number],0),MATCH(IFERROR(A238+0,A238),tbl_Consulting[Job Number],0)))="","",INDEX(tbl_Consulting[Tax Code],IFERROR(MATCH(A238&amp;"",tbl_Consulting[Job Number],0),MATCH(IFERROR(A238+0,A238),tbl_Consulting[Job Number],0)))),"")))="","GST 10%",IFERROR(IF(INDEX(tbl_Onsite[Tax Code],IFERROR(MATCH(A238&amp;"",tbl_Onsite[Job Number],0),MATCH(IFERROR(A238+0,A238),tbl_Onsite[Job Number],0)))="","",INDEX(tbl_Onsite[Tax Code],IFERROR(MATCH(A238&amp;"",tbl_Onsite[Job Number],0),MATCH(IFERROR(A238+0,A238),tbl_Onsite[Job Number],0)))),IFERROR(IF(INDEX(tbl_Production[Tax Code],IFERROR(MATCH(A238&amp;"",tbl_Production[Job Number],0),MATCH(IFERROR(A238+0,A238),tbl_Production[Job Number],0)))="","",INDEX(tbl_Production[Tax Code],IFERROR(MATCH(A238&amp;"",tbl_Production[Job Number],0),MATCH(IFERROR(A238+0,A238),tbl_Production[Job Number],0)))),IFERROR(IF(INDEX(tbl_Consulting[Tax Code],IFERROR(MATCH(A238&amp;"",tbl_Consulting[Job Number],0),MATCH(IFERROR(A238+0,A238),tbl_Consulting[Job Number],0)))="","",INDEX(tbl_Consulting[Tax Code],IFERROR(MATCH(A238&amp;"",tbl_Consulting[Job Number],0),MATCH(IFERROR(A238+0,A238),tbl_Consulting[Job Number],0)))),"")))))</f>
        <v/>
      </c>
      <c r="N238" s="26">
        <f>IF(D238="","",IFERROR(INDEX(lst_CCtoGL,MATCH(D238,lst_CCforGL,0)),""))</f>
        <v/>
      </c>
      <c r="O238" s="27">
        <f>IF(E238="","",IF(M238="GST 10%",ROUND(E238*set_GSTRate,2),0))</f>
        <v/>
      </c>
      <c r="P238" s="27">
        <f>IF(E238="","",E238+O238)</f>
        <v/>
      </c>
      <c r="Q238" s="27">
        <f>IF(A238="","",IFERROR(INDEX(tbl_Onsite[Expected Revenue Ex GST],IFERROR(MATCH(A238&amp;"",tbl_Onsite[Job Number],0),MATCH(IFERROR(A238+0,A238),tbl_Onsite[Job Number],0))),IFERROR(INDEX(tbl_Production[Expected Revenue Ex GST],IFERROR(MATCH(A238&amp;"",tbl_Production[Job Number],0),MATCH(IFERROR(A238+0,A238),tbl_Production[Job Number],0))),IFERROR(INDEX(tbl_Consulting[Expected Revenue Ex GST],IFERROR(MATCH(A238&amp;"",tbl_Consulting[Job Number],0),MATCH(IFERROR(A238+0,A238),tbl_Consulting[Job Number],0))),0))))</f>
        <v/>
      </c>
      <c r="R238" s="27">
        <f>IF(A238="","",SUMIFS(tbl_Finance[Ex GST],tbl_Finance[Job Number],A238&amp;""))</f>
        <v/>
      </c>
      <c r="S238" s="27">
        <f>IF(A238="","",Q238-R238)</f>
        <v/>
      </c>
      <c r="T238" s="26">
        <f>IF(A238="","",IF(Q238=0,"No dept value",IF(ROUND(S238,2)=0,"Agrees",IF(S238&gt;0,"Dept higher - to invoice","Xero higher - check dept"))))</f>
        <v/>
      </c>
      <c r="U238" s="22" t="n"/>
      <c r="V238" s="22" t="n"/>
      <c r="W238" s="23" t="n"/>
      <c r="X238" s="23" t="n"/>
      <c r="Y238" s="22" t="n"/>
      <c r="Z238" s="22" t="n"/>
      <c r="AA238" s="26">
        <f>IF(COUNTA(C238,A238,B238,E238)=0,"",IF(C238="","No date - sits outside every month",IF(A238="","No job number",IF(H238="CHECK","Job number is not in the Xero job list",IF(G238="not set up yet","No department has set this job up - nothing can pull through",IF(D238="","No cost centre",IF(AND(U238="Y",B238=""),"Marked posted to Xero but has no invoice number",IF(N238="","Cost centre has no revenue GL on the Lists sheet",IF(T238="Xero higher - check dept","Invoiced more than the department says the job is worth","")))))))))</f>
        <v/>
      </c>
      <c r="AB238" s="28">
        <f>IF(A238="","",COUNTIFS(tbl_Finance[Job Number],A238&amp;"",tbl_Finance[Ex GST],"&lt;&gt;"))</f>
        <v/>
      </c>
      <c r="AC238" s="27">
        <f>IF(A238="","",SUMIFS(tbl_Finance[Ex GST],tbl_Finance[Job Number],A238&amp;""))</f>
        <v/>
      </c>
      <c r="AD238" s="27">
        <f>IF(A238="","",SUMIFS(tbl_Finance[Ex GST],tbl_Finance[Job Number],A238&amp;"",tbl_Finance[Xero Invoice No],"&lt;&gt;"))</f>
        <v/>
      </c>
      <c r="AE238" s="27">
        <f>IF(A238="","",AC238-AD238)</f>
        <v/>
      </c>
      <c r="AF238" s="26">
        <f>IF(A238="","",IFERROR(IF(INDEX(tbl_Onsite[Qwilr Quote],IFERROR(MATCH(A238&amp;"",tbl_Onsite[Job Number],0),MATCH(IFERROR(A238+0,A238),tbl_Onsite[Job Number],0)))="","",INDEX(tbl_Onsite[Qwilr Quote],IFERROR(MATCH(A238&amp;"",tbl_Onsite[Job Number],0),MATCH(IFERROR(A238+0,A238),tbl_Onsite[Job Number],0)))),IFERROR(IF(IF(INDEX(tbl_Production[Current RMS No],IFERROR(MATCH(A238&amp;"",tbl_Production[Job Number],0),MATCH(IFERROR(A238+0,A238),tbl_Production[Job Number],0)))="",INDEX(tbl_Production[Qwilr Quote],IFERROR(MATCH(A238&amp;"",tbl_Production[Job Number],0),MATCH(IFERROR(A238+0,A238),tbl_Production[Job Number],0))),INDEX(tbl_Production[Current RMS No],IFERROR(MATCH(A238&amp;"",tbl_Production[Job Number],0),MATCH(IFERROR(A238+0,A238),tbl_Production[Job Number],0))))="","",IF(INDEX(tbl_Production[Current RMS No],IFERROR(MATCH(A238&amp;"",tbl_Production[Job Number],0),MATCH(IFERROR(A238+0,A238),tbl_Production[Job Number],0)))="",INDEX(tbl_Production[Qwilr Quote],IFERROR(MATCH(A238&amp;"",tbl_Production[Job Number],0),MATCH(IFERROR(A238+0,A238),tbl_Production[Job Number],0))),INDEX(tbl_Production[Current RMS No],IFERROR(MATCH(A238&amp;"",tbl_Production[Job Number],0),MATCH(IFERROR(A238+0,A238),tbl_Production[Job Number],0))))),IFERROR(IF(INDEX(tbl_Consulting[Qwilr Quote],IFERROR(MATCH(A238&amp;"",tbl_Consulting[Job Number],0),MATCH(IFERROR(A238+0,A238),tbl_Consulting[Job Number],0)))="","",INDEX(tbl_Consulting[Qwilr Quote],IFERROR(MATCH(A238&amp;"",tbl_Consulting[Job Number],0),MATCH(IFERROR(A238+0,A238),tbl_Consulting[Job Number],0)))),""))))</f>
        <v/>
      </c>
      <c r="AG238" s="26">
        <f>IF(AF238="","",IF(AND(LEFT(AF238,4)&lt;&gt;"http",IF(G238="Production",set_RMSBase,set_QwilrBase)=""),"",HYPERLINK(IF(LEFT(AF238,4)="http",AF238,IF(G238="Production",set_RMSBase,set_QwilrBase)&amp;AF238),"Open")))</f>
        <v/>
      </c>
      <c r="AH238" s="27">
        <f>IF(A238="","",IFERROR(INDEX(tbl_Production[Total Expense],IFERROR(MATCH(A238&amp;"",tbl_Production[Job Number],0),MATCH(IFERROR(A238+0,A238),tbl_Production[Job Number],0))),IFERROR(INDEX(tbl_Consulting[Total Expense],IFERROR(MATCH(A238&amp;"",tbl_Consulting[Job Number],0),MATCH(IFERROR(A238+0,A238),tbl_Consulting[Job Number],0))),0)))</f>
        <v/>
      </c>
      <c r="AI238" s="27">
        <f>IF(A238="","",AC238-N(AH238))</f>
        <v/>
      </c>
      <c r="AJ238" s="29">
        <f>IFERROR(AI238/AC238,"")</f>
        <v/>
      </c>
      <c r="AK238" s="26">
        <f>IF(A238="","",IFERROR(IF(INDEX(tbl_Onsite[Notes],IFERROR(MATCH(A238&amp;"",tbl_Onsite[Job Number],0),MATCH(IFERROR(A238+0,A238),tbl_Onsite[Job Number],0)))="","",INDEX(tbl_Onsite[Notes],IFERROR(MATCH(A238&amp;"",tbl_Onsite[Job Number],0),MATCH(IFERROR(A238+0,A238),tbl_Onsite[Job Number],0)))),IFERROR(IF(INDEX(tbl_Production[Notes],IFERROR(MATCH(A238&amp;"",tbl_Production[Job Number],0),MATCH(IFERROR(A238+0,A238),tbl_Production[Job Number],0)))="","",INDEX(tbl_Production[Notes],IFERROR(MATCH(A238&amp;"",tbl_Production[Job Number],0),MATCH(IFERROR(A238+0,A238),tbl_Production[Job Number],0)))),IFERROR(IF(INDEX(tbl_Consulting[Notes],IFERROR(MATCH(A238&amp;"",tbl_Consulting[Job Number],0),MATCH(IFERROR(A238+0,A238),tbl_Consulting[Job Number],0)))="","",INDEX(tbl_Consulting[Notes],IFERROR(MATCH(A238&amp;"",tbl_Consulting[Job Number],0),MATCH(IFERROR(A238+0,A238),tbl_Consulting[Job Number],0)))),""))))</f>
        <v/>
      </c>
    </row>
    <row r="239" ht="15" customHeight="1">
      <c r="A239" s="22" t="n"/>
      <c r="B239" s="22" t="n"/>
      <c r="C239" s="23" t="n"/>
      <c r="D239" s="22" t="n"/>
      <c r="E239" s="24" t="n"/>
      <c r="F239" s="25">
        <f>IF(C239="","",EOMONTH(C239,0))</f>
        <v/>
      </c>
      <c r="G239" s="26">
        <f>IF(A239="","",IF(COUNTIF(tbl_Onsite[Job Number],A239&amp;"")&gt;0,"Onsite",IF(COUNTIF(tbl_Production[Job Number],A239&amp;"")&gt;0,"Production",IF(COUNTIF(tbl_Consulting[Job Number],A239&amp;"")&gt;0,"Consulting","not set up yet"))))</f>
        <v/>
      </c>
      <c r="H239" s="26">
        <f>IF(A239="","",IF(COUNTIF(lst_Jobs,A239&amp;"")&gt;0,"OK","CHECK"))</f>
        <v/>
      </c>
      <c r="I239" s="26">
        <f>IF(A239="","",IFERROR(INDEX(lst_JobName,MATCH(A239&amp;"",lst_Jobs,0)),""))</f>
        <v/>
      </c>
      <c r="J239" s="26">
        <f>IF(A239="","",IFERROR(IF(INDEX(tbl_Onsite[Client],IFERROR(MATCH(A239&amp;"",tbl_Onsite[Job Number],0),MATCH(IFERROR(A239+0,A239),tbl_Onsite[Job Number],0)))="","",INDEX(tbl_Onsite[Client],IFERROR(MATCH(A239&amp;"",tbl_Onsite[Job Number],0),MATCH(IFERROR(A239+0,A239),tbl_Onsite[Job Number],0)))),IFERROR(IF(INDEX(tbl_Production[Client],IFERROR(MATCH(A239&amp;"",tbl_Production[Job Number],0),MATCH(IFERROR(A239+0,A239),tbl_Production[Job Number],0)))="","",INDEX(tbl_Production[Client],IFERROR(MATCH(A239&amp;"",tbl_Production[Job Number],0),MATCH(IFERROR(A239+0,A239),tbl_Production[Job Number],0)))),IFERROR(IF(INDEX(tbl_Consulting[Client],IFERROR(MATCH(A239&amp;"",tbl_Consulting[Job Number],0),MATCH(IFERROR(A239+0,A239),tbl_Consulting[Job Number],0)))="","",INDEX(tbl_Consulting[Client],IFERROR(MATCH(A239&amp;"",tbl_Consulting[Job Number],0),MATCH(IFERROR(A239+0,A239),tbl_Consulting[Job Number],0)))),""))))</f>
        <v/>
      </c>
      <c r="K239" s="26">
        <f>IF(A239="","",IFERROR(IF(INDEX(tbl_Onsite[Job Description],IFERROR(MATCH(A239&amp;"",tbl_Onsite[Job Number],0),MATCH(IFERROR(A239+0,A239),tbl_Onsite[Job Number],0)))="","",INDEX(tbl_Onsite[Job Description],IFERROR(MATCH(A239&amp;"",tbl_Onsite[Job Number],0),MATCH(IFERROR(A239+0,A239),tbl_Onsite[Job Number],0)))),IFERROR(IF(INDEX(tbl_Production[Job Description],IFERROR(MATCH(A239&amp;"",tbl_Production[Job Number],0),MATCH(IFERROR(A239+0,A239),tbl_Production[Job Number],0)))="","",INDEX(tbl_Production[Job Description],IFERROR(MATCH(A239&amp;"",tbl_Production[Job Number],0),MATCH(IFERROR(A239+0,A239),tbl_Production[Job Number],0)))),IFERROR(IF(INDEX(tbl_Consulting[Job Description],IFERROR(MATCH(A239&amp;"",tbl_Consulting[Job Number],0),MATCH(IFERROR(A239+0,A239),tbl_Consulting[Job Number],0)))="","",INDEX(tbl_Consulting[Job Description],IFERROR(MATCH(A239&amp;"",tbl_Consulting[Job Number],0),MATCH(IFERROR(A239+0,A239),tbl_Consulting[Job Number],0)))),""))))</f>
        <v/>
      </c>
      <c r="L239" s="26">
        <f>IF(A239="","",IFERROR(IF(INDEX(tbl_Onsite[Invoice Type],IFERROR(MATCH(A239&amp;"",tbl_Onsite[Job Number],0),MATCH(IFERROR(A239+0,A239),tbl_Onsite[Job Number],0)))="","",INDEX(tbl_Onsite[Invoice Type],IFERROR(MATCH(A239&amp;"",tbl_Onsite[Job Number],0),MATCH(IFERROR(A239+0,A239),tbl_Onsite[Job Number],0)))),IFERROR(IF(INDEX(tbl_Production[Invoice Type],IFERROR(MATCH(A239&amp;"",tbl_Production[Job Number],0),MATCH(IFERROR(A239+0,A239),tbl_Production[Job Number],0)))="","",INDEX(tbl_Production[Invoice Type],IFERROR(MATCH(A239&amp;"",tbl_Production[Job Number],0),MATCH(IFERROR(A239+0,A239),tbl_Production[Job Number],0)))),IFERROR(IF(INDEX(tbl_Consulting[Invoice Type],IFERROR(MATCH(A239&amp;"",tbl_Consulting[Job Number],0),MATCH(IFERROR(A239+0,A239),tbl_Consulting[Job Number],0)))="","",INDEX(tbl_Consulting[Invoice Type],IFERROR(MATCH(A239&amp;"",tbl_Consulting[Job Number],0),MATCH(IFERROR(A239+0,A239),tbl_Consulting[Job Number],0)))),""))))</f>
        <v/>
      </c>
      <c r="M239" s="26">
        <f>IF(A239="","",IF(IFERROR(IF(INDEX(tbl_Onsite[Tax Code],IFERROR(MATCH(A239&amp;"",tbl_Onsite[Job Number],0),MATCH(IFERROR(A239+0,A239),tbl_Onsite[Job Number],0)))="","",INDEX(tbl_Onsite[Tax Code],IFERROR(MATCH(A239&amp;"",tbl_Onsite[Job Number],0),MATCH(IFERROR(A239+0,A239),tbl_Onsite[Job Number],0)))),IFERROR(IF(INDEX(tbl_Production[Tax Code],IFERROR(MATCH(A239&amp;"",tbl_Production[Job Number],0),MATCH(IFERROR(A239+0,A239),tbl_Production[Job Number],0)))="","",INDEX(tbl_Production[Tax Code],IFERROR(MATCH(A239&amp;"",tbl_Production[Job Number],0),MATCH(IFERROR(A239+0,A239),tbl_Production[Job Number],0)))),IFERROR(IF(INDEX(tbl_Consulting[Tax Code],IFERROR(MATCH(A239&amp;"",tbl_Consulting[Job Number],0),MATCH(IFERROR(A239+0,A239),tbl_Consulting[Job Number],0)))="","",INDEX(tbl_Consulting[Tax Code],IFERROR(MATCH(A239&amp;"",tbl_Consulting[Job Number],0),MATCH(IFERROR(A239+0,A239),tbl_Consulting[Job Number],0)))),"")))="","GST 10%",IFERROR(IF(INDEX(tbl_Onsite[Tax Code],IFERROR(MATCH(A239&amp;"",tbl_Onsite[Job Number],0),MATCH(IFERROR(A239+0,A239),tbl_Onsite[Job Number],0)))="","",INDEX(tbl_Onsite[Tax Code],IFERROR(MATCH(A239&amp;"",tbl_Onsite[Job Number],0),MATCH(IFERROR(A239+0,A239),tbl_Onsite[Job Number],0)))),IFERROR(IF(INDEX(tbl_Production[Tax Code],IFERROR(MATCH(A239&amp;"",tbl_Production[Job Number],0),MATCH(IFERROR(A239+0,A239),tbl_Production[Job Number],0)))="","",INDEX(tbl_Production[Tax Code],IFERROR(MATCH(A239&amp;"",tbl_Production[Job Number],0),MATCH(IFERROR(A239+0,A239),tbl_Production[Job Number],0)))),IFERROR(IF(INDEX(tbl_Consulting[Tax Code],IFERROR(MATCH(A239&amp;"",tbl_Consulting[Job Number],0),MATCH(IFERROR(A239+0,A239),tbl_Consulting[Job Number],0)))="","",INDEX(tbl_Consulting[Tax Code],IFERROR(MATCH(A239&amp;"",tbl_Consulting[Job Number],0),MATCH(IFERROR(A239+0,A239),tbl_Consulting[Job Number],0)))),"")))))</f>
        <v/>
      </c>
      <c r="N239" s="26">
        <f>IF(D239="","",IFERROR(INDEX(lst_CCtoGL,MATCH(D239,lst_CCforGL,0)),""))</f>
        <v/>
      </c>
      <c r="O239" s="27">
        <f>IF(E239="","",IF(M239="GST 10%",ROUND(E239*set_GSTRate,2),0))</f>
        <v/>
      </c>
      <c r="P239" s="27">
        <f>IF(E239="","",E239+O239)</f>
        <v/>
      </c>
      <c r="Q239" s="27">
        <f>IF(A239="","",IFERROR(INDEX(tbl_Onsite[Expected Revenue Ex GST],IFERROR(MATCH(A239&amp;"",tbl_Onsite[Job Number],0),MATCH(IFERROR(A239+0,A239),tbl_Onsite[Job Number],0))),IFERROR(INDEX(tbl_Production[Expected Revenue Ex GST],IFERROR(MATCH(A239&amp;"",tbl_Production[Job Number],0),MATCH(IFERROR(A239+0,A239),tbl_Production[Job Number],0))),IFERROR(INDEX(tbl_Consulting[Expected Revenue Ex GST],IFERROR(MATCH(A239&amp;"",tbl_Consulting[Job Number],0),MATCH(IFERROR(A239+0,A239),tbl_Consulting[Job Number],0))),0))))</f>
        <v/>
      </c>
      <c r="R239" s="27">
        <f>IF(A239="","",SUMIFS(tbl_Finance[Ex GST],tbl_Finance[Job Number],A239&amp;""))</f>
        <v/>
      </c>
      <c r="S239" s="27">
        <f>IF(A239="","",Q239-R239)</f>
        <v/>
      </c>
      <c r="T239" s="26">
        <f>IF(A239="","",IF(Q239=0,"No dept value",IF(ROUND(S239,2)=0,"Agrees",IF(S239&gt;0,"Dept higher - to invoice","Xero higher - check dept"))))</f>
        <v/>
      </c>
      <c r="U239" s="22" t="n"/>
      <c r="V239" s="22" t="n"/>
      <c r="W239" s="23" t="n"/>
      <c r="X239" s="23" t="n"/>
      <c r="Y239" s="22" t="n"/>
      <c r="Z239" s="22" t="n"/>
      <c r="AA239" s="26">
        <f>IF(COUNTA(C239,A239,B239,E239)=0,"",IF(C239="","No date - sits outside every month",IF(A239="","No job number",IF(H239="CHECK","Job number is not in the Xero job list",IF(G239="not set up yet","No department has set this job up - nothing can pull through",IF(D239="","No cost centre",IF(AND(U239="Y",B239=""),"Marked posted to Xero but has no invoice number",IF(N239="","Cost centre has no revenue GL on the Lists sheet",IF(T239="Xero higher - check dept","Invoiced more than the department says the job is worth","")))))))))</f>
        <v/>
      </c>
      <c r="AB239" s="28">
        <f>IF(A239="","",COUNTIFS(tbl_Finance[Job Number],A239&amp;"",tbl_Finance[Ex GST],"&lt;&gt;"))</f>
        <v/>
      </c>
      <c r="AC239" s="27">
        <f>IF(A239="","",SUMIFS(tbl_Finance[Ex GST],tbl_Finance[Job Number],A239&amp;""))</f>
        <v/>
      </c>
      <c r="AD239" s="27">
        <f>IF(A239="","",SUMIFS(tbl_Finance[Ex GST],tbl_Finance[Job Number],A239&amp;"",tbl_Finance[Xero Invoice No],"&lt;&gt;"))</f>
        <v/>
      </c>
      <c r="AE239" s="27">
        <f>IF(A239="","",AC239-AD239)</f>
        <v/>
      </c>
      <c r="AF239" s="26">
        <f>IF(A239="","",IFERROR(IF(INDEX(tbl_Onsite[Qwilr Quote],IFERROR(MATCH(A239&amp;"",tbl_Onsite[Job Number],0),MATCH(IFERROR(A239+0,A239),tbl_Onsite[Job Number],0)))="","",INDEX(tbl_Onsite[Qwilr Quote],IFERROR(MATCH(A239&amp;"",tbl_Onsite[Job Number],0),MATCH(IFERROR(A239+0,A239),tbl_Onsite[Job Number],0)))),IFERROR(IF(IF(INDEX(tbl_Production[Current RMS No],IFERROR(MATCH(A239&amp;"",tbl_Production[Job Number],0),MATCH(IFERROR(A239+0,A239),tbl_Production[Job Number],0)))="",INDEX(tbl_Production[Qwilr Quote],IFERROR(MATCH(A239&amp;"",tbl_Production[Job Number],0),MATCH(IFERROR(A239+0,A239),tbl_Production[Job Number],0))),INDEX(tbl_Production[Current RMS No],IFERROR(MATCH(A239&amp;"",tbl_Production[Job Number],0),MATCH(IFERROR(A239+0,A239),tbl_Production[Job Number],0))))="","",IF(INDEX(tbl_Production[Current RMS No],IFERROR(MATCH(A239&amp;"",tbl_Production[Job Number],0),MATCH(IFERROR(A239+0,A239),tbl_Production[Job Number],0)))="",INDEX(tbl_Production[Qwilr Quote],IFERROR(MATCH(A239&amp;"",tbl_Production[Job Number],0),MATCH(IFERROR(A239+0,A239),tbl_Production[Job Number],0))),INDEX(tbl_Production[Current RMS No],IFERROR(MATCH(A239&amp;"",tbl_Production[Job Number],0),MATCH(IFERROR(A239+0,A239),tbl_Production[Job Number],0))))),IFERROR(IF(INDEX(tbl_Consulting[Qwilr Quote],IFERROR(MATCH(A239&amp;"",tbl_Consulting[Job Number],0),MATCH(IFERROR(A239+0,A239),tbl_Consulting[Job Number],0)))="","",INDEX(tbl_Consulting[Qwilr Quote],IFERROR(MATCH(A239&amp;"",tbl_Consulting[Job Number],0),MATCH(IFERROR(A239+0,A239),tbl_Consulting[Job Number],0)))),""))))</f>
        <v/>
      </c>
      <c r="AG239" s="26">
        <f>IF(AF239="","",IF(AND(LEFT(AF239,4)&lt;&gt;"http",IF(G239="Production",set_RMSBase,set_QwilrBase)=""),"",HYPERLINK(IF(LEFT(AF239,4)="http",AF239,IF(G239="Production",set_RMSBase,set_QwilrBase)&amp;AF239),"Open")))</f>
        <v/>
      </c>
      <c r="AH239" s="27">
        <f>IF(A239="","",IFERROR(INDEX(tbl_Production[Total Expense],IFERROR(MATCH(A239&amp;"",tbl_Production[Job Number],0),MATCH(IFERROR(A239+0,A239),tbl_Production[Job Number],0))),IFERROR(INDEX(tbl_Consulting[Total Expense],IFERROR(MATCH(A239&amp;"",tbl_Consulting[Job Number],0),MATCH(IFERROR(A239+0,A239),tbl_Consulting[Job Number],0))),0)))</f>
        <v/>
      </c>
      <c r="AI239" s="27">
        <f>IF(A239="","",AC239-N(AH239))</f>
        <v/>
      </c>
      <c r="AJ239" s="29">
        <f>IFERROR(AI239/AC239,"")</f>
        <v/>
      </c>
      <c r="AK239" s="26">
        <f>IF(A239="","",IFERROR(IF(INDEX(tbl_Onsite[Notes],IFERROR(MATCH(A239&amp;"",tbl_Onsite[Job Number],0),MATCH(IFERROR(A239+0,A239),tbl_Onsite[Job Number],0)))="","",INDEX(tbl_Onsite[Notes],IFERROR(MATCH(A239&amp;"",tbl_Onsite[Job Number],0),MATCH(IFERROR(A239+0,A239),tbl_Onsite[Job Number],0)))),IFERROR(IF(INDEX(tbl_Production[Notes],IFERROR(MATCH(A239&amp;"",tbl_Production[Job Number],0),MATCH(IFERROR(A239+0,A239),tbl_Production[Job Number],0)))="","",INDEX(tbl_Production[Notes],IFERROR(MATCH(A239&amp;"",tbl_Production[Job Number],0),MATCH(IFERROR(A239+0,A239),tbl_Production[Job Number],0)))),IFERROR(IF(INDEX(tbl_Consulting[Notes],IFERROR(MATCH(A239&amp;"",tbl_Consulting[Job Number],0),MATCH(IFERROR(A239+0,A239),tbl_Consulting[Job Number],0)))="","",INDEX(tbl_Consulting[Notes],IFERROR(MATCH(A239&amp;"",tbl_Consulting[Job Number],0),MATCH(IFERROR(A239+0,A239),tbl_Consulting[Job Number],0)))),""))))</f>
        <v/>
      </c>
    </row>
    <row r="240" ht="15" customHeight="1">
      <c r="A240" s="22" t="n"/>
      <c r="B240" s="22" t="n"/>
      <c r="C240" s="23" t="n"/>
      <c r="D240" s="22" t="n"/>
      <c r="E240" s="24" t="n"/>
      <c r="F240" s="25">
        <f>IF(C240="","",EOMONTH(C240,0))</f>
        <v/>
      </c>
      <c r="G240" s="26">
        <f>IF(A240="","",IF(COUNTIF(tbl_Onsite[Job Number],A240&amp;"")&gt;0,"Onsite",IF(COUNTIF(tbl_Production[Job Number],A240&amp;"")&gt;0,"Production",IF(COUNTIF(tbl_Consulting[Job Number],A240&amp;"")&gt;0,"Consulting","not set up yet"))))</f>
        <v/>
      </c>
      <c r="H240" s="26">
        <f>IF(A240="","",IF(COUNTIF(lst_Jobs,A240&amp;"")&gt;0,"OK","CHECK"))</f>
        <v/>
      </c>
      <c r="I240" s="26">
        <f>IF(A240="","",IFERROR(INDEX(lst_JobName,MATCH(A240&amp;"",lst_Jobs,0)),""))</f>
        <v/>
      </c>
      <c r="J240" s="26">
        <f>IF(A240="","",IFERROR(IF(INDEX(tbl_Onsite[Client],IFERROR(MATCH(A240&amp;"",tbl_Onsite[Job Number],0),MATCH(IFERROR(A240+0,A240),tbl_Onsite[Job Number],0)))="","",INDEX(tbl_Onsite[Client],IFERROR(MATCH(A240&amp;"",tbl_Onsite[Job Number],0),MATCH(IFERROR(A240+0,A240),tbl_Onsite[Job Number],0)))),IFERROR(IF(INDEX(tbl_Production[Client],IFERROR(MATCH(A240&amp;"",tbl_Production[Job Number],0),MATCH(IFERROR(A240+0,A240),tbl_Production[Job Number],0)))="","",INDEX(tbl_Production[Client],IFERROR(MATCH(A240&amp;"",tbl_Production[Job Number],0),MATCH(IFERROR(A240+0,A240),tbl_Production[Job Number],0)))),IFERROR(IF(INDEX(tbl_Consulting[Client],IFERROR(MATCH(A240&amp;"",tbl_Consulting[Job Number],0),MATCH(IFERROR(A240+0,A240),tbl_Consulting[Job Number],0)))="","",INDEX(tbl_Consulting[Client],IFERROR(MATCH(A240&amp;"",tbl_Consulting[Job Number],0),MATCH(IFERROR(A240+0,A240),tbl_Consulting[Job Number],0)))),""))))</f>
        <v/>
      </c>
      <c r="K240" s="26">
        <f>IF(A240="","",IFERROR(IF(INDEX(tbl_Onsite[Job Description],IFERROR(MATCH(A240&amp;"",tbl_Onsite[Job Number],0),MATCH(IFERROR(A240+0,A240),tbl_Onsite[Job Number],0)))="","",INDEX(tbl_Onsite[Job Description],IFERROR(MATCH(A240&amp;"",tbl_Onsite[Job Number],0),MATCH(IFERROR(A240+0,A240),tbl_Onsite[Job Number],0)))),IFERROR(IF(INDEX(tbl_Production[Job Description],IFERROR(MATCH(A240&amp;"",tbl_Production[Job Number],0),MATCH(IFERROR(A240+0,A240),tbl_Production[Job Number],0)))="","",INDEX(tbl_Production[Job Description],IFERROR(MATCH(A240&amp;"",tbl_Production[Job Number],0),MATCH(IFERROR(A240+0,A240),tbl_Production[Job Number],0)))),IFERROR(IF(INDEX(tbl_Consulting[Job Description],IFERROR(MATCH(A240&amp;"",tbl_Consulting[Job Number],0),MATCH(IFERROR(A240+0,A240),tbl_Consulting[Job Number],0)))="","",INDEX(tbl_Consulting[Job Description],IFERROR(MATCH(A240&amp;"",tbl_Consulting[Job Number],0),MATCH(IFERROR(A240+0,A240),tbl_Consulting[Job Number],0)))),""))))</f>
        <v/>
      </c>
      <c r="L240" s="26">
        <f>IF(A240="","",IFERROR(IF(INDEX(tbl_Onsite[Invoice Type],IFERROR(MATCH(A240&amp;"",tbl_Onsite[Job Number],0),MATCH(IFERROR(A240+0,A240),tbl_Onsite[Job Number],0)))="","",INDEX(tbl_Onsite[Invoice Type],IFERROR(MATCH(A240&amp;"",tbl_Onsite[Job Number],0),MATCH(IFERROR(A240+0,A240),tbl_Onsite[Job Number],0)))),IFERROR(IF(INDEX(tbl_Production[Invoice Type],IFERROR(MATCH(A240&amp;"",tbl_Production[Job Number],0),MATCH(IFERROR(A240+0,A240),tbl_Production[Job Number],0)))="","",INDEX(tbl_Production[Invoice Type],IFERROR(MATCH(A240&amp;"",tbl_Production[Job Number],0),MATCH(IFERROR(A240+0,A240),tbl_Production[Job Number],0)))),IFERROR(IF(INDEX(tbl_Consulting[Invoice Type],IFERROR(MATCH(A240&amp;"",tbl_Consulting[Job Number],0),MATCH(IFERROR(A240+0,A240),tbl_Consulting[Job Number],0)))="","",INDEX(tbl_Consulting[Invoice Type],IFERROR(MATCH(A240&amp;"",tbl_Consulting[Job Number],0),MATCH(IFERROR(A240+0,A240),tbl_Consulting[Job Number],0)))),""))))</f>
        <v/>
      </c>
      <c r="M240" s="26">
        <f>IF(A240="","",IF(IFERROR(IF(INDEX(tbl_Onsite[Tax Code],IFERROR(MATCH(A240&amp;"",tbl_Onsite[Job Number],0),MATCH(IFERROR(A240+0,A240),tbl_Onsite[Job Number],0)))="","",INDEX(tbl_Onsite[Tax Code],IFERROR(MATCH(A240&amp;"",tbl_Onsite[Job Number],0),MATCH(IFERROR(A240+0,A240),tbl_Onsite[Job Number],0)))),IFERROR(IF(INDEX(tbl_Production[Tax Code],IFERROR(MATCH(A240&amp;"",tbl_Production[Job Number],0),MATCH(IFERROR(A240+0,A240),tbl_Production[Job Number],0)))="","",INDEX(tbl_Production[Tax Code],IFERROR(MATCH(A240&amp;"",tbl_Production[Job Number],0),MATCH(IFERROR(A240+0,A240),tbl_Production[Job Number],0)))),IFERROR(IF(INDEX(tbl_Consulting[Tax Code],IFERROR(MATCH(A240&amp;"",tbl_Consulting[Job Number],0),MATCH(IFERROR(A240+0,A240),tbl_Consulting[Job Number],0)))="","",INDEX(tbl_Consulting[Tax Code],IFERROR(MATCH(A240&amp;"",tbl_Consulting[Job Number],0),MATCH(IFERROR(A240+0,A240),tbl_Consulting[Job Number],0)))),"")))="","GST 10%",IFERROR(IF(INDEX(tbl_Onsite[Tax Code],IFERROR(MATCH(A240&amp;"",tbl_Onsite[Job Number],0),MATCH(IFERROR(A240+0,A240),tbl_Onsite[Job Number],0)))="","",INDEX(tbl_Onsite[Tax Code],IFERROR(MATCH(A240&amp;"",tbl_Onsite[Job Number],0),MATCH(IFERROR(A240+0,A240),tbl_Onsite[Job Number],0)))),IFERROR(IF(INDEX(tbl_Production[Tax Code],IFERROR(MATCH(A240&amp;"",tbl_Production[Job Number],0),MATCH(IFERROR(A240+0,A240),tbl_Production[Job Number],0)))="","",INDEX(tbl_Production[Tax Code],IFERROR(MATCH(A240&amp;"",tbl_Production[Job Number],0),MATCH(IFERROR(A240+0,A240),tbl_Production[Job Number],0)))),IFERROR(IF(INDEX(tbl_Consulting[Tax Code],IFERROR(MATCH(A240&amp;"",tbl_Consulting[Job Number],0),MATCH(IFERROR(A240+0,A240),tbl_Consulting[Job Number],0)))="","",INDEX(tbl_Consulting[Tax Code],IFERROR(MATCH(A240&amp;"",tbl_Consulting[Job Number],0),MATCH(IFERROR(A240+0,A240),tbl_Consulting[Job Number],0)))),"")))))</f>
        <v/>
      </c>
      <c r="N240" s="26">
        <f>IF(D240="","",IFERROR(INDEX(lst_CCtoGL,MATCH(D240,lst_CCforGL,0)),""))</f>
        <v/>
      </c>
      <c r="O240" s="27">
        <f>IF(E240="","",IF(M240="GST 10%",ROUND(E240*set_GSTRate,2),0))</f>
        <v/>
      </c>
      <c r="P240" s="27">
        <f>IF(E240="","",E240+O240)</f>
        <v/>
      </c>
      <c r="Q240" s="27">
        <f>IF(A240="","",IFERROR(INDEX(tbl_Onsite[Expected Revenue Ex GST],IFERROR(MATCH(A240&amp;"",tbl_Onsite[Job Number],0),MATCH(IFERROR(A240+0,A240),tbl_Onsite[Job Number],0))),IFERROR(INDEX(tbl_Production[Expected Revenue Ex GST],IFERROR(MATCH(A240&amp;"",tbl_Production[Job Number],0),MATCH(IFERROR(A240+0,A240),tbl_Production[Job Number],0))),IFERROR(INDEX(tbl_Consulting[Expected Revenue Ex GST],IFERROR(MATCH(A240&amp;"",tbl_Consulting[Job Number],0),MATCH(IFERROR(A240+0,A240),tbl_Consulting[Job Number],0))),0))))</f>
        <v/>
      </c>
      <c r="R240" s="27">
        <f>IF(A240="","",SUMIFS(tbl_Finance[Ex GST],tbl_Finance[Job Number],A240&amp;""))</f>
        <v/>
      </c>
      <c r="S240" s="27">
        <f>IF(A240="","",Q240-R240)</f>
        <v/>
      </c>
      <c r="T240" s="26">
        <f>IF(A240="","",IF(Q240=0,"No dept value",IF(ROUND(S240,2)=0,"Agrees",IF(S240&gt;0,"Dept higher - to invoice","Xero higher - check dept"))))</f>
        <v/>
      </c>
      <c r="U240" s="22" t="n"/>
      <c r="V240" s="22" t="n"/>
      <c r="W240" s="23" t="n"/>
      <c r="X240" s="23" t="n"/>
      <c r="Y240" s="22" t="n"/>
      <c r="Z240" s="22" t="n"/>
      <c r="AA240" s="26">
        <f>IF(COUNTA(C240,A240,B240,E240)=0,"",IF(C240="","No date - sits outside every month",IF(A240="","No job number",IF(H240="CHECK","Job number is not in the Xero job list",IF(G240="not set up yet","No department has set this job up - nothing can pull through",IF(D240="","No cost centre",IF(AND(U240="Y",B240=""),"Marked posted to Xero but has no invoice number",IF(N240="","Cost centre has no revenue GL on the Lists sheet",IF(T240="Xero higher - check dept","Invoiced more than the department says the job is worth","")))))))))</f>
        <v/>
      </c>
      <c r="AB240" s="28">
        <f>IF(A240="","",COUNTIFS(tbl_Finance[Job Number],A240&amp;"",tbl_Finance[Ex GST],"&lt;&gt;"))</f>
        <v/>
      </c>
      <c r="AC240" s="27">
        <f>IF(A240="","",SUMIFS(tbl_Finance[Ex GST],tbl_Finance[Job Number],A240&amp;""))</f>
        <v/>
      </c>
      <c r="AD240" s="27">
        <f>IF(A240="","",SUMIFS(tbl_Finance[Ex GST],tbl_Finance[Job Number],A240&amp;"",tbl_Finance[Xero Invoice No],"&lt;&gt;"))</f>
        <v/>
      </c>
      <c r="AE240" s="27">
        <f>IF(A240="","",AC240-AD240)</f>
        <v/>
      </c>
      <c r="AF240" s="26">
        <f>IF(A240="","",IFERROR(IF(INDEX(tbl_Onsite[Qwilr Quote],IFERROR(MATCH(A240&amp;"",tbl_Onsite[Job Number],0),MATCH(IFERROR(A240+0,A240),tbl_Onsite[Job Number],0)))="","",INDEX(tbl_Onsite[Qwilr Quote],IFERROR(MATCH(A240&amp;"",tbl_Onsite[Job Number],0),MATCH(IFERROR(A240+0,A240),tbl_Onsite[Job Number],0)))),IFERROR(IF(IF(INDEX(tbl_Production[Current RMS No],IFERROR(MATCH(A240&amp;"",tbl_Production[Job Number],0),MATCH(IFERROR(A240+0,A240),tbl_Production[Job Number],0)))="",INDEX(tbl_Production[Qwilr Quote],IFERROR(MATCH(A240&amp;"",tbl_Production[Job Number],0),MATCH(IFERROR(A240+0,A240),tbl_Production[Job Number],0))),INDEX(tbl_Production[Current RMS No],IFERROR(MATCH(A240&amp;"",tbl_Production[Job Number],0),MATCH(IFERROR(A240+0,A240),tbl_Production[Job Number],0))))="","",IF(INDEX(tbl_Production[Current RMS No],IFERROR(MATCH(A240&amp;"",tbl_Production[Job Number],0),MATCH(IFERROR(A240+0,A240),tbl_Production[Job Number],0)))="",INDEX(tbl_Production[Qwilr Quote],IFERROR(MATCH(A240&amp;"",tbl_Production[Job Number],0),MATCH(IFERROR(A240+0,A240),tbl_Production[Job Number],0))),INDEX(tbl_Production[Current RMS No],IFERROR(MATCH(A240&amp;"",tbl_Production[Job Number],0),MATCH(IFERROR(A240+0,A240),tbl_Production[Job Number],0))))),IFERROR(IF(INDEX(tbl_Consulting[Qwilr Quote],IFERROR(MATCH(A240&amp;"",tbl_Consulting[Job Number],0),MATCH(IFERROR(A240+0,A240),tbl_Consulting[Job Number],0)))="","",INDEX(tbl_Consulting[Qwilr Quote],IFERROR(MATCH(A240&amp;"",tbl_Consulting[Job Number],0),MATCH(IFERROR(A240+0,A240),tbl_Consulting[Job Number],0)))),""))))</f>
        <v/>
      </c>
      <c r="AG240" s="26">
        <f>IF(AF240="","",IF(AND(LEFT(AF240,4)&lt;&gt;"http",IF(G240="Production",set_RMSBase,set_QwilrBase)=""),"",HYPERLINK(IF(LEFT(AF240,4)="http",AF240,IF(G240="Production",set_RMSBase,set_QwilrBase)&amp;AF240),"Open")))</f>
        <v/>
      </c>
      <c r="AH240" s="27">
        <f>IF(A240="","",IFERROR(INDEX(tbl_Production[Total Expense],IFERROR(MATCH(A240&amp;"",tbl_Production[Job Number],0),MATCH(IFERROR(A240+0,A240),tbl_Production[Job Number],0))),IFERROR(INDEX(tbl_Consulting[Total Expense],IFERROR(MATCH(A240&amp;"",tbl_Consulting[Job Number],0),MATCH(IFERROR(A240+0,A240),tbl_Consulting[Job Number],0))),0)))</f>
        <v/>
      </c>
      <c r="AI240" s="27">
        <f>IF(A240="","",AC240-N(AH240))</f>
        <v/>
      </c>
      <c r="AJ240" s="29">
        <f>IFERROR(AI240/AC240,"")</f>
        <v/>
      </c>
      <c r="AK240" s="26">
        <f>IF(A240="","",IFERROR(IF(INDEX(tbl_Onsite[Notes],IFERROR(MATCH(A240&amp;"",tbl_Onsite[Job Number],0),MATCH(IFERROR(A240+0,A240),tbl_Onsite[Job Number],0)))="","",INDEX(tbl_Onsite[Notes],IFERROR(MATCH(A240&amp;"",tbl_Onsite[Job Number],0),MATCH(IFERROR(A240+0,A240),tbl_Onsite[Job Number],0)))),IFERROR(IF(INDEX(tbl_Production[Notes],IFERROR(MATCH(A240&amp;"",tbl_Production[Job Number],0),MATCH(IFERROR(A240+0,A240),tbl_Production[Job Number],0)))="","",INDEX(tbl_Production[Notes],IFERROR(MATCH(A240&amp;"",tbl_Production[Job Number],0),MATCH(IFERROR(A240+0,A240),tbl_Production[Job Number],0)))),IFERROR(IF(INDEX(tbl_Consulting[Notes],IFERROR(MATCH(A240&amp;"",tbl_Consulting[Job Number],0),MATCH(IFERROR(A240+0,A240),tbl_Consulting[Job Number],0)))="","",INDEX(tbl_Consulting[Notes],IFERROR(MATCH(A240&amp;"",tbl_Consulting[Job Number],0),MATCH(IFERROR(A240+0,A240),tbl_Consulting[Job Number],0)))),""))))</f>
        <v/>
      </c>
    </row>
    <row r="241" ht="15" customHeight="1">
      <c r="A241" s="22" t="n"/>
      <c r="B241" s="22" t="n"/>
      <c r="C241" s="23" t="n"/>
      <c r="D241" s="22" t="n"/>
      <c r="E241" s="24" t="n"/>
      <c r="F241" s="25">
        <f>IF(C241="","",EOMONTH(C241,0))</f>
        <v/>
      </c>
      <c r="G241" s="26">
        <f>IF(A241="","",IF(COUNTIF(tbl_Onsite[Job Number],A241&amp;"")&gt;0,"Onsite",IF(COUNTIF(tbl_Production[Job Number],A241&amp;"")&gt;0,"Production",IF(COUNTIF(tbl_Consulting[Job Number],A241&amp;"")&gt;0,"Consulting","not set up yet"))))</f>
        <v/>
      </c>
      <c r="H241" s="26">
        <f>IF(A241="","",IF(COUNTIF(lst_Jobs,A241&amp;"")&gt;0,"OK","CHECK"))</f>
        <v/>
      </c>
      <c r="I241" s="26">
        <f>IF(A241="","",IFERROR(INDEX(lst_JobName,MATCH(A241&amp;"",lst_Jobs,0)),""))</f>
        <v/>
      </c>
      <c r="J241" s="26">
        <f>IF(A241="","",IFERROR(IF(INDEX(tbl_Onsite[Client],IFERROR(MATCH(A241&amp;"",tbl_Onsite[Job Number],0),MATCH(IFERROR(A241+0,A241),tbl_Onsite[Job Number],0)))="","",INDEX(tbl_Onsite[Client],IFERROR(MATCH(A241&amp;"",tbl_Onsite[Job Number],0),MATCH(IFERROR(A241+0,A241),tbl_Onsite[Job Number],0)))),IFERROR(IF(INDEX(tbl_Production[Client],IFERROR(MATCH(A241&amp;"",tbl_Production[Job Number],0),MATCH(IFERROR(A241+0,A241),tbl_Production[Job Number],0)))="","",INDEX(tbl_Production[Client],IFERROR(MATCH(A241&amp;"",tbl_Production[Job Number],0),MATCH(IFERROR(A241+0,A241),tbl_Production[Job Number],0)))),IFERROR(IF(INDEX(tbl_Consulting[Client],IFERROR(MATCH(A241&amp;"",tbl_Consulting[Job Number],0),MATCH(IFERROR(A241+0,A241),tbl_Consulting[Job Number],0)))="","",INDEX(tbl_Consulting[Client],IFERROR(MATCH(A241&amp;"",tbl_Consulting[Job Number],0),MATCH(IFERROR(A241+0,A241),tbl_Consulting[Job Number],0)))),""))))</f>
        <v/>
      </c>
      <c r="K241" s="26">
        <f>IF(A241="","",IFERROR(IF(INDEX(tbl_Onsite[Job Description],IFERROR(MATCH(A241&amp;"",tbl_Onsite[Job Number],0),MATCH(IFERROR(A241+0,A241),tbl_Onsite[Job Number],0)))="","",INDEX(tbl_Onsite[Job Description],IFERROR(MATCH(A241&amp;"",tbl_Onsite[Job Number],0),MATCH(IFERROR(A241+0,A241),tbl_Onsite[Job Number],0)))),IFERROR(IF(INDEX(tbl_Production[Job Description],IFERROR(MATCH(A241&amp;"",tbl_Production[Job Number],0),MATCH(IFERROR(A241+0,A241),tbl_Production[Job Number],0)))="","",INDEX(tbl_Production[Job Description],IFERROR(MATCH(A241&amp;"",tbl_Production[Job Number],0),MATCH(IFERROR(A241+0,A241),tbl_Production[Job Number],0)))),IFERROR(IF(INDEX(tbl_Consulting[Job Description],IFERROR(MATCH(A241&amp;"",tbl_Consulting[Job Number],0),MATCH(IFERROR(A241+0,A241),tbl_Consulting[Job Number],0)))="","",INDEX(tbl_Consulting[Job Description],IFERROR(MATCH(A241&amp;"",tbl_Consulting[Job Number],0),MATCH(IFERROR(A241+0,A241),tbl_Consulting[Job Number],0)))),""))))</f>
        <v/>
      </c>
      <c r="L241" s="26">
        <f>IF(A241="","",IFERROR(IF(INDEX(tbl_Onsite[Invoice Type],IFERROR(MATCH(A241&amp;"",tbl_Onsite[Job Number],0),MATCH(IFERROR(A241+0,A241),tbl_Onsite[Job Number],0)))="","",INDEX(tbl_Onsite[Invoice Type],IFERROR(MATCH(A241&amp;"",tbl_Onsite[Job Number],0),MATCH(IFERROR(A241+0,A241),tbl_Onsite[Job Number],0)))),IFERROR(IF(INDEX(tbl_Production[Invoice Type],IFERROR(MATCH(A241&amp;"",tbl_Production[Job Number],0),MATCH(IFERROR(A241+0,A241),tbl_Production[Job Number],0)))="","",INDEX(tbl_Production[Invoice Type],IFERROR(MATCH(A241&amp;"",tbl_Production[Job Number],0),MATCH(IFERROR(A241+0,A241),tbl_Production[Job Number],0)))),IFERROR(IF(INDEX(tbl_Consulting[Invoice Type],IFERROR(MATCH(A241&amp;"",tbl_Consulting[Job Number],0),MATCH(IFERROR(A241+0,A241),tbl_Consulting[Job Number],0)))="","",INDEX(tbl_Consulting[Invoice Type],IFERROR(MATCH(A241&amp;"",tbl_Consulting[Job Number],0),MATCH(IFERROR(A241+0,A241),tbl_Consulting[Job Number],0)))),""))))</f>
        <v/>
      </c>
      <c r="M241" s="26">
        <f>IF(A241="","",IF(IFERROR(IF(INDEX(tbl_Onsite[Tax Code],IFERROR(MATCH(A241&amp;"",tbl_Onsite[Job Number],0),MATCH(IFERROR(A241+0,A241),tbl_Onsite[Job Number],0)))="","",INDEX(tbl_Onsite[Tax Code],IFERROR(MATCH(A241&amp;"",tbl_Onsite[Job Number],0),MATCH(IFERROR(A241+0,A241),tbl_Onsite[Job Number],0)))),IFERROR(IF(INDEX(tbl_Production[Tax Code],IFERROR(MATCH(A241&amp;"",tbl_Production[Job Number],0),MATCH(IFERROR(A241+0,A241),tbl_Production[Job Number],0)))="","",INDEX(tbl_Production[Tax Code],IFERROR(MATCH(A241&amp;"",tbl_Production[Job Number],0),MATCH(IFERROR(A241+0,A241),tbl_Production[Job Number],0)))),IFERROR(IF(INDEX(tbl_Consulting[Tax Code],IFERROR(MATCH(A241&amp;"",tbl_Consulting[Job Number],0),MATCH(IFERROR(A241+0,A241),tbl_Consulting[Job Number],0)))="","",INDEX(tbl_Consulting[Tax Code],IFERROR(MATCH(A241&amp;"",tbl_Consulting[Job Number],0),MATCH(IFERROR(A241+0,A241),tbl_Consulting[Job Number],0)))),"")))="","GST 10%",IFERROR(IF(INDEX(tbl_Onsite[Tax Code],IFERROR(MATCH(A241&amp;"",tbl_Onsite[Job Number],0),MATCH(IFERROR(A241+0,A241),tbl_Onsite[Job Number],0)))="","",INDEX(tbl_Onsite[Tax Code],IFERROR(MATCH(A241&amp;"",tbl_Onsite[Job Number],0),MATCH(IFERROR(A241+0,A241),tbl_Onsite[Job Number],0)))),IFERROR(IF(INDEX(tbl_Production[Tax Code],IFERROR(MATCH(A241&amp;"",tbl_Production[Job Number],0),MATCH(IFERROR(A241+0,A241),tbl_Production[Job Number],0)))="","",INDEX(tbl_Production[Tax Code],IFERROR(MATCH(A241&amp;"",tbl_Production[Job Number],0),MATCH(IFERROR(A241+0,A241),tbl_Production[Job Number],0)))),IFERROR(IF(INDEX(tbl_Consulting[Tax Code],IFERROR(MATCH(A241&amp;"",tbl_Consulting[Job Number],0),MATCH(IFERROR(A241+0,A241),tbl_Consulting[Job Number],0)))="","",INDEX(tbl_Consulting[Tax Code],IFERROR(MATCH(A241&amp;"",tbl_Consulting[Job Number],0),MATCH(IFERROR(A241+0,A241),tbl_Consulting[Job Number],0)))),"")))))</f>
        <v/>
      </c>
      <c r="N241" s="26">
        <f>IF(D241="","",IFERROR(INDEX(lst_CCtoGL,MATCH(D241,lst_CCforGL,0)),""))</f>
        <v/>
      </c>
      <c r="O241" s="27">
        <f>IF(E241="","",IF(M241="GST 10%",ROUND(E241*set_GSTRate,2),0))</f>
        <v/>
      </c>
      <c r="P241" s="27">
        <f>IF(E241="","",E241+O241)</f>
        <v/>
      </c>
      <c r="Q241" s="27">
        <f>IF(A241="","",IFERROR(INDEX(tbl_Onsite[Expected Revenue Ex GST],IFERROR(MATCH(A241&amp;"",tbl_Onsite[Job Number],0),MATCH(IFERROR(A241+0,A241),tbl_Onsite[Job Number],0))),IFERROR(INDEX(tbl_Production[Expected Revenue Ex GST],IFERROR(MATCH(A241&amp;"",tbl_Production[Job Number],0),MATCH(IFERROR(A241+0,A241),tbl_Production[Job Number],0))),IFERROR(INDEX(tbl_Consulting[Expected Revenue Ex GST],IFERROR(MATCH(A241&amp;"",tbl_Consulting[Job Number],0),MATCH(IFERROR(A241+0,A241),tbl_Consulting[Job Number],0))),0))))</f>
        <v/>
      </c>
      <c r="R241" s="27">
        <f>IF(A241="","",SUMIFS(tbl_Finance[Ex GST],tbl_Finance[Job Number],A241&amp;""))</f>
        <v/>
      </c>
      <c r="S241" s="27">
        <f>IF(A241="","",Q241-R241)</f>
        <v/>
      </c>
      <c r="T241" s="26">
        <f>IF(A241="","",IF(Q241=0,"No dept value",IF(ROUND(S241,2)=0,"Agrees",IF(S241&gt;0,"Dept higher - to invoice","Xero higher - check dept"))))</f>
        <v/>
      </c>
      <c r="U241" s="22" t="n"/>
      <c r="V241" s="22" t="n"/>
      <c r="W241" s="23" t="n"/>
      <c r="X241" s="23" t="n"/>
      <c r="Y241" s="22" t="n"/>
      <c r="Z241" s="22" t="n"/>
      <c r="AA241" s="26">
        <f>IF(COUNTA(C241,A241,B241,E241)=0,"",IF(C241="","No date - sits outside every month",IF(A241="","No job number",IF(H241="CHECK","Job number is not in the Xero job list",IF(G241="not set up yet","No department has set this job up - nothing can pull through",IF(D241="","No cost centre",IF(AND(U241="Y",B241=""),"Marked posted to Xero but has no invoice number",IF(N241="","Cost centre has no revenue GL on the Lists sheet",IF(T241="Xero higher - check dept","Invoiced more than the department says the job is worth","")))))))))</f>
        <v/>
      </c>
      <c r="AB241" s="28">
        <f>IF(A241="","",COUNTIFS(tbl_Finance[Job Number],A241&amp;"",tbl_Finance[Ex GST],"&lt;&gt;"))</f>
        <v/>
      </c>
      <c r="AC241" s="27">
        <f>IF(A241="","",SUMIFS(tbl_Finance[Ex GST],tbl_Finance[Job Number],A241&amp;""))</f>
        <v/>
      </c>
      <c r="AD241" s="27">
        <f>IF(A241="","",SUMIFS(tbl_Finance[Ex GST],tbl_Finance[Job Number],A241&amp;"",tbl_Finance[Xero Invoice No],"&lt;&gt;"))</f>
        <v/>
      </c>
      <c r="AE241" s="27">
        <f>IF(A241="","",AC241-AD241)</f>
        <v/>
      </c>
      <c r="AF241" s="26">
        <f>IF(A241="","",IFERROR(IF(INDEX(tbl_Onsite[Qwilr Quote],IFERROR(MATCH(A241&amp;"",tbl_Onsite[Job Number],0),MATCH(IFERROR(A241+0,A241),tbl_Onsite[Job Number],0)))="","",INDEX(tbl_Onsite[Qwilr Quote],IFERROR(MATCH(A241&amp;"",tbl_Onsite[Job Number],0),MATCH(IFERROR(A241+0,A241),tbl_Onsite[Job Number],0)))),IFERROR(IF(IF(INDEX(tbl_Production[Current RMS No],IFERROR(MATCH(A241&amp;"",tbl_Production[Job Number],0),MATCH(IFERROR(A241+0,A241),tbl_Production[Job Number],0)))="",INDEX(tbl_Production[Qwilr Quote],IFERROR(MATCH(A241&amp;"",tbl_Production[Job Number],0),MATCH(IFERROR(A241+0,A241),tbl_Production[Job Number],0))),INDEX(tbl_Production[Current RMS No],IFERROR(MATCH(A241&amp;"",tbl_Production[Job Number],0),MATCH(IFERROR(A241+0,A241),tbl_Production[Job Number],0))))="","",IF(INDEX(tbl_Production[Current RMS No],IFERROR(MATCH(A241&amp;"",tbl_Production[Job Number],0),MATCH(IFERROR(A241+0,A241),tbl_Production[Job Number],0)))="",INDEX(tbl_Production[Qwilr Quote],IFERROR(MATCH(A241&amp;"",tbl_Production[Job Number],0),MATCH(IFERROR(A241+0,A241),tbl_Production[Job Number],0))),INDEX(tbl_Production[Current RMS No],IFERROR(MATCH(A241&amp;"",tbl_Production[Job Number],0),MATCH(IFERROR(A241+0,A241),tbl_Production[Job Number],0))))),IFERROR(IF(INDEX(tbl_Consulting[Qwilr Quote],IFERROR(MATCH(A241&amp;"",tbl_Consulting[Job Number],0),MATCH(IFERROR(A241+0,A241),tbl_Consulting[Job Number],0)))="","",INDEX(tbl_Consulting[Qwilr Quote],IFERROR(MATCH(A241&amp;"",tbl_Consulting[Job Number],0),MATCH(IFERROR(A241+0,A241),tbl_Consulting[Job Number],0)))),""))))</f>
        <v/>
      </c>
      <c r="AG241" s="26">
        <f>IF(AF241="","",IF(AND(LEFT(AF241,4)&lt;&gt;"http",IF(G241="Production",set_RMSBase,set_QwilrBase)=""),"",HYPERLINK(IF(LEFT(AF241,4)="http",AF241,IF(G241="Production",set_RMSBase,set_QwilrBase)&amp;AF241),"Open")))</f>
        <v/>
      </c>
      <c r="AH241" s="27">
        <f>IF(A241="","",IFERROR(INDEX(tbl_Production[Total Expense],IFERROR(MATCH(A241&amp;"",tbl_Production[Job Number],0),MATCH(IFERROR(A241+0,A241),tbl_Production[Job Number],0))),IFERROR(INDEX(tbl_Consulting[Total Expense],IFERROR(MATCH(A241&amp;"",tbl_Consulting[Job Number],0),MATCH(IFERROR(A241+0,A241),tbl_Consulting[Job Number],0))),0)))</f>
        <v/>
      </c>
      <c r="AI241" s="27">
        <f>IF(A241="","",AC241-N(AH241))</f>
        <v/>
      </c>
      <c r="AJ241" s="29">
        <f>IFERROR(AI241/AC241,"")</f>
        <v/>
      </c>
      <c r="AK241" s="26">
        <f>IF(A241="","",IFERROR(IF(INDEX(tbl_Onsite[Notes],IFERROR(MATCH(A241&amp;"",tbl_Onsite[Job Number],0),MATCH(IFERROR(A241+0,A241),tbl_Onsite[Job Number],0)))="","",INDEX(tbl_Onsite[Notes],IFERROR(MATCH(A241&amp;"",tbl_Onsite[Job Number],0),MATCH(IFERROR(A241+0,A241),tbl_Onsite[Job Number],0)))),IFERROR(IF(INDEX(tbl_Production[Notes],IFERROR(MATCH(A241&amp;"",tbl_Production[Job Number],0),MATCH(IFERROR(A241+0,A241),tbl_Production[Job Number],0)))="","",INDEX(tbl_Production[Notes],IFERROR(MATCH(A241&amp;"",tbl_Production[Job Number],0),MATCH(IFERROR(A241+0,A241),tbl_Production[Job Number],0)))),IFERROR(IF(INDEX(tbl_Consulting[Notes],IFERROR(MATCH(A241&amp;"",tbl_Consulting[Job Number],0),MATCH(IFERROR(A241+0,A241),tbl_Consulting[Job Number],0)))="","",INDEX(tbl_Consulting[Notes],IFERROR(MATCH(A241&amp;"",tbl_Consulting[Job Number],0),MATCH(IFERROR(A241+0,A241),tbl_Consulting[Job Number],0)))),""))))</f>
        <v/>
      </c>
    </row>
    <row r="242" ht="15" customHeight="1">
      <c r="A242" s="22" t="n"/>
      <c r="B242" s="22" t="n"/>
      <c r="C242" s="23" t="n"/>
      <c r="D242" s="22" t="n"/>
      <c r="E242" s="24" t="n"/>
      <c r="F242" s="25">
        <f>IF(C242="","",EOMONTH(C242,0))</f>
        <v/>
      </c>
      <c r="G242" s="26">
        <f>IF(A242="","",IF(COUNTIF(tbl_Onsite[Job Number],A242&amp;"")&gt;0,"Onsite",IF(COUNTIF(tbl_Production[Job Number],A242&amp;"")&gt;0,"Production",IF(COUNTIF(tbl_Consulting[Job Number],A242&amp;"")&gt;0,"Consulting","not set up yet"))))</f>
        <v/>
      </c>
      <c r="H242" s="26">
        <f>IF(A242="","",IF(COUNTIF(lst_Jobs,A242&amp;"")&gt;0,"OK","CHECK"))</f>
        <v/>
      </c>
      <c r="I242" s="26">
        <f>IF(A242="","",IFERROR(INDEX(lst_JobName,MATCH(A242&amp;"",lst_Jobs,0)),""))</f>
        <v/>
      </c>
      <c r="J242" s="26">
        <f>IF(A242="","",IFERROR(IF(INDEX(tbl_Onsite[Client],IFERROR(MATCH(A242&amp;"",tbl_Onsite[Job Number],0),MATCH(IFERROR(A242+0,A242),tbl_Onsite[Job Number],0)))="","",INDEX(tbl_Onsite[Client],IFERROR(MATCH(A242&amp;"",tbl_Onsite[Job Number],0),MATCH(IFERROR(A242+0,A242),tbl_Onsite[Job Number],0)))),IFERROR(IF(INDEX(tbl_Production[Client],IFERROR(MATCH(A242&amp;"",tbl_Production[Job Number],0),MATCH(IFERROR(A242+0,A242),tbl_Production[Job Number],0)))="","",INDEX(tbl_Production[Client],IFERROR(MATCH(A242&amp;"",tbl_Production[Job Number],0),MATCH(IFERROR(A242+0,A242),tbl_Production[Job Number],0)))),IFERROR(IF(INDEX(tbl_Consulting[Client],IFERROR(MATCH(A242&amp;"",tbl_Consulting[Job Number],0),MATCH(IFERROR(A242+0,A242),tbl_Consulting[Job Number],0)))="","",INDEX(tbl_Consulting[Client],IFERROR(MATCH(A242&amp;"",tbl_Consulting[Job Number],0),MATCH(IFERROR(A242+0,A242),tbl_Consulting[Job Number],0)))),""))))</f>
        <v/>
      </c>
      <c r="K242" s="26">
        <f>IF(A242="","",IFERROR(IF(INDEX(tbl_Onsite[Job Description],IFERROR(MATCH(A242&amp;"",tbl_Onsite[Job Number],0),MATCH(IFERROR(A242+0,A242),tbl_Onsite[Job Number],0)))="","",INDEX(tbl_Onsite[Job Description],IFERROR(MATCH(A242&amp;"",tbl_Onsite[Job Number],0),MATCH(IFERROR(A242+0,A242),tbl_Onsite[Job Number],0)))),IFERROR(IF(INDEX(tbl_Production[Job Description],IFERROR(MATCH(A242&amp;"",tbl_Production[Job Number],0),MATCH(IFERROR(A242+0,A242),tbl_Production[Job Number],0)))="","",INDEX(tbl_Production[Job Description],IFERROR(MATCH(A242&amp;"",tbl_Production[Job Number],0),MATCH(IFERROR(A242+0,A242),tbl_Production[Job Number],0)))),IFERROR(IF(INDEX(tbl_Consulting[Job Description],IFERROR(MATCH(A242&amp;"",tbl_Consulting[Job Number],0),MATCH(IFERROR(A242+0,A242),tbl_Consulting[Job Number],0)))="","",INDEX(tbl_Consulting[Job Description],IFERROR(MATCH(A242&amp;"",tbl_Consulting[Job Number],0),MATCH(IFERROR(A242+0,A242),tbl_Consulting[Job Number],0)))),""))))</f>
        <v/>
      </c>
      <c r="L242" s="26">
        <f>IF(A242="","",IFERROR(IF(INDEX(tbl_Onsite[Invoice Type],IFERROR(MATCH(A242&amp;"",tbl_Onsite[Job Number],0),MATCH(IFERROR(A242+0,A242),tbl_Onsite[Job Number],0)))="","",INDEX(tbl_Onsite[Invoice Type],IFERROR(MATCH(A242&amp;"",tbl_Onsite[Job Number],0),MATCH(IFERROR(A242+0,A242),tbl_Onsite[Job Number],0)))),IFERROR(IF(INDEX(tbl_Production[Invoice Type],IFERROR(MATCH(A242&amp;"",tbl_Production[Job Number],0),MATCH(IFERROR(A242+0,A242),tbl_Production[Job Number],0)))="","",INDEX(tbl_Production[Invoice Type],IFERROR(MATCH(A242&amp;"",tbl_Production[Job Number],0),MATCH(IFERROR(A242+0,A242),tbl_Production[Job Number],0)))),IFERROR(IF(INDEX(tbl_Consulting[Invoice Type],IFERROR(MATCH(A242&amp;"",tbl_Consulting[Job Number],0),MATCH(IFERROR(A242+0,A242),tbl_Consulting[Job Number],0)))="","",INDEX(tbl_Consulting[Invoice Type],IFERROR(MATCH(A242&amp;"",tbl_Consulting[Job Number],0),MATCH(IFERROR(A242+0,A242),tbl_Consulting[Job Number],0)))),""))))</f>
        <v/>
      </c>
      <c r="M242" s="26">
        <f>IF(A242="","",IF(IFERROR(IF(INDEX(tbl_Onsite[Tax Code],IFERROR(MATCH(A242&amp;"",tbl_Onsite[Job Number],0),MATCH(IFERROR(A242+0,A242),tbl_Onsite[Job Number],0)))="","",INDEX(tbl_Onsite[Tax Code],IFERROR(MATCH(A242&amp;"",tbl_Onsite[Job Number],0),MATCH(IFERROR(A242+0,A242),tbl_Onsite[Job Number],0)))),IFERROR(IF(INDEX(tbl_Production[Tax Code],IFERROR(MATCH(A242&amp;"",tbl_Production[Job Number],0),MATCH(IFERROR(A242+0,A242),tbl_Production[Job Number],0)))="","",INDEX(tbl_Production[Tax Code],IFERROR(MATCH(A242&amp;"",tbl_Production[Job Number],0),MATCH(IFERROR(A242+0,A242),tbl_Production[Job Number],0)))),IFERROR(IF(INDEX(tbl_Consulting[Tax Code],IFERROR(MATCH(A242&amp;"",tbl_Consulting[Job Number],0),MATCH(IFERROR(A242+0,A242),tbl_Consulting[Job Number],0)))="","",INDEX(tbl_Consulting[Tax Code],IFERROR(MATCH(A242&amp;"",tbl_Consulting[Job Number],0),MATCH(IFERROR(A242+0,A242),tbl_Consulting[Job Number],0)))),"")))="","GST 10%",IFERROR(IF(INDEX(tbl_Onsite[Tax Code],IFERROR(MATCH(A242&amp;"",tbl_Onsite[Job Number],0),MATCH(IFERROR(A242+0,A242),tbl_Onsite[Job Number],0)))="","",INDEX(tbl_Onsite[Tax Code],IFERROR(MATCH(A242&amp;"",tbl_Onsite[Job Number],0),MATCH(IFERROR(A242+0,A242),tbl_Onsite[Job Number],0)))),IFERROR(IF(INDEX(tbl_Production[Tax Code],IFERROR(MATCH(A242&amp;"",tbl_Production[Job Number],0),MATCH(IFERROR(A242+0,A242),tbl_Production[Job Number],0)))="","",INDEX(tbl_Production[Tax Code],IFERROR(MATCH(A242&amp;"",tbl_Production[Job Number],0),MATCH(IFERROR(A242+0,A242),tbl_Production[Job Number],0)))),IFERROR(IF(INDEX(tbl_Consulting[Tax Code],IFERROR(MATCH(A242&amp;"",tbl_Consulting[Job Number],0),MATCH(IFERROR(A242+0,A242),tbl_Consulting[Job Number],0)))="","",INDEX(tbl_Consulting[Tax Code],IFERROR(MATCH(A242&amp;"",tbl_Consulting[Job Number],0),MATCH(IFERROR(A242+0,A242),tbl_Consulting[Job Number],0)))),"")))))</f>
        <v/>
      </c>
      <c r="N242" s="26">
        <f>IF(D242="","",IFERROR(INDEX(lst_CCtoGL,MATCH(D242,lst_CCforGL,0)),""))</f>
        <v/>
      </c>
      <c r="O242" s="27">
        <f>IF(E242="","",IF(M242="GST 10%",ROUND(E242*set_GSTRate,2),0))</f>
        <v/>
      </c>
      <c r="P242" s="27">
        <f>IF(E242="","",E242+O242)</f>
        <v/>
      </c>
      <c r="Q242" s="27">
        <f>IF(A242="","",IFERROR(INDEX(tbl_Onsite[Expected Revenue Ex GST],IFERROR(MATCH(A242&amp;"",tbl_Onsite[Job Number],0),MATCH(IFERROR(A242+0,A242),tbl_Onsite[Job Number],0))),IFERROR(INDEX(tbl_Production[Expected Revenue Ex GST],IFERROR(MATCH(A242&amp;"",tbl_Production[Job Number],0),MATCH(IFERROR(A242+0,A242),tbl_Production[Job Number],0))),IFERROR(INDEX(tbl_Consulting[Expected Revenue Ex GST],IFERROR(MATCH(A242&amp;"",tbl_Consulting[Job Number],0),MATCH(IFERROR(A242+0,A242),tbl_Consulting[Job Number],0))),0))))</f>
        <v/>
      </c>
      <c r="R242" s="27">
        <f>IF(A242="","",SUMIFS(tbl_Finance[Ex GST],tbl_Finance[Job Number],A242&amp;""))</f>
        <v/>
      </c>
      <c r="S242" s="27">
        <f>IF(A242="","",Q242-R242)</f>
        <v/>
      </c>
      <c r="T242" s="26">
        <f>IF(A242="","",IF(Q242=0,"No dept value",IF(ROUND(S242,2)=0,"Agrees",IF(S242&gt;0,"Dept higher - to invoice","Xero higher - check dept"))))</f>
        <v/>
      </c>
      <c r="U242" s="22" t="n"/>
      <c r="V242" s="22" t="n"/>
      <c r="W242" s="23" t="n"/>
      <c r="X242" s="23" t="n"/>
      <c r="Y242" s="22" t="n"/>
      <c r="Z242" s="22" t="n"/>
      <c r="AA242" s="26">
        <f>IF(COUNTA(C242,A242,B242,E242)=0,"",IF(C242="","No date - sits outside every month",IF(A242="","No job number",IF(H242="CHECK","Job number is not in the Xero job list",IF(G242="not set up yet","No department has set this job up - nothing can pull through",IF(D242="","No cost centre",IF(AND(U242="Y",B242=""),"Marked posted to Xero but has no invoice number",IF(N242="","Cost centre has no revenue GL on the Lists sheet",IF(T242="Xero higher - check dept","Invoiced more than the department says the job is worth","")))))))))</f>
        <v/>
      </c>
      <c r="AB242" s="28">
        <f>IF(A242="","",COUNTIFS(tbl_Finance[Job Number],A242&amp;"",tbl_Finance[Ex GST],"&lt;&gt;"))</f>
        <v/>
      </c>
      <c r="AC242" s="27">
        <f>IF(A242="","",SUMIFS(tbl_Finance[Ex GST],tbl_Finance[Job Number],A242&amp;""))</f>
        <v/>
      </c>
      <c r="AD242" s="27">
        <f>IF(A242="","",SUMIFS(tbl_Finance[Ex GST],tbl_Finance[Job Number],A242&amp;"",tbl_Finance[Xero Invoice No],"&lt;&gt;"))</f>
        <v/>
      </c>
      <c r="AE242" s="27">
        <f>IF(A242="","",AC242-AD242)</f>
        <v/>
      </c>
      <c r="AF242" s="26">
        <f>IF(A242="","",IFERROR(IF(INDEX(tbl_Onsite[Qwilr Quote],IFERROR(MATCH(A242&amp;"",tbl_Onsite[Job Number],0),MATCH(IFERROR(A242+0,A242),tbl_Onsite[Job Number],0)))="","",INDEX(tbl_Onsite[Qwilr Quote],IFERROR(MATCH(A242&amp;"",tbl_Onsite[Job Number],0),MATCH(IFERROR(A242+0,A242),tbl_Onsite[Job Number],0)))),IFERROR(IF(IF(INDEX(tbl_Production[Current RMS No],IFERROR(MATCH(A242&amp;"",tbl_Production[Job Number],0),MATCH(IFERROR(A242+0,A242),tbl_Production[Job Number],0)))="",INDEX(tbl_Production[Qwilr Quote],IFERROR(MATCH(A242&amp;"",tbl_Production[Job Number],0),MATCH(IFERROR(A242+0,A242),tbl_Production[Job Number],0))),INDEX(tbl_Production[Current RMS No],IFERROR(MATCH(A242&amp;"",tbl_Production[Job Number],0),MATCH(IFERROR(A242+0,A242),tbl_Production[Job Number],0))))="","",IF(INDEX(tbl_Production[Current RMS No],IFERROR(MATCH(A242&amp;"",tbl_Production[Job Number],0),MATCH(IFERROR(A242+0,A242),tbl_Production[Job Number],0)))="",INDEX(tbl_Production[Qwilr Quote],IFERROR(MATCH(A242&amp;"",tbl_Production[Job Number],0),MATCH(IFERROR(A242+0,A242),tbl_Production[Job Number],0))),INDEX(tbl_Production[Current RMS No],IFERROR(MATCH(A242&amp;"",tbl_Production[Job Number],0),MATCH(IFERROR(A242+0,A242),tbl_Production[Job Number],0))))),IFERROR(IF(INDEX(tbl_Consulting[Qwilr Quote],IFERROR(MATCH(A242&amp;"",tbl_Consulting[Job Number],0),MATCH(IFERROR(A242+0,A242),tbl_Consulting[Job Number],0)))="","",INDEX(tbl_Consulting[Qwilr Quote],IFERROR(MATCH(A242&amp;"",tbl_Consulting[Job Number],0),MATCH(IFERROR(A242+0,A242),tbl_Consulting[Job Number],0)))),""))))</f>
        <v/>
      </c>
      <c r="AG242" s="26">
        <f>IF(AF242="","",IF(AND(LEFT(AF242,4)&lt;&gt;"http",IF(G242="Production",set_RMSBase,set_QwilrBase)=""),"",HYPERLINK(IF(LEFT(AF242,4)="http",AF242,IF(G242="Production",set_RMSBase,set_QwilrBase)&amp;AF242),"Open")))</f>
        <v/>
      </c>
      <c r="AH242" s="27">
        <f>IF(A242="","",IFERROR(INDEX(tbl_Production[Total Expense],IFERROR(MATCH(A242&amp;"",tbl_Production[Job Number],0),MATCH(IFERROR(A242+0,A242),tbl_Production[Job Number],0))),IFERROR(INDEX(tbl_Consulting[Total Expense],IFERROR(MATCH(A242&amp;"",tbl_Consulting[Job Number],0),MATCH(IFERROR(A242+0,A242),tbl_Consulting[Job Number],0))),0)))</f>
        <v/>
      </c>
      <c r="AI242" s="27">
        <f>IF(A242="","",AC242-N(AH242))</f>
        <v/>
      </c>
      <c r="AJ242" s="29">
        <f>IFERROR(AI242/AC242,"")</f>
        <v/>
      </c>
      <c r="AK242" s="26">
        <f>IF(A242="","",IFERROR(IF(INDEX(tbl_Onsite[Notes],IFERROR(MATCH(A242&amp;"",tbl_Onsite[Job Number],0),MATCH(IFERROR(A242+0,A242),tbl_Onsite[Job Number],0)))="","",INDEX(tbl_Onsite[Notes],IFERROR(MATCH(A242&amp;"",tbl_Onsite[Job Number],0),MATCH(IFERROR(A242+0,A242),tbl_Onsite[Job Number],0)))),IFERROR(IF(INDEX(tbl_Production[Notes],IFERROR(MATCH(A242&amp;"",tbl_Production[Job Number],0),MATCH(IFERROR(A242+0,A242),tbl_Production[Job Number],0)))="","",INDEX(tbl_Production[Notes],IFERROR(MATCH(A242&amp;"",tbl_Production[Job Number],0),MATCH(IFERROR(A242+0,A242),tbl_Production[Job Number],0)))),IFERROR(IF(INDEX(tbl_Consulting[Notes],IFERROR(MATCH(A242&amp;"",tbl_Consulting[Job Number],0),MATCH(IFERROR(A242+0,A242),tbl_Consulting[Job Number],0)))="","",INDEX(tbl_Consulting[Notes],IFERROR(MATCH(A242&amp;"",tbl_Consulting[Job Number],0),MATCH(IFERROR(A242+0,A242),tbl_Consulting[Job Number],0)))),""))))</f>
        <v/>
      </c>
    </row>
    <row r="243" ht="15" customHeight="1">
      <c r="A243" s="22" t="n"/>
      <c r="B243" s="22" t="n"/>
      <c r="C243" s="23" t="n"/>
      <c r="D243" s="22" t="n"/>
      <c r="E243" s="24" t="n"/>
      <c r="F243" s="25">
        <f>IF(C243="","",EOMONTH(C243,0))</f>
        <v/>
      </c>
      <c r="G243" s="26">
        <f>IF(A243="","",IF(COUNTIF(tbl_Onsite[Job Number],A243&amp;"")&gt;0,"Onsite",IF(COUNTIF(tbl_Production[Job Number],A243&amp;"")&gt;0,"Production",IF(COUNTIF(tbl_Consulting[Job Number],A243&amp;"")&gt;0,"Consulting","not set up yet"))))</f>
        <v/>
      </c>
      <c r="H243" s="26">
        <f>IF(A243="","",IF(COUNTIF(lst_Jobs,A243&amp;"")&gt;0,"OK","CHECK"))</f>
        <v/>
      </c>
      <c r="I243" s="26">
        <f>IF(A243="","",IFERROR(INDEX(lst_JobName,MATCH(A243&amp;"",lst_Jobs,0)),""))</f>
        <v/>
      </c>
      <c r="J243" s="26">
        <f>IF(A243="","",IFERROR(IF(INDEX(tbl_Onsite[Client],IFERROR(MATCH(A243&amp;"",tbl_Onsite[Job Number],0),MATCH(IFERROR(A243+0,A243),tbl_Onsite[Job Number],0)))="","",INDEX(tbl_Onsite[Client],IFERROR(MATCH(A243&amp;"",tbl_Onsite[Job Number],0),MATCH(IFERROR(A243+0,A243),tbl_Onsite[Job Number],0)))),IFERROR(IF(INDEX(tbl_Production[Client],IFERROR(MATCH(A243&amp;"",tbl_Production[Job Number],0),MATCH(IFERROR(A243+0,A243),tbl_Production[Job Number],0)))="","",INDEX(tbl_Production[Client],IFERROR(MATCH(A243&amp;"",tbl_Production[Job Number],0),MATCH(IFERROR(A243+0,A243),tbl_Production[Job Number],0)))),IFERROR(IF(INDEX(tbl_Consulting[Client],IFERROR(MATCH(A243&amp;"",tbl_Consulting[Job Number],0),MATCH(IFERROR(A243+0,A243),tbl_Consulting[Job Number],0)))="","",INDEX(tbl_Consulting[Client],IFERROR(MATCH(A243&amp;"",tbl_Consulting[Job Number],0),MATCH(IFERROR(A243+0,A243),tbl_Consulting[Job Number],0)))),""))))</f>
        <v/>
      </c>
      <c r="K243" s="26">
        <f>IF(A243="","",IFERROR(IF(INDEX(tbl_Onsite[Job Description],IFERROR(MATCH(A243&amp;"",tbl_Onsite[Job Number],0),MATCH(IFERROR(A243+0,A243),tbl_Onsite[Job Number],0)))="","",INDEX(tbl_Onsite[Job Description],IFERROR(MATCH(A243&amp;"",tbl_Onsite[Job Number],0),MATCH(IFERROR(A243+0,A243),tbl_Onsite[Job Number],0)))),IFERROR(IF(INDEX(tbl_Production[Job Description],IFERROR(MATCH(A243&amp;"",tbl_Production[Job Number],0),MATCH(IFERROR(A243+0,A243),tbl_Production[Job Number],0)))="","",INDEX(tbl_Production[Job Description],IFERROR(MATCH(A243&amp;"",tbl_Production[Job Number],0),MATCH(IFERROR(A243+0,A243),tbl_Production[Job Number],0)))),IFERROR(IF(INDEX(tbl_Consulting[Job Description],IFERROR(MATCH(A243&amp;"",tbl_Consulting[Job Number],0),MATCH(IFERROR(A243+0,A243),tbl_Consulting[Job Number],0)))="","",INDEX(tbl_Consulting[Job Description],IFERROR(MATCH(A243&amp;"",tbl_Consulting[Job Number],0),MATCH(IFERROR(A243+0,A243),tbl_Consulting[Job Number],0)))),""))))</f>
        <v/>
      </c>
      <c r="L243" s="26">
        <f>IF(A243="","",IFERROR(IF(INDEX(tbl_Onsite[Invoice Type],IFERROR(MATCH(A243&amp;"",tbl_Onsite[Job Number],0),MATCH(IFERROR(A243+0,A243),tbl_Onsite[Job Number],0)))="","",INDEX(tbl_Onsite[Invoice Type],IFERROR(MATCH(A243&amp;"",tbl_Onsite[Job Number],0),MATCH(IFERROR(A243+0,A243),tbl_Onsite[Job Number],0)))),IFERROR(IF(INDEX(tbl_Production[Invoice Type],IFERROR(MATCH(A243&amp;"",tbl_Production[Job Number],0),MATCH(IFERROR(A243+0,A243),tbl_Production[Job Number],0)))="","",INDEX(tbl_Production[Invoice Type],IFERROR(MATCH(A243&amp;"",tbl_Production[Job Number],0),MATCH(IFERROR(A243+0,A243),tbl_Production[Job Number],0)))),IFERROR(IF(INDEX(tbl_Consulting[Invoice Type],IFERROR(MATCH(A243&amp;"",tbl_Consulting[Job Number],0),MATCH(IFERROR(A243+0,A243),tbl_Consulting[Job Number],0)))="","",INDEX(tbl_Consulting[Invoice Type],IFERROR(MATCH(A243&amp;"",tbl_Consulting[Job Number],0),MATCH(IFERROR(A243+0,A243),tbl_Consulting[Job Number],0)))),""))))</f>
        <v/>
      </c>
      <c r="M243" s="26">
        <f>IF(A243="","",IF(IFERROR(IF(INDEX(tbl_Onsite[Tax Code],IFERROR(MATCH(A243&amp;"",tbl_Onsite[Job Number],0),MATCH(IFERROR(A243+0,A243),tbl_Onsite[Job Number],0)))="","",INDEX(tbl_Onsite[Tax Code],IFERROR(MATCH(A243&amp;"",tbl_Onsite[Job Number],0),MATCH(IFERROR(A243+0,A243),tbl_Onsite[Job Number],0)))),IFERROR(IF(INDEX(tbl_Production[Tax Code],IFERROR(MATCH(A243&amp;"",tbl_Production[Job Number],0),MATCH(IFERROR(A243+0,A243),tbl_Production[Job Number],0)))="","",INDEX(tbl_Production[Tax Code],IFERROR(MATCH(A243&amp;"",tbl_Production[Job Number],0),MATCH(IFERROR(A243+0,A243),tbl_Production[Job Number],0)))),IFERROR(IF(INDEX(tbl_Consulting[Tax Code],IFERROR(MATCH(A243&amp;"",tbl_Consulting[Job Number],0),MATCH(IFERROR(A243+0,A243),tbl_Consulting[Job Number],0)))="","",INDEX(tbl_Consulting[Tax Code],IFERROR(MATCH(A243&amp;"",tbl_Consulting[Job Number],0),MATCH(IFERROR(A243+0,A243),tbl_Consulting[Job Number],0)))),"")))="","GST 10%",IFERROR(IF(INDEX(tbl_Onsite[Tax Code],IFERROR(MATCH(A243&amp;"",tbl_Onsite[Job Number],0),MATCH(IFERROR(A243+0,A243),tbl_Onsite[Job Number],0)))="","",INDEX(tbl_Onsite[Tax Code],IFERROR(MATCH(A243&amp;"",tbl_Onsite[Job Number],0),MATCH(IFERROR(A243+0,A243),tbl_Onsite[Job Number],0)))),IFERROR(IF(INDEX(tbl_Production[Tax Code],IFERROR(MATCH(A243&amp;"",tbl_Production[Job Number],0),MATCH(IFERROR(A243+0,A243),tbl_Production[Job Number],0)))="","",INDEX(tbl_Production[Tax Code],IFERROR(MATCH(A243&amp;"",tbl_Production[Job Number],0),MATCH(IFERROR(A243+0,A243),tbl_Production[Job Number],0)))),IFERROR(IF(INDEX(tbl_Consulting[Tax Code],IFERROR(MATCH(A243&amp;"",tbl_Consulting[Job Number],0),MATCH(IFERROR(A243+0,A243),tbl_Consulting[Job Number],0)))="","",INDEX(tbl_Consulting[Tax Code],IFERROR(MATCH(A243&amp;"",tbl_Consulting[Job Number],0),MATCH(IFERROR(A243+0,A243),tbl_Consulting[Job Number],0)))),"")))))</f>
        <v/>
      </c>
      <c r="N243" s="26">
        <f>IF(D243="","",IFERROR(INDEX(lst_CCtoGL,MATCH(D243,lst_CCforGL,0)),""))</f>
        <v/>
      </c>
      <c r="O243" s="27">
        <f>IF(E243="","",IF(M243="GST 10%",ROUND(E243*set_GSTRate,2),0))</f>
        <v/>
      </c>
      <c r="P243" s="27">
        <f>IF(E243="","",E243+O243)</f>
        <v/>
      </c>
      <c r="Q243" s="27">
        <f>IF(A243="","",IFERROR(INDEX(tbl_Onsite[Expected Revenue Ex GST],IFERROR(MATCH(A243&amp;"",tbl_Onsite[Job Number],0),MATCH(IFERROR(A243+0,A243),tbl_Onsite[Job Number],0))),IFERROR(INDEX(tbl_Production[Expected Revenue Ex GST],IFERROR(MATCH(A243&amp;"",tbl_Production[Job Number],0),MATCH(IFERROR(A243+0,A243),tbl_Production[Job Number],0))),IFERROR(INDEX(tbl_Consulting[Expected Revenue Ex GST],IFERROR(MATCH(A243&amp;"",tbl_Consulting[Job Number],0),MATCH(IFERROR(A243+0,A243),tbl_Consulting[Job Number],0))),0))))</f>
        <v/>
      </c>
      <c r="R243" s="27">
        <f>IF(A243="","",SUMIFS(tbl_Finance[Ex GST],tbl_Finance[Job Number],A243&amp;""))</f>
        <v/>
      </c>
      <c r="S243" s="27">
        <f>IF(A243="","",Q243-R243)</f>
        <v/>
      </c>
      <c r="T243" s="26">
        <f>IF(A243="","",IF(Q243=0,"No dept value",IF(ROUND(S243,2)=0,"Agrees",IF(S243&gt;0,"Dept higher - to invoice","Xero higher - check dept"))))</f>
        <v/>
      </c>
      <c r="U243" s="22" t="n"/>
      <c r="V243" s="22" t="n"/>
      <c r="W243" s="23" t="n"/>
      <c r="X243" s="23" t="n"/>
      <c r="Y243" s="22" t="n"/>
      <c r="Z243" s="22" t="n"/>
      <c r="AA243" s="26">
        <f>IF(COUNTA(C243,A243,B243,E243)=0,"",IF(C243="","No date - sits outside every month",IF(A243="","No job number",IF(H243="CHECK","Job number is not in the Xero job list",IF(G243="not set up yet","No department has set this job up - nothing can pull through",IF(D243="","No cost centre",IF(AND(U243="Y",B243=""),"Marked posted to Xero but has no invoice number",IF(N243="","Cost centre has no revenue GL on the Lists sheet",IF(T243="Xero higher - check dept","Invoiced more than the department says the job is worth","")))))))))</f>
        <v/>
      </c>
      <c r="AB243" s="28">
        <f>IF(A243="","",COUNTIFS(tbl_Finance[Job Number],A243&amp;"",tbl_Finance[Ex GST],"&lt;&gt;"))</f>
        <v/>
      </c>
      <c r="AC243" s="27">
        <f>IF(A243="","",SUMIFS(tbl_Finance[Ex GST],tbl_Finance[Job Number],A243&amp;""))</f>
        <v/>
      </c>
      <c r="AD243" s="27">
        <f>IF(A243="","",SUMIFS(tbl_Finance[Ex GST],tbl_Finance[Job Number],A243&amp;"",tbl_Finance[Xero Invoice No],"&lt;&gt;"))</f>
        <v/>
      </c>
      <c r="AE243" s="27">
        <f>IF(A243="","",AC243-AD243)</f>
        <v/>
      </c>
      <c r="AF243" s="26">
        <f>IF(A243="","",IFERROR(IF(INDEX(tbl_Onsite[Qwilr Quote],IFERROR(MATCH(A243&amp;"",tbl_Onsite[Job Number],0),MATCH(IFERROR(A243+0,A243),tbl_Onsite[Job Number],0)))="","",INDEX(tbl_Onsite[Qwilr Quote],IFERROR(MATCH(A243&amp;"",tbl_Onsite[Job Number],0),MATCH(IFERROR(A243+0,A243),tbl_Onsite[Job Number],0)))),IFERROR(IF(IF(INDEX(tbl_Production[Current RMS No],IFERROR(MATCH(A243&amp;"",tbl_Production[Job Number],0),MATCH(IFERROR(A243+0,A243),tbl_Production[Job Number],0)))="",INDEX(tbl_Production[Qwilr Quote],IFERROR(MATCH(A243&amp;"",tbl_Production[Job Number],0),MATCH(IFERROR(A243+0,A243),tbl_Production[Job Number],0))),INDEX(tbl_Production[Current RMS No],IFERROR(MATCH(A243&amp;"",tbl_Production[Job Number],0),MATCH(IFERROR(A243+0,A243),tbl_Production[Job Number],0))))="","",IF(INDEX(tbl_Production[Current RMS No],IFERROR(MATCH(A243&amp;"",tbl_Production[Job Number],0),MATCH(IFERROR(A243+0,A243),tbl_Production[Job Number],0)))="",INDEX(tbl_Production[Qwilr Quote],IFERROR(MATCH(A243&amp;"",tbl_Production[Job Number],0),MATCH(IFERROR(A243+0,A243),tbl_Production[Job Number],0))),INDEX(tbl_Production[Current RMS No],IFERROR(MATCH(A243&amp;"",tbl_Production[Job Number],0),MATCH(IFERROR(A243+0,A243),tbl_Production[Job Number],0))))),IFERROR(IF(INDEX(tbl_Consulting[Qwilr Quote],IFERROR(MATCH(A243&amp;"",tbl_Consulting[Job Number],0),MATCH(IFERROR(A243+0,A243),tbl_Consulting[Job Number],0)))="","",INDEX(tbl_Consulting[Qwilr Quote],IFERROR(MATCH(A243&amp;"",tbl_Consulting[Job Number],0),MATCH(IFERROR(A243+0,A243),tbl_Consulting[Job Number],0)))),""))))</f>
        <v/>
      </c>
      <c r="AG243" s="26">
        <f>IF(AF243="","",IF(AND(LEFT(AF243,4)&lt;&gt;"http",IF(G243="Production",set_RMSBase,set_QwilrBase)=""),"",HYPERLINK(IF(LEFT(AF243,4)="http",AF243,IF(G243="Production",set_RMSBase,set_QwilrBase)&amp;AF243),"Open")))</f>
        <v/>
      </c>
      <c r="AH243" s="27">
        <f>IF(A243="","",IFERROR(INDEX(tbl_Production[Total Expense],IFERROR(MATCH(A243&amp;"",tbl_Production[Job Number],0),MATCH(IFERROR(A243+0,A243),tbl_Production[Job Number],0))),IFERROR(INDEX(tbl_Consulting[Total Expense],IFERROR(MATCH(A243&amp;"",tbl_Consulting[Job Number],0),MATCH(IFERROR(A243+0,A243),tbl_Consulting[Job Number],0))),0)))</f>
        <v/>
      </c>
      <c r="AI243" s="27">
        <f>IF(A243="","",AC243-N(AH243))</f>
        <v/>
      </c>
      <c r="AJ243" s="29">
        <f>IFERROR(AI243/AC243,"")</f>
        <v/>
      </c>
      <c r="AK243" s="26">
        <f>IF(A243="","",IFERROR(IF(INDEX(tbl_Onsite[Notes],IFERROR(MATCH(A243&amp;"",tbl_Onsite[Job Number],0),MATCH(IFERROR(A243+0,A243),tbl_Onsite[Job Number],0)))="","",INDEX(tbl_Onsite[Notes],IFERROR(MATCH(A243&amp;"",tbl_Onsite[Job Number],0),MATCH(IFERROR(A243+0,A243),tbl_Onsite[Job Number],0)))),IFERROR(IF(INDEX(tbl_Production[Notes],IFERROR(MATCH(A243&amp;"",tbl_Production[Job Number],0),MATCH(IFERROR(A243+0,A243),tbl_Production[Job Number],0)))="","",INDEX(tbl_Production[Notes],IFERROR(MATCH(A243&amp;"",tbl_Production[Job Number],0),MATCH(IFERROR(A243+0,A243),tbl_Production[Job Number],0)))),IFERROR(IF(INDEX(tbl_Consulting[Notes],IFERROR(MATCH(A243&amp;"",tbl_Consulting[Job Number],0),MATCH(IFERROR(A243+0,A243),tbl_Consulting[Job Number],0)))="","",INDEX(tbl_Consulting[Notes],IFERROR(MATCH(A243&amp;"",tbl_Consulting[Job Number],0),MATCH(IFERROR(A243+0,A243),tbl_Consulting[Job Number],0)))),""))))</f>
        <v/>
      </c>
    </row>
    <row r="244" ht="15" customHeight="1">
      <c r="A244" s="22" t="n"/>
      <c r="B244" s="22" t="n"/>
      <c r="C244" s="23" t="n"/>
      <c r="D244" s="22" t="n"/>
      <c r="E244" s="24" t="n"/>
      <c r="F244" s="25">
        <f>IF(C244="","",EOMONTH(C244,0))</f>
        <v/>
      </c>
      <c r="G244" s="26">
        <f>IF(A244="","",IF(COUNTIF(tbl_Onsite[Job Number],A244&amp;"")&gt;0,"Onsite",IF(COUNTIF(tbl_Production[Job Number],A244&amp;"")&gt;0,"Production",IF(COUNTIF(tbl_Consulting[Job Number],A244&amp;"")&gt;0,"Consulting","not set up yet"))))</f>
        <v/>
      </c>
      <c r="H244" s="26">
        <f>IF(A244="","",IF(COUNTIF(lst_Jobs,A244&amp;"")&gt;0,"OK","CHECK"))</f>
        <v/>
      </c>
      <c r="I244" s="26">
        <f>IF(A244="","",IFERROR(INDEX(lst_JobName,MATCH(A244&amp;"",lst_Jobs,0)),""))</f>
        <v/>
      </c>
      <c r="J244" s="26">
        <f>IF(A244="","",IFERROR(IF(INDEX(tbl_Onsite[Client],IFERROR(MATCH(A244&amp;"",tbl_Onsite[Job Number],0),MATCH(IFERROR(A244+0,A244),tbl_Onsite[Job Number],0)))="","",INDEX(tbl_Onsite[Client],IFERROR(MATCH(A244&amp;"",tbl_Onsite[Job Number],0),MATCH(IFERROR(A244+0,A244),tbl_Onsite[Job Number],0)))),IFERROR(IF(INDEX(tbl_Production[Client],IFERROR(MATCH(A244&amp;"",tbl_Production[Job Number],0),MATCH(IFERROR(A244+0,A244),tbl_Production[Job Number],0)))="","",INDEX(tbl_Production[Client],IFERROR(MATCH(A244&amp;"",tbl_Production[Job Number],0),MATCH(IFERROR(A244+0,A244),tbl_Production[Job Number],0)))),IFERROR(IF(INDEX(tbl_Consulting[Client],IFERROR(MATCH(A244&amp;"",tbl_Consulting[Job Number],0),MATCH(IFERROR(A244+0,A244),tbl_Consulting[Job Number],0)))="","",INDEX(tbl_Consulting[Client],IFERROR(MATCH(A244&amp;"",tbl_Consulting[Job Number],0),MATCH(IFERROR(A244+0,A244),tbl_Consulting[Job Number],0)))),""))))</f>
        <v/>
      </c>
      <c r="K244" s="26">
        <f>IF(A244="","",IFERROR(IF(INDEX(tbl_Onsite[Job Description],IFERROR(MATCH(A244&amp;"",tbl_Onsite[Job Number],0),MATCH(IFERROR(A244+0,A244),tbl_Onsite[Job Number],0)))="","",INDEX(tbl_Onsite[Job Description],IFERROR(MATCH(A244&amp;"",tbl_Onsite[Job Number],0),MATCH(IFERROR(A244+0,A244),tbl_Onsite[Job Number],0)))),IFERROR(IF(INDEX(tbl_Production[Job Description],IFERROR(MATCH(A244&amp;"",tbl_Production[Job Number],0),MATCH(IFERROR(A244+0,A244),tbl_Production[Job Number],0)))="","",INDEX(tbl_Production[Job Description],IFERROR(MATCH(A244&amp;"",tbl_Production[Job Number],0),MATCH(IFERROR(A244+0,A244),tbl_Production[Job Number],0)))),IFERROR(IF(INDEX(tbl_Consulting[Job Description],IFERROR(MATCH(A244&amp;"",tbl_Consulting[Job Number],0),MATCH(IFERROR(A244+0,A244),tbl_Consulting[Job Number],0)))="","",INDEX(tbl_Consulting[Job Description],IFERROR(MATCH(A244&amp;"",tbl_Consulting[Job Number],0),MATCH(IFERROR(A244+0,A244),tbl_Consulting[Job Number],0)))),""))))</f>
        <v/>
      </c>
      <c r="L244" s="26">
        <f>IF(A244="","",IFERROR(IF(INDEX(tbl_Onsite[Invoice Type],IFERROR(MATCH(A244&amp;"",tbl_Onsite[Job Number],0),MATCH(IFERROR(A244+0,A244),tbl_Onsite[Job Number],0)))="","",INDEX(tbl_Onsite[Invoice Type],IFERROR(MATCH(A244&amp;"",tbl_Onsite[Job Number],0),MATCH(IFERROR(A244+0,A244),tbl_Onsite[Job Number],0)))),IFERROR(IF(INDEX(tbl_Production[Invoice Type],IFERROR(MATCH(A244&amp;"",tbl_Production[Job Number],0),MATCH(IFERROR(A244+0,A244),tbl_Production[Job Number],0)))="","",INDEX(tbl_Production[Invoice Type],IFERROR(MATCH(A244&amp;"",tbl_Production[Job Number],0),MATCH(IFERROR(A244+0,A244),tbl_Production[Job Number],0)))),IFERROR(IF(INDEX(tbl_Consulting[Invoice Type],IFERROR(MATCH(A244&amp;"",tbl_Consulting[Job Number],0),MATCH(IFERROR(A244+0,A244),tbl_Consulting[Job Number],0)))="","",INDEX(tbl_Consulting[Invoice Type],IFERROR(MATCH(A244&amp;"",tbl_Consulting[Job Number],0),MATCH(IFERROR(A244+0,A244),tbl_Consulting[Job Number],0)))),""))))</f>
        <v/>
      </c>
      <c r="M244" s="26">
        <f>IF(A244="","",IF(IFERROR(IF(INDEX(tbl_Onsite[Tax Code],IFERROR(MATCH(A244&amp;"",tbl_Onsite[Job Number],0),MATCH(IFERROR(A244+0,A244),tbl_Onsite[Job Number],0)))="","",INDEX(tbl_Onsite[Tax Code],IFERROR(MATCH(A244&amp;"",tbl_Onsite[Job Number],0),MATCH(IFERROR(A244+0,A244),tbl_Onsite[Job Number],0)))),IFERROR(IF(INDEX(tbl_Production[Tax Code],IFERROR(MATCH(A244&amp;"",tbl_Production[Job Number],0),MATCH(IFERROR(A244+0,A244),tbl_Production[Job Number],0)))="","",INDEX(tbl_Production[Tax Code],IFERROR(MATCH(A244&amp;"",tbl_Production[Job Number],0),MATCH(IFERROR(A244+0,A244),tbl_Production[Job Number],0)))),IFERROR(IF(INDEX(tbl_Consulting[Tax Code],IFERROR(MATCH(A244&amp;"",tbl_Consulting[Job Number],0),MATCH(IFERROR(A244+0,A244),tbl_Consulting[Job Number],0)))="","",INDEX(tbl_Consulting[Tax Code],IFERROR(MATCH(A244&amp;"",tbl_Consulting[Job Number],0),MATCH(IFERROR(A244+0,A244),tbl_Consulting[Job Number],0)))),"")))="","GST 10%",IFERROR(IF(INDEX(tbl_Onsite[Tax Code],IFERROR(MATCH(A244&amp;"",tbl_Onsite[Job Number],0),MATCH(IFERROR(A244+0,A244),tbl_Onsite[Job Number],0)))="","",INDEX(tbl_Onsite[Tax Code],IFERROR(MATCH(A244&amp;"",tbl_Onsite[Job Number],0),MATCH(IFERROR(A244+0,A244),tbl_Onsite[Job Number],0)))),IFERROR(IF(INDEX(tbl_Production[Tax Code],IFERROR(MATCH(A244&amp;"",tbl_Production[Job Number],0),MATCH(IFERROR(A244+0,A244),tbl_Production[Job Number],0)))="","",INDEX(tbl_Production[Tax Code],IFERROR(MATCH(A244&amp;"",tbl_Production[Job Number],0),MATCH(IFERROR(A244+0,A244),tbl_Production[Job Number],0)))),IFERROR(IF(INDEX(tbl_Consulting[Tax Code],IFERROR(MATCH(A244&amp;"",tbl_Consulting[Job Number],0),MATCH(IFERROR(A244+0,A244),tbl_Consulting[Job Number],0)))="","",INDEX(tbl_Consulting[Tax Code],IFERROR(MATCH(A244&amp;"",tbl_Consulting[Job Number],0),MATCH(IFERROR(A244+0,A244),tbl_Consulting[Job Number],0)))),"")))))</f>
        <v/>
      </c>
      <c r="N244" s="26">
        <f>IF(D244="","",IFERROR(INDEX(lst_CCtoGL,MATCH(D244,lst_CCforGL,0)),""))</f>
        <v/>
      </c>
      <c r="O244" s="27">
        <f>IF(E244="","",IF(M244="GST 10%",ROUND(E244*set_GSTRate,2),0))</f>
        <v/>
      </c>
      <c r="P244" s="27">
        <f>IF(E244="","",E244+O244)</f>
        <v/>
      </c>
      <c r="Q244" s="27">
        <f>IF(A244="","",IFERROR(INDEX(tbl_Onsite[Expected Revenue Ex GST],IFERROR(MATCH(A244&amp;"",tbl_Onsite[Job Number],0),MATCH(IFERROR(A244+0,A244),tbl_Onsite[Job Number],0))),IFERROR(INDEX(tbl_Production[Expected Revenue Ex GST],IFERROR(MATCH(A244&amp;"",tbl_Production[Job Number],0),MATCH(IFERROR(A244+0,A244),tbl_Production[Job Number],0))),IFERROR(INDEX(tbl_Consulting[Expected Revenue Ex GST],IFERROR(MATCH(A244&amp;"",tbl_Consulting[Job Number],0),MATCH(IFERROR(A244+0,A244),tbl_Consulting[Job Number],0))),0))))</f>
        <v/>
      </c>
      <c r="R244" s="27">
        <f>IF(A244="","",SUMIFS(tbl_Finance[Ex GST],tbl_Finance[Job Number],A244&amp;""))</f>
        <v/>
      </c>
      <c r="S244" s="27">
        <f>IF(A244="","",Q244-R244)</f>
        <v/>
      </c>
      <c r="T244" s="26">
        <f>IF(A244="","",IF(Q244=0,"No dept value",IF(ROUND(S244,2)=0,"Agrees",IF(S244&gt;0,"Dept higher - to invoice","Xero higher - check dept"))))</f>
        <v/>
      </c>
      <c r="U244" s="22" t="n"/>
      <c r="V244" s="22" t="n"/>
      <c r="W244" s="23" t="n"/>
      <c r="X244" s="23" t="n"/>
      <c r="Y244" s="22" t="n"/>
      <c r="Z244" s="22" t="n"/>
      <c r="AA244" s="26">
        <f>IF(COUNTA(C244,A244,B244,E244)=0,"",IF(C244="","No date - sits outside every month",IF(A244="","No job number",IF(H244="CHECK","Job number is not in the Xero job list",IF(G244="not set up yet","No department has set this job up - nothing can pull through",IF(D244="","No cost centre",IF(AND(U244="Y",B244=""),"Marked posted to Xero but has no invoice number",IF(N244="","Cost centre has no revenue GL on the Lists sheet",IF(T244="Xero higher - check dept","Invoiced more than the department says the job is worth","")))))))))</f>
        <v/>
      </c>
      <c r="AB244" s="28">
        <f>IF(A244="","",COUNTIFS(tbl_Finance[Job Number],A244&amp;"",tbl_Finance[Ex GST],"&lt;&gt;"))</f>
        <v/>
      </c>
      <c r="AC244" s="27">
        <f>IF(A244="","",SUMIFS(tbl_Finance[Ex GST],tbl_Finance[Job Number],A244&amp;""))</f>
        <v/>
      </c>
      <c r="AD244" s="27">
        <f>IF(A244="","",SUMIFS(tbl_Finance[Ex GST],tbl_Finance[Job Number],A244&amp;"",tbl_Finance[Xero Invoice No],"&lt;&gt;"))</f>
        <v/>
      </c>
      <c r="AE244" s="27">
        <f>IF(A244="","",AC244-AD244)</f>
        <v/>
      </c>
      <c r="AF244" s="26">
        <f>IF(A244="","",IFERROR(IF(INDEX(tbl_Onsite[Qwilr Quote],IFERROR(MATCH(A244&amp;"",tbl_Onsite[Job Number],0),MATCH(IFERROR(A244+0,A244),tbl_Onsite[Job Number],0)))="","",INDEX(tbl_Onsite[Qwilr Quote],IFERROR(MATCH(A244&amp;"",tbl_Onsite[Job Number],0),MATCH(IFERROR(A244+0,A244),tbl_Onsite[Job Number],0)))),IFERROR(IF(IF(INDEX(tbl_Production[Current RMS No],IFERROR(MATCH(A244&amp;"",tbl_Production[Job Number],0),MATCH(IFERROR(A244+0,A244),tbl_Production[Job Number],0)))="",INDEX(tbl_Production[Qwilr Quote],IFERROR(MATCH(A244&amp;"",tbl_Production[Job Number],0),MATCH(IFERROR(A244+0,A244),tbl_Production[Job Number],0))),INDEX(tbl_Production[Current RMS No],IFERROR(MATCH(A244&amp;"",tbl_Production[Job Number],0),MATCH(IFERROR(A244+0,A244),tbl_Production[Job Number],0))))="","",IF(INDEX(tbl_Production[Current RMS No],IFERROR(MATCH(A244&amp;"",tbl_Production[Job Number],0),MATCH(IFERROR(A244+0,A244),tbl_Production[Job Number],0)))="",INDEX(tbl_Production[Qwilr Quote],IFERROR(MATCH(A244&amp;"",tbl_Production[Job Number],0),MATCH(IFERROR(A244+0,A244),tbl_Production[Job Number],0))),INDEX(tbl_Production[Current RMS No],IFERROR(MATCH(A244&amp;"",tbl_Production[Job Number],0),MATCH(IFERROR(A244+0,A244),tbl_Production[Job Number],0))))),IFERROR(IF(INDEX(tbl_Consulting[Qwilr Quote],IFERROR(MATCH(A244&amp;"",tbl_Consulting[Job Number],0),MATCH(IFERROR(A244+0,A244),tbl_Consulting[Job Number],0)))="","",INDEX(tbl_Consulting[Qwilr Quote],IFERROR(MATCH(A244&amp;"",tbl_Consulting[Job Number],0),MATCH(IFERROR(A244+0,A244),tbl_Consulting[Job Number],0)))),""))))</f>
        <v/>
      </c>
      <c r="AG244" s="26">
        <f>IF(AF244="","",IF(AND(LEFT(AF244,4)&lt;&gt;"http",IF(G244="Production",set_RMSBase,set_QwilrBase)=""),"",HYPERLINK(IF(LEFT(AF244,4)="http",AF244,IF(G244="Production",set_RMSBase,set_QwilrBase)&amp;AF244),"Open")))</f>
        <v/>
      </c>
      <c r="AH244" s="27">
        <f>IF(A244="","",IFERROR(INDEX(tbl_Production[Total Expense],IFERROR(MATCH(A244&amp;"",tbl_Production[Job Number],0),MATCH(IFERROR(A244+0,A244),tbl_Production[Job Number],0))),IFERROR(INDEX(tbl_Consulting[Total Expense],IFERROR(MATCH(A244&amp;"",tbl_Consulting[Job Number],0),MATCH(IFERROR(A244+0,A244),tbl_Consulting[Job Number],0))),0)))</f>
        <v/>
      </c>
      <c r="AI244" s="27">
        <f>IF(A244="","",AC244-N(AH244))</f>
        <v/>
      </c>
      <c r="AJ244" s="29">
        <f>IFERROR(AI244/AC244,"")</f>
        <v/>
      </c>
      <c r="AK244" s="26">
        <f>IF(A244="","",IFERROR(IF(INDEX(tbl_Onsite[Notes],IFERROR(MATCH(A244&amp;"",tbl_Onsite[Job Number],0),MATCH(IFERROR(A244+0,A244),tbl_Onsite[Job Number],0)))="","",INDEX(tbl_Onsite[Notes],IFERROR(MATCH(A244&amp;"",tbl_Onsite[Job Number],0),MATCH(IFERROR(A244+0,A244),tbl_Onsite[Job Number],0)))),IFERROR(IF(INDEX(tbl_Production[Notes],IFERROR(MATCH(A244&amp;"",tbl_Production[Job Number],0),MATCH(IFERROR(A244+0,A244),tbl_Production[Job Number],0)))="","",INDEX(tbl_Production[Notes],IFERROR(MATCH(A244&amp;"",tbl_Production[Job Number],0),MATCH(IFERROR(A244+0,A244),tbl_Production[Job Number],0)))),IFERROR(IF(INDEX(tbl_Consulting[Notes],IFERROR(MATCH(A244&amp;"",tbl_Consulting[Job Number],0),MATCH(IFERROR(A244+0,A244),tbl_Consulting[Job Number],0)))="","",INDEX(tbl_Consulting[Notes],IFERROR(MATCH(A244&amp;"",tbl_Consulting[Job Number],0),MATCH(IFERROR(A244+0,A244),tbl_Consulting[Job Number],0)))),""))))</f>
        <v/>
      </c>
    </row>
    <row r="245" ht="15" customHeight="1">
      <c r="A245" s="22" t="n"/>
      <c r="B245" s="22" t="n"/>
      <c r="C245" s="23" t="n"/>
      <c r="D245" s="22" t="n"/>
      <c r="E245" s="24" t="n"/>
      <c r="F245" s="25">
        <f>IF(C245="","",EOMONTH(C245,0))</f>
        <v/>
      </c>
      <c r="G245" s="26">
        <f>IF(A245="","",IF(COUNTIF(tbl_Onsite[Job Number],A245&amp;"")&gt;0,"Onsite",IF(COUNTIF(tbl_Production[Job Number],A245&amp;"")&gt;0,"Production",IF(COUNTIF(tbl_Consulting[Job Number],A245&amp;"")&gt;0,"Consulting","not set up yet"))))</f>
        <v/>
      </c>
      <c r="H245" s="26">
        <f>IF(A245="","",IF(COUNTIF(lst_Jobs,A245&amp;"")&gt;0,"OK","CHECK"))</f>
        <v/>
      </c>
      <c r="I245" s="26">
        <f>IF(A245="","",IFERROR(INDEX(lst_JobName,MATCH(A245&amp;"",lst_Jobs,0)),""))</f>
        <v/>
      </c>
      <c r="J245" s="26">
        <f>IF(A245="","",IFERROR(IF(INDEX(tbl_Onsite[Client],IFERROR(MATCH(A245&amp;"",tbl_Onsite[Job Number],0),MATCH(IFERROR(A245+0,A245),tbl_Onsite[Job Number],0)))="","",INDEX(tbl_Onsite[Client],IFERROR(MATCH(A245&amp;"",tbl_Onsite[Job Number],0),MATCH(IFERROR(A245+0,A245),tbl_Onsite[Job Number],0)))),IFERROR(IF(INDEX(tbl_Production[Client],IFERROR(MATCH(A245&amp;"",tbl_Production[Job Number],0),MATCH(IFERROR(A245+0,A245),tbl_Production[Job Number],0)))="","",INDEX(tbl_Production[Client],IFERROR(MATCH(A245&amp;"",tbl_Production[Job Number],0),MATCH(IFERROR(A245+0,A245),tbl_Production[Job Number],0)))),IFERROR(IF(INDEX(tbl_Consulting[Client],IFERROR(MATCH(A245&amp;"",tbl_Consulting[Job Number],0),MATCH(IFERROR(A245+0,A245),tbl_Consulting[Job Number],0)))="","",INDEX(tbl_Consulting[Client],IFERROR(MATCH(A245&amp;"",tbl_Consulting[Job Number],0),MATCH(IFERROR(A245+0,A245),tbl_Consulting[Job Number],0)))),""))))</f>
        <v/>
      </c>
      <c r="K245" s="26">
        <f>IF(A245="","",IFERROR(IF(INDEX(tbl_Onsite[Job Description],IFERROR(MATCH(A245&amp;"",tbl_Onsite[Job Number],0),MATCH(IFERROR(A245+0,A245),tbl_Onsite[Job Number],0)))="","",INDEX(tbl_Onsite[Job Description],IFERROR(MATCH(A245&amp;"",tbl_Onsite[Job Number],0),MATCH(IFERROR(A245+0,A245),tbl_Onsite[Job Number],0)))),IFERROR(IF(INDEX(tbl_Production[Job Description],IFERROR(MATCH(A245&amp;"",tbl_Production[Job Number],0),MATCH(IFERROR(A245+0,A245),tbl_Production[Job Number],0)))="","",INDEX(tbl_Production[Job Description],IFERROR(MATCH(A245&amp;"",tbl_Production[Job Number],0),MATCH(IFERROR(A245+0,A245),tbl_Production[Job Number],0)))),IFERROR(IF(INDEX(tbl_Consulting[Job Description],IFERROR(MATCH(A245&amp;"",tbl_Consulting[Job Number],0),MATCH(IFERROR(A245+0,A245),tbl_Consulting[Job Number],0)))="","",INDEX(tbl_Consulting[Job Description],IFERROR(MATCH(A245&amp;"",tbl_Consulting[Job Number],0),MATCH(IFERROR(A245+0,A245),tbl_Consulting[Job Number],0)))),""))))</f>
        <v/>
      </c>
      <c r="L245" s="26">
        <f>IF(A245="","",IFERROR(IF(INDEX(tbl_Onsite[Invoice Type],IFERROR(MATCH(A245&amp;"",tbl_Onsite[Job Number],0),MATCH(IFERROR(A245+0,A245),tbl_Onsite[Job Number],0)))="","",INDEX(tbl_Onsite[Invoice Type],IFERROR(MATCH(A245&amp;"",tbl_Onsite[Job Number],0),MATCH(IFERROR(A245+0,A245),tbl_Onsite[Job Number],0)))),IFERROR(IF(INDEX(tbl_Production[Invoice Type],IFERROR(MATCH(A245&amp;"",tbl_Production[Job Number],0),MATCH(IFERROR(A245+0,A245),tbl_Production[Job Number],0)))="","",INDEX(tbl_Production[Invoice Type],IFERROR(MATCH(A245&amp;"",tbl_Production[Job Number],0),MATCH(IFERROR(A245+0,A245),tbl_Production[Job Number],0)))),IFERROR(IF(INDEX(tbl_Consulting[Invoice Type],IFERROR(MATCH(A245&amp;"",tbl_Consulting[Job Number],0),MATCH(IFERROR(A245+0,A245),tbl_Consulting[Job Number],0)))="","",INDEX(tbl_Consulting[Invoice Type],IFERROR(MATCH(A245&amp;"",tbl_Consulting[Job Number],0),MATCH(IFERROR(A245+0,A245),tbl_Consulting[Job Number],0)))),""))))</f>
        <v/>
      </c>
      <c r="M245" s="26">
        <f>IF(A245="","",IF(IFERROR(IF(INDEX(tbl_Onsite[Tax Code],IFERROR(MATCH(A245&amp;"",tbl_Onsite[Job Number],0),MATCH(IFERROR(A245+0,A245),tbl_Onsite[Job Number],0)))="","",INDEX(tbl_Onsite[Tax Code],IFERROR(MATCH(A245&amp;"",tbl_Onsite[Job Number],0),MATCH(IFERROR(A245+0,A245),tbl_Onsite[Job Number],0)))),IFERROR(IF(INDEX(tbl_Production[Tax Code],IFERROR(MATCH(A245&amp;"",tbl_Production[Job Number],0),MATCH(IFERROR(A245+0,A245),tbl_Production[Job Number],0)))="","",INDEX(tbl_Production[Tax Code],IFERROR(MATCH(A245&amp;"",tbl_Production[Job Number],0),MATCH(IFERROR(A245+0,A245),tbl_Production[Job Number],0)))),IFERROR(IF(INDEX(tbl_Consulting[Tax Code],IFERROR(MATCH(A245&amp;"",tbl_Consulting[Job Number],0),MATCH(IFERROR(A245+0,A245),tbl_Consulting[Job Number],0)))="","",INDEX(tbl_Consulting[Tax Code],IFERROR(MATCH(A245&amp;"",tbl_Consulting[Job Number],0),MATCH(IFERROR(A245+0,A245),tbl_Consulting[Job Number],0)))),"")))="","GST 10%",IFERROR(IF(INDEX(tbl_Onsite[Tax Code],IFERROR(MATCH(A245&amp;"",tbl_Onsite[Job Number],0),MATCH(IFERROR(A245+0,A245),tbl_Onsite[Job Number],0)))="","",INDEX(tbl_Onsite[Tax Code],IFERROR(MATCH(A245&amp;"",tbl_Onsite[Job Number],0),MATCH(IFERROR(A245+0,A245),tbl_Onsite[Job Number],0)))),IFERROR(IF(INDEX(tbl_Production[Tax Code],IFERROR(MATCH(A245&amp;"",tbl_Production[Job Number],0),MATCH(IFERROR(A245+0,A245),tbl_Production[Job Number],0)))="","",INDEX(tbl_Production[Tax Code],IFERROR(MATCH(A245&amp;"",tbl_Production[Job Number],0),MATCH(IFERROR(A245+0,A245),tbl_Production[Job Number],0)))),IFERROR(IF(INDEX(tbl_Consulting[Tax Code],IFERROR(MATCH(A245&amp;"",tbl_Consulting[Job Number],0),MATCH(IFERROR(A245+0,A245),tbl_Consulting[Job Number],0)))="","",INDEX(tbl_Consulting[Tax Code],IFERROR(MATCH(A245&amp;"",tbl_Consulting[Job Number],0),MATCH(IFERROR(A245+0,A245),tbl_Consulting[Job Number],0)))),"")))))</f>
        <v/>
      </c>
      <c r="N245" s="26">
        <f>IF(D245="","",IFERROR(INDEX(lst_CCtoGL,MATCH(D245,lst_CCforGL,0)),""))</f>
        <v/>
      </c>
      <c r="O245" s="27">
        <f>IF(E245="","",IF(M245="GST 10%",ROUND(E245*set_GSTRate,2),0))</f>
        <v/>
      </c>
      <c r="P245" s="27">
        <f>IF(E245="","",E245+O245)</f>
        <v/>
      </c>
      <c r="Q245" s="27">
        <f>IF(A245="","",IFERROR(INDEX(tbl_Onsite[Expected Revenue Ex GST],IFERROR(MATCH(A245&amp;"",tbl_Onsite[Job Number],0),MATCH(IFERROR(A245+0,A245),tbl_Onsite[Job Number],0))),IFERROR(INDEX(tbl_Production[Expected Revenue Ex GST],IFERROR(MATCH(A245&amp;"",tbl_Production[Job Number],0),MATCH(IFERROR(A245+0,A245),tbl_Production[Job Number],0))),IFERROR(INDEX(tbl_Consulting[Expected Revenue Ex GST],IFERROR(MATCH(A245&amp;"",tbl_Consulting[Job Number],0),MATCH(IFERROR(A245+0,A245),tbl_Consulting[Job Number],0))),0))))</f>
        <v/>
      </c>
      <c r="R245" s="27">
        <f>IF(A245="","",SUMIFS(tbl_Finance[Ex GST],tbl_Finance[Job Number],A245&amp;""))</f>
        <v/>
      </c>
      <c r="S245" s="27">
        <f>IF(A245="","",Q245-R245)</f>
        <v/>
      </c>
      <c r="T245" s="26">
        <f>IF(A245="","",IF(Q245=0,"No dept value",IF(ROUND(S245,2)=0,"Agrees",IF(S245&gt;0,"Dept higher - to invoice","Xero higher - check dept"))))</f>
        <v/>
      </c>
      <c r="U245" s="22" t="n"/>
      <c r="V245" s="22" t="n"/>
      <c r="W245" s="23" t="n"/>
      <c r="X245" s="23" t="n"/>
      <c r="Y245" s="22" t="n"/>
      <c r="Z245" s="22" t="n"/>
      <c r="AA245" s="26">
        <f>IF(COUNTA(C245,A245,B245,E245)=0,"",IF(C245="","No date - sits outside every month",IF(A245="","No job number",IF(H245="CHECK","Job number is not in the Xero job list",IF(G245="not set up yet","No department has set this job up - nothing can pull through",IF(D245="","No cost centre",IF(AND(U245="Y",B245=""),"Marked posted to Xero but has no invoice number",IF(N245="","Cost centre has no revenue GL on the Lists sheet",IF(T245="Xero higher - check dept","Invoiced more than the department says the job is worth","")))))))))</f>
        <v/>
      </c>
      <c r="AB245" s="28">
        <f>IF(A245="","",COUNTIFS(tbl_Finance[Job Number],A245&amp;"",tbl_Finance[Ex GST],"&lt;&gt;"))</f>
        <v/>
      </c>
      <c r="AC245" s="27">
        <f>IF(A245="","",SUMIFS(tbl_Finance[Ex GST],tbl_Finance[Job Number],A245&amp;""))</f>
        <v/>
      </c>
      <c r="AD245" s="27">
        <f>IF(A245="","",SUMIFS(tbl_Finance[Ex GST],tbl_Finance[Job Number],A245&amp;"",tbl_Finance[Xero Invoice No],"&lt;&gt;"))</f>
        <v/>
      </c>
      <c r="AE245" s="27">
        <f>IF(A245="","",AC245-AD245)</f>
        <v/>
      </c>
      <c r="AF245" s="26">
        <f>IF(A245="","",IFERROR(IF(INDEX(tbl_Onsite[Qwilr Quote],IFERROR(MATCH(A245&amp;"",tbl_Onsite[Job Number],0),MATCH(IFERROR(A245+0,A245),tbl_Onsite[Job Number],0)))="","",INDEX(tbl_Onsite[Qwilr Quote],IFERROR(MATCH(A245&amp;"",tbl_Onsite[Job Number],0),MATCH(IFERROR(A245+0,A245),tbl_Onsite[Job Number],0)))),IFERROR(IF(IF(INDEX(tbl_Production[Current RMS No],IFERROR(MATCH(A245&amp;"",tbl_Production[Job Number],0),MATCH(IFERROR(A245+0,A245),tbl_Production[Job Number],0)))="",INDEX(tbl_Production[Qwilr Quote],IFERROR(MATCH(A245&amp;"",tbl_Production[Job Number],0),MATCH(IFERROR(A245+0,A245),tbl_Production[Job Number],0))),INDEX(tbl_Production[Current RMS No],IFERROR(MATCH(A245&amp;"",tbl_Production[Job Number],0),MATCH(IFERROR(A245+0,A245),tbl_Production[Job Number],0))))="","",IF(INDEX(tbl_Production[Current RMS No],IFERROR(MATCH(A245&amp;"",tbl_Production[Job Number],0),MATCH(IFERROR(A245+0,A245),tbl_Production[Job Number],0)))="",INDEX(tbl_Production[Qwilr Quote],IFERROR(MATCH(A245&amp;"",tbl_Production[Job Number],0),MATCH(IFERROR(A245+0,A245),tbl_Production[Job Number],0))),INDEX(tbl_Production[Current RMS No],IFERROR(MATCH(A245&amp;"",tbl_Production[Job Number],0),MATCH(IFERROR(A245+0,A245),tbl_Production[Job Number],0))))),IFERROR(IF(INDEX(tbl_Consulting[Qwilr Quote],IFERROR(MATCH(A245&amp;"",tbl_Consulting[Job Number],0),MATCH(IFERROR(A245+0,A245),tbl_Consulting[Job Number],0)))="","",INDEX(tbl_Consulting[Qwilr Quote],IFERROR(MATCH(A245&amp;"",tbl_Consulting[Job Number],0),MATCH(IFERROR(A245+0,A245),tbl_Consulting[Job Number],0)))),""))))</f>
        <v/>
      </c>
      <c r="AG245" s="26">
        <f>IF(AF245="","",IF(AND(LEFT(AF245,4)&lt;&gt;"http",IF(G245="Production",set_RMSBase,set_QwilrBase)=""),"",HYPERLINK(IF(LEFT(AF245,4)="http",AF245,IF(G245="Production",set_RMSBase,set_QwilrBase)&amp;AF245),"Open")))</f>
        <v/>
      </c>
      <c r="AH245" s="27">
        <f>IF(A245="","",IFERROR(INDEX(tbl_Production[Total Expense],IFERROR(MATCH(A245&amp;"",tbl_Production[Job Number],0),MATCH(IFERROR(A245+0,A245),tbl_Production[Job Number],0))),IFERROR(INDEX(tbl_Consulting[Total Expense],IFERROR(MATCH(A245&amp;"",tbl_Consulting[Job Number],0),MATCH(IFERROR(A245+0,A245),tbl_Consulting[Job Number],0))),0)))</f>
        <v/>
      </c>
      <c r="AI245" s="27">
        <f>IF(A245="","",AC245-N(AH245))</f>
        <v/>
      </c>
      <c r="AJ245" s="29">
        <f>IFERROR(AI245/AC245,"")</f>
        <v/>
      </c>
      <c r="AK245" s="26">
        <f>IF(A245="","",IFERROR(IF(INDEX(tbl_Onsite[Notes],IFERROR(MATCH(A245&amp;"",tbl_Onsite[Job Number],0),MATCH(IFERROR(A245+0,A245),tbl_Onsite[Job Number],0)))="","",INDEX(tbl_Onsite[Notes],IFERROR(MATCH(A245&amp;"",tbl_Onsite[Job Number],0),MATCH(IFERROR(A245+0,A245),tbl_Onsite[Job Number],0)))),IFERROR(IF(INDEX(tbl_Production[Notes],IFERROR(MATCH(A245&amp;"",tbl_Production[Job Number],0),MATCH(IFERROR(A245+0,A245),tbl_Production[Job Number],0)))="","",INDEX(tbl_Production[Notes],IFERROR(MATCH(A245&amp;"",tbl_Production[Job Number],0),MATCH(IFERROR(A245+0,A245),tbl_Production[Job Number],0)))),IFERROR(IF(INDEX(tbl_Consulting[Notes],IFERROR(MATCH(A245&amp;"",tbl_Consulting[Job Number],0),MATCH(IFERROR(A245+0,A245),tbl_Consulting[Job Number],0)))="","",INDEX(tbl_Consulting[Notes],IFERROR(MATCH(A245&amp;"",tbl_Consulting[Job Number],0),MATCH(IFERROR(A245+0,A245),tbl_Consulting[Job Number],0)))),""))))</f>
        <v/>
      </c>
    </row>
    <row r="246" ht="15" customHeight="1">
      <c r="A246" s="22" t="n"/>
      <c r="B246" s="22" t="n"/>
      <c r="C246" s="23" t="n"/>
      <c r="D246" s="22" t="n"/>
      <c r="E246" s="24" t="n"/>
      <c r="F246" s="25">
        <f>IF(C246="","",EOMONTH(C246,0))</f>
        <v/>
      </c>
      <c r="G246" s="26">
        <f>IF(A246="","",IF(COUNTIF(tbl_Onsite[Job Number],A246&amp;"")&gt;0,"Onsite",IF(COUNTIF(tbl_Production[Job Number],A246&amp;"")&gt;0,"Production",IF(COUNTIF(tbl_Consulting[Job Number],A246&amp;"")&gt;0,"Consulting","not set up yet"))))</f>
        <v/>
      </c>
      <c r="H246" s="26">
        <f>IF(A246="","",IF(COUNTIF(lst_Jobs,A246&amp;"")&gt;0,"OK","CHECK"))</f>
        <v/>
      </c>
      <c r="I246" s="26">
        <f>IF(A246="","",IFERROR(INDEX(lst_JobName,MATCH(A246&amp;"",lst_Jobs,0)),""))</f>
        <v/>
      </c>
      <c r="J246" s="26">
        <f>IF(A246="","",IFERROR(IF(INDEX(tbl_Onsite[Client],IFERROR(MATCH(A246&amp;"",tbl_Onsite[Job Number],0),MATCH(IFERROR(A246+0,A246),tbl_Onsite[Job Number],0)))="","",INDEX(tbl_Onsite[Client],IFERROR(MATCH(A246&amp;"",tbl_Onsite[Job Number],0),MATCH(IFERROR(A246+0,A246),tbl_Onsite[Job Number],0)))),IFERROR(IF(INDEX(tbl_Production[Client],IFERROR(MATCH(A246&amp;"",tbl_Production[Job Number],0),MATCH(IFERROR(A246+0,A246),tbl_Production[Job Number],0)))="","",INDEX(tbl_Production[Client],IFERROR(MATCH(A246&amp;"",tbl_Production[Job Number],0),MATCH(IFERROR(A246+0,A246),tbl_Production[Job Number],0)))),IFERROR(IF(INDEX(tbl_Consulting[Client],IFERROR(MATCH(A246&amp;"",tbl_Consulting[Job Number],0),MATCH(IFERROR(A246+0,A246),tbl_Consulting[Job Number],0)))="","",INDEX(tbl_Consulting[Client],IFERROR(MATCH(A246&amp;"",tbl_Consulting[Job Number],0),MATCH(IFERROR(A246+0,A246),tbl_Consulting[Job Number],0)))),""))))</f>
        <v/>
      </c>
      <c r="K246" s="26">
        <f>IF(A246="","",IFERROR(IF(INDEX(tbl_Onsite[Job Description],IFERROR(MATCH(A246&amp;"",tbl_Onsite[Job Number],0),MATCH(IFERROR(A246+0,A246),tbl_Onsite[Job Number],0)))="","",INDEX(tbl_Onsite[Job Description],IFERROR(MATCH(A246&amp;"",tbl_Onsite[Job Number],0),MATCH(IFERROR(A246+0,A246),tbl_Onsite[Job Number],0)))),IFERROR(IF(INDEX(tbl_Production[Job Description],IFERROR(MATCH(A246&amp;"",tbl_Production[Job Number],0),MATCH(IFERROR(A246+0,A246),tbl_Production[Job Number],0)))="","",INDEX(tbl_Production[Job Description],IFERROR(MATCH(A246&amp;"",tbl_Production[Job Number],0),MATCH(IFERROR(A246+0,A246),tbl_Production[Job Number],0)))),IFERROR(IF(INDEX(tbl_Consulting[Job Description],IFERROR(MATCH(A246&amp;"",tbl_Consulting[Job Number],0),MATCH(IFERROR(A246+0,A246),tbl_Consulting[Job Number],0)))="","",INDEX(tbl_Consulting[Job Description],IFERROR(MATCH(A246&amp;"",tbl_Consulting[Job Number],0),MATCH(IFERROR(A246+0,A246),tbl_Consulting[Job Number],0)))),""))))</f>
        <v/>
      </c>
      <c r="L246" s="26">
        <f>IF(A246="","",IFERROR(IF(INDEX(tbl_Onsite[Invoice Type],IFERROR(MATCH(A246&amp;"",tbl_Onsite[Job Number],0),MATCH(IFERROR(A246+0,A246),tbl_Onsite[Job Number],0)))="","",INDEX(tbl_Onsite[Invoice Type],IFERROR(MATCH(A246&amp;"",tbl_Onsite[Job Number],0),MATCH(IFERROR(A246+0,A246),tbl_Onsite[Job Number],0)))),IFERROR(IF(INDEX(tbl_Production[Invoice Type],IFERROR(MATCH(A246&amp;"",tbl_Production[Job Number],0),MATCH(IFERROR(A246+0,A246),tbl_Production[Job Number],0)))="","",INDEX(tbl_Production[Invoice Type],IFERROR(MATCH(A246&amp;"",tbl_Production[Job Number],0),MATCH(IFERROR(A246+0,A246),tbl_Production[Job Number],0)))),IFERROR(IF(INDEX(tbl_Consulting[Invoice Type],IFERROR(MATCH(A246&amp;"",tbl_Consulting[Job Number],0),MATCH(IFERROR(A246+0,A246),tbl_Consulting[Job Number],0)))="","",INDEX(tbl_Consulting[Invoice Type],IFERROR(MATCH(A246&amp;"",tbl_Consulting[Job Number],0),MATCH(IFERROR(A246+0,A246),tbl_Consulting[Job Number],0)))),""))))</f>
        <v/>
      </c>
      <c r="M246" s="26">
        <f>IF(A246="","",IF(IFERROR(IF(INDEX(tbl_Onsite[Tax Code],IFERROR(MATCH(A246&amp;"",tbl_Onsite[Job Number],0),MATCH(IFERROR(A246+0,A246),tbl_Onsite[Job Number],0)))="","",INDEX(tbl_Onsite[Tax Code],IFERROR(MATCH(A246&amp;"",tbl_Onsite[Job Number],0),MATCH(IFERROR(A246+0,A246),tbl_Onsite[Job Number],0)))),IFERROR(IF(INDEX(tbl_Production[Tax Code],IFERROR(MATCH(A246&amp;"",tbl_Production[Job Number],0),MATCH(IFERROR(A246+0,A246),tbl_Production[Job Number],0)))="","",INDEX(tbl_Production[Tax Code],IFERROR(MATCH(A246&amp;"",tbl_Production[Job Number],0),MATCH(IFERROR(A246+0,A246),tbl_Production[Job Number],0)))),IFERROR(IF(INDEX(tbl_Consulting[Tax Code],IFERROR(MATCH(A246&amp;"",tbl_Consulting[Job Number],0),MATCH(IFERROR(A246+0,A246),tbl_Consulting[Job Number],0)))="","",INDEX(tbl_Consulting[Tax Code],IFERROR(MATCH(A246&amp;"",tbl_Consulting[Job Number],0),MATCH(IFERROR(A246+0,A246),tbl_Consulting[Job Number],0)))),"")))="","GST 10%",IFERROR(IF(INDEX(tbl_Onsite[Tax Code],IFERROR(MATCH(A246&amp;"",tbl_Onsite[Job Number],0),MATCH(IFERROR(A246+0,A246),tbl_Onsite[Job Number],0)))="","",INDEX(tbl_Onsite[Tax Code],IFERROR(MATCH(A246&amp;"",tbl_Onsite[Job Number],0),MATCH(IFERROR(A246+0,A246),tbl_Onsite[Job Number],0)))),IFERROR(IF(INDEX(tbl_Production[Tax Code],IFERROR(MATCH(A246&amp;"",tbl_Production[Job Number],0),MATCH(IFERROR(A246+0,A246),tbl_Production[Job Number],0)))="","",INDEX(tbl_Production[Tax Code],IFERROR(MATCH(A246&amp;"",tbl_Production[Job Number],0),MATCH(IFERROR(A246+0,A246),tbl_Production[Job Number],0)))),IFERROR(IF(INDEX(tbl_Consulting[Tax Code],IFERROR(MATCH(A246&amp;"",tbl_Consulting[Job Number],0),MATCH(IFERROR(A246+0,A246),tbl_Consulting[Job Number],0)))="","",INDEX(tbl_Consulting[Tax Code],IFERROR(MATCH(A246&amp;"",tbl_Consulting[Job Number],0),MATCH(IFERROR(A246+0,A246),tbl_Consulting[Job Number],0)))),"")))))</f>
        <v/>
      </c>
      <c r="N246" s="26">
        <f>IF(D246="","",IFERROR(INDEX(lst_CCtoGL,MATCH(D246,lst_CCforGL,0)),""))</f>
        <v/>
      </c>
      <c r="O246" s="27">
        <f>IF(E246="","",IF(M246="GST 10%",ROUND(E246*set_GSTRate,2),0))</f>
        <v/>
      </c>
      <c r="P246" s="27">
        <f>IF(E246="","",E246+O246)</f>
        <v/>
      </c>
      <c r="Q246" s="27">
        <f>IF(A246="","",IFERROR(INDEX(tbl_Onsite[Expected Revenue Ex GST],IFERROR(MATCH(A246&amp;"",tbl_Onsite[Job Number],0),MATCH(IFERROR(A246+0,A246),tbl_Onsite[Job Number],0))),IFERROR(INDEX(tbl_Production[Expected Revenue Ex GST],IFERROR(MATCH(A246&amp;"",tbl_Production[Job Number],0),MATCH(IFERROR(A246+0,A246),tbl_Production[Job Number],0))),IFERROR(INDEX(tbl_Consulting[Expected Revenue Ex GST],IFERROR(MATCH(A246&amp;"",tbl_Consulting[Job Number],0),MATCH(IFERROR(A246+0,A246),tbl_Consulting[Job Number],0))),0))))</f>
        <v/>
      </c>
      <c r="R246" s="27">
        <f>IF(A246="","",SUMIFS(tbl_Finance[Ex GST],tbl_Finance[Job Number],A246&amp;""))</f>
        <v/>
      </c>
      <c r="S246" s="27">
        <f>IF(A246="","",Q246-R246)</f>
        <v/>
      </c>
      <c r="T246" s="26">
        <f>IF(A246="","",IF(Q246=0,"No dept value",IF(ROUND(S246,2)=0,"Agrees",IF(S246&gt;0,"Dept higher - to invoice","Xero higher - check dept"))))</f>
        <v/>
      </c>
      <c r="U246" s="22" t="n"/>
      <c r="V246" s="22" t="n"/>
      <c r="W246" s="23" t="n"/>
      <c r="X246" s="23" t="n"/>
      <c r="Y246" s="22" t="n"/>
      <c r="Z246" s="22" t="n"/>
      <c r="AA246" s="26">
        <f>IF(COUNTA(C246,A246,B246,E246)=0,"",IF(C246="","No date - sits outside every month",IF(A246="","No job number",IF(H246="CHECK","Job number is not in the Xero job list",IF(G246="not set up yet","No department has set this job up - nothing can pull through",IF(D246="","No cost centre",IF(AND(U246="Y",B246=""),"Marked posted to Xero but has no invoice number",IF(N246="","Cost centre has no revenue GL on the Lists sheet",IF(T246="Xero higher - check dept","Invoiced more than the department says the job is worth","")))))))))</f>
        <v/>
      </c>
      <c r="AB246" s="28">
        <f>IF(A246="","",COUNTIFS(tbl_Finance[Job Number],A246&amp;"",tbl_Finance[Ex GST],"&lt;&gt;"))</f>
        <v/>
      </c>
      <c r="AC246" s="27">
        <f>IF(A246="","",SUMIFS(tbl_Finance[Ex GST],tbl_Finance[Job Number],A246&amp;""))</f>
        <v/>
      </c>
      <c r="AD246" s="27">
        <f>IF(A246="","",SUMIFS(tbl_Finance[Ex GST],tbl_Finance[Job Number],A246&amp;"",tbl_Finance[Xero Invoice No],"&lt;&gt;"))</f>
        <v/>
      </c>
      <c r="AE246" s="27">
        <f>IF(A246="","",AC246-AD246)</f>
        <v/>
      </c>
      <c r="AF246" s="26">
        <f>IF(A246="","",IFERROR(IF(INDEX(tbl_Onsite[Qwilr Quote],IFERROR(MATCH(A246&amp;"",tbl_Onsite[Job Number],0),MATCH(IFERROR(A246+0,A246),tbl_Onsite[Job Number],0)))="","",INDEX(tbl_Onsite[Qwilr Quote],IFERROR(MATCH(A246&amp;"",tbl_Onsite[Job Number],0),MATCH(IFERROR(A246+0,A246),tbl_Onsite[Job Number],0)))),IFERROR(IF(IF(INDEX(tbl_Production[Current RMS No],IFERROR(MATCH(A246&amp;"",tbl_Production[Job Number],0),MATCH(IFERROR(A246+0,A246),tbl_Production[Job Number],0)))="",INDEX(tbl_Production[Qwilr Quote],IFERROR(MATCH(A246&amp;"",tbl_Production[Job Number],0),MATCH(IFERROR(A246+0,A246),tbl_Production[Job Number],0))),INDEX(tbl_Production[Current RMS No],IFERROR(MATCH(A246&amp;"",tbl_Production[Job Number],0),MATCH(IFERROR(A246+0,A246),tbl_Production[Job Number],0))))="","",IF(INDEX(tbl_Production[Current RMS No],IFERROR(MATCH(A246&amp;"",tbl_Production[Job Number],0),MATCH(IFERROR(A246+0,A246),tbl_Production[Job Number],0)))="",INDEX(tbl_Production[Qwilr Quote],IFERROR(MATCH(A246&amp;"",tbl_Production[Job Number],0),MATCH(IFERROR(A246+0,A246),tbl_Production[Job Number],0))),INDEX(tbl_Production[Current RMS No],IFERROR(MATCH(A246&amp;"",tbl_Production[Job Number],0),MATCH(IFERROR(A246+0,A246),tbl_Production[Job Number],0))))),IFERROR(IF(INDEX(tbl_Consulting[Qwilr Quote],IFERROR(MATCH(A246&amp;"",tbl_Consulting[Job Number],0),MATCH(IFERROR(A246+0,A246),tbl_Consulting[Job Number],0)))="","",INDEX(tbl_Consulting[Qwilr Quote],IFERROR(MATCH(A246&amp;"",tbl_Consulting[Job Number],0),MATCH(IFERROR(A246+0,A246),tbl_Consulting[Job Number],0)))),""))))</f>
        <v/>
      </c>
      <c r="AG246" s="26">
        <f>IF(AF246="","",IF(AND(LEFT(AF246,4)&lt;&gt;"http",IF(G246="Production",set_RMSBase,set_QwilrBase)=""),"",HYPERLINK(IF(LEFT(AF246,4)="http",AF246,IF(G246="Production",set_RMSBase,set_QwilrBase)&amp;AF246),"Open")))</f>
        <v/>
      </c>
      <c r="AH246" s="27">
        <f>IF(A246="","",IFERROR(INDEX(tbl_Production[Total Expense],IFERROR(MATCH(A246&amp;"",tbl_Production[Job Number],0),MATCH(IFERROR(A246+0,A246),tbl_Production[Job Number],0))),IFERROR(INDEX(tbl_Consulting[Total Expense],IFERROR(MATCH(A246&amp;"",tbl_Consulting[Job Number],0),MATCH(IFERROR(A246+0,A246),tbl_Consulting[Job Number],0))),0)))</f>
        <v/>
      </c>
      <c r="AI246" s="27">
        <f>IF(A246="","",AC246-N(AH246))</f>
        <v/>
      </c>
      <c r="AJ246" s="29">
        <f>IFERROR(AI246/AC246,"")</f>
        <v/>
      </c>
      <c r="AK246" s="26">
        <f>IF(A246="","",IFERROR(IF(INDEX(tbl_Onsite[Notes],IFERROR(MATCH(A246&amp;"",tbl_Onsite[Job Number],0),MATCH(IFERROR(A246+0,A246),tbl_Onsite[Job Number],0)))="","",INDEX(tbl_Onsite[Notes],IFERROR(MATCH(A246&amp;"",tbl_Onsite[Job Number],0),MATCH(IFERROR(A246+0,A246),tbl_Onsite[Job Number],0)))),IFERROR(IF(INDEX(tbl_Production[Notes],IFERROR(MATCH(A246&amp;"",tbl_Production[Job Number],0),MATCH(IFERROR(A246+0,A246),tbl_Production[Job Number],0)))="","",INDEX(tbl_Production[Notes],IFERROR(MATCH(A246&amp;"",tbl_Production[Job Number],0),MATCH(IFERROR(A246+0,A246),tbl_Production[Job Number],0)))),IFERROR(IF(INDEX(tbl_Consulting[Notes],IFERROR(MATCH(A246&amp;"",tbl_Consulting[Job Number],0),MATCH(IFERROR(A246+0,A246),tbl_Consulting[Job Number],0)))="","",INDEX(tbl_Consulting[Notes],IFERROR(MATCH(A246&amp;"",tbl_Consulting[Job Number],0),MATCH(IFERROR(A246+0,A246),tbl_Consulting[Job Number],0)))),""))))</f>
        <v/>
      </c>
    </row>
    <row r="247" ht="15" customHeight="1">
      <c r="A247" s="22" t="n"/>
      <c r="B247" s="22" t="n"/>
      <c r="C247" s="23" t="n"/>
      <c r="D247" s="22" t="n"/>
      <c r="E247" s="24" t="n"/>
      <c r="F247" s="25">
        <f>IF(C247="","",EOMONTH(C247,0))</f>
        <v/>
      </c>
      <c r="G247" s="26">
        <f>IF(A247="","",IF(COUNTIF(tbl_Onsite[Job Number],A247&amp;"")&gt;0,"Onsite",IF(COUNTIF(tbl_Production[Job Number],A247&amp;"")&gt;0,"Production",IF(COUNTIF(tbl_Consulting[Job Number],A247&amp;"")&gt;0,"Consulting","not set up yet"))))</f>
        <v/>
      </c>
      <c r="H247" s="26">
        <f>IF(A247="","",IF(COUNTIF(lst_Jobs,A247&amp;"")&gt;0,"OK","CHECK"))</f>
        <v/>
      </c>
      <c r="I247" s="26">
        <f>IF(A247="","",IFERROR(INDEX(lst_JobName,MATCH(A247&amp;"",lst_Jobs,0)),""))</f>
        <v/>
      </c>
      <c r="J247" s="26">
        <f>IF(A247="","",IFERROR(IF(INDEX(tbl_Onsite[Client],IFERROR(MATCH(A247&amp;"",tbl_Onsite[Job Number],0),MATCH(IFERROR(A247+0,A247),tbl_Onsite[Job Number],0)))="","",INDEX(tbl_Onsite[Client],IFERROR(MATCH(A247&amp;"",tbl_Onsite[Job Number],0),MATCH(IFERROR(A247+0,A247),tbl_Onsite[Job Number],0)))),IFERROR(IF(INDEX(tbl_Production[Client],IFERROR(MATCH(A247&amp;"",tbl_Production[Job Number],0),MATCH(IFERROR(A247+0,A247),tbl_Production[Job Number],0)))="","",INDEX(tbl_Production[Client],IFERROR(MATCH(A247&amp;"",tbl_Production[Job Number],0),MATCH(IFERROR(A247+0,A247),tbl_Production[Job Number],0)))),IFERROR(IF(INDEX(tbl_Consulting[Client],IFERROR(MATCH(A247&amp;"",tbl_Consulting[Job Number],0),MATCH(IFERROR(A247+0,A247),tbl_Consulting[Job Number],0)))="","",INDEX(tbl_Consulting[Client],IFERROR(MATCH(A247&amp;"",tbl_Consulting[Job Number],0),MATCH(IFERROR(A247+0,A247),tbl_Consulting[Job Number],0)))),""))))</f>
        <v/>
      </c>
      <c r="K247" s="26">
        <f>IF(A247="","",IFERROR(IF(INDEX(tbl_Onsite[Job Description],IFERROR(MATCH(A247&amp;"",tbl_Onsite[Job Number],0),MATCH(IFERROR(A247+0,A247),tbl_Onsite[Job Number],0)))="","",INDEX(tbl_Onsite[Job Description],IFERROR(MATCH(A247&amp;"",tbl_Onsite[Job Number],0),MATCH(IFERROR(A247+0,A247),tbl_Onsite[Job Number],0)))),IFERROR(IF(INDEX(tbl_Production[Job Description],IFERROR(MATCH(A247&amp;"",tbl_Production[Job Number],0),MATCH(IFERROR(A247+0,A247),tbl_Production[Job Number],0)))="","",INDEX(tbl_Production[Job Description],IFERROR(MATCH(A247&amp;"",tbl_Production[Job Number],0),MATCH(IFERROR(A247+0,A247),tbl_Production[Job Number],0)))),IFERROR(IF(INDEX(tbl_Consulting[Job Description],IFERROR(MATCH(A247&amp;"",tbl_Consulting[Job Number],0),MATCH(IFERROR(A247+0,A247),tbl_Consulting[Job Number],0)))="","",INDEX(tbl_Consulting[Job Description],IFERROR(MATCH(A247&amp;"",tbl_Consulting[Job Number],0),MATCH(IFERROR(A247+0,A247),tbl_Consulting[Job Number],0)))),""))))</f>
        <v/>
      </c>
      <c r="L247" s="26">
        <f>IF(A247="","",IFERROR(IF(INDEX(tbl_Onsite[Invoice Type],IFERROR(MATCH(A247&amp;"",tbl_Onsite[Job Number],0),MATCH(IFERROR(A247+0,A247),tbl_Onsite[Job Number],0)))="","",INDEX(tbl_Onsite[Invoice Type],IFERROR(MATCH(A247&amp;"",tbl_Onsite[Job Number],0),MATCH(IFERROR(A247+0,A247),tbl_Onsite[Job Number],0)))),IFERROR(IF(INDEX(tbl_Production[Invoice Type],IFERROR(MATCH(A247&amp;"",tbl_Production[Job Number],0),MATCH(IFERROR(A247+0,A247),tbl_Production[Job Number],0)))="","",INDEX(tbl_Production[Invoice Type],IFERROR(MATCH(A247&amp;"",tbl_Production[Job Number],0),MATCH(IFERROR(A247+0,A247),tbl_Production[Job Number],0)))),IFERROR(IF(INDEX(tbl_Consulting[Invoice Type],IFERROR(MATCH(A247&amp;"",tbl_Consulting[Job Number],0),MATCH(IFERROR(A247+0,A247),tbl_Consulting[Job Number],0)))="","",INDEX(tbl_Consulting[Invoice Type],IFERROR(MATCH(A247&amp;"",tbl_Consulting[Job Number],0),MATCH(IFERROR(A247+0,A247),tbl_Consulting[Job Number],0)))),""))))</f>
        <v/>
      </c>
      <c r="M247" s="26">
        <f>IF(A247="","",IF(IFERROR(IF(INDEX(tbl_Onsite[Tax Code],IFERROR(MATCH(A247&amp;"",tbl_Onsite[Job Number],0),MATCH(IFERROR(A247+0,A247),tbl_Onsite[Job Number],0)))="","",INDEX(tbl_Onsite[Tax Code],IFERROR(MATCH(A247&amp;"",tbl_Onsite[Job Number],0),MATCH(IFERROR(A247+0,A247),tbl_Onsite[Job Number],0)))),IFERROR(IF(INDEX(tbl_Production[Tax Code],IFERROR(MATCH(A247&amp;"",tbl_Production[Job Number],0),MATCH(IFERROR(A247+0,A247),tbl_Production[Job Number],0)))="","",INDEX(tbl_Production[Tax Code],IFERROR(MATCH(A247&amp;"",tbl_Production[Job Number],0),MATCH(IFERROR(A247+0,A247),tbl_Production[Job Number],0)))),IFERROR(IF(INDEX(tbl_Consulting[Tax Code],IFERROR(MATCH(A247&amp;"",tbl_Consulting[Job Number],0),MATCH(IFERROR(A247+0,A247),tbl_Consulting[Job Number],0)))="","",INDEX(tbl_Consulting[Tax Code],IFERROR(MATCH(A247&amp;"",tbl_Consulting[Job Number],0),MATCH(IFERROR(A247+0,A247),tbl_Consulting[Job Number],0)))),"")))="","GST 10%",IFERROR(IF(INDEX(tbl_Onsite[Tax Code],IFERROR(MATCH(A247&amp;"",tbl_Onsite[Job Number],0),MATCH(IFERROR(A247+0,A247),tbl_Onsite[Job Number],0)))="","",INDEX(tbl_Onsite[Tax Code],IFERROR(MATCH(A247&amp;"",tbl_Onsite[Job Number],0),MATCH(IFERROR(A247+0,A247),tbl_Onsite[Job Number],0)))),IFERROR(IF(INDEX(tbl_Production[Tax Code],IFERROR(MATCH(A247&amp;"",tbl_Production[Job Number],0),MATCH(IFERROR(A247+0,A247),tbl_Production[Job Number],0)))="","",INDEX(tbl_Production[Tax Code],IFERROR(MATCH(A247&amp;"",tbl_Production[Job Number],0),MATCH(IFERROR(A247+0,A247),tbl_Production[Job Number],0)))),IFERROR(IF(INDEX(tbl_Consulting[Tax Code],IFERROR(MATCH(A247&amp;"",tbl_Consulting[Job Number],0),MATCH(IFERROR(A247+0,A247),tbl_Consulting[Job Number],0)))="","",INDEX(tbl_Consulting[Tax Code],IFERROR(MATCH(A247&amp;"",tbl_Consulting[Job Number],0),MATCH(IFERROR(A247+0,A247),tbl_Consulting[Job Number],0)))),"")))))</f>
        <v/>
      </c>
      <c r="N247" s="26">
        <f>IF(D247="","",IFERROR(INDEX(lst_CCtoGL,MATCH(D247,lst_CCforGL,0)),""))</f>
        <v/>
      </c>
      <c r="O247" s="27">
        <f>IF(E247="","",IF(M247="GST 10%",ROUND(E247*set_GSTRate,2),0))</f>
        <v/>
      </c>
      <c r="P247" s="27">
        <f>IF(E247="","",E247+O247)</f>
        <v/>
      </c>
      <c r="Q247" s="27">
        <f>IF(A247="","",IFERROR(INDEX(tbl_Onsite[Expected Revenue Ex GST],IFERROR(MATCH(A247&amp;"",tbl_Onsite[Job Number],0),MATCH(IFERROR(A247+0,A247),tbl_Onsite[Job Number],0))),IFERROR(INDEX(tbl_Production[Expected Revenue Ex GST],IFERROR(MATCH(A247&amp;"",tbl_Production[Job Number],0),MATCH(IFERROR(A247+0,A247),tbl_Production[Job Number],0))),IFERROR(INDEX(tbl_Consulting[Expected Revenue Ex GST],IFERROR(MATCH(A247&amp;"",tbl_Consulting[Job Number],0),MATCH(IFERROR(A247+0,A247),tbl_Consulting[Job Number],0))),0))))</f>
        <v/>
      </c>
      <c r="R247" s="27">
        <f>IF(A247="","",SUMIFS(tbl_Finance[Ex GST],tbl_Finance[Job Number],A247&amp;""))</f>
        <v/>
      </c>
      <c r="S247" s="27">
        <f>IF(A247="","",Q247-R247)</f>
        <v/>
      </c>
      <c r="T247" s="26">
        <f>IF(A247="","",IF(Q247=0,"No dept value",IF(ROUND(S247,2)=0,"Agrees",IF(S247&gt;0,"Dept higher - to invoice","Xero higher - check dept"))))</f>
        <v/>
      </c>
      <c r="U247" s="22" t="n"/>
      <c r="V247" s="22" t="n"/>
      <c r="W247" s="23" t="n"/>
      <c r="X247" s="23" t="n"/>
      <c r="Y247" s="22" t="n"/>
      <c r="Z247" s="22" t="n"/>
      <c r="AA247" s="26">
        <f>IF(COUNTA(C247,A247,B247,E247)=0,"",IF(C247="","No date - sits outside every month",IF(A247="","No job number",IF(H247="CHECK","Job number is not in the Xero job list",IF(G247="not set up yet","No department has set this job up - nothing can pull through",IF(D247="","No cost centre",IF(AND(U247="Y",B247=""),"Marked posted to Xero but has no invoice number",IF(N247="","Cost centre has no revenue GL on the Lists sheet",IF(T247="Xero higher - check dept","Invoiced more than the department says the job is worth","")))))))))</f>
        <v/>
      </c>
      <c r="AB247" s="28">
        <f>IF(A247="","",COUNTIFS(tbl_Finance[Job Number],A247&amp;"",tbl_Finance[Ex GST],"&lt;&gt;"))</f>
        <v/>
      </c>
      <c r="AC247" s="27">
        <f>IF(A247="","",SUMIFS(tbl_Finance[Ex GST],tbl_Finance[Job Number],A247&amp;""))</f>
        <v/>
      </c>
      <c r="AD247" s="27">
        <f>IF(A247="","",SUMIFS(tbl_Finance[Ex GST],tbl_Finance[Job Number],A247&amp;"",tbl_Finance[Xero Invoice No],"&lt;&gt;"))</f>
        <v/>
      </c>
      <c r="AE247" s="27">
        <f>IF(A247="","",AC247-AD247)</f>
        <v/>
      </c>
      <c r="AF247" s="26">
        <f>IF(A247="","",IFERROR(IF(INDEX(tbl_Onsite[Qwilr Quote],IFERROR(MATCH(A247&amp;"",tbl_Onsite[Job Number],0),MATCH(IFERROR(A247+0,A247),tbl_Onsite[Job Number],0)))="","",INDEX(tbl_Onsite[Qwilr Quote],IFERROR(MATCH(A247&amp;"",tbl_Onsite[Job Number],0),MATCH(IFERROR(A247+0,A247),tbl_Onsite[Job Number],0)))),IFERROR(IF(IF(INDEX(tbl_Production[Current RMS No],IFERROR(MATCH(A247&amp;"",tbl_Production[Job Number],0),MATCH(IFERROR(A247+0,A247),tbl_Production[Job Number],0)))="",INDEX(tbl_Production[Qwilr Quote],IFERROR(MATCH(A247&amp;"",tbl_Production[Job Number],0),MATCH(IFERROR(A247+0,A247),tbl_Production[Job Number],0))),INDEX(tbl_Production[Current RMS No],IFERROR(MATCH(A247&amp;"",tbl_Production[Job Number],0),MATCH(IFERROR(A247+0,A247),tbl_Production[Job Number],0))))="","",IF(INDEX(tbl_Production[Current RMS No],IFERROR(MATCH(A247&amp;"",tbl_Production[Job Number],0),MATCH(IFERROR(A247+0,A247),tbl_Production[Job Number],0)))="",INDEX(tbl_Production[Qwilr Quote],IFERROR(MATCH(A247&amp;"",tbl_Production[Job Number],0),MATCH(IFERROR(A247+0,A247),tbl_Production[Job Number],0))),INDEX(tbl_Production[Current RMS No],IFERROR(MATCH(A247&amp;"",tbl_Production[Job Number],0),MATCH(IFERROR(A247+0,A247),tbl_Production[Job Number],0))))),IFERROR(IF(INDEX(tbl_Consulting[Qwilr Quote],IFERROR(MATCH(A247&amp;"",tbl_Consulting[Job Number],0),MATCH(IFERROR(A247+0,A247),tbl_Consulting[Job Number],0)))="","",INDEX(tbl_Consulting[Qwilr Quote],IFERROR(MATCH(A247&amp;"",tbl_Consulting[Job Number],0),MATCH(IFERROR(A247+0,A247),tbl_Consulting[Job Number],0)))),""))))</f>
        <v/>
      </c>
      <c r="AG247" s="26">
        <f>IF(AF247="","",IF(AND(LEFT(AF247,4)&lt;&gt;"http",IF(G247="Production",set_RMSBase,set_QwilrBase)=""),"",HYPERLINK(IF(LEFT(AF247,4)="http",AF247,IF(G247="Production",set_RMSBase,set_QwilrBase)&amp;AF247),"Open")))</f>
        <v/>
      </c>
      <c r="AH247" s="27">
        <f>IF(A247="","",IFERROR(INDEX(tbl_Production[Total Expense],IFERROR(MATCH(A247&amp;"",tbl_Production[Job Number],0),MATCH(IFERROR(A247+0,A247),tbl_Production[Job Number],0))),IFERROR(INDEX(tbl_Consulting[Total Expense],IFERROR(MATCH(A247&amp;"",tbl_Consulting[Job Number],0),MATCH(IFERROR(A247+0,A247),tbl_Consulting[Job Number],0))),0)))</f>
        <v/>
      </c>
      <c r="AI247" s="27">
        <f>IF(A247="","",AC247-N(AH247))</f>
        <v/>
      </c>
      <c r="AJ247" s="29">
        <f>IFERROR(AI247/AC247,"")</f>
        <v/>
      </c>
      <c r="AK247" s="26">
        <f>IF(A247="","",IFERROR(IF(INDEX(tbl_Onsite[Notes],IFERROR(MATCH(A247&amp;"",tbl_Onsite[Job Number],0),MATCH(IFERROR(A247+0,A247),tbl_Onsite[Job Number],0)))="","",INDEX(tbl_Onsite[Notes],IFERROR(MATCH(A247&amp;"",tbl_Onsite[Job Number],0),MATCH(IFERROR(A247+0,A247),tbl_Onsite[Job Number],0)))),IFERROR(IF(INDEX(tbl_Production[Notes],IFERROR(MATCH(A247&amp;"",tbl_Production[Job Number],0),MATCH(IFERROR(A247+0,A247),tbl_Production[Job Number],0)))="","",INDEX(tbl_Production[Notes],IFERROR(MATCH(A247&amp;"",tbl_Production[Job Number],0),MATCH(IFERROR(A247+0,A247),tbl_Production[Job Number],0)))),IFERROR(IF(INDEX(tbl_Consulting[Notes],IFERROR(MATCH(A247&amp;"",tbl_Consulting[Job Number],0),MATCH(IFERROR(A247+0,A247),tbl_Consulting[Job Number],0)))="","",INDEX(tbl_Consulting[Notes],IFERROR(MATCH(A247&amp;"",tbl_Consulting[Job Number],0),MATCH(IFERROR(A247+0,A247),tbl_Consulting[Job Number],0)))),""))))</f>
        <v/>
      </c>
    </row>
    <row r="248" ht="15" customHeight="1">
      <c r="A248" s="22" t="n"/>
      <c r="B248" s="22" t="n"/>
      <c r="C248" s="23" t="n"/>
      <c r="D248" s="22" t="n"/>
      <c r="E248" s="24" t="n"/>
      <c r="F248" s="25">
        <f>IF(C248="","",EOMONTH(C248,0))</f>
        <v/>
      </c>
      <c r="G248" s="26">
        <f>IF(A248="","",IF(COUNTIF(tbl_Onsite[Job Number],A248&amp;"")&gt;0,"Onsite",IF(COUNTIF(tbl_Production[Job Number],A248&amp;"")&gt;0,"Production",IF(COUNTIF(tbl_Consulting[Job Number],A248&amp;"")&gt;0,"Consulting","not set up yet"))))</f>
        <v/>
      </c>
      <c r="H248" s="26">
        <f>IF(A248="","",IF(COUNTIF(lst_Jobs,A248&amp;"")&gt;0,"OK","CHECK"))</f>
        <v/>
      </c>
      <c r="I248" s="26">
        <f>IF(A248="","",IFERROR(INDEX(lst_JobName,MATCH(A248&amp;"",lst_Jobs,0)),""))</f>
        <v/>
      </c>
      <c r="J248" s="26">
        <f>IF(A248="","",IFERROR(IF(INDEX(tbl_Onsite[Client],IFERROR(MATCH(A248&amp;"",tbl_Onsite[Job Number],0),MATCH(IFERROR(A248+0,A248),tbl_Onsite[Job Number],0)))="","",INDEX(tbl_Onsite[Client],IFERROR(MATCH(A248&amp;"",tbl_Onsite[Job Number],0),MATCH(IFERROR(A248+0,A248),tbl_Onsite[Job Number],0)))),IFERROR(IF(INDEX(tbl_Production[Client],IFERROR(MATCH(A248&amp;"",tbl_Production[Job Number],0),MATCH(IFERROR(A248+0,A248),tbl_Production[Job Number],0)))="","",INDEX(tbl_Production[Client],IFERROR(MATCH(A248&amp;"",tbl_Production[Job Number],0),MATCH(IFERROR(A248+0,A248),tbl_Production[Job Number],0)))),IFERROR(IF(INDEX(tbl_Consulting[Client],IFERROR(MATCH(A248&amp;"",tbl_Consulting[Job Number],0),MATCH(IFERROR(A248+0,A248),tbl_Consulting[Job Number],0)))="","",INDEX(tbl_Consulting[Client],IFERROR(MATCH(A248&amp;"",tbl_Consulting[Job Number],0),MATCH(IFERROR(A248+0,A248),tbl_Consulting[Job Number],0)))),""))))</f>
        <v/>
      </c>
      <c r="K248" s="26">
        <f>IF(A248="","",IFERROR(IF(INDEX(tbl_Onsite[Job Description],IFERROR(MATCH(A248&amp;"",tbl_Onsite[Job Number],0),MATCH(IFERROR(A248+0,A248),tbl_Onsite[Job Number],0)))="","",INDEX(tbl_Onsite[Job Description],IFERROR(MATCH(A248&amp;"",tbl_Onsite[Job Number],0),MATCH(IFERROR(A248+0,A248),tbl_Onsite[Job Number],0)))),IFERROR(IF(INDEX(tbl_Production[Job Description],IFERROR(MATCH(A248&amp;"",tbl_Production[Job Number],0),MATCH(IFERROR(A248+0,A248),tbl_Production[Job Number],0)))="","",INDEX(tbl_Production[Job Description],IFERROR(MATCH(A248&amp;"",tbl_Production[Job Number],0),MATCH(IFERROR(A248+0,A248),tbl_Production[Job Number],0)))),IFERROR(IF(INDEX(tbl_Consulting[Job Description],IFERROR(MATCH(A248&amp;"",tbl_Consulting[Job Number],0),MATCH(IFERROR(A248+0,A248),tbl_Consulting[Job Number],0)))="","",INDEX(tbl_Consulting[Job Description],IFERROR(MATCH(A248&amp;"",tbl_Consulting[Job Number],0),MATCH(IFERROR(A248+0,A248),tbl_Consulting[Job Number],0)))),""))))</f>
        <v/>
      </c>
      <c r="L248" s="26">
        <f>IF(A248="","",IFERROR(IF(INDEX(tbl_Onsite[Invoice Type],IFERROR(MATCH(A248&amp;"",tbl_Onsite[Job Number],0),MATCH(IFERROR(A248+0,A248),tbl_Onsite[Job Number],0)))="","",INDEX(tbl_Onsite[Invoice Type],IFERROR(MATCH(A248&amp;"",tbl_Onsite[Job Number],0),MATCH(IFERROR(A248+0,A248),tbl_Onsite[Job Number],0)))),IFERROR(IF(INDEX(tbl_Production[Invoice Type],IFERROR(MATCH(A248&amp;"",tbl_Production[Job Number],0),MATCH(IFERROR(A248+0,A248),tbl_Production[Job Number],0)))="","",INDEX(tbl_Production[Invoice Type],IFERROR(MATCH(A248&amp;"",tbl_Production[Job Number],0),MATCH(IFERROR(A248+0,A248),tbl_Production[Job Number],0)))),IFERROR(IF(INDEX(tbl_Consulting[Invoice Type],IFERROR(MATCH(A248&amp;"",tbl_Consulting[Job Number],0),MATCH(IFERROR(A248+0,A248),tbl_Consulting[Job Number],0)))="","",INDEX(tbl_Consulting[Invoice Type],IFERROR(MATCH(A248&amp;"",tbl_Consulting[Job Number],0),MATCH(IFERROR(A248+0,A248),tbl_Consulting[Job Number],0)))),""))))</f>
        <v/>
      </c>
      <c r="M248" s="26">
        <f>IF(A248="","",IF(IFERROR(IF(INDEX(tbl_Onsite[Tax Code],IFERROR(MATCH(A248&amp;"",tbl_Onsite[Job Number],0),MATCH(IFERROR(A248+0,A248),tbl_Onsite[Job Number],0)))="","",INDEX(tbl_Onsite[Tax Code],IFERROR(MATCH(A248&amp;"",tbl_Onsite[Job Number],0),MATCH(IFERROR(A248+0,A248),tbl_Onsite[Job Number],0)))),IFERROR(IF(INDEX(tbl_Production[Tax Code],IFERROR(MATCH(A248&amp;"",tbl_Production[Job Number],0),MATCH(IFERROR(A248+0,A248),tbl_Production[Job Number],0)))="","",INDEX(tbl_Production[Tax Code],IFERROR(MATCH(A248&amp;"",tbl_Production[Job Number],0),MATCH(IFERROR(A248+0,A248),tbl_Production[Job Number],0)))),IFERROR(IF(INDEX(tbl_Consulting[Tax Code],IFERROR(MATCH(A248&amp;"",tbl_Consulting[Job Number],0),MATCH(IFERROR(A248+0,A248),tbl_Consulting[Job Number],0)))="","",INDEX(tbl_Consulting[Tax Code],IFERROR(MATCH(A248&amp;"",tbl_Consulting[Job Number],0),MATCH(IFERROR(A248+0,A248),tbl_Consulting[Job Number],0)))),"")))="","GST 10%",IFERROR(IF(INDEX(tbl_Onsite[Tax Code],IFERROR(MATCH(A248&amp;"",tbl_Onsite[Job Number],0),MATCH(IFERROR(A248+0,A248),tbl_Onsite[Job Number],0)))="","",INDEX(tbl_Onsite[Tax Code],IFERROR(MATCH(A248&amp;"",tbl_Onsite[Job Number],0),MATCH(IFERROR(A248+0,A248),tbl_Onsite[Job Number],0)))),IFERROR(IF(INDEX(tbl_Production[Tax Code],IFERROR(MATCH(A248&amp;"",tbl_Production[Job Number],0),MATCH(IFERROR(A248+0,A248),tbl_Production[Job Number],0)))="","",INDEX(tbl_Production[Tax Code],IFERROR(MATCH(A248&amp;"",tbl_Production[Job Number],0),MATCH(IFERROR(A248+0,A248),tbl_Production[Job Number],0)))),IFERROR(IF(INDEX(tbl_Consulting[Tax Code],IFERROR(MATCH(A248&amp;"",tbl_Consulting[Job Number],0),MATCH(IFERROR(A248+0,A248),tbl_Consulting[Job Number],0)))="","",INDEX(tbl_Consulting[Tax Code],IFERROR(MATCH(A248&amp;"",tbl_Consulting[Job Number],0),MATCH(IFERROR(A248+0,A248),tbl_Consulting[Job Number],0)))),"")))))</f>
        <v/>
      </c>
      <c r="N248" s="26">
        <f>IF(D248="","",IFERROR(INDEX(lst_CCtoGL,MATCH(D248,lst_CCforGL,0)),""))</f>
        <v/>
      </c>
      <c r="O248" s="27">
        <f>IF(E248="","",IF(M248="GST 10%",ROUND(E248*set_GSTRate,2),0))</f>
        <v/>
      </c>
      <c r="P248" s="27">
        <f>IF(E248="","",E248+O248)</f>
        <v/>
      </c>
      <c r="Q248" s="27">
        <f>IF(A248="","",IFERROR(INDEX(tbl_Onsite[Expected Revenue Ex GST],IFERROR(MATCH(A248&amp;"",tbl_Onsite[Job Number],0),MATCH(IFERROR(A248+0,A248),tbl_Onsite[Job Number],0))),IFERROR(INDEX(tbl_Production[Expected Revenue Ex GST],IFERROR(MATCH(A248&amp;"",tbl_Production[Job Number],0),MATCH(IFERROR(A248+0,A248),tbl_Production[Job Number],0))),IFERROR(INDEX(tbl_Consulting[Expected Revenue Ex GST],IFERROR(MATCH(A248&amp;"",tbl_Consulting[Job Number],0),MATCH(IFERROR(A248+0,A248),tbl_Consulting[Job Number],0))),0))))</f>
        <v/>
      </c>
      <c r="R248" s="27">
        <f>IF(A248="","",SUMIFS(tbl_Finance[Ex GST],tbl_Finance[Job Number],A248&amp;""))</f>
        <v/>
      </c>
      <c r="S248" s="27">
        <f>IF(A248="","",Q248-R248)</f>
        <v/>
      </c>
      <c r="T248" s="26">
        <f>IF(A248="","",IF(Q248=0,"No dept value",IF(ROUND(S248,2)=0,"Agrees",IF(S248&gt;0,"Dept higher - to invoice","Xero higher - check dept"))))</f>
        <v/>
      </c>
      <c r="U248" s="22" t="n"/>
      <c r="V248" s="22" t="n"/>
      <c r="W248" s="23" t="n"/>
      <c r="X248" s="23" t="n"/>
      <c r="Y248" s="22" t="n"/>
      <c r="Z248" s="22" t="n"/>
      <c r="AA248" s="26">
        <f>IF(COUNTA(C248,A248,B248,E248)=0,"",IF(C248="","No date - sits outside every month",IF(A248="","No job number",IF(H248="CHECK","Job number is not in the Xero job list",IF(G248="not set up yet","No department has set this job up - nothing can pull through",IF(D248="","No cost centre",IF(AND(U248="Y",B248=""),"Marked posted to Xero but has no invoice number",IF(N248="","Cost centre has no revenue GL on the Lists sheet",IF(T248="Xero higher - check dept","Invoiced more than the department says the job is worth","")))))))))</f>
        <v/>
      </c>
      <c r="AB248" s="28">
        <f>IF(A248="","",COUNTIFS(tbl_Finance[Job Number],A248&amp;"",tbl_Finance[Ex GST],"&lt;&gt;"))</f>
        <v/>
      </c>
      <c r="AC248" s="27">
        <f>IF(A248="","",SUMIFS(tbl_Finance[Ex GST],tbl_Finance[Job Number],A248&amp;""))</f>
        <v/>
      </c>
      <c r="AD248" s="27">
        <f>IF(A248="","",SUMIFS(tbl_Finance[Ex GST],tbl_Finance[Job Number],A248&amp;"",tbl_Finance[Xero Invoice No],"&lt;&gt;"))</f>
        <v/>
      </c>
      <c r="AE248" s="27">
        <f>IF(A248="","",AC248-AD248)</f>
        <v/>
      </c>
      <c r="AF248" s="26">
        <f>IF(A248="","",IFERROR(IF(INDEX(tbl_Onsite[Qwilr Quote],IFERROR(MATCH(A248&amp;"",tbl_Onsite[Job Number],0),MATCH(IFERROR(A248+0,A248),tbl_Onsite[Job Number],0)))="","",INDEX(tbl_Onsite[Qwilr Quote],IFERROR(MATCH(A248&amp;"",tbl_Onsite[Job Number],0),MATCH(IFERROR(A248+0,A248),tbl_Onsite[Job Number],0)))),IFERROR(IF(IF(INDEX(tbl_Production[Current RMS No],IFERROR(MATCH(A248&amp;"",tbl_Production[Job Number],0),MATCH(IFERROR(A248+0,A248),tbl_Production[Job Number],0)))="",INDEX(tbl_Production[Qwilr Quote],IFERROR(MATCH(A248&amp;"",tbl_Production[Job Number],0),MATCH(IFERROR(A248+0,A248),tbl_Production[Job Number],0))),INDEX(tbl_Production[Current RMS No],IFERROR(MATCH(A248&amp;"",tbl_Production[Job Number],0),MATCH(IFERROR(A248+0,A248),tbl_Production[Job Number],0))))="","",IF(INDEX(tbl_Production[Current RMS No],IFERROR(MATCH(A248&amp;"",tbl_Production[Job Number],0),MATCH(IFERROR(A248+0,A248),tbl_Production[Job Number],0)))="",INDEX(tbl_Production[Qwilr Quote],IFERROR(MATCH(A248&amp;"",tbl_Production[Job Number],0),MATCH(IFERROR(A248+0,A248),tbl_Production[Job Number],0))),INDEX(tbl_Production[Current RMS No],IFERROR(MATCH(A248&amp;"",tbl_Production[Job Number],0),MATCH(IFERROR(A248+0,A248),tbl_Production[Job Number],0))))),IFERROR(IF(INDEX(tbl_Consulting[Qwilr Quote],IFERROR(MATCH(A248&amp;"",tbl_Consulting[Job Number],0),MATCH(IFERROR(A248+0,A248),tbl_Consulting[Job Number],0)))="","",INDEX(tbl_Consulting[Qwilr Quote],IFERROR(MATCH(A248&amp;"",tbl_Consulting[Job Number],0),MATCH(IFERROR(A248+0,A248),tbl_Consulting[Job Number],0)))),""))))</f>
        <v/>
      </c>
      <c r="AG248" s="26">
        <f>IF(AF248="","",IF(AND(LEFT(AF248,4)&lt;&gt;"http",IF(G248="Production",set_RMSBase,set_QwilrBase)=""),"",HYPERLINK(IF(LEFT(AF248,4)="http",AF248,IF(G248="Production",set_RMSBase,set_QwilrBase)&amp;AF248),"Open")))</f>
        <v/>
      </c>
      <c r="AH248" s="27">
        <f>IF(A248="","",IFERROR(INDEX(tbl_Production[Total Expense],IFERROR(MATCH(A248&amp;"",tbl_Production[Job Number],0),MATCH(IFERROR(A248+0,A248),tbl_Production[Job Number],0))),IFERROR(INDEX(tbl_Consulting[Total Expense],IFERROR(MATCH(A248&amp;"",tbl_Consulting[Job Number],0),MATCH(IFERROR(A248+0,A248),tbl_Consulting[Job Number],0))),0)))</f>
        <v/>
      </c>
      <c r="AI248" s="27">
        <f>IF(A248="","",AC248-N(AH248))</f>
        <v/>
      </c>
      <c r="AJ248" s="29">
        <f>IFERROR(AI248/AC248,"")</f>
        <v/>
      </c>
      <c r="AK248" s="26">
        <f>IF(A248="","",IFERROR(IF(INDEX(tbl_Onsite[Notes],IFERROR(MATCH(A248&amp;"",tbl_Onsite[Job Number],0),MATCH(IFERROR(A248+0,A248),tbl_Onsite[Job Number],0)))="","",INDEX(tbl_Onsite[Notes],IFERROR(MATCH(A248&amp;"",tbl_Onsite[Job Number],0),MATCH(IFERROR(A248+0,A248),tbl_Onsite[Job Number],0)))),IFERROR(IF(INDEX(tbl_Production[Notes],IFERROR(MATCH(A248&amp;"",tbl_Production[Job Number],0),MATCH(IFERROR(A248+0,A248),tbl_Production[Job Number],0)))="","",INDEX(tbl_Production[Notes],IFERROR(MATCH(A248&amp;"",tbl_Production[Job Number],0),MATCH(IFERROR(A248+0,A248),tbl_Production[Job Number],0)))),IFERROR(IF(INDEX(tbl_Consulting[Notes],IFERROR(MATCH(A248&amp;"",tbl_Consulting[Job Number],0),MATCH(IFERROR(A248+0,A248),tbl_Consulting[Job Number],0)))="","",INDEX(tbl_Consulting[Notes],IFERROR(MATCH(A248&amp;"",tbl_Consulting[Job Number],0),MATCH(IFERROR(A248+0,A248),tbl_Consulting[Job Number],0)))),""))))</f>
        <v/>
      </c>
    </row>
    <row r="249" ht="15" customHeight="1">
      <c r="A249" s="22" t="n"/>
      <c r="B249" s="22" t="n"/>
      <c r="C249" s="23" t="n"/>
      <c r="D249" s="22" t="n"/>
      <c r="E249" s="24" t="n"/>
      <c r="F249" s="25">
        <f>IF(C249="","",EOMONTH(C249,0))</f>
        <v/>
      </c>
      <c r="G249" s="26">
        <f>IF(A249="","",IF(COUNTIF(tbl_Onsite[Job Number],A249&amp;"")&gt;0,"Onsite",IF(COUNTIF(tbl_Production[Job Number],A249&amp;"")&gt;0,"Production",IF(COUNTIF(tbl_Consulting[Job Number],A249&amp;"")&gt;0,"Consulting","not set up yet"))))</f>
        <v/>
      </c>
      <c r="H249" s="26">
        <f>IF(A249="","",IF(COUNTIF(lst_Jobs,A249&amp;"")&gt;0,"OK","CHECK"))</f>
        <v/>
      </c>
      <c r="I249" s="26">
        <f>IF(A249="","",IFERROR(INDEX(lst_JobName,MATCH(A249&amp;"",lst_Jobs,0)),""))</f>
        <v/>
      </c>
      <c r="J249" s="26">
        <f>IF(A249="","",IFERROR(IF(INDEX(tbl_Onsite[Client],IFERROR(MATCH(A249&amp;"",tbl_Onsite[Job Number],0),MATCH(IFERROR(A249+0,A249),tbl_Onsite[Job Number],0)))="","",INDEX(tbl_Onsite[Client],IFERROR(MATCH(A249&amp;"",tbl_Onsite[Job Number],0),MATCH(IFERROR(A249+0,A249),tbl_Onsite[Job Number],0)))),IFERROR(IF(INDEX(tbl_Production[Client],IFERROR(MATCH(A249&amp;"",tbl_Production[Job Number],0),MATCH(IFERROR(A249+0,A249),tbl_Production[Job Number],0)))="","",INDEX(tbl_Production[Client],IFERROR(MATCH(A249&amp;"",tbl_Production[Job Number],0),MATCH(IFERROR(A249+0,A249),tbl_Production[Job Number],0)))),IFERROR(IF(INDEX(tbl_Consulting[Client],IFERROR(MATCH(A249&amp;"",tbl_Consulting[Job Number],0),MATCH(IFERROR(A249+0,A249),tbl_Consulting[Job Number],0)))="","",INDEX(tbl_Consulting[Client],IFERROR(MATCH(A249&amp;"",tbl_Consulting[Job Number],0),MATCH(IFERROR(A249+0,A249),tbl_Consulting[Job Number],0)))),""))))</f>
        <v/>
      </c>
      <c r="K249" s="26">
        <f>IF(A249="","",IFERROR(IF(INDEX(tbl_Onsite[Job Description],IFERROR(MATCH(A249&amp;"",tbl_Onsite[Job Number],0),MATCH(IFERROR(A249+0,A249),tbl_Onsite[Job Number],0)))="","",INDEX(tbl_Onsite[Job Description],IFERROR(MATCH(A249&amp;"",tbl_Onsite[Job Number],0),MATCH(IFERROR(A249+0,A249),tbl_Onsite[Job Number],0)))),IFERROR(IF(INDEX(tbl_Production[Job Description],IFERROR(MATCH(A249&amp;"",tbl_Production[Job Number],0),MATCH(IFERROR(A249+0,A249),tbl_Production[Job Number],0)))="","",INDEX(tbl_Production[Job Description],IFERROR(MATCH(A249&amp;"",tbl_Production[Job Number],0),MATCH(IFERROR(A249+0,A249),tbl_Production[Job Number],0)))),IFERROR(IF(INDEX(tbl_Consulting[Job Description],IFERROR(MATCH(A249&amp;"",tbl_Consulting[Job Number],0),MATCH(IFERROR(A249+0,A249),tbl_Consulting[Job Number],0)))="","",INDEX(tbl_Consulting[Job Description],IFERROR(MATCH(A249&amp;"",tbl_Consulting[Job Number],0),MATCH(IFERROR(A249+0,A249),tbl_Consulting[Job Number],0)))),""))))</f>
        <v/>
      </c>
      <c r="L249" s="26">
        <f>IF(A249="","",IFERROR(IF(INDEX(tbl_Onsite[Invoice Type],IFERROR(MATCH(A249&amp;"",tbl_Onsite[Job Number],0),MATCH(IFERROR(A249+0,A249),tbl_Onsite[Job Number],0)))="","",INDEX(tbl_Onsite[Invoice Type],IFERROR(MATCH(A249&amp;"",tbl_Onsite[Job Number],0),MATCH(IFERROR(A249+0,A249),tbl_Onsite[Job Number],0)))),IFERROR(IF(INDEX(tbl_Production[Invoice Type],IFERROR(MATCH(A249&amp;"",tbl_Production[Job Number],0),MATCH(IFERROR(A249+0,A249),tbl_Production[Job Number],0)))="","",INDEX(tbl_Production[Invoice Type],IFERROR(MATCH(A249&amp;"",tbl_Production[Job Number],0),MATCH(IFERROR(A249+0,A249),tbl_Production[Job Number],0)))),IFERROR(IF(INDEX(tbl_Consulting[Invoice Type],IFERROR(MATCH(A249&amp;"",tbl_Consulting[Job Number],0),MATCH(IFERROR(A249+0,A249),tbl_Consulting[Job Number],0)))="","",INDEX(tbl_Consulting[Invoice Type],IFERROR(MATCH(A249&amp;"",tbl_Consulting[Job Number],0),MATCH(IFERROR(A249+0,A249),tbl_Consulting[Job Number],0)))),""))))</f>
        <v/>
      </c>
      <c r="M249" s="26">
        <f>IF(A249="","",IF(IFERROR(IF(INDEX(tbl_Onsite[Tax Code],IFERROR(MATCH(A249&amp;"",tbl_Onsite[Job Number],0),MATCH(IFERROR(A249+0,A249),tbl_Onsite[Job Number],0)))="","",INDEX(tbl_Onsite[Tax Code],IFERROR(MATCH(A249&amp;"",tbl_Onsite[Job Number],0),MATCH(IFERROR(A249+0,A249),tbl_Onsite[Job Number],0)))),IFERROR(IF(INDEX(tbl_Production[Tax Code],IFERROR(MATCH(A249&amp;"",tbl_Production[Job Number],0),MATCH(IFERROR(A249+0,A249),tbl_Production[Job Number],0)))="","",INDEX(tbl_Production[Tax Code],IFERROR(MATCH(A249&amp;"",tbl_Production[Job Number],0),MATCH(IFERROR(A249+0,A249),tbl_Production[Job Number],0)))),IFERROR(IF(INDEX(tbl_Consulting[Tax Code],IFERROR(MATCH(A249&amp;"",tbl_Consulting[Job Number],0),MATCH(IFERROR(A249+0,A249),tbl_Consulting[Job Number],0)))="","",INDEX(tbl_Consulting[Tax Code],IFERROR(MATCH(A249&amp;"",tbl_Consulting[Job Number],0),MATCH(IFERROR(A249+0,A249),tbl_Consulting[Job Number],0)))),"")))="","GST 10%",IFERROR(IF(INDEX(tbl_Onsite[Tax Code],IFERROR(MATCH(A249&amp;"",tbl_Onsite[Job Number],0),MATCH(IFERROR(A249+0,A249),tbl_Onsite[Job Number],0)))="","",INDEX(tbl_Onsite[Tax Code],IFERROR(MATCH(A249&amp;"",tbl_Onsite[Job Number],0),MATCH(IFERROR(A249+0,A249),tbl_Onsite[Job Number],0)))),IFERROR(IF(INDEX(tbl_Production[Tax Code],IFERROR(MATCH(A249&amp;"",tbl_Production[Job Number],0),MATCH(IFERROR(A249+0,A249),tbl_Production[Job Number],0)))="","",INDEX(tbl_Production[Tax Code],IFERROR(MATCH(A249&amp;"",tbl_Production[Job Number],0),MATCH(IFERROR(A249+0,A249),tbl_Production[Job Number],0)))),IFERROR(IF(INDEX(tbl_Consulting[Tax Code],IFERROR(MATCH(A249&amp;"",tbl_Consulting[Job Number],0),MATCH(IFERROR(A249+0,A249),tbl_Consulting[Job Number],0)))="","",INDEX(tbl_Consulting[Tax Code],IFERROR(MATCH(A249&amp;"",tbl_Consulting[Job Number],0),MATCH(IFERROR(A249+0,A249),tbl_Consulting[Job Number],0)))),"")))))</f>
        <v/>
      </c>
      <c r="N249" s="26">
        <f>IF(D249="","",IFERROR(INDEX(lst_CCtoGL,MATCH(D249,lst_CCforGL,0)),""))</f>
        <v/>
      </c>
      <c r="O249" s="27">
        <f>IF(E249="","",IF(M249="GST 10%",ROUND(E249*set_GSTRate,2),0))</f>
        <v/>
      </c>
      <c r="P249" s="27">
        <f>IF(E249="","",E249+O249)</f>
        <v/>
      </c>
      <c r="Q249" s="27">
        <f>IF(A249="","",IFERROR(INDEX(tbl_Onsite[Expected Revenue Ex GST],IFERROR(MATCH(A249&amp;"",tbl_Onsite[Job Number],0),MATCH(IFERROR(A249+0,A249),tbl_Onsite[Job Number],0))),IFERROR(INDEX(tbl_Production[Expected Revenue Ex GST],IFERROR(MATCH(A249&amp;"",tbl_Production[Job Number],0),MATCH(IFERROR(A249+0,A249),tbl_Production[Job Number],0))),IFERROR(INDEX(tbl_Consulting[Expected Revenue Ex GST],IFERROR(MATCH(A249&amp;"",tbl_Consulting[Job Number],0),MATCH(IFERROR(A249+0,A249),tbl_Consulting[Job Number],0))),0))))</f>
        <v/>
      </c>
      <c r="R249" s="27">
        <f>IF(A249="","",SUMIFS(tbl_Finance[Ex GST],tbl_Finance[Job Number],A249&amp;""))</f>
        <v/>
      </c>
      <c r="S249" s="27">
        <f>IF(A249="","",Q249-R249)</f>
        <v/>
      </c>
      <c r="T249" s="26">
        <f>IF(A249="","",IF(Q249=0,"No dept value",IF(ROUND(S249,2)=0,"Agrees",IF(S249&gt;0,"Dept higher - to invoice","Xero higher - check dept"))))</f>
        <v/>
      </c>
      <c r="U249" s="22" t="n"/>
      <c r="V249" s="22" t="n"/>
      <c r="W249" s="23" t="n"/>
      <c r="X249" s="23" t="n"/>
      <c r="Y249" s="22" t="n"/>
      <c r="Z249" s="22" t="n"/>
      <c r="AA249" s="26">
        <f>IF(COUNTA(C249,A249,B249,E249)=0,"",IF(C249="","No date - sits outside every month",IF(A249="","No job number",IF(H249="CHECK","Job number is not in the Xero job list",IF(G249="not set up yet","No department has set this job up - nothing can pull through",IF(D249="","No cost centre",IF(AND(U249="Y",B249=""),"Marked posted to Xero but has no invoice number",IF(N249="","Cost centre has no revenue GL on the Lists sheet",IF(T249="Xero higher - check dept","Invoiced more than the department says the job is worth","")))))))))</f>
        <v/>
      </c>
      <c r="AB249" s="28">
        <f>IF(A249="","",COUNTIFS(tbl_Finance[Job Number],A249&amp;"",tbl_Finance[Ex GST],"&lt;&gt;"))</f>
        <v/>
      </c>
      <c r="AC249" s="27">
        <f>IF(A249="","",SUMIFS(tbl_Finance[Ex GST],tbl_Finance[Job Number],A249&amp;""))</f>
        <v/>
      </c>
      <c r="AD249" s="27">
        <f>IF(A249="","",SUMIFS(tbl_Finance[Ex GST],tbl_Finance[Job Number],A249&amp;"",tbl_Finance[Xero Invoice No],"&lt;&gt;"))</f>
        <v/>
      </c>
      <c r="AE249" s="27">
        <f>IF(A249="","",AC249-AD249)</f>
        <v/>
      </c>
      <c r="AF249" s="26">
        <f>IF(A249="","",IFERROR(IF(INDEX(tbl_Onsite[Qwilr Quote],IFERROR(MATCH(A249&amp;"",tbl_Onsite[Job Number],0),MATCH(IFERROR(A249+0,A249),tbl_Onsite[Job Number],0)))="","",INDEX(tbl_Onsite[Qwilr Quote],IFERROR(MATCH(A249&amp;"",tbl_Onsite[Job Number],0),MATCH(IFERROR(A249+0,A249),tbl_Onsite[Job Number],0)))),IFERROR(IF(IF(INDEX(tbl_Production[Current RMS No],IFERROR(MATCH(A249&amp;"",tbl_Production[Job Number],0),MATCH(IFERROR(A249+0,A249),tbl_Production[Job Number],0)))="",INDEX(tbl_Production[Qwilr Quote],IFERROR(MATCH(A249&amp;"",tbl_Production[Job Number],0),MATCH(IFERROR(A249+0,A249),tbl_Production[Job Number],0))),INDEX(tbl_Production[Current RMS No],IFERROR(MATCH(A249&amp;"",tbl_Production[Job Number],0),MATCH(IFERROR(A249+0,A249),tbl_Production[Job Number],0))))="","",IF(INDEX(tbl_Production[Current RMS No],IFERROR(MATCH(A249&amp;"",tbl_Production[Job Number],0),MATCH(IFERROR(A249+0,A249),tbl_Production[Job Number],0)))="",INDEX(tbl_Production[Qwilr Quote],IFERROR(MATCH(A249&amp;"",tbl_Production[Job Number],0),MATCH(IFERROR(A249+0,A249),tbl_Production[Job Number],0))),INDEX(tbl_Production[Current RMS No],IFERROR(MATCH(A249&amp;"",tbl_Production[Job Number],0),MATCH(IFERROR(A249+0,A249),tbl_Production[Job Number],0))))),IFERROR(IF(INDEX(tbl_Consulting[Qwilr Quote],IFERROR(MATCH(A249&amp;"",tbl_Consulting[Job Number],0),MATCH(IFERROR(A249+0,A249),tbl_Consulting[Job Number],0)))="","",INDEX(tbl_Consulting[Qwilr Quote],IFERROR(MATCH(A249&amp;"",tbl_Consulting[Job Number],0),MATCH(IFERROR(A249+0,A249),tbl_Consulting[Job Number],0)))),""))))</f>
        <v/>
      </c>
      <c r="AG249" s="26">
        <f>IF(AF249="","",IF(AND(LEFT(AF249,4)&lt;&gt;"http",IF(G249="Production",set_RMSBase,set_QwilrBase)=""),"",HYPERLINK(IF(LEFT(AF249,4)="http",AF249,IF(G249="Production",set_RMSBase,set_QwilrBase)&amp;AF249),"Open")))</f>
        <v/>
      </c>
      <c r="AH249" s="27">
        <f>IF(A249="","",IFERROR(INDEX(tbl_Production[Total Expense],IFERROR(MATCH(A249&amp;"",tbl_Production[Job Number],0),MATCH(IFERROR(A249+0,A249),tbl_Production[Job Number],0))),IFERROR(INDEX(tbl_Consulting[Total Expense],IFERROR(MATCH(A249&amp;"",tbl_Consulting[Job Number],0),MATCH(IFERROR(A249+0,A249),tbl_Consulting[Job Number],0))),0)))</f>
        <v/>
      </c>
      <c r="AI249" s="27">
        <f>IF(A249="","",AC249-N(AH249))</f>
        <v/>
      </c>
      <c r="AJ249" s="29">
        <f>IFERROR(AI249/AC249,"")</f>
        <v/>
      </c>
      <c r="AK249" s="26">
        <f>IF(A249="","",IFERROR(IF(INDEX(tbl_Onsite[Notes],IFERROR(MATCH(A249&amp;"",tbl_Onsite[Job Number],0),MATCH(IFERROR(A249+0,A249),tbl_Onsite[Job Number],0)))="","",INDEX(tbl_Onsite[Notes],IFERROR(MATCH(A249&amp;"",tbl_Onsite[Job Number],0),MATCH(IFERROR(A249+0,A249),tbl_Onsite[Job Number],0)))),IFERROR(IF(INDEX(tbl_Production[Notes],IFERROR(MATCH(A249&amp;"",tbl_Production[Job Number],0),MATCH(IFERROR(A249+0,A249),tbl_Production[Job Number],0)))="","",INDEX(tbl_Production[Notes],IFERROR(MATCH(A249&amp;"",tbl_Production[Job Number],0),MATCH(IFERROR(A249+0,A249),tbl_Production[Job Number],0)))),IFERROR(IF(INDEX(tbl_Consulting[Notes],IFERROR(MATCH(A249&amp;"",tbl_Consulting[Job Number],0),MATCH(IFERROR(A249+0,A249),tbl_Consulting[Job Number],0)))="","",INDEX(tbl_Consulting[Notes],IFERROR(MATCH(A249&amp;"",tbl_Consulting[Job Number],0),MATCH(IFERROR(A249+0,A249),tbl_Consulting[Job Number],0)))),""))))</f>
        <v/>
      </c>
    </row>
    <row r="250" ht="15" customHeight="1">
      <c r="A250" s="22" t="n"/>
      <c r="B250" s="22" t="n"/>
      <c r="C250" s="23" t="n"/>
      <c r="D250" s="22" t="n"/>
      <c r="E250" s="24" t="n"/>
      <c r="F250" s="25">
        <f>IF(C250="","",EOMONTH(C250,0))</f>
        <v/>
      </c>
      <c r="G250" s="26">
        <f>IF(A250="","",IF(COUNTIF(tbl_Onsite[Job Number],A250&amp;"")&gt;0,"Onsite",IF(COUNTIF(tbl_Production[Job Number],A250&amp;"")&gt;0,"Production",IF(COUNTIF(tbl_Consulting[Job Number],A250&amp;"")&gt;0,"Consulting","not set up yet"))))</f>
        <v/>
      </c>
      <c r="H250" s="26">
        <f>IF(A250="","",IF(COUNTIF(lst_Jobs,A250&amp;"")&gt;0,"OK","CHECK"))</f>
        <v/>
      </c>
      <c r="I250" s="26">
        <f>IF(A250="","",IFERROR(INDEX(lst_JobName,MATCH(A250&amp;"",lst_Jobs,0)),""))</f>
        <v/>
      </c>
      <c r="J250" s="26">
        <f>IF(A250="","",IFERROR(IF(INDEX(tbl_Onsite[Client],IFERROR(MATCH(A250&amp;"",tbl_Onsite[Job Number],0),MATCH(IFERROR(A250+0,A250),tbl_Onsite[Job Number],0)))="","",INDEX(tbl_Onsite[Client],IFERROR(MATCH(A250&amp;"",tbl_Onsite[Job Number],0),MATCH(IFERROR(A250+0,A250),tbl_Onsite[Job Number],0)))),IFERROR(IF(INDEX(tbl_Production[Client],IFERROR(MATCH(A250&amp;"",tbl_Production[Job Number],0),MATCH(IFERROR(A250+0,A250),tbl_Production[Job Number],0)))="","",INDEX(tbl_Production[Client],IFERROR(MATCH(A250&amp;"",tbl_Production[Job Number],0),MATCH(IFERROR(A250+0,A250),tbl_Production[Job Number],0)))),IFERROR(IF(INDEX(tbl_Consulting[Client],IFERROR(MATCH(A250&amp;"",tbl_Consulting[Job Number],0),MATCH(IFERROR(A250+0,A250),tbl_Consulting[Job Number],0)))="","",INDEX(tbl_Consulting[Client],IFERROR(MATCH(A250&amp;"",tbl_Consulting[Job Number],0),MATCH(IFERROR(A250+0,A250),tbl_Consulting[Job Number],0)))),""))))</f>
        <v/>
      </c>
      <c r="K250" s="26">
        <f>IF(A250="","",IFERROR(IF(INDEX(tbl_Onsite[Job Description],IFERROR(MATCH(A250&amp;"",tbl_Onsite[Job Number],0),MATCH(IFERROR(A250+0,A250),tbl_Onsite[Job Number],0)))="","",INDEX(tbl_Onsite[Job Description],IFERROR(MATCH(A250&amp;"",tbl_Onsite[Job Number],0),MATCH(IFERROR(A250+0,A250),tbl_Onsite[Job Number],0)))),IFERROR(IF(INDEX(tbl_Production[Job Description],IFERROR(MATCH(A250&amp;"",tbl_Production[Job Number],0),MATCH(IFERROR(A250+0,A250),tbl_Production[Job Number],0)))="","",INDEX(tbl_Production[Job Description],IFERROR(MATCH(A250&amp;"",tbl_Production[Job Number],0),MATCH(IFERROR(A250+0,A250),tbl_Production[Job Number],0)))),IFERROR(IF(INDEX(tbl_Consulting[Job Description],IFERROR(MATCH(A250&amp;"",tbl_Consulting[Job Number],0),MATCH(IFERROR(A250+0,A250),tbl_Consulting[Job Number],0)))="","",INDEX(tbl_Consulting[Job Description],IFERROR(MATCH(A250&amp;"",tbl_Consulting[Job Number],0),MATCH(IFERROR(A250+0,A250),tbl_Consulting[Job Number],0)))),""))))</f>
        <v/>
      </c>
      <c r="L250" s="26">
        <f>IF(A250="","",IFERROR(IF(INDEX(tbl_Onsite[Invoice Type],IFERROR(MATCH(A250&amp;"",tbl_Onsite[Job Number],0),MATCH(IFERROR(A250+0,A250),tbl_Onsite[Job Number],0)))="","",INDEX(tbl_Onsite[Invoice Type],IFERROR(MATCH(A250&amp;"",tbl_Onsite[Job Number],0),MATCH(IFERROR(A250+0,A250),tbl_Onsite[Job Number],0)))),IFERROR(IF(INDEX(tbl_Production[Invoice Type],IFERROR(MATCH(A250&amp;"",tbl_Production[Job Number],0),MATCH(IFERROR(A250+0,A250),tbl_Production[Job Number],0)))="","",INDEX(tbl_Production[Invoice Type],IFERROR(MATCH(A250&amp;"",tbl_Production[Job Number],0),MATCH(IFERROR(A250+0,A250),tbl_Production[Job Number],0)))),IFERROR(IF(INDEX(tbl_Consulting[Invoice Type],IFERROR(MATCH(A250&amp;"",tbl_Consulting[Job Number],0),MATCH(IFERROR(A250+0,A250),tbl_Consulting[Job Number],0)))="","",INDEX(tbl_Consulting[Invoice Type],IFERROR(MATCH(A250&amp;"",tbl_Consulting[Job Number],0),MATCH(IFERROR(A250+0,A250),tbl_Consulting[Job Number],0)))),""))))</f>
        <v/>
      </c>
      <c r="M250" s="26">
        <f>IF(A250="","",IF(IFERROR(IF(INDEX(tbl_Onsite[Tax Code],IFERROR(MATCH(A250&amp;"",tbl_Onsite[Job Number],0),MATCH(IFERROR(A250+0,A250),tbl_Onsite[Job Number],0)))="","",INDEX(tbl_Onsite[Tax Code],IFERROR(MATCH(A250&amp;"",tbl_Onsite[Job Number],0),MATCH(IFERROR(A250+0,A250),tbl_Onsite[Job Number],0)))),IFERROR(IF(INDEX(tbl_Production[Tax Code],IFERROR(MATCH(A250&amp;"",tbl_Production[Job Number],0),MATCH(IFERROR(A250+0,A250),tbl_Production[Job Number],0)))="","",INDEX(tbl_Production[Tax Code],IFERROR(MATCH(A250&amp;"",tbl_Production[Job Number],0),MATCH(IFERROR(A250+0,A250),tbl_Production[Job Number],0)))),IFERROR(IF(INDEX(tbl_Consulting[Tax Code],IFERROR(MATCH(A250&amp;"",tbl_Consulting[Job Number],0),MATCH(IFERROR(A250+0,A250),tbl_Consulting[Job Number],0)))="","",INDEX(tbl_Consulting[Tax Code],IFERROR(MATCH(A250&amp;"",tbl_Consulting[Job Number],0),MATCH(IFERROR(A250+0,A250),tbl_Consulting[Job Number],0)))),"")))="","GST 10%",IFERROR(IF(INDEX(tbl_Onsite[Tax Code],IFERROR(MATCH(A250&amp;"",tbl_Onsite[Job Number],0),MATCH(IFERROR(A250+0,A250),tbl_Onsite[Job Number],0)))="","",INDEX(tbl_Onsite[Tax Code],IFERROR(MATCH(A250&amp;"",tbl_Onsite[Job Number],0),MATCH(IFERROR(A250+0,A250),tbl_Onsite[Job Number],0)))),IFERROR(IF(INDEX(tbl_Production[Tax Code],IFERROR(MATCH(A250&amp;"",tbl_Production[Job Number],0),MATCH(IFERROR(A250+0,A250),tbl_Production[Job Number],0)))="","",INDEX(tbl_Production[Tax Code],IFERROR(MATCH(A250&amp;"",tbl_Production[Job Number],0),MATCH(IFERROR(A250+0,A250),tbl_Production[Job Number],0)))),IFERROR(IF(INDEX(tbl_Consulting[Tax Code],IFERROR(MATCH(A250&amp;"",tbl_Consulting[Job Number],0),MATCH(IFERROR(A250+0,A250),tbl_Consulting[Job Number],0)))="","",INDEX(tbl_Consulting[Tax Code],IFERROR(MATCH(A250&amp;"",tbl_Consulting[Job Number],0),MATCH(IFERROR(A250+0,A250),tbl_Consulting[Job Number],0)))),"")))))</f>
        <v/>
      </c>
      <c r="N250" s="26">
        <f>IF(D250="","",IFERROR(INDEX(lst_CCtoGL,MATCH(D250,lst_CCforGL,0)),""))</f>
        <v/>
      </c>
      <c r="O250" s="27">
        <f>IF(E250="","",IF(M250="GST 10%",ROUND(E250*set_GSTRate,2),0))</f>
        <v/>
      </c>
      <c r="P250" s="27">
        <f>IF(E250="","",E250+O250)</f>
        <v/>
      </c>
      <c r="Q250" s="27">
        <f>IF(A250="","",IFERROR(INDEX(tbl_Onsite[Expected Revenue Ex GST],IFERROR(MATCH(A250&amp;"",tbl_Onsite[Job Number],0),MATCH(IFERROR(A250+0,A250),tbl_Onsite[Job Number],0))),IFERROR(INDEX(tbl_Production[Expected Revenue Ex GST],IFERROR(MATCH(A250&amp;"",tbl_Production[Job Number],0),MATCH(IFERROR(A250+0,A250),tbl_Production[Job Number],0))),IFERROR(INDEX(tbl_Consulting[Expected Revenue Ex GST],IFERROR(MATCH(A250&amp;"",tbl_Consulting[Job Number],0),MATCH(IFERROR(A250+0,A250),tbl_Consulting[Job Number],0))),0))))</f>
        <v/>
      </c>
      <c r="R250" s="27">
        <f>IF(A250="","",SUMIFS(tbl_Finance[Ex GST],tbl_Finance[Job Number],A250&amp;""))</f>
        <v/>
      </c>
      <c r="S250" s="27">
        <f>IF(A250="","",Q250-R250)</f>
        <v/>
      </c>
      <c r="T250" s="26">
        <f>IF(A250="","",IF(Q250=0,"No dept value",IF(ROUND(S250,2)=0,"Agrees",IF(S250&gt;0,"Dept higher - to invoice","Xero higher - check dept"))))</f>
        <v/>
      </c>
      <c r="U250" s="22" t="n"/>
      <c r="V250" s="22" t="n"/>
      <c r="W250" s="23" t="n"/>
      <c r="X250" s="23" t="n"/>
      <c r="Y250" s="22" t="n"/>
      <c r="Z250" s="22" t="n"/>
      <c r="AA250" s="26">
        <f>IF(COUNTA(C250,A250,B250,E250)=0,"",IF(C250="","No date - sits outside every month",IF(A250="","No job number",IF(H250="CHECK","Job number is not in the Xero job list",IF(G250="not set up yet","No department has set this job up - nothing can pull through",IF(D250="","No cost centre",IF(AND(U250="Y",B250=""),"Marked posted to Xero but has no invoice number",IF(N250="","Cost centre has no revenue GL on the Lists sheet",IF(T250="Xero higher - check dept","Invoiced more than the department says the job is worth","")))))))))</f>
        <v/>
      </c>
      <c r="AB250" s="28">
        <f>IF(A250="","",COUNTIFS(tbl_Finance[Job Number],A250&amp;"",tbl_Finance[Ex GST],"&lt;&gt;"))</f>
        <v/>
      </c>
      <c r="AC250" s="27">
        <f>IF(A250="","",SUMIFS(tbl_Finance[Ex GST],tbl_Finance[Job Number],A250&amp;""))</f>
        <v/>
      </c>
      <c r="AD250" s="27">
        <f>IF(A250="","",SUMIFS(tbl_Finance[Ex GST],tbl_Finance[Job Number],A250&amp;"",tbl_Finance[Xero Invoice No],"&lt;&gt;"))</f>
        <v/>
      </c>
      <c r="AE250" s="27">
        <f>IF(A250="","",AC250-AD250)</f>
        <v/>
      </c>
      <c r="AF250" s="26">
        <f>IF(A250="","",IFERROR(IF(INDEX(tbl_Onsite[Qwilr Quote],IFERROR(MATCH(A250&amp;"",tbl_Onsite[Job Number],0),MATCH(IFERROR(A250+0,A250),tbl_Onsite[Job Number],0)))="","",INDEX(tbl_Onsite[Qwilr Quote],IFERROR(MATCH(A250&amp;"",tbl_Onsite[Job Number],0),MATCH(IFERROR(A250+0,A250),tbl_Onsite[Job Number],0)))),IFERROR(IF(IF(INDEX(tbl_Production[Current RMS No],IFERROR(MATCH(A250&amp;"",tbl_Production[Job Number],0),MATCH(IFERROR(A250+0,A250),tbl_Production[Job Number],0)))="",INDEX(tbl_Production[Qwilr Quote],IFERROR(MATCH(A250&amp;"",tbl_Production[Job Number],0),MATCH(IFERROR(A250+0,A250),tbl_Production[Job Number],0))),INDEX(tbl_Production[Current RMS No],IFERROR(MATCH(A250&amp;"",tbl_Production[Job Number],0),MATCH(IFERROR(A250+0,A250),tbl_Production[Job Number],0))))="","",IF(INDEX(tbl_Production[Current RMS No],IFERROR(MATCH(A250&amp;"",tbl_Production[Job Number],0),MATCH(IFERROR(A250+0,A250),tbl_Production[Job Number],0)))="",INDEX(tbl_Production[Qwilr Quote],IFERROR(MATCH(A250&amp;"",tbl_Production[Job Number],0),MATCH(IFERROR(A250+0,A250),tbl_Production[Job Number],0))),INDEX(tbl_Production[Current RMS No],IFERROR(MATCH(A250&amp;"",tbl_Production[Job Number],0),MATCH(IFERROR(A250+0,A250),tbl_Production[Job Number],0))))),IFERROR(IF(INDEX(tbl_Consulting[Qwilr Quote],IFERROR(MATCH(A250&amp;"",tbl_Consulting[Job Number],0),MATCH(IFERROR(A250+0,A250),tbl_Consulting[Job Number],0)))="","",INDEX(tbl_Consulting[Qwilr Quote],IFERROR(MATCH(A250&amp;"",tbl_Consulting[Job Number],0),MATCH(IFERROR(A250+0,A250),tbl_Consulting[Job Number],0)))),""))))</f>
        <v/>
      </c>
      <c r="AG250" s="26">
        <f>IF(AF250="","",IF(AND(LEFT(AF250,4)&lt;&gt;"http",IF(G250="Production",set_RMSBase,set_QwilrBase)=""),"",HYPERLINK(IF(LEFT(AF250,4)="http",AF250,IF(G250="Production",set_RMSBase,set_QwilrBase)&amp;AF250),"Open")))</f>
        <v/>
      </c>
      <c r="AH250" s="27">
        <f>IF(A250="","",IFERROR(INDEX(tbl_Production[Total Expense],IFERROR(MATCH(A250&amp;"",tbl_Production[Job Number],0),MATCH(IFERROR(A250+0,A250),tbl_Production[Job Number],0))),IFERROR(INDEX(tbl_Consulting[Total Expense],IFERROR(MATCH(A250&amp;"",tbl_Consulting[Job Number],0),MATCH(IFERROR(A250+0,A250),tbl_Consulting[Job Number],0))),0)))</f>
        <v/>
      </c>
      <c r="AI250" s="27">
        <f>IF(A250="","",AC250-N(AH250))</f>
        <v/>
      </c>
      <c r="AJ250" s="29">
        <f>IFERROR(AI250/AC250,"")</f>
        <v/>
      </c>
      <c r="AK250" s="26">
        <f>IF(A250="","",IFERROR(IF(INDEX(tbl_Onsite[Notes],IFERROR(MATCH(A250&amp;"",tbl_Onsite[Job Number],0),MATCH(IFERROR(A250+0,A250),tbl_Onsite[Job Number],0)))="","",INDEX(tbl_Onsite[Notes],IFERROR(MATCH(A250&amp;"",tbl_Onsite[Job Number],0),MATCH(IFERROR(A250+0,A250),tbl_Onsite[Job Number],0)))),IFERROR(IF(INDEX(tbl_Production[Notes],IFERROR(MATCH(A250&amp;"",tbl_Production[Job Number],0),MATCH(IFERROR(A250+0,A250),tbl_Production[Job Number],0)))="","",INDEX(tbl_Production[Notes],IFERROR(MATCH(A250&amp;"",tbl_Production[Job Number],0),MATCH(IFERROR(A250+0,A250),tbl_Production[Job Number],0)))),IFERROR(IF(INDEX(tbl_Consulting[Notes],IFERROR(MATCH(A250&amp;"",tbl_Consulting[Job Number],0),MATCH(IFERROR(A250+0,A250),tbl_Consulting[Job Number],0)))="","",INDEX(tbl_Consulting[Notes],IFERROR(MATCH(A250&amp;"",tbl_Consulting[Job Number],0),MATCH(IFERROR(A250+0,A250),tbl_Consulting[Job Number],0)))),""))))</f>
        <v/>
      </c>
    </row>
    <row r="251" ht="15" customHeight="1">
      <c r="A251" s="22" t="n"/>
      <c r="B251" s="22" t="n"/>
      <c r="C251" s="23" t="n"/>
      <c r="D251" s="22" t="n"/>
      <c r="E251" s="24" t="n"/>
      <c r="F251" s="25">
        <f>IF(C251="","",EOMONTH(C251,0))</f>
        <v/>
      </c>
      <c r="G251" s="26">
        <f>IF(A251="","",IF(COUNTIF(tbl_Onsite[Job Number],A251&amp;"")&gt;0,"Onsite",IF(COUNTIF(tbl_Production[Job Number],A251&amp;"")&gt;0,"Production",IF(COUNTIF(tbl_Consulting[Job Number],A251&amp;"")&gt;0,"Consulting","not set up yet"))))</f>
        <v/>
      </c>
      <c r="H251" s="26">
        <f>IF(A251="","",IF(COUNTIF(lst_Jobs,A251&amp;"")&gt;0,"OK","CHECK"))</f>
        <v/>
      </c>
      <c r="I251" s="26">
        <f>IF(A251="","",IFERROR(INDEX(lst_JobName,MATCH(A251&amp;"",lst_Jobs,0)),""))</f>
        <v/>
      </c>
      <c r="J251" s="26">
        <f>IF(A251="","",IFERROR(IF(INDEX(tbl_Onsite[Client],IFERROR(MATCH(A251&amp;"",tbl_Onsite[Job Number],0),MATCH(IFERROR(A251+0,A251),tbl_Onsite[Job Number],0)))="","",INDEX(tbl_Onsite[Client],IFERROR(MATCH(A251&amp;"",tbl_Onsite[Job Number],0),MATCH(IFERROR(A251+0,A251),tbl_Onsite[Job Number],0)))),IFERROR(IF(INDEX(tbl_Production[Client],IFERROR(MATCH(A251&amp;"",tbl_Production[Job Number],0),MATCH(IFERROR(A251+0,A251),tbl_Production[Job Number],0)))="","",INDEX(tbl_Production[Client],IFERROR(MATCH(A251&amp;"",tbl_Production[Job Number],0),MATCH(IFERROR(A251+0,A251),tbl_Production[Job Number],0)))),IFERROR(IF(INDEX(tbl_Consulting[Client],IFERROR(MATCH(A251&amp;"",tbl_Consulting[Job Number],0),MATCH(IFERROR(A251+0,A251),tbl_Consulting[Job Number],0)))="","",INDEX(tbl_Consulting[Client],IFERROR(MATCH(A251&amp;"",tbl_Consulting[Job Number],0),MATCH(IFERROR(A251+0,A251),tbl_Consulting[Job Number],0)))),""))))</f>
        <v/>
      </c>
      <c r="K251" s="26">
        <f>IF(A251="","",IFERROR(IF(INDEX(tbl_Onsite[Job Description],IFERROR(MATCH(A251&amp;"",tbl_Onsite[Job Number],0),MATCH(IFERROR(A251+0,A251),tbl_Onsite[Job Number],0)))="","",INDEX(tbl_Onsite[Job Description],IFERROR(MATCH(A251&amp;"",tbl_Onsite[Job Number],0),MATCH(IFERROR(A251+0,A251),tbl_Onsite[Job Number],0)))),IFERROR(IF(INDEX(tbl_Production[Job Description],IFERROR(MATCH(A251&amp;"",tbl_Production[Job Number],0),MATCH(IFERROR(A251+0,A251),tbl_Production[Job Number],0)))="","",INDEX(tbl_Production[Job Description],IFERROR(MATCH(A251&amp;"",tbl_Production[Job Number],0),MATCH(IFERROR(A251+0,A251),tbl_Production[Job Number],0)))),IFERROR(IF(INDEX(tbl_Consulting[Job Description],IFERROR(MATCH(A251&amp;"",tbl_Consulting[Job Number],0),MATCH(IFERROR(A251+0,A251),tbl_Consulting[Job Number],0)))="","",INDEX(tbl_Consulting[Job Description],IFERROR(MATCH(A251&amp;"",tbl_Consulting[Job Number],0),MATCH(IFERROR(A251+0,A251),tbl_Consulting[Job Number],0)))),""))))</f>
        <v/>
      </c>
      <c r="L251" s="26">
        <f>IF(A251="","",IFERROR(IF(INDEX(tbl_Onsite[Invoice Type],IFERROR(MATCH(A251&amp;"",tbl_Onsite[Job Number],0),MATCH(IFERROR(A251+0,A251),tbl_Onsite[Job Number],0)))="","",INDEX(tbl_Onsite[Invoice Type],IFERROR(MATCH(A251&amp;"",tbl_Onsite[Job Number],0),MATCH(IFERROR(A251+0,A251),tbl_Onsite[Job Number],0)))),IFERROR(IF(INDEX(tbl_Production[Invoice Type],IFERROR(MATCH(A251&amp;"",tbl_Production[Job Number],0),MATCH(IFERROR(A251+0,A251),tbl_Production[Job Number],0)))="","",INDEX(tbl_Production[Invoice Type],IFERROR(MATCH(A251&amp;"",tbl_Production[Job Number],0),MATCH(IFERROR(A251+0,A251),tbl_Production[Job Number],0)))),IFERROR(IF(INDEX(tbl_Consulting[Invoice Type],IFERROR(MATCH(A251&amp;"",tbl_Consulting[Job Number],0),MATCH(IFERROR(A251+0,A251),tbl_Consulting[Job Number],0)))="","",INDEX(tbl_Consulting[Invoice Type],IFERROR(MATCH(A251&amp;"",tbl_Consulting[Job Number],0),MATCH(IFERROR(A251+0,A251),tbl_Consulting[Job Number],0)))),""))))</f>
        <v/>
      </c>
      <c r="M251" s="26">
        <f>IF(A251="","",IF(IFERROR(IF(INDEX(tbl_Onsite[Tax Code],IFERROR(MATCH(A251&amp;"",tbl_Onsite[Job Number],0),MATCH(IFERROR(A251+0,A251),tbl_Onsite[Job Number],0)))="","",INDEX(tbl_Onsite[Tax Code],IFERROR(MATCH(A251&amp;"",tbl_Onsite[Job Number],0),MATCH(IFERROR(A251+0,A251),tbl_Onsite[Job Number],0)))),IFERROR(IF(INDEX(tbl_Production[Tax Code],IFERROR(MATCH(A251&amp;"",tbl_Production[Job Number],0),MATCH(IFERROR(A251+0,A251),tbl_Production[Job Number],0)))="","",INDEX(tbl_Production[Tax Code],IFERROR(MATCH(A251&amp;"",tbl_Production[Job Number],0),MATCH(IFERROR(A251+0,A251),tbl_Production[Job Number],0)))),IFERROR(IF(INDEX(tbl_Consulting[Tax Code],IFERROR(MATCH(A251&amp;"",tbl_Consulting[Job Number],0),MATCH(IFERROR(A251+0,A251),tbl_Consulting[Job Number],0)))="","",INDEX(tbl_Consulting[Tax Code],IFERROR(MATCH(A251&amp;"",tbl_Consulting[Job Number],0),MATCH(IFERROR(A251+0,A251),tbl_Consulting[Job Number],0)))),"")))="","GST 10%",IFERROR(IF(INDEX(tbl_Onsite[Tax Code],IFERROR(MATCH(A251&amp;"",tbl_Onsite[Job Number],0),MATCH(IFERROR(A251+0,A251),tbl_Onsite[Job Number],0)))="","",INDEX(tbl_Onsite[Tax Code],IFERROR(MATCH(A251&amp;"",tbl_Onsite[Job Number],0),MATCH(IFERROR(A251+0,A251),tbl_Onsite[Job Number],0)))),IFERROR(IF(INDEX(tbl_Production[Tax Code],IFERROR(MATCH(A251&amp;"",tbl_Production[Job Number],0),MATCH(IFERROR(A251+0,A251),tbl_Production[Job Number],0)))="","",INDEX(tbl_Production[Tax Code],IFERROR(MATCH(A251&amp;"",tbl_Production[Job Number],0),MATCH(IFERROR(A251+0,A251),tbl_Production[Job Number],0)))),IFERROR(IF(INDEX(tbl_Consulting[Tax Code],IFERROR(MATCH(A251&amp;"",tbl_Consulting[Job Number],0),MATCH(IFERROR(A251+0,A251),tbl_Consulting[Job Number],0)))="","",INDEX(tbl_Consulting[Tax Code],IFERROR(MATCH(A251&amp;"",tbl_Consulting[Job Number],0),MATCH(IFERROR(A251+0,A251),tbl_Consulting[Job Number],0)))),"")))))</f>
        <v/>
      </c>
      <c r="N251" s="26">
        <f>IF(D251="","",IFERROR(INDEX(lst_CCtoGL,MATCH(D251,lst_CCforGL,0)),""))</f>
        <v/>
      </c>
      <c r="O251" s="27">
        <f>IF(E251="","",IF(M251="GST 10%",ROUND(E251*set_GSTRate,2),0))</f>
        <v/>
      </c>
      <c r="P251" s="27">
        <f>IF(E251="","",E251+O251)</f>
        <v/>
      </c>
      <c r="Q251" s="27">
        <f>IF(A251="","",IFERROR(INDEX(tbl_Onsite[Expected Revenue Ex GST],IFERROR(MATCH(A251&amp;"",tbl_Onsite[Job Number],0),MATCH(IFERROR(A251+0,A251),tbl_Onsite[Job Number],0))),IFERROR(INDEX(tbl_Production[Expected Revenue Ex GST],IFERROR(MATCH(A251&amp;"",tbl_Production[Job Number],0),MATCH(IFERROR(A251+0,A251),tbl_Production[Job Number],0))),IFERROR(INDEX(tbl_Consulting[Expected Revenue Ex GST],IFERROR(MATCH(A251&amp;"",tbl_Consulting[Job Number],0),MATCH(IFERROR(A251+0,A251),tbl_Consulting[Job Number],0))),0))))</f>
        <v/>
      </c>
      <c r="R251" s="27">
        <f>IF(A251="","",SUMIFS(tbl_Finance[Ex GST],tbl_Finance[Job Number],A251&amp;""))</f>
        <v/>
      </c>
      <c r="S251" s="27">
        <f>IF(A251="","",Q251-R251)</f>
        <v/>
      </c>
      <c r="T251" s="26">
        <f>IF(A251="","",IF(Q251=0,"No dept value",IF(ROUND(S251,2)=0,"Agrees",IF(S251&gt;0,"Dept higher - to invoice","Xero higher - check dept"))))</f>
        <v/>
      </c>
      <c r="U251" s="22" t="n"/>
      <c r="V251" s="22" t="n"/>
      <c r="W251" s="23" t="n"/>
      <c r="X251" s="23" t="n"/>
      <c r="Y251" s="22" t="n"/>
      <c r="Z251" s="22" t="n"/>
      <c r="AA251" s="26">
        <f>IF(COUNTA(C251,A251,B251,E251)=0,"",IF(C251="","No date - sits outside every month",IF(A251="","No job number",IF(H251="CHECK","Job number is not in the Xero job list",IF(G251="not set up yet","No department has set this job up - nothing can pull through",IF(D251="","No cost centre",IF(AND(U251="Y",B251=""),"Marked posted to Xero but has no invoice number",IF(N251="","Cost centre has no revenue GL on the Lists sheet",IF(T251="Xero higher - check dept","Invoiced more than the department says the job is worth","")))))))))</f>
        <v/>
      </c>
      <c r="AB251" s="28">
        <f>IF(A251="","",COUNTIFS(tbl_Finance[Job Number],A251&amp;"",tbl_Finance[Ex GST],"&lt;&gt;"))</f>
        <v/>
      </c>
      <c r="AC251" s="27">
        <f>IF(A251="","",SUMIFS(tbl_Finance[Ex GST],tbl_Finance[Job Number],A251&amp;""))</f>
        <v/>
      </c>
      <c r="AD251" s="27">
        <f>IF(A251="","",SUMIFS(tbl_Finance[Ex GST],tbl_Finance[Job Number],A251&amp;"",tbl_Finance[Xero Invoice No],"&lt;&gt;"))</f>
        <v/>
      </c>
      <c r="AE251" s="27">
        <f>IF(A251="","",AC251-AD251)</f>
        <v/>
      </c>
      <c r="AF251" s="26">
        <f>IF(A251="","",IFERROR(IF(INDEX(tbl_Onsite[Qwilr Quote],IFERROR(MATCH(A251&amp;"",tbl_Onsite[Job Number],0),MATCH(IFERROR(A251+0,A251),tbl_Onsite[Job Number],0)))="","",INDEX(tbl_Onsite[Qwilr Quote],IFERROR(MATCH(A251&amp;"",tbl_Onsite[Job Number],0),MATCH(IFERROR(A251+0,A251),tbl_Onsite[Job Number],0)))),IFERROR(IF(IF(INDEX(tbl_Production[Current RMS No],IFERROR(MATCH(A251&amp;"",tbl_Production[Job Number],0),MATCH(IFERROR(A251+0,A251),tbl_Production[Job Number],0)))="",INDEX(tbl_Production[Qwilr Quote],IFERROR(MATCH(A251&amp;"",tbl_Production[Job Number],0),MATCH(IFERROR(A251+0,A251),tbl_Production[Job Number],0))),INDEX(tbl_Production[Current RMS No],IFERROR(MATCH(A251&amp;"",tbl_Production[Job Number],0),MATCH(IFERROR(A251+0,A251),tbl_Production[Job Number],0))))="","",IF(INDEX(tbl_Production[Current RMS No],IFERROR(MATCH(A251&amp;"",tbl_Production[Job Number],0),MATCH(IFERROR(A251+0,A251),tbl_Production[Job Number],0)))="",INDEX(tbl_Production[Qwilr Quote],IFERROR(MATCH(A251&amp;"",tbl_Production[Job Number],0),MATCH(IFERROR(A251+0,A251),tbl_Production[Job Number],0))),INDEX(tbl_Production[Current RMS No],IFERROR(MATCH(A251&amp;"",tbl_Production[Job Number],0),MATCH(IFERROR(A251+0,A251),tbl_Production[Job Number],0))))),IFERROR(IF(INDEX(tbl_Consulting[Qwilr Quote],IFERROR(MATCH(A251&amp;"",tbl_Consulting[Job Number],0),MATCH(IFERROR(A251+0,A251),tbl_Consulting[Job Number],0)))="","",INDEX(tbl_Consulting[Qwilr Quote],IFERROR(MATCH(A251&amp;"",tbl_Consulting[Job Number],0),MATCH(IFERROR(A251+0,A251),tbl_Consulting[Job Number],0)))),""))))</f>
        <v/>
      </c>
      <c r="AG251" s="26">
        <f>IF(AF251="","",IF(AND(LEFT(AF251,4)&lt;&gt;"http",IF(G251="Production",set_RMSBase,set_QwilrBase)=""),"",HYPERLINK(IF(LEFT(AF251,4)="http",AF251,IF(G251="Production",set_RMSBase,set_QwilrBase)&amp;AF251),"Open")))</f>
        <v/>
      </c>
      <c r="AH251" s="27">
        <f>IF(A251="","",IFERROR(INDEX(tbl_Production[Total Expense],IFERROR(MATCH(A251&amp;"",tbl_Production[Job Number],0),MATCH(IFERROR(A251+0,A251),tbl_Production[Job Number],0))),IFERROR(INDEX(tbl_Consulting[Total Expense],IFERROR(MATCH(A251&amp;"",tbl_Consulting[Job Number],0),MATCH(IFERROR(A251+0,A251),tbl_Consulting[Job Number],0))),0)))</f>
        <v/>
      </c>
      <c r="AI251" s="27">
        <f>IF(A251="","",AC251-N(AH251))</f>
        <v/>
      </c>
      <c r="AJ251" s="29">
        <f>IFERROR(AI251/AC251,"")</f>
        <v/>
      </c>
      <c r="AK251" s="26">
        <f>IF(A251="","",IFERROR(IF(INDEX(tbl_Onsite[Notes],IFERROR(MATCH(A251&amp;"",tbl_Onsite[Job Number],0),MATCH(IFERROR(A251+0,A251),tbl_Onsite[Job Number],0)))="","",INDEX(tbl_Onsite[Notes],IFERROR(MATCH(A251&amp;"",tbl_Onsite[Job Number],0),MATCH(IFERROR(A251+0,A251),tbl_Onsite[Job Number],0)))),IFERROR(IF(INDEX(tbl_Production[Notes],IFERROR(MATCH(A251&amp;"",tbl_Production[Job Number],0),MATCH(IFERROR(A251+0,A251),tbl_Production[Job Number],0)))="","",INDEX(tbl_Production[Notes],IFERROR(MATCH(A251&amp;"",tbl_Production[Job Number],0),MATCH(IFERROR(A251+0,A251),tbl_Production[Job Number],0)))),IFERROR(IF(INDEX(tbl_Consulting[Notes],IFERROR(MATCH(A251&amp;"",tbl_Consulting[Job Number],0),MATCH(IFERROR(A251+0,A251),tbl_Consulting[Job Number],0)))="","",INDEX(tbl_Consulting[Notes],IFERROR(MATCH(A251&amp;"",tbl_Consulting[Job Number],0),MATCH(IFERROR(A251+0,A251),tbl_Consulting[Job Number],0)))),""))))</f>
        <v/>
      </c>
    </row>
    <row r="252" ht="15" customHeight="1">
      <c r="A252" s="22" t="n"/>
      <c r="B252" s="22" t="n"/>
      <c r="C252" s="23" t="n"/>
      <c r="D252" s="22" t="n"/>
      <c r="E252" s="24" t="n"/>
      <c r="F252" s="25">
        <f>IF(C252="","",EOMONTH(C252,0))</f>
        <v/>
      </c>
      <c r="G252" s="26">
        <f>IF(A252="","",IF(COUNTIF(tbl_Onsite[Job Number],A252&amp;"")&gt;0,"Onsite",IF(COUNTIF(tbl_Production[Job Number],A252&amp;"")&gt;0,"Production",IF(COUNTIF(tbl_Consulting[Job Number],A252&amp;"")&gt;0,"Consulting","not set up yet"))))</f>
        <v/>
      </c>
      <c r="H252" s="26">
        <f>IF(A252="","",IF(COUNTIF(lst_Jobs,A252&amp;"")&gt;0,"OK","CHECK"))</f>
        <v/>
      </c>
      <c r="I252" s="26">
        <f>IF(A252="","",IFERROR(INDEX(lst_JobName,MATCH(A252&amp;"",lst_Jobs,0)),""))</f>
        <v/>
      </c>
      <c r="J252" s="26">
        <f>IF(A252="","",IFERROR(IF(INDEX(tbl_Onsite[Client],IFERROR(MATCH(A252&amp;"",tbl_Onsite[Job Number],0),MATCH(IFERROR(A252+0,A252),tbl_Onsite[Job Number],0)))="","",INDEX(tbl_Onsite[Client],IFERROR(MATCH(A252&amp;"",tbl_Onsite[Job Number],0),MATCH(IFERROR(A252+0,A252),tbl_Onsite[Job Number],0)))),IFERROR(IF(INDEX(tbl_Production[Client],IFERROR(MATCH(A252&amp;"",tbl_Production[Job Number],0),MATCH(IFERROR(A252+0,A252),tbl_Production[Job Number],0)))="","",INDEX(tbl_Production[Client],IFERROR(MATCH(A252&amp;"",tbl_Production[Job Number],0),MATCH(IFERROR(A252+0,A252),tbl_Production[Job Number],0)))),IFERROR(IF(INDEX(tbl_Consulting[Client],IFERROR(MATCH(A252&amp;"",tbl_Consulting[Job Number],0),MATCH(IFERROR(A252+0,A252),tbl_Consulting[Job Number],0)))="","",INDEX(tbl_Consulting[Client],IFERROR(MATCH(A252&amp;"",tbl_Consulting[Job Number],0),MATCH(IFERROR(A252+0,A252),tbl_Consulting[Job Number],0)))),""))))</f>
        <v/>
      </c>
      <c r="K252" s="26">
        <f>IF(A252="","",IFERROR(IF(INDEX(tbl_Onsite[Job Description],IFERROR(MATCH(A252&amp;"",tbl_Onsite[Job Number],0),MATCH(IFERROR(A252+0,A252),tbl_Onsite[Job Number],0)))="","",INDEX(tbl_Onsite[Job Description],IFERROR(MATCH(A252&amp;"",tbl_Onsite[Job Number],0),MATCH(IFERROR(A252+0,A252),tbl_Onsite[Job Number],0)))),IFERROR(IF(INDEX(tbl_Production[Job Description],IFERROR(MATCH(A252&amp;"",tbl_Production[Job Number],0),MATCH(IFERROR(A252+0,A252),tbl_Production[Job Number],0)))="","",INDEX(tbl_Production[Job Description],IFERROR(MATCH(A252&amp;"",tbl_Production[Job Number],0),MATCH(IFERROR(A252+0,A252),tbl_Production[Job Number],0)))),IFERROR(IF(INDEX(tbl_Consulting[Job Description],IFERROR(MATCH(A252&amp;"",tbl_Consulting[Job Number],0),MATCH(IFERROR(A252+0,A252),tbl_Consulting[Job Number],0)))="","",INDEX(tbl_Consulting[Job Description],IFERROR(MATCH(A252&amp;"",tbl_Consulting[Job Number],0),MATCH(IFERROR(A252+0,A252),tbl_Consulting[Job Number],0)))),""))))</f>
        <v/>
      </c>
      <c r="L252" s="26">
        <f>IF(A252="","",IFERROR(IF(INDEX(tbl_Onsite[Invoice Type],IFERROR(MATCH(A252&amp;"",tbl_Onsite[Job Number],0),MATCH(IFERROR(A252+0,A252),tbl_Onsite[Job Number],0)))="","",INDEX(tbl_Onsite[Invoice Type],IFERROR(MATCH(A252&amp;"",tbl_Onsite[Job Number],0),MATCH(IFERROR(A252+0,A252),tbl_Onsite[Job Number],0)))),IFERROR(IF(INDEX(tbl_Production[Invoice Type],IFERROR(MATCH(A252&amp;"",tbl_Production[Job Number],0),MATCH(IFERROR(A252+0,A252),tbl_Production[Job Number],0)))="","",INDEX(tbl_Production[Invoice Type],IFERROR(MATCH(A252&amp;"",tbl_Production[Job Number],0),MATCH(IFERROR(A252+0,A252),tbl_Production[Job Number],0)))),IFERROR(IF(INDEX(tbl_Consulting[Invoice Type],IFERROR(MATCH(A252&amp;"",tbl_Consulting[Job Number],0),MATCH(IFERROR(A252+0,A252),tbl_Consulting[Job Number],0)))="","",INDEX(tbl_Consulting[Invoice Type],IFERROR(MATCH(A252&amp;"",tbl_Consulting[Job Number],0),MATCH(IFERROR(A252+0,A252),tbl_Consulting[Job Number],0)))),""))))</f>
        <v/>
      </c>
      <c r="M252" s="26">
        <f>IF(A252="","",IF(IFERROR(IF(INDEX(tbl_Onsite[Tax Code],IFERROR(MATCH(A252&amp;"",tbl_Onsite[Job Number],0),MATCH(IFERROR(A252+0,A252),tbl_Onsite[Job Number],0)))="","",INDEX(tbl_Onsite[Tax Code],IFERROR(MATCH(A252&amp;"",tbl_Onsite[Job Number],0),MATCH(IFERROR(A252+0,A252),tbl_Onsite[Job Number],0)))),IFERROR(IF(INDEX(tbl_Production[Tax Code],IFERROR(MATCH(A252&amp;"",tbl_Production[Job Number],0),MATCH(IFERROR(A252+0,A252),tbl_Production[Job Number],0)))="","",INDEX(tbl_Production[Tax Code],IFERROR(MATCH(A252&amp;"",tbl_Production[Job Number],0),MATCH(IFERROR(A252+0,A252),tbl_Production[Job Number],0)))),IFERROR(IF(INDEX(tbl_Consulting[Tax Code],IFERROR(MATCH(A252&amp;"",tbl_Consulting[Job Number],0),MATCH(IFERROR(A252+0,A252),tbl_Consulting[Job Number],0)))="","",INDEX(tbl_Consulting[Tax Code],IFERROR(MATCH(A252&amp;"",tbl_Consulting[Job Number],0),MATCH(IFERROR(A252+0,A252),tbl_Consulting[Job Number],0)))),"")))="","GST 10%",IFERROR(IF(INDEX(tbl_Onsite[Tax Code],IFERROR(MATCH(A252&amp;"",tbl_Onsite[Job Number],0),MATCH(IFERROR(A252+0,A252),tbl_Onsite[Job Number],0)))="","",INDEX(tbl_Onsite[Tax Code],IFERROR(MATCH(A252&amp;"",tbl_Onsite[Job Number],0),MATCH(IFERROR(A252+0,A252),tbl_Onsite[Job Number],0)))),IFERROR(IF(INDEX(tbl_Production[Tax Code],IFERROR(MATCH(A252&amp;"",tbl_Production[Job Number],0),MATCH(IFERROR(A252+0,A252),tbl_Production[Job Number],0)))="","",INDEX(tbl_Production[Tax Code],IFERROR(MATCH(A252&amp;"",tbl_Production[Job Number],0),MATCH(IFERROR(A252+0,A252),tbl_Production[Job Number],0)))),IFERROR(IF(INDEX(tbl_Consulting[Tax Code],IFERROR(MATCH(A252&amp;"",tbl_Consulting[Job Number],0),MATCH(IFERROR(A252+0,A252),tbl_Consulting[Job Number],0)))="","",INDEX(tbl_Consulting[Tax Code],IFERROR(MATCH(A252&amp;"",tbl_Consulting[Job Number],0),MATCH(IFERROR(A252+0,A252),tbl_Consulting[Job Number],0)))),"")))))</f>
        <v/>
      </c>
      <c r="N252" s="26">
        <f>IF(D252="","",IFERROR(INDEX(lst_CCtoGL,MATCH(D252,lst_CCforGL,0)),""))</f>
        <v/>
      </c>
      <c r="O252" s="27">
        <f>IF(E252="","",IF(M252="GST 10%",ROUND(E252*set_GSTRate,2),0))</f>
        <v/>
      </c>
      <c r="P252" s="27">
        <f>IF(E252="","",E252+O252)</f>
        <v/>
      </c>
      <c r="Q252" s="27">
        <f>IF(A252="","",IFERROR(INDEX(tbl_Onsite[Expected Revenue Ex GST],IFERROR(MATCH(A252&amp;"",tbl_Onsite[Job Number],0),MATCH(IFERROR(A252+0,A252),tbl_Onsite[Job Number],0))),IFERROR(INDEX(tbl_Production[Expected Revenue Ex GST],IFERROR(MATCH(A252&amp;"",tbl_Production[Job Number],0),MATCH(IFERROR(A252+0,A252),tbl_Production[Job Number],0))),IFERROR(INDEX(tbl_Consulting[Expected Revenue Ex GST],IFERROR(MATCH(A252&amp;"",tbl_Consulting[Job Number],0),MATCH(IFERROR(A252+0,A252),tbl_Consulting[Job Number],0))),0))))</f>
        <v/>
      </c>
      <c r="R252" s="27">
        <f>IF(A252="","",SUMIFS(tbl_Finance[Ex GST],tbl_Finance[Job Number],A252&amp;""))</f>
        <v/>
      </c>
      <c r="S252" s="27">
        <f>IF(A252="","",Q252-R252)</f>
        <v/>
      </c>
      <c r="T252" s="26">
        <f>IF(A252="","",IF(Q252=0,"No dept value",IF(ROUND(S252,2)=0,"Agrees",IF(S252&gt;0,"Dept higher - to invoice","Xero higher - check dept"))))</f>
        <v/>
      </c>
      <c r="U252" s="22" t="n"/>
      <c r="V252" s="22" t="n"/>
      <c r="W252" s="23" t="n"/>
      <c r="X252" s="23" t="n"/>
      <c r="Y252" s="22" t="n"/>
      <c r="Z252" s="22" t="n"/>
      <c r="AA252" s="26">
        <f>IF(COUNTA(C252,A252,B252,E252)=0,"",IF(C252="","No date - sits outside every month",IF(A252="","No job number",IF(H252="CHECK","Job number is not in the Xero job list",IF(G252="not set up yet","No department has set this job up - nothing can pull through",IF(D252="","No cost centre",IF(AND(U252="Y",B252=""),"Marked posted to Xero but has no invoice number",IF(N252="","Cost centre has no revenue GL on the Lists sheet",IF(T252="Xero higher - check dept","Invoiced more than the department says the job is worth","")))))))))</f>
        <v/>
      </c>
      <c r="AB252" s="28">
        <f>IF(A252="","",COUNTIFS(tbl_Finance[Job Number],A252&amp;"",tbl_Finance[Ex GST],"&lt;&gt;"))</f>
        <v/>
      </c>
      <c r="AC252" s="27">
        <f>IF(A252="","",SUMIFS(tbl_Finance[Ex GST],tbl_Finance[Job Number],A252&amp;""))</f>
        <v/>
      </c>
      <c r="AD252" s="27">
        <f>IF(A252="","",SUMIFS(tbl_Finance[Ex GST],tbl_Finance[Job Number],A252&amp;"",tbl_Finance[Xero Invoice No],"&lt;&gt;"))</f>
        <v/>
      </c>
      <c r="AE252" s="27">
        <f>IF(A252="","",AC252-AD252)</f>
        <v/>
      </c>
      <c r="AF252" s="26">
        <f>IF(A252="","",IFERROR(IF(INDEX(tbl_Onsite[Qwilr Quote],IFERROR(MATCH(A252&amp;"",tbl_Onsite[Job Number],0),MATCH(IFERROR(A252+0,A252),tbl_Onsite[Job Number],0)))="","",INDEX(tbl_Onsite[Qwilr Quote],IFERROR(MATCH(A252&amp;"",tbl_Onsite[Job Number],0),MATCH(IFERROR(A252+0,A252),tbl_Onsite[Job Number],0)))),IFERROR(IF(IF(INDEX(tbl_Production[Current RMS No],IFERROR(MATCH(A252&amp;"",tbl_Production[Job Number],0),MATCH(IFERROR(A252+0,A252),tbl_Production[Job Number],0)))="",INDEX(tbl_Production[Qwilr Quote],IFERROR(MATCH(A252&amp;"",tbl_Production[Job Number],0),MATCH(IFERROR(A252+0,A252),tbl_Production[Job Number],0))),INDEX(tbl_Production[Current RMS No],IFERROR(MATCH(A252&amp;"",tbl_Production[Job Number],0),MATCH(IFERROR(A252+0,A252),tbl_Production[Job Number],0))))="","",IF(INDEX(tbl_Production[Current RMS No],IFERROR(MATCH(A252&amp;"",tbl_Production[Job Number],0),MATCH(IFERROR(A252+0,A252),tbl_Production[Job Number],0)))="",INDEX(tbl_Production[Qwilr Quote],IFERROR(MATCH(A252&amp;"",tbl_Production[Job Number],0),MATCH(IFERROR(A252+0,A252),tbl_Production[Job Number],0))),INDEX(tbl_Production[Current RMS No],IFERROR(MATCH(A252&amp;"",tbl_Production[Job Number],0),MATCH(IFERROR(A252+0,A252),tbl_Production[Job Number],0))))),IFERROR(IF(INDEX(tbl_Consulting[Qwilr Quote],IFERROR(MATCH(A252&amp;"",tbl_Consulting[Job Number],0),MATCH(IFERROR(A252+0,A252),tbl_Consulting[Job Number],0)))="","",INDEX(tbl_Consulting[Qwilr Quote],IFERROR(MATCH(A252&amp;"",tbl_Consulting[Job Number],0),MATCH(IFERROR(A252+0,A252),tbl_Consulting[Job Number],0)))),""))))</f>
        <v/>
      </c>
      <c r="AG252" s="26">
        <f>IF(AF252="","",IF(AND(LEFT(AF252,4)&lt;&gt;"http",IF(G252="Production",set_RMSBase,set_QwilrBase)=""),"",HYPERLINK(IF(LEFT(AF252,4)="http",AF252,IF(G252="Production",set_RMSBase,set_QwilrBase)&amp;AF252),"Open")))</f>
        <v/>
      </c>
      <c r="AH252" s="27">
        <f>IF(A252="","",IFERROR(INDEX(tbl_Production[Total Expense],IFERROR(MATCH(A252&amp;"",tbl_Production[Job Number],0),MATCH(IFERROR(A252+0,A252),tbl_Production[Job Number],0))),IFERROR(INDEX(tbl_Consulting[Total Expense],IFERROR(MATCH(A252&amp;"",tbl_Consulting[Job Number],0),MATCH(IFERROR(A252+0,A252),tbl_Consulting[Job Number],0))),0)))</f>
        <v/>
      </c>
      <c r="AI252" s="27">
        <f>IF(A252="","",AC252-N(AH252))</f>
        <v/>
      </c>
      <c r="AJ252" s="29">
        <f>IFERROR(AI252/AC252,"")</f>
        <v/>
      </c>
      <c r="AK252" s="26">
        <f>IF(A252="","",IFERROR(IF(INDEX(tbl_Onsite[Notes],IFERROR(MATCH(A252&amp;"",tbl_Onsite[Job Number],0),MATCH(IFERROR(A252+0,A252),tbl_Onsite[Job Number],0)))="","",INDEX(tbl_Onsite[Notes],IFERROR(MATCH(A252&amp;"",tbl_Onsite[Job Number],0),MATCH(IFERROR(A252+0,A252),tbl_Onsite[Job Number],0)))),IFERROR(IF(INDEX(tbl_Production[Notes],IFERROR(MATCH(A252&amp;"",tbl_Production[Job Number],0),MATCH(IFERROR(A252+0,A252),tbl_Production[Job Number],0)))="","",INDEX(tbl_Production[Notes],IFERROR(MATCH(A252&amp;"",tbl_Production[Job Number],0),MATCH(IFERROR(A252+0,A252),tbl_Production[Job Number],0)))),IFERROR(IF(INDEX(tbl_Consulting[Notes],IFERROR(MATCH(A252&amp;"",tbl_Consulting[Job Number],0),MATCH(IFERROR(A252+0,A252),tbl_Consulting[Job Number],0)))="","",INDEX(tbl_Consulting[Notes],IFERROR(MATCH(A252&amp;"",tbl_Consulting[Job Number],0),MATCH(IFERROR(A252+0,A252),tbl_Consulting[Job Number],0)))),""))))</f>
        <v/>
      </c>
    </row>
    <row r="253" ht="15" customHeight="1">
      <c r="A253" s="22" t="n"/>
      <c r="B253" s="22" t="n"/>
      <c r="C253" s="23" t="n"/>
      <c r="D253" s="22" t="n"/>
      <c r="E253" s="24" t="n"/>
      <c r="F253" s="25">
        <f>IF(C253="","",EOMONTH(C253,0))</f>
        <v/>
      </c>
      <c r="G253" s="26">
        <f>IF(A253="","",IF(COUNTIF(tbl_Onsite[Job Number],A253&amp;"")&gt;0,"Onsite",IF(COUNTIF(tbl_Production[Job Number],A253&amp;"")&gt;0,"Production",IF(COUNTIF(tbl_Consulting[Job Number],A253&amp;"")&gt;0,"Consulting","not set up yet"))))</f>
        <v/>
      </c>
      <c r="H253" s="26">
        <f>IF(A253="","",IF(COUNTIF(lst_Jobs,A253&amp;"")&gt;0,"OK","CHECK"))</f>
        <v/>
      </c>
      <c r="I253" s="26">
        <f>IF(A253="","",IFERROR(INDEX(lst_JobName,MATCH(A253&amp;"",lst_Jobs,0)),""))</f>
        <v/>
      </c>
      <c r="J253" s="26">
        <f>IF(A253="","",IFERROR(IF(INDEX(tbl_Onsite[Client],IFERROR(MATCH(A253&amp;"",tbl_Onsite[Job Number],0),MATCH(IFERROR(A253+0,A253),tbl_Onsite[Job Number],0)))="","",INDEX(tbl_Onsite[Client],IFERROR(MATCH(A253&amp;"",tbl_Onsite[Job Number],0),MATCH(IFERROR(A253+0,A253),tbl_Onsite[Job Number],0)))),IFERROR(IF(INDEX(tbl_Production[Client],IFERROR(MATCH(A253&amp;"",tbl_Production[Job Number],0),MATCH(IFERROR(A253+0,A253),tbl_Production[Job Number],0)))="","",INDEX(tbl_Production[Client],IFERROR(MATCH(A253&amp;"",tbl_Production[Job Number],0),MATCH(IFERROR(A253+0,A253),tbl_Production[Job Number],0)))),IFERROR(IF(INDEX(tbl_Consulting[Client],IFERROR(MATCH(A253&amp;"",tbl_Consulting[Job Number],0),MATCH(IFERROR(A253+0,A253),tbl_Consulting[Job Number],0)))="","",INDEX(tbl_Consulting[Client],IFERROR(MATCH(A253&amp;"",tbl_Consulting[Job Number],0),MATCH(IFERROR(A253+0,A253),tbl_Consulting[Job Number],0)))),""))))</f>
        <v/>
      </c>
      <c r="K253" s="26">
        <f>IF(A253="","",IFERROR(IF(INDEX(tbl_Onsite[Job Description],IFERROR(MATCH(A253&amp;"",tbl_Onsite[Job Number],0),MATCH(IFERROR(A253+0,A253),tbl_Onsite[Job Number],0)))="","",INDEX(tbl_Onsite[Job Description],IFERROR(MATCH(A253&amp;"",tbl_Onsite[Job Number],0),MATCH(IFERROR(A253+0,A253),tbl_Onsite[Job Number],0)))),IFERROR(IF(INDEX(tbl_Production[Job Description],IFERROR(MATCH(A253&amp;"",tbl_Production[Job Number],0),MATCH(IFERROR(A253+0,A253),tbl_Production[Job Number],0)))="","",INDEX(tbl_Production[Job Description],IFERROR(MATCH(A253&amp;"",tbl_Production[Job Number],0),MATCH(IFERROR(A253+0,A253),tbl_Production[Job Number],0)))),IFERROR(IF(INDEX(tbl_Consulting[Job Description],IFERROR(MATCH(A253&amp;"",tbl_Consulting[Job Number],0),MATCH(IFERROR(A253+0,A253),tbl_Consulting[Job Number],0)))="","",INDEX(tbl_Consulting[Job Description],IFERROR(MATCH(A253&amp;"",tbl_Consulting[Job Number],0),MATCH(IFERROR(A253+0,A253),tbl_Consulting[Job Number],0)))),""))))</f>
        <v/>
      </c>
      <c r="L253" s="26">
        <f>IF(A253="","",IFERROR(IF(INDEX(tbl_Onsite[Invoice Type],IFERROR(MATCH(A253&amp;"",tbl_Onsite[Job Number],0),MATCH(IFERROR(A253+0,A253),tbl_Onsite[Job Number],0)))="","",INDEX(tbl_Onsite[Invoice Type],IFERROR(MATCH(A253&amp;"",tbl_Onsite[Job Number],0),MATCH(IFERROR(A253+0,A253),tbl_Onsite[Job Number],0)))),IFERROR(IF(INDEX(tbl_Production[Invoice Type],IFERROR(MATCH(A253&amp;"",tbl_Production[Job Number],0),MATCH(IFERROR(A253+0,A253),tbl_Production[Job Number],0)))="","",INDEX(tbl_Production[Invoice Type],IFERROR(MATCH(A253&amp;"",tbl_Production[Job Number],0),MATCH(IFERROR(A253+0,A253),tbl_Production[Job Number],0)))),IFERROR(IF(INDEX(tbl_Consulting[Invoice Type],IFERROR(MATCH(A253&amp;"",tbl_Consulting[Job Number],0),MATCH(IFERROR(A253+0,A253),tbl_Consulting[Job Number],0)))="","",INDEX(tbl_Consulting[Invoice Type],IFERROR(MATCH(A253&amp;"",tbl_Consulting[Job Number],0),MATCH(IFERROR(A253+0,A253),tbl_Consulting[Job Number],0)))),""))))</f>
        <v/>
      </c>
      <c r="M253" s="26">
        <f>IF(A253="","",IF(IFERROR(IF(INDEX(tbl_Onsite[Tax Code],IFERROR(MATCH(A253&amp;"",tbl_Onsite[Job Number],0),MATCH(IFERROR(A253+0,A253),tbl_Onsite[Job Number],0)))="","",INDEX(tbl_Onsite[Tax Code],IFERROR(MATCH(A253&amp;"",tbl_Onsite[Job Number],0),MATCH(IFERROR(A253+0,A253),tbl_Onsite[Job Number],0)))),IFERROR(IF(INDEX(tbl_Production[Tax Code],IFERROR(MATCH(A253&amp;"",tbl_Production[Job Number],0),MATCH(IFERROR(A253+0,A253),tbl_Production[Job Number],0)))="","",INDEX(tbl_Production[Tax Code],IFERROR(MATCH(A253&amp;"",tbl_Production[Job Number],0),MATCH(IFERROR(A253+0,A253),tbl_Production[Job Number],0)))),IFERROR(IF(INDEX(tbl_Consulting[Tax Code],IFERROR(MATCH(A253&amp;"",tbl_Consulting[Job Number],0),MATCH(IFERROR(A253+0,A253),tbl_Consulting[Job Number],0)))="","",INDEX(tbl_Consulting[Tax Code],IFERROR(MATCH(A253&amp;"",tbl_Consulting[Job Number],0),MATCH(IFERROR(A253+0,A253),tbl_Consulting[Job Number],0)))),"")))="","GST 10%",IFERROR(IF(INDEX(tbl_Onsite[Tax Code],IFERROR(MATCH(A253&amp;"",tbl_Onsite[Job Number],0),MATCH(IFERROR(A253+0,A253),tbl_Onsite[Job Number],0)))="","",INDEX(tbl_Onsite[Tax Code],IFERROR(MATCH(A253&amp;"",tbl_Onsite[Job Number],0),MATCH(IFERROR(A253+0,A253),tbl_Onsite[Job Number],0)))),IFERROR(IF(INDEX(tbl_Production[Tax Code],IFERROR(MATCH(A253&amp;"",tbl_Production[Job Number],0),MATCH(IFERROR(A253+0,A253),tbl_Production[Job Number],0)))="","",INDEX(tbl_Production[Tax Code],IFERROR(MATCH(A253&amp;"",tbl_Production[Job Number],0),MATCH(IFERROR(A253+0,A253),tbl_Production[Job Number],0)))),IFERROR(IF(INDEX(tbl_Consulting[Tax Code],IFERROR(MATCH(A253&amp;"",tbl_Consulting[Job Number],0),MATCH(IFERROR(A253+0,A253),tbl_Consulting[Job Number],0)))="","",INDEX(tbl_Consulting[Tax Code],IFERROR(MATCH(A253&amp;"",tbl_Consulting[Job Number],0),MATCH(IFERROR(A253+0,A253),tbl_Consulting[Job Number],0)))),"")))))</f>
        <v/>
      </c>
      <c r="N253" s="26">
        <f>IF(D253="","",IFERROR(INDEX(lst_CCtoGL,MATCH(D253,lst_CCforGL,0)),""))</f>
        <v/>
      </c>
      <c r="O253" s="27">
        <f>IF(E253="","",IF(M253="GST 10%",ROUND(E253*set_GSTRate,2),0))</f>
        <v/>
      </c>
      <c r="P253" s="27">
        <f>IF(E253="","",E253+O253)</f>
        <v/>
      </c>
      <c r="Q253" s="27">
        <f>IF(A253="","",IFERROR(INDEX(tbl_Onsite[Expected Revenue Ex GST],IFERROR(MATCH(A253&amp;"",tbl_Onsite[Job Number],0),MATCH(IFERROR(A253+0,A253),tbl_Onsite[Job Number],0))),IFERROR(INDEX(tbl_Production[Expected Revenue Ex GST],IFERROR(MATCH(A253&amp;"",tbl_Production[Job Number],0),MATCH(IFERROR(A253+0,A253),tbl_Production[Job Number],0))),IFERROR(INDEX(tbl_Consulting[Expected Revenue Ex GST],IFERROR(MATCH(A253&amp;"",tbl_Consulting[Job Number],0),MATCH(IFERROR(A253+0,A253),tbl_Consulting[Job Number],0))),0))))</f>
        <v/>
      </c>
      <c r="R253" s="27">
        <f>IF(A253="","",SUMIFS(tbl_Finance[Ex GST],tbl_Finance[Job Number],A253&amp;""))</f>
        <v/>
      </c>
      <c r="S253" s="27">
        <f>IF(A253="","",Q253-R253)</f>
        <v/>
      </c>
      <c r="T253" s="26">
        <f>IF(A253="","",IF(Q253=0,"No dept value",IF(ROUND(S253,2)=0,"Agrees",IF(S253&gt;0,"Dept higher - to invoice","Xero higher - check dept"))))</f>
        <v/>
      </c>
      <c r="U253" s="22" t="n"/>
      <c r="V253" s="22" t="n"/>
      <c r="W253" s="23" t="n"/>
      <c r="X253" s="23" t="n"/>
      <c r="Y253" s="22" t="n"/>
      <c r="Z253" s="22" t="n"/>
      <c r="AA253" s="26">
        <f>IF(COUNTA(C253,A253,B253,E253)=0,"",IF(C253="","No date - sits outside every month",IF(A253="","No job number",IF(H253="CHECK","Job number is not in the Xero job list",IF(G253="not set up yet","No department has set this job up - nothing can pull through",IF(D253="","No cost centre",IF(AND(U253="Y",B253=""),"Marked posted to Xero but has no invoice number",IF(N253="","Cost centre has no revenue GL on the Lists sheet",IF(T253="Xero higher - check dept","Invoiced more than the department says the job is worth","")))))))))</f>
        <v/>
      </c>
      <c r="AB253" s="28">
        <f>IF(A253="","",COUNTIFS(tbl_Finance[Job Number],A253&amp;"",tbl_Finance[Ex GST],"&lt;&gt;"))</f>
        <v/>
      </c>
      <c r="AC253" s="27">
        <f>IF(A253="","",SUMIFS(tbl_Finance[Ex GST],tbl_Finance[Job Number],A253&amp;""))</f>
        <v/>
      </c>
      <c r="AD253" s="27">
        <f>IF(A253="","",SUMIFS(tbl_Finance[Ex GST],tbl_Finance[Job Number],A253&amp;"",tbl_Finance[Xero Invoice No],"&lt;&gt;"))</f>
        <v/>
      </c>
      <c r="AE253" s="27">
        <f>IF(A253="","",AC253-AD253)</f>
        <v/>
      </c>
      <c r="AF253" s="26">
        <f>IF(A253="","",IFERROR(IF(INDEX(tbl_Onsite[Qwilr Quote],IFERROR(MATCH(A253&amp;"",tbl_Onsite[Job Number],0),MATCH(IFERROR(A253+0,A253),tbl_Onsite[Job Number],0)))="","",INDEX(tbl_Onsite[Qwilr Quote],IFERROR(MATCH(A253&amp;"",tbl_Onsite[Job Number],0),MATCH(IFERROR(A253+0,A253),tbl_Onsite[Job Number],0)))),IFERROR(IF(IF(INDEX(tbl_Production[Current RMS No],IFERROR(MATCH(A253&amp;"",tbl_Production[Job Number],0),MATCH(IFERROR(A253+0,A253),tbl_Production[Job Number],0)))="",INDEX(tbl_Production[Qwilr Quote],IFERROR(MATCH(A253&amp;"",tbl_Production[Job Number],0),MATCH(IFERROR(A253+0,A253),tbl_Production[Job Number],0))),INDEX(tbl_Production[Current RMS No],IFERROR(MATCH(A253&amp;"",tbl_Production[Job Number],0),MATCH(IFERROR(A253+0,A253),tbl_Production[Job Number],0))))="","",IF(INDEX(tbl_Production[Current RMS No],IFERROR(MATCH(A253&amp;"",tbl_Production[Job Number],0),MATCH(IFERROR(A253+0,A253),tbl_Production[Job Number],0)))="",INDEX(tbl_Production[Qwilr Quote],IFERROR(MATCH(A253&amp;"",tbl_Production[Job Number],0),MATCH(IFERROR(A253+0,A253),tbl_Production[Job Number],0))),INDEX(tbl_Production[Current RMS No],IFERROR(MATCH(A253&amp;"",tbl_Production[Job Number],0),MATCH(IFERROR(A253+0,A253),tbl_Production[Job Number],0))))),IFERROR(IF(INDEX(tbl_Consulting[Qwilr Quote],IFERROR(MATCH(A253&amp;"",tbl_Consulting[Job Number],0),MATCH(IFERROR(A253+0,A253),tbl_Consulting[Job Number],0)))="","",INDEX(tbl_Consulting[Qwilr Quote],IFERROR(MATCH(A253&amp;"",tbl_Consulting[Job Number],0),MATCH(IFERROR(A253+0,A253),tbl_Consulting[Job Number],0)))),""))))</f>
        <v/>
      </c>
      <c r="AG253" s="26">
        <f>IF(AF253="","",IF(AND(LEFT(AF253,4)&lt;&gt;"http",IF(G253="Production",set_RMSBase,set_QwilrBase)=""),"",HYPERLINK(IF(LEFT(AF253,4)="http",AF253,IF(G253="Production",set_RMSBase,set_QwilrBase)&amp;AF253),"Open")))</f>
        <v/>
      </c>
      <c r="AH253" s="27">
        <f>IF(A253="","",IFERROR(INDEX(tbl_Production[Total Expense],IFERROR(MATCH(A253&amp;"",tbl_Production[Job Number],0),MATCH(IFERROR(A253+0,A253),tbl_Production[Job Number],0))),IFERROR(INDEX(tbl_Consulting[Total Expense],IFERROR(MATCH(A253&amp;"",tbl_Consulting[Job Number],0),MATCH(IFERROR(A253+0,A253),tbl_Consulting[Job Number],0))),0)))</f>
        <v/>
      </c>
      <c r="AI253" s="27">
        <f>IF(A253="","",AC253-N(AH253))</f>
        <v/>
      </c>
      <c r="AJ253" s="29">
        <f>IFERROR(AI253/AC253,"")</f>
        <v/>
      </c>
      <c r="AK253" s="26">
        <f>IF(A253="","",IFERROR(IF(INDEX(tbl_Onsite[Notes],IFERROR(MATCH(A253&amp;"",tbl_Onsite[Job Number],0),MATCH(IFERROR(A253+0,A253),tbl_Onsite[Job Number],0)))="","",INDEX(tbl_Onsite[Notes],IFERROR(MATCH(A253&amp;"",tbl_Onsite[Job Number],0),MATCH(IFERROR(A253+0,A253),tbl_Onsite[Job Number],0)))),IFERROR(IF(INDEX(tbl_Production[Notes],IFERROR(MATCH(A253&amp;"",tbl_Production[Job Number],0),MATCH(IFERROR(A253+0,A253),tbl_Production[Job Number],0)))="","",INDEX(tbl_Production[Notes],IFERROR(MATCH(A253&amp;"",tbl_Production[Job Number],0),MATCH(IFERROR(A253+0,A253),tbl_Production[Job Number],0)))),IFERROR(IF(INDEX(tbl_Consulting[Notes],IFERROR(MATCH(A253&amp;"",tbl_Consulting[Job Number],0),MATCH(IFERROR(A253+0,A253),tbl_Consulting[Job Number],0)))="","",INDEX(tbl_Consulting[Notes],IFERROR(MATCH(A253&amp;"",tbl_Consulting[Job Number],0),MATCH(IFERROR(A253+0,A253),tbl_Consulting[Job Number],0)))),""))))</f>
        <v/>
      </c>
    </row>
    <row r="254" ht="15" customHeight="1">
      <c r="A254" s="22" t="n"/>
      <c r="B254" s="22" t="n"/>
      <c r="C254" s="23" t="n"/>
      <c r="D254" s="22" t="n"/>
      <c r="E254" s="24" t="n"/>
      <c r="F254" s="25">
        <f>IF(C254="","",EOMONTH(C254,0))</f>
        <v/>
      </c>
      <c r="G254" s="26">
        <f>IF(A254="","",IF(COUNTIF(tbl_Onsite[Job Number],A254&amp;"")&gt;0,"Onsite",IF(COUNTIF(tbl_Production[Job Number],A254&amp;"")&gt;0,"Production",IF(COUNTIF(tbl_Consulting[Job Number],A254&amp;"")&gt;0,"Consulting","not set up yet"))))</f>
        <v/>
      </c>
      <c r="H254" s="26">
        <f>IF(A254="","",IF(COUNTIF(lst_Jobs,A254&amp;"")&gt;0,"OK","CHECK"))</f>
        <v/>
      </c>
      <c r="I254" s="26">
        <f>IF(A254="","",IFERROR(INDEX(lst_JobName,MATCH(A254&amp;"",lst_Jobs,0)),""))</f>
        <v/>
      </c>
      <c r="J254" s="26">
        <f>IF(A254="","",IFERROR(IF(INDEX(tbl_Onsite[Client],IFERROR(MATCH(A254&amp;"",tbl_Onsite[Job Number],0),MATCH(IFERROR(A254+0,A254),tbl_Onsite[Job Number],0)))="","",INDEX(tbl_Onsite[Client],IFERROR(MATCH(A254&amp;"",tbl_Onsite[Job Number],0),MATCH(IFERROR(A254+0,A254),tbl_Onsite[Job Number],0)))),IFERROR(IF(INDEX(tbl_Production[Client],IFERROR(MATCH(A254&amp;"",tbl_Production[Job Number],0),MATCH(IFERROR(A254+0,A254),tbl_Production[Job Number],0)))="","",INDEX(tbl_Production[Client],IFERROR(MATCH(A254&amp;"",tbl_Production[Job Number],0),MATCH(IFERROR(A254+0,A254),tbl_Production[Job Number],0)))),IFERROR(IF(INDEX(tbl_Consulting[Client],IFERROR(MATCH(A254&amp;"",tbl_Consulting[Job Number],0),MATCH(IFERROR(A254+0,A254),tbl_Consulting[Job Number],0)))="","",INDEX(tbl_Consulting[Client],IFERROR(MATCH(A254&amp;"",tbl_Consulting[Job Number],0),MATCH(IFERROR(A254+0,A254),tbl_Consulting[Job Number],0)))),""))))</f>
        <v/>
      </c>
      <c r="K254" s="26">
        <f>IF(A254="","",IFERROR(IF(INDEX(tbl_Onsite[Job Description],IFERROR(MATCH(A254&amp;"",tbl_Onsite[Job Number],0),MATCH(IFERROR(A254+0,A254),tbl_Onsite[Job Number],0)))="","",INDEX(tbl_Onsite[Job Description],IFERROR(MATCH(A254&amp;"",tbl_Onsite[Job Number],0),MATCH(IFERROR(A254+0,A254),tbl_Onsite[Job Number],0)))),IFERROR(IF(INDEX(tbl_Production[Job Description],IFERROR(MATCH(A254&amp;"",tbl_Production[Job Number],0),MATCH(IFERROR(A254+0,A254),tbl_Production[Job Number],0)))="","",INDEX(tbl_Production[Job Description],IFERROR(MATCH(A254&amp;"",tbl_Production[Job Number],0),MATCH(IFERROR(A254+0,A254),tbl_Production[Job Number],0)))),IFERROR(IF(INDEX(tbl_Consulting[Job Description],IFERROR(MATCH(A254&amp;"",tbl_Consulting[Job Number],0),MATCH(IFERROR(A254+0,A254),tbl_Consulting[Job Number],0)))="","",INDEX(tbl_Consulting[Job Description],IFERROR(MATCH(A254&amp;"",tbl_Consulting[Job Number],0),MATCH(IFERROR(A254+0,A254),tbl_Consulting[Job Number],0)))),""))))</f>
        <v/>
      </c>
      <c r="L254" s="26">
        <f>IF(A254="","",IFERROR(IF(INDEX(tbl_Onsite[Invoice Type],IFERROR(MATCH(A254&amp;"",tbl_Onsite[Job Number],0),MATCH(IFERROR(A254+0,A254),tbl_Onsite[Job Number],0)))="","",INDEX(tbl_Onsite[Invoice Type],IFERROR(MATCH(A254&amp;"",tbl_Onsite[Job Number],0),MATCH(IFERROR(A254+0,A254),tbl_Onsite[Job Number],0)))),IFERROR(IF(INDEX(tbl_Production[Invoice Type],IFERROR(MATCH(A254&amp;"",tbl_Production[Job Number],0),MATCH(IFERROR(A254+0,A254),tbl_Production[Job Number],0)))="","",INDEX(tbl_Production[Invoice Type],IFERROR(MATCH(A254&amp;"",tbl_Production[Job Number],0),MATCH(IFERROR(A254+0,A254),tbl_Production[Job Number],0)))),IFERROR(IF(INDEX(tbl_Consulting[Invoice Type],IFERROR(MATCH(A254&amp;"",tbl_Consulting[Job Number],0),MATCH(IFERROR(A254+0,A254),tbl_Consulting[Job Number],0)))="","",INDEX(tbl_Consulting[Invoice Type],IFERROR(MATCH(A254&amp;"",tbl_Consulting[Job Number],0),MATCH(IFERROR(A254+0,A254),tbl_Consulting[Job Number],0)))),""))))</f>
        <v/>
      </c>
      <c r="M254" s="26">
        <f>IF(A254="","",IF(IFERROR(IF(INDEX(tbl_Onsite[Tax Code],IFERROR(MATCH(A254&amp;"",tbl_Onsite[Job Number],0),MATCH(IFERROR(A254+0,A254),tbl_Onsite[Job Number],0)))="","",INDEX(tbl_Onsite[Tax Code],IFERROR(MATCH(A254&amp;"",tbl_Onsite[Job Number],0),MATCH(IFERROR(A254+0,A254),tbl_Onsite[Job Number],0)))),IFERROR(IF(INDEX(tbl_Production[Tax Code],IFERROR(MATCH(A254&amp;"",tbl_Production[Job Number],0),MATCH(IFERROR(A254+0,A254),tbl_Production[Job Number],0)))="","",INDEX(tbl_Production[Tax Code],IFERROR(MATCH(A254&amp;"",tbl_Production[Job Number],0),MATCH(IFERROR(A254+0,A254),tbl_Production[Job Number],0)))),IFERROR(IF(INDEX(tbl_Consulting[Tax Code],IFERROR(MATCH(A254&amp;"",tbl_Consulting[Job Number],0),MATCH(IFERROR(A254+0,A254),tbl_Consulting[Job Number],0)))="","",INDEX(tbl_Consulting[Tax Code],IFERROR(MATCH(A254&amp;"",tbl_Consulting[Job Number],0),MATCH(IFERROR(A254+0,A254),tbl_Consulting[Job Number],0)))),"")))="","GST 10%",IFERROR(IF(INDEX(tbl_Onsite[Tax Code],IFERROR(MATCH(A254&amp;"",tbl_Onsite[Job Number],0),MATCH(IFERROR(A254+0,A254),tbl_Onsite[Job Number],0)))="","",INDEX(tbl_Onsite[Tax Code],IFERROR(MATCH(A254&amp;"",tbl_Onsite[Job Number],0),MATCH(IFERROR(A254+0,A254),tbl_Onsite[Job Number],0)))),IFERROR(IF(INDEX(tbl_Production[Tax Code],IFERROR(MATCH(A254&amp;"",tbl_Production[Job Number],0),MATCH(IFERROR(A254+0,A254),tbl_Production[Job Number],0)))="","",INDEX(tbl_Production[Tax Code],IFERROR(MATCH(A254&amp;"",tbl_Production[Job Number],0),MATCH(IFERROR(A254+0,A254),tbl_Production[Job Number],0)))),IFERROR(IF(INDEX(tbl_Consulting[Tax Code],IFERROR(MATCH(A254&amp;"",tbl_Consulting[Job Number],0),MATCH(IFERROR(A254+0,A254),tbl_Consulting[Job Number],0)))="","",INDEX(tbl_Consulting[Tax Code],IFERROR(MATCH(A254&amp;"",tbl_Consulting[Job Number],0),MATCH(IFERROR(A254+0,A254),tbl_Consulting[Job Number],0)))),"")))))</f>
        <v/>
      </c>
      <c r="N254" s="26">
        <f>IF(D254="","",IFERROR(INDEX(lst_CCtoGL,MATCH(D254,lst_CCforGL,0)),""))</f>
        <v/>
      </c>
      <c r="O254" s="27">
        <f>IF(E254="","",IF(M254="GST 10%",ROUND(E254*set_GSTRate,2),0))</f>
        <v/>
      </c>
      <c r="P254" s="27">
        <f>IF(E254="","",E254+O254)</f>
        <v/>
      </c>
      <c r="Q254" s="27">
        <f>IF(A254="","",IFERROR(INDEX(tbl_Onsite[Expected Revenue Ex GST],IFERROR(MATCH(A254&amp;"",tbl_Onsite[Job Number],0),MATCH(IFERROR(A254+0,A254),tbl_Onsite[Job Number],0))),IFERROR(INDEX(tbl_Production[Expected Revenue Ex GST],IFERROR(MATCH(A254&amp;"",tbl_Production[Job Number],0),MATCH(IFERROR(A254+0,A254),tbl_Production[Job Number],0))),IFERROR(INDEX(tbl_Consulting[Expected Revenue Ex GST],IFERROR(MATCH(A254&amp;"",tbl_Consulting[Job Number],0),MATCH(IFERROR(A254+0,A254),tbl_Consulting[Job Number],0))),0))))</f>
        <v/>
      </c>
      <c r="R254" s="27">
        <f>IF(A254="","",SUMIFS(tbl_Finance[Ex GST],tbl_Finance[Job Number],A254&amp;""))</f>
        <v/>
      </c>
      <c r="S254" s="27">
        <f>IF(A254="","",Q254-R254)</f>
        <v/>
      </c>
      <c r="T254" s="26">
        <f>IF(A254="","",IF(Q254=0,"No dept value",IF(ROUND(S254,2)=0,"Agrees",IF(S254&gt;0,"Dept higher - to invoice","Xero higher - check dept"))))</f>
        <v/>
      </c>
      <c r="U254" s="22" t="n"/>
      <c r="V254" s="22" t="n"/>
      <c r="W254" s="23" t="n"/>
      <c r="X254" s="23" t="n"/>
      <c r="Y254" s="22" t="n"/>
      <c r="Z254" s="22" t="n"/>
      <c r="AA254" s="26">
        <f>IF(COUNTA(C254,A254,B254,E254)=0,"",IF(C254="","No date - sits outside every month",IF(A254="","No job number",IF(H254="CHECK","Job number is not in the Xero job list",IF(G254="not set up yet","No department has set this job up - nothing can pull through",IF(D254="","No cost centre",IF(AND(U254="Y",B254=""),"Marked posted to Xero but has no invoice number",IF(N254="","Cost centre has no revenue GL on the Lists sheet",IF(T254="Xero higher - check dept","Invoiced more than the department says the job is worth","")))))))))</f>
        <v/>
      </c>
      <c r="AB254" s="28">
        <f>IF(A254="","",COUNTIFS(tbl_Finance[Job Number],A254&amp;"",tbl_Finance[Ex GST],"&lt;&gt;"))</f>
        <v/>
      </c>
      <c r="AC254" s="27">
        <f>IF(A254="","",SUMIFS(tbl_Finance[Ex GST],tbl_Finance[Job Number],A254&amp;""))</f>
        <v/>
      </c>
      <c r="AD254" s="27">
        <f>IF(A254="","",SUMIFS(tbl_Finance[Ex GST],tbl_Finance[Job Number],A254&amp;"",tbl_Finance[Xero Invoice No],"&lt;&gt;"))</f>
        <v/>
      </c>
      <c r="AE254" s="27">
        <f>IF(A254="","",AC254-AD254)</f>
        <v/>
      </c>
      <c r="AF254" s="26">
        <f>IF(A254="","",IFERROR(IF(INDEX(tbl_Onsite[Qwilr Quote],IFERROR(MATCH(A254&amp;"",tbl_Onsite[Job Number],0),MATCH(IFERROR(A254+0,A254),tbl_Onsite[Job Number],0)))="","",INDEX(tbl_Onsite[Qwilr Quote],IFERROR(MATCH(A254&amp;"",tbl_Onsite[Job Number],0),MATCH(IFERROR(A254+0,A254),tbl_Onsite[Job Number],0)))),IFERROR(IF(IF(INDEX(tbl_Production[Current RMS No],IFERROR(MATCH(A254&amp;"",tbl_Production[Job Number],0),MATCH(IFERROR(A254+0,A254),tbl_Production[Job Number],0)))="",INDEX(tbl_Production[Qwilr Quote],IFERROR(MATCH(A254&amp;"",tbl_Production[Job Number],0),MATCH(IFERROR(A254+0,A254),tbl_Production[Job Number],0))),INDEX(tbl_Production[Current RMS No],IFERROR(MATCH(A254&amp;"",tbl_Production[Job Number],0),MATCH(IFERROR(A254+0,A254),tbl_Production[Job Number],0))))="","",IF(INDEX(tbl_Production[Current RMS No],IFERROR(MATCH(A254&amp;"",tbl_Production[Job Number],0),MATCH(IFERROR(A254+0,A254),tbl_Production[Job Number],0)))="",INDEX(tbl_Production[Qwilr Quote],IFERROR(MATCH(A254&amp;"",tbl_Production[Job Number],0),MATCH(IFERROR(A254+0,A254),tbl_Production[Job Number],0))),INDEX(tbl_Production[Current RMS No],IFERROR(MATCH(A254&amp;"",tbl_Production[Job Number],0),MATCH(IFERROR(A254+0,A254),tbl_Production[Job Number],0))))),IFERROR(IF(INDEX(tbl_Consulting[Qwilr Quote],IFERROR(MATCH(A254&amp;"",tbl_Consulting[Job Number],0),MATCH(IFERROR(A254+0,A254),tbl_Consulting[Job Number],0)))="","",INDEX(tbl_Consulting[Qwilr Quote],IFERROR(MATCH(A254&amp;"",tbl_Consulting[Job Number],0),MATCH(IFERROR(A254+0,A254),tbl_Consulting[Job Number],0)))),""))))</f>
        <v/>
      </c>
      <c r="AG254" s="26">
        <f>IF(AF254="","",IF(AND(LEFT(AF254,4)&lt;&gt;"http",IF(G254="Production",set_RMSBase,set_QwilrBase)=""),"",HYPERLINK(IF(LEFT(AF254,4)="http",AF254,IF(G254="Production",set_RMSBase,set_QwilrBase)&amp;AF254),"Open")))</f>
        <v/>
      </c>
      <c r="AH254" s="27">
        <f>IF(A254="","",IFERROR(INDEX(tbl_Production[Total Expense],IFERROR(MATCH(A254&amp;"",tbl_Production[Job Number],0),MATCH(IFERROR(A254+0,A254),tbl_Production[Job Number],0))),IFERROR(INDEX(tbl_Consulting[Total Expense],IFERROR(MATCH(A254&amp;"",tbl_Consulting[Job Number],0),MATCH(IFERROR(A254+0,A254),tbl_Consulting[Job Number],0))),0)))</f>
        <v/>
      </c>
      <c r="AI254" s="27">
        <f>IF(A254="","",AC254-N(AH254))</f>
        <v/>
      </c>
      <c r="AJ254" s="29">
        <f>IFERROR(AI254/AC254,"")</f>
        <v/>
      </c>
      <c r="AK254" s="26">
        <f>IF(A254="","",IFERROR(IF(INDEX(tbl_Onsite[Notes],IFERROR(MATCH(A254&amp;"",tbl_Onsite[Job Number],0),MATCH(IFERROR(A254+0,A254),tbl_Onsite[Job Number],0)))="","",INDEX(tbl_Onsite[Notes],IFERROR(MATCH(A254&amp;"",tbl_Onsite[Job Number],0),MATCH(IFERROR(A254+0,A254),tbl_Onsite[Job Number],0)))),IFERROR(IF(INDEX(tbl_Production[Notes],IFERROR(MATCH(A254&amp;"",tbl_Production[Job Number],0),MATCH(IFERROR(A254+0,A254),tbl_Production[Job Number],0)))="","",INDEX(tbl_Production[Notes],IFERROR(MATCH(A254&amp;"",tbl_Production[Job Number],0),MATCH(IFERROR(A254+0,A254),tbl_Production[Job Number],0)))),IFERROR(IF(INDEX(tbl_Consulting[Notes],IFERROR(MATCH(A254&amp;"",tbl_Consulting[Job Number],0),MATCH(IFERROR(A254+0,A254),tbl_Consulting[Job Number],0)))="","",INDEX(tbl_Consulting[Notes],IFERROR(MATCH(A254&amp;"",tbl_Consulting[Job Number],0),MATCH(IFERROR(A254+0,A254),tbl_Consulting[Job Number],0)))),""))))</f>
        <v/>
      </c>
    </row>
    <row r="255" ht="15" customHeight="1">
      <c r="A255" s="22" t="n"/>
      <c r="B255" s="22" t="n"/>
      <c r="C255" s="23" t="n"/>
      <c r="D255" s="22" t="n"/>
      <c r="E255" s="24" t="n"/>
      <c r="F255" s="25">
        <f>IF(C255="","",EOMONTH(C255,0))</f>
        <v/>
      </c>
      <c r="G255" s="26">
        <f>IF(A255="","",IF(COUNTIF(tbl_Onsite[Job Number],A255&amp;"")&gt;0,"Onsite",IF(COUNTIF(tbl_Production[Job Number],A255&amp;"")&gt;0,"Production",IF(COUNTIF(tbl_Consulting[Job Number],A255&amp;"")&gt;0,"Consulting","not set up yet"))))</f>
        <v/>
      </c>
      <c r="H255" s="26">
        <f>IF(A255="","",IF(COUNTIF(lst_Jobs,A255&amp;"")&gt;0,"OK","CHECK"))</f>
        <v/>
      </c>
      <c r="I255" s="26">
        <f>IF(A255="","",IFERROR(INDEX(lst_JobName,MATCH(A255&amp;"",lst_Jobs,0)),""))</f>
        <v/>
      </c>
      <c r="J255" s="26">
        <f>IF(A255="","",IFERROR(IF(INDEX(tbl_Onsite[Client],IFERROR(MATCH(A255&amp;"",tbl_Onsite[Job Number],0),MATCH(IFERROR(A255+0,A255),tbl_Onsite[Job Number],0)))="","",INDEX(tbl_Onsite[Client],IFERROR(MATCH(A255&amp;"",tbl_Onsite[Job Number],0),MATCH(IFERROR(A255+0,A255),tbl_Onsite[Job Number],0)))),IFERROR(IF(INDEX(tbl_Production[Client],IFERROR(MATCH(A255&amp;"",tbl_Production[Job Number],0),MATCH(IFERROR(A255+0,A255),tbl_Production[Job Number],0)))="","",INDEX(tbl_Production[Client],IFERROR(MATCH(A255&amp;"",tbl_Production[Job Number],0),MATCH(IFERROR(A255+0,A255),tbl_Production[Job Number],0)))),IFERROR(IF(INDEX(tbl_Consulting[Client],IFERROR(MATCH(A255&amp;"",tbl_Consulting[Job Number],0),MATCH(IFERROR(A255+0,A255),tbl_Consulting[Job Number],0)))="","",INDEX(tbl_Consulting[Client],IFERROR(MATCH(A255&amp;"",tbl_Consulting[Job Number],0),MATCH(IFERROR(A255+0,A255),tbl_Consulting[Job Number],0)))),""))))</f>
        <v/>
      </c>
      <c r="K255" s="26">
        <f>IF(A255="","",IFERROR(IF(INDEX(tbl_Onsite[Job Description],IFERROR(MATCH(A255&amp;"",tbl_Onsite[Job Number],0),MATCH(IFERROR(A255+0,A255),tbl_Onsite[Job Number],0)))="","",INDEX(tbl_Onsite[Job Description],IFERROR(MATCH(A255&amp;"",tbl_Onsite[Job Number],0),MATCH(IFERROR(A255+0,A255),tbl_Onsite[Job Number],0)))),IFERROR(IF(INDEX(tbl_Production[Job Description],IFERROR(MATCH(A255&amp;"",tbl_Production[Job Number],0),MATCH(IFERROR(A255+0,A255),tbl_Production[Job Number],0)))="","",INDEX(tbl_Production[Job Description],IFERROR(MATCH(A255&amp;"",tbl_Production[Job Number],0),MATCH(IFERROR(A255+0,A255),tbl_Production[Job Number],0)))),IFERROR(IF(INDEX(tbl_Consulting[Job Description],IFERROR(MATCH(A255&amp;"",tbl_Consulting[Job Number],0),MATCH(IFERROR(A255+0,A255),tbl_Consulting[Job Number],0)))="","",INDEX(tbl_Consulting[Job Description],IFERROR(MATCH(A255&amp;"",tbl_Consulting[Job Number],0),MATCH(IFERROR(A255+0,A255),tbl_Consulting[Job Number],0)))),""))))</f>
        <v/>
      </c>
      <c r="L255" s="26">
        <f>IF(A255="","",IFERROR(IF(INDEX(tbl_Onsite[Invoice Type],IFERROR(MATCH(A255&amp;"",tbl_Onsite[Job Number],0),MATCH(IFERROR(A255+0,A255),tbl_Onsite[Job Number],0)))="","",INDEX(tbl_Onsite[Invoice Type],IFERROR(MATCH(A255&amp;"",tbl_Onsite[Job Number],0),MATCH(IFERROR(A255+0,A255),tbl_Onsite[Job Number],0)))),IFERROR(IF(INDEX(tbl_Production[Invoice Type],IFERROR(MATCH(A255&amp;"",tbl_Production[Job Number],0),MATCH(IFERROR(A255+0,A255),tbl_Production[Job Number],0)))="","",INDEX(tbl_Production[Invoice Type],IFERROR(MATCH(A255&amp;"",tbl_Production[Job Number],0),MATCH(IFERROR(A255+0,A255),tbl_Production[Job Number],0)))),IFERROR(IF(INDEX(tbl_Consulting[Invoice Type],IFERROR(MATCH(A255&amp;"",tbl_Consulting[Job Number],0),MATCH(IFERROR(A255+0,A255),tbl_Consulting[Job Number],0)))="","",INDEX(tbl_Consulting[Invoice Type],IFERROR(MATCH(A255&amp;"",tbl_Consulting[Job Number],0),MATCH(IFERROR(A255+0,A255),tbl_Consulting[Job Number],0)))),""))))</f>
        <v/>
      </c>
      <c r="M255" s="26">
        <f>IF(A255="","",IF(IFERROR(IF(INDEX(tbl_Onsite[Tax Code],IFERROR(MATCH(A255&amp;"",tbl_Onsite[Job Number],0),MATCH(IFERROR(A255+0,A255),tbl_Onsite[Job Number],0)))="","",INDEX(tbl_Onsite[Tax Code],IFERROR(MATCH(A255&amp;"",tbl_Onsite[Job Number],0),MATCH(IFERROR(A255+0,A255),tbl_Onsite[Job Number],0)))),IFERROR(IF(INDEX(tbl_Production[Tax Code],IFERROR(MATCH(A255&amp;"",tbl_Production[Job Number],0),MATCH(IFERROR(A255+0,A255),tbl_Production[Job Number],0)))="","",INDEX(tbl_Production[Tax Code],IFERROR(MATCH(A255&amp;"",tbl_Production[Job Number],0),MATCH(IFERROR(A255+0,A255),tbl_Production[Job Number],0)))),IFERROR(IF(INDEX(tbl_Consulting[Tax Code],IFERROR(MATCH(A255&amp;"",tbl_Consulting[Job Number],0),MATCH(IFERROR(A255+0,A255),tbl_Consulting[Job Number],0)))="","",INDEX(tbl_Consulting[Tax Code],IFERROR(MATCH(A255&amp;"",tbl_Consulting[Job Number],0),MATCH(IFERROR(A255+0,A255),tbl_Consulting[Job Number],0)))),"")))="","GST 10%",IFERROR(IF(INDEX(tbl_Onsite[Tax Code],IFERROR(MATCH(A255&amp;"",tbl_Onsite[Job Number],0),MATCH(IFERROR(A255+0,A255),tbl_Onsite[Job Number],0)))="","",INDEX(tbl_Onsite[Tax Code],IFERROR(MATCH(A255&amp;"",tbl_Onsite[Job Number],0),MATCH(IFERROR(A255+0,A255),tbl_Onsite[Job Number],0)))),IFERROR(IF(INDEX(tbl_Production[Tax Code],IFERROR(MATCH(A255&amp;"",tbl_Production[Job Number],0),MATCH(IFERROR(A255+0,A255),tbl_Production[Job Number],0)))="","",INDEX(tbl_Production[Tax Code],IFERROR(MATCH(A255&amp;"",tbl_Production[Job Number],0),MATCH(IFERROR(A255+0,A255),tbl_Production[Job Number],0)))),IFERROR(IF(INDEX(tbl_Consulting[Tax Code],IFERROR(MATCH(A255&amp;"",tbl_Consulting[Job Number],0),MATCH(IFERROR(A255+0,A255),tbl_Consulting[Job Number],0)))="","",INDEX(tbl_Consulting[Tax Code],IFERROR(MATCH(A255&amp;"",tbl_Consulting[Job Number],0),MATCH(IFERROR(A255+0,A255),tbl_Consulting[Job Number],0)))),"")))))</f>
        <v/>
      </c>
      <c r="N255" s="26">
        <f>IF(D255="","",IFERROR(INDEX(lst_CCtoGL,MATCH(D255,lst_CCforGL,0)),""))</f>
        <v/>
      </c>
      <c r="O255" s="27">
        <f>IF(E255="","",IF(M255="GST 10%",ROUND(E255*set_GSTRate,2),0))</f>
        <v/>
      </c>
      <c r="P255" s="27">
        <f>IF(E255="","",E255+O255)</f>
        <v/>
      </c>
      <c r="Q255" s="27">
        <f>IF(A255="","",IFERROR(INDEX(tbl_Onsite[Expected Revenue Ex GST],IFERROR(MATCH(A255&amp;"",tbl_Onsite[Job Number],0),MATCH(IFERROR(A255+0,A255),tbl_Onsite[Job Number],0))),IFERROR(INDEX(tbl_Production[Expected Revenue Ex GST],IFERROR(MATCH(A255&amp;"",tbl_Production[Job Number],0),MATCH(IFERROR(A255+0,A255),tbl_Production[Job Number],0))),IFERROR(INDEX(tbl_Consulting[Expected Revenue Ex GST],IFERROR(MATCH(A255&amp;"",tbl_Consulting[Job Number],0),MATCH(IFERROR(A255+0,A255),tbl_Consulting[Job Number],0))),0))))</f>
        <v/>
      </c>
      <c r="R255" s="27">
        <f>IF(A255="","",SUMIFS(tbl_Finance[Ex GST],tbl_Finance[Job Number],A255&amp;""))</f>
        <v/>
      </c>
      <c r="S255" s="27">
        <f>IF(A255="","",Q255-R255)</f>
        <v/>
      </c>
      <c r="T255" s="26">
        <f>IF(A255="","",IF(Q255=0,"No dept value",IF(ROUND(S255,2)=0,"Agrees",IF(S255&gt;0,"Dept higher - to invoice","Xero higher - check dept"))))</f>
        <v/>
      </c>
      <c r="U255" s="22" t="n"/>
      <c r="V255" s="22" t="n"/>
      <c r="W255" s="23" t="n"/>
      <c r="X255" s="23" t="n"/>
      <c r="Y255" s="22" t="n"/>
      <c r="Z255" s="22" t="n"/>
      <c r="AA255" s="26">
        <f>IF(COUNTA(C255,A255,B255,E255)=0,"",IF(C255="","No date - sits outside every month",IF(A255="","No job number",IF(H255="CHECK","Job number is not in the Xero job list",IF(G255="not set up yet","No department has set this job up - nothing can pull through",IF(D255="","No cost centre",IF(AND(U255="Y",B255=""),"Marked posted to Xero but has no invoice number",IF(N255="","Cost centre has no revenue GL on the Lists sheet",IF(T255="Xero higher - check dept","Invoiced more than the department says the job is worth","")))))))))</f>
        <v/>
      </c>
      <c r="AB255" s="28">
        <f>IF(A255="","",COUNTIFS(tbl_Finance[Job Number],A255&amp;"",tbl_Finance[Ex GST],"&lt;&gt;"))</f>
        <v/>
      </c>
      <c r="AC255" s="27">
        <f>IF(A255="","",SUMIFS(tbl_Finance[Ex GST],tbl_Finance[Job Number],A255&amp;""))</f>
        <v/>
      </c>
      <c r="AD255" s="27">
        <f>IF(A255="","",SUMIFS(tbl_Finance[Ex GST],tbl_Finance[Job Number],A255&amp;"",tbl_Finance[Xero Invoice No],"&lt;&gt;"))</f>
        <v/>
      </c>
      <c r="AE255" s="27">
        <f>IF(A255="","",AC255-AD255)</f>
        <v/>
      </c>
      <c r="AF255" s="26">
        <f>IF(A255="","",IFERROR(IF(INDEX(tbl_Onsite[Qwilr Quote],IFERROR(MATCH(A255&amp;"",tbl_Onsite[Job Number],0),MATCH(IFERROR(A255+0,A255),tbl_Onsite[Job Number],0)))="","",INDEX(tbl_Onsite[Qwilr Quote],IFERROR(MATCH(A255&amp;"",tbl_Onsite[Job Number],0),MATCH(IFERROR(A255+0,A255),tbl_Onsite[Job Number],0)))),IFERROR(IF(IF(INDEX(tbl_Production[Current RMS No],IFERROR(MATCH(A255&amp;"",tbl_Production[Job Number],0),MATCH(IFERROR(A255+0,A255),tbl_Production[Job Number],0)))="",INDEX(tbl_Production[Qwilr Quote],IFERROR(MATCH(A255&amp;"",tbl_Production[Job Number],0),MATCH(IFERROR(A255+0,A255),tbl_Production[Job Number],0))),INDEX(tbl_Production[Current RMS No],IFERROR(MATCH(A255&amp;"",tbl_Production[Job Number],0),MATCH(IFERROR(A255+0,A255),tbl_Production[Job Number],0))))="","",IF(INDEX(tbl_Production[Current RMS No],IFERROR(MATCH(A255&amp;"",tbl_Production[Job Number],0),MATCH(IFERROR(A255+0,A255),tbl_Production[Job Number],0)))="",INDEX(tbl_Production[Qwilr Quote],IFERROR(MATCH(A255&amp;"",tbl_Production[Job Number],0),MATCH(IFERROR(A255+0,A255),tbl_Production[Job Number],0))),INDEX(tbl_Production[Current RMS No],IFERROR(MATCH(A255&amp;"",tbl_Production[Job Number],0),MATCH(IFERROR(A255+0,A255),tbl_Production[Job Number],0))))),IFERROR(IF(INDEX(tbl_Consulting[Qwilr Quote],IFERROR(MATCH(A255&amp;"",tbl_Consulting[Job Number],0),MATCH(IFERROR(A255+0,A255),tbl_Consulting[Job Number],0)))="","",INDEX(tbl_Consulting[Qwilr Quote],IFERROR(MATCH(A255&amp;"",tbl_Consulting[Job Number],0),MATCH(IFERROR(A255+0,A255),tbl_Consulting[Job Number],0)))),""))))</f>
        <v/>
      </c>
      <c r="AG255" s="26">
        <f>IF(AF255="","",IF(AND(LEFT(AF255,4)&lt;&gt;"http",IF(G255="Production",set_RMSBase,set_QwilrBase)=""),"",HYPERLINK(IF(LEFT(AF255,4)="http",AF255,IF(G255="Production",set_RMSBase,set_QwilrBase)&amp;AF255),"Open")))</f>
        <v/>
      </c>
      <c r="AH255" s="27">
        <f>IF(A255="","",IFERROR(INDEX(tbl_Production[Total Expense],IFERROR(MATCH(A255&amp;"",tbl_Production[Job Number],0),MATCH(IFERROR(A255+0,A255),tbl_Production[Job Number],0))),IFERROR(INDEX(tbl_Consulting[Total Expense],IFERROR(MATCH(A255&amp;"",tbl_Consulting[Job Number],0),MATCH(IFERROR(A255+0,A255),tbl_Consulting[Job Number],0))),0)))</f>
        <v/>
      </c>
      <c r="AI255" s="27">
        <f>IF(A255="","",AC255-N(AH255))</f>
        <v/>
      </c>
      <c r="AJ255" s="29">
        <f>IFERROR(AI255/AC255,"")</f>
        <v/>
      </c>
      <c r="AK255" s="26">
        <f>IF(A255="","",IFERROR(IF(INDEX(tbl_Onsite[Notes],IFERROR(MATCH(A255&amp;"",tbl_Onsite[Job Number],0),MATCH(IFERROR(A255+0,A255),tbl_Onsite[Job Number],0)))="","",INDEX(tbl_Onsite[Notes],IFERROR(MATCH(A255&amp;"",tbl_Onsite[Job Number],0),MATCH(IFERROR(A255+0,A255),tbl_Onsite[Job Number],0)))),IFERROR(IF(INDEX(tbl_Production[Notes],IFERROR(MATCH(A255&amp;"",tbl_Production[Job Number],0),MATCH(IFERROR(A255+0,A255),tbl_Production[Job Number],0)))="","",INDEX(tbl_Production[Notes],IFERROR(MATCH(A255&amp;"",tbl_Production[Job Number],0),MATCH(IFERROR(A255+0,A255),tbl_Production[Job Number],0)))),IFERROR(IF(INDEX(tbl_Consulting[Notes],IFERROR(MATCH(A255&amp;"",tbl_Consulting[Job Number],0),MATCH(IFERROR(A255+0,A255),tbl_Consulting[Job Number],0)))="","",INDEX(tbl_Consulting[Notes],IFERROR(MATCH(A255&amp;"",tbl_Consulting[Job Number],0),MATCH(IFERROR(A255+0,A255),tbl_Consulting[Job Number],0)))),""))))</f>
        <v/>
      </c>
    </row>
    <row r="256" ht="15" customHeight="1">
      <c r="A256" s="22" t="n"/>
      <c r="B256" s="22" t="n"/>
      <c r="C256" s="23" t="n"/>
      <c r="D256" s="22" t="n"/>
      <c r="E256" s="24" t="n"/>
      <c r="F256" s="25">
        <f>IF(C256="","",EOMONTH(C256,0))</f>
        <v/>
      </c>
      <c r="G256" s="26">
        <f>IF(A256="","",IF(COUNTIF(tbl_Onsite[Job Number],A256&amp;"")&gt;0,"Onsite",IF(COUNTIF(tbl_Production[Job Number],A256&amp;"")&gt;0,"Production",IF(COUNTIF(tbl_Consulting[Job Number],A256&amp;"")&gt;0,"Consulting","not set up yet"))))</f>
        <v/>
      </c>
      <c r="H256" s="26">
        <f>IF(A256="","",IF(COUNTIF(lst_Jobs,A256&amp;"")&gt;0,"OK","CHECK"))</f>
        <v/>
      </c>
      <c r="I256" s="26">
        <f>IF(A256="","",IFERROR(INDEX(lst_JobName,MATCH(A256&amp;"",lst_Jobs,0)),""))</f>
        <v/>
      </c>
      <c r="J256" s="26">
        <f>IF(A256="","",IFERROR(IF(INDEX(tbl_Onsite[Client],IFERROR(MATCH(A256&amp;"",tbl_Onsite[Job Number],0),MATCH(IFERROR(A256+0,A256),tbl_Onsite[Job Number],0)))="","",INDEX(tbl_Onsite[Client],IFERROR(MATCH(A256&amp;"",tbl_Onsite[Job Number],0),MATCH(IFERROR(A256+0,A256),tbl_Onsite[Job Number],0)))),IFERROR(IF(INDEX(tbl_Production[Client],IFERROR(MATCH(A256&amp;"",tbl_Production[Job Number],0),MATCH(IFERROR(A256+0,A256),tbl_Production[Job Number],0)))="","",INDEX(tbl_Production[Client],IFERROR(MATCH(A256&amp;"",tbl_Production[Job Number],0),MATCH(IFERROR(A256+0,A256),tbl_Production[Job Number],0)))),IFERROR(IF(INDEX(tbl_Consulting[Client],IFERROR(MATCH(A256&amp;"",tbl_Consulting[Job Number],0),MATCH(IFERROR(A256+0,A256),tbl_Consulting[Job Number],0)))="","",INDEX(tbl_Consulting[Client],IFERROR(MATCH(A256&amp;"",tbl_Consulting[Job Number],0),MATCH(IFERROR(A256+0,A256),tbl_Consulting[Job Number],0)))),""))))</f>
        <v/>
      </c>
      <c r="K256" s="26">
        <f>IF(A256="","",IFERROR(IF(INDEX(tbl_Onsite[Job Description],IFERROR(MATCH(A256&amp;"",tbl_Onsite[Job Number],0),MATCH(IFERROR(A256+0,A256),tbl_Onsite[Job Number],0)))="","",INDEX(tbl_Onsite[Job Description],IFERROR(MATCH(A256&amp;"",tbl_Onsite[Job Number],0),MATCH(IFERROR(A256+0,A256),tbl_Onsite[Job Number],0)))),IFERROR(IF(INDEX(tbl_Production[Job Description],IFERROR(MATCH(A256&amp;"",tbl_Production[Job Number],0),MATCH(IFERROR(A256+0,A256),tbl_Production[Job Number],0)))="","",INDEX(tbl_Production[Job Description],IFERROR(MATCH(A256&amp;"",tbl_Production[Job Number],0),MATCH(IFERROR(A256+0,A256),tbl_Production[Job Number],0)))),IFERROR(IF(INDEX(tbl_Consulting[Job Description],IFERROR(MATCH(A256&amp;"",tbl_Consulting[Job Number],0),MATCH(IFERROR(A256+0,A256),tbl_Consulting[Job Number],0)))="","",INDEX(tbl_Consulting[Job Description],IFERROR(MATCH(A256&amp;"",tbl_Consulting[Job Number],0),MATCH(IFERROR(A256+0,A256),tbl_Consulting[Job Number],0)))),""))))</f>
        <v/>
      </c>
      <c r="L256" s="26">
        <f>IF(A256="","",IFERROR(IF(INDEX(tbl_Onsite[Invoice Type],IFERROR(MATCH(A256&amp;"",tbl_Onsite[Job Number],0),MATCH(IFERROR(A256+0,A256),tbl_Onsite[Job Number],0)))="","",INDEX(tbl_Onsite[Invoice Type],IFERROR(MATCH(A256&amp;"",tbl_Onsite[Job Number],0),MATCH(IFERROR(A256+0,A256),tbl_Onsite[Job Number],0)))),IFERROR(IF(INDEX(tbl_Production[Invoice Type],IFERROR(MATCH(A256&amp;"",tbl_Production[Job Number],0),MATCH(IFERROR(A256+0,A256),tbl_Production[Job Number],0)))="","",INDEX(tbl_Production[Invoice Type],IFERROR(MATCH(A256&amp;"",tbl_Production[Job Number],0),MATCH(IFERROR(A256+0,A256),tbl_Production[Job Number],0)))),IFERROR(IF(INDEX(tbl_Consulting[Invoice Type],IFERROR(MATCH(A256&amp;"",tbl_Consulting[Job Number],0),MATCH(IFERROR(A256+0,A256),tbl_Consulting[Job Number],0)))="","",INDEX(tbl_Consulting[Invoice Type],IFERROR(MATCH(A256&amp;"",tbl_Consulting[Job Number],0),MATCH(IFERROR(A256+0,A256),tbl_Consulting[Job Number],0)))),""))))</f>
        <v/>
      </c>
      <c r="M256" s="26">
        <f>IF(A256="","",IF(IFERROR(IF(INDEX(tbl_Onsite[Tax Code],IFERROR(MATCH(A256&amp;"",tbl_Onsite[Job Number],0),MATCH(IFERROR(A256+0,A256),tbl_Onsite[Job Number],0)))="","",INDEX(tbl_Onsite[Tax Code],IFERROR(MATCH(A256&amp;"",tbl_Onsite[Job Number],0),MATCH(IFERROR(A256+0,A256),tbl_Onsite[Job Number],0)))),IFERROR(IF(INDEX(tbl_Production[Tax Code],IFERROR(MATCH(A256&amp;"",tbl_Production[Job Number],0),MATCH(IFERROR(A256+0,A256),tbl_Production[Job Number],0)))="","",INDEX(tbl_Production[Tax Code],IFERROR(MATCH(A256&amp;"",tbl_Production[Job Number],0),MATCH(IFERROR(A256+0,A256),tbl_Production[Job Number],0)))),IFERROR(IF(INDEX(tbl_Consulting[Tax Code],IFERROR(MATCH(A256&amp;"",tbl_Consulting[Job Number],0),MATCH(IFERROR(A256+0,A256),tbl_Consulting[Job Number],0)))="","",INDEX(tbl_Consulting[Tax Code],IFERROR(MATCH(A256&amp;"",tbl_Consulting[Job Number],0),MATCH(IFERROR(A256+0,A256),tbl_Consulting[Job Number],0)))),"")))="","GST 10%",IFERROR(IF(INDEX(tbl_Onsite[Tax Code],IFERROR(MATCH(A256&amp;"",tbl_Onsite[Job Number],0),MATCH(IFERROR(A256+0,A256),tbl_Onsite[Job Number],0)))="","",INDEX(tbl_Onsite[Tax Code],IFERROR(MATCH(A256&amp;"",tbl_Onsite[Job Number],0),MATCH(IFERROR(A256+0,A256),tbl_Onsite[Job Number],0)))),IFERROR(IF(INDEX(tbl_Production[Tax Code],IFERROR(MATCH(A256&amp;"",tbl_Production[Job Number],0),MATCH(IFERROR(A256+0,A256),tbl_Production[Job Number],0)))="","",INDEX(tbl_Production[Tax Code],IFERROR(MATCH(A256&amp;"",tbl_Production[Job Number],0),MATCH(IFERROR(A256+0,A256),tbl_Production[Job Number],0)))),IFERROR(IF(INDEX(tbl_Consulting[Tax Code],IFERROR(MATCH(A256&amp;"",tbl_Consulting[Job Number],0),MATCH(IFERROR(A256+0,A256),tbl_Consulting[Job Number],0)))="","",INDEX(tbl_Consulting[Tax Code],IFERROR(MATCH(A256&amp;"",tbl_Consulting[Job Number],0),MATCH(IFERROR(A256+0,A256),tbl_Consulting[Job Number],0)))),"")))))</f>
        <v/>
      </c>
      <c r="N256" s="26">
        <f>IF(D256="","",IFERROR(INDEX(lst_CCtoGL,MATCH(D256,lst_CCforGL,0)),""))</f>
        <v/>
      </c>
      <c r="O256" s="27">
        <f>IF(E256="","",IF(M256="GST 10%",ROUND(E256*set_GSTRate,2),0))</f>
        <v/>
      </c>
      <c r="P256" s="27">
        <f>IF(E256="","",E256+O256)</f>
        <v/>
      </c>
      <c r="Q256" s="27">
        <f>IF(A256="","",IFERROR(INDEX(tbl_Onsite[Expected Revenue Ex GST],IFERROR(MATCH(A256&amp;"",tbl_Onsite[Job Number],0),MATCH(IFERROR(A256+0,A256),tbl_Onsite[Job Number],0))),IFERROR(INDEX(tbl_Production[Expected Revenue Ex GST],IFERROR(MATCH(A256&amp;"",tbl_Production[Job Number],0),MATCH(IFERROR(A256+0,A256),tbl_Production[Job Number],0))),IFERROR(INDEX(tbl_Consulting[Expected Revenue Ex GST],IFERROR(MATCH(A256&amp;"",tbl_Consulting[Job Number],0),MATCH(IFERROR(A256+0,A256),tbl_Consulting[Job Number],0))),0))))</f>
        <v/>
      </c>
      <c r="R256" s="27">
        <f>IF(A256="","",SUMIFS(tbl_Finance[Ex GST],tbl_Finance[Job Number],A256&amp;""))</f>
        <v/>
      </c>
      <c r="S256" s="27">
        <f>IF(A256="","",Q256-R256)</f>
        <v/>
      </c>
      <c r="T256" s="26">
        <f>IF(A256="","",IF(Q256=0,"No dept value",IF(ROUND(S256,2)=0,"Agrees",IF(S256&gt;0,"Dept higher - to invoice","Xero higher - check dept"))))</f>
        <v/>
      </c>
      <c r="U256" s="22" t="n"/>
      <c r="V256" s="22" t="n"/>
      <c r="W256" s="23" t="n"/>
      <c r="X256" s="23" t="n"/>
      <c r="Y256" s="22" t="n"/>
      <c r="Z256" s="22" t="n"/>
      <c r="AA256" s="26">
        <f>IF(COUNTA(C256,A256,B256,E256)=0,"",IF(C256="","No date - sits outside every month",IF(A256="","No job number",IF(H256="CHECK","Job number is not in the Xero job list",IF(G256="not set up yet","No department has set this job up - nothing can pull through",IF(D256="","No cost centre",IF(AND(U256="Y",B256=""),"Marked posted to Xero but has no invoice number",IF(N256="","Cost centre has no revenue GL on the Lists sheet",IF(T256="Xero higher - check dept","Invoiced more than the department says the job is worth","")))))))))</f>
        <v/>
      </c>
      <c r="AB256" s="28">
        <f>IF(A256="","",COUNTIFS(tbl_Finance[Job Number],A256&amp;"",tbl_Finance[Ex GST],"&lt;&gt;"))</f>
        <v/>
      </c>
      <c r="AC256" s="27">
        <f>IF(A256="","",SUMIFS(tbl_Finance[Ex GST],tbl_Finance[Job Number],A256&amp;""))</f>
        <v/>
      </c>
      <c r="AD256" s="27">
        <f>IF(A256="","",SUMIFS(tbl_Finance[Ex GST],tbl_Finance[Job Number],A256&amp;"",tbl_Finance[Xero Invoice No],"&lt;&gt;"))</f>
        <v/>
      </c>
      <c r="AE256" s="27">
        <f>IF(A256="","",AC256-AD256)</f>
        <v/>
      </c>
      <c r="AF256" s="26">
        <f>IF(A256="","",IFERROR(IF(INDEX(tbl_Onsite[Qwilr Quote],IFERROR(MATCH(A256&amp;"",tbl_Onsite[Job Number],0),MATCH(IFERROR(A256+0,A256),tbl_Onsite[Job Number],0)))="","",INDEX(tbl_Onsite[Qwilr Quote],IFERROR(MATCH(A256&amp;"",tbl_Onsite[Job Number],0),MATCH(IFERROR(A256+0,A256),tbl_Onsite[Job Number],0)))),IFERROR(IF(IF(INDEX(tbl_Production[Current RMS No],IFERROR(MATCH(A256&amp;"",tbl_Production[Job Number],0),MATCH(IFERROR(A256+0,A256),tbl_Production[Job Number],0)))="",INDEX(tbl_Production[Qwilr Quote],IFERROR(MATCH(A256&amp;"",tbl_Production[Job Number],0),MATCH(IFERROR(A256+0,A256),tbl_Production[Job Number],0))),INDEX(tbl_Production[Current RMS No],IFERROR(MATCH(A256&amp;"",tbl_Production[Job Number],0),MATCH(IFERROR(A256+0,A256),tbl_Production[Job Number],0))))="","",IF(INDEX(tbl_Production[Current RMS No],IFERROR(MATCH(A256&amp;"",tbl_Production[Job Number],0),MATCH(IFERROR(A256+0,A256),tbl_Production[Job Number],0)))="",INDEX(tbl_Production[Qwilr Quote],IFERROR(MATCH(A256&amp;"",tbl_Production[Job Number],0),MATCH(IFERROR(A256+0,A256),tbl_Production[Job Number],0))),INDEX(tbl_Production[Current RMS No],IFERROR(MATCH(A256&amp;"",tbl_Production[Job Number],0),MATCH(IFERROR(A256+0,A256),tbl_Production[Job Number],0))))),IFERROR(IF(INDEX(tbl_Consulting[Qwilr Quote],IFERROR(MATCH(A256&amp;"",tbl_Consulting[Job Number],0),MATCH(IFERROR(A256+0,A256),tbl_Consulting[Job Number],0)))="","",INDEX(tbl_Consulting[Qwilr Quote],IFERROR(MATCH(A256&amp;"",tbl_Consulting[Job Number],0),MATCH(IFERROR(A256+0,A256),tbl_Consulting[Job Number],0)))),""))))</f>
        <v/>
      </c>
      <c r="AG256" s="26">
        <f>IF(AF256="","",IF(AND(LEFT(AF256,4)&lt;&gt;"http",IF(G256="Production",set_RMSBase,set_QwilrBase)=""),"",HYPERLINK(IF(LEFT(AF256,4)="http",AF256,IF(G256="Production",set_RMSBase,set_QwilrBase)&amp;AF256),"Open")))</f>
        <v/>
      </c>
      <c r="AH256" s="27">
        <f>IF(A256="","",IFERROR(INDEX(tbl_Production[Total Expense],IFERROR(MATCH(A256&amp;"",tbl_Production[Job Number],0),MATCH(IFERROR(A256+0,A256),tbl_Production[Job Number],0))),IFERROR(INDEX(tbl_Consulting[Total Expense],IFERROR(MATCH(A256&amp;"",tbl_Consulting[Job Number],0),MATCH(IFERROR(A256+0,A256),tbl_Consulting[Job Number],0))),0)))</f>
        <v/>
      </c>
      <c r="AI256" s="27">
        <f>IF(A256="","",AC256-N(AH256))</f>
        <v/>
      </c>
      <c r="AJ256" s="29">
        <f>IFERROR(AI256/AC256,"")</f>
        <v/>
      </c>
      <c r="AK256" s="26">
        <f>IF(A256="","",IFERROR(IF(INDEX(tbl_Onsite[Notes],IFERROR(MATCH(A256&amp;"",tbl_Onsite[Job Number],0),MATCH(IFERROR(A256+0,A256),tbl_Onsite[Job Number],0)))="","",INDEX(tbl_Onsite[Notes],IFERROR(MATCH(A256&amp;"",tbl_Onsite[Job Number],0),MATCH(IFERROR(A256+0,A256),tbl_Onsite[Job Number],0)))),IFERROR(IF(INDEX(tbl_Production[Notes],IFERROR(MATCH(A256&amp;"",tbl_Production[Job Number],0),MATCH(IFERROR(A256+0,A256),tbl_Production[Job Number],0)))="","",INDEX(tbl_Production[Notes],IFERROR(MATCH(A256&amp;"",tbl_Production[Job Number],0),MATCH(IFERROR(A256+0,A256),tbl_Production[Job Number],0)))),IFERROR(IF(INDEX(tbl_Consulting[Notes],IFERROR(MATCH(A256&amp;"",tbl_Consulting[Job Number],0),MATCH(IFERROR(A256+0,A256),tbl_Consulting[Job Number],0)))="","",INDEX(tbl_Consulting[Notes],IFERROR(MATCH(A256&amp;"",tbl_Consulting[Job Number],0),MATCH(IFERROR(A256+0,A256),tbl_Consulting[Job Number],0)))),""))))</f>
        <v/>
      </c>
    </row>
    <row r="257" ht="15" customHeight="1">
      <c r="A257" s="22" t="n"/>
      <c r="B257" s="22" t="n"/>
      <c r="C257" s="23" t="n"/>
      <c r="D257" s="22" t="n"/>
      <c r="E257" s="24" t="n"/>
      <c r="F257" s="25">
        <f>IF(C257="","",EOMONTH(C257,0))</f>
        <v/>
      </c>
      <c r="G257" s="26">
        <f>IF(A257="","",IF(COUNTIF(tbl_Onsite[Job Number],A257&amp;"")&gt;0,"Onsite",IF(COUNTIF(tbl_Production[Job Number],A257&amp;"")&gt;0,"Production",IF(COUNTIF(tbl_Consulting[Job Number],A257&amp;"")&gt;0,"Consulting","not set up yet"))))</f>
        <v/>
      </c>
      <c r="H257" s="26">
        <f>IF(A257="","",IF(COUNTIF(lst_Jobs,A257&amp;"")&gt;0,"OK","CHECK"))</f>
        <v/>
      </c>
      <c r="I257" s="26">
        <f>IF(A257="","",IFERROR(INDEX(lst_JobName,MATCH(A257&amp;"",lst_Jobs,0)),""))</f>
        <v/>
      </c>
      <c r="J257" s="26">
        <f>IF(A257="","",IFERROR(IF(INDEX(tbl_Onsite[Client],IFERROR(MATCH(A257&amp;"",tbl_Onsite[Job Number],0),MATCH(IFERROR(A257+0,A257),tbl_Onsite[Job Number],0)))="","",INDEX(tbl_Onsite[Client],IFERROR(MATCH(A257&amp;"",tbl_Onsite[Job Number],0),MATCH(IFERROR(A257+0,A257),tbl_Onsite[Job Number],0)))),IFERROR(IF(INDEX(tbl_Production[Client],IFERROR(MATCH(A257&amp;"",tbl_Production[Job Number],0),MATCH(IFERROR(A257+0,A257),tbl_Production[Job Number],0)))="","",INDEX(tbl_Production[Client],IFERROR(MATCH(A257&amp;"",tbl_Production[Job Number],0),MATCH(IFERROR(A257+0,A257),tbl_Production[Job Number],0)))),IFERROR(IF(INDEX(tbl_Consulting[Client],IFERROR(MATCH(A257&amp;"",tbl_Consulting[Job Number],0),MATCH(IFERROR(A257+0,A257),tbl_Consulting[Job Number],0)))="","",INDEX(tbl_Consulting[Client],IFERROR(MATCH(A257&amp;"",tbl_Consulting[Job Number],0),MATCH(IFERROR(A257+0,A257),tbl_Consulting[Job Number],0)))),""))))</f>
        <v/>
      </c>
      <c r="K257" s="26">
        <f>IF(A257="","",IFERROR(IF(INDEX(tbl_Onsite[Job Description],IFERROR(MATCH(A257&amp;"",tbl_Onsite[Job Number],0),MATCH(IFERROR(A257+0,A257),tbl_Onsite[Job Number],0)))="","",INDEX(tbl_Onsite[Job Description],IFERROR(MATCH(A257&amp;"",tbl_Onsite[Job Number],0),MATCH(IFERROR(A257+0,A257),tbl_Onsite[Job Number],0)))),IFERROR(IF(INDEX(tbl_Production[Job Description],IFERROR(MATCH(A257&amp;"",tbl_Production[Job Number],0),MATCH(IFERROR(A257+0,A257),tbl_Production[Job Number],0)))="","",INDEX(tbl_Production[Job Description],IFERROR(MATCH(A257&amp;"",tbl_Production[Job Number],0),MATCH(IFERROR(A257+0,A257),tbl_Production[Job Number],0)))),IFERROR(IF(INDEX(tbl_Consulting[Job Description],IFERROR(MATCH(A257&amp;"",tbl_Consulting[Job Number],0),MATCH(IFERROR(A257+0,A257),tbl_Consulting[Job Number],0)))="","",INDEX(tbl_Consulting[Job Description],IFERROR(MATCH(A257&amp;"",tbl_Consulting[Job Number],0),MATCH(IFERROR(A257+0,A257),tbl_Consulting[Job Number],0)))),""))))</f>
        <v/>
      </c>
      <c r="L257" s="26">
        <f>IF(A257="","",IFERROR(IF(INDEX(tbl_Onsite[Invoice Type],IFERROR(MATCH(A257&amp;"",tbl_Onsite[Job Number],0),MATCH(IFERROR(A257+0,A257),tbl_Onsite[Job Number],0)))="","",INDEX(tbl_Onsite[Invoice Type],IFERROR(MATCH(A257&amp;"",tbl_Onsite[Job Number],0),MATCH(IFERROR(A257+0,A257),tbl_Onsite[Job Number],0)))),IFERROR(IF(INDEX(tbl_Production[Invoice Type],IFERROR(MATCH(A257&amp;"",tbl_Production[Job Number],0),MATCH(IFERROR(A257+0,A257),tbl_Production[Job Number],0)))="","",INDEX(tbl_Production[Invoice Type],IFERROR(MATCH(A257&amp;"",tbl_Production[Job Number],0),MATCH(IFERROR(A257+0,A257),tbl_Production[Job Number],0)))),IFERROR(IF(INDEX(tbl_Consulting[Invoice Type],IFERROR(MATCH(A257&amp;"",tbl_Consulting[Job Number],0),MATCH(IFERROR(A257+0,A257),tbl_Consulting[Job Number],0)))="","",INDEX(tbl_Consulting[Invoice Type],IFERROR(MATCH(A257&amp;"",tbl_Consulting[Job Number],0),MATCH(IFERROR(A257+0,A257),tbl_Consulting[Job Number],0)))),""))))</f>
        <v/>
      </c>
      <c r="M257" s="26">
        <f>IF(A257="","",IF(IFERROR(IF(INDEX(tbl_Onsite[Tax Code],IFERROR(MATCH(A257&amp;"",tbl_Onsite[Job Number],0),MATCH(IFERROR(A257+0,A257),tbl_Onsite[Job Number],0)))="","",INDEX(tbl_Onsite[Tax Code],IFERROR(MATCH(A257&amp;"",tbl_Onsite[Job Number],0),MATCH(IFERROR(A257+0,A257),tbl_Onsite[Job Number],0)))),IFERROR(IF(INDEX(tbl_Production[Tax Code],IFERROR(MATCH(A257&amp;"",tbl_Production[Job Number],0),MATCH(IFERROR(A257+0,A257),tbl_Production[Job Number],0)))="","",INDEX(tbl_Production[Tax Code],IFERROR(MATCH(A257&amp;"",tbl_Production[Job Number],0),MATCH(IFERROR(A257+0,A257),tbl_Production[Job Number],0)))),IFERROR(IF(INDEX(tbl_Consulting[Tax Code],IFERROR(MATCH(A257&amp;"",tbl_Consulting[Job Number],0),MATCH(IFERROR(A257+0,A257),tbl_Consulting[Job Number],0)))="","",INDEX(tbl_Consulting[Tax Code],IFERROR(MATCH(A257&amp;"",tbl_Consulting[Job Number],0),MATCH(IFERROR(A257+0,A257),tbl_Consulting[Job Number],0)))),"")))="","GST 10%",IFERROR(IF(INDEX(tbl_Onsite[Tax Code],IFERROR(MATCH(A257&amp;"",tbl_Onsite[Job Number],0),MATCH(IFERROR(A257+0,A257),tbl_Onsite[Job Number],0)))="","",INDEX(tbl_Onsite[Tax Code],IFERROR(MATCH(A257&amp;"",tbl_Onsite[Job Number],0),MATCH(IFERROR(A257+0,A257),tbl_Onsite[Job Number],0)))),IFERROR(IF(INDEX(tbl_Production[Tax Code],IFERROR(MATCH(A257&amp;"",tbl_Production[Job Number],0),MATCH(IFERROR(A257+0,A257),tbl_Production[Job Number],0)))="","",INDEX(tbl_Production[Tax Code],IFERROR(MATCH(A257&amp;"",tbl_Production[Job Number],0),MATCH(IFERROR(A257+0,A257),tbl_Production[Job Number],0)))),IFERROR(IF(INDEX(tbl_Consulting[Tax Code],IFERROR(MATCH(A257&amp;"",tbl_Consulting[Job Number],0),MATCH(IFERROR(A257+0,A257),tbl_Consulting[Job Number],0)))="","",INDEX(tbl_Consulting[Tax Code],IFERROR(MATCH(A257&amp;"",tbl_Consulting[Job Number],0),MATCH(IFERROR(A257+0,A257),tbl_Consulting[Job Number],0)))),"")))))</f>
        <v/>
      </c>
      <c r="N257" s="26">
        <f>IF(D257="","",IFERROR(INDEX(lst_CCtoGL,MATCH(D257,lst_CCforGL,0)),""))</f>
        <v/>
      </c>
      <c r="O257" s="27">
        <f>IF(E257="","",IF(M257="GST 10%",ROUND(E257*set_GSTRate,2),0))</f>
        <v/>
      </c>
      <c r="P257" s="27">
        <f>IF(E257="","",E257+O257)</f>
        <v/>
      </c>
      <c r="Q257" s="27">
        <f>IF(A257="","",IFERROR(INDEX(tbl_Onsite[Expected Revenue Ex GST],IFERROR(MATCH(A257&amp;"",tbl_Onsite[Job Number],0),MATCH(IFERROR(A257+0,A257),tbl_Onsite[Job Number],0))),IFERROR(INDEX(tbl_Production[Expected Revenue Ex GST],IFERROR(MATCH(A257&amp;"",tbl_Production[Job Number],0),MATCH(IFERROR(A257+0,A257),tbl_Production[Job Number],0))),IFERROR(INDEX(tbl_Consulting[Expected Revenue Ex GST],IFERROR(MATCH(A257&amp;"",tbl_Consulting[Job Number],0),MATCH(IFERROR(A257+0,A257),tbl_Consulting[Job Number],0))),0))))</f>
        <v/>
      </c>
      <c r="R257" s="27">
        <f>IF(A257="","",SUMIFS(tbl_Finance[Ex GST],tbl_Finance[Job Number],A257&amp;""))</f>
        <v/>
      </c>
      <c r="S257" s="27">
        <f>IF(A257="","",Q257-R257)</f>
        <v/>
      </c>
      <c r="T257" s="26">
        <f>IF(A257="","",IF(Q257=0,"No dept value",IF(ROUND(S257,2)=0,"Agrees",IF(S257&gt;0,"Dept higher - to invoice","Xero higher - check dept"))))</f>
        <v/>
      </c>
      <c r="U257" s="22" t="n"/>
      <c r="V257" s="22" t="n"/>
      <c r="W257" s="23" t="n"/>
      <c r="X257" s="23" t="n"/>
      <c r="Y257" s="22" t="n"/>
      <c r="Z257" s="22" t="n"/>
      <c r="AA257" s="26">
        <f>IF(COUNTA(C257,A257,B257,E257)=0,"",IF(C257="","No date - sits outside every month",IF(A257="","No job number",IF(H257="CHECK","Job number is not in the Xero job list",IF(G257="not set up yet","No department has set this job up - nothing can pull through",IF(D257="","No cost centre",IF(AND(U257="Y",B257=""),"Marked posted to Xero but has no invoice number",IF(N257="","Cost centre has no revenue GL on the Lists sheet",IF(T257="Xero higher - check dept","Invoiced more than the department says the job is worth","")))))))))</f>
        <v/>
      </c>
      <c r="AB257" s="28">
        <f>IF(A257="","",COUNTIFS(tbl_Finance[Job Number],A257&amp;"",tbl_Finance[Ex GST],"&lt;&gt;"))</f>
        <v/>
      </c>
      <c r="AC257" s="27">
        <f>IF(A257="","",SUMIFS(tbl_Finance[Ex GST],tbl_Finance[Job Number],A257&amp;""))</f>
        <v/>
      </c>
      <c r="AD257" s="27">
        <f>IF(A257="","",SUMIFS(tbl_Finance[Ex GST],tbl_Finance[Job Number],A257&amp;"",tbl_Finance[Xero Invoice No],"&lt;&gt;"))</f>
        <v/>
      </c>
      <c r="AE257" s="27">
        <f>IF(A257="","",AC257-AD257)</f>
        <v/>
      </c>
      <c r="AF257" s="26">
        <f>IF(A257="","",IFERROR(IF(INDEX(tbl_Onsite[Qwilr Quote],IFERROR(MATCH(A257&amp;"",tbl_Onsite[Job Number],0),MATCH(IFERROR(A257+0,A257),tbl_Onsite[Job Number],0)))="","",INDEX(tbl_Onsite[Qwilr Quote],IFERROR(MATCH(A257&amp;"",tbl_Onsite[Job Number],0),MATCH(IFERROR(A257+0,A257),tbl_Onsite[Job Number],0)))),IFERROR(IF(IF(INDEX(tbl_Production[Current RMS No],IFERROR(MATCH(A257&amp;"",tbl_Production[Job Number],0),MATCH(IFERROR(A257+0,A257),tbl_Production[Job Number],0)))="",INDEX(tbl_Production[Qwilr Quote],IFERROR(MATCH(A257&amp;"",tbl_Production[Job Number],0),MATCH(IFERROR(A257+0,A257),tbl_Production[Job Number],0))),INDEX(tbl_Production[Current RMS No],IFERROR(MATCH(A257&amp;"",tbl_Production[Job Number],0),MATCH(IFERROR(A257+0,A257),tbl_Production[Job Number],0))))="","",IF(INDEX(tbl_Production[Current RMS No],IFERROR(MATCH(A257&amp;"",tbl_Production[Job Number],0),MATCH(IFERROR(A257+0,A257),tbl_Production[Job Number],0)))="",INDEX(tbl_Production[Qwilr Quote],IFERROR(MATCH(A257&amp;"",tbl_Production[Job Number],0),MATCH(IFERROR(A257+0,A257),tbl_Production[Job Number],0))),INDEX(tbl_Production[Current RMS No],IFERROR(MATCH(A257&amp;"",tbl_Production[Job Number],0),MATCH(IFERROR(A257+0,A257),tbl_Production[Job Number],0))))),IFERROR(IF(INDEX(tbl_Consulting[Qwilr Quote],IFERROR(MATCH(A257&amp;"",tbl_Consulting[Job Number],0),MATCH(IFERROR(A257+0,A257),tbl_Consulting[Job Number],0)))="","",INDEX(tbl_Consulting[Qwilr Quote],IFERROR(MATCH(A257&amp;"",tbl_Consulting[Job Number],0),MATCH(IFERROR(A257+0,A257),tbl_Consulting[Job Number],0)))),""))))</f>
        <v/>
      </c>
      <c r="AG257" s="26">
        <f>IF(AF257="","",IF(AND(LEFT(AF257,4)&lt;&gt;"http",IF(G257="Production",set_RMSBase,set_QwilrBase)=""),"",HYPERLINK(IF(LEFT(AF257,4)="http",AF257,IF(G257="Production",set_RMSBase,set_QwilrBase)&amp;AF257),"Open")))</f>
        <v/>
      </c>
      <c r="AH257" s="27">
        <f>IF(A257="","",IFERROR(INDEX(tbl_Production[Total Expense],IFERROR(MATCH(A257&amp;"",tbl_Production[Job Number],0),MATCH(IFERROR(A257+0,A257),tbl_Production[Job Number],0))),IFERROR(INDEX(tbl_Consulting[Total Expense],IFERROR(MATCH(A257&amp;"",tbl_Consulting[Job Number],0),MATCH(IFERROR(A257+0,A257),tbl_Consulting[Job Number],0))),0)))</f>
        <v/>
      </c>
      <c r="AI257" s="27">
        <f>IF(A257="","",AC257-N(AH257))</f>
        <v/>
      </c>
      <c r="AJ257" s="29">
        <f>IFERROR(AI257/AC257,"")</f>
        <v/>
      </c>
      <c r="AK257" s="26">
        <f>IF(A257="","",IFERROR(IF(INDEX(tbl_Onsite[Notes],IFERROR(MATCH(A257&amp;"",tbl_Onsite[Job Number],0),MATCH(IFERROR(A257+0,A257),tbl_Onsite[Job Number],0)))="","",INDEX(tbl_Onsite[Notes],IFERROR(MATCH(A257&amp;"",tbl_Onsite[Job Number],0),MATCH(IFERROR(A257+0,A257),tbl_Onsite[Job Number],0)))),IFERROR(IF(INDEX(tbl_Production[Notes],IFERROR(MATCH(A257&amp;"",tbl_Production[Job Number],0),MATCH(IFERROR(A257+0,A257),tbl_Production[Job Number],0)))="","",INDEX(tbl_Production[Notes],IFERROR(MATCH(A257&amp;"",tbl_Production[Job Number],0),MATCH(IFERROR(A257+0,A257),tbl_Production[Job Number],0)))),IFERROR(IF(INDEX(tbl_Consulting[Notes],IFERROR(MATCH(A257&amp;"",tbl_Consulting[Job Number],0),MATCH(IFERROR(A257+0,A257),tbl_Consulting[Job Number],0)))="","",INDEX(tbl_Consulting[Notes],IFERROR(MATCH(A257&amp;"",tbl_Consulting[Job Number],0),MATCH(IFERROR(A257+0,A257),tbl_Consulting[Job Number],0)))),""))))</f>
        <v/>
      </c>
    </row>
    <row r="258" ht="15" customHeight="1">
      <c r="A258" s="22" t="n"/>
      <c r="B258" s="22" t="n"/>
      <c r="C258" s="23" t="n"/>
      <c r="D258" s="22" t="n"/>
      <c r="E258" s="24" t="n"/>
      <c r="F258" s="25">
        <f>IF(C258="","",EOMONTH(C258,0))</f>
        <v/>
      </c>
      <c r="G258" s="26">
        <f>IF(A258="","",IF(COUNTIF(tbl_Onsite[Job Number],A258&amp;"")&gt;0,"Onsite",IF(COUNTIF(tbl_Production[Job Number],A258&amp;"")&gt;0,"Production",IF(COUNTIF(tbl_Consulting[Job Number],A258&amp;"")&gt;0,"Consulting","not set up yet"))))</f>
        <v/>
      </c>
      <c r="H258" s="26">
        <f>IF(A258="","",IF(COUNTIF(lst_Jobs,A258&amp;"")&gt;0,"OK","CHECK"))</f>
        <v/>
      </c>
      <c r="I258" s="26">
        <f>IF(A258="","",IFERROR(INDEX(lst_JobName,MATCH(A258&amp;"",lst_Jobs,0)),""))</f>
        <v/>
      </c>
      <c r="J258" s="26">
        <f>IF(A258="","",IFERROR(IF(INDEX(tbl_Onsite[Client],IFERROR(MATCH(A258&amp;"",tbl_Onsite[Job Number],0),MATCH(IFERROR(A258+0,A258),tbl_Onsite[Job Number],0)))="","",INDEX(tbl_Onsite[Client],IFERROR(MATCH(A258&amp;"",tbl_Onsite[Job Number],0),MATCH(IFERROR(A258+0,A258),tbl_Onsite[Job Number],0)))),IFERROR(IF(INDEX(tbl_Production[Client],IFERROR(MATCH(A258&amp;"",tbl_Production[Job Number],0),MATCH(IFERROR(A258+0,A258),tbl_Production[Job Number],0)))="","",INDEX(tbl_Production[Client],IFERROR(MATCH(A258&amp;"",tbl_Production[Job Number],0),MATCH(IFERROR(A258+0,A258),tbl_Production[Job Number],0)))),IFERROR(IF(INDEX(tbl_Consulting[Client],IFERROR(MATCH(A258&amp;"",tbl_Consulting[Job Number],0),MATCH(IFERROR(A258+0,A258),tbl_Consulting[Job Number],0)))="","",INDEX(tbl_Consulting[Client],IFERROR(MATCH(A258&amp;"",tbl_Consulting[Job Number],0),MATCH(IFERROR(A258+0,A258),tbl_Consulting[Job Number],0)))),""))))</f>
        <v/>
      </c>
      <c r="K258" s="26">
        <f>IF(A258="","",IFERROR(IF(INDEX(tbl_Onsite[Job Description],IFERROR(MATCH(A258&amp;"",tbl_Onsite[Job Number],0),MATCH(IFERROR(A258+0,A258),tbl_Onsite[Job Number],0)))="","",INDEX(tbl_Onsite[Job Description],IFERROR(MATCH(A258&amp;"",tbl_Onsite[Job Number],0),MATCH(IFERROR(A258+0,A258),tbl_Onsite[Job Number],0)))),IFERROR(IF(INDEX(tbl_Production[Job Description],IFERROR(MATCH(A258&amp;"",tbl_Production[Job Number],0),MATCH(IFERROR(A258+0,A258),tbl_Production[Job Number],0)))="","",INDEX(tbl_Production[Job Description],IFERROR(MATCH(A258&amp;"",tbl_Production[Job Number],0),MATCH(IFERROR(A258+0,A258),tbl_Production[Job Number],0)))),IFERROR(IF(INDEX(tbl_Consulting[Job Description],IFERROR(MATCH(A258&amp;"",tbl_Consulting[Job Number],0),MATCH(IFERROR(A258+0,A258),tbl_Consulting[Job Number],0)))="","",INDEX(tbl_Consulting[Job Description],IFERROR(MATCH(A258&amp;"",tbl_Consulting[Job Number],0),MATCH(IFERROR(A258+0,A258),tbl_Consulting[Job Number],0)))),""))))</f>
        <v/>
      </c>
      <c r="L258" s="26">
        <f>IF(A258="","",IFERROR(IF(INDEX(tbl_Onsite[Invoice Type],IFERROR(MATCH(A258&amp;"",tbl_Onsite[Job Number],0),MATCH(IFERROR(A258+0,A258),tbl_Onsite[Job Number],0)))="","",INDEX(tbl_Onsite[Invoice Type],IFERROR(MATCH(A258&amp;"",tbl_Onsite[Job Number],0),MATCH(IFERROR(A258+0,A258),tbl_Onsite[Job Number],0)))),IFERROR(IF(INDEX(tbl_Production[Invoice Type],IFERROR(MATCH(A258&amp;"",tbl_Production[Job Number],0),MATCH(IFERROR(A258+0,A258),tbl_Production[Job Number],0)))="","",INDEX(tbl_Production[Invoice Type],IFERROR(MATCH(A258&amp;"",tbl_Production[Job Number],0),MATCH(IFERROR(A258+0,A258),tbl_Production[Job Number],0)))),IFERROR(IF(INDEX(tbl_Consulting[Invoice Type],IFERROR(MATCH(A258&amp;"",tbl_Consulting[Job Number],0),MATCH(IFERROR(A258+0,A258),tbl_Consulting[Job Number],0)))="","",INDEX(tbl_Consulting[Invoice Type],IFERROR(MATCH(A258&amp;"",tbl_Consulting[Job Number],0),MATCH(IFERROR(A258+0,A258),tbl_Consulting[Job Number],0)))),""))))</f>
        <v/>
      </c>
      <c r="M258" s="26">
        <f>IF(A258="","",IF(IFERROR(IF(INDEX(tbl_Onsite[Tax Code],IFERROR(MATCH(A258&amp;"",tbl_Onsite[Job Number],0),MATCH(IFERROR(A258+0,A258),tbl_Onsite[Job Number],0)))="","",INDEX(tbl_Onsite[Tax Code],IFERROR(MATCH(A258&amp;"",tbl_Onsite[Job Number],0),MATCH(IFERROR(A258+0,A258),tbl_Onsite[Job Number],0)))),IFERROR(IF(INDEX(tbl_Production[Tax Code],IFERROR(MATCH(A258&amp;"",tbl_Production[Job Number],0),MATCH(IFERROR(A258+0,A258),tbl_Production[Job Number],0)))="","",INDEX(tbl_Production[Tax Code],IFERROR(MATCH(A258&amp;"",tbl_Production[Job Number],0),MATCH(IFERROR(A258+0,A258),tbl_Production[Job Number],0)))),IFERROR(IF(INDEX(tbl_Consulting[Tax Code],IFERROR(MATCH(A258&amp;"",tbl_Consulting[Job Number],0),MATCH(IFERROR(A258+0,A258),tbl_Consulting[Job Number],0)))="","",INDEX(tbl_Consulting[Tax Code],IFERROR(MATCH(A258&amp;"",tbl_Consulting[Job Number],0),MATCH(IFERROR(A258+0,A258),tbl_Consulting[Job Number],0)))),"")))="","GST 10%",IFERROR(IF(INDEX(tbl_Onsite[Tax Code],IFERROR(MATCH(A258&amp;"",tbl_Onsite[Job Number],0),MATCH(IFERROR(A258+0,A258),tbl_Onsite[Job Number],0)))="","",INDEX(tbl_Onsite[Tax Code],IFERROR(MATCH(A258&amp;"",tbl_Onsite[Job Number],0),MATCH(IFERROR(A258+0,A258),tbl_Onsite[Job Number],0)))),IFERROR(IF(INDEX(tbl_Production[Tax Code],IFERROR(MATCH(A258&amp;"",tbl_Production[Job Number],0),MATCH(IFERROR(A258+0,A258),tbl_Production[Job Number],0)))="","",INDEX(tbl_Production[Tax Code],IFERROR(MATCH(A258&amp;"",tbl_Production[Job Number],0),MATCH(IFERROR(A258+0,A258),tbl_Production[Job Number],0)))),IFERROR(IF(INDEX(tbl_Consulting[Tax Code],IFERROR(MATCH(A258&amp;"",tbl_Consulting[Job Number],0),MATCH(IFERROR(A258+0,A258),tbl_Consulting[Job Number],0)))="","",INDEX(tbl_Consulting[Tax Code],IFERROR(MATCH(A258&amp;"",tbl_Consulting[Job Number],0),MATCH(IFERROR(A258+0,A258),tbl_Consulting[Job Number],0)))),"")))))</f>
        <v/>
      </c>
      <c r="N258" s="26">
        <f>IF(D258="","",IFERROR(INDEX(lst_CCtoGL,MATCH(D258,lst_CCforGL,0)),""))</f>
        <v/>
      </c>
      <c r="O258" s="27">
        <f>IF(E258="","",IF(M258="GST 10%",ROUND(E258*set_GSTRate,2),0))</f>
        <v/>
      </c>
      <c r="P258" s="27">
        <f>IF(E258="","",E258+O258)</f>
        <v/>
      </c>
      <c r="Q258" s="27">
        <f>IF(A258="","",IFERROR(INDEX(tbl_Onsite[Expected Revenue Ex GST],IFERROR(MATCH(A258&amp;"",tbl_Onsite[Job Number],0),MATCH(IFERROR(A258+0,A258),tbl_Onsite[Job Number],0))),IFERROR(INDEX(tbl_Production[Expected Revenue Ex GST],IFERROR(MATCH(A258&amp;"",tbl_Production[Job Number],0),MATCH(IFERROR(A258+0,A258),tbl_Production[Job Number],0))),IFERROR(INDEX(tbl_Consulting[Expected Revenue Ex GST],IFERROR(MATCH(A258&amp;"",tbl_Consulting[Job Number],0),MATCH(IFERROR(A258+0,A258),tbl_Consulting[Job Number],0))),0))))</f>
        <v/>
      </c>
      <c r="R258" s="27">
        <f>IF(A258="","",SUMIFS(tbl_Finance[Ex GST],tbl_Finance[Job Number],A258&amp;""))</f>
        <v/>
      </c>
      <c r="S258" s="27">
        <f>IF(A258="","",Q258-R258)</f>
        <v/>
      </c>
      <c r="T258" s="26">
        <f>IF(A258="","",IF(Q258=0,"No dept value",IF(ROUND(S258,2)=0,"Agrees",IF(S258&gt;0,"Dept higher - to invoice","Xero higher - check dept"))))</f>
        <v/>
      </c>
      <c r="U258" s="22" t="n"/>
      <c r="V258" s="22" t="n"/>
      <c r="W258" s="23" t="n"/>
      <c r="X258" s="23" t="n"/>
      <c r="Y258" s="22" t="n"/>
      <c r="Z258" s="22" t="n"/>
      <c r="AA258" s="26">
        <f>IF(COUNTA(C258,A258,B258,E258)=0,"",IF(C258="","No date - sits outside every month",IF(A258="","No job number",IF(H258="CHECK","Job number is not in the Xero job list",IF(G258="not set up yet","No department has set this job up - nothing can pull through",IF(D258="","No cost centre",IF(AND(U258="Y",B258=""),"Marked posted to Xero but has no invoice number",IF(N258="","Cost centre has no revenue GL on the Lists sheet",IF(T258="Xero higher - check dept","Invoiced more than the department says the job is worth","")))))))))</f>
        <v/>
      </c>
      <c r="AB258" s="28">
        <f>IF(A258="","",COUNTIFS(tbl_Finance[Job Number],A258&amp;"",tbl_Finance[Ex GST],"&lt;&gt;"))</f>
        <v/>
      </c>
      <c r="AC258" s="27">
        <f>IF(A258="","",SUMIFS(tbl_Finance[Ex GST],tbl_Finance[Job Number],A258&amp;""))</f>
        <v/>
      </c>
      <c r="AD258" s="27">
        <f>IF(A258="","",SUMIFS(tbl_Finance[Ex GST],tbl_Finance[Job Number],A258&amp;"",tbl_Finance[Xero Invoice No],"&lt;&gt;"))</f>
        <v/>
      </c>
      <c r="AE258" s="27">
        <f>IF(A258="","",AC258-AD258)</f>
        <v/>
      </c>
      <c r="AF258" s="26">
        <f>IF(A258="","",IFERROR(IF(INDEX(tbl_Onsite[Qwilr Quote],IFERROR(MATCH(A258&amp;"",tbl_Onsite[Job Number],0),MATCH(IFERROR(A258+0,A258),tbl_Onsite[Job Number],0)))="","",INDEX(tbl_Onsite[Qwilr Quote],IFERROR(MATCH(A258&amp;"",tbl_Onsite[Job Number],0),MATCH(IFERROR(A258+0,A258),tbl_Onsite[Job Number],0)))),IFERROR(IF(IF(INDEX(tbl_Production[Current RMS No],IFERROR(MATCH(A258&amp;"",tbl_Production[Job Number],0),MATCH(IFERROR(A258+0,A258),tbl_Production[Job Number],0)))="",INDEX(tbl_Production[Qwilr Quote],IFERROR(MATCH(A258&amp;"",tbl_Production[Job Number],0),MATCH(IFERROR(A258+0,A258),tbl_Production[Job Number],0))),INDEX(tbl_Production[Current RMS No],IFERROR(MATCH(A258&amp;"",tbl_Production[Job Number],0),MATCH(IFERROR(A258+0,A258),tbl_Production[Job Number],0))))="","",IF(INDEX(tbl_Production[Current RMS No],IFERROR(MATCH(A258&amp;"",tbl_Production[Job Number],0),MATCH(IFERROR(A258+0,A258),tbl_Production[Job Number],0)))="",INDEX(tbl_Production[Qwilr Quote],IFERROR(MATCH(A258&amp;"",tbl_Production[Job Number],0),MATCH(IFERROR(A258+0,A258),tbl_Production[Job Number],0))),INDEX(tbl_Production[Current RMS No],IFERROR(MATCH(A258&amp;"",tbl_Production[Job Number],0),MATCH(IFERROR(A258+0,A258),tbl_Production[Job Number],0))))),IFERROR(IF(INDEX(tbl_Consulting[Qwilr Quote],IFERROR(MATCH(A258&amp;"",tbl_Consulting[Job Number],0),MATCH(IFERROR(A258+0,A258),tbl_Consulting[Job Number],0)))="","",INDEX(tbl_Consulting[Qwilr Quote],IFERROR(MATCH(A258&amp;"",tbl_Consulting[Job Number],0),MATCH(IFERROR(A258+0,A258),tbl_Consulting[Job Number],0)))),""))))</f>
        <v/>
      </c>
      <c r="AG258" s="26">
        <f>IF(AF258="","",IF(AND(LEFT(AF258,4)&lt;&gt;"http",IF(G258="Production",set_RMSBase,set_QwilrBase)=""),"",HYPERLINK(IF(LEFT(AF258,4)="http",AF258,IF(G258="Production",set_RMSBase,set_QwilrBase)&amp;AF258),"Open")))</f>
        <v/>
      </c>
      <c r="AH258" s="27">
        <f>IF(A258="","",IFERROR(INDEX(tbl_Production[Total Expense],IFERROR(MATCH(A258&amp;"",tbl_Production[Job Number],0),MATCH(IFERROR(A258+0,A258),tbl_Production[Job Number],0))),IFERROR(INDEX(tbl_Consulting[Total Expense],IFERROR(MATCH(A258&amp;"",tbl_Consulting[Job Number],0),MATCH(IFERROR(A258+0,A258),tbl_Consulting[Job Number],0))),0)))</f>
        <v/>
      </c>
      <c r="AI258" s="27">
        <f>IF(A258="","",AC258-N(AH258))</f>
        <v/>
      </c>
      <c r="AJ258" s="29">
        <f>IFERROR(AI258/AC258,"")</f>
        <v/>
      </c>
      <c r="AK258" s="26">
        <f>IF(A258="","",IFERROR(IF(INDEX(tbl_Onsite[Notes],IFERROR(MATCH(A258&amp;"",tbl_Onsite[Job Number],0),MATCH(IFERROR(A258+0,A258),tbl_Onsite[Job Number],0)))="","",INDEX(tbl_Onsite[Notes],IFERROR(MATCH(A258&amp;"",tbl_Onsite[Job Number],0),MATCH(IFERROR(A258+0,A258),tbl_Onsite[Job Number],0)))),IFERROR(IF(INDEX(tbl_Production[Notes],IFERROR(MATCH(A258&amp;"",tbl_Production[Job Number],0),MATCH(IFERROR(A258+0,A258),tbl_Production[Job Number],0)))="","",INDEX(tbl_Production[Notes],IFERROR(MATCH(A258&amp;"",tbl_Production[Job Number],0),MATCH(IFERROR(A258+0,A258),tbl_Production[Job Number],0)))),IFERROR(IF(INDEX(tbl_Consulting[Notes],IFERROR(MATCH(A258&amp;"",tbl_Consulting[Job Number],0),MATCH(IFERROR(A258+0,A258),tbl_Consulting[Job Number],0)))="","",INDEX(tbl_Consulting[Notes],IFERROR(MATCH(A258&amp;"",tbl_Consulting[Job Number],0),MATCH(IFERROR(A258+0,A258),tbl_Consulting[Job Number],0)))),""))))</f>
        <v/>
      </c>
    </row>
    <row r="259" ht="15" customHeight="1">
      <c r="A259" s="22" t="n"/>
      <c r="B259" s="22" t="n"/>
      <c r="C259" s="23" t="n"/>
      <c r="D259" s="22" t="n"/>
      <c r="E259" s="24" t="n"/>
      <c r="F259" s="25">
        <f>IF(C259="","",EOMONTH(C259,0))</f>
        <v/>
      </c>
      <c r="G259" s="26">
        <f>IF(A259="","",IF(COUNTIF(tbl_Onsite[Job Number],A259&amp;"")&gt;0,"Onsite",IF(COUNTIF(tbl_Production[Job Number],A259&amp;"")&gt;0,"Production",IF(COUNTIF(tbl_Consulting[Job Number],A259&amp;"")&gt;0,"Consulting","not set up yet"))))</f>
        <v/>
      </c>
      <c r="H259" s="26">
        <f>IF(A259="","",IF(COUNTIF(lst_Jobs,A259&amp;"")&gt;0,"OK","CHECK"))</f>
        <v/>
      </c>
      <c r="I259" s="26">
        <f>IF(A259="","",IFERROR(INDEX(lst_JobName,MATCH(A259&amp;"",lst_Jobs,0)),""))</f>
        <v/>
      </c>
      <c r="J259" s="26">
        <f>IF(A259="","",IFERROR(IF(INDEX(tbl_Onsite[Client],IFERROR(MATCH(A259&amp;"",tbl_Onsite[Job Number],0),MATCH(IFERROR(A259+0,A259),tbl_Onsite[Job Number],0)))="","",INDEX(tbl_Onsite[Client],IFERROR(MATCH(A259&amp;"",tbl_Onsite[Job Number],0),MATCH(IFERROR(A259+0,A259),tbl_Onsite[Job Number],0)))),IFERROR(IF(INDEX(tbl_Production[Client],IFERROR(MATCH(A259&amp;"",tbl_Production[Job Number],0),MATCH(IFERROR(A259+0,A259),tbl_Production[Job Number],0)))="","",INDEX(tbl_Production[Client],IFERROR(MATCH(A259&amp;"",tbl_Production[Job Number],0),MATCH(IFERROR(A259+0,A259),tbl_Production[Job Number],0)))),IFERROR(IF(INDEX(tbl_Consulting[Client],IFERROR(MATCH(A259&amp;"",tbl_Consulting[Job Number],0),MATCH(IFERROR(A259+0,A259),tbl_Consulting[Job Number],0)))="","",INDEX(tbl_Consulting[Client],IFERROR(MATCH(A259&amp;"",tbl_Consulting[Job Number],0),MATCH(IFERROR(A259+0,A259),tbl_Consulting[Job Number],0)))),""))))</f>
        <v/>
      </c>
      <c r="K259" s="26">
        <f>IF(A259="","",IFERROR(IF(INDEX(tbl_Onsite[Job Description],IFERROR(MATCH(A259&amp;"",tbl_Onsite[Job Number],0),MATCH(IFERROR(A259+0,A259),tbl_Onsite[Job Number],0)))="","",INDEX(tbl_Onsite[Job Description],IFERROR(MATCH(A259&amp;"",tbl_Onsite[Job Number],0),MATCH(IFERROR(A259+0,A259),tbl_Onsite[Job Number],0)))),IFERROR(IF(INDEX(tbl_Production[Job Description],IFERROR(MATCH(A259&amp;"",tbl_Production[Job Number],0),MATCH(IFERROR(A259+0,A259),tbl_Production[Job Number],0)))="","",INDEX(tbl_Production[Job Description],IFERROR(MATCH(A259&amp;"",tbl_Production[Job Number],0),MATCH(IFERROR(A259+0,A259),tbl_Production[Job Number],0)))),IFERROR(IF(INDEX(tbl_Consulting[Job Description],IFERROR(MATCH(A259&amp;"",tbl_Consulting[Job Number],0),MATCH(IFERROR(A259+0,A259),tbl_Consulting[Job Number],0)))="","",INDEX(tbl_Consulting[Job Description],IFERROR(MATCH(A259&amp;"",tbl_Consulting[Job Number],0),MATCH(IFERROR(A259+0,A259),tbl_Consulting[Job Number],0)))),""))))</f>
        <v/>
      </c>
      <c r="L259" s="26">
        <f>IF(A259="","",IFERROR(IF(INDEX(tbl_Onsite[Invoice Type],IFERROR(MATCH(A259&amp;"",tbl_Onsite[Job Number],0),MATCH(IFERROR(A259+0,A259),tbl_Onsite[Job Number],0)))="","",INDEX(tbl_Onsite[Invoice Type],IFERROR(MATCH(A259&amp;"",tbl_Onsite[Job Number],0),MATCH(IFERROR(A259+0,A259),tbl_Onsite[Job Number],0)))),IFERROR(IF(INDEX(tbl_Production[Invoice Type],IFERROR(MATCH(A259&amp;"",tbl_Production[Job Number],0),MATCH(IFERROR(A259+0,A259),tbl_Production[Job Number],0)))="","",INDEX(tbl_Production[Invoice Type],IFERROR(MATCH(A259&amp;"",tbl_Production[Job Number],0),MATCH(IFERROR(A259+0,A259),tbl_Production[Job Number],0)))),IFERROR(IF(INDEX(tbl_Consulting[Invoice Type],IFERROR(MATCH(A259&amp;"",tbl_Consulting[Job Number],0),MATCH(IFERROR(A259+0,A259),tbl_Consulting[Job Number],0)))="","",INDEX(tbl_Consulting[Invoice Type],IFERROR(MATCH(A259&amp;"",tbl_Consulting[Job Number],0),MATCH(IFERROR(A259+0,A259),tbl_Consulting[Job Number],0)))),""))))</f>
        <v/>
      </c>
      <c r="M259" s="26">
        <f>IF(A259="","",IF(IFERROR(IF(INDEX(tbl_Onsite[Tax Code],IFERROR(MATCH(A259&amp;"",tbl_Onsite[Job Number],0),MATCH(IFERROR(A259+0,A259),tbl_Onsite[Job Number],0)))="","",INDEX(tbl_Onsite[Tax Code],IFERROR(MATCH(A259&amp;"",tbl_Onsite[Job Number],0),MATCH(IFERROR(A259+0,A259),tbl_Onsite[Job Number],0)))),IFERROR(IF(INDEX(tbl_Production[Tax Code],IFERROR(MATCH(A259&amp;"",tbl_Production[Job Number],0),MATCH(IFERROR(A259+0,A259),tbl_Production[Job Number],0)))="","",INDEX(tbl_Production[Tax Code],IFERROR(MATCH(A259&amp;"",tbl_Production[Job Number],0),MATCH(IFERROR(A259+0,A259),tbl_Production[Job Number],0)))),IFERROR(IF(INDEX(tbl_Consulting[Tax Code],IFERROR(MATCH(A259&amp;"",tbl_Consulting[Job Number],0),MATCH(IFERROR(A259+0,A259),tbl_Consulting[Job Number],0)))="","",INDEX(tbl_Consulting[Tax Code],IFERROR(MATCH(A259&amp;"",tbl_Consulting[Job Number],0),MATCH(IFERROR(A259+0,A259),tbl_Consulting[Job Number],0)))),"")))="","GST 10%",IFERROR(IF(INDEX(tbl_Onsite[Tax Code],IFERROR(MATCH(A259&amp;"",tbl_Onsite[Job Number],0),MATCH(IFERROR(A259+0,A259),tbl_Onsite[Job Number],0)))="","",INDEX(tbl_Onsite[Tax Code],IFERROR(MATCH(A259&amp;"",tbl_Onsite[Job Number],0),MATCH(IFERROR(A259+0,A259),tbl_Onsite[Job Number],0)))),IFERROR(IF(INDEX(tbl_Production[Tax Code],IFERROR(MATCH(A259&amp;"",tbl_Production[Job Number],0),MATCH(IFERROR(A259+0,A259),tbl_Production[Job Number],0)))="","",INDEX(tbl_Production[Tax Code],IFERROR(MATCH(A259&amp;"",tbl_Production[Job Number],0),MATCH(IFERROR(A259+0,A259),tbl_Production[Job Number],0)))),IFERROR(IF(INDEX(tbl_Consulting[Tax Code],IFERROR(MATCH(A259&amp;"",tbl_Consulting[Job Number],0),MATCH(IFERROR(A259+0,A259),tbl_Consulting[Job Number],0)))="","",INDEX(tbl_Consulting[Tax Code],IFERROR(MATCH(A259&amp;"",tbl_Consulting[Job Number],0),MATCH(IFERROR(A259+0,A259),tbl_Consulting[Job Number],0)))),"")))))</f>
        <v/>
      </c>
      <c r="N259" s="26">
        <f>IF(D259="","",IFERROR(INDEX(lst_CCtoGL,MATCH(D259,lst_CCforGL,0)),""))</f>
        <v/>
      </c>
      <c r="O259" s="27">
        <f>IF(E259="","",IF(M259="GST 10%",ROUND(E259*set_GSTRate,2),0))</f>
        <v/>
      </c>
      <c r="P259" s="27">
        <f>IF(E259="","",E259+O259)</f>
        <v/>
      </c>
      <c r="Q259" s="27">
        <f>IF(A259="","",IFERROR(INDEX(tbl_Onsite[Expected Revenue Ex GST],IFERROR(MATCH(A259&amp;"",tbl_Onsite[Job Number],0),MATCH(IFERROR(A259+0,A259),tbl_Onsite[Job Number],0))),IFERROR(INDEX(tbl_Production[Expected Revenue Ex GST],IFERROR(MATCH(A259&amp;"",tbl_Production[Job Number],0),MATCH(IFERROR(A259+0,A259),tbl_Production[Job Number],0))),IFERROR(INDEX(tbl_Consulting[Expected Revenue Ex GST],IFERROR(MATCH(A259&amp;"",tbl_Consulting[Job Number],0),MATCH(IFERROR(A259+0,A259),tbl_Consulting[Job Number],0))),0))))</f>
        <v/>
      </c>
      <c r="R259" s="27">
        <f>IF(A259="","",SUMIFS(tbl_Finance[Ex GST],tbl_Finance[Job Number],A259&amp;""))</f>
        <v/>
      </c>
      <c r="S259" s="27">
        <f>IF(A259="","",Q259-R259)</f>
        <v/>
      </c>
      <c r="T259" s="26">
        <f>IF(A259="","",IF(Q259=0,"No dept value",IF(ROUND(S259,2)=0,"Agrees",IF(S259&gt;0,"Dept higher - to invoice","Xero higher - check dept"))))</f>
        <v/>
      </c>
      <c r="U259" s="22" t="n"/>
      <c r="V259" s="22" t="n"/>
      <c r="W259" s="23" t="n"/>
      <c r="X259" s="23" t="n"/>
      <c r="Y259" s="22" t="n"/>
      <c r="Z259" s="22" t="n"/>
      <c r="AA259" s="26">
        <f>IF(COUNTA(C259,A259,B259,E259)=0,"",IF(C259="","No date - sits outside every month",IF(A259="","No job number",IF(H259="CHECK","Job number is not in the Xero job list",IF(G259="not set up yet","No department has set this job up - nothing can pull through",IF(D259="","No cost centre",IF(AND(U259="Y",B259=""),"Marked posted to Xero but has no invoice number",IF(N259="","Cost centre has no revenue GL on the Lists sheet",IF(T259="Xero higher - check dept","Invoiced more than the department says the job is worth","")))))))))</f>
        <v/>
      </c>
      <c r="AB259" s="28">
        <f>IF(A259="","",COUNTIFS(tbl_Finance[Job Number],A259&amp;"",tbl_Finance[Ex GST],"&lt;&gt;"))</f>
        <v/>
      </c>
      <c r="AC259" s="27">
        <f>IF(A259="","",SUMIFS(tbl_Finance[Ex GST],tbl_Finance[Job Number],A259&amp;""))</f>
        <v/>
      </c>
      <c r="AD259" s="27">
        <f>IF(A259="","",SUMIFS(tbl_Finance[Ex GST],tbl_Finance[Job Number],A259&amp;"",tbl_Finance[Xero Invoice No],"&lt;&gt;"))</f>
        <v/>
      </c>
      <c r="AE259" s="27">
        <f>IF(A259="","",AC259-AD259)</f>
        <v/>
      </c>
      <c r="AF259" s="26">
        <f>IF(A259="","",IFERROR(IF(INDEX(tbl_Onsite[Qwilr Quote],IFERROR(MATCH(A259&amp;"",tbl_Onsite[Job Number],0),MATCH(IFERROR(A259+0,A259),tbl_Onsite[Job Number],0)))="","",INDEX(tbl_Onsite[Qwilr Quote],IFERROR(MATCH(A259&amp;"",tbl_Onsite[Job Number],0),MATCH(IFERROR(A259+0,A259),tbl_Onsite[Job Number],0)))),IFERROR(IF(IF(INDEX(tbl_Production[Current RMS No],IFERROR(MATCH(A259&amp;"",tbl_Production[Job Number],0),MATCH(IFERROR(A259+0,A259),tbl_Production[Job Number],0)))="",INDEX(tbl_Production[Qwilr Quote],IFERROR(MATCH(A259&amp;"",tbl_Production[Job Number],0),MATCH(IFERROR(A259+0,A259),tbl_Production[Job Number],0))),INDEX(tbl_Production[Current RMS No],IFERROR(MATCH(A259&amp;"",tbl_Production[Job Number],0),MATCH(IFERROR(A259+0,A259),tbl_Production[Job Number],0))))="","",IF(INDEX(tbl_Production[Current RMS No],IFERROR(MATCH(A259&amp;"",tbl_Production[Job Number],0),MATCH(IFERROR(A259+0,A259),tbl_Production[Job Number],0)))="",INDEX(tbl_Production[Qwilr Quote],IFERROR(MATCH(A259&amp;"",tbl_Production[Job Number],0),MATCH(IFERROR(A259+0,A259),tbl_Production[Job Number],0))),INDEX(tbl_Production[Current RMS No],IFERROR(MATCH(A259&amp;"",tbl_Production[Job Number],0),MATCH(IFERROR(A259+0,A259),tbl_Production[Job Number],0))))),IFERROR(IF(INDEX(tbl_Consulting[Qwilr Quote],IFERROR(MATCH(A259&amp;"",tbl_Consulting[Job Number],0),MATCH(IFERROR(A259+0,A259),tbl_Consulting[Job Number],0)))="","",INDEX(tbl_Consulting[Qwilr Quote],IFERROR(MATCH(A259&amp;"",tbl_Consulting[Job Number],0),MATCH(IFERROR(A259+0,A259),tbl_Consulting[Job Number],0)))),""))))</f>
        <v/>
      </c>
      <c r="AG259" s="26">
        <f>IF(AF259="","",IF(AND(LEFT(AF259,4)&lt;&gt;"http",IF(G259="Production",set_RMSBase,set_QwilrBase)=""),"",HYPERLINK(IF(LEFT(AF259,4)="http",AF259,IF(G259="Production",set_RMSBase,set_QwilrBase)&amp;AF259),"Open")))</f>
        <v/>
      </c>
      <c r="AH259" s="27">
        <f>IF(A259="","",IFERROR(INDEX(tbl_Production[Total Expense],IFERROR(MATCH(A259&amp;"",tbl_Production[Job Number],0),MATCH(IFERROR(A259+0,A259),tbl_Production[Job Number],0))),IFERROR(INDEX(tbl_Consulting[Total Expense],IFERROR(MATCH(A259&amp;"",tbl_Consulting[Job Number],0),MATCH(IFERROR(A259+0,A259),tbl_Consulting[Job Number],0))),0)))</f>
        <v/>
      </c>
      <c r="AI259" s="27">
        <f>IF(A259="","",AC259-N(AH259))</f>
        <v/>
      </c>
      <c r="AJ259" s="29">
        <f>IFERROR(AI259/AC259,"")</f>
        <v/>
      </c>
      <c r="AK259" s="26">
        <f>IF(A259="","",IFERROR(IF(INDEX(tbl_Onsite[Notes],IFERROR(MATCH(A259&amp;"",tbl_Onsite[Job Number],0),MATCH(IFERROR(A259+0,A259),tbl_Onsite[Job Number],0)))="","",INDEX(tbl_Onsite[Notes],IFERROR(MATCH(A259&amp;"",tbl_Onsite[Job Number],0),MATCH(IFERROR(A259+0,A259),tbl_Onsite[Job Number],0)))),IFERROR(IF(INDEX(tbl_Production[Notes],IFERROR(MATCH(A259&amp;"",tbl_Production[Job Number],0),MATCH(IFERROR(A259+0,A259),tbl_Production[Job Number],0)))="","",INDEX(tbl_Production[Notes],IFERROR(MATCH(A259&amp;"",tbl_Production[Job Number],0),MATCH(IFERROR(A259+0,A259),tbl_Production[Job Number],0)))),IFERROR(IF(INDEX(tbl_Consulting[Notes],IFERROR(MATCH(A259&amp;"",tbl_Consulting[Job Number],0),MATCH(IFERROR(A259+0,A259),tbl_Consulting[Job Number],0)))="","",INDEX(tbl_Consulting[Notes],IFERROR(MATCH(A259&amp;"",tbl_Consulting[Job Number],0),MATCH(IFERROR(A259+0,A259),tbl_Consulting[Job Number],0)))),""))))</f>
        <v/>
      </c>
    </row>
    <row r="260" ht="15" customHeight="1">
      <c r="A260" s="22" t="n"/>
      <c r="B260" s="22" t="n"/>
      <c r="C260" s="23" t="n"/>
      <c r="D260" s="22" t="n"/>
      <c r="E260" s="24" t="n"/>
      <c r="F260" s="25">
        <f>IF(C260="","",EOMONTH(C260,0))</f>
        <v/>
      </c>
      <c r="G260" s="26">
        <f>IF(A260="","",IF(COUNTIF(tbl_Onsite[Job Number],A260&amp;"")&gt;0,"Onsite",IF(COUNTIF(tbl_Production[Job Number],A260&amp;"")&gt;0,"Production",IF(COUNTIF(tbl_Consulting[Job Number],A260&amp;"")&gt;0,"Consulting","not set up yet"))))</f>
        <v/>
      </c>
      <c r="H260" s="26">
        <f>IF(A260="","",IF(COUNTIF(lst_Jobs,A260&amp;"")&gt;0,"OK","CHECK"))</f>
        <v/>
      </c>
      <c r="I260" s="26">
        <f>IF(A260="","",IFERROR(INDEX(lst_JobName,MATCH(A260&amp;"",lst_Jobs,0)),""))</f>
        <v/>
      </c>
      <c r="J260" s="26">
        <f>IF(A260="","",IFERROR(IF(INDEX(tbl_Onsite[Client],IFERROR(MATCH(A260&amp;"",tbl_Onsite[Job Number],0),MATCH(IFERROR(A260+0,A260),tbl_Onsite[Job Number],0)))="","",INDEX(tbl_Onsite[Client],IFERROR(MATCH(A260&amp;"",tbl_Onsite[Job Number],0),MATCH(IFERROR(A260+0,A260),tbl_Onsite[Job Number],0)))),IFERROR(IF(INDEX(tbl_Production[Client],IFERROR(MATCH(A260&amp;"",tbl_Production[Job Number],0),MATCH(IFERROR(A260+0,A260),tbl_Production[Job Number],0)))="","",INDEX(tbl_Production[Client],IFERROR(MATCH(A260&amp;"",tbl_Production[Job Number],0),MATCH(IFERROR(A260+0,A260),tbl_Production[Job Number],0)))),IFERROR(IF(INDEX(tbl_Consulting[Client],IFERROR(MATCH(A260&amp;"",tbl_Consulting[Job Number],0),MATCH(IFERROR(A260+0,A260),tbl_Consulting[Job Number],0)))="","",INDEX(tbl_Consulting[Client],IFERROR(MATCH(A260&amp;"",tbl_Consulting[Job Number],0),MATCH(IFERROR(A260+0,A260),tbl_Consulting[Job Number],0)))),""))))</f>
        <v/>
      </c>
      <c r="K260" s="26">
        <f>IF(A260="","",IFERROR(IF(INDEX(tbl_Onsite[Job Description],IFERROR(MATCH(A260&amp;"",tbl_Onsite[Job Number],0),MATCH(IFERROR(A260+0,A260),tbl_Onsite[Job Number],0)))="","",INDEX(tbl_Onsite[Job Description],IFERROR(MATCH(A260&amp;"",tbl_Onsite[Job Number],0),MATCH(IFERROR(A260+0,A260),tbl_Onsite[Job Number],0)))),IFERROR(IF(INDEX(tbl_Production[Job Description],IFERROR(MATCH(A260&amp;"",tbl_Production[Job Number],0),MATCH(IFERROR(A260+0,A260),tbl_Production[Job Number],0)))="","",INDEX(tbl_Production[Job Description],IFERROR(MATCH(A260&amp;"",tbl_Production[Job Number],0),MATCH(IFERROR(A260+0,A260),tbl_Production[Job Number],0)))),IFERROR(IF(INDEX(tbl_Consulting[Job Description],IFERROR(MATCH(A260&amp;"",tbl_Consulting[Job Number],0),MATCH(IFERROR(A260+0,A260),tbl_Consulting[Job Number],0)))="","",INDEX(tbl_Consulting[Job Description],IFERROR(MATCH(A260&amp;"",tbl_Consulting[Job Number],0),MATCH(IFERROR(A260+0,A260),tbl_Consulting[Job Number],0)))),""))))</f>
        <v/>
      </c>
      <c r="L260" s="26">
        <f>IF(A260="","",IFERROR(IF(INDEX(tbl_Onsite[Invoice Type],IFERROR(MATCH(A260&amp;"",tbl_Onsite[Job Number],0),MATCH(IFERROR(A260+0,A260),tbl_Onsite[Job Number],0)))="","",INDEX(tbl_Onsite[Invoice Type],IFERROR(MATCH(A260&amp;"",tbl_Onsite[Job Number],0),MATCH(IFERROR(A260+0,A260),tbl_Onsite[Job Number],0)))),IFERROR(IF(INDEX(tbl_Production[Invoice Type],IFERROR(MATCH(A260&amp;"",tbl_Production[Job Number],0),MATCH(IFERROR(A260+0,A260),tbl_Production[Job Number],0)))="","",INDEX(tbl_Production[Invoice Type],IFERROR(MATCH(A260&amp;"",tbl_Production[Job Number],0),MATCH(IFERROR(A260+0,A260),tbl_Production[Job Number],0)))),IFERROR(IF(INDEX(tbl_Consulting[Invoice Type],IFERROR(MATCH(A260&amp;"",tbl_Consulting[Job Number],0),MATCH(IFERROR(A260+0,A260),tbl_Consulting[Job Number],0)))="","",INDEX(tbl_Consulting[Invoice Type],IFERROR(MATCH(A260&amp;"",tbl_Consulting[Job Number],0),MATCH(IFERROR(A260+0,A260),tbl_Consulting[Job Number],0)))),""))))</f>
        <v/>
      </c>
      <c r="M260" s="26">
        <f>IF(A260="","",IF(IFERROR(IF(INDEX(tbl_Onsite[Tax Code],IFERROR(MATCH(A260&amp;"",tbl_Onsite[Job Number],0),MATCH(IFERROR(A260+0,A260),tbl_Onsite[Job Number],0)))="","",INDEX(tbl_Onsite[Tax Code],IFERROR(MATCH(A260&amp;"",tbl_Onsite[Job Number],0),MATCH(IFERROR(A260+0,A260),tbl_Onsite[Job Number],0)))),IFERROR(IF(INDEX(tbl_Production[Tax Code],IFERROR(MATCH(A260&amp;"",tbl_Production[Job Number],0),MATCH(IFERROR(A260+0,A260),tbl_Production[Job Number],0)))="","",INDEX(tbl_Production[Tax Code],IFERROR(MATCH(A260&amp;"",tbl_Production[Job Number],0),MATCH(IFERROR(A260+0,A260),tbl_Production[Job Number],0)))),IFERROR(IF(INDEX(tbl_Consulting[Tax Code],IFERROR(MATCH(A260&amp;"",tbl_Consulting[Job Number],0),MATCH(IFERROR(A260+0,A260),tbl_Consulting[Job Number],0)))="","",INDEX(tbl_Consulting[Tax Code],IFERROR(MATCH(A260&amp;"",tbl_Consulting[Job Number],0),MATCH(IFERROR(A260+0,A260),tbl_Consulting[Job Number],0)))),"")))="","GST 10%",IFERROR(IF(INDEX(tbl_Onsite[Tax Code],IFERROR(MATCH(A260&amp;"",tbl_Onsite[Job Number],0),MATCH(IFERROR(A260+0,A260),tbl_Onsite[Job Number],0)))="","",INDEX(tbl_Onsite[Tax Code],IFERROR(MATCH(A260&amp;"",tbl_Onsite[Job Number],0),MATCH(IFERROR(A260+0,A260),tbl_Onsite[Job Number],0)))),IFERROR(IF(INDEX(tbl_Production[Tax Code],IFERROR(MATCH(A260&amp;"",tbl_Production[Job Number],0),MATCH(IFERROR(A260+0,A260),tbl_Production[Job Number],0)))="","",INDEX(tbl_Production[Tax Code],IFERROR(MATCH(A260&amp;"",tbl_Production[Job Number],0),MATCH(IFERROR(A260+0,A260),tbl_Production[Job Number],0)))),IFERROR(IF(INDEX(tbl_Consulting[Tax Code],IFERROR(MATCH(A260&amp;"",tbl_Consulting[Job Number],0),MATCH(IFERROR(A260+0,A260),tbl_Consulting[Job Number],0)))="","",INDEX(tbl_Consulting[Tax Code],IFERROR(MATCH(A260&amp;"",tbl_Consulting[Job Number],0),MATCH(IFERROR(A260+0,A260),tbl_Consulting[Job Number],0)))),"")))))</f>
        <v/>
      </c>
      <c r="N260" s="26">
        <f>IF(D260="","",IFERROR(INDEX(lst_CCtoGL,MATCH(D260,lst_CCforGL,0)),""))</f>
        <v/>
      </c>
      <c r="O260" s="27">
        <f>IF(E260="","",IF(M260="GST 10%",ROUND(E260*set_GSTRate,2),0))</f>
        <v/>
      </c>
      <c r="P260" s="27">
        <f>IF(E260="","",E260+O260)</f>
        <v/>
      </c>
      <c r="Q260" s="27">
        <f>IF(A260="","",IFERROR(INDEX(tbl_Onsite[Expected Revenue Ex GST],IFERROR(MATCH(A260&amp;"",tbl_Onsite[Job Number],0),MATCH(IFERROR(A260+0,A260),tbl_Onsite[Job Number],0))),IFERROR(INDEX(tbl_Production[Expected Revenue Ex GST],IFERROR(MATCH(A260&amp;"",tbl_Production[Job Number],0),MATCH(IFERROR(A260+0,A260),tbl_Production[Job Number],0))),IFERROR(INDEX(tbl_Consulting[Expected Revenue Ex GST],IFERROR(MATCH(A260&amp;"",tbl_Consulting[Job Number],0),MATCH(IFERROR(A260+0,A260),tbl_Consulting[Job Number],0))),0))))</f>
        <v/>
      </c>
      <c r="R260" s="27">
        <f>IF(A260="","",SUMIFS(tbl_Finance[Ex GST],tbl_Finance[Job Number],A260&amp;""))</f>
        <v/>
      </c>
      <c r="S260" s="27">
        <f>IF(A260="","",Q260-R260)</f>
        <v/>
      </c>
      <c r="T260" s="26">
        <f>IF(A260="","",IF(Q260=0,"No dept value",IF(ROUND(S260,2)=0,"Agrees",IF(S260&gt;0,"Dept higher - to invoice","Xero higher - check dept"))))</f>
        <v/>
      </c>
      <c r="U260" s="22" t="n"/>
      <c r="V260" s="22" t="n"/>
      <c r="W260" s="23" t="n"/>
      <c r="X260" s="23" t="n"/>
      <c r="Y260" s="22" t="n"/>
      <c r="Z260" s="22" t="n"/>
      <c r="AA260" s="26">
        <f>IF(COUNTA(C260,A260,B260,E260)=0,"",IF(C260="","No date - sits outside every month",IF(A260="","No job number",IF(H260="CHECK","Job number is not in the Xero job list",IF(G260="not set up yet","No department has set this job up - nothing can pull through",IF(D260="","No cost centre",IF(AND(U260="Y",B260=""),"Marked posted to Xero but has no invoice number",IF(N260="","Cost centre has no revenue GL on the Lists sheet",IF(T260="Xero higher - check dept","Invoiced more than the department says the job is worth","")))))))))</f>
        <v/>
      </c>
      <c r="AB260" s="28">
        <f>IF(A260="","",COUNTIFS(tbl_Finance[Job Number],A260&amp;"",tbl_Finance[Ex GST],"&lt;&gt;"))</f>
        <v/>
      </c>
      <c r="AC260" s="27">
        <f>IF(A260="","",SUMIFS(tbl_Finance[Ex GST],tbl_Finance[Job Number],A260&amp;""))</f>
        <v/>
      </c>
      <c r="AD260" s="27">
        <f>IF(A260="","",SUMIFS(tbl_Finance[Ex GST],tbl_Finance[Job Number],A260&amp;"",tbl_Finance[Xero Invoice No],"&lt;&gt;"))</f>
        <v/>
      </c>
      <c r="AE260" s="27">
        <f>IF(A260="","",AC260-AD260)</f>
        <v/>
      </c>
      <c r="AF260" s="26">
        <f>IF(A260="","",IFERROR(IF(INDEX(tbl_Onsite[Qwilr Quote],IFERROR(MATCH(A260&amp;"",tbl_Onsite[Job Number],0),MATCH(IFERROR(A260+0,A260),tbl_Onsite[Job Number],0)))="","",INDEX(tbl_Onsite[Qwilr Quote],IFERROR(MATCH(A260&amp;"",tbl_Onsite[Job Number],0),MATCH(IFERROR(A260+0,A260),tbl_Onsite[Job Number],0)))),IFERROR(IF(IF(INDEX(tbl_Production[Current RMS No],IFERROR(MATCH(A260&amp;"",tbl_Production[Job Number],0),MATCH(IFERROR(A260+0,A260),tbl_Production[Job Number],0)))="",INDEX(tbl_Production[Qwilr Quote],IFERROR(MATCH(A260&amp;"",tbl_Production[Job Number],0),MATCH(IFERROR(A260+0,A260),tbl_Production[Job Number],0))),INDEX(tbl_Production[Current RMS No],IFERROR(MATCH(A260&amp;"",tbl_Production[Job Number],0),MATCH(IFERROR(A260+0,A260),tbl_Production[Job Number],0))))="","",IF(INDEX(tbl_Production[Current RMS No],IFERROR(MATCH(A260&amp;"",tbl_Production[Job Number],0),MATCH(IFERROR(A260+0,A260),tbl_Production[Job Number],0)))="",INDEX(tbl_Production[Qwilr Quote],IFERROR(MATCH(A260&amp;"",tbl_Production[Job Number],0),MATCH(IFERROR(A260+0,A260),tbl_Production[Job Number],0))),INDEX(tbl_Production[Current RMS No],IFERROR(MATCH(A260&amp;"",tbl_Production[Job Number],0),MATCH(IFERROR(A260+0,A260),tbl_Production[Job Number],0))))),IFERROR(IF(INDEX(tbl_Consulting[Qwilr Quote],IFERROR(MATCH(A260&amp;"",tbl_Consulting[Job Number],0),MATCH(IFERROR(A260+0,A260),tbl_Consulting[Job Number],0)))="","",INDEX(tbl_Consulting[Qwilr Quote],IFERROR(MATCH(A260&amp;"",tbl_Consulting[Job Number],0),MATCH(IFERROR(A260+0,A260),tbl_Consulting[Job Number],0)))),""))))</f>
        <v/>
      </c>
      <c r="AG260" s="26">
        <f>IF(AF260="","",IF(AND(LEFT(AF260,4)&lt;&gt;"http",IF(G260="Production",set_RMSBase,set_QwilrBase)=""),"",HYPERLINK(IF(LEFT(AF260,4)="http",AF260,IF(G260="Production",set_RMSBase,set_QwilrBase)&amp;AF260),"Open")))</f>
        <v/>
      </c>
      <c r="AH260" s="27">
        <f>IF(A260="","",IFERROR(INDEX(tbl_Production[Total Expense],IFERROR(MATCH(A260&amp;"",tbl_Production[Job Number],0),MATCH(IFERROR(A260+0,A260),tbl_Production[Job Number],0))),IFERROR(INDEX(tbl_Consulting[Total Expense],IFERROR(MATCH(A260&amp;"",tbl_Consulting[Job Number],0),MATCH(IFERROR(A260+0,A260),tbl_Consulting[Job Number],0))),0)))</f>
        <v/>
      </c>
      <c r="AI260" s="27">
        <f>IF(A260="","",AC260-N(AH260))</f>
        <v/>
      </c>
      <c r="AJ260" s="29">
        <f>IFERROR(AI260/AC260,"")</f>
        <v/>
      </c>
      <c r="AK260" s="26">
        <f>IF(A260="","",IFERROR(IF(INDEX(tbl_Onsite[Notes],IFERROR(MATCH(A260&amp;"",tbl_Onsite[Job Number],0),MATCH(IFERROR(A260+0,A260),tbl_Onsite[Job Number],0)))="","",INDEX(tbl_Onsite[Notes],IFERROR(MATCH(A260&amp;"",tbl_Onsite[Job Number],0),MATCH(IFERROR(A260+0,A260),tbl_Onsite[Job Number],0)))),IFERROR(IF(INDEX(tbl_Production[Notes],IFERROR(MATCH(A260&amp;"",tbl_Production[Job Number],0),MATCH(IFERROR(A260+0,A260),tbl_Production[Job Number],0)))="","",INDEX(tbl_Production[Notes],IFERROR(MATCH(A260&amp;"",tbl_Production[Job Number],0),MATCH(IFERROR(A260+0,A260),tbl_Production[Job Number],0)))),IFERROR(IF(INDEX(tbl_Consulting[Notes],IFERROR(MATCH(A260&amp;"",tbl_Consulting[Job Number],0),MATCH(IFERROR(A260+0,A260),tbl_Consulting[Job Number],0)))="","",INDEX(tbl_Consulting[Notes],IFERROR(MATCH(A260&amp;"",tbl_Consulting[Job Number],0),MATCH(IFERROR(A260+0,A260),tbl_Consulting[Job Number],0)))),""))))</f>
        <v/>
      </c>
    </row>
    <row r="261" ht="15" customHeight="1">
      <c r="A261" s="22" t="n"/>
      <c r="B261" s="22" t="n"/>
      <c r="C261" s="23" t="n"/>
      <c r="D261" s="22" t="n"/>
      <c r="E261" s="24" t="n"/>
      <c r="F261" s="25">
        <f>IF(C261="","",EOMONTH(C261,0))</f>
        <v/>
      </c>
      <c r="G261" s="26">
        <f>IF(A261="","",IF(COUNTIF(tbl_Onsite[Job Number],A261&amp;"")&gt;0,"Onsite",IF(COUNTIF(tbl_Production[Job Number],A261&amp;"")&gt;0,"Production",IF(COUNTIF(tbl_Consulting[Job Number],A261&amp;"")&gt;0,"Consulting","not set up yet"))))</f>
        <v/>
      </c>
      <c r="H261" s="26">
        <f>IF(A261="","",IF(COUNTIF(lst_Jobs,A261&amp;"")&gt;0,"OK","CHECK"))</f>
        <v/>
      </c>
      <c r="I261" s="26">
        <f>IF(A261="","",IFERROR(INDEX(lst_JobName,MATCH(A261&amp;"",lst_Jobs,0)),""))</f>
        <v/>
      </c>
      <c r="J261" s="26">
        <f>IF(A261="","",IFERROR(IF(INDEX(tbl_Onsite[Client],IFERROR(MATCH(A261&amp;"",tbl_Onsite[Job Number],0),MATCH(IFERROR(A261+0,A261),tbl_Onsite[Job Number],0)))="","",INDEX(tbl_Onsite[Client],IFERROR(MATCH(A261&amp;"",tbl_Onsite[Job Number],0),MATCH(IFERROR(A261+0,A261),tbl_Onsite[Job Number],0)))),IFERROR(IF(INDEX(tbl_Production[Client],IFERROR(MATCH(A261&amp;"",tbl_Production[Job Number],0),MATCH(IFERROR(A261+0,A261),tbl_Production[Job Number],0)))="","",INDEX(tbl_Production[Client],IFERROR(MATCH(A261&amp;"",tbl_Production[Job Number],0),MATCH(IFERROR(A261+0,A261),tbl_Production[Job Number],0)))),IFERROR(IF(INDEX(tbl_Consulting[Client],IFERROR(MATCH(A261&amp;"",tbl_Consulting[Job Number],0),MATCH(IFERROR(A261+0,A261),tbl_Consulting[Job Number],0)))="","",INDEX(tbl_Consulting[Client],IFERROR(MATCH(A261&amp;"",tbl_Consulting[Job Number],0),MATCH(IFERROR(A261+0,A261),tbl_Consulting[Job Number],0)))),""))))</f>
        <v/>
      </c>
      <c r="K261" s="26">
        <f>IF(A261="","",IFERROR(IF(INDEX(tbl_Onsite[Job Description],IFERROR(MATCH(A261&amp;"",tbl_Onsite[Job Number],0),MATCH(IFERROR(A261+0,A261),tbl_Onsite[Job Number],0)))="","",INDEX(tbl_Onsite[Job Description],IFERROR(MATCH(A261&amp;"",tbl_Onsite[Job Number],0),MATCH(IFERROR(A261+0,A261),tbl_Onsite[Job Number],0)))),IFERROR(IF(INDEX(tbl_Production[Job Description],IFERROR(MATCH(A261&amp;"",tbl_Production[Job Number],0),MATCH(IFERROR(A261+0,A261),tbl_Production[Job Number],0)))="","",INDEX(tbl_Production[Job Description],IFERROR(MATCH(A261&amp;"",tbl_Production[Job Number],0),MATCH(IFERROR(A261+0,A261),tbl_Production[Job Number],0)))),IFERROR(IF(INDEX(tbl_Consulting[Job Description],IFERROR(MATCH(A261&amp;"",tbl_Consulting[Job Number],0),MATCH(IFERROR(A261+0,A261),tbl_Consulting[Job Number],0)))="","",INDEX(tbl_Consulting[Job Description],IFERROR(MATCH(A261&amp;"",tbl_Consulting[Job Number],0),MATCH(IFERROR(A261+0,A261),tbl_Consulting[Job Number],0)))),""))))</f>
        <v/>
      </c>
      <c r="L261" s="26">
        <f>IF(A261="","",IFERROR(IF(INDEX(tbl_Onsite[Invoice Type],IFERROR(MATCH(A261&amp;"",tbl_Onsite[Job Number],0),MATCH(IFERROR(A261+0,A261),tbl_Onsite[Job Number],0)))="","",INDEX(tbl_Onsite[Invoice Type],IFERROR(MATCH(A261&amp;"",tbl_Onsite[Job Number],0),MATCH(IFERROR(A261+0,A261),tbl_Onsite[Job Number],0)))),IFERROR(IF(INDEX(tbl_Production[Invoice Type],IFERROR(MATCH(A261&amp;"",tbl_Production[Job Number],0),MATCH(IFERROR(A261+0,A261),tbl_Production[Job Number],0)))="","",INDEX(tbl_Production[Invoice Type],IFERROR(MATCH(A261&amp;"",tbl_Production[Job Number],0),MATCH(IFERROR(A261+0,A261),tbl_Production[Job Number],0)))),IFERROR(IF(INDEX(tbl_Consulting[Invoice Type],IFERROR(MATCH(A261&amp;"",tbl_Consulting[Job Number],0),MATCH(IFERROR(A261+0,A261),tbl_Consulting[Job Number],0)))="","",INDEX(tbl_Consulting[Invoice Type],IFERROR(MATCH(A261&amp;"",tbl_Consulting[Job Number],0),MATCH(IFERROR(A261+0,A261),tbl_Consulting[Job Number],0)))),""))))</f>
        <v/>
      </c>
      <c r="M261" s="26">
        <f>IF(A261="","",IF(IFERROR(IF(INDEX(tbl_Onsite[Tax Code],IFERROR(MATCH(A261&amp;"",tbl_Onsite[Job Number],0),MATCH(IFERROR(A261+0,A261),tbl_Onsite[Job Number],0)))="","",INDEX(tbl_Onsite[Tax Code],IFERROR(MATCH(A261&amp;"",tbl_Onsite[Job Number],0),MATCH(IFERROR(A261+0,A261),tbl_Onsite[Job Number],0)))),IFERROR(IF(INDEX(tbl_Production[Tax Code],IFERROR(MATCH(A261&amp;"",tbl_Production[Job Number],0),MATCH(IFERROR(A261+0,A261),tbl_Production[Job Number],0)))="","",INDEX(tbl_Production[Tax Code],IFERROR(MATCH(A261&amp;"",tbl_Production[Job Number],0),MATCH(IFERROR(A261+0,A261),tbl_Production[Job Number],0)))),IFERROR(IF(INDEX(tbl_Consulting[Tax Code],IFERROR(MATCH(A261&amp;"",tbl_Consulting[Job Number],0),MATCH(IFERROR(A261+0,A261),tbl_Consulting[Job Number],0)))="","",INDEX(tbl_Consulting[Tax Code],IFERROR(MATCH(A261&amp;"",tbl_Consulting[Job Number],0),MATCH(IFERROR(A261+0,A261),tbl_Consulting[Job Number],0)))),"")))="","GST 10%",IFERROR(IF(INDEX(tbl_Onsite[Tax Code],IFERROR(MATCH(A261&amp;"",tbl_Onsite[Job Number],0),MATCH(IFERROR(A261+0,A261),tbl_Onsite[Job Number],0)))="","",INDEX(tbl_Onsite[Tax Code],IFERROR(MATCH(A261&amp;"",tbl_Onsite[Job Number],0),MATCH(IFERROR(A261+0,A261),tbl_Onsite[Job Number],0)))),IFERROR(IF(INDEX(tbl_Production[Tax Code],IFERROR(MATCH(A261&amp;"",tbl_Production[Job Number],0),MATCH(IFERROR(A261+0,A261),tbl_Production[Job Number],0)))="","",INDEX(tbl_Production[Tax Code],IFERROR(MATCH(A261&amp;"",tbl_Production[Job Number],0),MATCH(IFERROR(A261+0,A261),tbl_Production[Job Number],0)))),IFERROR(IF(INDEX(tbl_Consulting[Tax Code],IFERROR(MATCH(A261&amp;"",tbl_Consulting[Job Number],0),MATCH(IFERROR(A261+0,A261),tbl_Consulting[Job Number],0)))="","",INDEX(tbl_Consulting[Tax Code],IFERROR(MATCH(A261&amp;"",tbl_Consulting[Job Number],0),MATCH(IFERROR(A261+0,A261),tbl_Consulting[Job Number],0)))),"")))))</f>
        <v/>
      </c>
      <c r="N261" s="26">
        <f>IF(D261="","",IFERROR(INDEX(lst_CCtoGL,MATCH(D261,lst_CCforGL,0)),""))</f>
        <v/>
      </c>
      <c r="O261" s="27">
        <f>IF(E261="","",IF(M261="GST 10%",ROUND(E261*set_GSTRate,2),0))</f>
        <v/>
      </c>
      <c r="P261" s="27">
        <f>IF(E261="","",E261+O261)</f>
        <v/>
      </c>
      <c r="Q261" s="27">
        <f>IF(A261="","",IFERROR(INDEX(tbl_Onsite[Expected Revenue Ex GST],IFERROR(MATCH(A261&amp;"",tbl_Onsite[Job Number],0),MATCH(IFERROR(A261+0,A261),tbl_Onsite[Job Number],0))),IFERROR(INDEX(tbl_Production[Expected Revenue Ex GST],IFERROR(MATCH(A261&amp;"",tbl_Production[Job Number],0),MATCH(IFERROR(A261+0,A261),tbl_Production[Job Number],0))),IFERROR(INDEX(tbl_Consulting[Expected Revenue Ex GST],IFERROR(MATCH(A261&amp;"",tbl_Consulting[Job Number],0),MATCH(IFERROR(A261+0,A261),tbl_Consulting[Job Number],0))),0))))</f>
        <v/>
      </c>
      <c r="R261" s="27">
        <f>IF(A261="","",SUMIFS(tbl_Finance[Ex GST],tbl_Finance[Job Number],A261&amp;""))</f>
        <v/>
      </c>
      <c r="S261" s="27">
        <f>IF(A261="","",Q261-R261)</f>
        <v/>
      </c>
      <c r="T261" s="26">
        <f>IF(A261="","",IF(Q261=0,"No dept value",IF(ROUND(S261,2)=0,"Agrees",IF(S261&gt;0,"Dept higher - to invoice","Xero higher - check dept"))))</f>
        <v/>
      </c>
      <c r="U261" s="22" t="n"/>
      <c r="V261" s="22" t="n"/>
      <c r="W261" s="23" t="n"/>
      <c r="X261" s="23" t="n"/>
      <c r="Y261" s="22" t="n"/>
      <c r="Z261" s="22" t="n"/>
      <c r="AA261" s="26">
        <f>IF(COUNTA(C261,A261,B261,E261)=0,"",IF(C261="","No date - sits outside every month",IF(A261="","No job number",IF(H261="CHECK","Job number is not in the Xero job list",IF(G261="not set up yet","No department has set this job up - nothing can pull through",IF(D261="","No cost centre",IF(AND(U261="Y",B261=""),"Marked posted to Xero but has no invoice number",IF(N261="","Cost centre has no revenue GL on the Lists sheet",IF(T261="Xero higher - check dept","Invoiced more than the department says the job is worth","")))))))))</f>
        <v/>
      </c>
      <c r="AB261" s="28">
        <f>IF(A261="","",COUNTIFS(tbl_Finance[Job Number],A261&amp;"",tbl_Finance[Ex GST],"&lt;&gt;"))</f>
        <v/>
      </c>
      <c r="AC261" s="27">
        <f>IF(A261="","",SUMIFS(tbl_Finance[Ex GST],tbl_Finance[Job Number],A261&amp;""))</f>
        <v/>
      </c>
      <c r="AD261" s="27">
        <f>IF(A261="","",SUMIFS(tbl_Finance[Ex GST],tbl_Finance[Job Number],A261&amp;"",tbl_Finance[Xero Invoice No],"&lt;&gt;"))</f>
        <v/>
      </c>
      <c r="AE261" s="27">
        <f>IF(A261="","",AC261-AD261)</f>
        <v/>
      </c>
      <c r="AF261" s="26">
        <f>IF(A261="","",IFERROR(IF(INDEX(tbl_Onsite[Qwilr Quote],IFERROR(MATCH(A261&amp;"",tbl_Onsite[Job Number],0),MATCH(IFERROR(A261+0,A261),tbl_Onsite[Job Number],0)))="","",INDEX(tbl_Onsite[Qwilr Quote],IFERROR(MATCH(A261&amp;"",tbl_Onsite[Job Number],0),MATCH(IFERROR(A261+0,A261),tbl_Onsite[Job Number],0)))),IFERROR(IF(IF(INDEX(tbl_Production[Current RMS No],IFERROR(MATCH(A261&amp;"",tbl_Production[Job Number],0),MATCH(IFERROR(A261+0,A261),tbl_Production[Job Number],0)))="",INDEX(tbl_Production[Qwilr Quote],IFERROR(MATCH(A261&amp;"",tbl_Production[Job Number],0),MATCH(IFERROR(A261+0,A261),tbl_Production[Job Number],0))),INDEX(tbl_Production[Current RMS No],IFERROR(MATCH(A261&amp;"",tbl_Production[Job Number],0),MATCH(IFERROR(A261+0,A261),tbl_Production[Job Number],0))))="","",IF(INDEX(tbl_Production[Current RMS No],IFERROR(MATCH(A261&amp;"",tbl_Production[Job Number],0),MATCH(IFERROR(A261+0,A261),tbl_Production[Job Number],0)))="",INDEX(tbl_Production[Qwilr Quote],IFERROR(MATCH(A261&amp;"",tbl_Production[Job Number],0),MATCH(IFERROR(A261+0,A261),tbl_Production[Job Number],0))),INDEX(tbl_Production[Current RMS No],IFERROR(MATCH(A261&amp;"",tbl_Production[Job Number],0),MATCH(IFERROR(A261+0,A261),tbl_Production[Job Number],0))))),IFERROR(IF(INDEX(tbl_Consulting[Qwilr Quote],IFERROR(MATCH(A261&amp;"",tbl_Consulting[Job Number],0),MATCH(IFERROR(A261+0,A261),tbl_Consulting[Job Number],0)))="","",INDEX(tbl_Consulting[Qwilr Quote],IFERROR(MATCH(A261&amp;"",tbl_Consulting[Job Number],0),MATCH(IFERROR(A261+0,A261),tbl_Consulting[Job Number],0)))),""))))</f>
        <v/>
      </c>
      <c r="AG261" s="26">
        <f>IF(AF261="","",IF(AND(LEFT(AF261,4)&lt;&gt;"http",IF(G261="Production",set_RMSBase,set_QwilrBase)=""),"",HYPERLINK(IF(LEFT(AF261,4)="http",AF261,IF(G261="Production",set_RMSBase,set_QwilrBase)&amp;AF261),"Open")))</f>
        <v/>
      </c>
      <c r="AH261" s="27">
        <f>IF(A261="","",IFERROR(INDEX(tbl_Production[Total Expense],IFERROR(MATCH(A261&amp;"",tbl_Production[Job Number],0),MATCH(IFERROR(A261+0,A261),tbl_Production[Job Number],0))),IFERROR(INDEX(tbl_Consulting[Total Expense],IFERROR(MATCH(A261&amp;"",tbl_Consulting[Job Number],0),MATCH(IFERROR(A261+0,A261),tbl_Consulting[Job Number],0))),0)))</f>
        <v/>
      </c>
      <c r="AI261" s="27">
        <f>IF(A261="","",AC261-N(AH261))</f>
        <v/>
      </c>
      <c r="AJ261" s="29">
        <f>IFERROR(AI261/AC261,"")</f>
        <v/>
      </c>
      <c r="AK261" s="26">
        <f>IF(A261="","",IFERROR(IF(INDEX(tbl_Onsite[Notes],IFERROR(MATCH(A261&amp;"",tbl_Onsite[Job Number],0),MATCH(IFERROR(A261+0,A261),tbl_Onsite[Job Number],0)))="","",INDEX(tbl_Onsite[Notes],IFERROR(MATCH(A261&amp;"",tbl_Onsite[Job Number],0),MATCH(IFERROR(A261+0,A261),tbl_Onsite[Job Number],0)))),IFERROR(IF(INDEX(tbl_Production[Notes],IFERROR(MATCH(A261&amp;"",tbl_Production[Job Number],0),MATCH(IFERROR(A261+0,A261),tbl_Production[Job Number],0)))="","",INDEX(tbl_Production[Notes],IFERROR(MATCH(A261&amp;"",tbl_Production[Job Number],0),MATCH(IFERROR(A261+0,A261),tbl_Production[Job Number],0)))),IFERROR(IF(INDEX(tbl_Consulting[Notes],IFERROR(MATCH(A261&amp;"",tbl_Consulting[Job Number],0),MATCH(IFERROR(A261+0,A261),tbl_Consulting[Job Number],0)))="","",INDEX(tbl_Consulting[Notes],IFERROR(MATCH(A261&amp;"",tbl_Consulting[Job Number],0),MATCH(IFERROR(A261+0,A261),tbl_Consulting[Job Number],0)))),""))))</f>
        <v/>
      </c>
    </row>
    <row r="262" ht="15" customHeight="1">
      <c r="A262" s="22" t="n"/>
      <c r="B262" s="22" t="n"/>
      <c r="C262" s="23" t="n"/>
      <c r="D262" s="22" t="n"/>
      <c r="E262" s="24" t="n"/>
      <c r="F262" s="25">
        <f>IF(C262="","",EOMONTH(C262,0))</f>
        <v/>
      </c>
      <c r="G262" s="26">
        <f>IF(A262="","",IF(COUNTIF(tbl_Onsite[Job Number],A262&amp;"")&gt;0,"Onsite",IF(COUNTIF(tbl_Production[Job Number],A262&amp;"")&gt;0,"Production",IF(COUNTIF(tbl_Consulting[Job Number],A262&amp;"")&gt;0,"Consulting","not set up yet"))))</f>
        <v/>
      </c>
      <c r="H262" s="26">
        <f>IF(A262="","",IF(COUNTIF(lst_Jobs,A262&amp;"")&gt;0,"OK","CHECK"))</f>
        <v/>
      </c>
      <c r="I262" s="26">
        <f>IF(A262="","",IFERROR(INDEX(lst_JobName,MATCH(A262&amp;"",lst_Jobs,0)),""))</f>
        <v/>
      </c>
      <c r="J262" s="26">
        <f>IF(A262="","",IFERROR(IF(INDEX(tbl_Onsite[Client],IFERROR(MATCH(A262&amp;"",tbl_Onsite[Job Number],0),MATCH(IFERROR(A262+0,A262),tbl_Onsite[Job Number],0)))="","",INDEX(tbl_Onsite[Client],IFERROR(MATCH(A262&amp;"",tbl_Onsite[Job Number],0),MATCH(IFERROR(A262+0,A262),tbl_Onsite[Job Number],0)))),IFERROR(IF(INDEX(tbl_Production[Client],IFERROR(MATCH(A262&amp;"",tbl_Production[Job Number],0),MATCH(IFERROR(A262+0,A262),tbl_Production[Job Number],0)))="","",INDEX(tbl_Production[Client],IFERROR(MATCH(A262&amp;"",tbl_Production[Job Number],0),MATCH(IFERROR(A262+0,A262),tbl_Production[Job Number],0)))),IFERROR(IF(INDEX(tbl_Consulting[Client],IFERROR(MATCH(A262&amp;"",tbl_Consulting[Job Number],0),MATCH(IFERROR(A262+0,A262),tbl_Consulting[Job Number],0)))="","",INDEX(tbl_Consulting[Client],IFERROR(MATCH(A262&amp;"",tbl_Consulting[Job Number],0),MATCH(IFERROR(A262+0,A262),tbl_Consulting[Job Number],0)))),""))))</f>
        <v/>
      </c>
      <c r="K262" s="26">
        <f>IF(A262="","",IFERROR(IF(INDEX(tbl_Onsite[Job Description],IFERROR(MATCH(A262&amp;"",tbl_Onsite[Job Number],0),MATCH(IFERROR(A262+0,A262),tbl_Onsite[Job Number],0)))="","",INDEX(tbl_Onsite[Job Description],IFERROR(MATCH(A262&amp;"",tbl_Onsite[Job Number],0),MATCH(IFERROR(A262+0,A262),tbl_Onsite[Job Number],0)))),IFERROR(IF(INDEX(tbl_Production[Job Description],IFERROR(MATCH(A262&amp;"",tbl_Production[Job Number],0),MATCH(IFERROR(A262+0,A262),tbl_Production[Job Number],0)))="","",INDEX(tbl_Production[Job Description],IFERROR(MATCH(A262&amp;"",tbl_Production[Job Number],0),MATCH(IFERROR(A262+0,A262),tbl_Production[Job Number],0)))),IFERROR(IF(INDEX(tbl_Consulting[Job Description],IFERROR(MATCH(A262&amp;"",tbl_Consulting[Job Number],0),MATCH(IFERROR(A262+0,A262),tbl_Consulting[Job Number],0)))="","",INDEX(tbl_Consulting[Job Description],IFERROR(MATCH(A262&amp;"",tbl_Consulting[Job Number],0),MATCH(IFERROR(A262+0,A262),tbl_Consulting[Job Number],0)))),""))))</f>
        <v/>
      </c>
      <c r="L262" s="26">
        <f>IF(A262="","",IFERROR(IF(INDEX(tbl_Onsite[Invoice Type],IFERROR(MATCH(A262&amp;"",tbl_Onsite[Job Number],0),MATCH(IFERROR(A262+0,A262),tbl_Onsite[Job Number],0)))="","",INDEX(tbl_Onsite[Invoice Type],IFERROR(MATCH(A262&amp;"",tbl_Onsite[Job Number],0),MATCH(IFERROR(A262+0,A262),tbl_Onsite[Job Number],0)))),IFERROR(IF(INDEX(tbl_Production[Invoice Type],IFERROR(MATCH(A262&amp;"",tbl_Production[Job Number],0),MATCH(IFERROR(A262+0,A262),tbl_Production[Job Number],0)))="","",INDEX(tbl_Production[Invoice Type],IFERROR(MATCH(A262&amp;"",tbl_Production[Job Number],0),MATCH(IFERROR(A262+0,A262),tbl_Production[Job Number],0)))),IFERROR(IF(INDEX(tbl_Consulting[Invoice Type],IFERROR(MATCH(A262&amp;"",tbl_Consulting[Job Number],0),MATCH(IFERROR(A262+0,A262),tbl_Consulting[Job Number],0)))="","",INDEX(tbl_Consulting[Invoice Type],IFERROR(MATCH(A262&amp;"",tbl_Consulting[Job Number],0),MATCH(IFERROR(A262+0,A262),tbl_Consulting[Job Number],0)))),""))))</f>
        <v/>
      </c>
      <c r="M262" s="26">
        <f>IF(A262="","",IF(IFERROR(IF(INDEX(tbl_Onsite[Tax Code],IFERROR(MATCH(A262&amp;"",tbl_Onsite[Job Number],0),MATCH(IFERROR(A262+0,A262),tbl_Onsite[Job Number],0)))="","",INDEX(tbl_Onsite[Tax Code],IFERROR(MATCH(A262&amp;"",tbl_Onsite[Job Number],0),MATCH(IFERROR(A262+0,A262),tbl_Onsite[Job Number],0)))),IFERROR(IF(INDEX(tbl_Production[Tax Code],IFERROR(MATCH(A262&amp;"",tbl_Production[Job Number],0),MATCH(IFERROR(A262+0,A262),tbl_Production[Job Number],0)))="","",INDEX(tbl_Production[Tax Code],IFERROR(MATCH(A262&amp;"",tbl_Production[Job Number],0),MATCH(IFERROR(A262+0,A262),tbl_Production[Job Number],0)))),IFERROR(IF(INDEX(tbl_Consulting[Tax Code],IFERROR(MATCH(A262&amp;"",tbl_Consulting[Job Number],0),MATCH(IFERROR(A262+0,A262),tbl_Consulting[Job Number],0)))="","",INDEX(tbl_Consulting[Tax Code],IFERROR(MATCH(A262&amp;"",tbl_Consulting[Job Number],0),MATCH(IFERROR(A262+0,A262),tbl_Consulting[Job Number],0)))),"")))="","GST 10%",IFERROR(IF(INDEX(tbl_Onsite[Tax Code],IFERROR(MATCH(A262&amp;"",tbl_Onsite[Job Number],0),MATCH(IFERROR(A262+0,A262),tbl_Onsite[Job Number],0)))="","",INDEX(tbl_Onsite[Tax Code],IFERROR(MATCH(A262&amp;"",tbl_Onsite[Job Number],0),MATCH(IFERROR(A262+0,A262),tbl_Onsite[Job Number],0)))),IFERROR(IF(INDEX(tbl_Production[Tax Code],IFERROR(MATCH(A262&amp;"",tbl_Production[Job Number],0),MATCH(IFERROR(A262+0,A262),tbl_Production[Job Number],0)))="","",INDEX(tbl_Production[Tax Code],IFERROR(MATCH(A262&amp;"",tbl_Production[Job Number],0),MATCH(IFERROR(A262+0,A262),tbl_Production[Job Number],0)))),IFERROR(IF(INDEX(tbl_Consulting[Tax Code],IFERROR(MATCH(A262&amp;"",tbl_Consulting[Job Number],0),MATCH(IFERROR(A262+0,A262),tbl_Consulting[Job Number],0)))="","",INDEX(tbl_Consulting[Tax Code],IFERROR(MATCH(A262&amp;"",tbl_Consulting[Job Number],0),MATCH(IFERROR(A262+0,A262),tbl_Consulting[Job Number],0)))),"")))))</f>
        <v/>
      </c>
      <c r="N262" s="26">
        <f>IF(D262="","",IFERROR(INDEX(lst_CCtoGL,MATCH(D262,lst_CCforGL,0)),""))</f>
        <v/>
      </c>
      <c r="O262" s="27">
        <f>IF(E262="","",IF(M262="GST 10%",ROUND(E262*set_GSTRate,2),0))</f>
        <v/>
      </c>
      <c r="P262" s="27">
        <f>IF(E262="","",E262+O262)</f>
        <v/>
      </c>
      <c r="Q262" s="27">
        <f>IF(A262="","",IFERROR(INDEX(tbl_Onsite[Expected Revenue Ex GST],IFERROR(MATCH(A262&amp;"",tbl_Onsite[Job Number],0),MATCH(IFERROR(A262+0,A262),tbl_Onsite[Job Number],0))),IFERROR(INDEX(tbl_Production[Expected Revenue Ex GST],IFERROR(MATCH(A262&amp;"",tbl_Production[Job Number],0),MATCH(IFERROR(A262+0,A262),tbl_Production[Job Number],0))),IFERROR(INDEX(tbl_Consulting[Expected Revenue Ex GST],IFERROR(MATCH(A262&amp;"",tbl_Consulting[Job Number],0),MATCH(IFERROR(A262+0,A262),tbl_Consulting[Job Number],0))),0))))</f>
        <v/>
      </c>
      <c r="R262" s="27">
        <f>IF(A262="","",SUMIFS(tbl_Finance[Ex GST],tbl_Finance[Job Number],A262&amp;""))</f>
        <v/>
      </c>
      <c r="S262" s="27">
        <f>IF(A262="","",Q262-R262)</f>
        <v/>
      </c>
      <c r="T262" s="26">
        <f>IF(A262="","",IF(Q262=0,"No dept value",IF(ROUND(S262,2)=0,"Agrees",IF(S262&gt;0,"Dept higher - to invoice","Xero higher - check dept"))))</f>
        <v/>
      </c>
      <c r="U262" s="22" t="n"/>
      <c r="V262" s="22" t="n"/>
      <c r="W262" s="23" t="n"/>
      <c r="X262" s="23" t="n"/>
      <c r="Y262" s="22" t="n"/>
      <c r="Z262" s="22" t="n"/>
      <c r="AA262" s="26">
        <f>IF(COUNTA(C262,A262,B262,E262)=0,"",IF(C262="","No date - sits outside every month",IF(A262="","No job number",IF(H262="CHECK","Job number is not in the Xero job list",IF(G262="not set up yet","No department has set this job up - nothing can pull through",IF(D262="","No cost centre",IF(AND(U262="Y",B262=""),"Marked posted to Xero but has no invoice number",IF(N262="","Cost centre has no revenue GL on the Lists sheet",IF(T262="Xero higher - check dept","Invoiced more than the department says the job is worth","")))))))))</f>
        <v/>
      </c>
      <c r="AB262" s="28">
        <f>IF(A262="","",COUNTIFS(tbl_Finance[Job Number],A262&amp;"",tbl_Finance[Ex GST],"&lt;&gt;"))</f>
        <v/>
      </c>
      <c r="AC262" s="27">
        <f>IF(A262="","",SUMIFS(tbl_Finance[Ex GST],tbl_Finance[Job Number],A262&amp;""))</f>
        <v/>
      </c>
      <c r="AD262" s="27">
        <f>IF(A262="","",SUMIFS(tbl_Finance[Ex GST],tbl_Finance[Job Number],A262&amp;"",tbl_Finance[Xero Invoice No],"&lt;&gt;"))</f>
        <v/>
      </c>
      <c r="AE262" s="27">
        <f>IF(A262="","",AC262-AD262)</f>
        <v/>
      </c>
      <c r="AF262" s="26">
        <f>IF(A262="","",IFERROR(IF(INDEX(tbl_Onsite[Qwilr Quote],IFERROR(MATCH(A262&amp;"",tbl_Onsite[Job Number],0),MATCH(IFERROR(A262+0,A262),tbl_Onsite[Job Number],0)))="","",INDEX(tbl_Onsite[Qwilr Quote],IFERROR(MATCH(A262&amp;"",tbl_Onsite[Job Number],0),MATCH(IFERROR(A262+0,A262),tbl_Onsite[Job Number],0)))),IFERROR(IF(IF(INDEX(tbl_Production[Current RMS No],IFERROR(MATCH(A262&amp;"",tbl_Production[Job Number],0),MATCH(IFERROR(A262+0,A262),tbl_Production[Job Number],0)))="",INDEX(tbl_Production[Qwilr Quote],IFERROR(MATCH(A262&amp;"",tbl_Production[Job Number],0),MATCH(IFERROR(A262+0,A262),tbl_Production[Job Number],0))),INDEX(tbl_Production[Current RMS No],IFERROR(MATCH(A262&amp;"",tbl_Production[Job Number],0),MATCH(IFERROR(A262+0,A262),tbl_Production[Job Number],0))))="","",IF(INDEX(tbl_Production[Current RMS No],IFERROR(MATCH(A262&amp;"",tbl_Production[Job Number],0),MATCH(IFERROR(A262+0,A262),tbl_Production[Job Number],0)))="",INDEX(tbl_Production[Qwilr Quote],IFERROR(MATCH(A262&amp;"",tbl_Production[Job Number],0),MATCH(IFERROR(A262+0,A262),tbl_Production[Job Number],0))),INDEX(tbl_Production[Current RMS No],IFERROR(MATCH(A262&amp;"",tbl_Production[Job Number],0),MATCH(IFERROR(A262+0,A262),tbl_Production[Job Number],0))))),IFERROR(IF(INDEX(tbl_Consulting[Qwilr Quote],IFERROR(MATCH(A262&amp;"",tbl_Consulting[Job Number],0),MATCH(IFERROR(A262+0,A262),tbl_Consulting[Job Number],0)))="","",INDEX(tbl_Consulting[Qwilr Quote],IFERROR(MATCH(A262&amp;"",tbl_Consulting[Job Number],0),MATCH(IFERROR(A262+0,A262),tbl_Consulting[Job Number],0)))),""))))</f>
        <v/>
      </c>
      <c r="AG262" s="26">
        <f>IF(AF262="","",IF(AND(LEFT(AF262,4)&lt;&gt;"http",IF(G262="Production",set_RMSBase,set_QwilrBase)=""),"",HYPERLINK(IF(LEFT(AF262,4)="http",AF262,IF(G262="Production",set_RMSBase,set_QwilrBase)&amp;AF262),"Open")))</f>
        <v/>
      </c>
      <c r="AH262" s="27">
        <f>IF(A262="","",IFERROR(INDEX(tbl_Production[Total Expense],IFERROR(MATCH(A262&amp;"",tbl_Production[Job Number],0),MATCH(IFERROR(A262+0,A262),tbl_Production[Job Number],0))),IFERROR(INDEX(tbl_Consulting[Total Expense],IFERROR(MATCH(A262&amp;"",tbl_Consulting[Job Number],0),MATCH(IFERROR(A262+0,A262),tbl_Consulting[Job Number],0))),0)))</f>
        <v/>
      </c>
      <c r="AI262" s="27">
        <f>IF(A262="","",AC262-N(AH262))</f>
        <v/>
      </c>
      <c r="AJ262" s="29">
        <f>IFERROR(AI262/AC262,"")</f>
        <v/>
      </c>
      <c r="AK262" s="26">
        <f>IF(A262="","",IFERROR(IF(INDEX(tbl_Onsite[Notes],IFERROR(MATCH(A262&amp;"",tbl_Onsite[Job Number],0),MATCH(IFERROR(A262+0,A262),tbl_Onsite[Job Number],0)))="","",INDEX(tbl_Onsite[Notes],IFERROR(MATCH(A262&amp;"",tbl_Onsite[Job Number],0),MATCH(IFERROR(A262+0,A262),tbl_Onsite[Job Number],0)))),IFERROR(IF(INDEX(tbl_Production[Notes],IFERROR(MATCH(A262&amp;"",tbl_Production[Job Number],0),MATCH(IFERROR(A262+0,A262),tbl_Production[Job Number],0)))="","",INDEX(tbl_Production[Notes],IFERROR(MATCH(A262&amp;"",tbl_Production[Job Number],0),MATCH(IFERROR(A262+0,A262),tbl_Production[Job Number],0)))),IFERROR(IF(INDEX(tbl_Consulting[Notes],IFERROR(MATCH(A262&amp;"",tbl_Consulting[Job Number],0),MATCH(IFERROR(A262+0,A262),tbl_Consulting[Job Number],0)))="","",INDEX(tbl_Consulting[Notes],IFERROR(MATCH(A262&amp;"",tbl_Consulting[Job Number],0),MATCH(IFERROR(A262+0,A262),tbl_Consulting[Job Number],0)))),""))))</f>
        <v/>
      </c>
    </row>
    <row r="263" ht="15" customHeight="1">
      <c r="A263" s="22" t="n"/>
      <c r="B263" s="22" t="n"/>
      <c r="C263" s="23" t="n"/>
      <c r="D263" s="22" t="n"/>
      <c r="E263" s="24" t="n"/>
      <c r="F263" s="25">
        <f>IF(C263="","",EOMONTH(C263,0))</f>
        <v/>
      </c>
      <c r="G263" s="26">
        <f>IF(A263="","",IF(COUNTIF(tbl_Onsite[Job Number],A263&amp;"")&gt;0,"Onsite",IF(COUNTIF(tbl_Production[Job Number],A263&amp;"")&gt;0,"Production",IF(COUNTIF(tbl_Consulting[Job Number],A263&amp;"")&gt;0,"Consulting","not set up yet"))))</f>
        <v/>
      </c>
      <c r="H263" s="26">
        <f>IF(A263="","",IF(COUNTIF(lst_Jobs,A263&amp;"")&gt;0,"OK","CHECK"))</f>
        <v/>
      </c>
      <c r="I263" s="26">
        <f>IF(A263="","",IFERROR(INDEX(lst_JobName,MATCH(A263&amp;"",lst_Jobs,0)),""))</f>
        <v/>
      </c>
      <c r="J263" s="26">
        <f>IF(A263="","",IFERROR(IF(INDEX(tbl_Onsite[Client],IFERROR(MATCH(A263&amp;"",tbl_Onsite[Job Number],0),MATCH(IFERROR(A263+0,A263),tbl_Onsite[Job Number],0)))="","",INDEX(tbl_Onsite[Client],IFERROR(MATCH(A263&amp;"",tbl_Onsite[Job Number],0),MATCH(IFERROR(A263+0,A263),tbl_Onsite[Job Number],0)))),IFERROR(IF(INDEX(tbl_Production[Client],IFERROR(MATCH(A263&amp;"",tbl_Production[Job Number],0),MATCH(IFERROR(A263+0,A263),tbl_Production[Job Number],0)))="","",INDEX(tbl_Production[Client],IFERROR(MATCH(A263&amp;"",tbl_Production[Job Number],0),MATCH(IFERROR(A263+0,A263),tbl_Production[Job Number],0)))),IFERROR(IF(INDEX(tbl_Consulting[Client],IFERROR(MATCH(A263&amp;"",tbl_Consulting[Job Number],0),MATCH(IFERROR(A263+0,A263),tbl_Consulting[Job Number],0)))="","",INDEX(tbl_Consulting[Client],IFERROR(MATCH(A263&amp;"",tbl_Consulting[Job Number],0),MATCH(IFERROR(A263+0,A263),tbl_Consulting[Job Number],0)))),""))))</f>
        <v/>
      </c>
      <c r="K263" s="26">
        <f>IF(A263="","",IFERROR(IF(INDEX(tbl_Onsite[Job Description],IFERROR(MATCH(A263&amp;"",tbl_Onsite[Job Number],0),MATCH(IFERROR(A263+0,A263),tbl_Onsite[Job Number],0)))="","",INDEX(tbl_Onsite[Job Description],IFERROR(MATCH(A263&amp;"",tbl_Onsite[Job Number],0),MATCH(IFERROR(A263+0,A263),tbl_Onsite[Job Number],0)))),IFERROR(IF(INDEX(tbl_Production[Job Description],IFERROR(MATCH(A263&amp;"",tbl_Production[Job Number],0),MATCH(IFERROR(A263+0,A263),tbl_Production[Job Number],0)))="","",INDEX(tbl_Production[Job Description],IFERROR(MATCH(A263&amp;"",tbl_Production[Job Number],0),MATCH(IFERROR(A263+0,A263),tbl_Production[Job Number],0)))),IFERROR(IF(INDEX(tbl_Consulting[Job Description],IFERROR(MATCH(A263&amp;"",tbl_Consulting[Job Number],0),MATCH(IFERROR(A263+0,A263),tbl_Consulting[Job Number],0)))="","",INDEX(tbl_Consulting[Job Description],IFERROR(MATCH(A263&amp;"",tbl_Consulting[Job Number],0),MATCH(IFERROR(A263+0,A263),tbl_Consulting[Job Number],0)))),""))))</f>
        <v/>
      </c>
      <c r="L263" s="26">
        <f>IF(A263="","",IFERROR(IF(INDEX(tbl_Onsite[Invoice Type],IFERROR(MATCH(A263&amp;"",tbl_Onsite[Job Number],0),MATCH(IFERROR(A263+0,A263),tbl_Onsite[Job Number],0)))="","",INDEX(tbl_Onsite[Invoice Type],IFERROR(MATCH(A263&amp;"",tbl_Onsite[Job Number],0),MATCH(IFERROR(A263+0,A263),tbl_Onsite[Job Number],0)))),IFERROR(IF(INDEX(tbl_Production[Invoice Type],IFERROR(MATCH(A263&amp;"",tbl_Production[Job Number],0),MATCH(IFERROR(A263+0,A263),tbl_Production[Job Number],0)))="","",INDEX(tbl_Production[Invoice Type],IFERROR(MATCH(A263&amp;"",tbl_Production[Job Number],0),MATCH(IFERROR(A263+0,A263),tbl_Production[Job Number],0)))),IFERROR(IF(INDEX(tbl_Consulting[Invoice Type],IFERROR(MATCH(A263&amp;"",tbl_Consulting[Job Number],0),MATCH(IFERROR(A263+0,A263),tbl_Consulting[Job Number],0)))="","",INDEX(tbl_Consulting[Invoice Type],IFERROR(MATCH(A263&amp;"",tbl_Consulting[Job Number],0),MATCH(IFERROR(A263+0,A263),tbl_Consulting[Job Number],0)))),""))))</f>
        <v/>
      </c>
      <c r="M263" s="26">
        <f>IF(A263="","",IF(IFERROR(IF(INDEX(tbl_Onsite[Tax Code],IFERROR(MATCH(A263&amp;"",tbl_Onsite[Job Number],0),MATCH(IFERROR(A263+0,A263),tbl_Onsite[Job Number],0)))="","",INDEX(tbl_Onsite[Tax Code],IFERROR(MATCH(A263&amp;"",tbl_Onsite[Job Number],0),MATCH(IFERROR(A263+0,A263),tbl_Onsite[Job Number],0)))),IFERROR(IF(INDEX(tbl_Production[Tax Code],IFERROR(MATCH(A263&amp;"",tbl_Production[Job Number],0),MATCH(IFERROR(A263+0,A263),tbl_Production[Job Number],0)))="","",INDEX(tbl_Production[Tax Code],IFERROR(MATCH(A263&amp;"",tbl_Production[Job Number],0),MATCH(IFERROR(A263+0,A263),tbl_Production[Job Number],0)))),IFERROR(IF(INDEX(tbl_Consulting[Tax Code],IFERROR(MATCH(A263&amp;"",tbl_Consulting[Job Number],0),MATCH(IFERROR(A263+0,A263),tbl_Consulting[Job Number],0)))="","",INDEX(tbl_Consulting[Tax Code],IFERROR(MATCH(A263&amp;"",tbl_Consulting[Job Number],0),MATCH(IFERROR(A263+0,A263),tbl_Consulting[Job Number],0)))),"")))="","GST 10%",IFERROR(IF(INDEX(tbl_Onsite[Tax Code],IFERROR(MATCH(A263&amp;"",tbl_Onsite[Job Number],0),MATCH(IFERROR(A263+0,A263),tbl_Onsite[Job Number],0)))="","",INDEX(tbl_Onsite[Tax Code],IFERROR(MATCH(A263&amp;"",tbl_Onsite[Job Number],0),MATCH(IFERROR(A263+0,A263),tbl_Onsite[Job Number],0)))),IFERROR(IF(INDEX(tbl_Production[Tax Code],IFERROR(MATCH(A263&amp;"",tbl_Production[Job Number],0),MATCH(IFERROR(A263+0,A263),tbl_Production[Job Number],0)))="","",INDEX(tbl_Production[Tax Code],IFERROR(MATCH(A263&amp;"",tbl_Production[Job Number],0),MATCH(IFERROR(A263+0,A263),tbl_Production[Job Number],0)))),IFERROR(IF(INDEX(tbl_Consulting[Tax Code],IFERROR(MATCH(A263&amp;"",tbl_Consulting[Job Number],0),MATCH(IFERROR(A263+0,A263),tbl_Consulting[Job Number],0)))="","",INDEX(tbl_Consulting[Tax Code],IFERROR(MATCH(A263&amp;"",tbl_Consulting[Job Number],0),MATCH(IFERROR(A263+0,A263),tbl_Consulting[Job Number],0)))),"")))))</f>
        <v/>
      </c>
      <c r="N263" s="26">
        <f>IF(D263="","",IFERROR(INDEX(lst_CCtoGL,MATCH(D263,lst_CCforGL,0)),""))</f>
        <v/>
      </c>
      <c r="O263" s="27">
        <f>IF(E263="","",IF(M263="GST 10%",ROUND(E263*set_GSTRate,2),0))</f>
        <v/>
      </c>
      <c r="P263" s="27">
        <f>IF(E263="","",E263+O263)</f>
        <v/>
      </c>
      <c r="Q263" s="27">
        <f>IF(A263="","",IFERROR(INDEX(tbl_Onsite[Expected Revenue Ex GST],IFERROR(MATCH(A263&amp;"",tbl_Onsite[Job Number],0),MATCH(IFERROR(A263+0,A263),tbl_Onsite[Job Number],0))),IFERROR(INDEX(tbl_Production[Expected Revenue Ex GST],IFERROR(MATCH(A263&amp;"",tbl_Production[Job Number],0),MATCH(IFERROR(A263+0,A263),tbl_Production[Job Number],0))),IFERROR(INDEX(tbl_Consulting[Expected Revenue Ex GST],IFERROR(MATCH(A263&amp;"",tbl_Consulting[Job Number],0),MATCH(IFERROR(A263+0,A263),tbl_Consulting[Job Number],0))),0))))</f>
        <v/>
      </c>
      <c r="R263" s="27">
        <f>IF(A263="","",SUMIFS(tbl_Finance[Ex GST],tbl_Finance[Job Number],A263&amp;""))</f>
        <v/>
      </c>
      <c r="S263" s="27">
        <f>IF(A263="","",Q263-R263)</f>
        <v/>
      </c>
      <c r="T263" s="26">
        <f>IF(A263="","",IF(Q263=0,"No dept value",IF(ROUND(S263,2)=0,"Agrees",IF(S263&gt;0,"Dept higher - to invoice","Xero higher - check dept"))))</f>
        <v/>
      </c>
      <c r="U263" s="22" t="n"/>
      <c r="V263" s="22" t="n"/>
      <c r="W263" s="23" t="n"/>
      <c r="X263" s="23" t="n"/>
      <c r="Y263" s="22" t="n"/>
      <c r="Z263" s="22" t="n"/>
      <c r="AA263" s="26">
        <f>IF(COUNTA(C263,A263,B263,E263)=0,"",IF(C263="","No date - sits outside every month",IF(A263="","No job number",IF(H263="CHECK","Job number is not in the Xero job list",IF(G263="not set up yet","No department has set this job up - nothing can pull through",IF(D263="","No cost centre",IF(AND(U263="Y",B263=""),"Marked posted to Xero but has no invoice number",IF(N263="","Cost centre has no revenue GL on the Lists sheet",IF(T263="Xero higher - check dept","Invoiced more than the department says the job is worth","")))))))))</f>
        <v/>
      </c>
      <c r="AB263" s="28">
        <f>IF(A263="","",COUNTIFS(tbl_Finance[Job Number],A263&amp;"",tbl_Finance[Ex GST],"&lt;&gt;"))</f>
        <v/>
      </c>
      <c r="AC263" s="27">
        <f>IF(A263="","",SUMIFS(tbl_Finance[Ex GST],tbl_Finance[Job Number],A263&amp;""))</f>
        <v/>
      </c>
      <c r="AD263" s="27">
        <f>IF(A263="","",SUMIFS(tbl_Finance[Ex GST],tbl_Finance[Job Number],A263&amp;"",tbl_Finance[Xero Invoice No],"&lt;&gt;"))</f>
        <v/>
      </c>
      <c r="AE263" s="27">
        <f>IF(A263="","",AC263-AD263)</f>
        <v/>
      </c>
      <c r="AF263" s="26">
        <f>IF(A263="","",IFERROR(IF(INDEX(tbl_Onsite[Qwilr Quote],IFERROR(MATCH(A263&amp;"",tbl_Onsite[Job Number],0),MATCH(IFERROR(A263+0,A263),tbl_Onsite[Job Number],0)))="","",INDEX(tbl_Onsite[Qwilr Quote],IFERROR(MATCH(A263&amp;"",tbl_Onsite[Job Number],0),MATCH(IFERROR(A263+0,A263),tbl_Onsite[Job Number],0)))),IFERROR(IF(IF(INDEX(tbl_Production[Current RMS No],IFERROR(MATCH(A263&amp;"",tbl_Production[Job Number],0),MATCH(IFERROR(A263+0,A263),tbl_Production[Job Number],0)))="",INDEX(tbl_Production[Qwilr Quote],IFERROR(MATCH(A263&amp;"",tbl_Production[Job Number],0),MATCH(IFERROR(A263+0,A263),tbl_Production[Job Number],0))),INDEX(tbl_Production[Current RMS No],IFERROR(MATCH(A263&amp;"",tbl_Production[Job Number],0),MATCH(IFERROR(A263+0,A263),tbl_Production[Job Number],0))))="","",IF(INDEX(tbl_Production[Current RMS No],IFERROR(MATCH(A263&amp;"",tbl_Production[Job Number],0),MATCH(IFERROR(A263+0,A263),tbl_Production[Job Number],0)))="",INDEX(tbl_Production[Qwilr Quote],IFERROR(MATCH(A263&amp;"",tbl_Production[Job Number],0),MATCH(IFERROR(A263+0,A263),tbl_Production[Job Number],0))),INDEX(tbl_Production[Current RMS No],IFERROR(MATCH(A263&amp;"",tbl_Production[Job Number],0),MATCH(IFERROR(A263+0,A263),tbl_Production[Job Number],0))))),IFERROR(IF(INDEX(tbl_Consulting[Qwilr Quote],IFERROR(MATCH(A263&amp;"",tbl_Consulting[Job Number],0),MATCH(IFERROR(A263+0,A263),tbl_Consulting[Job Number],0)))="","",INDEX(tbl_Consulting[Qwilr Quote],IFERROR(MATCH(A263&amp;"",tbl_Consulting[Job Number],0),MATCH(IFERROR(A263+0,A263),tbl_Consulting[Job Number],0)))),""))))</f>
        <v/>
      </c>
      <c r="AG263" s="26">
        <f>IF(AF263="","",IF(AND(LEFT(AF263,4)&lt;&gt;"http",IF(G263="Production",set_RMSBase,set_QwilrBase)=""),"",HYPERLINK(IF(LEFT(AF263,4)="http",AF263,IF(G263="Production",set_RMSBase,set_QwilrBase)&amp;AF263),"Open")))</f>
        <v/>
      </c>
      <c r="AH263" s="27">
        <f>IF(A263="","",IFERROR(INDEX(tbl_Production[Total Expense],IFERROR(MATCH(A263&amp;"",tbl_Production[Job Number],0),MATCH(IFERROR(A263+0,A263),tbl_Production[Job Number],0))),IFERROR(INDEX(tbl_Consulting[Total Expense],IFERROR(MATCH(A263&amp;"",tbl_Consulting[Job Number],0),MATCH(IFERROR(A263+0,A263),tbl_Consulting[Job Number],0))),0)))</f>
        <v/>
      </c>
      <c r="AI263" s="27">
        <f>IF(A263="","",AC263-N(AH263))</f>
        <v/>
      </c>
      <c r="AJ263" s="29">
        <f>IFERROR(AI263/AC263,"")</f>
        <v/>
      </c>
      <c r="AK263" s="26">
        <f>IF(A263="","",IFERROR(IF(INDEX(tbl_Onsite[Notes],IFERROR(MATCH(A263&amp;"",tbl_Onsite[Job Number],0),MATCH(IFERROR(A263+0,A263),tbl_Onsite[Job Number],0)))="","",INDEX(tbl_Onsite[Notes],IFERROR(MATCH(A263&amp;"",tbl_Onsite[Job Number],0),MATCH(IFERROR(A263+0,A263),tbl_Onsite[Job Number],0)))),IFERROR(IF(INDEX(tbl_Production[Notes],IFERROR(MATCH(A263&amp;"",tbl_Production[Job Number],0),MATCH(IFERROR(A263+0,A263),tbl_Production[Job Number],0)))="","",INDEX(tbl_Production[Notes],IFERROR(MATCH(A263&amp;"",tbl_Production[Job Number],0),MATCH(IFERROR(A263+0,A263),tbl_Production[Job Number],0)))),IFERROR(IF(INDEX(tbl_Consulting[Notes],IFERROR(MATCH(A263&amp;"",tbl_Consulting[Job Number],0),MATCH(IFERROR(A263+0,A263),tbl_Consulting[Job Number],0)))="","",INDEX(tbl_Consulting[Notes],IFERROR(MATCH(A263&amp;"",tbl_Consulting[Job Number],0),MATCH(IFERROR(A263+0,A263),tbl_Consulting[Job Number],0)))),""))))</f>
        <v/>
      </c>
    </row>
    <row r="264" ht="15" customHeight="1">
      <c r="A264" s="22" t="n"/>
      <c r="B264" s="22" t="n"/>
      <c r="C264" s="23" t="n"/>
      <c r="D264" s="22" t="n"/>
      <c r="E264" s="24" t="n"/>
      <c r="F264" s="25">
        <f>IF(C264="","",EOMONTH(C264,0))</f>
        <v/>
      </c>
      <c r="G264" s="26">
        <f>IF(A264="","",IF(COUNTIF(tbl_Onsite[Job Number],A264&amp;"")&gt;0,"Onsite",IF(COUNTIF(tbl_Production[Job Number],A264&amp;"")&gt;0,"Production",IF(COUNTIF(tbl_Consulting[Job Number],A264&amp;"")&gt;0,"Consulting","not set up yet"))))</f>
        <v/>
      </c>
      <c r="H264" s="26">
        <f>IF(A264="","",IF(COUNTIF(lst_Jobs,A264&amp;"")&gt;0,"OK","CHECK"))</f>
        <v/>
      </c>
      <c r="I264" s="26">
        <f>IF(A264="","",IFERROR(INDEX(lst_JobName,MATCH(A264&amp;"",lst_Jobs,0)),""))</f>
        <v/>
      </c>
      <c r="J264" s="26">
        <f>IF(A264="","",IFERROR(IF(INDEX(tbl_Onsite[Client],IFERROR(MATCH(A264&amp;"",tbl_Onsite[Job Number],0),MATCH(IFERROR(A264+0,A264),tbl_Onsite[Job Number],0)))="","",INDEX(tbl_Onsite[Client],IFERROR(MATCH(A264&amp;"",tbl_Onsite[Job Number],0),MATCH(IFERROR(A264+0,A264),tbl_Onsite[Job Number],0)))),IFERROR(IF(INDEX(tbl_Production[Client],IFERROR(MATCH(A264&amp;"",tbl_Production[Job Number],0),MATCH(IFERROR(A264+0,A264),tbl_Production[Job Number],0)))="","",INDEX(tbl_Production[Client],IFERROR(MATCH(A264&amp;"",tbl_Production[Job Number],0),MATCH(IFERROR(A264+0,A264),tbl_Production[Job Number],0)))),IFERROR(IF(INDEX(tbl_Consulting[Client],IFERROR(MATCH(A264&amp;"",tbl_Consulting[Job Number],0),MATCH(IFERROR(A264+0,A264),tbl_Consulting[Job Number],0)))="","",INDEX(tbl_Consulting[Client],IFERROR(MATCH(A264&amp;"",tbl_Consulting[Job Number],0),MATCH(IFERROR(A264+0,A264),tbl_Consulting[Job Number],0)))),""))))</f>
        <v/>
      </c>
      <c r="K264" s="26">
        <f>IF(A264="","",IFERROR(IF(INDEX(tbl_Onsite[Job Description],IFERROR(MATCH(A264&amp;"",tbl_Onsite[Job Number],0),MATCH(IFERROR(A264+0,A264),tbl_Onsite[Job Number],0)))="","",INDEX(tbl_Onsite[Job Description],IFERROR(MATCH(A264&amp;"",tbl_Onsite[Job Number],0),MATCH(IFERROR(A264+0,A264),tbl_Onsite[Job Number],0)))),IFERROR(IF(INDEX(tbl_Production[Job Description],IFERROR(MATCH(A264&amp;"",tbl_Production[Job Number],0),MATCH(IFERROR(A264+0,A264),tbl_Production[Job Number],0)))="","",INDEX(tbl_Production[Job Description],IFERROR(MATCH(A264&amp;"",tbl_Production[Job Number],0),MATCH(IFERROR(A264+0,A264),tbl_Production[Job Number],0)))),IFERROR(IF(INDEX(tbl_Consulting[Job Description],IFERROR(MATCH(A264&amp;"",tbl_Consulting[Job Number],0),MATCH(IFERROR(A264+0,A264),tbl_Consulting[Job Number],0)))="","",INDEX(tbl_Consulting[Job Description],IFERROR(MATCH(A264&amp;"",tbl_Consulting[Job Number],0),MATCH(IFERROR(A264+0,A264),tbl_Consulting[Job Number],0)))),""))))</f>
        <v/>
      </c>
      <c r="L264" s="26">
        <f>IF(A264="","",IFERROR(IF(INDEX(tbl_Onsite[Invoice Type],IFERROR(MATCH(A264&amp;"",tbl_Onsite[Job Number],0),MATCH(IFERROR(A264+0,A264),tbl_Onsite[Job Number],0)))="","",INDEX(tbl_Onsite[Invoice Type],IFERROR(MATCH(A264&amp;"",tbl_Onsite[Job Number],0),MATCH(IFERROR(A264+0,A264),tbl_Onsite[Job Number],0)))),IFERROR(IF(INDEX(tbl_Production[Invoice Type],IFERROR(MATCH(A264&amp;"",tbl_Production[Job Number],0),MATCH(IFERROR(A264+0,A264),tbl_Production[Job Number],0)))="","",INDEX(tbl_Production[Invoice Type],IFERROR(MATCH(A264&amp;"",tbl_Production[Job Number],0),MATCH(IFERROR(A264+0,A264),tbl_Production[Job Number],0)))),IFERROR(IF(INDEX(tbl_Consulting[Invoice Type],IFERROR(MATCH(A264&amp;"",tbl_Consulting[Job Number],0),MATCH(IFERROR(A264+0,A264),tbl_Consulting[Job Number],0)))="","",INDEX(tbl_Consulting[Invoice Type],IFERROR(MATCH(A264&amp;"",tbl_Consulting[Job Number],0),MATCH(IFERROR(A264+0,A264),tbl_Consulting[Job Number],0)))),""))))</f>
        <v/>
      </c>
      <c r="M264" s="26">
        <f>IF(A264="","",IF(IFERROR(IF(INDEX(tbl_Onsite[Tax Code],IFERROR(MATCH(A264&amp;"",tbl_Onsite[Job Number],0),MATCH(IFERROR(A264+0,A264),tbl_Onsite[Job Number],0)))="","",INDEX(tbl_Onsite[Tax Code],IFERROR(MATCH(A264&amp;"",tbl_Onsite[Job Number],0),MATCH(IFERROR(A264+0,A264),tbl_Onsite[Job Number],0)))),IFERROR(IF(INDEX(tbl_Production[Tax Code],IFERROR(MATCH(A264&amp;"",tbl_Production[Job Number],0),MATCH(IFERROR(A264+0,A264),tbl_Production[Job Number],0)))="","",INDEX(tbl_Production[Tax Code],IFERROR(MATCH(A264&amp;"",tbl_Production[Job Number],0),MATCH(IFERROR(A264+0,A264),tbl_Production[Job Number],0)))),IFERROR(IF(INDEX(tbl_Consulting[Tax Code],IFERROR(MATCH(A264&amp;"",tbl_Consulting[Job Number],0),MATCH(IFERROR(A264+0,A264),tbl_Consulting[Job Number],0)))="","",INDEX(tbl_Consulting[Tax Code],IFERROR(MATCH(A264&amp;"",tbl_Consulting[Job Number],0),MATCH(IFERROR(A264+0,A264),tbl_Consulting[Job Number],0)))),"")))="","GST 10%",IFERROR(IF(INDEX(tbl_Onsite[Tax Code],IFERROR(MATCH(A264&amp;"",tbl_Onsite[Job Number],0),MATCH(IFERROR(A264+0,A264),tbl_Onsite[Job Number],0)))="","",INDEX(tbl_Onsite[Tax Code],IFERROR(MATCH(A264&amp;"",tbl_Onsite[Job Number],0),MATCH(IFERROR(A264+0,A264),tbl_Onsite[Job Number],0)))),IFERROR(IF(INDEX(tbl_Production[Tax Code],IFERROR(MATCH(A264&amp;"",tbl_Production[Job Number],0),MATCH(IFERROR(A264+0,A264),tbl_Production[Job Number],0)))="","",INDEX(tbl_Production[Tax Code],IFERROR(MATCH(A264&amp;"",tbl_Production[Job Number],0),MATCH(IFERROR(A264+0,A264),tbl_Production[Job Number],0)))),IFERROR(IF(INDEX(tbl_Consulting[Tax Code],IFERROR(MATCH(A264&amp;"",tbl_Consulting[Job Number],0),MATCH(IFERROR(A264+0,A264),tbl_Consulting[Job Number],0)))="","",INDEX(tbl_Consulting[Tax Code],IFERROR(MATCH(A264&amp;"",tbl_Consulting[Job Number],0),MATCH(IFERROR(A264+0,A264),tbl_Consulting[Job Number],0)))),"")))))</f>
        <v/>
      </c>
      <c r="N264" s="26">
        <f>IF(D264="","",IFERROR(INDEX(lst_CCtoGL,MATCH(D264,lst_CCforGL,0)),""))</f>
        <v/>
      </c>
      <c r="O264" s="27">
        <f>IF(E264="","",IF(M264="GST 10%",ROUND(E264*set_GSTRate,2),0))</f>
        <v/>
      </c>
      <c r="P264" s="27">
        <f>IF(E264="","",E264+O264)</f>
        <v/>
      </c>
      <c r="Q264" s="27">
        <f>IF(A264="","",IFERROR(INDEX(tbl_Onsite[Expected Revenue Ex GST],IFERROR(MATCH(A264&amp;"",tbl_Onsite[Job Number],0),MATCH(IFERROR(A264+0,A264),tbl_Onsite[Job Number],0))),IFERROR(INDEX(tbl_Production[Expected Revenue Ex GST],IFERROR(MATCH(A264&amp;"",tbl_Production[Job Number],0),MATCH(IFERROR(A264+0,A264),tbl_Production[Job Number],0))),IFERROR(INDEX(tbl_Consulting[Expected Revenue Ex GST],IFERROR(MATCH(A264&amp;"",tbl_Consulting[Job Number],0),MATCH(IFERROR(A264+0,A264),tbl_Consulting[Job Number],0))),0))))</f>
        <v/>
      </c>
      <c r="R264" s="27">
        <f>IF(A264="","",SUMIFS(tbl_Finance[Ex GST],tbl_Finance[Job Number],A264&amp;""))</f>
        <v/>
      </c>
      <c r="S264" s="27">
        <f>IF(A264="","",Q264-R264)</f>
        <v/>
      </c>
      <c r="T264" s="26">
        <f>IF(A264="","",IF(Q264=0,"No dept value",IF(ROUND(S264,2)=0,"Agrees",IF(S264&gt;0,"Dept higher - to invoice","Xero higher - check dept"))))</f>
        <v/>
      </c>
      <c r="U264" s="22" t="n"/>
      <c r="V264" s="22" t="n"/>
      <c r="W264" s="23" t="n"/>
      <c r="X264" s="23" t="n"/>
      <c r="Y264" s="22" t="n"/>
      <c r="Z264" s="22" t="n"/>
      <c r="AA264" s="26">
        <f>IF(COUNTA(C264,A264,B264,E264)=0,"",IF(C264="","No date - sits outside every month",IF(A264="","No job number",IF(H264="CHECK","Job number is not in the Xero job list",IF(G264="not set up yet","No department has set this job up - nothing can pull through",IF(D264="","No cost centre",IF(AND(U264="Y",B264=""),"Marked posted to Xero but has no invoice number",IF(N264="","Cost centre has no revenue GL on the Lists sheet",IF(T264="Xero higher - check dept","Invoiced more than the department says the job is worth","")))))))))</f>
        <v/>
      </c>
      <c r="AB264" s="28">
        <f>IF(A264="","",COUNTIFS(tbl_Finance[Job Number],A264&amp;"",tbl_Finance[Ex GST],"&lt;&gt;"))</f>
        <v/>
      </c>
      <c r="AC264" s="27">
        <f>IF(A264="","",SUMIFS(tbl_Finance[Ex GST],tbl_Finance[Job Number],A264&amp;""))</f>
        <v/>
      </c>
      <c r="AD264" s="27">
        <f>IF(A264="","",SUMIFS(tbl_Finance[Ex GST],tbl_Finance[Job Number],A264&amp;"",tbl_Finance[Xero Invoice No],"&lt;&gt;"))</f>
        <v/>
      </c>
      <c r="AE264" s="27">
        <f>IF(A264="","",AC264-AD264)</f>
        <v/>
      </c>
      <c r="AF264" s="26">
        <f>IF(A264="","",IFERROR(IF(INDEX(tbl_Onsite[Qwilr Quote],IFERROR(MATCH(A264&amp;"",tbl_Onsite[Job Number],0),MATCH(IFERROR(A264+0,A264),tbl_Onsite[Job Number],0)))="","",INDEX(tbl_Onsite[Qwilr Quote],IFERROR(MATCH(A264&amp;"",tbl_Onsite[Job Number],0),MATCH(IFERROR(A264+0,A264),tbl_Onsite[Job Number],0)))),IFERROR(IF(IF(INDEX(tbl_Production[Current RMS No],IFERROR(MATCH(A264&amp;"",tbl_Production[Job Number],0),MATCH(IFERROR(A264+0,A264),tbl_Production[Job Number],0)))="",INDEX(tbl_Production[Qwilr Quote],IFERROR(MATCH(A264&amp;"",tbl_Production[Job Number],0),MATCH(IFERROR(A264+0,A264),tbl_Production[Job Number],0))),INDEX(tbl_Production[Current RMS No],IFERROR(MATCH(A264&amp;"",tbl_Production[Job Number],0),MATCH(IFERROR(A264+0,A264),tbl_Production[Job Number],0))))="","",IF(INDEX(tbl_Production[Current RMS No],IFERROR(MATCH(A264&amp;"",tbl_Production[Job Number],0),MATCH(IFERROR(A264+0,A264),tbl_Production[Job Number],0)))="",INDEX(tbl_Production[Qwilr Quote],IFERROR(MATCH(A264&amp;"",tbl_Production[Job Number],0),MATCH(IFERROR(A264+0,A264),tbl_Production[Job Number],0))),INDEX(tbl_Production[Current RMS No],IFERROR(MATCH(A264&amp;"",tbl_Production[Job Number],0),MATCH(IFERROR(A264+0,A264),tbl_Production[Job Number],0))))),IFERROR(IF(INDEX(tbl_Consulting[Qwilr Quote],IFERROR(MATCH(A264&amp;"",tbl_Consulting[Job Number],0),MATCH(IFERROR(A264+0,A264),tbl_Consulting[Job Number],0)))="","",INDEX(tbl_Consulting[Qwilr Quote],IFERROR(MATCH(A264&amp;"",tbl_Consulting[Job Number],0),MATCH(IFERROR(A264+0,A264),tbl_Consulting[Job Number],0)))),""))))</f>
        <v/>
      </c>
      <c r="AG264" s="26">
        <f>IF(AF264="","",IF(AND(LEFT(AF264,4)&lt;&gt;"http",IF(G264="Production",set_RMSBase,set_QwilrBase)=""),"",HYPERLINK(IF(LEFT(AF264,4)="http",AF264,IF(G264="Production",set_RMSBase,set_QwilrBase)&amp;AF264),"Open")))</f>
        <v/>
      </c>
      <c r="AH264" s="27">
        <f>IF(A264="","",IFERROR(INDEX(tbl_Production[Total Expense],IFERROR(MATCH(A264&amp;"",tbl_Production[Job Number],0),MATCH(IFERROR(A264+0,A264),tbl_Production[Job Number],0))),IFERROR(INDEX(tbl_Consulting[Total Expense],IFERROR(MATCH(A264&amp;"",tbl_Consulting[Job Number],0),MATCH(IFERROR(A264+0,A264),tbl_Consulting[Job Number],0))),0)))</f>
        <v/>
      </c>
      <c r="AI264" s="27">
        <f>IF(A264="","",AC264-N(AH264))</f>
        <v/>
      </c>
      <c r="AJ264" s="29">
        <f>IFERROR(AI264/AC264,"")</f>
        <v/>
      </c>
      <c r="AK264" s="26">
        <f>IF(A264="","",IFERROR(IF(INDEX(tbl_Onsite[Notes],IFERROR(MATCH(A264&amp;"",tbl_Onsite[Job Number],0),MATCH(IFERROR(A264+0,A264),tbl_Onsite[Job Number],0)))="","",INDEX(tbl_Onsite[Notes],IFERROR(MATCH(A264&amp;"",tbl_Onsite[Job Number],0),MATCH(IFERROR(A264+0,A264),tbl_Onsite[Job Number],0)))),IFERROR(IF(INDEX(tbl_Production[Notes],IFERROR(MATCH(A264&amp;"",tbl_Production[Job Number],0),MATCH(IFERROR(A264+0,A264),tbl_Production[Job Number],0)))="","",INDEX(tbl_Production[Notes],IFERROR(MATCH(A264&amp;"",tbl_Production[Job Number],0),MATCH(IFERROR(A264+0,A264),tbl_Production[Job Number],0)))),IFERROR(IF(INDEX(tbl_Consulting[Notes],IFERROR(MATCH(A264&amp;"",tbl_Consulting[Job Number],0),MATCH(IFERROR(A264+0,A264),tbl_Consulting[Job Number],0)))="","",INDEX(tbl_Consulting[Notes],IFERROR(MATCH(A264&amp;"",tbl_Consulting[Job Number],0),MATCH(IFERROR(A264+0,A264),tbl_Consulting[Job Number],0)))),""))))</f>
        <v/>
      </c>
    </row>
    <row r="265" ht="15" customHeight="1">
      <c r="A265" s="22" t="n"/>
      <c r="B265" s="22" t="n"/>
      <c r="C265" s="23" t="n"/>
      <c r="D265" s="22" t="n"/>
      <c r="E265" s="24" t="n"/>
      <c r="F265" s="25">
        <f>IF(C265="","",EOMONTH(C265,0))</f>
        <v/>
      </c>
      <c r="G265" s="26">
        <f>IF(A265="","",IF(COUNTIF(tbl_Onsite[Job Number],A265&amp;"")&gt;0,"Onsite",IF(COUNTIF(tbl_Production[Job Number],A265&amp;"")&gt;0,"Production",IF(COUNTIF(tbl_Consulting[Job Number],A265&amp;"")&gt;0,"Consulting","not set up yet"))))</f>
        <v/>
      </c>
      <c r="H265" s="26">
        <f>IF(A265="","",IF(COUNTIF(lst_Jobs,A265&amp;"")&gt;0,"OK","CHECK"))</f>
        <v/>
      </c>
      <c r="I265" s="26">
        <f>IF(A265="","",IFERROR(INDEX(lst_JobName,MATCH(A265&amp;"",lst_Jobs,0)),""))</f>
        <v/>
      </c>
      <c r="J265" s="26">
        <f>IF(A265="","",IFERROR(IF(INDEX(tbl_Onsite[Client],IFERROR(MATCH(A265&amp;"",tbl_Onsite[Job Number],0),MATCH(IFERROR(A265+0,A265),tbl_Onsite[Job Number],0)))="","",INDEX(tbl_Onsite[Client],IFERROR(MATCH(A265&amp;"",tbl_Onsite[Job Number],0),MATCH(IFERROR(A265+0,A265),tbl_Onsite[Job Number],0)))),IFERROR(IF(INDEX(tbl_Production[Client],IFERROR(MATCH(A265&amp;"",tbl_Production[Job Number],0),MATCH(IFERROR(A265+0,A265),tbl_Production[Job Number],0)))="","",INDEX(tbl_Production[Client],IFERROR(MATCH(A265&amp;"",tbl_Production[Job Number],0),MATCH(IFERROR(A265+0,A265),tbl_Production[Job Number],0)))),IFERROR(IF(INDEX(tbl_Consulting[Client],IFERROR(MATCH(A265&amp;"",tbl_Consulting[Job Number],0),MATCH(IFERROR(A265+0,A265),tbl_Consulting[Job Number],0)))="","",INDEX(tbl_Consulting[Client],IFERROR(MATCH(A265&amp;"",tbl_Consulting[Job Number],0),MATCH(IFERROR(A265+0,A265),tbl_Consulting[Job Number],0)))),""))))</f>
        <v/>
      </c>
      <c r="K265" s="26">
        <f>IF(A265="","",IFERROR(IF(INDEX(tbl_Onsite[Job Description],IFERROR(MATCH(A265&amp;"",tbl_Onsite[Job Number],0),MATCH(IFERROR(A265+0,A265),tbl_Onsite[Job Number],0)))="","",INDEX(tbl_Onsite[Job Description],IFERROR(MATCH(A265&amp;"",tbl_Onsite[Job Number],0),MATCH(IFERROR(A265+0,A265),tbl_Onsite[Job Number],0)))),IFERROR(IF(INDEX(tbl_Production[Job Description],IFERROR(MATCH(A265&amp;"",tbl_Production[Job Number],0),MATCH(IFERROR(A265+0,A265),tbl_Production[Job Number],0)))="","",INDEX(tbl_Production[Job Description],IFERROR(MATCH(A265&amp;"",tbl_Production[Job Number],0),MATCH(IFERROR(A265+0,A265),tbl_Production[Job Number],0)))),IFERROR(IF(INDEX(tbl_Consulting[Job Description],IFERROR(MATCH(A265&amp;"",tbl_Consulting[Job Number],0),MATCH(IFERROR(A265+0,A265),tbl_Consulting[Job Number],0)))="","",INDEX(tbl_Consulting[Job Description],IFERROR(MATCH(A265&amp;"",tbl_Consulting[Job Number],0),MATCH(IFERROR(A265+0,A265),tbl_Consulting[Job Number],0)))),""))))</f>
        <v/>
      </c>
      <c r="L265" s="26">
        <f>IF(A265="","",IFERROR(IF(INDEX(tbl_Onsite[Invoice Type],IFERROR(MATCH(A265&amp;"",tbl_Onsite[Job Number],0),MATCH(IFERROR(A265+0,A265),tbl_Onsite[Job Number],0)))="","",INDEX(tbl_Onsite[Invoice Type],IFERROR(MATCH(A265&amp;"",tbl_Onsite[Job Number],0),MATCH(IFERROR(A265+0,A265),tbl_Onsite[Job Number],0)))),IFERROR(IF(INDEX(tbl_Production[Invoice Type],IFERROR(MATCH(A265&amp;"",tbl_Production[Job Number],0),MATCH(IFERROR(A265+0,A265),tbl_Production[Job Number],0)))="","",INDEX(tbl_Production[Invoice Type],IFERROR(MATCH(A265&amp;"",tbl_Production[Job Number],0),MATCH(IFERROR(A265+0,A265),tbl_Production[Job Number],0)))),IFERROR(IF(INDEX(tbl_Consulting[Invoice Type],IFERROR(MATCH(A265&amp;"",tbl_Consulting[Job Number],0),MATCH(IFERROR(A265+0,A265),tbl_Consulting[Job Number],0)))="","",INDEX(tbl_Consulting[Invoice Type],IFERROR(MATCH(A265&amp;"",tbl_Consulting[Job Number],0),MATCH(IFERROR(A265+0,A265),tbl_Consulting[Job Number],0)))),""))))</f>
        <v/>
      </c>
      <c r="M265" s="26">
        <f>IF(A265="","",IF(IFERROR(IF(INDEX(tbl_Onsite[Tax Code],IFERROR(MATCH(A265&amp;"",tbl_Onsite[Job Number],0),MATCH(IFERROR(A265+0,A265),tbl_Onsite[Job Number],0)))="","",INDEX(tbl_Onsite[Tax Code],IFERROR(MATCH(A265&amp;"",tbl_Onsite[Job Number],0),MATCH(IFERROR(A265+0,A265),tbl_Onsite[Job Number],0)))),IFERROR(IF(INDEX(tbl_Production[Tax Code],IFERROR(MATCH(A265&amp;"",tbl_Production[Job Number],0),MATCH(IFERROR(A265+0,A265),tbl_Production[Job Number],0)))="","",INDEX(tbl_Production[Tax Code],IFERROR(MATCH(A265&amp;"",tbl_Production[Job Number],0),MATCH(IFERROR(A265+0,A265),tbl_Production[Job Number],0)))),IFERROR(IF(INDEX(tbl_Consulting[Tax Code],IFERROR(MATCH(A265&amp;"",tbl_Consulting[Job Number],0),MATCH(IFERROR(A265+0,A265),tbl_Consulting[Job Number],0)))="","",INDEX(tbl_Consulting[Tax Code],IFERROR(MATCH(A265&amp;"",tbl_Consulting[Job Number],0),MATCH(IFERROR(A265+0,A265),tbl_Consulting[Job Number],0)))),"")))="","GST 10%",IFERROR(IF(INDEX(tbl_Onsite[Tax Code],IFERROR(MATCH(A265&amp;"",tbl_Onsite[Job Number],0),MATCH(IFERROR(A265+0,A265),tbl_Onsite[Job Number],0)))="","",INDEX(tbl_Onsite[Tax Code],IFERROR(MATCH(A265&amp;"",tbl_Onsite[Job Number],0),MATCH(IFERROR(A265+0,A265),tbl_Onsite[Job Number],0)))),IFERROR(IF(INDEX(tbl_Production[Tax Code],IFERROR(MATCH(A265&amp;"",tbl_Production[Job Number],0),MATCH(IFERROR(A265+0,A265),tbl_Production[Job Number],0)))="","",INDEX(tbl_Production[Tax Code],IFERROR(MATCH(A265&amp;"",tbl_Production[Job Number],0),MATCH(IFERROR(A265+0,A265),tbl_Production[Job Number],0)))),IFERROR(IF(INDEX(tbl_Consulting[Tax Code],IFERROR(MATCH(A265&amp;"",tbl_Consulting[Job Number],0),MATCH(IFERROR(A265+0,A265),tbl_Consulting[Job Number],0)))="","",INDEX(tbl_Consulting[Tax Code],IFERROR(MATCH(A265&amp;"",tbl_Consulting[Job Number],0),MATCH(IFERROR(A265+0,A265),tbl_Consulting[Job Number],0)))),"")))))</f>
        <v/>
      </c>
      <c r="N265" s="26">
        <f>IF(D265="","",IFERROR(INDEX(lst_CCtoGL,MATCH(D265,lst_CCforGL,0)),""))</f>
        <v/>
      </c>
      <c r="O265" s="27">
        <f>IF(E265="","",IF(M265="GST 10%",ROUND(E265*set_GSTRate,2),0))</f>
        <v/>
      </c>
      <c r="P265" s="27">
        <f>IF(E265="","",E265+O265)</f>
        <v/>
      </c>
      <c r="Q265" s="27">
        <f>IF(A265="","",IFERROR(INDEX(tbl_Onsite[Expected Revenue Ex GST],IFERROR(MATCH(A265&amp;"",tbl_Onsite[Job Number],0),MATCH(IFERROR(A265+0,A265),tbl_Onsite[Job Number],0))),IFERROR(INDEX(tbl_Production[Expected Revenue Ex GST],IFERROR(MATCH(A265&amp;"",tbl_Production[Job Number],0),MATCH(IFERROR(A265+0,A265),tbl_Production[Job Number],0))),IFERROR(INDEX(tbl_Consulting[Expected Revenue Ex GST],IFERROR(MATCH(A265&amp;"",tbl_Consulting[Job Number],0),MATCH(IFERROR(A265+0,A265),tbl_Consulting[Job Number],0))),0))))</f>
        <v/>
      </c>
      <c r="R265" s="27">
        <f>IF(A265="","",SUMIFS(tbl_Finance[Ex GST],tbl_Finance[Job Number],A265&amp;""))</f>
        <v/>
      </c>
      <c r="S265" s="27">
        <f>IF(A265="","",Q265-R265)</f>
        <v/>
      </c>
      <c r="T265" s="26">
        <f>IF(A265="","",IF(Q265=0,"No dept value",IF(ROUND(S265,2)=0,"Agrees",IF(S265&gt;0,"Dept higher - to invoice","Xero higher - check dept"))))</f>
        <v/>
      </c>
      <c r="U265" s="22" t="n"/>
      <c r="V265" s="22" t="n"/>
      <c r="W265" s="23" t="n"/>
      <c r="X265" s="23" t="n"/>
      <c r="Y265" s="22" t="n"/>
      <c r="Z265" s="22" t="n"/>
      <c r="AA265" s="26">
        <f>IF(COUNTA(C265,A265,B265,E265)=0,"",IF(C265="","No date - sits outside every month",IF(A265="","No job number",IF(H265="CHECK","Job number is not in the Xero job list",IF(G265="not set up yet","No department has set this job up - nothing can pull through",IF(D265="","No cost centre",IF(AND(U265="Y",B265=""),"Marked posted to Xero but has no invoice number",IF(N265="","Cost centre has no revenue GL on the Lists sheet",IF(T265="Xero higher - check dept","Invoiced more than the department says the job is worth","")))))))))</f>
        <v/>
      </c>
      <c r="AB265" s="28">
        <f>IF(A265="","",COUNTIFS(tbl_Finance[Job Number],A265&amp;"",tbl_Finance[Ex GST],"&lt;&gt;"))</f>
        <v/>
      </c>
      <c r="AC265" s="27">
        <f>IF(A265="","",SUMIFS(tbl_Finance[Ex GST],tbl_Finance[Job Number],A265&amp;""))</f>
        <v/>
      </c>
      <c r="AD265" s="27">
        <f>IF(A265="","",SUMIFS(tbl_Finance[Ex GST],tbl_Finance[Job Number],A265&amp;"",tbl_Finance[Xero Invoice No],"&lt;&gt;"))</f>
        <v/>
      </c>
      <c r="AE265" s="27">
        <f>IF(A265="","",AC265-AD265)</f>
        <v/>
      </c>
      <c r="AF265" s="26">
        <f>IF(A265="","",IFERROR(IF(INDEX(tbl_Onsite[Qwilr Quote],IFERROR(MATCH(A265&amp;"",tbl_Onsite[Job Number],0),MATCH(IFERROR(A265+0,A265),tbl_Onsite[Job Number],0)))="","",INDEX(tbl_Onsite[Qwilr Quote],IFERROR(MATCH(A265&amp;"",tbl_Onsite[Job Number],0),MATCH(IFERROR(A265+0,A265),tbl_Onsite[Job Number],0)))),IFERROR(IF(IF(INDEX(tbl_Production[Current RMS No],IFERROR(MATCH(A265&amp;"",tbl_Production[Job Number],0),MATCH(IFERROR(A265+0,A265),tbl_Production[Job Number],0)))="",INDEX(tbl_Production[Qwilr Quote],IFERROR(MATCH(A265&amp;"",tbl_Production[Job Number],0),MATCH(IFERROR(A265+0,A265),tbl_Production[Job Number],0))),INDEX(tbl_Production[Current RMS No],IFERROR(MATCH(A265&amp;"",tbl_Production[Job Number],0),MATCH(IFERROR(A265+0,A265),tbl_Production[Job Number],0))))="","",IF(INDEX(tbl_Production[Current RMS No],IFERROR(MATCH(A265&amp;"",tbl_Production[Job Number],0),MATCH(IFERROR(A265+0,A265),tbl_Production[Job Number],0)))="",INDEX(tbl_Production[Qwilr Quote],IFERROR(MATCH(A265&amp;"",tbl_Production[Job Number],0),MATCH(IFERROR(A265+0,A265),tbl_Production[Job Number],0))),INDEX(tbl_Production[Current RMS No],IFERROR(MATCH(A265&amp;"",tbl_Production[Job Number],0),MATCH(IFERROR(A265+0,A265),tbl_Production[Job Number],0))))),IFERROR(IF(INDEX(tbl_Consulting[Qwilr Quote],IFERROR(MATCH(A265&amp;"",tbl_Consulting[Job Number],0),MATCH(IFERROR(A265+0,A265),tbl_Consulting[Job Number],0)))="","",INDEX(tbl_Consulting[Qwilr Quote],IFERROR(MATCH(A265&amp;"",tbl_Consulting[Job Number],0),MATCH(IFERROR(A265+0,A265),tbl_Consulting[Job Number],0)))),""))))</f>
        <v/>
      </c>
      <c r="AG265" s="26">
        <f>IF(AF265="","",IF(AND(LEFT(AF265,4)&lt;&gt;"http",IF(G265="Production",set_RMSBase,set_QwilrBase)=""),"",HYPERLINK(IF(LEFT(AF265,4)="http",AF265,IF(G265="Production",set_RMSBase,set_QwilrBase)&amp;AF265),"Open")))</f>
        <v/>
      </c>
      <c r="AH265" s="27">
        <f>IF(A265="","",IFERROR(INDEX(tbl_Production[Total Expense],IFERROR(MATCH(A265&amp;"",tbl_Production[Job Number],0),MATCH(IFERROR(A265+0,A265),tbl_Production[Job Number],0))),IFERROR(INDEX(tbl_Consulting[Total Expense],IFERROR(MATCH(A265&amp;"",tbl_Consulting[Job Number],0),MATCH(IFERROR(A265+0,A265),tbl_Consulting[Job Number],0))),0)))</f>
        <v/>
      </c>
      <c r="AI265" s="27">
        <f>IF(A265="","",AC265-N(AH265))</f>
        <v/>
      </c>
      <c r="AJ265" s="29">
        <f>IFERROR(AI265/AC265,"")</f>
        <v/>
      </c>
      <c r="AK265" s="26">
        <f>IF(A265="","",IFERROR(IF(INDEX(tbl_Onsite[Notes],IFERROR(MATCH(A265&amp;"",tbl_Onsite[Job Number],0),MATCH(IFERROR(A265+0,A265),tbl_Onsite[Job Number],0)))="","",INDEX(tbl_Onsite[Notes],IFERROR(MATCH(A265&amp;"",tbl_Onsite[Job Number],0),MATCH(IFERROR(A265+0,A265),tbl_Onsite[Job Number],0)))),IFERROR(IF(INDEX(tbl_Production[Notes],IFERROR(MATCH(A265&amp;"",tbl_Production[Job Number],0),MATCH(IFERROR(A265+0,A265),tbl_Production[Job Number],0)))="","",INDEX(tbl_Production[Notes],IFERROR(MATCH(A265&amp;"",tbl_Production[Job Number],0),MATCH(IFERROR(A265+0,A265),tbl_Production[Job Number],0)))),IFERROR(IF(INDEX(tbl_Consulting[Notes],IFERROR(MATCH(A265&amp;"",tbl_Consulting[Job Number],0),MATCH(IFERROR(A265+0,A265),tbl_Consulting[Job Number],0)))="","",INDEX(tbl_Consulting[Notes],IFERROR(MATCH(A265&amp;"",tbl_Consulting[Job Number],0),MATCH(IFERROR(A265+0,A265),tbl_Consulting[Job Number],0)))),""))))</f>
        <v/>
      </c>
    </row>
    <row r="266" ht="15" customHeight="1">
      <c r="A266" s="22" t="n"/>
      <c r="B266" s="22" t="n"/>
      <c r="C266" s="23" t="n"/>
      <c r="D266" s="22" t="n"/>
      <c r="E266" s="24" t="n"/>
      <c r="F266" s="25">
        <f>IF(C266="","",EOMONTH(C266,0))</f>
        <v/>
      </c>
      <c r="G266" s="26">
        <f>IF(A266="","",IF(COUNTIF(tbl_Onsite[Job Number],A266&amp;"")&gt;0,"Onsite",IF(COUNTIF(tbl_Production[Job Number],A266&amp;"")&gt;0,"Production",IF(COUNTIF(tbl_Consulting[Job Number],A266&amp;"")&gt;0,"Consulting","not set up yet"))))</f>
        <v/>
      </c>
      <c r="H266" s="26">
        <f>IF(A266="","",IF(COUNTIF(lst_Jobs,A266&amp;"")&gt;0,"OK","CHECK"))</f>
        <v/>
      </c>
      <c r="I266" s="26">
        <f>IF(A266="","",IFERROR(INDEX(lst_JobName,MATCH(A266&amp;"",lst_Jobs,0)),""))</f>
        <v/>
      </c>
      <c r="J266" s="26">
        <f>IF(A266="","",IFERROR(IF(INDEX(tbl_Onsite[Client],IFERROR(MATCH(A266&amp;"",tbl_Onsite[Job Number],0),MATCH(IFERROR(A266+0,A266),tbl_Onsite[Job Number],0)))="","",INDEX(tbl_Onsite[Client],IFERROR(MATCH(A266&amp;"",tbl_Onsite[Job Number],0),MATCH(IFERROR(A266+0,A266),tbl_Onsite[Job Number],0)))),IFERROR(IF(INDEX(tbl_Production[Client],IFERROR(MATCH(A266&amp;"",tbl_Production[Job Number],0),MATCH(IFERROR(A266+0,A266),tbl_Production[Job Number],0)))="","",INDEX(tbl_Production[Client],IFERROR(MATCH(A266&amp;"",tbl_Production[Job Number],0),MATCH(IFERROR(A266+0,A266),tbl_Production[Job Number],0)))),IFERROR(IF(INDEX(tbl_Consulting[Client],IFERROR(MATCH(A266&amp;"",tbl_Consulting[Job Number],0),MATCH(IFERROR(A266+0,A266),tbl_Consulting[Job Number],0)))="","",INDEX(tbl_Consulting[Client],IFERROR(MATCH(A266&amp;"",tbl_Consulting[Job Number],0),MATCH(IFERROR(A266+0,A266),tbl_Consulting[Job Number],0)))),""))))</f>
        <v/>
      </c>
      <c r="K266" s="26">
        <f>IF(A266="","",IFERROR(IF(INDEX(tbl_Onsite[Job Description],IFERROR(MATCH(A266&amp;"",tbl_Onsite[Job Number],0),MATCH(IFERROR(A266+0,A266),tbl_Onsite[Job Number],0)))="","",INDEX(tbl_Onsite[Job Description],IFERROR(MATCH(A266&amp;"",tbl_Onsite[Job Number],0),MATCH(IFERROR(A266+0,A266),tbl_Onsite[Job Number],0)))),IFERROR(IF(INDEX(tbl_Production[Job Description],IFERROR(MATCH(A266&amp;"",tbl_Production[Job Number],0),MATCH(IFERROR(A266+0,A266),tbl_Production[Job Number],0)))="","",INDEX(tbl_Production[Job Description],IFERROR(MATCH(A266&amp;"",tbl_Production[Job Number],0),MATCH(IFERROR(A266+0,A266),tbl_Production[Job Number],0)))),IFERROR(IF(INDEX(tbl_Consulting[Job Description],IFERROR(MATCH(A266&amp;"",tbl_Consulting[Job Number],0),MATCH(IFERROR(A266+0,A266),tbl_Consulting[Job Number],0)))="","",INDEX(tbl_Consulting[Job Description],IFERROR(MATCH(A266&amp;"",tbl_Consulting[Job Number],0),MATCH(IFERROR(A266+0,A266),tbl_Consulting[Job Number],0)))),""))))</f>
        <v/>
      </c>
      <c r="L266" s="26">
        <f>IF(A266="","",IFERROR(IF(INDEX(tbl_Onsite[Invoice Type],IFERROR(MATCH(A266&amp;"",tbl_Onsite[Job Number],0),MATCH(IFERROR(A266+0,A266),tbl_Onsite[Job Number],0)))="","",INDEX(tbl_Onsite[Invoice Type],IFERROR(MATCH(A266&amp;"",tbl_Onsite[Job Number],0),MATCH(IFERROR(A266+0,A266),tbl_Onsite[Job Number],0)))),IFERROR(IF(INDEX(tbl_Production[Invoice Type],IFERROR(MATCH(A266&amp;"",tbl_Production[Job Number],0),MATCH(IFERROR(A266+0,A266),tbl_Production[Job Number],0)))="","",INDEX(tbl_Production[Invoice Type],IFERROR(MATCH(A266&amp;"",tbl_Production[Job Number],0),MATCH(IFERROR(A266+0,A266),tbl_Production[Job Number],0)))),IFERROR(IF(INDEX(tbl_Consulting[Invoice Type],IFERROR(MATCH(A266&amp;"",tbl_Consulting[Job Number],0),MATCH(IFERROR(A266+0,A266),tbl_Consulting[Job Number],0)))="","",INDEX(tbl_Consulting[Invoice Type],IFERROR(MATCH(A266&amp;"",tbl_Consulting[Job Number],0),MATCH(IFERROR(A266+0,A266),tbl_Consulting[Job Number],0)))),""))))</f>
        <v/>
      </c>
      <c r="M266" s="26">
        <f>IF(A266="","",IF(IFERROR(IF(INDEX(tbl_Onsite[Tax Code],IFERROR(MATCH(A266&amp;"",tbl_Onsite[Job Number],0),MATCH(IFERROR(A266+0,A266),tbl_Onsite[Job Number],0)))="","",INDEX(tbl_Onsite[Tax Code],IFERROR(MATCH(A266&amp;"",tbl_Onsite[Job Number],0),MATCH(IFERROR(A266+0,A266),tbl_Onsite[Job Number],0)))),IFERROR(IF(INDEX(tbl_Production[Tax Code],IFERROR(MATCH(A266&amp;"",tbl_Production[Job Number],0),MATCH(IFERROR(A266+0,A266),tbl_Production[Job Number],0)))="","",INDEX(tbl_Production[Tax Code],IFERROR(MATCH(A266&amp;"",tbl_Production[Job Number],0),MATCH(IFERROR(A266+0,A266),tbl_Production[Job Number],0)))),IFERROR(IF(INDEX(tbl_Consulting[Tax Code],IFERROR(MATCH(A266&amp;"",tbl_Consulting[Job Number],0),MATCH(IFERROR(A266+0,A266),tbl_Consulting[Job Number],0)))="","",INDEX(tbl_Consulting[Tax Code],IFERROR(MATCH(A266&amp;"",tbl_Consulting[Job Number],0),MATCH(IFERROR(A266+0,A266),tbl_Consulting[Job Number],0)))),"")))="","GST 10%",IFERROR(IF(INDEX(tbl_Onsite[Tax Code],IFERROR(MATCH(A266&amp;"",tbl_Onsite[Job Number],0),MATCH(IFERROR(A266+0,A266),tbl_Onsite[Job Number],0)))="","",INDEX(tbl_Onsite[Tax Code],IFERROR(MATCH(A266&amp;"",tbl_Onsite[Job Number],0),MATCH(IFERROR(A266+0,A266),tbl_Onsite[Job Number],0)))),IFERROR(IF(INDEX(tbl_Production[Tax Code],IFERROR(MATCH(A266&amp;"",tbl_Production[Job Number],0),MATCH(IFERROR(A266+0,A266),tbl_Production[Job Number],0)))="","",INDEX(tbl_Production[Tax Code],IFERROR(MATCH(A266&amp;"",tbl_Production[Job Number],0),MATCH(IFERROR(A266+0,A266),tbl_Production[Job Number],0)))),IFERROR(IF(INDEX(tbl_Consulting[Tax Code],IFERROR(MATCH(A266&amp;"",tbl_Consulting[Job Number],0),MATCH(IFERROR(A266+0,A266),tbl_Consulting[Job Number],0)))="","",INDEX(tbl_Consulting[Tax Code],IFERROR(MATCH(A266&amp;"",tbl_Consulting[Job Number],0),MATCH(IFERROR(A266+0,A266),tbl_Consulting[Job Number],0)))),"")))))</f>
        <v/>
      </c>
      <c r="N266" s="26">
        <f>IF(D266="","",IFERROR(INDEX(lst_CCtoGL,MATCH(D266,lst_CCforGL,0)),""))</f>
        <v/>
      </c>
      <c r="O266" s="27">
        <f>IF(E266="","",IF(M266="GST 10%",ROUND(E266*set_GSTRate,2),0))</f>
        <v/>
      </c>
      <c r="P266" s="27">
        <f>IF(E266="","",E266+O266)</f>
        <v/>
      </c>
      <c r="Q266" s="27">
        <f>IF(A266="","",IFERROR(INDEX(tbl_Onsite[Expected Revenue Ex GST],IFERROR(MATCH(A266&amp;"",tbl_Onsite[Job Number],0),MATCH(IFERROR(A266+0,A266),tbl_Onsite[Job Number],0))),IFERROR(INDEX(tbl_Production[Expected Revenue Ex GST],IFERROR(MATCH(A266&amp;"",tbl_Production[Job Number],0),MATCH(IFERROR(A266+0,A266),tbl_Production[Job Number],0))),IFERROR(INDEX(tbl_Consulting[Expected Revenue Ex GST],IFERROR(MATCH(A266&amp;"",tbl_Consulting[Job Number],0),MATCH(IFERROR(A266+0,A266),tbl_Consulting[Job Number],0))),0))))</f>
        <v/>
      </c>
      <c r="R266" s="27">
        <f>IF(A266="","",SUMIFS(tbl_Finance[Ex GST],tbl_Finance[Job Number],A266&amp;""))</f>
        <v/>
      </c>
      <c r="S266" s="27">
        <f>IF(A266="","",Q266-R266)</f>
        <v/>
      </c>
      <c r="T266" s="26">
        <f>IF(A266="","",IF(Q266=0,"No dept value",IF(ROUND(S266,2)=0,"Agrees",IF(S266&gt;0,"Dept higher - to invoice","Xero higher - check dept"))))</f>
        <v/>
      </c>
      <c r="U266" s="22" t="n"/>
      <c r="V266" s="22" t="n"/>
      <c r="W266" s="23" t="n"/>
      <c r="X266" s="23" t="n"/>
      <c r="Y266" s="22" t="n"/>
      <c r="Z266" s="22" t="n"/>
      <c r="AA266" s="26">
        <f>IF(COUNTA(C266,A266,B266,E266)=0,"",IF(C266="","No date - sits outside every month",IF(A266="","No job number",IF(H266="CHECK","Job number is not in the Xero job list",IF(G266="not set up yet","No department has set this job up - nothing can pull through",IF(D266="","No cost centre",IF(AND(U266="Y",B266=""),"Marked posted to Xero but has no invoice number",IF(N266="","Cost centre has no revenue GL on the Lists sheet",IF(T266="Xero higher - check dept","Invoiced more than the department says the job is worth","")))))))))</f>
        <v/>
      </c>
      <c r="AB266" s="28">
        <f>IF(A266="","",COUNTIFS(tbl_Finance[Job Number],A266&amp;"",tbl_Finance[Ex GST],"&lt;&gt;"))</f>
        <v/>
      </c>
      <c r="AC266" s="27">
        <f>IF(A266="","",SUMIFS(tbl_Finance[Ex GST],tbl_Finance[Job Number],A266&amp;""))</f>
        <v/>
      </c>
      <c r="AD266" s="27">
        <f>IF(A266="","",SUMIFS(tbl_Finance[Ex GST],tbl_Finance[Job Number],A266&amp;"",tbl_Finance[Xero Invoice No],"&lt;&gt;"))</f>
        <v/>
      </c>
      <c r="AE266" s="27">
        <f>IF(A266="","",AC266-AD266)</f>
        <v/>
      </c>
      <c r="AF266" s="26">
        <f>IF(A266="","",IFERROR(IF(INDEX(tbl_Onsite[Qwilr Quote],IFERROR(MATCH(A266&amp;"",tbl_Onsite[Job Number],0),MATCH(IFERROR(A266+0,A266),tbl_Onsite[Job Number],0)))="","",INDEX(tbl_Onsite[Qwilr Quote],IFERROR(MATCH(A266&amp;"",tbl_Onsite[Job Number],0),MATCH(IFERROR(A266+0,A266),tbl_Onsite[Job Number],0)))),IFERROR(IF(IF(INDEX(tbl_Production[Current RMS No],IFERROR(MATCH(A266&amp;"",tbl_Production[Job Number],0),MATCH(IFERROR(A266+0,A266),tbl_Production[Job Number],0)))="",INDEX(tbl_Production[Qwilr Quote],IFERROR(MATCH(A266&amp;"",tbl_Production[Job Number],0),MATCH(IFERROR(A266+0,A266),tbl_Production[Job Number],0))),INDEX(tbl_Production[Current RMS No],IFERROR(MATCH(A266&amp;"",tbl_Production[Job Number],0),MATCH(IFERROR(A266+0,A266),tbl_Production[Job Number],0))))="","",IF(INDEX(tbl_Production[Current RMS No],IFERROR(MATCH(A266&amp;"",tbl_Production[Job Number],0),MATCH(IFERROR(A266+0,A266),tbl_Production[Job Number],0)))="",INDEX(tbl_Production[Qwilr Quote],IFERROR(MATCH(A266&amp;"",tbl_Production[Job Number],0),MATCH(IFERROR(A266+0,A266),tbl_Production[Job Number],0))),INDEX(tbl_Production[Current RMS No],IFERROR(MATCH(A266&amp;"",tbl_Production[Job Number],0),MATCH(IFERROR(A266+0,A266),tbl_Production[Job Number],0))))),IFERROR(IF(INDEX(tbl_Consulting[Qwilr Quote],IFERROR(MATCH(A266&amp;"",tbl_Consulting[Job Number],0),MATCH(IFERROR(A266+0,A266),tbl_Consulting[Job Number],0)))="","",INDEX(tbl_Consulting[Qwilr Quote],IFERROR(MATCH(A266&amp;"",tbl_Consulting[Job Number],0),MATCH(IFERROR(A266+0,A266),tbl_Consulting[Job Number],0)))),""))))</f>
        <v/>
      </c>
      <c r="AG266" s="26">
        <f>IF(AF266="","",IF(AND(LEFT(AF266,4)&lt;&gt;"http",IF(G266="Production",set_RMSBase,set_QwilrBase)=""),"",HYPERLINK(IF(LEFT(AF266,4)="http",AF266,IF(G266="Production",set_RMSBase,set_QwilrBase)&amp;AF266),"Open")))</f>
        <v/>
      </c>
      <c r="AH266" s="27">
        <f>IF(A266="","",IFERROR(INDEX(tbl_Production[Total Expense],IFERROR(MATCH(A266&amp;"",tbl_Production[Job Number],0),MATCH(IFERROR(A266+0,A266),tbl_Production[Job Number],0))),IFERROR(INDEX(tbl_Consulting[Total Expense],IFERROR(MATCH(A266&amp;"",tbl_Consulting[Job Number],0),MATCH(IFERROR(A266+0,A266),tbl_Consulting[Job Number],0))),0)))</f>
        <v/>
      </c>
      <c r="AI266" s="27">
        <f>IF(A266="","",AC266-N(AH266))</f>
        <v/>
      </c>
      <c r="AJ266" s="29">
        <f>IFERROR(AI266/AC266,"")</f>
        <v/>
      </c>
      <c r="AK266" s="26">
        <f>IF(A266="","",IFERROR(IF(INDEX(tbl_Onsite[Notes],IFERROR(MATCH(A266&amp;"",tbl_Onsite[Job Number],0),MATCH(IFERROR(A266+0,A266),tbl_Onsite[Job Number],0)))="","",INDEX(tbl_Onsite[Notes],IFERROR(MATCH(A266&amp;"",tbl_Onsite[Job Number],0),MATCH(IFERROR(A266+0,A266),tbl_Onsite[Job Number],0)))),IFERROR(IF(INDEX(tbl_Production[Notes],IFERROR(MATCH(A266&amp;"",tbl_Production[Job Number],0),MATCH(IFERROR(A266+0,A266),tbl_Production[Job Number],0)))="","",INDEX(tbl_Production[Notes],IFERROR(MATCH(A266&amp;"",tbl_Production[Job Number],0),MATCH(IFERROR(A266+0,A266),tbl_Production[Job Number],0)))),IFERROR(IF(INDEX(tbl_Consulting[Notes],IFERROR(MATCH(A266&amp;"",tbl_Consulting[Job Number],0),MATCH(IFERROR(A266+0,A266),tbl_Consulting[Job Number],0)))="","",INDEX(tbl_Consulting[Notes],IFERROR(MATCH(A266&amp;"",tbl_Consulting[Job Number],0),MATCH(IFERROR(A266+0,A266),tbl_Consulting[Job Number],0)))),""))))</f>
        <v/>
      </c>
    </row>
    <row r="267" ht="15" customHeight="1">
      <c r="A267" s="22" t="n"/>
      <c r="B267" s="22" t="n"/>
      <c r="C267" s="23" t="n"/>
      <c r="D267" s="22" t="n"/>
      <c r="E267" s="24" t="n"/>
      <c r="F267" s="25">
        <f>IF(C267="","",EOMONTH(C267,0))</f>
        <v/>
      </c>
      <c r="G267" s="26">
        <f>IF(A267="","",IF(COUNTIF(tbl_Onsite[Job Number],A267&amp;"")&gt;0,"Onsite",IF(COUNTIF(tbl_Production[Job Number],A267&amp;"")&gt;0,"Production",IF(COUNTIF(tbl_Consulting[Job Number],A267&amp;"")&gt;0,"Consulting","not set up yet"))))</f>
        <v/>
      </c>
      <c r="H267" s="26">
        <f>IF(A267="","",IF(COUNTIF(lst_Jobs,A267&amp;"")&gt;0,"OK","CHECK"))</f>
        <v/>
      </c>
      <c r="I267" s="26">
        <f>IF(A267="","",IFERROR(INDEX(lst_JobName,MATCH(A267&amp;"",lst_Jobs,0)),""))</f>
        <v/>
      </c>
      <c r="J267" s="26">
        <f>IF(A267="","",IFERROR(IF(INDEX(tbl_Onsite[Client],IFERROR(MATCH(A267&amp;"",tbl_Onsite[Job Number],0),MATCH(IFERROR(A267+0,A267),tbl_Onsite[Job Number],0)))="","",INDEX(tbl_Onsite[Client],IFERROR(MATCH(A267&amp;"",tbl_Onsite[Job Number],0),MATCH(IFERROR(A267+0,A267),tbl_Onsite[Job Number],0)))),IFERROR(IF(INDEX(tbl_Production[Client],IFERROR(MATCH(A267&amp;"",tbl_Production[Job Number],0),MATCH(IFERROR(A267+0,A267),tbl_Production[Job Number],0)))="","",INDEX(tbl_Production[Client],IFERROR(MATCH(A267&amp;"",tbl_Production[Job Number],0),MATCH(IFERROR(A267+0,A267),tbl_Production[Job Number],0)))),IFERROR(IF(INDEX(tbl_Consulting[Client],IFERROR(MATCH(A267&amp;"",tbl_Consulting[Job Number],0),MATCH(IFERROR(A267+0,A267),tbl_Consulting[Job Number],0)))="","",INDEX(tbl_Consulting[Client],IFERROR(MATCH(A267&amp;"",tbl_Consulting[Job Number],0),MATCH(IFERROR(A267+0,A267),tbl_Consulting[Job Number],0)))),""))))</f>
        <v/>
      </c>
      <c r="K267" s="26">
        <f>IF(A267="","",IFERROR(IF(INDEX(tbl_Onsite[Job Description],IFERROR(MATCH(A267&amp;"",tbl_Onsite[Job Number],0),MATCH(IFERROR(A267+0,A267),tbl_Onsite[Job Number],0)))="","",INDEX(tbl_Onsite[Job Description],IFERROR(MATCH(A267&amp;"",tbl_Onsite[Job Number],0),MATCH(IFERROR(A267+0,A267),tbl_Onsite[Job Number],0)))),IFERROR(IF(INDEX(tbl_Production[Job Description],IFERROR(MATCH(A267&amp;"",tbl_Production[Job Number],0),MATCH(IFERROR(A267+0,A267),tbl_Production[Job Number],0)))="","",INDEX(tbl_Production[Job Description],IFERROR(MATCH(A267&amp;"",tbl_Production[Job Number],0),MATCH(IFERROR(A267+0,A267),tbl_Production[Job Number],0)))),IFERROR(IF(INDEX(tbl_Consulting[Job Description],IFERROR(MATCH(A267&amp;"",tbl_Consulting[Job Number],0),MATCH(IFERROR(A267+0,A267),tbl_Consulting[Job Number],0)))="","",INDEX(tbl_Consulting[Job Description],IFERROR(MATCH(A267&amp;"",tbl_Consulting[Job Number],0),MATCH(IFERROR(A267+0,A267),tbl_Consulting[Job Number],0)))),""))))</f>
        <v/>
      </c>
      <c r="L267" s="26">
        <f>IF(A267="","",IFERROR(IF(INDEX(tbl_Onsite[Invoice Type],IFERROR(MATCH(A267&amp;"",tbl_Onsite[Job Number],0),MATCH(IFERROR(A267+0,A267),tbl_Onsite[Job Number],0)))="","",INDEX(tbl_Onsite[Invoice Type],IFERROR(MATCH(A267&amp;"",tbl_Onsite[Job Number],0),MATCH(IFERROR(A267+0,A267),tbl_Onsite[Job Number],0)))),IFERROR(IF(INDEX(tbl_Production[Invoice Type],IFERROR(MATCH(A267&amp;"",tbl_Production[Job Number],0),MATCH(IFERROR(A267+0,A267),tbl_Production[Job Number],0)))="","",INDEX(tbl_Production[Invoice Type],IFERROR(MATCH(A267&amp;"",tbl_Production[Job Number],0),MATCH(IFERROR(A267+0,A267),tbl_Production[Job Number],0)))),IFERROR(IF(INDEX(tbl_Consulting[Invoice Type],IFERROR(MATCH(A267&amp;"",tbl_Consulting[Job Number],0),MATCH(IFERROR(A267+0,A267),tbl_Consulting[Job Number],0)))="","",INDEX(tbl_Consulting[Invoice Type],IFERROR(MATCH(A267&amp;"",tbl_Consulting[Job Number],0),MATCH(IFERROR(A267+0,A267),tbl_Consulting[Job Number],0)))),""))))</f>
        <v/>
      </c>
      <c r="M267" s="26">
        <f>IF(A267="","",IF(IFERROR(IF(INDEX(tbl_Onsite[Tax Code],IFERROR(MATCH(A267&amp;"",tbl_Onsite[Job Number],0),MATCH(IFERROR(A267+0,A267),tbl_Onsite[Job Number],0)))="","",INDEX(tbl_Onsite[Tax Code],IFERROR(MATCH(A267&amp;"",tbl_Onsite[Job Number],0),MATCH(IFERROR(A267+0,A267),tbl_Onsite[Job Number],0)))),IFERROR(IF(INDEX(tbl_Production[Tax Code],IFERROR(MATCH(A267&amp;"",tbl_Production[Job Number],0),MATCH(IFERROR(A267+0,A267),tbl_Production[Job Number],0)))="","",INDEX(tbl_Production[Tax Code],IFERROR(MATCH(A267&amp;"",tbl_Production[Job Number],0),MATCH(IFERROR(A267+0,A267),tbl_Production[Job Number],0)))),IFERROR(IF(INDEX(tbl_Consulting[Tax Code],IFERROR(MATCH(A267&amp;"",tbl_Consulting[Job Number],0),MATCH(IFERROR(A267+0,A267),tbl_Consulting[Job Number],0)))="","",INDEX(tbl_Consulting[Tax Code],IFERROR(MATCH(A267&amp;"",tbl_Consulting[Job Number],0),MATCH(IFERROR(A267+0,A267),tbl_Consulting[Job Number],0)))),"")))="","GST 10%",IFERROR(IF(INDEX(tbl_Onsite[Tax Code],IFERROR(MATCH(A267&amp;"",tbl_Onsite[Job Number],0),MATCH(IFERROR(A267+0,A267),tbl_Onsite[Job Number],0)))="","",INDEX(tbl_Onsite[Tax Code],IFERROR(MATCH(A267&amp;"",tbl_Onsite[Job Number],0),MATCH(IFERROR(A267+0,A267),tbl_Onsite[Job Number],0)))),IFERROR(IF(INDEX(tbl_Production[Tax Code],IFERROR(MATCH(A267&amp;"",tbl_Production[Job Number],0),MATCH(IFERROR(A267+0,A267),tbl_Production[Job Number],0)))="","",INDEX(tbl_Production[Tax Code],IFERROR(MATCH(A267&amp;"",tbl_Production[Job Number],0),MATCH(IFERROR(A267+0,A267),tbl_Production[Job Number],0)))),IFERROR(IF(INDEX(tbl_Consulting[Tax Code],IFERROR(MATCH(A267&amp;"",tbl_Consulting[Job Number],0),MATCH(IFERROR(A267+0,A267),tbl_Consulting[Job Number],0)))="","",INDEX(tbl_Consulting[Tax Code],IFERROR(MATCH(A267&amp;"",tbl_Consulting[Job Number],0),MATCH(IFERROR(A267+0,A267),tbl_Consulting[Job Number],0)))),"")))))</f>
        <v/>
      </c>
      <c r="N267" s="26">
        <f>IF(D267="","",IFERROR(INDEX(lst_CCtoGL,MATCH(D267,lst_CCforGL,0)),""))</f>
        <v/>
      </c>
      <c r="O267" s="27">
        <f>IF(E267="","",IF(M267="GST 10%",ROUND(E267*set_GSTRate,2),0))</f>
        <v/>
      </c>
      <c r="P267" s="27">
        <f>IF(E267="","",E267+O267)</f>
        <v/>
      </c>
      <c r="Q267" s="27">
        <f>IF(A267="","",IFERROR(INDEX(tbl_Onsite[Expected Revenue Ex GST],IFERROR(MATCH(A267&amp;"",tbl_Onsite[Job Number],0),MATCH(IFERROR(A267+0,A267),tbl_Onsite[Job Number],0))),IFERROR(INDEX(tbl_Production[Expected Revenue Ex GST],IFERROR(MATCH(A267&amp;"",tbl_Production[Job Number],0),MATCH(IFERROR(A267+0,A267),tbl_Production[Job Number],0))),IFERROR(INDEX(tbl_Consulting[Expected Revenue Ex GST],IFERROR(MATCH(A267&amp;"",tbl_Consulting[Job Number],0),MATCH(IFERROR(A267+0,A267),tbl_Consulting[Job Number],0))),0))))</f>
        <v/>
      </c>
      <c r="R267" s="27">
        <f>IF(A267="","",SUMIFS(tbl_Finance[Ex GST],tbl_Finance[Job Number],A267&amp;""))</f>
        <v/>
      </c>
      <c r="S267" s="27">
        <f>IF(A267="","",Q267-R267)</f>
        <v/>
      </c>
      <c r="T267" s="26">
        <f>IF(A267="","",IF(Q267=0,"No dept value",IF(ROUND(S267,2)=0,"Agrees",IF(S267&gt;0,"Dept higher - to invoice","Xero higher - check dept"))))</f>
        <v/>
      </c>
      <c r="U267" s="22" t="n"/>
      <c r="V267" s="22" t="n"/>
      <c r="W267" s="23" t="n"/>
      <c r="X267" s="23" t="n"/>
      <c r="Y267" s="22" t="n"/>
      <c r="Z267" s="22" t="n"/>
      <c r="AA267" s="26">
        <f>IF(COUNTA(C267,A267,B267,E267)=0,"",IF(C267="","No date - sits outside every month",IF(A267="","No job number",IF(H267="CHECK","Job number is not in the Xero job list",IF(G267="not set up yet","No department has set this job up - nothing can pull through",IF(D267="","No cost centre",IF(AND(U267="Y",B267=""),"Marked posted to Xero but has no invoice number",IF(N267="","Cost centre has no revenue GL on the Lists sheet",IF(T267="Xero higher - check dept","Invoiced more than the department says the job is worth","")))))))))</f>
        <v/>
      </c>
      <c r="AB267" s="28">
        <f>IF(A267="","",COUNTIFS(tbl_Finance[Job Number],A267&amp;"",tbl_Finance[Ex GST],"&lt;&gt;"))</f>
        <v/>
      </c>
      <c r="AC267" s="27">
        <f>IF(A267="","",SUMIFS(tbl_Finance[Ex GST],tbl_Finance[Job Number],A267&amp;""))</f>
        <v/>
      </c>
      <c r="AD267" s="27">
        <f>IF(A267="","",SUMIFS(tbl_Finance[Ex GST],tbl_Finance[Job Number],A267&amp;"",tbl_Finance[Xero Invoice No],"&lt;&gt;"))</f>
        <v/>
      </c>
      <c r="AE267" s="27">
        <f>IF(A267="","",AC267-AD267)</f>
        <v/>
      </c>
      <c r="AF267" s="26">
        <f>IF(A267="","",IFERROR(IF(INDEX(tbl_Onsite[Qwilr Quote],IFERROR(MATCH(A267&amp;"",tbl_Onsite[Job Number],0),MATCH(IFERROR(A267+0,A267),tbl_Onsite[Job Number],0)))="","",INDEX(tbl_Onsite[Qwilr Quote],IFERROR(MATCH(A267&amp;"",tbl_Onsite[Job Number],0),MATCH(IFERROR(A267+0,A267),tbl_Onsite[Job Number],0)))),IFERROR(IF(IF(INDEX(tbl_Production[Current RMS No],IFERROR(MATCH(A267&amp;"",tbl_Production[Job Number],0),MATCH(IFERROR(A267+0,A267),tbl_Production[Job Number],0)))="",INDEX(tbl_Production[Qwilr Quote],IFERROR(MATCH(A267&amp;"",tbl_Production[Job Number],0),MATCH(IFERROR(A267+0,A267),tbl_Production[Job Number],0))),INDEX(tbl_Production[Current RMS No],IFERROR(MATCH(A267&amp;"",tbl_Production[Job Number],0),MATCH(IFERROR(A267+0,A267),tbl_Production[Job Number],0))))="","",IF(INDEX(tbl_Production[Current RMS No],IFERROR(MATCH(A267&amp;"",tbl_Production[Job Number],0),MATCH(IFERROR(A267+0,A267),tbl_Production[Job Number],0)))="",INDEX(tbl_Production[Qwilr Quote],IFERROR(MATCH(A267&amp;"",tbl_Production[Job Number],0),MATCH(IFERROR(A267+0,A267),tbl_Production[Job Number],0))),INDEX(tbl_Production[Current RMS No],IFERROR(MATCH(A267&amp;"",tbl_Production[Job Number],0),MATCH(IFERROR(A267+0,A267),tbl_Production[Job Number],0))))),IFERROR(IF(INDEX(tbl_Consulting[Qwilr Quote],IFERROR(MATCH(A267&amp;"",tbl_Consulting[Job Number],0),MATCH(IFERROR(A267+0,A267),tbl_Consulting[Job Number],0)))="","",INDEX(tbl_Consulting[Qwilr Quote],IFERROR(MATCH(A267&amp;"",tbl_Consulting[Job Number],0),MATCH(IFERROR(A267+0,A267),tbl_Consulting[Job Number],0)))),""))))</f>
        <v/>
      </c>
      <c r="AG267" s="26">
        <f>IF(AF267="","",IF(AND(LEFT(AF267,4)&lt;&gt;"http",IF(G267="Production",set_RMSBase,set_QwilrBase)=""),"",HYPERLINK(IF(LEFT(AF267,4)="http",AF267,IF(G267="Production",set_RMSBase,set_QwilrBase)&amp;AF267),"Open")))</f>
        <v/>
      </c>
      <c r="AH267" s="27">
        <f>IF(A267="","",IFERROR(INDEX(tbl_Production[Total Expense],IFERROR(MATCH(A267&amp;"",tbl_Production[Job Number],0),MATCH(IFERROR(A267+0,A267),tbl_Production[Job Number],0))),IFERROR(INDEX(tbl_Consulting[Total Expense],IFERROR(MATCH(A267&amp;"",tbl_Consulting[Job Number],0),MATCH(IFERROR(A267+0,A267),tbl_Consulting[Job Number],0))),0)))</f>
        <v/>
      </c>
      <c r="AI267" s="27">
        <f>IF(A267="","",AC267-N(AH267))</f>
        <v/>
      </c>
      <c r="AJ267" s="29">
        <f>IFERROR(AI267/AC267,"")</f>
        <v/>
      </c>
      <c r="AK267" s="26">
        <f>IF(A267="","",IFERROR(IF(INDEX(tbl_Onsite[Notes],IFERROR(MATCH(A267&amp;"",tbl_Onsite[Job Number],0),MATCH(IFERROR(A267+0,A267),tbl_Onsite[Job Number],0)))="","",INDEX(tbl_Onsite[Notes],IFERROR(MATCH(A267&amp;"",tbl_Onsite[Job Number],0),MATCH(IFERROR(A267+0,A267),tbl_Onsite[Job Number],0)))),IFERROR(IF(INDEX(tbl_Production[Notes],IFERROR(MATCH(A267&amp;"",tbl_Production[Job Number],0),MATCH(IFERROR(A267+0,A267),tbl_Production[Job Number],0)))="","",INDEX(tbl_Production[Notes],IFERROR(MATCH(A267&amp;"",tbl_Production[Job Number],0),MATCH(IFERROR(A267+0,A267),tbl_Production[Job Number],0)))),IFERROR(IF(INDEX(tbl_Consulting[Notes],IFERROR(MATCH(A267&amp;"",tbl_Consulting[Job Number],0),MATCH(IFERROR(A267+0,A267),tbl_Consulting[Job Number],0)))="","",INDEX(tbl_Consulting[Notes],IFERROR(MATCH(A267&amp;"",tbl_Consulting[Job Number],0),MATCH(IFERROR(A267+0,A267),tbl_Consulting[Job Number],0)))),""))))</f>
        <v/>
      </c>
    </row>
    <row r="268" ht="15" customHeight="1">
      <c r="A268" s="22" t="n"/>
      <c r="B268" s="22" t="n"/>
      <c r="C268" s="23" t="n"/>
      <c r="D268" s="22" t="n"/>
      <c r="E268" s="24" t="n"/>
      <c r="F268" s="25">
        <f>IF(C268="","",EOMONTH(C268,0))</f>
        <v/>
      </c>
      <c r="G268" s="26">
        <f>IF(A268="","",IF(COUNTIF(tbl_Onsite[Job Number],A268&amp;"")&gt;0,"Onsite",IF(COUNTIF(tbl_Production[Job Number],A268&amp;"")&gt;0,"Production",IF(COUNTIF(tbl_Consulting[Job Number],A268&amp;"")&gt;0,"Consulting","not set up yet"))))</f>
        <v/>
      </c>
      <c r="H268" s="26">
        <f>IF(A268="","",IF(COUNTIF(lst_Jobs,A268&amp;"")&gt;0,"OK","CHECK"))</f>
        <v/>
      </c>
      <c r="I268" s="26">
        <f>IF(A268="","",IFERROR(INDEX(lst_JobName,MATCH(A268&amp;"",lst_Jobs,0)),""))</f>
        <v/>
      </c>
      <c r="J268" s="26">
        <f>IF(A268="","",IFERROR(IF(INDEX(tbl_Onsite[Client],IFERROR(MATCH(A268&amp;"",tbl_Onsite[Job Number],0),MATCH(IFERROR(A268+0,A268),tbl_Onsite[Job Number],0)))="","",INDEX(tbl_Onsite[Client],IFERROR(MATCH(A268&amp;"",tbl_Onsite[Job Number],0),MATCH(IFERROR(A268+0,A268),tbl_Onsite[Job Number],0)))),IFERROR(IF(INDEX(tbl_Production[Client],IFERROR(MATCH(A268&amp;"",tbl_Production[Job Number],0),MATCH(IFERROR(A268+0,A268),tbl_Production[Job Number],0)))="","",INDEX(tbl_Production[Client],IFERROR(MATCH(A268&amp;"",tbl_Production[Job Number],0),MATCH(IFERROR(A268+0,A268),tbl_Production[Job Number],0)))),IFERROR(IF(INDEX(tbl_Consulting[Client],IFERROR(MATCH(A268&amp;"",tbl_Consulting[Job Number],0),MATCH(IFERROR(A268+0,A268),tbl_Consulting[Job Number],0)))="","",INDEX(tbl_Consulting[Client],IFERROR(MATCH(A268&amp;"",tbl_Consulting[Job Number],0),MATCH(IFERROR(A268+0,A268),tbl_Consulting[Job Number],0)))),""))))</f>
        <v/>
      </c>
      <c r="K268" s="26">
        <f>IF(A268="","",IFERROR(IF(INDEX(tbl_Onsite[Job Description],IFERROR(MATCH(A268&amp;"",tbl_Onsite[Job Number],0),MATCH(IFERROR(A268+0,A268),tbl_Onsite[Job Number],0)))="","",INDEX(tbl_Onsite[Job Description],IFERROR(MATCH(A268&amp;"",tbl_Onsite[Job Number],0),MATCH(IFERROR(A268+0,A268),tbl_Onsite[Job Number],0)))),IFERROR(IF(INDEX(tbl_Production[Job Description],IFERROR(MATCH(A268&amp;"",tbl_Production[Job Number],0),MATCH(IFERROR(A268+0,A268),tbl_Production[Job Number],0)))="","",INDEX(tbl_Production[Job Description],IFERROR(MATCH(A268&amp;"",tbl_Production[Job Number],0),MATCH(IFERROR(A268+0,A268),tbl_Production[Job Number],0)))),IFERROR(IF(INDEX(tbl_Consulting[Job Description],IFERROR(MATCH(A268&amp;"",tbl_Consulting[Job Number],0),MATCH(IFERROR(A268+0,A268),tbl_Consulting[Job Number],0)))="","",INDEX(tbl_Consulting[Job Description],IFERROR(MATCH(A268&amp;"",tbl_Consulting[Job Number],0),MATCH(IFERROR(A268+0,A268),tbl_Consulting[Job Number],0)))),""))))</f>
        <v/>
      </c>
      <c r="L268" s="26">
        <f>IF(A268="","",IFERROR(IF(INDEX(tbl_Onsite[Invoice Type],IFERROR(MATCH(A268&amp;"",tbl_Onsite[Job Number],0),MATCH(IFERROR(A268+0,A268),tbl_Onsite[Job Number],0)))="","",INDEX(tbl_Onsite[Invoice Type],IFERROR(MATCH(A268&amp;"",tbl_Onsite[Job Number],0),MATCH(IFERROR(A268+0,A268),tbl_Onsite[Job Number],0)))),IFERROR(IF(INDEX(tbl_Production[Invoice Type],IFERROR(MATCH(A268&amp;"",tbl_Production[Job Number],0),MATCH(IFERROR(A268+0,A268),tbl_Production[Job Number],0)))="","",INDEX(tbl_Production[Invoice Type],IFERROR(MATCH(A268&amp;"",tbl_Production[Job Number],0),MATCH(IFERROR(A268+0,A268),tbl_Production[Job Number],0)))),IFERROR(IF(INDEX(tbl_Consulting[Invoice Type],IFERROR(MATCH(A268&amp;"",tbl_Consulting[Job Number],0),MATCH(IFERROR(A268+0,A268),tbl_Consulting[Job Number],0)))="","",INDEX(tbl_Consulting[Invoice Type],IFERROR(MATCH(A268&amp;"",tbl_Consulting[Job Number],0),MATCH(IFERROR(A268+0,A268),tbl_Consulting[Job Number],0)))),""))))</f>
        <v/>
      </c>
      <c r="M268" s="26">
        <f>IF(A268="","",IF(IFERROR(IF(INDEX(tbl_Onsite[Tax Code],IFERROR(MATCH(A268&amp;"",tbl_Onsite[Job Number],0),MATCH(IFERROR(A268+0,A268),tbl_Onsite[Job Number],0)))="","",INDEX(tbl_Onsite[Tax Code],IFERROR(MATCH(A268&amp;"",tbl_Onsite[Job Number],0),MATCH(IFERROR(A268+0,A268),tbl_Onsite[Job Number],0)))),IFERROR(IF(INDEX(tbl_Production[Tax Code],IFERROR(MATCH(A268&amp;"",tbl_Production[Job Number],0),MATCH(IFERROR(A268+0,A268),tbl_Production[Job Number],0)))="","",INDEX(tbl_Production[Tax Code],IFERROR(MATCH(A268&amp;"",tbl_Production[Job Number],0),MATCH(IFERROR(A268+0,A268),tbl_Production[Job Number],0)))),IFERROR(IF(INDEX(tbl_Consulting[Tax Code],IFERROR(MATCH(A268&amp;"",tbl_Consulting[Job Number],0),MATCH(IFERROR(A268+0,A268),tbl_Consulting[Job Number],0)))="","",INDEX(tbl_Consulting[Tax Code],IFERROR(MATCH(A268&amp;"",tbl_Consulting[Job Number],0),MATCH(IFERROR(A268+0,A268),tbl_Consulting[Job Number],0)))),"")))="","GST 10%",IFERROR(IF(INDEX(tbl_Onsite[Tax Code],IFERROR(MATCH(A268&amp;"",tbl_Onsite[Job Number],0),MATCH(IFERROR(A268+0,A268),tbl_Onsite[Job Number],0)))="","",INDEX(tbl_Onsite[Tax Code],IFERROR(MATCH(A268&amp;"",tbl_Onsite[Job Number],0),MATCH(IFERROR(A268+0,A268),tbl_Onsite[Job Number],0)))),IFERROR(IF(INDEX(tbl_Production[Tax Code],IFERROR(MATCH(A268&amp;"",tbl_Production[Job Number],0),MATCH(IFERROR(A268+0,A268),tbl_Production[Job Number],0)))="","",INDEX(tbl_Production[Tax Code],IFERROR(MATCH(A268&amp;"",tbl_Production[Job Number],0),MATCH(IFERROR(A268+0,A268),tbl_Production[Job Number],0)))),IFERROR(IF(INDEX(tbl_Consulting[Tax Code],IFERROR(MATCH(A268&amp;"",tbl_Consulting[Job Number],0),MATCH(IFERROR(A268+0,A268),tbl_Consulting[Job Number],0)))="","",INDEX(tbl_Consulting[Tax Code],IFERROR(MATCH(A268&amp;"",tbl_Consulting[Job Number],0),MATCH(IFERROR(A268+0,A268),tbl_Consulting[Job Number],0)))),"")))))</f>
        <v/>
      </c>
      <c r="N268" s="26">
        <f>IF(D268="","",IFERROR(INDEX(lst_CCtoGL,MATCH(D268,lst_CCforGL,0)),""))</f>
        <v/>
      </c>
      <c r="O268" s="27">
        <f>IF(E268="","",IF(M268="GST 10%",ROUND(E268*set_GSTRate,2),0))</f>
        <v/>
      </c>
      <c r="P268" s="27">
        <f>IF(E268="","",E268+O268)</f>
        <v/>
      </c>
      <c r="Q268" s="27">
        <f>IF(A268="","",IFERROR(INDEX(tbl_Onsite[Expected Revenue Ex GST],IFERROR(MATCH(A268&amp;"",tbl_Onsite[Job Number],0),MATCH(IFERROR(A268+0,A268),tbl_Onsite[Job Number],0))),IFERROR(INDEX(tbl_Production[Expected Revenue Ex GST],IFERROR(MATCH(A268&amp;"",tbl_Production[Job Number],0),MATCH(IFERROR(A268+0,A268),tbl_Production[Job Number],0))),IFERROR(INDEX(tbl_Consulting[Expected Revenue Ex GST],IFERROR(MATCH(A268&amp;"",tbl_Consulting[Job Number],0),MATCH(IFERROR(A268+0,A268),tbl_Consulting[Job Number],0))),0))))</f>
        <v/>
      </c>
      <c r="R268" s="27">
        <f>IF(A268="","",SUMIFS(tbl_Finance[Ex GST],tbl_Finance[Job Number],A268&amp;""))</f>
        <v/>
      </c>
      <c r="S268" s="27">
        <f>IF(A268="","",Q268-R268)</f>
        <v/>
      </c>
      <c r="T268" s="26">
        <f>IF(A268="","",IF(Q268=0,"No dept value",IF(ROUND(S268,2)=0,"Agrees",IF(S268&gt;0,"Dept higher - to invoice","Xero higher - check dept"))))</f>
        <v/>
      </c>
      <c r="U268" s="22" t="n"/>
      <c r="V268" s="22" t="n"/>
      <c r="W268" s="23" t="n"/>
      <c r="X268" s="23" t="n"/>
      <c r="Y268" s="22" t="n"/>
      <c r="Z268" s="22" t="n"/>
      <c r="AA268" s="26">
        <f>IF(COUNTA(C268,A268,B268,E268)=0,"",IF(C268="","No date - sits outside every month",IF(A268="","No job number",IF(H268="CHECK","Job number is not in the Xero job list",IF(G268="not set up yet","No department has set this job up - nothing can pull through",IF(D268="","No cost centre",IF(AND(U268="Y",B268=""),"Marked posted to Xero but has no invoice number",IF(N268="","Cost centre has no revenue GL on the Lists sheet",IF(T268="Xero higher - check dept","Invoiced more than the department says the job is worth","")))))))))</f>
        <v/>
      </c>
      <c r="AB268" s="28">
        <f>IF(A268="","",COUNTIFS(tbl_Finance[Job Number],A268&amp;"",tbl_Finance[Ex GST],"&lt;&gt;"))</f>
        <v/>
      </c>
      <c r="AC268" s="27">
        <f>IF(A268="","",SUMIFS(tbl_Finance[Ex GST],tbl_Finance[Job Number],A268&amp;""))</f>
        <v/>
      </c>
      <c r="AD268" s="27">
        <f>IF(A268="","",SUMIFS(tbl_Finance[Ex GST],tbl_Finance[Job Number],A268&amp;"",tbl_Finance[Xero Invoice No],"&lt;&gt;"))</f>
        <v/>
      </c>
      <c r="AE268" s="27">
        <f>IF(A268="","",AC268-AD268)</f>
        <v/>
      </c>
      <c r="AF268" s="26">
        <f>IF(A268="","",IFERROR(IF(INDEX(tbl_Onsite[Qwilr Quote],IFERROR(MATCH(A268&amp;"",tbl_Onsite[Job Number],0),MATCH(IFERROR(A268+0,A268),tbl_Onsite[Job Number],0)))="","",INDEX(tbl_Onsite[Qwilr Quote],IFERROR(MATCH(A268&amp;"",tbl_Onsite[Job Number],0),MATCH(IFERROR(A268+0,A268),tbl_Onsite[Job Number],0)))),IFERROR(IF(IF(INDEX(tbl_Production[Current RMS No],IFERROR(MATCH(A268&amp;"",tbl_Production[Job Number],0),MATCH(IFERROR(A268+0,A268),tbl_Production[Job Number],0)))="",INDEX(tbl_Production[Qwilr Quote],IFERROR(MATCH(A268&amp;"",tbl_Production[Job Number],0),MATCH(IFERROR(A268+0,A268),tbl_Production[Job Number],0))),INDEX(tbl_Production[Current RMS No],IFERROR(MATCH(A268&amp;"",tbl_Production[Job Number],0),MATCH(IFERROR(A268+0,A268),tbl_Production[Job Number],0))))="","",IF(INDEX(tbl_Production[Current RMS No],IFERROR(MATCH(A268&amp;"",tbl_Production[Job Number],0),MATCH(IFERROR(A268+0,A268),tbl_Production[Job Number],0)))="",INDEX(tbl_Production[Qwilr Quote],IFERROR(MATCH(A268&amp;"",tbl_Production[Job Number],0),MATCH(IFERROR(A268+0,A268),tbl_Production[Job Number],0))),INDEX(tbl_Production[Current RMS No],IFERROR(MATCH(A268&amp;"",tbl_Production[Job Number],0),MATCH(IFERROR(A268+0,A268),tbl_Production[Job Number],0))))),IFERROR(IF(INDEX(tbl_Consulting[Qwilr Quote],IFERROR(MATCH(A268&amp;"",tbl_Consulting[Job Number],0),MATCH(IFERROR(A268+0,A268),tbl_Consulting[Job Number],0)))="","",INDEX(tbl_Consulting[Qwilr Quote],IFERROR(MATCH(A268&amp;"",tbl_Consulting[Job Number],0),MATCH(IFERROR(A268+0,A268),tbl_Consulting[Job Number],0)))),""))))</f>
        <v/>
      </c>
      <c r="AG268" s="26">
        <f>IF(AF268="","",IF(AND(LEFT(AF268,4)&lt;&gt;"http",IF(G268="Production",set_RMSBase,set_QwilrBase)=""),"",HYPERLINK(IF(LEFT(AF268,4)="http",AF268,IF(G268="Production",set_RMSBase,set_QwilrBase)&amp;AF268),"Open")))</f>
        <v/>
      </c>
      <c r="AH268" s="27">
        <f>IF(A268="","",IFERROR(INDEX(tbl_Production[Total Expense],IFERROR(MATCH(A268&amp;"",tbl_Production[Job Number],0),MATCH(IFERROR(A268+0,A268),tbl_Production[Job Number],0))),IFERROR(INDEX(tbl_Consulting[Total Expense],IFERROR(MATCH(A268&amp;"",tbl_Consulting[Job Number],0),MATCH(IFERROR(A268+0,A268),tbl_Consulting[Job Number],0))),0)))</f>
        <v/>
      </c>
      <c r="AI268" s="27">
        <f>IF(A268="","",AC268-N(AH268))</f>
        <v/>
      </c>
      <c r="AJ268" s="29">
        <f>IFERROR(AI268/AC268,"")</f>
        <v/>
      </c>
      <c r="AK268" s="26">
        <f>IF(A268="","",IFERROR(IF(INDEX(tbl_Onsite[Notes],IFERROR(MATCH(A268&amp;"",tbl_Onsite[Job Number],0),MATCH(IFERROR(A268+0,A268),tbl_Onsite[Job Number],0)))="","",INDEX(tbl_Onsite[Notes],IFERROR(MATCH(A268&amp;"",tbl_Onsite[Job Number],0),MATCH(IFERROR(A268+0,A268),tbl_Onsite[Job Number],0)))),IFERROR(IF(INDEX(tbl_Production[Notes],IFERROR(MATCH(A268&amp;"",tbl_Production[Job Number],0),MATCH(IFERROR(A268+0,A268),tbl_Production[Job Number],0)))="","",INDEX(tbl_Production[Notes],IFERROR(MATCH(A268&amp;"",tbl_Production[Job Number],0),MATCH(IFERROR(A268+0,A268),tbl_Production[Job Number],0)))),IFERROR(IF(INDEX(tbl_Consulting[Notes],IFERROR(MATCH(A268&amp;"",tbl_Consulting[Job Number],0),MATCH(IFERROR(A268+0,A268),tbl_Consulting[Job Number],0)))="","",INDEX(tbl_Consulting[Notes],IFERROR(MATCH(A268&amp;"",tbl_Consulting[Job Number],0),MATCH(IFERROR(A268+0,A268),tbl_Consulting[Job Number],0)))),""))))</f>
        <v/>
      </c>
    </row>
    <row r="269" ht="15" customHeight="1">
      <c r="A269" s="22" t="n"/>
      <c r="B269" s="22" t="n"/>
      <c r="C269" s="23" t="n"/>
      <c r="D269" s="22" t="n"/>
      <c r="E269" s="24" t="n"/>
      <c r="F269" s="25">
        <f>IF(C269="","",EOMONTH(C269,0))</f>
        <v/>
      </c>
      <c r="G269" s="26">
        <f>IF(A269="","",IF(COUNTIF(tbl_Onsite[Job Number],A269&amp;"")&gt;0,"Onsite",IF(COUNTIF(tbl_Production[Job Number],A269&amp;"")&gt;0,"Production",IF(COUNTIF(tbl_Consulting[Job Number],A269&amp;"")&gt;0,"Consulting","not set up yet"))))</f>
        <v/>
      </c>
      <c r="H269" s="26">
        <f>IF(A269="","",IF(COUNTIF(lst_Jobs,A269&amp;"")&gt;0,"OK","CHECK"))</f>
        <v/>
      </c>
      <c r="I269" s="26">
        <f>IF(A269="","",IFERROR(INDEX(lst_JobName,MATCH(A269&amp;"",lst_Jobs,0)),""))</f>
        <v/>
      </c>
      <c r="J269" s="26">
        <f>IF(A269="","",IFERROR(IF(INDEX(tbl_Onsite[Client],IFERROR(MATCH(A269&amp;"",tbl_Onsite[Job Number],0),MATCH(IFERROR(A269+0,A269),tbl_Onsite[Job Number],0)))="","",INDEX(tbl_Onsite[Client],IFERROR(MATCH(A269&amp;"",tbl_Onsite[Job Number],0),MATCH(IFERROR(A269+0,A269),tbl_Onsite[Job Number],0)))),IFERROR(IF(INDEX(tbl_Production[Client],IFERROR(MATCH(A269&amp;"",tbl_Production[Job Number],0),MATCH(IFERROR(A269+0,A269),tbl_Production[Job Number],0)))="","",INDEX(tbl_Production[Client],IFERROR(MATCH(A269&amp;"",tbl_Production[Job Number],0),MATCH(IFERROR(A269+0,A269),tbl_Production[Job Number],0)))),IFERROR(IF(INDEX(tbl_Consulting[Client],IFERROR(MATCH(A269&amp;"",tbl_Consulting[Job Number],0),MATCH(IFERROR(A269+0,A269),tbl_Consulting[Job Number],0)))="","",INDEX(tbl_Consulting[Client],IFERROR(MATCH(A269&amp;"",tbl_Consulting[Job Number],0),MATCH(IFERROR(A269+0,A269),tbl_Consulting[Job Number],0)))),""))))</f>
        <v/>
      </c>
      <c r="K269" s="26">
        <f>IF(A269="","",IFERROR(IF(INDEX(tbl_Onsite[Job Description],IFERROR(MATCH(A269&amp;"",tbl_Onsite[Job Number],0),MATCH(IFERROR(A269+0,A269),tbl_Onsite[Job Number],0)))="","",INDEX(tbl_Onsite[Job Description],IFERROR(MATCH(A269&amp;"",tbl_Onsite[Job Number],0),MATCH(IFERROR(A269+0,A269),tbl_Onsite[Job Number],0)))),IFERROR(IF(INDEX(tbl_Production[Job Description],IFERROR(MATCH(A269&amp;"",tbl_Production[Job Number],0),MATCH(IFERROR(A269+0,A269),tbl_Production[Job Number],0)))="","",INDEX(tbl_Production[Job Description],IFERROR(MATCH(A269&amp;"",tbl_Production[Job Number],0),MATCH(IFERROR(A269+0,A269),tbl_Production[Job Number],0)))),IFERROR(IF(INDEX(tbl_Consulting[Job Description],IFERROR(MATCH(A269&amp;"",tbl_Consulting[Job Number],0),MATCH(IFERROR(A269+0,A269),tbl_Consulting[Job Number],0)))="","",INDEX(tbl_Consulting[Job Description],IFERROR(MATCH(A269&amp;"",tbl_Consulting[Job Number],0),MATCH(IFERROR(A269+0,A269),tbl_Consulting[Job Number],0)))),""))))</f>
        <v/>
      </c>
      <c r="L269" s="26">
        <f>IF(A269="","",IFERROR(IF(INDEX(tbl_Onsite[Invoice Type],IFERROR(MATCH(A269&amp;"",tbl_Onsite[Job Number],0),MATCH(IFERROR(A269+0,A269),tbl_Onsite[Job Number],0)))="","",INDEX(tbl_Onsite[Invoice Type],IFERROR(MATCH(A269&amp;"",tbl_Onsite[Job Number],0),MATCH(IFERROR(A269+0,A269),tbl_Onsite[Job Number],0)))),IFERROR(IF(INDEX(tbl_Production[Invoice Type],IFERROR(MATCH(A269&amp;"",tbl_Production[Job Number],0),MATCH(IFERROR(A269+0,A269),tbl_Production[Job Number],0)))="","",INDEX(tbl_Production[Invoice Type],IFERROR(MATCH(A269&amp;"",tbl_Production[Job Number],0),MATCH(IFERROR(A269+0,A269),tbl_Production[Job Number],0)))),IFERROR(IF(INDEX(tbl_Consulting[Invoice Type],IFERROR(MATCH(A269&amp;"",tbl_Consulting[Job Number],0),MATCH(IFERROR(A269+0,A269),tbl_Consulting[Job Number],0)))="","",INDEX(tbl_Consulting[Invoice Type],IFERROR(MATCH(A269&amp;"",tbl_Consulting[Job Number],0),MATCH(IFERROR(A269+0,A269),tbl_Consulting[Job Number],0)))),""))))</f>
        <v/>
      </c>
      <c r="M269" s="26">
        <f>IF(A269="","",IF(IFERROR(IF(INDEX(tbl_Onsite[Tax Code],IFERROR(MATCH(A269&amp;"",tbl_Onsite[Job Number],0),MATCH(IFERROR(A269+0,A269),tbl_Onsite[Job Number],0)))="","",INDEX(tbl_Onsite[Tax Code],IFERROR(MATCH(A269&amp;"",tbl_Onsite[Job Number],0),MATCH(IFERROR(A269+0,A269),tbl_Onsite[Job Number],0)))),IFERROR(IF(INDEX(tbl_Production[Tax Code],IFERROR(MATCH(A269&amp;"",tbl_Production[Job Number],0),MATCH(IFERROR(A269+0,A269),tbl_Production[Job Number],0)))="","",INDEX(tbl_Production[Tax Code],IFERROR(MATCH(A269&amp;"",tbl_Production[Job Number],0),MATCH(IFERROR(A269+0,A269),tbl_Production[Job Number],0)))),IFERROR(IF(INDEX(tbl_Consulting[Tax Code],IFERROR(MATCH(A269&amp;"",tbl_Consulting[Job Number],0),MATCH(IFERROR(A269+0,A269),tbl_Consulting[Job Number],0)))="","",INDEX(tbl_Consulting[Tax Code],IFERROR(MATCH(A269&amp;"",tbl_Consulting[Job Number],0),MATCH(IFERROR(A269+0,A269),tbl_Consulting[Job Number],0)))),"")))="","GST 10%",IFERROR(IF(INDEX(tbl_Onsite[Tax Code],IFERROR(MATCH(A269&amp;"",tbl_Onsite[Job Number],0),MATCH(IFERROR(A269+0,A269),tbl_Onsite[Job Number],0)))="","",INDEX(tbl_Onsite[Tax Code],IFERROR(MATCH(A269&amp;"",tbl_Onsite[Job Number],0),MATCH(IFERROR(A269+0,A269),tbl_Onsite[Job Number],0)))),IFERROR(IF(INDEX(tbl_Production[Tax Code],IFERROR(MATCH(A269&amp;"",tbl_Production[Job Number],0),MATCH(IFERROR(A269+0,A269),tbl_Production[Job Number],0)))="","",INDEX(tbl_Production[Tax Code],IFERROR(MATCH(A269&amp;"",tbl_Production[Job Number],0),MATCH(IFERROR(A269+0,A269),tbl_Production[Job Number],0)))),IFERROR(IF(INDEX(tbl_Consulting[Tax Code],IFERROR(MATCH(A269&amp;"",tbl_Consulting[Job Number],0),MATCH(IFERROR(A269+0,A269),tbl_Consulting[Job Number],0)))="","",INDEX(tbl_Consulting[Tax Code],IFERROR(MATCH(A269&amp;"",tbl_Consulting[Job Number],0),MATCH(IFERROR(A269+0,A269),tbl_Consulting[Job Number],0)))),"")))))</f>
        <v/>
      </c>
      <c r="N269" s="26">
        <f>IF(D269="","",IFERROR(INDEX(lst_CCtoGL,MATCH(D269,lst_CCforGL,0)),""))</f>
        <v/>
      </c>
      <c r="O269" s="27">
        <f>IF(E269="","",IF(M269="GST 10%",ROUND(E269*set_GSTRate,2),0))</f>
        <v/>
      </c>
      <c r="P269" s="27">
        <f>IF(E269="","",E269+O269)</f>
        <v/>
      </c>
      <c r="Q269" s="27">
        <f>IF(A269="","",IFERROR(INDEX(tbl_Onsite[Expected Revenue Ex GST],IFERROR(MATCH(A269&amp;"",tbl_Onsite[Job Number],0),MATCH(IFERROR(A269+0,A269),tbl_Onsite[Job Number],0))),IFERROR(INDEX(tbl_Production[Expected Revenue Ex GST],IFERROR(MATCH(A269&amp;"",tbl_Production[Job Number],0),MATCH(IFERROR(A269+0,A269),tbl_Production[Job Number],0))),IFERROR(INDEX(tbl_Consulting[Expected Revenue Ex GST],IFERROR(MATCH(A269&amp;"",tbl_Consulting[Job Number],0),MATCH(IFERROR(A269+0,A269),tbl_Consulting[Job Number],0))),0))))</f>
        <v/>
      </c>
      <c r="R269" s="27">
        <f>IF(A269="","",SUMIFS(tbl_Finance[Ex GST],tbl_Finance[Job Number],A269&amp;""))</f>
        <v/>
      </c>
      <c r="S269" s="27">
        <f>IF(A269="","",Q269-R269)</f>
        <v/>
      </c>
      <c r="T269" s="26">
        <f>IF(A269="","",IF(Q269=0,"No dept value",IF(ROUND(S269,2)=0,"Agrees",IF(S269&gt;0,"Dept higher - to invoice","Xero higher - check dept"))))</f>
        <v/>
      </c>
      <c r="U269" s="22" t="n"/>
      <c r="V269" s="22" t="n"/>
      <c r="W269" s="23" t="n"/>
      <c r="X269" s="23" t="n"/>
      <c r="Y269" s="22" t="n"/>
      <c r="Z269" s="22" t="n"/>
      <c r="AA269" s="26">
        <f>IF(COUNTA(C269,A269,B269,E269)=0,"",IF(C269="","No date - sits outside every month",IF(A269="","No job number",IF(H269="CHECK","Job number is not in the Xero job list",IF(G269="not set up yet","No department has set this job up - nothing can pull through",IF(D269="","No cost centre",IF(AND(U269="Y",B269=""),"Marked posted to Xero but has no invoice number",IF(N269="","Cost centre has no revenue GL on the Lists sheet",IF(T269="Xero higher - check dept","Invoiced more than the department says the job is worth","")))))))))</f>
        <v/>
      </c>
      <c r="AB269" s="28">
        <f>IF(A269="","",COUNTIFS(tbl_Finance[Job Number],A269&amp;"",tbl_Finance[Ex GST],"&lt;&gt;"))</f>
        <v/>
      </c>
      <c r="AC269" s="27">
        <f>IF(A269="","",SUMIFS(tbl_Finance[Ex GST],tbl_Finance[Job Number],A269&amp;""))</f>
        <v/>
      </c>
      <c r="AD269" s="27">
        <f>IF(A269="","",SUMIFS(tbl_Finance[Ex GST],tbl_Finance[Job Number],A269&amp;"",tbl_Finance[Xero Invoice No],"&lt;&gt;"))</f>
        <v/>
      </c>
      <c r="AE269" s="27">
        <f>IF(A269="","",AC269-AD269)</f>
        <v/>
      </c>
      <c r="AF269" s="26">
        <f>IF(A269="","",IFERROR(IF(INDEX(tbl_Onsite[Qwilr Quote],IFERROR(MATCH(A269&amp;"",tbl_Onsite[Job Number],0),MATCH(IFERROR(A269+0,A269),tbl_Onsite[Job Number],0)))="","",INDEX(tbl_Onsite[Qwilr Quote],IFERROR(MATCH(A269&amp;"",tbl_Onsite[Job Number],0),MATCH(IFERROR(A269+0,A269),tbl_Onsite[Job Number],0)))),IFERROR(IF(IF(INDEX(tbl_Production[Current RMS No],IFERROR(MATCH(A269&amp;"",tbl_Production[Job Number],0),MATCH(IFERROR(A269+0,A269),tbl_Production[Job Number],0)))="",INDEX(tbl_Production[Qwilr Quote],IFERROR(MATCH(A269&amp;"",tbl_Production[Job Number],0),MATCH(IFERROR(A269+0,A269),tbl_Production[Job Number],0))),INDEX(tbl_Production[Current RMS No],IFERROR(MATCH(A269&amp;"",tbl_Production[Job Number],0),MATCH(IFERROR(A269+0,A269),tbl_Production[Job Number],0))))="","",IF(INDEX(tbl_Production[Current RMS No],IFERROR(MATCH(A269&amp;"",tbl_Production[Job Number],0),MATCH(IFERROR(A269+0,A269),tbl_Production[Job Number],0)))="",INDEX(tbl_Production[Qwilr Quote],IFERROR(MATCH(A269&amp;"",tbl_Production[Job Number],0),MATCH(IFERROR(A269+0,A269),tbl_Production[Job Number],0))),INDEX(tbl_Production[Current RMS No],IFERROR(MATCH(A269&amp;"",tbl_Production[Job Number],0),MATCH(IFERROR(A269+0,A269),tbl_Production[Job Number],0))))),IFERROR(IF(INDEX(tbl_Consulting[Qwilr Quote],IFERROR(MATCH(A269&amp;"",tbl_Consulting[Job Number],0),MATCH(IFERROR(A269+0,A269),tbl_Consulting[Job Number],0)))="","",INDEX(tbl_Consulting[Qwilr Quote],IFERROR(MATCH(A269&amp;"",tbl_Consulting[Job Number],0),MATCH(IFERROR(A269+0,A269),tbl_Consulting[Job Number],0)))),""))))</f>
        <v/>
      </c>
      <c r="AG269" s="26">
        <f>IF(AF269="","",IF(AND(LEFT(AF269,4)&lt;&gt;"http",IF(G269="Production",set_RMSBase,set_QwilrBase)=""),"",HYPERLINK(IF(LEFT(AF269,4)="http",AF269,IF(G269="Production",set_RMSBase,set_QwilrBase)&amp;AF269),"Open")))</f>
        <v/>
      </c>
      <c r="AH269" s="27">
        <f>IF(A269="","",IFERROR(INDEX(tbl_Production[Total Expense],IFERROR(MATCH(A269&amp;"",tbl_Production[Job Number],0),MATCH(IFERROR(A269+0,A269),tbl_Production[Job Number],0))),IFERROR(INDEX(tbl_Consulting[Total Expense],IFERROR(MATCH(A269&amp;"",tbl_Consulting[Job Number],0),MATCH(IFERROR(A269+0,A269),tbl_Consulting[Job Number],0))),0)))</f>
        <v/>
      </c>
      <c r="AI269" s="27">
        <f>IF(A269="","",AC269-N(AH269))</f>
        <v/>
      </c>
      <c r="AJ269" s="29">
        <f>IFERROR(AI269/AC269,"")</f>
        <v/>
      </c>
      <c r="AK269" s="26">
        <f>IF(A269="","",IFERROR(IF(INDEX(tbl_Onsite[Notes],IFERROR(MATCH(A269&amp;"",tbl_Onsite[Job Number],0),MATCH(IFERROR(A269+0,A269),tbl_Onsite[Job Number],0)))="","",INDEX(tbl_Onsite[Notes],IFERROR(MATCH(A269&amp;"",tbl_Onsite[Job Number],0),MATCH(IFERROR(A269+0,A269),tbl_Onsite[Job Number],0)))),IFERROR(IF(INDEX(tbl_Production[Notes],IFERROR(MATCH(A269&amp;"",tbl_Production[Job Number],0),MATCH(IFERROR(A269+0,A269),tbl_Production[Job Number],0)))="","",INDEX(tbl_Production[Notes],IFERROR(MATCH(A269&amp;"",tbl_Production[Job Number],0),MATCH(IFERROR(A269+0,A269),tbl_Production[Job Number],0)))),IFERROR(IF(INDEX(tbl_Consulting[Notes],IFERROR(MATCH(A269&amp;"",tbl_Consulting[Job Number],0),MATCH(IFERROR(A269+0,A269),tbl_Consulting[Job Number],0)))="","",INDEX(tbl_Consulting[Notes],IFERROR(MATCH(A269&amp;"",tbl_Consulting[Job Number],0),MATCH(IFERROR(A269+0,A269),tbl_Consulting[Job Number],0)))),""))))</f>
        <v/>
      </c>
    </row>
    <row r="270" ht="15" customHeight="1">
      <c r="A270" s="22" t="n"/>
      <c r="B270" s="22" t="n"/>
      <c r="C270" s="23" t="n"/>
      <c r="D270" s="22" t="n"/>
      <c r="E270" s="24" t="n"/>
      <c r="F270" s="25">
        <f>IF(C270="","",EOMONTH(C270,0))</f>
        <v/>
      </c>
      <c r="G270" s="26">
        <f>IF(A270="","",IF(COUNTIF(tbl_Onsite[Job Number],A270&amp;"")&gt;0,"Onsite",IF(COUNTIF(tbl_Production[Job Number],A270&amp;"")&gt;0,"Production",IF(COUNTIF(tbl_Consulting[Job Number],A270&amp;"")&gt;0,"Consulting","not set up yet"))))</f>
        <v/>
      </c>
      <c r="H270" s="26">
        <f>IF(A270="","",IF(COUNTIF(lst_Jobs,A270&amp;"")&gt;0,"OK","CHECK"))</f>
        <v/>
      </c>
      <c r="I270" s="26">
        <f>IF(A270="","",IFERROR(INDEX(lst_JobName,MATCH(A270&amp;"",lst_Jobs,0)),""))</f>
        <v/>
      </c>
      <c r="J270" s="26">
        <f>IF(A270="","",IFERROR(IF(INDEX(tbl_Onsite[Client],IFERROR(MATCH(A270&amp;"",tbl_Onsite[Job Number],0),MATCH(IFERROR(A270+0,A270),tbl_Onsite[Job Number],0)))="","",INDEX(tbl_Onsite[Client],IFERROR(MATCH(A270&amp;"",tbl_Onsite[Job Number],0),MATCH(IFERROR(A270+0,A270),tbl_Onsite[Job Number],0)))),IFERROR(IF(INDEX(tbl_Production[Client],IFERROR(MATCH(A270&amp;"",tbl_Production[Job Number],0),MATCH(IFERROR(A270+0,A270),tbl_Production[Job Number],0)))="","",INDEX(tbl_Production[Client],IFERROR(MATCH(A270&amp;"",tbl_Production[Job Number],0),MATCH(IFERROR(A270+0,A270),tbl_Production[Job Number],0)))),IFERROR(IF(INDEX(tbl_Consulting[Client],IFERROR(MATCH(A270&amp;"",tbl_Consulting[Job Number],0),MATCH(IFERROR(A270+0,A270),tbl_Consulting[Job Number],0)))="","",INDEX(tbl_Consulting[Client],IFERROR(MATCH(A270&amp;"",tbl_Consulting[Job Number],0),MATCH(IFERROR(A270+0,A270),tbl_Consulting[Job Number],0)))),""))))</f>
        <v/>
      </c>
      <c r="K270" s="26">
        <f>IF(A270="","",IFERROR(IF(INDEX(tbl_Onsite[Job Description],IFERROR(MATCH(A270&amp;"",tbl_Onsite[Job Number],0),MATCH(IFERROR(A270+0,A270),tbl_Onsite[Job Number],0)))="","",INDEX(tbl_Onsite[Job Description],IFERROR(MATCH(A270&amp;"",tbl_Onsite[Job Number],0),MATCH(IFERROR(A270+0,A270),tbl_Onsite[Job Number],0)))),IFERROR(IF(INDEX(tbl_Production[Job Description],IFERROR(MATCH(A270&amp;"",tbl_Production[Job Number],0),MATCH(IFERROR(A270+0,A270),tbl_Production[Job Number],0)))="","",INDEX(tbl_Production[Job Description],IFERROR(MATCH(A270&amp;"",tbl_Production[Job Number],0),MATCH(IFERROR(A270+0,A270),tbl_Production[Job Number],0)))),IFERROR(IF(INDEX(tbl_Consulting[Job Description],IFERROR(MATCH(A270&amp;"",tbl_Consulting[Job Number],0),MATCH(IFERROR(A270+0,A270),tbl_Consulting[Job Number],0)))="","",INDEX(tbl_Consulting[Job Description],IFERROR(MATCH(A270&amp;"",tbl_Consulting[Job Number],0),MATCH(IFERROR(A270+0,A270),tbl_Consulting[Job Number],0)))),""))))</f>
        <v/>
      </c>
      <c r="L270" s="26">
        <f>IF(A270="","",IFERROR(IF(INDEX(tbl_Onsite[Invoice Type],IFERROR(MATCH(A270&amp;"",tbl_Onsite[Job Number],0),MATCH(IFERROR(A270+0,A270),tbl_Onsite[Job Number],0)))="","",INDEX(tbl_Onsite[Invoice Type],IFERROR(MATCH(A270&amp;"",tbl_Onsite[Job Number],0),MATCH(IFERROR(A270+0,A270),tbl_Onsite[Job Number],0)))),IFERROR(IF(INDEX(tbl_Production[Invoice Type],IFERROR(MATCH(A270&amp;"",tbl_Production[Job Number],0),MATCH(IFERROR(A270+0,A270),tbl_Production[Job Number],0)))="","",INDEX(tbl_Production[Invoice Type],IFERROR(MATCH(A270&amp;"",tbl_Production[Job Number],0),MATCH(IFERROR(A270+0,A270),tbl_Production[Job Number],0)))),IFERROR(IF(INDEX(tbl_Consulting[Invoice Type],IFERROR(MATCH(A270&amp;"",tbl_Consulting[Job Number],0),MATCH(IFERROR(A270+0,A270),tbl_Consulting[Job Number],0)))="","",INDEX(tbl_Consulting[Invoice Type],IFERROR(MATCH(A270&amp;"",tbl_Consulting[Job Number],0),MATCH(IFERROR(A270+0,A270),tbl_Consulting[Job Number],0)))),""))))</f>
        <v/>
      </c>
      <c r="M270" s="26">
        <f>IF(A270="","",IF(IFERROR(IF(INDEX(tbl_Onsite[Tax Code],IFERROR(MATCH(A270&amp;"",tbl_Onsite[Job Number],0),MATCH(IFERROR(A270+0,A270),tbl_Onsite[Job Number],0)))="","",INDEX(tbl_Onsite[Tax Code],IFERROR(MATCH(A270&amp;"",tbl_Onsite[Job Number],0),MATCH(IFERROR(A270+0,A270),tbl_Onsite[Job Number],0)))),IFERROR(IF(INDEX(tbl_Production[Tax Code],IFERROR(MATCH(A270&amp;"",tbl_Production[Job Number],0),MATCH(IFERROR(A270+0,A270),tbl_Production[Job Number],0)))="","",INDEX(tbl_Production[Tax Code],IFERROR(MATCH(A270&amp;"",tbl_Production[Job Number],0),MATCH(IFERROR(A270+0,A270),tbl_Production[Job Number],0)))),IFERROR(IF(INDEX(tbl_Consulting[Tax Code],IFERROR(MATCH(A270&amp;"",tbl_Consulting[Job Number],0),MATCH(IFERROR(A270+0,A270),tbl_Consulting[Job Number],0)))="","",INDEX(tbl_Consulting[Tax Code],IFERROR(MATCH(A270&amp;"",tbl_Consulting[Job Number],0),MATCH(IFERROR(A270+0,A270),tbl_Consulting[Job Number],0)))),"")))="","GST 10%",IFERROR(IF(INDEX(tbl_Onsite[Tax Code],IFERROR(MATCH(A270&amp;"",tbl_Onsite[Job Number],0),MATCH(IFERROR(A270+0,A270),tbl_Onsite[Job Number],0)))="","",INDEX(tbl_Onsite[Tax Code],IFERROR(MATCH(A270&amp;"",tbl_Onsite[Job Number],0),MATCH(IFERROR(A270+0,A270),tbl_Onsite[Job Number],0)))),IFERROR(IF(INDEX(tbl_Production[Tax Code],IFERROR(MATCH(A270&amp;"",tbl_Production[Job Number],0),MATCH(IFERROR(A270+0,A270),tbl_Production[Job Number],0)))="","",INDEX(tbl_Production[Tax Code],IFERROR(MATCH(A270&amp;"",tbl_Production[Job Number],0),MATCH(IFERROR(A270+0,A270),tbl_Production[Job Number],0)))),IFERROR(IF(INDEX(tbl_Consulting[Tax Code],IFERROR(MATCH(A270&amp;"",tbl_Consulting[Job Number],0),MATCH(IFERROR(A270+0,A270),tbl_Consulting[Job Number],0)))="","",INDEX(tbl_Consulting[Tax Code],IFERROR(MATCH(A270&amp;"",tbl_Consulting[Job Number],0),MATCH(IFERROR(A270+0,A270),tbl_Consulting[Job Number],0)))),"")))))</f>
        <v/>
      </c>
      <c r="N270" s="26">
        <f>IF(D270="","",IFERROR(INDEX(lst_CCtoGL,MATCH(D270,lst_CCforGL,0)),""))</f>
        <v/>
      </c>
      <c r="O270" s="27">
        <f>IF(E270="","",IF(M270="GST 10%",ROUND(E270*set_GSTRate,2),0))</f>
        <v/>
      </c>
      <c r="P270" s="27">
        <f>IF(E270="","",E270+O270)</f>
        <v/>
      </c>
      <c r="Q270" s="27">
        <f>IF(A270="","",IFERROR(INDEX(tbl_Onsite[Expected Revenue Ex GST],IFERROR(MATCH(A270&amp;"",tbl_Onsite[Job Number],0),MATCH(IFERROR(A270+0,A270),tbl_Onsite[Job Number],0))),IFERROR(INDEX(tbl_Production[Expected Revenue Ex GST],IFERROR(MATCH(A270&amp;"",tbl_Production[Job Number],0),MATCH(IFERROR(A270+0,A270),tbl_Production[Job Number],0))),IFERROR(INDEX(tbl_Consulting[Expected Revenue Ex GST],IFERROR(MATCH(A270&amp;"",tbl_Consulting[Job Number],0),MATCH(IFERROR(A270+0,A270),tbl_Consulting[Job Number],0))),0))))</f>
        <v/>
      </c>
      <c r="R270" s="27">
        <f>IF(A270="","",SUMIFS(tbl_Finance[Ex GST],tbl_Finance[Job Number],A270&amp;""))</f>
        <v/>
      </c>
      <c r="S270" s="27">
        <f>IF(A270="","",Q270-R270)</f>
        <v/>
      </c>
      <c r="T270" s="26">
        <f>IF(A270="","",IF(Q270=0,"No dept value",IF(ROUND(S270,2)=0,"Agrees",IF(S270&gt;0,"Dept higher - to invoice","Xero higher - check dept"))))</f>
        <v/>
      </c>
      <c r="U270" s="22" t="n"/>
      <c r="V270" s="22" t="n"/>
      <c r="W270" s="23" t="n"/>
      <c r="X270" s="23" t="n"/>
      <c r="Y270" s="22" t="n"/>
      <c r="Z270" s="22" t="n"/>
      <c r="AA270" s="26">
        <f>IF(COUNTA(C270,A270,B270,E270)=0,"",IF(C270="","No date - sits outside every month",IF(A270="","No job number",IF(H270="CHECK","Job number is not in the Xero job list",IF(G270="not set up yet","No department has set this job up - nothing can pull through",IF(D270="","No cost centre",IF(AND(U270="Y",B270=""),"Marked posted to Xero but has no invoice number",IF(N270="","Cost centre has no revenue GL on the Lists sheet",IF(T270="Xero higher - check dept","Invoiced more than the department says the job is worth","")))))))))</f>
        <v/>
      </c>
      <c r="AB270" s="28">
        <f>IF(A270="","",COUNTIFS(tbl_Finance[Job Number],A270&amp;"",tbl_Finance[Ex GST],"&lt;&gt;"))</f>
        <v/>
      </c>
      <c r="AC270" s="27">
        <f>IF(A270="","",SUMIFS(tbl_Finance[Ex GST],tbl_Finance[Job Number],A270&amp;""))</f>
        <v/>
      </c>
      <c r="AD270" s="27">
        <f>IF(A270="","",SUMIFS(tbl_Finance[Ex GST],tbl_Finance[Job Number],A270&amp;"",tbl_Finance[Xero Invoice No],"&lt;&gt;"))</f>
        <v/>
      </c>
      <c r="AE270" s="27">
        <f>IF(A270="","",AC270-AD270)</f>
        <v/>
      </c>
      <c r="AF270" s="26">
        <f>IF(A270="","",IFERROR(IF(INDEX(tbl_Onsite[Qwilr Quote],IFERROR(MATCH(A270&amp;"",tbl_Onsite[Job Number],0),MATCH(IFERROR(A270+0,A270),tbl_Onsite[Job Number],0)))="","",INDEX(tbl_Onsite[Qwilr Quote],IFERROR(MATCH(A270&amp;"",tbl_Onsite[Job Number],0),MATCH(IFERROR(A270+0,A270),tbl_Onsite[Job Number],0)))),IFERROR(IF(IF(INDEX(tbl_Production[Current RMS No],IFERROR(MATCH(A270&amp;"",tbl_Production[Job Number],0),MATCH(IFERROR(A270+0,A270),tbl_Production[Job Number],0)))="",INDEX(tbl_Production[Qwilr Quote],IFERROR(MATCH(A270&amp;"",tbl_Production[Job Number],0),MATCH(IFERROR(A270+0,A270),tbl_Production[Job Number],0))),INDEX(tbl_Production[Current RMS No],IFERROR(MATCH(A270&amp;"",tbl_Production[Job Number],0),MATCH(IFERROR(A270+0,A270),tbl_Production[Job Number],0))))="","",IF(INDEX(tbl_Production[Current RMS No],IFERROR(MATCH(A270&amp;"",tbl_Production[Job Number],0),MATCH(IFERROR(A270+0,A270),tbl_Production[Job Number],0)))="",INDEX(tbl_Production[Qwilr Quote],IFERROR(MATCH(A270&amp;"",tbl_Production[Job Number],0),MATCH(IFERROR(A270+0,A270),tbl_Production[Job Number],0))),INDEX(tbl_Production[Current RMS No],IFERROR(MATCH(A270&amp;"",tbl_Production[Job Number],0),MATCH(IFERROR(A270+0,A270),tbl_Production[Job Number],0))))),IFERROR(IF(INDEX(tbl_Consulting[Qwilr Quote],IFERROR(MATCH(A270&amp;"",tbl_Consulting[Job Number],0),MATCH(IFERROR(A270+0,A270),tbl_Consulting[Job Number],0)))="","",INDEX(tbl_Consulting[Qwilr Quote],IFERROR(MATCH(A270&amp;"",tbl_Consulting[Job Number],0),MATCH(IFERROR(A270+0,A270),tbl_Consulting[Job Number],0)))),""))))</f>
        <v/>
      </c>
      <c r="AG270" s="26">
        <f>IF(AF270="","",IF(AND(LEFT(AF270,4)&lt;&gt;"http",IF(G270="Production",set_RMSBase,set_QwilrBase)=""),"",HYPERLINK(IF(LEFT(AF270,4)="http",AF270,IF(G270="Production",set_RMSBase,set_QwilrBase)&amp;AF270),"Open")))</f>
        <v/>
      </c>
      <c r="AH270" s="27">
        <f>IF(A270="","",IFERROR(INDEX(tbl_Production[Total Expense],IFERROR(MATCH(A270&amp;"",tbl_Production[Job Number],0),MATCH(IFERROR(A270+0,A270),tbl_Production[Job Number],0))),IFERROR(INDEX(tbl_Consulting[Total Expense],IFERROR(MATCH(A270&amp;"",tbl_Consulting[Job Number],0),MATCH(IFERROR(A270+0,A270),tbl_Consulting[Job Number],0))),0)))</f>
        <v/>
      </c>
      <c r="AI270" s="27">
        <f>IF(A270="","",AC270-N(AH270))</f>
        <v/>
      </c>
      <c r="AJ270" s="29">
        <f>IFERROR(AI270/AC270,"")</f>
        <v/>
      </c>
      <c r="AK270" s="26">
        <f>IF(A270="","",IFERROR(IF(INDEX(tbl_Onsite[Notes],IFERROR(MATCH(A270&amp;"",tbl_Onsite[Job Number],0),MATCH(IFERROR(A270+0,A270),tbl_Onsite[Job Number],0)))="","",INDEX(tbl_Onsite[Notes],IFERROR(MATCH(A270&amp;"",tbl_Onsite[Job Number],0),MATCH(IFERROR(A270+0,A270),tbl_Onsite[Job Number],0)))),IFERROR(IF(INDEX(tbl_Production[Notes],IFERROR(MATCH(A270&amp;"",tbl_Production[Job Number],0),MATCH(IFERROR(A270+0,A270),tbl_Production[Job Number],0)))="","",INDEX(tbl_Production[Notes],IFERROR(MATCH(A270&amp;"",tbl_Production[Job Number],0),MATCH(IFERROR(A270+0,A270),tbl_Production[Job Number],0)))),IFERROR(IF(INDEX(tbl_Consulting[Notes],IFERROR(MATCH(A270&amp;"",tbl_Consulting[Job Number],0),MATCH(IFERROR(A270+0,A270),tbl_Consulting[Job Number],0)))="","",INDEX(tbl_Consulting[Notes],IFERROR(MATCH(A270&amp;"",tbl_Consulting[Job Number],0),MATCH(IFERROR(A270+0,A270),tbl_Consulting[Job Number],0)))),""))))</f>
        <v/>
      </c>
    </row>
    <row r="271" ht="15" customHeight="1">
      <c r="A271" s="22" t="n"/>
      <c r="B271" s="22" t="n"/>
      <c r="C271" s="23" t="n"/>
      <c r="D271" s="22" t="n"/>
      <c r="E271" s="24" t="n"/>
      <c r="F271" s="25">
        <f>IF(C271="","",EOMONTH(C271,0))</f>
        <v/>
      </c>
      <c r="G271" s="26">
        <f>IF(A271="","",IF(COUNTIF(tbl_Onsite[Job Number],A271&amp;"")&gt;0,"Onsite",IF(COUNTIF(tbl_Production[Job Number],A271&amp;"")&gt;0,"Production",IF(COUNTIF(tbl_Consulting[Job Number],A271&amp;"")&gt;0,"Consulting","not set up yet"))))</f>
        <v/>
      </c>
      <c r="H271" s="26">
        <f>IF(A271="","",IF(COUNTIF(lst_Jobs,A271&amp;"")&gt;0,"OK","CHECK"))</f>
        <v/>
      </c>
      <c r="I271" s="26">
        <f>IF(A271="","",IFERROR(INDEX(lst_JobName,MATCH(A271&amp;"",lst_Jobs,0)),""))</f>
        <v/>
      </c>
      <c r="J271" s="26">
        <f>IF(A271="","",IFERROR(IF(INDEX(tbl_Onsite[Client],IFERROR(MATCH(A271&amp;"",tbl_Onsite[Job Number],0),MATCH(IFERROR(A271+0,A271),tbl_Onsite[Job Number],0)))="","",INDEX(tbl_Onsite[Client],IFERROR(MATCH(A271&amp;"",tbl_Onsite[Job Number],0),MATCH(IFERROR(A271+0,A271),tbl_Onsite[Job Number],0)))),IFERROR(IF(INDEX(tbl_Production[Client],IFERROR(MATCH(A271&amp;"",tbl_Production[Job Number],0),MATCH(IFERROR(A271+0,A271),tbl_Production[Job Number],0)))="","",INDEX(tbl_Production[Client],IFERROR(MATCH(A271&amp;"",tbl_Production[Job Number],0),MATCH(IFERROR(A271+0,A271),tbl_Production[Job Number],0)))),IFERROR(IF(INDEX(tbl_Consulting[Client],IFERROR(MATCH(A271&amp;"",tbl_Consulting[Job Number],0),MATCH(IFERROR(A271+0,A271),tbl_Consulting[Job Number],0)))="","",INDEX(tbl_Consulting[Client],IFERROR(MATCH(A271&amp;"",tbl_Consulting[Job Number],0),MATCH(IFERROR(A271+0,A271),tbl_Consulting[Job Number],0)))),""))))</f>
        <v/>
      </c>
      <c r="K271" s="26">
        <f>IF(A271="","",IFERROR(IF(INDEX(tbl_Onsite[Job Description],IFERROR(MATCH(A271&amp;"",tbl_Onsite[Job Number],0),MATCH(IFERROR(A271+0,A271),tbl_Onsite[Job Number],0)))="","",INDEX(tbl_Onsite[Job Description],IFERROR(MATCH(A271&amp;"",tbl_Onsite[Job Number],0),MATCH(IFERROR(A271+0,A271),tbl_Onsite[Job Number],0)))),IFERROR(IF(INDEX(tbl_Production[Job Description],IFERROR(MATCH(A271&amp;"",tbl_Production[Job Number],0),MATCH(IFERROR(A271+0,A271),tbl_Production[Job Number],0)))="","",INDEX(tbl_Production[Job Description],IFERROR(MATCH(A271&amp;"",tbl_Production[Job Number],0),MATCH(IFERROR(A271+0,A271),tbl_Production[Job Number],0)))),IFERROR(IF(INDEX(tbl_Consulting[Job Description],IFERROR(MATCH(A271&amp;"",tbl_Consulting[Job Number],0),MATCH(IFERROR(A271+0,A271),tbl_Consulting[Job Number],0)))="","",INDEX(tbl_Consulting[Job Description],IFERROR(MATCH(A271&amp;"",tbl_Consulting[Job Number],0),MATCH(IFERROR(A271+0,A271),tbl_Consulting[Job Number],0)))),""))))</f>
        <v/>
      </c>
      <c r="L271" s="26">
        <f>IF(A271="","",IFERROR(IF(INDEX(tbl_Onsite[Invoice Type],IFERROR(MATCH(A271&amp;"",tbl_Onsite[Job Number],0),MATCH(IFERROR(A271+0,A271),tbl_Onsite[Job Number],0)))="","",INDEX(tbl_Onsite[Invoice Type],IFERROR(MATCH(A271&amp;"",tbl_Onsite[Job Number],0),MATCH(IFERROR(A271+0,A271),tbl_Onsite[Job Number],0)))),IFERROR(IF(INDEX(tbl_Production[Invoice Type],IFERROR(MATCH(A271&amp;"",tbl_Production[Job Number],0),MATCH(IFERROR(A271+0,A271),tbl_Production[Job Number],0)))="","",INDEX(tbl_Production[Invoice Type],IFERROR(MATCH(A271&amp;"",tbl_Production[Job Number],0),MATCH(IFERROR(A271+0,A271),tbl_Production[Job Number],0)))),IFERROR(IF(INDEX(tbl_Consulting[Invoice Type],IFERROR(MATCH(A271&amp;"",tbl_Consulting[Job Number],0),MATCH(IFERROR(A271+0,A271),tbl_Consulting[Job Number],0)))="","",INDEX(tbl_Consulting[Invoice Type],IFERROR(MATCH(A271&amp;"",tbl_Consulting[Job Number],0),MATCH(IFERROR(A271+0,A271),tbl_Consulting[Job Number],0)))),""))))</f>
        <v/>
      </c>
      <c r="M271" s="26">
        <f>IF(A271="","",IF(IFERROR(IF(INDEX(tbl_Onsite[Tax Code],IFERROR(MATCH(A271&amp;"",tbl_Onsite[Job Number],0),MATCH(IFERROR(A271+0,A271),tbl_Onsite[Job Number],0)))="","",INDEX(tbl_Onsite[Tax Code],IFERROR(MATCH(A271&amp;"",tbl_Onsite[Job Number],0),MATCH(IFERROR(A271+0,A271),tbl_Onsite[Job Number],0)))),IFERROR(IF(INDEX(tbl_Production[Tax Code],IFERROR(MATCH(A271&amp;"",tbl_Production[Job Number],0),MATCH(IFERROR(A271+0,A271),tbl_Production[Job Number],0)))="","",INDEX(tbl_Production[Tax Code],IFERROR(MATCH(A271&amp;"",tbl_Production[Job Number],0),MATCH(IFERROR(A271+0,A271),tbl_Production[Job Number],0)))),IFERROR(IF(INDEX(tbl_Consulting[Tax Code],IFERROR(MATCH(A271&amp;"",tbl_Consulting[Job Number],0),MATCH(IFERROR(A271+0,A271),tbl_Consulting[Job Number],0)))="","",INDEX(tbl_Consulting[Tax Code],IFERROR(MATCH(A271&amp;"",tbl_Consulting[Job Number],0),MATCH(IFERROR(A271+0,A271),tbl_Consulting[Job Number],0)))),"")))="","GST 10%",IFERROR(IF(INDEX(tbl_Onsite[Tax Code],IFERROR(MATCH(A271&amp;"",tbl_Onsite[Job Number],0),MATCH(IFERROR(A271+0,A271),tbl_Onsite[Job Number],0)))="","",INDEX(tbl_Onsite[Tax Code],IFERROR(MATCH(A271&amp;"",tbl_Onsite[Job Number],0),MATCH(IFERROR(A271+0,A271),tbl_Onsite[Job Number],0)))),IFERROR(IF(INDEX(tbl_Production[Tax Code],IFERROR(MATCH(A271&amp;"",tbl_Production[Job Number],0),MATCH(IFERROR(A271+0,A271),tbl_Production[Job Number],0)))="","",INDEX(tbl_Production[Tax Code],IFERROR(MATCH(A271&amp;"",tbl_Production[Job Number],0),MATCH(IFERROR(A271+0,A271),tbl_Production[Job Number],0)))),IFERROR(IF(INDEX(tbl_Consulting[Tax Code],IFERROR(MATCH(A271&amp;"",tbl_Consulting[Job Number],0),MATCH(IFERROR(A271+0,A271),tbl_Consulting[Job Number],0)))="","",INDEX(tbl_Consulting[Tax Code],IFERROR(MATCH(A271&amp;"",tbl_Consulting[Job Number],0),MATCH(IFERROR(A271+0,A271),tbl_Consulting[Job Number],0)))),"")))))</f>
        <v/>
      </c>
      <c r="N271" s="26">
        <f>IF(D271="","",IFERROR(INDEX(lst_CCtoGL,MATCH(D271,lst_CCforGL,0)),""))</f>
        <v/>
      </c>
      <c r="O271" s="27">
        <f>IF(E271="","",IF(M271="GST 10%",ROUND(E271*set_GSTRate,2),0))</f>
        <v/>
      </c>
      <c r="P271" s="27">
        <f>IF(E271="","",E271+O271)</f>
        <v/>
      </c>
      <c r="Q271" s="27">
        <f>IF(A271="","",IFERROR(INDEX(tbl_Onsite[Expected Revenue Ex GST],IFERROR(MATCH(A271&amp;"",tbl_Onsite[Job Number],0),MATCH(IFERROR(A271+0,A271),tbl_Onsite[Job Number],0))),IFERROR(INDEX(tbl_Production[Expected Revenue Ex GST],IFERROR(MATCH(A271&amp;"",tbl_Production[Job Number],0),MATCH(IFERROR(A271+0,A271),tbl_Production[Job Number],0))),IFERROR(INDEX(tbl_Consulting[Expected Revenue Ex GST],IFERROR(MATCH(A271&amp;"",tbl_Consulting[Job Number],0),MATCH(IFERROR(A271+0,A271),tbl_Consulting[Job Number],0))),0))))</f>
        <v/>
      </c>
      <c r="R271" s="27">
        <f>IF(A271="","",SUMIFS(tbl_Finance[Ex GST],tbl_Finance[Job Number],A271&amp;""))</f>
        <v/>
      </c>
      <c r="S271" s="27">
        <f>IF(A271="","",Q271-R271)</f>
        <v/>
      </c>
      <c r="T271" s="26">
        <f>IF(A271="","",IF(Q271=0,"No dept value",IF(ROUND(S271,2)=0,"Agrees",IF(S271&gt;0,"Dept higher - to invoice","Xero higher - check dept"))))</f>
        <v/>
      </c>
      <c r="U271" s="22" t="n"/>
      <c r="V271" s="22" t="n"/>
      <c r="W271" s="23" t="n"/>
      <c r="X271" s="23" t="n"/>
      <c r="Y271" s="22" t="n"/>
      <c r="Z271" s="22" t="n"/>
      <c r="AA271" s="26">
        <f>IF(COUNTA(C271,A271,B271,E271)=0,"",IF(C271="","No date - sits outside every month",IF(A271="","No job number",IF(H271="CHECK","Job number is not in the Xero job list",IF(G271="not set up yet","No department has set this job up - nothing can pull through",IF(D271="","No cost centre",IF(AND(U271="Y",B271=""),"Marked posted to Xero but has no invoice number",IF(N271="","Cost centre has no revenue GL on the Lists sheet",IF(T271="Xero higher - check dept","Invoiced more than the department says the job is worth","")))))))))</f>
        <v/>
      </c>
      <c r="AB271" s="28">
        <f>IF(A271="","",COUNTIFS(tbl_Finance[Job Number],A271&amp;"",tbl_Finance[Ex GST],"&lt;&gt;"))</f>
        <v/>
      </c>
      <c r="AC271" s="27">
        <f>IF(A271="","",SUMIFS(tbl_Finance[Ex GST],tbl_Finance[Job Number],A271&amp;""))</f>
        <v/>
      </c>
      <c r="AD271" s="27">
        <f>IF(A271="","",SUMIFS(tbl_Finance[Ex GST],tbl_Finance[Job Number],A271&amp;"",tbl_Finance[Xero Invoice No],"&lt;&gt;"))</f>
        <v/>
      </c>
      <c r="AE271" s="27">
        <f>IF(A271="","",AC271-AD271)</f>
        <v/>
      </c>
      <c r="AF271" s="26">
        <f>IF(A271="","",IFERROR(IF(INDEX(tbl_Onsite[Qwilr Quote],IFERROR(MATCH(A271&amp;"",tbl_Onsite[Job Number],0),MATCH(IFERROR(A271+0,A271),tbl_Onsite[Job Number],0)))="","",INDEX(tbl_Onsite[Qwilr Quote],IFERROR(MATCH(A271&amp;"",tbl_Onsite[Job Number],0),MATCH(IFERROR(A271+0,A271),tbl_Onsite[Job Number],0)))),IFERROR(IF(IF(INDEX(tbl_Production[Current RMS No],IFERROR(MATCH(A271&amp;"",tbl_Production[Job Number],0),MATCH(IFERROR(A271+0,A271),tbl_Production[Job Number],0)))="",INDEX(tbl_Production[Qwilr Quote],IFERROR(MATCH(A271&amp;"",tbl_Production[Job Number],0),MATCH(IFERROR(A271+0,A271),tbl_Production[Job Number],0))),INDEX(tbl_Production[Current RMS No],IFERROR(MATCH(A271&amp;"",tbl_Production[Job Number],0),MATCH(IFERROR(A271+0,A271),tbl_Production[Job Number],0))))="","",IF(INDEX(tbl_Production[Current RMS No],IFERROR(MATCH(A271&amp;"",tbl_Production[Job Number],0),MATCH(IFERROR(A271+0,A271),tbl_Production[Job Number],0)))="",INDEX(tbl_Production[Qwilr Quote],IFERROR(MATCH(A271&amp;"",tbl_Production[Job Number],0),MATCH(IFERROR(A271+0,A271),tbl_Production[Job Number],0))),INDEX(tbl_Production[Current RMS No],IFERROR(MATCH(A271&amp;"",tbl_Production[Job Number],0),MATCH(IFERROR(A271+0,A271),tbl_Production[Job Number],0))))),IFERROR(IF(INDEX(tbl_Consulting[Qwilr Quote],IFERROR(MATCH(A271&amp;"",tbl_Consulting[Job Number],0),MATCH(IFERROR(A271+0,A271),tbl_Consulting[Job Number],0)))="","",INDEX(tbl_Consulting[Qwilr Quote],IFERROR(MATCH(A271&amp;"",tbl_Consulting[Job Number],0),MATCH(IFERROR(A271+0,A271),tbl_Consulting[Job Number],0)))),""))))</f>
        <v/>
      </c>
      <c r="AG271" s="26">
        <f>IF(AF271="","",IF(AND(LEFT(AF271,4)&lt;&gt;"http",IF(G271="Production",set_RMSBase,set_QwilrBase)=""),"",HYPERLINK(IF(LEFT(AF271,4)="http",AF271,IF(G271="Production",set_RMSBase,set_QwilrBase)&amp;AF271),"Open")))</f>
        <v/>
      </c>
      <c r="AH271" s="27">
        <f>IF(A271="","",IFERROR(INDEX(tbl_Production[Total Expense],IFERROR(MATCH(A271&amp;"",tbl_Production[Job Number],0),MATCH(IFERROR(A271+0,A271),tbl_Production[Job Number],0))),IFERROR(INDEX(tbl_Consulting[Total Expense],IFERROR(MATCH(A271&amp;"",tbl_Consulting[Job Number],0),MATCH(IFERROR(A271+0,A271),tbl_Consulting[Job Number],0))),0)))</f>
        <v/>
      </c>
      <c r="AI271" s="27">
        <f>IF(A271="","",AC271-N(AH271))</f>
        <v/>
      </c>
      <c r="AJ271" s="29">
        <f>IFERROR(AI271/AC271,"")</f>
        <v/>
      </c>
      <c r="AK271" s="26">
        <f>IF(A271="","",IFERROR(IF(INDEX(tbl_Onsite[Notes],IFERROR(MATCH(A271&amp;"",tbl_Onsite[Job Number],0),MATCH(IFERROR(A271+0,A271),tbl_Onsite[Job Number],0)))="","",INDEX(tbl_Onsite[Notes],IFERROR(MATCH(A271&amp;"",tbl_Onsite[Job Number],0),MATCH(IFERROR(A271+0,A271),tbl_Onsite[Job Number],0)))),IFERROR(IF(INDEX(tbl_Production[Notes],IFERROR(MATCH(A271&amp;"",tbl_Production[Job Number],0),MATCH(IFERROR(A271+0,A271),tbl_Production[Job Number],0)))="","",INDEX(tbl_Production[Notes],IFERROR(MATCH(A271&amp;"",tbl_Production[Job Number],0),MATCH(IFERROR(A271+0,A271),tbl_Production[Job Number],0)))),IFERROR(IF(INDEX(tbl_Consulting[Notes],IFERROR(MATCH(A271&amp;"",tbl_Consulting[Job Number],0),MATCH(IFERROR(A271+0,A271),tbl_Consulting[Job Number],0)))="","",INDEX(tbl_Consulting[Notes],IFERROR(MATCH(A271&amp;"",tbl_Consulting[Job Number],0),MATCH(IFERROR(A271+0,A271),tbl_Consulting[Job Number],0)))),""))))</f>
        <v/>
      </c>
    </row>
    <row r="272" ht="15" customHeight="1">
      <c r="A272" s="22" t="n"/>
      <c r="B272" s="22" t="n"/>
      <c r="C272" s="23" t="n"/>
      <c r="D272" s="22" t="n"/>
      <c r="E272" s="24" t="n"/>
      <c r="F272" s="25">
        <f>IF(C272="","",EOMONTH(C272,0))</f>
        <v/>
      </c>
      <c r="G272" s="26">
        <f>IF(A272="","",IF(COUNTIF(tbl_Onsite[Job Number],A272&amp;"")&gt;0,"Onsite",IF(COUNTIF(tbl_Production[Job Number],A272&amp;"")&gt;0,"Production",IF(COUNTIF(tbl_Consulting[Job Number],A272&amp;"")&gt;0,"Consulting","not set up yet"))))</f>
        <v/>
      </c>
      <c r="H272" s="26">
        <f>IF(A272="","",IF(COUNTIF(lst_Jobs,A272&amp;"")&gt;0,"OK","CHECK"))</f>
        <v/>
      </c>
      <c r="I272" s="26">
        <f>IF(A272="","",IFERROR(INDEX(lst_JobName,MATCH(A272&amp;"",lst_Jobs,0)),""))</f>
        <v/>
      </c>
      <c r="J272" s="26">
        <f>IF(A272="","",IFERROR(IF(INDEX(tbl_Onsite[Client],IFERROR(MATCH(A272&amp;"",tbl_Onsite[Job Number],0),MATCH(IFERROR(A272+0,A272),tbl_Onsite[Job Number],0)))="","",INDEX(tbl_Onsite[Client],IFERROR(MATCH(A272&amp;"",tbl_Onsite[Job Number],0),MATCH(IFERROR(A272+0,A272),tbl_Onsite[Job Number],0)))),IFERROR(IF(INDEX(tbl_Production[Client],IFERROR(MATCH(A272&amp;"",tbl_Production[Job Number],0),MATCH(IFERROR(A272+0,A272),tbl_Production[Job Number],0)))="","",INDEX(tbl_Production[Client],IFERROR(MATCH(A272&amp;"",tbl_Production[Job Number],0),MATCH(IFERROR(A272+0,A272),tbl_Production[Job Number],0)))),IFERROR(IF(INDEX(tbl_Consulting[Client],IFERROR(MATCH(A272&amp;"",tbl_Consulting[Job Number],0),MATCH(IFERROR(A272+0,A272),tbl_Consulting[Job Number],0)))="","",INDEX(tbl_Consulting[Client],IFERROR(MATCH(A272&amp;"",tbl_Consulting[Job Number],0),MATCH(IFERROR(A272+0,A272),tbl_Consulting[Job Number],0)))),""))))</f>
        <v/>
      </c>
      <c r="K272" s="26">
        <f>IF(A272="","",IFERROR(IF(INDEX(tbl_Onsite[Job Description],IFERROR(MATCH(A272&amp;"",tbl_Onsite[Job Number],0),MATCH(IFERROR(A272+0,A272),tbl_Onsite[Job Number],0)))="","",INDEX(tbl_Onsite[Job Description],IFERROR(MATCH(A272&amp;"",tbl_Onsite[Job Number],0),MATCH(IFERROR(A272+0,A272),tbl_Onsite[Job Number],0)))),IFERROR(IF(INDEX(tbl_Production[Job Description],IFERROR(MATCH(A272&amp;"",tbl_Production[Job Number],0),MATCH(IFERROR(A272+0,A272),tbl_Production[Job Number],0)))="","",INDEX(tbl_Production[Job Description],IFERROR(MATCH(A272&amp;"",tbl_Production[Job Number],0),MATCH(IFERROR(A272+0,A272),tbl_Production[Job Number],0)))),IFERROR(IF(INDEX(tbl_Consulting[Job Description],IFERROR(MATCH(A272&amp;"",tbl_Consulting[Job Number],0),MATCH(IFERROR(A272+0,A272),tbl_Consulting[Job Number],0)))="","",INDEX(tbl_Consulting[Job Description],IFERROR(MATCH(A272&amp;"",tbl_Consulting[Job Number],0),MATCH(IFERROR(A272+0,A272),tbl_Consulting[Job Number],0)))),""))))</f>
        <v/>
      </c>
      <c r="L272" s="26">
        <f>IF(A272="","",IFERROR(IF(INDEX(tbl_Onsite[Invoice Type],IFERROR(MATCH(A272&amp;"",tbl_Onsite[Job Number],0),MATCH(IFERROR(A272+0,A272),tbl_Onsite[Job Number],0)))="","",INDEX(tbl_Onsite[Invoice Type],IFERROR(MATCH(A272&amp;"",tbl_Onsite[Job Number],0),MATCH(IFERROR(A272+0,A272),tbl_Onsite[Job Number],0)))),IFERROR(IF(INDEX(tbl_Production[Invoice Type],IFERROR(MATCH(A272&amp;"",tbl_Production[Job Number],0),MATCH(IFERROR(A272+0,A272),tbl_Production[Job Number],0)))="","",INDEX(tbl_Production[Invoice Type],IFERROR(MATCH(A272&amp;"",tbl_Production[Job Number],0),MATCH(IFERROR(A272+0,A272),tbl_Production[Job Number],0)))),IFERROR(IF(INDEX(tbl_Consulting[Invoice Type],IFERROR(MATCH(A272&amp;"",tbl_Consulting[Job Number],0),MATCH(IFERROR(A272+0,A272),tbl_Consulting[Job Number],0)))="","",INDEX(tbl_Consulting[Invoice Type],IFERROR(MATCH(A272&amp;"",tbl_Consulting[Job Number],0),MATCH(IFERROR(A272+0,A272),tbl_Consulting[Job Number],0)))),""))))</f>
        <v/>
      </c>
      <c r="M272" s="26">
        <f>IF(A272="","",IF(IFERROR(IF(INDEX(tbl_Onsite[Tax Code],IFERROR(MATCH(A272&amp;"",tbl_Onsite[Job Number],0),MATCH(IFERROR(A272+0,A272),tbl_Onsite[Job Number],0)))="","",INDEX(tbl_Onsite[Tax Code],IFERROR(MATCH(A272&amp;"",tbl_Onsite[Job Number],0),MATCH(IFERROR(A272+0,A272),tbl_Onsite[Job Number],0)))),IFERROR(IF(INDEX(tbl_Production[Tax Code],IFERROR(MATCH(A272&amp;"",tbl_Production[Job Number],0),MATCH(IFERROR(A272+0,A272),tbl_Production[Job Number],0)))="","",INDEX(tbl_Production[Tax Code],IFERROR(MATCH(A272&amp;"",tbl_Production[Job Number],0),MATCH(IFERROR(A272+0,A272),tbl_Production[Job Number],0)))),IFERROR(IF(INDEX(tbl_Consulting[Tax Code],IFERROR(MATCH(A272&amp;"",tbl_Consulting[Job Number],0),MATCH(IFERROR(A272+0,A272),tbl_Consulting[Job Number],0)))="","",INDEX(tbl_Consulting[Tax Code],IFERROR(MATCH(A272&amp;"",tbl_Consulting[Job Number],0),MATCH(IFERROR(A272+0,A272),tbl_Consulting[Job Number],0)))),"")))="","GST 10%",IFERROR(IF(INDEX(tbl_Onsite[Tax Code],IFERROR(MATCH(A272&amp;"",tbl_Onsite[Job Number],0),MATCH(IFERROR(A272+0,A272),tbl_Onsite[Job Number],0)))="","",INDEX(tbl_Onsite[Tax Code],IFERROR(MATCH(A272&amp;"",tbl_Onsite[Job Number],0),MATCH(IFERROR(A272+0,A272),tbl_Onsite[Job Number],0)))),IFERROR(IF(INDEX(tbl_Production[Tax Code],IFERROR(MATCH(A272&amp;"",tbl_Production[Job Number],0),MATCH(IFERROR(A272+0,A272),tbl_Production[Job Number],0)))="","",INDEX(tbl_Production[Tax Code],IFERROR(MATCH(A272&amp;"",tbl_Production[Job Number],0),MATCH(IFERROR(A272+0,A272),tbl_Production[Job Number],0)))),IFERROR(IF(INDEX(tbl_Consulting[Tax Code],IFERROR(MATCH(A272&amp;"",tbl_Consulting[Job Number],0),MATCH(IFERROR(A272+0,A272),tbl_Consulting[Job Number],0)))="","",INDEX(tbl_Consulting[Tax Code],IFERROR(MATCH(A272&amp;"",tbl_Consulting[Job Number],0),MATCH(IFERROR(A272+0,A272),tbl_Consulting[Job Number],0)))),"")))))</f>
        <v/>
      </c>
      <c r="N272" s="26">
        <f>IF(D272="","",IFERROR(INDEX(lst_CCtoGL,MATCH(D272,lst_CCforGL,0)),""))</f>
        <v/>
      </c>
      <c r="O272" s="27">
        <f>IF(E272="","",IF(M272="GST 10%",ROUND(E272*set_GSTRate,2),0))</f>
        <v/>
      </c>
      <c r="P272" s="27">
        <f>IF(E272="","",E272+O272)</f>
        <v/>
      </c>
      <c r="Q272" s="27">
        <f>IF(A272="","",IFERROR(INDEX(tbl_Onsite[Expected Revenue Ex GST],IFERROR(MATCH(A272&amp;"",tbl_Onsite[Job Number],0),MATCH(IFERROR(A272+0,A272),tbl_Onsite[Job Number],0))),IFERROR(INDEX(tbl_Production[Expected Revenue Ex GST],IFERROR(MATCH(A272&amp;"",tbl_Production[Job Number],0),MATCH(IFERROR(A272+0,A272),tbl_Production[Job Number],0))),IFERROR(INDEX(tbl_Consulting[Expected Revenue Ex GST],IFERROR(MATCH(A272&amp;"",tbl_Consulting[Job Number],0),MATCH(IFERROR(A272+0,A272),tbl_Consulting[Job Number],0))),0))))</f>
        <v/>
      </c>
      <c r="R272" s="27">
        <f>IF(A272="","",SUMIFS(tbl_Finance[Ex GST],tbl_Finance[Job Number],A272&amp;""))</f>
        <v/>
      </c>
      <c r="S272" s="27">
        <f>IF(A272="","",Q272-R272)</f>
        <v/>
      </c>
      <c r="T272" s="26">
        <f>IF(A272="","",IF(Q272=0,"No dept value",IF(ROUND(S272,2)=0,"Agrees",IF(S272&gt;0,"Dept higher - to invoice","Xero higher - check dept"))))</f>
        <v/>
      </c>
      <c r="U272" s="22" t="n"/>
      <c r="V272" s="22" t="n"/>
      <c r="W272" s="23" t="n"/>
      <c r="X272" s="23" t="n"/>
      <c r="Y272" s="22" t="n"/>
      <c r="Z272" s="22" t="n"/>
      <c r="AA272" s="26">
        <f>IF(COUNTA(C272,A272,B272,E272)=0,"",IF(C272="","No date - sits outside every month",IF(A272="","No job number",IF(H272="CHECK","Job number is not in the Xero job list",IF(G272="not set up yet","No department has set this job up - nothing can pull through",IF(D272="","No cost centre",IF(AND(U272="Y",B272=""),"Marked posted to Xero but has no invoice number",IF(N272="","Cost centre has no revenue GL on the Lists sheet",IF(T272="Xero higher - check dept","Invoiced more than the department says the job is worth","")))))))))</f>
        <v/>
      </c>
      <c r="AB272" s="28">
        <f>IF(A272="","",COUNTIFS(tbl_Finance[Job Number],A272&amp;"",tbl_Finance[Ex GST],"&lt;&gt;"))</f>
        <v/>
      </c>
      <c r="AC272" s="27">
        <f>IF(A272="","",SUMIFS(tbl_Finance[Ex GST],tbl_Finance[Job Number],A272&amp;""))</f>
        <v/>
      </c>
      <c r="AD272" s="27">
        <f>IF(A272="","",SUMIFS(tbl_Finance[Ex GST],tbl_Finance[Job Number],A272&amp;"",tbl_Finance[Xero Invoice No],"&lt;&gt;"))</f>
        <v/>
      </c>
      <c r="AE272" s="27">
        <f>IF(A272="","",AC272-AD272)</f>
        <v/>
      </c>
      <c r="AF272" s="26">
        <f>IF(A272="","",IFERROR(IF(INDEX(tbl_Onsite[Qwilr Quote],IFERROR(MATCH(A272&amp;"",tbl_Onsite[Job Number],0),MATCH(IFERROR(A272+0,A272),tbl_Onsite[Job Number],0)))="","",INDEX(tbl_Onsite[Qwilr Quote],IFERROR(MATCH(A272&amp;"",tbl_Onsite[Job Number],0),MATCH(IFERROR(A272+0,A272),tbl_Onsite[Job Number],0)))),IFERROR(IF(IF(INDEX(tbl_Production[Current RMS No],IFERROR(MATCH(A272&amp;"",tbl_Production[Job Number],0),MATCH(IFERROR(A272+0,A272),tbl_Production[Job Number],0)))="",INDEX(tbl_Production[Qwilr Quote],IFERROR(MATCH(A272&amp;"",tbl_Production[Job Number],0),MATCH(IFERROR(A272+0,A272),tbl_Production[Job Number],0))),INDEX(tbl_Production[Current RMS No],IFERROR(MATCH(A272&amp;"",tbl_Production[Job Number],0),MATCH(IFERROR(A272+0,A272),tbl_Production[Job Number],0))))="","",IF(INDEX(tbl_Production[Current RMS No],IFERROR(MATCH(A272&amp;"",tbl_Production[Job Number],0),MATCH(IFERROR(A272+0,A272),tbl_Production[Job Number],0)))="",INDEX(tbl_Production[Qwilr Quote],IFERROR(MATCH(A272&amp;"",tbl_Production[Job Number],0),MATCH(IFERROR(A272+0,A272),tbl_Production[Job Number],0))),INDEX(tbl_Production[Current RMS No],IFERROR(MATCH(A272&amp;"",tbl_Production[Job Number],0),MATCH(IFERROR(A272+0,A272),tbl_Production[Job Number],0))))),IFERROR(IF(INDEX(tbl_Consulting[Qwilr Quote],IFERROR(MATCH(A272&amp;"",tbl_Consulting[Job Number],0),MATCH(IFERROR(A272+0,A272),tbl_Consulting[Job Number],0)))="","",INDEX(tbl_Consulting[Qwilr Quote],IFERROR(MATCH(A272&amp;"",tbl_Consulting[Job Number],0),MATCH(IFERROR(A272+0,A272),tbl_Consulting[Job Number],0)))),""))))</f>
        <v/>
      </c>
      <c r="AG272" s="26">
        <f>IF(AF272="","",IF(AND(LEFT(AF272,4)&lt;&gt;"http",IF(G272="Production",set_RMSBase,set_QwilrBase)=""),"",HYPERLINK(IF(LEFT(AF272,4)="http",AF272,IF(G272="Production",set_RMSBase,set_QwilrBase)&amp;AF272),"Open")))</f>
        <v/>
      </c>
      <c r="AH272" s="27">
        <f>IF(A272="","",IFERROR(INDEX(tbl_Production[Total Expense],IFERROR(MATCH(A272&amp;"",tbl_Production[Job Number],0),MATCH(IFERROR(A272+0,A272),tbl_Production[Job Number],0))),IFERROR(INDEX(tbl_Consulting[Total Expense],IFERROR(MATCH(A272&amp;"",tbl_Consulting[Job Number],0),MATCH(IFERROR(A272+0,A272),tbl_Consulting[Job Number],0))),0)))</f>
        <v/>
      </c>
      <c r="AI272" s="27">
        <f>IF(A272="","",AC272-N(AH272))</f>
        <v/>
      </c>
      <c r="AJ272" s="29">
        <f>IFERROR(AI272/AC272,"")</f>
        <v/>
      </c>
      <c r="AK272" s="26">
        <f>IF(A272="","",IFERROR(IF(INDEX(tbl_Onsite[Notes],IFERROR(MATCH(A272&amp;"",tbl_Onsite[Job Number],0),MATCH(IFERROR(A272+0,A272),tbl_Onsite[Job Number],0)))="","",INDEX(tbl_Onsite[Notes],IFERROR(MATCH(A272&amp;"",tbl_Onsite[Job Number],0),MATCH(IFERROR(A272+0,A272),tbl_Onsite[Job Number],0)))),IFERROR(IF(INDEX(tbl_Production[Notes],IFERROR(MATCH(A272&amp;"",tbl_Production[Job Number],0),MATCH(IFERROR(A272+0,A272),tbl_Production[Job Number],0)))="","",INDEX(tbl_Production[Notes],IFERROR(MATCH(A272&amp;"",tbl_Production[Job Number],0),MATCH(IFERROR(A272+0,A272),tbl_Production[Job Number],0)))),IFERROR(IF(INDEX(tbl_Consulting[Notes],IFERROR(MATCH(A272&amp;"",tbl_Consulting[Job Number],0),MATCH(IFERROR(A272+0,A272),tbl_Consulting[Job Number],0)))="","",INDEX(tbl_Consulting[Notes],IFERROR(MATCH(A272&amp;"",tbl_Consulting[Job Number],0),MATCH(IFERROR(A272+0,A272),tbl_Consulting[Job Number],0)))),""))))</f>
        <v/>
      </c>
    </row>
    <row r="273" ht="15" customHeight="1">
      <c r="A273" s="22" t="n"/>
      <c r="B273" s="22" t="n"/>
      <c r="C273" s="23" t="n"/>
      <c r="D273" s="22" t="n"/>
      <c r="E273" s="24" t="n"/>
      <c r="F273" s="25">
        <f>IF(C273="","",EOMONTH(C273,0))</f>
        <v/>
      </c>
      <c r="G273" s="26">
        <f>IF(A273="","",IF(COUNTIF(tbl_Onsite[Job Number],A273&amp;"")&gt;0,"Onsite",IF(COUNTIF(tbl_Production[Job Number],A273&amp;"")&gt;0,"Production",IF(COUNTIF(tbl_Consulting[Job Number],A273&amp;"")&gt;0,"Consulting","not set up yet"))))</f>
        <v/>
      </c>
      <c r="H273" s="26">
        <f>IF(A273="","",IF(COUNTIF(lst_Jobs,A273&amp;"")&gt;0,"OK","CHECK"))</f>
        <v/>
      </c>
      <c r="I273" s="26">
        <f>IF(A273="","",IFERROR(INDEX(lst_JobName,MATCH(A273&amp;"",lst_Jobs,0)),""))</f>
        <v/>
      </c>
      <c r="J273" s="26">
        <f>IF(A273="","",IFERROR(IF(INDEX(tbl_Onsite[Client],IFERROR(MATCH(A273&amp;"",tbl_Onsite[Job Number],0),MATCH(IFERROR(A273+0,A273),tbl_Onsite[Job Number],0)))="","",INDEX(tbl_Onsite[Client],IFERROR(MATCH(A273&amp;"",tbl_Onsite[Job Number],0),MATCH(IFERROR(A273+0,A273),tbl_Onsite[Job Number],0)))),IFERROR(IF(INDEX(tbl_Production[Client],IFERROR(MATCH(A273&amp;"",tbl_Production[Job Number],0),MATCH(IFERROR(A273+0,A273),tbl_Production[Job Number],0)))="","",INDEX(tbl_Production[Client],IFERROR(MATCH(A273&amp;"",tbl_Production[Job Number],0),MATCH(IFERROR(A273+0,A273),tbl_Production[Job Number],0)))),IFERROR(IF(INDEX(tbl_Consulting[Client],IFERROR(MATCH(A273&amp;"",tbl_Consulting[Job Number],0),MATCH(IFERROR(A273+0,A273),tbl_Consulting[Job Number],0)))="","",INDEX(tbl_Consulting[Client],IFERROR(MATCH(A273&amp;"",tbl_Consulting[Job Number],0),MATCH(IFERROR(A273+0,A273),tbl_Consulting[Job Number],0)))),""))))</f>
        <v/>
      </c>
      <c r="K273" s="26">
        <f>IF(A273="","",IFERROR(IF(INDEX(tbl_Onsite[Job Description],IFERROR(MATCH(A273&amp;"",tbl_Onsite[Job Number],0),MATCH(IFERROR(A273+0,A273),tbl_Onsite[Job Number],0)))="","",INDEX(tbl_Onsite[Job Description],IFERROR(MATCH(A273&amp;"",tbl_Onsite[Job Number],0),MATCH(IFERROR(A273+0,A273),tbl_Onsite[Job Number],0)))),IFERROR(IF(INDEX(tbl_Production[Job Description],IFERROR(MATCH(A273&amp;"",tbl_Production[Job Number],0),MATCH(IFERROR(A273+0,A273),tbl_Production[Job Number],0)))="","",INDEX(tbl_Production[Job Description],IFERROR(MATCH(A273&amp;"",tbl_Production[Job Number],0),MATCH(IFERROR(A273+0,A273),tbl_Production[Job Number],0)))),IFERROR(IF(INDEX(tbl_Consulting[Job Description],IFERROR(MATCH(A273&amp;"",tbl_Consulting[Job Number],0),MATCH(IFERROR(A273+0,A273),tbl_Consulting[Job Number],0)))="","",INDEX(tbl_Consulting[Job Description],IFERROR(MATCH(A273&amp;"",tbl_Consulting[Job Number],0),MATCH(IFERROR(A273+0,A273),tbl_Consulting[Job Number],0)))),""))))</f>
        <v/>
      </c>
      <c r="L273" s="26">
        <f>IF(A273="","",IFERROR(IF(INDEX(tbl_Onsite[Invoice Type],IFERROR(MATCH(A273&amp;"",tbl_Onsite[Job Number],0),MATCH(IFERROR(A273+0,A273),tbl_Onsite[Job Number],0)))="","",INDEX(tbl_Onsite[Invoice Type],IFERROR(MATCH(A273&amp;"",tbl_Onsite[Job Number],0),MATCH(IFERROR(A273+0,A273),tbl_Onsite[Job Number],0)))),IFERROR(IF(INDEX(tbl_Production[Invoice Type],IFERROR(MATCH(A273&amp;"",tbl_Production[Job Number],0),MATCH(IFERROR(A273+0,A273),tbl_Production[Job Number],0)))="","",INDEX(tbl_Production[Invoice Type],IFERROR(MATCH(A273&amp;"",tbl_Production[Job Number],0),MATCH(IFERROR(A273+0,A273),tbl_Production[Job Number],0)))),IFERROR(IF(INDEX(tbl_Consulting[Invoice Type],IFERROR(MATCH(A273&amp;"",tbl_Consulting[Job Number],0),MATCH(IFERROR(A273+0,A273),tbl_Consulting[Job Number],0)))="","",INDEX(tbl_Consulting[Invoice Type],IFERROR(MATCH(A273&amp;"",tbl_Consulting[Job Number],0),MATCH(IFERROR(A273+0,A273),tbl_Consulting[Job Number],0)))),""))))</f>
        <v/>
      </c>
      <c r="M273" s="26">
        <f>IF(A273="","",IF(IFERROR(IF(INDEX(tbl_Onsite[Tax Code],IFERROR(MATCH(A273&amp;"",tbl_Onsite[Job Number],0),MATCH(IFERROR(A273+0,A273),tbl_Onsite[Job Number],0)))="","",INDEX(tbl_Onsite[Tax Code],IFERROR(MATCH(A273&amp;"",tbl_Onsite[Job Number],0),MATCH(IFERROR(A273+0,A273),tbl_Onsite[Job Number],0)))),IFERROR(IF(INDEX(tbl_Production[Tax Code],IFERROR(MATCH(A273&amp;"",tbl_Production[Job Number],0),MATCH(IFERROR(A273+0,A273),tbl_Production[Job Number],0)))="","",INDEX(tbl_Production[Tax Code],IFERROR(MATCH(A273&amp;"",tbl_Production[Job Number],0),MATCH(IFERROR(A273+0,A273),tbl_Production[Job Number],0)))),IFERROR(IF(INDEX(tbl_Consulting[Tax Code],IFERROR(MATCH(A273&amp;"",tbl_Consulting[Job Number],0),MATCH(IFERROR(A273+0,A273),tbl_Consulting[Job Number],0)))="","",INDEX(tbl_Consulting[Tax Code],IFERROR(MATCH(A273&amp;"",tbl_Consulting[Job Number],0),MATCH(IFERROR(A273+0,A273),tbl_Consulting[Job Number],0)))),"")))="","GST 10%",IFERROR(IF(INDEX(tbl_Onsite[Tax Code],IFERROR(MATCH(A273&amp;"",tbl_Onsite[Job Number],0),MATCH(IFERROR(A273+0,A273),tbl_Onsite[Job Number],0)))="","",INDEX(tbl_Onsite[Tax Code],IFERROR(MATCH(A273&amp;"",tbl_Onsite[Job Number],0),MATCH(IFERROR(A273+0,A273),tbl_Onsite[Job Number],0)))),IFERROR(IF(INDEX(tbl_Production[Tax Code],IFERROR(MATCH(A273&amp;"",tbl_Production[Job Number],0),MATCH(IFERROR(A273+0,A273),tbl_Production[Job Number],0)))="","",INDEX(tbl_Production[Tax Code],IFERROR(MATCH(A273&amp;"",tbl_Production[Job Number],0),MATCH(IFERROR(A273+0,A273),tbl_Production[Job Number],0)))),IFERROR(IF(INDEX(tbl_Consulting[Tax Code],IFERROR(MATCH(A273&amp;"",tbl_Consulting[Job Number],0),MATCH(IFERROR(A273+0,A273),tbl_Consulting[Job Number],0)))="","",INDEX(tbl_Consulting[Tax Code],IFERROR(MATCH(A273&amp;"",tbl_Consulting[Job Number],0),MATCH(IFERROR(A273+0,A273),tbl_Consulting[Job Number],0)))),"")))))</f>
        <v/>
      </c>
      <c r="N273" s="26">
        <f>IF(D273="","",IFERROR(INDEX(lst_CCtoGL,MATCH(D273,lst_CCforGL,0)),""))</f>
        <v/>
      </c>
      <c r="O273" s="27">
        <f>IF(E273="","",IF(M273="GST 10%",ROUND(E273*set_GSTRate,2),0))</f>
        <v/>
      </c>
      <c r="P273" s="27">
        <f>IF(E273="","",E273+O273)</f>
        <v/>
      </c>
      <c r="Q273" s="27">
        <f>IF(A273="","",IFERROR(INDEX(tbl_Onsite[Expected Revenue Ex GST],IFERROR(MATCH(A273&amp;"",tbl_Onsite[Job Number],0),MATCH(IFERROR(A273+0,A273),tbl_Onsite[Job Number],0))),IFERROR(INDEX(tbl_Production[Expected Revenue Ex GST],IFERROR(MATCH(A273&amp;"",tbl_Production[Job Number],0),MATCH(IFERROR(A273+0,A273),tbl_Production[Job Number],0))),IFERROR(INDEX(tbl_Consulting[Expected Revenue Ex GST],IFERROR(MATCH(A273&amp;"",tbl_Consulting[Job Number],0),MATCH(IFERROR(A273+0,A273),tbl_Consulting[Job Number],0))),0))))</f>
        <v/>
      </c>
      <c r="R273" s="27">
        <f>IF(A273="","",SUMIFS(tbl_Finance[Ex GST],tbl_Finance[Job Number],A273&amp;""))</f>
        <v/>
      </c>
      <c r="S273" s="27">
        <f>IF(A273="","",Q273-R273)</f>
        <v/>
      </c>
      <c r="T273" s="26">
        <f>IF(A273="","",IF(Q273=0,"No dept value",IF(ROUND(S273,2)=0,"Agrees",IF(S273&gt;0,"Dept higher - to invoice","Xero higher - check dept"))))</f>
        <v/>
      </c>
      <c r="U273" s="22" t="n"/>
      <c r="V273" s="22" t="n"/>
      <c r="W273" s="23" t="n"/>
      <c r="X273" s="23" t="n"/>
      <c r="Y273" s="22" t="n"/>
      <c r="Z273" s="22" t="n"/>
      <c r="AA273" s="26">
        <f>IF(COUNTA(C273,A273,B273,E273)=0,"",IF(C273="","No date - sits outside every month",IF(A273="","No job number",IF(H273="CHECK","Job number is not in the Xero job list",IF(G273="not set up yet","No department has set this job up - nothing can pull through",IF(D273="","No cost centre",IF(AND(U273="Y",B273=""),"Marked posted to Xero but has no invoice number",IF(N273="","Cost centre has no revenue GL on the Lists sheet",IF(T273="Xero higher - check dept","Invoiced more than the department says the job is worth","")))))))))</f>
        <v/>
      </c>
      <c r="AB273" s="28">
        <f>IF(A273="","",COUNTIFS(tbl_Finance[Job Number],A273&amp;"",tbl_Finance[Ex GST],"&lt;&gt;"))</f>
        <v/>
      </c>
      <c r="AC273" s="27">
        <f>IF(A273="","",SUMIFS(tbl_Finance[Ex GST],tbl_Finance[Job Number],A273&amp;""))</f>
        <v/>
      </c>
      <c r="AD273" s="27">
        <f>IF(A273="","",SUMIFS(tbl_Finance[Ex GST],tbl_Finance[Job Number],A273&amp;"",tbl_Finance[Xero Invoice No],"&lt;&gt;"))</f>
        <v/>
      </c>
      <c r="AE273" s="27">
        <f>IF(A273="","",AC273-AD273)</f>
        <v/>
      </c>
      <c r="AF273" s="26">
        <f>IF(A273="","",IFERROR(IF(INDEX(tbl_Onsite[Qwilr Quote],IFERROR(MATCH(A273&amp;"",tbl_Onsite[Job Number],0),MATCH(IFERROR(A273+0,A273),tbl_Onsite[Job Number],0)))="","",INDEX(tbl_Onsite[Qwilr Quote],IFERROR(MATCH(A273&amp;"",tbl_Onsite[Job Number],0),MATCH(IFERROR(A273+0,A273),tbl_Onsite[Job Number],0)))),IFERROR(IF(IF(INDEX(tbl_Production[Current RMS No],IFERROR(MATCH(A273&amp;"",tbl_Production[Job Number],0),MATCH(IFERROR(A273+0,A273),tbl_Production[Job Number],0)))="",INDEX(tbl_Production[Qwilr Quote],IFERROR(MATCH(A273&amp;"",tbl_Production[Job Number],0),MATCH(IFERROR(A273+0,A273),tbl_Production[Job Number],0))),INDEX(tbl_Production[Current RMS No],IFERROR(MATCH(A273&amp;"",tbl_Production[Job Number],0),MATCH(IFERROR(A273+0,A273),tbl_Production[Job Number],0))))="","",IF(INDEX(tbl_Production[Current RMS No],IFERROR(MATCH(A273&amp;"",tbl_Production[Job Number],0),MATCH(IFERROR(A273+0,A273),tbl_Production[Job Number],0)))="",INDEX(tbl_Production[Qwilr Quote],IFERROR(MATCH(A273&amp;"",tbl_Production[Job Number],0),MATCH(IFERROR(A273+0,A273),tbl_Production[Job Number],0))),INDEX(tbl_Production[Current RMS No],IFERROR(MATCH(A273&amp;"",tbl_Production[Job Number],0),MATCH(IFERROR(A273+0,A273),tbl_Production[Job Number],0))))),IFERROR(IF(INDEX(tbl_Consulting[Qwilr Quote],IFERROR(MATCH(A273&amp;"",tbl_Consulting[Job Number],0),MATCH(IFERROR(A273+0,A273),tbl_Consulting[Job Number],0)))="","",INDEX(tbl_Consulting[Qwilr Quote],IFERROR(MATCH(A273&amp;"",tbl_Consulting[Job Number],0),MATCH(IFERROR(A273+0,A273),tbl_Consulting[Job Number],0)))),""))))</f>
        <v/>
      </c>
      <c r="AG273" s="26">
        <f>IF(AF273="","",IF(AND(LEFT(AF273,4)&lt;&gt;"http",IF(G273="Production",set_RMSBase,set_QwilrBase)=""),"",HYPERLINK(IF(LEFT(AF273,4)="http",AF273,IF(G273="Production",set_RMSBase,set_QwilrBase)&amp;AF273),"Open")))</f>
        <v/>
      </c>
      <c r="AH273" s="27">
        <f>IF(A273="","",IFERROR(INDEX(tbl_Production[Total Expense],IFERROR(MATCH(A273&amp;"",tbl_Production[Job Number],0),MATCH(IFERROR(A273+0,A273),tbl_Production[Job Number],0))),IFERROR(INDEX(tbl_Consulting[Total Expense],IFERROR(MATCH(A273&amp;"",tbl_Consulting[Job Number],0),MATCH(IFERROR(A273+0,A273),tbl_Consulting[Job Number],0))),0)))</f>
        <v/>
      </c>
      <c r="AI273" s="27">
        <f>IF(A273="","",AC273-N(AH273))</f>
        <v/>
      </c>
      <c r="AJ273" s="29">
        <f>IFERROR(AI273/AC273,"")</f>
        <v/>
      </c>
      <c r="AK273" s="26">
        <f>IF(A273="","",IFERROR(IF(INDEX(tbl_Onsite[Notes],IFERROR(MATCH(A273&amp;"",tbl_Onsite[Job Number],0),MATCH(IFERROR(A273+0,A273),tbl_Onsite[Job Number],0)))="","",INDEX(tbl_Onsite[Notes],IFERROR(MATCH(A273&amp;"",tbl_Onsite[Job Number],0),MATCH(IFERROR(A273+0,A273),tbl_Onsite[Job Number],0)))),IFERROR(IF(INDEX(tbl_Production[Notes],IFERROR(MATCH(A273&amp;"",tbl_Production[Job Number],0),MATCH(IFERROR(A273+0,A273),tbl_Production[Job Number],0)))="","",INDEX(tbl_Production[Notes],IFERROR(MATCH(A273&amp;"",tbl_Production[Job Number],0),MATCH(IFERROR(A273+0,A273),tbl_Production[Job Number],0)))),IFERROR(IF(INDEX(tbl_Consulting[Notes],IFERROR(MATCH(A273&amp;"",tbl_Consulting[Job Number],0),MATCH(IFERROR(A273+0,A273),tbl_Consulting[Job Number],0)))="","",INDEX(tbl_Consulting[Notes],IFERROR(MATCH(A273&amp;"",tbl_Consulting[Job Number],0),MATCH(IFERROR(A273+0,A273),tbl_Consulting[Job Number],0)))),""))))</f>
        <v/>
      </c>
    </row>
    <row r="274" ht="15" customHeight="1">
      <c r="A274" s="22" t="n"/>
      <c r="B274" s="22" t="n"/>
      <c r="C274" s="23" t="n"/>
      <c r="D274" s="22" t="n"/>
      <c r="E274" s="24" t="n"/>
      <c r="F274" s="25">
        <f>IF(C274="","",EOMONTH(C274,0))</f>
        <v/>
      </c>
      <c r="G274" s="26">
        <f>IF(A274="","",IF(COUNTIF(tbl_Onsite[Job Number],A274&amp;"")&gt;0,"Onsite",IF(COUNTIF(tbl_Production[Job Number],A274&amp;"")&gt;0,"Production",IF(COUNTIF(tbl_Consulting[Job Number],A274&amp;"")&gt;0,"Consulting","not set up yet"))))</f>
        <v/>
      </c>
      <c r="H274" s="26">
        <f>IF(A274="","",IF(COUNTIF(lst_Jobs,A274&amp;"")&gt;0,"OK","CHECK"))</f>
        <v/>
      </c>
      <c r="I274" s="26">
        <f>IF(A274="","",IFERROR(INDEX(lst_JobName,MATCH(A274&amp;"",lst_Jobs,0)),""))</f>
        <v/>
      </c>
      <c r="J274" s="26">
        <f>IF(A274="","",IFERROR(IF(INDEX(tbl_Onsite[Client],IFERROR(MATCH(A274&amp;"",tbl_Onsite[Job Number],0),MATCH(IFERROR(A274+0,A274),tbl_Onsite[Job Number],0)))="","",INDEX(tbl_Onsite[Client],IFERROR(MATCH(A274&amp;"",tbl_Onsite[Job Number],0),MATCH(IFERROR(A274+0,A274),tbl_Onsite[Job Number],0)))),IFERROR(IF(INDEX(tbl_Production[Client],IFERROR(MATCH(A274&amp;"",tbl_Production[Job Number],0),MATCH(IFERROR(A274+0,A274),tbl_Production[Job Number],0)))="","",INDEX(tbl_Production[Client],IFERROR(MATCH(A274&amp;"",tbl_Production[Job Number],0),MATCH(IFERROR(A274+0,A274),tbl_Production[Job Number],0)))),IFERROR(IF(INDEX(tbl_Consulting[Client],IFERROR(MATCH(A274&amp;"",tbl_Consulting[Job Number],0),MATCH(IFERROR(A274+0,A274),tbl_Consulting[Job Number],0)))="","",INDEX(tbl_Consulting[Client],IFERROR(MATCH(A274&amp;"",tbl_Consulting[Job Number],0),MATCH(IFERROR(A274+0,A274),tbl_Consulting[Job Number],0)))),""))))</f>
        <v/>
      </c>
      <c r="K274" s="26">
        <f>IF(A274="","",IFERROR(IF(INDEX(tbl_Onsite[Job Description],IFERROR(MATCH(A274&amp;"",tbl_Onsite[Job Number],0),MATCH(IFERROR(A274+0,A274),tbl_Onsite[Job Number],0)))="","",INDEX(tbl_Onsite[Job Description],IFERROR(MATCH(A274&amp;"",tbl_Onsite[Job Number],0),MATCH(IFERROR(A274+0,A274),tbl_Onsite[Job Number],0)))),IFERROR(IF(INDEX(tbl_Production[Job Description],IFERROR(MATCH(A274&amp;"",tbl_Production[Job Number],0),MATCH(IFERROR(A274+0,A274),tbl_Production[Job Number],0)))="","",INDEX(tbl_Production[Job Description],IFERROR(MATCH(A274&amp;"",tbl_Production[Job Number],0),MATCH(IFERROR(A274+0,A274),tbl_Production[Job Number],0)))),IFERROR(IF(INDEX(tbl_Consulting[Job Description],IFERROR(MATCH(A274&amp;"",tbl_Consulting[Job Number],0),MATCH(IFERROR(A274+0,A274),tbl_Consulting[Job Number],0)))="","",INDEX(tbl_Consulting[Job Description],IFERROR(MATCH(A274&amp;"",tbl_Consulting[Job Number],0),MATCH(IFERROR(A274+0,A274),tbl_Consulting[Job Number],0)))),""))))</f>
        <v/>
      </c>
      <c r="L274" s="26">
        <f>IF(A274="","",IFERROR(IF(INDEX(tbl_Onsite[Invoice Type],IFERROR(MATCH(A274&amp;"",tbl_Onsite[Job Number],0),MATCH(IFERROR(A274+0,A274),tbl_Onsite[Job Number],0)))="","",INDEX(tbl_Onsite[Invoice Type],IFERROR(MATCH(A274&amp;"",tbl_Onsite[Job Number],0),MATCH(IFERROR(A274+0,A274),tbl_Onsite[Job Number],0)))),IFERROR(IF(INDEX(tbl_Production[Invoice Type],IFERROR(MATCH(A274&amp;"",tbl_Production[Job Number],0),MATCH(IFERROR(A274+0,A274),tbl_Production[Job Number],0)))="","",INDEX(tbl_Production[Invoice Type],IFERROR(MATCH(A274&amp;"",tbl_Production[Job Number],0),MATCH(IFERROR(A274+0,A274),tbl_Production[Job Number],0)))),IFERROR(IF(INDEX(tbl_Consulting[Invoice Type],IFERROR(MATCH(A274&amp;"",tbl_Consulting[Job Number],0),MATCH(IFERROR(A274+0,A274),tbl_Consulting[Job Number],0)))="","",INDEX(tbl_Consulting[Invoice Type],IFERROR(MATCH(A274&amp;"",tbl_Consulting[Job Number],0),MATCH(IFERROR(A274+0,A274),tbl_Consulting[Job Number],0)))),""))))</f>
        <v/>
      </c>
      <c r="M274" s="26">
        <f>IF(A274="","",IF(IFERROR(IF(INDEX(tbl_Onsite[Tax Code],IFERROR(MATCH(A274&amp;"",tbl_Onsite[Job Number],0),MATCH(IFERROR(A274+0,A274),tbl_Onsite[Job Number],0)))="","",INDEX(tbl_Onsite[Tax Code],IFERROR(MATCH(A274&amp;"",tbl_Onsite[Job Number],0),MATCH(IFERROR(A274+0,A274),tbl_Onsite[Job Number],0)))),IFERROR(IF(INDEX(tbl_Production[Tax Code],IFERROR(MATCH(A274&amp;"",tbl_Production[Job Number],0),MATCH(IFERROR(A274+0,A274),tbl_Production[Job Number],0)))="","",INDEX(tbl_Production[Tax Code],IFERROR(MATCH(A274&amp;"",tbl_Production[Job Number],0),MATCH(IFERROR(A274+0,A274),tbl_Production[Job Number],0)))),IFERROR(IF(INDEX(tbl_Consulting[Tax Code],IFERROR(MATCH(A274&amp;"",tbl_Consulting[Job Number],0),MATCH(IFERROR(A274+0,A274),tbl_Consulting[Job Number],0)))="","",INDEX(tbl_Consulting[Tax Code],IFERROR(MATCH(A274&amp;"",tbl_Consulting[Job Number],0),MATCH(IFERROR(A274+0,A274),tbl_Consulting[Job Number],0)))),"")))="","GST 10%",IFERROR(IF(INDEX(tbl_Onsite[Tax Code],IFERROR(MATCH(A274&amp;"",tbl_Onsite[Job Number],0),MATCH(IFERROR(A274+0,A274),tbl_Onsite[Job Number],0)))="","",INDEX(tbl_Onsite[Tax Code],IFERROR(MATCH(A274&amp;"",tbl_Onsite[Job Number],0),MATCH(IFERROR(A274+0,A274),tbl_Onsite[Job Number],0)))),IFERROR(IF(INDEX(tbl_Production[Tax Code],IFERROR(MATCH(A274&amp;"",tbl_Production[Job Number],0),MATCH(IFERROR(A274+0,A274),tbl_Production[Job Number],0)))="","",INDEX(tbl_Production[Tax Code],IFERROR(MATCH(A274&amp;"",tbl_Production[Job Number],0),MATCH(IFERROR(A274+0,A274),tbl_Production[Job Number],0)))),IFERROR(IF(INDEX(tbl_Consulting[Tax Code],IFERROR(MATCH(A274&amp;"",tbl_Consulting[Job Number],0),MATCH(IFERROR(A274+0,A274),tbl_Consulting[Job Number],0)))="","",INDEX(tbl_Consulting[Tax Code],IFERROR(MATCH(A274&amp;"",tbl_Consulting[Job Number],0),MATCH(IFERROR(A274+0,A274),tbl_Consulting[Job Number],0)))),"")))))</f>
        <v/>
      </c>
      <c r="N274" s="26">
        <f>IF(D274="","",IFERROR(INDEX(lst_CCtoGL,MATCH(D274,lst_CCforGL,0)),""))</f>
        <v/>
      </c>
      <c r="O274" s="27">
        <f>IF(E274="","",IF(M274="GST 10%",ROUND(E274*set_GSTRate,2),0))</f>
        <v/>
      </c>
      <c r="P274" s="27">
        <f>IF(E274="","",E274+O274)</f>
        <v/>
      </c>
      <c r="Q274" s="27">
        <f>IF(A274="","",IFERROR(INDEX(tbl_Onsite[Expected Revenue Ex GST],IFERROR(MATCH(A274&amp;"",tbl_Onsite[Job Number],0),MATCH(IFERROR(A274+0,A274),tbl_Onsite[Job Number],0))),IFERROR(INDEX(tbl_Production[Expected Revenue Ex GST],IFERROR(MATCH(A274&amp;"",tbl_Production[Job Number],0),MATCH(IFERROR(A274+0,A274),tbl_Production[Job Number],0))),IFERROR(INDEX(tbl_Consulting[Expected Revenue Ex GST],IFERROR(MATCH(A274&amp;"",tbl_Consulting[Job Number],0),MATCH(IFERROR(A274+0,A274),tbl_Consulting[Job Number],0))),0))))</f>
        <v/>
      </c>
      <c r="R274" s="27">
        <f>IF(A274="","",SUMIFS(tbl_Finance[Ex GST],tbl_Finance[Job Number],A274&amp;""))</f>
        <v/>
      </c>
      <c r="S274" s="27">
        <f>IF(A274="","",Q274-R274)</f>
        <v/>
      </c>
      <c r="T274" s="26">
        <f>IF(A274="","",IF(Q274=0,"No dept value",IF(ROUND(S274,2)=0,"Agrees",IF(S274&gt;0,"Dept higher - to invoice","Xero higher - check dept"))))</f>
        <v/>
      </c>
      <c r="U274" s="22" t="n"/>
      <c r="V274" s="22" t="n"/>
      <c r="W274" s="23" t="n"/>
      <c r="X274" s="23" t="n"/>
      <c r="Y274" s="22" t="n"/>
      <c r="Z274" s="22" t="n"/>
      <c r="AA274" s="26">
        <f>IF(COUNTA(C274,A274,B274,E274)=0,"",IF(C274="","No date - sits outside every month",IF(A274="","No job number",IF(H274="CHECK","Job number is not in the Xero job list",IF(G274="not set up yet","No department has set this job up - nothing can pull through",IF(D274="","No cost centre",IF(AND(U274="Y",B274=""),"Marked posted to Xero but has no invoice number",IF(N274="","Cost centre has no revenue GL on the Lists sheet",IF(T274="Xero higher - check dept","Invoiced more than the department says the job is worth","")))))))))</f>
        <v/>
      </c>
      <c r="AB274" s="28">
        <f>IF(A274="","",COUNTIFS(tbl_Finance[Job Number],A274&amp;"",tbl_Finance[Ex GST],"&lt;&gt;"))</f>
        <v/>
      </c>
      <c r="AC274" s="27">
        <f>IF(A274="","",SUMIFS(tbl_Finance[Ex GST],tbl_Finance[Job Number],A274&amp;""))</f>
        <v/>
      </c>
      <c r="AD274" s="27">
        <f>IF(A274="","",SUMIFS(tbl_Finance[Ex GST],tbl_Finance[Job Number],A274&amp;"",tbl_Finance[Xero Invoice No],"&lt;&gt;"))</f>
        <v/>
      </c>
      <c r="AE274" s="27">
        <f>IF(A274="","",AC274-AD274)</f>
        <v/>
      </c>
      <c r="AF274" s="26">
        <f>IF(A274="","",IFERROR(IF(INDEX(tbl_Onsite[Qwilr Quote],IFERROR(MATCH(A274&amp;"",tbl_Onsite[Job Number],0),MATCH(IFERROR(A274+0,A274),tbl_Onsite[Job Number],0)))="","",INDEX(tbl_Onsite[Qwilr Quote],IFERROR(MATCH(A274&amp;"",tbl_Onsite[Job Number],0),MATCH(IFERROR(A274+0,A274),tbl_Onsite[Job Number],0)))),IFERROR(IF(IF(INDEX(tbl_Production[Current RMS No],IFERROR(MATCH(A274&amp;"",tbl_Production[Job Number],0),MATCH(IFERROR(A274+0,A274),tbl_Production[Job Number],0)))="",INDEX(tbl_Production[Qwilr Quote],IFERROR(MATCH(A274&amp;"",tbl_Production[Job Number],0),MATCH(IFERROR(A274+0,A274),tbl_Production[Job Number],0))),INDEX(tbl_Production[Current RMS No],IFERROR(MATCH(A274&amp;"",tbl_Production[Job Number],0),MATCH(IFERROR(A274+0,A274),tbl_Production[Job Number],0))))="","",IF(INDEX(tbl_Production[Current RMS No],IFERROR(MATCH(A274&amp;"",tbl_Production[Job Number],0),MATCH(IFERROR(A274+0,A274),tbl_Production[Job Number],0)))="",INDEX(tbl_Production[Qwilr Quote],IFERROR(MATCH(A274&amp;"",tbl_Production[Job Number],0),MATCH(IFERROR(A274+0,A274),tbl_Production[Job Number],0))),INDEX(tbl_Production[Current RMS No],IFERROR(MATCH(A274&amp;"",tbl_Production[Job Number],0),MATCH(IFERROR(A274+0,A274),tbl_Production[Job Number],0))))),IFERROR(IF(INDEX(tbl_Consulting[Qwilr Quote],IFERROR(MATCH(A274&amp;"",tbl_Consulting[Job Number],0),MATCH(IFERROR(A274+0,A274),tbl_Consulting[Job Number],0)))="","",INDEX(tbl_Consulting[Qwilr Quote],IFERROR(MATCH(A274&amp;"",tbl_Consulting[Job Number],0),MATCH(IFERROR(A274+0,A274),tbl_Consulting[Job Number],0)))),""))))</f>
        <v/>
      </c>
      <c r="AG274" s="26">
        <f>IF(AF274="","",IF(AND(LEFT(AF274,4)&lt;&gt;"http",IF(G274="Production",set_RMSBase,set_QwilrBase)=""),"",HYPERLINK(IF(LEFT(AF274,4)="http",AF274,IF(G274="Production",set_RMSBase,set_QwilrBase)&amp;AF274),"Open")))</f>
        <v/>
      </c>
      <c r="AH274" s="27">
        <f>IF(A274="","",IFERROR(INDEX(tbl_Production[Total Expense],IFERROR(MATCH(A274&amp;"",tbl_Production[Job Number],0),MATCH(IFERROR(A274+0,A274),tbl_Production[Job Number],0))),IFERROR(INDEX(tbl_Consulting[Total Expense],IFERROR(MATCH(A274&amp;"",tbl_Consulting[Job Number],0),MATCH(IFERROR(A274+0,A274),tbl_Consulting[Job Number],0))),0)))</f>
        <v/>
      </c>
      <c r="AI274" s="27">
        <f>IF(A274="","",AC274-N(AH274))</f>
        <v/>
      </c>
      <c r="AJ274" s="29">
        <f>IFERROR(AI274/AC274,"")</f>
        <v/>
      </c>
      <c r="AK274" s="26">
        <f>IF(A274="","",IFERROR(IF(INDEX(tbl_Onsite[Notes],IFERROR(MATCH(A274&amp;"",tbl_Onsite[Job Number],0),MATCH(IFERROR(A274+0,A274),tbl_Onsite[Job Number],0)))="","",INDEX(tbl_Onsite[Notes],IFERROR(MATCH(A274&amp;"",tbl_Onsite[Job Number],0),MATCH(IFERROR(A274+0,A274),tbl_Onsite[Job Number],0)))),IFERROR(IF(INDEX(tbl_Production[Notes],IFERROR(MATCH(A274&amp;"",tbl_Production[Job Number],0),MATCH(IFERROR(A274+0,A274),tbl_Production[Job Number],0)))="","",INDEX(tbl_Production[Notes],IFERROR(MATCH(A274&amp;"",tbl_Production[Job Number],0),MATCH(IFERROR(A274+0,A274),tbl_Production[Job Number],0)))),IFERROR(IF(INDEX(tbl_Consulting[Notes],IFERROR(MATCH(A274&amp;"",tbl_Consulting[Job Number],0),MATCH(IFERROR(A274+0,A274),tbl_Consulting[Job Number],0)))="","",INDEX(tbl_Consulting[Notes],IFERROR(MATCH(A274&amp;"",tbl_Consulting[Job Number],0),MATCH(IFERROR(A274+0,A274),tbl_Consulting[Job Number],0)))),""))))</f>
        <v/>
      </c>
    </row>
    <row r="275" ht="15" customHeight="1">
      <c r="A275" s="22" t="n"/>
      <c r="B275" s="22" t="n"/>
      <c r="C275" s="23" t="n"/>
      <c r="D275" s="22" t="n"/>
      <c r="E275" s="24" t="n"/>
      <c r="F275" s="25">
        <f>IF(C275="","",EOMONTH(C275,0))</f>
        <v/>
      </c>
      <c r="G275" s="26">
        <f>IF(A275="","",IF(COUNTIF(tbl_Onsite[Job Number],A275&amp;"")&gt;0,"Onsite",IF(COUNTIF(tbl_Production[Job Number],A275&amp;"")&gt;0,"Production",IF(COUNTIF(tbl_Consulting[Job Number],A275&amp;"")&gt;0,"Consulting","not set up yet"))))</f>
        <v/>
      </c>
      <c r="H275" s="26">
        <f>IF(A275="","",IF(COUNTIF(lst_Jobs,A275&amp;"")&gt;0,"OK","CHECK"))</f>
        <v/>
      </c>
      <c r="I275" s="26">
        <f>IF(A275="","",IFERROR(INDEX(lst_JobName,MATCH(A275&amp;"",lst_Jobs,0)),""))</f>
        <v/>
      </c>
      <c r="J275" s="26">
        <f>IF(A275="","",IFERROR(IF(INDEX(tbl_Onsite[Client],IFERROR(MATCH(A275&amp;"",tbl_Onsite[Job Number],0),MATCH(IFERROR(A275+0,A275),tbl_Onsite[Job Number],0)))="","",INDEX(tbl_Onsite[Client],IFERROR(MATCH(A275&amp;"",tbl_Onsite[Job Number],0),MATCH(IFERROR(A275+0,A275),tbl_Onsite[Job Number],0)))),IFERROR(IF(INDEX(tbl_Production[Client],IFERROR(MATCH(A275&amp;"",tbl_Production[Job Number],0),MATCH(IFERROR(A275+0,A275),tbl_Production[Job Number],0)))="","",INDEX(tbl_Production[Client],IFERROR(MATCH(A275&amp;"",tbl_Production[Job Number],0),MATCH(IFERROR(A275+0,A275),tbl_Production[Job Number],0)))),IFERROR(IF(INDEX(tbl_Consulting[Client],IFERROR(MATCH(A275&amp;"",tbl_Consulting[Job Number],0),MATCH(IFERROR(A275+0,A275),tbl_Consulting[Job Number],0)))="","",INDEX(tbl_Consulting[Client],IFERROR(MATCH(A275&amp;"",tbl_Consulting[Job Number],0),MATCH(IFERROR(A275+0,A275),tbl_Consulting[Job Number],0)))),""))))</f>
        <v/>
      </c>
      <c r="K275" s="26">
        <f>IF(A275="","",IFERROR(IF(INDEX(tbl_Onsite[Job Description],IFERROR(MATCH(A275&amp;"",tbl_Onsite[Job Number],0),MATCH(IFERROR(A275+0,A275),tbl_Onsite[Job Number],0)))="","",INDEX(tbl_Onsite[Job Description],IFERROR(MATCH(A275&amp;"",tbl_Onsite[Job Number],0),MATCH(IFERROR(A275+0,A275),tbl_Onsite[Job Number],0)))),IFERROR(IF(INDEX(tbl_Production[Job Description],IFERROR(MATCH(A275&amp;"",tbl_Production[Job Number],0),MATCH(IFERROR(A275+0,A275),tbl_Production[Job Number],0)))="","",INDEX(tbl_Production[Job Description],IFERROR(MATCH(A275&amp;"",tbl_Production[Job Number],0),MATCH(IFERROR(A275+0,A275),tbl_Production[Job Number],0)))),IFERROR(IF(INDEX(tbl_Consulting[Job Description],IFERROR(MATCH(A275&amp;"",tbl_Consulting[Job Number],0),MATCH(IFERROR(A275+0,A275),tbl_Consulting[Job Number],0)))="","",INDEX(tbl_Consulting[Job Description],IFERROR(MATCH(A275&amp;"",tbl_Consulting[Job Number],0),MATCH(IFERROR(A275+0,A275),tbl_Consulting[Job Number],0)))),""))))</f>
        <v/>
      </c>
      <c r="L275" s="26">
        <f>IF(A275="","",IFERROR(IF(INDEX(tbl_Onsite[Invoice Type],IFERROR(MATCH(A275&amp;"",tbl_Onsite[Job Number],0),MATCH(IFERROR(A275+0,A275),tbl_Onsite[Job Number],0)))="","",INDEX(tbl_Onsite[Invoice Type],IFERROR(MATCH(A275&amp;"",tbl_Onsite[Job Number],0),MATCH(IFERROR(A275+0,A275),tbl_Onsite[Job Number],0)))),IFERROR(IF(INDEX(tbl_Production[Invoice Type],IFERROR(MATCH(A275&amp;"",tbl_Production[Job Number],0),MATCH(IFERROR(A275+0,A275),tbl_Production[Job Number],0)))="","",INDEX(tbl_Production[Invoice Type],IFERROR(MATCH(A275&amp;"",tbl_Production[Job Number],0),MATCH(IFERROR(A275+0,A275),tbl_Production[Job Number],0)))),IFERROR(IF(INDEX(tbl_Consulting[Invoice Type],IFERROR(MATCH(A275&amp;"",tbl_Consulting[Job Number],0),MATCH(IFERROR(A275+0,A275),tbl_Consulting[Job Number],0)))="","",INDEX(tbl_Consulting[Invoice Type],IFERROR(MATCH(A275&amp;"",tbl_Consulting[Job Number],0),MATCH(IFERROR(A275+0,A275),tbl_Consulting[Job Number],0)))),""))))</f>
        <v/>
      </c>
      <c r="M275" s="26">
        <f>IF(A275="","",IF(IFERROR(IF(INDEX(tbl_Onsite[Tax Code],IFERROR(MATCH(A275&amp;"",tbl_Onsite[Job Number],0),MATCH(IFERROR(A275+0,A275),tbl_Onsite[Job Number],0)))="","",INDEX(tbl_Onsite[Tax Code],IFERROR(MATCH(A275&amp;"",tbl_Onsite[Job Number],0),MATCH(IFERROR(A275+0,A275),tbl_Onsite[Job Number],0)))),IFERROR(IF(INDEX(tbl_Production[Tax Code],IFERROR(MATCH(A275&amp;"",tbl_Production[Job Number],0),MATCH(IFERROR(A275+0,A275),tbl_Production[Job Number],0)))="","",INDEX(tbl_Production[Tax Code],IFERROR(MATCH(A275&amp;"",tbl_Production[Job Number],0),MATCH(IFERROR(A275+0,A275),tbl_Production[Job Number],0)))),IFERROR(IF(INDEX(tbl_Consulting[Tax Code],IFERROR(MATCH(A275&amp;"",tbl_Consulting[Job Number],0),MATCH(IFERROR(A275+0,A275),tbl_Consulting[Job Number],0)))="","",INDEX(tbl_Consulting[Tax Code],IFERROR(MATCH(A275&amp;"",tbl_Consulting[Job Number],0),MATCH(IFERROR(A275+0,A275),tbl_Consulting[Job Number],0)))),"")))="","GST 10%",IFERROR(IF(INDEX(tbl_Onsite[Tax Code],IFERROR(MATCH(A275&amp;"",tbl_Onsite[Job Number],0),MATCH(IFERROR(A275+0,A275),tbl_Onsite[Job Number],0)))="","",INDEX(tbl_Onsite[Tax Code],IFERROR(MATCH(A275&amp;"",tbl_Onsite[Job Number],0),MATCH(IFERROR(A275+0,A275),tbl_Onsite[Job Number],0)))),IFERROR(IF(INDEX(tbl_Production[Tax Code],IFERROR(MATCH(A275&amp;"",tbl_Production[Job Number],0),MATCH(IFERROR(A275+0,A275),tbl_Production[Job Number],0)))="","",INDEX(tbl_Production[Tax Code],IFERROR(MATCH(A275&amp;"",tbl_Production[Job Number],0),MATCH(IFERROR(A275+0,A275),tbl_Production[Job Number],0)))),IFERROR(IF(INDEX(tbl_Consulting[Tax Code],IFERROR(MATCH(A275&amp;"",tbl_Consulting[Job Number],0),MATCH(IFERROR(A275+0,A275),tbl_Consulting[Job Number],0)))="","",INDEX(tbl_Consulting[Tax Code],IFERROR(MATCH(A275&amp;"",tbl_Consulting[Job Number],0),MATCH(IFERROR(A275+0,A275),tbl_Consulting[Job Number],0)))),"")))))</f>
        <v/>
      </c>
      <c r="N275" s="26">
        <f>IF(D275="","",IFERROR(INDEX(lst_CCtoGL,MATCH(D275,lst_CCforGL,0)),""))</f>
        <v/>
      </c>
      <c r="O275" s="27">
        <f>IF(E275="","",IF(M275="GST 10%",ROUND(E275*set_GSTRate,2),0))</f>
        <v/>
      </c>
      <c r="P275" s="27">
        <f>IF(E275="","",E275+O275)</f>
        <v/>
      </c>
      <c r="Q275" s="27">
        <f>IF(A275="","",IFERROR(INDEX(tbl_Onsite[Expected Revenue Ex GST],IFERROR(MATCH(A275&amp;"",tbl_Onsite[Job Number],0),MATCH(IFERROR(A275+0,A275),tbl_Onsite[Job Number],0))),IFERROR(INDEX(tbl_Production[Expected Revenue Ex GST],IFERROR(MATCH(A275&amp;"",tbl_Production[Job Number],0),MATCH(IFERROR(A275+0,A275),tbl_Production[Job Number],0))),IFERROR(INDEX(tbl_Consulting[Expected Revenue Ex GST],IFERROR(MATCH(A275&amp;"",tbl_Consulting[Job Number],0),MATCH(IFERROR(A275+0,A275),tbl_Consulting[Job Number],0))),0))))</f>
        <v/>
      </c>
      <c r="R275" s="27">
        <f>IF(A275="","",SUMIFS(tbl_Finance[Ex GST],tbl_Finance[Job Number],A275&amp;""))</f>
        <v/>
      </c>
      <c r="S275" s="27">
        <f>IF(A275="","",Q275-R275)</f>
        <v/>
      </c>
      <c r="T275" s="26">
        <f>IF(A275="","",IF(Q275=0,"No dept value",IF(ROUND(S275,2)=0,"Agrees",IF(S275&gt;0,"Dept higher - to invoice","Xero higher - check dept"))))</f>
        <v/>
      </c>
      <c r="U275" s="22" t="n"/>
      <c r="V275" s="22" t="n"/>
      <c r="W275" s="23" t="n"/>
      <c r="X275" s="23" t="n"/>
      <c r="Y275" s="22" t="n"/>
      <c r="Z275" s="22" t="n"/>
      <c r="AA275" s="26">
        <f>IF(COUNTA(C275,A275,B275,E275)=0,"",IF(C275="","No date - sits outside every month",IF(A275="","No job number",IF(H275="CHECK","Job number is not in the Xero job list",IF(G275="not set up yet","No department has set this job up - nothing can pull through",IF(D275="","No cost centre",IF(AND(U275="Y",B275=""),"Marked posted to Xero but has no invoice number",IF(N275="","Cost centre has no revenue GL on the Lists sheet",IF(T275="Xero higher - check dept","Invoiced more than the department says the job is worth","")))))))))</f>
        <v/>
      </c>
      <c r="AB275" s="28">
        <f>IF(A275="","",COUNTIFS(tbl_Finance[Job Number],A275&amp;"",tbl_Finance[Ex GST],"&lt;&gt;"))</f>
        <v/>
      </c>
      <c r="AC275" s="27">
        <f>IF(A275="","",SUMIFS(tbl_Finance[Ex GST],tbl_Finance[Job Number],A275&amp;""))</f>
        <v/>
      </c>
      <c r="AD275" s="27">
        <f>IF(A275="","",SUMIFS(tbl_Finance[Ex GST],tbl_Finance[Job Number],A275&amp;"",tbl_Finance[Xero Invoice No],"&lt;&gt;"))</f>
        <v/>
      </c>
      <c r="AE275" s="27">
        <f>IF(A275="","",AC275-AD275)</f>
        <v/>
      </c>
      <c r="AF275" s="26">
        <f>IF(A275="","",IFERROR(IF(INDEX(tbl_Onsite[Qwilr Quote],IFERROR(MATCH(A275&amp;"",tbl_Onsite[Job Number],0),MATCH(IFERROR(A275+0,A275),tbl_Onsite[Job Number],0)))="","",INDEX(tbl_Onsite[Qwilr Quote],IFERROR(MATCH(A275&amp;"",tbl_Onsite[Job Number],0),MATCH(IFERROR(A275+0,A275),tbl_Onsite[Job Number],0)))),IFERROR(IF(IF(INDEX(tbl_Production[Current RMS No],IFERROR(MATCH(A275&amp;"",tbl_Production[Job Number],0),MATCH(IFERROR(A275+0,A275),tbl_Production[Job Number],0)))="",INDEX(tbl_Production[Qwilr Quote],IFERROR(MATCH(A275&amp;"",tbl_Production[Job Number],0),MATCH(IFERROR(A275+0,A275),tbl_Production[Job Number],0))),INDEX(tbl_Production[Current RMS No],IFERROR(MATCH(A275&amp;"",tbl_Production[Job Number],0),MATCH(IFERROR(A275+0,A275),tbl_Production[Job Number],0))))="","",IF(INDEX(tbl_Production[Current RMS No],IFERROR(MATCH(A275&amp;"",tbl_Production[Job Number],0),MATCH(IFERROR(A275+0,A275),tbl_Production[Job Number],0)))="",INDEX(tbl_Production[Qwilr Quote],IFERROR(MATCH(A275&amp;"",tbl_Production[Job Number],0),MATCH(IFERROR(A275+0,A275),tbl_Production[Job Number],0))),INDEX(tbl_Production[Current RMS No],IFERROR(MATCH(A275&amp;"",tbl_Production[Job Number],0),MATCH(IFERROR(A275+0,A275),tbl_Production[Job Number],0))))),IFERROR(IF(INDEX(tbl_Consulting[Qwilr Quote],IFERROR(MATCH(A275&amp;"",tbl_Consulting[Job Number],0),MATCH(IFERROR(A275+0,A275),tbl_Consulting[Job Number],0)))="","",INDEX(tbl_Consulting[Qwilr Quote],IFERROR(MATCH(A275&amp;"",tbl_Consulting[Job Number],0),MATCH(IFERROR(A275+0,A275),tbl_Consulting[Job Number],0)))),""))))</f>
        <v/>
      </c>
      <c r="AG275" s="26">
        <f>IF(AF275="","",IF(AND(LEFT(AF275,4)&lt;&gt;"http",IF(G275="Production",set_RMSBase,set_QwilrBase)=""),"",HYPERLINK(IF(LEFT(AF275,4)="http",AF275,IF(G275="Production",set_RMSBase,set_QwilrBase)&amp;AF275),"Open")))</f>
        <v/>
      </c>
      <c r="AH275" s="27">
        <f>IF(A275="","",IFERROR(INDEX(tbl_Production[Total Expense],IFERROR(MATCH(A275&amp;"",tbl_Production[Job Number],0),MATCH(IFERROR(A275+0,A275),tbl_Production[Job Number],0))),IFERROR(INDEX(tbl_Consulting[Total Expense],IFERROR(MATCH(A275&amp;"",tbl_Consulting[Job Number],0),MATCH(IFERROR(A275+0,A275),tbl_Consulting[Job Number],0))),0)))</f>
        <v/>
      </c>
      <c r="AI275" s="27">
        <f>IF(A275="","",AC275-N(AH275))</f>
        <v/>
      </c>
      <c r="AJ275" s="29">
        <f>IFERROR(AI275/AC275,"")</f>
        <v/>
      </c>
      <c r="AK275" s="26">
        <f>IF(A275="","",IFERROR(IF(INDEX(tbl_Onsite[Notes],IFERROR(MATCH(A275&amp;"",tbl_Onsite[Job Number],0),MATCH(IFERROR(A275+0,A275),tbl_Onsite[Job Number],0)))="","",INDEX(tbl_Onsite[Notes],IFERROR(MATCH(A275&amp;"",tbl_Onsite[Job Number],0),MATCH(IFERROR(A275+0,A275),tbl_Onsite[Job Number],0)))),IFERROR(IF(INDEX(tbl_Production[Notes],IFERROR(MATCH(A275&amp;"",tbl_Production[Job Number],0),MATCH(IFERROR(A275+0,A275),tbl_Production[Job Number],0)))="","",INDEX(tbl_Production[Notes],IFERROR(MATCH(A275&amp;"",tbl_Production[Job Number],0),MATCH(IFERROR(A275+0,A275),tbl_Production[Job Number],0)))),IFERROR(IF(INDEX(tbl_Consulting[Notes],IFERROR(MATCH(A275&amp;"",tbl_Consulting[Job Number],0),MATCH(IFERROR(A275+0,A275),tbl_Consulting[Job Number],0)))="","",INDEX(tbl_Consulting[Notes],IFERROR(MATCH(A275&amp;"",tbl_Consulting[Job Number],0),MATCH(IFERROR(A275+0,A275),tbl_Consulting[Job Number],0)))),""))))</f>
        <v/>
      </c>
    </row>
    <row r="276" ht="15" customHeight="1">
      <c r="A276" s="22" t="n"/>
      <c r="B276" s="22" t="n"/>
      <c r="C276" s="23" t="n"/>
      <c r="D276" s="22" t="n"/>
      <c r="E276" s="24" t="n"/>
      <c r="F276" s="25">
        <f>IF(C276="","",EOMONTH(C276,0))</f>
        <v/>
      </c>
      <c r="G276" s="26">
        <f>IF(A276="","",IF(COUNTIF(tbl_Onsite[Job Number],A276&amp;"")&gt;0,"Onsite",IF(COUNTIF(tbl_Production[Job Number],A276&amp;"")&gt;0,"Production",IF(COUNTIF(tbl_Consulting[Job Number],A276&amp;"")&gt;0,"Consulting","not set up yet"))))</f>
        <v/>
      </c>
      <c r="H276" s="26">
        <f>IF(A276="","",IF(COUNTIF(lst_Jobs,A276&amp;"")&gt;0,"OK","CHECK"))</f>
        <v/>
      </c>
      <c r="I276" s="26">
        <f>IF(A276="","",IFERROR(INDEX(lst_JobName,MATCH(A276&amp;"",lst_Jobs,0)),""))</f>
        <v/>
      </c>
      <c r="J276" s="26">
        <f>IF(A276="","",IFERROR(IF(INDEX(tbl_Onsite[Client],IFERROR(MATCH(A276&amp;"",tbl_Onsite[Job Number],0),MATCH(IFERROR(A276+0,A276),tbl_Onsite[Job Number],0)))="","",INDEX(tbl_Onsite[Client],IFERROR(MATCH(A276&amp;"",tbl_Onsite[Job Number],0),MATCH(IFERROR(A276+0,A276),tbl_Onsite[Job Number],0)))),IFERROR(IF(INDEX(tbl_Production[Client],IFERROR(MATCH(A276&amp;"",tbl_Production[Job Number],0),MATCH(IFERROR(A276+0,A276),tbl_Production[Job Number],0)))="","",INDEX(tbl_Production[Client],IFERROR(MATCH(A276&amp;"",tbl_Production[Job Number],0),MATCH(IFERROR(A276+0,A276),tbl_Production[Job Number],0)))),IFERROR(IF(INDEX(tbl_Consulting[Client],IFERROR(MATCH(A276&amp;"",tbl_Consulting[Job Number],0),MATCH(IFERROR(A276+0,A276),tbl_Consulting[Job Number],0)))="","",INDEX(tbl_Consulting[Client],IFERROR(MATCH(A276&amp;"",tbl_Consulting[Job Number],0),MATCH(IFERROR(A276+0,A276),tbl_Consulting[Job Number],0)))),""))))</f>
        <v/>
      </c>
      <c r="K276" s="26">
        <f>IF(A276="","",IFERROR(IF(INDEX(tbl_Onsite[Job Description],IFERROR(MATCH(A276&amp;"",tbl_Onsite[Job Number],0),MATCH(IFERROR(A276+0,A276),tbl_Onsite[Job Number],0)))="","",INDEX(tbl_Onsite[Job Description],IFERROR(MATCH(A276&amp;"",tbl_Onsite[Job Number],0),MATCH(IFERROR(A276+0,A276),tbl_Onsite[Job Number],0)))),IFERROR(IF(INDEX(tbl_Production[Job Description],IFERROR(MATCH(A276&amp;"",tbl_Production[Job Number],0),MATCH(IFERROR(A276+0,A276),tbl_Production[Job Number],0)))="","",INDEX(tbl_Production[Job Description],IFERROR(MATCH(A276&amp;"",tbl_Production[Job Number],0),MATCH(IFERROR(A276+0,A276),tbl_Production[Job Number],0)))),IFERROR(IF(INDEX(tbl_Consulting[Job Description],IFERROR(MATCH(A276&amp;"",tbl_Consulting[Job Number],0),MATCH(IFERROR(A276+0,A276),tbl_Consulting[Job Number],0)))="","",INDEX(tbl_Consulting[Job Description],IFERROR(MATCH(A276&amp;"",tbl_Consulting[Job Number],0),MATCH(IFERROR(A276+0,A276),tbl_Consulting[Job Number],0)))),""))))</f>
        <v/>
      </c>
      <c r="L276" s="26">
        <f>IF(A276="","",IFERROR(IF(INDEX(tbl_Onsite[Invoice Type],IFERROR(MATCH(A276&amp;"",tbl_Onsite[Job Number],0),MATCH(IFERROR(A276+0,A276),tbl_Onsite[Job Number],0)))="","",INDEX(tbl_Onsite[Invoice Type],IFERROR(MATCH(A276&amp;"",tbl_Onsite[Job Number],0),MATCH(IFERROR(A276+0,A276),tbl_Onsite[Job Number],0)))),IFERROR(IF(INDEX(tbl_Production[Invoice Type],IFERROR(MATCH(A276&amp;"",tbl_Production[Job Number],0),MATCH(IFERROR(A276+0,A276),tbl_Production[Job Number],0)))="","",INDEX(tbl_Production[Invoice Type],IFERROR(MATCH(A276&amp;"",tbl_Production[Job Number],0),MATCH(IFERROR(A276+0,A276),tbl_Production[Job Number],0)))),IFERROR(IF(INDEX(tbl_Consulting[Invoice Type],IFERROR(MATCH(A276&amp;"",tbl_Consulting[Job Number],0),MATCH(IFERROR(A276+0,A276),tbl_Consulting[Job Number],0)))="","",INDEX(tbl_Consulting[Invoice Type],IFERROR(MATCH(A276&amp;"",tbl_Consulting[Job Number],0),MATCH(IFERROR(A276+0,A276),tbl_Consulting[Job Number],0)))),""))))</f>
        <v/>
      </c>
      <c r="M276" s="26">
        <f>IF(A276="","",IF(IFERROR(IF(INDEX(tbl_Onsite[Tax Code],IFERROR(MATCH(A276&amp;"",tbl_Onsite[Job Number],0),MATCH(IFERROR(A276+0,A276),tbl_Onsite[Job Number],0)))="","",INDEX(tbl_Onsite[Tax Code],IFERROR(MATCH(A276&amp;"",tbl_Onsite[Job Number],0),MATCH(IFERROR(A276+0,A276),tbl_Onsite[Job Number],0)))),IFERROR(IF(INDEX(tbl_Production[Tax Code],IFERROR(MATCH(A276&amp;"",tbl_Production[Job Number],0),MATCH(IFERROR(A276+0,A276),tbl_Production[Job Number],0)))="","",INDEX(tbl_Production[Tax Code],IFERROR(MATCH(A276&amp;"",tbl_Production[Job Number],0),MATCH(IFERROR(A276+0,A276),tbl_Production[Job Number],0)))),IFERROR(IF(INDEX(tbl_Consulting[Tax Code],IFERROR(MATCH(A276&amp;"",tbl_Consulting[Job Number],0),MATCH(IFERROR(A276+0,A276),tbl_Consulting[Job Number],0)))="","",INDEX(tbl_Consulting[Tax Code],IFERROR(MATCH(A276&amp;"",tbl_Consulting[Job Number],0),MATCH(IFERROR(A276+0,A276),tbl_Consulting[Job Number],0)))),"")))="","GST 10%",IFERROR(IF(INDEX(tbl_Onsite[Tax Code],IFERROR(MATCH(A276&amp;"",tbl_Onsite[Job Number],0),MATCH(IFERROR(A276+0,A276),tbl_Onsite[Job Number],0)))="","",INDEX(tbl_Onsite[Tax Code],IFERROR(MATCH(A276&amp;"",tbl_Onsite[Job Number],0),MATCH(IFERROR(A276+0,A276),tbl_Onsite[Job Number],0)))),IFERROR(IF(INDEX(tbl_Production[Tax Code],IFERROR(MATCH(A276&amp;"",tbl_Production[Job Number],0),MATCH(IFERROR(A276+0,A276),tbl_Production[Job Number],0)))="","",INDEX(tbl_Production[Tax Code],IFERROR(MATCH(A276&amp;"",tbl_Production[Job Number],0),MATCH(IFERROR(A276+0,A276),tbl_Production[Job Number],0)))),IFERROR(IF(INDEX(tbl_Consulting[Tax Code],IFERROR(MATCH(A276&amp;"",tbl_Consulting[Job Number],0),MATCH(IFERROR(A276+0,A276),tbl_Consulting[Job Number],0)))="","",INDEX(tbl_Consulting[Tax Code],IFERROR(MATCH(A276&amp;"",tbl_Consulting[Job Number],0),MATCH(IFERROR(A276+0,A276),tbl_Consulting[Job Number],0)))),"")))))</f>
        <v/>
      </c>
      <c r="N276" s="26">
        <f>IF(D276="","",IFERROR(INDEX(lst_CCtoGL,MATCH(D276,lst_CCforGL,0)),""))</f>
        <v/>
      </c>
      <c r="O276" s="27">
        <f>IF(E276="","",IF(M276="GST 10%",ROUND(E276*set_GSTRate,2),0))</f>
        <v/>
      </c>
      <c r="P276" s="27">
        <f>IF(E276="","",E276+O276)</f>
        <v/>
      </c>
      <c r="Q276" s="27">
        <f>IF(A276="","",IFERROR(INDEX(tbl_Onsite[Expected Revenue Ex GST],IFERROR(MATCH(A276&amp;"",tbl_Onsite[Job Number],0),MATCH(IFERROR(A276+0,A276),tbl_Onsite[Job Number],0))),IFERROR(INDEX(tbl_Production[Expected Revenue Ex GST],IFERROR(MATCH(A276&amp;"",tbl_Production[Job Number],0),MATCH(IFERROR(A276+0,A276),tbl_Production[Job Number],0))),IFERROR(INDEX(tbl_Consulting[Expected Revenue Ex GST],IFERROR(MATCH(A276&amp;"",tbl_Consulting[Job Number],0),MATCH(IFERROR(A276+0,A276),tbl_Consulting[Job Number],0))),0))))</f>
        <v/>
      </c>
      <c r="R276" s="27">
        <f>IF(A276="","",SUMIFS(tbl_Finance[Ex GST],tbl_Finance[Job Number],A276&amp;""))</f>
        <v/>
      </c>
      <c r="S276" s="27">
        <f>IF(A276="","",Q276-R276)</f>
        <v/>
      </c>
      <c r="T276" s="26">
        <f>IF(A276="","",IF(Q276=0,"No dept value",IF(ROUND(S276,2)=0,"Agrees",IF(S276&gt;0,"Dept higher - to invoice","Xero higher - check dept"))))</f>
        <v/>
      </c>
      <c r="U276" s="22" t="n"/>
      <c r="V276" s="22" t="n"/>
      <c r="W276" s="23" t="n"/>
      <c r="X276" s="23" t="n"/>
      <c r="Y276" s="22" t="n"/>
      <c r="Z276" s="22" t="n"/>
      <c r="AA276" s="26">
        <f>IF(COUNTA(C276,A276,B276,E276)=0,"",IF(C276="","No date - sits outside every month",IF(A276="","No job number",IF(H276="CHECK","Job number is not in the Xero job list",IF(G276="not set up yet","No department has set this job up - nothing can pull through",IF(D276="","No cost centre",IF(AND(U276="Y",B276=""),"Marked posted to Xero but has no invoice number",IF(N276="","Cost centre has no revenue GL on the Lists sheet",IF(T276="Xero higher - check dept","Invoiced more than the department says the job is worth","")))))))))</f>
        <v/>
      </c>
      <c r="AB276" s="28">
        <f>IF(A276="","",COUNTIFS(tbl_Finance[Job Number],A276&amp;"",tbl_Finance[Ex GST],"&lt;&gt;"))</f>
        <v/>
      </c>
      <c r="AC276" s="27">
        <f>IF(A276="","",SUMIFS(tbl_Finance[Ex GST],tbl_Finance[Job Number],A276&amp;""))</f>
        <v/>
      </c>
      <c r="AD276" s="27">
        <f>IF(A276="","",SUMIFS(tbl_Finance[Ex GST],tbl_Finance[Job Number],A276&amp;"",tbl_Finance[Xero Invoice No],"&lt;&gt;"))</f>
        <v/>
      </c>
      <c r="AE276" s="27">
        <f>IF(A276="","",AC276-AD276)</f>
        <v/>
      </c>
      <c r="AF276" s="26">
        <f>IF(A276="","",IFERROR(IF(INDEX(tbl_Onsite[Qwilr Quote],IFERROR(MATCH(A276&amp;"",tbl_Onsite[Job Number],0),MATCH(IFERROR(A276+0,A276),tbl_Onsite[Job Number],0)))="","",INDEX(tbl_Onsite[Qwilr Quote],IFERROR(MATCH(A276&amp;"",tbl_Onsite[Job Number],0),MATCH(IFERROR(A276+0,A276),tbl_Onsite[Job Number],0)))),IFERROR(IF(IF(INDEX(tbl_Production[Current RMS No],IFERROR(MATCH(A276&amp;"",tbl_Production[Job Number],0),MATCH(IFERROR(A276+0,A276),tbl_Production[Job Number],0)))="",INDEX(tbl_Production[Qwilr Quote],IFERROR(MATCH(A276&amp;"",tbl_Production[Job Number],0),MATCH(IFERROR(A276+0,A276),tbl_Production[Job Number],0))),INDEX(tbl_Production[Current RMS No],IFERROR(MATCH(A276&amp;"",tbl_Production[Job Number],0),MATCH(IFERROR(A276+0,A276),tbl_Production[Job Number],0))))="","",IF(INDEX(tbl_Production[Current RMS No],IFERROR(MATCH(A276&amp;"",tbl_Production[Job Number],0),MATCH(IFERROR(A276+0,A276),tbl_Production[Job Number],0)))="",INDEX(tbl_Production[Qwilr Quote],IFERROR(MATCH(A276&amp;"",tbl_Production[Job Number],0),MATCH(IFERROR(A276+0,A276),tbl_Production[Job Number],0))),INDEX(tbl_Production[Current RMS No],IFERROR(MATCH(A276&amp;"",tbl_Production[Job Number],0),MATCH(IFERROR(A276+0,A276),tbl_Production[Job Number],0))))),IFERROR(IF(INDEX(tbl_Consulting[Qwilr Quote],IFERROR(MATCH(A276&amp;"",tbl_Consulting[Job Number],0),MATCH(IFERROR(A276+0,A276),tbl_Consulting[Job Number],0)))="","",INDEX(tbl_Consulting[Qwilr Quote],IFERROR(MATCH(A276&amp;"",tbl_Consulting[Job Number],0),MATCH(IFERROR(A276+0,A276),tbl_Consulting[Job Number],0)))),""))))</f>
        <v/>
      </c>
      <c r="AG276" s="26">
        <f>IF(AF276="","",IF(AND(LEFT(AF276,4)&lt;&gt;"http",IF(G276="Production",set_RMSBase,set_QwilrBase)=""),"",HYPERLINK(IF(LEFT(AF276,4)="http",AF276,IF(G276="Production",set_RMSBase,set_QwilrBase)&amp;AF276),"Open")))</f>
        <v/>
      </c>
      <c r="AH276" s="27">
        <f>IF(A276="","",IFERROR(INDEX(tbl_Production[Total Expense],IFERROR(MATCH(A276&amp;"",tbl_Production[Job Number],0),MATCH(IFERROR(A276+0,A276),tbl_Production[Job Number],0))),IFERROR(INDEX(tbl_Consulting[Total Expense],IFERROR(MATCH(A276&amp;"",tbl_Consulting[Job Number],0),MATCH(IFERROR(A276+0,A276),tbl_Consulting[Job Number],0))),0)))</f>
        <v/>
      </c>
      <c r="AI276" s="27">
        <f>IF(A276="","",AC276-N(AH276))</f>
        <v/>
      </c>
      <c r="AJ276" s="29">
        <f>IFERROR(AI276/AC276,"")</f>
        <v/>
      </c>
      <c r="AK276" s="26">
        <f>IF(A276="","",IFERROR(IF(INDEX(tbl_Onsite[Notes],IFERROR(MATCH(A276&amp;"",tbl_Onsite[Job Number],0),MATCH(IFERROR(A276+0,A276),tbl_Onsite[Job Number],0)))="","",INDEX(tbl_Onsite[Notes],IFERROR(MATCH(A276&amp;"",tbl_Onsite[Job Number],0),MATCH(IFERROR(A276+0,A276),tbl_Onsite[Job Number],0)))),IFERROR(IF(INDEX(tbl_Production[Notes],IFERROR(MATCH(A276&amp;"",tbl_Production[Job Number],0),MATCH(IFERROR(A276+0,A276),tbl_Production[Job Number],0)))="","",INDEX(tbl_Production[Notes],IFERROR(MATCH(A276&amp;"",tbl_Production[Job Number],0),MATCH(IFERROR(A276+0,A276),tbl_Production[Job Number],0)))),IFERROR(IF(INDEX(tbl_Consulting[Notes],IFERROR(MATCH(A276&amp;"",tbl_Consulting[Job Number],0),MATCH(IFERROR(A276+0,A276),tbl_Consulting[Job Number],0)))="","",INDEX(tbl_Consulting[Notes],IFERROR(MATCH(A276&amp;"",tbl_Consulting[Job Number],0),MATCH(IFERROR(A276+0,A276),tbl_Consulting[Job Number],0)))),""))))</f>
        <v/>
      </c>
    </row>
    <row r="277" ht="15" customHeight="1">
      <c r="A277" s="22" t="n"/>
      <c r="B277" s="22" t="n"/>
      <c r="C277" s="23" t="n"/>
      <c r="D277" s="22" t="n"/>
      <c r="E277" s="24" t="n"/>
      <c r="F277" s="25">
        <f>IF(C277="","",EOMONTH(C277,0))</f>
        <v/>
      </c>
      <c r="G277" s="26">
        <f>IF(A277="","",IF(COUNTIF(tbl_Onsite[Job Number],A277&amp;"")&gt;0,"Onsite",IF(COUNTIF(tbl_Production[Job Number],A277&amp;"")&gt;0,"Production",IF(COUNTIF(tbl_Consulting[Job Number],A277&amp;"")&gt;0,"Consulting","not set up yet"))))</f>
        <v/>
      </c>
      <c r="H277" s="26">
        <f>IF(A277="","",IF(COUNTIF(lst_Jobs,A277&amp;"")&gt;0,"OK","CHECK"))</f>
        <v/>
      </c>
      <c r="I277" s="26">
        <f>IF(A277="","",IFERROR(INDEX(lst_JobName,MATCH(A277&amp;"",lst_Jobs,0)),""))</f>
        <v/>
      </c>
      <c r="J277" s="26">
        <f>IF(A277="","",IFERROR(IF(INDEX(tbl_Onsite[Client],IFERROR(MATCH(A277&amp;"",tbl_Onsite[Job Number],0),MATCH(IFERROR(A277+0,A277),tbl_Onsite[Job Number],0)))="","",INDEX(tbl_Onsite[Client],IFERROR(MATCH(A277&amp;"",tbl_Onsite[Job Number],0),MATCH(IFERROR(A277+0,A277),tbl_Onsite[Job Number],0)))),IFERROR(IF(INDEX(tbl_Production[Client],IFERROR(MATCH(A277&amp;"",tbl_Production[Job Number],0),MATCH(IFERROR(A277+0,A277),tbl_Production[Job Number],0)))="","",INDEX(tbl_Production[Client],IFERROR(MATCH(A277&amp;"",tbl_Production[Job Number],0),MATCH(IFERROR(A277+0,A277),tbl_Production[Job Number],0)))),IFERROR(IF(INDEX(tbl_Consulting[Client],IFERROR(MATCH(A277&amp;"",tbl_Consulting[Job Number],0),MATCH(IFERROR(A277+0,A277),tbl_Consulting[Job Number],0)))="","",INDEX(tbl_Consulting[Client],IFERROR(MATCH(A277&amp;"",tbl_Consulting[Job Number],0),MATCH(IFERROR(A277+0,A277),tbl_Consulting[Job Number],0)))),""))))</f>
        <v/>
      </c>
      <c r="K277" s="26">
        <f>IF(A277="","",IFERROR(IF(INDEX(tbl_Onsite[Job Description],IFERROR(MATCH(A277&amp;"",tbl_Onsite[Job Number],0),MATCH(IFERROR(A277+0,A277),tbl_Onsite[Job Number],0)))="","",INDEX(tbl_Onsite[Job Description],IFERROR(MATCH(A277&amp;"",tbl_Onsite[Job Number],0),MATCH(IFERROR(A277+0,A277),tbl_Onsite[Job Number],0)))),IFERROR(IF(INDEX(tbl_Production[Job Description],IFERROR(MATCH(A277&amp;"",tbl_Production[Job Number],0),MATCH(IFERROR(A277+0,A277),tbl_Production[Job Number],0)))="","",INDEX(tbl_Production[Job Description],IFERROR(MATCH(A277&amp;"",tbl_Production[Job Number],0),MATCH(IFERROR(A277+0,A277),tbl_Production[Job Number],0)))),IFERROR(IF(INDEX(tbl_Consulting[Job Description],IFERROR(MATCH(A277&amp;"",tbl_Consulting[Job Number],0),MATCH(IFERROR(A277+0,A277),tbl_Consulting[Job Number],0)))="","",INDEX(tbl_Consulting[Job Description],IFERROR(MATCH(A277&amp;"",tbl_Consulting[Job Number],0),MATCH(IFERROR(A277+0,A277),tbl_Consulting[Job Number],0)))),""))))</f>
        <v/>
      </c>
      <c r="L277" s="26">
        <f>IF(A277="","",IFERROR(IF(INDEX(tbl_Onsite[Invoice Type],IFERROR(MATCH(A277&amp;"",tbl_Onsite[Job Number],0),MATCH(IFERROR(A277+0,A277),tbl_Onsite[Job Number],0)))="","",INDEX(tbl_Onsite[Invoice Type],IFERROR(MATCH(A277&amp;"",tbl_Onsite[Job Number],0),MATCH(IFERROR(A277+0,A277),tbl_Onsite[Job Number],0)))),IFERROR(IF(INDEX(tbl_Production[Invoice Type],IFERROR(MATCH(A277&amp;"",tbl_Production[Job Number],0),MATCH(IFERROR(A277+0,A277),tbl_Production[Job Number],0)))="","",INDEX(tbl_Production[Invoice Type],IFERROR(MATCH(A277&amp;"",tbl_Production[Job Number],0),MATCH(IFERROR(A277+0,A277),tbl_Production[Job Number],0)))),IFERROR(IF(INDEX(tbl_Consulting[Invoice Type],IFERROR(MATCH(A277&amp;"",tbl_Consulting[Job Number],0),MATCH(IFERROR(A277+0,A277),tbl_Consulting[Job Number],0)))="","",INDEX(tbl_Consulting[Invoice Type],IFERROR(MATCH(A277&amp;"",tbl_Consulting[Job Number],0),MATCH(IFERROR(A277+0,A277),tbl_Consulting[Job Number],0)))),""))))</f>
        <v/>
      </c>
      <c r="M277" s="26">
        <f>IF(A277="","",IF(IFERROR(IF(INDEX(tbl_Onsite[Tax Code],IFERROR(MATCH(A277&amp;"",tbl_Onsite[Job Number],0),MATCH(IFERROR(A277+0,A277),tbl_Onsite[Job Number],0)))="","",INDEX(tbl_Onsite[Tax Code],IFERROR(MATCH(A277&amp;"",tbl_Onsite[Job Number],0),MATCH(IFERROR(A277+0,A277),tbl_Onsite[Job Number],0)))),IFERROR(IF(INDEX(tbl_Production[Tax Code],IFERROR(MATCH(A277&amp;"",tbl_Production[Job Number],0),MATCH(IFERROR(A277+0,A277),tbl_Production[Job Number],0)))="","",INDEX(tbl_Production[Tax Code],IFERROR(MATCH(A277&amp;"",tbl_Production[Job Number],0),MATCH(IFERROR(A277+0,A277),tbl_Production[Job Number],0)))),IFERROR(IF(INDEX(tbl_Consulting[Tax Code],IFERROR(MATCH(A277&amp;"",tbl_Consulting[Job Number],0),MATCH(IFERROR(A277+0,A277),tbl_Consulting[Job Number],0)))="","",INDEX(tbl_Consulting[Tax Code],IFERROR(MATCH(A277&amp;"",tbl_Consulting[Job Number],0),MATCH(IFERROR(A277+0,A277),tbl_Consulting[Job Number],0)))),"")))="","GST 10%",IFERROR(IF(INDEX(tbl_Onsite[Tax Code],IFERROR(MATCH(A277&amp;"",tbl_Onsite[Job Number],0),MATCH(IFERROR(A277+0,A277),tbl_Onsite[Job Number],0)))="","",INDEX(tbl_Onsite[Tax Code],IFERROR(MATCH(A277&amp;"",tbl_Onsite[Job Number],0),MATCH(IFERROR(A277+0,A277),tbl_Onsite[Job Number],0)))),IFERROR(IF(INDEX(tbl_Production[Tax Code],IFERROR(MATCH(A277&amp;"",tbl_Production[Job Number],0),MATCH(IFERROR(A277+0,A277),tbl_Production[Job Number],0)))="","",INDEX(tbl_Production[Tax Code],IFERROR(MATCH(A277&amp;"",tbl_Production[Job Number],0),MATCH(IFERROR(A277+0,A277),tbl_Production[Job Number],0)))),IFERROR(IF(INDEX(tbl_Consulting[Tax Code],IFERROR(MATCH(A277&amp;"",tbl_Consulting[Job Number],0),MATCH(IFERROR(A277+0,A277),tbl_Consulting[Job Number],0)))="","",INDEX(tbl_Consulting[Tax Code],IFERROR(MATCH(A277&amp;"",tbl_Consulting[Job Number],0),MATCH(IFERROR(A277+0,A277),tbl_Consulting[Job Number],0)))),"")))))</f>
        <v/>
      </c>
      <c r="N277" s="26">
        <f>IF(D277="","",IFERROR(INDEX(lst_CCtoGL,MATCH(D277,lst_CCforGL,0)),""))</f>
        <v/>
      </c>
      <c r="O277" s="27">
        <f>IF(E277="","",IF(M277="GST 10%",ROUND(E277*set_GSTRate,2),0))</f>
        <v/>
      </c>
      <c r="P277" s="27">
        <f>IF(E277="","",E277+O277)</f>
        <v/>
      </c>
      <c r="Q277" s="27">
        <f>IF(A277="","",IFERROR(INDEX(tbl_Onsite[Expected Revenue Ex GST],IFERROR(MATCH(A277&amp;"",tbl_Onsite[Job Number],0),MATCH(IFERROR(A277+0,A277),tbl_Onsite[Job Number],0))),IFERROR(INDEX(tbl_Production[Expected Revenue Ex GST],IFERROR(MATCH(A277&amp;"",tbl_Production[Job Number],0),MATCH(IFERROR(A277+0,A277),tbl_Production[Job Number],0))),IFERROR(INDEX(tbl_Consulting[Expected Revenue Ex GST],IFERROR(MATCH(A277&amp;"",tbl_Consulting[Job Number],0),MATCH(IFERROR(A277+0,A277),tbl_Consulting[Job Number],0))),0))))</f>
        <v/>
      </c>
      <c r="R277" s="27">
        <f>IF(A277="","",SUMIFS(tbl_Finance[Ex GST],tbl_Finance[Job Number],A277&amp;""))</f>
        <v/>
      </c>
      <c r="S277" s="27">
        <f>IF(A277="","",Q277-R277)</f>
        <v/>
      </c>
      <c r="T277" s="26">
        <f>IF(A277="","",IF(Q277=0,"No dept value",IF(ROUND(S277,2)=0,"Agrees",IF(S277&gt;0,"Dept higher - to invoice","Xero higher - check dept"))))</f>
        <v/>
      </c>
      <c r="U277" s="22" t="n"/>
      <c r="V277" s="22" t="n"/>
      <c r="W277" s="23" t="n"/>
      <c r="X277" s="23" t="n"/>
      <c r="Y277" s="22" t="n"/>
      <c r="Z277" s="22" t="n"/>
      <c r="AA277" s="26">
        <f>IF(COUNTA(C277,A277,B277,E277)=0,"",IF(C277="","No date - sits outside every month",IF(A277="","No job number",IF(H277="CHECK","Job number is not in the Xero job list",IF(G277="not set up yet","No department has set this job up - nothing can pull through",IF(D277="","No cost centre",IF(AND(U277="Y",B277=""),"Marked posted to Xero but has no invoice number",IF(N277="","Cost centre has no revenue GL on the Lists sheet",IF(T277="Xero higher - check dept","Invoiced more than the department says the job is worth","")))))))))</f>
        <v/>
      </c>
      <c r="AB277" s="28">
        <f>IF(A277="","",COUNTIFS(tbl_Finance[Job Number],A277&amp;"",tbl_Finance[Ex GST],"&lt;&gt;"))</f>
        <v/>
      </c>
      <c r="AC277" s="27">
        <f>IF(A277="","",SUMIFS(tbl_Finance[Ex GST],tbl_Finance[Job Number],A277&amp;""))</f>
        <v/>
      </c>
      <c r="AD277" s="27">
        <f>IF(A277="","",SUMIFS(tbl_Finance[Ex GST],tbl_Finance[Job Number],A277&amp;"",tbl_Finance[Xero Invoice No],"&lt;&gt;"))</f>
        <v/>
      </c>
      <c r="AE277" s="27">
        <f>IF(A277="","",AC277-AD277)</f>
        <v/>
      </c>
      <c r="AF277" s="26">
        <f>IF(A277="","",IFERROR(IF(INDEX(tbl_Onsite[Qwilr Quote],IFERROR(MATCH(A277&amp;"",tbl_Onsite[Job Number],0),MATCH(IFERROR(A277+0,A277),tbl_Onsite[Job Number],0)))="","",INDEX(tbl_Onsite[Qwilr Quote],IFERROR(MATCH(A277&amp;"",tbl_Onsite[Job Number],0),MATCH(IFERROR(A277+0,A277),tbl_Onsite[Job Number],0)))),IFERROR(IF(IF(INDEX(tbl_Production[Current RMS No],IFERROR(MATCH(A277&amp;"",tbl_Production[Job Number],0),MATCH(IFERROR(A277+0,A277),tbl_Production[Job Number],0)))="",INDEX(tbl_Production[Qwilr Quote],IFERROR(MATCH(A277&amp;"",tbl_Production[Job Number],0),MATCH(IFERROR(A277+0,A277),tbl_Production[Job Number],0))),INDEX(tbl_Production[Current RMS No],IFERROR(MATCH(A277&amp;"",tbl_Production[Job Number],0),MATCH(IFERROR(A277+0,A277),tbl_Production[Job Number],0))))="","",IF(INDEX(tbl_Production[Current RMS No],IFERROR(MATCH(A277&amp;"",tbl_Production[Job Number],0),MATCH(IFERROR(A277+0,A277),tbl_Production[Job Number],0)))="",INDEX(tbl_Production[Qwilr Quote],IFERROR(MATCH(A277&amp;"",tbl_Production[Job Number],0),MATCH(IFERROR(A277+0,A277),tbl_Production[Job Number],0))),INDEX(tbl_Production[Current RMS No],IFERROR(MATCH(A277&amp;"",tbl_Production[Job Number],0),MATCH(IFERROR(A277+0,A277),tbl_Production[Job Number],0))))),IFERROR(IF(INDEX(tbl_Consulting[Qwilr Quote],IFERROR(MATCH(A277&amp;"",tbl_Consulting[Job Number],0),MATCH(IFERROR(A277+0,A277),tbl_Consulting[Job Number],0)))="","",INDEX(tbl_Consulting[Qwilr Quote],IFERROR(MATCH(A277&amp;"",tbl_Consulting[Job Number],0),MATCH(IFERROR(A277+0,A277),tbl_Consulting[Job Number],0)))),""))))</f>
        <v/>
      </c>
      <c r="AG277" s="26">
        <f>IF(AF277="","",IF(AND(LEFT(AF277,4)&lt;&gt;"http",IF(G277="Production",set_RMSBase,set_QwilrBase)=""),"",HYPERLINK(IF(LEFT(AF277,4)="http",AF277,IF(G277="Production",set_RMSBase,set_QwilrBase)&amp;AF277),"Open")))</f>
        <v/>
      </c>
      <c r="AH277" s="27">
        <f>IF(A277="","",IFERROR(INDEX(tbl_Production[Total Expense],IFERROR(MATCH(A277&amp;"",tbl_Production[Job Number],0),MATCH(IFERROR(A277+0,A277),tbl_Production[Job Number],0))),IFERROR(INDEX(tbl_Consulting[Total Expense],IFERROR(MATCH(A277&amp;"",tbl_Consulting[Job Number],0),MATCH(IFERROR(A277+0,A277),tbl_Consulting[Job Number],0))),0)))</f>
        <v/>
      </c>
      <c r="AI277" s="27">
        <f>IF(A277="","",AC277-N(AH277))</f>
        <v/>
      </c>
      <c r="AJ277" s="29">
        <f>IFERROR(AI277/AC277,"")</f>
        <v/>
      </c>
      <c r="AK277" s="26">
        <f>IF(A277="","",IFERROR(IF(INDEX(tbl_Onsite[Notes],IFERROR(MATCH(A277&amp;"",tbl_Onsite[Job Number],0),MATCH(IFERROR(A277+0,A277),tbl_Onsite[Job Number],0)))="","",INDEX(tbl_Onsite[Notes],IFERROR(MATCH(A277&amp;"",tbl_Onsite[Job Number],0),MATCH(IFERROR(A277+0,A277),tbl_Onsite[Job Number],0)))),IFERROR(IF(INDEX(tbl_Production[Notes],IFERROR(MATCH(A277&amp;"",tbl_Production[Job Number],0),MATCH(IFERROR(A277+0,A277),tbl_Production[Job Number],0)))="","",INDEX(tbl_Production[Notes],IFERROR(MATCH(A277&amp;"",tbl_Production[Job Number],0),MATCH(IFERROR(A277+0,A277),tbl_Production[Job Number],0)))),IFERROR(IF(INDEX(tbl_Consulting[Notes],IFERROR(MATCH(A277&amp;"",tbl_Consulting[Job Number],0),MATCH(IFERROR(A277+0,A277),tbl_Consulting[Job Number],0)))="","",INDEX(tbl_Consulting[Notes],IFERROR(MATCH(A277&amp;"",tbl_Consulting[Job Number],0),MATCH(IFERROR(A277+0,A277),tbl_Consulting[Job Number],0)))),""))))</f>
        <v/>
      </c>
    </row>
    <row r="278" ht="15" customHeight="1">
      <c r="A278" s="22" t="n"/>
      <c r="B278" s="22" t="n"/>
      <c r="C278" s="23" t="n"/>
      <c r="D278" s="22" t="n"/>
      <c r="E278" s="24" t="n"/>
      <c r="F278" s="25">
        <f>IF(C278="","",EOMONTH(C278,0))</f>
        <v/>
      </c>
      <c r="G278" s="26">
        <f>IF(A278="","",IF(COUNTIF(tbl_Onsite[Job Number],A278&amp;"")&gt;0,"Onsite",IF(COUNTIF(tbl_Production[Job Number],A278&amp;"")&gt;0,"Production",IF(COUNTIF(tbl_Consulting[Job Number],A278&amp;"")&gt;0,"Consulting","not set up yet"))))</f>
        <v/>
      </c>
      <c r="H278" s="26">
        <f>IF(A278="","",IF(COUNTIF(lst_Jobs,A278&amp;"")&gt;0,"OK","CHECK"))</f>
        <v/>
      </c>
      <c r="I278" s="26">
        <f>IF(A278="","",IFERROR(INDEX(lst_JobName,MATCH(A278&amp;"",lst_Jobs,0)),""))</f>
        <v/>
      </c>
      <c r="J278" s="26">
        <f>IF(A278="","",IFERROR(IF(INDEX(tbl_Onsite[Client],IFERROR(MATCH(A278&amp;"",tbl_Onsite[Job Number],0),MATCH(IFERROR(A278+0,A278),tbl_Onsite[Job Number],0)))="","",INDEX(tbl_Onsite[Client],IFERROR(MATCH(A278&amp;"",tbl_Onsite[Job Number],0),MATCH(IFERROR(A278+0,A278),tbl_Onsite[Job Number],0)))),IFERROR(IF(INDEX(tbl_Production[Client],IFERROR(MATCH(A278&amp;"",tbl_Production[Job Number],0),MATCH(IFERROR(A278+0,A278),tbl_Production[Job Number],0)))="","",INDEX(tbl_Production[Client],IFERROR(MATCH(A278&amp;"",tbl_Production[Job Number],0),MATCH(IFERROR(A278+0,A278),tbl_Production[Job Number],0)))),IFERROR(IF(INDEX(tbl_Consulting[Client],IFERROR(MATCH(A278&amp;"",tbl_Consulting[Job Number],0),MATCH(IFERROR(A278+0,A278),tbl_Consulting[Job Number],0)))="","",INDEX(tbl_Consulting[Client],IFERROR(MATCH(A278&amp;"",tbl_Consulting[Job Number],0),MATCH(IFERROR(A278+0,A278),tbl_Consulting[Job Number],0)))),""))))</f>
        <v/>
      </c>
      <c r="K278" s="26">
        <f>IF(A278="","",IFERROR(IF(INDEX(tbl_Onsite[Job Description],IFERROR(MATCH(A278&amp;"",tbl_Onsite[Job Number],0),MATCH(IFERROR(A278+0,A278),tbl_Onsite[Job Number],0)))="","",INDEX(tbl_Onsite[Job Description],IFERROR(MATCH(A278&amp;"",tbl_Onsite[Job Number],0),MATCH(IFERROR(A278+0,A278),tbl_Onsite[Job Number],0)))),IFERROR(IF(INDEX(tbl_Production[Job Description],IFERROR(MATCH(A278&amp;"",tbl_Production[Job Number],0),MATCH(IFERROR(A278+0,A278),tbl_Production[Job Number],0)))="","",INDEX(tbl_Production[Job Description],IFERROR(MATCH(A278&amp;"",tbl_Production[Job Number],0),MATCH(IFERROR(A278+0,A278),tbl_Production[Job Number],0)))),IFERROR(IF(INDEX(tbl_Consulting[Job Description],IFERROR(MATCH(A278&amp;"",tbl_Consulting[Job Number],0),MATCH(IFERROR(A278+0,A278),tbl_Consulting[Job Number],0)))="","",INDEX(tbl_Consulting[Job Description],IFERROR(MATCH(A278&amp;"",tbl_Consulting[Job Number],0),MATCH(IFERROR(A278+0,A278),tbl_Consulting[Job Number],0)))),""))))</f>
        <v/>
      </c>
      <c r="L278" s="26">
        <f>IF(A278="","",IFERROR(IF(INDEX(tbl_Onsite[Invoice Type],IFERROR(MATCH(A278&amp;"",tbl_Onsite[Job Number],0),MATCH(IFERROR(A278+0,A278),tbl_Onsite[Job Number],0)))="","",INDEX(tbl_Onsite[Invoice Type],IFERROR(MATCH(A278&amp;"",tbl_Onsite[Job Number],0),MATCH(IFERROR(A278+0,A278),tbl_Onsite[Job Number],0)))),IFERROR(IF(INDEX(tbl_Production[Invoice Type],IFERROR(MATCH(A278&amp;"",tbl_Production[Job Number],0),MATCH(IFERROR(A278+0,A278),tbl_Production[Job Number],0)))="","",INDEX(tbl_Production[Invoice Type],IFERROR(MATCH(A278&amp;"",tbl_Production[Job Number],0),MATCH(IFERROR(A278+0,A278),tbl_Production[Job Number],0)))),IFERROR(IF(INDEX(tbl_Consulting[Invoice Type],IFERROR(MATCH(A278&amp;"",tbl_Consulting[Job Number],0),MATCH(IFERROR(A278+0,A278),tbl_Consulting[Job Number],0)))="","",INDEX(tbl_Consulting[Invoice Type],IFERROR(MATCH(A278&amp;"",tbl_Consulting[Job Number],0),MATCH(IFERROR(A278+0,A278),tbl_Consulting[Job Number],0)))),""))))</f>
        <v/>
      </c>
      <c r="M278" s="26">
        <f>IF(A278="","",IF(IFERROR(IF(INDEX(tbl_Onsite[Tax Code],IFERROR(MATCH(A278&amp;"",tbl_Onsite[Job Number],0),MATCH(IFERROR(A278+0,A278),tbl_Onsite[Job Number],0)))="","",INDEX(tbl_Onsite[Tax Code],IFERROR(MATCH(A278&amp;"",tbl_Onsite[Job Number],0),MATCH(IFERROR(A278+0,A278),tbl_Onsite[Job Number],0)))),IFERROR(IF(INDEX(tbl_Production[Tax Code],IFERROR(MATCH(A278&amp;"",tbl_Production[Job Number],0),MATCH(IFERROR(A278+0,A278),tbl_Production[Job Number],0)))="","",INDEX(tbl_Production[Tax Code],IFERROR(MATCH(A278&amp;"",tbl_Production[Job Number],0),MATCH(IFERROR(A278+0,A278),tbl_Production[Job Number],0)))),IFERROR(IF(INDEX(tbl_Consulting[Tax Code],IFERROR(MATCH(A278&amp;"",tbl_Consulting[Job Number],0),MATCH(IFERROR(A278+0,A278),tbl_Consulting[Job Number],0)))="","",INDEX(tbl_Consulting[Tax Code],IFERROR(MATCH(A278&amp;"",tbl_Consulting[Job Number],0),MATCH(IFERROR(A278+0,A278),tbl_Consulting[Job Number],0)))),"")))="","GST 10%",IFERROR(IF(INDEX(tbl_Onsite[Tax Code],IFERROR(MATCH(A278&amp;"",tbl_Onsite[Job Number],0),MATCH(IFERROR(A278+0,A278),tbl_Onsite[Job Number],0)))="","",INDEX(tbl_Onsite[Tax Code],IFERROR(MATCH(A278&amp;"",tbl_Onsite[Job Number],0),MATCH(IFERROR(A278+0,A278),tbl_Onsite[Job Number],0)))),IFERROR(IF(INDEX(tbl_Production[Tax Code],IFERROR(MATCH(A278&amp;"",tbl_Production[Job Number],0),MATCH(IFERROR(A278+0,A278),tbl_Production[Job Number],0)))="","",INDEX(tbl_Production[Tax Code],IFERROR(MATCH(A278&amp;"",tbl_Production[Job Number],0),MATCH(IFERROR(A278+0,A278),tbl_Production[Job Number],0)))),IFERROR(IF(INDEX(tbl_Consulting[Tax Code],IFERROR(MATCH(A278&amp;"",tbl_Consulting[Job Number],0),MATCH(IFERROR(A278+0,A278),tbl_Consulting[Job Number],0)))="","",INDEX(tbl_Consulting[Tax Code],IFERROR(MATCH(A278&amp;"",tbl_Consulting[Job Number],0),MATCH(IFERROR(A278+0,A278),tbl_Consulting[Job Number],0)))),"")))))</f>
        <v/>
      </c>
      <c r="N278" s="26">
        <f>IF(D278="","",IFERROR(INDEX(lst_CCtoGL,MATCH(D278,lst_CCforGL,0)),""))</f>
        <v/>
      </c>
      <c r="O278" s="27">
        <f>IF(E278="","",IF(M278="GST 10%",ROUND(E278*set_GSTRate,2),0))</f>
        <v/>
      </c>
      <c r="P278" s="27">
        <f>IF(E278="","",E278+O278)</f>
        <v/>
      </c>
      <c r="Q278" s="27">
        <f>IF(A278="","",IFERROR(INDEX(tbl_Onsite[Expected Revenue Ex GST],IFERROR(MATCH(A278&amp;"",tbl_Onsite[Job Number],0),MATCH(IFERROR(A278+0,A278),tbl_Onsite[Job Number],0))),IFERROR(INDEX(tbl_Production[Expected Revenue Ex GST],IFERROR(MATCH(A278&amp;"",tbl_Production[Job Number],0),MATCH(IFERROR(A278+0,A278),tbl_Production[Job Number],0))),IFERROR(INDEX(tbl_Consulting[Expected Revenue Ex GST],IFERROR(MATCH(A278&amp;"",tbl_Consulting[Job Number],0),MATCH(IFERROR(A278+0,A278),tbl_Consulting[Job Number],0))),0))))</f>
        <v/>
      </c>
      <c r="R278" s="27">
        <f>IF(A278="","",SUMIFS(tbl_Finance[Ex GST],tbl_Finance[Job Number],A278&amp;""))</f>
        <v/>
      </c>
      <c r="S278" s="27">
        <f>IF(A278="","",Q278-R278)</f>
        <v/>
      </c>
      <c r="T278" s="26">
        <f>IF(A278="","",IF(Q278=0,"No dept value",IF(ROUND(S278,2)=0,"Agrees",IF(S278&gt;0,"Dept higher - to invoice","Xero higher - check dept"))))</f>
        <v/>
      </c>
      <c r="U278" s="22" t="n"/>
      <c r="V278" s="22" t="n"/>
      <c r="W278" s="23" t="n"/>
      <c r="X278" s="23" t="n"/>
      <c r="Y278" s="22" t="n"/>
      <c r="Z278" s="22" t="n"/>
      <c r="AA278" s="26">
        <f>IF(COUNTA(C278,A278,B278,E278)=0,"",IF(C278="","No date - sits outside every month",IF(A278="","No job number",IF(H278="CHECK","Job number is not in the Xero job list",IF(G278="not set up yet","No department has set this job up - nothing can pull through",IF(D278="","No cost centre",IF(AND(U278="Y",B278=""),"Marked posted to Xero but has no invoice number",IF(N278="","Cost centre has no revenue GL on the Lists sheet",IF(T278="Xero higher - check dept","Invoiced more than the department says the job is worth","")))))))))</f>
        <v/>
      </c>
      <c r="AB278" s="28">
        <f>IF(A278="","",COUNTIFS(tbl_Finance[Job Number],A278&amp;"",tbl_Finance[Ex GST],"&lt;&gt;"))</f>
        <v/>
      </c>
      <c r="AC278" s="27">
        <f>IF(A278="","",SUMIFS(tbl_Finance[Ex GST],tbl_Finance[Job Number],A278&amp;""))</f>
        <v/>
      </c>
      <c r="AD278" s="27">
        <f>IF(A278="","",SUMIFS(tbl_Finance[Ex GST],tbl_Finance[Job Number],A278&amp;"",tbl_Finance[Xero Invoice No],"&lt;&gt;"))</f>
        <v/>
      </c>
      <c r="AE278" s="27">
        <f>IF(A278="","",AC278-AD278)</f>
        <v/>
      </c>
      <c r="AF278" s="26">
        <f>IF(A278="","",IFERROR(IF(INDEX(tbl_Onsite[Qwilr Quote],IFERROR(MATCH(A278&amp;"",tbl_Onsite[Job Number],0),MATCH(IFERROR(A278+0,A278),tbl_Onsite[Job Number],0)))="","",INDEX(tbl_Onsite[Qwilr Quote],IFERROR(MATCH(A278&amp;"",tbl_Onsite[Job Number],0),MATCH(IFERROR(A278+0,A278),tbl_Onsite[Job Number],0)))),IFERROR(IF(IF(INDEX(tbl_Production[Current RMS No],IFERROR(MATCH(A278&amp;"",tbl_Production[Job Number],0),MATCH(IFERROR(A278+0,A278),tbl_Production[Job Number],0)))="",INDEX(tbl_Production[Qwilr Quote],IFERROR(MATCH(A278&amp;"",tbl_Production[Job Number],0),MATCH(IFERROR(A278+0,A278),tbl_Production[Job Number],0))),INDEX(tbl_Production[Current RMS No],IFERROR(MATCH(A278&amp;"",tbl_Production[Job Number],0),MATCH(IFERROR(A278+0,A278),tbl_Production[Job Number],0))))="","",IF(INDEX(tbl_Production[Current RMS No],IFERROR(MATCH(A278&amp;"",tbl_Production[Job Number],0),MATCH(IFERROR(A278+0,A278),tbl_Production[Job Number],0)))="",INDEX(tbl_Production[Qwilr Quote],IFERROR(MATCH(A278&amp;"",tbl_Production[Job Number],0),MATCH(IFERROR(A278+0,A278),tbl_Production[Job Number],0))),INDEX(tbl_Production[Current RMS No],IFERROR(MATCH(A278&amp;"",tbl_Production[Job Number],0),MATCH(IFERROR(A278+0,A278),tbl_Production[Job Number],0))))),IFERROR(IF(INDEX(tbl_Consulting[Qwilr Quote],IFERROR(MATCH(A278&amp;"",tbl_Consulting[Job Number],0),MATCH(IFERROR(A278+0,A278),tbl_Consulting[Job Number],0)))="","",INDEX(tbl_Consulting[Qwilr Quote],IFERROR(MATCH(A278&amp;"",tbl_Consulting[Job Number],0),MATCH(IFERROR(A278+0,A278),tbl_Consulting[Job Number],0)))),""))))</f>
        <v/>
      </c>
      <c r="AG278" s="26">
        <f>IF(AF278="","",IF(AND(LEFT(AF278,4)&lt;&gt;"http",IF(G278="Production",set_RMSBase,set_QwilrBase)=""),"",HYPERLINK(IF(LEFT(AF278,4)="http",AF278,IF(G278="Production",set_RMSBase,set_QwilrBase)&amp;AF278),"Open")))</f>
        <v/>
      </c>
      <c r="AH278" s="27">
        <f>IF(A278="","",IFERROR(INDEX(tbl_Production[Total Expense],IFERROR(MATCH(A278&amp;"",tbl_Production[Job Number],0),MATCH(IFERROR(A278+0,A278),tbl_Production[Job Number],0))),IFERROR(INDEX(tbl_Consulting[Total Expense],IFERROR(MATCH(A278&amp;"",tbl_Consulting[Job Number],0),MATCH(IFERROR(A278+0,A278),tbl_Consulting[Job Number],0))),0)))</f>
        <v/>
      </c>
      <c r="AI278" s="27">
        <f>IF(A278="","",AC278-N(AH278))</f>
        <v/>
      </c>
      <c r="AJ278" s="29">
        <f>IFERROR(AI278/AC278,"")</f>
        <v/>
      </c>
      <c r="AK278" s="26">
        <f>IF(A278="","",IFERROR(IF(INDEX(tbl_Onsite[Notes],IFERROR(MATCH(A278&amp;"",tbl_Onsite[Job Number],0),MATCH(IFERROR(A278+0,A278),tbl_Onsite[Job Number],0)))="","",INDEX(tbl_Onsite[Notes],IFERROR(MATCH(A278&amp;"",tbl_Onsite[Job Number],0),MATCH(IFERROR(A278+0,A278),tbl_Onsite[Job Number],0)))),IFERROR(IF(INDEX(tbl_Production[Notes],IFERROR(MATCH(A278&amp;"",tbl_Production[Job Number],0),MATCH(IFERROR(A278+0,A278),tbl_Production[Job Number],0)))="","",INDEX(tbl_Production[Notes],IFERROR(MATCH(A278&amp;"",tbl_Production[Job Number],0),MATCH(IFERROR(A278+0,A278),tbl_Production[Job Number],0)))),IFERROR(IF(INDEX(tbl_Consulting[Notes],IFERROR(MATCH(A278&amp;"",tbl_Consulting[Job Number],0),MATCH(IFERROR(A278+0,A278),tbl_Consulting[Job Number],0)))="","",INDEX(tbl_Consulting[Notes],IFERROR(MATCH(A278&amp;"",tbl_Consulting[Job Number],0),MATCH(IFERROR(A278+0,A278),tbl_Consulting[Job Number],0)))),""))))</f>
        <v/>
      </c>
    </row>
    <row r="279" ht="15" customHeight="1">
      <c r="A279" s="22" t="n"/>
      <c r="B279" s="22" t="n"/>
      <c r="C279" s="23" t="n"/>
      <c r="D279" s="22" t="n"/>
      <c r="E279" s="24" t="n"/>
      <c r="F279" s="25">
        <f>IF(C279="","",EOMONTH(C279,0))</f>
        <v/>
      </c>
      <c r="G279" s="26">
        <f>IF(A279="","",IF(COUNTIF(tbl_Onsite[Job Number],A279&amp;"")&gt;0,"Onsite",IF(COUNTIF(tbl_Production[Job Number],A279&amp;"")&gt;0,"Production",IF(COUNTIF(tbl_Consulting[Job Number],A279&amp;"")&gt;0,"Consulting","not set up yet"))))</f>
        <v/>
      </c>
      <c r="H279" s="26">
        <f>IF(A279="","",IF(COUNTIF(lst_Jobs,A279&amp;"")&gt;0,"OK","CHECK"))</f>
        <v/>
      </c>
      <c r="I279" s="26">
        <f>IF(A279="","",IFERROR(INDEX(lst_JobName,MATCH(A279&amp;"",lst_Jobs,0)),""))</f>
        <v/>
      </c>
      <c r="J279" s="26">
        <f>IF(A279="","",IFERROR(IF(INDEX(tbl_Onsite[Client],IFERROR(MATCH(A279&amp;"",tbl_Onsite[Job Number],0),MATCH(IFERROR(A279+0,A279),tbl_Onsite[Job Number],0)))="","",INDEX(tbl_Onsite[Client],IFERROR(MATCH(A279&amp;"",tbl_Onsite[Job Number],0),MATCH(IFERROR(A279+0,A279),tbl_Onsite[Job Number],0)))),IFERROR(IF(INDEX(tbl_Production[Client],IFERROR(MATCH(A279&amp;"",tbl_Production[Job Number],0),MATCH(IFERROR(A279+0,A279),tbl_Production[Job Number],0)))="","",INDEX(tbl_Production[Client],IFERROR(MATCH(A279&amp;"",tbl_Production[Job Number],0),MATCH(IFERROR(A279+0,A279),tbl_Production[Job Number],0)))),IFERROR(IF(INDEX(tbl_Consulting[Client],IFERROR(MATCH(A279&amp;"",tbl_Consulting[Job Number],0),MATCH(IFERROR(A279+0,A279),tbl_Consulting[Job Number],0)))="","",INDEX(tbl_Consulting[Client],IFERROR(MATCH(A279&amp;"",tbl_Consulting[Job Number],0),MATCH(IFERROR(A279+0,A279),tbl_Consulting[Job Number],0)))),""))))</f>
        <v/>
      </c>
      <c r="K279" s="26">
        <f>IF(A279="","",IFERROR(IF(INDEX(tbl_Onsite[Job Description],IFERROR(MATCH(A279&amp;"",tbl_Onsite[Job Number],0),MATCH(IFERROR(A279+0,A279),tbl_Onsite[Job Number],0)))="","",INDEX(tbl_Onsite[Job Description],IFERROR(MATCH(A279&amp;"",tbl_Onsite[Job Number],0),MATCH(IFERROR(A279+0,A279),tbl_Onsite[Job Number],0)))),IFERROR(IF(INDEX(tbl_Production[Job Description],IFERROR(MATCH(A279&amp;"",tbl_Production[Job Number],0),MATCH(IFERROR(A279+0,A279),tbl_Production[Job Number],0)))="","",INDEX(tbl_Production[Job Description],IFERROR(MATCH(A279&amp;"",tbl_Production[Job Number],0),MATCH(IFERROR(A279+0,A279),tbl_Production[Job Number],0)))),IFERROR(IF(INDEX(tbl_Consulting[Job Description],IFERROR(MATCH(A279&amp;"",tbl_Consulting[Job Number],0),MATCH(IFERROR(A279+0,A279),tbl_Consulting[Job Number],0)))="","",INDEX(tbl_Consulting[Job Description],IFERROR(MATCH(A279&amp;"",tbl_Consulting[Job Number],0),MATCH(IFERROR(A279+0,A279),tbl_Consulting[Job Number],0)))),""))))</f>
        <v/>
      </c>
      <c r="L279" s="26">
        <f>IF(A279="","",IFERROR(IF(INDEX(tbl_Onsite[Invoice Type],IFERROR(MATCH(A279&amp;"",tbl_Onsite[Job Number],0),MATCH(IFERROR(A279+0,A279),tbl_Onsite[Job Number],0)))="","",INDEX(tbl_Onsite[Invoice Type],IFERROR(MATCH(A279&amp;"",tbl_Onsite[Job Number],0),MATCH(IFERROR(A279+0,A279),tbl_Onsite[Job Number],0)))),IFERROR(IF(INDEX(tbl_Production[Invoice Type],IFERROR(MATCH(A279&amp;"",tbl_Production[Job Number],0),MATCH(IFERROR(A279+0,A279),tbl_Production[Job Number],0)))="","",INDEX(tbl_Production[Invoice Type],IFERROR(MATCH(A279&amp;"",tbl_Production[Job Number],0),MATCH(IFERROR(A279+0,A279),tbl_Production[Job Number],0)))),IFERROR(IF(INDEX(tbl_Consulting[Invoice Type],IFERROR(MATCH(A279&amp;"",tbl_Consulting[Job Number],0),MATCH(IFERROR(A279+0,A279),tbl_Consulting[Job Number],0)))="","",INDEX(tbl_Consulting[Invoice Type],IFERROR(MATCH(A279&amp;"",tbl_Consulting[Job Number],0),MATCH(IFERROR(A279+0,A279),tbl_Consulting[Job Number],0)))),""))))</f>
        <v/>
      </c>
      <c r="M279" s="26">
        <f>IF(A279="","",IF(IFERROR(IF(INDEX(tbl_Onsite[Tax Code],IFERROR(MATCH(A279&amp;"",tbl_Onsite[Job Number],0),MATCH(IFERROR(A279+0,A279),tbl_Onsite[Job Number],0)))="","",INDEX(tbl_Onsite[Tax Code],IFERROR(MATCH(A279&amp;"",tbl_Onsite[Job Number],0),MATCH(IFERROR(A279+0,A279),tbl_Onsite[Job Number],0)))),IFERROR(IF(INDEX(tbl_Production[Tax Code],IFERROR(MATCH(A279&amp;"",tbl_Production[Job Number],0),MATCH(IFERROR(A279+0,A279),tbl_Production[Job Number],0)))="","",INDEX(tbl_Production[Tax Code],IFERROR(MATCH(A279&amp;"",tbl_Production[Job Number],0),MATCH(IFERROR(A279+0,A279),tbl_Production[Job Number],0)))),IFERROR(IF(INDEX(tbl_Consulting[Tax Code],IFERROR(MATCH(A279&amp;"",tbl_Consulting[Job Number],0),MATCH(IFERROR(A279+0,A279),tbl_Consulting[Job Number],0)))="","",INDEX(tbl_Consulting[Tax Code],IFERROR(MATCH(A279&amp;"",tbl_Consulting[Job Number],0),MATCH(IFERROR(A279+0,A279),tbl_Consulting[Job Number],0)))),"")))="","GST 10%",IFERROR(IF(INDEX(tbl_Onsite[Tax Code],IFERROR(MATCH(A279&amp;"",tbl_Onsite[Job Number],0),MATCH(IFERROR(A279+0,A279),tbl_Onsite[Job Number],0)))="","",INDEX(tbl_Onsite[Tax Code],IFERROR(MATCH(A279&amp;"",tbl_Onsite[Job Number],0),MATCH(IFERROR(A279+0,A279),tbl_Onsite[Job Number],0)))),IFERROR(IF(INDEX(tbl_Production[Tax Code],IFERROR(MATCH(A279&amp;"",tbl_Production[Job Number],0),MATCH(IFERROR(A279+0,A279),tbl_Production[Job Number],0)))="","",INDEX(tbl_Production[Tax Code],IFERROR(MATCH(A279&amp;"",tbl_Production[Job Number],0),MATCH(IFERROR(A279+0,A279),tbl_Production[Job Number],0)))),IFERROR(IF(INDEX(tbl_Consulting[Tax Code],IFERROR(MATCH(A279&amp;"",tbl_Consulting[Job Number],0),MATCH(IFERROR(A279+0,A279),tbl_Consulting[Job Number],0)))="","",INDEX(tbl_Consulting[Tax Code],IFERROR(MATCH(A279&amp;"",tbl_Consulting[Job Number],0),MATCH(IFERROR(A279+0,A279),tbl_Consulting[Job Number],0)))),"")))))</f>
        <v/>
      </c>
      <c r="N279" s="26">
        <f>IF(D279="","",IFERROR(INDEX(lst_CCtoGL,MATCH(D279,lst_CCforGL,0)),""))</f>
        <v/>
      </c>
      <c r="O279" s="27">
        <f>IF(E279="","",IF(M279="GST 10%",ROUND(E279*set_GSTRate,2),0))</f>
        <v/>
      </c>
      <c r="P279" s="27">
        <f>IF(E279="","",E279+O279)</f>
        <v/>
      </c>
      <c r="Q279" s="27">
        <f>IF(A279="","",IFERROR(INDEX(tbl_Onsite[Expected Revenue Ex GST],IFERROR(MATCH(A279&amp;"",tbl_Onsite[Job Number],0),MATCH(IFERROR(A279+0,A279),tbl_Onsite[Job Number],0))),IFERROR(INDEX(tbl_Production[Expected Revenue Ex GST],IFERROR(MATCH(A279&amp;"",tbl_Production[Job Number],0),MATCH(IFERROR(A279+0,A279),tbl_Production[Job Number],0))),IFERROR(INDEX(tbl_Consulting[Expected Revenue Ex GST],IFERROR(MATCH(A279&amp;"",tbl_Consulting[Job Number],0),MATCH(IFERROR(A279+0,A279),tbl_Consulting[Job Number],0))),0))))</f>
        <v/>
      </c>
      <c r="R279" s="27">
        <f>IF(A279="","",SUMIFS(tbl_Finance[Ex GST],tbl_Finance[Job Number],A279&amp;""))</f>
        <v/>
      </c>
      <c r="S279" s="27">
        <f>IF(A279="","",Q279-R279)</f>
        <v/>
      </c>
      <c r="T279" s="26">
        <f>IF(A279="","",IF(Q279=0,"No dept value",IF(ROUND(S279,2)=0,"Agrees",IF(S279&gt;0,"Dept higher - to invoice","Xero higher - check dept"))))</f>
        <v/>
      </c>
      <c r="U279" s="22" t="n"/>
      <c r="V279" s="22" t="n"/>
      <c r="W279" s="23" t="n"/>
      <c r="X279" s="23" t="n"/>
      <c r="Y279" s="22" t="n"/>
      <c r="Z279" s="22" t="n"/>
      <c r="AA279" s="26">
        <f>IF(COUNTA(C279,A279,B279,E279)=0,"",IF(C279="","No date - sits outside every month",IF(A279="","No job number",IF(H279="CHECK","Job number is not in the Xero job list",IF(G279="not set up yet","No department has set this job up - nothing can pull through",IF(D279="","No cost centre",IF(AND(U279="Y",B279=""),"Marked posted to Xero but has no invoice number",IF(N279="","Cost centre has no revenue GL on the Lists sheet",IF(T279="Xero higher - check dept","Invoiced more than the department says the job is worth","")))))))))</f>
        <v/>
      </c>
      <c r="AB279" s="28">
        <f>IF(A279="","",COUNTIFS(tbl_Finance[Job Number],A279&amp;"",tbl_Finance[Ex GST],"&lt;&gt;"))</f>
        <v/>
      </c>
      <c r="AC279" s="27">
        <f>IF(A279="","",SUMIFS(tbl_Finance[Ex GST],tbl_Finance[Job Number],A279&amp;""))</f>
        <v/>
      </c>
      <c r="AD279" s="27">
        <f>IF(A279="","",SUMIFS(tbl_Finance[Ex GST],tbl_Finance[Job Number],A279&amp;"",tbl_Finance[Xero Invoice No],"&lt;&gt;"))</f>
        <v/>
      </c>
      <c r="AE279" s="27">
        <f>IF(A279="","",AC279-AD279)</f>
        <v/>
      </c>
      <c r="AF279" s="26">
        <f>IF(A279="","",IFERROR(IF(INDEX(tbl_Onsite[Qwilr Quote],IFERROR(MATCH(A279&amp;"",tbl_Onsite[Job Number],0),MATCH(IFERROR(A279+0,A279),tbl_Onsite[Job Number],0)))="","",INDEX(tbl_Onsite[Qwilr Quote],IFERROR(MATCH(A279&amp;"",tbl_Onsite[Job Number],0),MATCH(IFERROR(A279+0,A279),tbl_Onsite[Job Number],0)))),IFERROR(IF(IF(INDEX(tbl_Production[Current RMS No],IFERROR(MATCH(A279&amp;"",tbl_Production[Job Number],0),MATCH(IFERROR(A279+0,A279),tbl_Production[Job Number],0)))="",INDEX(tbl_Production[Qwilr Quote],IFERROR(MATCH(A279&amp;"",tbl_Production[Job Number],0),MATCH(IFERROR(A279+0,A279),tbl_Production[Job Number],0))),INDEX(tbl_Production[Current RMS No],IFERROR(MATCH(A279&amp;"",tbl_Production[Job Number],0),MATCH(IFERROR(A279+0,A279),tbl_Production[Job Number],0))))="","",IF(INDEX(tbl_Production[Current RMS No],IFERROR(MATCH(A279&amp;"",tbl_Production[Job Number],0),MATCH(IFERROR(A279+0,A279),tbl_Production[Job Number],0)))="",INDEX(tbl_Production[Qwilr Quote],IFERROR(MATCH(A279&amp;"",tbl_Production[Job Number],0),MATCH(IFERROR(A279+0,A279),tbl_Production[Job Number],0))),INDEX(tbl_Production[Current RMS No],IFERROR(MATCH(A279&amp;"",tbl_Production[Job Number],0),MATCH(IFERROR(A279+0,A279),tbl_Production[Job Number],0))))),IFERROR(IF(INDEX(tbl_Consulting[Qwilr Quote],IFERROR(MATCH(A279&amp;"",tbl_Consulting[Job Number],0),MATCH(IFERROR(A279+0,A279),tbl_Consulting[Job Number],0)))="","",INDEX(tbl_Consulting[Qwilr Quote],IFERROR(MATCH(A279&amp;"",tbl_Consulting[Job Number],0),MATCH(IFERROR(A279+0,A279),tbl_Consulting[Job Number],0)))),""))))</f>
        <v/>
      </c>
      <c r="AG279" s="26">
        <f>IF(AF279="","",IF(AND(LEFT(AF279,4)&lt;&gt;"http",IF(G279="Production",set_RMSBase,set_QwilrBase)=""),"",HYPERLINK(IF(LEFT(AF279,4)="http",AF279,IF(G279="Production",set_RMSBase,set_QwilrBase)&amp;AF279),"Open")))</f>
        <v/>
      </c>
      <c r="AH279" s="27">
        <f>IF(A279="","",IFERROR(INDEX(tbl_Production[Total Expense],IFERROR(MATCH(A279&amp;"",tbl_Production[Job Number],0),MATCH(IFERROR(A279+0,A279),tbl_Production[Job Number],0))),IFERROR(INDEX(tbl_Consulting[Total Expense],IFERROR(MATCH(A279&amp;"",tbl_Consulting[Job Number],0),MATCH(IFERROR(A279+0,A279),tbl_Consulting[Job Number],0))),0)))</f>
        <v/>
      </c>
      <c r="AI279" s="27">
        <f>IF(A279="","",AC279-N(AH279))</f>
        <v/>
      </c>
      <c r="AJ279" s="29">
        <f>IFERROR(AI279/AC279,"")</f>
        <v/>
      </c>
      <c r="AK279" s="26">
        <f>IF(A279="","",IFERROR(IF(INDEX(tbl_Onsite[Notes],IFERROR(MATCH(A279&amp;"",tbl_Onsite[Job Number],0),MATCH(IFERROR(A279+0,A279),tbl_Onsite[Job Number],0)))="","",INDEX(tbl_Onsite[Notes],IFERROR(MATCH(A279&amp;"",tbl_Onsite[Job Number],0),MATCH(IFERROR(A279+0,A279),tbl_Onsite[Job Number],0)))),IFERROR(IF(INDEX(tbl_Production[Notes],IFERROR(MATCH(A279&amp;"",tbl_Production[Job Number],0),MATCH(IFERROR(A279+0,A279),tbl_Production[Job Number],0)))="","",INDEX(tbl_Production[Notes],IFERROR(MATCH(A279&amp;"",tbl_Production[Job Number],0),MATCH(IFERROR(A279+0,A279),tbl_Production[Job Number],0)))),IFERROR(IF(INDEX(tbl_Consulting[Notes],IFERROR(MATCH(A279&amp;"",tbl_Consulting[Job Number],0),MATCH(IFERROR(A279+0,A279),tbl_Consulting[Job Number],0)))="","",INDEX(tbl_Consulting[Notes],IFERROR(MATCH(A279&amp;"",tbl_Consulting[Job Number],0),MATCH(IFERROR(A279+0,A279),tbl_Consulting[Job Number],0)))),""))))</f>
        <v/>
      </c>
    </row>
    <row r="280" ht="15" customHeight="1">
      <c r="A280" s="22" t="n"/>
      <c r="B280" s="22" t="n"/>
      <c r="C280" s="23" t="n"/>
      <c r="D280" s="22" t="n"/>
      <c r="E280" s="24" t="n"/>
      <c r="F280" s="25">
        <f>IF(C280="","",EOMONTH(C280,0))</f>
        <v/>
      </c>
      <c r="G280" s="26">
        <f>IF(A280="","",IF(COUNTIF(tbl_Onsite[Job Number],A280&amp;"")&gt;0,"Onsite",IF(COUNTIF(tbl_Production[Job Number],A280&amp;"")&gt;0,"Production",IF(COUNTIF(tbl_Consulting[Job Number],A280&amp;"")&gt;0,"Consulting","not set up yet"))))</f>
        <v/>
      </c>
      <c r="H280" s="26">
        <f>IF(A280="","",IF(COUNTIF(lst_Jobs,A280&amp;"")&gt;0,"OK","CHECK"))</f>
        <v/>
      </c>
      <c r="I280" s="26">
        <f>IF(A280="","",IFERROR(INDEX(lst_JobName,MATCH(A280&amp;"",lst_Jobs,0)),""))</f>
        <v/>
      </c>
      <c r="J280" s="26">
        <f>IF(A280="","",IFERROR(IF(INDEX(tbl_Onsite[Client],IFERROR(MATCH(A280&amp;"",tbl_Onsite[Job Number],0),MATCH(IFERROR(A280+0,A280),tbl_Onsite[Job Number],0)))="","",INDEX(tbl_Onsite[Client],IFERROR(MATCH(A280&amp;"",tbl_Onsite[Job Number],0),MATCH(IFERROR(A280+0,A280),tbl_Onsite[Job Number],0)))),IFERROR(IF(INDEX(tbl_Production[Client],IFERROR(MATCH(A280&amp;"",tbl_Production[Job Number],0),MATCH(IFERROR(A280+0,A280),tbl_Production[Job Number],0)))="","",INDEX(tbl_Production[Client],IFERROR(MATCH(A280&amp;"",tbl_Production[Job Number],0),MATCH(IFERROR(A280+0,A280),tbl_Production[Job Number],0)))),IFERROR(IF(INDEX(tbl_Consulting[Client],IFERROR(MATCH(A280&amp;"",tbl_Consulting[Job Number],0),MATCH(IFERROR(A280+0,A280),tbl_Consulting[Job Number],0)))="","",INDEX(tbl_Consulting[Client],IFERROR(MATCH(A280&amp;"",tbl_Consulting[Job Number],0),MATCH(IFERROR(A280+0,A280),tbl_Consulting[Job Number],0)))),""))))</f>
        <v/>
      </c>
      <c r="K280" s="26">
        <f>IF(A280="","",IFERROR(IF(INDEX(tbl_Onsite[Job Description],IFERROR(MATCH(A280&amp;"",tbl_Onsite[Job Number],0),MATCH(IFERROR(A280+0,A280),tbl_Onsite[Job Number],0)))="","",INDEX(tbl_Onsite[Job Description],IFERROR(MATCH(A280&amp;"",tbl_Onsite[Job Number],0),MATCH(IFERROR(A280+0,A280),tbl_Onsite[Job Number],0)))),IFERROR(IF(INDEX(tbl_Production[Job Description],IFERROR(MATCH(A280&amp;"",tbl_Production[Job Number],0),MATCH(IFERROR(A280+0,A280),tbl_Production[Job Number],0)))="","",INDEX(tbl_Production[Job Description],IFERROR(MATCH(A280&amp;"",tbl_Production[Job Number],0),MATCH(IFERROR(A280+0,A280),tbl_Production[Job Number],0)))),IFERROR(IF(INDEX(tbl_Consulting[Job Description],IFERROR(MATCH(A280&amp;"",tbl_Consulting[Job Number],0),MATCH(IFERROR(A280+0,A280),tbl_Consulting[Job Number],0)))="","",INDEX(tbl_Consulting[Job Description],IFERROR(MATCH(A280&amp;"",tbl_Consulting[Job Number],0),MATCH(IFERROR(A280+0,A280),tbl_Consulting[Job Number],0)))),""))))</f>
        <v/>
      </c>
      <c r="L280" s="26">
        <f>IF(A280="","",IFERROR(IF(INDEX(tbl_Onsite[Invoice Type],IFERROR(MATCH(A280&amp;"",tbl_Onsite[Job Number],0),MATCH(IFERROR(A280+0,A280),tbl_Onsite[Job Number],0)))="","",INDEX(tbl_Onsite[Invoice Type],IFERROR(MATCH(A280&amp;"",tbl_Onsite[Job Number],0),MATCH(IFERROR(A280+0,A280),tbl_Onsite[Job Number],0)))),IFERROR(IF(INDEX(tbl_Production[Invoice Type],IFERROR(MATCH(A280&amp;"",tbl_Production[Job Number],0),MATCH(IFERROR(A280+0,A280),tbl_Production[Job Number],0)))="","",INDEX(tbl_Production[Invoice Type],IFERROR(MATCH(A280&amp;"",tbl_Production[Job Number],0),MATCH(IFERROR(A280+0,A280),tbl_Production[Job Number],0)))),IFERROR(IF(INDEX(tbl_Consulting[Invoice Type],IFERROR(MATCH(A280&amp;"",tbl_Consulting[Job Number],0),MATCH(IFERROR(A280+0,A280),tbl_Consulting[Job Number],0)))="","",INDEX(tbl_Consulting[Invoice Type],IFERROR(MATCH(A280&amp;"",tbl_Consulting[Job Number],0),MATCH(IFERROR(A280+0,A280),tbl_Consulting[Job Number],0)))),""))))</f>
        <v/>
      </c>
      <c r="M280" s="26">
        <f>IF(A280="","",IF(IFERROR(IF(INDEX(tbl_Onsite[Tax Code],IFERROR(MATCH(A280&amp;"",tbl_Onsite[Job Number],0),MATCH(IFERROR(A280+0,A280),tbl_Onsite[Job Number],0)))="","",INDEX(tbl_Onsite[Tax Code],IFERROR(MATCH(A280&amp;"",tbl_Onsite[Job Number],0),MATCH(IFERROR(A280+0,A280),tbl_Onsite[Job Number],0)))),IFERROR(IF(INDEX(tbl_Production[Tax Code],IFERROR(MATCH(A280&amp;"",tbl_Production[Job Number],0),MATCH(IFERROR(A280+0,A280),tbl_Production[Job Number],0)))="","",INDEX(tbl_Production[Tax Code],IFERROR(MATCH(A280&amp;"",tbl_Production[Job Number],0),MATCH(IFERROR(A280+0,A280),tbl_Production[Job Number],0)))),IFERROR(IF(INDEX(tbl_Consulting[Tax Code],IFERROR(MATCH(A280&amp;"",tbl_Consulting[Job Number],0),MATCH(IFERROR(A280+0,A280),tbl_Consulting[Job Number],0)))="","",INDEX(tbl_Consulting[Tax Code],IFERROR(MATCH(A280&amp;"",tbl_Consulting[Job Number],0),MATCH(IFERROR(A280+0,A280),tbl_Consulting[Job Number],0)))),"")))="","GST 10%",IFERROR(IF(INDEX(tbl_Onsite[Tax Code],IFERROR(MATCH(A280&amp;"",tbl_Onsite[Job Number],0),MATCH(IFERROR(A280+0,A280),tbl_Onsite[Job Number],0)))="","",INDEX(tbl_Onsite[Tax Code],IFERROR(MATCH(A280&amp;"",tbl_Onsite[Job Number],0),MATCH(IFERROR(A280+0,A280),tbl_Onsite[Job Number],0)))),IFERROR(IF(INDEX(tbl_Production[Tax Code],IFERROR(MATCH(A280&amp;"",tbl_Production[Job Number],0),MATCH(IFERROR(A280+0,A280),tbl_Production[Job Number],0)))="","",INDEX(tbl_Production[Tax Code],IFERROR(MATCH(A280&amp;"",tbl_Production[Job Number],0),MATCH(IFERROR(A280+0,A280),tbl_Production[Job Number],0)))),IFERROR(IF(INDEX(tbl_Consulting[Tax Code],IFERROR(MATCH(A280&amp;"",tbl_Consulting[Job Number],0),MATCH(IFERROR(A280+0,A280),tbl_Consulting[Job Number],0)))="","",INDEX(tbl_Consulting[Tax Code],IFERROR(MATCH(A280&amp;"",tbl_Consulting[Job Number],0),MATCH(IFERROR(A280+0,A280),tbl_Consulting[Job Number],0)))),"")))))</f>
        <v/>
      </c>
      <c r="N280" s="26">
        <f>IF(D280="","",IFERROR(INDEX(lst_CCtoGL,MATCH(D280,lst_CCforGL,0)),""))</f>
        <v/>
      </c>
      <c r="O280" s="27">
        <f>IF(E280="","",IF(M280="GST 10%",ROUND(E280*set_GSTRate,2),0))</f>
        <v/>
      </c>
      <c r="P280" s="27">
        <f>IF(E280="","",E280+O280)</f>
        <v/>
      </c>
      <c r="Q280" s="27">
        <f>IF(A280="","",IFERROR(INDEX(tbl_Onsite[Expected Revenue Ex GST],IFERROR(MATCH(A280&amp;"",tbl_Onsite[Job Number],0),MATCH(IFERROR(A280+0,A280),tbl_Onsite[Job Number],0))),IFERROR(INDEX(tbl_Production[Expected Revenue Ex GST],IFERROR(MATCH(A280&amp;"",tbl_Production[Job Number],0),MATCH(IFERROR(A280+0,A280),tbl_Production[Job Number],0))),IFERROR(INDEX(tbl_Consulting[Expected Revenue Ex GST],IFERROR(MATCH(A280&amp;"",tbl_Consulting[Job Number],0),MATCH(IFERROR(A280+0,A280),tbl_Consulting[Job Number],0))),0))))</f>
        <v/>
      </c>
      <c r="R280" s="27">
        <f>IF(A280="","",SUMIFS(tbl_Finance[Ex GST],tbl_Finance[Job Number],A280&amp;""))</f>
        <v/>
      </c>
      <c r="S280" s="27">
        <f>IF(A280="","",Q280-R280)</f>
        <v/>
      </c>
      <c r="T280" s="26">
        <f>IF(A280="","",IF(Q280=0,"No dept value",IF(ROUND(S280,2)=0,"Agrees",IF(S280&gt;0,"Dept higher - to invoice","Xero higher - check dept"))))</f>
        <v/>
      </c>
      <c r="U280" s="22" t="n"/>
      <c r="V280" s="22" t="n"/>
      <c r="W280" s="23" t="n"/>
      <c r="X280" s="23" t="n"/>
      <c r="Y280" s="22" t="n"/>
      <c r="Z280" s="22" t="n"/>
      <c r="AA280" s="26">
        <f>IF(COUNTA(C280,A280,B280,E280)=0,"",IF(C280="","No date - sits outside every month",IF(A280="","No job number",IF(H280="CHECK","Job number is not in the Xero job list",IF(G280="not set up yet","No department has set this job up - nothing can pull through",IF(D280="","No cost centre",IF(AND(U280="Y",B280=""),"Marked posted to Xero but has no invoice number",IF(N280="","Cost centre has no revenue GL on the Lists sheet",IF(T280="Xero higher - check dept","Invoiced more than the department says the job is worth","")))))))))</f>
        <v/>
      </c>
      <c r="AB280" s="28">
        <f>IF(A280="","",COUNTIFS(tbl_Finance[Job Number],A280&amp;"",tbl_Finance[Ex GST],"&lt;&gt;"))</f>
        <v/>
      </c>
      <c r="AC280" s="27">
        <f>IF(A280="","",SUMIFS(tbl_Finance[Ex GST],tbl_Finance[Job Number],A280&amp;""))</f>
        <v/>
      </c>
      <c r="AD280" s="27">
        <f>IF(A280="","",SUMIFS(tbl_Finance[Ex GST],tbl_Finance[Job Number],A280&amp;"",tbl_Finance[Xero Invoice No],"&lt;&gt;"))</f>
        <v/>
      </c>
      <c r="AE280" s="27">
        <f>IF(A280="","",AC280-AD280)</f>
        <v/>
      </c>
      <c r="AF280" s="26">
        <f>IF(A280="","",IFERROR(IF(INDEX(tbl_Onsite[Qwilr Quote],IFERROR(MATCH(A280&amp;"",tbl_Onsite[Job Number],0),MATCH(IFERROR(A280+0,A280),tbl_Onsite[Job Number],0)))="","",INDEX(tbl_Onsite[Qwilr Quote],IFERROR(MATCH(A280&amp;"",tbl_Onsite[Job Number],0),MATCH(IFERROR(A280+0,A280),tbl_Onsite[Job Number],0)))),IFERROR(IF(IF(INDEX(tbl_Production[Current RMS No],IFERROR(MATCH(A280&amp;"",tbl_Production[Job Number],0),MATCH(IFERROR(A280+0,A280),tbl_Production[Job Number],0)))="",INDEX(tbl_Production[Qwilr Quote],IFERROR(MATCH(A280&amp;"",tbl_Production[Job Number],0),MATCH(IFERROR(A280+0,A280),tbl_Production[Job Number],0))),INDEX(tbl_Production[Current RMS No],IFERROR(MATCH(A280&amp;"",tbl_Production[Job Number],0),MATCH(IFERROR(A280+0,A280),tbl_Production[Job Number],0))))="","",IF(INDEX(tbl_Production[Current RMS No],IFERROR(MATCH(A280&amp;"",tbl_Production[Job Number],0),MATCH(IFERROR(A280+0,A280),tbl_Production[Job Number],0)))="",INDEX(tbl_Production[Qwilr Quote],IFERROR(MATCH(A280&amp;"",tbl_Production[Job Number],0),MATCH(IFERROR(A280+0,A280),tbl_Production[Job Number],0))),INDEX(tbl_Production[Current RMS No],IFERROR(MATCH(A280&amp;"",tbl_Production[Job Number],0),MATCH(IFERROR(A280+0,A280),tbl_Production[Job Number],0))))),IFERROR(IF(INDEX(tbl_Consulting[Qwilr Quote],IFERROR(MATCH(A280&amp;"",tbl_Consulting[Job Number],0),MATCH(IFERROR(A280+0,A280),tbl_Consulting[Job Number],0)))="","",INDEX(tbl_Consulting[Qwilr Quote],IFERROR(MATCH(A280&amp;"",tbl_Consulting[Job Number],0),MATCH(IFERROR(A280+0,A280),tbl_Consulting[Job Number],0)))),""))))</f>
        <v/>
      </c>
      <c r="AG280" s="26">
        <f>IF(AF280="","",IF(AND(LEFT(AF280,4)&lt;&gt;"http",IF(G280="Production",set_RMSBase,set_QwilrBase)=""),"",HYPERLINK(IF(LEFT(AF280,4)="http",AF280,IF(G280="Production",set_RMSBase,set_QwilrBase)&amp;AF280),"Open")))</f>
        <v/>
      </c>
      <c r="AH280" s="27">
        <f>IF(A280="","",IFERROR(INDEX(tbl_Production[Total Expense],IFERROR(MATCH(A280&amp;"",tbl_Production[Job Number],0),MATCH(IFERROR(A280+0,A280),tbl_Production[Job Number],0))),IFERROR(INDEX(tbl_Consulting[Total Expense],IFERROR(MATCH(A280&amp;"",tbl_Consulting[Job Number],0),MATCH(IFERROR(A280+0,A280),tbl_Consulting[Job Number],0))),0)))</f>
        <v/>
      </c>
      <c r="AI280" s="27">
        <f>IF(A280="","",AC280-N(AH280))</f>
        <v/>
      </c>
      <c r="AJ280" s="29">
        <f>IFERROR(AI280/AC280,"")</f>
        <v/>
      </c>
      <c r="AK280" s="26">
        <f>IF(A280="","",IFERROR(IF(INDEX(tbl_Onsite[Notes],IFERROR(MATCH(A280&amp;"",tbl_Onsite[Job Number],0),MATCH(IFERROR(A280+0,A280),tbl_Onsite[Job Number],0)))="","",INDEX(tbl_Onsite[Notes],IFERROR(MATCH(A280&amp;"",tbl_Onsite[Job Number],0),MATCH(IFERROR(A280+0,A280),tbl_Onsite[Job Number],0)))),IFERROR(IF(INDEX(tbl_Production[Notes],IFERROR(MATCH(A280&amp;"",tbl_Production[Job Number],0),MATCH(IFERROR(A280+0,A280),tbl_Production[Job Number],0)))="","",INDEX(tbl_Production[Notes],IFERROR(MATCH(A280&amp;"",tbl_Production[Job Number],0),MATCH(IFERROR(A280+0,A280),tbl_Production[Job Number],0)))),IFERROR(IF(INDEX(tbl_Consulting[Notes],IFERROR(MATCH(A280&amp;"",tbl_Consulting[Job Number],0),MATCH(IFERROR(A280+0,A280),tbl_Consulting[Job Number],0)))="","",INDEX(tbl_Consulting[Notes],IFERROR(MATCH(A280&amp;"",tbl_Consulting[Job Number],0),MATCH(IFERROR(A280+0,A280),tbl_Consulting[Job Number],0)))),""))))</f>
        <v/>
      </c>
    </row>
    <row r="281" ht="15" customHeight="1">
      <c r="A281" s="22" t="n"/>
      <c r="B281" s="22" t="n"/>
      <c r="C281" s="23" t="n"/>
      <c r="D281" s="22" t="n"/>
      <c r="E281" s="24" t="n"/>
      <c r="F281" s="25">
        <f>IF(C281="","",EOMONTH(C281,0))</f>
        <v/>
      </c>
      <c r="G281" s="26">
        <f>IF(A281="","",IF(COUNTIF(tbl_Onsite[Job Number],A281&amp;"")&gt;0,"Onsite",IF(COUNTIF(tbl_Production[Job Number],A281&amp;"")&gt;0,"Production",IF(COUNTIF(tbl_Consulting[Job Number],A281&amp;"")&gt;0,"Consulting","not set up yet"))))</f>
        <v/>
      </c>
      <c r="H281" s="26">
        <f>IF(A281="","",IF(COUNTIF(lst_Jobs,A281&amp;"")&gt;0,"OK","CHECK"))</f>
        <v/>
      </c>
      <c r="I281" s="26">
        <f>IF(A281="","",IFERROR(INDEX(lst_JobName,MATCH(A281&amp;"",lst_Jobs,0)),""))</f>
        <v/>
      </c>
      <c r="J281" s="26">
        <f>IF(A281="","",IFERROR(IF(INDEX(tbl_Onsite[Client],IFERROR(MATCH(A281&amp;"",tbl_Onsite[Job Number],0),MATCH(IFERROR(A281+0,A281),tbl_Onsite[Job Number],0)))="","",INDEX(tbl_Onsite[Client],IFERROR(MATCH(A281&amp;"",tbl_Onsite[Job Number],0),MATCH(IFERROR(A281+0,A281),tbl_Onsite[Job Number],0)))),IFERROR(IF(INDEX(tbl_Production[Client],IFERROR(MATCH(A281&amp;"",tbl_Production[Job Number],0),MATCH(IFERROR(A281+0,A281),tbl_Production[Job Number],0)))="","",INDEX(tbl_Production[Client],IFERROR(MATCH(A281&amp;"",tbl_Production[Job Number],0),MATCH(IFERROR(A281+0,A281),tbl_Production[Job Number],0)))),IFERROR(IF(INDEX(tbl_Consulting[Client],IFERROR(MATCH(A281&amp;"",tbl_Consulting[Job Number],0),MATCH(IFERROR(A281+0,A281),tbl_Consulting[Job Number],0)))="","",INDEX(tbl_Consulting[Client],IFERROR(MATCH(A281&amp;"",tbl_Consulting[Job Number],0),MATCH(IFERROR(A281+0,A281),tbl_Consulting[Job Number],0)))),""))))</f>
        <v/>
      </c>
      <c r="K281" s="26">
        <f>IF(A281="","",IFERROR(IF(INDEX(tbl_Onsite[Job Description],IFERROR(MATCH(A281&amp;"",tbl_Onsite[Job Number],0),MATCH(IFERROR(A281+0,A281),tbl_Onsite[Job Number],0)))="","",INDEX(tbl_Onsite[Job Description],IFERROR(MATCH(A281&amp;"",tbl_Onsite[Job Number],0),MATCH(IFERROR(A281+0,A281),tbl_Onsite[Job Number],0)))),IFERROR(IF(INDEX(tbl_Production[Job Description],IFERROR(MATCH(A281&amp;"",tbl_Production[Job Number],0),MATCH(IFERROR(A281+0,A281),tbl_Production[Job Number],0)))="","",INDEX(tbl_Production[Job Description],IFERROR(MATCH(A281&amp;"",tbl_Production[Job Number],0),MATCH(IFERROR(A281+0,A281),tbl_Production[Job Number],0)))),IFERROR(IF(INDEX(tbl_Consulting[Job Description],IFERROR(MATCH(A281&amp;"",tbl_Consulting[Job Number],0),MATCH(IFERROR(A281+0,A281),tbl_Consulting[Job Number],0)))="","",INDEX(tbl_Consulting[Job Description],IFERROR(MATCH(A281&amp;"",tbl_Consulting[Job Number],0),MATCH(IFERROR(A281+0,A281),tbl_Consulting[Job Number],0)))),""))))</f>
        <v/>
      </c>
      <c r="L281" s="26">
        <f>IF(A281="","",IFERROR(IF(INDEX(tbl_Onsite[Invoice Type],IFERROR(MATCH(A281&amp;"",tbl_Onsite[Job Number],0),MATCH(IFERROR(A281+0,A281),tbl_Onsite[Job Number],0)))="","",INDEX(tbl_Onsite[Invoice Type],IFERROR(MATCH(A281&amp;"",tbl_Onsite[Job Number],0),MATCH(IFERROR(A281+0,A281),tbl_Onsite[Job Number],0)))),IFERROR(IF(INDEX(tbl_Production[Invoice Type],IFERROR(MATCH(A281&amp;"",tbl_Production[Job Number],0),MATCH(IFERROR(A281+0,A281),tbl_Production[Job Number],0)))="","",INDEX(tbl_Production[Invoice Type],IFERROR(MATCH(A281&amp;"",tbl_Production[Job Number],0),MATCH(IFERROR(A281+0,A281),tbl_Production[Job Number],0)))),IFERROR(IF(INDEX(tbl_Consulting[Invoice Type],IFERROR(MATCH(A281&amp;"",tbl_Consulting[Job Number],0),MATCH(IFERROR(A281+0,A281),tbl_Consulting[Job Number],0)))="","",INDEX(tbl_Consulting[Invoice Type],IFERROR(MATCH(A281&amp;"",tbl_Consulting[Job Number],0),MATCH(IFERROR(A281+0,A281),tbl_Consulting[Job Number],0)))),""))))</f>
        <v/>
      </c>
      <c r="M281" s="26">
        <f>IF(A281="","",IF(IFERROR(IF(INDEX(tbl_Onsite[Tax Code],IFERROR(MATCH(A281&amp;"",tbl_Onsite[Job Number],0),MATCH(IFERROR(A281+0,A281),tbl_Onsite[Job Number],0)))="","",INDEX(tbl_Onsite[Tax Code],IFERROR(MATCH(A281&amp;"",tbl_Onsite[Job Number],0),MATCH(IFERROR(A281+0,A281),tbl_Onsite[Job Number],0)))),IFERROR(IF(INDEX(tbl_Production[Tax Code],IFERROR(MATCH(A281&amp;"",tbl_Production[Job Number],0),MATCH(IFERROR(A281+0,A281),tbl_Production[Job Number],0)))="","",INDEX(tbl_Production[Tax Code],IFERROR(MATCH(A281&amp;"",tbl_Production[Job Number],0),MATCH(IFERROR(A281+0,A281),tbl_Production[Job Number],0)))),IFERROR(IF(INDEX(tbl_Consulting[Tax Code],IFERROR(MATCH(A281&amp;"",tbl_Consulting[Job Number],0),MATCH(IFERROR(A281+0,A281),tbl_Consulting[Job Number],0)))="","",INDEX(tbl_Consulting[Tax Code],IFERROR(MATCH(A281&amp;"",tbl_Consulting[Job Number],0),MATCH(IFERROR(A281+0,A281),tbl_Consulting[Job Number],0)))),"")))="","GST 10%",IFERROR(IF(INDEX(tbl_Onsite[Tax Code],IFERROR(MATCH(A281&amp;"",tbl_Onsite[Job Number],0),MATCH(IFERROR(A281+0,A281),tbl_Onsite[Job Number],0)))="","",INDEX(tbl_Onsite[Tax Code],IFERROR(MATCH(A281&amp;"",tbl_Onsite[Job Number],0),MATCH(IFERROR(A281+0,A281),tbl_Onsite[Job Number],0)))),IFERROR(IF(INDEX(tbl_Production[Tax Code],IFERROR(MATCH(A281&amp;"",tbl_Production[Job Number],0),MATCH(IFERROR(A281+0,A281),tbl_Production[Job Number],0)))="","",INDEX(tbl_Production[Tax Code],IFERROR(MATCH(A281&amp;"",tbl_Production[Job Number],0),MATCH(IFERROR(A281+0,A281),tbl_Production[Job Number],0)))),IFERROR(IF(INDEX(tbl_Consulting[Tax Code],IFERROR(MATCH(A281&amp;"",tbl_Consulting[Job Number],0),MATCH(IFERROR(A281+0,A281),tbl_Consulting[Job Number],0)))="","",INDEX(tbl_Consulting[Tax Code],IFERROR(MATCH(A281&amp;"",tbl_Consulting[Job Number],0),MATCH(IFERROR(A281+0,A281),tbl_Consulting[Job Number],0)))),"")))))</f>
        <v/>
      </c>
      <c r="N281" s="26">
        <f>IF(D281="","",IFERROR(INDEX(lst_CCtoGL,MATCH(D281,lst_CCforGL,0)),""))</f>
        <v/>
      </c>
      <c r="O281" s="27">
        <f>IF(E281="","",IF(M281="GST 10%",ROUND(E281*set_GSTRate,2),0))</f>
        <v/>
      </c>
      <c r="P281" s="27">
        <f>IF(E281="","",E281+O281)</f>
        <v/>
      </c>
      <c r="Q281" s="27">
        <f>IF(A281="","",IFERROR(INDEX(tbl_Onsite[Expected Revenue Ex GST],IFERROR(MATCH(A281&amp;"",tbl_Onsite[Job Number],0),MATCH(IFERROR(A281+0,A281),tbl_Onsite[Job Number],0))),IFERROR(INDEX(tbl_Production[Expected Revenue Ex GST],IFERROR(MATCH(A281&amp;"",tbl_Production[Job Number],0),MATCH(IFERROR(A281+0,A281),tbl_Production[Job Number],0))),IFERROR(INDEX(tbl_Consulting[Expected Revenue Ex GST],IFERROR(MATCH(A281&amp;"",tbl_Consulting[Job Number],0),MATCH(IFERROR(A281+0,A281),tbl_Consulting[Job Number],0))),0))))</f>
        <v/>
      </c>
      <c r="R281" s="27">
        <f>IF(A281="","",SUMIFS(tbl_Finance[Ex GST],tbl_Finance[Job Number],A281&amp;""))</f>
        <v/>
      </c>
      <c r="S281" s="27">
        <f>IF(A281="","",Q281-R281)</f>
        <v/>
      </c>
      <c r="T281" s="26">
        <f>IF(A281="","",IF(Q281=0,"No dept value",IF(ROUND(S281,2)=0,"Agrees",IF(S281&gt;0,"Dept higher - to invoice","Xero higher - check dept"))))</f>
        <v/>
      </c>
      <c r="U281" s="22" t="n"/>
      <c r="V281" s="22" t="n"/>
      <c r="W281" s="23" t="n"/>
      <c r="X281" s="23" t="n"/>
      <c r="Y281" s="22" t="n"/>
      <c r="Z281" s="22" t="n"/>
      <c r="AA281" s="26">
        <f>IF(COUNTA(C281,A281,B281,E281)=0,"",IF(C281="","No date - sits outside every month",IF(A281="","No job number",IF(H281="CHECK","Job number is not in the Xero job list",IF(G281="not set up yet","No department has set this job up - nothing can pull through",IF(D281="","No cost centre",IF(AND(U281="Y",B281=""),"Marked posted to Xero but has no invoice number",IF(N281="","Cost centre has no revenue GL on the Lists sheet",IF(T281="Xero higher - check dept","Invoiced more than the department says the job is worth","")))))))))</f>
        <v/>
      </c>
      <c r="AB281" s="28">
        <f>IF(A281="","",COUNTIFS(tbl_Finance[Job Number],A281&amp;"",tbl_Finance[Ex GST],"&lt;&gt;"))</f>
        <v/>
      </c>
      <c r="AC281" s="27">
        <f>IF(A281="","",SUMIFS(tbl_Finance[Ex GST],tbl_Finance[Job Number],A281&amp;""))</f>
        <v/>
      </c>
      <c r="AD281" s="27">
        <f>IF(A281="","",SUMIFS(tbl_Finance[Ex GST],tbl_Finance[Job Number],A281&amp;"",tbl_Finance[Xero Invoice No],"&lt;&gt;"))</f>
        <v/>
      </c>
      <c r="AE281" s="27">
        <f>IF(A281="","",AC281-AD281)</f>
        <v/>
      </c>
      <c r="AF281" s="26">
        <f>IF(A281="","",IFERROR(IF(INDEX(tbl_Onsite[Qwilr Quote],IFERROR(MATCH(A281&amp;"",tbl_Onsite[Job Number],0),MATCH(IFERROR(A281+0,A281),tbl_Onsite[Job Number],0)))="","",INDEX(tbl_Onsite[Qwilr Quote],IFERROR(MATCH(A281&amp;"",tbl_Onsite[Job Number],0),MATCH(IFERROR(A281+0,A281),tbl_Onsite[Job Number],0)))),IFERROR(IF(IF(INDEX(tbl_Production[Current RMS No],IFERROR(MATCH(A281&amp;"",tbl_Production[Job Number],0),MATCH(IFERROR(A281+0,A281),tbl_Production[Job Number],0)))="",INDEX(tbl_Production[Qwilr Quote],IFERROR(MATCH(A281&amp;"",tbl_Production[Job Number],0),MATCH(IFERROR(A281+0,A281),tbl_Production[Job Number],0))),INDEX(tbl_Production[Current RMS No],IFERROR(MATCH(A281&amp;"",tbl_Production[Job Number],0),MATCH(IFERROR(A281+0,A281),tbl_Production[Job Number],0))))="","",IF(INDEX(tbl_Production[Current RMS No],IFERROR(MATCH(A281&amp;"",tbl_Production[Job Number],0),MATCH(IFERROR(A281+0,A281),tbl_Production[Job Number],0)))="",INDEX(tbl_Production[Qwilr Quote],IFERROR(MATCH(A281&amp;"",tbl_Production[Job Number],0),MATCH(IFERROR(A281+0,A281),tbl_Production[Job Number],0))),INDEX(tbl_Production[Current RMS No],IFERROR(MATCH(A281&amp;"",tbl_Production[Job Number],0),MATCH(IFERROR(A281+0,A281),tbl_Production[Job Number],0))))),IFERROR(IF(INDEX(tbl_Consulting[Qwilr Quote],IFERROR(MATCH(A281&amp;"",tbl_Consulting[Job Number],0),MATCH(IFERROR(A281+0,A281),tbl_Consulting[Job Number],0)))="","",INDEX(tbl_Consulting[Qwilr Quote],IFERROR(MATCH(A281&amp;"",tbl_Consulting[Job Number],0),MATCH(IFERROR(A281+0,A281),tbl_Consulting[Job Number],0)))),""))))</f>
        <v/>
      </c>
      <c r="AG281" s="26">
        <f>IF(AF281="","",IF(AND(LEFT(AF281,4)&lt;&gt;"http",IF(G281="Production",set_RMSBase,set_QwilrBase)=""),"",HYPERLINK(IF(LEFT(AF281,4)="http",AF281,IF(G281="Production",set_RMSBase,set_QwilrBase)&amp;AF281),"Open")))</f>
        <v/>
      </c>
      <c r="AH281" s="27">
        <f>IF(A281="","",IFERROR(INDEX(tbl_Production[Total Expense],IFERROR(MATCH(A281&amp;"",tbl_Production[Job Number],0),MATCH(IFERROR(A281+0,A281),tbl_Production[Job Number],0))),IFERROR(INDEX(tbl_Consulting[Total Expense],IFERROR(MATCH(A281&amp;"",tbl_Consulting[Job Number],0),MATCH(IFERROR(A281+0,A281),tbl_Consulting[Job Number],0))),0)))</f>
        <v/>
      </c>
      <c r="AI281" s="27">
        <f>IF(A281="","",AC281-N(AH281))</f>
        <v/>
      </c>
      <c r="AJ281" s="29">
        <f>IFERROR(AI281/AC281,"")</f>
        <v/>
      </c>
      <c r="AK281" s="26">
        <f>IF(A281="","",IFERROR(IF(INDEX(tbl_Onsite[Notes],IFERROR(MATCH(A281&amp;"",tbl_Onsite[Job Number],0),MATCH(IFERROR(A281+0,A281),tbl_Onsite[Job Number],0)))="","",INDEX(tbl_Onsite[Notes],IFERROR(MATCH(A281&amp;"",tbl_Onsite[Job Number],0),MATCH(IFERROR(A281+0,A281),tbl_Onsite[Job Number],0)))),IFERROR(IF(INDEX(tbl_Production[Notes],IFERROR(MATCH(A281&amp;"",tbl_Production[Job Number],0),MATCH(IFERROR(A281+0,A281),tbl_Production[Job Number],0)))="","",INDEX(tbl_Production[Notes],IFERROR(MATCH(A281&amp;"",tbl_Production[Job Number],0),MATCH(IFERROR(A281+0,A281),tbl_Production[Job Number],0)))),IFERROR(IF(INDEX(tbl_Consulting[Notes],IFERROR(MATCH(A281&amp;"",tbl_Consulting[Job Number],0),MATCH(IFERROR(A281+0,A281),tbl_Consulting[Job Number],0)))="","",INDEX(tbl_Consulting[Notes],IFERROR(MATCH(A281&amp;"",tbl_Consulting[Job Number],0),MATCH(IFERROR(A281+0,A281),tbl_Consulting[Job Number],0)))),""))))</f>
        <v/>
      </c>
    </row>
    <row r="282" ht="15" customHeight="1">
      <c r="A282" s="22" t="n"/>
      <c r="B282" s="22" t="n"/>
      <c r="C282" s="23" t="n"/>
      <c r="D282" s="22" t="n"/>
      <c r="E282" s="24" t="n"/>
      <c r="F282" s="25">
        <f>IF(C282="","",EOMONTH(C282,0))</f>
        <v/>
      </c>
      <c r="G282" s="26">
        <f>IF(A282="","",IF(COUNTIF(tbl_Onsite[Job Number],A282&amp;"")&gt;0,"Onsite",IF(COUNTIF(tbl_Production[Job Number],A282&amp;"")&gt;0,"Production",IF(COUNTIF(tbl_Consulting[Job Number],A282&amp;"")&gt;0,"Consulting","not set up yet"))))</f>
        <v/>
      </c>
      <c r="H282" s="26">
        <f>IF(A282="","",IF(COUNTIF(lst_Jobs,A282&amp;"")&gt;0,"OK","CHECK"))</f>
        <v/>
      </c>
      <c r="I282" s="26">
        <f>IF(A282="","",IFERROR(INDEX(lst_JobName,MATCH(A282&amp;"",lst_Jobs,0)),""))</f>
        <v/>
      </c>
      <c r="J282" s="26">
        <f>IF(A282="","",IFERROR(IF(INDEX(tbl_Onsite[Client],IFERROR(MATCH(A282&amp;"",tbl_Onsite[Job Number],0),MATCH(IFERROR(A282+0,A282),tbl_Onsite[Job Number],0)))="","",INDEX(tbl_Onsite[Client],IFERROR(MATCH(A282&amp;"",tbl_Onsite[Job Number],0),MATCH(IFERROR(A282+0,A282),tbl_Onsite[Job Number],0)))),IFERROR(IF(INDEX(tbl_Production[Client],IFERROR(MATCH(A282&amp;"",tbl_Production[Job Number],0),MATCH(IFERROR(A282+0,A282),tbl_Production[Job Number],0)))="","",INDEX(tbl_Production[Client],IFERROR(MATCH(A282&amp;"",tbl_Production[Job Number],0),MATCH(IFERROR(A282+0,A282),tbl_Production[Job Number],0)))),IFERROR(IF(INDEX(tbl_Consulting[Client],IFERROR(MATCH(A282&amp;"",tbl_Consulting[Job Number],0),MATCH(IFERROR(A282+0,A282),tbl_Consulting[Job Number],0)))="","",INDEX(tbl_Consulting[Client],IFERROR(MATCH(A282&amp;"",tbl_Consulting[Job Number],0),MATCH(IFERROR(A282+0,A282),tbl_Consulting[Job Number],0)))),""))))</f>
        <v/>
      </c>
      <c r="K282" s="26">
        <f>IF(A282="","",IFERROR(IF(INDEX(tbl_Onsite[Job Description],IFERROR(MATCH(A282&amp;"",tbl_Onsite[Job Number],0),MATCH(IFERROR(A282+0,A282),tbl_Onsite[Job Number],0)))="","",INDEX(tbl_Onsite[Job Description],IFERROR(MATCH(A282&amp;"",tbl_Onsite[Job Number],0),MATCH(IFERROR(A282+0,A282),tbl_Onsite[Job Number],0)))),IFERROR(IF(INDEX(tbl_Production[Job Description],IFERROR(MATCH(A282&amp;"",tbl_Production[Job Number],0),MATCH(IFERROR(A282+0,A282),tbl_Production[Job Number],0)))="","",INDEX(tbl_Production[Job Description],IFERROR(MATCH(A282&amp;"",tbl_Production[Job Number],0),MATCH(IFERROR(A282+0,A282),tbl_Production[Job Number],0)))),IFERROR(IF(INDEX(tbl_Consulting[Job Description],IFERROR(MATCH(A282&amp;"",tbl_Consulting[Job Number],0),MATCH(IFERROR(A282+0,A282),tbl_Consulting[Job Number],0)))="","",INDEX(tbl_Consulting[Job Description],IFERROR(MATCH(A282&amp;"",tbl_Consulting[Job Number],0),MATCH(IFERROR(A282+0,A282),tbl_Consulting[Job Number],0)))),""))))</f>
        <v/>
      </c>
      <c r="L282" s="26">
        <f>IF(A282="","",IFERROR(IF(INDEX(tbl_Onsite[Invoice Type],IFERROR(MATCH(A282&amp;"",tbl_Onsite[Job Number],0),MATCH(IFERROR(A282+0,A282),tbl_Onsite[Job Number],0)))="","",INDEX(tbl_Onsite[Invoice Type],IFERROR(MATCH(A282&amp;"",tbl_Onsite[Job Number],0),MATCH(IFERROR(A282+0,A282),tbl_Onsite[Job Number],0)))),IFERROR(IF(INDEX(tbl_Production[Invoice Type],IFERROR(MATCH(A282&amp;"",tbl_Production[Job Number],0),MATCH(IFERROR(A282+0,A282),tbl_Production[Job Number],0)))="","",INDEX(tbl_Production[Invoice Type],IFERROR(MATCH(A282&amp;"",tbl_Production[Job Number],0),MATCH(IFERROR(A282+0,A282),tbl_Production[Job Number],0)))),IFERROR(IF(INDEX(tbl_Consulting[Invoice Type],IFERROR(MATCH(A282&amp;"",tbl_Consulting[Job Number],0),MATCH(IFERROR(A282+0,A282),tbl_Consulting[Job Number],0)))="","",INDEX(tbl_Consulting[Invoice Type],IFERROR(MATCH(A282&amp;"",tbl_Consulting[Job Number],0),MATCH(IFERROR(A282+0,A282),tbl_Consulting[Job Number],0)))),""))))</f>
        <v/>
      </c>
      <c r="M282" s="26">
        <f>IF(A282="","",IF(IFERROR(IF(INDEX(tbl_Onsite[Tax Code],IFERROR(MATCH(A282&amp;"",tbl_Onsite[Job Number],0),MATCH(IFERROR(A282+0,A282),tbl_Onsite[Job Number],0)))="","",INDEX(tbl_Onsite[Tax Code],IFERROR(MATCH(A282&amp;"",tbl_Onsite[Job Number],0),MATCH(IFERROR(A282+0,A282),tbl_Onsite[Job Number],0)))),IFERROR(IF(INDEX(tbl_Production[Tax Code],IFERROR(MATCH(A282&amp;"",tbl_Production[Job Number],0),MATCH(IFERROR(A282+0,A282),tbl_Production[Job Number],0)))="","",INDEX(tbl_Production[Tax Code],IFERROR(MATCH(A282&amp;"",tbl_Production[Job Number],0),MATCH(IFERROR(A282+0,A282),tbl_Production[Job Number],0)))),IFERROR(IF(INDEX(tbl_Consulting[Tax Code],IFERROR(MATCH(A282&amp;"",tbl_Consulting[Job Number],0),MATCH(IFERROR(A282+0,A282),tbl_Consulting[Job Number],0)))="","",INDEX(tbl_Consulting[Tax Code],IFERROR(MATCH(A282&amp;"",tbl_Consulting[Job Number],0),MATCH(IFERROR(A282+0,A282),tbl_Consulting[Job Number],0)))),"")))="","GST 10%",IFERROR(IF(INDEX(tbl_Onsite[Tax Code],IFERROR(MATCH(A282&amp;"",tbl_Onsite[Job Number],0),MATCH(IFERROR(A282+0,A282),tbl_Onsite[Job Number],0)))="","",INDEX(tbl_Onsite[Tax Code],IFERROR(MATCH(A282&amp;"",tbl_Onsite[Job Number],0),MATCH(IFERROR(A282+0,A282),tbl_Onsite[Job Number],0)))),IFERROR(IF(INDEX(tbl_Production[Tax Code],IFERROR(MATCH(A282&amp;"",tbl_Production[Job Number],0),MATCH(IFERROR(A282+0,A282),tbl_Production[Job Number],0)))="","",INDEX(tbl_Production[Tax Code],IFERROR(MATCH(A282&amp;"",tbl_Production[Job Number],0),MATCH(IFERROR(A282+0,A282),tbl_Production[Job Number],0)))),IFERROR(IF(INDEX(tbl_Consulting[Tax Code],IFERROR(MATCH(A282&amp;"",tbl_Consulting[Job Number],0),MATCH(IFERROR(A282+0,A282),tbl_Consulting[Job Number],0)))="","",INDEX(tbl_Consulting[Tax Code],IFERROR(MATCH(A282&amp;"",tbl_Consulting[Job Number],0),MATCH(IFERROR(A282+0,A282),tbl_Consulting[Job Number],0)))),"")))))</f>
        <v/>
      </c>
      <c r="N282" s="26">
        <f>IF(D282="","",IFERROR(INDEX(lst_CCtoGL,MATCH(D282,lst_CCforGL,0)),""))</f>
        <v/>
      </c>
      <c r="O282" s="27">
        <f>IF(E282="","",IF(M282="GST 10%",ROUND(E282*set_GSTRate,2),0))</f>
        <v/>
      </c>
      <c r="P282" s="27">
        <f>IF(E282="","",E282+O282)</f>
        <v/>
      </c>
      <c r="Q282" s="27">
        <f>IF(A282="","",IFERROR(INDEX(tbl_Onsite[Expected Revenue Ex GST],IFERROR(MATCH(A282&amp;"",tbl_Onsite[Job Number],0),MATCH(IFERROR(A282+0,A282),tbl_Onsite[Job Number],0))),IFERROR(INDEX(tbl_Production[Expected Revenue Ex GST],IFERROR(MATCH(A282&amp;"",tbl_Production[Job Number],0),MATCH(IFERROR(A282+0,A282),tbl_Production[Job Number],0))),IFERROR(INDEX(tbl_Consulting[Expected Revenue Ex GST],IFERROR(MATCH(A282&amp;"",tbl_Consulting[Job Number],0),MATCH(IFERROR(A282+0,A282),tbl_Consulting[Job Number],0))),0))))</f>
        <v/>
      </c>
      <c r="R282" s="27">
        <f>IF(A282="","",SUMIFS(tbl_Finance[Ex GST],tbl_Finance[Job Number],A282&amp;""))</f>
        <v/>
      </c>
      <c r="S282" s="27">
        <f>IF(A282="","",Q282-R282)</f>
        <v/>
      </c>
      <c r="T282" s="26">
        <f>IF(A282="","",IF(Q282=0,"No dept value",IF(ROUND(S282,2)=0,"Agrees",IF(S282&gt;0,"Dept higher - to invoice","Xero higher - check dept"))))</f>
        <v/>
      </c>
      <c r="U282" s="22" t="n"/>
      <c r="V282" s="22" t="n"/>
      <c r="W282" s="23" t="n"/>
      <c r="X282" s="23" t="n"/>
      <c r="Y282" s="22" t="n"/>
      <c r="Z282" s="22" t="n"/>
      <c r="AA282" s="26">
        <f>IF(COUNTA(C282,A282,B282,E282)=0,"",IF(C282="","No date - sits outside every month",IF(A282="","No job number",IF(H282="CHECK","Job number is not in the Xero job list",IF(G282="not set up yet","No department has set this job up - nothing can pull through",IF(D282="","No cost centre",IF(AND(U282="Y",B282=""),"Marked posted to Xero but has no invoice number",IF(N282="","Cost centre has no revenue GL on the Lists sheet",IF(T282="Xero higher - check dept","Invoiced more than the department says the job is worth","")))))))))</f>
        <v/>
      </c>
      <c r="AB282" s="28">
        <f>IF(A282="","",COUNTIFS(tbl_Finance[Job Number],A282&amp;"",tbl_Finance[Ex GST],"&lt;&gt;"))</f>
        <v/>
      </c>
      <c r="AC282" s="27">
        <f>IF(A282="","",SUMIFS(tbl_Finance[Ex GST],tbl_Finance[Job Number],A282&amp;""))</f>
        <v/>
      </c>
      <c r="AD282" s="27">
        <f>IF(A282="","",SUMIFS(tbl_Finance[Ex GST],tbl_Finance[Job Number],A282&amp;"",tbl_Finance[Xero Invoice No],"&lt;&gt;"))</f>
        <v/>
      </c>
      <c r="AE282" s="27">
        <f>IF(A282="","",AC282-AD282)</f>
        <v/>
      </c>
      <c r="AF282" s="26">
        <f>IF(A282="","",IFERROR(IF(INDEX(tbl_Onsite[Qwilr Quote],IFERROR(MATCH(A282&amp;"",tbl_Onsite[Job Number],0),MATCH(IFERROR(A282+0,A282),tbl_Onsite[Job Number],0)))="","",INDEX(tbl_Onsite[Qwilr Quote],IFERROR(MATCH(A282&amp;"",tbl_Onsite[Job Number],0),MATCH(IFERROR(A282+0,A282),tbl_Onsite[Job Number],0)))),IFERROR(IF(IF(INDEX(tbl_Production[Current RMS No],IFERROR(MATCH(A282&amp;"",tbl_Production[Job Number],0),MATCH(IFERROR(A282+0,A282),tbl_Production[Job Number],0)))="",INDEX(tbl_Production[Qwilr Quote],IFERROR(MATCH(A282&amp;"",tbl_Production[Job Number],0),MATCH(IFERROR(A282+0,A282),tbl_Production[Job Number],0))),INDEX(tbl_Production[Current RMS No],IFERROR(MATCH(A282&amp;"",tbl_Production[Job Number],0),MATCH(IFERROR(A282+0,A282),tbl_Production[Job Number],0))))="","",IF(INDEX(tbl_Production[Current RMS No],IFERROR(MATCH(A282&amp;"",tbl_Production[Job Number],0),MATCH(IFERROR(A282+0,A282),tbl_Production[Job Number],0)))="",INDEX(tbl_Production[Qwilr Quote],IFERROR(MATCH(A282&amp;"",tbl_Production[Job Number],0),MATCH(IFERROR(A282+0,A282),tbl_Production[Job Number],0))),INDEX(tbl_Production[Current RMS No],IFERROR(MATCH(A282&amp;"",tbl_Production[Job Number],0),MATCH(IFERROR(A282+0,A282),tbl_Production[Job Number],0))))),IFERROR(IF(INDEX(tbl_Consulting[Qwilr Quote],IFERROR(MATCH(A282&amp;"",tbl_Consulting[Job Number],0),MATCH(IFERROR(A282+0,A282),tbl_Consulting[Job Number],0)))="","",INDEX(tbl_Consulting[Qwilr Quote],IFERROR(MATCH(A282&amp;"",tbl_Consulting[Job Number],0),MATCH(IFERROR(A282+0,A282),tbl_Consulting[Job Number],0)))),""))))</f>
        <v/>
      </c>
      <c r="AG282" s="26">
        <f>IF(AF282="","",IF(AND(LEFT(AF282,4)&lt;&gt;"http",IF(G282="Production",set_RMSBase,set_QwilrBase)=""),"",HYPERLINK(IF(LEFT(AF282,4)="http",AF282,IF(G282="Production",set_RMSBase,set_QwilrBase)&amp;AF282),"Open")))</f>
        <v/>
      </c>
      <c r="AH282" s="27">
        <f>IF(A282="","",IFERROR(INDEX(tbl_Production[Total Expense],IFERROR(MATCH(A282&amp;"",tbl_Production[Job Number],0),MATCH(IFERROR(A282+0,A282),tbl_Production[Job Number],0))),IFERROR(INDEX(tbl_Consulting[Total Expense],IFERROR(MATCH(A282&amp;"",tbl_Consulting[Job Number],0),MATCH(IFERROR(A282+0,A282),tbl_Consulting[Job Number],0))),0)))</f>
        <v/>
      </c>
      <c r="AI282" s="27">
        <f>IF(A282="","",AC282-N(AH282))</f>
        <v/>
      </c>
      <c r="AJ282" s="29">
        <f>IFERROR(AI282/AC282,"")</f>
        <v/>
      </c>
      <c r="AK282" s="26">
        <f>IF(A282="","",IFERROR(IF(INDEX(tbl_Onsite[Notes],IFERROR(MATCH(A282&amp;"",tbl_Onsite[Job Number],0),MATCH(IFERROR(A282+0,A282),tbl_Onsite[Job Number],0)))="","",INDEX(tbl_Onsite[Notes],IFERROR(MATCH(A282&amp;"",tbl_Onsite[Job Number],0),MATCH(IFERROR(A282+0,A282),tbl_Onsite[Job Number],0)))),IFERROR(IF(INDEX(tbl_Production[Notes],IFERROR(MATCH(A282&amp;"",tbl_Production[Job Number],0),MATCH(IFERROR(A282+0,A282),tbl_Production[Job Number],0)))="","",INDEX(tbl_Production[Notes],IFERROR(MATCH(A282&amp;"",tbl_Production[Job Number],0),MATCH(IFERROR(A282+0,A282),tbl_Production[Job Number],0)))),IFERROR(IF(INDEX(tbl_Consulting[Notes],IFERROR(MATCH(A282&amp;"",tbl_Consulting[Job Number],0),MATCH(IFERROR(A282+0,A282),tbl_Consulting[Job Number],0)))="","",INDEX(tbl_Consulting[Notes],IFERROR(MATCH(A282&amp;"",tbl_Consulting[Job Number],0),MATCH(IFERROR(A282+0,A282),tbl_Consulting[Job Number],0)))),""))))</f>
        <v/>
      </c>
    </row>
    <row r="283" ht="15" customHeight="1">
      <c r="A283" s="22" t="n"/>
      <c r="B283" s="22" t="n"/>
      <c r="C283" s="23" t="n"/>
      <c r="D283" s="22" t="n"/>
      <c r="E283" s="24" t="n"/>
      <c r="F283" s="25">
        <f>IF(C283="","",EOMONTH(C283,0))</f>
        <v/>
      </c>
      <c r="G283" s="26">
        <f>IF(A283="","",IF(COUNTIF(tbl_Onsite[Job Number],A283&amp;"")&gt;0,"Onsite",IF(COUNTIF(tbl_Production[Job Number],A283&amp;"")&gt;0,"Production",IF(COUNTIF(tbl_Consulting[Job Number],A283&amp;"")&gt;0,"Consulting","not set up yet"))))</f>
        <v/>
      </c>
      <c r="H283" s="26">
        <f>IF(A283="","",IF(COUNTIF(lst_Jobs,A283&amp;"")&gt;0,"OK","CHECK"))</f>
        <v/>
      </c>
      <c r="I283" s="26">
        <f>IF(A283="","",IFERROR(INDEX(lst_JobName,MATCH(A283&amp;"",lst_Jobs,0)),""))</f>
        <v/>
      </c>
      <c r="J283" s="26">
        <f>IF(A283="","",IFERROR(IF(INDEX(tbl_Onsite[Client],IFERROR(MATCH(A283&amp;"",tbl_Onsite[Job Number],0),MATCH(IFERROR(A283+0,A283),tbl_Onsite[Job Number],0)))="","",INDEX(tbl_Onsite[Client],IFERROR(MATCH(A283&amp;"",tbl_Onsite[Job Number],0),MATCH(IFERROR(A283+0,A283),tbl_Onsite[Job Number],0)))),IFERROR(IF(INDEX(tbl_Production[Client],IFERROR(MATCH(A283&amp;"",tbl_Production[Job Number],0),MATCH(IFERROR(A283+0,A283),tbl_Production[Job Number],0)))="","",INDEX(tbl_Production[Client],IFERROR(MATCH(A283&amp;"",tbl_Production[Job Number],0),MATCH(IFERROR(A283+0,A283),tbl_Production[Job Number],0)))),IFERROR(IF(INDEX(tbl_Consulting[Client],IFERROR(MATCH(A283&amp;"",tbl_Consulting[Job Number],0),MATCH(IFERROR(A283+0,A283),tbl_Consulting[Job Number],0)))="","",INDEX(tbl_Consulting[Client],IFERROR(MATCH(A283&amp;"",tbl_Consulting[Job Number],0),MATCH(IFERROR(A283+0,A283),tbl_Consulting[Job Number],0)))),""))))</f>
        <v/>
      </c>
      <c r="K283" s="26">
        <f>IF(A283="","",IFERROR(IF(INDEX(tbl_Onsite[Job Description],IFERROR(MATCH(A283&amp;"",tbl_Onsite[Job Number],0),MATCH(IFERROR(A283+0,A283),tbl_Onsite[Job Number],0)))="","",INDEX(tbl_Onsite[Job Description],IFERROR(MATCH(A283&amp;"",tbl_Onsite[Job Number],0),MATCH(IFERROR(A283+0,A283),tbl_Onsite[Job Number],0)))),IFERROR(IF(INDEX(tbl_Production[Job Description],IFERROR(MATCH(A283&amp;"",tbl_Production[Job Number],0),MATCH(IFERROR(A283+0,A283),tbl_Production[Job Number],0)))="","",INDEX(tbl_Production[Job Description],IFERROR(MATCH(A283&amp;"",tbl_Production[Job Number],0),MATCH(IFERROR(A283+0,A283),tbl_Production[Job Number],0)))),IFERROR(IF(INDEX(tbl_Consulting[Job Description],IFERROR(MATCH(A283&amp;"",tbl_Consulting[Job Number],0),MATCH(IFERROR(A283+0,A283),tbl_Consulting[Job Number],0)))="","",INDEX(tbl_Consulting[Job Description],IFERROR(MATCH(A283&amp;"",tbl_Consulting[Job Number],0),MATCH(IFERROR(A283+0,A283),tbl_Consulting[Job Number],0)))),""))))</f>
        <v/>
      </c>
      <c r="L283" s="26">
        <f>IF(A283="","",IFERROR(IF(INDEX(tbl_Onsite[Invoice Type],IFERROR(MATCH(A283&amp;"",tbl_Onsite[Job Number],0),MATCH(IFERROR(A283+0,A283),tbl_Onsite[Job Number],0)))="","",INDEX(tbl_Onsite[Invoice Type],IFERROR(MATCH(A283&amp;"",tbl_Onsite[Job Number],0),MATCH(IFERROR(A283+0,A283),tbl_Onsite[Job Number],0)))),IFERROR(IF(INDEX(tbl_Production[Invoice Type],IFERROR(MATCH(A283&amp;"",tbl_Production[Job Number],0),MATCH(IFERROR(A283+0,A283),tbl_Production[Job Number],0)))="","",INDEX(tbl_Production[Invoice Type],IFERROR(MATCH(A283&amp;"",tbl_Production[Job Number],0),MATCH(IFERROR(A283+0,A283),tbl_Production[Job Number],0)))),IFERROR(IF(INDEX(tbl_Consulting[Invoice Type],IFERROR(MATCH(A283&amp;"",tbl_Consulting[Job Number],0),MATCH(IFERROR(A283+0,A283),tbl_Consulting[Job Number],0)))="","",INDEX(tbl_Consulting[Invoice Type],IFERROR(MATCH(A283&amp;"",tbl_Consulting[Job Number],0),MATCH(IFERROR(A283+0,A283),tbl_Consulting[Job Number],0)))),""))))</f>
        <v/>
      </c>
      <c r="M283" s="26">
        <f>IF(A283="","",IF(IFERROR(IF(INDEX(tbl_Onsite[Tax Code],IFERROR(MATCH(A283&amp;"",tbl_Onsite[Job Number],0),MATCH(IFERROR(A283+0,A283),tbl_Onsite[Job Number],0)))="","",INDEX(tbl_Onsite[Tax Code],IFERROR(MATCH(A283&amp;"",tbl_Onsite[Job Number],0),MATCH(IFERROR(A283+0,A283),tbl_Onsite[Job Number],0)))),IFERROR(IF(INDEX(tbl_Production[Tax Code],IFERROR(MATCH(A283&amp;"",tbl_Production[Job Number],0),MATCH(IFERROR(A283+0,A283),tbl_Production[Job Number],0)))="","",INDEX(tbl_Production[Tax Code],IFERROR(MATCH(A283&amp;"",tbl_Production[Job Number],0),MATCH(IFERROR(A283+0,A283),tbl_Production[Job Number],0)))),IFERROR(IF(INDEX(tbl_Consulting[Tax Code],IFERROR(MATCH(A283&amp;"",tbl_Consulting[Job Number],0),MATCH(IFERROR(A283+0,A283),tbl_Consulting[Job Number],0)))="","",INDEX(tbl_Consulting[Tax Code],IFERROR(MATCH(A283&amp;"",tbl_Consulting[Job Number],0),MATCH(IFERROR(A283+0,A283),tbl_Consulting[Job Number],0)))),"")))="","GST 10%",IFERROR(IF(INDEX(tbl_Onsite[Tax Code],IFERROR(MATCH(A283&amp;"",tbl_Onsite[Job Number],0),MATCH(IFERROR(A283+0,A283),tbl_Onsite[Job Number],0)))="","",INDEX(tbl_Onsite[Tax Code],IFERROR(MATCH(A283&amp;"",tbl_Onsite[Job Number],0),MATCH(IFERROR(A283+0,A283),tbl_Onsite[Job Number],0)))),IFERROR(IF(INDEX(tbl_Production[Tax Code],IFERROR(MATCH(A283&amp;"",tbl_Production[Job Number],0),MATCH(IFERROR(A283+0,A283),tbl_Production[Job Number],0)))="","",INDEX(tbl_Production[Tax Code],IFERROR(MATCH(A283&amp;"",tbl_Production[Job Number],0),MATCH(IFERROR(A283+0,A283),tbl_Production[Job Number],0)))),IFERROR(IF(INDEX(tbl_Consulting[Tax Code],IFERROR(MATCH(A283&amp;"",tbl_Consulting[Job Number],0),MATCH(IFERROR(A283+0,A283),tbl_Consulting[Job Number],0)))="","",INDEX(tbl_Consulting[Tax Code],IFERROR(MATCH(A283&amp;"",tbl_Consulting[Job Number],0),MATCH(IFERROR(A283+0,A283),tbl_Consulting[Job Number],0)))),"")))))</f>
        <v/>
      </c>
      <c r="N283" s="26">
        <f>IF(D283="","",IFERROR(INDEX(lst_CCtoGL,MATCH(D283,lst_CCforGL,0)),""))</f>
        <v/>
      </c>
      <c r="O283" s="27">
        <f>IF(E283="","",IF(M283="GST 10%",ROUND(E283*set_GSTRate,2),0))</f>
        <v/>
      </c>
      <c r="P283" s="27">
        <f>IF(E283="","",E283+O283)</f>
        <v/>
      </c>
      <c r="Q283" s="27">
        <f>IF(A283="","",IFERROR(INDEX(tbl_Onsite[Expected Revenue Ex GST],IFERROR(MATCH(A283&amp;"",tbl_Onsite[Job Number],0),MATCH(IFERROR(A283+0,A283),tbl_Onsite[Job Number],0))),IFERROR(INDEX(tbl_Production[Expected Revenue Ex GST],IFERROR(MATCH(A283&amp;"",tbl_Production[Job Number],0),MATCH(IFERROR(A283+0,A283),tbl_Production[Job Number],0))),IFERROR(INDEX(tbl_Consulting[Expected Revenue Ex GST],IFERROR(MATCH(A283&amp;"",tbl_Consulting[Job Number],0),MATCH(IFERROR(A283+0,A283),tbl_Consulting[Job Number],0))),0))))</f>
        <v/>
      </c>
      <c r="R283" s="27">
        <f>IF(A283="","",SUMIFS(tbl_Finance[Ex GST],tbl_Finance[Job Number],A283&amp;""))</f>
        <v/>
      </c>
      <c r="S283" s="27">
        <f>IF(A283="","",Q283-R283)</f>
        <v/>
      </c>
      <c r="T283" s="26">
        <f>IF(A283="","",IF(Q283=0,"No dept value",IF(ROUND(S283,2)=0,"Agrees",IF(S283&gt;0,"Dept higher - to invoice","Xero higher - check dept"))))</f>
        <v/>
      </c>
      <c r="U283" s="22" t="n"/>
      <c r="V283" s="22" t="n"/>
      <c r="W283" s="23" t="n"/>
      <c r="X283" s="23" t="n"/>
      <c r="Y283" s="22" t="n"/>
      <c r="Z283" s="22" t="n"/>
      <c r="AA283" s="26">
        <f>IF(COUNTA(C283,A283,B283,E283)=0,"",IF(C283="","No date - sits outside every month",IF(A283="","No job number",IF(H283="CHECK","Job number is not in the Xero job list",IF(G283="not set up yet","No department has set this job up - nothing can pull through",IF(D283="","No cost centre",IF(AND(U283="Y",B283=""),"Marked posted to Xero but has no invoice number",IF(N283="","Cost centre has no revenue GL on the Lists sheet",IF(T283="Xero higher - check dept","Invoiced more than the department says the job is worth","")))))))))</f>
        <v/>
      </c>
      <c r="AB283" s="28">
        <f>IF(A283="","",COUNTIFS(tbl_Finance[Job Number],A283&amp;"",tbl_Finance[Ex GST],"&lt;&gt;"))</f>
        <v/>
      </c>
      <c r="AC283" s="27">
        <f>IF(A283="","",SUMIFS(tbl_Finance[Ex GST],tbl_Finance[Job Number],A283&amp;""))</f>
        <v/>
      </c>
      <c r="AD283" s="27">
        <f>IF(A283="","",SUMIFS(tbl_Finance[Ex GST],tbl_Finance[Job Number],A283&amp;"",tbl_Finance[Xero Invoice No],"&lt;&gt;"))</f>
        <v/>
      </c>
      <c r="AE283" s="27">
        <f>IF(A283="","",AC283-AD283)</f>
        <v/>
      </c>
      <c r="AF283" s="26">
        <f>IF(A283="","",IFERROR(IF(INDEX(tbl_Onsite[Qwilr Quote],IFERROR(MATCH(A283&amp;"",tbl_Onsite[Job Number],0),MATCH(IFERROR(A283+0,A283),tbl_Onsite[Job Number],0)))="","",INDEX(tbl_Onsite[Qwilr Quote],IFERROR(MATCH(A283&amp;"",tbl_Onsite[Job Number],0),MATCH(IFERROR(A283+0,A283),tbl_Onsite[Job Number],0)))),IFERROR(IF(IF(INDEX(tbl_Production[Current RMS No],IFERROR(MATCH(A283&amp;"",tbl_Production[Job Number],0),MATCH(IFERROR(A283+0,A283),tbl_Production[Job Number],0)))="",INDEX(tbl_Production[Qwilr Quote],IFERROR(MATCH(A283&amp;"",tbl_Production[Job Number],0),MATCH(IFERROR(A283+0,A283),tbl_Production[Job Number],0))),INDEX(tbl_Production[Current RMS No],IFERROR(MATCH(A283&amp;"",tbl_Production[Job Number],0),MATCH(IFERROR(A283+0,A283),tbl_Production[Job Number],0))))="","",IF(INDEX(tbl_Production[Current RMS No],IFERROR(MATCH(A283&amp;"",tbl_Production[Job Number],0),MATCH(IFERROR(A283+0,A283),tbl_Production[Job Number],0)))="",INDEX(tbl_Production[Qwilr Quote],IFERROR(MATCH(A283&amp;"",tbl_Production[Job Number],0),MATCH(IFERROR(A283+0,A283),tbl_Production[Job Number],0))),INDEX(tbl_Production[Current RMS No],IFERROR(MATCH(A283&amp;"",tbl_Production[Job Number],0),MATCH(IFERROR(A283+0,A283),tbl_Production[Job Number],0))))),IFERROR(IF(INDEX(tbl_Consulting[Qwilr Quote],IFERROR(MATCH(A283&amp;"",tbl_Consulting[Job Number],0),MATCH(IFERROR(A283+0,A283),tbl_Consulting[Job Number],0)))="","",INDEX(tbl_Consulting[Qwilr Quote],IFERROR(MATCH(A283&amp;"",tbl_Consulting[Job Number],0),MATCH(IFERROR(A283+0,A283),tbl_Consulting[Job Number],0)))),""))))</f>
        <v/>
      </c>
      <c r="AG283" s="26">
        <f>IF(AF283="","",IF(AND(LEFT(AF283,4)&lt;&gt;"http",IF(G283="Production",set_RMSBase,set_QwilrBase)=""),"",HYPERLINK(IF(LEFT(AF283,4)="http",AF283,IF(G283="Production",set_RMSBase,set_QwilrBase)&amp;AF283),"Open")))</f>
        <v/>
      </c>
      <c r="AH283" s="27">
        <f>IF(A283="","",IFERROR(INDEX(tbl_Production[Total Expense],IFERROR(MATCH(A283&amp;"",tbl_Production[Job Number],0),MATCH(IFERROR(A283+0,A283),tbl_Production[Job Number],0))),IFERROR(INDEX(tbl_Consulting[Total Expense],IFERROR(MATCH(A283&amp;"",tbl_Consulting[Job Number],0),MATCH(IFERROR(A283+0,A283),tbl_Consulting[Job Number],0))),0)))</f>
        <v/>
      </c>
      <c r="AI283" s="27">
        <f>IF(A283="","",AC283-N(AH283))</f>
        <v/>
      </c>
      <c r="AJ283" s="29">
        <f>IFERROR(AI283/AC283,"")</f>
        <v/>
      </c>
      <c r="AK283" s="26">
        <f>IF(A283="","",IFERROR(IF(INDEX(tbl_Onsite[Notes],IFERROR(MATCH(A283&amp;"",tbl_Onsite[Job Number],0),MATCH(IFERROR(A283+0,A283),tbl_Onsite[Job Number],0)))="","",INDEX(tbl_Onsite[Notes],IFERROR(MATCH(A283&amp;"",tbl_Onsite[Job Number],0),MATCH(IFERROR(A283+0,A283),tbl_Onsite[Job Number],0)))),IFERROR(IF(INDEX(tbl_Production[Notes],IFERROR(MATCH(A283&amp;"",tbl_Production[Job Number],0),MATCH(IFERROR(A283+0,A283),tbl_Production[Job Number],0)))="","",INDEX(tbl_Production[Notes],IFERROR(MATCH(A283&amp;"",tbl_Production[Job Number],0),MATCH(IFERROR(A283+0,A283),tbl_Production[Job Number],0)))),IFERROR(IF(INDEX(tbl_Consulting[Notes],IFERROR(MATCH(A283&amp;"",tbl_Consulting[Job Number],0),MATCH(IFERROR(A283+0,A283),tbl_Consulting[Job Number],0)))="","",INDEX(tbl_Consulting[Notes],IFERROR(MATCH(A283&amp;"",tbl_Consulting[Job Number],0),MATCH(IFERROR(A283+0,A283),tbl_Consulting[Job Number],0)))),""))))</f>
        <v/>
      </c>
    </row>
    <row r="284" ht="15" customHeight="1">
      <c r="A284" s="22" t="n"/>
      <c r="B284" s="22" t="n"/>
      <c r="C284" s="23" t="n"/>
      <c r="D284" s="22" t="n"/>
      <c r="E284" s="24" t="n"/>
      <c r="F284" s="25">
        <f>IF(C284="","",EOMONTH(C284,0))</f>
        <v/>
      </c>
      <c r="G284" s="26">
        <f>IF(A284="","",IF(COUNTIF(tbl_Onsite[Job Number],A284&amp;"")&gt;0,"Onsite",IF(COUNTIF(tbl_Production[Job Number],A284&amp;"")&gt;0,"Production",IF(COUNTIF(tbl_Consulting[Job Number],A284&amp;"")&gt;0,"Consulting","not set up yet"))))</f>
        <v/>
      </c>
      <c r="H284" s="26">
        <f>IF(A284="","",IF(COUNTIF(lst_Jobs,A284&amp;"")&gt;0,"OK","CHECK"))</f>
        <v/>
      </c>
      <c r="I284" s="26">
        <f>IF(A284="","",IFERROR(INDEX(lst_JobName,MATCH(A284&amp;"",lst_Jobs,0)),""))</f>
        <v/>
      </c>
      <c r="J284" s="26">
        <f>IF(A284="","",IFERROR(IF(INDEX(tbl_Onsite[Client],IFERROR(MATCH(A284&amp;"",tbl_Onsite[Job Number],0),MATCH(IFERROR(A284+0,A284),tbl_Onsite[Job Number],0)))="","",INDEX(tbl_Onsite[Client],IFERROR(MATCH(A284&amp;"",tbl_Onsite[Job Number],0),MATCH(IFERROR(A284+0,A284),tbl_Onsite[Job Number],0)))),IFERROR(IF(INDEX(tbl_Production[Client],IFERROR(MATCH(A284&amp;"",tbl_Production[Job Number],0),MATCH(IFERROR(A284+0,A284),tbl_Production[Job Number],0)))="","",INDEX(tbl_Production[Client],IFERROR(MATCH(A284&amp;"",tbl_Production[Job Number],0),MATCH(IFERROR(A284+0,A284),tbl_Production[Job Number],0)))),IFERROR(IF(INDEX(tbl_Consulting[Client],IFERROR(MATCH(A284&amp;"",tbl_Consulting[Job Number],0),MATCH(IFERROR(A284+0,A284),tbl_Consulting[Job Number],0)))="","",INDEX(tbl_Consulting[Client],IFERROR(MATCH(A284&amp;"",tbl_Consulting[Job Number],0),MATCH(IFERROR(A284+0,A284),tbl_Consulting[Job Number],0)))),""))))</f>
        <v/>
      </c>
      <c r="K284" s="26">
        <f>IF(A284="","",IFERROR(IF(INDEX(tbl_Onsite[Job Description],IFERROR(MATCH(A284&amp;"",tbl_Onsite[Job Number],0),MATCH(IFERROR(A284+0,A284),tbl_Onsite[Job Number],0)))="","",INDEX(tbl_Onsite[Job Description],IFERROR(MATCH(A284&amp;"",tbl_Onsite[Job Number],0),MATCH(IFERROR(A284+0,A284),tbl_Onsite[Job Number],0)))),IFERROR(IF(INDEX(tbl_Production[Job Description],IFERROR(MATCH(A284&amp;"",tbl_Production[Job Number],0),MATCH(IFERROR(A284+0,A284),tbl_Production[Job Number],0)))="","",INDEX(tbl_Production[Job Description],IFERROR(MATCH(A284&amp;"",tbl_Production[Job Number],0),MATCH(IFERROR(A284+0,A284),tbl_Production[Job Number],0)))),IFERROR(IF(INDEX(tbl_Consulting[Job Description],IFERROR(MATCH(A284&amp;"",tbl_Consulting[Job Number],0),MATCH(IFERROR(A284+0,A284),tbl_Consulting[Job Number],0)))="","",INDEX(tbl_Consulting[Job Description],IFERROR(MATCH(A284&amp;"",tbl_Consulting[Job Number],0),MATCH(IFERROR(A284+0,A284),tbl_Consulting[Job Number],0)))),""))))</f>
        <v/>
      </c>
      <c r="L284" s="26">
        <f>IF(A284="","",IFERROR(IF(INDEX(tbl_Onsite[Invoice Type],IFERROR(MATCH(A284&amp;"",tbl_Onsite[Job Number],0),MATCH(IFERROR(A284+0,A284),tbl_Onsite[Job Number],0)))="","",INDEX(tbl_Onsite[Invoice Type],IFERROR(MATCH(A284&amp;"",tbl_Onsite[Job Number],0),MATCH(IFERROR(A284+0,A284),tbl_Onsite[Job Number],0)))),IFERROR(IF(INDEX(tbl_Production[Invoice Type],IFERROR(MATCH(A284&amp;"",tbl_Production[Job Number],0),MATCH(IFERROR(A284+0,A284),tbl_Production[Job Number],0)))="","",INDEX(tbl_Production[Invoice Type],IFERROR(MATCH(A284&amp;"",tbl_Production[Job Number],0),MATCH(IFERROR(A284+0,A284),tbl_Production[Job Number],0)))),IFERROR(IF(INDEX(tbl_Consulting[Invoice Type],IFERROR(MATCH(A284&amp;"",tbl_Consulting[Job Number],0),MATCH(IFERROR(A284+0,A284),tbl_Consulting[Job Number],0)))="","",INDEX(tbl_Consulting[Invoice Type],IFERROR(MATCH(A284&amp;"",tbl_Consulting[Job Number],0),MATCH(IFERROR(A284+0,A284),tbl_Consulting[Job Number],0)))),""))))</f>
        <v/>
      </c>
      <c r="M284" s="26">
        <f>IF(A284="","",IF(IFERROR(IF(INDEX(tbl_Onsite[Tax Code],IFERROR(MATCH(A284&amp;"",tbl_Onsite[Job Number],0),MATCH(IFERROR(A284+0,A284),tbl_Onsite[Job Number],0)))="","",INDEX(tbl_Onsite[Tax Code],IFERROR(MATCH(A284&amp;"",tbl_Onsite[Job Number],0),MATCH(IFERROR(A284+0,A284),tbl_Onsite[Job Number],0)))),IFERROR(IF(INDEX(tbl_Production[Tax Code],IFERROR(MATCH(A284&amp;"",tbl_Production[Job Number],0),MATCH(IFERROR(A284+0,A284),tbl_Production[Job Number],0)))="","",INDEX(tbl_Production[Tax Code],IFERROR(MATCH(A284&amp;"",tbl_Production[Job Number],0),MATCH(IFERROR(A284+0,A284),tbl_Production[Job Number],0)))),IFERROR(IF(INDEX(tbl_Consulting[Tax Code],IFERROR(MATCH(A284&amp;"",tbl_Consulting[Job Number],0),MATCH(IFERROR(A284+0,A284),tbl_Consulting[Job Number],0)))="","",INDEX(tbl_Consulting[Tax Code],IFERROR(MATCH(A284&amp;"",tbl_Consulting[Job Number],0),MATCH(IFERROR(A284+0,A284),tbl_Consulting[Job Number],0)))),"")))="","GST 10%",IFERROR(IF(INDEX(tbl_Onsite[Tax Code],IFERROR(MATCH(A284&amp;"",tbl_Onsite[Job Number],0),MATCH(IFERROR(A284+0,A284),tbl_Onsite[Job Number],0)))="","",INDEX(tbl_Onsite[Tax Code],IFERROR(MATCH(A284&amp;"",tbl_Onsite[Job Number],0),MATCH(IFERROR(A284+0,A284),tbl_Onsite[Job Number],0)))),IFERROR(IF(INDEX(tbl_Production[Tax Code],IFERROR(MATCH(A284&amp;"",tbl_Production[Job Number],0),MATCH(IFERROR(A284+0,A284),tbl_Production[Job Number],0)))="","",INDEX(tbl_Production[Tax Code],IFERROR(MATCH(A284&amp;"",tbl_Production[Job Number],0),MATCH(IFERROR(A284+0,A284),tbl_Production[Job Number],0)))),IFERROR(IF(INDEX(tbl_Consulting[Tax Code],IFERROR(MATCH(A284&amp;"",tbl_Consulting[Job Number],0),MATCH(IFERROR(A284+0,A284),tbl_Consulting[Job Number],0)))="","",INDEX(tbl_Consulting[Tax Code],IFERROR(MATCH(A284&amp;"",tbl_Consulting[Job Number],0),MATCH(IFERROR(A284+0,A284),tbl_Consulting[Job Number],0)))),"")))))</f>
        <v/>
      </c>
      <c r="N284" s="26">
        <f>IF(D284="","",IFERROR(INDEX(lst_CCtoGL,MATCH(D284,lst_CCforGL,0)),""))</f>
        <v/>
      </c>
      <c r="O284" s="27">
        <f>IF(E284="","",IF(M284="GST 10%",ROUND(E284*set_GSTRate,2),0))</f>
        <v/>
      </c>
      <c r="P284" s="27">
        <f>IF(E284="","",E284+O284)</f>
        <v/>
      </c>
      <c r="Q284" s="27">
        <f>IF(A284="","",IFERROR(INDEX(tbl_Onsite[Expected Revenue Ex GST],IFERROR(MATCH(A284&amp;"",tbl_Onsite[Job Number],0),MATCH(IFERROR(A284+0,A284),tbl_Onsite[Job Number],0))),IFERROR(INDEX(tbl_Production[Expected Revenue Ex GST],IFERROR(MATCH(A284&amp;"",tbl_Production[Job Number],0),MATCH(IFERROR(A284+0,A284),tbl_Production[Job Number],0))),IFERROR(INDEX(tbl_Consulting[Expected Revenue Ex GST],IFERROR(MATCH(A284&amp;"",tbl_Consulting[Job Number],0),MATCH(IFERROR(A284+0,A284),tbl_Consulting[Job Number],0))),0))))</f>
        <v/>
      </c>
      <c r="R284" s="27">
        <f>IF(A284="","",SUMIFS(tbl_Finance[Ex GST],tbl_Finance[Job Number],A284&amp;""))</f>
        <v/>
      </c>
      <c r="S284" s="27">
        <f>IF(A284="","",Q284-R284)</f>
        <v/>
      </c>
      <c r="T284" s="26">
        <f>IF(A284="","",IF(Q284=0,"No dept value",IF(ROUND(S284,2)=0,"Agrees",IF(S284&gt;0,"Dept higher - to invoice","Xero higher - check dept"))))</f>
        <v/>
      </c>
      <c r="U284" s="22" t="n"/>
      <c r="V284" s="22" t="n"/>
      <c r="W284" s="23" t="n"/>
      <c r="X284" s="23" t="n"/>
      <c r="Y284" s="22" t="n"/>
      <c r="Z284" s="22" t="n"/>
      <c r="AA284" s="26">
        <f>IF(COUNTA(C284,A284,B284,E284)=0,"",IF(C284="","No date - sits outside every month",IF(A284="","No job number",IF(H284="CHECK","Job number is not in the Xero job list",IF(G284="not set up yet","No department has set this job up - nothing can pull through",IF(D284="","No cost centre",IF(AND(U284="Y",B284=""),"Marked posted to Xero but has no invoice number",IF(N284="","Cost centre has no revenue GL on the Lists sheet",IF(T284="Xero higher - check dept","Invoiced more than the department says the job is worth","")))))))))</f>
        <v/>
      </c>
      <c r="AB284" s="28">
        <f>IF(A284="","",COUNTIFS(tbl_Finance[Job Number],A284&amp;"",tbl_Finance[Ex GST],"&lt;&gt;"))</f>
        <v/>
      </c>
      <c r="AC284" s="27">
        <f>IF(A284="","",SUMIFS(tbl_Finance[Ex GST],tbl_Finance[Job Number],A284&amp;""))</f>
        <v/>
      </c>
      <c r="AD284" s="27">
        <f>IF(A284="","",SUMIFS(tbl_Finance[Ex GST],tbl_Finance[Job Number],A284&amp;"",tbl_Finance[Xero Invoice No],"&lt;&gt;"))</f>
        <v/>
      </c>
      <c r="AE284" s="27">
        <f>IF(A284="","",AC284-AD284)</f>
        <v/>
      </c>
      <c r="AF284" s="26">
        <f>IF(A284="","",IFERROR(IF(INDEX(tbl_Onsite[Qwilr Quote],IFERROR(MATCH(A284&amp;"",tbl_Onsite[Job Number],0),MATCH(IFERROR(A284+0,A284),tbl_Onsite[Job Number],0)))="","",INDEX(tbl_Onsite[Qwilr Quote],IFERROR(MATCH(A284&amp;"",tbl_Onsite[Job Number],0),MATCH(IFERROR(A284+0,A284),tbl_Onsite[Job Number],0)))),IFERROR(IF(IF(INDEX(tbl_Production[Current RMS No],IFERROR(MATCH(A284&amp;"",tbl_Production[Job Number],0),MATCH(IFERROR(A284+0,A284),tbl_Production[Job Number],0)))="",INDEX(tbl_Production[Qwilr Quote],IFERROR(MATCH(A284&amp;"",tbl_Production[Job Number],0),MATCH(IFERROR(A284+0,A284),tbl_Production[Job Number],0))),INDEX(tbl_Production[Current RMS No],IFERROR(MATCH(A284&amp;"",tbl_Production[Job Number],0),MATCH(IFERROR(A284+0,A284),tbl_Production[Job Number],0))))="","",IF(INDEX(tbl_Production[Current RMS No],IFERROR(MATCH(A284&amp;"",tbl_Production[Job Number],0),MATCH(IFERROR(A284+0,A284),tbl_Production[Job Number],0)))="",INDEX(tbl_Production[Qwilr Quote],IFERROR(MATCH(A284&amp;"",tbl_Production[Job Number],0),MATCH(IFERROR(A284+0,A284),tbl_Production[Job Number],0))),INDEX(tbl_Production[Current RMS No],IFERROR(MATCH(A284&amp;"",tbl_Production[Job Number],0),MATCH(IFERROR(A284+0,A284),tbl_Production[Job Number],0))))),IFERROR(IF(INDEX(tbl_Consulting[Qwilr Quote],IFERROR(MATCH(A284&amp;"",tbl_Consulting[Job Number],0),MATCH(IFERROR(A284+0,A284),tbl_Consulting[Job Number],0)))="","",INDEX(tbl_Consulting[Qwilr Quote],IFERROR(MATCH(A284&amp;"",tbl_Consulting[Job Number],0),MATCH(IFERROR(A284+0,A284),tbl_Consulting[Job Number],0)))),""))))</f>
        <v/>
      </c>
      <c r="AG284" s="26">
        <f>IF(AF284="","",IF(AND(LEFT(AF284,4)&lt;&gt;"http",IF(G284="Production",set_RMSBase,set_QwilrBase)=""),"",HYPERLINK(IF(LEFT(AF284,4)="http",AF284,IF(G284="Production",set_RMSBase,set_QwilrBase)&amp;AF284),"Open")))</f>
        <v/>
      </c>
      <c r="AH284" s="27">
        <f>IF(A284="","",IFERROR(INDEX(tbl_Production[Total Expense],IFERROR(MATCH(A284&amp;"",tbl_Production[Job Number],0),MATCH(IFERROR(A284+0,A284),tbl_Production[Job Number],0))),IFERROR(INDEX(tbl_Consulting[Total Expense],IFERROR(MATCH(A284&amp;"",tbl_Consulting[Job Number],0),MATCH(IFERROR(A284+0,A284),tbl_Consulting[Job Number],0))),0)))</f>
        <v/>
      </c>
      <c r="AI284" s="27">
        <f>IF(A284="","",AC284-N(AH284))</f>
        <v/>
      </c>
      <c r="AJ284" s="29">
        <f>IFERROR(AI284/AC284,"")</f>
        <v/>
      </c>
      <c r="AK284" s="26">
        <f>IF(A284="","",IFERROR(IF(INDEX(tbl_Onsite[Notes],IFERROR(MATCH(A284&amp;"",tbl_Onsite[Job Number],0),MATCH(IFERROR(A284+0,A284),tbl_Onsite[Job Number],0)))="","",INDEX(tbl_Onsite[Notes],IFERROR(MATCH(A284&amp;"",tbl_Onsite[Job Number],0),MATCH(IFERROR(A284+0,A284),tbl_Onsite[Job Number],0)))),IFERROR(IF(INDEX(tbl_Production[Notes],IFERROR(MATCH(A284&amp;"",tbl_Production[Job Number],0),MATCH(IFERROR(A284+0,A284),tbl_Production[Job Number],0)))="","",INDEX(tbl_Production[Notes],IFERROR(MATCH(A284&amp;"",tbl_Production[Job Number],0),MATCH(IFERROR(A284+0,A284),tbl_Production[Job Number],0)))),IFERROR(IF(INDEX(tbl_Consulting[Notes],IFERROR(MATCH(A284&amp;"",tbl_Consulting[Job Number],0),MATCH(IFERROR(A284+0,A284),tbl_Consulting[Job Number],0)))="","",INDEX(tbl_Consulting[Notes],IFERROR(MATCH(A284&amp;"",tbl_Consulting[Job Number],0),MATCH(IFERROR(A284+0,A284),tbl_Consulting[Job Number],0)))),""))))</f>
        <v/>
      </c>
    </row>
    <row r="285" ht="15" customHeight="1">
      <c r="A285" s="22" t="n"/>
      <c r="B285" s="22" t="n"/>
      <c r="C285" s="23" t="n"/>
      <c r="D285" s="22" t="n"/>
      <c r="E285" s="24" t="n"/>
      <c r="F285" s="25">
        <f>IF(C285="","",EOMONTH(C285,0))</f>
        <v/>
      </c>
      <c r="G285" s="26">
        <f>IF(A285="","",IF(COUNTIF(tbl_Onsite[Job Number],A285&amp;"")&gt;0,"Onsite",IF(COUNTIF(tbl_Production[Job Number],A285&amp;"")&gt;0,"Production",IF(COUNTIF(tbl_Consulting[Job Number],A285&amp;"")&gt;0,"Consulting","not set up yet"))))</f>
        <v/>
      </c>
      <c r="H285" s="26">
        <f>IF(A285="","",IF(COUNTIF(lst_Jobs,A285&amp;"")&gt;0,"OK","CHECK"))</f>
        <v/>
      </c>
      <c r="I285" s="26">
        <f>IF(A285="","",IFERROR(INDEX(lst_JobName,MATCH(A285&amp;"",lst_Jobs,0)),""))</f>
        <v/>
      </c>
      <c r="J285" s="26">
        <f>IF(A285="","",IFERROR(IF(INDEX(tbl_Onsite[Client],IFERROR(MATCH(A285&amp;"",tbl_Onsite[Job Number],0),MATCH(IFERROR(A285+0,A285),tbl_Onsite[Job Number],0)))="","",INDEX(tbl_Onsite[Client],IFERROR(MATCH(A285&amp;"",tbl_Onsite[Job Number],0),MATCH(IFERROR(A285+0,A285),tbl_Onsite[Job Number],0)))),IFERROR(IF(INDEX(tbl_Production[Client],IFERROR(MATCH(A285&amp;"",tbl_Production[Job Number],0),MATCH(IFERROR(A285+0,A285),tbl_Production[Job Number],0)))="","",INDEX(tbl_Production[Client],IFERROR(MATCH(A285&amp;"",tbl_Production[Job Number],0),MATCH(IFERROR(A285+0,A285),tbl_Production[Job Number],0)))),IFERROR(IF(INDEX(tbl_Consulting[Client],IFERROR(MATCH(A285&amp;"",tbl_Consulting[Job Number],0),MATCH(IFERROR(A285+0,A285),tbl_Consulting[Job Number],0)))="","",INDEX(tbl_Consulting[Client],IFERROR(MATCH(A285&amp;"",tbl_Consulting[Job Number],0),MATCH(IFERROR(A285+0,A285),tbl_Consulting[Job Number],0)))),""))))</f>
        <v/>
      </c>
      <c r="K285" s="26">
        <f>IF(A285="","",IFERROR(IF(INDEX(tbl_Onsite[Job Description],IFERROR(MATCH(A285&amp;"",tbl_Onsite[Job Number],0),MATCH(IFERROR(A285+0,A285),tbl_Onsite[Job Number],0)))="","",INDEX(tbl_Onsite[Job Description],IFERROR(MATCH(A285&amp;"",tbl_Onsite[Job Number],0),MATCH(IFERROR(A285+0,A285),tbl_Onsite[Job Number],0)))),IFERROR(IF(INDEX(tbl_Production[Job Description],IFERROR(MATCH(A285&amp;"",tbl_Production[Job Number],0),MATCH(IFERROR(A285+0,A285),tbl_Production[Job Number],0)))="","",INDEX(tbl_Production[Job Description],IFERROR(MATCH(A285&amp;"",tbl_Production[Job Number],0),MATCH(IFERROR(A285+0,A285),tbl_Production[Job Number],0)))),IFERROR(IF(INDEX(tbl_Consulting[Job Description],IFERROR(MATCH(A285&amp;"",tbl_Consulting[Job Number],0),MATCH(IFERROR(A285+0,A285),tbl_Consulting[Job Number],0)))="","",INDEX(tbl_Consulting[Job Description],IFERROR(MATCH(A285&amp;"",tbl_Consulting[Job Number],0),MATCH(IFERROR(A285+0,A285),tbl_Consulting[Job Number],0)))),""))))</f>
        <v/>
      </c>
      <c r="L285" s="26">
        <f>IF(A285="","",IFERROR(IF(INDEX(tbl_Onsite[Invoice Type],IFERROR(MATCH(A285&amp;"",tbl_Onsite[Job Number],0),MATCH(IFERROR(A285+0,A285),tbl_Onsite[Job Number],0)))="","",INDEX(tbl_Onsite[Invoice Type],IFERROR(MATCH(A285&amp;"",tbl_Onsite[Job Number],0),MATCH(IFERROR(A285+0,A285),tbl_Onsite[Job Number],0)))),IFERROR(IF(INDEX(tbl_Production[Invoice Type],IFERROR(MATCH(A285&amp;"",tbl_Production[Job Number],0),MATCH(IFERROR(A285+0,A285),tbl_Production[Job Number],0)))="","",INDEX(tbl_Production[Invoice Type],IFERROR(MATCH(A285&amp;"",tbl_Production[Job Number],0),MATCH(IFERROR(A285+0,A285),tbl_Production[Job Number],0)))),IFERROR(IF(INDEX(tbl_Consulting[Invoice Type],IFERROR(MATCH(A285&amp;"",tbl_Consulting[Job Number],0),MATCH(IFERROR(A285+0,A285),tbl_Consulting[Job Number],0)))="","",INDEX(tbl_Consulting[Invoice Type],IFERROR(MATCH(A285&amp;"",tbl_Consulting[Job Number],0),MATCH(IFERROR(A285+0,A285),tbl_Consulting[Job Number],0)))),""))))</f>
        <v/>
      </c>
      <c r="M285" s="26">
        <f>IF(A285="","",IF(IFERROR(IF(INDEX(tbl_Onsite[Tax Code],IFERROR(MATCH(A285&amp;"",tbl_Onsite[Job Number],0),MATCH(IFERROR(A285+0,A285),tbl_Onsite[Job Number],0)))="","",INDEX(tbl_Onsite[Tax Code],IFERROR(MATCH(A285&amp;"",tbl_Onsite[Job Number],0),MATCH(IFERROR(A285+0,A285),tbl_Onsite[Job Number],0)))),IFERROR(IF(INDEX(tbl_Production[Tax Code],IFERROR(MATCH(A285&amp;"",tbl_Production[Job Number],0),MATCH(IFERROR(A285+0,A285),tbl_Production[Job Number],0)))="","",INDEX(tbl_Production[Tax Code],IFERROR(MATCH(A285&amp;"",tbl_Production[Job Number],0),MATCH(IFERROR(A285+0,A285),tbl_Production[Job Number],0)))),IFERROR(IF(INDEX(tbl_Consulting[Tax Code],IFERROR(MATCH(A285&amp;"",tbl_Consulting[Job Number],0),MATCH(IFERROR(A285+0,A285),tbl_Consulting[Job Number],0)))="","",INDEX(tbl_Consulting[Tax Code],IFERROR(MATCH(A285&amp;"",tbl_Consulting[Job Number],0),MATCH(IFERROR(A285+0,A285),tbl_Consulting[Job Number],0)))),"")))="","GST 10%",IFERROR(IF(INDEX(tbl_Onsite[Tax Code],IFERROR(MATCH(A285&amp;"",tbl_Onsite[Job Number],0),MATCH(IFERROR(A285+0,A285),tbl_Onsite[Job Number],0)))="","",INDEX(tbl_Onsite[Tax Code],IFERROR(MATCH(A285&amp;"",tbl_Onsite[Job Number],0),MATCH(IFERROR(A285+0,A285),tbl_Onsite[Job Number],0)))),IFERROR(IF(INDEX(tbl_Production[Tax Code],IFERROR(MATCH(A285&amp;"",tbl_Production[Job Number],0),MATCH(IFERROR(A285+0,A285),tbl_Production[Job Number],0)))="","",INDEX(tbl_Production[Tax Code],IFERROR(MATCH(A285&amp;"",tbl_Production[Job Number],0),MATCH(IFERROR(A285+0,A285),tbl_Production[Job Number],0)))),IFERROR(IF(INDEX(tbl_Consulting[Tax Code],IFERROR(MATCH(A285&amp;"",tbl_Consulting[Job Number],0),MATCH(IFERROR(A285+0,A285),tbl_Consulting[Job Number],0)))="","",INDEX(tbl_Consulting[Tax Code],IFERROR(MATCH(A285&amp;"",tbl_Consulting[Job Number],0),MATCH(IFERROR(A285+0,A285),tbl_Consulting[Job Number],0)))),"")))))</f>
        <v/>
      </c>
      <c r="N285" s="26">
        <f>IF(D285="","",IFERROR(INDEX(lst_CCtoGL,MATCH(D285,lst_CCforGL,0)),""))</f>
        <v/>
      </c>
      <c r="O285" s="27">
        <f>IF(E285="","",IF(M285="GST 10%",ROUND(E285*set_GSTRate,2),0))</f>
        <v/>
      </c>
      <c r="P285" s="27">
        <f>IF(E285="","",E285+O285)</f>
        <v/>
      </c>
      <c r="Q285" s="27">
        <f>IF(A285="","",IFERROR(INDEX(tbl_Onsite[Expected Revenue Ex GST],IFERROR(MATCH(A285&amp;"",tbl_Onsite[Job Number],0),MATCH(IFERROR(A285+0,A285),tbl_Onsite[Job Number],0))),IFERROR(INDEX(tbl_Production[Expected Revenue Ex GST],IFERROR(MATCH(A285&amp;"",tbl_Production[Job Number],0),MATCH(IFERROR(A285+0,A285),tbl_Production[Job Number],0))),IFERROR(INDEX(tbl_Consulting[Expected Revenue Ex GST],IFERROR(MATCH(A285&amp;"",tbl_Consulting[Job Number],0),MATCH(IFERROR(A285+0,A285),tbl_Consulting[Job Number],0))),0))))</f>
        <v/>
      </c>
      <c r="R285" s="27">
        <f>IF(A285="","",SUMIFS(tbl_Finance[Ex GST],tbl_Finance[Job Number],A285&amp;""))</f>
        <v/>
      </c>
      <c r="S285" s="27">
        <f>IF(A285="","",Q285-R285)</f>
        <v/>
      </c>
      <c r="T285" s="26">
        <f>IF(A285="","",IF(Q285=0,"No dept value",IF(ROUND(S285,2)=0,"Agrees",IF(S285&gt;0,"Dept higher - to invoice","Xero higher - check dept"))))</f>
        <v/>
      </c>
      <c r="U285" s="22" t="n"/>
      <c r="V285" s="22" t="n"/>
      <c r="W285" s="23" t="n"/>
      <c r="X285" s="23" t="n"/>
      <c r="Y285" s="22" t="n"/>
      <c r="Z285" s="22" t="n"/>
      <c r="AA285" s="26">
        <f>IF(COUNTA(C285,A285,B285,E285)=0,"",IF(C285="","No date - sits outside every month",IF(A285="","No job number",IF(H285="CHECK","Job number is not in the Xero job list",IF(G285="not set up yet","No department has set this job up - nothing can pull through",IF(D285="","No cost centre",IF(AND(U285="Y",B285=""),"Marked posted to Xero but has no invoice number",IF(N285="","Cost centre has no revenue GL on the Lists sheet",IF(T285="Xero higher - check dept","Invoiced more than the department says the job is worth","")))))))))</f>
        <v/>
      </c>
      <c r="AB285" s="28">
        <f>IF(A285="","",COUNTIFS(tbl_Finance[Job Number],A285&amp;"",tbl_Finance[Ex GST],"&lt;&gt;"))</f>
        <v/>
      </c>
      <c r="AC285" s="27">
        <f>IF(A285="","",SUMIFS(tbl_Finance[Ex GST],tbl_Finance[Job Number],A285&amp;""))</f>
        <v/>
      </c>
      <c r="AD285" s="27">
        <f>IF(A285="","",SUMIFS(tbl_Finance[Ex GST],tbl_Finance[Job Number],A285&amp;"",tbl_Finance[Xero Invoice No],"&lt;&gt;"))</f>
        <v/>
      </c>
      <c r="AE285" s="27">
        <f>IF(A285="","",AC285-AD285)</f>
        <v/>
      </c>
      <c r="AF285" s="26">
        <f>IF(A285="","",IFERROR(IF(INDEX(tbl_Onsite[Qwilr Quote],IFERROR(MATCH(A285&amp;"",tbl_Onsite[Job Number],0),MATCH(IFERROR(A285+0,A285),tbl_Onsite[Job Number],0)))="","",INDEX(tbl_Onsite[Qwilr Quote],IFERROR(MATCH(A285&amp;"",tbl_Onsite[Job Number],0),MATCH(IFERROR(A285+0,A285),tbl_Onsite[Job Number],0)))),IFERROR(IF(IF(INDEX(tbl_Production[Current RMS No],IFERROR(MATCH(A285&amp;"",tbl_Production[Job Number],0),MATCH(IFERROR(A285+0,A285),tbl_Production[Job Number],0)))="",INDEX(tbl_Production[Qwilr Quote],IFERROR(MATCH(A285&amp;"",tbl_Production[Job Number],0),MATCH(IFERROR(A285+0,A285),tbl_Production[Job Number],0))),INDEX(tbl_Production[Current RMS No],IFERROR(MATCH(A285&amp;"",tbl_Production[Job Number],0),MATCH(IFERROR(A285+0,A285),tbl_Production[Job Number],0))))="","",IF(INDEX(tbl_Production[Current RMS No],IFERROR(MATCH(A285&amp;"",tbl_Production[Job Number],0),MATCH(IFERROR(A285+0,A285),tbl_Production[Job Number],0)))="",INDEX(tbl_Production[Qwilr Quote],IFERROR(MATCH(A285&amp;"",tbl_Production[Job Number],0),MATCH(IFERROR(A285+0,A285),tbl_Production[Job Number],0))),INDEX(tbl_Production[Current RMS No],IFERROR(MATCH(A285&amp;"",tbl_Production[Job Number],0),MATCH(IFERROR(A285+0,A285),tbl_Production[Job Number],0))))),IFERROR(IF(INDEX(tbl_Consulting[Qwilr Quote],IFERROR(MATCH(A285&amp;"",tbl_Consulting[Job Number],0),MATCH(IFERROR(A285+0,A285),tbl_Consulting[Job Number],0)))="","",INDEX(tbl_Consulting[Qwilr Quote],IFERROR(MATCH(A285&amp;"",tbl_Consulting[Job Number],0),MATCH(IFERROR(A285+0,A285),tbl_Consulting[Job Number],0)))),""))))</f>
        <v/>
      </c>
      <c r="AG285" s="26">
        <f>IF(AF285="","",IF(AND(LEFT(AF285,4)&lt;&gt;"http",IF(G285="Production",set_RMSBase,set_QwilrBase)=""),"",HYPERLINK(IF(LEFT(AF285,4)="http",AF285,IF(G285="Production",set_RMSBase,set_QwilrBase)&amp;AF285),"Open")))</f>
        <v/>
      </c>
      <c r="AH285" s="27">
        <f>IF(A285="","",IFERROR(INDEX(tbl_Production[Total Expense],IFERROR(MATCH(A285&amp;"",tbl_Production[Job Number],0),MATCH(IFERROR(A285+0,A285),tbl_Production[Job Number],0))),IFERROR(INDEX(tbl_Consulting[Total Expense],IFERROR(MATCH(A285&amp;"",tbl_Consulting[Job Number],0),MATCH(IFERROR(A285+0,A285),tbl_Consulting[Job Number],0))),0)))</f>
        <v/>
      </c>
      <c r="AI285" s="27">
        <f>IF(A285="","",AC285-N(AH285))</f>
        <v/>
      </c>
      <c r="AJ285" s="29">
        <f>IFERROR(AI285/AC285,"")</f>
        <v/>
      </c>
      <c r="AK285" s="26">
        <f>IF(A285="","",IFERROR(IF(INDEX(tbl_Onsite[Notes],IFERROR(MATCH(A285&amp;"",tbl_Onsite[Job Number],0),MATCH(IFERROR(A285+0,A285),tbl_Onsite[Job Number],0)))="","",INDEX(tbl_Onsite[Notes],IFERROR(MATCH(A285&amp;"",tbl_Onsite[Job Number],0),MATCH(IFERROR(A285+0,A285),tbl_Onsite[Job Number],0)))),IFERROR(IF(INDEX(tbl_Production[Notes],IFERROR(MATCH(A285&amp;"",tbl_Production[Job Number],0),MATCH(IFERROR(A285+0,A285),tbl_Production[Job Number],0)))="","",INDEX(tbl_Production[Notes],IFERROR(MATCH(A285&amp;"",tbl_Production[Job Number],0),MATCH(IFERROR(A285+0,A285),tbl_Production[Job Number],0)))),IFERROR(IF(INDEX(tbl_Consulting[Notes],IFERROR(MATCH(A285&amp;"",tbl_Consulting[Job Number],0),MATCH(IFERROR(A285+0,A285),tbl_Consulting[Job Number],0)))="","",INDEX(tbl_Consulting[Notes],IFERROR(MATCH(A285&amp;"",tbl_Consulting[Job Number],0),MATCH(IFERROR(A285+0,A285),tbl_Consulting[Job Number],0)))),""))))</f>
        <v/>
      </c>
    </row>
    <row r="286" ht="15" customHeight="1">
      <c r="A286" s="22" t="n"/>
      <c r="B286" s="22" t="n"/>
      <c r="C286" s="23" t="n"/>
      <c r="D286" s="22" t="n"/>
      <c r="E286" s="24" t="n"/>
      <c r="F286" s="25">
        <f>IF(C286="","",EOMONTH(C286,0))</f>
        <v/>
      </c>
      <c r="G286" s="26">
        <f>IF(A286="","",IF(COUNTIF(tbl_Onsite[Job Number],A286&amp;"")&gt;0,"Onsite",IF(COUNTIF(tbl_Production[Job Number],A286&amp;"")&gt;0,"Production",IF(COUNTIF(tbl_Consulting[Job Number],A286&amp;"")&gt;0,"Consulting","not set up yet"))))</f>
        <v/>
      </c>
      <c r="H286" s="26">
        <f>IF(A286="","",IF(COUNTIF(lst_Jobs,A286&amp;"")&gt;0,"OK","CHECK"))</f>
        <v/>
      </c>
      <c r="I286" s="26">
        <f>IF(A286="","",IFERROR(INDEX(lst_JobName,MATCH(A286&amp;"",lst_Jobs,0)),""))</f>
        <v/>
      </c>
      <c r="J286" s="26">
        <f>IF(A286="","",IFERROR(IF(INDEX(tbl_Onsite[Client],IFERROR(MATCH(A286&amp;"",tbl_Onsite[Job Number],0),MATCH(IFERROR(A286+0,A286),tbl_Onsite[Job Number],0)))="","",INDEX(tbl_Onsite[Client],IFERROR(MATCH(A286&amp;"",tbl_Onsite[Job Number],0),MATCH(IFERROR(A286+0,A286),tbl_Onsite[Job Number],0)))),IFERROR(IF(INDEX(tbl_Production[Client],IFERROR(MATCH(A286&amp;"",tbl_Production[Job Number],0),MATCH(IFERROR(A286+0,A286),tbl_Production[Job Number],0)))="","",INDEX(tbl_Production[Client],IFERROR(MATCH(A286&amp;"",tbl_Production[Job Number],0),MATCH(IFERROR(A286+0,A286),tbl_Production[Job Number],0)))),IFERROR(IF(INDEX(tbl_Consulting[Client],IFERROR(MATCH(A286&amp;"",tbl_Consulting[Job Number],0),MATCH(IFERROR(A286+0,A286),tbl_Consulting[Job Number],0)))="","",INDEX(tbl_Consulting[Client],IFERROR(MATCH(A286&amp;"",tbl_Consulting[Job Number],0),MATCH(IFERROR(A286+0,A286),tbl_Consulting[Job Number],0)))),""))))</f>
        <v/>
      </c>
      <c r="K286" s="26">
        <f>IF(A286="","",IFERROR(IF(INDEX(tbl_Onsite[Job Description],IFERROR(MATCH(A286&amp;"",tbl_Onsite[Job Number],0),MATCH(IFERROR(A286+0,A286),tbl_Onsite[Job Number],0)))="","",INDEX(tbl_Onsite[Job Description],IFERROR(MATCH(A286&amp;"",tbl_Onsite[Job Number],0),MATCH(IFERROR(A286+0,A286),tbl_Onsite[Job Number],0)))),IFERROR(IF(INDEX(tbl_Production[Job Description],IFERROR(MATCH(A286&amp;"",tbl_Production[Job Number],0),MATCH(IFERROR(A286+0,A286),tbl_Production[Job Number],0)))="","",INDEX(tbl_Production[Job Description],IFERROR(MATCH(A286&amp;"",tbl_Production[Job Number],0),MATCH(IFERROR(A286+0,A286),tbl_Production[Job Number],0)))),IFERROR(IF(INDEX(tbl_Consulting[Job Description],IFERROR(MATCH(A286&amp;"",tbl_Consulting[Job Number],0),MATCH(IFERROR(A286+0,A286),tbl_Consulting[Job Number],0)))="","",INDEX(tbl_Consulting[Job Description],IFERROR(MATCH(A286&amp;"",tbl_Consulting[Job Number],0),MATCH(IFERROR(A286+0,A286),tbl_Consulting[Job Number],0)))),""))))</f>
        <v/>
      </c>
      <c r="L286" s="26">
        <f>IF(A286="","",IFERROR(IF(INDEX(tbl_Onsite[Invoice Type],IFERROR(MATCH(A286&amp;"",tbl_Onsite[Job Number],0),MATCH(IFERROR(A286+0,A286),tbl_Onsite[Job Number],0)))="","",INDEX(tbl_Onsite[Invoice Type],IFERROR(MATCH(A286&amp;"",tbl_Onsite[Job Number],0),MATCH(IFERROR(A286+0,A286),tbl_Onsite[Job Number],0)))),IFERROR(IF(INDEX(tbl_Production[Invoice Type],IFERROR(MATCH(A286&amp;"",tbl_Production[Job Number],0),MATCH(IFERROR(A286+0,A286),tbl_Production[Job Number],0)))="","",INDEX(tbl_Production[Invoice Type],IFERROR(MATCH(A286&amp;"",tbl_Production[Job Number],0),MATCH(IFERROR(A286+0,A286),tbl_Production[Job Number],0)))),IFERROR(IF(INDEX(tbl_Consulting[Invoice Type],IFERROR(MATCH(A286&amp;"",tbl_Consulting[Job Number],0),MATCH(IFERROR(A286+0,A286),tbl_Consulting[Job Number],0)))="","",INDEX(tbl_Consulting[Invoice Type],IFERROR(MATCH(A286&amp;"",tbl_Consulting[Job Number],0),MATCH(IFERROR(A286+0,A286),tbl_Consulting[Job Number],0)))),""))))</f>
        <v/>
      </c>
      <c r="M286" s="26">
        <f>IF(A286="","",IF(IFERROR(IF(INDEX(tbl_Onsite[Tax Code],IFERROR(MATCH(A286&amp;"",tbl_Onsite[Job Number],0),MATCH(IFERROR(A286+0,A286),tbl_Onsite[Job Number],0)))="","",INDEX(tbl_Onsite[Tax Code],IFERROR(MATCH(A286&amp;"",tbl_Onsite[Job Number],0),MATCH(IFERROR(A286+0,A286),tbl_Onsite[Job Number],0)))),IFERROR(IF(INDEX(tbl_Production[Tax Code],IFERROR(MATCH(A286&amp;"",tbl_Production[Job Number],0),MATCH(IFERROR(A286+0,A286),tbl_Production[Job Number],0)))="","",INDEX(tbl_Production[Tax Code],IFERROR(MATCH(A286&amp;"",tbl_Production[Job Number],0),MATCH(IFERROR(A286+0,A286),tbl_Production[Job Number],0)))),IFERROR(IF(INDEX(tbl_Consulting[Tax Code],IFERROR(MATCH(A286&amp;"",tbl_Consulting[Job Number],0),MATCH(IFERROR(A286+0,A286),tbl_Consulting[Job Number],0)))="","",INDEX(tbl_Consulting[Tax Code],IFERROR(MATCH(A286&amp;"",tbl_Consulting[Job Number],0),MATCH(IFERROR(A286+0,A286),tbl_Consulting[Job Number],0)))),"")))="","GST 10%",IFERROR(IF(INDEX(tbl_Onsite[Tax Code],IFERROR(MATCH(A286&amp;"",tbl_Onsite[Job Number],0),MATCH(IFERROR(A286+0,A286),tbl_Onsite[Job Number],0)))="","",INDEX(tbl_Onsite[Tax Code],IFERROR(MATCH(A286&amp;"",tbl_Onsite[Job Number],0),MATCH(IFERROR(A286+0,A286),tbl_Onsite[Job Number],0)))),IFERROR(IF(INDEX(tbl_Production[Tax Code],IFERROR(MATCH(A286&amp;"",tbl_Production[Job Number],0),MATCH(IFERROR(A286+0,A286),tbl_Production[Job Number],0)))="","",INDEX(tbl_Production[Tax Code],IFERROR(MATCH(A286&amp;"",tbl_Production[Job Number],0),MATCH(IFERROR(A286+0,A286),tbl_Production[Job Number],0)))),IFERROR(IF(INDEX(tbl_Consulting[Tax Code],IFERROR(MATCH(A286&amp;"",tbl_Consulting[Job Number],0),MATCH(IFERROR(A286+0,A286),tbl_Consulting[Job Number],0)))="","",INDEX(tbl_Consulting[Tax Code],IFERROR(MATCH(A286&amp;"",tbl_Consulting[Job Number],0),MATCH(IFERROR(A286+0,A286),tbl_Consulting[Job Number],0)))),"")))))</f>
        <v/>
      </c>
      <c r="N286" s="26">
        <f>IF(D286="","",IFERROR(INDEX(lst_CCtoGL,MATCH(D286,lst_CCforGL,0)),""))</f>
        <v/>
      </c>
      <c r="O286" s="27">
        <f>IF(E286="","",IF(M286="GST 10%",ROUND(E286*set_GSTRate,2),0))</f>
        <v/>
      </c>
      <c r="P286" s="27">
        <f>IF(E286="","",E286+O286)</f>
        <v/>
      </c>
      <c r="Q286" s="27">
        <f>IF(A286="","",IFERROR(INDEX(tbl_Onsite[Expected Revenue Ex GST],IFERROR(MATCH(A286&amp;"",tbl_Onsite[Job Number],0),MATCH(IFERROR(A286+0,A286),tbl_Onsite[Job Number],0))),IFERROR(INDEX(tbl_Production[Expected Revenue Ex GST],IFERROR(MATCH(A286&amp;"",tbl_Production[Job Number],0),MATCH(IFERROR(A286+0,A286),tbl_Production[Job Number],0))),IFERROR(INDEX(tbl_Consulting[Expected Revenue Ex GST],IFERROR(MATCH(A286&amp;"",tbl_Consulting[Job Number],0),MATCH(IFERROR(A286+0,A286),tbl_Consulting[Job Number],0))),0))))</f>
        <v/>
      </c>
      <c r="R286" s="27">
        <f>IF(A286="","",SUMIFS(tbl_Finance[Ex GST],tbl_Finance[Job Number],A286&amp;""))</f>
        <v/>
      </c>
      <c r="S286" s="27">
        <f>IF(A286="","",Q286-R286)</f>
        <v/>
      </c>
      <c r="T286" s="26">
        <f>IF(A286="","",IF(Q286=0,"No dept value",IF(ROUND(S286,2)=0,"Agrees",IF(S286&gt;0,"Dept higher - to invoice","Xero higher - check dept"))))</f>
        <v/>
      </c>
      <c r="U286" s="22" t="n"/>
      <c r="V286" s="22" t="n"/>
      <c r="W286" s="23" t="n"/>
      <c r="X286" s="23" t="n"/>
      <c r="Y286" s="22" t="n"/>
      <c r="Z286" s="22" t="n"/>
      <c r="AA286" s="26">
        <f>IF(COUNTA(C286,A286,B286,E286)=0,"",IF(C286="","No date - sits outside every month",IF(A286="","No job number",IF(H286="CHECK","Job number is not in the Xero job list",IF(G286="not set up yet","No department has set this job up - nothing can pull through",IF(D286="","No cost centre",IF(AND(U286="Y",B286=""),"Marked posted to Xero but has no invoice number",IF(N286="","Cost centre has no revenue GL on the Lists sheet",IF(T286="Xero higher - check dept","Invoiced more than the department says the job is worth","")))))))))</f>
        <v/>
      </c>
      <c r="AB286" s="28">
        <f>IF(A286="","",COUNTIFS(tbl_Finance[Job Number],A286&amp;"",tbl_Finance[Ex GST],"&lt;&gt;"))</f>
        <v/>
      </c>
      <c r="AC286" s="27">
        <f>IF(A286="","",SUMIFS(tbl_Finance[Ex GST],tbl_Finance[Job Number],A286&amp;""))</f>
        <v/>
      </c>
      <c r="AD286" s="27">
        <f>IF(A286="","",SUMIFS(tbl_Finance[Ex GST],tbl_Finance[Job Number],A286&amp;"",tbl_Finance[Xero Invoice No],"&lt;&gt;"))</f>
        <v/>
      </c>
      <c r="AE286" s="27">
        <f>IF(A286="","",AC286-AD286)</f>
        <v/>
      </c>
      <c r="AF286" s="26">
        <f>IF(A286="","",IFERROR(IF(INDEX(tbl_Onsite[Qwilr Quote],IFERROR(MATCH(A286&amp;"",tbl_Onsite[Job Number],0),MATCH(IFERROR(A286+0,A286),tbl_Onsite[Job Number],0)))="","",INDEX(tbl_Onsite[Qwilr Quote],IFERROR(MATCH(A286&amp;"",tbl_Onsite[Job Number],0),MATCH(IFERROR(A286+0,A286),tbl_Onsite[Job Number],0)))),IFERROR(IF(IF(INDEX(tbl_Production[Current RMS No],IFERROR(MATCH(A286&amp;"",tbl_Production[Job Number],0),MATCH(IFERROR(A286+0,A286),tbl_Production[Job Number],0)))="",INDEX(tbl_Production[Qwilr Quote],IFERROR(MATCH(A286&amp;"",tbl_Production[Job Number],0),MATCH(IFERROR(A286+0,A286),tbl_Production[Job Number],0))),INDEX(tbl_Production[Current RMS No],IFERROR(MATCH(A286&amp;"",tbl_Production[Job Number],0),MATCH(IFERROR(A286+0,A286),tbl_Production[Job Number],0))))="","",IF(INDEX(tbl_Production[Current RMS No],IFERROR(MATCH(A286&amp;"",tbl_Production[Job Number],0),MATCH(IFERROR(A286+0,A286),tbl_Production[Job Number],0)))="",INDEX(tbl_Production[Qwilr Quote],IFERROR(MATCH(A286&amp;"",tbl_Production[Job Number],0),MATCH(IFERROR(A286+0,A286),tbl_Production[Job Number],0))),INDEX(tbl_Production[Current RMS No],IFERROR(MATCH(A286&amp;"",tbl_Production[Job Number],0),MATCH(IFERROR(A286+0,A286),tbl_Production[Job Number],0))))),IFERROR(IF(INDEX(tbl_Consulting[Qwilr Quote],IFERROR(MATCH(A286&amp;"",tbl_Consulting[Job Number],0),MATCH(IFERROR(A286+0,A286),tbl_Consulting[Job Number],0)))="","",INDEX(tbl_Consulting[Qwilr Quote],IFERROR(MATCH(A286&amp;"",tbl_Consulting[Job Number],0),MATCH(IFERROR(A286+0,A286),tbl_Consulting[Job Number],0)))),""))))</f>
        <v/>
      </c>
      <c r="AG286" s="26">
        <f>IF(AF286="","",IF(AND(LEFT(AF286,4)&lt;&gt;"http",IF(G286="Production",set_RMSBase,set_QwilrBase)=""),"",HYPERLINK(IF(LEFT(AF286,4)="http",AF286,IF(G286="Production",set_RMSBase,set_QwilrBase)&amp;AF286),"Open")))</f>
        <v/>
      </c>
      <c r="AH286" s="27">
        <f>IF(A286="","",IFERROR(INDEX(tbl_Production[Total Expense],IFERROR(MATCH(A286&amp;"",tbl_Production[Job Number],0),MATCH(IFERROR(A286+0,A286),tbl_Production[Job Number],0))),IFERROR(INDEX(tbl_Consulting[Total Expense],IFERROR(MATCH(A286&amp;"",tbl_Consulting[Job Number],0),MATCH(IFERROR(A286+0,A286),tbl_Consulting[Job Number],0))),0)))</f>
        <v/>
      </c>
      <c r="AI286" s="27">
        <f>IF(A286="","",AC286-N(AH286))</f>
        <v/>
      </c>
      <c r="AJ286" s="29">
        <f>IFERROR(AI286/AC286,"")</f>
        <v/>
      </c>
      <c r="AK286" s="26">
        <f>IF(A286="","",IFERROR(IF(INDEX(tbl_Onsite[Notes],IFERROR(MATCH(A286&amp;"",tbl_Onsite[Job Number],0),MATCH(IFERROR(A286+0,A286),tbl_Onsite[Job Number],0)))="","",INDEX(tbl_Onsite[Notes],IFERROR(MATCH(A286&amp;"",tbl_Onsite[Job Number],0),MATCH(IFERROR(A286+0,A286),tbl_Onsite[Job Number],0)))),IFERROR(IF(INDEX(tbl_Production[Notes],IFERROR(MATCH(A286&amp;"",tbl_Production[Job Number],0),MATCH(IFERROR(A286+0,A286),tbl_Production[Job Number],0)))="","",INDEX(tbl_Production[Notes],IFERROR(MATCH(A286&amp;"",tbl_Production[Job Number],0),MATCH(IFERROR(A286+0,A286),tbl_Production[Job Number],0)))),IFERROR(IF(INDEX(tbl_Consulting[Notes],IFERROR(MATCH(A286&amp;"",tbl_Consulting[Job Number],0),MATCH(IFERROR(A286+0,A286),tbl_Consulting[Job Number],0)))="","",INDEX(tbl_Consulting[Notes],IFERROR(MATCH(A286&amp;"",tbl_Consulting[Job Number],0),MATCH(IFERROR(A286+0,A286),tbl_Consulting[Job Number],0)))),""))))</f>
        <v/>
      </c>
    </row>
    <row r="287" ht="15" customHeight="1">
      <c r="A287" s="22" t="n"/>
      <c r="B287" s="22" t="n"/>
      <c r="C287" s="23" t="n"/>
      <c r="D287" s="22" t="n"/>
      <c r="E287" s="24" t="n"/>
      <c r="F287" s="25">
        <f>IF(C287="","",EOMONTH(C287,0))</f>
        <v/>
      </c>
      <c r="G287" s="26">
        <f>IF(A287="","",IF(COUNTIF(tbl_Onsite[Job Number],A287&amp;"")&gt;0,"Onsite",IF(COUNTIF(tbl_Production[Job Number],A287&amp;"")&gt;0,"Production",IF(COUNTIF(tbl_Consulting[Job Number],A287&amp;"")&gt;0,"Consulting","not set up yet"))))</f>
        <v/>
      </c>
      <c r="H287" s="26">
        <f>IF(A287="","",IF(COUNTIF(lst_Jobs,A287&amp;"")&gt;0,"OK","CHECK"))</f>
        <v/>
      </c>
      <c r="I287" s="26">
        <f>IF(A287="","",IFERROR(INDEX(lst_JobName,MATCH(A287&amp;"",lst_Jobs,0)),""))</f>
        <v/>
      </c>
      <c r="J287" s="26">
        <f>IF(A287="","",IFERROR(IF(INDEX(tbl_Onsite[Client],IFERROR(MATCH(A287&amp;"",tbl_Onsite[Job Number],0),MATCH(IFERROR(A287+0,A287),tbl_Onsite[Job Number],0)))="","",INDEX(tbl_Onsite[Client],IFERROR(MATCH(A287&amp;"",tbl_Onsite[Job Number],0),MATCH(IFERROR(A287+0,A287),tbl_Onsite[Job Number],0)))),IFERROR(IF(INDEX(tbl_Production[Client],IFERROR(MATCH(A287&amp;"",tbl_Production[Job Number],0),MATCH(IFERROR(A287+0,A287),tbl_Production[Job Number],0)))="","",INDEX(tbl_Production[Client],IFERROR(MATCH(A287&amp;"",tbl_Production[Job Number],0),MATCH(IFERROR(A287+0,A287),tbl_Production[Job Number],0)))),IFERROR(IF(INDEX(tbl_Consulting[Client],IFERROR(MATCH(A287&amp;"",tbl_Consulting[Job Number],0),MATCH(IFERROR(A287+0,A287),tbl_Consulting[Job Number],0)))="","",INDEX(tbl_Consulting[Client],IFERROR(MATCH(A287&amp;"",tbl_Consulting[Job Number],0),MATCH(IFERROR(A287+0,A287),tbl_Consulting[Job Number],0)))),""))))</f>
        <v/>
      </c>
      <c r="K287" s="26">
        <f>IF(A287="","",IFERROR(IF(INDEX(tbl_Onsite[Job Description],IFERROR(MATCH(A287&amp;"",tbl_Onsite[Job Number],0),MATCH(IFERROR(A287+0,A287),tbl_Onsite[Job Number],0)))="","",INDEX(tbl_Onsite[Job Description],IFERROR(MATCH(A287&amp;"",tbl_Onsite[Job Number],0),MATCH(IFERROR(A287+0,A287),tbl_Onsite[Job Number],0)))),IFERROR(IF(INDEX(tbl_Production[Job Description],IFERROR(MATCH(A287&amp;"",tbl_Production[Job Number],0),MATCH(IFERROR(A287+0,A287),tbl_Production[Job Number],0)))="","",INDEX(tbl_Production[Job Description],IFERROR(MATCH(A287&amp;"",tbl_Production[Job Number],0),MATCH(IFERROR(A287+0,A287),tbl_Production[Job Number],0)))),IFERROR(IF(INDEX(tbl_Consulting[Job Description],IFERROR(MATCH(A287&amp;"",tbl_Consulting[Job Number],0),MATCH(IFERROR(A287+0,A287),tbl_Consulting[Job Number],0)))="","",INDEX(tbl_Consulting[Job Description],IFERROR(MATCH(A287&amp;"",tbl_Consulting[Job Number],0),MATCH(IFERROR(A287+0,A287),tbl_Consulting[Job Number],0)))),""))))</f>
        <v/>
      </c>
      <c r="L287" s="26">
        <f>IF(A287="","",IFERROR(IF(INDEX(tbl_Onsite[Invoice Type],IFERROR(MATCH(A287&amp;"",tbl_Onsite[Job Number],0),MATCH(IFERROR(A287+0,A287),tbl_Onsite[Job Number],0)))="","",INDEX(tbl_Onsite[Invoice Type],IFERROR(MATCH(A287&amp;"",tbl_Onsite[Job Number],0),MATCH(IFERROR(A287+0,A287),tbl_Onsite[Job Number],0)))),IFERROR(IF(INDEX(tbl_Production[Invoice Type],IFERROR(MATCH(A287&amp;"",tbl_Production[Job Number],0),MATCH(IFERROR(A287+0,A287),tbl_Production[Job Number],0)))="","",INDEX(tbl_Production[Invoice Type],IFERROR(MATCH(A287&amp;"",tbl_Production[Job Number],0),MATCH(IFERROR(A287+0,A287),tbl_Production[Job Number],0)))),IFERROR(IF(INDEX(tbl_Consulting[Invoice Type],IFERROR(MATCH(A287&amp;"",tbl_Consulting[Job Number],0),MATCH(IFERROR(A287+0,A287),tbl_Consulting[Job Number],0)))="","",INDEX(tbl_Consulting[Invoice Type],IFERROR(MATCH(A287&amp;"",tbl_Consulting[Job Number],0),MATCH(IFERROR(A287+0,A287),tbl_Consulting[Job Number],0)))),""))))</f>
        <v/>
      </c>
      <c r="M287" s="26">
        <f>IF(A287="","",IF(IFERROR(IF(INDEX(tbl_Onsite[Tax Code],IFERROR(MATCH(A287&amp;"",tbl_Onsite[Job Number],0),MATCH(IFERROR(A287+0,A287),tbl_Onsite[Job Number],0)))="","",INDEX(tbl_Onsite[Tax Code],IFERROR(MATCH(A287&amp;"",tbl_Onsite[Job Number],0),MATCH(IFERROR(A287+0,A287),tbl_Onsite[Job Number],0)))),IFERROR(IF(INDEX(tbl_Production[Tax Code],IFERROR(MATCH(A287&amp;"",tbl_Production[Job Number],0),MATCH(IFERROR(A287+0,A287),tbl_Production[Job Number],0)))="","",INDEX(tbl_Production[Tax Code],IFERROR(MATCH(A287&amp;"",tbl_Production[Job Number],0),MATCH(IFERROR(A287+0,A287),tbl_Production[Job Number],0)))),IFERROR(IF(INDEX(tbl_Consulting[Tax Code],IFERROR(MATCH(A287&amp;"",tbl_Consulting[Job Number],0),MATCH(IFERROR(A287+0,A287),tbl_Consulting[Job Number],0)))="","",INDEX(tbl_Consulting[Tax Code],IFERROR(MATCH(A287&amp;"",tbl_Consulting[Job Number],0),MATCH(IFERROR(A287+0,A287),tbl_Consulting[Job Number],0)))),"")))="","GST 10%",IFERROR(IF(INDEX(tbl_Onsite[Tax Code],IFERROR(MATCH(A287&amp;"",tbl_Onsite[Job Number],0),MATCH(IFERROR(A287+0,A287),tbl_Onsite[Job Number],0)))="","",INDEX(tbl_Onsite[Tax Code],IFERROR(MATCH(A287&amp;"",tbl_Onsite[Job Number],0),MATCH(IFERROR(A287+0,A287),tbl_Onsite[Job Number],0)))),IFERROR(IF(INDEX(tbl_Production[Tax Code],IFERROR(MATCH(A287&amp;"",tbl_Production[Job Number],0),MATCH(IFERROR(A287+0,A287),tbl_Production[Job Number],0)))="","",INDEX(tbl_Production[Tax Code],IFERROR(MATCH(A287&amp;"",tbl_Production[Job Number],0),MATCH(IFERROR(A287+0,A287),tbl_Production[Job Number],0)))),IFERROR(IF(INDEX(tbl_Consulting[Tax Code],IFERROR(MATCH(A287&amp;"",tbl_Consulting[Job Number],0),MATCH(IFERROR(A287+0,A287),tbl_Consulting[Job Number],0)))="","",INDEX(tbl_Consulting[Tax Code],IFERROR(MATCH(A287&amp;"",tbl_Consulting[Job Number],0),MATCH(IFERROR(A287+0,A287),tbl_Consulting[Job Number],0)))),"")))))</f>
        <v/>
      </c>
      <c r="N287" s="26">
        <f>IF(D287="","",IFERROR(INDEX(lst_CCtoGL,MATCH(D287,lst_CCforGL,0)),""))</f>
        <v/>
      </c>
      <c r="O287" s="27">
        <f>IF(E287="","",IF(M287="GST 10%",ROUND(E287*set_GSTRate,2),0))</f>
        <v/>
      </c>
      <c r="P287" s="27">
        <f>IF(E287="","",E287+O287)</f>
        <v/>
      </c>
      <c r="Q287" s="27">
        <f>IF(A287="","",IFERROR(INDEX(tbl_Onsite[Expected Revenue Ex GST],IFERROR(MATCH(A287&amp;"",tbl_Onsite[Job Number],0),MATCH(IFERROR(A287+0,A287),tbl_Onsite[Job Number],0))),IFERROR(INDEX(tbl_Production[Expected Revenue Ex GST],IFERROR(MATCH(A287&amp;"",tbl_Production[Job Number],0),MATCH(IFERROR(A287+0,A287),tbl_Production[Job Number],0))),IFERROR(INDEX(tbl_Consulting[Expected Revenue Ex GST],IFERROR(MATCH(A287&amp;"",tbl_Consulting[Job Number],0),MATCH(IFERROR(A287+0,A287),tbl_Consulting[Job Number],0))),0))))</f>
        <v/>
      </c>
      <c r="R287" s="27">
        <f>IF(A287="","",SUMIFS(tbl_Finance[Ex GST],tbl_Finance[Job Number],A287&amp;""))</f>
        <v/>
      </c>
      <c r="S287" s="27">
        <f>IF(A287="","",Q287-R287)</f>
        <v/>
      </c>
      <c r="T287" s="26">
        <f>IF(A287="","",IF(Q287=0,"No dept value",IF(ROUND(S287,2)=0,"Agrees",IF(S287&gt;0,"Dept higher - to invoice","Xero higher - check dept"))))</f>
        <v/>
      </c>
      <c r="U287" s="22" t="n"/>
      <c r="V287" s="22" t="n"/>
      <c r="W287" s="23" t="n"/>
      <c r="X287" s="23" t="n"/>
      <c r="Y287" s="22" t="n"/>
      <c r="Z287" s="22" t="n"/>
      <c r="AA287" s="26">
        <f>IF(COUNTA(C287,A287,B287,E287)=0,"",IF(C287="","No date - sits outside every month",IF(A287="","No job number",IF(H287="CHECK","Job number is not in the Xero job list",IF(G287="not set up yet","No department has set this job up - nothing can pull through",IF(D287="","No cost centre",IF(AND(U287="Y",B287=""),"Marked posted to Xero but has no invoice number",IF(N287="","Cost centre has no revenue GL on the Lists sheet",IF(T287="Xero higher - check dept","Invoiced more than the department says the job is worth","")))))))))</f>
        <v/>
      </c>
      <c r="AB287" s="28">
        <f>IF(A287="","",COUNTIFS(tbl_Finance[Job Number],A287&amp;"",tbl_Finance[Ex GST],"&lt;&gt;"))</f>
        <v/>
      </c>
      <c r="AC287" s="27">
        <f>IF(A287="","",SUMIFS(tbl_Finance[Ex GST],tbl_Finance[Job Number],A287&amp;""))</f>
        <v/>
      </c>
      <c r="AD287" s="27">
        <f>IF(A287="","",SUMIFS(tbl_Finance[Ex GST],tbl_Finance[Job Number],A287&amp;"",tbl_Finance[Xero Invoice No],"&lt;&gt;"))</f>
        <v/>
      </c>
      <c r="AE287" s="27">
        <f>IF(A287="","",AC287-AD287)</f>
        <v/>
      </c>
      <c r="AF287" s="26">
        <f>IF(A287="","",IFERROR(IF(INDEX(tbl_Onsite[Qwilr Quote],IFERROR(MATCH(A287&amp;"",tbl_Onsite[Job Number],0),MATCH(IFERROR(A287+0,A287),tbl_Onsite[Job Number],0)))="","",INDEX(tbl_Onsite[Qwilr Quote],IFERROR(MATCH(A287&amp;"",tbl_Onsite[Job Number],0),MATCH(IFERROR(A287+0,A287),tbl_Onsite[Job Number],0)))),IFERROR(IF(IF(INDEX(tbl_Production[Current RMS No],IFERROR(MATCH(A287&amp;"",tbl_Production[Job Number],0),MATCH(IFERROR(A287+0,A287),tbl_Production[Job Number],0)))="",INDEX(tbl_Production[Qwilr Quote],IFERROR(MATCH(A287&amp;"",tbl_Production[Job Number],0),MATCH(IFERROR(A287+0,A287),tbl_Production[Job Number],0))),INDEX(tbl_Production[Current RMS No],IFERROR(MATCH(A287&amp;"",tbl_Production[Job Number],0),MATCH(IFERROR(A287+0,A287),tbl_Production[Job Number],0))))="","",IF(INDEX(tbl_Production[Current RMS No],IFERROR(MATCH(A287&amp;"",tbl_Production[Job Number],0),MATCH(IFERROR(A287+0,A287),tbl_Production[Job Number],0)))="",INDEX(tbl_Production[Qwilr Quote],IFERROR(MATCH(A287&amp;"",tbl_Production[Job Number],0),MATCH(IFERROR(A287+0,A287),tbl_Production[Job Number],0))),INDEX(tbl_Production[Current RMS No],IFERROR(MATCH(A287&amp;"",tbl_Production[Job Number],0),MATCH(IFERROR(A287+0,A287),tbl_Production[Job Number],0))))),IFERROR(IF(INDEX(tbl_Consulting[Qwilr Quote],IFERROR(MATCH(A287&amp;"",tbl_Consulting[Job Number],0),MATCH(IFERROR(A287+0,A287),tbl_Consulting[Job Number],0)))="","",INDEX(tbl_Consulting[Qwilr Quote],IFERROR(MATCH(A287&amp;"",tbl_Consulting[Job Number],0),MATCH(IFERROR(A287+0,A287),tbl_Consulting[Job Number],0)))),""))))</f>
        <v/>
      </c>
      <c r="AG287" s="26">
        <f>IF(AF287="","",IF(AND(LEFT(AF287,4)&lt;&gt;"http",IF(G287="Production",set_RMSBase,set_QwilrBase)=""),"",HYPERLINK(IF(LEFT(AF287,4)="http",AF287,IF(G287="Production",set_RMSBase,set_QwilrBase)&amp;AF287),"Open")))</f>
        <v/>
      </c>
      <c r="AH287" s="27">
        <f>IF(A287="","",IFERROR(INDEX(tbl_Production[Total Expense],IFERROR(MATCH(A287&amp;"",tbl_Production[Job Number],0),MATCH(IFERROR(A287+0,A287),tbl_Production[Job Number],0))),IFERROR(INDEX(tbl_Consulting[Total Expense],IFERROR(MATCH(A287&amp;"",tbl_Consulting[Job Number],0),MATCH(IFERROR(A287+0,A287),tbl_Consulting[Job Number],0))),0)))</f>
        <v/>
      </c>
      <c r="AI287" s="27">
        <f>IF(A287="","",AC287-N(AH287))</f>
        <v/>
      </c>
      <c r="AJ287" s="29">
        <f>IFERROR(AI287/AC287,"")</f>
        <v/>
      </c>
      <c r="AK287" s="26">
        <f>IF(A287="","",IFERROR(IF(INDEX(tbl_Onsite[Notes],IFERROR(MATCH(A287&amp;"",tbl_Onsite[Job Number],0),MATCH(IFERROR(A287+0,A287),tbl_Onsite[Job Number],0)))="","",INDEX(tbl_Onsite[Notes],IFERROR(MATCH(A287&amp;"",tbl_Onsite[Job Number],0),MATCH(IFERROR(A287+0,A287),tbl_Onsite[Job Number],0)))),IFERROR(IF(INDEX(tbl_Production[Notes],IFERROR(MATCH(A287&amp;"",tbl_Production[Job Number],0),MATCH(IFERROR(A287+0,A287),tbl_Production[Job Number],0)))="","",INDEX(tbl_Production[Notes],IFERROR(MATCH(A287&amp;"",tbl_Production[Job Number],0),MATCH(IFERROR(A287+0,A287),tbl_Production[Job Number],0)))),IFERROR(IF(INDEX(tbl_Consulting[Notes],IFERROR(MATCH(A287&amp;"",tbl_Consulting[Job Number],0),MATCH(IFERROR(A287+0,A287),tbl_Consulting[Job Number],0)))="","",INDEX(tbl_Consulting[Notes],IFERROR(MATCH(A287&amp;"",tbl_Consulting[Job Number],0),MATCH(IFERROR(A287+0,A287),tbl_Consulting[Job Number],0)))),""))))</f>
        <v/>
      </c>
    </row>
    <row r="288" ht="15" customHeight="1">
      <c r="A288" s="22" t="n"/>
      <c r="B288" s="22" t="n"/>
      <c r="C288" s="23" t="n"/>
      <c r="D288" s="22" t="n"/>
      <c r="E288" s="24" t="n"/>
      <c r="F288" s="25">
        <f>IF(C288="","",EOMONTH(C288,0))</f>
        <v/>
      </c>
      <c r="G288" s="26">
        <f>IF(A288="","",IF(COUNTIF(tbl_Onsite[Job Number],A288&amp;"")&gt;0,"Onsite",IF(COUNTIF(tbl_Production[Job Number],A288&amp;"")&gt;0,"Production",IF(COUNTIF(tbl_Consulting[Job Number],A288&amp;"")&gt;0,"Consulting","not set up yet"))))</f>
        <v/>
      </c>
      <c r="H288" s="26">
        <f>IF(A288="","",IF(COUNTIF(lst_Jobs,A288&amp;"")&gt;0,"OK","CHECK"))</f>
        <v/>
      </c>
      <c r="I288" s="26">
        <f>IF(A288="","",IFERROR(INDEX(lst_JobName,MATCH(A288&amp;"",lst_Jobs,0)),""))</f>
        <v/>
      </c>
      <c r="J288" s="26">
        <f>IF(A288="","",IFERROR(IF(INDEX(tbl_Onsite[Client],IFERROR(MATCH(A288&amp;"",tbl_Onsite[Job Number],0),MATCH(IFERROR(A288+0,A288),tbl_Onsite[Job Number],0)))="","",INDEX(tbl_Onsite[Client],IFERROR(MATCH(A288&amp;"",tbl_Onsite[Job Number],0),MATCH(IFERROR(A288+0,A288),tbl_Onsite[Job Number],0)))),IFERROR(IF(INDEX(tbl_Production[Client],IFERROR(MATCH(A288&amp;"",tbl_Production[Job Number],0),MATCH(IFERROR(A288+0,A288),tbl_Production[Job Number],0)))="","",INDEX(tbl_Production[Client],IFERROR(MATCH(A288&amp;"",tbl_Production[Job Number],0),MATCH(IFERROR(A288+0,A288),tbl_Production[Job Number],0)))),IFERROR(IF(INDEX(tbl_Consulting[Client],IFERROR(MATCH(A288&amp;"",tbl_Consulting[Job Number],0),MATCH(IFERROR(A288+0,A288),tbl_Consulting[Job Number],0)))="","",INDEX(tbl_Consulting[Client],IFERROR(MATCH(A288&amp;"",tbl_Consulting[Job Number],0),MATCH(IFERROR(A288+0,A288),tbl_Consulting[Job Number],0)))),""))))</f>
        <v/>
      </c>
      <c r="K288" s="26">
        <f>IF(A288="","",IFERROR(IF(INDEX(tbl_Onsite[Job Description],IFERROR(MATCH(A288&amp;"",tbl_Onsite[Job Number],0),MATCH(IFERROR(A288+0,A288),tbl_Onsite[Job Number],0)))="","",INDEX(tbl_Onsite[Job Description],IFERROR(MATCH(A288&amp;"",tbl_Onsite[Job Number],0),MATCH(IFERROR(A288+0,A288),tbl_Onsite[Job Number],0)))),IFERROR(IF(INDEX(tbl_Production[Job Description],IFERROR(MATCH(A288&amp;"",tbl_Production[Job Number],0),MATCH(IFERROR(A288+0,A288),tbl_Production[Job Number],0)))="","",INDEX(tbl_Production[Job Description],IFERROR(MATCH(A288&amp;"",tbl_Production[Job Number],0),MATCH(IFERROR(A288+0,A288),tbl_Production[Job Number],0)))),IFERROR(IF(INDEX(tbl_Consulting[Job Description],IFERROR(MATCH(A288&amp;"",tbl_Consulting[Job Number],0),MATCH(IFERROR(A288+0,A288),tbl_Consulting[Job Number],0)))="","",INDEX(tbl_Consulting[Job Description],IFERROR(MATCH(A288&amp;"",tbl_Consulting[Job Number],0),MATCH(IFERROR(A288+0,A288),tbl_Consulting[Job Number],0)))),""))))</f>
        <v/>
      </c>
      <c r="L288" s="26">
        <f>IF(A288="","",IFERROR(IF(INDEX(tbl_Onsite[Invoice Type],IFERROR(MATCH(A288&amp;"",tbl_Onsite[Job Number],0),MATCH(IFERROR(A288+0,A288),tbl_Onsite[Job Number],0)))="","",INDEX(tbl_Onsite[Invoice Type],IFERROR(MATCH(A288&amp;"",tbl_Onsite[Job Number],0),MATCH(IFERROR(A288+0,A288),tbl_Onsite[Job Number],0)))),IFERROR(IF(INDEX(tbl_Production[Invoice Type],IFERROR(MATCH(A288&amp;"",tbl_Production[Job Number],0),MATCH(IFERROR(A288+0,A288),tbl_Production[Job Number],0)))="","",INDEX(tbl_Production[Invoice Type],IFERROR(MATCH(A288&amp;"",tbl_Production[Job Number],0),MATCH(IFERROR(A288+0,A288),tbl_Production[Job Number],0)))),IFERROR(IF(INDEX(tbl_Consulting[Invoice Type],IFERROR(MATCH(A288&amp;"",tbl_Consulting[Job Number],0),MATCH(IFERROR(A288+0,A288),tbl_Consulting[Job Number],0)))="","",INDEX(tbl_Consulting[Invoice Type],IFERROR(MATCH(A288&amp;"",tbl_Consulting[Job Number],0),MATCH(IFERROR(A288+0,A288),tbl_Consulting[Job Number],0)))),""))))</f>
        <v/>
      </c>
      <c r="M288" s="26">
        <f>IF(A288="","",IF(IFERROR(IF(INDEX(tbl_Onsite[Tax Code],IFERROR(MATCH(A288&amp;"",tbl_Onsite[Job Number],0),MATCH(IFERROR(A288+0,A288),tbl_Onsite[Job Number],0)))="","",INDEX(tbl_Onsite[Tax Code],IFERROR(MATCH(A288&amp;"",tbl_Onsite[Job Number],0),MATCH(IFERROR(A288+0,A288),tbl_Onsite[Job Number],0)))),IFERROR(IF(INDEX(tbl_Production[Tax Code],IFERROR(MATCH(A288&amp;"",tbl_Production[Job Number],0),MATCH(IFERROR(A288+0,A288),tbl_Production[Job Number],0)))="","",INDEX(tbl_Production[Tax Code],IFERROR(MATCH(A288&amp;"",tbl_Production[Job Number],0),MATCH(IFERROR(A288+0,A288),tbl_Production[Job Number],0)))),IFERROR(IF(INDEX(tbl_Consulting[Tax Code],IFERROR(MATCH(A288&amp;"",tbl_Consulting[Job Number],0),MATCH(IFERROR(A288+0,A288),tbl_Consulting[Job Number],0)))="","",INDEX(tbl_Consulting[Tax Code],IFERROR(MATCH(A288&amp;"",tbl_Consulting[Job Number],0),MATCH(IFERROR(A288+0,A288),tbl_Consulting[Job Number],0)))),"")))="","GST 10%",IFERROR(IF(INDEX(tbl_Onsite[Tax Code],IFERROR(MATCH(A288&amp;"",tbl_Onsite[Job Number],0),MATCH(IFERROR(A288+0,A288),tbl_Onsite[Job Number],0)))="","",INDEX(tbl_Onsite[Tax Code],IFERROR(MATCH(A288&amp;"",tbl_Onsite[Job Number],0),MATCH(IFERROR(A288+0,A288),tbl_Onsite[Job Number],0)))),IFERROR(IF(INDEX(tbl_Production[Tax Code],IFERROR(MATCH(A288&amp;"",tbl_Production[Job Number],0),MATCH(IFERROR(A288+0,A288),tbl_Production[Job Number],0)))="","",INDEX(tbl_Production[Tax Code],IFERROR(MATCH(A288&amp;"",tbl_Production[Job Number],0),MATCH(IFERROR(A288+0,A288),tbl_Production[Job Number],0)))),IFERROR(IF(INDEX(tbl_Consulting[Tax Code],IFERROR(MATCH(A288&amp;"",tbl_Consulting[Job Number],0),MATCH(IFERROR(A288+0,A288),tbl_Consulting[Job Number],0)))="","",INDEX(tbl_Consulting[Tax Code],IFERROR(MATCH(A288&amp;"",tbl_Consulting[Job Number],0),MATCH(IFERROR(A288+0,A288),tbl_Consulting[Job Number],0)))),"")))))</f>
        <v/>
      </c>
      <c r="N288" s="26">
        <f>IF(D288="","",IFERROR(INDEX(lst_CCtoGL,MATCH(D288,lst_CCforGL,0)),""))</f>
        <v/>
      </c>
      <c r="O288" s="27">
        <f>IF(E288="","",IF(M288="GST 10%",ROUND(E288*set_GSTRate,2),0))</f>
        <v/>
      </c>
      <c r="P288" s="27">
        <f>IF(E288="","",E288+O288)</f>
        <v/>
      </c>
      <c r="Q288" s="27">
        <f>IF(A288="","",IFERROR(INDEX(tbl_Onsite[Expected Revenue Ex GST],IFERROR(MATCH(A288&amp;"",tbl_Onsite[Job Number],0),MATCH(IFERROR(A288+0,A288),tbl_Onsite[Job Number],0))),IFERROR(INDEX(tbl_Production[Expected Revenue Ex GST],IFERROR(MATCH(A288&amp;"",tbl_Production[Job Number],0),MATCH(IFERROR(A288+0,A288),tbl_Production[Job Number],0))),IFERROR(INDEX(tbl_Consulting[Expected Revenue Ex GST],IFERROR(MATCH(A288&amp;"",tbl_Consulting[Job Number],0),MATCH(IFERROR(A288+0,A288),tbl_Consulting[Job Number],0))),0))))</f>
        <v/>
      </c>
      <c r="R288" s="27">
        <f>IF(A288="","",SUMIFS(tbl_Finance[Ex GST],tbl_Finance[Job Number],A288&amp;""))</f>
        <v/>
      </c>
      <c r="S288" s="27">
        <f>IF(A288="","",Q288-R288)</f>
        <v/>
      </c>
      <c r="T288" s="26">
        <f>IF(A288="","",IF(Q288=0,"No dept value",IF(ROUND(S288,2)=0,"Agrees",IF(S288&gt;0,"Dept higher - to invoice","Xero higher - check dept"))))</f>
        <v/>
      </c>
      <c r="U288" s="22" t="n"/>
      <c r="V288" s="22" t="n"/>
      <c r="W288" s="23" t="n"/>
      <c r="X288" s="23" t="n"/>
      <c r="Y288" s="22" t="n"/>
      <c r="Z288" s="22" t="n"/>
      <c r="AA288" s="26">
        <f>IF(COUNTA(C288,A288,B288,E288)=0,"",IF(C288="","No date - sits outside every month",IF(A288="","No job number",IF(H288="CHECK","Job number is not in the Xero job list",IF(G288="not set up yet","No department has set this job up - nothing can pull through",IF(D288="","No cost centre",IF(AND(U288="Y",B288=""),"Marked posted to Xero but has no invoice number",IF(N288="","Cost centre has no revenue GL on the Lists sheet",IF(T288="Xero higher - check dept","Invoiced more than the department says the job is worth","")))))))))</f>
        <v/>
      </c>
      <c r="AB288" s="28">
        <f>IF(A288="","",COUNTIFS(tbl_Finance[Job Number],A288&amp;"",tbl_Finance[Ex GST],"&lt;&gt;"))</f>
        <v/>
      </c>
      <c r="AC288" s="27">
        <f>IF(A288="","",SUMIFS(tbl_Finance[Ex GST],tbl_Finance[Job Number],A288&amp;""))</f>
        <v/>
      </c>
      <c r="AD288" s="27">
        <f>IF(A288="","",SUMIFS(tbl_Finance[Ex GST],tbl_Finance[Job Number],A288&amp;"",tbl_Finance[Xero Invoice No],"&lt;&gt;"))</f>
        <v/>
      </c>
      <c r="AE288" s="27">
        <f>IF(A288="","",AC288-AD288)</f>
        <v/>
      </c>
      <c r="AF288" s="26">
        <f>IF(A288="","",IFERROR(IF(INDEX(tbl_Onsite[Qwilr Quote],IFERROR(MATCH(A288&amp;"",tbl_Onsite[Job Number],0),MATCH(IFERROR(A288+0,A288),tbl_Onsite[Job Number],0)))="","",INDEX(tbl_Onsite[Qwilr Quote],IFERROR(MATCH(A288&amp;"",tbl_Onsite[Job Number],0),MATCH(IFERROR(A288+0,A288),tbl_Onsite[Job Number],0)))),IFERROR(IF(IF(INDEX(tbl_Production[Current RMS No],IFERROR(MATCH(A288&amp;"",tbl_Production[Job Number],0),MATCH(IFERROR(A288+0,A288),tbl_Production[Job Number],0)))="",INDEX(tbl_Production[Qwilr Quote],IFERROR(MATCH(A288&amp;"",tbl_Production[Job Number],0),MATCH(IFERROR(A288+0,A288),tbl_Production[Job Number],0))),INDEX(tbl_Production[Current RMS No],IFERROR(MATCH(A288&amp;"",tbl_Production[Job Number],0),MATCH(IFERROR(A288+0,A288),tbl_Production[Job Number],0))))="","",IF(INDEX(tbl_Production[Current RMS No],IFERROR(MATCH(A288&amp;"",tbl_Production[Job Number],0),MATCH(IFERROR(A288+0,A288),tbl_Production[Job Number],0)))="",INDEX(tbl_Production[Qwilr Quote],IFERROR(MATCH(A288&amp;"",tbl_Production[Job Number],0),MATCH(IFERROR(A288+0,A288),tbl_Production[Job Number],0))),INDEX(tbl_Production[Current RMS No],IFERROR(MATCH(A288&amp;"",tbl_Production[Job Number],0),MATCH(IFERROR(A288+0,A288),tbl_Production[Job Number],0))))),IFERROR(IF(INDEX(tbl_Consulting[Qwilr Quote],IFERROR(MATCH(A288&amp;"",tbl_Consulting[Job Number],0),MATCH(IFERROR(A288+0,A288),tbl_Consulting[Job Number],0)))="","",INDEX(tbl_Consulting[Qwilr Quote],IFERROR(MATCH(A288&amp;"",tbl_Consulting[Job Number],0),MATCH(IFERROR(A288+0,A288),tbl_Consulting[Job Number],0)))),""))))</f>
        <v/>
      </c>
      <c r="AG288" s="26">
        <f>IF(AF288="","",IF(AND(LEFT(AF288,4)&lt;&gt;"http",IF(G288="Production",set_RMSBase,set_QwilrBase)=""),"",HYPERLINK(IF(LEFT(AF288,4)="http",AF288,IF(G288="Production",set_RMSBase,set_QwilrBase)&amp;AF288),"Open")))</f>
        <v/>
      </c>
      <c r="AH288" s="27">
        <f>IF(A288="","",IFERROR(INDEX(tbl_Production[Total Expense],IFERROR(MATCH(A288&amp;"",tbl_Production[Job Number],0),MATCH(IFERROR(A288+0,A288),tbl_Production[Job Number],0))),IFERROR(INDEX(tbl_Consulting[Total Expense],IFERROR(MATCH(A288&amp;"",tbl_Consulting[Job Number],0),MATCH(IFERROR(A288+0,A288),tbl_Consulting[Job Number],0))),0)))</f>
        <v/>
      </c>
      <c r="AI288" s="27">
        <f>IF(A288="","",AC288-N(AH288))</f>
        <v/>
      </c>
      <c r="AJ288" s="29">
        <f>IFERROR(AI288/AC288,"")</f>
        <v/>
      </c>
      <c r="AK288" s="26">
        <f>IF(A288="","",IFERROR(IF(INDEX(tbl_Onsite[Notes],IFERROR(MATCH(A288&amp;"",tbl_Onsite[Job Number],0),MATCH(IFERROR(A288+0,A288),tbl_Onsite[Job Number],0)))="","",INDEX(tbl_Onsite[Notes],IFERROR(MATCH(A288&amp;"",tbl_Onsite[Job Number],0),MATCH(IFERROR(A288+0,A288),tbl_Onsite[Job Number],0)))),IFERROR(IF(INDEX(tbl_Production[Notes],IFERROR(MATCH(A288&amp;"",tbl_Production[Job Number],0),MATCH(IFERROR(A288+0,A288),tbl_Production[Job Number],0)))="","",INDEX(tbl_Production[Notes],IFERROR(MATCH(A288&amp;"",tbl_Production[Job Number],0),MATCH(IFERROR(A288+0,A288),tbl_Production[Job Number],0)))),IFERROR(IF(INDEX(tbl_Consulting[Notes],IFERROR(MATCH(A288&amp;"",tbl_Consulting[Job Number],0),MATCH(IFERROR(A288+0,A288),tbl_Consulting[Job Number],0)))="","",INDEX(tbl_Consulting[Notes],IFERROR(MATCH(A288&amp;"",tbl_Consulting[Job Number],0),MATCH(IFERROR(A288+0,A288),tbl_Consulting[Job Number],0)))),""))))</f>
        <v/>
      </c>
    </row>
    <row r="289" ht="15" customHeight="1">
      <c r="A289" s="22" t="n"/>
      <c r="B289" s="22" t="n"/>
      <c r="C289" s="23" t="n"/>
      <c r="D289" s="22" t="n"/>
      <c r="E289" s="24" t="n"/>
      <c r="F289" s="25">
        <f>IF(C289="","",EOMONTH(C289,0))</f>
        <v/>
      </c>
      <c r="G289" s="26">
        <f>IF(A289="","",IF(COUNTIF(tbl_Onsite[Job Number],A289&amp;"")&gt;0,"Onsite",IF(COUNTIF(tbl_Production[Job Number],A289&amp;"")&gt;0,"Production",IF(COUNTIF(tbl_Consulting[Job Number],A289&amp;"")&gt;0,"Consulting","not set up yet"))))</f>
        <v/>
      </c>
      <c r="H289" s="26">
        <f>IF(A289="","",IF(COUNTIF(lst_Jobs,A289&amp;"")&gt;0,"OK","CHECK"))</f>
        <v/>
      </c>
      <c r="I289" s="26">
        <f>IF(A289="","",IFERROR(INDEX(lst_JobName,MATCH(A289&amp;"",lst_Jobs,0)),""))</f>
        <v/>
      </c>
      <c r="J289" s="26">
        <f>IF(A289="","",IFERROR(IF(INDEX(tbl_Onsite[Client],IFERROR(MATCH(A289&amp;"",tbl_Onsite[Job Number],0),MATCH(IFERROR(A289+0,A289),tbl_Onsite[Job Number],0)))="","",INDEX(tbl_Onsite[Client],IFERROR(MATCH(A289&amp;"",tbl_Onsite[Job Number],0),MATCH(IFERROR(A289+0,A289),tbl_Onsite[Job Number],0)))),IFERROR(IF(INDEX(tbl_Production[Client],IFERROR(MATCH(A289&amp;"",tbl_Production[Job Number],0),MATCH(IFERROR(A289+0,A289),tbl_Production[Job Number],0)))="","",INDEX(tbl_Production[Client],IFERROR(MATCH(A289&amp;"",tbl_Production[Job Number],0),MATCH(IFERROR(A289+0,A289),tbl_Production[Job Number],0)))),IFERROR(IF(INDEX(tbl_Consulting[Client],IFERROR(MATCH(A289&amp;"",tbl_Consulting[Job Number],0),MATCH(IFERROR(A289+0,A289),tbl_Consulting[Job Number],0)))="","",INDEX(tbl_Consulting[Client],IFERROR(MATCH(A289&amp;"",tbl_Consulting[Job Number],0),MATCH(IFERROR(A289+0,A289),tbl_Consulting[Job Number],0)))),""))))</f>
        <v/>
      </c>
      <c r="K289" s="26">
        <f>IF(A289="","",IFERROR(IF(INDEX(tbl_Onsite[Job Description],IFERROR(MATCH(A289&amp;"",tbl_Onsite[Job Number],0),MATCH(IFERROR(A289+0,A289),tbl_Onsite[Job Number],0)))="","",INDEX(tbl_Onsite[Job Description],IFERROR(MATCH(A289&amp;"",tbl_Onsite[Job Number],0),MATCH(IFERROR(A289+0,A289),tbl_Onsite[Job Number],0)))),IFERROR(IF(INDEX(tbl_Production[Job Description],IFERROR(MATCH(A289&amp;"",tbl_Production[Job Number],0),MATCH(IFERROR(A289+0,A289),tbl_Production[Job Number],0)))="","",INDEX(tbl_Production[Job Description],IFERROR(MATCH(A289&amp;"",tbl_Production[Job Number],0),MATCH(IFERROR(A289+0,A289),tbl_Production[Job Number],0)))),IFERROR(IF(INDEX(tbl_Consulting[Job Description],IFERROR(MATCH(A289&amp;"",tbl_Consulting[Job Number],0),MATCH(IFERROR(A289+0,A289),tbl_Consulting[Job Number],0)))="","",INDEX(tbl_Consulting[Job Description],IFERROR(MATCH(A289&amp;"",tbl_Consulting[Job Number],0),MATCH(IFERROR(A289+0,A289),tbl_Consulting[Job Number],0)))),""))))</f>
        <v/>
      </c>
      <c r="L289" s="26">
        <f>IF(A289="","",IFERROR(IF(INDEX(tbl_Onsite[Invoice Type],IFERROR(MATCH(A289&amp;"",tbl_Onsite[Job Number],0),MATCH(IFERROR(A289+0,A289),tbl_Onsite[Job Number],0)))="","",INDEX(tbl_Onsite[Invoice Type],IFERROR(MATCH(A289&amp;"",tbl_Onsite[Job Number],0),MATCH(IFERROR(A289+0,A289),tbl_Onsite[Job Number],0)))),IFERROR(IF(INDEX(tbl_Production[Invoice Type],IFERROR(MATCH(A289&amp;"",tbl_Production[Job Number],0),MATCH(IFERROR(A289+0,A289),tbl_Production[Job Number],0)))="","",INDEX(tbl_Production[Invoice Type],IFERROR(MATCH(A289&amp;"",tbl_Production[Job Number],0),MATCH(IFERROR(A289+0,A289),tbl_Production[Job Number],0)))),IFERROR(IF(INDEX(tbl_Consulting[Invoice Type],IFERROR(MATCH(A289&amp;"",tbl_Consulting[Job Number],0),MATCH(IFERROR(A289+0,A289),tbl_Consulting[Job Number],0)))="","",INDEX(tbl_Consulting[Invoice Type],IFERROR(MATCH(A289&amp;"",tbl_Consulting[Job Number],0),MATCH(IFERROR(A289+0,A289),tbl_Consulting[Job Number],0)))),""))))</f>
        <v/>
      </c>
      <c r="M289" s="26">
        <f>IF(A289="","",IF(IFERROR(IF(INDEX(tbl_Onsite[Tax Code],IFERROR(MATCH(A289&amp;"",tbl_Onsite[Job Number],0),MATCH(IFERROR(A289+0,A289),tbl_Onsite[Job Number],0)))="","",INDEX(tbl_Onsite[Tax Code],IFERROR(MATCH(A289&amp;"",tbl_Onsite[Job Number],0),MATCH(IFERROR(A289+0,A289),tbl_Onsite[Job Number],0)))),IFERROR(IF(INDEX(tbl_Production[Tax Code],IFERROR(MATCH(A289&amp;"",tbl_Production[Job Number],0),MATCH(IFERROR(A289+0,A289),tbl_Production[Job Number],0)))="","",INDEX(tbl_Production[Tax Code],IFERROR(MATCH(A289&amp;"",tbl_Production[Job Number],0),MATCH(IFERROR(A289+0,A289),tbl_Production[Job Number],0)))),IFERROR(IF(INDEX(tbl_Consulting[Tax Code],IFERROR(MATCH(A289&amp;"",tbl_Consulting[Job Number],0),MATCH(IFERROR(A289+0,A289),tbl_Consulting[Job Number],0)))="","",INDEX(tbl_Consulting[Tax Code],IFERROR(MATCH(A289&amp;"",tbl_Consulting[Job Number],0),MATCH(IFERROR(A289+0,A289),tbl_Consulting[Job Number],0)))),"")))="","GST 10%",IFERROR(IF(INDEX(tbl_Onsite[Tax Code],IFERROR(MATCH(A289&amp;"",tbl_Onsite[Job Number],0),MATCH(IFERROR(A289+0,A289),tbl_Onsite[Job Number],0)))="","",INDEX(tbl_Onsite[Tax Code],IFERROR(MATCH(A289&amp;"",tbl_Onsite[Job Number],0),MATCH(IFERROR(A289+0,A289),tbl_Onsite[Job Number],0)))),IFERROR(IF(INDEX(tbl_Production[Tax Code],IFERROR(MATCH(A289&amp;"",tbl_Production[Job Number],0),MATCH(IFERROR(A289+0,A289),tbl_Production[Job Number],0)))="","",INDEX(tbl_Production[Tax Code],IFERROR(MATCH(A289&amp;"",tbl_Production[Job Number],0),MATCH(IFERROR(A289+0,A289),tbl_Production[Job Number],0)))),IFERROR(IF(INDEX(tbl_Consulting[Tax Code],IFERROR(MATCH(A289&amp;"",tbl_Consulting[Job Number],0),MATCH(IFERROR(A289+0,A289),tbl_Consulting[Job Number],0)))="","",INDEX(tbl_Consulting[Tax Code],IFERROR(MATCH(A289&amp;"",tbl_Consulting[Job Number],0),MATCH(IFERROR(A289+0,A289),tbl_Consulting[Job Number],0)))),"")))))</f>
        <v/>
      </c>
      <c r="N289" s="26">
        <f>IF(D289="","",IFERROR(INDEX(lst_CCtoGL,MATCH(D289,lst_CCforGL,0)),""))</f>
        <v/>
      </c>
      <c r="O289" s="27">
        <f>IF(E289="","",IF(M289="GST 10%",ROUND(E289*set_GSTRate,2),0))</f>
        <v/>
      </c>
      <c r="P289" s="27">
        <f>IF(E289="","",E289+O289)</f>
        <v/>
      </c>
      <c r="Q289" s="27">
        <f>IF(A289="","",IFERROR(INDEX(tbl_Onsite[Expected Revenue Ex GST],IFERROR(MATCH(A289&amp;"",tbl_Onsite[Job Number],0),MATCH(IFERROR(A289+0,A289),tbl_Onsite[Job Number],0))),IFERROR(INDEX(tbl_Production[Expected Revenue Ex GST],IFERROR(MATCH(A289&amp;"",tbl_Production[Job Number],0),MATCH(IFERROR(A289+0,A289),tbl_Production[Job Number],0))),IFERROR(INDEX(tbl_Consulting[Expected Revenue Ex GST],IFERROR(MATCH(A289&amp;"",tbl_Consulting[Job Number],0),MATCH(IFERROR(A289+0,A289),tbl_Consulting[Job Number],0))),0))))</f>
        <v/>
      </c>
      <c r="R289" s="27">
        <f>IF(A289="","",SUMIFS(tbl_Finance[Ex GST],tbl_Finance[Job Number],A289&amp;""))</f>
        <v/>
      </c>
      <c r="S289" s="27">
        <f>IF(A289="","",Q289-R289)</f>
        <v/>
      </c>
      <c r="T289" s="26">
        <f>IF(A289="","",IF(Q289=0,"No dept value",IF(ROUND(S289,2)=0,"Agrees",IF(S289&gt;0,"Dept higher - to invoice","Xero higher - check dept"))))</f>
        <v/>
      </c>
      <c r="U289" s="22" t="n"/>
      <c r="V289" s="22" t="n"/>
      <c r="W289" s="23" t="n"/>
      <c r="X289" s="23" t="n"/>
      <c r="Y289" s="22" t="n"/>
      <c r="Z289" s="22" t="n"/>
      <c r="AA289" s="26">
        <f>IF(COUNTA(C289,A289,B289,E289)=0,"",IF(C289="","No date - sits outside every month",IF(A289="","No job number",IF(H289="CHECK","Job number is not in the Xero job list",IF(G289="not set up yet","No department has set this job up - nothing can pull through",IF(D289="","No cost centre",IF(AND(U289="Y",B289=""),"Marked posted to Xero but has no invoice number",IF(N289="","Cost centre has no revenue GL on the Lists sheet",IF(T289="Xero higher - check dept","Invoiced more than the department says the job is worth","")))))))))</f>
        <v/>
      </c>
      <c r="AB289" s="28">
        <f>IF(A289="","",COUNTIFS(tbl_Finance[Job Number],A289&amp;"",tbl_Finance[Ex GST],"&lt;&gt;"))</f>
        <v/>
      </c>
      <c r="AC289" s="27">
        <f>IF(A289="","",SUMIFS(tbl_Finance[Ex GST],tbl_Finance[Job Number],A289&amp;""))</f>
        <v/>
      </c>
      <c r="AD289" s="27">
        <f>IF(A289="","",SUMIFS(tbl_Finance[Ex GST],tbl_Finance[Job Number],A289&amp;"",tbl_Finance[Xero Invoice No],"&lt;&gt;"))</f>
        <v/>
      </c>
      <c r="AE289" s="27">
        <f>IF(A289="","",AC289-AD289)</f>
        <v/>
      </c>
      <c r="AF289" s="26">
        <f>IF(A289="","",IFERROR(IF(INDEX(tbl_Onsite[Qwilr Quote],IFERROR(MATCH(A289&amp;"",tbl_Onsite[Job Number],0),MATCH(IFERROR(A289+0,A289),tbl_Onsite[Job Number],0)))="","",INDEX(tbl_Onsite[Qwilr Quote],IFERROR(MATCH(A289&amp;"",tbl_Onsite[Job Number],0),MATCH(IFERROR(A289+0,A289),tbl_Onsite[Job Number],0)))),IFERROR(IF(IF(INDEX(tbl_Production[Current RMS No],IFERROR(MATCH(A289&amp;"",tbl_Production[Job Number],0),MATCH(IFERROR(A289+0,A289),tbl_Production[Job Number],0)))="",INDEX(tbl_Production[Qwilr Quote],IFERROR(MATCH(A289&amp;"",tbl_Production[Job Number],0),MATCH(IFERROR(A289+0,A289),tbl_Production[Job Number],0))),INDEX(tbl_Production[Current RMS No],IFERROR(MATCH(A289&amp;"",tbl_Production[Job Number],0),MATCH(IFERROR(A289+0,A289),tbl_Production[Job Number],0))))="","",IF(INDEX(tbl_Production[Current RMS No],IFERROR(MATCH(A289&amp;"",tbl_Production[Job Number],0),MATCH(IFERROR(A289+0,A289),tbl_Production[Job Number],0)))="",INDEX(tbl_Production[Qwilr Quote],IFERROR(MATCH(A289&amp;"",tbl_Production[Job Number],0),MATCH(IFERROR(A289+0,A289),tbl_Production[Job Number],0))),INDEX(tbl_Production[Current RMS No],IFERROR(MATCH(A289&amp;"",tbl_Production[Job Number],0),MATCH(IFERROR(A289+0,A289),tbl_Production[Job Number],0))))),IFERROR(IF(INDEX(tbl_Consulting[Qwilr Quote],IFERROR(MATCH(A289&amp;"",tbl_Consulting[Job Number],0),MATCH(IFERROR(A289+0,A289),tbl_Consulting[Job Number],0)))="","",INDEX(tbl_Consulting[Qwilr Quote],IFERROR(MATCH(A289&amp;"",tbl_Consulting[Job Number],0),MATCH(IFERROR(A289+0,A289),tbl_Consulting[Job Number],0)))),""))))</f>
        <v/>
      </c>
      <c r="AG289" s="26">
        <f>IF(AF289="","",IF(AND(LEFT(AF289,4)&lt;&gt;"http",IF(G289="Production",set_RMSBase,set_QwilrBase)=""),"",HYPERLINK(IF(LEFT(AF289,4)="http",AF289,IF(G289="Production",set_RMSBase,set_QwilrBase)&amp;AF289),"Open")))</f>
        <v/>
      </c>
      <c r="AH289" s="27">
        <f>IF(A289="","",IFERROR(INDEX(tbl_Production[Total Expense],IFERROR(MATCH(A289&amp;"",tbl_Production[Job Number],0),MATCH(IFERROR(A289+0,A289),tbl_Production[Job Number],0))),IFERROR(INDEX(tbl_Consulting[Total Expense],IFERROR(MATCH(A289&amp;"",tbl_Consulting[Job Number],0),MATCH(IFERROR(A289+0,A289),tbl_Consulting[Job Number],0))),0)))</f>
        <v/>
      </c>
      <c r="AI289" s="27">
        <f>IF(A289="","",AC289-N(AH289))</f>
        <v/>
      </c>
      <c r="AJ289" s="29">
        <f>IFERROR(AI289/AC289,"")</f>
        <v/>
      </c>
      <c r="AK289" s="26">
        <f>IF(A289="","",IFERROR(IF(INDEX(tbl_Onsite[Notes],IFERROR(MATCH(A289&amp;"",tbl_Onsite[Job Number],0),MATCH(IFERROR(A289+0,A289),tbl_Onsite[Job Number],0)))="","",INDEX(tbl_Onsite[Notes],IFERROR(MATCH(A289&amp;"",tbl_Onsite[Job Number],0),MATCH(IFERROR(A289+0,A289),tbl_Onsite[Job Number],0)))),IFERROR(IF(INDEX(tbl_Production[Notes],IFERROR(MATCH(A289&amp;"",tbl_Production[Job Number],0),MATCH(IFERROR(A289+0,A289),tbl_Production[Job Number],0)))="","",INDEX(tbl_Production[Notes],IFERROR(MATCH(A289&amp;"",tbl_Production[Job Number],0),MATCH(IFERROR(A289+0,A289),tbl_Production[Job Number],0)))),IFERROR(IF(INDEX(tbl_Consulting[Notes],IFERROR(MATCH(A289&amp;"",tbl_Consulting[Job Number],0),MATCH(IFERROR(A289+0,A289),tbl_Consulting[Job Number],0)))="","",INDEX(tbl_Consulting[Notes],IFERROR(MATCH(A289&amp;"",tbl_Consulting[Job Number],0),MATCH(IFERROR(A289+0,A289),tbl_Consulting[Job Number],0)))),""))))</f>
        <v/>
      </c>
    </row>
    <row r="290" ht="15" customHeight="1">
      <c r="A290" s="22" t="n"/>
      <c r="B290" s="22" t="n"/>
      <c r="C290" s="23" t="n"/>
      <c r="D290" s="22" t="n"/>
      <c r="E290" s="24" t="n"/>
      <c r="F290" s="25">
        <f>IF(C290="","",EOMONTH(C290,0))</f>
        <v/>
      </c>
      <c r="G290" s="26">
        <f>IF(A290="","",IF(COUNTIF(tbl_Onsite[Job Number],A290&amp;"")&gt;0,"Onsite",IF(COUNTIF(tbl_Production[Job Number],A290&amp;"")&gt;0,"Production",IF(COUNTIF(tbl_Consulting[Job Number],A290&amp;"")&gt;0,"Consulting","not set up yet"))))</f>
        <v/>
      </c>
      <c r="H290" s="26">
        <f>IF(A290="","",IF(COUNTIF(lst_Jobs,A290&amp;"")&gt;0,"OK","CHECK"))</f>
        <v/>
      </c>
      <c r="I290" s="26">
        <f>IF(A290="","",IFERROR(INDEX(lst_JobName,MATCH(A290&amp;"",lst_Jobs,0)),""))</f>
        <v/>
      </c>
      <c r="J290" s="26">
        <f>IF(A290="","",IFERROR(IF(INDEX(tbl_Onsite[Client],IFERROR(MATCH(A290&amp;"",tbl_Onsite[Job Number],0),MATCH(IFERROR(A290+0,A290),tbl_Onsite[Job Number],0)))="","",INDEX(tbl_Onsite[Client],IFERROR(MATCH(A290&amp;"",tbl_Onsite[Job Number],0),MATCH(IFERROR(A290+0,A290),tbl_Onsite[Job Number],0)))),IFERROR(IF(INDEX(tbl_Production[Client],IFERROR(MATCH(A290&amp;"",tbl_Production[Job Number],0),MATCH(IFERROR(A290+0,A290),tbl_Production[Job Number],0)))="","",INDEX(tbl_Production[Client],IFERROR(MATCH(A290&amp;"",tbl_Production[Job Number],0),MATCH(IFERROR(A290+0,A290),tbl_Production[Job Number],0)))),IFERROR(IF(INDEX(tbl_Consulting[Client],IFERROR(MATCH(A290&amp;"",tbl_Consulting[Job Number],0),MATCH(IFERROR(A290+0,A290),tbl_Consulting[Job Number],0)))="","",INDEX(tbl_Consulting[Client],IFERROR(MATCH(A290&amp;"",tbl_Consulting[Job Number],0),MATCH(IFERROR(A290+0,A290),tbl_Consulting[Job Number],0)))),""))))</f>
        <v/>
      </c>
      <c r="K290" s="26">
        <f>IF(A290="","",IFERROR(IF(INDEX(tbl_Onsite[Job Description],IFERROR(MATCH(A290&amp;"",tbl_Onsite[Job Number],0),MATCH(IFERROR(A290+0,A290),tbl_Onsite[Job Number],0)))="","",INDEX(tbl_Onsite[Job Description],IFERROR(MATCH(A290&amp;"",tbl_Onsite[Job Number],0),MATCH(IFERROR(A290+0,A290),tbl_Onsite[Job Number],0)))),IFERROR(IF(INDEX(tbl_Production[Job Description],IFERROR(MATCH(A290&amp;"",tbl_Production[Job Number],0),MATCH(IFERROR(A290+0,A290),tbl_Production[Job Number],0)))="","",INDEX(tbl_Production[Job Description],IFERROR(MATCH(A290&amp;"",tbl_Production[Job Number],0),MATCH(IFERROR(A290+0,A290),tbl_Production[Job Number],0)))),IFERROR(IF(INDEX(tbl_Consulting[Job Description],IFERROR(MATCH(A290&amp;"",tbl_Consulting[Job Number],0),MATCH(IFERROR(A290+0,A290),tbl_Consulting[Job Number],0)))="","",INDEX(tbl_Consulting[Job Description],IFERROR(MATCH(A290&amp;"",tbl_Consulting[Job Number],0),MATCH(IFERROR(A290+0,A290),tbl_Consulting[Job Number],0)))),""))))</f>
        <v/>
      </c>
      <c r="L290" s="26">
        <f>IF(A290="","",IFERROR(IF(INDEX(tbl_Onsite[Invoice Type],IFERROR(MATCH(A290&amp;"",tbl_Onsite[Job Number],0),MATCH(IFERROR(A290+0,A290),tbl_Onsite[Job Number],0)))="","",INDEX(tbl_Onsite[Invoice Type],IFERROR(MATCH(A290&amp;"",tbl_Onsite[Job Number],0),MATCH(IFERROR(A290+0,A290),tbl_Onsite[Job Number],0)))),IFERROR(IF(INDEX(tbl_Production[Invoice Type],IFERROR(MATCH(A290&amp;"",tbl_Production[Job Number],0),MATCH(IFERROR(A290+0,A290),tbl_Production[Job Number],0)))="","",INDEX(tbl_Production[Invoice Type],IFERROR(MATCH(A290&amp;"",tbl_Production[Job Number],0),MATCH(IFERROR(A290+0,A290),tbl_Production[Job Number],0)))),IFERROR(IF(INDEX(tbl_Consulting[Invoice Type],IFERROR(MATCH(A290&amp;"",tbl_Consulting[Job Number],0),MATCH(IFERROR(A290+0,A290),tbl_Consulting[Job Number],0)))="","",INDEX(tbl_Consulting[Invoice Type],IFERROR(MATCH(A290&amp;"",tbl_Consulting[Job Number],0),MATCH(IFERROR(A290+0,A290),tbl_Consulting[Job Number],0)))),""))))</f>
        <v/>
      </c>
      <c r="M290" s="26">
        <f>IF(A290="","",IF(IFERROR(IF(INDEX(tbl_Onsite[Tax Code],IFERROR(MATCH(A290&amp;"",tbl_Onsite[Job Number],0),MATCH(IFERROR(A290+0,A290),tbl_Onsite[Job Number],0)))="","",INDEX(tbl_Onsite[Tax Code],IFERROR(MATCH(A290&amp;"",tbl_Onsite[Job Number],0),MATCH(IFERROR(A290+0,A290),tbl_Onsite[Job Number],0)))),IFERROR(IF(INDEX(tbl_Production[Tax Code],IFERROR(MATCH(A290&amp;"",tbl_Production[Job Number],0),MATCH(IFERROR(A290+0,A290),tbl_Production[Job Number],0)))="","",INDEX(tbl_Production[Tax Code],IFERROR(MATCH(A290&amp;"",tbl_Production[Job Number],0),MATCH(IFERROR(A290+0,A290),tbl_Production[Job Number],0)))),IFERROR(IF(INDEX(tbl_Consulting[Tax Code],IFERROR(MATCH(A290&amp;"",tbl_Consulting[Job Number],0),MATCH(IFERROR(A290+0,A290),tbl_Consulting[Job Number],0)))="","",INDEX(tbl_Consulting[Tax Code],IFERROR(MATCH(A290&amp;"",tbl_Consulting[Job Number],0),MATCH(IFERROR(A290+0,A290),tbl_Consulting[Job Number],0)))),"")))="","GST 10%",IFERROR(IF(INDEX(tbl_Onsite[Tax Code],IFERROR(MATCH(A290&amp;"",tbl_Onsite[Job Number],0),MATCH(IFERROR(A290+0,A290),tbl_Onsite[Job Number],0)))="","",INDEX(tbl_Onsite[Tax Code],IFERROR(MATCH(A290&amp;"",tbl_Onsite[Job Number],0),MATCH(IFERROR(A290+0,A290),tbl_Onsite[Job Number],0)))),IFERROR(IF(INDEX(tbl_Production[Tax Code],IFERROR(MATCH(A290&amp;"",tbl_Production[Job Number],0),MATCH(IFERROR(A290+0,A290),tbl_Production[Job Number],0)))="","",INDEX(tbl_Production[Tax Code],IFERROR(MATCH(A290&amp;"",tbl_Production[Job Number],0),MATCH(IFERROR(A290+0,A290),tbl_Production[Job Number],0)))),IFERROR(IF(INDEX(tbl_Consulting[Tax Code],IFERROR(MATCH(A290&amp;"",tbl_Consulting[Job Number],0),MATCH(IFERROR(A290+0,A290),tbl_Consulting[Job Number],0)))="","",INDEX(tbl_Consulting[Tax Code],IFERROR(MATCH(A290&amp;"",tbl_Consulting[Job Number],0),MATCH(IFERROR(A290+0,A290),tbl_Consulting[Job Number],0)))),"")))))</f>
        <v/>
      </c>
      <c r="N290" s="26">
        <f>IF(D290="","",IFERROR(INDEX(lst_CCtoGL,MATCH(D290,lst_CCforGL,0)),""))</f>
        <v/>
      </c>
      <c r="O290" s="27">
        <f>IF(E290="","",IF(M290="GST 10%",ROUND(E290*set_GSTRate,2),0))</f>
        <v/>
      </c>
      <c r="P290" s="27">
        <f>IF(E290="","",E290+O290)</f>
        <v/>
      </c>
      <c r="Q290" s="27">
        <f>IF(A290="","",IFERROR(INDEX(tbl_Onsite[Expected Revenue Ex GST],IFERROR(MATCH(A290&amp;"",tbl_Onsite[Job Number],0),MATCH(IFERROR(A290+0,A290),tbl_Onsite[Job Number],0))),IFERROR(INDEX(tbl_Production[Expected Revenue Ex GST],IFERROR(MATCH(A290&amp;"",tbl_Production[Job Number],0),MATCH(IFERROR(A290+0,A290),tbl_Production[Job Number],0))),IFERROR(INDEX(tbl_Consulting[Expected Revenue Ex GST],IFERROR(MATCH(A290&amp;"",tbl_Consulting[Job Number],0),MATCH(IFERROR(A290+0,A290),tbl_Consulting[Job Number],0))),0))))</f>
        <v/>
      </c>
      <c r="R290" s="27">
        <f>IF(A290="","",SUMIFS(tbl_Finance[Ex GST],tbl_Finance[Job Number],A290&amp;""))</f>
        <v/>
      </c>
      <c r="S290" s="27">
        <f>IF(A290="","",Q290-R290)</f>
        <v/>
      </c>
      <c r="T290" s="26">
        <f>IF(A290="","",IF(Q290=0,"No dept value",IF(ROUND(S290,2)=0,"Agrees",IF(S290&gt;0,"Dept higher - to invoice","Xero higher - check dept"))))</f>
        <v/>
      </c>
      <c r="U290" s="22" t="n"/>
      <c r="V290" s="22" t="n"/>
      <c r="W290" s="23" t="n"/>
      <c r="X290" s="23" t="n"/>
      <c r="Y290" s="22" t="n"/>
      <c r="Z290" s="22" t="n"/>
      <c r="AA290" s="26">
        <f>IF(COUNTA(C290,A290,B290,E290)=0,"",IF(C290="","No date - sits outside every month",IF(A290="","No job number",IF(H290="CHECK","Job number is not in the Xero job list",IF(G290="not set up yet","No department has set this job up - nothing can pull through",IF(D290="","No cost centre",IF(AND(U290="Y",B290=""),"Marked posted to Xero but has no invoice number",IF(N290="","Cost centre has no revenue GL on the Lists sheet",IF(T290="Xero higher - check dept","Invoiced more than the department says the job is worth","")))))))))</f>
        <v/>
      </c>
      <c r="AB290" s="28">
        <f>IF(A290="","",COUNTIFS(tbl_Finance[Job Number],A290&amp;"",tbl_Finance[Ex GST],"&lt;&gt;"))</f>
        <v/>
      </c>
      <c r="AC290" s="27">
        <f>IF(A290="","",SUMIFS(tbl_Finance[Ex GST],tbl_Finance[Job Number],A290&amp;""))</f>
        <v/>
      </c>
      <c r="AD290" s="27">
        <f>IF(A290="","",SUMIFS(tbl_Finance[Ex GST],tbl_Finance[Job Number],A290&amp;"",tbl_Finance[Xero Invoice No],"&lt;&gt;"))</f>
        <v/>
      </c>
      <c r="AE290" s="27">
        <f>IF(A290="","",AC290-AD290)</f>
        <v/>
      </c>
      <c r="AF290" s="26">
        <f>IF(A290="","",IFERROR(IF(INDEX(tbl_Onsite[Qwilr Quote],IFERROR(MATCH(A290&amp;"",tbl_Onsite[Job Number],0),MATCH(IFERROR(A290+0,A290),tbl_Onsite[Job Number],0)))="","",INDEX(tbl_Onsite[Qwilr Quote],IFERROR(MATCH(A290&amp;"",tbl_Onsite[Job Number],0),MATCH(IFERROR(A290+0,A290),tbl_Onsite[Job Number],0)))),IFERROR(IF(IF(INDEX(tbl_Production[Current RMS No],IFERROR(MATCH(A290&amp;"",tbl_Production[Job Number],0),MATCH(IFERROR(A290+0,A290),tbl_Production[Job Number],0)))="",INDEX(tbl_Production[Qwilr Quote],IFERROR(MATCH(A290&amp;"",tbl_Production[Job Number],0),MATCH(IFERROR(A290+0,A290),tbl_Production[Job Number],0))),INDEX(tbl_Production[Current RMS No],IFERROR(MATCH(A290&amp;"",tbl_Production[Job Number],0),MATCH(IFERROR(A290+0,A290),tbl_Production[Job Number],0))))="","",IF(INDEX(tbl_Production[Current RMS No],IFERROR(MATCH(A290&amp;"",tbl_Production[Job Number],0),MATCH(IFERROR(A290+0,A290),tbl_Production[Job Number],0)))="",INDEX(tbl_Production[Qwilr Quote],IFERROR(MATCH(A290&amp;"",tbl_Production[Job Number],0),MATCH(IFERROR(A290+0,A290),tbl_Production[Job Number],0))),INDEX(tbl_Production[Current RMS No],IFERROR(MATCH(A290&amp;"",tbl_Production[Job Number],0),MATCH(IFERROR(A290+0,A290),tbl_Production[Job Number],0))))),IFERROR(IF(INDEX(tbl_Consulting[Qwilr Quote],IFERROR(MATCH(A290&amp;"",tbl_Consulting[Job Number],0),MATCH(IFERROR(A290+0,A290),tbl_Consulting[Job Number],0)))="","",INDEX(tbl_Consulting[Qwilr Quote],IFERROR(MATCH(A290&amp;"",tbl_Consulting[Job Number],0),MATCH(IFERROR(A290+0,A290),tbl_Consulting[Job Number],0)))),""))))</f>
        <v/>
      </c>
      <c r="AG290" s="26">
        <f>IF(AF290="","",IF(AND(LEFT(AF290,4)&lt;&gt;"http",IF(G290="Production",set_RMSBase,set_QwilrBase)=""),"",HYPERLINK(IF(LEFT(AF290,4)="http",AF290,IF(G290="Production",set_RMSBase,set_QwilrBase)&amp;AF290),"Open")))</f>
        <v/>
      </c>
      <c r="AH290" s="27">
        <f>IF(A290="","",IFERROR(INDEX(tbl_Production[Total Expense],IFERROR(MATCH(A290&amp;"",tbl_Production[Job Number],0),MATCH(IFERROR(A290+0,A290),tbl_Production[Job Number],0))),IFERROR(INDEX(tbl_Consulting[Total Expense],IFERROR(MATCH(A290&amp;"",tbl_Consulting[Job Number],0),MATCH(IFERROR(A290+0,A290),tbl_Consulting[Job Number],0))),0)))</f>
        <v/>
      </c>
      <c r="AI290" s="27">
        <f>IF(A290="","",AC290-N(AH290))</f>
        <v/>
      </c>
      <c r="AJ290" s="29">
        <f>IFERROR(AI290/AC290,"")</f>
        <v/>
      </c>
      <c r="AK290" s="26">
        <f>IF(A290="","",IFERROR(IF(INDEX(tbl_Onsite[Notes],IFERROR(MATCH(A290&amp;"",tbl_Onsite[Job Number],0),MATCH(IFERROR(A290+0,A290),tbl_Onsite[Job Number],0)))="","",INDEX(tbl_Onsite[Notes],IFERROR(MATCH(A290&amp;"",tbl_Onsite[Job Number],0),MATCH(IFERROR(A290+0,A290),tbl_Onsite[Job Number],0)))),IFERROR(IF(INDEX(tbl_Production[Notes],IFERROR(MATCH(A290&amp;"",tbl_Production[Job Number],0),MATCH(IFERROR(A290+0,A290),tbl_Production[Job Number],0)))="","",INDEX(tbl_Production[Notes],IFERROR(MATCH(A290&amp;"",tbl_Production[Job Number],0),MATCH(IFERROR(A290+0,A290),tbl_Production[Job Number],0)))),IFERROR(IF(INDEX(tbl_Consulting[Notes],IFERROR(MATCH(A290&amp;"",tbl_Consulting[Job Number],0),MATCH(IFERROR(A290+0,A290),tbl_Consulting[Job Number],0)))="","",INDEX(tbl_Consulting[Notes],IFERROR(MATCH(A290&amp;"",tbl_Consulting[Job Number],0),MATCH(IFERROR(A290+0,A290),tbl_Consulting[Job Number],0)))),""))))</f>
        <v/>
      </c>
    </row>
    <row r="291" ht="15" customHeight="1">
      <c r="A291" s="22" t="n"/>
      <c r="B291" s="22" t="n"/>
      <c r="C291" s="23" t="n"/>
      <c r="D291" s="22" t="n"/>
      <c r="E291" s="24" t="n"/>
      <c r="F291" s="25">
        <f>IF(C291="","",EOMONTH(C291,0))</f>
        <v/>
      </c>
      <c r="G291" s="26">
        <f>IF(A291="","",IF(COUNTIF(tbl_Onsite[Job Number],A291&amp;"")&gt;0,"Onsite",IF(COUNTIF(tbl_Production[Job Number],A291&amp;"")&gt;0,"Production",IF(COUNTIF(tbl_Consulting[Job Number],A291&amp;"")&gt;0,"Consulting","not set up yet"))))</f>
        <v/>
      </c>
      <c r="H291" s="26">
        <f>IF(A291="","",IF(COUNTIF(lst_Jobs,A291&amp;"")&gt;0,"OK","CHECK"))</f>
        <v/>
      </c>
      <c r="I291" s="26">
        <f>IF(A291="","",IFERROR(INDEX(lst_JobName,MATCH(A291&amp;"",lst_Jobs,0)),""))</f>
        <v/>
      </c>
      <c r="J291" s="26">
        <f>IF(A291="","",IFERROR(IF(INDEX(tbl_Onsite[Client],IFERROR(MATCH(A291&amp;"",tbl_Onsite[Job Number],0),MATCH(IFERROR(A291+0,A291),tbl_Onsite[Job Number],0)))="","",INDEX(tbl_Onsite[Client],IFERROR(MATCH(A291&amp;"",tbl_Onsite[Job Number],0),MATCH(IFERROR(A291+0,A291),tbl_Onsite[Job Number],0)))),IFERROR(IF(INDEX(tbl_Production[Client],IFERROR(MATCH(A291&amp;"",tbl_Production[Job Number],0),MATCH(IFERROR(A291+0,A291),tbl_Production[Job Number],0)))="","",INDEX(tbl_Production[Client],IFERROR(MATCH(A291&amp;"",tbl_Production[Job Number],0),MATCH(IFERROR(A291+0,A291),tbl_Production[Job Number],0)))),IFERROR(IF(INDEX(tbl_Consulting[Client],IFERROR(MATCH(A291&amp;"",tbl_Consulting[Job Number],0),MATCH(IFERROR(A291+0,A291),tbl_Consulting[Job Number],0)))="","",INDEX(tbl_Consulting[Client],IFERROR(MATCH(A291&amp;"",tbl_Consulting[Job Number],0),MATCH(IFERROR(A291+0,A291),tbl_Consulting[Job Number],0)))),""))))</f>
        <v/>
      </c>
      <c r="K291" s="26">
        <f>IF(A291="","",IFERROR(IF(INDEX(tbl_Onsite[Job Description],IFERROR(MATCH(A291&amp;"",tbl_Onsite[Job Number],0),MATCH(IFERROR(A291+0,A291),tbl_Onsite[Job Number],0)))="","",INDEX(tbl_Onsite[Job Description],IFERROR(MATCH(A291&amp;"",tbl_Onsite[Job Number],0),MATCH(IFERROR(A291+0,A291),tbl_Onsite[Job Number],0)))),IFERROR(IF(INDEX(tbl_Production[Job Description],IFERROR(MATCH(A291&amp;"",tbl_Production[Job Number],0),MATCH(IFERROR(A291+0,A291),tbl_Production[Job Number],0)))="","",INDEX(tbl_Production[Job Description],IFERROR(MATCH(A291&amp;"",tbl_Production[Job Number],0),MATCH(IFERROR(A291+0,A291),tbl_Production[Job Number],0)))),IFERROR(IF(INDEX(tbl_Consulting[Job Description],IFERROR(MATCH(A291&amp;"",tbl_Consulting[Job Number],0),MATCH(IFERROR(A291+0,A291),tbl_Consulting[Job Number],0)))="","",INDEX(tbl_Consulting[Job Description],IFERROR(MATCH(A291&amp;"",tbl_Consulting[Job Number],0),MATCH(IFERROR(A291+0,A291),tbl_Consulting[Job Number],0)))),""))))</f>
        <v/>
      </c>
      <c r="L291" s="26">
        <f>IF(A291="","",IFERROR(IF(INDEX(tbl_Onsite[Invoice Type],IFERROR(MATCH(A291&amp;"",tbl_Onsite[Job Number],0),MATCH(IFERROR(A291+0,A291),tbl_Onsite[Job Number],0)))="","",INDEX(tbl_Onsite[Invoice Type],IFERROR(MATCH(A291&amp;"",tbl_Onsite[Job Number],0),MATCH(IFERROR(A291+0,A291),tbl_Onsite[Job Number],0)))),IFERROR(IF(INDEX(tbl_Production[Invoice Type],IFERROR(MATCH(A291&amp;"",tbl_Production[Job Number],0),MATCH(IFERROR(A291+0,A291),tbl_Production[Job Number],0)))="","",INDEX(tbl_Production[Invoice Type],IFERROR(MATCH(A291&amp;"",tbl_Production[Job Number],0),MATCH(IFERROR(A291+0,A291),tbl_Production[Job Number],0)))),IFERROR(IF(INDEX(tbl_Consulting[Invoice Type],IFERROR(MATCH(A291&amp;"",tbl_Consulting[Job Number],0),MATCH(IFERROR(A291+0,A291),tbl_Consulting[Job Number],0)))="","",INDEX(tbl_Consulting[Invoice Type],IFERROR(MATCH(A291&amp;"",tbl_Consulting[Job Number],0),MATCH(IFERROR(A291+0,A291),tbl_Consulting[Job Number],0)))),""))))</f>
        <v/>
      </c>
      <c r="M291" s="26">
        <f>IF(A291="","",IF(IFERROR(IF(INDEX(tbl_Onsite[Tax Code],IFERROR(MATCH(A291&amp;"",tbl_Onsite[Job Number],0),MATCH(IFERROR(A291+0,A291),tbl_Onsite[Job Number],0)))="","",INDEX(tbl_Onsite[Tax Code],IFERROR(MATCH(A291&amp;"",tbl_Onsite[Job Number],0),MATCH(IFERROR(A291+0,A291),tbl_Onsite[Job Number],0)))),IFERROR(IF(INDEX(tbl_Production[Tax Code],IFERROR(MATCH(A291&amp;"",tbl_Production[Job Number],0),MATCH(IFERROR(A291+0,A291),tbl_Production[Job Number],0)))="","",INDEX(tbl_Production[Tax Code],IFERROR(MATCH(A291&amp;"",tbl_Production[Job Number],0),MATCH(IFERROR(A291+0,A291),tbl_Production[Job Number],0)))),IFERROR(IF(INDEX(tbl_Consulting[Tax Code],IFERROR(MATCH(A291&amp;"",tbl_Consulting[Job Number],0),MATCH(IFERROR(A291+0,A291),tbl_Consulting[Job Number],0)))="","",INDEX(tbl_Consulting[Tax Code],IFERROR(MATCH(A291&amp;"",tbl_Consulting[Job Number],0),MATCH(IFERROR(A291+0,A291),tbl_Consulting[Job Number],0)))),"")))="","GST 10%",IFERROR(IF(INDEX(tbl_Onsite[Tax Code],IFERROR(MATCH(A291&amp;"",tbl_Onsite[Job Number],0),MATCH(IFERROR(A291+0,A291),tbl_Onsite[Job Number],0)))="","",INDEX(tbl_Onsite[Tax Code],IFERROR(MATCH(A291&amp;"",tbl_Onsite[Job Number],0),MATCH(IFERROR(A291+0,A291),tbl_Onsite[Job Number],0)))),IFERROR(IF(INDEX(tbl_Production[Tax Code],IFERROR(MATCH(A291&amp;"",tbl_Production[Job Number],0),MATCH(IFERROR(A291+0,A291),tbl_Production[Job Number],0)))="","",INDEX(tbl_Production[Tax Code],IFERROR(MATCH(A291&amp;"",tbl_Production[Job Number],0),MATCH(IFERROR(A291+0,A291),tbl_Production[Job Number],0)))),IFERROR(IF(INDEX(tbl_Consulting[Tax Code],IFERROR(MATCH(A291&amp;"",tbl_Consulting[Job Number],0),MATCH(IFERROR(A291+0,A291),tbl_Consulting[Job Number],0)))="","",INDEX(tbl_Consulting[Tax Code],IFERROR(MATCH(A291&amp;"",tbl_Consulting[Job Number],0),MATCH(IFERROR(A291+0,A291),tbl_Consulting[Job Number],0)))),"")))))</f>
        <v/>
      </c>
      <c r="N291" s="26">
        <f>IF(D291="","",IFERROR(INDEX(lst_CCtoGL,MATCH(D291,lst_CCforGL,0)),""))</f>
        <v/>
      </c>
      <c r="O291" s="27">
        <f>IF(E291="","",IF(M291="GST 10%",ROUND(E291*set_GSTRate,2),0))</f>
        <v/>
      </c>
      <c r="P291" s="27">
        <f>IF(E291="","",E291+O291)</f>
        <v/>
      </c>
      <c r="Q291" s="27">
        <f>IF(A291="","",IFERROR(INDEX(tbl_Onsite[Expected Revenue Ex GST],IFERROR(MATCH(A291&amp;"",tbl_Onsite[Job Number],0),MATCH(IFERROR(A291+0,A291),tbl_Onsite[Job Number],0))),IFERROR(INDEX(tbl_Production[Expected Revenue Ex GST],IFERROR(MATCH(A291&amp;"",tbl_Production[Job Number],0),MATCH(IFERROR(A291+0,A291),tbl_Production[Job Number],0))),IFERROR(INDEX(tbl_Consulting[Expected Revenue Ex GST],IFERROR(MATCH(A291&amp;"",tbl_Consulting[Job Number],0),MATCH(IFERROR(A291+0,A291),tbl_Consulting[Job Number],0))),0))))</f>
        <v/>
      </c>
      <c r="R291" s="27">
        <f>IF(A291="","",SUMIFS(tbl_Finance[Ex GST],tbl_Finance[Job Number],A291&amp;""))</f>
        <v/>
      </c>
      <c r="S291" s="27">
        <f>IF(A291="","",Q291-R291)</f>
        <v/>
      </c>
      <c r="T291" s="26">
        <f>IF(A291="","",IF(Q291=0,"No dept value",IF(ROUND(S291,2)=0,"Agrees",IF(S291&gt;0,"Dept higher - to invoice","Xero higher - check dept"))))</f>
        <v/>
      </c>
      <c r="U291" s="22" t="n"/>
      <c r="V291" s="22" t="n"/>
      <c r="W291" s="23" t="n"/>
      <c r="X291" s="23" t="n"/>
      <c r="Y291" s="22" t="n"/>
      <c r="Z291" s="22" t="n"/>
      <c r="AA291" s="26">
        <f>IF(COUNTA(C291,A291,B291,E291)=0,"",IF(C291="","No date - sits outside every month",IF(A291="","No job number",IF(H291="CHECK","Job number is not in the Xero job list",IF(G291="not set up yet","No department has set this job up - nothing can pull through",IF(D291="","No cost centre",IF(AND(U291="Y",B291=""),"Marked posted to Xero but has no invoice number",IF(N291="","Cost centre has no revenue GL on the Lists sheet",IF(T291="Xero higher - check dept","Invoiced more than the department says the job is worth","")))))))))</f>
        <v/>
      </c>
      <c r="AB291" s="28">
        <f>IF(A291="","",COUNTIFS(tbl_Finance[Job Number],A291&amp;"",tbl_Finance[Ex GST],"&lt;&gt;"))</f>
        <v/>
      </c>
      <c r="AC291" s="27">
        <f>IF(A291="","",SUMIFS(tbl_Finance[Ex GST],tbl_Finance[Job Number],A291&amp;""))</f>
        <v/>
      </c>
      <c r="AD291" s="27">
        <f>IF(A291="","",SUMIFS(tbl_Finance[Ex GST],tbl_Finance[Job Number],A291&amp;"",tbl_Finance[Xero Invoice No],"&lt;&gt;"))</f>
        <v/>
      </c>
      <c r="AE291" s="27">
        <f>IF(A291="","",AC291-AD291)</f>
        <v/>
      </c>
      <c r="AF291" s="26">
        <f>IF(A291="","",IFERROR(IF(INDEX(tbl_Onsite[Qwilr Quote],IFERROR(MATCH(A291&amp;"",tbl_Onsite[Job Number],0),MATCH(IFERROR(A291+0,A291),tbl_Onsite[Job Number],0)))="","",INDEX(tbl_Onsite[Qwilr Quote],IFERROR(MATCH(A291&amp;"",tbl_Onsite[Job Number],0),MATCH(IFERROR(A291+0,A291),tbl_Onsite[Job Number],0)))),IFERROR(IF(IF(INDEX(tbl_Production[Current RMS No],IFERROR(MATCH(A291&amp;"",tbl_Production[Job Number],0),MATCH(IFERROR(A291+0,A291),tbl_Production[Job Number],0)))="",INDEX(tbl_Production[Qwilr Quote],IFERROR(MATCH(A291&amp;"",tbl_Production[Job Number],0),MATCH(IFERROR(A291+0,A291),tbl_Production[Job Number],0))),INDEX(tbl_Production[Current RMS No],IFERROR(MATCH(A291&amp;"",tbl_Production[Job Number],0),MATCH(IFERROR(A291+0,A291),tbl_Production[Job Number],0))))="","",IF(INDEX(tbl_Production[Current RMS No],IFERROR(MATCH(A291&amp;"",tbl_Production[Job Number],0),MATCH(IFERROR(A291+0,A291),tbl_Production[Job Number],0)))="",INDEX(tbl_Production[Qwilr Quote],IFERROR(MATCH(A291&amp;"",tbl_Production[Job Number],0),MATCH(IFERROR(A291+0,A291),tbl_Production[Job Number],0))),INDEX(tbl_Production[Current RMS No],IFERROR(MATCH(A291&amp;"",tbl_Production[Job Number],0),MATCH(IFERROR(A291+0,A291),tbl_Production[Job Number],0))))),IFERROR(IF(INDEX(tbl_Consulting[Qwilr Quote],IFERROR(MATCH(A291&amp;"",tbl_Consulting[Job Number],0),MATCH(IFERROR(A291+0,A291),tbl_Consulting[Job Number],0)))="","",INDEX(tbl_Consulting[Qwilr Quote],IFERROR(MATCH(A291&amp;"",tbl_Consulting[Job Number],0),MATCH(IFERROR(A291+0,A291),tbl_Consulting[Job Number],0)))),""))))</f>
        <v/>
      </c>
      <c r="AG291" s="26">
        <f>IF(AF291="","",IF(AND(LEFT(AF291,4)&lt;&gt;"http",IF(G291="Production",set_RMSBase,set_QwilrBase)=""),"",HYPERLINK(IF(LEFT(AF291,4)="http",AF291,IF(G291="Production",set_RMSBase,set_QwilrBase)&amp;AF291),"Open")))</f>
        <v/>
      </c>
      <c r="AH291" s="27">
        <f>IF(A291="","",IFERROR(INDEX(tbl_Production[Total Expense],IFERROR(MATCH(A291&amp;"",tbl_Production[Job Number],0),MATCH(IFERROR(A291+0,A291),tbl_Production[Job Number],0))),IFERROR(INDEX(tbl_Consulting[Total Expense],IFERROR(MATCH(A291&amp;"",tbl_Consulting[Job Number],0),MATCH(IFERROR(A291+0,A291),tbl_Consulting[Job Number],0))),0)))</f>
        <v/>
      </c>
      <c r="AI291" s="27">
        <f>IF(A291="","",AC291-N(AH291))</f>
        <v/>
      </c>
      <c r="AJ291" s="29">
        <f>IFERROR(AI291/AC291,"")</f>
        <v/>
      </c>
      <c r="AK291" s="26">
        <f>IF(A291="","",IFERROR(IF(INDEX(tbl_Onsite[Notes],IFERROR(MATCH(A291&amp;"",tbl_Onsite[Job Number],0),MATCH(IFERROR(A291+0,A291),tbl_Onsite[Job Number],0)))="","",INDEX(tbl_Onsite[Notes],IFERROR(MATCH(A291&amp;"",tbl_Onsite[Job Number],0),MATCH(IFERROR(A291+0,A291),tbl_Onsite[Job Number],0)))),IFERROR(IF(INDEX(tbl_Production[Notes],IFERROR(MATCH(A291&amp;"",tbl_Production[Job Number],0),MATCH(IFERROR(A291+0,A291),tbl_Production[Job Number],0)))="","",INDEX(tbl_Production[Notes],IFERROR(MATCH(A291&amp;"",tbl_Production[Job Number],0),MATCH(IFERROR(A291+0,A291),tbl_Production[Job Number],0)))),IFERROR(IF(INDEX(tbl_Consulting[Notes],IFERROR(MATCH(A291&amp;"",tbl_Consulting[Job Number],0),MATCH(IFERROR(A291+0,A291),tbl_Consulting[Job Number],0)))="","",INDEX(tbl_Consulting[Notes],IFERROR(MATCH(A291&amp;"",tbl_Consulting[Job Number],0),MATCH(IFERROR(A291+0,A291),tbl_Consulting[Job Number],0)))),""))))</f>
        <v/>
      </c>
    </row>
    <row r="292" ht="15" customHeight="1">
      <c r="A292" s="22" t="n"/>
      <c r="B292" s="22" t="n"/>
      <c r="C292" s="23" t="n"/>
      <c r="D292" s="22" t="n"/>
      <c r="E292" s="24" t="n"/>
      <c r="F292" s="25">
        <f>IF(C292="","",EOMONTH(C292,0))</f>
        <v/>
      </c>
      <c r="G292" s="26">
        <f>IF(A292="","",IF(COUNTIF(tbl_Onsite[Job Number],A292&amp;"")&gt;0,"Onsite",IF(COUNTIF(tbl_Production[Job Number],A292&amp;"")&gt;0,"Production",IF(COUNTIF(tbl_Consulting[Job Number],A292&amp;"")&gt;0,"Consulting","not set up yet"))))</f>
        <v/>
      </c>
      <c r="H292" s="26">
        <f>IF(A292="","",IF(COUNTIF(lst_Jobs,A292&amp;"")&gt;0,"OK","CHECK"))</f>
        <v/>
      </c>
      <c r="I292" s="26">
        <f>IF(A292="","",IFERROR(INDEX(lst_JobName,MATCH(A292&amp;"",lst_Jobs,0)),""))</f>
        <v/>
      </c>
      <c r="J292" s="26">
        <f>IF(A292="","",IFERROR(IF(INDEX(tbl_Onsite[Client],IFERROR(MATCH(A292&amp;"",tbl_Onsite[Job Number],0),MATCH(IFERROR(A292+0,A292),tbl_Onsite[Job Number],0)))="","",INDEX(tbl_Onsite[Client],IFERROR(MATCH(A292&amp;"",tbl_Onsite[Job Number],0),MATCH(IFERROR(A292+0,A292),tbl_Onsite[Job Number],0)))),IFERROR(IF(INDEX(tbl_Production[Client],IFERROR(MATCH(A292&amp;"",tbl_Production[Job Number],0),MATCH(IFERROR(A292+0,A292),tbl_Production[Job Number],0)))="","",INDEX(tbl_Production[Client],IFERROR(MATCH(A292&amp;"",tbl_Production[Job Number],0),MATCH(IFERROR(A292+0,A292),tbl_Production[Job Number],0)))),IFERROR(IF(INDEX(tbl_Consulting[Client],IFERROR(MATCH(A292&amp;"",tbl_Consulting[Job Number],0),MATCH(IFERROR(A292+0,A292),tbl_Consulting[Job Number],0)))="","",INDEX(tbl_Consulting[Client],IFERROR(MATCH(A292&amp;"",tbl_Consulting[Job Number],0),MATCH(IFERROR(A292+0,A292),tbl_Consulting[Job Number],0)))),""))))</f>
        <v/>
      </c>
      <c r="K292" s="26">
        <f>IF(A292="","",IFERROR(IF(INDEX(tbl_Onsite[Job Description],IFERROR(MATCH(A292&amp;"",tbl_Onsite[Job Number],0),MATCH(IFERROR(A292+0,A292),tbl_Onsite[Job Number],0)))="","",INDEX(tbl_Onsite[Job Description],IFERROR(MATCH(A292&amp;"",tbl_Onsite[Job Number],0),MATCH(IFERROR(A292+0,A292),tbl_Onsite[Job Number],0)))),IFERROR(IF(INDEX(tbl_Production[Job Description],IFERROR(MATCH(A292&amp;"",tbl_Production[Job Number],0),MATCH(IFERROR(A292+0,A292),tbl_Production[Job Number],0)))="","",INDEX(tbl_Production[Job Description],IFERROR(MATCH(A292&amp;"",tbl_Production[Job Number],0),MATCH(IFERROR(A292+0,A292),tbl_Production[Job Number],0)))),IFERROR(IF(INDEX(tbl_Consulting[Job Description],IFERROR(MATCH(A292&amp;"",tbl_Consulting[Job Number],0),MATCH(IFERROR(A292+0,A292),tbl_Consulting[Job Number],0)))="","",INDEX(tbl_Consulting[Job Description],IFERROR(MATCH(A292&amp;"",tbl_Consulting[Job Number],0),MATCH(IFERROR(A292+0,A292),tbl_Consulting[Job Number],0)))),""))))</f>
        <v/>
      </c>
      <c r="L292" s="26">
        <f>IF(A292="","",IFERROR(IF(INDEX(tbl_Onsite[Invoice Type],IFERROR(MATCH(A292&amp;"",tbl_Onsite[Job Number],0),MATCH(IFERROR(A292+0,A292),tbl_Onsite[Job Number],0)))="","",INDEX(tbl_Onsite[Invoice Type],IFERROR(MATCH(A292&amp;"",tbl_Onsite[Job Number],0),MATCH(IFERROR(A292+0,A292),tbl_Onsite[Job Number],0)))),IFERROR(IF(INDEX(tbl_Production[Invoice Type],IFERROR(MATCH(A292&amp;"",tbl_Production[Job Number],0),MATCH(IFERROR(A292+0,A292),tbl_Production[Job Number],0)))="","",INDEX(tbl_Production[Invoice Type],IFERROR(MATCH(A292&amp;"",tbl_Production[Job Number],0),MATCH(IFERROR(A292+0,A292),tbl_Production[Job Number],0)))),IFERROR(IF(INDEX(tbl_Consulting[Invoice Type],IFERROR(MATCH(A292&amp;"",tbl_Consulting[Job Number],0),MATCH(IFERROR(A292+0,A292),tbl_Consulting[Job Number],0)))="","",INDEX(tbl_Consulting[Invoice Type],IFERROR(MATCH(A292&amp;"",tbl_Consulting[Job Number],0),MATCH(IFERROR(A292+0,A292),tbl_Consulting[Job Number],0)))),""))))</f>
        <v/>
      </c>
      <c r="M292" s="26">
        <f>IF(A292="","",IF(IFERROR(IF(INDEX(tbl_Onsite[Tax Code],IFERROR(MATCH(A292&amp;"",tbl_Onsite[Job Number],0),MATCH(IFERROR(A292+0,A292),tbl_Onsite[Job Number],0)))="","",INDEX(tbl_Onsite[Tax Code],IFERROR(MATCH(A292&amp;"",tbl_Onsite[Job Number],0),MATCH(IFERROR(A292+0,A292),tbl_Onsite[Job Number],0)))),IFERROR(IF(INDEX(tbl_Production[Tax Code],IFERROR(MATCH(A292&amp;"",tbl_Production[Job Number],0),MATCH(IFERROR(A292+0,A292),tbl_Production[Job Number],0)))="","",INDEX(tbl_Production[Tax Code],IFERROR(MATCH(A292&amp;"",tbl_Production[Job Number],0),MATCH(IFERROR(A292+0,A292),tbl_Production[Job Number],0)))),IFERROR(IF(INDEX(tbl_Consulting[Tax Code],IFERROR(MATCH(A292&amp;"",tbl_Consulting[Job Number],0),MATCH(IFERROR(A292+0,A292),tbl_Consulting[Job Number],0)))="","",INDEX(tbl_Consulting[Tax Code],IFERROR(MATCH(A292&amp;"",tbl_Consulting[Job Number],0),MATCH(IFERROR(A292+0,A292),tbl_Consulting[Job Number],0)))),"")))="","GST 10%",IFERROR(IF(INDEX(tbl_Onsite[Tax Code],IFERROR(MATCH(A292&amp;"",tbl_Onsite[Job Number],0),MATCH(IFERROR(A292+0,A292),tbl_Onsite[Job Number],0)))="","",INDEX(tbl_Onsite[Tax Code],IFERROR(MATCH(A292&amp;"",tbl_Onsite[Job Number],0),MATCH(IFERROR(A292+0,A292),tbl_Onsite[Job Number],0)))),IFERROR(IF(INDEX(tbl_Production[Tax Code],IFERROR(MATCH(A292&amp;"",tbl_Production[Job Number],0),MATCH(IFERROR(A292+0,A292),tbl_Production[Job Number],0)))="","",INDEX(tbl_Production[Tax Code],IFERROR(MATCH(A292&amp;"",tbl_Production[Job Number],0),MATCH(IFERROR(A292+0,A292),tbl_Production[Job Number],0)))),IFERROR(IF(INDEX(tbl_Consulting[Tax Code],IFERROR(MATCH(A292&amp;"",tbl_Consulting[Job Number],0),MATCH(IFERROR(A292+0,A292),tbl_Consulting[Job Number],0)))="","",INDEX(tbl_Consulting[Tax Code],IFERROR(MATCH(A292&amp;"",tbl_Consulting[Job Number],0),MATCH(IFERROR(A292+0,A292),tbl_Consulting[Job Number],0)))),"")))))</f>
        <v/>
      </c>
      <c r="N292" s="26">
        <f>IF(D292="","",IFERROR(INDEX(lst_CCtoGL,MATCH(D292,lst_CCforGL,0)),""))</f>
        <v/>
      </c>
      <c r="O292" s="27">
        <f>IF(E292="","",IF(M292="GST 10%",ROUND(E292*set_GSTRate,2),0))</f>
        <v/>
      </c>
      <c r="P292" s="27">
        <f>IF(E292="","",E292+O292)</f>
        <v/>
      </c>
      <c r="Q292" s="27">
        <f>IF(A292="","",IFERROR(INDEX(tbl_Onsite[Expected Revenue Ex GST],IFERROR(MATCH(A292&amp;"",tbl_Onsite[Job Number],0),MATCH(IFERROR(A292+0,A292),tbl_Onsite[Job Number],0))),IFERROR(INDEX(tbl_Production[Expected Revenue Ex GST],IFERROR(MATCH(A292&amp;"",tbl_Production[Job Number],0),MATCH(IFERROR(A292+0,A292),tbl_Production[Job Number],0))),IFERROR(INDEX(tbl_Consulting[Expected Revenue Ex GST],IFERROR(MATCH(A292&amp;"",tbl_Consulting[Job Number],0),MATCH(IFERROR(A292+0,A292),tbl_Consulting[Job Number],0))),0))))</f>
        <v/>
      </c>
      <c r="R292" s="27">
        <f>IF(A292="","",SUMIFS(tbl_Finance[Ex GST],tbl_Finance[Job Number],A292&amp;""))</f>
        <v/>
      </c>
      <c r="S292" s="27">
        <f>IF(A292="","",Q292-R292)</f>
        <v/>
      </c>
      <c r="T292" s="26">
        <f>IF(A292="","",IF(Q292=0,"No dept value",IF(ROUND(S292,2)=0,"Agrees",IF(S292&gt;0,"Dept higher - to invoice","Xero higher - check dept"))))</f>
        <v/>
      </c>
      <c r="U292" s="22" t="n"/>
      <c r="V292" s="22" t="n"/>
      <c r="W292" s="23" t="n"/>
      <c r="X292" s="23" t="n"/>
      <c r="Y292" s="22" t="n"/>
      <c r="Z292" s="22" t="n"/>
      <c r="AA292" s="26">
        <f>IF(COUNTA(C292,A292,B292,E292)=0,"",IF(C292="","No date - sits outside every month",IF(A292="","No job number",IF(H292="CHECK","Job number is not in the Xero job list",IF(G292="not set up yet","No department has set this job up - nothing can pull through",IF(D292="","No cost centre",IF(AND(U292="Y",B292=""),"Marked posted to Xero but has no invoice number",IF(N292="","Cost centre has no revenue GL on the Lists sheet",IF(T292="Xero higher - check dept","Invoiced more than the department says the job is worth","")))))))))</f>
        <v/>
      </c>
      <c r="AB292" s="28">
        <f>IF(A292="","",COUNTIFS(tbl_Finance[Job Number],A292&amp;"",tbl_Finance[Ex GST],"&lt;&gt;"))</f>
        <v/>
      </c>
      <c r="AC292" s="27">
        <f>IF(A292="","",SUMIFS(tbl_Finance[Ex GST],tbl_Finance[Job Number],A292&amp;""))</f>
        <v/>
      </c>
      <c r="AD292" s="27">
        <f>IF(A292="","",SUMIFS(tbl_Finance[Ex GST],tbl_Finance[Job Number],A292&amp;"",tbl_Finance[Xero Invoice No],"&lt;&gt;"))</f>
        <v/>
      </c>
      <c r="AE292" s="27">
        <f>IF(A292="","",AC292-AD292)</f>
        <v/>
      </c>
      <c r="AF292" s="26">
        <f>IF(A292="","",IFERROR(IF(INDEX(tbl_Onsite[Qwilr Quote],IFERROR(MATCH(A292&amp;"",tbl_Onsite[Job Number],0),MATCH(IFERROR(A292+0,A292),tbl_Onsite[Job Number],0)))="","",INDEX(tbl_Onsite[Qwilr Quote],IFERROR(MATCH(A292&amp;"",tbl_Onsite[Job Number],0),MATCH(IFERROR(A292+0,A292),tbl_Onsite[Job Number],0)))),IFERROR(IF(IF(INDEX(tbl_Production[Current RMS No],IFERROR(MATCH(A292&amp;"",tbl_Production[Job Number],0),MATCH(IFERROR(A292+0,A292),tbl_Production[Job Number],0)))="",INDEX(tbl_Production[Qwilr Quote],IFERROR(MATCH(A292&amp;"",tbl_Production[Job Number],0),MATCH(IFERROR(A292+0,A292),tbl_Production[Job Number],0))),INDEX(tbl_Production[Current RMS No],IFERROR(MATCH(A292&amp;"",tbl_Production[Job Number],0),MATCH(IFERROR(A292+0,A292),tbl_Production[Job Number],0))))="","",IF(INDEX(tbl_Production[Current RMS No],IFERROR(MATCH(A292&amp;"",tbl_Production[Job Number],0),MATCH(IFERROR(A292+0,A292),tbl_Production[Job Number],0)))="",INDEX(tbl_Production[Qwilr Quote],IFERROR(MATCH(A292&amp;"",tbl_Production[Job Number],0),MATCH(IFERROR(A292+0,A292),tbl_Production[Job Number],0))),INDEX(tbl_Production[Current RMS No],IFERROR(MATCH(A292&amp;"",tbl_Production[Job Number],0),MATCH(IFERROR(A292+0,A292),tbl_Production[Job Number],0))))),IFERROR(IF(INDEX(tbl_Consulting[Qwilr Quote],IFERROR(MATCH(A292&amp;"",tbl_Consulting[Job Number],0),MATCH(IFERROR(A292+0,A292),tbl_Consulting[Job Number],0)))="","",INDEX(tbl_Consulting[Qwilr Quote],IFERROR(MATCH(A292&amp;"",tbl_Consulting[Job Number],0),MATCH(IFERROR(A292+0,A292),tbl_Consulting[Job Number],0)))),""))))</f>
        <v/>
      </c>
      <c r="AG292" s="26">
        <f>IF(AF292="","",IF(AND(LEFT(AF292,4)&lt;&gt;"http",IF(G292="Production",set_RMSBase,set_QwilrBase)=""),"",HYPERLINK(IF(LEFT(AF292,4)="http",AF292,IF(G292="Production",set_RMSBase,set_QwilrBase)&amp;AF292),"Open")))</f>
        <v/>
      </c>
      <c r="AH292" s="27">
        <f>IF(A292="","",IFERROR(INDEX(tbl_Production[Total Expense],IFERROR(MATCH(A292&amp;"",tbl_Production[Job Number],0),MATCH(IFERROR(A292+0,A292),tbl_Production[Job Number],0))),IFERROR(INDEX(tbl_Consulting[Total Expense],IFERROR(MATCH(A292&amp;"",tbl_Consulting[Job Number],0),MATCH(IFERROR(A292+0,A292),tbl_Consulting[Job Number],0))),0)))</f>
        <v/>
      </c>
      <c r="AI292" s="27">
        <f>IF(A292="","",AC292-N(AH292))</f>
        <v/>
      </c>
      <c r="AJ292" s="29">
        <f>IFERROR(AI292/AC292,"")</f>
        <v/>
      </c>
      <c r="AK292" s="26">
        <f>IF(A292="","",IFERROR(IF(INDEX(tbl_Onsite[Notes],IFERROR(MATCH(A292&amp;"",tbl_Onsite[Job Number],0),MATCH(IFERROR(A292+0,A292),tbl_Onsite[Job Number],0)))="","",INDEX(tbl_Onsite[Notes],IFERROR(MATCH(A292&amp;"",tbl_Onsite[Job Number],0),MATCH(IFERROR(A292+0,A292),tbl_Onsite[Job Number],0)))),IFERROR(IF(INDEX(tbl_Production[Notes],IFERROR(MATCH(A292&amp;"",tbl_Production[Job Number],0),MATCH(IFERROR(A292+0,A292),tbl_Production[Job Number],0)))="","",INDEX(tbl_Production[Notes],IFERROR(MATCH(A292&amp;"",tbl_Production[Job Number],0),MATCH(IFERROR(A292+0,A292),tbl_Production[Job Number],0)))),IFERROR(IF(INDEX(tbl_Consulting[Notes],IFERROR(MATCH(A292&amp;"",tbl_Consulting[Job Number],0),MATCH(IFERROR(A292+0,A292),tbl_Consulting[Job Number],0)))="","",INDEX(tbl_Consulting[Notes],IFERROR(MATCH(A292&amp;"",tbl_Consulting[Job Number],0),MATCH(IFERROR(A292+0,A292),tbl_Consulting[Job Number],0)))),""))))</f>
        <v/>
      </c>
    </row>
    <row r="293" ht="15" customHeight="1">
      <c r="A293" s="22" t="n"/>
      <c r="B293" s="22" t="n"/>
      <c r="C293" s="23" t="n"/>
      <c r="D293" s="22" t="n"/>
      <c r="E293" s="24" t="n"/>
      <c r="F293" s="25">
        <f>IF(C293="","",EOMONTH(C293,0))</f>
        <v/>
      </c>
      <c r="G293" s="26">
        <f>IF(A293="","",IF(COUNTIF(tbl_Onsite[Job Number],A293&amp;"")&gt;0,"Onsite",IF(COUNTIF(tbl_Production[Job Number],A293&amp;"")&gt;0,"Production",IF(COUNTIF(tbl_Consulting[Job Number],A293&amp;"")&gt;0,"Consulting","not set up yet"))))</f>
        <v/>
      </c>
      <c r="H293" s="26">
        <f>IF(A293="","",IF(COUNTIF(lst_Jobs,A293&amp;"")&gt;0,"OK","CHECK"))</f>
        <v/>
      </c>
      <c r="I293" s="26">
        <f>IF(A293="","",IFERROR(INDEX(lst_JobName,MATCH(A293&amp;"",lst_Jobs,0)),""))</f>
        <v/>
      </c>
      <c r="J293" s="26">
        <f>IF(A293="","",IFERROR(IF(INDEX(tbl_Onsite[Client],IFERROR(MATCH(A293&amp;"",tbl_Onsite[Job Number],0),MATCH(IFERROR(A293+0,A293),tbl_Onsite[Job Number],0)))="","",INDEX(tbl_Onsite[Client],IFERROR(MATCH(A293&amp;"",tbl_Onsite[Job Number],0),MATCH(IFERROR(A293+0,A293),tbl_Onsite[Job Number],0)))),IFERROR(IF(INDEX(tbl_Production[Client],IFERROR(MATCH(A293&amp;"",tbl_Production[Job Number],0),MATCH(IFERROR(A293+0,A293),tbl_Production[Job Number],0)))="","",INDEX(tbl_Production[Client],IFERROR(MATCH(A293&amp;"",tbl_Production[Job Number],0),MATCH(IFERROR(A293+0,A293),tbl_Production[Job Number],0)))),IFERROR(IF(INDEX(tbl_Consulting[Client],IFERROR(MATCH(A293&amp;"",tbl_Consulting[Job Number],0),MATCH(IFERROR(A293+0,A293),tbl_Consulting[Job Number],0)))="","",INDEX(tbl_Consulting[Client],IFERROR(MATCH(A293&amp;"",tbl_Consulting[Job Number],0),MATCH(IFERROR(A293+0,A293),tbl_Consulting[Job Number],0)))),""))))</f>
        <v/>
      </c>
      <c r="K293" s="26">
        <f>IF(A293="","",IFERROR(IF(INDEX(tbl_Onsite[Job Description],IFERROR(MATCH(A293&amp;"",tbl_Onsite[Job Number],0),MATCH(IFERROR(A293+0,A293),tbl_Onsite[Job Number],0)))="","",INDEX(tbl_Onsite[Job Description],IFERROR(MATCH(A293&amp;"",tbl_Onsite[Job Number],0),MATCH(IFERROR(A293+0,A293),tbl_Onsite[Job Number],0)))),IFERROR(IF(INDEX(tbl_Production[Job Description],IFERROR(MATCH(A293&amp;"",tbl_Production[Job Number],0),MATCH(IFERROR(A293+0,A293),tbl_Production[Job Number],0)))="","",INDEX(tbl_Production[Job Description],IFERROR(MATCH(A293&amp;"",tbl_Production[Job Number],0),MATCH(IFERROR(A293+0,A293),tbl_Production[Job Number],0)))),IFERROR(IF(INDEX(tbl_Consulting[Job Description],IFERROR(MATCH(A293&amp;"",tbl_Consulting[Job Number],0),MATCH(IFERROR(A293+0,A293),tbl_Consulting[Job Number],0)))="","",INDEX(tbl_Consulting[Job Description],IFERROR(MATCH(A293&amp;"",tbl_Consulting[Job Number],0),MATCH(IFERROR(A293+0,A293),tbl_Consulting[Job Number],0)))),""))))</f>
        <v/>
      </c>
      <c r="L293" s="26">
        <f>IF(A293="","",IFERROR(IF(INDEX(tbl_Onsite[Invoice Type],IFERROR(MATCH(A293&amp;"",tbl_Onsite[Job Number],0),MATCH(IFERROR(A293+0,A293),tbl_Onsite[Job Number],0)))="","",INDEX(tbl_Onsite[Invoice Type],IFERROR(MATCH(A293&amp;"",tbl_Onsite[Job Number],0),MATCH(IFERROR(A293+0,A293),tbl_Onsite[Job Number],0)))),IFERROR(IF(INDEX(tbl_Production[Invoice Type],IFERROR(MATCH(A293&amp;"",tbl_Production[Job Number],0),MATCH(IFERROR(A293+0,A293),tbl_Production[Job Number],0)))="","",INDEX(tbl_Production[Invoice Type],IFERROR(MATCH(A293&amp;"",tbl_Production[Job Number],0),MATCH(IFERROR(A293+0,A293),tbl_Production[Job Number],0)))),IFERROR(IF(INDEX(tbl_Consulting[Invoice Type],IFERROR(MATCH(A293&amp;"",tbl_Consulting[Job Number],0),MATCH(IFERROR(A293+0,A293),tbl_Consulting[Job Number],0)))="","",INDEX(tbl_Consulting[Invoice Type],IFERROR(MATCH(A293&amp;"",tbl_Consulting[Job Number],0),MATCH(IFERROR(A293+0,A293),tbl_Consulting[Job Number],0)))),""))))</f>
        <v/>
      </c>
      <c r="M293" s="26">
        <f>IF(A293="","",IF(IFERROR(IF(INDEX(tbl_Onsite[Tax Code],IFERROR(MATCH(A293&amp;"",tbl_Onsite[Job Number],0),MATCH(IFERROR(A293+0,A293),tbl_Onsite[Job Number],0)))="","",INDEX(tbl_Onsite[Tax Code],IFERROR(MATCH(A293&amp;"",tbl_Onsite[Job Number],0),MATCH(IFERROR(A293+0,A293),tbl_Onsite[Job Number],0)))),IFERROR(IF(INDEX(tbl_Production[Tax Code],IFERROR(MATCH(A293&amp;"",tbl_Production[Job Number],0),MATCH(IFERROR(A293+0,A293),tbl_Production[Job Number],0)))="","",INDEX(tbl_Production[Tax Code],IFERROR(MATCH(A293&amp;"",tbl_Production[Job Number],0),MATCH(IFERROR(A293+0,A293),tbl_Production[Job Number],0)))),IFERROR(IF(INDEX(tbl_Consulting[Tax Code],IFERROR(MATCH(A293&amp;"",tbl_Consulting[Job Number],0),MATCH(IFERROR(A293+0,A293),tbl_Consulting[Job Number],0)))="","",INDEX(tbl_Consulting[Tax Code],IFERROR(MATCH(A293&amp;"",tbl_Consulting[Job Number],0),MATCH(IFERROR(A293+0,A293),tbl_Consulting[Job Number],0)))),"")))="","GST 10%",IFERROR(IF(INDEX(tbl_Onsite[Tax Code],IFERROR(MATCH(A293&amp;"",tbl_Onsite[Job Number],0),MATCH(IFERROR(A293+0,A293),tbl_Onsite[Job Number],0)))="","",INDEX(tbl_Onsite[Tax Code],IFERROR(MATCH(A293&amp;"",tbl_Onsite[Job Number],0),MATCH(IFERROR(A293+0,A293),tbl_Onsite[Job Number],0)))),IFERROR(IF(INDEX(tbl_Production[Tax Code],IFERROR(MATCH(A293&amp;"",tbl_Production[Job Number],0),MATCH(IFERROR(A293+0,A293),tbl_Production[Job Number],0)))="","",INDEX(tbl_Production[Tax Code],IFERROR(MATCH(A293&amp;"",tbl_Production[Job Number],0),MATCH(IFERROR(A293+0,A293),tbl_Production[Job Number],0)))),IFERROR(IF(INDEX(tbl_Consulting[Tax Code],IFERROR(MATCH(A293&amp;"",tbl_Consulting[Job Number],0),MATCH(IFERROR(A293+0,A293),tbl_Consulting[Job Number],0)))="","",INDEX(tbl_Consulting[Tax Code],IFERROR(MATCH(A293&amp;"",tbl_Consulting[Job Number],0),MATCH(IFERROR(A293+0,A293),tbl_Consulting[Job Number],0)))),"")))))</f>
        <v/>
      </c>
      <c r="N293" s="26">
        <f>IF(D293="","",IFERROR(INDEX(lst_CCtoGL,MATCH(D293,lst_CCforGL,0)),""))</f>
        <v/>
      </c>
      <c r="O293" s="27">
        <f>IF(E293="","",IF(M293="GST 10%",ROUND(E293*set_GSTRate,2),0))</f>
        <v/>
      </c>
      <c r="P293" s="27">
        <f>IF(E293="","",E293+O293)</f>
        <v/>
      </c>
      <c r="Q293" s="27">
        <f>IF(A293="","",IFERROR(INDEX(tbl_Onsite[Expected Revenue Ex GST],IFERROR(MATCH(A293&amp;"",tbl_Onsite[Job Number],0),MATCH(IFERROR(A293+0,A293),tbl_Onsite[Job Number],0))),IFERROR(INDEX(tbl_Production[Expected Revenue Ex GST],IFERROR(MATCH(A293&amp;"",tbl_Production[Job Number],0),MATCH(IFERROR(A293+0,A293),tbl_Production[Job Number],0))),IFERROR(INDEX(tbl_Consulting[Expected Revenue Ex GST],IFERROR(MATCH(A293&amp;"",tbl_Consulting[Job Number],0),MATCH(IFERROR(A293+0,A293),tbl_Consulting[Job Number],0))),0))))</f>
        <v/>
      </c>
      <c r="R293" s="27">
        <f>IF(A293="","",SUMIFS(tbl_Finance[Ex GST],tbl_Finance[Job Number],A293&amp;""))</f>
        <v/>
      </c>
      <c r="S293" s="27">
        <f>IF(A293="","",Q293-R293)</f>
        <v/>
      </c>
      <c r="T293" s="26">
        <f>IF(A293="","",IF(Q293=0,"No dept value",IF(ROUND(S293,2)=0,"Agrees",IF(S293&gt;0,"Dept higher - to invoice","Xero higher - check dept"))))</f>
        <v/>
      </c>
      <c r="U293" s="22" t="n"/>
      <c r="V293" s="22" t="n"/>
      <c r="W293" s="23" t="n"/>
      <c r="X293" s="23" t="n"/>
      <c r="Y293" s="22" t="n"/>
      <c r="Z293" s="22" t="n"/>
      <c r="AA293" s="26">
        <f>IF(COUNTA(C293,A293,B293,E293)=0,"",IF(C293="","No date - sits outside every month",IF(A293="","No job number",IF(H293="CHECK","Job number is not in the Xero job list",IF(G293="not set up yet","No department has set this job up - nothing can pull through",IF(D293="","No cost centre",IF(AND(U293="Y",B293=""),"Marked posted to Xero but has no invoice number",IF(N293="","Cost centre has no revenue GL on the Lists sheet",IF(T293="Xero higher - check dept","Invoiced more than the department says the job is worth","")))))))))</f>
        <v/>
      </c>
      <c r="AB293" s="28">
        <f>IF(A293="","",COUNTIFS(tbl_Finance[Job Number],A293&amp;"",tbl_Finance[Ex GST],"&lt;&gt;"))</f>
        <v/>
      </c>
      <c r="AC293" s="27">
        <f>IF(A293="","",SUMIFS(tbl_Finance[Ex GST],tbl_Finance[Job Number],A293&amp;""))</f>
        <v/>
      </c>
      <c r="AD293" s="27">
        <f>IF(A293="","",SUMIFS(tbl_Finance[Ex GST],tbl_Finance[Job Number],A293&amp;"",tbl_Finance[Xero Invoice No],"&lt;&gt;"))</f>
        <v/>
      </c>
      <c r="AE293" s="27">
        <f>IF(A293="","",AC293-AD293)</f>
        <v/>
      </c>
      <c r="AF293" s="26">
        <f>IF(A293="","",IFERROR(IF(INDEX(tbl_Onsite[Qwilr Quote],IFERROR(MATCH(A293&amp;"",tbl_Onsite[Job Number],0),MATCH(IFERROR(A293+0,A293),tbl_Onsite[Job Number],0)))="","",INDEX(tbl_Onsite[Qwilr Quote],IFERROR(MATCH(A293&amp;"",tbl_Onsite[Job Number],0),MATCH(IFERROR(A293+0,A293),tbl_Onsite[Job Number],0)))),IFERROR(IF(IF(INDEX(tbl_Production[Current RMS No],IFERROR(MATCH(A293&amp;"",tbl_Production[Job Number],0),MATCH(IFERROR(A293+0,A293),tbl_Production[Job Number],0)))="",INDEX(tbl_Production[Qwilr Quote],IFERROR(MATCH(A293&amp;"",tbl_Production[Job Number],0),MATCH(IFERROR(A293+0,A293),tbl_Production[Job Number],0))),INDEX(tbl_Production[Current RMS No],IFERROR(MATCH(A293&amp;"",tbl_Production[Job Number],0),MATCH(IFERROR(A293+0,A293),tbl_Production[Job Number],0))))="","",IF(INDEX(tbl_Production[Current RMS No],IFERROR(MATCH(A293&amp;"",tbl_Production[Job Number],0),MATCH(IFERROR(A293+0,A293),tbl_Production[Job Number],0)))="",INDEX(tbl_Production[Qwilr Quote],IFERROR(MATCH(A293&amp;"",tbl_Production[Job Number],0),MATCH(IFERROR(A293+0,A293),tbl_Production[Job Number],0))),INDEX(tbl_Production[Current RMS No],IFERROR(MATCH(A293&amp;"",tbl_Production[Job Number],0),MATCH(IFERROR(A293+0,A293),tbl_Production[Job Number],0))))),IFERROR(IF(INDEX(tbl_Consulting[Qwilr Quote],IFERROR(MATCH(A293&amp;"",tbl_Consulting[Job Number],0),MATCH(IFERROR(A293+0,A293),tbl_Consulting[Job Number],0)))="","",INDEX(tbl_Consulting[Qwilr Quote],IFERROR(MATCH(A293&amp;"",tbl_Consulting[Job Number],0),MATCH(IFERROR(A293+0,A293),tbl_Consulting[Job Number],0)))),""))))</f>
        <v/>
      </c>
      <c r="AG293" s="26">
        <f>IF(AF293="","",IF(AND(LEFT(AF293,4)&lt;&gt;"http",IF(G293="Production",set_RMSBase,set_QwilrBase)=""),"",HYPERLINK(IF(LEFT(AF293,4)="http",AF293,IF(G293="Production",set_RMSBase,set_QwilrBase)&amp;AF293),"Open")))</f>
        <v/>
      </c>
      <c r="AH293" s="27">
        <f>IF(A293="","",IFERROR(INDEX(tbl_Production[Total Expense],IFERROR(MATCH(A293&amp;"",tbl_Production[Job Number],0),MATCH(IFERROR(A293+0,A293),tbl_Production[Job Number],0))),IFERROR(INDEX(tbl_Consulting[Total Expense],IFERROR(MATCH(A293&amp;"",tbl_Consulting[Job Number],0),MATCH(IFERROR(A293+0,A293),tbl_Consulting[Job Number],0))),0)))</f>
        <v/>
      </c>
      <c r="AI293" s="27">
        <f>IF(A293="","",AC293-N(AH293))</f>
        <v/>
      </c>
      <c r="AJ293" s="29">
        <f>IFERROR(AI293/AC293,"")</f>
        <v/>
      </c>
      <c r="AK293" s="26">
        <f>IF(A293="","",IFERROR(IF(INDEX(tbl_Onsite[Notes],IFERROR(MATCH(A293&amp;"",tbl_Onsite[Job Number],0),MATCH(IFERROR(A293+0,A293),tbl_Onsite[Job Number],0)))="","",INDEX(tbl_Onsite[Notes],IFERROR(MATCH(A293&amp;"",tbl_Onsite[Job Number],0),MATCH(IFERROR(A293+0,A293),tbl_Onsite[Job Number],0)))),IFERROR(IF(INDEX(tbl_Production[Notes],IFERROR(MATCH(A293&amp;"",tbl_Production[Job Number],0),MATCH(IFERROR(A293+0,A293),tbl_Production[Job Number],0)))="","",INDEX(tbl_Production[Notes],IFERROR(MATCH(A293&amp;"",tbl_Production[Job Number],0),MATCH(IFERROR(A293+0,A293),tbl_Production[Job Number],0)))),IFERROR(IF(INDEX(tbl_Consulting[Notes],IFERROR(MATCH(A293&amp;"",tbl_Consulting[Job Number],0),MATCH(IFERROR(A293+0,A293),tbl_Consulting[Job Number],0)))="","",INDEX(tbl_Consulting[Notes],IFERROR(MATCH(A293&amp;"",tbl_Consulting[Job Number],0),MATCH(IFERROR(A293+0,A293),tbl_Consulting[Job Number],0)))),""))))</f>
        <v/>
      </c>
    </row>
    <row r="294" ht="15" customHeight="1">
      <c r="A294" s="22" t="n"/>
      <c r="B294" s="22" t="n"/>
      <c r="C294" s="23" t="n"/>
      <c r="D294" s="22" t="n"/>
      <c r="E294" s="24" t="n"/>
      <c r="F294" s="25">
        <f>IF(C294="","",EOMONTH(C294,0))</f>
        <v/>
      </c>
      <c r="G294" s="26">
        <f>IF(A294="","",IF(COUNTIF(tbl_Onsite[Job Number],A294&amp;"")&gt;0,"Onsite",IF(COUNTIF(tbl_Production[Job Number],A294&amp;"")&gt;0,"Production",IF(COUNTIF(tbl_Consulting[Job Number],A294&amp;"")&gt;0,"Consulting","not set up yet"))))</f>
        <v/>
      </c>
      <c r="H294" s="26">
        <f>IF(A294="","",IF(COUNTIF(lst_Jobs,A294&amp;"")&gt;0,"OK","CHECK"))</f>
        <v/>
      </c>
      <c r="I294" s="26">
        <f>IF(A294="","",IFERROR(INDEX(lst_JobName,MATCH(A294&amp;"",lst_Jobs,0)),""))</f>
        <v/>
      </c>
      <c r="J294" s="26">
        <f>IF(A294="","",IFERROR(IF(INDEX(tbl_Onsite[Client],IFERROR(MATCH(A294&amp;"",tbl_Onsite[Job Number],0),MATCH(IFERROR(A294+0,A294),tbl_Onsite[Job Number],0)))="","",INDEX(tbl_Onsite[Client],IFERROR(MATCH(A294&amp;"",tbl_Onsite[Job Number],0),MATCH(IFERROR(A294+0,A294),tbl_Onsite[Job Number],0)))),IFERROR(IF(INDEX(tbl_Production[Client],IFERROR(MATCH(A294&amp;"",tbl_Production[Job Number],0),MATCH(IFERROR(A294+0,A294),tbl_Production[Job Number],0)))="","",INDEX(tbl_Production[Client],IFERROR(MATCH(A294&amp;"",tbl_Production[Job Number],0),MATCH(IFERROR(A294+0,A294),tbl_Production[Job Number],0)))),IFERROR(IF(INDEX(tbl_Consulting[Client],IFERROR(MATCH(A294&amp;"",tbl_Consulting[Job Number],0),MATCH(IFERROR(A294+0,A294),tbl_Consulting[Job Number],0)))="","",INDEX(tbl_Consulting[Client],IFERROR(MATCH(A294&amp;"",tbl_Consulting[Job Number],0),MATCH(IFERROR(A294+0,A294),tbl_Consulting[Job Number],0)))),""))))</f>
        <v/>
      </c>
      <c r="K294" s="26">
        <f>IF(A294="","",IFERROR(IF(INDEX(tbl_Onsite[Job Description],IFERROR(MATCH(A294&amp;"",tbl_Onsite[Job Number],0),MATCH(IFERROR(A294+0,A294),tbl_Onsite[Job Number],0)))="","",INDEX(tbl_Onsite[Job Description],IFERROR(MATCH(A294&amp;"",tbl_Onsite[Job Number],0),MATCH(IFERROR(A294+0,A294),tbl_Onsite[Job Number],0)))),IFERROR(IF(INDEX(tbl_Production[Job Description],IFERROR(MATCH(A294&amp;"",tbl_Production[Job Number],0),MATCH(IFERROR(A294+0,A294),tbl_Production[Job Number],0)))="","",INDEX(tbl_Production[Job Description],IFERROR(MATCH(A294&amp;"",tbl_Production[Job Number],0),MATCH(IFERROR(A294+0,A294),tbl_Production[Job Number],0)))),IFERROR(IF(INDEX(tbl_Consulting[Job Description],IFERROR(MATCH(A294&amp;"",tbl_Consulting[Job Number],0),MATCH(IFERROR(A294+0,A294),tbl_Consulting[Job Number],0)))="","",INDEX(tbl_Consulting[Job Description],IFERROR(MATCH(A294&amp;"",tbl_Consulting[Job Number],0),MATCH(IFERROR(A294+0,A294),tbl_Consulting[Job Number],0)))),""))))</f>
        <v/>
      </c>
      <c r="L294" s="26">
        <f>IF(A294="","",IFERROR(IF(INDEX(tbl_Onsite[Invoice Type],IFERROR(MATCH(A294&amp;"",tbl_Onsite[Job Number],0),MATCH(IFERROR(A294+0,A294),tbl_Onsite[Job Number],0)))="","",INDEX(tbl_Onsite[Invoice Type],IFERROR(MATCH(A294&amp;"",tbl_Onsite[Job Number],0),MATCH(IFERROR(A294+0,A294),tbl_Onsite[Job Number],0)))),IFERROR(IF(INDEX(tbl_Production[Invoice Type],IFERROR(MATCH(A294&amp;"",tbl_Production[Job Number],0),MATCH(IFERROR(A294+0,A294),tbl_Production[Job Number],0)))="","",INDEX(tbl_Production[Invoice Type],IFERROR(MATCH(A294&amp;"",tbl_Production[Job Number],0),MATCH(IFERROR(A294+0,A294),tbl_Production[Job Number],0)))),IFERROR(IF(INDEX(tbl_Consulting[Invoice Type],IFERROR(MATCH(A294&amp;"",tbl_Consulting[Job Number],0),MATCH(IFERROR(A294+0,A294),tbl_Consulting[Job Number],0)))="","",INDEX(tbl_Consulting[Invoice Type],IFERROR(MATCH(A294&amp;"",tbl_Consulting[Job Number],0),MATCH(IFERROR(A294+0,A294),tbl_Consulting[Job Number],0)))),""))))</f>
        <v/>
      </c>
      <c r="M294" s="26">
        <f>IF(A294="","",IF(IFERROR(IF(INDEX(tbl_Onsite[Tax Code],IFERROR(MATCH(A294&amp;"",tbl_Onsite[Job Number],0),MATCH(IFERROR(A294+0,A294),tbl_Onsite[Job Number],0)))="","",INDEX(tbl_Onsite[Tax Code],IFERROR(MATCH(A294&amp;"",tbl_Onsite[Job Number],0),MATCH(IFERROR(A294+0,A294),tbl_Onsite[Job Number],0)))),IFERROR(IF(INDEX(tbl_Production[Tax Code],IFERROR(MATCH(A294&amp;"",tbl_Production[Job Number],0),MATCH(IFERROR(A294+0,A294),tbl_Production[Job Number],0)))="","",INDEX(tbl_Production[Tax Code],IFERROR(MATCH(A294&amp;"",tbl_Production[Job Number],0),MATCH(IFERROR(A294+0,A294),tbl_Production[Job Number],0)))),IFERROR(IF(INDEX(tbl_Consulting[Tax Code],IFERROR(MATCH(A294&amp;"",tbl_Consulting[Job Number],0),MATCH(IFERROR(A294+0,A294),tbl_Consulting[Job Number],0)))="","",INDEX(tbl_Consulting[Tax Code],IFERROR(MATCH(A294&amp;"",tbl_Consulting[Job Number],0),MATCH(IFERROR(A294+0,A294),tbl_Consulting[Job Number],0)))),"")))="","GST 10%",IFERROR(IF(INDEX(tbl_Onsite[Tax Code],IFERROR(MATCH(A294&amp;"",tbl_Onsite[Job Number],0),MATCH(IFERROR(A294+0,A294),tbl_Onsite[Job Number],0)))="","",INDEX(tbl_Onsite[Tax Code],IFERROR(MATCH(A294&amp;"",tbl_Onsite[Job Number],0),MATCH(IFERROR(A294+0,A294),tbl_Onsite[Job Number],0)))),IFERROR(IF(INDEX(tbl_Production[Tax Code],IFERROR(MATCH(A294&amp;"",tbl_Production[Job Number],0),MATCH(IFERROR(A294+0,A294),tbl_Production[Job Number],0)))="","",INDEX(tbl_Production[Tax Code],IFERROR(MATCH(A294&amp;"",tbl_Production[Job Number],0),MATCH(IFERROR(A294+0,A294),tbl_Production[Job Number],0)))),IFERROR(IF(INDEX(tbl_Consulting[Tax Code],IFERROR(MATCH(A294&amp;"",tbl_Consulting[Job Number],0),MATCH(IFERROR(A294+0,A294),tbl_Consulting[Job Number],0)))="","",INDEX(tbl_Consulting[Tax Code],IFERROR(MATCH(A294&amp;"",tbl_Consulting[Job Number],0),MATCH(IFERROR(A294+0,A294),tbl_Consulting[Job Number],0)))),"")))))</f>
        <v/>
      </c>
      <c r="N294" s="26">
        <f>IF(D294="","",IFERROR(INDEX(lst_CCtoGL,MATCH(D294,lst_CCforGL,0)),""))</f>
        <v/>
      </c>
      <c r="O294" s="27">
        <f>IF(E294="","",IF(M294="GST 10%",ROUND(E294*set_GSTRate,2),0))</f>
        <v/>
      </c>
      <c r="P294" s="27">
        <f>IF(E294="","",E294+O294)</f>
        <v/>
      </c>
      <c r="Q294" s="27">
        <f>IF(A294="","",IFERROR(INDEX(tbl_Onsite[Expected Revenue Ex GST],IFERROR(MATCH(A294&amp;"",tbl_Onsite[Job Number],0),MATCH(IFERROR(A294+0,A294),tbl_Onsite[Job Number],0))),IFERROR(INDEX(tbl_Production[Expected Revenue Ex GST],IFERROR(MATCH(A294&amp;"",tbl_Production[Job Number],0),MATCH(IFERROR(A294+0,A294),tbl_Production[Job Number],0))),IFERROR(INDEX(tbl_Consulting[Expected Revenue Ex GST],IFERROR(MATCH(A294&amp;"",tbl_Consulting[Job Number],0),MATCH(IFERROR(A294+0,A294),tbl_Consulting[Job Number],0))),0))))</f>
        <v/>
      </c>
      <c r="R294" s="27">
        <f>IF(A294="","",SUMIFS(tbl_Finance[Ex GST],tbl_Finance[Job Number],A294&amp;""))</f>
        <v/>
      </c>
      <c r="S294" s="27">
        <f>IF(A294="","",Q294-R294)</f>
        <v/>
      </c>
      <c r="T294" s="26">
        <f>IF(A294="","",IF(Q294=0,"No dept value",IF(ROUND(S294,2)=0,"Agrees",IF(S294&gt;0,"Dept higher - to invoice","Xero higher - check dept"))))</f>
        <v/>
      </c>
      <c r="U294" s="22" t="n"/>
      <c r="V294" s="22" t="n"/>
      <c r="W294" s="23" t="n"/>
      <c r="X294" s="23" t="n"/>
      <c r="Y294" s="22" t="n"/>
      <c r="Z294" s="22" t="n"/>
      <c r="AA294" s="26">
        <f>IF(COUNTA(C294,A294,B294,E294)=0,"",IF(C294="","No date - sits outside every month",IF(A294="","No job number",IF(H294="CHECK","Job number is not in the Xero job list",IF(G294="not set up yet","No department has set this job up - nothing can pull through",IF(D294="","No cost centre",IF(AND(U294="Y",B294=""),"Marked posted to Xero but has no invoice number",IF(N294="","Cost centre has no revenue GL on the Lists sheet",IF(T294="Xero higher - check dept","Invoiced more than the department says the job is worth","")))))))))</f>
        <v/>
      </c>
      <c r="AB294" s="28">
        <f>IF(A294="","",COUNTIFS(tbl_Finance[Job Number],A294&amp;"",tbl_Finance[Ex GST],"&lt;&gt;"))</f>
        <v/>
      </c>
      <c r="AC294" s="27">
        <f>IF(A294="","",SUMIFS(tbl_Finance[Ex GST],tbl_Finance[Job Number],A294&amp;""))</f>
        <v/>
      </c>
      <c r="AD294" s="27">
        <f>IF(A294="","",SUMIFS(tbl_Finance[Ex GST],tbl_Finance[Job Number],A294&amp;"",tbl_Finance[Xero Invoice No],"&lt;&gt;"))</f>
        <v/>
      </c>
      <c r="AE294" s="27">
        <f>IF(A294="","",AC294-AD294)</f>
        <v/>
      </c>
      <c r="AF294" s="26">
        <f>IF(A294="","",IFERROR(IF(INDEX(tbl_Onsite[Qwilr Quote],IFERROR(MATCH(A294&amp;"",tbl_Onsite[Job Number],0),MATCH(IFERROR(A294+0,A294),tbl_Onsite[Job Number],0)))="","",INDEX(tbl_Onsite[Qwilr Quote],IFERROR(MATCH(A294&amp;"",tbl_Onsite[Job Number],0),MATCH(IFERROR(A294+0,A294),tbl_Onsite[Job Number],0)))),IFERROR(IF(IF(INDEX(tbl_Production[Current RMS No],IFERROR(MATCH(A294&amp;"",tbl_Production[Job Number],0),MATCH(IFERROR(A294+0,A294),tbl_Production[Job Number],0)))="",INDEX(tbl_Production[Qwilr Quote],IFERROR(MATCH(A294&amp;"",tbl_Production[Job Number],0),MATCH(IFERROR(A294+0,A294),tbl_Production[Job Number],0))),INDEX(tbl_Production[Current RMS No],IFERROR(MATCH(A294&amp;"",tbl_Production[Job Number],0),MATCH(IFERROR(A294+0,A294),tbl_Production[Job Number],0))))="","",IF(INDEX(tbl_Production[Current RMS No],IFERROR(MATCH(A294&amp;"",tbl_Production[Job Number],0),MATCH(IFERROR(A294+0,A294),tbl_Production[Job Number],0)))="",INDEX(tbl_Production[Qwilr Quote],IFERROR(MATCH(A294&amp;"",tbl_Production[Job Number],0),MATCH(IFERROR(A294+0,A294),tbl_Production[Job Number],0))),INDEX(tbl_Production[Current RMS No],IFERROR(MATCH(A294&amp;"",tbl_Production[Job Number],0),MATCH(IFERROR(A294+0,A294),tbl_Production[Job Number],0))))),IFERROR(IF(INDEX(tbl_Consulting[Qwilr Quote],IFERROR(MATCH(A294&amp;"",tbl_Consulting[Job Number],0),MATCH(IFERROR(A294+0,A294),tbl_Consulting[Job Number],0)))="","",INDEX(tbl_Consulting[Qwilr Quote],IFERROR(MATCH(A294&amp;"",tbl_Consulting[Job Number],0),MATCH(IFERROR(A294+0,A294),tbl_Consulting[Job Number],0)))),""))))</f>
        <v/>
      </c>
      <c r="AG294" s="26">
        <f>IF(AF294="","",IF(AND(LEFT(AF294,4)&lt;&gt;"http",IF(G294="Production",set_RMSBase,set_QwilrBase)=""),"",HYPERLINK(IF(LEFT(AF294,4)="http",AF294,IF(G294="Production",set_RMSBase,set_QwilrBase)&amp;AF294),"Open")))</f>
        <v/>
      </c>
      <c r="AH294" s="27">
        <f>IF(A294="","",IFERROR(INDEX(tbl_Production[Total Expense],IFERROR(MATCH(A294&amp;"",tbl_Production[Job Number],0),MATCH(IFERROR(A294+0,A294),tbl_Production[Job Number],0))),IFERROR(INDEX(tbl_Consulting[Total Expense],IFERROR(MATCH(A294&amp;"",tbl_Consulting[Job Number],0),MATCH(IFERROR(A294+0,A294),tbl_Consulting[Job Number],0))),0)))</f>
        <v/>
      </c>
      <c r="AI294" s="27">
        <f>IF(A294="","",AC294-N(AH294))</f>
        <v/>
      </c>
      <c r="AJ294" s="29">
        <f>IFERROR(AI294/AC294,"")</f>
        <v/>
      </c>
      <c r="AK294" s="26">
        <f>IF(A294="","",IFERROR(IF(INDEX(tbl_Onsite[Notes],IFERROR(MATCH(A294&amp;"",tbl_Onsite[Job Number],0),MATCH(IFERROR(A294+0,A294),tbl_Onsite[Job Number],0)))="","",INDEX(tbl_Onsite[Notes],IFERROR(MATCH(A294&amp;"",tbl_Onsite[Job Number],0),MATCH(IFERROR(A294+0,A294),tbl_Onsite[Job Number],0)))),IFERROR(IF(INDEX(tbl_Production[Notes],IFERROR(MATCH(A294&amp;"",tbl_Production[Job Number],0),MATCH(IFERROR(A294+0,A294),tbl_Production[Job Number],0)))="","",INDEX(tbl_Production[Notes],IFERROR(MATCH(A294&amp;"",tbl_Production[Job Number],0),MATCH(IFERROR(A294+0,A294),tbl_Production[Job Number],0)))),IFERROR(IF(INDEX(tbl_Consulting[Notes],IFERROR(MATCH(A294&amp;"",tbl_Consulting[Job Number],0),MATCH(IFERROR(A294+0,A294),tbl_Consulting[Job Number],0)))="","",INDEX(tbl_Consulting[Notes],IFERROR(MATCH(A294&amp;"",tbl_Consulting[Job Number],0),MATCH(IFERROR(A294+0,A294),tbl_Consulting[Job Number],0)))),""))))</f>
        <v/>
      </c>
    </row>
    <row r="295" ht="15" customHeight="1">
      <c r="A295" s="22" t="n"/>
      <c r="B295" s="22" t="n"/>
      <c r="C295" s="23" t="n"/>
      <c r="D295" s="22" t="n"/>
      <c r="E295" s="24" t="n"/>
      <c r="F295" s="25">
        <f>IF(C295="","",EOMONTH(C295,0))</f>
        <v/>
      </c>
      <c r="G295" s="26">
        <f>IF(A295="","",IF(COUNTIF(tbl_Onsite[Job Number],A295&amp;"")&gt;0,"Onsite",IF(COUNTIF(tbl_Production[Job Number],A295&amp;"")&gt;0,"Production",IF(COUNTIF(tbl_Consulting[Job Number],A295&amp;"")&gt;0,"Consulting","not set up yet"))))</f>
        <v/>
      </c>
      <c r="H295" s="26">
        <f>IF(A295="","",IF(COUNTIF(lst_Jobs,A295&amp;"")&gt;0,"OK","CHECK"))</f>
        <v/>
      </c>
      <c r="I295" s="26">
        <f>IF(A295="","",IFERROR(INDEX(lst_JobName,MATCH(A295&amp;"",lst_Jobs,0)),""))</f>
        <v/>
      </c>
      <c r="J295" s="26">
        <f>IF(A295="","",IFERROR(IF(INDEX(tbl_Onsite[Client],IFERROR(MATCH(A295&amp;"",tbl_Onsite[Job Number],0),MATCH(IFERROR(A295+0,A295),tbl_Onsite[Job Number],0)))="","",INDEX(tbl_Onsite[Client],IFERROR(MATCH(A295&amp;"",tbl_Onsite[Job Number],0),MATCH(IFERROR(A295+0,A295),tbl_Onsite[Job Number],0)))),IFERROR(IF(INDEX(tbl_Production[Client],IFERROR(MATCH(A295&amp;"",tbl_Production[Job Number],0),MATCH(IFERROR(A295+0,A295),tbl_Production[Job Number],0)))="","",INDEX(tbl_Production[Client],IFERROR(MATCH(A295&amp;"",tbl_Production[Job Number],0),MATCH(IFERROR(A295+0,A295),tbl_Production[Job Number],0)))),IFERROR(IF(INDEX(tbl_Consulting[Client],IFERROR(MATCH(A295&amp;"",tbl_Consulting[Job Number],0),MATCH(IFERROR(A295+0,A295),tbl_Consulting[Job Number],0)))="","",INDEX(tbl_Consulting[Client],IFERROR(MATCH(A295&amp;"",tbl_Consulting[Job Number],0),MATCH(IFERROR(A295+0,A295),tbl_Consulting[Job Number],0)))),""))))</f>
        <v/>
      </c>
      <c r="K295" s="26">
        <f>IF(A295="","",IFERROR(IF(INDEX(tbl_Onsite[Job Description],IFERROR(MATCH(A295&amp;"",tbl_Onsite[Job Number],0),MATCH(IFERROR(A295+0,A295),tbl_Onsite[Job Number],0)))="","",INDEX(tbl_Onsite[Job Description],IFERROR(MATCH(A295&amp;"",tbl_Onsite[Job Number],0),MATCH(IFERROR(A295+0,A295),tbl_Onsite[Job Number],0)))),IFERROR(IF(INDEX(tbl_Production[Job Description],IFERROR(MATCH(A295&amp;"",tbl_Production[Job Number],0),MATCH(IFERROR(A295+0,A295),tbl_Production[Job Number],0)))="","",INDEX(tbl_Production[Job Description],IFERROR(MATCH(A295&amp;"",tbl_Production[Job Number],0),MATCH(IFERROR(A295+0,A295),tbl_Production[Job Number],0)))),IFERROR(IF(INDEX(tbl_Consulting[Job Description],IFERROR(MATCH(A295&amp;"",tbl_Consulting[Job Number],0),MATCH(IFERROR(A295+0,A295),tbl_Consulting[Job Number],0)))="","",INDEX(tbl_Consulting[Job Description],IFERROR(MATCH(A295&amp;"",tbl_Consulting[Job Number],0),MATCH(IFERROR(A295+0,A295),tbl_Consulting[Job Number],0)))),""))))</f>
        <v/>
      </c>
      <c r="L295" s="26">
        <f>IF(A295="","",IFERROR(IF(INDEX(tbl_Onsite[Invoice Type],IFERROR(MATCH(A295&amp;"",tbl_Onsite[Job Number],0),MATCH(IFERROR(A295+0,A295),tbl_Onsite[Job Number],0)))="","",INDEX(tbl_Onsite[Invoice Type],IFERROR(MATCH(A295&amp;"",tbl_Onsite[Job Number],0),MATCH(IFERROR(A295+0,A295),tbl_Onsite[Job Number],0)))),IFERROR(IF(INDEX(tbl_Production[Invoice Type],IFERROR(MATCH(A295&amp;"",tbl_Production[Job Number],0),MATCH(IFERROR(A295+0,A295),tbl_Production[Job Number],0)))="","",INDEX(tbl_Production[Invoice Type],IFERROR(MATCH(A295&amp;"",tbl_Production[Job Number],0),MATCH(IFERROR(A295+0,A295),tbl_Production[Job Number],0)))),IFERROR(IF(INDEX(tbl_Consulting[Invoice Type],IFERROR(MATCH(A295&amp;"",tbl_Consulting[Job Number],0),MATCH(IFERROR(A295+0,A295),tbl_Consulting[Job Number],0)))="","",INDEX(tbl_Consulting[Invoice Type],IFERROR(MATCH(A295&amp;"",tbl_Consulting[Job Number],0),MATCH(IFERROR(A295+0,A295),tbl_Consulting[Job Number],0)))),""))))</f>
        <v/>
      </c>
      <c r="M295" s="26">
        <f>IF(A295="","",IF(IFERROR(IF(INDEX(tbl_Onsite[Tax Code],IFERROR(MATCH(A295&amp;"",tbl_Onsite[Job Number],0),MATCH(IFERROR(A295+0,A295),tbl_Onsite[Job Number],0)))="","",INDEX(tbl_Onsite[Tax Code],IFERROR(MATCH(A295&amp;"",tbl_Onsite[Job Number],0),MATCH(IFERROR(A295+0,A295),tbl_Onsite[Job Number],0)))),IFERROR(IF(INDEX(tbl_Production[Tax Code],IFERROR(MATCH(A295&amp;"",tbl_Production[Job Number],0),MATCH(IFERROR(A295+0,A295),tbl_Production[Job Number],0)))="","",INDEX(tbl_Production[Tax Code],IFERROR(MATCH(A295&amp;"",tbl_Production[Job Number],0),MATCH(IFERROR(A295+0,A295),tbl_Production[Job Number],0)))),IFERROR(IF(INDEX(tbl_Consulting[Tax Code],IFERROR(MATCH(A295&amp;"",tbl_Consulting[Job Number],0),MATCH(IFERROR(A295+0,A295),tbl_Consulting[Job Number],0)))="","",INDEX(tbl_Consulting[Tax Code],IFERROR(MATCH(A295&amp;"",tbl_Consulting[Job Number],0),MATCH(IFERROR(A295+0,A295),tbl_Consulting[Job Number],0)))),"")))="","GST 10%",IFERROR(IF(INDEX(tbl_Onsite[Tax Code],IFERROR(MATCH(A295&amp;"",tbl_Onsite[Job Number],0),MATCH(IFERROR(A295+0,A295),tbl_Onsite[Job Number],0)))="","",INDEX(tbl_Onsite[Tax Code],IFERROR(MATCH(A295&amp;"",tbl_Onsite[Job Number],0),MATCH(IFERROR(A295+0,A295),tbl_Onsite[Job Number],0)))),IFERROR(IF(INDEX(tbl_Production[Tax Code],IFERROR(MATCH(A295&amp;"",tbl_Production[Job Number],0),MATCH(IFERROR(A295+0,A295),tbl_Production[Job Number],0)))="","",INDEX(tbl_Production[Tax Code],IFERROR(MATCH(A295&amp;"",tbl_Production[Job Number],0),MATCH(IFERROR(A295+0,A295),tbl_Production[Job Number],0)))),IFERROR(IF(INDEX(tbl_Consulting[Tax Code],IFERROR(MATCH(A295&amp;"",tbl_Consulting[Job Number],0),MATCH(IFERROR(A295+0,A295),tbl_Consulting[Job Number],0)))="","",INDEX(tbl_Consulting[Tax Code],IFERROR(MATCH(A295&amp;"",tbl_Consulting[Job Number],0),MATCH(IFERROR(A295+0,A295),tbl_Consulting[Job Number],0)))),"")))))</f>
        <v/>
      </c>
      <c r="N295" s="26">
        <f>IF(D295="","",IFERROR(INDEX(lst_CCtoGL,MATCH(D295,lst_CCforGL,0)),""))</f>
        <v/>
      </c>
      <c r="O295" s="27">
        <f>IF(E295="","",IF(M295="GST 10%",ROUND(E295*set_GSTRate,2),0))</f>
        <v/>
      </c>
      <c r="P295" s="27">
        <f>IF(E295="","",E295+O295)</f>
        <v/>
      </c>
      <c r="Q295" s="27">
        <f>IF(A295="","",IFERROR(INDEX(tbl_Onsite[Expected Revenue Ex GST],IFERROR(MATCH(A295&amp;"",tbl_Onsite[Job Number],0),MATCH(IFERROR(A295+0,A295),tbl_Onsite[Job Number],0))),IFERROR(INDEX(tbl_Production[Expected Revenue Ex GST],IFERROR(MATCH(A295&amp;"",tbl_Production[Job Number],0),MATCH(IFERROR(A295+0,A295),tbl_Production[Job Number],0))),IFERROR(INDEX(tbl_Consulting[Expected Revenue Ex GST],IFERROR(MATCH(A295&amp;"",tbl_Consulting[Job Number],0),MATCH(IFERROR(A295+0,A295),tbl_Consulting[Job Number],0))),0))))</f>
        <v/>
      </c>
      <c r="R295" s="27">
        <f>IF(A295="","",SUMIFS(tbl_Finance[Ex GST],tbl_Finance[Job Number],A295&amp;""))</f>
        <v/>
      </c>
      <c r="S295" s="27">
        <f>IF(A295="","",Q295-R295)</f>
        <v/>
      </c>
      <c r="T295" s="26">
        <f>IF(A295="","",IF(Q295=0,"No dept value",IF(ROUND(S295,2)=0,"Agrees",IF(S295&gt;0,"Dept higher - to invoice","Xero higher - check dept"))))</f>
        <v/>
      </c>
      <c r="U295" s="22" t="n"/>
      <c r="V295" s="22" t="n"/>
      <c r="W295" s="23" t="n"/>
      <c r="X295" s="23" t="n"/>
      <c r="Y295" s="22" t="n"/>
      <c r="Z295" s="22" t="n"/>
      <c r="AA295" s="26">
        <f>IF(COUNTA(C295,A295,B295,E295)=0,"",IF(C295="","No date - sits outside every month",IF(A295="","No job number",IF(H295="CHECK","Job number is not in the Xero job list",IF(G295="not set up yet","No department has set this job up - nothing can pull through",IF(D295="","No cost centre",IF(AND(U295="Y",B295=""),"Marked posted to Xero but has no invoice number",IF(N295="","Cost centre has no revenue GL on the Lists sheet",IF(T295="Xero higher - check dept","Invoiced more than the department says the job is worth","")))))))))</f>
        <v/>
      </c>
      <c r="AB295" s="28">
        <f>IF(A295="","",COUNTIFS(tbl_Finance[Job Number],A295&amp;"",tbl_Finance[Ex GST],"&lt;&gt;"))</f>
        <v/>
      </c>
      <c r="AC295" s="27">
        <f>IF(A295="","",SUMIFS(tbl_Finance[Ex GST],tbl_Finance[Job Number],A295&amp;""))</f>
        <v/>
      </c>
      <c r="AD295" s="27">
        <f>IF(A295="","",SUMIFS(tbl_Finance[Ex GST],tbl_Finance[Job Number],A295&amp;"",tbl_Finance[Xero Invoice No],"&lt;&gt;"))</f>
        <v/>
      </c>
      <c r="AE295" s="27">
        <f>IF(A295="","",AC295-AD295)</f>
        <v/>
      </c>
      <c r="AF295" s="26">
        <f>IF(A295="","",IFERROR(IF(INDEX(tbl_Onsite[Qwilr Quote],IFERROR(MATCH(A295&amp;"",tbl_Onsite[Job Number],0),MATCH(IFERROR(A295+0,A295),tbl_Onsite[Job Number],0)))="","",INDEX(tbl_Onsite[Qwilr Quote],IFERROR(MATCH(A295&amp;"",tbl_Onsite[Job Number],0),MATCH(IFERROR(A295+0,A295),tbl_Onsite[Job Number],0)))),IFERROR(IF(IF(INDEX(tbl_Production[Current RMS No],IFERROR(MATCH(A295&amp;"",tbl_Production[Job Number],0),MATCH(IFERROR(A295+0,A295),tbl_Production[Job Number],0)))="",INDEX(tbl_Production[Qwilr Quote],IFERROR(MATCH(A295&amp;"",tbl_Production[Job Number],0),MATCH(IFERROR(A295+0,A295),tbl_Production[Job Number],0))),INDEX(tbl_Production[Current RMS No],IFERROR(MATCH(A295&amp;"",tbl_Production[Job Number],0),MATCH(IFERROR(A295+0,A295),tbl_Production[Job Number],0))))="","",IF(INDEX(tbl_Production[Current RMS No],IFERROR(MATCH(A295&amp;"",tbl_Production[Job Number],0),MATCH(IFERROR(A295+0,A295),tbl_Production[Job Number],0)))="",INDEX(tbl_Production[Qwilr Quote],IFERROR(MATCH(A295&amp;"",tbl_Production[Job Number],0),MATCH(IFERROR(A295+0,A295),tbl_Production[Job Number],0))),INDEX(tbl_Production[Current RMS No],IFERROR(MATCH(A295&amp;"",tbl_Production[Job Number],0),MATCH(IFERROR(A295+0,A295),tbl_Production[Job Number],0))))),IFERROR(IF(INDEX(tbl_Consulting[Qwilr Quote],IFERROR(MATCH(A295&amp;"",tbl_Consulting[Job Number],0),MATCH(IFERROR(A295+0,A295),tbl_Consulting[Job Number],0)))="","",INDEX(tbl_Consulting[Qwilr Quote],IFERROR(MATCH(A295&amp;"",tbl_Consulting[Job Number],0),MATCH(IFERROR(A295+0,A295),tbl_Consulting[Job Number],0)))),""))))</f>
        <v/>
      </c>
      <c r="AG295" s="26">
        <f>IF(AF295="","",IF(AND(LEFT(AF295,4)&lt;&gt;"http",IF(G295="Production",set_RMSBase,set_QwilrBase)=""),"",HYPERLINK(IF(LEFT(AF295,4)="http",AF295,IF(G295="Production",set_RMSBase,set_QwilrBase)&amp;AF295),"Open")))</f>
        <v/>
      </c>
      <c r="AH295" s="27">
        <f>IF(A295="","",IFERROR(INDEX(tbl_Production[Total Expense],IFERROR(MATCH(A295&amp;"",tbl_Production[Job Number],0),MATCH(IFERROR(A295+0,A295),tbl_Production[Job Number],0))),IFERROR(INDEX(tbl_Consulting[Total Expense],IFERROR(MATCH(A295&amp;"",tbl_Consulting[Job Number],0),MATCH(IFERROR(A295+0,A295),tbl_Consulting[Job Number],0))),0)))</f>
        <v/>
      </c>
      <c r="AI295" s="27">
        <f>IF(A295="","",AC295-N(AH295))</f>
        <v/>
      </c>
      <c r="AJ295" s="29">
        <f>IFERROR(AI295/AC295,"")</f>
        <v/>
      </c>
      <c r="AK295" s="26">
        <f>IF(A295="","",IFERROR(IF(INDEX(tbl_Onsite[Notes],IFERROR(MATCH(A295&amp;"",tbl_Onsite[Job Number],0),MATCH(IFERROR(A295+0,A295),tbl_Onsite[Job Number],0)))="","",INDEX(tbl_Onsite[Notes],IFERROR(MATCH(A295&amp;"",tbl_Onsite[Job Number],0),MATCH(IFERROR(A295+0,A295),tbl_Onsite[Job Number],0)))),IFERROR(IF(INDEX(tbl_Production[Notes],IFERROR(MATCH(A295&amp;"",tbl_Production[Job Number],0),MATCH(IFERROR(A295+0,A295),tbl_Production[Job Number],0)))="","",INDEX(tbl_Production[Notes],IFERROR(MATCH(A295&amp;"",tbl_Production[Job Number],0),MATCH(IFERROR(A295+0,A295),tbl_Production[Job Number],0)))),IFERROR(IF(INDEX(tbl_Consulting[Notes],IFERROR(MATCH(A295&amp;"",tbl_Consulting[Job Number],0),MATCH(IFERROR(A295+0,A295),tbl_Consulting[Job Number],0)))="","",INDEX(tbl_Consulting[Notes],IFERROR(MATCH(A295&amp;"",tbl_Consulting[Job Number],0),MATCH(IFERROR(A295+0,A295),tbl_Consulting[Job Number],0)))),""))))</f>
        <v/>
      </c>
    </row>
    <row r="296" ht="15" customHeight="1">
      <c r="A296" s="22" t="n"/>
      <c r="B296" s="22" t="n"/>
      <c r="C296" s="23" t="n"/>
      <c r="D296" s="22" t="n"/>
      <c r="E296" s="24" t="n"/>
      <c r="F296" s="25">
        <f>IF(C296="","",EOMONTH(C296,0))</f>
        <v/>
      </c>
      <c r="G296" s="26">
        <f>IF(A296="","",IF(COUNTIF(tbl_Onsite[Job Number],A296&amp;"")&gt;0,"Onsite",IF(COUNTIF(tbl_Production[Job Number],A296&amp;"")&gt;0,"Production",IF(COUNTIF(tbl_Consulting[Job Number],A296&amp;"")&gt;0,"Consulting","not set up yet"))))</f>
        <v/>
      </c>
      <c r="H296" s="26">
        <f>IF(A296="","",IF(COUNTIF(lst_Jobs,A296&amp;"")&gt;0,"OK","CHECK"))</f>
        <v/>
      </c>
      <c r="I296" s="26">
        <f>IF(A296="","",IFERROR(INDEX(lst_JobName,MATCH(A296&amp;"",lst_Jobs,0)),""))</f>
        <v/>
      </c>
      <c r="J296" s="26">
        <f>IF(A296="","",IFERROR(IF(INDEX(tbl_Onsite[Client],IFERROR(MATCH(A296&amp;"",tbl_Onsite[Job Number],0),MATCH(IFERROR(A296+0,A296),tbl_Onsite[Job Number],0)))="","",INDEX(tbl_Onsite[Client],IFERROR(MATCH(A296&amp;"",tbl_Onsite[Job Number],0),MATCH(IFERROR(A296+0,A296),tbl_Onsite[Job Number],0)))),IFERROR(IF(INDEX(tbl_Production[Client],IFERROR(MATCH(A296&amp;"",tbl_Production[Job Number],0),MATCH(IFERROR(A296+0,A296),tbl_Production[Job Number],0)))="","",INDEX(tbl_Production[Client],IFERROR(MATCH(A296&amp;"",tbl_Production[Job Number],0),MATCH(IFERROR(A296+0,A296),tbl_Production[Job Number],0)))),IFERROR(IF(INDEX(tbl_Consulting[Client],IFERROR(MATCH(A296&amp;"",tbl_Consulting[Job Number],0),MATCH(IFERROR(A296+0,A296),tbl_Consulting[Job Number],0)))="","",INDEX(tbl_Consulting[Client],IFERROR(MATCH(A296&amp;"",tbl_Consulting[Job Number],0),MATCH(IFERROR(A296+0,A296),tbl_Consulting[Job Number],0)))),""))))</f>
        <v/>
      </c>
      <c r="K296" s="26">
        <f>IF(A296="","",IFERROR(IF(INDEX(tbl_Onsite[Job Description],IFERROR(MATCH(A296&amp;"",tbl_Onsite[Job Number],0),MATCH(IFERROR(A296+0,A296),tbl_Onsite[Job Number],0)))="","",INDEX(tbl_Onsite[Job Description],IFERROR(MATCH(A296&amp;"",tbl_Onsite[Job Number],0),MATCH(IFERROR(A296+0,A296),tbl_Onsite[Job Number],0)))),IFERROR(IF(INDEX(tbl_Production[Job Description],IFERROR(MATCH(A296&amp;"",tbl_Production[Job Number],0),MATCH(IFERROR(A296+0,A296),tbl_Production[Job Number],0)))="","",INDEX(tbl_Production[Job Description],IFERROR(MATCH(A296&amp;"",tbl_Production[Job Number],0),MATCH(IFERROR(A296+0,A296),tbl_Production[Job Number],0)))),IFERROR(IF(INDEX(tbl_Consulting[Job Description],IFERROR(MATCH(A296&amp;"",tbl_Consulting[Job Number],0),MATCH(IFERROR(A296+0,A296),tbl_Consulting[Job Number],0)))="","",INDEX(tbl_Consulting[Job Description],IFERROR(MATCH(A296&amp;"",tbl_Consulting[Job Number],0),MATCH(IFERROR(A296+0,A296),tbl_Consulting[Job Number],0)))),""))))</f>
        <v/>
      </c>
      <c r="L296" s="26">
        <f>IF(A296="","",IFERROR(IF(INDEX(tbl_Onsite[Invoice Type],IFERROR(MATCH(A296&amp;"",tbl_Onsite[Job Number],0),MATCH(IFERROR(A296+0,A296),tbl_Onsite[Job Number],0)))="","",INDEX(tbl_Onsite[Invoice Type],IFERROR(MATCH(A296&amp;"",tbl_Onsite[Job Number],0),MATCH(IFERROR(A296+0,A296),tbl_Onsite[Job Number],0)))),IFERROR(IF(INDEX(tbl_Production[Invoice Type],IFERROR(MATCH(A296&amp;"",tbl_Production[Job Number],0),MATCH(IFERROR(A296+0,A296),tbl_Production[Job Number],0)))="","",INDEX(tbl_Production[Invoice Type],IFERROR(MATCH(A296&amp;"",tbl_Production[Job Number],0),MATCH(IFERROR(A296+0,A296),tbl_Production[Job Number],0)))),IFERROR(IF(INDEX(tbl_Consulting[Invoice Type],IFERROR(MATCH(A296&amp;"",tbl_Consulting[Job Number],0),MATCH(IFERROR(A296+0,A296),tbl_Consulting[Job Number],0)))="","",INDEX(tbl_Consulting[Invoice Type],IFERROR(MATCH(A296&amp;"",tbl_Consulting[Job Number],0),MATCH(IFERROR(A296+0,A296),tbl_Consulting[Job Number],0)))),""))))</f>
        <v/>
      </c>
      <c r="M296" s="26">
        <f>IF(A296="","",IF(IFERROR(IF(INDEX(tbl_Onsite[Tax Code],IFERROR(MATCH(A296&amp;"",tbl_Onsite[Job Number],0),MATCH(IFERROR(A296+0,A296),tbl_Onsite[Job Number],0)))="","",INDEX(tbl_Onsite[Tax Code],IFERROR(MATCH(A296&amp;"",tbl_Onsite[Job Number],0),MATCH(IFERROR(A296+0,A296),tbl_Onsite[Job Number],0)))),IFERROR(IF(INDEX(tbl_Production[Tax Code],IFERROR(MATCH(A296&amp;"",tbl_Production[Job Number],0),MATCH(IFERROR(A296+0,A296),tbl_Production[Job Number],0)))="","",INDEX(tbl_Production[Tax Code],IFERROR(MATCH(A296&amp;"",tbl_Production[Job Number],0),MATCH(IFERROR(A296+0,A296),tbl_Production[Job Number],0)))),IFERROR(IF(INDEX(tbl_Consulting[Tax Code],IFERROR(MATCH(A296&amp;"",tbl_Consulting[Job Number],0),MATCH(IFERROR(A296+0,A296),tbl_Consulting[Job Number],0)))="","",INDEX(tbl_Consulting[Tax Code],IFERROR(MATCH(A296&amp;"",tbl_Consulting[Job Number],0),MATCH(IFERROR(A296+0,A296),tbl_Consulting[Job Number],0)))),"")))="","GST 10%",IFERROR(IF(INDEX(tbl_Onsite[Tax Code],IFERROR(MATCH(A296&amp;"",tbl_Onsite[Job Number],0),MATCH(IFERROR(A296+0,A296),tbl_Onsite[Job Number],0)))="","",INDEX(tbl_Onsite[Tax Code],IFERROR(MATCH(A296&amp;"",tbl_Onsite[Job Number],0),MATCH(IFERROR(A296+0,A296),tbl_Onsite[Job Number],0)))),IFERROR(IF(INDEX(tbl_Production[Tax Code],IFERROR(MATCH(A296&amp;"",tbl_Production[Job Number],0),MATCH(IFERROR(A296+0,A296),tbl_Production[Job Number],0)))="","",INDEX(tbl_Production[Tax Code],IFERROR(MATCH(A296&amp;"",tbl_Production[Job Number],0),MATCH(IFERROR(A296+0,A296),tbl_Production[Job Number],0)))),IFERROR(IF(INDEX(tbl_Consulting[Tax Code],IFERROR(MATCH(A296&amp;"",tbl_Consulting[Job Number],0),MATCH(IFERROR(A296+0,A296),tbl_Consulting[Job Number],0)))="","",INDEX(tbl_Consulting[Tax Code],IFERROR(MATCH(A296&amp;"",tbl_Consulting[Job Number],0),MATCH(IFERROR(A296+0,A296),tbl_Consulting[Job Number],0)))),"")))))</f>
        <v/>
      </c>
      <c r="N296" s="26">
        <f>IF(D296="","",IFERROR(INDEX(lst_CCtoGL,MATCH(D296,lst_CCforGL,0)),""))</f>
        <v/>
      </c>
      <c r="O296" s="27">
        <f>IF(E296="","",IF(M296="GST 10%",ROUND(E296*set_GSTRate,2),0))</f>
        <v/>
      </c>
      <c r="P296" s="27">
        <f>IF(E296="","",E296+O296)</f>
        <v/>
      </c>
      <c r="Q296" s="27">
        <f>IF(A296="","",IFERROR(INDEX(tbl_Onsite[Expected Revenue Ex GST],IFERROR(MATCH(A296&amp;"",tbl_Onsite[Job Number],0),MATCH(IFERROR(A296+0,A296),tbl_Onsite[Job Number],0))),IFERROR(INDEX(tbl_Production[Expected Revenue Ex GST],IFERROR(MATCH(A296&amp;"",tbl_Production[Job Number],0),MATCH(IFERROR(A296+0,A296),tbl_Production[Job Number],0))),IFERROR(INDEX(tbl_Consulting[Expected Revenue Ex GST],IFERROR(MATCH(A296&amp;"",tbl_Consulting[Job Number],0),MATCH(IFERROR(A296+0,A296),tbl_Consulting[Job Number],0))),0))))</f>
        <v/>
      </c>
      <c r="R296" s="27">
        <f>IF(A296="","",SUMIFS(tbl_Finance[Ex GST],tbl_Finance[Job Number],A296&amp;""))</f>
        <v/>
      </c>
      <c r="S296" s="27">
        <f>IF(A296="","",Q296-R296)</f>
        <v/>
      </c>
      <c r="T296" s="26">
        <f>IF(A296="","",IF(Q296=0,"No dept value",IF(ROUND(S296,2)=0,"Agrees",IF(S296&gt;0,"Dept higher - to invoice","Xero higher - check dept"))))</f>
        <v/>
      </c>
      <c r="U296" s="22" t="n"/>
      <c r="V296" s="22" t="n"/>
      <c r="W296" s="23" t="n"/>
      <c r="X296" s="23" t="n"/>
      <c r="Y296" s="22" t="n"/>
      <c r="Z296" s="22" t="n"/>
      <c r="AA296" s="26">
        <f>IF(COUNTA(C296,A296,B296,E296)=0,"",IF(C296="","No date - sits outside every month",IF(A296="","No job number",IF(H296="CHECK","Job number is not in the Xero job list",IF(G296="not set up yet","No department has set this job up - nothing can pull through",IF(D296="","No cost centre",IF(AND(U296="Y",B296=""),"Marked posted to Xero but has no invoice number",IF(N296="","Cost centre has no revenue GL on the Lists sheet",IF(T296="Xero higher - check dept","Invoiced more than the department says the job is worth","")))))))))</f>
        <v/>
      </c>
      <c r="AB296" s="28">
        <f>IF(A296="","",COUNTIFS(tbl_Finance[Job Number],A296&amp;"",tbl_Finance[Ex GST],"&lt;&gt;"))</f>
        <v/>
      </c>
      <c r="AC296" s="27">
        <f>IF(A296="","",SUMIFS(tbl_Finance[Ex GST],tbl_Finance[Job Number],A296&amp;""))</f>
        <v/>
      </c>
      <c r="AD296" s="27">
        <f>IF(A296="","",SUMIFS(tbl_Finance[Ex GST],tbl_Finance[Job Number],A296&amp;"",tbl_Finance[Xero Invoice No],"&lt;&gt;"))</f>
        <v/>
      </c>
      <c r="AE296" s="27">
        <f>IF(A296="","",AC296-AD296)</f>
        <v/>
      </c>
      <c r="AF296" s="26">
        <f>IF(A296="","",IFERROR(IF(INDEX(tbl_Onsite[Qwilr Quote],IFERROR(MATCH(A296&amp;"",tbl_Onsite[Job Number],0),MATCH(IFERROR(A296+0,A296),tbl_Onsite[Job Number],0)))="","",INDEX(tbl_Onsite[Qwilr Quote],IFERROR(MATCH(A296&amp;"",tbl_Onsite[Job Number],0),MATCH(IFERROR(A296+0,A296),tbl_Onsite[Job Number],0)))),IFERROR(IF(IF(INDEX(tbl_Production[Current RMS No],IFERROR(MATCH(A296&amp;"",tbl_Production[Job Number],0),MATCH(IFERROR(A296+0,A296),tbl_Production[Job Number],0)))="",INDEX(tbl_Production[Qwilr Quote],IFERROR(MATCH(A296&amp;"",tbl_Production[Job Number],0),MATCH(IFERROR(A296+0,A296),tbl_Production[Job Number],0))),INDEX(tbl_Production[Current RMS No],IFERROR(MATCH(A296&amp;"",tbl_Production[Job Number],0),MATCH(IFERROR(A296+0,A296),tbl_Production[Job Number],0))))="","",IF(INDEX(tbl_Production[Current RMS No],IFERROR(MATCH(A296&amp;"",tbl_Production[Job Number],0),MATCH(IFERROR(A296+0,A296),tbl_Production[Job Number],0)))="",INDEX(tbl_Production[Qwilr Quote],IFERROR(MATCH(A296&amp;"",tbl_Production[Job Number],0),MATCH(IFERROR(A296+0,A296),tbl_Production[Job Number],0))),INDEX(tbl_Production[Current RMS No],IFERROR(MATCH(A296&amp;"",tbl_Production[Job Number],0),MATCH(IFERROR(A296+0,A296),tbl_Production[Job Number],0))))),IFERROR(IF(INDEX(tbl_Consulting[Qwilr Quote],IFERROR(MATCH(A296&amp;"",tbl_Consulting[Job Number],0),MATCH(IFERROR(A296+0,A296),tbl_Consulting[Job Number],0)))="","",INDEX(tbl_Consulting[Qwilr Quote],IFERROR(MATCH(A296&amp;"",tbl_Consulting[Job Number],0),MATCH(IFERROR(A296+0,A296),tbl_Consulting[Job Number],0)))),""))))</f>
        <v/>
      </c>
      <c r="AG296" s="26">
        <f>IF(AF296="","",IF(AND(LEFT(AF296,4)&lt;&gt;"http",IF(G296="Production",set_RMSBase,set_QwilrBase)=""),"",HYPERLINK(IF(LEFT(AF296,4)="http",AF296,IF(G296="Production",set_RMSBase,set_QwilrBase)&amp;AF296),"Open")))</f>
        <v/>
      </c>
      <c r="AH296" s="27">
        <f>IF(A296="","",IFERROR(INDEX(tbl_Production[Total Expense],IFERROR(MATCH(A296&amp;"",tbl_Production[Job Number],0),MATCH(IFERROR(A296+0,A296),tbl_Production[Job Number],0))),IFERROR(INDEX(tbl_Consulting[Total Expense],IFERROR(MATCH(A296&amp;"",tbl_Consulting[Job Number],0),MATCH(IFERROR(A296+0,A296),tbl_Consulting[Job Number],0))),0)))</f>
        <v/>
      </c>
      <c r="AI296" s="27">
        <f>IF(A296="","",AC296-N(AH296))</f>
        <v/>
      </c>
      <c r="AJ296" s="29">
        <f>IFERROR(AI296/AC296,"")</f>
        <v/>
      </c>
      <c r="AK296" s="26">
        <f>IF(A296="","",IFERROR(IF(INDEX(tbl_Onsite[Notes],IFERROR(MATCH(A296&amp;"",tbl_Onsite[Job Number],0),MATCH(IFERROR(A296+0,A296),tbl_Onsite[Job Number],0)))="","",INDEX(tbl_Onsite[Notes],IFERROR(MATCH(A296&amp;"",tbl_Onsite[Job Number],0),MATCH(IFERROR(A296+0,A296),tbl_Onsite[Job Number],0)))),IFERROR(IF(INDEX(tbl_Production[Notes],IFERROR(MATCH(A296&amp;"",tbl_Production[Job Number],0),MATCH(IFERROR(A296+0,A296),tbl_Production[Job Number],0)))="","",INDEX(tbl_Production[Notes],IFERROR(MATCH(A296&amp;"",tbl_Production[Job Number],0),MATCH(IFERROR(A296+0,A296),tbl_Production[Job Number],0)))),IFERROR(IF(INDEX(tbl_Consulting[Notes],IFERROR(MATCH(A296&amp;"",tbl_Consulting[Job Number],0),MATCH(IFERROR(A296+0,A296),tbl_Consulting[Job Number],0)))="","",INDEX(tbl_Consulting[Notes],IFERROR(MATCH(A296&amp;"",tbl_Consulting[Job Number],0),MATCH(IFERROR(A296+0,A296),tbl_Consulting[Job Number],0)))),""))))</f>
        <v/>
      </c>
    </row>
    <row r="297" ht="15" customHeight="1">
      <c r="A297" s="22" t="n"/>
      <c r="B297" s="22" t="n"/>
      <c r="C297" s="23" t="n"/>
      <c r="D297" s="22" t="n"/>
      <c r="E297" s="24" t="n"/>
      <c r="F297" s="25">
        <f>IF(C297="","",EOMONTH(C297,0))</f>
        <v/>
      </c>
      <c r="G297" s="26">
        <f>IF(A297="","",IF(COUNTIF(tbl_Onsite[Job Number],A297&amp;"")&gt;0,"Onsite",IF(COUNTIF(tbl_Production[Job Number],A297&amp;"")&gt;0,"Production",IF(COUNTIF(tbl_Consulting[Job Number],A297&amp;"")&gt;0,"Consulting","not set up yet"))))</f>
        <v/>
      </c>
      <c r="H297" s="26">
        <f>IF(A297="","",IF(COUNTIF(lst_Jobs,A297&amp;"")&gt;0,"OK","CHECK"))</f>
        <v/>
      </c>
      <c r="I297" s="26">
        <f>IF(A297="","",IFERROR(INDEX(lst_JobName,MATCH(A297&amp;"",lst_Jobs,0)),""))</f>
        <v/>
      </c>
      <c r="J297" s="26">
        <f>IF(A297="","",IFERROR(IF(INDEX(tbl_Onsite[Client],IFERROR(MATCH(A297&amp;"",tbl_Onsite[Job Number],0),MATCH(IFERROR(A297+0,A297),tbl_Onsite[Job Number],0)))="","",INDEX(tbl_Onsite[Client],IFERROR(MATCH(A297&amp;"",tbl_Onsite[Job Number],0),MATCH(IFERROR(A297+0,A297),tbl_Onsite[Job Number],0)))),IFERROR(IF(INDEX(tbl_Production[Client],IFERROR(MATCH(A297&amp;"",tbl_Production[Job Number],0),MATCH(IFERROR(A297+0,A297),tbl_Production[Job Number],0)))="","",INDEX(tbl_Production[Client],IFERROR(MATCH(A297&amp;"",tbl_Production[Job Number],0),MATCH(IFERROR(A297+0,A297),tbl_Production[Job Number],0)))),IFERROR(IF(INDEX(tbl_Consulting[Client],IFERROR(MATCH(A297&amp;"",tbl_Consulting[Job Number],0),MATCH(IFERROR(A297+0,A297),tbl_Consulting[Job Number],0)))="","",INDEX(tbl_Consulting[Client],IFERROR(MATCH(A297&amp;"",tbl_Consulting[Job Number],0),MATCH(IFERROR(A297+0,A297),tbl_Consulting[Job Number],0)))),""))))</f>
        <v/>
      </c>
      <c r="K297" s="26">
        <f>IF(A297="","",IFERROR(IF(INDEX(tbl_Onsite[Job Description],IFERROR(MATCH(A297&amp;"",tbl_Onsite[Job Number],0),MATCH(IFERROR(A297+0,A297),tbl_Onsite[Job Number],0)))="","",INDEX(tbl_Onsite[Job Description],IFERROR(MATCH(A297&amp;"",tbl_Onsite[Job Number],0),MATCH(IFERROR(A297+0,A297),tbl_Onsite[Job Number],0)))),IFERROR(IF(INDEX(tbl_Production[Job Description],IFERROR(MATCH(A297&amp;"",tbl_Production[Job Number],0),MATCH(IFERROR(A297+0,A297),tbl_Production[Job Number],0)))="","",INDEX(tbl_Production[Job Description],IFERROR(MATCH(A297&amp;"",tbl_Production[Job Number],0),MATCH(IFERROR(A297+0,A297),tbl_Production[Job Number],0)))),IFERROR(IF(INDEX(tbl_Consulting[Job Description],IFERROR(MATCH(A297&amp;"",tbl_Consulting[Job Number],0),MATCH(IFERROR(A297+0,A297),tbl_Consulting[Job Number],0)))="","",INDEX(tbl_Consulting[Job Description],IFERROR(MATCH(A297&amp;"",tbl_Consulting[Job Number],0),MATCH(IFERROR(A297+0,A297),tbl_Consulting[Job Number],0)))),""))))</f>
        <v/>
      </c>
      <c r="L297" s="26">
        <f>IF(A297="","",IFERROR(IF(INDEX(tbl_Onsite[Invoice Type],IFERROR(MATCH(A297&amp;"",tbl_Onsite[Job Number],0),MATCH(IFERROR(A297+0,A297),tbl_Onsite[Job Number],0)))="","",INDEX(tbl_Onsite[Invoice Type],IFERROR(MATCH(A297&amp;"",tbl_Onsite[Job Number],0),MATCH(IFERROR(A297+0,A297),tbl_Onsite[Job Number],0)))),IFERROR(IF(INDEX(tbl_Production[Invoice Type],IFERROR(MATCH(A297&amp;"",tbl_Production[Job Number],0),MATCH(IFERROR(A297+0,A297),tbl_Production[Job Number],0)))="","",INDEX(tbl_Production[Invoice Type],IFERROR(MATCH(A297&amp;"",tbl_Production[Job Number],0),MATCH(IFERROR(A297+0,A297),tbl_Production[Job Number],0)))),IFERROR(IF(INDEX(tbl_Consulting[Invoice Type],IFERROR(MATCH(A297&amp;"",tbl_Consulting[Job Number],0),MATCH(IFERROR(A297+0,A297),tbl_Consulting[Job Number],0)))="","",INDEX(tbl_Consulting[Invoice Type],IFERROR(MATCH(A297&amp;"",tbl_Consulting[Job Number],0),MATCH(IFERROR(A297+0,A297),tbl_Consulting[Job Number],0)))),""))))</f>
        <v/>
      </c>
      <c r="M297" s="26">
        <f>IF(A297="","",IF(IFERROR(IF(INDEX(tbl_Onsite[Tax Code],IFERROR(MATCH(A297&amp;"",tbl_Onsite[Job Number],0),MATCH(IFERROR(A297+0,A297),tbl_Onsite[Job Number],0)))="","",INDEX(tbl_Onsite[Tax Code],IFERROR(MATCH(A297&amp;"",tbl_Onsite[Job Number],0),MATCH(IFERROR(A297+0,A297),tbl_Onsite[Job Number],0)))),IFERROR(IF(INDEX(tbl_Production[Tax Code],IFERROR(MATCH(A297&amp;"",tbl_Production[Job Number],0),MATCH(IFERROR(A297+0,A297),tbl_Production[Job Number],0)))="","",INDEX(tbl_Production[Tax Code],IFERROR(MATCH(A297&amp;"",tbl_Production[Job Number],0),MATCH(IFERROR(A297+0,A297),tbl_Production[Job Number],0)))),IFERROR(IF(INDEX(tbl_Consulting[Tax Code],IFERROR(MATCH(A297&amp;"",tbl_Consulting[Job Number],0),MATCH(IFERROR(A297+0,A297),tbl_Consulting[Job Number],0)))="","",INDEX(tbl_Consulting[Tax Code],IFERROR(MATCH(A297&amp;"",tbl_Consulting[Job Number],0),MATCH(IFERROR(A297+0,A297),tbl_Consulting[Job Number],0)))),"")))="","GST 10%",IFERROR(IF(INDEX(tbl_Onsite[Tax Code],IFERROR(MATCH(A297&amp;"",tbl_Onsite[Job Number],0),MATCH(IFERROR(A297+0,A297),tbl_Onsite[Job Number],0)))="","",INDEX(tbl_Onsite[Tax Code],IFERROR(MATCH(A297&amp;"",tbl_Onsite[Job Number],0),MATCH(IFERROR(A297+0,A297),tbl_Onsite[Job Number],0)))),IFERROR(IF(INDEX(tbl_Production[Tax Code],IFERROR(MATCH(A297&amp;"",tbl_Production[Job Number],0),MATCH(IFERROR(A297+0,A297),tbl_Production[Job Number],0)))="","",INDEX(tbl_Production[Tax Code],IFERROR(MATCH(A297&amp;"",tbl_Production[Job Number],0),MATCH(IFERROR(A297+0,A297),tbl_Production[Job Number],0)))),IFERROR(IF(INDEX(tbl_Consulting[Tax Code],IFERROR(MATCH(A297&amp;"",tbl_Consulting[Job Number],0),MATCH(IFERROR(A297+0,A297),tbl_Consulting[Job Number],0)))="","",INDEX(tbl_Consulting[Tax Code],IFERROR(MATCH(A297&amp;"",tbl_Consulting[Job Number],0),MATCH(IFERROR(A297+0,A297),tbl_Consulting[Job Number],0)))),"")))))</f>
        <v/>
      </c>
      <c r="N297" s="26">
        <f>IF(D297="","",IFERROR(INDEX(lst_CCtoGL,MATCH(D297,lst_CCforGL,0)),""))</f>
        <v/>
      </c>
      <c r="O297" s="27">
        <f>IF(E297="","",IF(M297="GST 10%",ROUND(E297*set_GSTRate,2),0))</f>
        <v/>
      </c>
      <c r="P297" s="27">
        <f>IF(E297="","",E297+O297)</f>
        <v/>
      </c>
      <c r="Q297" s="27">
        <f>IF(A297="","",IFERROR(INDEX(tbl_Onsite[Expected Revenue Ex GST],IFERROR(MATCH(A297&amp;"",tbl_Onsite[Job Number],0),MATCH(IFERROR(A297+0,A297),tbl_Onsite[Job Number],0))),IFERROR(INDEX(tbl_Production[Expected Revenue Ex GST],IFERROR(MATCH(A297&amp;"",tbl_Production[Job Number],0),MATCH(IFERROR(A297+0,A297),tbl_Production[Job Number],0))),IFERROR(INDEX(tbl_Consulting[Expected Revenue Ex GST],IFERROR(MATCH(A297&amp;"",tbl_Consulting[Job Number],0),MATCH(IFERROR(A297+0,A297),tbl_Consulting[Job Number],0))),0))))</f>
        <v/>
      </c>
      <c r="R297" s="27">
        <f>IF(A297="","",SUMIFS(tbl_Finance[Ex GST],tbl_Finance[Job Number],A297&amp;""))</f>
        <v/>
      </c>
      <c r="S297" s="27">
        <f>IF(A297="","",Q297-R297)</f>
        <v/>
      </c>
      <c r="T297" s="26">
        <f>IF(A297="","",IF(Q297=0,"No dept value",IF(ROUND(S297,2)=0,"Agrees",IF(S297&gt;0,"Dept higher - to invoice","Xero higher - check dept"))))</f>
        <v/>
      </c>
      <c r="U297" s="22" t="n"/>
      <c r="V297" s="22" t="n"/>
      <c r="W297" s="23" t="n"/>
      <c r="X297" s="23" t="n"/>
      <c r="Y297" s="22" t="n"/>
      <c r="Z297" s="22" t="n"/>
      <c r="AA297" s="26">
        <f>IF(COUNTA(C297,A297,B297,E297)=0,"",IF(C297="","No date - sits outside every month",IF(A297="","No job number",IF(H297="CHECK","Job number is not in the Xero job list",IF(G297="not set up yet","No department has set this job up - nothing can pull through",IF(D297="","No cost centre",IF(AND(U297="Y",B297=""),"Marked posted to Xero but has no invoice number",IF(N297="","Cost centre has no revenue GL on the Lists sheet",IF(T297="Xero higher - check dept","Invoiced more than the department says the job is worth","")))))))))</f>
        <v/>
      </c>
      <c r="AB297" s="28">
        <f>IF(A297="","",COUNTIFS(tbl_Finance[Job Number],A297&amp;"",tbl_Finance[Ex GST],"&lt;&gt;"))</f>
        <v/>
      </c>
      <c r="AC297" s="27">
        <f>IF(A297="","",SUMIFS(tbl_Finance[Ex GST],tbl_Finance[Job Number],A297&amp;""))</f>
        <v/>
      </c>
      <c r="AD297" s="27">
        <f>IF(A297="","",SUMIFS(tbl_Finance[Ex GST],tbl_Finance[Job Number],A297&amp;"",tbl_Finance[Xero Invoice No],"&lt;&gt;"))</f>
        <v/>
      </c>
      <c r="AE297" s="27">
        <f>IF(A297="","",AC297-AD297)</f>
        <v/>
      </c>
      <c r="AF297" s="26">
        <f>IF(A297="","",IFERROR(IF(INDEX(tbl_Onsite[Qwilr Quote],IFERROR(MATCH(A297&amp;"",tbl_Onsite[Job Number],0),MATCH(IFERROR(A297+0,A297),tbl_Onsite[Job Number],0)))="","",INDEX(tbl_Onsite[Qwilr Quote],IFERROR(MATCH(A297&amp;"",tbl_Onsite[Job Number],0),MATCH(IFERROR(A297+0,A297),tbl_Onsite[Job Number],0)))),IFERROR(IF(IF(INDEX(tbl_Production[Current RMS No],IFERROR(MATCH(A297&amp;"",tbl_Production[Job Number],0),MATCH(IFERROR(A297+0,A297),tbl_Production[Job Number],0)))="",INDEX(tbl_Production[Qwilr Quote],IFERROR(MATCH(A297&amp;"",tbl_Production[Job Number],0),MATCH(IFERROR(A297+0,A297),tbl_Production[Job Number],0))),INDEX(tbl_Production[Current RMS No],IFERROR(MATCH(A297&amp;"",tbl_Production[Job Number],0),MATCH(IFERROR(A297+0,A297),tbl_Production[Job Number],0))))="","",IF(INDEX(tbl_Production[Current RMS No],IFERROR(MATCH(A297&amp;"",tbl_Production[Job Number],0),MATCH(IFERROR(A297+0,A297),tbl_Production[Job Number],0)))="",INDEX(tbl_Production[Qwilr Quote],IFERROR(MATCH(A297&amp;"",tbl_Production[Job Number],0),MATCH(IFERROR(A297+0,A297),tbl_Production[Job Number],0))),INDEX(tbl_Production[Current RMS No],IFERROR(MATCH(A297&amp;"",tbl_Production[Job Number],0),MATCH(IFERROR(A297+0,A297),tbl_Production[Job Number],0))))),IFERROR(IF(INDEX(tbl_Consulting[Qwilr Quote],IFERROR(MATCH(A297&amp;"",tbl_Consulting[Job Number],0),MATCH(IFERROR(A297+0,A297),tbl_Consulting[Job Number],0)))="","",INDEX(tbl_Consulting[Qwilr Quote],IFERROR(MATCH(A297&amp;"",tbl_Consulting[Job Number],0),MATCH(IFERROR(A297+0,A297),tbl_Consulting[Job Number],0)))),""))))</f>
        <v/>
      </c>
      <c r="AG297" s="26">
        <f>IF(AF297="","",IF(AND(LEFT(AF297,4)&lt;&gt;"http",IF(G297="Production",set_RMSBase,set_QwilrBase)=""),"",HYPERLINK(IF(LEFT(AF297,4)="http",AF297,IF(G297="Production",set_RMSBase,set_QwilrBase)&amp;AF297),"Open")))</f>
        <v/>
      </c>
      <c r="AH297" s="27">
        <f>IF(A297="","",IFERROR(INDEX(tbl_Production[Total Expense],IFERROR(MATCH(A297&amp;"",tbl_Production[Job Number],0),MATCH(IFERROR(A297+0,A297),tbl_Production[Job Number],0))),IFERROR(INDEX(tbl_Consulting[Total Expense],IFERROR(MATCH(A297&amp;"",tbl_Consulting[Job Number],0),MATCH(IFERROR(A297+0,A297),tbl_Consulting[Job Number],0))),0)))</f>
        <v/>
      </c>
      <c r="AI297" s="27">
        <f>IF(A297="","",AC297-N(AH297))</f>
        <v/>
      </c>
      <c r="AJ297" s="29">
        <f>IFERROR(AI297/AC297,"")</f>
        <v/>
      </c>
      <c r="AK297" s="26">
        <f>IF(A297="","",IFERROR(IF(INDEX(tbl_Onsite[Notes],IFERROR(MATCH(A297&amp;"",tbl_Onsite[Job Number],0),MATCH(IFERROR(A297+0,A297),tbl_Onsite[Job Number],0)))="","",INDEX(tbl_Onsite[Notes],IFERROR(MATCH(A297&amp;"",tbl_Onsite[Job Number],0),MATCH(IFERROR(A297+0,A297),tbl_Onsite[Job Number],0)))),IFERROR(IF(INDEX(tbl_Production[Notes],IFERROR(MATCH(A297&amp;"",tbl_Production[Job Number],0),MATCH(IFERROR(A297+0,A297),tbl_Production[Job Number],0)))="","",INDEX(tbl_Production[Notes],IFERROR(MATCH(A297&amp;"",tbl_Production[Job Number],0),MATCH(IFERROR(A297+0,A297),tbl_Production[Job Number],0)))),IFERROR(IF(INDEX(tbl_Consulting[Notes],IFERROR(MATCH(A297&amp;"",tbl_Consulting[Job Number],0),MATCH(IFERROR(A297+0,A297),tbl_Consulting[Job Number],0)))="","",INDEX(tbl_Consulting[Notes],IFERROR(MATCH(A297&amp;"",tbl_Consulting[Job Number],0),MATCH(IFERROR(A297+0,A297),tbl_Consulting[Job Number],0)))),""))))</f>
        <v/>
      </c>
    </row>
    <row r="298" ht="15" customHeight="1">
      <c r="A298" s="22" t="n"/>
      <c r="B298" s="22" t="n"/>
      <c r="C298" s="23" t="n"/>
      <c r="D298" s="22" t="n"/>
      <c r="E298" s="24" t="n"/>
      <c r="F298" s="25">
        <f>IF(C298="","",EOMONTH(C298,0))</f>
        <v/>
      </c>
      <c r="G298" s="26">
        <f>IF(A298="","",IF(COUNTIF(tbl_Onsite[Job Number],A298&amp;"")&gt;0,"Onsite",IF(COUNTIF(tbl_Production[Job Number],A298&amp;"")&gt;0,"Production",IF(COUNTIF(tbl_Consulting[Job Number],A298&amp;"")&gt;0,"Consulting","not set up yet"))))</f>
        <v/>
      </c>
      <c r="H298" s="26">
        <f>IF(A298="","",IF(COUNTIF(lst_Jobs,A298&amp;"")&gt;0,"OK","CHECK"))</f>
        <v/>
      </c>
      <c r="I298" s="26">
        <f>IF(A298="","",IFERROR(INDEX(lst_JobName,MATCH(A298&amp;"",lst_Jobs,0)),""))</f>
        <v/>
      </c>
      <c r="J298" s="26">
        <f>IF(A298="","",IFERROR(IF(INDEX(tbl_Onsite[Client],IFERROR(MATCH(A298&amp;"",tbl_Onsite[Job Number],0),MATCH(IFERROR(A298+0,A298),tbl_Onsite[Job Number],0)))="","",INDEX(tbl_Onsite[Client],IFERROR(MATCH(A298&amp;"",tbl_Onsite[Job Number],0),MATCH(IFERROR(A298+0,A298),tbl_Onsite[Job Number],0)))),IFERROR(IF(INDEX(tbl_Production[Client],IFERROR(MATCH(A298&amp;"",tbl_Production[Job Number],0),MATCH(IFERROR(A298+0,A298),tbl_Production[Job Number],0)))="","",INDEX(tbl_Production[Client],IFERROR(MATCH(A298&amp;"",tbl_Production[Job Number],0),MATCH(IFERROR(A298+0,A298),tbl_Production[Job Number],0)))),IFERROR(IF(INDEX(tbl_Consulting[Client],IFERROR(MATCH(A298&amp;"",tbl_Consulting[Job Number],0),MATCH(IFERROR(A298+0,A298),tbl_Consulting[Job Number],0)))="","",INDEX(tbl_Consulting[Client],IFERROR(MATCH(A298&amp;"",tbl_Consulting[Job Number],0),MATCH(IFERROR(A298+0,A298),tbl_Consulting[Job Number],0)))),""))))</f>
        <v/>
      </c>
      <c r="K298" s="26">
        <f>IF(A298="","",IFERROR(IF(INDEX(tbl_Onsite[Job Description],IFERROR(MATCH(A298&amp;"",tbl_Onsite[Job Number],0),MATCH(IFERROR(A298+0,A298),tbl_Onsite[Job Number],0)))="","",INDEX(tbl_Onsite[Job Description],IFERROR(MATCH(A298&amp;"",tbl_Onsite[Job Number],0),MATCH(IFERROR(A298+0,A298),tbl_Onsite[Job Number],0)))),IFERROR(IF(INDEX(tbl_Production[Job Description],IFERROR(MATCH(A298&amp;"",tbl_Production[Job Number],0),MATCH(IFERROR(A298+0,A298),tbl_Production[Job Number],0)))="","",INDEX(tbl_Production[Job Description],IFERROR(MATCH(A298&amp;"",tbl_Production[Job Number],0),MATCH(IFERROR(A298+0,A298),tbl_Production[Job Number],0)))),IFERROR(IF(INDEX(tbl_Consulting[Job Description],IFERROR(MATCH(A298&amp;"",tbl_Consulting[Job Number],0),MATCH(IFERROR(A298+0,A298),tbl_Consulting[Job Number],0)))="","",INDEX(tbl_Consulting[Job Description],IFERROR(MATCH(A298&amp;"",tbl_Consulting[Job Number],0),MATCH(IFERROR(A298+0,A298),tbl_Consulting[Job Number],0)))),""))))</f>
        <v/>
      </c>
      <c r="L298" s="26">
        <f>IF(A298="","",IFERROR(IF(INDEX(tbl_Onsite[Invoice Type],IFERROR(MATCH(A298&amp;"",tbl_Onsite[Job Number],0),MATCH(IFERROR(A298+0,A298),tbl_Onsite[Job Number],0)))="","",INDEX(tbl_Onsite[Invoice Type],IFERROR(MATCH(A298&amp;"",tbl_Onsite[Job Number],0),MATCH(IFERROR(A298+0,A298),tbl_Onsite[Job Number],0)))),IFERROR(IF(INDEX(tbl_Production[Invoice Type],IFERROR(MATCH(A298&amp;"",tbl_Production[Job Number],0),MATCH(IFERROR(A298+0,A298),tbl_Production[Job Number],0)))="","",INDEX(tbl_Production[Invoice Type],IFERROR(MATCH(A298&amp;"",tbl_Production[Job Number],0),MATCH(IFERROR(A298+0,A298),tbl_Production[Job Number],0)))),IFERROR(IF(INDEX(tbl_Consulting[Invoice Type],IFERROR(MATCH(A298&amp;"",tbl_Consulting[Job Number],0),MATCH(IFERROR(A298+0,A298),tbl_Consulting[Job Number],0)))="","",INDEX(tbl_Consulting[Invoice Type],IFERROR(MATCH(A298&amp;"",tbl_Consulting[Job Number],0),MATCH(IFERROR(A298+0,A298),tbl_Consulting[Job Number],0)))),""))))</f>
        <v/>
      </c>
      <c r="M298" s="26">
        <f>IF(A298="","",IF(IFERROR(IF(INDEX(tbl_Onsite[Tax Code],IFERROR(MATCH(A298&amp;"",tbl_Onsite[Job Number],0),MATCH(IFERROR(A298+0,A298),tbl_Onsite[Job Number],0)))="","",INDEX(tbl_Onsite[Tax Code],IFERROR(MATCH(A298&amp;"",tbl_Onsite[Job Number],0),MATCH(IFERROR(A298+0,A298),tbl_Onsite[Job Number],0)))),IFERROR(IF(INDEX(tbl_Production[Tax Code],IFERROR(MATCH(A298&amp;"",tbl_Production[Job Number],0),MATCH(IFERROR(A298+0,A298),tbl_Production[Job Number],0)))="","",INDEX(tbl_Production[Tax Code],IFERROR(MATCH(A298&amp;"",tbl_Production[Job Number],0),MATCH(IFERROR(A298+0,A298),tbl_Production[Job Number],0)))),IFERROR(IF(INDEX(tbl_Consulting[Tax Code],IFERROR(MATCH(A298&amp;"",tbl_Consulting[Job Number],0),MATCH(IFERROR(A298+0,A298),tbl_Consulting[Job Number],0)))="","",INDEX(tbl_Consulting[Tax Code],IFERROR(MATCH(A298&amp;"",tbl_Consulting[Job Number],0),MATCH(IFERROR(A298+0,A298),tbl_Consulting[Job Number],0)))),"")))="","GST 10%",IFERROR(IF(INDEX(tbl_Onsite[Tax Code],IFERROR(MATCH(A298&amp;"",tbl_Onsite[Job Number],0),MATCH(IFERROR(A298+0,A298),tbl_Onsite[Job Number],0)))="","",INDEX(tbl_Onsite[Tax Code],IFERROR(MATCH(A298&amp;"",tbl_Onsite[Job Number],0),MATCH(IFERROR(A298+0,A298),tbl_Onsite[Job Number],0)))),IFERROR(IF(INDEX(tbl_Production[Tax Code],IFERROR(MATCH(A298&amp;"",tbl_Production[Job Number],0),MATCH(IFERROR(A298+0,A298),tbl_Production[Job Number],0)))="","",INDEX(tbl_Production[Tax Code],IFERROR(MATCH(A298&amp;"",tbl_Production[Job Number],0),MATCH(IFERROR(A298+0,A298),tbl_Production[Job Number],0)))),IFERROR(IF(INDEX(tbl_Consulting[Tax Code],IFERROR(MATCH(A298&amp;"",tbl_Consulting[Job Number],0),MATCH(IFERROR(A298+0,A298),tbl_Consulting[Job Number],0)))="","",INDEX(tbl_Consulting[Tax Code],IFERROR(MATCH(A298&amp;"",tbl_Consulting[Job Number],0),MATCH(IFERROR(A298+0,A298),tbl_Consulting[Job Number],0)))),"")))))</f>
        <v/>
      </c>
      <c r="N298" s="26">
        <f>IF(D298="","",IFERROR(INDEX(lst_CCtoGL,MATCH(D298,lst_CCforGL,0)),""))</f>
        <v/>
      </c>
      <c r="O298" s="27">
        <f>IF(E298="","",IF(M298="GST 10%",ROUND(E298*set_GSTRate,2),0))</f>
        <v/>
      </c>
      <c r="P298" s="27">
        <f>IF(E298="","",E298+O298)</f>
        <v/>
      </c>
      <c r="Q298" s="27">
        <f>IF(A298="","",IFERROR(INDEX(tbl_Onsite[Expected Revenue Ex GST],IFERROR(MATCH(A298&amp;"",tbl_Onsite[Job Number],0),MATCH(IFERROR(A298+0,A298),tbl_Onsite[Job Number],0))),IFERROR(INDEX(tbl_Production[Expected Revenue Ex GST],IFERROR(MATCH(A298&amp;"",tbl_Production[Job Number],0),MATCH(IFERROR(A298+0,A298),tbl_Production[Job Number],0))),IFERROR(INDEX(tbl_Consulting[Expected Revenue Ex GST],IFERROR(MATCH(A298&amp;"",tbl_Consulting[Job Number],0),MATCH(IFERROR(A298+0,A298),tbl_Consulting[Job Number],0))),0))))</f>
        <v/>
      </c>
      <c r="R298" s="27">
        <f>IF(A298="","",SUMIFS(tbl_Finance[Ex GST],tbl_Finance[Job Number],A298&amp;""))</f>
        <v/>
      </c>
      <c r="S298" s="27">
        <f>IF(A298="","",Q298-R298)</f>
        <v/>
      </c>
      <c r="T298" s="26">
        <f>IF(A298="","",IF(Q298=0,"No dept value",IF(ROUND(S298,2)=0,"Agrees",IF(S298&gt;0,"Dept higher - to invoice","Xero higher - check dept"))))</f>
        <v/>
      </c>
      <c r="U298" s="22" t="n"/>
      <c r="V298" s="22" t="n"/>
      <c r="W298" s="23" t="n"/>
      <c r="X298" s="23" t="n"/>
      <c r="Y298" s="22" t="n"/>
      <c r="Z298" s="22" t="n"/>
      <c r="AA298" s="26">
        <f>IF(COUNTA(C298,A298,B298,E298)=0,"",IF(C298="","No date - sits outside every month",IF(A298="","No job number",IF(H298="CHECK","Job number is not in the Xero job list",IF(G298="not set up yet","No department has set this job up - nothing can pull through",IF(D298="","No cost centre",IF(AND(U298="Y",B298=""),"Marked posted to Xero but has no invoice number",IF(N298="","Cost centre has no revenue GL on the Lists sheet",IF(T298="Xero higher - check dept","Invoiced more than the department says the job is worth","")))))))))</f>
        <v/>
      </c>
      <c r="AB298" s="28">
        <f>IF(A298="","",COUNTIFS(tbl_Finance[Job Number],A298&amp;"",tbl_Finance[Ex GST],"&lt;&gt;"))</f>
        <v/>
      </c>
      <c r="AC298" s="27">
        <f>IF(A298="","",SUMIFS(tbl_Finance[Ex GST],tbl_Finance[Job Number],A298&amp;""))</f>
        <v/>
      </c>
      <c r="AD298" s="27">
        <f>IF(A298="","",SUMIFS(tbl_Finance[Ex GST],tbl_Finance[Job Number],A298&amp;"",tbl_Finance[Xero Invoice No],"&lt;&gt;"))</f>
        <v/>
      </c>
      <c r="AE298" s="27">
        <f>IF(A298="","",AC298-AD298)</f>
        <v/>
      </c>
      <c r="AF298" s="26">
        <f>IF(A298="","",IFERROR(IF(INDEX(tbl_Onsite[Qwilr Quote],IFERROR(MATCH(A298&amp;"",tbl_Onsite[Job Number],0),MATCH(IFERROR(A298+0,A298),tbl_Onsite[Job Number],0)))="","",INDEX(tbl_Onsite[Qwilr Quote],IFERROR(MATCH(A298&amp;"",tbl_Onsite[Job Number],0),MATCH(IFERROR(A298+0,A298),tbl_Onsite[Job Number],0)))),IFERROR(IF(IF(INDEX(tbl_Production[Current RMS No],IFERROR(MATCH(A298&amp;"",tbl_Production[Job Number],0),MATCH(IFERROR(A298+0,A298),tbl_Production[Job Number],0)))="",INDEX(tbl_Production[Qwilr Quote],IFERROR(MATCH(A298&amp;"",tbl_Production[Job Number],0),MATCH(IFERROR(A298+0,A298),tbl_Production[Job Number],0))),INDEX(tbl_Production[Current RMS No],IFERROR(MATCH(A298&amp;"",tbl_Production[Job Number],0),MATCH(IFERROR(A298+0,A298),tbl_Production[Job Number],0))))="","",IF(INDEX(tbl_Production[Current RMS No],IFERROR(MATCH(A298&amp;"",tbl_Production[Job Number],0),MATCH(IFERROR(A298+0,A298),tbl_Production[Job Number],0)))="",INDEX(tbl_Production[Qwilr Quote],IFERROR(MATCH(A298&amp;"",tbl_Production[Job Number],0),MATCH(IFERROR(A298+0,A298),tbl_Production[Job Number],0))),INDEX(tbl_Production[Current RMS No],IFERROR(MATCH(A298&amp;"",tbl_Production[Job Number],0),MATCH(IFERROR(A298+0,A298),tbl_Production[Job Number],0))))),IFERROR(IF(INDEX(tbl_Consulting[Qwilr Quote],IFERROR(MATCH(A298&amp;"",tbl_Consulting[Job Number],0),MATCH(IFERROR(A298+0,A298),tbl_Consulting[Job Number],0)))="","",INDEX(tbl_Consulting[Qwilr Quote],IFERROR(MATCH(A298&amp;"",tbl_Consulting[Job Number],0),MATCH(IFERROR(A298+0,A298),tbl_Consulting[Job Number],0)))),""))))</f>
        <v/>
      </c>
      <c r="AG298" s="26">
        <f>IF(AF298="","",IF(AND(LEFT(AF298,4)&lt;&gt;"http",IF(G298="Production",set_RMSBase,set_QwilrBase)=""),"",HYPERLINK(IF(LEFT(AF298,4)="http",AF298,IF(G298="Production",set_RMSBase,set_QwilrBase)&amp;AF298),"Open")))</f>
        <v/>
      </c>
      <c r="AH298" s="27">
        <f>IF(A298="","",IFERROR(INDEX(tbl_Production[Total Expense],IFERROR(MATCH(A298&amp;"",tbl_Production[Job Number],0),MATCH(IFERROR(A298+0,A298),tbl_Production[Job Number],0))),IFERROR(INDEX(tbl_Consulting[Total Expense],IFERROR(MATCH(A298&amp;"",tbl_Consulting[Job Number],0),MATCH(IFERROR(A298+0,A298),tbl_Consulting[Job Number],0))),0)))</f>
        <v/>
      </c>
      <c r="AI298" s="27">
        <f>IF(A298="","",AC298-N(AH298))</f>
        <v/>
      </c>
      <c r="AJ298" s="29">
        <f>IFERROR(AI298/AC298,"")</f>
        <v/>
      </c>
      <c r="AK298" s="26">
        <f>IF(A298="","",IFERROR(IF(INDEX(tbl_Onsite[Notes],IFERROR(MATCH(A298&amp;"",tbl_Onsite[Job Number],0),MATCH(IFERROR(A298+0,A298),tbl_Onsite[Job Number],0)))="","",INDEX(tbl_Onsite[Notes],IFERROR(MATCH(A298&amp;"",tbl_Onsite[Job Number],0),MATCH(IFERROR(A298+0,A298),tbl_Onsite[Job Number],0)))),IFERROR(IF(INDEX(tbl_Production[Notes],IFERROR(MATCH(A298&amp;"",tbl_Production[Job Number],0),MATCH(IFERROR(A298+0,A298),tbl_Production[Job Number],0)))="","",INDEX(tbl_Production[Notes],IFERROR(MATCH(A298&amp;"",tbl_Production[Job Number],0),MATCH(IFERROR(A298+0,A298),tbl_Production[Job Number],0)))),IFERROR(IF(INDEX(tbl_Consulting[Notes],IFERROR(MATCH(A298&amp;"",tbl_Consulting[Job Number],0),MATCH(IFERROR(A298+0,A298),tbl_Consulting[Job Number],0)))="","",INDEX(tbl_Consulting[Notes],IFERROR(MATCH(A298&amp;"",tbl_Consulting[Job Number],0),MATCH(IFERROR(A298+0,A298),tbl_Consulting[Job Number],0)))),""))))</f>
        <v/>
      </c>
    </row>
    <row r="299" ht="15" customHeight="1">
      <c r="A299" s="22" t="n"/>
      <c r="B299" s="22" t="n"/>
      <c r="C299" s="23" t="n"/>
      <c r="D299" s="22" t="n"/>
      <c r="E299" s="24" t="n"/>
      <c r="F299" s="25">
        <f>IF(C299="","",EOMONTH(C299,0))</f>
        <v/>
      </c>
      <c r="G299" s="26">
        <f>IF(A299="","",IF(COUNTIF(tbl_Onsite[Job Number],A299&amp;"")&gt;0,"Onsite",IF(COUNTIF(tbl_Production[Job Number],A299&amp;"")&gt;0,"Production",IF(COUNTIF(tbl_Consulting[Job Number],A299&amp;"")&gt;0,"Consulting","not set up yet"))))</f>
        <v/>
      </c>
      <c r="H299" s="26">
        <f>IF(A299="","",IF(COUNTIF(lst_Jobs,A299&amp;"")&gt;0,"OK","CHECK"))</f>
        <v/>
      </c>
      <c r="I299" s="26">
        <f>IF(A299="","",IFERROR(INDEX(lst_JobName,MATCH(A299&amp;"",lst_Jobs,0)),""))</f>
        <v/>
      </c>
      <c r="J299" s="26">
        <f>IF(A299="","",IFERROR(IF(INDEX(tbl_Onsite[Client],IFERROR(MATCH(A299&amp;"",tbl_Onsite[Job Number],0),MATCH(IFERROR(A299+0,A299),tbl_Onsite[Job Number],0)))="","",INDEX(tbl_Onsite[Client],IFERROR(MATCH(A299&amp;"",tbl_Onsite[Job Number],0),MATCH(IFERROR(A299+0,A299),tbl_Onsite[Job Number],0)))),IFERROR(IF(INDEX(tbl_Production[Client],IFERROR(MATCH(A299&amp;"",tbl_Production[Job Number],0),MATCH(IFERROR(A299+0,A299),tbl_Production[Job Number],0)))="","",INDEX(tbl_Production[Client],IFERROR(MATCH(A299&amp;"",tbl_Production[Job Number],0),MATCH(IFERROR(A299+0,A299),tbl_Production[Job Number],0)))),IFERROR(IF(INDEX(tbl_Consulting[Client],IFERROR(MATCH(A299&amp;"",tbl_Consulting[Job Number],0),MATCH(IFERROR(A299+0,A299),tbl_Consulting[Job Number],0)))="","",INDEX(tbl_Consulting[Client],IFERROR(MATCH(A299&amp;"",tbl_Consulting[Job Number],0),MATCH(IFERROR(A299+0,A299),tbl_Consulting[Job Number],0)))),""))))</f>
        <v/>
      </c>
      <c r="K299" s="26">
        <f>IF(A299="","",IFERROR(IF(INDEX(tbl_Onsite[Job Description],IFERROR(MATCH(A299&amp;"",tbl_Onsite[Job Number],0),MATCH(IFERROR(A299+0,A299),tbl_Onsite[Job Number],0)))="","",INDEX(tbl_Onsite[Job Description],IFERROR(MATCH(A299&amp;"",tbl_Onsite[Job Number],0),MATCH(IFERROR(A299+0,A299),tbl_Onsite[Job Number],0)))),IFERROR(IF(INDEX(tbl_Production[Job Description],IFERROR(MATCH(A299&amp;"",tbl_Production[Job Number],0),MATCH(IFERROR(A299+0,A299),tbl_Production[Job Number],0)))="","",INDEX(tbl_Production[Job Description],IFERROR(MATCH(A299&amp;"",tbl_Production[Job Number],0),MATCH(IFERROR(A299+0,A299),tbl_Production[Job Number],0)))),IFERROR(IF(INDEX(tbl_Consulting[Job Description],IFERROR(MATCH(A299&amp;"",tbl_Consulting[Job Number],0),MATCH(IFERROR(A299+0,A299),tbl_Consulting[Job Number],0)))="","",INDEX(tbl_Consulting[Job Description],IFERROR(MATCH(A299&amp;"",tbl_Consulting[Job Number],0),MATCH(IFERROR(A299+0,A299),tbl_Consulting[Job Number],0)))),""))))</f>
        <v/>
      </c>
      <c r="L299" s="26">
        <f>IF(A299="","",IFERROR(IF(INDEX(tbl_Onsite[Invoice Type],IFERROR(MATCH(A299&amp;"",tbl_Onsite[Job Number],0),MATCH(IFERROR(A299+0,A299),tbl_Onsite[Job Number],0)))="","",INDEX(tbl_Onsite[Invoice Type],IFERROR(MATCH(A299&amp;"",tbl_Onsite[Job Number],0),MATCH(IFERROR(A299+0,A299),tbl_Onsite[Job Number],0)))),IFERROR(IF(INDEX(tbl_Production[Invoice Type],IFERROR(MATCH(A299&amp;"",tbl_Production[Job Number],0),MATCH(IFERROR(A299+0,A299),tbl_Production[Job Number],0)))="","",INDEX(tbl_Production[Invoice Type],IFERROR(MATCH(A299&amp;"",tbl_Production[Job Number],0),MATCH(IFERROR(A299+0,A299),tbl_Production[Job Number],0)))),IFERROR(IF(INDEX(tbl_Consulting[Invoice Type],IFERROR(MATCH(A299&amp;"",tbl_Consulting[Job Number],0),MATCH(IFERROR(A299+0,A299),tbl_Consulting[Job Number],0)))="","",INDEX(tbl_Consulting[Invoice Type],IFERROR(MATCH(A299&amp;"",tbl_Consulting[Job Number],0),MATCH(IFERROR(A299+0,A299),tbl_Consulting[Job Number],0)))),""))))</f>
        <v/>
      </c>
      <c r="M299" s="26">
        <f>IF(A299="","",IF(IFERROR(IF(INDEX(tbl_Onsite[Tax Code],IFERROR(MATCH(A299&amp;"",tbl_Onsite[Job Number],0),MATCH(IFERROR(A299+0,A299),tbl_Onsite[Job Number],0)))="","",INDEX(tbl_Onsite[Tax Code],IFERROR(MATCH(A299&amp;"",tbl_Onsite[Job Number],0),MATCH(IFERROR(A299+0,A299),tbl_Onsite[Job Number],0)))),IFERROR(IF(INDEX(tbl_Production[Tax Code],IFERROR(MATCH(A299&amp;"",tbl_Production[Job Number],0),MATCH(IFERROR(A299+0,A299),tbl_Production[Job Number],0)))="","",INDEX(tbl_Production[Tax Code],IFERROR(MATCH(A299&amp;"",tbl_Production[Job Number],0),MATCH(IFERROR(A299+0,A299),tbl_Production[Job Number],0)))),IFERROR(IF(INDEX(tbl_Consulting[Tax Code],IFERROR(MATCH(A299&amp;"",tbl_Consulting[Job Number],0),MATCH(IFERROR(A299+0,A299),tbl_Consulting[Job Number],0)))="","",INDEX(tbl_Consulting[Tax Code],IFERROR(MATCH(A299&amp;"",tbl_Consulting[Job Number],0),MATCH(IFERROR(A299+0,A299),tbl_Consulting[Job Number],0)))),"")))="","GST 10%",IFERROR(IF(INDEX(tbl_Onsite[Tax Code],IFERROR(MATCH(A299&amp;"",tbl_Onsite[Job Number],0),MATCH(IFERROR(A299+0,A299),tbl_Onsite[Job Number],0)))="","",INDEX(tbl_Onsite[Tax Code],IFERROR(MATCH(A299&amp;"",tbl_Onsite[Job Number],0),MATCH(IFERROR(A299+0,A299),tbl_Onsite[Job Number],0)))),IFERROR(IF(INDEX(tbl_Production[Tax Code],IFERROR(MATCH(A299&amp;"",tbl_Production[Job Number],0),MATCH(IFERROR(A299+0,A299),tbl_Production[Job Number],0)))="","",INDEX(tbl_Production[Tax Code],IFERROR(MATCH(A299&amp;"",tbl_Production[Job Number],0),MATCH(IFERROR(A299+0,A299),tbl_Production[Job Number],0)))),IFERROR(IF(INDEX(tbl_Consulting[Tax Code],IFERROR(MATCH(A299&amp;"",tbl_Consulting[Job Number],0),MATCH(IFERROR(A299+0,A299),tbl_Consulting[Job Number],0)))="","",INDEX(tbl_Consulting[Tax Code],IFERROR(MATCH(A299&amp;"",tbl_Consulting[Job Number],0),MATCH(IFERROR(A299+0,A299),tbl_Consulting[Job Number],0)))),"")))))</f>
        <v/>
      </c>
      <c r="N299" s="26">
        <f>IF(D299="","",IFERROR(INDEX(lst_CCtoGL,MATCH(D299,lst_CCforGL,0)),""))</f>
        <v/>
      </c>
      <c r="O299" s="27">
        <f>IF(E299="","",IF(M299="GST 10%",ROUND(E299*set_GSTRate,2),0))</f>
        <v/>
      </c>
      <c r="P299" s="27">
        <f>IF(E299="","",E299+O299)</f>
        <v/>
      </c>
      <c r="Q299" s="27">
        <f>IF(A299="","",IFERROR(INDEX(tbl_Onsite[Expected Revenue Ex GST],IFERROR(MATCH(A299&amp;"",tbl_Onsite[Job Number],0),MATCH(IFERROR(A299+0,A299),tbl_Onsite[Job Number],0))),IFERROR(INDEX(tbl_Production[Expected Revenue Ex GST],IFERROR(MATCH(A299&amp;"",tbl_Production[Job Number],0),MATCH(IFERROR(A299+0,A299),tbl_Production[Job Number],0))),IFERROR(INDEX(tbl_Consulting[Expected Revenue Ex GST],IFERROR(MATCH(A299&amp;"",tbl_Consulting[Job Number],0),MATCH(IFERROR(A299+0,A299),tbl_Consulting[Job Number],0))),0))))</f>
        <v/>
      </c>
      <c r="R299" s="27">
        <f>IF(A299="","",SUMIFS(tbl_Finance[Ex GST],tbl_Finance[Job Number],A299&amp;""))</f>
        <v/>
      </c>
      <c r="S299" s="27">
        <f>IF(A299="","",Q299-R299)</f>
        <v/>
      </c>
      <c r="T299" s="26">
        <f>IF(A299="","",IF(Q299=0,"No dept value",IF(ROUND(S299,2)=0,"Agrees",IF(S299&gt;0,"Dept higher - to invoice","Xero higher - check dept"))))</f>
        <v/>
      </c>
      <c r="U299" s="22" t="n"/>
      <c r="V299" s="22" t="n"/>
      <c r="W299" s="23" t="n"/>
      <c r="X299" s="23" t="n"/>
      <c r="Y299" s="22" t="n"/>
      <c r="Z299" s="22" t="n"/>
      <c r="AA299" s="26">
        <f>IF(COUNTA(C299,A299,B299,E299)=0,"",IF(C299="","No date - sits outside every month",IF(A299="","No job number",IF(H299="CHECK","Job number is not in the Xero job list",IF(G299="not set up yet","No department has set this job up - nothing can pull through",IF(D299="","No cost centre",IF(AND(U299="Y",B299=""),"Marked posted to Xero but has no invoice number",IF(N299="","Cost centre has no revenue GL on the Lists sheet",IF(T299="Xero higher - check dept","Invoiced more than the department says the job is worth","")))))))))</f>
        <v/>
      </c>
      <c r="AB299" s="28">
        <f>IF(A299="","",COUNTIFS(tbl_Finance[Job Number],A299&amp;"",tbl_Finance[Ex GST],"&lt;&gt;"))</f>
        <v/>
      </c>
      <c r="AC299" s="27">
        <f>IF(A299="","",SUMIFS(tbl_Finance[Ex GST],tbl_Finance[Job Number],A299&amp;""))</f>
        <v/>
      </c>
      <c r="AD299" s="27">
        <f>IF(A299="","",SUMIFS(tbl_Finance[Ex GST],tbl_Finance[Job Number],A299&amp;"",tbl_Finance[Xero Invoice No],"&lt;&gt;"))</f>
        <v/>
      </c>
      <c r="AE299" s="27">
        <f>IF(A299="","",AC299-AD299)</f>
        <v/>
      </c>
      <c r="AF299" s="26">
        <f>IF(A299="","",IFERROR(IF(INDEX(tbl_Onsite[Qwilr Quote],IFERROR(MATCH(A299&amp;"",tbl_Onsite[Job Number],0),MATCH(IFERROR(A299+0,A299),tbl_Onsite[Job Number],0)))="","",INDEX(tbl_Onsite[Qwilr Quote],IFERROR(MATCH(A299&amp;"",tbl_Onsite[Job Number],0),MATCH(IFERROR(A299+0,A299),tbl_Onsite[Job Number],0)))),IFERROR(IF(IF(INDEX(tbl_Production[Current RMS No],IFERROR(MATCH(A299&amp;"",tbl_Production[Job Number],0),MATCH(IFERROR(A299+0,A299),tbl_Production[Job Number],0)))="",INDEX(tbl_Production[Qwilr Quote],IFERROR(MATCH(A299&amp;"",tbl_Production[Job Number],0),MATCH(IFERROR(A299+0,A299),tbl_Production[Job Number],0))),INDEX(tbl_Production[Current RMS No],IFERROR(MATCH(A299&amp;"",tbl_Production[Job Number],0),MATCH(IFERROR(A299+0,A299),tbl_Production[Job Number],0))))="","",IF(INDEX(tbl_Production[Current RMS No],IFERROR(MATCH(A299&amp;"",tbl_Production[Job Number],0),MATCH(IFERROR(A299+0,A299),tbl_Production[Job Number],0)))="",INDEX(tbl_Production[Qwilr Quote],IFERROR(MATCH(A299&amp;"",tbl_Production[Job Number],0),MATCH(IFERROR(A299+0,A299),tbl_Production[Job Number],0))),INDEX(tbl_Production[Current RMS No],IFERROR(MATCH(A299&amp;"",tbl_Production[Job Number],0),MATCH(IFERROR(A299+0,A299),tbl_Production[Job Number],0))))),IFERROR(IF(INDEX(tbl_Consulting[Qwilr Quote],IFERROR(MATCH(A299&amp;"",tbl_Consulting[Job Number],0),MATCH(IFERROR(A299+0,A299),tbl_Consulting[Job Number],0)))="","",INDEX(tbl_Consulting[Qwilr Quote],IFERROR(MATCH(A299&amp;"",tbl_Consulting[Job Number],0),MATCH(IFERROR(A299+0,A299),tbl_Consulting[Job Number],0)))),""))))</f>
        <v/>
      </c>
      <c r="AG299" s="26">
        <f>IF(AF299="","",IF(AND(LEFT(AF299,4)&lt;&gt;"http",IF(G299="Production",set_RMSBase,set_QwilrBase)=""),"",HYPERLINK(IF(LEFT(AF299,4)="http",AF299,IF(G299="Production",set_RMSBase,set_QwilrBase)&amp;AF299),"Open")))</f>
        <v/>
      </c>
      <c r="AH299" s="27">
        <f>IF(A299="","",IFERROR(INDEX(tbl_Production[Total Expense],IFERROR(MATCH(A299&amp;"",tbl_Production[Job Number],0),MATCH(IFERROR(A299+0,A299),tbl_Production[Job Number],0))),IFERROR(INDEX(tbl_Consulting[Total Expense],IFERROR(MATCH(A299&amp;"",tbl_Consulting[Job Number],0),MATCH(IFERROR(A299+0,A299),tbl_Consulting[Job Number],0))),0)))</f>
        <v/>
      </c>
      <c r="AI299" s="27">
        <f>IF(A299="","",AC299-N(AH299))</f>
        <v/>
      </c>
      <c r="AJ299" s="29">
        <f>IFERROR(AI299/AC299,"")</f>
        <v/>
      </c>
      <c r="AK299" s="26">
        <f>IF(A299="","",IFERROR(IF(INDEX(tbl_Onsite[Notes],IFERROR(MATCH(A299&amp;"",tbl_Onsite[Job Number],0),MATCH(IFERROR(A299+0,A299),tbl_Onsite[Job Number],0)))="","",INDEX(tbl_Onsite[Notes],IFERROR(MATCH(A299&amp;"",tbl_Onsite[Job Number],0),MATCH(IFERROR(A299+0,A299),tbl_Onsite[Job Number],0)))),IFERROR(IF(INDEX(tbl_Production[Notes],IFERROR(MATCH(A299&amp;"",tbl_Production[Job Number],0),MATCH(IFERROR(A299+0,A299),tbl_Production[Job Number],0)))="","",INDEX(tbl_Production[Notes],IFERROR(MATCH(A299&amp;"",tbl_Production[Job Number],0),MATCH(IFERROR(A299+0,A299),tbl_Production[Job Number],0)))),IFERROR(IF(INDEX(tbl_Consulting[Notes],IFERROR(MATCH(A299&amp;"",tbl_Consulting[Job Number],0),MATCH(IFERROR(A299+0,A299),tbl_Consulting[Job Number],0)))="","",INDEX(tbl_Consulting[Notes],IFERROR(MATCH(A299&amp;"",tbl_Consulting[Job Number],0),MATCH(IFERROR(A299+0,A299),tbl_Consulting[Job Number],0)))),""))))</f>
        <v/>
      </c>
    </row>
    <row r="300" ht="15" customHeight="1">
      <c r="A300" s="22" t="n"/>
      <c r="B300" s="22" t="n"/>
      <c r="C300" s="23" t="n"/>
      <c r="D300" s="22" t="n"/>
      <c r="E300" s="24" t="n"/>
      <c r="F300" s="25">
        <f>IF(C300="","",EOMONTH(C300,0))</f>
        <v/>
      </c>
      <c r="G300" s="26">
        <f>IF(A300="","",IF(COUNTIF(tbl_Onsite[Job Number],A300&amp;"")&gt;0,"Onsite",IF(COUNTIF(tbl_Production[Job Number],A300&amp;"")&gt;0,"Production",IF(COUNTIF(tbl_Consulting[Job Number],A300&amp;"")&gt;0,"Consulting","not set up yet"))))</f>
        <v/>
      </c>
      <c r="H300" s="26">
        <f>IF(A300="","",IF(COUNTIF(lst_Jobs,A300&amp;"")&gt;0,"OK","CHECK"))</f>
        <v/>
      </c>
      <c r="I300" s="26">
        <f>IF(A300="","",IFERROR(INDEX(lst_JobName,MATCH(A300&amp;"",lst_Jobs,0)),""))</f>
        <v/>
      </c>
      <c r="J300" s="26">
        <f>IF(A300="","",IFERROR(IF(INDEX(tbl_Onsite[Client],IFERROR(MATCH(A300&amp;"",tbl_Onsite[Job Number],0),MATCH(IFERROR(A300+0,A300),tbl_Onsite[Job Number],0)))="","",INDEX(tbl_Onsite[Client],IFERROR(MATCH(A300&amp;"",tbl_Onsite[Job Number],0),MATCH(IFERROR(A300+0,A300),tbl_Onsite[Job Number],0)))),IFERROR(IF(INDEX(tbl_Production[Client],IFERROR(MATCH(A300&amp;"",tbl_Production[Job Number],0),MATCH(IFERROR(A300+0,A300),tbl_Production[Job Number],0)))="","",INDEX(tbl_Production[Client],IFERROR(MATCH(A300&amp;"",tbl_Production[Job Number],0),MATCH(IFERROR(A300+0,A300),tbl_Production[Job Number],0)))),IFERROR(IF(INDEX(tbl_Consulting[Client],IFERROR(MATCH(A300&amp;"",tbl_Consulting[Job Number],0),MATCH(IFERROR(A300+0,A300),tbl_Consulting[Job Number],0)))="","",INDEX(tbl_Consulting[Client],IFERROR(MATCH(A300&amp;"",tbl_Consulting[Job Number],0),MATCH(IFERROR(A300+0,A300),tbl_Consulting[Job Number],0)))),""))))</f>
        <v/>
      </c>
      <c r="K300" s="26">
        <f>IF(A300="","",IFERROR(IF(INDEX(tbl_Onsite[Job Description],IFERROR(MATCH(A300&amp;"",tbl_Onsite[Job Number],0),MATCH(IFERROR(A300+0,A300),tbl_Onsite[Job Number],0)))="","",INDEX(tbl_Onsite[Job Description],IFERROR(MATCH(A300&amp;"",tbl_Onsite[Job Number],0),MATCH(IFERROR(A300+0,A300),tbl_Onsite[Job Number],0)))),IFERROR(IF(INDEX(tbl_Production[Job Description],IFERROR(MATCH(A300&amp;"",tbl_Production[Job Number],0),MATCH(IFERROR(A300+0,A300),tbl_Production[Job Number],0)))="","",INDEX(tbl_Production[Job Description],IFERROR(MATCH(A300&amp;"",tbl_Production[Job Number],0),MATCH(IFERROR(A300+0,A300),tbl_Production[Job Number],0)))),IFERROR(IF(INDEX(tbl_Consulting[Job Description],IFERROR(MATCH(A300&amp;"",tbl_Consulting[Job Number],0),MATCH(IFERROR(A300+0,A300),tbl_Consulting[Job Number],0)))="","",INDEX(tbl_Consulting[Job Description],IFERROR(MATCH(A300&amp;"",tbl_Consulting[Job Number],0),MATCH(IFERROR(A300+0,A300),tbl_Consulting[Job Number],0)))),""))))</f>
        <v/>
      </c>
      <c r="L300" s="26">
        <f>IF(A300="","",IFERROR(IF(INDEX(tbl_Onsite[Invoice Type],IFERROR(MATCH(A300&amp;"",tbl_Onsite[Job Number],0),MATCH(IFERROR(A300+0,A300),tbl_Onsite[Job Number],0)))="","",INDEX(tbl_Onsite[Invoice Type],IFERROR(MATCH(A300&amp;"",tbl_Onsite[Job Number],0),MATCH(IFERROR(A300+0,A300),tbl_Onsite[Job Number],0)))),IFERROR(IF(INDEX(tbl_Production[Invoice Type],IFERROR(MATCH(A300&amp;"",tbl_Production[Job Number],0),MATCH(IFERROR(A300+0,A300),tbl_Production[Job Number],0)))="","",INDEX(tbl_Production[Invoice Type],IFERROR(MATCH(A300&amp;"",tbl_Production[Job Number],0),MATCH(IFERROR(A300+0,A300),tbl_Production[Job Number],0)))),IFERROR(IF(INDEX(tbl_Consulting[Invoice Type],IFERROR(MATCH(A300&amp;"",tbl_Consulting[Job Number],0),MATCH(IFERROR(A300+0,A300),tbl_Consulting[Job Number],0)))="","",INDEX(tbl_Consulting[Invoice Type],IFERROR(MATCH(A300&amp;"",tbl_Consulting[Job Number],0),MATCH(IFERROR(A300+0,A300),tbl_Consulting[Job Number],0)))),""))))</f>
        <v/>
      </c>
      <c r="M300" s="26">
        <f>IF(A300="","",IF(IFERROR(IF(INDEX(tbl_Onsite[Tax Code],IFERROR(MATCH(A300&amp;"",tbl_Onsite[Job Number],0),MATCH(IFERROR(A300+0,A300),tbl_Onsite[Job Number],0)))="","",INDEX(tbl_Onsite[Tax Code],IFERROR(MATCH(A300&amp;"",tbl_Onsite[Job Number],0),MATCH(IFERROR(A300+0,A300),tbl_Onsite[Job Number],0)))),IFERROR(IF(INDEX(tbl_Production[Tax Code],IFERROR(MATCH(A300&amp;"",tbl_Production[Job Number],0),MATCH(IFERROR(A300+0,A300),tbl_Production[Job Number],0)))="","",INDEX(tbl_Production[Tax Code],IFERROR(MATCH(A300&amp;"",tbl_Production[Job Number],0),MATCH(IFERROR(A300+0,A300),tbl_Production[Job Number],0)))),IFERROR(IF(INDEX(tbl_Consulting[Tax Code],IFERROR(MATCH(A300&amp;"",tbl_Consulting[Job Number],0),MATCH(IFERROR(A300+0,A300),tbl_Consulting[Job Number],0)))="","",INDEX(tbl_Consulting[Tax Code],IFERROR(MATCH(A300&amp;"",tbl_Consulting[Job Number],0),MATCH(IFERROR(A300+0,A300),tbl_Consulting[Job Number],0)))),"")))="","GST 10%",IFERROR(IF(INDEX(tbl_Onsite[Tax Code],IFERROR(MATCH(A300&amp;"",tbl_Onsite[Job Number],0),MATCH(IFERROR(A300+0,A300),tbl_Onsite[Job Number],0)))="","",INDEX(tbl_Onsite[Tax Code],IFERROR(MATCH(A300&amp;"",tbl_Onsite[Job Number],0),MATCH(IFERROR(A300+0,A300),tbl_Onsite[Job Number],0)))),IFERROR(IF(INDEX(tbl_Production[Tax Code],IFERROR(MATCH(A300&amp;"",tbl_Production[Job Number],0),MATCH(IFERROR(A300+0,A300),tbl_Production[Job Number],0)))="","",INDEX(tbl_Production[Tax Code],IFERROR(MATCH(A300&amp;"",tbl_Production[Job Number],0),MATCH(IFERROR(A300+0,A300),tbl_Production[Job Number],0)))),IFERROR(IF(INDEX(tbl_Consulting[Tax Code],IFERROR(MATCH(A300&amp;"",tbl_Consulting[Job Number],0),MATCH(IFERROR(A300+0,A300),tbl_Consulting[Job Number],0)))="","",INDEX(tbl_Consulting[Tax Code],IFERROR(MATCH(A300&amp;"",tbl_Consulting[Job Number],0),MATCH(IFERROR(A300+0,A300),tbl_Consulting[Job Number],0)))),"")))))</f>
        <v/>
      </c>
      <c r="N300" s="26">
        <f>IF(D300="","",IFERROR(INDEX(lst_CCtoGL,MATCH(D300,lst_CCforGL,0)),""))</f>
        <v/>
      </c>
      <c r="O300" s="27">
        <f>IF(E300="","",IF(M300="GST 10%",ROUND(E300*set_GSTRate,2),0))</f>
        <v/>
      </c>
      <c r="P300" s="27">
        <f>IF(E300="","",E300+O300)</f>
        <v/>
      </c>
      <c r="Q300" s="27">
        <f>IF(A300="","",IFERROR(INDEX(tbl_Onsite[Expected Revenue Ex GST],IFERROR(MATCH(A300&amp;"",tbl_Onsite[Job Number],0),MATCH(IFERROR(A300+0,A300),tbl_Onsite[Job Number],0))),IFERROR(INDEX(tbl_Production[Expected Revenue Ex GST],IFERROR(MATCH(A300&amp;"",tbl_Production[Job Number],0),MATCH(IFERROR(A300+0,A300),tbl_Production[Job Number],0))),IFERROR(INDEX(tbl_Consulting[Expected Revenue Ex GST],IFERROR(MATCH(A300&amp;"",tbl_Consulting[Job Number],0),MATCH(IFERROR(A300+0,A300),tbl_Consulting[Job Number],0))),0))))</f>
        <v/>
      </c>
      <c r="R300" s="27">
        <f>IF(A300="","",SUMIFS(tbl_Finance[Ex GST],tbl_Finance[Job Number],A300&amp;""))</f>
        <v/>
      </c>
      <c r="S300" s="27">
        <f>IF(A300="","",Q300-R300)</f>
        <v/>
      </c>
      <c r="T300" s="26">
        <f>IF(A300="","",IF(Q300=0,"No dept value",IF(ROUND(S300,2)=0,"Agrees",IF(S300&gt;0,"Dept higher - to invoice","Xero higher - check dept"))))</f>
        <v/>
      </c>
      <c r="U300" s="22" t="n"/>
      <c r="V300" s="22" t="n"/>
      <c r="W300" s="23" t="n"/>
      <c r="X300" s="23" t="n"/>
      <c r="Y300" s="22" t="n"/>
      <c r="Z300" s="22" t="n"/>
      <c r="AA300" s="26">
        <f>IF(COUNTA(C300,A300,B300,E300)=0,"",IF(C300="","No date - sits outside every month",IF(A300="","No job number",IF(H300="CHECK","Job number is not in the Xero job list",IF(G300="not set up yet","No department has set this job up - nothing can pull through",IF(D300="","No cost centre",IF(AND(U300="Y",B300=""),"Marked posted to Xero but has no invoice number",IF(N300="","Cost centre has no revenue GL on the Lists sheet",IF(T300="Xero higher - check dept","Invoiced more than the department says the job is worth","")))))))))</f>
        <v/>
      </c>
      <c r="AB300" s="28">
        <f>IF(A300="","",COUNTIFS(tbl_Finance[Job Number],A300&amp;"",tbl_Finance[Ex GST],"&lt;&gt;"))</f>
        <v/>
      </c>
      <c r="AC300" s="27">
        <f>IF(A300="","",SUMIFS(tbl_Finance[Ex GST],tbl_Finance[Job Number],A300&amp;""))</f>
        <v/>
      </c>
      <c r="AD300" s="27">
        <f>IF(A300="","",SUMIFS(tbl_Finance[Ex GST],tbl_Finance[Job Number],A300&amp;"",tbl_Finance[Xero Invoice No],"&lt;&gt;"))</f>
        <v/>
      </c>
      <c r="AE300" s="27">
        <f>IF(A300="","",AC300-AD300)</f>
        <v/>
      </c>
      <c r="AF300" s="26">
        <f>IF(A300="","",IFERROR(IF(INDEX(tbl_Onsite[Qwilr Quote],IFERROR(MATCH(A300&amp;"",tbl_Onsite[Job Number],0),MATCH(IFERROR(A300+0,A300),tbl_Onsite[Job Number],0)))="","",INDEX(tbl_Onsite[Qwilr Quote],IFERROR(MATCH(A300&amp;"",tbl_Onsite[Job Number],0),MATCH(IFERROR(A300+0,A300),tbl_Onsite[Job Number],0)))),IFERROR(IF(IF(INDEX(tbl_Production[Current RMS No],IFERROR(MATCH(A300&amp;"",tbl_Production[Job Number],0),MATCH(IFERROR(A300+0,A300),tbl_Production[Job Number],0)))="",INDEX(tbl_Production[Qwilr Quote],IFERROR(MATCH(A300&amp;"",tbl_Production[Job Number],0),MATCH(IFERROR(A300+0,A300),tbl_Production[Job Number],0))),INDEX(tbl_Production[Current RMS No],IFERROR(MATCH(A300&amp;"",tbl_Production[Job Number],0),MATCH(IFERROR(A300+0,A300),tbl_Production[Job Number],0))))="","",IF(INDEX(tbl_Production[Current RMS No],IFERROR(MATCH(A300&amp;"",tbl_Production[Job Number],0),MATCH(IFERROR(A300+0,A300),tbl_Production[Job Number],0)))="",INDEX(tbl_Production[Qwilr Quote],IFERROR(MATCH(A300&amp;"",tbl_Production[Job Number],0),MATCH(IFERROR(A300+0,A300),tbl_Production[Job Number],0))),INDEX(tbl_Production[Current RMS No],IFERROR(MATCH(A300&amp;"",tbl_Production[Job Number],0),MATCH(IFERROR(A300+0,A300),tbl_Production[Job Number],0))))),IFERROR(IF(INDEX(tbl_Consulting[Qwilr Quote],IFERROR(MATCH(A300&amp;"",tbl_Consulting[Job Number],0),MATCH(IFERROR(A300+0,A300),tbl_Consulting[Job Number],0)))="","",INDEX(tbl_Consulting[Qwilr Quote],IFERROR(MATCH(A300&amp;"",tbl_Consulting[Job Number],0),MATCH(IFERROR(A300+0,A300),tbl_Consulting[Job Number],0)))),""))))</f>
        <v/>
      </c>
      <c r="AG300" s="26">
        <f>IF(AF300="","",IF(AND(LEFT(AF300,4)&lt;&gt;"http",IF(G300="Production",set_RMSBase,set_QwilrBase)=""),"",HYPERLINK(IF(LEFT(AF300,4)="http",AF300,IF(G300="Production",set_RMSBase,set_QwilrBase)&amp;AF300),"Open")))</f>
        <v/>
      </c>
      <c r="AH300" s="27">
        <f>IF(A300="","",IFERROR(INDEX(tbl_Production[Total Expense],IFERROR(MATCH(A300&amp;"",tbl_Production[Job Number],0),MATCH(IFERROR(A300+0,A300),tbl_Production[Job Number],0))),IFERROR(INDEX(tbl_Consulting[Total Expense],IFERROR(MATCH(A300&amp;"",tbl_Consulting[Job Number],0),MATCH(IFERROR(A300+0,A300),tbl_Consulting[Job Number],0))),0)))</f>
        <v/>
      </c>
      <c r="AI300" s="27">
        <f>IF(A300="","",AC300-N(AH300))</f>
        <v/>
      </c>
      <c r="AJ300" s="29">
        <f>IFERROR(AI300/AC300,"")</f>
        <v/>
      </c>
      <c r="AK300" s="26">
        <f>IF(A300="","",IFERROR(IF(INDEX(tbl_Onsite[Notes],IFERROR(MATCH(A300&amp;"",tbl_Onsite[Job Number],0),MATCH(IFERROR(A300+0,A300),tbl_Onsite[Job Number],0)))="","",INDEX(tbl_Onsite[Notes],IFERROR(MATCH(A300&amp;"",tbl_Onsite[Job Number],0),MATCH(IFERROR(A300+0,A300),tbl_Onsite[Job Number],0)))),IFERROR(IF(INDEX(tbl_Production[Notes],IFERROR(MATCH(A300&amp;"",tbl_Production[Job Number],0),MATCH(IFERROR(A300+0,A300),tbl_Production[Job Number],0)))="","",INDEX(tbl_Production[Notes],IFERROR(MATCH(A300&amp;"",tbl_Production[Job Number],0),MATCH(IFERROR(A300+0,A300),tbl_Production[Job Number],0)))),IFERROR(IF(INDEX(tbl_Consulting[Notes],IFERROR(MATCH(A300&amp;"",tbl_Consulting[Job Number],0),MATCH(IFERROR(A300+0,A300),tbl_Consulting[Job Number],0)))="","",INDEX(tbl_Consulting[Notes],IFERROR(MATCH(A300&amp;"",tbl_Consulting[Job Number],0),MATCH(IFERROR(A300+0,A300),tbl_Consulting[Job Number],0)))),""))))</f>
        <v/>
      </c>
    </row>
    <row r="301" ht="15" customHeight="1">
      <c r="A301" s="22" t="n"/>
      <c r="B301" s="22" t="n"/>
      <c r="C301" s="23" t="n"/>
      <c r="D301" s="22" t="n"/>
      <c r="E301" s="24" t="n"/>
      <c r="F301" s="25">
        <f>IF(C301="","",EOMONTH(C301,0))</f>
        <v/>
      </c>
      <c r="G301" s="26">
        <f>IF(A301="","",IF(COUNTIF(tbl_Onsite[Job Number],A301&amp;"")&gt;0,"Onsite",IF(COUNTIF(tbl_Production[Job Number],A301&amp;"")&gt;0,"Production",IF(COUNTIF(tbl_Consulting[Job Number],A301&amp;"")&gt;0,"Consulting","not set up yet"))))</f>
        <v/>
      </c>
      <c r="H301" s="26">
        <f>IF(A301="","",IF(COUNTIF(lst_Jobs,A301&amp;"")&gt;0,"OK","CHECK"))</f>
        <v/>
      </c>
      <c r="I301" s="26">
        <f>IF(A301="","",IFERROR(INDEX(lst_JobName,MATCH(A301&amp;"",lst_Jobs,0)),""))</f>
        <v/>
      </c>
      <c r="J301" s="26">
        <f>IF(A301="","",IFERROR(IF(INDEX(tbl_Onsite[Client],IFERROR(MATCH(A301&amp;"",tbl_Onsite[Job Number],0),MATCH(IFERROR(A301+0,A301),tbl_Onsite[Job Number],0)))="","",INDEX(tbl_Onsite[Client],IFERROR(MATCH(A301&amp;"",tbl_Onsite[Job Number],0),MATCH(IFERROR(A301+0,A301),tbl_Onsite[Job Number],0)))),IFERROR(IF(INDEX(tbl_Production[Client],IFERROR(MATCH(A301&amp;"",tbl_Production[Job Number],0),MATCH(IFERROR(A301+0,A301),tbl_Production[Job Number],0)))="","",INDEX(tbl_Production[Client],IFERROR(MATCH(A301&amp;"",tbl_Production[Job Number],0),MATCH(IFERROR(A301+0,A301),tbl_Production[Job Number],0)))),IFERROR(IF(INDEX(tbl_Consulting[Client],IFERROR(MATCH(A301&amp;"",tbl_Consulting[Job Number],0),MATCH(IFERROR(A301+0,A301),tbl_Consulting[Job Number],0)))="","",INDEX(tbl_Consulting[Client],IFERROR(MATCH(A301&amp;"",tbl_Consulting[Job Number],0),MATCH(IFERROR(A301+0,A301),tbl_Consulting[Job Number],0)))),""))))</f>
        <v/>
      </c>
      <c r="K301" s="26">
        <f>IF(A301="","",IFERROR(IF(INDEX(tbl_Onsite[Job Description],IFERROR(MATCH(A301&amp;"",tbl_Onsite[Job Number],0),MATCH(IFERROR(A301+0,A301),tbl_Onsite[Job Number],0)))="","",INDEX(tbl_Onsite[Job Description],IFERROR(MATCH(A301&amp;"",tbl_Onsite[Job Number],0),MATCH(IFERROR(A301+0,A301),tbl_Onsite[Job Number],0)))),IFERROR(IF(INDEX(tbl_Production[Job Description],IFERROR(MATCH(A301&amp;"",tbl_Production[Job Number],0),MATCH(IFERROR(A301+0,A301),tbl_Production[Job Number],0)))="","",INDEX(tbl_Production[Job Description],IFERROR(MATCH(A301&amp;"",tbl_Production[Job Number],0),MATCH(IFERROR(A301+0,A301),tbl_Production[Job Number],0)))),IFERROR(IF(INDEX(tbl_Consulting[Job Description],IFERROR(MATCH(A301&amp;"",tbl_Consulting[Job Number],0),MATCH(IFERROR(A301+0,A301),tbl_Consulting[Job Number],0)))="","",INDEX(tbl_Consulting[Job Description],IFERROR(MATCH(A301&amp;"",tbl_Consulting[Job Number],0),MATCH(IFERROR(A301+0,A301),tbl_Consulting[Job Number],0)))),""))))</f>
        <v/>
      </c>
      <c r="L301" s="26">
        <f>IF(A301="","",IFERROR(IF(INDEX(tbl_Onsite[Invoice Type],IFERROR(MATCH(A301&amp;"",tbl_Onsite[Job Number],0),MATCH(IFERROR(A301+0,A301),tbl_Onsite[Job Number],0)))="","",INDEX(tbl_Onsite[Invoice Type],IFERROR(MATCH(A301&amp;"",tbl_Onsite[Job Number],0),MATCH(IFERROR(A301+0,A301),tbl_Onsite[Job Number],0)))),IFERROR(IF(INDEX(tbl_Production[Invoice Type],IFERROR(MATCH(A301&amp;"",tbl_Production[Job Number],0),MATCH(IFERROR(A301+0,A301),tbl_Production[Job Number],0)))="","",INDEX(tbl_Production[Invoice Type],IFERROR(MATCH(A301&amp;"",tbl_Production[Job Number],0),MATCH(IFERROR(A301+0,A301),tbl_Production[Job Number],0)))),IFERROR(IF(INDEX(tbl_Consulting[Invoice Type],IFERROR(MATCH(A301&amp;"",tbl_Consulting[Job Number],0),MATCH(IFERROR(A301+0,A301),tbl_Consulting[Job Number],0)))="","",INDEX(tbl_Consulting[Invoice Type],IFERROR(MATCH(A301&amp;"",tbl_Consulting[Job Number],0),MATCH(IFERROR(A301+0,A301),tbl_Consulting[Job Number],0)))),""))))</f>
        <v/>
      </c>
      <c r="M301" s="26">
        <f>IF(A301="","",IF(IFERROR(IF(INDEX(tbl_Onsite[Tax Code],IFERROR(MATCH(A301&amp;"",tbl_Onsite[Job Number],0),MATCH(IFERROR(A301+0,A301),tbl_Onsite[Job Number],0)))="","",INDEX(tbl_Onsite[Tax Code],IFERROR(MATCH(A301&amp;"",tbl_Onsite[Job Number],0),MATCH(IFERROR(A301+0,A301),tbl_Onsite[Job Number],0)))),IFERROR(IF(INDEX(tbl_Production[Tax Code],IFERROR(MATCH(A301&amp;"",tbl_Production[Job Number],0),MATCH(IFERROR(A301+0,A301),tbl_Production[Job Number],0)))="","",INDEX(tbl_Production[Tax Code],IFERROR(MATCH(A301&amp;"",tbl_Production[Job Number],0),MATCH(IFERROR(A301+0,A301),tbl_Production[Job Number],0)))),IFERROR(IF(INDEX(tbl_Consulting[Tax Code],IFERROR(MATCH(A301&amp;"",tbl_Consulting[Job Number],0),MATCH(IFERROR(A301+0,A301),tbl_Consulting[Job Number],0)))="","",INDEX(tbl_Consulting[Tax Code],IFERROR(MATCH(A301&amp;"",tbl_Consulting[Job Number],0),MATCH(IFERROR(A301+0,A301),tbl_Consulting[Job Number],0)))),"")))="","GST 10%",IFERROR(IF(INDEX(tbl_Onsite[Tax Code],IFERROR(MATCH(A301&amp;"",tbl_Onsite[Job Number],0),MATCH(IFERROR(A301+0,A301),tbl_Onsite[Job Number],0)))="","",INDEX(tbl_Onsite[Tax Code],IFERROR(MATCH(A301&amp;"",tbl_Onsite[Job Number],0),MATCH(IFERROR(A301+0,A301),tbl_Onsite[Job Number],0)))),IFERROR(IF(INDEX(tbl_Production[Tax Code],IFERROR(MATCH(A301&amp;"",tbl_Production[Job Number],0),MATCH(IFERROR(A301+0,A301),tbl_Production[Job Number],0)))="","",INDEX(tbl_Production[Tax Code],IFERROR(MATCH(A301&amp;"",tbl_Production[Job Number],0),MATCH(IFERROR(A301+0,A301),tbl_Production[Job Number],0)))),IFERROR(IF(INDEX(tbl_Consulting[Tax Code],IFERROR(MATCH(A301&amp;"",tbl_Consulting[Job Number],0),MATCH(IFERROR(A301+0,A301),tbl_Consulting[Job Number],0)))="","",INDEX(tbl_Consulting[Tax Code],IFERROR(MATCH(A301&amp;"",tbl_Consulting[Job Number],0),MATCH(IFERROR(A301+0,A301),tbl_Consulting[Job Number],0)))),"")))))</f>
        <v/>
      </c>
      <c r="N301" s="26">
        <f>IF(D301="","",IFERROR(INDEX(lst_CCtoGL,MATCH(D301,lst_CCforGL,0)),""))</f>
        <v/>
      </c>
      <c r="O301" s="27">
        <f>IF(E301="","",IF(M301="GST 10%",ROUND(E301*set_GSTRate,2),0))</f>
        <v/>
      </c>
      <c r="P301" s="27">
        <f>IF(E301="","",E301+O301)</f>
        <v/>
      </c>
      <c r="Q301" s="27">
        <f>IF(A301="","",IFERROR(INDEX(tbl_Onsite[Expected Revenue Ex GST],IFERROR(MATCH(A301&amp;"",tbl_Onsite[Job Number],0),MATCH(IFERROR(A301+0,A301),tbl_Onsite[Job Number],0))),IFERROR(INDEX(tbl_Production[Expected Revenue Ex GST],IFERROR(MATCH(A301&amp;"",tbl_Production[Job Number],0),MATCH(IFERROR(A301+0,A301),tbl_Production[Job Number],0))),IFERROR(INDEX(tbl_Consulting[Expected Revenue Ex GST],IFERROR(MATCH(A301&amp;"",tbl_Consulting[Job Number],0),MATCH(IFERROR(A301+0,A301),tbl_Consulting[Job Number],0))),0))))</f>
        <v/>
      </c>
      <c r="R301" s="27">
        <f>IF(A301="","",SUMIFS(tbl_Finance[Ex GST],tbl_Finance[Job Number],A301&amp;""))</f>
        <v/>
      </c>
      <c r="S301" s="27">
        <f>IF(A301="","",Q301-R301)</f>
        <v/>
      </c>
      <c r="T301" s="26">
        <f>IF(A301="","",IF(Q301=0,"No dept value",IF(ROUND(S301,2)=0,"Agrees",IF(S301&gt;0,"Dept higher - to invoice","Xero higher - check dept"))))</f>
        <v/>
      </c>
      <c r="U301" s="22" t="n"/>
      <c r="V301" s="22" t="n"/>
      <c r="W301" s="23" t="n"/>
      <c r="X301" s="23" t="n"/>
      <c r="Y301" s="22" t="n"/>
      <c r="Z301" s="22" t="n"/>
      <c r="AA301" s="26">
        <f>IF(COUNTA(C301,A301,B301,E301)=0,"",IF(C301="","No date - sits outside every month",IF(A301="","No job number",IF(H301="CHECK","Job number is not in the Xero job list",IF(G301="not set up yet","No department has set this job up - nothing can pull through",IF(D301="","No cost centre",IF(AND(U301="Y",B301=""),"Marked posted to Xero but has no invoice number",IF(N301="","Cost centre has no revenue GL on the Lists sheet",IF(T301="Xero higher - check dept","Invoiced more than the department says the job is worth","")))))))))</f>
        <v/>
      </c>
      <c r="AB301" s="28">
        <f>IF(A301="","",COUNTIFS(tbl_Finance[Job Number],A301&amp;"",tbl_Finance[Ex GST],"&lt;&gt;"))</f>
        <v/>
      </c>
      <c r="AC301" s="27">
        <f>IF(A301="","",SUMIFS(tbl_Finance[Ex GST],tbl_Finance[Job Number],A301&amp;""))</f>
        <v/>
      </c>
      <c r="AD301" s="27">
        <f>IF(A301="","",SUMIFS(tbl_Finance[Ex GST],tbl_Finance[Job Number],A301&amp;"",tbl_Finance[Xero Invoice No],"&lt;&gt;"))</f>
        <v/>
      </c>
      <c r="AE301" s="27">
        <f>IF(A301="","",AC301-AD301)</f>
        <v/>
      </c>
      <c r="AF301" s="26">
        <f>IF(A301="","",IFERROR(IF(INDEX(tbl_Onsite[Qwilr Quote],IFERROR(MATCH(A301&amp;"",tbl_Onsite[Job Number],0),MATCH(IFERROR(A301+0,A301),tbl_Onsite[Job Number],0)))="","",INDEX(tbl_Onsite[Qwilr Quote],IFERROR(MATCH(A301&amp;"",tbl_Onsite[Job Number],0),MATCH(IFERROR(A301+0,A301),tbl_Onsite[Job Number],0)))),IFERROR(IF(IF(INDEX(tbl_Production[Current RMS No],IFERROR(MATCH(A301&amp;"",tbl_Production[Job Number],0),MATCH(IFERROR(A301+0,A301),tbl_Production[Job Number],0)))="",INDEX(tbl_Production[Qwilr Quote],IFERROR(MATCH(A301&amp;"",tbl_Production[Job Number],0),MATCH(IFERROR(A301+0,A301),tbl_Production[Job Number],0))),INDEX(tbl_Production[Current RMS No],IFERROR(MATCH(A301&amp;"",tbl_Production[Job Number],0),MATCH(IFERROR(A301+0,A301),tbl_Production[Job Number],0))))="","",IF(INDEX(tbl_Production[Current RMS No],IFERROR(MATCH(A301&amp;"",tbl_Production[Job Number],0),MATCH(IFERROR(A301+0,A301),tbl_Production[Job Number],0)))="",INDEX(tbl_Production[Qwilr Quote],IFERROR(MATCH(A301&amp;"",tbl_Production[Job Number],0),MATCH(IFERROR(A301+0,A301),tbl_Production[Job Number],0))),INDEX(tbl_Production[Current RMS No],IFERROR(MATCH(A301&amp;"",tbl_Production[Job Number],0),MATCH(IFERROR(A301+0,A301),tbl_Production[Job Number],0))))),IFERROR(IF(INDEX(tbl_Consulting[Qwilr Quote],IFERROR(MATCH(A301&amp;"",tbl_Consulting[Job Number],0),MATCH(IFERROR(A301+0,A301),tbl_Consulting[Job Number],0)))="","",INDEX(tbl_Consulting[Qwilr Quote],IFERROR(MATCH(A301&amp;"",tbl_Consulting[Job Number],0),MATCH(IFERROR(A301+0,A301),tbl_Consulting[Job Number],0)))),""))))</f>
        <v/>
      </c>
      <c r="AG301" s="26">
        <f>IF(AF301="","",IF(AND(LEFT(AF301,4)&lt;&gt;"http",IF(G301="Production",set_RMSBase,set_QwilrBase)=""),"",HYPERLINK(IF(LEFT(AF301,4)="http",AF301,IF(G301="Production",set_RMSBase,set_QwilrBase)&amp;AF301),"Open")))</f>
        <v/>
      </c>
      <c r="AH301" s="27">
        <f>IF(A301="","",IFERROR(INDEX(tbl_Production[Total Expense],IFERROR(MATCH(A301&amp;"",tbl_Production[Job Number],0),MATCH(IFERROR(A301+0,A301),tbl_Production[Job Number],0))),IFERROR(INDEX(tbl_Consulting[Total Expense],IFERROR(MATCH(A301&amp;"",tbl_Consulting[Job Number],0),MATCH(IFERROR(A301+0,A301),tbl_Consulting[Job Number],0))),0)))</f>
        <v/>
      </c>
      <c r="AI301" s="27">
        <f>IF(A301="","",AC301-N(AH301))</f>
        <v/>
      </c>
      <c r="AJ301" s="29">
        <f>IFERROR(AI301/AC301,"")</f>
        <v/>
      </c>
      <c r="AK301" s="26">
        <f>IF(A301="","",IFERROR(IF(INDEX(tbl_Onsite[Notes],IFERROR(MATCH(A301&amp;"",tbl_Onsite[Job Number],0),MATCH(IFERROR(A301+0,A301),tbl_Onsite[Job Number],0)))="","",INDEX(tbl_Onsite[Notes],IFERROR(MATCH(A301&amp;"",tbl_Onsite[Job Number],0),MATCH(IFERROR(A301+0,A301),tbl_Onsite[Job Number],0)))),IFERROR(IF(INDEX(tbl_Production[Notes],IFERROR(MATCH(A301&amp;"",tbl_Production[Job Number],0),MATCH(IFERROR(A301+0,A301),tbl_Production[Job Number],0)))="","",INDEX(tbl_Production[Notes],IFERROR(MATCH(A301&amp;"",tbl_Production[Job Number],0),MATCH(IFERROR(A301+0,A301),tbl_Production[Job Number],0)))),IFERROR(IF(INDEX(tbl_Consulting[Notes],IFERROR(MATCH(A301&amp;"",tbl_Consulting[Job Number],0),MATCH(IFERROR(A301+0,A301),tbl_Consulting[Job Number],0)))="","",INDEX(tbl_Consulting[Notes],IFERROR(MATCH(A301&amp;"",tbl_Consulting[Job Number],0),MATCH(IFERROR(A301+0,A301),tbl_Consulting[Job Number],0)))),""))))</f>
        <v/>
      </c>
    </row>
    <row r="302" ht="15" customHeight="1">
      <c r="A302" s="22" t="n"/>
      <c r="B302" s="22" t="n"/>
      <c r="C302" s="23" t="n"/>
      <c r="D302" s="22" t="n"/>
      <c r="E302" s="24" t="n"/>
      <c r="F302" s="25">
        <f>IF(C302="","",EOMONTH(C302,0))</f>
        <v/>
      </c>
      <c r="G302" s="26">
        <f>IF(A302="","",IF(COUNTIF(tbl_Onsite[Job Number],A302&amp;"")&gt;0,"Onsite",IF(COUNTIF(tbl_Production[Job Number],A302&amp;"")&gt;0,"Production",IF(COUNTIF(tbl_Consulting[Job Number],A302&amp;"")&gt;0,"Consulting","not set up yet"))))</f>
        <v/>
      </c>
      <c r="H302" s="26">
        <f>IF(A302="","",IF(COUNTIF(lst_Jobs,A302&amp;"")&gt;0,"OK","CHECK"))</f>
        <v/>
      </c>
      <c r="I302" s="26">
        <f>IF(A302="","",IFERROR(INDEX(lst_JobName,MATCH(A302&amp;"",lst_Jobs,0)),""))</f>
        <v/>
      </c>
      <c r="J302" s="26">
        <f>IF(A302="","",IFERROR(IF(INDEX(tbl_Onsite[Client],IFERROR(MATCH(A302&amp;"",tbl_Onsite[Job Number],0),MATCH(IFERROR(A302+0,A302),tbl_Onsite[Job Number],0)))="","",INDEX(tbl_Onsite[Client],IFERROR(MATCH(A302&amp;"",tbl_Onsite[Job Number],0),MATCH(IFERROR(A302+0,A302),tbl_Onsite[Job Number],0)))),IFERROR(IF(INDEX(tbl_Production[Client],IFERROR(MATCH(A302&amp;"",tbl_Production[Job Number],0),MATCH(IFERROR(A302+0,A302),tbl_Production[Job Number],0)))="","",INDEX(tbl_Production[Client],IFERROR(MATCH(A302&amp;"",tbl_Production[Job Number],0),MATCH(IFERROR(A302+0,A302),tbl_Production[Job Number],0)))),IFERROR(IF(INDEX(tbl_Consulting[Client],IFERROR(MATCH(A302&amp;"",tbl_Consulting[Job Number],0),MATCH(IFERROR(A302+0,A302),tbl_Consulting[Job Number],0)))="","",INDEX(tbl_Consulting[Client],IFERROR(MATCH(A302&amp;"",tbl_Consulting[Job Number],0),MATCH(IFERROR(A302+0,A302),tbl_Consulting[Job Number],0)))),""))))</f>
        <v/>
      </c>
      <c r="K302" s="26">
        <f>IF(A302="","",IFERROR(IF(INDEX(tbl_Onsite[Job Description],IFERROR(MATCH(A302&amp;"",tbl_Onsite[Job Number],0),MATCH(IFERROR(A302+0,A302),tbl_Onsite[Job Number],0)))="","",INDEX(tbl_Onsite[Job Description],IFERROR(MATCH(A302&amp;"",tbl_Onsite[Job Number],0),MATCH(IFERROR(A302+0,A302),tbl_Onsite[Job Number],0)))),IFERROR(IF(INDEX(tbl_Production[Job Description],IFERROR(MATCH(A302&amp;"",tbl_Production[Job Number],0),MATCH(IFERROR(A302+0,A302),tbl_Production[Job Number],0)))="","",INDEX(tbl_Production[Job Description],IFERROR(MATCH(A302&amp;"",tbl_Production[Job Number],0),MATCH(IFERROR(A302+0,A302),tbl_Production[Job Number],0)))),IFERROR(IF(INDEX(tbl_Consulting[Job Description],IFERROR(MATCH(A302&amp;"",tbl_Consulting[Job Number],0),MATCH(IFERROR(A302+0,A302),tbl_Consulting[Job Number],0)))="","",INDEX(tbl_Consulting[Job Description],IFERROR(MATCH(A302&amp;"",tbl_Consulting[Job Number],0),MATCH(IFERROR(A302+0,A302),tbl_Consulting[Job Number],0)))),""))))</f>
        <v/>
      </c>
      <c r="L302" s="26">
        <f>IF(A302="","",IFERROR(IF(INDEX(tbl_Onsite[Invoice Type],IFERROR(MATCH(A302&amp;"",tbl_Onsite[Job Number],0),MATCH(IFERROR(A302+0,A302),tbl_Onsite[Job Number],0)))="","",INDEX(tbl_Onsite[Invoice Type],IFERROR(MATCH(A302&amp;"",tbl_Onsite[Job Number],0),MATCH(IFERROR(A302+0,A302),tbl_Onsite[Job Number],0)))),IFERROR(IF(INDEX(tbl_Production[Invoice Type],IFERROR(MATCH(A302&amp;"",tbl_Production[Job Number],0),MATCH(IFERROR(A302+0,A302),tbl_Production[Job Number],0)))="","",INDEX(tbl_Production[Invoice Type],IFERROR(MATCH(A302&amp;"",tbl_Production[Job Number],0),MATCH(IFERROR(A302+0,A302),tbl_Production[Job Number],0)))),IFERROR(IF(INDEX(tbl_Consulting[Invoice Type],IFERROR(MATCH(A302&amp;"",tbl_Consulting[Job Number],0),MATCH(IFERROR(A302+0,A302),tbl_Consulting[Job Number],0)))="","",INDEX(tbl_Consulting[Invoice Type],IFERROR(MATCH(A302&amp;"",tbl_Consulting[Job Number],0),MATCH(IFERROR(A302+0,A302),tbl_Consulting[Job Number],0)))),""))))</f>
        <v/>
      </c>
      <c r="M302" s="26">
        <f>IF(A302="","",IF(IFERROR(IF(INDEX(tbl_Onsite[Tax Code],IFERROR(MATCH(A302&amp;"",tbl_Onsite[Job Number],0),MATCH(IFERROR(A302+0,A302),tbl_Onsite[Job Number],0)))="","",INDEX(tbl_Onsite[Tax Code],IFERROR(MATCH(A302&amp;"",tbl_Onsite[Job Number],0),MATCH(IFERROR(A302+0,A302),tbl_Onsite[Job Number],0)))),IFERROR(IF(INDEX(tbl_Production[Tax Code],IFERROR(MATCH(A302&amp;"",tbl_Production[Job Number],0),MATCH(IFERROR(A302+0,A302),tbl_Production[Job Number],0)))="","",INDEX(tbl_Production[Tax Code],IFERROR(MATCH(A302&amp;"",tbl_Production[Job Number],0),MATCH(IFERROR(A302+0,A302),tbl_Production[Job Number],0)))),IFERROR(IF(INDEX(tbl_Consulting[Tax Code],IFERROR(MATCH(A302&amp;"",tbl_Consulting[Job Number],0),MATCH(IFERROR(A302+0,A302),tbl_Consulting[Job Number],0)))="","",INDEX(tbl_Consulting[Tax Code],IFERROR(MATCH(A302&amp;"",tbl_Consulting[Job Number],0),MATCH(IFERROR(A302+0,A302),tbl_Consulting[Job Number],0)))),"")))="","GST 10%",IFERROR(IF(INDEX(tbl_Onsite[Tax Code],IFERROR(MATCH(A302&amp;"",tbl_Onsite[Job Number],0),MATCH(IFERROR(A302+0,A302),tbl_Onsite[Job Number],0)))="","",INDEX(tbl_Onsite[Tax Code],IFERROR(MATCH(A302&amp;"",tbl_Onsite[Job Number],0),MATCH(IFERROR(A302+0,A302),tbl_Onsite[Job Number],0)))),IFERROR(IF(INDEX(tbl_Production[Tax Code],IFERROR(MATCH(A302&amp;"",tbl_Production[Job Number],0),MATCH(IFERROR(A302+0,A302),tbl_Production[Job Number],0)))="","",INDEX(tbl_Production[Tax Code],IFERROR(MATCH(A302&amp;"",tbl_Production[Job Number],0),MATCH(IFERROR(A302+0,A302),tbl_Production[Job Number],0)))),IFERROR(IF(INDEX(tbl_Consulting[Tax Code],IFERROR(MATCH(A302&amp;"",tbl_Consulting[Job Number],0),MATCH(IFERROR(A302+0,A302),tbl_Consulting[Job Number],0)))="","",INDEX(tbl_Consulting[Tax Code],IFERROR(MATCH(A302&amp;"",tbl_Consulting[Job Number],0),MATCH(IFERROR(A302+0,A302),tbl_Consulting[Job Number],0)))),"")))))</f>
        <v/>
      </c>
      <c r="N302" s="26">
        <f>IF(D302="","",IFERROR(INDEX(lst_CCtoGL,MATCH(D302,lst_CCforGL,0)),""))</f>
        <v/>
      </c>
      <c r="O302" s="27">
        <f>IF(E302="","",IF(M302="GST 10%",ROUND(E302*set_GSTRate,2),0))</f>
        <v/>
      </c>
      <c r="P302" s="27">
        <f>IF(E302="","",E302+O302)</f>
        <v/>
      </c>
      <c r="Q302" s="27">
        <f>IF(A302="","",IFERROR(INDEX(tbl_Onsite[Expected Revenue Ex GST],IFERROR(MATCH(A302&amp;"",tbl_Onsite[Job Number],0),MATCH(IFERROR(A302+0,A302),tbl_Onsite[Job Number],0))),IFERROR(INDEX(tbl_Production[Expected Revenue Ex GST],IFERROR(MATCH(A302&amp;"",tbl_Production[Job Number],0),MATCH(IFERROR(A302+0,A302),tbl_Production[Job Number],0))),IFERROR(INDEX(tbl_Consulting[Expected Revenue Ex GST],IFERROR(MATCH(A302&amp;"",tbl_Consulting[Job Number],0),MATCH(IFERROR(A302+0,A302),tbl_Consulting[Job Number],0))),0))))</f>
        <v/>
      </c>
      <c r="R302" s="27">
        <f>IF(A302="","",SUMIFS(tbl_Finance[Ex GST],tbl_Finance[Job Number],A302&amp;""))</f>
        <v/>
      </c>
      <c r="S302" s="27">
        <f>IF(A302="","",Q302-R302)</f>
        <v/>
      </c>
      <c r="T302" s="26">
        <f>IF(A302="","",IF(Q302=0,"No dept value",IF(ROUND(S302,2)=0,"Agrees",IF(S302&gt;0,"Dept higher - to invoice","Xero higher - check dept"))))</f>
        <v/>
      </c>
      <c r="U302" s="22" t="n"/>
      <c r="V302" s="22" t="n"/>
      <c r="W302" s="23" t="n"/>
      <c r="X302" s="23" t="n"/>
      <c r="Y302" s="22" t="n"/>
      <c r="Z302" s="22" t="n"/>
      <c r="AA302" s="26">
        <f>IF(COUNTA(C302,A302,B302,E302)=0,"",IF(C302="","No date - sits outside every month",IF(A302="","No job number",IF(H302="CHECK","Job number is not in the Xero job list",IF(G302="not set up yet","No department has set this job up - nothing can pull through",IF(D302="","No cost centre",IF(AND(U302="Y",B302=""),"Marked posted to Xero but has no invoice number",IF(N302="","Cost centre has no revenue GL on the Lists sheet",IF(T302="Xero higher - check dept","Invoiced more than the department says the job is worth","")))))))))</f>
        <v/>
      </c>
      <c r="AB302" s="28">
        <f>IF(A302="","",COUNTIFS(tbl_Finance[Job Number],A302&amp;"",tbl_Finance[Ex GST],"&lt;&gt;"))</f>
        <v/>
      </c>
      <c r="AC302" s="27">
        <f>IF(A302="","",SUMIFS(tbl_Finance[Ex GST],tbl_Finance[Job Number],A302&amp;""))</f>
        <v/>
      </c>
      <c r="AD302" s="27">
        <f>IF(A302="","",SUMIFS(tbl_Finance[Ex GST],tbl_Finance[Job Number],A302&amp;"",tbl_Finance[Xero Invoice No],"&lt;&gt;"))</f>
        <v/>
      </c>
      <c r="AE302" s="27">
        <f>IF(A302="","",AC302-AD302)</f>
        <v/>
      </c>
      <c r="AF302" s="26">
        <f>IF(A302="","",IFERROR(IF(INDEX(tbl_Onsite[Qwilr Quote],IFERROR(MATCH(A302&amp;"",tbl_Onsite[Job Number],0),MATCH(IFERROR(A302+0,A302),tbl_Onsite[Job Number],0)))="","",INDEX(tbl_Onsite[Qwilr Quote],IFERROR(MATCH(A302&amp;"",tbl_Onsite[Job Number],0),MATCH(IFERROR(A302+0,A302),tbl_Onsite[Job Number],0)))),IFERROR(IF(IF(INDEX(tbl_Production[Current RMS No],IFERROR(MATCH(A302&amp;"",tbl_Production[Job Number],0),MATCH(IFERROR(A302+0,A302),tbl_Production[Job Number],0)))="",INDEX(tbl_Production[Qwilr Quote],IFERROR(MATCH(A302&amp;"",tbl_Production[Job Number],0),MATCH(IFERROR(A302+0,A302),tbl_Production[Job Number],0))),INDEX(tbl_Production[Current RMS No],IFERROR(MATCH(A302&amp;"",tbl_Production[Job Number],0),MATCH(IFERROR(A302+0,A302),tbl_Production[Job Number],0))))="","",IF(INDEX(tbl_Production[Current RMS No],IFERROR(MATCH(A302&amp;"",tbl_Production[Job Number],0),MATCH(IFERROR(A302+0,A302),tbl_Production[Job Number],0)))="",INDEX(tbl_Production[Qwilr Quote],IFERROR(MATCH(A302&amp;"",tbl_Production[Job Number],0),MATCH(IFERROR(A302+0,A302),tbl_Production[Job Number],0))),INDEX(tbl_Production[Current RMS No],IFERROR(MATCH(A302&amp;"",tbl_Production[Job Number],0),MATCH(IFERROR(A302+0,A302),tbl_Production[Job Number],0))))),IFERROR(IF(INDEX(tbl_Consulting[Qwilr Quote],IFERROR(MATCH(A302&amp;"",tbl_Consulting[Job Number],0),MATCH(IFERROR(A302+0,A302),tbl_Consulting[Job Number],0)))="","",INDEX(tbl_Consulting[Qwilr Quote],IFERROR(MATCH(A302&amp;"",tbl_Consulting[Job Number],0),MATCH(IFERROR(A302+0,A302),tbl_Consulting[Job Number],0)))),""))))</f>
        <v/>
      </c>
      <c r="AG302" s="26">
        <f>IF(AF302="","",IF(AND(LEFT(AF302,4)&lt;&gt;"http",IF(G302="Production",set_RMSBase,set_QwilrBase)=""),"",HYPERLINK(IF(LEFT(AF302,4)="http",AF302,IF(G302="Production",set_RMSBase,set_QwilrBase)&amp;AF302),"Open")))</f>
        <v/>
      </c>
      <c r="AH302" s="27">
        <f>IF(A302="","",IFERROR(INDEX(tbl_Production[Total Expense],IFERROR(MATCH(A302&amp;"",tbl_Production[Job Number],0),MATCH(IFERROR(A302+0,A302),tbl_Production[Job Number],0))),IFERROR(INDEX(tbl_Consulting[Total Expense],IFERROR(MATCH(A302&amp;"",tbl_Consulting[Job Number],0),MATCH(IFERROR(A302+0,A302),tbl_Consulting[Job Number],0))),0)))</f>
        <v/>
      </c>
      <c r="AI302" s="27">
        <f>IF(A302="","",AC302-N(AH302))</f>
        <v/>
      </c>
      <c r="AJ302" s="29">
        <f>IFERROR(AI302/AC302,"")</f>
        <v/>
      </c>
      <c r="AK302" s="26">
        <f>IF(A302="","",IFERROR(IF(INDEX(tbl_Onsite[Notes],IFERROR(MATCH(A302&amp;"",tbl_Onsite[Job Number],0),MATCH(IFERROR(A302+0,A302),tbl_Onsite[Job Number],0)))="","",INDEX(tbl_Onsite[Notes],IFERROR(MATCH(A302&amp;"",tbl_Onsite[Job Number],0),MATCH(IFERROR(A302+0,A302),tbl_Onsite[Job Number],0)))),IFERROR(IF(INDEX(tbl_Production[Notes],IFERROR(MATCH(A302&amp;"",tbl_Production[Job Number],0),MATCH(IFERROR(A302+0,A302),tbl_Production[Job Number],0)))="","",INDEX(tbl_Production[Notes],IFERROR(MATCH(A302&amp;"",tbl_Production[Job Number],0),MATCH(IFERROR(A302+0,A302),tbl_Production[Job Number],0)))),IFERROR(IF(INDEX(tbl_Consulting[Notes],IFERROR(MATCH(A302&amp;"",tbl_Consulting[Job Number],0),MATCH(IFERROR(A302+0,A302),tbl_Consulting[Job Number],0)))="","",INDEX(tbl_Consulting[Notes],IFERROR(MATCH(A302&amp;"",tbl_Consulting[Job Number],0),MATCH(IFERROR(A302+0,A302),tbl_Consulting[Job Number],0)))),""))))</f>
        <v/>
      </c>
    </row>
    <row r="303" ht="15" customHeight="1">
      <c r="A303" s="22" t="n"/>
      <c r="B303" s="22" t="n"/>
      <c r="C303" s="23" t="n"/>
      <c r="D303" s="22" t="n"/>
      <c r="E303" s="24" t="n"/>
      <c r="F303" s="25">
        <f>IF(C303="","",EOMONTH(C303,0))</f>
        <v/>
      </c>
      <c r="G303" s="26">
        <f>IF(A303="","",IF(COUNTIF(tbl_Onsite[Job Number],A303&amp;"")&gt;0,"Onsite",IF(COUNTIF(tbl_Production[Job Number],A303&amp;"")&gt;0,"Production",IF(COUNTIF(tbl_Consulting[Job Number],A303&amp;"")&gt;0,"Consulting","not set up yet"))))</f>
        <v/>
      </c>
      <c r="H303" s="26">
        <f>IF(A303="","",IF(COUNTIF(lst_Jobs,A303&amp;"")&gt;0,"OK","CHECK"))</f>
        <v/>
      </c>
      <c r="I303" s="26">
        <f>IF(A303="","",IFERROR(INDEX(lst_JobName,MATCH(A303&amp;"",lst_Jobs,0)),""))</f>
        <v/>
      </c>
      <c r="J303" s="26">
        <f>IF(A303="","",IFERROR(IF(INDEX(tbl_Onsite[Client],IFERROR(MATCH(A303&amp;"",tbl_Onsite[Job Number],0),MATCH(IFERROR(A303+0,A303),tbl_Onsite[Job Number],0)))="","",INDEX(tbl_Onsite[Client],IFERROR(MATCH(A303&amp;"",tbl_Onsite[Job Number],0),MATCH(IFERROR(A303+0,A303),tbl_Onsite[Job Number],0)))),IFERROR(IF(INDEX(tbl_Production[Client],IFERROR(MATCH(A303&amp;"",tbl_Production[Job Number],0),MATCH(IFERROR(A303+0,A303),tbl_Production[Job Number],0)))="","",INDEX(tbl_Production[Client],IFERROR(MATCH(A303&amp;"",tbl_Production[Job Number],0),MATCH(IFERROR(A303+0,A303),tbl_Production[Job Number],0)))),IFERROR(IF(INDEX(tbl_Consulting[Client],IFERROR(MATCH(A303&amp;"",tbl_Consulting[Job Number],0),MATCH(IFERROR(A303+0,A303),tbl_Consulting[Job Number],0)))="","",INDEX(tbl_Consulting[Client],IFERROR(MATCH(A303&amp;"",tbl_Consulting[Job Number],0),MATCH(IFERROR(A303+0,A303),tbl_Consulting[Job Number],0)))),""))))</f>
        <v/>
      </c>
      <c r="K303" s="26">
        <f>IF(A303="","",IFERROR(IF(INDEX(tbl_Onsite[Job Description],IFERROR(MATCH(A303&amp;"",tbl_Onsite[Job Number],0),MATCH(IFERROR(A303+0,A303),tbl_Onsite[Job Number],0)))="","",INDEX(tbl_Onsite[Job Description],IFERROR(MATCH(A303&amp;"",tbl_Onsite[Job Number],0),MATCH(IFERROR(A303+0,A303),tbl_Onsite[Job Number],0)))),IFERROR(IF(INDEX(tbl_Production[Job Description],IFERROR(MATCH(A303&amp;"",tbl_Production[Job Number],0),MATCH(IFERROR(A303+0,A303),tbl_Production[Job Number],0)))="","",INDEX(tbl_Production[Job Description],IFERROR(MATCH(A303&amp;"",tbl_Production[Job Number],0),MATCH(IFERROR(A303+0,A303),tbl_Production[Job Number],0)))),IFERROR(IF(INDEX(tbl_Consulting[Job Description],IFERROR(MATCH(A303&amp;"",tbl_Consulting[Job Number],0),MATCH(IFERROR(A303+0,A303),tbl_Consulting[Job Number],0)))="","",INDEX(tbl_Consulting[Job Description],IFERROR(MATCH(A303&amp;"",tbl_Consulting[Job Number],0),MATCH(IFERROR(A303+0,A303),tbl_Consulting[Job Number],0)))),""))))</f>
        <v/>
      </c>
      <c r="L303" s="26">
        <f>IF(A303="","",IFERROR(IF(INDEX(tbl_Onsite[Invoice Type],IFERROR(MATCH(A303&amp;"",tbl_Onsite[Job Number],0),MATCH(IFERROR(A303+0,A303),tbl_Onsite[Job Number],0)))="","",INDEX(tbl_Onsite[Invoice Type],IFERROR(MATCH(A303&amp;"",tbl_Onsite[Job Number],0),MATCH(IFERROR(A303+0,A303),tbl_Onsite[Job Number],0)))),IFERROR(IF(INDEX(tbl_Production[Invoice Type],IFERROR(MATCH(A303&amp;"",tbl_Production[Job Number],0),MATCH(IFERROR(A303+0,A303),tbl_Production[Job Number],0)))="","",INDEX(tbl_Production[Invoice Type],IFERROR(MATCH(A303&amp;"",tbl_Production[Job Number],0),MATCH(IFERROR(A303+0,A303),tbl_Production[Job Number],0)))),IFERROR(IF(INDEX(tbl_Consulting[Invoice Type],IFERROR(MATCH(A303&amp;"",tbl_Consulting[Job Number],0),MATCH(IFERROR(A303+0,A303),tbl_Consulting[Job Number],0)))="","",INDEX(tbl_Consulting[Invoice Type],IFERROR(MATCH(A303&amp;"",tbl_Consulting[Job Number],0),MATCH(IFERROR(A303+0,A303),tbl_Consulting[Job Number],0)))),""))))</f>
        <v/>
      </c>
      <c r="M303" s="26">
        <f>IF(A303="","",IF(IFERROR(IF(INDEX(tbl_Onsite[Tax Code],IFERROR(MATCH(A303&amp;"",tbl_Onsite[Job Number],0),MATCH(IFERROR(A303+0,A303),tbl_Onsite[Job Number],0)))="","",INDEX(tbl_Onsite[Tax Code],IFERROR(MATCH(A303&amp;"",tbl_Onsite[Job Number],0),MATCH(IFERROR(A303+0,A303),tbl_Onsite[Job Number],0)))),IFERROR(IF(INDEX(tbl_Production[Tax Code],IFERROR(MATCH(A303&amp;"",tbl_Production[Job Number],0),MATCH(IFERROR(A303+0,A303),tbl_Production[Job Number],0)))="","",INDEX(tbl_Production[Tax Code],IFERROR(MATCH(A303&amp;"",tbl_Production[Job Number],0),MATCH(IFERROR(A303+0,A303),tbl_Production[Job Number],0)))),IFERROR(IF(INDEX(tbl_Consulting[Tax Code],IFERROR(MATCH(A303&amp;"",tbl_Consulting[Job Number],0),MATCH(IFERROR(A303+0,A303),tbl_Consulting[Job Number],0)))="","",INDEX(tbl_Consulting[Tax Code],IFERROR(MATCH(A303&amp;"",tbl_Consulting[Job Number],0),MATCH(IFERROR(A303+0,A303),tbl_Consulting[Job Number],0)))),"")))="","GST 10%",IFERROR(IF(INDEX(tbl_Onsite[Tax Code],IFERROR(MATCH(A303&amp;"",tbl_Onsite[Job Number],0),MATCH(IFERROR(A303+0,A303),tbl_Onsite[Job Number],0)))="","",INDEX(tbl_Onsite[Tax Code],IFERROR(MATCH(A303&amp;"",tbl_Onsite[Job Number],0),MATCH(IFERROR(A303+0,A303),tbl_Onsite[Job Number],0)))),IFERROR(IF(INDEX(tbl_Production[Tax Code],IFERROR(MATCH(A303&amp;"",tbl_Production[Job Number],0),MATCH(IFERROR(A303+0,A303),tbl_Production[Job Number],0)))="","",INDEX(tbl_Production[Tax Code],IFERROR(MATCH(A303&amp;"",tbl_Production[Job Number],0),MATCH(IFERROR(A303+0,A303),tbl_Production[Job Number],0)))),IFERROR(IF(INDEX(tbl_Consulting[Tax Code],IFERROR(MATCH(A303&amp;"",tbl_Consulting[Job Number],0),MATCH(IFERROR(A303+0,A303),tbl_Consulting[Job Number],0)))="","",INDEX(tbl_Consulting[Tax Code],IFERROR(MATCH(A303&amp;"",tbl_Consulting[Job Number],0),MATCH(IFERROR(A303+0,A303),tbl_Consulting[Job Number],0)))),"")))))</f>
        <v/>
      </c>
      <c r="N303" s="26">
        <f>IF(D303="","",IFERROR(INDEX(lst_CCtoGL,MATCH(D303,lst_CCforGL,0)),""))</f>
        <v/>
      </c>
      <c r="O303" s="27">
        <f>IF(E303="","",IF(M303="GST 10%",ROUND(E303*set_GSTRate,2),0))</f>
        <v/>
      </c>
      <c r="P303" s="27">
        <f>IF(E303="","",E303+O303)</f>
        <v/>
      </c>
      <c r="Q303" s="27">
        <f>IF(A303="","",IFERROR(INDEX(tbl_Onsite[Expected Revenue Ex GST],IFERROR(MATCH(A303&amp;"",tbl_Onsite[Job Number],0),MATCH(IFERROR(A303+0,A303),tbl_Onsite[Job Number],0))),IFERROR(INDEX(tbl_Production[Expected Revenue Ex GST],IFERROR(MATCH(A303&amp;"",tbl_Production[Job Number],0),MATCH(IFERROR(A303+0,A303),tbl_Production[Job Number],0))),IFERROR(INDEX(tbl_Consulting[Expected Revenue Ex GST],IFERROR(MATCH(A303&amp;"",tbl_Consulting[Job Number],0),MATCH(IFERROR(A303+0,A303),tbl_Consulting[Job Number],0))),0))))</f>
        <v/>
      </c>
      <c r="R303" s="27">
        <f>IF(A303="","",SUMIFS(tbl_Finance[Ex GST],tbl_Finance[Job Number],A303&amp;""))</f>
        <v/>
      </c>
      <c r="S303" s="27">
        <f>IF(A303="","",Q303-R303)</f>
        <v/>
      </c>
      <c r="T303" s="26">
        <f>IF(A303="","",IF(Q303=0,"No dept value",IF(ROUND(S303,2)=0,"Agrees",IF(S303&gt;0,"Dept higher - to invoice","Xero higher - check dept"))))</f>
        <v/>
      </c>
      <c r="U303" s="22" t="n"/>
      <c r="V303" s="22" t="n"/>
      <c r="W303" s="23" t="n"/>
      <c r="X303" s="23" t="n"/>
      <c r="Y303" s="22" t="n"/>
      <c r="Z303" s="22" t="n"/>
      <c r="AA303" s="26">
        <f>IF(COUNTA(C303,A303,B303,E303)=0,"",IF(C303="","No date - sits outside every month",IF(A303="","No job number",IF(H303="CHECK","Job number is not in the Xero job list",IF(G303="not set up yet","No department has set this job up - nothing can pull through",IF(D303="","No cost centre",IF(AND(U303="Y",B303=""),"Marked posted to Xero but has no invoice number",IF(N303="","Cost centre has no revenue GL on the Lists sheet",IF(T303="Xero higher - check dept","Invoiced more than the department says the job is worth","")))))))))</f>
        <v/>
      </c>
      <c r="AB303" s="28">
        <f>IF(A303="","",COUNTIFS(tbl_Finance[Job Number],A303&amp;"",tbl_Finance[Ex GST],"&lt;&gt;"))</f>
        <v/>
      </c>
      <c r="AC303" s="27">
        <f>IF(A303="","",SUMIFS(tbl_Finance[Ex GST],tbl_Finance[Job Number],A303&amp;""))</f>
        <v/>
      </c>
      <c r="AD303" s="27">
        <f>IF(A303="","",SUMIFS(tbl_Finance[Ex GST],tbl_Finance[Job Number],A303&amp;"",tbl_Finance[Xero Invoice No],"&lt;&gt;"))</f>
        <v/>
      </c>
      <c r="AE303" s="27">
        <f>IF(A303="","",AC303-AD303)</f>
        <v/>
      </c>
      <c r="AF303" s="26">
        <f>IF(A303="","",IFERROR(IF(INDEX(tbl_Onsite[Qwilr Quote],IFERROR(MATCH(A303&amp;"",tbl_Onsite[Job Number],0),MATCH(IFERROR(A303+0,A303),tbl_Onsite[Job Number],0)))="","",INDEX(tbl_Onsite[Qwilr Quote],IFERROR(MATCH(A303&amp;"",tbl_Onsite[Job Number],0),MATCH(IFERROR(A303+0,A303),tbl_Onsite[Job Number],0)))),IFERROR(IF(IF(INDEX(tbl_Production[Current RMS No],IFERROR(MATCH(A303&amp;"",tbl_Production[Job Number],0),MATCH(IFERROR(A303+0,A303),tbl_Production[Job Number],0)))="",INDEX(tbl_Production[Qwilr Quote],IFERROR(MATCH(A303&amp;"",tbl_Production[Job Number],0),MATCH(IFERROR(A303+0,A303),tbl_Production[Job Number],0))),INDEX(tbl_Production[Current RMS No],IFERROR(MATCH(A303&amp;"",tbl_Production[Job Number],0),MATCH(IFERROR(A303+0,A303),tbl_Production[Job Number],0))))="","",IF(INDEX(tbl_Production[Current RMS No],IFERROR(MATCH(A303&amp;"",tbl_Production[Job Number],0),MATCH(IFERROR(A303+0,A303),tbl_Production[Job Number],0)))="",INDEX(tbl_Production[Qwilr Quote],IFERROR(MATCH(A303&amp;"",tbl_Production[Job Number],0),MATCH(IFERROR(A303+0,A303),tbl_Production[Job Number],0))),INDEX(tbl_Production[Current RMS No],IFERROR(MATCH(A303&amp;"",tbl_Production[Job Number],0),MATCH(IFERROR(A303+0,A303),tbl_Production[Job Number],0))))),IFERROR(IF(INDEX(tbl_Consulting[Qwilr Quote],IFERROR(MATCH(A303&amp;"",tbl_Consulting[Job Number],0),MATCH(IFERROR(A303+0,A303),tbl_Consulting[Job Number],0)))="","",INDEX(tbl_Consulting[Qwilr Quote],IFERROR(MATCH(A303&amp;"",tbl_Consulting[Job Number],0),MATCH(IFERROR(A303+0,A303),tbl_Consulting[Job Number],0)))),""))))</f>
        <v/>
      </c>
      <c r="AG303" s="26">
        <f>IF(AF303="","",IF(AND(LEFT(AF303,4)&lt;&gt;"http",IF(G303="Production",set_RMSBase,set_QwilrBase)=""),"",HYPERLINK(IF(LEFT(AF303,4)="http",AF303,IF(G303="Production",set_RMSBase,set_QwilrBase)&amp;AF303),"Open")))</f>
        <v/>
      </c>
      <c r="AH303" s="27">
        <f>IF(A303="","",IFERROR(INDEX(tbl_Production[Total Expense],IFERROR(MATCH(A303&amp;"",tbl_Production[Job Number],0),MATCH(IFERROR(A303+0,A303),tbl_Production[Job Number],0))),IFERROR(INDEX(tbl_Consulting[Total Expense],IFERROR(MATCH(A303&amp;"",tbl_Consulting[Job Number],0),MATCH(IFERROR(A303+0,A303),tbl_Consulting[Job Number],0))),0)))</f>
        <v/>
      </c>
      <c r="AI303" s="27">
        <f>IF(A303="","",AC303-N(AH303))</f>
        <v/>
      </c>
      <c r="AJ303" s="29">
        <f>IFERROR(AI303/AC303,"")</f>
        <v/>
      </c>
      <c r="AK303" s="26">
        <f>IF(A303="","",IFERROR(IF(INDEX(tbl_Onsite[Notes],IFERROR(MATCH(A303&amp;"",tbl_Onsite[Job Number],0),MATCH(IFERROR(A303+0,A303),tbl_Onsite[Job Number],0)))="","",INDEX(tbl_Onsite[Notes],IFERROR(MATCH(A303&amp;"",tbl_Onsite[Job Number],0),MATCH(IFERROR(A303+0,A303),tbl_Onsite[Job Number],0)))),IFERROR(IF(INDEX(tbl_Production[Notes],IFERROR(MATCH(A303&amp;"",tbl_Production[Job Number],0),MATCH(IFERROR(A303+0,A303),tbl_Production[Job Number],0)))="","",INDEX(tbl_Production[Notes],IFERROR(MATCH(A303&amp;"",tbl_Production[Job Number],0),MATCH(IFERROR(A303+0,A303),tbl_Production[Job Number],0)))),IFERROR(IF(INDEX(tbl_Consulting[Notes],IFERROR(MATCH(A303&amp;"",tbl_Consulting[Job Number],0),MATCH(IFERROR(A303+0,A303),tbl_Consulting[Job Number],0)))="","",INDEX(tbl_Consulting[Notes],IFERROR(MATCH(A303&amp;"",tbl_Consulting[Job Number],0),MATCH(IFERROR(A303+0,A303),tbl_Consulting[Job Number],0)))),""))))</f>
        <v/>
      </c>
    </row>
    <row r="304" ht="15" customHeight="1">
      <c r="A304" s="22" t="n"/>
      <c r="B304" s="22" t="n"/>
      <c r="C304" s="23" t="n"/>
      <c r="D304" s="22" t="n"/>
      <c r="E304" s="24" t="n"/>
      <c r="F304" s="25">
        <f>IF(C304="","",EOMONTH(C304,0))</f>
        <v/>
      </c>
      <c r="G304" s="26">
        <f>IF(A304="","",IF(COUNTIF(tbl_Onsite[Job Number],A304&amp;"")&gt;0,"Onsite",IF(COUNTIF(tbl_Production[Job Number],A304&amp;"")&gt;0,"Production",IF(COUNTIF(tbl_Consulting[Job Number],A304&amp;"")&gt;0,"Consulting","not set up yet"))))</f>
        <v/>
      </c>
      <c r="H304" s="26">
        <f>IF(A304="","",IF(COUNTIF(lst_Jobs,A304&amp;"")&gt;0,"OK","CHECK"))</f>
        <v/>
      </c>
      <c r="I304" s="26">
        <f>IF(A304="","",IFERROR(INDEX(lst_JobName,MATCH(A304&amp;"",lst_Jobs,0)),""))</f>
        <v/>
      </c>
      <c r="J304" s="26">
        <f>IF(A304="","",IFERROR(IF(INDEX(tbl_Onsite[Client],IFERROR(MATCH(A304&amp;"",tbl_Onsite[Job Number],0),MATCH(IFERROR(A304+0,A304),tbl_Onsite[Job Number],0)))="","",INDEX(tbl_Onsite[Client],IFERROR(MATCH(A304&amp;"",tbl_Onsite[Job Number],0),MATCH(IFERROR(A304+0,A304),tbl_Onsite[Job Number],0)))),IFERROR(IF(INDEX(tbl_Production[Client],IFERROR(MATCH(A304&amp;"",tbl_Production[Job Number],0),MATCH(IFERROR(A304+0,A304),tbl_Production[Job Number],0)))="","",INDEX(tbl_Production[Client],IFERROR(MATCH(A304&amp;"",tbl_Production[Job Number],0),MATCH(IFERROR(A304+0,A304),tbl_Production[Job Number],0)))),IFERROR(IF(INDEX(tbl_Consulting[Client],IFERROR(MATCH(A304&amp;"",tbl_Consulting[Job Number],0),MATCH(IFERROR(A304+0,A304),tbl_Consulting[Job Number],0)))="","",INDEX(tbl_Consulting[Client],IFERROR(MATCH(A304&amp;"",tbl_Consulting[Job Number],0),MATCH(IFERROR(A304+0,A304),tbl_Consulting[Job Number],0)))),""))))</f>
        <v/>
      </c>
      <c r="K304" s="26">
        <f>IF(A304="","",IFERROR(IF(INDEX(tbl_Onsite[Job Description],IFERROR(MATCH(A304&amp;"",tbl_Onsite[Job Number],0),MATCH(IFERROR(A304+0,A304),tbl_Onsite[Job Number],0)))="","",INDEX(tbl_Onsite[Job Description],IFERROR(MATCH(A304&amp;"",tbl_Onsite[Job Number],0),MATCH(IFERROR(A304+0,A304),tbl_Onsite[Job Number],0)))),IFERROR(IF(INDEX(tbl_Production[Job Description],IFERROR(MATCH(A304&amp;"",tbl_Production[Job Number],0),MATCH(IFERROR(A304+0,A304),tbl_Production[Job Number],0)))="","",INDEX(tbl_Production[Job Description],IFERROR(MATCH(A304&amp;"",tbl_Production[Job Number],0),MATCH(IFERROR(A304+0,A304),tbl_Production[Job Number],0)))),IFERROR(IF(INDEX(tbl_Consulting[Job Description],IFERROR(MATCH(A304&amp;"",tbl_Consulting[Job Number],0),MATCH(IFERROR(A304+0,A304),tbl_Consulting[Job Number],0)))="","",INDEX(tbl_Consulting[Job Description],IFERROR(MATCH(A304&amp;"",tbl_Consulting[Job Number],0),MATCH(IFERROR(A304+0,A304),tbl_Consulting[Job Number],0)))),""))))</f>
        <v/>
      </c>
      <c r="L304" s="26">
        <f>IF(A304="","",IFERROR(IF(INDEX(tbl_Onsite[Invoice Type],IFERROR(MATCH(A304&amp;"",tbl_Onsite[Job Number],0),MATCH(IFERROR(A304+0,A304),tbl_Onsite[Job Number],0)))="","",INDEX(tbl_Onsite[Invoice Type],IFERROR(MATCH(A304&amp;"",tbl_Onsite[Job Number],0),MATCH(IFERROR(A304+0,A304),tbl_Onsite[Job Number],0)))),IFERROR(IF(INDEX(tbl_Production[Invoice Type],IFERROR(MATCH(A304&amp;"",tbl_Production[Job Number],0),MATCH(IFERROR(A304+0,A304),tbl_Production[Job Number],0)))="","",INDEX(tbl_Production[Invoice Type],IFERROR(MATCH(A304&amp;"",tbl_Production[Job Number],0),MATCH(IFERROR(A304+0,A304),tbl_Production[Job Number],0)))),IFERROR(IF(INDEX(tbl_Consulting[Invoice Type],IFERROR(MATCH(A304&amp;"",tbl_Consulting[Job Number],0),MATCH(IFERROR(A304+0,A304),tbl_Consulting[Job Number],0)))="","",INDEX(tbl_Consulting[Invoice Type],IFERROR(MATCH(A304&amp;"",tbl_Consulting[Job Number],0),MATCH(IFERROR(A304+0,A304),tbl_Consulting[Job Number],0)))),""))))</f>
        <v/>
      </c>
      <c r="M304" s="26">
        <f>IF(A304="","",IF(IFERROR(IF(INDEX(tbl_Onsite[Tax Code],IFERROR(MATCH(A304&amp;"",tbl_Onsite[Job Number],0),MATCH(IFERROR(A304+0,A304),tbl_Onsite[Job Number],0)))="","",INDEX(tbl_Onsite[Tax Code],IFERROR(MATCH(A304&amp;"",tbl_Onsite[Job Number],0),MATCH(IFERROR(A304+0,A304),tbl_Onsite[Job Number],0)))),IFERROR(IF(INDEX(tbl_Production[Tax Code],IFERROR(MATCH(A304&amp;"",tbl_Production[Job Number],0),MATCH(IFERROR(A304+0,A304),tbl_Production[Job Number],0)))="","",INDEX(tbl_Production[Tax Code],IFERROR(MATCH(A304&amp;"",tbl_Production[Job Number],0),MATCH(IFERROR(A304+0,A304),tbl_Production[Job Number],0)))),IFERROR(IF(INDEX(tbl_Consulting[Tax Code],IFERROR(MATCH(A304&amp;"",tbl_Consulting[Job Number],0),MATCH(IFERROR(A304+0,A304),tbl_Consulting[Job Number],0)))="","",INDEX(tbl_Consulting[Tax Code],IFERROR(MATCH(A304&amp;"",tbl_Consulting[Job Number],0),MATCH(IFERROR(A304+0,A304),tbl_Consulting[Job Number],0)))),"")))="","GST 10%",IFERROR(IF(INDEX(tbl_Onsite[Tax Code],IFERROR(MATCH(A304&amp;"",tbl_Onsite[Job Number],0),MATCH(IFERROR(A304+0,A304),tbl_Onsite[Job Number],0)))="","",INDEX(tbl_Onsite[Tax Code],IFERROR(MATCH(A304&amp;"",tbl_Onsite[Job Number],0),MATCH(IFERROR(A304+0,A304),tbl_Onsite[Job Number],0)))),IFERROR(IF(INDEX(tbl_Production[Tax Code],IFERROR(MATCH(A304&amp;"",tbl_Production[Job Number],0),MATCH(IFERROR(A304+0,A304),tbl_Production[Job Number],0)))="","",INDEX(tbl_Production[Tax Code],IFERROR(MATCH(A304&amp;"",tbl_Production[Job Number],0),MATCH(IFERROR(A304+0,A304),tbl_Production[Job Number],0)))),IFERROR(IF(INDEX(tbl_Consulting[Tax Code],IFERROR(MATCH(A304&amp;"",tbl_Consulting[Job Number],0),MATCH(IFERROR(A304+0,A304),tbl_Consulting[Job Number],0)))="","",INDEX(tbl_Consulting[Tax Code],IFERROR(MATCH(A304&amp;"",tbl_Consulting[Job Number],0),MATCH(IFERROR(A304+0,A304),tbl_Consulting[Job Number],0)))),"")))))</f>
        <v/>
      </c>
      <c r="N304" s="26">
        <f>IF(D304="","",IFERROR(INDEX(lst_CCtoGL,MATCH(D304,lst_CCforGL,0)),""))</f>
        <v/>
      </c>
      <c r="O304" s="27">
        <f>IF(E304="","",IF(M304="GST 10%",ROUND(E304*set_GSTRate,2),0))</f>
        <v/>
      </c>
      <c r="P304" s="27">
        <f>IF(E304="","",E304+O304)</f>
        <v/>
      </c>
      <c r="Q304" s="27">
        <f>IF(A304="","",IFERROR(INDEX(tbl_Onsite[Expected Revenue Ex GST],IFERROR(MATCH(A304&amp;"",tbl_Onsite[Job Number],0),MATCH(IFERROR(A304+0,A304),tbl_Onsite[Job Number],0))),IFERROR(INDEX(tbl_Production[Expected Revenue Ex GST],IFERROR(MATCH(A304&amp;"",tbl_Production[Job Number],0),MATCH(IFERROR(A304+0,A304),tbl_Production[Job Number],0))),IFERROR(INDEX(tbl_Consulting[Expected Revenue Ex GST],IFERROR(MATCH(A304&amp;"",tbl_Consulting[Job Number],0),MATCH(IFERROR(A304+0,A304),tbl_Consulting[Job Number],0))),0))))</f>
        <v/>
      </c>
      <c r="R304" s="27">
        <f>IF(A304="","",SUMIFS(tbl_Finance[Ex GST],tbl_Finance[Job Number],A304&amp;""))</f>
        <v/>
      </c>
      <c r="S304" s="27">
        <f>IF(A304="","",Q304-R304)</f>
        <v/>
      </c>
      <c r="T304" s="26">
        <f>IF(A304="","",IF(Q304=0,"No dept value",IF(ROUND(S304,2)=0,"Agrees",IF(S304&gt;0,"Dept higher - to invoice","Xero higher - check dept"))))</f>
        <v/>
      </c>
      <c r="U304" s="22" t="n"/>
      <c r="V304" s="22" t="n"/>
      <c r="W304" s="23" t="n"/>
      <c r="X304" s="23" t="n"/>
      <c r="Y304" s="22" t="n"/>
      <c r="Z304" s="22" t="n"/>
      <c r="AA304" s="26">
        <f>IF(COUNTA(C304,A304,B304,E304)=0,"",IF(C304="","No date - sits outside every month",IF(A304="","No job number",IF(H304="CHECK","Job number is not in the Xero job list",IF(G304="not set up yet","No department has set this job up - nothing can pull through",IF(D304="","No cost centre",IF(AND(U304="Y",B304=""),"Marked posted to Xero but has no invoice number",IF(N304="","Cost centre has no revenue GL on the Lists sheet",IF(T304="Xero higher - check dept","Invoiced more than the department says the job is worth","")))))))))</f>
        <v/>
      </c>
      <c r="AB304" s="28">
        <f>IF(A304="","",COUNTIFS(tbl_Finance[Job Number],A304&amp;"",tbl_Finance[Ex GST],"&lt;&gt;"))</f>
        <v/>
      </c>
      <c r="AC304" s="27">
        <f>IF(A304="","",SUMIFS(tbl_Finance[Ex GST],tbl_Finance[Job Number],A304&amp;""))</f>
        <v/>
      </c>
      <c r="AD304" s="27">
        <f>IF(A304="","",SUMIFS(tbl_Finance[Ex GST],tbl_Finance[Job Number],A304&amp;"",tbl_Finance[Xero Invoice No],"&lt;&gt;"))</f>
        <v/>
      </c>
      <c r="AE304" s="27">
        <f>IF(A304="","",AC304-AD304)</f>
        <v/>
      </c>
      <c r="AF304" s="26">
        <f>IF(A304="","",IFERROR(IF(INDEX(tbl_Onsite[Qwilr Quote],IFERROR(MATCH(A304&amp;"",tbl_Onsite[Job Number],0),MATCH(IFERROR(A304+0,A304),tbl_Onsite[Job Number],0)))="","",INDEX(tbl_Onsite[Qwilr Quote],IFERROR(MATCH(A304&amp;"",tbl_Onsite[Job Number],0),MATCH(IFERROR(A304+0,A304),tbl_Onsite[Job Number],0)))),IFERROR(IF(IF(INDEX(tbl_Production[Current RMS No],IFERROR(MATCH(A304&amp;"",tbl_Production[Job Number],0),MATCH(IFERROR(A304+0,A304),tbl_Production[Job Number],0)))="",INDEX(tbl_Production[Qwilr Quote],IFERROR(MATCH(A304&amp;"",tbl_Production[Job Number],0),MATCH(IFERROR(A304+0,A304),tbl_Production[Job Number],0))),INDEX(tbl_Production[Current RMS No],IFERROR(MATCH(A304&amp;"",tbl_Production[Job Number],0),MATCH(IFERROR(A304+0,A304),tbl_Production[Job Number],0))))="","",IF(INDEX(tbl_Production[Current RMS No],IFERROR(MATCH(A304&amp;"",tbl_Production[Job Number],0),MATCH(IFERROR(A304+0,A304),tbl_Production[Job Number],0)))="",INDEX(tbl_Production[Qwilr Quote],IFERROR(MATCH(A304&amp;"",tbl_Production[Job Number],0),MATCH(IFERROR(A304+0,A304),tbl_Production[Job Number],0))),INDEX(tbl_Production[Current RMS No],IFERROR(MATCH(A304&amp;"",tbl_Production[Job Number],0),MATCH(IFERROR(A304+0,A304),tbl_Production[Job Number],0))))),IFERROR(IF(INDEX(tbl_Consulting[Qwilr Quote],IFERROR(MATCH(A304&amp;"",tbl_Consulting[Job Number],0),MATCH(IFERROR(A304+0,A304),tbl_Consulting[Job Number],0)))="","",INDEX(tbl_Consulting[Qwilr Quote],IFERROR(MATCH(A304&amp;"",tbl_Consulting[Job Number],0),MATCH(IFERROR(A304+0,A304),tbl_Consulting[Job Number],0)))),""))))</f>
        <v/>
      </c>
      <c r="AG304" s="26">
        <f>IF(AF304="","",IF(AND(LEFT(AF304,4)&lt;&gt;"http",IF(G304="Production",set_RMSBase,set_QwilrBase)=""),"",HYPERLINK(IF(LEFT(AF304,4)="http",AF304,IF(G304="Production",set_RMSBase,set_QwilrBase)&amp;AF304),"Open")))</f>
        <v/>
      </c>
      <c r="AH304" s="27">
        <f>IF(A304="","",IFERROR(INDEX(tbl_Production[Total Expense],IFERROR(MATCH(A304&amp;"",tbl_Production[Job Number],0),MATCH(IFERROR(A304+0,A304),tbl_Production[Job Number],0))),IFERROR(INDEX(tbl_Consulting[Total Expense],IFERROR(MATCH(A304&amp;"",tbl_Consulting[Job Number],0),MATCH(IFERROR(A304+0,A304),tbl_Consulting[Job Number],0))),0)))</f>
        <v/>
      </c>
      <c r="AI304" s="27">
        <f>IF(A304="","",AC304-N(AH304))</f>
        <v/>
      </c>
      <c r="AJ304" s="29">
        <f>IFERROR(AI304/AC304,"")</f>
        <v/>
      </c>
      <c r="AK304" s="26">
        <f>IF(A304="","",IFERROR(IF(INDEX(tbl_Onsite[Notes],IFERROR(MATCH(A304&amp;"",tbl_Onsite[Job Number],0),MATCH(IFERROR(A304+0,A304),tbl_Onsite[Job Number],0)))="","",INDEX(tbl_Onsite[Notes],IFERROR(MATCH(A304&amp;"",tbl_Onsite[Job Number],0),MATCH(IFERROR(A304+0,A304),tbl_Onsite[Job Number],0)))),IFERROR(IF(INDEX(tbl_Production[Notes],IFERROR(MATCH(A304&amp;"",tbl_Production[Job Number],0),MATCH(IFERROR(A304+0,A304),tbl_Production[Job Number],0)))="","",INDEX(tbl_Production[Notes],IFERROR(MATCH(A304&amp;"",tbl_Production[Job Number],0),MATCH(IFERROR(A304+0,A304),tbl_Production[Job Number],0)))),IFERROR(IF(INDEX(tbl_Consulting[Notes],IFERROR(MATCH(A304&amp;"",tbl_Consulting[Job Number],0),MATCH(IFERROR(A304+0,A304),tbl_Consulting[Job Number],0)))="","",INDEX(tbl_Consulting[Notes],IFERROR(MATCH(A304&amp;"",tbl_Consulting[Job Number],0),MATCH(IFERROR(A304+0,A304),tbl_Consulting[Job Number],0)))),""))))</f>
        <v/>
      </c>
    </row>
    <row r="305" ht="15" customHeight="1">
      <c r="A305" s="22" t="n"/>
      <c r="B305" s="22" t="n"/>
      <c r="C305" s="23" t="n"/>
      <c r="D305" s="22" t="n"/>
      <c r="E305" s="24" t="n"/>
      <c r="F305" s="25">
        <f>IF(C305="","",EOMONTH(C305,0))</f>
        <v/>
      </c>
      <c r="G305" s="26">
        <f>IF(A305="","",IF(COUNTIF(tbl_Onsite[Job Number],A305&amp;"")&gt;0,"Onsite",IF(COUNTIF(tbl_Production[Job Number],A305&amp;"")&gt;0,"Production",IF(COUNTIF(tbl_Consulting[Job Number],A305&amp;"")&gt;0,"Consulting","not set up yet"))))</f>
        <v/>
      </c>
      <c r="H305" s="26">
        <f>IF(A305="","",IF(COUNTIF(lst_Jobs,A305&amp;"")&gt;0,"OK","CHECK"))</f>
        <v/>
      </c>
      <c r="I305" s="26">
        <f>IF(A305="","",IFERROR(INDEX(lst_JobName,MATCH(A305&amp;"",lst_Jobs,0)),""))</f>
        <v/>
      </c>
      <c r="J305" s="26">
        <f>IF(A305="","",IFERROR(IF(INDEX(tbl_Onsite[Client],IFERROR(MATCH(A305&amp;"",tbl_Onsite[Job Number],0),MATCH(IFERROR(A305+0,A305),tbl_Onsite[Job Number],0)))="","",INDEX(tbl_Onsite[Client],IFERROR(MATCH(A305&amp;"",tbl_Onsite[Job Number],0),MATCH(IFERROR(A305+0,A305),tbl_Onsite[Job Number],0)))),IFERROR(IF(INDEX(tbl_Production[Client],IFERROR(MATCH(A305&amp;"",tbl_Production[Job Number],0),MATCH(IFERROR(A305+0,A305),tbl_Production[Job Number],0)))="","",INDEX(tbl_Production[Client],IFERROR(MATCH(A305&amp;"",tbl_Production[Job Number],0),MATCH(IFERROR(A305+0,A305),tbl_Production[Job Number],0)))),IFERROR(IF(INDEX(tbl_Consulting[Client],IFERROR(MATCH(A305&amp;"",tbl_Consulting[Job Number],0),MATCH(IFERROR(A305+0,A305),tbl_Consulting[Job Number],0)))="","",INDEX(tbl_Consulting[Client],IFERROR(MATCH(A305&amp;"",tbl_Consulting[Job Number],0),MATCH(IFERROR(A305+0,A305),tbl_Consulting[Job Number],0)))),""))))</f>
        <v/>
      </c>
      <c r="K305" s="26">
        <f>IF(A305="","",IFERROR(IF(INDEX(tbl_Onsite[Job Description],IFERROR(MATCH(A305&amp;"",tbl_Onsite[Job Number],0),MATCH(IFERROR(A305+0,A305),tbl_Onsite[Job Number],0)))="","",INDEX(tbl_Onsite[Job Description],IFERROR(MATCH(A305&amp;"",tbl_Onsite[Job Number],0),MATCH(IFERROR(A305+0,A305),tbl_Onsite[Job Number],0)))),IFERROR(IF(INDEX(tbl_Production[Job Description],IFERROR(MATCH(A305&amp;"",tbl_Production[Job Number],0),MATCH(IFERROR(A305+0,A305),tbl_Production[Job Number],0)))="","",INDEX(tbl_Production[Job Description],IFERROR(MATCH(A305&amp;"",tbl_Production[Job Number],0),MATCH(IFERROR(A305+0,A305),tbl_Production[Job Number],0)))),IFERROR(IF(INDEX(tbl_Consulting[Job Description],IFERROR(MATCH(A305&amp;"",tbl_Consulting[Job Number],0),MATCH(IFERROR(A305+0,A305),tbl_Consulting[Job Number],0)))="","",INDEX(tbl_Consulting[Job Description],IFERROR(MATCH(A305&amp;"",tbl_Consulting[Job Number],0),MATCH(IFERROR(A305+0,A305),tbl_Consulting[Job Number],0)))),""))))</f>
        <v/>
      </c>
      <c r="L305" s="26">
        <f>IF(A305="","",IFERROR(IF(INDEX(tbl_Onsite[Invoice Type],IFERROR(MATCH(A305&amp;"",tbl_Onsite[Job Number],0),MATCH(IFERROR(A305+0,A305),tbl_Onsite[Job Number],0)))="","",INDEX(tbl_Onsite[Invoice Type],IFERROR(MATCH(A305&amp;"",tbl_Onsite[Job Number],0),MATCH(IFERROR(A305+0,A305),tbl_Onsite[Job Number],0)))),IFERROR(IF(INDEX(tbl_Production[Invoice Type],IFERROR(MATCH(A305&amp;"",tbl_Production[Job Number],0),MATCH(IFERROR(A305+0,A305),tbl_Production[Job Number],0)))="","",INDEX(tbl_Production[Invoice Type],IFERROR(MATCH(A305&amp;"",tbl_Production[Job Number],0),MATCH(IFERROR(A305+0,A305),tbl_Production[Job Number],0)))),IFERROR(IF(INDEX(tbl_Consulting[Invoice Type],IFERROR(MATCH(A305&amp;"",tbl_Consulting[Job Number],0),MATCH(IFERROR(A305+0,A305),tbl_Consulting[Job Number],0)))="","",INDEX(tbl_Consulting[Invoice Type],IFERROR(MATCH(A305&amp;"",tbl_Consulting[Job Number],0),MATCH(IFERROR(A305+0,A305),tbl_Consulting[Job Number],0)))),""))))</f>
        <v/>
      </c>
      <c r="M305" s="26">
        <f>IF(A305="","",IF(IFERROR(IF(INDEX(tbl_Onsite[Tax Code],IFERROR(MATCH(A305&amp;"",tbl_Onsite[Job Number],0),MATCH(IFERROR(A305+0,A305),tbl_Onsite[Job Number],0)))="","",INDEX(tbl_Onsite[Tax Code],IFERROR(MATCH(A305&amp;"",tbl_Onsite[Job Number],0),MATCH(IFERROR(A305+0,A305),tbl_Onsite[Job Number],0)))),IFERROR(IF(INDEX(tbl_Production[Tax Code],IFERROR(MATCH(A305&amp;"",tbl_Production[Job Number],0),MATCH(IFERROR(A305+0,A305),tbl_Production[Job Number],0)))="","",INDEX(tbl_Production[Tax Code],IFERROR(MATCH(A305&amp;"",tbl_Production[Job Number],0),MATCH(IFERROR(A305+0,A305),tbl_Production[Job Number],0)))),IFERROR(IF(INDEX(tbl_Consulting[Tax Code],IFERROR(MATCH(A305&amp;"",tbl_Consulting[Job Number],0),MATCH(IFERROR(A305+0,A305),tbl_Consulting[Job Number],0)))="","",INDEX(tbl_Consulting[Tax Code],IFERROR(MATCH(A305&amp;"",tbl_Consulting[Job Number],0),MATCH(IFERROR(A305+0,A305),tbl_Consulting[Job Number],0)))),"")))="","GST 10%",IFERROR(IF(INDEX(tbl_Onsite[Tax Code],IFERROR(MATCH(A305&amp;"",tbl_Onsite[Job Number],0),MATCH(IFERROR(A305+0,A305),tbl_Onsite[Job Number],0)))="","",INDEX(tbl_Onsite[Tax Code],IFERROR(MATCH(A305&amp;"",tbl_Onsite[Job Number],0),MATCH(IFERROR(A305+0,A305),tbl_Onsite[Job Number],0)))),IFERROR(IF(INDEX(tbl_Production[Tax Code],IFERROR(MATCH(A305&amp;"",tbl_Production[Job Number],0),MATCH(IFERROR(A305+0,A305),tbl_Production[Job Number],0)))="","",INDEX(tbl_Production[Tax Code],IFERROR(MATCH(A305&amp;"",tbl_Production[Job Number],0),MATCH(IFERROR(A305+0,A305),tbl_Production[Job Number],0)))),IFERROR(IF(INDEX(tbl_Consulting[Tax Code],IFERROR(MATCH(A305&amp;"",tbl_Consulting[Job Number],0),MATCH(IFERROR(A305+0,A305),tbl_Consulting[Job Number],0)))="","",INDEX(tbl_Consulting[Tax Code],IFERROR(MATCH(A305&amp;"",tbl_Consulting[Job Number],0),MATCH(IFERROR(A305+0,A305),tbl_Consulting[Job Number],0)))),"")))))</f>
        <v/>
      </c>
      <c r="N305" s="26">
        <f>IF(D305="","",IFERROR(INDEX(lst_CCtoGL,MATCH(D305,lst_CCforGL,0)),""))</f>
        <v/>
      </c>
      <c r="O305" s="27">
        <f>IF(E305="","",IF(M305="GST 10%",ROUND(E305*set_GSTRate,2),0))</f>
        <v/>
      </c>
      <c r="P305" s="27">
        <f>IF(E305="","",E305+O305)</f>
        <v/>
      </c>
      <c r="Q305" s="27">
        <f>IF(A305="","",IFERROR(INDEX(tbl_Onsite[Expected Revenue Ex GST],IFERROR(MATCH(A305&amp;"",tbl_Onsite[Job Number],0),MATCH(IFERROR(A305+0,A305),tbl_Onsite[Job Number],0))),IFERROR(INDEX(tbl_Production[Expected Revenue Ex GST],IFERROR(MATCH(A305&amp;"",tbl_Production[Job Number],0),MATCH(IFERROR(A305+0,A305),tbl_Production[Job Number],0))),IFERROR(INDEX(tbl_Consulting[Expected Revenue Ex GST],IFERROR(MATCH(A305&amp;"",tbl_Consulting[Job Number],0),MATCH(IFERROR(A305+0,A305),tbl_Consulting[Job Number],0))),0))))</f>
        <v/>
      </c>
      <c r="R305" s="27">
        <f>IF(A305="","",SUMIFS(tbl_Finance[Ex GST],tbl_Finance[Job Number],A305&amp;""))</f>
        <v/>
      </c>
      <c r="S305" s="27">
        <f>IF(A305="","",Q305-R305)</f>
        <v/>
      </c>
      <c r="T305" s="26">
        <f>IF(A305="","",IF(Q305=0,"No dept value",IF(ROUND(S305,2)=0,"Agrees",IF(S305&gt;0,"Dept higher - to invoice","Xero higher - check dept"))))</f>
        <v/>
      </c>
      <c r="U305" s="22" t="n"/>
      <c r="V305" s="22" t="n"/>
      <c r="W305" s="23" t="n"/>
      <c r="X305" s="23" t="n"/>
      <c r="Y305" s="22" t="n"/>
      <c r="Z305" s="22" t="n"/>
      <c r="AA305" s="26">
        <f>IF(COUNTA(C305,A305,B305,E305)=0,"",IF(C305="","No date - sits outside every month",IF(A305="","No job number",IF(H305="CHECK","Job number is not in the Xero job list",IF(G305="not set up yet","No department has set this job up - nothing can pull through",IF(D305="","No cost centre",IF(AND(U305="Y",B305=""),"Marked posted to Xero but has no invoice number",IF(N305="","Cost centre has no revenue GL on the Lists sheet",IF(T305="Xero higher - check dept","Invoiced more than the department says the job is worth","")))))))))</f>
        <v/>
      </c>
      <c r="AB305" s="28">
        <f>IF(A305="","",COUNTIFS(tbl_Finance[Job Number],A305&amp;"",tbl_Finance[Ex GST],"&lt;&gt;"))</f>
        <v/>
      </c>
      <c r="AC305" s="27">
        <f>IF(A305="","",SUMIFS(tbl_Finance[Ex GST],tbl_Finance[Job Number],A305&amp;""))</f>
        <v/>
      </c>
      <c r="AD305" s="27">
        <f>IF(A305="","",SUMIFS(tbl_Finance[Ex GST],tbl_Finance[Job Number],A305&amp;"",tbl_Finance[Xero Invoice No],"&lt;&gt;"))</f>
        <v/>
      </c>
      <c r="AE305" s="27">
        <f>IF(A305="","",AC305-AD305)</f>
        <v/>
      </c>
      <c r="AF305" s="26">
        <f>IF(A305="","",IFERROR(IF(INDEX(tbl_Onsite[Qwilr Quote],IFERROR(MATCH(A305&amp;"",tbl_Onsite[Job Number],0),MATCH(IFERROR(A305+0,A305),tbl_Onsite[Job Number],0)))="","",INDEX(tbl_Onsite[Qwilr Quote],IFERROR(MATCH(A305&amp;"",tbl_Onsite[Job Number],0),MATCH(IFERROR(A305+0,A305),tbl_Onsite[Job Number],0)))),IFERROR(IF(IF(INDEX(tbl_Production[Current RMS No],IFERROR(MATCH(A305&amp;"",tbl_Production[Job Number],0),MATCH(IFERROR(A305+0,A305),tbl_Production[Job Number],0)))="",INDEX(tbl_Production[Qwilr Quote],IFERROR(MATCH(A305&amp;"",tbl_Production[Job Number],0),MATCH(IFERROR(A305+0,A305),tbl_Production[Job Number],0))),INDEX(tbl_Production[Current RMS No],IFERROR(MATCH(A305&amp;"",tbl_Production[Job Number],0),MATCH(IFERROR(A305+0,A305),tbl_Production[Job Number],0))))="","",IF(INDEX(tbl_Production[Current RMS No],IFERROR(MATCH(A305&amp;"",tbl_Production[Job Number],0),MATCH(IFERROR(A305+0,A305),tbl_Production[Job Number],0)))="",INDEX(tbl_Production[Qwilr Quote],IFERROR(MATCH(A305&amp;"",tbl_Production[Job Number],0),MATCH(IFERROR(A305+0,A305),tbl_Production[Job Number],0))),INDEX(tbl_Production[Current RMS No],IFERROR(MATCH(A305&amp;"",tbl_Production[Job Number],0),MATCH(IFERROR(A305+0,A305),tbl_Production[Job Number],0))))),IFERROR(IF(INDEX(tbl_Consulting[Qwilr Quote],IFERROR(MATCH(A305&amp;"",tbl_Consulting[Job Number],0),MATCH(IFERROR(A305+0,A305),tbl_Consulting[Job Number],0)))="","",INDEX(tbl_Consulting[Qwilr Quote],IFERROR(MATCH(A305&amp;"",tbl_Consulting[Job Number],0),MATCH(IFERROR(A305+0,A305),tbl_Consulting[Job Number],0)))),""))))</f>
        <v/>
      </c>
      <c r="AG305" s="26">
        <f>IF(AF305="","",IF(AND(LEFT(AF305,4)&lt;&gt;"http",IF(G305="Production",set_RMSBase,set_QwilrBase)=""),"",HYPERLINK(IF(LEFT(AF305,4)="http",AF305,IF(G305="Production",set_RMSBase,set_QwilrBase)&amp;AF305),"Open")))</f>
        <v/>
      </c>
      <c r="AH305" s="27">
        <f>IF(A305="","",IFERROR(INDEX(tbl_Production[Total Expense],IFERROR(MATCH(A305&amp;"",tbl_Production[Job Number],0),MATCH(IFERROR(A305+0,A305),tbl_Production[Job Number],0))),IFERROR(INDEX(tbl_Consulting[Total Expense],IFERROR(MATCH(A305&amp;"",tbl_Consulting[Job Number],0),MATCH(IFERROR(A305+0,A305),tbl_Consulting[Job Number],0))),0)))</f>
        <v/>
      </c>
      <c r="AI305" s="27">
        <f>IF(A305="","",AC305-N(AH305))</f>
        <v/>
      </c>
      <c r="AJ305" s="29">
        <f>IFERROR(AI305/AC305,"")</f>
        <v/>
      </c>
      <c r="AK305" s="26">
        <f>IF(A305="","",IFERROR(IF(INDEX(tbl_Onsite[Notes],IFERROR(MATCH(A305&amp;"",tbl_Onsite[Job Number],0),MATCH(IFERROR(A305+0,A305),tbl_Onsite[Job Number],0)))="","",INDEX(tbl_Onsite[Notes],IFERROR(MATCH(A305&amp;"",tbl_Onsite[Job Number],0),MATCH(IFERROR(A305+0,A305),tbl_Onsite[Job Number],0)))),IFERROR(IF(INDEX(tbl_Production[Notes],IFERROR(MATCH(A305&amp;"",tbl_Production[Job Number],0),MATCH(IFERROR(A305+0,A305),tbl_Production[Job Number],0)))="","",INDEX(tbl_Production[Notes],IFERROR(MATCH(A305&amp;"",tbl_Production[Job Number],0),MATCH(IFERROR(A305+0,A305),tbl_Production[Job Number],0)))),IFERROR(IF(INDEX(tbl_Consulting[Notes],IFERROR(MATCH(A305&amp;"",tbl_Consulting[Job Number],0),MATCH(IFERROR(A305+0,A305),tbl_Consulting[Job Number],0)))="","",INDEX(tbl_Consulting[Notes],IFERROR(MATCH(A305&amp;"",tbl_Consulting[Job Number],0),MATCH(IFERROR(A305+0,A305),tbl_Consulting[Job Number],0)))),""))))</f>
        <v/>
      </c>
    </row>
    <row r="306" ht="15" customHeight="1">
      <c r="A306" s="22" t="n"/>
      <c r="B306" s="22" t="n"/>
      <c r="C306" s="23" t="n"/>
      <c r="D306" s="22" t="n"/>
      <c r="E306" s="24" t="n"/>
      <c r="F306" s="25">
        <f>IF(C306="","",EOMONTH(C306,0))</f>
        <v/>
      </c>
      <c r="G306" s="26">
        <f>IF(A306="","",IF(COUNTIF(tbl_Onsite[Job Number],A306&amp;"")&gt;0,"Onsite",IF(COUNTIF(tbl_Production[Job Number],A306&amp;"")&gt;0,"Production",IF(COUNTIF(tbl_Consulting[Job Number],A306&amp;"")&gt;0,"Consulting","not set up yet"))))</f>
        <v/>
      </c>
      <c r="H306" s="26">
        <f>IF(A306="","",IF(COUNTIF(lst_Jobs,A306&amp;"")&gt;0,"OK","CHECK"))</f>
        <v/>
      </c>
      <c r="I306" s="26">
        <f>IF(A306="","",IFERROR(INDEX(lst_JobName,MATCH(A306&amp;"",lst_Jobs,0)),""))</f>
        <v/>
      </c>
      <c r="J306" s="26">
        <f>IF(A306="","",IFERROR(IF(INDEX(tbl_Onsite[Client],IFERROR(MATCH(A306&amp;"",tbl_Onsite[Job Number],0),MATCH(IFERROR(A306+0,A306),tbl_Onsite[Job Number],0)))="","",INDEX(tbl_Onsite[Client],IFERROR(MATCH(A306&amp;"",tbl_Onsite[Job Number],0),MATCH(IFERROR(A306+0,A306),tbl_Onsite[Job Number],0)))),IFERROR(IF(INDEX(tbl_Production[Client],IFERROR(MATCH(A306&amp;"",tbl_Production[Job Number],0),MATCH(IFERROR(A306+0,A306),tbl_Production[Job Number],0)))="","",INDEX(tbl_Production[Client],IFERROR(MATCH(A306&amp;"",tbl_Production[Job Number],0),MATCH(IFERROR(A306+0,A306),tbl_Production[Job Number],0)))),IFERROR(IF(INDEX(tbl_Consulting[Client],IFERROR(MATCH(A306&amp;"",tbl_Consulting[Job Number],0),MATCH(IFERROR(A306+0,A306),tbl_Consulting[Job Number],0)))="","",INDEX(tbl_Consulting[Client],IFERROR(MATCH(A306&amp;"",tbl_Consulting[Job Number],0),MATCH(IFERROR(A306+0,A306),tbl_Consulting[Job Number],0)))),""))))</f>
        <v/>
      </c>
      <c r="K306" s="26">
        <f>IF(A306="","",IFERROR(IF(INDEX(tbl_Onsite[Job Description],IFERROR(MATCH(A306&amp;"",tbl_Onsite[Job Number],0),MATCH(IFERROR(A306+0,A306),tbl_Onsite[Job Number],0)))="","",INDEX(tbl_Onsite[Job Description],IFERROR(MATCH(A306&amp;"",tbl_Onsite[Job Number],0),MATCH(IFERROR(A306+0,A306),tbl_Onsite[Job Number],0)))),IFERROR(IF(INDEX(tbl_Production[Job Description],IFERROR(MATCH(A306&amp;"",tbl_Production[Job Number],0),MATCH(IFERROR(A306+0,A306),tbl_Production[Job Number],0)))="","",INDEX(tbl_Production[Job Description],IFERROR(MATCH(A306&amp;"",tbl_Production[Job Number],0),MATCH(IFERROR(A306+0,A306),tbl_Production[Job Number],0)))),IFERROR(IF(INDEX(tbl_Consulting[Job Description],IFERROR(MATCH(A306&amp;"",tbl_Consulting[Job Number],0),MATCH(IFERROR(A306+0,A306),tbl_Consulting[Job Number],0)))="","",INDEX(tbl_Consulting[Job Description],IFERROR(MATCH(A306&amp;"",tbl_Consulting[Job Number],0),MATCH(IFERROR(A306+0,A306),tbl_Consulting[Job Number],0)))),""))))</f>
        <v/>
      </c>
      <c r="L306" s="26">
        <f>IF(A306="","",IFERROR(IF(INDEX(tbl_Onsite[Invoice Type],IFERROR(MATCH(A306&amp;"",tbl_Onsite[Job Number],0),MATCH(IFERROR(A306+0,A306),tbl_Onsite[Job Number],0)))="","",INDEX(tbl_Onsite[Invoice Type],IFERROR(MATCH(A306&amp;"",tbl_Onsite[Job Number],0),MATCH(IFERROR(A306+0,A306),tbl_Onsite[Job Number],0)))),IFERROR(IF(INDEX(tbl_Production[Invoice Type],IFERROR(MATCH(A306&amp;"",tbl_Production[Job Number],0),MATCH(IFERROR(A306+0,A306),tbl_Production[Job Number],0)))="","",INDEX(tbl_Production[Invoice Type],IFERROR(MATCH(A306&amp;"",tbl_Production[Job Number],0),MATCH(IFERROR(A306+0,A306),tbl_Production[Job Number],0)))),IFERROR(IF(INDEX(tbl_Consulting[Invoice Type],IFERROR(MATCH(A306&amp;"",tbl_Consulting[Job Number],0),MATCH(IFERROR(A306+0,A306),tbl_Consulting[Job Number],0)))="","",INDEX(tbl_Consulting[Invoice Type],IFERROR(MATCH(A306&amp;"",tbl_Consulting[Job Number],0),MATCH(IFERROR(A306+0,A306),tbl_Consulting[Job Number],0)))),""))))</f>
        <v/>
      </c>
      <c r="M306" s="26">
        <f>IF(A306="","",IF(IFERROR(IF(INDEX(tbl_Onsite[Tax Code],IFERROR(MATCH(A306&amp;"",tbl_Onsite[Job Number],0),MATCH(IFERROR(A306+0,A306),tbl_Onsite[Job Number],0)))="","",INDEX(tbl_Onsite[Tax Code],IFERROR(MATCH(A306&amp;"",tbl_Onsite[Job Number],0),MATCH(IFERROR(A306+0,A306),tbl_Onsite[Job Number],0)))),IFERROR(IF(INDEX(tbl_Production[Tax Code],IFERROR(MATCH(A306&amp;"",tbl_Production[Job Number],0),MATCH(IFERROR(A306+0,A306),tbl_Production[Job Number],0)))="","",INDEX(tbl_Production[Tax Code],IFERROR(MATCH(A306&amp;"",tbl_Production[Job Number],0),MATCH(IFERROR(A306+0,A306),tbl_Production[Job Number],0)))),IFERROR(IF(INDEX(tbl_Consulting[Tax Code],IFERROR(MATCH(A306&amp;"",tbl_Consulting[Job Number],0),MATCH(IFERROR(A306+0,A306),tbl_Consulting[Job Number],0)))="","",INDEX(tbl_Consulting[Tax Code],IFERROR(MATCH(A306&amp;"",tbl_Consulting[Job Number],0),MATCH(IFERROR(A306+0,A306),tbl_Consulting[Job Number],0)))),"")))="","GST 10%",IFERROR(IF(INDEX(tbl_Onsite[Tax Code],IFERROR(MATCH(A306&amp;"",tbl_Onsite[Job Number],0),MATCH(IFERROR(A306+0,A306),tbl_Onsite[Job Number],0)))="","",INDEX(tbl_Onsite[Tax Code],IFERROR(MATCH(A306&amp;"",tbl_Onsite[Job Number],0),MATCH(IFERROR(A306+0,A306),tbl_Onsite[Job Number],0)))),IFERROR(IF(INDEX(tbl_Production[Tax Code],IFERROR(MATCH(A306&amp;"",tbl_Production[Job Number],0),MATCH(IFERROR(A306+0,A306),tbl_Production[Job Number],0)))="","",INDEX(tbl_Production[Tax Code],IFERROR(MATCH(A306&amp;"",tbl_Production[Job Number],0),MATCH(IFERROR(A306+0,A306),tbl_Production[Job Number],0)))),IFERROR(IF(INDEX(tbl_Consulting[Tax Code],IFERROR(MATCH(A306&amp;"",tbl_Consulting[Job Number],0),MATCH(IFERROR(A306+0,A306),tbl_Consulting[Job Number],0)))="","",INDEX(tbl_Consulting[Tax Code],IFERROR(MATCH(A306&amp;"",tbl_Consulting[Job Number],0),MATCH(IFERROR(A306+0,A306),tbl_Consulting[Job Number],0)))),"")))))</f>
        <v/>
      </c>
      <c r="N306" s="26">
        <f>IF(D306="","",IFERROR(INDEX(lst_CCtoGL,MATCH(D306,lst_CCforGL,0)),""))</f>
        <v/>
      </c>
      <c r="O306" s="27">
        <f>IF(E306="","",IF(M306="GST 10%",ROUND(E306*set_GSTRate,2),0))</f>
        <v/>
      </c>
      <c r="P306" s="27">
        <f>IF(E306="","",E306+O306)</f>
        <v/>
      </c>
      <c r="Q306" s="27">
        <f>IF(A306="","",IFERROR(INDEX(tbl_Onsite[Expected Revenue Ex GST],IFERROR(MATCH(A306&amp;"",tbl_Onsite[Job Number],0),MATCH(IFERROR(A306+0,A306),tbl_Onsite[Job Number],0))),IFERROR(INDEX(tbl_Production[Expected Revenue Ex GST],IFERROR(MATCH(A306&amp;"",tbl_Production[Job Number],0),MATCH(IFERROR(A306+0,A306),tbl_Production[Job Number],0))),IFERROR(INDEX(tbl_Consulting[Expected Revenue Ex GST],IFERROR(MATCH(A306&amp;"",tbl_Consulting[Job Number],0),MATCH(IFERROR(A306+0,A306),tbl_Consulting[Job Number],0))),0))))</f>
        <v/>
      </c>
      <c r="R306" s="27">
        <f>IF(A306="","",SUMIFS(tbl_Finance[Ex GST],tbl_Finance[Job Number],A306&amp;""))</f>
        <v/>
      </c>
      <c r="S306" s="27">
        <f>IF(A306="","",Q306-R306)</f>
        <v/>
      </c>
      <c r="T306" s="26">
        <f>IF(A306="","",IF(Q306=0,"No dept value",IF(ROUND(S306,2)=0,"Agrees",IF(S306&gt;0,"Dept higher - to invoice","Xero higher - check dept"))))</f>
        <v/>
      </c>
      <c r="U306" s="22" t="n"/>
      <c r="V306" s="22" t="n"/>
      <c r="W306" s="23" t="n"/>
      <c r="X306" s="23" t="n"/>
      <c r="Y306" s="22" t="n"/>
      <c r="Z306" s="22" t="n"/>
      <c r="AA306" s="26">
        <f>IF(COUNTA(C306,A306,B306,E306)=0,"",IF(C306="","No date - sits outside every month",IF(A306="","No job number",IF(H306="CHECK","Job number is not in the Xero job list",IF(G306="not set up yet","No department has set this job up - nothing can pull through",IF(D306="","No cost centre",IF(AND(U306="Y",B306=""),"Marked posted to Xero but has no invoice number",IF(N306="","Cost centre has no revenue GL on the Lists sheet",IF(T306="Xero higher - check dept","Invoiced more than the department says the job is worth","")))))))))</f>
        <v/>
      </c>
      <c r="AB306" s="28">
        <f>IF(A306="","",COUNTIFS(tbl_Finance[Job Number],A306&amp;"",tbl_Finance[Ex GST],"&lt;&gt;"))</f>
        <v/>
      </c>
      <c r="AC306" s="27">
        <f>IF(A306="","",SUMIFS(tbl_Finance[Ex GST],tbl_Finance[Job Number],A306&amp;""))</f>
        <v/>
      </c>
      <c r="AD306" s="27">
        <f>IF(A306="","",SUMIFS(tbl_Finance[Ex GST],tbl_Finance[Job Number],A306&amp;"",tbl_Finance[Xero Invoice No],"&lt;&gt;"))</f>
        <v/>
      </c>
      <c r="AE306" s="27">
        <f>IF(A306="","",AC306-AD306)</f>
        <v/>
      </c>
      <c r="AF306" s="26">
        <f>IF(A306="","",IFERROR(IF(INDEX(tbl_Onsite[Qwilr Quote],IFERROR(MATCH(A306&amp;"",tbl_Onsite[Job Number],0),MATCH(IFERROR(A306+0,A306),tbl_Onsite[Job Number],0)))="","",INDEX(tbl_Onsite[Qwilr Quote],IFERROR(MATCH(A306&amp;"",tbl_Onsite[Job Number],0),MATCH(IFERROR(A306+0,A306),tbl_Onsite[Job Number],0)))),IFERROR(IF(IF(INDEX(tbl_Production[Current RMS No],IFERROR(MATCH(A306&amp;"",tbl_Production[Job Number],0),MATCH(IFERROR(A306+0,A306),tbl_Production[Job Number],0)))="",INDEX(tbl_Production[Qwilr Quote],IFERROR(MATCH(A306&amp;"",tbl_Production[Job Number],0),MATCH(IFERROR(A306+0,A306),tbl_Production[Job Number],0))),INDEX(tbl_Production[Current RMS No],IFERROR(MATCH(A306&amp;"",tbl_Production[Job Number],0),MATCH(IFERROR(A306+0,A306),tbl_Production[Job Number],0))))="","",IF(INDEX(tbl_Production[Current RMS No],IFERROR(MATCH(A306&amp;"",tbl_Production[Job Number],0),MATCH(IFERROR(A306+0,A306),tbl_Production[Job Number],0)))="",INDEX(tbl_Production[Qwilr Quote],IFERROR(MATCH(A306&amp;"",tbl_Production[Job Number],0),MATCH(IFERROR(A306+0,A306),tbl_Production[Job Number],0))),INDEX(tbl_Production[Current RMS No],IFERROR(MATCH(A306&amp;"",tbl_Production[Job Number],0),MATCH(IFERROR(A306+0,A306),tbl_Production[Job Number],0))))),IFERROR(IF(INDEX(tbl_Consulting[Qwilr Quote],IFERROR(MATCH(A306&amp;"",tbl_Consulting[Job Number],0),MATCH(IFERROR(A306+0,A306),tbl_Consulting[Job Number],0)))="","",INDEX(tbl_Consulting[Qwilr Quote],IFERROR(MATCH(A306&amp;"",tbl_Consulting[Job Number],0),MATCH(IFERROR(A306+0,A306),tbl_Consulting[Job Number],0)))),""))))</f>
        <v/>
      </c>
      <c r="AG306" s="26">
        <f>IF(AF306="","",IF(AND(LEFT(AF306,4)&lt;&gt;"http",IF(G306="Production",set_RMSBase,set_QwilrBase)=""),"",HYPERLINK(IF(LEFT(AF306,4)="http",AF306,IF(G306="Production",set_RMSBase,set_QwilrBase)&amp;AF306),"Open")))</f>
        <v/>
      </c>
      <c r="AH306" s="27">
        <f>IF(A306="","",IFERROR(INDEX(tbl_Production[Total Expense],IFERROR(MATCH(A306&amp;"",tbl_Production[Job Number],0),MATCH(IFERROR(A306+0,A306),tbl_Production[Job Number],0))),IFERROR(INDEX(tbl_Consulting[Total Expense],IFERROR(MATCH(A306&amp;"",tbl_Consulting[Job Number],0),MATCH(IFERROR(A306+0,A306),tbl_Consulting[Job Number],0))),0)))</f>
        <v/>
      </c>
      <c r="AI306" s="27">
        <f>IF(A306="","",AC306-N(AH306))</f>
        <v/>
      </c>
      <c r="AJ306" s="29">
        <f>IFERROR(AI306/AC306,"")</f>
        <v/>
      </c>
      <c r="AK306" s="26">
        <f>IF(A306="","",IFERROR(IF(INDEX(tbl_Onsite[Notes],IFERROR(MATCH(A306&amp;"",tbl_Onsite[Job Number],0),MATCH(IFERROR(A306+0,A306),tbl_Onsite[Job Number],0)))="","",INDEX(tbl_Onsite[Notes],IFERROR(MATCH(A306&amp;"",tbl_Onsite[Job Number],0),MATCH(IFERROR(A306+0,A306),tbl_Onsite[Job Number],0)))),IFERROR(IF(INDEX(tbl_Production[Notes],IFERROR(MATCH(A306&amp;"",tbl_Production[Job Number],0),MATCH(IFERROR(A306+0,A306),tbl_Production[Job Number],0)))="","",INDEX(tbl_Production[Notes],IFERROR(MATCH(A306&amp;"",tbl_Production[Job Number],0),MATCH(IFERROR(A306+0,A306),tbl_Production[Job Number],0)))),IFERROR(IF(INDEX(tbl_Consulting[Notes],IFERROR(MATCH(A306&amp;"",tbl_Consulting[Job Number],0),MATCH(IFERROR(A306+0,A306),tbl_Consulting[Job Number],0)))="","",INDEX(tbl_Consulting[Notes],IFERROR(MATCH(A306&amp;"",tbl_Consulting[Job Number],0),MATCH(IFERROR(A306+0,A306),tbl_Consulting[Job Number],0)))),""))))</f>
        <v/>
      </c>
    </row>
    <row r="307" ht="15" customHeight="1">
      <c r="A307" s="22" t="n"/>
      <c r="B307" s="22" t="n"/>
      <c r="C307" s="23" t="n"/>
      <c r="D307" s="22" t="n"/>
      <c r="E307" s="24" t="n"/>
      <c r="F307" s="25">
        <f>IF(C307="","",EOMONTH(C307,0))</f>
        <v/>
      </c>
      <c r="G307" s="26">
        <f>IF(A307="","",IF(COUNTIF(tbl_Onsite[Job Number],A307&amp;"")&gt;0,"Onsite",IF(COUNTIF(tbl_Production[Job Number],A307&amp;"")&gt;0,"Production",IF(COUNTIF(tbl_Consulting[Job Number],A307&amp;"")&gt;0,"Consulting","not set up yet"))))</f>
        <v/>
      </c>
      <c r="H307" s="26">
        <f>IF(A307="","",IF(COUNTIF(lst_Jobs,A307&amp;"")&gt;0,"OK","CHECK"))</f>
        <v/>
      </c>
      <c r="I307" s="26">
        <f>IF(A307="","",IFERROR(INDEX(lst_JobName,MATCH(A307&amp;"",lst_Jobs,0)),""))</f>
        <v/>
      </c>
      <c r="J307" s="26">
        <f>IF(A307="","",IFERROR(IF(INDEX(tbl_Onsite[Client],IFERROR(MATCH(A307&amp;"",tbl_Onsite[Job Number],0),MATCH(IFERROR(A307+0,A307),tbl_Onsite[Job Number],0)))="","",INDEX(tbl_Onsite[Client],IFERROR(MATCH(A307&amp;"",tbl_Onsite[Job Number],0),MATCH(IFERROR(A307+0,A307),tbl_Onsite[Job Number],0)))),IFERROR(IF(INDEX(tbl_Production[Client],IFERROR(MATCH(A307&amp;"",tbl_Production[Job Number],0),MATCH(IFERROR(A307+0,A307),tbl_Production[Job Number],0)))="","",INDEX(tbl_Production[Client],IFERROR(MATCH(A307&amp;"",tbl_Production[Job Number],0),MATCH(IFERROR(A307+0,A307),tbl_Production[Job Number],0)))),IFERROR(IF(INDEX(tbl_Consulting[Client],IFERROR(MATCH(A307&amp;"",tbl_Consulting[Job Number],0),MATCH(IFERROR(A307+0,A307),tbl_Consulting[Job Number],0)))="","",INDEX(tbl_Consulting[Client],IFERROR(MATCH(A307&amp;"",tbl_Consulting[Job Number],0),MATCH(IFERROR(A307+0,A307),tbl_Consulting[Job Number],0)))),""))))</f>
        <v/>
      </c>
      <c r="K307" s="26">
        <f>IF(A307="","",IFERROR(IF(INDEX(tbl_Onsite[Job Description],IFERROR(MATCH(A307&amp;"",tbl_Onsite[Job Number],0),MATCH(IFERROR(A307+0,A307),tbl_Onsite[Job Number],0)))="","",INDEX(tbl_Onsite[Job Description],IFERROR(MATCH(A307&amp;"",tbl_Onsite[Job Number],0),MATCH(IFERROR(A307+0,A307),tbl_Onsite[Job Number],0)))),IFERROR(IF(INDEX(tbl_Production[Job Description],IFERROR(MATCH(A307&amp;"",tbl_Production[Job Number],0),MATCH(IFERROR(A307+0,A307),tbl_Production[Job Number],0)))="","",INDEX(tbl_Production[Job Description],IFERROR(MATCH(A307&amp;"",tbl_Production[Job Number],0),MATCH(IFERROR(A307+0,A307),tbl_Production[Job Number],0)))),IFERROR(IF(INDEX(tbl_Consulting[Job Description],IFERROR(MATCH(A307&amp;"",tbl_Consulting[Job Number],0),MATCH(IFERROR(A307+0,A307),tbl_Consulting[Job Number],0)))="","",INDEX(tbl_Consulting[Job Description],IFERROR(MATCH(A307&amp;"",tbl_Consulting[Job Number],0),MATCH(IFERROR(A307+0,A307),tbl_Consulting[Job Number],0)))),""))))</f>
        <v/>
      </c>
      <c r="L307" s="26">
        <f>IF(A307="","",IFERROR(IF(INDEX(tbl_Onsite[Invoice Type],IFERROR(MATCH(A307&amp;"",tbl_Onsite[Job Number],0),MATCH(IFERROR(A307+0,A307),tbl_Onsite[Job Number],0)))="","",INDEX(tbl_Onsite[Invoice Type],IFERROR(MATCH(A307&amp;"",tbl_Onsite[Job Number],0),MATCH(IFERROR(A307+0,A307),tbl_Onsite[Job Number],0)))),IFERROR(IF(INDEX(tbl_Production[Invoice Type],IFERROR(MATCH(A307&amp;"",tbl_Production[Job Number],0),MATCH(IFERROR(A307+0,A307),tbl_Production[Job Number],0)))="","",INDEX(tbl_Production[Invoice Type],IFERROR(MATCH(A307&amp;"",tbl_Production[Job Number],0),MATCH(IFERROR(A307+0,A307),tbl_Production[Job Number],0)))),IFERROR(IF(INDEX(tbl_Consulting[Invoice Type],IFERROR(MATCH(A307&amp;"",tbl_Consulting[Job Number],0),MATCH(IFERROR(A307+0,A307),tbl_Consulting[Job Number],0)))="","",INDEX(tbl_Consulting[Invoice Type],IFERROR(MATCH(A307&amp;"",tbl_Consulting[Job Number],0),MATCH(IFERROR(A307+0,A307),tbl_Consulting[Job Number],0)))),""))))</f>
        <v/>
      </c>
      <c r="M307" s="26">
        <f>IF(A307="","",IF(IFERROR(IF(INDEX(tbl_Onsite[Tax Code],IFERROR(MATCH(A307&amp;"",tbl_Onsite[Job Number],0),MATCH(IFERROR(A307+0,A307),tbl_Onsite[Job Number],0)))="","",INDEX(tbl_Onsite[Tax Code],IFERROR(MATCH(A307&amp;"",tbl_Onsite[Job Number],0),MATCH(IFERROR(A307+0,A307),tbl_Onsite[Job Number],0)))),IFERROR(IF(INDEX(tbl_Production[Tax Code],IFERROR(MATCH(A307&amp;"",tbl_Production[Job Number],0),MATCH(IFERROR(A307+0,A307),tbl_Production[Job Number],0)))="","",INDEX(tbl_Production[Tax Code],IFERROR(MATCH(A307&amp;"",tbl_Production[Job Number],0),MATCH(IFERROR(A307+0,A307),tbl_Production[Job Number],0)))),IFERROR(IF(INDEX(tbl_Consulting[Tax Code],IFERROR(MATCH(A307&amp;"",tbl_Consulting[Job Number],0),MATCH(IFERROR(A307+0,A307),tbl_Consulting[Job Number],0)))="","",INDEX(tbl_Consulting[Tax Code],IFERROR(MATCH(A307&amp;"",tbl_Consulting[Job Number],0),MATCH(IFERROR(A307+0,A307),tbl_Consulting[Job Number],0)))),"")))="","GST 10%",IFERROR(IF(INDEX(tbl_Onsite[Tax Code],IFERROR(MATCH(A307&amp;"",tbl_Onsite[Job Number],0),MATCH(IFERROR(A307+0,A307),tbl_Onsite[Job Number],0)))="","",INDEX(tbl_Onsite[Tax Code],IFERROR(MATCH(A307&amp;"",tbl_Onsite[Job Number],0),MATCH(IFERROR(A307+0,A307),tbl_Onsite[Job Number],0)))),IFERROR(IF(INDEX(tbl_Production[Tax Code],IFERROR(MATCH(A307&amp;"",tbl_Production[Job Number],0),MATCH(IFERROR(A307+0,A307),tbl_Production[Job Number],0)))="","",INDEX(tbl_Production[Tax Code],IFERROR(MATCH(A307&amp;"",tbl_Production[Job Number],0),MATCH(IFERROR(A307+0,A307),tbl_Production[Job Number],0)))),IFERROR(IF(INDEX(tbl_Consulting[Tax Code],IFERROR(MATCH(A307&amp;"",tbl_Consulting[Job Number],0),MATCH(IFERROR(A307+0,A307),tbl_Consulting[Job Number],0)))="","",INDEX(tbl_Consulting[Tax Code],IFERROR(MATCH(A307&amp;"",tbl_Consulting[Job Number],0),MATCH(IFERROR(A307+0,A307),tbl_Consulting[Job Number],0)))),"")))))</f>
        <v/>
      </c>
      <c r="N307" s="26">
        <f>IF(D307="","",IFERROR(INDEX(lst_CCtoGL,MATCH(D307,lst_CCforGL,0)),""))</f>
        <v/>
      </c>
      <c r="O307" s="27">
        <f>IF(E307="","",IF(M307="GST 10%",ROUND(E307*set_GSTRate,2),0))</f>
        <v/>
      </c>
      <c r="P307" s="27">
        <f>IF(E307="","",E307+O307)</f>
        <v/>
      </c>
      <c r="Q307" s="27">
        <f>IF(A307="","",IFERROR(INDEX(tbl_Onsite[Expected Revenue Ex GST],IFERROR(MATCH(A307&amp;"",tbl_Onsite[Job Number],0),MATCH(IFERROR(A307+0,A307),tbl_Onsite[Job Number],0))),IFERROR(INDEX(tbl_Production[Expected Revenue Ex GST],IFERROR(MATCH(A307&amp;"",tbl_Production[Job Number],0),MATCH(IFERROR(A307+0,A307),tbl_Production[Job Number],0))),IFERROR(INDEX(tbl_Consulting[Expected Revenue Ex GST],IFERROR(MATCH(A307&amp;"",tbl_Consulting[Job Number],0),MATCH(IFERROR(A307+0,A307),tbl_Consulting[Job Number],0))),0))))</f>
        <v/>
      </c>
      <c r="R307" s="27">
        <f>IF(A307="","",SUMIFS(tbl_Finance[Ex GST],tbl_Finance[Job Number],A307&amp;""))</f>
        <v/>
      </c>
      <c r="S307" s="27">
        <f>IF(A307="","",Q307-R307)</f>
        <v/>
      </c>
      <c r="T307" s="26">
        <f>IF(A307="","",IF(Q307=0,"No dept value",IF(ROUND(S307,2)=0,"Agrees",IF(S307&gt;0,"Dept higher - to invoice","Xero higher - check dept"))))</f>
        <v/>
      </c>
      <c r="U307" s="22" t="n"/>
      <c r="V307" s="22" t="n"/>
      <c r="W307" s="23" t="n"/>
      <c r="X307" s="23" t="n"/>
      <c r="Y307" s="22" t="n"/>
      <c r="Z307" s="22" t="n"/>
      <c r="AA307" s="26">
        <f>IF(COUNTA(C307,A307,B307,E307)=0,"",IF(C307="","No date - sits outside every month",IF(A307="","No job number",IF(H307="CHECK","Job number is not in the Xero job list",IF(G307="not set up yet","No department has set this job up - nothing can pull through",IF(D307="","No cost centre",IF(AND(U307="Y",B307=""),"Marked posted to Xero but has no invoice number",IF(N307="","Cost centre has no revenue GL on the Lists sheet",IF(T307="Xero higher - check dept","Invoiced more than the department says the job is worth","")))))))))</f>
        <v/>
      </c>
      <c r="AB307" s="28">
        <f>IF(A307="","",COUNTIFS(tbl_Finance[Job Number],A307&amp;"",tbl_Finance[Ex GST],"&lt;&gt;"))</f>
        <v/>
      </c>
      <c r="AC307" s="27">
        <f>IF(A307="","",SUMIFS(tbl_Finance[Ex GST],tbl_Finance[Job Number],A307&amp;""))</f>
        <v/>
      </c>
      <c r="AD307" s="27">
        <f>IF(A307="","",SUMIFS(tbl_Finance[Ex GST],tbl_Finance[Job Number],A307&amp;"",tbl_Finance[Xero Invoice No],"&lt;&gt;"))</f>
        <v/>
      </c>
      <c r="AE307" s="27">
        <f>IF(A307="","",AC307-AD307)</f>
        <v/>
      </c>
      <c r="AF307" s="26">
        <f>IF(A307="","",IFERROR(IF(INDEX(tbl_Onsite[Qwilr Quote],IFERROR(MATCH(A307&amp;"",tbl_Onsite[Job Number],0),MATCH(IFERROR(A307+0,A307),tbl_Onsite[Job Number],0)))="","",INDEX(tbl_Onsite[Qwilr Quote],IFERROR(MATCH(A307&amp;"",tbl_Onsite[Job Number],0),MATCH(IFERROR(A307+0,A307),tbl_Onsite[Job Number],0)))),IFERROR(IF(IF(INDEX(tbl_Production[Current RMS No],IFERROR(MATCH(A307&amp;"",tbl_Production[Job Number],0),MATCH(IFERROR(A307+0,A307),tbl_Production[Job Number],0)))="",INDEX(tbl_Production[Qwilr Quote],IFERROR(MATCH(A307&amp;"",tbl_Production[Job Number],0),MATCH(IFERROR(A307+0,A307),tbl_Production[Job Number],0))),INDEX(tbl_Production[Current RMS No],IFERROR(MATCH(A307&amp;"",tbl_Production[Job Number],0),MATCH(IFERROR(A307+0,A307),tbl_Production[Job Number],0))))="","",IF(INDEX(tbl_Production[Current RMS No],IFERROR(MATCH(A307&amp;"",tbl_Production[Job Number],0),MATCH(IFERROR(A307+0,A307),tbl_Production[Job Number],0)))="",INDEX(tbl_Production[Qwilr Quote],IFERROR(MATCH(A307&amp;"",tbl_Production[Job Number],0),MATCH(IFERROR(A307+0,A307),tbl_Production[Job Number],0))),INDEX(tbl_Production[Current RMS No],IFERROR(MATCH(A307&amp;"",tbl_Production[Job Number],0),MATCH(IFERROR(A307+0,A307),tbl_Production[Job Number],0))))),IFERROR(IF(INDEX(tbl_Consulting[Qwilr Quote],IFERROR(MATCH(A307&amp;"",tbl_Consulting[Job Number],0),MATCH(IFERROR(A307+0,A307),tbl_Consulting[Job Number],0)))="","",INDEX(tbl_Consulting[Qwilr Quote],IFERROR(MATCH(A307&amp;"",tbl_Consulting[Job Number],0),MATCH(IFERROR(A307+0,A307),tbl_Consulting[Job Number],0)))),""))))</f>
        <v/>
      </c>
      <c r="AG307" s="26">
        <f>IF(AF307="","",IF(AND(LEFT(AF307,4)&lt;&gt;"http",IF(G307="Production",set_RMSBase,set_QwilrBase)=""),"",HYPERLINK(IF(LEFT(AF307,4)="http",AF307,IF(G307="Production",set_RMSBase,set_QwilrBase)&amp;AF307),"Open")))</f>
        <v/>
      </c>
      <c r="AH307" s="27">
        <f>IF(A307="","",IFERROR(INDEX(tbl_Production[Total Expense],IFERROR(MATCH(A307&amp;"",tbl_Production[Job Number],0),MATCH(IFERROR(A307+0,A307),tbl_Production[Job Number],0))),IFERROR(INDEX(tbl_Consulting[Total Expense],IFERROR(MATCH(A307&amp;"",tbl_Consulting[Job Number],0),MATCH(IFERROR(A307+0,A307),tbl_Consulting[Job Number],0))),0)))</f>
        <v/>
      </c>
      <c r="AI307" s="27">
        <f>IF(A307="","",AC307-N(AH307))</f>
        <v/>
      </c>
      <c r="AJ307" s="29">
        <f>IFERROR(AI307/AC307,"")</f>
        <v/>
      </c>
      <c r="AK307" s="26">
        <f>IF(A307="","",IFERROR(IF(INDEX(tbl_Onsite[Notes],IFERROR(MATCH(A307&amp;"",tbl_Onsite[Job Number],0),MATCH(IFERROR(A307+0,A307),tbl_Onsite[Job Number],0)))="","",INDEX(tbl_Onsite[Notes],IFERROR(MATCH(A307&amp;"",tbl_Onsite[Job Number],0),MATCH(IFERROR(A307+0,A307),tbl_Onsite[Job Number],0)))),IFERROR(IF(INDEX(tbl_Production[Notes],IFERROR(MATCH(A307&amp;"",tbl_Production[Job Number],0),MATCH(IFERROR(A307+0,A307),tbl_Production[Job Number],0)))="","",INDEX(tbl_Production[Notes],IFERROR(MATCH(A307&amp;"",tbl_Production[Job Number],0),MATCH(IFERROR(A307+0,A307),tbl_Production[Job Number],0)))),IFERROR(IF(INDEX(tbl_Consulting[Notes],IFERROR(MATCH(A307&amp;"",tbl_Consulting[Job Number],0),MATCH(IFERROR(A307+0,A307),tbl_Consulting[Job Number],0)))="","",INDEX(tbl_Consulting[Notes],IFERROR(MATCH(A307&amp;"",tbl_Consulting[Job Number],0),MATCH(IFERROR(A307+0,A307),tbl_Consulting[Job Number],0)))),""))))</f>
        <v/>
      </c>
    </row>
    <row r="308" ht="15" customHeight="1">
      <c r="A308" s="22" t="n"/>
      <c r="B308" s="22" t="n"/>
      <c r="C308" s="23" t="n"/>
      <c r="D308" s="22" t="n"/>
      <c r="E308" s="24" t="n"/>
      <c r="F308" s="25">
        <f>IF(C308="","",EOMONTH(C308,0))</f>
        <v/>
      </c>
      <c r="G308" s="26">
        <f>IF(A308="","",IF(COUNTIF(tbl_Onsite[Job Number],A308&amp;"")&gt;0,"Onsite",IF(COUNTIF(tbl_Production[Job Number],A308&amp;"")&gt;0,"Production",IF(COUNTIF(tbl_Consulting[Job Number],A308&amp;"")&gt;0,"Consulting","not set up yet"))))</f>
        <v/>
      </c>
      <c r="H308" s="26">
        <f>IF(A308="","",IF(COUNTIF(lst_Jobs,A308&amp;"")&gt;0,"OK","CHECK"))</f>
        <v/>
      </c>
      <c r="I308" s="26">
        <f>IF(A308="","",IFERROR(INDEX(lst_JobName,MATCH(A308&amp;"",lst_Jobs,0)),""))</f>
        <v/>
      </c>
      <c r="J308" s="26">
        <f>IF(A308="","",IFERROR(IF(INDEX(tbl_Onsite[Client],IFERROR(MATCH(A308&amp;"",tbl_Onsite[Job Number],0),MATCH(IFERROR(A308+0,A308),tbl_Onsite[Job Number],0)))="","",INDEX(tbl_Onsite[Client],IFERROR(MATCH(A308&amp;"",tbl_Onsite[Job Number],0),MATCH(IFERROR(A308+0,A308),tbl_Onsite[Job Number],0)))),IFERROR(IF(INDEX(tbl_Production[Client],IFERROR(MATCH(A308&amp;"",tbl_Production[Job Number],0),MATCH(IFERROR(A308+0,A308),tbl_Production[Job Number],0)))="","",INDEX(tbl_Production[Client],IFERROR(MATCH(A308&amp;"",tbl_Production[Job Number],0),MATCH(IFERROR(A308+0,A308),tbl_Production[Job Number],0)))),IFERROR(IF(INDEX(tbl_Consulting[Client],IFERROR(MATCH(A308&amp;"",tbl_Consulting[Job Number],0),MATCH(IFERROR(A308+0,A308),tbl_Consulting[Job Number],0)))="","",INDEX(tbl_Consulting[Client],IFERROR(MATCH(A308&amp;"",tbl_Consulting[Job Number],0),MATCH(IFERROR(A308+0,A308),tbl_Consulting[Job Number],0)))),""))))</f>
        <v/>
      </c>
      <c r="K308" s="26">
        <f>IF(A308="","",IFERROR(IF(INDEX(tbl_Onsite[Job Description],IFERROR(MATCH(A308&amp;"",tbl_Onsite[Job Number],0),MATCH(IFERROR(A308+0,A308),tbl_Onsite[Job Number],0)))="","",INDEX(tbl_Onsite[Job Description],IFERROR(MATCH(A308&amp;"",tbl_Onsite[Job Number],0),MATCH(IFERROR(A308+0,A308),tbl_Onsite[Job Number],0)))),IFERROR(IF(INDEX(tbl_Production[Job Description],IFERROR(MATCH(A308&amp;"",tbl_Production[Job Number],0),MATCH(IFERROR(A308+0,A308),tbl_Production[Job Number],0)))="","",INDEX(tbl_Production[Job Description],IFERROR(MATCH(A308&amp;"",tbl_Production[Job Number],0),MATCH(IFERROR(A308+0,A308),tbl_Production[Job Number],0)))),IFERROR(IF(INDEX(tbl_Consulting[Job Description],IFERROR(MATCH(A308&amp;"",tbl_Consulting[Job Number],0),MATCH(IFERROR(A308+0,A308),tbl_Consulting[Job Number],0)))="","",INDEX(tbl_Consulting[Job Description],IFERROR(MATCH(A308&amp;"",tbl_Consulting[Job Number],0),MATCH(IFERROR(A308+0,A308),tbl_Consulting[Job Number],0)))),""))))</f>
        <v/>
      </c>
      <c r="L308" s="26">
        <f>IF(A308="","",IFERROR(IF(INDEX(tbl_Onsite[Invoice Type],IFERROR(MATCH(A308&amp;"",tbl_Onsite[Job Number],0),MATCH(IFERROR(A308+0,A308),tbl_Onsite[Job Number],0)))="","",INDEX(tbl_Onsite[Invoice Type],IFERROR(MATCH(A308&amp;"",tbl_Onsite[Job Number],0),MATCH(IFERROR(A308+0,A308),tbl_Onsite[Job Number],0)))),IFERROR(IF(INDEX(tbl_Production[Invoice Type],IFERROR(MATCH(A308&amp;"",tbl_Production[Job Number],0),MATCH(IFERROR(A308+0,A308),tbl_Production[Job Number],0)))="","",INDEX(tbl_Production[Invoice Type],IFERROR(MATCH(A308&amp;"",tbl_Production[Job Number],0),MATCH(IFERROR(A308+0,A308),tbl_Production[Job Number],0)))),IFERROR(IF(INDEX(tbl_Consulting[Invoice Type],IFERROR(MATCH(A308&amp;"",tbl_Consulting[Job Number],0),MATCH(IFERROR(A308+0,A308),tbl_Consulting[Job Number],0)))="","",INDEX(tbl_Consulting[Invoice Type],IFERROR(MATCH(A308&amp;"",tbl_Consulting[Job Number],0),MATCH(IFERROR(A308+0,A308),tbl_Consulting[Job Number],0)))),""))))</f>
        <v/>
      </c>
      <c r="M308" s="26">
        <f>IF(A308="","",IF(IFERROR(IF(INDEX(tbl_Onsite[Tax Code],IFERROR(MATCH(A308&amp;"",tbl_Onsite[Job Number],0),MATCH(IFERROR(A308+0,A308),tbl_Onsite[Job Number],0)))="","",INDEX(tbl_Onsite[Tax Code],IFERROR(MATCH(A308&amp;"",tbl_Onsite[Job Number],0),MATCH(IFERROR(A308+0,A308),tbl_Onsite[Job Number],0)))),IFERROR(IF(INDEX(tbl_Production[Tax Code],IFERROR(MATCH(A308&amp;"",tbl_Production[Job Number],0),MATCH(IFERROR(A308+0,A308),tbl_Production[Job Number],0)))="","",INDEX(tbl_Production[Tax Code],IFERROR(MATCH(A308&amp;"",tbl_Production[Job Number],0),MATCH(IFERROR(A308+0,A308),tbl_Production[Job Number],0)))),IFERROR(IF(INDEX(tbl_Consulting[Tax Code],IFERROR(MATCH(A308&amp;"",tbl_Consulting[Job Number],0),MATCH(IFERROR(A308+0,A308),tbl_Consulting[Job Number],0)))="","",INDEX(tbl_Consulting[Tax Code],IFERROR(MATCH(A308&amp;"",tbl_Consulting[Job Number],0),MATCH(IFERROR(A308+0,A308),tbl_Consulting[Job Number],0)))),"")))="","GST 10%",IFERROR(IF(INDEX(tbl_Onsite[Tax Code],IFERROR(MATCH(A308&amp;"",tbl_Onsite[Job Number],0),MATCH(IFERROR(A308+0,A308),tbl_Onsite[Job Number],0)))="","",INDEX(tbl_Onsite[Tax Code],IFERROR(MATCH(A308&amp;"",tbl_Onsite[Job Number],0),MATCH(IFERROR(A308+0,A308),tbl_Onsite[Job Number],0)))),IFERROR(IF(INDEX(tbl_Production[Tax Code],IFERROR(MATCH(A308&amp;"",tbl_Production[Job Number],0),MATCH(IFERROR(A308+0,A308),tbl_Production[Job Number],0)))="","",INDEX(tbl_Production[Tax Code],IFERROR(MATCH(A308&amp;"",tbl_Production[Job Number],0),MATCH(IFERROR(A308+0,A308),tbl_Production[Job Number],0)))),IFERROR(IF(INDEX(tbl_Consulting[Tax Code],IFERROR(MATCH(A308&amp;"",tbl_Consulting[Job Number],0),MATCH(IFERROR(A308+0,A308),tbl_Consulting[Job Number],0)))="","",INDEX(tbl_Consulting[Tax Code],IFERROR(MATCH(A308&amp;"",tbl_Consulting[Job Number],0),MATCH(IFERROR(A308+0,A308),tbl_Consulting[Job Number],0)))),"")))))</f>
        <v/>
      </c>
      <c r="N308" s="26">
        <f>IF(D308="","",IFERROR(INDEX(lst_CCtoGL,MATCH(D308,lst_CCforGL,0)),""))</f>
        <v/>
      </c>
      <c r="O308" s="27">
        <f>IF(E308="","",IF(M308="GST 10%",ROUND(E308*set_GSTRate,2),0))</f>
        <v/>
      </c>
      <c r="P308" s="27">
        <f>IF(E308="","",E308+O308)</f>
        <v/>
      </c>
      <c r="Q308" s="27">
        <f>IF(A308="","",IFERROR(INDEX(tbl_Onsite[Expected Revenue Ex GST],IFERROR(MATCH(A308&amp;"",tbl_Onsite[Job Number],0),MATCH(IFERROR(A308+0,A308),tbl_Onsite[Job Number],0))),IFERROR(INDEX(tbl_Production[Expected Revenue Ex GST],IFERROR(MATCH(A308&amp;"",tbl_Production[Job Number],0),MATCH(IFERROR(A308+0,A308),tbl_Production[Job Number],0))),IFERROR(INDEX(tbl_Consulting[Expected Revenue Ex GST],IFERROR(MATCH(A308&amp;"",tbl_Consulting[Job Number],0),MATCH(IFERROR(A308+0,A308),tbl_Consulting[Job Number],0))),0))))</f>
        <v/>
      </c>
      <c r="R308" s="27">
        <f>IF(A308="","",SUMIFS(tbl_Finance[Ex GST],tbl_Finance[Job Number],A308&amp;""))</f>
        <v/>
      </c>
      <c r="S308" s="27">
        <f>IF(A308="","",Q308-R308)</f>
        <v/>
      </c>
      <c r="T308" s="26">
        <f>IF(A308="","",IF(Q308=0,"No dept value",IF(ROUND(S308,2)=0,"Agrees",IF(S308&gt;0,"Dept higher - to invoice","Xero higher - check dept"))))</f>
        <v/>
      </c>
      <c r="U308" s="22" t="n"/>
      <c r="V308" s="22" t="n"/>
      <c r="W308" s="23" t="n"/>
      <c r="X308" s="23" t="n"/>
      <c r="Y308" s="22" t="n"/>
      <c r="Z308" s="22" t="n"/>
      <c r="AA308" s="26">
        <f>IF(COUNTA(C308,A308,B308,E308)=0,"",IF(C308="","No date - sits outside every month",IF(A308="","No job number",IF(H308="CHECK","Job number is not in the Xero job list",IF(G308="not set up yet","No department has set this job up - nothing can pull through",IF(D308="","No cost centre",IF(AND(U308="Y",B308=""),"Marked posted to Xero but has no invoice number",IF(N308="","Cost centre has no revenue GL on the Lists sheet",IF(T308="Xero higher - check dept","Invoiced more than the department says the job is worth","")))))))))</f>
        <v/>
      </c>
      <c r="AB308" s="28">
        <f>IF(A308="","",COUNTIFS(tbl_Finance[Job Number],A308&amp;"",tbl_Finance[Ex GST],"&lt;&gt;"))</f>
        <v/>
      </c>
      <c r="AC308" s="27">
        <f>IF(A308="","",SUMIFS(tbl_Finance[Ex GST],tbl_Finance[Job Number],A308&amp;""))</f>
        <v/>
      </c>
      <c r="AD308" s="27">
        <f>IF(A308="","",SUMIFS(tbl_Finance[Ex GST],tbl_Finance[Job Number],A308&amp;"",tbl_Finance[Xero Invoice No],"&lt;&gt;"))</f>
        <v/>
      </c>
      <c r="AE308" s="27">
        <f>IF(A308="","",AC308-AD308)</f>
        <v/>
      </c>
      <c r="AF308" s="26">
        <f>IF(A308="","",IFERROR(IF(INDEX(tbl_Onsite[Qwilr Quote],IFERROR(MATCH(A308&amp;"",tbl_Onsite[Job Number],0),MATCH(IFERROR(A308+0,A308),tbl_Onsite[Job Number],0)))="","",INDEX(tbl_Onsite[Qwilr Quote],IFERROR(MATCH(A308&amp;"",tbl_Onsite[Job Number],0),MATCH(IFERROR(A308+0,A308),tbl_Onsite[Job Number],0)))),IFERROR(IF(IF(INDEX(tbl_Production[Current RMS No],IFERROR(MATCH(A308&amp;"",tbl_Production[Job Number],0),MATCH(IFERROR(A308+0,A308),tbl_Production[Job Number],0)))="",INDEX(tbl_Production[Qwilr Quote],IFERROR(MATCH(A308&amp;"",tbl_Production[Job Number],0),MATCH(IFERROR(A308+0,A308),tbl_Production[Job Number],0))),INDEX(tbl_Production[Current RMS No],IFERROR(MATCH(A308&amp;"",tbl_Production[Job Number],0),MATCH(IFERROR(A308+0,A308),tbl_Production[Job Number],0))))="","",IF(INDEX(tbl_Production[Current RMS No],IFERROR(MATCH(A308&amp;"",tbl_Production[Job Number],0),MATCH(IFERROR(A308+0,A308),tbl_Production[Job Number],0)))="",INDEX(tbl_Production[Qwilr Quote],IFERROR(MATCH(A308&amp;"",tbl_Production[Job Number],0),MATCH(IFERROR(A308+0,A308),tbl_Production[Job Number],0))),INDEX(tbl_Production[Current RMS No],IFERROR(MATCH(A308&amp;"",tbl_Production[Job Number],0),MATCH(IFERROR(A308+0,A308),tbl_Production[Job Number],0))))),IFERROR(IF(INDEX(tbl_Consulting[Qwilr Quote],IFERROR(MATCH(A308&amp;"",tbl_Consulting[Job Number],0),MATCH(IFERROR(A308+0,A308),tbl_Consulting[Job Number],0)))="","",INDEX(tbl_Consulting[Qwilr Quote],IFERROR(MATCH(A308&amp;"",tbl_Consulting[Job Number],0),MATCH(IFERROR(A308+0,A308),tbl_Consulting[Job Number],0)))),""))))</f>
        <v/>
      </c>
      <c r="AG308" s="26">
        <f>IF(AF308="","",IF(AND(LEFT(AF308,4)&lt;&gt;"http",IF(G308="Production",set_RMSBase,set_QwilrBase)=""),"",HYPERLINK(IF(LEFT(AF308,4)="http",AF308,IF(G308="Production",set_RMSBase,set_QwilrBase)&amp;AF308),"Open")))</f>
        <v/>
      </c>
      <c r="AH308" s="27">
        <f>IF(A308="","",IFERROR(INDEX(tbl_Production[Total Expense],IFERROR(MATCH(A308&amp;"",tbl_Production[Job Number],0),MATCH(IFERROR(A308+0,A308),tbl_Production[Job Number],0))),IFERROR(INDEX(tbl_Consulting[Total Expense],IFERROR(MATCH(A308&amp;"",tbl_Consulting[Job Number],0),MATCH(IFERROR(A308+0,A308),tbl_Consulting[Job Number],0))),0)))</f>
        <v/>
      </c>
      <c r="AI308" s="27">
        <f>IF(A308="","",AC308-N(AH308))</f>
        <v/>
      </c>
      <c r="AJ308" s="29">
        <f>IFERROR(AI308/AC308,"")</f>
        <v/>
      </c>
      <c r="AK308" s="26">
        <f>IF(A308="","",IFERROR(IF(INDEX(tbl_Onsite[Notes],IFERROR(MATCH(A308&amp;"",tbl_Onsite[Job Number],0),MATCH(IFERROR(A308+0,A308),tbl_Onsite[Job Number],0)))="","",INDEX(tbl_Onsite[Notes],IFERROR(MATCH(A308&amp;"",tbl_Onsite[Job Number],0),MATCH(IFERROR(A308+0,A308),tbl_Onsite[Job Number],0)))),IFERROR(IF(INDEX(tbl_Production[Notes],IFERROR(MATCH(A308&amp;"",tbl_Production[Job Number],0),MATCH(IFERROR(A308+0,A308),tbl_Production[Job Number],0)))="","",INDEX(tbl_Production[Notes],IFERROR(MATCH(A308&amp;"",tbl_Production[Job Number],0),MATCH(IFERROR(A308+0,A308),tbl_Production[Job Number],0)))),IFERROR(IF(INDEX(tbl_Consulting[Notes],IFERROR(MATCH(A308&amp;"",tbl_Consulting[Job Number],0),MATCH(IFERROR(A308+0,A308),tbl_Consulting[Job Number],0)))="","",INDEX(tbl_Consulting[Notes],IFERROR(MATCH(A308&amp;"",tbl_Consulting[Job Number],0),MATCH(IFERROR(A308+0,A308),tbl_Consulting[Job Number],0)))),""))))</f>
        <v/>
      </c>
    </row>
    <row r="309" ht="15" customHeight="1">
      <c r="A309" s="22" t="n"/>
      <c r="B309" s="22" t="n"/>
      <c r="C309" s="23" t="n"/>
      <c r="D309" s="22" t="n"/>
      <c r="E309" s="24" t="n"/>
      <c r="F309" s="25">
        <f>IF(C309="","",EOMONTH(C309,0))</f>
        <v/>
      </c>
      <c r="G309" s="26">
        <f>IF(A309="","",IF(COUNTIF(tbl_Onsite[Job Number],A309&amp;"")&gt;0,"Onsite",IF(COUNTIF(tbl_Production[Job Number],A309&amp;"")&gt;0,"Production",IF(COUNTIF(tbl_Consulting[Job Number],A309&amp;"")&gt;0,"Consulting","not set up yet"))))</f>
        <v/>
      </c>
      <c r="H309" s="26">
        <f>IF(A309="","",IF(COUNTIF(lst_Jobs,A309&amp;"")&gt;0,"OK","CHECK"))</f>
        <v/>
      </c>
      <c r="I309" s="26">
        <f>IF(A309="","",IFERROR(INDEX(lst_JobName,MATCH(A309&amp;"",lst_Jobs,0)),""))</f>
        <v/>
      </c>
      <c r="J309" s="26">
        <f>IF(A309="","",IFERROR(IF(INDEX(tbl_Onsite[Client],IFERROR(MATCH(A309&amp;"",tbl_Onsite[Job Number],0),MATCH(IFERROR(A309+0,A309),tbl_Onsite[Job Number],0)))="","",INDEX(tbl_Onsite[Client],IFERROR(MATCH(A309&amp;"",tbl_Onsite[Job Number],0),MATCH(IFERROR(A309+0,A309),tbl_Onsite[Job Number],0)))),IFERROR(IF(INDEX(tbl_Production[Client],IFERROR(MATCH(A309&amp;"",tbl_Production[Job Number],0),MATCH(IFERROR(A309+0,A309),tbl_Production[Job Number],0)))="","",INDEX(tbl_Production[Client],IFERROR(MATCH(A309&amp;"",tbl_Production[Job Number],0),MATCH(IFERROR(A309+0,A309),tbl_Production[Job Number],0)))),IFERROR(IF(INDEX(tbl_Consulting[Client],IFERROR(MATCH(A309&amp;"",tbl_Consulting[Job Number],0),MATCH(IFERROR(A309+0,A309),tbl_Consulting[Job Number],0)))="","",INDEX(tbl_Consulting[Client],IFERROR(MATCH(A309&amp;"",tbl_Consulting[Job Number],0),MATCH(IFERROR(A309+0,A309),tbl_Consulting[Job Number],0)))),""))))</f>
        <v/>
      </c>
      <c r="K309" s="26">
        <f>IF(A309="","",IFERROR(IF(INDEX(tbl_Onsite[Job Description],IFERROR(MATCH(A309&amp;"",tbl_Onsite[Job Number],0),MATCH(IFERROR(A309+0,A309),tbl_Onsite[Job Number],0)))="","",INDEX(tbl_Onsite[Job Description],IFERROR(MATCH(A309&amp;"",tbl_Onsite[Job Number],0),MATCH(IFERROR(A309+0,A309),tbl_Onsite[Job Number],0)))),IFERROR(IF(INDEX(tbl_Production[Job Description],IFERROR(MATCH(A309&amp;"",tbl_Production[Job Number],0),MATCH(IFERROR(A309+0,A309),tbl_Production[Job Number],0)))="","",INDEX(tbl_Production[Job Description],IFERROR(MATCH(A309&amp;"",tbl_Production[Job Number],0),MATCH(IFERROR(A309+0,A309),tbl_Production[Job Number],0)))),IFERROR(IF(INDEX(tbl_Consulting[Job Description],IFERROR(MATCH(A309&amp;"",tbl_Consulting[Job Number],0),MATCH(IFERROR(A309+0,A309),tbl_Consulting[Job Number],0)))="","",INDEX(tbl_Consulting[Job Description],IFERROR(MATCH(A309&amp;"",tbl_Consulting[Job Number],0),MATCH(IFERROR(A309+0,A309),tbl_Consulting[Job Number],0)))),""))))</f>
        <v/>
      </c>
      <c r="L309" s="26">
        <f>IF(A309="","",IFERROR(IF(INDEX(tbl_Onsite[Invoice Type],IFERROR(MATCH(A309&amp;"",tbl_Onsite[Job Number],0),MATCH(IFERROR(A309+0,A309),tbl_Onsite[Job Number],0)))="","",INDEX(tbl_Onsite[Invoice Type],IFERROR(MATCH(A309&amp;"",tbl_Onsite[Job Number],0),MATCH(IFERROR(A309+0,A309),tbl_Onsite[Job Number],0)))),IFERROR(IF(INDEX(tbl_Production[Invoice Type],IFERROR(MATCH(A309&amp;"",tbl_Production[Job Number],0),MATCH(IFERROR(A309+0,A309),tbl_Production[Job Number],0)))="","",INDEX(tbl_Production[Invoice Type],IFERROR(MATCH(A309&amp;"",tbl_Production[Job Number],0),MATCH(IFERROR(A309+0,A309),tbl_Production[Job Number],0)))),IFERROR(IF(INDEX(tbl_Consulting[Invoice Type],IFERROR(MATCH(A309&amp;"",tbl_Consulting[Job Number],0),MATCH(IFERROR(A309+0,A309),tbl_Consulting[Job Number],0)))="","",INDEX(tbl_Consulting[Invoice Type],IFERROR(MATCH(A309&amp;"",tbl_Consulting[Job Number],0),MATCH(IFERROR(A309+0,A309),tbl_Consulting[Job Number],0)))),""))))</f>
        <v/>
      </c>
      <c r="M309" s="26">
        <f>IF(A309="","",IF(IFERROR(IF(INDEX(tbl_Onsite[Tax Code],IFERROR(MATCH(A309&amp;"",tbl_Onsite[Job Number],0),MATCH(IFERROR(A309+0,A309),tbl_Onsite[Job Number],0)))="","",INDEX(tbl_Onsite[Tax Code],IFERROR(MATCH(A309&amp;"",tbl_Onsite[Job Number],0),MATCH(IFERROR(A309+0,A309),tbl_Onsite[Job Number],0)))),IFERROR(IF(INDEX(tbl_Production[Tax Code],IFERROR(MATCH(A309&amp;"",tbl_Production[Job Number],0),MATCH(IFERROR(A309+0,A309),tbl_Production[Job Number],0)))="","",INDEX(tbl_Production[Tax Code],IFERROR(MATCH(A309&amp;"",tbl_Production[Job Number],0),MATCH(IFERROR(A309+0,A309),tbl_Production[Job Number],0)))),IFERROR(IF(INDEX(tbl_Consulting[Tax Code],IFERROR(MATCH(A309&amp;"",tbl_Consulting[Job Number],0),MATCH(IFERROR(A309+0,A309),tbl_Consulting[Job Number],0)))="","",INDEX(tbl_Consulting[Tax Code],IFERROR(MATCH(A309&amp;"",tbl_Consulting[Job Number],0),MATCH(IFERROR(A309+0,A309),tbl_Consulting[Job Number],0)))),"")))="","GST 10%",IFERROR(IF(INDEX(tbl_Onsite[Tax Code],IFERROR(MATCH(A309&amp;"",tbl_Onsite[Job Number],0),MATCH(IFERROR(A309+0,A309),tbl_Onsite[Job Number],0)))="","",INDEX(tbl_Onsite[Tax Code],IFERROR(MATCH(A309&amp;"",tbl_Onsite[Job Number],0),MATCH(IFERROR(A309+0,A309),tbl_Onsite[Job Number],0)))),IFERROR(IF(INDEX(tbl_Production[Tax Code],IFERROR(MATCH(A309&amp;"",tbl_Production[Job Number],0),MATCH(IFERROR(A309+0,A309),tbl_Production[Job Number],0)))="","",INDEX(tbl_Production[Tax Code],IFERROR(MATCH(A309&amp;"",tbl_Production[Job Number],0),MATCH(IFERROR(A309+0,A309),tbl_Production[Job Number],0)))),IFERROR(IF(INDEX(tbl_Consulting[Tax Code],IFERROR(MATCH(A309&amp;"",tbl_Consulting[Job Number],0),MATCH(IFERROR(A309+0,A309),tbl_Consulting[Job Number],0)))="","",INDEX(tbl_Consulting[Tax Code],IFERROR(MATCH(A309&amp;"",tbl_Consulting[Job Number],0),MATCH(IFERROR(A309+0,A309),tbl_Consulting[Job Number],0)))),"")))))</f>
        <v/>
      </c>
      <c r="N309" s="26">
        <f>IF(D309="","",IFERROR(INDEX(lst_CCtoGL,MATCH(D309,lst_CCforGL,0)),""))</f>
        <v/>
      </c>
      <c r="O309" s="27">
        <f>IF(E309="","",IF(M309="GST 10%",ROUND(E309*set_GSTRate,2),0))</f>
        <v/>
      </c>
      <c r="P309" s="27">
        <f>IF(E309="","",E309+O309)</f>
        <v/>
      </c>
      <c r="Q309" s="27">
        <f>IF(A309="","",IFERROR(INDEX(tbl_Onsite[Expected Revenue Ex GST],IFERROR(MATCH(A309&amp;"",tbl_Onsite[Job Number],0),MATCH(IFERROR(A309+0,A309),tbl_Onsite[Job Number],0))),IFERROR(INDEX(tbl_Production[Expected Revenue Ex GST],IFERROR(MATCH(A309&amp;"",tbl_Production[Job Number],0),MATCH(IFERROR(A309+0,A309),tbl_Production[Job Number],0))),IFERROR(INDEX(tbl_Consulting[Expected Revenue Ex GST],IFERROR(MATCH(A309&amp;"",tbl_Consulting[Job Number],0),MATCH(IFERROR(A309+0,A309),tbl_Consulting[Job Number],0))),0))))</f>
        <v/>
      </c>
      <c r="R309" s="27">
        <f>IF(A309="","",SUMIFS(tbl_Finance[Ex GST],tbl_Finance[Job Number],A309&amp;""))</f>
        <v/>
      </c>
      <c r="S309" s="27">
        <f>IF(A309="","",Q309-R309)</f>
        <v/>
      </c>
      <c r="T309" s="26">
        <f>IF(A309="","",IF(Q309=0,"No dept value",IF(ROUND(S309,2)=0,"Agrees",IF(S309&gt;0,"Dept higher - to invoice","Xero higher - check dept"))))</f>
        <v/>
      </c>
      <c r="U309" s="22" t="n"/>
      <c r="V309" s="22" t="n"/>
      <c r="W309" s="23" t="n"/>
      <c r="X309" s="23" t="n"/>
      <c r="Y309" s="22" t="n"/>
      <c r="Z309" s="22" t="n"/>
      <c r="AA309" s="26">
        <f>IF(COUNTA(C309,A309,B309,E309)=0,"",IF(C309="","No date - sits outside every month",IF(A309="","No job number",IF(H309="CHECK","Job number is not in the Xero job list",IF(G309="not set up yet","No department has set this job up - nothing can pull through",IF(D309="","No cost centre",IF(AND(U309="Y",B309=""),"Marked posted to Xero but has no invoice number",IF(N309="","Cost centre has no revenue GL on the Lists sheet",IF(T309="Xero higher - check dept","Invoiced more than the department says the job is worth","")))))))))</f>
        <v/>
      </c>
      <c r="AB309" s="28">
        <f>IF(A309="","",COUNTIFS(tbl_Finance[Job Number],A309&amp;"",tbl_Finance[Ex GST],"&lt;&gt;"))</f>
        <v/>
      </c>
      <c r="AC309" s="27">
        <f>IF(A309="","",SUMIFS(tbl_Finance[Ex GST],tbl_Finance[Job Number],A309&amp;""))</f>
        <v/>
      </c>
      <c r="AD309" s="27">
        <f>IF(A309="","",SUMIFS(tbl_Finance[Ex GST],tbl_Finance[Job Number],A309&amp;"",tbl_Finance[Xero Invoice No],"&lt;&gt;"))</f>
        <v/>
      </c>
      <c r="AE309" s="27">
        <f>IF(A309="","",AC309-AD309)</f>
        <v/>
      </c>
      <c r="AF309" s="26">
        <f>IF(A309="","",IFERROR(IF(INDEX(tbl_Onsite[Qwilr Quote],IFERROR(MATCH(A309&amp;"",tbl_Onsite[Job Number],0),MATCH(IFERROR(A309+0,A309),tbl_Onsite[Job Number],0)))="","",INDEX(tbl_Onsite[Qwilr Quote],IFERROR(MATCH(A309&amp;"",tbl_Onsite[Job Number],0),MATCH(IFERROR(A309+0,A309),tbl_Onsite[Job Number],0)))),IFERROR(IF(IF(INDEX(tbl_Production[Current RMS No],IFERROR(MATCH(A309&amp;"",tbl_Production[Job Number],0),MATCH(IFERROR(A309+0,A309),tbl_Production[Job Number],0)))="",INDEX(tbl_Production[Qwilr Quote],IFERROR(MATCH(A309&amp;"",tbl_Production[Job Number],0),MATCH(IFERROR(A309+0,A309),tbl_Production[Job Number],0))),INDEX(tbl_Production[Current RMS No],IFERROR(MATCH(A309&amp;"",tbl_Production[Job Number],0),MATCH(IFERROR(A309+0,A309),tbl_Production[Job Number],0))))="","",IF(INDEX(tbl_Production[Current RMS No],IFERROR(MATCH(A309&amp;"",tbl_Production[Job Number],0),MATCH(IFERROR(A309+0,A309),tbl_Production[Job Number],0)))="",INDEX(tbl_Production[Qwilr Quote],IFERROR(MATCH(A309&amp;"",tbl_Production[Job Number],0),MATCH(IFERROR(A309+0,A309),tbl_Production[Job Number],0))),INDEX(tbl_Production[Current RMS No],IFERROR(MATCH(A309&amp;"",tbl_Production[Job Number],0),MATCH(IFERROR(A309+0,A309),tbl_Production[Job Number],0))))),IFERROR(IF(INDEX(tbl_Consulting[Qwilr Quote],IFERROR(MATCH(A309&amp;"",tbl_Consulting[Job Number],0),MATCH(IFERROR(A309+0,A309),tbl_Consulting[Job Number],0)))="","",INDEX(tbl_Consulting[Qwilr Quote],IFERROR(MATCH(A309&amp;"",tbl_Consulting[Job Number],0),MATCH(IFERROR(A309+0,A309),tbl_Consulting[Job Number],0)))),""))))</f>
        <v/>
      </c>
      <c r="AG309" s="26">
        <f>IF(AF309="","",IF(AND(LEFT(AF309,4)&lt;&gt;"http",IF(G309="Production",set_RMSBase,set_QwilrBase)=""),"",HYPERLINK(IF(LEFT(AF309,4)="http",AF309,IF(G309="Production",set_RMSBase,set_QwilrBase)&amp;AF309),"Open")))</f>
        <v/>
      </c>
      <c r="AH309" s="27">
        <f>IF(A309="","",IFERROR(INDEX(tbl_Production[Total Expense],IFERROR(MATCH(A309&amp;"",tbl_Production[Job Number],0),MATCH(IFERROR(A309+0,A309),tbl_Production[Job Number],0))),IFERROR(INDEX(tbl_Consulting[Total Expense],IFERROR(MATCH(A309&amp;"",tbl_Consulting[Job Number],0),MATCH(IFERROR(A309+0,A309),tbl_Consulting[Job Number],0))),0)))</f>
        <v/>
      </c>
      <c r="AI309" s="27">
        <f>IF(A309="","",AC309-N(AH309))</f>
        <v/>
      </c>
      <c r="AJ309" s="29">
        <f>IFERROR(AI309/AC309,"")</f>
        <v/>
      </c>
      <c r="AK309" s="26">
        <f>IF(A309="","",IFERROR(IF(INDEX(tbl_Onsite[Notes],IFERROR(MATCH(A309&amp;"",tbl_Onsite[Job Number],0),MATCH(IFERROR(A309+0,A309),tbl_Onsite[Job Number],0)))="","",INDEX(tbl_Onsite[Notes],IFERROR(MATCH(A309&amp;"",tbl_Onsite[Job Number],0),MATCH(IFERROR(A309+0,A309),tbl_Onsite[Job Number],0)))),IFERROR(IF(INDEX(tbl_Production[Notes],IFERROR(MATCH(A309&amp;"",tbl_Production[Job Number],0),MATCH(IFERROR(A309+0,A309),tbl_Production[Job Number],0)))="","",INDEX(tbl_Production[Notes],IFERROR(MATCH(A309&amp;"",tbl_Production[Job Number],0),MATCH(IFERROR(A309+0,A309),tbl_Production[Job Number],0)))),IFERROR(IF(INDEX(tbl_Consulting[Notes],IFERROR(MATCH(A309&amp;"",tbl_Consulting[Job Number],0),MATCH(IFERROR(A309+0,A309),tbl_Consulting[Job Number],0)))="","",INDEX(tbl_Consulting[Notes],IFERROR(MATCH(A309&amp;"",tbl_Consulting[Job Number],0),MATCH(IFERROR(A309+0,A309),tbl_Consulting[Job Number],0)))),""))))</f>
        <v/>
      </c>
    </row>
    <row r="310" ht="15" customHeight="1">
      <c r="A310" s="22" t="n"/>
      <c r="B310" s="22" t="n"/>
      <c r="C310" s="23" t="n"/>
      <c r="D310" s="22" t="n"/>
      <c r="E310" s="24" t="n"/>
      <c r="F310" s="25">
        <f>IF(C310="","",EOMONTH(C310,0))</f>
        <v/>
      </c>
      <c r="G310" s="26">
        <f>IF(A310="","",IF(COUNTIF(tbl_Onsite[Job Number],A310&amp;"")&gt;0,"Onsite",IF(COUNTIF(tbl_Production[Job Number],A310&amp;"")&gt;0,"Production",IF(COUNTIF(tbl_Consulting[Job Number],A310&amp;"")&gt;0,"Consulting","not set up yet"))))</f>
        <v/>
      </c>
      <c r="H310" s="26">
        <f>IF(A310="","",IF(COUNTIF(lst_Jobs,A310&amp;"")&gt;0,"OK","CHECK"))</f>
        <v/>
      </c>
      <c r="I310" s="26">
        <f>IF(A310="","",IFERROR(INDEX(lst_JobName,MATCH(A310&amp;"",lst_Jobs,0)),""))</f>
        <v/>
      </c>
      <c r="J310" s="26">
        <f>IF(A310="","",IFERROR(IF(INDEX(tbl_Onsite[Client],IFERROR(MATCH(A310&amp;"",tbl_Onsite[Job Number],0),MATCH(IFERROR(A310+0,A310),tbl_Onsite[Job Number],0)))="","",INDEX(tbl_Onsite[Client],IFERROR(MATCH(A310&amp;"",tbl_Onsite[Job Number],0),MATCH(IFERROR(A310+0,A310),tbl_Onsite[Job Number],0)))),IFERROR(IF(INDEX(tbl_Production[Client],IFERROR(MATCH(A310&amp;"",tbl_Production[Job Number],0),MATCH(IFERROR(A310+0,A310),tbl_Production[Job Number],0)))="","",INDEX(tbl_Production[Client],IFERROR(MATCH(A310&amp;"",tbl_Production[Job Number],0),MATCH(IFERROR(A310+0,A310),tbl_Production[Job Number],0)))),IFERROR(IF(INDEX(tbl_Consulting[Client],IFERROR(MATCH(A310&amp;"",tbl_Consulting[Job Number],0),MATCH(IFERROR(A310+0,A310),tbl_Consulting[Job Number],0)))="","",INDEX(tbl_Consulting[Client],IFERROR(MATCH(A310&amp;"",tbl_Consulting[Job Number],0),MATCH(IFERROR(A310+0,A310),tbl_Consulting[Job Number],0)))),""))))</f>
        <v/>
      </c>
      <c r="K310" s="26">
        <f>IF(A310="","",IFERROR(IF(INDEX(tbl_Onsite[Job Description],IFERROR(MATCH(A310&amp;"",tbl_Onsite[Job Number],0),MATCH(IFERROR(A310+0,A310),tbl_Onsite[Job Number],0)))="","",INDEX(tbl_Onsite[Job Description],IFERROR(MATCH(A310&amp;"",tbl_Onsite[Job Number],0),MATCH(IFERROR(A310+0,A310),tbl_Onsite[Job Number],0)))),IFERROR(IF(INDEX(tbl_Production[Job Description],IFERROR(MATCH(A310&amp;"",tbl_Production[Job Number],0),MATCH(IFERROR(A310+0,A310),tbl_Production[Job Number],0)))="","",INDEX(tbl_Production[Job Description],IFERROR(MATCH(A310&amp;"",tbl_Production[Job Number],0),MATCH(IFERROR(A310+0,A310),tbl_Production[Job Number],0)))),IFERROR(IF(INDEX(tbl_Consulting[Job Description],IFERROR(MATCH(A310&amp;"",tbl_Consulting[Job Number],0),MATCH(IFERROR(A310+0,A310),tbl_Consulting[Job Number],0)))="","",INDEX(tbl_Consulting[Job Description],IFERROR(MATCH(A310&amp;"",tbl_Consulting[Job Number],0),MATCH(IFERROR(A310+0,A310),tbl_Consulting[Job Number],0)))),""))))</f>
        <v/>
      </c>
      <c r="L310" s="26">
        <f>IF(A310="","",IFERROR(IF(INDEX(tbl_Onsite[Invoice Type],IFERROR(MATCH(A310&amp;"",tbl_Onsite[Job Number],0),MATCH(IFERROR(A310+0,A310),tbl_Onsite[Job Number],0)))="","",INDEX(tbl_Onsite[Invoice Type],IFERROR(MATCH(A310&amp;"",tbl_Onsite[Job Number],0),MATCH(IFERROR(A310+0,A310),tbl_Onsite[Job Number],0)))),IFERROR(IF(INDEX(tbl_Production[Invoice Type],IFERROR(MATCH(A310&amp;"",tbl_Production[Job Number],0),MATCH(IFERROR(A310+0,A310),tbl_Production[Job Number],0)))="","",INDEX(tbl_Production[Invoice Type],IFERROR(MATCH(A310&amp;"",tbl_Production[Job Number],0),MATCH(IFERROR(A310+0,A310),tbl_Production[Job Number],0)))),IFERROR(IF(INDEX(tbl_Consulting[Invoice Type],IFERROR(MATCH(A310&amp;"",tbl_Consulting[Job Number],0),MATCH(IFERROR(A310+0,A310),tbl_Consulting[Job Number],0)))="","",INDEX(tbl_Consulting[Invoice Type],IFERROR(MATCH(A310&amp;"",tbl_Consulting[Job Number],0),MATCH(IFERROR(A310+0,A310),tbl_Consulting[Job Number],0)))),""))))</f>
        <v/>
      </c>
      <c r="M310" s="26">
        <f>IF(A310="","",IF(IFERROR(IF(INDEX(tbl_Onsite[Tax Code],IFERROR(MATCH(A310&amp;"",tbl_Onsite[Job Number],0),MATCH(IFERROR(A310+0,A310),tbl_Onsite[Job Number],0)))="","",INDEX(tbl_Onsite[Tax Code],IFERROR(MATCH(A310&amp;"",tbl_Onsite[Job Number],0),MATCH(IFERROR(A310+0,A310),tbl_Onsite[Job Number],0)))),IFERROR(IF(INDEX(tbl_Production[Tax Code],IFERROR(MATCH(A310&amp;"",tbl_Production[Job Number],0),MATCH(IFERROR(A310+0,A310),tbl_Production[Job Number],0)))="","",INDEX(tbl_Production[Tax Code],IFERROR(MATCH(A310&amp;"",tbl_Production[Job Number],0),MATCH(IFERROR(A310+0,A310),tbl_Production[Job Number],0)))),IFERROR(IF(INDEX(tbl_Consulting[Tax Code],IFERROR(MATCH(A310&amp;"",tbl_Consulting[Job Number],0),MATCH(IFERROR(A310+0,A310),tbl_Consulting[Job Number],0)))="","",INDEX(tbl_Consulting[Tax Code],IFERROR(MATCH(A310&amp;"",tbl_Consulting[Job Number],0),MATCH(IFERROR(A310+0,A310),tbl_Consulting[Job Number],0)))),"")))="","GST 10%",IFERROR(IF(INDEX(tbl_Onsite[Tax Code],IFERROR(MATCH(A310&amp;"",tbl_Onsite[Job Number],0),MATCH(IFERROR(A310+0,A310),tbl_Onsite[Job Number],0)))="","",INDEX(tbl_Onsite[Tax Code],IFERROR(MATCH(A310&amp;"",tbl_Onsite[Job Number],0),MATCH(IFERROR(A310+0,A310),tbl_Onsite[Job Number],0)))),IFERROR(IF(INDEX(tbl_Production[Tax Code],IFERROR(MATCH(A310&amp;"",tbl_Production[Job Number],0),MATCH(IFERROR(A310+0,A310),tbl_Production[Job Number],0)))="","",INDEX(tbl_Production[Tax Code],IFERROR(MATCH(A310&amp;"",tbl_Production[Job Number],0),MATCH(IFERROR(A310+0,A310),tbl_Production[Job Number],0)))),IFERROR(IF(INDEX(tbl_Consulting[Tax Code],IFERROR(MATCH(A310&amp;"",tbl_Consulting[Job Number],0),MATCH(IFERROR(A310+0,A310),tbl_Consulting[Job Number],0)))="","",INDEX(tbl_Consulting[Tax Code],IFERROR(MATCH(A310&amp;"",tbl_Consulting[Job Number],0),MATCH(IFERROR(A310+0,A310),tbl_Consulting[Job Number],0)))),"")))))</f>
        <v/>
      </c>
      <c r="N310" s="26">
        <f>IF(D310="","",IFERROR(INDEX(lst_CCtoGL,MATCH(D310,lst_CCforGL,0)),""))</f>
        <v/>
      </c>
      <c r="O310" s="27">
        <f>IF(E310="","",IF(M310="GST 10%",ROUND(E310*set_GSTRate,2),0))</f>
        <v/>
      </c>
      <c r="P310" s="27">
        <f>IF(E310="","",E310+O310)</f>
        <v/>
      </c>
      <c r="Q310" s="27">
        <f>IF(A310="","",IFERROR(INDEX(tbl_Onsite[Expected Revenue Ex GST],IFERROR(MATCH(A310&amp;"",tbl_Onsite[Job Number],0),MATCH(IFERROR(A310+0,A310),tbl_Onsite[Job Number],0))),IFERROR(INDEX(tbl_Production[Expected Revenue Ex GST],IFERROR(MATCH(A310&amp;"",tbl_Production[Job Number],0),MATCH(IFERROR(A310+0,A310),tbl_Production[Job Number],0))),IFERROR(INDEX(tbl_Consulting[Expected Revenue Ex GST],IFERROR(MATCH(A310&amp;"",tbl_Consulting[Job Number],0),MATCH(IFERROR(A310+0,A310),tbl_Consulting[Job Number],0))),0))))</f>
        <v/>
      </c>
      <c r="R310" s="27">
        <f>IF(A310="","",SUMIFS(tbl_Finance[Ex GST],tbl_Finance[Job Number],A310&amp;""))</f>
        <v/>
      </c>
      <c r="S310" s="27">
        <f>IF(A310="","",Q310-R310)</f>
        <v/>
      </c>
      <c r="T310" s="26">
        <f>IF(A310="","",IF(Q310=0,"No dept value",IF(ROUND(S310,2)=0,"Agrees",IF(S310&gt;0,"Dept higher - to invoice","Xero higher - check dept"))))</f>
        <v/>
      </c>
      <c r="U310" s="22" t="n"/>
      <c r="V310" s="22" t="n"/>
      <c r="W310" s="23" t="n"/>
      <c r="X310" s="23" t="n"/>
      <c r="Y310" s="22" t="n"/>
      <c r="Z310" s="22" t="n"/>
      <c r="AA310" s="26">
        <f>IF(COUNTA(C310,A310,B310,E310)=0,"",IF(C310="","No date - sits outside every month",IF(A310="","No job number",IF(H310="CHECK","Job number is not in the Xero job list",IF(G310="not set up yet","No department has set this job up - nothing can pull through",IF(D310="","No cost centre",IF(AND(U310="Y",B310=""),"Marked posted to Xero but has no invoice number",IF(N310="","Cost centre has no revenue GL on the Lists sheet",IF(T310="Xero higher - check dept","Invoiced more than the department says the job is worth","")))))))))</f>
        <v/>
      </c>
      <c r="AB310" s="28">
        <f>IF(A310="","",COUNTIFS(tbl_Finance[Job Number],A310&amp;"",tbl_Finance[Ex GST],"&lt;&gt;"))</f>
        <v/>
      </c>
      <c r="AC310" s="27">
        <f>IF(A310="","",SUMIFS(tbl_Finance[Ex GST],tbl_Finance[Job Number],A310&amp;""))</f>
        <v/>
      </c>
      <c r="AD310" s="27">
        <f>IF(A310="","",SUMIFS(tbl_Finance[Ex GST],tbl_Finance[Job Number],A310&amp;"",tbl_Finance[Xero Invoice No],"&lt;&gt;"))</f>
        <v/>
      </c>
      <c r="AE310" s="27">
        <f>IF(A310="","",AC310-AD310)</f>
        <v/>
      </c>
      <c r="AF310" s="26">
        <f>IF(A310="","",IFERROR(IF(INDEX(tbl_Onsite[Qwilr Quote],IFERROR(MATCH(A310&amp;"",tbl_Onsite[Job Number],0),MATCH(IFERROR(A310+0,A310),tbl_Onsite[Job Number],0)))="","",INDEX(tbl_Onsite[Qwilr Quote],IFERROR(MATCH(A310&amp;"",tbl_Onsite[Job Number],0),MATCH(IFERROR(A310+0,A310),tbl_Onsite[Job Number],0)))),IFERROR(IF(IF(INDEX(tbl_Production[Current RMS No],IFERROR(MATCH(A310&amp;"",tbl_Production[Job Number],0),MATCH(IFERROR(A310+0,A310),tbl_Production[Job Number],0)))="",INDEX(tbl_Production[Qwilr Quote],IFERROR(MATCH(A310&amp;"",tbl_Production[Job Number],0),MATCH(IFERROR(A310+0,A310),tbl_Production[Job Number],0))),INDEX(tbl_Production[Current RMS No],IFERROR(MATCH(A310&amp;"",tbl_Production[Job Number],0),MATCH(IFERROR(A310+0,A310),tbl_Production[Job Number],0))))="","",IF(INDEX(tbl_Production[Current RMS No],IFERROR(MATCH(A310&amp;"",tbl_Production[Job Number],0),MATCH(IFERROR(A310+0,A310),tbl_Production[Job Number],0)))="",INDEX(tbl_Production[Qwilr Quote],IFERROR(MATCH(A310&amp;"",tbl_Production[Job Number],0),MATCH(IFERROR(A310+0,A310),tbl_Production[Job Number],0))),INDEX(tbl_Production[Current RMS No],IFERROR(MATCH(A310&amp;"",tbl_Production[Job Number],0),MATCH(IFERROR(A310+0,A310),tbl_Production[Job Number],0))))),IFERROR(IF(INDEX(tbl_Consulting[Qwilr Quote],IFERROR(MATCH(A310&amp;"",tbl_Consulting[Job Number],0),MATCH(IFERROR(A310+0,A310),tbl_Consulting[Job Number],0)))="","",INDEX(tbl_Consulting[Qwilr Quote],IFERROR(MATCH(A310&amp;"",tbl_Consulting[Job Number],0),MATCH(IFERROR(A310+0,A310),tbl_Consulting[Job Number],0)))),""))))</f>
        <v/>
      </c>
      <c r="AG310" s="26">
        <f>IF(AF310="","",IF(AND(LEFT(AF310,4)&lt;&gt;"http",IF(G310="Production",set_RMSBase,set_QwilrBase)=""),"",HYPERLINK(IF(LEFT(AF310,4)="http",AF310,IF(G310="Production",set_RMSBase,set_QwilrBase)&amp;AF310),"Open")))</f>
        <v/>
      </c>
      <c r="AH310" s="27">
        <f>IF(A310="","",IFERROR(INDEX(tbl_Production[Total Expense],IFERROR(MATCH(A310&amp;"",tbl_Production[Job Number],0),MATCH(IFERROR(A310+0,A310),tbl_Production[Job Number],0))),IFERROR(INDEX(tbl_Consulting[Total Expense],IFERROR(MATCH(A310&amp;"",tbl_Consulting[Job Number],0),MATCH(IFERROR(A310+0,A310),tbl_Consulting[Job Number],0))),0)))</f>
        <v/>
      </c>
      <c r="AI310" s="27">
        <f>IF(A310="","",AC310-N(AH310))</f>
        <v/>
      </c>
      <c r="AJ310" s="29">
        <f>IFERROR(AI310/AC310,"")</f>
        <v/>
      </c>
      <c r="AK310" s="26">
        <f>IF(A310="","",IFERROR(IF(INDEX(tbl_Onsite[Notes],IFERROR(MATCH(A310&amp;"",tbl_Onsite[Job Number],0),MATCH(IFERROR(A310+0,A310),tbl_Onsite[Job Number],0)))="","",INDEX(tbl_Onsite[Notes],IFERROR(MATCH(A310&amp;"",tbl_Onsite[Job Number],0),MATCH(IFERROR(A310+0,A310),tbl_Onsite[Job Number],0)))),IFERROR(IF(INDEX(tbl_Production[Notes],IFERROR(MATCH(A310&amp;"",tbl_Production[Job Number],0),MATCH(IFERROR(A310+0,A310),tbl_Production[Job Number],0)))="","",INDEX(tbl_Production[Notes],IFERROR(MATCH(A310&amp;"",tbl_Production[Job Number],0),MATCH(IFERROR(A310+0,A310),tbl_Production[Job Number],0)))),IFERROR(IF(INDEX(tbl_Consulting[Notes],IFERROR(MATCH(A310&amp;"",tbl_Consulting[Job Number],0),MATCH(IFERROR(A310+0,A310),tbl_Consulting[Job Number],0)))="","",INDEX(tbl_Consulting[Notes],IFERROR(MATCH(A310&amp;"",tbl_Consulting[Job Number],0),MATCH(IFERROR(A310+0,A310),tbl_Consulting[Job Number],0)))),""))))</f>
        <v/>
      </c>
    </row>
    <row r="311" ht="15" customHeight="1">
      <c r="A311" s="22" t="n"/>
      <c r="B311" s="22" t="n"/>
      <c r="C311" s="23" t="n"/>
      <c r="D311" s="22" t="n"/>
      <c r="E311" s="24" t="n"/>
      <c r="F311" s="25">
        <f>IF(C311="","",EOMONTH(C311,0))</f>
        <v/>
      </c>
      <c r="G311" s="26">
        <f>IF(A311="","",IF(COUNTIF(tbl_Onsite[Job Number],A311&amp;"")&gt;0,"Onsite",IF(COUNTIF(tbl_Production[Job Number],A311&amp;"")&gt;0,"Production",IF(COUNTIF(tbl_Consulting[Job Number],A311&amp;"")&gt;0,"Consulting","not set up yet"))))</f>
        <v/>
      </c>
      <c r="H311" s="26">
        <f>IF(A311="","",IF(COUNTIF(lst_Jobs,A311&amp;"")&gt;0,"OK","CHECK"))</f>
        <v/>
      </c>
      <c r="I311" s="26">
        <f>IF(A311="","",IFERROR(INDEX(lst_JobName,MATCH(A311&amp;"",lst_Jobs,0)),""))</f>
        <v/>
      </c>
      <c r="J311" s="26">
        <f>IF(A311="","",IFERROR(IF(INDEX(tbl_Onsite[Client],IFERROR(MATCH(A311&amp;"",tbl_Onsite[Job Number],0),MATCH(IFERROR(A311+0,A311),tbl_Onsite[Job Number],0)))="","",INDEX(tbl_Onsite[Client],IFERROR(MATCH(A311&amp;"",tbl_Onsite[Job Number],0),MATCH(IFERROR(A311+0,A311),tbl_Onsite[Job Number],0)))),IFERROR(IF(INDEX(tbl_Production[Client],IFERROR(MATCH(A311&amp;"",tbl_Production[Job Number],0),MATCH(IFERROR(A311+0,A311),tbl_Production[Job Number],0)))="","",INDEX(tbl_Production[Client],IFERROR(MATCH(A311&amp;"",tbl_Production[Job Number],0),MATCH(IFERROR(A311+0,A311),tbl_Production[Job Number],0)))),IFERROR(IF(INDEX(tbl_Consulting[Client],IFERROR(MATCH(A311&amp;"",tbl_Consulting[Job Number],0),MATCH(IFERROR(A311+0,A311),tbl_Consulting[Job Number],0)))="","",INDEX(tbl_Consulting[Client],IFERROR(MATCH(A311&amp;"",tbl_Consulting[Job Number],0),MATCH(IFERROR(A311+0,A311),tbl_Consulting[Job Number],0)))),""))))</f>
        <v/>
      </c>
      <c r="K311" s="26">
        <f>IF(A311="","",IFERROR(IF(INDEX(tbl_Onsite[Job Description],IFERROR(MATCH(A311&amp;"",tbl_Onsite[Job Number],0),MATCH(IFERROR(A311+0,A311),tbl_Onsite[Job Number],0)))="","",INDEX(tbl_Onsite[Job Description],IFERROR(MATCH(A311&amp;"",tbl_Onsite[Job Number],0),MATCH(IFERROR(A311+0,A311),tbl_Onsite[Job Number],0)))),IFERROR(IF(INDEX(tbl_Production[Job Description],IFERROR(MATCH(A311&amp;"",tbl_Production[Job Number],0),MATCH(IFERROR(A311+0,A311),tbl_Production[Job Number],0)))="","",INDEX(tbl_Production[Job Description],IFERROR(MATCH(A311&amp;"",tbl_Production[Job Number],0),MATCH(IFERROR(A311+0,A311),tbl_Production[Job Number],0)))),IFERROR(IF(INDEX(tbl_Consulting[Job Description],IFERROR(MATCH(A311&amp;"",tbl_Consulting[Job Number],0),MATCH(IFERROR(A311+0,A311),tbl_Consulting[Job Number],0)))="","",INDEX(tbl_Consulting[Job Description],IFERROR(MATCH(A311&amp;"",tbl_Consulting[Job Number],0),MATCH(IFERROR(A311+0,A311),tbl_Consulting[Job Number],0)))),""))))</f>
        <v/>
      </c>
      <c r="L311" s="26">
        <f>IF(A311="","",IFERROR(IF(INDEX(tbl_Onsite[Invoice Type],IFERROR(MATCH(A311&amp;"",tbl_Onsite[Job Number],0),MATCH(IFERROR(A311+0,A311),tbl_Onsite[Job Number],0)))="","",INDEX(tbl_Onsite[Invoice Type],IFERROR(MATCH(A311&amp;"",tbl_Onsite[Job Number],0),MATCH(IFERROR(A311+0,A311),tbl_Onsite[Job Number],0)))),IFERROR(IF(INDEX(tbl_Production[Invoice Type],IFERROR(MATCH(A311&amp;"",tbl_Production[Job Number],0),MATCH(IFERROR(A311+0,A311),tbl_Production[Job Number],0)))="","",INDEX(tbl_Production[Invoice Type],IFERROR(MATCH(A311&amp;"",tbl_Production[Job Number],0),MATCH(IFERROR(A311+0,A311),tbl_Production[Job Number],0)))),IFERROR(IF(INDEX(tbl_Consulting[Invoice Type],IFERROR(MATCH(A311&amp;"",tbl_Consulting[Job Number],0),MATCH(IFERROR(A311+0,A311),tbl_Consulting[Job Number],0)))="","",INDEX(tbl_Consulting[Invoice Type],IFERROR(MATCH(A311&amp;"",tbl_Consulting[Job Number],0),MATCH(IFERROR(A311+0,A311),tbl_Consulting[Job Number],0)))),""))))</f>
        <v/>
      </c>
      <c r="M311" s="26">
        <f>IF(A311="","",IF(IFERROR(IF(INDEX(tbl_Onsite[Tax Code],IFERROR(MATCH(A311&amp;"",tbl_Onsite[Job Number],0),MATCH(IFERROR(A311+0,A311),tbl_Onsite[Job Number],0)))="","",INDEX(tbl_Onsite[Tax Code],IFERROR(MATCH(A311&amp;"",tbl_Onsite[Job Number],0),MATCH(IFERROR(A311+0,A311),tbl_Onsite[Job Number],0)))),IFERROR(IF(INDEX(tbl_Production[Tax Code],IFERROR(MATCH(A311&amp;"",tbl_Production[Job Number],0),MATCH(IFERROR(A311+0,A311),tbl_Production[Job Number],0)))="","",INDEX(tbl_Production[Tax Code],IFERROR(MATCH(A311&amp;"",tbl_Production[Job Number],0),MATCH(IFERROR(A311+0,A311),tbl_Production[Job Number],0)))),IFERROR(IF(INDEX(tbl_Consulting[Tax Code],IFERROR(MATCH(A311&amp;"",tbl_Consulting[Job Number],0),MATCH(IFERROR(A311+0,A311),tbl_Consulting[Job Number],0)))="","",INDEX(tbl_Consulting[Tax Code],IFERROR(MATCH(A311&amp;"",tbl_Consulting[Job Number],0),MATCH(IFERROR(A311+0,A311),tbl_Consulting[Job Number],0)))),"")))="","GST 10%",IFERROR(IF(INDEX(tbl_Onsite[Tax Code],IFERROR(MATCH(A311&amp;"",tbl_Onsite[Job Number],0),MATCH(IFERROR(A311+0,A311),tbl_Onsite[Job Number],0)))="","",INDEX(tbl_Onsite[Tax Code],IFERROR(MATCH(A311&amp;"",tbl_Onsite[Job Number],0),MATCH(IFERROR(A311+0,A311),tbl_Onsite[Job Number],0)))),IFERROR(IF(INDEX(tbl_Production[Tax Code],IFERROR(MATCH(A311&amp;"",tbl_Production[Job Number],0),MATCH(IFERROR(A311+0,A311),tbl_Production[Job Number],0)))="","",INDEX(tbl_Production[Tax Code],IFERROR(MATCH(A311&amp;"",tbl_Production[Job Number],0),MATCH(IFERROR(A311+0,A311),tbl_Production[Job Number],0)))),IFERROR(IF(INDEX(tbl_Consulting[Tax Code],IFERROR(MATCH(A311&amp;"",tbl_Consulting[Job Number],0),MATCH(IFERROR(A311+0,A311),tbl_Consulting[Job Number],0)))="","",INDEX(tbl_Consulting[Tax Code],IFERROR(MATCH(A311&amp;"",tbl_Consulting[Job Number],0),MATCH(IFERROR(A311+0,A311),tbl_Consulting[Job Number],0)))),"")))))</f>
        <v/>
      </c>
      <c r="N311" s="26">
        <f>IF(D311="","",IFERROR(INDEX(lst_CCtoGL,MATCH(D311,lst_CCforGL,0)),""))</f>
        <v/>
      </c>
      <c r="O311" s="27">
        <f>IF(E311="","",IF(M311="GST 10%",ROUND(E311*set_GSTRate,2),0))</f>
        <v/>
      </c>
      <c r="P311" s="27">
        <f>IF(E311="","",E311+O311)</f>
        <v/>
      </c>
      <c r="Q311" s="27">
        <f>IF(A311="","",IFERROR(INDEX(tbl_Onsite[Expected Revenue Ex GST],IFERROR(MATCH(A311&amp;"",tbl_Onsite[Job Number],0),MATCH(IFERROR(A311+0,A311),tbl_Onsite[Job Number],0))),IFERROR(INDEX(tbl_Production[Expected Revenue Ex GST],IFERROR(MATCH(A311&amp;"",tbl_Production[Job Number],0),MATCH(IFERROR(A311+0,A311),tbl_Production[Job Number],0))),IFERROR(INDEX(tbl_Consulting[Expected Revenue Ex GST],IFERROR(MATCH(A311&amp;"",tbl_Consulting[Job Number],0),MATCH(IFERROR(A311+0,A311),tbl_Consulting[Job Number],0))),0))))</f>
        <v/>
      </c>
      <c r="R311" s="27">
        <f>IF(A311="","",SUMIFS(tbl_Finance[Ex GST],tbl_Finance[Job Number],A311&amp;""))</f>
        <v/>
      </c>
      <c r="S311" s="27">
        <f>IF(A311="","",Q311-R311)</f>
        <v/>
      </c>
      <c r="T311" s="26">
        <f>IF(A311="","",IF(Q311=0,"No dept value",IF(ROUND(S311,2)=0,"Agrees",IF(S311&gt;0,"Dept higher - to invoice","Xero higher - check dept"))))</f>
        <v/>
      </c>
      <c r="U311" s="22" t="n"/>
      <c r="V311" s="22" t="n"/>
      <c r="W311" s="23" t="n"/>
      <c r="X311" s="23" t="n"/>
      <c r="Y311" s="22" t="n"/>
      <c r="Z311" s="22" t="n"/>
      <c r="AA311" s="26">
        <f>IF(COUNTA(C311,A311,B311,E311)=0,"",IF(C311="","No date - sits outside every month",IF(A311="","No job number",IF(H311="CHECK","Job number is not in the Xero job list",IF(G311="not set up yet","No department has set this job up - nothing can pull through",IF(D311="","No cost centre",IF(AND(U311="Y",B311=""),"Marked posted to Xero but has no invoice number",IF(N311="","Cost centre has no revenue GL on the Lists sheet",IF(T311="Xero higher - check dept","Invoiced more than the department says the job is worth","")))))))))</f>
        <v/>
      </c>
      <c r="AB311" s="28">
        <f>IF(A311="","",COUNTIFS(tbl_Finance[Job Number],A311&amp;"",tbl_Finance[Ex GST],"&lt;&gt;"))</f>
        <v/>
      </c>
      <c r="AC311" s="27">
        <f>IF(A311="","",SUMIFS(tbl_Finance[Ex GST],tbl_Finance[Job Number],A311&amp;""))</f>
        <v/>
      </c>
      <c r="AD311" s="27">
        <f>IF(A311="","",SUMIFS(tbl_Finance[Ex GST],tbl_Finance[Job Number],A311&amp;"",tbl_Finance[Xero Invoice No],"&lt;&gt;"))</f>
        <v/>
      </c>
      <c r="AE311" s="27">
        <f>IF(A311="","",AC311-AD311)</f>
        <v/>
      </c>
      <c r="AF311" s="26">
        <f>IF(A311="","",IFERROR(IF(INDEX(tbl_Onsite[Qwilr Quote],IFERROR(MATCH(A311&amp;"",tbl_Onsite[Job Number],0),MATCH(IFERROR(A311+0,A311),tbl_Onsite[Job Number],0)))="","",INDEX(tbl_Onsite[Qwilr Quote],IFERROR(MATCH(A311&amp;"",tbl_Onsite[Job Number],0),MATCH(IFERROR(A311+0,A311),tbl_Onsite[Job Number],0)))),IFERROR(IF(IF(INDEX(tbl_Production[Current RMS No],IFERROR(MATCH(A311&amp;"",tbl_Production[Job Number],0),MATCH(IFERROR(A311+0,A311),tbl_Production[Job Number],0)))="",INDEX(tbl_Production[Qwilr Quote],IFERROR(MATCH(A311&amp;"",tbl_Production[Job Number],0),MATCH(IFERROR(A311+0,A311),tbl_Production[Job Number],0))),INDEX(tbl_Production[Current RMS No],IFERROR(MATCH(A311&amp;"",tbl_Production[Job Number],0),MATCH(IFERROR(A311+0,A311),tbl_Production[Job Number],0))))="","",IF(INDEX(tbl_Production[Current RMS No],IFERROR(MATCH(A311&amp;"",tbl_Production[Job Number],0),MATCH(IFERROR(A311+0,A311),tbl_Production[Job Number],0)))="",INDEX(tbl_Production[Qwilr Quote],IFERROR(MATCH(A311&amp;"",tbl_Production[Job Number],0),MATCH(IFERROR(A311+0,A311),tbl_Production[Job Number],0))),INDEX(tbl_Production[Current RMS No],IFERROR(MATCH(A311&amp;"",tbl_Production[Job Number],0),MATCH(IFERROR(A311+0,A311),tbl_Production[Job Number],0))))),IFERROR(IF(INDEX(tbl_Consulting[Qwilr Quote],IFERROR(MATCH(A311&amp;"",tbl_Consulting[Job Number],0),MATCH(IFERROR(A311+0,A311),tbl_Consulting[Job Number],0)))="","",INDEX(tbl_Consulting[Qwilr Quote],IFERROR(MATCH(A311&amp;"",tbl_Consulting[Job Number],0),MATCH(IFERROR(A311+0,A311),tbl_Consulting[Job Number],0)))),""))))</f>
        <v/>
      </c>
      <c r="AG311" s="26">
        <f>IF(AF311="","",IF(AND(LEFT(AF311,4)&lt;&gt;"http",IF(G311="Production",set_RMSBase,set_QwilrBase)=""),"",HYPERLINK(IF(LEFT(AF311,4)="http",AF311,IF(G311="Production",set_RMSBase,set_QwilrBase)&amp;AF311),"Open")))</f>
        <v/>
      </c>
      <c r="AH311" s="27">
        <f>IF(A311="","",IFERROR(INDEX(tbl_Production[Total Expense],IFERROR(MATCH(A311&amp;"",tbl_Production[Job Number],0),MATCH(IFERROR(A311+0,A311),tbl_Production[Job Number],0))),IFERROR(INDEX(tbl_Consulting[Total Expense],IFERROR(MATCH(A311&amp;"",tbl_Consulting[Job Number],0),MATCH(IFERROR(A311+0,A311),tbl_Consulting[Job Number],0))),0)))</f>
        <v/>
      </c>
      <c r="AI311" s="27">
        <f>IF(A311="","",AC311-N(AH311))</f>
        <v/>
      </c>
      <c r="AJ311" s="29">
        <f>IFERROR(AI311/AC311,"")</f>
        <v/>
      </c>
      <c r="AK311" s="26">
        <f>IF(A311="","",IFERROR(IF(INDEX(tbl_Onsite[Notes],IFERROR(MATCH(A311&amp;"",tbl_Onsite[Job Number],0),MATCH(IFERROR(A311+0,A311),tbl_Onsite[Job Number],0)))="","",INDEX(tbl_Onsite[Notes],IFERROR(MATCH(A311&amp;"",tbl_Onsite[Job Number],0),MATCH(IFERROR(A311+0,A311),tbl_Onsite[Job Number],0)))),IFERROR(IF(INDEX(tbl_Production[Notes],IFERROR(MATCH(A311&amp;"",tbl_Production[Job Number],0),MATCH(IFERROR(A311+0,A311),tbl_Production[Job Number],0)))="","",INDEX(tbl_Production[Notes],IFERROR(MATCH(A311&amp;"",tbl_Production[Job Number],0),MATCH(IFERROR(A311+0,A311),tbl_Production[Job Number],0)))),IFERROR(IF(INDEX(tbl_Consulting[Notes],IFERROR(MATCH(A311&amp;"",tbl_Consulting[Job Number],0),MATCH(IFERROR(A311+0,A311),tbl_Consulting[Job Number],0)))="","",INDEX(tbl_Consulting[Notes],IFERROR(MATCH(A311&amp;"",tbl_Consulting[Job Number],0),MATCH(IFERROR(A311+0,A311),tbl_Consulting[Job Number],0)))),""))))</f>
        <v/>
      </c>
    </row>
    <row r="312" ht="15" customHeight="1">
      <c r="A312" s="22" t="n"/>
      <c r="B312" s="22" t="n"/>
      <c r="C312" s="23" t="n"/>
      <c r="D312" s="22" t="n"/>
      <c r="E312" s="24" t="n"/>
      <c r="F312" s="25">
        <f>IF(C312="","",EOMONTH(C312,0))</f>
        <v/>
      </c>
      <c r="G312" s="26">
        <f>IF(A312="","",IF(COUNTIF(tbl_Onsite[Job Number],A312&amp;"")&gt;0,"Onsite",IF(COUNTIF(tbl_Production[Job Number],A312&amp;"")&gt;0,"Production",IF(COUNTIF(tbl_Consulting[Job Number],A312&amp;"")&gt;0,"Consulting","not set up yet"))))</f>
        <v/>
      </c>
      <c r="H312" s="26">
        <f>IF(A312="","",IF(COUNTIF(lst_Jobs,A312&amp;"")&gt;0,"OK","CHECK"))</f>
        <v/>
      </c>
      <c r="I312" s="26">
        <f>IF(A312="","",IFERROR(INDEX(lst_JobName,MATCH(A312&amp;"",lst_Jobs,0)),""))</f>
        <v/>
      </c>
      <c r="J312" s="26">
        <f>IF(A312="","",IFERROR(IF(INDEX(tbl_Onsite[Client],IFERROR(MATCH(A312&amp;"",tbl_Onsite[Job Number],0),MATCH(IFERROR(A312+0,A312),tbl_Onsite[Job Number],0)))="","",INDEX(tbl_Onsite[Client],IFERROR(MATCH(A312&amp;"",tbl_Onsite[Job Number],0),MATCH(IFERROR(A312+0,A312),tbl_Onsite[Job Number],0)))),IFERROR(IF(INDEX(tbl_Production[Client],IFERROR(MATCH(A312&amp;"",tbl_Production[Job Number],0),MATCH(IFERROR(A312+0,A312),tbl_Production[Job Number],0)))="","",INDEX(tbl_Production[Client],IFERROR(MATCH(A312&amp;"",tbl_Production[Job Number],0),MATCH(IFERROR(A312+0,A312),tbl_Production[Job Number],0)))),IFERROR(IF(INDEX(tbl_Consulting[Client],IFERROR(MATCH(A312&amp;"",tbl_Consulting[Job Number],0),MATCH(IFERROR(A312+0,A312),tbl_Consulting[Job Number],0)))="","",INDEX(tbl_Consulting[Client],IFERROR(MATCH(A312&amp;"",tbl_Consulting[Job Number],0),MATCH(IFERROR(A312+0,A312),tbl_Consulting[Job Number],0)))),""))))</f>
        <v/>
      </c>
      <c r="K312" s="26">
        <f>IF(A312="","",IFERROR(IF(INDEX(tbl_Onsite[Job Description],IFERROR(MATCH(A312&amp;"",tbl_Onsite[Job Number],0),MATCH(IFERROR(A312+0,A312),tbl_Onsite[Job Number],0)))="","",INDEX(tbl_Onsite[Job Description],IFERROR(MATCH(A312&amp;"",tbl_Onsite[Job Number],0),MATCH(IFERROR(A312+0,A312),tbl_Onsite[Job Number],0)))),IFERROR(IF(INDEX(tbl_Production[Job Description],IFERROR(MATCH(A312&amp;"",tbl_Production[Job Number],0),MATCH(IFERROR(A312+0,A312),tbl_Production[Job Number],0)))="","",INDEX(tbl_Production[Job Description],IFERROR(MATCH(A312&amp;"",tbl_Production[Job Number],0),MATCH(IFERROR(A312+0,A312),tbl_Production[Job Number],0)))),IFERROR(IF(INDEX(tbl_Consulting[Job Description],IFERROR(MATCH(A312&amp;"",tbl_Consulting[Job Number],0),MATCH(IFERROR(A312+0,A312),tbl_Consulting[Job Number],0)))="","",INDEX(tbl_Consulting[Job Description],IFERROR(MATCH(A312&amp;"",tbl_Consulting[Job Number],0),MATCH(IFERROR(A312+0,A312),tbl_Consulting[Job Number],0)))),""))))</f>
        <v/>
      </c>
      <c r="L312" s="26">
        <f>IF(A312="","",IFERROR(IF(INDEX(tbl_Onsite[Invoice Type],IFERROR(MATCH(A312&amp;"",tbl_Onsite[Job Number],0),MATCH(IFERROR(A312+0,A312),tbl_Onsite[Job Number],0)))="","",INDEX(tbl_Onsite[Invoice Type],IFERROR(MATCH(A312&amp;"",tbl_Onsite[Job Number],0),MATCH(IFERROR(A312+0,A312),tbl_Onsite[Job Number],0)))),IFERROR(IF(INDEX(tbl_Production[Invoice Type],IFERROR(MATCH(A312&amp;"",tbl_Production[Job Number],0),MATCH(IFERROR(A312+0,A312),tbl_Production[Job Number],0)))="","",INDEX(tbl_Production[Invoice Type],IFERROR(MATCH(A312&amp;"",tbl_Production[Job Number],0),MATCH(IFERROR(A312+0,A312),tbl_Production[Job Number],0)))),IFERROR(IF(INDEX(tbl_Consulting[Invoice Type],IFERROR(MATCH(A312&amp;"",tbl_Consulting[Job Number],0),MATCH(IFERROR(A312+0,A312),tbl_Consulting[Job Number],0)))="","",INDEX(tbl_Consulting[Invoice Type],IFERROR(MATCH(A312&amp;"",tbl_Consulting[Job Number],0),MATCH(IFERROR(A312+0,A312),tbl_Consulting[Job Number],0)))),""))))</f>
        <v/>
      </c>
      <c r="M312" s="26">
        <f>IF(A312="","",IF(IFERROR(IF(INDEX(tbl_Onsite[Tax Code],IFERROR(MATCH(A312&amp;"",tbl_Onsite[Job Number],0),MATCH(IFERROR(A312+0,A312),tbl_Onsite[Job Number],0)))="","",INDEX(tbl_Onsite[Tax Code],IFERROR(MATCH(A312&amp;"",tbl_Onsite[Job Number],0),MATCH(IFERROR(A312+0,A312),tbl_Onsite[Job Number],0)))),IFERROR(IF(INDEX(tbl_Production[Tax Code],IFERROR(MATCH(A312&amp;"",tbl_Production[Job Number],0),MATCH(IFERROR(A312+0,A312),tbl_Production[Job Number],0)))="","",INDEX(tbl_Production[Tax Code],IFERROR(MATCH(A312&amp;"",tbl_Production[Job Number],0),MATCH(IFERROR(A312+0,A312),tbl_Production[Job Number],0)))),IFERROR(IF(INDEX(tbl_Consulting[Tax Code],IFERROR(MATCH(A312&amp;"",tbl_Consulting[Job Number],0),MATCH(IFERROR(A312+0,A312),tbl_Consulting[Job Number],0)))="","",INDEX(tbl_Consulting[Tax Code],IFERROR(MATCH(A312&amp;"",tbl_Consulting[Job Number],0),MATCH(IFERROR(A312+0,A312),tbl_Consulting[Job Number],0)))),"")))="","GST 10%",IFERROR(IF(INDEX(tbl_Onsite[Tax Code],IFERROR(MATCH(A312&amp;"",tbl_Onsite[Job Number],0),MATCH(IFERROR(A312+0,A312),tbl_Onsite[Job Number],0)))="","",INDEX(tbl_Onsite[Tax Code],IFERROR(MATCH(A312&amp;"",tbl_Onsite[Job Number],0),MATCH(IFERROR(A312+0,A312),tbl_Onsite[Job Number],0)))),IFERROR(IF(INDEX(tbl_Production[Tax Code],IFERROR(MATCH(A312&amp;"",tbl_Production[Job Number],0),MATCH(IFERROR(A312+0,A312),tbl_Production[Job Number],0)))="","",INDEX(tbl_Production[Tax Code],IFERROR(MATCH(A312&amp;"",tbl_Production[Job Number],0),MATCH(IFERROR(A312+0,A312),tbl_Production[Job Number],0)))),IFERROR(IF(INDEX(tbl_Consulting[Tax Code],IFERROR(MATCH(A312&amp;"",tbl_Consulting[Job Number],0),MATCH(IFERROR(A312+0,A312),tbl_Consulting[Job Number],0)))="","",INDEX(tbl_Consulting[Tax Code],IFERROR(MATCH(A312&amp;"",tbl_Consulting[Job Number],0),MATCH(IFERROR(A312+0,A312),tbl_Consulting[Job Number],0)))),"")))))</f>
        <v/>
      </c>
      <c r="N312" s="26">
        <f>IF(D312="","",IFERROR(INDEX(lst_CCtoGL,MATCH(D312,lst_CCforGL,0)),""))</f>
        <v/>
      </c>
      <c r="O312" s="27">
        <f>IF(E312="","",IF(M312="GST 10%",ROUND(E312*set_GSTRate,2),0))</f>
        <v/>
      </c>
      <c r="P312" s="27">
        <f>IF(E312="","",E312+O312)</f>
        <v/>
      </c>
      <c r="Q312" s="27">
        <f>IF(A312="","",IFERROR(INDEX(tbl_Onsite[Expected Revenue Ex GST],IFERROR(MATCH(A312&amp;"",tbl_Onsite[Job Number],0),MATCH(IFERROR(A312+0,A312),tbl_Onsite[Job Number],0))),IFERROR(INDEX(tbl_Production[Expected Revenue Ex GST],IFERROR(MATCH(A312&amp;"",tbl_Production[Job Number],0),MATCH(IFERROR(A312+0,A312),tbl_Production[Job Number],0))),IFERROR(INDEX(tbl_Consulting[Expected Revenue Ex GST],IFERROR(MATCH(A312&amp;"",tbl_Consulting[Job Number],0),MATCH(IFERROR(A312+0,A312),tbl_Consulting[Job Number],0))),0))))</f>
        <v/>
      </c>
      <c r="R312" s="27">
        <f>IF(A312="","",SUMIFS(tbl_Finance[Ex GST],tbl_Finance[Job Number],A312&amp;""))</f>
        <v/>
      </c>
      <c r="S312" s="27">
        <f>IF(A312="","",Q312-R312)</f>
        <v/>
      </c>
      <c r="T312" s="26">
        <f>IF(A312="","",IF(Q312=0,"No dept value",IF(ROUND(S312,2)=0,"Agrees",IF(S312&gt;0,"Dept higher - to invoice","Xero higher - check dept"))))</f>
        <v/>
      </c>
      <c r="U312" s="22" t="n"/>
      <c r="V312" s="22" t="n"/>
      <c r="W312" s="23" t="n"/>
      <c r="X312" s="23" t="n"/>
      <c r="Y312" s="22" t="n"/>
      <c r="Z312" s="22" t="n"/>
      <c r="AA312" s="26">
        <f>IF(COUNTA(C312,A312,B312,E312)=0,"",IF(C312="","No date - sits outside every month",IF(A312="","No job number",IF(H312="CHECK","Job number is not in the Xero job list",IF(G312="not set up yet","No department has set this job up - nothing can pull through",IF(D312="","No cost centre",IF(AND(U312="Y",B312=""),"Marked posted to Xero but has no invoice number",IF(N312="","Cost centre has no revenue GL on the Lists sheet",IF(T312="Xero higher - check dept","Invoiced more than the department says the job is worth","")))))))))</f>
        <v/>
      </c>
      <c r="AB312" s="28">
        <f>IF(A312="","",COUNTIFS(tbl_Finance[Job Number],A312&amp;"",tbl_Finance[Ex GST],"&lt;&gt;"))</f>
        <v/>
      </c>
      <c r="AC312" s="27">
        <f>IF(A312="","",SUMIFS(tbl_Finance[Ex GST],tbl_Finance[Job Number],A312&amp;""))</f>
        <v/>
      </c>
      <c r="AD312" s="27">
        <f>IF(A312="","",SUMIFS(tbl_Finance[Ex GST],tbl_Finance[Job Number],A312&amp;"",tbl_Finance[Xero Invoice No],"&lt;&gt;"))</f>
        <v/>
      </c>
      <c r="AE312" s="27">
        <f>IF(A312="","",AC312-AD312)</f>
        <v/>
      </c>
      <c r="AF312" s="26">
        <f>IF(A312="","",IFERROR(IF(INDEX(tbl_Onsite[Qwilr Quote],IFERROR(MATCH(A312&amp;"",tbl_Onsite[Job Number],0),MATCH(IFERROR(A312+0,A312),tbl_Onsite[Job Number],0)))="","",INDEX(tbl_Onsite[Qwilr Quote],IFERROR(MATCH(A312&amp;"",tbl_Onsite[Job Number],0),MATCH(IFERROR(A312+0,A312),tbl_Onsite[Job Number],0)))),IFERROR(IF(IF(INDEX(tbl_Production[Current RMS No],IFERROR(MATCH(A312&amp;"",tbl_Production[Job Number],0),MATCH(IFERROR(A312+0,A312),tbl_Production[Job Number],0)))="",INDEX(tbl_Production[Qwilr Quote],IFERROR(MATCH(A312&amp;"",tbl_Production[Job Number],0),MATCH(IFERROR(A312+0,A312),tbl_Production[Job Number],0))),INDEX(tbl_Production[Current RMS No],IFERROR(MATCH(A312&amp;"",tbl_Production[Job Number],0),MATCH(IFERROR(A312+0,A312),tbl_Production[Job Number],0))))="","",IF(INDEX(tbl_Production[Current RMS No],IFERROR(MATCH(A312&amp;"",tbl_Production[Job Number],0),MATCH(IFERROR(A312+0,A312),tbl_Production[Job Number],0)))="",INDEX(tbl_Production[Qwilr Quote],IFERROR(MATCH(A312&amp;"",tbl_Production[Job Number],0),MATCH(IFERROR(A312+0,A312),tbl_Production[Job Number],0))),INDEX(tbl_Production[Current RMS No],IFERROR(MATCH(A312&amp;"",tbl_Production[Job Number],0),MATCH(IFERROR(A312+0,A312),tbl_Production[Job Number],0))))),IFERROR(IF(INDEX(tbl_Consulting[Qwilr Quote],IFERROR(MATCH(A312&amp;"",tbl_Consulting[Job Number],0),MATCH(IFERROR(A312+0,A312),tbl_Consulting[Job Number],0)))="","",INDEX(tbl_Consulting[Qwilr Quote],IFERROR(MATCH(A312&amp;"",tbl_Consulting[Job Number],0),MATCH(IFERROR(A312+0,A312),tbl_Consulting[Job Number],0)))),""))))</f>
        <v/>
      </c>
      <c r="AG312" s="26">
        <f>IF(AF312="","",IF(AND(LEFT(AF312,4)&lt;&gt;"http",IF(G312="Production",set_RMSBase,set_QwilrBase)=""),"",HYPERLINK(IF(LEFT(AF312,4)="http",AF312,IF(G312="Production",set_RMSBase,set_QwilrBase)&amp;AF312),"Open")))</f>
        <v/>
      </c>
      <c r="AH312" s="27">
        <f>IF(A312="","",IFERROR(INDEX(tbl_Production[Total Expense],IFERROR(MATCH(A312&amp;"",tbl_Production[Job Number],0),MATCH(IFERROR(A312+0,A312),tbl_Production[Job Number],0))),IFERROR(INDEX(tbl_Consulting[Total Expense],IFERROR(MATCH(A312&amp;"",tbl_Consulting[Job Number],0),MATCH(IFERROR(A312+0,A312),tbl_Consulting[Job Number],0))),0)))</f>
        <v/>
      </c>
      <c r="AI312" s="27">
        <f>IF(A312="","",AC312-N(AH312))</f>
        <v/>
      </c>
      <c r="AJ312" s="29">
        <f>IFERROR(AI312/AC312,"")</f>
        <v/>
      </c>
      <c r="AK312" s="26">
        <f>IF(A312="","",IFERROR(IF(INDEX(tbl_Onsite[Notes],IFERROR(MATCH(A312&amp;"",tbl_Onsite[Job Number],0),MATCH(IFERROR(A312+0,A312),tbl_Onsite[Job Number],0)))="","",INDEX(tbl_Onsite[Notes],IFERROR(MATCH(A312&amp;"",tbl_Onsite[Job Number],0),MATCH(IFERROR(A312+0,A312),tbl_Onsite[Job Number],0)))),IFERROR(IF(INDEX(tbl_Production[Notes],IFERROR(MATCH(A312&amp;"",tbl_Production[Job Number],0),MATCH(IFERROR(A312+0,A312),tbl_Production[Job Number],0)))="","",INDEX(tbl_Production[Notes],IFERROR(MATCH(A312&amp;"",tbl_Production[Job Number],0),MATCH(IFERROR(A312+0,A312),tbl_Production[Job Number],0)))),IFERROR(IF(INDEX(tbl_Consulting[Notes],IFERROR(MATCH(A312&amp;"",tbl_Consulting[Job Number],0),MATCH(IFERROR(A312+0,A312),tbl_Consulting[Job Number],0)))="","",INDEX(tbl_Consulting[Notes],IFERROR(MATCH(A312&amp;"",tbl_Consulting[Job Number],0),MATCH(IFERROR(A312+0,A312),tbl_Consulting[Job Number],0)))),""))))</f>
        <v/>
      </c>
    </row>
    <row r="313" ht="15" customHeight="1">
      <c r="A313" s="22" t="n"/>
      <c r="B313" s="22" t="n"/>
      <c r="C313" s="23" t="n"/>
      <c r="D313" s="22" t="n"/>
      <c r="E313" s="24" t="n"/>
      <c r="F313" s="25">
        <f>IF(C313="","",EOMONTH(C313,0))</f>
        <v/>
      </c>
      <c r="G313" s="26">
        <f>IF(A313="","",IF(COUNTIF(tbl_Onsite[Job Number],A313&amp;"")&gt;0,"Onsite",IF(COUNTIF(tbl_Production[Job Number],A313&amp;"")&gt;0,"Production",IF(COUNTIF(tbl_Consulting[Job Number],A313&amp;"")&gt;0,"Consulting","not set up yet"))))</f>
        <v/>
      </c>
      <c r="H313" s="26">
        <f>IF(A313="","",IF(COUNTIF(lst_Jobs,A313&amp;"")&gt;0,"OK","CHECK"))</f>
        <v/>
      </c>
      <c r="I313" s="26">
        <f>IF(A313="","",IFERROR(INDEX(lst_JobName,MATCH(A313&amp;"",lst_Jobs,0)),""))</f>
        <v/>
      </c>
      <c r="J313" s="26">
        <f>IF(A313="","",IFERROR(IF(INDEX(tbl_Onsite[Client],IFERROR(MATCH(A313&amp;"",tbl_Onsite[Job Number],0),MATCH(IFERROR(A313+0,A313),tbl_Onsite[Job Number],0)))="","",INDEX(tbl_Onsite[Client],IFERROR(MATCH(A313&amp;"",tbl_Onsite[Job Number],0),MATCH(IFERROR(A313+0,A313),tbl_Onsite[Job Number],0)))),IFERROR(IF(INDEX(tbl_Production[Client],IFERROR(MATCH(A313&amp;"",tbl_Production[Job Number],0),MATCH(IFERROR(A313+0,A313),tbl_Production[Job Number],0)))="","",INDEX(tbl_Production[Client],IFERROR(MATCH(A313&amp;"",tbl_Production[Job Number],0),MATCH(IFERROR(A313+0,A313),tbl_Production[Job Number],0)))),IFERROR(IF(INDEX(tbl_Consulting[Client],IFERROR(MATCH(A313&amp;"",tbl_Consulting[Job Number],0),MATCH(IFERROR(A313+0,A313),tbl_Consulting[Job Number],0)))="","",INDEX(tbl_Consulting[Client],IFERROR(MATCH(A313&amp;"",tbl_Consulting[Job Number],0),MATCH(IFERROR(A313+0,A313),tbl_Consulting[Job Number],0)))),""))))</f>
        <v/>
      </c>
      <c r="K313" s="26">
        <f>IF(A313="","",IFERROR(IF(INDEX(tbl_Onsite[Job Description],IFERROR(MATCH(A313&amp;"",tbl_Onsite[Job Number],0),MATCH(IFERROR(A313+0,A313),tbl_Onsite[Job Number],0)))="","",INDEX(tbl_Onsite[Job Description],IFERROR(MATCH(A313&amp;"",tbl_Onsite[Job Number],0),MATCH(IFERROR(A313+0,A313),tbl_Onsite[Job Number],0)))),IFERROR(IF(INDEX(tbl_Production[Job Description],IFERROR(MATCH(A313&amp;"",tbl_Production[Job Number],0),MATCH(IFERROR(A313+0,A313),tbl_Production[Job Number],0)))="","",INDEX(tbl_Production[Job Description],IFERROR(MATCH(A313&amp;"",tbl_Production[Job Number],0),MATCH(IFERROR(A313+0,A313),tbl_Production[Job Number],0)))),IFERROR(IF(INDEX(tbl_Consulting[Job Description],IFERROR(MATCH(A313&amp;"",tbl_Consulting[Job Number],0),MATCH(IFERROR(A313+0,A313),tbl_Consulting[Job Number],0)))="","",INDEX(tbl_Consulting[Job Description],IFERROR(MATCH(A313&amp;"",tbl_Consulting[Job Number],0),MATCH(IFERROR(A313+0,A313),tbl_Consulting[Job Number],0)))),""))))</f>
        <v/>
      </c>
      <c r="L313" s="26">
        <f>IF(A313="","",IFERROR(IF(INDEX(tbl_Onsite[Invoice Type],IFERROR(MATCH(A313&amp;"",tbl_Onsite[Job Number],0),MATCH(IFERROR(A313+0,A313),tbl_Onsite[Job Number],0)))="","",INDEX(tbl_Onsite[Invoice Type],IFERROR(MATCH(A313&amp;"",tbl_Onsite[Job Number],0),MATCH(IFERROR(A313+0,A313),tbl_Onsite[Job Number],0)))),IFERROR(IF(INDEX(tbl_Production[Invoice Type],IFERROR(MATCH(A313&amp;"",tbl_Production[Job Number],0),MATCH(IFERROR(A313+0,A313),tbl_Production[Job Number],0)))="","",INDEX(tbl_Production[Invoice Type],IFERROR(MATCH(A313&amp;"",tbl_Production[Job Number],0),MATCH(IFERROR(A313+0,A313),tbl_Production[Job Number],0)))),IFERROR(IF(INDEX(tbl_Consulting[Invoice Type],IFERROR(MATCH(A313&amp;"",tbl_Consulting[Job Number],0),MATCH(IFERROR(A313+0,A313),tbl_Consulting[Job Number],0)))="","",INDEX(tbl_Consulting[Invoice Type],IFERROR(MATCH(A313&amp;"",tbl_Consulting[Job Number],0),MATCH(IFERROR(A313+0,A313),tbl_Consulting[Job Number],0)))),""))))</f>
        <v/>
      </c>
      <c r="M313" s="26">
        <f>IF(A313="","",IF(IFERROR(IF(INDEX(tbl_Onsite[Tax Code],IFERROR(MATCH(A313&amp;"",tbl_Onsite[Job Number],0),MATCH(IFERROR(A313+0,A313),tbl_Onsite[Job Number],0)))="","",INDEX(tbl_Onsite[Tax Code],IFERROR(MATCH(A313&amp;"",tbl_Onsite[Job Number],0),MATCH(IFERROR(A313+0,A313),tbl_Onsite[Job Number],0)))),IFERROR(IF(INDEX(tbl_Production[Tax Code],IFERROR(MATCH(A313&amp;"",tbl_Production[Job Number],0),MATCH(IFERROR(A313+0,A313),tbl_Production[Job Number],0)))="","",INDEX(tbl_Production[Tax Code],IFERROR(MATCH(A313&amp;"",tbl_Production[Job Number],0),MATCH(IFERROR(A313+0,A313),tbl_Production[Job Number],0)))),IFERROR(IF(INDEX(tbl_Consulting[Tax Code],IFERROR(MATCH(A313&amp;"",tbl_Consulting[Job Number],0),MATCH(IFERROR(A313+0,A313),tbl_Consulting[Job Number],0)))="","",INDEX(tbl_Consulting[Tax Code],IFERROR(MATCH(A313&amp;"",tbl_Consulting[Job Number],0),MATCH(IFERROR(A313+0,A313),tbl_Consulting[Job Number],0)))),"")))="","GST 10%",IFERROR(IF(INDEX(tbl_Onsite[Tax Code],IFERROR(MATCH(A313&amp;"",tbl_Onsite[Job Number],0),MATCH(IFERROR(A313+0,A313),tbl_Onsite[Job Number],0)))="","",INDEX(tbl_Onsite[Tax Code],IFERROR(MATCH(A313&amp;"",tbl_Onsite[Job Number],0),MATCH(IFERROR(A313+0,A313),tbl_Onsite[Job Number],0)))),IFERROR(IF(INDEX(tbl_Production[Tax Code],IFERROR(MATCH(A313&amp;"",tbl_Production[Job Number],0),MATCH(IFERROR(A313+0,A313),tbl_Production[Job Number],0)))="","",INDEX(tbl_Production[Tax Code],IFERROR(MATCH(A313&amp;"",tbl_Production[Job Number],0),MATCH(IFERROR(A313+0,A313),tbl_Production[Job Number],0)))),IFERROR(IF(INDEX(tbl_Consulting[Tax Code],IFERROR(MATCH(A313&amp;"",tbl_Consulting[Job Number],0),MATCH(IFERROR(A313+0,A313),tbl_Consulting[Job Number],0)))="","",INDEX(tbl_Consulting[Tax Code],IFERROR(MATCH(A313&amp;"",tbl_Consulting[Job Number],0),MATCH(IFERROR(A313+0,A313),tbl_Consulting[Job Number],0)))),"")))))</f>
        <v/>
      </c>
      <c r="N313" s="26">
        <f>IF(D313="","",IFERROR(INDEX(lst_CCtoGL,MATCH(D313,lst_CCforGL,0)),""))</f>
        <v/>
      </c>
      <c r="O313" s="27">
        <f>IF(E313="","",IF(M313="GST 10%",ROUND(E313*set_GSTRate,2),0))</f>
        <v/>
      </c>
      <c r="P313" s="27">
        <f>IF(E313="","",E313+O313)</f>
        <v/>
      </c>
      <c r="Q313" s="27">
        <f>IF(A313="","",IFERROR(INDEX(tbl_Onsite[Expected Revenue Ex GST],IFERROR(MATCH(A313&amp;"",tbl_Onsite[Job Number],0),MATCH(IFERROR(A313+0,A313),tbl_Onsite[Job Number],0))),IFERROR(INDEX(tbl_Production[Expected Revenue Ex GST],IFERROR(MATCH(A313&amp;"",tbl_Production[Job Number],0),MATCH(IFERROR(A313+0,A313),tbl_Production[Job Number],0))),IFERROR(INDEX(tbl_Consulting[Expected Revenue Ex GST],IFERROR(MATCH(A313&amp;"",tbl_Consulting[Job Number],0),MATCH(IFERROR(A313+0,A313),tbl_Consulting[Job Number],0))),0))))</f>
        <v/>
      </c>
      <c r="R313" s="27">
        <f>IF(A313="","",SUMIFS(tbl_Finance[Ex GST],tbl_Finance[Job Number],A313&amp;""))</f>
        <v/>
      </c>
      <c r="S313" s="27">
        <f>IF(A313="","",Q313-R313)</f>
        <v/>
      </c>
      <c r="T313" s="26">
        <f>IF(A313="","",IF(Q313=0,"No dept value",IF(ROUND(S313,2)=0,"Agrees",IF(S313&gt;0,"Dept higher - to invoice","Xero higher - check dept"))))</f>
        <v/>
      </c>
      <c r="U313" s="22" t="n"/>
      <c r="V313" s="22" t="n"/>
      <c r="W313" s="23" t="n"/>
      <c r="X313" s="23" t="n"/>
      <c r="Y313" s="22" t="n"/>
      <c r="Z313" s="22" t="n"/>
      <c r="AA313" s="26">
        <f>IF(COUNTA(C313,A313,B313,E313)=0,"",IF(C313="","No date - sits outside every month",IF(A313="","No job number",IF(H313="CHECK","Job number is not in the Xero job list",IF(G313="not set up yet","No department has set this job up - nothing can pull through",IF(D313="","No cost centre",IF(AND(U313="Y",B313=""),"Marked posted to Xero but has no invoice number",IF(N313="","Cost centre has no revenue GL on the Lists sheet",IF(T313="Xero higher - check dept","Invoiced more than the department says the job is worth","")))))))))</f>
        <v/>
      </c>
      <c r="AB313" s="28">
        <f>IF(A313="","",COUNTIFS(tbl_Finance[Job Number],A313&amp;"",tbl_Finance[Ex GST],"&lt;&gt;"))</f>
        <v/>
      </c>
      <c r="AC313" s="27">
        <f>IF(A313="","",SUMIFS(tbl_Finance[Ex GST],tbl_Finance[Job Number],A313&amp;""))</f>
        <v/>
      </c>
      <c r="AD313" s="27">
        <f>IF(A313="","",SUMIFS(tbl_Finance[Ex GST],tbl_Finance[Job Number],A313&amp;"",tbl_Finance[Xero Invoice No],"&lt;&gt;"))</f>
        <v/>
      </c>
      <c r="AE313" s="27">
        <f>IF(A313="","",AC313-AD313)</f>
        <v/>
      </c>
      <c r="AF313" s="26">
        <f>IF(A313="","",IFERROR(IF(INDEX(tbl_Onsite[Qwilr Quote],IFERROR(MATCH(A313&amp;"",tbl_Onsite[Job Number],0),MATCH(IFERROR(A313+0,A313),tbl_Onsite[Job Number],0)))="","",INDEX(tbl_Onsite[Qwilr Quote],IFERROR(MATCH(A313&amp;"",tbl_Onsite[Job Number],0),MATCH(IFERROR(A313+0,A313),tbl_Onsite[Job Number],0)))),IFERROR(IF(IF(INDEX(tbl_Production[Current RMS No],IFERROR(MATCH(A313&amp;"",tbl_Production[Job Number],0),MATCH(IFERROR(A313+0,A313),tbl_Production[Job Number],0)))="",INDEX(tbl_Production[Qwilr Quote],IFERROR(MATCH(A313&amp;"",tbl_Production[Job Number],0),MATCH(IFERROR(A313+0,A313),tbl_Production[Job Number],0))),INDEX(tbl_Production[Current RMS No],IFERROR(MATCH(A313&amp;"",tbl_Production[Job Number],0),MATCH(IFERROR(A313+0,A313),tbl_Production[Job Number],0))))="","",IF(INDEX(tbl_Production[Current RMS No],IFERROR(MATCH(A313&amp;"",tbl_Production[Job Number],0),MATCH(IFERROR(A313+0,A313),tbl_Production[Job Number],0)))="",INDEX(tbl_Production[Qwilr Quote],IFERROR(MATCH(A313&amp;"",tbl_Production[Job Number],0),MATCH(IFERROR(A313+0,A313),tbl_Production[Job Number],0))),INDEX(tbl_Production[Current RMS No],IFERROR(MATCH(A313&amp;"",tbl_Production[Job Number],0),MATCH(IFERROR(A313+0,A313),tbl_Production[Job Number],0))))),IFERROR(IF(INDEX(tbl_Consulting[Qwilr Quote],IFERROR(MATCH(A313&amp;"",tbl_Consulting[Job Number],0),MATCH(IFERROR(A313+0,A313),tbl_Consulting[Job Number],0)))="","",INDEX(tbl_Consulting[Qwilr Quote],IFERROR(MATCH(A313&amp;"",tbl_Consulting[Job Number],0),MATCH(IFERROR(A313+0,A313),tbl_Consulting[Job Number],0)))),""))))</f>
        <v/>
      </c>
      <c r="AG313" s="26">
        <f>IF(AF313="","",IF(AND(LEFT(AF313,4)&lt;&gt;"http",IF(G313="Production",set_RMSBase,set_QwilrBase)=""),"",HYPERLINK(IF(LEFT(AF313,4)="http",AF313,IF(G313="Production",set_RMSBase,set_QwilrBase)&amp;AF313),"Open")))</f>
        <v/>
      </c>
      <c r="AH313" s="27">
        <f>IF(A313="","",IFERROR(INDEX(tbl_Production[Total Expense],IFERROR(MATCH(A313&amp;"",tbl_Production[Job Number],0),MATCH(IFERROR(A313+0,A313),tbl_Production[Job Number],0))),IFERROR(INDEX(tbl_Consulting[Total Expense],IFERROR(MATCH(A313&amp;"",tbl_Consulting[Job Number],0),MATCH(IFERROR(A313+0,A313),tbl_Consulting[Job Number],0))),0)))</f>
        <v/>
      </c>
      <c r="AI313" s="27">
        <f>IF(A313="","",AC313-N(AH313))</f>
        <v/>
      </c>
      <c r="AJ313" s="29">
        <f>IFERROR(AI313/AC313,"")</f>
        <v/>
      </c>
      <c r="AK313" s="26">
        <f>IF(A313="","",IFERROR(IF(INDEX(tbl_Onsite[Notes],IFERROR(MATCH(A313&amp;"",tbl_Onsite[Job Number],0),MATCH(IFERROR(A313+0,A313),tbl_Onsite[Job Number],0)))="","",INDEX(tbl_Onsite[Notes],IFERROR(MATCH(A313&amp;"",tbl_Onsite[Job Number],0),MATCH(IFERROR(A313+0,A313),tbl_Onsite[Job Number],0)))),IFERROR(IF(INDEX(tbl_Production[Notes],IFERROR(MATCH(A313&amp;"",tbl_Production[Job Number],0),MATCH(IFERROR(A313+0,A313),tbl_Production[Job Number],0)))="","",INDEX(tbl_Production[Notes],IFERROR(MATCH(A313&amp;"",tbl_Production[Job Number],0),MATCH(IFERROR(A313+0,A313),tbl_Production[Job Number],0)))),IFERROR(IF(INDEX(tbl_Consulting[Notes],IFERROR(MATCH(A313&amp;"",tbl_Consulting[Job Number],0),MATCH(IFERROR(A313+0,A313),tbl_Consulting[Job Number],0)))="","",INDEX(tbl_Consulting[Notes],IFERROR(MATCH(A313&amp;"",tbl_Consulting[Job Number],0),MATCH(IFERROR(A313+0,A313),tbl_Consulting[Job Number],0)))),""))))</f>
        <v/>
      </c>
    </row>
    <row r="314" ht="15" customHeight="1">
      <c r="A314" s="22" t="n"/>
      <c r="B314" s="22" t="n"/>
      <c r="C314" s="23" t="n"/>
      <c r="D314" s="22" t="n"/>
      <c r="E314" s="24" t="n"/>
      <c r="F314" s="25">
        <f>IF(C314="","",EOMONTH(C314,0))</f>
        <v/>
      </c>
      <c r="G314" s="26">
        <f>IF(A314="","",IF(COUNTIF(tbl_Onsite[Job Number],A314&amp;"")&gt;0,"Onsite",IF(COUNTIF(tbl_Production[Job Number],A314&amp;"")&gt;0,"Production",IF(COUNTIF(tbl_Consulting[Job Number],A314&amp;"")&gt;0,"Consulting","not set up yet"))))</f>
        <v/>
      </c>
      <c r="H314" s="26">
        <f>IF(A314="","",IF(COUNTIF(lst_Jobs,A314&amp;"")&gt;0,"OK","CHECK"))</f>
        <v/>
      </c>
      <c r="I314" s="26">
        <f>IF(A314="","",IFERROR(INDEX(lst_JobName,MATCH(A314&amp;"",lst_Jobs,0)),""))</f>
        <v/>
      </c>
      <c r="J314" s="26">
        <f>IF(A314="","",IFERROR(IF(INDEX(tbl_Onsite[Client],IFERROR(MATCH(A314&amp;"",tbl_Onsite[Job Number],0),MATCH(IFERROR(A314+0,A314),tbl_Onsite[Job Number],0)))="","",INDEX(tbl_Onsite[Client],IFERROR(MATCH(A314&amp;"",tbl_Onsite[Job Number],0),MATCH(IFERROR(A314+0,A314),tbl_Onsite[Job Number],0)))),IFERROR(IF(INDEX(tbl_Production[Client],IFERROR(MATCH(A314&amp;"",tbl_Production[Job Number],0),MATCH(IFERROR(A314+0,A314),tbl_Production[Job Number],0)))="","",INDEX(tbl_Production[Client],IFERROR(MATCH(A314&amp;"",tbl_Production[Job Number],0),MATCH(IFERROR(A314+0,A314),tbl_Production[Job Number],0)))),IFERROR(IF(INDEX(tbl_Consulting[Client],IFERROR(MATCH(A314&amp;"",tbl_Consulting[Job Number],0),MATCH(IFERROR(A314+0,A314),tbl_Consulting[Job Number],0)))="","",INDEX(tbl_Consulting[Client],IFERROR(MATCH(A314&amp;"",tbl_Consulting[Job Number],0),MATCH(IFERROR(A314+0,A314),tbl_Consulting[Job Number],0)))),""))))</f>
        <v/>
      </c>
      <c r="K314" s="26">
        <f>IF(A314="","",IFERROR(IF(INDEX(tbl_Onsite[Job Description],IFERROR(MATCH(A314&amp;"",tbl_Onsite[Job Number],0),MATCH(IFERROR(A314+0,A314),tbl_Onsite[Job Number],0)))="","",INDEX(tbl_Onsite[Job Description],IFERROR(MATCH(A314&amp;"",tbl_Onsite[Job Number],0),MATCH(IFERROR(A314+0,A314),tbl_Onsite[Job Number],0)))),IFERROR(IF(INDEX(tbl_Production[Job Description],IFERROR(MATCH(A314&amp;"",tbl_Production[Job Number],0),MATCH(IFERROR(A314+0,A314),tbl_Production[Job Number],0)))="","",INDEX(tbl_Production[Job Description],IFERROR(MATCH(A314&amp;"",tbl_Production[Job Number],0),MATCH(IFERROR(A314+0,A314),tbl_Production[Job Number],0)))),IFERROR(IF(INDEX(tbl_Consulting[Job Description],IFERROR(MATCH(A314&amp;"",tbl_Consulting[Job Number],0),MATCH(IFERROR(A314+0,A314),tbl_Consulting[Job Number],0)))="","",INDEX(tbl_Consulting[Job Description],IFERROR(MATCH(A314&amp;"",tbl_Consulting[Job Number],0),MATCH(IFERROR(A314+0,A314),tbl_Consulting[Job Number],0)))),""))))</f>
        <v/>
      </c>
      <c r="L314" s="26">
        <f>IF(A314="","",IFERROR(IF(INDEX(tbl_Onsite[Invoice Type],IFERROR(MATCH(A314&amp;"",tbl_Onsite[Job Number],0),MATCH(IFERROR(A314+0,A314),tbl_Onsite[Job Number],0)))="","",INDEX(tbl_Onsite[Invoice Type],IFERROR(MATCH(A314&amp;"",tbl_Onsite[Job Number],0),MATCH(IFERROR(A314+0,A314),tbl_Onsite[Job Number],0)))),IFERROR(IF(INDEX(tbl_Production[Invoice Type],IFERROR(MATCH(A314&amp;"",tbl_Production[Job Number],0),MATCH(IFERROR(A314+0,A314),tbl_Production[Job Number],0)))="","",INDEX(tbl_Production[Invoice Type],IFERROR(MATCH(A314&amp;"",tbl_Production[Job Number],0),MATCH(IFERROR(A314+0,A314),tbl_Production[Job Number],0)))),IFERROR(IF(INDEX(tbl_Consulting[Invoice Type],IFERROR(MATCH(A314&amp;"",tbl_Consulting[Job Number],0),MATCH(IFERROR(A314+0,A314),tbl_Consulting[Job Number],0)))="","",INDEX(tbl_Consulting[Invoice Type],IFERROR(MATCH(A314&amp;"",tbl_Consulting[Job Number],0),MATCH(IFERROR(A314+0,A314),tbl_Consulting[Job Number],0)))),""))))</f>
        <v/>
      </c>
      <c r="M314" s="26">
        <f>IF(A314="","",IF(IFERROR(IF(INDEX(tbl_Onsite[Tax Code],IFERROR(MATCH(A314&amp;"",tbl_Onsite[Job Number],0),MATCH(IFERROR(A314+0,A314),tbl_Onsite[Job Number],0)))="","",INDEX(tbl_Onsite[Tax Code],IFERROR(MATCH(A314&amp;"",tbl_Onsite[Job Number],0),MATCH(IFERROR(A314+0,A314),tbl_Onsite[Job Number],0)))),IFERROR(IF(INDEX(tbl_Production[Tax Code],IFERROR(MATCH(A314&amp;"",tbl_Production[Job Number],0),MATCH(IFERROR(A314+0,A314),tbl_Production[Job Number],0)))="","",INDEX(tbl_Production[Tax Code],IFERROR(MATCH(A314&amp;"",tbl_Production[Job Number],0),MATCH(IFERROR(A314+0,A314),tbl_Production[Job Number],0)))),IFERROR(IF(INDEX(tbl_Consulting[Tax Code],IFERROR(MATCH(A314&amp;"",tbl_Consulting[Job Number],0),MATCH(IFERROR(A314+0,A314),tbl_Consulting[Job Number],0)))="","",INDEX(tbl_Consulting[Tax Code],IFERROR(MATCH(A314&amp;"",tbl_Consulting[Job Number],0),MATCH(IFERROR(A314+0,A314),tbl_Consulting[Job Number],0)))),"")))="","GST 10%",IFERROR(IF(INDEX(tbl_Onsite[Tax Code],IFERROR(MATCH(A314&amp;"",tbl_Onsite[Job Number],0),MATCH(IFERROR(A314+0,A314),tbl_Onsite[Job Number],0)))="","",INDEX(tbl_Onsite[Tax Code],IFERROR(MATCH(A314&amp;"",tbl_Onsite[Job Number],0),MATCH(IFERROR(A314+0,A314),tbl_Onsite[Job Number],0)))),IFERROR(IF(INDEX(tbl_Production[Tax Code],IFERROR(MATCH(A314&amp;"",tbl_Production[Job Number],0),MATCH(IFERROR(A314+0,A314),tbl_Production[Job Number],0)))="","",INDEX(tbl_Production[Tax Code],IFERROR(MATCH(A314&amp;"",tbl_Production[Job Number],0),MATCH(IFERROR(A314+0,A314),tbl_Production[Job Number],0)))),IFERROR(IF(INDEX(tbl_Consulting[Tax Code],IFERROR(MATCH(A314&amp;"",tbl_Consulting[Job Number],0),MATCH(IFERROR(A314+0,A314),tbl_Consulting[Job Number],0)))="","",INDEX(tbl_Consulting[Tax Code],IFERROR(MATCH(A314&amp;"",tbl_Consulting[Job Number],0),MATCH(IFERROR(A314+0,A314),tbl_Consulting[Job Number],0)))),"")))))</f>
        <v/>
      </c>
      <c r="N314" s="26">
        <f>IF(D314="","",IFERROR(INDEX(lst_CCtoGL,MATCH(D314,lst_CCforGL,0)),""))</f>
        <v/>
      </c>
      <c r="O314" s="27">
        <f>IF(E314="","",IF(M314="GST 10%",ROUND(E314*set_GSTRate,2),0))</f>
        <v/>
      </c>
      <c r="P314" s="27">
        <f>IF(E314="","",E314+O314)</f>
        <v/>
      </c>
      <c r="Q314" s="27">
        <f>IF(A314="","",IFERROR(INDEX(tbl_Onsite[Expected Revenue Ex GST],IFERROR(MATCH(A314&amp;"",tbl_Onsite[Job Number],0),MATCH(IFERROR(A314+0,A314),tbl_Onsite[Job Number],0))),IFERROR(INDEX(tbl_Production[Expected Revenue Ex GST],IFERROR(MATCH(A314&amp;"",tbl_Production[Job Number],0),MATCH(IFERROR(A314+0,A314),tbl_Production[Job Number],0))),IFERROR(INDEX(tbl_Consulting[Expected Revenue Ex GST],IFERROR(MATCH(A314&amp;"",tbl_Consulting[Job Number],0),MATCH(IFERROR(A314+0,A314),tbl_Consulting[Job Number],0))),0))))</f>
        <v/>
      </c>
      <c r="R314" s="27">
        <f>IF(A314="","",SUMIFS(tbl_Finance[Ex GST],tbl_Finance[Job Number],A314&amp;""))</f>
        <v/>
      </c>
      <c r="S314" s="27">
        <f>IF(A314="","",Q314-R314)</f>
        <v/>
      </c>
      <c r="T314" s="26">
        <f>IF(A314="","",IF(Q314=0,"No dept value",IF(ROUND(S314,2)=0,"Agrees",IF(S314&gt;0,"Dept higher - to invoice","Xero higher - check dept"))))</f>
        <v/>
      </c>
      <c r="U314" s="22" t="n"/>
      <c r="V314" s="22" t="n"/>
      <c r="W314" s="23" t="n"/>
      <c r="X314" s="23" t="n"/>
      <c r="Y314" s="22" t="n"/>
      <c r="Z314" s="22" t="n"/>
      <c r="AA314" s="26">
        <f>IF(COUNTA(C314,A314,B314,E314)=0,"",IF(C314="","No date - sits outside every month",IF(A314="","No job number",IF(H314="CHECK","Job number is not in the Xero job list",IF(G314="not set up yet","No department has set this job up - nothing can pull through",IF(D314="","No cost centre",IF(AND(U314="Y",B314=""),"Marked posted to Xero but has no invoice number",IF(N314="","Cost centre has no revenue GL on the Lists sheet",IF(T314="Xero higher - check dept","Invoiced more than the department says the job is worth","")))))))))</f>
        <v/>
      </c>
      <c r="AB314" s="28">
        <f>IF(A314="","",COUNTIFS(tbl_Finance[Job Number],A314&amp;"",tbl_Finance[Ex GST],"&lt;&gt;"))</f>
        <v/>
      </c>
      <c r="AC314" s="27">
        <f>IF(A314="","",SUMIFS(tbl_Finance[Ex GST],tbl_Finance[Job Number],A314&amp;""))</f>
        <v/>
      </c>
      <c r="AD314" s="27">
        <f>IF(A314="","",SUMIFS(tbl_Finance[Ex GST],tbl_Finance[Job Number],A314&amp;"",tbl_Finance[Xero Invoice No],"&lt;&gt;"))</f>
        <v/>
      </c>
      <c r="AE314" s="27">
        <f>IF(A314="","",AC314-AD314)</f>
        <v/>
      </c>
      <c r="AF314" s="26">
        <f>IF(A314="","",IFERROR(IF(INDEX(tbl_Onsite[Qwilr Quote],IFERROR(MATCH(A314&amp;"",tbl_Onsite[Job Number],0),MATCH(IFERROR(A314+0,A314),tbl_Onsite[Job Number],0)))="","",INDEX(tbl_Onsite[Qwilr Quote],IFERROR(MATCH(A314&amp;"",tbl_Onsite[Job Number],0),MATCH(IFERROR(A314+0,A314),tbl_Onsite[Job Number],0)))),IFERROR(IF(IF(INDEX(tbl_Production[Current RMS No],IFERROR(MATCH(A314&amp;"",tbl_Production[Job Number],0),MATCH(IFERROR(A314+0,A314),tbl_Production[Job Number],0)))="",INDEX(tbl_Production[Qwilr Quote],IFERROR(MATCH(A314&amp;"",tbl_Production[Job Number],0),MATCH(IFERROR(A314+0,A314),tbl_Production[Job Number],0))),INDEX(tbl_Production[Current RMS No],IFERROR(MATCH(A314&amp;"",tbl_Production[Job Number],0),MATCH(IFERROR(A314+0,A314),tbl_Production[Job Number],0))))="","",IF(INDEX(tbl_Production[Current RMS No],IFERROR(MATCH(A314&amp;"",tbl_Production[Job Number],0),MATCH(IFERROR(A314+0,A314),tbl_Production[Job Number],0)))="",INDEX(tbl_Production[Qwilr Quote],IFERROR(MATCH(A314&amp;"",tbl_Production[Job Number],0),MATCH(IFERROR(A314+0,A314),tbl_Production[Job Number],0))),INDEX(tbl_Production[Current RMS No],IFERROR(MATCH(A314&amp;"",tbl_Production[Job Number],0),MATCH(IFERROR(A314+0,A314),tbl_Production[Job Number],0))))),IFERROR(IF(INDEX(tbl_Consulting[Qwilr Quote],IFERROR(MATCH(A314&amp;"",tbl_Consulting[Job Number],0),MATCH(IFERROR(A314+0,A314),tbl_Consulting[Job Number],0)))="","",INDEX(tbl_Consulting[Qwilr Quote],IFERROR(MATCH(A314&amp;"",tbl_Consulting[Job Number],0),MATCH(IFERROR(A314+0,A314),tbl_Consulting[Job Number],0)))),""))))</f>
        <v/>
      </c>
      <c r="AG314" s="26">
        <f>IF(AF314="","",IF(AND(LEFT(AF314,4)&lt;&gt;"http",IF(G314="Production",set_RMSBase,set_QwilrBase)=""),"",HYPERLINK(IF(LEFT(AF314,4)="http",AF314,IF(G314="Production",set_RMSBase,set_QwilrBase)&amp;AF314),"Open")))</f>
        <v/>
      </c>
      <c r="AH314" s="27">
        <f>IF(A314="","",IFERROR(INDEX(tbl_Production[Total Expense],IFERROR(MATCH(A314&amp;"",tbl_Production[Job Number],0),MATCH(IFERROR(A314+0,A314),tbl_Production[Job Number],0))),IFERROR(INDEX(tbl_Consulting[Total Expense],IFERROR(MATCH(A314&amp;"",tbl_Consulting[Job Number],0),MATCH(IFERROR(A314+0,A314),tbl_Consulting[Job Number],0))),0)))</f>
        <v/>
      </c>
      <c r="AI314" s="27">
        <f>IF(A314="","",AC314-N(AH314))</f>
        <v/>
      </c>
      <c r="AJ314" s="29">
        <f>IFERROR(AI314/AC314,"")</f>
        <v/>
      </c>
      <c r="AK314" s="26">
        <f>IF(A314="","",IFERROR(IF(INDEX(tbl_Onsite[Notes],IFERROR(MATCH(A314&amp;"",tbl_Onsite[Job Number],0),MATCH(IFERROR(A314+0,A314),tbl_Onsite[Job Number],0)))="","",INDEX(tbl_Onsite[Notes],IFERROR(MATCH(A314&amp;"",tbl_Onsite[Job Number],0),MATCH(IFERROR(A314+0,A314),tbl_Onsite[Job Number],0)))),IFERROR(IF(INDEX(tbl_Production[Notes],IFERROR(MATCH(A314&amp;"",tbl_Production[Job Number],0),MATCH(IFERROR(A314+0,A314),tbl_Production[Job Number],0)))="","",INDEX(tbl_Production[Notes],IFERROR(MATCH(A314&amp;"",tbl_Production[Job Number],0),MATCH(IFERROR(A314+0,A314),tbl_Production[Job Number],0)))),IFERROR(IF(INDEX(tbl_Consulting[Notes],IFERROR(MATCH(A314&amp;"",tbl_Consulting[Job Number],0),MATCH(IFERROR(A314+0,A314),tbl_Consulting[Job Number],0)))="","",INDEX(tbl_Consulting[Notes],IFERROR(MATCH(A314&amp;"",tbl_Consulting[Job Number],0),MATCH(IFERROR(A314+0,A314),tbl_Consulting[Job Number],0)))),""))))</f>
        <v/>
      </c>
    </row>
    <row r="315" ht="15" customHeight="1">
      <c r="A315" s="22" t="n"/>
      <c r="B315" s="22" t="n"/>
      <c r="C315" s="23" t="n"/>
      <c r="D315" s="22" t="n"/>
      <c r="E315" s="24" t="n"/>
      <c r="F315" s="25">
        <f>IF(C315="","",EOMONTH(C315,0))</f>
        <v/>
      </c>
      <c r="G315" s="26">
        <f>IF(A315="","",IF(COUNTIF(tbl_Onsite[Job Number],A315&amp;"")&gt;0,"Onsite",IF(COUNTIF(tbl_Production[Job Number],A315&amp;"")&gt;0,"Production",IF(COUNTIF(tbl_Consulting[Job Number],A315&amp;"")&gt;0,"Consulting","not set up yet"))))</f>
        <v/>
      </c>
      <c r="H315" s="26">
        <f>IF(A315="","",IF(COUNTIF(lst_Jobs,A315&amp;"")&gt;0,"OK","CHECK"))</f>
        <v/>
      </c>
      <c r="I315" s="26">
        <f>IF(A315="","",IFERROR(INDEX(lst_JobName,MATCH(A315&amp;"",lst_Jobs,0)),""))</f>
        <v/>
      </c>
      <c r="J315" s="26">
        <f>IF(A315="","",IFERROR(IF(INDEX(tbl_Onsite[Client],IFERROR(MATCH(A315&amp;"",tbl_Onsite[Job Number],0),MATCH(IFERROR(A315+0,A315),tbl_Onsite[Job Number],0)))="","",INDEX(tbl_Onsite[Client],IFERROR(MATCH(A315&amp;"",tbl_Onsite[Job Number],0),MATCH(IFERROR(A315+0,A315),tbl_Onsite[Job Number],0)))),IFERROR(IF(INDEX(tbl_Production[Client],IFERROR(MATCH(A315&amp;"",tbl_Production[Job Number],0),MATCH(IFERROR(A315+0,A315),tbl_Production[Job Number],0)))="","",INDEX(tbl_Production[Client],IFERROR(MATCH(A315&amp;"",tbl_Production[Job Number],0),MATCH(IFERROR(A315+0,A315),tbl_Production[Job Number],0)))),IFERROR(IF(INDEX(tbl_Consulting[Client],IFERROR(MATCH(A315&amp;"",tbl_Consulting[Job Number],0),MATCH(IFERROR(A315+0,A315),tbl_Consulting[Job Number],0)))="","",INDEX(tbl_Consulting[Client],IFERROR(MATCH(A315&amp;"",tbl_Consulting[Job Number],0),MATCH(IFERROR(A315+0,A315),tbl_Consulting[Job Number],0)))),""))))</f>
        <v/>
      </c>
      <c r="K315" s="26">
        <f>IF(A315="","",IFERROR(IF(INDEX(tbl_Onsite[Job Description],IFERROR(MATCH(A315&amp;"",tbl_Onsite[Job Number],0),MATCH(IFERROR(A315+0,A315),tbl_Onsite[Job Number],0)))="","",INDEX(tbl_Onsite[Job Description],IFERROR(MATCH(A315&amp;"",tbl_Onsite[Job Number],0),MATCH(IFERROR(A315+0,A315),tbl_Onsite[Job Number],0)))),IFERROR(IF(INDEX(tbl_Production[Job Description],IFERROR(MATCH(A315&amp;"",tbl_Production[Job Number],0),MATCH(IFERROR(A315+0,A315),tbl_Production[Job Number],0)))="","",INDEX(tbl_Production[Job Description],IFERROR(MATCH(A315&amp;"",tbl_Production[Job Number],0),MATCH(IFERROR(A315+0,A315),tbl_Production[Job Number],0)))),IFERROR(IF(INDEX(tbl_Consulting[Job Description],IFERROR(MATCH(A315&amp;"",tbl_Consulting[Job Number],0),MATCH(IFERROR(A315+0,A315),tbl_Consulting[Job Number],0)))="","",INDEX(tbl_Consulting[Job Description],IFERROR(MATCH(A315&amp;"",tbl_Consulting[Job Number],0),MATCH(IFERROR(A315+0,A315),tbl_Consulting[Job Number],0)))),""))))</f>
        <v/>
      </c>
      <c r="L315" s="26">
        <f>IF(A315="","",IFERROR(IF(INDEX(tbl_Onsite[Invoice Type],IFERROR(MATCH(A315&amp;"",tbl_Onsite[Job Number],0),MATCH(IFERROR(A315+0,A315),tbl_Onsite[Job Number],0)))="","",INDEX(tbl_Onsite[Invoice Type],IFERROR(MATCH(A315&amp;"",tbl_Onsite[Job Number],0),MATCH(IFERROR(A315+0,A315),tbl_Onsite[Job Number],0)))),IFERROR(IF(INDEX(tbl_Production[Invoice Type],IFERROR(MATCH(A315&amp;"",tbl_Production[Job Number],0),MATCH(IFERROR(A315+0,A315),tbl_Production[Job Number],0)))="","",INDEX(tbl_Production[Invoice Type],IFERROR(MATCH(A315&amp;"",tbl_Production[Job Number],0),MATCH(IFERROR(A315+0,A315),tbl_Production[Job Number],0)))),IFERROR(IF(INDEX(tbl_Consulting[Invoice Type],IFERROR(MATCH(A315&amp;"",tbl_Consulting[Job Number],0),MATCH(IFERROR(A315+0,A315),tbl_Consulting[Job Number],0)))="","",INDEX(tbl_Consulting[Invoice Type],IFERROR(MATCH(A315&amp;"",tbl_Consulting[Job Number],0),MATCH(IFERROR(A315+0,A315),tbl_Consulting[Job Number],0)))),""))))</f>
        <v/>
      </c>
      <c r="M315" s="26">
        <f>IF(A315="","",IF(IFERROR(IF(INDEX(tbl_Onsite[Tax Code],IFERROR(MATCH(A315&amp;"",tbl_Onsite[Job Number],0),MATCH(IFERROR(A315+0,A315),tbl_Onsite[Job Number],0)))="","",INDEX(tbl_Onsite[Tax Code],IFERROR(MATCH(A315&amp;"",tbl_Onsite[Job Number],0),MATCH(IFERROR(A315+0,A315),tbl_Onsite[Job Number],0)))),IFERROR(IF(INDEX(tbl_Production[Tax Code],IFERROR(MATCH(A315&amp;"",tbl_Production[Job Number],0),MATCH(IFERROR(A315+0,A315),tbl_Production[Job Number],0)))="","",INDEX(tbl_Production[Tax Code],IFERROR(MATCH(A315&amp;"",tbl_Production[Job Number],0),MATCH(IFERROR(A315+0,A315),tbl_Production[Job Number],0)))),IFERROR(IF(INDEX(tbl_Consulting[Tax Code],IFERROR(MATCH(A315&amp;"",tbl_Consulting[Job Number],0),MATCH(IFERROR(A315+0,A315),tbl_Consulting[Job Number],0)))="","",INDEX(tbl_Consulting[Tax Code],IFERROR(MATCH(A315&amp;"",tbl_Consulting[Job Number],0),MATCH(IFERROR(A315+0,A315),tbl_Consulting[Job Number],0)))),"")))="","GST 10%",IFERROR(IF(INDEX(tbl_Onsite[Tax Code],IFERROR(MATCH(A315&amp;"",tbl_Onsite[Job Number],0),MATCH(IFERROR(A315+0,A315),tbl_Onsite[Job Number],0)))="","",INDEX(tbl_Onsite[Tax Code],IFERROR(MATCH(A315&amp;"",tbl_Onsite[Job Number],0),MATCH(IFERROR(A315+0,A315),tbl_Onsite[Job Number],0)))),IFERROR(IF(INDEX(tbl_Production[Tax Code],IFERROR(MATCH(A315&amp;"",tbl_Production[Job Number],0),MATCH(IFERROR(A315+0,A315),tbl_Production[Job Number],0)))="","",INDEX(tbl_Production[Tax Code],IFERROR(MATCH(A315&amp;"",tbl_Production[Job Number],0),MATCH(IFERROR(A315+0,A315),tbl_Production[Job Number],0)))),IFERROR(IF(INDEX(tbl_Consulting[Tax Code],IFERROR(MATCH(A315&amp;"",tbl_Consulting[Job Number],0),MATCH(IFERROR(A315+0,A315),tbl_Consulting[Job Number],0)))="","",INDEX(tbl_Consulting[Tax Code],IFERROR(MATCH(A315&amp;"",tbl_Consulting[Job Number],0),MATCH(IFERROR(A315+0,A315),tbl_Consulting[Job Number],0)))),"")))))</f>
        <v/>
      </c>
      <c r="N315" s="26">
        <f>IF(D315="","",IFERROR(INDEX(lst_CCtoGL,MATCH(D315,lst_CCforGL,0)),""))</f>
        <v/>
      </c>
      <c r="O315" s="27">
        <f>IF(E315="","",IF(M315="GST 10%",ROUND(E315*set_GSTRate,2),0))</f>
        <v/>
      </c>
      <c r="P315" s="27">
        <f>IF(E315="","",E315+O315)</f>
        <v/>
      </c>
      <c r="Q315" s="27">
        <f>IF(A315="","",IFERROR(INDEX(tbl_Onsite[Expected Revenue Ex GST],IFERROR(MATCH(A315&amp;"",tbl_Onsite[Job Number],0),MATCH(IFERROR(A315+0,A315),tbl_Onsite[Job Number],0))),IFERROR(INDEX(tbl_Production[Expected Revenue Ex GST],IFERROR(MATCH(A315&amp;"",tbl_Production[Job Number],0),MATCH(IFERROR(A315+0,A315),tbl_Production[Job Number],0))),IFERROR(INDEX(tbl_Consulting[Expected Revenue Ex GST],IFERROR(MATCH(A315&amp;"",tbl_Consulting[Job Number],0),MATCH(IFERROR(A315+0,A315),tbl_Consulting[Job Number],0))),0))))</f>
        <v/>
      </c>
      <c r="R315" s="27">
        <f>IF(A315="","",SUMIFS(tbl_Finance[Ex GST],tbl_Finance[Job Number],A315&amp;""))</f>
        <v/>
      </c>
      <c r="S315" s="27">
        <f>IF(A315="","",Q315-R315)</f>
        <v/>
      </c>
      <c r="T315" s="26">
        <f>IF(A315="","",IF(Q315=0,"No dept value",IF(ROUND(S315,2)=0,"Agrees",IF(S315&gt;0,"Dept higher - to invoice","Xero higher - check dept"))))</f>
        <v/>
      </c>
      <c r="U315" s="22" t="n"/>
      <c r="V315" s="22" t="n"/>
      <c r="W315" s="23" t="n"/>
      <c r="X315" s="23" t="n"/>
      <c r="Y315" s="22" t="n"/>
      <c r="Z315" s="22" t="n"/>
      <c r="AA315" s="26">
        <f>IF(COUNTA(C315,A315,B315,E315)=0,"",IF(C315="","No date - sits outside every month",IF(A315="","No job number",IF(H315="CHECK","Job number is not in the Xero job list",IF(G315="not set up yet","No department has set this job up - nothing can pull through",IF(D315="","No cost centre",IF(AND(U315="Y",B315=""),"Marked posted to Xero but has no invoice number",IF(N315="","Cost centre has no revenue GL on the Lists sheet",IF(T315="Xero higher - check dept","Invoiced more than the department says the job is worth","")))))))))</f>
        <v/>
      </c>
      <c r="AB315" s="28">
        <f>IF(A315="","",COUNTIFS(tbl_Finance[Job Number],A315&amp;"",tbl_Finance[Ex GST],"&lt;&gt;"))</f>
        <v/>
      </c>
      <c r="AC315" s="27">
        <f>IF(A315="","",SUMIFS(tbl_Finance[Ex GST],tbl_Finance[Job Number],A315&amp;""))</f>
        <v/>
      </c>
      <c r="AD315" s="27">
        <f>IF(A315="","",SUMIFS(tbl_Finance[Ex GST],tbl_Finance[Job Number],A315&amp;"",tbl_Finance[Xero Invoice No],"&lt;&gt;"))</f>
        <v/>
      </c>
      <c r="AE315" s="27">
        <f>IF(A315="","",AC315-AD315)</f>
        <v/>
      </c>
      <c r="AF315" s="26">
        <f>IF(A315="","",IFERROR(IF(INDEX(tbl_Onsite[Qwilr Quote],IFERROR(MATCH(A315&amp;"",tbl_Onsite[Job Number],0),MATCH(IFERROR(A315+0,A315),tbl_Onsite[Job Number],0)))="","",INDEX(tbl_Onsite[Qwilr Quote],IFERROR(MATCH(A315&amp;"",tbl_Onsite[Job Number],0),MATCH(IFERROR(A315+0,A315),tbl_Onsite[Job Number],0)))),IFERROR(IF(IF(INDEX(tbl_Production[Current RMS No],IFERROR(MATCH(A315&amp;"",tbl_Production[Job Number],0),MATCH(IFERROR(A315+0,A315),tbl_Production[Job Number],0)))="",INDEX(tbl_Production[Qwilr Quote],IFERROR(MATCH(A315&amp;"",tbl_Production[Job Number],0),MATCH(IFERROR(A315+0,A315),tbl_Production[Job Number],0))),INDEX(tbl_Production[Current RMS No],IFERROR(MATCH(A315&amp;"",tbl_Production[Job Number],0),MATCH(IFERROR(A315+0,A315),tbl_Production[Job Number],0))))="","",IF(INDEX(tbl_Production[Current RMS No],IFERROR(MATCH(A315&amp;"",tbl_Production[Job Number],0),MATCH(IFERROR(A315+0,A315),tbl_Production[Job Number],0)))="",INDEX(tbl_Production[Qwilr Quote],IFERROR(MATCH(A315&amp;"",tbl_Production[Job Number],0),MATCH(IFERROR(A315+0,A315),tbl_Production[Job Number],0))),INDEX(tbl_Production[Current RMS No],IFERROR(MATCH(A315&amp;"",tbl_Production[Job Number],0),MATCH(IFERROR(A315+0,A315),tbl_Production[Job Number],0))))),IFERROR(IF(INDEX(tbl_Consulting[Qwilr Quote],IFERROR(MATCH(A315&amp;"",tbl_Consulting[Job Number],0),MATCH(IFERROR(A315+0,A315),tbl_Consulting[Job Number],0)))="","",INDEX(tbl_Consulting[Qwilr Quote],IFERROR(MATCH(A315&amp;"",tbl_Consulting[Job Number],0),MATCH(IFERROR(A315+0,A315),tbl_Consulting[Job Number],0)))),""))))</f>
        <v/>
      </c>
      <c r="AG315" s="26">
        <f>IF(AF315="","",IF(AND(LEFT(AF315,4)&lt;&gt;"http",IF(G315="Production",set_RMSBase,set_QwilrBase)=""),"",HYPERLINK(IF(LEFT(AF315,4)="http",AF315,IF(G315="Production",set_RMSBase,set_QwilrBase)&amp;AF315),"Open")))</f>
        <v/>
      </c>
      <c r="AH315" s="27">
        <f>IF(A315="","",IFERROR(INDEX(tbl_Production[Total Expense],IFERROR(MATCH(A315&amp;"",tbl_Production[Job Number],0),MATCH(IFERROR(A315+0,A315),tbl_Production[Job Number],0))),IFERROR(INDEX(tbl_Consulting[Total Expense],IFERROR(MATCH(A315&amp;"",tbl_Consulting[Job Number],0),MATCH(IFERROR(A315+0,A315),tbl_Consulting[Job Number],0))),0)))</f>
        <v/>
      </c>
      <c r="AI315" s="27">
        <f>IF(A315="","",AC315-N(AH315))</f>
        <v/>
      </c>
      <c r="AJ315" s="29">
        <f>IFERROR(AI315/AC315,"")</f>
        <v/>
      </c>
      <c r="AK315" s="26">
        <f>IF(A315="","",IFERROR(IF(INDEX(tbl_Onsite[Notes],IFERROR(MATCH(A315&amp;"",tbl_Onsite[Job Number],0),MATCH(IFERROR(A315+0,A315),tbl_Onsite[Job Number],0)))="","",INDEX(tbl_Onsite[Notes],IFERROR(MATCH(A315&amp;"",tbl_Onsite[Job Number],0),MATCH(IFERROR(A315+0,A315),tbl_Onsite[Job Number],0)))),IFERROR(IF(INDEX(tbl_Production[Notes],IFERROR(MATCH(A315&amp;"",tbl_Production[Job Number],0),MATCH(IFERROR(A315+0,A315),tbl_Production[Job Number],0)))="","",INDEX(tbl_Production[Notes],IFERROR(MATCH(A315&amp;"",tbl_Production[Job Number],0),MATCH(IFERROR(A315+0,A315),tbl_Production[Job Number],0)))),IFERROR(IF(INDEX(tbl_Consulting[Notes],IFERROR(MATCH(A315&amp;"",tbl_Consulting[Job Number],0),MATCH(IFERROR(A315+0,A315),tbl_Consulting[Job Number],0)))="","",INDEX(tbl_Consulting[Notes],IFERROR(MATCH(A315&amp;"",tbl_Consulting[Job Number],0),MATCH(IFERROR(A315+0,A315),tbl_Consulting[Job Number],0)))),""))))</f>
        <v/>
      </c>
    </row>
    <row r="316" ht="15" customHeight="1">
      <c r="A316" s="22" t="n"/>
      <c r="B316" s="22" t="n"/>
      <c r="C316" s="23" t="n"/>
      <c r="D316" s="22" t="n"/>
      <c r="E316" s="24" t="n"/>
      <c r="F316" s="25">
        <f>IF(C316="","",EOMONTH(C316,0))</f>
        <v/>
      </c>
      <c r="G316" s="26">
        <f>IF(A316="","",IF(COUNTIF(tbl_Onsite[Job Number],A316&amp;"")&gt;0,"Onsite",IF(COUNTIF(tbl_Production[Job Number],A316&amp;"")&gt;0,"Production",IF(COUNTIF(tbl_Consulting[Job Number],A316&amp;"")&gt;0,"Consulting","not set up yet"))))</f>
        <v/>
      </c>
      <c r="H316" s="26">
        <f>IF(A316="","",IF(COUNTIF(lst_Jobs,A316&amp;"")&gt;0,"OK","CHECK"))</f>
        <v/>
      </c>
      <c r="I316" s="26">
        <f>IF(A316="","",IFERROR(INDEX(lst_JobName,MATCH(A316&amp;"",lst_Jobs,0)),""))</f>
        <v/>
      </c>
      <c r="J316" s="26">
        <f>IF(A316="","",IFERROR(IF(INDEX(tbl_Onsite[Client],IFERROR(MATCH(A316&amp;"",tbl_Onsite[Job Number],0),MATCH(IFERROR(A316+0,A316),tbl_Onsite[Job Number],0)))="","",INDEX(tbl_Onsite[Client],IFERROR(MATCH(A316&amp;"",tbl_Onsite[Job Number],0),MATCH(IFERROR(A316+0,A316),tbl_Onsite[Job Number],0)))),IFERROR(IF(INDEX(tbl_Production[Client],IFERROR(MATCH(A316&amp;"",tbl_Production[Job Number],0),MATCH(IFERROR(A316+0,A316),tbl_Production[Job Number],0)))="","",INDEX(tbl_Production[Client],IFERROR(MATCH(A316&amp;"",tbl_Production[Job Number],0),MATCH(IFERROR(A316+0,A316),tbl_Production[Job Number],0)))),IFERROR(IF(INDEX(tbl_Consulting[Client],IFERROR(MATCH(A316&amp;"",tbl_Consulting[Job Number],0),MATCH(IFERROR(A316+0,A316),tbl_Consulting[Job Number],0)))="","",INDEX(tbl_Consulting[Client],IFERROR(MATCH(A316&amp;"",tbl_Consulting[Job Number],0),MATCH(IFERROR(A316+0,A316),tbl_Consulting[Job Number],0)))),""))))</f>
        <v/>
      </c>
      <c r="K316" s="26">
        <f>IF(A316="","",IFERROR(IF(INDEX(tbl_Onsite[Job Description],IFERROR(MATCH(A316&amp;"",tbl_Onsite[Job Number],0),MATCH(IFERROR(A316+0,A316),tbl_Onsite[Job Number],0)))="","",INDEX(tbl_Onsite[Job Description],IFERROR(MATCH(A316&amp;"",tbl_Onsite[Job Number],0),MATCH(IFERROR(A316+0,A316),tbl_Onsite[Job Number],0)))),IFERROR(IF(INDEX(tbl_Production[Job Description],IFERROR(MATCH(A316&amp;"",tbl_Production[Job Number],0),MATCH(IFERROR(A316+0,A316),tbl_Production[Job Number],0)))="","",INDEX(tbl_Production[Job Description],IFERROR(MATCH(A316&amp;"",tbl_Production[Job Number],0),MATCH(IFERROR(A316+0,A316),tbl_Production[Job Number],0)))),IFERROR(IF(INDEX(tbl_Consulting[Job Description],IFERROR(MATCH(A316&amp;"",tbl_Consulting[Job Number],0),MATCH(IFERROR(A316+0,A316),tbl_Consulting[Job Number],0)))="","",INDEX(tbl_Consulting[Job Description],IFERROR(MATCH(A316&amp;"",tbl_Consulting[Job Number],0),MATCH(IFERROR(A316+0,A316),tbl_Consulting[Job Number],0)))),""))))</f>
        <v/>
      </c>
      <c r="L316" s="26">
        <f>IF(A316="","",IFERROR(IF(INDEX(tbl_Onsite[Invoice Type],IFERROR(MATCH(A316&amp;"",tbl_Onsite[Job Number],0),MATCH(IFERROR(A316+0,A316),tbl_Onsite[Job Number],0)))="","",INDEX(tbl_Onsite[Invoice Type],IFERROR(MATCH(A316&amp;"",tbl_Onsite[Job Number],0),MATCH(IFERROR(A316+0,A316),tbl_Onsite[Job Number],0)))),IFERROR(IF(INDEX(tbl_Production[Invoice Type],IFERROR(MATCH(A316&amp;"",tbl_Production[Job Number],0),MATCH(IFERROR(A316+0,A316),tbl_Production[Job Number],0)))="","",INDEX(tbl_Production[Invoice Type],IFERROR(MATCH(A316&amp;"",tbl_Production[Job Number],0),MATCH(IFERROR(A316+0,A316),tbl_Production[Job Number],0)))),IFERROR(IF(INDEX(tbl_Consulting[Invoice Type],IFERROR(MATCH(A316&amp;"",tbl_Consulting[Job Number],0),MATCH(IFERROR(A316+0,A316),tbl_Consulting[Job Number],0)))="","",INDEX(tbl_Consulting[Invoice Type],IFERROR(MATCH(A316&amp;"",tbl_Consulting[Job Number],0),MATCH(IFERROR(A316+0,A316),tbl_Consulting[Job Number],0)))),""))))</f>
        <v/>
      </c>
      <c r="M316" s="26">
        <f>IF(A316="","",IF(IFERROR(IF(INDEX(tbl_Onsite[Tax Code],IFERROR(MATCH(A316&amp;"",tbl_Onsite[Job Number],0),MATCH(IFERROR(A316+0,A316),tbl_Onsite[Job Number],0)))="","",INDEX(tbl_Onsite[Tax Code],IFERROR(MATCH(A316&amp;"",tbl_Onsite[Job Number],0),MATCH(IFERROR(A316+0,A316),tbl_Onsite[Job Number],0)))),IFERROR(IF(INDEX(tbl_Production[Tax Code],IFERROR(MATCH(A316&amp;"",tbl_Production[Job Number],0),MATCH(IFERROR(A316+0,A316),tbl_Production[Job Number],0)))="","",INDEX(tbl_Production[Tax Code],IFERROR(MATCH(A316&amp;"",tbl_Production[Job Number],0),MATCH(IFERROR(A316+0,A316),tbl_Production[Job Number],0)))),IFERROR(IF(INDEX(tbl_Consulting[Tax Code],IFERROR(MATCH(A316&amp;"",tbl_Consulting[Job Number],0),MATCH(IFERROR(A316+0,A316),tbl_Consulting[Job Number],0)))="","",INDEX(tbl_Consulting[Tax Code],IFERROR(MATCH(A316&amp;"",tbl_Consulting[Job Number],0),MATCH(IFERROR(A316+0,A316),tbl_Consulting[Job Number],0)))),"")))="","GST 10%",IFERROR(IF(INDEX(tbl_Onsite[Tax Code],IFERROR(MATCH(A316&amp;"",tbl_Onsite[Job Number],0),MATCH(IFERROR(A316+0,A316),tbl_Onsite[Job Number],0)))="","",INDEX(tbl_Onsite[Tax Code],IFERROR(MATCH(A316&amp;"",tbl_Onsite[Job Number],0),MATCH(IFERROR(A316+0,A316),tbl_Onsite[Job Number],0)))),IFERROR(IF(INDEX(tbl_Production[Tax Code],IFERROR(MATCH(A316&amp;"",tbl_Production[Job Number],0),MATCH(IFERROR(A316+0,A316),tbl_Production[Job Number],0)))="","",INDEX(tbl_Production[Tax Code],IFERROR(MATCH(A316&amp;"",tbl_Production[Job Number],0),MATCH(IFERROR(A316+0,A316),tbl_Production[Job Number],0)))),IFERROR(IF(INDEX(tbl_Consulting[Tax Code],IFERROR(MATCH(A316&amp;"",tbl_Consulting[Job Number],0),MATCH(IFERROR(A316+0,A316),tbl_Consulting[Job Number],0)))="","",INDEX(tbl_Consulting[Tax Code],IFERROR(MATCH(A316&amp;"",tbl_Consulting[Job Number],0),MATCH(IFERROR(A316+0,A316),tbl_Consulting[Job Number],0)))),"")))))</f>
        <v/>
      </c>
      <c r="N316" s="26">
        <f>IF(D316="","",IFERROR(INDEX(lst_CCtoGL,MATCH(D316,lst_CCforGL,0)),""))</f>
        <v/>
      </c>
      <c r="O316" s="27">
        <f>IF(E316="","",IF(M316="GST 10%",ROUND(E316*set_GSTRate,2),0))</f>
        <v/>
      </c>
      <c r="P316" s="27">
        <f>IF(E316="","",E316+O316)</f>
        <v/>
      </c>
      <c r="Q316" s="27">
        <f>IF(A316="","",IFERROR(INDEX(tbl_Onsite[Expected Revenue Ex GST],IFERROR(MATCH(A316&amp;"",tbl_Onsite[Job Number],0),MATCH(IFERROR(A316+0,A316),tbl_Onsite[Job Number],0))),IFERROR(INDEX(tbl_Production[Expected Revenue Ex GST],IFERROR(MATCH(A316&amp;"",tbl_Production[Job Number],0),MATCH(IFERROR(A316+0,A316),tbl_Production[Job Number],0))),IFERROR(INDEX(tbl_Consulting[Expected Revenue Ex GST],IFERROR(MATCH(A316&amp;"",tbl_Consulting[Job Number],0),MATCH(IFERROR(A316+0,A316),tbl_Consulting[Job Number],0))),0))))</f>
        <v/>
      </c>
      <c r="R316" s="27">
        <f>IF(A316="","",SUMIFS(tbl_Finance[Ex GST],tbl_Finance[Job Number],A316&amp;""))</f>
        <v/>
      </c>
      <c r="S316" s="27">
        <f>IF(A316="","",Q316-R316)</f>
        <v/>
      </c>
      <c r="T316" s="26">
        <f>IF(A316="","",IF(Q316=0,"No dept value",IF(ROUND(S316,2)=0,"Agrees",IF(S316&gt;0,"Dept higher - to invoice","Xero higher - check dept"))))</f>
        <v/>
      </c>
      <c r="U316" s="22" t="n"/>
      <c r="V316" s="22" t="n"/>
      <c r="W316" s="23" t="n"/>
      <c r="X316" s="23" t="n"/>
      <c r="Y316" s="22" t="n"/>
      <c r="Z316" s="22" t="n"/>
      <c r="AA316" s="26">
        <f>IF(COUNTA(C316,A316,B316,E316)=0,"",IF(C316="","No date - sits outside every month",IF(A316="","No job number",IF(H316="CHECK","Job number is not in the Xero job list",IF(G316="not set up yet","No department has set this job up - nothing can pull through",IF(D316="","No cost centre",IF(AND(U316="Y",B316=""),"Marked posted to Xero but has no invoice number",IF(N316="","Cost centre has no revenue GL on the Lists sheet",IF(T316="Xero higher - check dept","Invoiced more than the department says the job is worth","")))))))))</f>
        <v/>
      </c>
      <c r="AB316" s="28">
        <f>IF(A316="","",COUNTIFS(tbl_Finance[Job Number],A316&amp;"",tbl_Finance[Ex GST],"&lt;&gt;"))</f>
        <v/>
      </c>
      <c r="AC316" s="27">
        <f>IF(A316="","",SUMIFS(tbl_Finance[Ex GST],tbl_Finance[Job Number],A316&amp;""))</f>
        <v/>
      </c>
      <c r="AD316" s="27">
        <f>IF(A316="","",SUMIFS(tbl_Finance[Ex GST],tbl_Finance[Job Number],A316&amp;"",tbl_Finance[Xero Invoice No],"&lt;&gt;"))</f>
        <v/>
      </c>
      <c r="AE316" s="27">
        <f>IF(A316="","",AC316-AD316)</f>
        <v/>
      </c>
      <c r="AF316" s="26">
        <f>IF(A316="","",IFERROR(IF(INDEX(tbl_Onsite[Qwilr Quote],IFERROR(MATCH(A316&amp;"",tbl_Onsite[Job Number],0),MATCH(IFERROR(A316+0,A316),tbl_Onsite[Job Number],0)))="","",INDEX(tbl_Onsite[Qwilr Quote],IFERROR(MATCH(A316&amp;"",tbl_Onsite[Job Number],0),MATCH(IFERROR(A316+0,A316),tbl_Onsite[Job Number],0)))),IFERROR(IF(IF(INDEX(tbl_Production[Current RMS No],IFERROR(MATCH(A316&amp;"",tbl_Production[Job Number],0),MATCH(IFERROR(A316+0,A316),tbl_Production[Job Number],0)))="",INDEX(tbl_Production[Qwilr Quote],IFERROR(MATCH(A316&amp;"",tbl_Production[Job Number],0),MATCH(IFERROR(A316+0,A316),tbl_Production[Job Number],0))),INDEX(tbl_Production[Current RMS No],IFERROR(MATCH(A316&amp;"",tbl_Production[Job Number],0),MATCH(IFERROR(A316+0,A316),tbl_Production[Job Number],0))))="","",IF(INDEX(tbl_Production[Current RMS No],IFERROR(MATCH(A316&amp;"",tbl_Production[Job Number],0),MATCH(IFERROR(A316+0,A316),tbl_Production[Job Number],0)))="",INDEX(tbl_Production[Qwilr Quote],IFERROR(MATCH(A316&amp;"",tbl_Production[Job Number],0),MATCH(IFERROR(A316+0,A316),tbl_Production[Job Number],0))),INDEX(tbl_Production[Current RMS No],IFERROR(MATCH(A316&amp;"",tbl_Production[Job Number],0),MATCH(IFERROR(A316+0,A316),tbl_Production[Job Number],0))))),IFERROR(IF(INDEX(tbl_Consulting[Qwilr Quote],IFERROR(MATCH(A316&amp;"",tbl_Consulting[Job Number],0),MATCH(IFERROR(A316+0,A316),tbl_Consulting[Job Number],0)))="","",INDEX(tbl_Consulting[Qwilr Quote],IFERROR(MATCH(A316&amp;"",tbl_Consulting[Job Number],0),MATCH(IFERROR(A316+0,A316),tbl_Consulting[Job Number],0)))),""))))</f>
        <v/>
      </c>
      <c r="AG316" s="26">
        <f>IF(AF316="","",IF(AND(LEFT(AF316,4)&lt;&gt;"http",IF(G316="Production",set_RMSBase,set_QwilrBase)=""),"",HYPERLINK(IF(LEFT(AF316,4)="http",AF316,IF(G316="Production",set_RMSBase,set_QwilrBase)&amp;AF316),"Open")))</f>
        <v/>
      </c>
      <c r="AH316" s="27">
        <f>IF(A316="","",IFERROR(INDEX(tbl_Production[Total Expense],IFERROR(MATCH(A316&amp;"",tbl_Production[Job Number],0),MATCH(IFERROR(A316+0,A316),tbl_Production[Job Number],0))),IFERROR(INDEX(tbl_Consulting[Total Expense],IFERROR(MATCH(A316&amp;"",tbl_Consulting[Job Number],0),MATCH(IFERROR(A316+0,A316),tbl_Consulting[Job Number],0))),0)))</f>
        <v/>
      </c>
      <c r="AI316" s="27">
        <f>IF(A316="","",AC316-N(AH316))</f>
        <v/>
      </c>
      <c r="AJ316" s="29">
        <f>IFERROR(AI316/AC316,"")</f>
        <v/>
      </c>
      <c r="AK316" s="26">
        <f>IF(A316="","",IFERROR(IF(INDEX(tbl_Onsite[Notes],IFERROR(MATCH(A316&amp;"",tbl_Onsite[Job Number],0),MATCH(IFERROR(A316+0,A316),tbl_Onsite[Job Number],0)))="","",INDEX(tbl_Onsite[Notes],IFERROR(MATCH(A316&amp;"",tbl_Onsite[Job Number],0),MATCH(IFERROR(A316+0,A316),tbl_Onsite[Job Number],0)))),IFERROR(IF(INDEX(tbl_Production[Notes],IFERROR(MATCH(A316&amp;"",tbl_Production[Job Number],0),MATCH(IFERROR(A316+0,A316),tbl_Production[Job Number],0)))="","",INDEX(tbl_Production[Notes],IFERROR(MATCH(A316&amp;"",tbl_Production[Job Number],0),MATCH(IFERROR(A316+0,A316),tbl_Production[Job Number],0)))),IFERROR(IF(INDEX(tbl_Consulting[Notes],IFERROR(MATCH(A316&amp;"",tbl_Consulting[Job Number],0),MATCH(IFERROR(A316+0,A316),tbl_Consulting[Job Number],0)))="","",INDEX(tbl_Consulting[Notes],IFERROR(MATCH(A316&amp;"",tbl_Consulting[Job Number],0),MATCH(IFERROR(A316+0,A316),tbl_Consulting[Job Number],0)))),""))))</f>
        <v/>
      </c>
    </row>
    <row r="317" ht="15" customHeight="1">
      <c r="A317" s="22" t="n"/>
      <c r="B317" s="22" t="n"/>
      <c r="C317" s="23" t="n"/>
      <c r="D317" s="22" t="n"/>
      <c r="E317" s="24" t="n"/>
      <c r="F317" s="25">
        <f>IF(C317="","",EOMONTH(C317,0))</f>
        <v/>
      </c>
      <c r="G317" s="26">
        <f>IF(A317="","",IF(COUNTIF(tbl_Onsite[Job Number],A317&amp;"")&gt;0,"Onsite",IF(COUNTIF(tbl_Production[Job Number],A317&amp;"")&gt;0,"Production",IF(COUNTIF(tbl_Consulting[Job Number],A317&amp;"")&gt;0,"Consulting","not set up yet"))))</f>
        <v/>
      </c>
      <c r="H317" s="26">
        <f>IF(A317="","",IF(COUNTIF(lst_Jobs,A317&amp;"")&gt;0,"OK","CHECK"))</f>
        <v/>
      </c>
      <c r="I317" s="26">
        <f>IF(A317="","",IFERROR(INDEX(lst_JobName,MATCH(A317&amp;"",lst_Jobs,0)),""))</f>
        <v/>
      </c>
      <c r="J317" s="26">
        <f>IF(A317="","",IFERROR(IF(INDEX(tbl_Onsite[Client],IFERROR(MATCH(A317&amp;"",tbl_Onsite[Job Number],0),MATCH(IFERROR(A317+0,A317),tbl_Onsite[Job Number],0)))="","",INDEX(tbl_Onsite[Client],IFERROR(MATCH(A317&amp;"",tbl_Onsite[Job Number],0),MATCH(IFERROR(A317+0,A317),tbl_Onsite[Job Number],0)))),IFERROR(IF(INDEX(tbl_Production[Client],IFERROR(MATCH(A317&amp;"",tbl_Production[Job Number],0),MATCH(IFERROR(A317+0,A317),tbl_Production[Job Number],0)))="","",INDEX(tbl_Production[Client],IFERROR(MATCH(A317&amp;"",tbl_Production[Job Number],0),MATCH(IFERROR(A317+0,A317),tbl_Production[Job Number],0)))),IFERROR(IF(INDEX(tbl_Consulting[Client],IFERROR(MATCH(A317&amp;"",tbl_Consulting[Job Number],0),MATCH(IFERROR(A317+0,A317),tbl_Consulting[Job Number],0)))="","",INDEX(tbl_Consulting[Client],IFERROR(MATCH(A317&amp;"",tbl_Consulting[Job Number],0),MATCH(IFERROR(A317+0,A317),tbl_Consulting[Job Number],0)))),""))))</f>
        <v/>
      </c>
      <c r="K317" s="26">
        <f>IF(A317="","",IFERROR(IF(INDEX(tbl_Onsite[Job Description],IFERROR(MATCH(A317&amp;"",tbl_Onsite[Job Number],0),MATCH(IFERROR(A317+0,A317),tbl_Onsite[Job Number],0)))="","",INDEX(tbl_Onsite[Job Description],IFERROR(MATCH(A317&amp;"",tbl_Onsite[Job Number],0),MATCH(IFERROR(A317+0,A317),tbl_Onsite[Job Number],0)))),IFERROR(IF(INDEX(tbl_Production[Job Description],IFERROR(MATCH(A317&amp;"",tbl_Production[Job Number],0),MATCH(IFERROR(A317+0,A317),tbl_Production[Job Number],0)))="","",INDEX(tbl_Production[Job Description],IFERROR(MATCH(A317&amp;"",tbl_Production[Job Number],0),MATCH(IFERROR(A317+0,A317),tbl_Production[Job Number],0)))),IFERROR(IF(INDEX(tbl_Consulting[Job Description],IFERROR(MATCH(A317&amp;"",tbl_Consulting[Job Number],0),MATCH(IFERROR(A317+0,A317),tbl_Consulting[Job Number],0)))="","",INDEX(tbl_Consulting[Job Description],IFERROR(MATCH(A317&amp;"",tbl_Consulting[Job Number],0),MATCH(IFERROR(A317+0,A317),tbl_Consulting[Job Number],0)))),""))))</f>
        <v/>
      </c>
      <c r="L317" s="26">
        <f>IF(A317="","",IFERROR(IF(INDEX(tbl_Onsite[Invoice Type],IFERROR(MATCH(A317&amp;"",tbl_Onsite[Job Number],0),MATCH(IFERROR(A317+0,A317),tbl_Onsite[Job Number],0)))="","",INDEX(tbl_Onsite[Invoice Type],IFERROR(MATCH(A317&amp;"",tbl_Onsite[Job Number],0),MATCH(IFERROR(A317+0,A317),tbl_Onsite[Job Number],0)))),IFERROR(IF(INDEX(tbl_Production[Invoice Type],IFERROR(MATCH(A317&amp;"",tbl_Production[Job Number],0),MATCH(IFERROR(A317+0,A317),tbl_Production[Job Number],0)))="","",INDEX(tbl_Production[Invoice Type],IFERROR(MATCH(A317&amp;"",tbl_Production[Job Number],0),MATCH(IFERROR(A317+0,A317),tbl_Production[Job Number],0)))),IFERROR(IF(INDEX(tbl_Consulting[Invoice Type],IFERROR(MATCH(A317&amp;"",tbl_Consulting[Job Number],0),MATCH(IFERROR(A317+0,A317),tbl_Consulting[Job Number],0)))="","",INDEX(tbl_Consulting[Invoice Type],IFERROR(MATCH(A317&amp;"",tbl_Consulting[Job Number],0),MATCH(IFERROR(A317+0,A317),tbl_Consulting[Job Number],0)))),""))))</f>
        <v/>
      </c>
      <c r="M317" s="26">
        <f>IF(A317="","",IF(IFERROR(IF(INDEX(tbl_Onsite[Tax Code],IFERROR(MATCH(A317&amp;"",tbl_Onsite[Job Number],0),MATCH(IFERROR(A317+0,A317),tbl_Onsite[Job Number],0)))="","",INDEX(tbl_Onsite[Tax Code],IFERROR(MATCH(A317&amp;"",tbl_Onsite[Job Number],0),MATCH(IFERROR(A317+0,A317),tbl_Onsite[Job Number],0)))),IFERROR(IF(INDEX(tbl_Production[Tax Code],IFERROR(MATCH(A317&amp;"",tbl_Production[Job Number],0),MATCH(IFERROR(A317+0,A317),tbl_Production[Job Number],0)))="","",INDEX(tbl_Production[Tax Code],IFERROR(MATCH(A317&amp;"",tbl_Production[Job Number],0),MATCH(IFERROR(A317+0,A317),tbl_Production[Job Number],0)))),IFERROR(IF(INDEX(tbl_Consulting[Tax Code],IFERROR(MATCH(A317&amp;"",tbl_Consulting[Job Number],0),MATCH(IFERROR(A317+0,A317),tbl_Consulting[Job Number],0)))="","",INDEX(tbl_Consulting[Tax Code],IFERROR(MATCH(A317&amp;"",tbl_Consulting[Job Number],0),MATCH(IFERROR(A317+0,A317),tbl_Consulting[Job Number],0)))),"")))="","GST 10%",IFERROR(IF(INDEX(tbl_Onsite[Tax Code],IFERROR(MATCH(A317&amp;"",tbl_Onsite[Job Number],0),MATCH(IFERROR(A317+0,A317),tbl_Onsite[Job Number],0)))="","",INDEX(tbl_Onsite[Tax Code],IFERROR(MATCH(A317&amp;"",tbl_Onsite[Job Number],0),MATCH(IFERROR(A317+0,A317),tbl_Onsite[Job Number],0)))),IFERROR(IF(INDEX(tbl_Production[Tax Code],IFERROR(MATCH(A317&amp;"",tbl_Production[Job Number],0),MATCH(IFERROR(A317+0,A317),tbl_Production[Job Number],0)))="","",INDEX(tbl_Production[Tax Code],IFERROR(MATCH(A317&amp;"",tbl_Production[Job Number],0),MATCH(IFERROR(A317+0,A317),tbl_Production[Job Number],0)))),IFERROR(IF(INDEX(tbl_Consulting[Tax Code],IFERROR(MATCH(A317&amp;"",tbl_Consulting[Job Number],0),MATCH(IFERROR(A317+0,A317),tbl_Consulting[Job Number],0)))="","",INDEX(tbl_Consulting[Tax Code],IFERROR(MATCH(A317&amp;"",tbl_Consulting[Job Number],0),MATCH(IFERROR(A317+0,A317),tbl_Consulting[Job Number],0)))),"")))))</f>
        <v/>
      </c>
      <c r="N317" s="26">
        <f>IF(D317="","",IFERROR(INDEX(lst_CCtoGL,MATCH(D317,lst_CCforGL,0)),""))</f>
        <v/>
      </c>
      <c r="O317" s="27">
        <f>IF(E317="","",IF(M317="GST 10%",ROUND(E317*set_GSTRate,2),0))</f>
        <v/>
      </c>
      <c r="P317" s="27">
        <f>IF(E317="","",E317+O317)</f>
        <v/>
      </c>
      <c r="Q317" s="27">
        <f>IF(A317="","",IFERROR(INDEX(tbl_Onsite[Expected Revenue Ex GST],IFERROR(MATCH(A317&amp;"",tbl_Onsite[Job Number],0),MATCH(IFERROR(A317+0,A317),tbl_Onsite[Job Number],0))),IFERROR(INDEX(tbl_Production[Expected Revenue Ex GST],IFERROR(MATCH(A317&amp;"",tbl_Production[Job Number],0),MATCH(IFERROR(A317+0,A317),tbl_Production[Job Number],0))),IFERROR(INDEX(tbl_Consulting[Expected Revenue Ex GST],IFERROR(MATCH(A317&amp;"",tbl_Consulting[Job Number],0),MATCH(IFERROR(A317+0,A317),tbl_Consulting[Job Number],0))),0))))</f>
        <v/>
      </c>
      <c r="R317" s="27">
        <f>IF(A317="","",SUMIFS(tbl_Finance[Ex GST],tbl_Finance[Job Number],A317&amp;""))</f>
        <v/>
      </c>
      <c r="S317" s="27">
        <f>IF(A317="","",Q317-R317)</f>
        <v/>
      </c>
      <c r="T317" s="26">
        <f>IF(A317="","",IF(Q317=0,"No dept value",IF(ROUND(S317,2)=0,"Agrees",IF(S317&gt;0,"Dept higher - to invoice","Xero higher - check dept"))))</f>
        <v/>
      </c>
      <c r="U317" s="22" t="n"/>
      <c r="V317" s="22" t="n"/>
      <c r="W317" s="23" t="n"/>
      <c r="X317" s="23" t="n"/>
      <c r="Y317" s="22" t="n"/>
      <c r="Z317" s="22" t="n"/>
      <c r="AA317" s="26">
        <f>IF(COUNTA(C317,A317,B317,E317)=0,"",IF(C317="","No date - sits outside every month",IF(A317="","No job number",IF(H317="CHECK","Job number is not in the Xero job list",IF(G317="not set up yet","No department has set this job up - nothing can pull through",IF(D317="","No cost centre",IF(AND(U317="Y",B317=""),"Marked posted to Xero but has no invoice number",IF(N317="","Cost centre has no revenue GL on the Lists sheet",IF(T317="Xero higher - check dept","Invoiced more than the department says the job is worth","")))))))))</f>
        <v/>
      </c>
      <c r="AB317" s="28">
        <f>IF(A317="","",COUNTIFS(tbl_Finance[Job Number],A317&amp;"",tbl_Finance[Ex GST],"&lt;&gt;"))</f>
        <v/>
      </c>
      <c r="AC317" s="27">
        <f>IF(A317="","",SUMIFS(tbl_Finance[Ex GST],tbl_Finance[Job Number],A317&amp;""))</f>
        <v/>
      </c>
      <c r="AD317" s="27">
        <f>IF(A317="","",SUMIFS(tbl_Finance[Ex GST],tbl_Finance[Job Number],A317&amp;"",tbl_Finance[Xero Invoice No],"&lt;&gt;"))</f>
        <v/>
      </c>
      <c r="AE317" s="27">
        <f>IF(A317="","",AC317-AD317)</f>
        <v/>
      </c>
      <c r="AF317" s="26">
        <f>IF(A317="","",IFERROR(IF(INDEX(tbl_Onsite[Qwilr Quote],IFERROR(MATCH(A317&amp;"",tbl_Onsite[Job Number],0),MATCH(IFERROR(A317+0,A317),tbl_Onsite[Job Number],0)))="","",INDEX(tbl_Onsite[Qwilr Quote],IFERROR(MATCH(A317&amp;"",tbl_Onsite[Job Number],0),MATCH(IFERROR(A317+0,A317),tbl_Onsite[Job Number],0)))),IFERROR(IF(IF(INDEX(tbl_Production[Current RMS No],IFERROR(MATCH(A317&amp;"",tbl_Production[Job Number],0),MATCH(IFERROR(A317+0,A317),tbl_Production[Job Number],0)))="",INDEX(tbl_Production[Qwilr Quote],IFERROR(MATCH(A317&amp;"",tbl_Production[Job Number],0),MATCH(IFERROR(A317+0,A317),tbl_Production[Job Number],0))),INDEX(tbl_Production[Current RMS No],IFERROR(MATCH(A317&amp;"",tbl_Production[Job Number],0),MATCH(IFERROR(A317+0,A317),tbl_Production[Job Number],0))))="","",IF(INDEX(tbl_Production[Current RMS No],IFERROR(MATCH(A317&amp;"",tbl_Production[Job Number],0),MATCH(IFERROR(A317+0,A317),tbl_Production[Job Number],0)))="",INDEX(tbl_Production[Qwilr Quote],IFERROR(MATCH(A317&amp;"",tbl_Production[Job Number],0),MATCH(IFERROR(A317+0,A317),tbl_Production[Job Number],0))),INDEX(tbl_Production[Current RMS No],IFERROR(MATCH(A317&amp;"",tbl_Production[Job Number],0),MATCH(IFERROR(A317+0,A317),tbl_Production[Job Number],0))))),IFERROR(IF(INDEX(tbl_Consulting[Qwilr Quote],IFERROR(MATCH(A317&amp;"",tbl_Consulting[Job Number],0),MATCH(IFERROR(A317+0,A317),tbl_Consulting[Job Number],0)))="","",INDEX(tbl_Consulting[Qwilr Quote],IFERROR(MATCH(A317&amp;"",tbl_Consulting[Job Number],0),MATCH(IFERROR(A317+0,A317),tbl_Consulting[Job Number],0)))),""))))</f>
        <v/>
      </c>
      <c r="AG317" s="26">
        <f>IF(AF317="","",IF(AND(LEFT(AF317,4)&lt;&gt;"http",IF(G317="Production",set_RMSBase,set_QwilrBase)=""),"",HYPERLINK(IF(LEFT(AF317,4)="http",AF317,IF(G317="Production",set_RMSBase,set_QwilrBase)&amp;AF317),"Open")))</f>
        <v/>
      </c>
      <c r="AH317" s="27">
        <f>IF(A317="","",IFERROR(INDEX(tbl_Production[Total Expense],IFERROR(MATCH(A317&amp;"",tbl_Production[Job Number],0),MATCH(IFERROR(A317+0,A317),tbl_Production[Job Number],0))),IFERROR(INDEX(tbl_Consulting[Total Expense],IFERROR(MATCH(A317&amp;"",tbl_Consulting[Job Number],0),MATCH(IFERROR(A317+0,A317),tbl_Consulting[Job Number],0))),0)))</f>
        <v/>
      </c>
      <c r="AI317" s="27">
        <f>IF(A317="","",AC317-N(AH317))</f>
        <v/>
      </c>
      <c r="AJ317" s="29">
        <f>IFERROR(AI317/AC317,"")</f>
        <v/>
      </c>
      <c r="AK317" s="26">
        <f>IF(A317="","",IFERROR(IF(INDEX(tbl_Onsite[Notes],IFERROR(MATCH(A317&amp;"",tbl_Onsite[Job Number],0),MATCH(IFERROR(A317+0,A317),tbl_Onsite[Job Number],0)))="","",INDEX(tbl_Onsite[Notes],IFERROR(MATCH(A317&amp;"",tbl_Onsite[Job Number],0),MATCH(IFERROR(A317+0,A317),tbl_Onsite[Job Number],0)))),IFERROR(IF(INDEX(tbl_Production[Notes],IFERROR(MATCH(A317&amp;"",tbl_Production[Job Number],0),MATCH(IFERROR(A317+0,A317),tbl_Production[Job Number],0)))="","",INDEX(tbl_Production[Notes],IFERROR(MATCH(A317&amp;"",tbl_Production[Job Number],0),MATCH(IFERROR(A317+0,A317),tbl_Production[Job Number],0)))),IFERROR(IF(INDEX(tbl_Consulting[Notes],IFERROR(MATCH(A317&amp;"",tbl_Consulting[Job Number],0),MATCH(IFERROR(A317+0,A317),tbl_Consulting[Job Number],0)))="","",INDEX(tbl_Consulting[Notes],IFERROR(MATCH(A317&amp;"",tbl_Consulting[Job Number],0),MATCH(IFERROR(A317+0,A317),tbl_Consulting[Job Number],0)))),""))))</f>
        <v/>
      </c>
    </row>
    <row r="318" ht="15" customHeight="1">
      <c r="A318" s="22" t="n"/>
      <c r="B318" s="22" t="n"/>
      <c r="C318" s="23" t="n"/>
      <c r="D318" s="22" t="n"/>
      <c r="E318" s="24" t="n"/>
      <c r="F318" s="25">
        <f>IF(C318="","",EOMONTH(C318,0))</f>
        <v/>
      </c>
      <c r="G318" s="26">
        <f>IF(A318="","",IF(COUNTIF(tbl_Onsite[Job Number],A318&amp;"")&gt;0,"Onsite",IF(COUNTIF(tbl_Production[Job Number],A318&amp;"")&gt;0,"Production",IF(COUNTIF(tbl_Consulting[Job Number],A318&amp;"")&gt;0,"Consulting","not set up yet"))))</f>
        <v/>
      </c>
      <c r="H318" s="26">
        <f>IF(A318="","",IF(COUNTIF(lst_Jobs,A318&amp;"")&gt;0,"OK","CHECK"))</f>
        <v/>
      </c>
      <c r="I318" s="26">
        <f>IF(A318="","",IFERROR(INDEX(lst_JobName,MATCH(A318&amp;"",lst_Jobs,0)),""))</f>
        <v/>
      </c>
      <c r="J318" s="26">
        <f>IF(A318="","",IFERROR(IF(INDEX(tbl_Onsite[Client],IFERROR(MATCH(A318&amp;"",tbl_Onsite[Job Number],0),MATCH(IFERROR(A318+0,A318),tbl_Onsite[Job Number],0)))="","",INDEX(tbl_Onsite[Client],IFERROR(MATCH(A318&amp;"",tbl_Onsite[Job Number],0),MATCH(IFERROR(A318+0,A318),tbl_Onsite[Job Number],0)))),IFERROR(IF(INDEX(tbl_Production[Client],IFERROR(MATCH(A318&amp;"",tbl_Production[Job Number],0),MATCH(IFERROR(A318+0,A318),tbl_Production[Job Number],0)))="","",INDEX(tbl_Production[Client],IFERROR(MATCH(A318&amp;"",tbl_Production[Job Number],0),MATCH(IFERROR(A318+0,A318),tbl_Production[Job Number],0)))),IFERROR(IF(INDEX(tbl_Consulting[Client],IFERROR(MATCH(A318&amp;"",tbl_Consulting[Job Number],0),MATCH(IFERROR(A318+0,A318),tbl_Consulting[Job Number],0)))="","",INDEX(tbl_Consulting[Client],IFERROR(MATCH(A318&amp;"",tbl_Consulting[Job Number],0),MATCH(IFERROR(A318+0,A318),tbl_Consulting[Job Number],0)))),""))))</f>
        <v/>
      </c>
      <c r="K318" s="26">
        <f>IF(A318="","",IFERROR(IF(INDEX(tbl_Onsite[Job Description],IFERROR(MATCH(A318&amp;"",tbl_Onsite[Job Number],0),MATCH(IFERROR(A318+0,A318),tbl_Onsite[Job Number],0)))="","",INDEX(tbl_Onsite[Job Description],IFERROR(MATCH(A318&amp;"",tbl_Onsite[Job Number],0),MATCH(IFERROR(A318+0,A318),tbl_Onsite[Job Number],0)))),IFERROR(IF(INDEX(tbl_Production[Job Description],IFERROR(MATCH(A318&amp;"",tbl_Production[Job Number],0),MATCH(IFERROR(A318+0,A318),tbl_Production[Job Number],0)))="","",INDEX(tbl_Production[Job Description],IFERROR(MATCH(A318&amp;"",tbl_Production[Job Number],0),MATCH(IFERROR(A318+0,A318),tbl_Production[Job Number],0)))),IFERROR(IF(INDEX(tbl_Consulting[Job Description],IFERROR(MATCH(A318&amp;"",tbl_Consulting[Job Number],0),MATCH(IFERROR(A318+0,A318),tbl_Consulting[Job Number],0)))="","",INDEX(tbl_Consulting[Job Description],IFERROR(MATCH(A318&amp;"",tbl_Consulting[Job Number],0),MATCH(IFERROR(A318+0,A318),tbl_Consulting[Job Number],0)))),""))))</f>
        <v/>
      </c>
      <c r="L318" s="26">
        <f>IF(A318="","",IFERROR(IF(INDEX(tbl_Onsite[Invoice Type],IFERROR(MATCH(A318&amp;"",tbl_Onsite[Job Number],0),MATCH(IFERROR(A318+0,A318),tbl_Onsite[Job Number],0)))="","",INDEX(tbl_Onsite[Invoice Type],IFERROR(MATCH(A318&amp;"",tbl_Onsite[Job Number],0),MATCH(IFERROR(A318+0,A318),tbl_Onsite[Job Number],0)))),IFERROR(IF(INDEX(tbl_Production[Invoice Type],IFERROR(MATCH(A318&amp;"",tbl_Production[Job Number],0),MATCH(IFERROR(A318+0,A318),tbl_Production[Job Number],0)))="","",INDEX(tbl_Production[Invoice Type],IFERROR(MATCH(A318&amp;"",tbl_Production[Job Number],0),MATCH(IFERROR(A318+0,A318),tbl_Production[Job Number],0)))),IFERROR(IF(INDEX(tbl_Consulting[Invoice Type],IFERROR(MATCH(A318&amp;"",tbl_Consulting[Job Number],0),MATCH(IFERROR(A318+0,A318),tbl_Consulting[Job Number],0)))="","",INDEX(tbl_Consulting[Invoice Type],IFERROR(MATCH(A318&amp;"",tbl_Consulting[Job Number],0),MATCH(IFERROR(A318+0,A318),tbl_Consulting[Job Number],0)))),""))))</f>
        <v/>
      </c>
      <c r="M318" s="26">
        <f>IF(A318="","",IF(IFERROR(IF(INDEX(tbl_Onsite[Tax Code],IFERROR(MATCH(A318&amp;"",tbl_Onsite[Job Number],0),MATCH(IFERROR(A318+0,A318),tbl_Onsite[Job Number],0)))="","",INDEX(tbl_Onsite[Tax Code],IFERROR(MATCH(A318&amp;"",tbl_Onsite[Job Number],0),MATCH(IFERROR(A318+0,A318),tbl_Onsite[Job Number],0)))),IFERROR(IF(INDEX(tbl_Production[Tax Code],IFERROR(MATCH(A318&amp;"",tbl_Production[Job Number],0),MATCH(IFERROR(A318+0,A318),tbl_Production[Job Number],0)))="","",INDEX(tbl_Production[Tax Code],IFERROR(MATCH(A318&amp;"",tbl_Production[Job Number],0),MATCH(IFERROR(A318+0,A318),tbl_Production[Job Number],0)))),IFERROR(IF(INDEX(tbl_Consulting[Tax Code],IFERROR(MATCH(A318&amp;"",tbl_Consulting[Job Number],0),MATCH(IFERROR(A318+0,A318),tbl_Consulting[Job Number],0)))="","",INDEX(tbl_Consulting[Tax Code],IFERROR(MATCH(A318&amp;"",tbl_Consulting[Job Number],0),MATCH(IFERROR(A318+0,A318),tbl_Consulting[Job Number],0)))),"")))="","GST 10%",IFERROR(IF(INDEX(tbl_Onsite[Tax Code],IFERROR(MATCH(A318&amp;"",tbl_Onsite[Job Number],0),MATCH(IFERROR(A318+0,A318),tbl_Onsite[Job Number],0)))="","",INDEX(tbl_Onsite[Tax Code],IFERROR(MATCH(A318&amp;"",tbl_Onsite[Job Number],0),MATCH(IFERROR(A318+0,A318),tbl_Onsite[Job Number],0)))),IFERROR(IF(INDEX(tbl_Production[Tax Code],IFERROR(MATCH(A318&amp;"",tbl_Production[Job Number],0),MATCH(IFERROR(A318+0,A318),tbl_Production[Job Number],0)))="","",INDEX(tbl_Production[Tax Code],IFERROR(MATCH(A318&amp;"",tbl_Production[Job Number],0),MATCH(IFERROR(A318+0,A318),tbl_Production[Job Number],0)))),IFERROR(IF(INDEX(tbl_Consulting[Tax Code],IFERROR(MATCH(A318&amp;"",tbl_Consulting[Job Number],0),MATCH(IFERROR(A318+0,A318),tbl_Consulting[Job Number],0)))="","",INDEX(tbl_Consulting[Tax Code],IFERROR(MATCH(A318&amp;"",tbl_Consulting[Job Number],0),MATCH(IFERROR(A318+0,A318),tbl_Consulting[Job Number],0)))),"")))))</f>
        <v/>
      </c>
      <c r="N318" s="26">
        <f>IF(D318="","",IFERROR(INDEX(lst_CCtoGL,MATCH(D318,lst_CCforGL,0)),""))</f>
        <v/>
      </c>
      <c r="O318" s="27">
        <f>IF(E318="","",IF(M318="GST 10%",ROUND(E318*set_GSTRate,2),0))</f>
        <v/>
      </c>
      <c r="P318" s="27">
        <f>IF(E318="","",E318+O318)</f>
        <v/>
      </c>
      <c r="Q318" s="27">
        <f>IF(A318="","",IFERROR(INDEX(tbl_Onsite[Expected Revenue Ex GST],IFERROR(MATCH(A318&amp;"",tbl_Onsite[Job Number],0),MATCH(IFERROR(A318+0,A318),tbl_Onsite[Job Number],0))),IFERROR(INDEX(tbl_Production[Expected Revenue Ex GST],IFERROR(MATCH(A318&amp;"",tbl_Production[Job Number],0),MATCH(IFERROR(A318+0,A318),tbl_Production[Job Number],0))),IFERROR(INDEX(tbl_Consulting[Expected Revenue Ex GST],IFERROR(MATCH(A318&amp;"",tbl_Consulting[Job Number],0),MATCH(IFERROR(A318+0,A318),tbl_Consulting[Job Number],0))),0))))</f>
        <v/>
      </c>
      <c r="R318" s="27">
        <f>IF(A318="","",SUMIFS(tbl_Finance[Ex GST],tbl_Finance[Job Number],A318&amp;""))</f>
        <v/>
      </c>
      <c r="S318" s="27">
        <f>IF(A318="","",Q318-R318)</f>
        <v/>
      </c>
      <c r="T318" s="26">
        <f>IF(A318="","",IF(Q318=0,"No dept value",IF(ROUND(S318,2)=0,"Agrees",IF(S318&gt;0,"Dept higher - to invoice","Xero higher - check dept"))))</f>
        <v/>
      </c>
      <c r="U318" s="22" t="n"/>
      <c r="V318" s="22" t="n"/>
      <c r="W318" s="23" t="n"/>
      <c r="X318" s="23" t="n"/>
      <c r="Y318" s="22" t="n"/>
      <c r="Z318" s="22" t="n"/>
      <c r="AA318" s="26">
        <f>IF(COUNTA(C318,A318,B318,E318)=0,"",IF(C318="","No date - sits outside every month",IF(A318="","No job number",IF(H318="CHECK","Job number is not in the Xero job list",IF(G318="not set up yet","No department has set this job up - nothing can pull through",IF(D318="","No cost centre",IF(AND(U318="Y",B318=""),"Marked posted to Xero but has no invoice number",IF(N318="","Cost centre has no revenue GL on the Lists sheet",IF(T318="Xero higher - check dept","Invoiced more than the department says the job is worth","")))))))))</f>
        <v/>
      </c>
      <c r="AB318" s="28">
        <f>IF(A318="","",COUNTIFS(tbl_Finance[Job Number],A318&amp;"",tbl_Finance[Ex GST],"&lt;&gt;"))</f>
        <v/>
      </c>
      <c r="AC318" s="27">
        <f>IF(A318="","",SUMIFS(tbl_Finance[Ex GST],tbl_Finance[Job Number],A318&amp;""))</f>
        <v/>
      </c>
      <c r="AD318" s="27">
        <f>IF(A318="","",SUMIFS(tbl_Finance[Ex GST],tbl_Finance[Job Number],A318&amp;"",tbl_Finance[Xero Invoice No],"&lt;&gt;"))</f>
        <v/>
      </c>
      <c r="AE318" s="27">
        <f>IF(A318="","",AC318-AD318)</f>
        <v/>
      </c>
      <c r="AF318" s="26">
        <f>IF(A318="","",IFERROR(IF(INDEX(tbl_Onsite[Qwilr Quote],IFERROR(MATCH(A318&amp;"",tbl_Onsite[Job Number],0),MATCH(IFERROR(A318+0,A318),tbl_Onsite[Job Number],0)))="","",INDEX(tbl_Onsite[Qwilr Quote],IFERROR(MATCH(A318&amp;"",tbl_Onsite[Job Number],0),MATCH(IFERROR(A318+0,A318),tbl_Onsite[Job Number],0)))),IFERROR(IF(IF(INDEX(tbl_Production[Current RMS No],IFERROR(MATCH(A318&amp;"",tbl_Production[Job Number],0),MATCH(IFERROR(A318+0,A318),tbl_Production[Job Number],0)))="",INDEX(tbl_Production[Qwilr Quote],IFERROR(MATCH(A318&amp;"",tbl_Production[Job Number],0),MATCH(IFERROR(A318+0,A318),tbl_Production[Job Number],0))),INDEX(tbl_Production[Current RMS No],IFERROR(MATCH(A318&amp;"",tbl_Production[Job Number],0),MATCH(IFERROR(A318+0,A318),tbl_Production[Job Number],0))))="","",IF(INDEX(tbl_Production[Current RMS No],IFERROR(MATCH(A318&amp;"",tbl_Production[Job Number],0),MATCH(IFERROR(A318+0,A318),tbl_Production[Job Number],0)))="",INDEX(tbl_Production[Qwilr Quote],IFERROR(MATCH(A318&amp;"",tbl_Production[Job Number],0),MATCH(IFERROR(A318+0,A318),tbl_Production[Job Number],0))),INDEX(tbl_Production[Current RMS No],IFERROR(MATCH(A318&amp;"",tbl_Production[Job Number],0),MATCH(IFERROR(A318+0,A318),tbl_Production[Job Number],0))))),IFERROR(IF(INDEX(tbl_Consulting[Qwilr Quote],IFERROR(MATCH(A318&amp;"",tbl_Consulting[Job Number],0),MATCH(IFERROR(A318+0,A318),tbl_Consulting[Job Number],0)))="","",INDEX(tbl_Consulting[Qwilr Quote],IFERROR(MATCH(A318&amp;"",tbl_Consulting[Job Number],0),MATCH(IFERROR(A318+0,A318),tbl_Consulting[Job Number],0)))),""))))</f>
        <v/>
      </c>
      <c r="AG318" s="26">
        <f>IF(AF318="","",IF(AND(LEFT(AF318,4)&lt;&gt;"http",IF(G318="Production",set_RMSBase,set_QwilrBase)=""),"",HYPERLINK(IF(LEFT(AF318,4)="http",AF318,IF(G318="Production",set_RMSBase,set_QwilrBase)&amp;AF318),"Open")))</f>
        <v/>
      </c>
      <c r="AH318" s="27">
        <f>IF(A318="","",IFERROR(INDEX(tbl_Production[Total Expense],IFERROR(MATCH(A318&amp;"",tbl_Production[Job Number],0),MATCH(IFERROR(A318+0,A318),tbl_Production[Job Number],0))),IFERROR(INDEX(tbl_Consulting[Total Expense],IFERROR(MATCH(A318&amp;"",tbl_Consulting[Job Number],0),MATCH(IFERROR(A318+0,A318),tbl_Consulting[Job Number],0))),0)))</f>
        <v/>
      </c>
      <c r="AI318" s="27">
        <f>IF(A318="","",AC318-N(AH318))</f>
        <v/>
      </c>
      <c r="AJ318" s="29">
        <f>IFERROR(AI318/AC318,"")</f>
        <v/>
      </c>
      <c r="AK318" s="26">
        <f>IF(A318="","",IFERROR(IF(INDEX(tbl_Onsite[Notes],IFERROR(MATCH(A318&amp;"",tbl_Onsite[Job Number],0),MATCH(IFERROR(A318+0,A318),tbl_Onsite[Job Number],0)))="","",INDEX(tbl_Onsite[Notes],IFERROR(MATCH(A318&amp;"",tbl_Onsite[Job Number],0),MATCH(IFERROR(A318+0,A318),tbl_Onsite[Job Number],0)))),IFERROR(IF(INDEX(tbl_Production[Notes],IFERROR(MATCH(A318&amp;"",tbl_Production[Job Number],0),MATCH(IFERROR(A318+0,A318),tbl_Production[Job Number],0)))="","",INDEX(tbl_Production[Notes],IFERROR(MATCH(A318&amp;"",tbl_Production[Job Number],0),MATCH(IFERROR(A318+0,A318),tbl_Production[Job Number],0)))),IFERROR(IF(INDEX(tbl_Consulting[Notes],IFERROR(MATCH(A318&amp;"",tbl_Consulting[Job Number],0),MATCH(IFERROR(A318+0,A318),tbl_Consulting[Job Number],0)))="","",INDEX(tbl_Consulting[Notes],IFERROR(MATCH(A318&amp;"",tbl_Consulting[Job Number],0),MATCH(IFERROR(A318+0,A318),tbl_Consulting[Job Number],0)))),""))))</f>
        <v/>
      </c>
    </row>
    <row r="319" ht="15" customHeight="1">
      <c r="A319" s="22" t="n"/>
      <c r="B319" s="22" t="n"/>
      <c r="C319" s="23" t="n"/>
      <c r="D319" s="22" t="n"/>
      <c r="E319" s="24" t="n"/>
      <c r="F319" s="25">
        <f>IF(C319="","",EOMONTH(C319,0))</f>
        <v/>
      </c>
      <c r="G319" s="26">
        <f>IF(A319="","",IF(COUNTIF(tbl_Onsite[Job Number],A319&amp;"")&gt;0,"Onsite",IF(COUNTIF(tbl_Production[Job Number],A319&amp;"")&gt;0,"Production",IF(COUNTIF(tbl_Consulting[Job Number],A319&amp;"")&gt;0,"Consulting","not set up yet"))))</f>
        <v/>
      </c>
      <c r="H319" s="26">
        <f>IF(A319="","",IF(COUNTIF(lst_Jobs,A319&amp;"")&gt;0,"OK","CHECK"))</f>
        <v/>
      </c>
      <c r="I319" s="26">
        <f>IF(A319="","",IFERROR(INDEX(lst_JobName,MATCH(A319&amp;"",lst_Jobs,0)),""))</f>
        <v/>
      </c>
      <c r="J319" s="26">
        <f>IF(A319="","",IFERROR(IF(INDEX(tbl_Onsite[Client],IFERROR(MATCH(A319&amp;"",tbl_Onsite[Job Number],0),MATCH(IFERROR(A319+0,A319),tbl_Onsite[Job Number],0)))="","",INDEX(tbl_Onsite[Client],IFERROR(MATCH(A319&amp;"",tbl_Onsite[Job Number],0),MATCH(IFERROR(A319+0,A319),tbl_Onsite[Job Number],0)))),IFERROR(IF(INDEX(tbl_Production[Client],IFERROR(MATCH(A319&amp;"",tbl_Production[Job Number],0),MATCH(IFERROR(A319+0,A319),tbl_Production[Job Number],0)))="","",INDEX(tbl_Production[Client],IFERROR(MATCH(A319&amp;"",tbl_Production[Job Number],0),MATCH(IFERROR(A319+0,A319),tbl_Production[Job Number],0)))),IFERROR(IF(INDEX(tbl_Consulting[Client],IFERROR(MATCH(A319&amp;"",tbl_Consulting[Job Number],0),MATCH(IFERROR(A319+0,A319),tbl_Consulting[Job Number],0)))="","",INDEX(tbl_Consulting[Client],IFERROR(MATCH(A319&amp;"",tbl_Consulting[Job Number],0),MATCH(IFERROR(A319+0,A319),tbl_Consulting[Job Number],0)))),""))))</f>
        <v/>
      </c>
      <c r="K319" s="26">
        <f>IF(A319="","",IFERROR(IF(INDEX(tbl_Onsite[Job Description],IFERROR(MATCH(A319&amp;"",tbl_Onsite[Job Number],0),MATCH(IFERROR(A319+0,A319),tbl_Onsite[Job Number],0)))="","",INDEX(tbl_Onsite[Job Description],IFERROR(MATCH(A319&amp;"",tbl_Onsite[Job Number],0),MATCH(IFERROR(A319+0,A319),tbl_Onsite[Job Number],0)))),IFERROR(IF(INDEX(tbl_Production[Job Description],IFERROR(MATCH(A319&amp;"",tbl_Production[Job Number],0),MATCH(IFERROR(A319+0,A319),tbl_Production[Job Number],0)))="","",INDEX(tbl_Production[Job Description],IFERROR(MATCH(A319&amp;"",tbl_Production[Job Number],0),MATCH(IFERROR(A319+0,A319),tbl_Production[Job Number],0)))),IFERROR(IF(INDEX(tbl_Consulting[Job Description],IFERROR(MATCH(A319&amp;"",tbl_Consulting[Job Number],0),MATCH(IFERROR(A319+0,A319),tbl_Consulting[Job Number],0)))="","",INDEX(tbl_Consulting[Job Description],IFERROR(MATCH(A319&amp;"",tbl_Consulting[Job Number],0),MATCH(IFERROR(A319+0,A319),tbl_Consulting[Job Number],0)))),""))))</f>
        <v/>
      </c>
      <c r="L319" s="26">
        <f>IF(A319="","",IFERROR(IF(INDEX(tbl_Onsite[Invoice Type],IFERROR(MATCH(A319&amp;"",tbl_Onsite[Job Number],0),MATCH(IFERROR(A319+0,A319),tbl_Onsite[Job Number],0)))="","",INDEX(tbl_Onsite[Invoice Type],IFERROR(MATCH(A319&amp;"",tbl_Onsite[Job Number],0),MATCH(IFERROR(A319+0,A319),tbl_Onsite[Job Number],0)))),IFERROR(IF(INDEX(tbl_Production[Invoice Type],IFERROR(MATCH(A319&amp;"",tbl_Production[Job Number],0),MATCH(IFERROR(A319+0,A319),tbl_Production[Job Number],0)))="","",INDEX(tbl_Production[Invoice Type],IFERROR(MATCH(A319&amp;"",tbl_Production[Job Number],0),MATCH(IFERROR(A319+0,A319),tbl_Production[Job Number],0)))),IFERROR(IF(INDEX(tbl_Consulting[Invoice Type],IFERROR(MATCH(A319&amp;"",tbl_Consulting[Job Number],0),MATCH(IFERROR(A319+0,A319),tbl_Consulting[Job Number],0)))="","",INDEX(tbl_Consulting[Invoice Type],IFERROR(MATCH(A319&amp;"",tbl_Consulting[Job Number],0),MATCH(IFERROR(A319+0,A319),tbl_Consulting[Job Number],0)))),""))))</f>
        <v/>
      </c>
      <c r="M319" s="26">
        <f>IF(A319="","",IF(IFERROR(IF(INDEX(tbl_Onsite[Tax Code],IFERROR(MATCH(A319&amp;"",tbl_Onsite[Job Number],0),MATCH(IFERROR(A319+0,A319),tbl_Onsite[Job Number],0)))="","",INDEX(tbl_Onsite[Tax Code],IFERROR(MATCH(A319&amp;"",tbl_Onsite[Job Number],0),MATCH(IFERROR(A319+0,A319),tbl_Onsite[Job Number],0)))),IFERROR(IF(INDEX(tbl_Production[Tax Code],IFERROR(MATCH(A319&amp;"",tbl_Production[Job Number],0),MATCH(IFERROR(A319+0,A319),tbl_Production[Job Number],0)))="","",INDEX(tbl_Production[Tax Code],IFERROR(MATCH(A319&amp;"",tbl_Production[Job Number],0),MATCH(IFERROR(A319+0,A319),tbl_Production[Job Number],0)))),IFERROR(IF(INDEX(tbl_Consulting[Tax Code],IFERROR(MATCH(A319&amp;"",tbl_Consulting[Job Number],0),MATCH(IFERROR(A319+0,A319),tbl_Consulting[Job Number],0)))="","",INDEX(tbl_Consulting[Tax Code],IFERROR(MATCH(A319&amp;"",tbl_Consulting[Job Number],0),MATCH(IFERROR(A319+0,A319),tbl_Consulting[Job Number],0)))),"")))="","GST 10%",IFERROR(IF(INDEX(tbl_Onsite[Tax Code],IFERROR(MATCH(A319&amp;"",tbl_Onsite[Job Number],0),MATCH(IFERROR(A319+0,A319),tbl_Onsite[Job Number],0)))="","",INDEX(tbl_Onsite[Tax Code],IFERROR(MATCH(A319&amp;"",tbl_Onsite[Job Number],0),MATCH(IFERROR(A319+0,A319),tbl_Onsite[Job Number],0)))),IFERROR(IF(INDEX(tbl_Production[Tax Code],IFERROR(MATCH(A319&amp;"",tbl_Production[Job Number],0),MATCH(IFERROR(A319+0,A319),tbl_Production[Job Number],0)))="","",INDEX(tbl_Production[Tax Code],IFERROR(MATCH(A319&amp;"",tbl_Production[Job Number],0),MATCH(IFERROR(A319+0,A319),tbl_Production[Job Number],0)))),IFERROR(IF(INDEX(tbl_Consulting[Tax Code],IFERROR(MATCH(A319&amp;"",tbl_Consulting[Job Number],0),MATCH(IFERROR(A319+0,A319),tbl_Consulting[Job Number],0)))="","",INDEX(tbl_Consulting[Tax Code],IFERROR(MATCH(A319&amp;"",tbl_Consulting[Job Number],0),MATCH(IFERROR(A319+0,A319),tbl_Consulting[Job Number],0)))),"")))))</f>
        <v/>
      </c>
      <c r="N319" s="26">
        <f>IF(D319="","",IFERROR(INDEX(lst_CCtoGL,MATCH(D319,lst_CCforGL,0)),""))</f>
        <v/>
      </c>
      <c r="O319" s="27">
        <f>IF(E319="","",IF(M319="GST 10%",ROUND(E319*set_GSTRate,2),0))</f>
        <v/>
      </c>
      <c r="P319" s="27">
        <f>IF(E319="","",E319+O319)</f>
        <v/>
      </c>
      <c r="Q319" s="27">
        <f>IF(A319="","",IFERROR(INDEX(tbl_Onsite[Expected Revenue Ex GST],IFERROR(MATCH(A319&amp;"",tbl_Onsite[Job Number],0),MATCH(IFERROR(A319+0,A319),tbl_Onsite[Job Number],0))),IFERROR(INDEX(tbl_Production[Expected Revenue Ex GST],IFERROR(MATCH(A319&amp;"",tbl_Production[Job Number],0),MATCH(IFERROR(A319+0,A319),tbl_Production[Job Number],0))),IFERROR(INDEX(tbl_Consulting[Expected Revenue Ex GST],IFERROR(MATCH(A319&amp;"",tbl_Consulting[Job Number],0),MATCH(IFERROR(A319+0,A319),tbl_Consulting[Job Number],0))),0))))</f>
        <v/>
      </c>
      <c r="R319" s="27">
        <f>IF(A319="","",SUMIFS(tbl_Finance[Ex GST],tbl_Finance[Job Number],A319&amp;""))</f>
        <v/>
      </c>
      <c r="S319" s="27">
        <f>IF(A319="","",Q319-R319)</f>
        <v/>
      </c>
      <c r="T319" s="26">
        <f>IF(A319="","",IF(Q319=0,"No dept value",IF(ROUND(S319,2)=0,"Agrees",IF(S319&gt;0,"Dept higher - to invoice","Xero higher - check dept"))))</f>
        <v/>
      </c>
      <c r="U319" s="22" t="n"/>
      <c r="V319" s="22" t="n"/>
      <c r="W319" s="23" t="n"/>
      <c r="X319" s="23" t="n"/>
      <c r="Y319" s="22" t="n"/>
      <c r="Z319" s="22" t="n"/>
      <c r="AA319" s="26">
        <f>IF(COUNTA(C319,A319,B319,E319)=0,"",IF(C319="","No date - sits outside every month",IF(A319="","No job number",IF(H319="CHECK","Job number is not in the Xero job list",IF(G319="not set up yet","No department has set this job up - nothing can pull through",IF(D319="","No cost centre",IF(AND(U319="Y",B319=""),"Marked posted to Xero but has no invoice number",IF(N319="","Cost centre has no revenue GL on the Lists sheet",IF(T319="Xero higher - check dept","Invoiced more than the department says the job is worth","")))))))))</f>
        <v/>
      </c>
      <c r="AB319" s="28">
        <f>IF(A319="","",COUNTIFS(tbl_Finance[Job Number],A319&amp;"",tbl_Finance[Ex GST],"&lt;&gt;"))</f>
        <v/>
      </c>
      <c r="AC319" s="27">
        <f>IF(A319="","",SUMIFS(tbl_Finance[Ex GST],tbl_Finance[Job Number],A319&amp;""))</f>
        <v/>
      </c>
      <c r="AD319" s="27">
        <f>IF(A319="","",SUMIFS(tbl_Finance[Ex GST],tbl_Finance[Job Number],A319&amp;"",tbl_Finance[Xero Invoice No],"&lt;&gt;"))</f>
        <v/>
      </c>
      <c r="AE319" s="27">
        <f>IF(A319="","",AC319-AD319)</f>
        <v/>
      </c>
      <c r="AF319" s="26">
        <f>IF(A319="","",IFERROR(IF(INDEX(tbl_Onsite[Qwilr Quote],IFERROR(MATCH(A319&amp;"",tbl_Onsite[Job Number],0),MATCH(IFERROR(A319+0,A319),tbl_Onsite[Job Number],0)))="","",INDEX(tbl_Onsite[Qwilr Quote],IFERROR(MATCH(A319&amp;"",tbl_Onsite[Job Number],0),MATCH(IFERROR(A319+0,A319),tbl_Onsite[Job Number],0)))),IFERROR(IF(IF(INDEX(tbl_Production[Current RMS No],IFERROR(MATCH(A319&amp;"",tbl_Production[Job Number],0),MATCH(IFERROR(A319+0,A319),tbl_Production[Job Number],0)))="",INDEX(tbl_Production[Qwilr Quote],IFERROR(MATCH(A319&amp;"",tbl_Production[Job Number],0),MATCH(IFERROR(A319+0,A319),tbl_Production[Job Number],0))),INDEX(tbl_Production[Current RMS No],IFERROR(MATCH(A319&amp;"",tbl_Production[Job Number],0),MATCH(IFERROR(A319+0,A319),tbl_Production[Job Number],0))))="","",IF(INDEX(tbl_Production[Current RMS No],IFERROR(MATCH(A319&amp;"",tbl_Production[Job Number],0),MATCH(IFERROR(A319+0,A319),tbl_Production[Job Number],0)))="",INDEX(tbl_Production[Qwilr Quote],IFERROR(MATCH(A319&amp;"",tbl_Production[Job Number],0),MATCH(IFERROR(A319+0,A319),tbl_Production[Job Number],0))),INDEX(tbl_Production[Current RMS No],IFERROR(MATCH(A319&amp;"",tbl_Production[Job Number],0),MATCH(IFERROR(A319+0,A319),tbl_Production[Job Number],0))))),IFERROR(IF(INDEX(tbl_Consulting[Qwilr Quote],IFERROR(MATCH(A319&amp;"",tbl_Consulting[Job Number],0),MATCH(IFERROR(A319+0,A319),tbl_Consulting[Job Number],0)))="","",INDEX(tbl_Consulting[Qwilr Quote],IFERROR(MATCH(A319&amp;"",tbl_Consulting[Job Number],0),MATCH(IFERROR(A319+0,A319),tbl_Consulting[Job Number],0)))),""))))</f>
        <v/>
      </c>
      <c r="AG319" s="26">
        <f>IF(AF319="","",IF(AND(LEFT(AF319,4)&lt;&gt;"http",IF(G319="Production",set_RMSBase,set_QwilrBase)=""),"",HYPERLINK(IF(LEFT(AF319,4)="http",AF319,IF(G319="Production",set_RMSBase,set_QwilrBase)&amp;AF319),"Open")))</f>
        <v/>
      </c>
      <c r="AH319" s="27">
        <f>IF(A319="","",IFERROR(INDEX(tbl_Production[Total Expense],IFERROR(MATCH(A319&amp;"",tbl_Production[Job Number],0),MATCH(IFERROR(A319+0,A319),tbl_Production[Job Number],0))),IFERROR(INDEX(tbl_Consulting[Total Expense],IFERROR(MATCH(A319&amp;"",tbl_Consulting[Job Number],0),MATCH(IFERROR(A319+0,A319),tbl_Consulting[Job Number],0))),0)))</f>
        <v/>
      </c>
      <c r="AI319" s="27">
        <f>IF(A319="","",AC319-N(AH319))</f>
        <v/>
      </c>
      <c r="AJ319" s="29">
        <f>IFERROR(AI319/AC319,"")</f>
        <v/>
      </c>
      <c r="AK319" s="26">
        <f>IF(A319="","",IFERROR(IF(INDEX(tbl_Onsite[Notes],IFERROR(MATCH(A319&amp;"",tbl_Onsite[Job Number],0),MATCH(IFERROR(A319+0,A319),tbl_Onsite[Job Number],0)))="","",INDEX(tbl_Onsite[Notes],IFERROR(MATCH(A319&amp;"",tbl_Onsite[Job Number],0),MATCH(IFERROR(A319+0,A319),tbl_Onsite[Job Number],0)))),IFERROR(IF(INDEX(tbl_Production[Notes],IFERROR(MATCH(A319&amp;"",tbl_Production[Job Number],0),MATCH(IFERROR(A319+0,A319),tbl_Production[Job Number],0)))="","",INDEX(tbl_Production[Notes],IFERROR(MATCH(A319&amp;"",tbl_Production[Job Number],0),MATCH(IFERROR(A319+0,A319),tbl_Production[Job Number],0)))),IFERROR(IF(INDEX(tbl_Consulting[Notes],IFERROR(MATCH(A319&amp;"",tbl_Consulting[Job Number],0),MATCH(IFERROR(A319+0,A319),tbl_Consulting[Job Number],0)))="","",INDEX(tbl_Consulting[Notes],IFERROR(MATCH(A319&amp;"",tbl_Consulting[Job Number],0),MATCH(IFERROR(A319+0,A319),tbl_Consulting[Job Number],0)))),""))))</f>
        <v/>
      </c>
    </row>
    <row r="320" ht="15" customHeight="1">
      <c r="A320" s="22" t="n"/>
      <c r="B320" s="22" t="n"/>
      <c r="C320" s="23" t="n"/>
      <c r="D320" s="22" t="n"/>
      <c r="E320" s="24" t="n"/>
      <c r="F320" s="25">
        <f>IF(C320="","",EOMONTH(C320,0))</f>
        <v/>
      </c>
      <c r="G320" s="26">
        <f>IF(A320="","",IF(COUNTIF(tbl_Onsite[Job Number],A320&amp;"")&gt;0,"Onsite",IF(COUNTIF(tbl_Production[Job Number],A320&amp;"")&gt;0,"Production",IF(COUNTIF(tbl_Consulting[Job Number],A320&amp;"")&gt;0,"Consulting","not set up yet"))))</f>
        <v/>
      </c>
      <c r="H320" s="26">
        <f>IF(A320="","",IF(COUNTIF(lst_Jobs,A320&amp;"")&gt;0,"OK","CHECK"))</f>
        <v/>
      </c>
      <c r="I320" s="26">
        <f>IF(A320="","",IFERROR(INDEX(lst_JobName,MATCH(A320&amp;"",lst_Jobs,0)),""))</f>
        <v/>
      </c>
      <c r="J320" s="26">
        <f>IF(A320="","",IFERROR(IF(INDEX(tbl_Onsite[Client],IFERROR(MATCH(A320&amp;"",tbl_Onsite[Job Number],0),MATCH(IFERROR(A320+0,A320),tbl_Onsite[Job Number],0)))="","",INDEX(tbl_Onsite[Client],IFERROR(MATCH(A320&amp;"",tbl_Onsite[Job Number],0),MATCH(IFERROR(A320+0,A320),tbl_Onsite[Job Number],0)))),IFERROR(IF(INDEX(tbl_Production[Client],IFERROR(MATCH(A320&amp;"",tbl_Production[Job Number],0),MATCH(IFERROR(A320+0,A320),tbl_Production[Job Number],0)))="","",INDEX(tbl_Production[Client],IFERROR(MATCH(A320&amp;"",tbl_Production[Job Number],0),MATCH(IFERROR(A320+0,A320),tbl_Production[Job Number],0)))),IFERROR(IF(INDEX(tbl_Consulting[Client],IFERROR(MATCH(A320&amp;"",tbl_Consulting[Job Number],0),MATCH(IFERROR(A320+0,A320),tbl_Consulting[Job Number],0)))="","",INDEX(tbl_Consulting[Client],IFERROR(MATCH(A320&amp;"",tbl_Consulting[Job Number],0),MATCH(IFERROR(A320+0,A320),tbl_Consulting[Job Number],0)))),""))))</f>
        <v/>
      </c>
      <c r="K320" s="26">
        <f>IF(A320="","",IFERROR(IF(INDEX(tbl_Onsite[Job Description],IFERROR(MATCH(A320&amp;"",tbl_Onsite[Job Number],0),MATCH(IFERROR(A320+0,A320),tbl_Onsite[Job Number],0)))="","",INDEX(tbl_Onsite[Job Description],IFERROR(MATCH(A320&amp;"",tbl_Onsite[Job Number],0),MATCH(IFERROR(A320+0,A320),tbl_Onsite[Job Number],0)))),IFERROR(IF(INDEX(tbl_Production[Job Description],IFERROR(MATCH(A320&amp;"",tbl_Production[Job Number],0),MATCH(IFERROR(A320+0,A320),tbl_Production[Job Number],0)))="","",INDEX(tbl_Production[Job Description],IFERROR(MATCH(A320&amp;"",tbl_Production[Job Number],0),MATCH(IFERROR(A320+0,A320),tbl_Production[Job Number],0)))),IFERROR(IF(INDEX(tbl_Consulting[Job Description],IFERROR(MATCH(A320&amp;"",tbl_Consulting[Job Number],0),MATCH(IFERROR(A320+0,A320),tbl_Consulting[Job Number],0)))="","",INDEX(tbl_Consulting[Job Description],IFERROR(MATCH(A320&amp;"",tbl_Consulting[Job Number],0),MATCH(IFERROR(A320+0,A320),tbl_Consulting[Job Number],0)))),""))))</f>
        <v/>
      </c>
      <c r="L320" s="26">
        <f>IF(A320="","",IFERROR(IF(INDEX(tbl_Onsite[Invoice Type],IFERROR(MATCH(A320&amp;"",tbl_Onsite[Job Number],0),MATCH(IFERROR(A320+0,A320),tbl_Onsite[Job Number],0)))="","",INDEX(tbl_Onsite[Invoice Type],IFERROR(MATCH(A320&amp;"",tbl_Onsite[Job Number],0),MATCH(IFERROR(A320+0,A320),tbl_Onsite[Job Number],0)))),IFERROR(IF(INDEX(tbl_Production[Invoice Type],IFERROR(MATCH(A320&amp;"",tbl_Production[Job Number],0),MATCH(IFERROR(A320+0,A320),tbl_Production[Job Number],0)))="","",INDEX(tbl_Production[Invoice Type],IFERROR(MATCH(A320&amp;"",tbl_Production[Job Number],0),MATCH(IFERROR(A320+0,A320),tbl_Production[Job Number],0)))),IFERROR(IF(INDEX(tbl_Consulting[Invoice Type],IFERROR(MATCH(A320&amp;"",tbl_Consulting[Job Number],0),MATCH(IFERROR(A320+0,A320),tbl_Consulting[Job Number],0)))="","",INDEX(tbl_Consulting[Invoice Type],IFERROR(MATCH(A320&amp;"",tbl_Consulting[Job Number],0),MATCH(IFERROR(A320+0,A320),tbl_Consulting[Job Number],0)))),""))))</f>
        <v/>
      </c>
      <c r="M320" s="26">
        <f>IF(A320="","",IF(IFERROR(IF(INDEX(tbl_Onsite[Tax Code],IFERROR(MATCH(A320&amp;"",tbl_Onsite[Job Number],0),MATCH(IFERROR(A320+0,A320),tbl_Onsite[Job Number],0)))="","",INDEX(tbl_Onsite[Tax Code],IFERROR(MATCH(A320&amp;"",tbl_Onsite[Job Number],0),MATCH(IFERROR(A320+0,A320),tbl_Onsite[Job Number],0)))),IFERROR(IF(INDEX(tbl_Production[Tax Code],IFERROR(MATCH(A320&amp;"",tbl_Production[Job Number],0),MATCH(IFERROR(A320+0,A320),tbl_Production[Job Number],0)))="","",INDEX(tbl_Production[Tax Code],IFERROR(MATCH(A320&amp;"",tbl_Production[Job Number],0),MATCH(IFERROR(A320+0,A320),tbl_Production[Job Number],0)))),IFERROR(IF(INDEX(tbl_Consulting[Tax Code],IFERROR(MATCH(A320&amp;"",tbl_Consulting[Job Number],0),MATCH(IFERROR(A320+0,A320),tbl_Consulting[Job Number],0)))="","",INDEX(tbl_Consulting[Tax Code],IFERROR(MATCH(A320&amp;"",tbl_Consulting[Job Number],0),MATCH(IFERROR(A320+0,A320),tbl_Consulting[Job Number],0)))),"")))="","GST 10%",IFERROR(IF(INDEX(tbl_Onsite[Tax Code],IFERROR(MATCH(A320&amp;"",tbl_Onsite[Job Number],0),MATCH(IFERROR(A320+0,A320),tbl_Onsite[Job Number],0)))="","",INDEX(tbl_Onsite[Tax Code],IFERROR(MATCH(A320&amp;"",tbl_Onsite[Job Number],0),MATCH(IFERROR(A320+0,A320),tbl_Onsite[Job Number],0)))),IFERROR(IF(INDEX(tbl_Production[Tax Code],IFERROR(MATCH(A320&amp;"",tbl_Production[Job Number],0),MATCH(IFERROR(A320+0,A320),tbl_Production[Job Number],0)))="","",INDEX(tbl_Production[Tax Code],IFERROR(MATCH(A320&amp;"",tbl_Production[Job Number],0),MATCH(IFERROR(A320+0,A320),tbl_Production[Job Number],0)))),IFERROR(IF(INDEX(tbl_Consulting[Tax Code],IFERROR(MATCH(A320&amp;"",tbl_Consulting[Job Number],0),MATCH(IFERROR(A320+0,A320),tbl_Consulting[Job Number],0)))="","",INDEX(tbl_Consulting[Tax Code],IFERROR(MATCH(A320&amp;"",tbl_Consulting[Job Number],0),MATCH(IFERROR(A320+0,A320),tbl_Consulting[Job Number],0)))),"")))))</f>
        <v/>
      </c>
      <c r="N320" s="26">
        <f>IF(D320="","",IFERROR(INDEX(lst_CCtoGL,MATCH(D320,lst_CCforGL,0)),""))</f>
        <v/>
      </c>
      <c r="O320" s="27">
        <f>IF(E320="","",IF(M320="GST 10%",ROUND(E320*set_GSTRate,2),0))</f>
        <v/>
      </c>
      <c r="P320" s="27">
        <f>IF(E320="","",E320+O320)</f>
        <v/>
      </c>
      <c r="Q320" s="27">
        <f>IF(A320="","",IFERROR(INDEX(tbl_Onsite[Expected Revenue Ex GST],IFERROR(MATCH(A320&amp;"",tbl_Onsite[Job Number],0),MATCH(IFERROR(A320+0,A320),tbl_Onsite[Job Number],0))),IFERROR(INDEX(tbl_Production[Expected Revenue Ex GST],IFERROR(MATCH(A320&amp;"",tbl_Production[Job Number],0),MATCH(IFERROR(A320+0,A320),tbl_Production[Job Number],0))),IFERROR(INDEX(tbl_Consulting[Expected Revenue Ex GST],IFERROR(MATCH(A320&amp;"",tbl_Consulting[Job Number],0),MATCH(IFERROR(A320+0,A320),tbl_Consulting[Job Number],0))),0))))</f>
        <v/>
      </c>
      <c r="R320" s="27">
        <f>IF(A320="","",SUMIFS(tbl_Finance[Ex GST],tbl_Finance[Job Number],A320&amp;""))</f>
        <v/>
      </c>
      <c r="S320" s="27">
        <f>IF(A320="","",Q320-R320)</f>
        <v/>
      </c>
      <c r="T320" s="26">
        <f>IF(A320="","",IF(Q320=0,"No dept value",IF(ROUND(S320,2)=0,"Agrees",IF(S320&gt;0,"Dept higher - to invoice","Xero higher - check dept"))))</f>
        <v/>
      </c>
      <c r="U320" s="22" t="n"/>
      <c r="V320" s="22" t="n"/>
      <c r="W320" s="23" t="n"/>
      <c r="X320" s="23" t="n"/>
      <c r="Y320" s="22" t="n"/>
      <c r="Z320" s="22" t="n"/>
      <c r="AA320" s="26">
        <f>IF(COUNTA(C320,A320,B320,E320)=0,"",IF(C320="","No date - sits outside every month",IF(A320="","No job number",IF(H320="CHECK","Job number is not in the Xero job list",IF(G320="not set up yet","No department has set this job up - nothing can pull through",IF(D320="","No cost centre",IF(AND(U320="Y",B320=""),"Marked posted to Xero but has no invoice number",IF(N320="","Cost centre has no revenue GL on the Lists sheet",IF(T320="Xero higher - check dept","Invoiced more than the department says the job is worth","")))))))))</f>
        <v/>
      </c>
      <c r="AB320" s="28">
        <f>IF(A320="","",COUNTIFS(tbl_Finance[Job Number],A320&amp;"",tbl_Finance[Ex GST],"&lt;&gt;"))</f>
        <v/>
      </c>
      <c r="AC320" s="27">
        <f>IF(A320="","",SUMIFS(tbl_Finance[Ex GST],tbl_Finance[Job Number],A320&amp;""))</f>
        <v/>
      </c>
      <c r="AD320" s="27">
        <f>IF(A320="","",SUMIFS(tbl_Finance[Ex GST],tbl_Finance[Job Number],A320&amp;"",tbl_Finance[Xero Invoice No],"&lt;&gt;"))</f>
        <v/>
      </c>
      <c r="AE320" s="27">
        <f>IF(A320="","",AC320-AD320)</f>
        <v/>
      </c>
      <c r="AF320" s="26">
        <f>IF(A320="","",IFERROR(IF(INDEX(tbl_Onsite[Qwilr Quote],IFERROR(MATCH(A320&amp;"",tbl_Onsite[Job Number],0),MATCH(IFERROR(A320+0,A320),tbl_Onsite[Job Number],0)))="","",INDEX(tbl_Onsite[Qwilr Quote],IFERROR(MATCH(A320&amp;"",tbl_Onsite[Job Number],0),MATCH(IFERROR(A320+0,A320),tbl_Onsite[Job Number],0)))),IFERROR(IF(IF(INDEX(tbl_Production[Current RMS No],IFERROR(MATCH(A320&amp;"",tbl_Production[Job Number],0),MATCH(IFERROR(A320+0,A320),tbl_Production[Job Number],0)))="",INDEX(tbl_Production[Qwilr Quote],IFERROR(MATCH(A320&amp;"",tbl_Production[Job Number],0),MATCH(IFERROR(A320+0,A320),tbl_Production[Job Number],0))),INDEX(tbl_Production[Current RMS No],IFERROR(MATCH(A320&amp;"",tbl_Production[Job Number],0),MATCH(IFERROR(A320+0,A320),tbl_Production[Job Number],0))))="","",IF(INDEX(tbl_Production[Current RMS No],IFERROR(MATCH(A320&amp;"",tbl_Production[Job Number],0),MATCH(IFERROR(A320+0,A320),tbl_Production[Job Number],0)))="",INDEX(tbl_Production[Qwilr Quote],IFERROR(MATCH(A320&amp;"",tbl_Production[Job Number],0),MATCH(IFERROR(A320+0,A320),tbl_Production[Job Number],0))),INDEX(tbl_Production[Current RMS No],IFERROR(MATCH(A320&amp;"",tbl_Production[Job Number],0),MATCH(IFERROR(A320+0,A320),tbl_Production[Job Number],0))))),IFERROR(IF(INDEX(tbl_Consulting[Qwilr Quote],IFERROR(MATCH(A320&amp;"",tbl_Consulting[Job Number],0),MATCH(IFERROR(A320+0,A320),tbl_Consulting[Job Number],0)))="","",INDEX(tbl_Consulting[Qwilr Quote],IFERROR(MATCH(A320&amp;"",tbl_Consulting[Job Number],0),MATCH(IFERROR(A320+0,A320),tbl_Consulting[Job Number],0)))),""))))</f>
        <v/>
      </c>
      <c r="AG320" s="26">
        <f>IF(AF320="","",IF(AND(LEFT(AF320,4)&lt;&gt;"http",IF(G320="Production",set_RMSBase,set_QwilrBase)=""),"",HYPERLINK(IF(LEFT(AF320,4)="http",AF320,IF(G320="Production",set_RMSBase,set_QwilrBase)&amp;AF320),"Open")))</f>
        <v/>
      </c>
      <c r="AH320" s="27">
        <f>IF(A320="","",IFERROR(INDEX(tbl_Production[Total Expense],IFERROR(MATCH(A320&amp;"",tbl_Production[Job Number],0),MATCH(IFERROR(A320+0,A320),tbl_Production[Job Number],0))),IFERROR(INDEX(tbl_Consulting[Total Expense],IFERROR(MATCH(A320&amp;"",tbl_Consulting[Job Number],0),MATCH(IFERROR(A320+0,A320),tbl_Consulting[Job Number],0))),0)))</f>
        <v/>
      </c>
      <c r="AI320" s="27">
        <f>IF(A320="","",AC320-N(AH320))</f>
        <v/>
      </c>
      <c r="AJ320" s="29">
        <f>IFERROR(AI320/AC320,"")</f>
        <v/>
      </c>
      <c r="AK320" s="26">
        <f>IF(A320="","",IFERROR(IF(INDEX(tbl_Onsite[Notes],IFERROR(MATCH(A320&amp;"",tbl_Onsite[Job Number],0),MATCH(IFERROR(A320+0,A320),tbl_Onsite[Job Number],0)))="","",INDEX(tbl_Onsite[Notes],IFERROR(MATCH(A320&amp;"",tbl_Onsite[Job Number],0),MATCH(IFERROR(A320+0,A320),tbl_Onsite[Job Number],0)))),IFERROR(IF(INDEX(tbl_Production[Notes],IFERROR(MATCH(A320&amp;"",tbl_Production[Job Number],0),MATCH(IFERROR(A320+0,A320),tbl_Production[Job Number],0)))="","",INDEX(tbl_Production[Notes],IFERROR(MATCH(A320&amp;"",tbl_Production[Job Number],0),MATCH(IFERROR(A320+0,A320),tbl_Production[Job Number],0)))),IFERROR(IF(INDEX(tbl_Consulting[Notes],IFERROR(MATCH(A320&amp;"",tbl_Consulting[Job Number],0),MATCH(IFERROR(A320+0,A320),tbl_Consulting[Job Number],0)))="","",INDEX(tbl_Consulting[Notes],IFERROR(MATCH(A320&amp;"",tbl_Consulting[Job Number],0),MATCH(IFERROR(A320+0,A320),tbl_Consulting[Job Number],0)))),""))))</f>
        <v/>
      </c>
    </row>
    <row r="321" ht="15" customHeight="1">
      <c r="A321" s="22" t="n"/>
      <c r="B321" s="22" t="n"/>
      <c r="C321" s="23" t="n"/>
      <c r="D321" s="22" t="n"/>
      <c r="E321" s="24" t="n"/>
      <c r="F321" s="25">
        <f>IF(C321="","",EOMONTH(C321,0))</f>
        <v/>
      </c>
      <c r="G321" s="26">
        <f>IF(A321="","",IF(COUNTIF(tbl_Onsite[Job Number],A321&amp;"")&gt;0,"Onsite",IF(COUNTIF(tbl_Production[Job Number],A321&amp;"")&gt;0,"Production",IF(COUNTIF(tbl_Consulting[Job Number],A321&amp;"")&gt;0,"Consulting","not set up yet"))))</f>
        <v/>
      </c>
      <c r="H321" s="26">
        <f>IF(A321="","",IF(COUNTIF(lst_Jobs,A321&amp;"")&gt;0,"OK","CHECK"))</f>
        <v/>
      </c>
      <c r="I321" s="26">
        <f>IF(A321="","",IFERROR(INDEX(lst_JobName,MATCH(A321&amp;"",lst_Jobs,0)),""))</f>
        <v/>
      </c>
      <c r="J321" s="26">
        <f>IF(A321="","",IFERROR(IF(INDEX(tbl_Onsite[Client],IFERROR(MATCH(A321&amp;"",tbl_Onsite[Job Number],0),MATCH(IFERROR(A321+0,A321),tbl_Onsite[Job Number],0)))="","",INDEX(tbl_Onsite[Client],IFERROR(MATCH(A321&amp;"",tbl_Onsite[Job Number],0),MATCH(IFERROR(A321+0,A321),tbl_Onsite[Job Number],0)))),IFERROR(IF(INDEX(tbl_Production[Client],IFERROR(MATCH(A321&amp;"",tbl_Production[Job Number],0),MATCH(IFERROR(A321+0,A321),tbl_Production[Job Number],0)))="","",INDEX(tbl_Production[Client],IFERROR(MATCH(A321&amp;"",tbl_Production[Job Number],0),MATCH(IFERROR(A321+0,A321),tbl_Production[Job Number],0)))),IFERROR(IF(INDEX(tbl_Consulting[Client],IFERROR(MATCH(A321&amp;"",tbl_Consulting[Job Number],0),MATCH(IFERROR(A321+0,A321),tbl_Consulting[Job Number],0)))="","",INDEX(tbl_Consulting[Client],IFERROR(MATCH(A321&amp;"",tbl_Consulting[Job Number],0),MATCH(IFERROR(A321+0,A321),tbl_Consulting[Job Number],0)))),""))))</f>
        <v/>
      </c>
      <c r="K321" s="26">
        <f>IF(A321="","",IFERROR(IF(INDEX(tbl_Onsite[Job Description],IFERROR(MATCH(A321&amp;"",tbl_Onsite[Job Number],0),MATCH(IFERROR(A321+0,A321),tbl_Onsite[Job Number],0)))="","",INDEX(tbl_Onsite[Job Description],IFERROR(MATCH(A321&amp;"",tbl_Onsite[Job Number],0),MATCH(IFERROR(A321+0,A321),tbl_Onsite[Job Number],0)))),IFERROR(IF(INDEX(tbl_Production[Job Description],IFERROR(MATCH(A321&amp;"",tbl_Production[Job Number],0),MATCH(IFERROR(A321+0,A321),tbl_Production[Job Number],0)))="","",INDEX(tbl_Production[Job Description],IFERROR(MATCH(A321&amp;"",tbl_Production[Job Number],0),MATCH(IFERROR(A321+0,A321),tbl_Production[Job Number],0)))),IFERROR(IF(INDEX(tbl_Consulting[Job Description],IFERROR(MATCH(A321&amp;"",tbl_Consulting[Job Number],0),MATCH(IFERROR(A321+0,A321),tbl_Consulting[Job Number],0)))="","",INDEX(tbl_Consulting[Job Description],IFERROR(MATCH(A321&amp;"",tbl_Consulting[Job Number],0),MATCH(IFERROR(A321+0,A321),tbl_Consulting[Job Number],0)))),""))))</f>
        <v/>
      </c>
      <c r="L321" s="26">
        <f>IF(A321="","",IFERROR(IF(INDEX(tbl_Onsite[Invoice Type],IFERROR(MATCH(A321&amp;"",tbl_Onsite[Job Number],0),MATCH(IFERROR(A321+0,A321),tbl_Onsite[Job Number],0)))="","",INDEX(tbl_Onsite[Invoice Type],IFERROR(MATCH(A321&amp;"",tbl_Onsite[Job Number],0),MATCH(IFERROR(A321+0,A321),tbl_Onsite[Job Number],0)))),IFERROR(IF(INDEX(tbl_Production[Invoice Type],IFERROR(MATCH(A321&amp;"",tbl_Production[Job Number],0),MATCH(IFERROR(A321+0,A321),tbl_Production[Job Number],0)))="","",INDEX(tbl_Production[Invoice Type],IFERROR(MATCH(A321&amp;"",tbl_Production[Job Number],0),MATCH(IFERROR(A321+0,A321),tbl_Production[Job Number],0)))),IFERROR(IF(INDEX(tbl_Consulting[Invoice Type],IFERROR(MATCH(A321&amp;"",tbl_Consulting[Job Number],0),MATCH(IFERROR(A321+0,A321),tbl_Consulting[Job Number],0)))="","",INDEX(tbl_Consulting[Invoice Type],IFERROR(MATCH(A321&amp;"",tbl_Consulting[Job Number],0),MATCH(IFERROR(A321+0,A321),tbl_Consulting[Job Number],0)))),""))))</f>
        <v/>
      </c>
      <c r="M321" s="26">
        <f>IF(A321="","",IF(IFERROR(IF(INDEX(tbl_Onsite[Tax Code],IFERROR(MATCH(A321&amp;"",tbl_Onsite[Job Number],0),MATCH(IFERROR(A321+0,A321),tbl_Onsite[Job Number],0)))="","",INDEX(tbl_Onsite[Tax Code],IFERROR(MATCH(A321&amp;"",tbl_Onsite[Job Number],0),MATCH(IFERROR(A321+0,A321),tbl_Onsite[Job Number],0)))),IFERROR(IF(INDEX(tbl_Production[Tax Code],IFERROR(MATCH(A321&amp;"",tbl_Production[Job Number],0),MATCH(IFERROR(A321+0,A321),tbl_Production[Job Number],0)))="","",INDEX(tbl_Production[Tax Code],IFERROR(MATCH(A321&amp;"",tbl_Production[Job Number],0),MATCH(IFERROR(A321+0,A321),tbl_Production[Job Number],0)))),IFERROR(IF(INDEX(tbl_Consulting[Tax Code],IFERROR(MATCH(A321&amp;"",tbl_Consulting[Job Number],0),MATCH(IFERROR(A321+0,A321),tbl_Consulting[Job Number],0)))="","",INDEX(tbl_Consulting[Tax Code],IFERROR(MATCH(A321&amp;"",tbl_Consulting[Job Number],0),MATCH(IFERROR(A321+0,A321),tbl_Consulting[Job Number],0)))),"")))="","GST 10%",IFERROR(IF(INDEX(tbl_Onsite[Tax Code],IFERROR(MATCH(A321&amp;"",tbl_Onsite[Job Number],0),MATCH(IFERROR(A321+0,A321),tbl_Onsite[Job Number],0)))="","",INDEX(tbl_Onsite[Tax Code],IFERROR(MATCH(A321&amp;"",tbl_Onsite[Job Number],0),MATCH(IFERROR(A321+0,A321),tbl_Onsite[Job Number],0)))),IFERROR(IF(INDEX(tbl_Production[Tax Code],IFERROR(MATCH(A321&amp;"",tbl_Production[Job Number],0),MATCH(IFERROR(A321+0,A321),tbl_Production[Job Number],0)))="","",INDEX(tbl_Production[Tax Code],IFERROR(MATCH(A321&amp;"",tbl_Production[Job Number],0),MATCH(IFERROR(A321+0,A321),tbl_Production[Job Number],0)))),IFERROR(IF(INDEX(tbl_Consulting[Tax Code],IFERROR(MATCH(A321&amp;"",tbl_Consulting[Job Number],0),MATCH(IFERROR(A321+0,A321),tbl_Consulting[Job Number],0)))="","",INDEX(tbl_Consulting[Tax Code],IFERROR(MATCH(A321&amp;"",tbl_Consulting[Job Number],0),MATCH(IFERROR(A321+0,A321),tbl_Consulting[Job Number],0)))),"")))))</f>
        <v/>
      </c>
      <c r="N321" s="26">
        <f>IF(D321="","",IFERROR(INDEX(lst_CCtoGL,MATCH(D321,lst_CCforGL,0)),""))</f>
        <v/>
      </c>
      <c r="O321" s="27">
        <f>IF(E321="","",IF(M321="GST 10%",ROUND(E321*set_GSTRate,2),0))</f>
        <v/>
      </c>
      <c r="P321" s="27">
        <f>IF(E321="","",E321+O321)</f>
        <v/>
      </c>
      <c r="Q321" s="27">
        <f>IF(A321="","",IFERROR(INDEX(tbl_Onsite[Expected Revenue Ex GST],IFERROR(MATCH(A321&amp;"",tbl_Onsite[Job Number],0),MATCH(IFERROR(A321+0,A321),tbl_Onsite[Job Number],0))),IFERROR(INDEX(tbl_Production[Expected Revenue Ex GST],IFERROR(MATCH(A321&amp;"",tbl_Production[Job Number],0),MATCH(IFERROR(A321+0,A321),tbl_Production[Job Number],0))),IFERROR(INDEX(tbl_Consulting[Expected Revenue Ex GST],IFERROR(MATCH(A321&amp;"",tbl_Consulting[Job Number],0),MATCH(IFERROR(A321+0,A321),tbl_Consulting[Job Number],0))),0))))</f>
        <v/>
      </c>
      <c r="R321" s="27">
        <f>IF(A321="","",SUMIFS(tbl_Finance[Ex GST],tbl_Finance[Job Number],A321&amp;""))</f>
        <v/>
      </c>
      <c r="S321" s="27">
        <f>IF(A321="","",Q321-R321)</f>
        <v/>
      </c>
      <c r="T321" s="26">
        <f>IF(A321="","",IF(Q321=0,"No dept value",IF(ROUND(S321,2)=0,"Agrees",IF(S321&gt;0,"Dept higher - to invoice","Xero higher - check dept"))))</f>
        <v/>
      </c>
      <c r="U321" s="22" t="n"/>
      <c r="V321" s="22" t="n"/>
      <c r="W321" s="23" t="n"/>
      <c r="X321" s="23" t="n"/>
      <c r="Y321" s="22" t="n"/>
      <c r="Z321" s="22" t="n"/>
      <c r="AA321" s="26">
        <f>IF(COUNTA(C321,A321,B321,E321)=0,"",IF(C321="","No date - sits outside every month",IF(A321="","No job number",IF(H321="CHECK","Job number is not in the Xero job list",IF(G321="not set up yet","No department has set this job up - nothing can pull through",IF(D321="","No cost centre",IF(AND(U321="Y",B321=""),"Marked posted to Xero but has no invoice number",IF(N321="","Cost centre has no revenue GL on the Lists sheet",IF(T321="Xero higher - check dept","Invoiced more than the department says the job is worth","")))))))))</f>
        <v/>
      </c>
      <c r="AB321" s="28">
        <f>IF(A321="","",COUNTIFS(tbl_Finance[Job Number],A321&amp;"",tbl_Finance[Ex GST],"&lt;&gt;"))</f>
        <v/>
      </c>
      <c r="AC321" s="27">
        <f>IF(A321="","",SUMIFS(tbl_Finance[Ex GST],tbl_Finance[Job Number],A321&amp;""))</f>
        <v/>
      </c>
      <c r="AD321" s="27">
        <f>IF(A321="","",SUMIFS(tbl_Finance[Ex GST],tbl_Finance[Job Number],A321&amp;"",tbl_Finance[Xero Invoice No],"&lt;&gt;"))</f>
        <v/>
      </c>
      <c r="AE321" s="27">
        <f>IF(A321="","",AC321-AD321)</f>
        <v/>
      </c>
      <c r="AF321" s="26">
        <f>IF(A321="","",IFERROR(IF(INDEX(tbl_Onsite[Qwilr Quote],IFERROR(MATCH(A321&amp;"",tbl_Onsite[Job Number],0),MATCH(IFERROR(A321+0,A321),tbl_Onsite[Job Number],0)))="","",INDEX(tbl_Onsite[Qwilr Quote],IFERROR(MATCH(A321&amp;"",tbl_Onsite[Job Number],0),MATCH(IFERROR(A321+0,A321),tbl_Onsite[Job Number],0)))),IFERROR(IF(IF(INDEX(tbl_Production[Current RMS No],IFERROR(MATCH(A321&amp;"",tbl_Production[Job Number],0),MATCH(IFERROR(A321+0,A321),tbl_Production[Job Number],0)))="",INDEX(tbl_Production[Qwilr Quote],IFERROR(MATCH(A321&amp;"",tbl_Production[Job Number],0),MATCH(IFERROR(A321+0,A321),tbl_Production[Job Number],0))),INDEX(tbl_Production[Current RMS No],IFERROR(MATCH(A321&amp;"",tbl_Production[Job Number],0),MATCH(IFERROR(A321+0,A321),tbl_Production[Job Number],0))))="","",IF(INDEX(tbl_Production[Current RMS No],IFERROR(MATCH(A321&amp;"",tbl_Production[Job Number],0),MATCH(IFERROR(A321+0,A321),tbl_Production[Job Number],0)))="",INDEX(tbl_Production[Qwilr Quote],IFERROR(MATCH(A321&amp;"",tbl_Production[Job Number],0),MATCH(IFERROR(A321+0,A321),tbl_Production[Job Number],0))),INDEX(tbl_Production[Current RMS No],IFERROR(MATCH(A321&amp;"",tbl_Production[Job Number],0),MATCH(IFERROR(A321+0,A321),tbl_Production[Job Number],0))))),IFERROR(IF(INDEX(tbl_Consulting[Qwilr Quote],IFERROR(MATCH(A321&amp;"",tbl_Consulting[Job Number],0),MATCH(IFERROR(A321+0,A321),tbl_Consulting[Job Number],0)))="","",INDEX(tbl_Consulting[Qwilr Quote],IFERROR(MATCH(A321&amp;"",tbl_Consulting[Job Number],0),MATCH(IFERROR(A321+0,A321),tbl_Consulting[Job Number],0)))),""))))</f>
        <v/>
      </c>
      <c r="AG321" s="26">
        <f>IF(AF321="","",IF(AND(LEFT(AF321,4)&lt;&gt;"http",IF(G321="Production",set_RMSBase,set_QwilrBase)=""),"",HYPERLINK(IF(LEFT(AF321,4)="http",AF321,IF(G321="Production",set_RMSBase,set_QwilrBase)&amp;AF321),"Open")))</f>
        <v/>
      </c>
      <c r="AH321" s="27">
        <f>IF(A321="","",IFERROR(INDEX(tbl_Production[Total Expense],IFERROR(MATCH(A321&amp;"",tbl_Production[Job Number],0),MATCH(IFERROR(A321+0,A321),tbl_Production[Job Number],0))),IFERROR(INDEX(tbl_Consulting[Total Expense],IFERROR(MATCH(A321&amp;"",tbl_Consulting[Job Number],0),MATCH(IFERROR(A321+0,A321),tbl_Consulting[Job Number],0))),0)))</f>
        <v/>
      </c>
      <c r="AI321" s="27">
        <f>IF(A321="","",AC321-N(AH321))</f>
        <v/>
      </c>
      <c r="AJ321" s="29">
        <f>IFERROR(AI321/AC321,"")</f>
        <v/>
      </c>
      <c r="AK321" s="26">
        <f>IF(A321="","",IFERROR(IF(INDEX(tbl_Onsite[Notes],IFERROR(MATCH(A321&amp;"",tbl_Onsite[Job Number],0),MATCH(IFERROR(A321+0,A321),tbl_Onsite[Job Number],0)))="","",INDEX(tbl_Onsite[Notes],IFERROR(MATCH(A321&amp;"",tbl_Onsite[Job Number],0),MATCH(IFERROR(A321+0,A321),tbl_Onsite[Job Number],0)))),IFERROR(IF(INDEX(tbl_Production[Notes],IFERROR(MATCH(A321&amp;"",tbl_Production[Job Number],0),MATCH(IFERROR(A321+0,A321),tbl_Production[Job Number],0)))="","",INDEX(tbl_Production[Notes],IFERROR(MATCH(A321&amp;"",tbl_Production[Job Number],0),MATCH(IFERROR(A321+0,A321),tbl_Production[Job Number],0)))),IFERROR(IF(INDEX(tbl_Consulting[Notes],IFERROR(MATCH(A321&amp;"",tbl_Consulting[Job Number],0),MATCH(IFERROR(A321+0,A321),tbl_Consulting[Job Number],0)))="","",INDEX(tbl_Consulting[Notes],IFERROR(MATCH(A321&amp;"",tbl_Consulting[Job Number],0),MATCH(IFERROR(A321+0,A321),tbl_Consulting[Job Number],0)))),""))))</f>
        <v/>
      </c>
    </row>
    <row r="322" ht="15" customHeight="1">
      <c r="A322" s="22" t="n"/>
      <c r="B322" s="22" t="n"/>
      <c r="C322" s="23" t="n"/>
      <c r="D322" s="22" t="n"/>
      <c r="E322" s="24" t="n"/>
      <c r="F322" s="25">
        <f>IF(C322="","",EOMONTH(C322,0))</f>
        <v/>
      </c>
      <c r="G322" s="26">
        <f>IF(A322="","",IF(COUNTIF(tbl_Onsite[Job Number],A322&amp;"")&gt;0,"Onsite",IF(COUNTIF(tbl_Production[Job Number],A322&amp;"")&gt;0,"Production",IF(COUNTIF(tbl_Consulting[Job Number],A322&amp;"")&gt;0,"Consulting","not set up yet"))))</f>
        <v/>
      </c>
      <c r="H322" s="26">
        <f>IF(A322="","",IF(COUNTIF(lst_Jobs,A322&amp;"")&gt;0,"OK","CHECK"))</f>
        <v/>
      </c>
      <c r="I322" s="26">
        <f>IF(A322="","",IFERROR(INDEX(lst_JobName,MATCH(A322&amp;"",lst_Jobs,0)),""))</f>
        <v/>
      </c>
      <c r="J322" s="26">
        <f>IF(A322="","",IFERROR(IF(INDEX(tbl_Onsite[Client],IFERROR(MATCH(A322&amp;"",tbl_Onsite[Job Number],0),MATCH(IFERROR(A322+0,A322),tbl_Onsite[Job Number],0)))="","",INDEX(tbl_Onsite[Client],IFERROR(MATCH(A322&amp;"",tbl_Onsite[Job Number],0),MATCH(IFERROR(A322+0,A322),tbl_Onsite[Job Number],0)))),IFERROR(IF(INDEX(tbl_Production[Client],IFERROR(MATCH(A322&amp;"",tbl_Production[Job Number],0),MATCH(IFERROR(A322+0,A322),tbl_Production[Job Number],0)))="","",INDEX(tbl_Production[Client],IFERROR(MATCH(A322&amp;"",tbl_Production[Job Number],0),MATCH(IFERROR(A322+0,A322),tbl_Production[Job Number],0)))),IFERROR(IF(INDEX(tbl_Consulting[Client],IFERROR(MATCH(A322&amp;"",tbl_Consulting[Job Number],0),MATCH(IFERROR(A322+0,A322),tbl_Consulting[Job Number],0)))="","",INDEX(tbl_Consulting[Client],IFERROR(MATCH(A322&amp;"",tbl_Consulting[Job Number],0),MATCH(IFERROR(A322+0,A322),tbl_Consulting[Job Number],0)))),""))))</f>
        <v/>
      </c>
      <c r="K322" s="26">
        <f>IF(A322="","",IFERROR(IF(INDEX(tbl_Onsite[Job Description],IFERROR(MATCH(A322&amp;"",tbl_Onsite[Job Number],0),MATCH(IFERROR(A322+0,A322),tbl_Onsite[Job Number],0)))="","",INDEX(tbl_Onsite[Job Description],IFERROR(MATCH(A322&amp;"",tbl_Onsite[Job Number],0),MATCH(IFERROR(A322+0,A322),tbl_Onsite[Job Number],0)))),IFERROR(IF(INDEX(tbl_Production[Job Description],IFERROR(MATCH(A322&amp;"",tbl_Production[Job Number],0),MATCH(IFERROR(A322+0,A322),tbl_Production[Job Number],0)))="","",INDEX(tbl_Production[Job Description],IFERROR(MATCH(A322&amp;"",tbl_Production[Job Number],0),MATCH(IFERROR(A322+0,A322),tbl_Production[Job Number],0)))),IFERROR(IF(INDEX(tbl_Consulting[Job Description],IFERROR(MATCH(A322&amp;"",tbl_Consulting[Job Number],0),MATCH(IFERROR(A322+0,A322),tbl_Consulting[Job Number],0)))="","",INDEX(tbl_Consulting[Job Description],IFERROR(MATCH(A322&amp;"",tbl_Consulting[Job Number],0),MATCH(IFERROR(A322+0,A322),tbl_Consulting[Job Number],0)))),""))))</f>
        <v/>
      </c>
      <c r="L322" s="26">
        <f>IF(A322="","",IFERROR(IF(INDEX(tbl_Onsite[Invoice Type],IFERROR(MATCH(A322&amp;"",tbl_Onsite[Job Number],0),MATCH(IFERROR(A322+0,A322),tbl_Onsite[Job Number],0)))="","",INDEX(tbl_Onsite[Invoice Type],IFERROR(MATCH(A322&amp;"",tbl_Onsite[Job Number],0),MATCH(IFERROR(A322+0,A322),tbl_Onsite[Job Number],0)))),IFERROR(IF(INDEX(tbl_Production[Invoice Type],IFERROR(MATCH(A322&amp;"",tbl_Production[Job Number],0),MATCH(IFERROR(A322+0,A322),tbl_Production[Job Number],0)))="","",INDEX(tbl_Production[Invoice Type],IFERROR(MATCH(A322&amp;"",tbl_Production[Job Number],0),MATCH(IFERROR(A322+0,A322),tbl_Production[Job Number],0)))),IFERROR(IF(INDEX(tbl_Consulting[Invoice Type],IFERROR(MATCH(A322&amp;"",tbl_Consulting[Job Number],0),MATCH(IFERROR(A322+0,A322),tbl_Consulting[Job Number],0)))="","",INDEX(tbl_Consulting[Invoice Type],IFERROR(MATCH(A322&amp;"",tbl_Consulting[Job Number],0),MATCH(IFERROR(A322+0,A322),tbl_Consulting[Job Number],0)))),""))))</f>
        <v/>
      </c>
      <c r="M322" s="26">
        <f>IF(A322="","",IF(IFERROR(IF(INDEX(tbl_Onsite[Tax Code],IFERROR(MATCH(A322&amp;"",tbl_Onsite[Job Number],0),MATCH(IFERROR(A322+0,A322),tbl_Onsite[Job Number],0)))="","",INDEX(tbl_Onsite[Tax Code],IFERROR(MATCH(A322&amp;"",tbl_Onsite[Job Number],0),MATCH(IFERROR(A322+0,A322),tbl_Onsite[Job Number],0)))),IFERROR(IF(INDEX(tbl_Production[Tax Code],IFERROR(MATCH(A322&amp;"",tbl_Production[Job Number],0),MATCH(IFERROR(A322+0,A322),tbl_Production[Job Number],0)))="","",INDEX(tbl_Production[Tax Code],IFERROR(MATCH(A322&amp;"",tbl_Production[Job Number],0),MATCH(IFERROR(A322+0,A322),tbl_Production[Job Number],0)))),IFERROR(IF(INDEX(tbl_Consulting[Tax Code],IFERROR(MATCH(A322&amp;"",tbl_Consulting[Job Number],0),MATCH(IFERROR(A322+0,A322),tbl_Consulting[Job Number],0)))="","",INDEX(tbl_Consulting[Tax Code],IFERROR(MATCH(A322&amp;"",tbl_Consulting[Job Number],0),MATCH(IFERROR(A322+0,A322),tbl_Consulting[Job Number],0)))),"")))="","GST 10%",IFERROR(IF(INDEX(tbl_Onsite[Tax Code],IFERROR(MATCH(A322&amp;"",tbl_Onsite[Job Number],0),MATCH(IFERROR(A322+0,A322),tbl_Onsite[Job Number],0)))="","",INDEX(tbl_Onsite[Tax Code],IFERROR(MATCH(A322&amp;"",tbl_Onsite[Job Number],0),MATCH(IFERROR(A322+0,A322),tbl_Onsite[Job Number],0)))),IFERROR(IF(INDEX(tbl_Production[Tax Code],IFERROR(MATCH(A322&amp;"",tbl_Production[Job Number],0),MATCH(IFERROR(A322+0,A322),tbl_Production[Job Number],0)))="","",INDEX(tbl_Production[Tax Code],IFERROR(MATCH(A322&amp;"",tbl_Production[Job Number],0),MATCH(IFERROR(A322+0,A322),tbl_Production[Job Number],0)))),IFERROR(IF(INDEX(tbl_Consulting[Tax Code],IFERROR(MATCH(A322&amp;"",tbl_Consulting[Job Number],0),MATCH(IFERROR(A322+0,A322),tbl_Consulting[Job Number],0)))="","",INDEX(tbl_Consulting[Tax Code],IFERROR(MATCH(A322&amp;"",tbl_Consulting[Job Number],0),MATCH(IFERROR(A322+0,A322),tbl_Consulting[Job Number],0)))),"")))))</f>
        <v/>
      </c>
      <c r="N322" s="26">
        <f>IF(D322="","",IFERROR(INDEX(lst_CCtoGL,MATCH(D322,lst_CCforGL,0)),""))</f>
        <v/>
      </c>
      <c r="O322" s="27">
        <f>IF(E322="","",IF(M322="GST 10%",ROUND(E322*set_GSTRate,2),0))</f>
        <v/>
      </c>
      <c r="P322" s="27">
        <f>IF(E322="","",E322+O322)</f>
        <v/>
      </c>
      <c r="Q322" s="27">
        <f>IF(A322="","",IFERROR(INDEX(tbl_Onsite[Expected Revenue Ex GST],IFERROR(MATCH(A322&amp;"",tbl_Onsite[Job Number],0),MATCH(IFERROR(A322+0,A322),tbl_Onsite[Job Number],0))),IFERROR(INDEX(tbl_Production[Expected Revenue Ex GST],IFERROR(MATCH(A322&amp;"",tbl_Production[Job Number],0),MATCH(IFERROR(A322+0,A322),tbl_Production[Job Number],0))),IFERROR(INDEX(tbl_Consulting[Expected Revenue Ex GST],IFERROR(MATCH(A322&amp;"",tbl_Consulting[Job Number],0),MATCH(IFERROR(A322+0,A322),tbl_Consulting[Job Number],0))),0))))</f>
        <v/>
      </c>
      <c r="R322" s="27">
        <f>IF(A322="","",SUMIFS(tbl_Finance[Ex GST],tbl_Finance[Job Number],A322&amp;""))</f>
        <v/>
      </c>
      <c r="S322" s="27">
        <f>IF(A322="","",Q322-R322)</f>
        <v/>
      </c>
      <c r="T322" s="26">
        <f>IF(A322="","",IF(Q322=0,"No dept value",IF(ROUND(S322,2)=0,"Agrees",IF(S322&gt;0,"Dept higher - to invoice","Xero higher - check dept"))))</f>
        <v/>
      </c>
      <c r="U322" s="22" t="n"/>
      <c r="V322" s="22" t="n"/>
      <c r="W322" s="23" t="n"/>
      <c r="X322" s="23" t="n"/>
      <c r="Y322" s="22" t="n"/>
      <c r="Z322" s="22" t="n"/>
      <c r="AA322" s="26">
        <f>IF(COUNTA(C322,A322,B322,E322)=0,"",IF(C322="","No date - sits outside every month",IF(A322="","No job number",IF(H322="CHECK","Job number is not in the Xero job list",IF(G322="not set up yet","No department has set this job up - nothing can pull through",IF(D322="","No cost centre",IF(AND(U322="Y",B322=""),"Marked posted to Xero but has no invoice number",IF(N322="","Cost centre has no revenue GL on the Lists sheet",IF(T322="Xero higher - check dept","Invoiced more than the department says the job is worth","")))))))))</f>
        <v/>
      </c>
      <c r="AB322" s="28">
        <f>IF(A322="","",COUNTIFS(tbl_Finance[Job Number],A322&amp;"",tbl_Finance[Ex GST],"&lt;&gt;"))</f>
        <v/>
      </c>
      <c r="AC322" s="27">
        <f>IF(A322="","",SUMIFS(tbl_Finance[Ex GST],tbl_Finance[Job Number],A322&amp;""))</f>
        <v/>
      </c>
      <c r="AD322" s="27">
        <f>IF(A322="","",SUMIFS(tbl_Finance[Ex GST],tbl_Finance[Job Number],A322&amp;"",tbl_Finance[Xero Invoice No],"&lt;&gt;"))</f>
        <v/>
      </c>
      <c r="AE322" s="27">
        <f>IF(A322="","",AC322-AD322)</f>
        <v/>
      </c>
      <c r="AF322" s="26">
        <f>IF(A322="","",IFERROR(IF(INDEX(tbl_Onsite[Qwilr Quote],IFERROR(MATCH(A322&amp;"",tbl_Onsite[Job Number],0),MATCH(IFERROR(A322+0,A322),tbl_Onsite[Job Number],0)))="","",INDEX(tbl_Onsite[Qwilr Quote],IFERROR(MATCH(A322&amp;"",tbl_Onsite[Job Number],0),MATCH(IFERROR(A322+0,A322),tbl_Onsite[Job Number],0)))),IFERROR(IF(IF(INDEX(tbl_Production[Current RMS No],IFERROR(MATCH(A322&amp;"",tbl_Production[Job Number],0),MATCH(IFERROR(A322+0,A322),tbl_Production[Job Number],0)))="",INDEX(tbl_Production[Qwilr Quote],IFERROR(MATCH(A322&amp;"",tbl_Production[Job Number],0),MATCH(IFERROR(A322+0,A322),tbl_Production[Job Number],0))),INDEX(tbl_Production[Current RMS No],IFERROR(MATCH(A322&amp;"",tbl_Production[Job Number],0),MATCH(IFERROR(A322+0,A322),tbl_Production[Job Number],0))))="","",IF(INDEX(tbl_Production[Current RMS No],IFERROR(MATCH(A322&amp;"",tbl_Production[Job Number],0),MATCH(IFERROR(A322+0,A322),tbl_Production[Job Number],0)))="",INDEX(tbl_Production[Qwilr Quote],IFERROR(MATCH(A322&amp;"",tbl_Production[Job Number],0),MATCH(IFERROR(A322+0,A322),tbl_Production[Job Number],0))),INDEX(tbl_Production[Current RMS No],IFERROR(MATCH(A322&amp;"",tbl_Production[Job Number],0),MATCH(IFERROR(A322+0,A322),tbl_Production[Job Number],0))))),IFERROR(IF(INDEX(tbl_Consulting[Qwilr Quote],IFERROR(MATCH(A322&amp;"",tbl_Consulting[Job Number],0),MATCH(IFERROR(A322+0,A322),tbl_Consulting[Job Number],0)))="","",INDEX(tbl_Consulting[Qwilr Quote],IFERROR(MATCH(A322&amp;"",tbl_Consulting[Job Number],0),MATCH(IFERROR(A322+0,A322),tbl_Consulting[Job Number],0)))),""))))</f>
        <v/>
      </c>
      <c r="AG322" s="26">
        <f>IF(AF322="","",IF(AND(LEFT(AF322,4)&lt;&gt;"http",IF(G322="Production",set_RMSBase,set_QwilrBase)=""),"",HYPERLINK(IF(LEFT(AF322,4)="http",AF322,IF(G322="Production",set_RMSBase,set_QwilrBase)&amp;AF322),"Open")))</f>
        <v/>
      </c>
      <c r="AH322" s="27">
        <f>IF(A322="","",IFERROR(INDEX(tbl_Production[Total Expense],IFERROR(MATCH(A322&amp;"",tbl_Production[Job Number],0),MATCH(IFERROR(A322+0,A322),tbl_Production[Job Number],0))),IFERROR(INDEX(tbl_Consulting[Total Expense],IFERROR(MATCH(A322&amp;"",tbl_Consulting[Job Number],0),MATCH(IFERROR(A322+0,A322),tbl_Consulting[Job Number],0))),0)))</f>
        <v/>
      </c>
      <c r="AI322" s="27">
        <f>IF(A322="","",AC322-N(AH322))</f>
        <v/>
      </c>
      <c r="AJ322" s="29">
        <f>IFERROR(AI322/AC322,"")</f>
        <v/>
      </c>
      <c r="AK322" s="26">
        <f>IF(A322="","",IFERROR(IF(INDEX(tbl_Onsite[Notes],IFERROR(MATCH(A322&amp;"",tbl_Onsite[Job Number],0),MATCH(IFERROR(A322+0,A322),tbl_Onsite[Job Number],0)))="","",INDEX(tbl_Onsite[Notes],IFERROR(MATCH(A322&amp;"",tbl_Onsite[Job Number],0),MATCH(IFERROR(A322+0,A322),tbl_Onsite[Job Number],0)))),IFERROR(IF(INDEX(tbl_Production[Notes],IFERROR(MATCH(A322&amp;"",tbl_Production[Job Number],0),MATCH(IFERROR(A322+0,A322),tbl_Production[Job Number],0)))="","",INDEX(tbl_Production[Notes],IFERROR(MATCH(A322&amp;"",tbl_Production[Job Number],0),MATCH(IFERROR(A322+0,A322),tbl_Production[Job Number],0)))),IFERROR(IF(INDEX(tbl_Consulting[Notes],IFERROR(MATCH(A322&amp;"",tbl_Consulting[Job Number],0),MATCH(IFERROR(A322+0,A322),tbl_Consulting[Job Number],0)))="","",INDEX(tbl_Consulting[Notes],IFERROR(MATCH(A322&amp;"",tbl_Consulting[Job Number],0),MATCH(IFERROR(A322+0,A322),tbl_Consulting[Job Number],0)))),""))))</f>
        <v/>
      </c>
    </row>
    <row r="323" ht="15" customHeight="1">
      <c r="A323" s="22" t="n"/>
      <c r="B323" s="22" t="n"/>
      <c r="C323" s="23" t="n"/>
      <c r="D323" s="22" t="n"/>
      <c r="E323" s="24" t="n"/>
      <c r="F323" s="25">
        <f>IF(C323="","",EOMONTH(C323,0))</f>
        <v/>
      </c>
      <c r="G323" s="26">
        <f>IF(A323="","",IF(COUNTIF(tbl_Onsite[Job Number],A323&amp;"")&gt;0,"Onsite",IF(COUNTIF(tbl_Production[Job Number],A323&amp;"")&gt;0,"Production",IF(COUNTIF(tbl_Consulting[Job Number],A323&amp;"")&gt;0,"Consulting","not set up yet"))))</f>
        <v/>
      </c>
      <c r="H323" s="26">
        <f>IF(A323="","",IF(COUNTIF(lst_Jobs,A323&amp;"")&gt;0,"OK","CHECK"))</f>
        <v/>
      </c>
      <c r="I323" s="26">
        <f>IF(A323="","",IFERROR(INDEX(lst_JobName,MATCH(A323&amp;"",lst_Jobs,0)),""))</f>
        <v/>
      </c>
      <c r="J323" s="26">
        <f>IF(A323="","",IFERROR(IF(INDEX(tbl_Onsite[Client],IFERROR(MATCH(A323&amp;"",tbl_Onsite[Job Number],0),MATCH(IFERROR(A323+0,A323),tbl_Onsite[Job Number],0)))="","",INDEX(tbl_Onsite[Client],IFERROR(MATCH(A323&amp;"",tbl_Onsite[Job Number],0),MATCH(IFERROR(A323+0,A323),tbl_Onsite[Job Number],0)))),IFERROR(IF(INDEX(tbl_Production[Client],IFERROR(MATCH(A323&amp;"",tbl_Production[Job Number],0),MATCH(IFERROR(A323+0,A323),tbl_Production[Job Number],0)))="","",INDEX(tbl_Production[Client],IFERROR(MATCH(A323&amp;"",tbl_Production[Job Number],0),MATCH(IFERROR(A323+0,A323),tbl_Production[Job Number],0)))),IFERROR(IF(INDEX(tbl_Consulting[Client],IFERROR(MATCH(A323&amp;"",tbl_Consulting[Job Number],0),MATCH(IFERROR(A323+0,A323),tbl_Consulting[Job Number],0)))="","",INDEX(tbl_Consulting[Client],IFERROR(MATCH(A323&amp;"",tbl_Consulting[Job Number],0),MATCH(IFERROR(A323+0,A323),tbl_Consulting[Job Number],0)))),""))))</f>
        <v/>
      </c>
      <c r="K323" s="26">
        <f>IF(A323="","",IFERROR(IF(INDEX(tbl_Onsite[Job Description],IFERROR(MATCH(A323&amp;"",tbl_Onsite[Job Number],0),MATCH(IFERROR(A323+0,A323),tbl_Onsite[Job Number],0)))="","",INDEX(tbl_Onsite[Job Description],IFERROR(MATCH(A323&amp;"",tbl_Onsite[Job Number],0),MATCH(IFERROR(A323+0,A323),tbl_Onsite[Job Number],0)))),IFERROR(IF(INDEX(tbl_Production[Job Description],IFERROR(MATCH(A323&amp;"",tbl_Production[Job Number],0),MATCH(IFERROR(A323+0,A323),tbl_Production[Job Number],0)))="","",INDEX(tbl_Production[Job Description],IFERROR(MATCH(A323&amp;"",tbl_Production[Job Number],0),MATCH(IFERROR(A323+0,A323),tbl_Production[Job Number],0)))),IFERROR(IF(INDEX(tbl_Consulting[Job Description],IFERROR(MATCH(A323&amp;"",tbl_Consulting[Job Number],0),MATCH(IFERROR(A323+0,A323),tbl_Consulting[Job Number],0)))="","",INDEX(tbl_Consulting[Job Description],IFERROR(MATCH(A323&amp;"",tbl_Consulting[Job Number],0),MATCH(IFERROR(A323+0,A323),tbl_Consulting[Job Number],0)))),""))))</f>
        <v/>
      </c>
      <c r="L323" s="26">
        <f>IF(A323="","",IFERROR(IF(INDEX(tbl_Onsite[Invoice Type],IFERROR(MATCH(A323&amp;"",tbl_Onsite[Job Number],0),MATCH(IFERROR(A323+0,A323),tbl_Onsite[Job Number],0)))="","",INDEX(tbl_Onsite[Invoice Type],IFERROR(MATCH(A323&amp;"",tbl_Onsite[Job Number],0),MATCH(IFERROR(A323+0,A323),tbl_Onsite[Job Number],0)))),IFERROR(IF(INDEX(tbl_Production[Invoice Type],IFERROR(MATCH(A323&amp;"",tbl_Production[Job Number],0),MATCH(IFERROR(A323+0,A323),tbl_Production[Job Number],0)))="","",INDEX(tbl_Production[Invoice Type],IFERROR(MATCH(A323&amp;"",tbl_Production[Job Number],0),MATCH(IFERROR(A323+0,A323),tbl_Production[Job Number],0)))),IFERROR(IF(INDEX(tbl_Consulting[Invoice Type],IFERROR(MATCH(A323&amp;"",tbl_Consulting[Job Number],0),MATCH(IFERROR(A323+0,A323),tbl_Consulting[Job Number],0)))="","",INDEX(tbl_Consulting[Invoice Type],IFERROR(MATCH(A323&amp;"",tbl_Consulting[Job Number],0),MATCH(IFERROR(A323+0,A323),tbl_Consulting[Job Number],0)))),""))))</f>
        <v/>
      </c>
      <c r="M323" s="26">
        <f>IF(A323="","",IF(IFERROR(IF(INDEX(tbl_Onsite[Tax Code],IFERROR(MATCH(A323&amp;"",tbl_Onsite[Job Number],0),MATCH(IFERROR(A323+0,A323),tbl_Onsite[Job Number],0)))="","",INDEX(tbl_Onsite[Tax Code],IFERROR(MATCH(A323&amp;"",tbl_Onsite[Job Number],0),MATCH(IFERROR(A323+0,A323),tbl_Onsite[Job Number],0)))),IFERROR(IF(INDEX(tbl_Production[Tax Code],IFERROR(MATCH(A323&amp;"",tbl_Production[Job Number],0),MATCH(IFERROR(A323+0,A323),tbl_Production[Job Number],0)))="","",INDEX(tbl_Production[Tax Code],IFERROR(MATCH(A323&amp;"",tbl_Production[Job Number],0),MATCH(IFERROR(A323+0,A323),tbl_Production[Job Number],0)))),IFERROR(IF(INDEX(tbl_Consulting[Tax Code],IFERROR(MATCH(A323&amp;"",tbl_Consulting[Job Number],0),MATCH(IFERROR(A323+0,A323),tbl_Consulting[Job Number],0)))="","",INDEX(tbl_Consulting[Tax Code],IFERROR(MATCH(A323&amp;"",tbl_Consulting[Job Number],0),MATCH(IFERROR(A323+0,A323),tbl_Consulting[Job Number],0)))),"")))="","GST 10%",IFERROR(IF(INDEX(tbl_Onsite[Tax Code],IFERROR(MATCH(A323&amp;"",tbl_Onsite[Job Number],0),MATCH(IFERROR(A323+0,A323),tbl_Onsite[Job Number],0)))="","",INDEX(tbl_Onsite[Tax Code],IFERROR(MATCH(A323&amp;"",tbl_Onsite[Job Number],0),MATCH(IFERROR(A323+0,A323),tbl_Onsite[Job Number],0)))),IFERROR(IF(INDEX(tbl_Production[Tax Code],IFERROR(MATCH(A323&amp;"",tbl_Production[Job Number],0),MATCH(IFERROR(A323+0,A323),tbl_Production[Job Number],0)))="","",INDEX(tbl_Production[Tax Code],IFERROR(MATCH(A323&amp;"",tbl_Production[Job Number],0),MATCH(IFERROR(A323+0,A323),tbl_Production[Job Number],0)))),IFERROR(IF(INDEX(tbl_Consulting[Tax Code],IFERROR(MATCH(A323&amp;"",tbl_Consulting[Job Number],0),MATCH(IFERROR(A323+0,A323),tbl_Consulting[Job Number],0)))="","",INDEX(tbl_Consulting[Tax Code],IFERROR(MATCH(A323&amp;"",tbl_Consulting[Job Number],0),MATCH(IFERROR(A323+0,A323),tbl_Consulting[Job Number],0)))),"")))))</f>
        <v/>
      </c>
      <c r="N323" s="26">
        <f>IF(D323="","",IFERROR(INDEX(lst_CCtoGL,MATCH(D323,lst_CCforGL,0)),""))</f>
        <v/>
      </c>
      <c r="O323" s="27">
        <f>IF(E323="","",IF(M323="GST 10%",ROUND(E323*set_GSTRate,2),0))</f>
        <v/>
      </c>
      <c r="P323" s="27">
        <f>IF(E323="","",E323+O323)</f>
        <v/>
      </c>
      <c r="Q323" s="27">
        <f>IF(A323="","",IFERROR(INDEX(tbl_Onsite[Expected Revenue Ex GST],IFERROR(MATCH(A323&amp;"",tbl_Onsite[Job Number],0),MATCH(IFERROR(A323+0,A323),tbl_Onsite[Job Number],0))),IFERROR(INDEX(tbl_Production[Expected Revenue Ex GST],IFERROR(MATCH(A323&amp;"",tbl_Production[Job Number],0),MATCH(IFERROR(A323+0,A323),tbl_Production[Job Number],0))),IFERROR(INDEX(tbl_Consulting[Expected Revenue Ex GST],IFERROR(MATCH(A323&amp;"",tbl_Consulting[Job Number],0),MATCH(IFERROR(A323+0,A323),tbl_Consulting[Job Number],0))),0))))</f>
        <v/>
      </c>
      <c r="R323" s="27">
        <f>IF(A323="","",SUMIFS(tbl_Finance[Ex GST],tbl_Finance[Job Number],A323&amp;""))</f>
        <v/>
      </c>
      <c r="S323" s="27">
        <f>IF(A323="","",Q323-R323)</f>
        <v/>
      </c>
      <c r="T323" s="26">
        <f>IF(A323="","",IF(Q323=0,"No dept value",IF(ROUND(S323,2)=0,"Agrees",IF(S323&gt;0,"Dept higher - to invoice","Xero higher - check dept"))))</f>
        <v/>
      </c>
      <c r="U323" s="22" t="n"/>
      <c r="V323" s="22" t="n"/>
      <c r="W323" s="23" t="n"/>
      <c r="X323" s="23" t="n"/>
      <c r="Y323" s="22" t="n"/>
      <c r="Z323" s="22" t="n"/>
      <c r="AA323" s="26">
        <f>IF(COUNTA(C323,A323,B323,E323)=0,"",IF(C323="","No date - sits outside every month",IF(A323="","No job number",IF(H323="CHECK","Job number is not in the Xero job list",IF(G323="not set up yet","No department has set this job up - nothing can pull through",IF(D323="","No cost centre",IF(AND(U323="Y",B323=""),"Marked posted to Xero but has no invoice number",IF(N323="","Cost centre has no revenue GL on the Lists sheet",IF(T323="Xero higher - check dept","Invoiced more than the department says the job is worth","")))))))))</f>
        <v/>
      </c>
      <c r="AB323" s="28">
        <f>IF(A323="","",COUNTIFS(tbl_Finance[Job Number],A323&amp;"",tbl_Finance[Ex GST],"&lt;&gt;"))</f>
        <v/>
      </c>
      <c r="AC323" s="27">
        <f>IF(A323="","",SUMIFS(tbl_Finance[Ex GST],tbl_Finance[Job Number],A323&amp;""))</f>
        <v/>
      </c>
      <c r="AD323" s="27">
        <f>IF(A323="","",SUMIFS(tbl_Finance[Ex GST],tbl_Finance[Job Number],A323&amp;"",tbl_Finance[Xero Invoice No],"&lt;&gt;"))</f>
        <v/>
      </c>
      <c r="AE323" s="27">
        <f>IF(A323="","",AC323-AD323)</f>
        <v/>
      </c>
      <c r="AF323" s="26">
        <f>IF(A323="","",IFERROR(IF(INDEX(tbl_Onsite[Qwilr Quote],IFERROR(MATCH(A323&amp;"",tbl_Onsite[Job Number],0),MATCH(IFERROR(A323+0,A323),tbl_Onsite[Job Number],0)))="","",INDEX(tbl_Onsite[Qwilr Quote],IFERROR(MATCH(A323&amp;"",tbl_Onsite[Job Number],0),MATCH(IFERROR(A323+0,A323),tbl_Onsite[Job Number],0)))),IFERROR(IF(IF(INDEX(tbl_Production[Current RMS No],IFERROR(MATCH(A323&amp;"",tbl_Production[Job Number],0),MATCH(IFERROR(A323+0,A323),tbl_Production[Job Number],0)))="",INDEX(tbl_Production[Qwilr Quote],IFERROR(MATCH(A323&amp;"",tbl_Production[Job Number],0),MATCH(IFERROR(A323+0,A323),tbl_Production[Job Number],0))),INDEX(tbl_Production[Current RMS No],IFERROR(MATCH(A323&amp;"",tbl_Production[Job Number],0),MATCH(IFERROR(A323+0,A323),tbl_Production[Job Number],0))))="","",IF(INDEX(tbl_Production[Current RMS No],IFERROR(MATCH(A323&amp;"",tbl_Production[Job Number],0),MATCH(IFERROR(A323+0,A323),tbl_Production[Job Number],0)))="",INDEX(tbl_Production[Qwilr Quote],IFERROR(MATCH(A323&amp;"",tbl_Production[Job Number],0),MATCH(IFERROR(A323+0,A323),tbl_Production[Job Number],0))),INDEX(tbl_Production[Current RMS No],IFERROR(MATCH(A323&amp;"",tbl_Production[Job Number],0),MATCH(IFERROR(A323+0,A323),tbl_Production[Job Number],0))))),IFERROR(IF(INDEX(tbl_Consulting[Qwilr Quote],IFERROR(MATCH(A323&amp;"",tbl_Consulting[Job Number],0),MATCH(IFERROR(A323+0,A323),tbl_Consulting[Job Number],0)))="","",INDEX(tbl_Consulting[Qwilr Quote],IFERROR(MATCH(A323&amp;"",tbl_Consulting[Job Number],0),MATCH(IFERROR(A323+0,A323),tbl_Consulting[Job Number],0)))),""))))</f>
        <v/>
      </c>
      <c r="AG323" s="26">
        <f>IF(AF323="","",IF(AND(LEFT(AF323,4)&lt;&gt;"http",IF(G323="Production",set_RMSBase,set_QwilrBase)=""),"",HYPERLINK(IF(LEFT(AF323,4)="http",AF323,IF(G323="Production",set_RMSBase,set_QwilrBase)&amp;AF323),"Open")))</f>
        <v/>
      </c>
      <c r="AH323" s="27">
        <f>IF(A323="","",IFERROR(INDEX(tbl_Production[Total Expense],IFERROR(MATCH(A323&amp;"",tbl_Production[Job Number],0),MATCH(IFERROR(A323+0,A323),tbl_Production[Job Number],0))),IFERROR(INDEX(tbl_Consulting[Total Expense],IFERROR(MATCH(A323&amp;"",tbl_Consulting[Job Number],0),MATCH(IFERROR(A323+0,A323),tbl_Consulting[Job Number],0))),0)))</f>
        <v/>
      </c>
      <c r="AI323" s="27">
        <f>IF(A323="","",AC323-N(AH323))</f>
        <v/>
      </c>
      <c r="AJ323" s="29">
        <f>IFERROR(AI323/AC323,"")</f>
        <v/>
      </c>
      <c r="AK323" s="26">
        <f>IF(A323="","",IFERROR(IF(INDEX(tbl_Onsite[Notes],IFERROR(MATCH(A323&amp;"",tbl_Onsite[Job Number],0),MATCH(IFERROR(A323+0,A323),tbl_Onsite[Job Number],0)))="","",INDEX(tbl_Onsite[Notes],IFERROR(MATCH(A323&amp;"",tbl_Onsite[Job Number],0),MATCH(IFERROR(A323+0,A323),tbl_Onsite[Job Number],0)))),IFERROR(IF(INDEX(tbl_Production[Notes],IFERROR(MATCH(A323&amp;"",tbl_Production[Job Number],0),MATCH(IFERROR(A323+0,A323),tbl_Production[Job Number],0)))="","",INDEX(tbl_Production[Notes],IFERROR(MATCH(A323&amp;"",tbl_Production[Job Number],0),MATCH(IFERROR(A323+0,A323),tbl_Production[Job Number],0)))),IFERROR(IF(INDEX(tbl_Consulting[Notes],IFERROR(MATCH(A323&amp;"",tbl_Consulting[Job Number],0),MATCH(IFERROR(A323+0,A323),tbl_Consulting[Job Number],0)))="","",INDEX(tbl_Consulting[Notes],IFERROR(MATCH(A323&amp;"",tbl_Consulting[Job Number],0),MATCH(IFERROR(A323+0,A323),tbl_Consulting[Job Number],0)))),""))))</f>
        <v/>
      </c>
    </row>
    <row r="324" ht="15" customHeight="1">
      <c r="A324" s="22" t="n"/>
      <c r="B324" s="22" t="n"/>
      <c r="C324" s="23" t="n"/>
      <c r="D324" s="22" t="n"/>
      <c r="E324" s="24" t="n"/>
      <c r="F324" s="25">
        <f>IF(C324="","",EOMONTH(C324,0))</f>
        <v/>
      </c>
      <c r="G324" s="26">
        <f>IF(A324="","",IF(COUNTIF(tbl_Onsite[Job Number],A324&amp;"")&gt;0,"Onsite",IF(COUNTIF(tbl_Production[Job Number],A324&amp;"")&gt;0,"Production",IF(COUNTIF(tbl_Consulting[Job Number],A324&amp;"")&gt;0,"Consulting","not set up yet"))))</f>
        <v/>
      </c>
      <c r="H324" s="26">
        <f>IF(A324="","",IF(COUNTIF(lst_Jobs,A324&amp;"")&gt;0,"OK","CHECK"))</f>
        <v/>
      </c>
      <c r="I324" s="26">
        <f>IF(A324="","",IFERROR(INDEX(lst_JobName,MATCH(A324&amp;"",lst_Jobs,0)),""))</f>
        <v/>
      </c>
      <c r="J324" s="26">
        <f>IF(A324="","",IFERROR(IF(INDEX(tbl_Onsite[Client],IFERROR(MATCH(A324&amp;"",tbl_Onsite[Job Number],0),MATCH(IFERROR(A324+0,A324),tbl_Onsite[Job Number],0)))="","",INDEX(tbl_Onsite[Client],IFERROR(MATCH(A324&amp;"",tbl_Onsite[Job Number],0),MATCH(IFERROR(A324+0,A324),tbl_Onsite[Job Number],0)))),IFERROR(IF(INDEX(tbl_Production[Client],IFERROR(MATCH(A324&amp;"",tbl_Production[Job Number],0),MATCH(IFERROR(A324+0,A324),tbl_Production[Job Number],0)))="","",INDEX(tbl_Production[Client],IFERROR(MATCH(A324&amp;"",tbl_Production[Job Number],0),MATCH(IFERROR(A324+0,A324),tbl_Production[Job Number],0)))),IFERROR(IF(INDEX(tbl_Consulting[Client],IFERROR(MATCH(A324&amp;"",tbl_Consulting[Job Number],0),MATCH(IFERROR(A324+0,A324),tbl_Consulting[Job Number],0)))="","",INDEX(tbl_Consulting[Client],IFERROR(MATCH(A324&amp;"",tbl_Consulting[Job Number],0),MATCH(IFERROR(A324+0,A324),tbl_Consulting[Job Number],0)))),""))))</f>
        <v/>
      </c>
      <c r="K324" s="26">
        <f>IF(A324="","",IFERROR(IF(INDEX(tbl_Onsite[Job Description],IFERROR(MATCH(A324&amp;"",tbl_Onsite[Job Number],0),MATCH(IFERROR(A324+0,A324),tbl_Onsite[Job Number],0)))="","",INDEX(tbl_Onsite[Job Description],IFERROR(MATCH(A324&amp;"",tbl_Onsite[Job Number],0),MATCH(IFERROR(A324+0,A324),tbl_Onsite[Job Number],0)))),IFERROR(IF(INDEX(tbl_Production[Job Description],IFERROR(MATCH(A324&amp;"",tbl_Production[Job Number],0),MATCH(IFERROR(A324+0,A324),tbl_Production[Job Number],0)))="","",INDEX(tbl_Production[Job Description],IFERROR(MATCH(A324&amp;"",tbl_Production[Job Number],0),MATCH(IFERROR(A324+0,A324),tbl_Production[Job Number],0)))),IFERROR(IF(INDEX(tbl_Consulting[Job Description],IFERROR(MATCH(A324&amp;"",tbl_Consulting[Job Number],0),MATCH(IFERROR(A324+0,A324),tbl_Consulting[Job Number],0)))="","",INDEX(tbl_Consulting[Job Description],IFERROR(MATCH(A324&amp;"",tbl_Consulting[Job Number],0),MATCH(IFERROR(A324+0,A324),tbl_Consulting[Job Number],0)))),""))))</f>
        <v/>
      </c>
      <c r="L324" s="26">
        <f>IF(A324="","",IFERROR(IF(INDEX(tbl_Onsite[Invoice Type],IFERROR(MATCH(A324&amp;"",tbl_Onsite[Job Number],0),MATCH(IFERROR(A324+0,A324),tbl_Onsite[Job Number],0)))="","",INDEX(tbl_Onsite[Invoice Type],IFERROR(MATCH(A324&amp;"",tbl_Onsite[Job Number],0),MATCH(IFERROR(A324+0,A324),tbl_Onsite[Job Number],0)))),IFERROR(IF(INDEX(tbl_Production[Invoice Type],IFERROR(MATCH(A324&amp;"",tbl_Production[Job Number],0),MATCH(IFERROR(A324+0,A324),tbl_Production[Job Number],0)))="","",INDEX(tbl_Production[Invoice Type],IFERROR(MATCH(A324&amp;"",tbl_Production[Job Number],0),MATCH(IFERROR(A324+0,A324),tbl_Production[Job Number],0)))),IFERROR(IF(INDEX(tbl_Consulting[Invoice Type],IFERROR(MATCH(A324&amp;"",tbl_Consulting[Job Number],0),MATCH(IFERROR(A324+0,A324),tbl_Consulting[Job Number],0)))="","",INDEX(tbl_Consulting[Invoice Type],IFERROR(MATCH(A324&amp;"",tbl_Consulting[Job Number],0),MATCH(IFERROR(A324+0,A324),tbl_Consulting[Job Number],0)))),""))))</f>
        <v/>
      </c>
      <c r="M324" s="26">
        <f>IF(A324="","",IF(IFERROR(IF(INDEX(tbl_Onsite[Tax Code],IFERROR(MATCH(A324&amp;"",tbl_Onsite[Job Number],0),MATCH(IFERROR(A324+0,A324),tbl_Onsite[Job Number],0)))="","",INDEX(tbl_Onsite[Tax Code],IFERROR(MATCH(A324&amp;"",tbl_Onsite[Job Number],0),MATCH(IFERROR(A324+0,A324),tbl_Onsite[Job Number],0)))),IFERROR(IF(INDEX(tbl_Production[Tax Code],IFERROR(MATCH(A324&amp;"",tbl_Production[Job Number],0),MATCH(IFERROR(A324+0,A324),tbl_Production[Job Number],0)))="","",INDEX(tbl_Production[Tax Code],IFERROR(MATCH(A324&amp;"",tbl_Production[Job Number],0),MATCH(IFERROR(A324+0,A324),tbl_Production[Job Number],0)))),IFERROR(IF(INDEX(tbl_Consulting[Tax Code],IFERROR(MATCH(A324&amp;"",tbl_Consulting[Job Number],0),MATCH(IFERROR(A324+0,A324),tbl_Consulting[Job Number],0)))="","",INDEX(tbl_Consulting[Tax Code],IFERROR(MATCH(A324&amp;"",tbl_Consulting[Job Number],0),MATCH(IFERROR(A324+0,A324),tbl_Consulting[Job Number],0)))),"")))="","GST 10%",IFERROR(IF(INDEX(tbl_Onsite[Tax Code],IFERROR(MATCH(A324&amp;"",tbl_Onsite[Job Number],0),MATCH(IFERROR(A324+0,A324),tbl_Onsite[Job Number],0)))="","",INDEX(tbl_Onsite[Tax Code],IFERROR(MATCH(A324&amp;"",tbl_Onsite[Job Number],0),MATCH(IFERROR(A324+0,A324),tbl_Onsite[Job Number],0)))),IFERROR(IF(INDEX(tbl_Production[Tax Code],IFERROR(MATCH(A324&amp;"",tbl_Production[Job Number],0),MATCH(IFERROR(A324+0,A324),tbl_Production[Job Number],0)))="","",INDEX(tbl_Production[Tax Code],IFERROR(MATCH(A324&amp;"",tbl_Production[Job Number],0),MATCH(IFERROR(A324+0,A324),tbl_Production[Job Number],0)))),IFERROR(IF(INDEX(tbl_Consulting[Tax Code],IFERROR(MATCH(A324&amp;"",tbl_Consulting[Job Number],0),MATCH(IFERROR(A324+0,A324),tbl_Consulting[Job Number],0)))="","",INDEX(tbl_Consulting[Tax Code],IFERROR(MATCH(A324&amp;"",tbl_Consulting[Job Number],0),MATCH(IFERROR(A324+0,A324),tbl_Consulting[Job Number],0)))),"")))))</f>
        <v/>
      </c>
      <c r="N324" s="26">
        <f>IF(D324="","",IFERROR(INDEX(lst_CCtoGL,MATCH(D324,lst_CCforGL,0)),""))</f>
        <v/>
      </c>
      <c r="O324" s="27">
        <f>IF(E324="","",IF(M324="GST 10%",ROUND(E324*set_GSTRate,2),0))</f>
        <v/>
      </c>
      <c r="P324" s="27">
        <f>IF(E324="","",E324+O324)</f>
        <v/>
      </c>
      <c r="Q324" s="27">
        <f>IF(A324="","",IFERROR(INDEX(tbl_Onsite[Expected Revenue Ex GST],IFERROR(MATCH(A324&amp;"",tbl_Onsite[Job Number],0),MATCH(IFERROR(A324+0,A324),tbl_Onsite[Job Number],0))),IFERROR(INDEX(tbl_Production[Expected Revenue Ex GST],IFERROR(MATCH(A324&amp;"",tbl_Production[Job Number],0),MATCH(IFERROR(A324+0,A324),tbl_Production[Job Number],0))),IFERROR(INDEX(tbl_Consulting[Expected Revenue Ex GST],IFERROR(MATCH(A324&amp;"",tbl_Consulting[Job Number],0),MATCH(IFERROR(A324+0,A324),tbl_Consulting[Job Number],0))),0))))</f>
        <v/>
      </c>
      <c r="R324" s="27">
        <f>IF(A324="","",SUMIFS(tbl_Finance[Ex GST],tbl_Finance[Job Number],A324&amp;""))</f>
        <v/>
      </c>
      <c r="S324" s="27">
        <f>IF(A324="","",Q324-R324)</f>
        <v/>
      </c>
      <c r="T324" s="26">
        <f>IF(A324="","",IF(Q324=0,"No dept value",IF(ROUND(S324,2)=0,"Agrees",IF(S324&gt;0,"Dept higher - to invoice","Xero higher - check dept"))))</f>
        <v/>
      </c>
      <c r="U324" s="22" t="n"/>
      <c r="V324" s="22" t="n"/>
      <c r="W324" s="23" t="n"/>
      <c r="X324" s="23" t="n"/>
      <c r="Y324" s="22" t="n"/>
      <c r="Z324" s="22" t="n"/>
      <c r="AA324" s="26">
        <f>IF(COUNTA(C324,A324,B324,E324)=0,"",IF(C324="","No date - sits outside every month",IF(A324="","No job number",IF(H324="CHECK","Job number is not in the Xero job list",IF(G324="not set up yet","No department has set this job up - nothing can pull through",IF(D324="","No cost centre",IF(AND(U324="Y",B324=""),"Marked posted to Xero but has no invoice number",IF(N324="","Cost centre has no revenue GL on the Lists sheet",IF(T324="Xero higher - check dept","Invoiced more than the department says the job is worth","")))))))))</f>
        <v/>
      </c>
      <c r="AB324" s="28">
        <f>IF(A324="","",COUNTIFS(tbl_Finance[Job Number],A324&amp;"",tbl_Finance[Ex GST],"&lt;&gt;"))</f>
        <v/>
      </c>
      <c r="AC324" s="27">
        <f>IF(A324="","",SUMIFS(tbl_Finance[Ex GST],tbl_Finance[Job Number],A324&amp;""))</f>
        <v/>
      </c>
      <c r="AD324" s="27">
        <f>IF(A324="","",SUMIFS(tbl_Finance[Ex GST],tbl_Finance[Job Number],A324&amp;"",tbl_Finance[Xero Invoice No],"&lt;&gt;"))</f>
        <v/>
      </c>
      <c r="AE324" s="27">
        <f>IF(A324="","",AC324-AD324)</f>
        <v/>
      </c>
      <c r="AF324" s="26">
        <f>IF(A324="","",IFERROR(IF(INDEX(tbl_Onsite[Qwilr Quote],IFERROR(MATCH(A324&amp;"",tbl_Onsite[Job Number],0),MATCH(IFERROR(A324+0,A324),tbl_Onsite[Job Number],0)))="","",INDEX(tbl_Onsite[Qwilr Quote],IFERROR(MATCH(A324&amp;"",tbl_Onsite[Job Number],0),MATCH(IFERROR(A324+0,A324),tbl_Onsite[Job Number],0)))),IFERROR(IF(IF(INDEX(tbl_Production[Current RMS No],IFERROR(MATCH(A324&amp;"",tbl_Production[Job Number],0),MATCH(IFERROR(A324+0,A324),tbl_Production[Job Number],0)))="",INDEX(tbl_Production[Qwilr Quote],IFERROR(MATCH(A324&amp;"",tbl_Production[Job Number],0),MATCH(IFERROR(A324+0,A324),tbl_Production[Job Number],0))),INDEX(tbl_Production[Current RMS No],IFERROR(MATCH(A324&amp;"",tbl_Production[Job Number],0),MATCH(IFERROR(A324+0,A324),tbl_Production[Job Number],0))))="","",IF(INDEX(tbl_Production[Current RMS No],IFERROR(MATCH(A324&amp;"",tbl_Production[Job Number],0),MATCH(IFERROR(A324+0,A324),tbl_Production[Job Number],0)))="",INDEX(tbl_Production[Qwilr Quote],IFERROR(MATCH(A324&amp;"",tbl_Production[Job Number],0),MATCH(IFERROR(A324+0,A324),tbl_Production[Job Number],0))),INDEX(tbl_Production[Current RMS No],IFERROR(MATCH(A324&amp;"",tbl_Production[Job Number],0),MATCH(IFERROR(A324+0,A324),tbl_Production[Job Number],0))))),IFERROR(IF(INDEX(tbl_Consulting[Qwilr Quote],IFERROR(MATCH(A324&amp;"",tbl_Consulting[Job Number],0),MATCH(IFERROR(A324+0,A324),tbl_Consulting[Job Number],0)))="","",INDEX(tbl_Consulting[Qwilr Quote],IFERROR(MATCH(A324&amp;"",tbl_Consulting[Job Number],0),MATCH(IFERROR(A324+0,A324),tbl_Consulting[Job Number],0)))),""))))</f>
        <v/>
      </c>
      <c r="AG324" s="26">
        <f>IF(AF324="","",IF(AND(LEFT(AF324,4)&lt;&gt;"http",IF(G324="Production",set_RMSBase,set_QwilrBase)=""),"",HYPERLINK(IF(LEFT(AF324,4)="http",AF324,IF(G324="Production",set_RMSBase,set_QwilrBase)&amp;AF324),"Open")))</f>
        <v/>
      </c>
      <c r="AH324" s="27">
        <f>IF(A324="","",IFERROR(INDEX(tbl_Production[Total Expense],IFERROR(MATCH(A324&amp;"",tbl_Production[Job Number],0),MATCH(IFERROR(A324+0,A324),tbl_Production[Job Number],0))),IFERROR(INDEX(tbl_Consulting[Total Expense],IFERROR(MATCH(A324&amp;"",tbl_Consulting[Job Number],0),MATCH(IFERROR(A324+0,A324),tbl_Consulting[Job Number],0))),0)))</f>
        <v/>
      </c>
      <c r="AI324" s="27">
        <f>IF(A324="","",AC324-N(AH324))</f>
        <v/>
      </c>
      <c r="AJ324" s="29">
        <f>IFERROR(AI324/AC324,"")</f>
        <v/>
      </c>
      <c r="AK324" s="26">
        <f>IF(A324="","",IFERROR(IF(INDEX(tbl_Onsite[Notes],IFERROR(MATCH(A324&amp;"",tbl_Onsite[Job Number],0),MATCH(IFERROR(A324+0,A324),tbl_Onsite[Job Number],0)))="","",INDEX(tbl_Onsite[Notes],IFERROR(MATCH(A324&amp;"",tbl_Onsite[Job Number],0),MATCH(IFERROR(A324+0,A324),tbl_Onsite[Job Number],0)))),IFERROR(IF(INDEX(tbl_Production[Notes],IFERROR(MATCH(A324&amp;"",tbl_Production[Job Number],0),MATCH(IFERROR(A324+0,A324),tbl_Production[Job Number],0)))="","",INDEX(tbl_Production[Notes],IFERROR(MATCH(A324&amp;"",tbl_Production[Job Number],0),MATCH(IFERROR(A324+0,A324),tbl_Production[Job Number],0)))),IFERROR(IF(INDEX(tbl_Consulting[Notes],IFERROR(MATCH(A324&amp;"",tbl_Consulting[Job Number],0),MATCH(IFERROR(A324+0,A324),tbl_Consulting[Job Number],0)))="","",INDEX(tbl_Consulting[Notes],IFERROR(MATCH(A324&amp;"",tbl_Consulting[Job Number],0),MATCH(IFERROR(A324+0,A324),tbl_Consulting[Job Number],0)))),""))))</f>
        <v/>
      </c>
    </row>
    <row r="325" ht="15" customHeight="1">
      <c r="A325" s="22" t="n"/>
      <c r="B325" s="22" t="n"/>
      <c r="C325" s="23" t="n"/>
      <c r="D325" s="22" t="n"/>
      <c r="E325" s="24" t="n"/>
      <c r="F325" s="25">
        <f>IF(C325="","",EOMONTH(C325,0))</f>
        <v/>
      </c>
      <c r="G325" s="26">
        <f>IF(A325="","",IF(COUNTIF(tbl_Onsite[Job Number],A325&amp;"")&gt;0,"Onsite",IF(COUNTIF(tbl_Production[Job Number],A325&amp;"")&gt;0,"Production",IF(COUNTIF(tbl_Consulting[Job Number],A325&amp;"")&gt;0,"Consulting","not set up yet"))))</f>
        <v/>
      </c>
      <c r="H325" s="26">
        <f>IF(A325="","",IF(COUNTIF(lst_Jobs,A325&amp;"")&gt;0,"OK","CHECK"))</f>
        <v/>
      </c>
      <c r="I325" s="26">
        <f>IF(A325="","",IFERROR(INDEX(lst_JobName,MATCH(A325&amp;"",lst_Jobs,0)),""))</f>
        <v/>
      </c>
      <c r="J325" s="26">
        <f>IF(A325="","",IFERROR(IF(INDEX(tbl_Onsite[Client],IFERROR(MATCH(A325&amp;"",tbl_Onsite[Job Number],0),MATCH(IFERROR(A325+0,A325),tbl_Onsite[Job Number],0)))="","",INDEX(tbl_Onsite[Client],IFERROR(MATCH(A325&amp;"",tbl_Onsite[Job Number],0),MATCH(IFERROR(A325+0,A325),tbl_Onsite[Job Number],0)))),IFERROR(IF(INDEX(tbl_Production[Client],IFERROR(MATCH(A325&amp;"",tbl_Production[Job Number],0),MATCH(IFERROR(A325+0,A325),tbl_Production[Job Number],0)))="","",INDEX(tbl_Production[Client],IFERROR(MATCH(A325&amp;"",tbl_Production[Job Number],0),MATCH(IFERROR(A325+0,A325),tbl_Production[Job Number],0)))),IFERROR(IF(INDEX(tbl_Consulting[Client],IFERROR(MATCH(A325&amp;"",tbl_Consulting[Job Number],0),MATCH(IFERROR(A325+0,A325),tbl_Consulting[Job Number],0)))="","",INDEX(tbl_Consulting[Client],IFERROR(MATCH(A325&amp;"",tbl_Consulting[Job Number],0),MATCH(IFERROR(A325+0,A325),tbl_Consulting[Job Number],0)))),""))))</f>
        <v/>
      </c>
      <c r="K325" s="26">
        <f>IF(A325="","",IFERROR(IF(INDEX(tbl_Onsite[Job Description],IFERROR(MATCH(A325&amp;"",tbl_Onsite[Job Number],0),MATCH(IFERROR(A325+0,A325),tbl_Onsite[Job Number],0)))="","",INDEX(tbl_Onsite[Job Description],IFERROR(MATCH(A325&amp;"",tbl_Onsite[Job Number],0),MATCH(IFERROR(A325+0,A325),tbl_Onsite[Job Number],0)))),IFERROR(IF(INDEX(tbl_Production[Job Description],IFERROR(MATCH(A325&amp;"",tbl_Production[Job Number],0),MATCH(IFERROR(A325+0,A325),tbl_Production[Job Number],0)))="","",INDEX(tbl_Production[Job Description],IFERROR(MATCH(A325&amp;"",tbl_Production[Job Number],0),MATCH(IFERROR(A325+0,A325),tbl_Production[Job Number],0)))),IFERROR(IF(INDEX(tbl_Consulting[Job Description],IFERROR(MATCH(A325&amp;"",tbl_Consulting[Job Number],0),MATCH(IFERROR(A325+0,A325),tbl_Consulting[Job Number],0)))="","",INDEX(tbl_Consulting[Job Description],IFERROR(MATCH(A325&amp;"",tbl_Consulting[Job Number],0),MATCH(IFERROR(A325+0,A325),tbl_Consulting[Job Number],0)))),""))))</f>
        <v/>
      </c>
      <c r="L325" s="26">
        <f>IF(A325="","",IFERROR(IF(INDEX(tbl_Onsite[Invoice Type],IFERROR(MATCH(A325&amp;"",tbl_Onsite[Job Number],0),MATCH(IFERROR(A325+0,A325),tbl_Onsite[Job Number],0)))="","",INDEX(tbl_Onsite[Invoice Type],IFERROR(MATCH(A325&amp;"",tbl_Onsite[Job Number],0),MATCH(IFERROR(A325+0,A325),tbl_Onsite[Job Number],0)))),IFERROR(IF(INDEX(tbl_Production[Invoice Type],IFERROR(MATCH(A325&amp;"",tbl_Production[Job Number],0),MATCH(IFERROR(A325+0,A325),tbl_Production[Job Number],0)))="","",INDEX(tbl_Production[Invoice Type],IFERROR(MATCH(A325&amp;"",tbl_Production[Job Number],0),MATCH(IFERROR(A325+0,A325),tbl_Production[Job Number],0)))),IFERROR(IF(INDEX(tbl_Consulting[Invoice Type],IFERROR(MATCH(A325&amp;"",tbl_Consulting[Job Number],0),MATCH(IFERROR(A325+0,A325),tbl_Consulting[Job Number],0)))="","",INDEX(tbl_Consulting[Invoice Type],IFERROR(MATCH(A325&amp;"",tbl_Consulting[Job Number],0),MATCH(IFERROR(A325+0,A325),tbl_Consulting[Job Number],0)))),""))))</f>
        <v/>
      </c>
      <c r="M325" s="26">
        <f>IF(A325="","",IF(IFERROR(IF(INDEX(tbl_Onsite[Tax Code],IFERROR(MATCH(A325&amp;"",tbl_Onsite[Job Number],0),MATCH(IFERROR(A325+0,A325),tbl_Onsite[Job Number],0)))="","",INDEX(tbl_Onsite[Tax Code],IFERROR(MATCH(A325&amp;"",tbl_Onsite[Job Number],0),MATCH(IFERROR(A325+0,A325),tbl_Onsite[Job Number],0)))),IFERROR(IF(INDEX(tbl_Production[Tax Code],IFERROR(MATCH(A325&amp;"",tbl_Production[Job Number],0),MATCH(IFERROR(A325+0,A325),tbl_Production[Job Number],0)))="","",INDEX(tbl_Production[Tax Code],IFERROR(MATCH(A325&amp;"",tbl_Production[Job Number],0),MATCH(IFERROR(A325+0,A325),tbl_Production[Job Number],0)))),IFERROR(IF(INDEX(tbl_Consulting[Tax Code],IFERROR(MATCH(A325&amp;"",tbl_Consulting[Job Number],0),MATCH(IFERROR(A325+0,A325),tbl_Consulting[Job Number],0)))="","",INDEX(tbl_Consulting[Tax Code],IFERROR(MATCH(A325&amp;"",tbl_Consulting[Job Number],0),MATCH(IFERROR(A325+0,A325),tbl_Consulting[Job Number],0)))),"")))="","GST 10%",IFERROR(IF(INDEX(tbl_Onsite[Tax Code],IFERROR(MATCH(A325&amp;"",tbl_Onsite[Job Number],0),MATCH(IFERROR(A325+0,A325),tbl_Onsite[Job Number],0)))="","",INDEX(tbl_Onsite[Tax Code],IFERROR(MATCH(A325&amp;"",tbl_Onsite[Job Number],0),MATCH(IFERROR(A325+0,A325),tbl_Onsite[Job Number],0)))),IFERROR(IF(INDEX(tbl_Production[Tax Code],IFERROR(MATCH(A325&amp;"",tbl_Production[Job Number],0),MATCH(IFERROR(A325+0,A325),tbl_Production[Job Number],0)))="","",INDEX(tbl_Production[Tax Code],IFERROR(MATCH(A325&amp;"",tbl_Production[Job Number],0),MATCH(IFERROR(A325+0,A325),tbl_Production[Job Number],0)))),IFERROR(IF(INDEX(tbl_Consulting[Tax Code],IFERROR(MATCH(A325&amp;"",tbl_Consulting[Job Number],0),MATCH(IFERROR(A325+0,A325),tbl_Consulting[Job Number],0)))="","",INDEX(tbl_Consulting[Tax Code],IFERROR(MATCH(A325&amp;"",tbl_Consulting[Job Number],0),MATCH(IFERROR(A325+0,A325),tbl_Consulting[Job Number],0)))),"")))))</f>
        <v/>
      </c>
      <c r="N325" s="26">
        <f>IF(D325="","",IFERROR(INDEX(lst_CCtoGL,MATCH(D325,lst_CCforGL,0)),""))</f>
        <v/>
      </c>
      <c r="O325" s="27">
        <f>IF(E325="","",IF(M325="GST 10%",ROUND(E325*set_GSTRate,2),0))</f>
        <v/>
      </c>
      <c r="P325" s="27">
        <f>IF(E325="","",E325+O325)</f>
        <v/>
      </c>
      <c r="Q325" s="27">
        <f>IF(A325="","",IFERROR(INDEX(tbl_Onsite[Expected Revenue Ex GST],IFERROR(MATCH(A325&amp;"",tbl_Onsite[Job Number],0),MATCH(IFERROR(A325+0,A325),tbl_Onsite[Job Number],0))),IFERROR(INDEX(tbl_Production[Expected Revenue Ex GST],IFERROR(MATCH(A325&amp;"",tbl_Production[Job Number],0),MATCH(IFERROR(A325+0,A325),tbl_Production[Job Number],0))),IFERROR(INDEX(tbl_Consulting[Expected Revenue Ex GST],IFERROR(MATCH(A325&amp;"",tbl_Consulting[Job Number],0),MATCH(IFERROR(A325+0,A325),tbl_Consulting[Job Number],0))),0))))</f>
        <v/>
      </c>
      <c r="R325" s="27">
        <f>IF(A325="","",SUMIFS(tbl_Finance[Ex GST],tbl_Finance[Job Number],A325&amp;""))</f>
        <v/>
      </c>
      <c r="S325" s="27">
        <f>IF(A325="","",Q325-R325)</f>
        <v/>
      </c>
      <c r="T325" s="26">
        <f>IF(A325="","",IF(Q325=0,"No dept value",IF(ROUND(S325,2)=0,"Agrees",IF(S325&gt;0,"Dept higher - to invoice","Xero higher - check dept"))))</f>
        <v/>
      </c>
      <c r="U325" s="22" t="n"/>
      <c r="V325" s="22" t="n"/>
      <c r="W325" s="23" t="n"/>
      <c r="X325" s="23" t="n"/>
      <c r="Y325" s="22" t="n"/>
      <c r="Z325" s="22" t="n"/>
      <c r="AA325" s="26">
        <f>IF(COUNTA(C325,A325,B325,E325)=0,"",IF(C325="","No date - sits outside every month",IF(A325="","No job number",IF(H325="CHECK","Job number is not in the Xero job list",IF(G325="not set up yet","No department has set this job up - nothing can pull through",IF(D325="","No cost centre",IF(AND(U325="Y",B325=""),"Marked posted to Xero but has no invoice number",IF(N325="","Cost centre has no revenue GL on the Lists sheet",IF(T325="Xero higher - check dept","Invoiced more than the department says the job is worth","")))))))))</f>
        <v/>
      </c>
      <c r="AB325" s="28">
        <f>IF(A325="","",COUNTIFS(tbl_Finance[Job Number],A325&amp;"",tbl_Finance[Ex GST],"&lt;&gt;"))</f>
        <v/>
      </c>
      <c r="AC325" s="27">
        <f>IF(A325="","",SUMIFS(tbl_Finance[Ex GST],tbl_Finance[Job Number],A325&amp;""))</f>
        <v/>
      </c>
      <c r="AD325" s="27">
        <f>IF(A325="","",SUMIFS(tbl_Finance[Ex GST],tbl_Finance[Job Number],A325&amp;"",tbl_Finance[Xero Invoice No],"&lt;&gt;"))</f>
        <v/>
      </c>
      <c r="AE325" s="27">
        <f>IF(A325="","",AC325-AD325)</f>
        <v/>
      </c>
      <c r="AF325" s="26">
        <f>IF(A325="","",IFERROR(IF(INDEX(tbl_Onsite[Qwilr Quote],IFERROR(MATCH(A325&amp;"",tbl_Onsite[Job Number],0),MATCH(IFERROR(A325+0,A325),tbl_Onsite[Job Number],0)))="","",INDEX(tbl_Onsite[Qwilr Quote],IFERROR(MATCH(A325&amp;"",tbl_Onsite[Job Number],0),MATCH(IFERROR(A325+0,A325),tbl_Onsite[Job Number],0)))),IFERROR(IF(IF(INDEX(tbl_Production[Current RMS No],IFERROR(MATCH(A325&amp;"",tbl_Production[Job Number],0),MATCH(IFERROR(A325+0,A325),tbl_Production[Job Number],0)))="",INDEX(tbl_Production[Qwilr Quote],IFERROR(MATCH(A325&amp;"",tbl_Production[Job Number],0),MATCH(IFERROR(A325+0,A325),tbl_Production[Job Number],0))),INDEX(tbl_Production[Current RMS No],IFERROR(MATCH(A325&amp;"",tbl_Production[Job Number],0),MATCH(IFERROR(A325+0,A325),tbl_Production[Job Number],0))))="","",IF(INDEX(tbl_Production[Current RMS No],IFERROR(MATCH(A325&amp;"",tbl_Production[Job Number],0),MATCH(IFERROR(A325+0,A325),tbl_Production[Job Number],0)))="",INDEX(tbl_Production[Qwilr Quote],IFERROR(MATCH(A325&amp;"",tbl_Production[Job Number],0),MATCH(IFERROR(A325+0,A325),tbl_Production[Job Number],0))),INDEX(tbl_Production[Current RMS No],IFERROR(MATCH(A325&amp;"",tbl_Production[Job Number],0),MATCH(IFERROR(A325+0,A325),tbl_Production[Job Number],0))))),IFERROR(IF(INDEX(tbl_Consulting[Qwilr Quote],IFERROR(MATCH(A325&amp;"",tbl_Consulting[Job Number],0),MATCH(IFERROR(A325+0,A325),tbl_Consulting[Job Number],0)))="","",INDEX(tbl_Consulting[Qwilr Quote],IFERROR(MATCH(A325&amp;"",tbl_Consulting[Job Number],0),MATCH(IFERROR(A325+0,A325),tbl_Consulting[Job Number],0)))),""))))</f>
        <v/>
      </c>
      <c r="AG325" s="26">
        <f>IF(AF325="","",IF(AND(LEFT(AF325,4)&lt;&gt;"http",IF(G325="Production",set_RMSBase,set_QwilrBase)=""),"",HYPERLINK(IF(LEFT(AF325,4)="http",AF325,IF(G325="Production",set_RMSBase,set_QwilrBase)&amp;AF325),"Open")))</f>
        <v/>
      </c>
      <c r="AH325" s="27">
        <f>IF(A325="","",IFERROR(INDEX(tbl_Production[Total Expense],IFERROR(MATCH(A325&amp;"",tbl_Production[Job Number],0),MATCH(IFERROR(A325+0,A325),tbl_Production[Job Number],0))),IFERROR(INDEX(tbl_Consulting[Total Expense],IFERROR(MATCH(A325&amp;"",tbl_Consulting[Job Number],0),MATCH(IFERROR(A325+0,A325),tbl_Consulting[Job Number],0))),0)))</f>
        <v/>
      </c>
      <c r="AI325" s="27">
        <f>IF(A325="","",AC325-N(AH325))</f>
        <v/>
      </c>
      <c r="AJ325" s="29">
        <f>IFERROR(AI325/AC325,"")</f>
        <v/>
      </c>
      <c r="AK325" s="26">
        <f>IF(A325="","",IFERROR(IF(INDEX(tbl_Onsite[Notes],IFERROR(MATCH(A325&amp;"",tbl_Onsite[Job Number],0),MATCH(IFERROR(A325+0,A325),tbl_Onsite[Job Number],0)))="","",INDEX(tbl_Onsite[Notes],IFERROR(MATCH(A325&amp;"",tbl_Onsite[Job Number],0),MATCH(IFERROR(A325+0,A325),tbl_Onsite[Job Number],0)))),IFERROR(IF(INDEX(tbl_Production[Notes],IFERROR(MATCH(A325&amp;"",tbl_Production[Job Number],0),MATCH(IFERROR(A325+0,A325),tbl_Production[Job Number],0)))="","",INDEX(tbl_Production[Notes],IFERROR(MATCH(A325&amp;"",tbl_Production[Job Number],0),MATCH(IFERROR(A325+0,A325),tbl_Production[Job Number],0)))),IFERROR(IF(INDEX(tbl_Consulting[Notes],IFERROR(MATCH(A325&amp;"",tbl_Consulting[Job Number],0),MATCH(IFERROR(A325+0,A325),tbl_Consulting[Job Number],0)))="","",INDEX(tbl_Consulting[Notes],IFERROR(MATCH(A325&amp;"",tbl_Consulting[Job Number],0),MATCH(IFERROR(A325+0,A325),tbl_Consulting[Job Number],0)))),""))))</f>
        <v/>
      </c>
    </row>
    <row r="326" ht="15" customHeight="1">
      <c r="A326" s="22" t="n"/>
      <c r="B326" s="22" t="n"/>
      <c r="C326" s="23" t="n"/>
      <c r="D326" s="22" t="n"/>
      <c r="E326" s="24" t="n"/>
      <c r="F326" s="25">
        <f>IF(C326="","",EOMONTH(C326,0))</f>
        <v/>
      </c>
      <c r="G326" s="26">
        <f>IF(A326="","",IF(COUNTIF(tbl_Onsite[Job Number],A326&amp;"")&gt;0,"Onsite",IF(COUNTIF(tbl_Production[Job Number],A326&amp;"")&gt;0,"Production",IF(COUNTIF(tbl_Consulting[Job Number],A326&amp;"")&gt;0,"Consulting","not set up yet"))))</f>
        <v/>
      </c>
      <c r="H326" s="26">
        <f>IF(A326="","",IF(COUNTIF(lst_Jobs,A326&amp;"")&gt;0,"OK","CHECK"))</f>
        <v/>
      </c>
      <c r="I326" s="26">
        <f>IF(A326="","",IFERROR(INDEX(lst_JobName,MATCH(A326&amp;"",lst_Jobs,0)),""))</f>
        <v/>
      </c>
      <c r="J326" s="26">
        <f>IF(A326="","",IFERROR(IF(INDEX(tbl_Onsite[Client],IFERROR(MATCH(A326&amp;"",tbl_Onsite[Job Number],0),MATCH(IFERROR(A326+0,A326),tbl_Onsite[Job Number],0)))="","",INDEX(tbl_Onsite[Client],IFERROR(MATCH(A326&amp;"",tbl_Onsite[Job Number],0),MATCH(IFERROR(A326+0,A326),tbl_Onsite[Job Number],0)))),IFERROR(IF(INDEX(tbl_Production[Client],IFERROR(MATCH(A326&amp;"",tbl_Production[Job Number],0),MATCH(IFERROR(A326+0,A326),tbl_Production[Job Number],0)))="","",INDEX(tbl_Production[Client],IFERROR(MATCH(A326&amp;"",tbl_Production[Job Number],0),MATCH(IFERROR(A326+0,A326),tbl_Production[Job Number],0)))),IFERROR(IF(INDEX(tbl_Consulting[Client],IFERROR(MATCH(A326&amp;"",tbl_Consulting[Job Number],0),MATCH(IFERROR(A326+0,A326),tbl_Consulting[Job Number],0)))="","",INDEX(tbl_Consulting[Client],IFERROR(MATCH(A326&amp;"",tbl_Consulting[Job Number],0),MATCH(IFERROR(A326+0,A326),tbl_Consulting[Job Number],0)))),""))))</f>
        <v/>
      </c>
      <c r="K326" s="26">
        <f>IF(A326="","",IFERROR(IF(INDEX(tbl_Onsite[Job Description],IFERROR(MATCH(A326&amp;"",tbl_Onsite[Job Number],0),MATCH(IFERROR(A326+0,A326),tbl_Onsite[Job Number],0)))="","",INDEX(tbl_Onsite[Job Description],IFERROR(MATCH(A326&amp;"",tbl_Onsite[Job Number],0),MATCH(IFERROR(A326+0,A326),tbl_Onsite[Job Number],0)))),IFERROR(IF(INDEX(tbl_Production[Job Description],IFERROR(MATCH(A326&amp;"",tbl_Production[Job Number],0),MATCH(IFERROR(A326+0,A326),tbl_Production[Job Number],0)))="","",INDEX(tbl_Production[Job Description],IFERROR(MATCH(A326&amp;"",tbl_Production[Job Number],0),MATCH(IFERROR(A326+0,A326),tbl_Production[Job Number],0)))),IFERROR(IF(INDEX(tbl_Consulting[Job Description],IFERROR(MATCH(A326&amp;"",tbl_Consulting[Job Number],0),MATCH(IFERROR(A326+0,A326),tbl_Consulting[Job Number],0)))="","",INDEX(tbl_Consulting[Job Description],IFERROR(MATCH(A326&amp;"",tbl_Consulting[Job Number],0),MATCH(IFERROR(A326+0,A326),tbl_Consulting[Job Number],0)))),""))))</f>
        <v/>
      </c>
      <c r="L326" s="26">
        <f>IF(A326="","",IFERROR(IF(INDEX(tbl_Onsite[Invoice Type],IFERROR(MATCH(A326&amp;"",tbl_Onsite[Job Number],0),MATCH(IFERROR(A326+0,A326),tbl_Onsite[Job Number],0)))="","",INDEX(tbl_Onsite[Invoice Type],IFERROR(MATCH(A326&amp;"",tbl_Onsite[Job Number],0),MATCH(IFERROR(A326+0,A326),tbl_Onsite[Job Number],0)))),IFERROR(IF(INDEX(tbl_Production[Invoice Type],IFERROR(MATCH(A326&amp;"",tbl_Production[Job Number],0),MATCH(IFERROR(A326+0,A326),tbl_Production[Job Number],0)))="","",INDEX(tbl_Production[Invoice Type],IFERROR(MATCH(A326&amp;"",tbl_Production[Job Number],0),MATCH(IFERROR(A326+0,A326),tbl_Production[Job Number],0)))),IFERROR(IF(INDEX(tbl_Consulting[Invoice Type],IFERROR(MATCH(A326&amp;"",tbl_Consulting[Job Number],0),MATCH(IFERROR(A326+0,A326),tbl_Consulting[Job Number],0)))="","",INDEX(tbl_Consulting[Invoice Type],IFERROR(MATCH(A326&amp;"",tbl_Consulting[Job Number],0),MATCH(IFERROR(A326+0,A326),tbl_Consulting[Job Number],0)))),""))))</f>
        <v/>
      </c>
      <c r="M326" s="26">
        <f>IF(A326="","",IF(IFERROR(IF(INDEX(tbl_Onsite[Tax Code],IFERROR(MATCH(A326&amp;"",tbl_Onsite[Job Number],0),MATCH(IFERROR(A326+0,A326),tbl_Onsite[Job Number],0)))="","",INDEX(tbl_Onsite[Tax Code],IFERROR(MATCH(A326&amp;"",tbl_Onsite[Job Number],0),MATCH(IFERROR(A326+0,A326),tbl_Onsite[Job Number],0)))),IFERROR(IF(INDEX(tbl_Production[Tax Code],IFERROR(MATCH(A326&amp;"",tbl_Production[Job Number],0),MATCH(IFERROR(A326+0,A326),tbl_Production[Job Number],0)))="","",INDEX(tbl_Production[Tax Code],IFERROR(MATCH(A326&amp;"",tbl_Production[Job Number],0),MATCH(IFERROR(A326+0,A326),tbl_Production[Job Number],0)))),IFERROR(IF(INDEX(tbl_Consulting[Tax Code],IFERROR(MATCH(A326&amp;"",tbl_Consulting[Job Number],0),MATCH(IFERROR(A326+0,A326),tbl_Consulting[Job Number],0)))="","",INDEX(tbl_Consulting[Tax Code],IFERROR(MATCH(A326&amp;"",tbl_Consulting[Job Number],0),MATCH(IFERROR(A326+0,A326),tbl_Consulting[Job Number],0)))),"")))="","GST 10%",IFERROR(IF(INDEX(tbl_Onsite[Tax Code],IFERROR(MATCH(A326&amp;"",tbl_Onsite[Job Number],0),MATCH(IFERROR(A326+0,A326),tbl_Onsite[Job Number],0)))="","",INDEX(tbl_Onsite[Tax Code],IFERROR(MATCH(A326&amp;"",tbl_Onsite[Job Number],0),MATCH(IFERROR(A326+0,A326),tbl_Onsite[Job Number],0)))),IFERROR(IF(INDEX(tbl_Production[Tax Code],IFERROR(MATCH(A326&amp;"",tbl_Production[Job Number],0),MATCH(IFERROR(A326+0,A326),tbl_Production[Job Number],0)))="","",INDEX(tbl_Production[Tax Code],IFERROR(MATCH(A326&amp;"",tbl_Production[Job Number],0),MATCH(IFERROR(A326+0,A326),tbl_Production[Job Number],0)))),IFERROR(IF(INDEX(tbl_Consulting[Tax Code],IFERROR(MATCH(A326&amp;"",tbl_Consulting[Job Number],0),MATCH(IFERROR(A326+0,A326),tbl_Consulting[Job Number],0)))="","",INDEX(tbl_Consulting[Tax Code],IFERROR(MATCH(A326&amp;"",tbl_Consulting[Job Number],0),MATCH(IFERROR(A326+0,A326),tbl_Consulting[Job Number],0)))),"")))))</f>
        <v/>
      </c>
      <c r="N326" s="26">
        <f>IF(D326="","",IFERROR(INDEX(lst_CCtoGL,MATCH(D326,lst_CCforGL,0)),""))</f>
        <v/>
      </c>
      <c r="O326" s="27">
        <f>IF(E326="","",IF(M326="GST 10%",ROUND(E326*set_GSTRate,2),0))</f>
        <v/>
      </c>
      <c r="P326" s="27">
        <f>IF(E326="","",E326+O326)</f>
        <v/>
      </c>
      <c r="Q326" s="27">
        <f>IF(A326="","",IFERROR(INDEX(tbl_Onsite[Expected Revenue Ex GST],IFERROR(MATCH(A326&amp;"",tbl_Onsite[Job Number],0),MATCH(IFERROR(A326+0,A326),tbl_Onsite[Job Number],0))),IFERROR(INDEX(tbl_Production[Expected Revenue Ex GST],IFERROR(MATCH(A326&amp;"",tbl_Production[Job Number],0),MATCH(IFERROR(A326+0,A326),tbl_Production[Job Number],0))),IFERROR(INDEX(tbl_Consulting[Expected Revenue Ex GST],IFERROR(MATCH(A326&amp;"",tbl_Consulting[Job Number],0),MATCH(IFERROR(A326+0,A326),tbl_Consulting[Job Number],0))),0))))</f>
        <v/>
      </c>
      <c r="R326" s="27">
        <f>IF(A326="","",SUMIFS(tbl_Finance[Ex GST],tbl_Finance[Job Number],A326&amp;""))</f>
        <v/>
      </c>
      <c r="S326" s="27">
        <f>IF(A326="","",Q326-R326)</f>
        <v/>
      </c>
      <c r="T326" s="26">
        <f>IF(A326="","",IF(Q326=0,"No dept value",IF(ROUND(S326,2)=0,"Agrees",IF(S326&gt;0,"Dept higher - to invoice","Xero higher - check dept"))))</f>
        <v/>
      </c>
      <c r="U326" s="22" t="n"/>
      <c r="V326" s="22" t="n"/>
      <c r="W326" s="23" t="n"/>
      <c r="X326" s="23" t="n"/>
      <c r="Y326" s="22" t="n"/>
      <c r="Z326" s="22" t="n"/>
      <c r="AA326" s="26">
        <f>IF(COUNTA(C326,A326,B326,E326)=0,"",IF(C326="","No date - sits outside every month",IF(A326="","No job number",IF(H326="CHECK","Job number is not in the Xero job list",IF(G326="not set up yet","No department has set this job up - nothing can pull through",IF(D326="","No cost centre",IF(AND(U326="Y",B326=""),"Marked posted to Xero but has no invoice number",IF(N326="","Cost centre has no revenue GL on the Lists sheet",IF(T326="Xero higher - check dept","Invoiced more than the department says the job is worth","")))))))))</f>
        <v/>
      </c>
      <c r="AB326" s="28">
        <f>IF(A326="","",COUNTIFS(tbl_Finance[Job Number],A326&amp;"",tbl_Finance[Ex GST],"&lt;&gt;"))</f>
        <v/>
      </c>
      <c r="AC326" s="27">
        <f>IF(A326="","",SUMIFS(tbl_Finance[Ex GST],tbl_Finance[Job Number],A326&amp;""))</f>
        <v/>
      </c>
      <c r="AD326" s="27">
        <f>IF(A326="","",SUMIFS(tbl_Finance[Ex GST],tbl_Finance[Job Number],A326&amp;"",tbl_Finance[Xero Invoice No],"&lt;&gt;"))</f>
        <v/>
      </c>
      <c r="AE326" s="27">
        <f>IF(A326="","",AC326-AD326)</f>
        <v/>
      </c>
      <c r="AF326" s="26">
        <f>IF(A326="","",IFERROR(IF(INDEX(tbl_Onsite[Qwilr Quote],IFERROR(MATCH(A326&amp;"",tbl_Onsite[Job Number],0),MATCH(IFERROR(A326+0,A326),tbl_Onsite[Job Number],0)))="","",INDEX(tbl_Onsite[Qwilr Quote],IFERROR(MATCH(A326&amp;"",tbl_Onsite[Job Number],0),MATCH(IFERROR(A326+0,A326),tbl_Onsite[Job Number],0)))),IFERROR(IF(IF(INDEX(tbl_Production[Current RMS No],IFERROR(MATCH(A326&amp;"",tbl_Production[Job Number],0),MATCH(IFERROR(A326+0,A326),tbl_Production[Job Number],0)))="",INDEX(tbl_Production[Qwilr Quote],IFERROR(MATCH(A326&amp;"",tbl_Production[Job Number],0),MATCH(IFERROR(A326+0,A326),tbl_Production[Job Number],0))),INDEX(tbl_Production[Current RMS No],IFERROR(MATCH(A326&amp;"",tbl_Production[Job Number],0),MATCH(IFERROR(A326+0,A326),tbl_Production[Job Number],0))))="","",IF(INDEX(tbl_Production[Current RMS No],IFERROR(MATCH(A326&amp;"",tbl_Production[Job Number],0),MATCH(IFERROR(A326+0,A326),tbl_Production[Job Number],0)))="",INDEX(tbl_Production[Qwilr Quote],IFERROR(MATCH(A326&amp;"",tbl_Production[Job Number],0),MATCH(IFERROR(A326+0,A326),tbl_Production[Job Number],0))),INDEX(tbl_Production[Current RMS No],IFERROR(MATCH(A326&amp;"",tbl_Production[Job Number],0),MATCH(IFERROR(A326+0,A326),tbl_Production[Job Number],0))))),IFERROR(IF(INDEX(tbl_Consulting[Qwilr Quote],IFERROR(MATCH(A326&amp;"",tbl_Consulting[Job Number],0),MATCH(IFERROR(A326+0,A326),tbl_Consulting[Job Number],0)))="","",INDEX(tbl_Consulting[Qwilr Quote],IFERROR(MATCH(A326&amp;"",tbl_Consulting[Job Number],0),MATCH(IFERROR(A326+0,A326),tbl_Consulting[Job Number],0)))),""))))</f>
        <v/>
      </c>
      <c r="AG326" s="26">
        <f>IF(AF326="","",IF(AND(LEFT(AF326,4)&lt;&gt;"http",IF(G326="Production",set_RMSBase,set_QwilrBase)=""),"",HYPERLINK(IF(LEFT(AF326,4)="http",AF326,IF(G326="Production",set_RMSBase,set_QwilrBase)&amp;AF326),"Open")))</f>
        <v/>
      </c>
      <c r="AH326" s="27">
        <f>IF(A326="","",IFERROR(INDEX(tbl_Production[Total Expense],IFERROR(MATCH(A326&amp;"",tbl_Production[Job Number],0),MATCH(IFERROR(A326+0,A326),tbl_Production[Job Number],0))),IFERROR(INDEX(tbl_Consulting[Total Expense],IFERROR(MATCH(A326&amp;"",tbl_Consulting[Job Number],0),MATCH(IFERROR(A326+0,A326),tbl_Consulting[Job Number],0))),0)))</f>
        <v/>
      </c>
      <c r="AI326" s="27">
        <f>IF(A326="","",AC326-N(AH326))</f>
        <v/>
      </c>
      <c r="AJ326" s="29">
        <f>IFERROR(AI326/AC326,"")</f>
        <v/>
      </c>
      <c r="AK326" s="26">
        <f>IF(A326="","",IFERROR(IF(INDEX(tbl_Onsite[Notes],IFERROR(MATCH(A326&amp;"",tbl_Onsite[Job Number],0),MATCH(IFERROR(A326+0,A326),tbl_Onsite[Job Number],0)))="","",INDEX(tbl_Onsite[Notes],IFERROR(MATCH(A326&amp;"",tbl_Onsite[Job Number],0),MATCH(IFERROR(A326+0,A326),tbl_Onsite[Job Number],0)))),IFERROR(IF(INDEX(tbl_Production[Notes],IFERROR(MATCH(A326&amp;"",tbl_Production[Job Number],0),MATCH(IFERROR(A326+0,A326),tbl_Production[Job Number],0)))="","",INDEX(tbl_Production[Notes],IFERROR(MATCH(A326&amp;"",tbl_Production[Job Number],0),MATCH(IFERROR(A326+0,A326),tbl_Production[Job Number],0)))),IFERROR(IF(INDEX(tbl_Consulting[Notes],IFERROR(MATCH(A326&amp;"",tbl_Consulting[Job Number],0),MATCH(IFERROR(A326+0,A326),tbl_Consulting[Job Number],0)))="","",INDEX(tbl_Consulting[Notes],IFERROR(MATCH(A326&amp;"",tbl_Consulting[Job Number],0),MATCH(IFERROR(A326+0,A326),tbl_Consulting[Job Number],0)))),""))))</f>
        <v/>
      </c>
    </row>
    <row r="327" ht="15" customHeight="1">
      <c r="A327" s="22" t="n"/>
      <c r="B327" s="22" t="n"/>
      <c r="C327" s="23" t="n"/>
      <c r="D327" s="22" t="n"/>
      <c r="E327" s="24" t="n"/>
      <c r="F327" s="25">
        <f>IF(C327="","",EOMONTH(C327,0))</f>
        <v/>
      </c>
      <c r="G327" s="26">
        <f>IF(A327="","",IF(COUNTIF(tbl_Onsite[Job Number],A327&amp;"")&gt;0,"Onsite",IF(COUNTIF(tbl_Production[Job Number],A327&amp;"")&gt;0,"Production",IF(COUNTIF(tbl_Consulting[Job Number],A327&amp;"")&gt;0,"Consulting","not set up yet"))))</f>
        <v/>
      </c>
      <c r="H327" s="26">
        <f>IF(A327="","",IF(COUNTIF(lst_Jobs,A327&amp;"")&gt;0,"OK","CHECK"))</f>
        <v/>
      </c>
      <c r="I327" s="26">
        <f>IF(A327="","",IFERROR(INDEX(lst_JobName,MATCH(A327&amp;"",lst_Jobs,0)),""))</f>
        <v/>
      </c>
      <c r="J327" s="26">
        <f>IF(A327="","",IFERROR(IF(INDEX(tbl_Onsite[Client],IFERROR(MATCH(A327&amp;"",tbl_Onsite[Job Number],0),MATCH(IFERROR(A327+0,A327),tbl_Onsite[Job Number],0)))="","",INDEX(tbl_Onsite[Client],IFERROR(MATCH(A327&amp;"",tbl_Onsite[Job Number],0),MATCH(IFERROR(A327+0,A327),tbl_Onsite[Job Number],0)))),IFERROR(IF(INDEX(tbl_Production[Client],IFERROR(MATCH(A327&amp;"",tbl_Production[Job Number],0),MATCH(IFERROR(A327+0,A327),tbl_Production[Job Number],0)))="","",INDEX(tbl_Production[Client],IFERROR(MATCH(A327&amp;"",tbl_Production[Job Number],0),MATCH(IFERROR(A327+0,A327),tbl_Production[Job Number],0)))),IFERROR(IF(INDEX(tbl_Consulting[Client],IFERROR(MATCH(A327&amp;"",tbl_Consulting[Job Number],0),MATCH(IFERROR(A327+0,A327),tbl_Consulting[Job Number],0)))="","",INDEX(tbl_Consulting[Client],IFERROR(MATCH(A327&amp;"",tbl_Consulting[Job Number],0),MATCH(IFERROR(A327+0,A327),tbl_Consulting[Job Number],0)))),""))))</f>
        <v/>
      </c>
      <c r="K327" s="26">
        <f>IF(A327="","",IFERROR(IF(INDEX(tbl_Onsite[Job Description],IFERROR(MATCH(A327&amp;"",tbl_Onsite[Job Number],0),MATCH(IFERROR(A327+0,A327),tbl_Onsite[Job Number],0)))="","",INDEX(tbl_Onsite[Job Description],IFERROR(MATCH(A327&amp;"",tbl_Onsite[Job Number],0),MATCH(IFERROR(A327+0,A327),tbl_Onsite[Job Number],0)))),IFERROR(IF(INDEX(tbl_Production[Job Description],IFERROR(MATCH(A327&amp;"",tbl_Production[Job Number],0),MATCH(IFERROR(A327+0,A327),tbl_Production[Job Number],0)))="","",INDEX(tbl_Production[Job Description],IFERROR(MATCH(A327&amp;"",tbl_Production[Job Number],0),MATCH(IFERROR(A327+0,A327),tbl_Production[Job Number],0)))),IFERROR(IF(INDEX(tbl_Consulting[Job Description],IFERROR(MATCH(A327&amp;"",tbl_Consulting[Job Number],0),MATCH(IFERROR(A327+0,A327),tbl_Consulting[Job Number],0)))="","",INDEX(tbl_Consulting[Job Description],IFERROR(MATCH(A327&amp;"",tbl_Consulting[Job Number],0),MATCH(IFERROR(A327+0,A327),tbl_Consulting[Job Number],0)))),""))))</f>
        <v/>
      </c>
      <c r="L327" s="26">
        <f>IF(A327="","",IFERROR(IF(INDEX(tbl_Onsite[Invoice Type],IFERROR(MATCH(A327&amp;"",tbl_Onsite[Job Number],0),MATCH(IFERROR(A327+0,A327),tbl_Onsite[Job Number],0)))="","",INDEX(tbl_Onsite[Invoice Type],IFERROR(MATCH(A327&amp;"",tbl_Onsite[Job Number],0),MATCH(IFERROR(A327+0,A327),tbl_Onsite[Job Number],0)))),IFERROR(IF(INDEX(tbl_Production[Invoice Type],IFERROR(MATCH(A327&amp;"",tbl_Production[Job Number],0),MATCH(IFERROR(A327+0,A327),tbl_Production[Job Number],0)))="","",INDEX(tbl_Production[Invoice Type],IFERROR(MATCH(A327&amp;"",tbl_Production[Job Number],0),MATCH(IFERROR(A327+0,A327),tbl_Production[Job Number],0)))),IFERROR(IF(INDEX(tbl_Consulting[Invoice Type],IFERROR(MATCH(A327&amp;"",tbl_Consulting[Job Number],0),MATCH(IFERROR(A327+0,A327),tbl_Consulting[Job Number],0)))="","",INDEX(tbl_Consulting[Invoice Type],IFERROR(MATCH(A327&amp;"",tbl_Consulting[Job Number],0),MATCH(IFERROR(A327+0,A327),tbl_Consulting[Job Number],0)))),""))))</f>
        <v/>
      </c>
      <c r="M327" s="26">
        <f>IF(A327="","",IF(IFERROR(IF(INDEX(tbl_Onsite[Tax Code],IFERROR(MATCH(A327&amp;"",tbl_Onsite[Job Number],0),MATCH(IFERROR(A327+0,A327),tbl_Onsite[Job Number],0)))="","",INDEX(tbl_Onsite[Tax Code],IFERROR(MATCH(A327&amp;"",tbl_Onsite[Job Number],0),MATCH(IFERROR(A327+0,A327),tbl_Onsite[Job Number],0)))),IFERROR(IF(INDEX(tbl_Production[Tax Code],IFERROR(MATCH(A327&amp;"",tbl_Production[Job Number],0),MATCH(IFERROR(A327+0,A327),tbl_Production[Job Number],0)))="","",INDEX(tbl_Production[Tax Code],IFERROR(MATCH(A327&amp;"",tbl_Production[Job Number],0),MATCH(IFERROR(A327+0,A327),tbl_Production[Job Number],0)))),IFERROR(IF(INDEX(tbl_Consulting[Tax Code],IFERROR(MATCH(A327&amp;"",tbl_Consulting[Job Number],0),MATCH(IFERROR(A327+0,A327),tbl_Consulting[Job Number],0)))="","",INDEX(tbl_Consulting[Tax Code],IFERROR(MATCH(A327&amp;"",tbl_Consulting[Job Number],0),MATCH(IFERROR(A327+0,A327),tbl_Consulting[Job Number],0)))),"")))="","GST 10%",IFERROR(IF(INDEX(tbl_Onsite[Tax Code],IFERROR(MATCH(A327&amp;"",tbl_Onsite[Job Number],0),MATCH(IFERROR(A327+0,A327),tbl_Onsite[Job Number],0)))="","",INDEX(tbl_Onsite[Tax Code],IFERROR(MATCH(A327&amp;"",tbl_Onsite[Job Number],0),MATCH(IFERROR(A327+0,A327),tbl_Onsite[Job Number],0)))),IFERROR(IF(INDEX(tbl_Production[Tax Code],IFERROR(MATCH(A327&amp;"",tbl_Production[Job Number],0),MATCH(IFERROR(A327+0,A327),tbl_Production[Job Number],0)))="","",INDEX(tbl_Production[Tax Code],IFERROR(MATCH(A327&amp;"",tbl_Production[Job Number],0),MATCH(IFERROR(A327+0,A327),tbl_Production[Job Number],0)))),IFERROR(IF(INDEX(tbl_Consulting[Tax Code],IFERROR(MATCH(A327&amp;"",tbl_Consulting[Job Number],0),MATCH(IFERROR(A327+0,A327),tbl_Consulting[Job Number],0)))="","",INDEX(tbl_Consulting[Tax Code],IFERROR(MATCH(A327&amp;"",tbl_Consulting[Job Number],0),MATCH(IFERROR(A327+0,A327),tbl_Consulting[Job Number],0)))),"")))))</f>
        <v/>
      </c>
      <c r="N327" s="26">
        <f>IF(D327="","",IFERROR(INDEX(lst_CCtoGL,MATCH(D327,lst_CCforGL,0)),""))</f>
        <v/>
      </c>
      <c r="O327" s="27">
        <f>IF(E327="","",IF(M327="GST 10%",ROUND(E327*set_GSTRate,2),0))</f>
        <v/>
      </c>
      <c r="P327" s="27">
        <f>IF(E327="","",E327+O327)</f>
        <v/>
      </c>
      <c r="Q327" s="27">
        <f>IF(A327="","",IFERROR(INDEX(tbl_Onsite[Expected Revenue Ex GST],IFERROR(MATCH(A327&amp;"",tbl_Onsite[Job Number],0),MATCH(IFERROR(A327+0,A327),tbl_Onsite[Job Number],0))),IFERROR(INDEX(tbl_Production[Expected Revenue Ex GST],IFERROR(MATCH(A327&amp;"",tbl_Production[Job Number],0),MATCH(IFERROR(A327+0,A327),tbl_Production[Job Number],0))),IFERROR(INDEX(tbl_Consulting[Expected Revenue Ex GST],IFERROR(MATCH(A327&amp;"",tbl_Consulting[Job Number],0),MATCH(IFERROR(A327+0,A327),tbl_Consulting[Job Number],0))),0))))</f>
        <v/>
      </c>
      <c r="R327" s="27">
        <f>IF(A327="","",SUMIFS(tbl_Finance[Ex GST],tbl_Finance[Job Number],A327&amp;""))</f>
        <v/>
      </c>
      <c r="S327" s="27">
        <f>IF(A327="","",Q327-R327)</f>
        <v/>
      </c>
      <c r="T327" s="26">
        <f>IF(A327="","",IF(Q327=0,"No dept value",IF(ROUND(S327,2)=0,"Agrees",IF(S327&gt;0,"Dept higher - to invoice","Xero higher - check dept"))))</f>
        <v/>
      </c>
      <c r="U327" s="22" t="n"/>
      <c r="V327" s="22" t="n"/>
      <c r="W327" s="23" t="n"/>
      <c r="X327" s="23" t="n"/>
      <c r="Y327" s="22" t="n"/>
      <c r="Z327" s="22" t="n"/>
      <c r="AA327" s="26">
        <f>IF(COUNTA(C327,A327,B327,E327)=0,"",IF(C327="","No date - sits outside every month",IF(A327="","No job number",IF(H327="CHECK","Job number is not in the Xero job list",IF(G327="not set up yet","No department has set this job up - nothing can pull through",IF(D327="","No cost centre",IF(AND(U327="Y",B327=""),"Marked posted to Xero but has no invoice number",IF(N327="","Cost centre has no revenue GL on the Lists sheet",IF(T327="Xero higher - check dept","Invoiced more than the department says the job is worth","")))))))))</f>
        <v/>
      </c>
      <c r="AB327" s="28">
        <f>IF(A327="","",COUNTIFS(tbl_Finance[Job Number],A327&amp;"",tbl_Finance[Ex GST],"&lt;&gt;"))</f>
        <v/>
      </c>
      <c r="AC327" s="27">
        <f>IF(A327="","",SUMIFS(tbl_Finance[Ex GST],tbl_Finance[Job Number],A327&amp;""))</f>
        <v/>
      </c>
      <c r="AD327" s="27">
        <f>IF(A327="","",SUMIFS(tbl_Finance[Ex GST],tbl_Finance[Job Number],A327&amp;"",tbl_Finance[Xero Invoice No],"&lt;&gt;"))</f>
        <v/>
      </c>
      <c r="AE327" s="27">
        <f>IF(A327="","",AC327-AD327)</f>
        <v/>
      </c>
      <c r="AF327" s="26">
        <f>IF(A327="","",IFERROR(IF(INDEX(tbl_Onsite[Qwilr Quote],IFERROR(MATCH(A327&amp;"",tbl_Onsite[Job Number],0),MATCH(IFERROR(A327+0,A327),tbl_Onsite[Job Number],0)))="","",INDEX(tbl_Onsite[Qwilr Quote],IFERROR(MATCH(A327&amp;"",tbl_Onsite[Job Number],0),MATCH(IFERROR(A327+0,A327),tbl_Onsite[Job Number],0)))),IFERROR(IF(IF(INDEX(tbl_Production[Current RMS No],IFERROR(MATCH(A327&amp;"",tbl_Production[Job Number],0),MATCH(IFERROR(A327+0,A327),tbl_Production[Job Number],0)))="",INDEX(tbl_Production[Qwilr Quote],IFERROR(MATCH(A327&amp;"",tbl_Production[Job Number],0),MATCH(IFERROR(A327+0,A327),tbl_Production[Job Number],0))),INDEX(tbl_Production[Current RMS No],IFERROR(MATCH(A327&amp;"",tbl_Production[Job Number],0),MATCH(IFERROR(A327+0,A327),tbl_Production[Job Number],0))))="","",IF(INDEX(tbl_Production[Current RMS No],IFERROR(MATCH(A327&amp;"",tbl_Production[Job Number],0),MATCH(IFERROR(A327+0,A327),tbl_Production[Job Number],0)))="",INDEX(tbl_Production[Qwilr Quote],IFERROR(MATCH(A327&amp;"",tbl_Production[Job Number],0),MATCH(IFERROR(A327+0,A327),tbl_Production[Job Number],0))),INDEX(tbl_Production[Current RMS No],IFERROR(MATCH(A327&amp;"",tbl_Production[Job Number],0),MATCH(IFERROR(A327+0,A327),tbl_Production[Job Number],0))))),IFERROR(IF(INDEX(tbl_Consulting[Qwilr Quote],IFERROR(MATCH(A327&amp;"",tbl_Consulting[Job Number],0),MATCH(IFERROR(A327+0,A327),tbl_Consulting[Job Number],0)))="","",INDEX(tbl_Consulting[Qwilr Quote],IFERROR(MATCH(A327&amp;"",tbl_Consulting[Job Number],0),MATCH(IFERROR(A327+0,A327),tbl_Consulting[Job Number],0)))),""))))</f>
        <v/>
      </c>
      <c r="AG327" s="26">
        <f>IF(AF327="","",IF(AND(LEFT(AF327,4)&lt;&gt;"http",IF(G327="Production",set_RMSBase,set_QwilrBase)=""),"",HYPERLINK(IF(LEFT(AF327,4)="http",AF327,IF(G327="Production",set_RMSBase,set_QwilrBase)&amp;AF327),"Open")))</f>
        <v/>
      </c>
      <c r="AH327" s="27">
        <f>IF(A327="","",IFERROR(INDEX(tbl_Production[Total Expense],IFERROR(MATCH(A327&amp;"",tbl_Production[Job Number],0),MATCH(IFERROR(A327+0,A327),tbl_Production[Job Number],0))),IFERROR(INDEX(tbl_Consulting[Total Expense],IFERROR(MATCH(A327&amp;"",tbl_Consulting[Job Number],0),MATCH(IFERROR(A327+0,A327),tbl_Consulting[Job Number],0))),0)))</f>
        <v/>
      </c>
      <c r="AI327" s="27">
        <f>IF(A327="","",AC327-N(AH327))</f>
        <v/>
      </c>
      <c r="AJ327" s="29">
        <f>IFERROR(AI327/AC327,"")</f>
        <v/>
      </c>
      <c r="AK327" s="26">
        <f>IF(A327="","",IFERROR(IF(INDEX(tbl_Onsite[Notes],IFERROR(MATCH(A327&amp;"",tbl_Onsite[Job Number],0),MATCH(IFERROR(A327+0,A327),tbl_Onsite[Job Number],0)))="","",INDEX(tbl_Onsite[Notes],IFERROR(MATCH(A327&amp;"",tbl_Onsite[Job Number],0),MATCH(IFERROR(A327+0,A327),tbl_Onsite[Job Number],0)))),IFERROR(IF(INDEX(tbl_Production[Notes],IFERROR(MATCH(A327&amp;"",tbl_Production[Job Number],0),MATCH(IFERROR(A327+0,A327),tbl_Production[Job Number],0)))="","",INDEX(tbl_Production[Notes],IFERROR(MATCH(A327&amp;"",tbl_Production[Job Number],0),MATCH(IFERROR(A327+0,A327),tbl_Production[Job Number],0)))),IFERROR(IF(INDEX(tbl_Consulting[Notes],IFERROR(MATCH(A327&amp;"",tbl_Consulting[Job Number],0),MATCH(IFERROR(A327+0,A327),tbl_Consulting[Job Number],0)))="","",INDEX(tbl_Consulting[Notes],IFERROR(MATCH(A327&amp;"",tbl_Consulting[Job Number],0),MATCH(IFERROR(A327+0,A327),tbl_Consulting[Job Number],0)))),""))))</f>
        <v/>
      </c>
    </row>
    <row r="328" ht="15" customHeight="1">
      <c r="A328" s="22" t="n"/>
      <c r="B328" s="22" t="n"/>
      <c r="C328" s="23" t="n"/>
      <c r="D328" s="22" t="n"/>
      <c r="E328" s="24" t="n"/>
      <c r="F328" s="25">
        <f>IF(C328="","",EOMONTH(C328,0))</f>
        <v/>
      </c>
      <c r="G328" s="26">
        <f>IF(A328="","",IF(COUNTIF(tbl_Onsite[Job Number],A328&amp;"")&gt;0,"Onsite",IF(COUNTIF(tbl_Production[Job Number],A328&amp;"")&gt;0,"Production",IF(COUNTIF(tbl_Consulting[Job Number],A328&amp;"")&gt;0,"Consulting","not set up yet"))))</f>
        <v/>
      </c>
      <c r="H328" s="26">
        <f>IF(A328="","",IF(COUNTIF(lst_Jobs,A328&amp;"")&gt;0,"OK","CHECK"))</f>
        <v/>
      </c>
      <c r="I328" s="26">
        <f>IF(A328="","",IFERROR(INDEX(lst_JobName,MATCH(A328&amp;"",lst_Jobs,0)),""))</f>
        <v/>
      </c>
      <c r="J328" s="26">
        <f>IF(A328="","",IFERROR(IF(INDEX(tbl_Onsite[Client],IFERROR(MATCH(A328&amp;"",tbl_Onsite[Job Number],0),MATCH(IFERROR(A328+0,A328),tbl_Onsite[Job Number],0)))="","",INDEX(tbl_Onsite[Client],IFERROR(MATCH(A328&amp;"",tbl_Onsite[Job Number],0),MATCH(IFERROR(A328+0,A328),tbl_Onsite[Job Number],0)))),IFERROR(IF(INDEX(tbl_Production[Client],IFERROR(MATCH(A328&amp;"",tbl_Production[Job Number],0),MATCH(IFERROR(A328+0,A328),tbl_Production[Job Number],0)))="","",INDEX(tbl_Production[Client],IFERROR(MATCH(A328&amp;"",tbl_Production[Job Number],0),MATCH(IFERROR(A328+0,A328),tbl_Production[Job Number],0)))),IFERROR(IF(INDEX(tbl_Consulting[Client],IFERROR(MATCH(A328&amp;"",tbl_Consulting[Job Number],0),MATCH(IFERROR(A328+0,A328),tbl_Consulting[Job Number],0)))="","",INDEX(tbl_Consulting[Client],IFERROR(MATCH(A328&amp;"",tbl_Consulting[Job Number],0),MATCH(IFERROR(A328+0,A328),tbl_Consulting[Job Number],0)))),""))))</f>
        <v/>
      </c>
      <c r="K328" s="26">
        <f>IF(A328="","",IFERROR(IF(INDEX(tbl_Onsite[Job Description],IFERROR(MATCH(A328&amp;"",tbl_Onsite[Job Number],0),MATCH(IFERROR(A328+0,A328),tbl_Onsite[Job Number],0)))="","",INDEX(tbl_Onsite[Job Description],IFERROR(MATCH(A328&amp;"",tbl_Onsite[Job Number],0),MATCH(IFERROR(A328+0,A328),tbl_Onsite[Job Number],0)))),IFERROR(IF(INDEX(tbl_Production[Job Description],IFERROR(MATCH(A328&amp;"",tbl_Production[Job Number],0),MATCH(IFERROR(A328+0,A328),tbl_Production[Job Number],0)))="","",INDEX(tbl_Production[Job Description],IFERROR(MATCH(A328&amp;"",tbl_Production[Job Number],0),MATCH(IFERROR(A328+0,A328),tbl_Production[Job Number],0)))),IFERROR(IF(INDEX(tbl_Consulting[Job Description],IFERROR(MATCH(A328&amp;"",tbl_Consulting[Job Number],0),MATCH(IFERROR(A328+0,A328),tbl_Consulting[Job Number],0)))="","",INDEX(tbl_Consulting[Job Description],IFERROR(MATCH(A328&amp;"",tbl_Consulting[Job Number],0),MATCH(IFERROR(A328+0,A328),tbl_Consulting[Job Number],0)))),""))))</f>
        <v/>
      </c>
      <c r="L328" s="26">
        <f>IF(A328="","",IFERROR(IF(INDEX(tbl_Onsite[Invoice Type],IFERROR(MATCH(A328&amp;"",tbl_Onsite[Job Number],0),MATCH(IFERROR(A328+0,A328),tbl_Onsite[Job Number],0)))="","",INDEX(tbl_Onsite[Invoice Type],IFERROR(MATCH(A328&amp;"",tbl_Onsite[Job Number],0),MATCH(IFERROR(A328+0,A328),tbl_Onsite[Job Number],0)))),IFERROR(IF(INDEX(tbl_Production[Invoice Type],IFERROR(MATCH(A328&amp;"",tbl_Production[Job Number],0),MATCH(IFERROR(A328+0,A328),tbl_Production[Job Number],0)))="","",INDEX(tbl_Production[Invoice Type],IFERROR(MATCH(A328&amp;"",tbl_Production[Job Number],0),MATCH(IFERROR(A328+0,A328),tbl_Production[Job Number],0)))),IFERROR(IF(INDEX(tbl_Consulting[Invoice Type],IFERROR(MATCH(A328&amp;"",tbl_Consulting[Job Number],0),MATCH(IFERROR(A328+0,A328),tbl_Consulting[Job Number],0)))="","",INDEX(tbl_Consulting[Invoice Type],IFERROR(MATCH(A328&amp;"",tbl_Consulting[Job Number],0),MATCH(IFERROR(A328+0,A328),tbl_Consulting[Job Number],0)))),""))))</f>
        <v/>
      </c>
      <c r="M328" s="26">
        <f>IF(A328="","",IF(IFERROR(IF(INDEX(tbl_Onsite[Tax Code],IFERROR(MATCH(A328&amp;"",tbl_Onsite[Job Number],0),MATCH(IFERROR(A328+0,A328),tbl_Onsite[Job Number],0)))="","",INDEX(tbl_Onsite[Tax Code],IFERROR(MATCH(A328&amp;"",tbl_Onsite[Job Number],0),MATCH(IFERROR(A328+0,A328),tbl_Onsite[Job Number],0)))),IFERROR(IF(INDEX(tbl_Production[Tax Code],IFERROR(MATCH(A328&amp;"",tbl_Production[Job Number],0),MATCH(IFERROR(A328+0,A328),tbl_Production[Job Number],0)))="","",INDEX(tbl_Production[Tax Code],IFERROR(MATCH(A328&amp;"",tbl_Production[Job Number],0),MATCH(IFERROR(A328+0,A328),tbl_Production[Job Number],0)))),IFERROR(IF(INDEX(tbl_Consulting[Tax Code],IFERROR(MATCH(A328&amp;"",tbl_Consulting[Job Number],0),MATCH(IFERROR(A328+0,A328),tbl_Consulting[Job Number],0)))="","",INDEX(tbl_Consulting[Tax Code],IFERROR(MATCH(A328&amp;"",tbl_Consulting[Job Number],0),MATCH(IFERROR(A328+0,A328),tbl_Consulting[Job Number],0)))),"")))="","GST 10%",IFERROR(IF(INDEX(tbl_Onsite[Tax Code],IFERROR(MATCH(A328&amp;"",tbl_Onsite[Job Number],0),MATCH(IFERROR(A328+0,A328),tbl_Onsite[Job Number],0)))="","",INDEX(tbl_Onsite[Tax Code],IFERROR(MATCH(A328&amp;"",tbl_Onsite[Job Number],0),MATCH(IFERROR(A328+0,A328),tbl_Onsite[Job Number],0)))),IFERROR(IF(INDEX(tbl_Production[Tax Code],IFERROR(MATCH(A328&amp;"",tbl_Production[Job Number],0),MATCH(IFERROR(A328+0,A328),tbl_Production[Job Number],0)))="","",INDEX(tbl_Production[Tax Code],IFERROR(MATCH(A328&amp;"",tbl_Production[Job Number],0),MATCH(IFERROR(A328+0,A328),tbl_Production[Job Number],0)))),IFERROR(IF(INDEX(tbl_Consulting[Tax Code],IFERROR(MATCH(A328&amp;"",tbl_Consulting[Job Number],0),MATCH(IFERROR(A328+0,A328),tbl_Consulting[Job Number],0)))="","",INDEX(tbl_Consulting[Tax Code],IFERROR(MATCH(A328&amp;"",tbl_Consulting[Job Number],0),MATCH(IFERROR(A328+0,A328),tbl_Consulting[Job Number],0)))),"")))))</f>
        <v/>
      </c>
      <c r="N328" s="26">
        <f>IF(D328="","",IFERROR(INDEX(lst_CCtoGL,MATCH(D328,lst_CCforGL,0)),""))</f>
        <v/>
      </c>
      <c r="O328" s="27">
        <f>IF(E328="","",IF(M328="GST 10%",ROUND(E328*set_GSTRate,2),0))</f>
        <v/>
      </c>
      <c r="P328" s="27">
        <f>IF(E328="","",E328+O328)</f>
        <v/>
      </c>
      <c r="Q328" s="27">
        <f>IF(A328="","",IFERROR(INDEX(tbl_Onsite[Expected Revenue Ex GST],IFERROR(MATCH(A328&amp;"",tbl_Onsite[Job Number],0),MATCH(IFERROR(A328+0,A328),tbl_Onsite[Job Number],0))),IFERROR(INDEX(tbl_Production[Expected Revenue Ex GST],IFERROR(MATCH(A328&amp;"",tbl_Production[Job Number],0),MATCH(IFERROR(A328+0,A328),tbl_Production[Job Number],0))),IFERROR(INDEX(tbl_Consulting[Expected Revenue Ex GST],IFERROR(MATCH(A328&amp;"",tbl_Consulting[Job Number],0),MATCH(IFERROR(A328+0,A328),tbl_Consulting[Job Number],0))),0))))</f>
        <v/>
      </c>
      <c r="R328" s="27">
        <f>IF(A328="","",SUMIFS(tbl_Finance[Ex GST],tbl_Finance[Job Number],A328&amp;""))</f>
        <v/>
      </c>
      <c r="S328" s="27">
        <f>IF(A328="","",Q328-R328)</f>
        <v/>
      </c>
      <c r="T328" s="26">
        <f>IF(A328="","",IF(Q328=0,"No dept value",IF(ROUND(S328,2)=0,"Agrees",IF(S328&gt;0,"Dept higher - to invoice","Xero higher - check dept"))))</f>
        <v/>
      </c>
      <c r="U328" s="22" t="n"/>
      <c r="V328" s="22" t="n"/>
      <c r="W328" s="23" t="n"/>
      <c r="X328" s="23" t="n"/>
      <c r="Y328" s="22" t="n"/>
      <c r="Z328" s="22" t="n"/>
      <c r="AA328" s="26">
        <f>IF(COUNTA(C328,A328,B328,E328)=0,"",IF(C328="","No date - sits outside every month",IF(A328="","No job number",IF(H328="CHECK","Job number is not in the Xero job list",IF(G328="not set up yet","No department has set this job up - nothing can pull through",IF(D328="","No cost centre",IF(AND(U328="Y",B328=""),"Marked posted to Xero but has no invoice number",IF(N328="","Cost centre has no revenue GL on the Lists sheet",IF(T328="Xero higher - check dept","Invoiced more than the department says the job is worth","")))))))))</f>
        <v/>
      </c>
      <c r="AB328" s="28">
        <f>IF(A328="","",COUNTIFS(tbl_Finance[Job Number],A328&amp;"",tbl_Finance[Ex GST],"&lt;&gt;"))</f>
        <v/>
      </c>
      <c r="AC328" s="27">
        <f>IF(A328="","",SUMIFS(tbl_Finance[Ex GST],tbl_Finance[Job Number],A328&amp;""))</f>
        <v/>
      </c>
      <c r="AD328" s="27">
        <f>IF(A328="","",SUMIFS(tbl_Finance[Ex GST],tbl_Finance[Job Number],A328&amp;"",tbl_Finance[Xero Invoice No],"&lt;&gt;"))</f>
        <v/>
      </c>
      <c r="AE328" s="27">
        <f>IF(A328="","",AC328-AD328)</f>
        <v/>
      </c>
      <c r="AF328" s="26">
        <f>IF(A328="","",IFERROR(IF(INDEX(tbl_Onsite[Qwilr Quote],IFERROR(MATCH(A328&amp;"",tbl_Onsite[Job Number],0),MATCH(IFERROR(A328+0,A328),tbl_Onsite[Job Number],0)))="","",INDEX(tbl_Onsite[Qwilr Quote],IFERROR(MATCH(A328&amp;"",tbl_Onsite[Job Number],0),MATCH(IFERROR(A328+0,A328),tbl_Onsite[Job Number],0)))),IFERROR(IF(IF(INDEX(tbl_Production[Current RMS No],IFERROR(MATCH(A328&amp;"",tbl_Production[Job Number],0),MATCH(IFERROR(A328+0,A328),tbl_Production[Job Number],0)))="",INDEX(tbl_Production[Qwilr Quote],IFERROR(MATCH(A328&amp;"",tbl_Production[Job Number],0),MATCH(IFERROR(A328+0,A328),tbl_Production[Job Number],0))),INDEX(tbl_Production[Current RMS No],IFERROR(MATCH(A328&amp;"",tbl_Production[Job Number],0),MATCH(IFERROR(A328+0,A328),tbl_Production[Job Number],0))))="","",IF(INDEX(tbl_Production[Current RMS No],IFERROR(MATCH(A328&amp;"",tbl_Production[Job Number],0),MATCH(IFERROR(A328+0,A328),tbl_Production[Job Number],0)))="",INDEX(tbl_Production[Qwilr Quote],IFERROR(MATCH(A328&amp;"",tbl_Production[Job Number],0),MATCH(IFERROR(A328+0,A328),tbl_Production[Job Number],0))),INDEX(tbl_Production[Current RMS No],IFERROR(MATCH(A328&amp;"",tbl_Production[Job Number],0),MATCH(IFERROR(A328+0,A328),tbl_Production[Job Number],0))))),IFERROR(IF(INDEX(tbl_Consulting[Qwilr Quote],IFERROR(MATCH(A328&amp;"",tbl_Consulting[Job Number],0),MATCH(IFERROR(A328+0,A328),tbl_Consulting[Job Number],0)))="","",INDEX(tbl_Consulting[Qwilr Quote],IFERROR(MATCH(A328&amp;"",tbl_Consulting[Job Number],0),MATCH(IFERROR(A328+0,A328),tbl_Consulting[Job Number],0)))),""))))</f>
        <v/>
      </c>
      <c r="AG328" s="26">
        <f>IF(AF328="","",IF(AND(LEFT(AF328,4)&lt;&gt;"http",IF(G328="Production",set_RMSBase,set_QwilrBase)=""),"",HYPERLINK(IF(LEFT(AF328,4)="http",AF328,IF(G328="Production",set_RMSBase,set_QwilrBase)&amp;AF328),"Open")))</f>
        <v/>
      </c>
      <c r="AH328" s="27">
        <f>IF(A328="","",IFERROR(INDEX(tbl_Production[Total Expense],IFERROR(MATCH(A328&amp;"",tbl_Production[Job Number],0),MATCH(IFERROR(A328+0,A328),tbl_Production[Job Number],0))),IFERROR(INDEX(tbl_Consulting[Total Expense],IFERROR(MATCH(A328&amp;"",tbl_Consulting[Job Number],0),MATCH(IFERROR(A328+0,A328),tbl_Consulting[Job Number],0))),0)))</f>
        <v/>
      </c>
      <c r="AI328" s="27">
        <f>IF(A328="","",AC328-N(AH328))</f>
        <v/>
      </c>
      <c r="AJ328" s="29">
        <f>IFERROR(AI328/AC328,"")</f>
        <v/>
      </c>
      <c r="AK328" s="26">
        <f>IF(A328="","",IFERROR(IF(INDEX(tbl_Onsite[Notes],IFERROR(MATCH(A328&amp;"",tbl_Onsite[Job Number],0),MATCH(IFERROR(A328+0,A328),tbl_Onsite[Job Number],0)))="","",INDEX(tbl_Onsite[Notes],IFERROR(MATCH(A328&amp;"",tbl_Onsite[Job Number],0),MATCH(IFERROR(A328+0,A328),tbl_Onsite[Job Number],0)))),IFERROR(IF(INDEX(tbl_Production[Notes],IFERROR(MATCH(A328&amp;"",tbl_Production[Job Number],0),MATCH(IFERROR(A328+0,A328),tbl_Production[Job Number],0)))="","",INDEX(tbl_Production[Notes],IFERROR(MATCH(A328&amp;"",tbl_Production[Job Number],0),MATCH(IFERROR(A328+0,A328),tbl_Production[Job Number],0)))),IFERROR(IF(INDEX(tbl_Consulting[Notes],IFERROR(MATCH(A328&amp;"",tbl_Consulting[Job Number],0),MATCH(IFERROR(A328+0,A328),tbl_Consulting[Job Number],0)))="","",INDEX(tbl_Consulting[Notes],IFERROR(MATCH(A328&amp;"",tbl_Consulting[Job Number],0),MATCH(IFERROR(A328+0,A328),tbl_Consulting[Job Number],0)))),""))))</f>
        <v/>
      </c>
    </row>
    <row r="329" ht="15" customHeight="1">
      <c r="A329" s="22" t="n"/>
      <c r="B329" s="22" t="n"/>
      <c r="C329" s="23" t="n"/>
      <c r="D329" s="22" t="n"/>
      <c r="E329" s="24" t="n"/>
      <c r="F329" s="25">
        <f>IF(C329="","",EOMONTH(C329,0))</f>
        <v/>
      </c>
      <c r="G329" s="26">
        <f>IF(A329="","",IF(COUNTIF(tbl_Onsite[Job Number],A329&amp;"")&gt;0,"Onsite",IF(COUNTIF(tbl_Production[Job Number],A329&amp;"")&gt;0,"Production",IF(COUNTIF(tbl_Consulting[Job Number],A329&amp;"")&gt;0,"Consulting","not set up yet"))))</f>
        <v/>
      </c>
      <c r="H329" s="26">
        <f>IF(A329="","",IF(COUNTIF(lst_Jobs,A329&amp;"")&gt;0,"OK","CHECK"))</f>
        <v/>
      </c>
      <c r="I329" s="26">
        <f>IF(A329="","",IFERROR(INDEX(lst_JobName,MATCH(A329&amp;"",lst_Jobs,0)),""))</f>
        <v/>
      </c>
      <c r="J329" s="26">
        <f>IF(A329="","",IFERROR(IF(INDEX(tbl_Onsite[Client],IFERROR(MATCH(A329&amp;"",tbl_Onsite[Job Number],0),MATCH(IFERROR(A329+0,A329),tbl_Onsite[Job Number],0)))="","",INDEX(tbl_Onsite[Client],IFERROR(MATCH(A329&amp;"",tbl_Onsite[Job Number],0),MATCH(IFERROR(A329+0,A329),tbl_Onsite[Job Number],0)))),IFERROR(IF(INDEX(tbl_Production[Client],IFERROR(MATCH(A329&amp;"",tbl_Production[Job Number],0),MATCH(IFERROR(A329+0,A329),tbl_Production[Job Number],0)))="","",INDEX(tbl_Production[Client],IFERROR(MATCH(A329&amp;"",tbl_Production[Job Number],0),MATCH(IFERROR(A329+0,A329),tbl_Production[Job Number],0)))),IFERROR(IF(INDEX(tbl_Consulting[Client],IFERROR(MATCH(A329&amp;"",tbl_Consulting[Job Number],0),MATCH(IFERROR(A329+0,A329),tbl_Consulting[Job Number],0)))="","",INDEX(tbl_Consulting[Client],IFERROR(MATCH(A329&amp;"",tbl_Consulting[Job Number],0),MATCH(IFERROR(A329+0,A329),tbl_Consulting[Job Number],0)))),""))))</f>
        <v/>
      </c>
      <c r="K329" s="26">
        <f>IF(A329="","",IFERROR(IF(INDEX(tbl_Onsite[Job Description],IFERROR(MATCH(A329&amp;"",tbl_Onsite[Job Number],0),MATCH(IFERROR(A329+0,A329),tbl_Onsite[Job Number],0)))="","",INDEX(tbl_Onsite[Job Description],IFERROR(MATCH(A329&amp;"",tbl_Onsite[Job Number],0),MATCH(IFERROR(A329+0,A329),tbl_Onsite[Job Number],0)))),IFERROR(IF(INDEX(tbl_Production[Job Description],IFERROR(MATCH(A329&amp;"",tbl_Production[Job Number],0),MATCH(IFERROR(A329+0,A329),tbl_Production[Job Number],0)))="","",INDEX(tbl_Production[Job Description],IFERROR(MATCH(A329&amp;"",tbl_Production[Job Number],0),MATCH(IFERROR(A329+0,A329),tbl_Production[Job Number],0)))),IFERROR(IF(INDEX(tbl_Consulting[Job Description],IFERROR(MATCH(A329&amp;"",tbl_Consulting[Job Number],0),MATCH(IFERROR(A329+0,A329),tbl_Consulting[Job Number],0)))="","",INDEX(tbl_Consulting[Job Description],IFERROR(MATCH(A329&amp;"",tbl_Consulting[Job Number],0),MATCH(IFERROR(A329+0,A329),tbl_Consulting[Job Number],0)))),""))))</f>
        <v/>
      </c>
      <c r="L329" s="26">
        <f>IF(A329="","",IFERROR(IF(INDEX(tbl_Onsite[Invoice Type],IFERROR(MATCH(A329&amp;"",tbl_Onsite[Job Number],0),MATCH(IFERROR(A329+0,A329),tbl_Onsite[Job Number],0)))="","",INDEX(tbl_Onsite[Invoice Type],IFERROR(MATCH(A329&amp;"",tbl_Onsite[Job Number],0),MATCH(IFERROR(A329+0,A329),tbl_Onsite[Job Number],0)))),IFERROR(IF(INDEX(tbl_Production[Invoice Type],IFERROR(MATCH(A329&amp;"",tbl_Production[Job Number],0),MATCH(IFERROR(A329+0,A329),tbl_Production[Job Number],0)))="","",INDEX(tbl_Production[Invoice Type],IFERROR(MATCH(A329&amp;"",tbl_Production[Job Number],0),MATCH(IFERROR(A329+0,A329),tbl_Production[Job Number],0)))),IFERROR(IF(INDEX(tbl_Consulting[Invoice Type],IFERROR(MATCH(A329&amp;"",tbl_Consulting[Job Number],0),MATCH(IFERROR(A329+0,A329),tbl_Consulting[Job Number],0)))="","",INDEX(tbl_Consulting[Invoice Type],IFERROR(MATCH(A329&amp;"",tbl_Consulting[Job Number],0),MATCH(IFERROR(A329+0,A329),tbl_Consulting[Job Number],0)))),""))))</f>
        <v/>
      </c>
      <c r="M329" s="26">
        <f>IF(A329="","",IF(IFERROR(IF(INDEX(tbl_Onsite[Tax Code],IFERROR(MATCH(A329&amp;"",tbl_Onsite[Job Number],0),MATCH(IFERROR(A329+0,A329),tbl_Onsite[Job Number],0)))="","",INDEX(tbl_Onsite[Tax Code],IFERROR(MATCH(A329&amp;"",tbl_Onsite[Job Number],0),MATCH(IFERROR(A329+0,A329),tbl_Onsite[Job Number],0)))),IFERROR(IF(INDEX(tbl_Production[Tax Code],IFERROR(MATCH(A329&amp;"",tbl_Production[Job Number],0),MATCH(IFERROR(A329+0,A329),tbl_Production[Job Number],0)))="","",INDEX(tbl_Production[Tax Code],IFERROR(MATCH(A329&amp;"",tbl_Production[Job Number],0),MATCH(IFERROR(A329+0,A329),tbl_Production[Job Number],0)))),IFERROR(IF(INDEX(tbl_Consulting[Tax Code],IFERROR(MATCH(A329&amp;"",tbl_Consulting[Job Number],0),MATCH(IFERROR(A329+0,A329),tbl_Consulting[Job Number],0)))="","",INDEX(tbl_Consulting[Tax Code],IFERROR(MATCH(A329&amp;"",tbl_Consulting[Job Number],0),MATCH(IFERROR(A329+0,A329),tbl_Consulting[Job Number],0)))),"")))="","GST 10%",IFERROR(IF(INDEX(tbl_Onsite[Tax Code],IFERROR(MATCH(A329&amp;"",tbl_Onsite[Job Number],0),MATCH(IFERROR(A329+0,A329),tbl_Onsite[Job Number],0)))="","",INDEX(tbl_Onsite[Tax Code],IFERROR(MATCH(A329&amp;"",tbl_Onsite[Job Number],0),MATCH(IFERROR(A329+0,A329),tbl_Onsite[Job Number],0)))),IFERROR(IF(INDEX(tbl_Production[Tax Code],IFERROR(MATCH(A329&amp;"",tbl_Production[Job Number],0),MATCH(IFERROR(A329+0,A329),tbl_Production[Job Number],0)))="","",INDEX(tbl_Production[Tax Code],IFERROR(MATCH(A329&amp;"",tbl_Production[Job Number],0),MATCH(IFERROR(A329+0,A329),tbl_Production[Job Number],0)))),IFERROR(IF(INDEX(tbl_Consulting[Tax Code],IFERROR(MATCH(A329&amp;"",tbl_Consulting[Job Number],0),MATCH(IFERROR(A329+0,A329),tbl_Consulting[Job Number],0)))="","",INDEX(tbl_Consulting[Tax Code],IFERROR(MATCH(A329&amp;"",tbl_Consulting[Job Number],0),MATCH(IFERROR(A329+0,A329),tbl_Consulting[Job Number],0)))),"")))))</f>
        <v/>
      </c>
      <c r="N329" s="26">
        <f>IF(D329="","",IFERROR(INDEX(lst_CCtoGL,MATCH(D329,lst_CCforGL,0)),""))</f>
        <v/>
      </c>
      <c r="O329" s="27">
        <f>IF(E329="","",IF(M329="GST 10%",ROUND(E329*set_GSTRate,2),0))</f>
        <v/>
      </c>
      <c r="P329" s="27">
        <f>IF(E329="","",E329+O329)</f>
        <v/>
      </c>
      <c r="Q329" s="27">
        <f>IF(A329="","",IFERROR(INDEX(tbl_Onsite[Expected Revenue Ex GST],IFERROR(MATCH(A329&amp;"",tbl_Onsite[Job Number],0),MATCH(IFERROR(A329+0,A329),tbl_Onsite[Job Number],0))),IFERROR(INDEX(tbl_Production[Expected Revenue Ex GST],IFERROR(MATCH(A329&amp;"",tbl_Production[Job Number],0),MATCH(IFERROR(A329+0,A329),tbl_Production[Job Number],0))),IFERROR(INDEX(tbl_Consulting[Expected Revenue Ex GST],IFERROR(MATCH(A329&amp;"",tbl_Consulting[Job Number],0),MATCH(IFERROR(A329+0,A329),tbl_Consulting[Job Number],0))),0))))</f>
        <v/>
      </c>
      <c r="R329" s="27">
        <f>IF(A329="","",SUMIFS(tbl_Finance[Ex GST],tbl_Finance[Job Number],A329&amp;""))</f>
        <v/>
      </c>
      <c r="S329" s="27">
        <f>IF(A329="","",Q329-R329)</f>
        <v/>
      </c>
      <c r="T329" s="26">
        <f>IF(A329="","",IF(Q329=0,"No dept value",IF(ROUND(S329,2)=0,"Agrees",IF(S329&gt;0,"Dept higher - to invoice","Xero higher - check dept"))))</f>
        <v/>
      </c>
      <c r="U329" s="22" t="n"/>
      <c r="V329" s="22" t="n"/>
      <c r="W329" s="23" t="n"/>
      <c r="X329" s="23" t="n"/>
      <c r="Y329" s="22" t="n"/>
      <c r="Z329" s="22" t="n"/>
      <c r="AA329" s="26">
        <f>IF(COUNTA(C329,A329,B329,E329)=0,"",IF(C329="","No date - sits outside every month",IF(A329="","No job number",IF(H329="CHECK","Job number is not in the Xero job list",IF(G329="not set up yet","No department has set this job up - nothing can pull through",IF(D329="","No cost centre",IF(AND(U329="Y",B329=""),"Marked posted to Xero but has no invoice number",IF(N329="","Cost centre has no revenue GL on the Lists sheet",IF(T329="Xero higher - check dept","Invoiced more than the department says the job is worth","")))))))))</f>
        <v/>
      </c>
      <c r="AB329" s="28">
        <f>IF(A329="","",COUNTIFS(tbl_Finance[Job Number],A329&amp;"",tbl_Finance[Ex GST],"&lt;&gt;"))</f>
        <v/>
      </c>
      <c r="AC329" s="27">
        <f>IF(A329="","",SUMIFS(tbl_Finance[Ex GST],tbl_Finance[Job Number],A329&amp;""))</f>
        <v/>
      </c>
      <c r="AD329" s="27">
        <f>IF(A329="","",SUMIFS(tbl_Finance[Ex GST],tbl_Finance[Job Number],A329&amp;"",tbl_Finance[Xero Invoice No],"&lt;&gt;"))</f>
        <v/>
      </c>
      <c r="AE329" s="27">
        <f>IF(A329="","",AC329-AD329)</f>
        <v/>
      </c>
      <c r="AF329" s="26">
        <f>IF(A329="","",IFERROR(IF(INDEX(tbl_Onsite[Qwilr Quote],IFERROR(MATCH(A329&amp;"",tbl_Onsite[Job Number],0),MATCH(IFERROR(A329+0,A329),tbl_Onsite[Job Number],0)))="","",INDEX(tbl_Onsite[Qwilr Quote],IFERROR(MATCH(A329&amp;"",tbl_Onsite[Job Number],0),MATCH(IFERROR(A329+0,A329),tbl_Onsite[Job Number],0)))),IFERROR(IF(IF(INDEX(tbl_Production[Current RMS No],IFERROR(MATCH(A329&amp;"",tbl_Production[Job Number],0),MATCH(IFERROR(A329+0,A329),tbl_Production[Job Number],0)))="",INDEX(tbl_Production[Qwilr Quote],IFERROR(MATCH(A329&amp;"",tbl_Production[Job Number],0),MATCH(IFERROR(A329+0,A329),tbl_Production[Job Number],0))),INDEX(tbl_Production[Current RMS No],IFERROR(MATCH(A329&amp;"",tbl_Production[Job Number],0),MATCH(IFERROR(A329+0,A329),tbl_Production[Job Number],0))))="","",IF(INDEX(tbl_Production[Current RMS No],IFERROR(MATCH(A329&amp;"",tbl_Production[Job Number],0),MATCH(IFERROR(A329+0,A329),tbl_Production[Job Number],0)))="",INDEX(tbl_Production[Qwilr Quote],IFERROR(MATCH(A329&amp;"",tbl_Production[Job Number],0),MATCH(IFERROR(A329+0,A329),tbl_Production[Job Number],0))),INDEX(tbl_Production[Current RMS No],IFERROR(MATCH(A329&amp;"",tbl_Production[Job Number],0),MATCH(IFERROR(A329+0,A329),tbl_Production[Job Number],0))))),IFERROR(IF(INDEX(tbl_Consulting[Qwilr Quote],IFERROR(MATCH(A329&amp;"",tbl_Consulting[Job Number],0),MATCH(IFERROR(A329+0,A329),tbl_Consulting[Job Number],0)))="","",INDEX(tbl_Consulting[Qwilr Quote],IFERROR(MATCH(A329&amp;"",tbl_Consulting[Job Number],0),MATCH(IFERROR(A329+0,A329),tbl_Consulting[Job Number],0)))),""))))</f>
        <v/>
      </c>
      <c r="AG329" s="26">
        <f>IF(AF329="","",IF(AND(LEFT(AF329,4)&lt;&gt;"http",IF(G329="Production",set_RMSBase,set_QwilrBase)=""),"",HYPERLINK(IF(LEFT(AF329,4)="http",AF329,IF(G329="Production",set_RMSBase,set_QwilrBase)&amp;AF329),"Open")))</f>
        <v/>
      </c>
      <c r="AH329" s="27">
        <f>IF(A329="","",IFERROR(INDEX(tbl_Production[Total Expense],IFERROR(MATCH(A329&amp;"",tbl_Production[Job Number],0),MATCH(IFERROR(A329+0,A329),tbl_Production[Job Number],0))),IFERROR(INDEX(tbl_Consulting[Total Expense],IFERROR(MATCH(A329&amp;"",tbl_Consulting[Job Number],0),MATCH(IFERROR(A329+0,A329),tbl_Consulting[Job Number],0))),0)))</f>
        <v/>
      </c>
      <c r="AI329" s="27">
        <f>IF(A329="","",AC329-N(AH329))</f>
        <v/>
      </c>
      <c r="AJ329" s="29">
        <f>IFERROR(AI329/AC329,"")</f>
        <v/>
      </c>
      <c r="AK329" s="26">
        <f>IF(A329="","",IFERROR(IF(INDEX(tbl_Onsite[Notes],IFERROR(MATCH(A329&amp;"",tbl_Onsite[Job Number],0),MATCH(IFERROR(A329+0,A329),tbl_Onsite[Job Number],0)))="","",INDEX(tbl_Onsite[Notes],IFERROR(MATCH(A329&amp;"",tbl_Onsite[Job Number],0),MATCH(IFERROR(A329+0,A329),tbl_Onsite[Job Number],0)))),IFERROR(IF(INDEX(tbl_Production[Notes],IFERROR(MATCH(A329&amp;"",tbl_Production[Job Number],0),MATCH(IFERROR(A329+0,A329),tbl_Production[Job Number],0)))="","",INDEX(tbl_Production[Notes],IFERROR(MATCH(A329&amp;"",tbl_Production[Job Number],0),MATCH(IFERROR(A329+0,A329),tbl_Production[Job Number],0)))),IFERROR(IF(INDEX(tbl_Consulting[Notes],IFERROR(MATCH(A329&amp;"",tbl_Consulting[Job Number],0),MATCH(IFERROR(A329+0,A329),tbl_Consulting[Job Number],0)))="","",INDEX(tbl_Consulting[Notes],IFERROR(MATCH(A329&amp;"",tbl_Consulting[Job Number],0),MATCH(IFERROR(A329+0,A329),tbl_Consulting[Job Number],0)))),""))))</f>
        <v/>
      </c>
    </row>
    <row r="330" ht="15" customHeight="1">
      <c r="A330" s="22" t="n"/>
      <c r="B330" s="22" t="n"/>
      <c r="C330" s="23" t="n"/>
      <c r="D330" s="22" t="n"/>
      <c r="E330" s="24" t="n"/>
      <c r="F330" s="25">
        <f>IF(C330="","",EOMONTH(C330,0))</f>
        <v/>
      </c>
      <c r="G330" s="26">
        <f>IF(A330="","",IF(COUNTIF(tbl_Onsite[Job Number],A330&amp;"")&gt;0,"Onsite",IF(COUNTIF(tbl_Production[Job Number],A330&amp;"")&gt;0,"Production",IF(COUNTIF(tbl_Consulting[Job Number],A330&amp;"")&gt;0,"Consulting","not set up yet"))))</f>
        <v/>
      </c>
      <c r="H330" s="26">
        <f>IF(A330="","",IF(COUNTIF(lst_Jobs,A330&amp;"")&gt;0,"OK","CHECK"))</f>
        <v/>
      </c>
      <c r="I330" s="26">
        <f>IF(A330="","",IFERROR(INDEX(lst_JobName,MATCH(A330&amp;"",lst_Jobs,0)),""))</f>
        <v/>
      </c>
      <c r="J330" s="26">
        <f>IF(A330="","",IFERROR(IF(INDEX(tbl_Onsite[Client],IFERROR(MATCH(A330&amp;"",tbl_Onsite[Job Number],0),MATCH(IFERROR(A330+0,A330),tbl_Onsite[Job Number],0)))="","",INDEX(tbl_Onsite[Client],IFERROR(MATCH(A330&amp;"",tbl_Onsite[Job Number],0),MATCH(IFERROR(A330+0,A330),tbl_Onsite[Job Number],0)))),IFERROR(IF(INDEX(tbl_Production[Client],IFERROR(MATCH(A330&amp;"",tbl_Production[Job Number],0),MATCH(IFERROR(A330+0,A330),tbl_Production[Job Number],0)))="","",INDEX(tbl_Production[Client],IFERROR(MATCH(A330&amp;"",tbl_Production[Job Number],0),MATCH(IFERROR(A330+0,A330),tbl_Production[Job Number],0)))),IFERROR(IF(INDEX(tbl_Consulting[Client],IFERROR(MATCH(A330&amp;"",tbl_Consulting[Job Number],0),MATCH(IFERROR(A330+0,A330),tbl_Consulting[Job Number],0)))="","",INDEX(tbl_Consulting[Client],IFERROR(MATCH(A330&amp;"",tbl_Consulting[Job Number],0),MATCH(IFERROR(A330+0,A330),tbl_Consulting[Job Number],0)))),""))))</f>
        <v/>
      </c>
      <c r="K330" s="26">
        <f>IF(A330="","",IFERROR(IF(INDEX(tbl_Onsite[Job Description],IFERROR(MATCH(A330&amp;"",tbl_Onsite[Job Number],0),MATCH(IFERROR(A330+0,A330),tbl_Onsite[Job Number],0)))="","",INDEX(tbl_Onsite[Job Description],IFERROR(MATCH(A330&amp;"",tbl_Onsite[Job Number],0),MATCH(IFERROR(A330+0,A330),tbl_Onsite[Job Number],0)))),IFERROR(IF(INDEX(tbl_Production[Job Description],IFERROR(MATCH(A330&amp;"",tbl_Production[Job Number],0),MATCH(IFERROR(A330+0,A330),tbl_Production[Job Number],0)))="","",INDEX(tbl_Production[Job Description],IFERROR(MATCH(A330&amp;"",tbl_Production[Job Number],0),MATCH(IFERROR(A330+0,A330),tbl_Production[Job Number],0)))),IFERROR(IF(INDEX(tbl_Consulting[Job Description],IFERROR(MATCH(A330&amp;"",tbl_Consulting[Job Number],0),MATCH(IFERROR(A330+0,A330),tbl_Consulting[Job Number],0)))="","",INDEX(tbl_Consulting[Job Description],IFERROR(MATCH(A330&amp;"",tbl_Consulting[Job Number],0),MATCH(IFERROR(A330+0,A330),tbl_Consulting[Job Number],0)))),""))))</f>
        <v/>
      </c>
      <c r="L330" s="26">
        <f>IF(A330="","",IFERROR(IF(INDEX(tbl_Onsite[Invoice Type],IFERROR(MATCH(A330&amp;"",tbl_Onsite[Job Number],0),MATCH(IFERROR(A330+0,A330),tbl_Onsite[Job Number],0)))="","",INDEX(tbl_Onsite[Invoice Type],IFERROR(MATCH(A330&amp;"",tbl_Onsite[Job Number],0),MATCH(IFERROR(A330+0,A330),tbl_Onsite[Job Number],0)))),IFERROR(IF(INDEX(tbl_Production[Invoice Type],IFERROR(MATCH(A330&amp;"",tbl_Production[Job Number],0),MATCH(IFERROR(A330+0,A330),tbl_Production[Job Number],0)))="","",INDEX(tbl_Production[Invoice Type],IFERROR(MATCH(A330&amp;"",tbl_Production[Job Number],0),MATCH(IFERROR(A330+0,A330),tbl_Production[Job Number],0)))),IFERROR(IF(INDEX(tbl_Consulting[Invoice Type],IFERROR(MATCH(A330&amp;"",tbl_Consulting[Job Number],0),MATCH(IFERROR(A330+0,A330),tbl_Consulting[Job Number],0)))="","",INDEX(tbl_Consulting[Invoice Type],IFERROR(MATCH(A330&amp;"",tbl_Consulting[Job Number],0),MATCH(IFERROR(A330+0,A330),tbl_Consulting[Job Number],0)))),""))))</f>
        <v/>
      </c>
      <c r="M330" s="26">
        <f>IF(A330="","",IF(IFERROR(IF(INDEX(tbl_Onsite[Tax Code],IFERROR(MATCH(A330&amp;"",tbl_Onsite[Job Number],0),MATCH(IFERROR(A330+0,A330),tbl_Onsite[Job Number],0)))="","",INDEX(tbl_Onsite[Tax Code],IFERROR(MATCH(A330&amp;"",tbl_Onsite[Job Number],0),MATCH(IFERROR(A330+0,A330),tbl_Onsite[Job Number],0)))),IFERROR(IF(INDEX(tbl_Production[Tax Code],IFERROR(MATCH(A330&amp;"",tbl_Production[Job Number],0),MATCH(IFERROR(A330+0,A330),tbl_Production[Job Number],0)))="","",INDEX(tbl_Production[Tax Code],IFERROR(MATCH(A330&amp;"",tbl_Production[Job Number],0),MATCH(IFERROR(A330+0,A330),tbl_Production[Job Number],0)))),IFERROR(IF(INDEX(tbl_Consulting[Tax Code],IFERROR(MATCH(A330&amp;"",tbl_Consulting[Job Number],0),MATCH(IFERROR(A330+0,A330),tbl_Consulting[Job Number],0)))="","",INDEX(tbl_Consulting[Tax Code],IFERROR(MATCH(A330&amp;"",tbl_Consulting[Job Number],0),MATCH(IFERROR(A330+0,A330),tbl_Consulting[Job Number],0)))),"")))="","GST 10%",IFERROR(IF(INDEX(tbl_Onsite[Tax Code],IFERROR(MATCH(A330&amp;"",tbl_Onsite[Job Number],0),MATCH(IFERROR(A330+0,A330),tbl_Onsite[Job Number],0)))="","",INDEX(tbl_Onsite[Tax Code],IFERROR(MATCH(A330&amp;"",tbl_Onsite[Job Number],0),MATCH(IFERROR(A330+0,A330),tbl_Onsite[Job Number],0)))),IFERROR(IF(INDEX(tbl_Production[Tax Code],IFERROR(MATCH(A330&amp;"",tbl_Production[Job Number],0),MATCH(IFERROR(A330+0,A330),tbl_Production[Job Number],0)))="","",INDEX(tbl_Production[Tax Code],IFERROR(MATCH(A330&amp;"",tbl_Production[Job Number],0),MATCH(IFERROR(A330+0,A330),tbl_Production[Job Number],0)))),IFERROR(IF(INDEX(tbl_Consulting[Tax Code],IFERROR(MATCH(A330&amp;"",tbl_Consulting[Job Number],0),MATCH(IFERROR(A330+0,A330),tbl_Consulting[Job Number],0)))="","",INDEX(tbl_Consulting[Tax Code],IFERROR(MATCH(A330&amp;"",tbl_Consulting[Job Number],0),MATCH(IFERROR(A330+0,A330),tbl_Consulting[Job Number],0)))),"")))))</f>
        <v/>
      </c>
      <c r="N330" s="26">
        <f>IF(D330="","",IFERROR(INDEX(lst_CCtoGL,MATCH(D330,lst_CCforGL,0)),""))</f>
        <v/>
      </c>
      <c r="O330" s="27">
        <f>IF(E330="","",IF(M330="GST 10%",ROUND(E330*set_GSTRate,2),0))</f>
        <v/>
      </c>
      <c r="P330" s="27">
        <f>IF(E330="","",E330+O330)</f>
        <v/>
      </c>
      <c r="Q330" s="27">
        <f>IF(A330="","",IFERROR(INDEX(tbl_Onsite[Expected Revenue Ex GST],IFERROR(MATCH(A330&amp;"",tbl_Onsite[Job Number],0),MATCH(IFERROR(A330+0,A330),tbl_Onsite[Job Number],0))),IFERROR(INDEX(tbl_Production[Expected Revenue Ex GST],IFERROR(MATCH(A330&amp;"",tbl_Production[Job Number],0),MATCH(IFERROR(A330+0,A330),tbl_Production[Job Number],0))),IFERROR(INDEX(tbl_Consulting[Expected Revenue Ex GST],IFERROR(MATCH(A330&amp;"",tbl_Consulting[Job Number],0),MATCH(IFERROR(A330+0,A330),tbl_Consulting[Job Number],0))),0))))</f>
        <v/>
      </c>
      <c r="R330" s="27">
        <f>IF(A330="","",SUMIFS(tbl_Finance[Ex GST],tbl_Finance[Job Number],A330&amp;""))</f>
        <v/>
      </c>
      <c r="S330" s="27">
        <f>IF(A330="","",Q330-R330)</f>
        <v/>
      </c>
      <c r="T330" s="26">
        <f>IF(A330="","",IF(Q330=0,"No dept value",IF(ROUND(S330,2)=0,"Agrees",IF(S330&gt;0,"Dept higher - to invoice","Xero higher - check dept"))))</f>
        <v/>
      </c>
      <c r="U330" s="22" t="n"/>
      <c r="V330" s="22" t="n"/>
      <c r="W330" s="23" t="n"/>
      <c r="X330" s="23" t="n"/>
      <c r="Y330" s="22" t="n"/>
      <c r="Z330" s="22" t="n"/>
      <c r="AA330" s="26">
        <f>IF(COUNTA(C330,A330,B330,E330)=0,"",IF(C330="","No date - sits outside every month",IF(A330="","No job number",IF(H330="CHECK","Job number is not in the Xero job list",IF(G330="not set up yet","No department has set this job up - nothing can pull through",IF(D330="","No cost centre",IF(AND(U330="Y",B330=""),"Marked posted to Xero but has no invoice number",IF(N330="","Cost centre has no revenue GL on the Lists sheet",IF(T330="Xero higher - check dept","Invoiced more than the department says the job is worth","")))))))))</f>
        <v/>
      </c>
      <c r="AB330" s="28">
        <f>IF(A330="","",COUNTIFS(tbl_Finance[Job Number],A330&amp;"",tbl_Finance[Ex GST],"&lt;&gt;"))</f>
        <v/>
      </c>
      <c r="AC330" s="27">
        <f>IF(A330="","",SUMIFS(tbl_Finance[Ex GST],tbl_Finance[Job Number],A330&amp;""))</f>
        <v/>
      </c>
      <c r="AD330" s="27">
        <f>IF(A330="","",SUMIFS(tbl_Finance[Ex GST],tbl_Finance[Job Number],A330&amp;"",tbl_Finance[Xero Invoice No],"&lt;&gt;"))</f>
        <v/>
      </c>
      <c r="AE330" s="27">
        <f>IF(A330="","",AC330-AD330)</f>
        <v/>
      </c>
      <c r="AF330" s="26">
        <f>IF(A330="","",IFERROR(IF(INDEX(tbl_Onsite[Qwilr Quote],IFERROR(MATCH(A330&amp;"",tbl_Onsite[Job Number],0),MATCH(IFERROR(A330+0,A330),tbl_Onsite[Job Number],0)))="","",INDEX(tbl_Onsite[Qwilr Quote],IFERROR(MATCH(A330&amp;"",tbl_Onsite[Job Number],0),MATCH(IFERROR(A330+0,A330),tbl_Onsite[Job Number],0)))),IFERROR(IF(IF(INDEX(tbl_Production[Current RMS No],IFERROR(MATCH(A330&amp;"",tbl_Production[Job Number],0),MATCH(IFERROR(A330+0,A330),tbl_Production[Job Number],0)))="",INDEX(tbl_Production[Qwilr Quote],IFERROR(MATCH(A330&amp;"",tbl_Production[Job Number],0),MATCH(IFERROR(A330+0,A330),tbl_Production[Job Number],0))),INDEX(tbl_Production[Current RMS No],IFERROR(MATCH(A330&amp;"",tbl_Production[Job Number],0),MATCH(IFERROR(A330+0,A330),tbl_Production[Job Number],0))))="","",IF(INDEX(tbl_Production[Current RMS No],IFERROR(MATCH(A330&amp;"",tbl_Production[Job Number],0),MATCH(IFERROR(A330+0,A330),tbl_Production[Job Number],0)))="",INDEX(tbl_Production[Qwilr Quote],IFERROR(MATCH(A330&amp;"",tbl_Production[Job Number],0),MATCH(IFERROR(A330+0,A330),tbl_Production[Job Number],0))),INDEX(tbl_Production[Current RMS No],IFERROR(MATCH(A330&amp;"",tbl_Production[Job Number],0),MATCH(IFERROR(A330+0,A330),tbl_Production[Job Number],0))))),IFERROR(IF(INDEX(tbl_Consulting[Qwilr Quote],IFERROR(MATCH(A330&amp;"",tbl_Consulting[Job Number],0),MATCH(IFERROR(A330+0,A330),tbl_Consulting[Job Number],0)))="","",INDEX(tbl_Consulting[Qwilr Quote],IFERROR(MATCH(A330&amp;"",tbl_Consulting[Job Number],0),MATCH(IFERROR(A330+0,A330),tbl_Consulting[Job Number],0)))),""))))</f>
        <v/>
      </c>
      <c r="AG330" s="26">
        <f>IF(AF330="","",IF(AND(LEFT(AF330,4)&lt;&gt;"http",IF(G330="Production",set_RMSBase,set_QwilrBase)=""),"",HYPERLINK(IF(LEFT(AF330,4)="http",AF330,IF(G330="Production",set_RMSBase,set_QwilrBase)&amp;AF330),"Open")))</f>
        <v/>
      </c>
      <c r="AH330" s="27">
        <f>IF(A330="","",IFERROR(INDEX(tbl_Production[Total Expense],IFERROR(MATCH(A330&amp;"",tbl_Production[Job Number],0),MATCH(IFERROR(A330+0,A330),tbl_Production[Job Number],0))),IFERROR(INDEX(tbl_Consulting[Total Expense],IFERROR(MATCH(A330&amp;"",tbl_Consulting[Job Number],0),MATCH(IFERROR(A330+0,A330),tbl_Consulting[Job Number],0))),0)))</f>
        <v/>
      </c>
      <c r="AI330" s="27">
        <f>IF(A330="","",AC330-N(AH330))</f>
        <v/>
      </c>
      <c r="AJ330" s="29">
        <f>IFERROR(AI330/AC330,"")</f>
        <v/>
      </c>
      <c r="AK330" s="26">
        <f>IF(A330="","",IFERROR(IF(INDEX(tbl_Onsite[Notes],IFERROR(MATCH(A330&amp;"",tbl_Onsite[Job Number],0),MATCH(IFERROR(A330+0,A330),tbl_Onsite[Job Number],0)))="","",INDEX(tbl_Onsite[Notes],IFERROR(MATCH(A330&amp;"",tbl_Onsite[Job Number],0),MATCH(IFERROR(A330+0,A330),tbl_Onsite[Job Number],0)))),IFERROR(IF(INDEX(tbl_Production[Notes],IFERROR(MATCH(A330&amp;"",tbl_Production[Job Number],0),MATCH(IFERROR(A330+0,A330),tbl_Production[Job Number],0)))="","",INDEX(tbl_Production[Notes],IFERROR(MATCH(A330&amp;"",tbl_Production[Job Number],0),MATCH(IFERROR(A330+0,A330),tbl_Production[Job Number],0)))),IFERROR(IF(INDEX(tbl_Consulting[Notes],IFERROR(MATCH(A330&amp;"",tbl_Consulting[Job Number],0),MATCH(IFERROR(A330+0,A330),tbl_Consulting[Job Number],0)))="","",INDEX(tbl_Consulting[Notes],IFERROR(MATCH(A330&amp;"",tbl_Consulting[Job Number],0),MATCH(IFERROR(A330+0,A330),tbl_Consulting[Job Number],0)))),""))))</f>
        <v/>
      </c>
    </row>
    <row r="331" ht="15" customHeight="1">
      <c r="A331" s="22" t="n"/>
      <c r="B331" s="22" t="n"/>
      <c r="C331" s="23" t="n"/>
      <c r="D331" s="22" t="n"/>
      <c r="E331" s="24" t="n"/>
      <c r="F331" s="25">
        <f>IF(C331="","",EOMONTH(C331,0))</f>
        <v/>
      </c>
      <c r="G331" s="26">
        <f>IF(A331="","",IF(COUNTIF(tbl_Onsite[Job Number],A331&amp;"")&gt;0,"Onsite",IF(COUNTIF(tbl_Production[Job Number],A331&amp;"")&gt;0,"Production",IF(COUNTIF(tbl_Consulting[Job Number],A331&amp;"")&gt;0,"Consulting","not set up yet"))))</f>
        <v/>
      </c>
      <c r="H331" s="26">
        <f>IF(A331="","",IF(COUNTIF(lst_Jobs,A331&amp;"")&gt;0,"OK","CHECK"))</f>
        <v/>
      </c>
      <c r="I331" s="26">
        <f>IF(A331="","",IFERROR(INDEX(lst_JobName,MATCH(A331&amp;"",lst_Jobs,0)),""))</f>
        <v/>
      </c>
      <c r="J331" s="26">
        <f>IF(A331="","",IFERROR(IF(INDEX(tbl_Onsite[Client],IFERROR(MATCH(A331&amp;"",tbl_Onsite[Job Number],0),MATCH(IFERROR(A331+0,A331),tbl_Onsite[Job Number],0)))="","",INDEX(tbl_Onsite[Client],IFERROR(MATCH(A331&amp;"",tbl_Onsite[Job Number],0),MATCH(IFERROR(A331+0,A331),tbl_Onsite[Job Number],0)))),IFERROR(IF(INDEX(tbl_Production[Client],IFERROR(MATCH(A331&amp;"",tbl_Production[Job Number],0),MATCH(IFERROR(A331+0,A331),tbl_Production[Job Number],0)))="","",INDEX(tbl_Production[Client],IFERROR(MATCH(A331&amp;"",tbl_Production[Job Number],0),MATCH(IFERROR(A331+0,A331),tbl_Production[Job Number],0)))),IFERROR(IF(INDEX(tbl_Consulting[Client],IFERROR(MATCH(A331&amp;"",tbl_Consulting[Job Number],0),MATCH(IFERROR(A331+0,A331),tbl_Consulting[Job Number],0)))="","",INDEX(tbl_Consulting[Client],IFERROR(MATCH(A331&amp;"",tbl_Consulting[Job Number],0),MATCH(IFERROR(A331+0,A331),tbl_Consulting[Job Number],0)))),""))))</f>
        <v/>
      </c>
      <c r="K331" s="26">
        <f>IF(A331="","",IFERROR(IF(INDEX(tbl_Onsite[Job Description],IFERROR(MATCH(A331&amp;"",tbl_Onsite[Job Number],0),MATCH(IFERROR(A331+0,A331),tbl_Onsite[Job Number],0)))="","",INDEX(tbl_Onsite[Job Description],IFERROR(MATCH(A331&amp;"",tbl_Onsite[Job Number],0),MATCH(IFERROR(A331+0,A331),tbl_Onsite[Job Number],0)))),IFERROR(IF(INDEX(tbl_Production[Job Description],IFERROR(MATCH(A331&amp;"",tbl_Production[Job Number],0),MATCH(IFERROR(A331+0,A331),tbl_Production[Job Number],0)))="","",INDEX(tbl_Production[Job Description],IFERROR(MATCH(A331&amp;"",tbl_Production[Job Number],0),MATCH(IFERROR(A331+0,A331),tbl_Production[Job Number],0)))),IFERROR(IF(INDEX(tbl_Consulting[Job Description],IFERROR(MATCH(A331&amp;"",tbl_Consulting[Job Number],0),MATCH(IFERROR(A331+0,A331),tbl_Consulting[Job Number],0)))="","",INDEX(tbl_Consulting[Job Description],IFERROR(MATCH(A331&amp;"",tbl_Consulting[Job Number],0),MATCH(IFERROR(A331+0,A331),tbl_Consulting[Job Number],0)))),""))))</f>
        <v/>
      </c>
      <c r="L331" s="26">
        <f>IF(A331="","",IFERROR(IF(INDEX(tbl_Onsite[Invoice Type],IFERROR(MATCH(A331&amp;"",tbl_Onsite[Job Number],0),MATCH(IFERROR(A331+0,A331),tbl_Onsite[Job Number],0)))="","",INDEX(tbl_Onsite[Invoice Type],IFERROR(MATCH(A331&amp;"",tbl_Onsite[Job Number],0),MATCH(IFERROR(A331+0,A331),tbl_Onsite[Job Number],0)))),IFERROR(IF(INDEX(tbl_Production[Invoice Type],IFERROR(MATCH(A331&amp;"",tbl_Production[Job Number],0),MATCH(IFERROR(A331+0,A331),tbl_Production[Job Number],0)))="","",INDEX(tbl_Production[Invoice Type],IFERROR(MATCH(A331&amp;"",tbl_Production[Job Number],0),MATCH(IFERROR(A331+0,A331),tbl_Production[Job Number],0)))),IFERROR(IF(INDEX(tbl_Consulting[Invoice Type],IFERROR(MATCH(A331&amp;"",tbl_Consulting[Job Number],0),MATCH(IFERROR(A331+0,A331),tbl_Consulting[Job Number],0)))="","",INDEX(tbl_Consulting[Invoice Type],IFERROR(MATCH(A331&amp;"",tbl_Consulting[Job Number],0),MATCH(IFERROR(A331+0,A331),tbl_Consulting[Job Number],0)))),""))))</f>
        <v/>
      </c>
      <c r="M331" s="26">
        <f>IF(A331="","",IF(IFERROR(IF(INDEX(tbl_Onsite[Tax Code],IFERROR(MATCH(A331&amp;"",tbl_Onsite[Job Number],0),MATCH(IFERROR(A331+0,A331),tbl_Onsite[Job Number],0)))="","",INDEX(tbl_Onsite[Tax Code],IFERROR(MATCH(A331&amp;"",tbl_Onsite[Job Number],0),MATCH(IFERROR(A331+0,A331),tbl_Onsite[Job Number],0)))),IFERROR(IF(INDEX(tbl_Production[Tax Code],IFERROR(MATCH(A331&amp;"",tbl_Production[Job Number],0),MATCH(IFERROR(A331+0,A331),tbl_Production[Job Number],0)))="","",INDEX(tbl_Production[Tax Code],IFERROR(MATCH(A331&amp;"",tbl_Production[Job Number],0),MATCH(IFERROR(A331+0,A331),tbl_Production[Job Number],0)))),IFERROR(IF(INDEX(tbl_Consulting[Tax Code],IFERROR(MATCH(A331&amp;"",tbl_Consulting[Job Number],0),MATCH(IFERROR(A331+0,A331),tbl_Consulting[Job Number],0)))="","",INDEX(tbl_Consulting[Tax Code],IFERROR(MATCH(A331&amp;"",tbl_Consulting[Job Number],0),MATCH(IFERROR(A331+0,A331),tbl_Consulting[Job Number],0)))),"")))="","GST 10%",IFERROR(IF(INDEX(tbl_Onsite[Tax Code],IFERROR(MATCH(A331&amp;"",tbl_Onsite[Job Number],0),MATCH(IFERROR(A331+0,A331),tbl_Onsite[Job Number],0)))="","",INDEX(tbl_Onsite[Tax Code],IFERROR(MATCH(A331&amp;"",tbl_Onsite[Job Number],0),MATCH(IFERROR(A331+0,A331),tbl_Onsite[Job Number],0)))),IFERROR(IF(INDEX(tbl_Production[Tax Code],IFERROR(MATCH(A331&amp;"",tbl_Production[Job Number],0),MATCH(IFERROR(A331+0,A331),tbl_Production[Job Number],0)))="","",INDEX(tbl_Production[Tax Code],IFERROR(MATCH(A331&amp;"",tbl_Production[Job Number],0),MATCH(IFERROR(A331+0,A331),tbl_Production[Job Number],0)))),IFERROR(IF(INDEX(tbl_Consulting[Tax Code],IFERROR(MATCH(A331&amp;"",tbl_Consulting[Job Number],0),MATCH(IFERROR(A331+0,A331),tbl_Consulting[Job Number],0)))="","",INDEX(tbl_Consulting[Tax Code],IFERROR(MATCH(A331&amp;"",tbl_Consulting[Job Number],0),MATCH(IFERROR(A331+0,A331),tbl_Consulting[Job Number],0)))),"")))))</f>
        <v/>
      </c>
      <c r="N331" s="26">
        <f>IF(D331="","",IFERROR(INDEX(lst_CCtoGL,MATCH(D331,lst_CCforGL,0)),""))</f>
        <v/>
      </c>
      <c r="O331" s="27">
        <f>IF(E331="","",IF(M331="GST 10%",ROUND(E331*set_GSTRate,2),0))</f>
        <v/>
      </c>
      <c r="P331" s="27">
        <f>IF(E331="","",E331+O331)</f>
        <v/>
      </c>
      <c r="Q331" s="27">
        <f>IF(A331="","",IFERROR(INDEX(tbl_Onsite[Expected Revenue Ex GST],IFERROR(MATCH(A331&amp;"",tbl_Onsite[Job Number],0),MATCH(IFERROR(A331+0,A331),tbl_Onsite[Job Number],0))),IFERROR(INDEX(tbl_Production[Expected Revenue Ex GST],IFERROR(MATCH(A331&amp;"",tbl_Production[Job Number],0),MATCH(IFERROR(A331+0,A331),tbl_Production[Job Number],0))),IFERROR(INDEX(tbl_Consulting[Expected Revenue Ex GST],IFERROR(MATCH(A331&amp;"",tbl_Consulting[Job Number],0),MATCH(IFERROR(A331+0,A331),tbl_Consulting[Job Number],0))),0))))</f>
        <v/>
      </c>
      <c r="R331" s="27">
        <f>IF(A331="","",SUMIFS(tbl_Finance[Ex GST],tbl_Finance[Job Number],A331&amp;""))</f>
        <v/>
      </c>
      <c r="S331" s="27">
        <f>IF(A331="","",Q331-R331)</f>
        <v/>
      </c>
      <c r="T331" s="26">
        <f>IF(A331="","",IF(Q331=0,"No dept value",IF(ROUND(S331,2)=0,"Agrees",IF(S331&gt;0,"Dept higher - to invoice","Xero higher - check dept"))))</f>
        <v/>
      </c>
      <c r="U331" s="22" t="n"/>
      <c r="V331" s="22" t="n"/>
      <c r="W331" s="23" t="n"/>
      <c r="X331" s="23" t="n"/>
      <c r="Y331" s="22" t="n"/>
      <c r="Z331" s="22" t="n"/>
      <c r="AA331" s="26">
        <f>IF(COUNTA(C331,A331,B331,E331)=0,"",IF(C331="","No date - sits outside every month",IF(A331="","No job number",IF(H331="CHECK","Job number is not in the Xero job list",IF(G331="not set up yet","No department has set this job up - nothing can pull through",IF(D331="","No cost centre",IF(AND(U331="Y",B331=""),"Marked posted to Xero but has no invoice number",IF(N331="","Cost centre has no revenue GL on the Lists sheet",IF(T331="Xero higher - check dept","Invoiced more than the department says the job is worth","")))))))))</f>
        <v/>
      </c>
      <c r="AB331" s="28">
        <f>IF(A331="","",COUNTIFS(tbl_Finance[Job Number],A331&amp;"",tbl_Finance[Ex GST],"&lt;&gt;"))</f>
        <v/>
      </c>
      <c r="AC331" s="27">
        <f>IF(A331="","",SUMIFS(tbl_Finance[Ex GST],tbl_Finance[Job Number],A331&amp;""))</f>
        <v/>
      </c>
      <c r="AD331" s="27">
        <f>IF(A331="","",SUMIFS(tbl_Finance[Ex GST],tbl_Finance[Job Number],A331&amp;"",tbl_Finance[Xero Invoice No],"&lt;&gt;"))</f>
        <v/>
      </c>
      <c r="AE331" s="27">
        <f>IF(A331="","",AC331-AD331)</f>
        <v/>
      </c>
      <c r="AF331" s="26">
        <f>IF(A331="","",IFERROR(IF(INDEX(tbl_Onsite[Qwilr Quote],IFERROR(MATCH(A331&amp;"",tbl_Onsite[Job Number],0),MATCH(IFERROR(A331+0,A331),tbl_Onsite[Job Number],0)))="","",INDEX(tbl_Onsite[Qwilr Quote],IFERROR(MATCH(A331&amp;"",tbl_Onsite[Job Number],0),MATCH(IFERROR(A331+0,A331),tbl_Onsite[Job Number],0)))),IFERROR(IF(IF(INDEX(tbl_Production[Current RMS No],IFERROR(MATCH(A331&amp;"",tbl_Production[Job Number],0),MATCH(IFERROR(A331+0,A331),tbl_Production[Job Number],0)))="",INDEX(tbl_Production[Qwilr Quote],IFERROR(MATCH(A331&amp;"",tbl_Production[Job Number],0),MATCH(IFERROR(A331+0,A331),tbl_Production[Job Number],0))),INDEX(tbl_Production[Current RMS No],IFERROR(MATCH(A331&amp;"",tbl_Production[Job Number],0),MATCH(IFERROR(A331+0,A331),tbl_Production[Job Number],0))))="","",IF(INDEX(tbl_Production[Current RMS No],IFERROR(MATCH(A331&amp;"",tbl_Production[Job Number],0),MATCH(IFERROR(A331+0,A331),tbl_Production[Job Number],0)))="",INDEX(tbl_Production[Qwilr Quote],IFERROR(MATCH(A331&amp;"",tbl_Production[Job Number],0),MATCH(IFERROR(A331+0,A331),tbl_Production[Job Number],0))),INDEX(tbl_Production[Current RMS No],IFERROR(MATCH(A331&amp;"",tbl_Production[Job Number],0),MATCH(IFERROR(A331+0,A331),tbl_Production[Job Number],0))))),IFERROR(IF(INDEX(tbl_Consulting[Qwilr Quote],IFERROR(MATCH(A331&amp;"",tbl_Consulting[Job Number],0),MATCH(IFERROR(A331+0,A331),tbl_Consulting[Job Number],0)))="","",INDEX(tbl_Consulting[Qwilr Quote],IFERROR(MATCH(A331&amp;"",tbl_Consulting[Job Number],0),MATCH(IFERROR(A331+0,A331),tbl_Consulting[Job Number],0)))),""))))</f>
        <v/>
      </c>
      <c r="AG331" s="26">
        <f>IF(AF331="","",IF(AND(LEFT(AF331,4)&lt;&gt;"http",IF(G331="Production",set_RMSBase,set_QwilrBase)=""),"",HYPERLINK(IF(LEFT(AF331,4)="http",AF331,IF(G331="Production",set_RMSBase,set_QwilrBase)&amp;AF331),"Open")))</f>
        <v/>
      </c>
      <c r="AH331" s="27">
        <f>IF(A331="","",IFERROR(INDEX(tbl_Production[Total Expense],IFERROR(MATCH(A331&amp;"",tbl_Production[Job Number],0),MATCH(IFERROR(A331+0,A331),tbl_Production[Job Number],0))),IFERROR(INDEX(tbl_Consulting[Total Expense],IFERROR(MATCH(A331&amp;"",tbl_Consulting[Job Number],0),MATCH(IFERROR(A331+0,A331),tbl_Consulting[Job Number],0))),0)))</f>
        <v/>
      </c>
      <c r="AI331" s="27">
        <f>IF(A331="","",AC331-N(AH331))</f>
        <v/>
      </c>
      <c r="AJ331" s="29">
        <f>IFERROR(AI331/AC331,"")</f>
        <v/>
      </c>
      <c r="AK331" s="26">
        <f>IF(A331="","",IFERROR(IF(INDEX(tbl_Onsite[Notes],IFERROR(MATCH(A331&amp;"",tbl_Onsite[Job Number],0),MATCH(IFERROR(A331+0,A331),tbl_Onsite[Job Number],0)))="","",INDEX(tbl_Onsite[Notes],IFERROR(MATCH(A331&amp;"",tbl_Onsite[Job Number],0),MATCH(IFERROR(A331+0,A331),tbl_Onsite[Job Number],0)))),IFERROR(IF(INDEX(tbl_Production[Notes],IFERROR(MATCH(A331&amp;"",tbl_Production[Job Number],0),MATCH(IFERROR(A331+0,A331),tbl_Production[Job Number],0)))="","",INDEX(tbl_Production[Notes],IFERROR(MATCH(A331&amp;"",tbl_Production[Job Number],0),MATCH(IFERROR(A331+0,A331),tbl_Production[Job Number],0)))),IFERROR(IF(INDEX(tbl_Consulting[Notes],IFERROR(MATCH(A331&amp;"",tbl_Consulting[Job Number],0),MATCH(IFERROR(A331+0,A331),tbl_Consulting[Job Number],0)))="","",INDEX(tbl_Consulting[Notes],IFERROR(MATCH(A331&amp;"",tbl_Consulting[Job Number],0),MATCH(IFERROR(A331+0,A331),tbl_Consulting[Job Number],0)))),""))))</f>
        <v/>
      </c>
    </row>
    <row r="332" ht="15" customHeight="1">
      <c r="A332" s="22" t="n"/>
      <c r="B332" s="22" t="n"/>
      <c r="C332" s="23" t="n"/>
      <c r="D332" s="22" t="n"/>
      <c r="E332" s="24" t="n"/>
      <c r="F332" s="25">
        <f>IF(C332="","",EOMONTH(C332,0))</f>
        <v/>
      </c>
      <c r="G332" s="26">
        <f>IF(A332="","",IF(COUNTIF(tbl_Onsite[Job Number],A332&amp;"")&gt;0,"Onsite",IF(COUNTIF(tbl_Production[Job Number],A332&amp;"")&gt;0,"Production",IF(COUNTIF(tbl_Consulting[Job Number],A332&amp;"")&gt;0,"Consulting","not set up yet"))))</f>
        <v/>
      </c>
      <c r="H332" s="26">
        <f>IF(A332="","",IF(COUNTIF(lst_Jobs,A332&amp;"")&gt;0,"OK","CHECK"))</f>
        <v/>
      </c>
      <c r="I332" s="26">
        <f>IF(A332="","",IFERROR(INDEX(lst_JobName,MATCH(A332&amp;"",lst_Jobs,0)),""))</f>
        <v/>
      </c>
      <c r="J332" s="26">
        <f>IF(A332="","",IFERROR(IF(INDEX(tbl_Onsite[Client],IFERROR(MATCH(A332&amp;"",tbl_Onsite[Job Number],0),MATCH(IFERROR(A332+0,A332),tbl_Onsite[Job Number],0)))="","",INDEX(tbl_Onsite[Client],IFERROR(MATCH(A332&amp;"",tbl_Onsite[Job Number],0),MATCH(IFERROR(A332+0,A332),tbl_Onsite[Job Number],0)))),IFERROR(IF(INDEX(tbl_Production[Client],IFERROR(MATCH(A332&amp;"",tbl_Production[Job Number],0),MATCH(IFERROR(A332+0,A332),tbl_Production[Job Number],0)))="","",INDEX(tbl_Production[Client],IFERROR(MATCH(A332&amp;"",tbl_Production[Job Number],0),MATCH(IFERROR(A332+0,A332),tbl_Production[Job Number],0)))),IFERROR(IF(INDEX(tbl_Consulting[Client],IFERROR(MATCH(A332&amp;"",tbl_Consulting[Job Number],0),MATCH(IFERROR(A332+0,A332),tbl_Consulting[Job Number],0)))="","",INDEX(tbl_Consulting[Client],IFERROR(MATCH(A332&amp;"",tbl_Consulting[Job Number],0),MATCH(IFERROR(A332+0,A332),tbl_Consulting[Job Number],0)))),""))))</f>
        <v/>
      </c>
      <c r="K332" s="26">
        <f>IF(A332="","",IFERROR(IF(INDEX(tbl_Onsite[Job Description],IFERROR(MATCH(A332&amp;"",tbl_Onsite[Job Number],0),MATCH(IFERROR(A332+0,A332),tbl_Onsite[Job Number],0)))="","",INDEX(tbl_Onsite[Job Description],IFERROR(MATCH(A332&amp;"",tbl_Onsite[Job Number],0),MATCH(IFERROR(A332+0,A332),tbl_Onsite[Job Number],0)))),IFERROR(IF(INDEX(tbl_Production[Job Description],IFERROR(MATCH(A332&amp;"",tbl_Production[Job Number],0),MATCH(IFERROR(A332+0,A332),tbl_Production[Job Number],0)))="","",INDEX(tbl_Production[Job Description],IFERROR(MATCH(A332&amp;"",tbl_Production[Job Number],0),MATCH(IFERROR(A332+0,A332),tbl_Production[Job Number],0)))),IFERROR(IF(INDEX(tbl_Consulting[Job Description],IFERROR(MATCH(A332&amp;"",tbl_Consulting[Job Number],0),MATCH(IFERROR(A332+0,A332),tbl_Consulting[Job Number],0)))="","",INDEX(tbl_Consulting[Job Description],IFERROR(MATCH(A332&amp;"",tbl_Consulting[Job Number],0),MATCH(IFERROR(A332+0,A332),tbl_Consulting[Job Number],0)))),""))))</f>
        <v/>
      </c>
      <c r="L332" s="26">
        <f>IF(A332="","",IFERROR(IF(INDEX(tbl_Onsite[Invoice Type],IFERROR(MATCH(A332&amp;"",tbl_Onsite[Job Number],0),MATCH(IFERROR(A332+0,A332),tbl_Onsite[Job Number],0)))="","",INDEX(tbl_Onsite[Invoice Type],IFERROR(MATCH(A332&amp;"",tbl_Onsite[Job Number],0),MATCH(IFERROR(A332+0,A332),tbl_Onsite[Job Number],0)))),IFERROR(IF(INDEX(tbl_Production[Invoice Type],IFERROR(MATCH(A332&amp;"",tbl_Production[Job Number],0),MATCH(IFERROR(A332+0,A332),tbl_Production[Job Number],0)))="","",INDEX(tbl_Production[Invoice Type],IFERROR(MATCH(A332&amp;"",tbl_Production[Job Number],0),MATCH(IFERROR(A332+0,A332),tbl_Production[Job Number],0)))),IFERROR(IF(INDEX(tbl_Consulting[Invoice Type],IFERROR(MATCH(A332&amp;"",tbl_Consulting[Job Number],0),MATCH(IFERROR(A332+0,A332),tbl_Consulting[Job Number],0)))="","",INDEX(tbl_Consulting[Invoice Type],IFERROR(MATCH(A332&amp;"",tbl_Consulting[Job Number],0),MATCH(IFERROR(A332+0,A332),tbl_Consulting[Job Number],0)))),""))))</f>
        <v/>
      </c>
      <c r="M332" s="26">
        <f>IF(A332="","",IF(IFERROR(IF(INDEX(tbl_Onsite[Tax Code],IFERROR(MATCH(A332&amp;"",tbl_Onsite[Job Number],0),MATCH(IFERROR(A332+0,A332),tbl_Onsite[Job Number],0)))="","",INDEX(tbl_Onsite[Tax Code],IFERROR(MATCH(A332&amp;"",tbl_Onsite[Job Number],0),MATCH(IFERROR(A332+0,A332),tbl_Onsite[Job Number],0)))),IFERROR(IF(INDEX(tbl_Production[Tax Code],IFERROR(MATCH(A332&amp;"",tbl_Production[Job Number],0),MATCH(IFERROR(A332+0,A332),tbl_Production[Job Number],0)))="","",INDEX(tbl_Production[Tax Code],IFERROR(MATCH(A332&amp;"",tbl_Production[Job Number],0),MATCH(IFERROR(A332+0,A332),tbl_Production[Job Number],0)))),IFERROR(IF(INDEX(tbl_Consulting[Tax Code],IFERROR(MATCH(A332&amp;"",tbl_Consulting[Job Number],0),MATCH(IFERROR(A332+0,A332),tbl_Consulting[Job Number],0)))="","",INDEX(tbl_Consulting[Tax Code],IFERROR(MATCH(A332&amp;"",tbl_Consulting[Job Number],0),MATCH(IFERROR(A332+0,A332),tbl_Consulting[Job Number],0)))),"")))="","GST 10%",IFERROR(IF(INDEX(tbl_Onsite[Tax Code],IFERROR(MATCH(A332&amp;"",tbl_Onsite[Job Number],0),MATCH(IFERROR(A332+0,A332),tbl_Onsite[Job Number],0)))="","",INDEX(tbl_Onsite[Tax Code],IFERROR(MATCH(A332&amp;"",tbl_Onsite[Job Number],0),MATCH(IFERROR(A332+0,A332),tbl_Onsite[Job Number],0)))),IFERROR(IF(INDEX(tbl_Production[Tax Code],IFERROR(MATCH(A332&amp;"",tbl_Production[Job Number],0),MATCH(IFERROR(A332+0,A332),tbl_Production[Job Number],0)))="","",INDEX(tbl_Production[Tax Code],IFERROR(MATCH(A332&amp;"",tbl_Production[Job Number],0),MATCH(IFERROR(A332+0,A332),tbl_Production[Job Number],0)))),IFERROR(IF(INDEX(tbl_Consulting[Tax Code],IFERROR(MATCH(A332&amp;"",tbl_Consulting[Job Number],0),MATCH(IFERROR(A332+0,A332),tbl_Consulting[Job Number],0)))="","",INDEX(tbl_Consulting[Tax Code],IFERROR(MATCH(A332&amp;"",tbl_Consulting[Job Number],0),MATCH(IFERROR(A332+0,A332),tbl_Consulting[Job Number],0)))),"")))))</f>
        <v/>
      </c>
      <c r="N332" s="26">
        <f>IF(D332="","",IFERROR(INDEX(lst_CCtoGL,MATCH(D332,lst_CCforGL,0)),""))</f>
        <v/>
      </c>
      <c r="O332" s="27">
        <f>IF(E332="","",IF(M332="GST 10%",ROUND(E332*set_GSTRate,2),0))</f>
        <v/>
      </c>
      <c r="P332" s="27">
        <f>IF(E332="","",E332+O332)</f>
        <v/>
      </c>
      <c r="Q332" s="27">
        <f>IF(A332="","",IFERROR(INDEX(tbl_Onsite[Expected Revenue Ex GST],IFERROR(MATCH(A332&amp;"",tbl_Onsite[Job Number],0),MATCH(IFERROR(A332+0,A332),tbl_Onsite[Job Number],0))),IFERROR(INDEX(tbl_Production[Expected Revenue Ex GST],IFERROR(MATCH(A332&amp;"",tbl_Production[Job Number],0),MATCH(IFERROR(A332+0,A332),tbl_Production[Job Number],0))),IFERROR(INDEX(tbl_Consulting[Expected Revenue Ex GST],IFERROR(MATCH(A332&amp;"",tbl_Consulting[Job Number],0),MATCH(IFERROR(A332+0,A332),tbl_Consulting[Job Number],0))),0))))</f>
        <v/>
      </c>
      <c r="R332" s="27">
        <f>IF(A332="","",SUMIFS(tbl_Finance[Ex GST],tbl_Finance[Job Number],A332&amp;""))</f>
        <v/>
      </c>
      <c r="S332" s="27">
        <f>IF(A332="","",Q332-R332)</f>
        <v/>
      </c>
      <c r="T332" s="26">
        <f>IF(A332="","",IF(Q332=0,"No dept value",IF(ROUND(S332,2)=0,"Agrees",IF(S332&gt;0,"Dept higher - to invoice","Xero higher - check dept"))))</f>
        <v/>
      </c>
      <c r="U332" s="22" t="n"/>
      <c r="V332" s="22" t="n"/>
      <c r="W332" s="23" t="n"/>
      <c r="X332" s="23" t="n"/>
      <c r="Y332" s="22" t="n"/>
      <c r="Z332" s="22" t="n"/>
      <c r="AA332" s="26">
        <f>IF(COUNTA(C332,A332,B332,E332)=0,"",IF(C332="","No date - sits outside every month",IF(A332="","No job number",IF(H332="CHECK","Job number is not in the Xero job list",IF(G332="not set up yet","No department has set this job up - nothing can pull through",IF(D332="","No cost centre",IF(AND(U332="Y",B332=""),"Marked posted to Xero but has no invoice number",IF(N332="","Cost centre has no revenue GL on the Lists sheet",IF(T332="Xero higher - check dept","Invoiced more than the department says the job is worth","")))))))))</f>
        <v/>
      </c>
      <c r="AB332" s="28">
        <f>IF(A332="","",COUNTIFS(tbl_Finance[Job Number],A332&amp;"",tbl_Finance[Ex GST],"&lt;&gt;"))</f>
        <v/>
      </c>
      <c r="AC332" s="27">
        <f>IF(A332="","",SUMIFS(tbl_Finance[Ex GST],tbl_Finance[Job Number],A332&amp;""))</f>
        <v/>
      </c>
      <c r="AD332" s="27">
        <f>IF(A332="","",SUMIFS(tbl_Finance[Ex GST],tbl_Finance[Job Number],A332&amp;"",tbl_Finance[Xero Invoice No],"&lt;&gt;"))</f>
        <v/>
      </c>
      <c r="AE332" s="27">
        <f>IF(A332="","",AC332-AD332)</f>
        <v/>
      </c>
      <c r="AF332" s="26">
        <f>IF(A332="","",IFERROR(IF(INDEX(tbl_Onsite[Qwilr Quote],IFERROR(MATCH(A332&amp;"",tbl_Onsite[Job Number],0),MATCH(IFERROR(A332+0,A332),tbl_Onsite[Job Number],0)))="","",INDEX(tbl_Onsite[Qwilr Quote],IFERROR(MATCH(A332&amp;"",tbl_Onsite[Job Number],0),MATCH(IFERROR(A332+0,A332),tbl_Onsite[Job Number],0)))),IFERROR(IF(IF(INDEX(tbl_Production[Current RMS No],IFERROR(MATCH(A332&amp;"",tbl_Production[Job Number],0),MATCH(IFERROR(A332+0,A332),tbl_Production[Job Number],0)))="",INDEX(tbl_Production[Qwilr Quote],IFERROR(MATCH(A332&amp;"",tbl_Production[Job Number],0),MATCH(IFERROR(A332+0,A332),tbl_Production[Job Number],0))),INDEX(tbl_Production[Current RMS No],IFERROR(MATCH(A332&amp;"",tbl_Production[Job Number],0),MATCH(IFERROR(A332+0,A332),tbl_Production[Job Number],0))))="","",IF(INDEX(tbl_Production[Current RMS No],IFERROR(MATCH(A332&amp;"",tbl_Production[Job Number],0),MATCH(IFERROR(A332+0,A332),tbl_Production[Job Number],0)))="",INDEX(tbl_Production[Qwilr Quote],IFERROR(MATCH(A332&amp;"",tbl_Production[Job Number],0),MATCH(IFERROR(A332+0,A332),tbl_Production[Job Number],0))),INDEX(tbl_Production[Current RMS No],IFERROR(MATCH(A332&amp;"",tbl_Production[Job Number],0),MATCH(IFERROR(A332+0,A332),tbl_Production[Job Number],0))))),IFERROR(IF(INDEX(tbl_Consulting[Qwilr Quote],IFERROR(MATCH(A332&amp;"",tbl_Consulting[Job Number],0),MATCH(IFERROR(A332+0,A332),tbl_Consulting[Job Number],0)))="","",INDEX(tbl_Consulting[Qwilr Quote],IFERROR(MATCH(A332&amp;"",tbl_Consulting[Job Number],0),MATCH(IFERROR(A332+0,A332),tbl_Consulting[Job Number],0)))),""))))</f>
        <v/>
      </c>
      <c r="AG332" s="26">
        <f>IF(AF332="","",IF(AND(LEFT(AF332,4)&lt;&gt;"http",IF(G332="Production",set_RMSBase,set_QwilrBase)=""),"",HYPERLINK(IF(LEFT(AF332,4)="http",AF332,IF(G332="Production",set_RMSBase,set_QwilrBase)&amp;AF332),"Open")))</f>
        <v/>
      </c>
      <c r="AH332" s="27">
        <f>IF(A332="","",IFERROR(INDEX(tbl_Production[Total Expense],IFERROR(MATCH(A332&amp;"",tbl_Production[Job Number],0),MATCH(IFERROR(A332+0,A332),tbl_Production[Job Number],0))),IFERROR(INDEX(tbl_Consulting[Total Expense],IFERROR(MATCH(A332&amp;"",tbl_Consulting[Job Number],0),MATCH(IFERROR(A332+0,A332),tbl_Consulting[Job Number],0))),0)))</f>
        <v/>
      </c>
      <c r="AI332" s="27">
        <f>IF(A332="","",AC332-N(AH332))</f>
        <v/>
      </c>
      <c r="AJ332" s="29">
        <f>IFERROR(AI332/AC332,"")</f>
        <v/>
      </c>
      <c r="AK332" s="26">
        <f>IF(A332="","",IFERROR(IF(INDEX(tbl_Onsite[Notes],IFERROR(MATCH(A332&amp;"",tbl_Onsite[Job Number],0),MATCH(IFERROR(A332+0,A332),tbl_Onsite[Job Number],0)))="","",INDEX(tbl_Onsite[Notes],IFERROR(MATCH(A332&amp;"",tbl_Onsite[Job Number],0),MATCH(IFERROR(A332+0,A332),tbl_Onsite[Job Number],0)))),IFERROR(IF(INDEX(tbl_Production[Notes],IFERROR(MATCH(A332&amp;"",tbl_Production[Job Number],0),MATCH(IFERROR(A332+0,A332),tbl_Production[Job Number],0)))="","",INDEX(tbl_Production[Notes],IFERROR(MATCH(A332&amp;"",tbl_Production[Job Number],0),MATCH(IFERROR(A332+0,A332),tbl_Production[Job Number],0)))),IFERROR(IF(INDEX(tbl_Consulting[Notes],IFERROR(MATCH(A332&amp;"",tbl_Consulting[Job Number],0),MATCH(IFERROR(A332+0,A332),tbl_Consulting[Job Number],0)))="","",INDEX(tbl_Consulting[Notes],IFERROR(MATCH(A332&amp;"",tbl_Consulting[Job Number],0),MATCH(IFERROR(A332+0,A332),tbl_Consulting[Job Number],0)))),""))))</f>
        <v/>
      </c>
    </row>
    <row r="333" ht="15" customHeight="1">
      <c r="A333" s="22" t="n"/>
      <c r="B333" s="22" t="n"/>
      <c r="C333" s="23" t="n"/>
      <c r="D333" s="22" t="n"/>
      <c r="E333" s="24" t="n"/>
      <c r="F333" s="25">
        <f>IF(C333="","",EOMONTH(C333,0))</f>
        <v/>
      </c>
      <c r="G333" s="26">
        <f>IF(A333="","",IF(COUNTIF(tbl_Onsite[Job Number],A333&amp;"")&gt;0,"Onsite",IF(COUNTIF(tbl_Production[Job Number],A333&amp;"")&gt;0,"Production",IF(COUNTIF(tbl_Consulting[Job Number],A333&amp;"")&gt;0,"Consulting","not set up yet"))))</f>
        <v/>
      </c>
      <c r="H333" s="26">
        <f>IF(A333="","",IF(COUNTIF(lst_Jobs,A333&amp;"")&gt;0,"OK","CHECK"))</f>
        <v/>
      </c>
      <c r="I333" s="26">
        <f>IF(A333="","",IFERROR(INDEX(lst_JobName,MATCH(A333&amp;"",lst_Jobs,0)),""))</f>
        <v/>
      </c>
      <c r="J333" s="26">
        <f>IF(A333="","",IFERROR(IF(INDEX(tbl_Onsite[Client],IFERROR(MATCH(A333&amp;"",tbl_Onsite[Job Number],0),MATCH(IFERROR(A333+0,A333),tbl_Onsite[Job Number],0)))="","",INDEX(tbl_Onsite[Client],IFERROR(MATCH(A333&amp;"",tbl_Onsite[Job Number],0),MATCH(IFERROR(A333+0,A333),tbl_Onsite[Job Number],0)))),IFERROR(IF(INDEX(tbl_Production[Client],IFERROR(MATCH(A333&amp;"",tbl_Production[Job Number],0),MATCH(IFERROR(A333+0,A333),tbl_Production[Job Number],0)))="","",INDEX(tbl_Production[Client],IFERROR(MATCH(A333&amp;"",tbl_Production[Job Number],0),MATCH(IFERROR(A333+0,A333),tbl_Production[Job Number],0)))),IFERROR(IF(INDEX(tbl_Consulting[Client],IFERROR(MATCH(A333&amp;"",tbl_Consulting[Job Number],0),MATCH(IFERROR(A333+0,A333),tbl_Consulting[Job Number],0)))="","",INDEX(tbl_Consulting[Client],IFERROR(MATCH(A333&amp;"",tbl_Consulting[Job Number],0),MATCH(IFERROR(A333+0,A333),tbl_Consulting[Job Number],0)))),""))))</f>
        <v/>
      </c>
      <c r="K333" s="26">
        <f>IF(A333="","",IFERROR(IF(INDEX(tbl_Onsite[Job Description],IFERROR(MATCH(A333&amp;"",tbl_Onsite[Job Number],0),MATCH(IFERROR(A333+0,A333),tbl_Onsite[Job Number],0)))="","",INDEX(tbl_Onsite[Job Description],IFERROR(MATCH(A333&amp;"",tbl_Onsite[Job Number],0),MATCH(IFERROR(A333+0,A333),tbl_Onsite[Job Number],0)))),IFERROR(IF(INDEX(tbl_Production[Job Description],IFERROR(MATCH(A333&amp;"",tbl_Production[Job Number],0),MATCH(IFERROR(A333+0,A333),tbl_Production[Job Number],0)))="","",INDEX(tbl_Production[Job Description],IFERROR(MATCH(A333&amp;"",tbl_Production[Job Number],0),MATCH(IFERROR(A333+0,A333),tbl_Production[Job Number],0)))),IFERROR(IF(INDEX(tbl_Consulting[Job Description],IFERROR(MATCH(A333&amp;"",tbl_Consulting[Job Number],0),MATCH(IFERROR(A333+0,A333),tbl_Consulting[Job Number],0)))="","",INDEX(tbl_Consulting[Job Description],IFERROR(MATCH(A333&amp;"",tbl_Consulting[Job Number],0),MATCH(IFERROR(A333+0,A333),tbl_Consulting[Job Number],0)))),""))))</f>
        <v/>
      </c>
      <c r="L333" s="26">
        <f>IF(A333="","",IFERROR(IF(INDEX(tbl_Onsite[Invoice Type],IFERROR(MATCH(A333&amp;"",tbl_Onsite[Job Number],0),MATCH(IFERROR(A333+0,A333),tbl_Onsite[Job Number],0)))="","",INDEX(tbl_Onsite[Invoice Type],IFERROR(MATCH(A333&amp;"",tbl_Onsite[Job Number],0),MATCH(IFERROR(A333+0,A333),tbl_Onsite[Job Number],0)))),IFERROR(IF(INDEX(tbl_Production[Invoice Type],IFERROR(MATCH(A333&amp;"",tbl_Production[Job Number],0),MATCH(IFERROR(A333+0,A333),tbl_Production[Job Number],0)))="","",INDEX(tbl_Production[Invoice Type],IFERROR(MATCH(A333&amp;"",tbl_Production[Job Number],0),MATCH(IFERROR(A333+0,A333),tbl_Production[Job Number],0)))),IFERROR(IF(INDEX(tbl_Consulting[Invoice Type],IFERROR(MATCH(A333&amp;"",tbl_Consulting[Job Number],0),MATCH(IFERROR(A333+0,A333),tbl_Consulting[Job Number],0)))="","",INDEX(tbl_Consulting[Invoice Type],IFERROR(MATCH(A333&amp;"",tbl_Consulting[Job Number],0),MATCH(IFERROR(A333+0,A333),tbl_Consulting[Job Number],0)))),""))))</f>
        <v/>
      </c>
      <c r="M333" s="26">
        <f>IF(A333="","",IF(IFERROR(IF(INDEX(tbl_Onsite[Tax Code],IFERROR(MATCH(A333&amp;"",tbl_Onsite[Job Number],0),MATCH(IFERROR(A333+0,A333),tbl_Onsite[Job Number],0)))="","",INDEX(tbl_Onsite[Tax Code],IFERROR(MATCH(A333&amp;"",tbl_Onsite[Job Number],0),MATCH(IFERROR(A333+0,A333),tbl_Onsite[Job Number],0)))),IFERROR(IF(INDEX(tbl_Production[Tax Code],IFERROR(MATCH(A333&amp;"",tbl_Production[Job Number],0),MATCH(IFERROR(A333+0,A333),tbl_Production[Job Number],0)))="","",INDEX(tbl_Production[Tax Code],IFERROR(MATCH(A333&amp;"",tbl_Production[Job Number],0),MATCH(IFERROR(A333+0,A333),tbl_Production[Job Number],0)))),IFERROR(IF(INDEX(tbl_Consulting[Tax Code],IFERROR(MATCH(A333&amp;"",tbl_Consulting[Job Number],0),MATCH(IFERROR(A333+0,A333),tbl_Consulting[Job Number],0)))="","",INDEX(tbl_Consulting[Tax Code],IFERROR(MATCH(A333&amp;"",tbl_Consulting[Job Number],0),MATCH(IFERROR(A333+0,A333),tbl_Consulting[Job Number],0)))),"")))="","GST 10%",IFERROR(IF(INDEX(tbl_Onsite[Tax Code],IFERROR(MATCH(A333&amp;"",tbl_Onsite[Job Number],0),MATCH(IFERROR(A333+0,A333),tbl_Onsite[Job Number],0)))="","",INDEX(tbl_Onsite[Tax Code],IFERROR(MATCH(A333&amp;"",tbl_Onsite[Job Number],0),MATCH(IFERROR(A333+0,A333),tbl_Onsite[Job Number],0)))),IFERROR(IF(INDEX(tbl_Production[Tax Code],IFERROR(MATCH(A333&amp;"",tbl_Production[Job Number],0),MATCH(IFERROR(A333+0,A333),tbl_Production[Job Number],0)))="","",INDEX(tbl_Production[Tax Code],IFERROR(MATCH(A333&amp;"",tbl_Production[Job Number],0),MATCH(IFERROR(A333+0,A333),tbl_Production[Job Number],0)))),IFERROR(IF(INDEX(tbl_Consulting[Tax Code],IFERROR(MATCH(A333&amp;"",tbl_Consulting[Job Number],0),MATCH(IFERROR(A333+0,A333),tbl_Consulting[Job Number],0)))="","",INDEX(tbl_Consulting[Tax Code],IFERROR(MATCH(A333&amp;"",tbl_Consulting[Job Number],0),MATCH(IFERROR(A333+0,A333),tbl_Consulting[Job Number],0)))),"")))))</f>
        <v/>
      </c>
      <c r="N333" s="26">
        <f>IF(D333="","",IFERROR(INDEX(lst_CCtoGL,MATCH(D333,lst_CCforGL,0)),""))</f>
        <v/>
      </c>
      <c r="O333" s="27">
        <f>IF(E333="","",IF(M333="GST 10%",ROUND(E333*set_GSTRate,2),0))</f>
        <v/>
      </c>
      <c r="P333" s="27">
        <f>IF(E333="","",E333+O333)</f>
        <v/>
      </c>
      <c r="Q333" s="27">
        <f>IF(A333="","",IFERROR(INDEX(tbl_Onsite[Expected Revenue Ex GST],IFERROR(MATCH(A333&amp;"",tbl_Onsite[Job Number],0),MATCH(IFERROR(A333+0,A333),tbl_Onsite[Job Number],0))),IFERROR(INDEX(tbl_Production[Expected Revenue Ex GST],IFERROR(MATCH(A333&amp;"",tbl_Production[Job Number],0),MATCH(IFERROR(A333+0,A333),tbl_Production[Job Number],0))),IFERROR(INDEX(tbl_Consulting[Expected Revenue Ex GST],IFERROR(MATCH(A333&amp;"",tbl_Consulting[Job Number],0),MATCH(IFERROR(A333+0,A333),tbl_Consulting[Job Number],0))),0))))</f>
        <v/>
      </c>
      <c r="R333" s="27">
        <f>IF(A333="","",SUMIFS(tbl_Finance[Ex GST],tbl_Finance[Job Number],A333&amp;""))</f>
        <v/>
      </c>
      <c r="S333" s="27">
        <f>IF(A333="","",Q333-R333)</f>
        <v/>
      </c>
      <c r="T333" s="26">
        <f>IF(A333="","",IF(Q333=0,"No dept value",IF(ROUND(S333,2)=0,"Agrees",IF(S333&gt;0,"Dept higher - to invoice","Xero higher - check dept"))))</f>
        <v/>
      </c>
      <c r="U333" s="22" t="n"/>
      <c r="V333" s="22" t="n"/>
      <c r="W333" s="23" t="n"/>
      <c r="X333" s="23" t="n"/>
      <c r="Y333" s="22" t="n"/>
      <c r="Z333" s="22" t="n"/>
      <c r="AA333" s="26">
        <f>IF(COUNTA(C333,A333,B333,E333)=0,"",IF(C333="","No date - sits outside every month",IF(A333="","No job number",IF(H333="CHECK","Job number is not in the Xero job list",IF(G333="not set up yet","No department has set this job up - nothing can pull through",IF(D333="","No cost centre",IF(AND(U333="Y",B333=""),"Marked posted to Xero but has no invoice number",IF(N333="","Cost centre has no revenue GL on the Lists sheet",IF(T333="Xero higher - check dept","Invoiced more than the department says the job is worth","")))))))))</f>
        <v/>
      </c>
      <c r="AB333" s="28">
        <f>IF(A333="","",COUNTIFS(tbl_Finance[Job Number],A333&amp;"",tbl_Finance[Ex GST],"&lt;&gt;"))</f>
        <v/>
      </c>
      <c r="AC333" s="27">
        <f>IF(A333="","",SUMIFS(tbl_Finance[Ex GST],tbl_Finance[Job Number],A333&amp;""))</f>
        <v/>
      </c>
      <c r="AD333" s="27">
        <f>IF(A333="","",SUMIFS(tbl_Finance[Ex GST],tbl_Finance[Job Number],A333&amp;"",tbl_Finance[Xero Invoice No],"&lt;&gt;"))</f>
        <v/>
      </c>
      <c r="AE333" s="27">
        <f>IF(A333="","",AC333-AD333)</f>
        <v/>
      </c>
      <c r="AF333" s="26">
        <f>IF(A333="","",IFERROR(IF(INDEX(tbl_Onsite[Qwilr Quote],IFERROR(MATCH(A333&amp;"",tbl_Onsite[Job Number],0),MATCH(IFERROR(A333+0,A333),tbl_Onsite[Job Number],0)))="","",INDEX(tbl_Onsite[Qwilr Quote],IFERROR(MATCH(A333&amp;"",tbl_Onsite[Job Number],0),MATCH(IFERROR(A333+0,A333),tbl_Onsite[Job Number],0)))),IFERROR(IF(IF(INDEX(tbl_Production[Current RMS No],IFERROR(MATCH(A333&amp;"",tbl_Production[Job Number],0),MATCH(IFERROR(A333+0,A333),tbl_Production[Job Number],0)))="",INDEX(tbl_Production[Qwilr Quote],IFERROR(MATCH(A333&amp;"",tbl_Production[Job Number],0),MATCH(IFERROR(A333+0,A333),tbl_Production[Job Number],0))),INDEX(tbl_Production[Current RMS No],IFERROR(MATCH(A333&amp;"",tbl_Production[Job Number],0),MATCH(IFERROR(A333+0,A333),tbl_Production[Job Number],0))))="","",IF(INDEX(tbl_Production[Current RMS No],IFERROR(MATCH(A333&amp;"",tbl_Production[Job Number],0),MATCH(IFERROR(A333+0,A333),tbl_Production[Job Number],0)))="",INDEX(tbl_Production[Qwilr Quote],IFERROR(MATCH(A333&amp;"",tbl_Production[Job Number],0),MATCH(IFERROR(A333+0,A333),tbl_Production[Job Number],0))),INDEX(tbl_Production[Current RMS No],IFERROR(MATCH(A333&amp;"",tbl_Production[Job Number],0),MATCH(IFERROR(A333+0,A333),tbl_Production[Job Number],0))))),IFERROR(IF(INDEX(tbl_Consulting[Qwilr Quote],IFERROR(MATCH(A333&amp;"",tbl_Consulting[Job Number],0),MATCH(IFERROR(A333+0,A333),tbl_Consulting[Job Number],0)))="","",INDEX(tbl_Consulting[Qwilr Quote],IFERROR(MATCH(A333&amp;"",tbl_Consulting[Job Number],0),MATCH(IFERROR(A333+0,A333),tbl_Consulting[Job Number],0)))),""))))</f>
        <v/>
      </c>
      <c r="AG333" s="26">
        <f>IF(AF333="","",IF(AND(LEFT(AF333,4)&lt;&gt;"http",IF(G333="Production",set_RMSBase,set_QwilrBase)=""),"",HYPERLINK(IF(LEFT(AF333,4)="http",AF333,IF(G333="Production",set_RMSBase,set_QwilrBase)&amp;AF333),"Open")))</f>
        <v/>
      </c>
      <c r="AH333" s="27">
        <f>IF(A333="","",IFERROR(INDEX(tbl_Production[Total Expense],IFERROR(MATCH(A333&amp;"",tbl_Production[Job Number],0),MATCH(IFERROR(A333+0,A333),tbl_Production[Job Number],0))),IFERROR(INDEX(tbl_Consulting[Total Expense],IFERROR(MATCH(A333&amp;"",tbl_Consulting[Job Number],0),MATCH(IFERROR(A333+0,A333),tbl_Consulting[Job Number],0))),0)))</f>
        <v/>
      </c>
      <c r="AI333" s="27">
        <f>IF(A333="","",AC333-N(AH333))</f>
        <v/>
      </c>
      <c r="AJ333" s="29">
        <f>IFERROR(AI333/AC333,"")</f>
        <v/>
      </c>
      <c r="AK333" s="26">
        <f>IF(A333="","",IFERROR(IF(INDEX(tbl_Onsite[Notes],IFERROR(MATCH(A333&amp;"",tbl_Onsite[Job Number],0),MATCH(IFERROR(A333+0,A333),tbl_Onsite[Job Number],0)))="","",INDEX(tbl_Onsite[Notes],IFERROR(MATCH(A333&amp;"",tbl_Onsite[Job Number],0),MATCH(IFERROR(A333+0,A333),tbl_Onsite[Job Number],0)))),IFERROR(IF(INDEX(tbl_Production[Notes],IFERROR(MATCH(A333&amp;"",tbl_Production[Job Number],0),MATCH(IFERROR(A333+0,A333),tbl_Production[Job Number],0)))="","",INDEX(tbl_Production[Notes],IFERROR(MATCH(A333&amp;"",tbl_Production[Job Number],0),MATCH(IFERROR(A333+0,A333),tbl_Production[Job Number],0)))),IFERROR(IF(INDEX(tbl_Consulting[Notes],IFERROR(MATCH(A333&amp;"",tbl_Consulting[Job Number],0),MATCH(IFERROR(A333+0,A333),tbl_Consulting[Job Number],0)))="","",INDEX(tbl_Consulting[Notes],IFERROR(MATCH(A333&amp;"",tbl_Consulting[Job Number],0),MATCH(IFERROR(A333+0,A333),tbl_Consulting[Job Number],0)))),""))))</f>
        <v/>
      </c>
    </row>
    <row r="334" ht="15" customHeight="1">
      <c r="A334" s="22" t="n"/>
      <c r="B334" s="22" t="n"/>
      <c r="C334" s="23" t="n"/>
      <c r="D334" s="22" t="n"/>
      <c r="E334" s="24" t="n"/>
      <c r="F334" s="25">
        <f>IF(C334="","",EOMONTH(C334,0))</f>
        <v/>
      </c>
      <c r="G334" s="26">
        <f>IF(A334="","",IF(COUNTIF(tbl_Onsite[Job Number],A334&amp;"")&gt;0,"Onsite",IF(COUNTIF(tbl_Production[Job Number],A334&amp;"")&gt;0,"Production",IF(COUNTIF(tbl_Consulting[Job Number],A334&amp;"")&gt;0,"Consulting","not set up yet"))))</f>
        <v/>
      </c>
      <c r="H334" s="26">
        <f>IF(A334="","",IF(COUNTIF(lst_Jobs,A334&amp;"")&gt;0,"OK","CHECK"))</f>
        <v/>
      </c>
      <c r="I334" s="26">
        <f>IF(A334="","",IFERROR(INDEX(lst_JobName,MATCH(A334&amp;"",lst_Jobs,0)),""))</f>
        <v/>
      </c>
      <c r="J334" s="26">
        <f>IF(A334="","",IFERROR(IF(INDEX(tbl_Onsite[Client],IFERROR(MATCH(A334&amp;"",tbl_Onsite[Job Number],0),MATCH(IFERROR(A334+0,A334),tbl_Onsite[Job Number],0)))="","",INDEX(tbl_Onsite[Client],IFERROR(MATCH(A334&amp;"",tbl_Onsite[Job Number],0),MATCH(IFERROR(A334+0,A334),tbl_Onsite[Job Number],0)))),IFERROR(IF(INDEX(tbl_Production[Client],IFERROR(MATCH(A334&amp;"",tbl_Production[Job Number],0),MATCH(IFERROR(A334+0,A334),tbl_Production[Job Number],0)))="","",INDEX(tbl_Production[Client],IFERROR(MATCH(A334&amp;"",tbl_Production[Job Number],0),MATCH(IFERROR(A334+0,A334),tbl_Production[Job Number],0)))),IFERROR(IF(INDEX(tbl_Consulting[Client],IFERROR(MATCH(A334&amp;"",tbl_Consulting[Job Number],0),MATCH(IFERROR(A334+0,A334),tbl_Consulting[Job Number],0)))="","",INDEX(tbl_Consulting[Client],IFERROR(MATCH(A334&amp;"",tbl_Consulting[Job Number],0),MATCH(IFERROR(A334+0,A334),tbl_Consulting[Job Number],0)))),""))))</f>
        <v/>
      </c>
      <c r="K334" s="26">
        <f>IF(A334="","",IFERROR(IF(INDEX(tbl_Onsite[Job Description],IFERROR(MATCH(A334&amp;"",tbl_Onsite[Job Number],0),MATCH(IFERROR(A334+0,A334),tbl_Onsite[Job Number],0)))="","",INDEX(tbl_Onsite[Job Description],IFERROR(MATCH(A334&amp;"",tbl_Onsite[Job Number],0),MATCH(IFERROR(A334+0,A334),tbl_Onsite[Job Number],0)))),IFERROR(IF(INDEX(tbl_Production[Job Description],IFERROR(MATCH(A334&amp;"",tbl_Production[Job Number],0),MATCH(IFERROR(A334+0,A334),tbl_Production[Job Number],0)))="","",INDEX(tbl_Production[Job Description],IFERROR(MATCH(A334&amp;"",tbl_Production[Job Number],0),MATCH(IFERROR(A334+0,A334),tbl_Production[Job Number],0)))),IFERROR(IF(INDEX(tbl_Consulting[Job Description],IFERROR(MATCH(A334&amp;"",tbl_Consulting[Job Number],0),MATCH(IFERROR(A334+0,A334),tbl_Consulting[Job Number],0)))="","",INDEX(tbl_Consulting[Job Description],IFERROR(MATCH(A334&amp;"",tbl_Consulting[Job Number],0),MATCH(IFERROR(A334+0,A334),tbl_Consulting[Job Number],0)))),""))))</f>
        <v/>
      </c>
      <c r="L334" s="26">
        <f>IF(A334="","",IFERROR(IF(INDEX(tbl_Onsite[Invoice Type],IFERROR(MATCH(A334&amp;"",tbl_Onsite[Job Number],0),MATCH(IFERROR(A334+0,A334),tbl_Onsite[Job Number],0)))="","",INDEX(tbl_Onsite[Invoice Type],IFERROR(MATCH(A334&amp;"",tbl_Onsite[Job Number],0),MATCH(IFERROR(A334+0,A334),tbl_Onsite[Job Number],0)))),IFERROR(IF(INDEX(tbl_Production[Invoice Type],IFERROR(MATCH(A334&amp;"",tbl_Production[Job Number],0),MATCH(IFERROR(A334+0,A334),tbl_Production[Job Number],0)))="","",INDEX(tbl_Production[Invoice Type],IFERROR(MATCH(A334&amp;"",tbl_Production[Job Number],0),MATCH(IFERROR(A334+0,A334),tbl_Production[Job Number],0)))),IFERROR(IF(INDEX(tbl_Consulting[Invoice Type],IFERROR(MATCH(A334&amp;"",tbl_Consulting[Job Number],0),MATCH(IFERROR(A334+0,A334),tbl_Consulting[Job Number],0)))="","",INDEX(tbl_Consulting[Invoice Type],IFERROR(MATCH(A334&amp;"",tbl_Consulting[Job Number],0),MATCH(IFERROR(A334+0,A334),tbl_Consulting[Job Number],0)))),""))))</f>
        <v/>
      </c>
      <c r="M334" s="26">
        <f>IF(A334="","",IF(IFERROR(IF(INDEX(tbl_Onsite[Tax Code],IFERROR(MATCH(A334&amp;"",tbl_Onsite[Job Number],0),MATCH(IFERROR(A334+0,A334),tbl_Onsite[Job Number],0)))="","",INDEX(tbl_Onsite[Tax Code],IFERROR(MATCH(A334&amp;"",tbl_Onsite[Job Number],0),MATCH(IFERROR(A334+0,A334),tbl_Onsite[Job Number],0)))),IFERROR(IF(INDEX(tbl_Production[Tax Code],IFERROR(MATCH(A334&amp;"",tbl_Production[Job Number],0),MATCH(IFERROR(A334+0,A334),tbl_Production[Job Number],0)))="","",INDEX(tbl_Production[Tax Code],IFERROR(MATCH(A334&amp;"",tbl_Production[Job Number],0),MATCH(IFERROR(A334+0,A334),tbl_Production[Job Number],0)))),IFERROR(IF(INDEX(tbl_Consulting[Tax Code],IFERROR(MATCH(A334&amp;"",tbl_Consulting[Job Number],0),MATCH(IFERROR(A334+0,A334),tbl_Consulting[Job Number],0)))="","",INDEX(tbl_Consulting[Tax Code],IFERROR(MATCH(A334&amp;"",tbl_Consulting[Job Number],0),MATCH(IFERROR(A334+0,A334),tbl_Consulting[Job Number],0)))),"")))="","GST 10%",IFERROR(IF(INDEX(tbl_Onsite[Tax Code],IFERROR(MATCH(A334&amp;"",tbl_Onsite[Job Number],0),MATCH(IFERROR(A334+0,A334),tbl_Onsite[Job Number],0)))="","",INDEX(tbl_Onsite[Tax Code],IFERROR(MATCH(A334&amp;"",tbl_Onsite[Job Number],0),MATCH(IFERROR(A334+0,A334),tbl_Onsite[Job Number],0)))),IFERROR(IF(INDEX(tbl_Production[Tax Code],IFERROR(MATCH(A334&amp;"",tbl_Production[Job Number],0),MATCH(IFERROR(A334+0,A334),tbl_Production[Job Number],0)))="","",INDEX(tbl_Production[Tax Code],IFERROR(MATCH(A334&amp;"",tbl_Production[Job Number],0),MATCH(IFERROR(A334+0,A334),tbl_Production[Job Number],0)))),IFERROR(IF(INDEX(tbl_Consulting[Tax Code],IFERROR(MATCH(A334&amp;"",tbl_Consulting[Job Number],0),MATCH(IFERROR(A334+0,A334),tbl_Consulting[Job Number],0)))="","",INDEX(tbl_Consulting[Tax Code],IFERROR(MATCH(A334&amp;"",tbl_Consulting[Job Number],0),MATCH(IFERROR(A334+0,A334),tbl_Consulting[Job Number],0)))),"")))))</f>
        <v/>
      </c>
      <c r="N334" s="26">
        <f>IF(D334="","",IFERROR(INDEX(lst_CCtoGL,MATCH(D334,lst_CCforGL,0)),""))</f>
        <v/>
      </c>
      <c r="O334" s="27">
        <f>IF(E334="","",IF(M334="GST 10%",ROUND(E334*set_GSTRate,2),0))</f>
        <v/>
      </c>
      <c r="P334" s="27">
        <f>IF(E334="","",E334+O334)</f>
        <v/>
      </c>
      <c r="Q334" s="27">
        <f>IF(A334="","",IFERROR(INDEX(tbl_Onsite[Expected Revenue Ex GST],IFERROR(MATCH(A334&amp;"",tbl_Onsite[Job Number],0),MATCH(IFERROR(A334+0,A334),tbl_Onsite[Job Number],0))),IFERROR(INDEX(tbl_Production[Expected Revenue Ex GST],IFERROR(MATCH(A334&amp;"",tbl_Production[Job Number],0),MATCH(IFERROR(A334+0,A334),tbl_Production[Job Number],0))),IFERROR(INDEX(tbl_Consulting[Expected Revenue Ex GST],IFERROR(MATCH(A334&amp;"",tbl_Consulting[Job Number],0),MATCH(IFERROR(A334+0,A334),tbl_Consulting[Job Number],0))),0))))</f>
        <v/>
      </c>
      <c r="R334" s="27">
        <f>IF(A334="","",SUMIFS(tbl_Finance[Ex GST],tbl_Finance[Job Number],A334&amp;""))</f>
        <v/>
      </c>
      <c r="S334" s="27">
        <f>IF(A334="","",Q334-R334)</f>
        <v/>
      </c>
      <c r="T334" s="26">
        <f>IF(A334="","",IF(Q334=0,"No dept value",IF(ROUND(S334,2)=0,"Agrees",IF(S334&gt;0,"Dept higher - to invoice","Xero higher - check dept"))))</f>
        <v/>
      </c>
      <c r="U334" s="22" t="n"/>
      <c r="V334" s="22" t="n"/>
      <c r="W334" s="23" t="n"/>
      <c r="X334" s="23" t="n"/>
      <c r="Y334" s="22" t="n"/>
      <c r="Z334" s="22" t="n"/>
      <c r="AA334" s="26">
        <f>IF(COUNTA(C334,A334,B334,E334)=0,"",IF(C334="","No date - sits outside every month",IF(A334="","No job number",IF(H334="CHECK","Job number is not in the Xero job list",IF(G334="not set up yet","No department has set this job up - nothing can pull through",IF(D334="","No cost centre",IF(AND(U334="Y",B334=""),"Marked posted to Xero but has no invoice number",IF(N334="","Cost centre has no revenue GL on the Lists sheet",IF(T334="Xero higher - check dept","Invoiced more than the department says the job is worth","")))))))))</f>
        <v/>
      </c>
      <c r="AB334" s="28">
        <f>IF(A334="","",COUNTIFS(tbl_Finance[Job Number],A334&amp;"",tbl_Finance[Ex GST],"&lt;&gt;"))</f>
        <v/>
      </c>
      <c r="AC334" s="27">
        <f>IF(A334="","",SUMIFS(tbl_Finance[Ex GST],tbl_Finance[Job Number],A334&amp;""))</f>
        <v/>
      </c>
      <c r="AD334" s="27">
        <f>IF(A334="","",SUMIFS(tbl_Finance[Ex GST],tbl_Finance[Job Number],A334&amp;"",tbl_Finance[Xero Invoice No],"&lt;&gt;"))</f>
        <v/>
      </c>
      <c r="AE334" s="27">
        <f>IF(A334="","",AC334-AD334)</f>
        <v/>
      </c>
      <c r="AF334" s="26">
        <f>IF(A334="","",IFERROR(IF(INDEX(tbl_Onsite[Qwilr Quote],IFERROR(MATCH(A334&amp;"",tbl_Onsite[Job Number],0),MATCH(IFERROR(A334+0,A334),tbl_Onsite[Job Number],0)))="","",INDEX(tbl_Onsite[Qwilr Quote],IFERROR(MATCH(A334&amp;"",tbl_Onsite[Job Number],0),MATCH(IFERROR(A334+0,A334),tbl_Onsite[Job Number],0)))),IFERROR(IF(IF(INDEX(tbl_Production[Current RMS No],IFERROR(MATCH(A334&amp;"",tbl_Production[Job Number],0),MATCH(IFERROR(A334+0,A334),tbl_Production[Job Number],0)))="",INDEX(tbl_Production[Qwilr Quote],IFERROR(MATCH(A334&amp;"",tbl_Production[Job Number],0),MATCH(IFERROR(A334+0,A334),tbl_Production[Job Number],0))),INDEX(tbl_Production[Current RMS No],IFERROR(MATCH(A334&amp;"",tbl_Production[Job Number],0),MATCH(IFERROR(A334+0,A334),tbl_Production[Job Number],0))))="","",IF(INDEX(tbl_Production[Current RMS No],IFERROR(MATCH(A334&amp;"",tbl_Production[Job Number],0),MATCH(IFERROR(A334+0,A334),tbl_Production[Job Number],0)))="",INDEX(tbl_Production[Qwilr Quote],IFERROR(MATCH(A334&amp;"",tbl_Production[Job Number],0),MATCH(IFERROR(A334+0,A334),tbl_Production[Job Number],0))),INDEX(tbl_Production[Current RMS No],IFERROR(MATCH(A334&amp;"",tbl_Production[Job Number],0),MATCH(IFERROR(A334+0,A334),tbl_Production[Job Number],0))))),IFERROR(IF(INDEX(tbl_Consulting[Qwilr Quote],IFERROR(MATCH(A334&amp;"",tbl_Consulting[Job Number],0),MATCH(IFERROR(A334+0,A334),tbl_Consulting[Job Number],0)))="","",INDEX(tbl_Consulting[Qwilr Quote],IFERROR(MATCH(A334&amp;"",tbl_Consulting[Job Number],0),MATCH(IFERROR(A334+0,A334),tbl_Consulting[Job Number],0)))),""))))</f>
        <v/>
      </c>
      <c r="AG334" s="26">
        <f>IF(AF334="","",IF(AND(LEFT(AF334,4)&lt;&gt;"http",IF(G334="Production",set_RMSBase,set_QwilrBase)=""),"",HYPERLINK(IF(LEFT(AF334,4)="http",AF334,IF(G334="Production",set_RMSBase,set_QwilrBase)&amp;AF334),"Open")))</f>
        <v/>
      </c>
      <c r="AH334" s="27">
        <f>IF(A334="","",IFERROR(INDEX(tbl_Production[Total Expense],IFERROR(MATCH(A334&amp;"",tbl_Production[Job Number],0),MATCH(IFERROR(A334+0,A334),tbl_Production[Job Number],0))),IFERROR(INDEX(tbl_Consulting[Total Expense],IFERROR(MATCH(A334&amp;"",tbl_Consulting[Job Number],0),MATCH(IFERROR(A334+0,A334),tbl_Consulting[Job Number],0))),0)))</f>
        <v/>
      </c>
      <c r="AI334" s="27">
        <f>IF(A334="","",AC334-N(AH334))</f>
        <v/>
      </c>
      <c r="AJ334" s="29">
        <f>IFERROR(AI334/AC334,"")</f>
        <v/>
      </c>
      <c r="AK334" s="26">
        <f>IF(A334="","",IFERROR(IF(INDEX(tbl_Onsite[Notes],IFERROR(MATCH(A334&amp;"",tbl_Onsite[Job Number],0),MATCH(IFERROR(A334+0,A334),tbl_Onsite[Job Number],0)))="","",INDEX(tbl_Onsite[Notes],IFERROR(MATCH(A334&amp;"",tbl_Onsite[Job Number],0),MATCH(IFERROR(A334+0,A334),tbl_Onsite[Job Number],0)))),IFERROR(IF(INDEX(tbl_Production[Notes],IFERROR(MATCH(A334&amp;"",tbl_Production[Job Number],0),MATCH(IFERROR(A334+0,A334),tbl_Production[Job Number],0)))="","",INDEX(tbl_Production[Notes],IFERROR(MATCH(A334&amp;"",tbl_Production[Job Number],0),MATCH(IFERROR(A334+0,A334),tbl_Production[Job Number],0)))),IFERROR(IF(INDEX(tbl_Consulting[Notes],IFERROR(MATCH(A334&amp;"",tbl_Consulting[Job Number],0),MATCH(IFERROR(A334+0,A334),tbl_Consulting[Job Number],0)))="","",INDEX(tbl_Consulting[Notes],IFERROR(MATCH(A334&amp;"",tbl_Consulting[Job Number],0),MATCH(IFERROR(A334+0,A334),tbl_Consulting[Job Number],0)))),""))))</f>
        <v/>
      </c>
    </row>
    <row r="335" ht="15" customHeight="1">
      <c r="A335" s="22" t="n"/>
      <c r="B335" s="22" t="n"/>
      <c r="C335" s="23" t="n"/>
      <c r="D335" s="22" t="n"/>
      <c r="E335" s="24" t="n"/>
      <c r="F335" s="25">
        <f>IF(C335="","",EOMONTH(C335,0))</f>
        <v/>
      </c>
      <c r="G335" s="26">
        <f>IF(A335="","",IF(COUNTIF(tbl_Onsite[Job Number],A335&amp;"")&gt;0,"Onsite",IF(COUNTIF(tbl_Production[Job Number],A335&amp;"")&gt;0,"Production",IF(COUNTIF(tbl_Consulting[Job Number],A335&amp;"")&gt;0,"Consulting","not set up yet"))))</f>
        <v/>
      </c>
      <c r="H335" s="26">
        <f>IF(A335="","",IF(COUNTIF(lst_Jobs,A335&amp;"")&gt;0,"OK","CHECK"))</f>
        <v/>
      </c>
      <c r="I335" s="26">
        <f>IF(A335="","",IFERROR(INDEX(lst_JobName,MATCH(A335&amp;"",lst_Jobs,0)),""))</f>
        <v/>
      </c>
      <c r="J335" s="26">
        <f>IF(A335="","",IFERROR(IF(INDEX(tbl_Onsite[Client],IFERROR(MATCH(A335&amp;"",tbl_Onsite[Job Number],0),MATCH(IFERROR(A335+0,A335),tbl_Onsite[Job Number],0)))="","",INDEX(tbl_Onsite[Client],IFERROR(MATCH(A335&amp;"",tbl_Onsite[Job Number],0),MATCH(IFERROR(A335+0,A335),tbl_Onsite[Job Number],0)))),IFERROR(IF(INDEX(tbl_Production[Client],IFERROR(MATCH(A335&amp;"",tbl_Production[Job Number],0),MATCH(IFERROR(A335+0,A335),tbl_Production[Job Number],0)))="","",INDEX(tbl_Production[Client],IFERROR(MATCH(A335&amp;"",tbl_Production[Job Number],0),MATCH(IFERROR(A335+0,A335),tbl_Production[Job Number],0)))),IFERROR(IF(INDEX(tbl_Consulting[Client],IFERROR(MATCH(A335&amp;"",tbl_Consulting[Job Number],0),MATCH(IFERROR(A335+0,A335),tbl_Consulting[Job Number],0)))="","",INDEX(tbl_Consulting[Client],IFERROR(MATCH(A335&amp;"",tbl_Consulting[Job Number],0),MATCH(IFERROR(A335+0,A335),tbl_Consulting[Job Number],0)))),""))))</f>
        <v/>
      </c>
      <c r="K335" s="26">
        <f>IF(A335="","",IFERROR(IF(INDEX(tbl_Onsite[Job Description],IFERROR(MATCH(A335&amp;"",tbl_Onsite[Job Number],0),MATCH(IFERROR(A335+0,A335),tbl_Onsite[Job Number],0)))="","",INDEX(tbl_Onsite[Job Description],IFERROR(MATCH(A335&amp;"",tbl_Onsite[Job Number],0),MATCH(IFERROR(A335+0,A335),tbl_Onsite[Job Number],0)))),IFERROR(IF(INDEX(tbl_Production[Job Description],IFERROR(MATCH(A335&amp;"",tbl_Production[Job Number],0),MATCH(IFERROR(A335+0,A335),tbl_Production[Job Number],0)))="","",INDEX(tbl_Production[Job Description],IFERROR(MATCH(A335&amp;"",tbl_Production[Job Number],0),MATCH(IFERROR(A335+0,A335),tbl_Production[Job Number],0)))),IFERROR(IF(INDEX(tbl_Consulting[Job Description],IFERROR(MATCH(A335&amp;"",tbl_Consulting[Job Number],0),MATCH(IFERROR(A335+0,A335),tbl_Consulting[Job Number],0)))="","",INDEX(tbl_Consulting[Job Description],IFERROR(MATCH(A335&amp;"",tbl_Consulting[Job Number],0),MATCH(IFERROR(A335+0,A335),tbl_Consulting[Job Number],0)))),""))))</f>
        <v/>
      </c>
      <c r="L335" s="26">
        <f>IF(A335="","",IFERROR(IF(INDEX(tbl_Onsite[Invoice Type],IFERROR(MATCH(A335&amp;"",tbl_Onsite[Job Number],0),MATCH(IFERROR(A335+0,A335),tbl_Onsite[Job Number],0)))="","",INDEX(tbl_Onsite[Invoice Type],IFERROR(MATCH(A335&amp;"",tbl_Onsite[Job Number],0),MATCH(IFERROR(A335+0,A335),tbl_Onsite[Job Number],0)))),IFERROR(IF(INDEX(tbl_Production[Invoice Type],IFERROR(MATCH(A335&amp;"",tbl_Production[Job Number],0),MATCH(IFERROR(A335+0,A335),tbl_Production[Job Number],0)))="","",INDEX(tbl_Production[Invoice Type],IFERROR(MATCH(A335&amp;"",tbl_Production[Job Number],0),MATCH(IFERROR(A335+0,A335),tbl_Production[Job Number],0)))),IFERROR(IF(INDEX(tbl_Consulting[Invoice Type],IFERROR(MATCH(A335&amp;"",tbl_Consulting[Job Number],0),MATCH(IFERROR(A335+0,A335),tbl_Consulting[Job Number],0)))="","",INDEX(tbl_Consulting[Invoice Type],IFERROR(MATCH(A335&amp;"",tbl_Consulting[Job Number],0),MATCH(IFERROR(A335+0,A335),tbl_Consulting[Job Number],0)))),""))))</f>
        <v/>
      </c>
      <c r="M335" s="26">
        <f>IF(A335="","",IF(IFERROR(IF(INDEX(tbl_Onsite[Tax Code],IFERROR(MATCH(A335&amp;"",tbl_Onsite[Job Number],0),MATCH(IFERROR(A335+0,A335),tbl_Onsite[Job Number],0)))="","",INDEX(tbl_Onsite[Tax Code],IFERROR(MATCH(A335&amp;"",tbl_Onsite[Job Number],0),MATCH(IFERROR(A335+0,A335),tbl_Onsite[Job Number],0)))),IFERROR(IF(INDEX(tbl_Production[Tax Code],IFERROR(MATCH(A335&amp;"",tbl_Production[Job Number],0),MATCH(IFERROR(A335+0,A335),tbl_Production[Job Number],0)))="","",INDEX(tbl_Production[Tax Code],IFERROR(MATCH(A335&amp;"",tbl_Production[Job Number],0),MATCH(IFERROR(A335+0,A335),tbl_Production[Job Number],0)))),IFERROR(IF(INDEX(tbl_Consulting[Tax Code],IFERROR(MATCH(A335&amp;"",tbl_Consulting[Job Number],0),MATCH(IFERROR(A335+0,A335),tbl_Consulting[Job Number],0)))="","",INDEX(tbl_Consulting[Tax Code],IFERROR(MATCH(A335&amp;"",tbl_Consulting[Job Number],0),MATCH(IFERROR(A335+0,A335),tbl_Consulting[Job Number],0)))),"")))="","GST 10%",IFERROR(IF(INDEX(tbl_Onsite[Tax Code],IFERROR(MATCH(A335&amp;"",tbl_Onsite[Job Number],0),MATCH(IFERROR(A335+0,A335),tbl_Onsite[Job Number],0)))="","",INDEX(tbl_Onsite[Tax Code],IFERROR(MATCH(A335&amp;"",tbl_Onsite[Job Number],0),MATCH(IFERROR(A335+0,A335),tbl_Onsite[Job Number],0)))),IFERROR(IF(INDEX(tbl_Production[Tax Code],IFERROR(MATCH(A335&amp;"",tbl_Production[Job Number],0),MATCH(IFERROR(A335+0,A335),tbl_Production[Job Number],0)))="","",INDEX(tbl_Production[Tax Code],IFERROR(MATCH(A335&amp;"",tbl_Production[Job Number],0),MATCH(IFERROR(A335+0,A335),tbl_Production[Job Number],0)))),IFERROR(IF(INDEX(tbl_Consulting[Tax Code],IFERROR(MATCH(A335&amp;"",tbl_Consulting[Job Number],0),MATCH(IFERROR(A335+0,A335),tbl_Consulting[Job Number],0)))="","",INDEX(tbl_Consulting[Tax Code],IFERROR(MATCH(A335&amp;"",tbl_Consulting[Job Number],0),MATCH(IFERROR(A335+0,A335),tbl_Consulting[Job Number],0)))),"")))))</f>
        <v/>
      </c>
      <c r="N335" s="26">
        <f>IF(D335="","",IFERROR(INDEX(lst_CCtoGL,MATCH(D335,lst_CCforGL,0)),""))</f>
        <v/>
      </c>
      <c r="O335" s="27">
        <f>IF(E335="","",IF(M335="GST 10%",ROUND(E335*set_GSTRate,2),0))</f>
        <v/>
      </c>
      <c r="P335" s="27">
        <f>IF(E335="","",E335+O335)</f>
        <v/>
      </c>
      <c r="Q335" s="27">
        <f>IF(A335="","",IFERROR(INDEX(tbl_Onsite[Expected Revenue Ex GST],IFERROR(MATCH(A335&amp;"",tbl_Onsite[Job Number],0),MATCH(IFERROR(A335+0,A335),tbl_Onsite[Job Number],0))),IFERROR(INDEX(tbl_Production[Expected Revenue Ex GST],IFERROR(MATCH(A335&amp;"",tbl_Production[Job Number],0),MATCH(IFERROR(A335+0,A335),tbl_Production[Job Number],0))),IFERROR(INDEX(tbl_Consulting[Expected Revenue Ex GST],IFERROR(MATCH(A335&amp;"",tbl_Consulting[Job Number],0),MATCH(IFERROR(A335+0,A335),tbl_Consulting[Job Number],0))),0))))</f>
        <v/>
      </c>
      <c r="R335" s="27">
        <f>IF(A335="","",SUMIFS(tbl_Finance[Ex GST],tbl_Finance[Job Number],A335&amp;""))</f>
        <v/>
      </c>
      <c r="S335" s="27">
        <f>IF(A335="","",Q335-R335)</f>
        <v/>
      </c>
      <c r="T335" s="26">
        <f>IF(A335="","",IF(Q335=0,"No dept value",IF(ROUND(S335,2)=0,"Agrees",IF(S335&gt;0,"Dept higher - to invoice","Xero higher - check dept"))))</f>
        <v/>
      </c>
      <c r="U335" s="22" t="n"/>
      <c r="V335" s="22" t="n"/>
      <c r="W335" s="23" t="n"/>
      <c r="X335" s="23" t="n"/>
      <c r="Y335" s="22" t="n"/>
      <c r="Z335" s="22" t="n"/>
      <c r="AA335" s="26">
        <f>IF(COUNTA(C335,A335,B335,E335)=0,"",IF(C335="","No date - sits outside every month",IF(A335="","No job number",IF(H335="CHECK","Job number is not in the Xero job list",IF(G335="not set up yet","No department has set this job up - nothing can pull through",IF(D335="","No cost centre",IF(AND(U335="Y",B335=""),"Marked posted to Xero but has no invoice number",IF(N335="","Cost centre has no revenue GL on the Lists sheet",IF(T335="Xero higher - check dept","Invoiced more than the department says the job is worth","")))))))))</f>
        <v/>
      </c>
      <c r="AB335" s="28">
        <f>IF(A335="","",COUNTIFS(tbl_Finance[Job Number],A335&amp;"",tbl_Finance[Ex GST],"&lt;&gt;"))</f>
        <v/>
      </c>
      <c r="AC335" s="27">
        <f>IF(A335="","",SUMIFS(tbl_Finance[Ex GST],tbl_Finance[Job Number],A335&amp;""))</f>
        <v/>
      </c>
      <c r="AD335" s="27">
        <f>IF(A335="","",SUMIFS(tbl_Finance[Ex GST],tbl_Finance[Job Number],A335&amp;"",tbl_Finance[Xero Invoice No],"&lt;&gt;"))</f>
        <v/>
      </c>
      <c r="AE335" s="27">
        <f>IF(A335="","",AC335-AD335)</f>
        <v/>
      </c>
      <c r="AF335" s="26">
        <f>IF(A335="","",IFERROR(IF(INDEX(tbl_Onsite[Qwilr Quote],IFERROR(MATCH(A335&amp;"",tbl_Onsite[Job Number],0),MATCH(IFERROR(A335+0,A335),tbl_Onsite[Job Number],0)))="","",INDEX(tbl_Onsite[Qwilr Quote],IFERROR(MATCH(A335&amp;"",tbl_Onsite[Job Number],0),MATCH(IFERROR(A335+0,A335),tbl_Onsite[Job Number],0)))),IFERROR(IF(IF(INDEX(tbl_Production[Current RMS No],IFERROR(MATCH(A335&amp;"",tbl_Production[Job Number],0),MATCH(IFERROR(A335+0,A335),tbl_Production[Job Number],0)))="",INDEX(tbl_Production[Qwilr Quote],IFERROR(MATCH(A335&amp;"",tbl_Production[Job Number],0),MATCH(IFERROR(A335+0,A335),tbl_Production[Job Number],0))),INDEX(tbl_Production[Current RMS No],IFERROR(MATCH(A335&amp;"",tbl_Production[Job Number],0),MATCH(IFERROR(A335+0,A335),tbl_Production[Job Number],0))))="","",IF(INDEX(tbl_Production[Current RMS No],IFERROR(MATCH(A335&amp;"",tbl_Production[Job Number],0),MATCH(IFERROR(A335+0,A335),tbl_Production[Job Number],0)))="",INDEX(tbl_Production[Qwilr Quote],IFERROR(MATCH(A335&amp;"",tbl_Production[Job Number],0),MATCH(IFERROR(A335+0,A335),tbl_Production[Job Number],0))),INDEX(tbl_Production[Current RMS No],IFERROR(MATCH(A335&amp;"",tbl_Production[Job Number],0),MATCH(IFERROR(A335+0,A335),tbl_Production[Job Number],0))))),IFERROR(IF(INDEX(tbl_Consulting[Qwilr Quote],IFERROR(MATCH(A335&amp;"",tbl_Consulting[Job Number],0),MATCH(IFERROR(A335+0,A335),tbl_Consulting[Job Number],0)))="","",INDEX(tbl_Consulting[Qwilr Quote],IFERROR(MATCH(A335&amp;"",tbl_Consulting[Job Number],0),MATCH(IFERROR(A335+0,A335),tbl_Consulting[Job Number],0)))),""))))</f>
        <v/>
      </c>
      <c r="AG335" s="26">
        <f>IF(AF335="","",IF(AND(LEFT(AF335,4)&lt;&gt;"http",IF(G335="Production",set_RMSBase,set_QwilrBase)=""),"",HYPERLINK(IF(LEFT(AF335,4)="http",AF335,IF(G335="Production",set_RMSBase,set_QwilrBase)&amp;AF335),"Open")))</f>
        <v/>
      </c>
      <c r="AH335" s="27">
        <f>IF(A335="","",IFERROR(INDEX(tbl_Production[Total Expense],IFERROR(MATCH(A335&amp;"",tbl_Production[Job Number],0),MATCH(IFERROR(A335+0,A335),tbl_Production[Job Number],0))),IFERROR(INDEX(tbl_Consulting[Total Expense],IFERROR(MATCH(A335&amp;"",tbl_Consulting[Job Number],0),MATCH(IFERROR(A335+0,A335),tbl_Consulting[Job Number],0))),0)))</f>
        <v/>
      </c>
      <c r="AI335" s="27">
        <f>IF(A335="","",AC335-N(AH335))</f>
        <v/>
      </c>
      <c r="AJ335" s="29">
        <f>IFERROR(AI335/AC335,"")</f>
        <v/>
      </c>
      <c r="AK335" s="26">
        <f>IF(A335="","",IFERROR(IF(INDEX(tbl_Onsite[Notes],IFERROR(MATCH(A335&amp;"",tbl_Onsite[Job Number],0),MATCH(IFERROR(A335+0,A335),tbl_Onsite[Job Number],0)))="","",INDEX(tbl_Onsite[Notes],IFERROR(MATCH(A335&amp;"",tbl_Onsite[Job Number],0),MATCH(IFERROR(A335+0,A335),tbl_Onsite[Job Number],0)))),IFERROR(IF(INDEX(tbl_Production[Notes],IFERROR(MATCH(A335&amp;"",tbl_Production[Job Number],0),MATCH(IFERROR(A335+0,A335),tbl_Production[Job Number],0)))="","",INDEX(tbl_Production[Notes],IFERROR(MATCH(A335&amp;"",tbl_Production[Job Number],0),MATCH(IFERROR(A335+0,A335),tbl_Production[Job Number],0)))),IFERROR(IF(INDEX(tbl_Consulting[Notes],IFERROR(MATCH(A335&amp;"",tbl_Consulting[Job Number],0),MATCH(IFERROR(A335+0,A335),tbl_Consulting[Job Number],0)))="","",INDEX(tbl_Consulting[Notes],IFERROR(MATCH(A335&amp;"",tbl_Consulting[Job Number],0),MATCH(IFERROR(A335+0,A335),tbl_Consulting[Job Number],0)))),""))))</f>
        <v/>
      </c>
    </row>
    <row r="336" ht="15" customHeight="1">
      <c r="A336" s="22" t="n"/>
      <c r="B336" s="22" t="n"/>
      <c r="C336" s="23" t="n"/>
      <c r="D336" s="22" t="n"/>
      <c r="E336" s="24" t="n"/>
      <c r="F336" s="25">
        <f>IF(C336="","",EOMONTH(C336,0))</f>
        <v/>
      </c>
      <c r="G336" s="26">
        <f>IF(A336="","",IF(COUNTIF(tbl_Onsite[Job Number],A336&amp;"")&gt;0,"Onsite",IF(COUNTIF(tbl_Production[Job Number],A336&amp;"")&gt;0,"Production",IF(COUNTIF(tbl_Consulting[Job Number],A336&amp;"")&gt;0,"Consulting","not set up yet"))))</f>
        <v/>
      </c>
      <c r="H336" s="26">
        <f>IF(A336="","",IF(COUNTIF(lst_Jobs,A336&amp;"")&gt;0,"OK","CHECK"))</f>
        <v/>
      </c>
      <c r="I336" s="26">
        <f>IF(A336="","",IFERROR(INDEX(lst_JobName,MATCH(A336&amp;"",lst_Jobs,0)),""))</f>
        <v/>
      </c>
      <c r="J336" s="26">
        <f>IF(A336="","",IFERROR(IF(INDEX(tbl_Onsite[Client],IFERROR(MATCH(A336&amp;"",tbl_Onsite[Job Number],0),MATCH(IFERROR(A336+0,A336),tbl_Onsite[Job Number],0)))="","",INDEX(tbl_Onsite[Client],IFERROR(MATCH(A336&amp;"",tbl_Onsite[Job Number],0),MATCH(IFERROR(A336+0,A336),tbl_Onsite[Job Number],0)))),IFERROR(IF(INDEX(tbl_Production[Client],IFERROR(MATCH(A336&amp;"",tbl_Production[Job Number],0),MATCH(IFERROR(A336+0,A336),tbl_Production[Job Number],0)))="","",INDEX(tbl_Production[Client],IFERROR(MATCH(A336&amp;"",tbl_Production[Job Number],0),MATCH(IFERROR(A336+0,A336),tbl_Production[Job Number],0)))),IFERROR(IF(INDEX(tbl_Consulting[Client],IFERROR(MATCH(A336&amp;"",tbl_Consulting[Job Number],0),MATCH(IFERROR(A336+0,A336),tbl_Consulting[Job Number],0)))="","",INDEX(tbl_Consulting[Client],IFERROR(MATCH(A336&amp;"",tbl_Consulting[Job Number],0),MATCH(IFERROR(A336+0,A336),tbl_Consulting[Job Number],0)))),""))))</f>
        <v/>
      </c>
      <c r="K336" s="26">
        <f>IF(A336="","",IFERROR(IF(INDEX(tbl_Onsite[Job Description],IFERROR(MATCH(A336&amp;"",tbl_Onsite[Job Number],0),MATCH(IFERROR(A336+0,A336),tbl_Onsite[Job Number],0)))="","",INDEX(tbl_Onsite[Job Description],IFERROR(MATCH(A336&amp;"",tbl_Onsite[Job Number],0),MATCH(IFERROR(A336+0,A336),tbl_Onsite[Job Number],0)))),IFERROR(IF(INDEX(tbl_Production[Job Description],IFERROR(MATCH(A336&amp;"",tbl_Production[Job Number],0),MATCH(IFERROR(A336+0,A336),tbl_Production[Job Number],0)))="","",INDEX(tbl_Production[Job Description],IFERROR(MATCH(A336&amp;"",tbl_Production[Job Number],0),MATCH(IFERROR(A336+0,A336),tbl_Production[Job Number],0)))),IFERROR(IF(INDEX(tbl_Consulting[Job Description],IFERROR(MATCH(A336&amp;"",tbl_Consulting[Job Number],0),MATCH(IFERROR(A336+0,A336),tbl_Consulting[Job Number],0)))="","",INDEX(tbl_Consulting[Job Description],IFERROR(MATCH(A336&amp;"",tbl_Consulting[Job Number],0),MATCH(IFERROR(A336+0,A336),tbl_Consulting[Job Number],0)))),""))))</f>
        <v/>
      </c>
      <c r="L336" s="26">
        <f>IF(A336="","",IFERROR(IF(INDEX(tbl_Onsite[Invoice Type],IFERROR(MATCH(A336&amp;"",tbl_Onsite[Job Number],0),MATCH(IFERROR(A336+0,A336),tbl_Onsite[Job Number],0)))="","",INDEX(tbl_Onsite[Invoice Type],IFERROR(MATCH(A336&amp;"",tbl_Onsite[Job Number],0),MATCH(IFERROR(A336+0,A336),tbl_Onsite[Job Number],0)))),IFERROR(IF(INDEX(tbl_Production[Invoice Type],IFERROR(MATCH(A336&amp;"",tbl_Production[Job Number],0),MATCH(IFERROR(A336+0,A336),tbl_Production[Job Number],0)))="","",INDEX(tbl_Production[Invoice Type],IFERROR(MATCH(A336&amp;"",tbl_Production[Job Number],0),MATCH(IFERROR(A336+0,A336),tbl_Production[Job Number],0)))),IFERROR(IF(INDEX(tbl_Consulting[Invoice Type],IFERROR(MATCH(A336&amp;"",tbl_Consulting[Job Number],0),MATCH(IFERROR(A336+0,A336),tbl_Consulting[Job Number],0)))="","",INDEX(tbl_Consulting[Invoice Type],IFERROR(MATCH(A336&amp;"",tbl_Consulting[Job Number],0),MATCH(IFERROR(A336+0,A336),tbl_Consulting[Job Number],0)))),""))))</f>
        <v/>
      </c>
      <c r="M336" s="26">
        <f>IF(A336="","",IF(IFERROR(IF(INDEX(tbl_Onsite[Tax Code],IFERROR(MATCH(A336&amp;"",tbl_Onsite[Job Number],0),MATCH(IFERROR(A336+0,A336),tbl_Onsite[Job Number],0)))="","",INDEX(tbl_Onsite[Tax Code],IFERROR(MATCH(A336&amp;"",tbl_Onsite[Job Number],0),MATCH(IFERROR(A336+0,A336),tbl_Onsite[Job Number],0)))),IFERROR(IF(INDEX(tbl_Production[Tax Code],IFERROR(MATCH(A336&amp;"",tbl_Production[Job Number],0),MATCH(IFERROR(A336+0,A336),tbl_Production[Job Number],0)))="","",INDEX(tbl_Production[Tax Code],IFERROR(MATCH(A336&amp;"",tbl_Production[Job Number],0),MATCH(IFERROR(A336+0,A336),tbl_Production[Job Number],0)))),IFERROR(IF(INDEX(tbl_Consulting[Tax Code],IFERROR(MATCH(A336&amp;"",tbl_Consulting[Job Number],0),MATCH(IFERROR(A336+0,A336),tbl_Consulting[Job Number],0)))="","",INDEX(tbl_Consulting[Tax Code],IFERROR(MATCH(A336&amp;"",tbl_Consulting[Job Number],0),MATCH(IFERROR(A336+0,A336),tbl_Consulting[Job Number],0)))),"")))="","GST 10%",IFERROR(IF(INDEX(tbl_Onsite[Tax Code],IFERROR(MATCH(A336&amp;"",tbl_Onsite[Job Number],0),MATCH(IFERROR(A336+0,A336),tbl_Onsite[Job Number],0)))="","",INDEX(tbl_Onsite[Tax Code],IFERROR(MATCH(A336&amp;"",tbl_Onsite[Job Number],0),MATCH(IFERROR(A336+0,A336),tbl_Onsite[Job Number],0)))),IFERROR(IF(INDEX(tbl_Production[Tax Code],IFERROR(MATCH(A336&amp;"",tbl_Production[Job Number],0),MATCH(IFERROR(A336+0,A336),tbl_Production[Job Number],0)))="","",INDEX(tbl_Production[Tax Code],IFERROR(MATCH(A336&amp;"",tbl_Production[Job Number],0),MATCH(IFERROR(A336+0,A336),tbl_Production[Job Number],0)))),IFERROR(IF(INDEX(tbl_Consulting[Tax Code],IFERROR(MATCH(A336&amp;"",tbl_Consulting[Job Number],0),MATCH(IFERROR(A336+0,A336),tbl_Consulting[Job Number],0)))="","",INDEX(tbl_Consulting[Tax Code],IFERROR(MATCH(A336&amp;"",tbl_Consulting[Job Number],0),MATCH(IFERROR(A336+0,A336),tbl_Consulting[Job Number],0)))),"")))))</f>
        <v/>
      </c>
      <c r="N336" s="26">
        <f>IF(D336="","",IFERROR(INDEX(lst_CCtoGL,MATCH(D336,lst_CCforGL,0)),""))</f>
        <v/>
      </c>
      <c r="O336" s="27">
        <f>IF(E336="","",IF(M336="GST 10%",ROUND(E336*set_GSTRate,2),0))</f>
        <v/>
      </c>
      <c r="P336" s="27">
        <f>IF(E336="","",E336+O336)</f>
        <v/>
      </c>
      <c r="Q336" s="27">
        <f>IF(A336="","",IFERROR(INDEX(tbl_Onsite[Expected Revenue Ex GST],IFERROR(MATCH(A336&amp;"",tbl_Onsite[Job Number],0),MATCH(IFERROR(A336+0,A336),tbl_Onsite[Job Number],0))),IFERROR(INDEX(tbl_Production[Expected Revenue Ex GST],IFERROR(MATCH(A336&amp;"",tbl_Production[Job Number],0),MATCH(IFERROR(A336+0,A336),tbl_Production[Job Number],0))),IFERROR(INDEX(tbl_Consulting[Expected Revenue Ex GST],IFERROR(MATCH(A336&amp;"",tbl_Consulting[Job Number],0),MATCH(IFERROR(A336+0,A336),tbl_Consulting[Job Number],0))),0))))</f>
        <v/>
      </c>
      <c r="R336" s="27">
        <f>IF(A336="","",SUMIFS(tbl_Finance[Ex GST],tbl_Finance[Job Number],A336&amp;""))</f>
        <v/>
      </c>
      <c r="S336" s="27">
        <f>IF(A336="","",Q336-R336)</f>
        <v/>
      </c>
      <c r="T336" s="26">
        <f>IF(A336="","",IF(Q336=0,"No dept value",IF(ROUND(S336,2)=0,"Agrees",IF(S336&gt;0,"Dept higher - to invoice","Xero higher - check dept"))))</f>
        <v/>
      </c>
      <c r="U336" s="22" t="n"/>
      <c r="V336" s="22" t="n"/>
      <c r="W336" s="23" t="n"/>
      <c r="X336" s="23" t="n"/>
      <c r="Y336" s="22" t="n"/>
      <c r="Z336" s="22" t="n"/>
      <c r="AA336" s="26">
        <f>IF(COUNTA(C336,A336,B336,E336)=0,"",IF(C336="","No date - sits outside every month",IF(A336="","No job number",IF(H336="CHECK","Job number is not in the Xero job list",IF(G336="not set up yet","No department has set this job up - nothing can pull through",IF(D336="","No cost centre",IF(AND(U336="Y",B336=""),"Marked posted to Xero but has no invoice number",IF(N336="","Cost centre has no revenue GL on the Lists sheet",IF(T336="Xero higher - check dept","Invoiced more than the department says the job is worth","")))))))))</f>
        <v/>
      </c>
      <c r="AB336" s="28">
        <f>IF(A336="","",COUNTIFS(tbl_Finance[Job Number],A336&amp;"",tbl_Finance[Ex GST],"&lt;&gt;"))</f>
        <v/>
      </c>
      <c r="AC336" s="27">
        <f>IF(A336="","",SUMIFS(tbl_Finance[Ex GST],tbl_Finance[Job Number],A336&amp;""))</f>
        <v/>
      </c>
      <c r="AD336" s="27">
        <f>IF(A336="","",SUMIFS(tbl_Finance[Ex GST],tbl_Finance[Job Number],A336&amp;"",tbl_Finance[Xero Invoice No],"&lt;&gt;"))</f>
        <v/>
      </c>
      <c r="AE336" s="27">
        <f>IF(A336="","",AC336-AD336)</f>
        <v/>
      </c>
      <c r="AF336" s="26">
        <f>IF(A336="","",IFERROR(IF(INDEX(tbl_Onsite[Qwilr Quote],IFERROR(MATCH(A336&amp;"",tbl_Onsite[Job Number],0),MATCH(IFERROR(A336+0,A336),tbl_Onsite[Job Number],0)))="","",INDEX(tbl_Onsite[Qwilr Quote],IFERROR(MATCH(A336&amp;"",tbl_Onsite[Job Number],0),MATCH(IFERROR(A336+0,A336),tbl_Onsite[Job Number],0)))),IFERROR(IF(IF(INDEX(tbl_Production[Current RMS No],IFERROR(MATCH(A336&amp;"",tbl_Production[Job Number],0),MATCH(IFERROR(A336+0,A336),tbl_Production[Job Number],0)))="",INDEX(tbl_Production[Qwilr Quote],IFERROR(MATCH(A336&amp;"",tbl_Production[Job Number],0),MATCH(IFERROR(A336+0,A336),tbl_Production[Job Number],0))),INDEX(tbl_Production[Current RMS No],IFERROR(MATCH(A336&amp;"",tbl_Production[Job Number],0),MATCH(IFERROR(A336+0,A336),tbl_Production[Job Number],0))))="","",IF(INDEX(tbl_Production[Current RMS No],IFERROR(MATCH(A336&amp;"",tbl_Production[Job Number],0),MATCH(IFERROR(A336+0,A336),tbl_Production[Job Number],0)))="",INDEX(tbl_Production[Qwilr Quote],IFERROR(MATCH(A336&amp;"",tbl_Production[Job Number],0),MATCH(IFERROR(A336+0,A336),tbl_Production[Job Number],0))),INDEX(tbl_Production[Current RMS No],IFERROR(MATCH(A336&amp;"",tbl_Production[Job Number],0),MATCH(IFERROR(A336+0,A336),tbl_Production[Job Number],0))))),IFERROR(IF(INDEX(tbl_Consulting[Qwilr Quote],IFERROR(MATCH(A336&amp;"",tbl_Consulting[Job Number],0),MATCH(IFERROR(A336+0,A336),tbl_Consulting[Job Number],0)))="","",INDEX(tbl_Consulting[Qwilr Quote],IFERROR(MATCH(A336&amp;"",tbl_Consulting[Job Number],0),MATCH(IFERROR(A336+0,A336),tbl_Consulting[Job Number],0)))),""))))</f>
        <v/>
      </c>
      <c r="AG336" s="26">
        <f>IF(AF336="","",IF(AND(LEFT(AF336,4)&lt;&gt;"http",IF(G336="Production",set_RMSBase,set_QwilrBase)=""),"",HYPERLINK(IF(LEFT(AF336,4)="http",AF336,IF(G336="Production",set_RMSBase,set_QwilrBase)&amp;AF336),"Open")))</f>
        <v/>
      </c>
      <c r="AH336" s="27">
        <f>IF(A336="","",IFERROR(INDEX(tbl_Production[Total Expense],IFERROR(MATCH(A336&amp;"",tbl_Production[Job Number],0),MATCH(IFERROR(A336+0,A336),tbl_Production[Job Number],0))),IFERROR(INDEX(tbl_Consulting[Total Expense],IFERROR(MATCH(A336&amp;"",tbl_Consulting[Job Number],0),MATCH(IFERROR(A336+0,A336),tbl_Consulting[Job Number],0))),0)))</f>
        <v/>
      </c>
      <c r="AI336" s="27">
        <f>IF(A336="","",AC336-N(AH336))</f>
        <v/>
      </c>
      <c r="AJ336" s="29">
        <f>IFERROR(AI336/AC336,"")</f>
        <v/>
      </c>
      <c r="AK336" s="26">
        <f>IF(A336="","",IFERROR(IF(INDEX(tbl_Onsite[Notes],IFERROR(MATCH(A336&amp;"",tbl_Onsite[Job Number],0),MATCH(IFERROR(A336+0,A336),tbl_Onsite[Job Number],0)))="","",INDEX(tbl_Onsite[Notes],IFERROR(MATCH(A336&amp;"",tbl_Onsite[Job Number],0),MATCH(IFERROR(A336+0,A336),tbl_Onsite[Job Number],0)))),IFERROR(IF(INDEX(tbl_Production[Notes],IFERROR(MATCH(A336&amp;"",tbl_Production[Job Number],0),MATCH(IFERROR(A336+0,A336),tbl_Production[Job Number],0)))="","",INDEX(tbl_Production[Notes],IFERROR(MATCH(A336&amp;"",tbl_Production[Job Number],0),MATCH(IFERROR(A336+0,A336),tbl_Production[Job Number],0)))),IFERROR(IF(INDEX(tbl_Consulting[Notes],IFERROR(MATCH(A336&amp;"",tbl_Consulting[Job Number],0),MATCH(IFERROR(A336+0,A336),tbl_Consulting[Job Number],0)))="","",INDEX(tbl_Consulting[Notes],IFERROR(MATCH(A336&amp;"",tbl_Consulting[Job Number],0),MATCH(IFERROR(A336+0,A336),tbl_Consulting[Job Number],0)))),""))))</f>
        <v/>
      </c>
    </row>
    <row r="337" ht="15" customHeight="1">
      <c r="A337" s="22" t="n"/>
      <c r="B337" s="22" t="n"/>
      <c r="C337" s="23" t="n"/>
      <c r="D337" s="22" t="n"/>
      <c r="E337" s="24" t="n"/>
      <c r="F337" s="25">
        <f>IF(C337="","",EOMONTH(C337,0))</f>
        <v/>
      </c>
      <c r="G337" s="26">
        <f>IF(A337="","",IF(COUNTIF(tbl_Onsite[Job Number],A337&amp;"")&gt;0,"Onsite",IF(COUNTIF(tbl_Production[Job Number],A337&amp;"")&gt;0,"Production",IF(COUNTIF(tbl_Consulting[Job Number],A337&amp;"")&gt;0,"Consulting","not set up yet"))))</f>
        <v/>
      </c>
      <c r="H337" s="26">
        <f>IF(A337="","",IF(COUNTIF(lst_Jobs,A337&amp;"")&gt;0,"OK","CHECK"))</f>
        <v/>
      </c>
      <c r="I337" s="26">
        <f>IF(A337="","",IFERROR(INDEX(lst_JobName,MATCH(A337&amp;"",lst_Jobs,0)),""))</f>
        <v/>
      </c>
      <c r="J337" s="26">
        <f>IF(A337="","",IFERROR(IF(INDEX(tbl_Onsite[Client],IFERROR(MATCH(A337&amp;"",tbl_Onsite[Job Number],0),MATCH(IFERROR(A337+0,A337),tbl_Onsite[Job Number],0)))="","",INDEX(tbl_Onsite[Client],IFERROR(MATCH(A337&amp;"",tbl_Onsite[Job Number],0),MATCH(IFERROR(A337+0,A337),tbl_Onsite[Job Number],0)))),IFERROR(IF(INDEX(tbl_Production[Client],IFERROR(MATCH(A337&amp;"",tbl_Production[Job Number],0),MATCH(IFERROR(A337+0,A337),tbl_Production[Job Number],0)))="","",INDEX(tbl_Production[Client],IFERROR(MATCH(A337&amp;"",tbl_Production[Job Number],0),MATCH(IFERROR(A337+0,A337),tbl_Production[Job Number],0)))),IFERROR(IF(INDEX(tbl_Consulting[Client],IFERROR(MATCH(A337&amp;"",tbl_Consulting[Job Number],0),MATCH(IFERROR(A337+0,A337),tbl_Consulting[Job Number],0)))="","",INDEX(tbl_Consulting[Client],IFERROR(MATCH(A337&amp;"",tbl_Consulting[Job Number],0),MATCH(IFERROR(A337+0,A337),tbl_Consulting[Job Number],0)))),""))))</f>
        <v/>
      </c>
      <c r="K337" s="26">
        <f>IF(A337="","",IFERROR(IF(INDEX(tbl_Onsite[Job Description],IFERROR(MATCH(A337&amp;"",tbl_Onsite[Job Number],0),MATCH(IFERROR(A337+0,A337),tbl_Onsite[Job Number],0)))="","",INDEX(tbl_Onsite[Job Description],IFERROR(MATCH(A337&amp;"",tbl_Onsite[Job Number],0),MATCH(IFERROR(A337+0,A337),tbl_Onsite[Job Number],0)))),IFERROR(IF(INDEX(tbl_Production[Job Description],IFERROR(MATCH(A337&amp;"",tbl_Production[Job Number],0),MATCH(IFERROR(A337+0,A337),tbl_Production[Job Number],0)))="","",INDEX(tbl_Production[Job Description],IFERROR(MATCH(A337&amp;"",tbl_Production[Job Number],0),MATCH(IFERROR(A337+0,A337),tbl_Production[Job Number],0)))),IFERROR(IF(INDEX(tbl_Consulting[Job Description],IFERROR(MATCH(A337&amp;"",tbl_Consulting[Job Number],0),MATCH(IFERROR(A337+0,A337),tbl_Consulting[Job Number],0)))="","",INDEX(tbl_Consulting[Job Description],IFERROR(MATCH(A337&amp;"",tbl_Consulting[Job Number],0),MATCH(IFERROR(A337+0,A337),tbl_Consulting[Job Number],0)))),""))))</f>
        <v/>
      </c>
      <c r="L337" s="26">
        <f>IF(A337="","",IFERROR(IF(INDEX(tbl_Onsite[Invoice Type],IFERROR(MATCH(A337&amp;"",tbl_Onsite[Job Number],0),MATCH(IFERROR(A337+0,A337),tbl_Onsite[Job Number],0)))="","",INDEX(tbl_Onsite[Invoice Type],IFERROR(MATCH(A337&amp;"",tbl_Onsite[Job Number],0),MATCH(IFERROR(A337+0,A337),tbl_Onsite[Job Number],0)))),IFERROR(IF(INDEX(tbl_Production[Invoice Type],IFERROR(MATCH(A337&amp;"",tbl_Production[Job Number],0),MATCH(IFERROR(A337+0,A337),tbl_Production[Job Number],0)))="","",INDEX(tbl_Production[Invoice Type],IFERROR(MATCH(A337&amp;"",tbl_Production[Job Number],0),MATCH(IFERROR(A337+0,A337),tbl_Production[Job Number],0)))),IFERROR(IF(INDEX(tbl_Consulting[Invoice Type],IFERROR(MATCH(A337&amp;"",tbl_Consulting[Job Number],0),MATCH(IFERROR(A337+0,A337),tbl_Consulting[Job Number],0)))="","",INDEX(tbl_Consulting[Invoice Type],IFERROR(MATCH(A337&amp;"",tbl_Consulting[Job Number],0),MATCH(IFERROR(A337+0,A337),tbl_Consulting[Job Number],0)))),""))))</f>
        <v/>
      </c>
      <c r="M337" s="26">
        <f>IF(A337="","",IF(IFERROR(IF(INDEX(tbl_Onsite[Tax Code],IFERROR(MATCH(A337&amp;"",tbl_Onsite[Job Number],0),MATCH(IFERROR(A337+0,A337),tbl_Onsite[Job Number],0)))="","",INDEX(tbl_Onsite[Tax Code],IFERROR(MATCH(A337&amp;"",tbl_Onsite[Job Number],0),MATCH(IFERROR(A337+0,A337),tbl_Onsite[Job Number],0)))),IFERROR(IF(INDEX(tbl_Production[Tax Code],IFERROR(MATCH(A337&amp;"",tbl_Production[Job Number],0),MATCH(IFERROR(A337+0,A337),tbl_Production[Job Number],0)))="","",INDEX(tbl_Production[Tax Code],IFERROR(MATCH(A337&amp;"",tbl_Production[Job Number],0),MATCH(IFERROR(A337+0,A337),tbl_Production[Job Number],0)))),IFERROR(IF(INDEX(tbl_Consulting[Tax Code],IFERROR(MATCH(A337&amp;"",tbl_Consulting[Job Number],0),MATCH(IFERROR(A337+0,A337),tbl_Consulting[Job Number],0)))="","",INDEX(tbl_Consulting[Tax Code],IFERROR(MATCH(A337&amp;"",tbl_Consulting[Job Number],0),MATCH(IFERROR(A337+0,A337),tbl_Consulting[Job Number],0)))),"")))="","GST 10%",IFERROR(IF(INDEX(tbl_Onsite[Tax Code],IFERROR(MATCH(A337&amp;"",tbl_Onsite[Job Number],0),MATCH(IFERROR(A337+0,A337),tbl_Onsite[Job Number],0)))="","",INDEX(tbl_Onsite[Tax Code],IFERROR(MATCH(A337&amp;"",tbl_Onsite[Job Number],0),MATCH(IFERROR(A337+0,A337),tbl_Onsite[Job Number],0)))),IFERROR(IF(INDEX(tbl_Production[Tax Code],IFERROR(MATCH(A337&amp;"",tbl_Production[Job Number],0),MATCH(IFERROR(A337+0,A337),tbl_Production[Job Number],0)))="","",INDEX(tbl_Production[Tax Code],IFERROR(MATCH(A337&amp;"",tbl_Production[Job Number],0),MATCH(IFERROR(A337+0,A337),tbl_Production[Job Number],0)))),IFERROR(IF(INDEX(tbl_Consulting[Tax Code],IFERROR(MATCH(A337&amp;"",tbl_Consulting[Job Number],0),MATCH(IFERROR(A337+0,A337),tbl_Consulting[Job Number],0)))="","",INDEX(tbl_Consulting[Tax Code],IFERROR(MATCH(A337&amp;"",tbl_Consulting[Job Number],0),MATCH(IFERROR(A337+0,A337),tbl_Consulting[Job Number],0)))),"")))))</f>
        <v/>
      </c>
      <c r="N337" s="26">
        <f>IF(D337="","",IFERROR(INDEX(lst_CCtoGL,MATCH(D337,lst_CCforGL,0)),""))</f>
        <v/>
      </c>
      <c r="O337" s="27">
        <f>IF(E337="","",IF(M337="GST 10%",ROUND(E337*set_GSTRate,2),0))</f>
        <v/>
      </c>
      <c r="P337" s="27">
        <f>IF(E337="","",E337+O337)</f>
        <v/>
      </c>
      <c r="Q337" s="27">
        <f>IF(A337="","",IFERROR(INDEX(tbl_Onsite[Expected Revenue Ex GST],IFERROR(MATCH(A337&amp;"",tbl_Onsite[Job Number],0),MATCH(IFERROR(A337+0,A337),tbl_Onsite[Job Number],0))),IFERROR(INDEX(tbl_Production[Expected Revenue Ex GST],IFERROR(MATCH(A337&amp;"",tbl_Production[Job Number],0),MATCH(IFERROR(A337+0,A337),tbl_Production[Job Number],0))),IFERROR(INDEX(tbl_Consulting[Expected Revenue Ex GST],IFERROR(MATCH(A337&amp;"",tbl_Consulting[Job Number],0),MATCH(IFERROR(A337+0,A337),tbl_Consulting[Job Number],0))),0))))</f>
        <v/>
      </c>
      <c r="R337" s="27">
        <f>IF(A337="","",SUMIFS(tbl_Finance[Ex GST],tbl_Finance[Job Number],A337&amp;""))</f>
        <v/>
      </c>
      <c r="S337" s="27">
        <f>IF(A337="","",Q337-R337)</f>
        <v/>
      </c>
      <c r="T337" s="26">
        <f>IF(A337="","",IF(Q337=0,"No dept value",IF(ROUND(S337,2)=0,"Agrees",IF(S337&gt;0,"Dept higher - to invoice","Xero higher - check dept"))))</f>
        <v/>
      </c>
      <c r="U337" s="22" t="n"/>
      <c r="V337" s="22" t="n"/>
      <c r="W337" s="23" t="n"/>
      <c r="X337" s="23" t="n"/>
      <c r="Y337" s="22" t="n"/>
      <c r="Z337" s="22" t="n"/>
      <c r="AA337" s="26">
        <f>IF(COUNTA(C337,A337,B337,E337)=0,"",IF(C337="","No date - sits outside every month",IF(A337="","No job number",IF(H337="CHECK","Job number is not in the Xero job list",IF(G337="not set up yet","No department has set this job up - nothing can pull through",IF(D337="","No cost centre",IF(AND(U337="Y",B337=""),"Marked posted to Xero but has no invoice number",IF(N337="","Cost centre has no revenue GL on the Lists sheet",IF(T337="Xero higher - check dept","Invoiced more than the department says the job is worth","")))))))))</f>
        <v/>
      </c>
      <c r="AB337" s="28">
        <f>IF(A337="","",COUNTIFS(tbl_Finance[Job Number],A337&amp;"",tbl_Finance[Ex GST],"&lt;&gt;"))</f>
        <v/>
      </c>
      <c r="AC337" s="27">
        <f>IF(A337="","",SUMIFS(tbl_Finance[Ex GST],tbl_Finance[Job Number],A337&amp;""))</f>
        <v/>
      </c>
      <c r="AD337" s="27">
        <f>IF(A337="","",SUMIFS(tbl_Finance[Ex GST],tbl_Finance[Job Number],A337&amp;"",tbl_Finance[Xero Invoice No],"&lt;&gt;"))</f>
        <v/>
      </c>
      <c r="AE337" s="27">
        <f>IF(A337="","",AC337-AD337)</f>
        <v/>
      </c>
      <c r="AF337" s="26">
        <f>IF(A337="","",IFERROR(IF(INDEX(tbl_Onsite[Qwilr Quote],IFERROR(MATCH(A337&amp;"",tbl_Onsite[Job Number],0),MATCH(IFERROR(A337+0,A337),tbl_Onsite[Job Number],0)))="","",INDEX(tbl_Onsite[Qwilr Quote],IFERROR(MATCH(A337&amp;"",tbl_Onsite[Job Number],0),MATCH(IFERROR(A337+0,A337),tbl_Onsite[Job Number],0)))),IFERROR(IF(IF(INDEX(tbl_Production[Current RMS No],IFERROR(MATCH(A337&amp;"",tbl_Production[Job Number],0),MATCH(IFERROR(A337+0,A337),tbl_Production[Job Number],0)))="",INDEX(tbl_Production[Qwilr Quote],IFERROR(MATCH(A337&amp;"",tbl_Production[Job Number],0),MATCH(IFERROR(A337+0,A337),tbl_Production[Job Number],0))),INDEX(tbl_Production[Current RMS No],IFERROR(MATCH(A337&amp;"",tbl_Production[Job Number],0),MATCH(IFERROR(A337+0,A337),tbl_Production[Job Number],0))))="","",IF(INDEX(tbl_Production[Current RMS No],IFERROR(MATCH(A337&amp;"",tbl_Production[Job Number],0),MATCH(IFERROR(A337+0,A337),tbl_Production[Job Number],0)))="",INDEX(tbl_Production[Qwilr Quote],IFERROR(MATCH(A337&amp;"",tbl_Production[Job Number],0),MATCH(IFERROR(A337+0,A337),tbl_Production[Job Number],0))),INDEX(tbl_Production[Current RMS No],IFERROR(MATCH(A337&amp;"",tbl_Production[Job Number],0),MATCH(IFERROR(A337+0,A337),tbl_Production[Job Number],0))))),IFERROR(IF(INDEX(tbl_Consulting[Qwilr Quote],IFERROR(MATCH(A337&amp;"",tbl_Consulting[Job Number],0),MATCH(IFERROR(A337+0,A337),tbl_Consulting[Job Number],0)))="","",INDEX(tbl_Consulting[Qwilr Quote],IFERROR(MATCH(A337&amp;"",tbl_Consulting[Job Number],0),MATCH(IFERROR(A337+0,A337),tbl_Consulting[Job Number],0)))),""))))</f>
        <v/>
      </c>
      <c r="AG337" s="26">
        <f>IF(AF337="","",IF(AND(LEFT(AF337,4)&lt;&gt;"http",IF(G337="Production",set_RMSBase,set_QwilrBase)=""),"",HYPERLINK(IF(LEFT(AF337,4)="http",AF337,IF(G337="Production",set_RMSBase,set_QwilrBase)&amp;AF337),"Open")))</f>
        <v/>
      </c>
      <c r="AH337" s="27">
        <f>IF(A337="","",IFERROR(INDEX(tbl_Production[Total Expense],IFERROR(MATCH(A337&amp;"",tbl_Production[Job Number],0),MATCH(IFERROR(A337+0,A337),tbl_Production[Job Number],0))),IFERROR(INDEX(tbl_Consulting[Total Expense],IFERROR(MATCH(A337&amp;"",tbl_Consulting[Job Number],0),MATCH(IFERROR(A337+0,A337),tbl_Consulting[Job Number],0))),0)))</f>
        <v/>
      </c>
      <c r="AI337" s="27">
        <f>IF(A337="","",AC337-N(AH337))</f>
        <v/>
      </c>
      <c r="AJ337" s="29">
        <f>IFERROR(AI337/AC337,"")</f>
        <v/>
      </c>
      <c r="AK337" s="26">
        <f>IF(A337="","",IFERROR(IF(INDEX(tbl_Onsite[Notes],IFERROR(MATCH(A337&amp;"",tbl_Onsite[Job Number],0),MATCH(IFERROR(A337+0,A337),tbl_Onsite[Job Number],0)))="","",INDEX(tbl_Onsite[Notes],IFERROR(MATCH(A337&amp;"",tbl_Onsite[Job Number],0),MATCH(IFERROR(A337+0,A337),tbl_Onsite[Job Number],0)))),IFERROR(IF(INDEX(tbl_Production[Notes],IFERROR(MATCH(A337&amp;"",tbl_Production[Job Number],0),MATCH(IFERROR(A337+0,A337),tbl_Production[Job Number],0)))="","",INDEX(tbl_Production[Notes],IFERROR(MATCH(A337&amp;"",tbl_Production[Job Number],0),MATCH(IFERROR(A337+0,A337),tbl_Production[Job Number],0)))),IFERROR(IF(INDEX(tbl_Consulting[Notes],IFERROR(MATCH(A337&amp;"",tbl_Consulting[Job Number],0),MATCH(IFERROR(A337+0,A337),tbl_Consulting[Job Number],0)))="","",INDEX(tbl_Consulting[Notes],IFERROR(MATCH(A337&amp;"",tbl_Consulting[Job Number],0),MATCH(IFERROR(A337+0,A337),tbl_Consulting[Job Number],0)))),""))))</f>
        <v/>
      </c>
    </row>
    <row r="338" ht="15" customHeight="1">
      <c r="A338" s="22" t="n"/>
      <c r="B338" s="22" t="n"/>
      <c r="C338" s="23" t="n"/>
      <c r="D338" s="22" t="n"/>
      <c r="E338" s="24" t="n"/>
      <c r="F338" s="25">
        <f>IF(C338="","",EOMONTH(C338,0))</f>
        <v/>
      </c>
      <c r="G338" s="26">
        <f>IF(A338="","",IF(COUNTIF(tbl_Onsite[Job Number],A338&amp;"")&gt;0,"Onsite",IF(COUNTIF(tbl_Production[Job Number],A338&amp;"")&gt;0,"Production",IF(COUNTIF(tbl_Consulting[Job Number],A338&amp;"")&gt;0,"Consulting","not set up yet"))))</f>
        <v/>
      </c>
      <c r="H338" s="26">
        <f>IF(A338="","",IF(COUNTIF(lst_Jobs,A338&amp;"")&gt;0,"OK","CHECK"))</f>
        <v/>
      </c>
      <c r="I338" s="26">
        <f>IF(A338="","",IFERROR(INDEX(lst_JobName,MATCH(A338&amp;"",lst_Jobs,0)),""))</f>
        <v/>
      </c>
      <c r="J338" s="26">
        <f>IF(A338="","",IFERROR(IF(INDEX(tbl_Onsite[Client],IFERROR(MATCH(A338&amp;"",tbl_Onsite[Job Number],0),MATCH(IFERROR(A338+0,A338),tbl_Onsite[Job Number],0)))="","",INDEX(tbl_Onsite[Client],IFERROR(MATCH(A338&amp;"",tbl_Onsite[Job Number],0),MATCH(IFERROR(A338+0,A338),tbl_Onsite[Job Number],0)))),IFERROR(IF(INDEX(tbl_Production[Client],IFERROR(MATCH(A338&amp;"",tbl_Production[Job Number],0),MATCH(IFERROR(A338+0,A338),tbl_Production[Job Number],0)))="","",INDEX(tbl_Production[Client],IFERROR(MATCH(A338&amp;"",tbl_Production[Job Number],0),MATCH(IFERROR(A338+0,A338),tbl_Production[Job Number],0)))),IFERROR(IF(INDEX(tbl_Consulting[Client],IFERROR(MATCH(A338&amp;"",tbl_Consulting[Job Number],0),MATCH(IFERROR(A338+0,A338),tbl_Consulting[Job Number],0)))="","",INDEX(tbl_Consulting[Client],IFERROR(MATCH(A338&amp;"",tbl_Consulting[Job Number],0),MATCH(IFERROR(A338+0,A338),tbl_Consulting[Job Number],0)))),""))))</f>
        <v/>
      </c>
      <c r="K338" s="26">
        <f>IF(A338="","",IFERROR(IF(INDEX(tbl_Onsite[Job Description],IFERROR(MATCH(A338&amp;"",tbl_Onsite[Job Number],0),MATCH(IFERROR(A338+0,A338),tbl_Onsite[Job Number],0)))="","",INDEX(tbl_Onsite[Job Description],IFERROR(MATCH(A338&amp;"",tbl_Onsite[Job Number],0),MATCH(IFERROR(A338+0,A338),tbl_Onsite[Job Number],0)))),IFERROR(IF(INDEX(tbl_Production[Job Description],IFERROR(MATCH(A338&amp;"",tbl_Production[Job Number],0),MATCH(IFERROR(A338+0,A338),tbl_Production[Job Number],0)))="","",INDEX(tbl_Production[Job Description],IFERROR(MATCH(A338&amp;"",tbl_Production[Job Number],0),MATCH(IFERROR(A338+0,A338),tbl_Production[Job Number],0)))),IFERROR(IF(INDEX(tbl_Consulting[Job Description],IFERROR(MATCH(A338&amp;"",tbl_Consulting[Job Number],0),MATCH(IFERROR(A338+0,A338),tbl_Consulting[Job Number],0)))="","",INDEX(tbl_Consulting[Job Description],IFERROR(MATCH(A338&amp;"",tbl_Consulting[Job Number],0),MATCH(IFERROR(A338+0,A338),tbl_Consulting[Job Number],0)))),""))))</f>
        <v/>
      </c>
      <c r="L338" s="26">
        <f>IF(A338="","",IFERROR(IF(INDEX(tbl_Onsite[Invoice Type],IFERROR(MATCH(A338&amp;"",tbl_Onsite[Job Number],0),MATCH(IFERROR(A338+0,A338),tbl_Onsite[Job Number],0)))="","",INDEX(tbl_Onsite[Invoice Type],IFERROR(MATCH(A338&amp;"",tbl_Onsite[Job Number],0),MATCH(IFERROR(A338+0,A338),tbl_Onsite[Job Number],0)))),IFERROR(IF(INDEX(tbl_Production[Invoice Type],IFERROR(MATCH(A338&amp;"",tbl_Production[Job Number],0),MATCH(IFERROR(A338+0,A338),tbl_Production[Job Number],0)))="","",INDEX(tbl_Production[Invoice Type],IFERROR(MATCH(A338&amp;"",tbl_Production[Job Number],0),MATCH(IFERROR(A338+0,A338),tbl_Production[Job Number],0)))),IFERROR(IF(INDEX(tbl_Consulting[Invoice Type],IFERROR(MATCH(A338&amp;"",tbl_Consulting[Job Number],0),MATCH(IFERROR(A338+0,A338),tbl_Consulting[Job Number],0)))="","",INDEX(tbl_Consulting[Invoice Type],IFERROR(MATCH(A338&amp;"",tbl_Consulting[Job Number],0),MATCH(IFERROR(A338+0,A338),tbl_Consulting[Job Number],0)))),""))))</f>
        <v/>
      </c>
      <c r="M338" s="26">
        <f>IF(A338="","",IF(IFERROR(IF(INDEX(tbl_Onsite[Tax Code],IFERROR(MATCH(A338&amp;"",tbl_Onsite[Job Number],0),MATCH(IFERROR(A338+0,A338),tbl_Onsite[Job Number],0)))="","",INDEX(tbl_Onsite[Tax Code],IFERROR(MATCH(A338&amp;"",tbl_Onsite[Job Number],0),MATCH(IFERROR(A338+0,A338),tbl_Onsite[Job Number],0)))),IFERROR(IF(INDEX(tbl_Production[Tax Code],IFERROR(MATCH(A338&amp;"",tbl_Production[Job Number],0),MATCH(IFERROR(A338+0,A338),tbl_Production[Job Number],0)))="","",INDEX(tbl_Production[Tax Code],IFERROR(MATCH(A338&amp;"",tbl_Production[Job Number],0),MATCH(IFERROR(A338+0,A338),tbl_Production[Job Number],0)))),IFERROR(IF(INDEX(tbl_Consulting[Tax Code],IFERROR(MATCH(A338&amp;"",tbl_Consulting[Job Number],0),MATCH(IFERROR(A338+0,A338),tbl_Consulting[Job Number],0)))="","",INDEX(tbl_Consulting[Tax Code],IFERROR(MATCH(A338&amp;"",tbl_Consulting[Job Number],0),MATCH(IFERROR(A338+0,A338),tbl_Consulting[Job Number],0)))),"")))="","GST 10%",IFERROR(IF(INDEX(tbl_Onsite[Tax Code],IFERROR(MATCH(A338&amp;"",tbl_Onsite[Job Number],0),MATCH(IFERROR(A338+0,A338),tbl_Onsite[Job Number],0)))="","",INDEX(tbl_Onsite[Tax Code],IFERROR(MATCH(A338&amp;"",tbl_Onsite[Job Number],0),MATCH(IFERROR(A338+0,A338),tbl_Onsite[Job Number],0)))),IFERROR(IF(INDEX(tbl_Production[Tax Code],IFERROR(MATCH(A338&amp;"",tbl_Production[Job Number],0),MATCH(IFERROR(A338+0,A338),tbl_Production[Job Number],0)))="","",INDEX(tbl_Production[Tax Code],IFERROR(MATCH(A338&amp;"",tbl_Production[Job Number],0),MATCH(IFERROR(A338+0,A338),tbl_Production[Job Number],0)))),IFERROR(IF(INDEX(tbl_Consulting[Tax Code],IFERROR(MATCH(A338&amp;"",tbl_Consulting[Job Number],0),MATCH(IFERROR(A338+0,A338),tbl_Consulting[Job Number],0)))="","",INDEX(tbl_Consulting[Tax Code],IFERROR(MATCH(A338&amp;"",tbl_Consulting[Job Number],0),MATCH(IFERROR(A338+0,A338),tbl_Consulting[Job Number],0)))),"")))))</f>
        <v/>
      </c>
      <c r="N338" s="26">
        <f>IF(D338="","",IFERROR(INDEX(lst_CCtoGL,MATCH(D338,lst_CCforGL,0)),""))</f>
        <v/>
      </c>
      <c r="O338" s="27">
        <f>IF(E338="","",IF(M338="GST 10%",ROUND(E338*set_GSTRate,2),0))</f>
        <v/>
      </c>
      <c r="P338" s="27">
        <f>IF(E338="","",E338+O338)</f>
        <v/>
      </c>
      <c r="Q338" s="27">
        <f>IF(A338="","",IFERROR(INDEX(tbl_Onsite[Expected Revenue Ex GST],IFERROR(MATCH(A338&amp;"",tbl_Onsite[Job Number],0),MATCH(IFERROR(A338+0,A338),tbl_Onsite[Job Number],0))),IFERROR(INDEX(tbl_Production[Expected Revenue Ex GST],IFERROR(MATCH(A338&amp;"",tbl_Production[Job Number],0),MATCH(IFERROR(A338+0,A338),tbl_Production[Job Number],0))),IFERROR(INDEX(tbl_Consulting[Expected Revenue Ex GST],IFERROR(MATCH(A338&amp;"",tbl_Consulting[Job Number],0),MATCH(IFERROR(A338+0,A338),tbl_Consulting[Job Number],0))),0))))</f>
        <v/>
      </c>
      <c r="R338" s="27">
        <f>IF(A338="","",SUMIFS(tbl_Finance[Ex GST],tbl_Finance[Job Number],A338&amp;""))</f>
        <v/>
      </c>
      <c r="S338" s="27">
        <f>IF(A338="","",Q338-R338)</f>
        <v/>
      </c>
      <c r="T338" s="26">
        <f>IF(A338="","",IF(Q338=0,"No dept value",IF(ROUND(S338,2)=0,"Agrees",IF(S338&gt;0,"Dept higher - to invoice","Xero higher - check dept"))))</f>
        <v/>
      </c>
      <c r="U338" s="22" t="n"/>
      <c r="V338" s="22" t="n"/>
      <c r="W338" s="23" t="n"/>
      <c r="X338" s="23" t="n"/>
      <c r="Y338" s="22" t="n"/>
      <c r="Z338" s="22" t="n"/>
      <c r="AA338" s="26">
        <f>IF(COUNTA(C338,A338,B338,E338)=0,"",IF(C338="","No date - sits outside every month",IF(A338="","No job number",IF(H338="CHECK","Job number is not in the Xero job list",IF(G338="not set up yet","No department has set this job up - nothing can pull through",IF(D338="","No cost centre",IF(AND(U338="Y",B338=""),"Marked posted to Xero but has no invoice number",IF(N338="","Cost centre has no revenue GL on the Lists sheet",IF(T338="Xero higher - check dept","Invoiced more than the department says the job is worth","")))))))))</f>
        <v/>
      </c>
      <c r="AB338" s="28">
        <f>IF(A338="","",COUNTIFS(tbl_Finance[Job Number],A338&amp;"",tbl_Finance[Ex GST],"&lt;&gt;"))</f>
        <v/>
      </c>
      <c r="AC338" s="27">
        <f>IF(A338="","",SUMIFS(tbl_Finance[Ex GST],tbl_Finance[Job Number],A338&amp;""))</f>
        <v/>
      </c>
      <c r="AD338" s="27">
        <f>IF(A338="","",SUMIFS(tbl_Finance[Ex GST],tbl_Finance[Job Number],A338&amp;"",tbl_Finance[Xero Invoice No],"&lt;&gt;"))</f>
        <v/>
      </c>
      <c r="AE338" s="27">
        <f>IF(A338="","",AC338-AD338)</f>
        <v/>
      </c>
      <c r="AF338" s="26">
        <f>IF(A338="","",IFERROR(IF(INDEX(tbl_Onsite[Qwilr Quote],IFERROR(MATCH(A338&amp;"",tbl_Onsite[Job Number],0),MATCH(IFERROR(A338+0,A338),tbl_Onsite[Job Number],0)))="","",INDEX(tbl_Onsite[Qwilr Quote],IFERROR(MATCH(A338&amp;"",tbl_Onsite[Job Number],0),MATCH(IFERROR(A338+0,A338),tbl_Onsite[Job Number],0)))),IFERROR(IF(IF(INDEX(tbl_Production[Current RMS No],IFERROR(MATCH(A338&amp;"",tbl_Production[Job Number],0),MATCH(IFERROR(A338+0,A338),tbl_Production[Job Number],0)))="",INDEX(tbl_Production[Qwilr Quote],IFERROR(MATCH(A338&amp;"",tbl_Production[Job Number],0),MATCH(IFERROR(A338+0,A338),tbl_Production[Job Number],0))),INDEX(tbl_Production[Current RMS No],IFERROR(MATCH(A338&amp;"",tbl_Production[Job Number],0),MATCH(IFERROR(A338+0,A338),tbl_Production[Job Number],0))))="","",IF(INDEX(tbl_Production[Current RMS No],IFERROR(MATCH(A338&amp;"",tbl_Production[Job Number],0),MATCH(IFERROR(A338+0,A338),tbl_Production[Job Number],0)))="",INDEX(tbl_Production[Qwilr Quote],IFERROR(MATCH(A338&amp;"",tbl_Production[Job Number],0),MATCH(IFERROR(A338+0,A338),tbl_Production[Job Number],0))),INDEX(tbl_Production[Current RMS No],IFERROR(MATCH(A338&amp;"",tbl_Production[Job Number],0),MATCH(IFERROR(A338+0,A338),tbl_Production[Job Number],0))))),IFERROR(IF(INDEX(tbl_Consulting[Qwilr Quote],IFERROR(MATCH(A338&amp;"",tbl_Consulting[Job Number],0),MATCH(IFERROR(A338+0,A338),tbl_Consulting[Job Number],0)))="","",INDEX(tbl_Consulting[Qwilr Quote],IFERROR(MATCH(A338&amp;"",tbl_Consulting[Job Number],0),MATCH(IFERROR(A338+0,A338),tbl_Consulting[Job Number],0)))),""))))</f>
        <v/>
      </c>
      <c r="AG338" s="26">
        <f>IF(AF338="","",IF(AND(LEFT(AF338,4)&lt;&gt;"http",IF(G338="Production",set_RMSBase,set_QwilrBase)=""),"",HYPERLINK(IF(LEFT(AF338,4)="http",AF338,IF(G338="Production",set_RMSBase,set_QwilrBase)&amp;AF338),"Open")))</f>
        <v/>
      </c>
      <c r="AH338" s="27">
        <f>IF(A338="","",IFERROR(INDEX(tbl_Production[Total Expense],IFERROR(MATCH(A338&amp;"",tbl_Production[Job Number],0),MATCH(IFERROR(A338+0,A338),tbl_Production[Job Number],0))),IFERROR(INDEX(tbl_Consulting[Total Expense],IFERROR(MATCH(A338&amp;"",tbl_Consulting[Job Number],0),MATCH(IFERROR(A338+0,A338),tbl_Consulting[Job Number],0))),0)))</f>
        <v/>
      </c>
      <c r="AI338" s="27">
        <f>IF(A338="","",AC338-N(AH338))</f>
        <v/>
      </c>
      <c r="AJ338" s="29">
        <f>IFERROR(AI338/AC338,"")</f>
        <v/>
      </c>
      <c r="AK338" s="26">
        <f>IF(A338="","",IFERROR(IF(INDEX(tbl_Onsite[Notes],IFERROR(MATCH(A338&amp;"",tbl_Onsite[Job Number],0),MATCH(IFERROR(A338+0,A338),tbl_Onsite[Job Number],0)))="","",INDEX(tbl_Onsite[Notes],IFERROR(MATCH(A338&amp;"",tbl_Onsite[Job Number],0),MATCH(IFERROR(A338+0,A338),tbl_Onsite[Job Number],0)))),IFERROR(IF(INDEX(tbl_Production[Notes],IFERROR(MATCH(A338&amp;"",tbl_Production[Job Number],0),MATCH(IFERROR(A338+0,A338),tbl_Production[Job Number],0)))="","",INDEX(tbl_Production[Notes],IFERROR(MATCH(A338&amp;"",tbl_Production[Job Number],0),MATCH(IFERROR(A338+0,A338),tbl_Production[Job Number],0)))),IFERROR(IF(INDEX(tbl_Consulting[Notes],IFERROR(MATCH(A338&amp;"",tbl_Consulting[Job Number],0),MATCH(IFERROR(A338+0,A338),tbl_Consulting[Job Number],0)))="","",INDEX(tbl_Consulting[Notes],IFERROR(MATCH(A338&amp;"",tbl_Consulting[Job Number],0),MATCH(IFERROR(A338+0,A338),tbl_Consulting[Job Number],0)))),""))))</f>
        <v/>
      </c>
    </row>
    <row r="339" ht="15" customHeight="1">
      <c r="A339" s="22" t="n"/>
      <c r="B339" s="22" t="n"/>
      <c r="C339" s="23" t="n"/>
      <c r="D339" s="22" t="n"/>
      <c r="E339" s="24" t="n"/>
      <c r="F339" s="25">
        <f>IF(C339="","",EOMONTH(C339,0))</f>
        <v/>
      </c>
      <c r="G339" s="26">
        <f>IF(A339="","",IF(COUNTIF(tbl_Onsite[Job Number],A339&amp;"")&gt;0,"Onsite",IF(COUNTIF(tbl_Production[Job Number],A339&amp;"")&gt;0,"Production",IF(COUNTIF(tbl_Consulting[Job Number],A339&amp;"")&gt;0,"Consulting","not set up yet"))))</f>
        <v/>
      </c>
      <c r="H339" s="26">
        <f>IF(A339="","",IF(COUNTIF(lst_Jobs,A339&amp;"")&gt;0,"OK","CHECK"))</f>
        <v/>
      </c>
      <c r="I339" s="26">
        <f>IF(A339="","",IFERROR(INDEX(lst_JobName,MATCH(A339&amp;"",lst_Jobs,0)),""))</f>
        <v/>
      </c>
      <c r="J339" s="26">
        <f>IF(A339="","",IFERROR(IF(INDEX(tbl_Onsite[Client],IFERROR(MATCH(A339&amp;"",tbl_Onsite[Job Number],0),MATCH(IFERROR(A339+0,A339),tbl_Onsite[Job Number],0)))="","",INDEX(tbl_Onsite[Client],IFERROR(MATCH(A339&amp;"",tbl_Onsite[Job Number],0),MATCH(IFERROR(A339+0,A339),tbl_Onsite[Job Number],0)))),IFERROR(IF(INDEX(tbl_Production[Client],IFERROR(MATCH(A339&amp;"",tbl_Production[Job Number],0),MATCH(IFERROR(A339+0,A339),tbl_Production[Job Number],0)))="","",INDEX(tbl_Production[Client],IFERROR(MATCH(A339&amp;"",tbl_Production[Job Number],0),MATCH(IFERROR(A339+0,A339),tbl_Production[Job Number],0)))),IFERROR(IF(INDEX(tbl_Consulting[Client],IFERROR(MATCH(A339&amp;"",tbl_Consulting[Job Number],0),MATCH(IFERROR(A339+0,A339),tbl_Consulting[Job Number],0)))="","",INDEX(tbl_Consulting[Client],IFERROR(MATCH(A339&amp;"",tbl_Consulting[Job Number],0),MATCH(IFERROR(A339+0,A339),tbl_Consulting[Job Number],0)))),""))))</f>
        <v/>
      </c>
      <c r="K339" s="26">
        <f>IF(A339="","",IFERROR(IF(INDEX(tbl_Onsite[Job Description],IFERROR(MATCH(A339&amp;"",tbl_Onsite[Job Number],0),MATCH(IFERROR(A339+0,A339),tbl_Onsite[Job Number],0)))="","",INDEX(tbl_Onsite[Job Description],IFERROR(MATCH(A339&amp;"",tbl_Onsite[Job Number],0),MATCH(IFERROR(A339+0,A339),tbl_Onsite[Job Number],0)))),IFERROR(IF(INDEX(tbl_Production[Job Description],IFERROR(MATCH(A339&amp;"",tbl_Production[Job Number],0),MATCH(IFERROR(A339+0,A339),tbl_Production[Job Number],0)))="","",INDEX(tbl_Production[Job Description],IFERROR(MATCH(A339&amp;"",tbl_Production[Job Number],0),MATCH(IFERROR(A339+0,A339),tbl_Production[Job Number],0)))),IFERROR(IF(INDEX(tbl_Consulting[Job Description],IFERROR(MATCH(A339&amp;"",tbl_Consulting[Job Number],0),MATCH(IFERROR(A339+0,A339),tbl_Consulting[Job Number],0)))="","",INDEX(tbl_Consulting[Job Description],IFERROR(MATCH(A339&amp;"",tbl_Consulting[Job Number],0),MATCH(IFERROR(A339+0,A339),tbl_Consulting[Job Number],0)))),""))))</f>
        <v/>
      </c>
      <c r="L339" s="26">
        <f>IF(A339="","",IFERROR(IF(INDEX(tbl_Onsite[Invoice Type],IFERROR(MATCH(A339&amp;"",tbl_Onsite[Job Number],0),MATCH(IFERROR(A339+0,A339),tbl_Onsite[Job Number],0)))="","",INDEX(tbl_Onsite[Invoice Type],IFERROR(MATCH(A339&amp;"",tbl_Onsite[Job Number],0),MATCH(IFERROR(A339+0,A339),tbl_Onsite[Job Number],0)))),IFERROR(IF(INDEX(tbl_Production[Invoice Type],IFERROR(MATCH(A339&amp;"",tbl_Production[Job Number],0),MATCH(IFERROR(A339+0,A339),tbl_Production[Job Number],0)))="","",INDEX(tbl_Production[Invoice Type],IFERROR(MATCH(A339&amp;"",tbl_Production[Job Number],0),MATCH(IFERROR(A339+0,A339),tbl_Production[Job Number],0)))),IFERROR(IF(INDEX(tbl_Consulting[Invoice Type],IFERROR(MATCH(A339&amp;"",tbl_Consulting[Job Number],0),MATCH(IFERROR(A339+0,A339),tbl_Consulting[Job Number],0)))="","",INDEX(tbl_Consulting[Invoice Type],IFERROR(MATCH(A339&amp;"",tbl_Consulting[Job Number],0),MATCH(IFERROR(A339+0,A339),tbl_Consulting[Job Number],0)))),""))))</f>
        <v/>
      </c>
      <c r="M339" s="26">
        <f>IF(A339="","",IF(IFERROR(IF(INDEX(tbl_Onsite[Tax Code],IFERROR(MATCH(A339&amp;"",tbl_Onsite[Job Number],0),MATCH(IFERROR(A339+0,A339),tbl_Onsite[Job Number],0)))="","",INDEX(tbl_Onsite[Tax Code],IFERROR(MATCH(A339&amp;"",tbl_Onsite[Job Number],0),MATCH(IFERROR(A339+0,A339),tbl_Onsite[Job Number],0)))),IFERROR(IF(INDEX(tbl_Production[Tax Code],IFERROR(MATCH(A339&amp;"",tbl_Production[Job Number],0),MATCH(IFERROR(A339+0,A339),tbl_Production[Job Number],0)))="","",INDEX(tbl_Production[Tax Code],IFERROR(MATCH(A339&amp;"",tbl_Production[Job Number],0),MATCH(IFERROR(A339+0,A339),tbl_Production[Job Number],0)))),IFERROR(IF(INDEX(tbl_Consulting[Tax Code],IFERROR(MATCH(A339&amp;"",tbl_Consulting[Job Number],0),MATCH(IFERROR(A339+0,A339),tbl_Consulting[Job Number],0)))="","",INDEX(tbl_Consulting[Tax Code],IFERROR(MATCH(A339&amp;"",tbl_Consulting[Job Number],0),MATCH(IFERROR(A339+0,A339),tbl_Consulting[Job Number],0)))),"")))="","GST 10%",IFERROR(IF(INDEX(tbl_Onsite[Tax Code],IFERROR(MATCH(A339&amp;"",tbl_Onsite[Job Number],0),MATCH(IFERROR(A339+0,A339),tbl_Onsite[Job Number],0)))="","",INDEX(tbl_Onsite[Tax Code],IFERROR(MATCH(A339&amp;"",tbl_Onsite[Job Number],0),MATCH(IFERROR(A339+0,A339),tbl_Onsite[Job Number],0)))),IFERROR(IF(INDEX(tbl_Production[Tax Code],IFERROR(MATCH(A339&amp;"",tbl_Production[Job Number],0),MATCH(IFERROR(A339+0,A339),tbl_Production[Job Number],0)))="","",INDEX(tbl_Production[Tax Code],IFERROR(MATCH(A339&amp;"",tbl_Production[Job Number],0),MATCH(IFERROR(A339+0,A339),tbl_Production[Job Number],0)))),IFERROR(IF(INDEX(tbl_Consulting[Tax Code],IFERROR(MATCH(A339&amp;"",tbl_Consulting[Job Number],0),MATCH(IFERROR(A339+0,A339),tbl_Consulting[Job Number],0)))="","",INDEX(tbl_Consulting[Tax Code],IFERROR(MATCH(A339&amp;"",tbl_Consulting[Job Number],0),MATCH(IFERROR(A339+0,A339),tbl_Consulting[Job Number],0)))),"")))))</f>
        <v/>
      </c>
      <c r="N339" s="26">
        <f>IF(D339="","",IFERROR(INDEX(lst_CCtoGL,MATCH(D339,lst_CCforGL,0)),""))</f>
        <v/>
      </c>
      <c r="O339" s="27">
        <f>IF(E339="","",IF(M339="GST 10%",ROUND(E339*set_GSTRate,2),0))</f>
        <v/>
      </c>
      <c r="P339" s="27">
        <f>IF(E339="","",E339+O339)</f>
        <v/>
      </c>
      <c r="Q339" s="27">
        <f>IF(A339="","",IFERROR(INDEX(tbl_Onsite[Expected Revenue Ex GST],IFERROR(MATCH(A339&amp;"",tbl_Onsite[Job Number],0),MATCH(IFERROR(A339+0,A339),tbl_Onsite[Job Number],0))),IFERROR(INDEX(tbl_Production[Expected Revenue Ex GST],IFERROR(MATCH(A339&amp;"",tbl_Production[Job Number],0),MATCH(IFERROR(A339+0,A339),tbl_Production[Job Number],0))),IFERROR(INDEX(tbl_Consulting[Expected Revenue Ex GST],IFERROR(MATCH(A339&amp;"",tbl_Consulting[Job Number],0),MATCH(IFERROR(A339+0,A339),tbl_Consulting[Job Number],0))),0))))</f>
        <v/>
      </c>
      <c r="R339" s="27">
        <f>IF(A339="","",SUMIFS(tbl_Finance[Ex GST],tbl_Finance[Job Number],A339&amp;""))</f>
        <v/>
      </c>
      <c r="S339" s="27">
        <f>IF(A339="","",Q339-R339)</f>
        <v/>
      </c>
      <c r="T339" s="26">
        <f>IF(A339="","",IF(Q339=0,"No dept value",IF(ROUND(S339,2)=0,"Agrees",IF(S339&gt;0,"Dept higher - to invoice","Xero higher - check dept"))))</f>
        <v/>
      </c>
      <c r="U339" s="22" t="n"/>
      <c r="V339" s="22" t="n"/>
      <c r="W339" s="23" t="n"/>
      <c r="X339" s="23" t="n"/>
      <c r="Y339" s="22" t="n"/>
      <c r="Z339" s="22" t="n"/>
      <c r="AA339" s="26">
        <f>IF(COUNTA(C339,A339,B339,E339)=0,"",IF(C339="","No date - sits outside every month",IF(A339="","No job number",IF(H339="CHECK","Job number is not in the Xero job list",IF(G339="not set up yet","No department has set this job up - nothing can pull through",IF(D339="","No cost centre",IF(AND(U339="Y",B339=""),"Marked posted to Xero but has no invoice number",IF(N339="","Cost centre has no revenue GL on the Lists sheet",IF(T339="Xero higher - check dept","Invoiced more than the department says the job is worth","")))))))))</f>
        <v/>
      </c>
      <c r="AB339" s="28">
        <f>IF(A339="","",COUNTIFS(tbl_Finance[Job Number],A339&amp;"",tbl_Finance[Ex GST],"&lt;&gt;"))</f>
        <v/>
      </c>
      <c r="AC339" s="27">
        <f>IF(A339="","",SUMIFS(tbl_Finance[Ex GST],tbl_Finance[Job Number],A339&amp;""))</f>
        <v/>
      </c>
      <c r="AD339" s="27">
        <f>IF(A339="","",SUMIFS(tbl_Finance[Ex GST],tbl_Finance[Job Number],A339&amp;"",tbl_Finance[Xero Invoice No],"&lt;&gt;"))</f>
        <v/>
      </c>
      <c r="AE339" s="27">
        <f>IF(A339="","",AC339-AD339)</f>
        <v/>
      </c>
      <c r="AF339" s="26">
        <f>IF(A339="","",IFERROR(IF(INDEX(tbl_Onsite[Qwilr Quote],IFERROR(MATCH(A339&amp;"",tbl_Onsite[Job Number],0),MATCH(IFERROR(A339+0,A339),tbl_Onsite[Job Number],0)))="","",INDEX(tbl_Onsite[Qwilr Quote],IFERROR(MATCH(A339&amp;"",tbl_Onsite[Job Number],0),MATCH(IFERROR(A339+0,A339),tbl_Onsite[Job Number],0)))),IFERROR(IF(IF(INDEX(tbl_Production[Current RMS No],IFERROR(MATCH(A339&amp;"",tbl_Production[Job Number],0),MATCH(IFERROR(A339+0,A339),tbl_Production[Job Number],0)))="",INDEX(tbl_Production[Qwilr Quote],IFERROR(MATCH(A339&amp;"",tbl_Production[Job Number],0),MATCH(IFERROR(A339+0,A339),tbl_Production[Job Number],0))),INDEX(tbl_Production[Current RMS No],IFERROR(MATCH(A339&amp;"",tbl_Production[Job Number],0),MATCH(IFERROR(A339+0,A339),tbl_Production[Job Number],0))))="","",IF(INDEX(tbl_Production[Current RMS No],IFERROR(MATCH(A339&amp;"",tbl_Production[Job Number],0),MATCH(IFERROR(A339+0,A339),tbl_Production[Job Number],0)))="",INDEX(tbl_Production[Qwilr Quote],IFERROR(MATCH(A339&amp;"",tbl_Production[Job Number],0),MATCH(IFERROR(A339+0,A339),tbl_Production[Job Number],0))),INDEX(tbl_Production[Current RMS No],IFERROR(MATCH(A339&amp;"",tbl_Production[Job Number],0),MATCH(IFERROR(A339+0,A339),tbl_Production[Job Number],0))))),IFERROR(IF(INDEX(tbl_Consulting[Qwilr Quote],IFERROR(MATCH(A339&amp;"",tbl_Consulting[Job Number],0),MATCH(IFERROR(A339+0,A339),tbl_Consulting[Job Number],0)))="","",INDEX(tbl_Consulting[Qwilr Quote],IFERROR(MATCH(A339&amp;"",tbl_Consulting[Job Number],0),MATCH(IFERROR(A339+0,A339),tbl_Consulting[Job Number],0)))),""))))</f>
        <v/>
      </c>
      <c r="AG339" s="26">
        <f>IF(AF339="","",IF(AND(LEFT(AF339,4)&lt;&gt;"http",IF(G339="Production",set_RMSBase,set_QwilrBase)=""),"",HYPERLINK(IF(LEFT(AF339,4)="http",AF339,IF(G339="Production",set_RMSBase,set_QwilrBase)&amp;AF339),"Open")))</f>
        <v/>
      </c>
      <c r="AH339" s="27">
        <f>IF(A339="","",IFERROR(INDEX(tbl_Production[Total Expense],IFERROR(MATCH(A339&amp;"",tbl_Production[Job Number],0),MATCH(IFERROR(A339+0,A339),tbl_Production[Job Number],0))),IFERROR(INDEX(tbl_Consulting[Total Expense],IFERROR(MATCH(A339&amp;"",tbl_Consulting[Job Number],0),MATCH(IFERROR(A339+0,A339),tbl_Consulting[Job Number],0))),0)))</f>
        <v/>
      </c>
      <c r="AI339" s="27">
        <f>IF(A339="","",AC339-N(AH339))</f>
        <v/>
      </c>
      <c r="AJ339" s="29">
        <f>IFERROR(AI339/AC339,"")</f>
        <v/>
      </c>
      <c r="AK339" s="26">
        <f>IF(A339="","",IFERROR(IF(INDEX(tbl_Onsite[Notes],IFERROR(MATCH(A339&amp;"",tbl_Onsite[Job Number],0),MATCH(IFERROR(A339+0,A339),tbl_Onsite[Job Number],0)))="","",INDEX(tbl_Onsite[Notes],IFERROR(MATCH(A339&amp;"",tbl_Onsite[Job Number],0),MATCH(IFERROR(A339+0,A339),tbl_Onsite[Job Number],0)))),IFERROR(IF(INDEX(tbl_Production[Notes],IFERROR(MATCH(A339&amp;"",tbl_Production[Job Number],0),MATCH(IFERROR(A339+0,A339),tbl_Production[Job Number],0)))="","",INDEX(tbl_Production[Notes],IFERROR(MATCH(A339&amp;"",tbl_Production[Job Number],0),MATCH(IFERROR(A339+0,A339),tbl_Production[Job Number],0)))),IFERROR(IF(INDEX(tbl_Consulting[Notes],IFERROR(MATCH(A339&amp;"",tbl_Consulting[Job Number],0),MATCH(IFERROR(A339+0,A339),tbl_Consulting[Job Number],0)))="","",INDEX(tbl_Consulting[Notes],IFERROR(MATCH(A339&amp;"",tbl_Consulting[Job Number],0),MATCH(IFERROR(A339+0,A339),tbl_Consulting[Job Number],0)))),""))))</f>
        <v/>
      </c>
    </row>
    <row r="340" ht="15" customHeight="1">
      <c r="A340" s="22" t="n"/>
      <c r="B340" s="22" t="n"/>
      <c r="C340" s="23" t="n"/>
      <c r="D340" s="22" t="n"/>
      <c r="E340" s="24" t="n"/>
      <c r="F340" s="25">
        <f>IF(C340="","",EOMONTH(C340,0))</f>
        <v/>
      </c>
      <c r="G340" s="26">
        <f>IF(A340="","",IF(COUNTIF(tbl_Onsite[Job Number],A340&amp;"")&gt;0,"Onsite",IF(COUNTIF(tbl_Production[Job Number],A340&amp;"")&gt;0,"Production",IF(COUNTIF(tbl_Consulting[Job Number],A340&amp;"")&gt;0,"Consulting","not set up yet"))))</f>
        <v/>
      </c>
      <c r="H340" s="26">
        <f>IF(A340="","",IF(COUNTIF(lst_Jobs,A340&amp;"")&gt;0,"OK","CHECK"))</f>
        <v/>
      </c>
      <c r="I340" s="26">
        <f>IF(A340="","",IFERROR(INDEX(lst_JobName,MATCH(A340&amp;"",lst_Jobs,0)),""))</f>
        <v/>
      </c>
      <c r="J340" s="26">
        <f>IF(A340="","",IFERROR(IF(INDEX(tbl_Onsite[Client],IFERROR(MATCH(A340&amp;"",tbl_Onsite[Job Number],0),MATCH(IFERROR(A340+0,A340),tbl_Onsite[Job Number],0)))="","",INDEX(tbl_Onsite[Client],IFERROR(MATCH(A340&amp;"",tbl_Onsite[Job Number],0),MATCH(IFERROR(A340+0,A340),tbl_Onsite[Job Number],0)))),IFERROR(IF(INDEX(tbl_Production[Client],IFERROR(MATCH(A340&amp;"",tbl_Production[Job Number],0),MATCH(IFERROR(A340+0,A340),tbl_Production[Job Number],0)))="","",INDEX(tbl_Production[Client],IFERROR(MATCH(A340&amp;"",tbl_Production[Job Number],0),MATCH(IFERROR(A340+0,A340),tbl_Production[Job Number],0)))),IFERROR(IF(INDEX(tbl_Consulting[Client],IFERROR(MATCH(A340&amp;"",tbl_Consulting[Job Number],0),MATCH(IFERROR(A340+0,A340),tbl_Consulting[Job Number],0)))="","",INDEX(tbl_Consulting[Client],IFERROR(MATCH(A340&amp;"",tbl_Consulting[Job Number],0),MATCH(IFERROR(A340+0,A340),tbl_Consulting[Job Number],0)))),""))))</f>
        <v/>
      </c>
      <c r="K340" s="26">
        <f>IF(A340="","",IFERROR(IF(INDEX(tbl_Onsite[Job Description],IFERROR(MATCH(A340&amp;"",tbl_Onsite[Job Number],0),MATCH(IFERROR(A340+0,A340),tbl_Onsite[Job Number],0)))="","",INDEX(tbl_Onsite[Job Description],IFERROR(MATCH(A340&amp;"",tbl_Onsite[Job Number],0),MATCH(IFERROR(A340+0,A340),tbl_Onsite[Job Number],0)))),IFERROR(IF(INDEX(tbl_Production[Job Description],IFERROR(MATCH(A340&amp;"",tbl_Production[Job Number],0),MATCH(IFERROR(A340+0,A340),tbl_Production[Job Number],0)))="","",INDEX(tbl_Production[Job Description],IFERROR(MATCH(A340&amp;"",tbl_Production[Job Number],0),MATCH(IFERROR(A340+0,A340),tbl_Production[Job Number],0)))),IFERROR(IF(INDEX(tbl_Consulting[Job Description],IFERROR(MATCH(A340&amp;"",tbl_Consulting[Job Number],0),MATCH(IFERROR(A340+0,A340),tbl_Consulting[Job Number],0)))="","",INDEX(tbl_Consulting[Job Description],IFERROR(MATCH(A340&amp;"",tbl_Consulting[Job Number],0),MATCH(IFERROR(A340+0,A340),tbl_Consulting[Job Number],0)))),""))))</f>
        <v/>
      </c>
      <c r="L340" s="26">
        <f>IF(A340="","",IFERROR(IF(INDEX(tbl_Onsite[Invoice Type],IFERROR(MATCH(A340&amp;"",tbl_Onsite[Job Number],0),MATCH(IFERROR(A340+0,A340),tbl_Onsite[Job Number],0)))="","",INDEX(tbl_Onsite[Invoice Type],IFERROR(MATCH(A340&amp;"",tbl_Onsite[Job Number],0),MATCH(IFERROR(A340+0,A340),tbl_Onsite[Job Number],0)))),IFERROR(IF(INDEX(tbl_Production[Invoice Type],IFERROR(MATCH(A340&amp;"",tbl_Production[Job Number],0),MATCH(IFERROR(A340+0,A340),tbl_Production[Job Number],0)))="","",INDEX(tbl_Production[Invoice Type],IFERROR(MATCH(A340&amp;"",tbl_Production[Job Number],0),MATCH(IFERROR(A340+0,A340),tbl_Production[Job Number],0)))),IFERROR(IF(INDEX(tbl_Consulting[Invoice Type],IFERROR(MATCH(A340&amp;"",tbl_Consulting[Job Number],0),MATCH(IFERROR(A340+0,A340),tbl_Consulting[Job Number],0)))="","",INDEX(tbl_Consulting[Invoice Type],IFERROR(MATCH(A340&amp;"",tbl_Consulting[Job Number],0),MATCH(IFERROR(A340+0,A340),tbl_Consulting[Job Number],0)))),""))))</f>
        <v/>
      </c>
      <c r="M340" s="26">
        <f>IF(A340="","",IF(IFERROR(IF(INDEX(tbl_Onsite[Tax Code],IFERROR(MATCH(A340&amp;"",tbl_Onsite[Job Number],0),MATCH(IFERROR(A340+0,A340),tbl_Onsite[Job Number],0)))="","",INDEX(tbl_Onsite[Tax Code],IFERROR(MATCH(A340&amp;"",tbl_Onsite[Job Number],0),MATCH(IFERROR(A340+0,A340),tbl_Onsite[Job Number],0)))),IFERROR(IF(INDEX(tbl_Production[Tax Code],IFERROR(MATCH(A340&amp;"",tbl_Production[Job Number],0),MATCH(IFERROR(A340+0,A340),tbl_Production[Job Number],0)))="","",INDEX(tbl_Production[Tax Code],IFERROR(MATCH(A340&amp;"",tbl_Production[Job Number],0),MATCH(IFERROR(A340+0,A340),tbl_Production[Job Number],0)))),IFERROR(IF(INDEX(tbl_Consulting[Tax Code],IFERROR(MATCH(A340&amp;"",tbl_Consulting[Job Number],0),MATCH(IFERROR(A340+0,A340),tbl_Consulting[Job Number],0)))="","",INDEX(tbl_Consulting[Tax Code],IFERROR(MATCH(A340&amp;"",tbl_Consulting[Job Number],0),MATCH(IFERROR(A340+0,A340),tbl_Consulting[Job Number],0)))),"")))="","GST 10%",IFERROR(IF(INDEX(tbl_Onsite[Tax Code],IFERROR(MATCH(A340&amp;"",tbl_Onsite[Job Number],0),MATCH(IFERROR(A340+0,A340),tbl_Onsite[Job Number],0)))="","",INDEX(tbl_Onsite[Tax Code],IFERROR(MATCH(A340&amp;"",tbl_Onsite[Job Number],0),MATCH(IFERROR(A340+0,A340),tbl_Onsite[Job Number],0)))),IFERROR(IF(INDEX(tbl_Production[Tax Code],IFERROR(MATCH(A340&amp;"",tbl_Production[Job Number],0),MATCH(IFERROR(A340+0,A340),tbl_Production[Job Number],0)))="","",INDEX(tbl_Production[Tax Code],IFERROR(MATCH(A340&amp;"",tbl_Production[Job Number],0),MATCH(IFERROR(A340+0,A340),tbl_Production[Job Number],0)))),IFERROR(IF(INDEX(tbl_Consulting[Tax Code],IFERROR(MATCH(A340&amp;"",tbl_Consulting[Job Number],0),MATCH(IFERROR(A340+0,A340),tbl_Consulting[Job Number],0)))="","",INDEX(tbl_Consulting[Tax Code],IFERROR(MATCH(A340&amp;"",tbl_Consulting[Job Number],0),MATCH(IFERROR(A340+0,A340),tbl_Consulting[Job Number],0)))),"")))))</f>
        <v/>
      </c>
      <c r="N340" s="26">
        <f>IF(D340="","",IFERROR(INDEX(lst_CCtoGL,MATCH(D340,lst_CCforGL,0)),""))</f>
        <v/>
      </c>
      <c r="O340" s="27">
        <f>IF(E340="","",IF(M340="GST 10%",ROUND(E340*set_GSTRate,2),0))</f>
        <v/>
      </c>
      <c r="P340" s="27">
        <f>IF(E340="","",E340+O340)</f>
        <v/>
      </c>
      <c r="Q340" s="27">
        <f>IF(A340="","",IFERROR(INDEX(tbl_Onsite[Expected Revenue Ex GST],IFERROR(MATCH(A340&amp;"",tbl_Onsite[Job Number],0),MATCH(IFERROR(A340+0,A340),tbl_Onsite[Job Number],0))),IFERROR(INDEX(tbl_Production[Expected Revenue Ex GST],IFERROR(MATCH(A340&amp;"",tbl_Production[Job Number],0),MATCH(IFERROR(A340+0,A340),tbl_Production[Job Number],0))),IFERROR(INDEX(tbl_Consulting[Expected Revenue Ex GST],IFERROR(MATCH(A340&amp;"",tbl_Consulting[Job Number],0),MATCH(IFERROR(A340+0,A340),tbl_Consulting[Job Number],0))),0))))</f>
        <v/>
      </c>
      <c r="R340" s="27">
        <f>IF(A340="","",SUMIFS(tbl_Finance[Ex GST],tbl_Finance[Job Number],A340&amp;""))</f>
        <v/>
      </c>
      <c r="S340" s="27">
        <f>IF(A340="","",Q340-R340)</f>
        <v/>
      </c>
      <c r="T340" s="26">
        <f>IF(A340="","",IF(Q340=0,"No dept value",IF(ROUND(S340,2)=0,"Agrees",IF(S340&gt;0,"Dept higher - to invoice","Xero higher - check dept"))))</f>
        <v/>
      </c>
      <c r="U340" s="22" t="n"/>
      <c r="V340" s="22" t="n"/>
      <c r="W340" s="23" t="n"/>
      <c r="X340" s="23" t="n"/>
      <c r="Y340" s="22" t="n"/>
      <c r="Z340" s="22" t="n"/>
      <c r="AA340" s="26">
        <f>IF(COUNTA(C340,A340,B340,E340)=0,"",IF(C340="","No date - sits outside every month",IF(A340="","No job number",IF(H340="CHECK","Job number is not in the Xero job list",IF(G340="not set up yet","No department has set this job up - nothing can pull through",IF(D340="","No cost centre",IF(AND(U340="Y",B340=""),"Marked posted to Xero but has no invoice number",IF(N340="","Cost centre has no revenue GL on the Lists sheet",IF(T340="Xero higher - check dept","Invoiced more than the department says the job is worth","")))))))))</f>
        <v/>
      </c>
      <c r="AB340" s="28">
        <f>IF(A340="","",COUNTIFS(tbl_Finance[Job Number],A340&amp;"",tbl_Finance[Ex GST],"&lt;&gt;"))</f>
        <v/>
      </c>
      <c r="AC340" s="27">
        <f>IF(A340="","",SUMIFS(tbl_Finance[Ex GST],tbl_Finance[Job Number],A340&amp;""))</f>
        <v/>
      </c>
      <c r="AD340" s="27">
        <f>IF(A340="","",SUMIFS(tbl_Finance[Ex GST],tbl_Finance[Job Number],A340&amp;"",tbl_Finance[Xero Invoice No],"&lt;&gt;"))</f>
        <v/>
      </c>
      <c r="AE340" s="27">
        <f>IF(A340="","",AC340-AD340)</f>
        <v/>
      </c>
      <c r="AF340" s="26">
        <f>IF(A340="","",IFERROR(IF(INDEX(tbl_Onsite[Qwilr Quote],IFERROR(MATCH(A340&amp;"",tbl_Onsite[Job Number],0),MATCH(IFERROR(A340+0,A340),tbl_Onsite[Job Number],0)))="","",INDEX(tbl_Onsite[Qwilr Quote],IFERROR(MATCH(A340&amp;"",tbl_Onsite[Job Number],0),MATCH(IFERROR(A340+0,A340),tbl_Onsite[Job Number],0)))),IFERROR(IF(IF(INDEX(tbl_Production[Current RMS No],IFERROR(MATCH(A340&amp;"",tbl_Production[Job Number],0),MATCH(IFERROR(A340+0,A340),tbl_Production[Job Number],0)))="",INDEX(tbl_Production[Qwilr Quote],IFERROR(MATCH(A340&amp;"",tbl_Production[Job Number],0),MATCH(IFERROR(A340+0,A340),tbl_Production[Job Number],0))),INDEX(tbl_Production[Current RMS No],IFERROR(MATCH(A340&amp;"",tbl_Production[Job Number],0),MATCH(IFERROR(A340+0,A340),tbl_Production[Job Number],0))))="","",IF(INDEX(tbl_Production[Current RMS No],IFERROR(MATCH(A340&amp;"",tbl_Production[Job Number],0),MATCH(IFERROR(A340+0,A340),tbl_Production[Job Number],0)))="",INDEX(tbl_Production[Qwilr Quote],IFERROR(MATCH(A340&amp;"",tbl_Production[Job Number],0),MATCH(IFERROR(A340+0,A340),tbl_Production[Job Number],0))),INDEX(tbl_Production[Current RMS No],IFERROR(MATCH(A340&amp;"",tbl_Production[Job Number],0),MATCH(IFERROR(A340+0,A340),tbl_Production[Job Number],0))))),IFERROR(IF(INDEX(tbl_Consulting[Qwilr Quote],IFERROR(MATCH(A340&amp;"",tbl_Consulting[Job Number],0),MATCH(IFERROR(A340+0,A340),tbl_Consulting[Job Number],0)))="","",INDEX(tbl_Consulting[Qwilr Quote],IFERROR(MATCH(A340&amp;"",tbl_Consulting[Job Number],0),MATCH(IFERROR(A340+0,A340),tbl_Consulting[Job Number],0)))),""))))</f>
        <v/>
      </c>
      <c r="AG340" s="26">
        <f>IF(AF340="","",IF(AND(LEFT(AF340,4)&lt;&gt;"http",IF(G340="Production",set_RMSBase,set_QwilrBase)=""),"",HYPERLINK(IF(LEFT(AF340,4)="http",AF340,IF(G340="Production",set_RMSBase,set_QwilrBase)&amp;AF340),"Open")))</f>
        <v/>
      </c>
      <c r="AH340" s="27">
        <f>IF(A340="","",IFERROR(INDEX(tbl_Production[Total Expense],IFERROR(MATCH(A340&amp;"",tbl_Production[Job Number],0),MATCH(IFERROR(A340+0,A340),tbl_Production[Job Number],0))),IFERROR(INDEX(tbl_Consulting[Total Expense],IFERROR(MATCH(A340&amp;"",tbl_Consulting[Job Number],0),MATCH(IFERROR(A340+0,A340),tbl_Consulting[Job Number],0))),0)))</f>
        <v/>
      </c>
      <c r="AI340" s="27">
        <f>IF(A340="","",AC340-N(AH340))</f>
        <v/>
      </c>
      <c r="AJ340" s="29">
        <f>IFERROR(AI340/AC340,"")</f>
        <v/>
      </c>
      <c r="AK340" s="26">
        <f>IF(A340="","",IFERROR(IF(INDEX(tbl_Onsite[Notes],IFERROR(MATCH(A340&amp;"",tbl_Onsite[Job Number],0),MATCH(IFERROR(A340+0,A340),tbl_Onsite[Job Number],0)))="","",INDEX(tbl_Onsite[Notes],IFERROR(MATCH(A340&amp;"",tbl_Onsite[Job Number],0),MATCH(IFERROR(A340+0,A340),tbl_Onsite[Job Number],0)))),IFERROR(IF(INDEX(tbl_Production[Notes],IFERROR(MATCH(A340&amp;"",tbl_Production[Job Number],0),MATCH(IFERROR(A340+0,A340),tbl_Production[Job Number],0)))="","",INDEX(tbl_Production[Notes],IFERROR(MATCH(A340&amp;"",tbl_Production[Job Number],0),MATCH(IFERROR(A340+0,A340),tbl_Production[Job Number],0)))),IFERROR(IF(INDEX(tbl_Consulting[Notes],IFERROR(MATCH(A340&amp;"",tbl_Consulting[Job Number],0),MATCH(IFERROR(A340+0,A340),tbl_Consulting[Job Number],0)))="","",INDEX(tbl_Consulting[Notes],IFERROR(MATCH(A340&amp;"",tbl_Consulting[Job Number],0),MATCH(IFERROR(A340+0,A340),tbl_Consulting[Job Number],0)))),""))))</f>
        <v/>
      </c>
    </row>
    <row r="341" ht="15" customHeight="1">
      <c r="A341" s="22" t="n"/>
      <c r="B341" s="22" t="n"/>
      <c r="C341" s="23" t="n"/>
      <c r="D341" s="22" t="n"/>
      <c r="E341" s="24" t="n"/>
      <c r="F341" s="25">
        <f>IF(C341="","",EOMONTH(C341,0))</f>
        <v/>
      </c>
      <c r="G341" s="26">
        <f>IF(A341="","",IF(COUNTIF(tbl_Onsite[Job Number],A341&amp;"")&gt;0,"Onsite",IF(COUNTIF(tbl_Production[Job Number],A341&amp;"")&gt;0,"Production",IF(COUNTIF(tbl_Consulting[Job Number],A341&amp;"")&gt;0,"Consulting","not set up yet"))))</f>
        <v/>
      </c>
      <c r="H341" s="26">
        <f>IF(A341="","",IF(COUNTIF(lst_Jobs,A341&amp;"")&gt;0,"OK","CHECK"))</f>
        <v/>
      </c>
      <c r="I341" s="26">
        <f>IF(A341="","",IFERROR(INDEX(lst_JobName,MATCH(A341&amp;"",lst_Jobs,0)),""))</f>
        <v/>
      </c>
      <c r="J341" s="26">
        <f>IF(A341="","",IFERROR(IF(INDEX(tbl_Onsite[Client],IFERROR(MATCH(A341&amp;"",tbl_Onsite[Job Number],0),MATCH(IFERROR(A341+0,A341),tbl_Onsite[Job Number],0)))="","",INDEX(tbl_Onsite[Client],IFERROR(MATCH(A341&amp;"",tbl_Onsite[Job Number],0),MATCH(IFERROR(A341+0,A341),tbl_Onsite[Job Number],0)))),IFERROR(IF(INDEX(tbl_Production[Client],IFERROR(MATCH(A341&amp;"",tbl_Production[Job Number],0),MATCH(IFERROR(A341+0,A341),tbl_Production[Job Number],0)))="","",INDEX(tbl_Production[Client],IFERROR(MATCH(A341&amp;"",tbl_Production[Job Number],0),MATCH(IFERROR(A341+0,A341),tbl_Production[Job Number],0)))),IFERROR(IF(INDEX(tbl_Consulting[Client],IFERROR(MATCH(A341&amp;"",tbl_Consulting[Job Number],0),MATCH(IFERROR(A341+0,A341),tbl_Consulting[Job Number],0)))="","",INDEX(tbl_Consulting[Client],IFERROR(MATCH(A341&amp;"",tbl_Consulting[Job Number],0),MATCH(IFERROR(A341+0,A341),tbl_Consulting[Job Number],0)))),""))))</f>
        <v/>
      </c>
      <c r="K341" s="26">
        <f>IF(A341="","",IFERROR(IF(INDEX(tbl_Onsite[Job Description],IFERROR(MATCH(A341&amp;"",tbl_Onsite[Job Number],0),MATCH(IFERROR(A341+0,A341),tbl_Onsite[Job Number],0)))="","",INDEX(tbl_Onsite[Job Description],IFERROR(MATCH(A341&amp;"",tbl_Onsite[Job Number],0),MATCH(IFERROR(A341+0,A341),tbl_Onsite[Job Number],0)))),IFERROR(IF(INDEX(tbl_Production[Job Description],IFERROR(MATCH(A341&amp;"",tbl_Production[Job Number],0),MATCH(IFERROR(A341+0,A341),tbl_Production[Job Number],0)))="","",INDEX(tbl_Production[Job Description],IFERROR(MATCH(A341&amp;"",tbl_Production[Job Number],0),MATCH(IFERROR(A341+0,A341),tbl_Production[Job Number],0)))),IFERROR(IF(INDEX(tbl_Consulting[Job Description],IFERROR(MATCH(A341&amp;"",tbl_Consulting[Job Number],0),MATCH(IFERROR(A341+0,A341),tbl_Consulting[Job Number],0)))="","",INDEX(tbl_Consulting[Job Description],IFERROR(MATCH(A341&amp;"",tbl_Consulting[Job Number],0),MATCH(IFERROR(A341+0,A341),tbl_Consulting[Job Number],0)))),""))))</f>
        <v/>
      </c>
      <c r="L341" s="26">
        <f>IF(A341="","",IFERROR(IF(INDEX(tbl_Onsite[Invoice Type],IFERROR(MATCH(A341&amp;"",tbl_Onsite[Job Number],0),MATCH(IFERROR(A341+0,A341),tbl_Onsite[Job Number],0)))="","",INDEX(tbl_Onsite[Invoice Type],IFERROR(MATCH(A341&amp;"",tbl_Onsite[Job Number],0),MATCH(IFERROR(A341+0,A341),tbl_Onsite[Job Number],0)))),IFERROR(IF(INDEX(tbl_Production[Invoice Type],IFERROR(MATCH(A341&amp;"",tbl_Production[Job Number],0),MATCH(IFERROR(A341+0,A341),tbl_Production[Job Number],0)))="","",INDEX(tbl_Production[Invoice Type],IFERROR(MATCH(A341&amp;"",tbl_Production[Job Number],0),MATCH(IFERROR(A341+0,A341),tbl_Production[Job Number],0)))),IFERROR(IF(INDEX(tbl_Consulting[Invoice Type],IFERROR(MATCH(A341&amp;"",tbl_Consulting[Job Number],0),MATCH(IFERROR(A341+0,A341),tbl_Consulting[Job Number],0)))="","",INDEX(tbl_Consulting[Invoice Type],IFERROR(MATCH(A341&amp;"",tbl_Consulting[Job Number],0),MATCH(IFERROR(A341+0,A341),tbl_Consulting[Job Number],0)))),""))))</f>
        <v/>
      </c>
      <c r="M341" s="26">
        <f>IF(A341="","",IF(IFERROR(IF(INDEX(tbl_Onsite[Tax Code],IFERROR(MATCH(A341&amp;"",tbl_Onsite[Job Number],0),MATCH(IFERROR(A341+0,A341),tbl_Onsite[Job Number],0)))="","",INDEX(tbl_Onsite[Tax Code],IFERROR(MATCH(A341&amp;"",tbl_Onsite[Job Number],0),MATCH(IFERROR(A341+0,A341),tbl_Onsite[Job Number],0)))),IFERROR(IF(INDEX(tbl_Production[Tax Code],IFERROR(MATCH(A341&amp;"",tbl_Production[Job Number],0),MATCH(IFERROR(A341+0,A341),tbl_Production[Job Number],0)))="","",INDEX(tbl_Production[Tax Code],IFERROR(MATCH(A341&amp;"",tbl_Production[Job Number],0),MATCH(IFERROR(A341+0,A341),tbl_Production[Job Number],0)))),IFERROR(IF(INDEX(tbl_Consulting[Tax Code],IFERROR(MATCH(A341&amp;"",tbl_Consulting[Job Number],0),MATCH(IFERROR(A341+0,A341),tbl_Consulting[Job Number],0)))="","",INDEX(tbl_Consulting[Tax Code],IFERROR(MATCH(A341&amp;"",tbl_Consulting[Job Number],0),MATCH(IFERROR(A341+0,A341),tbl_Consulting[Job Number],0)))),"")))="","GST 10%",IFERROR(IF(INDEX(tbl_Onsite[Tax Code],IFERROR(MATCH(A341&amp;"",tbl_Onsite[Job Number],0),MATCH(IFERROR(A341+0,A341),tbl_Onsite[Job Number],0)))="","",INDEX(tbl_Onsite[Tax Code],IFERROR(MATCH(A341&amp;"",tbl_Onsite[Job Number],0),MATCH(IFERROR(A341+0,A341),tbl_Onsite[Job Number],0)))),IFERROR(IF(INDEX(tbl_Production[Tax Code],IFERROR(MATCH(A341&amp;"",tbl_Production[Job Number],0),MATCH(IFERROR(A341+0,A341),tbl_Production[Job Number],0)))="","",INDEX(tbl_Production[Tax Code],IFERROR(MATCH(A341&amp;"",tbl_Production[Job Number],0),MATCH(IFERROR(A341+0,A341),tbl_Production[Job Number],0)))),IFERROR(IF(INDEX(tbl_Consulting[Tax Code],IFERROR(MATCH(A341&amp;"",tbl_Consulting[Job Number],0),MATCH(IFERROR(A341+0,A341),tbl_Consulting[Job Number],0)))="","",INDEX(tbl_Consulting[Tax Code],IFERROR(MATCH(A341&amp;"",tbl_Consulting[Job Number],0),MATCH(IFERROR(A341+0,A341),tbl_Consulting[Job Number],0)))),"")))))</f>
        <v/>
      </c>
      <c r="N341" s="26">
        <f>IF(D341="","",IFERROR(INDEX(lst_CCtoGL,MATCH(D341,lst_CCforGL,0)),""))</f>
        <v/>
      </c>
      <c r="O341" s="27">
        <f>IF(E341="","",IF(M341="GST 10%",ROUND(E341*set_GSTRate,2),0))</f>
        <v/>
      </c>
      <c r="P341" s="27">
        <f>IF(E341="","",E341+O341)</f>
        <v/>
      </c>
      <c r="Q341" s="27">
        <f>IF(A341="","",IFERROR(INDEX(tbl_Onsite[Expected Revenue Ex GST],IFERROR(MATCH(A341&amp;"",tbl_Onsite[Job Number],0),MATCH(IFERROR(A341+0,A341),tbl_Onsite[Job Number],0))),IFERROR(INDEX(tbl_Production[Expected Revenue Ex GST],IFERROR(MATCH(A341&amp;"",tbl_Production[Job Number],0),MATCH(IFERROR(A341+0,A341),tbl_Production[Job Number],0))),IFERROR(INDEX(tbl_Consulting[Expected Revenue Ex GST],IFERROR(MATCH(A341&amp;"",tbl_Consulting[Job Number],0),MATCH(IFERROR(A341+0,A341),tbl_Consulting[Job Number],0))),0))))</f>
        <v/>
      </c>
      <c r="R341" s="27">
        <f>IF(A341="","",SUMIFS(tbl_Finance[Ex GST],tbl_Finance[Job Number],A341&amp;""))</f>
        <v/>
      </c>
      <c r="S341" s="27">
        <f>IF(A341="","",Q341-R341)</f>
        <v/>
      </c>
      <c r="T341" s="26">
        <f>IF(A341="","",IF(Q341=0,"No dept value",IF(ROUND(S341,2)=0,"Agrees",IF(S341&gt;0,"Dept higher - to invoice","Xero higher - check dept"))))</f>
        <v/>
      </c>
      <c r="U341" s="22" t="n"/>
      <c r="V341" s="22" t="n"/>
      <c r="W341" s="23" t="n"/>
      <c r="X341" s="23" t="n"/>
      <c r="Y341" s="22" t="n"/>
      <c r="Z341" s="22" t="n"/>
      <c r="AA341" s="26">
        <f>IF(COUNTA(C341,A341,B341,E341)=0,"",IF(C341="","No date - sits outside every month",IF(A341="","No job number",IF(H341="CHECK","Job number is not in the Xero job list",IF(G341="not set up yet","No department has set this job up - nothing can pull through",IF(D341="","No cost centre",IF(AND(U341="Y",B341=""),"Marked posted to Xero but has no invoice number",IF(N341="","Cost centre has no revenue GL on the Lists sheet",IF(T341="Xero higher - check dept","Invoiced more than the department says the job is worth","")))))))))</f>
        <v/>
      </c>
      <c r="AB341" s="28">
        <f>IF(A341="","",COUNTIFS(tbl_Finance[Job Number],A341&amp;"",tbl_Finance[Ex GST],"&lt;&gt;"))</f>
        <v/>
      </c>
      <c r="AC341" s="27">
        <f>IF(A341="","",SUMIFS(tbl_Finance[Ex GST],tbl_Finance[Job Number],A341&amp;""))</f>
        <v/>
      </c>
      <c r="AD341" s="27">
        <f>IF(A341="","",SUMIFS(tbl_Finance[Ex GST],tbl_Finance[Job Number],A341&amp;"",tbl_Finance[Xero Invoice No],"&lt;&gt;"))</f>
        <v/>
      </c>
      <c r="AE341" s="27">
        <f>IF(A341="","",AC341-AD341)</f>
        <v/>
      </c>
      <c r="AF341" s="26">
        <f>IF(A341="","",IFERROR(IF(INDEX(tbl_Onsite[Qwilr Quote],IFERROR(MATCH(A341&amp;"",tbl_Onsite[Job Number],0),MATCH(IFERROR(A341+0,A341),tbl_Onsite[Job Number],0)))="","",INDEX(tbl_Onsite[Qwilr Quote],IFERROR(MATCH(A341&amp;"",tbl_Onsite[Job Number],0),MATCH(IFERROR(A341+0,A341),tbl_Onsite[Job Number],0)))),IFERROR(IF(IF(INDEX(tbl_Production[Current RMS No],IFERROR(MATCH(A341&amp;"",tbl_Production[Job Number],0),MATCH(IFERROR(A341+0,A341),tbl_Production[Job Number],0)))="",INDEX(tbl_Production[Qwilr Quote],IFERROR(MATCH(A341&amp;"",tbl_Production[Job Number],0),MATCH(IFERROR(A341+0,A341),tbl_Production[Job Number],0))),INDEX(tbl_Production[Current RMS No],IFERROR(MATCH(A341&amp;"",tbl_Production[Job Number],0),MATCH(IFERROR(A341+0,A341),tbl_Production[Job Number],0))))="","",IF(INDEX(tbl_Production[Current RMS No],IFERROR(MATCH(A341&amp;"",tbl_Production[Job Number],0),MATCH(IFERROR(A341+0,A341),tbl_Production[Job Number],0)))="",INDEX(tbl_Production[Qwilr Quote],IFERROR(MATCH(A341&amp;"",tbl_Production[Job Number],0),MATCH(IFERROR(A341+0,A341),tbl_Production[Job Number],0))),INDEX(tbl_Production[Current RMS No],IFERROR(MATCH(A341&amp;"",tbl_Production[Job Number],0),MATCH(IFERROR(A341+0,A341),tbl_Production[Job Number],0))))),IFERROR(IF(INDEX(tbl_Consulting[Qwilr Quote],IFERROR(MATCH(A341&amp;"",tbl_Consulting[Job Number],0),MATCH(IFERROR(A341+0,A341),tbl_Consulting[Job Number],0)))="","",INDEX(tbl_Consulting[Qwilr Quote],IFERROR(MATCH(A341&amp;"",tbl_Consulting[Job Number],0),MATCH(IFERROR(A341+0,A341),tbl_Consulting[Job Number],0)))),""))))</f>
        <v/>
      </c>
      <c r="AG341" s="26">
        <f>IF(AF341="","",IF(AND(LEFT(AF341,4)&lt;&gt;"http",IF(G341="Production",set_RMSBase,set_QwilrBase)=""),"",HYPERLINK(IF(LEFT(AF341,4)="http",AF341,IF(G341="Production",set_RMSBase,set_QwilrBase)&amp;AF341),"Open")))</f>
        <v/>
      </c>
      <c r="AH341" s="27">
        <f>IF(A341="","",IFERROR(INDEX(tbl_Production[Total Expense],IFERROR(MATCH(A341&amp;"",tbl_Production[Job Number],0),MATCH(IFERROR(A341+0,A341),tbl_Production[Job Number],0))),IFERROR(INDEX(tbl_Consulting[Total Expense],IFERROR(MATCH(A341&amp;"",tbl_Consulting[Job Number],0),MATCH(IFERROR(A341+0,A341),tbl_Consulting[Job Number],0))),0)))</f>
        <v/>
      </c>
      <c r="AI341" s="27">
        <f>IF(A341="","",AC341-N(AH341))</f>
        <v/>
      </c>
      <c r="AJ341" s="29">
        <f>IFERROR(AI341/AC341,"")</f>
        <v/>
      </c>
      <c r="AK341" s="26">
        <f>IF(A341="","",IFERROR(IF(INDEX(tbl_Onsite[Notes],IFERROR(MATCH(A341&amp;"",tbl_Onsite[Job Number],0),MATCH(IFERROR(A341+0,A341),tbl_Onsite[Job Number],0)))="","",INDEX(tbl_Onsite[Notes],IFERROR(MATCH(A341&amp;"",tbl_Onsite[Job Number],0),MATCH(IFERROR(A341+0,A341),tbl_Onsite[Job Number],0)))),IFERROR(IF(INDEX(tbl_Production[Notes],IFERROR(MATCH(A341&amp;"",tbl_Production[Job Number],0),MATCH(IFERROR(A341+0,A341),tbl_Production[Job Number],0)))="","",INDEX(tbl_Production[Notes],IFERROR(MATCH(A341&amp;"",tbl_Production[Job Number],0),MATCH(IFERROR(A341+0,A341),tbl_Production[Job Number],0)))),IFERROR(IF(INDEX(tbl_Consulting[Notes],IFERROR(MATCH(A341&amp;"",tbl_Consulting[Job Number],0),MATCH(IFERROR(A341+0,A341),tbl_Consulting[Job Number],0)))="","",INDEX(tbl_Consulting[Notes],IFERROR(MATCH(A341&amp;"",tbl_Consulting[Job Number],0),MATCH(IFERROR(A341+0,A341),tbl_Consulting[Job Number],0)))),""))))</f>
        <v/>
      </c>
    </row>
    <row r="342" ht="15" customHeight="1">
      <c r="A342" s="22" t="n"/>
      <c r="B342" s="22" t="n"/>
      <c r="C342" s="23" t="n"/>
      <c r="D342" s="22" t="n"/>
      <c r="E342" s="24" t="n"/>
      <c r="F342" s="25">
        <f>IF(C342="","",EOMONTH(C342,0))</f>
        <v/>
      </c>
      <c r="G342" s="26">
        <f>IF(A342="","",IF(COUNTIF(tbl_Onsite[Job Number],A342&amp;"")&gt;0,"Onsite",IF(COUNTIF(tbl_Production[Job Number],A342&amp;"")&gt;0,"Production",IF(COUNTIF(tbl_Consulting[Job Number],A342&amp;"")&gt;0,"Consulting","not set up yet"))))</f>
        <v/>
      </c>
      <c r="H342" s="26">
        <f>IF(A342="","",IF(COUNTIF(lst_Jobs,A342&amp;"")&gt;0,"OK","CHECK"))</f>
        <v/>
      </c>
      <c r="I342" s="26">
        <f>IF(A342="","",IFERROR(INDEX(lst_JobName,MATCH(A342&amp;"",lst_Jobs,0)),""))</f>
        <v/>
      </c>
      <c r="J342" s="26">
        <f>IF(A342="","",IFERROR(IF(INDEX(tbl_Onsite[Client],IFERROR(MATCH(A342&amp;"",tbl_Onsite[Job Number],0),MATCH(IFERROR(A342+0,A342),tbl_Onsite[Job Number],0)))="","",INDEX(tbl_Onsite[Client],IFERROR(MATCH(A342&amp;"",tbl_Onsite[Job Number],0),MATCH(IFERROR(A342+0,A342),tbl_Onsite[Job Number],0)))),IFERROR(IF(INDEX(tbl_Production[Client],IFERROR(MATCH(A342&amp;"",tbl_Production[Job Number],0),MATCH(IFERROR(A342+0,A342),tbl_Production[Job Number],0)))="","",INDEX(tbl_Production[Client],IFERROR(MATCH(A342&amp;"",tbl_Production[Job Number],0),MATCH(IFERROR(A342+0,A342),tbl_Production[Job Number],0)))),IFERROR(IF(INDEX(tbl_Consulting[Client],IFERROR(MATCH(A342&amp;"",tbl_Consulting[Job Number],0),MATCH(IFERROR(A342+0,A342),tbl_Consulting[Job Number],0)))="","",INDEX(tbl_Consulting[Client],IFERROR(MATCH(A342&amp;"",tbl_Consulting[Job Number],0),MATCH(IFERROR(A342+0,A342),tbl_Consulting[Job Number],0)))),""))))</f>
        <v/>
      </c>
      <c r="K342" s="26">
        <f>IF(A342="","",IFERROR(IF(INDEX(tbl_Onsite[Job Description],IFERROR(MATCH(A342&amp;"",tbl_Onsite[Job Number],0),MATCH(IFERROR(A342+0,A342),tbl_Onsite[Job Number],0)))="","",INDEX(tbl_Onsite[Job Description],IFERROR(MATCH(A342&amp;"",tbl_Onsite[Job Number],0),MATCH(IFERROR(A342+0,A342),tbl_Onsite[Job Number],0)))),IFERROR(IF(INDEX(tbl_Production[Job Description],IFERROR(MATCH(A342&amp;"",tbl_Production[Job Number],0),MATCH(IFERROR(A342+0,A342),tbl_Production[Job Number],0)))="","",INDEX(tbl_Production[Job Description],IFERROR(MATCH(A342&amp;"",tbl_Production[Job Number],0),MATCH(IFERROR(A342+0,A342),tbl_Production[Job Number],0)))),IFERROR(IF(INDEX(tbl_Consulting[Job Description],IFERROR(MATCH(A342&amp;"",tbl_Consulting[Job Number],0),MATCH(IFERROR(A342+0,A342),tbl_Consulting[Job Number],0)))="","",INDEX(tbl_Consulting[Job Description],IFERROR(MATCH(A342&amp;"",tbl_Consulting[Job Number],0),MATCH(IFERROR(A342+0,A342),tbl_Consulting[Job Number],0)))),""))))</f>
        <v/>
      </c>
      <c r="L342" s="26">
        <f>IF(A342="","",IFERROR(IF(INDEX(tbl_Onsite[Invoice Type],IFERROR(MATCH(A342&amp;"",tbl_Onsite[Job Number],0),MATCH(IFERROR(A342+0,A342),tbl_Onsite[Job Number],0)))="","",INDEX(tbl_Onsite[Invoice Type],IFERROR(MATCH(A342&amp;"",tbl_Onsite[Job Number],0),MATCH(IFERROR(A342+0,A342),tbl_Onsite[Job Number],0)))),IFERROR(IF(INDEX(tbl_Production[Invoice Type],IFERROR(MATCH(A342&amp;"",tbl_Production[Job Number],0),MATCH(IFERROR(A342+0,A342),tbl_Production[Job Number],0)))="","",INDEX(tbl_Production[Invoice Type],IFERROR(MATCH(A342&amp;"",tbl_Production[Job Number],0),MATCH(IFERROR(A342+0,A342),tbl_Production[Job Number],0)))),IFERROR(IF(INDEX(tbl_Consulting[Invoice Type],IFERROR(MATCH(A342&amp;"",tbl_Consulting[Job Number],0),MATCH(IFERROR(A342+0,A342),tbl_Consulting[Job Number],0)))="","",INDEX(tbl_Consulting[Invoice Type],IFERROR(MATCH(A342&amp;"",tbl_Consulting[Job Number],0),MATCH(IFERROR(A342+0,A342),tbl_Consulting[Job Number],0)))),""))))</f>
        <v/>
      </c>
      <c r="M342" s="26">
        <f>IF(A342="","",IF(IFERROR(IF(INDEX(tbl_Onsite[Tax Code],IFERROR(MATCH(A342&amp;"",tbl_Onsite[Job Number],0),MATCH(IFERROR(A342+0,A342),tbl_Onsite[Job Number],0)))="","",INDEX(tbl_Onsite[Tax Code],IFERROR(MATCH(A342&amp;"",tbl_Onsite[Job Number],0),MATCH(IFERROR(A342+0,A342),tbl_Onsite[Job Number],0)))),IFERROR(IF(INDEX(tbl_Production[Tax Code],IFERROR(MATCH(A342&amp;"",tbl_Production[Job Number],0),MATCH(IFERROR(A342+0,A342),tbl_Production[Job Number],0)))="","",INDEX(tbl_Production[Tax Code],IFERROR(MATCH(A342&amp;"",tbl_Production[Job Number],0),MATCH(IFERROR(A342+0,A342),tbl_Production[Job Number],0)))),IFERROR(IF(INDEX(tbl_Consulting[Tax Code],IFERROR(MATCH(A342&amp;"",tbl_Consulting[Job Number],0),MATCH(IFERROR(A342+0,A342),tbl_Consulting[Job Number],0)))="","",INDEX(tbl_Consulting[Tax Code],IFERROR(MATCH(A342&amp;"",tbl_Consulting[Job Number],0),MATCH(IFERROR(A342+0,A342),tbl_Consulting[Job Number],0)))),"")))="","GST 10%",IFERROR(IF(INDEX(tbl_Onsite[Tax Code],IFERROR(MATCH(A342&amp;"",tbl_Onsite[Job Number],0),MATCH(IFERROR(A342+0,A342),tbl_Onsite[Job Number],0)))="","",INDEX(tbl_Onsite[Tax Code],IFERROR(MATCH(A342&amp;"",tbl_Onsite[Job Number],0),MATCH(IFERROR(A342+0,A342),tbl_Onsite[Job Number],0)))),IFERROR(IF(INDEX(tbl_Production[Tax Code],IFERROR(MATCH(A342&amp;"",tbl_Production[Job Number],0),MATCH(IFERROR(A342+0,A342),tbl_Production[Job Number],0)))="","",INDEX(tbl_Production[Tax Code],IFERROR(MATCH(A342&amp;"",tbl_Production[Job Number],0),MATCH(IFERROR(A342+0,A342),tbl_Production[Job Number],0)))),IFERROR(IF(INDEX(tbl_Consulting[Tax Code],IFERROR(MATCH(A342&amp;"",tbl_Consulting[Job Number],0),MATCH(IFERROR(A342+0,A342),tbl_Consulting[Job Number],0)))="","",INDEX(tbl_Consulting[Tax Code],IFERROR(MATCH(A342&amp;"",tbl_Consulting[Job Number],0),MATCH(IFERROR(A342+0,A342),tbl_Consulting[Job Number],0)))),"")))))</f>
        <v/>
      </c>
      <c r="N342" s="26">
        <f>IF(D342="","",IFERROR(INDEX(lst_CCtoGL,MATCH(D342,lst_CCforGL,0)),""))</f>
        <v/>
      </c>
      <c r="O342" s="27">
        <f>IF(E342="","",IF(M342="GST 10%",ROUND(E342*set_GSTRate,2),0))</f>
        <v/>
      </c>
      <c r="P342" s="27">
        <f>IF(E342="","",E342+O342)</f>
        <v/>
      </c>
      <c r="Q342" s="27">
        <f>IF(A342="","",IFERROR(INDEX(tbl_Onsite[Expected Revenue Ex GST],IFERROR(MATCH(A342&amp;"",tbl_Onsite[Job Number],0),MATCH(IFERROR(A342+0,A342),tbl_Onsite[Job Number],0))),IFERROR(INDEX(tbl_Production[Expected Revenue Ex GST],IFERROR(MATCH(A342&amp;"",tbl_Production[Job Number],0),MATCH(IFERROR(A342+0,A342),tbl_Production[Job Number],0))),IFERROR(INDEX(tbl_Consulting[Expected Revenue Ex GST],IFERROR(MATCH(A342&amp;"",tbl_Consulting[Job Number],0),MATCH(IFERROR(A342+0,A342),tbl_Consulting[Job Number],0))),0))))</f>
        <v/>
      </c>
      <c r="R342" s="27">
        <f>IF(A342="","",SUMIFS(tbl_Finance[Ex GST],tbl_Finance[Job Number],A342&amp;""))</f>
        <v/>
      </c>
      <c r="S342" s="27">
        <f>IF(A342="","",Q342-R342)</f>
        <v/>
      </c>
      <c r="T342" s="26">
        <f>IF(A342="","",IF(Q342=0,"No dept value",IF(ROUND(S342,2)=0,"Agrees",IF(S342&gt;0,"Dept higher - to invoice","Xero higher - check dept"))))</f>
        <v/>
      </c>
      <c r="U342" s="22" t="n"/>
      <c r="V342" s="22" t="n"/>
      <c r="W342" s="23" t="n"/>
      <c r="X342" s="23" t="n"/>
      <c r="Y342" s="22" t="n"/>
      <c r="Z342" s="22" t="n"/>
      <c r="AA342" s="26">
        <f>IF(COUNTA(C342,A342,B342,E342)=0,"",IF(C342="","No date - sits outside every month",IF(A342="","No job number",IF(H342="CHECK","Job number is not in the Xero job list",IF(G342="not set up yet","No department has set this job up - nothing can pull through",IF(D342="","No cost centre",IF(AND(U342="Y",B342=""),"Marked posted to Xero but has no invoice number",IF(N342="","Cost centre has no revenue GL on the Lists sheet",IF(T342="Xero higher - check dept","Invoiced more than the department says the job is worth","")))))))))</f>
        <v/>
      </c>
      <c r="AB342" s="28">
        <f>IF(A342="","",COUNTIFS(tbl_Finance[Job Number],A342&amp;"",tbl_Finance[Ex GST],"&lt;&gt;"))</f>
        <v/>
      </c>
      <c r="AC342" s="27">
        <f>IF(A342="","",SUMIFS(tbl_Finance[Ex GST],tbl_Finance[Job Number],A342&amp;""))</f>
        <v/>
      </c>
      <c r="AD342" s="27">
        <f>IF(A342="","",SUMIFS(tbl_Finance[Ex GST],tbl_Finance[Job Number],A342&amp;"",tbl_Finance[Xero Invoice No],"&lt;&gt;"))</f>
        <v/>
      </c>
      <c r="AE342" s="27">
        <f>IF(A342="","",AC342-AD342)</f>
        <v/>
      </c>
      <c r="AF342" s="26">
        <f>IF(A342="","",IFERROR(IF(INDEX(tbl_Onsite[Qwilr Quote],IFERROR(MATCH(A342&amp;"",tbl_Onsite[Job Number],0),MATCH(IFERROR(A342+0,A342),tbl_Onsite[Job Number],0)))="","",INDEX(tbl_Onsite[Qwilr Quote],IFERROR(MATCH(A342&amp;"",tbl_Onsite[Job Number],0),MATCH(IFERROR(A342+0,A342),tbl_Onsite[Job Number],0)))),IFERROR(IF(IF(INDEX(tbl_Production[Current RMS No],IFERROR(MATCH(A342&amp;"",tbl_Production[Job Number],0),MATCH(IFERROR(A342+0,A342),tbl_Production[Job Number],0)))="",INDEX(tbl_Production[Qwilr Quote],IFERROR(MATCH(A342&amp;"",tbl_Production[Job Number],0),MATCH(IFERROR(A342+0,A342),tbl_Production[Job Number],0))),INDEX(tbl_Production[Current RMS No],IFERROR(MATCH(A342&amp;"",tbl_Production[Job Number],0),MATCH(IFERROR(A342+0,A342),tbl_Production[Job Number],0))))="","",IF(INDEX(tbl_Production[Current RMS No],IFERROR(MATCH(A342&amp;"",tbl_Production[Job Number],0),MATCH(IFERROR(A342+0,A342),tbl_Production[Job Number],0)))="",INDEX(tbl_Production[Qwilr Quote],IFERROR(MATCH(A342&amp;"",tbl_Production[Job Number],0),MATCH(IFERROR(A342+0,A342),tbl_Production[Job Number],0))),INDEX(tbl_Production[Current RMS No],IFERROR(MATCH(A342&amp;"",tbl_Production[Job Number],0),MATCH(IFERROR(A342+0,A342),tbl_Production[Job Number],0))))),IFERROR(IF(INDEX(tbl_Consulting[Qwilr Quote],IFERROR(MATCH(A342&amp;"",tbl_Consulting[Job Number],0),MATCH(IFERROR(A342+0,A342),tbl_Consulting[Job Number],0)))="","",INDEX(tbl_Consulting[Qwilr Quote],IFERROR(MATCH(A342&amp;"",tbl_Consulting[Job Number],0),MATCH(IFERROR(A342+0,A342),tbl_Consulting[Job Number],0)))),""))))</f>
        <v/>
      </c>
      <c r="AG342" s="26">
        <f>IF(AF342="","",IF(AND(LEFT(AF342,4)&lt;&gt;"http",IF(G342="Production",set_RMSBase,set_QwilrBase)=""),"",HYPERLINK(IF(LEFT(AF342,4)="http",AF342,IF(G342="Production",set_RMSBase,set_QwilrBase)&amp;AF342),"Open")))</f>
        <v/>
      </c>
      <c r="AH342" s="27">
        <f>IF(A342="","",IFERROR(INDEX(tbl_Production[Total Expense],IFERROR(MATCH(A342&amp;"",tbl_Production[Job Number],0),MATCH(IFERROR(A342+0,A342),tbl_Production[Job Number],0))),IFERROR(INDEX(tbl_Consulting[Total Expense],IFERROR(MATCH(A342&amp;"",tbl_Consulting[Job Number],0),MATCH(IFERROR(A342+0,A342),tbl_Consulting[Job Number],0))),0)))</f>
        <v/>
      </c>
      <c r="AI342" s="27">
        <f>IF(A342="","",AC342-N(AH342))</f>
        <v/>
      </c>
      <c r="AJ342" s="29">
        <f>IFERROR(AI342/AC342,"")</f>
        <v/>
      </c>
      <c r="AK342" s="26">
        <f>IF(A342="","",IFERROR(IF(INDEX(tbl_Onsite[Notes],IFERROR(MATCH(A342&amp;"",tbl_Onsite[Job Number],0),MATCH(IFERROR(A342+0,A342),tbl_Onsite[Job Number],0)))="","",INDEX(tbl_Onsite[Notes],IFERROR(MATCH(A342&amp;"",tbl_Onsite[Job Number],0),MATCH(IFERROR(A342+0,A342),tbl_Onsite[Job Number],0)))),IFERROR(IF(INDEX(tbl_Production[Notes],IFERROR(MATCH(A342&amp;"",tbl_Production[Job Number],0),MATCH(IFERROR(A342+0,A342),tbl_Production[Job Number],0)))="","",INDEX(tbl_Production[Notes],IFERROR(MATCH(A342&amp;"",tbl_Production[Job Number],0),MATCH(IFERROR(A342+0,A342),tbl_Production[Job Number],0)))),IFERROR(IF(INDEX(tbl_Consulting[Notes],IFERROR(MATCH(A342&amp;"",tbl_Consulting[Job Number],0),MATCH(IFERROR(A342+0,A342),tbl_Consulting[Job Number],0)))="","",INDEX(tbl_Consulting[Notes],IFERROR(MATCH(A342&amp;"",tbl_Consulting[Job Number],0),MATCH(IFERROR(A342+0,A342),tbl_Consulting[Job Number],0)))),""))))</f>
        <v/>
      </c>
    </row>
    <row r="343" ht="15" customHeight="1">
      <c r="A343" s="22" t="n"/>
      <c r="B343" s="22" t="n"/>
      <c r="C343" s="23" t="n"/>
      <c r="D343" s="22" t="n"/>
      <c r="E343" s="24" t="n"/>
      <c r="F343" s="25">
        <f>IF(C343="","",EOMONTH(C343,0))</f>
        <v/>
      </c>
      <c r="G343" s="26">
        <f>IF(A343="","",IF(COUNTIF(tbl_Onsite[Job Number],A343&amp;"")&gt;0,"Onsite",IF(COUNTIF(tbl_Production[Job Number],A343&amp;"")&gt;0,"Production",IF(COUNTIF(tbl_Consulting[Job Number],A343&amp;"")&gt;0,"Consulting","not set up yet"))))</f>
        <v/>
      </c>
      <c r="H343" s="26">
        <f>IF(A343="","",IF(COUNTIF(lst_Jobs,A343&amp;"")&gt;0,"OK","CHECK"))</f>
        <v/>
      </c>
      <c r="I343" s="26">
        <f>IF(A343="","",IFERROR(INDEX(lst_JobName,MATCH(A343&amp;"",lst_Jobs,0)),""))</f>
        <v/>
      </c>
      <c r="J343" s="26">
        <f>IF(A343="","",IFERROR(IF(INDEX(tbl_Onsite[Client],IFERROR(MATCH(A343&amp;"",tbl_Onsite[Job Number],0),MATCH(IFERROR(A343+0,A343),tbl_Onsite[Job Number],0)))="","",INDEX(tbl_Onsite[Client],IFERROR(MATCH(A343&amp;"",tbl_Onsite[Job Number],0),MATCH(IFERROR(A343+0,A343),tbl_Onsite[Job Number],0)))),IFERROR(IF(INDEX(tbl_Production[Client],IFERROR(MATCH(A343&amp;"",tbl_Production[Job Number],0),MATCH(IFERROR(A343+0,A343),tbl_Production[Job Number],0)))="","",INDEX(tbl_Production[Client],IFERROR(MATCH(A343&amp;"",tbl_Production[Job Number],0),MATCH(IFERROR(A343+0,A343),tbl_Production[Job Number],0)))),IFERROR(IF(INDEX(tbl_Consulting[Client],IFERROR(MATCH(A343&amp;"",tbl_Consulting[Job Number],0),MATCH(IFERROR(A343+0,A343),tbl_Consulting[Job Number],0)))="","",INDEX(tbl_Consulting[Client],IFERROR(MATCH(A343&amp;"",tbl_Consulting[Job Number],0),MATCH(IFERROR(A343+0,A343),tbl_Consulting[Job Number],0)))),""))))</f>
        <v/>
      </c>
      <c r="K343" s="26">
        <f>IF(A343="","",IFERROR(IF(INDEX(tbl_Onsite[Job Description],IFERROR(MATCH(A343&amp;"",tbl_Onsite[Job Number],0),MATCH(IFERROR(A343+0,A343),tbl_Onsite[Job Number],0)))="","",INDEX(tbl_Onsite[Job Description],IFERROR(MATCH(A343&amp;"",tbl_Onsite[Job Number],0),MATCH(IFERROR(A343+0,A343),tbl_Onsite[Job Number],0)))),IFERROR(IF(INDEX(tbl_Production[Job Description],IFERROR(MATCH(A343&amp;"",tbl_Production[Job Number],0),MATCH(IFERROR(A343+0,A343),tbl_Production[Job Number],0)))="","",INDEX(tbl_Production[Job Description],IFERROR(MATCH(A343&amp;"",tbl_Production[Job Number],0),MATCH(IFERROR(A343+0,A343),tbl_Production[Job Number],0)))),IFERROR(IF(INDEX(tbl_Consulting[Job Description],IFERROR(MATCH(A343&amp;"",tbl_Consulting[Job Number],0),MATCH(IFERROR(A343+0,A343),tbl_Consulting[Job Number],0)))="","",INDEX(tbl_Consulting[Job Description],IFERROR(MATCH(A343&amp;"",tbl_Consulting[Job Number],0),MATCH(IFERROR(A343+0,A343),tbl_Consulting[Job Number],0)))),""))))</f>
        <v/>
      </c>
      <c r="L343" s="26">
        <f>IF(A343="","",IFERROR(IF(INDEX(tbl_Onsite[Invoice Type],IFERROR(MATCH(A343&amp;"",tbl_Onsite[Job Number],0),MATCH(IFERROR(A343+0,A343),tbl_Onsite[Job Number],0)))="","",INDEX(tbl_Onsite[Invoice Type],IFERROR(MATCH(A343&amp;"",tbl_Onsite[Job Number],0),MATCH(IFERROR(A343+0,A343),tbl_Onsite[Job Number],0)))),IFERROR(IF(INDEX(tbl_Production[Invoice Type],IFERROR(MATCH(A343&amp;"",tbl_Production[Job Number],0),MATCH(IFERROR(A343+0,A343),tbl_Production[Job Number],0)))="","",INDEX(tbl_Production[Invoice Type],IFERROR(MATCH(A343&amp;"",tbl_Production[Job Number],0),MATCH(IFERROR(A343+0,A343),tbl_Production[Job Number],0)))),IFERROR(IF(INDEX(tbl_Consulting[Invoice Type],IFERROR(MATCH(A343&amp;"",tbl_Consulting[Job Number],0),MATCH(IFERROR(A343+0,A343),tbl_Consulting[Job Number],0)))="","",INDEX(tbl_Consulting[Invoice Type],IFERROR(MATCH(A343&amp;"",tbl_Consulting[Job Number],0),MATCH(IFERROR(A343+0,A343),tbl_Consulting[Job Number],0)))),""))))</f>
        <v/>
      </c>
      <c r="M343" s="26">
        <f>IF(A343="","",IF(IFERROR(IF(INDEX(tbl_Onsite[Tax Code],IFERROR(MATCH(A343&amp;"",tbl_Onsite[Job Number],0),MATCH(IFERROR(A343+0,A343),tbl_Onsite[Job Number],0)))="","",INDEX(tbl_Onsite[Tax Code],IFERROR(MATCH(A343&amp;"",tbl_Onsite[Job Number],0),MATCH(IFERROR(A343+0,A343),tbl_Onsite[Job Number],0)))),IFERROR(IF(INDEX(tbl_Production[Tax Code],IFERROR(MATCH(A343&amp;"",tbl_Production[Job Number],0),MATCH(IFERROR(A343+0,A343),tbl_Production[Job Number],0)))="","",INDEX(tbl_Production[Tax Code],IFERROR(MATCH(A343&amp;"",tbl_Production[Job Number],0),MATCH(IFERROR(A343+0,A343),tbl_Production[Job Number],0)))),IFERROR(IF(INDEX(tbl_Consulting[Tax Code],IFERROR(MATCH(A343&amp;"",tbl_Consulting[Job Number],0),MATCH(IFERROR(A343+0,A343),tbl_Consulting[Job Number],0)))="","",INDEX(tbl_Consulting[Tax Code],IFERROR(MATCH(A343&amp;"",tbl_Consulting[Job Number],0),MATCH(IFERROR(A343+0,A343),tbl_Consulting[Job Number],0)))),"")))="","GST 10%",IFERROR(IF(INDEX(tbl_Onsite[Tax Code],IFERROR(MATCH(A343&amp;"",tbl_Onsite[Job Number],0),MATCH(IFERROR(A343+0,A343),tbl_Onsite[Job Number],0)))="","",INDEX(tbl_Onsite[Tax Code],IFERROR(MATCH(A343&amp;"",tbl_Onsite[Job Number],0),MATCH(IFERROR(A343+0,A343),tbl_Onsite[Job Number],0)))),IFERROR(IF(INDEX(tbl_Production[Tax Code],IFERROR(MATCH(A343&amp;"",tbl_Production[Job Number],0),MATCH(IFERROR(A343+0,A343),tbl_Production[Job Number],0)))="","",INDEX(tbl_Production[Tax Code],IFERROR(MATCH(A343&amp;"",tbl_Production[Job Number],0),MATCH(IFERROR(A343+0,A343),tbl_Production[Job Number],0)))),IFERROR(IF(INDEX(tbl_Consulting[Tax Code],IFERROR(MATCH(A343&amp;"",tbl_Consulting[Job Number],0),MATCH(IFERROR(A343+0,A343),tbl_Consulting[Job Number],0)))="","",INDEX(tbl_Consulting[Tax Code],IFERROR(MATCH(A343&amp;"",tbl_Consulting[Job Number],0),MATCH(IFERROR(A343+0,A343),tbl_Consulting[Job Number],0)))),"")))))</f>
        <v/>
      </c>
      <c r="N343" s="26">
        <f>IF(D343="","",IFERROR(INDEX(lst_CCtoGL,MATCH(D343,lst_CCforGL,0)),""))</f>
        <v/>
      </c>
      <c r="O343" s="27">
        <f>IF(E343="","",IF(M343="GST 10%",ROUND(E343*set_GSTRate,2),0))</f>
        <v/>
      </c>
      <c r="P343" s="27">
        <f>IF(E343="","",E343+O343)</f>
        <v/>
      </c>
      <c r="Q343" s="27">
        <f>IF(A343="","",IFERROR(INDEX(tbl_Onsite[Expected Revenue Ex GST],IFERROR(MATCH(A343&amp;"",tbl_Onsite[Job Number],0),MATCH(IFERROR(A343+0,A343),tbl_Onsite[Job Number],0))),IFERROR(INDEX(tbl_Production[Expected Revenue Ex GST],IFERROR(MATCH(A343&amp;"",tbl_Production[Job Number],0),MATCH(IFERROR(A343+0,A343),tbl_Production[Job Number],0))),IFERROR(INDEX(tbl_Consulting[Expected Revenue Ex GST],IFERROR(MATCH(A343&amp;"",tbl_Consulting[Job Number],0),MATCH(IFERROR(A343+0,A343),tbl_Consulting[Job Number],0))),0))))</f>
        <v/>
      </c>
      <c r="R343" s="27">
        <f>IF(A343="","",SUMIFS(tbl_Finance[Ex GST],tbl_Finance[Job Number],A343&amp;""))</f>
        <v/>
      </c>
      <c r="S343" s="27">
        <f>IF(A343="","",Q343-R343)</f>
        <v/>
      </c>
      <c r="T343" s="26">
        <f>IF(A343="","",IF(Q343=0,"No dept value",IF(ROUND(S343,2)=0,"Agrees",IF(S343&gt;0,"Dept higher - to invoice","Xero higher - check dept"))))</f>
        <v/>
      </c>
      <c r="U343" s="22" t="n"/>
      <c r="V343" s="22" t="n"/>
      <c r="W343" s="23" t="n"/>
      <c r="X343" s="23" t="n"/>
      <c r="Y343" s="22" t="n"/>
      <c r="Z343" s="22" t="n"/>
      <c r="AA343" s="26">
        <f>IF(COUNTA(C343,A343,B343,E343)=0,"",IF(C343="","No date - sits outside every month",IF(A343="","No job number",IF(H343="CHECK","Job number is not in the Xero job list",IF(G343="not set up yet","No department has set this job up - nothing can pull through",IF(D343="","No cost centre",IF(AND(U343="Y",B343=""),"Marked posted to Xero but has no invoice number",IF(N343="","Cost centre has no revenue GL on the Lists sheet",IF(T343="Xero higher - check dept","Invoiced more than the department says the job is worth","")))))))))</f>
        <v/>
      </c>
      <c r="AB343" s="28">
        <f>IF(A343="","",COUNTIFS(tbl_Finance[Job Number],A343&amp;"",tbl_Finance[Ex GST],"&lt;&gt;"))</f>
        <v/>
      </c>
      <c r="AC343" s="27">
        <f>IF(A343="","",SUMIFS(tbl_Finance[Ex GST],tbl_Finance[Job Number],A343&amp;""))</f>
        <v/>
      </c>
      <c r="AD343" s="27">
        <f>IF(A343="","",SUMIFS(tbl_Finance[Ex GST],tbl_Finance[Job Number],A343&amp;"",tbl_Finance[Xero Invoice No],"&lt;&gt;"))</f>
        <v/>
      </c>
      <c r="AE343" s="27">
        <f>IF(A343="","",AC343-AD343)</f>
        <v/>
      </c>
      <c r="AF343" s="26">
        <f>IF(A343="","",IFERROR(IF(INDEX(tbl_Onsite[Qwilr Quote],IFERROR(MATCH(A343&amp;"",tbl_Onsite[Job Number],0),MATCH(IFERROR(A343+0,A343),tbl_Onsite[Job Number],0)))="","",INDEX(tbl_Onsite[Qwilr Quote],IFERROR(MATCH(A343&amp;"",tbl_Onsite[Job Number],0),MATCH(IFERROR(A343+0,A343),tbl_Onsite[Job Number],0)))),IFERROR(IF(IF(INDEX(tbl_Production[Current RMS No],IFERROR(MATCH(A343&amp;"",tbl_Production[Job Number],0),MATCH(IFERROR(A343+0,A343),tbl_Production[Job Number],0)))="",INDEX(tbl_Production[Qwilr Quote],IFERROR(MATCH(A343&amp;"",tbl_Production[Job Number],0),MATCH(IFERROR(A343+0,A343),tbl_Production[Job Number],0))),INDEX(tbl_Production[Current RMS No],IFERROR(MATCH(A343&amp;"",tbl_Production[Job Number],0),MATCH(IFERROR(A343+0,A343),tbl_Production[Job Number],0))))="","",IF(INDEX(tbl_Production[Current RMS No],IFERROR(MATCH(A343&amp;"",tbl_Production[Job Number],0),MATCH(IFERROR(A343+0,A343),tbl_Production[Job Number],0)))="",INDEX(tbl_Production[Qwilr Quote],IFERROR(MATCH(A343&amp;"",tbl_Production[Job Number],0),MATCH(IFERROR(A343+0,A343),tbl_Production[Job Number],0))),INDEX(tbl_Production[Current RMS No],IFERROR(MATCH(A343&amp;"",tbl_Production[Job Number],0),MATCH(IFERROR(A343+0,A343),tbl_Production[Job Number],0))))),IFERROR(IF(INDEX(tbl_Consulting[Qwilr Quote],IFERROR(MATCH(A343&amp;"",tbl_Consulting[Job Number],0),MATCH(IFERROR(A343+0,A343),tbl_Consulting[Job Number],0)))="","",INDEX(tbl_Consulting[Qwilr Quote],IFERROR(MATCH(A343&amp;"",tbl_Consulting[Job Number],0),MATCH(IFERROR(A343+0,A343),tbl_Consulting[Job Number],0)))),""))))</f>
        <v/>
      </c>
      <c r="AG343" s="26">
        <f>IF(AF343="","",IF(AND(LEFT(AF343,4)&lt;&gt;"http",IF(G343="Production",set_RMSBase,set_QwilrBase)=""),"",HYPERLINK(IF(LEFT(AF343,4)="http",AF343,IF(G343="Production",set_RMSBase,set_QwilrBase)&amp;AF343),"Open")))</f>
        <v/>
      </c>
      <c r="AH343" s="27">
        <f>IF(A343="","",IFERROR(INDEX(tbl_Production[Total Expense],IFERROR(MATCH(A343&amp;"",tbl_Production[Job Number],0),MATCH(IFERROR(A343+0,A343),tbl_Production[Job Number],0))),IFERROR(INDEX(tbl_Consulting[Total Expense],IFERROR(MATCH(A343&amp;"",tbl_Consulting[Job Number],0),MATCH(IFERROR(A343+0,A343),tbl_Consulting[Job Number],0))),0)))</f>
        <v/>
      </c>
      <c r="AI343" s="27">
        <f>IF(A343="","",AC343-N(AH343))</f>
        <v/>
      </c>
      <c r="AJ343" s="29">
        <f>IFERROR(AI343/AC343,"")</f>
        <v/>
      </c>
      <c r="AK343" s="26">
        <f>IF(A343="","",IFERROR(IF(INDEX(tbl_Onsite[Notes],IFERROR(MATCH(A343&amp;"",tbl_Onsite[Job Number],0),MATCH(IFERROR(A343+0,A343),tbl_Onsite[Job Number],0)))="","",INDEX(tbl_Onsite[Notes],IFERROR(MATCH(A343&amp;"",tbl_Onsite[Job Number],0),MATCH(IFERROR(A343+0,A343),tbl_Onsite[Job Number],0)))),IFERROR(IF(INDEX(tbl_Production[Notes],IFERROR(MATCH(A343&amp;"",tbl_Production[Job Number],0),MATCH(IFERROR(A343+0,A343),tbl_Production[Job Number],0)))="","",INDEX(tbl_Production[Notes],IFERROR(MATCH(A343&amp;"",tbl_Production[Job Number],0),MATCH(IFERROR(A343+0,A343),tbl_Production[Job Number],0)))),IFERROR(IF(INDEX(tbl_Consulting[Notes],IFERROR(MATCH(A343&amp;"",tbl_Consulting[Job Number],0),MATCH(IFERROR(A343+0,A343),tbl_Consulting[Job Number],0)))="","",INDEX(tbl_Consulting[Notes],IFERROR(MATCH(A343&amp;"",tbl_Consulting[Job Number],0),MATCH(IFERROR(A343+0,A343),tbl_Consulting[Job Number],0)))),""))))</f>
        <v/>
      </c>
    </row>
    <row r="344" ht="15" customHeight="1">
      <c r="A344" s="22" t="n"/>
      <c r="B344" s="22" t="n"/>
      <c r="C344" s="23" t="n"/>
      <c r="D344" s="22" t="n"/>
      <c r="E344" s="24" t="n"/>
      <c r="F344" s="25">
        <f>IF(C344="","",EOMONTH(C344,0))</f>
        <v/>
      </c>
      <c r="G344" s="26">
        <f>IF(A344="","",IF(COUNTIF(tbl_Onsite[Job Number],A344&amp;"")&gt;0,"Onsite",IF(COUNTIF(tbl_Production[Job Number],A344&amp;"")&gt;0,"Production",IF(COUNTIF(tbl_Consulting[Job Number],A344&amp;"")&gt;0,"Consulting","not set up yet"))))</f>
        <v/>
      </c>
      <c r="H344" s="26">
        <f>IF(A344="","",IF(COUNTIF(lst_Jobs,A344&amp;"")&gt;0,"OK","CHECK"))</f>
        <v/>
      </c>
      <c r="I344" s="26">
        <f>IF(A344="","",IFERROR(INDEX(lst_JobName,MATCH(A344&amp;"",lst_Jobs,0)),""))</f>
        <v/>
      </c>
      <c r="J344" s="26">
        <f>IF(A344="","",IFERROR(IF(INDEX(tbl_Onsite[Client],IFERROR(MATCH(A344&amp;"",tbl_Onsite[Job Number],0),MATCH(IFERROR(A344+0,A344),tbl_Onsite[Job Number],0)))="","",INDEX(tbl_Onsite[Client],IFERROR(MATCH(A344&amp;"",tbl_Onsite[Job Number],0),MATCH(IFERROR(A344+0,A344),tbl_Onsite[Job Number],0)))),IFERROR(IF(INDEX(tbl_Production[Client],IFERROR(MATCH(A344&amp;"",tbl_Production[Job Number],0),MATCH(IFERROR(A344+0,A344),tbl_Production[Job Number],0)))="","",INDEX(tbl_Production[Client],IFERROR(MATCH(A344&amp;"",tbl_Production[Job Number],0),MATCH(IFERROR(A344+0,A344),tbl_Production[Job Number],0)))),IFERROR(IF(INDEX(tbl_Consulting[Client],IFERROR(MATCH(A344&amp;"",tbl_Consulting[Job Number],0),MATCH(IFERROR(A344+0,A344),tbl_Consulting[Job Number],0)))="","",INDEX(tbl_Consulting[Client],IFERROR(MATCH(A344&amp;"",tbl_Consulting[Job Number],0),MATCH(IFERROR(A344+0,A344),tbl_Consulting[Job Number],0)))),""))))</f>
        <v/>
      </c>
      <c r="K344" s="26">
        <f>IF(A344="","",IFERROR(IF(INDEX(tbl_Onsite[Job Description],IFERROR(MATCH(A344&amp;"",tbl_Onsite[Job Number],0),MATCH(IFERROR(A344+0,A344),tbl_Onsite[Job Number],0)))="","",INDEX(tbl_Onsite[Job Description],IFERROR(MATCH(A344&amp;"",tbl_Onsite[Job Number],0),MATCH(IFERROR(A344+0,A344),tbl_Onsite[Job Number],0)))),IFERROR(IF(INDEX(tbl_Production[Job Description],IFERROR(MATCH(A344&amp;"",tbl_Production[Job Number],0),MATCH(IFERROR(A344+0,A344),tbl_Production[Job Number],0)))="","",INDEX(tbl_Production[Job Description],IFERROR(MATCH(A344&amp;"",tbl_Production[Job Number],0),MATCH(IFERROR(A344+0,A344),tbl_Production[Job Number],0)))),IFERROR(IF(INDEX(tbl_Consulting[Job Description],IFERROR(MATCH(A344&amp;"",tbl_Consulting[Job Number],0),MATCH(IFERROR(A344+0,A344),tbl_Consulting[Job Number],0)))="","",INDEX(tbl_Consulting[Job Description],IFERROR(MATCH(A344&amp;"",tbl_Consulting[Job Number],0),MATCH(IFERROR(A344+0,A344),tbl_Consulting[Job Number],0)))),""))))</f>
        <v/>
      </c>
      <c r="L344" s="26">
        <f>IF(A344="","",IFERROR(IF(INDEX(tbl_Onsite[Invoice Type],IFERROR(MATCH(A344&amp;"",tbl_Onsite[Job Number],0),MATCH(IFERROR(A344+0,A344),tbl_Onsite[Job Number],0)))="","",INDEX(tbl_Onsite[Invoice Type],IFERROR(MATCH(A344&amp;"",tbl_Onsite[Job Number],0),MATCH(IFERROR(A344+0,A344),tbl_Onsite[Job Number],0)))),IFERROR(IF(INDEX(tbl_Production[Invoice Type],IFERROR(MATCH(A344&amp;"",tbl_Production[Job Number],0),MATCH(IFERROR(A344+0,A344),tbl_Production[Job Number],0)))="","",INDEX(tbl_Production[Invoice Type],IFERROR(MATCH(A344&amp;"",tbl_Production[Job Number],0),MATCH(IFERROR(A344+0,A344),tbl_Production[Job Number],0)))),IFERROR(IF(INDEX(tbl_Consulting[Invoice Type],IFERROR(MATCH(A344&amp;"",tbl_Consulting[Job Number],0),MATCH(IFERROR(A344+0,A344),tbl_Consulting[Job Number],0)))="","",INDEX(tbl_Consulting[Invoice Type],IFERROR(MATCH(A344&amp;"",tbl_Consulting[Job Number],0),MATCH(IFERROR(A344+0,A344),tbl_Consulting[Job Number],0)))),""))))</f>
        <v/>
      </c>
      <c r="M344" s="26">
        <f>IF(A344="","",IF(IFERROR(IF(INDEX(tbl_Onsite[Tax Code],IFERROR(MATCH(A344&amp;"",tbl_Onsite[Job Number],0),MATCH(IFERROR(A344+0,A344),tbl_Onsite[Job Number],0)))="","",INDEX(tbl_Onsite[Tax Code],IFERROR(MATCH(A344&amp;"",tbl_Onsite[Job Number],0),MATCH(IFERROR(A344+0,A344),tbl_Onsite[Job Number],0)))),IFERROR(IF(INDEX(tbl_Production[Tax Code],IFERROR(MATCH(A344&amp;"",tbl_Production[Job Number],0),MATCH(IFERROR(A344+0,A344),tbl_Production[Job Number],0)))="","",INDEX(tbl_Production[Tax Code],IFERROR(MATCH(A344&amp;"",tbl_Production[Job Number],0),MATCH(IFERROR(A344+0,A344),tbl_Production[Job Number],0)))),IFERROR(IF(INDEX(tbl_Consulting[Tax Code],IFERROR(MATCH(A344&amp;"",tbl_Consulting[Job Number],0),MATCH(IFERROR(A344+0,A344),tbl_Consulting[Job Number],0)))="","",INDEX(tbl_Consulting[Tax Code],IFERROR(MATCH(A344&amp;"",tbl_Consulting[Job Number],0),MATCH(IFERROR(A344+0,A344),tbl_Consulting[Job Number],0)))),"")))="","GST 10%",IFERROR(IF(INDEX(tbl_Onsite[Tax Code],IFERROR(MATCH(A344&amp;"",tbl_Onsite[Job Number],0),MATCH(IFERROR(A344+0,A344),tbl_Onsite[Job Number],0)))="","",INDEX(tbl_Onsite[Tax Code],IFERROR(MATCH(A344&amp;"",tbl_Onsite[Job Number],0),MATCH(IFERROR(A344+0,A344),tbl_Onsite[Job Number],0)))),IFERROR(IF(INDEX(tbl_Production[Tax Code],IFERROR(MATCH(A344&amp;"",tbl_Production[Job Number],0),MATCH(IFERROR(A344+0,A344),tbl_Production[Job Number],0)))="","",INDEX(tbl_Production[Tax Code],IFERROR(MATCH(A344&amp;"",tbl_Production[Job Number],0),MATCH(IFERROR(A344+0,A344),tbl_Production[Job Number],0)))),IFERROR(IF(INDEX(tbl_Consulting[Tax Code],IFERROR(MATCH(A344&amp;"",tbl_Consulting[Job Number],0),MATCH(IFERROR(A344+0,A344),tbl_Consulting[Job Number],0)))="","",INDEX(tbl_Consulting[Tax Code],IFERROR(MATCH(A344&amp;"",tbl_Consulting[Job Number],0),MATCH(IFERROR(A344+0,A344),tbl_Consulting[Job Number],0)))),"")))))</f>
        <v/>
      </c>
      <c r="N344" s="26">
        <f>IF(D344="","",IFERROR(INDEX(lst_CCtoGL,MATCH(D344,lst_CCforGL,0)),""))</f>
        <v/>
      </c>
      <c r="O344" s="27">
        <f>IF(E344="","",IF(M344="GST 10%",ROUND(E344*set_GSTRate,2),0))</f>
        <v/>
      </c>
      <c r="P344" s="27">
        <f>IF(E344="","",E344+O344)</f>
        <v/>
      </c>
      <c r="Q344" s="27">
        <f>IF(A344="","",IFERROR(INDEX(tbl_Onsite[Expected Revenue Ex GST],IFERROR(MATCH(A344&amp;"",tbl_Onsite[Job Number],0),MATCH(IFERROR(A344+0,A344),tbl_Onsite[Job Number],0))),IFERROR(INDEX(tbl_Production[Expected Revenue Ex GST],IFERROR(MATCH(A344&amp;"",tbl_Production[Job Number],0),MATCH(IFERROR(A344+0,A344),tbl_Production[Job Number],0))),IFERROR(INDEX(tbl_Consulting[Expected Revenue Ex GST],IFERROR(MATCH(A344&amp;"",tbl_Consulting[Job Number],0),MATCH(IFERROR(A344+0,A344),tbl_Consulting[Job Number],0))),0))))</f>
        <v/>
      </c>
      <c r="R344" s="27">
        <f>IF(A344="","",SUMIFS(tbl_Finance[Ex GST],tbl_Finance[Job Number],A344&amp;""))</f>
        <v/>
      </c>
      <c r="S344" s="27">
        <f>IF(A344="","",Q344-R344)</f>
        <v/>
      </c>
      <c r="T344" s="26">
        <f>IF(A344="","",IF(Q344=0,"No dept value",IF(ROUND(S344,2)=0,"Agrees",IF(S344&gt;0,"Dept higher - to invoice","Xero higher - check dept"))))</f>
        <v/>
      </c>
      <c r="U344" s="22" t="n"/>
      <c r="V344" s="22" t="n"/>
      <c r="W344" s="23" t="n"/>
      <c r="X344" s="23" t="n"/>
      <c r="Y344" s="22" t="n"/>
      <c r="Z344" s="22" t="n"/>
      <c r="AA344" s="26">
        <f>IF(COUNTA(C344,A344,B344,E344)=0,"",IF(C344="","No date - sits outside every month",IF(A344="","No job number",IF(H344="CHECK","Job number is not in the Xero job list",IF(G344="not set up yet","No department has set this job up - nothing can pull through",IF(D344="","No cost centre",IF(AND(U344="Y",B344=""),"Marked posted to Xero but has no invoice number",IF(N344="","Cost centre has no revenue GL on the Lists sheet",IF(T344="Xero higher - check dept","Invoiced more than the department says the job is worth","")))))))))</f>
        <v/>
      </c>
      <c r="AB344" s="28">
        <f>IF(A344="","",COUNTIFS(tbl_Finance[Job Number],A344&amp;"",tbl_Finance[Ex GST],"&lt;&gt;"))</f>
        <v/>
      </c>
      <c r="AC344" s="27">
        <f>IF(A344="","",SUMIFS(tbl_Finance[Ex GST],tbl_Finance[Job Number],A344&amp;""))</f>
        <v/>
      </c>
      <c r="AD344" s="27">
        <f>IF(A344="","",SUMIFS(tbl_Finance[Ex GST],tbl_Finance[Job Number],A344&amp;"",tbl_Finance[Xero Invoice No],"&lt;&gt;"))</f>
        <v/>
      </c>
      <c r="AE344" s="27">
        <f>IF(A344="","",AC344-AD344)</f>
        <v/>
      </c>
      <c r="AF344" s="26">
        <f>IF(A344="","",IFERROR(IF(INDEX(tbl_Onsite[Qwilr Quote],IFERROR(MATCH(A344&amp;"",tbl_Onsite[Job Number],0),MATCH(IFERROR(A344+0,A344),tbl_Onsite[Job Number],0)))="","",INDEX(tbl_Onsite[Qwilr Quote],IFERROR(MATCH(A344&amp;"",tbl_Onsite[Job Number],0),MATCH(IFERROR(A344+0,A344),tbl_Onsite[Job Number],0)))),IFERROR(IF(IF(INDEX(tbl_Production[Current RMS No],IFERROR(MATCH(A344&amp;"",tbl_Production[Job Number],0),MATCH(IFERROR(A344+0,A344),tbl_Production[Job Number],0)))="",INDEX(tbl_Production[Qwilr Quote],IFERROR(MATCH(A344&amp;"",tbl_Production[Job Number],0),MATCH(IFERROR(A344+0,A344),tbl_Production[Job Number],0))),INDEX(tbl_Production[Current RMS No],IFERROR(MATCH(A344&amp;"",tbl_Production[Job Number],0),MATCH(IFERROR(A344+0,A344),tbl_Production[Job Number],0))))="","",IF(INDEX(tbl_Production[Current RMS No],IFERROR(MATCH(A344&amp;"",tbl_Production[Job Number],0),MATCH(IFERROR(A344+0,A344),tbl_Production[Job Number],0)))="",INDEX(tbl_Production[Qwilr Quote],IFERROR(MATCH(A344&amp;"",tbl_Production[Job Number],0),MATCH(IFERROR(A344+0,A344),tbl_Production[Job Number],0))),INDEX(tbl_Production[Current RMS No],IFERROR(MATCH(A344&amp;"",tbl_Production[Job Number],0),MATCH(IFERROR(A344+0,A344),tbl_Production[Job Number],0))))),IFERROR(IF(INDEX(tbl_Consulting[Qwilr Quote],IFERROR(MATCH(A344&amp;"",tbl_Consulting[Job Number],0),MATCH(IFERROR(A344+0,A344),tbl_Consulting[Job Number],0)))="","",INDEX(tbl_Consulting[Qwilr Quote],IFERROR(MATCH(A344&amp;"",tbl_Consulting[Job Number],0),MATCH(IFERROR(A344+0,A344),tbl_Consulting[Job Number],0)))),""))))</f>
        <v/>
      </c>
      <c r="AG344" s="26">
        <f>IF(AF344="","",IF(AND(LEFT(AF344,4)&lt;&gt;"http",IF(G344="Production",set_RMSBase,set_QwilrBase)=""),"",HYPERLINK(IF(LEFT(AF344,4)="http",AF344,IF(G344="Production",set_RMSBase,set_QwilrBase)&amp;AF344),"Open")))</f>
        <v/>
      </c>
      <c r="AH344" s="27">
        <f>IF(A344="","",IFERROR(INDEX(tbl_Production[Total Expense],IFERROR(MATCH(A344&amp;"",tbl_Production[Job Number],0),MATCH(IFERROR(A344+0,A344),tbl_Production[Job Number],0))),IFERROR(INDEX(tbl_Consulting[Total Expense],IFERROR(MATCH(A344&amp;"",tbl_Consulting[Job Number],0),MATCH(IFERROR(A344+0,A344),tbl_Consulting[Job Number],0))),0)))</f>
        <v/>
      </c>
      <c r="AI344" s="27">
        <f>IF(A344="","",AC344-N(AH344))</f>
        <v/>
      </c>
      <c r="AJ344" s="29">
        <f>IFERROR(AI344/AC344,"")</f>
        <v/>
      </c>
      <c r="AK344" s="26">
        <f>IF(A344="","",IFERROR(IF(INDEX(tbl_Onsite[Notes],IFERROR(MATCH(A344&amp;"",tbl_Onsite[Job Number],0),MATCH(IFERROR(A344+0,A344),tbl_Onsite[Job Number],0)))="","",INDEX(tbl_Onsite[Notes],IFERROR(MATCH(A344&amp;"",tbl_Onsite[Job Number],0),MATCH(IFERROR(A344+0,A344),tbl_Onsite[Job Number],0)))),IFERROR(IF(INDEX(tbl_Production[Notes],IFERROR(MATCH(A344&amp;"",tbl_Production[Job Number],0),MATCH(IFERROR(A344+0,A344),tbl_Production[Job Number],0)))="","",INDEX(tbl_Production[Notes],IFERROR(MATCH(A344&amp;"",tbl_Production[Job Number],0),MATCH(IFERROR(A344+0,A344),tbl_Production[Job Number],0)))),IFERROR(IF(INDEX(tbl_Consulting[Notes],IFERROR(MATCH(A344&amp;"",tbl_Consulting[Job Number],0),MATCH(IFERROR(A344+0,A344),tbl_Consulting[Job Number],0)))="","",INDEX(tbl_Consulting[Notes],IFERROR(MATCH(A344&amp;"",tbl_Consulting[Job Number],0),MATCH(IFERROR(A344+0,A344),tbl_Consulting[Job Number],0)))),""))))</f>
        <v/>
      </c>
    </row>
    <row r="345" ht="15" customHeight="1">
      <c r="A345" s="22" t="n"/>
      <c r="B345" s="22" t="n"/>
      <c r="C345" s="23" t="n"/>
      <c r="D345" s="22" t="n"/>
      <c r="E345" s="24" t="n"/>
      <c r="F345" s="25">
        <f>IF(C345="","",EOMONTH(C345,0))</f>
        <v/>
      </c>
      <c r="G345" s="26">
        <f>IF(A345="","",IF(COUNTIF(tbl_Onsite[Job Number],A345&amp;"")&gt;0,"Onsite",IF(COUNTIF(tbl_Production[Job Number],A345&amp;"")&gt;0,"Production",IF(COUNTIF(tbl_Consulting[Job Number],A345&amp;"")&gt;0,"Consulting","not set up yet"))))</f>
        <v/>
      </c>
      <c r="H345" s="26">
        <f>IF(A345="","",IF(COUNTIF(lst_Jobs,A345&amp;"")&gt;0,"OK","CHECK"))</f>
        <v/>
      </c>
      <c r="I345" s="26">
        <f>IF(A345="","",IFERROR(INDEX(lst_JobName,MATCH(A345&amp;"",lst_Jobs,0)),""))</f>
        <v/>
      </c>
      <c r="J345" s="26">
        <f>IF(A345="","",IFERROR(IF(INDEX(tbl_Onsite[Client],IFERROR(MATCH(A345&amp;"",tbl_Onsite[Job Number],0),MATCH(IFERROR(A345+0,A345),tbl_Onsite[Job Number],0)))="","",INDEX(tbl_Onsite[Client],IFERROR(MATCH(A345&amp;"",tbl_Onsite[Job Number],0),MATCH(IFERROR(A345+0,A345),tbl_Onsite[Job Number],0)))),IFERROR(IF(INDEX(tbl_Production[Client],IFERROR(MATCH(A345&amp;"",tbl_Production[Job Number],0),MATCH(IFERROR(A345+0,A345),tbl_Production[Job Number],0)))="","",INDEX(tbl_Production[Client],IFERROR(MATCH(A345&amp;"",tbl_Production[Job Number],0),MATCH(IFERROR(A345+0,A345),tbl_Production[Job Number],0)))),IFERROR(IF(INDEX(tbl_Consulting[Client],IFERROR(MATCH(A345&amp;"",tbl_Consulting[Job Number],0),MATCH(IFERROR(A345+0,A345),tbl_Consulting[Job Number],0)))="","",INDEX(tbl_Consulting[Client],IFERROR(MATCH(A345&amp;"",tbl_Consulting[Job Number],0),MATCH(IFERROR(A345+0,A345),tbl_Consulting[Job Number],0)))),""))))</f>
        <v/>
      </c>
      <c r="K345" s="26">
        <f>IF(A345="","",IFERROR(IF(INDEX(tbl_Onsite[Job Description],IFERROR(MATCH(A345&amp;"",tbl_Onsite[Job Number],0),MATCH(IFERROR(A345+0,A345),tbl_Onsite[Job Number],0)))="","",INDEX(tbl_Onsite[Job Description],IFERROR(MATCH(A345&amp;"",tbl_Onsite[Job Number],0),MATCH(IFERROR(A345+0,A345),tbl_Onsite[Job Number],0)))),IFERROR(IF(INDEX(tbl_Production[Job Description],IFERROR(MATCH(A345&amp;"",tbl_Production[Job Number],0),MATCH(IFERROR(A345+0,A345),tbl_Production[Job Number],0)))="","",INDEX(tbl_Production[Job Description],IFERROR(MATCH(A345&amp;"",tbl_Production[Job Number],0),MATCH(IFERROR(A345+0,A345),tbl_Production[Job Number],0)))),IFERROR(IF(INDEX(tbl_Consulting[Job Description],IFERROR(MATCH(A345&amp;"",tbl_Consulting[Job Number],0),MATCH(IFERROR(A345+0,A345),tbl_Consulting[Job Number],0)))="","",INDEX(tbl_Consulting[Job Description],IFERROR(MATCH(A345&amp;"",tbl_Consulting[Job Number],0),MATCH(IFERROR(A345+0,A345),tbl_Consulting[Job Number],0)))),""))))</f>
        <v/>
      </c>
      <c r="L345" s="26">
        <f>IF(A345="","",IFERROR(IF(INDEX(tbl_Onsite[Invoice Type],IFERROR(MATCH(A345&amp;"",tbl_Onsite[Job Number],0),MATCH(IFERROR(A345+0,A345),tbl_Onsite[Job Number],0)))="","",INDEX(tbl_Onsite[Invoice Type],IFERROR(MATCH(A345&amp;"",tbl_Onsite[Job Number],0),MATCH(IFERROR(A345+0,A345),tbl_Onsite[Job Number],0)))),IFERROR(IF(INDEX(tbl_Production[Invoice Type],IFERROR(MATCH(A345&amp;"",tbl_Production[Job Number],0),MATCH(IFERROR(A345+0,A345),tbl_Production[Job Number],0)))="","",INDEX(tbl_Production[Invoice Type],IFERROR(MATCH(A345&amp;"",tbl_Production[Job Number],0),MATCH(IFERROR(A345+0,A345),tbl_Production[Job Number],0)))),IFERROR(IF(INDEX(tbl_Consulting[Invoice Type],IFERROR(MATCH(A345&amp;"",tbl_Consulting[Job Number],0),MATCH(IFERROR(A345+0,A345),tbl_Consulting[Job Number],0)))="","",INDEX(tbl_Consulting[Invoice Type],IFERROR(MATCH(A345&amp;"",tbl_Consulting[Job Number],0),MATCH(IFERROR(A345+0,A345),tbl_Consulting[Job Number],0)))),""))))</f>
        <v/>
      </c>
      <c r="M345" s="26">
        <f>IF(A345="","",IF(IFERROR(IF(INDEX(tbl_Onsite[Tax Code],IFERROR(MATCH(A345&amp;"",tbl_Onsite[Job Number],0),MATCH(IFERROR(A345+0,A345),tbl_Onsite[Job Number],0)))="","",INDEX(tbl_Onsite[Tax Code],IFERROR(MATCH(A345&amp;"",tbl_Onsite[Job Number],0),MATCH(IFERROR(A345+0,A345),tbl_Onsite[Job Number],0)))),IFERROR(IF(INDEX(tbl_Production[Tax Code],IFERROR(MATCH(A345&amp;"",tbl_Production[Job Number],0),MATCH(IFERROR(A345+0,A345),tbl_Production[Job Number],0)))="","",INDEX(tbl_Production[Tax Code],IFERROR(MATCH(A345&amp;"",tbl_Production[Job Number],0),MATCH(IFERROR(A345+0,A345),tbl_Production[Job Number],0)))),IFERROR(IF(INDEX(tbl_Consulting[Tax Code],IFERROR(MATCH(A345&amp;"",tbl_Consulting[Job Number],0),MATCH(IFERROR(A345+0,A345),tbl_Consulting[Job Number],0)))="","",INDEX(tbl_Consulting[Tax Code],IFERROR(MATCH(A345&amp;"",tbl_Consulting[Job Number],0),MATCH(IFERROR(A345+0,A345),tbl_Consulting[Job Number],0)))),"")))="","GST 10%",IFERROR(IF(INDEX(tbl_Onsite[Tax Code],IFERROR(MATCH(A345&amp;"",tbl_Onsite[Job Number],0),MATCH(IFERROR(A345+0,A345),tbl_Onsite[Job Number],0)))="","",INDEX(tbl_Onsite[Tax Code],IFERROR(MATCH(A345&amp;"",tbl_Onsite[Job Number],0),MATCH(IFERROR(A345+0,A345),tbl_Onsite[Job Number],0)))),IFERROR(IF(INDEX(tbl_Production[Tax Code],IFERROR(MATCH(A345&amp;"",tbl_Production[Job Number],0),MATCH(IFERROR(A345+0,A345),tbl_Production[Job Number],0)))="","",INDEX(tbl_Production[Tax Code],IFERROR(MATCH(A345&amp;"",tbl_Production[Job Number],0),MATCH(IFERROR(A345+0,A345),tbl_Production[Job Number],0)))),IFERROR(IF(INDEX(tbl_Consulting[Tax Code],IFERROR(MATCH(A345&amp;"",tbl_Consulting[Job Number],0),MATCH(IFERROR(A345+0,A345),tbl_Consulting[Job Number],0)))="","",INDEX(tbl_Consulting[Tax Code],IFERROR(MATCH(A345&amp;"",tbl_Consulting[Job Number],0),MATCH(IFERROR(A345+0,A345),tbl_Consulting[Job Number],0)))),"")))))</f>
        <v/>
      </c>
      <c r="N345" s="26">
        <f>IF(D345="","",IFERROR(INDEX(lst_CCtoGL,MATCH(D345,lst_CCforGL,0)),""))</f>
        <v/>
      </c>
      <c r="O345" s="27">
        <f>IF(E345="","",IF(M345="GST 10%",ROUND(E345*set_GSTRate,2),0))</f>
        <v/>
      </c>
      <c r="P345" s="27">
        <f>IF(E345="","",E345+O345)</f>
        <v/>
      </c>
      <c r="Q345" s="27">
        <f>IF(A345="","",IFERROR(INDEX(tbl_Onsite[Expected Revenue Ex GST],IFERROR(MATCH(A345&amp;"",tbl_Onsite[Job Number],0),MATCH(IFERROR(A345+0,A345),tbl_Onsite[Job Number],0))),IFERROR(INDEX(tbl_Production[Expected Revenue Ex GST],IFERROR(MATCH(A345&amp;"",tbl_Production[Job Number],0),MATCH(IFERROR(A345+0,A345),tbl_Production[Job Number],0))),IFERROR(INDEX(tbl_Consulting[Expected Revenue Ex GST],IFERROR(MATCH(A345&amp;"",tbl_Consulting[Job Number],0),MATCH(IFERROR(A345+0,A345),tbl_Consulting[Job Number],0))),0))))</f>
        <v/>
      </c>
      <c r="R345" s="27">
        <f>IF(A345="","",SUMIFS(tbl_Finance[Ex GST],tbl_Finance[Job Number],A345&amp;""))</f>
        <v/>
      </c>
      <c r="S345" s="27">
        <f>IF(A345="","",Q345-R345)</f>
        <v/>
      </c>
      <c r="T345" s="26">
        <f>IF(A345="","",IF(Q345=0,"No dept value",IF(ROUND(S345,2)=0,"Agrees",IF(S345&gt;0,"Dept higher - to invoice","Xero higher - check dept"))))</f>
        <v/>
      </c>
      <c r="U345" s="22" t="n"/>
      <c r="V345" s="22" t="n"/>
      <c r="W345" s="23" t="n"/>
      <c r="X345" s="23" t="n"/>
      <c r="Y345" s="22" t="n"/>
      <c r="Z345" s="22" t="n"/>
      <c r="AA345" s="26">
        <f>IF(COUNTA(C345,A345,B345,E345)=0,"",IF(C345="","No date - sits outside every month",IF(A345="","No job number",IF(H345="CHECK","Job number is not in the Xero job list",IF(G345="not set up yet","No department has set this job up - nothing can pull through",IF(D345="","No cost centre",IF(AND(U345="Y",B345=""),"Marked posted to Xero but has no invoice number",IF(N345="","Cost centre has no revenue GL on the Lists sheet",IF(T345="Xero higher - check dept","Invoiced more than the department says the job is worth","")))))))))</f>
        <v/>
      </c>
      <c r="AB345" s="28">
        <f>IF(A345="","",COUNTIFS(tbl_Finance[Job Number],A345&amp;"",tbl_Finance[Ex GST],"&lt;&gt;"))</f>
        <v/>
      </c>
      <c r="AC345" s="27">
        <f>IF(A345="","",SUMIFS(tbl_Finance[Ex GST],tbl_Finance[Job Number],A345&amp;""))</f>
        <v/>
      </c>
      <c r="AD345" s="27">
        <f>IF(A345="","",SUMIFS(tbl_Finance[Ex GST],tbl_Finance[Job Number],A345&amp;"",tbl_Finance[Xero Invoice No],"&lt;&gt;"))</f>
        <v/>
      </c>
      <c r="AE345" s="27">
        <f>IF(A345="","",AC345-AD345)</f>
        <v/>
      </c>
      <c r="AF345" s="26">
        <f>IF(A345="","",IFERROR(IF(INDEX(tbl_Onsite[Qwilr Quote],IFERROR(MATCH(A345&amp;"",tbl_Onsite[Job Number],0),MATCH(IFERROR(A345+0,A345),tbl_Onsite[Job Number],0)))="","",INDEX(tbl_Onsite[Qwilr Quote],IFERROR(MATCH(A345&amp;"",tbl_Onsite[Job Number],0),MATCH(IFERROR(A345+0,A345),tbl_Onsite[Job Number],0)))),IFERROR(IF(IF(INDEX(tbl_Production[Current RMS No],IFERROR(MATCH(A345&amp;"",tbl_Production[Job Number],0),MATCH(IFERROR(A345+0,A345),tbl_Production[Job Number],0)))="",INDEX(tbl_Production[Qwilr Quote],IFERROR(MATCH(A345&amp;"",tbl_Production[Job Number],0),MATCH(IFERROR(A345+0,A345),tbl_Production[Job Number],0))),INDEX(tbl_Production[Current RMS No],IFERROR(MATCH(A345&amp;"",tbl_Production[Job Number],0),MATCH(IFERROR(A345+0,A345),tbl_Production[Job Number],0))))="","",IF(INDEX(tbl_Production[Current RMS No],IFERROR(MATCH(A345&amp;"",tbl_Production[Job Number],0),MATCH(IFERROR(A345+0,A345),tbl_Production[Job Number],0)))="",INDEX(tbl_Production[Qwilr Quote],IFERROR(MATCH(A345&amp;"",tbl_Production[Job Number],0),MATCH(IFERROR(A345+0,A345),tbl_Production[Job Number],0))),INDEX(tbl_Production[Current RMS No],IFERROR(MATCH(A345&amp;"",tbl_Production[Job Number],0),MATCH(IFERROR(A345+0,A345),tbl_Production[Job Number],0))))),IFERROR(IF(INDEX(tbl_Consulting[Qwilr Quote],IFERROR(MATCH(A345&amp;"",tbl_Consulting[Job Number],0),MATCH(IFERROR(A345+0,A345),tbl_Consulting[Job Number],0)))="","",INDEX(tbl_Consulting[Qwilr Quote],IFERROR(MATCH(A345&amp;"",tbl_Consulting[Job Number],0),MATCH(IFERROR(A345+0,A345),tbl_Consulting[Job Number],0)))),""))))</f>
        <v/>
      </c>
      <c r="AG345" s="26">
        <f>IF(AF345="","",IF(AND(LEFT(AF345,4)&lt;&gt;"http",IF(G345="Production",set_RMSBase,set_QwilrBase)=""),"",HYPERLINK(IF(LEFT(AF345,4)="http",AF345,IF(G345="Production",set_RMSBase,set_QwilrBase)&amp;AF345),"Open")))</f>
        <v/>
      </c>
      <c r="AH345" s="27">
        <f>IF(A345="","",IFERROR(INDEX(tbl_Production[Total Expense],IFERROR(MATCH(A345&amp;"",tbl_Production[Job Number],0),MATCH(IFERROR(A345+0,A345),tbl_Production[Job Number],0))),IFERROR(INDEX(tbl_Consulting[Total Expense],IFERROR(MATCH(A345&amp;"",tbl_Consulting[Job Number],0),MATCH(IFERROR(A345+0,A345),tbl_Consulting[Job Number],0))),0)))</f>
        <v/>
      </c>
      <c r="AI345" s="27">
        <f>IF(A345="","",AC345-N(AH345))</f>
        <v/>
      </c>
      <c r="AJ345" s="29">
        <f>IFERROR(AI345/AC345,"")</f>
        <v/>
      </c>
      <c r="AK345" s="26">
        <f>IF(A345="","",IFERROR(IF(INDEX(tbl_Onsite[Notes],IFERROR(MATCH(A345&amp;"",tbl_Onsite[Job Number],0),MATCH(IFERROR(A345+0,A345),tbl_Onsite[Job Number],0)))="","",INDEX(tbl_Onsite[Notes],IFERROR(MATCH(A345&amp;"",tbl_Onsite[Job Number],0),MATCH(IFERROR(A345+0,A345),tbl_Onsite[Job Number],0)))),IFERROR(IF(INDEX(tbl_Production[Notes],IFERROR(MATCH(A345&amp;"",tbl_Production[Job Number],0),MATCH(IFERROR(A345+0,A345),tbl_Production[Job Number],0)))="","",INDEX(tbl_Production[Notes],IFERROR(MATCH(A345&amp;"",tbl_Production[Job Number],0),MATCH(IFERROR(A345+0,A345),tbl_Production[Job Number],0)))),IFERROR(IF(INDEX(tbl_Consulting[Notes],IFERROR(MATCH(A345&amp;"",tbl_Consulting[Job Number],0),MATCH(IFERROR(A345+0,A345),tbl_Consulting[Job Number],0)))="","",INDEX(tbl_Consulting[Notes],IFERROR(MATCH(A345&amp;"",tbl_Consulting[Job Number],0),MATCH(IFERROR(A345+0,A345),tbl_Consulting[Job Number],0)))),""))))</f>
        <v/>
      </c>
    </row>
    <row r="346" ht="15" customHeight="1">
      <c r="A346" s="22" t="n"/>
      <c r="B346" s="22" t="n"/>
      <c r="C346" s="23" t="n"/>
      <c r="D346" s="22" t="n"/>
      <c r="E346" s="24" t="n"/>
      <c r="F346" s="25">
        <f>IF(C346="","",EOMONTH(C346,0))</f>
        <v/>
      </c>
      <c r="G346" s="26">
        <f>IF(A346="","",IF(COUNTIF(tbl_Onsite[Job Number],A346&amp;"")&gt;0,"Onsite",IF(COUNTIF(tbl_Production[Job Number],A346&amp;"")&gt;0,"Production",IF(COUNTIF(tbl_Consulting[Job Number],A346&amp;"")&gt;0,"Consulting","not set up yet"))))</f>
        <v/>
      </c>
      <c r="H346" s="26">
        <f>IF(A346="","",IF(COUNTIF(lst_Jobs,A346&amp;"")&gt;0,"OK","CHECK"))</f>
        <v/>
      </c>
      <c r="I346" s="26">
        <f>IF(A346="","",IFERROR(INDEX(lst_JobName,MATCH(A346&amp;"",lst_Jobs,0)),""))</f>
        <v/>
      </c>
      <c r="J346" s="26">
        <f>IF(A346="","",IFERROR(IF(INDEX(tbl_Onsite[Client],IFERROR(MATCH(A346&amp;"",tbl_Onsite[Job Number],0),MATCH(IFERROR(A346+0,A346),tbl_Onsite[Job Number],0)))="","",INDEX(tbl_Onsite[Client],IFERROR(MATCH(A346&amp;"",tbl_Onsite[Job Number],0),MATCH(IFERROR(A346+0,A346),tbl_Onsite[Job Number],0)))),IFERROR(IF(INDEX(tbl_Production[Client],IFERROR(MATCH(A346&amp;"",tbl_Production[Job Number],0),MATCH(IFERROR(A346+0,A346),tbl_Production[Job Number],0)))="","",INDEX(tbl_Production[Client],IFERROR(MATCH(A346&amp;"",tbl_Production[Job Number],0),MATCH(IFERROR(A346+0,A346),tbl_Production[Job Number],0)))),IFERROR(IF(INDEX(tbl_Consulting[Client],IFERROR(MATCH(A346&amp;"",tbl_Consulting[Job Number],0),MATCH(IFERROR(A346+0,A346),tbl_Consulting[Job Number],0)))="","",INDEX(tbl_Consulting[Client],IFERROR(MATCH(A346&amp;"",tbl_Consulting[Job Number],0),MATCH(IFERROR(A346+0,A346),tbl_Consulting[Job Number],0)))),""))))</f>
        <v/>
      </c>
      <c r="K346" s="26">
        <f>IF(A346="","",IFERROR(IF(INDEX(tbl_Onsite[Job Description],IFERROR(MATCH(A346&amp;"",tbl_Onsite[Job Number],0),MATCH(IFERROR(A346+0,A346),tbl_Onsite[Job Number],0)))="","",INDEX(tbl_Onsite[Job Description],IFERROR(MATCH(A346&amp;"",tbl_Onsite[Job Number],0),MATCH(IFERROR(A346+0,A346),tbl_Onsite[Job Number],0)))),IFERROR(IF(INDEX(tbl_Production[Job Description],IFERROR(MATCH(A346&amp;"",tbl_Production[Job Number],0),MATCH(IFERROR(A346+0,A346),tbl_Production[Job Number],0)))="","",INDEX(tbl_Production[Job Description],IFERROR(MATCH(A346&amp;"",tbl_Production[Job Number],0),MATCH(IFERROR(A346+0,A346),tbl_Production[Job Number],0)))),IFERROR(IF(INDEX(tbl_Consulting[Job Description],IFERROR(MATCH(A346&amp;"",tbl_Consulting[Job Number],0),MATCH(IFERROR(A346+0,A346),tbl_Consulting[Job Number],0)))="","",INDEX(tbl_Consulting[Job Description],IFERROR(MATCH(A346&amp;"",tbl_Consulting[Job Number],0),MATCH(IFERROR(A346+0,A346),tbl_Consulting[Job Number],0)))),""))))</f>
        <v/>
      </c>
      <c r="L346" s="26">
        <f>IF(A346="","",IFERROR(IF(INDEX(tbl_Onsite[Invoice Type],IFERROR(MATCH(A346&amp;"",tbl_Onsite[Job Number],0),MATCH(IFERROR(A346+0,A346),tbl_Onsite[Job Number],0)))="","",INDEX(tbl_Onsite[Invoice Type],IFERROR(MATCH(A346&amp;"",tbl_Onsite[Job Number],0),MATCH(IFERROR(A346+0,A346),tbl_Onsite[Job Number],0)))),IFERROR(IF(INDEX(tbl_Production[Invoice Type],IFERROR(MATCH(A346&amp;"",tbl_Production[Job Number],0),MATCH(IFERROR(A346+0,A346),tbl_Production[Job Number],0)))="","",INDEX(tbl_Production[Invoice Type],IFERROR(MATCH(A346&amp;"",tbl_Production[Job Number],0),MATCH(IFERROR(A346+0,A346),tbl_Production[Job Number],0)))),IFERROR(IF(INDEX(tbl_Consulting[Invoice Type],IFERROR(MATCH(A346&amp;"",tbl_Consulting[Job Number],0),MATCH(IFERROR(A346+0,A346),tbl_Consulting[Job Number],0)))="","",INDEX(tbl_Consulting[Invoice Type],IFERROR(MATCH(A346&amp;"",tbl_Consulting[Job Number],0),MATCH(IFERROR(A346+0,A346),tbl_Consulting[Job Number],0)))),""))))</f>
        <v/>
      </c>
      <c r="M346" s="26">
        <f>IF(A346="","",IF(IFERROR(IF(INDEX(tbl_Onsite[Tax Code],IFERROR(MATCH(A346&amp;"",tbl_Onsite[Job Number],0),MATCH(IFERROR(A346+0,A346),tbl_Onsite[Job Number],0)))="","",INDEX(tbl_Onsite[Tax Code],IFERROR(MATCH(A346&amp;"",tbl_Onsite[Job Number],0),MATCH(IFERROR(A346+0,A346),tbl_Onsite[Job Number],0)))),IFERROR(IF(INDEX(tbl_Production[Tax Code],IFERROR(MATCH(A346&amp;"",tbl_Production[Job Number],0),MATCH(IFERROR(A346+0,A346),tbl_Production[Job Number],0)))="","",INDEX(tbl_Production[Tax Code],IFERROR(MATCH(A346&amp;"",tbl_Production[Job Number],0),MATCH(IFERROR(A346+0,A346),tbl_Production[Job Number],0)))),IFERROR(IF(INDEX(tbl_Consulting[Tax Code],IFERROR(MATCH(A346&amp;"",tbl_Consulting[Job Number],0),MATCH(IFERROR(A346+0,A346),tbl_Consulting[Job Number],0)))="","",INDEX(tbl_Consulting[Tax Code],IFERROR(MATCH(A346&amp;"",tbl_Consulting[Job Number],0),MATCH(IFERROR(A346+0,A346),tbl_Consulting[Job Number],0)))),"")))="","GST 10%",IFERROR(IF(INDEX(tbl_Onsite[Tax Code],IFERROR(MATCH(A346&amp;"",tbl_Onsite[Job Number],0),MATCH(IFERROR(A346+0,A346),tbl_Onsite[Job Number],0)))="","",INDEX(tbl_Onsite[Tax Code],IFERROR(MATCH(A346&amp;"",tbl_Onsite[Job Number],0),MATCH(IFERROR(A346+0,A346),tbl_Onsite[Job Number],0)))),IFERROR(IF(INDEX(tbl_Production[Tax Code],IFERROR(MATCH(A346&amp;"",tbl_Production[Job Number],0),MATCH(IFERROR(A346+0,A346),tbl_Production[Job Number],0)))="","",INDEX(tbl_Production[Tax Code],IFERROR(MATCH(A346&amp;"",tbl_Production[Job Number],0),MATCH(IFERROR(A346+0,A346),tbl_Production[Job Number],0)))),IFERROR(IF(INDEX(tbl_Consulting[Tax Code],IFERROR(MATCH(A346&amp;"",tbl_Consulting[Job Number],0),MATCH(IFERROR(A346+0,A346),tbl_Consulting[Job Number],0)))="","",INDEX(tbl_Consulting[Tax Code],IFERROR(MATCH(A346&amp;"",tbl_Consulting[Job Number],0),MATCH(IFERROR(A346+0,A346),tbl_Consulting[Job Number],0)))),"")))))</f>
        <v/>
      </c>
      <c r="N346" s="26">
        <f>IF(D346="","",IFERROR(INDEX(lst_CCtoGL,MATCH(D346,lst_CCforGL,0)),""))</f>
        <v/>
      </c>
      <c r="O346" s="27">
        <f>IF(E346="","",IF(M346="GST 10%",ROUND(E346*set_GSTRate,2),0))</f>
        <v/>
      </c>
      <c r="P346" s="27">
        <f>IF(E346="","",E346+O346)</f>
        <v/>
      </c>
      <c r="Q346" s="27">
        <f>IF(A346="","",IFERROR(INDEX(tbl_Onsite[Expected Revenue Ex GST],IFERROR(MATCH(A346&amp;"",tbl_Onsite[Job Number],0),MATCH(IFERROR(A346+0,A346),tbl_Onsite[Job Number],0))),IFERROR(INDEX(tbl_Production[Expected Revenue Ex GST],IFERROR(MATCH(A346&amp;"",tbl_Production[Job Number],0),MATCH(IFERROR(A346+0,A346),tbl_Production[Job Number],0))),IFERROR(INDEX(tbl_Consulting[Expected Revenue Ex GST],IFERROR(MATCH(A346&amp;"",tbl_Consulting[Job Number],0),MATCH(IFERROR(A346+0,A346),tbl_Consulting[Job Number],0))),0))))</f>
        <v/>
      </c>
      <c r="R346" s="27">
        <f>IF(A346="","",SUMIFS(tbl_Finance[Ex GST],tbl_Finance[Job Number],A346&amp;""))</f>
        <v/>
      </c>
      <c r="S346" s="27">
        <f>IF(A346="","",Q346-R346)</f>
        <v/>
      </c>
      <c r="T346" s="26">
        <f>IF(A346="","",IF(Q346=0,"No dept value",IF(ROUND(S346,2)=0,"Agrees",IF(S346&gt;0,"Dept higher - to invoice","Xero higher - check dept"))))</f>
        <v/>
      </c>
      <c r="U346" s="22" t="n"/>
      <c r="V346" s="22" t="n"/>
      <c r="W346" s="23" t="n"/>
      <c r="X346" s="23" t="n"/>
      <c r="Y346" s="22" t="n"/>
      <c r="Z346" s="22" t="n"/>
      <c r="AA346" s="26">
        <f>IF(COUNTA(C346,A346,B346,E346)=0,"",IF(C346="","No date - sits outside every month",IF(A346="","No job number",IF(H346="CHECK","Job number is not in the Xero job list",IF(G346="not set up yet","No department has set this job up - nothing can pull through",IF(D346="","No cost centre",IF(AND(U346="Y",B346=""),"Marked posted to Xero but has no invoice number",IF(N346="","Cost centre has no revenue GL on the Lists sheet",IF(T346="Xero higher - check dept","Invoiced more than the department says the job is worth","")))))))))</f>
        <v/>
      </c>
      <c r="AB346" s="28">
        <f>IF(A346="","",COUNTIFS(tbl_Finance[Job Number],A346&amp;"",tbl_Finance[Ex GST],"&lt;&gt;"))</f>
        <v/>
      </c>
      <c r="AC346" s="27">
        <f>IF(A346="","",SUMIFS(tbl_Finance[Ex GST],tbl_Finance[Job Number],A346&amp;""))</f>
        <v/>
      </c>
      <c r="AD346" s="27">
        <f>IF(A346="","",SUMIFS(tbl_Finance[Ex GST],tbl_Finance[Job Number],A346&amp;"",tbl_Finance[Xero Invoice No],"&lt;&gt;"))</f>
        <v/>
      </c>
      <c r="AE346" s="27">
        <f>IF(A346="","",AC346-AD346)</f>
        <v/>
      </c>
      <c r="AF346" s="26">
        <f>IF(A346="","",IFERROR(IF(INDEX(tbl_Onsite[Qwilr Quote],IFERROR(MATCH(A346&amp;"",tbl_Onsite[Job Number],0),MATCH(IFERROR(A346+0,A346),tbl_Onsite[Job Number],0)))="","",INDEX(tbl_Onsite[Qwilr Quote],IFERROR(MATCH(A346&amp;"",tbl_Onsite[Job Number],0),MATCH(IFERROR(A346+0,A346),tbl_Onsite[Job Number],0)))),IFERROR(IF(IF(INDEX(tbl_Production[Current RMS No],IFERROR(MATCH(A346&amp;"",tbl_Production[Job Number],0),MATCH(IFERROR(A346+0,A346),tbl_Production[Job Number],0)))="",INDEX(tbl_Production[Qwilr Quote],IFERROR(MATCH(A346&amp;"",tbl_Production[Job Number],0),MATCH(IFERROR(A346+0,A346),tbl_Production[Job Number],0))),INDEX(tbl_Production[Current RMS No],IFERROR(MATCH(A346&amp;"",tbl_Production[Job Number],0),MATCH(IFERROR(A346+0,A346),tbl_Production[Job Number],0))))="","",IF(INDEX(tbl_Production[Current RMS No],IFERROR(MATCH(A346&amp;"",tbl_Production[Job Number],0),MATCH(IFERROR(A346+0,A346),tbl_Production[Job Number],0)))="",INDEX(tbl_Production[Qwilr Quote],IFERROR(MATCH(A346&amp;"",tbl_Production[Job Number],0),MATCH(IFERROR(A346+0,A346),tbl_Production[Job Number],0))),INDEX(tbl_Production[Current RMS No],IFERROR(MATCH(A346&amp;"",tbl_Production[Job Number],0),MATCH(IFERROR(A346+0,A346),tbl_Production[Job Number],0))))),IFERROR(IF(INDEX(tbl_Consulting[Qwilr Quote],IFERROR(MATCH(A346&amp;"",tbl_Consulting[Job Number],0),MATCH(IFERROR(A346+0,A346),tbl_Consulting[Job Number],0)))="","",INDEX(tbl_Consulting[Qwilr Quote],IFERROR(MATCH(A346&amp;"",tbl_Consulting[Job Number],0),MATCH(IFERROR(A346+0,A346),tbl_Consulting[Job Number],0)))),""))))</f>
        <v/>
      </c>
      <c r="AG346" s="26">
        <f>IF(AF346="","",IF(AND(LEFT(AF346,4)&lt;&gt;"http",IF(G346="Production",set_RMSBase,set_QwilrBase)=""),"",HYPERLINK(IF(LEFT(AF346,4)="http",AF346,IF(G346="Production",set_RMSBase,set_QwilrBase)&amp;AF346),"Open")))</f>
        <v/>
      </c>
      <c r="AH346" s="27">
        <f>IF(A346="","",IFERROR(INDEX(tbl_Production[Total Expense],IFERROR(MATCH(A346&amp;"",tbl_Production[Job Number],0),MATCH(IFERROR(A346+0,A346),tbl_Production[Job Number],0))),IFERROR(INDEX(tbl_Consulting[Total Expense],IFERROR(MATCH(A346&amp;"",tbl_Consulting[Job Number],0),MATCH(IFERROR(A346+0,A346),tbl_Consulting[Job Number],0))),0)))</f>
        <v/>
      </c>
      <c r="AI346" s="27">
        <f>IF(A346="","",AC346-N(AH346))</f>
        <v/>
      </c>
      <c r="AJ346" s="29">
        <f>IFERROR(AI346/AC346,"")</f>
        <v/>
      </c>
      <c r="AK346" s="26">
        <f>IF(A346="","",IFERROR(IF(INDEX(tbl_Onsite[Notes],IFERROR(MATCH(A346&amp;"",tbl_Onsite[Job Number],0),MATCH(IFERROR(A346+0,A346),tbl_Onsite[Job Number],0)))="","",INDEX(tbl_Onsite[Notes],IFERROR(MATCH(A346&amp;"",tbl_Onsite[Job Number],0),MATCH(IFERROR(A346+0,A346),tbl_Onsite[Job Number],0)))),IFERROR(IF(INDEX(tbl_Production[Notes],IFERROR(MATCH(A346&amp;"",tbl_Production[Job Number],0),MATCH(IFERROR(A346+0,A346),tbl_Production[Job Number],0)))="","",INDEX(tbl_Production[Notes],IFERROR(MATCH(A346&amp;"",tbl_Production[Job Number],0),MATCH(IFERROR(A346+0,A346),tbl_Production[Job Number],0)))),IFERROR(IF(INDEX(tbl_Consulting[Notes],IFERROR(MATCH(A346&amp;"",tbl_Consulting[Job Number],0),MATCH(IFERROR(A346+0,A346),tbl_Consulting[Job Number],0)))="","",INDEX(tbl_Consulting[Notes],IFERROR(MATCH(A346&amp;"",tbl_Consulting[Job Number],0),MATCH(IFERROR(A346+0,A346),tbl_Consulting[Job Number],0)))),""))))</f>
        <v/>
      </c>
    </row>
    <row r="347" ht="15" customHeight="1">
      <c r="A347" s="22" t="n"/>
      <c r="B347" s="22" t="n"/>
      <c r="C347" s="23" t="n"/>
      <c r="D347" s="22" t="n"/>
      <c r="E347" s="24" t="n"/>
      <c r="F347" s="25">
        <f>IF(C347="","",EOMONTH(C347,0))</f>
        <v/>
      </c>
      <c r="G347" s="26">
        <f>IF(A347="","",IF(COUNTIF(tbl_Onsite[Job Number],A347&amp;"")&gt;0,"Onsite",IF(COUNTIF(tbl_Production[Job Number],A347&amp;"")&gt;0,"Production",IF(COUNTIF(tbl_Consulting[Job Number],A347&amp;"")&gt;0,"Consulting","not set up yet"))))</f>
        <v/>
      </c>
      <c r="H347" s="26">
        <f>IF(A347="","",IF(COUNTIF(lst_Jobs,A347&amp;"")&gt;0,"OK","CHECK"))</f>
        <v/>
      </c>
      <c r="I347" s="26">
        <f>IF(A347="","",IFERROR(INDEX(lst_JobName,MATCH(A347&amp;"",lst_Jobs,0)),""))</f>
        <v/>
      </c>
      <c r="J347" s="26">
        <f>IF(A347="","",IFERROR(IF(INDEX(tbl_Onsite[Client],IFERROR(MATCH(A347&amp;"",tbl_Onsite[Job Number],0),MATCH(IFERROR(A347+0,A347),tbl_Onsite[Job Number],0)))="","",INDEX(tbl_Onsite[Client],IFERROR(MATCH(A347&amp;"",tbl_Onsite[Job Number],0),MATCH(IFERROR(A347+0,A347),tbl_Onsite[Job Number],0)))),IFERROR(IF(INDEX(tbl_Production[Client],IFERROR(MATCH(A347&amp;"",tbl_Production[Job Number],0),MATCH(IFERROR(A347+0,A347),tbl_Production[Job Number],0)))="","",INDEX(tbl_Production[Client],IFERROR(MATCH(A347&amp;"",tbl_Production[Job Number],0),MATCH(IFERROR(A347+0,A347),tbl_Production[Job Number],0)))),IFERROR(IF(INDEX(tbl_Consulting[Client],IFERROR(MATCH(A347&amp;"",tbl_Consulting[Job Number],0),MATCH(IFERROR(A347+0,A347),tbl_Consulting[Job Number],0)))="","",INDEX(tbl_Consulting[Client],IFERROR(MATCH(A347&amp;"",tbl_Consulting[Job Number],0),MATCH(IFERROR(A347+0,A347),tbl_Consulting[Job Number],0)))),""))))</f>
        <v/>
      </c>
      <c r="K347" s="26">
        <f>IF(A347="","",IFERROR(IF(INDEX(tbl_Onsite[Job Description],IFERROR(MATCH(A347&amp;"",tbl_Onsite[Job Number],0),MATCH(IFERROR(A347+0,A347),tbl_Onsite[Job Number],0)))="","",INDEX(tbl_Onsite[Job Description],IFERROR(MATCH(A347&amp;"",tbl_Onsite[Job Number],0),MATCH(IFERROR(A347+0,A347),tbl_Onsite[Job Number],0)))),IFERROR(IF(INDEX(tbl_Production[Job Description],IFERROR(MATCH(A347&amp;"",tbl_Production[Job Number],0),MATCH(IFERROR(A347+0,A347),tbl_Production[Job Number],0)))="","",INDEX(tbl_Production[Job Description],IFERROR(MATCH(A347&amp;"",tbl_Production[Job Number],0),MATCH(IFERROR(A347+0,A347),tbl_Production[Job Number],0)))),IFERROR(IF(INDEX(tbl_Consulting[Job Description],IFERROR(MATCH(A347&amp;"",tbl_Consulting[Job Number],0),MATCH(IFERROR(A347+0,A347),tbl_Consulting[Job Number],0)))="","",INDEX(tbl_Consulting[Job Description],IFERROR(MATCH(A347&amp;"",tbl_Consulting[Job Number],0),MATCH(IFERROR(A347+0,A347),tbl_Consulting[Job Number],0)))),""))))</f>
        <v/>
      </c>
      <c r="L347" s="26">
        <f>IF(A347="","",IFERROR(IF(INDEX(tbl_Onsite[Invoice Type],IFERROR(MATCH(A347&amp;"",tbl_Onsite[Job Number],0),MATCH(IFERROR(A347+0,A347),tbl_Onsite[Job Number],0)))="","",INDEX(tbl_Onsite[Invoice Type],IFERROR(MATCH(A347&amp;"",tbl_Onsite[Job Number],0),MATCH(IFERROR(A347+0,A347),tbl_Onsite[Job Number],0)))),IFERROR(IF(INDEX(tbl_Production[Invoice Type],IFERROR(MATCH(A347&amp;"",tbl_Production[Job Number],0),MATCH(IFERROR(A347+0,A347),tbl_Production[Job Number],0)))="","",INDEX(tbl_Production[Invoice Type],IFERROR(MATCH(A347&amp;"",tbl_Production[Job Number],0),MATCH(IFERROR(A347+0,A347),tbl_Production[Job Number],0)))),IFERROR(IF(INDEX(tbl_Consulting[Invoice Type],IFERROR(MATCH(A347&amp;"",tbl_Consulting[Job Number],0),MATCH(IFERROR(A347+0,A347),tbl_Consulting[Job Number],0)))="","",INDEX(tbl_Consulting[Invoice Type],IFERROR(MATCH(A347&amp;"",tbl_Consulting[Job Number],0),MATCH(IFERROR(A347+0,A347),tbl_Consulting[Job Number],0)))),""))))</f>
        <v/>
      </c>
      <c r="M347" s="26">
        <f>IF(A347="","",IF(IFERROR(IF(INDEX(tbl_Onsite[Tax Code],IFERROR(MATCH(A347&amp;"",tbl_Onsite[Job Number],0),MATCH(IFERROR(A347+0,A347),tbl_Onsite[Job Number],0)))="","",INDEX(tbl_Onsite[Tax Code],IFERROR(MATCH(A347&amp;"",tbl_Onsite[Job Number],0),MATCH(IFERROR(A347+0,A347),tbl_Onsite[Job Number],0)))),IFERROR(IF(INDEX(tbl_Production[Tax Code],IFERROR(MATCH(A347&amp;"",tbl_Production[Job Number],0),MATCH(IFERROR(A347+0,A347),tbl_Production[Job Number],0)))="","",INDEX(tbl_Production[Tax Code],IFERROR(MATCH(A347&amp;"",tbl_Production[Job Number],0),MATCH(IFERROR(A347+0,A347),tbl_Production[Job Number],0)))),IFERROR(IF(INDEX(tbl_Consulting[Tax Code],IFERROR(MATCH(A347&amp;"",tbl_Consulting[Job Number],0),MATCH(IFERROR(A347+0,A347),tbl_Consulting[Job Number],0)))="","",INDEX(tbl_Consulting[Tax Code],IFERROR(MATCH(A347&amp;"",tbl_Consulting[Job Number],0),MATCH(IFERROR(A347+0,A347),tbl_Consulting[Job Number],0)))),"")))="","GST 10%",IFERROR(IF(INDEX(tbl_Onsite[Tax Code],IFERROR(MATCH(A347&amp;"",tbl_Onsite[Job Number],0),MATCH(IFERROR(A347+0,A347),tbl_Onsite[Job Number],0)))="","",INDEX(tbl_Onsite[Tax Code],IFERROR(MATCH(A347&amp;"",tbl_Onsite[Job Number],0),MATCH(IFERROR(A347+0,A347),tbl_Onsite[Job Number],0)))),IFERROR(IF(INDEX(tbl_Production[Tax Code],IFERROR(MATCH(A347&amp;"",tbl_Production[Job Number],0),MATCH(IFERROR(A347+0,A347),tbl_Production[Job Number],0)))="","",INDEX(tbl_Production[Tax Code],IFERROR(MATCH(A347&amp;"",tbl_Production[Job Number],0),MATCH(IFERROR(A347+0,A347),tbl_Production[Job Number],0)))),IFERROR(IF(INDEX(tbl_Consulting[Tax Code],IFERROR(MATCH(A347&amp;"",tbl_Consulting[Job Number],0),MATCH(IFERROR(A347+0,A347),tbl_Consulting[Job Number],0)))="","",INDEX(tbl_Consulting[Tax Code],IFERROR(MATCH(A347&amp;"",tbl_Consulting[Job Number],0),MATCH(IFERROR(A347+0,A347),tbl_Consulting[Job Number],0)))),"")))))</f>
        <v/>
      </c>
      <c r="N347" s="26">
        <f>IF(D347="","",IFERROR(INDEX(lst_CCtoGL,MATCH(D347,lst_CCforGL,0)),""))</f>
        <v/>
      </c>
      <c r="O347" s="27">
        <f>IF(E347="","",IF(M347="GST 10%",ROUND(E347*set_GSTRate,2),0))</f>
        <v/>
      </c>
      <c r="P347" s="27">
        <f>IF(E347="","",E347+O347)</f>
        <v/>
      </c>
      <c r="Q347" s="27">
        <f>IF(A347="","",IFERROR(INDEX(tbl_Onsite[Expected Revenue Ex GST],IFERROR(MATCH(A347&amp;"",tbl_Onsite[Job Number],0),MATCH(IFERROR(A347+0,A347),tbl_Onsite[Job Number],0))),IFERROR(INDEX(tbl_Production[Expected Revenue Ex GST],IFERROR(MATCH(A347&amp;"",tbl_Production[Job Number],0),MATCH(IFERROR(A347+0,A347),tbl_Production[Job Number],0))),IFERROR(INDEX(tbl_Consulting[Expected Revenue Ex GST],IFERROR(MATCH(A347&amp;"",tbl_Consulting[Job Number],0),MATCH(IFERROR(A347+0,A347),tbl_Consulting[Job Number],0))),0))))</f>
        <v/>
      </c>
      <c r="R347" s="27">
        <f>IF(A347="","",SUMIFS(tbl_Finance[Ex GST],tbl_Finance[Job Number],A347&amp;""))</f>
        <v/>
      </c>
      <c r="S347" s="27">
        <f>IF(A347="","",Q347-R347)</f>
        <v/>
      </c>
      <c r="T347" s="26">
        <f>IF(A347="","",IF(Q347=0,"No dept value",IF(ROUND(S347,2)=0,"Agrees",IF(S347&gt;0,"Dept higher - to invoice","Xero higher - check dept"))))</f>
        <v/>
      </c>
      <c r="U347" s="22" t="n"/>
      <c r="V347" s="22" t="n"/>
      <c r="W347" s="23" t="n"/>
      <c r="X347" s="23" t="n"/>
      <c r="Y347" s="22" t="n"/>
      <c r="Z347" s="22" t="n"/>
      <c r="AA347" s="26">
        <f>IF(COUNTA(C347,A347,B347,E347)=0,"",IF(C347="","No date - sits outside every month",IF(A347="","No job number",IF(H347="CHECK","Job number is not in the Xero job list",IF(G347="not set up yet","No department has set this job up - nothing can pull through",IF(D347="","No cost centre",IF(AND(U347="Y",B347=""),"Marked posted to Xero but has no invoice number",IF(N347="","Cost centre has no revenue GL on the Lists sheet",IF(T347="Xero higher - check dept","Invoiced more than the department says the job is worth","")))))))))</f>
        <v/>
      </c>
      <c r="AB347" s="28">
        <f>IF(A347="","",COUNTIFS(tbl_Finance[Job Number],A347&amp;"",tbl_Finance[Ex GST],"&lt;&gt;"))</f>
        <v/>
      </c>
      <c r="AC347" s="27">
        <f>IF(A347="","",SUMIFS(tbl_Finance[Ex GST],tbl_Finance[Job Number],A347&amp;""))</f>
        <v/>
      </c>
      <c r="AD347" s="27">
        <f>IF(A347="","",SUMIFS(tbl_Finance[Ex GST],tbl_Finance[Job Number],A347&amp;"",tbl_Finance[Xero Invoice No],"&lt;&gt;"))</f>
        <v/>
      </c>
      <c r="AE347" s="27">
        <f>IF(A347="","",AC347-AD347)</f>
        <v/>
      </c>
      <c r="AF347" s="26">
        <f>IF(A347="","",IFERROR(IF(INDEX(tbl_Onsite[Qwilr Quote],IFERROR(MATCH(A347&amp;"",tbl_Onsite[Job Number],0),MATCH(IFERROR(A347+0,A347),tbl_Onsite[Job Number],0)))="","",INDEX(tbl_Onsite[Qwilr Quote],IFERROR(MATCH(A347&amp;"",tbl_Onsite[Job Number],0),MATCH(IFERROR(A347+0,A347),tbl_Onsite[Job Number],0)))),IFERROR(IF(IF(INDEX(tbl_Production[Current RMS No],IFERROR(MATCH(A347&amp;"",tbl_Production[Job Number],0),MATCH(IFERROR(A347+0,A347),tbl_Production[Job Number],0)))="",INDEX(tbl_Production[Qwilr Quote],IFERROR(MATCH(A347&amp;"",tbl_Production[Job Number],0),MATCH(IFERROR(A347+0,A347),tbl_Production[Job Number],0))),INDEX(tbl_Production[Current RMS No],IFERROR(MATCH(A347&amp;"",tbl_Production[Job Number],0),MATCH(IFERROR(A347+0,A347),tbl_Production[Job Number],0))))="","",IF(INDEX(tbl_Production[Current RMS No],IFERROR(MATCH(A347&amp;"",tbl_Production[Job Number],0),MATCH(IFERROR(A347+0,A347),tbl_Production[Job Number],0)))="",INDEX(tbl_Production[Qwilr Quote],IFERROR(MATCH(A347&amp;"",tbl_Production[Job Number],0),MATCH(IFERROR(A347+0,A347),tbl_Production[Job Number],0))),INDEX(tbl_Production[Current RMS No],IFERROR(MATCH(A347&amp;"",tbl_Production[Job Number],0),MATCH(IFERROR(A347+0,A347),tbl_Production[Job Number],0))))),IFERROR(IF(INDEX(tbl_Consulting[Qwilr Quote],IFERROR(MATCH(A347&amp;"",tbl_Consulting[Job Number],0),MATCH(IFERROR(A347+0,A347),tbl_Consulting[Job Number],0)))="","",INDEX(tbl_Consulting[Qwilr Quote],IFERROR(MATCH(A347&amp;"",tbl_Consulting[Job Number],0),MATCH(IFERROR(A347+0,A347),tbl_Consulting[Job Number],0)))),""))))</f>
        <v/>
      </c>
      <c r="AG347" s="26">
        <f>IF(AF347="","",IF(AND(LEFT(AF347,4)&lt;&gt;"http",IF(G347="Production",set_RMSBase,set_QwilrBase)=""),"",HYPERLINK(IF(LEFT(AF347,4)="http",AF347,IF(G347="Production",set_RMSBase,set_QwilrBase)&amp;AF347),"Open")))</f>
        <v/>
      </c>
      <c r="AH347" s="27">
        <f>IF(A347="","",IFERROR(INDEX(tbl_Production[Total Expense],IFERROR(MATCH(A347&amp;"",tbl_Production[Job Number],0),MATCH(IFERROR(A347+0,A347),tbl_Production[Job Number],0))),IFERROR(INDEX(tbl_Consulting[Total Expense],IFERROR(MATCH(A347&amp;"",tbl_Consulting[Job Number],0),MATCH(IFERROR(A347+0,A347),tbl_Consulting[Job Number],0))),0)))</f>
        <v/>
      </c>
      <c r="AI347" s="27">
        <f>IF(A347="","",AC347-N(AH347))</f>
        <v/>
      </c>
      <c r="AJ347" s="29">
        <f>IFERROR(AI347/AC347,"")</f>
        <v/>
      </c>
      <c r="AK347" s="26">
        <f>IF(A347="","",IFERROR(IF(INDEX(tbl_Onsite[Notes],IFERROR(MATCH(A347&amp;"",tbl_Onsite[Job Number],0),MATCH(IFERROR(A347+0,A347),tbl_Onsite[Job Number],0)))="","",INDEX(tbl_Onsite[Notes],IFERROR(MATCH(A347&amp;"",tbl_Onsite[Job Number],0),MATCH(IFERROR(A347+0,A347),tbl_Onsite[Job Number],0)))),IFERROR(IF(INDEX(tbl_Production[Notes],IFERROR(MATCH(A347&amp;"",tbl_Production[Job Number],0),MATCH(IFERROR(A347+0,A347),tbl_Production[Job Number],0)))="","",INDEX(tbl_Production[Notes],IFERROR(MATCH(A347&amp;"",tbl_Production[Job Number],0),MATCH(IFERROR(A347+0,A347),tbl_Production[Job Number],0)))),IFERROR(IF(INDEX(tbl_Consulting[Notes],IFERROR(MATCH(A347&amp;"",tbl_Consulting[Job Number],0),MATCH(IFERROR(A347+0,A347),tbl_Consulting[Job Number],0)))="","",INDEX(tbl_Consulting[Notes],IFERROR(MATCH(A347&amp;"",tbl_Consulting[Job Number],0),MATCH(IFERROR(A347+0,A347),tbl_Consulting[Job Number],0)))),""))))</f>
        <v/>
      </c>
    </row>
    <row r="348" ht="15" customHeight="1">
      <c r="A348" s="22" t="n"/>
      <c r="B348" s="22" t="n"/>
      <c r="C348" s="23" t="n"/>
      <c r="D348" s="22" t="n"/>
      <c r="E348" s="24" t="n"/>
      <c r="F348" s="25">
        <f>IF(C348="","",EOMONTH(C348,0))</f>
        <v/>
      </c>
      <c r="G348" s="26">
        <f>IF(A348="","",IF(COUNTIF(tbl_Onsite[Job Number],A348&amp;"")&gt;0,"Onsite",IF(COUNTIF(tbl_Production[Job Number],A348&amp;"")&gt;0,"Production",IF(COUNTIF(tbl_Consulting[Job Number],A348&amp;"")&gt;0,"Consulting","not set up yet"))))</f>
        <v/>
      </c>
      <c r="H348" s="26">
        <f>IF(A348="","",IF(COUNTIF(lst_Jobs,A348&amp;"")&gt;0,"OK","CHECK"))</f>
        <v/>
      </c>
      <c r="I348" s="26">
        <f>IF(A348="","",IFERROR(INDEX(lst_JobName,MATCH(A348&amp;"",lst_Jobs,0)),""))</f>
        <v/>
      </c>
      <c r="J348" s="26">
        <f>IF(A348="","",IFERROR(IF(INDEX(tbl_Onsite[Client],IFERROR(MATCH(A348&amp;"",tbl_Onsite[Job Number],0),MATCH(IFERROR(A348+0,A348),tbl_Onsite[Job Number],0)))="","",INDEX(tbl_Onsite[Client],IFERROR(MATCH(A348&amp;"",tbl_Onsite[Job Number],0),MATCH(IFERROR(A348+0,A348),tbl_Onsite[Job Number],0)))),IFERROR(IF(INDEX(tbl_Production[Client],IFERROR(MATCH(A348&amp;"",tbl_Production[Job Number],0),MATCH(IFERROR(A348+0,A348),tbl_Production[Job Number],0)))="","",INDEX(tbl_Production[Client],IFERROR(MATCH(A348&amp;"",tbl_Production[Job Number],0),MATCH(IFERROR(A348+0,A348),tbl_Production[Job Number],0)))),IFERROR(IF(INDEX(tbl_Consulting[Client],IFERROR(MATCH(A348&amp;"",tbl_Consulting[Job Number],0),MATCH(IFERROR(A348+0,A348),tbl_Consulting[Job Number],0)))="","",INDEX(tbl_Consulting[Client],IFERROR(MATCH(A348&amp;"",tbl_Consulting[Job Number],0),MATCH(IFERROR(A348+0,A348),tbl_Consulting[Job Number],0)))),""))))</f>
        <v/>
      </c>
      <c r="K348" s="26">
        <f>IF(A348="","",IFERROR(IF(INDEX(tbl_Onsite[Job Description],IFERROR(MATCH(A348&amp;"",tbl_Onsite[Job Number],0),MATCH(IFERROR(A348+0,A348),tbl_Onsite[Job Number],0)))="","",INDEX(tbl_Onsite[Job Description],IFERROR(MATCH(A348&amp;"",tbl_Onsite[Job Number],0),MATCH(IFERROR(A348+0,A348),tbl_Onsite[Job Number],0)))),IFERROR(IF(INDEX(tbl_Production[Job Description],IFERROR(MATCH(A348&amp;"",tbl_Production[Job Number],0),MATCH(IFERROR(A348+0,A348),tbl_Production[Job Number],0)))="","",INDEX(tbl_Production[Job Description],IFERROR(MATCH(A348&amp;"",tbl_Production[Job Number],0),MATCH(IFERROR(A348+0,A348),tbl_Production[Job Number],0)))),IFERROR(IF(INDEX(tbl_Consulting[Job Description],IFERROR(MATCH(A348&amp;"",tbl_Consulting[Job Number],0),MATCH(IFERROR(A348+0,A348),tbl_Consulting[Job Number],0)))="","",INDEX(tbl_Consulting[Job Description],IFERROR(MATCH(A348&amp;"",tbl_Consulting[Job Number],0),MATCH(IFERROR(A348+0,A348),tbl_Consulting[Job Number],0)))),""))))</f>
        <v/>
      </c>
      <c r="L348" s="26">
        <f>IF(A348="","",IFERROR(IF(INDEX(tbl_Onsite[Invoice Type],IFERROR(MATCH(A348&amp;"",tbl_Onsite[Job Number],0),MATCH(IFERROR(A348+0,A348),tbl_Onsite[Job Number],0)))="","",INDEX(tbl_Onsite[Invoice Type],IFERROR(MATCH(A348&amp;"",tbl_Onsite[Job Number],0),MATCH(IFERROR(A348+0,A348),tbl_Onsite[Job Number],0)))),IFERROR(IF(INDEX(tbl_Production[Invoice Type],IFERROR(MATCH(A348&amp;"",tbl_Production[Job Number],0),MATCH(IFERROR(A348+0,A348),tbl_Production[Job Number],0)))="","",INDEX(tbl_Production[Invoice Type],IFERROR(MATCH(A348&amp;"",tbl_Production[Job Number],0),MATCH(IFERROR(A348+0,A348),tbl_Production[Job Number],0)))),IFERROR(IF(INDEX(tbl_Consulting[Invoice Type],IFERROR(MATCH(A348&amp;"",tbl_Consulting[Job Number],0),MATCH(IFERROR(A348+0,A348),tbl_Consulting[Job Number],0)))="","",INDEX(tbl_Consulting[Invoice Type],IFERROR(MATCH(A348&amp;"",tbl_Consulting[Job Number],0),MATCH(IFERROR(A348+0,A348),tbl_Consulting[Job Number],0)))),""))))</f>
        <v/>
      </c>
      <c r="M348" s="26">
        <f>IF(A348="","",IF(IFERROR(IF(INDEX(tbl_Onsite[Tax Code],IFERROR(MATCH(A348&amp;"",tbl_Onsite[Job Number],0),MATCH(IFERROR(A348+0,A348),tbl_Onsite[Job Number],0)))="","",INDEX(tbl_Onsite[Tax Code],IFERROR(MATCH(A348&amp;"",tbl_Onsite[Job Number],0),MATCH(IFERROR(A348+0,A348),tbl_Onsite[Job Number],0)))),IFERROR(IF(INDEX(tbl_Production[Tax Code],IFERROR(MATCH(A348&amp;"",tbl_Production[Job Number],0),MATCH(IFERROR(A348+0,A348),tbl_Production[Job Number],0)))="","",INDEX(tbl_Production[Tax Code],IFERROR(MATCH(A348&amp;"",tbl_Production[Job Number],0),MATCH(IFERROR(A348+0,A348),tbl_Production[Job Number],0)))),IFERROR(IF(INDEX(tbl_Consulting[Tax Code],IFERROR(MATCH(A348&amp;"",tbl_Consulting[Job Number],0),MATCH(IFERROR(A348+0,A348),tbl_Consulting[Job Number],0)))="","",INDEX(tbl_Consulting[Tax Code],IFERROR(MATCH(A348&amp;"",tbl_Consulting[Job Number],0),MATCH(IFERROR(A348+0,A348),tbl_Consulting[Job Number],0)))),"")))="","GST 10%",IFERROR(IF(INDEX(tbl_Onsite[Tax Code],IFERROR(MATCH(A348&amp;"",tbl_Onsite[Job Number],0),MATCH(IFERROR(A348+0,A348),tbl_Onsite[Job Number],0)))="","",INDEX(tbl_Onsite[Tax Code],IFERROR(MATCH(A348&amp;"",tbl_Onsite[Job Number],0),MATCH(IFERROR(A348+0,A348),tbl_Onsite[Job Number],0)))),IFERROR(IF(INDEX(tbl_Production[Tax Code],IFERROR(MATCH(A348&amp;"",tbl_Production[Job Number],0),MATCH(IFERROR(A348+0,A348),tbl_Production[Job Number],0)))="","",INDEX(tbl_Production[Tax Code],IFERROR(MATCH(A348&amp;"",tbl_Production[Job Number],0),MATCH(IFERROR(A348+0,A348),tbl_Production[Job Number],0)))),IFERROR(IF(INDEX(tbl_Consulting[Tax Code],IFERROR(MATCH(A348&amp;"",tbl_Consulting[Job Number],0),MATCH(IFERROR(A348+0,A348),tbl_Consulting[Job Number],0)))="","",INDEX(tbl_Consulting[Tax Code],IFERROR(MATCH(A348&amp;"",tbl_Consulting[Job Number],0),MATCH(IFERROR(A348+0,A348),tbl_Consulting[Job Number],0)))),"")))))</f>
        <v/>
      </c>
      <c r="N348" s="26">
        <f>IF(D348="","",IFERROR(INDEX(lst_CCtoGL,MATCH(D348,lst_CCforGL,0)),""))</f>
        <v/>
      </c>
      <c r="O348" s="27">
        <f>IF(E348="","",IF(M348="GST 10%",ROUND(E348*set_GSTRate,2),0))</f>
        <v/>
      </c>
      <c r="P348" s="27">
        <f>IF(E348="","",E348+O348)</f>
        <v/>
      </c>
      <c r="Q348" s="27">
        <f>IF(A348="","",IFERROR(INDEX(tbl_Onsite[Expected Revenue Ex GST],IFERROR(MATCH(A348&amp;"",tbl_Onsite[Job Number],0),MATCH(IFERROR(A348+0,A348),tbl_Onsite[Job Number],0))),IFERROR(INDEX(tbl_Production[Expected Revenue Ex GST],IFERROR(MATCH(A348&amp;"",tbl_Production[Job Number],0),MATCH(IFERROR(A348+0,A348),tbl_Production[Job Number],0))),IFERROR(INDEX(tbl_Consulting[Expected Revenue Ex GST],IFERROR(MATCH(A348&amp;"",tbl_Consulting[Job Number],0),MATCH(IFERROR(A348+0,A348),tbl_Consulting[Job Number],0))),0))))</f>
        <v/>
      </c>
      <c r="R348" s="27">
        <f>IF(A348="","",SUMIFS(tbl_Finance[Ex GST],tbl_Finance[Job Number],A348&amp;""))</f>
        <v/>
      </c>
      <c r="S348" s="27">
        <f>IF(A348="","",Q348-R348)</f>
        <v/>
      </c>
      <c r="T348" s="26">
        <f>IF(A348="","",IF(Q348=0,"No dept value",IF(ROUND(S348,2)=0,"Agrees",IF(S348&gt;0,"Dept higher - to invoice","Xero higher - check dept"))))</f>
        <v/>
      </c>
      <c r="U348" s="22" t="n"/>
      <c r="V348" s="22" t="n"/>
      <c r="W348" s="23" t="n"/>
      <c r="X348" s="23" t="n"/>
      <c r="Y348" s="22" t="n"/>
      <c r="Z348" s="22" t="n"/>
      <c r="AA348" s="26">
        <f>IF(COUNTA(C348,A348,B348,E348)=0,"",IF(C348="","No date - sits outside every month",IF(A348="","No job number",IF(H348="CHECK","Job number is not in the Xero job list",IF(G348="not set up yet","No department has set this job up - nothing can pull through",IF(D348="","No cost centre",IF(AND(U348="Y",B348=""),"Marked posted to Xero but has no invoice number",IF(N348="","Cost centre has no revenue GL on the Lists sheet",IF(T348="Xero higher - check dept","Invoiced more than the department says the job is worth","")))))))))</f>
        <v/>
      </c>
      <c r="AB348" s="28">
        <f>IF(A348="","",COUNTIFS(tbl_Finance[Job Number],A348&amp;"",tbl_Finance[Ex GST],"&lt;&gt;"))</f>
        <v/>
      </c>
      <c r="AC348" s="27">
        <f>IF(A348="","",SUMIFS(tbl_Finance[Ex GST],tbl_Finance[Job Number],A348&amp;""))</f>
        <v/>
      </c>
      <c r="AD348" s="27">
        <f>IF(A348="","",SUMIFS(tbl_Finance[Ex GST],tbl_Finance[Job Number],A348&amp;"",tbl_Finance[Xero Invoice No],"&lt;&gt;"))</f>
        <v/>
      </c>
      <c r="AE348" s="27">
        <f>IF(A348="","",AC348-AD348)</f>
        <v/>
      </c>
      <c r="AF348" s="26">
        <f>IF(A348="","",IFERROR(IF(INDEX(tbl_Onsite[Qwilr Quote],IFERROR(MATCH(A348&amp;"",tbl_Onsite[Job Number],0),MATCH(IFERROR(A348+0,A348),tbl_Onsite[Job Number],0)))="","",INDEX(tbl_Onsite[Qwilr Quote],IFERROR(MATCH(A348&amp;"",tbl_Onsite[Job Number],0),MATCH(IFERROR(A348+0,A348),tbl_Onsite[Job Number],0)))),IFERROR(IF(IF(INDEX(tbl_Production[Current RMS No],IFERROR(MATCH(A348&amp;"",tbl_Production[Job Number],0),MATCH(IFERROR(A348+0,A348),tbl_Production[Job Number],0)))="",INDEX(tbl_Production[Qwilr Quote],IFERROR(MATCH(A348&amp;"",tbl_Production[Job Number],0),MATCH(IFERROR(A348+0,A348),tbl_Production[Job Number],0))),INDEX(tbl_Production[Current RMS No],IFERROR(MATCH(A348&amp;"",tbl_Production[Job Number],0),MATCH(IFERROR(A348+0,A348),tbl_Production[Job Number],0))))="","",IF(INDEX(tbl_Production[Current RMS No],IFERROR(MATCH(A348&amp;"",tbl_Production[Job Number],0),MATCH(IFERROR(A348+0,A348),tbl_Production[Job Number],0)))="",INDEX(tbl_Production[Qwilr Quote],IFERROR(MATCH(A348&amp;"",tbl_Production[Job Number],0),MATCH(IFERROR(A348+0,A348),tbl_Production[Job Number],0))),INDEX(tbl_Production[Current RMS No],IFERROR(MATCH(A348&amp;"",tbl_Production[Job Number],0),MATCH(IFERROR(A348+0,A348),tbl_Production[Job Number],0))))),IFERROR(IF(INDEX(tbl_Consulting[Qwilr Quote],IFERROR(MATCH(A348&amp;"",tbl_Consulting[Job Number],0),MATCH(IFERROR(A348+0,A348),tbl_Consulting[Job Number],0)))="","",INDEX(tbl_Consulting[Qwilr Quote],IFERROR(MATCH(A348&amp;"",tbl_Consulting[Job Number],0),MATCH(IFERROR(A348+0,A348),tbl_Consulting[Job Number],0)))),""))))</f>
        <v/>
      </c>
      <c r="AG348" s="26">
        <f>IF(AF348="","",IF(AND(LEFT(AF348,4)&lt;&gt;"http",IF(G348="Production",set_RMSBase,set_QwilrBase)=""),"",HYPERLINK(IF(LEFT(AF348,4)="http",AF348,IF(G348="Production",set_RMSBase,set_QwilrBase)&amp;AF348),"Open")))</f>
        <v/>
      </c>
      <c r="AH348" s="27">
        <f>IF(A348="","",IFERROR(INDEX(tbl_Production[Total Expense],IFERROR(MATCH(A348&amp;"",tbl_Production[Job Number],0),MATCH(IFERROR(A348+0,A348),tbl_Production[Job Number],0))),IFERROR(INDEX(tbl_Consulting[Total Expense],IFERROR(MATCH(A348&amp;"",tbl_Consulting[Job Number],0),MATCH(IFERROR(A348+0,A348),tbl_Consulting[Job Number],0))),0)))</f>
        <v/>
      </c>
      <c r="AI348" s="27">
        <f>IF(A348="","",AC348-N(AH348))</f>
        <v/>
      </c>
      <c r="AJ348" s="29">
        <f>IFERROR(AI348/AC348,"")</f>
        <v/>
      </c>
      <c r="AK348" s="26">
        <f>IF(A348="","",IFERROR(IF(INDEX(tbl_Onsite[Notes],IFERROR(MATCH(A348&amp;"",tbl_Onsite[Job Number],0),MATCH(IFERROR(A348+0,A348),tbl_Onsite[Job Number],0)))="","",INDEX(tbl_Onsite[Notes],IFERROR(MATCH(A348&amp;"",tbl_Onsite[Job Number],0),MATCH(IFERROR(A348+0,A348),tbl_Onsite[Job Number],0)))),IFERROR(IF(INDEX(tbl_Production[Notes],IFERROR(MATCH(A348&amp;"",tbl_Production[Job Number],0),MATCH(IFERROR(A348+0,A348),tbl_Production[Job Number],0)))="","",INDEX(tbl_Production[Notes],IFERROR(MATCH(A348&amp;"",tbl_Production[Job Number],0),MATCH(IFERROR(A348+0,A348),tbl_Production[Job Number],0)))),IFERROR(IF(INDEX(tbl_Consulting[Notes],IFERROR(MATCH(A348&amp;"",tbl_Consulting[Job Number],0),MATCH(IFERROR(A348+0,A348),tbl_Consulting[Job Number],0)))="","",INDEX(tbl_Consulting[Notes],IFERROR(MATCH(A348&amp;"",tbl_Consulting[Job Number],0),MATCH(IFERROR(A348+0,A348),tbl_Consulting[Job Number],0)))),""))))</f>
        <v/>
      </c>
    </row>
    <row r="349" ht="15" customHeight="1">
      <c r="A349" s="22" t="n"/>
      <c r="B349" s="22" t="n"/>
      <c r="C349" s="23" t="n"/>
      <c r="D349" s="22" t="n"/>
      <c r="E349" s="24" t="n"/>
      <c r="F349" s="25">
        <f>IF(C349="","",EOMONTH(C349,0))</f>
        <v/>
      </c>
      <c r="G349" s="26">
        <f>IF(A349="","",IF(COUNTIF(tbl_Onsite[Job Number],A349&amp;"")&gt;0,"Onsite",IF(COUNTIF(tbl_Production[Job Number],A349&amp;"")&gt;0,"Production",IF(COUNTIF(tbl_Consulting[Job Number],A349&amp;"")&gt;0,"Consulting","not set up yet"))))</f>
        <v/>
      </c>
      <c r="H349" s="26">
        <f>IF(A349="","",IF(COUNTIF(lst_Jobs,A349&amp;"")&gt;0,"OK","CHECK"))</f>
        <v/>
      </c>
      <c r="I349" s="26">
        <f>IF(A349="","",IFERROR(INDEX(lst_JobName,MATCH(A349&amp;"",lst_Jobs,0)),""))</f>
        <v/>
      </c>
      <c r="J349" s="26">
        <f>IF(A349="","",IFERROR(IF(INDEX(tbl_Onsite[Client],IFERROR(MATCH(A349&amp;"",tbl_Onsite[Job Number],0),MATCH(IFERROR(A349+0,A349),tbl_Onsite[Job Number],0)))="","",INDEX(tbl_Onsite[Client],IFERROR(MATCH(A349&amp;"",tbl_Onsite[Job Number],0),MATCH(IFERROR(A349+0,A349),tbl_Onsite[Job Number],0)))),IFERROR(IF(INDEX(tbl_Production[Client],IFERROR(MATCH(A349&amp;"",tbl_Production[Job Number],0),MATCH(IFERROR(A349+0,A349),tbl_Production[Job Number],0)))="","",INDEX(tbl_Production[Client],IFERROR(MATCH(A349&amp;"",tbl_Production[Job Number],0),MATCH(IFERROR(A349+0,A349),tbl_Production[Job Number],0)))),IFERROR(IF(INDEX(tbl_Consulting[Client],IFERROR(MATCH(A349&amp;"",tbl_Consulting[Job Number],0),MATCH(IFERROR(A349+0,A349),tbl_Consulting[Job Number],0)))="","",INDEX(tbl_Consulting[Client],IFERROR(MATCH(A349&amp;"",tbl_Consulting[Job Number],0),MATCH(IFERROR(A349+0,A349),tbl_Consulting[Job Number],0)))),""))))</f>
        <v/>
      </c>
      <c r="K349" s="26">
        <f>IF(A349="","",IFERROR(IF(INDEX(tbl_Onsite[Job Description],IFERROR(MATCH(A349&amp;"",tbl_Onsite[Job Number],0),MATCH(IFERROR(A349+0,A349),tbl_Onsite[Job Number],0)))="","",INDEX(tbl_Onsite[Job Description],IFERROR(MATCH(A349&amp;"",tbl_Onsite[Job Number],0),MATCH(IFERROR(A349+0,A349),tbl_Onsite[Job Number],0)))),IFERROR(IF(INDEX(tbl_Production[Job Description],IFERROR(MATCH(A349&amp;"",tbl_Production[Job Number],0),MATCH(IFERROR(A349+0,A349),tbl_Production[Job Number],0)))="","",INDEX(tbl_Production[Job Description],IFERROR(MATCH(A349&amp;"",tbl_Production[Job Number],0),MATCH(IFERROR(A349+0,A349),tbl_Production[Job Number],0)))),IFERROR(IF(INDEX(tbl_Consulting[Job Description],IFERROR(MATCH(A349&amp;"",tbl_Consulting[Job Number],0),MATCH(IFERROR(A349+0,A349),tbl_Consulting[Job Number],0)))="","",INDEX(tbl_Consulting[Job Description],IFERROR(MATCH(A349&amp;"",tbl_Consulting[Job Number],0),MATCH(IFERROR(A349+0,A349),tbl_Consulting[Job Number],0)))),""))))</f>
        <v/>
      </c>
      <c r="L349" s="26">
        <f>IF(A349="","",IFERROR(IF(INDEX(tbl_Onsite[Invoice Type],IFERROR(MATCH(A349&amp;"",tbl_Onsite[Job Number],0),MATCH(IFERROR(A349+0,A349),tbl_Onsite[Job Number],0)))="","",INDEX(tbl_Onsite[Invoice Type],IFERROR(MATCH(A349&amp;"",tbl_Onsite[Job Number],0),MATCH(IFERROR(A349+0,A349),tbl_Onsite[Job Number],0)))),IFERROR(IF(INDEX(tbl_Production[Invoice Type],IFERROR(MATCH(A349&amp;"",tbl_Production[Job Number],0),MATCH(IFERROR(A349+0,A349),tbl_Production[Job Number],0)))="","",INDEX(tbl_Production[Invoice Type],IFERROR(MATCH(A349&amp;"",tbl_Production[Job Number],0),MATCH(IFERROR(A349+0,A349),tbl_Production[Job Number],0)))),IFERROR(IF(INDEX(tbl_Consulting[Invoice Type],IFERROR(MATCH(A349&amp;"",tbl_Consulting[Job Number],0),MATCH(IFERROR(A349+0,A349),tbl_Consulting[Job Number],0)))="","",INDEX(tbl_Consulting[Invoice Type],IFERROR(MATCH(A349&amp;"",tbl_Consulting[Job Number],0),MATCH(IFERROR(A349+0,A349),tbl_Consulting[Job Number],0)))),""))))</f>
        <v/>
      </c>
      <c r="M349" s="26">
        <f>IF(A349="","",IF(IFERROR(IF(INDEX(tbl_Onsite[Tax Code],IFERROR(MATCH(A349&amp;"",tbl_Onsite[Job Number],0),MATCH(IFERROR(A349+0,A349),tbl_Onsite[Job Number],0)))="","",INDEX(tbl_Onsite[Tax Code],IFERROR(MATCH(A349&amp;"",tbl_Onsite[Job Number],0),MATCH(IFERROR(A349+0,A349),tbl_Onsite[Job Number],0)))),IFERROR(IF(INDEX(tbl_Production[Tax Code],IFERROR(MATCH(A349&amp;"",tbl_Production[Job Number],0),MATCH(IFERROR(A349+0,A349),tbl_Production[Job Number],0)))="","",INDEX(tbl_Production[Tax Code],IFERROR(MATCH(A349&amp;"",tbl_Production[Job Number],0),MATCH(IFERROR(A349+0,A349),tbl_Production[Job Number],0)))),IFERROR(IF(INDEX(tbl_Consulting[Tax Code],IFERROR(MATCH(A349&amp;"",tbl_Consulting[Job Number],0),MATCH(IFERROR(A349+0,A349),tbl_Consulting[Job Number],0)))="","",INDEX(tbl_Consulting[Tax Code],IFERROR(MATCH(A349&amp;"",tbl_Consulting[Job Number],0),MATCH(IFERROR(A349+0,A349),tbl_Consulting[Job Number],0)))),"")))="","GST 10%",IFERROR(IF(INDEX(tbl_Onsite[Tax Code],IFERROR(MATCH(A349&amp;"",tbl_Onsite[Job Number],0),MATCH(IFERROR(A349+0,A349),tbl_Onsite[Job Number],0)))="","",INDEX(tbl_Onsite[Tax Code],IFERROR(MATCH(A349&amp;"",tbl_Onsite[Job Number],0),MATCH(IFERROR(A349+0,A349),tbl_Onsite[Job Number],0)))),IFERROR(IF(INDEX(tbl_Production[Tax Code],IFERROR(MATCH(A349&amp;"",tbl_Production[Job Number],0),MATCH(IFERROR(A349+0,A349),tbl_Production[Job Number],0)))="","",INDEX(tbl_Production[Tax Code],IFERROR(MATCH(A349&amp;"",tbl_Production[Job Number],0),MATCH(IFERROR(A349+0,A349),tbl_Production[Job Number],0)))),IFERROR(IF(INDEX(tbl_Consulting[Tax Code],IFERROR(MATCH(A349&amp;"",tbl_Consulting[Job Number],0),MATCH(IFERROR(A349+0,A349),tbl_Consulting[Job Number],0)))="","",INDEX(tbl_Consulting[Tax Code],IFERROR(MATCH(A349&amp;"",tbl_Consulting[Job Number],0),MATCH(IFERROR(A349+0,A349),tbl_Consulting[Job Number],0)))),"")))))</f>
        <v/>
      </c>
      <c r="N349" s="26">
        <f>IF(D349="","",IFERROR(INDEX(lst_CCtoGL,MATCH(D349,lst_CCforGL,0)),""))</f>
        <v/>
      </c>
      <c r="O349" s="27">
        <f>IF(E349="","",IF(M349="GST 10%",ROUND(E349*set_GSTRate,2),0))</f>
        <v/>
      </c>
      <c r="P349" s="27">
        <f>IF(E349="","",E349+O349)</f>
        <v/>
      </c>
      <c r="Q349" s="27">
        <f>IF(A349="","",IFERROR(INDEX(tbl_Onsite[Expected Revenue Ex GST],IFERROR(MATCH(A349&amp;"",tbl_Onsite[Job Number],0),MATCH(IFERROR(A349+0,A349),tbl_Onsite[Job Number],0))),IFERROR(INDEX(tbl_Production[Expected Revenue Ex GST],IFERROR(MATCH(A349&amp;"",tbl_Production[Job Number],0),MATCH(IFERROR(A349+0,A349),tbl_Production[Job Number],0))),IFERROR(INDEX(tbl_Consulting[Expected Revenue Ex GST],IFERROR(MATCH(A349&amp;"",tbl_Consulting[Job Number],0),MATCH(IFERROR(A349+0,A349),tbl_Consulting[Job Number],0))),0))))</f>
        <v/>
      </c>
      <c r="R349" s="27">
        <f>IF(A349="","",SUMIFS(tbl_Finance[Ex GST],tbl_Finance[Job Number],A349&amp;""))</f>
        <v/>
      </c>
      <c r="S349" s="27">
        <f>IF(A349="","",Q349-R349)</f>
        <v/>
      </c>
      <c r="T349" s="26">
        <f>IF(A349="","",IF(Q349=0,"No dept value",IF(ROUND(S349,2)=0,"Agrees",IF(S349&gt;0,"Dept higher - to invoice","Xero higher - check dept"))))</f>
        <v/>
      </c>
      <c r="U349" s="22" t="n"/>
      <c r="V349" s="22" t="n"/>
      <c r="W349" s="23" t="n"/>
      <c r="X349" s="23" t="n"/>
      <c r="Y349" s="22" t="n"/>
      <c r="Z349" s="22" t="n"/>
      <c r="AA349" s="26">
        <f>IF(COUNTA(C349,A349,B349,E349)=0,"",IF(C349="","No date - sits outside every month",IF(A349="","No job number",IF(H349="CHECK","Job number is not in the Xero job list",IF(G349="not set up yet","No department has set this job up - nothing can pull through",IF(D349="","No cost centre",IF(AND(U349="Y",B349=""),"Marked posted to Xero but has no invoice number",IF(N349="","Cost centre has no revenue GL on the Lists sheet",IF(T349="Xero higher - check dept","Invoiced more than the department says the job is worth","")))))))))</f>
        <v/>
      </c>
      <c r="AB349" s="28">
        <f>IF(A349="","",COUNTIFS(tbl_Finance[Job Number],A349&amp;"",tbl_Finance[Ex GST],"&lt;&gt;"))</f>
        <v/>
      </c>
      <c r="AC349" s="27">
        <f>IF(A349="","",SUMIFS(tbl_Finance[Ex GST],tbl_Finance[Job Number],A349&amp;""))</f>
        <v/>
      </c>
      <c r="AD349" s="27">
        <f>IF(A349="","",SUMIFS(tbl_Finance[Ex GST],tbl_Finance[Job Number],A349&amp;"",tbl_Finance[Xero Invoice No],"&lt;&gt;"))</f>
        <v/>
      </c>
      <c r="AE349" s="27">
        <f>IF(A349="","",AC349-AD349)</f>
        <v/>
      </c>
      <c r="AF349" s="26">
        <f>IF(A349="","",IFERROR(IF(INDEX(tbl_Onsite[Qwilr Quote],IFERROR(MATCH(A349&amp;"",tbl_Onsite[Job Number],0),MATCH(IFERROR(A349+0,A349),tbl_Onsite[Job Number],0)))="","",INDEX(tbl_Onsite[Qwilr Quote],IFERROR(MATCH(A349&amp;"",tbl_Onsite[Job Number],0),MATCH(IFERROR(A349+0,A349),tbl_Onsite[Job Number],0)))),IFERROR(IF(IF(INDEX(tbl_Production[Current RMS No],IFERROR(MATCH(A349&amp;"",tbl_Production[Job Number],0),MATCH(IFERROR(A349+0,A349),tbl_Production[Job Number],0)))="",INDEX(tbl_Production[Qwilr Quote],IFERROR(MATCH(A349&amp;"",tbl_Production[Job Number],0),MATCH(IFERROR(A349+0,A349),tbl_Production[Job Number],0))),INDEX(tbl_Production[Current RMS No],IFERROR(MATCH(A349&amp;"",tbl_Production[Job Number],0),MATCH(IFERROR(A349+0,A349),tbl_Production[Job Number],0))))="","",IF(INDEX(tbl_Production[Current RMS No],IFERROR(MATCH(A349&amp;"",tbl_Production[Job Number],0),MATCH(IFERROR(A349+0,A349),tbl_Production[Job Number],0)))="",INDEX(tbl_Production[Qwilr Quote],IFERROR(MATCH(A349&amp;"",tbl_Production[Job Number],0),MATCH(IFERROR(A349+0,A349),tbl_Production[Job Number],0))),INDEX(tbl_Production[Current RMS No],IFERROR(MATCH(A349&amp;"",tbl_Production[Job Number],0),MATCH(IFERROR(A349+0,A349),tbl_Production[Job Number],0))))),IFERROR(IF(INDEX(tbl_Consulting[Qwilr Quote],IFERROR(MATCH(A349&amp;"",tbl_Consulting[Job Number],0),MATCH(IFERROR(A349+0,A349),tbl_Consulting[Job Number],0)))="","",INDEX(tbl_Consulting[Qwilr Quote],IFERROR(MATCH(A349&amp;"",tbl_Consulting[Job Number],0),MATCH(IFERROR(A349+0,A349),tbl_Consulting[Job Number],0)))),""))))</f>
        <v/>
      </c>
      <c r="AG349" s="26">
        <f>IF(AF349="","",IF(AND(LEFT(AF349,4)&lt;&gt;"http",IF(G349="Production",set_RMSBase,set_QwilrBase)=""),"",HYPERLINK(IF(LEFT(AF349,4)="http",AF349,IF(G349="Production",set_RMSBase,set_QwilrBase)&amp;AF349),"Open")))</f>
        <v/>
      </c>
      <c r="AH349" s="27">
        <f>IF(A349="","",IFERROR(INDEX(tbl_Production[Total Expense],IFERROR(MATCH(A349&amp;"",tbl_Production[Job Number],0),MATCH(IFERROR(A349+0,A349),tbl_Production[Job Number],0))),IFERROR(INDEX(tbl_Consulting[Total Expense],IFERROR(MATCH(A349&amp;"",tbl_Consulting[Job Number],0),MATCH(IFERROR(A349+0,A349),tbl_Consulting[Job Number],0))),0)))</f>
        <v/>
      </c>
      <c r="AI349" s="27">
        <f>IF(A349="","",AC349-N(AH349))</f>
        <v/>
      </c>
      <c r="AJ349" s="29">
        <f>IFERROR(AI349/AC349,"")</f>
        <v/>
      </c>
      <c r="AK349" s="26">
        <f>IF(A349="","",IFERROR(IF(INDEX(tbl_Onsite[Notes],IFERROR(MATCH(A349&amp;"",tbl_Onsite[Job Number],0),MATCH(IFERROR(A349+0,A349),tbl_Onsite[Job Number],0)))="","",INDEX(tbl_Onsite[Notes],IFERROR(MATCH(A349&amp;"",tbl_Onsite[Job Number],0),MATCH(IFERROR(A349+0,A349),tbl_Onsite[Job Number],0)))),IFERROR(IF(INDEX(tbl_Production[Notes],IFERROR(MATCH(A349&amp;"",tbl_Production[Job Number],0),MATCH(IFERROR(A349+0,A349),tbl_Production[Job Number],0)))="","",INDEX(tbl_Production[Notes],IFERROR(MATCH(A349&amp;"",tbl_Production[Job Number],0),MATCH(IFERROR(A349+0,A349),tbl_Production[Job Number],0)))),IFERROR(IF(INDEX(tbl_Consulting[Notes],IFERROR(MATCH(A349&amp;"",tbl_Consulting[Job Number],0),MATCH(IFERROR(A349+0,A349),tbl_Consulting[Job Number],0)))="","",INDEX(tbl_Consulting[Notes],IFERROR(MATCH(A349&amp;"",tbl_Consulting[Job Number],0),MATCH(IFERROR(A349+0,A349),tbl_Consulting[Job Number],0)))),""))))</f>
        <v/>
      </c>
    </row>
    <row r="350" ht="15" customHeight="1">
      <c r="A350" s="22" t="n"/>
      <c r="B350" s="22" t="n"/>
      <c r="C350" s="23" t="n"/>
      <c r="D350" s="22" t="n"/>
      <c r="E350" s="24" t="n"/>
      <c r="F350" s="25">
        <f>IF(C350="","",EOMONTH(C350,0))</f>
        <v/>
      </c>
      <c r="G350" s="26">
        <f>IF(A350="","",IF(COUNTIF(tbl_Onsite[Job Number],A350&amp;"")&gt;0,"Onsite",IF(COUNTIF(tbl_Production[Job Number],A350&amp;"")&gt;0,"Production",IF(COUNTIF(tbl_Consulting[Job Number],A350&amp;"")&gt;0,"Consulting","not set up yet"))))</f>
        <v/>
      </c>
      <c r="H350" s="26">
        <f>IF(A350="","",IF(COUNTIF(lst_Jobs,A350&amp;"")&gt;0,"OK","CHECK"))</f>
        <v/>
      </c>
      <c r="I350" s="26">
        <f>IF(A350="","",IFERROR(INDEX(lst_JobName,MATCH(A350&amp;"",lst_Jobs,0)),""))</f>
        <v/>
      </c>
      <c r="J350" s="26">
        <f>IF(A350="","",IFERROR(IF(INDEX(tbl_Onsite[Client],IFERROR(MATCH(A350&amp;"",tbl_Onsite[Job Number],0),MATCH(IFERROR(A350+0,A350),tbl_Onsite[Job Number],0)))="","",INDEX(tbl_Onsite[Client],IFERROR(MATCH(A350&amp;"",tbl_Onsite[Job Number],0),MATCH(IFERROR(A350+0,A350),tbl_Onsite[Job Number],0)))),IFERROR(IF(INDEX(tbl_Production[Client],IFERROR(MATCH(A350&amp;"",tbl_Production[Job Number],0),MATCH(IFERROR(A350+0,A350),tbl_Production[Job Number],0)))="","",INDEX(tbl_Production[Client],IFERROR(MATCH(A350&amp;"",tbl_Production[Job Number],0),MATCH(IFERROR(A350+0,A350),tbl_Production[Job Number],0)))),IFERROR(IF(INDEX(tbl_Consulting[Client],IFERROR(MATCH(A350&amp;"",tbl_Consulting[Job Number],0),MATCH(IFERROR(A350+0,A350),tbl_Consulting[Job Number],0)))="","",INDEX(tbl_Consulting[Client],IFERROR(MATCH(A350&amp;"",tbl_Consulting[Job Number],0),MATCH(IFERROR(A350+0,A350),tbl_Consulting[Job Number],0)))),""))))</f>
        <v/>
      </c>
      <c r="K350" s="26">
        <f>IF(A350="","",IFERROR(IF(INDEX(tbl_Onsite[Job Description],IFERROR(MATCH(A350&amp;"",tbl_Onsite[Job Number],0),MATCH(IFERROR(A350+0,A350),tbl_Onsite[Job Number],0)))="","",INDEX(tbl_Onsite[Job Description],IFERROR(MATCH(A350&amp;"",tbl_Onsite[Job Number],0),MATCH(IFERROR(A350+0,A350),tbl_Onsite[Job Number],0)))),IFERROR(IF(INDEX(tbl_Production[Job Description],IFERROR(MATCH(A350&amp;"",tbl_Production[Job Number],0),MATCH(IFERROR(A350+0,A350),tbl_Production[Job Number],0)))="","",INDEX(tbl_Production[Job Description],IFERROR(MATCH(A350&amp;"",tbl_Production[Job Number],0),MATCH(IFERROR(A350+0,A350),tbl_Production[Job Number],0)))),IFERROR(IF(INDEX(tbl_Consulting[Job Description],IFERROR(MATCH(A350&amp;"",tbl_Consulting[Job Number],0),MATCH(IFERROR(A350+0,A350),tbl_Consulting[Job Number],0)))="","",INDEX(tbl_Consulting[Job Description],IFERROR(MATCH(A350&amp;"",tbl_Consulting[Job Number],0),MATCH(IFERROR(A350+0,A350),tbl_Consulting[Job Number],0)))),""))))</f>
        <v/>
      </c>
      <c r="L350" s="26">
        <f>IF(A350="","",IFERROR(IF(INDEX(tbl_Onsite[Invoice Type],IFERROR(MATCH(A350&amp;"",tbl_Onsite[Job Number],0),MATCH(IFERROR(A350+0,A350),tbl_Onsite[Job Number],0)))="","",INDEX(tbl_Onsite[Invoice Type],IFERROR(MATCH(A350&amp;"",tbl_Onsite[Job Number],0),MATCH(IFERROR(A350+0,A350),tbl_Onsite[Job Number],0)))),IFERROR(IF(INDEX(tbl_Production[Invoice Type],IFERROR(MATCH(A350&amp;"",tbl_Production[Job Number],0),MATCH(IFERROR(A350+0,A350),tbl_Production[Job Number],0)))="","",INDEX(tbl_Production[Invoice Type],IFERROR(MATCH(A350&amp;"",tbl_Production[Job Number],0),MATCH(IFERROR(A350+0,A350),tbl_Production[Job Number],0)))),IFERROR(IF(INDEX(tbl_Consulting[Invoice Type],IFERROR(MATCH(A350&amp;"",tbl_Consulting[Job Number],0),MATCH(IFERROR(A350+0,A350),tbl_Consulting[Job Number],0)))="","",INDEX(tbl_Consulting[Invoice Type],IFERROR(MATCH(A350&amp;"",tbl_Consulting[Job Number],0),MATCH(IFERROR(A350+0,A350),tbl_Consulting[Job Number],0)))),""))))</f>
        <v/>
      </c>
      <c r="M350" s="26">
        <f>IF(A350="","",IF(IFERROR(IF(INDEX(tbl_Onsite[Tax Code],IFERROR(MATCH(A350&amp;"",tbl_Onsite[Job Number],0),MATCH(IFERROR(A350+0,A350),tbl_Onsite[Job Number],0)))="","",INDEX(tbl_Onsite[Tax Code],IFERROR(MATCH(A350&amp;"",tbl_Onsite[Job Number],0),MATCH(IFERROR(A350+0,A350),tbl_Onsite[Job Number],0)))),IFERROR(IF(INDEX(tbl_Production[Tax Code],IFERROR(MATCH(A350&amp;"",tbl_Production[Job Number],0),MATCH(IFERROR(A350+0,A350),tbl_Production[Job Number],0)))="","",INDEX(tbl_Production[Tax Code],IFERROR(MATCH(A350&amp;"",tbl_Production[Job Number],0),MATCH(IFERROR(A350+0,A350),tbl_Production[Job Number],0)))),IFERROR(IF(INDEX(tbl_Consulting[Tax Code],IFERROR(MATCH(A350&amp;"",tbl_Consulting[Job Number],0),MATCH(IFERROR(A350+0,A350),tbl_Consulting[Job Number],0)))="","",INDEX(tbl_Consulting[Tax Code],IFERROR(MATCH(A350&amp;"",tbl_Consulting[Job Number],0),MATCH(IFERROR(A350+0,A350),tbl_Consulting[Job Number],0)))),"")))="","GST 10%",IFERROR(IF(INDEX(tbl_Onsite[Tax Code],IFERROR(MATCH(A350&amp;"",tbl_Onsite[Job Number],0),MATCH(IFERROR(A350+0,A350),tbl_Onsite[Job Number],0)))="","",INDEX(tbl_Onsite[Tax Code],IFERROR(MATCH(A350&amp;"",tbl_Onsite[Job Number],0),MATCH(IFERROR(A350+0,A350),tbl_Onsite[Job Number],0)))),IFERROR(IF(INDEX(tbl_Production[Tax Code],IFERROR(MATCH(A350&amp;"",tbl_Production[Job Number],0),MATCH(IFERROR(A350+0,A350),tbl_Production[Job Number],0)))="","",INDEX(tbl_Production[Tax Code],IFERROR(MATCH(A350&amp;"",tbl_Production[Job Number],0),MATCH(IFERROR(A350+0,A350),tbl_Production[Job Number],0)))),IFERROR(IF(INDEX(tbl_Consulting[Tax Code],IFERROR(MATCH(A350&amp;"",tbl_Consulting[Job Number],0),MATCH(IFERROR(A350+0,A350),tbl_Consulting[Job Number],0)))="","",INDEX(tbl_Consulting[Tax Code],IFERROR(MATCH(A350&amp;"",tbl_Consulting[Job Number],0),MATCH(IFERROR(A350+0,A350),tbl_Consulting[Job Number],0)))),"")))))</f>
        <v/>
      </c>
      <c r="N350" s="26">
        <f>IF(D350="","",IFERROR(INDEX(lst_CCtoGL,MATCH(D350,lst_CCforGL,0)),""))</f>
        <v/>
      </c>
      <c r="O350" s="27">
        <f>IF(E350="","",IF(M350="GST 10%",ROUND(E350*set_GSTRate,2),0))</f>
        <v/>
      </c>
      <c r="P350" s="27">
        <f>IF(E350="","",E350+O350)</f>
        <v/>
      </c>
      <c r="Q350" s="27">
        <f>IF(A350="","",IFERROR(INDEX(tbl_Onsite[Expected Revenue Ex GST],IFERROR(MATCH(A350&amp;"",tbl_Onsite[Job Number],0),MATCH(IFERROR(A350+0,A350),tbl_Onsite[Job Number],0))),IFERROR(INDEX(tbl_Production[Expected Revenue Ex GST],IFERROR(MATCH(A350&amp;"",tbl_Production[Job Number],0),MATCH(IFERROR(A350+0,A350),tbl_Production[Job Number],0))),IFERROR(INDEX(tbl_Consulting[Expected Revenue Ex GST],IFERROR(MATCH(A350&amp;"",tbl_Consulting[Job Number],0),MATCH(IFERROR(A350+0,A350),tbl_Consulting[Job Number],0))),0))))</f>
        <v/>
      </c>
      <c r="R350" s="27">
        <f>IF(A350="","",SUMIFS(tbl_Finance[Ex GST],tbl_Finance[Job Number],A350&amp;""))</f>
        <v/>
      </c>
      <c r="S350" s="27">
        <f>IF(A350="","",Q350-R350)</f>
        <v/>
      </c>
      <c r="T350" s="26">
        <f>IF(A350="","",IF(Q350=0,"No dept value",IF(ROUND(S350,2)=0,"Agrees",IF(S350&gt;0,"Dept higher - to invoice","Xero higher - check dept"))))</f>
        <v/>
      </c>
      <c r="U350" s="22" t="n"/>
      <c r="V350" s="22" t="n"/>
      <c r="W350" s="23" t="n"/>
      <c r="X350" s="23" t="n"/>
      <c r="Y350" s="22" t="n"/>
      <c r="Z350" s="22" t="n"/>
      <c r="AA350" s="26">
        <f>IF(COUNTA(C350,A350,B350,E350)=0,"",IF(C350="","No date - sits outside every month",IF(A350="","No job number",IF(H350="CHECK","Job number is not in the Xero job list",IF(G350="not set up yet","No department has set this job up - nothing can pull through",IF(D350="","No cost centre",IF(AND(U350="Y",B350=""),"Marked posted to Xero but has no invoice number",IF(N350="","Cost centre has no revenue GL on the Lists sheet",IF(T350="Xero higher - check dept","Invoiced more than the department says the job is worth","")))))))))</f>
        <v/>
      </c>
      <c r="AB350" s="28">
        <f>IF(A350="","",COUNTIFS(tbl_Finance[Job Number],A350&amp;"",tbl_Finance[Ex GST],"&lt;&gt;"))</f>
        <v/>
      </c>
      <c r="AC350" s="27">
        <f>IF(A350="","",SUMIFS(tbl_Finance[Ex GST],tbl_Finance[Job Number],A350&amp;""))</f>
        <v/>
      </c>
      <c r="AD350" s="27">
        <f>IF(A350="","",SUMIFS(tbl_Finance[Ex GST],tbl_Finance[Job Number],A350&amp;"",tbl_Finance[Xero Invoice No],"&lt;&gt;"))</f>
        <v/>
      </c>
      <c r="AE350" s="27">
        <f>IF(A350="","",AC350-AD350)</f>
        <v/>
      </c>
      <c r="AF350" s="26">
        <f>IF(A350="","",IFERROR(IF(INDEX(tbl_Onsite[Qwilr Quote],IFERROR(MATCH(A350&amp;"",tbl_Onsite[Job Number],0),MATCH(IFERROR(A350+0,A350),tbl_Onsite[Job Number],0)))="","",INDEX(tbl_Onsite[Qwilr Quote],IFERROR(MATCH(A350&amp;"",tbl_Onsite[Job Number],0),MATCH(IFERROR(A350+0,A350),tbl_Onsite[Job Number],0)))),IFERROR(IF(IF(INDEX(tbl_Production[Current RMS No],IFERROR(MATCH(A350&amp;"",tbl_Production[Job Number],0),MATCH(IFERROR(A350+0,A350),tbl_Production[Job Number],0)))="",INDEX(tbl_Production[Qwilr Quote],IFERROR(MATCH(A350&amp;"",tbl_Production[Job Number],0),MATCH(IFERROR(A350+0,A350),tbl_Production[Job Number],0))),INDEX(tbl_Production[Current RMS No],IFERROR(MATCH(A350&amp;"",tbl_Production[Job Number],0),MATCH(IFERROR(A350+0,A350),tbl_Production[Job Number],0))))="","",IF(INDEX(tbl_Production[Current RMS No],IFERROR(MATCH(A350&amp;"",tbl_Production[Job Number],0),MATCH(IFERROR(A350+0,A350),tbl_Production[Job Number],0)))="",INDEX(tbl_Production[Qwilr Quote],IFERROR(MATCH(A350&amp;"",tbl_Production[Job Number],0),MATCH(IFERROR(A350+0,A350),tbl_Production[Job Number],0))),INDEX(tbl_Production[Current RMS No],IFERROR(MATCH(A350&amp;"",tbl_Production[Job Number],0),MATCH(IFERROR(A350+0,A350),tbl_Production[Job Number],0))))),IFERROR(IF(INDEX(tbl_Consulting[Qwilr Quote],IFERROR(MATCH(A350&amp;"",tbl_Consulting[Job Number],0),MATCH(IFERROR(A350+0,A350),tbl_Consulting[Job Number],0)))="","",INDEX(tbl_Consulting[Qwilr Quote],IFERROR(MATCH(A350&amp;"",tbl_Consulting[Job Number],0),MATCH(IFERROR(A350+0,A350),tbl_Consulting[Job Number],0)))),""))))</f>
        <v/>
      </c>
      <c r="AG350" s="26">
        <f>IF(AF350="","",IF(AND(LEFT(AF350,4)&lt;&gt;"http",IF(G350="Production",set_RMSBase,set_QwilrBase)=""),"",HYPERLINK(IF(LEFT(AF350,4)="http",AF350,IF(G350="Production",set_RMSBase,set_QwilrBase)&amp;AF350),"Open")))</f>
        <v/>
      </c>
      <c r="AH350" s="27">
        <f>IF(A350="","",IFERROR(INDEX(tbl_Production[Total Expense],IFERROR(MATCH(A350&amp;"",tbl_Production[Job Number],0),MATCH(IFERROR(A350+0,A350),tbl_Production[Job Number],0))),IFERROR(INDEX(tbl_Consulting[Total Expense],IFERROR(MATCH(A350&amp;"",tbl_Consulting[Job Number],0),MATCH(IFERROR(A350+0,A350),tbl_Consulting[Job Number],0))),0)))</f>
        <v/>
      </c>
      <c r="AI350" s="27">
        <f>IF(A350="","",AC350-N(AH350))</f>
        <v/>
      </c>
      <c r="AJ350" s="29">
        <f>IFERROR(AI350/AC350,"")</f>
        <v/>
      </c>
      <c r="AK350" s="26">
        <f>IF(A350="","",IFERROR(IF(INDEX(tbl_Onsite[Notes],IFERROR(MATCH(A350&amp;"",tbl_Onsite[Job Number],0),MATCH(IFERROR(A350+0,A350),tbl_Onsite[Job Number],0)))="","",INDEX(tbl_Onsite[Notes],IFERROR(MATCH(A350&amp;"",tbl_Onsite[Job Number],0),MATCH(IFERROR(A350+0,A350),tbl_Onsite[Job Number],0)))),IFERROR(IF(INDEX(tbl_Production[Notes],IFERROR(MATCH(A350&amp;"",tbl_Production[Job Number],0),MATCH(IFERROR(A350+0,A350),tbl_Production[Job Number],0)))="","",INDEX(tbl_Production[Notes],IFERROR(MATCH(A350&amp;"",tbl_Production[Job Number],0),MATCH(IFERROR(A350+0,A350),tbl_Production[Job Number],0)))),IFERROR(IF(INDEX(tbl_Consulting[Notes],IFERROR(MATCH(A350&amp;"",tbl_Consulting[Job Number],0),MATCH(IFERROR(A350+0,A350),tbl_Consulting[Job Number],0)))="","",INDEX(tbl_Consulting[Notes],IFERROR(MATCH(A350&amp;"",tbl_Consulting[Job Number],0),MATCH(IFERROR(A350+0,A350),tbl_Consulting[Job Number],0)))),""))))</f>
        <v/>
      </c>
    </row>
    <row r="351" ht="15" customHeight="1">
      <c r="A351" s="22" t="n"/>
      <c r="B351" s="22" t="n"/>
      <c r="C351" s="23" t="n"/>
      <c r="D351" s="22" t="n"/>
      <c r="E351" s="24" t="n"/>
      <c r="F351" s="25">
        <f>IF(C351="","",EOMONTH(C351,0))</f>
        <v/>
      </c>
      <c r="G351" s="26">
        <f>IF(A351="","",IF(COUNTIF(tbl_Onsite[Job Number],A351&amp;"")&gt;0,"Onsite",IF(COUNTIF(tbl_Production[Job Number],A351&amp;"")&gt;0,"Production",IF(COUNTIF(tbl_Consulting[Job Number],A351&amp;"")&gt;0,"Consulting","not set up yet"))))</f>
        <v/>
      </c>
      <c r="H351" s="26">
        <f>IF(A351="","",IF(COUNTIF(lst_Jobs,A351&amp;"")&gt;0,"OK","CHECK"))</f>
        <v/>
      </c>
      <c r="I351" s="26">
        <f>IF(A351="","",IFERROR(INDEX(lst_JobName,MATCH(A351&amp;"",lst_Jobs,0)),""))</f>
        <v/>
      </c>
      <c r="J351" s="26">
        <f>IF(A351="","",IFERROR(IF(INDEX(tbl_Onsite[Client],IFERROR(MATCH(A351&amp;"",tbl_Onsite[Job Number],0),MATCH(IFERROR(A351+0,A351),tbl_Onsite[Job Number],0)))="","",INDEX(tbl_Onsite[Client],IFERROR(MATCH(A351&amp;"",tbl_Onsite[Job Number],0),MATCH(IFERROR(A351+0,A351),tbl_Onsite[Job Number],0)))),IFERROR(IF(INDEX(tbl_Production[Client],IFERROR(MATCH(A351&amp;"",tbl_Production[Job Number],0),MATCH(IFERROR(A351+0,A351),tbl_Production[Job Number],0)))="","",INDEX(tbl_Production[Client],IFERROR(MATCH(A351&amp;"",tbl_Production[Job Number],0),MATCH(IFERROR(A351+0,A351),tbl_Production[Job Number],0)))),IFERROR(IF(INDEX(tbl_Consulting[Client],IFERROR(MATCH(A351&amp;"",tbl_Consulting[Job Number],0),MATCH(IFERROR(A351+0,A351),tbl_Consulting[Job Number],0)))="","",INDEX(tbl_Consulting[Client],IFERROR(MATCH(A351&amp;"",tbl_Consulting[Job Number],0),MATCH(IFERROR(A351+0,A351),tbl_Consulting[Job Number],0)))),""))))</f>
        <v/>
      </c>
      <c r="K351" s="26">
        <f>IF(A351="","",IFERROR(IF(INDEX(tbl_Onsite[Job Description],IFERROR(MATCH(A351&amp;"",tbl_Onsite[Job Number],0),MATCH(IFERROR(A351+0,A351),tbl_Onsite[Job Number],0)))="","",INDEX(tbl_Onsite[Job Description],IFERROR(MATCH(A351&amp;"",tbl_Onsite[Job Number],0),MATCH(IFERROR(A351+0,A351),tbl_Onsite[Job Number],0)))),IFERROR(IF(INDEX(tbl_Production[Job Description],IFERROR(MATCH(A351&amp;"",tbl_Production[Job Number],0),MATCH(IFERROR(A351+0,A351),tbl_Production[Job Number],0)))="","",INDEX(tbl_Production[Job Description],IFERROR(MATCH(A351&amp;"",tbl_Production[Job Number],0),MATCH(IFERROR(A351+0,A351),tbl_Production[Job Number],0)))),IFERROR(IF(INDEX(tbl_Consulting[Job Description],IFERROR(MATCH(A351&amp;"",tbl_Consulting[Job Number],0),MATCH(IFERROR(A351+0,A351),tbl_Consulting[Job Number],0)))="","",INDEX(tbl_Consulting[Job Description],IFERROR(MATCH(A351&amp;"",tbl_Consulting[Job Number],0),MATCH(IFERROR(A351+0,A351),tbl_Consulting[Job Number],0)))),""))))</f>
        <v/>
      </c>
      <c r="L351" s="26">
        <f>IF(A351="","",IFERROR(IF(INDEX(tbl_Onsite[Invoice Type],IFERROR(MATCH(A351&amp;"",tbl_Onsite[Job Number],0),MATCH(IFERROR(A351+0,A351),tbl_Onsite[Job Number],0)))="","",INDEX(tbl_Onsite[Invoice Type],IFERROR(MATCH(A351&amp;"",tbl_Onsite[Job Number],0),MATCH(IFERROR(A351+0,A351),tbl_Onsite[Job Number],0)))),IFERROR(IF(INDEX(tbl_Production[Invoice Type],IFERROR(MATCH(A351&amp;"",tbl_Production[Job Number],0),MATCH(IFERROR(A351+0,A351),tbl_Production[Job Number],0)))="","",INDEX(tbl_Production[Invoice Type],IFERROR(MATCH(A351&amp;"",tbl_Production[Job Number],0),MATCH(IFERROR(A351+0,A351),tbl_Production[Job Number],0)))),IFERROR(IF(INDEX(tbl_Consulting[Invoice Type],IFERROR(MATCH(A351&amp;"",tbl_Consulting[Job Number],0),MATCH(IFERROR(A351+0,A351),tbl_Consulting[Job Number],0)))="","",INDEX(tbl_Consulting[Invoice Type],IFERROR(MATCH(A351&amp;"",tbl_Consulting[Job Number],0),MATCH(IFERROR(A351+0,A351),tbl_Consulting[Job Number],0)))),""))))</f>
        <v/>
      </c>
      <c r="M351" s="26">
        <f>IF(A351="","",IF(IFERROR(IF(INDEX(tbl_Onsite[Tax Code],IFERROR(MATCH(A351&amp;"",tbl_Onsite[Job Number],0),MATCH(IFERROR(A351+0,A351),tbl_Onsite[Job Number],0)))="","",INDEX(tbl_Onsite[Tax Code],IFERROR(MATCH(A351&amp;"",tbl_Onsite[Job Number],0),MATCH(IFERROR(A351+0,A351),tbl_Onsite[Job Number],0)))),IFERROR(IF(INDEX(tbl_Production[Tax Code],IFERROR(MATCH(A351&amp;"",tbl_Production[Job Number],0),MATCH(IFERROR(A351+0,A351),tbl_Production[Job Number],0)))="","",INDEX(tbl_Production[Tax Code],IFERROR(MATCH(A351&amp;"",tbl_Production[Job Number],0),MATCH(IFERROR(A351+0,A351),tbl_Production[Job Number],0)))),IFERROR(IF(INDEX(tbl_Consulting[Tax Code],IFERROR(MATCH(A351&amp;"",tbl_Consulting[Job Number],0),MATCH(IFERROR(A351+0,A351),tbl_Consulting[Job Number],0)))="","",INDEX(tbl_Consulting[Tax Code],IFERROR(MATCH(A351&amp;"",tbl_Consulting[Job Number],0),MATCH(IFERROR(A351+0,A351),tbl_Consulting[Job Number],0)))),"")))="","GST 10%",IFERROR(IF(INDEX(tbl_Onsite[Tax Code],IFERROR(MATCH(A351&amp;"",tbl_Onsite[Job Number],0),MATCH(IFERROR(A351+0,A351),tbl_Onsite[Job Number],0)))="","",INDEX(tbl_Onsite[Tax Code],IFERROR(MATCH(A351&amp;"",tbl_Onsite[Job Number],0),MATCH(IFERROR(A351+0,A351),tbl_Onsite[Job Number],0)))),IFERROR(IF(INDEX(tbl_Production[Tax Code],IFERROR(MATCH(A351&amp;"",tbl_Production[Job Number],0),MATCH(IFERROR(A351+0,A351),tbl_Production[Job Number],0)))="","",INDEX(tbl_Production[Tax Code],IFERROR(MATCH(A351&amp;"",tbl_Production[Job Number],0),MATCH(IFERROR(A351+0,A351),tbl_Production[Job Number],0)))),IFERROR(IF(INDEX(tbl_Consulting[Tax Code],IFERROR(MATCH(A351&amp;"",tbl_Consulting[Job Number],0),MATCH(IFERROR(A351+0,A351),tbl_Consulting[Job Number],0)))="","",INDEX(tbl_Consulting[Tax Code],IFERROR(MATCH(A351&amp;"",tbl_Consulting[Job Number],0),MATCH(IFERROR(A351+0,A351),tbl_Consulting[Job Number],0)))),"")))))</f>
        <v/>
      </c>
      <c r="N351" s="26">
        <f>IF(D351="","",IFERROR(INDEX(lst_CCtoGL,MATCH(D351,lst_CCforGL,0)),""))</f>
        <v/>
      </c>
      <c r="O351" s="27">
        <f>IF(E351="","",IF(M351="GST 10%",ROUND(E351*set_GSTRate,2),0))</f>
        <v/>
      </c>
      <c r="P351" s="27">
        <f>IF(E351="","",E351+O351)</f>
        <v/>
      </c>
      <c r="Q351" s="27">
        <f>IF(A351="","",IFERROR(INDEX(tbl_Onsite[Expected Revenue Ex GST],IFERROR(MATCH(A351&amp;"",tbl_Onsite[Job Number],0),MATCH(IFERROR(A351+0,A351),tbl_Onsite[Job Number],0))),IFERROR(INDEX(tbl_Production[Expected Revenue Ex GST],IFERROR(MATCH(A351&amp;"",tbl_Production[Job Number],0),MATCH(IFERROR(A351+0,A351),tbl_Production[Job Number],0))),IFERROR(INDEX(tbl_Consulting[Expected Revenue Ex GST],IFERROR(MATCH(A351&amp;"",tbl_Consulting[Job Number],0),MATCH(IFERROR(A351+0,A351),tbl_Consulting[Job Number],0))),0))))</f>
        <v/>
      </c>
      <c r="R351" s="27">
        <f>IF(A351="","",SUMIFS(tbl_Finance[Ex GST],tbl_Finance[Job Number],A351&amp;""))</f>
        <v/>
      </c>
      <c r="S351" s="27">
        <f>IF(A351="","",Q351-R351)</f>
        <v/>
      </c>
      <c r="T351" s="26">
        <f>IF(A351="","",IF(Q351=0,"No dept value",IF(ROUND(S351,2)=0,"Agrees",IF(S351&gt;0,"Dept higher - to invoice","Xero higher - check dept"))))</f>
        <v/>
      </c>
      <c r="U351" s="22" t="n"/>
      <c r="V351" s="22" t="n"/>
      <c r="W351" s="23" t="n"/>
      <c r="X351" s="23" t="n"/>
      <c r="Y351" s="22" t="n"/>
      <c r="Z351" s="22" t="n"/>
      <c r="AA351" s="26">
        <f>IF(COUNTA(C351,A351,B351,E351)=0,"",IF(C351="","No date - sits outside every month",IF(A351="","No job number",IF(H351="CHECK","Job number is not in the Xero job list",IF(G351="not set up yet","No department has set this job up - nothing can pull through",IF(D351="","No cost centre",IF(AND(U351="Y",B351=""),"Marked posted to Xero but has no invoice number",IF(N351="","Cost centre has no revenue GL on the Lists sheet",IF(T351="Xero higher - check dept","Invoiced more than the department says the job is worth","")))))))))</f>
        <v/>
      </c>
      <c r="AB351" s="28">
        <f>IF(A351="","",COUNTIFS(tbl_Finance[Job Number],A351&amp;"",tbl_Finance[Ex GST],"&lt;&gt;"))</f>
        <v/>
      </c>
      <c r="AC351" s="27">
        <f>IF(A351="","",SUMIFS(tbl_Finance[Ex GST],tbl_Finance[Job Number],A351&amp;""))</f>
        <v/>
      </c>
      <c r="AD351" s="27">
        <f>IF(A351="","",SUMIFS(tbl_Finance[Ex GST],tbl_Finance[Job Number],A351&amp;"",tbl_Finance[Xero Invoice No],"&lt;&gt;"))</f>
        <v/>
      </c>
      <c r="AE351" s="27">
        <f>IF(A351="","",AC351-AD351)</f>
        <v/>
      </c>
      <c r="AF351" s="26">
        <f>IF(A351="","",IFERROR(IF(INDEX(tbl_Onsite[Qwilr Quote],IFERROR(MATCH(A351&amp;"",tbl_Onsite[Job Number],0),MATCH(IFERROR(A351+0,A351),tbl_Onsite[Job Number],0)))="","",INDEX(tbl_Onsite[Qwilr Quote],IFERROR(MATCH(A351&amp;"",tbl_Onsite[Job Number],0),MATCH(IFERROR(A351+0,A351),tbl_Onsite[Job Number],0)))),IFERROR(IF(IF(INDEX(tbl_Production[Current RMS No],IFERROR(MATCH(A351&amp;"",tbl_Production[Job Number],0),MATCH(IFERROR(A351+0,A351),tbl_Production[Job Number],0)))="",INDEX(tbl_Production[Qwilr Quote],IFERROR(MATCH(A351&amp;"",tbl_Production[Job Number],0),MATCH(IFERROR(A351+0,A351),tbl_Production[Job Number],0))),INDEX(tbl_Production[Current RMS No],IFERROR(MATCH(A351&amp;"",tbl_Production[Job Number],0),MATCH(IFERROR(A351+0,A351),tbl_Production[Job Number],0))))="","",IF(INDEX(tbl_Production[Current RMS No],IFERROR(MATCH(A351&amp;"",tbl_Production[Job Number],0),MATCH(IFERROR(A351+0,A351),tbl_Production[Job Number],0)))="",INDEX(tbl_Production[Qwilr Quote],IFERROR(MATCH(A351&amp;"",tbl_Production[Job Number],0),MATCH(IFERROR(A351+0,A351),tbl_Production[Job Number],0))),INDEX(tbl_Production[Current RMS No],IFERROR(MATCH(A351&amp;"",tbl_Production[Job Number],0),MATCH(IFERROR(A351+0,A351),tbl_Production[Job Number],0))))),IFERROR(IF(INDEX(tbl_Consulting[Qwilr Quote],IFERROR(MATCH(A351&amp;"",tbl_Consulting[Job Number],0),MATCH(IFERROR(A351+0,A351),tbl_Consulting[Job Number],0)))="","",INDEX(tbl_Consulting[Qwilr Quote],IFERROR(MATCH(A351&amp;"",tbl_Consulting[Job Number],0),MATCH(IFERROR(A351+0,A351),tbl_Consulting[Job Number],0)))),""))))</f>
        <v/>
      </c>
      <c r="AG351" s="26">
        <f>IF(AF351="","",IF(AND(LEFT(AF351,4)&lt;&gt;"http",IF(G351="Production",set_RMSBase,set_QwilrBase)=""),"",HYPERLINK(IF(LEFT(AF351,4)="http",AF351,IF(G351="Production",set_RMSBase,set_QwilrBase)&amp;AF351),"Open")))</f>
        <v/>
      </c>
      <c r="AH351" s="27">
        <f>IF(A351="","",IFERROR(INDEX(tbl_Production[Total Expense],IFERROR(MATCH(A351&amp;"",tbl_Production[Job Number],0),MATCH(IFERROR(A351+0,A351),tbl_Production[Job Number],0))),IFERROR(INDEX(tbl_Consulting[Total Expense],IFERROR(MATCH(A351&amp;"",tbl_Consulting[Job Number],0),MATCH(IFERROR(A351+0,A351),tbl_Consulting[Job Number],0))),0)))</f>
        <v/>
      </c>
      <c r="AI351" s="27">
        <f>IF(A351="","",AC351-N(AH351))</f>
        <v/>
      </c>
      <c r="AJ351" s="29">
        <f>IFERROR(AI351/AC351,"")</f>
        <v/>
      </c>
      <c r="AK351" s="26">
        <f>IF(A351="","",IFERROR(IF(INDEX(tbl_Onsite[Notes],IFERROR(MATCH(A351&amp;"",tbl_Onsite[Job Number],0),MATCH(IFERROR(A351+0,A351),tbl_Onsite[Job Number],0)))="","",INDEX(tbl_Onsite[Notes],IFERROR(MATCH(A351&amp;"",tbl_Onsite[Job Number],0),MATCH(IFERROR(A351+0,A351),tbl_Onsite[Job Number],0)))),IFERROR(IF(INDEX(tbl_Production[Notes],IFERROR(MATCH(A351&amp;"",tbl_Production[Job Number],0),MATCH(IFERROR(A351+0,A351),tbl_Production[Job Number],0)))="","",INDEX(tbl_Production[Notes],IFERROR(MATCH(A351&amp;"",tbl_Production[Job Number],0),MATCH(IFERROR(A351+0,A351),tbl_Production[Job Number],0)))),IFERROR(IF(INDEX(tbl_Consulting[Notes],IFERROR(MATCH(A351&amp;"",tbl_Consulting[Job Number],0),MATCH(IFERROR(A351+0,A351),tbl_Consulting[Job Number],0)))="","",INDEX(tbl_Consulting[Notes],IFERROR(MATCH(A351&amp;"",tbl_Consulting[Job Number],0),MATCH(IFERROR(A351+0,A351),tbl_Consulting[Job Number],0)))),""))))</f>
        <v/>
      </c>
    </row>
    <row r="352" ht="15" customHeight="1">
      <c r="A352" s="22" t="n"/>
      <c r="B352" s="22" t="n"/>
      <c r="C352" s="23" t="n"/>
      <c r="D352" s="22" t="n"/>
      <c r="E352" s="24" t="n"/>
      <c r="F352" s="25">
        <f>IF(C352="","",EOMONTH(C352,0))</f>
        <v/>
      </c>
      <c r="G352" s="26">
        <f>IF(A352="","",IF(COUNTIF(tbl_Onsite[Job Number],A352&amp;"")&gt;0,"Onsite",IF(COUNTIF(tbl_Production[Job Number],A352&amp;"")&gt;0,"Production",IF(COUNTIF(tbl_Consulting[Job Number],A352&amp;"")&gt;0,"Consulting","not set up yet"))))</f>
        <v/>
      </c>
      <c r="H352" s="26">
        <f>IF(A352="","",IF(COUNTIF(lst_Jobs,A352&amp;"")&gt;0,"OK","CHECK"))</f>
        <v/>
      </c>
      <c r="I352" s="26">
        <f>IF(A352="","",IFERROR(INDEX(lst_JobName,MATCH(A352&amp;"",lst_Jobs,0)),""))</f>
        <v/>
      </c>
      <c r="J352" s="26">
        <f>IF(A352="","",IFERROR(IF(INDEX(tbl_Onsite[Client],IFERROR(MATCH(A352&amp;"",tbl_Onsite[Job Number],0),MATCH(IFERROR(A352+0,A352),tbl_Onsite[Job Number],0)))="","",INDEX(tbl_Onsite[Client],IFERROR(MATCH(A352&amp;"",tbl_Onsite[Job Number],0),MATCH(IFERROR(A352+0,A352),tbl_Onsite[Job Number],0)))),IFERROR(IF(INDEX(tbl_Production[Client],IFERROR(MATCH(A352&amp;"",tbl_Production[Job Number],0),MATCH(IFERROR(A352+0,A352),tbl_Production[Job Number],0)))="","",INDEX(tbl_Production[Client],IFERROR(MATCH(A352&amp;"",tbl_Production[Job Number],0),MATCH(IFERROR(A352+0,A352),tbl_Production[Job Number],0)))),IFERROR(IF(INDEX(tbl_Consulting[Client],IFERROR(MATCH(A352&amp;"",tbl_Consulting[Job Number],0),MATCH(IFERROR(A352+0,A352),tbl_Consulting[Job Number],0)))="","",INDEX(tbl_Consulting[Client],IFERROR(MATCH(A352&amp;"",tbl_Consulting[Job Number],0),MATCH(IFERROR(A352+0,A352),tbl_Consulting[Job Number],0)))),""))))</f>
        <v/>
      </c>
      <c r="K352" s="26">
        <f>IF(A352="","",IFERROR(IF(INDEX(tbl_Onsite[Job Description],IFERROR(MATCH(A352&amp;"",tbl_Onsite[Job Number],0),MATCH(IFERROR(A352+0,A352),tbl_Onsite[Job Number],0)))="","",INDEX(tbl_Onsite[Job Description],IFERROR(MATCH(A352&amp;"",tbl_Onsite[Job Number],0),MATCH(IFERROR(A352+0,A352),tbl_Onsite[Job Number],0)))),IFERROR(IF(INDEX(tbl_Production[Job Description],IFERROR(MATCH(A352&amp;"",tbl_Production[Job Number],0),MATCH(IFERROR(A352+0,A352),tbl_Production[Job Number],0)))="","",INDEX(tbl_Production[Job Description],IFERROR(MATCH(A352&amp;"",tbl_Production[Job Number],0),MATCH(IFERROR(A352+0,A352),tbl_Production[Job Number],0)))),IFERROR(IF(INDEX(tbl_Consulting[Job Description],IFERROR(MATCH(A352&amp;"",tbl_Consulting[Job Number],0),MATCH(IFERROR(A352+0,A352),tbl_Consulting[Job Number],0)))="","",INDEX(tbl_Consulting[Job Description],IFERROR(MATCH(A352&amp;"",tbl_Consulting[Job Number],0),MATCH(IFERROR(A352+0,A352),tbl_Consulting[Job Number],0)))),""))))</f>
        <v/>
      </c>
      <c r="L352" s="26">
        <f>IF(A352="","",IFERROR(IF(INDEX(tbl_Onsite[Invoice Type],IFERROR(MATCH(A352&amp;"",tbl_Onsite[Job Number],0),MATCH(IFERROR(A352+0,A352),tbl_Onsite[Job Number],0)))="","",INDEX(tbl_Onsite[Invoice Type],IFERROR(MATCH(A352&amp;"",tbl_Onsite[Job Number],0),MATCH(IFERROR(A352+0,A352),tbl_Onsite[Job Number],0)))),IFERROR(IF(INDEX(tbl_Production[Invoice Type],IFERROR(MATCH(A352&amp;"",tbl_Production[Job Number],0),MATCH(IFERROR(A352+0,A352),tbl_Production[Job Number],0)))="","",INDEX(tbl_Production[Invoice Type],IFERROR(MATCH(A352&amp;"",tbl_Production[Job Number],0),MATCH(IFERROR(A352+0,A352),tbl_Production[Job Number],0)))),IFERROR(IF(INDEX(tbl_Consulting[Invoice Type],IFERROR(MATCH(A352&amp;"",tbl_Consulting[Job Number],0),MATCH(IFERROR(A352+0,A352),tbl_Consulting[Job Number],0)))="","",INDEX(tbl_Consulting[Invoice Type],IFERROR(MATCH(A352&amp;"",tbl_Consulting[Job Number],0),MATCH(IFERROR(A352+0,A352),tbl_Consulting[Job Number],0)))),""))))</f>
        <v/>
      </c>
      <c r="M352" s="26">
        <f>IF(A352="","",IF(IFERROR(IF(INDEX(tbl_Onsite[Tax Code],IFERROR(MATCH(A352&amp;"",tbl_Onsite[Job Number],0),MATCH(IFERROR(A352+0,A352),tbl_Onsite[Job Number],0)))="","",INDEX(tbl_Onsite[Tax Code],IFERROR(MATCH(A352&amp;"",tbl_Onsite[Job Number],0),MATCH(IFERROR(A352+0,A352),tbl_Onsite[Job Number],0)))),IFERROR(IF(INDEX(tbl_Production[Tax Code],IFERROR(MATCH(A352&amp;"",tbl_Production[Job Number],0),MATCH(IFERROR(A352+0,A352),tbl_Production[Job Number],0)))="","",INDEX(tbl_Production[Tax Code],IFERROR(MATCH(A352&amp;"",tbl_Production[Job Number],0),MATCH(IFERROR(A352+0,A352),tbl_Production[Job Number],0)))),IFERROR(IF(INDEX(tbl_Consulting[Tax Code],IFERROR(MATCH(A352&amp;"",tbl_Consulting[Job Number],0),MATCH(IFERROR(A352+0,A352),tbl_Consulting[Job Number],0)))="","",INDEX(tbl_Consulting[Tax Code],IFERROR(MATCH(A352&amp;"",tbl_Consulting[Job Number],0),MATCH(IFERROR(A352+0,A352),tbl_Consulting[Job Number],0)))),"")))="","GST 10%",IFERROR(IF(INDEX(tbl_Onsite[Tax Code],IFERROR(MATCH(A352&amp;"",tbl_Onsite[Job Number],0),MATCH(IFERROR(A352+0,A352),tbl_Onsite[Job Number],0)))="","",INDEX(tbl_Onsite[Tax Code],IFERROR(MATCH(A352&amp;"",tbl_Onsite[Job Number],0),MATCH(IFERROR(A352+0,A352),tbl_Onsite[Job Number],0)))),IFERROR(IF(INDEX(tbl_Production[Tax Code],IFERROR(MATCH(A352&amp;"",tbl_Production[Job Number],0),MATCH(IFERROR(A352+0,A352),tbl_Production[Job Number],0)))="","",INDEX(tbl_Production[Tax Code],IFERROR(MATCH(A352&amp;"",tbl_Production[Job Number],0),MATCH(IFERROR(A352+0,A352),tbl_Production[Job Number],0)))),IFERROR(IF(INDEX(tbl_Consulting[Tax Code],IFERROR(MATCH(A352&amp;"",tbl_Consulting[Job Number],0),MATCH(IFERROR(A352+0,A352),tbl_Consulting[Job Number],0)))="","",INDEX(tbl_Consulting[Tax Code],IFERROR(MATCH(A352&amp;"",tbl_Consulting[Job Number],0),MATCH(IFERROR(A352+0,A352),tbl_Consulting[Job Number],0)))),"")))))</f>
        <v/>
      </c>
      <c r="N352" s="26">
        <f>IF(D352="","",IFERROR(INDEX(lst_CCtoGL,MATCH(D352,lst_CCforGL,0)),""))</f>
        <v/>
      </c>
      <c r="O352" s="27">
        <f>IF(E352="","",IF(M352="GST 10%",ROUND(E352*set_GSTRate,2),0))</f>
        <v/>
      </c>
      <c r="P352" s="27">
        <f>IF(E352="","",E352+O352)</f>
        <v/>
      </c>
      <c r="Q352" s="27">
        <f>IF(A352="","",IFERROR(INDEX(tbl_Onsite[Expected Revenue Ex GST],IFERROR(MATCH(A352&amp;"",tbl_Onsite[Job Number],0),MATCH(IFERROR(A352+0,A352),tbl_Onsite[Job Number],0))),IFERROR(INDEX(tbl_Production[Expected Revenue Ex GST],IFERROR(MATCH(A352&amp;"",tbl_Production[Job Number],0),MATCH(IFERROR(A352+0,A352),tbl_Production[Job Number],0))),IFERROR(INDEX(tbl_Consulting[Expected Revenue Ex GST],IFERROR(MATCH(A352&amp;"",tbl_Consulting[Job Number],0),MATCH(IFERROR(A352+0,A352),tbl_Consulting[Job Number],0))),0))))</f>
        <v/>
      </c>
      <c r="R352" s="27">
        <f>IF(A352="","",SUMIFS(tbl_Finance[Ex GST],tbl_Finance[Job Number],A352&amp;""))</f>
        <v/>
      </c>
      <c r="S352" s="27">
        <f>IF(A352="","",Q352-R352)</f>
        <v/>
      </c>
      <c r="T352" s="26">
        <f>IF(A352="","",IF(Q352=0,"No dept value",IF(ROUND(S352,2)=0,"Agrees",IF(S352&gt;0,"Dept higher - to invoice","Xero higher - check dept"))))</f>
        <v/>
      </c>
      <c r="U352" s="22" t="n"/>
      <c r="V352" s="22" t="n"/>
      <c r="W352" s="23" t="n"/>
      <c r="X352" s="23" t="n"/>
      <c r="Y352" s="22" t="n"/>
      <c r="Z352" s="22" t="n"/>
      <c r="AA352" s="26">
        <f>IF(COUNTA(C352,A352,B352,E352)=0,"",IF(C352="","No date - sits outside every month",IF(A352="","No job number",IF(H352="CHECK","Job number is not in the Xero job list",IF(G352="not set up yet","No department has set this job up - nothing can pull through",IF(D352="","No cost centre",IF(AND(U352="Y",B352=""),"Marked posted to Xero but has no invoice number",IF(N352="","Cost centre has no revenue GL on the Lists sheet",IF(T352="Xero higher - check dept","Invoiced more than the department says the job is worth","")))))))))</f>
        <v/>
      </c>
      <c r="AB352" s="28">
        <f>IF(A352="","",COUNTIFS(tbl_Finance[Job Number],A352&amp;"",tbl_Finance[Ex GST],"&lt;&gt;"))</f>
        <v/>
      </c>
      <c r="AC352" s="27">
        <f>IF(A352="","",SUMIFS(tbl_Finance[Ex GST],tbl_Finance[Job Number],A352&amp;""))</f>
        <v/>
      </c>
      <c r="AD352" s="27">
        <f>IF(A352="","",SUMIFS(tbl_Finance[Ex GST],tbl_Finance[Job Number],A352&amp;"",tbl_Finance[Xero Invoice No],"&lt;&gt;"))</f>
        <v/>
      </c>
      <c r="AE352" s="27">
        <f>IF(A352="","",AC352-AD352)</f>
        <v/>
      </c>
      <c r="AF352" s="26">
        <f>IF(A352="","",IFERROR(IF(INDEX(tbl_Onsite[Qwilr Quote],IFERROR(MATCH(A352&amp;"",tbl_Onsite[Job Number],0),MATCH(IFERROR(A352+0,A352),tbl_Onsite[Job Number],0)))="","",INDEX(tbl_Onsite[Qwilr Quote],IFERROR(MATCH(A352&amp;"",tbl_Onsite[Job Number],0),MATCH(IFERROR(A352+0,A352),tbl_Onsite[Job Number],0)))),IFERROR(IF(IF(INDEX(tbl_Production[Current RMS No],IFERROR(MATCH(A352&amp;"",tbl_Production[Job Number],0),MATCH(IFERROR(A352+0,A352),tbl_Production[Job Number],0)))="",INDEX(tbl_Production[Qwilr Quote],IFERROR(MATCH(A352&amp;"",tbl_Production[Job Number],0),MATCH(IFERROR(A352+0,A352),tbl_Production[Job Number],0))),INDEX(tbl_Production[Current RMS No],IFERROR(MATCH(A352&amp;"",tbl_Production[Job Number],0),MATCH(IFERROR(A352+0,A352),tbl_Production[Job Number],0))))="","",IF(INDEX(tbl_Production[Current RMS No],IFERROR(MATCH(A352&amp;"",tbl_Production[Job Number],0),MATCH(IFERROR(A352+0,A352),tbl_Production[Job Number],0)))="",INDEX(tbl_Production[Qwilr Quote],IFERROR(MATCH(A352&amp;"",tbl_Production[Job Number],0),MATCH(IFERROR(A352+0,A352),tbl_Production[Job Number],0))),INDEX(tbl_Production[Current RMS No],IFERROR(MATCH(A352&amp;"",tbl_Production[Job Number],0),MATCH(IFERROR(A352+0,A352),tbl_Production[Job Number],0))))),IFERROR(IF(INDEX(tbl_Consulting[Qwilr Quote],IFERROR(MATCH(A352&amp;"",tbl_Consulting[Job Number],0),MATCH(IFERROR(A352+0,A352),tbl_Consulting[Job Number],0)))="","",INDEX(tbl_Consulting[Qwilr Quote],IFERROR(MATCH(A352&amp;"",tbl_Consulting[Job Number],0),MATCH(IFERROR(A352+0,A352),tbl_Consulting[Job Number],0)))),""))))</f>
        <v/>
      </c>
      <c r="AG352" s="26">
        <f>IF(AF352="","",IF(AND(LEFT(AF352,4)&lt;&gt;"http",IF(G352="Production",set_RMSBase,set_QwilrBase)=""),"",HYPERLINK(IF(LEFT(AF352,4)="http",AF352,IF(G352="Production",set_RMSBase,set_QwilrBase)&amp;AF352),"Open")))</f>
        <v/>
      </c>
      <c r="AH352" s="27">
        <f>IF(A352="","",IFERROR(INDEX(tbl_Production[Total Expense],IFERROR(MATCH(A352&amp;"",tbl_Production[Job Number],0),MATCH(IFERROR(A352+0,A352),tbl_Production[Job Number],0))),IFERROR(INDEX(tbl_Consulting[Total Expense],IFERROR(MATCH(A352&amp;"",tbl_Consulting[Job Number],0),MATCH(IFERROR(A352+0,A352),tbl_Consulting[Job Number],0))),0)))</f>
        <v/>
      </c>
      <c r="AI352" s="27">
        <f>IF(A352="","",AC352-N(AH352))</f>
        <v/>
      </c>
      <c r="AJ352" s="29">
        <f>IFERROR(AI352/AC352,"")</f>
        <v/>
      </c>
      <c r="AK352" s="26">
        <f>IF(A352="","",IFERROR(IF(INDEX(tbl_Onsite[Notes],IFERROR(MATCH(A352&amp;"",tbl_Onsite[Job Number],0),MATCH(IFERROR(A352+0,A352),tbl_Onsite[Job Number],0)))="","",INDEX(tbl_Onsite[Notes],IFERROR(MATCH(A352&amp;"",tbl_Onsite[Job Number],0),MATCH(IFERROR(A352+0,A352),tbl_Onsite[Job Number],0)))),IFERROR(IF(INDEX(tbl_Production[Notes],IFERROR(MATCH(A352&amp;"",tbl_Production[Job Number],0),MATCH(IFERROR(A352+0,A352),tbl_Production[Job Number],0)))="","",INDEX(tbl_Production[Notes],IFERROR(MATCH(A352&amp;"",tbl_Production[Job Number],0),MATCH(IFERROR(A352+0,A352),tbl_Production[Job Number],0)))),IFERROR(IF(INDEX(tbl_Consulting[Notes],IFERROR(MATCH(A352&amp;"",tbl_Consulting[Job Number],0),MATCH(IFERROR(A352+0,A352),tbl_Consulting[Job Number],0)))="","",INDEX(tbl_Consulting[Notes],IFERROR(MATCH(A352&amp;"",tbl_Consulting[Job Number],0),MATCH(IFERROR(A352+0,A352),tbl_Consulting[Job Number],0)))),""))))</f>
        <v/>
      </c>
    </row>
    <row r="353" ht="15" customHeight="1">
      <c r="A353" s="22" t="n"/>
      <c r="B353" s="22" t="n"/>
      <c r="C353" s="23" t="n"/>
      <c r="D353" s="22" t="n"/>
      <c r="E353" s="24" t="n"/>
      <c r="F353" s="25">
        <f>IF(C353="","",EOMONTH(C353,0))</f>
        <v/>
      </c>
      <c r="G353" s="26">
        <f>IF(A353="","",IF(COUNTIF(tbl_Onsite[Job Number],A353&amp;"")&gt;0,"Onsite",IF(COUNTIF(tbl_Production[Job Number],A353&amp;"")&gt;0,"Production",IF(COUNTIF(tbl_Consulting[Job Number],A353&amp;"")&gt;0,"Consulting","not set up yet"))))</f>
        <v/>
      </c>
      <c r="H353" s="26">
        <f>IF(A353="","",IF(COUNTIF(lst_Jobs,A353&amp;"")&gt;0,"OK","CHECK"))</f>
        <v/>
      </c>
      <c r="I353" s="26">
        <f>IF(A353="","",IFERROR(INDEX(lst_JobName,MATCH(A353&amp;"",lst_Jobs,0)),""))</f>
        <v/>
      </c>
      <c r="J353" s="26">
        <f>IF(A353="","",IFERROR(IF(INDEX(tbl_Onsite[Client],IFERROR(MATCH(A353&amp;"",tbl_Onsite[Job Number],0),MATCH(IFERROR(A353+0,A353),tbl_Onsite[Job Number],0)))="","",INDEX(tbl_Onsite[Client],IFERROR(MATCH(A353&amp;"",tbl_Onsite[Job Number],0),MATCH(IFERROR(A353+0,A353),tbl_Onsite[Job Number],0)))),IFERROR(IF(INDEX(tbl_Production[Client],IFERROR(MATCH(A353&amp;"",tbl_Production[Job Number],0),MATCH(IFERROR(A353+0,A353),tbl_Production[Job Number],0)))="","",INDEX(tbl_Production[Client],IFERROR(MATCH(A353&amp;"",tbl_Production[Job Number],0),MATCH(IFERROR(A353+0,A353),tbl_Production[Job Number],0)))),IFERROR(IF(INDEX(tbl_Consulting[Client],IFERROR(MATCH(A353&amp;"",tbl_Consulting[Job Number],0),MATCH(IFERROR(A353+0,A353),tbl_Consulting[Job Number],0)))="","",INDEX(tbl_Consulting[Client],IFERROR(MATCH(A353&amp;"",tbl_Consulting[Job Number],0),MATCH(IFERROR(A353+0,A353),tbl_Consulting[Job Number],0)))),""))))</f>
        <v/>
      </c>
      <c r="K353" s="26">
        <f>IF(A353="","",IFERROR(IF(INDEX(tbl_Onsite[Job Description],IFERROR(MATCH(A353&amp;"",tbl_Onsite[Job Number],0),MATCH(IFERROR(A353+0,A353),tbl_Onsite[Job Number],0)))="","",INDEX(tbl_Onsite[Job Description],IFERROR(MATCH(A353&amp;"",tbl_Onsite[Job Number],0),MATCH(IFERROR(A353+0,A353),tbl_Onsite[Job Number],0)))),IFERROR(IF(INDEX(tbl_Production[Job Description],IFERROR(MATCH(A353&amp;"",tbl_Production[Job Number],0),MATCH(IFERROR(A353+0,A353),tbl_Production[Job Number],0)))="","",INDEX(tbl_Production[Job Description],IFERROR(MATCH(A353&amp;"",tbl_Production[Job Number],0),MATCH(IFERROR(A353+0,A353),tbl_Production[Job Number],0)))),IFERROR(IF(INDEX(tbl_Consulting[Job Description],IFERROR(MATCH(A353&amp;"",tbl_Consulting[Job Number],0),MATCH(IFERROR(A353+0,A353),tbl_Consulting[Job Number],0)))="","",INDEX(tbl_Consulting[Job Description],IFERROR(MATCH(A353&amp;"",tbl_Consulting[Job Number],0),MATCH(IFERROR(A353+0,A353),tbl_Consulting[Job Number],0)))),""))))</f>
        <v/>
      </c>
      <c r="L353" s="26">
        <f>IF(A353="","",IFERROR(IF(INDEX(tbl_Onsite[Invoice Type],IFERROR(MATCH(A353&amp;"",tbl_Onsite[Job Number],0),MATCH(IFERROR(A353+0,A353),tbl_Onsite[Job Number],0)))="","",INDEX(tbl_Onsite[Invoice Type],IFERROR(MATCH(A353&amp;"",tbl_Onsite[Job Number],0),MATCH(IFERROR(A353+0,A353),tbl_Onsite[Job Number],0)))),IFERROR(IF(INDEX(tbl_Production[Invoice Type],IFERROR(MATCH(A353&amp;"",tbl_Production[Job Number],0),MATCH(IFERROR(A353+0,A353),tbl_Production[Job Number],0)))="","",INDEX(tbl_Production[Invoice Type],IFERROR(MATCH(A353&amp;"",tbl_Production[Job Number],0),MATCH(IFERROR(A353+0,A353),tbl_Production[Job Number],0)))),IFERROR(IF(INDEX(tbl_Consulting[Invoice Type],IFERROR(MATCH(A353&amp;"",tbl_Consulting[Job Number],0),MATCH(IFERROR(A353+0,A353),tbl_Consulting[Job Number],0)))="","",INDEX(tbl_Consulting[Invoice Type],IFERROR(MATCH(A353&amp;"",tbl_Consulting[Job Number],0),MATCH(IFERROR(A353+0,A353),tbl_Consulting[Job Number],0)))),""))))</f>
        <v/>
      </c>
      <c r="M353" s="26">
        <f>IF(A353="","",IF(IFERROR(IF(INDEX(tbl_Onsite[Tax Code],IFERROR(MATCH(A353&amp;"",tbl_Onsite[Job Number],0),MATCH(IFERROR(A353+0,A353),tbl_Onsite[Job Number],0)))="","",INDEX(tbl_Onsite[Tax Code],IFERROR(MATCH(A353&amp;"",tbl_Onsite[Job Number],0),MATCH(IFERROR(A353+0,A353),tbl_Onsite[Job Number],0)))),IFERROR(IF(INDEX(tbl_Production[Tax Code],IFERROR(MATCH(A353&amp;"",tbl_Production[Job Number],0),MATCH(IFERROR(A353+0,A353),tbl_Production[Job Number],0)))="","",INDEX(tbl_Production[Tax Code],IFERROR(MATCH(A353&amp;"",tbl_Production[Job Number],0),MATCH(IFERROR(A353+0,A353),tbl_Production[Job Number],0)))),IFERROR(IF(INDEX(tbl_Consulting[Tax Code],IFERROR(MATCH(A353&amp;"",tbl_Consulting[Job Number],0),MATCH(IFERROR(A353+0,A353),tbl_Consulting[Job Number],0)))="","",INDEX(tbl_Consulting[Tax Code],IFERROR(MATCH(A353&amp;"",tbl_Consulting[Job Number],0),MATCH(IFERROR(A353+0,A353),tbl_Consulting[Job Number],0)))),"")))="","GST 10%",IFERROR(IF(INDEX(tbl_Onsite[Tax Code],IFERROR(MATCH(A353&amp;"",tbl_Onsite[Job Number],0),MATCH(IFERROR(A353+0,A353),tbl_Onsite[Job Number],0)))="","",INDEX(tbl_Onsite[Tax Code],IFERROR(MATCH(A353&amp;"",tbl_Onsite[Job Number],0),MATCH(IFERROR(A353+0,A353),tbl_Onsite[Job Number],0)))),IFERROR(IF(INDEX(tbl_Production[Tax Code],IFERROR(MATCH(A353&amp;"",tbl_Production[Job Number],0),MATCH(IFERROR(A353+0,A353),tbl_Production[Job Number],0)))="","",INDEX(tbl_Production[Tax Code],IFERROR(MATCH(A353&amp;"",tbl_Production[Job Number],0),MATCH(IFERROR(A353+0,A353),tbl_Production[Job Number],0)))),IFERROR(IF(INDEX(tbl_Consulting[Tax Code],IFERROR(MATCH(A353&amp;"",tbl_Consulting[Job Number],0),MATCH(IFERROR(A353+0,A353),tbl_Consulting[Job Number],0)))="","",INDEX(tbl_Consulting[Tax Code],IFERROR(MATCH(A353&amp;"",tbl_Consulting[Job Number],0),MATCH(IFERROR(A353+0,A353),tbl_Consulting[Job Number],0)))),"")))))</f>
        <v/>
      </c>
      <c r="N353" s="26">
        <f>IF(D353="","",IFERROR(INDEX(lst_CCtoGL,MATCH(D353,lst_CCforGL,0)),""))</f>
        <v/>
      </c>
      <c r="O353" s="27">
        <f>IF(E353="","",IF(M353="GST 10%",ROUND(E353*set_GSTRate,2),0))</f>
        <v/>
      </c>
      <c r="P353" s="27">
        <f>IF(E353="","",E353+O353)</f>
        <v/>
      </c>
      <c r="Q353" s="27">
        <f>IF(A353="","",IFERROR(INDEX(tbl_Onsite[Expected Revenue Ex GST],IFERROR(MATCH(A353&amp;"",tbl_Onsite[Job Number],0),MATCH(IFERROR(A353+0,A353),tbl_Onsite[Job Number],0))),IFERROR(INDEX(tbl_Production[Expected Revenue Ex GST],IFERROR(MATCH(A353&amp;"",tbl_Production[Job Number],0),MATCH(IFERROR(A353+0,A353),tbl_Production[Job Number],0))),IFERROR(INDEX(tbl_Consulting[Expected Revenue Ex GST],IFERROR(MATCH(A353&amp;"",tbl_Consulting[Job Number],0),MATCH(IFERROR(A353+0,A353),tbl_Consulting[Job Number],0))),0))))</f>
        <v/>
      </c>
      <c r="R353" s="27">
        <f>IF(A353="","",SUMIFS(tbl_Finance[Ex GST],tbl_Finance[Job Number],A353&amp;""))</f>
        <v/>
      </c>
      <c r="S353" s="27">
        <f>IF(A353="","",Q353-R353)</f>
        <v/>
      </c>
      <c r="T353" s="26">
        <f>IF(A353="","",IF(Q353=0,"No dept value",IF(ROUND(S353,2)=0,"Agrees",IF(S353&gt;0,"Dept higher - to invoice","Xero higher - check dept"))))</f>
        <v/>
      </c>
      <c r="U353" s="22" t="n"/>
      <c r="V353" s="22" t="n"/>
      <c r="W353" s="23" t="n"/>
      <c r="X353" s="23" t="n"/>
      <c r="Y353" s="22" t="n"/>
      <c r="Z353" s="22" t="n"/>
      <c r="AA353" s="26">
        <f>IF(COUNTA(C353,A353,B353,E353)=0,"",IF(C353="","No date - sits outside every month",IF(A353="","No job number",IF(H353="CHECK","Job number is not in the Xero job list",IF(G353="not set up yet","No department has set this job up - nothing can pull through",IF(D353="","No cost centre",IF(AND(U353="Y",B353=""),"Marked posted to Xero but has no invoice number",IF(N353="","Cost centre has no revenue GL on the Lists sheet",IF(T353="Xero higher - check dept","Invoiced more than the department says the job is worth","")))))))))</f>
        <v/>
      </c>
      <c r="AB353" s="28">
        <f>IF(A353="","",COUNTIFS(tbl_Finance[Job Number],A353&amp;"",tbl_Finance[Ex GST],"&lt;&gt;"))</f>
        <v/>
      </c>
      <c r="AC353" s="27">
        <f>IF(A353="","",SUMIFS(tbl_Finance[Ex GST],tbl_Finance[Job Number],A353&amp;""))</f>
        <v/>
      </c>
      <c r="AD353" s="27">
        <f>IF(A353="","",SUMIFS(tbl_Finance[Ex GST],tbl_Finance[Job Number],A353&amp;"",tbl_Finance[Xero Invoice No],"&lt;&gt;"))</f>
        <v/>
      </c>
      <c r="AE353" s="27">
        <f>IF(A353="","",AC353-AD353)</f>
        <v/>
      </c>
      <c r="AF353" s="26">
        <f>IF(A353="","",IFERROR(IF(INDEX(tbl_Onsite[Qwilr Quote],IFERROR(MATCH(A353&amp;"",tbl_Onsite[Job Number],0),MATCH(IFERROR(A353+0,A353),tbl_Onsite[Job Number],0)))="","",INDEX(tbl_Onsite[Qwilr Quote],IFERROR(MATCH(A353&amp;"",tbl_Onsite[Job Number],0),MATCH(IFERROR(A353+0,A353),tbl_Onsite[Job Number],0)))),IFERROR(IF(IF(INDEX(tbl_Production[Current RMS No],IFERROR(MATCH(A353&amp;"",tbl_Production[Job Number],0),MATCH(IFERROR(A353+0,A353),tbl_Production[Job Number],0)))="",INDEX(tbl_Production[Qwilr Quote],IFERROR(MATCH(A353&amp;"",tbl_Production[Job Number],0),MATCH(IFERROR(A353+0,A353),tbl_Production[Job Number],0))),INDEX(tbl_Production[Current RMS No],IFERROR(MATCH(A353&amp;"",tbl_Production[Job Number],0),MATCH(IFERROR(A353+0,A353),tbl_Production[Job Number],0))))="","",IF(INDEX(tbl_Production[Current RMS No],IFERROR(MATCH(A353&amp;"",tbl_Production[Job Number],0),MATCH(IFERROR(A353+0,A353),tbl_Production[Job Number],0)))="",INDEX(tbl_Production[Qwilr Quote],IFERROR(MATCH(A353&amp;"",tbl_Production[Job Number],0),MATCH(IFERROR(A353+0,A353),tbl_Production[Job Number],0))),INDEX(tbl_Production[Current RMS No],IFERROR(MATCH(A353&amp;"",tbl_Production[Job Number],0),MATCH(IFERROR(A353+0,A353),tbl_Production[Job Number],0))))),IFERROR(IF(INDEX(tbl_Consulting[Qwilr Quote],IFERROR(MATCH(A353&amp;"",tbl_Consulting[Job Number],0),MATCH(IFERROR(A353+0,A353),tbl_Consulting[Job Number],0)))="","",INDEX(tbl_Consulting[Qwilr Quote],IFERROR(MATCH(A353&amp;"",tbl_Consulting[Job Number],0),MATCH(IFERROR(A353+0,A353),tbl_Consulting[Job Number],0)))),""))))</f>
        <v/>
      </c>
      <c r="AG353" s="26">
        <f>IF(AF353="","",IF(AND(LEFT(AF353,4)&lt;&gt;"http",IF(G353="Production",set_RMSBase,set_QwilrBase)=""),"",HYPERLINK(IF(LEFT(AF353,4)="http",AF353,IF(G353="Production",set_RMSBase,set_QwilrBase)&amp;AF353),"Open")))</f>
        <v/>
      </c>
      <c r="AH353" s="27">
        <f>IF(A353="","",IFERROR(INDEX(tbl_Production[Total Expense],IFERROR(MATCH(A353&amp;"",tbl_Production[Job Number],0),MATCH(IFERROR(A353+0,A353),tbl_Production[Job Number],0))),IFERROR(INDEX(tbl_Consulting[Total Expense],IFERROR(MATCH(A353&amp;"",tbl_Consulting[Job Number],0),MATCH(IFERROR(A353+0,A353),tbl_Consulting[Job Number],0))),0)))</f>
        <v/>
      </c>
      <c r="AI353" s="27">
        <f>IF(A353="","",AC353-N(AH353))</f>
        <v/>
      </c>
      <c r="AJ353" s="29">
        <f>IFERROR(AI353/AC353,"")</f>
        <v/>
      </c>
      <c r="AK353" s="26">
        <f>IF(A353="","",IFERROR(IF(INDEX(tbl_Onsite[Notes],IFERROR(MATCH(A353&amp;"",tbl_Onsite[Job Number],0),MATCH(IFERROR(A353+0,A353),tbl_Onsite[Job Number],0)))="","",INDEX(tbl_Onsite[Notes],IFERROR(MATCH(A353&amp;"",tbl_Onsite[Job Number],0),MATCH(IFERROR(A353+0,A353),tbl_Onsite[Job Number],0)))),IFERROR(IF(INDEX(tbl_Production[Notes],IFERROR(MATCH(A353&amp;"",tbl_Production[Job Number],0),MATCH(IFERROR(A353+0,A353),tbl_Production[Job Number],0)))="","",INDEX(tbl_Production[Notes],IFERROR(MATCH(A353&amp;"",tbl_Production[Job Number],0),MATCH(IFERROR(A353+0,A353),tbl_Production[Job Number],0)))),IFERROR(IF(INDEX(tbl_Consulting[Notes],IFERROR(MATCH(A353&amp;"",tbl_Consulting[Job Number],0),MATCH(IFERROR(A353+0,A353),tbl_Consulting[Job Number],0)))="","",INDEX(tbl_Consulting[Notes],IFERROR(MATCH(A353&amp;"",tbl_Consulting[Job Number],0),MATCH(IFERROR(A353+0,A353),tbl_Consulting[Job Number],0)))),""))))</f>
        <v/>
      </c>
    </row>
    <row r="354" ht="15" customHeight="1">
      <c r="A354" s="22" t="n"/>
      <c r="B354" s="22" t="n"/>
      <c r="C354" s="23" t="n"/>
      <c r="D354" s="22" t="n"/>
      <c r="E354" s="24" t="n"/>
      <c r="F354" s="25">
        <f>IF(C354="","",EOMONTH(C354,0))</f>
        <v/>
      </c>
      <c r="G354" s="26">
        <f>IF(A354="","",IF(COUNTIF(tbl_Onsite[Job Number],A354&amp;"")&gt;0,"Onsite",IF(COUNTIF(tbl_Production[Job Number],A354&amp;"")&gt;0,"Production",IF(COUNTIF(tbl_Consulting[Job Number],A354&amp;"")&gt;0,"Consulting","not set up yet"))))</f>
        <v/>
      </c>
      <c r="H354" s="26">
        <f>IF(A354="","",IF(COUNTIF(lst_Jobs,A354&amp;"")&gt;0,"OK","CHECK"))</f>
        <v/>
      </c>
      <c r="I354" s="26">
        <f>IF(A354="","",IFERROR(INDEX(lst_JobName,MATCH(A354&amp;"",lst_Jobs,0)),""))</f>
        <v/>
      </c>
      <c r="J354" s="26">
        <f>IF(A354="","",IFERROR(IF(INDEX(tbl_Onsite[Client],IFERROR(MATCH(A354&amp;"",tbl_Onsite[Job Number],0),MATCH(IFERROR(A354+0,A354),tbl_Onsite[Job Number],0)))="","",INDEX(tbl_Onsite[Client],IFERROR(MATCH(A354&amp;"",tbl_Onsite[Job Number],0),MATCH(IFERROR(A354+0,A354),tbl_Onsite[Job Number],0)))),IFERROR(IF(INDEX(tbl_Production[Client],IFERROR(MATCH(A354&amp;"",tbl_Production[Job Number],0),MATCH(IFERROR(A354+0,A354),tbl_Production[Job Number],0)))="","",INDEX(tbl_Production[Client],IFERROR(MATCH(A354&amp;"",tbl_Production[Job Number],0),MATCH(IFERROR(A354+0,A354),tbl_Production[Job Number],0)))),IFERROR(IF(INDEX(tbl_Consulting[Client],IFERROR(MATCH(A354&amp;"",tbl_Consulting[Job Number],0),MATCH(IFERROR(A354+0,A354),tbl_Consulting[Job Number],0)))="","",INDEX(tbl_Consulting[Client],IFERROR(MATCH(A354&amp;"",tbl_Consulting[Job Number],0),MATCH(IFERROR(A354+0,A354),tbl_Consulting[Job Number],0)))),""))))</f>
        <v/>
      </c>
      <c r="K354" s="26">
        <f>IF(A354="","",IFERROR(IF(INDEX(tbl_Onsite[Job Description],IFERROR(MATCH(A354&amp;"",tbl_Onsite[Job Number],0),MATCH(IFERROR(A354+0,A354),tbl_Onsite[Job Number],0)))="","",INDEX(tbl_Onsite[Job Description],IFERROR(MATCH(A354&amp;"",tbl_Onsite[Job Number],0),MATCH(IFERROR(A354+0,A354),tbl_Onsite[Job Number],0)))),IFERROR(IF(INDEX(tbl_Production[Job Description],IFERROR(MATCH(A354&amp;"",tbl_Production[Job Number],0),MATCH(IFERROR(A354+0,A354),tbl_Production[Job Number],0)))="","",INDEX(tbl_Production[Job Description],IFERROR(MATCH(A354&amp;"",tbl_Production[Job Number],0),MATCH(IFERROR(A354+0,A354),tbl_Production[Job Number],0)))),IFERROR(IF(INDEX(tbl_Consulting[Job Description],IFERROR(MATCH(A354&amp;"",tbl_Consulting[Job Number],0),MATCH(IFERROR(A354+0,A354),tbl_Consulting[Job Number],0)))="","",INDEX(tbl_Consulting[Job Description],IFERROR(MATCH(A354&amp;"",tbl_Consulting[Job Number],0),MATCH(IFERROR(A354+0,A354),tbl_Consulting[Job Number],0)))),""))))</f>
        <v/>
      </c>
      <c r="L354" s="26">
        <f>IF(A354="","",IFERROR(IF(INDEX(tbl_Onsite[Invoice Type],IFERROR(MATCH(A354&amp;"",tbl_Onsite[Job Number],0),MATCH(IFERROR(A354+0,A354),tbl_Onsite[Job Number],0)))="","",INDEX(tbl_Onsite[Invoice Type],IFERROR(MATCH(A354&amp;"",tbl_Onsite[Job Number],0),MATCH(IFERROR(A354+0,A354),tbl_Onsite[Job Number],0)))),IFERROR(IF(INDEX(tbl_Production[Invoice Type],IFERROR(MATCH(A354&amp;"",tbl_Production[Job Number],0),MATCH(IFERROR(A354+0,A354),tbl_Production[Job Number],0)))="","",INDEX(tbl_Production[Invoice Type],IFERROR(MATCH(A354&amp;"",tbl_Production[Job Number],0),MATCH(IFERROR(A354+0,A354),tbl_Production[Job Number],0)))),IFERROR(IF(INDEX(tbl_Consulting[Invoice Type],IFERROR(MATCH(A354&amp;"",tbl_Consulting[Job Number],0),MATCH(IFERROR(A354+0,A354),tbl_Consulting[Job Number],0)))="","",INDEX(tbl_Consulting[Invoice Type],IFERROR(MATCH(A354&amp;"",tbl_Consulting[Job Number],0),MATCH(IFERROR(A354+0,A354),tbl_Consulting[Job Number],0)))),""))))</f>
        <v/>
      </c>
      <c r="M354" s="26">
        <f>IF(A354="","",IF(IFERROR(IF(INDEX(tbl_Onsite[Tax Code],IFERROR(MATCH(A354&amp;"",tbl_Onsite[Job Number],0),MATCH(IFERROR(A354+0,A354),tbl_Onsite[Job Number],0)))="","",INDEX(tbl_Onsite[Tax Code],IFERROR(MATCH(A354&amp;"",tbl_Onsite[Job Number],0),MATCH(IFERROR(A354+0,A354),tbl_Onsite[Job Number],0)))),IFERROR(IF(INDEX(tbl_Production[Tax Code],IFERROR(MATCH(A354&amp;"",tbl_Production[Job Number],0),MATCH(IFERROR(A354+0,A354),tbl_Production[Job Number],0)))="","",INDEX(tbl_Production[Tax Code],IFERROR(MATCH(A354&amp;"",tbl_Production[Job Number],0),MATCH(IFERROR(A354+0,A354),tbl_Production[Job Number],0)))),IFERROR(IF(INDEX(tbl_Consulting[Tax Code],IFERROR(MATCH(A354&amp;"",tbl_Consulting[Job Number],0),MATCH(IFERROR(A354+0,A354),tbl_Consulting[Job Number],0)))="","",INDEX(tbl_Consulting[Tax Code],IFERROR(MATCH(A354&amp;"",tbl_Consulting[Job Number],0),MATCH(IFERROR(A354+0,A354),tbl_Consulting[Job Number],0)))),"")))="","GST 10%",IFERROR(IF(INDEX(tbl_Onsite[Tax Code],IFERROR(MATCH(A354&amp;"",tbl_Onsite[Job Number],0),MATCH(IFERROR(A354+0,A354),tbl_Onsite[Job Number],0)))="","",INDEX(tbl_Onsite[Tax Code],IFERROR(MATCH(A354&amp;"",tbl_Onsite[Job Number],0),MATCH(IFERROR(A354+0,A354),tbl_Onsite[Job Number],0)))),IFERROR(IF(INDEX(tbl_Production[Tax Code],IFERROR(MATCH(A354&amp;"",tbl_Production[Job Number],0),MATCH(IFERROR(A354+0,A354),tbl_Production[Job Number],0)))="","",INDEX(tbl_Production[Tax Code],IFERROR(MATCH(A354&amp;"",tbl_Production[Job Number],0),MATCH(IFERROR(A354+0,A354),tbl_Production[Job Number],0)))),IFERROR(IF(INDEX(tbl_Consulting[Tax Code],IFERROR(MATCH(A354&amp;"",tbl_Consulting[Job Number],0),MATCH(IFERROR(A354+0,A354),tbl_Consulting[Job Number],0)))="","",INDEX(tbl_Consulting[Tax Code],IFERROR(MATCH(A354&amp;"",tbl_Consulting[Job Number],0),MATCH(IFERROR(A354+0,A354),tbl_Consulting[Job Number],0)))),"")))))</f>
        <v/>
      </c>
      <c r="N354" s="26">
        <f>IF(D354="","",IFERROR(INDEX(lst_CCtoGL,MATCH(D354,lst_CCforGL,0)),""))</f>
        <v/>
      </c>
      <c r="O354" s="27">
        <f>IF(E354="","",IF(M354="GST 10%",ROUND(E354*set_GSTRate,2),0))</f>
        <v/>
      </c>
      <c r="P354" s="27">
        <f>IF(E354="","",E354+O354)</f>
        <v/>
      </c>
      <c r="Q354" s="27">
        <f>IF(A354="","",IFERROR(INDEX(tbl_Onsite[Expected Revenue Ex GST],IFERROR(MATCH(A354&amp;"",tbl_Onsite[Job Number],0),MATCH(IFERROR(A354+0,A354),tbl_Onsite[Job Number],0))),IFERROR(INDEX(tbl_Production[Expected Revenue Ex GST],IFERROR(MATCH(A354&amp;"",tbl_Production[Job Number],0),MATCH(IFERROR(A354+0,A354),tbl_Production[Job Number],0))),IFERROR(INDEX(tbl_Consulting[Expected Revenue Ex GST],IFERROR(MATCH(A354&amp;"",tbl_Consulting[Job Number],0),MATCH(IFERROR(A354+0,A354),tbl_Consulting[Job Number],0))),0))))</f>
        <v/>
      </c>
      <c r="R354" s="27">
        <f>IF(A354="","",SUMIFS(tbl_Finance[Ex GST],tbl_Finance[Job Number],A354&amp;""))</f>
        <v/>
      </c>
      <c r="S354" s="27">
        <f>IF(A354="","",Q354-R354)</f>
        <v/>
      </c>
      <c r="T354" s="26">
        <f>IF(A354="","",IF(Q354=0,"No dept value",IF(ROUND(S354,2)=0,"Agrees",IF(S354&gt;0,"Dept higher - to invoice","Xero higher - check dept"))))</f>
        <v/>
      </c>
      <c r="U354" s="22" t="n"/>
      <c r="V354" s="22" t="n"/>
      <c r="W354" s="23" t="n"/>
      <c r="X354" s="23" t="n"/>
      <c r="Y354" s="22" t="n"/>
      <c r="Z354" s="22" t="n"/>
      <c r="AA354" s="26">
        <f>IF(COUNTA(C354,A354,B354,E354)=0,"",IF(C354="","No date - sits outside every month",IF(A354="","No job number",IF(H354="CHECK","Job number is not in the Xero job list",IF(G354="not set up yet","No department has set this job up - nothing can pull through",IF(D354="","No cost centre",IF(AND(U354="Y",B354=""),"Marked posted to Xero but has no invoice number",IF(N354="","Cost centre has no revenue GL on the Lists sheet",IF(T354="Xero higher - check dept","Invoiced more than the department says the job is worth","")))))))))</f>
        <v/>
      </c>
      <c r="AB354" s="28">
        <f>IF(A354="","",COUNTIFS(tbl_Finance[Job Number],A354&amp;"",tbl_Finance[Ex GST],"&lt;&gt;"))</f>
        <v/>
      </c>
      <c r="AC354" s="27">
        <f>IF(A354="","",SUMIFS(tbl_Finance[Ex GST],tbl_Finance[Job Number],A354&amp;""))</f>
        <v/>
      </c>
      <c r="AD354" s="27">
        <f>IF(A354="","",SUMIFS(tbl_Finance[Ex GST],tbl_Finance[Job Number],A354&amp;"",tbl_Finance[Xero Invoice No],"&lt;&gt;"))</f>
        <v/>
      </c>
      <c r="AE354" s="27">
        <f>IF(A354="","",AC354-AD354)</f>
        <v/>
      </c>
      <c r="AF354" s="26">
        <f>IF(A354="","",IFERROR(IF(INDEX(tbl_Onsite[Qwilr Quote],IFERROR(MATCH(A354&amp;"",tbl_Onsite[Job Number],0),MATCH(IFERROR(A354+0,A354),tbl_Onsite[Job Number],0)))="","",INDEX(tbl_Onsite[Qwilr Quote],IFERROR(MATCH(A354&amp;"",tbl_Onsite[Job Number],0),MATCH(IFERROR(A354+0,A354),tbl_Onsite[Job Number],0)))),IFERROR(IF(IF(INDEX(tbl_Production[Current RMS No],IFERROR(MATCH(A354&amp;"",tbl_Production[Job Number],0),MATCH(IFERROR(A354+0,A354),tbl_Production[Job Number],0)))="",INDEX(tbl_Production[Qwilr Quote],IFERROR(MATCH(A354&amp;"",tbl_Production[Job Number],0),MATCH(IFERROR(A354+0,A354),tbl_Production[Job Number],0))),INDEX(tbl_Production[Current RMS No],IFERROR(MATCH(A354&amp;"",tbl_Production[Job Number],0),MATCH(IFERROR(A354+0,A354),tbl_Production[Job Number],0))))="","",IF(INDEX(tbl_Production[Current RMS No],IFERROR(MATCH(A354&amp;"",tbl_Production[Job Number],0),MATCH(IFERROR(A354+0,A354),tbl_Production[Job Number],0)))="",INDEX(tbl_Production[Qwilr Quote],IFERROR(MATCH(A354&amp;"",tbl_Production[Job Number],0),MATCH(IFERROR(A354+0,A354),tbl_Production[Job Number],0))),INDEX(tbl_Production[Current RMS No],IFERROR(MATCH(A354&amp;"",tbl_Production[Job Number],0),MATCH(IFERROR(A354+0,A354),tbl_Production[Job Number],0))))),IFERROR(IF(INDEX(tbl_Consulting[Qwilr Quote],IFERROR(MATCH(A354&amp;"",tbl_Consulting[Job Number],0),MATCH(IFERROR(A354+0,A354),tbl_Consulting[Job Number],0)))="","",INDEX(tbl_Consulting[Qwilr Quote],IFERROR(MATCH(A354&amp;"",tbl_Consulting[Job Number],0),MATCH(IFERROR(A354+0,A354),tbl_Consulting[Job Number],0)))),""))))</f>
        <v/>
      </c>
      <c r="AG354" s="26">
        <f>IF(AF354="","",IF(AND(LEFT(AF354,4)&lt;&gt;"http",IF(G354="Production",set_RMSBase,set_QwilrBase)=""),"",HYPERLINK(IF(LEFT(AF354,4)="http",AF354,IF(G354="Production",set_RMSBase,set_QwilrBase)&amp;AF354),"Open")))</f>
        <v/>
      </c>
      <c r="AH354" s="27">
        <f>IF(A354="","",IFERROR(INDEX(tbl_Production[Total Expense],IFERROR(MATCH(A354&amp;"",tbl_Production[Job Number],0),MATCH(IFERROR(A354+0,A354),tbl_Production[Job Number],0))),IFERROR(INDEX(tbl_Consulting[Total Expense],IFERROR(MATCH(A354&amp;"",tbl_Consulting[Job Number],0),MATCH(IFERROR(A354+0,A354),tbl_Consulting[Job Number],0))),0)))</f>
        <v/>
      </c>
      <c r="AI354" s="27">
        <f>IF(A354="","",AC354-N(AH354))</f>
        <v/>
      </c>
      <c r="AJ354" s="29">
        <f>IFERROR(AI354/AC354,"")</f>
        <v/>
      </c>
      <c r="AK354" s="26">
        <f>IF(A354="","",IFERROR(IF(INDEX(tbl_Onsite[Notes],IFERROR(MATCH(A354&amp;"",tbl_Onsite[Job Number],0),MATCH(IFERROR(A354+0,A354),tbl_Onsite[Job Number],0)))="","",INDEX(tbl_Onsite[Notes],IFERROR(MATCH(A354&amp;"",tbl_Onsite[Job Number],0),MATCH(IFERROR(A354+0,A354),tbl_Onsite[Job Number],0)))),IFERROR(IF(INDEX(tbl_Production[Notes],IFERROR(MATCH(A354&amp;"",tbl_Production[Job Number],0),MATCH(IFERROR(A354+0,A354),tbl_Production[Job Number],0)))="","",INDEX(tbl_Production[Notes],IFERROR(MATCH(A354&amp;"",tbl_Production[Job Number],0),MATCH(IFERROR(A354+0,A354),tbl_Production[Job Number],0)))),IFERROR(IF(INDEX(tbl_Consulting[Notes],IFERROR(MATCH(A354&amp;"",tbl_Consulting[Job Number],0),MATCH(IFERROR(A354+0,A354),tbl_Consulting[Job Number],0)))="","",INDEX(tbl_Consulting[Notes],IFERROR(MATCH(A354&amp;"",tbl_Consulting[Job Number],0),MATCH(IFERROR(A354+0,A354),tbl_Consulting[Job Number],0)))),""))))</f>
        <v/>
      </c>
    </row>
    <row r="355" ht="15" customHeight="1">
      <c r="A355" s="22" t="n"/>
      <c r="B355" s="22" t="n"/>
      <c r="C355" s="23" t="n"/>
      <c r="D355" s="22" t="n"/>
      <c r="E355" s="24" t="n"/>
      <c r="F355" s="25">
        <f>IF(C355="","",EOMONTH(C355,0))</f>
        <v/>
      </c>
      <c r="G355" s="26">
        <f>IF(A355="","",IF(COUNTIF(tbl_Onsite[Job Number],A355&amp;"")&gt;0,"Onsite",IF(COUNTIF(tbl_Production[Job Number],A355&amp;"")&gt;0,"Production",IF(COUNTIF(tbl_Consulting[Job Number],A355&amp;"")&gt;0,"Consulting","not set up yet"))))</f>
        <v/>
      </c>
      <c r="H355" s="26">
        <f>IF(A355="","",IF(COUNTIF(lst_Jobs,A355&amp;"")&gt;0,"OK","CHECK"))</f>
        <v/>
      </c>
      <c r="I355" s="26">
        <f>IF(A355="","",IFERROR(INDEX(lst_JobName,MATCH(A355&amp;"",lst_Jobs,0)),""))</f>
        <v/>
      </c>
      <c r="J355" s="26">
        <f>IF(A355="","",IFERROR(IF(INDEX(tbl_Onsite[Client],IFERROR(MATCH(A355&amp;"",tbl_Onsite[Job Number],0),MATCH(IFERROR(A355+0,A355),tbl_Onsite[Job Number],0)))="","",INDEX(tbl_Onsite[Client],IFERROR(MATCH(A355&amp;"",tbl_Onsite[Job Number],0),MATCH(IFERROR(A355+0,A355),tbl_Onsite[Job Number],0)))),IFERROR(IF(INDEX(tbl_Production[Client],IFERROR(MATCH(A355&amp;"",tbl_Production[Job Number],0),MATCH(IFERROR(A355+0,A355),tbl_Production[Job Number],0)))="","",INDEX(tbl_Production[Client],IFERROR(MATCH(A355&amp;"",tbl_Production[Job Number],0),MATCH(IFERROR(A355+0,A355),tbl_Production[Job Number],0)))),IFERROR(IF(INDEX(tbl_Consulting[Client],IFERROR(MATCH(A355&amp;"",tbl_Consulting[Job Number],0),MATCH(IFERROR(A355+0,A355),tbl_Consulting[Job Number],0)))="","",INDEX(tbl_Consulting[Client],IFERROR(MATCH(A355&amp;"",tbl_Consulting[Job Number],0),MATCH(IFERROR(A355+0,A355),tbl_Consulting[Job Number],0)))),""))))</f>
        <v/>
      </c>
      <c r="K355" s="26">
        <f>IF(A355="","",IFERROR(IF(INDEX(tbl_Onsite[Job Description],IFERROR(MATCH(A355&amp;"",tbl_Onsite[Job Number],0),MATCH(IFERROR(A355+0,A355),tbl_Onsite[Job Number],0)))="","",INDEX(tbl_Onsite[Job Description],IFERROR(MATCH(A355&amp;"",tbl_Onsite[Job Number],0),MATCH(IFERROR(A355+0,A355),tbl_Onsite[Job Number],0)))),IFERROR(IF(INDEX(tbl_Production[Job Description],IFERROR(MATCH(A355&amp;"",tbl_Production[Job Number],0),MATCH(IFERROR(A355+0,A355),tbl_Production[Job Number],0)))="","",INDEX(tbl_Production[Job Description],IFERROR(MATCH(A355&amp;"",tbl_Production[Job Number],0),MATCH(IFERROR(A355+0,A355),tbl_Production[Job Number],0)))),IFERROR(IF(INDEX(tbl_Consulting[Job Description],IFERROR(MATCH(A355&amp;"",tbl_Consulting[Job Number],0),MATCH(IFERROR(A355+0,A355),tbl_Consulting[Job Number],0)))="","",INDEX(tbl_Consulting[Job Description],IFERROR(MATCH(A355&amp;"",tbl_Consulting[Job Number],0),MATCH(IFERROR(A355+0,A355),tbl_Consulting[Job Number],0)))),""))))</f>
        <v/>
      </c>
      <c r="L355" s="26">
        <f>IF(A355="","",IFERROR(IF(INDEX(tbl_Onsite[Invoice Type],IFERROR(MATCH(A355&amp;"",tbl_Onsite[Job Number],0),MATCH(IFERROR(A355+0,A355),tbl_Onsite[Job Number],0)))="","",INDEX(tbl_Onsite[Invoice Type],IFERROR(MATCH(A355&amp;"",tbl_Onsite[Job Number],0),MATCH(IFERROR(A355+0,A355),tbl_Onsite[Job Number],0)))),IFERROR(IF(INDEX(tbl_Production[Invoice Type],IFERROR(MATCH(A355&amp;"",tbl_Production[Job Number],0),MATCH(IFERROR(A355+0,A355),tbl_Production[Job Number],0)))="","",INDEX(tbl_Production[Invoice Type],IFERROR(MATCH(A355&amp;"",tbl_Production[Job Number],0),MATCH(IFERROR(A355+0,A355),tbl_Production[Job Number],0)))),IFERROR(IF(INDEX(tbl_Consulting[Invoice Type],IFERROR(MATCH(A355&amp;"",tbl_Consulting[Job Number],0),MATCH(IFERROR(A355+0,A355),tbl_Consulting[Job Number],0)))="","",INDEX(tbl_Consulting[Invoice Type],IFERROR(MATCH(A355&amp;"",tbl_Consulting[Job Number],0),MATCH(IFERROR(A355+0,A355),tbl_Consulting[Job Number],0)))),""))))</f>
        <v/>
      </c>
      <c r="M355" s="26">
        <f>IF(A355="","",IF(IFERROR(IF(INDEX(tbl_Onsite[Tax Code],IFERROR(MATCH(A355&amp;"",tbl_Onsite[Job Number],0),MATCH(IFERROR(A355+0,A355),tbl_Onsite[Job Number],0)))="","",INDEX(tbl_Onsite[Tax Code],IFERROR(MATCH(A355&amp;"",tbl_Onsite[Job Number],0),MATCH(IFERROR(A355+0,A355),tbl_Onsite[Job Number],0)))),IFERROR(IF(INDEX(tbl_Production[Tax Code],IFERROR(MATCH(A355&amp;"",tbl_Production[Job Number],0),MATCH(IFERROR(A355+0,A355),tbl_Production[Job Number],0)))="","",INDEX(tbl_Production[Tax Code],IFERROR(MATCH(A355&amp;"",tbl_Production[Job Number],0),MATCH(IFERROR(A355+0,A355),tbl_Production[Job Number],0)))),IFERROR(IF(INDEX(tbl_Consulting[Tax Code],IFERROR(MATCH(A355&amp;"",tbl_Consulting[Job Number],0),MATCH(IFERROR(A355+0,A355),tbl_Consulting[Job Number],0)))="","",INDEX(tbl_Consulting[Tax Code],IFERROR(MATCH(A355&amp;"",tbl_Consulting[Job Number],0),MATCH(IFERROR(A355+0,A355),tbl_Consulting[Job Number],0)))),"")))="","GST 10%",IFERROR(IF(INDEX(tbl_Onsite[Tax Code],IFERROR(MATCH(A355&amp;"",tbl_Onsite[Job Number],0),MATCH(IFERROR(A355+0,A355),tbl_Onsite[Job Number],0)))="","",INDEX(tbl_Onsite[Tax Code],IFERROR(MATCH(A355&amp;"",tbl_Onsite[Job Number],0),MATCH(IFERROR(A355+0,A355),tbl_Onsite[Job Number],0)))),IFERROR(IF(INDEX(tbl_Production[Tax Code],IFERROR(MATCH(A355&amp;"",tbl_Production[Job Number],0),MATCH(IFERROR(A355+0,A355),tbl_Production[Job Number],0)))="","",INDEX(tbl_Production[Tax Code],IFERROR(MATCH(A355&amp;"",tbl_Production[Job Number],0),MATCH(IFERROR(A355+0,A355),tbl_Production[Job Number],0)))),IFERROR(IF(INDEX(tbl_Consulting[Tax Code],IFERROR(MATCH(A355&amp;"",tbl_Consulting[Job Number],0),MATCH(IFERROR(A355+0,A355),tbl_Consulting[Job Number],0)))="","",INDEX(tbl_Consulting[Tax Code],IFERROR(MATCH(A355&amp;"",tbl_Consulting[Job Number],0),MATCH(IFERROR(A355+0,A355),tbl_Consulting[Job Number],0)))),"")))))</f>
        <v/>
      </c>
      <c r="N355" s="26">
        <f>IF(D355="","",IFERROR(INDEX(lst_CCtoGL,MATCH(D355,lst_CCforGL,0)),""))</f>
        <v/>
      </c>
      <c r="O355" s="27">
        <f>IF(E355="","",IF(M355="GST 10%",ROUND(E355*set_GSTRate,2),0))</f>
        <v/>
      </c>
      <c r="P355" s="27">
        <f>IF(E355="","",E355+O355)</f>
        <v/>
      </c>
      <c r="Q355" s="27">
        <f>IF(A355="","",IFERROR(INDEX(tbl_Onsite[Expected Revenue Ex GST],IFERROR(MATCH(A355&amp;"",tbl_Onsite[Job Number],0),MATCH(IFERROR(A355+0,A355),tbl_Onsite[Job Number],0))),IFERROR(INDEX(tbl_Production[Expected Revenue Ex GST],IFERROR(MATCH(A355&amp;"",tbl_Production[Job Number],0),MATCH(IFERROR(A355+0,A355),tbl_Production[Job Number],0))),IFERROR(INDEX(tbl_Consulting[Expected Revenue Ex GST],IFERROR(MATCH(A355&amp;"",tbl_Consulting[Job Number],0),MATCH(IFERROR(A355+0,A355),tbl_Consulting[Job Number],0))),0))))</f>
        <v/>
      </c>
      <c r="R355" s="27">
        <f>IF(A355="","",SUMIFS(tbl_Finance[Ex GST],tbl_Finance[Job Number],A355&amp;""))</f>
        <v/>
      </c>
      <c r="S355" s="27">
        <f>IF(A355="","",Q355-R355)</f>
        <v/>
      </c>
      <c r="T355" s="26">
        <f>IF(A355="","",IF(Q355=0,"No dept value",IF(ROUND(S355,2)=0,"Agrees",IF(S355&gt;0,"Dept higher - to invoice","Xero higher - check dept"))))</f>
        <v/>
      </c>
      <c r="U355" s="22" t="n"/>
      <c r="V355" s="22" t="n"/>
      <c r="W355" s="23" t="n"/>
      <c r="X355" s="23" t="n"/>
      <c r="Y355" s="22" t="n"/>
      <c r="Z355" s="22" t="n"/>
      <c r="AA355" s="26">
        <f>IF(COUNTA(C355,A355,B355,E355)=0,"",IF(C355="","No date - sits outside every month",IF(A355="","No job number",IF(H355="CHECK","Job number is not in the Xero job list",IF(G355="not set up yet","No department has set this job up - nothing can pull through",IF(D355="","No cost centre",IF(AND(U355="Y",B355=""),"Marked posted to Xero but has no invoice number",IF(N355="","Cost centre has no revenue GL on the Lists sheet",IF(T355="Xero higher - check dept","Invoiced more than the department says the job is worth","")))))))))</f>
        <v/>
      </c>
      <c r="AB355" s="28">
        <f>IF(A355="","",COUNTIFS(tbl_Finance[Job Number],A355&amp;"",tbl_Finance[Ex GST],"&lt;&gt;"))</f>
        <v/>
      </c>
      <c r="AC355" s="27">
        <f>IF(A355="","",SUMIFS(tbl_Finance[Ex GST],tbl_Finance[Job Number],A355&amp;""))</f>
        <v/>
      </c>
      <c r="AD355" s="27">
        <f>IF(A355="","",SUMIFS(tbl_Finance[Ex GST],tbl_Finance[Job Number],A355&amp;"",tbl_Finance[Xero Invoice No],"&lt;&gt;"))</f>
        <v/>
      </c>
      <c r="AE355" s="27">
        <f>IF(A355="","",AC355-AD355)</f>
        <v/>
      </c>
      <c r="AF355" s="26">
        <f>IF(A355="","",IFERROR(IF(INDEX(tbl_Onsite[Qwilr Quote],IFERROR(MATCH(A355&amp;"",tbl_Onsite[Job Number],0),MATCH(IFERROR(A355+0,A355),tbl_Onsite[Job Number],0)))="","",INDEX(tbl_Onsite[Qwilr Quote],IFERROR(MATCH(A355&amp;"",tbl_Onsite[Job Number],0),MATCH(IFERROR(A355+0,A355),tbl_Onsite[Job Number],0)))),IFERROR(IF(IF(INDEX(tbl_Production[Current RMS No],IFERROR(MATCH(A355&amp;"",tbl_Production[Job Number],0),MATCH(IFERROR(A355+0,A355),tbl_Production[Job Number],0)))="",INDEX(tbl_Production[Qwilr Quote],IFERROR(MATCH(A355&amp;"",tbl_Production[Job Number],0),MATCH(IFERROR(A355+0,A355),tbl_Production[Job Number],0))),INDEX(tbl_Production[Current RMS No],IFERROR(MATCH(A355&amp;"",tbl_Production[Job Number],0),MATCH(IFERROR(A355+0,A355),tbl_Production[Job Number],0))))="","",IF(INDEX(tbl_Production[Current RMS No],IFERROR(MATCH(A355&amp;"",tbl_Production[Job Number],0),MATCH(IFERROR(A355+0,A355),tbl_Production[Job Number],0)))="",INDEX(tbl_Production[Qwilr Quote],IFERROR(MATCH(A355&amp;"",tbl_Production[Job Number],0),MATCH(IFERROR(A355+0,A355),tbl_Production[Job Number],0))),INDEX(tbl_Production[Current RMS No],IFERROR(MATCH(A355&amp;"",tbl_Production[Job Number],0),MATCH(IFERROR(A355+0,A355),tbl_Production[Job Number],0))))),IFERROR(IF(INDEX(tbl_Consulting[Qwilr Quote],IFERROR(MATCH(A355&amp;"",tbl_Consulting[Job Number],0),MATCH(IFERROR(A355+0,A355),tbl_Consulting[Job Number],0)))="","",INDEX(tbl_Consulting[Qwilr Quote],IFERROR(MATCH(A355&amp;"",tbl_Consulting[Job Number],0),MATCH(IFERROR(A355+0,A355),tbl_Consulting[Job Number],0)))),""))))</f>
        <v/>
      </c>
      <c r="AG355" s="26">
        <f>IF(AF355="","",IF(AND(LEFT(AF355,4)&lt;&gt;"http",IF(G355="Production",set_RMSBase,set_QwilrBase)=""),"",HYPERLINK(IF(LEFT(AF355,4)="http",AF355,IF(G355="Production",set_RMSBase,set_QwilrBase)&amp;AF355),"Open")))</f>
        <v/>
      </c>
      <c r="AH355" s="27">
        <f>IF(A355="","",IFERROR(INDEX(tbl_Production[Total Expense],IFERROR(MATCH(A355&amp;"",tbl_Production[Job Number],0),MATCH(IFERROR(A355+0,A355),tbl_Production[Job Number],0))),IFERROR(INDEX(tbl_Consulting[Total Expense],IFERROR(MATCH(A355&amp;"",tbl_Consulting[Job Number],0),MATCH(IFERROR(A355+0,A355),tbl_Consulting[Job Number],0))),0)))</f>
        <v/>
      </c>
      <c r="AI355" s="27">
        <f>IF(A355="","",AC355-N(AH355))</f>
        <v/>
      </c>
      <c r="AJ355" s="29">
        <f>IFERROR(AI355/AC355,"")</f>
        <v/>
      </c>
      <c r="AK355" s="26">
        <f>IF(A355="","",IFERROR(IF(INDEX(tbl_Onsite[Notes],IFERROR(MATCH(A355&amp;"",tbl_Onsite[Job Number],0),MATCH(IFERROR(A355+0,A355),tbl_Onsite[Job Number],0)))="","",INDEX(tbl_Onsite[Notes],IFERROR(MATCH(A355&amp;"",tbl_Onsite[Job Number],0),MATCH(IFERROR(A355+0,A355),tbl_Onsite[Job Number],0)))),IFERROR(IF(INDEX(tbl_Production[Notes],IFERROR(MATCH(A355&amp;"",tbl_Production[Job Number],0),MATCH(IFERROR(A355+0,A355),tbl_Production[Job Number],0)))="","",INDEX(tbl_Production[Notes],IFERROR(MATCH(A355&amp;"",tbl_Production[Job Number],0),MATCH(IFERROR(A355+0,A355),tbl_Production[Job Number],0)))),IFERROR(IF(INDEX(tbl_Consulting[Notes],IFERROR(MATCH(A355&amp;"",tbl_Consulting[Job Number],0),MATCH(IFERROR(A355+0,A355),tbl_Consulting[Job Number],0)))="","",INDEX(tbl_Consulting[Notes],IFERROR(MATCH(A355&amp;"",tbl_Consulting[Job Number],0),MATCH(IFERROR(A355+0,A355),tbl_Consulting[Job Number],0)))),""))))</f>
        <v/>
      </c>
    </row>
    <row r="356" ht="15" customHeight="1">
      <c r="A356" s="22" t="n"/>
      <c r="B356" s="22" t="n"/>
      <c r="C356" s="23" t="n"/>
      <c r="D356" s="22" t="n"/>
      <c r="E356" s="24" t="n"/>
      <c r="F356" s="25">
        <f>IF(C356="","",EOMONTH(C356,0))</f>
        <v/>
      </c>
      <c r="G356" s="26">
        <f>IF(A356="","",IF(COUNTIF(tbl_Onsite[Job Number],A356&amp;"")&gt;0,"Onsite",IF(COUNTIF(tbl_Production[Job Number],A356&amp;"")&gt;0,"Production",IF(COUNTIF(tbl_Consulting[Job Number],A356&amp;"")&gt;0,"Consulting","not set up yet"))))</f>
        <v/>
      </c>
      <c r="H356" s="26">
        <f>IF(A356="","",IF(COUNTIF(lst_Jobs,A356&amp;"")&gt;0,"OK","CHECK"))</f>
        <v/>
      </c>
      <c r="I356" s="26">
        <f>IF(A356="","",IFERROR(INDEX(lst_JobName,MATCH(A356&amp;"",lst_Jobs,0)),""))</f>
        <v/>
      </c>
      <c r="J356" s="26">
        <f>IF(A356="","",IFERROR(IF(INDEX(tbl_Onsite[Client],IFERROR(MATCH(A356&amp;"",tbl_Onsite[Job Number],0),MATCH(IFERROR(A356+0,A356),tbl_Onsite[Job Number],0)))="","",INDEX(tbl_Onsite[Client],IFERROR(MATCH(A356&amp;"",tbl_Onsite[Job Number],0),MATCH(IFERROR(A356+0,A356),tbl_Onsite[Job Number],0)))),IFERROR(IF(INDEX(tbl_Production[Client],IFERROR(MATCH(A356&amp;"",tbl_Production[Job Number],0),MATCH(IFERROR(A356+0,A356),tbl_Production[Job Number],0)))="","",INDEX(tbl_Production[Client],IFERROR(MATCH(A356&amp;"",tbl_Production[Job Number],0),MATCH(IFERROR(A356+0,A356),tbl_Production[Job Number],0)))),IFERROR(IF(INDEX(tbl_Consulting[Client],IFERROR(MATCH(A356&amp;"",tbl_Consulting[Job Number],0),MATCH(IFERROR(A356+0,A356),tbl_Consulting[Job Number],0)))="","",INDEX(tbl_Consulting[Client],IFERROR(MATCH(A356&amp;"",tbl_Consulting[Job Number],0),MATCH(IFERROR(A356+0,A356),tbl_Consulting[Job Number],0)))),""))))</f>
        <v/>
      </c>
      <c r="K356" s="26">
        <f>IF(A356="","",IFERROR(IF(INDEX(tbl_Onsite[Job Description],IFERROR(MATCH(A356&amp;"",tbl_Onsite[Job Number],0),MATCH(IFERROR(A356+0,A356),tbl_Onsite[Job Number],0)))="","",INDEX(tbl_Onsite[Job Description],IFERROR(MATCH(A356&amp;"",tbl_Onsite[Job Number],0),MATCH(IFERROR(A356+0,A356),tbl_Onsite[Job Number],0)))),IFERROR(IF(INDEX(tbl_Production[Job Description],IFERROR(MATCH(A356&amp;"",tbl_Production[Job Number],0),MATCH(IFERROR(A356+0,A356),tbl_Production[Job Number],0)))="","",INDEX(tbl_Production[Job Description],IFERROR(MATCH(A356&amp;"",tbl_Production[Job Number],0),MATCH(IFERROR(A356+0,A356),tbl_Production[Job Number],0)))),IFERROR(IF(INDEX(tbl_Consulting[Job Description],IFERROR(MATCH(A356&amp;"",tbl_Consulting[Job Number],0),MATCH(IFERROR(A356+0,A356),tbl_Consulting[Job Number],0)))="","",INDEX(tbl_Consulting[Job Description],IFERROR(MATCH(A356&amp;"",tbl_Consulting[Job Number],0),MATCH(IFERROR(A356+0,A356),tbl_Consulting[Job Number],0)))),""))))</f>
        <v/>
      </c>
      <c r="L356" s="26">
        <f>IF(A356="","",IFERROR(IF(INDEX(tbl_Onsite[Invoice Type],IFERROR(MATCH(A356&amp;"",tbl_Onsite[Job Number],0),MATCH(IFERROR(A356+0,A356),tbl_Onsite[Job Number],0)))="","",INDEX(tbl_Onsite[Invoice Type],IFERROR(MATCH(A356&amp;"",tbl_Onsite[Job Number],0),MATCH(IFERROR(A356+0,A356),tbl_Onsite[Job Number],0)))),IFERROR(IF(INDEX(tbl_Production[Invoice Type],IFERROR(MATCH(A356&amp;"",tbl_Production[Job Number],0),MATCH(IFERROR(A356+0,A356),tbl_Production[Job Number],0)))="","",INDEX(tbl_Production[Invoice Type],IFERROR(MATCH(A356&amp;"",tbl_Production[Job Number],0),MATCH(IFERROR(A356+0,A356),tbl_Production[Job Number],0)))),IFERROR(IF(INDEX(tbl_Consulting[Invoice Type],IFERROR(MATCH(A356&amp;"",tbl_Consulting[Job Number],0),MATCH(IFERROR(A356+0,A356),tbl_Consulting[Job Number],0)))="","",INDEX(tbl_Consulting[Invoice Type],IFERROR(MATCH(A356&amp;"",tbl_Consulting[Job Number],0),MATCH(IFERROR(A356+0,A356),tbl_Consulting[Job Number],0)))),""))))</f>
        <v/>
      </c>
      <c r="M356" s="26">
        <f>IF(A356="","",IF(IFERROR(IF(INDEX(tbl_Onsite[Tax Code],IFERROR(MATCH(A356&amp;"",tbl_Onsite[Job Number],0),MATCH(IFERROR(A356+0,A356),tbl_Onsite[Job Number],0)))="","",INDEX(tbl_Onsite[Tax Code],IFERROR(MATCH(A356&amp;"",tbl_Onsite[Job Number],0),MATCH(IFERROR(A356+0,A356),tbl_Onsite[Job Number],0)))),IFERROR(IF(INDEX(tbl_Production[Tax Code],IFERROR(MATCH(A356&amp;"",tbl_Production[Job Number],0),MATCH(IFERROR(A356+0,A356),tbl_Production[Job Number],0)))="","",INDEX(tbl_Production[Tax Code],IFERROR(MATCH(A356&amp;"",tbl_Production[Job Number],0),MATCH(IFERROR(A356+0,A356),tbl_Production[Job Number],0)))),IFERROR(IF(INDEX(tbl_Consulting[Tax Code],IFERROR(MATCH(A356&amp;"",tbl_Consulting[Job Number],0),MATCH(IFERROR(A356+0,A356),tbl_Consulting[Job Number],0)))="","",INDEX(tbl_Consulting[Tax Code],IFERROR(MATCH(A356&amp;"",tbl_Consulting[Job Number],0),MATCH(IFERROR(A356+0,A356),tbl_Consulting[Job Number],0)))),"")))="","GST 10%",IFERROR(IF(INDEX(tbl_Onsite[Tax Code],IFERROR(MATCH(A356&amp;"",tbl_Onsite[Job Number],0),MATCH(IFERROR(A356+0,A356),tbl_Onsite[Job Number],0)))="","",INDEX(tbl_Onsite[Tax Code],IFERROR(MATCH(A356&amp;"",tbl_Onsite[Job Number],0),MATCH(IFERROR(A356+0,A356),tbl_Onsite[Job Number],0)))),IFERROR(IF(INDEX(tbl_Production[Tax Code],IFERROR(MATCH(A356&amp;"",tbl_Production[Job Number],0),MATCH(IFERROR(A356+0,A356),tbl_Production[Job Number],0)))="","",INDEX(tbl_Production[Tax Code],IFERROR(MATCH(A356&amp;"",tbl_Production[Job Number],0),MATCH(IFERROR(A356+0,A356),tbl_Production[Job Number],0)))),IFERROR(IF(INDEX(tbl_Consulting[Tax Code],IFERROR(MATCH(A356&amp;"",tbl_Consulting[Job Number],0),MATCH(IFERROR(A356+0,A356),tbl_Consulting[Job Number],0)))="","",INDEX(tbl_Consulting[Tax Code],IFERROR(MATCH(A356&amp;"",tbl_Consulting[Job Number],0),MATCH(IFERROR(A356+0,A356),tbl_Consulting[Job Number],0)))),"")))))</f>
        <v/>
      </c>
      <c r="N356" s="26">
        <f>IF(D356="","",IFERROR(INDEX(lst_CCtoGL,MATCH(D356,lst_CCforGL,0)),""))</f>
        <v/>
      </c>
      <c r="O356" s="27">
        <f>IF(E356="","",IF(M356="GST 10%",ROUND(E356*set_GSTRate,2),0))</f>
        <v/>
      </c>
      <c r="P356" s="27">
        <f>IF(E356="","",E356+O356)</f>
        <v/>
      </c>
      <c r="Q356" s="27">
        <f>IF(A356="","",IFERROR(INDEX(tbl_Onsite[Expected Revenue Ex GST],IFERROR(MATCH(A356&amp;"",tbl_Onsite[Job Number],0),MATCH(IFERROR(A356+0,A356),tbl_Onsite[Job Number],0))),IFERROR(INDEX(tbl_Production[Expected Revenue Ex GST],IFERROR(MATCH(A356&amp;"",tbl_Production[Job Number],0),MATCH(IFERROR(A356+0,A356),tbl_Production[Job Number],0))),IFERROR(INDEX(tbl_Consulting[Expected Revenue Ex GST],IFERROR(MATCH(A356&amp;"",tbl_Consulting[Job Number],0),MATCH(IFERROR(A356+0,A356),tbl_Consulting[Job Number],0))),0))))</f>
        <v/>
      </c>
      <c r="R356" s="27">
        <f>IF(A356="","",SUMIFS(tbl_Finance[Ex GST],tbl_Finance[Job Number],A356&amp;""))</f>
        <v/>
      </c>
      <c r="S356" s="27">
        <f>IF(A356="","",Q356-R356)</f>
        <v/>
      </c>
      <c r="T356" s="26">
        <f>IF(A356="","",IF(Q356=0,"No dept value",IF(ROUND(S356,2)=0,"Agrees",IF(S356&gt;0,"Dept higher - to invoice","Xero higher - check dept"))))</f>
        <v/>
      </c>
      <c r="U356" s="22" t="n"/>
      <c r="V356" s="22" t="n"/>
      <c r="W356" s="23" t="n"/>
      <c r="X356" s="23" t="n"/>
      <c r="Y356" s="22" t="n"/>
      <c r="Z356" s="22" t="n"/>
      <c r="AA356" s="26">
        <f>IF(COUNTA(C356,A356,B356,E356)=0,"",IF(C356="","No date - sits outside every month",IF(A356="","No job number",IF(H356="CHECK","Job number is not in the Xero job list",IF(G356="not set up yet","No department has set this job up - nothing can pull through",IF(D356="","No cost centre",IF(AND(U356="Y",B356=""),"Marked posted to Xero but has no invoice number",IF(N356="","Cost centre has no revenue GL on the Lists sheet",IF(T356="Xero higher - check dept","Invoiced more than the department says the job is worth","")))))))))</f>
        <v/>
      </c>
      <c r="AB356" s="28">
        <f>IF(A356="","",COUNTIFS(tbl_Finance[Job Number],A356&amp;"",tbl_Finance[Ex GST],"&lt;&gt;"))</f>
        <v/>
      </c>
      <c r="AC356" s="27">
        <f>IF(A356="","",SUMIFS(tbl_Finance[Ex GST],tbl_Finance[Job Number],A356&amp;""))</f>
        <v/>
      </c>
      <c r="AD356" s="27">
        <f>IF(A356="","",SUMIFS(tbl_Finance[Ex GST],tbl_Finance[Job Number],A356&amp;"",tbl_Finance[Xero Invoice No],"&lt;&gt;"))</f>
        <v/>
      </c>
      <c r="AE356" s="27">
        <f>IF(A356="","",AC356-AD356)</f>
        <v/>
      </c>
      <c r="AF356" s="26">
        <f>IF(A356="","",IFERROR(IF(INDEX(tbl_Onsite[Qwilr Quote],IFERROR(MATCH(A356&amp;"",tbl_Onsite[Job Number],0),MATCH(IFERROR(A356+0,A356),tbl_Onsite[Job Number],0)))="","",INDEX(tbl_Onsite[Qwilr Quote],IFERROR(MATCH(A356&amp;"",tbl_Onsite[Job Number],0),MATCH(IFERROR(A356+0,A356),tbl_Onsite[Job Number],0)))),IFERROR(IF(IF(INDEX(tbl_Production[Current RMS No],IFERROR(MATCH(A356&amp;"",tbl_Production[Job Number],0),MATCH(IFERROR(A356+0,A356),tbl_Production[Job Number],0)))="",INDEX(tbl_Production[Qwilr Quote],IFERROR(MATCH(A356&amp;"",tbl_Production[Job Number],0),MATCH(IFERROR(A356+0,A356),tbl_Production[Job Number],0))),INDEX(tbl_Production[Current RMS No],IFERROR(MATCH(A356&amp;"",tbl_Production[Job Number],0),MATCH(IFERROR(A356+0,A356),tbl_Production[Job Number],0))))="","",IF(INDEX(tbl_Production[Current RMS No],IFERROR(MATCH(A356&amp;"",tbl_Production[Job Number],0),MATCH(IFERROR(A356+0,A356),tbl_Production[Job Number],0)))="",INDEX(tbl_Production[Qwilr Quote],IFERROR(MATCH(A356&amp;"",tbl_Production[Job Number],0),MATCH(IFERROR(A356+0,A356),tbl_Production[Job Number],0))),INDEX(tbl_Production[Current RMS No],IFERROR(MATCH(A356&amp;"",tbl_Production[Job Number],0),MATCH(IFERROR(A356+0,A356),tbl_Production[Job Number],0))))),IFERROR(IF(INDEX(tbl_Consulting[Qwilr Quote],IFERROR(MATCH(A356&amp;"",tbl_Consulting[Job Number],0),MATCH(IFERROR(A356+0,A356),tbl_Consulting[Job Number],0)))="","",INDEX(tbl_Consulting[Qwilr Quote],IFERROR(MATCH(A356&amp;"",tbl_Consulting[Job Number],0),MATCH(IFERROR(A356+0,A356),tbl_Consulting[Job Number],0)))),""))))</f>
        <v/>
      </c>
      <c r="AG356" s="26">
        <f>IF(AF356="","",IF(AND(LEFT(AF356,4)&lt;&gt;"http",IF(G356="Production",set_RMSBase,set_QwilrBase)=""),"",HYPERLINK(IF(LEFT(AF356,4)="http",AF356,IF(G356="Production",set_RMSBase,set_QwilrBase)&amp;AF356),"Open")))</f>
        <v/>
      </c>
      <c r="AH356" s="27">
        <f>IF(A356="","",IFERROR(INDEX(tbl_Production[Total Expense],IFERROR(MATCH(A356&amp;"",tbl_Production[Job Number],0),MATCH(IFERROR(A356+0,A356),tbl_Production[Job Number],0))),IFERROR(INDEX(tbl_Consulting[Total Expense],IFERROR(MATCH(A356&amp;"",tbl_Consulting[Job Number],0),MATCH(IFERROR(A356+0,A356),tbl_Consulting[Job Number],0))),0)))</f>
        <v/>
      </c>
      <c r="AI356" s="27">
        <f>IF(A356="","",AC356-N(AH356))</f>
        <v/>
      </c>
      <c r="AJ356" s="29">
        <f>IFERROR(AI356/AC356,"")</f>
        <v/>
      </c>
      <c r="AK356" s="26">
        <f>IF(A356="","",IFERROR(IF(INDEX(tbl_Onsite[Notes],IFERROR(MATCH(A356&amp;"",tbl_Onsite[Job Number],0),MATCH(IFERROR(A356+0,A356),tbl_Onsite[Job Number],0)))="","",INDEX(tbl_Onsite[Notes],IFERROR(MATCH(A356&amp;"",tbl_Onsite[Job Number],0),MATCH(IFERROR(A356+0,A356),tbl_Onsite[Job Number],0)))),IFERROR(IF(INDEX(tbl_Production[Notes],IFERROR(MATCH(A356&amp;"",tbl_Production[Job Number],0),MATCH(IFERROR(A356+0,A356),tbl_Production[Job Number],0)))="","",INDEX(tbl_Production[Notes],IFERROR(MATCH(A356&amp;"",tbl_Production[Job Number],0),MATCH(IFERROR(A356+0,A356),tbl_Production[Job Number],0)))),IFERROR(IF(INDEX(tbl_Consulting[Notes],IFERROR(MATCH(A356&amp;"",tbl_Consulting[Job Number],0),MATCH(IFERROR(A356+0,A356),tbl_Consulting[Job Number],0)))="","",INDEX(tbl_Consulting[Notes],IFERROR(MATCH(A356&amp;"",tbl_Consulting[Job Number],0),MATCH(IFERROR(A356+0,A356),tbl_Consulting[Job Number],0)))),""))))</f>
        <v/>
      </c>
    </row>
    <row r="357" ht="15" customHeight="1">
      <c r="A357" s="22" t="n"/>
      <c r="B357" s="22" t="n"/>
      <c r="C357" s="23" t="n"/>
      <c r="D357" s="22" t="n"/>
      <c r="E357" s="24" t="n"/>
      <c r="F357" s="25">
        <f>IF(C357="","",EOMONTH(C357,0))</f>
        <v/>
      </c>
      <c r="G357" s="26">
        <f>IF(A357="","",IF(COUNTIF(tbl_Onsite[Job Number],A357&amp;"")&gt;0,"Onsite",IF(COUNTIF(tbl_Production[Job Number],A357&amp;"")&gt;0,"Production",IF(COUNTIF(tbl_Consulting[Job Number],A357&amp;"")&gt;0,"Consulting","not set up yet"))))</f>
        <v/>
      </c>
      <c r="H357" s="26">
        <f>IF(A357="","",IF(COUNTIF(lst_Jobs,A357&amp;"")&gt;0,"OK","CHECK"))</f>
        <v/>
      </c>
      <c r="I357" s="26">
        <f>IF(A357="","",IFERROR(INDEX(lst_JobName,MATCH(A357&amp;"",lst_Jobs,0)),""))</f>
        <v/>
      </c>
      <c r="J357" s="26">
        <f>IF(A357="","",IFERROR(IF(INDEX(tbl_Onsite[Client],IFERROR(MATCH(A357&amp;"",tbl_Onsite[Job Number],0),MATCH(IFERROR(A357+0,A357),tbl_Onsite[Job Number],0)))="","",INDEX(tbl_Onsite[Client],IFERROR(MATCH(A357&amp;"",tbl_Onsite[Job Number],0),MATCH(IFERROR(A357+0,A357),tbl_Onsite[Job Number],0)))),IFERROR(IF(INDEX(tbl_Production[Client],IFERROR(MATCH(A357&amp;"",tbl_Production[Job Number],0),MATCH(IFERROR(A357+0,A357),tbl_Production[Job Number],0)))="","",INDEX(tbl_Production[Client],IFERROR(MATCH(A357&amp;"",tbl_Production[Job Number],0),MATCH(IFERROR(A357+0,A357),tbl_Production[Job Number],0)))),IFERROR(IF(INDEX(tbl_Consulting[Client],IFERROR(MATCH(A357&amp;"",tbl_Consulting[Job Number],0),MATCH(IFERROR(A357+0,A357),tbl_Consulting[Job Number],0)))="","",INDEX(tbl_Consulting[Client],IFERROR(MATCH(A357&amp;"",tbl_Consulting[Job Number],0),MATCH(IFERROR(A357+0,A357),tbl_Consulting[Job Number],0)))),""))))</f>
        <v/>
      </c>
      <c r="K357" s="26">
        <f>IF(A357="","",IFERROR(IF(INDEX(tbl_Onsite[Job Description],IFERROR(MATCH(A357&amp;"",tbl_Onsite[Job Number],0),MATCH(IFERROR(A357+0,A357),tbl_Onsite[Job Number],0)))="","",INDEX(tbl_Onsite[Job Description],IFERROR(MATCH(A357&amp;"",tbl_Onsite[Job Number],0),MATCH(IFERROR(A357+0,A357),tbl_Onsite[Job Number],0)))),IFERROR(IF(INDEX(tbl_Production[Job Description],IFERROR(MATCH(A357&amp;"",tbl_Production[Job Number],0),MATCH(IFERROR(A357+0,A357),tbl_Production[Job Number],0)))="","",INDEX(tbl_Production[Job Description],IFERROR(MATCH(A357&amp;"",tbl_Production[Job Number],0),MATCH(IFERROR(A357+0,A357),tbl_Production[Job Number],0)))),IFERROR(IF(INDEX(tbl_Consulting[Job Description],IFERROR(MATCH(A357&amp;"",tbl_Consulting[Job Number],0),MATCH(IFERROR(A357+0,A357),tbl_Consulting[Job Number],0)))="","",INDEX(tbl_Consulting[Job Description],IFERROR(MATCH(A357&amp;"",tbl_Consulting[Job Number],0),MATCH(IFERROR(A357+0,A357),tbl_Consulting[Job Number],0)))),""))))</f>
        <v/>
      </c>
      <c r="L357" s="26">
        <f>IF(A357="","",IFERROR(IF(INDEX(tbl_Onsite[Invoice Type],IFERROR(MATCH(A357&amp;"",tbl_Onsite[Job Number],0),MATCH(IFERROR(A357+0,A357),tbl_Onsite[Job Number],0)))="","",INDEX(tbl_Onsite[Invoice Type],IFERROR(MATCH(A357&amp;"",tbl_Onsite[Job Number],0),MATCH(IFERROR(A357+0,A357),tbl_Onsite[Job Number],0)))),IFERROR(IF(INDEX(tbl_Production[Invoice Type],IFERROR(MATCH(A357&amp;"",tbl_Production[Job Number],0),MATCH(IFERROR(A357+0,A357),tbl_Production[Job Number],0)))="","",INDEX(tbl_Production[Invoice Type],IFERROR(MATCH(A357&amp;"",tbl_Production[Job Number],0),MATCH(IFERROR(A357+0,A357),tbl_Production[Job Number],0)))),IFERROR(IF(INDEX(tbl_Consulting[Invoice Type],IFERROR(MATCH(A357&amp;"",tbl_Consulting[Job Number],0),MATCH(IFERROR(A357+0,A357),tbl_Consulting[Job Number],0)))="","",INDEX(tbl_Consulting[Invoice Type],IFERROR(MATCH(A357&amp;"",tbl_Consulting[Job Number],0),MATCH(IFERROR(A357+0,A357),tbl_Consulting[Job Number],0)))),""))))</f>
        <v/>
      </c>
      <c r="M357" s="26">
        <f>IF(A357="","",IF(IFERROR(IF(INDEX(tbl_Onsite[Tax Code],IFERROR(MATCH(A357&amp;"",tbl_Onsite[Job Number],0),MATCH(IFERROR(A357+0,A357),tbl_Onsite[Job Number],0)))="","",INDEX(tbl_Onsite[Tax Code],IFERROR(MATCH(A357&amp;"",tbl_Onsite[Job Number],0),MATCH(IFERROR(A357+0,A357),tbl_Onsite[Job Number],0)))),IFERROR(IF(INDEX(tbl_Production[Tax Code],IFERROR(MATCH(A357&amp;"",tbl_Production[Job Number],0),MATCH(IFERROR(A357+0,A357),tbl_Production[Job Number],0)))="","",INDEX(tbl_Production[Tax Code],IFERROR(MATCH(A357&amp;"",tbl_Production[Job Number],0),MATCH(IFERROR(A357+0,A357),tbl_Production[Job Number],0)))),IFERROR(IF(INDEX(tbl_Consulting[Tax Code],IFERROR(MATCH(A357&amp;"",tbl_Consulting[Job Number],0),MATCH(IFERROR(A357+0,A357),tbl_Consulting[Job Number],0)))="","",INDEX(tbl_Consulting[Tax Code],IFERROR(MATCH(A357&amp;"",tbl_Consulting[Job Number],0),MATCH(IFERROR(A357+0,A357),tbl_Consulting[Job Number],0)))),"")))="","GST 10%",IFERROR(IF(INDEX(tbl_Onsite[Tax Code],IFERROR(MATCH(A357&amp;"",tbl_Onsite[Job Number],0),MATCH(IFERROR(A357+0,A357),tbl_Onsite[Job Number],0)))="","",INDEX(tbl_Onsite[Tax Code],IFERROR(MATCH(A357&amp;"",tbl_Onsite[Job Number],0),MATCH(IFERROR(A357+0,A357),tbl_Onsite[Job Number],0)))),IFERROR(IF(INDEX(tbl_Production[Tax Code],IFERROR(MATCH(A357&amp;"",tbl_Production[Job Number],0),MATCH(IFERROR(A357+0,A357),tbl_Production[Job Number],0)))="","",INDEX(tbl_Production[Tax Code],IFERROR(MATCH(A357&amp;"",tbl_Production[Job Number],0),MATCH(IFERROR(A357+0,A357),tbl_Production[Job Number],0)))),IFERROR(IF(INDEX(tbl_Consulting[Tax Code],IFERROR(MATCH(A357&amp;"",tbl_Consulting[Job Number],0),MATCH(IFERROR(A357+0,A357),tbl_Consulting[Job Number],0)))="","",INDEX(tbl_Consulting[Tax Code],IFERROR(MATCH(A357&amp;"",tbl_Consulting[Job Number],0),MATCH(IFERROR(A357+0,A357),tbl_Consulting[Job Number],0)))),"")))))</f>
        <v/>
      </c>
      <c r="N357" s="26">
        <f>IF(D357="","",IFERROR(INDEX(lst_CCtoGL,MATCH(D357,lst_CCforGL,0)),""))</f>
        <v/>
      </c>
      <c r="O357" s="27">
        <f>IF(E357="","",IF(M357="GST 10%",ROUND(E357*set_GSTRate,2),0))</f>
        <v/>
      </c>
      <c r="P357" s="27">
        <f>IF(E357="","",E357+O357)</f>
        <v/>
      </c>
      <c r="Q357" s="27">
        <f>IF(A357="","",IFERROR(INDEX(tbl_Onsite[Expected Revenue Ex GST],IFERROR(MATCH(A357&amp;"",tbl_Onsite[Job Number],0),MATCH(IFERROR(A357+0,A357),tbl_Onsite[Job Number],0))),IFERROR(INDEX(tbl_Production[Expected Revenue Ex GST],IFERROR(MATCH(A357&amp;"",tbl_Production[Job Number],0),MATCH(IFERROR(A357+0,A357),tbl_Production[Job Number],0))),IFERROR(INDEX(tbl_Consulting[Expected Revenue Ex GST],IFERROR(MATCH(A357&amp;"",tbl_Consulting[Job Number],0),MATCH(IFERROR(A357+0,A357),tbl_Consulting[Job Number],0))),0))))</f>
        <v/>
      </c>
      <c r="R357" s="27">
        <f>IF(A357="","",SUMIFS(tbl_Finance[Ex GST],tbl_Finance[Job Number],A357&amp;""))</f>
        <v/>
      </c>
      <c r="S357" s="27">
        <f>IF(A357="","",Q357-R357)</f>
        <v/>
      </c>
      <c r="T357" s="26">
        <f>IF(A357="","",IF(Q357=0,"No dept value",IF(ROUND(S357,2)=0,"Agrees",IF(S357&gt;0,"Dept higher - to invoice","Xero higher - check dept"))))</f>
        <v/>
      </c>
      <c r="U357" s="22" t="n"/>
      <c r="V357" s="22" t="n"/>
      <c r="W357" s="23" t="n"/>
      <c r="X357" s="23" t="n"/>
      <c r="Y357" s="22" t="n"/>
      <c r="Z357" s="22" t="n"/>
      <c r="AA357" s="26">
        <f>IF(COUNTA(C357,A357,B357,E357)=0,"",IF(C357="","No date - sits outside every month",IF(A357="","No job number",IF(H357="CHECK","Job number is not in the Xero job list",IF(G357="not set up yet","No department has set this job up - nothing can pull through",IF(D357="","No cost centre",IF(AND(U357="Y",B357=""),"Marked posted to Xero but has no invoice number",IF(N357="","Cost centre has no revenue GL on the Lists sheet",IF(T357="Xero higher - check dept","Invoiced more than the department says the job is worth","")))))))))</f>
        <v/>
      </c>
      <c r="AB357" s="28">
        <f>IF(A357="","",COUNTIFS(tbl_Finance[Job Number],A357&amp;"",tbl_Finance[Ex GST],"&lt;&gt;"))</f>
        <v/>
      </c>
      <c r="AC357" s="27">
        <f>IF(A357="","",SUMIFS(tbl_Finance[Ex GST],tbl_Finance[Job Number],A357&amp;""))</f>
        <v/>
      </c>
      <c r="AD357" s="27">
        <f>IF(A357="","",SUMIFS(tbl_Finance[Ex GST],tbl_Finance[Job Number],A357&amp;"",tbl_Finance[Xero Invoice No],"&lt;&gt;"))</f>
        <v/>
      </c>
      <c r="AE357" s="27">
        <f>IF(A357="","",AC357-AD357)</f>
        <v/>
      </c>
      <c r="AF357" s="26">
        <f>IF(A357="","",IFERROR(IF(INDEX(tbl_Onsite[Qwilr Quote],IFERROR(MATCH(A357&amp;"",tbl_Onsite[Job Number],0),MATCH(IFERROR(A357+0,A357),tbl_Onsite[Job Number],0)))="","",INDEX(tbl_Onsite[Qwilr Quote],IFERROR(MATCH(A357&amp;"",tbl_Onsite[Job Number],0),MATCH(IFERROR(A357+0,A357),tbl_Onsite[Job Number],0)))),IFERROR(IF(IF(INDEX(tbl_Production[Current RMS No],IFERROR(MATCH(A357&amp;"",tbl_Production[Job Number],0),MATCH(IFERROR(A357+0,A357),tbl_Production[Job Number],0)))="",INDEX(tbl_Production[Qwilr Quote],IFERROR(MATCH(A357&amp;"",tbl_Production[Job Number],0),MATCH(IFERROR(A357+0,A357),tbl_Production[Job Number],0))),INDEX(tbl_Production[Current RMS No],IFERROR(MATCH(A357&amp;"",tbl_Production[Job Number],0),MATCH(IFERROR(A357+0,A357),tbl_Production[Job Number],0))))="","",IF(INDEX(tbl_Production[Current RMS No],IFERROR(MATCH(A357&amp;"",tbl_Production[Job Number],0),MATCH(IFERROR(A357+0,A357),tbl_Production[Job Number],0)))="",INDEX(tbl_Production[Qwilr Quote],IFERROR(MATCH(A357&amp;"",tbl_Production[Job Number],0),MATCH(IFERROR(A357+0,A357),tbl_Production[Job Number],0))),INDEX(tbl_Production[Current RMS No],IFERROR(MATCH(A357&amp;"",tbl_Production[Job Number],0),MATCH(IFERROR(A357+0,A357),tbl_Production[Job Number],0))))),IFERROR(IF(INDEX(tbl_Consulting[Qwilr Quote],IFERROR(MATCH(A357&amp;"",tbl_Consulting[Job Number],0),MATCH(IFERROR(A357+0,A357),tbl_Consulting[Job Number],0)))="","",INDEX(tbl_Consulting[Qwilr Quote],IFERROR(MATCH(A357&amp;"",tbl_Consulting[Job Number],0),MATCH(IFERROR(A357+0,A357),tbl_Consulting[Job Number],0)))),""))))</f>
        <v/>
      </c>
      <c r="AG357" s="26">
        <f>IF(AF357="","",IF(AND(LEFT(AF357,4)&lt;&gt;"http",IF(G357="Production",set_RMSBase,set_QwilrBase)=""),"",HYPERLINK(IF(LEFT(AF357,4)="http",AF357,IF(G357="Production",set_RMSBase,set_QwilrBase)&amp;AF357),"Open")))</f>
        <v/>
      </c>
      <c r="AH357" s="27">
        <f>IF(A357="","",IFERROR(INDEX(tbl_Production[Total Expense],IFERROR(MATCH(A357&amp;"",tbl_Production[Job Number],0),MATCH(IFERROR(A357+0,A357),tbl_Production[Job Number],0))),IFERROR(INDEX(tbl_Consulting[Total Expense],IFERROR(MATCH(A357&amp;"",tbl_Consulting[Job Number],0),MATCH(IFERROR(A357+0,A357),tbl_Consulting[Job Number],0))),0)))</f>
        <v/>
      </c>
      <c r="AI357" s="27">
        <f>IF(A357="","",AC357-N(AH357))</f>
        <v/>
      </c>
      <c r="AJ357" s="29">
        <f>IFERROR(AI357/AC357,"")</f>
        <v/>
      </c>
      <c r="AK357" s="26">
        <f>IF(A357="","",IFERROR(IF(INDEX(tbl_Onsite[Notes],IFERROR(MATCH(A357&amp;"",tbl_Onsite[Job Number],0),MATCH(IFERROR(A357+0,A357),tbl_Onsite[Job Number],0)))="","",INDEX(tbl_Onsite[Notes],IFERROR(MATCH(A357&amp;"",tbl_Onsite[Job Number],0),MATCH(IFERROR(A357+0,A357),tbl_Onsite[Job Number],0)))),IFERROR(IF(INDEX(tbl_Production[Notes],IFERROR(MATCH(A357&amp;"",tbl_Production[Job Number],0),MATCH(IFERROR(A357+0,A357),tbl_Production[Job Number],0)))="","",INDEX(tbl_Production[Notes],IFERROR(MATCH(A357&amp;"",tbl_Production[Job Number],0),MATCH(IFERROR(A357+0,A357),tbl_Production[Job Number],0)))),IFERROR(IF(INDEX(tbl_Consulting[Notes],IFERROR(MATCH(A357&amp;"",tbl_Consulting[Job Number],0),MATCH(IFERROR(A357+0,A357),tbl_Consulting[Job Number],0)))="","",INDEX(tbl_Consulting[Notes],IFERROR(MATCH(A357&amp;"",tbl_Consulting[Job Number],0),MATCH(IFERROR(A357+0,A357),tbl_Consulting[Job Number],0)))),""))))</f>
        <v/>
      </c>
    </row>
    <row r="358" ht="15" customHeight="1">
      <c r="A358" s="22" t="n"/>
      <c r="B358" s="22" t="n"/>
      <c r="C358" s="23" t="n"/>
      <c r="D358" s="22" t="n"/>
      <c r="E358" s="24" t="n"/>
      <c r="F358" s="25">
        <f>IF(C358="","",EOMONTH(C358,0))</f>
        <v/>
      </c>
      <c r="G358" s="26">
        <f>IF(A358="","",IF(COUNTIF(tbl_Onsite[Job Number],A358&amp;"")&gt;0,"Onsite",IF(COUNTIF(tbl_Production[Job Number],A358&amp;"")&gt;0,"Production",IF(COUNTIF(tbl_Consulting[Job Number],A358&amp;"")&gt;0,"Consulting","not set up yet"))))</f>
        <v/>
      </c>
      <c r="H358" s="26">
        <f>IF(A358="","",IF(COUNTIF(lst_Jobs,A358&amp;"")&gt;0,"OK","CHECK"))</f>
        <v/>
      </c>
      <c r="I358" s="26">
        <f>IF(A358="","",IFERROR(INDEX(lst_JobName,MATCH(A358&amp;"",lst_Jobs,0)),""))</f>
        <v/>
      </c>
      <c r="J358" s="26">
        <f>IF(A358="","",IFERROR(IF(INDEX(tbl_Onsite[Client],IFERROR(MATCH(A358&amp;"",tbl_Onsite[Job Number],0),MATCH(IFERROR(A358+0,A358),tbl_Onsite[Job Number],0)))="","",INDEX(tbl_Onsite[Client],IFERROR(MATCH(A358&amp;"",tbl_Onsite[Job Number],0),MATCH(IFERROR(A358+0,A358),tbl_Onsite[Job Number],0)))),IFERROR(IF(INDEX(tbl_Production[Client],IFERROR(MATCH(A358&amp;"",tbl_Production[Job Number],0),MATCH(IFERROR(A358+0,A358),tbl_Production[Job Number],0)))="","",INDEX(tbl_Production[Client],IFERROR(MATCH(A358&amp;"",tbl_Production[Job Number],0),MATCH(IFERROR(A358+0,A358),tbl_Production[Job Number],0)))),IFERROR(IF(INDEX(tbl_Consulting[Client],IFERROR(MATCH(A358&amp;"",tbl_Consulting[Job Number],0),MATCH(IFERROR(A358+0,A358),tbl_Consulting[Job Number],0)))="","",INDEX(tbl_Consulting[Client],IFERROR(MATCH(A358&amp;"",tbl_Consulting[Job Number],0),MATCH(IFERROR(A358+0,A358),tbl_Consulting[Job Number],0)))),""))))</f>
        <v/>
      </c>
      <c r="K358" s="26">
        <f>IF(A358="","",IFERROR(IF(INDEX(tbl_Onsite[Job Description],IFERROR(MATCH(A358&amp;"",tbl_Onsite[Job Number],0),MATCH(IFERROR(A358+0,A358),tbl_Onsite[Job Number],0)))="","",INDEX(tbl_Onsite[Job Description],IFERROR(MATCH(A358&amp;"",tbl_Onsite[Job Number],0),MATCH(IFERROR(A358+0,A358),tbl_Onsite[Job Number],0)))),IFERROR(IF(INDEX(tbl_Production[Job Description],IFERROR(MATCH(A358&amp;"",tbl_Production[Job Number],0),MATCH(IFERROR(A358+0,A358),tbl_Production[Job Number],0)))="","",INDEX(tbl_Production[Job Description],IFERROR(MATCH(A358&amp;"",tbl_Production[Job Number],0),MATCH(IFERROR(A358+0,A358),tbl_Production[Job Number],0)))),IFERROR(IF(INDEX(tbl_Consulting[Job Description],IFERROR(MATCH(A358&amp;"",tbl_Consulting[Job Number],0),MATCH(IFERROR(A358+0,A358),tbl_Consulting[Job Number],0)))="","",INDEX(tbl_Consulting[Job Description],IFERROR(MATCH(A358&amp;"",tbl_Consulting[Job Number],0),MATCH(IFERROR(A358+0,A358),tbl_Consulting[Job Number],0)))),""))))</f>
        <v/>
      </c>
      <c r="L358" s="26">
        <f>IF(A358="","",IFERROR(IF(INDEX(tbl_Onsite[Invoice Type],IFERROR(MATCH(A358&amp;"",tbl_Onsite[Job Number],0),MATCH(IFERROR(A358+0,A358),tbl_Onsite[Job Number],0)))="","",INDEX(tbl_Onsite[Invoice Type],IFERROR(MATCH(A358&amp;"",tbl_Onsite[Job Number],0),MATCH(IFERROR(A358+0,A358),tbl_Onsite[Job Number],0)))),IFERROR(IF(INDEX(tbl_Production[Invoice Type],IFERROR(MATCH(A358&amp;"",tbl_Production[Job Number],0),MATCH(IFERROR(A358+0,A358),tbl_Production[Job Number],0)))="","",INDEX(tbl_Production[Invoice Type],IFERROR(MATCH(A358&amp;"",tbl_Production[Job Number],0),MATCH(IFERROR(A358+0,A358),tbl_Production[Job Number],0)))),IFERROR(IF(INDEX(tbl_Consulting[Invoice Type],IFERROR(MATCH(A358&amp;"",tbl_Consulting[Job Number],0),MATCH(IFERROR(A358+0,A358),tbl_Consulting[Job Number],0)))="","",INDEX(tbl_Consulting[Invoice Type],IFERROR(MATCH(A358&amp;"",tbl_Consulting[Job Number],0),MATCH(IFERROR(A358+0,A358),tbl_Consulting[Job Number],0)))),""))))</f>
        <v/>
      </c>
      <c r="M358" s="26">
        <f>IF(A358="","",IF(IFERROR(IF(INDEX(tbl_Onsite[Tax Code],IFERROR(MATCH(A358&amp;"",tbl_Onsite[Job Number],0),MATCH(IFERROR(A358+0,A358),tbl_Onsite[Job Number],0)))="","",INDEX(tbl_Onsite[Tax Code],IFERROR(MATCH(A358&amp;"",tbl_Onsite[Job Number],0),MATCH(IFERROR(A358+0,A358),tbl_Onsite[Job Number],0)))),IFERROR(IF(INDEX(tbl_Production[Tax Code],IFERROR(MATCH(A358&amp;"",tbl_Production[Job Number],0),MATCH(IFERROR(A358+0,A358),tbl_Production[Job Number],0)))="","",INDEX(tbl_Production[Tax Code],IFERROR(MATCH(A358&amp;"",tbl_Production[Job Number],0),MATCH(IFERROR(A358+0,A358),tbl_Production[Job Number],0)))),IFERROR(IF(INDEX(tbl_Consulting[Tax Code],IFERROR(MATCH(A358&amp;"",tbl_Consulting[Job Number],0),MATCH(IFERROR(A358+0,A358),tbl_Consulting[Job Number],0)))="","",INDEX(tbl_Consulting[Tax Code],IFERROR(MATCH(A358&amp;"",tbl_Consulting[Job Number],0),MATCH(IFERROR(A358+0,A358),tbl_Consulting[Job Number],0)))),"")))="","GST 10%",IFERROR(IF(INDEX(tbl_Onsite[Tax Code],IFERROR(MATCH(A358&amp;"",tbl_Onsite[Job Number],0),MATCH(IFERROR(A358+0,A358),tbl_Onsite[Job Number],0)))="","",INDEX(tbl_Onsite[Tax Code],IFERROR(MATCH(A358&amp;"",tbl_Onsite[Job Number],0),MATCH(IFERROR(A358+0,A358),tbl_Onsite[Job Number],0)))),IFERROR(IF(INDEX(tbl_Production[Tax Code],IFERROR(MATCH(A358&amp;"",tbl_Production[Job Number],0),MATCH(IFERROR(A358+0,A358),tbl_Production[Job Number],0)))="","",INDEX(tbl_Production[Tax Code],IFERROR(MATCH(A358&amp;"",tbl_Production[Job Number],0),MATCH(IFERROR(A358+0,A358),tbl_Production[Job Number],0)))),IFERROR(IF(INDEX(tbl_Consulting[Tax Code],IFERROR(MATCH(A358&amp;"",tbl_Consulting[Job Number],0),MATCH(IFERROR(A358+0,A358),tbl_Consulting[Job Number],0)))="","",INDEX(tbl_Consulting[Tax Code],IFERROR(MATCH(A358&amp;"",tbl_Consulting[Job Number],0),MATCH(IFERROR(A358+0,A358),tbl_Consulting[Job Number],0)))),"")))))</f>
        <v/>
      </c>
      <c r="N358" s="26">
        <f>IF(D358="","",IFERROR(INDEX(lst_CCtoGL,MATCH(D358,lst_CCforGL,0)),""))</f>
        <v/>
      </c>
      <c r="O358" s="27">
        <f>IF(E358="","",IF(M358="GST 10%",ROUND(E358*set_GSTRate,2),0))</f>
        <v/>
      </c>
      <c r="P358" s="27">
        <f>IF(E358="","",E358+O358)</f>
        <v/>
      </c>
      <c r="Q358" s="27">
        <f>IF(A358="","",IFERROR(INDEX(tbl_Onsite[Expected Revenue Ex GST],IFERROR(MATCH(A358&amp;"",tbl_Onsite[Job Number],0),MATCH(IFERROR(A358+0,A358),tbl_Onsite[Job Number],0))),IFERROR(INDEX(tbl_Production[Expected Revenue Ex GST],IFERROR(MATCH(A358&amp;"",tbl_Production[Job Number],0),MATCH(IFERROR(A358+0,A358),tbl_Production[Job Number],0))),IFERROR(INDEX(tbl_Consulting[Expected Revenue Ex GST],IFERROR(MATCH(A358&amp;"",tbl_Consulting[Job Number],0),MATCH(IFERROR(A358+0,A358),tbl_Consulting[Job Number],0))),0))))</f>
        <v/>
      </c>
      <c r="R358" s="27">
        <f>IF(A358="","",SUMIFS(tbl_Finance[Ex GST],tbl_Finance[Job Number],A358&amp;""))</f>
        <v/>
      </c>
      <c r="S358" s="27">
        <f>IF(A358="","",Q358-R358)</f>
        <v/>
      </c>
      <c r="T358" s="26">
        <f>IF(A358="","",IF(Q358=0,"No dept value",IF(ROUND(S358,2)=0,"Agrees",IF(S358&gt;0,"Dept higher - to invoice","Xero higher - check dept"))))</f>
        <v/>
      </c>
      <c r="U358" s="22" t="n"/>
      <c r="V358" s="22" t="n"/>
      <c r="W358" s="23" t="n"/>
      <c r="X358" s="23" t="n"/>
      <c r="Y358" s="22" t="n"/>
      <c r="Z358" s="22" t="n"/>
      <c r="AA358" s="26">
        <f>IF(COUNTA(C358,A358,B358,E358)=0,"",IF(C358="","No date - sits outside every month",IF(A358="","No job number",IF(H358="CHECK","Job number is not in the Xero job list",IF(G358="not set up yet","No department has set this job up - nothing can pull through",IF(D358="","No cost centre",IF(AND(U358="Y",B358=""),"Marked posted to Xero but has no invoice number",IF(N358="","Cost centre has no revenue GL on the Lists sheet",IF(T358="Xero higher - check dept","Invoiced more than the department says the job is worth","")))))))))</f>
        <v/>
      </c>
      <c r="AB358" s="28">
        <f>IF(A358="","",COUNTIFS(tbl_Finance[Job Number],A358&amp;"",tbl_Finance[Ex GST],"&lt;&gt;"))</f>
        <v/>
      </c>
      <c r="AC358" s="27">
        <f>IF(A358="","",SUMIFS(tbl_Finance[Ex GST],tbl_Finance[Job Number],A358&amp;""))</f>
        <v/>
      </c>
      <c r="AD358" s="27">
        <f>IF(A358="","",SUMIFS(tbl_Finance[Ex GST],tbl_Finance[Job Number],A358&amp;"",tbl_Finance[Xero Invoice No],"&lt;&gt;"))</f>
        <v/>
      </c>
      <c r="AE358" s="27">
        <f>IF(A358="","",AC358-AD358)</f>
        <v/>
      </c>
      <c r="AF358" s="26">
        <f>IF(A358="","",IFERROR(IF(INDEX(tbl_Onsite[Qwilr Quote],IFERROR(MATCH(A358&amp;"",tbl_Onsite[Job Number],0),MATCH(IFERROR(A358+0,A358),tbl_Onsite[Job Number],0)))="","",INDEX(tbl_Onsite[Qwilr Quote],IFERROR(MATCH(A358&amp;"",tbl_Onsite[Job Number],0),MATCH(IFERROR(A358+0,A358),tbl_Onsite[Job Number],0)))),IFERROR(IF(IF(INDEX(tbl_Production[Current RMS No],IFERROR(MATCH(A358&amp;"",tbl_Production[Job Number],0),MATCH(IFERROR(A358+0,A358),tbl_Production[Job Number],0)))="",INDEX(tbl_Production[Qwilr Quote],IFERROR(MATCH(A358&amp;"",tbl_Production[Job Number],0),MATCH(IFERROR(A358+0,A358),tbl_Production[Job Number],0))),INDEX(tbl_Production[Current RMS No],IFERROR(MATCH(A358&amp;"",tbl_Production[Job Number],0),MATCH(IFERROR(A358+0,A358),tbl_Production[Job Number],0))))="","",IF(INDEX(tbl_Production[Current RMS No],IFERROR(MATCH(A358&amp;"",tbl_Production[Job Number],0),MATCH(IFERROR(A358+0,A358),tbl_Production[Job Number],0)))="",INDEX(tbl_Production[Qwilr Quote],IFERROR(MATCH(A358&amp;"",tbl_Production[Job Number],0),MATCH(IFERROR(A358+0,A358),tbl_Production[Job Number],0))),INDEX(tbl_Production[Current RMS No],IFERROR(MATCH(A358&amp;"",tbl_Production[Job Number],0),MATCH(IFERROR(A358+0,A358),tbl_Production[Job Number],0))))),IFERROR(IF(INDEX(tbl_Consulting[Qwilr Quote],IFERROR(MATCH(A358&amp;"",tbl_Consulting[Job Number],0),MATCH(IFERROR(A358+0,A358),tbl_Consulting[Job Number],0)))="","",INDEX(tbl_Consulting[Qwilr Quote],IFERROR(MATCH(A358&amp;"",tbl_Consulting[Job Number],0),MATCH(IFERROR(A358+0,A358),tbl_Consulting[Job Number],0)))),""))))</f>
        <v/>
      </c>
      <c r="AG358" s="26">
        <f>IF(AF358="","",IF(AND(LEFT(AF358,4)&lt;&gt;"http",IF(G358="Production",set_RMSBase,set_QwilrBase)=""),"",HYPERLINK(IF(LEFT(AF358,4)="http",AF358,IF(G358="Production",set_RMSBase,set_QwilrBase)&amp;AF358),"Open")))</f>
        <v/>
      </c>
      <c r="AH358" s="27">
        <f>IF(A358="","",IFERROR(INDEX(tbl_Production[Total Expense],IFERROR(MATCH(A358&amp;"",tbl_Production[Job Number],0),MATCH(IFERROR(A358+0,A358),tbl_Production[Job Number],0))),IFERROR(INDEX(tbl_Consulting[Total Expense],IFERROR(MATCH(A358&amp;"",tbl_Consulting[Job Number],0),MATCH(IFERROR(A358+0,A358),tbl_Consulting[Job Number],0))),0)))</f>
        <v/>
      </c>
      <c r="AI358" s="27">
        <f>IF(A358="","",AC358-N(AH358))</f>
        <v/>
      </c>
      <c r="AJ358" s="29">
        <f>IFERROR(AI358/AC358,"")</f>
        <v/>
      </c>
      <c r="AK358" s="26">
        <f>IF(A358="","",IFERROR(IF(INDEX(tbl_Onsite[Notes],IFERROR(MATCH(A358&amp;"",tbl_Onsite[Job Number],0),MATCH(IFERROR(A358+0,A358),tbl_Onsite[Job Number],0)))="","",INDEX(tbl_Onsite[Notes],IFERROR(MATCH(A358&amp;"",tbl_Onsite[Job Number],0),MATCH(IFERROR(A358+0,A358),tbl_Onsite[Job Number],0)))),IFERROR(IF(INDEX(tbl_Production[Notes],IFERROR(MATCH(A358&amp;"",tbl_Production[Job Number],0),MATCH(IFERROR(A358+0,A358),tbl_Production[Job Number],0)))="","",INDEX(tbl_Production[Notes],IFERROR(MATCH(A358&amp;"",tbl_Production[Job Number],0),MATCH(IFERROR(A358+0,A358),tbl_Production[Job Number],0)))),IFERROR(IF(INDEX(tbl_Consulting[Notes],IFERROR(MATCH(A358&amp;"",tbl_Consulting[Job Number],0),MATCH(IFERROR(A358+0,A358),tbl_Consulting[Job Number],0)))="","",INDEX(tbl_Consulting[Notes],IFERROR(MATCH(A358&amp;"",tbl_Consulting[Job Number],0),MATCH(IFERROR(A358+0,A358),tbl_Consulting[Job Number],0)))),""))))</f>
        <v/>
      </c>
    </row>
    <row r="359" ht="15" customHeight="1">
      <c r="A359" s="22" t="n"/>
      <c r="B359" s="22" t="n"/>
      <c r="C359" s="23" t="n"/>
      <c r="D359" s="22" t="n"/>
      <c r="E359" s="24" t="n"/>
      <c r="F359" s="25">
        <f>IF(C359="","",EOMONTH(C359,0))</f>
        <v/>
      </c>
      <c r="G359" s="26">
        <f>IF(A359="","",IF(COUNTIF(tbl_Onsite[Job Number],A359&amp;"")&gt;0,"Onsite",IF(COUNTIF(tbl_Production[Job Number],A359&amp;"")&gt;0,"Production",IF(COUNTIF(tbl_Consulting[Job Number],A359&amp;"")&gt;0,"Consulting","not set up yet"))))</f>
        <v/>
      </c>
      <c r="H359" s="26">
        <f>IF(A359="","",IF(COUNTIF(lst_Jobs,A359&amp;"")&gt;0,"OK","CHECK"))</f>
        <v/>
      </c>
      <c r="I359" s="26">
        <f>IF(A359="","",IFERROR(INDEX(lst_JobName,MATCH(A359&amp;"",lst_Jobs,0)),""))</f>
        <v/>
      </c>
      <c r="J359" s="26">
        <f>IF(A359="","",IFERROR(IF(INDEX(tbl_Onsite[Client],IFERROR(MATCH(A359&amp;"",tbl_Onsite[Job Number],0),MATCH(IFERROR(A359+0,A359),tbl_Onsite[Job Number],0)))="","",INDEX(tbl_Onsite[Client],IFERROR(MATCH(A359&amp;"",tbl_Onsite[Job Number],0),MATCH(IFERROR(A359+0,A359),tbl_Onsite[Job Number],0)))),IFERROR(IF(INDEX(tbl_Production[Client],IFERROR(MATCH(A359&amp;"",tbl_Production[Job Number],0),MATCH(IFERROR(A359+0,A359),tbl_Production[Job Number],0)))="","",INDEX(tbl_Production[Client],IFERROR(MATCH(A359&amp;"",tbl_Production[Job Number],0),MATCH(IFERROR(A359+0,A359),tbl_Production[Job Number],0)))),IFERROR(IF(INDEX(tbl_Consulting[Client],IFERROR(MATCH(A359&amp;"",tbl_Consulting[Job Number],0),MATCH(IFERROR(A359+0,A359),tbl_Consulting[Job Number],0)))="","",INDEX(tbl_Consulting[Client],IFERROR(MATCH(A359&amp;"",tbl_Consulting[Job Number],0),MATCH(IFERROR(A359+0,A359),tbl_Consulting[Job Number],0)))),""))))</f>
        <v/>
      </c>
      <c r="K359" s="26">
        <f>IF(A359="","",IFERROR(IF(INDEX(tbl_Onsite[Job Description],IFERROR(MATCH(A359&amp;"",tbl_Onsite[Job Number],0),MATCH(IFERROR(A359+0,A359),tbl_Onsite[Job Number],0)))="","",INDEX(tbl_Onsite[Job Description],IFERROR(MATCH(A359&amp;"",tbl_Onsite[Job Number],0),MATCH(IFERROR(A359+0,A359),tbl_Onsite[Job Number],0)))),IFERROR(IF(INDEX(tbl_Production[Job Description],IFERROR(MATCH(A359&amp;"",tbl_Production[Job Number],0),MATCH(IFERROR(A359+0,A359),tbl_Production[Job Number],0)))="","",INDEX(tbl_Production[Job Description],IFERROR(MATCH(A359&amp;"",tbl_Production[Job Number],0),MATCH(IFERROR(A359+0,A359),tbl_Production[Job Number],0)))),IFERROR(IF(INDEX(tbl_Consulting[Job Description],IFERROR(MATCH(A359&amp;"",tbl_Consulting[Job Number],0),MATCH(IFERROR(A359+0,A359),tbl_Consulting[Job Number],0)))="","",INDEX(tbl_Consulting[Job Description],IFERROR(MATCH(A359&amp;"",tbl_Consulting[Job Number],0),MATCH(IFERROR(A359+0,A359),tbl_Consulting[Job Number],0)))),""))))</f>
        <v/>
      </c>
      <c r="L359" s="26">
        <f>IF(A359="","",IFERROR(IF(INDEX(tbl_Onsite[Invoice Type],IFERROR(MATCH(A359&amp;"",tbl_Onsite[Job Number],0),MATCH(IFERROR(A359+0,A359),tbl_Onsite[Job Number],0)))="","",INDEX(tbl_Onsite[Invoice Type],IFERROR(MATCH(A359&amp;"",tbl_Onsite[Job Number],0),MATCH(IFERROR(A359+0,A359),tbl_Onsite[Job Number],0)))),IFERROR(IF(INDEX(tbl_Production[Invoice Type],IFERROR(MATCH(A359&amp;"",tbl_Production[Job Number],0),MATCH(IFERROR(A359+0,A359),tbl_Production[Job Number],0)))="","",INDEX(tbl_Production[Invoice Type],IFERROR(MATCH(A359&amp;"",tbl_Production[Job Number],0),MATCH(IFERROR(A359+0,A359),tbl_Production[Job Number],0)))),IFERROR(IF(INDEX(tbl_Consulting[Invoice Type],IFERROR(MATCH(A359&amp;"",tbl_Consulting[Job Number],0),MATCH(IFERROR(A359+0,A359),tbl_Consulting[Job Number],0)))="","",INDEX(tbl_Consulting[Invoice Type],IFERROR(MATCH(A359&amp;"",tbl_Consulting[Job Number],0),MATCH(IFERROR(A359+0,A359),tbl_Consulting[Job Number],0)))),""))))</f>
        <v/>
      </c>
      <c r="M359" s="26">
        <f>IF(A359="","",IF(IFERROR(IF(INDEX(tbl_Onsite[Tax Code],IFERROR(MATCH(A359&amp;"",tbl_Onsite[Job Number],0),MATCH(IFERROR(A359+0,A359),tbl_Onsite[Job Number],0)))="","",INDEX(tbl_Onsite[Tax Code],IFERROR(MATCH(A359&amp;"",tbl_Onsite[Job Number],0),MATCH(IFERROR(A359+0,A359),tbl_Onsite[Job Number],0)))),IFERROR(IF(INDEX(tbl_Production[Tax Code],IFERROR(MATCH(A359&amp;"",tbl_Production[Job Number],0),MATCH(IFERROR(A359+0,A359),tbl_Production[Job Number],0)))="","",INDEX(tbl_Production[Tax Code],IFERROR(MATCH(A359&amp;"",tbl_Production[Job Number],0),MATCH(IFERROR(A359+0,A359),tbl_Production[Job Number],0)))),IFERROR(IF(INDEX(tbl_Consulting[Tax Code],IFERROR(MATCH(A359&amp;"",tbl_Consulting[Job Number],0),MATCH(IFERROR(A359+0,A359),tbl_Consulting[Job Number],0)))="","",INDEX(tbl_Consulting[Tax Code],IFERROR(MATCH(A359&amp;"",tbl_Consulting[Job Number],0),MATCH(IFERROR(A359+0,A359),tbl_Consulting[Job Number],0)))),"")))="","GST 10%",IFERROR(IF(INDEX(tbl_Onsite[Tax Code],IFERROR(MATCH(A359&amp;"",tbl_Onsite[Job Number],0),MATCH(IFERROR(A359+0,A359),tbl_Onsite[Job Number],0)))="","",INDEX(tbl_Onsite[Tax Code],IFERROR(MATCH(A359&amp;"",tbl_Onsite[Job Number],0),MATCH(IFERROR(A359+0,A359),tbl_Onsite[Job Number],0)))),IFERROR(IF(INDEX(tbl_Production[Tax Code],IFERROR(MATCH(A359&amp;"",tbl_Production[Job Number],0),MATCH(IFERROR(A359+0,A359),tbl_Production[Job Number],0)))="","",INDEX(tbl_Production[Tax Code],IFERROR(MATCH(A359&amp;"",tbl_Production[Job Number],0),MATCH(IFERROR(A359+0,A359),tbl_Production[Job Number],0)))),IFERROR(IF(INDEX(tbl_Consulting[Tax Code],IFERROR(MATCH(A359&amp;"",tbl_Consulting[Job Number],0),MATCH(IFERROR(A359+0,A359),tbl_Consulting[Job Number],0)))="","",INDEX(tbl_Consulting[Tax Code],IFERROR(MATCH(A359&amp;"",tbl_Consulting[Job Number],0),MATCH(IFERROR(A359+0,A359),tbl_Consulting[Job Number],0)))),"")))))</f>
        <v/>
      </c>
      <c r="N359" s="26">
        <f>IF(D359="","",IFERROR(INDEX(lst_CCtoGL,MATCH(D359,lst_CCforGL,0)),""))</f>
        <v/>
      </c>
      <c r="O359" s="27">
        <f>IF(E359="","",IF(M359="GST 10%",ROUND(E359*set_GSTRate,2),0))</f>
        <v/>
      </c>
      <c r="P359" s="27">
        <f>IF(E359="","",E359+O359)</f>
        <v/>
      </c>
      <c r="Q359" s="27">
        <f>IF(A359="","",IFERROR(INDEX(tbl_Onsite[Expected Revenue Ex GST],IFERROR(MATCH(A359&amp;"",tbl_Onsite[Job Number],0),MATCH(IFERROR(A359+0,A359),tbl_Onsite[Job Number],0))),IFERROR(INDEX(tbl_Production[Expected Revenue Ex GST],IFERROR(MATCH(A359&amp;"",tbl_Production[Job Number],0),MATCH(IFERROR(A359+0,A359),tbl_Production[Job Number],0))),IFERROR(INDEX(tbl_Consulting[Expected Revenue Ex GST],IFERROR(MATCH(A359&amp;"",tbl_Consulting[Job Number],0),MATCH(IFERROR(A359+0,A359),tbl_Consulting[Job Number],0))),0))))</f>
        <v/>
      </c>
      <c r="R359" s="27">
        <f>IF(A359="","",SUMIFS(tbl_Finance[Ex GST],tbl_Finance[Job Number],A359&amp;""))</f>
        <v/>
      </c>
      <c r="S359" s="27">
        <f>IF(A359="","",Q359-R359)</f>
        <v/>
      </c>
      <c r="T359" s="26">
        <f>IF(A359="","",IF(Q359=0,"No dept value",IF(ROUND(S359,2)=0,"Agrees",IF(S359&gt;0,"Dept higher - to invoice","Xero higher - check dept"))))</f>
        <v/>
      </c>
      <c r="U359" s="22" t="n"/>
      <c r="V359" s="22" t="n"/>
      <c r="W359" s="23" t="n"/>
      <c r="X359" s="23" t="n"/>
      <c r="Y359" s="22" t="n"/>
      <c r="Z359" s="22" t="n"/>
      <c r="AA359" s="26">
        <f>IF(COUNTA(C359,A359,B359,E359)=0,"",IF(C359="","No date - sits outside every month",IF(A359="","No job number",IF(H359="CHECK","Job number is not in the Xero job list",IF(G359="not set up yet","No department has set this job up - nothing can pull through",IF(D359="","No cost centre",IF(AND(U359="Y",B359=""),"Marked posted to Xero but has no invoice number",IF(N359="","Cost centre has no revenue GL on the Lists sheet",IF(T359="Xero higher - check dept","Invoiced more than the department says the job is worth","")))))))))</f>
        <v/>
      </c>
      <c r="AB359" s="28">
        <f>IF(A359="","",COUNTIFS(tbl_Finance[Job Number],A359&amp;"",tbl_Finance[Ex GST],"&lt;&gt;"))</f>
        <v/>
      </c>
      <c r="AC359" s="27">
        <f>IF(A359="","",SUMIFS(tbl_Finance[Ex GST],tbl_Finance[Job Number],A359&amp;""))</f>
        <v/>
      </c>
      <c r="AD359" s="27">
        <f>IF(A359="","",SUMIFS(tbl_Finance[Ex GST],tbl_Finance[Job Number],A359&amp;"",tbl_Finance[Xero Invoice No],"&lt;&gt;"))</f>
        <v/>
      </c>
      <c r="AE359" s="27">
        <f>IF(A359="","",AC359-AD359)</f>
        <v/>
      </c>
      <c r="AF359" s="26">
        <f>IF(A359="","",IFERROR(IF(INDEX(tbl_Onsite[Qwilr Quote],IFERROR(MATCH(A359&amp;"",tbl_Onsite[Job Number],0),MATCH(IFERROR(A359+0,A359),tbl_Onsite[Job Number],0)))="","",INDEX(tbl_Onsite[Qwilr Quote],IFERROR(MATCH(A359&amp;"",tbl_Onsite[Job Number],0),MATCH(IFERROR(A359+0,A359),tbl_Onsite[Job Number],0)))),IFERROR(IF(IF(INDEX(tbl_Production[Current RMS No],IFERROR(MATCH(A359&amp;"",tbl_Production[Job Number],0),MATCH(IFERROR(A359+0,A359),tbl_Production[Job Number],0)))="",INDEX(tbl_Production[Qwilr Quote],IFERROR(MATCH(A359&amp;"",tbl_Production[Job Number],0),MATCH(IFERROR(A359+0,A359),tbl_Production[Job Number],0))),INDEX(tbl_Production[Current RMS No],IFERROR(MATCH(A359&amp;"",tbl_Production[Job Number],0),MATCH(IFERROR(A359+0,A359),tbl_Production[Job Number],0))))="","",IF(INDEX(tbl_Production[Current RMS No],IFERROR(MATCH(A359&amp;"",tbl_Production[Job Number],0),MATCH(IFERROR(A359+0,A359),tbl_Production[Job Number],0)))="",INDEX(tbl_Production[Qwilr Quote],IFERROR(MATCH(A359&amp;"",tbl_Production[Job Number],0),MATCH(IFERROR(A359+0,A359),tbl_Production[Job Number],0))),INDEX(tbl_Production[Current RMS No],IFERROR(MATCH(A359&amp;"",tbl_Production[Job Number],0),MATCH(IFERROR(A359+0,A359),tbl_Production[Job Number],0))))),IFERROR(IF(INDEX(tbl_Consulting[Qwilr Quote],IFERROR(MATCH(A359&amp;"",tbl_Consulting[Job Number],0),MATCH(IFERROR(A359+0,A359),tbl_Consulting[Job Number],0)))="","",INDEX(tbl_Consulting[Qwilr Quote],IFERROR(MATCH(A359&amp;"",tbl_Consulting[Job Number],0),MATCH(IFERROR(A359+0,A359),tbl_Consulting[Job Number],0)))),""))))</f>
        <v/>
      </c>
      <c r="AG359" s="26">
        <f>IF(AF359="","",IF(AND(LEFT(AF359,4)&lt;&gt;"http",IF(G359="Production",set_RMSBase,set_QwilrBase)=""),"",HYPERLINK(IF(LEFT(AF359,4)="http",AF359,IF(G359="Production",set_RMSBase,set_QwilrBase)&amp;AF359),"Open")))</f>
        <v/>
      </c>
      <c r="AH359" s="27">
        <f>IF(A359="","",IFERROR(INDEX(tbl_Production[Total Expense],IFERROR(MATCH(A359&amp;"",tbl_Production[Job Number],0),MATCH(IFERROR(A359+0,A359),tbl_Production[Job Number],0))),IFERROR(INDEX(tbl_Consulting[Total Expense],IFERROR(MATCH(A359&amp;"",tbl_Consulting[Job Number],0),MATCH(IFERROR(A359+0,A359),tbl_Consulting[Job Number],0))),0)))</f>
        <v/>
      </c>
      <c r="AI359" s="27">
        <f>IF(A359="","",AC359-N(AH359))</f>
        <v/>
      </c>
      <c r="AJ359" s="29">
        <f>IFERROR(AI359/AC359,"")</f>
        <v/>
      </c>
      <c r="AK359" s="26">
        <f>IF(A359="","",IFERROR(IF(INDEX(tbl_Onsite[Notes],IFERROR(MATCH(A359&amp;"",tbl_Onsite[Job Number],0),MATCH(IFERROR(A359+0,A359),tbl_Onsite[Job Number],0)))="","",INDEX(tbl_Onsite[Notes],IFERROR(MATCH(A359&amp;"",tbl_Onsite[Job Number],0),MATCH(IFERROR(A359+0,A359),tbl_Onsite[Job Number],0)))),IFERROR(IF(INDEX(tbl_Production[Notes],IFERROR(MATCH(A359&amp;"",tbl_Production[Job Number],0),MATCH(IFERROR(A359+0,A359),tbl_Production[Job Number],0)))="","",INDEX(tbl_Production[Notes],IFERROR(MATCH(A359&amp;"",tbl_Production[Job Number],0),MATCH(IFERROR(A359+0,A359),tbl_Production[Job Number],0)))),IFERROR(IF(INDEX(tbl_Consulting[Notes],IFERROR(MATCH(A359&amp;"",tbl_Consulting[Job Number],0),MATCH(IFERROR(A359+0,A359),tbl_Consulting[Job Number],0)))="","",INDEX(tbl_Consulting[Notes],IFERROR(MATCH(A359&amp;"",tbl_Consulting[Job Number],0),MATCH(IFERROR(A359+0,A359),tbl_Consulting[Job Number],0)))),""))))</f>
        <v/>
      </c>
    </row>
    <row r="360" ht="15" customHeight="1">
      <c r="A360" s="22" t="n"/>
      <c r="B360" s="22" t="n"/>
      <c r="C360" s="23" t="n"/>
      <c r="D360" s="22" t="n"/>
      <c r="E360" s="24" t="n"/>
      <c r="F360" s="25">
        <f>IF(C360="","",EOMONTH(C360,0))</f>
        <v/>
      </c>
      <c r="G360" s="26">
        <f>IF(A360="","",IF(COUNTIF(tbl_Onsite[Job Number],A360&amp;"")&gt;0,"Onsite",IF(COUNTIF(tbl_Production[Job Number],A360&amp;"")&gt;0,"Production",IF(COUNTIF(tbl_Consulting[Job Number],A360&amp;"")&gt;0,"Consulting","not set up yet"))))</f>
        <v/>
      </c>
      <c r="H360" s="26">
        <f>IF(A360="","",IF(COUNTIF(lst_Jobs,A360&amp;"")&gt;0,"OK","CHECK"))</f>
        <v/>
      </c>
      <c r="I360" s="26">
        <f>IF(A360="","",IFERROR(INDEX(lst_JobName,MATCH(A360&amp;"",lst_Jobs,0)),""))</f>
        <v/>
      </c>
      <c r="J360" s="26">
        <f>IF(A360="","",IFERROR(IF(INDEX(tbl_Onsite[Client],IFERROR(MATCH(A360&amp;"",tbl_Onsite[Job Number],0),MATCH(IFERROR(A360+0,A360),tbl_Onsite[Job Number],0)))="","",INDEX(tbl_Onsite[Client],IFERROR(MATCH(A360&amp;"",tbl_Onsite[Job Number],0),MATCH(IFERROR(A360+0,A360),tbl_Onsite[Job Number],0)))),IFERROR(IF(INDEX(tbl_Production[Client],IFERROR(MATCH(A360&amp;"",tbl_Production[Job Number],0),MATCH(IFERROR(A360+0,A360),tbl_Production[Job Number],0)))="","",INDEX(tbl_Production[Client],IFERROR(MATCH(A360&amp;"",tbl_Production[Job Number],0),MATCH(IFERROR(A360+0,A360),tbl_Production[Job Number],0)))),IFERROR(IF(INDEX(tbl_Consulting[Client],IFERROR(MATCH(A360&amp;"",tbl_Consulting[Job Number],0),MATCH(IFERROR(A360+0,A360),tbl_Consulting[Job Number],0)))="","",INDEX(tbl_Consulting[Client],IFERROR(MATCH(A360&amp;"",tbl_Consulting[Job Number],0),MATCH(IFERROR(A360+0,A360),tbl_Consulting[Job Number],0)))),""))))</f>
        <v/>
      </c>
      <c r="K360" s="26">
        <f>IF(A360="","",IFERROR(IF(INDEX(tbl_Onsite[Job Description],IFERROR(MATCH(A360&amp;"",tbl_Onsite[Job Number],0),MATCH(IFERROR(A360+0,A360),tbl_Onsite[Job Number],0)))="","",INDEX(tbl_Onsite[Job Description],IFERROR(MATCH(A360&amp;"",tbl_Onsite[Job Number],0),MATCH(IFERROR(A360+0,A360),tbl_Onsite[Job Number],0)))),IFERROR(IF(INDEX(tbl_Production[Job Description],IFERROR(MATCH(A360&amp;"",tbl_Production[Job Number],0),MATCH(IFERROR(A360+0,A360),tbl_Production[Job Number],0)))="","",INDEX(tbl_Production[Job Description],IFERROR(MATCH(A360&amp;"",tbl_Production[Job Number],0),MATCH(IFERROR(A360+0,A360),tbl_Production[Job Number],0)))),IFERROR(IF(INDEX(tbl_Consulting[Job Description],IFERROR(MATCH(A360&amp;"",tbl_Consulting[Job Number],0),MATCH(IFERROR(A360+0,A360),tbl_Consulting[Job Number],0)))="","",INDEX(tbl_Consulting[Job Description],IFERROR(MATCH(A360&amp;"",tbl_Consulting[Job Number],0),MATCH(IFERROR(A360+0,A360),tbl_Consulting[Job Number],0)))),""))))</f>
        <v/>
      </c>
      <c r="L360" s="26">
        <f>IF(A360="","",IFERROR(IF(INDEX(tbl_Onsite[Invoice Type],IFERROR(MATCH(A360&amp;"",tbl_Onsite[Job Number],0),MATCH(IFERROR(A360+0,A360),tbl_Onsite[Job Number],0)))="","",INDEX(tbl_Onsite[Invoice Type],IFERROR(MATCH(A360&amp;"",tbl_Onsite[Job Number],0),MATCH(IFERROR(A360+0,A360),tbl_Onsite[Job Number],0)))),IFERROR(IF(INDEX(tbl_Production[Invoice Type],IFERROR(MATCH(A360&amp;"",tbl_Production[Job Number],0),MATCH(IFERROR(A360+0,A360),tbl_Production[Job Number],0)))="","",INDEX(tbl_Production[Invoice Type],IFERROR(MATCH(A360&amp;"",tbl_Production[Job Number],0),MATCH(IFERROR(A360+0,A360),tbl_Production[Job Number],0)))),IFERROR(IF(INDEX(tbl_Consulting[Invoice Type],IFERROR(MATCH(A360&amp;"",tbl_Consulting[Job Number],0),MATCH(IFERROR(A360+0,A360),tbl_Consulting[Job Number],0)))="","",INDEX(tbl_Consulting[Invoice Type],IFERROR(MATCH(A360&amp;"",tbl_Consulting[Job Number],0),MATCH(IFERROR(A360+0,A360),tbl_Consulting[Job Number],0)))),""))))</f>
        <v/>
      </c>
      <c r="M360" s="26">
        <f>IF(A360="","",IF(IFERROR(IF(INDEX(tbl_Onsite[Tax Code],IFERROR(MATCH(A360&amp;"",tbl_Onsite[Job Number],0),MATCH(IFERROR(A360+0,A360),tbl_Onsite[Job Number],0)))="","",INDEX(tbl_Onsite[Tax Code],IFERROR(MATCH(A360&amp;"",tbl_Onsite[Job Number],0),MATCH(IFERROR(A360+0,A360),tbl_Onsite[Job Number],0)))),IFERROR(IF(INDEX(tbl_Production[Tax Code],IFERROR(MATCH(A360&amp;"",tbl_Production[Job Number],0),MATCH(IFERROR(A360+0,A360),tbl_Production[Job Number],0)))="","",INDEX(tbl_Production[Tax Code],IFERROR(MATCH(A360&amp;"",tbl_Production[Job Number],0),MATCH(IFERROR(A360+0,A360),tbl_Production[Job Number],0)))),IFERROR(IF(INDEX(tbl_Consulting[Tax Code],IFERROR(MATCH(A360&amp;"",tbl_Consulting[Job Number],0),MATCH(IFERROR(A360+0,A360),tbl_Consulting[Job Number],0)))="","",INDEX(tbl_Consulting[Tax Code],IFERROR(MATCH(A360&amp;"",tbl_Consulting[Job Number],0),MATCH(IFERROR(A360+0,A360),tbl_Consulting[Job Number],0)))),"")))="","GST 10%",IFERROR(IF(INDEX(tbl_Onsite[Tax Code],IFERROR(MATCH(A360&amp;"",tbl_Onsite[Job Number],0),MATCH(IFERROR(A360+0,A360),tbl_Onsite[Job Number],0)))="","",INDEX(tbl_Onsite[Tax Code],IFERROR(MATCH(A360&amp;"",tbl_Onsite[Job Number],0),MATCH(IFERROR(A360+0,A360),tbl_Onsite[Job Number],0)))),IFERROR(IF(INDEX(tbl_Production[Tax Code],IFERROR(MATCH(A360&amp;"",tbl_Production[Job Number],0),MATCH(IFERROR(A360+0,A360),tbl_Production[Job Number],0)))="","",INDEX(tbl_Production[Tax Code],IFERROR(MATCH(A360&amp;"",tbl_Production[Job Number],0),MATCH(IFERROR(A360+0,A360),tbl_Production[Job Number],0)))),IFERROR(IF(INDEX(tbl_Consulting[Tax Code],IFERROR(MATCH(A360&amp;"",tbl_Consulting[Job Number],0),MATCH(IFERROR(A360+0,A360),tbl_Consulting[Job Number],0)))="","",INDEX(tbl_Consulting[Tax Code],IFERROR(MATCH(A360&amp;"",tbl_Consulting[Job Number],0),MATCH(IFERROR(A360+0,A360),tbl_Consulting[Job Number],0)))),"")))))</f>
        <v/>
      </c>
      <c r="N360" s="26">
        <f>IF(D360="","",IFERROR(INDEX(lst_CCtoGL,MATCH(D360,lst_CCforGL,0)),""))</f>
        <v/>
      </c>
      <c r="O360" s="27">
        <f>IF(E360="","",IF(M360="GST 10%",ROUND(E360*set_GSTRate,2),0))</f>
        <v/>
      </c>
      <c r="P360" s="27">
        <f>IF(E360="","",E360+O360)</f>
        <v/>
      </c>
      <c r="Q360" s="27">
        <f>IF(A360="","",IFERROR(INDEX(tbl_Onsite[Expected Revenue Ex GST],IFERROR(MATCH(A360&amp;"",tbl_Onsite[Job Number],0),MATCH(IFERROR(A360+0,A360),tbl_Onsite[Job Number],0))),IFERROR(INDEX(tbl_Production[Expected Revenue Ex GST],IFERROR(MATCH(A360&amp;"",tbl_Production[Job Number],0),MATCH(IFERROR(A360+0,A360),tbl_Production[Job Number],0))),IFERROR(INDEX(tbl_Consulting[Expected Revenue Ex GST],IFERROR(MATCH(A360&amp;"",tbl_Consulting[Job Number],0),MATCH(IFERROR(A360+0,A360),tbl_Consulting[Job Number],0))),0))))</f>
        <v/>
      </c>
      <c r="R360" s="27">
        <f>IF(A360="","",SUMIFS(tbl_Finance[Ex GST],tbl_Finance[Job Number],A360&amp;""))</f>
        <v/>
      </c>
      <c r="S360" s="27">
        <f>IF(A360="","",Q360-R360)</f>
        <v/>
      </c>
      <c r="T360" s="26">
        <f>IF(A360="","",IF(Q360=0,"No dept value",IF(ROUND(S360,2)=0,"Agrees",IF(S360&gt;0,"Dept higher - to invoice","Xero higher - check dept"))))</f>
        <v/>
      </c>
      <c r="U360" s="22" t="n"/>
      <c r="V360" s="22" t="n"/>
      <c r="W360" s="23" t="n"/>
      <c r="X360" s="23" t="n"/>
      <c r="Y360" s="22" t="n"/>
      <c r="Z360" s="22" t="n"/>
      <c r="AA360" s="26">
        <f>IF(COUNTA(C360,A360,B360,E360)=0,"",IF(C360="","No date - sits outside every month",IF(A360="","No job number",IF(H360="CHECK","Job number is not in the Xero job list",IF(G360="not set up yet","No department has set this job up - nothing can pull through",IF(D360="","No cost centre",IF(AND(U360="Y",B360=""),"Marked posted to Xero but has no invoice number",IF(N360="","Cost centre has no revenue GL on the Lists sheet",IF(T360="Xero higher - check dept","Invoiced more than the department says the job is worth","")))))))))</f>
        <v/>
      </c>
      <c r="AB360" s="28">
        <f>IF(A360="","",COUNTIFS(tbl_Finance[Job Number],A360&amp;"",tbl_Finance[Ex GST],"&lt;&gt;"))</f>
        <v/>
      </c>
      <c r="AC360" s="27">
        <f>IF(A360="","",SUMIFS(tbl_Finance[Ex GST],tbl_Finance[Job Number],A360&amp;""))</f>
        <v/>
      </c>
      <c r="AD360" s="27">
        <f>IF(A360="","",SUMIFS(tbl_Finance[Ex GST],tbl_Finance[Job Number],A360&amp;"",tbl_Finance[Xero Invoice No],"&lt;&gt;"))</f>
        <v/>
      </c>
      <c r="AE360" s="27">
        <f>IF(A360="","",AC360-AD360)</f>
        <v/>
      </c>
      <c r="AF360" s="26">
        <f>IF(A360="","",IFERROR(IF(INDEX(tbl_Onsite[Qwilr Quote],IFERROR(MATCH(A360&amp;"",tbl_Onsite[Job Number],0),MATCH(IFERROR(A360+0,A360),tbl_Onsite[Job Number],0)))="","",INDEX(tbl_Onsite[Qwilr Quote],IFERROR(MATCH(A360&amp;"",tbl_Onsite[Job Number],0),MATCH(IFERROR(A360+0,A360),tbl_Onsite[Job Number],0)))),IFERROR(IF(IF(INDEX(tbl_Production[Current RMS No],IFERROR(MATCH(A360&amp;"",tbl_Production[Job Number],0),MATCH(IFERROR(A360+0,A360),tbl_Production[Job Number],0)))="",INDEX(tbl_Production[Qwilr Quote],IFERROR(MATCH(A360&amp;"",tbl_Production[Job Number],0),MATCH(IFERROR(A360+0,A360),tbl_Production[Job Number],0))),INDEX(tbl_Production[Current RMS No],IFERROR(MATCH(A360&amp;"",tbl_Production[Job Number],0),MATCH(IFERROR(A360+0,A360),tbl_Production[Job Number],0))))="","",IF(INDEX(tbl_Production[Current RMS No],IFERROR(MATCH(A360&amp;"",tbl_Production[Job Number],0),MATCH(IFERROR(A360+0,A360),tbl_Production[Job Number],0)))="",INDEX(tbl_Production[Qwilr Quote],IFERROR(MATCH(A360&amp;"",tbl_Production[Job Number],0),MATCH(IFERROR(A360+0,A360),tbl_Production[Job Number],0))),INDEX(tbl_Production[Current RMS No],IFERROR(MATCH(A360&amp;"",tbl_Production[Job Number],0),MATCH(IFERROR(A360+0,A360),tbl_Production[Job Number],0))))),IFERROR(IF(INDEX(tbl_Consulting[Qwilr Quote],IFERROR(MATCH(A360&amp;"",tbl_Consulting[Job Number],0),MATCH(IFERROR(A360+0,A360),tbl_Consulting[Job Number],0)))="","",INDEX(tbl_Consulting[Qwilr Quote],IFERROR(MATCH(A360&amp;"",tbl_Consulting[Job Number],0),MATCH(IFERROR(A360+0,A360),tbl_Consulting[Job Number],0)))),""))))</f>
        <v/>
      </c>
      <c r="AG360" s="26">
        <f>IF(AF360="","",IF(AND(LEFT(AF360,4)&lt;&gt;"http",IF(G360="Production",set_RMSBase,set_QwilrBase)=""),"",HYPERLINK(IF(LEFT(AF360,4)="http",AF360,IF(G360="Production",set_RMSBase,set_QwilrBase)&amp;AF360),"Open")))</f>
        <v/>
      </c>
      <c r="AH360" s="27">
        <f>IF(A360="","",IFERROR(INDEX(tbl_Production[Total Expense],IFERROR(MATCH(A360&amp;"",tbl_Production[Job Number],0),MATCH(IFERROR(A360+0,A360),tbl_Production[Job Number],0))),IFERROR(INDEX(tbl_Consulting[Total Expense],IFERROR(MATCH(A360&amp;"",tbl_Consulting[Job Number],0),MATCH(IFERROR(A360+0,A360),tbl_Consulting[Job Number],0))),0)))</f>
        <v/>
      </c>
      <c r="AI360" s="27">
        <f>IF(A360="","",AC360-N(AH360))</f>
        <v/>
      </c>
      <c r="AJ360" s="29">
        <f>IFERROR(AI360/AC360,"")</f>
        <v/>
      </c>
      <c r="AK360" s="26">
        <f>IF(A360="","",IFERROR(IF(INDEX(tbl_Onsite[Notes],IFERROR(MATCH(A360&amp;"",tbl_Onsite[Job Number],0),MATCH(IFERROR(A360+0,A360),tbl_Onsite[Job Number],0)))="","",INDEX(tbl_Onsite[Notes],IFERROR(MATCH(A360&amp;"",tbl_Onsite[Job Number],0),MATCH(IFERROR(A360+0,A360),tbl_Onsite[Job Number],0)))),IFERROR(IF(INDEX(tbl_Production[Notes],IFERROR(MATCH(A360&amp;"",tbl_Production[Job Number],0),MATCH(IFERROR(A360+0,A360),tbl_Production[Job Number],0)))="","",INDEX(tbl_Production[Notes],IFERROR(MATCH(A360&amp;"",tbl_Production[Job Number],0),MATCH(IFERROR(A360+0,A360),tbl_Production[Job Number],0)))),IFERROR(IF(INDEX(tbl_Consulting[Notes],IFERROR(MATCH(A360&amp;"",tbl_Consulting[Job Number],0),MATCH(IFERROR(A360+0,A360),tbl_Consulting[Job Number],0)))="","",INDEX(tbl_Consulting[Notes],IFERROR(MATCH(A360&amp;"",tbl_Consulting[Job Number],0),MATCH(IFERROR(A360+0,A360),tbl_Consulting[Job Number],0)))),""))))</f>
        <v/>
      </c>
    </row>
    <row r="361" ht="15" customHeight="1">
      <c r="A361" s="22" t="n"/>
      <c r="B361" s="22" t="n"/>
      <c r="C361" s="23" t="n"/>
      <c r="D361" s="22" t="n"/>
      <c r="E361" s="24" t="n"/>
      <c r="F361" s="25">
        <f>IF(C361="","",EOMONTH(C361,0))</f>
        <v/>
      </c>
      <c r="G361" s="26">
        <f>IF(A361="","",IF(COUNTIF(tbl_Onsite[Job Number],A361&amp;"")&gt;0,"Onsite",IF(COUNTIF(tbl_Production[Job Number],A361&amp;"")&gt;0,"Production",IF(COUNTIF(tbl_Consulting[Job Number],A361&amp;"")&gt;0,"Consulting","not set up yet"))))</f>
        <v/>
      </c>
      <c r="H361" s="26">
        <f>IF(A361="","",IF(COUNTIF(lst_Jobs,A361&amp;"")&gt;0,"OK","CHECK"))</f>
        <v/>
      </c>
      <c r="I361" s="26">
        <f>IF(A361="","",IFERROR(INDEX(lst_JobName,MATCH(A361&amp;"",lst_Jobs,0)),""))</f>
        <v/>
      </c>
      <c r="J361" s="26">
        <f>IF(A361="","",IFERROR(IF(INDEX(tbl_Onsite[Client],IFERROR(MATCH(A361&amp;"",tbl_Onsite[Job Number],0),MATCH(IFERROR(A361+0,A361),tbl_Onsite[Job Number],0)))="","",INDEX(tbl_Onsite[Client],IFERROR(MATCH(A361&amp;"",tbl_Onsite[Job Number],0),MATCH(IFERROR(A361+0,A361),tbl_Onsite[Job Number],0)))),IFERROR(IF(INDEX(tbl_Production[Client],IFERROR(MATCH(A361&amp;"",tbl_Production[Job Number],0),MATCH(IFERROR(A361+0,A361),tbl_Production[Job Number],0)))="","",INDEX(tbl_Production[Client],IFERROR(MATCH(A361&amp;"",tbl_Production[Job Number],0),MATCH(IFERROR(A361+0,A361),tbl_Production[Job Number],0)))),IFERROR(IF(INDEX(tbl_Consulting[Client],IFERROR(MATCH(A361&amp;"",tbl_Consulting[Job Number],0),MATCH(IFERROR(A361+0,A361),tbl_Consulting[Job Number],0)))="","",INDEX(tbl_Consulting[Client],IFERROR(MATCH(A361&amp;"",tbl_Consulting[Job Number],0),MATCH(IFERROR(A361+0,A361),tbl_Consulting[Job Number],0)))),""))))</f>
        <v/>
      </c>
      <c r="K361" s="26">
        <f>IF(A361="","",IFERROR(IF(INDEX(tbl_Onsite[Job Description],IFERROR(MATCH(A361&amp;"",tbl_Onsite[Job Number],0),MATCH(IFERROR(A361+0,A361),tbl_Onsite[Job Number],0)))="","",INDEX(tbl_Onsite[Job Description],IFERROR(MATCH(A361&amp;"",tbl_Onsite[Job Number],0),MATCH(IFERROR(A361+0,A361),tbl_Onsite[Job Number],0)))),IFERROR(IF(INDEX(tbl_Production[Job Description],IFERROR(MATCH(A361&amp;"",tbl_Production[Job Number],0),MATCH(IFERROR(A361+0,A361),tbl_Production[Job Number],0)))="","",INDEX(tbl_Production[Job Description],IFERROR(MATCH(A361&amp;"",tbl_Production[Job Number],0),MATCH(IFERROR(A361+0,A361),tbl_Production[Job Number],0)))),IFERROR(IF(INDEX(tbl_Consulting[Job Description],IFERROR(MATCH(A361&amp;"",tbl_Consulting[Job Number],0),MATCH(IFERROR(A361+0,A361),tbl_Consulting[Job Number],0)))="","",INDEX(tbl_Consulting[Job Description],IFERROR(MATCH(A361&amp;"",tbl_Consulting[Job Number],0),MATCH(IFERROR(A361+0,A361),tbl_Consulting[Job Number],0)))),""))))</f>
        <v/>
      </c>
      <c r="L361" s="26">
        <f>IF(A361="","",IFERROR(IF(INDEX(tbl_Onsite[Invoice Type],IFERROR(MATCH(A361&amp;"",tbl_Onsite[Job Number],0),MATCH(IFERROR(A361+0,A361),tbl_Onsite[Job Number],0)))="","",INDEX(tbl_Onsite[Invoice Type],IFERROR(MATCH(A361&amp;"",tbl_Onsite[Job Number],0),MATCH(IFERROR(A361+0,A361),tbl_Onsite[Job Number],0)))),IFERROR(IF(INDEX(tbl_Production[Invoice Type],IFERROR(MATCH(A361&amp;"",tbl_Production[Job Number],0),MATCH(IFERROR(A361+0,A361),tbl_Production[Job Number],0)))="","",INDEX(tbl_Production[Invoice Type],IFERROR(MATCH(A361&amp;"",tbl_Production[Job Number],0),MATCH(IFERROR(A361+0,A361),tbl_Production[Job Number],0)))),IFERROR(IF(INDEX(tbl_Consulting[Invoice Type],IFERROR(MATCH(A361&amp;"",tbl_Consulting[Job Number],0),MATCH(IFERROR(A361+0,A361),tbl_Consulting[Job Number],0)))="","",INDEX(tbl_Consulting[Invoice Type],IFERROR(MATCH(A361&amp;"",tbl_Consulting[Job Number],0),MATCH(IFERROR(A361+0,A361),tbl_Consulting[Job Number],0)))),""))))</f>
        <v/>
      </c>
      <c r="M361" s="26">
        <f>IF(A361="","",IF(IFERROR(IF(INDEX(tbl_Onsite[Tax Code],IFERROR(MATCH(A361&amp;"",tbl_Onsite[Job Number],0),MATCH(IFERROR(A361+0,A361),tbl_Onsite[Job Number],0)))="","",INDEX(tbl_Onsite[Tax Code],IFERROR(MATCH(A361&amp;"",tbl_Onsite[Job Number],0),MATCH(IFERROR(A361+0,A361),tbl_Onsite[Job Number],0)))),IFERROR(IF(INDEX(tbl_Production[Tax Code],IFERROR(MATCH(A361&amp;"",tbl_Production[Job Number],0),MATCH(IFERROR(A361+0,A361),tbl_Production[Job Number],0)))="","",INDEX(tbl_Production[Tax Code],IFERROR(MATCH(A361&amp;"",tbl_Production[Job Number],0),MATCH(IFERROR(A361+0,A361),tbl_Production[Job Number],0)))),IFERROR(IF(INDEX(tbl_Consulting[Tax Code],IFERROR(MATCH(A361&amp;"",tbl_Consulting[Job Number],0),MATCH(IFERROR(A361+0,A361),tbl_Consulting[Job Number],0)))="","",INDEX(tbl_Consulting[Tax Code],IFERROR(MATCH(A361&amp;"",tbl_Consulting[Job Number],0),MATCH(IFERROR(A361+0,A361),tbl_Consulting[Job Number],0)))),"")))="","GST 10%",IFERROR(IF(INDEX(tbl_Onsite[Tax Code],IFERROR(MATCH(A361&amp;"",tbl_Onsite[Job Number],0),MATCH(IFERROR(A361+0,A361),tbl_Onsite[Job Number],0)))="","",INDEX(tbl_Onsite[Tax Code],IFERROR(MATCH(A361&amp;"",tbl_Onsite[Job Number],0),MATCH(IFERROR(A361+0,A361),tbl_Onsite[Job Number],0)))),IFERROR(IF(INDEX(tbl_Production[Tax Code],IFERROR(MATCH(A361&amp;"",tbl_Production[Job Number],0),MATCH(IFERROR(A361+0,A361),tbl_Production[Job Number],0)))="","",INDEX(tbl_Production[Tax Code],IFERROR(MATCH(A361&amp;"",tbl_Production[Job Number],0),MATCH(IFERROR(A361+0,A361),tbl_Production[Job Number],0)))),IFERROR(IF(INDEX(tbl_Consulting[Tax Code],IFERROR(MATCH(A361&amp;"",tbl_Consulting[Job Number],0),MATCH(IFERROR(A361+0,A361),tbl_Consulting[Job Number],0)))="","",INDEX(tbl_Consulting[Tax Code],IFERROR(MATCH(A361&amp;"",tbl_Consulting[Job Number],0),MATCH(IFERROR(A361+0,A361),tbl_Consulting[Job Number],0)))),"")))))</f>
        <v/>
      </c>
      <c r="N361" s="26">
        <f>IF(D361="","",IFERROR(INDEX(lst_CCtoGL,MATCH(D361,lst_CCforGL,0)),""))</f>
        <v/>
      </c>
      <c r="O361" s="27">
        <f>IF(E361="","",IF(M361="GST 10%",ROUND(E361*set_GSTRate,2),0))</f>
        <v/>
      </c>
      <c r="P361" s="27">
        <f>IF(E361="","",E361+O361)</f>
        <v/>
      </c>
      <c r="Q361" s="27">
        <f>IF(A361="","",IFERROR(INDEX(tbl_Onsite[Expected Revenue Ex GST],IFERROR(MATCH(A361&amp;"",tbl_Onsite[Job Number],0),MATCH(IFERROR(A361+0,A361),tbl_Onsite[Job Number],0))),IFERROR(INDEX(tbl_Production[Expected Revenue Ex GST],IFERROR(MATCH(A361&amp;"",tbl_Production[Job Number],0),MATCH(IFERROR(A361+0,A361),tbl_Production[Job Number],0))),IFERROR(INDEX(tbl_Consulting[Expected Revenue Ex GST],IFERROR(MATCH(A361&amp;"",tbl_Consulting[Job Number],0),MATCH(IFERROR(A361+0,A361),tbl_Consulting[Job Number],0))),0))))</f>
        <v/>
      </c>
      <c r="R361" s="27">
        <f>IF(A361="","",SUMIFS(tbl_Finance[Ex GST],tbl_Finance[Job Number],A361&amp;""))</f>
        <v/>
      </c>
      <c r="S361" s="27">
        <f>IF(A361="","",Q361-R361)</f>
        <v/>
      </c>
      <c r="T361" s="26">
        <f>IF(A361="","",IF(Q361=0,"No dept value",IF(ROUND(S361,2)=0,"Agrees",IF(S361&gt;0,"Dept higher - to invoice","Xero higher - check dept"))))</f>
        <v/>
      </c>
      <c r="U361" s="22" t="n"/>
      <c r="V361" s="22" t="n"/>
      <c r="W361" s="23" t="n"/>
      <c r="X361" s="23" t="n"/>
      <c r="Y361" s="22" t="n"/>
      <c r="Z361" s="22" t="n"/>
      <c r="AA361" s="26">
        <f>IF(COUNTA(C361,A361,B361,E361)=0,"",IF(C361="","No date - sits outside every month",IF(A361="","No job number",IF(H361="CHECK","Job number is not in the Xero job list",IF(G361="not set up yet","No department has set this job up - nothing can pull through",IF(D361="","No cost centre",IF(AND(U361="Y",B361=""),"Marked posted to Xero but has no invoice number",IF(N361="","Cost centre has no revenue GL on the Lists sheet",IF(T361="Xero higher - check dept","Invoiced more than the department says the job is worth","")))))))))</f>
        <v/>
      </c>
      <c r="AB361" s="28">
        <f>IF(A361="","",COUNTIFS(tbl_Finance[Job Number],A361&amp;"",tbl_Finance[Ex GST],"&lt;&gt;"))</f>
        <v/>
      </c>
      <c r="AC361" s="27">
        <f>IF(A361="","",SUMIFS(tbl_Finance[Ex GST],tbl_Finance[Job Number],A361&amp;""))</f>
        <v/>
      </c>
      <c r="AD361" s="27">
        <f>IF(A361="","",SUMIFS(tbl_Finance[Ex GST],tbl_Finance[Job Number],A361&amp;"",tbl_Finance[Xero Invoice No],"&lt;&gt;"))</f>
        <v/>
      </c>
      <c r="AE361" s="27">
        <f>IF(A361="","",AC361-AD361)</f>
        <v/>
      </c>
      <c r="AF361" s="26">
        <f>IF(A361="","",IFERROR(IF(INDEX(tbl_Onsite[Qwilr Quote],IFERROR(MATCH(A361&amp;"",tbl_Onsite[Job Number],0),MATCH(IFERROR(A361+0,A361),tbl_Onsite[Job Number],0)))="","",INDEX(tbl_Onsite[Qwilr Quote],IFERROR(MATCH(A361&amp;"",tbl_Onsite[Job Number],0),MATCH(IFERROR(A361+0,A361),tbl_Onsite[Job Number],0)))),IFERROR(IF(IF(INDEX(tbl_Production[Current RMS No],IFERROR(MATCH(A361&amp;"",tbl_Production[Job Number],0),MATCH(IFERROR(A361+0,A361),tbl_Production[Job Number],0)))="",INDEX(tbl_Production[Qwilr Quote],IFERROR(MATCH(A361&amp;"",tbl_Production[Job Number],0),MATCH(IFERROR(A361+0,A361),tbl_Production[Job Number],0))),INDEX(tbl_Production[Current RMS No],IFERROR(MATCH(A361&amp;"",tbl_Production[Job Number],0),MATCH(IFERROR(A361+0,A361),tbl_Production[Job Number],0))))="","",IF(INDEX(tbl_Production[Current RMS No],IFERROR(MATCH(A361&amp;"",tbl_Production[Job Number],0),MATCH(IFERROR(A361+0,A361),tbl_Production[Job Number],0)))="",INDEX(tbl_Production[Qwilr Quote],IFERROR(MATCH(A361&amp;"",tbl_Production[Job Number],0),MATCH(IFERROR(A361+0,A361),tbl_Production[Job Number],0))),INDEX(tbl_Production[Current RMS No],IFERROR(MATCH(A361&amp;"",tbl_Production[Job Number],0),MATCH(IFERROR(A361+0,A361),tbl_Production[Job Number],0))))),IFERROR(IF(INDEX(tbl_Consulting[Qwilr Quote],IFERROR(MATCH(A361&amp;"",tbl_Consulting[Job Number],0),MATCH(IFERROR(A361+0,A361),tbl_Consulting[Job Number],0)))="","",INDEX(tbl_Consulting[Qwilr Quote],IFERROR(MATCH(A361&amp;"",tbl_Consulting[Job Number],0),MATCH(IFERROR(A361+0,A361),tbl_Consulting[Job Number],0)))),""))))</f>
        <v/>
      </c>
      <c r="AG361" s="26">
        <f>IF(AF361="","",IF(AND(LEFT(AF361,4)&lt;&gt;"http",IF(G361="Production",set_RMSBase,set_QwilrBase)=""),"",HYPERLINK(IF(LEFT(AF361,4)="http",AF361,IF(G361="Production",set_RMSBase,set_QwilrBase)&amp;AF361),"Open")))</f>
        <v/>
      </c>
      <c r="AH361" s="27">
        <f>IF(A361="","",IFERROR(INDEX(tbl_Production[Total Expense],IFERROR(MATCH(A361&amp;"",tbl_Production[Job Number],0),MATCH(IFERROR(A361+0,A361),tbl_Production[Job Number],0))),IFERROR(INDEX(tbl_Consulting[Total Expense],IFERROR(MATCH(A361&amp;"",tbl_Consulting[Job Number],0),MATCH(IFERROR(A361+0,A361),tbl_Consulting[Job Number],0))),0)))</f>
        <v/>
      </c>
      <c r="AI361" s="27">
        <f>IF(A361="","",AC361-N(AH361))</f>
        <v/>
      </c>
      <c r="AJ361" s="29">
        <f>IFERROR(AI361/AC361,"")</f>
        <v/>
      </c>
      <c r="AK361" s="26">
        <f>IF(A361="","",IFERROR(IF(INDEX(tbl_Onsite[Notes],IFERROR(MATCH(A361&amp;"",tbl_Onsite[Job Number],0),MATCH(IFERROR(A361+0,A361),tbl_Onsite[Job Number],0)))="","",INDEX(tbl_Onsite[Notes],IFERROR(MATCH(A361&amp;"",tbl_Onsite[Job Number],0),MATCH(IFERROR(A361+0,A361),tbl_Onsite[Job Number],0)))),IFERROR(IF(INDEX(tbl_Production[Notes],IFERROR(MATCH(A361&amp;"",tbl_Production[Job Number],0),MATCH(IFERROR(A361+0,A361),tbl_Production[Job Number],0)))="","",INDEX(tbl_Production[Notes],IFERROR(MATCH(A361&amp;"",tbl_Production[Job Number],0),MATCH(IFERROR(A361+0,A361),tbl_Production[Job Number],0)))),IFERROR(IF(INDEX(tbl_Consulting[Notes],IFERROR(MATCH(A361&amp;"",tbl_Consulting[Job Number],0),MATCH(IFERROR(A361+0,A361),tbl_Consulting[Job Number],0)))="","",INDEX(tbl_Consulting[Notes],IFERROR(MATCH(A361&amp;"",tbl_Consulting[Job Number],0),MATCH(IFERROR(A361+0,A361),tbl_Consulting[Job Number],0)))),""))))</f>
        <v/>
      </c>
    </row>
    <row r="362" ht="15" customHeight="1">
      <c r="A362" s="22" t="n"/>
      <c r="B362" s="22" t="n"/>
      <c r="C362" s="23" t="n"/>
      <c r="D362" s="22" t="n"/>
      <c r="E362" s="24" t="n"/>
      <c r="F362" s="25">
        <f>IF(C362="","",EOMONTH(C362,0))</f>
        <v/>
      </c>
      <c r="G362" s="26">
        <f>IF(A362="","",IF(COUNTIF(tbl_Onsite[Job Number],A362&amp;"")&gt;0,"Onsite",IF(COUNTIF(tbl_Production[Job Number],A362&amp;"")&gt;0,"Production",IF(COUNTIF(tbl_Consulting[Job Number],A362&amp;"")&gt;0,"Consulting","not set up yet"))))</f>
        <v/>
      </c>
      <c r="H362" s="26">
        <f>IF(A362="","",IF(COUNTIF(lst_Jobs,A362&amp;"")&gt;0,"OK","CHECK"))</f>
        <v/>
      </c>
      <c r="I362" s="26">
        <f>IF(A362="","",IFERROR(INDEX(lst_JobName,MATCH(A362&amp;"",lst_Jobs,0)),""))</f>
        <v/>
      </c>
      <c r="J362" s="26">
        <f>IF(A362="","",IFERROR(IF(INDEX(tbl_Onsite[Client],IFERROR(MATCH(A362&amp;"",tbl_Onsite[Job Number],0),MATCH(IFERROR(A362+0,A362),tbl_Onsite[Job Number],0)))="","",INDEX(tbl_Onsite[Client],IFERROR(MATCH(A362&amp;"",tbl_Onsite[Job Number],0),MATCH(IFERROR(A362+0,A362),tbl_Onsite[Job Number],0)))),IFERROR(IF(INDEX(tbl_Production[Client],IFERROR(MATCH(A362&amp;"",tbl_Production[Job Number],0),MATCH(IFERROR(A362+0,A362),tbl_Production[Job Number],0)))="","",INDEX(tbl_Production[Client],IFERROR(MATCH(A362&amp;"",tbl_Production[Job Number],0),MATCH(IFERROR(A362+0,A362),tbl_Production[Job Number],0)))),IFERROR(IF(INDEX(tbl_Consulting[Client],IFERROR(MATCH(A362&amp;"",tbl_Consulting[Job Number],0),MATCH(IFERROR(A362+0,A362),tbl_Consulting[Job Number],0)))="","",INDEX(tbl_Consulting[Client],IFERROR(MATCH(A362&amp;"",tbl_Consulting[Job Number],0),MATCH(IFERROR(A362+0,A362),tbl_Consulting[Job Number],0)))),""))))</f>
        <v/>
      </c>
      <c r="K362" s="26">
        <f>IF(A362="","",IFERROR(IF(INDEX(tbl_Onsite[Job Description],IFERROR(MATCH(A362&amp;"",tbl_Onsite[Job Number],0),MATCH(IFERROR(A362+0,A362),tbl_Onsite[Job Number],0)))="","",INDEX(tbl_Onsite[Job Description],IFERROR(MATCH(A362&amp;"",tbl_Onsite[Job Number],0),MATCH(IFERROR(A362+0,A362),tbl_Onsite[Job Number],0)))),IFERROR(IF(INDEX(tbl_Production[Job Description],IFERROR(MATCH(A362&amp;"",tbl_Production[Job Number],0),MATCH(IFERROR(A362+0,A362),tbl_Production[Job Number],0)))="","",INDEX(tbl_Production[Job Description],IFERROR(MATCH(A362&amp;"",tbl_Production[Job Number],0),MATCH(IFERROR(A362+0,A362),tbl_Production[Job Number],0)))),IFERROR(IF(INDEX(tbl_Consulting[Job Description],IFERROR(MATCH(A362&amp;"",tbl_Consulting[Job Number],0),MATCH(IFERROR(A362+0,A362),tbl_Consulting[Job Number],0)))="","",INDEX(tbl_Consulting[Job Description],IFERROR(MATCH(A362&amp;"",tbl_Consulting[Job Number],0),MATCH(IFERROR(A362+0,A362),tbl_Consulting[Job Number],0)))),""))))</f>
        <v/>
      </c>
      <c r="L362" s="26">
        <f>IF(A362="","",IFERROR(IF(INDEX(tbl_Onsite[Invoice Type],IFERROR(MATCH(A362&amp;"",tbl_Onsite[Job Number],0),MATCH(IFERROR(A362+0,A362),tbl_Onsite[Job Number],0)))="","",INDEX(tbl_Onsite[Invoice Type],IFERROR(MATCH(A362&amp;"",tbl_Onsite[Job Number],0),MATCH(IFERROR(A362+0,A362),tbl_Onsite[Job Number],0)))),IFERROR(IF(INDEX(tbl_Production[Invoice Type],IFERROR(MATCH(A362&amp;"",tbl_Production[Job Number],0),MATCH(IFERROR(A362+0,A362),tbl_Production[Job Number],0)))="","",INDEX(tbl_Production[Invoice Type],IFERROR(MATCH(A362&amp;"",tbl_Production[Job Number],0),MATCH(IFERROR(A362+0,A362),tbl_Production[Job Number],0)))),IFERROR(IF(INDEX(tbl_Consulting[Invoice Type],IFERROR(MATCH(A362&amp;"",tbl_Consulting[Job Number],0),MATCH(IFERROR(A362+0,A362),tbl_Consulting[Job Number],0)))="","",INDEX(tbl_Consulting[Invoice Type],IFERROR(MATCH(A362&amp;"",tbl_Consulting[Job Number],0),MATCH(IFERROR(A362+0,A362),tbl_Consulting[Job Number],0)))),""))))</f>
        <v/>
      </c>
      <c r="M362" s="26">
        <f>IF(A362="","",IF(IFERROR(IF(INDEX(tbl_Onsite[Tax Code],IFERROR(MATCH(A362&amp;"",tbl_Onsite[Job Number],0),MATCH(IFERROR(A362+0,A362),tbl_Onsite[Job Number],0)))="","",INDEX(tbl_Onsite[Tax Code],IFERROR(MATCH(A362&amp;"",tbl_Onsite[Job Number],0),MATCH(IFERROR(A362+0,A362),tbl_Onsite[Job Number],0)))),IFERROR(IF(INDEX(tbl_Production[Tax Code],IFERROR(MATCH(A362&amp;"",tbl_Production[Job Number],0),MATCH(IFERROR(A362+0,A362),tbl_Production[Job Number],0)))="","",INDEX(tbl_Production[Tax Code],IFERROR(MATCH(A362&amp;"",tbl_Production[Job Number],0),MATCH(IFERROR(A362+0,A362),tbl_Production[Job Number],0)))),IFERROR(IF(INDEX(tbl_Consulting[Tax Code],IFERROR(MATCH(A362&amp;"",tbl_Consulting[Job Number],0),MATCH(IFERROR(A362+0,A362),tbl_Consulting[Job Number],0)))="","",INDEX(tbl_Consulting[Tax Code],IFERROR(MATCH(A362&amp;"",tbl_Consulting[Job Number],0),MATCH(IFERROR(A362+0,A362),tbl_Consulting[Job Number],0)))),"")))="","GST 10%",IFERROR(IF(INDEX(tbl_Onsite[Tax Code],IFERROR(MATCH(A362&amp;"",tbl_Onsite[Job Number],0),MATCH(IFERROR(A362+0,A362),tbl_Onsite[Job Number],0)))="","",INDEX(tbl_Onsite[Tax Code],IFERROR(MATCH(A362&amp;"",tbl_Onsite[Job Number],0),MATCH(IFERROR(A362+0,A362),tbl_Onsite[Job Number],0)))),IFERROR(IF(INDEX(tbl_Production[Tax Code],IFERROR(MATCH(A362&amp;"",tbl_Production[Job Number],0),MATCH(IFERROR(A362+0,A362),tbl_Production[Job Number],0)))="","",INDEX(tbl_Production[Tax Code],IFERROR(MATCH(A362&amp;"",tbl_Production[Job Number],0),MATCH(IFERROR(A362+0,A362),tbl_Production[Job Number],0)))),IFERROR(IF(INDEX(tbl_Consulting[Tax Code],IFERROR(MATCH(A362&amp;"",tbl_Consulting[Job Number],0),MATCH(IFERROR(A362+0,A362),tbl_Consulting[Job Number],0)))="","",INDEX(tbl_Consulting[Tax Code],IFERROR(MATCH(A362&amp;"",tbl_Consulting[Job Number],0),MATCH(IFERROR(A362+0,A362),tbl_Consulting[Job Number],0)))),"")))))</f>
        <v/>
      </c>
      <c r="N362" s="26">
        <f>IF(D362="","",IFERROR(INDEX(lst_CCtoGL,MATCH(D362,lst_CCforGL,0)),""))</f>
        <v/>
      </c>
      <c r="O362" s="27">
        <f>IF(E362="","",IF(M362="GST 10%",ROUND(E362*set_GSTRate,2),0))</f>
        <v/>
      </c>
      <c r="P362" s="27">
        <f>IF(E362="","",E362+O362)</f>
        <v/>
      </c>
      <c r="Q362" s="27">
        <f>IF(A362="","",IFERROR(INDEX(tbl_Onsite[Expected Revenue Ex GST],IFERROR(MATCH(A362&amp;"",tbl_Onsite[Job Number],0),MATCH(IFERROR(A362+0,A362),tbl_Onsite[Job Number],0))),IFERROR(INDEX(tbl_Production[Expected Revenue Ex GST],IFERROR(MATCH(A362&amp;"",tbl_Production[Job Number],0),MATCH(IFERROR(A362+0,A362),tbl_Production[Job Number],0))),IFERROR(INDEX(tbl_Consulting[Expected Revenue Ex GST],IFERROR(MATCH(A362&amp;"",tbl_Consulting[Job Number],0),MATCH(IFERROR(A362+0,A362),tbl_Consulting[Job Number],0))),0))))</f>
        <v/>
      </c>
      <c r="R362" s="27">
        <f>IF(A362="","",SUMIFS(tbl_Finance[Ex GST],tbl_Finance[Job Number],A362&amp;""))</f>
        <v/>
      </c>
      <c r="S362" s="27">
        <f>IF(A362="","",Q362-R362)</f>
        <v/>
      </c>
      <c r="T362" s="26">
        <f>IF(A362="","",IF(Q362=0,"No dept value",IF(ROUND(S362,2)=0,"Agrees",IF(S362&gt;0,"Dept higher - to invoice","Xero higher - check dept"))))</f>
        <v/>
      </c>
      <c r="U362" s="22" t="n"/>
      <c r="V362" s="22" t="n"/>
      <c r="W362" s="23" t="n"/>
      <c r="X362" s="23" t="n"/>
      <c r="Y362" s="22" t="n"/>
      <c r="Z362" s="22" t="n"/>
      <c r="AA362" s="26">
        <f>IF(COUNTA(C362,A362,B362,E362)=0,"",IF(C362="","No date - sits outside every month",IF(A362="","No job number",IF(H362="CHECK","Job number is not in the Xero job list",IF(G362="not set up yet","No department has set this job up - nothing can pull through",IF(D362="","No cost centre",IF(AND(U362="Y",B362=""),"Marked posted to Xero but has no invoice number",IF(N362="","Cost centre has no revenue GL on the Lists sheet",IF(T362="Xero higher - check dept","Invoiced more than the department says the job is worth","")))))))))</f>
        <v/>
      </c>
      <c r="AB362" s="28">
        <f>IF(A362="","",COUNTIFS(tbl_Finance[Job Number],A362&amp;"",tbl_Finance[Ex GST],"&lt;&gt;"))</f>
        <v/>
      </c>
      <c r="AC362" s="27">
        <f>IF(A362="","",SUMIFS(tbl_Finance[Ex GST],tbl_Finance[Job Number],A362&amp;""))</f>
        <v/>
      </c>
      <c r="AD362" s="27">
        <f>IF(A362="","",SUMIFS(tbl_Finance[Ex GST],tbl_Finance[Job Number],A362&amp;"",tbl_Finance[Xero Invoice No],"&lt;&gt;"))</f>
        <v/>
      </c>
      <c r="AE362" s="27">
        <f>IF(A362="","",AC362-AD362)</f>
        <v/>
      </c>
      <c r="AF362" s="26">
        <f>IF(A362="","",IFERROR(IF(INDEX(tbl_Onsite[Qwilr Quote],IFERROR(MATCH(A362&amp;"",tbl_Onsite[Job Number],0),MATCH(IFERROR(A362+0,A362),tbl_Onsite[Job Number],0)))="","",INDEX(tbl_Onsite[Qwilr Quote],IFERROR(MATCH(A362&amp;"",tbl_Onsite[Job Number],0),MATCH(IFERROR(A362+0,A362),tbl_Onsite[Job Number],0)))),IFERROR(IF(IF(INDEX(tbl_Production[Current RMS No],IFERROR(MATCH(A362&amp;"",tbl_Production[Job Number],0),MATCH(IFERROR(A362+0,A362),tbl_Production[Job Number],0)))="",INDEX(tbl_Production[Qwilr Quote],IFERROR(MATCH(A362&amp;"",tbl_Production[Job Number],0),MATCH(IFERROR(A362+0,A362),tbl_Production[Job Number],0))),INDEX(tbl_Production[Current RMS No],IFERROR(MATCH(A362&amp;"",tbl_Production[Job Number],0),MATCH(IFERROR(A362+0,A362),tbl_Production[Job Number],0))))="","",IF(INDEX(tbl_Production[Current RMS No],IFERROR(MATCH(A362&amp;"",tbl_Production[Job Number],0),MATCH(IFERROR(A362+0,A362),tbl_Production[Job Number],0)))="",INDEX(tbl_Production[Qwilr Quote],IFERROR(MATCH(A362&amp;"",tbl_Production[Job Number],0),MATCH(IFERROR(A362+0,A362),tbl_Production[Job Number],0))),INDEX(tbl_Production[Current RMS No],IFERROR(MATCH(A362&amp;"",tbl_Production[Job Number],0),MATCH(IFERROR(A362+0,A362),tbl_Production[Job Number],0))))),IFERROR(IF(INDEX(tbl_Consulting[Qwilr Quote],IFERROR(MATCH(A362&amp;"",tbl_Consulting[Job Number],0),MATCH(IFERROR(A362+0,A362),tbl_Consulting[Job Number],0)))="","",INDEX(tbl_Consulting[Qwilr Quote],IFERROR(MATCH(A362&amp;"",tbl_Consulting[Job Number],0),MATCH(IFERROR(A362+0,A362),tbl_Consulting[Job Number],0)))),""))))</f>
        <v/>
      </c>
      <c r="AG362" s="26">
        <f>IF(AF362="","",IF(AND(LEFT(AF362,4)&lt;&gt;"http",IF(G362="Production",set_RMSBase,set_QwilrBase)=""),"",HYPERLINK(IF(LEFT(AF362,4)="http",AF362,IF(G362="Production",set_RMSBase,set_QwilrBase)&amp;AF362),"Open")))</f>
        <v/>
      </c>
      <c r="AH362" s="27">
        <f>IF(A362="","",IFERROR(INDEX(tbl_Production[Total Expense],IFERROR(MATCH(A362&amp;"",tbl_Production[Job Number],0),MATCH(IFERROR(A362+0,A362),tbl_Production[Job Number],0))),IFERROR(INDEX(tbl_Consulting[Total Expense],IFERROR(MATCH(A362&amp;"",tbl_Consulting[Job Number],0),MATCH(IFERROR(A362+0,A362),tbl_Consulting[Job Number],0))),0)))</f>
        <v/>
      </c>
      <c r="AI362" s="27">
        <f>IF(A362="","",AC362-N(AH362))</f>
        <v/>
      </c>
      <c r="AJ362" s="29">
        <f>IFERROR(AI362/AC362,"")</f>
        <v/>
      </c>
      <c r="AK362" s="26">
        <f>IF(A362="","",IFERROR(IF(INDEX(tbl_Onsite[Notes],IFERROR(MATCH(A362&amp;"",tbl_Onsite[Job Number],0),MATCH(IFERROR(A362+0,A362),tbl_Onsite[Job Number],0)))="","",INDEX(tbl_Onsite[Notes],IFERROR(MATCH(A362&amp;"",tbl_Onsite[Job Number],0),MATCH(IFERROR(A362+0,A362),tbl_Onsite[Job Number],0)))),IFERROR(IF(INDEX(tbl_Production[Notes],IFERROR(MATCH(A362&amp;"",tbl_Production[Job Number],0),MATCH(IFERROR(A362+0,A362),tbl_Production[Job Number],0)))="","",INDEX(tbl_Production[Notes],IFERROR(MATCH(A362&amp;"",tbl_Production[Job Number],0),MATCH(IFERROR(A362+0,A362),tbl_Production[Job Number],0)))),IFERROR(IF(INDEX(tbl_Consulting[Notes],IFERROR(MATCH(A362&amp;"",tbl_Consulting[Job Number],0),MATCH(IFERROR(A362+0,A362),tbl_Consulting[Job Number],0)))="","",INDEX(tbl_Consulting[Notes],IFERROR(MATCH(A362&amp;"",tbl_Consulting[Job Number],0),MATCH(IFERROR(A362+0,A362),tbl_Consulting[Job Number],0)))),""))))</f>
        <v/>
      </c>
    </row>
    <row r="363" ht="15" customHeight="1">
      <c r="A363" s="22" t="n"/>
      <c r="B363" s="22" t="n"/>
      <c r="C363" s="23" t="n"/>
      <c r="D363" s="22" t="n"/>
      <c r="E363" s="24" t="n"/>
      <c r="F363" s="25">
        <f>IF(C363="","",EOMONTH(C363,0))</f>
        <v/>
      </c>
      <c r="G363" s="26">
        <f>IF(A363="","",IF(COUNTIF(tbl_Onsite[Job Number],A363&amp;"")&gt;0,"Onsite",IF(COUNTIF(tbl_Production[Job Number],A363&amp;"")&gt;0,"Production",IF(COUNTIF(tbl_Consulting[Job Number],A363&amp;"")&gt;0,"Consulting","not set up yet"))))</f>
        <v/>
      </c>
      <c r="H363" s="26">
        <f>IF(A363="","",IF(COUNTIF(lst_Jobs,A363&amp;"")&gt;0,"OK","CHECK"))</f>
        <v/>
      </c>
      <c r="I363" s="26">
        <f>IF(A363="","",IFERROR(INDEX(lst_JobName,MATCH(A363&amp;"",lst_Jobs,0)),""))</f>
        <v/>
      </c>
      <c r="J363" s="26">
        <f>IF(A363="","",IFERROR(IF(INDEX(tbl_Onsite[Client],IFERROR(MATCH(A363&amp;"",tbl_Onsite[Job Number],0),MATCH(IFERROR(A363+0,A363),tbl_Onsite[Job Number],0)))="","",INDEX(tbl_Onsite[Client],IFERROR(MATCH(A363&amp;"",tbl_Onsite[Job Number],0),MATCH(IFERROR(A363+0,A363),tbl_Onsite[Job Number],0)))),IFERROR(IF(INDEX(tbl_Production[Client],IFERROR(MATCH(A363&amp;"",tbl_Production[Job Number],0),MATCH(IFERROR(A363+0,A363),tbl_Production[Job Number],0)))="","",INDEX(tbl_Production[Client],IFERROR(MATCH(A363&amp;"",tbl_Production[Job Number],0),MATCH(IFERROR(A363+0,A363),tbl_Production[Job Number],0)))),IFERROR(IF(INDEX(tbl_Consulting[Client],IFERROR(MATCH(A363&amp;"",tbl_Consulting[Job Number],0),MATCH(IFERROR(A363+0,A363),tbl_Consulting[Job Number],0)))="","",INDEX(tbl_Consulting[Client],IFERROR(MATCH(A363&amp;"",tbl_Consulting[Job Number],0),MATCH(IFERROR(A363+0,A363),tbl_Consulting[Job Number],0)))),""))))</f>
        <v/>
      </c>
      <c r="K363" s="26">
        <f>IF(A363="","",IFERROR(IF(INDEX(tbl_Onsite[Job Description],IFERROR(MATCH(A363&amp;"",tbl_Onsite[Job Number],0),MATCH(IFERROR(A363+0,A363),tbl_Onsite[Job Number],0)))="","",INDEX(tbl_Onsite[Job Description],IFERROR(MATCH(A363&amp;"",tbl_Onsite[Job Number],0),MATCH(IFERROR(A363+0,A363),tbl_Onsite[Job Number],0)))),IFERROR(IF(INDEX(tbl_Production[Job Description],IFERROR(MATCH(A363&amp;"",tbl_Production[Job Number],0),MATCH(IFERROR(A363+0,A363),tbl_Production[Job Number],0)))="","",INDEX(tbl_Production[Job Description],IFERROR(MATCH(A363&amp;"",tbl_Production[Job Number],0),MATCH(IFERROR(A363+0,A363),tbl_Production[Job Number],0)))),IFERROR(IF(INDEX(tbl_Consulting[Job Description],IFERROR(MATCH(A363&amp;"",tbl_Consulting[Job Number],0),MATCH(IFERROR(A363+0,A363),tbl_Consulting[Job Number],0)))="","",INDEX(tbl_Consulting[Job Description],IFERROR(MATCH(A363&amp;"",tbl_Consulting[Job Number],0),MATCH(IFERROR(A363+0,A363),tbl_Consulting[Job Number],0)))),""))))</f>
        <v/>
      </c>
      <c r="L363" s="26">
        <f>IF(A363="","",IFERROR(IF(INDEX(tbl_Onsite[Invoice Type],IFERROR(MATCH(A363&amp;"",tbl_Onsite[Job Number],0),MATCH(IFERROR(A363+0,A363),tbl_Onsite[Job Number],0)))="","",INDEX(tbl_Onsite[Invoice Type],IFERROR(MATCH(A363&amp;"",tbl_Onsite[Job Number],0),MATCH(IFERROR(A363+0,A363),tbl_Onsite[Job Number],0)))),IFERROR(IF(INDEX(tbl_Production[Invoice Type],IFERROR(MATCH(A363&amp;"",tbl_Production[Job Number],0),MATCH(IFERROR(A363+0,A363),tbl_Production[Job Number],0)))="","",INDEX(tbl_Production[Invoice Type],IFERROR(MATCH(A363&amp;"",tbl_Production[Job Number],0),MATCH(IFERROR(A363+0,A363),tbl_Production[Job Number],0)))),IFERROR(IF(INDEX(tbl_Consulting[Invoice Type],IFERROR(MATCH(A363&amp;"",tbl_Consulting[Job Number],0),MATCH(IFERROR(A363+0,A363),tbl_Consulting[Job Number],0)))="","",INDEX(tbl_Consulting[Invoice Type],IFERROR(MATCH(A363&amp;"",tbl_Consulting[Job Number],0),MATCH(IFERROR(A363+0,A363),tbl_Consulting[Job Number],0)))),""))))</f>
        <v/>
      </c>
      <c r="M363" s="26">
        <f>IF(A363="","",IF(IFERROR(IF(INDEX(tbl_Onsite[Tax Code],IFERROR(MATCH(A363&amp;"",tbl_Onsite[Job Number],0),MATCH(IFERROR(A363+0,A363),tbl_Onsite[Job Number],0)))="","",INDEX(tbl_Onsite[Tax Code],IFERROR(MATCH(A363&amp;"",tbl_Onsite[Job Number],0),MATCH(IFERROR(A363+0,A363),tbl_Onsite[Job Number],0)))),IFERROR(IF(INDEX(tbl_Production[Tax Code],IFERROR(MATCH(A363&amp;"",tbl_Production[Job Number],0),MATCH(IFERROR(A363+0,A363),tbl_Production[Job Number],0)))="","",INDEX(tbl_Production[Tax Code],IFERROR(MATCH(A363&amp;"",tbl_Production[Job Number],0),MATCH(IFERROR(A363+0,A363),tbl_Production[Job Number],0)))),IFERROR(IF(INDEX(tbl_Consulting[Tax Code],IFERROR(MATCH(A363&amp;"",tbl_Consulting[Job Number],0),MATCH(IFERROR(A363+0,A363),tbl_Consulting[Job Number],0)))="","",INDEX(tbl_Consulting[Tax Code],IFERROR(MATCH(A363&amp;"",tbl_Consulting[Job Number],0),MATCH(IFERROR(A363+0,A363),tbl_Consulting[Job Number],0)))),"")))="","GST 10%",IFERROR(IF(INDEX(tbl_Onsite[Tax Code],IFERROR(MATCH(A363&amp;"",tbl_Onsite[Job Number],0),MATCH(IFERROR(A363+0,A363),tbl_Onsite[Job Number],0)))="","",INDEX(tbl_Onsite[Tax Code],IFERROR(MATCH(A363&amp;"",tbl_Onsite[Job Number],0),MATCH(IFERROR(A363+0,A363),tbl_Onsite[Job Number],0)))),IFERROR(IF(INDEX(tbl_Production[Tax Code],IFERROR(MATCH(A363&amp;"",tbl_Production[Job Number],0),MATCH(IFERROR(A363+0,A363),tbl_Production[Job Number],0)))="","",INDEX(tbl_Production[Tax Code],IFERROR(MATCH(A363&amp;"",tbl_Production[Job Number],0),MATCH(IFERROR(A363+0,A363),tbl_Production[Job Number],0)))),IFERROR(IF(INDEX(tbl_Consulting[Tax Code],IFERROR(MATCH(A363&amp;"",tbl_Consulting[Job Number],0),MATCH(IFERROR(A363+0,A363),tbl_Consulting[Job Number],0)))="","",INDEX(tbl_Consulting[Tax Code],IFERROR(MATCH(A363&amp;"",tbl_Consulting[Job Number],0),MATCH(IFERROR(A363+0,A363),tbl_Consulting[Job Number],0)))),"")))))</f>
        <v/>
      </c>
      <c r="N363" s="26">
        <f>IF(D363="","",IFERROR(INDEX(lst_CCtoGL,MATCH(D363,lst_CCforGL,0)),""))</f>
        <v/>
      </c>
      <c r="O363" s="27">
        <f>IF(E363="","",IF(M363="GST 10%",ROUND(E363*set_GSTRate,2),0))</f>
        <v/>
      </c>
      <c r="P363" s="27">
        <f>IF(E363="","",E363+O363)</f>
        <v/>
      </c>
      <c r="Q363" s="27">
        <f>IF(A363="","",IFERROR(INDEX(tbl_Onsite[Expected Revenue Ex GST],IFERROR(MATCH(A363&amp;"",tbl_Onsite[Job Number],0),MATCH(IFERROR(A363+0,A363),tbl_Onsite[Job Number],0))),IFERROR(INDEX(tbl_Production[Expected Revenue Ex GST],IFERROR(MATCH(A363&amp;"",tbl_Production[Job Number],0),MATCH(IFERROR(A363+0,A363),tbl_Production[Job Number],0))),IFERROR(INDEX(tbl_Consulting[Expected Revenue Ex GST],IFERROR(MATCH(A363&amp;"",tbl_Consulting[Job Number],0),MATCH(IFERROR(A363+0,A363),tbl_Consulting[Job Number],0))),0))))</f>
        <v/>
      </c>
      <c r="R363" s="27">
        <f>IF(A363="","",SUMIFS(tbl_Finance[Ex GST],tbl_Finance[Job Number],A363&amp;""))</f>
        <v/>
      </c>
      <c r="S363" s="27">
        <f>IF(A363="","",Q363-R363)</f>
        <v/>
      </c>
      <c r="T363" s="26">
        <f>IF(A363="","",IF(Q363=0,"No dept value",IF(ROUND(S363,2)=0,"Agrees",IF(S363&gt;0,"Dept higher - to invoice","Xero higher - check dept"))))</f>
        <v/>
      </c>
      <c r="U363" s="22" t="n"/>
      <c r="V363" s="22" t="n"/>
      <c r="W363" s="23" t="n"/>
      <c r="X363" s="23" t="n"/>
      <c r="Y363" s="22" t="n"/>
      <c r="Z363" s="22" t="n"/>
      <c r="AA363" s="26">
        <f>IF(COUNTA(C363,A363,B363,E363)=0,"",IF(C363="","No date - sits outside every month",IF(A363="","No job number",IF(H363="CHECK","Job number is not in the Xero job list",IF(G363="not set up yet","No department has set this job up - nothing can pull through",IF(D363="","No cost centre",IF(AND(U363="Y",B363=""),"Marked posted to Xero but has no invoice number",IF(N363="","Cost centre has no revenue GL on the Lists sheet",IF(T363="Xero higher - check dept","Invoiced more than the department says the job is worth","")))))))))</f>
        <v/>
      </c>
      <c r="AB363" s="28">
        <f>IF(A363="","",COUNTIFS(tbl_Finance[Job Number],A363&amp;"",tbl_Finance[Ex GST],"&lt;&gt;"))</f>
        <v/>
      </c>
      <c r="AC363" s="27">
        <f>IF(A363="","",SUMIFS(tbl_Finance[Ex GST],tbl_Finance[Job Number],A363&amp;""))</f>
        <v/>
      </c>
      <c r="AD363" s="27">
        <f>IF(A363="","",SUMIFS(tbl_Finance[Ex GST],tbl_Finance[Job Number],A363&amp;"",tbl_Finance[Xero Invoice No],"&lt;&gt;"))</f>
        <v/>
      </c>
      <c r="AE363" s="27">
        <f>IF(A363="","",AC363-AD363)</f>
        <v/>
      </c>
      <c r="AF363" s="26">
        <f>IF(A363="","",IFERROR(IF(INDEX(tbl_Onsite[Qwilr Quote],IFERROR(MATCH(A363&amp;"",tbl_Onsite[Job Number],0),MATCH(IFERROR(A363+0,A363),tbl_Onsite[Job Number],0)))="","",INDEX(tbl_Onsite[Qwilr Quote],IFERROR(MATCH(A363&amp;"",tbl_Onsite[Job Number],0),MATCH(IFERROR(A363+0,A363),tbl_Onsite[Job Number],0)))),IFERROR(IF(IF(INDEX(tbl_Production[Current RMS No],IFERROR(MATCH(A363&amp;"",tbl_Production[Job Number],0),MATCH(IFERROR(A363+0,A363),tbl_Production[Job Number],0)))="",INDEX(tbl_Production[Qwilr Quote],IFERROR(MATCH(A363&amp;"",tbl_Production[Job Number],0),MATCH(IFERROR(A363+0,A363),tbl_Production[Job Number],0))),INDEX(tbl_Production[Current RMS No],IFERROR(MATCH(A363&amp;"",tbl_Production[Job Number],0),MATCH(IFERROR(A363+0,A363),tbl_Production[Job Number],0))))="","",IF(INDEX(tbl_Production[Current RMS No],IFERROR(MATCH(A363&amp;"",tbl_Production[Job Number],0),MATCH(IFERROR(A363+0,A363),tbl_Production[Job Number],0)))="",INDEX(tbl_Production[Qwilr Quote],IFERROR(MATCH(A363&amp;"",tbl_Production[Job Number],0),MATCH(IFERROR(A363+0,A363),tbl_Production[Job Number],0))),INDEX(tbl_Production[Current RMS No],IFERROR(MATCH(A363&amp;"",tbl_Production[Job Number],0),MATCH(IFERROR(A363+0,A363),tbl_Production[Job Number],0))))),IFERROR(IF(INDEX(tbl_Consulting[Qwilr Quote],IFERROR(MATCH(A363&amp;"",tbl_Consulting[Job Number],0),MATCH(IFERROR(A363+0,A363),tbl_Consulting[Job Number],0)))="","",INDEX(tbl_Consulting[Qwilr Quote],IFERROR(MATCH(A363&amp;"",tbl_Consulting[Job Number],0),MATCH(IFERROR(A363+0,A363),tbl_Consulting[Job Number],0)))),""))))</f>
        <v/>
      </c>
      <c r="AG363" s="26">
        <f>IF(AF363="","",IF(AND(LEFT(AF363,4)&lt;&gt;"http",IF(G363="Production",set_RMSBase,set_QwilrBase)=""),"",HYPERLINK(IF(LEFT(AF363,4)="http",AF363,IF(G363="Production",set_RMSBase,set_QwilrBase)&amp;AF363),"Open")))</f>
        <v/>
      </c>
      <c r="AH363" s="27">
        <f>IF(A363="","",IFERROR(INDEX(tbl_Production[Total Expense],IFERROR(MATCH(A363&amp;"",tbl_Production[Job Number],0),MATCH(IFERROR(A363+0,A363),tbl_Production[Job Number],0))),IFERROR(INDEX(tbl_Consulting[Total Expense],IFERROR(MATCH(A363&amp;"",tbl_Consulting[Job Number],0),MATCH(IFERROR(A363+0,A363),tbl_Consulting[Job Number],0))),0)))</f>
        <v/>
      </c>
      <c r="AI363" s="27">
        <f>IF(A363="","",AC363-N(AH363))</f>
        <v/>
      </c>
      <c r="AJ363" s="29">
        <f>IFERROR(AI363/AC363,"")</f>
        <v/>
      </c>
      <c r="AK363" s="26">
        <f>IF(A363="","",IFERROR(IF(INDEX(tbl_Onsite[Notes],IFERROR(MATCH(A363&amp;"",tbl_Onsite[Job Number],0),MATCH(IFERROR(A363+0,A363),tbl_Onsite[Job Number],0)))="","",INDEX(tbl_Onsite[Notes],IFERROR(MATCH(A363&amp;"",tbl_Onsite[Job Number],0),MATCH(IFERROR(A363+0,A363),tbl_Onsite[Job Number],0)))),IFERROR(IF(INDEX(tbl_Production[Notes],IFERROR(MATCH(A363&amp;"",tbl_Production[Job Number],0),MATCH(IFERROR(A363+0,A363),tbl_Production[Job Number],0)))="","",INDEX(tbl_Production[Notes],IFERROR(MATCH(A363&amp;"",tbl_Production[Job Number],0),MATCH(IFERROR(A363+0,A363),tbl_Production[Job Number],0)))),IFERROR(IF(INDEX(tbl_Consulting[Notes],IFERROR(MATCH(A363&amp;"",tbl_Consulting[Job Number],0),MATCH(IFERROR(A363+0,A363),tbl_Consulting[Job Number],0)))="","",INDEX(tbl_Consulting[Notes],IFERROR(MATCH(A363&amp;"",tbl_Consulting[Job Number],0),MATCH(IFERROR(A363+0,A363),tbl_Consulting[Job Number],0)))),""))))</f>
        <v/>
      </c>
    </row>
    <row r="364" ht="15" customHeight="1">
      <c r="A364" s="22" t="n"/>
      <c r="B364" s="22" t="n"/>
      <c r="C364" s="23" t="n"/>
      <c r="D364" s="22" t="n"/>
      <c r="E364" s="24" t="n"/>
      <c r="F364" s="25">
        <f>IF(C364="","",EOMONTH(C364,0))</f>
        <v/>
      </c>
      <c r="G364" s="26">
        <f>IF(A364="","",IF(COUNTIF(tbl_Onsite[Job Number],A364&amp;"")&gt;0,"Onsite",IF(COUNTIF(tbl_Production[Job Number],A364&amp;"")&gt;0,"Production",IF(COUNTIF(tbl_Consulting[Job Number],A364&amp;"")&gt;0,"Consulting","not set up yet"))))</f>
        <v/>
      </c>
      <c r="H364" s="26">
        <f>IF(A364="","",IF(COUNTIF(lst_Jobs,A364&amp;"")&gt;0,"OK","CHECK"))</f>
        <v/>
      </c>
      <c r="I364" s="26">
        <f>IF(A364="","",IFERROR(INDEX(lst_JobName,MATCH(A364&amp;"",lst_Jobs,0)),""))</f>
        <v/>
      </c>
      <c r="J364" s="26">
        <f>IF(A364="","",IFERROR(IF(INDEX(tbl_Onsite[Client],IFERROR(MATCH(A364&amp;"",tbl_Onsite[Job Number],0),MATCH(IFERROR(A364+0,A364),tbl_Onsite[Job Number],0)))="","",INDEX(tbl_Onsite[Client],IFERROR(MATCH(A364&amp;"",tbl_Onsite[Job Number],0),MATCH(IFERROR(A364+0,A364),tbl_Onsite[Job Number],0)))),IFERROR(IF(INDEX(tbl_Production[Client],IFERROR(MATCH(A364&amp;"",tbl_Production[Job Number],0),MATCH(IFERROR(A364+0,A364),tbl_Production[Job Number],0)))="","",INDEX(tbl_Production[Client],IFERROR(MATCH(A364&amp;"",tbl_Production[Job Number],0),MATCH(IFERROR(A364+0,A364),tbl_Production[Job Number],0)))),IFERROR(IF(INDEX(tbl_Consulting[Client],IFERROR(MATCH(A364&amp;"",tbl_Consulting[Job Number],0),MATCH(IFERROR(A364+0,A364),tbl_Consulting[Job Number],0)))="","",INDEX(tbl_Consulting[Client],IFERROR(MATCH(A364&amp;"",tbl_Consulting[Job Number],0),MATCH(IFERROR(A364+0,A364),tbl_Consulting[Job Number],0)))),""))))</f>
        <v/>
      </c>
      <c r="K364" s="26">
        <f>IF(A364="","",IFERROR(IF(INDEX(tbl_Onsite[Job Description],IFERROR(MATCH(A364&amp;"",tbl_Onsite[Job Number],0),MATCH(IFERROR(A364+0,A364),tbl_Onsite[Job Number],0)))="","",INDEX(tbl_Onsite[Job Description],IFERROR(MATCH(A364&amp;"",tbl_Onsite[Job Number],0),MATCH(IFERROR(A364+0,A364),tbl_Onsite[Job Number],0)))),IFERROR(IF(INDEX(tbl_Production[Job Description],IFERROR(MATCH(A364&amp;"",tbl_Production[Job Number],0),MATCH(IFERROR(A364+0,A364),tbl_Production[Job Number],0)))="","",INDEX(tbl_Production[Job Description],IFERROR(MATCH(A364&amp;"",tbl_Production[Job Number],0),MATCH(IFERROR(A364+0,A364),tbl_Production[Job Number],0)))),IFERROR(IF(INDEX(tbl_Consulting[Job Description],IFERROR(MATCH(A364&amp;"",tbl_Consulting[Job Number],0),MATCH(IFERROR(A364+0,A364),tbl_Consulting[Job Number],0)))="","",INDEX(tbl_Consulting[Job Description],IFERROR(MATCH(A364&amp;"",tbl_Consulting[Job Number],0),MATCH(IFERROR(A364+0,A364),tbl_Consulting[Job Number],0)))),""))))</f>
        <v/>
      </c>
      <c r="L364" s="26">
        <f>IF(A364="","",IFERROR(IF(INDEX(tbl_Onsite[Invoice Type],IFERROR(MATCH(A364&amp;"",tbl_Onsite[Job Number],0),MATCH(IFERROR(A364+0,A364),tbl_Onsite[Job Number],0)))="","",INDEX(tbl_Onsite[Invoice Type],IFERROR(MATCH(A364&amp;"",tbl_Onsite[Job Number],0),MATCH(IFERROR(A364+0,A364),tbl_Onsite[Job Number],0)))),IFERROR(IF(INDEX(tbl_Production[Invoice Type],IFERROR(MATCH(A364&amp;"",tbl_Production[Job Number],0),MATCH(IFERROR(A364+0,A364),tbl_Production[Job Number],0)))="","",INDEX(tbl_Production[Invoice Type],IFERROR(MATCH(A364&amp;"",tbl_Production[Job Number],0),MATCH(IFERROR(A364+0,A364),tbl_Production[Job Number],0)))),IFERROR(IF(INDEX(tbl_Consulting[Invoice Type],IFERROR(MATCH(A364&amp;"",tbl_Consulting[Job Number],0),MATCH(IFERROR(A364+0,A364),tbl_Consulting[Job Number],0)))="","",INDEX(tbl_Consulting[Invoice Type],IFERROR(MATCH(A364&amp;"",tbl_Consulting[Job Number],0),MATCH(IFERROR(A364+0,A364),tbl_Consulting[Job Number],0)))),""))))</f>
        <v/>
      </c>
      <c r="M364" s="26">
        <f>IF(A364="","",IF(IFERROR(IF(INDEX(tbl_Onsite[Tax Code],IFERROR(MATCH(A364&amp;"",tbl_Onsite[Job Number],0),MATCH(IFERROR(A364+0,A364),tbl_Onsite[Job Number],0)))="","",INDEX(tbl_Onsite[Tax Code],IFERROR(MATCH(A364&amp;"",tbl_Onsite[Job Number],0),MATCH(IFERROR(A364+0,A364),tbl_Onsite[Job Number],0)))),IFERROR(IF(INDEX(tbl_Production[Tax Code],IFERROR(MATCH(A364&amp;"",tbl_Production[Job Number],0),MATCH(IFERROR(A364+0,A364),tbl_Production[Job Number],0)))="","",INDEX(tbl_Production[Tax Code],IFERROR(MATCH(A364&amp;"",tbl_Production[Job Number],0),MATCH(IFERROR(A364+0,A364),tbl_Production[Job Number],0)))),IFERROR(IF(INDEX(tbl_Consulting[Tax Code],IFERROR(MATCH(A364&amp;"",tbl_Consulting[Job Number],0),MATCH(IFERROR(A364+0,A364),tbl_Consulting[Job Number],0)))="","",INDEX(tbl_Consulting[Tax Code],IFERROR(MATCH(A364&amp;"",tbl_Consulting[Job Number],0),MATCH(IFERROR(A364+0,A364),tbl_Consulting[Job Number],0)))),"")))="","GST 10%",IFERROR(IF(INDEX(tbl_Onsite[Tax Code],IFERROR(MATCH(A364&amp;"",tbl_Onsite[Job Number],0),MATCH(IFERROR(A364+0,A364),tbl_Onsite[Job Number],0)))="","",INDEX(tbl_Onsite[Tax Code],IFERROR(MATCH(A364&amp;"",tbl_Onsite[Job Number],0),MATCH(IFERROR(A364+0,A364),tbl_Onsite[Job Number],0)))),IFERROR(IF(INDEX(tbl_Production[Tax Code],IFERROR(MATCH(A364&amp;"",tbl_Production[Job Number],0),MATCH(IFERROR(A364+0,A364),tbl_Production[Job Number],0)))="","",INDEX(tbl_Production[Tax Code],IFERROR(MATCH(A364&amp;"",tbl_Production[Job Number],0),MATCH(IFERROR(A364+0,A364),tbl_Production[Job Number],0)))),IFERROR(IF(INDEX(tbl_Consulting[Tax Code],IFERROR(MATCH(A364&amp;"",tbl_Consulting[Job Number],0),MATCH(IFERROR(A364+0,A364),tbl_Consulting[Job Number],0)))="","",INDEX(tbl_Consulting[Tax Code],IFERROR(MATCH(A364&amp;"",tbl_Consulting[Job Number],0),MATCH(IFERROR(A364+0,A364),tbl_Consulting[Job Number],0)))),"")))))</f>
        <v/>
      </c>
      <c r="N364" s="26">
        <f>IF(D364="","",IFERROR(INDEX(lst_CCtoGL,MATCH(D364,lst_CCforGL,0)),""))</f>
        <v/>
      </c>
      <c r="O364" s="27">
        <f>IF(E364="","",IF(M364="GST 10%",ROUND(E364*set_GSTRate,2),0))</f>
        <v/>
      </c>
      <c r="P364" s="27">
        <f>IF(E364="","",E364+O364)</f>
        <v/>
      </c>
      <c r="Q364" s="27">
        <f>IF(A364="","",IFERROR(INDEX(tbl_Onsite[Expected Revenue Ex GST],IFERROR(MATCH(A364&amp;"",tbl_Onsite[Job Number],0),MATCH(IFERROR(A364+0,A364),tbl_Onsite[Job Number],0))),IFERROR(INDEX(tbl_Production[Expected Revenue Ex GST],IFERROR(MATCH(A364&amp;"",tbl_Production[Job Number],0),MATCH(IFERROR(A364+0,A364),tbl_Production[Job Number],0))),IFERROR(INDEX(tbl_Consulting[Expected Revenue Ex GST],IFERROR(MATCH(A364&amp;"",tbl_Consulting[Job Number],0),MATCH(IFERROR(A364+0,A364),tbl_Consulting[Job Number],0))),0))))</f>
        <v/>
      </c>
      <c r="R364" s="27">
        <f>IF(A364="","",SUMIFS(tbl_Finance[Ex GST],tbl_Finance[Job Number],A364&amp;""))</f>
        <v/>
      </c>
      <c r="S364" s="27">
        <f>IF(A364="","",Q364-R364)</f>
        <v/>
      </c>
      <c r="T364" s="26">
        <f>IF(A364="","",IF(Q364=0,"No dept value",IF(ROUND(S364,2)=0,"Agrees",IF(S364&gt;0,"Dept higher - to invoice","Xero higher - check dept"))))</f>
        <v/>
      </c>
      <c r="U364" s="22" t="n"/>
      <c r="V364" s="22" t="n"/>
      <c r="W364" s="23" t="n"/>
      <c r="X364" s="23" t="n"/>
      <c r="Y364" s="22" t="n"/>
      <c r="Z364" s="22" t="n"/>
      <c r="AA364" s="26">
        <f>IF(COUNTA(C364,A364,B364,E364)=0,"",IF(C364="","No date - sits outside every month",IF(A364="","No job number",IF(H364="CHECK","Job number is not in the Xero job list",IF(G364="not set up yet","No department has set this job up - nothing can pull through",IF(D364="","No cost centre",IF(AND(U364="Y",B364=""),"Marked posted to Xero but has no invoice number",IF(N364="","Cost centre has no revenue GL on the Lists sheet",IF(T364="Xero higher - check dept","Invoiced more than the department says the job is worth","")))))))))</f>
        <v/>
      </c>
      <c r="AB364" s="28">
        <f>IF(A364="","",COUNTIFS(tbl_Finance[Job Number],A364&amp;"",tbl_Finance[Ex GST],"&lt;&gt;"))</f>
        <v/>
      </c>
      <c r="AC364" s="27">
        <f>IF(A364="","",SUMIFS(tbl_Finance[Ex GST],tbl_Finance[Job Number],A364&amp;""))</f>
        <v/>
      </c>
      <c r="AD364" s="27">
        <f>IF(A364="","",SUMIFS(tbl_Finance[Ex GST],tbl_Finance[Job Number],A364&amp;"",tbl_Finance[Xero Invoice No],"&lt;&gt;"))</f>
        <v/>
      </c>
      <c r="AE364" s="27">
        <f>IF(A364="","",AC364-AD364)</f>
        <v/>
      </c>
      <c r="AF364" s="26">
        <f>IF(A364="","",IFERROR(IF(INDEX(tbl_Onsite[Qwilr Quote],IFERROR(MATCH(A364&amp;"",tbl_Onsite[Job Number],0),MATCH(IFERROR(A364+0,A364),tbl_Onsite[Job Number],0)))="","",INDEX(tbl_Onsite[Qwilr Quote],IFERROR(MATCH(A364&amp;"",tbl_Onsite[Job Number],0),MATCH(IFERROR(A364+0,A364),tbl_Onsite[Job Number],0)))),IFERROR(IF(IF(INDEX(tbl_Production[Current RMS No],IFERROR(MATCH(A364&amp;"",tbl_Production[Job Number],0),MATCH(IFERROR(A364+0,A364),tbl_Production[Job Number],0)))="",INDEX(tbl_Production[Qwilr Quote],IFERROR(MATCH(A364&amp;"",tbl_Production[Job Number],0),MATCH(IFERROR(A364+0,A364),tbl_Production[Job Number],0))),INDEX(tbl_Production[Current RMS No],IFERROR(MATCH(A364&amp;"",tbl_Production[Job Number],0),MATCH(IFERROR(A364+0,A364),tbl_Production[Job Number],0))))="","",IF(INDEX(tbl_Production[Current RMS No],IFERROR(MATCH(A364&amp;"",tbl_Production[Job Number],0),MATCH(IFERROR(A364+0,A364),tbl_Production[Job Number],0)))="",INDEX(tbl_Production[Qwilr Quote],IFERROR(MATCH(A364&amp;"",tbl_Production[Job Number],0),MATCH(IFERROR(A364+0,A364),tbl_Production[Job Number],0))),INDEX(tbl_Production[Current RMS No],IFERROR(MATCH(A364&amp;"",tbl_Production[Job Number],0),MATCH(IFERROR(A364+0,A364),tbl_Production[Job Number],0))))),IFERROR(IF(INDEX(tbl_Consulting[Qwilr Quote],IFERROR(MATCH(A364&amp;"",tbl_Consulting[Job Number],0),MATCH(IFERROR(A364+0,A364),tbl_Consulting[Job Number],0)))="","",INDEX(tbl_Consulting[Qwilr Quote],IFERROR(MATCH(A364&amp;"",tbl_Consulting[Job Number],0),MATCH(IFERROR(A364+0,A364),tbl_Consulting[Job Number],0)))),""))))</f>
        <v/>
      </c>
      <c r="AG364" s="26">
        <f>IF(AF364="","",IF(AND(LEFT(AF364,4)&lt;&gt;"http",IF(G364="Production",set_RMSBase,set_QwilrBase)=""),"",HYPERLINK(IF(LEFT(AF364,4)="http",AF364,IF(G364="Production",set_RMSBase,set_QwilrBase)&amp;AF364),"Open")))</f>
        <v/>
      </c>
      <c r="AH364" s="27">
        <f>IF(A364="","",IFERROR(INDEX(tbl_Production[Total Expense],IFERROR(MATCH(A364&amp;"",tbl_Production[Job Number],0),MATCH(IFERROR(A364+0,A364),tbl_Production[Job Number],0))),IFERROR(INDEX(tbl_Consulting[Total Expense],IFERROR(MATCH(A364&amp;"",tbl_Consulting[Job Number],0),MATCH(IFERROR(A364+0,A364),tbl_Consulting[Job Number],0))),0)))</f>
        <v/>
      </c>
      <c r="AI364" s="27">
        <f>IF(A364="","",AC364-N(AH364))</f>
        <v/>
      </c>
      <c r="AJ364" s="29">
        <f>IFERROR(AI364/AC364,"")</f>
        <v/>
      </c>
      <c r="AK364" s="26">
        <f>IF(A364="","",IFERROR(IF(INDEX(tbl_Onsite[Notes],IFERROR(MATCH(A364&amp;"",tbl_Onsite[Job Number],0),MATCH(IFERROR(A364+0,A364),tbl_Onsite[Job Number],0)))="","",INDEX(tbl_Onsite[Notes],IFERROR(MATCH(A364&amp;"",tbl_Onsite[Job Number],0),MATCH(IFERROR(A364+0,A364),tbl_Onsite[Job Number],0)))),IFERROR(IF(INDEX(tbl_Production[Notes],IFERROR(MATCH(A364&amp;"",tbl_Production[Job Number],0),MATCH(IFERROR(A364+0,A364),tbl_Production[Job Number],0)))="","",INDEX(tbl_Production[Notes],IFERROR(MATCH(A364&amp;"",tbl_Production[Job Number],0),MATCH(IFERROR(A364+0,A364),tbl_Production[Job Number],0)))),IFERROR(IF(INDEX(tbl_Consulting[Notes],IFERROR(MATCH(A364&amp;"",tbl_Consulting[Job Number],0),MATCH(IFERROR(A364+0,A364),tbl_Consulting[Job Number],0)))="","",INDEX(tbl_Consulting[Notes],IFERROR(MATCH(A364&amp;"",tbl_Consulting[Job Number],0),MATCH(IFERROR(A364+0,A364),tbl_Consulting[Job Number],0)))),""))))</f>
        <v/>
      </c>
    </row>
    <row r="365" ht="15" customHeight="1">
      <c r="A365" s="22" t="n"/>
      <c r="B365" s="22" t="n"/>
      <c r="C365" s="23" t="n"/>
      <c r="D365" s="22" t="n"/>
      <c r="E365" s="24" t="n"/>
      <c r="F365" s="25">
        <f>IF(C365="","",EOMONTH(C365,0))</f>
        <v/>
      </c>
      <c r="G365" s="26">
        <f>IF(A365="","",IF(COUNTIF(tbl_Onsite[Job Number],A365&amp;"")&gt;0,"Onsite",IF(COUNTIF(tbl_Production[Job Number],A365&amp;"")&gt;0,"Production",IF(COUNTIF(tbl_Consulting[Job Number],A365&amp;"")&gt;0,"Consulting","not set up yet"))))</f>
        <v/>
      </c>
      <c r="H365" s="26">
        <f>IF(A365="","",IF(COUNTIF(lst_Jobs,A365&amp;"")&gt;0,"OK","CHECK"))</f>
        <v/>
      </c>
      <c r="I365" s="26">
        <f>IF(A365="","",IFERROR(INDEX(lst_JobName,MATCH(A365&amp;"",lst_Jobs,0)),""))</f>
        <v/>
      </c>
      <c r="J365" s="26">
        <f>IF(A365="","",IFERROR(IF(INDEX(tbl_Onsite[Client],IFERROR(MATCH(A365&amp;"",tbl_Onsite[Job Number],0),MATCH(IFERROR(A365+0,A365),tbl_Onsite[Job Number],0)))="","",INDEX(tbl_Onsite[Client],IFERROR(MATCH(A365&amp;"",tbl_Onsite[Job Number],0),MATCH(IFERROR(A365+0,A365),tbl_Onsite[Job Number],0)))),IFERROR(IF(INDEX(tbl_Production[Client],IFERROR(MATCH(A365&amp;"",tbl_Production[Job Number],0),MATCH(IFERROR(A365+0,A365),tbl_Production[Job Number],0)))="","",INDEX(tbl_Production[Client],IFERROR(MATCH(A365&amp;"",tbl_Production[Job Number],0),MATCH(IFERROR(A365+0,A365),tbl_Production[Job Number],0)))),IFERROR(IF(INDEX(tbl_Consulting[Client],IFERROR(MATCH(A365&amp;"",tbl_Consulting[Job Number],0),MATCH(IFERROR(A365+0,A365),tbl_Consulting[Job Number],0)))="","",INDEX(tbl_Consulting[Client],IFERROR(MATCH(A365&amp;"",tbl_Consulting[Job Number],0),MATCH(IFERROR(A365+0,A365),tbl_Consulting[Job Number],0)))),""))))</f>
        <v/>
      </c>
      <c r="K365" s="26">
        <f>IF(A365="","",IFERROR(IF(INDEX(tbl_Onsite[Job Description],IFERROR(MATCH(A365&amp;"",tbl_Onsite[Job Number],0),MATCH(IFERROR(A365+0,A365),tbl_Onsite[Job Number],0)))="","",INDEX(tbl_Onsite[Job Description],IFERROR(MATCH(A365&amp;"",tbl_Onsite[Job Number],0),MATCH(IFERROR(A365+0,A365),tbl_Onsite[Job Number],0)))),IFERROR(IF(INDEX(tbl_Production[Job Description],IFERROR(MATCH(A365&amp;"",tbl_Production[Job Number],0),MATCH(IFERROR(A365+0,A365),tbl_Production[Job Number],0)))="","",INDEX(tbl_Production[Job Description],IFERROR(MATCH(A365&amp;"",tbl_Production[Job Number],0),MATCH(IFERROR(A365+0,A365),tbl_Production[Job Number],0)))),IFERROR(IF(INDEX(tbl_Consulting[Job Description],IFERROR(MATCH(A365&amp;"",tbl_Consulting[Job Number],0),MATCH(IFERROR(A365+0,A365),tbl_Consulting[Job Number],0)))="","",INDEX(tbl_Consulting[Job Description],IFERROR(MATCH(A365&amp;"",tbl_Consulting[Job Number],0),MATCH(IFERROR(A365+0,A365),tbl_Consulting[Job Number],0)))),""))))</f>
        <v/>
      </c>
      <c r="L365" s="26">
        <f>IF(A365="","",IFERROR(IF(INDEX(tbl_Onsite[Invoice Type],IFERROR(MATCH(A365&amp;"",tbl_Onsite[Job Number],0),MATCH(IFERROR(A365+0,A365),tbl_Onsite[Job Number],0)))="","",INDEX(tbl_Onsite[Invoice Type],IFERROR(MATCH(A365&amp;"",tbl_Onsite[Job Number],0),MATCH(IFERROR(A365+0,A365),tbl_Onsite[Job Number],0)))),IFERROR(IF(INDEX(tbl_Production[Invoice Type],IFERROR(MATCH(A365&amp;"",tbl_Production[Job Number],0),MATCH(IFERROR(A365+0,A365),tbl_Production[Job Number],0)))="","",INDEX(tbl_Production[Invoice Type],IFERROR(MATCH(A365&amp;"",tbl_Production[Job Number],0),MATCH(IFERROR(A365+0,A365),tbl_Production[Job Number],0)))),IFERROR(IF(INDEX(tbl_Consulting[Invoice Type],IFERROR(MATCH(A365&amp;"",tbl_Consulting[Job Number],0),MATCH(IFERROR(A365+0,A365),tbl_Consulting[Job Number],0)))="","",INDEX(tbl_Consulting[Invoice Type],IFERROR(MATCH(A365&amp;"",tbl_Consulting[Job Number],0),MATCH(IFERROR(A365+0,A365),tbl_Consulting[Job Number],0)))),""))))</f>
        <v/>
      </c>
      <c r="M365" s="26">
        <f>IF(A365="","",IF(IFERROR(IF(INDEX(tbl_Onsite[Tax Code],IFERROR(MATCH(A365&amp;"",tbl_Onsite[Job Number],0),MATCH(IFERROR(A365+0,A365),tbl_Onsite[Job Number],0)))="","",INDEX(tbl_Onsite[Tax Code],IFERROR(MATCH(A365&amp;"",tbl_Onsite[Job Number],0),MATCH(IFERROR(A365+0,A365),tbl_Onsite[Job Number],0)))),IFERROR(IF(INDEX(tbl_Production[Tax Code],IFERROR(MATCH(A365&amp;"",tbl_Production[Job Number],0),MATCH(IFERROR(A365+0,A365),tbl_Production[Job Number],0)))="","",INDEX(tbl_Production[Tax Code],IFERROR(MATCH(A365&amp;"",tbl_Production[Job Number],0),MATCH(IFERROR(A365+0,A365),tbl_Production[Job Number],0)))),IFERROR(IF(INDEX(tbl_Consulting[Tax Code],IFERROR(MATCH(A365&amp;"",tbl_Consulting[Job Number],0),MATCH(IFERROR(A365+0,A365),tbl_Consulting[Job Number],0)))="","",INDEX(tbl_Consulting[Tax Code],IFERROR(MATCH(A365&amp;"",tbl_Consulting[Job Number],0),MATCH(IFERROR(A365+0,A365),tbl_Consulting[Job Number],0)))),"")))="","GST 10%",IFERROR(IF(INDEX(tbl_Onsite[Tax Code],IFERROR(MATCH(A365&amp;"",tbl_Onsite[Job Number],0),MATCH(IFERROR(A365+0,A365),tbl_Onsite[Job Number],0)))="","",INDEX(tbl_Onsite[Tax Code],IFERROR(MATCH(A365&amp;"",tbl_Onsite[Job Number],0),MATCH(IFERROR(A365+0,A365),tbl_Onsite[Job Number],0)))),IFERROR(IF(INDEX(tbl_Production[Tax Code],IFERROR(MATCH(A365&amp;"",tbl_Production[Job Number],0),MATCH(IFERROR(A365+0,A365),tbl_Production[Job Number],0)))="","",INDEX(tbl_Production[Tax Code],IFERROR(MATCH(A365&amp;"",tbl_Production[Job Number],0),MATCH(IFERROR(A365+0,A365),tbl_Production[Job Number],0)))),IFERROR(IF(INDEX(tbl_Consulting[Tax Code],IFERROR(MATCH(A365&amp;"",tbl_Consulting[Job Number],0),MATCH(IFERROR(A365+0,A365),tbl_Consulting[Job Number],0)))="","",INDEX(tbl_Consulting[Tax Code],IFERROR(MATCH(A365&amp;"",tbl_Consulting[Job Number],0),MATCH(IFERROR(A365+0,A365),tbl_Consulting[Job Number],0)))),"")))))</f>
        <v/>
      </c>
      <c r="N365" s="26">
        <f>IF(D365="","",IFERROR(INDEX(lst_CCtoGL,MATCH(D365,lst_CCforGL,0)),""))</f>
        <v/>
      </c>
      <c r="O365" s="27">
        <f>IF(E365="","",IF(M365="GST 10%",ROUND(E365*set_GSTRate,2),0))</f>
        <v/>
      </c>
      <c r="P365" s="27">
        <f>IF(E365="","",E365+O365)</f>
        <v/>
      </c>
      <c r="Q365" s="27">
        <f>IF(A365="","",IFERROR(INDEX(tbl_Onsite[Expected Revenue Ex GST],IFERROR(MATCH(A365&amp;"",tbl_Onsite[Job Number],0),MATCH(IFERROR(A365+0,A365),tbl_Onsite[Job Number],0))),IFERROR(INDEX(tbl_Production[Expected Revenue Ex GST],IFERROR(MATCH(A365&amp;"",tbl_Production[Job Number],0),MATCH(IFERROR(A365+0,A365),tbl_Production[Job Number],0))),IFERROR(INDEX(tbl_Consulting[Expected Revenue Ex GST],IFERROR(MATCH(A365&amp;"",tbl_Consulting[Job Number],0),MATCH(IFERROR(A365+0,A365),tbl_Consulting[Job Number],0))),0))))</f>
        <v/>
      </c>
      <c r="R365" s="27">
        <f>IF(A365="","",SUMIFS(tbl_Finance[Ex GST],tbl_Finance[Job Number],A365&amp;""))</f>
        <v/>
      </c>
      <c r="S365" s="27">
        <f>IF(A365="","",Q365-R365)</f>
        <v/>
      </c>
      <c r="T365" s="26">
        <f>IF(A365="","",IF(Q365=0,"No dept value",IF(ROUND(S365,2)=0,"Agrees",IF(S365&gt;0,"Dept higher - to invoice","Xero higher - check dept"))))</f>
        <v/>
      </c>
      <c r="U365" s="22" t="n"/>
      <c r="V365" s="22" t="n"/>
      <c r="W365" s="23" t="n"/>
      <c r="X365" s="23" t="n"/>
      <c r="Y365" s="22" t="n"/>
      <c r="Z365" s="22" t="n"/>
      <c r="AA365" s="26">
        <f>IF(COUNTA(C365,A365,B365,E365)=0,"",IF(C365="","No date - sits outside every month",IF(A365="","No job number",IF(H365="CHECK","Job number is not in the Xero job list",IF(G365="not set up yet","No department has set this job up - nothing can pull through",IF(D365="","No cost centre",IF(AND(U365="Y",B365=""),"Marked posted to Xero but has no invoice number",IF(N365="","Cost centre has no revenue GL on the Lists sheet",IF(T365="Xero higher - check dept","Invoiced more than the department says the job is worth","")))))))))</f>
        <v/>
      </c>
      <c r="AB365" s="28">
        <f>IF(A365="","",COUNTIFS(tbl_Finance[Job Number],A365&amp;"",tbl_Finance[Ex GST],"&lt;&gt;"))</f>
        <v/>
      </c>
      <c r="AC365" s="27">
        <f>IF(A365="","",SUMIFS(tbl_Finance[Ex GST],tbl_Finance[Job Number],A365&amp;""))</f>
        <v/>
      </c>
      <c r="AD365" s="27">
        <f>IF(A365="","",SUMIFS(tbl_Finance[Ex GST],tbl_Finance[Job Number],A365&amp;"",tbl_Finance[Xero Invoice No],"&lt;&gt;"))</f>
        <v/>
      </c>
      <c r="AE365" s="27">
        <f>IF(A365="","",AC365-AD365)</f>
        <v/>
      </c>
      <c r="AF365" s="26">
        <f>IF(A365="","",IFERROR(IF(INDEX(tbl_Onsite[Qwilr Quote],IFERROR(MATCH(A365&amp;"",tbl_Onsite[Job Number],0),MATCH(IFERROR(A365+0,A365),tbl_Onsite[Job Number],0)))="","",INDEX(tbl_Onsite[Qwilr Quote],IFERROR(MATCH(A365&amp;"",tbl_Onsite[Job Number],0),MATCH(IFERROR(A365+0,A365),tbl_Onsite[Job Number],0)))),IFERROR(IF(IF(INDEX(tbl_Production[Current RMS No],IFERROR(MATCH(A365&amp;"",tbl_Production[Job Number],0),MATCH(IFERROR(A365+0,A365),tbl_Production[Job Number],0)))="",INDEX(tbl_Production[Qwilr Quote],IFERROR(MATCH(A365&amp;"",tbl_Production[Job Number],0),MATCH(IFERROR(A365+0,A365),tbl_Production[Job Number],0))),INDEX(tbl_Production[Current RMS No],IFERROR(MATCH(A365&amp;"",tbl_Production[Job Number],0),MATCH(IFERROR(A365+0,A365),tbl_Production[Job Number],0))))="","",IF(INDEX(tbl_Production[Current RMS No],IFERROR(MATCH(A365&amp;"",tbl_Production[Job Number],0),MATCH(IFERROR(A365+0,A365),tbl_Production[Job Number],0)))="",INDEX(tbl_Production[Qwilr Quote],IFERROR(MATCH(A365&amp;"",tbl_Production[Job Number],0),MATCH(IFERROR(A365+0,A365),tbl_Production[Job Number],0))),INDEX(tbl_Production[Current RMS No],IFERROR(MATCH(A365&amp;"",tbl_Production[Job Number],0),MATCH(IFERROR(A365+0,A365),tbl_Production[Job Number],0))))),IFERROR(IF(INDEX(tbl_Consulting[Qwilr Quote],IFERROR(MATCH(A365&amp;"",tbl_Consulting[Job Number],0),MATCH(IFERROR(A365+0,A365),tbl_Consulting[Job Number],0)))="","",INDEX(tbl_Consulting[Qwilr Quote],IFERROR(MATCH(A365&amp;"",tbl_Consulting[Job Number],0),MATCH(IFERROR(A365+0,A365),tbl_Consulting[Job Number],0)))),""))))</f>
        <v/>
      </c>
      <c r="AG365" s="26">
        <f>IF(AF365="","",IF(AND(LEFT(AF365,4)&lt;&gt;"http",IF(G365="Production",set_RMSBase,set_QwilrBase)=""),"",HYPERLINK(IF(LEFT(AF365,4)="http",AF365,IF(G365="Production",set_RMSBase,set_QwilrBase)&amp;AF365),"Open")))</f>
        <v/>
      </c>
      <c r="AH365" s="27">
        <f>IF(A365="","",IFERROR(INDEX(tbl_Production[Total Expense],IFERROR(MATCH(A365&amp;"",tbl_Production[Job Number],0),MATCH(IFERROR(A365+0,A365),tbl_Production[Job Number],0))),IFERROR(INDEX(tbl_Consulting[Total Expense],IFERROR(MATCH(A365&amp;"",tbl_Consulting[Job Number],0),MATCH(IFERROR(A365+0,A365),tbl_Consulting[Job Number],0))),0)))</f>
        <v/>
      </c>
      <c r="AI365" s="27">
        <f>IF(A365="","",AC365-N(AH365))</f>
        <v/>
      </c>
      <c r="AJ365" s="29">
        <f>IFERROR(AI365/AC365,"")</f>
        <v/>
      </c>
      <c r="AK365" s="26">
        <f>IF(A365="","",IFERROR(IF(INDEX(tbl_Onsite[Notes],IFERROR(MATCH(A365&amp;"",tbl_Onsite[Job Number],0),MATCH(IFERROR(A365+0,A365),tbl_Onsite[Job Number],0)))="","",INDEX(tbl_Onsite[Notes],IFERROR(MATCH(A365&amp;"",tbl_Onsite[Job Number],0),MATCH(IFERROR(A365+0,A365),tbl_Onsite[Job Number],0)))),IFERROR(IF(INDEX(tbl_Production[Notes],IFERROR(MATCH(A365&amp;"",tbl_Production[Job Number],0),MATCH(IFERROR(A365+0,A365),tbl_Production[Job Number],0)))="","",INDEX(tbl_Production[Notes],IFERROR(MATCH(A365&amp;"",tbl_Production[Job Number],0),MATCH(IFERROR(A365+0,A365),tbl_Production[Job Number],0)))),IFERROR(IF(INDEX(tbl_Consulting[Notes],IFERROR(MATCH(A365&amp;"",tbl_Consulting[Job Number],0),MATCH(IFERROR(A365+0,A365),tbl_Consulting[Job Number],0)))="","",INDEX(tbl_Consulting[Notes],IFERROR(MATCH(A365&amp;"",tbl_Consulting[Job Number],0),MATCH(IFERROR(A365+0,A365),tbl_Consulting[Job Number],0)))),""))))</f>
        <v/>
      </c>
    </row>
    <row r="366" ht="15" customHeight="1">
      <c r="A366" s="22" t="n"/>
      <c r="B366" s="22" t="n"/>
      <c r="C366" s="23" t="n"/>
      <c r="D366" s="22" t="n"/>
      <c r="E366" s="24" t="n"/>
      <c r="F366" s="25">
        <f>IF(C366="","",EOMONTH(C366,0))</f>
        <v/>
      </c>
      <c r="G366" s="26">
        <f>IF(A366="","",IF(COUNTIF(tbl_Onsite[Job Number],A366&amp;"")&gt;0,"Onsite",IF(COUNTIF(tbl_Production[Job Number],A366&amp;"")&gt;0,"Production",IF(COUNTIF(tbl_Consulting[Job Number],A366&amp;"")&gt;0,"Consulting","not set up yet"))))</f>
        <v/>
      </c>
      <c r="H366" s="26">
        <f>IF(A366="","",IF(COUNTIF(lst_Jobs,A366&amp;"")&gt;0,"OK","CHECK"))</f>
        <v/>
      </c>
      <c r="I366" s="26">
        <f>IF(A366="","",IFERROR(INDEX(lst_JobName,MATCH(A366&amp;"",lst_Jobs,0)),""))</f>
        <v/>
      </c>
      <c r="J366" s="26">
        <f>IF(A366="","",IFERROR(IF(INDEX(tbl_Onsite[Client],IFERROR(MATCH(A366&amp;"",tbl_Onsite[Job Number],0),MATCH(IFERROR(A366+0,A366),tbl_Onsite[Job Number],0)))="","",INDEX(tbl_Onsite[Client],IFERROR(MATCH(A366&amp;"",tbl_Onsite[Job Number],0),MATCH(IFERROR(A366+0,A366),tbl_Onsite[Job Number],0)))),IFERROR(IF(INDEX(tbl_Production[Client],IFERROR(MATCH(A366&amp;"",tbl_Production[Job Number],0),MATCH(IFERROR(A366+0,A366),tbl_Production[Job Number],0)))="","",INDEX(tbl_Production[Client],IFERROR(MATCH(A366&amp;"",tbl_Production[Job Number],0),MATCH(IFERROR(A366+0,A366),tbl_Production[Job Number],0)))),IFERROR(IF(INDEX(tbl_Consulting[Client],IFERROR(MATCH(A366&amp;"",tbl_Consulting[Job Number],0),MATCH(IFERROR(A366+0,A366),tbl_Consulting[Job Number],0)))="","",INDEX(tbl_Consulting[Client],IFERROR(MATCH(A366&amp;"",tbl_Consulting[Job Number],0),MATCH(IFERROR(A366+0,A366),tbl_Consulting[Job Number],0)))),""))))</f>
        <v/>
      </c>
      <c r="K366" s="26">
        <f>IF(A366="","",IFERROR(IF(INDEX(tbl_Onsite[Job Description],IFERROR(MATCH(A366&amp;"",tbl_Onsite[Job Number],0),MATCH(IFERROR(A366+0,A366),tbl_Onsite[Job Number],0)))="","",INDEX(tbl_Onsite[Job Description],IFERROR(MATCH(A366&amp;"",tbl_Onsite[Job Number],0),MATCH(IFERROR(A366+0,A366),tbl_Onsite[Job Number],0)))),IFERROR(IF(INDEX(tbl_Production[Job Description],IFERROR(MATCH(A366&amp;"",tbl_Production[Job Number],0),MATCH(IFERROR(A366+0,A366),tbl_Production[Job Number],0)))="","",INDEX(tbl_Production[Job Description],IFERROR(MATCH(A366&amp;"",tbl_Production[Job Number],0),MATCH(IFERROR(A366+0,A366),tbl_Production[Job Number],0)))),IFERROR(IF(INDEX(tbl_Consulting[Job Description],IFERROR(MATCH(A366&amp;"",tbl_Consulting[Job Number],0),MATCH(IFERROR(A366+0,A366),tbl_Consulting[Job Number],0)))="","",INDEX(tbl_Consulting[Job Description],IFERROR(MATCH(A366&amp;"",tbl_Consulting[Job Number],0),MATCH(IFERROR(A366+0,A366),tbl_Consulting[Job Number],0)))),""))))</f>
        <v/>
      </c>
      <c r="L366" s="26">
        <f>IF(A366="","",IFERROR(IF(INDEX(tbl_Onsite[Invoice Type],IFERROR(MATCH(A366&amp;"",tbl_Onsite[Job Number],0),MATCH(IFERROR(A366+0,A366),tbl_Onsite[Job Number],0)))="","",INDEX(tbl_Onsite[Invoice Type],IFERROR(MATCH(A366&amp;"",tbl_Onsite[Job Number],0),MATCH(IFERROR(A366+0,A366),tbl_Onsite[Job Number],0)))),IFERROR(IF(INDEX(tbl_Production[Invoice Type],IFERROR(MATCH(A366&amp;"",tbl_Production[Job Number],0),MATCH(IFERROR(A366+0,A366),tbl_Production[Job Number],0)))="","",INDEX(tbl_Production[Invoice Type],IFERROR(MATCH(A366&amp;"",tbl_Production[Job Number],0),MATCH(IFERROR(A366+0,A366),tbl_Production[Job Number],0)))),IFERROR(IF(INDEX(tbl_Consulting[Invoice Type],IFERROR(MATCH(A366&amp;"",tbl_Consulting[Job Number],0),MATCH(IFERROR(A366+0,A366),tbl_Consulting[Job Number],0)))="","",INDEX(tbl_Consulting[Invoice Type],IFERROR(MATCH(A366&amp;"",tbl_Consulting[Job Number],0),MATCH(IFERROR(A366+0,A366),tbl_Consulting[Job Number],0)))),""))))</f>
        <v/>
      </c>
      <c r="M366" s="26">
        <f>IF(A366="","",IF(IFERROR(IF(INDEX(tbl_Onsite[Tax Code],IFERROR(MATCH(A366&amp;"",tbl_Onsite[Job Number],0),MATCH(IFERROR(A366+0,A366),tbl_Onsite[Job Number],0)))="","",INDEX(tbl_Onsite[Tax Code],IFERROR(MATCH(A366&amp;"",tbl_Onsite[Job Number],0),MATCH(IFERROR(A366+0,A366),tbl_Onsite[Job Number],0)))),IFERROR(IF(INDEX(tbl_Production[Tax Code],IFERROR(MATCH(A366&amp;"",tbl_Production[Job Number],0),MATCH(IFERROR(A366+0,A366),tbl_Production[Job Number],0)))="","",INDEX(tbl_Production[Tax Code],IFERROR(MATCH(A366&amp;"",tbl_Production[Job Number],0),MATCH(IFERROR(A366+0,A366),tbl_Production[Job Number],0)))),IFERROR(IF(INDEX(tbl_Consulting[Tax Code],IFERROR(MATCH(A366&amp;"",tbl_Consulting[Job Number],0),MATCH(IFERROR(A366+0,A366),tbl_Consulting[Job Number],0)))="","",INDEX(tbl_Consulting[Tax Code],IFERROR(MATCH(A366&amp;"",tbl_Consulting[Job Number],0),MATCH(IFERROR(A366+0,A366),tbl_Consulting[Job Number],0)))),"")))="","GST 10%",IFERROR(IF(INDEX(tbl_Onsite[Tax Code],IFERROR(MATCH(A366&amp;"",tbl_Onsite[Job Number],0),MATCH(IFERROR(A366+0,A366),tbl_Onsite[Job Number],0)))="","",INDEX(tbl_Onsite[Tax Code],IFERROR(MATCH(A366&amp;"",tbl_Onsite[Job Number],0),MATCH(IFERROR(A366+0,A366),tbl_Onsite[Job Number],0)))),IFERROR(IF(INDEX(tbl_Production[Tax Code],IFERROR(MATCH(A366&amp;"",tbl_Production[Job Number],0),MATCH(IFERROR(A366+0,A366),tbl_Production[Job Number],0)))="","",INDEX(tbl_Production[Tax Code],IFERROR(MATCH(A366&amp;"",tbl_Production[Job Number],0),MATCH(IFERROR(A366+0,A366),tbl_Production[Job Number],0)))),IFERROR(IF(INDEX(tbl_Consulting[Tax Code],IFERROR(MATCH(A366&amp;"",tbl_Consulting[Job Number],0),MATCH(IFERROR(A366+0,A366),tbl_Consulting[Job Number],0)))="","",INDEX(tbl_Consulting[Tax Code],IFERROR(MATCH(A366&amp;"",tbl_Consulting[Job Number],0),MATCH(IFERROR(A366+0,A366),tbl_Consulting[Job Number],0)))),"")))))</f>
        <v/>
      </c>
      <c r="N366" s="26">
        <f>IF(D366="","",IFERROR(INDEX(lst_CCtoGL,MATCH(D366,lst_CCforGL,0)),""))</f>
        <v/>
      </c>
      <c r="O366" s="27">
        <f>IF(E366="","",IF(M366="GST 10%",ROUND(E366*set_GSTRate,2),0))</f>
        <v/>
      </c>
      <c r="P366" s="27">
        <f>IF(E366="","",E366+O366)</f>
        <v/>
      </c>
      <c r="Q366" s="27">
        <f>IF(A366="","",IFERROR(INDEX(tbl_Onsite[Expected Revenue Ex GST],IFERROR(MATCH(A366&amp;"",tbl_Onsite[Job Number],0),MATCH(IFERROR(A366+0,A366),tbl_Onsite[Job Number],0))),IFERROR(INDEX(tbl_Production[Expected Revenue Ex GST],IFERROR(MATCH(A366&amp;"",tbl_Production[Job Number],0),MATCH(IFERROR(A366+0,A366),tbl_Production[Job Number],0))),IFERROR(INDEX(tbl_Consulting[Expected Revenue Ex GST],IFERROR(MATCH(A366&amp;"",tbl_Consulting[Job Number],0),MATCH(IFERROR(A366+0,A366),tbl_Consulting[Job Number],0))),0))))</f>
        <v/>
      </c>
      <c r="R366" s="27">
        <f>IF(A366="","",SUMIFS(tbl_Finance[Ex GST],tbl_Finance[Job Number],A366&amp;""))</f>
        <v/>
      </c>
      <c r="S366" s="27">
        <f>IF(A366="","",Q366-R366)</f>
        <v/>
      </c>
      <c r="T366" s="26">
        <f>IF(A366="","",IF(Q366=0,"No dept value",IF(ROUND(S366,2)=0,"Agrees",IF(S366&gt;0,"Dept higher - to invoice","Xero higher - check dept"))))</f>
        <v/>
      </c>
      <c r="U366" s="22" t="n"/>
      <c r="V366" s="22" t="n"/>
      <c r="W366" s="23" t="n"/>
      <c r="X366" s="23" t="n"/>
      <c r="Y366" s="22" t="n"/>
      <c r="Z366" s="22" t="n"/>
      <c r="AA366" s="26">
        <f>IF(COUNTA(C366,A366,B366,E366)=0,"",IF(C366="","No date - sits outside every month",IF(A366="","No job number",IF(H366="CHECK","Job number is not in the Xero job list",IF(G366="not set up yet","No department has set this job up - nothing can pull through",IF(D366="","No cost centre",IF(AND(U366="Y",B366=""),"Marked posted to Xero but has no invoice number",IF(N366="","Cost centre has no revenue GL on the Lists sheet",IF(T366="Xero higher - check dept","Invoiced more than the department says the job is worth","")))))))))</f>
        <v/>
      </c>
      <c r="AB366" s="28">
        <f>IF(A366="","",COUNTIFS(tbl_Finance[Job Number],A366&amp;"",tbl_Finance[Ex GST],"&lt;&gt;"))</f>
        <v/>
      </c>
      <c r="AC366" s="27">
        <f>IF(A366="","",SUMIFS(tbl_Finance[Ex GST],tbl_Finance[Job Number],A366&amp;""))</f>
        <v/>
      </c>
      <c r="AD366" s="27">
        <f>IF(A366="","",SUMIFS(tbl_Finance[Ex GST],tbl_Finance[Job Number],A366&amp;"",tbl_Finance[Xero Invoice No],"&lt;&gt;"))</f>
        <v/>
      </c>
      <c r="AE366" s="27">
        <f>IF(A366="","",AC366-AD366)</f>
        <v/>
      </c>
      <c r="AF366" s="26">
        <f>IF(A366="","",IFERROR(IF(INDEX(tbl_Onsite[Qwilr Quote],IFERROR(MATCH(A366&amp;"",tbl_Onsite[Job Number],0),MATCH(IFERROR(A366+0,A366),tbl_Onsite[Job Number],0)))="","",INDEX(tbl_Onsite[Qwilr Quote],IFERROR(MATCH(A366&amp;"",tbl_Onsite[Job Number],0),MATCH(IFERROR(A366+0,A366),tbl_Onsite[Job Number],0)))),IFERROR(IF(IF(INDEX(tbl_Production[Current RMS No],IFERROR(MATCH(A366&amp;"",tbl_Production[Job Number],0),MATCH(IFERROR(A366+0,A366),tbl_Production[Job Number],0)))="",INDEX(tbl_Production[Qwilr Quote],IFERROR(MATCH(A366&amp;"",tbl_Production[Job Number],0),MATCH(IFERROR(A366+0,A366),tbl_Production[Job Number],0))),INDEX(tbl_Production[Current RMS No],IFERROR(MATCH(A366&amp;"",tbl_Production[Job Number],0),MATCH(IFERROR(A366+0,A366),tbl_Production[Job Number],0))))="","",IF(INDEX(tbl_Production[Current RMS No],IFERROR(MATCH(A366&amp;"",tbl_Production[Job Number],0),MATCH(IFERROR(A366+0,A366),tbl_Production[Job Number],0)))="",INDEX(tbl_Production[Qwilr Quote],IFERROR(MATCH(A366&amp;"",tbl_Production[Job Number],0),MATCH(IFERROR(A366+0,A366),tbl_Production[Job Number],0))),INDEX(tbl_Production[Current RMS No],IFERROR(MATCH(A366&amp;"",tbl_Production[Job Number],0),MATCH(IFERROR(A366+0,A366),tbl_Production[Job Number],0))))),IFERROR(IF(INDEX(tbl_Consulting[Qwilr Quote],IFERROR(MATCH(A366&amp;"",tbl_Consulting[Job Number],0),MATCH(IFERROR(A366+0,A366),tbl_Consulting[Job Number],0)))="","",INDEX(tbl_Consulting[Qwilr Quote],IFERROR(MATCH(A366&amp;"",tbl_Consulting[Job Number],0),MATCH(IFERROR(A366+0,A366),tbl_Consulting[Job Number],0)))),""))))</f>
        <v/>
      </c>
      <c r="AG366" s="26">
        <f>IF(AF366="","",IF(AND(LEFT(AF366,4)&lt;&gt;"http",IF(G366="Production",set_RMSBase,set_QwilrBase)=""),"",HYPERLINK(IF(LEFT(AF366,4)="http",AF366,IF(G366="Production",set_RMSBase,set_QwilrBase)&amp;AF366),"Open")))</f>
        <v/>
      </c>
      <c r="AH366" s="27">
        <f>IF(A366="","",IFERROR(INDEX(tbl_Production[Total Expense],IFERROR(MATCH(A366&amp;"",tbl_Production[Job Number],0),MATCH(IFERROR(A366+0,A366),tbl_Production[Job Number],0))),IFERROR(INDEX(tbl_Consulting[Total Expense],IFERROR(MATCH(A366&amp;"",tbl_Consulting[Job Number],0),MATCH(IFERROR(A366+0,A366),tbl_Consulting[Job Number],0))),0)))</f>
        <v/>
      </c>
      <c r="AI366" s="27">
        <f>IF(A366="","",AC366-N(AH366))</f>
        <v/>
      </c>
      <c r="AJ366" s="29">
        <f>IFERROR(AI366/AC366,"")</f>
        <v/>
      </c>
      <c r="AK366" s="26">
        <f>IF(A366="","",IFERROR(IF(INDEX(tbl_Onsite[Notes],IFERROR(MATCH(A366&amp;"",tbl_Onsite[Job Number],0),MATCH(IFERROR(A366+0,A366),tbl_Onsite[Job Number],0)))="","",INDEX(tbl_Onsite[Notes],IFERROR(MATCH(A366&amp;"",tbl_Onsite[Job Number],0),MATCH(IFERROR(A366+0,A366),tbl_Onsite[Job Number],0)))),IFERROR(IF(INDEX(tbl_Production[Notes],IFERROR(MATCH(A366&amp;"",tbl_Production[Job Number],0),MATCH(IFERROR(A366+0,A366),tbl_Production[Job Number],0)))="","",INDEX(tbl_Production[Notes],IFERROR(MATCH(A366&amp;"",tbl_Production[Job Number],0),MATCH(IFERROR(A366+0,A366),tbl_Production[Job Number],0)))),IFERROR(IF(INDEX(tbl_Consulting[Notes],IFERROR(MATCH(A366&amp;"",tbl_Consulting[Job Number],0),MATCH(IFERROR(A366+0,A366),tbl_Consulting[Job Number],0)))="","",INDEX(tbl_Consulting[Notes],IFERROR(MATCH(A366&amp;"",tbl_Consulting[Job Number],0),MATCH(IFERROR(A366+0,A366),tbl_Consulting[Job Number],0)))),""))))</f>
        <v/>
      </c>
    </row>
    <row r="367" ht="15" customHeight="1">
      <c r="A367" s="22" t="n"/>
      <c r="B367" s="22" t="n"/>
      <c r="C367" s="23" t="n"/>
      <c r="D367" s="22" t="n"/>
      <c r="E367" s="24" t="n"/>
      <c r="F367" s="25">
        <f>IF(C367="","",EOMONTH(C367,0))</f>
        <v/>
      </c>
      <c r="G367" s="26">
        <f>IF(A367="","",IF(COUNTIF(tbl_Onsite[Job Number],A367&amp;"")&gt;0,"Onsite",IF(COUNTIF(tbl_Production[Job Number],A367&amp;"")&gt;0,"Production",IF(COUNTIF(tbl_Consulting[Job Number],A367&amp;"")&gt;0,"Consulting","not set up yet"))))</f>
        <v/>
      </c>
      <c r="H367" s="26">
        <f>IF(A367="","",IF(COUNTIF(lst_Jobs,A367&amp;"")&gt;0,"OK","CHECK"))</f>
        <v/>
      </c>
      <c r="I367" s="26">
        <f>IF(A367="","",IFERROR(INDEX(lst_JobName,MATCH(A367&amp;"",lst_Jobs,0)),""))</f>
        <v/>
      </c>
      <c r="J367" s="26">
        <f>IF(A367="","",IFERROR(IF(INDEX(tbl_Onsite[Client],IFERROR(MATCH(A367&amp;"",tbl_Onsite[Job Number],0),MATCH(IFERROR(A367+0,A367),tbl_Onsite[Job Number],0)))="","",INDEX(tbl_Onsite[Client],IFERROR(MATCH(A367&amp;"",tbl_Onsite[Job Number],0),MATCH(IFERROR(A367+0,A367),tbl_Onsite[Job Number],0)))),IFERROR(IF(INDEX(tbl_Production[Client],IFERROR(MATCH(A367&amp;"",tbl_Production[Job Number],0),MATCH(IFERROR(A367+0,A367),tbl_Production[Job Number],0)))="","",INDEX(tbl_Production[Client],IFERROR(MATCH(A367&amp;"",tbl_Production[Job Number],0),MATCH(IFERROR(A367+0,A367),tbl_Production[Job Number],0)))),IFERROR(IF(INDEX(tbl_Consulting[Client],IFERROR(MATCH(A367&amp;"",tbl_Consulting[Job Number],0),MATCH(IFERROR(A367+0,A367),tbl_Consulting[Job Number],0)))="","",INDEX(tbl_Consulting[Client],IFERROR(MATCH(A367&amp;"",tbl_Consulting[Job Number],0),MATCH(IFERROR(A367+0,A367),tbl_Consulting[Job Number],0)))),""))))</f>
        <v/>
      </c>
      <c r="K367" s="26">
        <f>IF(A367="","",IFERROR(IF(INDEX(tbl_Onsite[Job Description],IFERROR(MATCH(A367&amp;"",tbl_Onsite[Job Number],0),MATCH(IFERROR(A367+0,A367),tbl_Onsite[Job Number],0)))="","",INDEX(tbl_Onsite[Job Description],IFERROR(MATCH(A367&amp;"",tbl_Onsite[Job Number],0),MATCH(IFERROR(A367+0,A367),tbl_Onsite[Job Number],0)))),IFERROR(IF(INDEX(tbl_Production[Job Description],IFERROR(MATCH(A367&amp;"",tbl_Production[Job Number],0),MATCH(IFERROR(A367+0,A367),tbl_Production[Job Number],0)))="","",INDEX(tbl_Production[Job Description],IFERROR(MATCH(A367&amp;"",tbl_Production[Job Number],0),MATCH(IFERROR(A367+0,A367),tbl_Production[Job Number],0)))),IFERROR(IF(INDEX(tbl_Consulting[Job Description],IFERROR(MATCH(A367&amp;"",tbl_Consulting[Job Number],0),MATCH(IFERROR(A367+0,A367),tbl_Consulting[Job Number],0)))="","",INDEX(tbl_Consulting[Job Description],IFERROR(MATCH(A367&amp;"",tbl_Consulting[Job Number],0),MATCH(IFERROR(A367+0,A367),tbl_Consulting[Job Number],0)))),""))))</f>
        <v/>
      </c>
      <c r="L367" s="26">
        <f>IF(A367="","",IFERROR(IF(INDEX(tbl_Onsite[Invoice Type],IFERROR(MATCH(A367&amp;"",tbl_Onsite[Job Number],0),MATCH(IFERROR(A367+0,A367),tbl_Onsite[Job Number],0)))="","",INDEX(tbl_Onsite[Invoice Type],IFERROR(MATCH(A367&amp;"",tbl_Onsite[Job Number],0),MATCH(IFERROR(A367+0,A367),tbl_Onsite[Job Number],0)))),IFERROR(IF(INDEX(tbl_Production[Invoice Type],IFERROR(MATCH(A367&amp;"",tbl_Production[Job Number],0),MATCH(IFERROR(A367+0,A367),tbl_Production[Job Number],0)))="","",INDEX(tbl_Production[Invoice Type],IFERROR(MATCH(A367&amp;"",tbl_Production[Job Number],0),MATCH(IFERROR(A367+0,A367),tbl_Production[Job Number],0)))),IFERROR(IF(INDEX(tbl_Consulting[Invoice Type],IFERROR(MATCH(A367&amp;"",tbl_Consulting[Job Number],0),MATCH(IFERROR(A367+0,A367),tbl_Consulting[Job Number],0)))="","",INDEX(tbl_Consulting[Invoice Type],IFERROR(MATCH(A367&amp;"",tbl_Consulting[Job Number],0),MATCH(IFERROR(A367+0,A367),tbl_Consulting[Job Number],0)))),""))))</f>
        <v/>
      </c>
      <c r="M367" s="26">
        <f>IF(A367="","",IF(IFERROR(IF(INDEX(tbl_Onsite[Tax Code],IFERROR(MATCH(A367&amp;"",tbl_Onsite[Job Number],0),MATCH(IFERROR(A367+0,A367),tbl_Onsite[Job Number],0)))="","",INDEX(tbl_Onsite[Tax Code],IFERROR(MATCH(A367&amp;"",tbl_Onsite[Job Number],0),MATCH(IFERROR(A367+0,A367),tbl_Onsite[Job Number],0)))),IFERROR(IF(INDEX(tbl_Production[Tax Code],IFERROR(MATCH(A367&amp;"",tbl_Production[Job Number],0),MATCH(IFERROR(A367+0,A367),tbl_Production[Job Number],0)))="","",INDEX(tbl_Production[Tax Code],IFERROR(MATCH(A367&amp;"",tbl_Production[Job Number],0),MATCH(IFERROR(A367+0,A367),tbl_Production[Job Number],0)))),IFERROR(IF(INDEX(tbl_Consulting[Tax Code],IFERROR(MATCH(A367&amp;"",tbl_Consulting[Job Number],0),MATCH(IFERROR(A367+0,A367),tbl_Consulting[Job Number],0)))="","",INDEX(tbl_Consulting[Tax Code],IFERROR(MATCH(A367&amp;"",tbl_Consulting[Job Number],0),MATCH(IFERROR(A367+0,A367),tbl_Consulting[Job Number],0)))),"")))="","GST 10%",IFERROR(IF(INDEX(tbl_Onsite[Tax Code],IFERROR(MATCH(A367&amp;"",tbl_Onsite[Job Number],0),MATCH(IFERROR(A367+0,A367),tbl_Onsite[Job Number],0)))="","",INDEX(tbl_Onsite[Tax Code],IFERROR(MATCH(A367&amp;"",tbl_Onsite[Job Number],0),MATCH(IFERROR(A367+0,A367),tbl_Onsite[Job Number],0)))),IFERROR(IF(INDEX(tbl_Production[Tax Code],IFERROR(MATCH(A367&amp;"",tbl_Production[Job Number],0),MATCH(IFERROR(A367+0,A367),tbl_Production[Job Number],0)))="","",INDEX(tbl_Production[Tax Code],IFERROR(MATCH(A367&amp;"",tbl_Production[Job Number],0),MATCH(IFERROR(A367+0,A367),tbl_Production[Job Number],0)))),IFERROR(IF(INDEX(tbl_Consulting[Tax Code],IFERROR(MATCH(A367&amp;"",tbl_Consulting[Job Number],0),MATCH(IFERROR(A367+0,A367),tbl_Consulting[Job Number],0)))="","",INDEX(tbl_Consulting[Tax Code],IFERROR(MATCH(A367&amp;"",tbl_Consulting[Job Number],0),MATCH(IFERROR(A367+0,A367),tbl_Consulting[Job Number],0)))),"")))))</f>
        <v/>
      </c>
      <c r="N367" s="26">
        <f>IF(D367="","",IFERROR(INDEX(lst_CCtoGL,MATCH(D367,lst_CCforGL,0)),""))</f>
        <v/>
      </c>
      <c r="O367" s="27">
        <f>IF(E367="","",IF(M367="GST 10%",ROUND(E367*set_GSTRate,2),0))</f>
        <v/>
      </c>
      <c r="P367" s="27">
        <f>IF(E367="","",E367+O367)</f>
        <v/>
      </c>
      <c r="Q367" s="27">
        <f>IF(A367="","",IFERROR(INDEX(tbl_Onsite[Expected Revenue Ex GST],IFERROR(MATCH(A367&amp;"",tbl_Onsite[Job Number],0),MATCH(IFERROR(A367+0,A367),tbl_Onsite[Job Number],0))),IFERROR(INDEX(tbl_Production[Expected Revenue Ex GST],IFERROR(MATCH(A367&amp;"",tbl_Production[Job Number],0),MATCH(IFERROR(A367+0,A367),tbl_Production[Job Number],0))),IFERROR(INDEX(tbl_Consulting[Expected Revenue Ex GST],IFERROR(MATCH(A367&amp;"",tbl_Consulting[Job Number],0),MATCH(IFERROR(A367+0,A367),tbl_Consulting[Job Number],0))),0))))</f>
        <v/>
      </c>
      <c r="R367" s="27">
        <f>IF(A367="","",SUMIFS(tbl_Finance[Ex GST],tbl_Finance[Job Number],A367&amp;""))</f>
        <v/>
      </c>
      <c r="S367" s="27">
        <f>IF(A367="","",Q367-R367)</f>
        <v/>
      </c>
      <c r="T367" s="26">
        <f>IF(A367="","",IF(Q367=0,"No dept value",IF(ROUND(S367,2)=0,"Agrees",IF(S367&gt;0,"Dept higher - to invoice","Xero higher - check dept"))))</f>
        <v/>
      </c>
      <c r="U367" s="22" t="n"/>
      <c r="V367" s="22" t="n"/>
      <c r="W367" s="23" t="n"/>
      <c r="X367" s="23" t="n"/>
      <c r="Y367" s="22" t="n"/>
      <c r="Z367" s="22" t="n"/>
      <c r="AA367" s="26">
        <f>IF(COUNTA(C367,A367,B367,E367)=0,"",IF(C367="","No date - sits outside every month",IF(A367="","No job number",IF(H367="CHECK","Job number is not in the Xero job list",IF(G367="not set up yet","No department has set this job up - nothing can pull through",IF(D367="","No cost centre",IF(AND(U367="Y",B367=""),"Marked posted to Xero but has no invoice number",IF(N367="","Cost centre has no revenue GL on the Lists sheet",IF(T367="Xero higher - check dept","Invoiced more than the department says the job is worth","")))))))))</f>
        <v/>
      </c>
      <c r="AB367" s="28">
        <f>IF(A367="","",COUNTIFS(tbl_Finance[Job Number],A367&amp;"",tbl_Finance[Ex GST],"&lt;&gt;"))</f>
        <v/>
      </c>
      <c r="AC367" s="27">
        <f>IF(A367="","",SUMIFS(tbl_Finance[Ex GST],tbl_Finance[Job Number],A367&amp;""))</f>
        <v/>
      </c>
      <c r="AD367" s="27">
        <f>IF(A367="","",SUMIFS(tbl_Finance[Ex GST],tbl_Finance[Job Number],A367&amp;"",tbl_Finance[Xero Invoice No],"&lt;&gt;"))</f>
        <v/>
      </c>
      <c r="AE367" s="27">
        <f>IF(A367="","",AC367-AD367)</f>
        <v/>
      </c>
      <c r="AF367" s="26">
        <f>IF(A367="","",IFERROR(IF(INDEX(tbl_Onsite[Qwilr Quote],IFERROR(MATCH(A367&amp;"",tbl_Onsite[Job Number],0),MATCH(IFERROR(A367+0,A367),tbl_Onsite[Job Number],0)))="","",INDEX(tbl_Onsite[Qwilr Quote],IFERROR(MATCH(A367&amp;"",tbl_Onsite[Job Number],0),MATCH(IFERROR(A367+0,A367),tbl_Onsite[Job Number],0)))),IFERROR(IF(IF(INDEX(tbl_Production[Current RMS No],IFERROR(MATCH(A367&amp;"",tbl_Production[Job Number],0),MATCH(IFERROR(A367+0,A367),tbl_Production[Job Number],0)))="",INDEX(tbl_Production[Qwilr Quote],IFERROR(MATCH(A367&amp;"",tbl_Production[Job Number],0),MATCH(IFERROR(A367+0,A367),tbl_Production[Job Number],0))),INDEX(tbl_Production[Current RMS No],IFERROR(MATCH(A367&amp;"",tbl_Production[Job Number],0),MATCH(IFERROR(A367+0,A367),tbl_Production[Job Number],0))))="","",IF(INDEX(tbl_Production[Current RMS No],IFERROR(MATCH(A367&amp;"",tbl_Production[Job Number],0),MATCH(IFERROR(A367+0,A367),tbl_Production[Job Number],0)))="",INDEX(tbl_Production[Qwilr Quote],IFERROR(MATCH(A367&amp;"",tbl_Production[Job Number],0),MATCH(IFERROR(A367+0,A367),tbl_Production[Job Number],0))),INDEX(tbl_Production[Current RMS No],IFERROR(MATCH(A367&amp;"",tbl_Production[Job Number],0),MATCH(IFERROR(A367+0,A367),tbl_Production[Job Number],0))))),IFERROR(IF(INDEX(tbl_Consulting[Qwilr Quote],IFERROR(MATCH(A367&amp;"",tbl_Consulting[Job Number],0),MATCH(IFERROR(A367+0,A367),tbl_Consulting[Job Number],0)))="","",INDEX(tbl_Consulting[Qwilr Quote],IFERROR(MATCH(A367&amp;"",tbl_Consulting[Job Number],0),MATCH(IFERROR(A367+0,A367),tbl_Consulting[Job Number],0)))),""))))</f>
        <v/>
      </c>
      <c r="AG367" s="26">
        <f>IF(AF367="","",IF(AND(LEFT(AF367,4)&lt;&gt;"http",IF(G367="Production",set_RMSBase,set_QwilrBase)=""),"",HYPERLINK(IF(LEFT(AF367,4)="http",AF367,IF(G367="Production",set_RMSBase,set_QwilrBase)&amp;AF367),"Open")))</f>
        <v/>
      </c>
      <c r="AH367" s="27">
        <f>IF(A367="","",IFERROR(INDEX(tbl_Production[Total Expense],IFERROR(MATCH(A367&amp;"",tbl_Production[Job Number],0),MATCH(IFERROR(A367+0,A367),tbl_Production[Job Number],0))),IFERROR(INDEX(tbl_Consulting[Total Expense],IFERROR(MATCH(A367&amp;"",tbl_Consulting[Job Number],0),MATCH(IFERROR(A367+0,A367),tbl_Consulting[Job Number],0))),0)))</f>
        <v/>
      </c>
      <c r="AI367" s="27">
        <f>IF(A367="","",AC367-N(AH367))</f>
        <v/>
      </c>
      <c r="AJ367" s="29">
        <f>IFERROR(AI367/AC367,"")</f>
        <v/>
      </c>
      <c r="AK367" s="26">
        <f>IF(A367="","",IFERROR(IF(INDEX(tbl_Onsite[Notes],IFERROR(MATCH(A367&amp;"",tbl_Onsite[Job Number],0),MATCH(IFERROR(A367+0,A367),tbl_Onsite[Job Number],0)))="","",INDEX(tbl_Onsite[Notes],IFERROR(MATCH(A367&amp;"",tbl_Onsite[Job Number],0),MATCH(IFERROR(A367+0,A367),tbl_Onsite[Job Number],0)))),IFERROR(IF(INDEX(tbl_Production[Notes],IFERROR(MATCH(A367&amp;"",tbl_Production[Job Number],0),MATCH(IFERROR(A367+0,A367),tbl_Production[Job Number],0)))="","",INDEX(tbl_Production[Notes],IFERROR(MATCH(A367&amp;"",tbl_Production[Job Number],0),MATCH(IFERROR(A367+0,A367),tbl_Production[Job Number],0)))),IFERROR(IF(INDEX(tbl_Consulting[Notes],IFERROR(MATCH(A367&amp;"",tbl_Consulting[Job Number],0),MATCH(IFERROR(A367+0,A367),tbl_Consulting[Job Number],0)))="","",INDEX(tbl_Consulting[Notes],IFERROR(MATCH(A367&amp;"",tbl_Consulting[Job Number],0),MATCH(IFERROR(A367+0,A367),tbl_Consulting[Job Number],0)))),""))))</f>
        <v/>
      </c>
    </row>
    <row r="368" ht="15" customHeight="1">
      <c r="A368" s="22" t="n"/>
      <c r="B368" s="22" t="n"/>
      <c r="C368" s="23" t="n"/>
      <c r="D368" s="22" t="n"/>
      <c r="E368" s="24" t="n"/>
      <c r="F368" s="25">
        <f>IF(C368="","",EOMONTH(C368,0))</f>
        <v/>
      </c>
      <c r="G368" s="26">
        <f>IF(A368="","",IF(COUNTIF(tbl_Onsite[Job Number],A368&amp;"")&gt;0,"Onsite",IF(COUNTIF(tbl_Production[Job Number],A368&amp;"")&gt;0,"Production",IF(COUNTIF(tbl_Consulting[Job Number],A368&amp;"")&gt;0,"Consulting","not set up yet"))))</f>
        <v/>
      </c>
      <c r="H368" s="26">
        <f>IF(A368="","",IF(COUNTIF(lst_Jobs,A368&amp;"")&gt;0,"OK","CHECK"))</f>
        <v/>
      </c>
      <c r="I368" s="26">
        <f>IF(A368="","",IFERROR(INDEX(lst_JobName,MATCH(A368&amp;"",lst_Jobs,0)),""))</f>
        <v/>
      </c>
      <c r="J368" s="26">
        <f>IF(A368="","",IFERROR(IF(INDEX(tbl_Onsite[Client],IFERROR(MATCH(A368&amp;"",tbl_Onsite[Job Number],0),MATCH(IFERROR(A368+0,A368),tbl_Onsite[Job Number],0)))="","",INDEX(tbl_Onsite[Client],IFERROR(MATCH(A368&amp;"",tbl_Onsite[Job Number],0),MATCH(IFERROR(A368+0,A368),tbl_Onsite[Job Number],0)))),IFERROR(IF(INDEX(tbl_Production[Client],IFERROR(MATCH(A368&amp;"",tbl_Production[Job Number],0),MATCH(IFERROR(A368+0,A368),tbl_Production[Job Number],0)))="","",INDEX(tbl_Production[Client],IFERROR(MATCH(A368&amp;"",tbl_Production[Job Number],0),MATCH(IFERROR(A368+0,A368),tbl_Production[Job Number],0)))),IFERROR(IF(INDEX(tbl_Consulting[Client],IFERROR(MATCH(A368&amp;"",tbl_Consulting[Job Number],0),MATCH(IFERROR(A368+0,A368),tbl_Consulting[Job Number],0)))="","",INDEX(tbl_Consulting[Client],IFERROR(MATCH(A368&amp;"",tbl_Consulting[Job Number],0),MATCH(IFERROR(A368+0,A368),tbl_Consulting[Job Number],0)))),""))))</f>
        <v/>
      </c>
      <c r="K368" s="26">
        <f>IF(A368="","",IFERROR(IF(INDEX(tbl_Onsite[Job Description],IFERROR(MATCH(A368&amp;"",tbl_Onsite[Job Number],0),MATCH(IFERROR(A368+0,A368),tbl_Onsite[Job Number],0)))="","",INDEX(tbl_Onsite[Job Description],IFERROR(MATCH(A368&amp;"",tbl_Onsite[Job Number],0),MATCH(IFERROR(A368+0,A368),tbl_Onsite[Job Number],0)))),IFERROR(IF(INDEX(tbl_Production[Job Description],IFERROR(MATCH(A368&amp;"",tbl_Production[Job Number],0),MATCH(IFERROR(A368+0,A368),tbl_Production[Job Number],0)))="","",INDEX(tbl_Production[Job Description],IFERROR(MATCH(A368&amp;"",tbl_Production[Job Number],0),MATCH(IFERROR(A368+0,A368),tbl_Production[Job Number],0)))),IFERROR(IF(INDEX(tbl_Consulting[Job Description],IFERROR(MATCH(A368&amp;"",tbl_Consulting[Job Number],0),MATCH(IFERROR(A368+0,A368),tbl_Consulting[Job Number],0)))="","",INDEX(tbl_Consulting[Job Description],IFERROR(MATCH(A368&amp;"",tbl_Consulting[Job Number],0),MATCH(IFERROR(A368+0,A368),tbl_Consulting[Job Number],0)))),""))))</f>
        <v/>
      </c>
      <c r="L368" s="26">
        <f>IF(A368="","",IFERROR(IF(INDEX(tbl_Onsite[Invoice Type],IFERROR(MATCH(A368&amp;"",tbl_Onsite[Job Number],0),MATCH(IFERROR(A368+0,A368),tbl_Onsite[Job Number],0)))="","",INDEX(tbl_Onsite[Invoice Type],IFERROR(MATCH(A368&amp;"",tbl_Onsite[Job Number],0),MATCH(IFERROR(A368+0,A368),tbl_Onsite[Job Number],0)))),IFERROR(IF(INDEX(tbl_Production[Invoice Type],IFERROR(MATCH(A368&amp;"",tbl_Production[Job Number],0),MATCH(IFERROR(A368+0,A368),tbl_Production[Job Number],0)))="","",INDEX(tbl_Production[Invoice Type],IFERROR(MATCH(A368&amp;"",tbl_Production[Job Number],0),MATCH(IFERROR(A368+0,A368),tbl_Production[Job Number],0)))),IFERROR(IF(INDEX(tbl_Consulting[Invoice Type],IFERROR(MATCH(A368&amp;"",tbl_Consulting[Job Number],0),MATCH(IFERROR(A368+0,A368),tbl_Consulting[Job Number],0)))="","",INDEX(tbl_Consulting[Invoice Type],IFERROR(MATCH(A368&amp;"",tbl_Consulting[Job Number],0),MATCH(IFERROR(A368+0,A368),tbl_Consulting[Job Number],0)))),""))))</f>
        <v/>
      </c>
      <c r="M368" s="26">
        <f>IF(A368="","",IF(IFERROR(IF(INDEX(tbl_Onsite[Tax Code],IFERROR(MATCH(A368&amp;"",tbl_Onsite[Job Number],0),MATCH(IFERROR(A368+0,A368),tbl_Onsite[Job Number],0)))="","",INDEX(tbl_Onsite[Tax Code],IFERROR(MATCH(A368&amp;"",tbl_Onsite[Job Number],0),MATCH(IFERROR(A368+0,A368),tbl_Onsite[Job Number],0)))),IFERROR(IF(INDEX(tbl_Production[Tax Code],IFERROR(MATCH(A368&amp;"",tbl_Production[Job Number],0),MATCH(IFERROR(A368+0,A368),tbl_Production[Job Number],0)))="","",INDEX(tbl_Production[Tax Code],IFERROR(MATCH(A368&amp;"",tbl_Production[Job Number],0),MATCH(IFERROR(A368+0,A368),tbl_Production[Job Number],0)))),IFERROR(IF(INDEX(tbl_Consulting[Tax Code],IFERROR(MATCH(A368&amp;"",tbl_Consulting[Job Number],0),MATCH(IFERROR(A368+0,A368),tbl_Consulting[Job Number],0)))="","",INDEX(tbl_Consulting[Tax Code],IFERROR(MATCH(A368&amp;"",tbl_Consulting[Job Number],0),MATCH(IFERROR(A368+0,A368),tbl_Consulting[Job Number],0)))),"")))="","GST 10%",IFERROR(IF(INDEX(tbl_Onsite[Tax Code],IFERROR(MATCH(A368&amp;"",tbl_Onsite[Job Number],0),MATCH(IFERROR(A368+0,A368),tbl_Onsite[Job Number],0)))="","",INDEX(tbl_Onsite[Tax Code],IFERROR(MATCH(A368&amp;"",tbl_Onsite[Job Number],0),MATCH(IFERROR(A368+0,A368),tbl_Onsite[Job Number],0)))),IFERROR(IF(INDEX(tbl_Production[Tax Code],IFERROR(MATCH(A368&amp;"",tbl_Production[Job Number],0),MATCH(IFERROR(A368+0,A368),tbl_Production[Job Number],0)))="","",INDEX(tbl_Production[Tax Code],IFERROR(MATCH(A368&amp;"",tbl_Production[Job Number],0),MATCH(IFERROR(A368+0,A368),tbl_Production[Job Number],0)))),IFERROR(IF(INDEX(tbl_Consulting[Tax Code],IFERROR(MATCH(A368&amp;"",tbl_Consulting[Job Number],0),MATCH(IFERROR(A368+0,A368),tbl_Consulting[Job Number],0)))="","",INDEX(tbl_Consulting[Tax Code],IFERROR(MATCH(A368&amp;"",tbl_Consulting[Job Number],0),MATCH(IFERROR(A368+0,A368),tbl_Consulting[Job Number],0)))),"")))))</f>
        <v/>
      </c>
      <c r="N368" s="26">
        <f>IF(D368="","",IFERROR(INDEX(lst_CCtoGL,MATCH(D368,lst_CCforGL,0)),""))</f>
        <v/>
      </c>
      <c r="O368" s="27">
        <f>IF(E368="","",IF(M368="GST 10%",ROUND(E368*set_GSTRate,2),0))</f>
        <v/>
      </c>
      <c r="P368" s="27">
        <f>IF(E368="","",E368+O368)</f>
        <v/>
      </c>
      <c r="Q368" s="27">
        <f>IF(A368="","",IFERROR(INDEX(tbl_Onsite[Expected Revenue Ex GST],IFERROR(MATCH(A368&amp;"",tbl_Onsite[Job Number],0),MATCH(IFERROR(A368+0,A368),tbl_Onsite[Job Number],0))),IFERROR(INDEX(tbl_Production[Expected Revenue Ex GST],IFERROR(MATCH(A368&amp;"",tbl_Production[Job Number],0),MATCH(IFERROR(A368+0,A368),tbl_Production[Job Number],0))),IFERROR(INDEX(tbl_Consulting[Expected Revenue Ex GST],IFERROR(MATCH(A368&amp;"",tbl_Consulting[Job Number],0),MATCH(IFERROR(A368+0,A368),tbl_Consulting[Job Number],0))),0))))</f>
        <v/>
      </c>
      <c r="R368" s="27">
        <f>IF(A368="","",SUMIFS(tbl_Finance[Ex GST],tbl_Finance[Job Number],A368&amp;""))</f>
        <v/>
      </c>
      <c r="S368" s="27">
        <f>IF(A368="","",Q368-R368)</f>
        <v/>
      </c>
      <c r="T368" s="26">
        <f>IF(A368="","",IF(Q368=0,"No dept value",IF(ROUND(S368,2)=0,"Agrees",IF(S368&gt;0,"Dept higher - to invoice","Xero higher - check dept"))))</f>
        <v/>
      </c>
      <c r="U368" s="22" t="n"/>
      <c r="V368" s="22" t="n"/>
      <c r="W368" s="23" t="n"/>
      <c r="X368" s="23" t="n"/>
      <c r="Y368" s="22" t="n"/>
      <c r="Z368" s="22" t="n"/>
      <c r="AA368" s="26">
        <f>IF(COUNTA(C368,A368,B368,E368)=0,"",IF(C368="","No date - sits outside every month",IF(A368="","No job number",IF(H368="CHECK","Job number is not in the Xero job list",IF(G368="not set up yet","No department has set this job up - nothing can pull through",IF(D368="","No cost centre",IF(AND(U368="Y",B368=""),"Marked posted to Xero but has no invoice number",IF(N368="","Cost centre has no revenue GL on the Lists sheet",IF(T368="Xero higher - check dept","Invoiced more than the department says the job is worth","")))))))))</f>
        <v/>
      </c>
      <c r="AB368" s="28">
        <f>IF(A368="","",COUNTIFS(tbl_Finance[Job Number],A368&amp;"",tbl_Finance[Ex GST],"&lt;&gt;"))</f>
        <v/>
      </c>
      <c r="AC368" s="27">
        <f>IF(A368="","",SUMIFS(tbl_Finance[Ex GST],tbl_Finance[Job Number],A368&amp;""))</f>
        <v/>
      </c>
      <c r="AD368" s="27">
        <f>IF(A368="","",SUMIFS(tbl_Finance[Ex GST],tbl_Finance[Job Number],A368&amp;"",tbl_Finance[Xero Invoice No],"&lt;&gt;"))</f>
        <v/>
      </c>
      <c r="AE368" s="27">
        <f>IF(A368="","",AC368-AD368)</f>
        <v/>
      </c>
      <c r="AF368" s="26">
        <f>IF(A368="","",IFERROR(IF(INDEX(tbl_Onsite[Qwilr Quote],IFERROR(MATCH(A368&amp;"",tbl_Onsite[Job Number],0),MATCH(IFERROR(A368+0,A368),tbl_Onsite[Job Number],0)))="","",INDEX(tbl_Onsite[Qwilr Quote],IFERROR(MATCH(A368&amp;"",tbl_Onsite[Job Number],0),MATCH(IFERROR(A368+0,A368),tbl_Onsite[Job Number],0)))),IFERROR(IF(IF(INDEX(tbl_Production[Current RMS No],IFERROR(MATCH(A368&amp;"",tbl_Production[Job Number],0),MATCH(IFERROR(A368+0,A368),tbl_Production[Job Number],0)))="",INDEX(tbl_Production[Qwilr Quote],IFERROR(MATCH(A368&amp;"",tbl_Production[Job Number],0),MATCH(IFERROR(A368+0,A368),tbl_Production[Job Number],0))),INDEX(tbl_Production[Current RMS No],IFERROR(MATCH(A368&amp;"",tbl_Production[Job Number],0),MATCH(IFERROR(A368+0,A368),tbl_Production[Job Number],0))))="","",IF(INDEX(tbl_Production[Current RMS No],IFERROR(MATCH(A368&amp;"",tbl_Production[Job Number],0),MATCH(IFERROR(A368+0,A368),tbl_Production[Job Number],0)))="",INDEX(tbl_Production[Qwilr Quote],IFERROR(MATCH(A368&amp;"",tbl_Production[Job Number],0),MATCH(IFERROR(A368+0,A368),tbl_Production[Job Number],0))),INDEX(tbl_Production[Current RMS No],IFERROR(MATCH(A368&amp;"",tbl_Production[Job Number],0),MATCH(IFERROR(A368+0,A368),tbl_Production[Job Number],0))))),IFERROR(IF(INDEX(tbl_Consulting[Qwilr Quote],IFERROR(MATCH(A368&amp;"",tbl_Consulting[Job Number],0),MATCH(IFERROR(A368+0,A368),tbl_Consulting[Job Number],0)))="","",INDEX(tbl_Consulting[Qwilr Quote],IFERROR(MATCH(A368&amp;"",tbl_Consulting[Job Number],0),MATCH(IFERROR(A368+0,A368),tbl_Consulting[Job Number],0)))),""))))</f>
        <v/>
      </c>
      <c r="AG368" s="26">
        <f>IF(AF368="","",IF(AND(LEFT(AF368,4)&lt;&gt;"http",IF(G368="Production",set_RMSBase,set_QwilrBase)=""),"",HYPERLINK(IF(LEFT(AF368,4)="http",AF368,IF(G368="Production",set_RMSBase,set_QwilrBase)&amp;AF368),"Open")))</f>
        <v/>
      </c>
      <c r="AH368" s="27">
        <f>IF(A368="","",IFERROR(INDEX(tbl_Production[Total Expense],IFERROR(MATCH(A368&amp;"",tbl_Production[Job Number],0),MATCH(IFERROR(A368+0,A368),tbl_Production[Job Number],0))),IFERROR(INDEX(tbl_Consulting[Total Expense],IFERROR(MATCH(A368&amp;"",tbl_Consulting[Job Number],0),MATCH(IFERROR(A368+0,A368),tbl_Consulting[Job Number],0))),0)))</f>
        <v/>
      </c>
      <c r="AI368" s="27">
        <f>IF(A368="","",AC368-N(AH368))</f>
        <v/>
      </c>
      <c r="AJ368" s="29">
        <f>IFERROR(AI368/AC368,"")</f>
        <v/>
      </c>
      <c r="AK368" s="26">
        <f>IF(A368="","",IFERROR(IF(INDEX(tbl_Onsite[Notes],IFERROR(MATCH(A368&amp;"",tbl_Onsite[Job Number],0),MATCH(IFERROR(A368+0,A368),tbl_Onsite[Job Number],0)))="","",INDEX(tbl_Onsite[Notes],IFERROR(MATCH(A368&amp;"",tbl_Onsite[Job Number],0),MATCH(IFERROR(A368+0,A368),tbl_Onsite[Job Number],0)))),IFERROR(IF(INDEX(tbl_Production[Notes],IFERROR(MATCH(A368&amp;"",tbl_Production[Job Number],0),MATCH(IFERROR(A368+0,A368),tbl_Production[Job Number],0)))="","",INDEX(tbl_Production[Notes],IFERROR(MATCH(A368&amp;"",tbl_Production[Job Number],0),MATCH(IFERROR(A368+0,A368),tbl_Production[Job Number],0)))),IFERROR(IF(INDEX(tbl_Consulting[Notes],IFERROR(MATCH(A368&amp;"",tbl_Consulting[Job Number],0),MATCH(IFERROR(A368+0,A368),tbl_Consulting[Job Number],0)))="","",INDEX(tbl_Consulting[Notes],IFERROR(MATCH(A368&amp;"",tbl_Consulting[Job Number],0),MATCH(IFERROR(A368+0,A368),tbl_Consulting[Job Number],0)))),""))))</f>
        <v/>
      </c>
    </row>
    <row r="369" ht="15" customHeight="1">
      <c r="A369" s="22" t="n"/>
      <c r="B369" s="22" t="n"/>
      <c r="C369" s="23" t="n"/>
      <c r="D369" s="22" t="n"/>
      <c r="E369" s="24" t="n"/>
      <c r="F369" s="25">
        <f>IF(C369="","",EOMONTH(C369,0))</f>
        <v/>
      </c>
      <c r="G369" s="26">
        <f>IF(A369="","",IF(COUNTIF(tbl_Onsite[Job Number],A369&amp;"")&gt;0,"Onsite",IF(COUNTIF(tbl_Production[Job Number],A369&amp;"")&gt;0,"Production",IF(COUNTIF(tbl_Consulting[Job Number],A369&amp;"")&gt;0,"Consulting","not set up yet"))))</f>
        <v/>
      </c>
      <c r="H369" s="26">
        <f>IF(A369="","",IF(COUNTIF(lst_Jobs,A369&amp;"")&gt;0,"OK","CHECK"))</f>
        <v/>
      </c>
      <c r="I369" s="26">
        <f>IF(A369="","",IFERROR(INDEX(lst_JobName,MATCH(A369&amp;"",lst_Jobs,0)),""))</f>
        <v/>
      </c>
      <c r="J369" s="26">
        <f>IF(A369="","",IFERROR(IF(INDEX(tbl_Onsite[Client],IFERROR(MATCH(A369&amp;"",tbl_Onsite[Job Number],0),MATCH(IFERROR(A369+0,A369),tbl_Onsite[Job Number],0)))="","",INDEX(tbl_Onsite[Client],IFERROR(MATCH(A369&amp;"",tbl_Onsite[Job Number],0),MATCH(IFERROR(A369+0,A369),tbl_Onsite[Job Number],0)))),IFERROR(IF(INDEX(tbl_Production[Client],IFERROR(MATCH(A369&amp;"",tbl_Production[Job Number],0),MATCH(IFERROR(A369+0,A369),tbl_Production[Job Number],0)))="","",INDEX(tbl_Production[Client],IFERROR(MATCH(A369&amp;"",tbl_Production[Job Number],0),MATCH(IFERROR(A369+0,A369),tbl_Production[Job Number],0)))),IFERROR(IF(INDEX(tbl_Consulting[Client],IFERROR(MATCH(A369&amp;"",tbl_Consulting[Job Number],0),MATCH(IFERROR(A369+0,A369),tbl_Consulting[Job Number],0)))="","",INDEX(tbl_Consulting[Client],IFERROR(MATCH(A369&amp;"",tbl_Consulting[Job Number],0),MATCH(IFERROR(A369+0,A369),tbl_Consulting[Job Number],0)))),""))))</f>
        <v/>
      </c>
      <c r="K369" s="26">
        <f>IF(A369="","",IFERROR(IF(INDEX(tbl_Onsite[Job Description],IFERROR(MATCH(A369&amp;"",tbl_Onsite[Job Number],0),MATCH(IFERROR(A369+0,A369),tbl_Onsite[Job Number],0)))="","",INDEX(tbl_Onsite[Job Description],IFERROR(MATCH(A369&amp;"",tbl_Onsite[Job Number],0),MATCH(IFERROR(A369+0,A369),tbl_Onsite[Job Number],0)))),IFERROR(IF(INDEX(tbl_Production[Job Description],IFERROR(MATCH(A369&amp;"",tbl_Production[Job Number],0),MATCH(IFERROR(A369+0,A369),tbl_Production[Job Number],0)))="","",INDEX(tbl_Production[Job Description],IFERROR(MATCH(A369&amp;"",tbl_Production[Job Number],0),MATCH(IFERROR(A369+0,A369),tbl_Production[Job Number],0)))),IFERROR(IF(INDEX(tbl_Consulting[Job Description],IFERROR(MATCH(A369&amp;"",tbl_Consulting[Job Number],0),MATCH(IFERROR(A369+0,A369),tbl_Consulting[Job Number],0)))="","",INDEX(tbl_Consulting[Job Description],IFERROR(MATCH(A369&amp;"",tbl_Consulting[Job Number],0),MATCH(IFERROR(A369+0,A369),tbl_Consulting[Job Number],0)))),""))))</f>
        <v/>
      </c>
      <c r="L369" s="26">
        <f>IF(A369="","",IFERROR(IF(INDEX(tbl_Onsite[Invoice Type],IFERROR(MATCH(A369&amp;"",tbl_Onsite[Job Number],0),MATCH(IFERROR(A369+0,A369),tbl_Onsite[Job Number],0)))="","",INDEX(tbl_Onsite[Invoice Type],IFERROR(MATCH(A369&amp;"",tbl_Onsite[Job Number],0),MATCH(IFERROR(A369+0,A369),tbl_Onsite[Job Number],0)))),IFERROR(IF(INDEX(tbl_Production[Invoice Type],IFERROR(MATCH(A369&amp;"",tbl_Production[Job Number],0),MATCH(IFERROR(A369+0,A369),tbl_Production[Job Number],0)))="","",INDEX(tbl_Production[Invoice Type],IFERROR(MATCH(A369&amp;"",tbl_Production[Job Number],0),MATCH(IFERROR(A369+0,A369),tbl_Production[Job Number],0)))),IFERROR(IF(INDEX(tbl_Consulting[Invoice Type],IFERROR(MATCH(A369&amp;"",tbl_Consulting[Job Number],0),MATCH(IFERROR(A369+0,A369),tbl_Consulting[Job Number],0)))="","",INDEX(tbl_Consulting[Invoice Type],IFERROR(MATCH(A369&amp;"",tbl_Consulting[Job Number],0),MATCH(IFERROR(A369+0,A369),tbl_Consulting[Job Number],0)))),""))))</f>
        <v/>
      </c>
      <c r="M369" s="26">
        <f>IF(A369="","",IF(IFERROR(IF(INDEX(tbl_Onsite[Tax Code],IFERROR(MATCH(A369&amp;"",tbl_Onsite[Job Number],0),MATCH(IFERROR(A369+0,A369),tbl_Onsite[Job Number],0)))="","",INDEX(tbl_Onsite[Tax Code],IFERROR(MATCH(A369&amp;"",tbl_Onsite[Job Number],0),MATCH(IFERROR(A369+0,A369),tbl_Onsite[Job Number],0)))),IFERROR(IF(INDEX(tbl_Production[Tax Code],IFERROR(MATCH(A369&amp;"",tbl_Production[Job Number],0),MATCH(IFERROR(A369+0,A369),tbl_Production[Job Number],0)))="","",INDEX(tbl_Production[Tax Code],IFERROR(MATCH(A369&amp;"",tbl_Production[Job Number],0),MATCH(IFERROR(A369+0,A369),tbl_Production[Job Number],0)))),IFERROR(IF(INDEX(tbl_Consulting[Tax Code],IFERROR(MATCH(A369&amp;"",tbl_Consulting[Job Number],0),MATCH(IFERROR(A369+0,A369),tbl_Consulting[Job Number],0)))="","",INDEX(tbl_Consulting[Tax Code],IFERROR(MATCH(A369&amp;"",tbl_Consulting[Job Number],0),MATCH(IFERROR(A369+0,A369),tbl_Consulting[Job Number],0)))),"")))="","GST 10%",IFERROR(IF(INDEX(tbl_Onsite[Tax Code],IFERROR(MATCH(A369&amp;"",tbl_Onsite[Job Number],0),MATCH(IFERROR(A369+0,A369),tbl_Onsite[Job Number],0)))="","",INDEX(tbl_Onsite[Tax Code],IFERROR(MATCH(A369&amp;"",tbl_Onsite[Job Number],0),MATCH(IFERROR(A369+0,A369),tbl_Onsite[Job Number],0)))),IFERROR(IF(INDEX(tbl_Production[Tax Code],IFERROR(MATCH(A369&amp;"",tbl_Production[Job Number],0),MATCH(IFERROR(A369+0,A369),tbl_Production[Job Number],0)))="","",INDEX(tbl_Production[Tax Code],IFERROR(MATCH(A369&amp;"",tbl_Production[Job Number],0),MATCH(IFERROR(A369+0,A369),tbl_Production[Job Number],0)))),IFERROR(IF(INDEX(tbl_Consulting[Tax Code],IFERROR(MATCH(A369&amp;"",tbl_Consulting[Job Number],0),MATCH(IFERROR(A369+0,A369),tbl_Consulting[Job Number],0)))="","",INDEX(tbl_Consulting[Tax Code],IFERROR(MATCH(A369&amp;"",tbl_Consulting[Job Number],0),MATCH(IFERROR(A369+0,A369),tbl_Consulting[Job Number],0)))),"")))))</f>
        <v/>
      </c>
      <c r="N369" s="26">
        <f>IF(D369="","",IFERROR(INDEX(lst_CCtoGL,MATCH(D369,lst_CCforGL,0)),""))</f>
        <v/>
      </c>
      <c r="O369" s="27">
        <f>IF(E369="","",IF(M369="GST 10%",ROUND(E369*set_GSTRate,2),0))</f>
        <v/>
      </c>
      <c r="P369" s="27">
        <f>IF(E369="","",E369+O369)</f>
        <v/>
      </c>
      <c r="Q369" s="27">
        <f>IF(A369="","",IFERROR(INDEX(tbl_Onsite[Expected Revenue Ex GST],IFERROR(MATCH(A369&amp;"",tbl_Onsite[Job Number],0),MATCH(IFERROR(A369+0,A369),tbl_Onsite[Job Number],0))),IFERROR(INDEX(tbl_Production[Expected Revenue Ex GST],IFERROR(MATCH(A369&amp;"",tbl_Production[Job Number],0),MATCH(IFERROR(A369+0,A369),tbl_Production[Job Number],0))),IFERROR(INDEX(tbl_Consulting[Expected Revenue Ex GST],IFERROR(MATCH(A369&amp;"",tbl_Consulting[Job Number],0),MATCH(IFERROR(A369+0,A369),tbl_Consulting[Job Number],0))),0))))</f>
        <v/>
      </c>
      <c r="R369" s="27">
        <f>IF(A369="","",SUMIFS(tbl_Finance[Ex GST],tbl_Finance[Job Number],A369&amp;""))</f>
        <v/>
      </c>
      <c r="S369" s="27">
        <f>IF(A369="","",Q369-R369)</f>
        <v/>
      </c>
      <c r="T369" s="26">
        <f>IF(A369="","",IF(Q369=0,"No dept value",IF(ROUND(S369,2)=0,"Agrees",IF(S369&gt;0,"Dept higher - to invoice","Xero higher - check dept"))))</f>
        <v/>
      </c>
      <c r="U369" s="22" t="n"/>
      <c r="V369" s="22" t="n"/>
      <c r="W369" s="23" t="n"/>
      <c r="X369" s="23" t="n"/>
      <c r="Y369" s="22" t="n"/>
      <c r="Z369" s="22" t="n"/>
      <c r="AA369" s="26">
        <f>IF(COUNTA(C369,A369,B369,E369)=0,"",IF(C369="","No date - sits outside every month",IF(A369="","No job number",IF(H369="CHECK","Job number is not in the Xero job list",IF(G369="not set up yet","No department has set this job up - nothing can pull through",IF(D369="","No cost centre",IF(AND(U369="Y",B369=""),"Marked posted to Xero but has no invoice number",IF(N369="","Cost centre has no revenue GL on the Lists sheet",IF(T369="Xero higher - check dept","Invoiced more than the department says the job is worth","")))))))))</f>
        <v/>
      </c>
      <c r="AB369" s="28">
        <f>IF(A369="","",COUNTIFS(tbl_Finance[Job Number],A369&amp;"",tbl_Finance[Ex GST],"&lt;&gt;"))</f>
        <v/>
      </c>
      <c r="AC369" s="27">
        <f>IF(A369="","",SUMIFS(tbl_Finance[Ex GST],tbl_Finance[Job Number],A369&amp;""))</f>
        <v/>
      </c>
      <c r="AD369" s="27">
        <f>IF(A369="","",SUMIFS(tbl_Finance[Ex GST],tbl_Finance[Job Number],A369&amp;"",tbl_Finance[Xero Invoice No],"&lt;&gt;"))</f>
        <v/>
      </c>
      <c r="AE369" s="27">
        <f>IF(A369="","",AC369-AD369)</f>
        <v/>
      </c>
      <c r="AF369" s="26">
        <f>IF(A369="","",IFERROR(IF(INDEX(tbl_Onsite[Qwilr Quote],IFERROR(MATCH(A369&amp;"",tbl_Onsite[Job Number],0),MATCH(IFERROR(A369+0,A369),tbl_Onsite[Job Number],0)))="","",INDEX(tbl_Onsite[Qwilr Quote],IFERROR(MATCH(A369&amp;"",tbl_Onsite[Job Number],0),MATCH(IFERROR(A369+0,A369),tbl_Onsite[Job Number],0)))),IFERROR(IF(IF(INDEX(tbl_Production[Current RMS No],IFERROR(MATCH(A369&amp;"",tbl_Production[Job Number],0),MATCH(IFERROR(A369+0,A369),tbl_Production[Job Number],0)))="",INDEX(tbl_Production[Qwilr Quote],IFERROR(MATCH(A369&amp;"",tbl_Production[Job Number],0),MATCH(IFERROR(A369+0,A369),tbl_Production[Job Number],0))),INDEX(tbl_Production[Current RMS No],IFERROR(MATCH(A369&amp;"",tbl_Production[Job Number],0),MATCH(IFERROR(A369+0,A369),tbl_Production[Job Number],0))))="","",IF(INDEX(tbl_Production[Current RMS No],IFERROR(MATCH(A369&amp;"",tbl_Production[Job Number],0),MATCH(IFERROR(A369+0,A369),tbl_Production[Job Number],0)))="",INDEX(tbl_Production[Qwilr Quote],IFERROR(MATCH(A369&amp;"",tbl_Production[Job Number],0),MATCH(IFERROR(A369+0,A369),tbl_Production[Job Number],0))),INDEX(tbl_Production[Current RMS No],IFERROR(MATCH(A369&amp;"",tbl_Production[Job Number],0),MATCH(IFERROR(A369+0,A369),tbl_Production[Job Number],0))))),IFERROR(IF(INDEX(tbl_Consulting[Qwilr Quote],IFERROR(MATCH(A369&amp;"",tbl_Consulting[Job Number],0),MATCH(IFERROR(A369+0,A369),tbl_Consulting[Job Number],0)))="","",INDEX(tbl_Consulting[Qwilr Quote],IFERROR(MATCH(A369&amp;"",tbl_Consulting[Job Number],0),MATCH(IFERROR(A369+0,A369),tbl_Consulting[Job Number],0)))),""))))</f>
        <v/>
      </c>
      <c r="AG369" s="26">
        <f>IF(AF369="","",IF(AND(LEFT(AF369,4)&lt;&gt;"http",IF(G369="Production",set_RMSBase,set_QwilrBase)=""),"",HYPERLINK(IF(LEFT(AF369,4)="http",AF369,IF(G369="Production",set_RMSBase,set_QwilrBase)&amp;AF369),"Open")))</f>
        <v/>
      </c>
      <c r="AH369" s="27">
        <f>IF(A369="","",IFERROR(INDEX(tbl_Production[Total Expense],IFERROR(MATCH(A369&amp;"",tbl_Production[Job Number],0),MATCH(IFERROR(A369+0,A369),tbl_Production[Job Number],0))),IFERROR(INDEX(tbl_Consulting[Total Expense],IFERROR(MATCH(A369&amp;"",tbl_Consulting[Job Number],0),MATCH(IFERROR(A369+0,A369),tbl_Consulting[Job Number],0))),0)))</f>
        <v/>
      </c>
      <c r="AI369" s="27">
        <f>IF(A369="","",AC369-N(AH369))</f>
        <v/>
      </c>
      <c r="AJ369" s="29">
        <f>IFERROR(AI369/AC369,"")</f>
        <v/>
      </c>
      <c r="AK369" s="26">
        <f>IF(A369="","",IFERROR(IF(INDEX(tbl_Onsite[Notes],IFERROR(MATCH(A369&amp;"",tbl_Onsite[Job Number],0),MATCH(IFERROR(A369+0,A369),tbl_Onsite[Job Number],0)))="","",INDEX(tbl_Onsite[Notes],IFERROR(MATCH(A369&amp;"",tbl_Onsite[Job Number],0),MATCH(IFERROR(A369+0,A369),tbl_Onsite[Job Number],0)))),IFERROR(IF(INDEX(tbl_Production[Notes],IFERROR(MATCH(A369&amp;"",tbl_Production[Job Number],0),MATCH(IFERROR(A369+0,A369),tbl_Production[Job Number],0)))="","",INDEX(tbl_Production[Notes],IFERROR(MATCH(A369&amp;"",tbl_Production[Job Number],0),MATCH(IFERROR(A369+0,A369),tbl_Production[Job Number],0)))),IFERROR(IF(INDEX(tbl_Consulting[Notes],IFERROR(MATCH(A369&amp;"",tbl_Consulting[Job Number],0),MATCH(IFERROR(A369+0,A369),tbl_Consulting[Job Number],0)))="","",INDEX(tbl_Consulting[Notes],IFERROR(MATCH(A369&amp;"",tbl_Consulting[Job Number],0),MATCH(IFERROR(A369+0,A369),tbl_Consulting[Job Number],0)))),""))))</f>
        <v/>
      </c>
    </row>
    <row r="370" ht="15" customHeight="1">
      <c r="A370" s="22" t="n"/>
      <c r="B370" s="22" t="n"/>
      <c r="C370" s="23" t="n"/>
      <c r="D370" s="22" t="n"/>
      <c r="E370" s="24" t="n"/>
      <c r="F370" s="25">
        <f>IF(C370="","",EOMONTH(C370,0))</f>
        <v/>
      </c>
      <c r="G370" s="26">
        <f>IF(A370="","",IF(COUNTIF(tbl_Onsite[Job Number],A370&amp;"")&gt;0,"Onsite",IF(COUNTIF(tbl_Production[Job Number],A370&amp;"")&gt;0,"Production",IF(COUNTIF(tbl_Consulting[Job Number],A370&amp;"")&gt;0,"Consulting","not set up yet"))))</f>
        <v/>
      </c>
      <c r="H370" s="26">
        <f>IF(A370="","",IF(COUNTIF(lst_Jobs,A370&amp;"")&gt;0,"OK","CHECK"))</f>
        <v/>
      </c>
      <c r="I370" s="26">
        <f>IF(A370="","",IFERROR(INDEX(lst_JobName,MATCH(A370&amp;"",lst_Jobs,0)),""))</f>
        <v/>
      </c>
      <c r="J370" s="26">
        <f>IF(A370="","",IFERROR(IF(INDEX(tbl_Onsite[Client],IFERROR(MATCH(A370&amp;"",tbl_Onsite[Job Number],0),MATCH(IFERROR(A370+0,A370),tbl_Onsite[Job Number],0)))="","",INDEX(tbl_Onsite[Client],IFERROR(MATCH(A370&amp;"",tbl_Onsite[Job Number],0),MATCH(IFERROR(A370+0,A370),tbl_Onsite[Job Number],0)))),IFERROR(IF(INDEX(tbl_Production[Client],IFERROR(MATCH(A370&amp;"",tbl_Production[Job Number],0),MATCH(IFERROR(A370+0,A370),tbl_Production[Job Number],0)))="","",INDEX(tbl_Production[Client],IFERROR(MATCH(A370&amp;"",tbl_Production[Job Number],0),MATCH(IFERROR(A370+0,A370),tbl_Production[Job Number],0)))),IFERROR(IF(INDEX(tbl_Consulting[Client],IFERROR(MATCH(A370&amp;"",tbl_Consulting[Job Number],0),MATCH(IFERROR(A370+0,A370),tbl_Consulting[Job Number],0)))="","",INDEX(tbl_Consulting[Client],IFERROR(MATCH(A370&amp;"",tbl_Consulting[Job Number],0),MATCH(IFERROR(A370+0,A370),tbl_Consulting[Job Number],0)))),""))))</f>
        <v/>
      </c>
      <c r="K370" s="26">
        <f>IF(A370="","",IFERROR(IF(INDEX(tbl_Onsite[Job Description],IFERROR(MATCH(A370&amp;"",tbl_Onsite[Job Number],0),MATCH(IFERROR(A370+0,A370),tbl_Onsite[Job Number],0)))="","",INDEX(tbl_Onsite[Job Description],IFERROR(MATCH(A370&amp;"",tbl_Onsite[Job Number],0),MATCH(IFERROR(A370+0,A370),tbl_Onsite[Job Number],0)))),IFERROR(IF(INDEX(tbl_Production[Job Description],IFERROR(MATCH(A370&amp;"",tbl_Production[Job Number],0),MATCH(IFERROR(A370+0,A370),tbl_Production[Job Number],0)))="","",INDEX(tbl_Production[Job Description],IFERROR(MATCH(A370&amp;"",tbl_Production[Job Number],0),MATCH(IFERROR(A370+0,A370),tbl_Production[Job Number],0)))),IFERROR(IF(INDEX(tbl_Consulting[Job Description],IFERROR(MATCH(A370&amp;"",tbl_Consulting[Job Number],0),MATCH(IFERROR(A370+0,A370),tbl_Consulting[Job Number],0)))="","",INDEX(tbl_Consulting[Job Description],IFERROR(MATCH(A370&amp;"",tbl_Consulting[Job Number],0),MATCH(IFERROR(A370+0,A370),tbl_Consulting[Job Number],0)))),""))))</f>
        <v/>
      </c>
      <c r="L370" s="26">
        <f>IF(A370="","",IFERROR(IF(INDEX(tbl_Onsite[Invoice Type],IFERROR(MATCH(A370&amp;"",tbl_Onsite[Job Number],0),MATCH(IFERROR(A370+0,A370),tbl_Onsite[Job Number],0)))="","",INDEX(tbl_Onsite[Invoice Type],IFERROR(MATCH(A370&amp;"",tbl_Onsite[Job Number],0),MATCH(IFERROR(A370+0,A370),tbl_Onsite[Job Number],0)))),IFERROR(IF(INDEX(tbl_Production[Invoice Type],IFERROR(MATCH(A370&amp;"",tbl_Production[Job Number],0),MATCH(IFERROR(A370+0,A370),tbl_Production[Job Number],0)))="","",INDEX(tbl_Production[Invoice Type],IFERROR(MATCH(A370&amp;"",tbl_Production[Job Number],0),MATCH(IFERROR(A370+0,A370),tbl_Production[Job Number],0)))),IFERROR(IF(INDEX(tbl_Consulting[Invoice Type],IFERROR(MATCH(A370&amp;"",tbl_Consulting[Job Number],0),MATCH(IFERROR(A370+0,A370),tbl_Consulting[Job Number],0)))="","",INDEX(tbl_Consulting[Invoice Type],IFERROR(MATCH(A370&amp;"",tbl_Consulting[Job Number],0),MATCH(IFERROR(A370+0,A370),tbl_Consulting[Job Number],0)))),""))))</f>
        <v/>
      </c>
      <c r="M370" s="26">
        <f>IF(A370="","",IF(IFERROR(IF(INDEX(tbl_Onsite[Tax Code],IFERROR(MATCH(A370&amp;"",tbl_Onsite[Job Number],0),MATCH(IFERROR(A370+0,A370),tbl_Onsite[Job Number],0)))="","",INDEX(tbl_Onsite[Tax Code],IFERROR(MATCH(A370&amp;"",tbl_Onsite[Job Number],0),MATCH(IFERROR(A370+0,A370),tbl_Onsite[Job Number],0)))),IFERROR(IF(INDEX(tbl_Production[Tax Code],IFERROR(MATCH(A370&amp;"",tbl_Production[Job Number],0),MATCH(IFERROR(A370+0,A370),tbl_Production[Job Number],0)))="","",INDEX(tbl_Production[Tax Code],IFERROR(MATCH(A370&amp;"",tbl_Production[Job Number],0),MATCH(IFERROR(A370+0,A370),tbl_Production[Job Number],0)))),IFERROR(IF(INDEX(tbl_Consulting[Tax Code],IFERROR(MATCH(A370&amp;"",tbl_Consulting[Job Number],0),MATCH(IFERROR(A370+0,A370),tbl_Consulting[Job Number],0)))="","",INDEX(tbl_Consulting[Tax Code],IFERROR(MATCH(A370&amp;"",tbl_Consulting[Job Number],0),MATCH(IFERROR(A370+0,A370),tbl_Consulting[Job Number],0)))),"")))="","GST 10%",IFERROR(IF(INDEX(tbl_Onsite[Tax Code],IFERROR(MATCH(A370&amp;"",tbl_Onsite[Job Number],0),MATCH(IFERROR(A370+0,A370),tbl_Onsite[Job Number],0)))="","",INDEX(tbl_Onsite[Tax Code],IFERROR(MATCH(A370&amp;"",tbl_Onsite[Job Number],0),MATCH(IFERROR(A370+0,A370),tbl_Onsite[Job Number],0)))),IFERROR(IF(INDEX(tbl_Production[Tax Code],IFERROR(MATCH(A370&amp;"",tbl_Production[Job Number],0),MATCH(IFERROR(A370+0,A370),tbl_Production[Job Number],0)))="","",INDEX(tbl_Production[Tax Code],IFERROR(MATCH(A370&amp;"",tbl_Production[Job Number],0),MATCH(IFERROR(A370+0,A370),tbl_Production[Job Number],0)))),IFERROR(IF(INDEX(tbl_Consulting[Tax Code],IFERROR(MATCH(A370&amp;"",tbl_Consulting[Job Number],0),MATCH(IFERROR(A370+0,A370),tbl_Consulting[Job Number],0)))="","",INDEX(tbl_Consulting[Tax Code],IFERROR(MATCH(A370&amp;"",tbl_Consulting[Job Number],0),MATCH(IFERROR(A370+0,A370),tbl_Consulting[Job Number],0)))),"")))))</f>
        <v/>
      </c>
      <c r="N370" s="26">
        <f>IF(D370="","",IFERROR(INDEX(lst_CCtoGL,MATCH(D370,lst_CCforGL,0)),""))</f>
        <v/>
      </c>
      <c r="O370" s="27">
        <f>IF(E370="","",IF(M370="GST 10%",ROUND(E370*set_GSTRate,2),0))</f>
        <v/>
      </c>
      <c r="P370" s="27">
        <f>IF(E370="","",E370+O370)</f>
        <v/>
      </c>
      <c r="Q370" s="27">
        <f>IF(A370="","",IFERROR(INDEX(tbl_Onsite[Expected Revenue Ex GST],IFERROR(MATCH(A370&amp;"",tbl_Onsite[Job Number],0),MATCH(IFERROR(A370+0,A370),tbl_Onsite[Job Number],0))),IFERROR(INDEX(tbl_Production[Expected Revenue Ex GST],IFERROR(MATCH(A370&amp;"",tbl_Production[Job Number],0),MATCH(IFERROR(A370+0,A370),tbl_Production[Job Number],0))),IFERROR(INDEX(tbl_Consulting[Expected Revenue Ex GST],IFERROR(MATCH(A370&amp;"",tbl_Consulting[Job Number],0),MATCH(IFERROR(A370+0,A370),tbl_Consulting[Job Number],0))),0))))</f>
        <v/>
      </c>
      <c r="R370" s="27">
        <f>IF(A370="","",SUMIFS(tbl_Finance[Ex GST],tbl_Finance[Job Number],A370&amp;""))</f>
        <v/>
      </c>
      <c r="S370" s="27">
        <f>IF(A370="","",Q370-R370)</f>
        <v/>
      </c>
      <c r="T370" s="26">
        <f>IF(A370="","",IF(Q370=0,"No dept value",IF(ROUND(S370,2)=0,"Agrees",IF(S370&gt;0,"Dept higher - to invoice","Xero higher - check dept"))))</f>
        <v/>
      </c>
      <c r="U370" s="22" t="n"/>
      <c r="V370" s="22" t="n"/>
      <c r="W370" s="23" t="n"/>
      <c r="X370" s="23" t="n"/>
      <c r="Y370" s="22" t="n"/>
      <c r="Z370" s="22" t="n"/>
      <c r="AA370" s="26">
        <f>IF(COUNTA(C370,A370,B370,E370)=0,"",IF(C370="","No date - sits outside every month",IF(A370="","No job number",IF(H370="CHECK","Job number is not in the Xero job list",IF(G370="not set up yet","No department has set this job up - nothing can pull through",IF(D370="","No cost centre",IF(AND(U370="Y",B370=""),"Marked posted to Xero but has no invoice number",IF(N370="","Cost centre has no revenue GL on the Lists sheet",IF(T370="Xero higher - check dept","Invoiced more than the department says the job is worth","")))))))))</f>
        <v/>
      </c>
      <c r="AB370" s="28">
        <f>IF(A370="","",COUNTIFS(tbl_Finance[Job Number],A370&amp;"",tbl_Finance[Ex GST],"&lt;&gt;"))</f>
        <v/>
      </c>
      <c r="AC370" s="27">
        <f>IF(A370="","",SUMIFS(tbl_Finance[Ex GST],tbl_Finance[Job Number],A370&amp;""))</f>
        <v/>
      </c>
      <c r="AD370" s="27">
        <f>IF(A370="","",SUMIFS(tbl_Finance[Ex GST],tbl_Finance[Job Number],A370&amp;"",tbl_Finance[Xero Invoice No],"&lt;&gt;"))</f>
        <v/>
      </c>
      <c r="AE370" s="27">
        <f>IF(A370="","",AC370-AD370)</f>
        <v/>
      </c>
      <c r="AF370" s="26">
        <f>IF(A370="","",IFERROR(IF(INDEX(tbl_Onsite[Qwilr Quote],IFERROR(MATCH(A370&amp;"",tbl_Onsite[Job Number],0),MATCH(IFERROR(A370+0,A370),tbl_Onsite[Job Number],0)))="","",INDEX(tbl_Onsite[Qwilr Quote],IFERROR(MATCH(A370&amp;"",tbl_Onsite[Job Number],0),MATCH(IFERROR(A370+0,A370),tbl_Onsite[Job Number],0)))),IFERROR(IF(IF(INDEX(tbl_Production[Current RMS No],IFERROR(MATCH(A370&amp;"",tbl_Production[Job Number],0),MATCH(IFERROR(A370+0,A370),tbl_Production[Job Number],0)))="",INDEX(tbl_Production[Qwilr Quote],IFERROR(MATCH(A370&amp;"",tbl_Production[Job Number],0),MATCH(IFERROR(A370+0,A370),tbl_Production[Job Number],0))),INDEX(tbl_Production[Current RMS No],IFERROR(MATCH(A370&amp;"",tbl_Production[Job Number],0),MATCH(IFERROR(A370+0,A370),tbl_Production[Job Number],0))))="","",IF(INDEX(tbl_Production[Current RMS No],IFERROR(MATCH(A370&amp;"",tbl_Production[Job Number],0),MATCH(IFERROR(A370+0,A370),tbl_Production[Job Number],0)))="",INDEX(tbl_Production[Qwilr Quote],IFERROR(MATCH(A370&amp;"",tbl_Production[Job Number],0),MATCH(IFERROR(A370+0,A370),tbl_Production[Job Number],0))),INDEX(tbl_Production[Current RMS No],IFERROR(MATCH(A370&amp;"",tbl_Production[Job Number],0),MATCH(IFERROR(A370+0,A370),tbl_Production[Job Number],0))))),IFERROR(IF(INDEX(tbl_Consulting[Qwilr Quote],IFERROR(MATCH(A370&amp;"",tbl_Consulting[Job Number],0),MATCH(IFERROR(A370+0,A370),tbl_Consulting[Job Number],0)))="","",INDEX(tbl_Consulting[Qwilr Quote],IFERROR(MATCH(A370&amp;"",tbl_Consulting[Job Number],0),MATCH(IFERROR(A370+0,A370),tbl_Consulting[Job Number],0)))),""))))</f>
        <v/>
      </c>
      <c r="AG370" s="26">
        <f>IF(AF370="","",IF(AND(LEFT(AF370,4)&lt;&gt;"http",IF(G370="Production",set_RMSBase,set_QwilrBase)=""),"",HYPERLINK(IF(LEFT(AF370,4)="http",AF370,IF(G370="Production",set_RMSBase,set_QwilrBase)&amp;AF370),"Open")))</f>
        <v/>
      </c>
      <c r="AH370" s="27">
        <f>IF(A370="","",IFERROR(INDEX(tbl_Production[Total Expense],IFERROR(MATCH(A370&amp;"",tbl_Production[Job Number],0),MATCH(IFERROR(A370+0,A370),tbl_Production[Job Number],0))),IFERROR(INDEX(tbl_Consulting[Total Expense],IFERROR(MATCH(A370&amp;"",tbl_Consulting[Job Number],0),MATCH(IFERROR(A370+0,A370),tbl_Consulting[Job Number],0))),0)))</f>
        <v/>
      </c>
      <c r="AI370" s="27">
        <f>IF(A370="","",AC370-N(AH370))</f>
        <v/>
      </c>
      <c r="AJ370" s="29">
        <f>IFERROR(AI370/AC370,"")</f>
        <v/>
      </c>
      <c r="AK370" s="26">
        <f>IF(A370="","",IFERROR(IF(INDEX(tbl_Onsite[Notes],IFERROR(MATCH(A370&amp;"",tbl_Onsite[Job Number],0),MATCH(IFERROR(A370+0,A370),tbl_Onsite[Job Number],0)))="","",INDEX(tbl_Onsite[Notes],IFERROR(MATCH(A370&amp;"",tbl_Onsite[Job Number],0),MATCH(IFERROR(A370+0,A370),tbl_Onsite[Job Number],0)))),IFERROR(IF(INDEX(tbl_Production[Notes],IFERROR(MATCH(A370&amp;"",tbl_Production[Job Number],0),MATCH(IFERROR(A370+0,A370),tbl_Production[Job Number],0)))="","",INDEX(tbl_Production[Notes],IFERROR(MATCH(A370&amp;"",tbl_Production[Job Number],0),MATCH(IFERROR(A370+0,A370),tbl_Production[Job Number],0)))),IFERROR(IF(INDEX(tbl_Consulting[Notes],IFERROR(MATCH(A370&amp;"",tbl_Consulting[Job Number],0),MATCH(IFERROR(A370+0,A370),tbl_Consulting[Job Number],0)))="","",INDEX(tbl_Consulting[Notes],IFERROR(MATCH(A370&amp;"",tbl_Consulting[Job Number],0),MATCH(IFERROR(A370+0,A370),tbl_Consulting[Job Number],0)))),""))))</f>
        <v/>
      </c>
    </row>
    <row r="371" ht="15" customHeight="1">
      <c r="A371" s="22" t="n"/>
      <c r="B371" s="22" t="n"/>
      <c r="C371" s="23" t="n"/>
      <c r="D371" s="22" t="n"/>
      <c r="E371" s="24" t="n"/>
      <c r="F371" s="25">
        <f>IF(C371="","",EOMONTH(C371,0))</f>
        <v/>
      </c>
      <c r="G371" s="26">
        <f>IF(A371="","",IF(COUNTIF(tbl_Onsite[Job Number],A371&amp;"")&gt;0,"Onsite",IF(COUNTIF(tbl_Production[Job Number],A371&amp;"")&gt;0,"Production",IF(COUNTIF(tbl_Consulting[Job Number],A371&amp;"")&gt;0,"Consulting","not set up yet"))))</f>
        <v/>
      </c>
      <c r="H371" s="26">
        <f>IF(A371="","",IF(COUNTIF(lst_Jobs,A371&amp;"")&gt;0,"OK","CHECK"))</f>
        <v/>
      </c>
      <c r="I371" s="26">
        <f>IF(A371="","",IFERROR(INDEX(lst_JobName,MATCH(A371&amp;"",lst_Jobs,0)),""))</f>
        <v/>
      </c>
      <c r="J371" s="26">
        <f>IF(A371="","",IFERROR(IF(INDEX(tbl_Onsite[Client],IFERROR(MATCH(A371&amp;"",tbl_Onsite[Job Number],0),MATCH(IFERROR(A371+0,A371),tbl_Onsite[Job Number],0)))="","",INDEX(tbl_Onsite[Client],IFERROR(MATCH(A371&amp;"",tbl_Onsite[Job Number],0),MATCH(IFERROR(A371+0,A371),tbl_Onsite[Job Number],0)))),IFERROR(IF(INDEX(tbl_Production[Client],IFERROR(MATCH(A371&amp;"",tbl_Production[Job Number],0),MATCH(IFERROR(A371+0,A371),tbl_Production[Job Number],0)))="","",INDEX(tbl_Production[Client],IFERROR(MATCH(A371&amp;"",tbl_Production[Job Number],0),MATCH(IFERROR(A371+0,A371),tbl_Production[Job Number],0)))),IFERROR(IF(INDEX(tbl_Consulting[Client],IFERROR(MATCH(A371&amp;"",tbl_Consulting[Job Number],0),MATCH(IFERROR(A371+0,A371),tbl_Consulting[Job Number],0)))="","",INDEX(tbl_Consulting[Client],IFERROR(MATCH(A371&amp;"",tbl_Consulting[Job Number],0),MATCH(IFERROR(A371+0,A371),tbl_Consulting[Job Number],0)))),""))))</f>
        <v/>
      </c>
      <c r="K371" s="26">
        <f>IF(A371="","",IFERROR(IF(INDEX(tbl_Onsite[Job Description],IFERROR(MATCH(A371&amp;"",tbl_Onsite[Job Number],0),MATCH(IFERROR(A371+0,A371),tbl_Onsite[Job Number],0)))="","",INDEX(tbl_Onsite[Job Description],IFERROR(MATCH(A371&amp;"",tbl_Onsite[Job Number],0),MATCH(IFERROR(A371+0,A371),tbl_Onsite[Job Number],0)))),IFERROR(IF(INDEX(tbl_Production[Job Description],IFERROR(MATCH(A371&amp;"",tbl_Production[Job Number],0),MATCH(IFERROR(A371+0,A371),tbl_Production[Job Number],0)))="","",INDEX(tbl_Production[Job Description],IFERROR(MATCH(A371&amp;"",tbl_Production[Job Number],0),MATCH(IFERROR(A371+0,A371),tbl_Production[Job Number],0)))),IFERROR(IF(INDEX(tbl_Consulting[Job Description],IFERROR(MATCH(A371&amp;"",tbl_Consulting[Job Number],0),MATCH(IFERROR(A371+0,A371),tbl_Consulting[Job Number],0)))="","",INDEX(tbl_Consulting[Job Description],IFERROR(MATCH(A371&amp;"",tbl_Consulting[Job Number],0),MATCH(IFERROR(A371+0,A371),tbl_Consulting[Job Number],0)))),""))))</f>
        <v/>
      </c>
      <c r="L371" s="26">
        <f>IF(A371="","",IFERROR(IF(INDEX(tbl_Onsite[Invoice Type],IFERROR(MATCH(A371&amp;"",tbl_Onsite[Job Number],0),MATCH(IFERROR(A371+0,A371),tbl_Onsite[Job Number],0)))="","",INDEX(tbl_Onsite[Invoice Type],IFERROR(MATCH(A371&amp;"",tbl_Onsite[Job Number],0),MATCH(IFERROR(A371+0,A371),tbl_Onsite[Job Number],0)))),IFERROR(IF(INDEX(tbl_Production[Invoice Type],IFERROR(MATCH(A371&amp;"",tbl_Production[Job Number],0),MATCH(IFERROR(A371+0,A371),tbl_Production[Job Number],0)))="","",INDEX(tbl_Production[Invoice Type],IFERROR(MATCH(A371&amp;"",tbl_Production[Job Number],0),MATCH(IFERROR(A371+0,A371),tbl_Production[Job Number],0)))),IFERROR(IF(INDEX(tbl_Consulting[Invoice Type],IFERROR(MATCH(A371&amp;"",tbl_Consulting[Job Number],0),MATCH(IFERROR(A371+0,A371),tbl_Consulting[Job Number],0)))="","",INDEX(tbl_Consulting[Invoice Type],IFERROR(MATCH(A371&amp;"",tbl_Consulting[Job Number],0),MATCH(IFERROR(A371+0,A371),tbl_Consulting[Job Number],0)))),""))))</f>
        <v/>
      </c>
      <c r="M371" s="26">
        <f>IF(A371="","",IF(IFERROR(IF(INDEX(tbl_Onsite[Tax Code],IFERROR(MATCH(A371&amp;"",tbl_Onsite[Job Number],0),MATCH(IFERROR(A371+0,A371),tbl_Onsite[Job Number],0)))="","",INDEX(tbl_Onsite[Tax Code],IFERROR(MATCH(A371&amp;"",tbl_Onsite[Job Number],0),MATCH(IFERROR(A371+0,A371),tbl_Onsite[Job Number],0)))),IFERROR(IF(INDEX(tbl_Production[Tax Code],IFERROR(MATCH(A371&amp;"",tbl_Production[Job Number],0),MATCH(IFERROR(A371+0,A371),tbl_Production[Job Number],0)))="","",INDEX(tbl_Production[Tax Code],IFERROR(MATCH(A371&amp;"",tbl_Production[Job Number],0),MATCH(IFERROR(A371+0,A371),tbl_Production[Job Number],0)))),IFERROR(IF(INDEX(tbl_Consulting[Tax Code],IFERROR(MATCH(A371&amp;"",tbl_Consulting[Job Number],0),MATCH(IFERROR(A371+0,A371),tbl_Consulting[Job Number],0)))="","",INDEX(tbl_Consulting[Tax Code],IFERROR(MATCH(A371&amp;"",tbl_Consulting[Job Number],0),MATCH(IFERROR(A371+0,A371),tbl_Consulting[Job Number],0)))),"")))="","GST 10%",IFERROR(IF(INDEX(tbl_Onsite[Tax Code],IFERROR(MATCH(A371&amp;"",tbl_Onsite[Job Number],0),MATCH(IFERROR(A371+0,A371),tbl_Onsite[Job Number],0)))="","",INDEX(tbl_Onsite[Tax Code],IFERROR(MATCH(A371&amp;"",tbl_Onsite[Job Number],0),MATCH(IFERROR(A371+0,A371),tbl_Onsite[Job Number],0)))),IFERROR(IF(INDEX(tbl_Production[Tax Code],IFERROR(MATCH(A371&amp;"",tbl_Production[Job Number],0),MATCH(IFERROR(A371+0,A371),tbl_Production[Job Number],0)))="","",INDEX(tbl_Production[Tax Code],IFERROR(MATCH(A371&amp;"",tbl_Production[Job Number],0),MATCH(IFERROR(A371+0,A371),tbl_Production[Job Number],0)))),IFERROR(IF(INDEX(tbl_Consulting[Tax Code],IFERROR(MATCH(A371&amp;"",tbl_Consulting[Job Number],0),MATCH(IFERROR(A371+0,A371),tbl_Consulting[Job Number],0)))="","",INDEX(tbl_Consulting[Tax Code],IFERROR(MATCH(A371&amp;"",tbl_Consulting[Job Number],0),MATCH(IFERROR(A371+0,A371),tbl_Consulting[Job Number],0)))),"")))))</f>
        <v/>
      </c>
      <c r="N371" s="26">
        <f>IF(D371="","",IFERROR(INDEX(lst_CCtoGL,MATCH(D371,lst_CCforGL,0)),""))</f>
        <v/>
      </c>
      <c r="O371" s="27">
        <f>IF(E371="","",IF(M371="GST 10%",ROUND(E371*set_GSTRate,2),0))</f>
        <v/>
      </c>
      <c r="P371" s="27">
        <f>IF(E371="","",E371+O371)</f>
        <v/>
      </c>
      <c r="Q371" s="27">
        <f>IF(A371="","",IFERROR(INDEX(tbl_Onsite[Expected Revenue Ex GST],IFERROR(MATCH(A371&amp;"",tbl_Onsite[Job Number],0),MATCH(IFERROR(A371+0,A371),tbl_Onsite[Job Number],0))),IFERROR(INDEX(tbl_Production[Expected Revenue Ex GST],IFERROR(MATCH(A371&amp;"",tbl_Production[Job Number],0),MATCH(IFERROR(A371+0,A371),tbl_Production[Job Number],0))),IFERROR(INDEX(tbl_Consulting[Expected Revenue Ex GST],IFERROR(MATCH(A371&amp;"",tbl_Consulting[Job Number],0),MATCH(IFERROR(A371+0,A371),tbl_Consulting[Job Number],0))),0))))</f>
        <v/>
      </c>
      <c r="R371" s="27">
        <f>IF(A371="","",SUMIFS(tbl_Finance[Ex GST],tbl_Finance[Job Number],A371&amp;""))</f>
        <v/>
      </c>
      <c r="S371" s="27">
        <f>IF(A371="","",Q371-R371)</f>
        <v/>
      </c>
      <c r="T371" s="26">
        <f>IF(A371="","",IF(Q371=0,"No dept value",IF(ROUND(S371,2)=0,"Agrees",IF(S371&gt;0,"Dept higher - to invoice","Xero higher - check dept"))))</f>
        <v/>
      </c>
      <c r="U371" s="22" t="n"/>
      <c r="V371" s="22" t="n"/>
      <c r="W371" s="23" t="n"/>
      <c r="X371" s="23" t="n"/>
      <c r="Y371" s="22" t="n"/>
      <c r="Z371" s="22" t="n"/>
      <c r="AA371" s="26">
        <f>IF(COUNTA(C371,A371,B371,E371)=0,"",IF(C371="","No date - sits outside every month",IF(A371="","No job number",IF(H371="CHECK","Job number is not in the Xero job list",IF(G371="not set up yet","No department has set this job up - nothing can pull through",IF(D371="","No cost centre",IF(AND(U371="Y",B371=""),"Marked posted to Xero but has no invoice number",IF(N371="","Cost centre has no revenue GL on the Lists sheet",IF(T371="Xero higher - check dept","Invoiced more than the department says the job is worth","")))))))))</f>
        <v/>
      </c>
      <c r="AB371" s="28">
        <f>IF(A371="","",COUNTIFS(tbl_Finance[Job Number],A371&amp;"",tbl_Finance[Ex GST],"&lt;&gt;"))</f>
        <v/>
      </c>
      <c r="AC371" s="27">
        <f>IF(A371="","",SUMIFS(tbl_Finance[Ex GST],tbl_Finance[Job Number],A371&amp;""))</f>
        <v/>
      </c>
      <c r="AD371" s="27">
        <f>IF(A371="","",SUMIFS(tbl_Finance[Ex GST],tbl_Finance[Job Number],A371&amp;"",tbl_Finance[Xero Invoice No],"&lt;&gt;"))</f>
        <v/>
      </c>
      <c r="AE371" s="27">
        <f>IF(A371="","",AC371-AD371)</f>
        <v/>
      </c>
      <c r="AF371" s="26">
        <f>IF(A371="","",IFERROR(IF(INDEX(tbl_Onsite[Qwilr Quote],IFERROR(MATCH(A371&amp;"",tbl_Onsite[Job Number],0),MATCH(IFERROR(A371+0,A371),tbl_Onsite[Job Number],0)))="","",INDEX(tbl_Onsite[Qwilr Quote],IFERROR(MATCH(A371&amp;"",tbl_Onsite[Job Number],0),MATCH(IFERROR(A371+0,A371),tbl_Onsite[Job Number],0)))),IFERROR(IF(IF(INDEX(tbl_Production[Current RMS No],IFERROR(MATCH(A371&amp;"",tbl_Production[Job Number],0),MATCH(IFERROR(A371+0,A371),tbl_Production[Job Number],0)))="",INDEX(tbl_Production[Qwilr Quote],IFERROR(MATCH(A371&amp;"",tbl_Production[Job Number],0),MATCH(IFERROR(A371+0,A371),tbl_Production[Job Number],0))),INDEX(tbl_Production[Current RMS No],IFERROR(MATCH(A371&amp;"",tbl_Production[Job Number],0),MATCH(IFERROR(A371+0,A371),tbl_Production[Job Number],0))))="","",IF(INDEX(tbl_Production[Current RMS No],IFERROR(MATCH(A371&amp;"",tbl_Production[Job Number],0),MATCH(IFERROR(A371+0,A371),tbl_Production[Job Number],0)))="",INDEX(tbl_Production[Qwilr Quote],IFERROR(MATCH(A371&amp;"",tbl_Production[Job Number],0),MATCH(IFERROR(A371+0,A371),tbl_Production[Job Number],0))),INDEX(tbl_Production[Current RMS No],IFERROR(MATCH(A371&amp;"",tbl_Production[Job Number],0),MATCH(IFERROR(A371+0,A371),tbl_Production[Job Number],0))))),IFERROR(IF(INDEX(tbl_Consulting[Qwilr Quote],IFERROR(MATCH(A371&amp;"",tbl_Consulting[Job Number],0),MATCH(IFERROR(A371+0,A371),tbl_Consulting[Job Number],0)))="","",INDEX(tbl_Consulting[Qwilr Quote],IFERROR(MATCH(A371&amp;"",tbl_Consulting[Job Number],0),MATCH(IFERROR(A371+0,A371),tbl_Consulting[Job Number],0)))),""))))</f>
        <v/>
      </c>
      <c r="AG371" s="26">
        <f>IF(AF371="","",IF(AND(LEFT(AF371,4)&lt;&gt;"http",IF(G371="Production",set_RMSBase,set_QwilrBase)=""),"",HYPERLINK(IF(LEFT(AF371,4)="http",AF371,IF(G371="Production",set_RMSBase,set_QwilrBase)&amp;AF371),"Open")))</f>
        <v/>
      </c>
      <c r="AH371" s="27">
        <f>IF(A371="","",IFERROR(INDEX(tbl_Production[Total Expense],IFERROR(MATCH(A371&amp;"",tbl_Production[Job Number],0),MATCH(IFERROR(A371+0,A371),tbl_Production[Job Number],0))),IFERROR(INDEX(tbl_Consulting[Total Expense],IFERROR(MATCH(A371&amp;"",tbl_Consulting[Job Number],0),MATCH(IFERROR(A371+0,A371),tbl_Consulting[Job Number],0))),0)))</f>
        <v/>
      </c>
      <c r="AI371" s="27">
        <f>IF(A371="","",AC371-N(AH371))</f>
        <v/>
      </c>
      <c r="AJ371" s="29">
        <f>IFERROR(AI371/AC371,"")</f>
        <v/>
      </c>
      <c r="AK371" s="26">
        <f>IF(A371="","",IFERROR(IF(INDEX(tbl_Onsite[Notes],IFERROR(MATCH(A371&amp;"",tbl_Onsite[Job Number],0),MATCH(IFERROR(A371+0,A371),tbl_Onsite[Job Number],0)))="","",INDEX(tbl_Onsite[Notes],IFERROR(MATCH(A371&amp;"",tbl_Onsite[Job Number],0),MATCH(IFERROR(A371+0,A371),tbl_Onsite[Job Number],0)))),IFERROR(IF(INDEX(tbl_Production[Notes],IFERROR(MATCH(A371&amp;"",tbl_Production[Job Number],0),MATCH(IFERROR(A371+0,A371),tbl_Production[Job Number],0)))="","",INDEX(tbl_Production[Notes],IFERROR(MATCH(A371&amp;"",tbl_Production[Job Number],0),MATCH(IFERROR(A371+0,A371),tbl_Production[Job Number],0)))),IFERROR(IF(INDEX(tbl_Consulting[Notes],IFERROR(MATCH(A371&amp;"",tbl_Consulting[Job Number],0),MATCH(IFERROR(A371+0,A371),tbl_Consulting[Job Number],0)))="","",INDEX(tbl_Consulting[Notes],IFERROR(MATCH(A371&amp;"",tbl_Consulting[Job Number],0),MATCH(IFERROR(A371+0,A371),tbl_Consulting[Job Number],0)))),""))))</f>
        <v/>
      </c>
    </row>
    <row r="372" ht="15" customHeight="1">
      <c r="A372" s="22" t="n"/>
      <c r="B372" s="22" t="n"/>
      <c r="C372" s="23" t="n"/>
      <c r="D372" s="22" t="n"/>
      <c r="E372" s="24" t="n"/>
      <c r="F372" s="25">
        <f>IF(C372="","",EOMONTH(C372,0))</f>
        <v/>
      </c>
      <c r="G372" s="26">
        <f>IF(A372="","",IF(COUNTIF(tbl_Onsite[Job Number],A372&amp;"")&gt;0,"Onsite",IF(COUNTIF(tbl_Production[Job Number],A372&amp;"")&gt;0,"Production",IF(COUNTIF(tbl_Consulting[Job Number],A372&amp;"")&gt;0,"Consulting","not set up yet"))))</f>
        <v/>
      </c>
      <c r="H372" s="26">
        <f>IF(A372="","",IF(COUNTIF(lst_Jobs,A372&amp;"")&gt;0,"OK","CHECK"))</f>
        <v/>
      </c>
      <c r="I372" s="26">
        <f>IF(A372="","",IFERROR(INDEX(lst_JobName,MATCH(A372&amp;"",lst_Jobs,0)),""))</f>
        <v/>
      </c>
      <c r="J372" s="26">
        <f>IF(A372="","",IFERROR(IF(INDEX(tbl_Onsite[Client],IFERROR(MATCH(A372&amp;"",tbl_Onsite[Job Number],0),MATCH(IFERROR(A372+0,A372),tbl_Onsite[Job Number],0)))="","",INDEX(tbl_Onsite[Client],IFERROR(MATCH(A372&amp;"",tbl_Onsite[Job Number],0),MATCH(IFERROR(A372+0,A372),tbl_Onsite[Job Number],0)))),IFERROR(IF(INDEX(tbl_Production[Client],IFERROR(MATCH(A372&amp;"",tbl_Production[Job Number],0),MATCH(IFERROR(A372+0,A372),tbl_Production[Job Number],0)))="","",INDEX(tbl_Production[Client],IFERROR(MATCH(A372&amp;"",tbl_Production[Job Number],0),MATCH(IFERROR(A372+0,A372),tbl_Production[Job Number],0)))),IFERROR(IF(INDEX(tbl_Consulting[Client],IFERROR(MATCH(A372&amp;"",tbl_Consulting[Job Number],0),MATCH(IFERROR(A372+0,A372),tbl_Consulting[Job Number],0)))="","",INDEX(tbl_Consulting[Client],IFERROR(MATCH(A372&amp;"",tbl_Consulting[Job Number],0),MATCH(IFERROR(A372+0,A372),tbl_Consulting[Job Number],0)))),""))))</f>
        <v/>
      </c>
      <c r="K372" s="26">
        <f>IF(A372="","",IFERROR(IF(INDEX(tbl_Onsite[Job Description],IFERROR(MATCH(A372&amp;"",tbl_Onsite[Job Number],0),MATCH(IFERROR(A372+0,A372),tbl_Onsite[Job Number],0)))="","",INDEX(tbl_Onsite[Job Description],IFERROR(MATCH(A372&amp;"",tbl_Onsite[Job Number],0),MATCH(IFERROR(A372+0,A372),tbl_Onsite[Job Number],0)))),IFERROR(IF(INDEX(tbl_Production[Job Description],IFERROR(MATCH(A372&amp;"",tbl_Production[Job Number],0),MATCH(IFERROR(A372+0,A372),tbl_Production[Job Number],0)))="","",INDEX(tbl_Production[Job Description],IFERROR(MATCH(A372&amp;"",tbl_Production[Job Number],0),MATCH(IFERROR(A372+0,A372),tbl_Production[Job Number],0)))),IFERROR(IF(INDEX(tbl_Consulting[Job Description],IFERROR(MATCH(A372&amp;"",tbl_Consulting[Job Number],0),MATCH(IFERROR(A372+0,A372),tbl_Consulting[Job Number],0)))="","",INDEX(tbl_Consulting[Job Description],IFERROR(MATCH(A372&amp;"",tbl_Consulting[Job Number],0),MATCH(IFERROR(A372+0,A372),tbl_Consulting[Job Number],0)))),""))))</f>
        <v/>
      </c>
      <c r="L372" s="26">
        <f>IF(A372="","",IFERROR(IF(INDEX(tbl_Onsite[Invoice Type],IFERROR(MATCH(A372&amp;"",tbl_Onsite[Job Number],0),MATCH(IFERROR(A372+0,A372),tbl_Onsite[Job Number],0)))="","",INDEX(tbl_Onsite[Invoice Type],IFERROR(MATCH(A372&amp;"",tbl_Onsite[Job Number],0),MATCH(IFERROR(A372+0,A372),tbl_Onsite[Job Number],0)))),IFERROR(IF(INDEX(tbl_Production[Invoice Type],IFERROR(MATCH(A372&amp;"",tbl_Production[Job Number],0),MATCH(IFERROR(A372+0,A372),tbl_Production[Job Number],0)))="","",INDEX(tbl_Production[Invoice Type],IFERROR(MATCH(A372&amp;"",tbl_Production[Job Number],0),MATCH(IFERROR(A372+0,A372),tbl_Production[Job Number],0)))),IFERROR(IF(INDEX(tbl_Consulting[Invoice Type],IFERROR(MATCH(A372&amp;"",tbl_Consulting[Job Number],0),MATCH(IFERROR(A372+0,A372),tbl_Consulting[Job Number],0)))="","",INDEX(tbl_Consulting[Invoice Type],IFERROR(MATCH(A372&amp;"",tbl_Consulting[Job Number],0),MATCH(IFERROR(A372+0,A372),tbl_Consulting[Job Number],0)))),""))))</f>
        <v/>
      </c>
      <c r="M372" s="26">
        <f>IF(A372="","",IF(IFERROR(IF(INDEX(tbl_Onsite[Tax Code],IFERROR(MATCH(A372&amp;"",tbl_Onsite[Job Number],0),MATCH(IFERROR(A372+0,A372),tbl_Onsite[Job Number],0)))="","",INDEX(tbl_Onsite[Tax Code],IFERROR(MATCH(A372&amp;"",tbl_Onsite[Job Number],0),MATCH(IFERROR(A372+0,A372),tbl_Onsite[Job Number],0)))),IFERROR(IF(INDEX(tbl_Production[Tax Code],IFERROR(MATCH(A372&amp;"",tbl_Production[Job Number],0),MATCH(IFERROR(A372+0,A372),tbl_Production[Job Number],0)))="","",INDEX(tbl_Production[Tax Code],IFERROR(MATCH(A372&amp;"",tbl_Production[Job Number],0),MATCH(IFERROR(A372+0,A372),tbl_Production[Job Number],0)))),IFERROR(IF(INDEX(tbl_Consulting[Tax Code],IFERROR(MATCH(A372&amp;"",tbl_Consulting[Job Number],0),MATCH(IFERROR(A372+0,A372),tbl_Consulting[Job Number],0)))="","",INDEX(tbl_Consulting[Tax Code],IFERROR(MATCH(A372&amp;"",tbl_Consulting[Job Number],0),MATCH(IFERROR(A372+0,A372),tbl_Consulting[Job Number],0)))),"")))="","GST 10%",IFERROR(IF(INDEX(tbl_Onsite[Tax Code],IFERROR(MATCH(A372&amp;"",tbl_Onsite[Job Number],0),MATCH(IFERROR(A372+0,A372),tbl_Onsite[Job Number],0)))="","",INDEX(tbl_Onsite[Tax Code],IFERROR(MATCH(A372&amp;"",tbl_Onsite[Job Number],0),MATCH(IFERROR(A372+0,A372),tbl_Onsite[Job Number],0)))),IFERROR(IF(INDEX(tbl_Production[Tax Code],IFERROR(MATCH(A372&amp;"",tbl_Production[Job Number],0),MATCH(IFERROR(A372+0,A372),tbl_Production[Job Number],0)))="","",INDEX(tbl_Production[Tax Code],IFERROR(MATCH(A372&amp;"",tbl_Production[Job Number],0),MATCH(IFERROR(A372+0,A372),tbl_Production[Job Number],0)))),IFERROR(IF(INDEX(tbl_Consulting[Tax Code],IFERROR(MATCH(A372&amp;"",tbl_Consulting[Job Number],0),MATCH(IFERROR(A372+0,A372),tbl_Consulting[Job Number],0)))="","",INDEX(tbl_Consulting[Tax Code],IFERROR(MATCH(A372&amp;"",tbl_Consulting[Job Number],0),MATCH(IFERROR(A372+0,A372),tbl_Consulting[Job Number],0)))),"")))))</f>
        <v/>
      </c>
      <c r="N372" s="26">
        <f>IF(D372="","",IFERROR(INDEX(lst_CCtoGL,MATCH(D372,lst_CCforGL,0)),""))</f>
        <v/>
      </c>
      <c r="O372" s="27">
        <f>IF(E372="","",IF(M372="GST 10%",ROUND(E372*set_GSTRate,2),0))</f>
        <v/>
      </c>
      <c r="P372" s="27">
        <f>IF(E372="","",E372+O372)</f>
        <v/>
      </c>
      <c r="Q372" s="27">
        <f>IF(A372="","",IFERROR(INDEX(tbl_Onsite[Expected Revenue Ex GST],IFERROR(MATCH(A372&amp;"",tbl_Onsite[Job Number],0),MATCH(IFERROR(A372+0,A372),tbl_Onsite[Job Number],0))),IFERROR(INDEX(tbl_Production[Expected Revenue Ex GST],IFERROR(MATCH(A372&amp;"",tbl_Production[Job Number],0),MATCH(IFERROR(A372+0,A372),tbl_Production[Job Number],0))),IFERROR(INDEX(tbl_Consulting[Expected Revenue Ex GST],IFERROR(MATCH(A372&amp;"",tbl_Consulting[Job Number],0),MATCH(IFERROR(A372+0,A372),tbl_Consulting[Job Number],0))),0))))</f>
        <v/>
      </c>
      <c r="R372" s="27">
        <f>IF(A372="","",SUMIFS(tbl_Finance[Ex GST],tbl_Finance[Job Number],A372&amp;""))</f>
        <v/>
      </c>
      <c r="S372" s="27">
        <f>IF(A372="","",Q372-R372)</f>
        <v/>
      </c>
      <c r="T372" s="26">
        <f>IF(A372="","",IF(Q372=0,"No dept value",IF(ROUND(S372,2)=0,"Agrees",IF(S372&gt;0,"Dept higher - to invoice","Xero higher - check dept"))))</f>
        <v/>
      </c>
      <c r="U372" s="22" t="n"/>
      <c r="V372" s="22" t="n"/>
      <c r="W372" s="23" t="n"/>
      <c r="X372" s="23" t="n"/>
      <c r="Y372" s="22" t="n"/>
      <c r="Z372" s="22" t="n"/>
      <c r="AA372" s="26">
        <f>IF(COUNTA(C372,A372,B372,E372)=0,"",IF(C372="","No date - sits outside every month",IF(A372="","No job number",IF(H372="CHECK","Job number is not in the Xero job list",IF(G372="not set up yet","No department has set this job up - nothing can pull through",IF(D372="","No cost centre",IF(AND(U372="Y",B372=""),"Marked posted to Xero but has no invoice number",IF(N372="","Cost centre has no revenue GL on the Lists sheet",IF(T372="Xero higher - check dept","Invoiced more than the department says the job is worth","")))))))))</f>
        <v/>
      </c>
      <c r="AB372" s="28">
        <f>IF(A372="","",COUNTIFS(tbl_Finance[Job Number],A372&amp;"",tbl_Finance[Ex GST],"&lt;&gt;"))</f>
        <v/>
      </c>
      <c r="AC372" s="27">
        <f>IF(A372="","",SUMIFS(tbl_Finance[Ex GST],tbl_Finance[Job Number],A372&amp;""))</f>
        <v/>
      </c>
      <c r="AD372" s="27">
        <f>IF(A372="","",SUMIFS(tbl_Finance[Ex GST],tbl_Finance[Job Number],A372&amp;"",tbl_Finance[Xero Invoice No],"&lt;&gt;"))</f>
        <v/>
      </c>
      <c r="AE372" s="27">
        <f>IF(A372="","",AC372-AD372)</f>
        <v/>
      </c>
      <c r="AF372" s="26">
        <f>IF(A372="","",IFERROR(IF(INDEX(tbl_Onsite[Qwilr Quote],IFERROR(MATCH(A372&amp;"",tbl_Onsite[Job Number],0),MATCH(IFERROR(A372+0,A372),tbl_Onsite[Job Number],0)))="","",INDEX(tbl_Onsite[Qwilr Quote],IFERROR(MATCH(A372&amp;"",tbl_Onsite[Job Number],0),MATCH(IFERROR(A372+0,A372),tbl_Onsite[Job Number],0)))),IFERROR(IF(IF(INDEX(tbl_Production[Current RMS No],IFERROR(MATCH(A372&amp;"",tbl_Production[Job Number],0),MATCH(IFERROR(A372+0,A372),tbl_Production[Job Number],0)))="",INDEX(tbl_Production[Qwilr Quote],IFERROR(MATCH(A372&amp;"",tbl_Production[Job Number],0),MATCH(IFERROR(A372+0,A372),tbl_Production[Job Number],0))),INDEX(tbl_Production[Current RMS No],IFERROR(MATCH(A372&amp;"",tbl_Production[Job Number],0),MATCH(IFERROR(A372+0,A372),tbl_Production[Job Number],0))))="","",IF(INDEX(tbl_Production[Current RMS No],IFERROR(MATCH(A372&amp;"",tbl_Production[Job Number],0),MATCH(IFERROR(A372+0,A372),tbl_Production[Job Number],0)))="",INDEX(tbl_Production[Qwilr Quote],IFERROR(MATCH(A372&amp;"",tbl_Production[Job Number],0),MATCH(IFERROR(A372+0,A372),tbl_Production[Job Number],0))),INDEX(tbl_Production[Current RMS No],IFERROR(MATCH(A372&amp;"",tbl_Production[Job Number],0),MATCH(IFERROR(A372+0,A372),tbl_Production[Job Number],0))))),IFERROR(IF(INDEX(tbl_Consulting[Qwilr Quote],IFERROR(MATCH(A372&amp;"",tbl_Consulting[Job Number],0),MATCH(IFERROR(A372+0,A372),tbl_Consulting[Job Number],0)))="","",INDEX(tbl_Consulting[Qwilr Quote],IFERROR(MATCH(A372&amp;"",tbl_Consulting[Job Number],0),MATCH(IFERROR(A372+0,A372),tbl_Consulting[Job Number],0)))),""))))</f>
        <v/>
      </c>
      <c r="AG372" s="26">
        <f>IF(AF372="","",IF(AND(LEFT(AF372,4)&lt;&gt;"http",IF(G372="Production",set_RMSBase,set_QwilrBase)=""),"",HYPERLINK(IF(LEFT(AF372,4)="http",AF372,IF(G372="Production",set_RMSBase,set_QwilrBase)&amp;AF372),"Open")))</f>
        <v/>
      </c>
      <c r="AH372" s="27">
        <f>IF(A372="","",IFERROR(INDEX(tbl_Production[Total Expense],IFERROR(MATCH(A372&amp;"",tbl_Production[Job Number],0),MATCH(IFERROR(A372+0,A372),tbl_Production[Job Number],0))),IFERROR(INDEX(tbl_Consulting[Total Expense],IFERROR(MATCH(A372&amp;"",tbl_Consulting[Job Number],0),MATCH(IFERROR(A372+0,A372),tbl_Consulting[Job Number],0))),0)))</f>
        <v/>
      </c>
      <c r="AI372" s="27">
        <f>IF(A372="","",AC372-N(AH372))</f>
        <v/>
      </c>
      <c r="AJ372" s="29">
        <f>IFERROR(AI372/AC372,"")</f>
        <v/>
      </c>
      <c r="AK372" s="26">
        <f>IF(A372="","",IFERROR(IF(INDEX(tbl_Onsite[Notes],IFERROR(MATCH(A372&amp;"",tbl_Onsite[Job Number],0),MATCH(IFERROR(A372+0,A372),tbl_Onsite[Job Number],0)))="","",INDEX(tbl_Onsite[Notes],IFERROR(MATCH(A372&amp;"",tbl_Onsite[Job Number],0),MATCH(IFERROR(A372+0,A372),tbl_Onsite[Job Number],0)))),IFERROR(IF(INDEX(tbl_Production[Notes],IFERROR(MATCH(A372&amp;"",tbl_Production[Job Number],0),MATCH(IFERROR(A372+0,A372),tbl_Production[Job Number],0)))="","",INDEX(tbl_Production[Notes],IFERROR(MATCH(A372&amp;"",tbl_Production[Job Number],0),MATCH(IFERROR(A372+0,A372),tbl_Production[Job Number],0)))),IFERROR(IF(INDEX(tbl_Consulting[Notes],IFERROR(MATCH(A372&amp;"",tbl_Consulting[Job Number],0),MATCH(IFERROR(A372+0,A372),tbl_Consulting[Job Number],0)))="","",INDEX(tbl_Consulting[Notes],IFERROR(MATCH(A372&amp;"",tbl_Consulting[Job Number],0),MATCH(IFERROR(A372+0,A372),tbl_Consulting[Job Number],0)))),""))))</f>
        <v/>
      </c>
    </row>
    <row r="373" ht="15" customHeight="1">
      <c r="A373" s="22" t="n"/>
      <c r="B373" s="22" t="n"/>
      <c r="C373" s="23" t="n"/>
      <c r="D373" s="22" t="n"/>
      <c r="E373" s="24" t="n"/>
      <c r="F373" s="25">
        <f>IF(C373="","",EOMONTH(C373,0))</f>
        <v/>
      </c>
      <c r="G373" s="26">
        <f>IF(A373="","",IF(COUNTIF(tbl_Onsite[Job Number],A373&amp;"")&gt;0,"Onsite",IF(COUNTIF(tbl_Production[Job Number],A373&amp;"")&gt;0,"Production",IF(COUNTIF(tbl_Consulting[Job Number],A373&amp;"")&gt;0,"Consulting","not set up yet"))))</f>
        <v/>
      </c>
      <c r="H373" s="26">
        <f>IF(A373="","",IF(COUNTIF(lst_Jobs,A373&amp;"")&gt;0,"OK","CHECK"))</f>
        <v/>
      </c>
      <c r="I373" s="26">
        <f>IF(A373="","",IFERROR(INDEX(lst_JobName,MATCH(A373&amp;"",lst_Jobs,0)),""))</f>
        <v/>
      </c>
      <c r="J373" s="26">
        <f>IF(A373="","",IFERROR(IF(INDEX(tbl_Onsite[Client],IFERROR(MATCH(A373&amp;"",tbl_Onsite[Job Number],0),MATCH(IFERROR(A373+0,A373),tbl_Onsite[Job Number],0)))="","",INDEX(tbl_Onsite[Client],IFERROR(MATCH(A373&amp;"",tbl_Onsite[Job Number],0),MATCH(IFERROR(A373+0,A373),tbl_Onsite[Job Number],0)))),IFERROR(IF(INDEX(tbl_Production[Client],IFERROR(MATCH(A373&amp;"",tbl_Production[Job Number],0),MATCH(IFERROR(A373+0,A373),tbl_Production[Job Number],0)))="","",INDEX(tbl_Production[Client],IFERROR(MATCH(A373&amp;"",tbl_Production[Job Number],0),MATCH(IFERROR(A373+0,A373),tbl_Production[Job Number],0)))),IFERROR(IF(INDEX(tbl_Consulting[Client],IFERROR(MATCH(A373&amp;"",tbl_Consulting[Job Number],0),MATCH(IFERROR(A373+0,A373),tbl_Consulting[Job Number],0)))="","",INDEX(tbl_Consulting[Client],IFERROR(MATCH(A373&amp;"",tbl_Consulting[Job Number],0),MATCH(IFERROR(A373+0,A373),tbl_Consulting[Job Number],0)))),""))))</f>
        <v/>
      </c>
      <c r="K373" s="26">
        <f>IF(A373="","",IFERROR(IF(INDEX(tbl_Onsite[Job Description],IFERROR(MATCH(A373&amp;"",tbl_Onsite[Job Number],0),MATCH(IFERROR(A373+0,A373),tbl_Onsite[Job Number],0)))="","",INDEX(tbl_Onsite[Job Description],IFERROR(MATCH(A373&amp;"",tbl_Onsite[Job Number],0),MATCH(IFERROR(A373+0,A373),tbl_Onsite[Job Number],0)))),IFERROR(IF(INDEX(tbl_Production[Job Description],IFERROR(MATCH(A373&amp;"",tbl_Production[Job Number],0),MATCH(IFERROR(A373+0,A373),tbl_Production[Job Number],0)))="","",INDEX(tbl_Production[Job Description],IFERROR(MATCH(A373&amp;"",tbl_Production[Job Number],0),MATCH(IFERROR(A373+0,A373),tbl_Production[Job Number],0)))),IFERROR(IF(INDEX(tbl_Consulting[Job Description],IFERROR(MATCH(A373&amp;"",tbl_Consulting[Job Number],0),MATCH(IFERROR(A373+0,A373),tbl_Consulting[Job Number],0)))="","",INDEX(tbl_Consulting[Job Description],IFERROR(MATCH(A373&amp;"",tbl_Consulting[Job Number],0),MATCH(IFERROR(A373+0,A373),tbl_Consulting[Job Number],0)))),""))))</f>
        <v/>
      </c>
      <c r="L373" s="26">
        <f>IF(A373="","",IFERROR(IF(INDEX(tbl_Onsite[Invoice Type],IFERROR(MATCH(A373&amp;"",tbl_Onsite[Job Number],0),MATCH(IFERROR(A373+0,A373),tbl_Onsite[Job Number],0)))="","",INDEX(tbl_Onsite[Invoice Type],IFERROR(MATCH(A373&amp;"",tbl_Onsite[Job Number],0),MATCH(IFERROR(A373+0,A373),tbl_Onsite[Job Number],0)))),IFERROR(IF(INDEX(tbl_Production[Invoice Type],IFERROR(MATCH(A373&amp;"",tbl_Production[Job Number],0),MATCH(IFERROR(A373+0,A373),tbl_Production[Job Number],0)))="","",INDEX(tbl_Production[Invoice Type],IFERROR(MATCH(A373&amp;"",tbl_Production[Job Number],0),MATCH(IFERROR(A373+0,A373),tbl_Production[Job Number],0)))),IFERROR(IF(INDEX(tbl_Consulting[Invoice Type],IFERROR(MATCH(A373&amp;"",tbl_Consulting[Job Number],0),MATCH(IFERROR(A373+0,A373),tbl_Consulting[Job Number],0)))="","",INDEX(tbl_Consulting[Invoice Type],IFERROR(MATCH(A373&amp;"",tbl_Consulting[Job Number],0),MATCH(IFERROR(A373+0,A373),tbl_Consulting[Job Number],0)))),""))))</f>
        <v/>
      </c>
      <c r="M373" s="26">
        <f>IF(A373="","",IF(IFERROR(IF(INDEX(tbl_Onsite[Tax Code],IFERROR(MATCH(A373&amp;"",tbl_Onsite[Job Number],0),MATCH(IFERROR(A373+0,A373),tbl_Onsite[Job Number],0)))="","",INDEX(tbl_Onsite[Tax Code],IFERROR(MATCH(A373&amp;"",tbl_Onsite[Job Number],0),MATCH(IFERROR(A373+0,A373),tbl_Onsite[Job Number],0)))),IFERROR(IF(INDEX(tbl_Production[Tax Code],IFERROR(MATCH(A373&amp;"",tbl_Production[Job Number],0),MATCH(IFERROR(A373+0,A373),tbl_Production[Job Number],0)))="","",INDEX(tbl_Production[Tax Code],IFERROR(MATCH(A373&amp;"",tbl_Production[Job Number],0),MATCH(IFERROR(A373+0,A373),tbl_Production[Job Number],0)))),IFERROR(IF(INDEX(tbl_Consulting[Tax Code],IFERROR(MATCH(A373&amp;"",tbl_Consulting[Job Number],0),MATCH(IFERROR(A373+0,A373),tbl_Consulting[Job Number],0)))="","",INDEX(tbl_Consulting[Tax Code],IFERROR(MATCH(A373&amp;"",tbl_Consulting[Job Number],0),MATCH(IFERROR(A373+0,A373),tbl_Consulting[Job Number],0)))),"")))="","GST 10%",IFERROR(IF(INDEX(tbl_Onsite[Tax Code],IFERROR(MATCH(A373&amp;"",tbl_Onsite[Job Number],0),MATCH(IFERROR(A373+0,A373),tbl_Onsite[Job Number],0)))="","",INDEX(tbl_Onsite[Tax Code],IFERROR(MATCH(A373&amp;"",tbl_Onsite[Job Number],0),MATCH(IFERROR(A373+0,A373),tbl_Onsite[Job Number],0)))),IFERROR(IF(INDEX(tbl_Production[Tax Code],IFERROR(MATCH(A373&amp;"",tbl_Production[Job Number],0),MATCH(IFERROR(A373+0,A373),tbl_Production[Job Number],0)))="","",INDEX(tbl_Production[Tax Code],IFERROR(MATCH(A373&amp;"",tbl_Production[Job Number],0),MATCH(IFERROR(A373+0,A373),tbl_Production[Job Number],0)))),IFERROR(IF(INDEX(tbl_Consulting[Tax Code],IFERROR(MATCH(A373&amp;"",tbl_Consulting[Job Number],0),MATCH(IFERROR(A373+0,A373),tbl_Consulting[Job Number],0)))="","",INDEX(tbl_Consulting[Tax Code],IFERROR(MATCH(A373&amp;"",tbl_Consulting[Job Number],0),MATCH(IFERROR(A373+0,A373),tbl_Consulting[Job Number],0)))),"")))))</f>
        <v/>
      </c>
      <c r="N373" s="26">
        <f>IF(D373="","",IFERROR(INDEX(lst_CCtoGL,MATCH(D373,lst_CCforGL,0)),""))</f>
        <v/>
      </c>
      <c r="O373" s="27">
        <f>IF(E373="","",IF(M373="GST 10%",ROUND(E373*set_GSTRate,2),0))</f>
        <v/>
      </c>
      <c r="P373" s="27">
        <f>IF(E373="","",E373+O373)</f>
        <v/>
      </c>
      <c r="Q373" s="27">
        <f>IF(A373="","",IFERROR(INDEX(tbl_Onsite[Expected Revenue Ex GST],IFERROR(MATCH(A373&amp;"",tbl_Onsite[Job Number],0),MATCH(IFERROR(A373+0,A373),tbl_Onsite[Job Number],0))),IFERROR(INDEX(tbl_Production[Expected Revenue Ex GST],IFERROR(MATCH(A373&amp;"",tbl_Production[Job Number],0),MATCH(IFERROR(A373+0,A373),tbl_Production[Job Number],0))),IFERROR(INDEX(tbl_Consulting[Expected Revenue Ex GST],IFERROR(MATCH(A373&amp;"",tbl_Consulting[Job Number],0),MATCH(IFERROR(A373+0,A373),tbl_Consulting[Job Number],0))),0))))</f>
        <v/>
      </c>
      <c r="R373" s="27">
        <f>IF(A373="","",SUMIFS(tbl_Finance[Ex GST],tbl_Finance[Job Number],A373&amp;""))</f>
        <v/>
      </c>
      <c r="S373" s="27">
        <f>IF(A373="","",Q373-R373)</f>
        <v/>
      </c>
      <c r="T373" s="26">
        <f>IF(A373="","",IF(Q373=0,"No dept value",IF(ROUND(S373,2)=0,"Agrees",IF(S373&gt;0,"Dept higher - to invoice","Xero higher - check dept"))))</f>
        <v/>
      </c>
      <c r="U373" s="22" t="n"/>
      <c r="V373" s="22" t="n"/>
      <c r="W373" s="23" t="n"/>
      <c r="X373" s="23" t="n"/>
      <c r="Y373" s="22" t="n"/>
      <c r="Z373" s="22" t="n"/>
      <c r="AA373" s="26">
        <f>IF(COUNTA(C373,A373,B373,E373)=0,"",IF(C373="","No date - sits outside every month",IF(A373="","No job number",IF(H373="CHECK","Job number is not in the Xero job list",IF(G373="not set up yet","No department has set this job up - nothing can pull through",IF(D373="","No cost centre",IF(AND(U373="Y",B373=""),"Marked posted to Xero but has no invoice number",IF(N373="","Cost centre has no revenue GL on the Lists sheet",IF(T373="Xero higher - check dept","Invoiced more than the department says the job is worth","")))))))))</f>
        <v/>
      </c>
      <c r="AB373" s="28">
        <f>IF(A373="","",COUNTIFS(tbl_Finance[Job Number],A373&amp;"",tbl_Finance[Ex GST],"&lt;&gt;"))</f>
        <v/>
      </c>
      <c r="AC373" s="27">
        <f>IF(A373="","",SUMIFS(tbl_Finance[Ex GST],tbl_Finance[Job Number],A373&amp;""))</f>
        <v/>
      </c>
      <c r="AD373" s="27">
        <f>IF(A373="","",SUMIFS(tbl_Finance[Ex GST],tbl_Finance[Job Number],A373&amp;"",tbl_Finance[Xero Invoice No],"&lt;&gt;"))</f>
        <v/>
      </c>
      <c r="AE373" s="27">
        <f>IF(A373="","",AC373-AD373)</f>
        <v/>
      </c>
      <c r="AF373" s="26">
        <f>IF(A373="","",IFERROR(IF(INDEX(tbl_Onsite[Qwilr Quote],IFERROR(MATCH(A373&amp;"",tbl_Onsite[Job Number],0),MATCH(IFERROR(A373+0,A373),tbl_Onsite[Job Number],0)))="","",INDEX(tbl_Onsite[Qwilr Quote],IFERROR(MATCH(A373&amp;"",tbl_Onsite[Job Number],0),MATCH(IFERROR(A373+0,A373),tbl_Onsite[Job Number],0)))),IFERROR(IF(IF(INDEX(tbl_Production[Current RMS No],IFERROR(MATCH(A373&amp;"",tbl_Production[Job Number],0),MATCH(IFERROR(A373+0,A373),tbl_Production[Job Number],0)))="",INDEX(tbl_Production[Qwilr Quote],IFERROR(MATCH(A373&amp;"",tbl_Production[Job Number],0),MATCH(IFERROR(A373+0,A373),tbl_Production[Job Number],0))),INDEX(tbl_Production[Current RMS No],IFERROR(MATCH(A373&amp;"",tbl_Production[Job Number],0),MATCH(IFERROR(A373+0,A373),tbl_Production[Job Number],0))))="","",IF(INDEX(tbl_Production[Current RMS No],IFERROR(MATCH(A373&amp;"",tbl_Production[Job Number],0),MATCH(IFERROR(A373+0,A373),tbl_Production[Job Number],0)))="",INDEX(tbl_Production[Qwilr Quote],IFERROR(MATCH(A373&amp;"",tbl_Production[Job Number],0),MATCH(IFERROR(A373+0,A373),tbl_Production[Job Number],0))),INDEX(tbl_Production[Current RMS No],IFERROR(MATCH(A373&amp;"",tbl_Production[Job Number],0),MATCH(IFERROR(A373+0,A373),tbl_Production[Job Number],0))))),IFERROR(IF(INDEX(tbl_Consulting[Qwilr Quote],IFERROR(MATCH(A373&amp;"",tbl_Consulting[Job Number],0),MATCH(IFERROR(A373+0,A373),tbl_Consulting[Job Number],0)))="","",INDEX(tbl_Consulting[Qwilr Quote],IFERROR(MATCH(A373&amp;"",tbl_Consulting[Job Number],0),MATCH(IFERROR(A373+0,A373),tbl_Consulting[Job Number],0)))),""))))</f>
        <v/>
      </c>
      <c r="AG373" s="26">
        <f>IF(AF373="","",IF(AND(LEFT(AF373,4)&lt;&gt;"http",IF(G373="Production",set_RMSBase,set_QwilrBase)=""),"",HYPERLINK(IF(LEFT(AF373,4)="http",AF373,IF(G373="Production",set_RMSBase,set_QwilrBase)&amp;AF373),"Open")))</f>
        <v/>
      </c>
      <c r="AH373" s="27">
        <f>IF(A373="","",IFERROR(INDEX(tbl_Production[Total Expense],IFERROR(MATCH(A373&amp;"",tbl_Production[Job Number],0),MATCH(IFERROR(A373+0,A373),tbl_Production[Job Number],0))),IFERROR(INDEX(tbl_Consulting[Total Expense],IFERROR(MATCH(A373&amp;"",tbl_Consulting[Job Number],0),MATCH(IFERROR(A373+0,A373),tbl_Consulting[Job Number],0))),0)))</f>
        <v/>
      </c>
      <c r="AI373" s="27">
        <f>IF(A373="","",AC373-N(AH373))</f>
        <v/>
      </c>
      <c r="AJ373" s="29">
        <f>IFERROR(AI373/AC373,"")</f>
        <v/>
      </c>
      <c r="AK373" s="26">
        <f>IF(A373="","",IFERROR(IF(INDEX(tbl_Onsite[Notes],IFERROR(MATCH(A373&amp;"",tbl_Onsite[Job Number],0),MATCH(IFERROR(A373+0,A373),tbl_Onsite[Job Number],0)))="","",INDEX(tbl_Onsite[Notes],IFERROR(MATCH(A373&amp;"",tbl_Onsite[Job Number],0),MATCH(IFERROR(A373+0,A373),tbl_Onsite[Job Number],0)))),IFERROR(IF(INDEX(tbl_Production[Notes],IFERROR(MATCH(A373&amp;"",tbl_Production[Job Number],0),MATCH(IFERROR(A373+0,A373),tbl_Production[Job Number],0)))="","",INDEX(tbl_Production[Notes],IFERROR(MATCH(A373&amp;"",tbl_Production[Job Number],0),MATCH(IFERROR(A373+0,A373),tbl_Production[Job Number],0)))),IFERROR(IF(INDEX(tbl_Consulting[Notes],IFERROR(MATCH(A373&amp;"",tbl_Consulting[Job Number],0),MATCH(IFERROR(A373+0,A373),tbl_Consulting[Job Number],0)))="","",INDEX(tbl_Consulting[Notes],IFERROR(MATCH(A373&amp;"",tbl_Consulting[Job Number],0),MATCH(IFERROR(A373+0,A373),tbl_Consulting[Job Number],0)))),""))))</f>
        <v/>
      </c>
    </row>
    <row r="374" ht="15" customHeight="1">
      <c r="A374" s="22" t="n"/>
      <c r="B374" s="22" t="n"/>
      <c r="C374" s="23" t="n"/>
      <c r="D374" s="22" t="n"/>
      <c r="E374" s="24" t="n"/>
      <c r="F374" s="25">
        <f>IF(C374="","",EOMONTH(C374,0))</f>
        <v/>
      </c>
      <c r="G374" s="26">
        <f>IF(A374="","",IF(COUNTIF(tbl_Onsite[Job Number],A374&amp;"")&gt;0,"Onsite",IF(COUNTIF(tbl_Production[Job Number],A374&amp;"")&gt;0,"Production",IF(COUNTIF(tbl_Consulting[Job Number],A374&amp;"")&gt;0,"Consulting","not set up yet"))))</f>
        <v/>
      </c>
      <c r="H374" s="26">
        <f>IF(A374="","",IF(COUNTIF(lst_Jobs,A374&amp;"")&gt;0,"OK","CHECK"))</f>
        <v/>
      </c>
      <c r="I374" s="26">
        <f>IF(A374="","",IFERROR(INDEX(lst_JobName,MATCH(A374&amp;"",lst_Jobs,0)),""))</f>
        <v/>
      </c>
      <c r="J374" s="26">
        <f>IF(A374="","",IFERROR(IF(INDEX(tbl_Onsite[Client],IFERROR(MATCH(A374&amp;"",tbl_Onsite[Job Number],0),MATCH(IFERROR(A374+0,A374),tbl_Onsite[Job Number],0)))="","",INDEX(tbl_Onsite[Client],IFERROR(MATCH(A374&amp;"",tbl_Onsite[Job Number],0),MATCH(IFERROR(A374+0,A374),tbl_Onsite[Job Number],0)))),IFERROR(IF(INDEX(tbl_Production[Client],IFERROR(MATCH(A374&amp;"",tbl_Production[Job Number],0),MATCH(IFERROR(A374+0,A374),tbl_Production[Job Number],0)))="","",INDEX(tbl_Production[Client],IFERROR(MATCH(A374&amp;"",tbl_Production[Job Number],0),MATCH(IFERROR(A374+0,A374),tbl_Production[Job Number],0)))),IFERROR(IF(INDEX(tbl_Consulting[Client],IFERROR(MATCH(A374&amp;"",tbl_Consulting[Job Number],0),MATCH(IFERROR(A374+0,A374),tbl_Consulting[Job Number],0)))="","",INDEX(tbl_Consulting[Client],IFERROR(MATCH(A374&amp;"",tbl_Consulting[Job Number],0),MATCH(IFERROR(A374+0,A374),tbl_Consulting[Job Number],0)))),""))))</f>
        <v/>
      </c>
      <c r="K374" s="26">
        <f>IF(A374="","",IFERROR(IF(INDEX(tbl_Onsite[Job Description],IFERROR(MATCH(A374&amp;"",tbl_Onsite[Job Number],0),MATCH(IFERROR(A374+0,A374),tbl_Onsite[Job Number],0)))="","",INDEX(tbl_Onsite[Job Description],IFERROR(MATCH(A374&amp;"",tbl_Onsite[Job Number],0),MATCH(IFERROR(A374+0,A374),tbl_Onsite[Job Number],0)))),IFERROR(IF(INDEX(tbl_Production[Job Description],IFERROR(MATCH(A374&amp;"",tbl_Production[Job Number],0),MATCH(IFERROR(A374+0,A374),tbl_Production[Job Number],0)))="","",INDEX(tbl_Production[Job Description],IFERROR(MATCH(A374&amp;"",tbl_Production[Job Number],0),MATCH(IFERROR(A374+0,A374),tbl_Production[Job Number],0)))),IFERROR(IF(INDEX(tbl_Consulting[Job Description],IFERROR(MATCH(A374&amp;"",tbl_Consulting[Job Number],0),MATCH(IFERROR(A374+0,A374),tbl_Consulting[Job Number],0)))="","",INDEX(tbl_Consulting[Job Description],IFERROR(MATCH(A374&amp;"",tbl_Consulting[Job Number],0),MATCH(IFERROR(A374+0,A374),tbl_Consulting[Job Number],0)))),""))))</f>
        <v/>
      </c>
      <c r="L374" s="26">
        <f>IF(A374="","",IFERROR(IF(INDEX(tbl_Onsite[Invoice Type],IFERROR(MATCH(A374&amp;"",tbl_Onsite[Job Number],0),MATCH(IFERROR(A374+0,A374),tbl_Onsite[Job Number],0)))="","",INDEX(tbl_Onsite[Invoice Type],IFERROR(MATCH(A374&amp;"",tbl_Onsite[Job Number],0),MATCH(IFERROR(A374+0,A374),tbl_Onsite[Job Number],0)))),IFERROR(IF(INDEX(tbl_Production[Invoice Type],IFERROR(MATCH(A374&amp;"",tbl_Production[Job Number],0),MATCH(IFERROR(A374+0,A374),tbl_Production[Job Number],0)))="","",INDEX(tbl_Production[Invoice Type],IFERROR(MATCH(A374&amp;"",tbl_Production[Job Number],0),MATCH(IFERROR(A374+0,A374),tbl_Production[Job Number],0)))),IFERROR(IF(INDEX(tbl_Consulting[Invoice Type],IFERROR(MATCH(A374&amp;"",tbl_Consulting[Job Number],0),MATCH(IFERROR(A374+0,A374),tbl_Consulting[Job Number],0)))="","",INDEX(tbl_Consulting[Invoice Type],IFERROR(MATCH(A374&amp;"",tbl_Consulting[Job Number],0),MATCH(IFERROR(A374+0,A374),tbl_Consulting[Job Number],0)))),""))))</f>
        <v/>
      </c>
      <c r="M374" s="26">
        <f>IF(A374="","",IF(IFERROR(IF(INDEX(tbl_Onsite[Tax Code],IFERROR(MATCH(A374&amp;"",tbl_Onsite[Job Number],0),MATCH(IFERROR(A374+0,A374),tbl_Onsite[Job Number],0)))="","",INDEX(tbl_Onsite[Tax Code],IFERROR(MATCH(A374&amp;"",tbl_Onsite[Job Number],0),MATCH(IFERROR(A374+0,A374),tbl_Onsite[Job Number],0)))),IFERROR(IF(INDEX(tbl_Production[Tax Code],IFERROR(MATCH(A374&amp;"",tbl_Production[Job Number],0),MATCH(IFERROR(A374+0,A374),tbl_Production[Job Number],0)))="","",INDEX(tbl_Production[Tax Code],IFERROR(MATCH(A374&amp;"",tbl_Production[Job Number],0),MATCH(IFERROR(A374+0,A374),tbl_Production[Job Number],0)))),IFERROR(IF(INDEX(tbl_Consulting[Tax Code],IFERROR(MATCH(A374&amp;"",tbl_Consulting[Job Number],0),MATCH(IFERROR(A374+0,A374),tbl_Consulting[Job Number],0)))="","",INDEX(tbl_Consulting[Tax Code],IFERROR(MATCH(A374&amp;"",tbl_Consulting[Job Number],0),MATCH(IFERROR(A374+0,A374),tbl_Consulting[Job Number],0)))),"")))="","GST 10%",IFERROR(IF(INDEX(tbl_Onsite[Tax Code],IFERROR(MATCH(A374&amp;"",tbl_Onsite[Job Number],0),MATCH(IFERROR(A374+0,A374),tbl_Onsite[Job Number],0)))="","",INDEX(tbl_Onsite[Tax Code],IFERROR(MATCH(A374&amp;"",tbl_Onsite[Job Number],0),MATCH(IFERROR(A374+0,A374),tbl_Onsite[Job Number],0)))),IFERROR(IF(INDEX(tbl_Production[Tax Code],IFERROR(MATCH(A374&amp;"",tbl_Production[Job Number],0),MATCH(IFERROR(A374+0,A374),tbl_Production[Job Number],0)))="","",INDEX(tbl_Production[Tax Code],IFERROR(MATCH(A374&amp;"",tbl_Production[Job Number],0),MATCH(IFERROR(A374+0,A374),tbl_Production[Job Number],0)))),IFERROR(IF(INDEX(tbl_Consulting[Tax Code],IFERROR(MATCH(A374&amp;"",tbl_Consulting[Job Number],0),MATCH(IFERROR(A374+0,A374),tbl_Consulting[Job Number],0)))="","",INDEX(tbl_Consulting[Tax Code],IFERROR(MATCH(A374&amp;"",tbl_Consulting[Job Number],0),MATCH(IFERROR(A374+0,A374),tbl_Consulting[Job Number],0)))),"")))))</f>
        <v/>
      </c>
      <c r="N374" s="26">
        <f>IF(D374="","",IFERROR(INDEX(lst_CCtoGL,MATCH(D374,lst_CCforGL,0)),""))</f>
        <v/>
      </c>
      <c r="O374" s="27">
        <f>IF(E374="","",IF(M374="GST 10%",ROUND(E374*set_GSTRate,2),0))</f>
        <v/>
      </c>
      <c r="P374" s="27">
        <f>IF(E374="","",E374+O374)</f>
        <v/>
      </c>
      <c r="Q374" s="27">
        <f>IF(A374="","",IFERROR(INDEX(tbl_Onsite[Expected Revenue Ex GST],IFERROR(MATCH(A374&amp;"",tbl_Onsite[Job Number],0),MATCH(IFERROR(A374+0,A374),tbl_Onsite[Job Number],0))),IFERROR(INDEX(tbl_Production[Expected Revenue Ex GST],IFERROR(MATCH(A374&amp;"",tbl_Production[Job Number],0),MATCH(IFERROR(A374+0,A374),tbl_Production[Job Number],0))),IFERROR(INDEX(tbl_Consulting[Expected Revenue Ex GST],IFERROR(MATCH(A374&amp;"",tbl_Consulting[Job Number],0),MATCH(IFERROR(A374+0,A374),tbl_Consulting[Job Number],0))),0))))</f>
        <v/>
      </c>
      <c r="R374" s="27">
        <f>IF(A374="","",SUMIFS(tbl_Finance[Ex GST],tbl_Finance[Job Number],A374&amp;""))</f>
        <v/>
      </c>
      <c r="S374" s="27">
        <f>IF(A374="","",Q374-R374)</f>
        <v/>
      </c>
      <c r="T374" s="26">
        <f>IF(A374="","",IF(Q374=0,"No dept value",IF(ROUND(S374,2)=0,"Agrees",IF(S374&gt;0,"Dept higher - to invoice","Xero higher - check dept"))))</f>
        <v/>
      </c>
      <c r="U374" s="22" t="n"/>
      <c r="V374" s="22" t="n"/>
      <c r="W374" s="23" t="n"/>
      <c r="X374" s="23" t="n"/>
      <c r="Y374" s="22" t="n"/>
      <c r="Z374" s="22" t="n"/>
      <c r="AA374" s="26">
        <f>IF(COUNTA(C374,A374,B374,E374)=0,"",IF(C374="","No date - sits outside every month",IF(A374="","No job number",IF(H374="CHECK","Job number is not in the Xero job list",IF(G374="not set up yet","No department has set this job up - nothing can pull through",IF(D374="","No cost centre",IF(AND(U374="Y",B374=""),"Marked posted to Xero but has no invoice number",IF(N374="","Cost centre has no revenue GL on the Lists sheet",IF(T374="Xero higher - check dept","Invoiced more than the department says the job is worth","")))))))))</f>
        <v/>
      </c>
      <c r="AB374" s="28">
        <f>IF(A374="","",COUNTIFS(tbl_Finance[Job Number],A374&amp;"",tbl_Finance[Ex GST],"&lt;&gt;"))</f>
        <v/>
      </c>
      <c r="AC374" s="27">
        <f>IF(A374="","",SUMIFS(tbl_Finance[Ex GST],tbl_Finance[Job Number],A374&amp;""))</f>
        <v/>
      </c>
      <c r="AD374" s="27">
        <f>IF(A374="","",SUMIFS(tbl_Finance[Ex GST],tbl_Finance[Job Number],A374&amp;"",tbl_Finance[Xero Invoice No],"&lt;&gt;"))</f>
        <v/>
      </c>
      <c r="AE374" s="27">
        <f>IF(A374="","",AC374-AD374)</f>
        <v/>
      </c>
      <c r="AF374" s="26">
        <f>IF(A374="","",IFERROR(IF(INDEX(tbl_Onsite[Qwilr Quote],IFERROR(MATCH(A374&amp;"",tbl_Onsite[Job Number],0),MATCH(IFERROR(A374+0,A374),tbl_Onsite[Job Number],0)))="","",INDEX(tbl_Onsite[Qwilr Quote],IFERROR(MATCH(A374&amp;"",tbl_Onsite[Job Number],0),MATCH(IFERROR(A374+0,A374),tbl_Onsite[Job Number],0)))),IFERROR(IF(IF(INDEX(tbl_Production[Current RMS No],IFERROR(MATCH(A374&amp;"",tbl_Production[Job Number],0),MATCH(IFERROR(A374+0,A374),tbl_Production[Job Number],0)))="",INDEX(tbl_Production[Qwilr Quote],IFERROR(MATCH(A374&amp;"",tbl_Production[Job Number],0),MATCH(IFERROR(A374+0,A374),tbl_Production[Job Number],0))),INDEX(tbl_Production[Current RMS No],IFERROR(MATCH(A374&amp;"",tbl_Production[Job Number],0),MATCH(IFERROR(A374+0,A374),tbl_Production[Job Number],0))))="","",IF(INDEX(tbl_Production[Current RMS No],IFERROR(MATCH(A374&amp;"",tbl_Production[Job Number],0),MATCH(IFERROR(A374+0,A374),tbl_Production[Job Number],0)))="",INDEX(tbl_Production[Qwilr Quote],IFERROR(MATCH(A374&amp;"",tbl_Production[Job Number],0),MATCH(IFERROR(A374+0,A374),tbl_Production[Job Number],0))),INDEX(tbl_Production[Current RMS No],IFERROR(MATCH(A374&amp;"",tbl_Production[Job Number],0),MATCH(IFERROR(A374+0,A374),tbl_Production[Job Number],0))))),IFERROR(IF(INDEX(tbl_Consulting[Qwilr Quote],IFERROR(MATCH(A374&amp;"",tbl_Consulting[Job Number],0),MATCH(IFERROR(A374+0,A374),tbl_Consulting[Job Number],0)))="","",INDEX(tbl_Consulting[Qwilr Quote],IFERROR(MATCH(A374&amp;"",tbl_Consulting[Job Number],0),MATCH(IFERROR(A374+0,A374),tbl_Consulting[Job Number],0)))),""))))</f>
        <v/>
      </c>
      <c r="AG374" s="26">
        <f>IF(AF374="","",IF(AND(LEFT(AF374,4)&lt;&gt;"http",IF(G374="Production",set_RMSBase,set_QwilrBase)=""),"",HYPERLINK(IF(LEFT(AF374,4)="http",AF374,IF(G374="Production",set_RMSBase,set_QwilrBase)&amp;AF374),"Open")))</f>
        <v/>
      </c>
      <c r="AH374" s="27">
        <f>IF(A374="","",IFERROR(INDEX(tbl_Production[Total Expense],IFERROR(MATCH(A374&amp;"",tbl_Production[Job Number],0),MATCH(IFERROR(A374+0,A374),tbl_Production[Job Number],0))),IFERROR(INDEX(tbl_Consulting[Total Expense],IFERROR(MATCH(A374&amp;"",tbl_Consulting[Job Number],0),MATCH(IFERROR(A374+0,A374),tbl_Consulting[Job Number],0))),0)))</f>
        <v/>
      </c>
      <c r="AI374" s="27">
        <f>IF(A374="","",AC374-N(AH374))</f>
        <v/>
      </c>
      <c r="AJ374" s="29">
        <f>IFERROR(AI374/AC374,"")</f>
        <v/>
      </c>
      <c r="AK374" s="26">
        <f>IF(A374="","",IFERROR(IF(INDEX(tbl_Onsite[Notes],IFERROR(MATCH(A374&amp;"",tbl_Onsite[Job Number],0),MATCH(IFERROR(A374+0,A374),tbl_Onsite[Job Number],0)))="","",INDEX(tbl_Onsite[Notes],IFERROR(MATCH(A374&amp;"",tbl_Onsite[Job Number],0),MATCH(IFERROR(A374+0,A374),tbl_Onsite[Job Number],0)))),IFERROR(IF(INDEX(tbl_Production[Notes],IFERROR(MATCH(A374&amp;"",tbl_Production[Job Number],0),MATCH(IFERROR(A374+0,A374),tbl_Production[Job Number],0)))="","",INDEX(tbl_Production[Notes],IFERROR(MATCH(A374&amp;"",tbl_Production[Job Number],0),MATCH(IFERROR(A374+0,A374),tbl_Production[Job Number],0)))),IFERROR(IF(INDEX(tbl_Consulting[Notes],IFERROR(MATCH(A374&amp;"",tbl_Consulting[Job Number],0),MATCH(IFERROR(A374+0,A374),tbl_Consulting[Job Number],0)))="","",INDEX(tbl_Consulting[Notes],IFERROR(MATCH(A374&amp;"",tbl_Consulting[Job Number],0),MATCH(IFERROR(A374+0,A374),tbl_Consulting[Job Number],0)))),""))))</f>
        <v/>
      </c>
    </row>
    <row r="375" ht="15" customHeight="1">
      <c r="A375" s="22" t="n"/>
      <c r="B375" s="22" t="n"/>
      <c r="C375" s="23" t="n"/>
      <c r="D375" s="22" t="n"/>
      <c r="E375" s="24" t="n"/>
      <c r="F375" s="25">
        <f>IF(C375="","",EOMONTH(C375,0))</f>
        <v/>
      </c>
      <c r="G375" s="26">
        <f>IF(A375="","",IF(COUNTIF(tbl_Onsite[Job Number],A375&amp;"")&gt;0,"Onsite",IF(COUNTIF(tbl_Production[Job Number],A375&amp;"")&gt;0,"Production",IF(COUNTIF(tbl_Consulting[Job Number],A375&amp;"")&gt;0,"Consulting","not set up yet"))))</f>
        <v/>
      </c>
      <c r="H375" s="26">
        <f>IF(A375="","",IF(COUNTIF(lst_Jobs,A375&amp;"")&gt;0,"OK","CHECK"))</f>
        <v/>
      </c>
      <c r="I375" s="26">
        <f>IF(A375="","",IFERROR(INDEX(lst_JobName,MATCH(A375&amp;"",lst_Jobs,0)),""))</f>
        <v/>
      </c>
      <c r="J375" s="26">
        <f>IF(A375="","",IFERROR(IF(INDEX(tbl_Onsite[Client],IFERROR(MATCH(A375&amp;"",tbl_Onsite[Job Number],0),MATCH(IFERROR(A375+0,A375),tbl_Onsite[Job Number],0)))="","",INDEX(tbl_Onsite[Client],IFERROR(MATCH(A375&amp;"",tbl_Onsite[Job Number],0),MATCH(IFERROR(A375+0,A375),tbl_Onsite[Job Number],0)))),IFERROR(IF(INDEX(tbl_Production[Client],IFERROR(MATCH(A375&amp;"",tbl_Production[Job Number],0),MATCH(IFERROR(A375+0,A375),tbl_Production[Job Number],0)))="","",INDEX(tbl_Production[Client],IFERROR(MATCH(A375&amp;"",tbl_Production[Job Number],0),MATCH(IFERROR(A375+0,A375),tbl_Production[Job Number],0)))),IFERROR(IF(INDEX(tbl_Consulting[Client],IFERROR(MATCH(A375&amp;"",tbl_Consulting[Job Number],0),MATCH(IFERROR(A375+0,A375),tbl_Consulting[Job Number],0)))="","",INDEX(tbl_Consulting[Client],IFERROR(MATCH(A375&amp;"",tbl_Consulting[Job Number],0),MATCH(IFERROR(A375+0,A375),tbl_Consulting[Job Number],0)))),""))))</f>
        <v/>
      </c>
      <c r="K375" s="26">
        <f>IF(A375="","",IFERROR(IF(INDEX(tbl_Onsite[Job Description],IFERROR(MATCH(A375&amp;"",tbl_Onsite[Job Number],0),MATCH(IFERROR(A375+0,A375),tbl_Onsite[Job Number],0)))="","",INDEX(tbl_Onsite[Job Description],IFERROR(MATCH(A375&amp;"",tbl_Onsite[Job Number],0),MATCH(IFERROR(A375+0,A375),tbl_Onsite[Job Number],0)))),IFERROR(IF(INDEX(tbl_Production[Job Description],IFERROR(MATCH(A375&amp;"",tbl_Production[Job Number],0),MATCH(IFERROR(A375+0,A375),tbl_Production[Job Number],0)))="","",INDEX(tbl_Production[Job Description],IFERROR(MATCH(A375&amp;"",tbl_Production[Job Number],0),MATCH(IFERROR(A375+0,A375),tbl_Production[Job Number],0)))),IFERROR(IF(INDEX(tbl_Consulting[Job Description],IFERROR(MATCH(A375&amp;"",tbl_Consulting[Job Number],0),MATCH(IFERROR(A375+0,A375),tbl_Consulting[Job Number],0)))="","",INDEX(tbl_Consulting[Job Description],IFERROR(MATCH(A375&amp;"",tbl_Consulting[Job Number],0),MATCH(IFERROR(A375+0,A375),tbl_Consulting[Job Number],0)))),""))))</f>
        <v/>
      </c>
      <c r="L375" s="26">
        <f>IF(A375="","",IFERROR(IF(INDEX(tbl_Onsite[Invoice Type],IFERROR(MATCH(A375&amp;"",tbl_Onsite[Job Number],0),MATCH(IFERROR(A375+0,A375),tbl_Onsite[Job Number],0)))="","",INDEX(tbl_Onsite[Invoice Type],IFERROR(MATCH(A375&amp;"",tbl_Onsite[Job Number],0),MATCH(IFERROR(A375+0,A375),tbl_Onsite[Job Number],0)))),IFERROR(IF(INDEX(tbl_Production[Invoice Type],IFERROR(MATCH(A375&amp;"",tbl_Production[Job Number],0),MATCH(IFERROR(A375+0,A375),tbl_Production[Job Number],0)))="","",INDEX(tbl_Production[Invoice Type],IFERROR(MATCH(A375&amp;"",tbl_Production[Job Number],0),MATCH(IFERROR(A375+0,A375),tbl_Production[Job Number],0)))),IFERROR(IF(INDEX(tbl_Consulting[Invoice Type],IFERROR(MATCH(A375&amp;"",tbl_Consulting[Job Number],0),MATCH(IFERROR(A375+0,A375),tbl_Consulting[Job Number],0)))="","",INDEX(tbl_Consulting[Invoice Type],IFERROR(MATCH(A375&amp;"",tbl_Consulting[Job Number],0),MATCH(IFERROR(A375+0,A375),tbl_Consulting[Job Number],0)))),""))))</f>
        <v/>
      </c>
      <c r="M375" s="26">
        <f>IF(A375="","",IF(IFERROR(IF(INDEX(tbl_Onsite[Tax Code],IFERROR(MATCH(A375&amp;"",tbl_Onsite[Job Number],0),MATCH(IFERROR(A375+0,A375),tbl_Onsite[Job Number],0)))="","",INDEX(tbl_Onsite[Tax Code],IFERROR(MATCH(A375&amp;"",tbl_Onsite[Job Number],0),MATCH(IFERROR(A375+0,A375),tbl_Onsite[Job Number],0)))),IFERROR(IF(INDEX(tbl_Production[Tax Code],IFERROR(MATCH(A375&amp;"",tbl_Production[Job Number],0),MATCH(IFERROR(A375+0,A375),tbl_Production[Job Number],0)))="","",INDEX(tbl_Production[Tax Code],IFERROR(MATCH(A375&amp;"",tbl_Production[Job Number],0),MATCH(IFERROR(A375+0,A375),tbl_Production[Job Number],0)))),IFERROR(IF(INDEX(tbl_Consulting[Tax Code],IFERROR(MATCH(A375&amp;"",tbl_Consulting[Job Number],0),MATCH(IFERROR(A375+0,A375),tbl_Consulting[Job Number],0)))="","",INDEX(tbl_Consulting[Tax Code],IFERROR(MATCH(A375&amp;"",tbl_Consulting[Job Number],0),MATCH(IFERROR(A375+0,A375),tbl_Consulting[Job Number],0)))),"")))="","GST 10%",IFERROR(IF(INDEX(tbl_Onsite[Tax Code],IFERROR(MATCH(A375&amp;"",tbl_Onsite[Job Number],0),MATCH(IFERROR(A375+0,A375),tbl_Onsite[Job Number],0)))="","",INDEX(tbl_Onsite[Tax Code],IFERROR(MATCH(A375&amp;"",tbl_Onsite[Job Number],0),MATCH(IFERROR(A375+0,A375),tbl_Onsite[Job Number],0)))),IFERROR(IF(INDEX(tbl_Production[Tax Code],IFERROR(MATCH(A375&amp;"",tbl_Production[Job Number],0),MATCH(IFERROR(A375+0,A375),tbl_Production[Job Number],0)))="","",INDEX(tbl_Production[Tax Code],IFERROR(MATCH(A375&amp;"",tbl_Production[Job Number],0),MATCH(IFERROR(A375+0,A375),tbl_Production[Job Number],0)))),IFERROR(IF(INDEX(tbl_Consulting[Tax Code],IFERROR(MATCH(A375&amp;"",tbl_Consulting[Job Number],0),MATCH(IFERROR(A375+0,A375),tbl_Consulting[Job Number],0)))="","",INDEX(tbl_Consulting[Tax Code],IFERROR(MATCH(A375&amp;"",tbl_Consulting[Job Number],0),MATCH(IFERROR(A375+0,A375),tbl_Consulting[Job Number],0)))),"")))))</f>
        <v/>
      </c>
      <c r="N375" s="26">
        <f>IF(D375="","",IFERROR(INDEX(lst_CCtoGL,MATCH(D375,lst_CCforGL,0)),""))</f>
        <v/>
      </c>
      <c r="O375" s="27">
        <f>IF(E375="","",IF(M375="GST 10%",ROUND(E375*set_GSTRate,2),0))</f>
        <v/>
      </c>
      <c r="P375" s="27">
        <f>IF(E375="","",E375+O375)</f>
        <v/>
      </c>
      <c r="Q375" s="27">
        <f>IF(A375="","",IFERROR(INDEX(tbl_Onsite[Expected Revenue Ex GST],IFERROR(MATCH(A375&amp;"",tbl_Onsite[Job Number],0),MATCH(IFERROR(A375+0,A375),tbl_Onsite[Job Number],0))),IFERROR(INDEX(tbl_Production[Expected Revenue Ex GST],IFERROR(MATCH(A375&amp;"",tbl_Production[Job Number],0),MATCH(IFERROR(A375+0,A375),tbl_Production[Job Number],0))),IFERROR(INDEX(tbl_Consulting[Expected Revenue Ex GST],IFERROR(MATCH(A375&amp;"",tbl_Consulting[Job Number],0),MATCH(IFERROR(A375+0,A375),tbl_Consulting[Job Number],0))),0))))</f>
        <v/>
      </c>
      <c r="R375" s="27">
        <f>IF(A375="","",SUMIFS(tbl_Finance[Ex GST],tbl_Finance[Job Number],A375&amp;""))</f>
        <v/>
      </c>
      <c r="S375" s="27">
        <f>IF(A375="","",Q375-R375)</f>
        <v/>
      </c>
      <c r="T375" s="26">
        <f>IF(A375="","",IF(Q375=0,"No dept value",IF(ROUND(S375,2)=0,"Agrees",IF(S375&gt;0,"Dept higher - to invoice","Xero higher - check dept"))))</f>
        <v/>
      </c>
      <c r="U375" s="22" t="n"/>
      <c r="V375" s="22" t="n"/>
      <c r="W375" s="23" t="n"/>
      <c r="X375" s="23" t="n"/>
      <c r="Y375" s="22" t="n"/>
      <c r="Z375" s="22" t="n"/>
      <c r="AA375" s="26">
        <f>IF(COUNTA(C375,A375,B375,E375)=0,"",IF(C375="","No date - sits outside every month",IF(A375="","No job number",IF(H375="CHECK","Job number is not in the Xero job list",IF(G375="not set up yet","No department has set this job up - nothing can pull through",IF(D375="","No cost centre",IF(AND(U375="Y",B375=""),"Marked posted to Xero but has no invoice number",IF(N375="","Cost centre has no revenue GL on the Lists sheet",IF(T375="Xero higher - check dept","Invoiced more than the department says the job is worth","")))))))))</f>
        <v/>
      </c>
      <c r="AB375" s="28">
        <f>IF(A375="","",COUNTIFS(tbl_Finance[Job Number],A375&amp;"",tbl_Finance[Ex GST],"&lt;&gt;"))</f>
        <v/>
      </c>
      <c r="AC375" s="27">
        <f>IF(A375="","",SUMIFS(tbl_Finance[Ex GST],tbl_Finance[Job Number],A375&amp;""))</f>
        <v/>
      </c>
      <c r="AD375" s="27">
        <f>IF(A375="","",SUMIFS(tbl_Finance[Ex GST],tbl_Finance[Job Number],A375&amp;"",tbl_Finance[Xero Invoice No],"&lt;&gt;"))</f>
        <v/>
      </c>
      <c r="AE375" s="27">
        <f>IF(A375="","",AC375-AD375)</f>
        <v/>
      </c>
      <c r="AF375" s="26">
        <f>IF(A375="","",IFERROR(IF(INDEX(tbl_Onsite[Qwilr Quote],IFERROR(MATCH(A375&amp;"",tbl_Onsite[Job Number],0),MATCH(IFERROR(A375+0,A375),tbl_Onsite[Job Number],0)))="","",INDEX(tbl_Onsite[Qwilr Quote],IFERROR(MATCH(A375&amp;"",tbl_Onsite[Job Number],0),MATCH(IFERROR(A375+0,A375),tbl_Onsite[Job Number],0)))),IFERROR(IF(IF(INDEX(tbl_Production[Current RMS No],IFERROR(MATCH(A375&amp;"",tbl_Production[Job Number],0),MATCH(IFERROR(A375+0,A375),tbl_Production[Job Number],0)))="",INDEX(tbl_Production[Qwilr Quote],IFERROR(MATCH(A375&amp;"",tbl_Production[Job Number],0),MATCH(IFERROR(A375+0,A375),tbl_Production[Job Number],0))),INDEX(tbl_Production[Current RMS No],IFERROR(MATCH(A375&amp;"",tbl_Production[Job Number],0),MATCH(IFERROR(A375+0,A375),tbl_Production[Job Number],0))))="","",IF(INDEX(tbl_Production[Current RMS No],IFERROR(MATCH(A375&amp;"",tbl_Production[Job Number],0),MATCH(IFERROR(A375+0,A375),tbl_Production[Job Number],0)))="",INDEX(tbl_Production[Qwilr Quote],IFERROR(MATCH(A375&amp;"",tbl_Production[Job Number],0),MATCH(IFERROR(A375+0,A375),tbl_Production[Job Number],0))),INDEX(tbl_Production[Current RMS No],IFERROR(MATCH(A375&amp;"",tbl_Production[Job Number],0),MATCH(IFERROR(A375+0,A375),tbl_Production[Job Number],0))))),IFERROR(IF(INDEX(tbl_Consulting[Qwilr Quote],IFERROR(MATCH(A375&amp;"",tbl_Consulting[Job Number],0),MATCH(IFERROR(A375+0,A375),tbl_Consulting[Job Number],0)))="","",INDEX(tbl_Consulting[Qwilr Quote],IFERROR(MATCH(A375&amp;"",tbl_Consulting[Job Number],0),MATCH(IFERROR(A375+0,A375),tbl_Consulting[Job Number],0)))),""))))</f>
        <v/>
      </c>
      <c r="AG375" s="26">
        <f>IF(AF375="","",IF(AND(LEFT(AF375,4)&lt;&gt;"http",IF(G375="Production",set_RMSBase,set_QwilrBase)=""),"",HYPERLINK(IF(LEFT(AF375,4)="http",AF375,IF(G375="Production",set_RMSBase,set_QwilrBase)&amp;AF375),"Open")))</f>
        <v/>
      </c>
      <c r="AH375" s="27">
        <f>IF(A375="","",IFERROR(INDEX(tbl_Production[Total Expense],IFERROR(MATCH(A375&amp;"",tbl_Production[Job Number],0),MATCH(IFERROR(A375+0,A375),tbl_Production[Job Number],0))),IFERROR(INDEX(tbl_Consulting[Total Expense],IFERROR(MATCH(A375&amp;"",tbl_Consulting[Job Number],0),MATCH(IFERROR(A375+0,A375),tbl_Consulting[Job Number],0))),0)))</f>
        <v/>
      </c>
      <c r="AI375" s="27">
        <f>IF(A375="","",AC375-N(AH375))</f>
        <v/>
      </c>
      <c r="AJ375" s="29">
        <f>IFERROR(AI375/AC375,"")</f>
        <v/>
      </c>
      <c r="AK375" s="26">
        <f>IF(A375="","",IFERROR(IF(INDEX(tbl_Onsite[Notes],IFERROR(MATCH(A375&amp;"",tbl_Onsite[Job Number],0),MATCH(IFERROR(A375+0,A375),tbl_Onsite[Job Number],0)))="","",INDEX(tbl_Onsite[Notes],IFERROR(MATCH(A375&amp;"",tbl_Onsite[Job Number],0),MATCH(IFERROR(A375+0,A375),tbl_Onsite[Job Number],0)))),IFERROR(IF(INDEX(tbl_Production[Notes],IFERROR(MATCH(A375&amp;"",tbl_Production[Job Number],0),MATCH(IFERROR(A375+0,A375),tbl_Production[Job Number],0)))="","",INDEX(tbl_Production[Notes],IFERROR(MATCH(A375&amp;"",tbl_Production[Job Number],0),MATCH(IFERROR(A375+0,A375),tbl_Production[Job Number],0)))),IFERROR(IF(INDEX(tbl_Consulting[Notes],IFERROR(MATCH(A375&amp;"",tbl_Consulting[Job Number],0),MATCH(IFERROR(A375+0,A375),tbl_Consulting[Job Number],0)))="","",INDEX(tbl_Consulting[Notes],IFERROR(MATCH(A375&amp;"",tbl_Consulting[Job Number],0),MATCH(IFERROR(A375+0,A375),tbl_Consulting[Job Number],0)))),""))))</f>
        <v/>
      </c>
    </row>
    <row r="376" ht="15" customHeight="1">
      <c r="A376" s="22" t="n"/>
      <c r="B376" s="22" t="n"/>
      <c r="C376" s="23" t="n"/>
      <c r="D376" s="22" t="n"/>
      <c r="E376" s="24" t="n"/>
      <c r="F376" s="25">
        <f>IF(C376="","",EOMONTH(C376,0))</f>
        <v/>
      </c>
      <c r="G376" s="26">
        <f>IF(A376="","",IF(COUNTIF(tbl_Onsite[Job Number],A376&amp;"")&gt;0,"Onsite",IF(COUNTIF(tbl_Production[Job Number],A376&amp;"")&gt;0,"Production",IF(COUNTIF(tbl_Consulting[Job Number],A376&amp;"")&gt;0,"Consulting","not set up yet"))))</f>
        <v/>
      </c>
      <c r="H376" s="26">
        <f>IF(A376="","",IF(COUNTIF(lst_Jobs,A376&amp;"")&gt;0,"OK","CHECK"))</f>
        <v/>
      </c>
      <c r="I376" s="26">
        <f>IF(A376="","",IFERROR(INDEX(lst_JobName,MATCH(A376&amp;"",lst_Jobs,0)),""))</f>
        <v/>
      </c>
      <c r="J376" s="26">
        <f>IF(A376="","",IFERROR(IF(INDEX(tbl_Onsite[Client],IFERROR(MATCH(A376&amp;"",tbl_Onsite[Job Number],0),MATCH(IFERROR(A376+0,A376),tbl_Onsite[Job Number],0)))="","",INDEX(tbl_Onsite[Client],IFERROR(MATCH(A376&amp;"",tbl_Onsite[Job Number],0),MATCH(IFERROR(A376+0,A376),tbl_Onsite[Job Number],0)))),IFERROR(IF(INDEX(tbl_Production[Client],IFERROR(MATCH(A376&amp;"",tbl_Production[Job Number],0),MATCH(IFERROR(A376+0,A376),tbl_Production[Job Number],0)))="","",INDEX(tbl_Production[Client],IFERROR(MATCH(A376&amp;"",tbl_Production[Job Number],0),MATCH(IFERROR(A376+0,A376),tbl_Production[Job Number],0)))),IFERROR(IF(INDEX(tbl_Consulting[Client],IFERROR(MATCH(A376&amp;"",tbl_Consulting[Job Number],0),MATCH(IFERROR(A376+0,A376),tbl_Consulting[Job Number],0)))="","",INDEX(tbl_Consulting[Client],IFERROR(MATCH(A376&amp;"",tbl_Consulting[Job Number],0),MATCH(IFERROR(A376+0,A376),tbl_Consulting[Job Number],0)))),""))))</f>
        <v/>
      </c>
      <c r="K376" s="26">
        <f>IF(A376="","",IFERROR(IF(INDEX(tbl_Onsite[Job Description],IFERROR(MATCH(A376&amp;"",tbl_Onsite[Job Number],0),MATCH(IFERROR(A376+0,A376),tbl_Onsite[Job Number],0)))="","",INDEX(tbl_Onsite[Job Description],IFERROR(MATCH(A376&amp;"",tbl_Onsite[Job Number],0),MATCH(IFERROR(A376+0,A376),tbl_Onsite[Job Number],0)))),IFERROR(IF(INDEX(tbl_Production[Job Description],IFERROR(MATCH(A376&amp;"",tbl_Production[Job Number],0),MATCH(IFERROR(A376+0,A376),tbl_Production[Job Number],0)))="","",INDEX(tbl_Production[Job Description],IFERROR(MATCH(A376&amp;"",tbl_Production[Job Number],0),MATCH(IFERROR(A376+0,A376),tbl_Production[Job Number],0)))),IFERROR(IF(INDEX(tbl_Consulting[Job Description],IFERROR(MATCH(A376&amp;"",tbl_Consulting[Job Number],0),MATCH(IFERROR(A376+0,A376),tbl_Consulting[Job Number],0)))="","",INDEX(tbl_Consulting[Job Description],IFERROR(MATCH(A376&amp;"",tbl_Consulting[Job Number],0),MATCH(IFERROR(A376+0,A376),tbl_Consulting[Job Number],0)))),""))))</f>
        <v/>
      </c>
      <c r="L376" s="26">
        <f>IF(A376="","",IFERROR(IF(INDEX(tbl_Onsite[Invoice Type],IFERROR(MATCH(A376&amp;"",tbl_Onsite[Job Number],0),MATCH(IFERROR(A376+0,A376),tbl_Onsite[Job Number],0)))="","",INDEX(tbl_Onsite[Invoice Type],IFERROR(MATCH(A376&amp;"",tbl_Onsite[Job Number],0),MATCH(IFERROR(A376+0,A376),tbl_Onsite[Job Number],0)))),IFERROR(IF(INDEX(tbl_Production[Invoice Type],IFERROR(MATCH(A376&amp;"",tbl_Production[Job Number],0),MATCH(IFERROR(A376+0,A376),tbl_Production[Job Number],0)))="","",INDEX(tbl_Production[Invoice Type],IFERROR(MATCH(A376&amp;"",tbl_Production[Job Number],0),MATCH(IFERROR(A376+0,A376),tbl_Production[Job Number],0)))),IFERROR(IF(INDEX(tbl_Consulting[Invoice Type],IFERROR(MATCH(A376&amp;"",tbl_Consulting[Job Number],0),MATCH(IFERROR(A376+0,A376),tbl_Consulting[Job Number],0)))="","",INDEX(tbl_Consulting[Invoice Type],IFERROR(MATCH(A376&amp;"",tbl_Consulting[Job Number],0),MATCH(IFERROR(A376+0,A376),tbl_Consulting[Job Number],0)))),""))))</f>
        <v/>
      </c>
      <c r="M376" s="26">
        <f>IF(A376="","",IF(IFERROR(IF(INDEX(tbl_Onsite[Tax Code],IFERROR(MATCH(A376&amp;"",tbl_Onsite[Job Number],0),MATCH(IFERROR(A376+0,A376),tbl_Onsite[Job Number],0)))="","",INDEX(tbl_Onsite[Tax Code],IFERROR(MATCH(A376&amp;"",tbl_Onsite[Job Number],0),MATCH(IFERROR(A376+0,A376),tbl_Onsite[Job Number],0)))),IFERROR(IF(INDEX(tbl_Production[Tax Code],IFERROR(MATCH(A376&amp;"",tbl_Production[Job Number],0),MATCH(IFERROR(A376+0,A376),tbl_Production[Job Number],0)))="","",INDEX(tbl_Production[Tax Code],IFERROR(MATCH(A376&amp;"",tbl_Production[Job Number],0),MATCH(IFERROR(A376+0,A376),tbl_Production[Job Number],0)))),IFERROR(IF(INDEX(tbl_Consulting[Tax Code],IFERROR(MATCH(A376&amp;"",tbl_Consulting[Job Number],0),MATCH(IFERROR(A376+0,A376),tbl_Consulting[Job Number],0)))="","",INDEX(tbl_Consulting[Tax Code],IFERROR(MATCH(A376&amp;"",tbl_Consulting[Job Number],0),MATCH(IFERROR(A376+0,A376),tbl_Consulting[Job Number],0)))),"")))="","GST 10%",IFERROR(IF(INDEX(tbl_Onsite[Tax Code],IFERROR(MATCH(A376&amp;"",tbl_Onsite[Job Number],0),MATCH(IFERROR(A376+0,A376),tbl_Onsite[Job Number],0)))="","",INDEX(tbl_Onsite[Tax Code],IFERROR(MATCH(A376&amp;"",tbl_Onsite[Job Number],0),MATCH(IFERROR(A376+0,A376),tbl_Onsite[Job Number],0)))),IFERROR(IF(INDEX(tbl_Production[Tax Code],IFERROR(MATCH(A376&amp;"",tbl_Production[Job Number],0),MATCH(IFERROR(A376+0,A376),tbl_Production[Job Number],0)))="","",INDEX(tbl_Production[Tax Code],IFERROR(MATCH(A376&amp;"",tbl_Production[Job Number],0),MATCH(IFERROR(A376+0,A376),tbl_Production[Job Number],0)))),IFERROR(IF(INDEX(tbl_Consulting[Tax Code],IFERROR(MATCH(A376&amp;"",tbl_Consulting[Job Number],0),MATCH(IFERROR(A376+0,A376),tbl_Consulting[Job Number],0)))="","",INDEX(tbl_Consulting[Tax Code],IFERROR(MATCH(A376&amp;"",tbl_Consulting[Job Number],0),MATCH(IFERROR(A376+0,A376),tbl_Consulting[Job Number],0)))),"")))))</f>
        <v/>
      </c>
      <c r="N376" s="26">
        <f>IF(D376="","",IFERROR(INDEX(lst_CCtoGL,MATCH(D376,lst_CCforGL,0)),""))</f>
        <v/>
      </c>
      <c r="O376" s="27">
        <f>IF(E376="","",IF(M376="GST 10%",ROUND(E376*set_GSTRate,2),0))</f>
        <v/>
      </c>
      <c r="P376" s="27">
        <f>IF(E376="","",E376+O376)</f>
        <v/>
      </c>
      <c r="Q376" s="27">
        <f>IF(A376="","",IFERROR(INDEX(tbl_Onsite[Expected Revenue Ex GST],IFERROR(MATCH(A376&amp;"",tbl_Onsite[Job Number],0),MATCH(IFERROR(A376+0,A376),tbl_Onsite[Job Number],0))),IFERROR(INDEX(tbl_Production[Expected Revenue Ex GST],IFERROR(MATCH(A376&amp;"",tbl_Production[Job Number],0),MATCH(IFERROR(A376+0,A376),tbl_Production[Job Number],0))),IFERROR(INDEX(tbl_Consulting[Expected Revenue Ex GST],IFERROR(MATCH(A376&amp;"",tbl_Consulting[Job Number],0),MATCH(IFERROR(A376+0,A376),tbl_Consulting[Job Number],0))),0))))</f>
        <v/>
      </c>
      <c r="R376" s="27">
        <f>IF(A376="","",SUMIFS(tbl_Finance[Ex GST],tbl_Finance[Job Number],A376&amp;""))</f>
        <v/>
      </c>
      <c r="S376" s="27">
        <f>IF(A376="","",Q376-R376)</f>
        <v/>
      </c>
      <c r="T376" s="26">
        <f>IF(A376="","",IF(Q376=0,"No dept value",IF(ROUND(S376,2)=0,"Agrees",IF(S376&gt;0,"Dept higher - to invoice","Xero higher - check dept"))))</f>
        <v/>
      </c>
      <c r="U376" s="22" t="n"/>
      <c r="V376" s="22" t="n"/>
      <c r="W376" s="23" t="n"/>
      <c r="X376" s="23" t="n"/>
      <c r="Y376" s="22" t="n"/>
      <c r="Z376" s="22" t="n"/>
      <c r="AA376" s="26">
        <f>IF(COUNTA(C376,A376,B376,E376)=0,"",IF(C376="","No date - sits outside every month",IF(A376="","No job number",IF(H376="CHECK","Job number is not in the Xero job list",IF(G376="not set up yet","No department has set this job up - nothing can pull through",IF(D376="","No cost centre",IF(AND(U376="Y",B376=""),"Marked posted to Xero but has no invoice number",IF(N376="","Cost centre has no revenue GL on the Lists sheet",IF(T376="Xero higher - check dept","Invoiced more than the department says the job is worth","")))))))))</f>
        <v/>
      </c>
      <c r="AB376" s="28">
        <f>IF(A376="","",COUNTIFS(tbl_Finance[Job Number],A376&amp;"",tbl_Finance[Ex GST],"&lt;&gt;"))</f>
        <v/>
      </c>
      <c r="AC376" s="27">
        <f>IF(A376="","",SUMIFS(tbl_Finance[Ex GST],tbl_Finance[Job Number],A376&amp;""))</f>
        <v/>
      </c>
      <c r="AD376" s="27">
        <f>IF(A376="","",SUMIFS(tbl_Finance[Ex GST],tbl_Finance[Job Number],A376&amp;"",tbl_Finance[Xero Invoice No],"&lt;&gt;"))</f>
        <v/>
      </c>
      <c r="AE376" s="27">
        <f>IF(A376="","",AC376-AD376)</f>
        <v/>
      </c>
      <c r="AF376" s="26">
        <f>IF(A376="","",IFERROR(IF(INDEX(tbl_Onsite[Qwilr Quote],IFERROR(MATCH(A376&amp;"",tbl_Onsite[Job Number],0),MATCH(IFERROR(A376+0,A376),tbl_Onsite[Job Number],0)))="","",INDEX(tbl_Onsite[Qwilr Quote],IFERROR(MATCH(A376&amp;"",tbl_Onsite[Job Number],0),MATCH(IFERROR(A376+0,A376),tbl_Onsite[Job Number],0)))),IFERROR(IF(IF(INDEX(tbl_Production[Current RMS No],IFERROR(MATCH(A376&amp;"",tbl_Production[Job Number],0),MATCH(IFERROR(A376+0,A376),tbl_Production[Job Number],0)))="",INDEX(tbl_Production[Qwilr Quote],IFERROR(MATCH(A376&amp;"",tbl_Production[Job Number],0),MATCH(IFERROR(A376+0,A376),tbl_Production[Job Number],0))),INDEX(tbl_Production[Current RMS No],IFERROR(MATCH(A376&amp;"",tbl_Production[Job Number],0),MATCH(IFERROR(A376+0,A376),tbl_Production[Job Number],0))))="","",IF(INDEX(tbl_Production[Current RMS No],IFERROR(MATCH(A376&amp;"",tbl_Production[Job Number],0),MATCH(IFERROR(A376+0,A376),tbl_Production[Job Number],0)))="",INDEX(tbl_Production[Qwilr Quote],IFERROR(MATCH(A376&amp;"",tbl_Production[Job Number],0),MATCH(IFERROR(A376+0,A376),tbl_Production[Job Number],0))),INDEX(tbl_Production[Current RMS No],IFERROR(MATCH(A376&amp;"",tbl_Production[Job Number],0),MATCH(IFERROR(A376+0,A376),tbl_Production[Job Number],0))))),IFERROR(IF(INDEX(tbl_Consulting[Qwilr Quote],IFERROR(MATCH(A376&amp;"",tbl_Consulting[Job Number],0),MATCH(IFERROR(A376+0,A376),tbl_Consulting[Job Number],0)))="","",INDEX(tbl_Consulting[Qwilr Quote],IFERROR(MATCH(A376&amp;"",tbl_Consulting[Job Number],0),MATCH(IFERROR(A376+0,A376),tbl_Consulting[Job Number],0)))),""))))</f>
        <v/>
      </c>
      <c r="AG376" s="26">
        <f>IF(AF376="","",IF(AND(LEFT(AF376,4)&lt;&gt;"http",IF(G376="Production",set_RMSBase,set_QwilrBase)=""),"",HYPERLINK(IF(LEFT(AF376,4)="http",AF376,IF(G376="Production",set_RMSBase,set_QwilrBase)&amp;AF376),"Open")))</f>
        <v/>
      </c>
      <c r="AH376" s="27">
        <f>IF(A376="","",IFERROR(INDEX(tbl_Production[Total Expense],IFERROR(MATCH(A376&amp;"",tbl_Production[Job Number],0),MATCH(IFERROR(A376+0,A376),tbl_Production[Job Number],0))),IFERROR(INDEX(tbl_Consulting[Total Expense],IFERROR(MATCH(A376&amp;"",tbl_Consulting[Job Number],0),MATCH(IFERROR(A376+0,A376),tbl_Consulting[Job Number],0))),0)))</f>
        <v/>
      </c>
      <c r="AI376" s="27">
        <f>IF(A376="","",AC376-N(AH376))</f>
        <v/>
      </c>
      <c r="AJ376" s="29">
        <f>IFERROR(AI376/AC376,"")</f>
        <v/>
      </c>
      <c r="AK376" s="26">
        <f>IF(A376="","",IFERROR(IF(INDEX(tbl_Onsite[Notes],IFERROR(MATCH(A376&amp;"",tbl_Onsite[Job Number],0),MATCH(IFERROR(A376+0,A376),tbl_Onsite[Job Number],0)))="","",INDEX(tbl_Onsite[Notes],IFERROR(MATCH(A376&amp;"",tbl_Onsite[Job Number],0),MATCH(IFERROR(A376+0,A376),tbl_Onsite[Job Number],0)))),IFERROR(IF(INDEX(tbl_Production[Notes],IFERROR(MATCH(A376&amp;"",tbl_Production[Job Number],0),MATCH(IFERROR(A376+0,A376),tbl_Production[Job Number],0)))="","",INDEX(tbl_Production[Notes],IFERROR(MATCH(A376&amp;"",tbl_Production[Job Number],0),MATCH(IFERROR(A376+0,A376),tbl_Production[Job Number],0)))),IFERROR(IF(INDEX(tbl_Consulting[Notes],IFERROR(MATCH(A376&amp;"",tbl_Consulting[Job Number],0),MATCH(IFERROR(A376+0,A376),tbl_Consulting[Job Number],0)))="","",INDEX(tbl_Consulting[Notes],IFERROR(MATCH(A376&amp;"",tbl_Consulting[Job Number],0),MATCH(IFERROR(A376+0,A376),tbl_Consulting[Job Number],0)))),""))))</f>
        <v/>
      </c>
    </row>
    <row r="377" ht="15" customHeight="1">
      <c r="A377" s="22" t="n"/>
      <c r="B377" s="22" t="n"/>
      <c r="C377" s="23" t="n"/>
      <c r="D377" s="22" t="n"/>
      <c r="E377" s="24" t="n"/>
      <c r="F377" s="25">
        <f>IF(C377="","",EOMONTH(C377,0))</f>
        <v/>
      </c>
      <c r="G377" s="26">
        <f>IF(A377="","",IF(COUNTIF(tbl_Onsite[Job Number],A377&amp;"")&gt;0,"Onsite",IF(COUNTIF(tbl_Production[Job Number],A377&amp;"")&gt;0,"Production",IF(COUNTIF(tbl_Consulting[Job Number],A377&amp;"")&gt;0,"Consulting","not set up yet"))))</f>
        <v/>
      </c>
      <c r="H377" s="26">
        <f>IF(A377="","",IF(COUNTIF(lst_Jobs,A377&amp;"")&gt;0,"OK","CHECK"))</f>
        <v/>
      </c>
      <c r="I377" s="26">
        <f>IF(A377="","",IFERROR(INDEX(lst_JobName,MATCH(A377&amp;"",lst_Jobs,0)),""))</f>
        <v/>
      </c>
      <c r="J377" s="26">
        <f>IF(A377="","",IFERROR(IF(INDEX(tbl_Onsite[Client],IFERROR(MATCH(A377&amp;"",tbl_Onsite[Job Number],0),MATCH(IFERROR(A377+0,A377),tbl_Onsite[Job Number],0)))="","",INDEX(tbl_Onsite[Client],IFERROR(MATCH(A377&amp;"",tbl_Onsite[Job Number],0),MATCH(IFERROR(A377+0,A377),tbl_Onsite[Job Number],0)))),IFERROR(IF(INDEX(tbl_Production[Client],IFERROR(MATCH(A377&amp;"",tbl_Production[Job Number],0),MATCH(IFERROR(A377+0,A377),tbl_Production[Job Number],0)))="","",INDEX(tbl_Production[Client],IFERROR(MATCH(A377&amp;"",tbl_Production[Job Number],0),MATCH(IFERROR(A377+0,A377),tbl_Production[Job Number],0)))),IFERROR(IF(INDEX(tbl_Consulting[Client],IFERROR(MATCH(A377&amp;"",tbl_Consulting[Job Number],0),MATCH(IFERROR(A377+0,A377),tbl_Consulting[Job Number],0)))="","",INDEX(tbl_Consulting[Client],IFERROR(MATCH(A377&amp;"",tbl_Consulting[Job Number],0),MATCH(IFERROR(A377+0,A377),tbl_Consulting[Job Number],0)))),""))))</f>
        <v/>
      </c>
      <c r="K377" s="26">
        <f>IF(A377="","",IFERROR(IF(INDEX(tbl_Onsite[Job Description],IFERROR(MATCH(A377&amp;"",tbl_Onsite[Job Number],0),MATCH(IFERROR(A377+0,A377),tbl_Onsite[Job Number],0)))="","",INDEX(tbl_Onsite[Job Description],IFERROR(MATCH(A377&amp;"",tbl_Onsite[Job Number],0),MATCH(IFERROR(A377+0,A377),tbl_Onsite[Job Number],0)))),IFERROR(IF(INDEX(tbl_Production[Job Description],IFERROR(MATCH(A377&amp;"",tbl_Production[Job Number],0),MATCH(IFERROR(A377+0,A377),tbl_Production[Job Number],0)))="","",INDEX(tbl_Production[Job Description],IFERROR(MATCH(A377&amp;"",tbl_Production[Job Number],0),MATCH(IFERROR(A377+0,A377),tbl_Production[Job Number],0)))),IFERROR(IF(INDEX(tbl_Consulting[Job Description],IFERROR(MATCH(A377&amp;"",tbl_Consulting[Job Number],0),MATCH(IFERROR(A377+0,A377),tbl_Consulting[Job Number],0)))="","",INDEX(tbl_Consulting[Job Description],IFERROR(MATCH(A377&amp;"",tbl_Consulting[Job Number],0),MATCH(IFERROR(A377+0,A377),tbl_Consulting[Job Number],0)))),""))))</f>
        <v/>
      </c>
      <c r="L377" s="26">
        <f>IF(A377="","",IFERROR(IF(INDEX(tbl_Onsite[Invoice Type],IFERROR(MATCH(A377&amp;"",tbl_Onsite[Job Number],0),MATCH(IFERROR(A377+0,A377),tbl_Onsite[Job Number],0)))="","",INDEX(tbl_Onsite[Invoice Type],IFERROR(MATCH(A377&amp;"",tbl_Onsite[Job Number],0),MATCH(IFERROR(A377+0,A377),tbl_Onsite[Job Number],0)))),IFERROR(IF(INDEX(tbl_Production[Invoice Type],IFERROR(MATCH(A377&amp;"",tbl_Production[Job Number],0),MATCH(IFERROR(A377+0,A377),tbl_Production[Job Number],0)))="","",INDEX(tbl_Production[Invoice Type],IFERROR(MATCH(A377&amp;"",tbl_Production[Job Number],0),MATCH(IFERROR(A377+0,A377),tbl_Production[Job Number],0)))),IFERROR(IF(INDEX(tbl_Consulting[Invoice Type],IFERROR(MATCH(A377&amp;"",tbl_Consulting[Job Number],0),MATCH(IFERROR(A377+0,A377),tbl_Consulting[Job Number],0)))="","",INDEX(tbl_Consulting[Invoice Type],IFERROR(MATCH(A377&amp;"",tbl_Consulting[Job Number],0),MATCH(IFERROR(A377+0,A377),tbl_Consulting[Job Number],0)))),""))))</f>
        <v/>
      </c>
      <c r="M377" s="26">
        <f>IF(A377="","",IF(IFERROR(IF(INDEX(tbl_Onsite[Tax Code],IFERROR(MATCH(A377&amp;"",tbl_Onsite[Job Number],0),MATCH(IFERROR(A377+0,A377),tbl_Onsite[Job Number],0)))="","",INDEX(tbl_Onsite[Tax Code],IFERROR(MATCH(A377&amp;"",tbl_Onsite[Job Number],0),MATCH(IFERROR(A377+0,A377),tbl_Onsite[Job Number],0)))),IFERROR(IF(INDEX(tbl_Production[Tax Code],IFERROR(MATCH(A377&amp;"",tbl_Production[Job Number],0),MATCH(IFERROR(A377+0,A377),tbl_Production[Job Number],0)))="","",INDEX(tbl_Production[Tax Code],IFERROR(MATCH(A377&amp;"",tbl_Production[Job Number],0),MATCH(IFERROR(A377+0,A377),tbl_Production[Job Number],0)))),IFERROR(IF(INDEX(tbl_Consulting[Tax Code],IFERROR(MATCH(A377&amp;"",tbl_Consulting[Job Number],0),MATCH(IFERROR(A377+0,A377),tbl_Consulting[Job Number],0)))="","",INDEX(tbl_Consulting[Tax Code],IFERROR(MATCH(A377&amp;"",tbl_Consulting[Job Number],0),MATCH(IFERROR(A377+0,A377),tbl_Consulting[Job Number],0)))),"")))="","GST 10%",IFERROR(IF(INDEX(tbl_Onsite[Tax Code],IFERROR(MATCH(A377&amp;"",tbl_Onsite[Job Number],0),MATCH(IFERROR(A377+0,A377),tbl_Onsite[Job Number],0)))="","",INDEX(tbl_Onsite[Tax Code],IFERROR(MATCH(A377&amp;"",tbl_Onsite[Job Number],0),MATCH(IFERROR(A377+0,A377),tbl_Onsite[Job Number],0)))),IFERROR(IF(INDEX(tbl_Production[Tax Code],IFERROR(MATCH(A377&amp;"",tbl_Production[Job Number],0),MATCH(IFERROR(A377+0,A377),tbl_Production[Job Number],0)))="","",INDEX(tbl_Production[Tax Code],IFERROR(MATCH(A377&amp;"",tbl_Production[Job Number],0),MATCH(IFERROR(A377+0,A377),tbl_Production[Job Number],0)))),IFERROR(IF(INDEX(tbl_Consulting[Tax Code],IFERROR(MATCH(A377&amp;"",tbl_Consulting[Job Number],0),MATCH(IFERROR(A377+0,A377),tbl_Consulting[Job Number],0)))="","",INDEX(tbl_Consulting[Tax Code],IFERROR(MATCH(A377&amp;"",tbl_Consulting[Job Number],0),MATCH(IFERROR(A377+0,A377),tbl_Consulting[Job Number],0)))),"")))))</f>
        <v/>
      </c>
      <c r="N377" s="26">
        <f>IF(D377="","",IFERROR(INDEX(lst_CCtoGL,MATCH(D377,lst_CCforGL,0)),""))</f>
        <v/>
      </c>
      <c r="O377" s="27">
        <f>IF(E377="","",IF(M377="GST 10%",ROUND(E377*set_GSTRate,2),0))</f>
        <v/>
      </c>
      <c r="P377" s="27">
        <f>IF(E377="","",E377+O377)</f>
        <v/>
      </c>
      <c r="Q377" s="27">
        <f>IF(A377="","",IFERROR(INDEX(tbl_Onsite[Expected Revenue Ex GST],IFERROR(MATCH(A377&amp;"",tbl_Onsite[Job Number],0),MATCH(IFERROR(A377+0,A377),tbl_Onsite[Job Number],0))),IFERROR(INDEX(tbl_Production[Expected Revenue Ex GST],IFERROR(MATCH(A377&amp;"",tbl_Production[Job Number],0),MATCH(IFERROR(A377+0,A377),tbl_Production[Job Number],0))),IFERROR(INDEX(tbl_Consulting[Expected Revenue Ex GST],IFERROR(MATCH(A377&amp;"",tbl_Consulting[Job Number],0),MATCH(IFERROR(A377+0,A377),tbl_Consulting[Job Number],0))),0))))</f>
        <v/>
      </c>
      <c r="R377" s="27">
        <f>IF(A377="","",SUMIFS(tbl_Finance[Ex GST],tbl_Finance[Job Number],A377&amp;""))</f>
        <v/>
      </c>
      <c r="S377" s="27">
        <f>IF(A377="","",Q377-R377)</f>
        <v/>
      </c>
      <c r="T377" s="26">
        <f>IF(A377="","",IF(Q377=0,"No dept value",IF(ROUND(S377,2)=0,"Agrees",IF(S377&gt;0,"Dept higher - to invoice","Xero higher - check dept"))))</f>
        <v/>
      </c>
      <c r="U377" s="22" t="n"/>
      <c r="V377" s="22" t="n"/>
      <c r="W377" s="23" t="n"/>
      <c r="X377" s="23" t="n"/>
      <c r="Y377" s="22" t="n"/>
      <c r="Z377" s="22" t="n"/>
      <c r="AA377" s="26">
        <f>IF(COUNTA(C377,A377,B377,E377)=0,"",IF(C377="","No date - sits outside every month",IF(A377="","No job number",IF(H377="CHECK","Job number is not in the Xero job list",IF(G377="not set up yet","No department has set this job up - nothing can pull through",IF(D377="","No cost centre",IF(AND(U377="Y",B377=""),"Marked posted to Xero but has no invoice number",IF(N377="","Cost centre has no revenue GL on the Lists sheet",IF(T377="Xero higher - check dept","Invoiced more than the department says the job is worth","")))))))))</f>
        <v/>
      </c>
      <c r="AB377" s="28">
        <f>IF(A377="","",COUNTIFS(tbl_Finance[Job Number],A377&amp;"",tbl_Finance[Ex GST],"&lt;&gt;"))</f>
        <v/>
      </c>
      <c r="AC377" s="27">
        <f>IF(A377="","",SUMIFS(tbl_Finance[Ex GST],tbl_Finance[Job Number],A377&amp;""))</f>
        <v/>
      </c>
      <c r="AD377" s="27">
        <f>IF(A377="","",SUMIFS(tbl_Finance[Ex GST],tbl_Finance[Job Number],A377&amp;"",tbl_Finance[Xero Invoice No],"&lt;&gt;"))</f>
        <v/>
      </c>
      <c r="AE377" s="27">
        <f>IF(A377="","",AC377-AD377)</f>
        <v/>
      </c>
      <c r="AF377" s="26">
        <f>IF(A377="","",IFERROR(IF(INDEX(tbl_Onsite[Qwilr Quote],IFERROR(MATCH(A377&amp;"",tbl_Onsite[Job Number],0),MATCH(IFERROR(A377+0,A377),tbl_Onsite[Job Number],0)))="","",INDEX(tbl_Onsite[Qwilr Quote],IFERROR(MATCH(A377&amp;"",tbl_Onsite[Job Number],0),MATCH(IFERROR(A377+0,A377),tbl_Onsite[Job Number],0)))),IFERROR(IF(IF(INDEX(tbl_Production[Current RMS No],IFERROR(MATCH(A377&amp;"",tbl_Production[Job Number],0),MATCH(IFERROR(A377+0,A377),tbl_Production[Job Number],0)))="",INDEX(tbl_Production[Qwilr Quote],IFERROR(MATCH(A377&amp;"",tbl_Production[Job Number],0),MATCH(IFERROR(A377+0,A377),tbl_Production[Job Number],0))),INDEX(tbl_Production[Current RMS No],IFERROR(MATCH(A377&amp;"",tbl_Production[Job Number],0),MATCH(IFERROR(A377+0,A377),tbl_Production[Job Number],0))))="","",IF(INDEX(tbl_Production[Current RMS No],IFERROR(MATCH(A377&amp;"",tbl_Production[Job Number],0),MATCH(IFERROR(A377+0,A377),tbl_Production[Job Number],0)))="",INDEX(tbl_Production[Qwilr Quote],IFERROR(MATCH(A377&amp;"",tbl_Production[Job Number],0),MATCH(IFERROR(A377+0,A377),tbl_Production[Job Number],0))),INDEX(tbl_Production[Current RMS No],IFERROR(MATCH(A377&amp;"",tbl_Production[Job Number],0),MATCH(IFERROR(A377+0,A377),tbl_Production[Job Number],0))))),IFERROR(IF(INDEX(tbl_Consulting[Qwilr Quote],IFERROR(MATCH(A377&amp;"",tbl_Consulting[Job Number],0),MATCH(IFERROR(A377+0,A377),tbl_Consulting[Job Number],0)))="","",INDEX(tbl_Consulting[Qwilr Quote],IFERROR(MATCH(A377&amp;"",tbl_Consulting[Job Number],0),MATCH(IFERROR(A377+0,A377),tbl_Consulting[Job Number],0)))),""))))</f>
        <v/>
      </c>
      <c r="AG377" s="26">
        <f>IF(AF377="","",IF(AND(LEFT(AF377,4)&lt;&gt;"http",IF(G377="Production",set_RMSBase,set_QwilrBase)=""),"",HYPERLINK(IF(LEFT(AF377,4)="http",AF377,IF(G377="Production",set_RMSBase,set_QwilrBase)&amp;AF377),"Open")))</f>
        <v/>
      </c>
      <c r="AH377" s="27">
        <f>IF(A377="","",IFERROR(INDEX(tbl_Production[Total Expense],IFERROR(MATCH(A377&amp;"",tbl_Production[Job Number],0),MATCH(IFERROR(A377+0,A377),tbl_Production[Job Number],0))),IFERROR(INDEX(tbl_Consulting[Total Expense],IFERROR(MATCH(A377&amp;"",tbl_Consulting[Job Number],0),MATCH(IFERROR(A377+0,A377),tbl_Consulting[Job Number],0))),0)))</f>
        <v/>
      </c>
      <c r="AI377" s="27">
        <f>IF(A377="","",AC377-N(AH377))</f>
        <v/>
      </c>
      <c r="AJ377" s="29">
        <f>IFERROR(AI377/AC377,"")</f>
        <v/>
      </c>
      <c r="AK377" s="26">
        <f>IF(A377="","",IFERROR(IF(INDEX(tbl_Onsite[Notes],IFERROR(MATCH(A377&amp;"",tbl_Onsite[Job Number],0),MATCH(IFERROR(A377+0,A377),tbl_Onsite[Job Number],0)))="","",INDEX(tbl_Onsite[Notes],IFERROR(MATCH(A377&amp;"",tbl_Onsite[Job Number],0),MATCH(IFERROR(A377+0,A377),tbl_Onsite[Job Number],0)))),IFERROR(IF(INDEX(tbl_Production[Notes],IFERROR(MATCH(A377&amp;"",tbl_Production[Job Number],0),MATCH(IFERROR(A377+0,A377),tbl_Production[Job Number],0)))="","",INDEX(tbl_Production[Notes],IFERROR(MATCH(A377&amp;"",tbl_Production[Job Number],0),MATCH(IFERROR(A377+0,A377),tbl_Production[Job Number],0)))),IFERROR(IF(INDEX(tbl_Consulting[Notes],IFERROR(MATCH(A377&amp;"",tbl_Consulting[Job Number],0),MATCH(IFERROR(A377+0,A377),tbl_Consulting[Job Number],0)))="","",INDEX(tbl_Consulting[Notes],IFERROR(MATCH(A377&amp;"",tbl_Consulting[Job Number],0),MATCH(IFERROR(A377+0,A377),tbl_Consulting[Job Number],0)))),""))))</f>
        <v/>
      </c>
    </row>
    <row r="378" ht="15" customHeight="1">
      <c r="A378" s="22" t="n"/>
      <c r="B378" s="22" t="n"/>
      <c r="C378" s="23" t="n"/>
      <c r="D378" s="22" t="n"/>
      <c r="E378" s="24" t="n"/>
      <c r="F378" s="25">
        <f>IF(C378="","",EOMONTH(C378,0))</f>
        <v/>
      </c>
      <c r="G378" s="26">
        <f>IF(A378="","",IF(COUNTIF(tbl_Onsite[Job Number],A378&amp;"")&gt;0,"Onsite",IF(COUNTIF(tbl_Production[Job Number],A378&amp;"")&gt;0,"Production",IF(COUNTIF(tbl_Consulting[Job Number],A378&amp;"")&gt;0,"Consulting","not set up yet"))))</f>
        <v/>
      </c>
      <c r="H378" s="26">
        <f>IF(A378="","",IF(COUNTIF(lst_Jobs,A378&amp;"")&gt;0,"OK","CHECK"))</f>
        <v/>
      </c>
      <c r="I378" s="26">
        <f>IF(A378="","",IFERROR(INDEX(lst_JobName,MATCH(A378&amp;"",lst_Jobs,0)),""))</f>
        <v/>
      </c>
      <c r="J378" s="26">
        <f>IF(A378="","",IFERROR(IF(INDEX(tbl_Onsite[Client],IFERROR(MATCH(A378&amp;"",tbl_Onsite[Job Number],0),MATCH(IFERROR(A378+0,A378),tbl_Onsite[Job Number],0)))="","",INDEX(tbl_Onsite[Client],IFERROR(MATCH(A378&amp;"",tbl_Onsite[Job Number],0),MATCH(IFERROR(A378+0,A378),tbl_Onsite[Job Number],0)))),IFERROR(IF(INDEX(tbl_Production[Client],IFERROR(MATCH(A378&amp;"",tbl_Production[Job Number],0),MATCH(IFERROR(A378+0,A378),tbl_Production[Job Number],0)))="","",INDEX(tbl_Production[Client],IFERROR(MATCH(A378&amp;"",tbl_Production[Job Number],0),MATCH(IFERROR(A378+0,A378),tbl_Production[Job Number],0)))),IFERROR(IF(INDEX(tbl_Consulting[Client],IFERROR(MATCH(A378&amp;"",tbl_Consulting[Job Number],0),MATCH(IFERROR(A378+0,A378),tbl_Consulting[Job Number],0)))="","",INDEX(tbl_Consulting[Client],IFERROR(MATCH(A378&amp;"",tbl_Consulting[Job Number],0),MATCH(IFERROR(A378+0,A378),tbl_Consulting[Job Number],0)))),""))))</f>
        <v/>
      </c>
      <c r="K378" s="26">
        <f>IF(A378="","",IFERROR(IF(INDEX(tbl_Onsite[Job Description],IFERROR(MATCH(A378&amp;"",tbl_Onsite[Job Number],0),MATCH(IFERROR(A378+0,A378),tbl_Onsite[Job Number],0)))="","",INDEX(tbl_Onsite[Job Description],IFERROR(MATCH(A378&amp;"",tbl_Onsite[Job Number],0),MATCH(IFERROR(A378+0,A378),tbl_Onsite[Job Number],0)))),IFERROR(IF(INDEX(tbl_Production[Job Description],IFERROR(MATCH(A378&amp;"",tbl_Production[Job Number],0),MATCH(IFERROR(A378+0,A378),tbl_Production[Job Number],0)))="","",INDEX(tbl_Production[Job Description],IFERROR(MATCH(A378&amp;"",tbl_Production[Job Number],0),MATCH(IFERROR(A378+0,A378),tbl_Production[Job Number],0)))),IFERROR(IF(INDEX(tbl_Consulting[Job Description],IFERROR(MATCH(A378&amp;"",tbl_Consulting[Job Number],0),MATCH(IFERROR(A378+0,A378),tbl_Consulting[Job Number],0)))="","",INDEX(tbl_Consulting[Job Description],IFERROR(MATCH(A378&amp;"",tbl_Consulting[Job Number],0),MATCH(IFERROR(A378+0,A378),tbl_Consulting[Job Number],0)))),""))))</f>
        <v/>
      </c>
      <c r="L378" s="26">
        <f>IF(A378="","",IFERROR(IF(INDEX(tbl_Onsite[Invoice Type],IFERROR(MATCH(A378&amp;"",tbl_Onsite[Job Number],0),MATCH(IFERROR(A378+0,A378),tbl_Onsite[Job Number],0)))="","",INDEX(tbl_Onsite[Invoice Type],IFERROR(MATCH(A378&amp;"",tbl_Onsite[Job Number],0),MATCH(IFERROR(A378+0,A378),tbl_Onsite[Job Number],0)))),IFERROR(IF(INDEX(tbl_Production[Invoice Type],IFERROR(MATCH(A378&amp;"",tbl_Production[Job Number],0),MATCH(IFERROR(A378+0,A378),tbl_Production[Job Number],0)))="","",INDEX(tbl_Production[Invoice Type],IFERROR(MATCH(A378&amp;"",tbl_Production[Job Number],0),MATCH(IFERROR(A378+0,A378),tbl_Production[Job Number],0)))),IFERROR(IF(INDEX(tbl_Consulting[Invoice Type],IFERROR(MATCH(A378&amp;"",tbl_Consulting[Job Number],0),MATCH(IFERROR(A378+0,A378),tbl_Consulting[Job Number],0)))="","",INDEX(tbl_Consulting[Invoice Type],IFERROR(MATCH(A378&amp;"",tbl_Consulting[Job Number],0),MATCH(IFERROR(A378+0,A378),tbl_Consulting[Job Number],0)))),""))))</f>
        <v/>
      </c>
      <c r="M378" s="26">
        <f>IF(A378="","",IF(IFERROR(IF(INDEX(tbl_Onsite[Tax Code],IFERROR(MATCH(A378&amp;"",tbl_Onsite[Job Number],0),MATCH(IFERROR(A378+0,A378),tbl_Onsite[Job Number],0)))="","",INDEX(tbl_Onsite[Tax Code],IFERROR(MATCH(A378&amp;"",tbl_Onsite[Job Number],0),MATCH(IFERROR(A378+0,A378),tbl_Onsite[Job Number],0)))),IFERROR(IF(INDEX(tbl_Production[Tax Code],IFERROR(MATCH(A378&amp;"",tbl_Production[Job Number],0),MATCH(IFERROR(A378+0,A378),tbl_Production[Job Number],0)))="","",INDEX(tbl_Production[Tax Code],IFERROR(MATCH(A378&amp;"",tbl_Production[Job Number],0),MATCH(IFERROR(A378+0,A378),tbl_Production[Job Number],0)))),IFERROR(IF(INDEX(tbl_Consulting[Tax Code],IFERROR(MATCH(A378&amp;"",tbl_Consulting[Job Number],0),MATCH(IFERROR(A378+0,A378),tbl_Consulting[Job Number],0)))="","",INDEX(tbl_Consulting[Tax Code],IFERROR(MATCH(A378&amp;"",tbl_Consulting[Job Number],0),MATCH(IFERROR(A378+0,A378),tbl_Consulting[Job Number],0)))),"")))="","GST 10%",IFERROR(IF(INDEX(tbl_Onsite[Tax Code],IFERROR(MATCH(A378&amp;"",tbl_Onsite[Job Number],0),MATCH(IFERROR(A378+0,A378),tbl_Onsite[Job Number],0)))="","",INDEX(tbl_Onsite[Tax Code],IFERROR(MATCH(A378&amp;"",tbl_Onsite[Job Number],0),MATCH(IFERROR(A378+0,A378),tbl_Onsite[Job Number],0)))),IFERROR(IF(INDEX(tbl_Production[Tax Code],IFERROR(MATCH(A378&amp;"",tbl_Production[Job Number],0),MATCH(IFERROR(A378+0,A378),tbl_Production[Job Number],0)))="","",INDEX(tbl_Production[Tax Code],IFERROR(MATCH(A378&amp;"",tbl_Production[Job Number],0),MATCH(IFERROR(A378+0,A378),tbl_Production[Job Number],0)))),IFERROR(IF(INDEX(tbl_Consulting[Tax Code],IFERROR(MATCH(A378&amp;"",tbl_Consulting[Job Number],0),MATCH(IFERROR(A378+0,A378),tbl_Consulting[Job Number],0)))="","",INDEX(tbl_Consulting[Tax Code],IFERROR(MATCH(A378&amp;"",tbl_Consulting[Job Number],0),MATCH(IFERROR(A378+0,A378),tbl_Consulting[Job Number],0)))),"")))))</f>
        <v/>
      </c>
      <c r="N378" s="26">
        <f>IF(D378="","",IFERROR(INDEX(lst_CCtoGL,MATCH(D378,lst_CCforGL,0)),""))</f>
        <v/>
      </c>
      <c r="O378" s="27">
        <f>IF(E378="","",IF(M378="GST 10%",ROUND(E378*set_GSTRate,2),0))</f>
        <v/>
      </c>
      <c r="P378" s="27">
        <f>IF(E378="","",E378+O378)</f>
        <v/>
      </c>
      <c r="Q378" s="27">
        <f>IF(A378="","",IFERROR(INDEX(tbl_Onsite[Expected Revenue Ex GST],IFERROR(MATCH(A378&amp;"",tbl_Onsite[Job Number],0),MATCH(IFERROR(A378+0,A378),tbl_Onsite[Job Number],0))),IFERROR(INDEX(tbl_Production[Expected Revenue Ex GST],IFERROR(MATCH(A378&amp;"",tbl_Production[Job Number],0),MATCH(IFERROR(A378+0,A378),tbl_Production[Job Number],0))),IFERROR(INDEX(tbl_Consulting[Expected Revenue Ex GST],IFERROR(MATCH(A378&amp;"",tbl_Consulting[Job Number],0),MATCH(IFERROR(A378+0,A378),tbl_Consulting[Job Number],0))),0))))</f>
        <v/>
      </c>
      <c r="R378" s="27">
        <f>IF(A378="","",SUMIFS(tbl_Finance[Ex GST],tbl_Finance[Job Number],A378&amp;""))</f>
        <v/>
      </c>
      <c r="S378" s="27">
        <f>IF(A378="","",Q378-R378)</f>
        <v/>
      </c>
      <c r="T378" s="26">
        <f>IF(A378="","",IF(Q378=0,"No dept value",IF(ROUND(S378,2)=0,"Agrees",IF(S378&gt;0,"Dept higher - to invoice","Xero higher - check dept"))))</f>
        <v/>
      </c>
      <c r="U378" s="22" t="n"/>
      <c r="V378" s="22" t="n"/>
      <c r="W378" s="23" t="n"/>
      <c r="X378" s="23" t="n"/>
      <c r="Y378" s="22" t="n"/>
      <c r="Z378" s="22" t="n"/>
      <c r="AA378" s="26">
        <f>IF(COUNTA(C378,A378,B378,E378)=0,"",IF(C378="","No date - sits outside every month",IF(A378="","No job number",IF(H378="CHECK","Job number is not in the Xero job list",IF(G378="not set up yet","No department has set this job up - nothing can pull through",IF(D378="","No cost centre",IF(AND(U378="Y",B378=""),"Marked posted to Xero but has no invoice number",IF(N378="","Cost centre has no revenue GL on the Lists sheet",IF(T378="Xero higher - check dept","Invoiced more than the department says the job is worth","")))))))))</f>
        <v/>
      </c>
      <c r="AB378" s="28">
        <f>IF(A378="","",COUNTIFS(tbl_Finance[Job Number],A378&amp;"",tbl_Finance[Ex GST],"&lt;&gt;"))</f>
        <v/>
      </c>
      <c r="AC378" s="27">
        <f>IF(A378="","",SUMIFS(tbl_Finance[Ex GST],tbl_Finance[Job Number],A378&amp;""))</f>
        <v/>
      </c>
      <c r="AD378" s="27">
        <f>IF(A378="","",SUMIFS(tbl_Finance[Ex GST],tbl_Finance[Job Number],A378&amp;"",tbl_Finance[Xero Invoice No],"&lt;&gt;"))</f>
        <v/>
      </c>
      <c r="AE378" s="27">
        <f>IF(A378="","",AC378-AD378)</f>
        <v/>
      </c>
      <c r="AF378" s="26">
        <f>IF(A378="","",IFERROR(IF(INDEX(tbl_Onsite[Qwilr Quote],IFERROR(MATCH(A378&amp;"",tbl_Onsite[Job Number],0),MATCH(IFERROR(A378+0,A378),tbl_Onsite[Job Number],0)))="","",INDEX(tbl_Onsite[Qwilr Quote],IFERROR(MATCH(A378&amp;"",tbl_Onsite[Job Number],0),MATCH(IFERROR(A378+0,A378),tbl_Onsite[Job Number],0)))),IFERROR(IF(IF(INDEX(tbl_Production[Current RMS No],IFERROR(MATCH(A378&amp;"",tbl_Production[Job Number],0),MATCH(IFERROR(A378+0,A378),tbl_Production[Job Number],0)))="",INDEX(tbl_Production[Qwilr Quote],IFERROR(MATCH(A378&amp;"",tbl_Production[Job Number],0),MATCH(IFERROR(A378+0,A378),tbl_Production[Job Number],0))),INDEX(tbl_Production[Current RMS No],IFERROR(MATCH(A378&amp;"",tbl_Production[Job Number],0),MATCH(IFERROR(A378+0,A378),tbl_Production[Job Number],0))))="","",IF(INDEX(tbl_Production[Current RMS No],IFERROR(MATCH(A378&amp;"",tbl_Production[Job Number],0),MATCH(IFERROR(A378+0,A378),tbl_Production[Job Number],0)))="",INDEX(tbl_Production[Qwilr Quote],IFERROR(MATCH(A378&amp;"",tbl_Production[Job Number],0),MATCH(IFERROR(A378+0,A378),tbl_Production[Job Number],0))),INDEX(tbl_Production[Current RMS No],IFERROR(MATCH(A378&amp;"",tbl_Production[Job Number],0),MATCH(IFERROR(A378+0,A378),tbl_Production[Job Number],0))))),IFERROR(IF(INDEX(tbl_Consulting[Qwilr Quote],IFERROR(MATCH(A378&amp;"",tbl_Consulting[Job Number],0),MATCH(IFERROR(A378+0,A378),tbl_Consulting[Job Number],0)))="","",INDEX(tbl_Consulting[Qwilr Quote],IFERROR(MATCH(A378&amp;"",tbl_Consulting[Job Number],0),MATCH(IFERROR(A378+0,A378),tbl_Consulting[Job Number],0)))),""))))</f>
        <v/>
      </c>
      <c r="AG378" s="26">
        <f>IF(AF378="","",IF(AND(LEFT(AF378,4)&lt;&gt;"http",IF(G378="Production",set_RMSBase,set_QwilrBase)=""),"",HYPERLINK(IF(LEFT(AF378,4)="http",AF378,IF(G378="Production",set_RMSBase,set_QwilrBase)&amp;AF378),"Open")))</f>
        <v/>
      </c>
      <c r="AH378" s="27">
        <f>IF(A378="","",IFERROR(INDEX(tbl_Production[Total Expense],IFERROR(MATCH(A378&amp;"",tbl_Production[Job Number],0),MATCH(IFERROR(A378+0,A378),tbl_Production[Job Number],0))),IFERROR(INDEX(tbl_Consulting[Total Expense],IFERROR(MATCH(A378&amp;"",tbl_Consulting[Job Number],0),MATCH(IFERROR(A378+0,A378),tbl_Consulting[Job Number],0))),0)))</f>
        <v/>
      </c>
      <c r="AI378" s="27">
        <f>IF(A378="","",AC378-N(AH378))</f>
        <v/>
      </c>
      <c r="AJ378" s="29">
        <f>IFERROR(AI378/AC378,"")</f>
        <v/>
      </c>
      <c r="AK378" s="26">
        <f>IF(A378="","",IFERROR(IF(INDEX(tbl_Onsite[Notes],IFERROR(MATCH(A378&amp;"",tbl_Onsite[Job Number],0),MATCH(IFERROR(A378+0,A378),tbl_Onsite[Job Number],0)))="","",INDEX(tbl_Onsite[Notes],IFERROR(MATCH(A378&amp;"",tbl_Onsite[Job Number],0),MATCH(IFERROR(A378+0,A378),tbl_Onsite[Job Number],0)))),IFERROR(IF(INDEX(tbl_Production[Notes],IFERROR(MATCH(A378&amp;"",tbl_Production[Job Number],0),MATCH(IFERROR(A378+0,A378),tbl_Production[Job Number],0)))="","",INDEX(tbl_Production[Notes],IFERROR(MATCH(A378&amp;"",tbl_Production[Job Number],0),MATCH(IFERROR(A378+0,A378),tbl_Production[Job Number],0)))),IFERROR(IF(INDEX(tbl_Consulting[Notes],IFERROR(MATCH(A378&amp;"",tbl_Consulting[Job Number],0),MATCH(IFERROR(A378+0,A378),tbl_Consulting[Job Number],0)))="","",INDEX(tbl_Consulting[Notes],IFERROR(MATCH(A378&amp;"",tbl_Consulting[Job Number],0),MATCH(IFERROR(A378+0,A378),tbl_Consulting[Job Number],0)))),""))))</f>
        <v/>
      </c>
    </row>
    <row r="379" ht="15" customHeight="1">
      <c r="A379" s="22" t="n"/>
      <c r="B379" s="22" t="n"/>
      <c r="C379" s="23" t="n"/>
      <c r="D379" s="22" t="n"/>
      <c r="E379" s="24" t="n"/>
      <c r="F379" s="25">
        <f>IF(C379="","",EOMONTH(C379,0))</f>
        <v/>
      </c>
      <c r="G379" s="26">
        <f>IF(A379="","",IF(COUNTIF(tbl_Onsite[Job Number],A379&amp;"")&gt;0,"Onsite",IF(COUNTIF(tbl_Production[Job Number],A379&amp;"")&gt;0,"Production",IF(COUNTIF(tbl_Consulting[Job Number],A379&amp;"")&gt;0,"Consulting","not set up yet"))))</f>
        <v/>
      </c>
      <c r="H379" s="26">
        <f>IF(A379="","",IF(COUNTIF(lst_Jobs,A379&amp;"")&gt;0,"OK","CHECK"))</f>
        <v/>
      </c>
      <c r="I379" s="26">
        <f>IF(A379="","",IFERROR(INDEX(lst_JobName,MATCH(A379&amp;"",lst_Jobs,0)),""))</f>
        <v/>
      </c>
      <c r="J379" s="26">
        <f>IF(A379="","",IFERROR(IF(INDEX(tbl_Onsite[Client],IFERROR(MATCH(A379&amp;"",tbl_Onsite[Job Number],0),MATCH(IFERROR(A379+0,A379),tbl_Onsite[Job Number],0)))="","",INDEX(tbl_Onsite[Client],IFERROR(MATCH(A379&amp;"",tbl_Onsite[Job Number],0),MATCH(IFERROR(A379+0,A379),tbl_Onsite[Job Number],0)))),IFERROR(IF(INDEX(tbl_Production[Client],IFERROR(MATCH(A379&amp;"",tbl_Production[Job Number],0),MATCH(IFERROR(A379+0,A379),tbl_Production[Job Number],0)))="","",INDEX(tbl_Production[Client],IFERROR(MATCH(A379&amp;"",tbl_Production[Job Number],0),MATCH(IFERROR(A379+0,A379),tbl_Production[Job Number],0)))),IFERROR(IF(INDEX(tbl_Consulting[Client],IFERROR(MATCH(A379&amp;"",tbl_Consulting[Job Number],0),MATCH(IFERROR(A379+0,A379),tbl_Consulting[Job Number],0)))="","",INDEX(tbl_Consulting[Client],IFERROR(MATCH(A379&amp;"",tbl_Consulting[Job Number],0),MATCH(IFERROR(A379+0,A379),tbl_Consulting[Job Number],0)))),""))))</f>
        <v/>
      </c>
      <c r="K379" s="26">
        <f>IF(A379="","",IFERROR(IF(INDEX(tbl_Onsite[Job Description],IFERROR(MATCH(A379&amp;"",tbl_Onsite[Job Number],0),MATCH(IFERROR(A379+0,A379),tbl_Onsite[Job Number],0)))="","",INDEX(tbl_Onsite[Job Description],IFERROR(MATCH(A379&amp;"",tbl_Onsite[Job Number],0),MATCH(IFERROR(A379+0,A379),tbl_Onsite[Job Number],0)))),IFERROR(IF(INDEX(tbl_Production[Job Description],IFERROR(MATCH(A379&amp;"",tbl_Production[Job Number],0),MATCH(IFERROR(A379+0,A379),tbl_Production[Job Number],0)))="","",INDEX(tbl_Production[Job Description],IFERROR(MATCH(A379&amp;"",tbl_Production[Job Number],0),MATCH(IFERROR(A379+0,A379),tbl_Production[Job Number],0)))),IFERROR(IF(INDEX(tbl_Consulting[Job Description],IFERROR(MATCH(A379&amp;"",tbl_Consulting[Job Number],0),MATCH(IFERROR(A379+0,A379),tbl_Consulting[Job Number],0)))="","",INDEX(tbl_Consulting[Job Description],IFERROR(MATCH(A379&amp;"",tbl_Consulting[Job Number],0),MATCH(IFERROR(A379+0,A379),tbl_Consulting[Job Number],0)))),""))))</f>
        <v/>
      </c>
      <c r="L379" s="26">
        <f>IF(A379="","",IFERROR(IF(INDEX(tbl_Onsite[Invoice Type],IFERROR(MATCH(A379&amp;"",tbl_Onsite[Job Number],0),MATCH(IFERROR(A379+0,A379),tbl_Onsite[Job Number],0)))="","",INDEX(tbl_Onsite[Invoice Type],IFERROR(MATCH(A379&amp;"",tbl_Onsite[Job Number],0),MATCH(IFERROR(A379+0,A379),tbl_Onsite[Job Number],0)))),IFERROR(IF(INDEX(tbl_Production[Invoice Type],IFERROR(MATCH(A379&amp;"",tbl_Production[Job Number],0),MATCH(IFERROR(A379+0,A379),tbl_Production[Job Number],0)))="","",INDEX(tbl_Production[Invoice Type],IFERROR(MATCH(A379&amp;"",tbl_Production[Job Number],0),MATCH(IFERROR(A379+0,A379),tbl_Production[Job Number],0)))),IFERROR(IF(INDEX(tbl_Consulting[Invoice Type],IFERROR(MATCH(A379&amp;"",tbl_Consulting[Job Number],0),MATCH(IFERROR(A379+0,A379),tbl_Consulting[Job Number],0)))="","",INDEX(tbl_Consulting[Invoice Type],IFERROR(MATCH(A379&amp;"",tbl_Consulting[Job Number],0),MATCH(IFERROR(A379+0,A379),tbl_Consulting[Job Number],0)))),""))))</f>
        <v/>
      </c>
      <c r="M379" s="26">
        <f>IF(A379="","",IF(IFERROR(IF(INDEX(tbl_Onsite[Tax Code],IFERROR(MATCH(A379&amp;"",tbl_Onsite[Job Number],0),MATCH(IFERROR(A379+0,A379),tbl_Onsite[Job Number],0)))="","",INDEX(tbl_Onsite[Tax Code],IFERROR(MATCH(A379&amp;"",tbl_Onsite[Job Number],0),MATCH(IFERROR(A379+0,A379),tbl_Onsite[Job Number],0)))),IFERROR(IF(INDEX(tbl_Production[Tax Code],IFERROR(MATCH(A379&amp;"",tbl_Production[Job Number],0),MATCH(IFERROR(A379+0,A379),tbl_Production[Job Number],0)))="","",INDEX(tbl_Production[Tax Code],IFERROR(MATCH(A379&amp;"",tbl_Production[Job Number],0),MATCH(IFERROR(A379+0,A379),tbl_Production[Job Number],0)))),IFERROR(IF(INDEX(tbl_Consulting[Tax Code],IFERROR(MATCH(A379&amp;"",tbl_Consulting[Job Number],0),MATCH(IFERROR(A379+0,A379),tbl_Consulting[Job Number],0)))="","",INDEX(tbl_Consulting[Tax Code],IFERROR(MATCH(A379&amp;"",tbl_Consulting[Job Number],0),MATCH(IFERROR(A379+0,A379),tbl_Consulting[Job Number],0)))),"")))="","GST 10%",IFERROR(IF(INDEX(tbl_Onsite[Tax Code],IFERROR(MATCH(A379&amp;"",tbl_Onsite[Job Number],0),MATCH(IFERROR(A379+0,A379),tbl_Onsite[Job Number],0)))="","",INDEX(tbl_Onsite[Tax Code],IFERROR(MATCH(A379&amp;"",tbl_Onsite[Job Number],0),MATCH(IFERROR(A379+0,A379),tbl_Onsite[Job Number],0)))),IFERROR(IF(INDEX(tbl_Production[Tax Code],IFERROR(MATCH(A379&amp;"",tbl_Production[Job Number],0),MATCH(IFERROR(A379+0,A379),tbl_Production[Job Number],0)))="","",INDEX(tbl_Production[Tax Code],IFERROR(MATCH(A379&amp;"",tbl_Production[Job Number],0),MATCH(IFERROR(A379+0,A379),tbl_Production[Job Number],0)))),IFERROR(IF(INDEX(tbl_Consulting[Tax Code],IFERROR(MATCH(A379&amp;"",tbl_Consulting[Job Number],0),MATCH(IFERROR(A379+0,A379),tbl_Consulting[Job Number],0)))="","",INDEX(tbl_Consulting[Tax Code],IFERROR(MATCH(A379&amp;"",tbl_Consulting[Job Number],0),MATCH(IFERROR(A379+0,A379),tbl_Consulting[Job Number],0)))),"")))))</f>
        <v/>
      </c>
      <c r="N379" s="26">
        <f>IF(D379="","",IFERROR(INDEX(lst_CCtoGL,MATCH(D379,lst_CCforGL,0)),""))</f>
        <v/>
      </c>
      <c r="O379" s="27">
        <f>IF(E379="","",IF(M379="GST 10%",ROUND(E379*set_GSTRate,2),0))</f>
        <v/>
      </c>
      <c r="P379" s="27">
        <f>IF(E379="","",E379+O379)</f>
        <v/>
      </c>
      <c r="Q379" s="27">
        <f>IF(A379="","",IFERROR(INDEX(tbl_Onsite[Expected Revenue Ex GST],IFERROR(MATCH(A379&amp;"",tbl_Onsite[Job Number],0),MATCH(IFERROR(A379+0,A379),tbl_Onsite[Job Number],0))),IFERROR(INDEX(tbl_Production[Expected Revenue Ex GST],IFERROR(MATCH(A379&amp;"",tbl_Production[Job Number],0),MATCH(IFERROR(A379+0,A379),tbl_Production[Job Number],0))),IFERROR(INDEX(tbl_Consulting[Expected Revenue Ex GST],IFERROR(MATCH(A379&amp;"",tbl_Consulting[Job Number],0),MATCH(IFERROR(A379+0,A379),tbl_Consulting[Job Number],0))),0))))</f>
        <v/>
      </c>
      <c r="R379" s="27">
        <f>IF(A379="","",SUMIFS(tbl_Finance[Ex GST],tbl_Finance[Job Number],A379&amp;""))</f>
        <v/>
      </c>
      <c r="S379" s="27">
        <f>IF(A379="","",Q379-R379)</f>
        <v/>
      </c>
      <c r="T379" s="26">
        <f>IF(A379="","",IF(Q379=0,"No dept value",IF(ROUND(S379,2)=0,"Agrees",IF(S379&gt;0,"Dept higher - to invoice","Xero higher - check dept"))))</f>
        <v/>
      </c>
      <c r="U379" s="22" t="n"/>
      <c r="V379" s="22" t="n"/>
      <c r="W379" s="23" t="n"/>
      <c r="X379" s="23" t="n"/>
      <c r="Y379" s="22" t="n"/>
      <c r="Z379" s="22" t="n"/>
      <c r="AA379" s="26">
        <f>IF(COUNTA(C379,A379,B379,E379)=0,"",IF(C379="","No date - sits outside every month",IF(A379="","No job number",IF(H379="CHECK","Job number is not in the Xero job list",IF(G379="not set up yet","No department has set this job up - nothing can pull through",IF(D379="","No cost centre",IF(AND(U379="Y",B379=""),"Marked posted to Xero but has no invoice number",IF(N379="","Cost centre has no revenue GL on the Lists sheet",IF(T379="Xero higher - check dept","Invoiced more than the department says the job is worth","")))))))))</f>
        <v/>
      </c>
      <c r="AB379" s="28">
        <f>IF(A379="","",COUNTIFS(tbl_Finance[Job Number],A379&amp;"",tbl_Finance[Ex GST],"&lt;&gt;"))</f>
        <v/>
      </c>
      <c r="AC379" s="27">
        <f>IF(A379="","",SUMIFS(tbl_Finance[Ex GST],tbl_Finance[Job Number],A379&amp;""))</f>
        <v/>
      </c>
      <c r="AD379" s="27">
        <f>IF(A379="","",SUMIFS(tbl_Finance[Ex GST],tbl_Finance[Job Number],A379&amp;"",tbl_Finance[Xero Invoice No],"&lt;&gt;"))</f>
        <v/>
      </c>
      <c r="AE379" s="27">
        <f>IF(A379="","",AC379-AD379)</f>
        <v/>
      </c>
      <c r="AF379" s="26">
        <f>IF(A379="","",IFERROR(IF(INDEX(tbl_Onsite[Qwilr Quote],IFERROR(MATCH(A379&amp;"",tbl_Onsite[Job Number],0),MATCH(IFERROR(A379+0,A379),tbl_Onsite[Job Number],0)))="","",INDEX(tbl_Onsite[Qwilr Quote],IFERROR(MATCH(A379&amp;"",tbl_Onsite[Job Number],0),MATCH(IFERROR(A379+0,A379),tbl_Onsite[Job Number],0)))),IFERROR(IF(IF(INDEX(tbl_Production[Current RMS No],IFERROR(MATCH(A379&amp;"",tbl_Production[Job Number],0),MATCH(IFERROR(A379+0,A379),tbl_Production[Job Number],0)))="",INDEX(tbl_Production[Qwilr Quote],IFERROR(MATCH(A379&amp;"",tbl_Production[Job Number],0),MATCH(IFERROR(A379+0,A379),tbl_Production[Job Number],0))),INDEX(tbl_Production[Current RMS No],IFERROR(MATCH(A379&amp;"",tbl_Production[Job Number],0),MATCH(IFERROR(A379+0,A379),tbl_Production[Job Number],0))))="","",IF(INDEX(tbl_Production[Current RMS No],IFERROR(MATCH(A379&amp;"",tbl_Production[Job Number],0),MATCH(IFERROR(A379+0,A379),tbl_Production[Job Number],0)))="",INDEX(tbl_Production[Qwilr Quote],IFERROR(MATCH(A379&amp;"",tbl_Production[Job Number],0),MATCH(IFERROR(A379+0,A379),tbl_Production[Job Number],0))),INDEX(tbl_Production[Current RMS No],IFERROR(MATCH(A379&amp;"",tbl_Production[Job Number],0),MATCH(IFERROR(A379+0,A379),tbl_Production[Job Number],0))))),IFERROR(IF(INDEX(tbl_Consulting[Qwilr Quote],IFERROR(MATCH(A379&amp;"",tbl_Consulting[Job Number],0),MATCH(IFERROR(A379+0,A379),tbl_Consulting[Job Number],0)))="","",INDEX(tbl_Consulting[Qwilr Quote],IFERROR(MATCH(A379&amp;"",tbl_Consulting[Job Number],0),MATCH(IFERROR(A379+0,A379),tbl_Consulting[Job Number],0)))),""))))</f>
        <v/>
      </c>
      <c r="AG379" s="26">
        <f>IF(AF379="","",IF(AND(LEFT(AF379,4)&lt;&gt;"http",IF(G379="Production",set_RMSBase,set_QwilrBase)=""),"",HYPERLINK(IF(LEFT(AF379,4)="http",AF379,IF(G379="Production",set_RMSBase,set_QwilrBase)&amp;AF379),"Open")))</f>
        <v/>
      </c>
      <c r="AH379" s="27">
        <f>IF(A379="","",IFERROR(INDEX(tbl_Production[Total Expense],IFERROR(MATCH(A379&amp;"",tbl_Production[Job Number],0),MATCH(IFERROR(A379+0,A379),tbl_Production[Job Number],0))),IFERROR(INDEX(tbl_Consulting[Total Expense],IFERROR(MATCH(A379&amp;"",tbl_Consulting[Job Number],0),MATCH(IFERROR(A379+0,A379),tbl_Consulting[Job Number],0))),0)))</f>
        <v/>
      </c>
      <c r="AI379" s="27">
        <f>IF(A379="","",AC379-N(AH379))</f>
        <v/>
      </c>
      <c r="AJ379" s="29">
        <f>IFERROR(AI379/AC379,"")</f>
        <v/>
      </c>
      <c r="AK379" s="26">
        <f>IF(A379="","",IFERROR(IF(INDEX(tbl_Onsite[Notes],IFERROR(MATCH(A379&amp;"",tbl_Onsite[Job Number],0),MATCH(IFERROR(A379+0,A379),tbl_Onsite[Job Number],0)))="","",INDEX(tbl_Onsite[Notes],IFERROR(MATCH(A379&amp;"",tbl_Onsite[Job Number],0),MATCH(IFERROR(A379+0,A379),tbl_Onsite[Job Number],0)))),IFERROR(IF(INDEX(tbl_Production[Notes],IFERROR(MATCH(A379&amp;"",tbl_Production[Job Number],0),MATCH(IFERROR(A379+0,A379),tbl_Production[Job Number],0)))="","",INDEX(tbl_Production[Notes],IFERROR(MATCH(A379&amp;"",tbl_Production[Job Number],0),MATCH(IFERROR(A379+0,A379),tbl_Production[Job Number],0)))),IFERROR(IF(INDEX(tbl_Consulting[Notes],IFERROR(MATCH(A379&amp;"",tbl_Consulting[Job Number],0),MATCH(IFERROR(A379+0,A379),tbl_Consulting[Job Number],0)))="","",INDEX(tbl_Consulting[Notes],IFERROR(MATCH(A379&amp;"",tbl_Consulting[Job Number],0),MATCH(IFERROR(A379+0,A379),tbl_Consulting[Job Number],0)))),""))))</f>
        <v/>
      </c>
    </row>
    <row r="380" ht="15" customHeight="1">
      <c r="A380" s="22" t="n"/>
      <c r="B380" s="22" t="n"/>
      <c r="C380" s="23" t="n"/>
      <c r="D380" s="22" t="n"/>
      <c r="E380" s="24" t="n"/>
      <c r="F380" s="25">
        <f>IF(C380="","",EOMONTH(C380,0))</f>
        <v/>
      </c>
      <c r="G380" s="26">
        <f>IF(A380="","",IF(COUNTIF(tbl_Onsite[Job Number],A380&amp;"")&gt;0,"Onsite",IF(COUNTIF(tbl_Production[Job Number],A380&amp;"")&gt;0,"Production",IF(COUNTIF(tbl_Consulting[Job Number],A380&amp;"")&gt;0,"Consulting","not set up yet"))))</f>
        <v/>
      </c>
      <c r="H380" s="26">
        <f>IF(A380="","",IF(COUNTIF(lst_Jobs,A380&amp;"")&gt;0,"OK","CHECK"))</f>
        <v/>
      </c>
      <c r="I380" s="26">
        <f>IF(A380="","",IFERROR(INDEX(lst_JobName,MATCH(A380&amp;"",lst_Jobs,0)),""))</f>
        <v/>
      </c>
      <c r="J380" s="26">
        <f>IF(A380="","",IFERROR(IF(INDEX(tbl_Onsite[Client],IFERROR(MATCH(A380&amp;"",tbl_Onsite[Job Number],0),MATCH(IFERROR(A380+0,A380),tbl_Onsite[Job Number],0)))="","",INDEX(tbl_Onsite[Client],IFERROR(MATCH(A380&amp;"",tbl_Onsite[Job Number],0),MATCH(IFERROR(A380+0,A380),tbl_Onsite[Job Number],0)))),IFERROR(IF(INDEX(tbl_Production[Client],IFERROR(MATCH(A380&amp;"",tbl_Production[Job Number],0),MATCH(IFERROR(A380+0,A380),tbl_Production[Job Number],0)))="","",INDEX(tbl_Production[Client],IFERROR(MATCH(A380&amp;"",tbl_Production[Job Number],0),MATCH(IFERROR(A380+0,A380),tbl_Production[Job Number],0)))),IFERROR(IF(INDEX(tbl_Consulting[Client],IFERROR(MATCH(A380&amp;"",tbl_Consulting[Job Number],0),MATCH(IFERROR(A380+0,A380),tbl_Consulting[Job Number],0)))="","",INDEX(tbl_Consulting[Client],IFERROR(MATCH(A380&amp;"",tbl_Consulting[Job Number],0),MATCH(IFERROR(A380+0,A380),tbl_Consulting[Job Number],0)))),""))))</f>
        <v/>
      </c>
      <c r="K380" s="26">
        <f>IF(A380="","",IFERROR(IF(INDEX(tbl_Onsite[Job Description],IFERROR(MATCH(A380&amp;"",tbl_Onsite[Job Number],0),MATCH(IFERROR(A380+0,A380),tbl_Onsite[Job Number],0)))="","",INDEX(tbl_Onsite[Job Description],IFERROR(MATCH(A380&amp;"",tbl_Onsite[Job Number],0),MATCH(IFERROR(A380+0,A380),tbl_Onsite[Job Number],0)))),IFERROR(IF(INDEX(tbl_Production[Job Description],IFERROR(MATCH(A380&amp;"",tbl_Production[Job Number],0),MATCH(IFERROR(A380+0,A380),tbl_Production[Job Number],0)))="","",INDEX(tbl_Production[Job Description],IFERROR(MATCH(A380&amp;"",tbl_Production[Job Number],0),MATCH(IFERROR(A380+0,A380),tbl_Production[Job Number],0)))),IFERROR(IF(INDEX(tbl_Consulting[Job Description],IFERROR(MATCH(A380&amp;"",tbl_Consulting[Job Number],0),MATCH(IFERROR(A380+0,A380),tbl_Consulting[Job Number],0)))="","",INDEX(tbl_Consulting[Job Description],IFERROR(MATCH(A380&amp;"",tbl_Consulting[Job Number],0),MATCH(IFERROR(A380+0,A380),tbl_Consulting[Job Number],0)))),""))))</f>
        <v/>
      </c>
      <c r="L380" s="26">
        <f>IF(A380="","",IFERROR(IF(INDEX(tbl_Onsite[Invoice Type],IFERROR(MATCH(A380&amp;"",tbl_Onsite[Job Number],0),MATCH(IFERROR(A380+0,A380),tbl_Onsite[Job Number],0)))="","",INDEX(tbl_Onsite[Invoice Type],IFERROR(MATCH(A380&amp;"",tbl_Onsite[Job Number],0),MATCH(IFERROR(A380+0,A380),tbl_Onsite[Job Number],0)))),IFERROR(IF(INDEX(tbl_Production[Invoice Type],IFERROR(MATCH(A380&amp;"",tbl_Production[Job Number],0),MATCH(IFERROR(A380+0,A380),tbl_Production[Job Number],0)))="","",INDEX(tbl_Production[Invoice Type],IFERROR(MATCH(A380&amp;"",tbl_Production[Job Number],0),MATCH(IFERROR(A380+0,A380),tbl_Production[Job Number],0)))),IFERROR(IF(INDEX(tbl_Consulting[Invoice Type],IFERROR(MATCH(A380&amp;"",tbl_Consulting[Job Number],0),MATCH(IFERROR(A380+0,A380),tbl_Consulting[Job Number],0)))="","",INDEX(tbl_Consulting[Invoice Type],IFERROR(MATCH(A380&amp;"",tbl_Consulting[Job Number],0),MATCH(IFERROR(A380+0,A380),tbl_Consulting[Job Number],0)))),""))))</f>
        <v/>
      </c>
      <c r="M380" s="26">
        <f>IF(A380="","",IF(IFERROR(IF(INDEX(tbl_Onsite[Tax Code],IFERROR(MATCH(A380&amp;"",tbl_Onsite[Job Number],0),MATCH(IFERROR(A380+0,A380),tbl_Onsite[Job Number],0)))="","",INDEX(tbl_Onsite[Tax Code],IFERROR(MATCH(A380&amp;"",tbl_Onsite[Job Number],0),MATCH(IFERROR(A380+0,A380),tbl_Onsite[Job Number],0)))),IFERROR(IF(INDEX(tbl_Production[Tax Code],IFERROR(MATCH(A380&amp;"",tbl_Production[Job Number],0),MATCH(IFERROR(A380+0,A380),tbl_Production[Job Number],0)))="","",INDEX(tbl_Production[Tax Code],IFERROR(MATCH(A380&amp;"",tbl_Production[Job Number],0),MATCH(IFERROR(A380+0,A380),tbl_Production[Job Number],0)))),IFERROR(IF(INDEX(tbl_Consulting[Tax Code],IFERROR(MATCH(A380&amp;"",tbl_Consulting[Job Number],0),MATCH(IFERROR(A380+0,A380),tbl_Consulting[Job Number],0)))="","",INDEX(tbl_Consulting[Tax Code],IFERROR(MATCH(A380&amp;"",tbl_Consulting[Job Number],0),MATCH(IFERROR(A380+0,A380),tbl_Consulting[Job Number],0)))),"")))="","GST 10%",IFERROR(IF(INDEX(tbl_Onsite[Tax Code],IFERROR(MATCH(A380&amp;"",tbl_Onsite[Job Number],0),MATCH(IFERROR(A380+0,A380),tbl_Onsite[Job Number],0)))="","",INDEX(tbl_Onsite[Tax Code],IFERROR(MATCH(A380&amp;"",tbl_Onsite[Job Number],0),MATCH(IFERROR(A380+0,A380),tbl_Onsite[Job Number],0)))),IFERROR(IF(INDEX(tbl_Production[Tax Code],IFERROR(MATCH(A380&amp;"",tbl_Production[Job Number],0),MATCH(IFERROR(A380+0,A380),tbl_Production[Job Number],0)))="","",INDEX(tbl_Production[Tax Code],IFERROR(MATCH(A380&amp;"",tbl_Production[Job Number],0),MATCH(IFERROR(A380+0,A380),tbl_Production[Job Number],0)))),IFERROR(IF(INDEX(tbl_Consulting[Tax Code],IFERROR(MATCH(A380&amp;"",tbl_Consulting[Job Number],0),MATCH(IFERROR(A380+0,A380),tbl_Consulting[Job Number],0)))="","",INDEX(tbl_Consulting[Tax Code],IFERROR(MATCH(A380&amp;"",tbl_Consulting[Job Number],0),MATCH(IFERROR(A380+0,A380),tbl_Consulting[Job Number],0)))),"")))))</f>
        <v/>
      </c>
      <c r="N380" s="26">
        <f>IF(D380="","",IFERROR(INDEX(lst_CCtoGL,MATCH(D380,lst_CCforGL,0)),""))</f>
        <v/>
      </c>
      <c r="O380" s="27">
        <f>IF(E380="","",IF(M380="GST 10%",ROUND(E380*set_GSTRate,2),0))</f>
        <v/>
      </c>
      <c r="P380" s="27">
        <f>IF(E380="","",E380+O380)</f>
        <v/>
      </c>
      <c r="Q380" s="27">
        <f>IF(A380="","",IFERROR(INDEX(tbl_Onsite[Expected Revenue Ex GST],IFERROR(MATCH(A380&amp;"",tbl_Onsite[Job Number],0),MATCH(IFERROR(A380+0,A380),tbl_Onsite[Job Number],0))),IFERROR(INDEX(tbl_Production[Expected Revenue Ex GST],IFERROR(MATCH(A380&amp;"",tbl_Production[Job Number],0),MATCH(IFERROR(A380+0,A380),tbl_Production[Job Number],0))),IFERROR(INDEX(tbl_Consulting[Expected Revenue Ex GST],IFERROR(MATCH(A380&amp;"",tbl_Consulting[Job Number],0),MATCH(IFERROR(A380+0,A380),tbl_Consulting[Job Number],0))),0))))</f>
        <v/>
      </c>
      <c r="R380" s="27">
        <f>IF(A380="","",SUMIFS(tbl_Finance[Ex GST],tbl_Finance[Job Number],A380&amp;""))</f>
        <v/>
      </c>
      <c r="S380" s="27">
        <f>IF(A380="","",Q380-R380)</f>
        <v/>
      </c>
      <c r="T380" s="26">
        <f>IF(A380="","",IF(Q380=0,"No dept value",IF(ROUND(S380,2)=0,"Agrees",IF(S380&gt;0,"Dept higher - to invoice","Xero higher - check dept"))))</f>
        <v/>
      </c>
      <c r="U380" s="22" t="n"/>
      <c r="V380" s="22" t="n"/>
      <c r="W380" s="23" t="n"/>
      <c r="X380" s="23" t="n"/>
      <c r="Y380" s="22" t="n"/>
      <c r="Z380" s="22" t="n"/>
      <c r="AA380" s="26">
        <f>IF(COUNTA(C380,A380,B380,E380)=0,"",IF(C380="","No date - sits outside every month",IF(A380="","No job number",IF(H380="CHECK","Job number is not in the Xero job list",IF(G380="not set up yet","No department has set this job up - nothing can pull through",IF(D380="","No cost centre",IF(AND(U380="Y",B380=""),"Marked posted to Xero but has no invoice number",IF(N380="","Cost centre has no revenue GL on the Lists sheet",IF(T380="Xero higher - check dept","Invoiced more than the department says the job is worth","")))))))))</f>
        <v/>
      </c>
      <c r="AB380" s="28">
        <f>IF(A380="","",COUNTIFS(tbl_Finance[Job Number],A380&amp;"",tbl_Finance[Ex GST],"&lt;&gt;"))</f>
        <v/>
      </c>
      <c r="AC380" s="27">
        <f>IF(A380="","",SUMIFS(tbl_Finance[Ex GST],tbl_Finance[Job Number],A380&amp;""))</f>
        <v/>
      </c>
      <c r="AD380" s="27">
        <f>IF(A380="","",SUMIFS(tbl_Finance[Ex GST],tbl_Finance[Job Number],A380&amp;"",tbl_Finance[Xero Invoice No],"&lt;&gt;"))</f>
        <v/>
      </c>
      <c r="AE380" s="27">
        <f>IF(A380="","",AC380-AD380)</f>
        <v/>
      </c>
      <c r="AF380" s="26">
        <f>IF(A380="","",IFERROR(IF(INDEX(tbl_Onsite[Qwilr Quote],IFERROR(MATCH(A380&amp;"",tbl_Onsite[Job Number],0),MATCH(IFERROR(A380+0,A380),tbl_Onsite[Job Number],0)))="","",INDEX(tbl_Onsite[Qwilr Quote],IFERROR(MATCH(A380&amp;"",tbl_Onsite[Job Number],0),MATCH(IFERROR(A380+0,A380),tbl_Onsite[Job Number],0)))),IFERROR(IF(IF(INDEX(tbl_Production[Current RMS No],IFERROR(MATCH(A380&amp;"",tbl_Production[Job Number],0),MATCH(IFERROR(A380+0,A380),tbl_Production[Job Number],0)))="",INDEX(tbl_Production[Qwilr Quote],IFERROR(MATCH(A380&amp;"",tbl_Production[Job Number],0),MATCH(IFERROR(A380+0,A380),tbl_Production[Job Number],0))),INDEX(tbl_Production[Current RMS No],IFERROR(MATCH(A380&amp;"",tbl_Production[Job Number],0),MATCH(IFERROR(A380+0,A380),tbl_Production[Job Number],0))))="","",IF(INDEX(tbl_Production[Current RMS No],IFERROR(MATCH(A380&amp;"",tbl_Production[Job Number],0),MATCH(IFERROR(A380+0,A380),tbl_Production[Job Number],0)))="",INDEX(tbl_Production[Qwilr Quote],IFERROR(MATCH(A380&amp;"",tbl_Production[Job Number],0),MATCH(IFERROR(A380+0,A380),tbl_Production[Job Number],0))),INDEX(tbl_Production[Current RMS No],IFERROR(MATCH(A380&amp;"",tbl_Production[Job Number],0),MATCH(IFERROR(A380+0,A380),tbl_Production[Job Number],0))))),IFERROR(IF(INDEX(tbl_Consulting[Qwilr Quote],IFERROR(MATCH(A380&amp;"",tbl_Consulting[Job Number],0),MATCH(IFERROR(A380+0,A380),tbl_Consulting[Job Number],0)))="","",INDEX(tbl_Consulting[Qwilr Quote],IFERROR(MATCH(A380&amp;"",tbl_Consulting[Job Number],0),MATCH(IFERROR(A380+0,A380),tbl_Consulting[Job Number],0)))),""))))</f>
        <v/>
      </c>
      <c r="AG380" s="26">
        <f>IF(AF380="","",IF(AND(LEFT(AF380,4)&lt;&gt;"http",IF(G380="Production",set_RMSBase,set_QwilrBase)=""),"",HYPERLINK(IF(LEFT(AF380,4)="http",AF380,IF(G380="Production",set_RMSBase,set_QwilrBase)&amp;AF380),"Open")))</f>
        <v/>
      </c>
      <c r="AH380" s="27">
        <f>IF(A380="","",IFERROR(INDEX(tbl_Production[Total Expense],IFERROR(MATCH(A380&amp;"",tbl_Production[Job Number],0),MATCH(IFERROR(A380+0,A380),tbl_Production[Job Number],0))),IFERROR(INDEX(tbl_Consulting[Total Expense],IFERROR(MATCH(A380&amp;"",tbl_Consulting[Job Number],0),MATCH(IFERROR(A380+0,A380),tbl_Consulting[Job Number],0))),0)))</f>
        <v/>
      </c>
      <c r="AI380" s="27">
        <f>IF(A380="","",AC380-N(AH380))</f>
        <v/>
      </c>
      <c r="AJ380" s="29">
        <f>IFERROR(AI380/AC380,"")</f>
        <v/>
      </c>
      <c r="AK380" s="26">
        <f>IF(A380="","",IFERROR(IF(INDEX(tbl_Onsite[Notes],IFERROR(MATCH(A380&amp;"",tbl_Onsite[Job Number],0),MATCH(IFERROR(A380+0,A380),tbl_Onsite[Job Number],0)))="","",INDEX(tbl_Onsite[Notes],IFERROR(MATCH(A380&amp;"",tbl_Onsite[Job Number],0),MATCH(IFERROR(A380+0,A380),tbl_Onsite[Job Number],0)))),IFERROR(IF(INDEX(tbl_Production[Notes],IFERROR(MATCH(A380&amp;"",tbl_Production[Job Number],0),MATCH(IFERROR(A380+0,A380),tbl_Production[Job Number],0)))="","",INDEX(tbl_Production[Notes],IFERROR(MATCH(A380&amp;"",tbl_Production[Job Number],0),MATCH(IFERROR(A380+0,A380),tbl_Production[Job Number],0)))),IFERROR(IF(INDEX(tbl_Consulting[Notes],IFERROR(MATCH(A380&amp;"",tbl_Consulting[Job Number],0),MATCH(IFERROR(A380+0,A380),tbl_Consulting[Job Number],0)))="","",INDEX(tbl_Consulting[Notes],IFERROR(MATCH(A380&amp;"",tbl_Consulting[Job Number],0),MATCH(IFERROR(A380+0,A380),tbl_Consulting[Job Number],0)))),""))))</f>
        <v/>
      </c>
    </row>
    <row r="381" ht="15" customHeight="1">
      <c r="A381" s="22" t="n"/>
      <c r="B381" s="22" t="n"/>
      <c r="C381" s="23" t="n"/>
      <c r="D381" s="22" t="n"/>
      <c r="E381" s="24" t="n"/>
      <c r="F381" s="25">
        <f>IF(C381="","",EOMONTH(C381,0))</f>
        <v/>
      </c>
      <c r="G381" s="26">
        <f>IF(A381="","",IF(COUNTIF(tbl_Onsite[Job Number],A381&amp;"")&gt;0,"Onsite",IF(COUNTIF(tbl_Production[Job Number],A381&amp;"")&gt;0,"Production",IF(COUNTIF(tbl_Consulting[Job Number],A381&amp;"")&gt;0,"Consulting","not set up yet"))))</f>
        <v/>
      </c>
      <c r="H381" s="26">
        <f>IF(A381="","",IF(COUNTIF(lst_Jobs,A381&amp;"")&gt;0,"OK","CHECK"))</f>
        <v/>
      </c>
      <c r="I381" s="26">
        <f>IF(A381="","",IFERROR(INDEX(lst_JobName,MATCH(A381&amp;"",lst_Jobs,0)),""))</f>
        <v/>
      </c>
      <c r="J381" s="26">
        <f>IF(A381="","",IFERROR(IF(INDEX(tbl_Onsite[Client],IFERROR(MATCH(A381&amp;"",tbl_Onsite[Job Number],0),MATCH(IFERROR(A381+0,A381),tbl_Onsite[Job Number],0)))="","",INDEX(tbl_Onsite[Client],IFERROR(MATCH(A381&amp;"",tbl_Onsite[Job Number],0),MATCH(IFERROR(A381+0,A381),tbl_Onsite[Job Number],0)))),IFERROR(IF(INDEX(tbl_Production[Client],IFERROR(MATCH(A381&amp;"",tbl_Production[Job Number],0),MATCH(IFERROR(A381+0,A381),tbl_Production[Job Number],0)))="","",INDEX(tbl_Production[Client],IFERROR(MATCH(A381&amp;"",tbl_Production[Job Number],0),MATCH(IFERROR(A381+0,A381),tbl_Production[Job Number],0)))),IFERROR(IF(INDEX(tbl_Consulting[Client],IFERROR(MATCH(A381&amp;"",tbl_Consulting[Job Number],0),MATCH(IFERROR(A381+0,A381),tbl_Consulting[Job Number],0)))="","",INDEX(tbl_Consulting[Client],IFERROR(MATCH(A381&amp;"",tbl_Consulting[Job Number],0),MATCH(IFERROR(A381+0,A381),tbl_Consulting[Job Number],0)))),""))))</f>
        <v/>
      </c>
      <c r="K381" s="26">
        <f>IF(A381="","",IFERROR(IF(INDEX(tbl_Onsite[Job Description],IFERROR(MATCH(A381&amp;"",tbl_Onsite[Job Number],0),MATCH(IFERROR(A381+0,A381),tbl_Onsite[Job Number],0)))="","",INDEX(tbl_Onsite[Job Description],IFERROR(MATCH(A381&amp;"",tbl_Onsite[Job Number],0),MATCH(IFERROR(A381+0,A381),tbl_Onsite[Job Number],0)))),IFERROR(IF(INDEX(tbl_Production[Job Description],IFERROR(MATCH(A381&amp;"",tbl_Production[Job Number],0),MATCH(IFERROR(A381+0,A381),tbl_Production[Job Number],0)))="","",INDEX(tbl_Production[Job Description],IFERROR(MATCH(A381&amp;"",tbl_Production[Job Number],0),MATCH(IFERROR(A381+0,A381),tbl_Production[Job Number],0)))),IFERROR(IF(INDEX(tbl_Consulting[Job Description],IFERROR(MATCH(A381&amp;"",tbl_Consulting[Job Number],0),MATCH(IFERROR(A381+0,A381),tbl_Consulting[Job Number],0)))="","",INDEX(tbl_Consulting[Job Description],IFERROR(MATCH(A381&amp;"",tbl_Consulting[Job Number],0),MATCH(IFERROR(A381+0,A381),tbl_Consulting[Job Number],0)))),""))))</f>
        <v/>
      </c>
      <c r="L381" s="26">
        <f>IF(A381="","",IFERROR(IF(INDEX(tbl_Onsite[Invoice Type],IFERROR(MATCH(A381&amp;"",tbl_Onsite[Job Number],0),MATCH(IFERROR(A381+0,A381),tbl_Onsite[Job Number],0)))="","",INDEX(tbl_Onsite[Invoice Type],IFERROR(MATCH(A381&amp;"",tbl_Onsite[Job Number],0),MATCH(IFERROR(A381+0,A381),tbl_Onsite[Job Number],0)))),IFERROR(IF(INDEX(tbl_Production[Invoice Type],IFERROR(MATCH(A381&amp;"",tbl_Production[Job Number],0),MATCH(IFERROR(A381+0,A381),tbl_Production[Job Number],0)))="","",INDEX(tbl_Production[Invoice Type],IFERROR(MATCH(A381&amp;"",tbl_Production[Job Number],0),MATCH(IFERROR(A381+0,A381),tbl_Production[Job Number],0)))),IFERROR(IF(INDEX(tbl_Consulting[Invoice Type],IFERROR(MATCH(A381&amp;"",tbl_Consulting[Job Number],0),MATCH(IFERROR(A381+0,A381),tbl_Consulting[Job Number],0)))="","",INDEX(tbl_Consulting[Invoice Type],IFERROR(MATCH(A381&amp;"",tbl_Consulting[Job Number],0),MATCH(IFERROR(A381+0,A381),tbl_Consulting[Job Number],0)))),""))))</f>
        <v/>
      </c>
      <c r="M381" s="26">
        <f>IF(A381="","",IF(IFERROR(IF(INDEX(tbl_Onsite[Tax Code],IFERROR(MATCH(A381&amp;"",tbl_Onsite[Job Number],0),MATCH(IFERROR(A381+0,A381),tbl_Onsite[Job Number],0)))="","",INDEX(tbl_Onsite[Tax Code],IFERROR(MATCH(A381&amp;"",tbl_Onsite[Job Number],0),MATCH(IFERROR(A381+0,A381),tbl_Onsite[Job Number],0)))),IFERROR(IF(INDEX(tbl_Production[Tax Code],IFERROR(MATCH(A381&amp;"",tbl_Production[Job Number],0),MATCH(IFERROR(A381+0,A381),tbl_Production[Job Number],0)))="","",INDEX(tbl_Production[Tax Code],IFERROR(MATCH(A381&amp;"",tbl_Production[Job Number],0),MATCH(IFERROR(A381+0,A381),tbl_Production[Job Number],0)))),IFERROR(IF(INDEX(tbl_Consulting[Tax Code],IFERROR(MATCH(A381&amp;"",tbl_Consulting[Job Number],0),MATCH(IFERROR(A381+0,A381),tbl_Consulting[Job Number],0)))="","",INDEX(tbl_Consulting[Tax Code],IFERROR(MATCH(A381&amp;"",tbl_Consulting[Job Number],0),MATCH(IFERROR(A381+0,A381),tbl_Consulting[Job Number],0)))),"")))="","GST 10%",IFERROR(IF(INDEX(tbl_Onsite[Tax Code],IFERROR(MATCH(A381&amp;"",tbl_Onsite[Job Number],0),MATCH(IFERROR(A381+0,A381),tbl_Onsite[Job Number],0)))="","",INDEX(tbl_Onsite[Tax Code],IFERROR(MATCH(A381&amp;"",tbl_Onsite[Job Number],0),MATCH(IFERROR(A381+0,A381),tbl_Onsite[Job Number],0)))),IFERROR(IF(INDEX(tbl_Production[Tax Code],IFERROR(MATCH(A381&amp;"",tbl_Production[Job Number],0),MATCH(IFERROR(A381+0,A381),tbl_Production[Job Number],0)))="","",INDEX(tbl_Production[Tax Code],IFERROR(MATCH(A381&amp;"",tbl_Production[Job Number],0),MATCH(IFERROR(A381+0,A381),tbl_Production[Job Number],0)))),IFERROR(IF(INDEX(tbl_Consulting[Tax Code],IFERROR(MATCH(A381&amp;"",tbl_Consulting[Job Number],0),MATCH(IFERROR(A381+0,A381),tbl_Consulting[Job Number],0)))="","",INDEX(tbl_Consulting[Tax Code],IFERROR(MATCH(A381&amp;"",tbl_Consulting[Job Number],0),MATCH(IFERROR(A381+0,A381),tbl_Consulting[Job Number],0)))),"")))))</f>
        <v/>
      </c>
      <c r="N381" s="26">
        <f>IF(D381="","",IFERROR(INDEX(lst_CCtoGL,MATCH(D381,lst_CCforGL,0)),""))</f>
        <v/>
      </c>
      <c r="O381" s="27">
        <f>IF(E381="","",IF(M381="GST 10%",ROUND(E381*set_GSTRate,2),0))</f>
        <v/>
      </c>
      <c r="P381" s="27">
        <f>IF(E381="","",E381+O381)</f>
        <v/>
      </c>
      <c r="Q381" s="27">
        <f>IF(A381="","",IFERROR(INDEX(tbl_Onsite[Expected Revenue Ex GST],IFERROR(MATCH(A381&amp;"",tbl_Onsite[Job Number],0),MATCH(IFERROR(A381+0,A381),tbl_Onsite[Job Number],0))),IFERROR(INDEX(tbl_Production[Expected Revenue Ex GST],IFERROR(MATCH(A381&amp;"",tbl_Production[Job Number],0),MATCH(IFERROR(A381+0,A381),tbl_Production[Job Number],0))),IFERROR(INDEX(tbl_Consulting[Expected Revenue Ex GST],IFERROR(MATCH(A381&amp;"",tbl_Consulting[Job Number],0),MATCH(IFERROR(A381+0,A381),tbl_Consulting[Job Number],0))),0))))</f>
        <v/>
      </c>
      <c r="R381" s="27">
        <f>IF(A381="","",SUMIFS(tbl_Finance[Ex GST],tbl_Finance[Job Number],A381&amp;""))</f>
        <v/>
      </c>
      <c r="S381" s="27">
        <f>IF(A381="","",Q381-R381)</f>
        <v/>
      </c>
      <c r="T381" s="26">
        <f>IF(A381="","",IF(Q381=0,"No dept value",IF(ROUND(S381,2)=0,"Agrees",IF(S381&gt;0,"Dept higher - to invoice","Xero higher - check dept"))))</f>
        <v/>
      </c>
      <c r="U381" s="22" t="n"/>
      <c r="V381" s="22" t="n"/>
      <c r="W381" s="23" t="n"/>
      <c r="X381" s="23" t="n"/>
      <c r="Y381" s="22" t="n"/>
      <c r="Z381" s="22" t="n"/>
      <c r="AA381" s="26">
        <f>IF(COUNTA(C381,A381,B381,E381)=0,"",IF(C381="","No date - sits outside every month",IF(A381="","No job number",IF(H381="CHECK","Job number is not in the Xero job list",IF(G381="not set up yet","No department has set this job up - nothing can pull through",IF(D381="","No cost centre",IF(AND(U381="Y",B381=""),"Marked posted to Xero but has no invoice number",IF(N381="","Cost centre has no revenue GL on the Lists sheet",IF(T381="Xero higher - check dept","Invoiced more than the department says the job is worth","")))))))))</f>
        <v/>
      </c>
      <c r="AB381" s="28">
        <f>IF(A381="","",COUNTIFS(tbl_Finance[Job Number],A381&amp;"",tbl_Finance[Ex GST],"&lt;&gt;"))</f>
        <v/>
      </c>
      <c r="AC381" s="27">
        <f>IF(A381="","",SUMIFS(tbl_Finance[Ex GST],tbl_Finance[Job Number],A381&amp;""))</f>
        <v/>
      </c>
      <c r="AD381" s="27">
        <f>IF(A381="","",SUMIFS(tbl_Finance[Ex GST],tbl_Finance[Job Number],A381&amp;"",tbl_Finance[Xero Invoice No],"&lt;&gt;"))</f>
        <v/>
      </c>
      <c r="AE381" s="27">
        <f>IF(A381="","",AC381-AD381)</f>
        <v/>
      </c>
      <c r="AF381" s="26">
        <f>IF(A381="","",IFERROR(IF(INDEX(tbl_Onsite[Qwilr Quote],IFERROR(MATCH(A381&amp;"",tbl_Onsite[Job Number],0),MATCH(IFERROR(A381+0,A381),tbl_Onsite[Job Number],0)))="","",INDEX(tbl_Onsite[Qwilr Quote],IFERROR(MATCH(A381&amp;"",tbl_Onsite[Job Number],0),MATCH(IFERROR(A381+0,A381),tbl_Onsite[Job Number],0)))),IFERROR(IF(IF(INDEX(tbl_Production[Current RMS No],IFERROR(MATCH(A381&amp;"",tbl_Production[Job Number],0),MATCH(IFERROR(A381+0,A381),tbl_Production[Job Number],0)))="",INDEX(tbl_Production[Qwilr Quote],IFERROR(MATCH(A381&amp;"",tbl_Production[Job Number],0),MATCH(IFERROR(A381+0,A381),tbl_Production[Job Number],0))),INDEX(tbl_Production[Current RMS No],IFERROR(MATCH(A381&amp;"",tbl_Production[Job Number],0),MATCH(IFERROR(A381+0,A381),tbl_Production[Job Number],0))))="","",IF(INDEX(tbl_Production[Current RMS No],IFERROR(MATCH(A381&amp;"",tbl_Production[Job Number],0),MATCH(IFERROR(A381+0,A381),tbl_Production[Job Number],0)))="",INDEX(tbl_Production[Qwilr Quote],IFERROR(MATCH(A381&amp;"",tbl_Production[Job Number],0),MATCH(IFERROR(A381+0,A381),tbl_Production[Job Number],0))),INDEX(tbl_Production[Current RMS No],IFERROR(MATCH(A381&amp;"",tbl_Production[Job Number],0),MATCH(IFERROR(A381+0,A381),tbl_Production[Job Number],0))))),IFERROR(IF(INDEX(tbl_Consulting[Qwilr Quote],IFERROR(MATCH(A381&amp;"",tbl_Consulting[Job Number],0),MATCH(IFERROR(A381+0,A381),tbl_Consulting[Job Number],0)))="","",INDEX(tbl_Consulting[Qwilr Quote],IFERROR(MATCH(A381&amp;"",tbl_Consulting[Job Number],0),MATCH(IFERROR(A381+0,A381),tbl_Consulting[Job Number],0)))),""))))</f>
        <v/>
      </c>
      <c r="AG381" s="26">
        <f>IF(AF381="","",IF(AND(LEFT(AF381,4)&lt;&gt;"http",IF(G381="Production",set_RMSBase,set_QwilrBase)=""),"",HYPERLINK(IF(LEFT(AF381,4)="http",AF381,IF(G381="Production",set_RMSBase,set_QwilrBase)&amp;AF381),"Open")))</f>
        <v/>
      </c>
      <c r="AH381" s="27">
        <f>IF(A381="","",IFERROR(INDEX(tbl_Production[Total Expense],IFERROR(MATCH(A381&amp;"",tbl_Production[Job Number],0),MATCH(IFERROR(A381+0,A381),tbl_Production[Job Number],0))),IFERROR(INDEX(tbl_Consulting[Total Expense],IFERROR(MATCH(A381&amp;"",tbl_Consulting[Job Number],0),MATCH(IFERROR(A381+0,A381),tbl_Consulting[Job Number],0))),0)))</f>
        <v/>
      </c>
      <c r="AI381" s="27">
        <f>IF(A381="","",AC381-N(AH381))</f>
        <v/>
      </c>
      <c r="AJ381" s="29">
        <f>IFERROR(AI381/AC381,"")</f>
        <v/>
      </c>
      <c r="AK381" s="26">
        <f>IF(A381="","",IFERROR(IF(INDEX(tbl_Onsite[Notes],IFERROR(MATCH(A381&amp;"",tbl_Onsite[Job Number],0),MATCH(IFERROR(A381+0,A381),tbl_Onsite[Job Number],0)))="","",INDEX(tbl_Onsite[Notes],IFERROR(MATCH(A381&amp;"",tbl_Onsite[Job Number],0),MATCH(IFERROR(A381+0,A381),tbl_Onsite[Job Number],0)))),IFERROR(IF(INDEX(tbl_Production[Notes],IFERROR(MATCH(A381&amp;"",tbl_Production[Job Number],0),MATCH(IFERROR(A381+0,A381),tbl_Production[Job Number],0)))="","",INDEX(tbl_Production[Notes],IFERROR(MATCH(A381&amp;"",tbl_Production[Job Number],0),MATCH(IFERROR(A381+0,A381),tbl_Production[Job Number],0)))),IFERROR(IF(INDEX(tbl_Consulting[Notes],IFERROR(MATCH(A381&amp;"",tbl_Consulting[Job Number],0),MATCH(IFERROR(A381+0,A381),tbl_Consulting[Job Number],0)))="","",INDEX(tbl_Consulting[Notes],IFERROR(MATCH(A381&amp;"",tbl_Consulting[Job Number],0),MATCH(IFERROR(A381+0,A381),tbl_Consulting[Job Number],0)))),""))))</f>
        <v/>
      </c>
    </row>
    <row r="382" ht="15" customHeight="1">
      <c r="A382" s="22" t="n"/>
      <c r="B382" s="22" t="n"/>
      <c r="C382" s="23" t="n"/>
      <c r="D382" s="22" t="n"/>
      <c r="E382" s="24" t="n"/>
      <c r="F382" s="25">
        <f>IF(C382="","",EOMONTH(C382,0))</f>
        <v/>
      </c>
      <c r="G382" s="26">
        <f>IF(A382="","",IF(COUNTIF(tbl_Onsite[Job Number],A382&amp;"")&gt;0,"Onsite",IF(COUNTIF(tbl_Production[Job Number],A382&amp;"")&gt;0,"Production",IF(COUNTIF(tbl_Consulting[Job Number],A382&amp;"")&gt;0,"Consulting","not set up yet"))))</f>
        <v/>
      </c>
      <c r="H382" s="26">
        <f>IF(A382="","",IF(COUNTIF(lst_Jobs,A382&amp;"")&gt;0,"OK","CHECK"))</f>
        <v/>
      </c>
      <c r="I382" s="26">
        <f>IF(A382="","",IFERROR(INDEX(lst_JobName,MATCH(A382&amp;"",lst_Jobs,0)),""))</f>
        <v/>
      </c>
      <c r="J382" s="26">
        <f>IF(A382="","",IFERROR(IF(INDEX(tbl_Onsite[Client],IFERROR(MATCH(A382&amp;"",tbl_Onsite[Job Number],0),MATCH(IFERROR(A382+0,A382),tbl_Onsite[Job Number],0)))="","",INDEX(tbl_Onsite[Client],IFERROR(MATCH(A382&amp;"",tbl_Onsite[Job Number],0),MATCH(IFERROR(A382+0,A382),tbl_Onsite[Job Number],0)))),IFERROR(IF(INDEX(tbl_Production[Client],IFERROR(MATCH(A382&amp;"",tbl_Production[Job Number],0),MATCH(IFERROR(A382+0,A382),tbl_Production[Job Number],0)))="","",INDEX(tbl_Production[Client],IFERROR(MATCH(A382&amp;"",tbl_Production[Job Number],0),MATCH(IFERROR(A382+0,A382),tbl_Production[Job Number],0)))),IFERROR(IF(INDEX(tbl_Consulting[Client],IFERROR(MATCH(A382&amp;"",tbl_Consulting[Job Number],0),MATCH(IFERROR(A382+0,A382),tbl_Consulting[Job Number],0)))="","",INDEX(tbl_Consulting[Client],IFERROR(MATCH(A382&amp;"",tbl_Consulting[Job Number],0),MATCH(IFERROR(A382+0,A382),tbl_Consulting[Job Number],0)))),""))))</f>
        <v/>
      </c>
      <c r="K382" s="26">
        <f>IF(A382="","",IFERROR(IF(INDEX(tbl_Onsite[Job Description],IFERROR(MATCH(A382&amp;"",tbl_Onsite[Job Number],0),MATCH(IFERROR(A382+0,A382),tbl_Onsite[Job Number],0)))="","",INDEX(tbl_Onsite[Job Description],IFERROR(MATCH(A382&amp;"",tbl_Onsite[Job Number],0),MATCH(IFERROR(A382+0,A382),tbl_Onsite[Job Number],0)))),IFERROR(IF(INDEX(tbl_Production[Job Description],IFERROR(MATCH(A382&amp;"",tbl_Production[Job Number],0),MATCH(IFERROR(A382+0,A382),tbl_Production[Job Number],0)))="","",INDEX(tbl_Production[Job Description],IFERROR(MATCH(A382&amp;"",tbl_Production[Job Number],0),MATCH(IFERROR(A382+0,A382),tbl_Production[Job Number],0)))),IFERROR(IF(INDEX(tbl_Consulting[Job Description],IFERROR(MATCH(A382&amp;"",tbl_Consulting[Job Number],0),MATCH(IFERROR(A382+0,A382),tbl_Consulting[Job Number],0)))="","",INDEX(tbl_Consulting[Job Description],IFERROR(MATCH(A382&amp;"",tbl_Consulting[Job Number],0),MATCH(IFERROR(A382+0,A382),tbl_Consulting[Job Number],0)))),""))))</f>
        <v/>
      </c>
      <c r="L382" s="26">
        <f>IF(A382="","",IFERROR(IF(INDEX(tbl_Onsite[Invoice Type],IFERROR(MATCH(A382&amp;"",tbl_Onsite[Job Number],0),MATCH(IFERROR(A382+0,A382),tbl_Onsite[Job Number],0)))="","",INDEX(tbl_Onsite[Invoice Type],IFERROR(MATCH(A382&amp;"",tbl_Onsite[Job Number],0),MATCH(IFERROR(A382+0,A382),tbl_Onsite[Job Number],0)))),IFERROR(IF(INDEX(tbl_Production[Invoice Type],IFERROR(MATCH(A382&amp;"",tbl_Production[Job Number],0),MATCH(IFERROR(A382+0,A382),tbl_Production[Job Number],0)))="","",INDEX(tbl_Production[Invoice Type],IFERROR(MATCH(A382&amp;"",tbl_Production[Job Number],0),MATCH(IFERROR(A382+0,A382),tbl_Production[Job Number],0)))),IFERROR(IF(INDEX(tbl_Consulting[Invoice Type],IFERROR(MATCH(A382&amp;"",tbl_Consulting[Job Number],0),MATCH(IFERROR(A382+0,A382),tbl_Consulting[Job Number],0)))="","",INDEX(tbl_Consulting[Invoice Type],IFERROR(MATCH(A382&amp;"",tbl_Consulting[Job Number],0),MATCH(IFERROR(A382+0,A382),tbl_Consulting[Job Number],0)))),""))))</f>
        <v/>
      </c>
      <c r="M382" s="26">
        <f>IF(A382="","",IF(IFERROR(IF(INDEX(tbl_Onsite[Tax Code],IFERROR(MATCH(A382&amp;"",tbl_Onsite[Job Number],0),MATCH(IFERROR(A382+0,A382),tbl_Onsite[Job Number],0)))="","",INDEX(tbl_Onsite[Tax Code],IFERROR(MATCH(A382&amp;"",tbl_Onsite[Job Number],0),MATCH(IFERROR(A382+0,A382),tbl_Onsite[Job Number],0)))),IFERROR(IF(INDEX(tbl_Production[Tax Code],IFERROR(MATCH(A382&amp;"",tbl_Production[Job Number],0),MATCH(IFERROR(A382+0,A382),tbl_Production[Job Number],0)))="","",INDEX(tbl_Production[Tax Code],IFERROR(MATCH(A382&amp;"",tbl_Production[Job Number],0),MATCH(IFERROR(A382+0,A382),tbl_Production[Job Number],0)))),IFERROR(IF(INDEX(tbl_Consulting[Tax Code],IFERROR(MATCH(A382&amp;"",tbl_Consulting[Job Number],0),MATCH(IFERROR(A382+0,A382),tbl_Consulting[Job Number],0)))="","",INDEX(tbl_Consulting[Tax Code],IFERROR(MATCH(A382&amp;"",tbl_Consulting[Job Number],0),MATCH(IFERROR(A382+0,A382),tbl_Consulting[Job Number],0)))),"")))="","GST 10%",IFERROR(IF(INDEX(tbl_Onsite[Tax Code],IFERROR(MATCH(A382&amp;"",tbl_Onsite[Job Number],0),MATCH(IFERROR(A382+0,A382),tbl_Onsite[Job Number],0)))="","",INDEX(tbl_Onsite[Tax Code],IFERROR(MATCH(A382&amp;"",tbl_Onsite[Job Number],0),MATCH(IFERROR(A382+0,A382),tbl_Onsite[Job Number],0)))),IFERROR(IF(INDEX(tbl_Production[Tax Code],IFERROR(MATCH(A382&amp;"",tbl_Production[Job Number],0),MATCH(IFERROR(A382+0,A382),tbl_Production[Job Number],0)))="","",INDEX(tbl_Production[Tax Code],IFERROR(MATCH(A382&amp;"",tbl_Production[Job Number],0),MATCH(IFERROR(A382+0,A382),tbl_Production[Job Number],0)))),IFERROR(IF(INDEX(tbl_Consulting[Tax Code],IFERROR(MATCH(A382&amp;"",tbl_Consulting[Job Number],0),MATCH(IFERROR(A382+0,A382),tbl_Consulting[Job Number],0)))="","",INDEX(tbl_Consulting[Tax Code],IFERROR(MATCH(A382&amp;"",tbl_Consulting[Job Number],0),MATCH(IFERROR(A382+0,A382),tbl_Consulting[Job Number],0)))),"")))))</f>
        <v/>
      </c>
      <c r="N382" s="26">
        <f>IF(D382="","",IFERROR(INDEX(lst_CCtoGL,MATCH(D382,lst_CCforGL,0)),""))</f>
        <v/>
      </c>
      <c r="O382" s="27">
        <f>IF(E382="","",IF(M382="GST 10%",ROUND(E382*set_GSTRate,2),0))</f>
        <v/>
      </c>
      <c r="P382" s="27">
        <f>IF(E382="","",E382+O382)</f>
        <v/>
      </c>
      <c r="Q382" s="27">
        <f>IF(A382="","",IFERROR(INDEX(tbl_Onsite[Expected Revenue Ex GST],IFERROR(MATCH(A382&amp;"",tbl_Onsite[Job Number],0),MATCH(IFERROR(A382+0,A382),tbl_Onsite[Job Number],0))),IFERROR(INDEX(tbl_Production[Expected Revenue Ex GST],IFERROR(MATCH(A382&amp;"",tbl_Production[Job Number],0),MATCH(IFERROR(A382+0,A382),tbl_Production[Job Number],0))),IFERROR(INDEX(tbl_Consulting[Expected Revenue Ex GST],IFERROR(MATCH(A382&amp;"",tbl_Consulting[Job Number],0),MATCH(IFERROR(A382+0,A382),tbl_Consulting[Job Number],0))),0))))</f>
        <v/>
      </c>
      <c r="R382" s="27">
        <f>IF(A382="","",SUMIFS(tbl_Finance[Ex GST],tbl_Finance[Job Number],A382&amp;""))</f>
        <v/>
      </c>
      <c r="S382" s="27">
        <f>IF(A382="","",Q382-R382)</f>
        <v/>
      </c>
      <c r="T382" s="26">
        <f>IF(A382="","",IF(Q382=0,"No dept value",IF(ROUND(S382,2)=0,"Agrees",IF(S382&gt;0,"Dept higher - to invoice","Xero higher - check dept"))))</f>
        <v/>
      </c>
      <c r="U382" s="22" t="n"/>
      <c r="V382" s="22" t="n"/>
      <c r="W382" s="23" t="n"/>
      <c r="X382" s="23" t="n"/>
      <c r="Y382" s="22" t="n"/>
      <c r="Z382" s="22" t="n"/>
      <c r="AA382" s="26">
        <f>IF(COUNTA(C382,A382,B382,E382)=0,"",IF(C382="","No date - sits outside every month",IF(A382="","No job number",IF(H382="CHECK","Job number is not in the Xero job list",IF(G382="not set up yet","No department has set this job up - nothing can pull through",IF(D382="","No cost centre",IF(AND(U382="Y",B382=""),"Marked posted to Xero but has no invoice number",IF(N382="","Cost centre has no revenue GL on the Lists sheet",IF(T382="Xero higher - check dept","Invoiced more than the department says the job is worth","")))))))))</f>
        <v/>
      </c>
      <c r="AB382" s="28">
        <f>IF(A382="","",COUNTIFS(tbl_Finance[Job Number],A382&amp;"",tbl_Finance[Ex GST],"&lt;&gt;"))</f>
        <v/>
      </c>
      <c r="AC382" s="27">
        <f>IF(A382="","",SUMIFS(tbl_Finance[Ex GST],tbl_Finance[Job Number],A382&amp;""))</f>
        <v/>
      </c>
      <c r="AD382" s="27">
        <f>IF(A382="","",SUMIFS(tbl_Finance[Ex GST],tbl_Finance[Job Number],A382&amp;"",tbl_Finance[Xero Invoice No],"&lt;&gt;"))</f>
        <v/>
      </c>
      <c r="AE382" s="27">
        <f>IF(A382="","",AC382-AD382)</f>
        <v/>
      </c>
      <c r="AF382" s="26">
        <f>IF(A382="","",IFERROR(IF(INDEX(tbl_Onsite[Qwilr Quote],IFERROR(MATCH(A382&amp;"",tbl_Onsite[Job Number],0),MATCH(IFERROR(A382+0,A382),tbl_Onsite[Job Number],0)))="","",INDEX(tbl_Onsite[Qwilr Quote],IFERROR(MATCH(A382&amp;"",tbl_Onsite[Job Number],0),MATCH(IFERROR(A382+0,A382),tbl_Onsite[Job Number],0)))),IFERROR(IF(IF(INDEX(tbl_Production[Current RMS No],IFERROR(MATCH(A382&amp;"",tbl_Production[Job Number],0),MATCH(IFERROR(A382+0,A382),tbl_Production[Job Number],0)))="",INDEX(tbl_Production[Qwilr Quote],IFERROR(MATCH(A382&amp;"",tbl_Production[Job Number],0),MATCH(IFERROR(A382+0,A382),tbl_Production[Job Number],0))),INDEX(tbl_Production[Current RMS No],IFERROR(MATCH(A382&amp;"",tbl_Production[Job Number],0),MATCH(IFERROR(A382+0,A382),tbl_Production[Job Number],0))))="","",IF(INDEX(tbl_Production[Current RMS No],IFERROR(MATCH(A382&amp;"",tbl_Production[Job Number],0),MATCH(IFERROR(A382+0,A382),tbl_Production[Job Number],0)))="",INDEX(tbl_Production[Qwilr Quote],IFERROR(MATCH(A382&amp;"",tbl_Production[Job Number],0),MATCH(IFERROR(A382+0,A382),tbl_Production[Job Number],0))),INDEX(tbl_Production[Current RMS No],IFERROR(MATCH(A382&amp;"",tbl_Production[Job Number],0),MATCH(IFERROR(A382+0,A382),tbl_Production[Job Number],0))))),IFERROR(IF(INDEX(tbl_Consulting[Qwilr Quote],IFERROR(MATCH(A382&amp;"",tbl_Consulting[Job Number],0),MATCH(IFERROR(A382+0,A382),tbl_Consulting[Job Number],0)))="","",INDEX(tbl_Consulting[Qwilr Quote],IFERROR(MATCH(A382&amp;"",tbl_Consulting[Job Number],0),MATCH(IFERROR(A382+0,A382),tbl_Consulting[Job Number],0)))),""))))</f>
        <v/>
      </c>
      <c r="AG382" s="26">
        <f>IF(AF382="","",IF(AND(LEFT(AF382,4)&lt;&gt;"http",IF(G382="Production",set_RMSBase,set_QwilrBase)=""),"",HYPERLINK(IF(LEFT(AF382,4)="http",AF382,IF(G382="Production",set_RMSBase,set_QwilrBase)&amp;AF382),"Open")))</f>
        <v/>
      </c>
      <c r="AH382" s="27">
        <f>IF(A382="","",IFERROR(INDEX(tbl_Production[Total Expense],IFERROR(MATCH(A382&amp;"",tbl_Production[Job Number],0),MATCH(IFERROR(A382+0,A382),tbl_Production[Job Number],0))),IFERROR(INDEX(tbl_Consulting[Total Expense],IFERROR(MATCH(A382&amp;"",tbl_Consulting[Job Number],0),MATCH(IFERROR(A382+0,A382),tbl_Consulting[Job Number],0))),0)))</f>
        <v/>
      </c>
      <c r="AI382" s="27">
        <f>IF(A382="","",AC382-N(AH382))</f>
        <v/>
      </c>
      <c r="AJ382" s="29">
        <f>IFERROR(AI382/AC382,"")</f>
        <v/>
      </c>
      <c r="AK382" s="26">
        <f>IF(A382="","",IFERROR(IF(INDEX(tbl_Onsite[Notes],IFERROR(MATCH(A382&amp;"",tbl_Onsite[Job Number],0),MATCH(IFERROR(A382+0,A382),tbl_Onsite[Job Number],0)))="","",INDEX(tbl_Onsite[Notes],IFERROR(MATCH(A382&amp;"",tbl_Onsite[Job Number],0),MATCH(IFERROR(A382+0,A382),tbl_Onsite[Job Number],0)))),IFERROR(IF(INDEX(tbl_Production[Notes],IFERROR(MATCH(A382&amp;"",tbl_Production[Job Number],0),MATCH(IFERROR(A382+0,A382),tbl_Production[Job Number],0)))="","",INDEX(tbl_Production[Notes],IFERROR(MATCH(A382&amp;"",tbl_Production[Job Number],0),MATCH(IFERROR(A382+0,A382),tbl_Production[Job Number],0)))),IFERROR(IF(INDEX(tbl_Consulting[Notes],IFERROR(MATCH(A382&amp;"",tbl_Consulting[Job Number],0),MATCH(IFERROR(A382+0,A382),tbl_Consulting[Job Number],0)))="","",INDEX(tbl_Consulting[Notes],IFERROR(MATCH(A382&amp;"",tbl_Consulting[Job Number],0),MATCH(IFERROR(A382+0,A382),tbl_Consulting[Job Number],0)))),""))))</f>
        <v/>
      </c>
    </row>
    <row r="383" ht="15" customHeight="1">
      <c r="A383" s="22" t="n"/>
      <c r="B383" s="22" t="n"/>
      <c r="C383" s="23" t="n"/>
      <c r="D383" s="22" t="n"/>
      <c r="E383" s="24" t="n"/>
      <c r="F383" s="25">
        <f>IF(C383="","",EOMONTH(C383,0))</f>
        <v/>
      </c>
      <c r="G383" s="26">
        <f>IF(A383="","",IF(COUNTIF(tbl_Onsite[Job Number],A383&amp;"")&gt;0,"Onsite",IF(COUNTIF(tbl_Production[Job Number],A383&amp;"")&gt;0,"Production",IF(COUNTIF(tbl_Consulting[Job Number],A383&amp;"")&gt;0,"Consulting","not set up yet"))))</f>
        <v/>
      </c>
      <c r="H383" s="26">
        <f>IF(A383="","",IF(COUNTIF(lst_Jobs,A383&amp;"")&gt;0,"OK","CHECK"))</f>
        <v/>
      </c>
      <c r="I383" s="26">
        <f>IF(A383="","",IFERROR(INDEX(lst_JobName,MATCH(A383&amp;"",lst_Jobs,0)),""))</f>
        <v/>
      </c>
      <c r="J383" s="26">
        <f>IF(A383="","",IFERROR(IF(INDEX(tbl_Onsite[Client],IFERROR(MATCH(A383&amp;"",tbl_Onsite[Job Number],0),MATCH(IFERROR(A383+0,A383),tbl_Onsite[Job Number],0)))="","",INDEX(tbl_Onsite[Client],IFERROR(MATCH(A383&amp;"",tbl_Onsite[Job Number],0),MATCH(IFERROR(A383+0,A383),tbl_Onsite[Job Number],0)))),IFERROR(IF(INDEX(tbl_Production[Client],IFERROR(MATCH(A383&amp;"",tbl_Production[Job Number],0),MATCH(IFERROR(A383+0,A383),tbl_Production[Job Number],0)))="","",INDEX(tbl_Production[Client],IFERROR(MATCH(A383&amp;"",tbl_Production[Job Number],0),MATCH(IFERROR(A383+0,A383),tbl_Production[Job Number],0)))),IFERROR(IF(INDEX(tbl_Consulting[Client],IFERROR(MATCH(A383&amp;"",tbl_Consulting[Job Number],0),MATCH(IFERROR(A383+0,A383),tbl_Consulting[Job Number],0)))="","",INDEX(tbl_Consulting[Client],IFERROR(MATCH(A383&amp;"",tbl_Consulting[Job Number],0),MATCH(IFERROR(A383+0,A383),tbl_Consulting[Job Number],0)))),""))))</f>
        <v/>
      </c>
      <c r="K383" s="26">
        <f>IF(A383="","",IFERROR(IF(INDEX(tbl_Onsite[Job Description],IFERROR(MATCH(A383&amp;"",tbl_Onsite[Job Number],0),MATCH(IFERROR(A383+0,A383),tbl_Onsite[Job Number],0)))="","",INDEX(tbl_Onsite[Job Description],IFERROR(MATCH(A383&amp;"",tbl_Onsite[Job Number],0),MATCH(IFERROR(A383+0,A383),tbl_Onsite[Job Number],0)))),IFERROR(IF(INDEX(tbl_Production[Job Description],IFERROR(MATCH(A383&amp;"",tbl_Production[Job Number],0),MATCH(IFERROR(A383+0,A383),tbl_Production[Job Number],0)))="","",INDEX(tbl_Production[Job Description],IFERROR(MATCH(A383&amp;"",tbl_Production[Job Number],0),MATCH(IFERROR(A383+0,A383),tbl_Production[Job Number],0)))),IFERROR(IF(INDEX(tbl_Consulting[Job Description],IFERROR(MATCH(A383&amp;"",tbl_Consulting[Job Number],0),MATCH(IFERROR(A383+0,A383),tbl_Consulting[Job Number],0)))="","",INDEX(tbl_Consulting[Job Description],IFERROR(MATCH(A383&amp;"",tbl_Consulting[Job Number],0),MATCH(IFERROR(A383+0,A383),tbl_Consulting[Job Number],0)))),""))))</f>
        <v/>
      </c>
      <c r="L383" s="26">
        <f>IF(A383="","",IFERROR(IF(INDEX(tbl_Onsite[Invoice Type],IFERROR(MATCH(A383&amp;"",tbl_Onsite[Job Number],0),MATCH(IFERROR(A383+0,A383),tbl_Onsite[Job Number],0)))="","",INDEX(tbl_Onsite[Invoice Type],IFERROR(MATCH(A383&amp;"",tbl_Onsite[Job Number],0),MATCH(IFERROR(A383+0,A383),tbl_Onsite[Job Number],0)))),IFERROR(IF(INDEX(tbl_Production[Invoice Type],IFERROR(MATCH(A383&amp;"",tbl_Production[Job Number],0),MATCH(IFERROR(A383+0,A383),tbl_Production[Job Number],0)))="","",INDEX(tbl_Production[Invoice Type],IFERROR(MATCH(A383&amp;"",tbl_Production[Job Number],0),MATCH(IFERROR(A383+0,A383),tbl_Production[Job Number],0)))),IFERROR(IF(INDEX(tbl_Consulting[Invoice Type],IFERROR(MATCH(A383&amp;"",tbl_Consulting[Job Number],0),MATCH(IFERROR(A383+0,A383),tbl_Consulting[Job Number],0)))="","",INDEX(tbl_Consulting[Invoice Type],IFERROR(MATCH(A383&amp;"",tbl_Consulting[Job Number],0),MATCH(IFERROR(A383+0,A383),tbl_Consulting[Job Number],0)))),""))))</f>
        <v/>
      </c>
      <c r="M383" s="26">
        <f>IF(A383="","",IF(IFERROR(IF(INDEX(tbl_Onsite[Tax Code],IFERROR(MATCH(A383&amp;"",tbl_Onsite[Job Number],0),MATCH(IFERROR(A383+0,A383),tbl_Onsite[Job Number],0)))="","",INDEX(tbl_Onsite[Tax Code],IFERROR(MATCH(A383&amp;"",tbl_Onsite[Job Number],0),MATCH(IFERROR(A383+0,A383),tbl_Onsite[Job Number],0)))),IFERROR(IF(INDEX(tbl_Production[Tax Code],IFERROR(MATCH(A383&amp;"",tbl_Production[Job Number],0),MATCH(IFERROR(A383+0,A383),tbl_Production[Job Number],0)))="","",INDEX(tbl_Production[Tax Code],IFERROR(MATCH(A383&amp;"",tbl_Production[Job Number],0),MATCH(IFERROR(A383+0,A383),tbl_Production[Job Number],0)))),IFERROR(IF(INDEX(tbl_Consulting[Tax Code],IFERROR(MATCH(A383&amp;"",tbl_Consulting[Job Number],0),MATCH(IFERROR(A383+0,A383),tbl_Consulting[Job Number],0)))="","",INDEX(tbl_Consulting[Tax Code],IFERROR(MATCH(A383&amp;"",tbl_Consulting[Job Number],0),MATCH(IFERROR(A383+0,A383),tbl_Consulting[Job Number],0)))),"")))="","GST 10%",IFERROR(IF(INDEX(tbl_Onsite[Tax Code],IFERROR(MATCH(A383&amp;"",tbl_Onsite[Job Number],0),MATCH(IFERROR(A383+0,A383),tbl_Onsite[Job Number],0)))="","",INDEX(tbl_Onsite[Tax Code],IFERROR(MATCH(A383&amp;"",tbl_Onsite[Job Number],0),MATCH(IFERROR(A383+0,A383),tbl_Onsite[Job Number],0)))),IFERROR(IF(INDEX(tbl_Production[Tax Code],IFERROR(MATCH(A383&amp;"",tbl_Production[Job Number],0),MATCH(IFERROR(A383+0,A383),tbl_Production[Job Number],0)))="","",INDEX(tbl_Production[Tax Code],IFERROR(MATCH(A383&amp;"",tbl_Production[Job Number],0),MATCH(IFERROR(A383+0,A383),tbl_Production[Job Number],0)))),IFERROR(IF(INDEX(tbl_Consulting[Tax Code],IFERROR(MATCH(A383&amp;"",tbl_Consulting[Job Number],0),MATCH(IFERROR(A383+0,A383),tbl_Consulting[Job Number],0)))="","",INDEX(tbl_Consulting[Tax Code],IFERROR(MATCH(A383&amp;"",tbl_Consulting[Job Number],0),MATCH(IFERROR(A383+0,A383),tbl_Consulting[Job Number],0)))),"")))))</f>
        <v/>
      </c>
      <c r="N383" s="26">
        <f>IF(D383="","",IFERROR(INDEX(lst_CCtoGL,MATCH(D383,lst_CCforGL,0)),""))</f>
        <v/>
      </c>
      <c r="O383" s="27">
        <f>IF(E383="","",IF(M383="GST 10%",ROUND(E383*set_GSTRate,2),0))</f>
        <v/>
      </c>
      <c r="P383" s="27">
        <f>IF(E383="","",E383+O383)</f>
        <v/>
      </c>
      <c r="Q383" s="27">
        <f>IF(A383="","",IFERROR(INDEX(tbl_Onsite[Expected Revenue Ex GST],IFERROR(MATCH(A383&amp;"",tbl_Onsite[Job Number],0),MATCH(IFERROR(A383+0,A383),tbl_Onsite[Job Number],0))),IFERROR(INDEX(tbl_Production[Expected Revenue Ex GST],IFERROR(MATCH(A383&amp;"",tbl_Production[Job Number],0),MATCH(IFERROR(A383+0,A383),tbl_Production[Job Number],0))),IFERROR(INDEX(tbl_Consulting[Expected Revenue Ex GST],IFERROR(MATCH(A383&amp;"",tbl_Consulting[Job Number],0),MATCH(IFERROR(A383+0,A383),tbl_Consulting[Job Number],0))),0))))</f>
        <v/>
      </c>
      <c r="R383" s="27">
        <f>IF(A383="","",SUMIFS(tbl_Finance[Ex GST],tbl_Finance[Job Number],A383&amp;""))</f>
        <v/>
      </c>
      <c r="S383" s="27">
        <f>IF(A383="","",Q383-R383)</f>
        <v/>
      </c>
      <c r="T383" s="26">
        <f>IF(A383="","",IF(Q383=0,"No dept value",IF(ROUND(S383,2)=0,"Agrees",IF(S383&gt;0,"Dept higher - to invoice","Xero higher - check dept"))))</f>
        <v/>
      </c>
      <c r="U383" s="22" t="n"/>
      <c r="V383" s="22" t="n"/>
      <c r="W383" s="23" t="n"/>
      <c r="X383" s="23" t="n"/>
      <c r="Y383" s="22" t="n"/>
      <c r="Z383" s="22" t="n"/>
      <c r="AA383" s="26">
        <f>IF(COUNTA(C383,A383,B383,E383)=0,"",IF(C383="","No date - sits outside every month",IF(A383="","No job number",IF(H383="CHECK","Job number is not in the Xero job list",IF(G383="not set up yet","No department has set this job up - nothing can pull through",IF(D383="","No cost centre",IF(AND(U383="Y",B383=""),"Marked posted to Xero but has no invoice number",IF(N383="","Cost centre has no revenue GL on the Lists sheet",IF(T383="Xero higher - check dept","Invoiced more than the department says the job is worth","")))))))))</f>
        <v/>
      </c>
      <c r="AB383" s="28">
        <f>IF(A383="","",COUNTIFS(tbl_Finance[Job Number],A383&amp;"",tbl_Finance[Ex GST],"&lt;&gt;"))</f>
        <v/>
      </c>
      <c r="AC383" s="27">
        <f>IF(A383="","",SUMIFS(tbl_Finance[Ex GST],tbl_Finance[Job Number],A383&amp;""))</f>
        <v/>
      </c>
      <c r="AD383" s="27">
        <f>IF(A383="","",SUMIFS(tbl_Finance[Ex GST],tbl_Finance[Job Number],A383&amp;"",tbl_Finance[Xero Invoice No],"&lt;&gt;"))</f>
        <v/>
      </c>
      <c r="AE383" s="27">
        <f>IF(A383="","",AC383-AD383)</f>
        <v/>
      </c>
      <c r="AF383" s="26">
        <f>IF(A383="","",IFERROR(IF(INDEX(tbl_Onsite[Qwilr Quote],IFERROR(MATCH(A383&amp;"",tbl_Onsite[Job Number],0),MATCH(IFERROR(A383+0,A383),tbl_Onsite[Job Number],0)))="","",INDEX(tbl_Onsite[Qwilr Quote],IFERROR(MATCH(A383&amp;"",tbl_Onsite[Job Number],0),MATCH(IFERROR(A383+0,A383),tbl_Onsite[Job Number],0)))),IFERROR(IF(IF(INDEX(tbl_Production[Current RMS No],IFERROR(MATCH(A383&amp;"",tbl_Production[Job Number],0),MATCH(IFERROR(A383+0,A383),tbl_Production[Job Number],0)))="",INDEX(tbl_Production[Qwilr Quote],IFERROR(MATCH(A383&amp;"",tbl_Production[Job Number],0),MATCH(IFERROR(A383+0,A383),tbl_Production[Job Number],0))),INDEX(tbl_Production[Current RMS No],IFERROR(MATCH(A383&amp;"",tbl_Production[Job Number],0),MATCH(IFERROR(A383+0,A383),tbl_Production[Job Number],0))))="","",IF(INDEX(tbl_Production[Current RMS No],IFERROR(MATCH(A383&amp;"",tbl_Production[Job Number],0),MATCH(IFERROR(A383+0,A383),tbl_Production[Job Number],0)))="",INDEX(tbl_Production[Qwilr Quote],IFERROR(MATCH(A383&amp;"",tbl_Production[Job Number],0),MATCH(IFERROR(A383+0,A383),tbl_Production[Job Number],0))),INDEX(tbl_Production[Current RMS No],IFERROR(MATCH(A383&amp;"",tbl_Production[Job Number],0),MATCH(IFERROR(A383+0,A383),tbl_Production[Job Number],0))))),IFERROR(IF(INDEX(tbl_Consulting[Qwilr Quote],IFERROR(MATCH(A383&amp;"",tbl_Consulting[Job Number],0),MATCH(IFERROR(A383+0,A383),tbl_Consulting[Job Number],0)))="","",INDEX(tbl_Consulting[Qwilr Quote],IFERROR(MATCH(A383&amp;"",tbl_Consulting[Job Number],0),MATCH(IFERROR(A383+0,A383),tbl_Consulting[Job Number],0)))),""))))</f>
        <v/>
      </c>
      <c r="AG383" s="26">
        <f>IF(AF383="","",IF(AND(LEFT(AF383,4)&lt;&gt;"http",IF(G383="Production",set_RMSBase,set_QwilrBase)=""),"",HYPERLINK(IF(LEFT(AF383,4)="http",AF383,IF(G383="Production",set_RMSBase,set_QwilrBase)&amp;AF383),"Open")))</f>
        <v/>
      </c>
      <c r="AH383" s="27">
        <f>IF(A383="","",IFERROR(INDEX(tbl_Production[Total Expense],IFERROR(MATCH(A383&amp;"",tbl_Production[Job Number],0),MATCH(IFERROR(A383+0,A383),tbl_Production[Job Number],0))),IFERROR(INDEX(tbl_Consulting[Total Expense],IFERROR(MATCH(A383&amp;"",tbl_Consulting[Job Number],0),MATCH(IFERROR(A383+0,A383),tbl_Consulting[Job Number],0))),0)))</f>
        <v/>
      </c>
      <c r="AI383" s="27">
        <f>IF(A383="","",AC383-N(AH383))</f>
        <v/>
      </c>
      <c r="AJ383" s="29">
        <f>IFERROR(AI383/AC383,"")</f>
        <v/>
      </c>
      <c r="AK383" s="26">
        <f>IF(A383="","",IFERROR(IF(INDEX(tbl_Onsite[Notes],IFERROR(MATCH(A383&amp;"",tbl_Onsite[Job Number],0),MATCH(IFERROR(A383+0,A383),tbl_Onsite[Job Number],0)))="","",INDEX(tbl_Onsite[Notes],IFERROR(MATCH(A383&amp;"",tbl_Onsite[Job Number],0),MATCH(IFERROR(A383+0,A383),tbl_Onsite[Job Number],0)))),IFERROR(IF(INDEX(tbl_Production[Notes],IFERROR(MATCH(A383&amp;"",tbl_Production[Job Number],0),MATCH(IFERROR(A383+0,A383),tbl_Production[Job Number],0)))="","",INDEX(tbl_Production[Notes],IFERROR(MATCH(A383&amp;"",tbl_Production[Job Number],0),MATCH(IFERROR(A383+0,A383),tbl_Production[Job Number],0)))),IFERROR(IF(INDEX(tbl_Consulting[Notes],IFERROR(MATCH(A383&amp;"",tbl_Consulting[Job Number],0),MATCH(IFERROR(A383+0,A383),tbl_Consulting[Job Number],0)))="","",INDEX(tbl_Consulting[Notes],IFERROR(MATCH(A383&amp;"",tbl_Consulting[Job Number],0),MATCH(IFERROR(A383+0,A383),tbl_Consulting[Job Number],0)))),""))))</f>
        <v/>
      </c>
    </row>
    <row r="384" ht="15" customHeight="1">
      <c r="A384" s="22" t="n"/>
      <c r="B384" s="22" t="n"/>
      <c r="C384" s="23" t="n"/>
      <c r="D384" s="22" t="n"/>
      <c r="E384" s="24" t="n"/>
      <c r="F384" s="25">
        <f>IF(C384="","",EOMONTH(C384,0))</f>
        <v/>
      </c>
      <c r="G384" s="26">
        <f>IF(A384="","",IF(COUNTIF(tbl_Onsite[Job Number],A384&amp;"")&gt;0,"Onsite",IF(COUNTIF(tbl_Production[Job Number],A384&amp;"")&gt;0,"Production",IF(COUNTIF(tbl_Consulting[Job Number],A384&amp;"")&gt;0,"Consulting","not set up yet"))))</f>
        <v/>
      </c>
      <c r="H384" s="26">
        <f>IF(A384="","",IF(COUNTIF(lst_Jobs,A384&amp;"")&gt;0,"OK","CHECK"))</f>
        <v/>
      </c>
      <c r="I384" s="26">
        <f>IF(A384="","",IFERROR(INDEX(lst_JobName,MATCH(A384&amp;"",lst_Jobs,0)),""))</f>
        <v/>
      </c>
      <c r="J384" s="26">
        <f>IF(A384="","",IFERROR(IF(INDEX(tbl_Onsite[Client],IFERROR(MATCH(A384&amp;"",tbl_Onsite[Job Number],0),MATCH(IFERROR(A384+0,A384),tbl_Onsite[Job Number],0)))="","",INDEX(tbl_Onsite[Client],IFERROR(MATCH(A384&amp;"",tbl_Onsite[Job Number],0),MATCH(IFERROR(A384+0,A384),tbl_Onsite[Job Number],0)))),IFERROR(IF(INDEX(tbl_Production[Client],IFERROR(MATCH(A384&amp;"",tbl_Production[Job Number],0),MATCH(IFERROR(A384+0,A384),tbl_Production[Job Number],0)))="","",INDEX(tbl_Production[Client],IFERROR(MATCH(A384&amp;"",tbl_Production[Job Number],0),MATCH(IFERROR(A384+0,A384),tbl_Production[Job Number],0)))),IFERROR(IF(INDEX(tbl_Consulting[Client],IFERROR(MATCH(A384&amp;"",tbl_Consulting[Job Number],0),MATCH(IFERROR(A384+0,A384),tbl_Consulting[Job Number],0)))="","",INDEX(tbl_Consulting[Client],IFERROR(MATCH(A384&amp;"",tbl_Consulting[Job Number],0),MATCH(IFERROR(A384+0,A384),tbl_Consulting[Job Number],0)))),""))))</f>
        <v/>
      </c>
      <c r="K384" s="26">
        <f>IF(A384="","",IFERROR(IF(INDEX(tbl_Onsite[Job Description],IFERROR(MATCH(A384&amp;"",tbl_Onsite[Job Number],0),MATCH(IFERROR(A384+0,A384),tbl_Onsite[Job Number],0)))="","",INDEX(tbl_Onsite[Job Description],IFERROR(MATCH(A384&amp;"",tbl_Onsite[Job Number],0),MATCH(IFERROR(A384+0,A384),tbl_Onsite[Job Number],0)))),IFERROR(IF(INDEX(tbl_Production[Job Description],IFERROR(MATCH(A384&amp;"",tbl_Production[Job Number],0),MATCH(IFERROR(A384+0,A384),tbl_Production[Job Number],0)))="","",INDEX(tbl_Production[Job Description],IFERROR(MATCH(A384&amp;"",tbl_Production[Job Number],0),MATCH(IFERROR(A384+0,A384),tbl_Production[Job Number],0)))),IFERROR(IF(INDEX(tbl_Consulting[Job Description],IFERROR(MATCH(A384&amp;"",tbl_Consulting[Job Number],0),MATCH(IFERROR(A384+0,A384),tbl_Consulting[Job Number],0)))="","",INDEX(tbl_Consulting[Job Description],IFERROR(MATCH(A384&amp;"",tbl_Consulting[Job Number],0),MATCH(IFERROR(A384+0,A384),tbl_Consulting[Job Number],0)))),""))))</f>
        <v/>
      </c>
      <c r="L384" s="26">
        <f>IF(A384="","",IFERROR(IF(INDEX(tbl_Onsite[Invoice Type],IFERROR(MATCH(A384&amp;"",tbl_Onsite[Job Number],0),MATCH(IFERROR(A384+0,A384),tbl_Onsite[Job Number],0)))="","",INDEX(tbl_Onsite[Invoice Type],IFERROR(MATCH(A384&amp;"",tbl_Onsite[Job Number],0),MATCH(IFERROR(A384+0,A384),tbl_Onsite[Job Number],0)))),IFERROR(IF(INDEX(tbl_Production[Invoice Type],IFERROR(MATCH(A384&amp;"",tbl_Production[Job Number],0),MATCH(IFERROR(A384+0,A384),tbl_Production[Job Number],0)))="","",INDEX(tbl_Production[Invoice Type],IFERROR(MATCH(A384&amp;"",tbl_Production[Job Number],0),MATCH(IFERROR(A384+0,A384),tbl_Production[Job Number],0)))),IFERROR(IF(INDEX(tbl_Consulting[Invoice Type],IFERROR(MATCH(A384&amp;"",tbl_Consulting[Job Number],0),MATCH(IFERROR(A384+0,A384),tbl_Consulting[Job Number],0)))="","",INDEX(tbl_Consulting[Invoice Type],IFERROR(MATCH(A384&amp;"",tbl_Consulting[Job Number],0),MATCH(IFERROR(A384+0,A384),tbl_Consulting[Job Number],0)))),""))))</f>
        <v/>
      </c>
      <c r="M384" s="26">
        <f>IF(A384="","",IF(IFERROR(IF(INDEX(tbl_Onsite[Tax Code],IFERROR(MATCH(A384&amp;"",tbl_Onsite[Job Number],0),MATCH(IFERROR(A384+0,A384),tbl_Onsite[Job Number],0)))="","",INDEX(tbl_Onsite[Tax Code],IFERROR(MATCH(A384&amp;"",tbl_Onsite[Job Number],0),MATCH(IFERROR(A384+0,A384),tbl_Onsite[Job Number],0)))),IFERROR(IF(INDEX(tbl_Production[Tax Code],IFERROR(MATCH(A384&amp;"",tbl_Production[Job Number],0),MATCH(IFERROR(A384+0,A384),tbl_Production[Job Number],0)))="","",INDEX(tbl_Production[Tax Code],IFERROR(MATCH(A384&amp;"",tbl_Production[Job Number],0),MATCH(IFERROR(A384+0,A384),tbl_Production[Job Number],0)))),IFERROR(IF(INDEX(tbl_Consulting[Tax Code],IFERROR(MATCH(A384&amp;"",tbl_Consulting[Job Number],0),MATCH(IFERROR(A384+0,A384),tbl_Consulting[Job Number],0)))="","",INDEX(tbl_Consulting[Tax Code],IFERROR(MATCH(A384&amp;"",tbl_Consulting[Job Number],0),MATCH(IFERROR(A384+0,A384),tbl_Consulting[Job Number],0)))),"")))="","GST 10%",IFERROR(IF(INDEX(tbl_Onsite[Tax Code],IFERROR(MATCH(A384&amp;"",tbl_Onsite[Job Number],0),MATCH(IFERROR(A384+0,A384),tbl_Onsite[Job Number],0)))="","",INDEX(tbl_Onsite[Tax Code],IFERROR(MATCH(A384&amp;"",tbl_Onsite[Job Number],0),MATCH(IFERROR(A384+0,A384),tbl_Onsite[Job Number],0)))),IFERROR(IF(INDEX(tbl_Production[Tax Code],IFERROR(MATCH(A384&amp;"",tbl_Production[Job Number],0),MATCH(IFERROR(A384+0,A384),tbl_Production[Job Number],0)))="","",INDEX(tbl_Production[Tax Code],IFERROR(MATCH(A384&amp;"",tbl_Production[Job Number],0),MATCH(IFERROR(A384+0,A384),tbl_Production[Job Number],0)))),IFERROR(IF(INDEX(tbl_Consulting[Tax Code],IFERROR(MATCH(A384&amp;"",tbl_Consulting[Job Number],0),MATCH(IFERROR(A384+0,A384),tbl_Consulting[Job Number],0)))="","",INDEX(tbl_Consulting[Tax Code],IFERROR(MATCH(A384&amp;"",tbl_Consulting[Job Number],0),MATCH(IFERROR(A384+0,A384),tbl_Consulting[Job Number],0)))),"")))))</f>
        <v/>
      </c>
      <c r="N384" s="26">
        <f>IF(D384="","",IFERROR(INDEX(lst_CCtoGL,MATCH(D384,lst_CCforGL,0)),""))</f>
        <v/>
      </c>
      <c r="O384" s="27">
        <f>IF(E384="","",IF(M384="GST 10%",ROUND(E384*set_GSTRate,2),0))</f>
        <v/>
      </c>
      <c r="P384" s="27">
        <f>IF(E384="","",E384+O384)</f>
        <v/>
      </c>
      <c r="Q384" s="27">
        <f>IF(A384="","",IFERROR(INDEX(tbl_Onsite[Expected Revenue Ex GST],IFERROR(MATCH(A384&amp;"",tbl_Onsite[Job Number],0),MATCH(IFERROR(A384+0,A384),tbl_Onsite[Job Number],0))),IFERROR(INDEX(tbl_Production[Expected Revenue Ex GST],IFERROR(MATCH(A384&amp;"",tbl_Production[Job Number],0),MATCH(IFERROR(A384+0,A384),tbl_Production[Job Number],0))),IFERROR(INDEX(tbl_Consulting[Expected Revenue Ex GST],IFERROR(MATCH(A384&amp;"",tbl_Consulting[Job Number],0),MATCH(IFERROR(A384+0,A384),tbl_Consulting[Job Number],0))),0))))</f>
        <v/>
      </c>
      <c r="R384" s="27">
        <f>IF(A384="","",SUMIFS(tbl_Finance[Ex GST],tbl_Finance[Job Number],A384&amp;""))</f>
        <v/>
      </c>
      <c r="S384" s="27">
        <f>IF(A384="","",Q384-R384)</f>
        <v/>
      </c>
      <c r="T384" s="26">
        <f>IF(A384="","",IF(Q384=0,"No dept value",IF(ROUND(S384,2)=0,"Agrees",IF(S384&gt;0,"Dept higher - to invoice","Xero higher - check dept"))))</f>
        <v/>
      </c>
      <c r="U384" s="22" t="n"/>
      <c r="V384" s="22" t="n"/>
      <c r="W384" s="23" t="n"/>
      <c r="X384" s="23" t="n"/>
      <c r="Y384" s="22" t="n"/>
      <c r="Z384" s="22" t="n"/>
      <c r="AA384" s="26">
        <f>IF(COUNTA(C384,A384,B384,E384)=0,"",IF(C384="","No date - sits outside every month",IF(A384="","No job number",IF(H384="CHECK","Job number is not in the Xero job list",IF(G384="not set up yet","No department has set this job up - nothing can pull through",IF(D384="","No cost centre",IF(AND(U384="Y",B384=""),"Marked posted to Xero but has no invoice number",IF(N384="","Cost centre has no revenue GL on the Lists sheet",IF(T384="Xero higher - check dept","Invoiced more than the department says the job is worth","")))))))))</f>
        <v/>
      </c>
      <c r="AB384" s="28">
        <f>IF(A384="","",COUNTIFS(tbl_Finance[Job Number],A384&amp;"",tbl_Finance[Ex GST],"&lt;&gt;"))</f>
        <v/>
      </c>
      <c r="AC384" s="27">
        <f>IF(A384="","",SUMIFS(tbl_Finance[Ex GST],tbl_Finance[Job Number],A384&amp;""))</f>
        <v/>
      </c>
      <c r="AD384" s="27">
        <f>IF(A384="","",SUMIFS(tbl_Finance[Ex GST],tbl_Finance[Job Number],A384&amp;"",tbl_Finance[Xero Invoice No],"&lt;&gt;"))</f>
        <v/>
      </c>
      <c r="AE384" s="27">
        <f>IF(A384="","",AC384-AD384)</f>
        <v/>
      </c>
      <c r="AF384" s="26">
        <f>IF(A384="","",IFERROR(IF(INDEX(tbl_Onsite[Qwilr Quote],IFERROR(MATCH(A384&amp;"",tbl_Onsite[Job Number],0),MATCH(IFERROR(A384+0,A384),tbl_Onsite[Job Number],0)))="","",INDEX(tbl_Onsite[Qwilr Quote],IFERROR(MATCH(A384&amp;"",tbl_Onsite[Job Number],0),MATCH(IFERROR(A384+0,A384),tbl_Onsite[Job Number],0)))),IFERROR(IF(IF(INDEX(tbl_Production[Current RMS No],IFERROR(MATCH(A384&amp;"",tbl_Production[Job Number],0),MATCH(IFERROR(A384+0,A384),tbl_Production[Job Number],0)))="",INDEX(tbl_Production[Qwilr Quote],IFERROR(MATCH(A384&amp;"",tbl_Production[Job Number],0),MATCH(IFERROR(A384+0,A384),tbl_Production[Job Number],0))),INDEX(tbl_Production[Current RMS No],IFERROR(MATCH(A384&amp;"",tbl_Production[Job Number],0),MATCH(IFERROR(A384+0,A384),tbl_Production[Job Number],0))))="","",IF(INDEX(tbl_Production[Current RMS No],IFERROR(MATCH(A384&amp;"",tbl_Production[Job Number],0),MATCH(IFERROR(A384+0,A384),tbl_Production[Job Number],0)))="",INDEX(tbl_Production[Qwilr Quote],IFERROR(MATCH(A384&amp;"",tbl_Production[Job Number],0),MATCH(IFERROR(A384+0,A384),tbl_Production[Job Number],0))),INDEX(tbl_Production[Current RMS No],IFERROR(MATCH(A384&amp;"",tbl_Production[Job Number],0),MATCH(IFERROR(A384+0,A384),tbl_Production[Job Number],0))))),IFERROR(IF(INDEX(tbl_Consulting[Qwilr Quote],IFERROR(MATCH(A384&amp;"",tbl_Consulting[Job Number],0),MATCH(IFERROR(A384+0,A384),tbl_Consulting[Job Number],0)))="","",INDEX(tbl_Consulting[Qwilr Quote],IFERROR(MATCH(A384&amp;"",tbl_Consulting[Job Number],0),MATCH(IFERROR(A384+0,A384),tbl_Consulting[Job Number],0)))),""))))</f>
        <v/>
      </c>
      <c r="AG384" s="26">
        <f>IF(AF384="","",IF(AND(LEFT(AF384,4)&lt;&gt;"http",IF(G384="Production",set_RMSBase,set_QwilrBase)=""),"",HYPERLINK(IF(LEFT(AF384,4)="http",AF384,IF(G384="Production",set_RMSBase,set_QwilrBase)&amp;AF384),"Open")))</f>
        <v/>
      </c>
      <c r="AH384" s="27">
        <f>IF(A384="","",IFERROR(INDEX(tbl_Production[Total Expense],IFERROR(MATCH(A384&amp;"",tbl_Production[Job Number],0),MATCH(IFERROR(A384+0,A384),tbl_Production[Job Number],0))),IFERROR(INDEX(tbl_Consulting[Total Expense],IFERROR(MATCH(A384&amp;"",tbl_Consulting[Job Number],0),MATCH(IFERROR(A384+0,A384),tbl_Consulting[Job Number],0))),0)))</f>
        <v/>
      </c>
      <c r="AI384" s="27">
        <f>IF(A384="","",AC384-N(AH384))</f>
        <v/>
      </c>
      <c r="AJ384" s="29">
        <f>IFERROR(AI384/AC384,"")</f>
        <v/>
      </c>
      <c r="AK384" s="26">
        <f>IF(A384="","",IFERROR(IF(INDEX(tbl_Onsite[Notes],IFERROR(MATCH(A384&amp;"",tbl_Onsite[Job Number],0),MATCH(IFERROR(A384+0,A384),tbl_Onsite[Job Number],0)))="","",INDEX(tbl_Onsite[Notes],IFERROR(MATCH(A384&amp;"",tbl_Onsite[Job Number],0),MATCH(IFERROR(A384+0,A384),tbl_Onsite[Job Number],0)))),IFERROR(IF(INDEX(tbl_Production[Notes],IFERROR(MATCH(A384&amp;"",tbl_Production[Job Number],0),MATCH(IFERROR(A384+0,A384),tbl_Production[Job Number],0)))="","",INDEX(tbl_Production[Notes],IFERROR(MATCH(A384&amp;"",tbl_Production[Job Number],0),MATCH(IFERROR(A384+0,A384),tbl_Production[Job Number],0)))),IFERROR(IF(INDEX(tbl_Consulting[Notes],IFERROR(MATCH(A384&amp;"",tbl_Consulting[Job Number],0),MATCH(IFERROR(A384+0,A384),tbl_Consulting[Job Number],0)))="","",INDEX(tbl_Consulting[Notes],IFERROR(MATCH(A384&amp;"",tbl_Consulting[Job Number],0),MATCH(IFERROR(A384+0,A384),tbl_Consulting[Job Number],0)))),""))))</f>
        <v/>
      </c>
    </row>
    <row r="385" ht="15" customHeight="1">
      <c r="A385" s="22" t="n"/>
      <c r="B385" s="22" t="n"/>
      <c r="C385" s="23" t="n"/>
      <c r="D385" s="22" t="n"/>
      <c r="E385" s="24" t="n"/>
      <c r="F385" s="25">
        <f>IF(C385="","",EOMONTH(C385,0))</f>
        <v/>
      </c>
      <c r="G385" s="26">
        <f>IF(A385="","",IF(COUNTIF(tbl_Onsite[Job Number],A385&amp;"")&gt;0,"Onsite",IF(COUNTIF(tbl_Production[Job Number],A385&amp;"")&gt;0,"Production",IF(COUNTIF(tbl_Consulting[Job Number],A385&amp;"")&gt;0,"Consulting","not set up yet"))))</f>
        <v/>
      </c>
      <c r="H385" s="26">
        <f>IF(A385="","",IF(COUNTIF(lst_Jobs,A385&amp;"")&gt;0,"OK","CHECK"))</f>
        <v/>
      </c>
      <c r="I385" s="26">
        <f>IF(A385="","",IFERROR(INDEX(lst_JobName,MATCH(A385&amp;"",lst_Jobs,0)),""))</f>
        <v/>
      </c>
      <c r="J385" s="26">
        <f>IF(A385="","",IFERROR(IF(INDEX(tbl_Onsite[Client],IFERROR(MATCH(A385&amp;"",tbl_Onsite[Job Number],0),MATCH(IFERROR(A385+0,A385),tbl_Onsite[Job Number],0)))="","",INDEX(tbl_Onsite[Client],IFERROR(MATCH(A385&amp;"",tbl_Onsite[Job Number],0),MATCH(IFERROR(A385+0,A385),tbl_Onsite[Job Number],0)))),IFERROR(IF(INDEX(tbl_Production[Client],IFERROR(MATCH(A385&amp;"",tbl_Production[Job Number],0),MATCH(IFERROR(A385+0,A385),tbl_Production[Job Number],0)))="","",INDEX(tbl_Production[Client],IFERROR(MATCH(A385&amp;"",tbl_Production[Job Number],0),MATCH(IFERROR(A385+0,A385),tbl_Production[Job Number],0)))),IFERROR(IF(INDEX(tbl_Consulting[Client],IFERROR(MATCH(A385&amp;"",tbl_Consulting[Job Number],0),MATCH(IFERROR(A385+0,A385),tbl_Consulting[Job Number],0)))="","",INDEX(tbl_Consulting[Client],IFERROR(MATCH(A385&amp;"",tbl_Consulting[Job Number],0),MATCH(IFERROR(A385+0,A385),tbl_Consulting[Job Number],0)))),""))))</f>
        <v/>
      </c>
      <c r="K385" s="26">
        <f>IF(A385="","",IFERROR(IF(INDEX(tbl_Onsite[Job Description],IFERROR(MATCH(A385&amp;"",tbl_Onsite[Job Number],0),MATCH(IFERROR(A385+0,A385),tbl_Onsite[Job Number],0)))="","",INDEX(tbl_Onsite[Job Description],IFERROR(MATCH(A385&amp;"",tbl_Onsite[Job Number],0),MATCH(IFERROR(A385+0,A385),tbl_Onsite[Job Number],0)))),IFERROR(IF(INDEX(tbl_Production[Job Description],IFERROR(MATCH(A385&amp;"",tbl_Production[Job Number],0),MATCH(IFERROR(A385+0,A385),tbl_Production[Job Number],0)))="","",INDEX(tbl_Production[Job Description],IFERROR(MATCH(A385&amp;"",tbl_Production[Job Number],0),MATCH(IFERROR(A385+0,A385),tbl_Production[Job Number],0)))),IFERROR(IF(INDEX(tbl_Consulting[Job Description],IFERROR(MATCH(A385&amp;"",tbl_Consulting[Job Number],0),MATCH(IFERROR(A385+0,A385),tbl_Consulting[Job Number],0)))="","",INDEX(tbl_Consulting[Job Description],IFERROR(MATCH(A385&amp;"",tbl_Consulting[Job Number],0),MATCH(IFERROR(A385+0,A385),tbl_Consulting[Job Number],0)))),""))))</f>
        <v/>
      </c>
      <c r="L385" s="26">
        <f>IF(A385="","",IFERROR(IF(INDEX(tbl_Onsite[Invoice Type],IFERROR(MATCH(A385&amp;"",tbl_Onsite[Job Number],0),MATCH(IFERROR(A385+0,A385),tbl_Onsite[Job Number],0)))="","",INDEX(tbl_Onsite[Invoice Type],IFERROR(MATCH(A385&amp;"",tbl_Onsite[Job Number],0),MATCH(IFERROR(A385+0,A385),tbl_Onsite[Job Number],0)))),IFERROR(IF(INDEX(tbl_Production[Invoice Type],IFERROR(MATCH(A385&amp;"",tbl_Production[Job Number],0),MATCH(IFERROR(A385+0,A385),tbl_Production[Job Number],0)))="","",INDEX(tbl_Production[Invoice Type],IFERROR(MATCH(A385&amp;"",tbl_Production[Job Number],0),MATCH(IFERROR(A385+0,A385),tbl_Production[Job Number],0)))),IFERROR(IF(INDEX(tbl_Consulting[Invoice Type],IFERROR(MATCH(A385&amp;"",tbl_Consulting[Job Number],0),MATCH(IFERROR(A385+0,A385),tbl_Consulting[Job Number],0)))="","",INDEX(tbl_Consulting[Invoice Type],IFERROR(MATCH(A385&amp;"",tbl_Consulting[Job Number],0),MATCH(IFERROR(A385+0,A385),tbl_Consulting[Job Number],0)))),""))))</f>
        <v/>
      </c>
      <c r="M385" s="26">
        <f>IF(A385="","",IF(IFERROR(IF(INDEX(tbl_Onsite[Tax Code],IFERROR(MATCH(A385&amp;"",tbl_Onsite[Job Number],0),MATCH(IFERROR(A385+0,A385),tbl_Onsite[Job Number],0)))="","",INDEX(tbl_Onsite[Tax Code],IFERROR(MATCH(A385&amp;"",tbl_Onsite[Job Number],0),MATCH(IFERROR(A385+0,A385),tbl_Onsite[Job Number],0)))),IFERROR(IF(INDEX(tbl_Production[Tax Code],IFERROR(MATCH(A385&amp;"",tbl_Production[Job Number],0),MATCH(IFERROR(A385+0,A385),tbl_Production[Job Number],0)))="","",INDEX(tbl_Production[Tax Code],IFERROR(MATCH(A385&amp;"",tbl_Production[Job Number],0),MATCH(IFERROR(A385+0,A385),tbl_Production[Job Number],0)))),IFERROR(IF(INDEX(tbl_Consulting[Tax Code],IFERROR(MATCH(A385&amp;"",tbl_Consulting[Job Number],0),MATCH(IFERROR(A385+0,A385),tbl_Consulting[Job Number],0)))="","",INDEX(tbl_Consulting[Tax Code],IFERROR(MATCH(A385&amp;"",tbl_Consulting[Job Number],0),MATCH(IFERROR(A385+0,A385),tbl_Consulting[Job Number],0)))),"")))="","GST 10%",IFERROR(IF(INDEX(tbl_Onsite[Tax Code],IFERROR(MATCH(A385&amp;"",tbl_Onsite[Job Number],0),MATCH(IFERROR(A385+0,A385),tbl_Onsite[Job Number],0)))="","",INDEX(tbl_Onsite[Tax Code],IFERROR(MATCH(A385&amp;"",tbl_Onsite[Job Number],0),MATCH(IFERROR(A385+0,A385),tbl_Onsite[Job Number],0)))),IFERROR(IF(INDEX(tbl_Production[Tax Code],IFERROR(MATCH(A385&amp;"",tbl_Production[Job Number],0),MATCH(IFERROR(A385+0,A385),tbl_Production[Job Number],0)))="","",INDEX(tbl_Production[Tax Code],IFERROR(MATCH(A385&amp;"",tbl_Production[Job Number],0),MATCH(IFERROR(A385+0,A385),tbl_Production[Job Number],0)))),IFERROR(IF(INDEX(tbl_Consulting[Tax Code],IFERROR(MATCH(A385&amp;"",tbl_Consulting[Job Number],0),MATCH(IFERROR(A385+0,A385),tbl_Consulting[Job Number],0)))="","",INDEX(tbl_Consulting[Tax Code],IFERROR(MATCH(A385&amp;"",tbl_Consulting[Job Number],0),MATCH(IFERROR(A385+0,A385),tbl_Consulting[Job Number],0)))),"")))))</f>
        <v/>
      </c>
      <c r="N385" s="26">
        <f>IF(D385="","",IFERROR(INDEX(lst_CCtoGL,MATCH(D385,lst_CCforGL,0)),""))</f>
        <v/>
      </c>
      <c r="O385" s="27">
        <f>IF(E385="","",IF(M385="GST 10%",ROUND(E385*set_GSTRate,2),0))</f>
        <v/>
      </c>
      <c r="P385" s="27">
        <f>IF(E385="","",E385+O385)</f>
        <v/>
      </c>
      <c r="Q385" s="27">
        <f>IF(A385="","",IFERROR(INDEX(tbl_Onsite[Expected Revenue Ex GST],IFERROR(MATCH(A385&amp;"",tbl_Onsite[Job Number],0),MATCH(IFERROR(A385+0,A385),tbl_Onsite[Job Number],0))),IFERROR(INDEX(tbl_Production[Expected Revenue Ex GST],IFERROR(MATCH(A385&amp;"",tbl_Production[Job Number],0),MATCH(IFERROR(A385+0,A385),tbl_Production[Job Number],0))),IFERROR(INDEX(tbl_Consulting[Expected Revenue Ex GST],IFERROR(MATCH(A385&amp;"",tbl_Consulting[Job Number],0),MATCH(IFERROR(A385+0,A385),tbl_Consulting[Job Number],0))),0))))</f>
        <v/>
      </c>
      <c r="R385" s="27">
        <f>IF(A385="","",SUMIFS(tbl_Finance[Ex GST],tbl_Finance[Job Number],A385&amp;""))</f>
        <v/>
      </c>
      <c r="S385" s="27">
        <f>IF(A385="","",Q385-R385)</f>
        <v/>
      </c>
      <c r="T385" s="26">
        <f>IF(A385="","",IF(Q385=0,"No dept value",IF(ROUND(S385,2)=0,"Agrees",IF(S385&gt;0,"Dept higher - to invoice","Xero higher - check dept"))))</f>
        <v/>
      </c>
      <c r="U385" s="22" t="n"/>
      <c r="V385" s="22" t="n"/>
      <c r="W385" s="23" t="n"/>
      <c r="X385" s="23" t="n"/>
      <c r="Y385" s="22" t="n"/>
      <c r="Z385" s="22" t="n"/>
      <c r="AA385" s="26">
        <f>IF(COUNTA(C385,A385,B385,E385)=0,"",IF(C385="","No date - sits outside every month",IF(A385="","No job number",IF(H385="CHECK","Job number is not in the Xero job list",IF(G385="not set up yet","No department has set this job up - nothing can pull through",IF(D385="","No cost centre",IF(AND(U385="Y",B385=""),"Marked posted to Xero but has no invoice number",IF(N385="","Cost centre has no revenue GL on the Lists sheet",IF(T385="Xero higher - check dept","Invoiced more than the department says the job is worth","")))))))))</f>
        <v/>
      </c>
      <c r="AB385" s="28">
        <f>IF(A385="","",COUNTIFS(tbl_Finance[Job Number],A385&amp;"",tbl_Finance[Ex GST],"&lt;&gt;"))</f>
        <v/>
      </c>
      <c r="AC385" s="27">
        <f>IF(A385="","",SUMIFS(tbl_Finance[Ex GST],tbl_Finance[Job Number],A385&amp;""))</f>
        <v/>
      </c>
      <c r="AD385" s="27">
        <f>IF(A385="","",SUMIFS(tbl_Finance[Ex GST],tbl_Finance[Job Number],A385&amp;"",tbl_Finance[Xero Invoice No],"&lt;&gt;"))</f>
        <v/>
      </c>
      <c r="AE385" s="27">
        <f>IF(A385="","",AC385-AD385)</f>
        <v/>
      </c>
      <c r="AF385" s="26">
        <f>IF(A385="","",IFERROR(IF(INDEX(tbl_Onsite[Qwilr Quote],IFERROR(MATCH(A385&amp;"",tbl_Onsite[Job Number],0),MATCH(IFERROR(A385+0,A385),tbl_Onsite[Job Number],0)))="","",INDEX(tbl_Onsite[Qwilr Quote],IFERROR(MATCH(A385&amp;"",tbl_Onsite[Job Number],0),MATCH(IFERROR(A385+0,A385),tbl_Onsite[Job Number],0)))),IFERROR(IF(IF(INDEX(tbl_Production[Current RMS No],IFERROR(MATCH(A385&amp;"",tbl_Production[Job Number],0),MATCH(IFERROR(A385+0,A385),tbl_Production[Job Number],0)))="",INDEX(tbl_Production[Qwilr Quote],IFERROR(MATCH(A385&amp;"",tbl_Production[Job Number],0),MATCH(IFERROR(A385+0,A385),tbl_Production[Job Number],0))),INDEX(tbl_Production[Current RMS No],IFERROR(MATCH(A385&amp;"",tbl_Production[Job Number],0),MATCH(IFERROR(A385+0,A385),tbl_Production[Job Number],0))))="","",IF(INDEX(tbl_Production[Current RMS No],IFERROR(MATCH(A385&amp;"",tbl_Production[Job Number],0),MATCH(IFERROR(A385+0,A385),tbl_Production[Job Number],0)))="",INDEX(tbl_Production[Qwilr Quote],IFERROR(MATCH(A385&amp;"",tbl_Production[Job Number],0),MATCH(IFERROR(A385+0,A385),tbl_Production[Job Number],0))),INDEX(tbl_Production[Current RMS No],IFERROR(MATCH(A385&amp;"",tbl_Production[Job Number],0),MATCH(IFERROR(A385+0,A385),tbl_Production[Job Number],0))))),IFERROR(IF(INDEX(tbl_Consulting[Qwilr Quote],IFERROR(MATCH(A385&amp;"",tbl_Consulting[Job Number],0),MATCH(IFERROR(A385+0,A385),tbl_Consulting[Job Number],0)))="","",INDEX(tbl_Consulting[Qwilr Quote],IFERROR(MATCH(A385&amp;"",tbl_Consulting[Job Number],0),MATCH(IFERROR(A385+0,A385),tbl_Consulting[Job Number],0)))),""))))</f>
        <v/>
      </c>
      <c r="AG385" s="26">
        <f>IF(AF385="","",IF(AND(LEFT(AF385,4)&lt;&gt;"http",IF(G385="Production",set_RMSBase,set_QwilrBase)=""),"",HYPERLINK(IF(LEFT(AF385,4)="http",AF385,IF(G385="Production",set_RMSBase,set_QwilrBase)&amp;AF385),"Open")))</f>
        <v/>
      </c>
      <c r="AH385" s="27">
        <f>IF(A385="","",IFERROR(INDEX(tbl_Production[Total Expense],IFERROR(MATCH(A385&amp;"",tbl_Production[Job Number],0),MATCH(IFERROR(A385+0,A385),tbl_Production[Job Number],0))),IFERROR(INDEX(tbl_Consulting[Total Expense],IFERROR(MATCH(A385&amp;"",tbl_Consulting[Job Number],0),MATCH(IFERROR(A385+0,A385),tbl_Consulting[Job Number],0))),0)))</f>
        <v/>
      </c>
      <c r="AI385" s="27">
        <f>IF(A385="","",AC385-N(AH385))</f>
        <v/>
      </c>
      <c r="AJ385" s="29">
        <f>IFERROR(AI385/AC385,"")</f>
        <v/>
      </c>
      <c r="AK385" s="26">
        <f>IF(A385="","",IFERROR(IF(INDEX(tbl_Onsite[Notes],IFERROR(MATCH(A385&amp;"",tbl_Onsite[Job Number],0),MATCH(IFERROR(A385+0,A385),tbl_Onsite[Job Number],0)))="","",INDEX(tbl_Onsite[Notes],IFERROR(MATCH(A385&amp;"",tbl_Onsite[Job Number],0),MATCH(IFERROR(A385+0,A385),tbl_Onsite[Job Number],0)))),IFERROR(IF(INDEX(tbl_Production[Notes],IFERROR(MATCH(A385&amp;"",tbl_Production[Job Number],0),MATCH(IFERROR(A385+0,A385),tbl_Production[Job Number],0)))="","",INDEX(tbl_Production[Notes],IFERROR(MATCH(A385&amp;"",tbl_Production[Job Number],0),MATCH(IFERROR(A385+0,A385),tbl_Production[Job Number],0)))),IFERROR(IF(INDEX(tbl_Consulting[Notes],IFERROR(MATCH(A385&amp;"",tbl_Consulting[Job Number],0),MATCH(IFERROR(A385+0,A385),tbl_Consulting[Job Number],0)))="","",INDEX(tbl_Consulting[Notes],IFERROR(MATCH(A385&amp;"",tbl_Consulting[Job Number],0),MATCH(IFERROR(A385+0,A385),tbl_Consulting[Job Number],0)))),""))))</f>
        <v/>
      </c>
    </row>
    <row r="386" ht="15" customHeight="1">
      <c r="A386" s="22" t="n"/>
      <c r="B386" s="22" t="n"/>
      <c r="C386" s="23" t="n"/>
      <c r="D386" s="22" t="n"/>
      <c r="E386" s="24" t="n"/>
      <c r="F386" s="25">
        <f>IF(C386="","",EOMONTH(C386,0))</f>
        <v/>
      </c>
      <c r="G386" s="26">
        <f>IF(A386="","",IF(COUNTIF(tbl_Onsite[Job Number],A386&amp;"")&gt;0,"Onsite",IF(COUNTIF(tbl_Production[Job Number],A386&amp;"")&gt;0,"Production",IF(COUNTIF(tbl_Consulting[Job Number],A386&amp;"")&gt;0,"Consulting","not set up yet"))))</f>
        <v/>
      </c>
      <c r="H386" s="26">
        <f>IF(A386="","",IF(COUNTIF(lst_Jobs,A386&amp;"")&gt;0,"OK","CHECK"))</f>
        <v/>
      </c>
      <c r="I386" s="26">
        <f>IF(A386="","",IFERROR(INDEX(lst_JobName,MATCH(A386&amp;"",lst_Jobs,0)),""))</f>
        <v/>
      </c>
      <c r="J386" s="26">
        <f>IF(A386="","",IFERROR(IF(INDEX(tbl_Onsite[Client],IFERROR(MATCH(A386&amp;"",tbl_Onsite[Job Number],0),MATCH(IFERROR(A386+0,A386),tbl_Onsite[Job Number],0)))="","",INDEX(tbl_Onsite[Client],IFERROR(MATCH(A386&amp;"",tbl_Onsite[Job Number],0),MATCH(IFERROR(A386+0,A386),tbl_Onsite[Job Number],0)))),IFERROR(IF(INDEX(tbl_Production[Client],IFERROR(MATCH(A386&amp;"",tbl_Production[Job Number],0),MATCH(IFERROR(A386+0,A386),tbl_Production[Job Number],0)))="","",INDEX(tbl_Production[Client],IFERROR(MATCH(A386&amp;"",tbl_Production[Job Number],0),MATCH(IFERROR(A386+0,A386),tbl_Production[Job Number],0)))),IFERROR(IF(INDEX(tbl_Consulting[Client],IFERROR(MATCH(A386&amp;"",tbl_Consulting[Job Number],0),MATCH(IFERROR(A386+0,A386),tbl_Consulting[Job Number],0)))="","",INDEX(tbl_Consulting[Client],IFERROR(MATCH(A386&amp;"",tbl_Consulting[Job Number],0),MATCH(IFERROR(A386+0,A386),tbl_Consulting[Job Number],0)))),""))))</f>
        <v/>
      </c>
      <c r="K386" s="26">
        <f>IF(A386="","",IFERROR(IF(INDEX(tbl_Onsite[Job Description],IFERROR(MATCH(A386&amp;"",tbl_Onsite[Job Number],0),MATCH(IFERROR(A386+0,A386),tbl_Onsite[Job Number],0)))="","",INDEX(tbl_Onsite[Job Description],IFERROR(MATCH(A386&amp;"",tbl_Onsite[Job Number],0),MATCH(IFERROR(A386+0,A386),tbl_Onsite[Job Number],0)))),IFERROR(IF(INDEX(tbl_Production[Job Description],IFERROR(MATCH(A386&amp;"",tbl_Production[Job Number],0),MATCH(IFERROR(A386+0,A386),tbl_Production[Job Number],0)))="","",INDEX(tbl_Production[Job Description],IFERROR(MATCH(A386&amp;"",tbl_Production[Job Number],0),MATCH(IFERROR(A386+0,A386),tbl_Production[Job Number],0)))),IFERROR(IF(INDEX(tbl_Consulting[Job Description],IFERROR(MATCH(A386&amp;"",tbl_Consulting[Job Number],0),MATCH(IFERROR(A386+0,A386),tbl_Consulting[Job Number],0)))="","",INDEX(tbl_Consulting[Job Description],IFERROR(MATCH(A386&amp;"",tbl_Consulting[Job Number],0),MATCH(IFERROR(A386+0,A386),tbl_Consulting[Job Number],0)))),""))))</f>
        <v/>
      </c>
      <c r="L386" s="26">
        <f>IF(A386="","",IFERROR(IF(INDEX(tbl_Onsite[Invoice Type],IFERROR(MATCH(A386&amp;"",tbl_Onsite[Job Number],0),MATCH(IFERROR(A386+0,A386),tbl_Onsite[Job Number],0)))="","",INDEX(tbl_Onsite[Invoice Type],IFERROR(MATCH(A386&amp;"",tbl_Onsite[Job Number],0),MATCH(IFERROR(A386+0,A386),tbl_Onsite[Job Number],0)))),IFERROR(IF(INDEX(tbl_Production[Invoice Type],IFERROR(MATCH(A386&amp;"",tbl_Production[Job Number],0),MATCH(IFERROR(A386+0,A386),tbl_Production[Job Number],0)))="","",INDEX(tbl_Production[Invoice Type],IFERROR(MATCH(A386&amp;"",tbl_Production[Job Number],0),MATCH(IFERROR(A386+0,A386),tbl_Production[Job Number],0)))),IFERROR(IF(INDEX(tbl_Consulting[Invoice Type],IFERROR(MATCH(A386&amp;"",tbl_Consulting[Job Number],0),MATCH(IFERROR(A386+0,A386),tbl_Consulting[Job Number],0)))="","",INDEX(tbl_Consulting[Invoice Type],IFERROR(MATCH(A386&amp;"",tbl_Consulting[Job Number],0),MATCH(IFERROR(A386+0,A386),tbl_Consulting[Job Number],0)))),""))))</f>
        <v/>
      </c>
      <c r="M386" s="26">
        <f>IF(A386="","",IF(IFERROR(IF(INDEX(tbl_Onsite[Tax Code],IFERROR(MATCH(A386&amp;"",tbl_Onsite[Job Number],0),MATCH(IFERROR(A386+0,A386),tbl_Onsite[Job Number],0)))="","",INDEX(tbl_Onsite[Tax Code],IFERROR(MATCH(A386&amp;"",tbl_Onsite[Job Number],0),MATCH(IFERROR(A386+0,A386),tbl_Onsite[Job Number],0)))),IFERROR(IF(INDEX(tbl_Production[Tax Code],IFERROR(MATCH(A386&amp;"",tbl_Production[Job Number],0),MATCH(IFERROR(A386+0,A386),tbl_Production[Job Number],0)))="","",INDEX(tbl_Production[Tax Code],IFERROR(MATCH(A386&amp;"",tbl_Production[Job Number],0),MATCH(IFERROR(A386+0,A386),tbl_Production[Job Number],0)))),IFERROR(IF(INDEX(tbl_Consulting[Tax Code],IFERROR(MATCH(A386&amp;"",tbl_Consulting[Job Number],0),MATCH(IFERROR(A386+0,A386),tbl_Consulting[Job Number],0)))="","",INDEX(tbl_Consulting[Tax Code],IFERROR(MATCH(A386&amp;"",tbl_Consulting[Job Number],0),MATCH(IFERROR(A386+0,A386),tbl_Consulting[Job Number],0)))),"")))="","GST 10%",IFERROR(IF(INDEX(tbl_Onsite[Tax Code],IFERROR(MATCH(A386&amp;"",tbl_Onsite[Job Number],0),MATCH(IFERROR(A386+0,A386),tbl_Onsite[Job Number],0)))="","",INDEX(tbl_Onsite[Tax Code],IFERROR(MATCH(A386&amp;"",tbl_Onsite[Job Number],0),MATCH(IFERROR(A386+0,A386),tbl_Onsite[Job Number],0)))),IFERROR(IF(INDEX(tbl_Production[Tax Code],IFERROR(MATCH(A386&amp;"",tbl_Production[Job Number],0),MATCH(IFERROR(A386+0,A386),tbl_Production[Job Number],0)))="","",INDEX(tbl_Production[Tax Code],IFERROR(MATCH(A386&amp;"",tbl_Production[Job Number],0),MATCH(IFERROR(A386+0,A386),tbl_Production[Job Number],0)))),IFERROR(IF(INDEX(tbl_Consulting[Tax Code],IFERROR(MATCH(A386&amp;"",tbl_Consulting[Job Number],0),MATCH(IFERROR(A386+0,A386),tbl_Consulting[Job Number],0)))="","",INDEX(tbl_Consulting[Tax Code],IFERROR(MATCH(A386&amp;"",tbl_Consulting[Job Number],0),MATCH(IFERROR(A386+0,A386),tbl_Consulting[Job Number],0)))),"")))))</f>
        <v/>
      </c>
      <c r="N386" s="26">
        <f>IF(D386="","",IFERROR(INDEX(lst_CCtoGL,MATCH(D386,lst_CCforGL,0)),""))</f>
        <v/>
      </c>
      <c r="O386" s="27">
        <f>IF(E386="","",IF(M386="GST 10%",ROUND(E386*set_GSTRate,2),0))</f>
        <v/>
      </c>
      <c r="P386" s="27">
        <f>IF(E386="","",E386+O386)</f>
        <v/>
      </c>
      <c r="Q386" s="27">
        <f>IF(A386="","",IFERROR(INDEX(tbl_Onsite[Expected Revenue Ex GST],IFERROR(MATCH(A386&amp;"",tbl_Onsite[Job Number],0),MATCH(IFERROR(A386+0,A386),tbl_Onsite[Job Number],0))),IFERROR(INDEX(tbl_Production[Expected Revenue Ex GST],IFERROR(MATCH(A386&amp;"",tbl_Production[Job Number],0),MATCH(IFERROR(A386+0,A386),tbl_Production[Job Number],0))),IFERROR(INDEX(tbl_Consulting[Expected Revenue Ex GST],IFERROR(MATCH(A386&amp;"",tbl_Consulting[Job Number],0),MATCH(IFERROR(A386+0,A386),tbl_Consulting[Job Number],0))),0))))</f>
        <v/>
      </c>
      <c r="R386" s="27">
        <f>IF(A386="","",SUMIFS(tbl_Finance[Ex GST],tbl_Finance[Job Number],A386&amp;""))</f>
        <v/>
      </c>
      <c r="S386" s="27">
        <f>IF(A386="","",Q386-R386)</f>
        <v/>
      </c>
      <c r="T386" s="26">
        <f>IF(A386="","",IF(Q386=0,"No dept value",IF(ROUND(S386,2)=0,"Agrees",IF(S386&gt;0,"Dept higher - to invoice","Xero higher - check dept"))))</f>
        <v/>
      </c>
      <c r="U386" s="22" t="n"/>
      <c r="V386" s="22" t="n"/>
      <c r="W386" s="23" t="n"/>
      <c r="X386" s="23" t="n"/>
      <c r="Y386" s="22" t="n"/>
      <c r="Z386" s="22" t="n"/>
      <c r="AA386" s="26">
        <f>IF(COUNTA(C386,A386,B386,E386)=0,"",IF(C386="","No date - sits outside every month",IF(A386="","No job number",IF(H386="CHECK","Job number is not in the Xero job list",IF(G386="not set up yet","No department has set this job up - nothing can pull through",IF(D386="","No cost centre",IF(AND(U386="Y",B386=""),"Marked posted to Xero but has no invoice number",IF(N386="","Cost centre has no revenue GL on the Lists sheet",IF(T386="Xero higher - check dept","Invoiced more than the department says the job is worth","")))))))))</f>
        <v/>
      </c>
      <c r="AB386" s="28">
        <f>IF(A386="","",COUNTIFS(tbl_Finance[Job Number],A386&amp;"",tbl_Finance[Ex GST],"&lt;&gt;"))</f>
        <v/>
      </c>
      <c r="AC386" s="27">
        <f>IF(A386="","",SUMIFS(tbl_Finance[Ex GST],tbl_Finance[Job Number],A386&amp;""))</f>
        <v/>
      </c>
      <c r="AD386" s="27">
        <f>IF(A386="","",SUMIFS(tbl_Finance[Ex GST],tbl_Finance[Job Number],A386&amp;"",tbl_Finance[Xero Invoice No],"&lt;&gt;"))</f>
        <v/>
      </c>
      <c r="AE386" s="27">
        <f>IF(A386="","",AC386-AD386)</f>
        <v/>
      </c>
      <c r="AF386" s="26">
        <f>IF(A386="","",IFERROR(IF(INDEX(tbl_Onsite[Qwilr Quote],IFERROR(MATCH(A386&amp;"",tbl_Onsite[Job Number],0),MATCH(IFERROR(A386+0,A386),tbl_Onsite[Job Number],0)))="","",INDEX(tbl_Onsite[Qwilr Quote],IFERROR(MATCH(A386&amp;"",tbl_Onsite[Job Number],0),MATCH(IFERROR(A386+0,A386),tbl_Onsite[Job Number],0)))),IFERROR(IF(IF(INDEX(tbl_Production[Current RMS No],IFERROR(MATCH(A386&amp;"",tbl_Production[Job Number],0),MATCH(IFERROR(A386+0,A386),tbl_Production[Job Number],0)))="",INDEX(tbl_Production[Qwilr Quote],IFERROR(MATCH(A386&amp;"",tbl_Production[Job Number],0),MATCH(IFERROR(A386+0,A386),tbl_Production[Job Number],0))),INDEX(tbl_Production[Current RMS No],IFERROR(MATCH(A386&amp;"",tbl_Production[Job Number],0),MATCH(IFERROR(A386+0,A386),tbl_Production[Job Number],0))))="","",IF(INDEX(tbl_Production[Current RMS No],IFERROR(MATCH(A386&amp;"",tbl_Production[Job Number],0),MATCH(IFERROR(A386+0,A386),tbl_Production[Job Number],0)))="",INDEX(tbl_Production[Qwilr Quote],IFERROR(MATCH(A386&amp;"",tbl_Production[Job Number],0),MATCH(IFERROR(A386+0,A386),tbl_Production[Job Number],0))),INDEX(tbl_Production[Current RMS No],IFERROR(MATCH(A386&amp;"",tbl_Production[Job Number],0),MATCH(IFERROR(A386+0,A386),tbl_Production[Job Number],0))))),IFERROR(IF(INDEX(tbl_Consulting[Qwilr Quote],IFERROR(MATCH(A386&amp;"",tbl_Consulting[Job Number],0),MATCH(IFERROR(A386+0,A386),tbl_Consulting[Job Number],0)))="","",INDEX(tbl_Consulting[Qwilr Quote],IFERROR(MATCH(A386&amp;"",tbl_Consulting[Job Number],0),MATCH(IFERROR(A386+0,A386),tbl_Consulting[Job Number],0)))),""))))</f>
        <v/>
      </c>
      <c r="AG386" s="26">
        <f>IF(AF386="","",IF(AND(LEFT(AF386,4)&lt;&gt;"http",IF(G386="Production",set_RMSBase,set_QwilrBase)=""),"",HYPERLINK(IF(LEFT(AF386,4)="http",AF386,IF(G386="Production",set_RMSBase,set_QwilrBase)&amp;AF386),"Open")))</f>
        <v/>
      </c>
      <c r="AH386" s="27">
        <f>IF(A386="","",IFERROR(INDEX(tbl_Production[Total Expense],IFERROR(MATCH(A386&amp;"",tbl_Production[Job Number],0),MATCH(IFERROR(A386+0,A386),tbl_Production[Job Number],0))),IFERROR(INDEX(tbl_Consulting[Total Expense],IFERROR(MATCH(A386&amp;"",tbl_Consulting[Job Number],0),MATCH(IFERROR(A386+0,A386),tbl_Consulting[Job Number],0))),0)))</f>
        <v/>
      </c>
      <c r="AI386" s="27">
        <f>IF(A386="","",AC386-N(AH386))</f>
        <v/>
      </c>
      <c r="AJ386" s="29">
        <f>IFERROR(AI386/AC386,"")</f>
        <v/>
      </c>
      <c r="AK386" s="26">
        <f>IF(A386="","",IFERROR(IF(INDEX(tbl_Onsite[Notes],IFERROR(MATCH(A386&amp;"",tbl_Onsite[Job Number],0),MATCH(IFERROR(A386+0,A386),tbl_Onsite[Job Number],0)))="","",INDEX(tbl_Onsite[Notes],IFERROR(MATCH(A386&amp;"",tbl_Onsite[Job Number],0),MATCH(IFERROR(A386+0,A386),tbl_Onsite[Job Number],0)))),IFERROR(IF(INDEX(tbl_Production[Notes],IFERROR(MATCH(A386&amp;"",tbl_Production[Job Number],0),MATCH(IFERROR(A386+0,A386),tbl_Production[Job Number],0)))="","",INDEX(tbl_Production[Notes],IFERROR(MATCH(A386&amp;"",tbl_Production[Job Number],0),MATCH(IFERROR(A386+0,A386),tbl_Production[Job Number],0)))),IFERROR(IF(INDEX(tbl_Consulting[Notes],IFERROR(MATCH(A386&amp;"",tbl_Consulting[Job Number],0),MATCH(IFERROR(A386+0,A386),tbl_Consulting[Job Number],0)))="","",INDEX(tbl_Consulting[Notes],IFERROR(MATCH(A386&amp;"",tbl_Consulting[Job Number],0),MATCH(IFERROR(A386+0,A386),tbl_Consulting[Job Number],0)))),""))))</f>
        <v/>
      </c>
    </row>
    <row r="387" ht="15" customHeight="1">
      <c r="A387" s="22" t="n"/>
      <c r="B387" s="22" t="n"/>
      <c r="C387" s="23" t="n"/>
      <c r="D387" s="22" t="n"/>
      <c r="E387" s="24" t="n"/>
      <c r="F387" s="25">
        <f>IF(C387="","",EOMONTH(C387,0))</f>
        <v/>
      </c>
      <c r="G387" s="26">
        <f>IF(A387="","",IF(COUNTIF(tbl_Onsite[Job Number],A387&amp;"")&gt;0,"Onsite",IF(COUNTIF(tbl_Production[Job Number],A387&amp;"")&gt;0,"Production",IF(COUNTIF(tbl_Consulting[Job Number],A387&amp;"")&gt;0,"Consulting","not set up yet"))))</f>
        <v/>
      </c>
      <c r="H387" s="26">
        <f>IF(A387="","",IF(COUNTIF(lst_Jobs,A387&amp;"")&gt;0,"OK","CHECK"))</f>
        <v/>
      </c>
      <c r="I387" s="26">
        <f>IF(A387="","",IFERROR(INDEX(lst_JobName,MATCH(A387&amp;"",lst_Jobs,0)),""))</f>
        <v/>
      </c>
      <c r="J387" s="26">
        <f>IF(A387="","",IFERROR(IF(INDEX(tbl_Onsite[Client],IFERROR(MATCH(A387&amp;"",tbl_Onsite[Job Number],0),MATCH(IFERROR(A387+0,A387),tbl_Onsite[Job Number],0)))="","",INDEX(tbl_Onsite[Client],IFERROR(MATCH(A387&amp;"",tbl_Onsite[Job Number],0),MATCH(IFERROR(A387+0,A387),tbl_Onsite[Job Number],0)))),IFERROR(IF(INDEX(tbl_Production[Client],IFERROR(MATCH(A387&amp;"",tbl_Production[Job Number],0),MATCH(IFERROR(A387+0,A387),tbl_Production[Job Number],0)))="","",INDEX(tbl_Production[Client],IFERROR(MATCH(A387&amp;"",tbl_Production[Job Number],0),MATCH(IFERROR(A387+0,A387),tbl_Production[Job Number],0)))),IFERROR(IF(INDEX(tbl_Consulting[Client],IFERROR(MATCH(A387&amp;"",tbl_Consulting[Job Number],0),MATCH(IFERROR(A387+0,A387),tbl_Consulting[Job Number],0)))="","",INDEX(tbl_Consulting[Client],IFERROR(MATCH(A387&amp;"",tbl_Consulting[Job Number],0),MATCH(IFERROR(A387+0,A387),tbl_Consulting[Job Number],0)))),""))))</f>
        <v/>
      </c>
      <c r="K387" s="26">
        <f>IF(A387="","",IFERROR(IF(INDEX(tbl_Onsite[Job Description],IFERROR(MATCH(A387&amp;"",tbl_Onsite[Job Number],0),MATCH(IFERROR(A387+0,A387),tbl_Onsite[Job Number],0)))="","",INDEX(tbl_Onsite[Job Description],IFERROR(MATCH(A387&amp;"",tbl_Onsite[Job Number],0),MATCH(IFERROR(A387+0,A387),tbl_Onsite[Job Number],0)))),IFERROR(IF(INDEX(tbl_Production[Job Description],IFERROR(MATCH(A387&amp;"",tbl_Production[Job Number],0),MATCH(IFERROR(A387+0,A387),tbl_Production[Job Number],0)))="","",INDEX(tbl_Production[Job Description],IFERROR(MATCH(A387&amp;"",tbl_Production[Job Number],0),MATCH(IFERROR(A387+0,A387),tbl_Production[Job Number],0)))),IFERROR(IF(INDEX(tbl_Consulting[Job Description],IFERROR(MATCH(A387&amp;"",tbl_Consulting[Job Number],0),MATCH(IFERROR(A387+0,A387),tbl_Consulting[Job Number],0)))="","",INDEX(tbl_Consulting[Job Description],IFERROR(MATCH(A387&amp;"",tbl_Consulting[Job Number],0),MATCH(IFERROR(A387+0,A387),tbl_Consulting[Job Number],0)))),""))))</f>
        <v/>
      </c>
      <c r="L387" s="26">
        <f>IF(A387="","",IFERROR(IF(INDEX(tbl_Onsite[Invoice Type],IFERROR(MATCH(A387&amp;"",tbl_Onsite[Job Number],0),MATCH(IFERROR(A387+0,A387),tbl_Onsite[Job Number],0)))="","",INDEX(tbl_Onsite[Invoice Type],IFERROR(MATCH(A387&amp;"",tbl_Onsite[Job Number],0),MATCH(IFERROR(A387+0,A387),tbl_Onsite[Job Number],0)))),IFERROR(IF(INDEX(tbl_Production[Invoice Type],IFERROR(MATCH(A387&amp;"",tbl_Production[Job Number],0),MATCH(IFERROR(A387+0,A387),tbl_Production[Job Number],0)))="","",INDEX(tbl_Production[Invoice Type],IFERROR(MATCH(A387&amp;"",tbl_Production[Job Number],0),MATCH(IFERROR(A387+0,A387),tbl_Production[Job Number],0)))),IFERROR(IF(INDEX(tbl_Consulting[Invoice Type],IFERROR(MATCH(A387&amp;"",tbl_Consulting[Job Number],0),MATCH(IFERROR(A387+0,A387),tbl_Consulting[Job Number],0)))="","",INDEX(tbl_Consulting[Invoice Type],IFERROR(MATCH(A387&amp;"",tbl_Consulting[Job Number],0),MATCH(IFERROR(A387+0,A387),tbl_Consulting[Job Number],0)))),""))))</f>
        <v/>
      </c>
      <c r="M387" s="26">
        <f>IF(A387="","",IF(IFERROR(IF(INDEX(tbl_Onsite[Tax Code],IFERROR(MATCH(A387&amp;"",tbl_Onsite[Job Number],0),MATCH(IFERROR(A387+0,A387),tbl_Onsite[Job Number],0)))="","",INDEX(tbl_Onsite[Tax Code],IFERROR(MATCH(A387&amp;"",tbl_Onsite[Job Number],0),MATCH(IFERROR(A387+0,A387),tbl_Onsite[Job Number],0)))),IFERROR(IF(INDEX(tbl_Production[Tax Code],IFERROR(MATCH(A387&amp;"",tbl_Production[Job Number],0),MATCH(IFERROR(A387+0,A387),tbl_Production[Job Number],0)))="","",INDEX(tbl_Production[Tax Code],IFERROR(MATCH(A387&amp;"",tbl_Production[Job Number],0),MATCH(IFERROR(A387+0,A387),tbl_Production[Job Number],0)))),IFERROR(IF(INDEX(tbl_Consulting[Tax Code],IFERROR(MATCH(A387&amp;"",tbl_Consulting[Job Number],0),MATCH(IFERROR(A387+0,A387),tbl_Consulting[Job Number],0)))="","",INDEX(tbl_Consulting[Tax Code],IFERROR(MATCH(A387&amp;"",tbl_Consulting[Job Number],0),MATCH(IFERROR(A387+0,A387),tbl_Consulting[Job Number],0)))),"")))="","GST 10%",IFERROR(IF(INDEX(tbl_Onsite[Tax Code],IFERROR(MATCH(A387&amp;"",tbl_Onsite[Job Number],0),MATCH(IFERROR(A387+0,A387),tbl_Onsite[Job Number],0)))="","",INDEX(tbl_Onsite[Tax Code],IFERROR(MATCH(A387&amp;"",tbl_Onsite[Job Number],0),MATCH(IFERROR(A387+0,A387),tbl_Onsite[Job Number],0)))),IFERROR(IF(INDEX(tbl_Production[Tax Code],IFERROR(MATCH(A387&amp;"",tbl_Production[Job Number],0),MATCH(IFERROR(A387+0,A387),tbl_Production[Job Number],0)))="","",INDEX(tbl_Production[Tax Code],IFERROR(MATCH(A387&amp;"",tbl_Production[Job Number],0),MATCH(IFERROR(A387+0,A387),tbl_Production[Job Number],0)))),IFERROR(IF(INDEX(tbl_Consulting[Tax Code],IFERROR(MATCH(A387&amp;"",tbl_Consulting[Job Number],0),MATCH(IFERROR(A387+0,A387),tbl_Consulting[Job Number],0)))="","",INDEX(tbl_Consulting[Tax Code],IFERROR(MATCH(A387&amp;"",tbl_Consulting[Job Number],0),MATCH(IFERROR(A387+0,A387),tbl_Consulting[Job Number],0)))),"")))))</f>
        <v/>
      </c>
      <c r="N387" s="26">
        <f>IF(D387="","",IFERROR(INDEX(lst_CCtoGL,MATCH(D387,lst_CCforGL,0)),""))</f>
        <v/>
      </c>
      <c r="O387" s="27">
        <f>IF(E387="","",IF(M387="GST 10%",ROUND(E387*set_GSTRate,2),0))</f>
        <v/>
      </c>
      <c r="P387" s="27">
        <f>IF(E387="","",E387+O387)</f>
        <v/>
      </c>
      <c r="Q387" s="27">
        <f>IF(A387="","",IFERROR(INDEX(tbl_Onsite[Expected Revenue Ex GST],IFERROR(MATCH(A387&amp;"",tbl_Onsite[Job Number],0),MATCH(IFERROR(A387+0,A387),tbl_Onsite[Job Number],0))),IFERROR(INDEX(tbl_Production[Expected Revenue Ex GST],IFERROR(MATCH(A387&amp;"",tbl_Production[Job Number],0),MATCH(IFERROR(A387+0,A387),tbl_Production[Job Number],0))),IFERROR(INDEX(tbl_Consulting[Expected Revenue Ex GST],IFERROR(MATCH(A387&amp;"",tbl_Consulting[Job Number],0),MATCH(IFERROR(A387+0,A387),tbl_Consulting[Job Number],0))),0))))</f>
        <v/>
      </c>
      <c r="R387" s="27">
        <f>IF(A387="","",SUMIFS(tbl_Finance[Ex GST],tbl_Finance[Job Number],A387&amp;""))</f>
        <v/>
      </c>
      <c r="S387" s="27">
        <f>IF(A387="","",Q387-R387)</f>
        <v/>
      </c>
      <c r="T387" s="26">
        <f>IF(A387="","",IF(Q387=0,"No dept value",IF(ROUND(S387,2)=0,"Agrees",IF(S387&gt;0,"Dept higher - to invoice","Xero higher - check dept"))))</f>
        <v/>
      </c>
      <c r="U387" s="22" t="n"/>
      <c r="V387" s="22" t="n"/>
      <c r="W387" s="23" t="n"/>
      <c r="X387" s="23" t="n"/>
      <c r="Y387" s="22" t="n"/>
      <c r="Z387" s="22" t="n"/>
      <c r="AA387" s="26">
        <f>IF(COUNTA(C387,A387,B387,E387)=0,"",IF(C387="","No date - sits outside every month",IF(A387="","No job number",IF(H387="CHECK","Job number is not in the Xero job list",IF(G387="not set up yet","No department has set this job up - nothing can pull through",IF(D387="","No cost centre",IF(AND(U387="Y",B387=""),"Marked posted to Xero but has no invoice number",IF(N387="","Cost centre has no revenue GL on the Lists sheet",IF(T387="Xero higher - check dept","Invoiced more than the department says the job is worth","")))))))))</f>
        <v/>
      </c>
      <c r="AB387" s="28">
        <f>IF(A387="","",COUNTIFS(tbl_Finance[Job Number],A387&amp;"",tbl_Finance[Ex GST],"&lt;&gt;"))</f>
        <v/>
      </c>
      <c r="AC387" s="27">
        <f>IF(A387="","",SUMIFS(tbl_Finance[Ex GST],tbl_Finance[Job Number],A387&amp;""))</f>
        <v/>
      </c>
      <c r="AD387" s="27">
        <f>IF(A387="","",SUMIFS(tbl_Finance[Ex GST],tbl_Finance[Job Number],A387&amp;"",tbl_Finance[Xero Invoice No],"&lt;&gt;"))</f>
        <v/>
      </c>
      <c r="AE387" s="27">
        <f>IF(A387="","",AC387-AD387)</f>
        <v/>
      </c>
      <c r="AF387" s="26">
        <f>IF(A387="","",IFERROR(IF(INDEX(tbl_Onsite[Qwilr Quote],IFERROR(MATCH(A387&amp;"",tbl_Onsite[Job Number],0),MATCH(IFERROR(A387+0,A387),tbl_Onsite[Job Number],0)))="","",INDEX(tbl_Onsite[Qwilr Quote],IFERROR(MATCH(A387&amp;"",tbl_Onsite[Job Number],0),MATCH(IFERROR(A387+0,A387),tbl_Onsite[Job Number],0)))),IFERROR(IF(IF(INDEX(tbl_Production[Current RMS No],IFERROR(MATCH(A387&amp;"",tbl_Production[Job Number],0),MATCH(IFERROR(A387+0,A387),tbl_Production[Job Number],0)))="",INDEX(tbl_Production[Qwilr Quote],IFERROR(MATCH(A387&amp;"",tbl_Production[Job Number],0),MATCH(IFERROR(A387+0,A387),tbl_Production[Job Number],0))),INDEX(tbl_Production[Current RMS No],IFERROR(MATCH(A387&amp;"",tbl_Production[Job Number],0),MATCH(IFERROR(A387+0,A387),tbl_Production[Job Number],0))))="","",IF(INDEX(tbl_Production[Current RMS No],IFERROR(MATCH(A387&amp;"",tbl_Production[Job Number],0),MATCH(IFERROR(A387+0,A387),tbl_Production[Job Number],0)))="",INDEX(tbl_Production[Qwilr Quote],IFERROR(MATCH(A387&amp;"",tbl_Production[Job Number],0),MATCH(IFERROR(A387+0,A387),tbl_Production[Job Number],0))),INDEX(tbl_Production[Current RMS No],IFERROR(MATCH(A387&amp;"",tbl_Production[Job Number],0),MATCH(IFERROR(A387+0,A387),tbl_Production[Job Number],0))))),IFERROR(IF(INDEX(tbl_Consulting[Qwilr Quote],IFERROR(MATCH(A387&amp;"",tbl_Consulting[Job Number],0),MATCH(IFERROR(A387+0,A387),tbl_Consulting[Job Number],0)))="","",INDEX(tbl_Consulting[Qwilr Quote],IFERROR(MATCH(A387&amp;"",tbl_Consulting[Job Number],0),MATCH(IFERROR(A387+0,A387),tbl_Consulting[Job Number],0)))),""))))</f>
        <v/>
      </c>
      <c r="AG387" s="26">
        <f>IF(AF387="","",IF(AND(LEFT(AF387,4)&lt;&gt;"http",IF(G387="Production",set_RMSBase,set_QwilrBase)=""),"",HYPERLINK(IF(LEFT(AF387,4)="http",AF387,IF(G387="Production",set_RMSBase,set_QwilrBase)&amp;AF387),"Open")))</f>
        <v/>
      </c>
      <c r="AH387" s="27">
        <f>IF(A387="","",IFERROR(INDEX(tbl_Production[Total Expense],IFERROR(MATCH(A387&amp;"",tbl_Production[Job Number],0),MATCH(IFERROR(A387+0,A387),tbl_Production[Job Number],0))),IFERROR(INDEX(tbl_Consulting[Total Expense],IFERROR(MATCH(A387&amp;"",tbl_Consulting[Job Number],0),MATCH(IFERROR(A387+0,A387),tbl_Consulting[Job Number],0))),0)))</f>
        <v/>
      </c>
      <c r="AI387" s="27">
        <f>IF(A387="","",AC387-N(AH387))</f>
        <v/>
      </c>
      <c r="AJ387" s="29">
        <f>IFERROR(AI387/AC387,"")</f>
        <v/>
      </c>
      <c r="AK387" s="26">
        <f>IF(A387="","",IFERROR(IF(INDEX(tbl_Onsite[Notes],IFERROR(MATCH(A387&amp;"",tbl_Onsite[Job Number],0),MATCH(IFERROR(A387+0,A387),tbl_Onsite[Job Number],0)))="","",INDEX(tbl_Onsite[Notes],IFERROR(MATCH(A387&amp;"",tbl_Onsite[Job Number],0),MATCH(IFERROR(A387+0,A387),tbl_Onsite[Job Number],0)))),IFERROR(IF(INDEX(tbl_Production[Notes],IFERROR(MATCH(A387&amp;"",tbl_Production[Job Number],0),MATCH(IFERROR(A387+0,A387),tbl_Production[Job Number],0)))="","",INDEX(tbl_Production[Notes],IFERROR(MATCH(A387&amp;"",tbl_Production[Job Number],0),MATCH(IFERROR(A387+0,A387),tbl_Production[Job Number],0)))),IFERROR(IF(INDEX(tbl_Consulting[Notes],IFERROR(MATCH(A387&amp;"",tbl_Consulting[Job Number],0),MATCH(IFERROR(A387+0,A387),tbl_Consulting[Job Number],0)))="","",INDEX(tbl_Consulting[Notes],IFERROR(MATCH(A387&amp;"",tbl_Consulting[Job Number],0),MATCH(IFERROR(A387+0,A387),tbl_Consulting[Job Number],0)))),""))))</f>
        <v/>
      </c>
    </row>
    <row r="388" ht="15" customHeight="1">
      <c r="A388" s="22" t="n"/>
      <c r="B388" s="22" t="n"/>
      <c r="C388" s="23" t="n"/>
      <c r="D388" s="22" t="n"/>
      <c r="E388" s="24" t="n"/>
      <c r="F388" s="25">
        <f>IF(C388="","",EOMONTH(C388,0))</f>
        <v/>
      </c>
      <c r="G388" s="26">
        <f>IF(A388="","",IF(COUNTIF(tbl_Onsite[Job Number],A388&amp;"")&gt;0,"Onsite",IF(COUNTIF(tbl_Production[Job Number],A388&amp;"")&gt;0,"Production",IF(COUNTIF(tbl_Consulting[Job Number],A388&amp;"")&gt;0,"Consulting","not set up yet"))))</f>
        <v/>
      </c>
      <c r="H388" s="26">
        <f>IF(A388="","",IF(COUNTIF(lst_Jobs,A388&amp;"")&gt;0,"OK","CHECK"))</f>
        <v/>
      </c>
      <c r="I388" s="26">
        <f>IF(A388="","",IFERROR(INDEX(lst_JobName,MATCH(A388&amp;"",lst_Jobs,0)),""))</f>
        <v/>
      </c>
      <c r="J388" s="26">
        <f>IF(A388="","",IFERROR(IF(INDEX(tbl_Onsite[Client],IFERROR(MATCH(A388&amp;"",tbl_Onsite[Job Number],0),MATCH(IFERROR(A388+0,A388),tbl_Onsite[Job Number],0)))="","",INDEX(tbl_Onsite[Client],IFERROR(MATCH(A388&amp;"",tbl_Onsite[Job Number],0),MATCH(IFERROR(A388+0,A388),tbl_Onsite[Job Number],0)))),IFERROR(IF(INDEX(tbl_Production[Client],IFERROR(MATCH(A388&amp;"",tbl_Production[Job Number],0),MATCH(IFERROR(A388+0,A388),tbl_Production[Job Number],0)))="","",INDEX(tbl_Production[Client],IFERROR(MATCH(A388&amp;"",tbl_Production[Job Number],0),MATCH(IFERROR(A388+0,A388),tbl_Production[Job Number],0)))),IFERROR(IF(INDEX(tbl_Consulting[Client],IFERROR(MATCH(A388&amp;"",tbl_Consulting[Job Number],0),MATCH(IFERROR(A388+0,A388),tbl_Consulting[Job Number],0)))="","",INDEX(tbl_Consulting[Client],IFERROR(MATCH(A388&amp;"",tbl_Consulting[Job Number],0),MATCH(IFERROR(A388+0,A388),tbl_Consulting[Job Number],0)))),""))))</f>
        <v/>
      </c>
      <c r="K388" s="26">
        <f>IF(A388="","",IFERROR(IF(INDEX(tbl_Onsite[Job Description],IFERROR(MATCH(A388&amp;"",tbl_Onsite[Job Number],0),MATCH(IFERROR(A388+0,A388),tbl_Onsite[Job Number],0)))="","",INDEX(tbl_Onsite[Job Description],IFERROR(MATCH(A388&amp;"",tbl_Onsite[Job Number],0),MATCH(IFERROR(A388+0,A388),tbl_Onsite[Job Number],0)))),IFERROR(IF(INDEX(tbl_Production[Job Description],IFERROR(MATCH(A388&amp;"",tbl_Production[Job Number],0),MATCH(IFERROR(A388+0,A388),tbl_Production[Job Number],0)))="","",INDEX(tbl_Production[Job Description],IFERROR(MATCH(A388&amp;"",tbl_Production[Job Number],0),MATCH(IFERROR(A388+0,A388),tbl_Production[Job Number],0)))),IFERROR(IF(INDEX(tbl_Consulting[Job Description],IFERROR(MATCH(A388&amp;"",tbl_Consulting[Job Number],0),MATCH(IFERROR(A388+0,A388),tbl_Consulting[Job Number],0)))="","",INDEX(tbl_Consulting[Job Description],IFERROR(MATCH(A388&amp;"",tbl_Consulting[Job Number],0),MATCH(IFERROR(A388+0,A388),tbl_Consulting[Job Number],0)))),""))))</f>
        <v/>
      </c>
      <c r="L388" s="26">
        <f>IF(A388="","",IFERROR(IF(INDEX(tbl_Onsite[Invoice Type],IFERROR(MATCH(A388&amp;"",tbl_Onsite[Job Number],0),MATCH(IFERROR(A388+0,A388),tbl_Onsite[Job Number],0)))="","",INDEX(tbl_Onsite[Invoice Type],IFERROR(MATCH(A388&amp;"",tbl_Onsite[Job Number],0),MATCH(IFERROR(A388+0,A388),tbl_Onsite[Job Number],0)))),IFERROR(IF(INDEX(tbl_Production[Invoice Type],IFERROR(MATCH(A388&amp;"",tbl_Production[Job Number],0),MATCH(IFERROR(A388+0,A388),tbl_Production[Job Number],0)))="","",INDEX(tbl_Production[Invoice Type],IFERROR(MATCH(A388&amp;"",tbl_Production[Job Number],0),MATCH(IFERROR(A388+0,A388),tbl_Production[Job Number],0)))),IFERROR(IF(INDEX(tbl_Consulting[Invoice Type],IFERROR(MATCH(A388&amp;"",tbl_Consulting[Job Number],0),MATCH(IFERROR(A388+0,A388),tbl_Consulting[Job Number],0)))="","",INDEX(tbl_Consulting[Invoice Type],IFERROR(MATCH(A388&amp;"",tbl_Consulting[Job Number],0),MATCH(IFERROR(A388+0,A388),tbl_Consulting[Job Number],0)))),""))))</f>
        <v/>
      </c>
      <c r="M388" s="26">
        <f>IF(A388="","",IF(IFERROR(IF(INDEX(tbl_Onsite[Tax Code],IFERROR(MATCH(A388&amp;"",tbl_Onsite[Job Number],0),MATCH(IFERROR(A388+0,A388),tbl_Onsite[Job Number],0)))="","",INDEX(tbl_Onsite[Tax Code],IFERROR(MATCH(A388&amp;"",tbl_Onsite[Job Number],0),MATCH(IFERROR(A388+0,A388),tbl_Onsite[Job Number],0)))),IFERROR(IF(INDEX(tbl_Production[Tax Code],IFERROR(MATCH(A388&amp;"",tbl_Production[Job Number],0),MATCH(IFERROR(A388+0,A388),tbl_Production[Job Number],0)))="","",INDEX(tbl_Production[Tax Code],IFERROR(MATCH(A388&amp;"",tbl_Production[Job Number],0),MATCH(IFERROR(A388+0,A388),tbl_Production[Job Number],0)))),IFERROR(IF(INDEX(tbl_Consulting[Tax Code],IFERROR(MATCH(A388&amp;"",tbl_Consulting[Job Number],0),MATCH(IFERROR(A388+0,A388),tbl_Consulting[Job Number],0)))="","",INDEX(tbl_Consulting[Tax Code],IFERROR(MATCH(A388&amp;"",tbl_Consulting[Job Number],0),MATCH(IFERROR(A388+0,A388),tbl_Consulting[Job Number],0)))),"")))="","GST 10%",IFERROR(IF(INDEX(tbl_Onsite[Tax Code],IFERROR(MATCH(A388&amp;"",tbl_Onsite[Job Number],0),MATCH(IFERROR(A388+0,A388),tbl_Onsite[Job Number],0)))="","",INDEX(tbl_Onsite[Tax Code],IFERROR(MATCH(A388&amp;"",tbl_Onsite[Job Number],0),MATCH(IFERROR(A388+0,A388),tbl_Onsite[Job Number],0)))),IFERROR(IF(INDEX(tbl_Production[Tax Code],IFERROR(MATCH(A388&amp;"",tbl_Production[Job Number],0),MATCH(IFERROR(A388+0,A388),tbl_Production[Job Number],0)))="","",INDEX(tbl_Production[Tax Code],IFERROR(MATCH(A388&amp;"",tbl_Production[Job Number],0),MATCH(IFERROR(A388+0,A388),tbl_Production[Job Number],0)))),IFERROR(IF(INDEX(tbl_Consulting[Tax Code],IFERROR(MATCH(A388&amp;"",tbl_Consulting[Job Number],0),MATCH(IFERROR(A388+0,A388),tbl_Consulting[Job Number],0)))="","",INDEX(tbl_Consulting[Tax Code],IFERROR(MATCH(A388&amp;"",tbl_Consulting[Job Number],0),MATCH(IFERROR(A388+0,A388),tbl_Consulting[Job Number],0)))),"")))))</f>
        <v/>
      </c>
      <c r="N388" s="26">
        <f>IF(D388="","",IFERROR(INDEX(lst_CCtoGL,MATCH(D388,lst_CCforGL,0)),""))</f>
        <v/>
      </c>
      <c r="O388" s="27">
        <f>IF(E388="","",IF(M388="GST 10%",ROUND(E388*set_GSTRate,2),0))</f>
        <v/>
      </c>
      <c r="P388" s="27">
        <f>IF(E388="","",E388+O388)</f>
        <v/>
      </c>
      <c r="Q388" s="27">
        <f>IF(A388="","",IFERROR(INDEX(tbl_Onsite[Expected Revenue Ex GST],IFERROR(MATCH(A388&amp;"",tbl_Onsite[Job Number],0),MATCH(IFERROR(A388+0,A388),tbl_Onsite[Job Number],0))),IFERROR(INDEX(tbl_Production[Expected Revenue Ex GST],IFERROR(MATCH(A388&amp;"",tbl_Production[Job Number],0),MATCH(IFERROR(A388+0,A388),tbl_Production[Job Number],0))),IFERROR(INDEX(tbl_Consulting[Expected Revenue Ex GST],IFERROR(MATCH(A388&amp;"",tbl_Consulting[Job Number],0),MATCH(IFERROR(A388+0,A388),tbl_Consulting[Job Number],0))),0))))</f>
        <v/>
      </c>
      <c r="R388" s="27">
        <f>IF(A388="","",SUMIFS(tbl_Finance[Ex GST],tbl_Finance[Job Number],A388&amp;""))</f>
        <v/>
      </c>
      <c r="S388" s="27">
        <f>IF(A388="","",Q388-R388)</f>
        <v/>
      </c>
      <c r="T388" s="26">
        <f>IF(A388="","",IF(Q388=0,"No dept value",IF(ROUND(S388,2)=0,"Agrees",IF(S388&gt;0,"Dept higher - to invoice","Xero higher - check dept"))))</f>
        <v/>
      </c>
      <c r="U388" s="22" t="n"/>
      <c r="V388" s="22" t="n"/>
      <c r="W388" s="23" t="n"/>
      <c r="X388" s="23" t="n"/>
      <c r="Y388" s="22" t="n"/>
      <c r="Z388" s="22" t="n"/>
      <c r="AA388" s="26">
        <f>IF(COUNTA(C388,A388,B388,E388)=0,"",IF(C388="","No date - sits outside every month",IF(A388="","No job number",IF(H388="CHECK","Job number is not in the Xero job list",IF(G388="not set up yet","No department has set this job up - nothing can pull through",IF(D388="","No cost centre",IF(AND(U388="Y",B388=""),"Marked posted to Xero but has no invoice number",IF(N388="","Cost centre has no revenue GL on the Lists sheet",IF(T388="Xero higher - check dept","Invoiced more than the department says the job is worth","")))))))))</f>
        <v/>
      </c>
      <c r="AB388" s="28">
        <f>IF(A388="","",COUNTIFS(tbl_Finance[Job Number],A388&amp;"",tbl_Finance[Ex GST],"&lt;&gt;"))</f>
        <v/>
      </c>
      <c r="AC388" s="27">
        <f>IF(A388="","",SUMIFS(tbl_Finance[Ex GST],tbl_Finance[Job Number],A388&amp;""))</f>
        <v/>
      </c>
      <c r="AD388" s="27">
        <f>IF(A388="","",SUMIFS(tbl_Finance[Ex GST],tbl_Finance[Job Number],A388&amp;"",tbl_Finance[Xero Invoice No],"&lt;&gt;"))</f>
        <v/>
      </c>
      <c r="AE388" s="27">
        <f>IF(A388="","",AC388-AD388)</f>
        <v/>
      </c>
      <c r="AF388" s="26">
        <f>IF(A388="","",IFERROR(IF(INDEX(tbl_Onsite[Qwilr Quote],IFERROR(MATCH(A388&amp;"",tbl_Onsite[Job Number],0),MATCH(IFERROR(A388+0,A388),tbl_Onsite[Job Number],0)))="","",INDEX(tbl_Onsite[Qwilr Quote],IFERROR(MATCH(A388&amp;"",tbl_Onsite[Job Number],0),MATCH(IFERROR(A388+0,A388),tbl_Onsite[Job Number],0)))),IFERROR(IF(IF(INDEX(tbl_Production[Current RMS No],IFERROR(MATCH(A388&amp;"",tbl_Production[Job Number],0),MATCH(IFERROR(A388+0,A388),tbl_Production[Job Number],0)))="",INDEX(tbl_Production[Qwilr Quote],IFERROR(MATCH(A388&amp;"",tbl_Production[Job Number],0),MATCH(IFERROR(A388+0,A388),tbl_Production[Job Number],0))),INDEX(tbl_Production[Current RMS No],IFERROR(MATCH(A388&amp;"",tbl_Production[Job Number],0),MATCH(IFERROR(A388+0,A388),tbl_Production[Job Number],0))))="","",IF(INDEX(tbl_Production[Current RMS No],IFERROR(MATCH(A388&amp;"",tbl_Production[Job Number],0),MATCH(IFERROR(A388+0,A388),tbl_Production[Job Number],0)))="",INDEX(tbl_Production[Qwilr Quote],IFERROR(MATCH(A388&amp;"",tbl_Production[Job Number],0),MATCH(IFERROR(A388+0,A388),tbl_Production[Job Number],0))),INDEX(tbl_Production[Current RMS No],IFERROR(MATCH(A388&amp;"",tbl_Production[Job Number],0),MATCH(IFERROR(A388+0,A388),tbl_Production[Job Number],0))))),IFERROR(IF(INDEX(tbl_Consulting[Qwilr Quote],IFERROR(MATCH(A388&amp;"",tbl_Consulting[Job Number],0),MATCH(IFERROR(A388+0,A388),tbl_Consulting[Job Number],0)))="","",INDEX(tbl_Consulting[Qwilr Quote],IFERROR(MATCH(A388&amp;"",tbl_Consulting[Job Number],0),MATCH(IFERROR(A388+0,A388),tbl_Consulting[Job Number],0)))),""))))</f>
        <v/>
      </c>
      <c r="AG388" s="26">
        <f>IF(AF388="","",IF(AND(LEFT(AF388,4)&lt;&gt;"http",IF(G388="Production",set_RMSBase,set_QwilrBase)=""),"",HYPERLINK(IF(LEFT(AF388,4)="http",AF388,IF(G388="Production",set_RMSBase,set_QwilrBase)&amp;AF388),"Open")))</f>
        <v/>
      </c>
      <c r="AH388" s="27">
        <f>IF(A388="","",IFERROR(INDEX(tbl_Production[Total Expense],IFERROR(MATCH(A388&amp;"",tbl_Production[Job Number],0),MATCH(IFERROR(A388+0,A388),tbl_Production[Job Number],0))),IFERROR(INDEX(tbl_Consulting[Total Expense],IFERROR(MATCH(A388&amp;"",tbl_Consulting[Job Number],0),MATCH(IFERROR(A388+0,A388),tbl_Consulting[Job Number],0))),0)))</f>
        <v/>
      </c>
      <c r="AI388" s="27">
        <f>IF(A388="","",AC388-N(AH388))</f>
        <v/>
      </c>
      <c r="AJ388" s="29">
        <f>IFERROR(AI388/AC388,"")</f>
        <v/>
      </c>
      <c r="AK388" s="26">
        <f>IF(A388="","",IFERROR(IF(INDEX(tbl_Onsite[Notes],IFERROR(MATCH(A388&amp;"",tbl_Onsite[Job Number],0),MATCH(IFERROR(A388+0,A388),tbl_Onsite[Job Number],0)))="","",INDEX(tbl_Onsite[Notes],IFERROR(MATCH(A388&amp;"",tbl_Onsite[Job Number],0),MATCH(IFERROR(A388+0,A388),tbl_Onsite[Job Number],0)))),IFERROR(IF(INDEX(tbl_Production[Notes],IFERROR(MATCH(A388&amp;"",tbl_Production[Job Number],0),MATCH(IFERROR(A388+0,A388),tbl_Production[Job Number],0)))="","",INDEX(tbl_Production[Notes],IFERROR(MATCH(A388&amp;"",tbl_Production[Job Number],0),MATCH(IFERROR(A388+0,A388),tbl_Production[Job Number],0)))),IFERROR(IF(INDEX(tbl_Consulting[Notes],IFERROR(MATCH(A388&amp;"",tbl_Consulting[Job Number],0),MATCH(IFERROR(A388+0,A388),tbl_Consulting[Job Number],0)))="","",INDEX(tbl_Consulting[Notes],IFERROR(MATCH(A388&amp;"",tbl_Consulting[Job Number],0),MATCH(IFERROR(A388+0,A388),tbl_Consulting[Job Number],0)))),""))))</f>
        <v/>
      </c>
    </row>
    <row r="389" ht="15" customHeight="1">
      <c r="A389" s="22" t="n"/>
      <c r="B389" s="22" t="n"/>
      <c r="C389" s="23" t="n"/>
      <c r="D389" s="22" t="n"/>
      <c r="E389" s="24" t="n"/>
      <c r="F389" s="25">
        <f>IF(C389="","",EOMONTH(C389,0))</f>
        <v/>
      </c>
      <c r="G389" s="26">
        <f>IF(A389="","",IF(COUNTIF(tbl_Onsite[Job Number],A389&amp;"")&gt;0,"Onsite",IF(COUNTIF(tbl_Production[Job Number],A389&amp;"")&gt;0,"Production",IF(COUNTIF(tbl_Consulting[Job Number],A389&amp;"")&gt;0,"Consulting","not set up yet"))))</f>
        <v/>
      </c>
      <c r="H389" s="26">
        <f>IF(A389="","",IF(COUNTIF(lst_Jobs,A389&amp;"")&gt;0,"OK","CHECK"))</f>
        <v/>
      </c>
      <c r="I389" s="26">
        <f>IF(A389="","",IFERROR(INDEX(lst_JobName,MATCH(A389&amp;"",lst_Jobs,0)),""))</f>
        <v/>
      </c>
      <c r="J389" s="26">
        <f>IF(A389="","",IFERROR(IF(INDEX(tbl_Onsite[Client],IFERROR(MATCH(A389&amp;"",tbl_Onsite[Job Number],0),MATCH(IFERROR(A389+0,A389),tbl_Onsite[Job Number],0)))="","",INDEX(tbl_Onsite[Client],IFERROR(MATCH(A389&amp;"",tbl_Onsite[Job Number],0),MATCH(IFERROR(A389+0,A389),tbl_Onsite[Job Number],0)))),IFERROR(IF(INDEX(tbl_Production[Client],IFERROR(MATCH(A389&amp;"",tbl_Production[Job Number],0),MATCH(IFERROR(A389+0,A389),tbl_Production[Job Number],0)))="","",INDEX(tbl_Production[Client],IFERROR(MATCH(A389&amp;"",tbl_Production[Job Number],0),MATCH(IFERROR(A389+0,A389),tbl_Production[Job Number],0)))),IFERROR(IF(INDEX(tbl_Consulting[Client],IFERROR(MATCH(A389&amp;"",tbl_Consulting[Job Number],0),MATCH(IFERROR(A389+0,A389),tbl_Consulting[Job Number],0)))="","",INDEX(tbl_Consulting[Client],IFERROR(MATCH(A389&amp;"",tbl_Consulting[Job Number],0),MATCH(IFERROR(A389+0,A389),tbl_Consulting[Job Number],0)))),""))))</f>
        <v/>
      </c>
      <c r="K389" s="26">
        <f>IF(A389="","",IFERROR(IF(INDEX(tbl_Onsite[Job Description],IFERROR(MATCH(A389&amp;"",tbl_Onsite[Job Number],0),MATCH(IFERROR(A389+0,A389),tbl_Onsite[Job Number],0)))="","",INDEX(tbl_Onsite[Job Description],IFERROR(MATCH(A389&amp;"",tbl_Onsite[Job Number],0),MATCH(IFERROR(A389+0,A389),tbl_Onsite[Job Number],0)))),IFERROR(IF(INDEX(tbl_Production[Job Description],IFERROR(MATCH(A389&amp;"",tbl_Production[Job Number],0),MATCH(IFERROR(A389+0,A389),tbl_Production[Job Number],0)))="","",INDEX(tbl_Production[Job Description],IFERROR(MATCH(A389&amp;"",tbl_Production[Job Number],0),MATCH(IFERROR(A389+0,A389),tbl_Production[Job Number],0)))),IFERROR(IF(INDEX(tbl_Consulting[Job Description],IFERROR(MATCH(A389&amp;"",tbl_Consulting[Job Number],0),MATCH(IFERROR(A389+0,A389),tbl_Consulting[Job Number],0)))="","",INDEX(tbl_Consulting[Job Description],IFERROR(MATCH(A389&amp;"",tbl_Consulting[Job Number],0),MATCH(IFERROR(A389+0,A389),tbl_Consulting[Job Number],0)))),""))))</f>
        <v/>
      </c>
      <c r="L389" s="26">
        <f>IF(A389="","",IFERROR(IF(INDEX(tbl_Onsite[Invoice Type],IFERROR(MATCH(A389&amp;"",tbl_Onsite[Job Number],0),MATCH(IFERROR(A389+0,A389),tbl_Onsite[Job Number],0)))="","",INDEX(tbl_Onsite[Invoice Type],IFERROR(MATCH(A389&amp;"",tbl_Onsite[Job Number],0),MATCH(IFERROR(A389+0,A389),tbl_Onsite[Job Number],0)))),IFERROR(IF(INDEX(tbl_Production[Invoice Type],IFERROR(MATCH(A389&amp;"",tbl_Production[Job Number],0),MATCH(IFERROR(A389+0,A389),tbl_Production[Job Number],0)))="","",INDEX(tbl_Production[Invoice Type],IFERROR(MATCH(A389&amp;"",tbl_Production[Job Number],0),MATCH(IFERROR(A389+0,A389),tbl_Production[Job Number],0)))),IFERROR(IF(INDEX(tbl_Consulting[Invoice Type],IFERROR(MATCH(A389&amp;"",tbl_Consulting[Job Number],0),MATCH(IFERROR(A389+0,A389),tbl_Consulting[Job Number],0)))="","",INDEX(tbl_Consulting[Invoice Type],IFERROR(MATCH(A389&amp;"",tbl_Consulting[Job Number],0),MATCH(IFERROR(A389+0,A389),tbl_Consulting[Job Number],0)))),""))))</f>
        <v/>
      </c>
      <c r="M389" s="26">
        <f>IF(A389="","",IF(IFERROR(IF(INDEX(tbl_Onsite[Tax Code],IFERROR(MATCH(A389&amp;"",tbl_Onsite[Job Number],0),MATCH(IFERROR(A389+0,A389),tbl_Onsite[Job Number],0)))="","",INDEX(tbl_Onsite[Tax Code],IFERROR(MATCH(A389&amp;"",tbl_Onsite[Job Number],0),MATCH(IFERROR(A389+0,A389),tbl_Onsite[Job Number],0)))),IFERROR(IF(INDEX(tbl_Production[Tax Code],IFERROR(MATCH(A389&amp;"",tbl_Production[Job Number],0),MATCH(IFERROR(A389+0,A389),tbl_Production[Job Number],0)))="","",INDEX(tbl_Production[Tax Code],IFERROR(MATCH(A389&amp;"",tbl_Production[Job Number],0),MATCH(IFERROR(A389+0,A389),tbl_Production[Job Number],0)))),IFERROR(IF(INDEX(tbl_Consulting[Tax Code],IFERROR(MATCH(A389&amp;"",tbl_Consulting[Job Number],0),MATCH(IFERROR(A389+0,A389),tbl_Consulting[Job Number],0)))="","",INDEX(tbl_Consulting[Tax Code],IFERROR(MATCH(A389&amp;"",tbl_Consulting[Job Number],0),MATCH(IFERROR(A389+0,A389),tbl_Consulting[Job Number],0)))),"")))="","GST 10%",IFERROR(IF(INDEX(tbl_Onsite[Tax Code],IFERROR(MATCH(A389&amp;"",tbl_Onsite[Job Number],0),MATCH(IFERROR(A389+0,A389),tbl_Onsite[Job Number],0)))="","",INDEX(tbl_Onsite[Tax Code],IFERROR(MATCH(A389&amp;"",tbl_Onsite[Job Number],0),MATCH(IFERROR(A389+0,A389),tbl_Onsite[Job Number],0)))),IFERROR(IF(INDEX(tbl_Production[Tax Code],IFERROR(MATCH(A389&amp;"",tbl_Production[Job Number],0),MATCH(IFERROR(A389+0,A389),tbl_Production[Job Number],0)))="","",INDEX(tbl_Production[Tax Code],IFERROR(MATCH(A389&amp;"",tbl_Production[Job Number],0),MATCH(IFERROR(A389+0,A389),tbl_Production[Job Number],0)))),IFERROR(IF(INDEX(tbl_Consulting[Tax Code],IFERROR(MATCH(A389&amp;"",tbl_Consulting[Job Number],0),MATCH(IFERROR(A389+0,A389),tbl_Consulting[Job Number],0)))="","",INDEX(tbl_Consulting[Tax Code],IFERROR(MATCH(A389&amp;"",tbl_Consulting[Job Number],0),MATCH(IFERROR(A389+0,A389),tbl_Consulting[Job Number],0)))),"")))))</f>
        <v/>
      </c>
      <c r="N389" s="26">
        <f>IF(D389="","",IFERROR(INDEX(lst_CCtoGL,MATCH(D389,lst_CCforGL,0)),""))</f>
        <v/>
      </c>
      <c r="O389" s="27">
        <f>IF(E389="","",IF(M389="GST 10%",ROUND(E389*set_GSTRate,2),0))</f>
        <v/>
      </c>
      <c r="P389" s="27">
        <f>IF(E389="","",E389+O389)</f>
        <v/>
      </c>
      <c r="Q389" s="27">
        <f>IF(A389="","",IFERROR(INDEX(tbl_Onsite[Expected Revenue Ex GST],IFERROR(MATCH(A389&amp;"",tbl_Onsite[Job Number],0),MATCH(IFERROR(A389+0,A389),tbl_Onsite[Job Number],0))),IFERROR(INDEX(tbl_Production[Expected Revenue Ex GST],IFERROR(MATCH(A389&amp;"",tbl_Production[Job Number],0),MATCH(IFERROR(A389+0,A389),tbl_Production[Job Number],0))),IFERROR(INDEX(tbl_Consulting[Expected Revenue Ex GST],IFERROR(MATCH(A389&amp;"",tbl_Consulting[Job Number],0),MATCH(IFERROR(A389+0,A389),tbl_Consulting[Job Number],0))),0))))</f>
        <v/>
      </c>
      <c r="R389" s="27">
        <f>IF(A389="","",SUMIFS(tbl_Finance[Ex GST],tbl_Finance[Job Number],A389&amp;""))</f>
        <v/>
      </c>
      <c r="S389" s="27">
        <f>IF(A389="","",Q389-R389)</f>
        <v/>
      </c>
      <c r="T389" s="26">
        <f>IF(A389="","",IF(Q389=0,"No dept value",IF(ROUND(S389,2)=0,"Agrees",IF(S389&gt;0,"Dept higher - to invoice","Xero higher - check dept"))))</f>
        <v/>
      </c>
      <c r="U389" s="22" t="n"/>
      <c r="V389" s="22" t="n"/>
      <c r="W389" s="23" t="n"/>
      <c r="X389" s="23" t="n"/>
      <c r="Y389" s="22" t="n"/>
      <c r="Z389" s="22" t="n"/>
      <c r="AA389" s="26">
        <f>IF(COUNTA(C389,A389,B389,E389)=0,"",IF(C389="","No date - sits outside every month",IF(A389="","No job number",IF(H389="CHECK","Job number is not in the Xero job list",IF(G389="not set up yet","No department has set this job up - nothing can pull through",IF(D389="","No cost centre",IF(AND(U389="Y",B389=""),"Marked posted to Xero but has no invoice number",IF(N389="","Cost centre has no revenue GL on the Lists sheet",IF(T389="Xero higher - check dept","Invoiced more than the department says the job is worth","")))))))))</f>
        <v/>
      </c>
      <c r="AB389" s="28">
        <f>IF(A389="","",COUNTIFS(tbl_Finance[Job Number],A389&amp;"",tbl_Finance[Ex GST],"&lt;&gt;"))</f>
        <v/>
      </c>
      <c r="AC389" s="27">
        <f>IF(A389="","",SUMIFS(tbl_Finance[Ex GST],tbl_Finance[Job Number],A389&amp;""))</f>
        <v/>
      </c>
      <c r="AD389" s="27">
        <f>IF(A389="","",SUMIFS(tbl_Finance[Ex GST],tbl_Finance[Job Number],A389&amp;"",tbl_Finance[Xero Invoice No],"&lt;&gt;"))</f>
        <v/>
      </c>
      <c r="AE389" s="27">
        <f>IF(A389="","",AC389-AD389)</f>
        <v/>
      </c>
      <c r="AF389" s="26">
        <f>IF(A389="","",IFERROR(IF(INDEX(tbl_Onsite[Qwilr Quote],IFERROR(MATCH(A389&amp;"",tbl_Onsite[Job Number],0),MATCH(IFERROR(A389+0,A389),tbl_Onsite[Job Number],0)))="","",INDEX(tbl_Onsite[Qwilr Quote],IFERROR(MATCH(A389&amp;"",tbl_Onsite[Job Number],0),MATCH(IFERROR(A389+0,A389),tbl_Onsite[Job Number],0)))),IFERROR(IF(IF(INDEX(tbl_Production[Current RMS No],IFERROR(MATCH(A389&amp;"",tbl_Production[Job Number],0),MATCH(IFERROR(A389+0,A389),tbl_Production[Job Number],0)))="",INDEX(tbl_Production[Qwilr Quote],IFERROR(MATCH(A389&amp;"",tbl_Production[Job Number],0),MATCH(IFERROR(A389+0,A389),tbl_Production[Job Number],0))),INDEX(tbl_Production[Current RMS No],IFERROR(MATCH(A389&amp;"",tbl_Production[Job Number],0),MATCH(IFERROR(A389+0,A389),tbl_Production[Job Number],0))))="","",IF(INDEX(tbl_Production[Current RMS No],IFERROR(MATCH(A389&amp;"",tbl_Production[Job Number],0),MATCH(IFERROR(A389+0,A389),tbl_Production[Job Number],0)))="",INDEX(tbl_Production[Qwilr Quote],IFERROR(MATCH(A389&amp;"",tbl_Production[Job Number],0),MATCH(IFERROR(A389+0,A389),tbl_Production[Job Number],0))),INDEX(tbl_Production[Current RMS No],IFERROR(MATCH(A389&amp;"",tbl_Production[Job Number],0),MATCH(IFERROR(A389+0,A389),tbl_Production[Job Number],0))))),IFERROR(IF(INDEX(tbl_Consulting[Qwilr Quote],IFERROR(MATCH(A389&amp;"",tbl_Consulting[Job Number],0),MATCH(IFERROR(A389+0,A389),tbl_Consulting[Job Number],0)))="","",INDEX(tbl_Consulting[Qwilr Quote],IFERROR(MATCH(A389&amp;"",tbl_Consulting[Job Number],0),MATCH(IFERROR(A389+0,A389),tbl_Consulting[Job Number],0)))),""))))</f>
        <v/>
      </c>
      <c r="AG389" s="26">
        <f>IF(AF389="","",IF(AND(LEFT(AF389,4)&lt;&gt;"http",IF(G389="Production",set_RMSBase,set_QwilrBase)=""),"",HYPERLINK(IF(LEFT(AF389,4)="http",AF389,IF(G389="Production",set_RMSBase,set_QwilrBase)&amp;AF389),"Open")))</f>
        <v/>
      </c>
      <c r="AH389" s="27">
        <f>IF(A389="","",IFERROR(INDEX(tbl_Production[Total Expense],IFERROR(MATCH(A389&amp;"",tbl_Production[Job Number],0),MATCH(IFERROR(A389+0,A389),tbl_Production[Job Number],0))),IFERROR(INDEX(tbl_Consulting[Total Expense],IFERROR(MATCH(A389&amp;"",tbl_Consulting[Job Number],0),MATCH(IFERROR(A389+0,A389),tbl_Consulting[Job Number],0))),0)))</f>
        <v/>
      </c>
      <c r="AI389" s="27">
        <f>IF(A389="","",AC389-N(AH389))</f>
        <v/>
      </c>
      <c r="AJ389" s="29">
        <f>IFERROR(AI389/AC389,"")</f>
        <v/>
      </c>
      <c r="AK389" s="26">
        <f>IF(A389="","",IFERROR(IF(INDEX(tbl_Onsite[Notes],IFERROR(MATCH(A389&amp;"",tbl_Onsite[Job Number],0),MATCH(IFERROR(A389+0,A389),tbl_Onsite[Job Number],0)))="","",INDEX(tbl_Onsite[Notes],IFERROR(MATCH(A389&amp;"",tbl_Onsite[Job Number],0),MATCH(IFERROR(A389+0,A389),tbl_Onsite[Job Number],0)))),IFERROR(IF(INDEX(tbl_Production[Notes],IFERROR(MATCH(A389&amp;"",tbl_Production[Job Number],0),MATCH(IFERROR(A389+0,A389),tbl_Production[Job Number],0)))="","",INDEX(tbl_Production[Notes],IFERROR(MATCH(A389&amp;"",tbl_Production[Job Number],0),MATCH(IFERROR(A389+0,A389),tbl_Production[Job Number],0)))),IFERROR(IF(INDEX(tbl_Consulting[Notes],IFERROR(MATCH(A389&amp;"",tbl_Consulting[Job Number],0),MATCH(IFERROR(A389+0,A389),tbl_Consulting[Job Number],0)))="","",INDEX(tbl_Consulting[Notes],IFERROR(MATCH(A389&amp;"",tbl_Consulting[Job Number],0),MATCH(IFERROR(A389+0,A389),tbl_Consulting[Job Number],0)))),""))))</f>
        <v/>
      </c>
    </row>
    <row r="390" ht="15" customHeight="1">
      <c r="A390" s="22" t="n"/>
      <c r="B390" s="22" t="n"/>
      <c r="C390" s="23" t="n"/>
      <c r="D390" s="22" t="n"/>
      <c r="E390" s="24" t="n"/>
      <c r="F390" s="25">
        <f>IF(C390="","",EOMONTH(C390,0))</f>
        <v/>
      </c>
      <c r="G390" s="26">
        <f>IF(A390="","",IF(COUNTIF(tbl_Onsite[Job Number],A390&amp;"")&gt;0,"Onsite",IF(COUNTIF(tbl_Production[Job Number],A390&amp;"")&gt;0,"Production",IF(COUNTIF(tbl_Consulting[Job Number],A390&amp;"")&gt;0,"Consulting","not set up yet"))))</f>
        <v/>
      </c>
      <c r="H390" s="26">
        <f>IF(A390="","",IF(COUNTIF(lst_Jobs,A390&amp;"")&gt;0,"OK","CHECK"))</f>
        <v/>
      </c>
      <c r="I390" s="26">
        <f>IF(A390="","",IFERROR(INDEX(lst_JobName,MATCH(A390&amp;"",lst_Jobs,0)),""))</f>
        <v/>
      </c>
      <c r="J390" s="26">
        <f>IF(A390="","",IFERROR(IF(INDEX(tbl_Onsite[Client],IFERROR(MATCH(A390&amp;"",tbl_Onsite[Job Number],0),MATCH(IFERROR(A390+0,A390),tbl_Onsite[Job Number],0)))="","",INDEX(tbl_Onsite[Client],IFERROR(MATCH(A390&amp;"",tbl_Onsite[Job Number],0),MATCH(IFERROR(A390+0,A390),tbl_Onsite[Job Number],0)))),IFERROR(IF(INDEX(tbl_Production[Client],IFERROR(MATCH(A390&amp;"",tbl_Production[Job Number],0),MATCH(IFERROR(A390+0,A390),tbl_Production[Job Number],0)))="","",INDEX(tbl_Production[Client],IFERROR(MATCH(A390&amp;"",tbl_Production[Job Number],0),MATCH(IFERROR(A390+0,A390),tbl_Production[Job Number],0)))),IFERROR(IF(INDEX(tbl_Consulting[Client],IFERROR(MATCH(A390&amp;"",tbl_Consulting[Job Number],0),MATCH(IFERROR(A390+0,A390),tbl_Consulting[Job Number],0)))="","",INDEX(tbl_Consulting[Client],IFERROR(MATCH(A390&amp;"",tbl_Consulting[Job Number],0),MATCH(IFERROR(A390+0,A390),tbl_Consulting[Job Number],0)))),""))))</f>
        <v/>
      </c>
      <c r="K390" s="26">
        <f>IF(A390="","",IFERROR(IF(INDEX(tbl_Onsite[Job Description],IFERROR(MATCH(A390&amp;"",tbl_Onsite[Job Number],0),MATCH(IFERROR(A390+0,A390),tbl_Onsite[Job Number],0)))="","",INDEX(tbl_Onsite[Job Description],IFERROR(MATCH(A390&amp;"",tbl_Onsite[Job Number],0),MATCH(IFERROR(A390+0,A390),tbl_Onsite[Job Number],0)))),IFERROR(IF(INDEX(tbl_Production[Job Description],IFERROR(MATCH(A390&amp;"",tbl_Production[Job Number],0),MATCH(IFERROR(A390+0,A390),tbl_Production[Job Number],0)))="","",INDEX(tbl_Production[Job Description],IFERROR(MATCH(A390&amp;"",tbl_Production[Job Number],0),MATCH(IFERROR(A390+0,A390),tbl_Production[Job Number],0)))),IFERROR(IF(INDEX(tbl_Consulting[Job Description],IFERROR(MATCH(A390&amp;"",tbl_Consulting[Job Number],0),MATCH(IFERROR(A390+0,A390),tbl_Consulting[Job Number],0)))="","",INDEX(tbl_Consulting[Job Description],IFERROR(MATCH(A390&amp;"",tbl_Consulting[Job Number],0),MATCH(IFERROR(A390+0,A390),tbl_Consulting[Job Number],0)))),""))))</f>
        <v/>
      </c>
      <c r="L390" s="26">
        <f>IF(A390="","",IFERROR(IF(INDEX(tbl_Onsite[Invoice Type],IFERROR(MATCH(A390&amp;"",tbl_Onsite[Job Number],0),MATCH(IFERROR(A390+0,A390),tbl_Onsite[Job Number],0)))="","",INDEX(tbl_Onsite[Invoice Type],IFERROR(MATCH(A390&amp;"",tbl_Onsite[Job Number],0),MATCH(IFERROR(A390+0,A390),tbl_Onsite[Job Number],0)))),IFERROR(IF(INDEX(tbl_Production[Invoice Type],IFERROR(MATCH(A390&amp;"",tbl_Production[Job Number],0),MATCH(IFERROR(A390+0,A390),tbl_Production[Job Number],0)))="","",INDEX(tbl_Production[Invoice Type],IFERROR(MATCH(A390&amp;"",tbl_Production[Job Number],0),MATCH(IFERROR(A390+0,A390),tbl_Production[Job Number],0)))),IFERROR(IF(INDEX(tbl_Consulting[Invoice Type],IFERROR(MATCH(A390&amp;"",tbl_Consulting[Job Number],0),MATCH(IFERROR(A390+0,A390),tbl_Consulting[Job Number],0)))="","",INDEX(tbl_Consulting[Invoice Type],IFERROR(MATCH(A390&amp;"",tbl_Consulting[Job Number],0),MATCH(IFERROR(A390+0,A390),tbl_Consulting[Job Number],0)))),""))))</f>
        <v/>
      </c>
      <c r="M390" s="26">
        <f>IF(A390="","",IF(IFERROR(IF(INDEX(tbl_Onsite[Tax Code],IFERROR(MATCH(A390&amp;"",tbl_Onsite[Job Number],0),MATCH(IFERROR(A390+0,A390),tbl_Onsite[Job Number],0)))="","",INDEX(tbl_Onsite[Tax Code],IFERROR(MATCH(A390&amp;"",tbl_Onsite[Job Number],0),MATCH(IFERROR(A390+0,A390),tbl_Onsite[Job Number],0)))),IFERROR(IF(INDEX(tbl_Production[Tax Code],IFERROR(MATCH(A390&amp;"",tbl_Production[Job Number],0),MATCH(IFERROR(A390+0,A390),tbl_Production[Job Number],0)))="","",INDEX(tbl_Production[Tax Code],IFERROR(MATCH(A390&amp;"",tbl_Production[Job Number],0),MATCH(IFERROR(A390+0,A390),tbl_Production[Job Number],0)))),IFERROR(IF(INDEX(tbl_Consulting[Tax Code],IFERROR(MATCH(A390&amp;"",tbl_Consulting[Job Number],0),MATCH(IFERROR(A390+0,A390),tbl_Consulting[Job Number],0)))="","",INDEX(tbl_Consulting[Tax Code],IFERROR(MATCH(A390&amp;"",tbl_Consulting[Job Number],0),MATCH(IFERROR(A390+0,A390),tbl_Consulting[Job Number],0)))),"")))="","GST 10%",IFERROR(IF(INDEX(tbl_Onsite[Tax Code],IFERROR(MATCH(A390&amp;"",tbl_Onsite[Job Number],0),MATCH(IFERROR(A390+0,A390),tbl_Onsite[Job Number],0)))="","",INDEX(tbl_Onsite[Tax Code],IFERROR(MATCH(A390&amp;"",tbl_Onsite[Job Number],0),MATCH(IFERROR(A390+0,A390),tbl_Onsite[Job Number],0)))),IFERROR(IF(INDEX(tbl_Production[Tax Code],IFERROR(MATCH(A390&amp;"",tbl_Production[Job Number],0),MATCH(IFERROR(A390+0,A390),tbl_Production[Job Number],0)))="","",INDEX(tbl_Production[Tax Code],IFERROR(MATCH(A390&amp;"",tbl_Production[Job Number],0),MATCH(IFERROR(A390+0,A390),tbl_Production[Job Number],0)))),IFERROR(IF(INDEX(tbl_Consulting[Tax Code],IFERROR(MATCH(A390&amp;"",tbl_Consulting[Job Number],0),MATCH(IFERROR(A390+0,A390),tbl_Consulting[Job Number],0)))="","",INDEX(tbl_Consulting[Tax Code],IFERROR(MATCH(A390&amp;"",tbl_Consulting[Job Number],0),MATCH(IFERROR(A390+0,A390),tbl_Consulting[Job Number],0)))),"")))))</f>
        <v/>
      </c>
      <c r="N390" s="26">
        <f>IF(D390="","",IFERROR(INDEX(lst_CCtoGL,MATCH(D390,lst_CCforGL,0)),""))</f>
        <v/>
      </c>
      <c r="O390" s="27">
        <f>IF(E390="","",IF(M390="GST 10%",ROUND(E390*set_GSTRate,2),0))</f>
        <v/>
      </c>
      <c r="P390" s="27">
        <f>IF(E390="","",E390+O390)</f>
        <v/>
      </c>
      <c r="Q390" s="27">
        <f>IF(A390="","",IFERROR(INDEX(tbl_Onsite[Expected Revenue Ex GST],IFERROR(MATCH(A390&amp;"",tbl_Onsite[Job Number],0),MATCH(IFERROR(A390+0,A390),tbl_Onsite[Job Number],0))),IFERROR(INDEX(tbl_Production[Expected Revenue Ex GST],IFERROR(MATCH(A390&amp;"",tbl_Production[Job Number],0),MATCH(IFERROR(A390+0,A390),tbl_Production[Job Number],0))),IFERROR(INDEX(tbl_Consulting[Expected Revenue Ex GST],IFERROR(MATCH(A390&amp;"",tbl_Consulting[Job Number],0),MATCH(IFERROR(A390+0,A390),tbl_Consulting[Job Number],0))),0))))</f>
        <v/>
      </c>
      <c r="R390" s="27">
        <f>IF(A390="","",SUMIFS(tbl_Finance[Ex GST],tbl_Finance[Job Number],A390&amp;""))</f>
        <v/>
      </c>
      <c r="S390" s="27">
        <f>IF(A390="","",Q390-R390)</f>
        <v/>
      </c>
      <c r="T390" s="26">
        <f>IF(A390="","",IF(Q390=0,"No dept value",IF(ROUND(S390,2)=0,"Agrees",IF(S390&gt;0,"Dept higher - to invoice","Xero higher - check dept"))))</f>
        <v/>
      </c>
      <c r="U390" s="22" t="n"/>
      <c r="V390" s="22" t="n"/>
      <c r="W390" s="23" t="n"/>
      <c r="X390" s="23" t="n"/>
      <c r="Y390" s="22" t="n"/>
      <c r="Z390" s="22" t="n"/>
      <c r="AA390" s="26">
        <f>IF(COUNTA(C390,A390,B390,E390)=0,"",IF(C390="","No date - sits outside every month",IF(A390="","No job number",IF(H390="CHECK","Job number is not in the Xero job list",IF(G390="not set up yet","No department has set this job up - nothing can pull through",IF(D390="","No cost centre",IF(AND(U390="Y",B390=""),"Marked posted to Xero but has no invoice number",IF(N390="","Cost centre has no revenue GL on the Lists sheet",IF(T390="Xero higher - check dept","Invoiced more than the department says the job is worth","")))))))))</f>
        <v/>
      </c>
      <c r="AB390" s="28">
        <f>IF(A390="","",COUNTIFS(tbl_Finance[Job Number],A390&amp;"",tbl_Finance[Ex GST],"&lt;&gt;"))</f>
        <v/>
      </c>
      <c r="AC390" s="27">
        <f>IF(A390="","",SUMIFS(tbl_Finance[Ex GST],tbl_Finance[Job Number],A390&amp;""))</f>
        <v/>
      </c>
      <c r="AD390" s="27">
        <f>IF(A390="","",SUMIFS(tbl_Finance[Ex GST],tbl_Finance[Job Number],A390&amp;"",tbl_Finance[Xero Invoice No],"&lt;&gt;"))</f>
        <v/>
      </c>
      <c r="AE390" s="27">
        <f>IF(A390="","",AC390-AD390)</f>
        <v/>
      </c>
      <c r="AF390" s="26">
        <f>IF(A390="","",IFERROR(IF(INDEX(tbl_Onsite[Qwilr Quote],IFERROR(MATCH(A390&amp;"",tbl_Onsite[Job Number],0),MATCH(IFERROR(A390+0,A390),tbl_Onsite[Job Number],0)))="","",INDEX(tbl_Onsite[Qwilr Quote],IFERROR(MATCH(A390&amp;"",tbl_Onsite[Job Number],0),MATCH(IFERROR(A390+0,A390),tbl_Onsite[Job Number],0)))),IFERROR(IF(IF(INDEX(tbl_Production[Current RMS No],IFERROR(MATCH(A390&amp;"",tbl_Production[Job Number],0),MATCH(IFERROR(A390+0,A390),tbl_Production[Job Number],0)))="",INDEX(tbl_Production[Qwilr Quote],IFERROR(MATCH(A390&amp;"",tbl_Production[Job Number],0),MATCH(IFERROR(A390+0,A390),tbl_Production[Job Number],0))),INDEX(tbl_Production[Current RMS No],IFERROR(MATCH(A390&amp;"",tbl_Production[Job Number],0),MATCH(IFERROR(A390+0,A390),tbl_Production[Job Number],0))))="","",IF(INDEX(tbl_Production[Current RMS No],IFERROR(MATCH(A390&amp;"",tbl_Production[Job Number],0),MATCH(IFERROR(A390+0,A390),tbl_Production[Job Number],0)))="",INDEX(tbl_Production[Qwilr Quote],IFERROR(MATCH(A390&amp;"",tbl_Production[Job Number],0),MATCH(IFERROR(A390+0,A390),tbl_Production[Job Number],0))),INDEX(tbl_Production[Current RMS No],IFERROR(MATCH(A390&amp;"",tbl_Production[Job Number],0),MATCH(IFERROR(A390+0,A390),tbl_Production[Job Number],0))))),IFERROR(IF(INDEX(tbl_Consulting[Qwilr Quote],IFERROR(MATCH(A390&amp;"",tbl_Consulting[Job Number],0),MATCH(IFERROR(A390+0,A390),tbl_Consulting[Job Number],0)))="","",INDEX(tbl_Consulting[Qwilr Quote],IFERROR(MATCH(A390&amp;"",tbl_Consulting[Job Number],0),MATCH(IFERROR(A390+0,A390),tbl_Consulting[Job Number],0)))),""))))</f>
        <v/>
      </c>
      <c r="AG390" s="26">
        <f>IF(AF390="","",IF(AND(LEFT(AF390,4)&lt;&gt;"http",IF(G390="Production",set_RMSBase,set_QwilrBase)=""),"",HYPERLINK(IF(LEFT(AF390,4)="http",AF390,IF(G390="Production",set_RMSBase,set_QwilrBase)&amp;AF390),"Open")))</f>
        <v/>
      </c>
      <c r="AH390" s="27">
        <f>IF(A390="","",IFERROR(INDEX(tbl_Production[Total Expense],IFERROR(MATCH(A390&amp;"",tbl_Production[Job Number],0),MATCH(IFERROR(A390+0,A390),tbl_Production[Job Number],0))),IFERROR(INDEX(tbl_Consulting[Total Expense],IFERROR(MATCH(A390&amp;"",tbl_Consulting[Job Number],0),MATCH(IFERROR(A390+0,A390),tbl_Consulting[Job Number],0))),0)))</f>
        <v/>
      </c>
      <c r="AI390" s="27">
        <f>IF(A390="","",AC390-N(AH390))</f>
        <v/>
      </c>
      <c r="AJ390" s="29">
        <f>IFERROR(AI390/AC390,"")</f>
        <v/>
      </c>
      <c r="AK390" s="26">
        <f>IF(A390="","",IFERROR(IF(INDEX(tbl_Onsite[Notes],IFERROR(MATCH(A390&amp;"",tbl_Onsite[Job Number],0),MATCH(IFERROR(A390+0,A390),tbl_Onsite[Job Number],0)))="","",INDEX(tbl_Onsite[Notes],IFERROR(MATCH(A390&amp;"",tbl_Onsite[Job Number],0),MATCH(IFERROR(A390+0,A390),tbl_Onsite[Job Number],0)))),IFERROR(IF(INDEX(tbl_Production[Notes],IFERROR(MATCH(A390&amp;"",tbl_Production[Job Number],0),MATCH(IFERROR(A390+0,A390),tbl_Production[Job Number],0)))="","",INDEX(tbl_Production[Notes],IFERROR(MATCH(A390&amp;"",tbl_Production[Job Number],0),MATCH(IFERROR(A390+0,A390),tbl_Production[Job Number],0)))),IFERROR(IF(INDEX(tbl_Consulting[Notes],IFERROR(MATCH(A390&amp;"",tbl_Consulting[Job Number],0),MATCH(IFERROR(A390+0,A390),tbl_Consulting[Job Number],0)))="","",INDEX(tbl_Consulting[Notes],IFERROR(MATCH(A390&amp;"",tbl_Consulting[Job Number],0),MATCH(IFERROR(A390+0,A390),tbl_Consulting[Job Number],0)))),""))))</f>
        <v/>
      </c>
    </row>
    <row r="391" ht="15" customHeight="1">
      <c r="A391" s="22" t="n"/>
      <c r="B391" s="22" t="n"/>
      <c r="C391" s="23" t="n"/>
      <c r="D391" s="22" t="n"/>
      <c r="E391" s="24" t="n"/>
      <c r="F391" s="25">
        <f>IF(C391="","",EOMONTH(C391,0))</f>
        <v/>
      </c>
      <c r="G391" s="26">
        <f>IF(A391="","",IF(COUNTIF(tbl_Onsite[Job Number],A391&amp;"")&gt;0,"Onsite",IF(COUNTIF(tbl_Production[Job Number],A391&amp;"")&gt;0,"Production",IF(COUNTIF(tbl_Consulting[Job Number],A391&amp;"")&gt;0,"Consulting","not set up yet"))))</f>
        <v/>
      </c>
      <c r="H391" s="26">
        <f>IF(A391="","",IF(COUNTIF(lst_Jobs,A391&amp;"")&gt;0,"OK","CHECK"))</f>
        <v/>
      </c>
      <c r="I391" s="26">
        <f>IF(A391="","",IFERROR(INDEX(lst_JobName,MATCH(A391&amp;"",lst_Jobs,0)),""))</f>
        <v/>
      </c>
      <c r="J391" s="26">
        <f>IF(A391="","",IFERROR(IF(INDEX(tbl_Onsite[Client],IFERROR(MATCH(A391&amp;"",tbl_Onsite[Job Number],0),MATCH(IFERROR(A391+0,A391),tbl_Onsite[Job Number],0)))="","",INDEX(tbl_Onsite[Client],IFERROR(MATCH(A391&amp;"",tbl_Onsite[Job Number],0),MATCH(IFERROR(A391+0,A391),tbl_Onsite[Job Number],0)))),IFERROR(IF(INDEX(tbl_Production[Client],IFERROR(MATCH(A391&amp;"",tbl_Production[Job Number],0),MATCH(IFERROR(A391+0,A391),tbl_Production[Job Number],0)))="","",INDEX(tbl_Production[Client],IFERROR(MATCH(A391&amp;"",tbl_Production[Job Number],0),MATCH(IFERROR(A391+0,A391),tbl_Production[Job Number],0)))),IFERROR(IF(INDEX(tbl_Consulting[Client],IFERROR(MATCH(A391&amp;"",tbl_Consulting[Job Number],0),MATCH(IFERROR(A391+0,A391),tbl_Consulting[Job Number],0)))="","",INDEX(tbl_Consulting[Client],IFERROR(MATCH(A391&amp;"",tbl_Consulting[Job Number],0),MATCH(IFERROR(A391+0,A391),tbl_Consulting[Job Number],0)))),""))))</f>
        <v/>
      </c>
      <c r="K391" s="26">
        <f>IF(A391="","",IFERROR(IF(INDEX(tbl_Onsite[Job Description],IFERROR(MATCH(A391&amp;"",tbl_Onsite[Job Number],0),MATCH(IFERROR(A391+0,A391),tbl_Onsite[Job Number],0)))="","",INDEX(tbl_Onsite[Job Description],IFERROR(MATCH(A391&amp;"",tbl_Onsite[Job Number],0),MATCH(IFERROR(A391+0,A391),tbl_Onsite[Job Number],0)))),IFERROR(IF(INDEX(tbl_Production[Job Description],IFERROR(MATCH(A391&amp;"",tbl_Production[Job Number],0),MATCH(IFERROR(A391+0,A391),tbl_Production[Job Number],0)))="","",INDEX(tbl_Production[Job Description],IFERROR(MATCH(A391&amp;"",tbl_Production[Job Number],0),MATCH(IFERROR(A391+0,A391),tbl_Production[Job Number],0)))),IFERROR(IF(INDEX(tbl_Consulting[Job Description],IFERROR(MATCH(A391&amp;"",tbl_Consulting[Job Number],0),MATCH(IFERROR(A391+0,A391),tbl_Consulting[Job Number],0)))="","",INDEX(tbl_Consulting[Job Description],IFERROR(MATCH(A391&amp;"",tbl_Consulting[Job Number],0),MATCH(IFERROR(A391+0,A391),tbl_Consulting[Job Number],0)))),""))))</f>
        <v/>
      </c>
      <c r="L391" s="26">
        <f>IF(A391="","",IFERROR(IF(INDEX(tbl_Onsite[Invoice Type],IFERROR(MATCH(A391&amp;"",tbl_Onsite[Job Number],0),MATCH(IFERROR(A391+0,A391),tbl_Onsite[Job Number],0)))="","",INDEX(tbl_Onsite[Invoice Type],IFERROR(MATCH(A391&amp;"",tbl_Onsite[Job Number],0),MATCH(IFERROR(A391+0,A391),tbl_Onsite[Job Number],0)))),IFERROR(IF(INDEX(tbl_Production[Invoice Type],IFERROR(MATCH(A391&amp;"",tbl_Production[Job Number],0),MATCH(IFERROR(A391+0,A391),tbl_Production[Job Number],0)))="","",INDEX(tbl_Production[Invoice Type],IFERROR(MATCH(A391&amp;"",tbl_Production[Job Number],0),MATCH(IFERROR(A391+0,A391),tbl_Production[Job Number],0)))),IFERROR(IF(INDEX(tbl_Consulting[Invoice Type],IFERROR(MATCH(A391&amp;"",tbl_Consulting[Job Number],0),MATCH(IFERROR(A391+0,A391),tbl_Consulting[Job Number],0)))="","",INDEX(tbl_Consulting[Invoice Type],IFERROR(MATCH(A391&amp;"",tbl_Consulting[Job Number],0),MATCH(IFERROR(A391+0,A391),tbl_Consulting[Job Number],0)))),""))))</f>
        <v/>
      </c>
      <c r="M391" s="26">
        <f>IF(A391="","",IF(IFERROR(IF(INDEX(tbl_Onsite[Tax Code],IFERROR(MATCH(A391&amp;"",tbl_Onsite[Job Number],0),MATCH(IFERROR(A391+0,A391),tbl_Onsite[Job Number],0)))="","",INDEX(tbl_Onsite[Tax Code],IFERROR(MATCH(A391&amp;"",tbl_Onsite[Job Number],0),MATCH(IFERROR(A391+0,A391),tbl_Onsite[Job Number],0)))),IFERROR(IF(INDEX(tbl_Production[Tax Code],IFERROR(MATCH(A391&amp;"",tbl_Production[Job Number],0),MATCH(IFERROR(A391+0,A391),tbl_Production[Job Number],0)))="","",INDEX(tbl_Production[Tax Code],IFERROR(MATCH(A391&amp;"",tbl_Production[Job Number],0),MATCH(IFERROR(A391+0,A391),tbl_Production[Job Number],0)))),IFERROR(IF(INDEX(tbl_Consulting[Tax Code],IFERROR(MATCH(A391&amp;"",tbl_Consulting[Job Number],0),MATCH(IFERROR(A391+0,A391),tbl_Consulting[Job Number],0)))="","",INDEX(tbl_Consulting[Tax Code],IFERROR(MATCH(A391&amp;"",tbl_Consulting[Job Number],0),MATCH(IFERROR(A391+0,A391),tbl_Consulting[Job Number],0)))),"")))="","GST 10%",IFERROR(IF(INDEX(tbl_Onsite[Tax Code],IFERROR(MATCH(A391&amp;"",tbl_Onsite[Job Number],0),MATCH(IFERROR(A391+0,A391),tbl_Onsite[Job Number],0)))="","",INDEX(tbl_Onsite[Tax Code],IFERROR(MATCH(A391&amp;"",tbl_Onsite[Job Number],0),MATCH(IFERROR(A391+0,A391),tbl_Onsite[Job Number],0)))),IFERROR(IF(INDEX(tbl_Production[Tax Code],IFERROR(MATCH(A391&amp;"",tbl_Production[Job Number],0),MATCH(IFERROR(A391+0,A391),tbl_Production[Job Number],0)))="","",INDEX(tbl_Production[Tax Code],IFERROR(MATCH(A391&amp;"",tbl_Production[Job Number],0),MATCH(IFERROR(A391+0,A391),tbl_Production[Job Number],0)))),IFERROR(IF(INDEX(tbl_Consulting[Tax Code],IFERROR(MATCH(A391&amp;"",tbl_Consulting[Job Number],0),MATCH(IFERROR(A391+0,A391),tbl_Consulting[Job Number],0)))="","",INDEX(tbl_Consulting[Tax Code],IFERROR(MATCH(A391&amp;"",tbl_Consulting[Job Number],0),MATCH(IFERROR(A391+0,A391),tbl_Consulting[Job Number],0)))),"")))))</f>
        <v/>
      </c>
      <c r="N391" s="26">
        <f>IF(D391="","",IFERROR(INDEX(lst_CCtoGL,MATCH(D391,lst_CCforGL,0)),""))</f>
        <v/>
      </c>
      <c r="O391" s="27">
        <f>IF(E391="","",IF(M391="GST 10%",ROUND(E391*set_GSTRate,2),0))</f>
        <v/>
      </c>
      <c r="P391" s="27">
        <f>IF(E391="","",E391+O391)</f>
        <v/>
      </c>
      <c r="Q391" s="27">
        <f>IF(A391="","",IFERROR(INDEX(tbl_Onsite[Expected Revenue Ex GST],IFERROR(MATCH(A391&amp;"",tbl_Onsite[Job Number],0),MATCH(IFERROR(A391+0,A391),tbl_Onsite[Job Number],0))),IFERROR(INDEX(tbl_Production[Expected Revenue Ex GST],IFERROR(MATCH(A391&amp;"",tbl_Production[Job Number],0),MATCH(IFERROR(A391+0,A391),tbl_Production[Job Number],0))),IFERROR(INDEX(tbl_Consulting[Expected Revenue Ex GST],IFERROR(MATCH(A391&amp;"",tbl_Consulting[Job Number],0),MATCH(IFERROR(A391+0,A391),tbl_Consulting[Job Number],0))),0))))</f>
        <v/>
      </c>
      <c r="R391" s="27">
        <f>IF(A391="","",SUMIFS(tbl_Finance[Ex GST],tbl_Finance[Job Number],A391&amp;""))</f>
        <v/>
      </c>
      <c r="S391" s="27">
        <f>IF(A391="","",Q391-R391)</f>
        <v/>
      </c>
      <c r="T391" s="26">
        <f>IF(A391="","",IF(Q391=0,"No dept value",IF(ROUND(S391,2)=0,"Agrees",IF(S391&gt;0,"Dept higher - to invoice","Xero higher - check dept"))))</f>
        <v/>
      </c>
      <c r="U391" s="22" t="n"/>
      <c r="V391" s="22" t="n"/>
      <c r="W391" s="23" t="n"/>
      <c r="X391" s="23" t="n"/>
      <c r="Y391" s="22" t="n"/>
      <c r="Z391" s="22" t="n"/>
      <c r="AA391" s="26">
        <f>IF(COUNTA(C391,A391,B391,E391)=0,"",IF(C391="","No date - sits outside every month",IF(A391="","No job number",IF(H391="CHECK","Job number is not in the Xero job list",IF(G391="not set up yet","No department has set this job up - nothing can pull through",IF(D391="","No cost centre",IF(AND(U391="Y",B391=""),"Marked posted to Xero but has no invoice number",IF(N391="","Cost centre has no revenue GL on the Lists sheet",IF(T391="Xero higher - check dept","Invoiced more than the department says the job is worth","")))))))))</f>
        <v/>
      </c>
      <c r="AB391" s="28">
        <f>IF(A391="","",COUNTIFS(tbl_Finance[Job Number],A391&amp;"",tbl_Finance[Ex GST],"&lt;&gt;"))</f>
        <v/>
      </c>
      <c r="AC391" s="27">
        <f>IF(A391="","",SUMIFS(tbl_Finance[Ex GST],tbl_Finance[Job Number],A391&amp;""))</f>
        <v/>
      </c>
      <c r="AD391" s="27">
        <f>IF(A391="","",SUMIFS(tbl_Finance[Ex GST],tbl_Finance[Job Number],A391&amp;"",tbl_Finance[Xero Invoice No],"&lt;&gt;"))</f>
        <v/>
      </c>
      <c r="AE391" s="27">
        <f>IF(A391="","",AC391-AD391)</f>
        <v/>
      </c>
      <c r="AF391" s="26">
        <f>IF(A391="","",IFERROR(IF(INDEX(tbl_Onsite[Qwilr Quote],IFERROR(MATCH(A391&amp;"",tbl_Onsite[Job Number],0),MATCH(IFERROR(A391+0,A391),tbl_Onsite[Job Number],0)))="","",INDEX(tbl_Onsite[Qwilr Quote],IFERROR(MATCH(A391&amp;"",tbl_Onsite[Job Number],0),MATCH(IFERROR(A391+0,A391),tbl_Onsite[Job Number],0)))),IFERROR(IF(IF(INDEX(tbl_Production[Current RMS No],IFERROR(MATCH(A391&amp;"",tbl_Production[Job Number],0),MATCH(IFERROR(A391+0,A391),tbl_Production[Job Number],0)))="",INDEX(tbl_Production[Qwilr Quote],IFERROR(MATCH(A391&amp;"",tbl_Production[Job Number],0),MATCH(IFERROR(A391+0,A391),tbl_Production[Job Number],0))),INDEX(tbl_Production[Current RMS No],IFERROR(MATCH(A391&amp;"",tbl_Production[Job Number],0),MATCH(IFERROR(A391+0,A391),tbl_Production[Job Number],0))))="","",IF(INDEX(tbl_Production[Current RMS No],IFERROR(MATCH(A391&amp;"",tbl_Production[Job Number],0),MATCH(IFERROR(A391+0,A391),tbl_Production[Job Number],0)))="",INDEX(tbl_Production[Qwilr Quote],IFERROR(MATCH(A391&amp;"",tbl_Production[Job Number],0),MATCH(IFERROR(A391+0,A391),tbl_Production[Job Number],0))),INDEX(tbl_Production[Current RMS No],IFERROR(MATCH(A391&amp;"",tbl_Production[Job Number],0),MATCH(IFERROR(A391+0,A391),tbl_Production[Job Number],0))))),IFERROR(IF(INDEX(tbl_Consulting[Qwilr Quote],IFERROR(MATCH(A391&amp;"",tbl_Consulting[Job Number],0),MATCH(IFERROR(A391+0,A391),tbl_Consulting[Job Number],0)))="","",INDEX(tbl_Consulting[Qwilr Quote],IFERROR(MATCH(A391&amp;"",tbl_Consulting[Job Number],0),MATCH(IFERROR(A391+0,A391),tbl_Consulting[Job Number],0)))),""))))</f>
        <v/>
      </c>
      <c r="AG391" s="26">
        <f>IF(AF391="","",IF(AND(LEFT(AF391,4)&lt;&gt;"http",IF(G391="Production",set_RMSBase,set_QwilrBase)=""),"",HYPERLINK(IF(LEFT(AF391,4)="http",AF391,IF(G391="Production",set_RMSBase,set_QwilrBase)&amp;AF391),"Open")))</f>
        <v/>
      </c>
      <c r="AH391" s="27">
        <f>IF(A391="","",IFERROR(INDEX(tbl_Production[Total Expense],IFERROR(MATCH(A391&amp;"",tbl_Production[Job Number],0),MATCH(IFERROR(A391+0,A391),tbl_Production[Job Number],0))),IFERROR(INDEX(tbl_Consulting[Total Expense],IFERROR(MATCH(A391&amp;"",tbl_Consulting[Job Number],0),MATCH(IFERROR(A391+0,A391),tbl_Consulting[Job Number],0))),0)))</f>
        <v/>
      </c>
      <c r="AI391" s="27">
        <f>IF(A391="","",AC391-N(AH391))</f>
        <v/>
      </c>
      <c r="AJ391" s="29">
        <f>IFERROR(AI391/AC391,"")</f>
        <v/>
      </c>
      <c r="AK391" s="26">
        <f>IF(A391="","",IFERROR(IF(INDEX(tbl_Onsite[Notes],IFERROR(MATCH(A391&amp;"",tbl_Onsite[Job Number],0),MATCH(IFERROR(A391+0,A391),tbl_Onsite[Job Number],0)))="","",INDEX(tbl_Onsite[Notes],IFERROR(MATCH(A391&amp;"",tbl_Onsite[Job Number],0),MATCH(IFERROR(A391+0,A391),tbl_Onsite[Job Number],0)))),IFERROR(IF(INDEX(tbl_Production[Notes],IFERROR(MATCH(A391&amp;"",tbl_Production[Job Number],0),MATCH(IFERROR(A391+0,A391),tbl_Production[Job Number],0)))="","",INDEX(tbl_Production[Notes],IFERROR(MATCH(A391&amp;"",tbl_Production[Job Number],0),MATCH(IFERROR(A391+0,A391),tbl_Production[Job Number],0)))),IFERROR(IF(INDEX(tbl_Consulting[Notes],IFERROR(MATCH(A391&amp;"",tbl_Consulting[Job Number],0),MATCH(IFERROR(A391+0,A391),tbl_Consulting[Job Number],0)))="","",INDEX(tbl_Consulting[Notes],IFERROR(MATCH(A391&amp;"",tbl_Consulting[Job Number],0),MATCH(IFERROR(A391+0,A391),tbl_Consulting[Job Number],0)))),""))))</f>
        <v/>
      </c>
    </row>
    <row r="392" ht="15" customHeight="1">
      <c r="A392" s="22" t="n"/>
      <c r="B392" s="22" t="n"/>
      <c r="C392" s="23" t="n"/>
      <c r="D392" s="22" t="n"/>
      <c r="E392" s="24" t="n"/>
      <c r="F392" s="25">
        <f>IF(C392="","",EOMONTH(C392,0))</f>
        <v/>
      </c>
      <c r="G392" s="26">
        <f>IF(A392="","",IF(COUNTIF(tbl_Onsite[Job Number],A392&amp;"")&gt;0,"Onsite",IF(COUNTIF(tbl_Production[Job Number],A392&amp;"")&gt;0,"Production",IF(COUNTIF(tbl_Consulting[Job Number],A392&amp;"")&gt;0,"Consulting","not set up yet"))))</f>
        <v/>
      </c>
      <c r="H392" s="26">
        <f>IF(A392="","",IF(COUNTIF(lst_Jobs,A392&amp;"")&gt;0,"OK","CHECK"))</f>
        <v/>
      </c>
      <c r="I392" s="26">
        <f>IF(A392="","",IFERROR(INDEX(lst_JobName,MATCH(A392&amp;"",lst_Jobs,0)),""))</f>
        <v/>
      </c>
      <c r="J392" s="26">
        <f>IF(A392="","",IFERROR(IF(INDEX(tbl_Onsite[Client],IFERROR(MATCH(A392&amp;"",tbl_Onsite[Job Number],0),MATCH(IFERROR(A392+0,A392),tbl_Onsite[Job Number],0)))="","",INDEX(tbl_Onsite[Client],IFERROR(MATCH(A392&amp;"",tbl_Onsite[Job Number],0),MATCH(IFERROR(A392+0,A392),tbl_Onsite[Job Number],0)))),IFERROR(IF(INDEX(tbl_Production[Client],IFERROR(MATCH(A392&amp;"",tbl_Production[Job Number],0),MATCH(IFERROR(A392+0,A392),tbl_Production[Job Number],0)))="","",INDEX(tbl_Production[Client],IFERROR(MATCH(A392&amp;"",tbl_Production[Job Number],0),MATCH(IFERROR(A392+0,A392),tbl_Production[Job Number],0)))),IFERROR(IF(INDEX(tbl_Consulting[Client],IFERROR(MATCH(A392&amp;"",tbl_Consulting[Job Number],0),MATCH(IFERROR(A392+0,A392),tbl_Consulting[Job Number],0)))="","",INDEX(tbl_Consulting[Client],IFERROR(MATCH(A392&amp;"",tbl_Consulting[Job Number],0),MATCH(IFERROR(A392+0,A392),tbl_Consulting[Job Number],0)))),""))))</f>
        <v/>
      </c>
      <c r="K392" s="26">
        <f>IF(A392="","",IFERROR(IF(INDEX(tbl_Onsite[Job Description],IFERROR(MATCH(A392&amp;"",tbl_Onsite[Job Number],0),MATCH(IFERROR(A392+0,A392),tbl_Onsite[Job Number],0)))="","",INDEX(tbl_Onsite[Job Description],IFERROR(MATCH(A392&amp;"",tbl_Onsite[Job Number],0),MATCH(IFERROR(A392+0,A392),tbl_Onsite[Job Number],0)))),IFERROR(IF(INDEX(tbl_Production[Job Description],IFERROR(MATCH(A392&amp;"",tbl_Production[Job Number],0),MATCH(IFERROR(A392+0,A392),tbl_Production[Job Number],0)))="","",INDEX(tbl_Production[Job Description],IFERROR(MATCH(A392&amp;"",tbl_Production[Job Number],0),MATCH(IFERROR(A392+0,A392),tbl_Production[Job Number],0)))),IFERROR(IF(INDEX(tbl_Consulting[Job Description],IFERROR(MATCH(A392&amp;"",tbl_Consulting[Job Number],0),MATCH(IFERROR(A392+0,A392),tbl_Consulting[Job Number],0)))="","",INDEX(tbl_Consulting[Job Description],IFERROR(MATCH(A392&amp;"",tbl_Consulting[Job Number],0),MATCH(IFERROR(A392+0,A392),tbl_Consulting[Job Number],0)))),""))))</f>
        <v/>
      </c>
      <c r="L392" s="26">
        <f>IF(A392="","",IFERROR(IF(INDEX(tbl_Onsite[Invoice Type],IFERROR(MATCH(A392&amp;"",tbl_Onsite[Job Number],0),MATCH(IFERROR(A392+0,A392),tbl_Onsite[Job Number],0)))="","",INDEX(tbl_Onsite[Invoice Type],IFERROR(MATCH(A392&amp;"",tbl_Onsite[Job Number],0),MATCH(IFERROR(A392+0,A392),tbl_Onsite[Job Number],0)))),IFERROR(IF(INDEX(tbl_Production[Invoice Type],IFERROR(MATCH(A392&amp;"",tbl_Production[Job Number],0),MATCH(IFERROR(A392+0,A392),tbl_Production[Job Number],0)))="","",INDEX(tbl_Production[Invoice Type],IFERROR(MATCH(A392&amp;"",tbl_Production[Job Number],0),MATCH(IFERROR(A392+0,A392),tbl_Production[Job Number],0)))),IFERROR(IF(INDEX(tbl_Consulting[Invoice Type],IFERROR(MATCH(A392&amp;"",tbl_Consulting[Job Number],0),MATCH(IFERROR(A392+0,A392),tbl_Consulting[Job Number],0)))="","",INDEX(tbl_Consulting[Invoice Type],IFERROR(MATCH(A392&amp;"",tbl_Consulting[Job Number],0),MATCH(IFERROR(A392+0,A392),tbl_Consulting[Job Number],0)))),""))))</f>
        <v/>
      </c>
      <c r="M392" s="26">
        <f>IF(A392="","",IF(IFERROR(IF(INDEX(tbl_Onsite[Tax Code],IFERROR(MATCH(A392&amp;"",tbl_Onsite[Job Number],0),MATCH(IFERROR(A392+0,A392),tbl_Onsite[Job Number],0)))="","",INDEX(tbl_Onsite[Tax Code],IFERROR(MATCH(A392&amp;"",tbl_Onsite[Job Number],0),MATCH(IFERROR(A392+0,A392),tbl_Onsite[Job Number],0)))),IFERROR(IF(INDEX(tbl_Production[Tax Code],IFERROR(MATCH(A392&amp;"",tbl_Production[Job Number],0),MATCH(IFERROR(A392+0,A392),tbl_Production[Job Number],0)))="","",INDEX(tbl_Production[Tax Code],IFERROR(MATCH(A392&amp;"",tbl_Production[Job Number],0),MATCH(IFERROR(A392+0,A392),tbl_Production[Job Number],0)))),IFERROR(IF(INDEX(tbl_Consulting[Tax Code],IFERROR(MATCH(A392&amp;"",tbl_Consulting[Job Number],0),MATCH(IFERROR(A392+0,A392),tbl_Consulting[Job Number],0)))="","",INDEX(tbl_Consulting[Tax Code],IFERROR(MATCH(A392&amp;"",tbl_Consulting[Job Number],0),MATCH(IFERROR(A392+0,A392),tbl_Consulting[Job Number],0)))),"")))="","GST 10%",IFERROR(IF(INDEX(tbl_Onsite[Tax Code],IFERROR(MATCH(A392&amp;"",tbl_Onsite[Job Number],0),MATCH(IFERROR(A392+0,A392),tbl_Onsite[Job Number],0)))="","",INDEX(tbl_Onsite[Tax Code],IFERROR(MATCH(A392&amp;"",tbl_Onsite[Job Number],0),MATCH(IFERROR(A392+0,A392),tbl_Onsite[Job Number],0)))),IFERROR(IF(INDEX(tbl_Production[Tax Code],IFERROR(MATCH(A392&amp;"",tbl_Production[Job Number],0),MATCH(IFERROR(A392+0,A392),tbl_Production[Job Number],0)))="","",INDEX(tbl_Production[Tax Code],IFERROR(MATCH(A392&amp;"",tbl_Production[Job Number],0),MATCH(IFERROR(A392+0,A392),tbl_Production[Job Number],0)))),IFERROR(IF(INDEX(tbl_Consulting[Tax Code],IFERROR(MATCH(A392&amp;"",tbl_Consulting[Job Number],0),MATCH(IFERROR(A392+0,A392),tbl_Consulting[Job Number],0)))="","",INDEX(tbl_Consulting[Tax Code],IFERROR(MATCH(A392&amp;"",tbl_Consulting[Job Number],0),MATCH(IFERROR(A392+0,A392),tbl_Consulting[Job Number],0)))),"")))))</f>
        <v/>
      </c>
      <c r="N392" s="26">
        <f>IF(D392="","",IFERROR(INDEX(lst_CCtoGL,MATCH(D392,lst_CCforGL,0)),""))</f>
        <v/>
      </c>
      <c r="O392" s="27">
        <f>IF(E392="","",IF(M392="GST 10%",ROUND(E392*set_GSTRate,2),0))</f>
        <v/>
      </c>
      <c r="P392" s="27">
        <f>IF(E392="","",E392+O392)</f>
        <v/>
      </c>
      <c r="Q392" s="27">
        <f>IF(A392="","",IFERROR(INDEX(tbl_Onsite[Expected Revenue Ex GST],IFERROR(MATCH(A392&amp;"",tbl_Onsite[Job Number],0),MATCH(IFERROR(A392+0,A392),tbl_Onsite[Job Number],0))),IFERROR(INDEX(tbl_Production[Expected Revenue Ex GST],IFERROR(MATCH(A392&amp;"",tbl_Production[Job Number],0),MATCH(IFERROR(A392+0,A392),tbl_Production[Job Number],0))),IFERROR(INDEX(tbl_Consulting[Expected Revenue Ex GST],IFERROR(MATCH(A392&amp;"",tbl_Consulting[Job Number],0),MATCH(IFERROR(A392+0,A392),tbl_Consulting[Job Number],0))),0))))</f>
        <v/>
      </c>
      <c r="R392" s="27">
        <f>IF(A392="","",SUMIFS(tbl_Finance[Ex GST],tbl_Finance[Job Number],A392&amp;""))</f>
        <v/>
      </c>
      <c r="S392" s="27">
        <f>IF(A392="","",Q392-R392)</f>
        <v/>
      </c>
      <c r="T392" s="26">
        <f>IF(A392="","",IF(Q392=0,"No dept value",IF(ROUND(S392,2)=0,"Agrees",IF(S392&gt;0,"Dept higher - to invoice","Xero higher - check dept"))))</f>
        <v/>
      </c>
      <c r="U392" s="22" t="n"/>
      <c r="V392" s="22" t="n"/>
      <c r="W392" s="23" t="n"/>
      <c r="X392" s="23" t="n"/>
      <c r="Y392" s="22" t="n"/>
      <c r="Z392" s="22" t="n"/>
      <c r="AA392" s="26">
        <f>IF(COUNTA(C392,A392,B392,E392)=0,"",IF(C392="","No date - sits outside every month",IF(A392="","No job number",IF(H392="CHECK","Job number is not in the Xero job list",IF(G392="not set up yet","No department has set this job up - nothing can pull through",IF(D392="","No cost centre",IF(AND(U392="Y",B392=""),"Marked posted to Xero but has no invoice number",IF(N392="","Cost centre has no revenue GL on the Lists sheet",IF(T392="Xero higher - check dept","Invoiced more than the department says the job is worth","")))))))))</f>
        <v/>
      </c>
      <c r="AB392" s="28">
        <f>IF(A392="","",COUNTIFS(tbl_Finance[Job Number],A392&amp;"",tbl_Finance[Ex GST],"&lt;&gt;"))</f>
        <v/>
      </c>
      <c r="AC392" s="27">
        <f>IF(A392="","",SUMIFS(tbl_Finance[Ex GST],tbl_Finance[Job Number],A392&amp;""))</f>
        <v/>
      </c>
      <c r="AD392" s="27">
        <f>IF(A392="","",SUMIFS(tbl_Finance[Ex GST],tbl_Finance[Job Number],A392&amp;"",tbl_Finance[Xero Invoice No],"&lt;&gt;"))</f>
        <v/>
      </c>
      <c r="AE392" s="27">
        <f>IF(A392="","",AC392-AD392)</f>
        <v/>
      </c>
      <c r="AF392" s="26">
        <f>IF(A392="","",IFERROR(IF(INDEX(tbl_Onsite[Qwilr Quote],IFERROR(MATCH(A392&amp;"",tbl_Onsite[Job Number],0),MATCH(IFERROR(A392+0,A392),tbl_Onsite[Job Number],0)))="","",INDEX(tbl_Onsite[Qwilr Quote],IFERROR(MATCH(A392&amp;"",tbl_Onsite[Job Number],0),MATCH(IFERROR(A392+0,A392),tbl_Onsite[Job Number],0)))),IFERROR(IF(IF(INDEX(tbl_Production[Current RMS No],IFERROR(MATCH(A392&amp;"",tbl_Production[Job Number],0),MATCH(IFERROR(A392+0,A392),tbl_Production[Job Number],0)))="",INDEX(tbl_Production[Qwilr Quote],IFERROR(MATCH(A392&amp;"",tbl_Production[Job Number],0),MATCH(IFERROR(A392+0,A392),tbl_Production[Job Number],0))),INDEX(tbl_Production[Current RMS No],IFERROR(MATCH(A392&amp;"",tbl_Production[Job Number],0),MATCH(IFERROR(A392+0,A392),tbl_Production[Job Number],0))))="","",IF(INDEX(tbl_Production[Current RMS No],IFERROR(MATCH(A392&amp;"",tbl_Production[Job Number],0),MATCH(IFERROR(A392+0,A392),tbl_Production[Job Number],0)))="",INDEX(tbl_Production[Qwilr Quote],IFERROR(MATCH(A392&amp;"",tbl_Production[Job Number],0),MATCH(IFERROR(A392+0,A392),tbl_Production[Job Number],0))),INDEX(tbl_Production[Current RMS No],IFERROR(MATCH(A392&amp;"",tbl_Production[Job Number],0),MATCH(IFERROR(A392+0,A392),tbl_Production[Job Number],0))))),IFERROR(IF(INDEX(tbl_Consulting[Qwilr Quote],IFERROR(MATCH(A392&amp;"",tbl_Consulting[Job Number],0),MATCH(IFERROR(A392+0,A392),tbl_Consulting[Job Number],0)))="","",INDEX(tbl_Consulting[Qwilr Quote],IFERROR(MATCH(A392&amp;"",tbl_Consulting[Job Number],0),MATCH(IFERROR(A392+0,A392),tbl_Consulting[Job Number],0)))),""))))</f>
        <v/>
      </c>
      <c r="AG392" s="26">
        <f>IF(AF392="","",IF(AND(LEFT(AF392,4)&lt;&gt;"http",IF(G392="Production",set_RMSBase,set_QwilrBase)=""),"",HYPERLINK(IF(LEFT(AF392,4)="http",AF392,IF(G392="Production",set_RMSBase,set_QwilrBase)&amp;AF392),"Open")))</f>
        <v/>
      </c>
      <c r="AH392" s="27">
        <f>IF(A392="","",IFERROR(INDEX(tbl_Production[Total Expense],IFERROR(MATCH(A392&amp;"",tbl_Production[Job Number],0),MATCH(IFERROR(A392+0,A392),tbl_Production[Job Number],0))),IFERROR(INDEX(tbl_Consulting[Total Expense],IFERROR(MATCH(A392&amp;"",tbl_Consulting[Job Number],0),MATCH(IFERROR(A392+0,A392),tbl_Consulting[Job Number],0))),0)))</f>
        <v/>
      </c>
      <c r="AI392" s="27">
        <f>IF(A392="","",AC392-N(AH392))</f>
        <v/>
      </c>
      <c r="AJ392" s="29">
        <f>IFERROR(AI392/AC392,"")</f>
        <v/>
      </c>
      <c r="AK392" s="26">
        <f>IF(A392="","",IFERROR(IF(INDEX(tbl_Onsite[Notes],IFERROR(MATCH(A392&amp;"",tbl_Onsite[Job Number],0),MATCH(IFERROR(A392+0,A392),tbl_Onsite[Job Number],0)))="","",INDEX(tbl_Onsite[Notes],IFERROR(MATCH(A392&amp;"",tbl_Onsite[Job Number],0),MATCH(IFERROR(A392+0,A392),tbl_Onsite[Job Number],0)))),IFERROR(IF(INDEX(tbl_Production[Notes],IFERROR(MATCH(A392&amp;"",tbl_Production[Job Number],0),MATCH(IFERROR(A392+0,A392),tbl_Production[Job Number],0)))="","",INDEX(tbl_Production[Notes],IFERROR(MATCH(A392&amp;"",tbl_Production[Job Number],0),MATCH(IFERROR(A392+0,A392),tbl_Production[Job Number],0)))),IFERROR(IF(INDEX(tbl_Consulting[Notes],IFERROR(MATCH(A392&amp;"",tbl_Consulting[Job Number],0),MATCH(IFERROR(A392+0,A392),tbl_Consulting[Job Number],0)))="","",INDEX(tbl_Consulting[Notes],IFERROR(MATCH(A392&amp;"",tbl_Consulting[Job Number],0),MATCH(IFERROR(A392+0,A392),tbl_Consulting[Job Number],0)))),""))))</f>
        <v/>
      </c>
    </row>
    <row r="393" ht="15" customHeight="1">
      <c r="A393" s="22" t="n"/>
      <c r="B393" s="22" t="n"/>
      <c r="C393" s="23" t="n"/>
      <c r="D393" s="22" t="n"/>
      <c r="E393" s="24" t="n"/>
      <c r="F393" s="25">
        <f>IF(C393="","",EOMONTH(C393,0))</f>
        <v/>
      </c>
      <c r="G393" s="26">
        <f>IF(A393="","",IF(COUNTIF(tbl_Onsite[Job Number],A393&amp;"")&gt;0,"Onsite",IF(COUNTIF(tbl_Production[Job Number],A393&amp;"")&gt;0,"Production",IF(COUNTIF(tbl_Consulting[Job Number],A393&amp;"")&gt;0,"Consulting","not set up yet"))))</f>
        <v/>
      </c>
      <c r="H393" s="26">
        <f>IF(A393="","",IF(COUNTIF(lst_Jobs,A393&amp;"")&gt;0,"OK","CHECK"))</f>
        <v/>
      </c>
      <c r="I393" s="26">
        <f>IF(A393="","",IFERROR(INDEX(lst_JobName,MATCH(A393&amp;"",lst_Jobs,0)),""))</f>
        <v/>
      </c>
      <c r="J393" s="26">
        <f>IF(A393="","",IFERROR(IF(INDEX(tbl_Onsite[Client],IFERROR(MATCH(A393&amp;"",tbl_Onsite[Job Number],0),MATCH(IFERROR(A393+0,A393),tbl_Onsite[Job Number],0)))="","",INDEX(tbl_Onsite[Client],IFERROR(MATCH(A393&amp;"",tbl_Onsite[Job Number],0),MATCH(IFERROR(A393+0,A393),tbl_Onsite[Job Number],0)))),IFERROR(IF(INDEX(tbl_Production[Client],IFERROR(MATCH(A393&amp;"",tbl_Production[Job Number],0),MATCH(IFERROR(A393+0,A393),tbl_Production[Job Number],0)))="","",INDEX(tbl_Production[Client],IFERROR(MATCH(A393&amp;"",tbl_Production[Job Number],0),MATCH(IFERROR(A393+0,A393),tbl_Production[Job Number],0)))),IFERROR(IF(INDEX(tbl_Consulting[Client],IFERROR(MATCH(A393&amp;"",tbl_Consulting[Job Number],0),MATCH(IFERROR(A393+0,A393),tbl_Consulting[Job Number],0)))="","",INDEX(tbl_Consulting[Client],IFERROR(MATCH(A393&amp;"",tbl_Consulting[Job Number],0),MATCH(IFERROR(A393+0,A393),tbl_Consulting[Job Number],0)))),""))))</f>
        <v/>
      </c>
      <c r="K393" s="26">
        <f>IF(A393="","",IFERROR(IF(INDEX(tbl_Onsite[Job Description],IFERROR(MATCH(A393&amp;"",tbl_Onsite[Job Number],0),MATCH(IFERROR(A393+0,A393),tbl_Onsite[Job Number],0)))="","",INDEX(tbl_Onsite[Job Description],IFERROR(MATCH(A393&amp;"",tbl_Onsite[Job Number],0),MATCH(IFERROR(A393+0,A393),tbl_Onsite[Job Number],0)))),IFERROR(IF(INDEX(tbl_Production[Job Description],IFERROR(MATCH(A393&amp;"",tbl_Production[Job Number],0),MATCH(IFERROR(A393+0,A393),tbl_Production[Job Number],0)))="","",INDEX(tbl_Production[Job Description],IFERROR(MATCH(A393&amp;"",tbl_Production[Job Number],0),MATCH(IFERROR(A393+0,A393),tbl_Production[Job Number],0)))),IFERROR(IF(INDEX(tbl_Consulting[Job Description],IFERROR(MATCH(A393&amp;"",tbl_Consulting[Job Number],0),MATCH(IFERROR(A393+0,A393),tbl_Consulting[Job Number],0)))="","",INDEX(tbl_Consulting[Job Description],IFERROR(MATCH(A393&amp;"",tbl_Consulting[Job Number],0),MATCH(IFERROR(A393+0,A393),tbl_Consulting[Job Number],0)))),""))))</f>
        <v/>
      </c>
      <c r="L393" s="26">
        <f>IF(A393="","",IFERROR(IF(INDEX(tbl_Onsite[Invoice Type],IFERROR(MATCH(A393&amp;"",tbl_Onsite[Job Number],0),MATCH(IFERROR(A393+0,A393),tbl_Onsite[Job Number],0)))="","",INDEX(tbl_Onsite[Invoice Type],IFERROR(MATCH(A393&amp;"",tbl_Onsite[Job Number],0),MATCH(IFERROR(A393+0,A393),tbl_Onsite[Job Number],0)))),IFERROR(IF(INDEX(tbl_Production[Invoice Type],IFERROR(MATCH(A393&amp;"",tbl_Production[Job Number],0),MATCH(IFERROR(A393+0,A393),tbl_Production[Job Number],0)))="","",INDEX(tbl_Production[Invoice Type],IFERROR(MATCH(A393&amp;"",tbl_Production[Job Number],0),MATCH(IFERROR(A393+0,A393),tbl_Production[Job Number],0)))),IFERROR(IF(INDEX(tbl_Consulting[Invoice Type],IFERROR(MATCH(A393&amp;"",tbl_Consulting[Job Number],0),MATCH(IFERROR(A393+0,A393),tbl_Consulting[Job Number],0)))="","",INDEX(tbl_Consulting[Invoice Type],IFERROR(MATCH(A393&amp;"",tbl_Consulting[Job Number],0),MATCH(IFERROR(A393+0,A393),tbl_Consulting[Job Number],0)))),""))))</f>
        <v/>
      </c>
      <c r="M393" s="26">
        <f>IF(A393="","",IF(IFERROR(IF(INDEX(tbl_Onsite[Tax Code],IFERROR(MATCH(A393&amp;"",tbl_Onsite[Job Number],0),MATCH(IFERROR(A393+0,A393),tbl_Onsite[Job Number],0)))="","",INDEX(tbl_Onsite[Tax Code],IFERROR(MATCH(A393&amp;"",tbl_Onsite[Job Number],0),MATCH(IFERROR(A393+0,A393),tbl_Onsite[Job Number],0)))),IFERROR(IF(INDEX(tbl_Production[Tax Code],IFERROR(MATCH(A393&amp;"",tbl_Production[Job Number],0),MATCH(IFERROR(A393+0,A393),tbl_Production[Job Number],0)))="","",INDEX(tbl_Production[Tax Code],IFERROR(MATCH(A393&amp;"",tbl_Production[Job Number],0),MATCH(IFERROR(A393+0,A393),tbl_Production[Job Number],0)))),IFERROR(IF(INDEX(tbl_Consulting[Tax Code],IFERROR(MATCH(A393&amp;"",tbl_Consulting[Job Number],0),MATCH(IFERROR(A393+0,A393),tbl_Consulting[Job Number],0)))="","",INDEX(tbl_Consulting[Tax Code],IFERROR(MATCH(A393&amp;"",tbl_Consulting[Job Number],0),MATCH(IFERROR(A393+0,A393),tbl_Consulting[Job Number],0)))),"")))="","GST 10%",IFERROR(IF(INDEX(tbl_Onsite[Tax Code],IFERROR(MATCH(A393&amp;"",tbl_Onsite[Job Number],0),MATCH(IFERROR(A393+0,A393),tbl_Onsite[Job Number],0)))="","",INDEX(tbl_Onsite[Tax Code],IFERROR(MATCH(A393&amp;"",tbl_Onsite[Job Number],0),MATCH(IFERROR(A393+0,A393),tbl_Onsite[Job Number],0)))),IFERROR(IF(INDEX(tbl_Production[Tax Code],IFERROR(MATCH(A393&amp;"",tbl_Production[Job Number],0),MATCH(IFERROR(A393+0,A393),tbl_Production[Job Number],0)))="","",INDEX(tbl_Production[Tax Code],IFERROR(MATCH(A393&amp;"",tbl_Production[Job Number],0),MATCH(IFERROR(A393+0,A393),tbl_Production[Job Number],0)))),IFERROR(IF(INDEX(tbl_Consulting[Tax Code],IFERROR(MATCH(A393&amp;"",tbl_Consulting[Job Number],0),MATCH(IFERROR(A393+0,A393),tbl_Consulting[Job Number],0)))="","",INDEX(tbl_Consulting[Tax Code],IFERROR(MATCH(A393&amp;"",tbl_Consulting[Job Number],0),MATCH(IFERROR(A393+0,A393),tbl_Consulting[Job Number],0)))),"")))))</f>
        <v/>
      </c>
      <c r="N393" s="26">
        <f>IF(D393="","",IFERROR(INDEX(lst_CCtoGL,MATCH(D393,lst_CCforGL,0)),""))</f>
        <v/>
      </c>
      <c r="O393" s="27">
        <f>IF(E393="","",IF(M393="GST 10%",ROUND(E393*set_GSTRate,2),0))</f>
        <v/>
      </c>
      <c r="P393" s="27">
        <f>IF(E393="","",E393+O393)</f>
        <v/>
      </c>
      <c r="Q393" s="27">
        <f>IF(A393="","",IFERROR(INDEX(tbl_Onsite[Expected Revenue Ex GST],IFERROR(MATCH(A393&amp;"",tbl_Onsite[Job Number],0),MATCH(IFERROR(A393+0,A393),tbl_Onsite[Job Number],0))),IFERROR(INDEX(tbl_Production[Expected Revenue Ex GST],IFERROR(MATCH(A393&amp;"",tbl_Production[Job Number],0),MATCH(IFERROR(A393+0,A393),tbl_Production[Job Number],0))),IFERROR(INDEX(tbl_Consulting[Expected Revenue Ex GST],IFERROR(MATCH(A393&amp;"",tbl_Consulting[Job Number],0),MATCH(IFERROR(A393+0,A393),tbl_Consulting[Job Number],0))),0))))</f>
        <v/>
      </c>
      <c r="R393" s="27">
        <f>IF(A393="","",SUMIFS(tbl_Finance[Ex GST],tbl_Finance[Job Number],A393&amp;""))</f>
        <v/>
      </c>
      <c r="S393" s="27">
        <f>IF(A393="","",Q393-R393)</f>
        <v/>
      </c>
      <c r="T393" s="26">
        <f>IF(A393="","",IF(Q393=0,"No dept value",IF(ROUND(S393,2)=0,"Agrees",IF(S393&gt;0,"Dept higher - to invoice","Xero higher - check dept"))))</f>
        <v/>
      </c>
      <c r="U393" s="22" t="n"/>
      <c r="V393" s="22" t="n"/>
      <c r="W393" s="23" t="n"/>
      <c r="X393" s="23" t="n"/>
      <c r="Y393" s="22" t="n"/>
      <c r="Z393" s="22" t="n"/>
      <c r="AA393" s="26">
        <f>IF(COUNTA(C393,A393,B393,E393)=0,"",IF(C393="","No date - sits outside every month",IF(A393="","No job number",IF(H393="CHECK","Job number is not in the Xero job list",IF(G393="not set up yet","No department has set this job up - nothing can pull through",IF(D393="","No cost centre",IF(AND(U393="Y",B393=""),"Marked posted to Xero but has no invoice number",IF(N393="","Cost centre has no revenue GL on the Lists sheet",IF(T393="Xero higher - check dept","Invoiced more than the department says the job is worth","")))))))))</f>
        <v/>
      </c>
      <c r="AB393" s="28">
        <f>IF(A393="","",COUNTIFS(tbl_Finance[Job Number],A393&amp;"",tbl_Finance[Ex GST],"&lt;&gt;"))</f>
        <v/>
      </c>
      <c r="AC393" s="27">
        <f>IF(A393="","",SUMIFS(tbl_Finance[Ex GST],tbl_Finance[Job Number],A393&amp;""))</f>
        <v/>
      </c>
      <c r="AD393" s="27">
        <f>IF(A393="","",SUMIFS(tbl_Finance[Ex GST],tbl_Finance[Job Number],A393&amp;"",tbl_Finance[Xero Invoice No],"&lt;&gt;"))</f>
        <v/>
      </c>
      <c r="AE393" s="27">
        <f>IF(A393="","",AC393-AD393)</f>
        <v/>
      </c>
      <c r="AF393" s="26">
        <f>IF(A393="","",IFERROR(IF(INDEX(tbl_Onsite[Qwilr Quote],IFERROR(MATCH(A393&amp;"",tbl_Onsite[Job Number],0),MATCH(IFERROR(A393+0,A393),tbl_Onsite[Job Number],0)))="","",INDEX(tbl_Onsite[Qwilr Quote],IFERROR(MATCH(A393&amp;"",tbl_Onsite[Job Number],0),MATCH(IFERROR(A393+0,A393),tbl_Onsite[Job Number],0)))),IFERROR(IF(IF(INDEX(tbl_Production[Current RMS No],IFERROR(MATCH(A393&amp;"",tbl_Production[Job Number],0),MATCH(IFERROR(A393+0,A393),tbl_Production[Job Number],0)))="",INDEX(tbl_Production[Qwilr Quote],IFERROR(MATCH(A393&amp;"",tbl_Production[Job Number],0),MATCH(IFERROR(A393+0,A393),tbl_Production[Job Number],0))),INDEX(tbl_Production[Current RMS No],IFERROR(MATCH(A393&amp;"",tbl_Production[Job Number],0),MATCH(IFERROR(A393+0,A393),tbl_Production[Job Number],0))))="","",IF(INDEX(tbl_Production[Current RMS No],IFERROR(MATCH(A393&amp;"",tbl_Production[Job Number],0),MATCH(IFERROR(A393+0,A393),tbl_Production[Job Number],0)))="",INDEX(tbl_Production[Qwilr Quote],IFERROR(MATCH(A393&amp;"",tbl_Production[Job Number],0),MATCH(IFERROR(A393+0,A393),tbl_Production[Job Number],0))),INDEX(tbl_Production[Current RMS No],IFERROR(MATCH(A393&amp;"",tbl_Production[Job Number],0),MATCH(IFERROR(A393+0,A393),tbl_Production[Job Number],0))))),IFERROR(IF(INDEX(tbl_Consulting[Qwilr Quote],IFERROR(MATCH(A393&amp;"",tbl_Consulting[Job Number],0),MATCH(IFERROR(A393+0,A393),tbl_Consulting[Job Number],0)))="","",INDEX(tbl_Consulting[Qwilr Quote],IFERROR(MATCH(A393&amp;"",tbl_Consulting[Job Number],0),MATCH(IFERROR(A393+0,A393),tbl_Consulting[Job Number],0)))),""))))</f>
        <v/>
      </c>
      <c r="AG393" s="26">
        <f>IF(AF393="","",IF(AND(LEFT(AF393,4)&lt;&gt;"http",IF(G393="Production",set_RMSBase,set_QwilrBase)=""),"",HYPERLINK(IF(LEFT(AF393,4)="http",AF393,IF(G393="Production",set_RMSBase,set_QwilrBase)&amp;AF393),"Open")))</f>
        <v/>
      </c>
      <c r="AH393" s="27">
        <f>IF(A393="","",IFERROR(INDEX(tbl_Production[Total Expense],IFERROR(MATCH(A393&amp;"",tbl_Production[Job Number],0),MATCH(IFERROR(A393+0,A393),tbl_Production[Job Number],0))),IFERROR(INDEX(tbl_Consulting[Total Expense],IFERROR(MATCH(A393&amp;"",tbl_Consulting[Job Number],0),MATCH(IFERROR(A393+0,A393),tbl_Consulting[Job Number],0))),0)))</f>
        <v/>
      </c>
      <c r="AI393" s="27">
        <f>IF(A393="","",AC393-N(AH393))</f>
        <v/>
      </c>
      <c r="AJ393" s="29">
        <f>IFERROR(AI393/AC393,"")</f>
        <v/>
      </c>
      <c r="AK393" s="26">
        <f>IF(A393="","",IFERROR(IF(INDEX(tbl_Onsite[Notes],IFERROR(MATCH(A393&amp;"",tbl_Onsite[Job Number],0),MATCH(IFERROR(A393+0,A393),tbl_Onsite[Job Number],0)))="","",INDEX(tbl_Onsite[Notes],IFERROR(MATCH(A393&amp;"",tbl_Onsite[Job Number],0),MATCH(IFERROR(A393+0,A393),tbl_Onsite[Job Number],0)))),IFERROR(IF(INDEX(tbl_Production[Notes],IFERROR(MATCH(A393&amp;"",tbl_Production[Job Number],0),MATCH(IFERROR(A393+0,A393),tbl_Production[Job Number],0)))="","",INDEX(tbl_Production[Notes],IFERROR(MATCH(A393&amp;"",tbl_Production[Job Number],0),MATCH(IFERROR(A393+0,A393),tbl_Production[Job Number],0)))),IFERROR(IF(INDEX(tbl_Consulting[Notes],IFERROR(MATCH(A393&amp;"",tbl_Consulting[Job Number],0),MATCH(IFERROR(A393+0,A393),tbl_Consulting[Job Number],0)))="","",INDEX(tbl_Consulting[Notes],IFERROR(MATCH(A393&amp;"",tbl_Consulting[Job Number],0),MATCH(IFERROR(A393+0,A393),tbl_Consulting[Job Number],0)))),""))))</f>
        <v/>
      </c>
    </row>
    <row r="394" ht="15" customHeight="1">
      <c r="A394" s="22" t="n"/>
      <c r="B394" s="22" t="n"/>
      <c r="C394" s="23" t="n"/>
      <c r="D394" s="22" t="n"/>
      <c r="E394" s="24" t="n"/>
      <c r="F394" s="25">
        <f>IF(C394="","",EOMONTH(C394,0))</f>
        <v/>
      </c>
      <c r="G394" s="26">
        <f>IF(A394="","",IF(COUNTIF(tbl_Onsite[Job Number],A394&amp;"")&gt;0,"Onsite",IF(COUNTIF(tbl_Production[Job Number],A394&amp;"")&gt;0,"Production",IF(COUNTIF(tbl_Consulting[Job Number],A394&amp;"")&gt;0,"Consulting","not set up yet"))))</f>
        <v/>
      </c>
      <c r="H394" s="26">
        <f>IF(A394="","",IF(COUNTIF(lst_Jobs,A394&amp;"")&gt;0,"OK","CHECK"))</f>
        <v/>
      </c>
      <c r="I394" s="26">
        <f>IF(A394="","",IFERROR(INDEX(lst_JobName,MATCH(A394&amp;"",lst_Jobs,0)),""))</f>
        <v/>
      </c>
      <c r="J394" s="26">
        <f>IF(A394="","",IFERROR(IF(INDEX(tbl_Onsite[Client],IFERROR(MATCH(A394&amp;"",tbl_Onsite[Job Number],0),MATCH(IFERROR(A394+0,A394),tbl_Onsite[Job Number],0)))="","",INDEX(tbl_Onsite[Client],IFERROR(MATCH(A394&amp;"",tbl_Onsite[Job Number],0),MATCH(IFERROR(A394+0,A394),tbl_Onsite[Job Number],0)))),IFERROR(IF(INDEX(tbl_Production[Client],IFERROR(MATCH(A394&amp;"",tbl_Production[Job Number],0),MATCH(IFERROR(A394+0,A394),tbl_Production[Job Number],0)))="","",INDEX(tbl_Production[Client],IFERROR(MATCH(A394&amp;"",tbl_Production[Job Number],0),MATCH(IFERROR(A394+0,A394),tbl_Production[Job Number],0)))),IFERROR(IF(INDEX(tbl_Consulting[Client],IFERROR(MATCH(A394&amp;"",tbl_Consulting[Job Number],0),MATCH(IFERROR(A394+0,A394),tbl_Consulting[Job Number],0)))="","",INDEX(tbl_Consulting[Client],IFERROR(MATCH(A394&amp;"",tbl_Consulting[Job Number],0),MATCH(IFERROR(A394+0,A394),tbl_Consulting[Job Number],0)))),""))))</f>
        <v/>
      </c>
      <c r="K394" s="26">
        <f>IF(A394="","",IFERROR(IF(INDEX(tbl_Onsite[Job Description],IFERROR(MATCH(A394&amp;"",tbl_Onsite[Job Number],0),MATCH(IFERROR(A394+0,A394),tbl_Onsite[Job Number],0)))="","",INDEX(tbl_Onsite[Job Description],IFERROR(MATCH(A394&amp;"",tbl_Onsite[Job Number],0),MATCH(IFERROR(A394+0,A394),tbl_Onsite[Job Number],0)))),IFERROR(IF(INDEX(tbl_Production[Job Description],IFERROR(MATCH(A394&amp;"",tbl_Production[Job Number],0),MATCH(IFERROR(A394+0,A394),tbl_Production[Job Number],0)))="","",INDEX(tbl_Production[Job Description],IFERROR(MATCH(A394&amp;"",tbl_Production[Job Number],0),MATCH(IFERROR(A394+0,A394),tbl_Production[Job Number],0)))),IFERROR(IF(INDEX(tbl_Consulting[Job Description],IFERROR(MATCH(A394&amp;"",tbl_Consulting[Job Number],0),MATCH(IFERROR(A394+0,A394),tbl_Consulting[Job Number],0)))="","",INDEX(tbl_Consulting[Job Description],IFERROR(MATCH(A394&amp;"",tbl_Consulting[Job Number],0),MATCH(IFERROR(A394+0,A394),tbl_Consulting[Job Number],0)))),""))))</f>
        <v/>
      </c>
      <c r="L394" s="26">
        <f>IF(A394="","",IFERROR(IF(INDEX(tbl_Onsite[Invoice Type],IFERROR(MATCH(A394&amp;"",tbl_Onsite[Job Number],0),MATCH(IFERROR(A394+0,A394),tbl_Onsite[Job Number],0)))="","",INDEX(tbl_Onsite[Invoice Type],IFERROR(MATCH(A394&amp;"",tbl_Onsite[Job Number],0),MATCH(IFERROR(A394+0,A394),tbl_Onsite[Job Number],0)))),IFERROR(IF(INDEX(tbl_Production[Invoice Type],IFERROR(MATCH(A394&amp;"",tbl_Production[Job Number],0),MATCH(IFERROR(A394+0,A394),tbl_Production[Job Number],0)))="","",INDEX(tbl_Production[Invoice Type],IFERROR(MATCH(A394&amp;"",tbl_Production[Job Number],0),MATCH(IFERROR(A394+0,A394),tbl_Production[Job Number],0)))),IFERROR(IF(INDEX(tbl_Consulting[Invoice Type],IFERROR(MATCH(A394&amp;"",tbl_Consulting[Job Number],0),MATCH(IFERROR(A394+0,A394),tbl_Consulting[Job Number],0)))="","",INDEX(tbl_Consulting[Invoice Type],IFERROR(MATCH(A394&amp;"",tbl_Consulting[Job Number],0),MATCH(IFERROR(A394+0,A394),tbl_Consulting[Job Number],0)))),""))))</f>
        <v/>
      </c>
      <c r="M394" s="26">
        <f>IF(A394="","",IF(IFERROR(IF(INDEX(tbl_Onsite[Tax Code],IFERROR(MATCH(A394&amp;"",tbl_Onsite[Job Number],0),MATCH(IFERROR(A394+0,A394),tbl_Onsite[Job Number],0)))="","",INDEX(tbl_Onsite[Tax Code],IFERROR(MATCH(A394&amp;"",tbl_Onsite[Job Number],0),MATCH(IFERROR(A394+0,A394),tbl_Onsite[Job Number],0)))),IFERROR(IF(INDEX(tbl_Production[Tax Code],IFERROR(MATCH(A394&amp;"",tbl_Production[Job Number],0),MATCH(IFERROR(A394+0,A394),tbl_Production[Job Number],0)))="","",INDEX(tbl_Production[Tax Code],IFERROR(MATCH(A394&amp;"",tbl_Production[Job Number],0),MATCH(IFERROR(A394+0,A394),tbl_Production[Job Number],0)))),IFERROR(IF(INDEX(tbl_Consulting[Tax Code],IFERROR(MATCH(A394&amp;"",tbl_Consulting[Job Number],0),MATCH(IFERROR(A394+0,A394),tbl_Consulting[Job Number],0)))="","",INDEX(tbl_Consulting[Tax Code],IFERROR(MATCH(A394&amp;"",tbl_Consulting[Job Number],0),MATCH(IFERROR(A394+0,A394),tbl_Consulting[Job Number],0)))),"")))="","GST 10%",IFERROR(IF(INDEX(tbl_Onsite[Tax Code],IFERROR(MATCH(A394&amp;"",tbl_Onsite[Job Number],0),MATCH(IFERROR(A394+0,A394),tbl_Onsite[Job Number],0)))="","",INDEX(tbl_Onsite[Tax Code],IFERROR(MATCH(A394&amp;"",tbl_Onsite[Job Number],0),MATCH(IFERROR(A394+0,A394),tbl_Onsite[Job Number],0)))),IFERROR(IF(INDEX(tbl_Production[Tax Code],IFERROR(MATCH(A394&amp;"",tbl_Production[Job Number],0),MATCH(IFERROR(A394+0,A394),tbl_Production[Job Number],0)))="","",INDEX(tbl_Production[Tax Code],IFERROR(MATCH(A394&amp;"",tbl_Production[Job Number],0),MATCH(IFERROR(A394+0,A394),tbl_Production[Job Number],0)))),IFERROR(IF(INDEX(tbl_Consulting[Tax Code],IFERROR(MATCH(A394&amp;"",tbl_Consulting[Job Number],0),MATCH(IFERROR(A394+0,A394),tbl_Consulting[Job Number],0)))="","",INDEX(tbl_Consulting[Tax Code],IFERROR(MATCH(A394&amp;"",tbl_Consulting[Job Number],0),MATCH(IFERROR(A394+0,A394),tbl_Consulting[Job Number],0)))),"")))))</f>
        <v/>
      </c>
      <c r="N394" s="26">
        <f>IF(D394="","",IFERROR(INDEX(lst_CCtoGL,MATCH(D394,lst_CCforGL,0)),""))</f>
        <v/>
      </c>
      <c r="O394" s="27">
        <f>IF(E394="","",IF(M394="GST 10%",ROUND(E394*set_GSTRate,2),0))</f>
        <v/>
      </c>
      <c r="P394" s="27">
        <f>IF(E394="","",E394+O394)</f>
        <v/>
      </c>
      <c r="Q394" s="27">
        <f>IF(A394="","",IFERROR(INDEX(tbl_Onsite[Expected Revenue Ex GST],IFERROR(MATCH(A394&amp;"",tbl_Onsite[Job Number],0),MATCH(IFERROR(A394+0,A394),tbl_Onsite[Job Number],0))),IFERROR(INDEX(tbl_Production[Expected Revenue Ex GST],IFERROR(MATCH(A394&amp;"",tbl_Production[Job Number],0),MATCH(IFERROR(A394+0,A394),tbl_Production[Job Number],0))),IFERROR(INDEX(tbl_Consulting[Expected Revenue Ex GST],IFERROR(MATCH(A394&amp;"",tbl_Consulting[Job Number],0),MATCH(IFERROR(A394+0,A394),tbl_Consulting[Job Number],0))),0))))</f>
        <v/>
      </c>
      <c r="R394" s="27">
        <f>IF(A394="","",SUMIFS(tbl_Finance[Ex GST],tbl_Finance[Job Number],A394&amp;""))</f>
        <v/>
      </c>
      <c r="S394" s="27">
        <f>IF(A394="","",Q394-R394)</f>
        <v/>
      </c>
      <c r="T394" s="26">
        <f>IF(A394="","",IF(Q394=0,"No dept value",IF(ROUND(S394,2)=0,"Agrees",IF(S394&gt;0,"Dept higher - to invoice","Xero higher - check dept"))))</f>
        <v/>
      </c>
      <c r="U394" s="22" t="n"/>
      <c r="V394" s="22" t="n"/>
      <c r="W394" s="23" t="n"/>
      <c r="X394" s="23" t="n"/>
      <c r="Y394" s="22" t="n"/>
      <c r="Z394" s="22" t="n"/>
      <c r="AA394" s="26">
        <f>IF(COUNTA(C394,A394,B394,E394)=0,"",IF(C394="","No date - sits outside every month",IF(A394="","No job number",IF(H394="CHECK","Job number is not in the Xero job list",IF(G394="not set up yet","No department has set this job up - nothing can pull through",IF(D394="","No cost centre",IF(AND(U394="Y",B394=""),"Marked posted to Xero but has no invoice number",IF(N394="","Cost centre has no revenue GL on the Lists sheet",IF(T394="Xero higher - check dept","Invoiced more than the department says the job is worth","")))))))))</f>
        <v/>
      </c>
      <c r="AB394" s="28">
        <f>IF(A394="","",COUNTIFS(tbl_Finance[Job Number],A394&amp;"",tbl_Finance[Ex GST],"&lt;&gt;"))</f>
        <v/>
      </c>
      <c r="AC394" s="27">
        <f>IF(A394="","",SUMIFS(tbl_Finance[Ex GST],tbl_Finance[Job Number],A394&amp;""))</f>
        <v/>
      </c>
      <c r="AD394" s="27">
        <f>IF(A394="","",SUMIFS(tbl_Finance[Ex GST],tbl_Finance[Job Number],A394&amp;"",tbl_Finance[Xero Invoice No],"&lt;&gt;"))</f>
        <v/>
      </c>
      <c r="AE394" s="27">
        <f>IF(A394="","",AC394-AD394)</f>
        <v/>
      </c>
      <c r="AF394" s="26">
        <f>IF(A394="","",IFERROR(IF(INDEX(tbl_Onsite[Qwilr Quote],IFERROR(MATCH(A394&amp;"",tbl_Onsite[Job Number],0),MATCH(IFERROR(A394+0,A394),tbl_Onsite[Job Number],0)))="","",INDEX(tbl_Onsite[Qwilr Quote],IFERROR(MATCH(A394&amp;"",tbl_Onsite[Job Number],0),MATCH(IFERROR(A394+0,A394),tbl_Onsite[Job Number],0)))),IFERROR(IF(IF(INDEX(tbl_Production[Current RMS No],IFERROR(MATCH(A394&amp;"",tbl_Production[Job Number],0),MATCH(IFERROR(A394+0,A394),tbl_Production[Job Number],0)))="",INDEX(tbl_Production[Qwilr Quote],IFERROR(MATCH(A394&amp;"",tbl_Production[Job Number],0),MATCH(IFERROR(A394+0,A394),tbl_Production[Job Number],0))),INDEX(tbl_Production[Current RMS No],IFERROR(MATCH(A394&amp;"",tbl_Production[Job Number],0),MATCH(IFERROR(A394+0,A394),tbl_Production[Job Number],0))))="","",IF(INDEX(tbl_Production[Current RMS No],IFERROR(MATCH(A394&amp;"",tbl_Production[Job Number],0),MATCH(IFERROR(A394+0,A394),tbl_Production[Job Number],0)))="",INDEX(tbl_Production[Qwilr Quote],IFERROR(MATCH(A394&amp;"",tbl_Production[Job Number],0),MATCH(IFERROR(A394+0,A394),tbl_Production[Job Number],0))),INDEX(tbl_Production[Current RMS No],IFERROR(MATCH(A394&amp;"",tbl_Production[Job Number],0),MATCH(IFERROR(A394+0,A394),tbl_Production[Job Number],0))))),IFERROR(IF(INDEX(tbl_Consulting[Qwilr Quote],IFERROR(MATCH(A394&amp;"",tbl_Consulting[Job Number],0),MATCH(IFERROR(A394+0,A394),tbl_Consulting[Job Number],0)))="","",INDEX(tbl_Consulting[Qwilr Quote],IFERROR(MATCH(A394&amp;"",tbl_Consulting[Job Number],0),MATCH(IFERROR(A394+0,A394),tbl_Consulting[Job Number],0)))),""))))</f>
        <v/>
      </c>
      <c r="AG394" s="26">
        <f>IF(AF394="","",IF(AND(LEFT(AF394,4)&lt;&gt;"http",IF(G394="Production",set_RMSBase,set_QwilrBase)=""),"",HYPERLINK(IF(LEFT(AF394,4)="http",AF394,IF(G394="Production",set_RMSBase,set_QwilrBase)&amp;AF394),"Open")))</f>
        <v/>
      </c>
      <c r="AH394" s="27">
        <f>IF(A394="","",IFERROR(INDEX(tbl_Production[Total Expense],IFERROR(MATCH(A394&amp;"",tbl_Production[Job Number],0),MATCH(IFERROR(A394+0,A394),tbl_Production[Job Number],0))),IFERROR(INDEX(tbl_Consulting[Total Expense],IFERROR(MATCH(A394&amp;"",tbl_Consulting[Job Number],0),MATCH(IFERROR(A394+0,A394),tbl_Consulting[Job Number],0))),0)))</f>
        <v/>
      </c>
      <c r="AI394" s="27">
        <f>IF(A394="","",AC394-N(AH394))</f>
        <v/>
      </c>
      <c r="AJ394" s="29">
        <f>IFERROR(AI394/AC394,"")</f>
        <v/>
      </c>
      <c r="AK394" s="26">
        <f>IF(A394="","",IFERROR(IF(INDEX(tbl_Onsite[Notes],IFERROR(MATCH(A394&amp;"",tbl_Onsite[Job Number],0),MATCH(IFERROR(A394+0,A394),tbl_Onsite[Job Number],0)))="","",INDEX(tbl_Onsite[Notes],IFERROR(MATCH(A394&amp;"",tbl_Onsite[Job Number],0),MATCH(IFERROR(A394+0,A394),tbl_Onsite[Job Number],0)))),IFERROR(IF(INDEX(tbl_Production[Notes],IFERROR(MATCH(A394&amp;"",tbl_Production[Job Number],0),MATCH(IFERROR(A394+0,A394),tbl_Production[Job Number],0)))="","",INDEX(tbl_Production[Notes],IFERROR(MATCH(A394&amp;"",tbl_Production[Job Number],0),MATCH(IFERROR(A394+0,A394),tbl_Production[Job Number],0)))),IFERROR(IF(INDEX(tbl_Consulting[Notes],IFERROR(MATCH(A394&amp;"",tbl_Consulting[Job Number],0),MATCH(IFERROR(A394+0,A394),tbl_Consulting[Job Number],0)))="","",INDEX(tbl_Consulting[Notes],IFERROR(MATCH(A394&amp;"",tbl_Consulting[Job Number],0),MATCH(IFERROR(A394+0,A394),tbl_Consulting[Job Number],0)))),""))))</f>
        <v/>
      </c>
    </row>
    <row r="395" ht="15" customHeight="1">
      <c r="A395" s="22" t="n"/>
      <c r="B395" s="22" t="n"/>
      <c r="C395" s="23" t="n"/>
      <c r="D395" s="22" t="n"/>
      <c r="E395" s="24" t="n"/>
      <c r="F395" s="25">
        <f>IF(C395="","",EOMONTH(C395,0))</f>
        <v/>
      </c>
      <c r="G395" s="26">
        <f>IF(A395="","",IF(COUNTIF(tbl_Onsite[Job Number],A395&amp;"")&gt;0,"Onsite",IF(COUNTIF(tbl_Production[Job Number],A395&amp;"")&gt;0,"Production",IF(COUNTIF(tbl_Consulting[Job Number],A395&amp;"")&gt;0,"Consulting","not set up yet"))))</f>
        <v/>
      </c>
      <c r="H395" s="26">
        <f>IF(A395="","",IF(COUNTIF(lst_Jobs,A395&amp;"")&gt;0,"OK","CHECK"))</f>
        <v/>
      </c>
      <c r="I395" s="26">
        <f>IF(A395="","",IFERROR(INDEX(lst_JobName,MATCH(A395&amp;"",lst_Jobs,0)),""))</f>
        <v/>
      </c>
      <c r="J395" s="26">
        <f>IF(A395="","",IFERROR(IF(INDEX(tbl_Onsite[Client],IFERROR(MATCH(A395&amp;"",tbl_Onsite[Job Number],0),MATCH(IFERROR(A395+0,A395),tbl_Onsite[Job Number],0)))="","",INDEX(tbl_Onsite[Client],IFERROR(MATCH(A395&amp;"",tbl_Onsite[Job Number],0),MATCH(IFERROR(A395+0,A395),tbl_Onsite[Job Number],0)))),IFERROR(IF(INDEX(tbl_Production[Client],IFERROR(MATCH(A395&amp;"",tbl_Production[Job Number],0),MATCH(IFERROR(A395+0,A395),tbl_Production[Job Number],0)))="","",INDEX(tbl_Production[Client],IFERROR(MATCH(A395&amp;"",tbl_Production[Job Number],0),MATCH(IFERROR(A395+0,A395),tbl_Production[Job Number],0)))),IFERROR(IF(INDEX(tbl_Consulting[Client],IFERROR(MATCH(A395&amp;"",tbl_Consulting[Job Number],0),MATCH(IFERROR(A395+0,A395),tbl_Consulting[Job Number],0)))="","",INDEX(tbl_Consulting[Client],IFERROR(MATCH(A395&amp;"",tbl_Consulting[Job Number],0),MATCH(IFERROR(A395+0,A395),tbl_Consulting[Job Number],0)))),""))))</f>
        <v/>
      </c>
      <c r="K395" s="26">
        <f>IF(A395="","",IFERROR(IF(INDEX(tbl_Onsite[Job Description],IFERROR(MATCH(A395&amp;"",tbl_Onsite[Job Number],0),MATCH(IFERROR(A395+0,A395),tbl_Onsite[Job Number],0)))="","",INDEX(tbl_Onsite[Job Description],IFERROR(MATCH(A395&amp;"",tbl_Onsite[Job Number],0),MATCH(IFERROR(A395+0,A395),tbl_Onsite[Job Number],0)))),IFERROR(IF(INDEX(tbl_Production[Job Description],IFERROR(MATCH(A395&amp;"",tbl_Production[Job Number],0),MATCH(IFERROR(A395+0,A395),tbl_Production[Job Number],0)))="","",INDEX(tbl_Production[Job Description],IFERROR(MATCH(A395&amp;"",tbl_Production[Job Number],0),MATCH(IFERROR(A395+0,A395),tbl_Production[Job Number],0)))),IFERROR(IF(INDEX(tbl_Consulting[Job Description],IFERROR(MATCH(A395&amp;"",tbl_Consulting[Job Number],0),MATCH(IFERROR(A395+0,A395),tbl_Consulting[Job Number],0)))="","",INDEX(tbl_Consulting[Job Description],IFERROR(MATCH(A395&amp;"",tbl_Consulting[Job Number],0),MATCH(IFERROR(A395+0,A395),tbl_Consulting[Job Number],0)))),""))))</f>
        <v/>
      </c>
      <c r="L395" s="26">
        <f>IF(A395="","",IFERROR(IF(INDEX(tbl_Onsite[Invoice Type],IFERROR(MATCH(A395&amp;"",tbl_Onsite[Job Number],0),MATCH(IFERROR(A395+0,A395),tbl_Onsite[Job Number],0)))="","",INDEX(tbl_Onsite[Invoice Type],IFERROR(MATCH(A395&amp;"",tbl_Onsite[Job Number],0),MATCH(IFERROR(A395+0,A395),tbl_Onsite[Job Number],0)))),IFERROR(IF(INDEX(tbl_Production[Invoice Type],IFERROR(MATCH(A395&amp;"",tbl_Production[Job Number],0),MATCH(IFERROR(A395+0,A395),tbl_Production[Job Number],0)))="","",INDEX(tbl_Production[Invoice Type],IFERROR(MATCH(A395&amp;"",tbl_Production[Job Number],0),MATCH(IFERROR(A395+0,A395),tbl_Production[Job Number],0)))),IFERROR(IF(INDEX(tbl_Consulting[Invoice Type],IFERROR(MATCH(A395&amp;"",tbl_Consulting[Job Number],0),MATCH(IFERROR(A395+0,A395),tbl_Consulting[Job Number],0)))="","",INDEX(tbl_Consulting[Invoice Type],IFERROR(MATCH(A395&amp;"",tbl_Consulting[Job Number],0),MATCH(IFERROR(A395+0,A395),tbl_Consulting[Job Number],0)))),""))))</f>
        <v/>
      </c>
      <c r="M395" s="26">
        <f>IF(A395="","",IF(IFERROR(IF(INDEX(tbl_Onsite[Tax Code],IFERROR(MATCH(A395&amp;"",tbl_Onsite[Job Number],0),MATCH(IFERROR(A395+0,A395),tbl_Onsite[Job Number],0)))="","",INDEX(tbl_Onsite[Tax Code],IFERROR(MATCH(A395&amp;"",tbl_Onsite[Job Number],0),MATCH(IFERROR(A395+0,A395),tbl_Onsite[Job Number],0)))),IFERROR(IF(INDEX(tbl_Production[Tax Code],IFERROR(MATCH(A395&amp;"",tbl_Production[Job Number],0),MATCH(IFERROR(A395+0,A395),tbl_Production[Job Number],0)))="","",INDEX(tbl_Production[Tax Code],IFERROR(MATCH(A395&amp;"",tbl_Production[Job Number],0),MATCH(IFERROR(A395+0,A395),tbl_Production[Job Number],0)))),IFERROR(IF(INDEX(tbl_Consulting[Tax Code],IFERROR(MATCH(A395&amp;"",tbl_Consulting[Job Number],0),MATCH(IFERROR(A395+0,A395),tbl_Consulting[Job Number],0)))="","",INDEX(tbl_Consulting[Tax Code],IFERROR(MATCH(A395&amp;"",tbl_Consulting[Job Number],0),MATCH(IFERROR(A395+0,A395),tbl_Consulting[Job Number],0)))),"")))="","GST 10%",IFERROR(IF(INDEX(tbl_Onsite[Tax Code],IFERROR(MATCH(A395&amp;"",tbl_Onsite[Job Number],0),MATCH(IFERROR(A395+0,A395),tbl_Onsite[Job Number],0)))="","",INDEX(tbl_Onsite[Tax Code],IFERROR(MATCH(A395&amp;"",tbl_Onsite[Job Number],0),MATCH(IFERROR(A395+0,A395),tbl_Onsite[Job Number],0)))),IFERROR(IF(INDEX(tbl_Production[Tax Code],IFERROR(MATCH(A395&amp;"",tbl_Production[Job Number],0),MATCH(IFERROR(A395+0,A395),tbl_Production[Job Number],0)))="","",INDEX(tbl_Production[Tax Code],IFERROR(MATCH(A395&amp;"",tbl_Production[Job Number],0),MATCH(IFERROR(A395+0,A395),tbl_Production[Job Number],0)))),IFERROR(IF(INDEX(tbl_Consulting[Tax Code],IFERROR(MATCH(A395&amp;"",tbl_Consulting[Job Number],0),MATCH(IFERROR(A395+0,A395),tbl_Consulting[Job Number],0)))="","",INDEX(tbl_Consulting[Tax Code],IFERROR(MATCH(A395&amp;"",tbl_Consulting[Job Number],0),MATCH(IFERROR(A395+0,A395),tbl_Consulting[Job Number],0)))),"")))))</f>
        <v/>
      </c>
      <c r="N395" s="26">
        <f>IF(D395="","",IFERROR(INDEX(lst_CCtoGL,MATCH(D395,lst_CCforGL,0)),""))</f>
        <v/>
      </c>
      <c r="O395" s="27">
        <f>IF(E395="","",IF(M395="GST 10%",ROUND(E395*set_GSTRate,2),0))</f>
        <v/>
      </c>
      <c r="P395" s="27">
        <f>IF(E395="","",E395+O395)</f>
        <v/>
      </c>
      <c r="Q395" s="27">
        <f>IF(A395="","",IFERROR(INDEX(tbl_Onsite[Expected Revenue Ex GST],IFERROR(MATCH(A395&amp;"",tbl_Onsite[Job Number],0),MATCH(IFERROR(A395+0,A395),tbl_Onsite[Job Number],0))),IFERROR(INDEX(tbl_Production[Expected Revenue Ex GST],IFERROR(MATCH(A395&amp;"",tbl_Production[Job Number],0),MATCH(IFERROR(A395+0,A395),tbl_Production[Job Number],0))),IFERROR(INDEX(tbl_Consulting[Expected Revenue Ex GST],IFERROR(MATCH(A395&amp;"",tbl_Consulting[Job Number],0),MATCH(IFERROR(A395+0,A395),tbl_Consulting[Job Number],0))),0))))</f>
        <v/>
      </c>
      <c r="R395" s="27">
        <f>IF(A395="","",SUMIFS(tbl_Finance[Ex GST],tbl_Finance[Job Number],A395&amp;""))</f>
        <v/>
      </c>
      <c r="S395" s="27">
        <f>IF(A395="","",Q395-R395)</f>
        <v/>
      </c>
      <c r="T395" s="26">
        <f>IF(A395="","",IF(Q395=0,"No dept value",IF(ROUND(S395,2)=0,"Agrees",IF(S395&gt;0,"Dept higher - to invoice","Xero higher - check dept"))))</f>
        <v/>
      </c>
      <c r="U395" s="22" t="n"/>
      <c r="V395" s="22" t="n"/>
      <c r="W395" s="23" t="n"/>
      <c r="X395" s="23" t="n"/>
      <c r="Y395" s="22" t="n"/>
      <c r="Z395" s="22" t="n"/>
      <c r="AA395" s="26">
        <f>IF(COUNTA(C395,A395,B395,E395)=0,"",IF(C395="","No date - sits outside every month",IF(A395="","No job number",IF(H395="CHECK","Job number is not in the Xero job list",IF(G395="not set up yet","No department has set this job up - nothing can pull through",IF(D395="","No cost centre",IF(AND(U395="Y",B395=""),"Marked posted to Xero but has no invoice number",IF(N395="","Cost centre has no revenue GL on the Lists sheet",IF(T395="Xero higher - check dept","Invoiced more than the department says the job is worth","")))))))))</f>
        <v/>
      </c>
      <c r="AB395" s="28">
        <f>IF(A395="","",COUNTIFS(tbl_Finance[Job Number],A395&amp;"",tbl_Finance[Ex GST],"&lt;&gt;"))</f>
        <v/>
      </c>
      <c r="AC395" s="27">
        <f>IF(A395="","",SUMIFS(tbl_Finance[Ex GST],tbl_Finance[Job Number],A395&amp;""))</f>
        <v/>
      </c>
      <c r="AD395" s="27">
        <f>IF(A395="","",SUMIFS(tbl_Finance[Ex GST],tbl_Finance[Job Number],A395&amp;"",tbl_Finance[Xero Invoice No],"&lt;&gt;"))</f>
        <v/>
      </c>
      <c r="AE395" s="27">
        <f>IF(A395="","",AC395-AD395)</f>
        <v/>
      </c>
      <c r="AF395" s="26">
        <f>IF(A395="","",IFERROR(IF(INDEX(tbl_Onsite[Qwilr Quote],IFERROR(MATCH(A395&amp;"",tbl_Onsite[Job Number],0),MATCH(IFERROR(A395+0,A395),tbl_Onsite[Job Number],0)))="","",INDEX(tbl_Onsite[Qwilr Quote],IFERROR(MATCH(A395&amp;"",tbl_Onsite[Job Number],0),MATCH(IFERROR(A395+0,A395),tbl_Onsite[Job Number],0)))),IFERROR(IF(IF(INDEX(tbl_Production[Current RMS No],IFERROR(MATCH(A395&amp;"",tbl_Production[Job Number],0),MATCH(IFERROR(A395+0,A395),tbl_Production[Job Number],0)))="",INDEX(tbl_Production[Qwilr Quote],IFERROR(MATCH(A395&amp;"",tbl_Production[Job Number],0),MATCH(IFERROR(A395+0,A395),tbl_Production[Job Number],0))),INDEX(tbl_Production[Current RMS No],IFERROR(MATCH(A395&amp;"",tbl_Production[Job Number],0),MATCH(IFERROR(A395+0,A395),tbl_Production[Job Number],0))))="","",IF(INDEX(tbl_Production[Current RMS No],IFERROR(MATCH(A395&amp;"",tbl_Production[Job Number],0),MATCH(IFERROR(A395+0,A395),tbl_Production[Job Number],0)))="",INDEX(tbl_Production[Qwilr Quote],IFERROR(MATCH(A395&amp;"",tbl_Production[Job Number],0),MATCH(IFERROR(A395+0,A395),tbl_Production[Job Number],0))),INDEX(tbl_Production[Current RMS No],IFERROR(MATCH(A395&amp;"",tbl_Production[Job Number],0),MATCH(IFERROR(A395+0,A395),tbl_Production[Job Number],0))))),IFERROR(IF(INDEX(tbl_Consulting[Qwilr Quote],IFERROR(MATCH(A395&amp;"",tbl_Consulting[Job Number],0),MATCH(IFERROR(A395+0,A395),tbl_Consulting[Job Number],0)))="","",INDEX(tbl_Consulting[Qwilr Quote],IFERROR(MATCH(A395&amp;"",tbl_Consulting[Job Number],0),MATCH(IFERROR(A395+0,A395),tbl_Consulting[Job Number],0)))),""))))</f>
        <v/>
      </c>
      <c r="AG395" s="26">
        <f>IF(AF395="","",IF(AND(LEFT(AF395,4)&lt;&gt;"http",IF(G395="Production",set_RMSBase,set_QwilrBase)=""),"",HYPERLINK(IF(LEFT(AF395,4)="http",AF395,IF(G395="Production",set_RMSBase,set_QwilrBase)&amp;AF395),"Open")))</f>
        <v/>
      </c>
      <c r="AH395" s="27">
        <f>IF(A395="","",IFERROR(INDEX(tbl_Production[Total Expense],IFERROR(MATCH(A395&amp;"",tbl_Production[Job Number],0),MATCH(IFERROR(A395+0,A395),tbl_Production[Job Number],0))),IFERROR(INDEX(tbl_Consulting[Total Expense],IFERROR(MATCH(A395&amp;"",tbl_Consulting[Job Number],0),MATCH(IFERROR(A395+0,A395),tbl_Consulting[Job Number],0))),0)))</f>
        <v/>
      </c>
      <c r="AI395" s="27">
        <f>IF(A395="","",AC395-N(AH395))</f>
        <v/>
      </c>
      <c r="AJ395" s="29">
        <f>IFERROR(AI395/AC395,"")</f>
        <v/>
      </c>
      <c r="AK395" s="26">
        <f>IF(A395="","",IFERROR(IF(INDEX(tbl_Onsite[Notes],IFERROR(MATCH(A395&amp;"",tbl_Onsite[Job Number],0),MATCH(IFERROR(A395+0,A395),tbl_Onsite[Job Number],0)))="","",INDEX(tbl_Onsite[Notes],IFERROR(MATCH(A395&amp;"",tbl_Onsite[Job Number],0),MATCH(IFERROR(A395+0,A395),tbl_Onsite[Job Number],0)))),IFERROR(IF(INDEX(tbl_Production[Notes],IFERROR(MATCH(A395&amp;"",tbl_Production[Job Number],0),MATCH(IFERROR(A395+0,A395),tbl_Production[Job Number],0)))="","",INDEX(tbl_Production[Notes],IFERROR(MATCH(A395&amp;"",tbl_Production[Job Number],0),MATCH(IFERROR(A395+0,A395),tbl_Production[Job Number],0)))),IFERROR(IF(INDEX(tbl_Consulting[Notes],IFERROR(MATCH(A395&amp;"",tbl_Consulting[Job Number],0),MATCH(IFERROR(A395+0,A395),tbl_Consulting[Job Number],0)))="","",INDEX(tbl_Consulting[Notes],IFERROR(MATCH(A395&amp;"",tbl_Consulting[Job Number],0),MATCH(IFERROR(A395+0,A395),tbl_Consulting[Job Number],0)))),""))))</f>
        <v/>
      </c>
    </row>
    <row r="396" ht="15" customHeight="1">
      <c r="A396" s="22" t="n"/>
      <c r="B396" s="22" t="n"/>
      <c r="C396" s="23" t="n"/>
      <c r="D396" s="22" t="n"/>
      <c r="E396" s="24" t="n"/>
      <c r="F396" s="25">
        <f>IF(C396="","",EOMONTH(C396,0))</f>
        <v/>
      </c>
      <c r="G396" s="26">
        <f>IF(A396="","",IF(COUNTIF(tbl_Onsite[Job Number],A396&amp;"")&gt;0,"Onsite",IF(COUNTIF(tbl_Production[Job Number],A396&amp;"")&gt;0,"Production",IF(COUNTIF(tbl_Consulting[Job Number],A396&amp;"")&gt;0,"Consulting","not set up yet"))))</f>
        <v/>
      </c>
      <c r="H396" s="26">
        <f>IF(A396="","",IF(COUNTIF(lst_Jobs,A396&amp;"")&gt;0,"OK","CHECK"))</f>
        <v/>
      </c>
      <c r="I396" s="26">
        <f>IF(A396="","",IFERROR(INDEX(lst_JobName,MATCH(A396&amp;"",lst_Jobs,0)),""))</f>
        <v/>
      </c>
      <c r="J396" s="26">
        <f>IF(A396="","",IFERROR(IF(INDEX(tbl_Onsite[Client],IFERROR(MATCH(A396&amp;"",tbl_Onsite[Job Number],0),MATCH(IFERROR(A396+0,A396),tbl_Onsite[Job Number],0)))="","",INDEX(tbl_Onsite[Client],IFERROR(MATCH(A396&amp;"",tbl_Onsite[Job Number],0),MATCH(IFERROR(A396+0,A396),tbl_Onsite[Job Number],0)))),IFERROR(IF(INDEX(tbl_Production[Client],IFERROR(MATCH(A396&amp;"",tbl_Production[Job Number],0),MATCH(IFERROR(A396+0,A396),tbl_Production[Job Number],0)))="","",INDEX(tbl_Production[Client],IFERROR(MATCH(A396&amp;"",tbl_Production[Job Number],0),MATCH(IFERROR(A396+0,A396),tbl_Production[Job Number],0)))),IFERROR(IF(INDEX(tbl_Consulting[Client],IFERROR(MATCH(A396&amp;"",tbl_Consulting[Job Number],0),MATCH(IFERROR(A396+0,A396),tbl_Consulting[Job Number],0)))="","",INDEX(tbl_Consulting[Client],IFERROR(MATCH(A396&amp;"",tbl_Consulting[Job Number],0),MATCH(IFERROR(A396+0,A396),tbl_Consulting[Job Number],0)))),""))))</f>
        <v/>
      </c>
      <c r="K396" s="26">
        <f>IF(A396="","",IFERROR(IF(INDEX(tbl_Onsite[Job Description],IFERROR(MATCH(A396&amp;"",tbl_Onsite[Job Number],0),MATCH(IFERROR(A396+0,A396),tbl_Onsite[Job Number],0)))="","",INDEX(tbl_Onsite[Job Description],IFERROR(MATCH(A396&amp;"",tbl_Onsite[Job Number],0),MATCH(IFERROR(A396+0,A396),tbl_Onsite[Job Number],0)))),IFERROR(IF(INDEX(tbl_Production[Job Description],IFERROR(MATCH(A396&amp;"",tbl_Production[Job Number],0),MATCH(IFERROR(A396+0,A396),tbl_Production[Job Number],0)))="","",INDEX(tbl_Production[Job Description],IFERROR(MATCH(A396&amp;"",tbl_Production[Job Number],0),MATCH(IFERROR(A396+0,A396),tbl_Production[Job Number],0)))),IFERROR(IF(INDEX(tbl_Consulting[Job Description],IFERROR(MATCH(A396&amp;"",tbl_Consulting[Job Number],0),MATCH(IFERROR(A396+0,A396),tbl_Consulting[Job Number],0)))="","",INDEX(tbl_Consulting[Job Description],IFERROR(MATCH(A396&amp;"",tbl_Consulting[Job Number],0),MATCH(IFERROR(A396+0,A396),tbl_Consulting[Job Number],0)))),""))))</f>
        <v/>
      </c>
      <c r="L396" s="26">
        <f>IF(A396="","",IFERROR(IF(INDEX(tbl_Onsite[Invoice Type],IFERROR(MATCH(A396&amp;"",tbl_Onsite[Job Number],0),MATCH(IFERROR(A396+0,A396),tbl_Onsite[Job Number],0)))="","",INDEX(tbl_Onsite[Invoice Type],IFERROR(MATCH(A396&amp;"",tbl_Onsite[Job Number],0),MATCH(IFERROR(A396+0,A396),tbl_Onsite[Job Number],0)))),IFERROR(IF(INDEX(tbl_Production[Invoice Type],IFERROR(MATCH(A396&amp;"",tbl_Production[Job Number],0),MATCH(IFERROR(A396+0,A396),tbl_Production[Job Number],0)))="","",INDEX(tbl_Production[Invoice Type],IFERROR(MATCH(A396&amp;"",tbl_Production[Job Number],0),MATCH(IFERROR(A396+0,A396),tbl_Production[Job Number],0)))),IFERROR(IF(INDEX(tbl_Consulting[Invoice Type],IFERROR(MATCH(A396&amp;"",tbl_Consulting[Job Number],0),MATCH(IFERROR(A396+0,A396),tbl_Consulting[Job Number],0)))="","",INDEX(tbl_Consulting[Invoice Type],IFERROR(MATCH(A396&amp;"",tbl_Consulting[Job Number],0),MATCH(IFERROR(A396+0,A396),tbl_Consulting[Job Number],0)))),""))))</f>
        <v/>
      </c>
      <c r="M396" s="26">
        <f>IF(A396="","",IF(IFERROR(IF(INDEX(tbl_Onsite[Tax Code],IFERROR(MATCH(A396&amp;"",tbl_Onsite[Job Number],0),MATCH(IFERROR(A396+0,A396),tbl_Onsite[Job Number],0)))="","",INDEX(tbl_Onsite[Tax Code],IFERROR(MATCH(A396&amp;"",tbl_Onsite[Job Number],0),MATCH(IFERROR(A396+0,A396),tbl_Onsite[Job Number],0)))),IFERROR(IF(INDEX(tbl_Production[Tax Code],IFERROR(MATCH(A396&amp;"",tbl_Production[Job Number],0),MATCH(IFERROR(A396+0,A396),tbl_Production[Job Number],0)))="","",INDEX(tbl_Production[Tax Code],IFERROR(MATCH(A396&amp;"",tbl_Production[Job Number],0),MATCH(IFERROR(A396+0,A396),tbl_Production[Job Number],0)))),IFERROR(IF(INDEX(tbl_Consulting[Tax Code],IFERROR(MATCH(A396&amp;"",tbl_Consulting[Job Number],0),MATCH(IFERROR(A396+0,A396),tbl_Consulting[Job Number],0)))="","",INDEX(tbl_Consulting[Tax Code],IFERROR(MATCH(A396&amp;"",tbl_Consulting[Job Number],0),MATCH(IFERROR(A396+0,A396),tbl_Consulting[Job Number],0)))),"")))="","GST 10%",IFERROR(IF(INDEX(tbl_Onsite[Tax Code],IFERROR(MATCH(A396&amp;"",tbl_Onsite[Job Number],0),MATCH(IFERROR(A396+0,A396),tbl_Onsite[Job Number],0)))="","",INDEX(tbl_Onsite[Tax Code],IFERROR(MATCH(A396&amp;"",tbl_Onsite[Job Number],0),MATCH(IFERROR(A396+0,A396),tbl_Onsite[Job Number],0)))),IFERROR(IF(INDEX(tbl_Production[Tax Code],IFERROR(MATCH(A396&amp;"",tbl_Production[Job Number],0),MATCH(IFERROR(A396+0,A396),tbl_Production[Job Number],0)))="","",INDEX(tbl_Production[Tax Code],IFERROR(MATCH(A396&amp;"",tbl_Production[Job Number],0),MATCH(IFERROR(A396+0,A396),tbl_Production[Job Number],0)))),IFERROR(IF(INDEX(tbl_Consulting[Tax Code],IFERROR(MATCH(A396&amp;"",tbl_Consulting[Job Number],0),MATCH(IFERROR(A396+0,A396),tbl_Consulting[Job Number],0)))="","",INDEX(tbl_Consulting[Tax Code],IFERROR(MATCH(A396&amp;"",tbl_Consulting[Job Number],0),MATCH(IFERROR(A396+0,A396),tbl_Consulting[Job Number],0)))),"")))))</f>
        <v/>
      </c>
      <c r="N396" s="26">
        <f>IF(D396="","",IFERROR(INDEX(lst_CCtoGL,MATCH(D396,lst_CCforGL,0)),""))</f>
        <v/>
      </c>
      <c r="O396" s="27">
        <f>IF(E396="","",IF(M396="GST 10%",ROUND(E396*set_GSTRate,2),0))</f>
        <v/>
      </c>
      <c r="P396" s="27">
        <f>IF(E396="","",E396+O396)</f>
        <v/>
      </c>
      <c r="Q396" s="27">
        <f>IF(A396="","",IFERROR(INDEX(tbl_Onsite[Expected Revenue Ex GST],IFERROR(MATCH(A396&amp;"",tbl_Onsite[Job Number],0),MATCH(IFERROR(A396+0,A396),tbl_Onsite[Job Number],0))),IFERROR(INDEX(tbl_Production[Expected Revenue Ex GST],IFERROR(MATCH(A396&amp;"",tbl_Production[Job Number],0),MATCH(IFERROR(A396+0,A396),tbl_Production[Job Number],0))),IFERROR(INDEX(tbl_Consulting[Expected Revenue Ex GST],IFERROR(MATCH(A396&amp;"",tbl_Consulting[Job Number],0),MATCH(IFERROR(A396+0,A396),tbl_Consulting[Job Number],0))),0))))</f>
        <v/>
      </c>
      <c r="R396" s="27">
        <f>IF(A396="","",SUMIFS(tbl_Finance[Ex GST],tbl_Finance[Job Number],A396&amp;""))</f>
        <v/>
      </c>
      <c r="S396" s="27">
        <f>IF(A396="","",Q396-R396)</f>
        <v/>
      </c>
      <c r="T396" s="26">
        <f>IF(A396="","",IF(Q396=0,"No dept value",IF(ROUND(S396,2)=0,"Agrees",IF(S396&gt;0,"Dept higher - to invoice","Xero higher - check dept"))))</f>
        <v/>
      </c>
      <c r="U396" s="22" t="n"/>
      <c r="V396" s="22" t="n"/>
      <c r="W396" s="23" t="n"/>
      <c r="X396" s="23" t="n"/>
      <c r="Y396" s="22" t="n"/>
      <c r="Z396" s="22" t="n"/>
      <c r="AA396" s="26">
        <f>IF(COUNTA(C396,A396,B396,E396)=0,"",IF(C396="","No date - sits outside every month",IF(A396="","No job number",IF(H396="CHECK","Job number is not in the Xero job list",IF(G396="not set up yet","No department has set this job up - nothing can pull through",IF(D396="","No cost centre",IF(AND(U396="Y",B396=""),"Marked posted to Xero but has no invoice number",IF(N396="","Cost centre has no revenue GL on the Lists sheet",IF(T396="Xero higher - check dept","Invoiced more than the department says the job is worth","")))))))))</f>
        <v/>
      </c>
      <c r="AB396" s="28">
        <f>IF(A396="","",COUNTIFS(tbl_Finance[Job Number],A396&amp;"",tbl_Finance[Ex GST],"&lt;&gt;"))</f>
        <v/>
      </c>
      <c r="AC396" s="27">
        <f>IF(A396="","",SUMIFS(tbl_Finance[Ex GST],tbl_Finance[Job Number],A396&amp;""))</f>
        <v/>
      </c>
      <c r="AD396" s="27">
        <f>IF(A396="","",SUMIFS(tbl_Finance[Ex GST],tbl_Finance[Job Number],A396&amp;"",tbl_Finance[Xero Invoice No],"&lt;&gt;"))</f>
        <v/>
      </c>
      <c r="AE396" s="27">
        <f>IF(A396="","",AC396-AD396)</f>
        <v/>
      </c>
      <c r="AF396" s="26">
        <f>IF(A396="","",IFERROR(IF(INDEX(tbl_Onsite[Qwilr Quote],IFERROR(MATCH(A396&amp;"",tbl_Onsite[Job Number],0),MATCH(IFERROR(A396+0,A396),tbl_Onsite[Job Number],0)))="","",INDEX(tbl_Onsite[Qwilr Quote],IFERROR(MATCH(A396&amp;"",tbl_Onsite[Job Number],0),MATCH(IFERROR(A396+0,A396),tbl_Onsite[Job Number],0)))),IFERROR(IF(IF(INDEX(tbl_Production[Current RMS No],IFERROR(MATCH(A396&amp;"",tbl_Production[Job Number],0),MATCH(IFERROR(A396+0,A396),tbl_Production[Job Number],0)))="",INDEX(tbl_Production[Qwilr Quote],IFERROR(MATCH(A396&amp;"",tbl_Production[Job Number],0),MATCH(IFERROR(A396+0,A396),tbl_Production[Job Number],0))),INDEX(tbl_Production[Current RMS No],IFERROR(MATCH(A396&amp;"",tbl_Production[Job Number],0),MATCH(IFERROR(A396+0,A396),tbl_Production[Job Number],0))))="","",IF(INDEX(tbl_Production[Current RMS No],IFERROR(MATCH(A396&amp;"",tbl_Production[Job Number],0),MATCH(IFERROR(A396+0,A396),tbl_Production[Job Number],0)))="",INDEX(tbl_Production[Qwilr Quote],IFERROR(MATCH(A396&amp;"",tbl_Production[Job Number],0),MATCH(IFERROR(A396+0,A396),tbl_Production[Job Number],0))),INDEX(tbl_Production[Current RMS No],IFERROR(MATCH(A396&amp;"",tbl_Production[Job Number],0),MATCH(IFERROR(A396+0,A396),tbl_Production[Job Number],0))))),IFERROR(IF(INDEX(tbl_Consulting[Qwilr Quote],IFERROR(MATCH(A396&amp;"",tbl_Consulting[Job Number],0),MATCH(IFERROR(A396+0,A396),tbl_Consulting[Job Number],0)))="","",INDEX(tbl_Consulting[Qwilr Quote],IFERROR(MATCH(A396&amp;"",tbl_Consulting[Job Number],0),MATCH(IFERROR(A396+0,A396),tbl_Consulting[Job Number],0)))),""))))</f>
        <v/>
      </c>
      <c r="AG396" s="26">
        <f>IF(AF396="","",IF(AND(LEFT(AF396,4)&lt;&gt;"http",IF(G396="Production",set_RMSBase,set_QwilrBase)=""),"",HYPERLINK(IF(LEFT(AF396,4)="http",AF396,IF(G396="Production",set_RMSBase,set_QwilrBase)&amp;AF396),"Open")))</f>
        <v/>
      </c>
      <c r="AH396" s="27">
        <f>IF(A396="","",IFERROR(INDEX(tbl_Production[Total Expense],IFERROR(MATCH(A396&amp;"",tbl_Production[Job Number],0),MATCH(IFERROR(A396+0,A396),tbl_Production[Job Number],0))),IFERROR(INDEX(tbl_Consulting[Total Expense],IFERROR(MATCH(A396&amp;"",tbl_Consulting[Job Number],0),MATCH(IFERROR(A396+0,A396),tbl_Consulting[Job Number],0))),0)))</f>
        <v/>
      </c>
      <c r="AI396" s="27">
        <f>IF(A396="","",AC396-N(AH396))</f>
        <v/>
      </c>
      <c r="AJ396" s="29">
        <f>IFERROR(AI396/AC396,"")</f>
        <v/>
      </c>
      <c r="AK396" s="26">
        <f>IF(A396="","",IFERROR(IF(INDEX(tbl_Onsite[Notes],IFERROR(MATCH(A396&amp;"",tbl_Onsite[Job Number],0),MATCH(IFERROR(A396+0,A396),tbl_Onsite[Job Number],0)))="","",INDEX(tbl_Onsite[Notes],IFERROR(MATCH(A396&amp;"",tbl_Onsite[Job Number],0),MATCH(IFERROR(A396+0,A396),tbl_Onsite[Job Number],0)))),IFERROR(IF(INDEX(tbl_Production[Notes],IFERROR(MATCH(A396&amp;"",tbl_Production[Job Number],0),MATCH(IFERROR(A396+0,A396),tbl_Production[Job Number],0)))="","",INDEX(tbl_Production[Notes],IFERROR(MATCH(A396&amp;"",tbl_Production[Job Number],0),MATCH(IFERROR(A396+0,A396),tbl_Production[Job Number],0)))),IFERROR(IF(INDEX(tbl_Consulting[Notes],IFERROR(MATCH(A396&amp;"",tbl_Consulting[Job Number],0),MATCH(IFERROR(A396+0,A396),tbl_Consulting[Job Number],0)))="","",INDEX(tbl_Consulting[Notes],IFERROR(MATCH(A396&amp;"",tbl_Consulting[Job Number],0),MATCH(IFERROR(A396+0,A396),tbl_Consulting[Job Number],0)))),""))))</f>
        <v/>
      </c>
    </row>
    <row r="397" ht="15" customHeight="1">
      <c r="A397" s="22" t="n"/>
      <c r="B397" s="22" t="n"/>
      <c r="C397" s="23" t="n"/>
      <c r="D397" s="22" t="n"/>
      <c r="E397" s="24" t="n"/>
      <c r="F397" s="25">
        <f>IF(C397="","",EOMONTH(C397,0))</f>
        <v/>
      </c>
      <c r="G397" s="26">
        <f>IF(A397="","",IF(COUNTIF(tbl_Onsite[Job Number],A397&amp;"")&gt;0,"Onsite",IF(COUNTIF(tbl_Production[Job Number],A397&amp;"")&gt;0,"Production",IF(COUNTIF(tbl_Consulting[Job Number],A397&amp;"")&gt;0,"Consulting","not set up yet"))))</f>
        <v/>
      </c>
      <c r="H397" s="26">
        <f>IF(A397="","",IF(COUNTIF(lst_Jobs,A397&amp;"")&gt;0,"OK","CHECK"))</f>
        <v/>
      </c>
      <c r="I397" s="26">
        <f>IF(A397="","",IFERROR(INDEX(lst_JobName,MATCH(A397&amp;"",lst_Jobs,0)),""))</f>
        <v/>
      </c>
      <c r="J397" s="26">
        <f>IF(A397="","",IFERROR(IF(INDEX(tbl_Onsite[Client],IFERROR(MATCH(A397&amp;"",tbl_Onsite[Job Number],0),MATCH(IFERROR(A397+0,A397),tbl_Onsite[Job Number],0)))="","",INDEX(tbl_Onsite[Client],IFERROR(MATCH(A397&amp;"",tbl_Onsite[Job Number],0),MATCH(IFERROR(A397+0,A397),tbl_Onsite[Job Number],0)))),IFERROR(IF(INDEX(tbl_Production[Client],IFERROR(MATCH(A397&amp;"",tbl_Production[Job Number],0),MATCH(IFERROR(A397+0,A397),tbl_Production[Job Number],0)))="","",INDEX(tbl_Production[Client],IFERROR(MATCH(A397&amp;"",tbl_Production[Job Number],0),MATCH(IFERROR(A397+0,A397),tbl_Production[Job Number],0)))),IFERROR(IF(INDEX(tbl_Consulting[Client],IFERROR(MATCH(A397&amp;"",tbl_Consulting[Job Number],0),MATCH(IFERROR(A397+0,A397),tbl_Consulting[Job Number],0)))="","",INDEX(tbl_Consulting[Client],IFERROR(MATCH(A397&amp;"",tbl_Consulting[Job Number],0),MATCH(IFERROR(A397+0,A397),tbl_Consulting[Job Number],0)))),""))))</f>
        <v/>
      </c>
      <c r="K397" s="26">
        <f>IF(A397="","",IFERROR(IF(INDEX(tbl_Onsite[Job Description],IFERROR(MATCH(A397&amp;"",tbl_Onsite[Job Number],0),MATCH(IFERROR(A397+0,A397),tbl_Onsite[Job Number],0)))="","",INDEX(tbl_Onsite[Job Description],IFERROR(MATCH(A397&amp;"",tbl_Onsite[Job Number],0),MATCH(IFERROR(A397+0,A397),tbl_Onsite[Job Number],0)))),IFERROR(IF(INDEX(tbl_Production[Job Description],IFERROR(MATCH(A397&amp;"",tbl_Production[Job Number],0),MATCH(IFERROR(A397+0,A397),tbl_Production[Job Number],0)))="","",INDEX(tbl_Production[Job Description],IFERROR(MATCH(A397&amp;"",tbl_Production[Job Number],0),MATCH(IFERROR(A397+0,A397),tbl_Production[Job Number],0)))),IFERROR(IF(INDEX(tbl_Consulting[Job Description],IFERROR(MATCH(A397&amp;"",tbl_Consulting[Job Number],0),MATCH(IFERROR(A397+0,A397),tbl_Consulting[Job Number],0)))="","",INDEX(tbl_Consulting[Job Description],IFERROR(MATCH(A397&amp;"",tbl_Consulting[Job Number],0),MATCH(IFERROR(A397+0,A397),tbl_Consulting[Job Number],0)))),""))))</f>
        <v/>
      </c>
      <c r="L397" s="26">
        <f>IF(A397="","",IFERROR(IF(INDEX(tbl_Onsite[Invoice Type],IFERROR(MATCH(A397&amp;"",tbl_Onsite[Job Number],0),MATCH(IFERROR(A397+0,A397),tbl_Onsite[Job Number],0)))="","",INDEX(tbl_Onsite[Invoice Type],IFERROR(MATCH(A397&amp;"",tbl_Onsite[Job Number],0),MATCH(IFERROR(A397+0,A397),tbl_Onsite[Job Number],0)))),IFERROR(IF(INDEX(tbl_Production[Invoice Type],IFERROR(MATCH(A397&amp;"",tbl_Production[Job Number],0),MATCH(IFERROR(A397+0,A397),tbl_Production[Job Number],0)))="","",INDEX(tbl_Production[Invoice Type],IFERROR(MATCH(A397&amp;"",tbl_Production[Job Number],0),MATCH(IFERROR(A397+0,A397),tbl_Production[Job Number],0)))),IFERROR(IF(INDEX(tbl_Consulting[Invoice Type],IFERROR(MATCH(A397&amp;"",tbl_Consulting[Job Number],0),MATCH(IFERROR(A397+0,A397),tbl_Consulting[Job Number],0)))="","",INDEX(tbl_Consulting[Invoice Type],IFERROR(MATCH(A397&amp;"",tbl_Consulting[Job Number],0),MATCH(IFERROR(A397+0,A397),tbl_Consulting[Job Number],0)))),""))))</f>
        <v/>
      </c>
      <c r="M397" s="26">
        <f>IF(A397="","",IF(IFERROR(IF(INDEX(tbl_Onsite[Tax Code],IFERROR(MATCH(A397&amp;"",tbl_Onsite[Job Number],0),MATCH(IFERROR(A397+0,A397),tbl_Onsite[Job Number],0)))="","",INDEX(tbl_Onsite[Tax Code],IFERROR(MATCH(A397&amp;"",tbl_Onsite[Job Number],0),MATCH(IFERROR(A397+0,A397),tbl_Onsite[Job Number],0)))),IFERROR(IF(INDEX(tbl_Production[Tax Code],IFERROR(MATCH(A397&amp;"",tbl_Production[Job Number],0),MATCH(IFERROR(A397+0,A397),tbl_Production[Job Number],0)))="","",INDEX(tbl_Production[Tax Code],IFERROR(MATCH(A397&amp;"",tbl_Production[Job Number],0),MATCH(IFERROR(A397+0,A397),tbl_Production[Job Number],0)))),IFERROR(IF(INDEX(tbl_Consulting[Tax Code],IFERROR(MATCH(A397&amp;"",tbl_Consulting[Job Number],0),MATCH(IFERROR(A397+0,A397),tbl_Consulting[Job Number],0)))="","",INDEX(tbl_Consulting[Tax Code],IFERROR(MATCH(A397&amp;"",tbl_Consulting[Job Number],0),MATCH(IFERROR(A397+0,A397),tbl_Consulting[Job Number],0)))),"")))="","GST 10%",IFERROR(IF(INDEX(tbl_Onsite[Tax Code],IFERROR(MATCH(A397&amp;"",tbl_Onsite[Job Number],0),MATCH(IFERROR(A397+0,A397),tbl_Onsite[Job Number],0)))="","",INDEX(tbl_Onsite[Tax Code],IFERROR(MATCH(A397&amp;"",tbl_Onsite[Job Number],0),MATCH(IFERROR(A397+0,A397),tbl_Onsite[Job Number],0)))),IFERROR(IF(INDEX(tbl_Production[Tax Code],IFERROR(MATCH(A397&amp;"",tbl_Production[Job Number],0),MATCH(IFERROR(A397+0,A397),tbl_Production[Job Number],0)))="","",INDEX(tbl_Production[Tax Code],IFERROR(MATCH(A397&amp;"",tbl_Production[Job Number],0),MATCH(IFERROR(A397+0,A397),tbl_Production[Job Number],0)))),IFERROR(IF(INDEX(tbl_Consulting[Tax Code],IFERROR(MATCH(A397&amp;"",tbl_Consulting[Job Number],0),MATCH(IFERROR(A397+0,A397),tbl_Consulting[Job Number],0)))="","",INDEX(tbl_Consulting[Tax Code],IFERROR(MATCH(A397&amp;"",tbl_Consulting[Job Number],0),MATCH(IFERROR(A397+0,A397),tbl_Consulting[Job Number],0)))),"")))))</f>
        <v/>
      </c>
      <c r="N397" s="26">
        <f>IF(D397="","",IFERROR(INDEX(lst_CCtoGL,MATCH(D397,lst_CCforGL,0)),""))</f>
        <v/>
      </c>
      <c r="O397" s="27">
        <f>IF(E397="","",IF(M397="GST 10%",ROUND(E397*set_GSTRate,2),0))</f>
        <v/>
      </c>
      <c r="P397" s="27">
        <f>IF(E397="","",E397+O397)</f>
        <v/>
      </c>
      <c r="Q397" s="27">
        <f>IF(A397="","",IFERROR(INDEX(tbl_Onsite[Expected Revenue Ex GST],IFERROR(MATCH(A397&amp;"",tbl_Onsite[Job Number],0),MATCH(IFERROR(A397+0,A397),tbl_Onsite[Job Number],0))),IFERROR(INDEX(tbl_Production[Expected Revenue Ex GST],IFERROR(MATCH(A397&amp;"",tbl_Production[Job Number],0),MATCH(IFERROR(A397+0,A397),tbl_Production[Job Number],0))),IFERROR(INDEX(tbl_Consulting[Expected Revenue Ex GST],IFERROR(MATCH(A397&amp;"",tbl_Consulting[Job Number],0),MATCH(IFERROR(A397+0,A397),tbl_Consulting[Job Number],0))),0))))</f>
        <v/>
      </c>
      <c r="R397" s="27">
        <f>IF(A397="","",SUMIFS(tbl_Finance[Ex GST],tbl_Finance[Job Number],A397&amp;""))</f>
        <v/>
      </c>
      <c r="S397" s="27">
        <f>IF(A397="","",Q397-R397)</f>
        <v/>
      </c>
      <c r="T397" s="26">
        <f>IF(A397="","",IF(Q397=0,"No dept value",IF(ROUND(S397,2)=0,"Agrees",IF(S397&gt;0,"Dept higher - to invoice","Xero higher - check dept"))))</f>
        <v/>
      </c>
      <c r="U397" s="22" t="n"/>
      <c r="V397" s="22" t="n"/>
      <c r="W397" s="23" t="n"/>
      <c r="X397" s="23" t="n"/>
      <c r="Y397" s="22" t="n"/>
      <c r="Z397" s="22" t="n"/>
      <c r="AA397" s="26">
        <f>IF(COUNTA(C397,A397,B397,E397)=0,"",IF(C397="","No date - sits outside every month",IF(A397="","No job number",IF(H397="CHECK","Job number is not in the Xero job list",IF(G397="not set up yet","No department has set this job up - nothing can pull through",IF(D397="","No cost centre",IF(AND(U397="Y",B397=""),"Marked posted to Xero but has no invoice number",IF(N397="","Cost centre has no revenue GL on the Lists sheet",IF(T397="Xero higher - check dept","Invoiced more than the department says the job is worth","")))))))))</f>
        <v/>
      </c>
      <c r="AB397" s="28">
        <f>IF(A397="","",COUNTIFS(tbl_Finance[Job Number],A397&amp;"",tbl_Finance[Ex GST],"&lt;&gt;"))</f>
        <v/>
      </c>
      <c r="AC397" s="27">
        <f>IF(A397="","",SUMIFS(tbl_Finance[Ex GST],tbl_Finance[Job Number],A397&amp;""))</f>
        <v/>
      </c>
      <c r="AD397" s="27">
        <f>IF(A397="","",SUMIFS(tbl_Finance[Ex GST],tbl_Finance[Job Number],A397&amp;"",tbl_Finance[Xero Invoice No],"&lt;&gt;"))</f>
        <v/>
      </c>
      <c r="AE397" s="27">
        <f>IF(A397="","",AC397-AD397)</f>
        <v/>
      </c>
      <c r="AF397" s="26">
        <f>IF(A397="","",IFERROR(IF(INDEX(tbl_Onsite[Qwilr Quote],IFERROR(MATCH(A397&amp;"",tbl_Onsite[Job Number],0),MATCH(IFERROR(A397+0,A397),tbl_Onsite[Job Number],0)))="","",INDEX(tbl_Onsite[Qwilr Quote],IFERROR(MATCH(A397&amp;"",tbl_Onsite[Job Number],0),MATCH(IFERROR(A397+0,A397),tbl_Onsite[Job Number],0)))),IFERROR(IF(IF(INDEX(tbl_Production[Current RMS No],IFERROR(MATCH(A397&amp;"",tbl_Production[Job Number],0),MATCH(IFERROR(A397+0,A397),tbl_Production[Job Number],0)))="",INDEX(tbl_Production[Qwilr Quote],IFERROR(MATCH(A397&amp;"",tbl_Production[Job Number],0),MATCH(IFERROR(A397+0,A397),tbl_Production[Job Number],0))),INDEX(tbl_Production[Current RMS No],IFERROR(MATCH(A397&amp;"",tbl_Production[Job Number],0),MATCH(IFERROR(A397+0,A397),tbl_Production[Job Number],0))))="","",IF(INDEX(tbl_Production[Current RMS No],IFERROR(MATCH(A397&amp;"",tbl_Production[Job Number],0),MATCH(IFERROR(A397+0,A397),tbl_Production[Job Number],0)))="",INDEX(tbl_Production[Qwilr Quote],IFERROR(MATCH(A397&amp;"",tbl_Production[Job Number],0),MATCH(IFERROR(A397+0,A397),tbl_Production[Job Number],0))),INDEX(tbl_Production[Current RMS No],IFERROR(MATCH(A397&amp;"",tbl_Production[Job Number],0),MATCH(IFERROR(A397+0,A397),tbl_Production[Job Number],0))))),IFERROR(IF(INDEX(tbl_Consulting[Qwilr Quote],IFERROR(MATCH(A397&amp;"",tbl_Consulting[Job Number],0),MATCH(IFERROR(A397+0,A397),tbl_Consulting[Job Number],0)))="","",INDEX(tbl_Consulting[Qwilr Quote],IFERROR(MATCH(A397&amp;"",tbl_Consulting[Job Number],0),MATCH(IFERROR(A397+0,A397),tbl_Consulting[Job Number],0)))),""))))</f>
        <v/>
      </c>
      <c r="AG397" s="26">
        <f>IF(AF397="","",IF(AND(LEFT(AF397,4)&lt;&gt;"http",IF(G397="Production",set_RMSBase,set_QwilrBase)=""),"",HYPERLINK(IF(LEFT(AF397,4)="http",AF397,IF(G397="Production",set_RMSBase,set_QwilrBase)&amp;AF397),"Open")))</f>
        <v/>
      </c>
      <c r="AH397" s="27">
        <f>IF(A397="","",IFERROR(INDEX(tbl_Production[Total Expense],IFERROR(MATCH(A397&amp;"",tbl_Production[Job Number],0),MATCH(IFERROR(A397+0,A397),tbl_Production[Job Number],0))),IFERROR(INDEX(tbl_Consulting[Total Expense],IFERROR(MATCH(A397&amp;"",tbl_Consulting[Job Number],0),MATCH(IFERROR(A397+0,A397),tbl_Consulting[Job Number],0))),0)))</f>
        <v/>
      </c>
      <c r="AI397" s="27">
        <f>IF(A397="","",AC397-N(AH397))</f>
        <v/>
      </c>
      <c r="AJ397" s="29">
        <f>IFERROR(AI397/AC397,"")</f>
        <v/>
      </c>
      <c r="AK397" s="26">
        <f>IF(A397="","",IFERROR(IF(INDEX(tbl_Onsite[Notes],IFERROR(MATCH(A397&amp;"",tbl_Onsite[Job Number],0),MATCH(IFERROR(A397+0,A397),tbl_Onsite[Job Number],0)))="","",INDEX(tbl_Onsite[Notes],IFERROR(MATCH(A397&amp;"",tbl_Onsite[Job Number],0),MATCH(IFERROR(A397+0,A397),tbl_Onsite[Job Number],0)))),IFERROR(IF(INDEX(tbl_Production[Notes],IFERROR(MATCH(A397&amp;"",tbl_Production[Job Number],0),MATCH(IFERROR(A397+0,A397),tbl_Production[Job Number],0)))="","",INDEX(tbl_Production[Notes],IFERROR(MATCH(A397&amp;"",tbl_Production[Job Number],0),MATCH(IFERROR(A397+0,A397),tbl_Production[Job Number],0)))),IFERROR(IF(INDEX(tbl_Consulting[Notes],IFERROR(MATCH(A397&amp;"",tbl_Consulting[Job Number],0),MATCH(IFERROR(A397+0,A397),tbl_Consulting[Job Number],0)))="","",INDEX(tbl_Consulting[Notes],IFERROR(MATCH(A397&amp;"",tbl_Consulting[Job Number],0),MATCH(IFERROR(A397+0,A397),tbl_Consulting[Job Number],0)))),""))))</f>
        <v/>
      </c>
    </row>
    <row r="398" ht="15" customHeight="1">
      <c r="A398" s="22" t="n"/>
      <c r="B398" s="22" t="n"/>
      <c r="C398" s="23" t="n"/>
      <c r="D398" s="22" t="n"/>
      <c r="E398" s="24" t="n"/>
      <c r="F398" s="25">
        <f>IF(C398="","",EOMONTH(C398,0))</f>
        <v/>
      </c>
      <c r="G398" s="26">
        <f>IF(A398="","",IF(COUNTIF(tbl_Onsite[Job Number],A398&amp;"")&gt;0,"Onsite",IF(COUNTIF(tbl_Production[Job Number],A398&amp;"")&gt;0,"Production",IF(COUNTIF(tbl_Consulting[Job Number],A398&amp;"")&gt;0,"Consulting","not set up yet"))))</f>
        <v/>
      </c>
      <c r="H398" s="26">
        <f>IF(A398="","",IF(COUNTIF(lst_Jobs,A398&amp;"")&gt;0,"OK","CHECK"))</f>
        <v/>
      </c>
      <c r="I398" s="26">
        <f>IF(A398="","",IFERROR(INDEX(lst_JobName,MATCH(A398&amp;"",lst_Jobs,0)),""))</f>
        <v/>
      </c>
      <c r="J398" s="26">
        <f>IF(A398="","",IFERROR(IF(INDEX(tbl_Onsite[Client],IFERROR(MATCH(A398&amp;"",tbl_Onsite[Job Number],0),MATCH(IFERROR(A398+0,A398),tbl_Onsite[Job Number],0)))="","",INDEX(tbl_Onsite[Client],IFERROR(MATCH(A398&amp;"",tbl_Onsite[Job Number],0),MATCH(IFERROR(A398+0,A398),tbl_Onsite[Job Number],0)))),IFERROR(IF(INDEX(tbl_Production[Client],IFERROR(MATCH(A398&amp;"",tbl_Production[Job Number],0),MATCH(IFERROR(A398+0,A398),tbl_Production[Job Number],0)))="","",INDEX(tbl_Production[Client],IFERROR(MATCH(A398&amp;"",tbl_Production[Job Number],0),MATCH(IFERROR(A398+0,A398),tbl_Production[Job Number],0)))),IFERROR(IF(INDEX(tbl_Consulting[Client],IFERROR(MATCH(A398&amp;"",tbl_Consulting[Job Number],0),MATCH(IFERROR(A398+0,A398),tbl_Consulting[Job Number],0)))="","",INDEX(tbl_Consulting[Client],IFERROR(MATCH(A398&amp;"",tbl_Consulting[Job Number],0),MATCH(IFERROR(A398+0,A398),tbl_Consulting[Job Number],0)))),""))))</f>
        <v/>
      </c>
      <c r="K398" s="26">
        <f>IF(A398="","",IFERROR(IF(INDEX(tbl_Onsite[Job Description],IFERROR(MATCH(A398&amp;"",tbl_Onsite[Job Number],0),MATCH(IFERROR(A398+0,A398),tbl_Onsite[Job Number],0)))="","",INDEX(tbl_Onsite[Job Description],IFERROR(MATCH(A398&amp;"",tbl_Onsite[Job Number],0),MATCH(IFERROR(A398+0,A398),tbl_Onsite[Job Number],0)))),IFERROR(IF(INDEX(tbl_Production[Job Description],IFERROR(MATCH(A398&amp;"",tbl_Production[Job Number],0),MATCH(IFERROR(A398+0,A398),tbl_Production[Job Number],0)))="","",INDEX(tbl_Production[Job Description],IFERROR(MATCH(A398&amp;"",tbl_Production[Job Number],0),MATCH(IFERROR(A398+0,A398),tbl_Production[Job Number],0)))),IFERROR(IF(INDEX(tbl_Consulting[Job Description],IFERROR(MATCH(A398&amp;"",tbl_Consulting[Job Number],0),MATCH(IFERROR(A398+0,A398),tbl_Consulting[Job Number],0)))="","",INDEX(tbl_Consulting[Job Description],IFERROR(MATCH(A398&amp;"",tbl_Consulting[Job Number],0),MATCH(IFERROR(A398+0,A398),tbl_Consulting[Job Number],0)))),""))))</f>
        <v/>
      </c>
      <c r="L398" s="26">
        <f>IF(A398="","",IFERROR(IF(INDEX(tbl_Onsite[Invoice Type],IFERROR(MATCH(A398&amp;"",tbl_Onsite[Job Number],0),MATCH(IFERROR(A398+0,A398),tbl_Onsite[Job Number],0)))="","",INDEX(tbl_Onsite[Invoice Type],IFERROR(MATCH(A398&amp;"",tbl_Onsite[Job Number],0),MATCH(IFERROR(A398+0,A398),tbl_Onsite[Job Number],0)))),IFERROR(IF(INDEX(tbl_Production[Invoice Type],IFERROR(MATCH(A398&amp;"",tbl_Production[Job Number],0),MATCH(IFERROR(A398+0,A398),tbl_Production[Job Number],0)))="","",INDEX(tbl_Production[Invoice Type],IFERROR(MATCH(A398&amp;"",tbl_Production[Job Number],0),MATCH(IFERROR(A398+0,A398),tbl_Production[Job Number],0)))),IFERROR(IF(INDEX(tbl_Consulting[Invoice Type],IFERROR(MATCH(A398&amp;"",tbl_Consulting[Job Number],0),MATCH(IFERROR(A398+0,A398),tbl_Consulting[Job Number],0)))="","",INDEX(tbl_Consulting[Invoice Type],IFERROR(MATCH(A398&amp;"",tbl_Consulting[Job Number],0),MATCH(IFERROR(A398+0,A398),tbl_Consulting[Job Number],0)))),""))))</f>
        <v/>
      </c>
      <c r="M398" s="26">
        <f>IF(A398="","",IF(IFERROR(IF(INDEX(tbl_Onsite[Tax Code],IFERROR(MATCH(A398&amp;"",tbl_Onsite[Job Number],0),MATCH(IFERROR(A398+0,A398),tbl_Onsite[Job Number],0)))="","",INDEX(tbl_Onsite[Tax Code],IFERROR(MATCH(A398&amp;"",tbl_Onsite[Job Number],0),MATCH(IFERROR(A398+0,A398),tbl_Onsite[Job Number],0)))),IFERROR(IF(INDEX(tbl_Production[Tax Code],IFERROR(MATCH(A398&amp;"",tbl_Production[Job Number],0),MATCH(IFERROR(A398+0,A398),tbl_Production[Job Number],0)))="","",INDEX(tbl_Production[Tax Code],IFERROR(MATCH(A398&amp;"",tbl_Production[Job Number],0),MATCH(IFERROR(A398+0,A398),tbl_Production[Job Number],0)))),IFERROR(IF(INDEX(tbl_Consulting[Tax Code],IFERROR(MATCH(A398&amp;"",tbl_Consulting[Job Number],0),MATCH(IFERROR(A398+0,A398),tbl_Consulting[Job Number],0)))="","",INDEX(tbl_Consulting[Tax Code],IFERROR(MATCH(A398&amp;"",tbl_Consulting[Job Number],0),MATCH(IFERROR(A398+0,A398),tbl_Consulting[Job Number],0)))),"")))="","GST 10%",IFERROR(IF(INDEX(tbl_Onsite[Tax Code],IFERROR(MATCH(A398&amp;"",tbl_Onsite[Job Number],0),MATCH(IFERROR(A398+0,A398),tbl_Onsite[Job Number],0)))="","",INDEX(tbl_Onsite[Tax Code],IFERROR(MATCH(A398&amp;"",tbl_Onsite[Job Number],0),MATCH(IFERROR(A398+0,A398),tbl_Onsite[Job Number],0)))),IFERROR(IF(INDEX(tbl_Production[Tax Code],IFERROR(MATCH(A398&amp;"",tbl_Production[Job Number],0),MATCH(IFERROR(A398+0,A398),tbl_Production[Job Number],0)))="","",INDEX(tbl_Production[Tax Code],IFERROR(MATCH(A398&amp;"",tbl_Production[Job Number],0),MATCH(IFERROR(A398+0,A398),tbl_Production[Job Number],0)))),IFERROR(IF(INDEX(tbl_Consulting[Tax Code],IFERROR(MATCH(A398&amp;"",tbl_Consulting[Job Number],0),MATCH(IFERROR(A398+0,A398),tbl_Consulting[Job Number],0)))="","",INDEX(tbl_Consulting[Tax Code],IFERROR(MATCH(A398&amp;"",tbl_Consulting[Job Number],0),MATCH(IFERROR(A398+0,A398),tbl_Consulting[Job Number],0)))),"")))))</f>
        <v/>
      </c>
      <c r="N398" s="26">
        <f>IF(D398="","",IFERROR(INDEX(lst_CCtoGL,MATCH(D398,lst_CCforGL,0)),""))</f>
        <v/>
      </c>
      <c r="O398" s="27">
        <f>IF(E398="","",IF(M398="GST 10%",ROUND(E398*set_GSTRate,2),0))</f>
        <v/>
      </c>
      <c r="P398" s="27">
        <f>IF(E398="","",E398+O398)</f>
        <v/>
      </c>
      <c r="Q398" s="27">
        <f>IF(A398="","",IFERROR(INDEX(tbl_Onsite[Expected Revenue Ex GST],IFERROR(MATCH(A398&amp;"",tbl_Onsite[Job Number],0),MATCH(IFERROR(A398+0,A398),tbl_Onsite[Job Number],0))),IFERROR(INDEX(tbl_Production[Expected Revenue Ex GST],IFERROR(MATCH(A398&amp;"",tbl_Production[Job Number],0),MATCH(IFERROR(A398+0,A398),tbl_Production[Job Number],0))),IFERROR(INDEX(tbl_Consulting[Expected Revenue Ex GST],IFERROR(MATCH(A398&amp;"",tbl_Consulting[Job Number],0),MATCH(IFERROR(A398+0,A398),tbl_Consulting[Job Number],0))),0))))</f>
        <v/>
      </c>
      <c r="R398" s="27">
        <f>IF(A398="","",SUMIFS(tbl_Finance[Ex GST],tbl_Finance[Job Number],A398&amp;""))</f>
        <v/>
      </c>
      <c r="S398" s="27">
        <f>IF(A398="","",Q398-R398)</f>
        <v/>
      </c>
      <c r="T398" s="26">
        <f>IF(A398="","",IF(Q398=0,"No dept value",IF(ROUND(S398,2)=0,"Agrees",IF(S398&gt;0,"Dept higher - to invoice","Xero higher - check dept"))))</f>
        <v/>
      </c>
      <c r="U398" s="22" t="n"/>
      <c r="V398" s="22" t="n"/>
      <c r="W398" s="23" t="n"/>
      <c r="X398" s="23" t="n"/>
      <c r="Y398" s="22" t="n"/>
      <c r="Z398" s="22" t="n"/>
      <c r="AA398" s="26">
        <f>IF(COUNTA(C398,A398,B398,E398)=0,"",IF(C398="","No date - sits outside every month",IF(A398="","No job number",IF(H398="CHECK","Job number is not in the Xero job list",IF(G398="not set up yet","No department has set this job up - nothing can pull through",IF(D398="","No cost centre",IF(AND(U398="Y",B398=""),"Marked posted to Xero but has no invoice number",IF(N398="","Cost centre has no revenue GL on the Lists sheet",IF(T398="Xero higher - check dept","Invoiced more than the department says the job is worth","")))))))))</f>
        <v/>
      </c>
      <c r="AB398" s="28">
        <f>IF(A398="","",COUNTIFS(tbl_Finance[Job Number],A398&amp;"",tbl_Finance[Ex GST],"&lt;&gt;"))</f>
        <v/>
      </c>
      <c r="AC398" s="27">
        <f>IF(A398="","",SUMIFS(tbl_Finance[Ex GST],tbl_Finance[Job Number],A398&amp;""))</f>
        <v/>
      </c>
      <c r="AD398" s="27">
        <f>IF(A398="","",SUMIFS(tbl_Finance[Ex GST],tbl_Finance[Job Number],A398&amp;"",tbl_Finance[Xero Invoice No],"&lt;&gt;"))</f>
        <v/>
      </c>
      <c r="AE398" s="27">
        <f>IF(A398="","",AC398-AD398)</f>
        <v/>
      </c>
      <c r="AF398" s="26">
        <f>IF(A398="","",IFERROR(IF(INDEX(tbl_Onsite[Qwilr Quote],IFERROR(MATCH(A398&amp;"",tbl_Onsite[Job Number],0),MATCH(IFERROR(A398+0,A398),tbl_Onsite[Job Number],0)))="","",INDEX(tbl_Onsite[Qwilr Quote],IFERROR(MATCH(A398&amp;"",tbl_Onsite[Job Number],0),MATCH(IFERROR(A398+0,A398),tbl_Onsite[Job Number],0)))),IFERROR(IF(IF(INDEX(tbl_Production[Current RMS No],IFERROR(MATCH(A398&amp;"",tbl_Production[Job Number],0),MATCH(IFERROR(A398+0,A398),tbl_Production[Job Number],0)))="",INDEX(tbl_Production[Qwilr Quote],IFERROR(MATCH(A398&amp;"",tbl_Production[Job Number],0),MATCH(IFERROR(A398+0,A398),tbl_Production[Job Number],0))),INDEX(tbl_Production[Current RMS No],IFERROR(MATCH(A398&amp;"",tbl_Production[Job Number],0),MATCH(IFERROR(A398+0,A398),tbl_Production[Job Number],0))))="","",IF(INDEX(tbl_Production[Current RMS No],IFERROR(MATCH(A398&amp;"",tbl_Production[Job Number],0),MATCH(IFERROR(A398+0,A398),tbl_Production[Job Number],0)))="",INDEX(tbl_Production[Qwilr Quote],IFERROR(MATCH(A398&amp;"",tbl_Production[Job Number],0),MATCH(IFERROR(A398+0,A398),tbl_Production[Job Number],0))),INDEX(tbl_Production[Current RMS No],IFERROR(MATCH(A398&amp;"",tbl_Production[Job Number],0),MATCH(IFERROR(A398+0,A398),tbl_Production[Job Number],0))))),IFERROR(IF(INDEX(tbl_Consulting[Qwilr Quote],IFERROR(MATCH(A398&amp;"",tbl_Consulting[Job Number],0),MATCH(IFERROR(A398+0,A398),tbl_Consulting[Job Number],0)))="","",INDEX(tbl_Consulting[Qwilr Quote],IFERROR(MATCH(A398&amp;"",tbl_Consulting[Job Number],0),MATCH(IFERROR(A398+0,A398),tbl_Consulting[Job Number],0)))),""))))</f>
        <v/>
      </c>
      <c r="AG398" s="26">
        <f>IF(AF398="","",IF(AND(LEFT(AF398,4)&lt;&gt;"http",IF(G398="Production",set_RMSBase,set_QwilrBase)=""),"",HYPERLINK(IF(LEFT(AF398,4)="http",AF398,IF(G398="Production",set_RMSBase,set_QwilrBase)&amp;AF398),"Open")))</f>
        <v/>
      </c>
      <c r="AH398" s="27">
        <f>IF(A398="","",IFERROR(INDEX(tbl_Production[Total Expense],IFERROR(MATCH(A398&amp;"",tbl_Production[Job Number],0),MATCH(IFERROR(A398+0,A398),tbl_Production[Job Number],0))),IFERROR(INDEX(tbl_Consulting[Total Expense],IFERROR(MATCH(A398&amp;"",tbl_Consulting[Job Number],0),MATCH(IFERROR(A398+0,A398),tbl_Consulting[Job Number],0))),0)))</f>
        <v/>
      </c>
      <c r="AI398" s="27">
        <f>IF(A398="","",AC398-N(AH398))</f>
        <v/>
      </c>
      <c r="AJ398" s="29">
        <f>IFERROR(AI398/AC398,"")</f>
        <v/>
      </c>
      <c r="AK398" s="26">
        <f>IF(A398="","",IFERROR(IF(INDEX(tbl_Onsite[Notes],IFERROR(MATCH(A398&amp;"",tbl_Onsite[Job Number],0),MATCH(IFERROR(A398+0,A398),tbl_Onsite[Job Number],0)))="","",INDEX(tbl_Onsite[Notes],IFERROR(MATCH(A398&amp;"",tbl_Onsite[Job Number],0),MATCH(IFERROR(A398+0,A398),tbl_Onsite[Job Number],0)))),IFERROR(IF(INDEX(tbl_Production[Notes],IFERROR(MATCH(A398&amp;"",tbl_Production[Job Number],0),MATCH(IFERROR(A398+0,A398),tbl_Production[Job Number],0)))="","",INDEX(tbl_Production[Notes],IFERROR(MATCH(A398&amp;"",tbl_Production[Job Number],0),MATCH(IFERROR(A398+0,A398),tbl_Production[Job Number],0)))),IFERROR(IF(INDEX(tbl_Consulting[Notes],IFERROR(MATCH(A398&amp;"",tbl_Consulting[Job Number],0),MATCH(IFERROR(A398+0,A398),tbl_Consulting[Job Number],0)))="","",INDEX(tbl_Consulting[Notes],IFERROR(MATCH(A398&amp;"",tbl_Consulting[Job Number],0),MATCH(IFERROR(A398+0,A398),tbl_Consulting[Job Number],0)))),""))))</f>
        <v/>
      </c>
    </row>
    <row r="399" ht="15" customHeight="1">
      <c r="A399" s="22" t="n"/>
      <c r="B399" s="22" t="n"/>
      <c r="C399" s="23" t="n"/>
      <c r="D399" s="22" t="n"/>
      <c r="E399" s="24" t="n"/>
      <c r="F399" s="25">
        <f>IF(C399="","",EOMONTH(C399,0))</f>
        <v/>
      </c>
      <c r="G399" s="26">
        <f>IF(A399="","",IF(COUNTIF(tbl_Onsite[Job Number],A399&amp;"")&gt;0,"Onsite",IF(COUNTIF(tbl_Production[Job Number],A399&amp;"")&gt;0,"Production",IF(COUNTIF(tbl_Consulting[Job Number],A399&amp;"")&gt;0,"Consulting","not set up yet"))))</f>
        <v/>
      </c>
      <c r="H399" s="26">
        <f>IF(A399="","",IF(COUNTIF(lst_Jobs,A399&amp;"")&gt;0,"OK","CHECK"))</f>
        <v/>
      </c>
      <c r="I399" s="26">
        <f>IF(A399="","",IFERROR(INDEX(lst_JobName,MATCH(A399&amp;"",lst_Jobs,0)),""))</f>
        <v/>
      </c>
      <c r="J399" s="26">
        <f>IF(A399="","",IFERROR(IF(INDEX(tbl_Onsite[Client],IFERROR(MATCH(A399&amp;"",tbl_Onsite[Job Number],0),MATCH(IFERROR(A399+0,A399),tbl_Onsite[Job Number],0)))="","",INDEX(tbl_Onsite[Client],IFERROR(MATCH(A399&amp;"",tbl_Onsite[Job Number],0),MATCH(IFERROR(A399+0,A399),tbl_Onsite[Job Number],0)))),IFERROR(IF(INDEX(tbl_Production[Client],IFERROR(MATCH(A399&amp;"",tbl_Production[Job Number],0),MATCH(IFERROR(A399+0,A399),tbl_Production[Job Number],0)))="","",INDEX(tbl_Production[Client],IFERROR(MATCH(A399&amp;"",tbl_Production[Job Number],0),MATCH(IFERROR(A399+0,A399),tbl_Production[Job Number],0)))),IFERROR(IF(INDEX(tbl_Consulting[Client],IFERROR(MATCH(A399&amp;"",tbl_Consulting[Job Number],0),MATCH(IFERROR(A399+0,A399),tbl_Consulting[Job Number],0)))="","",INDEX(tbl_Consulting[Client],IFERROR(MATCH(A399&amp;"",tbl_Consulting[Job Number],0),MATCH(IFERROR(A399+0,A399),tbl_Consulting[Job Number],0)))),""))))</f>
        <v/>
      </c>
      <c r="K399" s="26">
        <f>IF(A399="","",IFERROR(IF(INDEX(tbl_Onsite[Job Description],IFERROR(MATCH(A399&amp;"",tbl_Onsite[Job Number],0),MATCH(IFERROR(A399+0,A399),tbl_Onsite[Job Number],0)))="","",INDEX(tbl_Onsite[Job Description],IFERROR(MATCH(A399&amp;"",tbl_Onsite[Job Number],0),MATCH(IFERROR(A399+0,A399),tbl_Onsite[Job Number],0)))),IFERROR(IF(INDEX(tbl_Production[Job Description],IFERROR(MATCH(A399&amp;"",tbl_Production[Job Number],0),MATCH(IFERROR(A399+0,A399),tbl_Production[Job Number],0)))="","",INDEX(tbl_Production[Job Description],IFERROR(MATCH(A399&amp;"",tbl_Production[Job Number],0),MATCH(IFERROR(A399+0,A399),tbl_Production[Job Number],0)))),IFERROR(IF(INDEX(tbl_Consulting[Job Description],IFERROR(MATCH(A399&amp;"",tbl_Consulting[Job Number],0),MATCH(IFERROR(A399+0,A399),tbl_Consulting[Job Number],0)))="","",INDEX(tbl_Consulting[Job Description],IFERROR(MATCH(A399&amp;"",tbl_Consulting[Job Number],0),MATCH(IFERROR(A399+0,A399),tbl_Consulting[Job Number],0)))),""))))</f>
        <v/>
      </c>
      <c r="L399" s="26">
        <f>IF(A399="","",IFERROR(IF(INDEX(tbl_Onsite[Invoice Type],IFERROR(MATCH(A399&amp;"",tbl_Onsite[Job Number],0),MATCH(IFERROR(A399+0,A399),tbl_Onsite[Job Number],0)))="","",INDEX(tbl_Onsite[Invoice Type],IFERROR(MATCH(A399&amp;"",tbl_Onsite[Job Number],0),MATCH(IFERROR(A399+0,A399),tbl_Onsite[Job Number],0)))),IFERROR(IF(INDEX(tbl_Production[Invoice Type],IFERROR(MATCH(A399&amp;"",tbl_Production[Job Number],0),MATCH(IFERROR(A399+0,A399),tbl_Production[Job Number],0)))="","",INDEX(tbl_Production[Invoice Type],IFERROR(MATCH(A399&amp;"",tbl_Production[Job Number],0),MATCH(IFERROR(A399+0,A399),tbl_Production[Job Number],0)))),IFERROR(IF(INDEX(tbl_Consulting[Invoice Type],IFERROR(MATCH(A399&amp;"",tbl_Consulting[Job Number],0),MATCH(IFERROR(A399+0,A399),tbl_Consulting[Job Number],0)))="","",INDEX(tbl_Consulting[Invoice Type],IFERROR(MATCH(A399&amp;"",tbl_Consulting[Job Number],0),MATCH(IFERROR(A399+0,A399),tbl_Consulting[Job Number],0)))),""))))</f>
        <v/>
      </c>
      <c r="M399" s="26">
        <f>IF(A399="","",IF(IFERROR(IF(INDEX(tbl_Onsite[Tax Code],IFERROR(MATCH(A399&amp;"",tbl_Onsite[Job Number],0),MATCH(IFERROR(A399+0,A399),tbl_Onsite[Job Number],0)))="","",INDEX(tbl_Onsite[Tax Code],IFERROR(MATCH(A399&amp;"",tbl_Onsite[Job Number],0),MATCH(IFERROR(A399+0,A399),tbl_Onsite[Job Number],0)))),IFERROR(IF(INDEX(tbl_Production[Tax Code],IFERROR(MATCH(A399&amp;"",tbl_Production[Job Number],0),MATCH(IFERROR(A399+0,A399),tbl_Production[Job Number],0)))="","",INDEX(tbl_Production[Tax Code],IFERROR(MATCH(A399&amp;"",tbl_Production[Job Number],0),MATCH(IFERROR(A399+0,A399),tbl_Production[Job Number],0)))),IFERROR(IF(INDEX(tbl_Consulting[Tax Code],IFERROR(MATCH(A399&amp;"",tbl_Consulting[Job Number],0),MATCH(IFERROR(A399+0,A399),tbl_Consulting[Job Number],0)))="","",INDEX(tbl_Consulting[Tax Code],IFERROR(MATCH(A399&amp;"",tbl_Consulting[Job Number],0),MATCH(IFERROR(A399+0,A399),tbl_Consulting[Job Number],0)))),"")))="","GST 10%",IFERROR(IF(INDEX(tbl_Onsite[Tax Code],IFERROR(MATCH(A399&amp;"",tbl_Onsite[Job Number],0),MATCH(IFERROR(A399+0,A399),tbl_Onsite[Job Number],0)))="","",INDEX(tbl_Onsite[Tax Code],IFERROR(MATCH(A399&amp;"",tbl_Onsite[Job Number],0),MATCH(IFERROR(A399+0,A399),tbl_Onsite[Job Number],0)))),IFERROR(IF(INDEX(tbl_Production[Tax Code],IFERROR(MATCH(A399&amp;"",tbl_Production[Job Number],0),MATCH(IFERROR(A399+0,A399),tbl_Production[Job Number],0)))="","",INDEX(tbl_Production[Tax Code],IFERROR(MATCH(A399&amp;"",tbl_Production[Job Number],0),MATCH(IFERROR(A399+0,A399),tbl_Production[Job Number],0)))),IFERROR(IF(INDEX(tbl_Consulting[Tax Code],IFERROR(MATCH(A399&amp;"",tbl_Consulting[Job Number],0),MATCH(IFERROR(A399+0,A399),tbl_Consulting[Job Number],0)))="","",INDEX(tbl_Consulting[Tax Code],IFERROR(MATCH(A399&amp;"",tbl_Consulting[Job Number],0),MATCH(IFERROR(A399+0,A399),tbl_Consulting[Job Number],0)))),"")))))</f>
        <v/>
      </c>
      <c r="N399" s="26">
        <f>IF(D399="","",IFERROR(INDEX(lst_CCtoGL,MATCH(D399,lst_CCforGL,0)),""))</f>
        <v/>
      </c>
      <c r="O399" s="27">
        <f>IF(E399="","",IF(M399="GST 10%",ROUND(E399*set_GSTRate,2),0))</f>
        <v/>
      </c>
      <c r="P399" s="27">
        <f>IF(E399="","",E399+O399)</f>
        <v/>
      </c>
      <c r="Q399" s="27">
        <f>IF(A399="","",IFERROR(INDEX(tbl_Onsite[Expected Revenue Ex GST],IFERROR(MATCH(A399&amp;"",tbl_Onsite[Job Number],0),MATCH(IFERROR(A399+0,A399),tbl_Onsite[Job Number],0))),IFERROR(INDEX(tbl_Production[Expected Revenue Ex GST],IFERROR(MATCH(A399&amp;"",tbl_Production[Job Number],0),MATCH(IFERROR(A399+0,A399),tbl_Production[Job Number],0))),IFERROR(INDEX(tbl_Consulting[Expected Revenue Ex GST],IFERROR(MATCH(A399&amp;"",tbl_Consulting[Job Number],0),MATCH(IFERROR(A399+0,A399),tbl_Consulting[Job Number],0))),0))))</f>
        <v/>
      </c>
      <c r="R399" s="27">
        <f>IF(A399="","",SUMIFS(tbl_Finance[Ex GST],tbl_Finance[Job Number],A399&amp;""))</f>
        <v/>
      </c>
      <c r="S399" s="27">
        <f>IF(A399="","",Q399-R399)</f>
        <v/>
      </c>
      <c r="T399" s="26">
        <f>IF(A399="","",IF(Q399=0,"No dept value",IF(ROUND(S399,2)=0,"Agrees",IF(S399&gt;0,"Dept higher - to invoice","Xero higher - check dept"))))</f>
        <v/>
      </c>
      <c r="U399" s="22" t="n"/>
      <c r="V399" s="22" t="n"/>
      <c r="W399" s="23" t="n"/>
      <c r="X399" s="23" t="n"/>
      <c r="Y399" s="22" t="n"/>
      <c r="Z399" s="22" t="n"/>
      <c r="AA399" s="26">
        <f>IF(COUNTA(C399,A399,B399,E399)=0,"",IF(C399="","No date - sits outside every month",IF(A399="","No job number",IF(H399="CHECK","Job number is not in the Xero job list",IF(G399="not set up yet","No department has set this job up - nothing can pull through",IF(D399="","No cost centre",IF(AND(U399="Y",B399=""),"Marked posted to Xero but has no invoice number",IF(N399="","Cost centre has no revenue GL on the Lists sheet",IF(T399="Xero higher - check dept","Invoiced more than the department says the job is worth","")))))))))</f>
        <v/>
      </c>
      <c r="AB399" s="28">
        <f>IF(A399="","",COUNTIFS(tbl_Finance[Job Number],A399&amp;"",tbl_Finance[Ex GST],"&lt;&gt;"))</f>
        <v/>
      </c>
      <c r="AC399" s="27">
        <f>IF(A399="","",SUMIFS(tbl_Finance[Ex GST],tbl_Finance[Job Number],A399&amp;""))</f>
        <v/>
      </c>
      <c r="AD399" s="27">
        <f>IF(A399="","",SUMIFS(tbl_Finance[Ex GST],tbl_Finance[Job Number],A399&amp;"",tbl_Finance[Xero Invoice No],"&lt;&gt;"))</f>
        <v/>
      </c>
      <c r="AE399" s="27">
        <f>IF(A399="","",AC399-AD399)</f>
        <v/>
      </c>
      <c r="AF399" s="26">
        <f>IF(A399="","",IFERROR(IF(INDEX(tbl_Onsite[Qwilr Quote],IFERROR(MATCH(A399&amp;"",tbl_Onsite[Job Number],0),MATCH(IFERROR(A399+0,A399),tbl_Onsite[Job Number],0)))="","",INDEX(tbl_Onsite[Qwilr Quote],IFERROR(MATCH(A399&amp;"",tbl_Onsite[Job Number],0),MATCH(IFERROR(A399+0,A399),tbl_Onsite[Job Number],0)))),IFERROR(IF(IF(INDEX(tbl_Production[Current RMS No],IFERROR(MATCH(A399&amp;"",tbl_Production[Job Number],0),MATCH(IFERROR(A399+0,A399),tbl_Production[Job Number],0)))="",INDEX(tbl_Production[Qwilr Quote],IFERROR(MATCH(A399&amp;"",tbl_Production[Job Number],0),MATCH(IFERROR(A399+0,A399),tbl_Production[Job Number],0))),INDEX(tbl_Production[Current RMS No],IFERROR(MATCH(A399&amp;"",tbl_Production[Job Number],0),MATCH(IFERROR(A399+0,A399),tbl_Production[Job Number],0))))="","",IF(INDEX(tbl_Production[Current RMS No],IFERROR(MATCH(A399&amp;"",tbl_Production[Job Number],0),MATCH(IFERROR(A399+0,A399),tbl_Production[Job Number],0)))="",INDEX(tbl_Production[Qwilr Quote],IFERROR(MATCH(A399&amp;"",tbl_Production[Job Number],0),MATCH(IFERROR(A399+0,A399),tbl_Production[Job Number],0))),INDEX(tbl_Production[Current RMS No],IFERROR(MATCH(A399&amp;"",tbl_Production[Job Number],0),MATCH(IFERROR(A399+0,A399),tbl_Production[Job Number],0))))),IFERROR(IF(INDEX(tbl_Consulting[Qwilr Quote],IFERROR(MATCH(A399&amp;"",tbl_Consulting[Job Number],0),MATCH(IFERROR(A399+0,A399),tbl_Consulting[Job Number],0)))="","",INDEX(tbl_Consulting[Qwilr Quote],IFERROR(MATCH(A399&amp;"",tbl_Consulting[Job Number],0),MATCH(IFERROR(A399+0,A399),tbl_Consulting[Job Number],0)))),""))))</f>
        <v/>
      </c>
      <c r="AG399" s="26">
        <f>IF(AF399="","",IF(AND(LEFT(AF399,4)&lt;&gt;"http",IF(G399="Production",set_RMSBase,set_QwilrBase)=""),"",HYPERLINK(IF(LEFT(AF399,4)="http",AF399,IF(G399="Production",set_RMSBase,set_QwilrBase)&amp;AF399),"Open")))</f>
        <v/>
      </c>
      <c r="AH399" s="27">
        <f>IF(A399="","",IFERROR(INDEX(tbl_Production[Total Expense],IFERROR(MATCH(A399&amp;"",tbl_Production[Job Number],0),MATCH(IFERROR(A399+0,A399),tbl_Production[Job Number],0))),IFERROR(INDEX(tbl_Consulting[Total Expense],IFERROR(MATCH(A399&amp;"",tbl_Consulting[Job Number],0),MATCH(IFERROR(A399+0,A399),tbl_Consulting[Job Number],0))),0)))</f>
        <v/>
      </c>
      <c r="AI399" s="27">
        <f>IF(A399="","",AC399-N(AH399))</f>
        <v/>
      </c>
      <c r="AJ399" s="29">
        <f>IFERROR(AI399/AC399,"")</f>
        <v/>
      </c>
      <c r="AK399" s="26">
        <f>IF(A399="","",IFERROR(IF(INDEX(tbl_Onsite[Notes],IFERROR(MATCH(A399&amp;"",tbl_Onsite[Job Number],0),MATCH(IFERROR(A399+0,A399),tbl_Onsite[Job Number],0)))="","",INDEX(tbl_Onsite[Notes],IFERROR(MATCH(A399&amp;"",tbl_Onsite[Job Number],0),MATCH(IFERROR(A399+0,A399),tbl_Onsite[Job Number],0)))),IFERROR(IF(INDEX(tbl_Production[Notes],IFERROR(MATCH(A399&amp;"",tbl_Production[Job Number],0),MATCH(IFERROR(A399+0,A399),tbl_Production[Job Number],0)))="","",INDEX(tbl_Production[Notes],IFERROR(MATCH(A399&amp;"",tbl_Production[Job Number],0),MATCH(IFERROR(A399+0,A399),tbl_Production[Job Number],0)))),IFERROR(IF(INDEX(tbl_Consulting[Notes],IFERROR(MATCH(A399&amp;"",tbl_Consulting[Job Number],0),MATCH(IFERROR(A399+0,A399),tbl_Consulting[Job Number],0)))="","",INDEX(tbl_Consulting[Notes],IFERROR(MATCH(A399&amp;"",tbl_Consulting[Job Number],0),MATCH(IFERROR(A399+0,A399),tbl_Consulting[Job Number],0)))),""))))</f>
        <v/>
      </c>
    </row>
    <row r="400" ht="15" customHeight="1">
      <c r="A400" s="22" t="n"/>
      <c r="B400" s="22" t="n"/>
      <c r="C400" s="23" t="n"/>
      <c r="D400" s="22" t="n"/>
      <c r="E400" s="24" t="n"/>
      <c r="F400" s="25">
        <f>IF(C400="","",EOMONTH(C400,0))</f>
        <v/>
      </c>
      <c r="G400" s="26">
        <f>IF(A400="","",IF(COUNTIF(tbl_Onsite[Job Number],A400&amp;"")&gt;0,"Onsite",IF(COUNTIF(tbl_Production[Job Number],A400&amp;"")&gt;0,"Production",IF(COUNTIF(tbl_Consulting[Job Number],A400&amp;"")&gt;0,"Consulting","not set up yet"))))</f>
        <v/>
      </c>
      <c r="H400" s="26">
        <f>IF(A400="","",IF(COUNTIF(lst_Jobs,A400&amp;"")&gt;0,"OK","CHECK"))</f>
        <v/>
      </c>
      <c r="I400" s="26">
        <f>IF(A400="","",IFERROR(INDEX(lst_JobName,MATCH(A400&amp;"",lst_Jobs,0)),""))</f>
        <v/>
      </c>
      <c r="J400" s="26">
        <f>IF(A400="","",IFERROR(IF(INDEX(tbl_Onsite[Client],IFERROR(MATCH(A400&amp;"",tbl_Onsite[Job Number],0),MATCH(IFERROR(A400+0,A400),tbl_Onsite[Job Number],0)))="","",INDEX(tbl_Onsite[Client],IFERROR(MATCH(A400&amp;"",tbl_Onsite[Job Number],0),MATCH(IFERROR(A400+0,A400),tbl_Onsite[Job Number],0)))),IFERROR(IF(INDEX(tbl_Production[Client],IFERROR(MATCH(A400&amp;"",tbl_Production[Job Number],0),MATCH(IFERROR(A400+0,A400),tbl_Production[Job Number],0)))="","",INDEX(tbl_Production[Client],IFERROR(MATCH(A400&amp;"",tbl_Production[Job Number],0),MATCH(IFERROR(A400+0,A400),tbl_Production[Job Number],0)))),IFERROR(IF(INDEX(tbl_Consulting[Client],IFERROR(MATCH(A400&amp;"",tbl_Consulting[Job Number],0),MATCH(IFERROR(A400+0,A400),tbl_Consulting[Job Number],0)))="","",INDEX(tbl_Consulting[Client],IFERROR(MATCH(A400&amp;"",tbl_Consulting[Job Number],0),MATCH(IFERROR(A400+0,A400),tbl_Consulting[Job Number],0)))),""))))</f>
        <v/>
      </c>
      <c r="K400" s="26">
        <f>IF(A400="","",IFERROR(IF(INDEX(tbl_Onsite[Job Description],IFERROR(MATCH(A400&amp;"",tbl_Onsite[Job Number],0),MATCH(IFERROR(A400+0,A400),tbl_Onsite[Job Number],0)))="","",INDEX(tbl_Onsite[Job Description],IFERROR(MATCH(A400&amp;"",tbl_Onsite[Job Number],0),MATCH(IFERROR(A400+0,A400),tbl_Onsite[Job Number],0)))),IFERROR(IF(INDEX(tbl_Production[Job Description],IFERROR(MATCH(A400&amp;"",tbl_Production[Job Number],0),MATCH(IFERROR(A400+0,A400),tbl_Production[Job Number],0)))="","",INDEX(tbl_Production[Job Description],IFERROR(MATCH(A400&amp;"",tbl_Production[Job Number],0),MATCH(IFERROR(A400+0,A400),tbl_Production[Job Number],0)))),IFERROR(IF(INDEX(tbl_Consulting[Job Description],IFERROR(MATCH(A400&amp;"",tbl_Consulting[Job Number],0),MATCH(IFERROR(A400+0,A400),tbl_Consulting[Job Number],0)))="","",INDEX(tbl_Consulting[Job Description],IFERROR(MATCH(A400&amp;"",tbl_Consulting[Job Number],0),MATCH(IFERROR(A400+0,A400),tbl_Consulting[Job Number],0)))),""))))</f>
        <v/>
      </c>
      <c r="L400" s="26">
        <f>IF(A400="","",IFERROR(IF(INDEX(tbl_Onsite[Invoice Type],IFERROR(MATCH(A400&amp;"",tbl_Onsite[Job Number],0),MATCH(IFERROR(A400+0,A400),tbl_Onsite[Job Number],0)))="","",INDEX(tbl_Onsite[Invoice Type],IFERROR(MATCH(A400&amp;"",tbl_Onsite[Job Number],0),MATCH(IFERROR(A400+0,A400),tbl_Onsite[Job Number],0)))),IFERROR(IF(INDEX(tbl_Production[Invoice Type],IFERROR(MATCH(A400&amp;"",tbl_Production[Job Number],0),MATCH(IFERROR(A400+0,A400),tbl_Production[Job Number],0)))="","",INDEX(tbl_Production[Invoice Type],IFERROR(MATCH(A400&amp;"",tbl_Production[Job Number],0),MATCH(IFERROR(A400+0,A400),tbl_Production[Job Number],0)))),IFERROR(IF(INDEX(tbl_Consulting[Invoice Type],IFERROR(MATCH(A400&amp;"",tbl_Consulting[Job Number],0),MATCH(IFERROR(A400+0,A400),tbl_Consulting[Job Number],0)))="","",INDEX(tbl_Consulting[Invoice Type],IFERROR(MATCH(A400&amp;"",tbl_Consulting[Job Number],0),MATCH(IFERROR(A400+0,A400),tbl_Consulting[Job Number],0)))),""))))</f>
        <v/>
      </c>
      <c r="M400" s="26">
        <f>IF(A400="","",IF(IFERROR(IF(INDEX(tbl_Onsite[Tax Code],IFERROR(MATCH(A400&amp;"",tbl_Onsite[Job Number],0),MATCH(IFERROR(A400+0,A400),tbl_Onsite[Job Number],0)))="","",INDEX(tbl_Onsite[Tax Code],IFERROR(MATCH(A400&amp;"",tbl_Onsite[Job Number],0),MATCH(IFERROR(A400+0,A400),tbl_Onsite[Job Number],0)))),IFERROR(IF(INDEX(tbl_Production[Tax Code],IFERROR(MATCH(A400&amp;"",tbl_Production[Job Number],0),MATCH(IFERROR(A400+0,A400),tbl_Production[Job Number],0)))="","",INDEX(tbl_Production[Tax Code],IFERROR(MATCH(A400&amp;"",tbl_Production[Job Number],0),MATCH(IFERROR(A400+0,A400),tbl_Production[Job Number],0)))),IFERROR(IF(INDEX(tbl_Consulting[Tax Code],IFERROR(MATCH(A400&amp;"",tbl_Consulting[Job Number],0),MATCH(IFERROR(A400+0,A400),tbl_Consulting[Job Number],0)))="","",INDEX(tbl_Consulting[Tax Code],IFERROR(MATCH(A400&amp;"",tbl_Consulting[Job Number],0),MATCH(IFERROR(A400+0,A400),tbl_Consulting[Job Number],0)))),"")))="","GST 10%",IFERROR(IF(INDEX(tbl_Onsite[Tax Code],IFERROR(MATCH(A400&amp;"",tbl_Onsite[Job Number],0),MATCH(IFERROR(A400+0,A400),tbl_Onsite[Job Number],0)))="","",INDEX(tbl_Onsite[Tax Code],IFERROR(MATCH(A400&amp;"",tbl_Onsite[Job Number],0),MATCH(IFERROR(A400+0,A400),tbl_Onsite[Job Number],0)))),IFERROR(IF(INDEX(tbl_Production[Tax Code],IFERROR(MATCH(A400&amp;"",tbl_Production[Job Number],0),MATCH(IFERROR(A400+0,A400),tbl_Production[Job Number],0)))="","",INDEX(tbl_Production[Tax Code],IFERROR(MATCH(A400&amp;"",tbl_Production[Job Number],0),MATCH(IFERROR(A400+0,A400),tbl_Production[Job Number],0)))),IFERROR(IF(INDEX(tbl_Consulting[Tax Code],IFERROR(MATCH(A400&amp;"",tbl_Consulting[Job Number],0),MATCH(IFERROR(A400+0,A400),tbl_Consulting[Job Number],0)))="","",INDEX(tbl_Consulting[Tax Code],IFERROR(MATCH(A400&amp;"",tbl_Consulting[Job Number],0),MATCH(IFERROR(A400+0,A400),tbl_Consulting[Job Number],0)))),"")))))</f>
        <v/>
      </c>
      <c r="N400" s="26">
        <f>IF(D400="","",IFERROR(INDEX(lst_CCtoGL,MATCH(D400,lst_CCforGL,0)),""))</f>
        <v/>
      </c>
      <c r="O400" s="27">
        <f>IF(E400="","",IF(M400="GST 10%",ROUND(E400*set_GSTRate,2),0))</f>
        <v/>
      </c>
      <c r="P400" s="27">
        <f>IF(E400="","",E400+O400)</f>
        <v/>
      </c>
      <c r="Q400" s="27">
        <f>IF(A400="","",IFERROR(INDEX(tbl_Onsite[Expected Revenue Ex GST],IFERROR(MATCH(A400&amp;"",tbl_Onsite[Job Number],0),MATCH(IFERROR(A400+0,A400),tbl_Onsite[Job Number],0))),IFERROR(INDEX(tbl_Production[Expected Revenue Ex GST],IFERROR(MATCH(A400&amp;"",tbl_Production[Job Number],0),MATCH(IFERROR(A400+0,A400),tbl_Production[Job Number],0))),IFERROR(INDEX(tbl_Consulting[Expected Revenue Ex GST],IFERROR(MATCH(A400&amp;"",tbl_Consulting[Job Number],0),MATCH(IFERROR(A400+0,A400),tbl_Consulting[Job Number],0))),0))))</f>
        <v/>
      </c>
      <c r="R400" s="27">
        <f>IF(A400="","",SUMIFS(tbl_Finance[Ex GST],tbl_Finance[Job Number],A400&amp;""))</f>
        <v/>
      </c>
      <c r="S400" s="27">
        <f>IF(A400="","",Q400-R400)</f>
        <v/>
      </c>
      <c r="T400" s="26">
        <f>IF(A400="","",IF(Q400=0,"No dept value",IF(ROUND(S400,2)=0,"Agrees",IF(S400&gt;0,"Dept higher - to invoice","Xero higher - check dept"))))</f>
        <v/>
      </c>
      <c r="U400" s="22" t="n"/>
      <c r="V400" s="22" t="n"/>
      <c r="W400" s="23" t="n"/>
      <c r="X400" s="23" t="n"/>
      <c r="Y400" s="22" t="n"/>
      <c r="Z400" s="22" t="n"/>
      <c r="AA400" s="26">
        <f>IF(COUNTA(C400,A400,B400,E400)=0,"",IF(C400="","No date - sits outside every month",IF(A400="","No job number",IF(H400="CHECK","Job number is not in the Xero job list",IF(G400="not set up yet","No department has set this job up - nothing can pull through",IF(D400="","No cost centre",IF(AND(U400="Y",B400=""),"Marked posted to Xero but has no invoice number",IF(N400="","Cost centre has no revenue GL on the Lists sheet",IF(T400="Xero higher - check dept","Invoiced more than the department says the job is worth","")))))))))</f>
        <v/>
      </c>
      <c r="AB400" s="28">
        <f>IF(A400="","",COUNTIFS(tbl_Finance[Job Number],A400&amp;"",tbl_Finance[Ex GST],"&lt;&gt;"))</f>
        <v/>
      </c>
      <c r="AC400" s="27">
        <f>IF(A400="","",SUMIFS(tbl_Finance[Ex GST],tbl_Finance[Job Number],A400&amp;""))</f>
        <v/>
      </c>
      <c r="AD400" s="27">
        <f>IF(A400="","",SUMIFS(tbl_Finance[Ex GST],tbl_Finance[Job Number],A400&amp;"",tbl_Finance[Xero Invoice No],"&lt;&gt;"))</f>
        <v/>
      </c>
      <c r="AE400" s="27">
        <f>IF(A400="","",AC400-AD400)</f>
        <v/>
      </c>
      <c r="AF400" s="26">
        <f>IF(A400="","",IFERROR(IF(INDEX(tbl_Onsite[Qwilr Quote],IFERROR(MATCH(A400&amp;"",tbl_Onsite[Job Number],0),MATCH(IFERROR(A400+0,A400),tbl_Onsite[Job Number],0)))="","",INDEX(tbl_Onsite[Qwilr Quote],IFERROR(MATCH(A400&amp;"",tbl_Onsite[Job Number],0),MATCH(IFERROR(A400+0,A400),tbl_Onsite[Job Number],0)))),IFERROR(IF(IF(INDEX(tbl_Production[Current RMS No],IFERROR(MATCH(A400&amp;"",tbl_Production[Job Number],0),MATCH(IFERROR(A400+0,A400),tbl_Production[Job Number],0)))="",INDEX(tbl_Production[Qwilr Quote],IFERROR(MATCH(A400&amp;"",tbl_Production[Job Number],0),MATCH(IFERROR(A400+0,A400),tbl_Production[Job Number],0))),INDEX(tbl_Production[Current RMS No],IFERROR(MATCH(A400&amp;"",tbl_Production[Job Number],0),MATCH(IFERROR(A400+0,A400),tbl_Production[Job Number],0))))="","",IF(INDEX(tbl_Production[Current RMS No],IFERROR(MATCH(A400&amp;"",tbl_Production[Job Number],0),MATCH(IFERROR(A400+0,A400),tbl_Production[Job Number],0)))="",INDEX(tbl_Production[Qwilr Quote],IFERROR(MATCH(A400&amp;"",tbl_Production[Job Number],0),MATCH(IFERROR(A400+0,A400),tbl_Production[Job Number],0))),INDEX(tbl_Production[Current RMS No],IFERROR(MATCH(A400&amp;"",tbl_Production[Job Number],0),MATCH(IFERROR(A400+0,A400),tbl_Production[Job Number],0))))),IFERROR(IF(INDEX(tbl_Consulting[Qwilr Quote],IFERROR(MATCH(A400&amp;"",tbl_Consulting[Job Number],0),MATCH(IFERROR(A400+0,A400),tbl_Consulting[Job Number],0)))="","",INDEX(tbl_Consulting[Qwilr Quote],IFERROR(MATCH(A400&amp;"",tbl_Consulting[Job Number],0),MATCH(IFERROR(A400+0,A400),tbl_Consulting[Job Number],0)))),""))))</f>
        <v/>
      </c>
      <c r="AG400" s="26">
        <f>IF(AF400="","",IF(AND(LEFT(AF400,4)&lt;&gt;"http",IF(G400="Production",set_RMSBase,set_QwilrBase)=""),"",HYPERLINK(IF(LEFT(AF400,4)="http",AF400,IF(G400="Production",set_RMSBase,set_QwilrBase)&amp;AF400),"Open")))</f>
        <v/>
      </c>
      <c r="AH400" s="27">
        <f>IF(A400="","",IFERROR(INDEX(tbl_Production[Total Expense],IFERROR(MATCH(A400&amp;"",tbl_Production[Job Number],0),MATCH(IFERROR(A400+0,A400),tbl_Production[Job Number],0))),IFERROR(INDEX(tbl_Consulting[Total Expense],IFERROR(MATCH(A400&amp;"",tbl_Consulting[Job Number],0),MATCH(IFERROR(A400+0,A400),tbl_Consulting[Job Number],0))),0)))</f>
        <v/>
      </c>
      <c r="AI400" s="27">
        <f>IF(A400="","",AC400-N(AH400))</f>
        <v/>
      </c>
      <c r="AJ400" s="29">
        <f>IFERROR(AI400/AC400,"")</f>
        <v/>
      </c>
      <c r="AK400" s="26">
        <f>IF(A400="","",IFERROR(IF(INDEX(tbl_Onsite[Notes],IFERROR(MATCH(A400&amp;"",tbl_Onsite[Job Number],0),MATCH(IFERROR(A400+0,A400),tbl_Onsite[Job Number],0)))="","",INDEX(tbl_Onsite[Notes],IFERROR(MATCH(A400&amp;"",tbl_Onsite[Job Number],0),MATCH(IFERROR(A400+0,A400),tbl_Onsite[Job Number],0)))),IFERROR(IF(INDEX(tbl_Production[Notes],IFERROR(MATCH(A400&amp;"",tbl_Production[Job Number],0),MATCH(IFERROR(A400+0,A400),tbl_Production[Job Number],0)))="","",INDEX(tbl_Production[Notes],IFERROR(MATCH(A400&amp;"",tbl_Production[Job Number],0),MATCH(IFERROR(A400+0,A400),tbl_Production[Job Number],0)))),IFERROR(IF(INDEX(tbl_Consulting[Notes],IFERROR(MATCH(A400&amp;"",tbl_Consulting[Job Number],0),MATCH(IFERROR(A400+0,A400),tbl_Consulting[Job Number],0)))="","",INDEX(tbl_Consulting[Notes],IFERROR(MATCH(A400&amp;"",tbl_Consulting[Job Number],0),MATCH(IFERROR(A400+0,A400),tbl_Consulting[Job Number],0)))),""))))</f>
        <v/>
      </c>
    </row>
    <row r="401" ht="15" customHeight="1">
      <c r="A401" s="22" t="n"/>
      <c r="B401" s="22" t="n"/>
      <c r="C401" s="23" t="n"/>
      <c r="D401" s="22" t="n"/>
      <c r="E401" s="24" t="n"/>
      <c r="F401" s="25">
        <f>IF(C401="","",EOMONTH(C401,0))</f>
        <v/>
      </c>
      <c r="G401" s="26">
        <f>IF(A401="","",IF(COUNTIF(tbl_Onsite[Job Number],A401&amp;"")&gt;0,"Onsite",IF(COUNTIF(tbl_Production[Job Number],A401&amp;"")&gt;0,"Production",IF(COUNTIF(tbl_Consulting[Job Number],A401&amp;"")&gt;0,"Consulting","not set up yet"))))</f>
        <v/>
      </c>
      <c r="H401" s="26">
        <f>IF(A401="","",IF(COUNTIF(lst_Jobs,A401&amp;"")&gt;0,"OK","CHECK"))</f>
        <v/>
      </c>
      <c r="I401" s="26">
        <f>IF(A401="","",IFERROR(INDEX(lst_JobName,MATCH(A401&amp;"",lst_Jobs,0)),""))</f>
        <v/>
      </c>
      <c r="J401" s="26">
        <f>IF(A401="","",IFERROR(IF(INDEX(tbl_Onsite[Client],IFERROR(MATCH(A401&amp;"",tbl_Onsite[Job Number],0),MATCH(IFERROR(A401+0,A401),tbl_Onsite[Job Number],0)))="","",INDEX(tbl_Onsite[Client],IFERROR(MATCH(A401&amp;"",tbl_Onsite[Job Number],0),MATCH(IFERROR(A401+0,A401),tbl_Onsite[Job Number],0)))),IFERROR(IF(INDEX(tbl_Production[Client],IFERROR(MATCH(A401&amp;"",tbl_Production[Job Number],0),MATCH(IFERROR(A401+0,A401),tbl_Production[Job Number],0)))="","",INDEX(tbl_Production[Client],IFERROR(MATCH(A401&amp;"",tbl_Production[Job Number],0),MATCH(IFERROR(A401+0,A401),tbl_Production[Job Number],0)))),IFERROR(IF(INDEX(tbl_Consulting[Client],IFERROR(MATCH(A401&amp;"",tbl_Consulting[Job Number],0),MATCH(IFERROR(A401+0,A401),tbl_Consulting[Job Number],0)))="","",INDEX(tbl_Consulting[Client],IFERROR(MATCH(A401&amp;"",tbl_Consulting[Job Number],0),MATCH(IFERROR(A401+0,A401),tbl_Consulting[Job Number],0)))),""))))</f>
        <v/>
      </c>
      <c r="K401" s="26">
        <f>IF(A401="","",IFERROR(IF(INDEX(tbl_Onsite[Job Description],IFERROR(MATCH(A401&amp;"",tbl_Onsite[Job Number],0),MATCH(IFERROR(A401+0,A401),tbl_Onsite[Job Number],0)))="","",INDEX(tbl_Onsite[Job Description],IFERROR(MATCH(A401&amp;"",tbl_Onsite[Job Number],0),MATCH(IFERROR(A401+0,A401),tbl_Onsite[Job Number],0)))),IFERROR(IF(INDEX(tbl_Production[Job Description],IFERROR(MATCH(A401&amp;"",tbl_Production[Job Number],0),MATCH(IFERROR(A401+0,A401),tbl_Production[Job Number],0)))="","",INDEX(tbl_Production[Job Description],IFERROR(MATCH(A401&amp;"",tbl_Production[Job Number],0),MATCH(IFERROR(A401+0,A401),tbl_Production[Job Number],0)))),IFERROR(IF(INDEX(tbl_Consulting[Job Description],IFERROR(MATCH(A401&amp;"",tbl_Consulting[Job Number],0),MATCH(IFERROR(A401+0,A401),tbl_Consulting[Job Number],0)))="","",INDEX(tbl_Consulting[Job Description],IFERROR(MATCH(A401&amp;"",tbl_Consulting[Job Number],0),MATCH(IFERROR(A401+0,A401),tbl_Consulting[Job Number],0)))),""))))</f>
        <v/>
      </c>
      <c r="L401" s="26">
        <f>IF(A401="","",IFERROR(IF(INDEX(tbl_Onsite[Invoice Type],IFERROR(MATCH(A401&amp;"",tbl_Onsite[Job Number],0),MATCH(IFERROR(A401+0,A401),tbl_Onsite[Job Number],0)))="","",INDEX(tbl_Onsite[Invoice Type],IFERROR(MATCH(A401&amp;"",tbl_Onsite[Job Number],0),MATCH(IFERROR(A401+0,A401),tbl_Onsite[Job Number],0)))),IFERROR(IF(INDEX(tbl_Production[Invoice Type],IFERROR(MATCH(A401&amp;"",tbl_Production[Job Number],0),MATCH(IFERROR(A401+0,A401),tbl_Production[Job Number],0)))="","",INDEX(tbl_Production[Invoice Type],IFERROR(MATCH(A401&amp;"",tbl_Production[Job Number],0),MATCH(IFERROR(A401+0,A401),tbl_Production[Job Number],0)))),IFERROR(IF(INDEX(tbl_Consulting[Invoice Type],IFERROR(MATCH(A401&amp;"",tbl_Consulting[Job Number],0),MATCH(IFERROR(A401+0,A401),tbl_Consulting[Job Number],0)))="","",INDEX(tbl_Consulting[Invoice Type],IFERROR(MATCH(A401&amp;"",tbl_Consulting[Job Number],0),MATCH(IFERROR(A401+0,A401),tbl_Consulting[Job Number],0)))),""))))</f>
        <v/>
      </c>
      <c r="M401" s="26">
        <f>IF(A401="","",IF(IFERROR(IF(INDEX(tbl_Onsite[Tax Code],IFERROR(MATCH(A401&amp;"",tbl_Onsite[Job Number],0),MATCH(IFERROR(A401+0,A401),tbl_Onsite[Job Number],0)))="","",INDEX(tbl_Onsite[Tax Code],IFERROR(MATCH(A401&amp;"",tbl_Onsite[Job Number],0),MATCH(IFERROR(A401+0,A401),tbl_Onsite[Job Number],0)))),IFERROR(IF(INDEX(tbl_Production[Tax Code],IFERROR(MATCH(A401&amp;"",tbl_Production[Job Number],0),MATCH(IFERROR(A401+0,A401),tbl_Production[Job Number],0)))="","",INDEX(tbl_Production[Tax Code],IFERROR(MATCH(A401&amp;"",tbl_Production[Job Number],0),MATCH(IFERROR(A401+0,A401),tbl_Production[Job Number],0)))),IFERROR(IF(INDEX(tbl_Consulting[Tax Code],IFERROR(MATCH(A401&amp;"",tbl_Consulting[Job Number],0),MATCH(IFERROR(A401+0,A401),tbl_Consulting[Job Number],0)))="","",INDEX(tbl_Consulting[Tax Code],IFERROR(MATCH(A401&amp;"",tbl_Consulting[Job Number],0),MATCH(IFERROR(A401+0,A401),tbl_Consulting[Job Number],0)))),"")))="","GST 10%",IFERROR(IF(INDEX(tbl_Onsite[Tax Code],IFERROR(MATCH(A401&amp;"",tbl_Onsite[Job Number],0),MATCH(IFERROR(A401+0,A401),tbl_Onsite[Job Number],0)))="","",INDEX(tbl_Onsite[Tax Code],IFERROR(MATCH(A401&amp;"",tbl_Onsite[Job Number],0),MATCH(IFERROR(A401+0,A401),tbl_Onsite[Job Number],0)))),IFERROR(IF(INDEX(tbl_Production[Tax Code],IFERROR(MATCH(A401&amp;"",tbl_Production[Job Number],0),MATCH(IFERROR(A401+0,A401),tbl_Production[Job Number],0)))="","",INDEX(tbl_Production[Tax Code],IFERROR(MATCH(A401&amp;"",tbl_Production[Job Number],0),MATCH(IFERROR(A401+0,A401),tbl_Production[Job Number],0)))),IFERROR(IF(INDEX(tbl_Consulting[Tax Code],IFERROR(MATCH(A401&amp;"",tbl_Consulting[Job Number],0),MATCH(IFERROR(A401+0,A401),tbl_Consulting[Job Number],0)))="","",INDEX(tbl_Consulting[Tax Code],IFERROR(MATCH(A401&amp;"",tbl_Consulting[Job Number],0),MATCH(IFERROR(A401+0,A401),tbl_Consulting[Job Number],0)))),"")))))</f>
        <v/>
      </c>
      <c r="N401" s="26">
        <f>IF(D401="","",IFERROR(INDEX(lst_CCtoGL,MATCH(D401,lst_CCforGL,0)),""))</f>
        <v/>
      </c>
      <c r="O401" s="27">
        <f>IF(E401="","",IF(M401="GST 10%",ROUND(E401*set_GSTRate,2),0))</f>
        <v/>
      </c>
      <c r="P401" s="27">
        <f>IF(E401="","",E401+O401)</f>
        <v/>
      </c>
      <c r="Q401" s="27">
        <f>IF(A401="","",IFERROR(INDEX(tbl_Onsite[Expected Revenue Ex GST],IFERROR(MATCH(A401&amp;"",tbl_Onsite[Job Number],0),MATCH(IFERROR(A401+0,A401),tbl_Onsite[Job Number],0))),IFERROR(INDEX(tbl_Production[Expected Revenue Ex GST],IFERROR(MATCH(A401&amp;"",tbl_Production[Job Number],0),MATCH(IFERROR(A401+0,A401),tbl_Production[Job Number],0))),IFERROR(INDEX(tbl_Consulting[Expected Revenue Ex GST],IFERROR(MATCH(A401&amp;"",tbl_Consulting[Job Number],0),MATCH(IFERROR(A401+0,A401),tbl_Consulting[Job Number],0))),0))))</f>
        <v/>
      </c>
      <c r="R401" s="27">
        <f>IF(A401="","",SUMIFS(tbl_Finance[Ex GST],tbl_Finance[Job Number],A401&amp;""))</f>
        <v/>
      </c>
      <c r="S401" s="27">
        <f>IF(A401="","",Q401-R401)</f>
        <v/>
      </c>
      <c r="T401" s="26">
        <f>IF(A401="","",IF(Q401=0,"No dept value",IF(ROUND(S401,2)=0,"Agrees",IF(S401&gt;0,"Dept higher - to invoice","Xero higher - check dept"))))</f>
        <v/>
      </c>
      <c r="U401" s="22" t="n"/>
      <c r="V401" s="22" t="n"/>
      <c r="W401" s="23" t="n"/>
      <c r="X401" s="23" t="n"/>
      <c r="Y401" s="22" t="n"/>
      <c r="Z401" s="22" t="n"/>
      <c r="AA401" s="26">
        <f>IF(COUNTA(C401,A401,B401,E401)=0,"",IF(C401="","No date - sits outside every month",IF(A401="","No job number",IF(H401="CHECK","Job number is not in the Xero job list",IF(G401="not set up yet","No department has set this job up - nothing can pull through",IF(D401="","No cost centre",IF(AND(U401="Y",B401=""),"Marked posted to Xero but has no invoice number",IF(N401="","Cost centre has no revenue GL on the Lists sheet",IF(T401="Xero higher - check dept","Invoiced more than the department says the job is worth","")))))))))</f>
        <v/>
      </c>
      <c r="AB401" s="28">
        <f>IF(A401="","",COUNTIFS(tbl_Finance[Job Number],A401&amp;"",tbl_Finance[Ex GST],"&lt;&gt;"))</f>
        <v/>
      </c>
      <c r="AC401" s="27">
        <f>IF(A401="","",SUMIFS(tbl_Finance[Ex GST],tbl_Finance[Job Number],A401&amp;""))</f>
        <v/>
      </c>
      <c r="AD401" s="27">
        <f>IF(A401="","",SUMIFS(tbl_Finance[Ex GST],tbl_Finance[Job Number],A401&amp;"",tbl_Finance[Xero Invoice No],"&lt;&gt;"))</f>
        <v/>
      </c>
      <c r="AE401" s="27">
        <f>IF(A401="","",AC401-AD401)</f>
        <v/>
      </c>
      <c r="AF401" s="26">
        <f>IF(A401="","",IFERROR(IF(INDEX(tbl_Onsite[Qwilr Quote],IFERROR(MATCH(A401&amp;"",tbl_Onsite[Job Number],0),MATCH(IFERROR(A401+0,A401),tbl_Onsite[Job Number],0)))="","",INDEX(tbl_Onsite[Qwilr Quote],IFERROR(MATCH(A401&amp;"",tbl_Onsite[Job Number],0),MATCH(IFERROR(A401+0,A401),tbl_Onsite[Job Number],0)))),IFERROR(IF(IF(INDEX(tbl_Production[Current RMS No],IFERROR(MATCH(A401&amp;"",tbl_Production[Job Number],0),MATCH(IFERROR(A401+0,A401),tbl_Production[Job Number],0)))="",INDEX(tbl_Production[Qwilr Quote],IFERROR(MATCH(A401&amp;"",tbl_Production[Job Number],0),MATCH(IFERROR(A401+0,A401),tbl_Production[Job Number],0))),INDEX(tbl_Production[Current RMS No],IFERROR(MATCH(A401&amp;"",tbl_Production[Job Number],0),MATCH(IFERROR(A401+0,A401),tbl_Production[Job Number],0))))="","",IF(INDEX(tbl_Production[Current RMS No],IFERROR(MATCH(A401&amp;"",tbl_Production[Job Number],0),MATCH(IFERROR(A401+0,A401),tbl_Production[Job Number],0)))="",INDEX(tbl_Production[Qwilr Quote],IFERROR(MATCH(A401&amp;"",tbl_Production[Job Number],0),MATCH(IFERROR(A401+0,A401),tbl_Production[Job Number],0))),INDEX(tbl_Production[Current RMS No],IFERROR(MATCH(A401&amp;"",tbl_Production[Job Number],0),MATCH(IFERROR(A401+0,A401),tbl_Production[Job Number],0))))),IFERROR(IF(INDEX(tbl_Consulting[Qwilr Quote],IFERROR(MATCH(A401&amp;"",tbl_Consulting[Job Number],0),MATCH(IFERROR(A401+0,A401),tbl_Consulting[Job Number],0)))="","",INDEX(tbl_Consulting[Qwilr Quote],IFERROR(MATCH(A401&amp;"",tbl_Consulting[Job Number],0),MATCH(IFERROR(A401+0,A401),tbl_Consulting[Job Number],0)))),""))))</f>
        <v/>
      </c>
      <c r="AG401" s="26">
        <f>IF(AF401="","",IF(AND(LEFT(AF401,4)&lt;&gt;"http",IF(G401="Production",set_RMSBase,set_QwilrBase)=""),"",HYPERLINK(IF(LEFT(AF401,4)="http",AF401,IF(G401="Production",set_RMSBase,set_QwilrBase)&amp;AF401),"Open")))</f>
        <v/>
      </c>
      <c r="AH401" s="27">
        <f>IF(A401="","",IFERROR(INDEX(tbl_Production[Total Expense],IFERROR(MATCH(A401&amp;"",tbl_Production[Job Number],0),MATCH(IFERROR(A401+0,A401),tbl_Production[Job Number],0))),IFERROR(INDEX(tbl_Consulting[Total Expense],IFERROR(MATCH(A401&amp;"",tbl_Consulting[Job Number],0),MATCH(IFERROR(A401+0,A401),tbl_Consulting[Job Number],0))),0)))</f>
        <v/>
      </c>
      <c r="AI401" s="27">
        <f>IF(A401="","",AC401-N(AH401))</f>
        <v/>
      </c>
      <c r="AJ401" s="29">
        <f>IFERROR(AI401/AC401,"")</f>
        <v/>
      </c>
      <c r="AK401" s="26">
        <f>IF(A401="","",IFERROR(IF(INDEX(tbl_Onsite[Notes],IFERROR(MATCH(A401&amp;"",tbl_Onsite[Job Number],0),MATCH(IFERROR(A401+0,A401),tbl_Onsite[Job Number],0)))="","",INDEX(tbl_Onsite[Notes],IFERROR(MATCH(A401&amp;"",tbl_Onsite[Job Number],0),MATCH(IFERROR(A401+0,A401),tbl_Onsite[Job Number],0)))),IFERROR(IF(INDEX(tbl_Production[Notes],IFERROR(MATCH(A401&amp;"",tbl_Production[Job Number],0),MATCH(IFERROR(A401+0,A401),tbl_Production[Job Number],0)))="","",INDEX(tbl_Production[Notes],IFERROR(MATCH(A401&amp;"",tbl_Production[Job Number],0),MATCH(IFERROR(A401+0,A401),tbl_Production[Job Number],0)))),IFERROR(IF(INDEX(tbl_Consulting[Notes],IFERROR(MATCH(A401&amp;"",tbl_Consulting[Job Number],0),MATCH(IFERROR(A401+0,A401),tbl_Consulting[Job Number],0)))="","",INDEX(tbl_Consulting[Notes],IFERROR(MATCH(A401&amp;"",tbl_Consulting[Job Number],0),MATCH(IFERROR(A401+0,A401),tbl_Consulting[Job Number],0)))),""))))</f>
        <v/>
      </c>
    </row>
    <row r="402" ht="15" customHeight="1">
      <c r="A402" s="22" t="n"/>
      <c r="B402" s="22" t="n"/>
      <c r="C402" s="23" t="n"/>
      <c r="D402" s="22" t="n"/>
      <c r="E402" s="24" t="n"/>
      <c r="F402" s="25">
        <f>IF(C402="","",EOMONTH(C402,0))</f>
        <v/>
      </c>
      <c r="G402" s="26">
        <f>IF(A402="","",IF(COUNTIF(tbl_Onsite[Job Number],A402&amp;"")&gt;0,"Onsite",IF(COUNTIF(tbl_Production[Job Number],A402&amp;"")&gt;0,"Production",IF(COUNTIF(tbl_Consulting[Job Number],A402&amp;"")&gt;0,"Consulting","not set up yet"))))</f>
        <v/>
      </c>
      <c r="H402" s="26">
        <f>IF(A402="","",IF(COUNTIF(lst_Jobs,A402&amp;"")&gt;0,"OK","CHECK"))</f>
        <v/>
      </c>
      <c r="I402" s="26">
        <f>IF(A402="","",IFERROR(INDEX(lst_JobName,MATCH(A402&amp;"",lst_Jobs,0)),""))</f>
        <v/>
      </c>
      <c r="J402" s="26">
        <f>IF(A402="","",IFERROR(IF(INDEX(tbl_Onsite[Client],IFERROR(MATCH(A402&amp;"",tbl_Onsite[Job Number],0),MATCH(IFERROR(A402+0,A402),tbl_Onsite[Job Number],0)))="","",INDEX(tbl_Onsite[Client],IFERROR(MATCH(A402&amp;"",tbl_Onsite[Job Number],0),MATCH(IFERROR(A402+0,A402),tbl_Onsite[Job Number],0)))),IFERROR(IF(INDEX(tbl_Production[Client],IFERROR(MATCH(A402&amp;"",tbl_Production[Job Number],0),MATCH(IFERROR(A402+0,A402),tbl_Production[Job Number],0)))="","",INDEX(tbl_Production[Client],IFERROR(MATCH(A402&amp;"",tbl_Production[Job Number],0),MATCH(IFERROR(A402+0,A402),tbl_Production[Job Number],0)))),IFERROR(IF(INDEX(tbl_Consulting[Client],IFERROR(MATCH(A402&amp;"",tbl_Consulting[Job Number],0),MATCH(IFERROR(A402+0,A402),tbl_Consulting[Job Number],0)))="","",INDEX(tbl_Consulting[Client],IFERROR(MATCH(A402&amp;"",tbl_Consulting[Job Number],0),MATCH(IFERROR(A402+0,A402),tbl_Consulting[Job Number],0)))),""))))</f>
        <v/>
      </c>
      <c r="K402" s="26">
        <f>IF(A402="","",IFERROR(IF(INDEX(tbl_Onsite[Job Description],IFERROR(MATCH(A402&amp;"",tbl_Onsite[Job Number],0),MATCH(IFERROR(A402+0,A402),tbl_Onsite[Job Number],0)))="","",INDEX(tbl_Onsite[Job Description],IFERROR(MATCH(A402&amp;"",tbl_Onsite[Job Number],0),MATCH(IFERROR(A402+0,A402),tbl_Onsite[Job Number],0)))),IFERROR(IF(INDEX(tbl_Production[Job Description],IFERROR(MATCH(A402&amp;"",tbl_Production[Job Number],0),MATCH(IFERROR(A402+0,A402),tbl_Production[Job Number],0)))="","",INDEX(tbl_Production[Job Description],IFERROR(MATCH(A402&amp;"",tbl_Production[Job Number],0),MATCH(IFERROR(A402+0,A402),tbl_Production[Job Number],0)))),IFERROR(IF(INDEX(tbl_Consulting[Job Description],IFERROR(MATCH(A402&amp;"",tbl_Consulting[Job Number],0),MATCH(IFERROR(A402+0,A402),tbl_Consulting[Job Number],0)))="","",INDEX(tbl_Consulting[Job Description],IFERROR(MATCH(A402&amp;"",tbl_Consulting[Job Number],0),MATCH(IFERROR(A402+0,A402),tbl_Consulting[Job Number],0)))),""))))</f>
        <v/>
      </c>
      <c r="L402" s="26">
        <f>IF(A402="","",IFERROR(IF(INDEX(tbl_Onsite[Invoice Type],IFERROR(MATCH(A402&amp;"",tbl_Onsite[Job Number],0),MATCH(IFERROR(A402+0,A402),tbl_Onsite[Job Number],0)))="","",INDEX(tbl_Onsite[Invoice Type],IFERROR(MATCH(A402&amp;"",tbl_Onsite[Job Number],0),MATCH(IFERROR(A402+0,A402),tbl_Onsite[Job Number],0)))),IFERROR(IF(INDEX(tbl_Production[Invoice Type],IFERROR(MATCH(A402&amp;"",tbl_Production[Job Number],0),MATCH(IFERROR(A402+0,A402),tbl_Production[Job Number],0)))="","",INDEX(tbl_Production[Invoice Type],IFERROR(MATCH(A402&amp;"",tbl_Production[Job Number],0),MATCH(IFERROR(A402+0,A402),tbl_Production[Job Number],0)))),IFERROR(IF(INDEX(tbl_Consulting[Invoice Type],IFERROR(MATCH(A402&amp;"",tbl_Consulting[Job Number],0),MATCH(IFERROR(A402+0,A402),tbl_Consulting[Job Number],0)))="","",INDEX(tbl_Consulting[Invoice Type],IFERROR(MATCH(A402&amp;"",tbl_Consulting[Job Number],0),MATCH(IFERROR(A402+0,A402),tbl_Consulting[Job Number],0)))),""))))</f>
        <v/>
      </c>
      <c r="M402" s="26">
        <f>IF(A402="","",IF(IFERROR(IF(INDEX(tbl_Onsite[Tax Code],IFERROR(MATCH(A402&amp;"",tbl_Onsite[Job Number],0),MATCH(IFERROR(A402+0,A402),tbl_Onsite[Job Number],0)))="","",INDEX(tbl_Onsite[Tax Code],IFERROR(MATCH(A402&amp;"",tbl_Onsite[Job Number],0),MATCH(IFERROR(A402+0,A402),tbl_Onsite[Job Number],0)))),IFERROR(IF(INDEX(tbl_Production[Tax Code],IFERROR(MATCH(A402&amp;"",tbl_Production[Job Number],0),MATCH(IFERROR(A402+0,A402),tbl_Production[Job Number],0)))="","",INDEX(tbl_Production[Tax Code],IFERROR(MATCH(A402&amp;"",tbl_Production[Job Number],0),MATCH(IFERROR(A402+0,A402),tbl_Production[Job Number],0)))),IFERROR(IF(INDEX(tbl_Consulting[Tax Code],IFERROR(MATCH(A402&amp;"",tbl_Consulting[Job Number],0),MATCH(IFERROR(A402+0,A402),tbl_Consulting[Job Number],0)))="","",INDEX(tbl_Consulting[Tax Code],IFERROR(MATCH(A402&amp;"",tbl_Consulting[Job Number],0),MATCH(IFERROR(A402+0,A402),tbl_Consulting[Job Number],0)))),"")))="","GST 10%",IFERROR(IF(INDEX(tbl_Onsite[Tax Code],IFERROR(MATCH(A402&amp;"",tbl_Onsite[Job Number],0),MATCH(IFERROR(A402+0,A402),tbl_Onsite[Job Number],0)))="","",INDEX(tbl_Onsite[Tax Code],IFERROR(MATCH(A402&amp;"",tbl_Onsite[Job Number],0),MATCH(IFERROR(A402+0,A402),tbl_Onsite[Job Number],0)))),IFERROR(IF(INDEX(tbl_Production[Tax Code],IFERROR(MATCH(A402&amp;"",tbl_Production[Job Number],0),MATCH(IFERROR(A402+0,A402),tbl_Production[Job Number],0)))="","",INDEX(tbl_Production[Tax Code],IFERROR(MATCH(A402&amp;"",tbl_Production[Job Number],0),MATCH(IFERROR(A402+0,A402),tbl_Production[Job Number],0)))),IFERROR(IF(INDEX(tbl_Consulting[Tax Code],IFERROR(MATCH(A402&amp;"",tbl_Consulting[Job Number],0),MATCH(IFERROR(A402+0,A402),tbl_Consulting[Job Number],0)))="","",INDEX(tbl_Consulting[Tax Code],IFERROR(MATCH(A402&amp;"",tbl_Consulting[Job Number],0),MATCH(IFERROR(A402+0,A402),tbl_Consulting[Job Number],0)))),"")))))</f>
        <v/>
      </c>
      <c r="N402" s="26">
        <f>IF(D402="","",IFERROR(INDEX(lst_CCtoGL,MATCH(D402,lst_CCforGL,0)),""))</f>
        <v/>
      </c>
      <c r="O402" s="27">
        <f>IF(E402="","",IF(M402="GST 10%",ROUND(E402*set_GSTRate,2),0))</f>
        <v/>
      </c>
      <c r="P402" s="27">
        <f>IF(E402="","",E402+O402)</f>
        <v/>
      </c>
      <c r="Q402" s="27">
        <f>IF(A402="","",IFERROR(INDEX(tbl_Onsite[Expected Revenue Ex GST],IFERROR(MATCH(A402&amp;"",tbl_Onsite[Job Number],0),MATCH(IFERROR(A402+0,A402),tbl_Onsite[Job Number],0))),IFERROR(INDEX(tbl_Production[Expected Revenue Ex GST],IFERROR(MATCH(A402&amp;"",tbl_Production[Job Number],0),MATCH(IFERROR(A402+0,A402),tbl_Production[Job Number],0))),IFERROR(INDEX(tbl_Consulting[Expected Revenue Ex GST],IFERROR(MATCH(A402&amp;"",tbl_Consulting[Job Number],0),MATCH(IFERROR(A402+0,A402),tbl_Consulting[Job Number],0))),0))))</f>
        <v/>
      </c>
      <c r="R402" s="27">
        <f>IF(A402="","",SUMIFS(tbl_Finance[Ex GST],tbl_Finance[Job Number],A402&amp;""))</f>
        <v/>
      </c>
      <c r="S402" s="27">
        <f>IF(A402="","",Q402-R402)</f>
        <v/>
      </c>
      <c r="T402" s="26">
        <f>IF(A402="","",IF(Q402=0,"No dept value",IF(ROUND(S402,2)=0,"Agrees",IF(S402&gt;0,"Dept higher - to invoice","Xero higher - check dept"))))</f>
        <v/>
      </c>
      <c r="U402" s="22" t="n"/>
      <c r="V402" s="22" t="n"/>
      <c r="W402" s="23" t="n"/>
      <c r="X402" s="23" t="n"/>
      <c r="Y402" s="22" t="n"/>
      <c r="Z402" s="22" t="n"/>
      <c r="AA402" s="26">
        <f>IF(COUNTA(C402,A402,B402,E402)=0,"",IF(C402="","No date - sits outside every month",IF(A402="","No job number",IF(H402="CHECK","Job number is not in the Xero job list",IF(G402="not set up yet","No department has set this job up - nothing can pull through",IF(D402="","No cost centre",IF(AND(U402="Y",B402=""),"Marked posted to Xero but has no invoice number",IF(N402="","Cost centre has no revenue GL on the Lists sheet",IF(T402="Xero higher - check dept","Invoiced more than the department says the job is worth","")))))))))</f>
        <v/>
      </c>
      <c r="AB402" s="28">
        <f>IF(A402="","",COUNTIFS(tbl_Finance[Job Number],A402&amp;"",tbl_Finance[Ex GST],"&lt;&gt;"))</f>
        <v/>
      </c>
      <c r="AC402" s="27">
        <f>IF(A402="","",SUMIFS(tbl_Finance[Ex GST],tbl_Finance[Job Number],A402&amp;""))</f>
        <v/>
      </c>
      <c r="AD402" s="27">
        <f>IF(A402="","",SUMIFS(tbl_Finance[Ex GST],tbl_Finance[Job Number],A402&amp;"",tbl_Finance[Xero Invoice No],"&lt;&gt;"))</f>
        <v/>
      </c>
      <c r="AE402" s="27">
        <f>IF(A402="","",AC402-AD402)</f>
        <v/>
      </c>
      <c r="AF402" s="26">
        <f>IF(A402="","",IFERROR(IF(INDEX(tbl_Onsite[Qwilr Quote],IFERROR(MATCH(A402&amp;"",tbl_Onsite[Job Number],0),MATCH(IFERROR(A402+0,A402),tbl_Onsite[Job Number],0)))="","",INDEX(tbl_Onsite[Qwilr Quote],IFERROR(MATCH(A402&amp;"",tbl_Onsite[Job Number],0),MATCH(IFERROR(A402+0,A402),tbl_Onsite[Job Number],0)))),IFERROR(IF(IF(INDEX(tbl_Production[Current RMS No],IFERROR(MATCH(A402&amp;"",tbl_Production[Job Number],0),MATCH(IFERROR(A402+0,A402),tbl_Production[Job Number],0)))="",INDEX(tbl_Production[Qwilr Quote],IFERROR(MATCH(A402&amp;"",tbl_Production[Job Number],0),MATCH(IFERROR(A402+0,A402),tbl_Production[Job Number],0))),INDEX(tbl_Production[Current RMS No],IFERROR(MATCH(A402&amp;"",tbl_Production[Job Number],0),MATCH(IFERROR(A402+0,A402),tbl_Production[Job Number],0))))="","",IF(INDEX(tbl_Production[Current RMS No],IFERROR(MATCH(A402&amp;"",tbl_Production[Job Number],0),MATCH(IFERROR(A402+0,A402),tbl_Production[Job Number],0)))="",INDEX(tbl_Production[Qwilr Quote],IFERROR(MATCH(A402&amp;"",tbl_Production[Job Number],0),MATCH(IFERROR(A402+0,A402),tbl_Production[Job Number],0))),INDEX(tbl_Production[Current RMS No],IFERROR(MATCH(A402&amp;"",tbl_Production[Job Number],0),MATCH(IFERROR(A402+0,A402),tbl_Production[Job Number],0))))),IFERROR(IF(INDEX(tbl_Consulting[Qwilr Quote],IFERROR(MATCH(A402&amp;"",tbl_Consulting[Job Number],0),MATCH(IFERROR(A402+0,A402),tbl_Consulting[Job Number],0)))="","",INDEX(tbl_Consulting[Qwilr Quote],IFERROR(MATCH(A402&amp;"",tbl_Consulting[Job Number],0),MATCH(IFERROR(A402+0,A402),tbl_Consulting[Job Number],0)))),""))))</f>
        <v/>
      </c>
      <c r="AG402" s="26">
        <f>IF(AF402="","",IF(AND(LEFT(AF402,4)&lt;&gt;"http",IF(G402="Production",set_RMSBase,set_QwilrBase)=""),"",HYPERLINK(IF(LEFT(AF402,4)="http",AF402,IF(G402="Production",set_RMSBase,set_QwilrBase)&amp;AF402),"Open")))</f>
        <v/>
      </c>
      <c r="AH402" s="27">
        <f>IF(A402="","",IFERROR(INDEX(tbl_Production[Total Expense],IFERROR(MATCH(A402&amp;"",tbl_Production[Job Number],0),MATCH(IFERROR(A402+0,A402),tbl_Production[Job Number],0))),IFERROR(INDEX(tbl_Consulting[Total Expense],IFERROR(MATCH(A402&amp;"",tbl_Consulting[Job Number],0),MATCH(IFERROR(A402+0,A402),tbl_Consulting[Job Number],0))),0)))</f>
        <v/>
      </c>
      <c r="AI402" s="27">
        <f>IF(A402="","",AC402-N(AH402))</f>
        <v/>
      </c>
      <c r="AJ402" s="29">
        <f>IFERROR(AI402/AC402,"")</f>
        <v/>
      </c>
      <c r="AK402" s="26">
        <f>IF(A402="","",IFERROR(IF(INDEX(tbl_Onsite[Notes],IFERROR(MATCH(A402&amp;"",tbl_Onsite[Job Number],0),MATCH(IFERROR(A402+0,A402),tbl_Onsite[Job Number],0)))="","",INDEX(tbl_Onsite[Notes],IFERROR(MATCH(A402&amp;"",tbl_Onsite[Job Number],0),MATCH(IFERROR(A402+0,A402),tbl_Onsite[Job Number],0)))),IFERROR(IF(INDEX(tbl_Production[Notes],IFERROR(MATCH(A402&amp;"",tbl_Production[Job Number],0),MATCH(IFERROR(A402+0,A402),tbl_Production[Job Number],0)))="","",INDEX(tbl_Production[Notes],IFERROR(MATCH(A402&amp;"",tbl_Production[Job Number],0),MATCH(IFERROR(A402+0,A402),tbl_Production[Job Number],0)))),IFERROR(IF(INDEX(tbl_Consulting[Notes],IFERROR(MATCH(A402&amp;"",tbl_Consulting[Job Number],0),MATCH(IFERROR(A402+0,A402),tbl_Consulting[Job Number],0)))="","",INDEX(tbl_Consulting[Notes],IFERROR(MATCH(A402&amp;"",tbl_Consulting[Job Number],0),MATCH(IFERROR(A402+0,A402),tbl_Consulting[Job Number],0)))),""))))</f>
        <v/>
      </c>
    </row>
    <row r="403" ht="15" customHeight="1">
      <c r="A403" s="22" t="n"/>
      <c r="B403" s="22" t="n"/>
      <c r="C403" s="23" t="n"/>
      <c r="D403" s="22" t="n"/>
      <c r="E403" s="24" t="n"/>
      <c r="F403" s="25">
        <f>IF(C403="","",EOMONTH(C403,0))</f>
        <v/>
      </c>
      <c r="G403" s="26">
        <f>IF(A403="","",IF(COUNTIF(tbl_Onsite[Job Number],A403&amp;"")&gt;0,"Onsite",IF(COUNTIF(tbl_Production[Job Number],A403&amp;"")&gt;0,"Production",IF(COUNTIF(tbl_Consulting[Job Number],A403&amp;"")&gt;0,"Consulting","not set up yet"))))</f>
        <v/>
      </c>
      <c r="H403" s="26">
        <f>IF(A403="","",IF(COUNTIF(lst_Jobs,A403&amp;"")&gt;0,"OK","CHECK"))</f>
        <v/>
      </c>
      <c r="I403" s="26">
        <f>IF(A403="","",IFERROR(INDEX(lst_JobName,MATCH(A403&amp;"",lst_Jobs,0)),""))</f>
        <v/>
      </c>
      <c r="J403" s="26">
        <f>IF(A403="","",IFERROR(IF(INDEX(tbl_Onsite[Client],IFERROR(MATCH(A403&amp;"",tbl_Onsite[Job Number],0),MATCH(IFERROR(A403+0,A403),tbl_Onsite[Job Number],0)))="","",INDEX(tbl_Onsite[Client],IFERROR(MATCH(A403&amp;"",tbl_Onsite[Job Number],0),MATCH(IFERROR(A403+0,A403),tbl_Onsite[Job Number],0)))),IFERROR(IF(INDEX(tbl_Production[Client],IFERROR(MATCH(A403&amp;"",tbl_Production[Job Number],0),MATCH(IFERROR(A403+0,A403),tbl_Production[Job Number],0)))="","",INDEX(tbl_Production[Client],IFERROR(MATCH(A403&amp;"",tbl_Production[Job Number],0),MATCH(IFERROR(A403+0,A403),tbl_Production[Job Number],0)))),IFERROR(IF(INDEX(tbl_Consulting[Client],IFERROR(MATCH(A403&amp;"",tbl_Consulting[Job Number],0),MATCH(IFERROR(A403+0,A403),tbl_Consulting[Job Number],0)))="","",INDEX(tbl_Consulting[Client],IFERROR(MATCH(A403&amp;"",tbl_Consulting[Job Number],0),MATCH(IFERROR(A403+0,A403),tbl_Consulting[Job Number],0)))),""))))</f>
        <v/>
      </c>
      <c r="K403" s="26">
        <f>IF(A403="","",IFERROR(IF(INDEX(tbl_Onsite[Job Description],IFERROR(MATCH(A403&amp;"",tbl_Onsite[Job Number],0),MATCH(IFERROR(A403+0,A403),tbl_Onsite[Job Number],0)))="","",INDEX(tbl_Onsite[Job Description],IFERROR(MATCH(A403&amp;"",tbl_Onsite[Job Number],0),MATCH(IFERROR(A403+0,A403),tbl_Onsite[Job Number],0)))),IFERROR(IF(INDEX(tbl_Production[Job Description],IFERROR(MATCH(A403&amp;"",tbl_Production[Job Number],0),MATCH(IFERROR(A403+0,A403),tbl_Production[Job Number],0)))="","",INDEX(tbl_Production[Job Description],IFERROR(MATCH(A403&amp;"",tbl_Production[Job Number],0),MATCH(IFERROR(A403+0,A403),tbl_Production[Job Number],0)))),IFERROR(IF(INDEX(tbl_Consulting[Job Description],IFERROR(MATCH(A403&amp;"",tbl_Consulting[Job Number],0),MATCH(IFERROR(A403+0,A403),tbl_Consulting[Job Number],0)))="","",INDEX(tbl_Consulting[Job Description],IFERROR(MATCH(A403&amp;"",tbl_Consulting[Job Number],0),MATCH(IFERROR(A403+0,A403),tbl_Consulting[Job Number],0)))),""))))</f>
        <v/>
      </c>
      <c r="L403" s="26">
        <f>IF(A403="","",IFERROR(IF(INDEX(tbl_Onsite[Invoice Type],IFERROR(MATCH(A403&amp;"",tbl_Onsite[Job Number],0),MATCH(IFERROR(A403+0,A403),tbl_Onsite[Job Number],0)))="","",INDEX(tbl_Onsite[Invoice Type],IFERROR(MATCH(A403&amp;"",tbl_Onsite[Job Number],0),MATCH(IFERROR(A403+0,A403),tbl_Onsite[Job Number],0)))),IFERROR(IF(INDEX(tbl_Production[Invoice Type],IFERROR(MATCH(A403&amp;"",tbl_Production[Job Number],0),MATCH(IFERROR(A403+0,A403),tbl_Production[Job Number],0)))="","",INDEX(tbl_Production[Invoice Type],IFERROR(MATCH(A403&amp;"",tbl_Production[Job Number],0),MATCH(IFERROR(A403+0,A403),tbl_Production[Job Number],0)))),IFERROR(IF(INDEX(tbl_Consulting[Invoice Type],IFERROR(MATCH(A403&amp;"",tbl_Consulting[Job Number],0),MATCH(IFERROR(A403+0,A403),tbl_Consulting[Job Number],0)))="","",INDEX(tbl_Consulting[Invoice Type],IFERROR(MATCH(A403&amp;"",tbl_Consulting[Job Number],0),MATCH(IFERROR(A403+0,A403),tbl_Consulting[Job Number],0)))),""))))</f>
        <v/>
      </c>
      <c r="M403" s="26">
        <f>IF(A403="","",IF(IFERROR(IF(INDEX(tbl_Onsite[Tax Code],IFERROR(MATCH(A403&amp;"",tbl_Onsite[Job Number],0),MATCH(IFERROR(A403+0,A403),tbl_Onsite[Job Number],0)))="","",INDEX(tbl_Onsite[Tax Code],IFERROR(MATCH(A403&amp;"",tbl_Onsite[Job Number],0),MATCH(IFERROR(A403+0,A403),tbl_Onsite[Job Number],0)))),IFERROR(IF(INDEX(tbl_Production[Tax Code],IFERROR(MATCH(A403&amp;"",tbl_Production[Job Number],0),MATCH(IFERROR(A403+0,A403),tbl_Production[Job Number],0)))="","",INDEX(tbl_Production[Tax Code],IFERROR(MATCH(A403&amp;"",tbl_Production[Job Number],0),MATCH(IFERROR(A403+0,A403),tbl_Production[Job Number],0)))),IFERROR(IF(INDEX(tbl_Consulting[Tax Code],IFERROR(MATCH(A403&amp;"",tbl_Consulting[Job Number],0),MATCH(IFERROR(A403+0,A403),tbl_Consulting[Job Number],0)))="","",INDEX(tbl_Consulting[Tax Code],IFERROR(MATCH(A403&amp;"",tbl_Consulting[Job Number],0),MATCH(IFERROR(A403+0,A403),tbl_Consulting[Job Number],0)))),"")))="","GST 10%",IFERROR(IF(INDEX(tbl_Onsite[Tax Code],IFERROR(MATCH(A403&amp;"",tbl_Onsite[Job Number],0),MATCH(IFERROR(A403+0,A403),tbl_Onsite[Job Number],0)))="","",INDEX(tbl_Onsite[Tax Code],IFERROR(MATCH(A403&amp;"",tbl_Onsite[Job Number],0),MATCH(IFERROR(A403+0,A403),tbl_Onsite[Job Number],0)))),IFERROR(IF(INDEX(tbl_Production[Tax Code],IFERROR(MATCH(A403&amp;"",tbl_Production[Job Number],0),MATCH(IFERROR(A403+0,A403),tbl_Production[Job Number],0)))="","",INDEX(tbl_Production[Tax Code],IFERROR(MATCH(A403&amp;"",tbl_Production[Job Number],0),MATCH(IFERROR(A403+0,A403),tbl_Production[Job Number],0)))),IFERROR(IF(INDEX(tbl_Consulting[Tax Code],IFERROR(MATCH(A403&amp;"",tbl_Consulting[Job Number],0),MATCH(IFERROR(A403+0,A403),tbl_Consulting[Job Number],0)))="","",INDEX(tbl_Consulting[Tax Code],IFERROR(MATCH(A403&amp;"",tbl_Consulting[Job Number],0),MATCH(IFERROR(A403+0,A403),tbl_Consulting[Job Number],0)))),"")))))</f>
        <v/>
      </c>
      <c r="N403" s="26">
        <f>IF(D403="","",IFERROR(INDEX(lst_CCtoGL,MATCH(D403,lst_CCforGL,0)),""))</f>
        <v/>
      </c>
      <c r="O403" s="27">
        <f>IF(E403="","",IF(M403="GST 10%",ROUND(E403*set_GSTRate,2),0))</f>
        <v/>
      </c>
      <c r="P403" s="27">
        <f>IF(E403="","",E403+O403)</f>
        <v/>
      </c>
      <c r="Q403" s="27">
        <f>IF(A403="","",IFERROR(INDEX(tbl_Onsite[Expected Revenue Ex GST],IFERROR(MATCH(A403&amp;"",tbl_Onsite[Job Number],0),MATCH(IFERROR(A403+0,A403),tbl_Onsite[Job Number],0))),IFERROR(INDEX(tbl_Production[Expected Revenue Ex GST],IFERROR(MATCH(A403&amp;"",tbl_Production[Job Number],0),MATCH(IFERROR(A403+0,A403),tbl_Production[Job Number],0))),IFERROR(INDEX(tbl_Consulting[Expected Revenue Ex GST],IFERROR(MATCH(A403&amp;"",tbl_Consulting[Job Number],0),MATCH(IFERROR(A403+0,A403),tbl_Consulting[Job Number],0))),0))))</f>
        <v/>
      </c>
      <c r="R403" s="27">
        <f>IF(A403="","",SUMIFS(tbl_Finance[Ex GST],tbl_Finance[Job Number],A403&amp;""))</f>
        <v/>
      </c>
      <c r="S403" s="27">
        <f>IF(A403="","",Q403-R403)</f>
        <v/>
      </c>
      <c r="T403" s="26">
        <f>IF(A403="","",IF(Q403=0,"No dept value",IF(ROUND(S403,2)=0,"Agrees",IF(S403&gt;0,"Dept higher - to invoice","Xero higher - check dept"))))</f>
        <v/>
      </c>
      <c r="U403" s="22" t="n"/>
      <c r="V403" s="22" t="n"/>
      <c r="W403" s="23" t="n"/>
      <c r="X403" s="23" t="n"/>
      <c r="Y403" s="22" t="n"/>
      <c r="Z403" s="22" t="n"/>
      <c r="AA403" s="26">
        <f>IF(COUNTA(C403,A403,B403,E403)=0,"",IF(C403="","No date - sits outside every month",IF(A403="","No job number",IF(H403="CHECK","Job number is not in the Xero job list",IF(G403="not set up yet","No department has set this job up - nothing can pull through",IF(D403="","No cost centre",IF(AND(U403="Y",B403=""),"Marked posted to Xero but has no invoice number",IF(N403="","Cost centre has no revenue GL on the Lists sheet",IF(T403="Xero higher - check dept","Invoiced more than the department says the job is worth","")))))))))</f>
        <v/>
      </c>
      <c r="AB403" s="28">
        <f>IF(A403="","",COUNTIFS(tbl_Finance[Job Number],A403&amp;"",tbl_Finance[Ex GST],"&lt;&gt;"))</f>
        <v/>
      </c>
      <c r="AC403" s="27">
        <f>IF(A403="","",SUMIFS(tbl_Finance[Ex GST],tbl_Finance[Job Number],A403&amp;""))</f>
        <v/>
      </c>
      <c r="AD403" s="27">
        <f>IF(A403="","",SUMIFS(tbl_Finance[Ex GST],tbl_Finance[Job Number],A403&amp;"",tbl_Finance[Xero Invoice No],"&lt;&gt;"))</f>
        <v/>
      </c>
      <c r="AE403" s="27">
        <f>IF(A403="","",AC403-AD403)</f>
        <v/>
      </c>
      <c r="AF403" s="26">
        <f>IF(A403="","",IFERROR(IF(INDEX(tbl_Onsite[Qwilr Quote],IFERROR(MATCH(A403&amp;"",tbl_Onsite[Job Number],0),MATCH(IFERROR(A403+0,A403),tbl_Onsite[Job Number],0)))="","",INDEX(tbl_Onsite[Qwilr Quote],IFERROR(MATCH(A403&amp;"",tbl_Onsite[Job Number],0),MATCH(IFERROR(A403+0,A403),tbl_Onsite[Job Number],0)))),IFERROR(IF(IF(INDEX(tbl_Production[Current RMS No],IFERROR(MATCH(A403&amp;"",tbl_Production[Job Number],0),MATCH(IFERROR(A403+0,A403),tbl_Production[Job Number],0)))="",INDEX(tbl_Production[Qwilr Quote],IFERROR(MATCH(A403&amp;"",tbl_Production[Job Number],0),MATCH(IFERROR(A403+0,A403),tbl_Production[Job Number],0))),INDEX(tbl_Production[Current RMS No],IFERROR(MATCH(A403&amp;"",tbl_Production[Job Number],0),MATCH(IFERROR(A403+0,A403),tbl_Production[Job Number],0))))="","",IF(INDEX(tbl_Production[Current RMS No],IFERROR(MATCH(A403&amp;"",tbl_Production[Job Number],0),MATCH(IFERROR(A403+0,A403),tbl_Production[Job Number],0)))="",INDEX(tbl_Production[Qwilr Quote],IFERROR(MATCH(A403&amp;"",tbl_Production[Job Number],0),MATCH(IFERROR(A403+0,A403),tbl_Production[Job Number],0))),INDEX(tbl_Production[Current RMS No],IFERROR(MATCH(A403&amp;"",tbl_Production[Job Number],0),MATCH(IFERROR(A403+0,A403),tbl_Production[Job Number],0))))),IFERROR(IF(INDEX(tbl_Consulting[Qwilr Quote],IFERROR(MATCH(A403&amp;"",tbl_Consulting[Job Number],0),MATCH(IFERROR(A403+0,A403),tbl_Consulting[Job Number],0)))="","",INDEX(tbl_Consulting[Qwilr Quote],IFERROR(MATCH(A403&amp;"",tbl_Consulting[Job Number],0),MATCH(IFERROR(A403+0,A403),tbl_Consulting[Job Number],0)))),""))))</f>
        <v/>
      </c>
      <c r="AG403" s="26">
        <f>IF(AF403="","",IF(AND(LEFT(AF403,4)&lt;&gt;"http",IF(G403="Production",set_RMSBase,set_QwilrBase)=""),"",HYPERLINK(IF(LEFT(AF403,4)="http",AF403,IF(G403="Production",set_RMSBase,set_QwilrBase)&amp;AF403),"Open")))</f>
        <v/>
      </c>
      <c r="AH403" s="27">
        <f>IF(A403="","",IFERROR(INDEX(tbl_Production[Total Expense],IFERROR(MATCH(A403&amp;"",tbl_Production[Job Number],0),MATCH(IFERROR(A403+0,A403),tbl_Production[Job Number],0))),IFERROR(INDEX(tbl_Consulting[Total Expense],IFERROR(MATCH(A403&amp;"",tbl_Consulting[Job Number],0),MATCH(IFERROR(A403+0,A403),tbl_Consulting[Job Number],0))),0)))</f>
        <v/>
      </c>
      <c r="AI403" s="27">
        <f>IF(A403="","",AC403-N(AH403))</f>
        <v/>
      </c>
      <c r="AJ403" s="29">
        <f>IFERROR(AI403/AC403,"")</f>
        <v/>
      </c>
      <c r="AK403" s="26">
        <f>IF(A403="","",IFERROR(IF(INDEX(tbl_Onsite[Notes],IFERROR(MATCH(A403&amp;"",tbl_Onsite[Job Number],0),MATCH(IFERROR(A403+0,A403),tbl_Onsite[Job Number],0)))="","",INDEX(tbl_Onsite[Notes],IFERROR(MATCH(A403&amp;"",tbl_Onsite[Job Number],0),MATCH(IFERROR(A403+0,A403),tbl_Onsite[Job Number],0)))),IFERROR(IF(INDEX(tbl_Production[Notes],IFERROR(MATCH(A403&amp;"",tbl_Production[Job Number],0),MATCH(IFERROR(A403+0,A403),tbl_Production[Job Number],0)))="","",INDEX(tbl_Production[Notes],IFERROR(MATCH(A403&amp;"",tbl_Production[Job Number],0),MATCH(IFERROR(A403+0,A403),tbl_Production[Job Number],0)))),IFERROR(IF(INDEX(tbl_Consulting[Notes],IFERROR(MATCH(A403&amp;"",tbl_Consulting[Job Number],0),MATCH(IFERROR(A403+0,A403),tbl_Consulting[Job Number],0)))="","",INDEX(tbl_Consulting[Notes],IFERROR(MATCH(A403&amp;"",tbl_Consulting[Job Number],0),MATCH(IFERROR(A403+0,A403),tbl_Consulting[Job Number],0)))),""))))</f>
        <v/>
      </c>
    </row>
    <row r="404" ht="15" customHeight="1">
      <c r="A404" s="22" t="n"/>
      <c r="B404" s="22" t="n"/>
      <c r="C404" s="23" t="n"/>
      <c r="D404" s="22" t="n"/>
      <c r="E404" s="24" t="n"/>
      <c r="F404" s="25">
        <f>IF(C404="","",EOMONTH(C404,0))</f>
        <v/>
      </c>
      <c r="G404" s="26">
        <f>IF(A404="","",IF(COUNTIF(tbl_Onsite[Job Number],A404&amp;"")&gt;0,"Onsite",IF(COUNTIF(tbl_Production[Job Number],A404&amp;"")&gt;0,"Production",IF(COUNTIF(tbl_Consulting[Job Number],A404&amp;"")&gt;0,"Consulting","not set up yet"))))</f>
        <v/>
      </c>
      <c r="H404" s="26">
        <f>IF(A404="","",IF(COUNTIF(lst_Jobs,A404&amp;"")&gt;0,"OK","CHECK"))</f>
        <v/>
      </c>
      <c r="I404" s="26">
        <f>IF(A404="","",IFERROR(INDEX(lst_JobName,MATCH(A404&amp;"",lst_Jobs,0)),""))</f>
        <v/>
      </c>
      <c r="J404" s="26">
        <f>IF(A404="","",IFERROR(IF(INDEX(tbl_Onsite[Client],IFERROR(MATCH(A404&amp;"",tbl_Onsite[Job Number],0),MATCH(IFERROR(A404+0,A404),tbl_Onsite[Job Number],0)))="","",INDEX(tbl_Onsite[Client],IFERROR(MATCH(A404&amp;"",tbl_Onsite[Job Number],0),MATCH(IFERROR(A404+0,A404),tbl_Onsite[Job Number],0)))),IFERROR(IF(INDEX(tbl_Production[Client],IFERROR(MATCH(A404&amp;"",tbl_Production[Job Number],0),MATCH(IFERROR(A404+0,A404),tbl_Production[Job Number],0)))="","",INDEX(tbl_Production[Client],IFERROR(MATCH(A404&amp;"",tbl_Production[Job Number],0),MATCH(IFERROR(A404+0,A404),tbl_Production[Job Number],0)))),IFERROR(IF(INDEX(tbl_Consulting[Client],IFERROR(MATCH(A404&amp;"",tbl_Consulting[Job Number],0),MATCH(IFERROR(A404+0,A404),tbl_Consulting[Job Number],0)))="","",INDEX(tbl_Consulting[Client],IFERROR(MATCH(A404&amp;"",tbl_Consulting[Job Number],0),MATCH(IFERROR(A404+0,A404),tbl_Consulting[Job Number],0)))),""))))</f>
        <v/>
      </c>
      <c r="K404" s="26">
        <f>IF(A404="","",IFERROR(IF(INDEX(tbl_Onsite[Job Description],IFERROR(MATCH(A404&amp;"",tbl_Onsite[Job Number],0),MATCH(IFERROR(A404+0,A404),tbl_Onsite[Job Number],0)))="","",INDEX(tbl_Onsite[Job Description],IFERROR(MATCH(A404&amp;"",tbl_Onsite[Job Number],0),MATCH(IFERROR(A404+0,A404),tbl_Onsite[Job Number],0)))),IFERROR(IF(INDEX(tbl_Production[Job Description],IFERROR(MATCH(A404&amp;"",tbl_Production[Job Number],0),MATCH(IFERROR(A404+0,A404),tbl_Production[Job Number],0)))="","",INDEX(tbl_Production[Job Description],IFERROR(MATCH(A404&amp;"",tbl_Production[Job Number],0),MATCH(IFERROR(A404+0,A404),tbl_Production[Job Number],0)))),IFERROR(IF(INDEX(tbl_Consulting[Job Description],IFERROR(MATCH(A404&amp;"",tbl_Consulting[Job Number],0),MATCH(IFERROR(A404+0,A404),tbl_Consulting[Job Number],0)))="","",INDEX(tbl_Consulting[Job Description],IFERROR(MATCH(A404&amp;"",tbl_Consulting[Job Number],0),MATCH(IFERROR(A404+0,A404),tbl_Consulting[Job Number],0)))),""))))</f>
        <v/>
      </c>
      <c r="L404" s="26">
        <f>IF(A404="","",IFERROR(IF(INDEX(tbl_Onsite[Invoice Type],IFERROR(MATCH(A404&amp;"",tbl_Onsite[Job Number],0),MATCH(IFERROR(A404+0,A404),tbl_Onsite[Job Number],0)))="","",INDEX(tbl_Onsite[Invoice Type],IFERROR(MATCH(A404&amp;"",tbl_Onsite[Job Number],0),MATCH(IFERROR(A404+0,A404),tbl_Onsite[Job Number],0)))),IFERROR(IF(INDEX(tbl_Production[Invoice Type],IFERROR(MATCH(A404&amp;"",tbl_Production[Job Number],0),MATCH(IFERROR(A404+0,A404),tbl_Production[Job Number],0)))="","",INDEX(tbl_Production[Invoice Type],IFERROR(MATCH(A404&amp;"",tbl_Production[Job Number],0),MATCH(IFERROR(A404+0,A404),tbl_Production[Job Number],0)))),IFERROR(IF(INDEX(tbl_Consulting[Invoice Type],IFERROR(MATCH(A404&amp;"",tbl_Consulting[Job Number],0),MATCH(IFERROR(A404+0,A404),tbl_Consulting[Job Number],0)))="","",INDEX(tbl_Consulting[Invoice Type],IFERROR(MATCH(A404&amp;"",tbl_Consulting[Job Number],0),MATCH(IFERROR(A404+0,A404),tbl_Consulting[Job Number],0)))),""))))</f>
        <v/>
      </c>
      <c r="M404" s="26">
        <f>IF(A404="","",IF(IFERROR(IF(INDEX(tbl_Onsite[Tax Code],IFERROR(MATCH(A404&amp;"",tbl_Onsite[Job Number],0),MATCH(IFERROR(A404+0,A404),tbl_Onsite[Job Number],0)))="","",INDEX(tbl_Onsite[Tax Code],IFERROR(MATCH(A404&amp;"",tbl_Onsite[Job Number],0),MATCH(IFERROR(A404+0,A404),tbl_Onsite[Job Number],0)))),IFERROR(IF(INDEX(tbl_Production[Tax Code],IFERROR(MATCH(A404&amp;"",tbl_Production[Job Number],0),MATCH(IFERROR(A404+0,A404),tbl_Production[Job Number],0)))="","",INDEX(tbl_Production[Tax Code],IFERROR(MATCH(A404&amp;"",tbl_Production[Job Number],0),MATCH(IFERROR(A404+0,A404),tbl_Production[Job Number],0)))),IFERROR(IF(INDEX(tbl_Consulting[Tax Code],IFERROR(MATCH(A404&amp;"",tbl_Consulting[Job Number],0),MATCH(IFERROR(A404+0,A404),tbl_Consulting[Job Number],0)))="","",INDEX(tbl_Consulting[Tax Code],IFERROR(MATCH(A404&amp;"",tbl_Consulting[Job Number],0),MATCH(IFERROR(A404+0,A404),tbl_Consulting[Job Number],0)))),"")))="","GST 10%",IFERROR(IF(INDEX(tbl_Onsite[Tax Code],IFERROR(MATCH(A404&amp;"",tbl_Onsite[Job Number],0),MATCH(IFERROR(A404+0,A404),tbl_Onsite[Job Number],0)))="","",INDEX(tbl_Onsite[Tax Code],IFERROR(MATCH(A404&amp;"",tbl_Onsite[Job Number],0),MATCH(IFERROR(A404+0,A404),tbl_Onsite[Job Number],0)))),IFERROR(IF(INDEX(tbl_Production[Tax Code],IFERROR(MATCH(A404&amp;"",tbl_Production[Job Number],0),MATCH(IFERROR(A404+0,A404),tbl_Production[Job Number],0)))="","",INDEX(tbl_Production[Tax Code],IFERROR(MATCH(A404&amp;"",tbl_Production[Job Number],0),MATCH(IFERROR(A404+0,A404),tbl_Production[Job Number],0)))),IFERROR(IF(INDEX(tbl_Consulting[Tax Code],IFERROR(MATCH(A404&amp;"",tbl_Consulting[Job Number],0),MATCH(IFERROR(A404+0,A404),tbl_Consulting[Job Number],0)))="","",INDEX(tbl_Consulting[Tax Code],IFERROR(MATCH(A404&amp;"",tbl_Consulting[Job Number],0),MATCH(IFERROR(A404+0,A404),tbl_Consulting[Job Number],0)))),"")))))</f>
        <v/>
      </c>
      <c r="N404" s="26">
        <f>IF(D404="","",IFERROR(INDEX(lst_CCtoGL,MATCH(D404,lst_CCforGL,0)),""))</f>
        <v/>
      </c>
      <c r="O404" s="27">
        <f>IF(E404="","",IF(M404="GST 10%",ROUND(E404*set_GSTRate,2),0))</f>
        <v/>
      </c>
      <c r="P404" s="27">
        <f>IF(E404="","",E404+O404)</f>
        <v/>
      </c>
      <c r="Q404" s="27">
        <f>IF(A404="","",IFERROR(INDEX(tbl_Onsite[Expected Revenue Ex GST],IFERROR(MATCH(A404&amp;"",tbl_Onsite[Job Number],0),MATCH(IFERROR(A404+0,A404),tbl_Onsite[Job Number],0))),IFERROR(INDEX(tbl_Production[Expected Revenue Ex GST],IFERROR(MATCH(A404&amp;"",tbl_Production[Job Number],0),MATCH(IFERROR(A404+0,A404),tbl_Production[Job Number],0))),IFERROR(INDEX(tbl_Consulting[Expected Revenue Ex GST],IFERROR(MATCH(A404&amp;"",tbl_Consulting[Job Number],0),MATCH(IFERROR(A404+0,A404),tbl_Consulting[Job Number],0))),0))))</f>
        <v/>
      </c>
      <c r="R404" s="27">
        <f>IF(A404="","",SUMIFS(tbl_Finance[Ex GST],tbl_Finance[Job Number],A404&amp;""))</f>
        <v/>
      </c>
      <c r="S404" s="27">
        <f>IF(A404="","",Q404-R404)</f>
        <v/>
      </c>
      <c r="T404" s="26">
        <f>IF(A404="","",IF(Q404=0,"No dept value",IF(ROUND(S404,2)=0,"Agrees",IF(S404&gt;0,"Dept higher - to invoice","Xero higher - check dept"))))</f>
        <v/>
      </c>
      <c r="U404" s="22" t="n"/>
      <c r="V404" s="22" t="n"/>
      <c r="W404" s="23" t="n"/>
      <c r="X404" s="23" t="n"/>
      <c r="Y404" s="22" t="n"/>
      <c r="Z404" s="22" t="n"/>
      <c r="AA404" s="26">
        <f>IF(COUNTA(C404,A404,B404,E404)=0,"",IF(C404="","No date - sits outside every month",IF(A404="","No job number",IF(H404="CHECK","Job number is not in the Xero job list",IF(G404="not set up yet","No department has set this job up - nothing can pull through",IF(D404="","No cost centre",IF(AND(U404="Y",B404=""),"Marked posted to Xero but has no invoice number",IF(N404="","Cost centre has no revenue GL on the Lists sheet",IF(T404="Xero higher - check dept","Invoiced more than the department says the job is worth","")))))))))</f>
        <v/>
      </c>
      <c r="AB404" s="28">
        <f>IF(A404="","",COUNTIFS(tbl_Finance[Job Number],A404&amp;"",tbl_Finance[Ex GST],"&lt;&gt;"))</f>
        <v/>
      </c>
      <c r="AC404" s="27">
        <f>IF(A404="","",SUMIFS(tbl_Finance[Ex GST],tbl_Finance[Job Number],A404&amp;""))</f>
        <v/>
      </c>
      <c r="AD404" s="27">
        <f>IF(A404="","",SUMIFS(tbl_Finance[Ex GST],tbl_Finance[Job Number],A404&amp;"",tbl_Finance[Xero Invoice No],"&lt;&gt;"))</f>
        <v/>
      </c>
      <c r="AE404" s="27">
        <f>IF(A404="","",AC404-AD404)</f>
        <v/>
      </c>
      <c r="AF404" s="26">
        <f>IF(A404="","",IFERROR(IF(INDEX(tbl_Onsite[Qwilr Quote],IFERROR(MATCH(A404&amp;"",tbl_Onsite[Job Number],0),MATCH(IFERROR(A404+0,A404),tbl_Onsite[Job Number],0)))="","",INDEX(tbl_Onsite[Qwilr Quote],IFERROR(MATCH(A404&amp;"",tbl_Onsite[Job Number],0),MATCH(IFERROR(A404+0,A404),tbl_Onsite[Job Number],0)))),IFERROR(IF(IF(INDEX(tbl_Production[Current RMS No],IFERROR(MATCH(A404&amp;"",tbl_Production[Job Number],0),MATCH(IFERROR(A404+0,A404),tbl_Production[Job Number],0)))="",INDEX(tbl_Production[Qwilr Quote],IFERROR(MATCH(A404&amp;"",tbl_Production[Job Number],0),MATCH(IFERROR(A404+0,A404),tbl_Production[Job Number],0))),INDEX(tbl_Production[Current RMS No],IFERROR(MATCH(A404&amp;"",tbl_Production[Job Number],0),MATCH(IFERROR(A404+0,A404),tbl_Production[Job Number],0))))="","",IF(INDEX(tbl_Production[Current RMS No],IFERROR(MATCH(A404&amp;"",tbl_Production[Job Number],0),MATCH(IFERROR(A404+0,A404),tbl_Production[Job Number],0)))="",INDEX(tbl_Production[Qwilr Quote],IFERROR(MATCH(A404&amp;"",tbl_Production[Job Number],0),MATCH(IFERROR(A404+0,A404),tbl_Production[Job Number],0))),INDEX(tbl_Production[Current RMS No],IFERROR(MATCH(A404&amp;"",tbl_Production[Job Number],0),MATCH(IFERROR(A404+0,A404),tbl_Production[Job Number],0))))),IFERROR(IF(INDEX(tbl_Consulting[Qwilr Quote],IFERROR(MATCH(A404&amp;"",tbl_Consulting[Job Number],0),MATCH(IFERROR(A404+0,A404),tbl_Consulting[Job Number],0)))="","",INDEX(tbl_Consulting[Qwilr Quote],IFERROR(MATCH(A404&amp;"",tbl_Consulting[Job Number],0),MATCH(IFERROR(A404+0,A404),tbl_Consulting[Job Number],0)))),""))))</f>
        <v/>
      </c>
      <c r="AG404" s="26">
        <f>IF(AF404="","",IF(AND(LEFT(AF404,4)&lt;&gt;"http",IF(G404="Production",set_RMSBase,set_QwilrBase)=""),"",HYPERLINK(IF(LEFT(AF404,4)="http",AF404,IF(G404="Production",set_RMSBase,set_QwilrBase)&amp;AF404),"Open")))</f>
        <v/>
      </c>
      <c r="AH404" s="27">
        <f>IF(A404="","",IFERROR(INDEX(tbl_Production[Total Expense],IFERROR(MATCH(A404&amp;"",tbl_Production[Job Number],0),MATCH(IFERROR(A404+0,A404),tbl_Production[Job Number],0))),IFERROR(INDEX(tbl_Consulting[Total Expense],IFERROR(MATCH(A404&amp;"",tbl_Consulting[Job Number],0),MATCH(IFERROR(A404+0,A404),tbl_Consulting[Job Number],0))),0)))</f>
        <v/>
      </c>
      <c r="AI404" s="27">
        <f>IF(A404="","",AC404-N(AH404))</f>
        <v/>
      </c>
      <c r="AJ404" s="29">
        <f>IFERROR(AI404/AC404,"")</f>
        <v/>
      </c>
      <c r="AK404" s="26">
        <f>IF(A404="","",IFERROR(IF(INDEX(tbl_Onsite[Notes],IFERROR(MATCH(A404&amp;"",tbl_Onsite[Job Number],0),MATCH(IFERROR(A404+0,A404),tbl_Onsite[Job Number],0)))="","",INDEX(tbl_Onsite[Notes],IFERROR(MATCH(A404&amp;"",tbl_Onsite[Job Number],0),MATCH(IFERROR(A404+0,A404),tbl_Onsite[Job Number],0)))),IFERROR(IF(INDEX(tbl_Production[Notes],IFERROR(MATCH(A404&amp;"",tbl_Production[Job Number],0),MATCH(IFERROR(A404+0,A404),tbl_Production[Job Number],0)))="","",INDEX(tbl_Production[Notes],IFERROR(MATCH(A404&amp;"",tbl_Production[Job Number],0),MATCH(IFERROR(A404+0,A404),tbl_Production[Job Number],0)))),IFERROR(IF(INDEX(tbl_Consulting[Notes],IFERROR(MATCH(A404&amp;"",tbl_Consulting[Job Number],0),MATCH(IFERROR(A404+0,A404),tbl_Consulting[Job Number],0)))="","",INDEX(tbl_Consulting[Notes],IFERROR(MATCH(A404&amp;"",tbl_Consulting[Job Number],0),MATCH(IFERROR(A404+0,A404),tbl_Consulting[Job Number],0)))),""))))</f>
        <v/>
      </c>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H5:H5000">
    <cfRule type="expression" priority="1" dxfId="0" stopIfTrue="0">
      <formula>H5="CHECK"</formula>
    </cfRule>
  </conditionalFormatting>
  <conditionalFormatting sqref="U5:U5000">
    <cfRule type="expression" priority="2" dxfId="1" stopIfTrue="0">
      <formula>U5="N"</formula>
    </cfRule>
  </conditionalFormatting>
  <conditionalFormatting sqref="AA5:AA5000">
    <cfRule type="expression" priority="3" dxfId="1" stopIfTrue="0">
      <formula>AA5&lt;&gt;""</formula>
    </cfRule>
  </conditionalFormatting>
  <dataValidations count="4">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V5:V20000" showDropDown="0" showInputMessage="0" showErrorMessage="1" allowBlank="1" errorTitle="Not on the list" error="&quot;To WIP&quot; is not on the list in the Lists sheet. Add it there if it is genuinely new." type="list" errorStyle="warning">
      <formula1>lst_YN</formula1>
    </dataValidation>
    <dataValidation sqref="Y5:Y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109"/>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Invoiced more than the department says the job is worth</t>
        </is>
      </c>
      <c r="B36" s="48">
        <f>COUNTIF(tbl_Finance[Compare],"Xero higher - check dept")</f>
        <v/>
      </c>
      <c r="I36" s="47">
        <f>IF(B36=0,"Clear","REVIEW")</f>
        <v/>
      </c>
    </row>
    <row r="37">
      <c r="A37" s="41" t="inlineStr">
        <is>
          <t>Jobs where the department value and Xero do not agree</t>
        </is>
      </c>
      <c r="B37" s="48">
        <f>SUMPRODUCT(--(tbl_Finance[Job Number]&lt;&gt;""),--(tbl_Finance[Compare]&lt;&gt;"Agrees"),--(tbl_Finance[Compare]&lt;&gt;"No dept value"))</f>
        <v/>
      </c>
      <c r="I37" s="47">
        <f>IF(B37=0,"Clear","REVIEW")</f>
        <v/>
      </c>
    </row>
    <row r="38">
      <c r="A38" s="41" t="inlineStr">
        <is>
          <t>Invoice lines with an amount but no revenue GL code</t>
        </is>
      </c>
      <c r="B38" s="48">
        <f>COUNTIFS(tbl_Finance[Ex GST],"&lt;&gt;",tbl_Finance[Revenue GL],"")</f>
        <v/>
      </c>
      <c r="I38" s="47">
        <f>IF(B38=0,"Clear","REVIEW")</f>
        <v/>
      </c>
    </row>
    <row r="39">
      <c r="A39" s="41" t="inlineStr">
        <is>
          <t>Anything flagged in the Issue column</t>
        </is>
      </c>
      <c r="B39" s="48">
        <f>COUNTIF(tbl_Finance[Issue],"?*")</f>
        <v/>
      </c>
      <c r="I39" s="47">
        <f>IF(B39=0,"Clear","REVIEW")</f>
        <v/>
      </c>
    </row>
    <row r="40">
      <c r="A40" s="41" t="inlineStr">
        <is>
          <t>Flagged "To WIP = Y" but no matching WIP movement</t>
        </is>
      </c>
      <c r="B40" s="48">
        <f>SUMPRODUCT(--(tbl_Finance[To WIP]="Y"),--(tbl_Finance[Xero Invoice No]&lt;&gt;""),--(COUNTIF(tbl_WIP[Xero Invoice No],tbl_Finance[Xero Invoice No]&amp;"")=0))</f>
        <v/>
      </c>
      <c r="I40" s="47">
        <f>IF(B40=0,"Clear","REVIEW")</f>
        <v/>
      </c>
    </row>
    <row r="41">
      <c r="A41" s="41" t="inlineStr">
        <is>
          <t>WIP movements with an amount but no month or no job</t>
        </is>
      </c>
      <c r="B41" s="48">
        <f>COUNTIFS(tbl_WIP[Month],"",tbl_WIP[Amount],"&lt;&gt;")+COUNTIFS(tbl_WIP[Job Number],"",tbl_WIP[Amount],"&lt;&gt;")</f>
        <v/>
      </c>
      <c r="I41" s="47">
        <f>IF(B41=0,"Clear","REVIEW")</f>
        <v/>
      </c>
    </row>
    <row r="42">
      <c r="A42" s="41" t="inlineStr">
        <is>
          <t>WIP job numbers not found in the Xero job list</t>
        </is>
      </c>
      <c r="B42" s="48">
        <f>COUNTIF(tbl_WIP[Job in Xero?],"CHECK")</f>
        <v/>
      </c>
      <c r="I42" s="47">
        <f>IF(B42=0,"Clear","REVIEW")</f>
        <v/>
      </c>
    </row>
    <row r="43">
      <c r="A43" s="41" t="inlineStr">
        <is>
          <t>Consulting revenue split does not equal the job revenue</t>
        </is>
      </c>
      <c r="B43" s="48">
        <f>COUNTIF(tbl_Consulting[Revenue Split Check],"MISMATCH")</f>
        <v/>
      </c>
      <c r="I43" s="47">
        <f>IF(B43=0,"Clear","REVIEW")</f>
        <v/>
      </c>
    </row>
    <row r="44">
      <c r="A44" s="41" t="inlineStr">
        <is>
          <t>Invoiced jobs not set up on any department sheet</t>
        </is>
      </c>
      <c r="B44" s="48">
        <f>COUNTIF(tbl_Finance[Department],"not set up yet")</f>
        <v/>
      </c>
      <c r="I44" s="47">
        <f>IF(B44=0,"Clear","REVIEW")</f>
        <v/>
      </c>
    </row>
    <row r="45">
      <c r="A45" s="41" t="inlineStr">
        <is>
          <t>Job numbers sitting on more than one department sheet</t>
        </is>
      </c>
      <c r="B45" s="48">
        <f>SUMPRODUCT(--(tbl_Onsite[Job Number]&lt;&gt;""),--(COUNTIF(tbl_Production[Job Number],tbl_Onsite[Job Number]&amp;"")&gt;0))+SUMPRODUCT(--(tbl_Onsite[Job Number]&lt;&gt;""),--(COUNTIF(tbl_Consulting[Job Number],tbl_Onsite[Job Number]&amp;"")&gt;0))+SUMPRODUCT(--(tbl_Production[Job Number]&lt;&gt;""),--(COUNTIF(tbl_Consulting[Job Number],tbl_Production[Job Number]&amp;"")&gt;0))</f>
        <v/>
      </c>
      <c r="I45" s="47">
        <f>IF(B45=0,"Clear","REVIEW")</f>
        <v/>
      </c>
    </row>
    <row r="46">
      <c r="A46" s="41" t="inlineStr">
        <is>
          <t>Jobs on a department sheet with no invoice yet</t>
        </is>
      </c>
      <c r="B46" s="48">
        <f>COUNTIFS(tbl_Onsite[Job Number],"&lt;&gt;",tbl_Onsite[Lines on Job],0)+COUNTIFS(tbl_Production[Job Number],"&lt;&gt;",tbl_Production[Lines on Job],0)+COUNTIFS(tbl_Consulting[Job Number],"&lt;&gt;",tbl_Consulting[Lines on Job],0)</f>
        <v/>
      </c>
      <c r="I46" s="47">
        <f>IF(B46=0,"Clear","REVIEW")</f>
        <v/>
      </c>
    </row>
    <row r="47">
      <c r="A47" s="41" t="inlineStr">
        <is>
          <t>Deferred lines that also have a manual WIP journal (would double count)</t>
        </is>
      </c>
      <c r="B47" s="48">
        <f>SUMPRODUCT(--(tbl_Finance[Defer Start]&lt;&gt;""),--(tbl_Finance[Xero Invoice No]&lt;&gt;""),--(COUNTIF(tbl_WIP[Xero Invoice No],tbl_Finance[Xero Invoice No]&amp;"")&gt;0))</f>
        <v/>
      </c>
      <c r="I47" s="47">
        <f>IF(B47=0,"Clear","REVIEW")</f>
        <v/>
      </c>
    </row>
    <row r="48">
      <c r="A48" s="41" t="inlineStr">
        <is>
          <t>Deferred lines missing an end date</t>
        </is>
      </c>
      <c r="B48" s="48">
        <f>SUMPRODUCT(--(tbl_Finance[Defer Start]&lt;&gt;""),--(tbl_Finance[Defer End]=""))+SUMPRODUCT(--(tbl_WIP[Defer Start]&lt;&gt;""),--(tbl_WIP[Defer End]=""))</f>
        <v/>
      </c>
      <c r="I48" s="47">
        <f>IF(B48=0,"Clear","REVIEW")</f>
        <v/>
      </c>
    </row>
    <row r="49">
      <c r="A49" s="41" t="inlineStr">
        <is>
          <t>WIP rows with an amount but Revenue or Cost not set</t>
        </is>
      </c>
      <c r="B49" s="48">
        <f>SUMPRODUCT(--(tbl_WIP[Amount]&lt;&gt;""),--(tbl_WIP[Revenue or Cost]=""))</f>
        <v/>
      </c>
      <c r="I49" s="47">
        <f>IF(B49=0,"Clear","REVIEW")</f>
        <v/>
      </c>
    </row>
    <row r="50">
      <c r="A50" s="41" t="inlineStr">
        <is>
          <t>Deferred cost rows with no P&amp;L Account to credit</t>
        </is>
      </c>
      <c r="B50" s="48">
        <f>COUNTIFS(tbl_WIP[Revenue or Cost],"Cost",tbl_WIP[P&amp;L Account],"",tbl_WIP[Amount],"&lt;&gt;")</f>
        <v/>
      </c>
      <c r="I50" s="47">
        <f>IF(B50=0,"Clear","REVIEW")</f>
        <v/>
      </c>
    </row>
    <row r="51">
      <c r="A51" s="41" t="inlineStr">
        <is>
          <t>Still sitting at "To Invoice" for the selected month</t>
        </is>
      </c>
      <c r="B51" s="48">
        <f>COUNTIFS(tbl_Finance[Month],$C$4,tbl_Finance[Status],"To Invoice")</f>
        <v/>
      </c>
      <c r="I51" s="47">
        <f>IF(B51=0,"Clear","REVIEW")</f>
        <v/>
      </c>
    </row>
    <row r="52">
      <c r="A52" s="41" t="inlineStr">
        <is>
          <t>Revenue dated this month with no invoice number - it is in the forecast</t>
        </is>
      </c>
      <c r="B52" s="48">
        <f>COUNTIFS(tbl_Finance[Month],$C$4,tbl_Finance[Xero Invoice No],"",tbl_Finance[Ex GST],"&lt;&gt;")</f>
        <v/>
      </c>
      <c r="I52" s="47">
        <f>IF(B52=0,"Clear","REVIEW")</f>
        <v/>
      </c>
    </row>
    <row r="53">
      <c r="A53" s="45" t="inlineStr">
        <is>
          <t>Value of invoice lines with no date (excluded from every month)</t>
        </is>
      </c>
      <c r="B53" s="49">
        <f>SUMPRODUCT(--(tbl_Finance[Date]=""),IFERROR(tbl_Finance[Ex GST]*1,0))</f>
        <v/>
      </c>
      <c r="I53" s="47">
        <f>IF(ROUND(B53,2)=0,"Clear","REVIEW")</f>
        <v/>
      </c>
    </row>
    <row r="55" ht="20" customHeight="1">
      <c r="A55" s="3" t="inlineStr">
        <is>
          <t>4.  WIP JOURNAL FOR THE MONTH  -  post this one journal in Xero</t>
        </is>
      </c>
    </row>
    <row r="56" ht="30" customHeight="1">
      <c r="A56" s="33" t="inlineStr">
        <is>
          <t>Account</t>
        </is>
      </c>
      <c r="B56" s="33" t="inlineStr">
        <is>
          <t>Cost Centre</t>
        </is>
      </c>
      <c r="C56" s="33" t="inlineStr">
        <is>
          <t>Debit</t>
        </is>
      </c>
      <c r="D56" s="33" t="inlineStr">
        <is>
          <t>Credit</t>
        </is>
      </c>
    </row>
    <row r="57">
      <c r="A57" s="50">
        <f>set_WIPAsset</f>
        <v/>
      </c>
      <c r="B57" s="50">
        <f>"(no tracking)"</f>
        <v/>
      </c>
      <c r="C57"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7"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8">
      <c r="A58" s="50">
        <f>set_WIPIncome</f>
        <v/>
      </c>
      <c r="B58" s="50">
        <f>$A$8</f>
        <v/>
      </c>
      <c r="C58" s="43">
        <f>IF(ROUND($E$8,2)&lt;0,-$E$8,"")</f>
        <v/>
      </c>
      <c r="D58" s="43">
        <f>IF(ROUND($E$8,2)&gt;0,$E$8,"")</f>
        <v/>
      </c>
    </row>
    <row r="59">
      <c r="A59" s="50">
        <f>set_WIPIncome</f>
        <v/>
      </c>
      <c r="B59" s="50">
        <f>$A$9</f>
        <v/>
      </c>
      <c r="C59" s="43">
        <f>IF(ROUND($E$9,2)&lt;0,-$E$9,"")</f>
        <v/>
      </c>
      <c r="D59" s="43">
        <f>IF(ROUND($E$9,2)&gt;0,$E$9,"")</f>
        <v/>
      </c>
    </row>
    <row r="60">
      <c r="A60" s="50">
        <f>set_WIPIncome</f>
        <v/>
      </c>
      <c r="B60" s="50">
        <f>$A$10</f>
        <v/>
      </c>
      <c r="C60" s="43">
        <f>IF(ROUND($E$10,2)&lt;0,-$E$10,"")</f>
        <v/>
      </c>
      <c r="D60" s="43">
        <f>IF(ROUND($E$10,2)&gt;0,$E$10,"")</f>
        <v/>
      </c>
    </row>
    <row r="61">
      <c r="A61" s="50">
        <f>set_WIPIncome</f>
        <v/>
      </c>
      <c r="B61" s="50">
        <f>$A$11</f>
        <v/>
      </c>
      <c r="C61" s="43">
        <f>IF(ROUND($E$11,2)&lt;0,-$E$11,"")</f>
        <v/>
      </c>
      <c r="D61" s="43">
        <f>IF(ROUND($E$11,2)&gt;0,$E$11,"")</f>
        <v/>
      </c>
    </row>
    <row r="62">
      <c r="A62" s="50">
        <f>set_WIPIncome</f>
        <v/>
      </c>
      <c r="B62" s="50">
        <f>$A$12</f>
        <v/>
      </c>
      <c r="C62" s="43">
        <f>IF(ROUND($E$12,2)&lt;0,-$E$12,"")</f>
        <v/>
      </c>
      <c r="D62" s="43">
        <f>IF(ROUND($E$12,2)&gt;0,$E$12,"")</f>
        <v/>
      </c>
    </row>
    <row r="63">
      <c r="A63" s="50">
        <f>set_WIPIncome</f>
        <v/>
      </c>
      <c r="B63" s="50">
        <f>$A$13</f>
        <v/>
      </c>
      <c r="C63" s="43">
        <f>IF(ROUND($E$13,2)&lt;0,-$E$13,"")</f>
        <v/>
      </c>
      <c r="D63" s="43">
        <f>IF(ROUND($E$13,2)&gt;0,$E$13,"")</f>
        <v/>
      </c>
    </row>
    <row r="64">
      <c r="A64" s="50">
        <f>set_WIPIncome</f>
        <v/>
      </c>
      <c r="B64" s="50">
        <f>"(cost centre not set - fix it)"</f>
        <v/>
      </c>
      <c r="C64"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64"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5">
      <c r="A65" s="51" t="inlineStr">
        <is>
          <t>TOTAL</t>
        </is>
      </c>
      <c r="B65" s="51" t="n"/>
      <c r="C65" s="42">
        <f>SUM(C57:C64)</f>
        <v/>
      </c>
      <c r="D65" s="42">
        <f>SUM(D57:D64)</f>
        <v/>
      </c>
      <c r="E65" s="45">
        <f>IF(ROUND($C$65,2)=ROUND($D$65,2),"Balanced","CHECK - does not balance")</f>
        <v/>
      </c>
    </row>
    <row r="66">
      <c r="A66" s="32" t="inlineStr">
        <is>
          <t>Narration to use</t>
        </is>
      </c>
      <c r="C66" s="50">
        <f>"WIP movement "&amp;TEXT($C$4,"mmmm yyyy")</f>
        <v/>
      </c>
      <c r="D66" s="52" t="n"/>
    </row>
    <row r="67">
      <c r="A67" s="32" t="inlineStr">
        <is>
          <t>Made up of - manual revenue rows on WIP Movements</t>
        </is>
      </c>
      <c r="C67" s="43">
        <f>SUMIFS(tbl_WIP[Amount],tbl_WIP[Month],$C$4,tbl_WIP[Defer Start],"",tbl_WIP[Revenue or Cost],"&lt;&gt;Cost")</f>
        <v/>
      </c>
    </row>
    <row r="68">
      <c r="A68" s="32" t="inlineStr">
        <is>
          <t>Made up of - revenue that spreads (Deferred Revenue sheet)</t>
        </is>
      </c>
      <c r="C68" s="43">
        <f>SUMIFS('Deferred Revenue'!$Q$6:$Q$607,'Deferred Revenue'!$T$6:$T$607,"&lt;&gt;Cost")</f>
        <v/>
      </c>
    </row>
    <row r="69">
      <c r="A69" s="32" t="inlineStr">
        <is>
          <t>Total revenue movement  -  section 2, revenue column</t>
        </is>
      </c>
      <c r="C69" s="42">
        <f>(SUMIFS(tbl_WIP[Amount],tbl_WIP[Month],$C$4,tbl_WIP[Defer Start],"",tbl_WIP[Revenue or Cost],"&lt;&gt;Cost")+SUMIFS('Deferred Revenue'!$Q$6:$Q$607,'Deferred Revenue'!$T$6:$T$607,"&lt;&gt;Cost"))</f>
        <v/>
      </c>
    </row>
    <row r="70">
      <c r="A70" s="32" t="inlineStr">
        <is>
          <t>Deferred / accrued cost movement  -  post these line by line</t>
        </is>
      </c>
      <c r="C70" s="42">
        <f>(SUMIFS(tbl_WIP[Amount],tbl_WIP[Month],$C$4,tbl_WIP[Defer Start],"",tbl_WIP[Revenue or Cost],"Cost")+SUMIFS('Deferred Revenue'!$Q$6:$Q$607,'Deferred Revenue'!$T$6:$T$607,"Cost"))</f>
        <v/>
      </c>
    </row>
    <row r="71">
      <c r="A71"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73" ht="20" customHeight="1">
      <c r="A73" s="3" t="inlineStr">
        <is>
          <t>5.  WORK WON  -  ZOHO / Current RMS / Qwilr vs what was invoiced</t>
        </is>
      </c>
    </row>
    <row r="74" ht="30" customHeight="1">
      <c r="A74" s="33" t="inlineStr">
        <is>
          <t>Source</t>
        </is>
      </c>
      <c r="B74" s="33" t="inlineStr">
        <is>
          <t>Opportunities</t>
        </is>
      </c>
      <c r="C74" s="33" t="inlineStr">
        <is>
          <t>Value Ex GST</t>
        </is>
      </c>
      <c r="D74" s="33" t="inlineStr"/>
      <c r="E74" s="33" t="inlineStr"/>
      <c r="F74" s="33" t="inlineStr"/>
      <c r="G74" s="33" t="inlineStr"/>
      <c r="H74" s="33" t="inlineStr"/>
      <c r="I74" s="33" t="inlineStr">
        <is>
          <t>Check</t>
        </is>
      </c>
    </row>
    <row r="75">
      <c r="A75" s="34" t="inlineStr">
        <is>
          <t>ZOHO</t>
        </is>
      </c>
      <c r="B75" s="53">
        <f>COUNTIFS(tbl_Won[Month],$C$4,tbl_Won[Source],$A75,tbl_Won[Status],"Won")</f>
        <v/>
      </c>
      <c r="C75" s="36">
        <f>SUMIFS(tbl_Won[Value Ex GST],tbl_Won[Month],$C$4,tbl_Won[Source],$A75,tbl_Won[Status],"Won")</f>
        <v/>
      </c>
    </row>
    <row r="76">
      <c r="A76" s="34" t="inlineStr">
        <is>
          <t>Current RMS</t>
        </is>
      </c>
      <c r="B76" s="53">
        <f>COUNTIFS(tbl_Won[Month],$C$4,tbl_Won[Source],$A76,tbl_Won[Status],"Won")</f>
        <v/>
      </c>
      <c r="C76" s="36">
        <f>SUMIFS(tbl_Won[Value Ex GST],tbl_Won[Month],$C$4,tbl_Won[Source],$A76,tbl_Won[Status],"Won")</f>
        <v/>
      </c>
    </row>
    <row r="77">
      <c r="A77" s="34" t="inlineStr">
        <is>
          <t>Qwilr</t>
        </is>
      </c>
      <c r="B77" s="53">
        <f>COUNTIFS(tbl_Won[Month],$C$4,tbl_Won[Source],$A77,tbl_Won[Status],"Won")</f>
        <v/>
      </c>
      <c r="C77" s="36">
        <f>SUMIFS(tbl_Won[Value Ex GST],tbl_Won[Month],$C$4,tbl_Won[Source],$A77,tbl_Won[Status],"Won")</f>
        <v/>
      </c>
    </row>
    <row r="78">
      <c r="A78" s="34" t="inlineStr">
        <is>
          <t>Other</t>
        </is>
      </c>
      <c r="B78" s="53">
        <f>COUNTIFS(tbl_Won[Month],$C$4,tbl_Won[Source],$A78,tbl_Won[Status],"Won")</f>
        <v/>
      </c>
      <c r="C78" s="36">
        <f>SUMIFS(tbl_Won[Value Ex GST],tbl_Won[Month],$C$4,tbl_Won[Source],$A78,tbl_Won[Status],"Won")</f>
        <v/>
      </c>
    </row>
    <row r="79">
      <c r="A79" s="34" t="inlineStr">
        <is>
          <t>TOTAL WON THIS MONTH</t>
        </is>
      </c>
      <c r="B79" s="53">
        <f>SUM(B75:B78)</f>
        <v/>
      </c>
      <c r="C79" s="36">
        <f>SUM(C75:C78)</f>
        <v/>
      </c>
    </row>
    <row r="80">
      <c r="A80" s="54" t="inlineStr">
        <is>
          <t>Invoiced this month (Finance, Ex GST)</t>
        </is>
      </c>
      <c r="B80" s="53" t="n"/>
      <c r="C80" s="36">
        <f>$B$14</f>
        <v/>
      </c>
    </row>
    <row r="81">
      <c r="A81" s="34" t="inlineStr">
        <is>
          <t>Won less invoiced</t>
        </is>
      </c>
      <c r="B81" s="53" t="n"/>
      <c r="C81" s="36">
        <f>$C$79-$C$80</f>
        <v/>
      </c>
    </row>
    <row r="82">
      <c r="A82" s="54" t="inlineStr">
        <is>
          <t>Won this month, still not invoiced against the job</t>
        </is>
      </c>
      <c r="B82" s="53" t="n"/>
      <c r="C82" s="36">
        <f>SUMIFS(tbl_Won[Still to Invoice],tbl_Won[Month],$C$4,tbl_Won[Status],"Won")</f>
        <v/>
      </c>
    </row>
    <row r="83">
      <c r="A83" s="54" t="inlineStr">
        <is>
          <t>Won with a job number Xero does not have</t>
        </is>
      </c>
      <c r="B83" s="53" t="n"/>
      <c r="C83" s="36">
        <f>COUNTIFS(tbl_Won[Month],$C$4,tbl_Won[Status],"Won",tbl_Won[Job in Xero?],"CHECK")</f>
        <v/>
      </c>
    </row>
    <row r="84">
      <c r="A84" s="32" t="inlineStr">
        <is>
          <t>A sense check, not a source. Revenue only ever comes off the Finance sheet. A big gap either way is worth a look: work won and never invoiced, or invoiced with no opportunity behind it.</t>
        </is>
      </c>
    </row>
    <row r="86" ht="20" customHeight="1">
      <c r="A86" s="3" t="inlineStr">
        <is>
          <t>6.  FORECAST  -  work with no invoice against it</t>
        </is>
      </c>
    </row>
    <row r="87" ht="30" customHeight="1">
      <c r="A87" s="33" t="inlineStr">
        <is>
          <t>Cost Centre</t>
        </is>
      </c>
      <c r="B87" s="33" t="inlineStr">
        <is>
          <t>Finance: to invoice</t>
        </is>
      </c>
      <c r="C87" s="33" t="inlineStr">
        <is>
          <t>Won, not invoiced</t>
        </is>
      </c>
      <c r="D87" s="33" t="inlineStr">
        <is>
          <t>Total forecast</t>
        </is>
      </c>
      <c r="E87" s="33" t="inlineStr"/>
      <c r="F87" s="33" t="inlineStr"/>
      <c r="G87" s="33" t="inlineStr"/>
      <c r="H87" s="33" t="inlineStr"/>
      <c r="I87" s="33" t="inlineStr"/>
    </row>
    <row r="88">
      <c r="A88" s="50" t="inlineStr">
        <is>
          <t>ONSITE</t>
        </is>
      </c>
      <c r="B88" s="43">
        <f>SUMIFS(tbl_Finance[Ex GST],tbl_Finance[Cost Centre],$A88,tbl_Finance[Xero Invoice No],"")</f>
        <v/>
      </c>
      <c r="C88" s="43">
        <f>SUMIFS(tbl_Won[Still to Invoice],tbl_Won[Cost Centre],$A88,tbl_Won[Status],"Won")</f>
        <v/>
      </c>
      <c r="D88" s="43">
        <f>B88+C88</f>
        <v/>
      </c>
    </row>
    <row r="89">
      <c r="A89" s="50" t="inlineStr">
        <is>
          <t>PRODUCTION</t>
        </is>
      </c>
      <c r="B89" s="43">
        <f>SUMIFS(tbl_Finance[Ex GST],tbl_Finance[Cost Centre],$A89,tbl_Finance[Xero Invoice No],"")</f>
        <v/>
      </c>
      <c r="C89" s="43">
        <f>SUMIFS(tbl_Won[Still to Invoice],tbl_Won[Cost Centre],$A89,tbl_Won[Status],"Won")</f>
        <v/>
      </c>
      <c r="D89" s="43">
        <f>B89+C89</f>
        <v/>
      </c>
    </row>
    <row r="90">
      <c r="A90" s="50" t="inlineStr">
        <is>
          <t>VIDEO</t>
        </is>
      </c>
      <c r="B90" s="43">
        <f>SUMIFS(tbl_Finance[Ex GST],tbl_Finance[Cost Centre],$A90,tbl_Finance[Xero Invoice No],"")</f>
        <v/>
      </c>
      <c r="C90" s="43">
        <f>SUMIFS(tbl_Won[Still to Invoice],tbl_Won[Cost Centre],$A90,tbl_Won[Status],"Won")</f>
        <v/>
      </c>
      <c r="D90" s="43">
        <f>B90+C90</f>
        <v/>
      </c>
    </row>
    <row r="91">
      <c r="A91" s="50" t="inlineStr">
        <is>
          <t>INTEGRATION</t>
        </is>
      </c>
      <c r="B91" s="43">
        <f>SUMIFS(tbl_Finance[Ex GST],tbl_Finance[Cost Centre],$A91,tbl_Finance[Xero Invoice No],"")</f>
        <v/>
      </c>
      <c r="C91" s="43">
        <f>SUMIFS(tbl_Won[Still to Invoice],tbl_Won[Cost Centre],$A91,tbl_Won[Status],"Won")</f>
        <v/>
      </c>
      <c r="D91" s="43">
        <f>B91+C91</f>
        <v/>
      </c>
    </row>
    <row r="92">
      <c r="A92" s="50" t="inlineStr">
        <is>
          <t>CONSULTING</t>
        </is>
      </c>
      <c r="B92" s="43">
        <f>SUMIFS(tbl_Finance[Ex GST],tbl_Finance[Cost Centre],$A92,tbl_Finance[Xero Invoice No],"")</f>
        <v/>
      </c>
      <c r="C92" s="43">
        <f>SUMIFS(tbl_Won[Still to Invoice],tbl_Won[Cost Centre],$A92,tbl_Won[Status],"Won")</f>
        <v/>
      </c>
      <c r="D92" s="43">
        <f>B92+C92</f>
        <v/>
      </c>
    </row>
    <row r="93">
      <c r="A93" s="50" t="inlineStr">
        <is>
          <t>CTS</t>
        </is>
      </c>
      <c r="B93" s="43">
        <f>SUMIFS(tbl_Finance[Ex GST],tbl_Finance[Cost Centre],$A93,tbl_Finance[Xero Invoice No],"")</f>
        <v/>
      </c>
      <c r="C93" s="43">
        <f>SUMIFS(tbl_Won[Still to Invoice],tbl_Won[Cost Centre],$A93,tbl_Won[Status],"Won")</f>
        <v/>
      </c>
      <c r="D93" s="43">
        <f>B93+C93</f>
        <v/>
      </c>
    </row>
    <row r="94">
      <c r="A94" s="51" t="inlineStr">
        <is>
          <t>TOTAL FORECAST</t>
        </is>
      </c>
      <c r="B94" s="42">
        <f>SUM(B88:B93)</f>
        <v/>
      </c>
      <c r="C94" s="42">
        <f>SUM(C88:C93)</f>
        <v/>
      </c>
      <c r="D94" s="42">
        <f>SUM(D88:D93)</f>
        <v/>
      </c>
    </row>
    <row r="95">
      <c r="A95" s="55" t="inlineStr">
        <is>
          <t>Department sheets  -  expected revenue not yet on Finance</t>
        </is>
      </c>
    </row>
    <row r="96">
      <c r="A96" s="41" t="inlineStr">
        <is>
          <t xml:space="preserve">   Onsite</t>
        </is>
      </c>
      <c r="D96" s="36">
        <f>SUM(tbl_Onsite[Not Yet on Finance])</f>
        <v/>
      </c>
    </row>
    <row r="97">
      <c r="A97" s="41" t="inlineStr">
        <is>
          <t xml:space="preserve">   Production</t>
        </is>
      </c>
      <c r="D97" s="36">
        <f>SUM(tbl_Production[Not Yet on Finance])</f>
        <v/>
      </c>
    </row>
    <row r="98">
      <c r="A98" s="41" t="inlineStr">
        <is>
          <t xml:space="preserve">   Consulting</t>
        </is>
      </c>
      <c r="D98" s="36">
        <f>SUM(tbl_Consulting[Not Yet on Finance])</f>
        <v/>
      </c>
    </row>
    <row r="99">
      <c r="A99" s="56" t="inlineStr">
        <is>
          <t>TOTAL FORECAST  -  everything with no invoice against it</t>
        </is>
      </c>
      <c r="D99" s="57">
        <f>$D$94+SUM($D$96:$D$98)</f>
        <v/>
      </c>
    </row>
    <row r="100">
      <c r="A100" s="41" t="inlineStr">
        <is>
          <t>Not in the forecast above  -  open opportunities, not yet won</t>
        </is>
      </c>
      <c r="D100" s="36">
        <f>SUMIFS(tbl_Won[Value Ex GST],tbl_Won[Status],"Open")</f>
        <v/>
      </c>
    </row>
    <row r="101">
      <c r="A101" s="41" t="inlineStr">
        <is>
          <t>Not in the forecast above  -  deferred revenue still to release (already invoiced)</t>
        </is>
      </c>
      <c r="D101" s="36">
        <f>-SUMIFS('Deferred Revenue'!$R$6:$R$607,'Deferred Revenue'!$T$6:$T$607,"&lt;&gt;Cost")</f>
        <v/>
      </c>
    </row>
    <row r="102">
      <c r="A102" s="41" t="inlineStr">
        <is>
          <t>Jobs on a department sheet with no invoice line at all (count)</t>
        </is>
      </c>
      <c r="D102" s="53">
        <f>COUNTIFS(tbl_Onsite[Job Number],"&lt;&gt;",tbl_Onsite[Lines on Job],0)+COUNTIFS(tbl_Production[Job Number],"&lt;&gt;",tbl_Production[Lines on Job],0)+COUNTIFS(tbl_Consulting[Job Number],"&lt;&gt;",tbl_Consulting[Lines on Job],0)</f>
        <v/>
      </c>
    </row>
    <row r="103">
      <c r="A103" s="32" t="inlineStr">
        <is>
          <t>Nothing here is revenue yet. Finance: to invoice is a line already on the Finance sheet with no invoice number on it. Won, not invoiced is the value won less everything Finance already holds against that job, so the two columns add up without counting the same work twice. The department lines are Expected Revenue Ex GST less whatever Finance already holds for that job, which is where a job still sitting in WIP shows up.</t>
        </is>
      </c>
    </row>
    <row r="105" ht="20" customHeight="1">
      <c r="A105" s="3" t="inlineStr">
        <is>
          <t>7.  SIGN-OFF</t>
        </is>
      </c>
    </row>
    <row r="106">
      <c r="A106" s="45" t="inlineStr">
        <is>
          <t>Prepared by</t>
        </is>
      </c>
      <c r="B106" s="58" t="n"/>
      <c r="C106" s="59" t="n"/>
      <c r="D106" s="52" t="n"/>
      <c r="E106" s="32" t="inlineStr">
        <is>
          <t>Accounts Assistant</t>
        </is>
      </c>
    </row>
    <row r="107">
      <c r="A107" s="45" t="inlineStr">
        <is>
          <t>Reviewed by</t>
        </is>
      </c>
      <c r="B107" s="58" t="n"/>
      <c r="C107" s="59" t="n"/>
      <c r="D107" s="52" t="n"/>
      <c r="E107" s="32" t="inlineStr">
        <is>
          <t>Finance Operations Manager</t>
        </is>
      </c>
    </row>
    <row r="108">
      <c r="A108" s="45" t="inlineStr">
        <is>
          <t>Date closed</t>
        </is>
      </c>
      <c r="B108" s="58" t="n"/>
      <c r="C108" s="59" t="n"/>
      <c r="D108" s="52" t="n"/>
    </row>
    <row r="109">
      <c r="A109" s="45" t="inlineStr">
        <is>
          <t>Notes / carried forward items</t>
        </is>
      </c>
      <c r="B109" s="58" t="n"/>
      <c r="C109" s="59" t="n"/>
      <c r="D109" s="52" t="n"/>
    </row>
  </sheetData>
  <mergeCells count="12">
    <mergeCell ref="A73:I73"/>
    <mergeCell ref="B108:D108"/>
    <mergeCell ref="A28:I28"/>
    <mergeCell ref="B107:D107"/>
    <mergeCell ref="A17:I17"/>
    <mergeCell ref="C66:D66"/>
    <mergeCell ref="A6:I6"/>
    <mergeCell ref="A105:I105"/>
    <mergeCell ref="A55:I55"/>
    <mergeCell ref="B106:D106"/>
    <mergeCell ref="B109:D109"/>
    <mergeCell ref="A86:I86"/>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53">
    <cfRule type="expression" priority="5" dxfId="1">
      <formula>I30="REVIEW"</formula>
    </cfRule>
    <cfRule type="expression" priority="6" dxfId="2">
      <formula>I30="Clear"</formula>
    </cfRule>
  </conditionalFormatting>
  <conditionalFormatting sqref="B30:B52">
    <cfRule type="cellIs" priority="7" operator="greaterThan" dxfId="0">
      <formula>0</formula>
    </cfRule>
  </conditionalFormatting>
  <conditionalFormatting sqref="E65">
    <cfRule type="expression" priority="8" dxfId="1">
      <formula>LEFT($E$65,5)="CHECK"</formula>
    </cfRule>
  </conditionalFormatting>
  <conditionalFormatting sqref="A64:D64">
    <cfRule type="expression" priority="9" dxfId="1">
      <formula>ROUND(N($C$64)+N($D$64),2)&lt;&gt;0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60">
        <f>'Month-End'!C4</f>
        <v/>
      </c>
      <c r="D4" s="32" t="inlineStr">
        <is>
          <t>&lt;- set this on the Month-End sheet</t>
        </is>
      </c>
    </row>
    <row r="6">
      <c r="A6" s="45" t="inlineStr">
        <is>
          <t>Opening total</t>
        </is>
      </c>
      <c r="B6" s="61">
        <f>SUMIFS(tbl_WIP[Amount],tbl_WIP[Month],"&lt;&gt;",tbl_WIP[Month],"&lt;"&amp;$C$4,tbl_WIP[Defer Start],"")+SUM('Deferred Revenue'!$P$6:$P$607)</f>
        <v/>
      </c>
    </row>
    <row r="7">
      <c r="A7" s="45" t="inlineStr">
        <is>
          <t>Movement this month</t>
        </is>
      </c>
      <c r="B7" s="61">
        <f>SUMIFS(tbl_WIP[Amount],tbl_WIP[Month],$C$4,tbl_WIP[Defer Start],"")+SUM('Deferred Revenue'!$Q$6:$Q$607)</f>
        <v/>
      </c>
    </row>
    <row r="8">
      <c r="A8" s="45" t="inlineStr">
        <is>
          <t>Closing total</t>
        </is>
      </c>
      <c r="B8" s="46">
        <f>B6+B7</f>
        <v/>
      </c>
    </row>
    <row r="9">
      <c r="A9" s="45" t="inlineStr">
        <is>
          <t>Of which is on a job Xero does not have - fix these</t>
        </is>
      </c>
      <c r="B9" s="61">
        <f>SUMIFS(tbl_WIP[Amount],tbl_WIP[Job in Xero?],"CHECK",tbl_WIP[Month],"&lt;="&amp;$C$4,tbl_WIP[Defer Start],"")</f>
        <v/>
      </c>
    </row>
    <row r="10">
      <c r="A10" s="45" t="inlineStr">
        <is>
          <t>Closing listed below, job by job</t>
        </is>
      </c>
      <c r="B10" s="46">
        <f>B8-B9</f>
        <v/>
      </c>
      <c r="D10" s="55">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2" t="inlineStr">
        <is>
          <t>1144</t>
        </is>
      </c>
      <c r="B12" s="62"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3" t="n"/>
      <c r="H12" s="43">
        <f>IF($G12="","",$E12-$G12)</f>
        <v/>
      </c>
    </row>
    <row r="13">
      <c r="A13" s="62" t="inlineStr">
        <is>
          <t>1350</t>
        </is>
      </c>
      <c r="B13" s="62"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3" t="n"/>
      <c r="H13" s="43">
        <f>IF($G13="","",$E13-$G13)</f>
        <v/>
      </c>
    </row>
    <row r="14">
      <c r="A14" s="62" t="inlineStr">
        <is>
          <t>1400</t>
        </is>
      </c>
      <c r="B14" s="62"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3" t="n"/>
      <c r="H14" s="43">
        <f>IF($G14="","",$E14-$G14)</f>
        <v/>
      </c>
    </row>
    <row r="15">
      <c r="A15" s="62" t="inlineStr">
        <is>
          <t>1401</t>
        </is>
      </c>
      <c r="B15" s="62"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3" t="n"/>
      <c r="H15" s="43">
        <f>IF($G15="","",$E15-$G15)</f>
        <v/>
      </c>
    </row>
    <row r="16">
      <c r="A16" s="62" t="inlineStr">
        <is>
          <t>1530</t>
        </is>
      </c>
      <c r="B16" s="62"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3" t="n"/>
      <c r="H16" s="43">
        <f>IF($G16="","",$E16-$G16)</f>
        <v/>
      </c>
    </row>
    <row r="17">
      <c r="A17" s="62" t="inlineStr">
        <is>
          <t>1668</t>
        </is>
      </c>
      <c r="B17" s="62"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3" t="n"/>
      <c r="H17" s="43">
        <f>IF($G17="","",$E17-$G17)</f>
        <v/>
      </c>
    </row>
    <row r="18">
      <c r="A18" s="62" t="inlineStr">
        <is>
          <t>1750</t>
        </is>
      </c>
      <c r="B18" s="62"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3" t="n"/>
      <c r="H18" s="43">
        <f>IF($G18="","",$E18-$G18)</f>
        <v/>
      </c>
    </row>
    <row r="19">
      <c r="A19" s="62" t="inlineStr">
        <is>
          <t>1755</t>
        </is>
      </c>
      <c r="B19" s="62"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3" t="n"/>
      <c r="H19" s="43">
        <f>IF($G19="","",$E19-$G19)</f>
        <v/>
      </c>
    </row>
    <row r="20">
      <c r="A20" s="62" t="inlineStr">
        <is>
          <t>1771</t>
        </is>
      </c>
      <c r="B20" s="62"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3" t="n"/>
      <c r="H20" s="43">
        <f>IF($G20="","",$E20-$G20)</f>
        <v/>
      </c>
    </row>
    <row r="21">
      <c r="A21" s="62" t="inlineStr">
        <is>
          <t>1862</t>
        </is>
      </c>
      <c r="B21" s="62"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3" t="n"/>
      <c r="H21" s="43">
        <f>IF($G21="","",$E21-$G21)</f>
        <v/>
      </c>
    </row>
    <row r="22">
      <c r="A22" s="62" t="inlineStr">
        <is>
          <t>20250731</t>
        </is>
      </c>
      <c r="B22" s="62"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3" t="n"/>
      <c r="H22" s="43">
        <f>IF($G22="","",$E22-$G22)</f>
        <v/>
      </c>
    </row>
    <row r="23">
      <c r="A23" s="62" t="inlineStr">
        <is>
          <t>2026021101</t>
        </is>
      </c>
      <c r="B23" s="62"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3" t="n"/>
      <c r="H23" s="43">
        <f>IF($G23="","",$E23-$G23)</f>
        <v/>
      </c>
    </row>
    <row r="24">
      <c r="A24" s="62" t="inlineStr">
        <is>
          <t>20260801</t>
        </is>
      </c>
      <c r="B24" s="62"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3" t="n"/>
      <c r="H24" s="43">
        <f>IF($G24="","",$E24-$G24)</f>
        <v/>
      </c>
    </row>
    <row r="25">
      <c r="A25" s="62" t="inlineStr">
        <is>
          <t>2192</t>
        </is>
      </c>
      <c r="B25" s="62"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3" t="n"/>
      <c r="H25" s="43">
        <f>IF($G25="","",$E25-$G25)</f>
        <v/>
      </c>
    </row>
    <row r="26">
      <c r="A26" s="62" t="inlineStr">
        <is>
          <t>2347</t>
        </is>
      </c>
      <c r="B26" s="62"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3" t="n"/>
      <c r="H26" s="43">
        <f>IF($G26="","",$E26-$G26)</f>
        <v/>
      </c>
    </row>
    <row r="27">
      <c r="A27" s="62" t="inlineStr">
        <is>
          <t>2392</t>
        </is>
      </c>
      <c r="B27" s="62"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3" t="n"/>
      <c r="H27" s="43">
        <f>IF($G27="","",$E27-$G27)</f>
        <v/>
      </c>
    </row>
    <row r="28">
      <c r="A28" s="62" t="inlineStr">
        <is>
          <t>2402</t>
        </is>
      </c>
      <c r="B28" s="62"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3" t="n"/>
      <c r="H28" s="43">
        <f>IF($G28="","",$E28-$G28)</f>
        <v/>
      </c>
    </row>
    <row r="29">
      <c r="A29" s="62" t="inlineStr">
        <is>
          <t>2407312</t>
        </is>
      </c>
      <c r="B29" s="62"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3" t="n"/>
      <c r="H29" s="43">
        <f>IF($G29="","",$E29-$G29)</f>
        <v/>
      </c>
    </row>
    <row r="30">
      <c r="A30" s="62" t="inlineStr">
        <is>
          <t>24102501</t>
        </is>
      </c>
      <c r="B30" s="62"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3" t="n"/>
      <c r="H30" s="43">
        <f>IF($G30="","",$E30-$G30)</f>
        <v/>
      </c>
    </row>
    <row r="31">
      <c r="A31" s="62" t="inlineStr">
        <is>
          <t>24121001</t>
        </is>
      </c>
      <c r="B31" s="62"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3" t="n"/>
      <c r="H31" s="43">
        <f>IF($G31="","",$E31-$G31)</f>
        <v/>
      </c>
    </row>
    <row r="32">
      <c r="A32" s="62" t="inlineStr">
        <is>
          <t>2479</t>
        </is>
      </c>
      <c r="B32" s="62"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3" t="n"/>
      <c r="H32" s="43">
        <f>IF($G32="","",$E32-$G32)</f>
        <v/>
      </c>
    </row>
    <row r="33">
      <c r="A33" s="62" t="inlineStr">
        <is>
          <t>2480</t>
        </is>
      </c>
      <c r="B33" s="62"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3" t="n"/>
      <c r="H33" s="43">
        <f>IF($G33="","",$E33-$G33)</f>
        <v/>
      </c>
    </row>
    <row r="34">
      <c r="A34" s="62" t="inlineStr">
        <is>
          <t>2481</t>
        </is>
      </c>
      <c r="B34" s="62"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3" t="n"/>
      <c r="H34" s="43">
        <f>IF($G34="","",$E34-$G34)</f>
        <v/>
      </c>
    </row>
    <row r="35">
      <c r="A35" s="62" t="inlineStr">
        <is>
          <t>2482</t>
        </is>
      </c>
      <c r="B35" s="62"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3" t="n"/>
      <c r="H35" s="43">
        <f>IF($G35="","",$E35-$G35)</f>
        <v/>
      </c>
    </row>
    <row r="36">
      <c r="A36" s="62" t="inlineStr">
        <is>
          <t>2488</t>
        </is>
      </c>
      <c r="B36" s="62"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3" t="n"/>
      <c r="H36" s="43">
        <f>IF($G36="","",$E36-$G36)</f>
        <v/>
      </c>
    </row>
    <row r="37">
      <c r="A37" s="62" t="inlineStr">
        <is>
          <t>25011601</t>
        </is>
      </c>
      <c r="B37" s="62"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3" t="n"/>
      <c r="H37" s="43">
        <f>IF($G37="","",$E37-$G37)</f>
        <v/>
      </c>
    </row>
    <row r="38">
      <c r="A38" s="62" t="inlineStr">
        <is>
          <t>2501738</t>
        </is>
      </c>
      <c r="B38" s="62"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3" t="n"/>
      <c r="H38" s="43">
        <f>IF($G38="","",$E38-$G38)</f>
        <v/>
      </c>
    </row>
    <row r="39">
      <c r="A39" s="62" t="inlineStr">
        <is>
          <t>2502</t>
        </is>
      </c>
      <c r="B39" s="62"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3" t="n"/>
      <c r="H39" s="43">
        <f>IF($G39="","",$E39-$G39)</f>
        <v/>
      </c>
    </row>
    <row r="40">
      <c r="A40" s="62" t="inlineStr">
        <is>
          <t>25021901</t>
        </is>
      </c>
      <c r="B40" s="62"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3" t="n"/>
      <c r="H40" s="43">
        <f>IF($G40="","",$E40-$G40)</f>
        <v/>
      </c>
    </row>
    <row r="41">
      <c r="A41" s="62" t="inlineStr">
        <is>
          <t>2503</t>
        </is>
      </c>
      <c r="B41" s="62"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3" t="n"/>
      <c r="H41" s="43">
        <f>IF($G41="","",$E41-$G41)</f>
        <v/>
      </c>
    </row>
    <row r="42">
      <c r="A42" s="62" t="inlineStr">
        <is>
          <t>25032701</t>
        </is>
      </c>
      <c r="B42" s="62"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3" t="n"/>
      <c r="H42" s="43">
        <f>IF($G42="","",$E42-$G42)</f>
        <v/>
      </c>
    </row>
    <row r="43">
      <c r="A43" s="62" t="inlineStr">
        <is>
          <t>25032701NC</t>
        </is>
      </c>
      <c r="B43" s="62"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3" t="n"/>
      <c r="H43" s="43">
        <f>IF($G43="","",$E43-$G43)</f>
        <v/>
      </c>
    </row>
    <row r="44">
      <c r="A44" s="62" t="inlineStr">
        <is>
          <t>2504</t>
        </is>
      </c>
      <c r="B44" s="62"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3" t="n"/>
      <c r="H44" s="43">
        <f>IF($G44="","",$E44-$G44)</f>
        <v/>
      </c>
    </row>
    <row r="45">
      <c r="A45" s="62" t="inlineStr">
        <is>
          <t>25041502</t>
        </is>
      </c>
      <c r="B45" s="62"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3" t="n"/>
      <c r="H45" s="43">
        <f>IF($G45="","",$E45-$G45)</f>
        <v/>
      </c>
    </row>
    <row r="46">
      <c r="A46" s="62" t="inlineStr">
        <is>
          <t>2505</t>
        </is>
      </c>
      <c r="B46" s="62"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3" t="n"/>
      <c r="H46" s="43">
        <f>IF($G46="","",$E46-$G46)</f>
        <v/>
      </c>
    </row>
    <row r="47">
      <c r="A47" s="62" t="inlineStr">
        <is>
          <t>25051302</t>
        </is>
      </c>
      <c r="B47" s="62"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3" t="n"/>
      <c r="H47" s="43">
        <f>IF($G47="","",$E47-$G47)</f>
        <v/>
      </c>
    </row>
    <row r="48">
      <c r="A48" s="62" t="inlineStr">
        <is>
          <t>25051403</t>
        </is>
      </c>
      <c r="B48" s="62"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3" t="n"/>
      <c r="H48" s="43">
        <f>IF($G48="","",$E48-$G48)</f>
        <v/>
      </c>
    </row>
    <row r="49">
      <c r="A49" s="62" t="inlineStr">
        <is>
          <t>25052802</t>
        </is>
      </c>
      <c r="B49" s="62"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3" t="n"/>
      <c r="H49" s="43">
        <f>IF($G49="","",$E49-$G49)</f>
        <v/>
      </c>
    </row>
    <row r="50">
      <c r="A50" s="62" t="inlineStr">
        <is>
          <t>2505901</t>
        </is>
      </c>
      <c r="B50" s="62"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3" t="n"/>
      <c r="H50" s="43">
        <f>IF($G50="","",$E50-$G50)</f>
        <v/>
      </c>
    </row>
    <row r="51">
      <c r="A51" s="62" t="inlineStr">
        <is>
          <t>2506</t>
        </is>
      </c>
      <c r="B51" s="62"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3" t="n"/>
      <c r="H51" s="43">
        <f>IF($G51="","",$E51-$G51)</f>
        <v/>
      </c>
    </row>
    <row r="52">
      <c r="A52" s="62" t="inlineStr">
        <is>
          <t>25060301</t>
        </is>
      </c>
      <c r="B52" s="62"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3" t="n"/>
      <c r="H52" s="43">
        <f>IF($G52="","",$E52-$G52)</f>
        <v/>
      </c>
    </row>
    <row r="53">
      <c r="A53" s="62" t="inlineStr">
        <is>
          <t>25060307</t>
        </is>
      </c>
      <c r="B53" s="62"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3" t="n"/>
      <c r="H53" s="43">
        <f>IF($G53="","",$E53-$G53)</f>
        <v/>
      </c>
    </row>
    <row r="54">
      <c r="A54" s="62" t="inlineStr">
        <is>
          <t>2506208</t>
        </is>
      </c>
      <c r="B54" s="62"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3" t="n"/>
      <c r="H54" s="43">
        <f>IF($G54="","",$E54-$G54)</f>
        <v/>
      </c>
    </row>
    <row r="55">
      <c r="A55" s="62" t="inlineStr">
        <is>
          <t>2506208V</t>
        </is>
      </c>
      <c r="B55" s="62"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3" t="n"/>
      <c r="H55" s="43">
        <f>IF($G55="","",$E55-$G55)</f>
        <v/>
      </c>
    </row>
    <row r="56">
      <c r="A56" s="62" t="inlineStr">
        <is>
          <t>25063001V</t>
        </is>
      </c>
      <c r="B56" s="62"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3" t="n"/>
      <c r="H56" s="43">
        <f>IF($G56="","",$E56-$G56)</f>
        <v/>
      </c>
    </row>
    <row r="57">
      <c r="A57" s="62" t="inlineStr">
        <is>
          <t>25070702</t>
        </is>
      </c>
      <c r="B57" s="62"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3" t="n"/>
      <c r="H57" s="43">
        <f>IF($G57="","",$E57-$G57)</f>
        <v/>
      </c>
    </row>
    <row r="58">
      <c r="A58" s="62" t="inlineStr">
        <is>
          <t>2507203</t>
        </is>
      </c>
      <c r="B58" s="62"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3" t="n"/>
      <c r="H58" s="43">
        <f>IF($G58="","",$E58-$G58)</f>
        <v/>
      </c>
    </row>
    <row r="59">
      <c r="A59" s="62" t="inlineStr">
        <is>
          <t>25081402</t>
        </is>
      </c>
      <c r="B59" s="62"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3" t="n"/>
      <c r="H59" s="43">
        <f>IF($G59="","",$E59-$G59)</f>
        <v/>
      </c>
    </row>
    <row r="60">
      <c r="A60" s="62" t="inlineStr">
        <is>
          <t>25082501</t>
        </is>
      </c>
      <c r="B60" s="62"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3" t="n"/>
      <c r="H60" s="43">
        <f>IF($G60="","",$E60-$G60)</f>
        <v/>
      </c>
    </row>
    <row r="61">
      <c r="A61" s="62" t="inlineStr">
        <is>
          <t>25091703</t>
        </is>
      </c>
      <c r="B61" s="62"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3" t="n"/>
      <c r="H61" s="43">
        <f>IF($G61="","",$E61-$G61)</f>
        <v/>
      </c>
    </row>
    <row r="62">
      <c r="A62" s="62" t="inlineStr">
        <is>
          <t>25101301</t>
        </is>
      </c>
      <c r="B62" s="62"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3" t="n"/>
      <c r="H62" s="43">
        <f>IF($G62="","",$E62-$G62)</f>
        <v/>
      </c>
    </row>
    <row r="63">
      <c r="A63" s="62" t="inlineStr">
        <is>
          <t>25101301B</t>
        </is>
      </c>
      <c r="B63" s="62"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3" t="n"/>
      <c r="H63" s="43">
        <f>IF($G63="","",$E63-$G63)</f>
        <v/>
      </c>
    </row>
    <row r="64">
      <c r="A64" s="62" t="inlineStr">
        <is>
          <t>2510202</t>
        </is>
      </c>
      <c r="B64" s="62"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3" t="n"/>
      <c r="H64" s="43">
        <f>IF($G64="","",$E64-$G64)</f>
        <v/>
      </c>
    </row>
    <row r="65">
      <c r="A65" s="62" t="inlineStr">
        <is>
          <t>2510205</t>
        </is>
      </c>
      <c r="B65" s="62"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3" t="n"/>
      <c r="H65" s="43">
        <f>IF($G65="","",$E65-$G65)</f>
        <v/>
      </c>
    </row>
    <row r="66">
      <c r="A66" s="62" t="inlineStr">
        <is>
          <t>2510210</t>
        </is>
      </c>
      <c r="B66" s="62"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3" t="n"/>
      <c r="H66" s="43">
        <f>IF($G66="","",$E66-$G66)</f>
        <v/>
      </c>
    </row>
    <row r="67">
      <c r="A67" s="62" t="inlineStr">
        <is>
          <t>25102701</t>
        </is>
      </c>
      <c r="B67" s="62"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3" t="n"/>
      <c r="H67" s="43">
        <f>IF($G67="","",$E67-$G67)</f>
        <v/>
      </c>
    </row>
    <row r="68">
      <c r="A68" s="62" t="inlineStr">
        <is>
          <t>25102801</t>
        </is>
      </c>
      <c r="B68" s="62"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3" t="n"/>
      <c r="H68" s="43">
        <f>IF($G68="","",$E68-$G68)</f>
        <v/>
      </c>
    </row>
    <row r="69">
      <c r="A69" s="62" t="inlineStr">
        <is>
          <t>25102802</t>
        </is>
      </c>
      <c r="B69" s="62"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3" t="n"/>
      <c r="H69" s="43">
        <f>IF($G69="","",$E69-$G69)</f>
        <v/>
      </c>
    </row>
    <row r="70">
      <c r="A70" s="62" t="inlineStr">
        <is>
          <t>2510804</t>
        </is>
      </c>
      <c r="B70" s="62"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3" t="n"/>
      <c r="H70" s="43">
        <f>IF($G70="","",$E70-$G70)</f>
        <v/>
      </c>
    </row>
    <row r="71">
      <c r="A71" s="62" t="inlineStr">
        <is>
          <t>2510805</t>
        </is>
      </c>
      <c r="B71" s="62"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3" t="n"/>
      <c r="H71" s="43">
        <f>IF($G71="","",$E71-$G71)</f>
        <v/>
      </c>
    </row>
    <row r="72">
      <c r="A72" s="62" t="inlineStr">
        <is>
          <t>25111203</t>
        </is>
      </c>
      <c r="B72" s="62"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3" t="n"/>
      <c r="H72" s="43">
        <f>IF($G72="","",$E72-$G72)</f>
        <v/>
      </c>
    </row>
    <row r="73">
      <c r="A73" s="62" t="inlineStr">
        <is>
          <t>25112801</t>
        </is>
      </c>
      <c r="B73" s="62"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3" t="n"/>
      <c r="H73" s="43">
        <f>IF($G73="","",$E73-$G73)</f>
        <v/>
      </c>
    </row>
    <row r="74">
      <c r="A74" s="62" t="inlineStr">
        <is>
          <t>25121001</t>
        </is>
      </c>
      <c r="B74" s="62"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3" t="n"/>
      <c r="H74" s="43">
        <f>IF($G74="","",$E74-$G74)</f>
        <v/>
      </c>
    </row>
    <row r="75">
      <c r="A75" s="62" t="inlineStr">
        <is>
          <t>25121007</t>
        </is>
      </c>
      <c r="B75" s="62"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3" t="n"/>
      <c r="H75" s="43">
        <f>IF($G75="","",$E75-$G75)</f>
        <v/>
      </c>
    </row>
    <row r="76">
      <c r="A76" s="62" t="inlineStr">
        <is>
          <t>25121208</t>
        </is>
      </c>
      <c r="B76" s="62"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3" t="n"/>
      <c r="H76" s="43">
        <f>IF($G76="","",$E76-$G76)</f>
        <v/>
      </c>
    </row>
    <row r="77">
      <c r="A77" s="62" t="inlineStr">
        <is>
          <t>2512503</t>
        </is>
      </c>
      <c r="B77" s="62"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3" t="n"/>
      <c r="H77" s="43">
        <f>IF($G77="","",$E77-$G77)</f>
        <v/>
      </c>
    </row>
    <row r="78">
      <c r="A78" s="62" t="inlineStr">
        <is>
          <t>2512503V</t>
        </is>
      </c>
      <c r="B78" s="62"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3" t="n"/>
      <c r="H78" s="43">
        <f>IF($G78="","",$E78-$G78)</f>
        <v/>
      </c>
    </row>
    <row r="79">
      <c r="A79" s="62" t="inlineStr">
        <is>
          <t>2512804</t>
        </is>
      </c>
      <c r="B79" s="62"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3" t="n"/>
      <c r="H79" s="43">
        <f>IF($G79="","",$E79-$G79)</f>
        <v/>
      </c>
    </row>
    <row r="80">
      <c r="A80" s="62" t="inlineStr">
        <is>
          <t>2512804V</t>
        </is>
      </c>
      <c r="B80" s="62"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3" t="n"/>
      <c r="H80" s="43">
        <f>IF($G80="","",$E80-$G80)</f>
        <v/>
      </c>
    </row>
    <row r="81">
      <c r="A81" s="62" t="inlineStr">
        <is>
          <t>2512805</t>
        </is>
      </c>
      <c r="B81" s="62"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3" t="n"/>
      <c r="H81" s="43">
        <f>IF($G81="","",$E81-$G81)</f>
        <v/>
      </c>
    </row>
    <row r="82">
      <c r="A82" s="62" t="inlineStr">
        <is>
          <t>2512805V</t>
        </is>
      </c>
      <c r="B82" s="62"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3" t="n"/>
      <c r="H82" s="43">
        <f>IF($G82="","",$E82-$G82)</f>
        <v/>
      </c>
    </row>
    <row r="83">
      <c r="A83" s="62" t="inlineStr">
        <is>
          <t>2512806</t>
        </is>
      </c>
      <c r="B83" s="62"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3" t="n"/>
      <c r="H83" s="43">
        <f>IF($G83="","",$E83-$G83)</f>
        <v/>
      </c>
    </row>
    <row r="84">
      <c r="A84" s="62" t="inlineStr">
        <is>
          <t>2512806V</t>
        </is>
      </c>
      <c r="B84" s="62"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3" t="n"/>
      <c r="H84" s="43">
        <f>IF($G84="","",$E84-$G84)</f>
        <v/>
      </c>
    </row>
    <row r="85">
      <c r="A85" s="62" t="inlineStr">
        <is>
          <t>2519</t>
        </is>
      </c>
      <c r="B85" s="62"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3" t="n"/>
      <c r="H85" s="43">
        <f>IF($G85="","",$E85-$G85)</f>
        <v/>
      </c>
    </row>
    <row r="86">
      <c r="A86" s="62" t="inlineStr">
        <is>
          <t>2521</t>
        </is>
      </c>
      <c r="B86" s="62"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3" t="n"/>
      <c r="H86" s="43">
        <f>IF($G86="","",$E86-$G86)</f>
        <v/>
      </c>
    </row>
    <row r="87">
      <c r="A87" s="62" t="inlineStr">
        <is>
          <t>2540</t>
        </is>
      </c>
      <c r="B87" s="62"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3" t="n"/>
      <c r="H87" s="43">
        <f>IF($G87="","",$E87-$G87)</f>
        <v/>
      </c>
    </row>
    <row r="88">
      <c r="A88" s="62" t="inlineStr">
        <is>
          <t>2543</t>
        </is>
      </c>
      <c r="B88" s="62"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3" t="n"/>
      <c r="H88" s="43">
        <f>IF($G88="","",$E88-$G88)</f>
        <v/>
      </c>
    </row>
    <row r="89">
      <c r="A89" s="62" t="inlineStr">
        <is>
          <t>2591012</t>
        </is>
      </c>
      <c r="B89" s="62"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3" t="n"/>
      <c r="H89" s="43">
        <f>IF($G89="","",$E89-$G89)</f>
        <v/>
      </c>
    </row>
    <row r="90">
      <c r="A90" s="62" t="inlineStr">
        <is>
          <t>2591012C</t>
        </is>
      </c>
      <c r="B90" s="62"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3" t="n"/>
      <c r="H90" s="43">
        <f>IF($G90="","",$E90-$G90)</f>
        <v/>
      </c>
    </row>
    <row r="91">
      <c r="A91" s="62" t="inlineStr">
        <is>
          <t>2593</t>
        </is>
      </c>
      <c r="B91" s="62"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3" t="n"/>
      <c r="H91" s="43">
        <f>IF($G91="","",$E91-$G91)</f>
        <v/>
      </c>
    </row>
    <row r="92">
      <c r="A92" s="62" t="inlineStr">
        <is>
          <t>2598</t>
        </is>
      </c>
      <c r="B92" s="62"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3" t="n"/>
      <c r="H92" s="43">
        <f>IF($G92="","",$E92-$G92)</f>
        <v/>
      </c>
    </row>
    <row r="93">
      <c r="A93" s="62" t="inlineStr">
        <is>
          <t>26011404</t>
        </is>
      </c>
      <c r="B93" s="62"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3" t="n"/>
      <c r="H93" s="43">
        <f>IF($G93="","",$E93-$G93)</f>
        <v/>
      </c>
    </row>
    <row r="94">
      <c r="A94" s="62" t="inlineStr">
        <is>
          <t>26011404V</t>
        </is>
      </c>
      <c r="B94" s="62"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3" t="n"/>
      <c r="H94" s="43">
        <f>IF($G94="","",$E94-$G94)</f>
        <v/>
      </c>
    </row>
    <row r="95">
      <c r="A95" s="62" t="inlineStr">
        <is>
          <t>26011407</t>
        </is>
      </c>
      <c r="B95" s="62"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3" t="n"/>
      <c r="H95" s="43">
        <f>IF($G95="","",$E95-$G95)</f>
        <v/>
      </c>
    </row>
    <row r="96">
      <c r="A96" s="62" t="inlineStr">
        <is>
          <t>26011407V</t>
        </is>
      </c>
      <c r="B96" s="62"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3" t="n"/>
      <c r="H96" s="43">
        <f>IF($G96="","",$E96-$G96)</f>
        <v/>
      </c>
    </row>
    <row r="97">
      <c r="A97" s="62" t="inlineStr">
        <is>
          <t>26011408</t>
        </is>
      </c>
      <c r="B97" s="62"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3" t="n"/>
      <c r="H97" s="43">
        <f>IF($G97="","",$E97-$G97)</f>
        <v/>
      </c>
    </row>
    <row r="98">
      <c r="A98" s="62" t="inlineStr">
        <is>
          <t>26011408V</t>
        </is>
      </c>
      <c r="B98" s="62"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3" t="n"/>
      <c r="H98" s="43">
        <f>IF($G98="","",$E98-$G98)</f>
        <v/>
      </c>
    </row>
    <row r="99">
      <c r="A99" s="62" t="inlineStr">
        <is>
          <t>26011409</t>
        </is>
      </c>
      <c r="B99" s="62"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3" t="n"/>
      <c r="H99" s="43">
        <f>IF($G99="","",$E99-$G99)</f>
        <v/>
      </c>
    </row>
    <row r="100">
      <c r="A100" s="62" t="inlineStr">
        <is>
          <t>26011501</t>
        </is>
      </c>
      <c r="B100" s="62"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3" t="n"/>
      <c r="H100" s="43">
        <f>IF($G100="","",$E100-$G100)</f>
        <v/>
      </c>
    </row>
    <row r="101">
      <c r="A101" s="62" t="inlineStr">
        <is>
          <t>26011502</t>
        </is>
      </c>
      <c r="B101" s="62"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3" t="n"/>
      <c r="H101" s="43">
        <f>IF($G101="","",$E101-$G101)</f>
        <v/>
      </c>
    </row>
    <row r="102">
      <c r="A102" s="62" t="inlineStr">
        <is>
          <t>26012301</t>
        </is>
      </c>
      <c r="B102" s="62"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3" t="n"/>
      <c r="H102" s="43">
        <f>IF($G102="","",$E102-$G102)</f>
        <v/>
      </c>
    </row>
    <row r="103">
      <c r="A103" s="62" t="inlineStr">
        <is>
          <t>2601701</t>
        </is>
      </c>
      <c r="B103" s="62"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3" t="n"/>
      <c r="H103" s="43">
        <f>IF($G103="","",$E103-$G103)</f>
        <v/>
      </c>
    </row>
    <row r="104">
      <c r="A104" s="62" t="inlineStr">
        <is>
          <t>26021602</t>
        </is>
      </c>
      <c r="B104" s="62"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3" t="n"/>
      <c r="H104" s="43">
        <f>IF($G104="","",$E104-$G104)</f>
        <v/>
      </c>
    </row>
    <row r="105">
      <c r="A105" s="62" t="inlineStr">
        <is>
          <t>26021602N</t>
        </is>
      </c>
      <c r="B105" s="62"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3" t="n"/>
      <c r="H105" s="43">
        <f>IF($G105="","",$E105-$G105)</f>
        <v/>
      </c>
    </row>
    <row r="106">
      <c r="A106" s="62" t="inlineStr">
        <is>
          <t>26021801</t>
        </is>
      </c>
      <c r="B106" s="62"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3" t="n"/>
      <c r="H106" s="43">
        <f>IF($G106="","",$E106-$G106)</f>
        <v/>
      </c>
    </row>
    <row r="107">
      <c r="A107" s="62" t="inlineStr">
        <is>
          <t>2602203</t>
        </is>
      </c>
      <c r="B107" s="62"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3" t="n"/>
      <c r="H107" s="43">
        <f>IF($G107="","",$E107-$G107)</f>
        <v/>
      </c>
    </row>
    <row r="108">
      <c r="A108" s="62" t="inlineStr">
        <is>
          <t>26022301</t>
        </is>
      </c>
      <c r="B108" s="62"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3" t="n"/>
      <c r="H108" s="43">
        <f>IF($G108="","",$E108-$G108)</f>
        <v/>
      </c>
    </row>
    <row r="109">
      <c r="A109" s="62" t="inlineStr">
        <is>
          <t>26022301C</t>
        </is>
      </c>
      <c r="B109" s="62"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3" t="n"/>
      <c r="H109" s="43">
        <f>IF($G109="","",$E109-$G109)</f>
        <v/>
      </c>
    </row>
    <row r="110">
      <c r="A110" s="62" t="inlineStr">
        <is>
          <t>26022301NC</t>
        </is>
      </c>
      <c r="B110" s="62"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3" t="n"/>
      <c r="H110" s="43">
        <f>IF($G110="","",$E110-$G110)</f>
        <v/>
      </c>
    </row>
    <row r="111">
      <c r="A111" s="62" t="inlineStr">
        <is>
          <t>26022301P</t>
        </is>
      </c>
      <c r="B111" s="62"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3" t="n"/>
      <c r="H111" s="43">
        <f>IF($G111="","",$E111-$G111)</f>
        <v/>
      </c>
    </row>
    <row r="112">
      <c r="A112" s="62" t="inlineStr">
        <is>
          <t>26022302</t>
        </is>
      </c>
      <c r="B112" s="62"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3" t="n"/>
      <c r="H112" s="43">
        <f>IF($G112="","",$E112-$G112)</f>
        <v/>
      </c>
    </row>
    <row r="113">
      <c r="A113" s="62" t="inlineStr">
        <is>
          <t>26022302V</t>
        </is>
      </c>
      <c r="B113" s="62"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3" t="n"/>
      <c r="H113" s="43">
        <f>IF($G113="","",$E113-$G113)</f>
        <v/>
      </c>
    </row>
    <row r="114">
      <c r="A114" s="62" t="inlineStr">
        <is>
          <t>26022601</t>
        </is>
      </c>
      <c r="B114" s="62"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3" t="n"/>
      <c r="H114" s="43">
        <f>IF($G114="","",$E114-$G114)</f>
        <v/>
      </c>
    </row>
    <row r="115">
      <c r="A115" s="62" t="inlineStr">
        <is>
          <t>26022601V</t>
        </is>
      </c>
      <c r="B115" s="62"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3" t="n"/>
      <c r="H115" s="43">
        <f>IF($G115="","",$E115-$G115)</f>
        <v/>
      </c>
    </row>
    <row r="116">
      <c r="A116" s="62" t="inlineStr">
        <is>
          <t>2602901</t>
        </is>
      </c>
      <c r="B116" s="62"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3" t="n"/>
      <c r="H116" s="43">
        <f>IF($G116="","",$E116-$G116)</f>
        <v/>
      </c>
    </row>
    <row r="117">
      <c r="A117" s="62" t="inlineStr">
        <is>
          <t>2603104</t>
        </is>
      </c>
      <c r="B117" s="62"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3" t="n"/>
      <c r="H117" s="43">
        <f>IF($G117="","",$E117-$G117)</f>
        <v/>
      </c>
    </row>
    <row r="118">
      <c r="A118" s="62" t="inlineStr">
        <is>
          <t>2603104V</t>
        </is>
      </c>
      <c r="B118" s="62"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3" t="n"/>
      <c r="H118" s="43">
        <f>IF($G118="","",$E118-$G118)</f>
        <v/>
      </c>
    </row>
    <row r="119">
      <c r="A119" s="62" t="inlineStr">
        <is>
          <t>2603105</t>
        </is>
      </c>
      <c r="B119" s="62"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3" t="n"/>
      <c r="H119" s="43">
        <f>IF($G119="","",$E119-$G119)</f>
        <v/>
      </c>
    </row>
    <row r="120">
      <c r="A120" s="62" t="inlineStr">
        <is>
          <t>2603105V</t>
        </is>
      </c>
      <c r="B120" s="62"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3" t="n"/>
      <c r="H120" s="43">
        <f>IF($G120="","",$E120-$G120)</f>
        <v/>
      </c>
    </row>
    <row r="121">
      <c r="A121" s="62" t="inlineStr">
        <is>
          <t>2603202</t>
        </is>
      </c>
      <c r="B121" s="62"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3" t="n"/>
      <c r="H121" s="43">
        <f>IF($G121="","",$E121-$G121)</f>
        <v/>
      </c>
    </row>
    <row r="122">
      <c r="A122" s="62" t="inlineStr">
        <is>
          <t>26032301</t>
        </is>
      </c>
      <c r="B122" s="62"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3" t="n"/>
      <c r="H122" s="43">
        <f>IF($G122="","",$E122-$G122)</f>
        <v/>
      </c>
    </row>
    <row r="123">
      <c r="A123" s="62" t="inlineStr">
        <is>
          <t>26032301V</t>
        </is>
      </c>
      <c r="B123" s="62"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3" t="n"/>
      <c r="H123" s="43">
        <f>IF($G123="","",$E123-$G123)</f>
        <v/>
      </c>
    </row>
    <row r="124">
      <c r="A124" s="62" t="inlineStr">
        <is>
          <t>26032302</t>
        </is>
      </c>
      <c r="B124" s="62"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3" t="n"/>
      <c r="H124" s="43">
        <f>IF($G124="","",$E124-$G124)</f>
        <v/>
      </c>
    </row>
    <row r="125">
      <c r="A125" s="62" t="inlineStr">
        <is>
          <t>26032302V</t>
        </is>
      </c>
      <c r="B125" s="62"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3" t="n"/>
      <c r="H125" s="43">
        <f>IF($G125="","",$E125-$G125)</f>
        <v/>
      </c>
    </row>
    <row r="126">
      <c r="A126" s="62" t="inlineStr">
        <is>
          <t>26032501</t>
        </is>
      </c>
      <c r="B126" s="62"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3" t="n"/>
      <c r="H126" s="43">
        <f>IF($G126="","",$E126-$G126)</f>
        <v/>
      </c>
    </row>
    <row r="127">
      <c r="A127" s="62" t="inlineStr">
        <is>
          <t>26032502</t>
        </is>
      </c>
      <c r="B127" s="62"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3" t="n"/>
      <c r="H127" s="43">
        <f>IF($G127="","",$E127-$G127)</f>
        <v/>
      </c>
    </row>
    <row r="128">
      <c r="A128" s="62" t="inlineStr">
        <is>
          <t>26032502V</t>
        </is>
      </c>
      <c r="B128" s="62"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3" t="n"/>
      <c r="H128" s="43">
        <f>IF($G128="","",$E128-$G128)</f>
        <v/>
      </c>
    </row>
    <row r="129">
      <c r="A129" s="62" t="inlineStr">
        <is>
          <t>26032701</t>
        </is>
      </c>
      <c r="B129" s="62"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3" t="n"/>
      <c r="H129" s="43">
        <f>IF($G129="","",$E129-$G129)</f>
        <v/>
      </c>
    </row>
    <row r="130">
      <c r="A130" s="62" t="inlineStr">
        <is>
          <t>26032701V</t>
        </is>
      </c>
      <c r="B130" s="62"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3" t="n"/>
      <c r="H130" s="43">
        <f>IF($G130="","",$E130-$G130)</f>
        <v/>
      </c>
    </row>
    <row r="131">
      <c r="A131" s="62" t="inlineStr">
        <is>
          <t>26032702</t>
        </is>
      </c>
      <c r="B131" s="62"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3" t="n"/>
      <c r="H131" s="43">
        <f>IF($G131="","",$E131-$G131)</f>
        <v/>
      </c>
    </row>
    <row r="132">
      <c r="A132" s="62" t="inlineStr">
        <is>
          <t>26032704</t>
        </is>
      </c>
      <c r="B132" s="62"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3" t="n"/>
      <c r="H132" s="43">
        <f>IF($G132="","",$E132-$G132)</f>
        <v/>
      </c>
    </row>
    <row r="133">
      <c r="A133" s="62" t="inlineStr">
        <is>
          <t>26033003</t>
        </is>
      </c>
      <c r="B133" s="62"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3" t="n"/>
      <c r="H133" s="43">
        <f>IF($G133="","",$E133-$G133)</f>
        <v/>
      </c>
    </row>
    <row r="134">
      <c r="A134" s="62" t="inlineStr">
        <is>
          <t>26033004</t>
        </is>
      </c>
      <c r="B134" s="62"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3" t="n"/>
      <c r="H134" s="43">
        <f>IF($G134="","",$E134-$G134)</f>
        <v/>
      </c>
    </row>
    <row r="135">
      <c r="A135" s="62" t="inlineStr">
        <is>
          <t>26033005</t>
        </is>
      </c>
      <c r="B135" s="62"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3" t="n"/>
      <c r="H135" s="43">
        <f>IF($G135="","",$E135-$G135)</f>
        <v/>
      </c>
    </row>
    <row r="136">
      <c r="A136" s="62" t="inlineStr">
        <is>
          <t>26033006</t>
        </is>
      </c>
      <c r="B136" s="62"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3" t="n"/>
      <c r="H136" s="43">
        <f>IF($G136="","",$E136-$G136)</f>
        <v/>
      </c>
    </row>
    <row r="137">
      <c r="A137" s="62" t="inlineStr">
        <is>
          <t>26033007</t>
        </is>
      </c>
      <c r="B137" s="62"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3" t="n"/>
      <c r="H137" s="43">
        <f>IF($G137="","",$E137-$G137)</f>
        <v/>
      </c>
    </row>
    <row r="138">
      <c r="A138" s="62" t="inlineStr">
        <is>
          <t>26033008</t>
        </is>
      </c>
      <c r="B138" s="62"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3" t="n"/>
      <c r="H138" s="43">
        <f>IF($G138="","",$E138-$G138)</f>
        <v/>
      </c>
    </row>
    <row r="139">
      <c r="A139" s="62" t="inlineStr">
        <is>
          <t>26041603</t>
        </is>
      </c>
      <c r="B139" s="62"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3" t="n"/>
      <c r="H139" s="43">
        <f>IF($G139="","",$E139-$G139)</f>
        <v/>
      </c>
    </row>
    <row r="140">
      <c r="A140" s="62" t="inlineStr">
        <is>
          <t>26041603V</t>
        </is>
      </c>
      <c r="B140" s="62"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3" t="n"/>
      <c r="H140" s="43">
        <f>IF($G140="","",$E140-$G140)</f>
        <v/>
      </c>
    </row>
    <row r="141">
      <c r="A141" s="62" t="inlineStr">
        <is>
          <t>26041701</t>
        </is>
      </c>
      <c r="B141" s="62"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3" t="n"/>
      <c r="H141" s="43">
        <f>IF($G141="","",$E141-$G141)</f>
        <v/>
      </c>
    </row>
    <row r="142">
      <c r="A142" s="62" t="inlineStr">
        <is>
          <t>26042001</t>
        </is>
      </c>
      <c r="B142" s="62"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3" t="n"/>
      <c r="H142" s="43">
        <f>IF($G142="","",$E142-$G142)</f>
        <v/>
      </c>
    </row>
    <row r="143">
      <c r="A143" s="62" t="inlineStr">
        <is>
          <t>26042001V</t>
        </is>
      </c>
      <c r="B143" s="62"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3" t="n"/>
      <c r="H143" s="43">
        <f>IF($G143="","",$E143-$G143)</f>
        <v/>
      </c>
    </row>
    <row r="144">
      <c r="A144" s="62" t="inlineStr">
        <is>
          <t>2604201</t>
        </is>
      </c>
      <c r="B144" s="62"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3" t="n"/>
      <c r="H144" s="43">
        <f>IF($G144="","",$E144-$G144)</f>
        <v/>
      </c>
    </row>
    <row r="145">
      <c r="A145" s="62" t="inlineStr">
        <is>
          <t>2604202</t>
        </is>
      </c>
      <c r="B145" s="62"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3" t="n"/>
      <c r="H145" s="43">
        <f>IF($G145="","",$E145-$G145)</f>
        <v/>
      </c>
    </row>
    <row r="146">
      <c r="A146" s="62" t="inlineStr">
        <is>
          <t>2604202V</t>
        </is>
      </c>
      <c r="B146" s="62"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3" t="n"/>
      <c r="H146" s="43">
        <f>IF($G146="","",$E146-$G146)</f>
        <v/>
      </c>
    </row>
    <row r="147">
      <c r="A147" s="62" t="inlineStr">
        <is>
          <t>2604203V</t>
        </is>
      </c>
      <c r="B147" s="62"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3" t="n"/>
      <c r="H147" s="43">
        <f>IF($G147="","",$E147-$G147)</f>
        <v/>
      </c>
    </row>
    <row r="148">
      <c r="A148" s="62" t="inlineStr">
        <is>
          <t>2604204</t>
        </is>
      </c>
      <c r="B148" s="62"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3" t="n"/>
      <c r="H148" s="43">
        <f>IF($G148="","",$E148-$G148)</f>
        <v/>
      </c>
    </row>
    <row r="149">
      <c r="A149" s="62" t="inlineStr">
        <is>
          <t>2604204V</t>
        </is>
      </c>
      <c r="B149" s="62"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3" t="n"/>
      <c r="H149" s="43">
        <f>IF($G149="","",$E149-$G149)</f>
        <v/>
      </c>
    </row>
    <row r="150">
      <c r="A150" s="62" t="inlineStr">
        <is>
          <t>26042802</t>
        </is>
      </c>
      <c r="B150" s="62"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3" t="n"/>
      <c r="H150" s="43">
        <f>IF($G150="","",$E150-$G150)</f>
        <v/>
      </c>
    </row>
    <row r="151">
      <c r="A151" s="62" t="inlineStr">
        <is>
          <t>26043001</t>
        </is>
      </c>
      <c r="B151" s="62"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3" t="n"/>
      <c r="H151" s="43">
        <f>IF($G151="","",$E151-$G151)</f>
        <v/>
      </c>
    </row>
    <row r="152">
      <c r="A152" s="62" t="inlineStr">
        <is>
          <t>26043002</t>
        </is>
      </c>
      <c r="B152" s="62"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3" t="n"/>
      <c r="H152" s="43">
        <f>IF($G152="","",$E152-$G152)</f>
        <v/>
      </c>
    </row>
    <row r="153">
      <c r="A153" s="62" t="inlineStr">
        <is>
          <t>26043003</t>
        </is>
      </c>
      <c r="B153" s="62"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3" t="n"/>
      <c r="H153" s="43">
        <f>IF($G153="","",$E153-$G153)</f>
        <v/>
      </c>
    </row>
    <row r="154">
      <c r="A154" s="62" t="inlineStr">
        <is>
          <t>2604704</t>
        </is>
      </c>
      <c r="B154" s="62"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3" t="n"/>
      <c r="H154" s="43">
        <f>IF($G154="","",$E154-$G154)</f>
        <v/>
      </c>
    </row>
    <row r="155">
      <c r="A155" s="62" t="inlineStr">
        <is>
          <t>2604802</t>
        </is>
      </c>
      <c r="B155" s="62"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3" t="n"/>
      <c r="H155" s="43">
        <f>IF($G155="","",$E155-$G155)</f>
        <v/>
      </c>
    </row>
    <row r="156">
      <c r="A156" s="62" t="inlineStr">
        <is>
          <t>26051101</t>
        </is>
      </c>
      <c r="B156" s="62"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3" t="n"/>
      <c r="H156" s="43">
        <f>IF($G156="","",$E156-$G156)</f>
        <v/>
      </c>
    </row>
    <row r="157">
      <c r="A157" s="62" t="inlineStr">
        <is>
          <t>26051101V</t>
        </is>
      </c>
      <c r="B157" s="62"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3" t="n"/>
      <c r="H157" s="43">
        <f>IF($G157="","",$E157-$G157)</f>
        <v/>
      </c>
    </row>
    <row r="158">
      <c r="A158" s="62" t="inlineStr">
        <is>
          <t>26051102</t>
        </is>
      </c>
      <c r="B158" s="62"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3" t="n"/>
      <c r="H158" s="43">
        <f>IF($G158="","",$E158-$G158)</f>
        <v/>
      </c>
    </row>
    <row r="159">
      <c r="A159" s="62" t="inlineStr">
        <is>
          <t>26051102V</t>
        </is>
      </c>
      <c r="B159" s="62"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3" t="n"/>
      <c r="H159" s="43">
        <f>IF($G159="","",$E159-$G159)</f>
        <v/>
      </c>
    </row>
    <row r="160">
      <c r="A160" s="62" t="inlineStr">
        <is>
          <t>26051103</t>
        </is>
      </c>
      <c r="B160" s="62"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3" t="n"/>
      <c r="H160" s="43">
        <f>IF($G160="","",$E160-$G160)</f>
        <v/>
      </c>
    </row>
    <row r="161">
      <c r="A161" s="62" t="inlineStr">
        <is>
          <t>26051103V</t>
        </is>
      </c>
      <c r="B161" s="62"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3" t="n"/>
      <c r="H161" s="43">
        <f>IF($G161="","",$E161-$G161)</f>
        <v/>
      </c>
    </row>
    <row r="162">
      <c r="A162" s="62" t="inlineStr">
        <is>
          <t>26051201</t>
        </is>
      </c>
      <c r="B162" s="62"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3" t="n"/>
      <c r="H162" s="43">
        <f>IF($G162="","",$E162-$G162)</f>
        <v/>
      </c>
    </row>
    <row r="163">
      <c r="A163" s="62" t="inlineStr">
        <is>
          <t>26051301</t>
        </is>
      </c>
      <c r="B163" s="62"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3" t="n"/>
      <c r="H163" s="43">
        <f>IF($G163="","",$E163-$G163)</f>
        <v/>
      </c>
    </row>
    <row r="164">
      <c r="A164" s="62" t="inlineStr">
        <is>
          <t>26051401</t>
        </is>
      </c>
      <c r="B164" s="62"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3" t="n"/>
      <c r="H164" s="43">
        <f>IF($G164="","",$E164-$G164)</f>
        <v/>
      </c>
    </row>
    <row r="165">
      <c r="A165" s="62" t="inlineStr">
        <is>
          <t>26051401V</t>
        </is>
      </c>
      <c r="B165" s="62"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3" t="n"/>
      <c r="H165" s="43">
        <f>IF($G165="","",$E165-$G165)</f>
        <v/>
      </c>
    </row>
    <row r="166">
      <c r="A166" s="62" t="inlineStr">
        <is>
          <t>26051402</t>
        </is>
      </c>
      <c r="B166" s="62"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3" t="n"/>
      <c r="H166" s="43">
        <f>IF($G166="","",$E166-$G166)</f>
        <v/>
      </c>
    </row>
    <row r="167">
      <c r="A167" s="62" t="inlineStr">
        <is>
          <t>26051801</t>
        </is>
      </c>
      <c r="B167" s="62"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3" t="n"/>
      <c r="H167" s="43">
        <f>IF($G167="","",$E167-$G167)</f>
        <v/>
      </c>
    </row>
    <row r="168">
      <c r="A168" s="62" t="inlineStr">
        <is>
          <t>26051803</t>
        </is>
      </c>
      <c r="B168" s="62"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3" t="n"/>
      <c r="H168" s="43">
        <f>IF($G168="","",$E168-$G168)</f>
        <v/>
      </c>
    </row>
    <row r="169">
      <c r="A169" s="62" t="inlineStr">
        <is>
          <t>26052001</t>
        </is>
      </c>
      <c r="B169" s="62"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3" t="n"/>
      <c r="H169" s="43">
        <f>IF($G169="","",$E169-$G169)</f>
        <v/>
      </c>
    </row>
    <row r="170">
      <c r="A170" s="62" t="inlineStr">
        <is>
          <t>26052001V</t>
        </is>
      </c>
      <c r="B170" s="62"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3" t="n"/>
      <c r="H170" s="43">
        <f>IF($G170="","",$E170-$G170)</f>
        <v/>
      </c>
    </row>
    <row r="171">
      <c r="A171" s="62" t="inlineStr">
        <is>
          <t>26052002</t>
        </is>
      </c>
      <c r="B171" s="62"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3" t="n"/>
      <c r="H171" s="43">
        <f>IF($G171="","",$E171-$G171)</f>
        <v/>
      </c>
    </row>
    <row r="172">
      <c r="A172" s="62" t="inlineStr">
        <is>
          <t>26052003</t>
        </is>
      </c>
      <c r="B172" s="62"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3" t="n"/>
      <c r="H172" s="43">
        <f>IF($G172="","",$E172-$G172)</f>
        <v/>
      </c>
    </row>
    <row r="173">
      <c r="A173" s="62" t="inlineStr">
        <is>
          <t>26052004</t>
        </is>
      </c>
      <c r="B173" s="62"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3" t="n"/>
      <c r="H173" s="43">
        <f>IF($G173="","",$E173-$G173)</f>
        <v/>
      </c>
    </row>
    <row r="174">
      <c r="A174" s="62" t="inlineStr">
        <is>
          <t>26052101</t>
        </is>
      </c>
      <c r="B174" s="62"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3" t="n"/>
      <c r="H174" s="43">
        <f>IF($G174="","",$E174-$G174)</f>
        <v/>
      </c>
    </row>
    <row r="175">
      <c r="A175" s="62" t="inlineStr">
        <is>
          <t>26052102</t>
        </is>
      </c>
      <c r="B175" s="62"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3" t="n"/>
      <c r="H175" s="43">
        <f>IF($G175="","",$E175-$G175)</f>
        <v/>
      </c>
    </row>
    <row r="176">
      <c r="A176" s="62" t="inlineStr">
        <is>
          <t>26052103</t>
        </is>
      </c>
      <c r="B176" s="62"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3" t="n"/>
      <c r="H176" s="43">
        <f>IF($G176="","",$E176-$G176)</f>
        <v/>
      </c>
    </row>
    <row r="177">
      <c r="A177" s="62" t="inlineStr">
        <is>
          <t>26052501V</t>
        </is>
      </c>
      <c r="B177" s="62"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3" t="n"/>
      <c r="H177" s="43">
        <f>IF($G177="","",$E177-$G177)</f>
        <v/>
      </c>
    </row>
    <row r="178">
      <c r="A178" s="62" t="inlineStr">
        <is>
          <t>26052502</t>
        </is>
      </c>
      <c r="B178" s="62"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3" t="n"/>
      <c r="H178" s="43">
        <f>IF($G178="","",$E178-$G178)</f>
        <v/>
      </c>
    </row>
    <row r="179">
      <c r="A179" s="62" t="inlineStr">
        <is>
          <t>26052502V</t>
        </is>
      </c>
      <c r="B179" s="62"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3" t="n"/>
      <c r="H179" s="43">
        <f>IF($G179="","",$E179-$G179)</f>
        <v/>
      </c>
    </row>
    <row r="180">
      <c r="A180" s="62" t="inlineStr">
        <is>
          <t>26052602</t>
        </is>
      </c>
      <c r="B180" s="62"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3" t="n"/>
      <c r="H180" s="43">
        <f>IF($G180="","",$E180-$G180)</f>
        <v/>
      </c>
    </row>
    <row r="181">
      <c r="A181" s="62" t="inlineStr">
        <is>
          <t>26052701</t>
        </is>
      </c>
      <c r="B181" s="62"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3" t="n"/>
      <c r="H181" s="43">
        <f>IF($G181="","",$E181-$G181)</f>
        <v/>
      </c>
    </row>
    <row r="182">
      <c r="A182" s="62" t="inlineStr">
        <is>
          <t>26052702</t>
        </is>
      </c>
      <c r="B182" s="62"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3" t="n"/>
      <c r="H182" s="43">
        <f>IF($G182="","",$E182-$G182)</f>
        <v/>
      </c>
    </row>
    <row r="183">
      <c r="A183" s="62" t="inlineStr">
        <is>
          <t>26052702V</t>
        </is>
      </c>
      <c r="B183" s="62"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3" t="n"/>
      <c r="H183" s="43">
        <f>IF($G183="","",$E183-$G183)</f>
        <v/>
      </c>
    </row>
    <row r="184">
      <c r="A184" s="62" t="inlineStr">
        <is>
          <t>26052703</t>
        </is>
      </c>
      <c r="B184" s="62"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3" t="n"/>
      <c r="H184" s="43">
        <f>IF($G184="","",$E184-$G184)</f>
        <v/>
      </c>
    </row>
    <row r="185">
      <c r="A185" s="62" t="inlineStr">
        <is>
          <t>26052703V</t>
        </is>
      </c>
      <c r="B185" s="62"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3" t="n"/>
      <c r="H185" s="43">
        <f>IF($G185="","",$E185-$G185)</f>
        <v/>
      </c>
    </row>
    <row r="186">
      <c r="A186" s="62" t="inlineStr">
        <is>
          <t>26052704</t>
        </is>
      </c>
      <c r="B186" s="62"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3" t="n"/>
      <c r="H186" s="43">
        <f>IF($G186="","",$E186-$G186)</f>
        <v/>
      </c>
    </row>
    <row r="187">
      <c r="A187" s="62" t="inlineStr">
        <is>
          <t>26052901</t>
        </is>
      </c>
      <c r="B187" s="62"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3" t="n"/>
      <c r="H187" s="43">
        <f>IF($G187="","",$E187-$G187)</f>
        <v/>
      </c>
    </row>
    <row r="188">
      <c r="A188" s="62" t="inlineStr">
        <is>
          <t>26052901V</t>
        </is>
      </c>
      <c r="B188" s="62"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3" t="n"/>
      <c r="H188" s="43">
        <f>IF($G188="","",$E188-$G188)</f>
        <v/>
      </c>
    </row>
    <row r="189">
      <c r="A189" s="62" t="inlineStr">
        <is>
          <t>2605401</t>
        </is>
      </c>
      <c r="B189" s="62"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3" t="n"/>
      <c r="H189" s="43">
        <f>IF($G189="","",$E189-$G189)</f>
        <v/>
      </c>
    </row>
    <row r="190">
      <c r="A190" s="62" t="inlineStr">
        <is>
          <t>2605401V</t>
        </is>
      </c>
      <c r="B190" s="62"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3" t="n"/>
      <c r="H190" s="43">
        <f>IF($G190="","",$E190-$G190)</f>
        <v/>
      </c>
    </row>
    <row r="191">
      <c r="A191" s="62" t="inlineStr">
        <is>
          <t>2605402</t>
        </is>
      </c>
      <c r="B191" s="62"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3" t="n"/>
      <c r="H191" s="43">
        <f>IF($G191="","",$E191-$G191)</f>
        <v/>
      </c>
    </row>
    <row r="192">
      <c r="A192" s="62" t="inlineStr">
        <is>
          <t>2605402V</t>
        </is>
      </c>
      <c r="B192" s="62"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3" t="n"/>
      <c r="H192" s="43">
        <f>IF($G192="","",$E192-$G192)</f>
        <v/>
      </c>
    </row>
    <row r="193">
      <c r="A193" s="62" t="inlineStr">
        <is>
          <t>2605403</t>
        </is>
      </c>
      <c r="B193" s="62"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3" t="n"/>
      <c r="H193" s="43">
        <f>IF($G193="","",$E193-$G193)</f>
        <v/>
      </c>
    </row>
    <row r="194">
      <c r="A194" s="62" t="inlineStr">
        <is>
          <t>2605403V</t>
        </is>
      </c>
      <c r="B194" s="62"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3" t="n"/>
      <c r="H194" s="43">
        <f>IF($G194="","",$E194-$G194)</f>
        <v/>
      </c>
    </row>
    <row r="195">
      <c r="A195" s="62" t="inlineStr">
        <is>
          <t>2605501</t>
        </is>
      </c>
      <c r="B195" s="62"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3" t="n"/>
      <c r="H195" s="43">
        <f>IF($G195="","",$E195-$G195)</f>
        <v/>
      </c>
    </row>
    <row r="196">
      <c r="A196" s="62" t="inlineStr">
        <is>
          <t>2605502</t>
        </is>
      </c>
      <c r="B196" s="62"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3" t="n"/>
      <c r="H196" s="43">
        <f>IF($G196="","",$E196-$G196)</f>
        <v/>
      </c>
    </row>
    <row r="197">
      <c r="A197" s="62" t="inlineStr">
        <is>
          <t>2605502V</t>
        </is>
      </c>
      <c r="B197" s="62"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3" t="n"/>
      <c r="H197" s="43">
        <f>IF($G197="","",$E197-$G197)</f>
        <v/>
      </c>
    </row>
    <row r="198">
      <c r="A198" s="62" t="inlineStr">
        <is>
          <t>2605503</t>
        </is>
      </c>
      <c r="B198" s="62"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3" t="n"/>
      <c r="H198" s="43">
        <f>IF($G198="","",$E198-$G198)</f>
        <v/>
      </c>
    </row>
    <row r="199">
      <c r="A199" s="62" t="inlineStr">
        <is>
          <t>2605605</t>
        </is>
      </c>
      <c r="B199" s="62"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3" t="n"/>
      <c r="H199" s="43">
        <f>IF($G199="","",$E199-$G199)</f>
        <v/>
      </c>
    </row>
    <row r="200">
      <c r="A200" s="62" t="inlineStr">
        <is>
          <t>2605606</t>
        </is>
      </c>
      <c r="B200" s="62"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3" t="n"/>
      <c r="H200" s="43">
        <f>IF($G200="","",$E200-$G200)</f>
        <v/>
      </c>
    </row>
    <row r="201">
      <c r="A201" s="62" t="inlineStr">
        <is>
          <t>2605606V</t>
        </is>
      </c>
      <c r="B201" s="62"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3" t="n"/>
      <c r="H201" s="43">
        <f>IF($G201="","",$E201-$G201)</f>
        <v/>
      </c>
    </row>
    <row r="202">
      <c r="A202" s="62" t="inlineStr">
        <is>
          <t>2605609</t>
        </is>
      </c>
      <c r="B202" s="62"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3" t="n"/>
      <c r="H202" s="43">
        <f>IF($G202="","",$E202-$G202)</f>
        <v/>
      </c>
    </row>
    <row r="203">
      <c r="A203" s="62" t="inlineStr">
        <is>
          <t>2605609V</t>
        </is>
      </c>
      <c r="B203" s="62"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3" t="n"/>
      <c r="H203" s="43">
        <f>IF($G203="","",$E203-$G203)</f>
        <v/>
      </c>
    </row>
    <row r="204">
      <c r="A204" s="62" t="inlineStr">
        <is>
          <t>2605610</t>
        </is>
      </c>
      <c r="B204" s="62"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3" t="n"/>
      <c r="H204" s="43">
        <f>IF($G204="","",$E204-$G204)</f>
        <v/>
      </c>
    </row>
    <row r="205">
      <c r="A205" s="62" t="inlineStr">
        <is>
          <t>2605704</t>
        </is>
      </c>
      <c r="B205" s="62"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3" t="n"/>
      <c r="H205" s="43">
        <f>IF($G205="","",$E205-$G205)</f>
        <v/>
      </c>
    </row>
    <row r="206">
      <c r="A206" s="62" t="inlineStr">
        <is>
          <t>2605801</t>
        </is>
      </c>
      <c r="B206" s="62"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3" t="n"/>
      <c r="H206" s="43">
        <f>IF($G206="","",$E206-$G206)</f>
        <v/>
      </c>
    </row>
    <row r="207">
      <c r="A207" s="62" t="inlineStr">
        <is>
          <t>2605803</t>
        </is>
      </c>
      <c r="B207" s="62"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3" t="n"/>
      <c r="H207" s="43">
        <f>IF($G207="","",$E207-$G207)</f>
        <v/>
      </c>
    </row>
    <row r="208">
      <c r="A208" s="62" t="inlineStr">
        <is>
          <t>2605804</t>
        </is>
      </c>
      <c r="B208" s="62"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3" t="n"/>
      <c r="H208" s="43">
        <f>IF($G208="","",$E208-$G208)</f>
        <v/>
      </c>
    </row>
    <row r="209">
      <c r="A209" s="62" t="inlineStr">
        <is>
          <t>2605806</t>
        </is>
      </c>
      <c r="B209" s="62"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3" t="n"/>
      <c r="H209" s="43">
        <f>IF($G209="","",$E209-$G209)</f>
        <v/>
      </c>
    </row>
    <row r="210">
      <c r="A210" s="62" t="inlineStr">
        <is>
          <t>26061001</t>
        </is>
      </c>
      <c r="B210" s="62"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3" t="n"/>
      <c r="H210" s="43">
        <f>IF($G210="","",$E210-$G210)</f>
        <v/>
      </c>
    </row>
    <row r="211">
      <c r="A211" s="62" t="inlineStr">
        <is>
          <t>26061002</t>
        </is>
      </c>
      <c r="B211" s="62"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3" t="n"/>
      <c r="H211" s="43">
        <f>IF($G211="","",$E211-$G211)</f>
        <v/>
      </c>
    </row>
    <row r="212">
      <c r="A212" s="62" t="inlineStr">
        <is>
          <t>26061002V</t>
        </is>
      </c>
      <c r="B212" s="62"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3" t="n"/>
      <c r="H212" s="43">
        <f>IF($G212="","",$E212-$G212)</f>
        <v/>
      </c>
    </row>
    <row r="213">
      <c r="A213" s="62" t="inlineStr">
        <is>
          <t>26061102</t>
        </is>
      </c>
      <c r="B213" s="62"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3" t="n"/>
      <c r="H213" s="43">
        <f>IF($G213="","",$E213-$G213)</f>
        <v/>
      </c>
    </row>
    <row r="214">
      <c r="A214" s="62" t="inlineStr">
        <is>
          <t>26061102V</t>
        </is>
      </c>
      <c r="B214" s="62"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3" t="n"/>
      <c r="H214" s="43">
        <f>IF($G214="","",$E214-$G214)</f>
        <v/>
      </c>
    </row>
    <row r="215">
      <c r="A215" s="62" t="inlineStr">
        <is>
          <t>26061103</t>
        </is>
      </c>
      <c r="B215" s="62"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3" t="n"/>
      <c r="H215" s="43">
        <f>IF($G215="","",$E215-$G215)</f>
        <v/>
      </c>
    </row>
    <row r="216">
      <c r="A216" s="62" t="inlineStr">
        <is>
          <t>26061103V</t>
        </is>
      </c>
      <c r="B216" s="62"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3" t="n"/>
      <c r="H216" s="43">
        <f>IF($G216="","",$E216-$G216)</f>
        <v/>
      </c>
    </row>
    <row r="217">
      <c r="A217" s="62" t="inlineStr">
        <is>
          <t>26061104</t>
        </is>
      </c>
      <c r="B217" s="62"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3" t="n"/>
      <c r="H217" s="43">
        <f>IF($G217="","",$E217-$G217)</f>
        <v/>
      </c>
    </row>
    <row r="218">
      <c r="A218" s="62" t="inlineStr">
        <is>
          <t>26061104V</t>
        </is>
      </c>
      <c r="B218" s="62"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3" t="n"/>
      <c r="H218" s="43">
        <f>IF($G218="","",$E218-$G218)</f>
        <v/>
      </c>
    </row>
    <row r="219">
      <c r="A219" s="62" t="inlineStr">
        <is>
          <t>26061105</t>
        </is>
      </c>
      <c r="B219" s="62"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3" t="n"/>
      <c r="H219" s="43">
        <f>IF($G219="","",$E219-$G219)</f>
        <v/>
      </c>
    </row>
    <row r="220">
      <c r="A220" s="62" t="inlineStr">
        <is>
          <t>26061105V</t>
        </is>
      </c>
      <c r="B220" s="62"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3" t="n"/>
      <c r="H220" s="43">
        <f>IF($G220="","",$E220-$G220)</f>
        <v/>
      </c>
    </row>
    <row r="221">
      <c r="A221" s="62" t="inlineStr">
        <is>
          <t>26061106</t>
        </is>
      </c>
      <c r="B221" s="62"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3" t="n"/>
      <c r="H221" s="43">
        <f>IF($G221="","",$E221-$G221)</f>
        <v/>
      </c>
    </row>
    <row r="222">
      <c r="A222" s="62" t="inlineStr">
        <is>
          <t>26061106V</t>
        </is>
      </c>
      <c r="B222" s="62"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3" t="n"/>
      <c r="H222" s="43">
        <f>IF($G222="","",$E222-$G222)</f>
        <v/>
      </c>
    </row>
    <row r="223">
      <c r="A223" s="62" t="inlineStr">
        <is>
          <t>26061107</t>
        </is>
      </c>
      <c r="B223" s="62"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3" t="n"/>
      <c r="H223" s="43">
        <f>IF($G223="","",$E223-$G223)</f>
        <v/>
      </c>
    </row>
    <row r="224">
      <c r="A224" s="62" t="inlineStr">
        <is>
          <t>26061107V</t>
        </is>
      </c>
      <c r="B224" s="62"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3" t="n"/>
      <c r="H224" s="43">
        <f>IF($G224="","",$E224-$G224)</f>
        <v/>
      </c>
    </row>
    <row r="225">
      <c r="A225" s="62" t="inlineStr">
        <is>
          <t>26061108</t>
        </is>
      </c>
      <c r="B225" s="62"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3" t="n"/>
      <c r="H225" s="43">
        <f>IF($G225="","",$E225-$G225)</f>
        <v/>
      </c>
    </row>
    <row r="226">
      <c r="A226" s="62" t="inlineStr">
        <is>
          <t>26061108V</t>
        </is>
      </c>
      <c r="B226" s="62"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3" t="n"/>
      <c r="H226" s="43">
        <f>IF($G226="","",$E226-$G226)</f>
        <v/>
      </c>
    </row>
    <row r="227">
      <c r="A227" s="62" t="inlineStr">
        <is>
          <t>26061109</t>
        </is>
      </c>
      <c r="B227" s="62"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3" t="n"/>
      <c r="H227" s="43">
        <f>IF($G227="","",$E227-$G227)</f>
        <v/>
      </c>
    </row>
    <row r="228">
      <c r="A228" s="62" t="inlineStr">
        <is>
          <t>26061109V</t>
        </is>
      </c>
      <c r="B228" s="62"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3" t="n"/>
      <c r="H228" s="43">
        <f>IF($G228="","",$E228-$G228)</f>
        <v/>
      </c>
    </row>
    <row r="229">
      <c r="A229" s="62" t="inlineStr">
        <is>
          <t>26061201</t>
        </is>
      </c>
      <c r="B229" s="62"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3" t="n"/>
      <c r="H229" s="43">
        <f>IF($G229="","",$E229-$G229)</f>
        <v/>
      </c>
    </row>
    <row r="230">
      <c r="A230" s="62" t="inlineStr">
        <is>
          <t>26061201V</t>
        </is>
      </c>
      <c r="B230" s="62"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3" t="n"/>
      <c r="H230" s="43">
        <f>IF($G230="","",$E230-$G230)</f>
        <v/>
      </c>
    </row>
    <row r="231">
      <c r="A231" s="62" t="inlineStr">
        <is>
          <t>26061202</t>
        </is>
      </c>
      <c r="B231" s="62"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3" t="n"/>
      <c r="H231" s="43">
        <f>IF($G231="","",$E231-$G231)</f>
        <v/>
      </c>
    </row>
    <row r="232">
      <c r="A232" s="62" t="inlineStr">
        <is>
          <t>26061202V</t>
        </is>
      </c>
      <c r="B232" s="62"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3" t="n"/>
      <c r="H232" s="43">
        <f>IF($G232="","",$E232-$G232)</f>
        <v/>
      </c>
    </row>
    <row r="233">
      <c r="A233" s="62" t="inlineStr">
        <is>
          <t>26061501</t>
        </is>
      </c>
      <c r="B233" s="62"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3" t="n"/>
      <c r="H233" s="43">
        <f>IF($G233="","",$E233-$G233)</f>
        <v/>
      </c>
    </row>
    <row r="234">
      <c r="A234" s="62" t="inlineStr">
        <is>
          <t>26061602</t>
        </is>
      </c>
      <c r="B234" s="62"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3" t="n"/>
      <c r="H234" s="43">
        <f>IF($G234="","",$E234-$G234)</f>
        <v/>
      </c>
    </row>
    <row r="235">
      <c r="A235" s="62" t="inlineStr">
        <is>
          <t>26061602V</t>
        </is>
      </c>
      <c r="B235" s="62"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3" t="n"/>
      <c r="H235" s="43">
        <f>IF($G235="","",$E235-$G235)</f>
        <v/>
      </c>
    </row>
    <row r="236">
      <c r="A236" s="62" t="inlineStr">
        <is>
          <t>26061605</t>
        </is>
      </c>
      <c r="B236" s="62"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3" t="n"/>
      <c r="H236" s="43">
        <f>IF($G236="","",$E236-$G236)</f>
        <v/>
      </c>
    </row>
    <row r="237">
      <c r="A237" s="62" t="inlineStr">
        <is>
          <t>26061605V</t>
        </is>
      </c>
      <c r="B237" s="62"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3" t="n"/>
      <c r="H237" s="43">
        <f>IF($G237="","",$E237-$G237)</f>
        <v/>
      </c>
    </row>
    <row r="238">
      <c r="A238" s="62" t="inlineStr">
        <is>
          <t>26061606</t>
        </is>
      </c>
      <c r="B238" s="62"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3" t="n"/>
      <c r="H238" s="43">
        <f>IF($G238="","",$E238-$G238)</f>
        <v/>
      </c>
    </row>
    <row r="239">
      <c r="A239" s="62" t="inlineStr">
        <is>
          <t>26061606V</t>
        </is>
      </c>
      <c r="B239" s="62"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3" t="n"/>
      <c r="H239" s="43">
        <f>IF($G239="","",$E239-$G239)</f>
        <v/>
      </c>
    </row>
    <row r="240">
      <c r="A240" s="62" t="inlineStr">
        <is>
          <t>26061607</t>
        </is>
      </c>
      <c r="B240" s="62"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3" t="n"/>
      <c r="H240" s="43">
        <f>IF($G240="","",$E240-$G240)</f>
        <v/>
      </c>
    </row>
    <row r="241">
      <c r="A241" s="62" t="inlineStr">
        <is>
          <t>26061607V</t>
        </is>
      </c>
      <c r="B241" s="62"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3" t="n"/>
      <c r="H241" s="43">
        <f>IF($G241="","",$E241-$G241)</f>
        <v/>
      </c>
    </row>
    <row r="242">
      <c r="A242" s="62" t="inlineStr">
        <is>
          <t>26061608</t>
        </is>
      </c>
      <c r="B242" s="62"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3" t="n"/>
      <c r="H242" s="43">
        <f>IF($G242="","",$E242-$G242)</f>
        <v/>
      </c>
    </row>
    <row r="243">
      <c r="A243" s="62" t="inlineStr">
        <is>
          <t>26061608V</t>
        </is>
      </c>
      <c r="B243" s="62"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3" t="n"/>
      <c r="H243" s="43">
        <f>IF($G243="","",$E243-$G243)</f>
        <v/>
      </c>
    </row>
    <row r="244">
      <c r="A244" s="62" t="inlineStr">
        <is>
          <t>26061609</t>
        </is>
      </c>
      <c r="B244" s="62"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3" t="n"/>
      <c r="H244" s="43">
        <f>IF($G244="","",$E244-$G244)</f>
        <v/>
      </c>
    </row>
    <row r="245">
      <c r="A245" s="62" t="inlineStr">
        <is>
          <t>26061609V</t>
        </is>
      </c>
      <c r="B245" s="62"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3" t="n"/>
      <c r="H245" s="43">
        <f>IF($G245="","",$E245-$G245)</f>
        <v/>
      </c>
    </row>
    <row r="246">
      <c r="A246" s="62" t="inlineStr">
        <is>
          <t>26061611</t>
        </is>
      </c>
      <c r="B246" s="62"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3" t="n"/>
      <c r="H246" s="43">
        <f>IF($G246="","",$E246-$G246)</f>
        <v/>
      </c>
    </row>
    <row r="247">
      <c r="A247" s="62" t="inlineStr">
        <is>
          <t>26061611V</t>
        </is>
      </c>
      <c r="B247" s="62"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3" t="n"/>
      <c r="H247" s="43">
        <f>IF($G247="","",$E247-$G247)</f>
        <v/>
      </c>
    </row>
    <row r="248">
      <c r="A248" s="62" t="inlineStr">
        <is>
          <t>26061612</t>
        </is>
      </c>
      <c r="B248" s="62"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3" t="n"/>
      <c r="H248" s="43">
        <f>IF($G248="","",$E248-$G248)</f>
        <v/>
      </c>
    </row>
    <row r="249">
      <c r="A249" s="62" t="inlineStr">
        <is>
          <t>26061612V</t>
        </is>
      </c>
      <c r="B249" s="62"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3" t="n"/>
      <c r="H249" s="43">
        <f>IF($G249="","",$E249-$G249)</f>
        <v/>
      </c>
    </row>
    <row r="250">
      <c r="A250" s="62" t="inlineStr">
        <is>
          <t>26061701</t>
        </is>
      </c>
      <c r="B250" s="62"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3" t="n"/>
      <c r="H250" s="43">
        <f>IF($G250="","",$E250-$G250)</f>
        <v/>
      </c>
    </row>
    <row r="251">
      <c r="A251" s="62" t="inlineStr">
        <is>
          <t>26061702</t>
        </is>
      </c>
      <c r="B251" s="62"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3" t="n"/>
      <c r="H251" s="43">
        <f>IF($G251="","",$E251-$G251)</f>
        <v/>
      </c>
    </row>
    <row r="252">
      <c r="A252" s="62" t="inlineStr">
        <is>
          <t>26061801</t>
        </is>
      </c>
      <c r="B252" s="62"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3" t="n"/>
      <c r="H252" s="43">
        <f>IF($G252="","",$E252-$G252)</f>
        <v/>
      </c>
    </row>
    <row r="253">
      <c r="A253" s="62" t="inlineStr">
        <is>
          <t>26061801V</t>
        </is>
      </c>
      <c r="B253" s="62"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3" t="n"/>
      <c r="H253" s="43">
        <f>IF($G253="","",$E253-$G253)</f>
        <v/>
      </c>
    </row>
    <row r="254">
      <c r="A254" s="62" t="inlineStr">
        <is>
          <t>26062201</t>
        </is>
      </c>
      <c r="B254" s="62"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3" t="n"/>
      <c r="H254" s="43">
        <f>IF($G254="","",$E254-$G254)</f>
        <v/>
      </c>
    </row>
    <row r="255">
      <c r="A255" s="62" t="inlineStr">
        <is>
          <t>26062201V</t>
        </is>
      </c>
      <c r="B255" s="62"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3" t="n"/>
      <c r="H255" s="43">
        <f>IF($G255="","",$E255-$G255)</f>
        <v/>
      </c>
    </row>
    <row r="256">
      <c r="A256" s="62" t="inlineStr">
        <is>
          <t>26062202</t>
        </is>
      </c>
      <c r="B256" s="62"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3" t="n"/>
      <c r="H256" s="43">
        <f>IF($G256="","",$E256-$G256)</f>
        <v/>
      </c>
    </row>
    <row r="257">
      <c r="A257" s="62" t="inlineStr">
        <is>
          <t>26062202V</t>
        </is>
      </c>
      <c r="B257" s="62"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3" t="n"/>
      <c r="H257" s="43">
        <f>IF($G257="","",$E257-$G257)</f>
        <v/>
      </c>
    </row>
    <row r="258">
      <c r="A258" s="62" t="inlineStr">
        <is>
          <t>26062403</t>
        </is>
      </c>
      <c r="B258" s="62"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3" t="n"/>
      <c r="H258" s="43">
        <f>IF($G258="","",$E258-$G258)</f>
        <v/>
      </c>
    </row>
    <row r="259">
      <c r="A259" s="62" t="inlineStr">
        <is>
          <t>26062403V</t>
        </is>
      </c>
      <c r="B259" s="62"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3" t="n"/>
      <c r="H259" s="43">
        <f>IF($G259="","",$E259-$G259)</f>
        <v/>
      </c>
    </row>
    <row r="260">
      <c r="A260" s="62" t="inlineStr">
        <is>
          <t>26062501</t>
        </is>
      </c>
      <c r="B260" s="62"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3" t="n"/>
      <c r="H260" s="43">
        <f>IF($G260="","",$E260-$G260)</f>
        <v/>
      </c>
    </row>
    <row r="261">
      <c r="A261" s="62" t="inlineStr">
        <is>
          <t>26062503</t>
        </is>
      </c>
      <c r="B261" s="62"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3" t="n"/>
      <c r="H261" s="43">
        <f>IF($G261="","",$E261-$G261)</f>
        <v/>
      </c>
    </row>
    <row r="262">
      <c r="A262" s="62" t="inlineStr">
        <is>
          <t>26062601</t>
        </is>
      </c>
      <c r="B262" s="62"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3" t="n"/>
      <c r="H262" s="43">
        <f>IF($G262="","",$E262-$G262)</f>
        <v/>
      </c>
    </row>
    <row r="263">
      <c r="A263" s="62" t="inlineStr">
        <is>
          <t>26062601V</t>
        </is>
      </c>
      <c r="B263" s="62"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3" t="n"/>
      <c r="H263" s="43">
        <f>IF($G263="","",$E263-$G263)</f>
        <v/>
      </c>
    </row>
    <row r="264">
      <c r="A264" s="62" t="inlineStr">
        <is>
          <t>26062901</t>
        </is>
      </c>
      <c r="B264" s="62"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3" t="n"/>
      <c r="H264" s="43">
        <f>IF($G264="","",$E264-$G264)</f>
        <v/>
      </c>
    </row>
    <row r="265">
      <c r="A265" s="62" t="inlineStr">
        <is>
          <t>26062902</t>
        </is>
      </c>
      <c r="B265" s="62"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3" t="n"/>
      <c r="H265" s="43">
        <f>IF($G265="","",$E265-$G265)</f>
        <v/>
      </c>
    </row>
    <row r="266">
      <c r="A266" s="62" t="inlineStr">
        <is>
          <t>26063002</t>
        </is>
      </c>
      <c r="B266" s="62"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3" t="n"/>
      <c r="H266" s="43">
        <f>IF($G266="","",$E266-$G266)</f>
        <v/>
      </c>
    </row>
    <row r="267">
      <c r="A267" s="62" t="inlineStr">
        <is>
          <t>26063002V</t>
        </is>
      </c>
      <c r="B267" s="62"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3" t="n"/>
      <c r="H267" s="43">
        <f>IF($G267="","",$E267-$G267)</f>
        <v/>
      </c>
    </row>
    <row r="268">
      <c r="A268" s="62" t="inlineStr">
        <is>
          <t>2606401V</t>
        </is>
      </c>
      <c r="B268" s="62"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3" t="n"/>
      <c r="H268" s="43">
        <f>IF($G268="","",$E268-$G268)</f>
        <v/>
      </c>
    </row>
    <row r="269">
      <c r="A269" s="62" t="inlineStr">
        <is>
          <t>2606901</t>
        </is>
      </c>
      <c r="B269" s="62"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3" t="n"/>
      <c r="H269" s="43">
        <f>IF($G269="","",$E269-$G269)</f>
        <v/>
      </c>
    </row>
    <row r="270">
      <c r="A270" s="62" t="inlineStr">
        <is>
          <t>2606902</t>
        </is>
      </c>
      <c r="B270" s="62"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3" t="n"/>
      <c r="H270" s="43">
        <f>IF($G270="","",$E270-$G270)</f>
        <v/>
      </c>
    </row>
    <row r="271">
      <c r="A271" s="62" t="inlineStr">
        <is>
          <t>2606903</t>
        </is>
      </c>
      <c r="B271" s="62"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3" t="n"/>
      <c r="H271" s="43">
        <f>IF($G271="","",$E271-$G271)</f>
        <v/>
      </c>
    </row>
    <row r="272">
      <c r="A272" s="62" t="inlineStr">
        <is>
          <t>2606903V</t>
        </is>
      </c>
      <c r="B272" s="62"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3" t="n"/>
      <c r="H272" s="43">
        <f>IF($G272="","",$E272-$G272)</f>
        <v/>
      </c>
    </row>
    <row r="273">
      <c r="A273" s="62" t="inlineStr">
        <is>
          <t>2606904</t>
        </is>
      </c>
      <c r="B273" s="62"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3" t="n"/>
      <c r="H273" s="43">
        <f>IF($G273="","",$E273-$G273)</f>
        <v/>
      </c>
    </row>
    <row r="274">
      <c r="A274" s="62" t="inlineStr">
        <is>
          <t>2606904V</t>
        </is>
      </c>
      <c r="B274" s="62"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3" t="n"/>
      <c r="H274" s="43">
        <f>IF($G274="","",$E274-$G274)</f>
        <v/>
      </c>
    </row>
    <row r="275">
      <c r="A275" s="62" t="inlineStr">
        <is>
          <t>2606905</t>
        </is>
      </c>
      <c r="B275" s="62"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3" t="n"/>
      <c r="H275" s="43">
        <f>IF($G275="","",$E275-$G275)</f>
        <v/>
      </c>
    </row>
    <row r="276">
      <c r="A276" s="62" t="inlineStr">
        <is>
          <t>2606906</t>
        </is>
      </c>
      <c r="B276" s="62"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3" t="n"/>
      <c r="H276" s="43">
        <f>IF($G276="","",$E276-$G276)</f>
        <v/>
      </c>
    </row>
    <row r="277">
      <c r="A277" s="62" t="inlineStr">
        <is>
          <t>26071303</t>
        </is>
      </c>
      <c r="B277" s="62"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3" t="n"/>
      <c r="H277" s="43">
        <f>IF($G277="","",$E277-$G277)</f>
        <v/>
      </c>
    </row>
    <row r="278">
      <c r="A278" s="62" t="inlineStr">
        <is>
          <t>26071304</t>
        </is>
      </c>
      <c r="B278" s="62"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3" t="n"/>
      <c r="H278" s="43">
        <f>IF($G278="","",$E278-$G278)</f>
        <v/>
      </c>
    </row>
    <row r="279">
      <c r="A279" s="62" t="inlineStr">
        <is>
          <t>26071403</t>
        </is>
      </c>
      <c r="B279" s="62"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3" t="n"/>
      <c r="H279" s="43">
        <f>IF($G279="","",$E279-$G279)</f>
        <v/>
      </c>
    </row>
    <row r="280">
      <c r="A280" s="62" t="inlineStr">
        <is>
          <t>26071404</t>
        </is>
      </c>
      <c r="B280" s="62"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3" t="n"/>
      <c r="H280" s="43">
        <f>IF($G280="","",$E280-$G280)</f>
        <v/>
      </c>
    </row>
    <row r="281">
      <c r="A281" s="62" t="inlineStr">
        <is>
          <t>26071405</t>
        </is>
      </c>
      <c r="B281" s="62"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3" t="n"/>
      <c r="H281" s="43">
        <f>IF($G281="","",$E281-$G281)</f>
        <v/>
      </c>
    </row>
    <row r="282">
      <c r="A282" s="62" t="inlineStr">
        <is>
          <t>26071501</t>
        </is>
      </c>
      <c r="B282" s="62"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3" t="n"/>
      <c r="H282" s="43">
        <f>IF($G282="","",$E282-$G282)</f>
        <v/>
      </c>
    </row>
    <row r="283">
      <c r="A283" s="62" t="inlineStr">
        <is>
          <t>26071501V</t>
        </is>
      </c>
      <c r="B283" s="62"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3" t="n"/>
      <c r="H283" s="43">
        <f>IF($G283="","",$E283-$G283)</f>
        <v/>
      </c>
    </row>
    <row r="284">
      <c r="A284" s="62" t="inlineStr">
        <is>
          <t>26071601</t>
        </is>
      </c>
      <c r="B284" s="62"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3" t="n"/>
      <c r="H284" s="43">
        <f>IF($G284="","",$E284-$G284)</f>
        <v/>
      </c>
    </row>
    <row r="285">
      <c r="A285" s="62" t="inlineStr">
        <is>
          <t>26071701</t>
        </is>
      </c>
      <c r="B285" s="62"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3" t="n"/>
      <c r="H285" s="43">
        <f>IF($G285="","",$E285-$G285)</f>
        <v/>
      </c>
    </row>
    <row r="286">
      <c r="A286" s="62" t="inlineStr">
        <is>
          <t>26071701V</t>
        </is>
      </c>
      <c r="B286" s="62"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3" t="n"/>
      <c r="H286" s="43">
        <f>IF($G286="","",$E286-$G286)</f>
        <v/>
      </c>
    </row>
    <row r="287">
      <c r="A287" s="62" t="inlineStr">
        <is>
          <t>26071901</t>
        </is>
      </c>
      <c r="B287" s="62"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3" t="n"/>
      <c r="H287" s="43">
        <f>IF($G287="","",$E287-$G287)</f>
        <v/>
      </c>
    </row>
    <row r="288">
      <c r="A288" s="62" t="inlineStr">
        <is>
          <t>26072003</t>
        </is>
      </c>
      <c r="B288" s="62"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3" t="n"/>
      <c r="H288" s="43">
        <f>IF($G288="","",$E288-$G288)</f>
        <v/>
      </c>
    </row>
    <row r="289">
      <c r="A289" s="62" t="inlineStr">
        <is>
          <t>26072101</t>
        </is>
      </c>
      <c r="B289" s="62"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3" t="n"/>
      <c r="H289" s="43">
        <f>IF($G289="","",$E289-$G289)</f>
        <v/>
      </c>
    </row>
    <row r="290">
      <c r="A290" s="62" t="inlineStr">
        <is>
          <t>26072101</t>
        </is>
      </c>
      <c r="B290" s="62"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3" t="n"/>
      <c r="H290" s="43">
        <f>IF($G290="","",$E290-$G290)</f>
        <v/>
      </c>
    </row>
    <row r="291">
      <c r="A291" s="62" t="inlineStr">
        <is>
          <t>26072102</t>
        </is>
      </c>
      <c r="B291" s="62"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3" t="n"/>
      <c r="H291" s="43">
        <f>IF($G291="","",$E291-$G291)</f>
        <v/>
      </c>
    </row>
    <row r="292">
      <c r="A292" s="62" t="inlineStr">
        <is>
          <t>26072102V</t>
        </is>
      </c>
      <c r="B292" s="62"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3" t="n"/>
      <c r="H292" s="43">
        <f>IF($G292="","",$E292-$G292)</f>
        <v/>
      </c>
    </row>
    <row r="293">
      <c r="A293" s="62" t="inlineStr">
        <is>
          <t>26072802</t>
        </is>
      </c>
      <c r="B293" s="62"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3" t="n"/>
      <c r="H293" s="43">
        <f>IF($G293="","",$E293-$G293)</f>
        <v/>
      </c>
    </row>
    <row r="294">
      <c r="A294" s="62" t="inlineStr">
        <is>
          <t>26072802V</t>
        </is>
      </c>
      <c r="B294" s="62"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3" t="n"/>
      <c r="H294" s="43">
        <f>IF($G294="","",$E294-$G294)</f>
        <v/>
      </c>
    </row>
    <row r="295">
      <c r="A295" s="62" t="inlineStr">
        <is>
          <t>26072902</t>
        </is>
      </c>
      <c r="B295" s="62"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3" t="n"/>
      <c r="H295" s="43">
        <f>IF($G295="","",$E295-$G295)</f>
        <v/>
      </c>
    </row>
    <row r="296">
      <c r="A296" s="62" t="inlineStr">
        <is>
          <t>26072902V</t>
        </is>
      </c>
      <c r="B296" s="62"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3" t="n"/>
      <c r="H296" s="43">
        <f>IF($G296="","",$E296-$G296)</f>
        <v/>
      </c>
    </row>
    <row r="297">
      <c r="A297" s="62" t="inlineStr">
        <is>
          <t>26072903</t>
        </is>
      </c>
      <c r="B297" s="62"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3" t="n"/>
      <c r="H297" s="43">
        <f>IF($G297="","",$E297-$G297)</f>
        <v/>
      </c>
    </row>
    <row r="298">
      <c r="A298" s="62" t="inlineStr">
        <is>
          <t>26072903V</t>
        </is>
      </c>
      <c r="B298" s="62"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3" t="n"/>
      <c r="H298" s="43">
        <f>IF($G298="","",$E298-$G298)</f>
        <v/>
      </c>
    </row>
    <row r="299">
      <c r="A299" s="62" t="inlineStr">
        <is>
          <t>26072906</t>
        </is>
      </c>
      <c r="B299" s="62"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3" t="n"/>
      <c r="H299" s="43">
        <f>IF($G299="","",$E299-$G299)</f>
        <v/>
      </c>
    </row>
    <row r="300">
      <c r="A300" s="62" t="inlineStr">
        <is>
          <t>26072906V</t>
        </is>
      </c>
      <c r="B300" s="62"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3" t="n"/>
      <c r="H300" s="43">
        <f>IF($G300="","",$E300-$G300)</f>
        <v/>
      </c>
    </row>
    <row r="301">
      <c r="A301" s="62" t="inlineStr">
        <is>
          <t>26073103</t>
        </is>
      </c>
      <c r="B301" s="62"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3" t="n"/>
      <c r="H301" s="43">
        <f>IF($G301="","",$E301-$G301)</f>
        <v/>
      </c>
    </row>
    <row r="302">
      <c r="A302" s="62" t="inlineStr">
        <is>
          <t>26073103N</t>
        </is>
      </c>
      <c r="B302" s="62"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3" t="n"/>
      <c r="H302" s="43">
        <f>IF($G302="","",$E302-$G302)</f>
        <v/>
      </c>
    </row>
    <row r="303">
      <c r="A303" s="62" t="inlineStr">
        <is>
          <t>26073105</t>
        </is>
      </c>
      <c r="B303" s="62"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3" t="n"/>
      <c r="H303" s="43">
        <f>IF($G303="","",$E303-$G303)</f>
        <v/>
      </c>
    </row>
    <row r="304">
      <c r="A304" s="62" t="inlineStr">
        <is>
          <t>26073106</t>
        </is>
      </c>
      <c r="B304" s="62"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3" t="n"/>
      <c r="H304" s="43">
        <f>IF($G304="","",$E304-$G304)</f>
        <v/>
      </c>
    </row>
    <row r="305">
      <c r="A305" s="62" t="inlineStr">
        <is>
          <t>26073107</t>
        </is>
      </c>
      <c r="B305" s="62"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3" t="n"/>
      <c r="H305" s="43">
        <f>IF($G305="","",$E305-$G305)</f>
        <v/>
      </c>
    </row>
    <row r="306">
      <c r="A306" s="62" t="inlineStr">
        <is>
          <t>26073110</t>
        </is>
      </c>
      <c r="B306" s="62"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3" t="n"/>
      <c r="H306" s="43">
        <f>IF($G306="","",$E306-$G306)</f>
        <v/>
      </c>
    </row>
    <row r="307">
      <c r="A307" s="62" t="inlineStr">
        <is>
          <t>26073110V</t>
        </is>
      </c>
      <c r="B307" s="62"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3" t="n"/>
      <c r="H307" s="43">
        <f>IF($G307="","",$E307-$G307)</f>
        <v/>
      </c>
    </row>
    <row r="308">
      <c r="A308" s="62" t="inlineStr">
        <is>
          <t>26073111</t>
        </is>
      </c>
      <c r="B308" s="62"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3" t="n"/>
      <c r="H308" s="43">
        <f>IF($G308="","",$E308-$G308)</f>
        <v/>
      </c>
    </row>
    <row r="309">
      <c r="A309" s="62" t="inlineStr">
        <is>
          <t>26073111V</t>
        </is>
      </c>
      <c r="B309" s="62"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3" t="n"/>
      <c r="H309" s="43">
        <f>IF($G309="","",$E309-$G309)</f>
        <v/>
      </c>
    </row>
    <row r="310">
      <c r="A310" s="62" t="inlineStr">
        <is>
          <t>2607703</t>
        </is>
      </c>
      <c r="B310" s="62"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3" t="n"/>
      <c r="H310" s="43">
        <f>IF($G310="","",$E310-$G310)</f>
        <v/>
      </c>
    </row>
    <row r="311">
      <c r="A311" s="62" t="inlineStr">
        <is>
          <t>2607703V</t>
        </is>
      </c>
      <c r="B311" s="62"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3" t="n"/>
      <c r="H311" s="43">
        <f>IF($G311="","",$E311-$G311)</f>
        <v/>
      </c>
    </row>
    <row r="312">
      <c r="A312" s="62" t="inlineStr">
        <is>
          <t>2608101</t>
        </is>
      </c>
      <c r="B312" s="62"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3" t="n"/>
      <c r="H312" s="43">
        <f>IF($G312="","",$E312-$G312)</f>
        <v/>
      </c>
    </row>
    <row r="313">
      <c r="A313" s="62" t="inlineStr">
        <is>
          <t>2608101V</t>
        </is>
      </c>
      <c r="B313" s="62"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3" t="n"/>
      <c r="H313" s="43">
        <f>IF($G313="","",$E313-$G313)</f>
        <v/>
      </c>
    </row>
    <row r="314">
      <c r="A314" s="62" t="inlineStr">
        <is>
          <t>2608102</t>
        </is>
      </c>
      <c r="B314" s="62"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3" t="n"/>
      <c r="H314" s="43">
        <f>IF($G314="","",$E314-$G314)</f>
        <v/>
      </c>
    </row>
    <row r="315">
      <c r="A315" s="62" t="inlineStr">
        <is>
          <t>26081101</t>
        </is>
      </c>
      <c r="B315" s="62"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3" t="n"/>
      <c r="H315" s="43">
        <f>IF($G315="","",$E315-$G315)</f>
        <v/>
      </c>
    </row>
    <row r="316">
      <c r="A316" s="62" t="inlineStr">
        <is>
          <t>26081302</t>
        </is>
      </c>
      <c r="B316" s="62"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3" t="n"/>
      <c r="H316" s="43">
        <f>IF($G316="","",$E316-$G316)</f>
        <v/>
      </c>
    </row>
    <row r="317">
      <c r="A317" s="62" t="inlineStr">
        <is>
          <t>26081302V</t>
        </is>
      </c>
      <c r="B317" s="62"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3" t="n"/>
      <c r="H317" s="43">
        <f>IF($G317="","",$E317-$G317)</f>
        <v/>
      </c>
    </row>
    <row r="318">
      <c r="A318" s="62" t="inlineStr">
        <is>
          <t>26081402</t>
        </is>
      </c>
      <c r="B318" s="62"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3" t="n"/>
      <c r="H318" s="43">
        <f>IF($G318="","",$E318-$G318)</f>
        <v/>
      </c>
    </row>
    <row r="319">
      <c r="A319" s="62" t="inlineStr">
        <is>
          <t>26081801</t>
        </is>
      </c>
      <c r="B319" s="62"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3" t="n"/>
      <c r="H319" s="43">
        <f>IF($G319="","",$E319-$G319)</f>
        <v/>
      </c>
    </row>
    <row r="320">
      <c r="A320" s="62" t="inlineStr">
        <is>
          <t>26081801V</t>
        </is>
      </c>
      <c r="B320" s="62"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3" t="n"/>
      <c r="H320" s="43">
        <f>IF($G320="","",$E320-$G320)</f>
        <v/>
      </c>
    </row>
    <row r="321">
      <c r="A321" s="62" t="inlineStr">
        <is>
          <t>26081901</t>
        </is>
      </c>
      <c r="B321" s="62"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3" t="n"/>
      <c r="H321" s="43">
        <f>IF($G321="","",$E321-$G321)</f>
        <v/>
      </c>
    </row>
    <row r="322">
      <c r="A322" s="62" t="inlineStr">
        <is>
          <t>26081904</t>
        </is>
      </c>
      <c r="B322" s="62"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3" t="n"/>
      <c r="H322" s="43">
        <f>IF($G322="","",$E322-$G322)</f>
        <v/>
      </c>
    </row>
    <row r="323">
      <c r="A323" s="62" t="inlineStr">
        <is>
          <t>26082402</t>
        </is>
      </c>
      <c r="B323" s="62"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3" t="n"/>
      <c r="H323" s="43">
        <f>IF($G323="","",$E323-$G323)</f>
        <v/>
      </c>
    </row>
    <row r="324">
      <c r="A324" s="62" t="inlineStr">
        <is>
          <t>26082402V</t>
        </is>
      </c>
      <c r="B324" s="62"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3" t="n"/>
      <c r="H324" s="43">
        <f>IF($G324="","",$E324-$G324)</f>
        <v/>
      </c>
    </row>
    <row r="325">
      <c r="A325" s="62" t="inlineStr">
        <is>
          <t>26082501</t>
        </is>
      </c>
      <c r="B325" s="62"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3" t="n"/>
      <c r="H325" s="43">
        <f>IF($G325="","",$E325-$G325)</f>
        <v/>
      </c>
    </row>
    <row r="326">
      <c r="A326" s="62" t="inlineStr">
        <is>
          <t>26082502</t>
        </is>
      </c>
      <c r="B326" s="62"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3" t="n"/>
      <c r="H326" s="43">
        <f>IF($G326="","",$E326-$G326)</f>
        <v/>
      </c>
    </row>
    <row r="327">
      <c r="A327" s="62" t="inlineStr">
        <is>
          <t>26082502V</t>
        </is>
      </c>
      <c r="B327" s="62"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3" t="n"/>
      <c r="H327" s="43">
        <f>IF($G327="","",$E327-$G327)</f>
        <v/>
      </c>
    </row>
    <row r="328">
      <c r="A328" s="62" t="inlineStr">
        <is>
          <t>26082702</t>
        </is>
      </c>
      <c r="B328" s="62"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3" t="n"/>
      <c r="H328" s="43">
        <f>IF($G328="","",$E328-$G328)</f>
        <v/>
      </c>
    </row>
    <row r="329">
      <c r="A329" s="62" t="inlineStr">
        <is>
          <t>26082703</t>
        </is>
      </c>
      <c r="B329" s="62"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3" t="n"/>
      <c r="H329" s="43">
        <f>IF($G329="","",$E329-$G329)</f>
        <v/>
      </c>
    </row>
    <row r="330">
      <c r="A330" s="62" t="inlineStr">
        <is>
          <t>26082703V</t>
        </is>
      </c>
      <c r="B330" s="62"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3" t="n"/>
      <c r="H330" s="43">
        <f>IF($G330="","",$E330-$G330)</f>
        <v/>
      </c>
    </row>
    <row r="331">
      <c r="A331" s="62" t="inlineStr">
        <is>
          <t>26082704</t>
        </is>
      </c>
      <c r="B331" s="62"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3" t="n"/>
      <c r="H331" s="43">
        <f>IF($G331="","",$E331-$G331)</f>
        <v/>
      </c>
    </row>
    <row r="332">
      <c r="A332" s="62" t="inlineStr">
        <is>
          <t>26082801</t>
        </is>
      </c>
      <c r="B332" s="62"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3" t="n"/>
      <c r="H332" s="43">
        <f>IF($G332="","",$E332-$G332)</f>
        <v/>
      </c>
    </row>
    <row r="333">
      <c r="A333" s="62" t="inlineStr">
        <is>
          <t>2608402</t>
        </is>
      </c>
      <c r="B333" s="62"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3" t="n"/>
      <c r="H333" s="43">
        <f>IF($G333="","",$E333-$G333)</f>
        <v/>
      </c>
    </row>
    <row r="334">
      <c r="A334" s="62" t="inlineStr">
        <is>
          <t>2608404</t>
        </is>
      </c>
      <c r="B334" s="62"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3" t="n"/>
      <c r="H334" s="43">
        <f>IF($G334="","",$E334-$G334)</f>
        <v/>
      </c>
    </row>
    <row r="335">
      <c r="A335" s="62" t="inlineStr">
        <is>
          <t>2608404V</t>
        </is>
      </c>
      <c r="B335" s="62"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3" t="n"/>
      <c r="H335" s="43">
        <f>IF($G335="","",$E335-$G335)</f>
        <v/>
      </c>
    </row>
    <row r="336">
      <c r="A336" s="62" t="inlineStr">
        <is>
          <t>2608604</t>
        </is>
      </c>
      <c r="B336" s="62"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3" t="n"/>
      <c r="H336" s="43">
        <f>IF($G336="","",$E336-$G336)</f>
        <v/>
      </c>
    </row>
    <row r="337">
      <c r="A337" s="62" t="inlineStr">
        <is>
          <t>2608604V</t>
        </is>
      </c>
      <c r="B337" s="62"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3" t="n"/>
      <c r="H337" s="43">
        <f>IF($G337="","",$E337-$G337)</f>
        <v/>
      </c>
    </row>
    <row r="338">
      <c r="A338" s="62" t="inlineStr">
        <is>
          <t>2608701</t>
        </is>
      </c>
      <c r="B338" s="62"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3" t="n"/>
      <c r="H338" s="43">
        <f>IF($G338="","",$E338-$G338)</f>
        <v/>
      </c>
    </row>
    <row r="339">
      <c r="A339" s="62" t="inlineStr">
        <is>
          <t>2608702</t>
        </is>
      </c>
      <c r="B339" s="62"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3" t="n"/>
      <c r="H339" s="43">
        <f>IF($G339="","",$E339-$G339)</f>
        <v/>
      </c>
    </row>
    <row r="340">
      <c r="A340" s="62" t="inlineStr">
        <is>
          <t>26091002</t>
        </is>
      </c>
      <c r="B340" s="62"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3" t="n"/>
      <c r="H340" s="43">
        <f>IF($G340="","",$E340-$G340)</f>
        <v/>
      </c>
    </row>
    <row r="341">
      <c r="A341" s="62" t="inlineStr">
        <is>
          <t>26091002V</t>
        </is>
      </c>
      <c r="B341" s="62"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3" t="n"/>
      <c r="H341" s="43">
        <f>IF($G341="","",$E341-$G341)</f>
        <v/>
      </c>
    </row>
    <row r="342">
      <c r="A342" s="62" t="inlineStr">
        <is>
          <t>26091601</t>
        </is>
      </c>
      <c r="B342" s="62"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3" t="n"/>
      <c r="H342" s="43">
        <f>IF($G342="","",$E342-$G342)</f>
        <v/>
      </c>
    </row>
    <row r="343">
      <c r="A343" s="62" t="inlineStr">
        <is>
          <t>26091601V</t>
        </is>
      </c>
      <c r="B343" s="62"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3" t="n"/>
      <c r="H343" s="43">
        <f>IF($G343="","",$E343-$G343)</f>
        <v/>
      </c>
    </row>
    <row r="344">
      <c r="A344" s="62" t="inlineStr">
        <is>
          <t>26091604</t>
        </is>
      </c>
      <c r="B344" s="62"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3" t="n"/>
      <c r="H344" s="43">
        <f>IF($G344="","",$E344-$G344)</f>
        <v/>
      </c>
    </row>
    <row r="345">
      <c r="A345" s="62" t="inlineStr">
        <is>
          <t>26091604V</t>
        </is>
      </c>
      <c r="B345" s="62"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3" t="n"/>
      <c r="H345" s="43">
        <f>IF($G345="","",$E345-$G345)</f>
        <v/>
      </c>
    </row>
    <row r="346">
      <c r="A346" s="62" t="inlineStr">
        <is>
          <t>2609402</t>
        </is>
      </c>
      <c r="B346" s="62"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3" t="n"/>
      <c r="H346" s="43">
        <f>IF($G346="","",$E346-$G346)</f>
        <v/>
      </c>
    </row>
    <row r="347">
      <c r="A347" s="62" t="inlineStr">
        <is>
          <t>2609402V</t>
        </is>
      </c>
      <c r="B347" s="62"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3" t="n"/>
      <c r="H347" s="43">
        <f>IF($G347="","",$E347-$G347)</f>
        <v/>
      </c>
    </row>
    <row r="348">
      <c r="A348" s="62" t="inlineStr">
        <is>
          <t>2609801</t>
        </is>
      </c>
      <c r="B348" s="62"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3" t="n"/>
      <c r="H348" s="43">
        <f>IF($G348="","",$E348-$G348)</f>
        <v/>
      </c>
    </row>
    <row r="349">
      <c r="A349" s="62" t="inlineStr">
        <is>
          <t>2645</t>
        </is>
      </c>
      <c r="B349" s="62"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3" t="n"/>
      <c r="H349" s="43">
        <f>IF($G349="","",$E349-$G349)</f>
        <v/>
      </c>
    </row>
    <row r="350">
      <c r="A350" s="62" t="inlineStr">
        <is>
          <t>2648</t>
        </is>
      </c>
      <c r="B350" s="62"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3" t="n"/>
      <c r="H350" s="43">
        <f>IF($G350="","",$E350-$G350)</f>
        <v/>
      </c>
    </row>
    <row r="351">
      <c r="A351" s="62" t="inlineStr">
        <is>
          <t>2658</t>
        </is>
      </c>
      <c r="B351" s="62"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3" t="n"/>
      <c r="H351" s="43">
        <f>IF($G351="","",$E351-$G351)</f>
        <v/>
      </c>
    </row>
    <row r="352">
      <c r="A352" s="62" t="inlineStr">
        <is>
          <t>2675</t>
        </is>
      </c>
      <c r="B352" s="62"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3" t="n"/>
      <c r="H352" s="43">
        <f>IF($G352="","",$E352-$G352)</f>
        <v/>
      </c>
    </row>
    <row r="353">
      <c r="A353" s="62" t="inlineStr">
        <is>
          <t>2685</t>
        </is>
      </c>
      <c r="B353" s="62"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3" t="n"/>
      <c r="H353" s="43">
        <f>IF($G353="","",$E353-$G353)</f>
        <v/>
      </c>
    </row>
    <row r="354">
      <c r="A354" s="62" t="inlineStr">
        <is>
          <t>2706</t>
        </is>
      </c>
      <c r="B354" s="62"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3" t="n"/>
      <c r="H354" s="43">
        <f>IF($G354="","",$E354-$G354)</f>
        <v/>
      </c>
    </row>
    <row r="355">
      <c r="A355" s="62" t="inlineStr">
        <is>
          <t>2719</t>
        </is>
      </c>
      <c r="B355" s="62"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3" t="n"/>
      <c r="H355" s="43">
        <f>IF($G355="","",$E355-$G355)</f>
        <v/>
      </c>
    </row>
    <row r="356">
      <c r="A356" s="62" t="inlineStr">
        <is>
          <t>2722</t>
        </is>
      </c>
      <c r="B356" s="62"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3" t="n"/>
      <c r="H356" s="43">
        <f>IF($G356="","",$E356-$G356)</f>
        <v/>
      </c>
    </row>
    <row r="357">
      <c r="A357" s="62" t="inlineStr">
        <is>
          <t>2726</t>
        </is>
      </c>
      <c r="B357" s="62"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3" t="n"/>
      <c r="H357" s="43">
        <f>IF($G357="","",$E357-$G357)</f>
        <v/>
      </c>
    </row>
    <row r="358">
      <c r="A358" s="62" t="inlineStr">
        <is>
          <t>2756</t>
        </is>
      </c>
      <c r="B358" s="62"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3" t="n"/>
      <c r="H358" s="43">
        <f>IF($G358="","",$E358-$G358)</f>
        <v/>
      </c>
    </row>
    <row r="359">
      <c r="A359" s="62" t="inlineStr">
        <is>
          <t>2834</t>
        </is>
      </c>
      <c r="B359" s="62"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3" t="n"/>
      <c r="H359" s="43">
        <f>IF($G359="","",$E359-$G359)</f>
        <v/>
      </c>
    </row>
    <row r="360">
      <c r="A360" s="62" t="inlineStr">
        <is>
          <t>2838</t>
        </is>
      </c>
      <c r="B360" s="62"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3" t="n"/>
      <c r="H360" s="43">
        <f>IF($G360="","",$E360-$G360)</f>
        <v/>
      </c>
    </row>
    <row r="361">
      <c r="A361" s="62" t="inlineStr">
        <is>
          <t>2846</t>
        </is>
      </c>
      <c r="B361" s="62"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3" t="n"/>
      <c r="H361" s="43">
        <f>IF($G361="","",$E361-$G361)</f>
        <v/>
      </c>
    </row>
    <row r="362">
      <c r="A362" s="62" t="inlineStr">
        <is>
          <t>2848</t>
        </is>
      </c>
      <c r="B362" s="62"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3" t="n"/>
      <c r="H362" s="43">
        <f>IF($G362="","",$E362-$G362)</f>
        <v/>
      </c>
    </row>
    <row r="363">
      <c r="A363" s="62" t="inlineStr">
        <is>
          <t>2849</t>
        </is>
      </c>
      <c r="B363" s="62"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3" t="n"/>
      <c r="H363" s="43">
        <f>IF($G363="","",$E363-$G363)</f>
        <v/>
      </c>
    </row>
    <row r="364">
      <c r="A364" s="62" t="inlineStr">
        <is>
          <t>2855</t>
        </is>
      </c>
      <c r="B364" s="62"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3" t="n"/>
      <c r="H364" s="43">
        <f>IF($G364="","",$E364-$G364)</f>
        <v/>
      </c>
    </row>
    <row r="365">
      <c r="A365" s="62" t="inlineStr">
        <is>
          <t>2857</t>
        </is>
      </c>
      <c r="B365" s="62"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3" t="n"/>
      <c r="H365" s="43">
        <f>IF($G365="","",$E365-$G365)</f>
        <v/>
      </c>
    </row>
    <row r="366">
      <c r="A366" s="62" t="inlineStr">
        <is>
          <t>2877</t>
        </is>
      </c>
      <c r="B366" s="62"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3" t="n"/>
      <c r="H366" s="43">
        <f>IF($G366="","",$E366-$G366)</f>
        <v/>
      </c>
    </row>
    <row r="367">
      <c r="A367" s="62" t="inlineStr">
        <is>
          <t>2879</t>
        </is>
      </c>
      <c r="B367" s="62"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3" t="n"/>
      <c r="H367" s="43">
        <f>IF($G367="","",$E367-$G367)</f>
        <v/>
      </c>
    </row>
    <row r="368">
      <c r="A368" s="62" t="inlineStr">
        <is>
          <t>2880</t>
        </is>
      </c>
      <c r="B368" s="62"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3" t="n"/>
      <c r="H368" s="43">
        <f>IF($G368="","",$E368-$G368)</f>
        <v/>
      </c>
    </row>
    <row r="369">
      <c r="A369" s="62" t="inlineStr">
        <is>
          <t>2892</t>
        </is>
      </c>
      <c r="B369" s="62"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3" t="n"/>
      <c r="H369" s="43">
        <f>IF($G369="","",$E369-$G369)</f>
        <v/>
      </c>
    </row>
    <row r="370">
      <c r="A370" s="62" t="inlineStr">
        <is>
          <t>2896</t>
        </is>
      </c>
      <c r="B370" s="62"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3" t="n"/>
      <c r="H370" s="43">
        <f>IF($G370="","",$E370-$G370)</f>
        <v/>
      </c>
    </row>
    <row r="371">
      <c r="A371" s="62" t="inlineStr">
        <is>
          <t>2897</t>
        </is>
      </c>
      <c r="B371" s="62"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3" t="n"/>
      <c r="H371" s="43">
        <f>IF($G371="","",$E371-$G371)</f>
        <v/>
      </c>
    </row>
    <row r="372">
      <c r="A372" s="62" t="inlineStr">
        <is>
          <t>2900</t>
        </is>
      </c>
      <c r="B372" s="62"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3" t="n"/>
      <c r="H372" s="43">
        <f>IF($G372="","",$E372-$G372)</f>
        <v/>
      </c>
    </row>
    <row r="373">
      <c r="A373" s="62" t="inlineStr">
        <is>
          <t>2906</t>
        </is>
      </c>
      <c r="B373" s="62"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3" t="n"/>
      <c r="H373" s="43">
        <f>IF($G373="","",$E373-$G373)</f>
        <v/>
      </c>
    </row>
    <row r="374">
      <c r="A374" s="62" t="inlineStr">
        <is>
          <t>2907</t>
        </is>
      </c>
      <c r="B374" s="62"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3" t="n"/>
      <c r="H374" s="43">
        <f>IF($G374="","",$E374-$G374)</f>
        <v/>
      </c>
    </row>
    <row r="375">
      <c r="A375" s="62" t="inlineStr">
        <is>
          <t>2910</t>
        </is>
      </c>
      <c r="B375" s="62"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3" t="n"/>
      <c r="H375" s="43">
        <f>IF($G375="","",$E375-$G375)</f>
        <v/>
      </c>
    </row>
    <row r="376">
      <c r="A376" s="62" t="inlineStr">
        <is>
          <t>2977</t>
        </is>
      </c>
      <c r="B376" s="62"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3" t="n"/>
      <c r="H376" s="43">
        <f>IF($G376="","",$E376-$G376)</f>
        <v/>
      </c>
    </row>
    <row r="377">
      <c r="A377" s="62" t="inlineStr">
        <is>
          <t>3014</t>
        </is>
      </c>
      <c r="B377" s="62"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3" t="n"/>
      <c r="H377" s="43">
        <f>IF($G377="","",$E377-$G377)</f>
        <v/>
      </c>
    </row>
    <row r="378">
      <c r="A378" s="62" t="inlineStr">
        <is>
          <t>3015</t>
        </is>
      </c>
      <c r="B378" s="62"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3" t="n"/>
      <c r="H378" s="43">
        <f>IF($G378="","",$E378-$G378)</f>
        <v/>
      </c>
    </row>
    <row r="379">
      <c r="A379" s="62" t="inlineStr">
        <is>
          <t>3027</t>
        </is>
      </c>
      <c r="B379" s="62"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3" t="n"/>
      <c r="H379" s="43">
        <f>IF($G379="","",$E379-$G379)</f>
        <v/>
      </c>
    </row>
    <row r="380">
      <c r="A380" s="62" t="inlineStr">
        <is>
          <t>3028</t>
        </is>
      </c>
      <c r="B380" s="62"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3" t="n"/>
      <c r="H380" s="43">
        <f>IF($G380="","",$E380-$G380)</f>
        <v/>
      </c>
    </row>
    <row r="381">
      <c r="A381" s="62" t="inlineStr">
        <is>
          <t>3034</t>
        </is>
      </c>
      <c r="B381" s="62"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3" t="n"/>
      <c r="H381" s="43">
        <f>IF($G381="","",$E381-$G381)</f>
        <v/>
      </c>
    </row>
    <row r="382">
      <c r="A382" s="62" t="inlineStr">
        <is>
          <t>3035</t>
        </is>
      </c>
      <c r="B382" s="62"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3" t="n"/>
      <c r="H382" s="43">
        <f>IF($G382="","",$E382-$G382)</f>
        <v/>
      </c>
    </row>
    <row r="383">
      <c r="A383" s="62" t="inlineStr">
        <is>
          <t>3040</t>
        </is>
      </c>
      <c r="B383" s="62"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3" t="n"/>
      <c r="H383" s="43">
        <f>IF($G383="","",$E383-$G383)</f>
        <v/>
      </c>
    </row>
    <row r="384">
      <c r="A384" s="62" t="inlineStr">
        <is>
          <t>3042</t>
        </is>
      </c>
      <c r="B384" s="62"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3" t="n"/>
      <c r="H384" s="43">
        <f>IF($G384="","",$E384-$G384)</f>
        <v/>
      </c>
    </row>
    <row r="385">
      <c r="A385" s="62" t="inlineStr">
        <is>
          <t>3046</t>
        </is>
      </c>
      <c r="B385" s="62"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3" t="n"/>
      <c r="H385" s="43">
        <f>IF($G385="","",$E385-$G385)</f>
        <v/>
      </c>
    </row>
    <row r="386">
      <c r="A386" s="62" t="inlineStr">
        <is>
          <t>3047</t>
        </is>
      </c>
      <c r="B386" s="62"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3" t="n"/>
      <c r="H386" s="43">
        <f>IF($G386="","",$E386-$G386)</f>
        <v/>
      </c>
    </row>
    <row r="387">
      <c r="A387" s="62" t="inlineStr">
        <is>
          <t>3048</t>
        </is>
      </c>
      <c r="B387" s="62"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3" t="n"/>
      <c r="H387" s="43">
        <f>IF($G387="","",$E387-$G387)</f>
        <v/>
      </c>
    </row>
    <row r="388">
      <c r="A388" s="62" t="inlineStr">
        <is>
          <t>3056</t>
        </is>
      </c>
      <c r="B388" s="62"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3" t="n"/>
      <c r="H388" s="43">
        <f>IF($G388="","",$E388-$G388)</f>
        <v/>
      </c>
    </row>
    <row r="389">
      <c r="A389" s="62" t="inlineStr">
        <is>
          <t>3057</t>
        </is>
      </c>
      <c r="B389" s="62"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3" t="n"/>
      <c r="H389" s="43">
        <f>IF($G389="","",$E389-$G389)</f>
        <v/>
      </c>
    </row>
    <row r="390">
      <c r="A390" s="62" t="inlineStr">
        <is>
          <t>3059</t>
        </is>
      </c>
      <c r="B390" s="62"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3" t="n"/>
      <c r="H390" s="43">
        <f>IF($G390="","",$E390-$G390)</f>
        <v/>
      </c>
    </row>
    <row r="391">
      <c r="A391" s="62" t="inlineStr">
        <is>
          <t>3068</t>
        </is>
      </c>
      <c r="B391" s="62"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3" t="n"/>
      <c r="H391" s="43">
        <f>IF($G391="","",$E391-$G391)</f>
        <v/>
      </c>
    </row>
    <row r="392">
      <c r="A392" s="62" t="inlineStr">
        <is>
          <t>3072</t>
        </is>
      </c>
      <c r="B392" s="62"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3" t="n"/>
      <c r="H392" s="43">
        <f>IF($G392="","",$E392-$G392)</f>
        <v/>
      </c>
    </row>
    <row r="393">
      <c r="A393" s="62" t="inlineStr">
        <is>
          <t>585</t>
        </is>
      </c>
      <c r="B393" s="62"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3" t="n"/>
      <c r="H393" s="43">
        <f>IF($G393="","",$E393-$G393)</f>
        <v/>
      </c>
    </row>
    <row r="394">
      <c r="A394" s="62" t="inlineStr">
        <is>
          <t>586</t>
        </is>
      </c>
      <c r="B394" s="62"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3" t="n"/>
      <c r="H394" s="43">
        <f>IF($G394="","",$E394-$G394)</f>
        <v/>
      </c>
    </row>
    <row r="395">
      <c r="A395" s="62" t="inlineStr">
        <is>
          <t>587</t>
        </is>
      </c>
      <c r="B395" s="62"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3" t="n"/>
      <c r="H395" s="43">
        <f>IF($G395="","",$E395-$G395)</f>
        <v/>
      </c>
    </row>
    <row r="396">
      <c r="A396" s="62" t="inlineStr">
        <is>
          <t>724</t>
        </is>
      </c>
      <c r="B396" s="62"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3" t="n"/>
      <c r="H396" s="43">
        <f>IF($G396="","",$E396-$G396)</f>
        <v/>
      </c>
    </row>
    <row r="397">
      <c r="A397" s="62" t="inlineStr">
        <is>
          <t>725</t>
        </is>
      </c>
      <c r="B397" s="62"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3" t="n"/>
      <c r="H397" s="43">
        <f>IF($G397="","",$E397-$G397)</f>
        <v/>
      </c>
    </row>
    <row r="398">
      <c r="A398" s="62" t="inlineStr">
        <is>
          <t>729</t>
        </is>
      </c>
      <c r="B398" s="62"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3" t="n"/>
      <c r="H398" s="43">
        <f>IF($G398="","",$E398-$G398)</f>
        <v/>
      </c>
    </row>
    <row r="399">
      <c r="A399" s="62" t="inlineStr">
        <is>
          <t>732</t>
        </is>
      </c>
      <c r="B399" s="62"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3" t="n"/>
      <c r="H399" s="43">
        <f>IF($G399="","",$E399-$G399)</f>
        <v/>
      </c>
    </row>
    <row r="400">
      <c r="A400" s="62" t="inlineStr">
        <is>
          <t>9000</t>
        </is>
      </c>
      <c r="B400" s="62"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3" t="n"/>
      <c r="H400" s="43">
        <f>IF($G400="","",$E400-$G400)</f>
        <v/>
      </c>
    </row>
    <row r="401">
      <c r="A401" s="62" t="inlineStr">
        <is>
          <t>9001</t>
        </is>
      </c>
      <c r="B401" s="62"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3" t="n"/>
      <c r="H401" s="43">
        <f>IF($G401="","",$E401-$G401)</f>
        <v/>
      </c>
    </row>
    <row r="402">
      <c r="A402" s="62" t="inlineStr">
        <is>
          <t>9050</t>
        </is>
      </c>
      <c r="B402" s="62"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3" t="n"/>
      <c r="H402" s="43">
        <f>IF($G402="","",$E402-$G402)</f>
        <v/>
      </c>
    </row>
    <row r="403">
      <c r="A403" s="62" t="inlineStr">
        <is>
          <t>9100</t>
        </is>
      </c>
      <c r="B403" s="62"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3" t="n"/>
      <c r="H403" s="43">
        <f>IF($G403="","",$E403-$G403)</f>
        <v/>
      </c>
    </row>
    <row r="404">
      <c r="A404" s="62" t="inlineStr">
        <is>
          <t>9101</t>
        </is>
      </c>
      <c r="B404" s="62"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3" t="n"/>
      <c r="H404" s="43">
        <f>IF($G404="","",$E404-$G404)</f>
        <v/>
      </c>
    </row>
    <row r="405">
      <c r="A405" s="62" t="inlineStr">
        <is>
          <t>9102</t>
        </is>
      </c>
      <c r="B405" s="62"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3" t="n"/>
      <c r="H405" s="43">
        <f>IF($G405="","",$E405-$G405)</f>
        <v/>
      </c>
    </row>
    <row r="406">
      <c r="A406" s="62" t="inlineStr">
        <is>
          <t>9105</t>
        </is>
      </c>
      <c r="B406" s="62"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3" t="n"/>
      <c r="H406" s="43">
        <f>IF($G406="","",$E406-$G406)</f>
        <v/>
      </c>
    </row>
    <row r="407">
      <c r="A407" s="62" t="inlineStr">
        <is>
          <t>9106</t>
        </is>
      </c>
      <c r="B407" s="62"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3" t="n"/>
      <c r="H407" s="43">
        <f>IF($G407="","",$E407-$G407)</f>
        <v/>
      </c>
    </row>
    <row r="408">
      <c r="A408" s="62" t="inlineStr">
        <is>
          <t>9107</t>
        </is>
      </c>
      <c r="B408" s="62"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3" t="n"/>
      <c r="H408" s="43">
        <f>IF($G408="","",$E408-$G408)</f>
        <v/>
      </c>
    </row>
    <row r="409">
      <c r="A409" s="62" t="inlineStr">
        <is>
          <t>9108</t>
        </is>
      </c>
      <c r="B409" s="62"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3" t="n"/>
      <c r="H409" s="43">
        <f>IF($G409="","",$E409-$G409)</f>
        <v/>
      </c>
    </row>
    <row r="410">
      <c r="A410" s="62" t="inlineStr">
        <is>
          <t>9109</t>
        </is>
      </c>
      <c r="B410" s="62"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3" t="n"/>
      <c r="H410" s="43">
        <f>IF($G410="","",$E410-$G410)</f>
        <v/>
      </c>
    </row>
    <row r="411">
      <c r="A411" s="62" t="inlineStr">
        <is>
          <t>9125</t>
        </is>
      </c>
      <c r="B411" s="62"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3" t="n"/>
      <c r="H411" s="43">
        <f>IF($G411="","",$E411-$G411)</f>
        <v/>
      </c>
    </row>
    <row r="412">
      <c r="A412" s="62" t="inlineStr">
        <is>
          <t>9126</t>
        </is>
      </c>
      <c r="B412" s="62"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3" t="n"/>
      <c r="H412" s="43">
        <f>IF($G412="","",$E412-$G412)</f>
        <v/>
      </c>
    </row>
    <row r="413">
      <c r="A413" s="62" t="inlineStr">
        <is>
          <t>9127</t>
        </is>
      </c>
      <c r="B413" s="62"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3" t="n"/>
      <c r="H413" s="43">
        <f>IF($G413="","",$E413-$G413)</f>
        <v/>
      </c>
    </row>
    <row r="414">
      <c r="A414" s="62" t="inlineStr">
        <is>
          <t>9128</t>
        </is>
      </c>
      <c r="B414" s="62"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3" t="n"/>
      <c r="H414" s="43">
        <f>IF($G414="","",$E414-$G414)</f>
        <v/>
      </c>
    </row>
    <row r="415">
      <c r="A415" s="62" t="inlineStr">
        <is>
          <t>9129</t>
        </is>
      </c>
      <c r="B415" s="62"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3" t="n"/>
      <c r="H415" s="43">
        <f>IF($G415="","",$E415-$G415)</f>
        <v/>
      </c>
    </row>
    <row r="416">
      <c r="A416" s="62" t="inlineStr">
        <is>
          <t>9150</t>
        </is>
      </c>
      <c r="B416" s="62"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3" t="n"/>
      <c r="H416" s="43">
        <f>IF($G416="","",$E416-$G416)</f>
        <v/>
      </c>
    </row>
    <row r="417">
      <c r="A417" s="62" t="inlineStr">
        <is>
          <t>9175</t>
        </is>
      </c>
      <c r="B417" s="62"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3" t="n"/>
      <c r="H417" s="43">
        <f>IF($G417="","",$E417-$G417)</f>
        <v/>
      </c>
    </row>
    <row r="418">
      <c r="A418" s="62" t="inlineStr">
        <is>
          <t>9176</t>
        </is>
      </c>
      <c r="B418" s="62"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3" t="n"/>
      <c r="H418" s="43">
        <f>IF($G418="","",$E418-$G418)</f>
        <v/>
      </c>
    </row>
    <row r="419">
      <c r="A419" s="62" t="inlineStr">
        <is>
          <t>9178</t>
        </is>
      </c>
      <c r="B419" s="62"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3" t="n"/>
      <c r="H419" s="43">
        <f>IF($G419="","",$E419-$G419)</f>
        <v/>
      </c>
    </row>
    <row r="420">
      <c r="A420" s="62" t="inlineStr">
        <is>
          <t>9200</t>
        </is>
      </c>
      <c r="B420" s="62"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3" t="n"/>
      <c r="H420" s="43">
        <f>IF($G420="","",$E420-$G420)</f>
        <v/>
      </c>
    </row>
    <row r="421">
      <c r="A421" s="62" t="inlineStr">
        <is>
          <t>9201</t>
        </is>
      </c>
      <c r="B421" s="62"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3" t="n"/>
      <c r="H421" s="43">
        <f>IF($G421="","",$E421-$G421)</f>
        <v/>
      </c>
    </row>
    <row r="422">
      <c r="A422" s="62" t="inlineStr">
        <is>
          <t>9202</t>
        </is>
      </c>
      <c r="B422" s="62"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3" t="n"/>
      <c r="H422" s="43">
        <f>IF($G422="","",$E422-$G422)</f>
        <v/>
      </c>
    </row>
    <row r="423">
      <c r="A423" s="62" t="inlineStr">
        <is>
          <t>9225</t>
        </is>
      </c>
      <c r="B423" s="62"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3" t="n"/>
      <c r="H423" s="43">
        <f>IF($G423="","",$E423-$G423)</f>
        <v/>
      </c>
    </row>
    <row r="424">
      <c r="A424" s="62" t="inlineStr">
        <is>
          <t>9226</t>
        </is>
      </c>
      <c r="B424" s="62"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3" t="n"/>
      <c r="H424" s="43">
        <f>IF($G424="","",$E424-$G424)</f>
        <v/>
      </c>
    </row>
    <row r="425">
      <c r="A425" s="62" t="inlineStr">
        <is>
          <t>9300</t>
        </is>
      </c>
      <c r="B425" s="62"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3" t="n"/>
      <c r="H425" s="43">
        <f>IF($G425="","",$E425-$G425)</f>
        <v/>
      </c>
    </row>
    <row r="426">
      <c r="A426" s="62" t="inlineStr">
        <is>
          <t>9301</t>
        </is>
      </c>
      <c r="B426" s="62"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3" t="n"/>
      <c r="H426" s="43">
        <f>IF($G426="","",$E426-$G426)</f>
        <v/>
      </c>
    </row>
    <row r="427">
      <c r="A427" s="62" t="inlineStr">
        <is>
          <t>9350</t>
        </is>
      </c>
      <c r="B427" s="62"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3" t="n"/>
      <c r="H427" s="43">
        <f>IF($G427="","",$E427-$G427)</f>
        <v/>
      </c>
    </row>
    <row r="428">
      <c r="A428" s="62" t="inlineStr">
        <is>
          <t>9375</t>
        </is>
      </c>
      <c r="B428" s="62"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3" t="n"/>
      <c r="H428" s="43">
        <f>IF($G428="","",$E428-$G428)</f>
        <v/>
      </c>
    </row>
    <row r="429">
      <c r="A429" s="62" t="inlineStr">
        <is>
          <t>9400</t>
        </is>
      </c>
      <c r="B429" s="62"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3" t="n"/>
      <c r="H429" s="43">
        <f>IF($G429="","",$E429-$G429)</f>
        <v/>
      </c>
    </row>
    <row r="430">
      <c r="A430" s="62" t="inlineStr">
        <is>
          <t>9402</t>
        </is>
      </c>
      <c r="B430" s="62"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3" t="n"/>
      <c r="H430" s="43">
        <f>IF($G430="","",$E430-$G430)</f>
        <v/>
      </c>
    </row>
    <row r="431">
      <c r="A431" s="62" t="inlineStr">
        <is>
          <t>9403</t>
        </is>
      </c>
      <c r="B431" s="62"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3" t="n"/>
      <c r="H431" s="43">
        <f>IF($G431="","",$E431-$G431)</f>
        <v/>
      </c>
    </row>
    <row r="432">
      <c r="A432" s="62" t="inlineStr">
        <is>
          <t>9405</t>
        </is>
      </c>
      <c r="B432" s="62"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3" t="n"/>
      <c r="H432" s="43">
        <f>IF($G432="","",$E432-$G432)</f>
        <v/>
      </c>
    </row>
    <row r="433">
      <c r="A433" s="62" t="inlineStr">
        <is>
          <t>9407</t>
        </is>
      </c>
      <c r="B433" s="62"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3" t="n"/>
      <c r="H433" s="43">
        <f>IF($G433="","",$E433-$G433)</f>
        <v/>
      </c>
    </row>
    <row r="434">
      <c r="A434" s="62" t="inlineStr">
        <is>
          <t>974</t>
        </is>
      </c>
      <c r="B434" s="62"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3"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60">
        <f>'Month-End'!C4</f>
        <v/>
      </c>
      <c r="D3" s="32" t="inlineStr">
        <is>
          <t>&lt;- set on the Month-End sheet</t>
        </is>
      </c>
    </row>
    <row r="5" ht="32" customHeight="1">
      <c r="A5" s="64" t="inlineStr">
        <is>
          <t>Line</t>
        </is>
      </c>
      <c r="B5" s="64" t="inlineStr">
        <is>
          <t>Date</t>
        </is>
      </c>
      <c r="C5" s="64" t="inlineStr">
        <is>
          <t>Xero Invoice No</t>
        </is>
      </c>
      <c r="D5" s="64" t="inlineStr">
        <is>
          <t>Client</t>
        </is>
      </c>
      <c r="E5" s="64" t="inlineStr">
        <is>
          <t>Job Number</t>
        </is>
      </c>
      <c r="F5" s="64" t="inlineStr">
        <is>
          <t>Cost Centre</t>
        </is>
      </c>
      <c r="G5" s="64" t="inlineStr">
        <is>
          <t>Ex GST</t>
        </is>
      </c>
      <c r="H5" s="64" t="inlineStr">
        <is>
          <t>Defer Start</t>
        </is>
      </c>
      <c r="I5" s="64" t="inlineStr">
        <is>
          <t>Defer End</t>
        </is>
      </c>
      <c r="J5" s="64" t="inlineStr">
        <is>
          <t>Months</t>
        </is>
      </c>
      <c r="K5" s="64" t="inlineStr">
        <is>
          <t>Per Month</t>
        </is>
      </c>
      <c r="L5" s="64" t="inlineStr">
        <is>
          <t>Recognised to date</t>
        </is>
      </c>
      <c r="M5" s="64" t="inlineStr">
        <is>
          <t>Recognised to prior</t>
        </is>
      </c>
      <c r="N5" s="64" t="inlineStr">
        <is>
          <t>Invoiced to date</t>
        </is>
      </c>
      <c r="O5" s="64" t="inlineStr">
        <is>
          <t>Invoiced to prior</t>
        </is>
      </c>
      <c r="P5" s="64" t="inlineStr">
        <is>
          <t>Opening WIP</t>
        </is>
      </c>
      <c r="Q5" s="64" t="inlineStr">
        <is>
          <t>Movement</t>
        </is>
      </c>
      <c r="R5" s="64" t="inlineStr">
        <is>
          <t>Closing WIP</t>
        </is>
      </c>
      <c r="S5" s="64" t="inlineStr">
        <is>
          <t>Source</t>
        </is>
      </c>
      <c r="T5" s="64" t="inlineStr">
        <is>
          <t>Rev/Cost</t>
        </is>
      </c>
    </row>
    <row r="6">
      <c r="A6" s="65">
        <f>ROW()-5</f>
        <v/>
      </c>
      <c r="B6" s="66">
        <f>IFERROR(INDEX(tbl_Finance[Date],$A6),"")</f>
        <v/>
      </c>
      <c r="C6" s="67">
        <f>IFERROR(INDEX(tbl_Finance[Xero Invoice No],$A6),"")</f>
        <v/>
      </c>
      <c r="D6" s="67">
        <f>IFERROR(INDEX(tbl_Finance[Client],$A6),"")</f>
        <v/>
      </c>
      <c r="E6" s="67">
        <f>IFERROR(INDEX(tbl_Finance[Job Number],$A6),"")</f>
        <v/>
      </c>
      <c r="F6" s="67">
        <f>IFERROR(INDEX(tbl_Finance[Cost Centre],$A6),"")</f>
        <v/>
      </c>
      <c r="G6" s="68">
        <f>IFERROR(INDEX(tbl_Finance[Ex GST],$A6),"")</f>
        <v/>
      </c>
      <c r="H6" s="66">
        <f>IFERROR(INDEX(tbl_Finance[Defer Start],$A6),"")</f>
        <v/>
      </c>
      <c r="I6" s="66">
        <f>IFERROR(INDEX(tbl_Finance[Defer End],$A6),"")</f>
        <v/>
      </c>
      <c r="J6" s="65">
        <f>IF(OR($H6="",$I6="",$G6=""),"",MAX(1,(YEAR($I6)-YEAR($H6))*12+MONTH($I6)-MONTH($H6)+1))</f>
        <v/>
      </c>
      <c r="K6" s="68">
        <f>IF($J6="","",$G6/$J6)</f>
        <v/>
      </c>
      <c r="L6" s="68">
        <f>IF($J6="",0,$K6*MAX(0,MIN(YEAR($C$3)*12+MONTH($C$3),YEAR($I6)*12+MONTH($I6))-(YEAR($H6)*12+MONTH($H6))+1))</f>
        <v/>
      </c>
      <c r="M6" s="68">
        <f>IF($J6="",0,$K6*MAX(0,MIN(YEAR($C$3)*12+MONTH($C$3)-1,YEAR($I6)*12+MONTH($I6))-(YEAR($H6)*12+MONTH($H6))+1))</f>
        <v/>
      </c>
      <c r="N6" s="68">
        <f>IF(OR($J6="",$B6=""),0,IF(YEAR($B6)*12+MONTH($B6)&lt;=YEAR($C$3)*12+MONTH($C$3),$G6,0))</f>
        <v/>
      </c>
      <c r="O6" s="68">
        <f>IF(OR($J6="",$B6=""),0,IF(YEAR($B6)*12+MONTH($B6)&lt;=YEAR($C$3)*12+MONTH($C$3)-1,$G6,0))</f>
        <v/>
      </c>
      <c r="P6" s="68">
        <f>$M6-$O6</f>
        <v/>
      </c>
      <c r="Q6" s="68">
        <f>($L6-$M6)-($N6-$O6)</f>
        <v/>
      </c>
      <c r="R6" s="68">
        <f>$L6-$N6</f>
        <v/>
      </c>
      <c r="S6" s="67">
        <f>"Finance invoice"</f>
        <v/>
      </c>
      <c r="T6" s="67">
        <f>"Revenue"</f>
        <v/>
      </c>
    </row>
    <row r="7">
      <c r="A7" s="65">
        <f>ROW()-5</f>
        <v/>
      </c>
      <c r="B7" s="66">
        <f>IFERROR(INDEX(tbl_Finance[Date],$A7),"")</f>
        <v/>
      </c>
      <c r="C7" s="67">
        <f>IFERROR(INDEX(tbl_Finance[Xero Invoice No],$A7),"")</f>
        <v/>
      </c>
      <c r="D7" s="67">
        <f>IFERROR(INDEX(tbl_Finance[Client],$A7),"")</f>
        <v/>
      </c>
      <c r="E7" s="67">
        <f>IFERROR(INDEX(tbl_Finance[Job Number],$A7),"")</f>
        <v/>
      </c>
      <c r="F7" s="67">
        <f>IFERROR(INDEX(tbl_Finance[Cost Centre],$A7),"")</f>
        <v/>
      </c>
      <c r="G7" s="68">
        <f>IFERROR(INDEX(tbl_Finance[Ex GST],$A7),"")</f>
        <v/>
      </c>
      <c r="H7" s="66">
        <f>IFERROR(INDEX(tbl_Finance[Defer Start],$A7),"")</f>
        <v/>
      </c>
      <c r="I7" s="66">
        <f>IFERROR(INDEX(tbl_Finance[Defer End],$A7),"")</f>
        <v/>
      </c>
      <c r="J7" s="65">
        <f>IF(OR($H7="",$I7="",$G7=""),"",MAX(1,(YEAR($I7)-YEAR($H7))*12+MONTH($I7)-MONTH($H7)+1))</f>
        <v/>
      </c>
      <c r="K7" s="68">
        <f>IF($J7="","",$G7/$J7)</f>
        <v/>
      </c>
      <c r="L7" s="68">
        <f>IF($J7="",0,$K7*MAX(0,MIN(YEAR($C$3)*12+MONTH($C$3),YEAR($I7)*12+MONTH($I7))-(YEAR($H7)*12+MONTH($H7))+1))</f>
        <v/>
      </c>
      <c r="M7" s="68">
        <f>IF($J7="",0,$K7*MAX(0,MIN(YEAR($C$3)*12+MONTH($C$3)-1,YEAR($I7)*12+MONTH($I7))-(YEAR($H7)*12+MONTH($H7))+1))</f>
        <v/>
      </c>
      <c r="N7" s="68">
        <f>IF(OR($J7="",$B7=""),0,IF(YEAR($B7)*12+MONTH($B7)&lt;=YEAR($C$3)*12+MONTH($C$3),$G7,0))</f>
        <v/>
      </c>
      <c r="O7" s="68">
        <f>IF(OR($J7="",$B7=""),0,IF(YEAR($B7)*12+MONTH($B7)&lt;=YEAR($C$3)*12+MONTH($C$3)-1,$G7,0))</f>
        <v/>
      </c>
      <c r="P7" s="68">
        <f>$M7-$O7</f>
        <v/>
      </c>
      <c r="Q7" s="68">
        <f>($L7-$M7)-($N7-$O7)</f>
        <v/>
      </c>
      <c r="R7" s="68">
        <f>$L7-$N7</f>
        <v/>
      </c>
      <c r="S7" s="67">
        <f>"Finance invoice"</f>
        <v/>
      </c>
      <c r="T7" s="67">
        <f>"Revenue"</f>
        <v/>
      </c>
    </row>
    <row r="8">
      <c r="A8" s="65">
        <f>ROW()-5</f>
        <v/>
      </c>
      <c r="B8" s="66">
        <f>IFERROR(INDEX(tbl_Finance[Date],$A8),"")</f>
        <v/>
      </c>
      <c r="C8" s="67">
        <f>IFERROR(INDEX(tbl_Finance[Xero Invoice No],$A8),"")</f>
        <v/>
      </c>
      <c r="D8" s="67">
        <f>IFERROR(INDEX(tbl_Finance[Client],$A8),"")</f>
        <v/>
      </c>
      <c r="E8" s="67">
        <f>IFERROR(INDEX(tbl_Finance[Job Number],$A8),"")</f>
        <v/>
      </c>
      <c r="F8" s="67">
        <f>IFERROR(INDEX(tbl_Finance[Cost Centre],$A8),"")</f>
        <v/>
      </c>
      <c r="G8" s="68">
        <f>IFERROR(INDEX(tbl_Finance[Ex GST],$A8),"")</f>
        <v/>
      </c>
      <c r="H8" s="66">
        <f>IFERROR(INDEX(tbl_Finance[Defer Start],$A8),"")</f>
        <v/>
      </c>
      <c r="I8" s="66">
        <f>IFERROR(INDEX(tbl_Finance[Defer End],$A8),"")</f>
        <v/>
      </c>
      <c r="J8" s="65">
        <f>IF(OR($H8="",$I8="",$G8=""),"",MAX(1,(YEAR($I8)-YEAR($H8))*12+MONTH($I8)-MONTH($H8)+1))</f>
        <v/>
      </c>
      <c r="K8" s="68">
        <f>IF($J8="","",$G8/$J8)</f>
        <v/>
      </c>
      <c r="L8" s="68">
        <f>IF($J8="",0,$K8*MAX(0,MIN(YEAR($C$3)*12+MONTH($C$3),YEAR($I8)*12+MONTH($I8))-(YEAR($H8)*12+MONTH($H8))+1))</f>
        <v/>
      </c>
      <c r="M8" s="68">
        <f>IF($J8="",0,$K8*MAX(0,MIN(YEAR($C$3)*12+MONTH($C$3)-1,YEAR($I8)*12+MONTH($I8))-(YEAR($H8)*12+MONTH($H8))+1))</f>
        <v/>
      </c>
      <c r="N8" s="68">
        <f>IF(OR($J8="",$B8=""),0,IF(YEAR($B8)*12+MONTH($B8)&lt;=YEAR($C$3)*12+MONTH($C$3),$G8,0))</f>
        <v/>
      </c>
      <c r="O8" s="68">
        <f>IF(OR($J8="",$B8=""),0,IF(YEAR($B8)*12+MONTH($B8)&lt;=YEAR($C$3)*12+MONTH($C$3)-1,$G8,0))</f>
        <v/>
      </c>
      <c r="P8" s="68">
        <f>$M8-$O8</f>
        <v/>
      </c>
      <c r="Q8" s="68">
        <f>($L8-$M8)-($N8-$O8)</f>
        <v/>
      </c>
      <c r="R8" s="68">
        <f>$L8-$N8</f>
        <v/>
      </c>
      <c r="S8" s="67">
        <f>"Finance invoice"</f>
        <v/>
      </c>
      <c r="T8" s="67">
        <f>"Revenue"</f>
        <v/>
      </c>
    </row>
    <row r="9">
      <c r="A9" s="65">
        <f>ROW()-5</f>
        <v/>
      </c>
      <c r="B9" s="66">
        <f>IFERROR(INDEX(tbl_Finance[Date],$A9),"")</f>
        <v/>
      </c>
      <c r="C9" s="67">
        <f>IFERROR(INDEX(tbl_Finance[Xero Invoice No],$A9),"")</f>
        <v/>
      </c>
      <c r="D9" s="67">
        <f>IFERROR(INDEX(tbl_Finance[Client],$A9),"")</f>
        <v/>
      </c>
      <c r="E9" s="67">
        <f>IFERROR(INDEX(tbl_Finance[Job Number],$A9),"")</f>
        <v/>
      </c>
      <c r="F9" s="67">
        <f>IFERROR(INDEX(tbl_Finance[Cost Centre],$A9),"")</f>
        <v/>
      </c>
      <c r="G9" s="68">
        <f>IFERROR(INDEX(tbl_Finance[Ex GST],$A9),"")</f>
        <v/>
      </c>
      <c r="H9" s="66">
        <f>IFERROR(INDEX(tbl_Finance[Defer Start],$A9),"")</f>
        <v/>
      </c>
      <c r="I9" s="66">
        <f>IFERROR(INDEX(tbl_Finance[Defer End],$A9),"")</f>
        <v/>
      </c>
      <c r="J9" s="65">
        <f>IF(OR($H9="",$I9="",$G9=""),"",MAX(1,(YEAR($I9)-YEAR($H9))*12+MONTH($I9)-MONTH($H9)+1))</f>
        <v/>
      </c>
      <c r="K9" s="68">
        <f>IF($J9="","",$G9/$J9)</f>
        <v/>
      </c>
      <c r="L9" s="68">
        <f>IF($J9="",0,$K9*MAX(0,MIN(YEAR($C$3)*12+MONTH($C$3),YEAR($I9)*12+MONTH($I9))-(YEAR($H9)*12+MONTH($H9))+1))</f>
        <v/>
      </c>
      <c r="M9" s="68">
        <f>IF($J9="",0,$K9*MAX(0,MIN(YEAR($C$3)*12+MONTH($C$3)-1,YEAR($I9)*12+MONTH($I9))-(YEAR($H9)*12+MONTH($H9))+1))</f>
        <v/>
      </c>
      <c r="N9" s="68">
        <f>IF(OR($J9="",$B9=""),0,IF(YEAR($B9)*12+MONTH($B9)&lt;=YEAR($C$3)*12+MONTH($C$3),$G9,0))</f>
        <v/>
      </c>
      <c r="O9" s="68">
        <f>IF(OR($J9="",$B9=""),0,IF(YEAR($B9)*12+MONTH($B9)&lt;=YEAR($C$3)*12+MONTH($C$3)-1,$G9,0))</f>
        <v/>
      </c>
      <c r="P9" s="68">
        <f>$M9-$O9</f>
        <v/>
      </c>
      <c r="Q9" s="68">
        <f>($L9-$M9)-($N9-$O9)</f>
        <v/>
      </c>
      <c r="R9" s="68">
        <f>$L9-$N9</f>
        <v/>
      </c>
      <c r="S9" s="67">
        <f>"Finance invoice"</f>
        <v/>
      </c>
      <c r="T9" s="67">
        <f>"Revenue"</f>
        <v/>
      </c>
    </row>
    <row r="10">
      <c r="A10" s="65">
        <f>ROW()-5</f>
        <v/>
      </c>
      <c r="B10" s="66">
        <f>IFERROR(INDEX(tbl_Finance[Date],$A10),"")</f>
        <v/>
      </c>
      <c r="C10" s="67">
        <f>IFERROR(INDEX(tbl_Finance[Xero Invoice No],$A10),"")</f>
        <v/>
      </c>
      <c r="D10" s="67">
        <f>IFERROR(INDEX(tbl_Finance[Client],$A10),"")</f>
        <v/>
      </c>
      <c r="E10" s="67">
        <f>IFERROR(INDEX(tbl_Finance[Job Number],$A10),"")</f>
        <v/>
      </c>
      <c r="F10" s="67">
        <f>IFERROR(INDEX(tbl_Finance[Cost Centre],$A10),"")</f>
        <v/>
      </c>
      <c r="G10" s="68">
        <f>IFERROR(INDEX(tbl_Finance[Ex GST],$A10),"")</f>
        <v/>
      </c>
      <c r="H10" s="66">
        <f>IFERROR(INDEX(tbl_Finance[Defer Start],$A10),"")</f>
        <v/>
      </c>
      <c r="I10" s="66">
        <f>IFERROR(INDEX(tbl_Finance[Defer End],$A10),"")</f>
        <v/>
      </c>
      <c r="J10" s="65">
        <f>IF(OR($H10="",$I10="",$G10=""),"",MAX(1,(YEAR($I10)-YEAR($H10))*12+MONTH($I10)-MONTH($H10)+1))</f>
        <v/>
      </c>
      <c r="K10" s="68">
        <f>IF($J10="","",$G10/$J10)</f>
        <v/>
      </c>
      <c r="L10" s="68">
        <f>IF($J10="",0,$K10*MAX(0,MIN(YEAR($C$3)*12+MONTH($C$3),YEAR($I10)*12+MONTH($I10))-(YEAR($H10)*12+MONTH($H10))+1))</f>
        <v/>
      </c>
      <c r="M10" s="68">
        <f>IF($J10="",0,$K10*MAX(0,MIN(YEAR($C$3)*12+MONTH($C$3)-1,YEAR($I10)*12+MONTH($I10))-(YEAR($H10)*12+MONTH($H10))+1))</f>
        <v/>
      </c>
      <c r="N10" s="68">
        <f>IF(OR($J10="",$B10=""),0,IF(YEAR($B10)*12+MONTH($B10)&lt;=YEAR($C$3)*12+MONTH($C$3),$G10,0))</f>
        <v/>
      </c>
      <c r="O10" s="68">
        <f>IF(OR($J10="",$B10=""),0,IF(YEAR($B10)*12+MONTH($B10)&lt;=YEAR($C$3)*12+MONTH($C$3)-1,$G10,0))</f>
        <v/>
      </c>
      <c r="P10" s="68">
        <f>$M10-$O10</f>
        <v/>
      </c>
      <c r="Q10" s="68">
        <f>($L10-$M10)-($N10-$O10)</f>
        <v/>
      </c>
      <c r="R10" s="68">
        <f>$L10-$N10</f>
        <v/>
      </c>
      <c r="S10" s="67">
        <f>"Finance invoice"</f>
        <v/>
      </c>
      <c r="T10" s="67">
        <f>"Revenue"</f>
        <v/>
      </c>
    </row>
    <row r="11">
      <c r="A11" s="65">
        <f>ROW()-5</f>
        <v/>
      </c>
      <c r="B11" s="66">
        <f>IFERROR(INDEX(tbl_Finance[Date],$A11),"")</f>
        <v/>
      </c>
      <c r="C11" s="67">
        <f>IFERROR(INDEX(tbl_Finance[Xero Invoice No],$A11),"")</f>
        <v/>
      </c>
      <c r="D11" s="67">
        <f>IFERROR(INDEX(tbl_Finance[Client],$A11),"")</f>
        <v/>
      </c>
      <c r="E11" s="67">
        <f>IFERROR(INDEX(tbl_Finance[Job Number],$A11),"")</f>
        <v/>
      </c>
      <c r="F11" s="67">
        <f>IFERROR(INDEX(tbl_Finance[Cost Centre],$A11),"")</f>
        <v/>
      </c>
      <c r="G11" s="68">
        <f>IFERROR(INDEX(tbl_Finance[Ex GST],$A11),"")</f>
        <v/>
      </c>
      <c r="H11" s="66">
        <f>IFERROR(INDEX(tbl_Finance[Defer Start],$A11),"")</f>
        <v/>
      </c>
      <c r="I11" s="66">
        <f>IFERROR(INDEX(tbl_Finance[Defer End],$A11),"")</f>
        <v/>
      </c>
      <c r="J11" s="65">
        <f>IF(OR($H11="",$I11="",$G11=""),"",MAX(1,(YEAR($I11)-YEAR($H11))*12+MONTH($I11)-MONTH($H11)+1))</f>
        <v/>
      </c>
      <c r="K11" s="68">
        <f>IF($J11="","",$G11/$J11)</f>
        <v/>
      </c>
      <c r="L11" s="68">
        <f>IF($J11="",0,$K11*MAX(0,MIN(YEAR($C$3)*12+MONTH($C$3),YEAR($I11)*12+MONTH($I11))-(YEAR($H11)*12+MONTH($H11))+1))</f>
        <v/>
      </c>
      <c r="M11" s="68">
        <f>IF($J11="",0,$K11*MAX(0,MIN(YEAR($C$3)*12+MONTH($C$3)-1,YEAR($I11)*12+MONTH($I11))-(YEAR($H11)*12+MONTH($H11))+1))</f>
        <v/>
      </c>
      <c r="N11" s="68">
        <f>IF(OR($J11="",$B11=""),0,IF(YEAR($B11)*12+MONTH($B11)&lt;=YEAR($C$3)*12+MONTH($C$3),$G11,0))</f>
        <v/>
      </c>
      <c r="O11" s="68">
        <f>IF(OR($J11="",$B11=""),0,IF(YEAR($B11)*12+MONTH($B11)&lt;=YEAR($C$3)*12+MONTH($C$3)-1,$G11,0))</f>
        <v/>
      </c>
      <c r="P11" s="68">
        <f>$M11-$O11</f>
        <v/>
      </c>
      <c r="Q11" s="68">
        <f>($L11-$M11)-($N11-$O11)</f>
        <v/>
      </c>
      <c r="R11" s="68">
        <f>$L11-$N11</f>
        <v/>
      </c>
      <c r="S11" s="67">
        <f>"Finance invoice"</f>
        <v/>
      </c>
      <c r="T11" s="67">
        <f>"Revenue"</f>
        <v/>
      </c>
    </row>
    <row r="12">
      <c r="A12" s="65">
        <f>ROW()-5</f>
        <v/>
      </c>
      <c r="B12" s="66">
        <f>IFERROR(INDEX(tbl_Finance[Date],$A12),"")</f>
        <v/>
      </c>
      <c r="C12" s="67">
        <f>IFERROR(INDEX(tbl_Finance[Xero Invoice No],$A12),"")</f>
        <v/>
      </c>
      <c r="D12" s="67">
        <f>IFERROR(INDEX(tbl_Finance[Client],$A12),"")</f>
        <v/>
      </c>
      <c r="E12" s="67">
        <f>IFERROR(INDEX(tbl_Finance[Job Number],$A12),"")</f>
        <v/>
      </c>
      <c r="F12" s="67">
        <f>IFERROR(INDEX(tbl_Finance[Cost Centre],$A12),"")</f>
        <v/>
      </c>
      <c r="G12" s="68">
        <f>IFERROR(INDEX(tbl_Finance[Ex GST],$A12),"")</f>
        <v/>
      </c>
      <c r="H12" s="66">
        <f>IFERROR(INDEX(tbl_Finance[Defer Start],$A12),"")</f>
        <v/>
      </c>
      <c r="I12" s="66">
        <f>IFERROR(INDEX(tbl_Finance[Defer End],$A12),"")</f>
        <v/>
      </c>
      <c r="J12" s="65">
        <f>IF(OR($H12="",$I12="",$G12=""),"",MAX(1,(YEAR($I12)-YEAR($H12))*12+MONTH($I12)-MONTH($H12)+1))</f>
        <v/>
      </c>
      <c r="K12" s="68">
        <f>IF($J12="","",$G12/$J12)</f>
        <v/>
      </c>
      <c r="L12" s="68">
        <f>IF($J12="",0,$K12*MAX(0,MIN(YEAR($C$3)*12+MONTH($C$3),YEAR($I12)*12+MONTH($I12))-(YEAR($H12)*12+MONTH($H12))+1))</f>
        <v/>
      </c>
      <c r="M12" s="68">
        <f>IF($J12="",0,$K12*MAX(0,MIN(YEAR($C$3)*12+MONTH($C$3)-1,YEAR($I12)*12+MONTH($I12))-(YEAR($H12)*12+MONTH($H12))+1))</f>
        <v/>
      </c>
      <c r="N12" s="68">
        <f>IF(OR($J12="",$B12=""),0,IF(YEAR($B12)*12+MONTH($B12)&lt;=YEAR($C$3)*12+MONTH($C$3),$G12,0))</f>
        <v/>
      </c>
      <c r="O12" s="68">
        <f>IF(OR($J12="",$B12=""),0,IF(YEAR($B12)*12+MONTH($B12)&lt;=YEAR($C$3)*12+MONTH($C$3)-1,$G12,0))</f>
        <v/>
      </c>
      <c r="P12" s="68">
        <f>$M12-$O12</f>
        <v/>
      </c>
      <c r="Q12" s="68">
        <f>($L12-$M12)-($N12-$O12)</f>
        <v/>
      </c>
      <c r="R12" s="68">
        <f>$L12-$N12</f>
        <v/>
      </c>
      <c r="S12" s="67">
        <f>"Finance invoice"</f>
        <v/>
      </c>
      <c r="T12" s="67">
        <f>"Revenue"</f>
        <v/>
      </c>
    </row>
    <row r="13">
      <c r="A13" s="65">
        <f>ROW()-5</f>
        <v/>
      </c>
      <c r="B13" s="66">
        <f>IFERROR(INDEX(tbl_Finance[Date],$A13),"")</f>
        <v/>
      </c>
      <c r="C13" s="67">
        <f>IFERROR(INDEX(tbl_Finance[Xero Invoice No],$A13),"")</f>
        <v/>
      </c>
      <c r="D13" s="67">
        <f>IFERROR(INDEX(tbl_Finance[Client],$A13),"")</f>
        <v/>
      </c>
      <c r="E13" s="67">
        <f>IFERROR(INDEX(tbl_Finance[Job Number],$A13),"")</f>
        <v/>
      </c>
      <c r="F13" s="67">
        <f>IFERROR(INDEX(tbl_Finance[Cost Centre],$A13),"")</f>
        <v/>
      </c>
      <c r="G13" s="68">
        <f>IFERROR(INDEX(tbl_Finance[Ex GST],$A13),"")</f>
        <v/>
      </c>
      <c r="H13" s="66">
        <f>IFERROR(INDEX(tbl_Finance[Defer Start],$A13),"")</f>
        <v/>
      </c>
      <c r="I13" s="66">
        <f>IFERROR(INDEX(tbl_Finance[Defer End],$A13),"")</f>
        <v/>
      </c>
      <c r="J13" s="65">
        <f>IF(OR($H13="",$I13="",$G13=""),"",MAX(1,(YEAR($I13)-YEAR($H13))*12+MONTH($I13)-MONTH($H13)+1))</f>
        <v/>
      </c>
      <c r="K13" s="68">
        <f>IF($J13="","",$G13/$J13)</f>
        <v/>
      </c>
      <c r="L13" s="68">
        <f>IF($J13="",0,$K13*MAX(0,MIN(YEAR($C$3)*12+MONTH($C$3),YEAR($I13)*12+MONTH($I13))-(YEAR($H13)*12+MONTH($H13))+1))</f>
        <v/>
      </c>
      <c r="M13" s="68">
        <f>IF($J13="",0,$K13*MAX(0,MIN(YEAR($C$3)*12+MONTH($C$3)-1,YEAR($I13)*12+MONTH($I13))-(YEAR($H13)*12+MONTH($H13))+1))</f>
        <v/>
      </c>
      <c r="N13" s="68">
        <f>IF(OR($J13="",$B13=""),0,IF(YEAR($B13)*12+MONTH($B13)&lt;=YEAR($C$3)*12+MONTH($C$3),$G13,0))</f>
        <v/>
      </c>
      <c r="O13" s="68">
        <f>IF(OR($J13="",$B13=""),0,IF(YEAR($B13)*12+MONTH($B13)&lt;=YEAR($C$3)*12+MONTH($C$3)-1,$G13,0))</f>
        <v/>
      </c>
      <c r="P13" s="68">
        <f>$M13-$O13</f>
        <v/>
      </c>
      <c r="Q13" s="68">
        <f>($L13-$M13)-($N13-$O13)</f>
        <v/>
      </c>
      <c r="R13" s="68">
        <f>$L13-$N13</f>
        <v/>
      </c>
      <c r="S13" s="67">
        <f>"Finance invoice"</f>
        <v/>
      </c>
      <c r="T13" s="67">
        <f>"Revenue"</f>
        <v/>
      </c>
    </row>
    <row r="14">
      <c r="A14" s="65">
        <f>ROW()-5</f>
        <v/>
      </c>
      <c r="B14" s="66">
        <f>IFERROR(INDEX(tbl_Finance[Date],$A14),"")</f>
        <v/>
      </c>
      <c r="C14" s="67">
        <f>IFERROR(INDEX(tbl_Finance[Xero Invoice No],$A14),"")</f>
        <v/>
      </c>
      <c r="D14" s="67">
        <f>IFERROR(INDEX(tbl_Finance[Client],$A14),"")</f>
        <v/>
      </c>
      <c r="E14" s="67">
        <f>IFERROR(INDEX(tbl_Finance[Job Number],$A14),"")</f>
        <v/>
      </c>
      <c r="F14" s="67">
        <f>IFERROR(INDEX(tbl_Finance[Cost Centre],$A14),"")</f>
        <v/>
      </c>
      <c r="G14" s="68">
        <f>IFERROR(INDEX(tbl_Finance[Ex GST],$A14),"")</f>
        <v/>
      </c>
      <c r="H14" s="66">
        <f>IFERROR(INDEX(tbl_Finance[Defer Start],$A14),"")</f>
        <v/>
      </c>
      <c r="I14" s="66">
        <f>IFERROR(INDEX(tbl_Finance[Defer End],$A14),"")</f>
        <v/>
      </c>
      <c r="J14" s="65">
        <f>IF(OR($H14="",$I14="",$G14=""),"",MAX(1,(YEAR($I14)-YEAR($H14))*12+MONTH($I14)-MONTH($H14)+1))</f>
        <v/>
      </c>
      <c r="K14" s="68">
        <f>IF($J14="","",$G14/$J14)</f>
        <v/>
      </c>
      <c r="L14" s="68">
        <f>IF($J14="",0,$K14*MAX(0,MIN(YEAR($C$3)*12+MONTH($C$3),YEAR($I14)*12+MONTH($I14))-(YEAR($H14)*12+MONTH($H14))+1))</f>
        <v/>
      </c>
      <c r="M14" s="68">
        <f>IF($J14="",0,$K14*MAX(0,MIN(YEAR($C$3)*12+MONTH($C$3)-1,YEAR($I14)*12+MONTH($I14))-(YEAR($H14)*12+MONTH($H14))+1))</f>
        <v/>
      </c>
      <c r="N14" s="68">
        <f>IF(OR($J14="",$B14=""),0,IF(YEAR($B14)*12+MONTH($B14)&lt;=YEAR($C$3)*12+MONTH($C$3),$G14,0))</f>
        <v/>
      </c>
      <c r="O14" s="68">
        <f>IF(OR($J14="",$B14=""),0,IF(YEAR($B14)*12+MONTH($B14)&lt;=YEAR($C$3)*12+MONTH($C$3)-1,$G14,0))</f>
        <v/>
      </c>
      <c r="P14" s="68">
        <f>$M14-$O14</f>
        <v/>
      </c>
      <c r="Q14" s="68">
        <f>($L14-$M14)-($N14-$O14)</f>
        <v/>
      </c>
      <c r="R14" s="68">
        <f>$L14-$N14</f>
        <v/>
      </c>
      <c r="S14" s="67">
        <f>"Finance invoice"</f>
        <v/>
      </c>
      <c r="T14" s="67">
        <f>"Revenue"</f>
        <v/>
      </c>
    </row>
    <row r="15">
      <c r="A15" s="65">
        <f>ROW()-5</f>
        <v/>
      </c>
      <c r="B15" s="66">
        <f>IFERROR(INDEX(tbl_Finance[Date],$A15),"")</f>
        <v/>
      </c>
      <c r="C15" s="67">
        <f>IFERROR(INDEX(tbl_Finance[Xero Invoice No],$A15),"")</f>
        <v/>
      </c>
      <c r="D15" s="67">
        <f>IFERROR(INDEX(tbl_Finance[Client],$A15),"")</f>
        <v/>
      </c>
      <c r="E15" s="67">
        <f>IFERROR(INDEX(tbl_Finance[Job Number],$A15),"")</f>
        <v/>
      </c>
      <c r="F15" s="67">
        <f>IFERROR(INDEX(tbl_Finance[Cost Centre],$A15),"")</f>
        <v/>
      </c>
      <c r="G15" s="68">
        <f>IFERROR(INDEX(tbl_Finance[Ex GST],$A15),"")</f>
        <v/>
      </c>
      <c r="H15" s="66">
        <f>IFERROR(INDEX(tbl_Finance[Defer Start],$A15),"")</f>
        <v/>
      </c>
      <c r="I15" s="66">
        <f>IFERROR(INDEX(tbl_Finance[Defer End],$A15),"")</f>
        <v/>
      </c>
      <c r="J15" s="65">
        <f>IF(OR($H15="",$I15="",$G15=""),"",MAX(1,(YEAR($I15)-YEAR($H15))*12+MONTH($I15)-MONTH($H15)+1))</f>
        <v/>
      </c>
      <c r="K15" s="68">
        <f>IF($J15="","",$G15/$J15)</f>
        <v/>
      </c>
      <c r="L15" s="68">
        <f>IF($J15="",0,$K15*MAX(0,MIN(YEAR($C$3)*12+MONTH($C$3),YEAR($I15)*12+MONTH($I15))-(YEAR($H15)*12+MONTH($H15))+1))</f>
        <v/>
      </c>
      <c r="M15" s="68">
        <f>IF($J15="",0,$K15*MAX(0,MIN(YEAR($C$3)*12+MONTH($C$3)-1,YEAR($I15)*12+MONTH($I15))-(YEAR($H15)*12+MONTH($H15))+1))</f>
        <v/>
      </c>
      <c r="N15" s="68">
        <f>IF(OR($J15="",$B15=""),0,IF(YEAR($B15)*12+MONTH($B15)&lt;=YEAR($C$3)*12+MONTH($C$3),$G15,0))</f>
        <v/>
      </c>
      <c r="O15" s="68">
        <f>IF(OR($J15="",$B15=""),0,IF(YEAR($B15)*12+MONTH($B15)&lt;=YEAR($C$3)*12+MONTH($C$3)-1,$G15,0))</f>
        <v/>
      </c>
      <c r="P15" s="68">
        <f>$M15-$O15</f>
        <v/>
      </c>
      <c r="Q15" s="68">
        <f>($L15-$M15)-($N15-$O15)</f>
        <v/>
      </c>
      <c r="R15" s="68">
        <f>$L15-$N15</f>
        <v/>
      </c>
      <c r="S15" s="67">
        <f>"Finance invoice"</f>
        <v/>
      </c>
      <c r="T15" s="67">
        <f>"Revenue"</f>
        <v/>
      </c>
    </row>
    <row r="16">
      <c r="A16" s="65">
        <f>ROW()-5</f>
        <v/>
      </c>
      <c r="B16" s="66">
        <f>IFERROR(INDEX(tbl_Finance[Date],$A16),"")</f>
        <v/>
      </c>
      <c r="C16" s="67">
        <f>IFERROR(INDEX(tbl_Finance[Xero Invoice No],$A16),"")</f>
        <v/>
      </c>
      <c r="D16" s="67">
        <f>IFERROR(INDEX(tbl_Finance[Client],$A16),"")</f>
        <v/>
      </c>
      <c r="E16" s="67">
        <f>IFERROR(INDEX(tbl_Finance[Job Number],$A16),"")</f>
        <v/>
      </c>
      <c r="F16" s="67">
        <f>IFERROR(INDEX(tbl_Finance[Cost Centre],$A16),"")</f>
        <v/>
      </c>
      <c r="G16" s="68">
        <f>IFERROR(INDEX(tbl_Finance[Ex GST],$A16),"")</f>
        <v/>
      </c>
      <c r="H16" s="66">
        <f>IFERROR(INDEX(tbl_Finance[Defer Start],$A16),"")</f>
        <v/>
      </c>
      <c r="I16" s="66">
        <f>IFERROR(INDEX(tbl_Finance[Defer End],$A16),"")</f>
        <v/>
      </c>
      <c r="J16" s="65">
        <f>IF(OR($H16="",$I16="",$G16=""),"",MAX(1,(YEAR($I16)-YEAR($H16))*12+MONTH($I16)-MONTH($H16)+1))</f>
        <v/>
      </c>
      <c r="K16" s="68">
        <f>IF($J16="","",$G16/$J16)</f>
        <v/>
      </c>
      <c r="L16" s="68">
        <f>IF($J16="",0,$K16*MAX(0,MIN(YEAR($C$3)*12+MONTH($C$3),YEAR($I16)*12+MONTH($I16))-(YEAR($H16)*12+MONTH($H16))+1))</f>
        <v/>
      </c>
      <c r="M16" s="68">
        <f>IF($J16="",0,$K16*MAX(0,MIN(YEAR($C$3)*12+MONTH($C$3)-1,YEAR($I16)*12+MONTH($I16))-(YEAR($H16)*12+MONTH($H16))+1))</f>
        <v/>
      </c>
      <c r="N16" s="68">
        <f>IF(OR($J16="",$B16=""),0,IF(YEAR($B16)*12+MONTH($B16)&lt;=YEAR($C$3)*12+MONTH($C$3),$G16,0))</f>
        <v/>
      </c>
      <c r="O16" s="68">
        <f>IF(OR($J16="",$B16=""),0,IF(YEAR($B16)*12+MONTH($B16)&lt;=YEAR($C$3)*12+MONTH($C$3)-1,$G16,0))</f>
        <v/>
      </c>
      <c r="P16" s="68">
        <f>$M16-$O16</f>
        <v/>
      </c>
      <c r="Q16" s="68">
        <f>($L16-$M16)-($N16-$O16)</f>
        <v/>
      </c>
      <c r="R16" s="68">
        <f>$L16-$N16</f>
        <v/>
      </c>
      <c r="S16" s="67">
        <f>"Finance invoice"</f>
        <v/>
      </c>
      <c r="T16" s="67">
        <f>"Revenue"</f>
        <v/>
      </c>
    </row>
    <row r="17">
      <c r="A17" s="65">
        <f>ROW()-5</f>
        <v/>
      </c>
      <c r="B17" s="66">
        <f>IFERROR(INDEX(tbl_Finance[Date],$A17),"")</f>
        <v/>
      </c>
      <c r="C17" s="67">
        <f>IFERROR(INDEX(tbl_Finance[Xero Invoice No],$A17),"")</f>
        <v/>
      </c>
      <c r="D17" s="67">
        <f>IFERROR(INDEX(tbl_Finance[Client],$A17),"")</f>
        <v/>
      </c>
      <c r="E17" s="67">
        <f>IFERROR(INDEX(tbl_Finance[Job Number],$A17),"")</f>
        <v/>
      </c>
      <c r="F17" s="67">
        <f>IFERROR(INDEX(tbl_Finance[Cost Centre],$A17),"")</f>
        <v/>
      </c>
      <c r="G17" s="68">
        <f>IFERROR(INDEX(tbl_Finance[Ex GST],$A17),"")</f>
        <v/>
      </c>
      <c r="H17" s="66">
        <f>IFERROR(INDEX(tbl_Finance[Defer Start],$A17),"")</f>
        <v/>
      </c>
      <c r="I17" s="66">
        <f>IFERROR(INDEX(tbl_Finance[Defer End],$A17),"")</f>
        <v/>
      </c>
      <c r="J17" s="65">
        <f>IF(OR($H17="",$I17="",$G17=""),"",MAX(1,(YEAR($I17)-YEAR($H17))*12+MONTH($I17)-MONTH($H17)+1))</f>
        <v/>
      </c>
      <c r="K17" s="68">
        <f>IF($J17="","",$G17/$J17)</f>
        <v/>
      </c>
      <c r="L17" s="68">
        <f>IF($J17="",0,$K17*MAX(0,MIN(YEAR($C$3)*12+MONTH($C$3),YEAR($I17)*12+MONTH($I17))-(YEAR($H17)*12+MONTH($H17))+1))</f>
        <v/>
      </c>
      <c r="M17" s="68">
        <f>IF($J17="",0,$K17*MAX(0,MIN(YEAR($C$3)*12+MONTH($C$3)-1,YEAR($I17)*12+MONTH($I17))-(YEAR($H17)*12+MONTH($H17))+1))</f>
        <v/>
      </c>
      <c r="N17" s="68">
        <f>IF(OR($J17="",$B17=""),0,IF(YEAR($B17)*12+MONTH($B17)&lt;=YEAR($C$3)*12+MONTH($C$3),$G17,0))</f>
        <v/>
      </c>
      <c r="O17" s="68">
        <f>IF(OR($J17="",$B17=""),0,IF(YEAR($B17)*12+MONTH($B17)&lt;=YEAR($C$3)*12+MONTH($C$3)-1,$G17,0))</f>
        <v/>
      </c>
      <c r="P17" s="68">
        <f>$M17-$O17</f>
        <v/>
      </c>
      <c r="Q17" s="68">
        <f>($L17-$M17)-($N17-$O17)</f>
        <v/>
      </c>
      <c r="R17" s="68">
        <f>$L17-$N17</f>
        <v/>
      </c>
      <c r="S17" s="67">
        <f>"Finance invoice"</f>
        <v/>
      </c>
      <c r="T17" s="67">
        <f>"Revenue"</f>
        <v/>
      </c>
    </row>
    <row r="18">
      <c r="A18" s="65">
        <f>ROW()-5</f>
        <v/>
      </c>
      <c r="B18" s="66">
        <f>IFERROR(INDEX(tbl_Finance[Date],$A18),"")</f>
        <v/>
      </c>
      <c r="C18" s="67">
        <f>IFERROR(INDEX(tbl_Finance[Xero Invoice No],$A18),"")</f>
        <v/>
      </c>
      <c r="D18" s="67">
        <f>IFERROR(INDEX(tbl_Finance[Client],$A18),"")</f>
        <v/>
      </c>
      <c r="E18" s="67">
        <f>IFERROR(INDEX(tbl_Finance[Job Number],$A18),"")</f>
        <v/>
      </c>
      <c r="F18" s="67">
        <f>IFERROR(INDEX(tbl_Finance[Cost Centre],$A18),"")</f>
        <v/>
      </c>
      <c r="G18" s="68">
        <f>IFERROR(INDEX(tbl_Finance[Ex GST],$A18),"")</f>
        <v/>
      </c>
      <c r="H18" s="66">
        <f>IFERROR(INDEX(tbl_Finance[Defer Start],$A18),"")</f>
        <v/>
      </c>
      <c r="I18" s="66">
        <f>IFERROR(INDEX(tbl_Finance[Defer End],$A18),"")</f>
        <v/>
      </c>
      <c r="J18" s="65">
        <f>IF(OR($H18="",$I18="",$G18=""),"",MAX(1,(YEAR($I18)-YEAR($H18))*12+MONTH($I18)-MONTH($H18)+1))</f>
        <v/>
      </c>
      <c r="K18" s="68">
        <f>IF($J18="","",$G18/$J18)</f>
        <v/>
      </c>
      <c r="L18" s="68">
        <f>IF($J18="",0,$K18*MAX(0,MIN(YEAR($C$3)*12+MONTH($C$3),YEAR($I18)*12+MONTH($I18))-(YEAR($H18)*12+MONTH($H18))+1))</f>
        <v/>
      </c>
      <c r="M18" s="68">
        <f>IF($J18="",0,$K18*MAX(0,MIN(YEAR($C$3)*12+MONTH($C$3)-1,YEAR($I18)*12+MONTH($I18))-(YEAR($H18)*12+MONTH($H18))+1))</f>
        <v/>
      </c>
      <c r="N18" s="68">
        <f>IF(OR($J18="",$B18=""),0,IF(YEAR($B18)*12+MONTH($B18)&lt;=YEAR($C$3)*12+MONTH($C$3),$G18,0))</f>
        <v/>
      </c>
      <c r="O18" s="68">
        <f>IF(OR($J18="",$B18=""),0,IF(YEAR($B18)*12+MONTH($B18)&lt;=YEAR($C$3)*12+MONTH($C$3)-1,$G18,0))</f>
        <v/>
      </c>
      <c r="P18" s="68">
        <f>$M18-$O18</f>
        <v/>
      </c>
      <c r="Q18" s="68">
        <f>($L18-$M18)-($N18-$O18)</f>
        <v/>
      </c>
      <c r="R18" s="68">
        <f>$L18-$N18</f>
        <v/>
      </c>
      <c r="S18" s="67">
        <f>"Finance invoice"</f>
        <v/>
      </c>
      <c r="T18" s="67">
        <f>"Revenue"</f>
        <v/>
      </c>
    </row>
    <row r="19">
      <c r="A19" s="65">
        <f>ROW()-5</f>
        <v/>
      </c>
      <c r="B19" s="66">
        <f>IFERROR(INDEX(tbl_Finance[Date],$A19),"")</f>
        <v/>
      </c>
      <c r="C19" s="67">
        <f>IFERROR(INDEX(tbl_Finance[Xero Invoice No],$A19),"")</f>
        <v/>
      </c>
      <c r="D19" s="67">
        <f>IFERROR(INDEX(tbl_Finance[Client],$A19),"")</f>
        <v/>
      </c>
      <c r="E19" s="67">
        <f>IFERROR(INDEX(tbl_Finance[Job Number],$A19),"")</f>
        <v/>
      </c>
      <c r="F19" s="67">
        <f>IFERROR(INDEX(tbl_Finance[Cost Centre],$A19),"")</f>
        <v/>
      </c>
      <c r="G19" s="68">
        <f>IFERROR(INDEX(tbl_Finance[Ex GST],$A19),"")</f>
        <v/>
      </c>
      <c r="H19" s="66">
        <f>IFERROR(INDEX(tbl_Finance[Defer Start],$A19),"")</f>
        <v/>
      </c>
      <c r="I19" s="66">
        <f>IFERROR(INDEX(tbl_Finance[Defer End],$A19),"")</f>
        <v/>
      </c>
      <c r="J19" s="65">
        <f>IF(OR($H19="",$I19="",$G19=""),"",MAX(1,(YEAR($I19)-YEAR($H19))*12+MONTH($I19)-MONTH($H19)+1))</f>
        <v/>
      </c>
      <c r="K19" s="68">
        <f>IF($J19="","",$G19/$J19)</f>
        <v/>
      </c>
      <c r="L19" s="68">
        <f>IF($J19="",0,$K19*MAX(0,MIN(YEAR($C$3)*12+MONTH($C$3),YEAR($I19)*12+MONTH($I19))-(YEAR($H19)*12+MONTH($H19))+1))</f>
        <v/>
      </c>
      <c r="M19" s="68">
        <f>IF($J19="",0,$K19*MAX(0,MIN(YEAR($C$3)*12+MONTH($C$3)-1,YEAR($I19)*12+MONTH($I19))-(YEAR($H19)*12+MONTH($H19))+1))</f>
        <v/>
      </c>
      <c r="N19" s="68">
        <f>IF(OR($J19="",$B19=""),0,IF(YEAR($B19)*12+MONTH($B19)&lt;=YEAR($C$3)*12+MONTH($C$3),$G19,0))</f>
        <v/>
      </c>
      <c r="O19" s="68">
        <f>IF(OR($J19="",$B19=""),0,IF(YEAR($B19)*12+MONTH($B19)&lt;=YEAR($C$3)*12+MONTH($C$3)-1,$G19,0))</f>
        <v/>
      </c>
      <c r="P19" s="68">
        <f>$M19-$O19</f>
        <v/>
      </c>
      <c r="Q19" s="68">
        <f>($L19-$M19)-($N19-$O19)</f>
        <v/>
      </c>
      <c r="R19" s="68">
        <f>$L19-$N19</f>
        <v/>
      </c>
      <c r="S19" s="67">
        <f>"Finance invoice"</f>
        <v/>
      </c>
      <c r="T19" s="67">
        <f>"Revenue"</f>
        <v/>
      </c>
    </row>
    <row r="20">
      <c r="A20" s="65">
        <f>ROW()-5</f>
        <v/>
      </c>
      <c r="B20" s="66">
        <f>IFERROR(INDEX(tbl_Finance[Date],$A20),"")</f>
        <v/>
      </c>
      <c r="C20" s="67">
        <f>IFERROR(INDEX(tbl_Finance[Xero Invoice No],$A20),"")</f>
        <v/>
      </c>
      <c r="D20" s="67">
        <f>IFERROR(INDEX(tbl_Finance[Client],$A20),"")</f>
        <v/>
      </c>
      <c r="E20" s="67">
        <f>IFERROR(INDEX(tbl_Finance[Job Number],$A20),"")</f>
        <v/>
      </c>
      <c r="F20" s="67">
        <f>IFERROR(INDEX(tbl_Finance[Cost Centre],$A20),"")</f>
        <v/>
      </c>
      <c r="G20" s="68">
        <f>IFERROR(INDEX(tbl_Finance[Ex GST],$A20),"")</f>
        <v/>
      </c>
      <c r="H20" s="66">
        <f>IFERROR(INDEX(tbl_Finance[Defer Start],$A20),"")</f>
        <v/>
      </c>
      <c r="I20" s="66">
        <f>IFERROR(INDEX(tbl_Finance[Defer End],$A20),"")</f>
        <v/>
      </c>
      <c r="J20" s="65">
        <f>IF(OR($H20="",$I20="",$G20=""),"",MAX(1,(YEAR($I20)-YEAR($H20))*12+MONTH($I20)-MONTH($H20)+1))</f>
        <v/>
      </c>
      <c r="K20" s="68">
        <f>IF($J20="","",$G20/$J20)</f>
        <v/>
      </c>
      <c r="L20" s="68">
        <f>IF($J20="",0,$K20*MAX(0,MIN(YEAR($C$3)*12+MONTH($C$3),YEAR($I20)*12+MONTH($I20))-(YEAR($H20)*12+MONTH($H20))+1))</f>
        <v/>
      </c>
      <c r="M20" s="68">
        <f>IF($J20="",0,$K20*MAX(0,MIN(YEAR($C$3)*12+MONTH($C$3)-1,YEAR($I20)*12+MONTH($I20))-(YEAR($H20)*12+MONTH($H20))+1))</f>
        <v/>
      </c>
      <c r="N20" s="68">
        <f>IF(OR($J20="",$B20=""),0,IF(YEAR($B20)*12+MONTH($B20)&lt;=YEAR($C$3)*12+MONTH($C$3),$G20,0))</f>
        <v/>
      </c>
      <c r="O20" s="68">
        <f>IF(OR($J20="",$B20=""),0,IF(YEAR($B20)*12+MONTH($B20)&lt;=YEAR($C$3)*12+MONTH($C$3)-1,$G20,0))</f>
        <v/>
      </c>
      <c r="P20" s="68">
        <f>$M20-$O20</f>
        <v/>
      </c>
      <c r="Q20" s="68">
        <f>($L20-$M20)-($N20-$O20)</f>
        <v/>
      </c>
      <c r="R20" s="68">
        <f>$L20-$N20</f>
        <v/>
      </c>
      <c r="S20" s="67">
        <f>"Finance invoice"</f>
        <v/>
      </c>
      <c r="T20" s="67">
        <f>"Revenue"</f>
        <v/>
      </c>
    </row>
    <row r="21">
      <c r="A21" s="65">
        <f>ROW()-5</f>
        <v/>
      </c>
      <c r="B21" s="66">
        <f>IFERROR(INDEX(tbl_Finance[Date],$A21),"")</f>
        <v/>
      </c>
      <c r="C21" s="67">
        <f>IFERROR(INDEX(tbl_Finance[Xero Invoice No],$A21),"")</f>
        <v/>
      </c>
      <c r="D21" s="67">
        <f>IFERROR(INDEX(tbl_Finance[Client],$A21),"")</f>
        <v/>
      </c>
      <c r="E21" s="67">
        <f>IFERROR(INDEX(tbl_Finance[Job Number],$A21),"")</f>
        <v/>
      </c>
      <c r="F21" s="67">
        <f>IFERROR(INDEX(tbl_Finance[Cost Centre],$A21),"")</f>
        <v/>
      </c>
      <c r="G21" s="68">
        <f>IFERROR(INDEX(tbl_Finance[Ex GST],$A21),"")</f>
        <v/>
      </c>
      <c r="H21" s="66">
        <f>IFERROR(INDEX(tbl_Finance[Defer Start],$A21),"")</f>
        <v/>
      </c>
      <c r="I21" s="66">
        <f>IFERROR(INDEX(tbl_Finance[Defer End],$A21),"")</f>
        <v/>
      </c>
      <c r="J21" s="65">
        <f>IF(OR($H21="",$I21="",$G21=""),"",MAX(1,(YEAR($I21)-YEAR($H21))*12+MONTH($I21)-MONTH($H21)+1))</f>
        <v/>
      </c>
      <c r="K21" s="68">
        <f>IF($J21="","",$G21/$J21)</f>
        <v/>
      </c>
      <c r="L21" s="68">
        <f>IF($J21="",0,$K21*MAX(0,MIN(YEAR($C$3)*12+MONTH($C$3),YEAR($I21)*12+MONTH($I21))-(YEAR($H21)*12+MONTH($H21))+1))</f>
        <v/>
      </c>
      <c r="M21" s="68">
        <f>IF($J21="",0,$K21*MAX(0,MIN(YEAR($C$3)*12+MONTH($C$3)-1,YEAR($I21)*12+MONTH($I21))-(YEAR($H21)*12+MONTH($H21))+1))</f>
        <v/>
      </c>
      <c r="N21" s="68">
        <f>IF(OR($J21="",$B21=""),0,IF(YEAR($B21)*12+MONTH($B21)&lt;=YEAR($C$3)*12+MONTH($C$3),$G21,0))</f>
        <v/>
      </c>
      <c r="O21" s="68">
        <f>IF(OR($J21="",$B21=""),0,IF(YEAR($B21)*12+MONTH($B21)&lt;=YEAR($C$3)*12+MONTH($C$3)-1,$G21,0))</f>
        <v/>
      </c>
      <c r="P21" s="68">
        <f>$M21-$O21</f>
        <v/>
      </c>
      <c r="Q21" s="68">
        <f>($L21-$M21)-($N21-$O21)</f>
        <v/>
      </c>
      <c r="R21" s="68">
        <f>$L21-$N21</f>
        <v/>
      </c>
      <c r="S21" s="67">
        <f>"Finance invoice"</f>
        <v/>
      </c>
      <c r="T21" s="67">
        <f>"Revenue"</f>
        <v/>
      </c>
    </row>
    <row r="22">
      <c r="A22" s="65">
        <f>ROW()-5</f>
        <v/>
      </c>
      <c r="B22" s="66">
        <f>IFERROR(INDEX(tbl_Finance[Date],$A22),"")</f>
        <v/>
      </c>
      <c r="C22" s="67">
        <f>IFERROR(INDEX(tbl_Finance[Xero Invoice No],$A22),"")</f>
        <v/>
      </c>
      <c r="D22" s="67">
        <f>IFERROR(INDEX(tbl_Finance[Client],$A22),"")</f>
        <v/>
      </c>
      <c r="E22" s="67">
        <f>IFERROR(INDEX(tbl_Finance[Job Number],$A22),"")</f>
        <v/>
      </c>
      <c r="F22" s="67">
        <f>IFERROR(INDEX(tbl_Finance[Cost Centre],$A22),"")</f>
        <v/>
      </c>
      <c r="G22" s="68">
        <f>IFERROR(INDEX(tbl_Finance[Ex GST],$A22),"")</f>
        <v/>
      </c>
      <c r="H22" s="66">
        <f>IFERROR(INDEX(tbl_Finance[Defer Start],$A22),"")</f>
        <v/>
      </c>
      <c r="I22" s="66">
        <f>IFERROR(INDEX(tbl_Finance[Defer End],$A22),"")</f>
        <v/>
      </c>
      <c r="J22" s="65">
        <f>IF(OR($H22="",$I22="",$G22=""),"",MAX(1,(YEAR($I22)-YEAR($H22))*12+MONTH($I22)-MONTH($H22)+1))</f>
        <v/>
      </c>
      <c r="K22" s="68">
        <f>IF($J22="","",$G22/$J22)</f>
        <v/>
      </c>
      <c r="L22" s="68">
        <f>IF($J22="",0,$K22*MAX(0,MIN(YEAR($C$3)*12+MONTH($C$3),YEAR($I22)*12+MONTH($I22))-(YEAR($H22)*12+MONTH($H22))+1))</f>
        <v/>
      </c>
      <c r="M22" s="68">
        <f>IF($J22="",0,$K22*MAX(0,MIN(YEAR($C$3)*12+MONTH($C$3)-1,YEAR($I22)*12+MONTH($I22))-(YEAR($H22)*12+MONTH($H22))+1))</f>
        <v/>
      </c>
      <c r="N22" s="68">
        <f>IF(OR($J22="",$B22=""),0,IF(YEAR($B22)*12+MONTH($B22)&lt;=YEAR($C$3)*12+MONTH($C$3),$G22,0))</f>
        <v/>
      </c>
      <c r="O22" s="68">
        <f>IF(OR($J22="",$B22=""),0,IF(YEAR($B22)*12+MONTH($B22)&lt;=YEAR($C$3)*12+MONTH($C$3)-1,$G22,0))</f>
        <v/>
      </c>
      <c r="P22" s="68">
        <f>$M22-$O22</f>
        <v/>
      </c>
      <c r="Q22" s="68">
        <f>($L22-$M22)-($N22-$O22)</f>
        <v/>
      </c>
      <c r="R22" s="68">
        <f>$L22-$N22</f>
        <v/>
      </c>
      <c r="S22" s="67">
        <f>"Finance invoice"</f>
        <v/>
      </c>
      <c r="T22" s="67">
        <f>"Revenue"</f>
        <v/>
      </c>
    </row>
    <row r="23">
      <c r="A23" s="65">
        <f>ROW()-5</f>
        <v/>
      </c>
      <c r="B23" s="66">
        <f>IFERROR(INDEX(tbl_Finance[Date],$A23),"")</f>
        <v/>
      </c>
      <c r="C23" s="67">
        <f>IFERROR(INDEX(tbl_Finance[Xero Invoice No],$A23),"")</f>
        <v/>
      </c>
      <c r="D23" s="67">
        <f>IFERROR(INDEX(tbl_Finance[Client],$A23),"")</f>
        <v/>
      </c>
      <c r="E23" s="67">
        <f>IFERROR(INDEX(tbl_Finance[Job Number],$A23),"")</f>
        <v/>
      </c>
      <c r="F23" s="67">
        <f>IFERROR(INDEX(tbl_Finance[Cost Centre],$A23),"")</f>
        <v/>
      </c>
      <c r="G23" s="68">
        <f>IFERROR(INDEX(tbl_Finance[Ex GST],$A23),"")</f>
        <v/>
      </c>
      <c r="H23" s="66">
        <f>IFERROR(INDEX(tbl_Finance[Defer Start],$A23),"")</f>
        <v/>
      </c>
      <c r="I23" s="66">
        <f>IFERROR(INDEX(tbl_Finance[Defer End],$A23),"")</f>
        <v/>
      </c>
      <c r="J23" s="65">
        <f>IF(OR($H23="",$I23="",$G23=""),"",MAX(1,(YEAR($I23)-YEAR($H23))*12+MONTH($I23)-MONTH($H23)+1))</f>
        <v/>
      </c>
      <c r="K23" s="68">
        <f>IF($J23="","",$G23/$J23)</f>
        <v/>
      </c>
      <c r="L23" s="68">
        <f>IF($J23="",0,$K23*MAX(0,MIN(YEAR($C$3)*12+MONTH($C$3),YEAR($I23)*12+MONTH($I23))-(YEAR($H23)*12+MONTH($H23))+1))</f>
        <v/>
      </c>
      <c r="M23" s="68">
        <f>IF($J23="",0,$K23*MAX(0,MIN(YEAR($C$3)*12+MONTH($C$3)-1,YEAR($I23)*12+MONTH($I23))-(YEAR($H23)*12+MONTH($H23))+1))</f>
        <v/>
      </c>
      <c r="N23" s="68">
        <f>IF(OR($J23="",$B23=""),0,IF(YEAR($B23)*12+MONTH($B23)&lt;=YEAR($C$3)*12+MONTH($C$3),$G23,0))</f>
        <v/>
      </c>
      <c r="O23" s="68">
        <f>IF(OR($J23="",$B23=""),0,IF(YEAR($B23)*12+MONTH($B23)&lt;=YEAR($C$3)*12+MONTH($C$3)-1,$G23,0))</f>
        <v/>
      </c>
      <c r="P23" s="68">
        <f>$M23-$O23</f>
        <v/>
      </c>
      <c r="Q23" s="68">
        <f>($L23-$M23)-($N23-$O23)</f>
        <v/>
      </c>
      <c r="R23" s="68">
        <f>$L23-$N23</f>
        <v/>
      </c>
      <c r="S23" s="67">
        <f>"Finance invoice"</f>
        <v/>
      </c>
      <c r="T23" s="67">
        <f>"Revenue"</f>
        <v/>
      </c>
    </row>
    <row r="24">
      <c r="A24" s="65">
        <f>ROW()-5</f>
        <v/>
      </c>
      <c r="B24" s="66">
        <f>IFERROR(INDEX(tbl_Finance[Date],$A24),"")</f>
        <v/>
      </c>
      <c r="C24" s="67">
        <f>IFERROR(INDEX(tbl_Finance[Xero Invoice No],$A24),"")</f>
        <v/>
      </c>
      <c r="D24" s="67">
        <f>IFERROR(INDEX(tbl_Finance[Client],$A24),"")</f>
        <v/>
      </c>
      <c r="E24" s="67">
        <f>IFERROR(INDEX(tbl_Finance[Job Number],$A24),"")</f>
        <v/>
      </c>
      <c r="F24" s="67">
        <f>IFERROR(INDEX(tbl_Finance[Cost Centre],$A24),"")</f>
        <v/>
      </c>
      <c r="G24" s="68">
        <f>IFERROR(INDEX(tbl_Finance[Ex GST],$A24),"")</f>
        <v/>
      </c>
      <c r="H24" s="66">
        <f>IFERROR(INDEX(tbl_Finance[Defer Start],$A24),"")</f>
        <v/>
      </c>
      <c r="I24" s="66">
        <f>IFERROR(INDEX(tbl_Finance[Defer End],$A24),"")</f>
        <v/>
      </c>
      <c r="J24" s="65">
        <f>IF(OR($H24="",$I24="",$G24=""),"",MAX(1,(YEAR($I24)-YEAR($H24))*12+MONTH($I24)-MONTH($H24)+1))</f>
        <v/>
      </c>
      <c r="K24" s="68">
        <f>IF($J24="","",$G24/$J24)</f>
        <v/>
      </c>
      <c r="L24" s="68">
        <f>IF($J24="",0,$K24*MAX(0,MIN(YEAR($C$3)*12+MONTH($C$3),YEAR($I24)*12+MONTH($I24))-(YEAR($H24)*12+MONTH($H24))+1))</f>
        <v/>
      </c>
      <c r="M24" s="68">
        <f>IF($J24="",0,$K24*MAX(0,MIN(YEAR($C$3)*12+MONTH($C$3)-1,YEAR($I24)*12+MONTH($I24))-(YEAR($H24)*12+MONTH($H24))+1))</f>
        <v/>
      </c>
      <c r="N24" s="68">
        <f>IF(OR($J24="",$B24=""),0,IF(YEAR($B24)*12+MONTH($B24)&lt;=YEAR($C$3)*12+MONTH($C$3),$G24,0))</f>
        <v/>
      </c>
      <c r="O24" s="68">
        <f>IF(OR($J24="",$B24=""),0,IF(YEAR($B24)*12+MONTH($B24)&lt;=YEAR($C$3)*12+MONTH($C$3)-1,$G24,0))</f>
        <v/>
      </c>
      <c r="P24" s="68">
        <f>$M24-$O24</f>
        <v/>
      </c>
      <c r="Q24" s="68">
        <f>($L24-$M24)-($N24-$O24)</f>
        <v/>
      </c>
      <c r="R24" s="68">
        <f>$L24-$N24</f>
        <v/>
      </c>
      <c r="S24" s="67">
        <f>"Finance invoice"</f>
        <v/>
      </c>
      <c r="T24" s="67">
        <f>"Revenue"</f>
        <v/>
      </c>
    </row>
    <row r="25">
      <c r="A25" s="65">
        <f>ROW()-5</f>
        <v/>
      </c>
      <c r="B25" s="66">
        <f>IFERROR(INDEX(tbl_Finance[Date],$A25),"")</f>
        <v/>
      </c>
      <c r="C25" s="67">
        <f>IFERROR(INDEX(tbl_Finance[Xero Invoice No],$A25),"")</f>
        <v/>
      </c>
      <c r="D25" s="67">
        <f>IFERROR(INDEX(tbl_Finance[Client],$A25),"")</f>
        <v/>
      </c>
      <c r="E25" s="67">
        <f>IFERROR(INDEX(tbl_Finance[Job Number],$A25),"")</f>
        <v/>
      </c>
      <c r="F25" s="67">
        <f>IFERROR(INDEX(tbl_Finance[Cost Centre],$A25),"")</f>
        <v/>
      </c>
      <c r="G25" s="68">
        <f>IFERROR(INDEX(tbl_Finance[Ex GST],$A25),"")</f>
        <v/>
      </c>
      <c r="H25" s="66">
        <f>IFERROR(INDEX(tbl_Finance[Defer Start],$A25),"")</f>
        <v/>
      </c>
      <c r="I25" s="66">
        <f>IFERROR(INDEX(tbl_Finance[Defer End],$A25),"")</f>
        <v/>
      </c>
      <c r="J25" s="65">
        <f>IF(OR($H25="",$I25="",$G25=""),"",MAX(1,(YEAR($I25)-YEAR($H25))*12+MONTH($I25)-MONTH($H25)+1))</f>
        <v/>
      </c>
      <c r="K25" s="68">
        <f>IF($J25="","",$G25/$J25)</f>
        <v/>
      </c>
      <c r="L25" s="68">
        <f>IF($J25="",0,$K25*MAX(0,MIN(YEAR($C$3)*12+MONTH($C$3),YEAR($I25)*12+MONTH($I25))-(YEAR($H25)*12+MONTH($H25))+1))</f>
        <v/>
      </c>
      <c r="M25" s="68">
        <f>IF($J25="",0,$K25*MAX(0,MIN(YEAR($C$3)*12+MONTH($C$3)-1,YEAR($I25)*12+MONTH($I25))-(YEAR($H25)*12+MONTH($H25))+1))</f>
        <v/>
      </c>
      <c r="N25" s="68">
        <f>IF(OR($J25="",$B25=""),0,IF(YEAR($B25)*12+MONTH($B25)&lt;=YEAR($C$3)*12+MONTH($C$3),$G25,0))</f>
        <v/>
      </c>
      <c r="O25" s="68">
        <f>IF(OR($J25="",$B25=""),0,IF(YEAR($B25)*12+MONTH($B25)&lt;=YEAR($C$3)*12+MONTH($C$3)-1,$G25,0))</f>
        <v/>
      </c>
      <c r="P25" s="68">
        <f>$M25-$O25</f>
        <v/>
      </c>
      <c r="Q25" s="68">
        <f>($L25-$M25)-($N25-$O25)</f>
        <v/>
      </c>
      <c r="R25" s="68">
        <f>$L25-$N25</f>
        <v/>
      </c>
      <c r="S25" s="67">
        <f>"Finance invoice"</f>
        <v/>
      </c>
      <c r="T25" s="67">
        <f>"Revenue"</f>
        <v/>
      </c>
    </row>
    <row r="26">
      <c r="A26" s="65">
        <f>ROW()-5</f>
        <v/>
      </c>
      <c r="B26" s="66">
        <f>IFERROR(INDEX(tbl_Finance[Date],$A26),"")</f>
        <v/>
      </c>
      <c r="C26" s="67">
        <f>IFERROR(INDEX(tbl_Finance[Xero Invoice No],$A26),"")</f>
        <v/>
      </c>
      <c r="D26" s="67">
        <f>IFERROR(INDEX(tbl_Finance[Client],$A26),"")</f>
        <v/>
      </c>
      <c r="E26" s="67">
        <f>IFERROR(INDEX(tbl_Finance[Job Number],$A26),"")</f>
        <v/>
      </c>
      <c r="F26" s="67">
        <f>IFERROR(INDEX(tbl_Finance[Cost Centre],$A26),"")</f>
        <v/>
      </c>
      <c r="G26" s="68">
        <f>IFERROR(INDEX(tbl_Finance[Ex GST],$A26),"")</f>
        <v/>
      </c>
      <c r="H26" s="66">
        <f>IFERROR(INDEX(tbl_Finance[Defer Start],$A26),"")</f>
        <v/>
      </c>
      <c r="I26" s="66">
        <f>IFERROR(INDEX(tbl_Finance[Defer End],$A26),"")</f>
        <v/>
      </c>
      <c r="J26" s="65">
        <f>IF(OR($H26="",$I26="",$G26=""),"",MAX(1,(YEAR($I26)-YEAR($H26))*12+MONTH($I26)-MONTH($H26)+1))</f>
        <v/>
      </c>
      <c r="K26" s="68">
        <f>IF($J26="","",$G26/$J26)</f>
        <v/>
      </c>
      <c r="L26" s="68">
        <f>IF($J26="",0,$K26*MAX(0,MIN(YEAR($C$3)*12+MONTH($C$3),YEAR($I26)*12+MONTH($I26))-(YEAR($H26)*12+MONTH($H26))+1))</f>
        <v/>
      </c>
      <c r="M26" s="68">
        <f>IF($J26="",0,$K26*MAX(0,MIN(YEAR($C$3)*12+MONTH($C$3)-1,YEAR($I26)*12+MONTH($I26))-(YEAR($H26)*12+MONTH($H26))+1))</f>
        <v/>
      </c>
      <c r="N26" s="68">
        <f>IF(OR($J26="",$B26=""),0,IF(YEAR($B26)*12+MONTH($B26)&lt;=YEAR($C$3)*12+MONTH($C$3),$G26,0))</f>
        <v/>
      </c>
      <c r="O26" s="68">
        <f>IF(OR($J26="",$B26=""),0,IF(YEAR($B26)*12+MONTH($B26)&lt;=YEAR($C$3)*12+MONTH($C$3)-1,$G26,0))</f>
        <v/>
      </c>
      <c r="P26" s="68">
        <f>$M26-$O26</f>
        <v/>
      </c>
      <c r="Q26" s="68">
        <f>($L26-$M26)-($N26-$O26)</f>
        <v/>
      </c>
      <c r="R26" s="68">
        <f>$L26-$N26</f>
        <v/>
      </c>
      <c r="S26" s="67">
        <f>"Finance invoice"</f>
        <v/>
      </c>
      <c r="T26" s="67">
        <f>"Revenue"</f>
        <v/>
      </c>
    </row>
    <row r="27">
      <c r="A27" s="65">
        <f>ROW()-5</f>
        <v/>
      </c>
      <c r="B27" s="66">
        <f>IFERROR(INDEX(tbl_Finance[Date],$A27),"")</f>
        <v/>
      </c>
      <c r="C27" s="67">
        <f>IFERROR(INDEX(tbl_Finance[Xero Invoice No],$A27),"")</f>
        <v/>
      </c>
      <c r="D27" s="67">
        <f>IFERROR(INDEX(tbl_Finance[Client],$A27),"")</f>
        <v/>
      </c>
      <c r="E27" s="67">
        <f>IFERROR(INDEX(tbl_Finance[Job Number],$A27),"")</f>
        <v/>
      </c>
      <c r="F27" s="67">
        <f>IFERROR(INDEX(tbl_Finance[Cost Centre],$A27),"")</f>
        <v/>
      </c>
      <c r="G27" s="68">
        <f>IFERROR(INDEX(tbl_Finance[Ex GST],$A27),"")</f>
        <v/>
      </c>
      <c r="H27" s="66">
        <f>IFERROR(INDEX(tbl_Finance[Defer Start],$A27),"")</f>
        <v/>
      </c>
      <c r="I27" s="66">
        <f>IFERROR(INDEX(tbl_Finance[Defer End],$A27),"")</f>
        <v/>
      </c>
      <c r="J27" s="65">
        <f>IF(OR($H27="",$I27="",$G27=""),"",MAX(1,(YEAR($I27)-YEAR($H27))*12+MONTH($I27)-MONTH($H27)+1))</f>
        <v/>
      </c>
      <c r="K27" s="68">
        <f>IF($J27="","",$G27/$J27)</f>
        <v/>
      </c>
      <c r="L27" s="68">
        <f>IF($J27="",0,$K27*MAX(0,MIN(YEAR($C$3)*12+MONTH($C$3),YEAR($I27)*12+MONTH($I27))-(YEAR($H27)*12+MONTH($H27))+1))</f>
        <v/>
      </c>
      <c r="M27" s="68">
        <f>IF($J27="",0,$K27*MAX(0,MIN(YEAR($C$3)*12+MONTH($C$3)-1,YEAR($I27)*12+MONTH($I27))-(YEAR($H27)*12+MONTH($H27))+1))</f>
        <v/>
      </c>
      <c r="N27" s="68">
        <f>IF(OR($J27="",$B27=""),0,IF(YEAR($B27)*12+MONTH($B27)&lt;=YEAR($C$3)*12+MONTH($C$3),$G27,0))</f>
        <v/>
      </c>
      <c r="O27" s="68">
        <f>IF(OR($J27="",$B27=""),0,IF(YEAR($B27)*12+MONTH($B27)&lt;=YEAR($C$3)*12+MONTH($C$3)-1,$G27,0))</f>
        <v/>
      </c>
      <c r="P27" s="68">
        <f>$M27-$O27</f>
        <v/>
      </c>
      <c r="Q27" s="68">
        <f>($L27-$M27)-($N27-$O27)</f>
        <v/>
      </c>
      <c r="R27" s="68">
        <f>$L27-$N27</f>
        <v/>
      </c>
      <c r="S27" s="67">
        <f>"Finance invoice"</f>
        <v/>
      </c>
      <c r="T27" s="67">
        <f>"Revenue"</f>
        <v/>
      </c>
    </row>
    <row r="28">
      <c r="A28" s="65">
        <f>ROW()-5</f>
        <v/>
      </c>
      <c r="B28" s="66">
        <f>IFERROR(INDEX(tbl_Finance[Date],$A28),"")</f>
        <v/>
      </c>
      <c r="C28" s="67">
        <f>IFERROR(INDEX(tbl_Finance[Xero Invoice No],$A28),"")</f>
        <v/>
      </c>
      <c r="D28" s="67">
        <f>IFERROR(INDEX(tbl_Finance[Client],$A28),"")</f>
        <v/>
      </c>
      <c r="E28" s="67">
        <f>IFERROR(INDEX(tbl_Finance[Job Number],$A28),"")</f>
        <v/>
      </c>
      <c r="F28" s="67">
        <f>IFERROR(INDEX(tbl_Finance[Cost Centre],$A28),"")</f>
        <v/>
      </c>
      <c r="G28" s="68">
        <f>IFERROR(INDEX(tbl_Finance[Ex GST],$A28),"")</f>
        <v/>
      </c>
      <c r="H28" s="66">
        <f>IFERROR(INDEX(tbl_Finance[Defer Start],$A28),"")</f>
        <v/>
      </c>
      <c r="I28" s="66">
        <f>IFERROR(INDEX(tbl_Finance[Defer End],$A28),"")</f>
        <v/>
      </c>
      <c r="J28" s="65">
        <f>IF(OR($H28="",$I28="",$G28=""),"",MAX(1,(YEAR($I28)-YEAR($H28))*12+MONTH($I28)-MONTH($H28)+1))</f>
        <v/>
      </c>
      <c r="K28" s="68">
        <f>IF($J28="","",$G28/$J28)</f>
        <v/>
      </c>
      <c r="L28" s="68">
        <f>IF($J28="",0,$K28*MAX(0,MIN(YEAR($C$3)*12+MONTH($C$3),YEAR($I28)*12+MONTH($I28))-(YEAR($H28)*12+MONTH($H28))+1))</f>
        <v/>
      </c>
      <c r="M28" s="68">
        <f>IF($J28="",0,$K28*MAX(0,MIN(YEAR($C$3)*12+MONTH($C$3)-1,YEAR($I28)*12+MONTH($I28))-(YEAR($H28)*12+MONTH($H28))+1))</f>
        <v/>
      </c>
      <c r="N28" s="68">
        <f>IF(OR($J28="",$B28=""),0,IF(YEAR($B28)*12+MONTH($B28)&lt;=YEAR($C$3)*12+MONTH($C$3),$G28,0))</f>
        <v/>
      </c>
      <c r="O28" s="68">
        <f>IF(OR($J28="",$B28=""),0,IF(YEAR($B28)*12+MONTH($B28)&lt;=YEAR($C$3)*12+MONTH($C$3)-1,$G28,0))</f>
        <v/>
      </c>
      <c r="P28" s="68">
        <f>$M28-$O28</f>
        <v/>
      </c>
      <c r="Q28" s="68">
        <f>($L28-$M28)-($N28-$O28)</f>
        <v/>
      </c>
      <c r="R28" s="68">
        <f>$L28-$N28</f>
        <v/>
      </c>
      <c r="S28" s="67">
        <f>"Finance invoice"</f>
        <v/>
      </c>
      <c r="T28" s="67">
        <f>"Revenue"</f>
        <v/>
      </c>
    </row>
    <row r="29">
      <c r="A29" s="65">
        <f>ROW()-5</f>
        <v/>
      </c>
      <c r="B29" s="66">
        <f>IFERROR(INDEX(tbl_Finance[Date],$A29),"")</f>
        <v/>
      </c>
      <c r="C29" s="67">
        <f>IFERROR(INDEX(tbl_Finance[Xero Invoice No],$A29),"")</f>
        <v/>
      </c>
      <c r="D29" s="67">
        <f>IFERROR(INDEX(tbl_Finance[Client],$A29),"")</f>
        <v/>
      </c>
      <c r="E29" s="67">
        <f>IFERROR(INDEX(tbl_Finance[Job Number],$A29),"")</f>
        <v/>
      </c>
      <c r="F29" s="67">
        <f>IFERROR(INDEX(tbl_Finance[Cost Centre],$A29),"")</f>
        <v/>
      </c>
      <c r="G29" s="68">
        <f>IFERROR(INDEX(tbl_Finance[Ex GST],$A29),"")</f>
        <v/>
      </c>
      <c r="H29" s="66">
        <f>IFERROR(INDEX(tbl_Finance[Defer Start],$A29),"")</f>
        <v/>
      </c>
      <c r="I29" s="66">
        <f>IFERROR(INDEX(tbl_Finance[Defer End],$A29),"")</f>
        <v/>
      </c>
      <c r="J29" s="65">
        <f>IF(OR($H29="",$I29="",$G29=""),"",MAX(1,(YEAR($I29)-YEAR($H29))*12+MONTH($I29)-MONTH($H29)+1))</f>
        <v/>
      </c>
      <c r="K29" s="68">
        <f>IF($J29="","",$G29/$J29)</f>
        <v/>
      </c>
      <c r="L29" s="68">
        <f>IF($J29="",0,$K29*MAX(0,MIN(YEAR($C$3)*12+MONTH($C$3),YEAR($I29)*12+MONTH($I29))-(YEAR($H29)*12+MONTH($H29))+1))</f>
        <v/>
      </c>
      <c r="M29" s="68">
        <f>IF($J29="",0,$K29*MAX(0,MIN(YEAR($C$3)*12+MONTH($C$3)-1,YEAR($I29)*12+MONTH($I29))-(YEAR($H29)*12+MONTH($H29))+1))</f>
        <v/>
      </c>
      <c r="N29" s="68">
        <f>IF(OR($J29="",$B29=""),0,IF(YEAR($B29)*12+MONTH($B29)&lt;=YEAR($C$3)*12+MONTH($C$3),$G29,0))</f>
        <v/>
      </c>
      <c r="O29" s="68">
        <f>IF(OR($J29="",$B29=""),0,IF(YEAR($B29)*12+MONTH($B29)&lt;=YEAR($C$3)*12+MONTH($C$3)-1,$G29,0))</f>
        <v/>
      </c>
      <c r="P29" s="68">
        <f>$M29-$O29</f>
        <v/>
      </c>
      <c r="Q29" s="68">
        <f>($L29-$M29)-($N29-$O29)</f>
        <v/>
      </c>
      <c r="R29" s="68">
        <f>$L29-$N29</f>
        <v/>
      </c>
      <c r="S29" s="67">
        <f>"Finance invoice"</f>
        <v/>
      </c>
      <c r="T29" s="67">
        <f>"Revenue"</f>
        <v/>
      </c>
    </row>
    <row r="30">
      <c r="A30" s="65">
        <f>ROW()-5</f>
        <v/>
      </c>
      <c r="B30" s="66">
        <f>IFERROR(INDEX(tbl_Finance[Date],$A30),"")</f>
        <v/>
      </c>
      <c r="C30" s="67">
        <f>IFERROR(INDEX(tbl_Finance[Xero Invoice No],$A30),"")</f>
        <v/>
      </c>
      <c r="D30" s="67">
        <f>IFERROR(INDEX(tbl_Finance[Client],$A30),"")</f>
        <v/>
      </c>
      <c r="E30" s="67">
        <f>IFERROR(INDEX(tbl_Finance[Job Number],$A30),"")</f>
        <v/>
      </c>
      <c r="F30" s="67">
        <f>IFERROR(INDEX(tbl_Finance[Cost Centre],$A30),"")</f>
        <v/>
      </c>
      <c r="G30" s="68">
        <f>IFERROR(INDEX(tbl_Finance[Ex GST],$A30),"")</f>
        <v/>
      </c>
      <c r="H30" s="66">
        <f>IFERROR(INDEX(tbl_Finance[Defer Start],$A30),"")</f>
        <v/>
      </c>
      <c r="I30" s="66">
        <f>IFERROR(INDEX(tbl_Finance[Defer End],$A30),"")</f>
        <v/>
      </c>
      <c r="J30" s="65">
        <f>IF(OR($H30="",$I30="",$G30=""),"",MAX(1,(YEAR($I30)-YEAR($H30))*12+MONTH($I30)-MONTH($H30)+1))</f>
        <v/>
      </c>
      <c r="K30" s="68">
        <f>IF($J30="","",$G30/$J30)</f>
        <v/>
      </c>
      <c r="L30" s="68">
        <f>IF($J30="",0,$K30*MAX(0,MIN(YEAR($C$3)*12+MONTH($C$3),YEAR($I30)*12+MONTH($I30))-(YEAR($H30)*12+MONTH($H30))+1))</f>
        <v/>
      </c>
      <c r="M30" s="68">
        <f>IF($J30="",0,$K30*MAX(0,MIN(YEAR($C$3)*12+MONTH($C$3)-1,YEAR($I30)*12+MONTH($I30))-(YEAR($H30)*12+MONTH($H30))+1))</f>
        <v/>
      </c>
      <c r="N30" s="68">
        <f>IF(OR($J30="",$B30=""),0,IF(YEAR($B30)*12+MONTH($B30)&lt;=YEAR($C$3)*12+MONTH($C$3),$G30,0))</f>
        <v/>
      </c>
      <c r="O30" s="68">
        <f>IF(OR($J30="",$B30=""),0,IF(YEAR($B30)*12+MONTH($B30)&lt;=YEAR($C$3)*12+MONTH($C$3)-1,$G30,0))</f>
        <v/>
      </c>
      <c r="P30" s="68">
        <f>$M30-$O30</f>
        <v/>
      </c>
      <c r="Q30" s="68">
        <f>($L30-$M30)-($N30-$O30)</f>
        <v/>
      </c>
      <c r="R30" s="68">
        <f>$L30-$N30</f>
        <v/>
      </c>
      <c r="S30" s="67">
        <f>"Finance invoice"</f>
        <v/>
      </c>
      <c r="T30" s="67">
        <f>"Revenue"</f>
        <v/>
      </c>
    </row>
    <row r="31">
      <c r="A31" s="65">
        <f>ROW()-5</f>
        <v/>
      </c>
      <c r="B31" s="66">
        <f>IFERROR(INDEX(tbl_Finance[Date],$A31),"")</f>
        <v/>
      </c>
      <c r="C31" s="67">
        <f>IFERROR(INDEX(tbl_Finance[Xero Invoice No],$A31),"")</f>
        <v/>
      </c>
      <c r="D31" s="67">
        <f>IFERROR(INDEX(tbl_Finance[Client],$A31),"")</f>
        <v/>
      </c>
      <c r="E31" s="67">
        <f>IFERROR(INDEX(tbl_Finance[Job Number],$A31),"")</f>
        <v/>
      </c>
      <c r="F31" s="67">
        <f>IFERROR(INDEX(tbl_Finance[Cost Centre],$A31),"")</f>
        <v/>
      </c>
      <c r="G31" s="68">
        <f>IFERROR(INDEX(tbl_Finance[Ex GST],$A31),"")</f>
        <v/>
      </c>
      <c r="H31" s="66">
        <f>IFERROR(INDEX(tbl_Finance[Defer Start],$A31),"")</f>
        <v/>
      </c>
      <c r="I31" s="66">
        <f>IFERROR(INDEX(tbl_Finance[Defer End],$A31),"")</f>
        <v/>
      </c>
      <c r="J31" s="65">
        <f>IF(OR($H31="",$I31="",$G31=""),"",MAX(1,(YEAR($I31)-YEAR($H31))*12+MONTH($I31)-MONTH($H31)+1))</f>
        <v/>
      </c>
      <c r="K31" s="68">
        <f>IF($J31="","",$G31/$J31)</f>
        <v/>
      </c>
      <c r="L31" s="68">
        <f>IF($J31="",0,$K31*MAX(0,MIN(YEAR($C$3)*12+MONTH($C$3),YEAR($I31)*12+MONTH($I31))-(YEAR($H31)*12+MONTH($H31))+1))</f>
        <v/>
      </c>
      <c r="M31" s="68">
        <f>IF($J31="",0,$K31*MAX(0,MIN(YEAR($C$3)*12+MONTH($C$3)-1,YEAR($I31)*12+MONTH($I31))-(YEAR($H31)*12+MONTH($H31))+1))</f>
        <v/>
      </c>
      <c r="N31" s="68">
        <f>IF(OR($J31="",$B31=""),0,IF(YEAR($B31)*12+MONTH($B31)&lt;=YEAR($C$3)*12+MONTH($C$3),$G31,0))</f>
        <v/>
      </c>
      <c r="O31" s="68">
        <f>IF(OR($J31="",$B31=""),0,IF(YEAR($B31)*12+MONTH($B31)&lt;=YEAR($C$3)*12+MONTH($C$3)-1,$G31,0))</f>
        <v/>
      </c>
      <c r="P31" s="68">
        <f>$M31-$O31</f>
        <v/>
      </c>
      <c r="Q31" s="68">
        <f>($L31-$M31)-($N31-$O31)</f>
        <v/>
      </c>
      <c r="R31" s="68">
        <f>$L31-$N31</f>
        <v/>
      </c>
      <c r="S31" s="67">
        <f>"Finance invoice"</f>
        <v/>
      </c>
      <c r="T31" s="67">
        <f>"Revenue"</f>
        <v/>
      </c>
    </row>
    <row r="32">
      <c r="A32" s="65">
        <f>ROW()-5</f>
        <v/>
      </c>
      <c r="B32" s="66">
        <f>IFERROR(INDEX(tbl_Finance[Date],$A32),"")</f>
        <v/>
      </c>
      <c r="C32" s="67">
        <f>IFERROR(INDEX(tbl_Finance[Xero Invoice No],$A32),"")</f>
        <v/>
      </c>
      <c r="D32" s="67">
        <f>IFERROR(INDEX(tbl_Finance[Client],$A32),"")</f>
        <v/>
      </c>
      <c r="E32" s="67">
        <f>IFERROR(INDEX(tbl_Finance[Job Number],$A32),"")</f>
        <v/>
      </c>
      <c r="F32" s="67">
        <f>IFERROR(INDEX(tbl_Finance[Cost Centre],$A32),"")</f>
        <v/>
      </c>
      <c r="G32" s="68">
        <f>IFERROR(INDEX(tbl_Finance[Ex GST],$A32),"")</f>
        <v/>
      </c>
      <c r="H32" s="66">
        <f>IFERROR(INDEX(tbl_Finance[Defer Start],$A32),"")</f>
        <v/>
      </c>
      <c r="I32" s="66">
        <f>IFERROR(INDEX(tbl_Finance[Defer End],$A32),"")</f>
        <v/>
      </c>
      <c r="J32" s="65">
        <f>IF(OR($H32="",$I32="",$G32=""),"",MAX(1,(YEAR($I32)-YEAR($H32))*12+MONTH($I32)-MONTH($H32)+1))</f>
        <v/>
      </c>
      <c r="K32" s="68">
        <f>IF($J32="","",$G32/$J32)</f>
        <v/>
      </c>
      <c r="L32" s="68">
        <f>IF($J32="",0,$K32*MAX(0,MIN(YEAR($C$3)*12+MONTH($C$3),YEAR($I32)*12+MONTH($I32))-(YEAR($H32)*12+MONTH($H32))+1))</f>
        <v/>
      </c>
      <c r="M32" s="68">
        <f>IF($J32="",0,$K32*MAX(0,MIN(YEAR($C$3)*12+MONTH($C$3)-1,YEAR($I32)*12+MONTH($I32))-(YEAR($H32)*12+MONTH($H32))+1))</f>
        <v/>
      </c>
      <c r="N32" s="68">
        <f>IF(OR($J32="",$B32=""),0,IF(YEAR($B32)*12+MONTH($B32)&lt;=YEAR($C$3)*12+MONTH($C$3),$G32,0))</f>
        <v/>
      </c>
      <c r="O32" s="68">
        <f>IF(OR($J32="",$B32=""),0,IF(YEAR($B32)*12+MONTH($B32)&lt;=YEAR($C$3)*12+MONTH($C$3)-1,$G32,0))</f>
        <v/>
      </c>
      <c r="P32" s="68">
        <f>$M32-$O32</f>
        <v/>
      </c>
      <c r="Q32" s="68">
        <f>($L32-$M32)-($N32-$O32)</f>
        <v/>
      </c>
      <c r="R32" s="68">
        <f>$L32-$N32</f>
        <v/>
      </c>
      <c r="S32" s="67">
        <f>"Finance invoice"</f>
        <v/>
      </c>
      <c r="T32" s="67">
        <f>"Revenue"</f>
        <v/>
      </c>
    </row>
    <row r="33">
      <c r="A33" s="65">
        <f>ROW()-5</f>
        <v/>
      </c>
      <c r="B33" s="66">
        <f>IFERROR(INDEX(tbl_Finance[Date],$A33),"")</f>
        <v/>
      </c>
      <c r="C33" s="67">
        <f>IFERROR(INDEX(tbl_Finance[Xero Invoice No],$A33),"")</f>
        <v/>
      </c>
      <c r="D33" s="67">
        <f>IFERROR(INDEX(tbl_Finance[Client],$A33),"")</f>
        <v/>
      </c>
      <c r="E33" s="67">
        <f>IFERROR(INDEX(tbl_Finance[Job Number],$A33),"")</f>
        <v/>
      </c>
      <c r="F33" s="67">
        <f>IFERROR(INDEX(tbl_Finance[Cost Centre],$A33),"")</f>
        <v/>
      </c>
      <c r="G33" s="68">
        <f>IFERROR(INDEX(tbl_Finance[Ex GST],$A33),"")</f>
        <v/>
      </c>
      <c r="H33" s="66">
        <f>IFERROR(INDEX(tbl_Finance[Defer Start],$A33),"")</f>
        <v/>
      </c>
      <c r="I33" s="66">
        <f>IFERROR(INDEX(tbl_Finance[Defer End],$A33),"")</f>
        <v/>
      </c>
      <c r="J33" s="65">
        <f>IF(OR($H33="",$I33="",$G33=""),"",MAX(1,(YEAR($I33)-YEAR($H33))*12+MONTH($I33)-MONTH($H33)+1))</f>
        <v/>
      </c>
      <c r="K33" s="68">
        <f>IF($J33="","",$G33/$J33)</f>
        <v/>
      </c>
      <c r="L33" s="68">
        <f>IF($J33="",0,$K33*MAX(0,MIN(YEAR($C$3)*12+MONTH($C$3),YEAR($I33)*12+MONTH($I33))-(YEAR($H33)*12+MONTH($H33))+1))</f>
        <v/>
      </c>
      <c r="M33" s="68">
        <f>IF($J33="",0,$K33*MAX(0,MIN(YEAR($C$3)*12+MONTH($C$3)-1,YEAR($I33)*12+MONTH($I33))-(YEAR($H33)*12+MONTH($H33))+1))</f>
        <v/>
      </c>
      <c r="N33" s="68">
        <f>IF(OR($J33="",$B33=""),0,IF(YEAR($B33)*12+MONTH($B33)&lt;=YEAR($C$3)*12+MONTH($C$3),$G33,0))</f>
        <v/>
      </c>
      <c r="O33" s="68">
        <f>IF(OR($J33="",$B33=""),0,IF(YEAR($B33)*12+MONTH($B33)&lt;=YEAR($C$3)*12+MONTH($C$3)-1,$G33,0))</f>
        <v/>
      </c>
      <c r="P33" s="68">
        <f>$M33-$O33</f>
        <v/>
      </c>
      <c r="Q33" s="68">
        <f>($L33-$M33)-($N33-$O33)</f>
        <v/>
      </c>
      <c r="R33" s="68">
        <f>$L33-$N33</f>
        <v/>
      </c>
      <c r="S33" s="67">
        <f>"Finance invoice"</f>
        <v/>
      </c>
      <c r="T33" s="67">
        <f>"Revenue"</f>
        <v/>
      </c>
    </row>
    <row r="34">
      <c r="A34" s="65">
        <f>ROW()-5</f>
        <v/>
      </c>
      <c r="B34" s="66">
        <f>IFERROR(INDEX(tbl_Finance[Date],$A34),"")</f>
        <v/>
      </c>
      <c r="C34" s="67">
        <f>IFERROR(INDEX(tbl_Finance[Xero Invoice No],$A34),"")</f>
        <v/>
      </c>
      <c r="D34" s="67">
        <f>IFERROR(INDEX(tbl_Finance[Client],$A34),"")</f>
        <v/>
      </c>
      <c r="E34" s="67">
        <f>IFERROR(INDEX(tbl_Finance[Job Number],$A34),"")</f>
        <v/>
      </c>
      <c r="F34" s="67">
        <f>IFERROR(INDEX(tbl_Finance[Cost Centre],$A34),"")</f>
        <v/>
      </c>
      <c r="G34" s="68">
        <f>IFERROR(INDEX(tbl_Finance[Ex GST],$A34),"")</f>
        <v/>
      </c>
      <c r="H34" s="66">
        <f>IFERROR(INDEX(tbl_Finance[Defer Start],$A34),"")</f>
        <v/>
      </c>
      <c r="I34" s="66">
        <f>IFERROR(INDEX(tbl_Finance[Defer End],$A34),"")</f>
        <v/>
      </c>
      <c r="J34" s="65">
        <f>IF(OR($H34="",$I34="",$G34=""),"",MAX(1,(YEAR($I34)-YEAR($H34))*12+MONTH($I34)-MONTH($H34)+1))</f>
        <v/>
      </c>
      <c r="K34" s="68">
        <f>IF($J34="","",$G34/$J34)</f>
        <v/>
      </c>
      <c r="L34" s="68">
        <f>IF($J34="",0,$K34*MAX(0,MIN(YEAR($C$3)*12+MONTH($C$3),YEAR($I34)*12+MONTH($I34))-(YEAR($H34)*12+MONTH($H34))+1))</f>
        <v/>
      </c>
      <c r="M34" s="68">
        <f>IF($J34="",0,$K34*MAX(0,MIN(YEAR($C$3)*12+MONTH($C$3)-1,YEAR($I34)*12+MONTH($I34))-(YEAR($H34)*12+MONTH($H34))+1))</f>
        <v/>
      </c>
      <c r="N34" s="68">
        <f>IF(OR($J34="",$B34=""),0,IF(YEAR($B34)*12+MONTH($B34)&lt;=YEAR($C$3)*12+MONTH($C$3),$G34,0))</f>
        <v/>
      </c>
      <c r="O34" s="68">
        <f>IF(OR($J34="",$B34=""),0,IF(YEAR($B34)*12+MONTH($B34)&lt;=YEAR($C$3)*12+MONTH($C$3)-1,$G34,0))</f>
        <v/>
      </c>
      <c r="P34" s="68">
        <f>$M34-$O34</f>
        <v/>
      </c>
      <c r="Q34" s="68">
        <f>($L34-$M34)-($N34-$O34)</f>
        <v/>
      </c>
      <c r="R34" s="68">
        <f>$L34-$N34</f>
        <v/>
      </c>
      <c r="S34" s="67">
        <f>"Finance invoice"</f>
        <v/>
      </c>
      <c r="T34" s="67">
        <f>"Revenue"</f>
        <v/>
      </c>
    </row>
    <row r="35">
      <c r="A35" s="65">
        <f>ROW()-5</f>
        <v/>
      </c>
      <c r="B35" s="66">
        <f>IFERROR(INDEX(tbl_Finance[Date],$A35),"")</f>
        <v/>
      </c>
      <c r="C35" s="67">
        <f>IFERROR(INDEX(tbl_Finance[Xero Invoice No],$A35),"")</f>
        <v/>
      </c>
      <c r="D35" s="67">
        <f>IFERROR(INDEX(tbl_Finance[Client],$A35),"")</f>
        <v/>
      </c>
      <c r="E35" s="67">
        <f>IFERROR(INDEX(tbl_Finance[Job Number],$A35),"")</f>
        <v/>
      </c>
      <c r="F35" s="67">
        <f>IFERROR(INDEX(tbl_Finance[Cost Centre],$A35),"")</f>
        <v/>
      </c>
      <c r="G35" s="68">
        <f>IFERROR(INDEX(tbl_Finance[Ex GST],$A35),"")</f>
        <v/>
      </c>
      <c r="H35" s="66">
        <f>IFERROR(INDEX(tbl_Finance[Defer Start],$A35),"")</f>
        <v/>
      </c>
      <c r="I35" s="66">
        <f>IFERROR(INDEX(tbl_Finance[Defer End],$A35),"")</f>
        <v/>
      </c>
      <c r="J35" s="65">
        <f>IF(OR($H35="",$I35="",$G35=""),"",MAX(1,(YEAR($I35)-YEAR($H35))*12+MONTH($I35)-MONTH($H35)+1))</f>
        <v/>
      </c>
      <c r="K35" s="68">
        <f>IF($J35="","",$G35/$J35)</f>
        <v/>
      </c>
      <c r="L35" s="68">
        <f>IF($J35="",0,$K35*MAX(0,MIN(YEAR($C$3)*12+MONTH($C$3),YEAR($I35)*12+MONTH($I35))-(YEAR($H35)*12+MONTH($H35))+1))</f>
        <v/>
      </c>
      <c r="M35" s="68">
        <f>IF($J35="",0,$K35*MAX(0,MIN(YEAR($C$3)*12+MONTH($C$3)-1,YEAR($I35)*12+MONTH($I35))-(YEAR($H35)*12+MONTH($H35))+1))</f>
        <v/>
      </c>
      <c r="N35" s="68">
        <f>IF(OR($J35="",$B35=""),0,IF(YEAR($B35)*12+MONTH($B35)&lt;=YEAR($C$3)*12+MONTH($C$3),$G35,0))</f>
        <v/>
      </c>
      <c r="O35" s="68">
        <f>IF(OR($J35="",$B35=""),0,IF(YEAR($B35)*12+MONTH($B35)&lt;=YEAR($C$3)*12+MONTH($C$3)-1,$G35,0))</f>
        <v/>
      </c>
      <c r="P35" s="68">
        <f>$M35-$O35</f>
        <v/>
      </c>
      <c r="Q35" s="68">
        <f>($L35-$M35)-($N35-$O35)</f>
        <v/>
      </c>
      <c r="R35" s="68">
        <f>$L35-$N35</f>
        <v/>
      </c>
      <c r="S35" s="67">
        <f>"Finance invoice"</f>
        <v/>
      </c>
      <c r="T35" s="67">
        <f>"Revenue"</f>
        <v/>
      </c>
    </row>
    <row r="36">
      <c r="A36" s="65">
        <f>ROW()-5</f>
        <v/>
      </c>
      <c r="B36" s="66">
        <f>IFERROR(INDEX(tbl_Finance[Date],$A36),"")</f>
        <v/>
      </c>
      <c r="C36" s="67">
        <f>IFERROR(INDEX(tbl_Finance[Xero Invoice No],$A36),"")</f>
        <v/>
      </c>
      <c r="D36" s="67">
        <f>IFERROR(INDEX(tbl_Finance[Client],$A36),"")</f>
        <v/>
      </c>
      <c r="E36" s="67">
        <f>IFERROR(INDEX(tbl_Finance[Job Number],$A36),"")</f>
        <v/>
      </c>
      <c r="F36" s="67">
        <f>IFERROR(INDEX(tbl_Finance[Cost Centre],$A36),"")</f>
        <v/>
      </c>
      <c r="G36" s="68">
        <f>IFERROR(INDEX(tbl_Finance[Ex GST],$A36),"")</f>
        <v/>
      </c>
      <c r="H36" s="66">
        <f>IFERROR(INDEX(tbl_Finance[Defer Start],$A36),"")</f>
        <v/>
      </c>
      <c r="I36" s="66">
        <f>IFERROR(INDEX(tbl_Finance[Defer End],$A36),"")</f>
        <v/>
      </c>
      <c r="J36" s="65">
        <f>IF(OR($H36="",$I36="",$G36=""),"",MAX(1,(YEAR($I36)-YEAR($H36))*12+MONTH($I36)-MONTH($H36)+1))</f>
        <v/>
      </c>
      <c r="K36" s="68">
        <f>IF($J36="","",$G36/$J36)</f>
        <v/>
      </c>
      <c r="L36" s="68">
        <f>IF($J36="",0,$K36*MAX(0,MIN(YEAR($C$3)*12+MONTH($C$3),YEAR($I36)*12+MONTH($I36))-(YEAR($H36)*12+MONTH($H36))+1))</f>
        <v/>
      </c>
      <c r="M36" s="68">
        <f>IF($J36="",0,$K36*MAX(0,MIN(YEAR($C$3)*12+MONTH($C$3)-1,YEAR($I36)*12+MONTH($I36))-(YEAR($H36)*12+MONTH($H36))+1))</f>
        <v/>
      </c>
      <c r="N36" s="68">
        <f>IF(OR($J36="",$B36=""),0,IF(YEAR($B36)*12+MONTH($B36)&lt;=YEAR($C$3)*12+MONTH($C$3),$G36,0))</f>
        <v/>
      </c>
      <c r="O36" s="68">
        <f>IF(OR($J36="",$B36=""),0,IF(YEAR($B36)*12+MONTH($B36)&lt;=YEAR($C$3)*12+MONTH($C$3)-1,$G36,0))</f>
        <v/>
      </c>
      <c r="P36" s="68">
        <f>$M36-$O36</f>
        <v/>
      </c>
      <c r="Q36" s="68">
        <f>($L36-$M36)-($N36-$O36)</f>
        <v/>
      </c>
      <c r="R36" s="68">
        <f>$L36-$N36</f>
        <v/>
      </c>
      <c r="S36" s="67">
        <f>"Finance invoice"</f>
        <v/>
      </c>
      <c r="T36" s="67">
        <f>"Revenue"</f>
        <v/>
      </c>
    </row>
    <row r="37">
      <c r="A37" s="65">
        <f>ROW()-5</f>
        <v/>
      </c>
      <c r="B37" s="66">
        <f>IFERROR(INDEX(tbl_Finance[Date],$A37),"")</f>
        <v/>
      </c>
      <c r="C37" s="67">
        <f>IFERROR(INDEX(tbl_Finance[Xero Invoice No],$A37),"")</f>
        <v/>
      </c>
      <c r="D37" s="67">
        <f>IFERROR(INDEX(tbl_Finance[Client],$A37),"")</f>
        <v/>
      </c>
      <c r="E37" s="67">
        <f>IFERROR(INDEX(tbl_Finance[Job Number],$A37),"")</f>
        <v/>
      </c>
      <c r="F37" s="67">
        <f>IFERROR(INDEX(tbl_Finance[Cost Centre],$A37),"")</f>
        <v/>
      </c>
      <c r="G37" s="68">
        <f>IFERROR(INDEX(tbl_Finance[Ex GST],$A37),"")</f>
        <v/>
      </c>
      <c r="H37" s="66">
        <f>IFERROR(INDEX(tbl_Finance[Defer Start],$A37),"")</f>
        <v/>
      </c>
      <c r="I37" s="66">
        <f>IFERROR(INDEX(tbl_Finance[Defer End],$A37),"")</f>
        <v/>
      </c>
      <c r="J37" s="65">
        <f>IF(OR($H37="",$I37="",$G37=""),"",MAX(1,(YEAR($I37)-YEAR($H37))*12+MONTH($I37)-MONTH($H37)+1))</f>
        <v/>
      </c>
      <c r="K37" s="68">
        <f>IF($J37="","",$G37/$J37)</f>
        <v/>
      </c>
      <c r="L37" s="68">
        <f>IF($J37="",0,$K37*MAX(0,MIN(YEAR($C$3)*12+MONTH($C$3),YEAR($I37)*12+MONTH($I37))-(YEAR($H37)*12+MONTH($H37))+1))</f>
        <v/>
      </c>
      <c r="M37" s="68">
        <f>IF($J37="",0,$K37*MAX(0,MIN(YEAR($C$3)*12+MONTH($C$3)-1,YEAR($I37)*12+MONTH($I37))-(YEAR($H37)*12+MONTH($H37))+1))</f>
        <v/>
      </c>
      <c r="N37" s="68">
        <f>IF(OR($J37="",$B37=""),0,IF(YEAR($B37)*12+MONTH($B37)&lt;=YEAR($C$3)*12+MONTH($C$3),$G37,0))</f>
        <v/>
      </c>
      <c r="O37" s="68">
        <f>IF(OR($J37="",$B37=""),0,IF(YEAR($B37)*12+MONTH($B37)&lt;=YEAR($C$3)*12+MONTH($C$3)-1,$G37,0))</f>
        <v/>
      </c>
      <c r="P37" s="68">
        <f>$M37-$O37</f>
        <v/>
      </c>
      <c r="Q37" s="68">
        <f>($L37-$M37)-($N37-$O37)</f>
        <v/>
      </c>
      <c r="R37" s="68">
        <f>$L37-$N37</f>
        <v/>
      </c>
      <c r="S37" s="67">
        <f>"Finance invoice"</f>
        <v/>
      </c>
      <c r="T37" s="67">
        <f>"Revenue"</f>
        <v/>
      </c>
    </row>
    <row r="38">
      <c r="A38" s="65">
        <f>ROW()-5</f>
        <v/>
      </c>
      <c r="B38" s="66">
        <f>IFERROR(INDEX(tbl_Finance[Date],$A38),"")</f>
        <v/>
      </c>
      <c r="C38" s="67">
        <f>IFERROR(INDEX(tbl_Finance[Xero Invoice No],$A38),"")</f>
        <v/>
      </c>
      <c r="D38" s="67">
        <f>IFERROR(INDEX(tbl_Finance[Client],$A38),"")</f>
        <v/>
      </c>
      <c r="E38" s="67">
        <f>IFERROR(INDEX(tbl_Finance[Job Number],$A38),"")</f>
        <v/>
      </c>
      <c r="F38" s="67">
        <f>IFERROR(INDEX(tbl_Finance[Cost Centre],$A38),"")</f>
        <v/>
      </c>
      <c r="G38" s="68">
        <f>IFERROR(INDEX(tbl_Finance[Ex GST],$A38),"")</f>
        <v/>
      </c>
      <c r="H38" s="66">
        <f>IFERROR(INDEX(tbl_Finance[Defer Start],$A38),"")</f>
        <v/>
      </c>
      <c r="I38" s="66">
        <f>IFERROR(INDEX(tbl_Finance[Defer End],$A38),"")</f>
        <v/>
      </c>
      <c r="J38" s="65">
        <f>IF(OR($H38="",$I38="",$G38=""),"",MAX(1,(YEAR($I38)-YEAR($H38))*12+MONTH($I38)-MONTH($H38)+1))</f>
        <v/>
      </c>
      <c r="K38" s="68">
        <f>IF($J38="","",$G38/$J38)</f>
        <v/>
      </c>
      <c r="L38" s="68">
        <f>IF($J38="",0,$K38*MAX(0,MIN(YEAR($C$3)*12+MONTH($C$3),YEAR($I38)*12+MONTH($I38))-(YEAR($H38)*12+MONTH($H38))+1))</f>
        <v/>
      </c>
      <c r="M38" s="68">
        <f>IF($J38="",0,$K38*MAX(0,MIN(YEAR($C$3)*12+MONTH($C$3)-1,YEAR($I38)*12+MONTH($I38))-(YEAR($H38)*12+MONTH($H38))+1))</f>
        <v/>
      </c>
      <c r="N38" s="68">
        <f>IF(OR($J38="",$B38=""),0,IF(YEAR($B38)*12+MONTH($B38)&lt;=YEAR($C$3)*12+MONTH($C$3),$G38,0))</f>
        <v/>
      </c>
      <c r="O38" s="68">
        <f>IF(OR($J38="",$B38=""),0,IF(YEAR($B38)*12+MONTH($B38)&lt;=YEAR($C$3)*12+MONTH($C$3)-1,$G38,0))</f>
        <v/>
      </c>
      <c r="P38" s="68">
        <f>$M38-$O38</f>
        <v/>
      </c>
      <c r="Q38" s="68">
        <f>($L38-$M38)-($N38-$O38)</f>
        <v/>
      </c>
      <c r="R38" s="68">
        <f>$L38-$N38</f>
        <v/>
      </c>
      <c r="S38" s="67">
        <f>"Finance invoice"</f>
        <v/>
      </c>
      <c r="T38" s="67">
        <f>"Revenue"</f>
        <v/>
      </c>
    </row>
    <row r="39">
      <c r="A39" s="65">
        <f>ROW()-5</f>
        <v/>
      </c>
      <c r="B39" s="66">
        <f>IFERROR(INDEX(tbl_Finance[Date],$A39),"")</f>
        <v/>
      </c>
      <c r="C39" s="67">
        <f>IFERROR(INDEX(tbl_Finance[Xero Invoice No],$A39),"")</f>
        <v/>
      </c>
      <c r="D39" s="67">
        <f>IFERROR(INDEX(tbl_Finance[Client],$A39),"")</f>
        <v/>
      </c>
      <c r="E39" s="67">
        <f>IFERROR(INDEX(tbl_Finance[Job Number],$A39),"")</f>
        <v/>
      </c>
      <c r="F39" s="67">
        <f>IFERROR(INDEX(tbl_Finance[Cost Centre],$A39),"")</f>
        <v/>
      </c>
      <c r="G39" s="68">
        <f>IFERROR(INDEX(tbl_Finance[Ex GST],$A39),"")</f>
        <v/>
      </c>
      <c r="H39" s="66">
        <f>IFERROR(INDEX(tbl_Finance[Defer Start],$A39),"")</f>
        <v/>
      </c>
      <c r="I39" s="66">
        <f>IFERROR(INDEX(tbl_Finance[Defer End],$A39),"")</f>
        <v/>
      </c>
      <c r="J39" s="65">
        <f>IF(OR($H39="",$I39="",$G39=""),"",MAX(1,(YEAR($I39)-YEAR($H39))*12+MONTH($I39)-MONTH($H39)+1))</f>
        <v/>
      </c>
      <c r="K39" s="68">
        <f>IF($J39="","",$G39/$J39)</f>
        <v/>
      </c>
      <c r="L39" s="68">
        <f>IF($J39="",0,$K39*MAX(0,MIN(YEAR($C$3)*12+MONTH($C$3),YEAR($I39)*12+MONTH($I39))-(YEAR($H39)*12+MONTH($H39))+1))</f>
        <v/>
      </c>
      <c r="M39" s="68">
        <f>IF($J39="",0,$K39*MAX(0,MIN(YEAR($C$3)*12+MONTH($C$3)-1,YEAR($I39)*12+MONTH($I39))-(YEAR($H39)*12+MONTH($H39))+1))</f>
        <v/>
      </c>
      <c r="N39" s="68">
        <f>IF(OR($J39="",$B39=""),0,IF(YEAR($B39)*12+MONTH($B39)&lt;=YEAR($C$3)*12+MONTH($C$3),$G39,0))</f>
        <v/>
      </c>
      <c r="O39" s="68">
        <f>IF(OR($J39="",$B39=""),0,IF(YEAR($B39)*12+MONTH($B39)&lt;=YEAR($C$3)*12+MONTH($C$3)-1,$G39,0))</f>
        <v/>
      </c>
      <c r="P39" s="68">
        <f>$M39-$O39</f>
        <v/>
      </c>
      <c r="Q39" s="68">
        <f>($L39-$M39)-($N39-$O39)</f>
        <v/>
      </c>
      <c r="R39" s="68">
        <f>$L39-$N39</f>
        <v/>
      </c>
      <c r="S39" s="67">
        <f>"Finance invoice"</f>
        <v/>
      </c>
      <c r="T39" s="67">
        <f>"Revenue"</f>
        <v/>
      </c>
    </row>
    <row r="40">
      <c r="A40" s="65">
        <f>ROW()-5</f>
        <v/>
      </c>
      <c r="B40" s="66">
        <f>IFERROR(INDEX(tbl_Finance[Date],$A40),"")</f>
        <v/>
      </c>
      <c r="C40" s="67">
        <f>IFERROR(INDEX(tbl_Finance[Xero Invoice No],$A40),"")</f>
        <v/>
      </c>
      <c r="D40" s="67">
        <f>IFERROR(INDEX(tbl_Finance[Client],$A40),"")</f>
        <v/>
      </c>
      <c r="E40" s="67">
        <f>IFERROR(INDEX(tbl_Finance[Job Number],$A40),"")</f>
        <v/>
      </c>
      <c r="F40" s="67">
        <f>IFERROR(INDEX(tbl_Finance[Cost Centre],$A40),"")</f>
        <v/>
      </c>
      <c r="G40" s="68">
        <f>IFERROR(INDEX(tbl_Finance[Ex GST],$A40),"")</f>
        <v/>
      </c>
      <c r="H40" s="66">
        <f>IFERROR(INDEX(tbl_Finance[Defer Start],$A40),"")</f>
        <v/>
      </c>
      <c r="I40" s="66">
        <f>IFERROR(INDEX(tbl_Finance[Defer End],$A40),"")</f>
        <v/>
      </c>
      <c r="J40" s="65">
        <f>IF(OR($H40="",$I40="",$G40=""),"",MAX(1,(YEAR($I40)-YEAR($H40))*12+MONTH($I40)-MONTH($H40)+1))</f>
        <v/>
      </c>
      <c r="K40" s="68">
        <f>IF($J40="","",$G40/$J40)</f>
        <v/>
      </c>
      <c r="L40" s="68">
        <f>IF($J40="",0,$K40*MAX(0,MIN(YEAR($C$3)*12+MONTH($C$3),YEAR($I40)*12+MONTH($I40))-(YEAR($H40)*12+MONTH($H40))+1))</f>
        <v/>
      </c>
      <c r="M40" s="68">
        <f>IF($J40="",0,$K40*MAX(0,MIN(YEAR($C$3)*12+MONTH($C$3)-1,YEAR($I40)*12+MONTH($I40))-(YEAR($H40)*12+MONTH($H40))+1))</f>
        <v/>
      </c>
      <c r="N40" s="68">
        <f>IF(OR($J40="",$B40=""),0,IF(YEAR($B40)*12+MONTH($B40)&lt;=YEAR($C$3)*12+MONTH($C$3),$G40,0))</f>
        <v/>
      </c>
      <c r="O40" s="68">
        <f>IF(OR($J40="",$B40=""),0,IF(YEAR($B40)*12+MONTH($B40)&lt;=YEAR($C$3)*12+MONTH($C$3)-1,$G40,0))</f>
        <v/>
      </c>
      <c r="P40" s="68">
        <f>$M40-$O40</f>
        <v/>
      </c>
      <c r="Q40" s="68">
        <f>($L40-$M40)-($N40-$O40)</f>
        <v/>
      </c>
      <c r="R40" s="68">
        <f>$L40-$N40</f>
        <v/>
      </c>
      <c r="S40" s="67">
        <f>"Finance invoice"</f>
        <v/>
      </c>
      <c r="T40" s="67">
        <f>"Revenue"</f>
        <v/>
      </c>
    </row>
    <row r="41">
      <c r="A41" s="65">
        <f>ROW()-5</f>
        <v/>
      </c>
      <c r="B41" s="66">
        <f>IFERROR(INDEX(tbl_Finance[Date],$A41),"")</f>
        <v/>
      </c>
      <c r="C41" s="67">
        <f>IFERROR(INDEX(tbl_Finance[Xero Invoice No],$A41),"")</f>
        <v/>
      </c>
      <c r="D41" s="67">
        <f>IFERROR(INDEX(tbl_Finance[Client],$A41),"")</f>
        <v/>
      </c>
      <c r="E41" s="67">
        <f>IFERROR(INDEX(tbl_Finance[Job Number],$A41),"")</f>
        <v/>
      </c>
      <c r="F41" s="67">
        <f>IFERROR(INDEX(tbl_Finance[Cost Centre],$A41),"")</f>
        <v/>
      </c>
      <c r="G41" s="68">
        <f>IFERROR(INDEX(tbl_Finance[Ex GST],$A41),"")</f>
        <v/>
      </c>
      <c r="H41" s="66">
        <f>IFERROR(INDEX(tbl_Finance[Defer Start],$A41),"")</f>
        <v/>
      </c>
      <c r="I41" s="66">
        <f>IFERROR(INDEX(tbl_Finance[Defer End],$A41),"")</f>
        <v/>
      </c>
      <c r="J41" s="65">
        <f>IF(OR($H41="",$I41="",$G41=""),"",MAX(1,(YEAR($I41)-YEAR($H41))*12+MONTH($I41)-MONTH($H41)+1))</f>
        <v/>
      </c>
      <c r="K41" s="68">
        <f>IF($J41="","",$G41/$J41)</f>
        <v/>
      </c>
      <c r="L41" s="68">
        <f>IF($J41="",0,$K41*MAX(0,MIN(YEAR($C$3)*12+MONTH($C$3),YEAR($I41)*12+MONTH($I41))-(YEAR($H41)*12+MONTH($H41))+1))</f>
        <v/>
      </c>
      <c r="M41" s="68">
        <f>IF($J41="",0,$K41*MAX(0,MIN(YEAR($C$3)*12+MONTH($C$3)-1,YEAR($I41)*12+MONTH($I41))-(YEAR($H41)*12+MONTH($H41))+1))</f>
        <v/>
      </c>
      <c r="N41" s="68">
        <f>IF(OR($J41="",$B41=""),0,IF(YEAR($B41)*12+MONTH($B41)&lt;=YEAR($C$3)*12+MONTH($C$3),$G41,0))</f>
        <v/>
      </c>
      <c r="O41" s="68">
        <f>IF(OR($J41="",$B41=""),0,IF(YEAR($B41)*12+MONTH($B41)&lt;=YEAR($C$3)*12+MONTH($C$3)-1,$G41,0))</f>
        <v/>
      </c>
      <c r="P41" s="68">
        <f>$M41-$O41</f>
        <v/>
      </c>
      <c r="Q41" s="68">
        <f>($L41-$M41)-($N41-$O41)</f>
        <v/>
      </c>
      <c r="R41" s="68">
        <f>$L41-$N41</f>
        <v/>
      </c>
      <c r="S41" s="67">
        <f>"Finance invoice"</f>
        <v/>
      </c>
      <c r="T41" s="67">
        <f>"Revenue"</f>
        <v/>
      </c>
    </row>
    <row r="42">
      <c r="A42" s="65">
        <f>ROW()-5</f>
        <v/>
      </c>
      <c r="B42" s="66">
        <f>IFERROR(INDEX(tbl_Finance[Date],$A42),"")</f>
        <v/>
      </c>
      <c r="C42" s="67">
        <f>IFERROR(INDEX(tbl_Finance[Xero Invoice No],$A42),"")</f>
        <v/>
      </c>
      <c r="D42" s="67">
        <f>IFERROR(INDEX(tbl_Finance[Client],$A42),"")</f>
        <v/>
      </c>
      <c r="E42" s="67">
        <f>IFERROR(INDEX(tbl_Finance[Job Number],$A42),"")</f>
        <v/>
      </c>
      <c r="F42" s="67">
        <f>IFERROR(INDEX(tbl_Finance[Cost Centre],$A42),"")</f>
        <v/>
      </c>
      <c r="G42" s="68">
        <f>IFERROR(INDEX(tbl_Finance[Ex GST],$A42),"")</f>
        <v/>
      </c>
      <c r="H42" s="66">
        <f>IFERROR(INDEX(tbl_Finance[Defer Start],$A42),"")</f>
        <v/>
      </c>
      <c r="I42" s="66">
        <f>IFERROR(INDEX(tbl_Finance[Defer End],$A42),"")</f>
        <v/>
      </c>
      <c r="J42" s="65">
        <f>IF(OR($H42="",$I42="",$G42=""),"",MAX(1,(YEAR($I42)-YEAR($H42))*12+MONTH($I42)-MONTH($H42)+1))</f>
        <v/>
      </c>
      <c r="K42" s="68">
        <f>IF($J42="","",$G42/$J42)</f>
        <v/>
      </c>
      <c r="L42" s="68">
        <f>IF($J42="",0,$K42*MAX(0,MIN(YEAR($C$3)*12+MONTH($C$3),YEAR($I42)*12+MONTH($I42))-(YEAR($H42)*12+MONTH($H42))+1))</f>
        <v/>
      </c>
      <c r="M42" s="68">
        <f>IF($J42="",0,$K42*MAX(0,MIN(YEAR($C$3)*12+MONTH($C$3)-1,YEAR($I42)*12+MONTH($I42))-(YEAR($H42)*12+MONTH($H42))+1))</f>
        <v/>
      </c>
      <c r="N42" s="68">
        <f>IF(OR($J42="",$B42=""),0,IF(YEAR($B42)*12+MONTH($B42)&lt;=YEAR($C$3)*12+MONTH($C$3),$G42,0))</f>
        <v/>
      </c>
      <c r="O42" s="68">
        <f>IF(OR($J42="",$B42=""),0,IF(YEAR($B42)*12+MONTH($B42)&lt;=YEAR($C$3)*12+MONTH($C$3)-1,$G42,0))</f>
        <v/>
      </c>
      <c r="P42" s="68">
        <f>$M42-$O42</f>
        <v/>
      </c>
      <c r="Q42" s="68">
        <f>($L42-$M42)-($N42-$O42)</f>
        <v/>
      </c>
      <c r="R42" s="68">
        <f>$L42-$N42</f>
        <v/>
      </c>
      <c r="S42" s="67">
        <f>"Finance invoice"</f>
        <v/>
      </c>
      <c r="T42" s="67">
        <f>"Revenue"</f>
        <v/>
      </c>
    </row>
    <row r="43">
      <c r="A43" s="65">
        <f>ROW()-5</f>
        <v/>
      </c>
      <c r="B43" s="66">
        <f>IFERROR(INDEX(tbl_Finance[Date],$A43),"")</f>
        <v/>
      </c>
      <c r="C43" s="67">
        <f>IFERROR(INDEX(tbl_Finance[Xero Invoice No],$A43),"")</f>
        <v/>
      </c>
      <c r="D43" s="67">
        <f>IFERROR(INDEX(tbl_Finance[Client],$A43),"")</f>
        <v/>
      </c>
      <c r="E43" s="67">
        <f>IFERROR(INDEX(tbl_Finance[Job Number],$A43),"")</f>
        <v/>
      </c>
      <c r="F43" s="67">
        <f>IFERROR(INDEX(tbl_Finance[Cost Centre],$A43),"")</f>
        <v/>
      </c>
      <c r="G43" s="68">
        <f>IFERROR(INDEX(tbl_Finance[Ex GST],$A43),"")</f>
        <v/>
      </c>
      <c r="H43" s="66">
        <f>IFERROR(INDEX(tbl_Finance[Defer Start],$A43),"")</f>
        <v/>
      </c>
      <c r="I43" s="66">
        <f>IFERROR(INDEX(tbl_Finance[Defer End],$A43),"")</f>
        <v/>
      </c>
      <c r="J43" s="65">
        <f>IF(OR($H43="",$I43="",$G43=""),"",MAX(1,(YEAR($I43)-YEAR($H43))*12+MONTH($I43)-MONTH($H43)+1))</f>
        <v/>
      </c>
      <c r="K43" s="68">
        <f>IF($J43="","",$G43/$J43)</f>
        <v/>
      </c>
      <c r="L43" s="68">
        <f>IF($J43="",0,$K43*MAX(0,MIN(YEAR($C$3)*12+MONTH($C$3),YEAR($I43)*12+MONTH($I43))-(YEAR($H43)*12+MONTH($H43))+1))</f>
        <v/>
      </c>
      <c r="M43" s="68">
        <f>IF($J43="",0,$K43*MAX(0,MIN(YEAR($C$3)*12+MONTH($C$3)-1,YEAR($I43)*12+MONTH($I43))-(YEAR($H43)*12+MONTH($H43))+1))</f>
        <v/>
      </c>
      <c r="N43" s="68">
        <f>IF(OR($J43="",$B43=""),0,IF(YEAR($B43)*12+MONTH($B43)&lt;=YEAR($C$3)*12+MONTH($C$3),$G43,0))</f>
        <v/>
      </c>
      <c r="O43" s="68">
        <f>IF(OR($J43="",$B43=""),0,IF(YEAR($B43)*12+MONTH($B43)&lt;=YEAR($C$3)*12+MONTH($C$3)-1,$G43,0))</f>
        <v/>
      </c>
      <c r="P43" s="68">
        <f>$M43-$O43</f>
        <v/>
      </c>
      <c r="Q43" s="68">
        <f>($L43-$M43)-($N43-$O43)</f>
        <v/>
      </c>
      <c r="R43" s="68">
        <f>$L43-$N43</f>
        <v/>
      </c>
      <c r="S43" s="67">
        <f>"Finance invoice"</f>
        <v/>
      </c>
      <c r="T43" s="67">
        <f>"Revenue"</f>
        <v/>
      </c>
    </row>
    <row r="44">
      <c r="A44" s="65">
        <f>ROW()-5</f>
        <v/>
      </c>
      <c r="B44" s="66">
        <f>IFERROR(INDEX(tbl_Finance[Date],$A44),"")</f>
        <v/>
      </c>
      <c r="C44" s="67">
        <f>IFERROR(INDEX(tbl_Finance[Xero Invoice No],$A44),"")</f>
        <v/>
      </c>
      <c r="D44" s="67">
        <f>IFERROR(INDEX(tbl_Finance[Client],$A44),"")</f>
        <v/>
      </c>
      <c r="E44" s="67">
        <f>IFERROR(INDEX(tbl_Finance[Job Number],$A44),"")</f>
        <v/>
      </c>
      <c r="F44" s="67">
        <f>IFERROR(INDEX(tbl_Finance[Cost Centre],$A44),"")</f>
        <v/>
      </c>
      <c r="G44" s="68">
        <f>IFERROR(INDEX(tbl_Finance[Ex GST],$A44),"")</f>
        <v/>
      </c>
      <c r="H44" s="66">
        <f>IFERROR(INDEX(tbl_Finance[Defer Start],$A44),"")</f>
        <v/>
      </c>
      <c r="I44" s="66">
        <f>IFERROR(INDEX(tbl_Finance[Defer End],$A44),"")</f>
        <v/>
      </c>
      <c r="J44" s="65">
        <f>IF(OR($H44="",$I44="",$G44=""),"",MAX(1,(YEAR($I44)-YEAR($H44))*12+MONTH($I44)-MONTH($H44)+1))</f>
        <v/>
      </c>
      <c r="K44" s="68">
        <f>IF($J44="","",$G44/$J44)</f>
        <v/>
      </c>
      <c r="L44" s="68">
        <f>IF($J44="",0,$K44*MAX(0,MIN(YEAR($C$3)*12+MONTH($C$3),YEAR($I44)*12+MONTH($I44))-(YEAR($H44)*12+MONTH($H44))+1))</f>
        <v/>
      </c>
      <c r="M44" s="68">
        <f>IF($J44="",0,$K44*MAX(0,MIN(YEAR($C$3)*12+MONTH($C$3)-1,YEAR($I44)*12+MONTH($I44))-(YEAR($H44)*12+MONTH($H44))+1))</f>
        <v/>
      </c>
      <c r="N44" s="68">
        <f>IF(OR($J44="",$B44=""),0,IF(YEAR($B44)*12+MONTH($B44)&lt;=YEAR($C$3)*12+MONTH($C$3),$G44,0))</f>
        <v/>
      </c>
      <c r="O44" s="68">
        <f>IF(OR($J44="",$B44=""),0,IF(YEAR($B44)*12+MONTH($B44)&lt;=YEAR($C$3)*12+MONTH($C$3)-1,$G44,0))</f>
        <v/>
      </c>
      <c r="P44" s="68">
        <f>$M44-$O44</f>
        <v/>
      </c>
      <c r="Q44" s="68">
        <f>($L44-$M44)-($N44-$O44)</f>
        <v/>
      </c>
      <c r="R44" s="68">
        <f>$L44-$N44</f>
        <v/>
      </c>
      <c r="S44" s="67">
        <f>"Finance invoice"</f>
        <v/>
      </c>
      <c r="T44" s="67">
        <f>"Revenue"</f>
        <v/>
      </c>
    </row>
    <row r="45">
      <c r="A45" s="65">
        <f>ROW()-5</f>
        <v/>
      </c>
      <c r="B45" s="66">
        <f>IFERROR(INDEX(tbl_Finance[Date],$A45),"")</f>
        <v/>
      </c>
      <c r="C45" s="67">
        <f>IFERROR(INDEX(tbl_Finance[Xero Invoice No],$A45),"")</f>
        <v/>
      </c>
      <c r="D45" s="67">
        <f>IFERROR(INDEX(tbl_Finance[Client],$A45),"")</f>
        <v/>
      </c>
      <c r="E45" s="67">
        <f>IFERROR(INDEX(tbl_Finance[Job Number],$A45),"")</f>
        <v/>
      </c>
      <c r="F45" s="67">
        <f>IFERROR(INDEX(tbl_Finance[Cost Centre],$A45),"")</f>
        <v/>
      </c>
      <c r="G45" s="68">
        <f>IFERROR(INDEX(tbl_Finance[Ex GST],$A45),"")</f>
        <v/>
      </c>
      <c r="H45" s="66">
        <f>IFERROR(INDEX(tbl_Finance[Defer Start],$A45),"")</f>
        <v/>
      </c>
      <c r="I45" s="66">
        <f>IFERROR(INDEX(tbl_Finance[Defer End],$A45),"")</f>
        <v/>
      </c>
      <c r="J45" s="65">
        <f>IF(OR($H45="",$I45="",$G45=""),"",MAX(1,(YEAR($I45)-YEAR($H45))*12+MONTH($I45)-MONTH($H45)+1))</f>
        <v/>
      </c>
      <c r="K45" s="68">
        <f>IF($J45="","",$G45/$J45)</f>
        <v/>
      </c>
      <c r="L45" s="68">
        <f>IF($J45="",0,$K45*MAX(0,MIN(YEAR($C$3)*12+MONTH($C$3),YEAR($I45)*12+MONTH($I45))-(YEAR($H45)*12+MONTH($H45))+1))</f>
        <v/>
      </c>
      <c r="M45" s="68">
        <f>IF($J45="",0,$K45*MAX(0,MIN(YEAR($C$3)*12+MONTH($C$3)-1,YEAR($I45)*12+MONTH($I45))-(YEAR($H45)*12+MONTH($H45))+1))</f>
        <v/>
      </c>
      <c r="N45" s="68">
        <f>IF(OR($J45="",$B45=""),0,IF(YEAR($B45)*12+MONTH($B45)&lt;=YEAR($C$3)*12+MONTH($C$3),$G45,0))</f>
        <v/>
      </c>
      <c r="O45" s="68">
        <f>IF(OR($J45="",$B45=""),0,IF(YEAR($B45)*12+MONTH($B45)&lt;=YEAR($C$3)*12+MONTH($C$3)-1,$G45,0))</f>
        <v/>
      </c>
      <c r="P45" s="68">
        <f>$M45-$O45</f>
        <v/>
      </c>
      <c r="Q45" s="68">
        <f>($L45-$M45)-($N45-$O45)</f>
        <v/>
      </c>
      <c r="R45" s="68">
        <f>$L45-$N45</f>
        <v/>
      </c>
      <c r="S45" s="67">
        <f>"Finance invoice"</f>
        <v/>
      </c>
      <c r="T45" s="67">
        <f>"Revenue"</f>
        <v/>
      </c>
    </row>
    <row r="46">
      <c r="A46" s="65">
        <f>ROW()-5</f>
        <v/>
      </c>
      <c r="B46" s="66">
        <f>IFERROR(INDEX(tbl_Finance[Date],$A46),"")</f>
        <v/>
      </c>
      <c r="C46" s="67">
        <f>IFERROR(INDEX(tbl_Finance[Xero Invoice No],$A46),"")</f>
        <v/>
      </c>
      <c r="D46" s="67">
        <f>IFERROR(INDEX(tbl_Finance[Client],$A46),"")</f>
        <v/>
      </c>
      <c r="E46" s="67">
        <f>IFERROR(INDEX(tbl_Finance[Job Number],$A46),"")</f>
        <v/>
      </c>
      <c r="F46" s="67">
        <f>IFERROR(INDEX(tbl_Finance[Cost Centre],$A46),"")</f>
        <v/>
      </c>
      <c r="G46" s="68">
        <f>IFERROR(INDEX(tbl_Finance[Ex GST],$A46),"")</f>
        <v/>
      </c>
      <c r="H46" s="66">
        <f>IFERROR(INDEX(tbl_Finance[Defer Start],$A46),"")</f>
        <v/>
      </c>
      <c r="I46" s="66">
        <f>IFERROR(INDEX(tbl_Finance[Defer End],$A46),"")</f>
        <v/>
      </c>
      <c r="J46" s="65">
        <f>IF(OR($H46="",$I46="",$G46=""),"",MAX(1,(YEAR($I46)-YEAR($H46))*12+MONTH($I46)-MONTH($H46)+1))</f>
        <v/>
      </c>
      <c r="K46" s="68">
        <f>IF($J46="","",$G46/$J46)</f>
        <v/>
      </c>
      <c r="L46" s="68">
        <f>IF($J46="",0,$K46*MAX(0,MIN(YEAR($C$3)*12+MONTH($C$3),YEAR($I46)*12+MONTH($I46))-(YEAR($H46)*12+MONTH($H46))+1))</f>
        <v/>
      </c>
      <c r="M46" s="68">
        <f>IF($J46="",0,$K46*MAX(0,MIN(YEAR($C$3)*12+MONTH($C$3)-1,YEAR($I46)*12+MONTH($I46))-(YEAR($H46)*12+MONTH($H46))+1))</f>
        <v/>
      </c>
      <c r="N46" s="68">
        <f>IF(OR($J46="",$B46=""),0,IF(YEAR($B46)*12+MONTH($B46)&lt;=YEAR($C$3)*12+MONTH($C$3),$G46,0))</f>
        <v/>
      </c>
      <c r="O46" s="68">
        <f>IF(OR($J46="",$B46=""),0,IF(YEAR($B46)*12+MONTH($B46)&lt;=YEAR($C$3)*12+MONTH($C$3)-1,$G46,0))</f>
        <v/>
      </c>
      <c r="P46" s="68">
        <f>$M46-$O46</f>
        <v/>
      </c>
      <c r="Q46" s="68">
        <f>($L46-$M46)-($N46-$O46)</f>
        <v/>
      </c>
      <c r="R46" s="68">
        <f>$L46-$N46</f>
        <v/>
      </c>
      <c r="S46" s="67">
        <f>"Finance invoice"</f>
        <v/>
      </c>
      <c r="T46" s="67">
        <f>"Revenue"</f>
        <v/>
      </c>
    </row>
    <row r="47">
      <c r="A47" s="65">
        <f>ROW()-5</f>
        <v/>
      </c>
      <c r="B47" s="66">
        <f>IFERROR(INDEX(tbl_Finance[Date],$A47),"")</f>
        <v/>
      </c>
      <c r="C47" s="67">
        <f>IFERROR(INDEX(tbl_Finance[Xero Invoice No],$A47),"")</f>
        <v/>
      </c>
      <c r="D47" s="67">
        <f>IFERROR(INDEX(tbl_Finance[Client],$A47),"")</f>
        <v/>
      </c>
      <c r="E47" s="67">
        <f>IFERROR(INDEX(tbl_Finance[Job Number],$A47),"")</f>
        <v/>
      </c>
      <c r="F47" s="67">
        <f>IFERROR(INDEX(tbl_Finance[Cost Centre],$A47),"")</f>
        <v/>
      </c>
      <c r="G47" s="68">
        <f>IFERROR(INDEX(tbl_Finance[Ex GST],$A47),"")</f>
        <v/>
      </c>
      <c r="H47" s="66">
        <f>IFERROR(INDEX(tbl_Finance[Defer Start],$A47),"")</f>
        <v/>
      </c>
      <c r="I47" s="66">
        <f>IFERROR(INDEX(tbl_Finance[Defer End],$A47),"")</f>
        <v/>
      </c>
      <c r="J47" s="65">
        <f>IF(OR($H47="",$I47="",$G47=""),"",MAX(1,(YEAR($I47)-YEAR($H47))*12+MONTH($I47)-MONTH($H47)+1))</f>
        <v/>
      </c>
      <c r="K47" s="68">
        <f>IF($J47="","",$G47/$J47)</f>
        <v/>
      </c>
      <c r="L47" s="68">
        <f>IF($J47="",0,$K47*MAX(0,MIN(YEAR($C$3)*12+MONTH($C$3),YEAR($I47)*12+MONTH($I47))-(YEAR($H47)*12+MONTH($H47))+1))</f>
        <v/>
      </c>
      <c r="M47" s="68">
        <f>IF($J47="",0,$K47*MAX(0,MIN(YEAR($C$3)*12+MONTH($C$3)-1,YEAR($I47)*12+MONTH($I47))-(YEAR($H47)*12+MONTH($H47))+1))</f>
        <v/>
      </c>
      <c r="N47" s="68">
        <f>IF(OR($J47="",$B47=""),0,IF(YEAR($B47)*12+MONTH($B47)&lt;=YEAR($C$3)*12+MONTH($C$3),$G47,0))</f>
        <v/>
      </c>
      <c r="O47" s="68">
        <f>IF(OR($J47="",$B47=""),0,IF(YEAR($B47)*12+MONTH($B47)&lt;=YEAR($C$3)*12+MONTH($C$3)-1,$G47,0))</f>
        <v/>
      </c>
      <c r="P47" s="68">
        <f>$M47-$O47</f>
        <v/>
      </c>
      <c r="Q47" s="68">
        <f>($L47-$M47)-($N47-$O47)</f>
        <v/>
      </c>
      <c r="R47" s="68">
        <f>$L47-$N47</f>
        <v/>
      </c>
      <c r="S47" s="67">
        <f>"Finance invoice"</f>
        <v/>
      </c>
      <c r="T47" s="67">
        <f>"Revenue"</f>
        <v/>
      </c>
    </row>
    <row r="48">
      <c r="A48" s="65">
        <f>ROW()-5</f>
        <v/>
      </c>
      <c r="B48" s="66">
        <f>IFERROR(INDEX(tbl_Finance[Date],$A48),"")</f>
        <v/>
      </c>
      <c r="C48" s="67">
        <f>IFERROR(INDEX(tbl_Finance[Xero Invoice No],$A48),"")</f>
        <v/>
      </c>
      <c r="D48" s="67">
        <f>IFERROR(INDEX(tbl_Finance[Client],$A48),"")</f>
        <v/>
      </c>
      <c r="E48" s="67">
        <f>IFERROR(INDEX(tbl_Finance[Job Number],$A48),"")</f>
        <v/>
      </c>
      <c r="F48" s="67">
        <f>IFERROR(INDEX(tbl_Finance[Cost Centre],$A48),"")</f>
        <v/>
      </c>
      <c r="G48" s="68">
        <f>IFERROR(INDEX(tbl_Finance[Ex GST],$A48),"")</f>
        <v/>
      </c>
      <c r="H48" s="66">
        <f>IFERROR(INDEX(tbl_Finance[Defer Start],$A48),"")</f>
        <v/>
      </c>
      <c r="I48" s="66">
        <f>IFERROR(INDEX(tbl_Finance[Defer End],$A48),"")</f>
        <v/>
      </c>
      <c r="J48" s="65">
        <f>IF(OR($H48="",$I48="",$G48=""),"",MAX(1,(YEAR($I48)-YEAR($H48))*12+MONTH($I48)-MONTH($H48)+1))</f>
        <v/>
      </c>
      <c r="K48" s="68">
        <f>IF($J48="","",$G48/$J48)</f>
        <v/>
      </c>
      <c r="L48" s="68">
        <f>IF($J48="",0,$K48*MAX(0,MIN(YEAR($C$3)*12+MONTH($C$3),YEAR($I48)*12+MONTH($I48))-(YEAR($H48)*12+MONTH($H48))+1))</f>
        <v/>
      </c>
      <c r="M48" s="68">
        <f>IF($J48="",0,$K48*MAX(0,MIN(YEAR($C$3)*12+MONTH($C$3)-1,YEAR($I48)*12+MONTH($I48))-(YEAR($H48)*12+MONTH($H48))+1))</f>
        <v/>
      </c>
      <c r="N48" s="68">
        <f>IF(OR($J48="",$B48=""),0,IF(YEAR($B48)*12+MONTH($B48)&lt;=YEAR($C$3)*12+MONTH($C$3),$G48,0))</f>
        <v/>
      </c>
      <c r="O48" s="68">
        <f>IF(OR($J48="",$B48=""),0,IF(YEAR($B48)*12+MONTH($B48)&lt;=YEAR($C$3)*12+MONTH($C$3)-1,$G48,0))</f>
        <v/>
      </c>
      <c r="P48" s="68">
        <f>$M48-$O48</f>
        <v/>
      </c>
      <c r="Q48" s="68">
        <f>($L48-$M48)-($N48-$O48)</f>
        <v/>
      </c>
      <c r="R48" s="68">
        <f>$L48-$N48</f>
        <v/>
      </c>
      <c r="S48" s="67">
        <f>"Finance invoice"</f>
        <v/>
      </c>
      <c r="T48" s="67">
        <f>"Revenue"</f>
        <v/>
      </c>
    </row>
    <row r="49">
      <c r="A49" s="65">
        <f>ROW()-5</f>
        <v/>
      </c>
      <c r="B49" s="66">
        <f>IFERROR(INDEX(tbl_Finance[Date],$A49),"")</f>
        <v/>
      </c>
      <c r="C49" s="67">
        <f>IFERROR(INDEX(tbl_Finance[Xero Invoice No],$A49),"")</f>
        <v/>
      </c>
      <c r="D49" s="67">
        <f>IFERROR(INDEX(tbl_Finance[Client],$A49),"")</f>
        <v/>
      </c>
      <c r="E49" s="67">
        <f>IFERROR(INDEX(tbl_Finance[Job Number],$A49),"")</f>
        <v/>
      </c>
      <c r="F49" s="67">
        <f>IFERROR(INDEX(tbl_Finance[Cost Centre],$A49),"")</f>
        <v/>
      </c>
      <c r="G49" s="68">
        <f>IFERROR(INDEX(tbl_Finance[Ex GST],$A49),"")</f>
        <v/>
      </c>
      <c r="H49" s="66">
        <f>IFERROR(INDEX(tbl_Finance[Defer Start],$A49),"")</f>
        <v/>
      </c>
      <c r="I49" s="66">
        <f>IFERROR(INDEX(tbl_Finance[Defer End],$A49),"")</f>
        <v/>
      </c>
      <c r="J49" s="65">
        <f>IF(OR($H49="",$I49="",$G49=""),"",MAX(1,(YEAR($I49)-YEAR($H49))*12+MONTH($I49)-MONTH($H49)+1))</f>
        <v/>
      </c>
      <c r="K49" s="68">
        <f>IF($J49="","",$G49/$J49)</f>
        <v/>
      </c>
      <c r="L49" s="68">
        <f>IF($J49="",0,$K49*MAX(0,MIN(YEAR($C$3)*12+MONTH($C$3),YEAR($I49)*12+MONTH($I49))-(YEAR($H49)*12+MONTH($H49))+1))</f>
        <v/>
      </c>
      <c r="M49" s="68">
        <f>IF($J49="",0,$K49*MAX(0,MIN(YEAR($C$3)*12+MONTH($C$3)-1,YEAR($I49)*12+MONTH($I49))-(YEAR($H49)*12+MONTH($H49))+1))</f>
        <v/>
      </c>
      <c r="N49" s="68">
        <f>IF(OR($J49="",$B49=""),0,IF(YEAR($B49)*12+MONTH($B49)&lt;=YEAR($C$3)*12+MONTH($C$3),$G49,0))</f>
        <v/>
      </c>
      <c r="O49" s="68">
        <f>IF(OR($J49="",$B49=""),0,IF(YEAR($B49)*12+MONTH($B49)&lt;=YEAR($C$3)*12+MONTH($C$3)-1,$G49,0))</f>
        <v/>
      </c>
      <c r="P49" s="68">
        <f>$M49-$O49</f>
        <v/>
      </c>
      <c r="Q49" s="68">
        <f>($L49-$M49)-($N49-$O49)</f>
        <v/>
      </c>
      <c r="R49" s="68">
        <f>$L49-$N49</f>
        <v/>
      </c>
      <c r="S49" s="67">
        <f>"Finance invoice"</f>
        <v/>
      </c>
      <c r="T49" s="67">
        <f>"Revenue"</f>
        <v/>
      </c>
    </row>
    <row r="50">
      <c r="A50" s="65">
        <f>ROW()-5</f>
        <v/>
      </c>
      <c r="B50" s="66">
        <f>IFERROR(INDEX(tbl_Finance[Date],$A50),"")</f>
        <v/>
      </c>
      <c r="C50" s="67">
        <f>IFERROR(INDEX(tbl_Finance[Xero Invoice No],$A50),"")</f>
        <v/>
      </c>
      <c r="D50" s="67">
        <f>IFERROR(INDEX(tbl_Finance[Client],$A50),"")</f>
        <v/>
      </c>
      <c r="E50" s="67">
        <f>IFERROR(INDEX(tbl_Finance[Job Number],$A50),"")</f>
        <v/>
      </c>
      <c r="F50" s="67">
        <f>IFERROR(INDEX(tbl_Finance[Cost Centre],$A50),"")</f>
        <v/>
      </c>
      <c r="G50" s="68">
        <f>IFERROR(INDEX(tbl_Finance[Ex GST],$A50),"")</f>
        <v/>
      </c>
      <c r="H50" s="66">
        <f>IFERROR(INDEX(tbl_Finance[Defer Start],$A50),"")</f>
        <v/>
      </c>
      <c r="I50" s="66">
        <f>IFERROR(INDEX(tbl_Finance[Defer End],$A50),"")</f>
        <v/>
      </c>
      <c r="J50" s="65">
        <f>IF(OR($H50="",$I50="",$G50=""),"",MAX(1,(YEAR($I50)-YEAR($H50))*12+MONTH($I50)-MONTH($H50)+1))</f>
        <v/>
      </c>
      <c r="K50" s="68">
        <f>IF($J50="","",$G50/$J50)</f>
        <v/>
      </c>
      <c r="L50" s="68">
        <f>IF($J50="",0,$K50*MAX(0,MIN(YEAR($C$3)*12+MONTH($C$3),YEAR($I50)*12+MONTH($I50))-(YEAR($H50)*12+MONTH($H50))+1))</f>
        <v/>
      </c>
      <c r="M50" s="68">
        <f>IF($J50="",0,$K50*MAX(0,MIN(YEAR($C$3)*12+MONTH($C$3)-1,YEAR($I50)*12+MONTH($I50))-(YEAR($H50)*12+MONTH($H50))+1))</f>
        <v/>
      </c>
      <c r="N50" s="68">
        <f>IF(OR($J50="",$B50=""),0,IF(YEAR($B50)*12+MONTH($B50)&lt;=YEAR($C$3)*12+MONTH($C$3),$G50,0))</f>
        <v/>
      </c>
      <c r="O50" s="68">
        <f>IF(OR($J50="",$B50=""),0,IF(YEAR($B50)*12+MONTH($B50)&lt;=YEAR($C$3)*12+MONTH($C$3)-1,$G50,0))</f>
        <v/>
      </c>
      <c r="P50" s="68">
        <f>$M50-$O50</f>
        <v/>
      </c>
      <c r="Q50" s="68">
        <f>($L50-$M50)-($N50-$O50)</f>
        <v/>
      </c>
      <c r="R50" s="68">
        <f>$L50-$N50</f>
        <v/>
      </c>
      <c r="S50" s="67">
        <f>"Finance invoice"</f>
        <v/>
      </c>
      <c r="T50" s="67">
        <f>"Revenue"</f>
        <v/>
      </c>
    </row>
    <row r="51">
      <c r="A51" s="65">
        <f>ROW()-5</f>
        <v/>
      </c>
      <c r="B51" s="66">
        <f>IFERROR(INDEX(tbl_Finance[Date],$A51),"")</f>
        <v/>
      </c>
      <c r="C51" s="67">
        <f>IFERROR(INDEX(tbl_Finance[Xero Invoice No],$A51),"")</f>
        <v/>
      </c>
      <c r="D51" s="67">
        <f>IFERROR(INDEX(tbl_Finance[Client],$A51),"")</f>
        <v/>
      </c>
      <c r="E51" s="67">
        <f>IFERROR(INDEX(tbl_Finance[Job Number],$A51),"")</f>
        <v/>
      </c>
      <c r="F51" s="67">
        <f>IFERROR(INDEX(tbl_Finance[Cost Centre],$A51),"")</f>
        <v/>
      </c>
      <c r="G51" s="68">
        <f>IFERROR(INDEX(tbl_Finance[Ex GST],$A51),"")</f>
        <v/>
      </c>
      <c r="H51" s="66">
        <f>IFERROR(INDEX(tbl_Finance[Defer Start],$A51),"")</f>
        <v/>
      </c>
      <c r="I51" s="66">
        <f>IFERROR(INDEX(tbl_Finance[Defer End],$A51),"")</f>
        <v/>
      </c>
      <c r="J51" s="65">
        <f>IF(OR($H51="",$I51="",$G51=""),"",MAX(1,(YEAR($I51)-YEAR($H51))*12+MONTH($I51)-MONTH($H51)+1))</f>
        <v/>
      </c>
      <c r="K51" s="68">
        <f>IF($J51="","",$G51/$J51)</f>
        <v/>
      </c>
      <c r="L51" s="68">
        <f>IF($J51="",0,$K51*MAX(0,MIN(YEAR($C$3)*12+MONTH($C$3),YEAR($I51)*12+MONTH($I51))-(YEAR($H51)*12+MONTH($H51))+1))</f>
        <v/>
      </c>
      <c r="M51" s="68">
        <f>IF($J51="",0,$K51*MAX(0,MIN(YEAR($C$3)*12+MONTH($C$3)-1,YEAR($I51)*12+MONTH($I51))-(YEAR($H51)*12+MONTH($H51))+1))</f>
        <v/>
      </c>
      <c r="N51" s="68">
        <f>IF(OR($J51="",$B51=""),0,IF(YEAR($B51)*12+MONTH($B51)&lt;=YEAR($C$3)*12+MONTH($C$3),$G51,0))</f>
        <v/>
      </c>
      <c r="O51" s="68">
        <f>IF(OR($J51="",$B51=""),0,IF(YEAR($B51)*12+MONTH($B51)&lt;=YEAR($C$3)*12+MONTH($C$3)-1,$G51,0))</f>
        <v/>
      </c>
      <c r="P51" s="68">
        <f>$M51-$O51</f>
        <v/>
      </c>
      <c r="Q51" s="68">
        <f>($L51-$M51)-($N51-$O51)</f>
        <v/>
      </c>
      <c r="R51" s="68">
        <f>$L51-$N51</f>
        <v/>
      </c>
      <c r="S51" s="67">
        <f>"Finance invoice"</f>
        <v/>
      </c>
      <c r="T51" s="67">
        <f>"Revenue"</f>
        <v/>
      </c>
    </row>
    <row r="52">
      <c r="A52" s="65">
        <f>ROW()-5</f>
        <v/>
      </c>
      <c r="B52" s="66">
        <f>IFERROR(INDEX(tbl_Finance[Date],$A52),"")</f>
        <v/>
      </c>
      <c r="C52" s="67">
        <f>IFERROR(INDEX(tbl_Finance[Xero Invoice No],$A52),"")</f>
        <v/>
      </c>
      <c r="D52" s="67">
        <f>IFERROR(INDEX(tbl_Finance[Client],$A52),"")</f>
        <v/>
      </c>
      <c r="E52" s="67">
        <f>IFERROR(INDEX(tbl_Finance[Job Number],$A52),"")</f>
        <v/>
      </c>
      <c r="F52" s="67">
        <f>IFERROR(INDEX(tbl_Finance[Cost Centre],$A52),"")</f>
        <v/>
      </c>
      <c r="G52" s="68">
        <f>IFERROR(INDEX(tbl_Finance[Ex GST],$A52),"")</f>
        <v/>
      </c>
      <c r="H52" s="66">
        <f>IFERROR(INDEX(tbl_Finance[Defer Start],$A52),"")</f>
        <v/>
      </c>
      <c r="I52" s="66">
        <f>IFERROR(INDEX(tbl_Finance[Defer End],$A52),"")</f>
        <v/>
      </c>
      <c r="J52" s="65">
        <f>IF(OR($H52="",$I52="",$G52=""),"",MAX(1,(YEAR($I52)-YEAR($H52))*12+MONTH($I52)-MONTH($H52)+1))</f>
        <v/>
      </c>
      <c r="K52" s="68">
        <f>IF($J52="","",$G52/$J52)</f>
        <v/>
      </c>
      <c r="L52" s="68">
        <f>IF($J52="",0,$K52*MAX(0,MIN(YEAR($C$3)*12+MONTH($C$3),YEAR($I52)*12+MONTH($I52))-(YEAR($H52)*12+MONTH($H52))+1))</f>
        <v/>
      </c>
      <c r="M52" s="68">
        <f>IF($J52="",0,$K52*MAX(0,MIN(YEAR($C$3)*12+MONTH($C$3)-1,YEAR($I52)*12+MONTH($I52))-(YEAR($H52)*12+MONTH($H52))+1))</f>
        <v/>
      </c>
      <c r="N52" s="68">
        <f>IF(OR($J52="",$B52=""),0,IF(YEAR($B52)*12+MONTH($B52)&lt;=YEAR($C$3)*12+MONTH($C$3),$G52,0))</f>
        <v/>
      </c>
      <c r="O52" s="68">
        <f>IF(OR($J52="",$B52=""),0,IF(YEAR($B52)*12+MONTH($B52)&lt;=YEAR($C$3)*12+MONTH($C$3)-1,$G52,0))</f>
        <v/>
      </c>
      <c r="P52" s="68">
        <f>$M52-$O52</f>
        <v/>
      </c>
      <c r="Q52" s="68">
        <f>($L52-$M52)-($N52-$O52)</f>
        <v/>
      </c>
      <c r="R52" s="68">
        <f>$L52-$N52</f>
        <v/>
      </c>
      <c r="S52" s="67">
        <f>"Finance invoice"</f>
        <v/>
      </c>
      <c r="T52" s="67">
        <f>"Revenue"</f>
        <v/>
      </c>
    </row>
    <row r="53">
      <c r="A53" s="65">
        <f>ROW()-5</f>
        <v/>
      </c>
      <c r="B53" s="66">
        <f>IFERROR(INDEX(tbl_Finance[Date],$A53),"")</f>
        <v/>
      </c>
      <c r="C53" s="67">
        <f>IFERROR(INDEX(tbl_Finance[Xero Invoice No],$A53),"")</f>
        <v/>
      </c>
      <c r="D53" s="67">
        <f>IFERROR(INDEX(tbl_Finance[Client],$A53),"")</f>
        <v/>
      </c>
      <c r="E53" s="67">
        <f>IFERROR(INDEX(tbl_Finance[Job Number],$A53),"")</f>
        <v/>
      </c>
      <c r="F53" s="67">
        <f>IFERROR(INDEX(tbl_Finance[Cost Centre],$A53),"")</f>
        <v/>
      </c>
      <c r="G53" s="68">
        <f>IFERROR(INDEX(tbl_Finance[Ex GST],$A53),"")</f>
        <v/>
      </c>
      <c r="H53" s="66">
        <f>IFERROR(INDEX(tbl_Finance[Defer Start],$A53),"")</f>
        <v/>
      </c>
      <c r="I53" s="66">
        <f>IFERROR(INDEX(tbl_Finance[Defer End],$A53),"")</f>
        <v/>
      </c>
      <c r="J53" s="65">
        <f>IF(OR($H53="",$I53="",$G53=""),"",MAX(1,(YEAR($I53)-YEAR($H53))*12+MONTH($I53)-MONTH($H53)+1))</f>
        <v/>
      </c>
      <c r="K53" s="68">
        <f>IF($J53="","",$G53/$J53)</f>
        <v/>
      </c>
      <c r="L53" s="68">
        <f>IF($J53="",0,$K53*MAX(0,MIN(YEAR($C$3)*12+MONTH($C$3),YEAR($I53)*12+MONTH($I53))-(YEAR($H53)*12+MONTH($H53))+1))</f>
        <v/>
      </c>
      <c r="M53" s="68">
        <f>IF($J53="",0,$K53*MAX(0,MIN(YEAR($C$3)*12+MONTH($C$3)-1,YEAR($I53)*12+MONTH($I53))-(YEAR($H53)*12+MONTH($H53))+1))</f>
        <v/>
      </c>
      <c r="N53" s="68">
        <f>IF(OR($J53="",$B53=""),0,IF(YEAR($B53)*12+MONTH($B53)&lt;=YEAR($C$3)*12+MONTH($C$3),$G53,0))</f>
        <v/>
      </c>
      <c r="O53" s="68">
        <f>IF(OR($J53="",$B53=""),0,IF(YEAR($B53)*12+MONTH($B53)&lt;=YEAR($C$3)*12+MONTH($C$3)-1,$G53,0))</f>
        <v/>
      </c>
      <c r="P53" s="68">
        <f>$M53-$O53</f>
        <v/>
      </c>
      <c r="Q53" s="68">
        <f>($L53-$M53)-($N53-$O53)</f>
        <v/>
      </c>
      <c r="R53" s="68">
        <f>$L53-$N53</f>
        <v/>
      </c>
      <c r="S53" s="67">
        <f>"Finance invoice"</f>
        <v/>
      </c>
      <c r="T53" s="67">
        <f>"Revenue"</f>
        <v/>
      </c>
    </row>
    <row r="54">
      <c r="A54" s="65">
        <f>ROW()-5</f>
        <v/>
      </c>
      <c r="B54" s="66">
        <f>IFERROR(INDEX(tbl_Finance[Date],$A54),"")</f>
        <v/>
      </c>
      <c r="C54" s="67">
        <f>IFERROR(INDEX(tbl_Finance[Xero Invoice No],$A54),"")</f>
        <v/>
      </c>
      <c r="D54" s="67">
        <f>IFERROR(INDEX(tbl_Finance[Client],$A54),"")</f>
        <v/>
      </c>
      <c r="E54" s="67">
        <f>IFERROR(INDEX(tbl_Finance[Job Number],$A54),"")</f>
        <v/>
      </c>
      <c r="F54" s="67">
        <f>IFERROR(INDEX(tbl_Finance[Cost Centre],$A54),"")</f>
        <v/>
      </c>
      <c r="G54" s="68">
        <f>IFERROR(INDEX(tbl_Finance[Ex GST],$A54),"")</f>
        <v/>
      </c>
      <c r="H54" s="66">
        <f>IFERROR(INDEX(tbl_Finance[Defer Start],$A54),"")</f>
        <v/>
      </c>
      <c r="I54" s="66">
        <f>IFERROR(INDEX(tbl_Finance[Defer End],$A54),"")</f>
        <v/>
      </c>
      <c r="J54" s="65">
        <f>IF(OR($H54="",$I54="",$G54=""),"",MAX(1,(YEAR($I54)-YEAR($H54))*12+MONTH($I54)-MONTH($H54)+1))</f>
        <v/>
      </c>
      <c r="K54" s="68">
        <f>IF($J54="","",$G54/$J54)</f>
        <v/>
      </c>
      <c r="L54" s="68">
        <f>IF($J54="",0,$K54*MAX(0,MIN(YEAR($C$3)*12+MONTH($C$3),YEAR($I54)*12+MONTH($I54))-(YEAR($H54)*12+MONTH($H54))+1))</f>
        <v/>
      </c>
      <c r="M54" s="68">
        <f>IF($J54="",0,$K54*MAX(0,MIN(YEAR($C$3)*12+MONTH($C$3)-1,YEAR($I54)*12+MONTH($I54))-(YEAR($H54)*12+MONTH($H54))+1))</f>
        <v/>
      </c>
      <c r="N54" s="68">
        <f>IF(OR($J54="",$B54=""),0,IF(YEAR($B54)*12+MONTH($B54)&lt;=YEAR($C$3)*12+MONTH($C$3),$G54,0))</f>
        <v/>
      </c>
      <c r="O54" s="68">
        <f>IF(OR($J54="",$B54=""),0,IF(YEAR($B54)*12+MONTH($B54)&lt;=YEAR($C$3)*12+MONTH($C$3)-1,$G54,0))</f>
        <v/>
      </c>
      <c r="P54" s="68">
        <f>$M54-$O54</f>
        <v/>
      </c>
      <c r="Q54" s="68">
        <f>($L54-$M54)-($N54-$O54)</f>
        <v/>
      </c>
      <c r="R54" s="68">
        <f>$L54-$N54</f>
        <v/>
      </c>
      <c r="S54" s="67">
        <f>"Finance invoice"</f>
        <v/>
      </c>
      <c r="T54" s="67">
        <f>"Revenue"</f>
        <v/>
      </c>
    </row>
    <row r="55">
      <c r="A55" s="65">
        <f>ROW()-5</f>
        <v/>
      </c>
      <c r="B55" s="66">
        <f>IFERROR(INDEX(tbl_Finance[Date],$A55),"")</f>
        <v/>
      </c>
      <c r="C55" s="67">
        <f>IFERROR(INDEX(tbl_Finance[Xero Invoice No],$A55),"")</f>
        <v/>
      </c>
      <c r="D55" s="67">
        <f>IFERROR(INDEX(tbl_Finance[Client],$A55),"")</f>
        <v/>
      </c>
      <c r="E55" s="67">
        <f>IFERROR(INDEX(tbl_Finance[Job Number],$A55),"")</f>
        <v/>
      </c>
      <c r="F55" s="67">
        <f>IFERROR(INDEX(tbl_Finance[Cost Centre],$A55),"")</f>
        <v/>
      </c>
      <c r="G55" s="68">
        <f>IFERROR(INDEX(tbl_Finance[Ex GST],$A55),"")</f>
        <v/>
      </c>
      <c r="H55" s="66">
        <f>IFERROR(INDEX(tbl_Finance[Defer Start],$A55),"")</f>
        <v/>
      </c>
      <c r="I55" s="66">
        <f>IFERROR(INDEX(tbl_Finance[Defer End],$A55),"")</f>
        <v/>
      </c>
      <c r="J55" s="65">
        <f>IF(OR($H55="",$I55="",$G55=""),"",MAX(1,(YEAR($I55)-YEAR($H55))*12+MONTH($I55)-MONTH($H55)+1))</f>
        <v/>
      </c>
      <c r="K55" s="68">
        <f>IF($J55="","",$G55/$J55)</f>
        <v/>
      </c>
      <c r="L55" s="68">
        <f>IF($J55="",0,$K55*MAX(0,MIN(YEAR($C$3)*12+MONTH($C$3),YEAR($I55)*12+MONTH($I55))-(YEAR($H55)*12+MONTH($H55))+1))</f>
        <v/>
      </c>
      <c r="M55" s="68">
        <f>IF($J55="",0,$K55*MAX(0,MIN(YEAR($C$3)*12+MONTH($C$3)-1,YEAR($I55)*12+MONTH($I55))-(YEAR($H55)*12+MONTH($H55))+1))</f>
        <v/>
      </c>
      <c r="N55" s="68">
        <f>IF(OR($J55="",$B55=""),0,IF(YEAR($B55)*12+MONTH($B55)&lt;=YEAR($C$3)*12+MONTH($C$3),$G55,0))</f>
        <v/>
      </c>
      <c r="O55" s="68">
        <f>IF(OR($J55="",$B55=""),0,IF(YEAR($B55)*12+MONTH($B55)&lt;=YEAR($C$3)*12+MONTH($C$3)-1,$G55,0))</f>
        <v/>
      </c>
      <c r="P55" s="68">
        <f>$M55-$O55</f>
        <v/>
      </c>
      <c r="Q55" s="68">
        <f>($L55-$M55)-($N55-$O55)</f>
        <v/>
      </c>
      <c r="R55" s="68">
        <f>$L55-$N55</f>
        <v/>
      </c>
      <c r="S55" s="67">
        <f>"Finance invoice"</f>
        <v/>
      </c>
      <c r="T55" s="67">
        <f>"Revenue"</f>
        <v/>
      </c>
    </row>
    <row r="56">
      <c r="A56" s="65">
        <f>ROW()-5</f>
        <v/>
      </c>
      <c r="B56" s="66">
        <f>IFERROR(INDEX(tbl_Finance[Date],$A56),"")</f>
        <v/>
      </c>
      <c r="C56" s="67">
        <f>IFERROR(INDEX(tbl_Finance[Xero Invoice No],$A56),"")</f>
        <v/>
      </c>
      <c r="D56" s="67">
        <f>IFERROR(INDEX(tbl_Finance[Client],$A56),"")</f>
        <v/>
      </c>
      <c r="E56" s="67">
        <f>IFERROR(INDEX(tbl_Finance[Job Number],$A56),"")</f>
        <v/>
      </c>
      <c r="F56" s="67">
        <f>IFERROR(INDEX(tbl_Finance[Cost Centre],$A56),"")</f>
        <v/>
      </c>
      <c r="G56" s="68">
        <f>IFERROR(INDEX(tbl_Finance[Ex GST],$A56),"")</f>
        <v/>
      </c>
      <c r="H56" s="66">
        <f>IFERROR(INDEX(tbl_Finance[Defer Start],$A56),"")</f>
        <v/>
      </c>
      <c r="I56" s="66">
        <f>IFERROR(INDEX(tbl_Finance[Defer End],$A56),"")</f>
        <v/>
      </c>
      <c r="J56" s="65">
        <f>IF(OR($H56="",$I56="",$G56=""),"",MAX(1,(YEAR($I56)-YEAR($H56))*12+MONTH($I56)-MONTH($H56)+1))</f>
        <v/>
      </c>
      <c r="K56" s="68">
        <f>IF($J56="","",$G56/$J56)</f>
        <v/>
      </c>
      <c r="L56" s="68">
        <f>IF($J56="",0,$K56*MAX(0,MIN(YEAR($C$3)*12+MONTH($C$3),YEAR($I56)*12+MONTH($I56))-(YEAR($H56)*12+MONTH($H56))+1))</f>
        <v/>
      </c>
      <c r="M56" s="68">
        <f>IF($J56="",0,$K56*MAX(0,MIN(YEAR($C$3)*12+MONTH($C$3)-1,YEAR($I56)*12+MONTH($I56))-(YEAR($H56)*12+MONTH($H56))+1))</f>
        <v/>
      </c>
      <c r="N56" s="68">
        <f>IF(OR($J56="",$B56=""),0,IF(YEAR($B56)*12+MONTH($B56)&lt;=YEAR($C$3)*12+MONTH($C$3),$G56,0))</f>
        <v/>
      </c>
      <c r="O56" s="68">
        <f>IF(OR($J56="",$B56=""),0,IF(YEAR($B56)*12+MONTH($B56)&lt;=YEAR($C$3)*12+MONTH($C$3)-1,$G56,0))</f>
        <v/>
      </c>
      <c r="P56" s="68">
        <f>$M56-$O56</f>
        <v/>
      </c>
      <c r="Q56" s="68">
        <f>($L56-$M56)-($N56-$O56)</f>
        <v/>
      </c>
      <c r="R56" s="68">
        <f>$L56-$N56</f>
        <v/>
      </c>
      <c r="S56" s="67">
        <f>"Finance invoice"</f>
        <v/>
      </c>
      <c r="T56" s="67">
        <f>"Revenue"</f>
        <v/>
      </c>
    </row>
    <row r="57">
      <c r="A57" s="65">
        <f>ROW()-5</f>
        <v/>
      </c>
      <c r="B57" s="66">
        <f>IFERROR(INDEX(tbl_Finance[Date],$A57),"")</f>
        <v/>
      </c>
      <c r="C57" s="67">
        <f>IFERROR(INDEX(tbl_Finance[Xero Invoice No],$A57),"")</f>
        <v/>
      </c>
      <c r="D57" s="67">
        <f>IFERROR(INDEX(tbl_Finance[Client],$A57),"")</f>
        <v/>
      </c>
      <c r="E57" s="67">
        <f>IFERROR(INDEX(tbl_Finance[Job Number],$A57),"")</f>
        <v/>
      </c>
      <c r="F57" s="67">
        <f>IFERROR(INDEX(tbl_Finance[Cost Centre],$A57),"")</f>
        <v/>
      </c>
      <c r="G57" s="68">
        <f>IFERROR(INDEX(tbl_Finance[Ex GST],$A57),"")</f>
        <v/>
      </c>
      <c r="H57" s="66">
        <f>IFERROR(INDEX(tbl_Finance[Defer Start],$A57),"")</f>
        <v/>
      </c>
      <c r="I57" s="66">
        <f>IFERROR(INDEX(tbl_Finance[Defer End],$A57),"")</f>
        <v/>
      </c>
      <c r="J57" s="65">
        <f>IF(OR($H57="",$I57="",$G57=""),"",MAX(1,(YEAR($I57)-YEAR($H57))*12+MONTH($I57)-MONTH($H57)+1))</f>
        <v/>
      </c>
      <c r="K57" s="68">
        <f>IF($J57="","",$G57/$J57)</f>
        <v/>
      </c>
      <c r="L57" s="68">
        <f>IF($J57="",0,$K57*MAX(0,MIN(YEAR($C$3)*12+MONTH($C$3),YEAR($I57)*12+MONTH($I57))-(YEAR($H57)*12+MONTH($H57))+1))</f>
        <v/>
      </c>
      <c r="M57" s="68">
        <f>IF($J57="",0,$K57*MAX(0,MIN(YEAR($C$3)*12+MONTH($C$3)-1,YEAR($I57)*12+MONTH($I57))-(YEAR($H57)*12+MONTH($H57))+1))</f>
        <v/>
      </c>
      <c r="N57" s="68">
        <f>IF(OR($J57="",$B57=""),0,IF(YEAR($B57)*12+MONTH($B57)&lt;=YEAR($C$3)*12+MONTH($C$3),$G57,0))</f>
        <v/>
      </c>
      <c r="O57" s="68">
        <f>IF(OR($J57="",$B57=""),0,IF(YEAR($B57)*12+MONTH($B57)&lt;=YEAR($C$3)*12+MONTH($C$3)-1,$G57,0))</f>
        <v/>
      </c>
      <c r="P57" s="68">
        <f>$M57-$O57</f>
        <v/>
      </c>
      <c r="Q57" s="68">
        <f>($L57-$M57)-($N57-$O57)</f>
        <v/>
      </c>
      <c r="R57" s="68">
        <f>$L57-$N57</f>
        <v/>
      </c>
      <c r="S57" s="67">
        <f>"Finance invoice"</f>
        <v/>
      </c>
      <c r="T57" s="67">
        <f>"Revenue"</f>
        <v/>
      </c>
    </row>
    <row r="58">
      <c r="A58" s="65">
        <f>ROW()-5</f>
        <v/>
      </c>
      <c r="B58" s="66">
        <f>IFERROR(INDEX(tbl_Finance[Date],$A58),"")</f>
        <v/>
      </c>
      <c r="C58" s="67">
        <f>IFERROR(INDEX(tbl_Finance[Xero Invoice No],$A58),"")</f>
        <v/>
      </c>
      <c r="D58" s="67">
        <f>IFERROR(INDEX(tbl_Finance[Client],$A58),"")</f>
        <v/>
      </c>
      <c r="E58" s="67">
        <f>IFERROR(INDEX(tbl_Finance[Job Number],$A58),"")</f>
        <v/>
      </c>
      <c r="F58" s="67">
        <f>IFERROR(INDEX(tbl_Finance[Cost Centre],$A58),"")</f>
        <v/>
      </c>
      <c r="G58" s="68">
        <f>IFERROR(INDEX(tbl_Finance[Ex GST],$A58),"")</f>
        <v/>
      </c>
      <c r="H58" s="66">
        <f>IFERROR(INDEX(tbl_Finance[Defer Start],$A58),"")</f>
        <v/>
      </c>
      <c r="I58" s="66">
        <f>IFERROR(INDEX(tbl_Finance[Defer End],$A58),"")</f>
        <v/>
      </c>
      <c r="J58" s="65">
        <f>IF(OR($H58="",$I58="",$G58=""),"",MAX(1,(YEAR($I58)-YEAR($H58))*12+MONTH($I58)-MONTH($H58)+1))</f>
        <v/>
      </c>
      <c r="K58" s="68">
        <f>IF($J58="","",$G58/$J58)</f>
        <v/>
      </c>
      <c r="L58" s="68">
        <f>IF($J58="",0,$K58*MAX(0,MIN(YEAR($C$3)*12+MONTH($C$3),YEAR($I58)*12+MONTH($I58))-(YEAR($H58)*12+MONTH($H58))+1))</f>
        <v/>
      </c>
      <c r="M58" s="68">
        <f>IF($J58="",0,$K58*MAX(0,MIN(YEAR($C$3)*12+MONTH($C$3)-1,YEAR($I58)*12+MONTH($I58))-(YEAR($H58)*12+MONTH($H58))+1))</f>
        <v/>
      </c>
      <c r="N58" s="68">
        <f>IF(OR($J58="",$B58=""),0,IF(YEAR($B58)*12+MONTH($B58)&lt;=YEAR($C$3)*12+MONTH($C$3),$G58,0))</f>
        <v/>
      </c>
      <c r="O58" s="68">
        <f>IF(OR($J58="",$B58=""),0,IF(YEAR($B58)*12+MONTH($B58)&lt;=YEAR($C$3)*12+MONTH($C$3)-1,$G58,0))</f>
        <v/>
      </c>
      <c r="P58" s="68">
        <f>$M58-$O58</f>
        <v/>
      </c>
      <c r="Q58" s="68">
        <f>($L58-$M58)-($N58-$O58)</f>
        <v/>
      </c>
      <c r="R58" s="68">
        <f>$L58-$N58</f>
        <v/>
      </c>
      <c r="S58" s="67">
        <f>"Finance invoice"</f>
        <v/>
      </c>
      <c r="T58" s="67">
        <f>"Revenue"</f>
        <v/>
      </c>
    </row>
    <row r="59">
      <c r="A59" s="65">
        <f>ROW()-5</f>
        <v/>
      </c>
      <c r="B59" s="66">
        <f>IFERROR(INDEX(tbl_Finance[Date],$A59),"")</f>
        <v/>
      </c>
      <c r="C59" s="67">
        <f>IFERROR(INDEX(tbl_Finance[Xero Invoice No],$A59),"")</f>
        <v/>
      </c>
      <c r="D59" s="67">
        <f>IFERROR(INDEX(tbl_Finance[Client],$A59),"")</f>
        <v/>
      </c>
      <c r="E59" s="67">
        <f>IFERROR(INDEX(tbl_Finance[Job Number],$A59),"")</f>
        <v/>
      </c>
      <c r="F59" s="67">
        <f>IFERROR(INDEX(tbl_Finance[Cost Centre],$A59),"")</f>
        <v/>
      </c>
      <c r="G59" s="68">
        <f>IFERROR(INDEX(tbl_Finance[Ex GST],$A59),"")</f>
        <v/>
      </c>
      <c r="H59" s="66">
        <f>IFERROR(INDEX(tbl_Finance[Defer Start],$A59),"")</f>
        <v/>
      </c>
      <c r="I59" s="66">
        <f>IFERROR(INDEX(tbl_Finance[Defer End],$A59),"")</f>
        <v/>
      </c>
      <c r="J59" s="65">
        <f>IF(OR($H59="",$I59="",$G59=""),"",MAX(1,(YEAR($I59)-YEAR($H59))*12+MONTH($I59)-MONTH($H59)+1))</f>
        <v/>
      </c>
      <c r="K59" s="68">
        <f>IF($J59="","",$G59/$J59)</f>
        <v/>
      </c>
      <c r="L59" s="68">
        <f>IF($J59="",0,$K59*MAX(0,MIN(YEAR($C$3)*12+MONTH($C$3),YEAR($I59)*12+MONTH($I59))-(YEAR($H59)*12+MONTH($H59))+1))</f>
        <v/>
      </c>
      <c r="M59" s="68">
        <f>IF($J59="",0,$K59*MAX(0,MIN(YEAR($C$3)*12+MONTH($C$3)-1,YEAR($I59)*12+MONTH($I59))-(YEAR($H59)*12+MONTH($H59))+1))</f>
        <v/>
      </c>
      <c r="N59" s="68">
        <f>IF(OR($J59="",$B59=""),0,IF(YEAR($B59)*12+MONTH($B59)&lt;=YEAR($C$3)*12+MONTH($C$3),$G59,0))</f>
        <v/>
      </c>
      <c r="O59" s="68">
        <f>IF(OR($J59="",$B59=""),0,IF(YEAR($B59)*12+MONTH($B59)&lt;=YEAR($C$3)*12+MONTH($C$3)-1,$G59,0))</f>
        <v/>
      </c>
      <c r="P59" s="68">
        <f>$M59-$O59</f>
        <v/>
      </c>
      <c r="Q59" s="68">
        <f>($L59-$M59)-($N59-$O59)</f>
        <v/>
      </c>
      <c r="R59" s="68">
        <f>$L59-$N59</f>
        <v/>
      </c>
      <c r="S59" s="67">
        <f>"Finance invoice"</f>
        <v/>
      </c>
      <c r="T59" s="67">
        <f>"Revenue"</f>
        <v/>
      </c>
    </row>
    <row r="60">
      <c r="A60" s="65">
        <f>ROW()-5</f>
        <v/>
      </c>
      <c r="B60" s="66">
        <f>IFERROR(INDEX(tbl_Finance[Date],$A60),"")</f>
        <v/>
      </c>
      <c r="C60" s="67">
        <f>IFERROR(INDEX(tbl_Finance[Xero Invoice No],$A60),"")</f>
        <v/>
      </c>
      <c r="D60" s="67">
        <f>IFERROR(INDEX(tbl_Finance[Client],$A60),"")</f>
        <v/>
      </c>
      <c r="E60" s="67">
        <f>IFERROR(INDEX(tbl_Finance[Job Number],$A60),"")</f>
        <v/>
      </c>
      <c r="F60" s="67">
        <f>IFERROR(INDEX(tbl_Finance[Cost Centre],$A60),"")</f>
        <v/>
      </c>
      <c r="G60" s="68">
        <f>IFERROR(INDEX(tbl_Finance[Ex GST],$A60),"")</f>
        <v/>
      </c>
      <c r="H60" s="66">
        <f>IFERROR(INDEX(tbl_Finance[Defer Start],$A60),"")</f>
        <v/>
      </c>
      <c r="I60" s="66">
        <f>IFERROR(INDEX(tbl_Finance[Defer End],$A60),"")</f>
        <v/>
      </c>
      <c r="J60" s="65">
        <f>IF(OR($H60="",$I60="",$G60=""),"",MAX(1,(YEAR($I60)-YEAR($H60))*12+MONTH($I60)-MONTH($H60)+1))</f>
        <v/>
      </c>
      <c r="K60" s="68">
        <f>IF($J60="","",$G60/$J60)</f>
        <v/>
      </c>
      <c r="L60" s="68">
        <f>IF($J60="",0,$K60*MAX(0,MIN(YEAR($C$3)*12+MONTH($C$3),YEAR($I60)*12+MONTH($I60))-(YEAR($H60)*12+MONTH($H60))+1))</f>
        <v/>
      </c>
      <c r="M60" s="68">
        <f>IF($J60="",0,$K60*MAX(0,MIN(YEAR($C$3)*12+MONTH($C$3)-1,YEAR($I60)*12+MONTH($I60))-(YEAR($H60)*12+MONTH($H60))+1))</f>
        <v/>
      </c>
      <c r="N60" s="68">
        <f>IF(OR($J60="",$B60=""),0,IF(YEAR($B60)*12+MONTH($B60)&lt;=YEAR($C$3)*12+MONTH($C$3),$G60,0))</f>
        <v/>
      </c>
      <c r="O60" s="68">
        <f>IF(OR($J60="",$B60=""),0,IF(YEAR($B60)*12+MONTH($B60)&lt;=YEAR($C$3)*12+MONTH($C$3)-1,$G60,0))</f>
        <v/>
      </c>
      <c r="P60" s="68">
        <f>$M60-$O60</f>
        <v/>
      </c>
      <c r="Q60" s="68">
        <f>($L60-$M60)-($N60-$O60)</f>
        <v/>
      </c>
      <c r="R60" s="68">
        <f>$L60-$N60</f>
        <v/>
      </c>
      <c r="S60" s="67">
        <f>"Finance invoice"</f>
        <v/>
      </c>
      <c r="T60" s="67">
        <f>"Revenue"</f>
        <v/>
      </c>
    </row>
    <row r="61">
      <c r="A61" s="65">
        <f>ROW()-5</f>
        <v/>
      </c>
      <c r="B61" s="66">
        <f>IFERROR(INDEX(tbl_Finance[Date],$A61),"")</f>
        <v/>
      </c>
      <c r="C61" s="67">
        <f>IFERROR(INDEX(tbl_Finance[Xero Invoice No],$A61),"")</f>
        <v/>
      </c>
      <c r="D61" s="67">
        <f>IFERROR(INDEX(tbl_Finance[Client],$A61),"")</f>
        <v/>
      </c>
      <c r="E61" s="67">
        <f>IFERROR(INDEX(tbl_Finance[Job Number],$A61),"")</f>
        <v/>
      </c>
      <c r="F61" s="67">
        <f>IFERROR(INDEX(tbl_Finance[Cost Centre],$A61),"")</f>
        <v/>
      </c>
      <c r="G61" s="68">
        <f>IFERROR(INDEX(tbl_Finance[Ex GST],$A61),"")</f>
        <v/>
      </c>
      <c r="H61" s="66">
        <f>IFERROR(INDEX(tbl_Finance[Defer Start],$A61),"")</f>
        <v/>
      </c>
      <c r="I61" s="66">
        <f>IFERROR(INDEX(tbl_Finance[Defer End],$A61),"")</f>
        <v/>
      </c>
      <c r="J61" s="65">
        <f>IF(OR($H61="",$I61="",$G61=""),"",MAX(1,(YEAR($I61)-YEAR($H61))*12+MONTH($I61)-MONTH($H61)+1))</f>
        <v/>
      </c>
      <c r="K61" s="68">
        <f>IF($J61="","",$G61/$J61)</f>
        <v/>
      </c>
      <c r="L61" s="68">
        <f>IF($J61="",0,$K61*MAX(0,MIN(YEAR($C$3)*12+MONTH($C$3),YEAR($I61)*12+MONTH($I61))-(YEAR($H61)*12+MONTH($H61))+1))</f>
        <v/>
      </c>
      <c r="M61" s="68">
        <f>IF($J61="",0,$K61*MAX(0,MIN(YEAR($C$3)*12+MONTH($C$3)-1,YEAR($I61)*12+MONTH($I61))-(YEAR($H61)*12+MONTH($H61))+1))</f>
        <v/>
      </c>
      <c r="N61" s="68">
        <f>IF(OR($J61="",$B61=""),0,IF(YEAR($B61)*12+MONTH($B61)&lt;=YEAR($C$3)*12+MONTH($C$3),$G61,0))</f>
        <v/>
      </c>
      <c r="O61" s="68">
        <f>IF(OR($J61="",$B61=""),0,IF(YEAR($B61)*12+MONTH($B61)&lt;=YEAR($C$3)*12+MONTH($C$3)-1,$G61,0))</f>
        <v/>
      </c>
      <c r="P61" s="68">
        <f>$M61-$O61</f>
        <v/>
      </c>
      <c r="Q61" s="68">
        <f>($L61-$M61)-($N61-$O61)</f>
        <v/>
      </c>
      <c r="R61" s="68">
        <f>$L61-$N61</f>
        <v/>
      </c>
      <c r="S61" s="67">
        <f>"Finance invoice"</f>
        <v/>
      </c>
      <c r="T61" s="67">
        <f>"Revenue"</f>
        <v/>
      </c>
    </row>
    <row r="62">
      <c r="A62" s="65">
        <f>ROW()-5</f>
        <v/>
      </c>
      <c r="B62" s="66">
        <f>IFERROR(INDEX(tbl_Finance[Date],$A62),"")</f>
        <v/>
      </c>
      <c r="C62" s="67">
        <f>IFERROR(INDEX(tbl_Finance[Xero Invoice No],$A62),"")</f>
        <v/>
      </c>
      <c r="D62" s="67">
        <f>IFERROR(INDEX(tbl_Finance[Client],$A62),"")</f>
        <v/>
      </c>
      <c r="E62" s="67">
        <f>IFERROR(INDEX(tbl_Finance[Job Number],$A62),"")</f>
        <v/>
      </c>
      <c r="F62" s="67">
        <f>IFERROR(INDEX(tbl_Finance[Cost Centre],$A62),"")</f>
        <v/>
      </c>
      <c r="G62" s="68">
        <f>IFERROR(INDEX(tbl_Finance[Ex GST],$A62),"")</f>
        <v/>
      </c>
      <c r="H62" s="66">
        <f>IFERROR(INDEX(tbl_Finance[Defer Start],$A62),"")</f>
        <v/>
      </c>
      <c r="I62" s="66">
        <f>IFERROR(INDEX(tbl_Finance[Defer End],$A62),"")</f>
        <v/>
      </c>
      <c r="J62" s="65">
        <f>IF(OR($H62="",$I62="",$G62=""),"",MAX(1,(YEAR($I62)-YEAR($H62))*12+MONTH($I62)-MONTH($H62)+1))</f>
        <v/>
      </c>
      <c r="K62" s="68">
        <f>IF($J62="","",$G62/$J62)</f>
        <v/>
      </c>
      <c r="L62" s="68">
        <f>IF($J62="",0,$K62*MAX(0,MIN(YEAR($C$3)*12+MONTH($C$3),YEAR($I62)*12+MONTH($I62))-(YEAR($H62)*12+MONTH($H62))+1))</f>
        <v/>
      </c>
      <c r="M62" s="68">
        <f>IF($J62="",0,$K62*MAX(0,MIN(YEAR($C$3)*12+MONTH($C$3)-1,YEAR($I62)*12+MONTH($I62))-(YEAR($H62)*12+MONTH($H62))+1))</f>
        <v/>
      </c>
      <c r="N62" s="68">
        <f>IF(OR($J62="",$B62=""),0,IF(YEAR($B62)*12+MONTH($B62)&lt;=YEAR($C$3)*12+MONTH($C$3),$G62,0))</f>
        <v/>
      </c>
      <c r="O62" s="68">
        <f>IF(OR($J62="",$B62=""),0,IF(YEAR($B62)*12+MONTH($B62)&lt;=YEAR($C$3)*12+MONTH($C$3)-1,$G62,0))</f>
        <v/>
      </c>
      <c r="P62" s="68">
        <f>$M62-$O62</f>
        <v/>
      </c>
      <c r="Q62" s="68">
        <f>($L62-$M62)-($N62-$O62)</f>
        <v/>
      </c>
      <c r="R62" s="68">
        <f>$L62-$N62</f>
        <v/>
      </c>
      <c r="S62" s="67">
        <f>"Finance invoice"</f>
        <v/>
      </c>
      <c r="T62" s="67">
        <f>"Revenue"</f>
        <v/>
      </c>
    </row>
    <row r="63">
      <c r="A63" s="65">
        <f>ROW()-5</f>
        <v/>
      </c>
      <c r="B63" s="66">
        <f>IFERROR(INDEX(tbl_Finance[Date],$A63),"")</f>
        <v/>
      </c>
      <c r="C63" s="67">
        <f>IFERROR(INDEX(tbl_Finance[Xero Invoice No],$A63),"")</f>
        <v/>
      </c>
      <c r="D63" s="67">
        <f>IFERROR(INDEX(tbl_Finance[Client],$A63),"")</f>
        <v/>
      </c>
      <c r="E63" s="67">
        <f>IFERROR(INDEX(tbl_Finance[Job Number],$A63),"")</f>
        <v/>
      </c>
      <c r="F63" s="67">
        <f>IFERROR(INDEX(tbl_Finance[Cost Centre],$A63),"")</f>
        <v/>
      </c>
      <c r="G63" s="68">
        <f>IFERROR(INDEX(tbl_Finance[Ex GST],$A63),"")</f>
        <v/>
      </c>
      <c r="H63" s="66">
        <f>IFERROR(INDEX(tbl_Finance[Defer Start],$A63),"")</f>
        <v/>
      </c>
      <c r="I63" s="66">
        <f>IFERROR(INDEX(tbl_Finance[Defer End],$A63),"")</f>
        <v/>
      </c>
      <c r="J63" s="65">
        <f>IF(OR($H63="",$I63="",$G63=""),"",MAX(1,(YEAR($I63)-YEAR($H63))*12+MONTH($I63)-MONTH($H63)+1))</f>
        <v/>
      </c>
      <c r="K63" s="68">
        <f>IF($J63="","",$G63/$J63)</f>
        <v/>
      </c>
      <c r="L63" s="68">
        <f>IF($J63="",0,$K63*MAX(0,MIN(YEAR($C$3)*12+MONTH($C$3),YEAR($I63)*12+MONTH($I63))-(YEAR($H63)*12+MONTH($H63))+1))</f>
        <v/>
      </c>
      <c r="M63" s="68">
        <f>IF($J63="",0,$K63*MAX(0,MIN(YEAR($C$3)*12+MONTH($C$3)-1,YEAR($I63)*12+MONTH($I63))-(YEAR($H63)*12+MONTH($H63))+1))</f>
        <v/>
      </c>
      <c r="N63" s="68">
        <f>IF(OR($J63="",$B63=""),0,IF(YEAR($B63)*12+MONTH($B63)&lt;=YEAR($C$3)*12+MONTH($C$3),$G63,0))</f>
        <v/>
      </c>
      <c r="O63" s="68">
        <f>IF(OR($J63="",$B63=""),0,IF(YEAR($B63)*12+MONTH($B63)&lt;=YEAR($C$3)*12+MONTH($C$3)-1,$G63,0))</f>
        <v/>
      </c>
      <c r="P63" s="68">
        <f>$M63-$O63</f>
        <v/>
      </c>
      <c r="Q63" s="68">
        <f>($L63-$M63)-($N63-$O63)</f>
        <v/>
      </c>
      <c r="R63" s="68">
        <f>$L63-$N63</f>
        <v/>
      </c>
      <c r="S63" s="67">
        <f>"Finance invoice"</f>
        <v/>
      </c>
      <c r="T63" s="67">
        <f>"Revenue"</f>
        <v/>
      </c>
    </row>
    <row r="64">
      <c r="A64" s="65">
        <f>ROW()-5</f>
        <v/>
      </c>
      <c r="B64" s="66">
        <f>IFERROR(INDEX(tbl_Finance[Date],$A64),"")</f>
        <v/>
      </c>
      <c r="C64" s="67">
        <f>IFERROR(INDEX(tbl_Finance[Xero Invoice No],$A64),"")</f>
        <v/>
      </c>
      <c r="D64" s="67">
        <f>IFERROR(INDEX(tbl_Finance[Client],$A64),"")</f>
        <v/>
      </c>
      <c r="E64" s="67">
        <f>IFERROR(INDEX(tbl_Finance[Job Number],$A64),"")</f>
        <v/>
      </c>
      <c r="F64" s="67">
        <f>IFERROR(INDEX(tbl_Finance[Cost Centre],$A64),"")</f>
        <v/>
      </c>
      <c r="G64" s="68">
        <f>IFERROR(INDEX(tbl_Finance[Ex GST],$A64),"")</f>
        <v/>
      </c>
      <c r="H64" s="66">
        <f>IFERROR(INDEX(tbl_Finance[Defer Start],$A64),"")</f>
        <v/>
      </c>
      <c r="I64" s="66">
        <f>IFERROR(INDEX(tbl_Finance[Defer End],$A64),"")</f>
        <v/>
      </c>
      <c r="J64" s="65">
        <f>IF(OR($H64="",$I64="",$G64=""),"",MAX(1,(YEAR($I64)-YEAR($H64))*12+MONTH($I64)-MONTH($H64)+1))</f>
        <v/>
      </c>
      <c r="K64" s="68">
        <f>IF($J64="","",$G64/$J64)</f>
        <v/>
      </c>
      <c r="L64" s="68">
        <f>IF($J64="",0,$K64*MAX(0,MIN(YEAR($C$3)*12+MONTH($C$3),YEAR($I64)*12+MONTH($I64))-(YEAR($H64)*12+MONTH($H64))+1))</f>
        <v/>
      </c>
      <c r="M64" s="68">
        <f>IF($J64="",0,$K64*MAX(0,MIN(YEAR($C$3)*12+MONTH($C$3)-1,YEAR($I64)*12+MONTH($I64))-(YEAR($H64)*12+MONTH($H64))+1))</f>
        <v/>
      </c>
      <c r="N64" s="68">
        <f>IF(OR($J64="",$B64=""),0,IF(YEAR($B64)*12+MONTH($B64)&lt;=YEAR($C$3)*12+MONTH($C$3),$G64,0))</f>
        <v/>
      </c>
      <c r="O64" s="68">
        <f>IF(OR($J64="",$B64=""),0,IF(YEAR($B64)*12+MONTH($B64)&lt;=YEAR($C$3)*12+MONTH($C$3)-1,$G64,0))</f>
        <v/>
      </c>
      <c r="P64" s="68">
        <f>$M64-$O64</f>
        <v/>
      </c>
      <c r="Q64" s="68">
        <f>($L64-$M64)-($N64-$O64)</f>
        <v/>
      </c>
      <c r="R64" s="68">
        <f>$L64-$N64</f>
        <v/>
      </c>
      <c r="S64" s="67">
        <f>"Finance invoice"</f>
        <v/>
      </c>
      <c r="T64" s="67">
        <f>"Revenue"</f>
        <v/>
      </c>
    </row>
    <row r="65">
      <c r="A65" s="65">
        <f>ROW()-5</f>
        <v/>
      </c>
      <c r="B65" s="66">
        <f>IFERROR(INDEX(tbl_Finance[Date],$A65),"")</f>
        <v/>
      </c>
      <c r="C65" s="67">
        <f>IFERROR(INDEX(tbl_Finance[Xero Invoice No],$A65),"")</f>
        <v/>
      </c>
      <c r="D65" s="67">
        <f>IFERROR(INDEX(tbl_Finance[Client],$A65),"")</f>
        <v/>
      </c>
      <c r="E65" s="67">
        <f>IFERROR(INDEX(tbl_Finance[Job Number],$A65),"")</f>
        <v/>
      </c>
      <c r="F65" s="67">
        <f>IFERROR(INDEX(tbl_Finance[Cost Centre],$A65),"")</f>
        <v/>
      </c>
      <c r="G65" s="68">
        <f>IFERROR(INDEX(tbl_Finance[Ex GST],$A65),"")</f>
        <v/>
      </c>
      <c r="H65" s="66">
        <f>IFERROR(INDEX(tbl_Finance[Defer Start],$A65),"")</f>
        <v/>
      </c>
      <c r="I65" s="66">
        <f>IFERROR(INDEX(tbl_Finance[Defer End],$A65),"")</f>
        <v/>
      </c>
      <c r="J65" s="65">
        <f>IF(OR($H65="",$I65="",$G65=""),"",MAX(1,(YEAR($I65)-YEAR($H65))*12+MONTH($I65)-MONTH($H65)+1))</f>
        <v/>
      </c>
      <c r="K65" s="68">
        <f>IF($J65="","",$G65/$J65)</f>
        <v/>
      </c>
      <c r="L65" s="68">
        <f>IF($J65="",0,$K65*MAX(0,MIN(YEAR($C$3)*12+MONTH($C$3),YEAR($I65)*12+MONTH($I65))-(YEAR($H65)*12+MONTH($H65))+1))</f>
        <v/>
      </c>
      <c r="M65" s="68">
        <f>IF($J65="",0,$K65*MAX(0,MIN(YEAR($C$3)*12+MONTH($C$3)-1,YEAR($I65)*12+MONTH($I65))-(YEAR($H65)*12+MONTH($H65))+1))</f>
        <v/>
      </c>
      <c r="N65" s="68">
        <f>IF(OR($J65="",$B65=""),0,IF(YEAR($B65)*12+MONTH($B65)&lt;=YEAR($C$3)*12+MONTH($C$3),$G65,0))</f>
        <v/>
      </c>
      <c r="O65" s="68">
        <f>IF(OR($J65="",$B65=""),0,IF(YEAR($B65)*12+MONTH($B65)&lt;=YEAR($C$3)*12+MONTH($C$3)-1,$G65,0))</f>
        <v/>
      </c>
      <c r="P65" s="68">
        <f>$M65-$O65</f>
        <v/>
      </c>
      <c r="Q65" s="68">
        <f>($L65-$M65)-($N65-$O65)</f>
        <v/>
      </c>
      <c r="R65" s="68">
        <f>$L65-$N65</f>
        <v/>
      </c>
      <c r="S65" s="67">
        <f>"Finance invoice"</f>
        <v/>
      </c>
      <c r="T65" s="67">
        <f>"Revenue"</f>
        <v/>
      </c>
    </row>
    <row r="66">
      <c r="A66" s="65">
        <f>ROW()-5</f>
        <v/>
      </c>
      <c r="B66" s="66">
        <f>IFERROR(INDEX(tbl_Finance[Date],$A66),"")</f>
        <v/>
      </c>
      <c r="C66" s="67">
        <f>IFERROR(INDEX(tbl_Finance[Xero Invoice No],$A66),"")</f>
        <v/>
      </c>
      <c r="D66" s="67">
        <f>IFERROR(INDEX(tbl_Finance[Client],$A66),"")</f>
        <v/>
      </c>
      <c r="E66" s="67">
        <f>IFERROR(INDEX(tbl_Finance[Job Number],$A66),"")</f>
        <v/>
      </c>
      <c r="F66" s="67">
        <f>IFERROR(INDEX(tbl_Finance[Cost Centre],$A66),"")</f>
        <v/>
      </c>
      <c r="G66" s="68">
        <f>IFERROR(INDEX(tbl_Finance[Ex GST],$A66),"")</f>
        <v/>
      </c>
      <c r="H66" s="66">
        <f>IFERROR(INDEX(tbl_Finance[Defer Start],$A66),"")</f>
        <v/>
      </c>
      <c r="I66" s="66">
        <f>IFERROR(INDEX(tbl_Finance[Defer End],$A66),"")</f>
        <v/>
      </c>
      <c r="J66" s="65">
        <f>IF(OR($H66="",$I66="",$G66=""),"",MAX(1,(YEAR($I66)-YEAR($H66))*12+MONTH($I66)-MONTH($H66)+1))</f>
        <v/>
      </c>
      <c r="K66" s="68">
        <f>IF($J66="","",$G66/$J66)</f>
        <v/>
      </c>
      <c r="L66" s="68">
        <f>IF($J66="",0,$K66*MAX(0,MIN(YEAR($C$3)*12+MONTH($C$3),YEAR($I66)*12+MONTH($I66))-(YEAR($H66)*12+MONTH($H66))+1))</f>
        <v/>
      </c>
      <c r="M66" s="68">
        <f>IF($J66="",0,$K66*MAX(0,MIN(YEAR($C$3)*12+MONTH($C$3)-1,YEAR($I66)*12+MONTH($I66))-(YEAR($H66)*12+MONTH($H66))+1))</f>
        <v/>
      </c>
      <c r="N66" s="68">
        <f>IF(OR($J66="",$B66=""),0,IF(YEAR($B66)*12+MONTH($B66)&lt;=YEAR($C$3)*12+MONTH($C$3),$G66,0))</f>
        <v/>
      </c>
      <c r="O66" s="68">
        <f>IF(OR($J66="",$B66=""),0,IF(YEAR($B66)*12+MONTH($B66)&lt;=YEAR($C$3)*12+MONTH($C$3)-1,$G66,0))</f>
        <v/>
      </c>
      <c r="P66" s="68">
        <f>$M66-$O66</f>
        <v/>
      </c>
      <c r="Q66" s="68">
        <f>($L66-$M66)-($N66-$O66)</f>
        <v/>
      </c>
      <c r="R66" s="68">
        <f>$L66-$N66</f>
        <v/>
      </c>
      <c r="S66" s="67">
        <f>"Finance invoice"</f>
        <v/>
      </c>
      <c r="T66" s="67">
        <f>"Revenue"</f>
        <v/>
      </c>
    </row>
    <row r="67">
      <c r="A67" s="65">
        <f>ROW()-5</f>
        <v/>
      </c>
      <c r="B67" s="66">
        <f>IFERROR(INDEX(tbl_Finance[Date],$A67),"")</f>
        <v/>
      </c>
      <c r="C67" s="67">
        <f>IFERROR(INDEX(tbl_Finance[Xero Invoice No],$A67),"")</f>
        <v/>
      </c>
      <c r="D67" s="67">
        <f>IFERROR(INDEX(tbl_Finance[Client],$A67),"")</f>
        <v/>
      </c>
      <c r="E67" s="67">
        <f>IFERROR(INDEX(tbl_Finance[Job Number],$A67),"")</f>
        <v/>
      </c>
      <c r="F67" s="67">
        <f>IFERROR(INDEX(tbl_Finance[Cost Centre],$A67),"")</f>
        <v/>
      </c>
      <c r="G67" s="68">
        <f>IFERROR(INDEX(tbl_Finance[Ex GST],$A67),"")</f>
        <v/>
      </c>
      <c r="H67" s="66">
        <f>IFERROR(INDEX(tbl_Finance[Defer Start],$A67),"")</f>
        <v/>
      </c>
      <c r="I67" s="66">
        <f>IFERROR(INDEX(tbl_Finance[Defer End],$A67),"")</f>
        <v/>
      </c>
      <c r="J67" s="65">
        <f>IF(OR($H67="",$I67="",$G67=""),"",MAX(1,(YEAR($I67)-YEAR($H67))*12+MONTH($I67)-MONTH($H67)+1))</f>
        <v/>
      </c>
      <c r="K67" s="68">
        <f>IF($J67="","",$G67/$J67)</f>
        <v/>
      </c>
      <c r="L67" s="68">
        <f>IF($J67="",0,$K67*MAX(0,MIN(YEAR($C$3)*12+MONTH($C$3),YEAR($I67)*12+MONTH($I67))-(YEAR($H67)*12+MONTH($H67))+1))</f>
        <v/>
      </c>
      <c r="M67" s="68">
        <f>IF($J67="",0,$K67*MAX(0,MIN(YEAR($C$3)*12+MONTH($C$3)-1,YEAR($I67)*12+MONTH($I67))-(YEAR($H67)*12+MONTH($H67))+1))</f>
        <v/>
      </c>
      <c r="N67" s="68">
        <f>IF(OR($J67="",$B67=""),0,IF(YEAR($B67)*12+MONTH($B67)&lt;=YEAR($C$3)*12+MONTH($C$3),$G67,0))</f>
        <v/>
      </c>
      <c r="O67" s="68">
        <f>IF(OR($J67="",$B67=""),0,IF(YEAR($B67)*12+MONTH($B67)&lt;=YEAR($C$3)*12+MONTH($C$3)-1,$G67,0))</f>
        <v/>
      </c>
      <c r="P67" s="68">
        <f>$M67-$O67</f>
        <v/>
      </c>
      <c r="Q67" s="68">
        <f>($L67-$M67)-($N67-$O67)</f>
        <v/>
      </c>
      <c r="R67" s="68">
        <f>$L67-$N67</f>
        <v/>
      </c>
      <c r="S67" s="67">
        <f>"Finance invoice"</f>
        <v/>
      </c>
      <c r="T67" s="67">
        <f>"Revenue"</f>
        <v/>
      </c>
    </row>
    <row r="68">
      <c r="A68" s="65">
        <f>ROW()-5</f>
        <v/>
      </c>
      <c r="B68" s="66">
        <f>IFERROR(INDEX(tbl_Finance[Date],$A68),"")</f>
        <v/>
      </c>
      <c r="C68" s="67">
        <f>IFERROR(INDEX(tbl_Finance[Xero Invoice No],$A68),"")</f>
        <v/>
      </c>
      <c r="D68" s="67">
        <f>IFERROR(INDEX(tbl_Finance[Client],$A68),"")</f>
        <v/>
      </c>
      <c r="E68" s="67">
        <f>IFERROR(INDEX(tbl_Finance[Job Number],$A68),"")</f>
        <v/>
      </c>
      <c r="F68" s="67">
        <f>IFERROR(INDEX(tbl_Finance[Cost Centre],$A68),"")</f>
        <v/>
      </c>
      <c r="G68" s="68">
        <f>IFERROR(INDEX(tbl_Finance[Ex GST],$A68),"")</f>
        <v/>
      </c>
      <c r="H68" s="66">
        <f>IFERROR(INDEX(tbl_Finance[Defer Start],$A68),"")</f>
        <v/>
      </c>
      <c r="I68" s="66">
        <f>IFERROR(INDEX(tbl_Finance[Defer End],$A68),"")</f>
        <v/>
      </c>
      <c r="J68" s="65">
        <f>IF(OR($H68="",$I68="",$G68=""),"",MAX(1,(YEAR($I68)-YEAR($H68))*12+MONTH($I68)-MONTH($H68)+1))</f>
        <v/>
      </c>
      <c r="K68" s="68">
        <f>IF($J68="","",$G68/$J68)</f>
        <v/>
      </c>
      <c r="L68" s="68">
        <f>IF($J68="",0,$K68*MAX(0,MIN(YEAR($C$3)*12+MONTH($C$3),YEAR($I68)*12+MONTH($I68))-(YEAR($H68)*12+MONTH($H68))+1))</f>
        <v/>
      </c>
      <c r="M68" s="68">
        <f>IF($J68="",0,$K68*MAX(0,MIN(YEAR($C$3)*12+MONTH($C$3)-1,YEAR($I68)*12+MONTH($I68))-(YEAR($H68)*12+MONTH($H68))+1))</f>
        <v/>
      </c>
      <c r="N68" s="68">
        <f>IF(OR($J68="",$B68=""),0,IF(YEAR($B68)*12+MONTH($B68)&lt;=YEAR($C$3)*12+MONTH($C$3),$G68,0))</f>
        <v/>
      </c>
      <c r="O68" s="68">
        <f>IF(OR($J68="",$B68=""),0,IF(YEAR($B68)*12+MONTH($B68)&lt;=YEAR($C$3)*12+MONTH($C$3)-1,$G68,0))</f>
        <v/>
      </c>
      <c r="P68" s="68">
        <f>$M68-$O68</f>
        <v/>
      </c>
      <c r="Q68" s="68">
        <f>($L68-$M68)-($N68-$O68)</f>
        <v/>
      </c>
      <c r="R68" s="68">
        <f>$L68-$N68</f>
        <v/>
      </c>
      <c r="S68" s="67">
        <f>"Finance invoice"</f>
        <v/>
      </c>
      <c r="T68" s="67">
        <f>"Revenue"</f>
        <v/>
      </c>
    </row>
    <row r="69">
      <c r="A69" s="65">
        <f>ROW()-5</f>
        <v/>
      </c>
      <c r="B69" s="66">
        <f>IFERROR(INDEX(tbl_Finance[Date],$A69),"")</f>
        <v/>
      </c>
      <c r="C69" s="67">
        <f>IFERROR(INDEX(tbl_Finance[Xero Invoice No],$A69),"")</f>
        <v/>
      </c>
      <c r="D69" s="67">
        <f>IFERROR(INDEX(tbl_Finance[Client],$A69),"")</f>
        <v/>
      </c>
      <c r="E69" s="67">
        <f>IFERROR(INDEX(tbl_Finance[Job Number],$A69),"")</f>
        <v/>
      </c>
      <c r="F69" s="67">
        <f>IFERROR(INDEX(tbl_Finance[Cost Centre],$A69),"")</f>
        <v/>
      </c>
      <c r="G69" s="68">
        <f>IFERROR(INDEX(tbl_Finance[Ex GST],$A69),"")</f>
        <v/>
      </c>
      <c r="H69" s="66">
        <f>IFERROR(INDEX(tbl_Finance[Defer Start],$A69),"")</f>
        <v/>
      </c>
      <c r="I69" s="66">
        <f>IFERROR(INDEX(tbl_Finance[Defer End],$A69),"")</f>
        <v/>
      </c>
      <c r="J69" s="65">
        <f>IF(OR($H69="",$I69="",$G69=""),"",MAX(1,(YEAR($I69)-YEAR($H69))*12+MONTH($I69)-MONTH($H69)+1))</f>
        <v/>
      </c>
      <c r="K69" s="68">
        <f>IF($J69="","",$G69/$J69)</f>
        <v/>
      </c>
      <c r="L69" s="68">
        <f>IF($J69="",0,$K69*MAX(0,MIN(YEAR($C$3)*12+MONTH($C$3),YEAR($I69)*12+MONTH($I69))-(YEAR($H69)*12+MONTH($H69))+1))</f>
        <v/>
      </c>
      <c r="M69" s="68">
        <f>IF($J69="",0,$K69*MAX(0,MIN(YEAR($C$3)*12+MONTH($C$3)-1,YEAR($I69)*12+MONTH($I69))-(YEAR($H69)*12+MONTH($H69))+1))</f>
        <v/>
      </c>
      <c r="N69" s="68">
        <f>IF(OR($J69="",$B69=""),0,IF(YEAR($B69)*12+MONTH($B69)&lt;=YEAR($C$3)*12+MONTH($C$3),$G69,0))</f>
        <v/>
      </c>
      <c r="O69" s="68">
        <f>IF(OR($J69="",$B69=""),0,IF(YEAR($B69)*12+MONTH($B69)&lt;=YEAR($C$3)*12+MONTH($C$3)-1,$G69,0))</f>
        <v/>
      </c>
      <c r="P69" s="68">
        <f>$M69-$O69</f>
        <v/>
      </c>
      <c r="Q69" s="68">
        <f>($L69-$M69)-($N69-$O69)</f>
        <v/>
      </c>
      <c r="R69" s="68">
        <f>$L69-$N69</f>
        <v/>
      </c>
      <c r="S69" s="67">
        <f>"Finance invoice"</f>
        <v/>
      </c>
      <c r="T69" s="67">
        <f>"Revenue"</f>
        <v/>
      </c>
    </row>
    <row r="70">
      <c r="A70" s="65">
        <f>ROW()-5</f>
        <v/>
      </c>
      <c r="B70" s="66">
        <f>IFERROR(INDEX(tbl_Finance[Date],$A70),"")</f>
        <v/>
      </c>
      <c r="C70" s="67">
        <f>IFERROR(INDEX(tbl_Finance[Xero Invoice No],$A70),"")</f>
        <v/>
      </c>
      <c r="D70" s="67">
        <f>IFERROR(INDEX(tbl_Finance[Client],$A70),"")</f>
        <v/>
      </c>
      <c r="E70" s="67">
        <f>IFERROR(INDEX(tbl_Finance[Job Number],$A70),"")</f>
        <v/>
      </c>
      <c r="F70" s="67">
        <f>IFERROR(INDEX(tbl_Finance[Cost Centre],$A70),"")</f>
        <v/>
      </c>
      <c r="G70" s="68">
        <f>IFERROR(INDEX(tbl_Finance[Ex GST],$A70),"")</f>
        <v/>
      </c>
      <c r="H70" s="66">
        <f>IFERROR(INDEX(tbl_Finance[Defer Start],$A70),"")</f>
        <v/>
      </c>
      <c r="I70" s="66">
        <f>IFERROR(INDEX(tbl_Finance[Defer End],$A70),"")</f>
        <v/>
      </c>
      <c r="J70" s="65">
        <f>IF(OR($H70="",$I70="",$G70=""),"",MAX(1,(YEAR($I70)-YEAR($H70))*12+MONTH($I70)-MONTH($H70)+1))</f>
        <v/>
      </c>
      <c r="K70" s="68">
        <f>IF($J70="","",$G70/$J70)</f>
        <v/>
      </c>
      <c r="L70" s="68">
        <f>IF($J70="",0,$K70*MAX(0,MIN(YEAR($C$3)*12+MONTH($C$3),YEAR($I70)*12+MONTH($I70))-(YEAR($H70)*12+MONTH($H70))+1))</f>
        <v/>
      </c>
      <c r="M70" s="68">
        <f>IF($J70="",0,$K70*MAX(0,MIN(YEAR($C$3)*12+MONTH($C$3)-1,YEAR($I70)*12+MONTH($I70))-(YEAR($H70)*12+MONTH($H70))+1))</f>
        <v/>
      </c>
      <c r="N70" s="68">
        <f>IF(OR($J70="",$B70=""),0,IF(YEAR($B70)*12+MONTH($B70)&lt;=YEAR($C$3)*12+MONTH($C$3),$G70,0))</f>
        <v/>
      </c>
      <c r="O70" s="68">
        <f>IF(OR($J70="",$B70=""),0,IF(YEAR($B70)*12+MONTH($B70)&lt;=YEAR($C$3)*12+MONTH($C$3)-1,$G70,0))</f>
        <v/>
      </c>
      <c r="P70" s="68">
        <f>$M70-$O70</f>
        <v/>
      </c>
      <c r="Q70" s="68">
        <f>($L70-$M70)-($N70-$O70)</f>
        <v/>
      </c>
      <c r="R70" s="68">
        <f>$L70-$N70</f>
        <v/>
      </c>
      <c r="S70" s="67">
        <f>"Finance invoice"</f>
        <v/>
      </c>
      <c r="T70" s="67">
        <f>"Revenue"</f>
        <v/>
      </c>
    </row>
    <row r="71">
      <c r="A71" s="65">
        <f>ROW()-5</f>
        <v/>
      </c>
      <c r="B71" s="66">
        <f>IFERROR(INDEX(tbl_Finance[Date],$A71),"")</f>
        <v/>
      </c>
      <c r="C71" s="67">
        <f>IFERROR(INDEX(tbl_Finance[Xero Invoice No],$A71),"")</f>
        <v/>
      </c>
      <c r="D71" s="67">
        <f>IFERROR(INDEX(tbl_Finance[Client],$A71),"")</f>
        <v/>
      </c>
      <c r="E71" s="67">
        <f>IFERROR(INDEX(tbl_Finance[Job Number],$A71),"")</f>
        <v/>
      </c>
      <c r="F71" s="67">
        <f>IFERROR(INDEX(tbl_Finance[Cost Centre],$A71),"")</f>
        <v/>
      </c>
      <c r="G71" s="68">
        <f>IFERROR(INDEX(tbl_Finance[Ex GST],$A71),"")</f>
        <v/>
      </c>
      <c r="H71" s="66">
        <f>IFERROR(INDEX(tbl_Finance[Defer Start],$A71),"")</f>
        <v/>
      </c>
      <c r="I71" s="66">
        <f>IFERROR(INDEX(tbl_Finance[Defer End],$A71),"")</f>
        <v/>
      </c>
      <c r="J71" s="65">
        <f>IF(OR($H71="",$I71="",$G71=""),"",MAX(1,(YEAR($I71)-YEAR($H71))*12+MONTH($I71)-MONTH($H71)+1))</f>
        <v/>
      </c>
      <c r="K71" s="68">
        <f>IF($J71="","",$G71/$J71)</f>
        <v/>
      </c>
      <c r="L71" s="68">
        <f>IF($J71="",0,$K71*MAX(0,MIN(YEAR($C$3)*12+MONTH($C$3),YEAR($I71)*12+MONTH($I71))-(YEAR($H71)*12+MONTH($H71))+1))</f>
        <v/>
      </c>
      <c r="M71" s="68">
        <f>IF($J71="",0,$K71*MAX(0,MIN(YEAR($C$3)*12+MONTH($C$3)-1,YEAR($I71)*12+MONTH($I71))-(YEAR($H71)*12+MONTH($H71))+1))</f>
        <v/>
      </c>
      <c r="N71" s="68">
        <f>IF(OR($J71="",$B71=""),0,IF(YEAR($B71)*12+MONTH($B71)&lt;=YEAR($C$3)*12+MONTH($C$3),$G71,0))</f>
        <v/>
      </c>
      <c r="O71" s="68">
        <f>IF(OR($J71="",$B71=""),0,IF(YEAR($B71)*12+MONTH($B71)&lt;=YEAR($C$3)*12+MONTH($C$3)-1,$G71,0))</f>
        <v/>
      </c>
      <c r="P71" s="68">
        <f>$M71-$O71</f>
        <v/>
      </c>
      <c r="Q71" s="68">
        <f>($L71-$M71)-($N71-$O71)</f>
        <v/>
      </c>
      <c r="R71" s="68">
        <f>$L71-$N71</f>
        <v/>
      </c>
      <c r="S71" s="67">
        <f>"Finance invoice"</f>
        <v/>
      </c>
      <c r="T71" s="67">
        <f>"Revenue"</f>
        <v/>
      </c>
    </row>
    <row r="72">
      <c r="A72" s="65">
        <f>ROW()-5</f>
        <v/>
      </c>
      <c r="B72" s="66">
        <f>IFERROR(INDEX(tbl_Finance[Date],$A72),"")</f>
        <v/>
      </c>
      <c r="C72" s="67">
        <f>IFERROR(INDEX(tbl_Finance[Xero Invoice No],$A72),"")</f>
        <v/>
      </c>
      <c r="D72" s="67">
        <f>IFERROR(INDEX(tbl_Finance[Client],$A72),"")</f>
        <v/>
      </c>
      <c r="E72" s="67">
        <f>IFERROR(INDEX(tbl_Finance[Job Number],$A72),"")</f>
        <v/>
      </c>
      <c r="F72" s="67">
        <f>IFERROR(INDEX(tbl_Finance[Cost Centre],$A72),"")</f>
        <v/>
      </c>
      <c r="G72" s="68">
        <f>IFERROR(INDEX(tbl_Finance[Ex GST],$A72),"")</f>
        <v/>
      </c>
      <c r="H72" s="66">
        <f>IFERROR(INDEX(tbl_Finance[Defer Start],$A72),"")</f>
        <v/>
      </c>
      <c r="I72" s="66">
        <f>IFERROR(INDEX(tbl_Finance[Defer End],$A72),"")</f>
        <v/>
      </c>
      <c r="J72" s="65">
        <f>IF(OR($H72="",$I72="",$G72=""),"",MAX(1,(YEAR($I72)-YEAR($H72))*12+MONTH($I72)-MONTH($H72)+1))</f>
        <v/>
      </c>
      <c r="K72" s="68">
        <f>IF($J72="","",$G72/$J72)</f>
        <v/>
      </c>
      <c r="L72" s="68">
        <f>IF($J72="",0,$K72*MAX(0,MIN(YEAR($C$3)*12+MONTH($C$3),YEAR($I72)*12+MONTH($I72))-(YEAR($H72)*12+MONTH($H72))+1))</f>
        <v/>
      </c>
      <c r="M72" s="68">
        <f>IF($J72="",0,$K72*MAX(0,MIN(YEAR($C$3)*12+MONTH($C$3)-1,YEAR($I72)*12+MONTH($I72))-(YEAR($H72)*12+MONTH($H72))+1))</f>
        <v/>
      </c>
      <c r="N72" s="68">
        <f>IF(OR($J72="",$B72=""),0,IF(YEAR($B72)*12+MONTH($B72)&lt;=YEAR($C$3)*12+MONTH($C$3),$G72,0))</f>
        <v/>
      </c>
      <c r="O72" s="68">
        <f>IF(OR($J72="",$B72=""),0,IF(YEAR($B72)*12+MONTH($B72)&lt;=YEAR($C$3)*12+MONTH($C$3)-1,$G72,0))</f>
        <v/>
      </c>
      <c r="P72" s="68">
        <f>$M72-$O72</f>
        <v/>
      </c>
      <c r="Q72" s="68">
        <f>($L72-$M72)-($N72-$O72)</f>
        <v/>
      </c>
      <c r="R72" s="68">
        <f>$L72-$N72</f>
        <v/>
      </c>
      <c r="S72" s="67">
        <f>"Finance invoice"</f>
        <v/>
      </c>
      <c r="T72" s="67">
        <f>"Revenue"</f>
        <v/>
      </c>
    </row>
    <row r="73">
      <c r="A73" s="65">
        <f>ROW()-5</f>
        <v/>
      </c>
      <c r="B73" s="66">
        <f>IFERROR(INDEX(tbl_Finance[Date],$A73),"")</f>
        <v/>
      </c>
      <c r="C73" s="67">
        <f>IFERROR(INDEX(tbl_Finance[Xero Invoice No],$A73),"")</f>
        <v/>
      </c>
      <c r="D73" s="67">
        <f>IFERROR(INDEX(tbl_Finance[Client],$A73),"")</f>
        <v/>
      </c>
      <c r="E73" s="67">
        <f>IFERROR(INDEX(tbl_Finance[Job Number],$A73),"")</f>
        <v/>
      </c>
      <c r="F73" s="67">
        <f>IFERROR(INDEX(tbl_Finance[Cost Centre],$A73),"")</f>
        <v/>
      </c>
      <c r="G73" s="68">
        <f>IFERROR(INDEX(tbl_Finance[Ex GST],$A73),"")</f>
        <v/>
      </c>
      <c r="H73" s="66">
        <f>IFERROR(INDEX(tbl_Finance[Defer Start],$A73),"")</f>
        <v/>
      </c>
      <c r="I73" s="66">
        <f>IFERROR(INDEX(tbl_Finance[Defer End],$A73),"")</f>
        <v/>
      </c>
      <c r="J73" s="65">
        <f>IF(OR($H73="",$I73="",$G73=""),"",MAX(1,(YEAR($I73)-YEAR($H73))*12+MONTH($I73)-MONTH($H73)+1))</f>
        <v/>
      </c>
      <c r="K73" s="68">
        <f>IF($J73="","",$G73/$J73)</f>
        <v/>
      </c>
      <c r="L73" s="68">
        <f>IF($J73="",0,$K73*MAX(0,MIN(YEAR($C$3)*12+MONTH($C$3),YEAR($I73)*12+MONTH($I73))-(YEAR($H73)*12+MONTH($H73))+1))</f>
        <v/>
      </c>
      <c r="M73" s="68">
        <f>IF($J73="",0,$K73*MAX(0,MIN(YEAR($C$3)*12+MONTH($C$3)-1,YEAR($I73)*12+MONTH($I73))-(YEAR($H73)*12+MONTH($H73))+1))</f>
        <v/>
      </c>
      <c r="N73" s="68">
        <f>IF(OR($J73="",$B73=""),0,IF(YEAR($B73)*12+MONTH($B73)&lt;=YEAR($C$3)*12+MONTH($C$3),$G73,0))</f>
        <v/>
      </c>
      <c r="O73" s="68">
        <f>IF(OR($J73="",$B73=""),0,IF(YEAR($B73)*12+MONTH($B73)&lt;=YEAR($C$3)*12+MONTH($C$3)-1,$G73,0))</f>
        <v/>
      </c>
      <c r="P73" s="68">
        <f>$M73-$O73</f>
        <v/>
      </c>
      <c r="Q73" s="68">
        <f>($L73-$M73)-($N73-$O73)</f>
        <v/>
      </c>
      <c r="R73" s="68">
        <f>$L73-$N73</f>
        <v/>
      </c>
      <c r="S73" s="67">
        <f>"Finance invoice"</f>
        <v/>
      </c>
      <c r="T73" s="67">
        <f>"Revenue"</f>
        <v/>
      </c>
    </row>
    <row r="74">
      <c r="A74" s="65">
        <f>ROW()-5</f>
        <v/>
      </c>
      <c r="B74" s="66">
        <f>IFERROR(INDEX(tbl_Finance[Date],$A74),"")</f>
        <v/>
      </c>
      <c r="C74" s="67">
        <f>IFERROR(INDEX(tbl_Finance[Xero Invoice No],$A74),"")</f>
        <v/>
      </c>
      <c r="D74" s="67">
        <f>IFERROR(INDEX(tbl_Finance[Client],$A74),"")</f>
        <v/>
      </c>
      <c r="E74" s="67">
        <f>IFERROR(INDEX(tbl_Finance[Job Number],$A74),"")</f>
        <v/>
      </c>
      <c r="F74" s="67">
        <f>IFERROR(INDEX(tbl_Finance[Cost Centre],$A74),"")</f>
        <v/>
      </c>
      <c r="G74" s="68">
        <f>IFERROR(INDEX(tbl_Finance[Ex GST],$A74),"")</f>
        <v/>
      </c>
      <c r="H74" s="66">
        <f>IFERROR(INDEX(tbl_Finance[Defer Start],$A74),"")</f>
        <v/>
      </c>
      <c r="I74" s="66">
        <f>IFERROR(INDEX(tbl_Finance[Defer End],$A74),"")</f>
        <v/>
      </c>
      <c r="J74" s="65">
        <f>IF(OR($H74="",$I74="",$G74=""),"",MAX(1,(YEAR($I74)-YEAR($H74))*12+MONTH($I74)-MONTH($H74)+1))</f>
        <v/>
      </c>
      <c r="K74" s="68">
        <f>IF($J74="","",$G74/$J74)</f>
        <v/>
      </c>
      <c r="L74" s="68">
        <f>IF($J74="",0,$K74*MAX(0,MIN(YEAR($C$3)*12+MONTH($C$3),YEAR($I74)*12+MONTH($I74))-(YEAR($H74)*12+MONTH($H74))+1))</f>
        <v/>
      </c>
      <c r="M74" s="68">
        <f>IF($J74="",0,$K74*MAX(0,MIN(YEAR($C$3)*12+MONTH($C$3)-1,YEAR($I74)*12+MONTH($I74))-(YEAR($H74)*12+MONTH($H74))+1))</f>
        <v/>
      </c>
      <c r="N74" s="68">
        <f>IF(OR($J74="",$B74=""),0,IF(YEAR($B74)*12+MONTH($B74)&lt;=YEAR($C$3)*12+MONTH($C$3),$G74,0))</f>
        <v/>
      </c>
      <c r="O74" s="68">
        <f>IF(OR($J74="",$B74=""),0,IF(YEAR($B74)*12+MONTH($B74)&lt;=YEAR($C$3)*12+MONTH($C$3)-1,$G74,0))</f>
        <v/>
      </c>
      <c r="P74" s="68">
        <f>$M74-$O74</f>
        <v/>
      </c>
      <c r="Q74" s="68">
        <f>($L74-$M74)-($N74-$O74)</f>
        <v/>
      </c>
      <c r="R74" s="68">
        <f>$L74-$N74</f>
        <v/>
      </c>
      <c r="S74" s="67">
        <f>"Finance invoice"</f>
        <v/>
      </c>
      <c r="T74" s="67">
        <f>"Revenue"</f>
        <v/>
      </c>
    </row>
    <row r="75">
      <c r="A75" s="65">
        <f>ROW()-5</f>
        <v/>
      </c>
      <c r="B75" s="66">
        <f>IFERROR(INDEX(tbl_Finance[Date],$A75),"")</f>
        <v/>
      </c>
      <c r="C75" s="67">
        <f>IFERROR(INDEX(tbl_Finance[Xero Invoice No],$A75),"")</f>
        <v/>
      </c>
      <c r="D75" s="67">
        <f>IFERROR(INDEX(tbl_Finance[Client],$A75),"")</f>
        <v/>
      </c>
      <c r="E75" s="67">
        <f>IFERROR(INDEX(tbl_Finance[Job Number],$A75),"")</f>
        <v/>
      </c>
      <c r="F75" s="67">
        <f>IFERROR(INDEX(tbl_Finance[Cost Centre],$A75),"")</f>
        <v/>
      </c>
      <c r="G75" s="68">
        <f>IFERROR(INDEX(tbl_Finance[Ex GST],$A75),"")</f>
        <v/>
      </c>
      <c r="H75" s="66">
        <f>IFERROR(INDEX(tbl_Finance[Defer Start],$A75),"")</f>
        <v/>
      </c>
      <c r="I75" s="66">
        <f>IFERROR(INDEX(tbl_Finance[Defer End],$A75),"")</f>
        <v/>
      </c>
      <c r="J75" s="65">
        <f>IF(OR($H75="",$I75="",$G75=""),"",MAX(1,(YEAR($I75)-YEAR($H75))*12+MONTH($I75)-MONTH($H75)+1))</f>
        <v/>
      </c>
      <c r="K75" s="68">
        <f>IF($J75="","",$G75/$J75)</f>
        <v/>
      </c>
      <c r="L75" s="68">
        <f>IF($J75="",0,$K75*MAX(0,MIN(YEAR($C$3)*12+MONTH($C$3),YEAR($I75)*12+MONTH($I75))-(YEAR($H75)*12+MONTH($H75))+1))</f>
        <v/>
      </c>
      <c r="M75" s="68">
        <f>IF($J75="",0,$K75*MAX(0,MIN(YEAR($C$3)*12+MONTH($C$3)-1,YEAR($I75)*12+MONTH($I75))-(YEAR($H75)*12+MONTH($H75))+1))</f>
        <v/>
      </c>
      <c r="N75" s="68">
        <f>IF(OR($J75="",$B75=""),0,IF(YEAR($B75)*12+MONTH($B75)&lt;=YEAR($C$3)*12+MONTH($C$3),$G75,0))</f>
        <v/>
      </c>
      <c r="O75" s="68">
        <f>IF(OR($J75="",$B75=""),0,IF(YEAR($B75)*12+MONTH($B75)&lt;=YEAR($C$3)*12+MONTH($C$3)-1,$G75,0))</f>
        <v/>
      </c>
      <c r="P75" s="68">
        <f>$M75-$O75</f>
        <v/>
      </c>
      <c r="Q75" s="68">
        <f>($L75-$M75)-($N75-$O75)</f>
        <v/>
      </c>
      <c r="R75" s="68">
        <f>$L75-$N75</f>
        <v/>
      </c>
      <c r="S75" s="67">
        <f>"Finance invoice"</f>
        <v/>
      </c>
      <c r="T75" s="67">
        <f>"Revenue"</f>
        <v/>
      </c>
    </row>
    <row r="76">
      <c r="A76" s="65">
        <f>ROW()-5</f>
        <v/>
      </c>
      <c r="B76" s="66">
        <f>IFERROR(INDEX(tbl_Finance[Date],$A76),"")</f>
        <v/>
      </c>
      <c r="C76" s="67">
        <f>IFERROR(INDEX(tbl_Finance[Xero Invoice No],$A76),"")</f>
        <v/>
      </c>
      <c r="D76" s="67">
        <f>IFERROR(INDEX(tbl_Finance[Client],$A76),"")</f>
        <v/>
      </c>
      <c r="E76" s="67">
        <f>IFERROR(INDEX(tbl_Finance[Job Number],$A76),"")</f>
        <v/>
      </c>
      <c r="F76" s="67">
        <f>IFERROR(INDEX(tbl_Finance[Cost Centre],$A76),"")</f>
        <v/>
      </c>
      <c r="G76" s="68">
        <f>IFERROR(INDEX(tbl_Finance[Ex GST],$A76),"")</f>
        <v/>
      </c>
      <c r="H76" s="66">
        <f>IFERROR(INDEX(tbl_Finance[Defer Start],$A76),"")</f>
        <v/>
      </c>
      <c r="I76" s="66">
        <f>IFERROR(INDEX(tbl_Finance[Defer End],$A76),"")</f>
        <v/>
      </c>
      <c r="J76" s="65">
        <f>IF(OR($H76="",$I76="",$G76=""),"",MAX(1,(YEAR($I76)-YEAR($H76))*12+MONTH($I76)-MONTH($H76)+1))</f>
        <v/>
      </c>
      <c r="K76" s="68">
        <f>IF($J76="","",$G76/$J76)</f>
        <v/>
      </c>
      <c r="L76" s="68">
        <f>IF($J76="",0,$K76*MAX(0,MIN(YEAR($C$3)*12+MONTH($C$3),YEAR($I76)*12+MONTH($I76))-(YEAR($H76)*12+MONTH($H76))+1))</f>
        <v/>
      </c>
      <c r="M76" s="68">
        <f>IF($J76="",0,$K76*MAX(0,MIN(YEAR($C$3)*12+MONTH($C$3)-1,YEAR($I76)*12+MONTH($I76))-(YEAR($H76)*12+MONTH($H76))+1))</f>
        <v/>
      </c>
      <c r="N76" s="68">
        <f>IF(OR($J76="",$B76=""),0,IF(YEAR($B76)*12+MONTH($B76)&lt;=YEAR($C$3)*12+MONTH($C$3),$G76,0))</f>
        <v/>
      </c>
      <c r="O76" s="68">
        <f>IF(OR($J76="",$B76=""),0,IF(YEAR($B76)*12+MONTH($B76)&lt;=YEAR($C$3)*12+MONTH($C$3)-1,$G76,0))</f>
        <v/>
      </c>
      <c r="P76" s="68">
        <f>$M76-$O76</f>
        <v/>
      </c>
      <c r="Q76" s="68">
        <f>($L76-$M76)-($N76-$O76)</f>
        <v/>
      </c>
      <c r="R76" s="68">
        <f>$L76-$N76</f>
        <v/>
      </c>
      <c r="S76" s="67">
        <f>"Finance invoice"</f>
        <v/>
      </c>
      <c r="T76" s="67">
        <f>"Revenue"</f>
        <v/>
      </c>
    </row>
    <row r="77">
      <c r="A77" s="65">
        <f>ROW()-5</f>
        <v/>
      </c>
      <c r="B77" s="66">
        <f>IFERROR(INDEX(tbl_Finance[Date],$A77),"")</f>
        <v/>
      </c>
      <c r="C77" s="67">
        <f>IFERROR(INDEX(tbl_Finance[Xero Invoice No],$A77),"")</f>
        <v/>
      </c>
      <c r="D77" s="67">
        <f>IFERROR(INDEX(tbl_Finance[Client],$A77),"")</f>
        <v/>
      </c>
      <c r="E77" s="67">
        <f>IFERROR(INDEX(tbl_Finance[Job Number],$A77),"")</f>
        <v/>
      </c>
      <c r="F77" s="67">
        <f>IFERROR(INDEX(tbl_Finance[Cost Centre],$A77),"")</f>
        <v/>
      </c>
      <c r="G77" s="68">
        <f>IFERROR(INDEX(tbl_Finance[Ex GST],$A77),"")</f>
        <v/>
      </c>
      <c r="H77" s="66">
        <f>IFERROR(INDEX(tbl_Finance[Defer Start],$A77),"")</f>
        <v/>
      </c>
      <c r="I77" s="66">
        <f>IFERROR(INDEX(tbl_Finance[Defer End],$A77),"")</f>
        <v/>
      </c>
      <c r="J77" s="65">
        <f>IF(OR($H77="",$I77="",$G77=""),"",MAX(1,(YEAR($I77)-YEAR($H77))*12+MONTH($I77)-MONTH($H77)+1))</f>
        <v/>
      </c>
      <c r="K77" s="68">
        <f>IF($J77="","",$G77/$J77)</f>
        <v/>
      </c>
      <c r="L77" s="68">
        <f>IF($J77="",0,$K77*MAX(0,MIN(YEAR($C$3)*12+MONTH($C$3),YEAR($I77)*12+MONTH($I77))-(YEAR($H77)*12+MONTH($H77))+1))</f>
        <v/>
      </c>
      <c r="M77" s="68">
        <f>IF($J77="",0,$K77*MAX(0,MIN(YEAR($C$3)*12+MONTH($C$3)-1,YEAR($I77)*12+MONTH($I77))-(YEAR($H77)*12+MONTH($H77))+1))</f>
        <v/>
      </c>
      <c r="N77" s="68">
        <f>IF(OR($J77="",$B77=""),0,IF(YEAR($B77)*12+MONTH($B77)&lt;=YEAR($C$3)*12+MONTH($C$3),$G77,0))</f>
        <v/>
      </c>
      <c r="O77" s="68">
        <f>IF(OR($J77="",$B77=""),0,IF(YEAR($B77)*12+MONTH($B77)&lt;=YEAR($C$3)*12+MONTH($C$3)-1,$G77,0))</f>
        <v/>
      </c>
      <c r="P77" s="68">
        <f>$M77-$O77</f>
        <v/>
      </c>
      <c r="Q77" s="68">
        <f>($L77-$M77)-($N77-$O77)</f>
        <v/>
      </c>
      <c r="R77" s="68">
        <f>$L77-$N77</f>
        <v/>
      </c>
      <c r="S77" s="67">
        <f>"Finance invoice"</f>
        <v/>
      </c>
      <c r="T77" s="67">
        <f>"Revenue"</f>
        <v/>
      </c>
    </row>
    <row r="78">
      <c r="A78" s="65">
        <f>ROW()-5</f>
        <v/>
      </c>
      <c r="B78" s="66">
        <f>IFERROR(INDEX(tbl_Finance[Date],$A78),"")</f>
        <v/>
      </c>
      <c r="C78" s="67">
        <f>IFERROR(INDEX(tbl_Finance[Xero Invoice No],$A78),"")</f>
        <v/>
      </c>
      <c r="D78" s="67">
        <f>IFERROR(INDEX(tbl_Finance[Client],$A78),"")</f>
        <v/>
      </c>
      <c r="E78" s="67">
        <f>IFERROR(INDEX(tbl_Finance[Job Number],$A78),"")</f>
        <v/>
      </c>
      <c r="F78" s="67">
        <f>IFERROR(INDEX(tbl_Finance[Cost Centre],$A78),"")</f>
        <v/>
      </c>
      <c r="G78" s="68">
        <f>IFERROR(INDEX(tbl_Finance[Ex GST],$A78),"")</f>
        <v/>
      </c>
      <c r="H78" s="66">
        <f>IFERROR(INDEX(tbl_Finance[Defer Start],$A78),"")</f>
        <v/>
      </c>
      <c r="I78" s="66">
        <f>IFERROR(INDEX(tbl_Finance[Defer End],$A78),"")</f>
        <v/>
      </c>
      <c r="J78" s="65">
        <f>IF(OR($H78="",$I78="",$G78=""),"",MAX(1,(YEAR($I78)-YEAR($H78))*12+MONTH($I78)-MONTH($H78)+1))</f>
        <v/>
      </c>
      <c r="K78" s="68">
        <f>IF($J78="","",$G78/$J78)</f>
        <v/>
      </c>
      <c r="L78" s="68">
        <f>IF($J78="",0,$K78*MAX(0,MIN(YEAR($C$3)*12+MONTH($C$3),YEAR($I78)*12+MONTH($I78))-(YEAR($H78)*12+MONTH($H78))+1))</f>
        <v/>
      </c>
      <c r="M78" s="68">
        <f>IF($J78="",0,$K78*MAX(0,MIN(YEAR($C$3)*12+MONTH($C$3)-1,YEAR($I78)*12+MONTH($I78))-(YEAR($H78)*12+MONTH($H78))+1))</f>
        <v/>
      </c>
      <c r="N78" s="68">
        <f>IF(OR($J78="",$B78=""),0,IF(YEAR($B78)*12+MONTH($B78)&lt;=YEAR($C$3)*12+MONTH($C$3),$G78,0))</f>
        <v/>
      </c>
      <c r="O78" s="68">
        <f>IF(OR($J78="",$B78=""),0,IF(YEAR($B78)*12+MONTH($B78)&lt;=YEAR($C$3)*12+MONTH($C$3)-1,$G78,0))</f>
        <v/>
      </c>
      <c r="P78" s="68">
        <f>$M78-$O78</f>
        <v/>
      </c>
      <c r="Q78" s="68">
        <f>($L78-$M78)-($N78-$O78)</f>
        <v/>
      </c>
      <c r="R78" s="68">
        <f>$L78-$N78</f>
        <v/>
      </c>
      <c r="S78" s="67">
        <f>"Finance invoice"</f>
        <v/>
      </c>
      <c r="T78" s="67">
        <f>"Revenue"</f>
        <v/>
      </c>
    </row>
    <row r="79">
      <c r="A79" s="65">
        <f>ROW()-5</f>
        <v/>
      </c>
      <c r="B79" s="66">
        <f>IFERROR(INDEX(tbl_Finance[Date],$A79),"")</f>
        <v/>
      </c>
      <c r="C79" s="67">
        <f>IFERROR(INDEX(tbl_Finance[Xero Invoice No],$A79),"")</f>
        <v/>
      </c>
      <c r="D79" s="67">
        <f>IFERROR(INDEX(tbl_Finance[Client],$A79),"")</f>
        <v/>
      </c>
      <c r="E79" s="67">
        <f>IFERROR(INDEX(tbl_Finance[Job Number],$A79),"")</f>
        <v/>
      </c>
      <c r="F79" s="67">
        <f>IFERROR(INDEX(tbl_Finance[Cost Centre],$A79),"")</f>
        <v/>
      </c>
      <c r="G79" s="68">
        <f>IFERROR(INDEX(tbl_Finance[Ex GST],$A79),"")</f>
        <v/>
      </c>
      <c r="H79" s="66">
        <f>IFERROR(INDEX(tbl_Finance[Defer Start],$A79),"")</f>
        <v/>
      </c>
      <c r="I79" s="66">
        <f>IFERROR(INDEX(tbl_Finance[Defer End],$A79),"")</f>
        <v/>
      </c>
      <c r="J79" s="65">
        <f>IF(OR($H79="",$I79="",$G79=""),"",MAX(1,(YEAR($I79)-YEAR($H79))*12+MONTH($I79)-MONTH($H79)+1))</f>
        <v/>
      </c>
      <c r="K79" s="68">
        <f>IF($J79="","",$G79/$J79)</f>
        <v/>
      </c>
      <c r="L79" s="68">
        <f>IF($J79="",0,$K79*MAX(0,MIN(YEAR($C$3)*12+MONTH($C$3),YEAR($I79)*12+MONTH($I79))-(YEAR($H79)*12+MONTH($H79))+1))</f>
        <v/>
      </c>
      <c r="M79" s="68">
        <f>IF($J79="",0,$K79*MAX(0,MIN(YEAR($C$3)*12+MONTH($C$3)-1,YEAR($I79)*12+MONTH($I79))-(YEAR($H79)*12+MONTH($H79))+1))</f>
        <v/>
      </c>
      <c r="N79" s="68">
        <f>IF(OR($J79="",$B79=""),0,IF(YEAR($B79)*12+MONTH($B79)&lt;=YEAR($C$3)*12+MONTH($C$3),$G79,0))</f>
        <v/>
      </c>
      <c r="O79" s="68">
        <f>IF(OR($J79="",$B79=""),0,IF(YEAR($B79)*12+MONTH($B79)&lt;=YEAR($C$3)*12+MONTH($C$3)-1,$G79,0))</f>
        <v/>
      </c>
      <c r="P79" s="68">
        <f>$M79-$O79</f>
        <v/>
      </c>
      <c r="Q79" s="68">
        <f>($L79-$M79)-($N79-$O79)</f>
        <v/>
      </c>
      <c r="R79" s="68">
        <f>$L79-$N79</f>
        <v/>
      </c>
      <c r="S79" s="67">
        <f>"Finance invoice"</f>
        <v/>
      </c>
      <c r="T79" s="67">
        <f>"Revenue"</f>
        <v/>
      </c>
    </row>
    <row r="80">
      <c r="A80" s="65">
        <f>ROW()-5</f>
        <v/>
      </c>
      <c r="B80" s="66">
        <f>IFERROR(INDEX(tbl_Finance[Date],$A80),"")</f>
        <v/>
      </c>
      <c r="C80" s="67">
        <f>IFERROR(INDEX(tbl_Finance[Xero Invoice No],$A80),"")</f>
        <v/>
      </c>
      <c r="D80" s="67">
        <f>IFERROR(INDEX(tbl_Finance[Client],$A80),"")</f>
        <v/>
      </c>
      <c r="E80" s="67">
        <f>IFERROR(INDEX(tbl_Finance[Job Number],$A80),"")</f>
        <v/>
      </c>
      <c r="F80" s="67">
        <f>IFERROR(INDEX(tbl_Finance[Cost Centre],$A80),"")</f>
        <v/>
      </c>
      <c r="G80" s="68">
        <f>IFERROR(INDEX(tbl_Finance[Ex GST],$A80),"")</f>
        <v/>
      </c>
      <c r="H80" s="66">
        <f>IFERROR(INDEX(tbl_Finance[Defer Start],$A80),"")</f>
        <v/>
      </c>
      <c r="I80" s="66">
        <f>IFERROR(INDEX(tbl_Finance[Defer End],$A80),"")</f>
        <v/>
      </c>
      <c r="J80" s="65">
        <f>IF(OR($H80="",$I80="",$G80=""),"",MAX(1,(YEAR($I80)-YEAR($H80))*12+MONTH($I80)-MONTH($H80)+1))</f>
        <v/>
      </c>
      <c r="K80" s="68">
        <f>IF($J80="","",$G80/$J80)</f>
        <v/>
      </c>
      <c r="L80" s="68">
        <f>IF($J80="",0,$K80*MAX(0,MIN(YEAR($C$3)*12+MONTH($C$3),YEAR($I80)*12+MONTH($I80))-(YEAR($H80)*12+MONTH($H80))+1))</f>
        <v/>
      </c>
      <c r="M80" s="68">
        <f>IF($J80="",0,$K80*MAX(0,MIN(YEAR($C$3)*12+MONTH($C$3)-1,YEAR($I80)*12+MONTH($I80))-(YEAR($H80)*12+MONTH($H80))+1))</f>
        <v/>
      </c>
      <c r="N80" s="68">
        <f>IF(OR($J80="",$B80=""),0,IF(YEAR($B80)*12+MONTH($B80)&lt;=YEAR($C$3)*12+MONTH($C$3),$G80,0))</f>
        <v/>
      </c>
      <c r="O80" s="68">
        <f>IF(OR($J80="",$B80=""),0,IF(YEAR($B80)*12+MONTH($B80)&lt;=YEAR($C$3)*12+MONTH($C$3)-1,$G80,0))</f>
        <v/>
      </c>
      <c r="P80" s="68">
        <f>$M80-$O80</f>
        <v/>
      </c>
      <c r="Q80" s="68">
        <f>($L80-$M80)-($N80-$O80)</f>
        <v/>
      </c>
      <c r="R80" s="68">
        <f>$L80-$N80</f>
        <v/>
      </c>
      <c r="S80" s="67">
        <f>"Finance invoice"</f>
        <v/>
      </c>
      <c r="T80" s="67">
        <f>"Revenue"</f>
        <v/>
      </c>
    </row>
    <row r="81">
      <c r="A81" s="65">
        <f>ROW()-5</f>
        <v/>
      </c>
      <c r="B81" s="66">
        <f>IFERROR(INDEX(tbl_Finance[Date],$A81),"")</f>
        <v/>
      </c>
      <c r="C81" s="67">
        <f>IFERROR(INDEX(tbl_Finance[Xero Invoice No],$A81),"")</f>
        <v/>
      </c>
      <c r="D81" s="67">
        <f>IFERROR(INDEX(tbl_Finance[Client],$A81),"")</f>
        <v/>
      </c>
      <c r="E81" s="67">
        <f>IFERROR(INDEX(tbl_Finance[Job Number],$A81),"")</f>
        <v/>
      </c>
      <c r="F81" s="67">
        <f>IFERROR(INDEX(tbl_Finance[Cost Centre],$A81),"")</f>
        <v/>
      </c>
      <c r="G81" s="68">
        <f>IFERROR(INDEX(tbl_Finance[Ex GST],$A81),"")</f>
        <v/>
      </c>
      <c r="H81" s="66">
        <f>IFERROR(INDEX(tbl_Finance[Defer Start],$A81),"")</f>
        <v/>
      </c>
      <c r="I81" s="66">
        <f>IFERROR(INDEX(tbl_Finance[Defer End],$A81),"")</f>
        <v/>
      </c>
      <c r="J81" s="65">
        <f>IF(OR($H81="",$I81="",$G81=""),"",MAX(1,(YEAR($I81)-YEAR($H81))*12+MONTH($I81)-MONTH($H81)+1))</f>
        <v/>
      </c>
      <c r="K81" s="68">
        <f>IF($J81="","",$G81/$J81)</f>
        <v/>
      </c>
      <c r="L81" s="68">
        <f>IF($J81="",0,$K81*MAX(0,MIN(YEAR($C$3)*12+MONTH($C$3),YEAR($I81)*12+MONTH($I81))-(YEAR($H81)*12+MONTH($H81))+1))</f>
        <v/>
      </c>
      <c r="M81" s="68">
        <f>IF($J81="",0,$K81*MAX(0,MIN(YEAR($C$3)*12+MONTH($C$3)-1,YEAR($I81)*12+MONTH($I81))-(YEAR($H81)*12+MONTH($H81))+1))</f>
        <v/>
      </c>
      <c r="N81" s="68">
        <f>IF(OR($J81="",$B81=""),0,IF(YEAR($B81)*12+MONTH($B81)&lt;=YEAR($C$3)*12+MONTH($C$3),$G81,0))</f>
        <v/>
      </c>
      <c r="O81" s="68">
        <f>IF(OR($J81="",$B81=""),0,IF(YEAR($B81)*12+MONTH($B81)&lt;=YEAR($C$3)*12+MONTH($C$3)-1,$G81,0))</f>
        <v/>
      </c>
      <c r="P81" s="68">
        <f>$M81-$O81</f>
        <v/>
      </c>
      <c r="Q81" s="68">
        <f>($L81-$M81)-($N81-$O81)</f>
        <v/>
      </c>
      <c r="R81" s="68">
        <f>$L81-$N81</f>
        <v/>
      </c>
      <c r="S81" s="67">
        <f>"Finance invoice"</f>
        <v/>
      </c>
      <c r="T81" s="67">
        <f>"Revenue"</f>
        <v/>
      </c>
    </row>
    <row r="82">
      <c r="A82" s="65">
        <f>ROW()-5</f>
        <v/>
      </c>
      <c r="B82" s="66">
        <f>IFERROR(INDEX(tbl_Finance[Date],$A82),"")</f>
        <v/>
      </c>
      <c r="C82" s="67">
        <f>IFERROR(INDEX(tbl_Finance[Xero Invoice No],$A82),"")</f>
        <v/>
      </c>
      <c r="D82" s="67">
        <f>IFERROR(INDEX(tbl_Finance[Client],$A82),"")</f>
        <v/>
      </c>
      <c r="E82" s="67">
        <f>IFERROR(INDEX(tbl_Finance[Job Number],$A82),"")</f>
        <v/>
      </c>
      <c r="F82" s="67">
        <f>IFERROR(INDEX(tbl_Finance[Cost Centre],$A82),"")</f>
        <v/>
      </c>
      <c r="G82" s="68">
        <f>IFERROR(INDEX(tbl_Finance[Ex GST],$A82),"")</f>
        <v/>
      </c>
      <c r="H82" s="66">
        <f>IFERROR(INDEX(tbl_Finance[Defer Start],$A82),"")</f>
        <v/>
      </c>
      <c r="I82" s="66">
        <f>IFERROR(INDEX(tbl_Finance[Defer End],$A82),"")</f>
        <v/>
      </c>
      <c r="J82" s="65">
        <f>IF(OR($H82="",$I82="",$G82=""),"",MAX(1,(YEAR($I82)-YEAR($H82))*12+MONTH($I82)-MONTH($H82)+1))</f>
        <v/>
      </c>
      <c r="K82" s="68">
        <f>IF($J82="","",$G82/$J82)</f>
        <v/>
      </c>
      <c r="L82" s="68">
        <f>IF($J82="",0,$K82*MAX(0,MIN(YEAR($C$3)*12+MONTH($C$3),YEAR($I82)*12+MONTH($I82))-(YEAR($H82)*12+MONTH($H82))+1))</f>
        <v/>
      </c>
      <c r="M82" s="68">
        <f>IF($J82="",0,$K82*MAX(0,MIN(YEAR($C$3)*12+MONTH($C$3)-1,YEAR($I82)*12+MONTH($I82))-(YEAR($H82)*12+MONTH($H82))+1))</f>
        <v/>
      </c>
      <c r="N82" s="68">
        <f>IF(OR($J82="",$B82=""),0,IF(YEAR($B82)*12+MONTH($B82)&lt;=YEAR($C$3)*12+MONTH($C$3),$G82,0))</f>
        <v/>
      </c>
      <c r="O82" s="68">
        <f>IF(OR($J82="",$B82=""),0,IF(YEAR($B82)*12+MONTH($B82)&lt;=YEAR($C$3)*12+MONTH($C$3)-1,$G82,0))</f>
        <v/>
      </c>
      <c r="P82" s="68">
        <f>$M82-$O82</f>
        <v/>
      </c>
      <c r="Q82" s="68">
        <f>($L82-$M82)-($N82-$O82)</f>
        <v/>
      </c>
      <c r="R82" s="68">
        <f>$L82-$N82</f>
        <v/>
      </c>
      <c r="S82" s="67">
        <f>"Finance invoice"</f>
        <v/>
      </c>
      <c r="T82" s="67">
        <f>"Revenue"</f>
        <v/>
      </c>
    </row>
    <row r="83">
      <c r="A83" s="65">
        <f>ROW()-5</f>
        <v/>
      </c>
      <c r="B83" s="66">
        <f>IFERROR(INDEX(tbl_Finance[Date],$A83),"")</f>
        <v/>
      </c>
      <c r="C83" s="67">
        <f>IFERROR(INDEX(tbl_Finance[Xero Invoice No],$A83),"")</f>
        <v/>
      </c>
      <c r="D83" s="67">
        <f>IFERROR(INDEX(tbl_Finance[Client],$A83),"")</f>
        <v/>
      </c>
      <c r="E83" s="67">
        <f>IFERROR(INDEX(tbl_Finance[Job Number],$A83),"")</f>
        <v/>
      </c>
      <c r="F83" s="67">
        <f>IFERROR(INDEX(tbl_Finance[Cost Centre],$A83),"")</f>
        <v/>
      </c>
      <c r="G83" s="68">
        <f>IFERROR(INDEX(tbl_Finance[Ex GST],$A83),"")</f>
        <v/>
      </c>
      <c r="H83" s="66">
        <f>IFERROR(INDEX(tbl_Finance[Defer Start],$A83),"")</f>
        <v/>
      </c>
      <c r="I83" s="66">
        <f>IFERROR(INDEX(tbl_Finance[Defer End],$A83),"")</f>
        <v/>
      </c>
      <c r="J83" s="65">
        <f>IF(OR($H83="",$I83="",$G83=""),"",MAX(1,(YEAR($I83)-YEAR($H83))*12+MONTH($I83)-MONTH($H83)+1))</f>
        <v/>
      </c>
      <c r="K83" s="68">
        <f>IF($J83="","",$G83/$J83)</f>
        <v/>
      </c>
      <c r="L83" s="68">
        <f>IF($J83="",0,$K83*MAX(0,MIN(YEAR($C$3)*12+MONTH($C$3),YEAR($I83)*12+MONTH($I83))-(YEAR($H83)*12+MONTH($H83))+1))</f>
        <v/>
      </c>
      <c r="M83" s="68">
        <f>IF($J83="",0,$K83*MAX(0,MIN(YEAR($C$3)*12+MONTH($C$3)-1,YEAR($I83)*12+MONTH($I83))-(YEAR($H83)*12+MONTH($H83))+1))</f>
        <v/>
      </c>
      <c r="N83" s="68">
        <f>IF(OR($J83="",$B83=""),0,IF(YEAR($B83)*12+MONTH($B83)&lt;=YEAR($C$3)*12+MONTH($C$3),$G83,0))</f>
        <v/>
      </c>
      <c r="O83" s="68">
        <f>IF(OR($J83="",$B83=""),0,IF(YEAR($B83)*12+MONTH($B83)&lt;=YEAR($C$3)*12+MONTH($C$3)-1,$G83,0))</f>
        <v/>
      </c>
      <c r="P83" s="68">
        <f>$M83-$O83</f>
        <v/>
      </c>
      <c r="Q83" s="68">
        <f>($L83-$M83)-($N83-$O83)</f>
        <v/>
      </c>
      <c r="R83" s="68">
        <f>$L83-$N83</f>
        <v/>
      </c>
      <c r="S83" s="67">
        <f>"Finance invoice"</f>
        <v/>
      </c>
      <c r="T83" s="67">
        <f>"Revenue"</f>
        <v/>
      </c>
    </row>
    <row r="84">
      <c r="A84" s="65">
        <f>ROW()-5</f>
        <v/>
      </c>
      <c r="B84" s="66">
        <f>IFERROR(INDEX(tbl_Finance[Date],$A84),"")</f>
        <v/>
      </c>
      <c r="C84" s="67">
        <f>IFERROR(INDEX(tbl_Finance[Xero Invoice No],$A84),"")</f>
        <v/>
      </c>
      <c r="D84" s="67">
        <f>IFERROR(INDEX(tbl_Finance[Client],$A84),"")</f>
        <v/>
      </c>
      <c r="E84" s="67">
        <f>IFERROR(INDEX(tbl_Finance[Job Number],$A84),"")</f>
        <v/>
      </c>
      <c r="F84" s="67">
        <f>IFERROR(INDEX(tbl_Finance[Cost Centre],$A84),"")</f>
        <v/>
      </c>
      <c r="G84" s="68">
        <f>IFERROR(INDEX(tbl_Finance[Ex GST],$A84),"")</f>
        <v/>
      </c>
      <c r="H84" s="66">
        <f>IFERROR(INDEX(tbl_Finance[Defer Start],$A84),"")</f>
        <v/>
      </c>
      <c r="I84" s="66">
        <f>IFERROR(INDEX(tbl_Finance[Defer End],$A84),"")</f>
        <v/>
      </c>
      <c r="J84" s="65">
        <f>IF(OR($H84="",$I84="",$G84=""),"",MAX(1,(YEAR($I84)-YEAR($H84))*12+MONTH($I84)-MONTH($H84)+1))</f>
        <v/>
      </c>
      <c r="K84" s="68">
        <f>IF($J84="","",$G84/$J84)</f>
        <v/>
      </c>
      <c r="L84" s="68">
        <f>IF($J84="",0,$K84*MAX(0,MIN(YEAR($C$3)*12+MONTH($C$3),YEAR($I84)*12+MONTH($I84))-(YEAR($H84)*12+MONTH($H84))+1))</f>
        <v/>
      </c>
      <c r="M84" s="68">
        <f>IF($J84="",0,$K84*MAX(0,MIN(YEAR($C$3)*12+MONTH($C$3)-1,YEAR($I84)*12+MONTH($I84))-(YEAR($H84)*12+MONTH($H84))+1))</f>
        <v/>
      </c>
      <c r="N84" s="68">
        <f>IF(OR($J84="",$B84=""),0,IF(YEAR($B84)*12+MONTH($B84)&lt;=YEAR($C$3)*12+MONTH($C$3),$G84,0))</f>
        <v/>
      </c>
      <c r="O84" s="68">
        <f>IF(OR($J84="",$B84=""),0,IF(YEAR($B84)*12+MONTH($B84)&lt;=YEAR($C$3)*12+MONTH($C$3)-1,$G84,0))</f>
        <v/>
      </c>
      <c r="P84" s="68">
        <f>$M84-$O84</f>
        <v/>
      </c>
      <c r="Q84" s="68">
        <f>($L84-$M84)-($N84-$O84)</f>
        <v/>
      </c>
      <c r="R84" s="68">
        <f>$L84-$N84</f>
        <v/>
      </c>
      <c r="S84" s="67">
        <f>"Finance invoice"</f>
        <v/>
      </c>
      <c r="T84" s="67">
        <f>"Revenue"</f>
        <v/>
      </c>
    </row>
    <row r="85">
      <c r="A85" s="65">
        <f>ROW()-5</f>
        <v/>
      </c>
      <c r="B85" s="66">
        <f>IFERROR(INDEX(tbl_Finance[Date],$A85),"")</f>
        <v/>
      </c>
      <c r="C85" s="67">
        <f>IFERROR(INDEX(tbl_Finance[Xero Invoice No],$A85),"")</f>
        <v/>
      </c>
      <c r="D85" s="67">
        <f>IFERROR(INDEX(tbl_Finance[Client],$A85),"")</f>
        <v/>
      </c>
      <c r="E85" s="67">
        <f>IFERROR(INDEX(tbl_Finance[Job Number],$A85),"")</f>
        <v/>
      </c>
      <c r="F85" s="67">
        <f>IFERROR(INDEX(tbl_Finance[Cost Centre],$A85),"")</f>
        <v/>
      </c>
      <c r="G85" s="68">
        <f>IFERROR(INDEX(tbl_Finance[Ex GST],$A85),"")</f>
        <v/>
      </c>
      <c r="H85" s="66">
        <f>IFERROR(INDEX(tbl_Finance[Defer Start],$A85),"")</f>
        <v/>
      </c>
      <c r="I85" s="66">
        <f>IFERROR(INDEX(tbl_Finance[Defer End],$A85),"")</f>
        <v/>
      </c>
      <c r="J85" s="65">
        <f>IF(OR($H85="",$I85="",$G85=""),"",MAX(1,(YEAR($I85)-YEAR($H85))*12+MONTH($I85)-MONTH($H85)+1))</f>
        <v/>
      </c>
      <c r="K85" s="68">
        <f>IF($J85="","",$G85/$J85)</f>
        <v/>
      </c>
      <c r="L85" s="68">
        <f>IF($J85="",0,$K85*MAX(0,MIN(YEAR($C$3)*12+MONTH($C$3),YEAR($I85)*12+MONTH($I85))-(YEAR($H85)*12+MONTH($H85))+1))</f>
        <v/>
      </c>
      <c r="M85" s="68">
        <f>IF($J85="",0,$K85*MAX(0,MIN(YEAR($C$3)*12+MONTH($C$3)-1,YEAR($I85)*12+MONTH($I85))-(YEAR($H85)*12+MONTH($H85))+1))</f>
        <v/>
      </c>
      <c r="N85" s="68">
        <f>IF(OR($J85="",$B85=""),0,IF(YEAR($B85)*12+MONTH($B85)&lt;=YEAR($C$3)*12+MONTH($C$3),$G85,0))</f>
        <v/>
      </c>
      <c r="O85" s="68">
        <f>IF(OR($J85="",$B85=""),0,IF(YEAR($B85)*12+MONTH($B85)&lt;=YEAR($C$3)*12+MONTH($C$3)-1,$G85,0))</f>
        <v/>
      </c>
      <c r="P85" s="68">
        <f>$M85-$O85</f>
        <v/>
      </c>
      <c r="Q85" s="68">
        <f>($L85-$M85)-($N85-$O85)</f>
        <v/>
      </c>
      <c r="R85" s="68">
        <f>$L85-$N85</f>
        <v/>
      </c>
      <c r="S85" s="67">
        <f>"Finance invoice"</f>
        <v/>
      </c>
      <c r="T85" s="67">
        <f>"Revenue"</f>
        <v/>
      </c>
    </row>
    <row r="86">
      <c r="A86" s="65">
        <f>ROW()-5</f>
        <v/>
      </c>
      <c r="B86" s="66">
        <f>IFERROR(INDEX(tbl_Finance[Date],$A86),"")</f>
        <v/>
      </c>
      <c r="C86" s="67">
        <f>IFERROR(INDEX(tbl_Finance[Xero Invoice No],$A86),"")</f>
        <v/>
      </c>
      <c r="D86" s="67">
        <f>IFERROR(INDEX(tbl_Finance[Client],$A86),"")</f>
        <v/>
      </c>
      <c r="E86" s="67">
        <f>IFERROR(INDEX(tbl_Finance[Job Number],$A86),"")</f>
        <v/>
      </c>
      <c r="F86" s="67">
        <f>IFERROR(INDEX(tbl_Finance[Cost Centre],$A86),"")</f>
        <v/>
      </c>
      <c r="G86" s="68">
        <f>IFERROR(INDEX(tbl_Finance[Ex GST],$A86),"")</f>
        <v/>
      </c>
      <c r="H86" s="66">
        <f>IFERROR(INDEX(tbl_Finance[Defer Start],$A86),"")</f>
        <v/>
      </c>
      <c r="I86" s="66">
        <f>IFERROR(INDEX(tbl_Finance[Defer End],$A86),"")</f>
        <v/>
      </c>
      <c r="J86" s="65">
        <f>IF(OR($H86="",$I86="",$G86=""),"",MAX(1,(YEAR($I86)-YEAR($H86))*12+MONTH($I86)-MONTH($H86)+1))</f>
        <v/>
      </c>
      <c r="K86" s="68">
        <f>IF($J86="","",$G86/$J86)</f>
        <v/>
      </c>
      <c r="L86" s="68">
        <f>IF($J86="",0,$K86*MAX(0,MIN(YEAR($C$3)*12+MONTH($C$3),YEAR($I86)*12+MONTH($I86))-(YEAR($H86)*12+MONTH($H86))+1))</f>
        <v/>
      </c>
      <c r="M86" s="68">
        <f>IF($J86="",0,$K86*MAX(0,MIN(YEAR($C$3)*12+MONTH($C$3)-1,YEAR($I86)*12+MONTH($I86))-(YEAR($H86)*12+MONTH($H86))+1))</f>
        <v/>
      </c>
      <c r="N86" s="68">
        <f>IF(OR($J86="",$B86=""),0,IF(YEAR($B86)*12+MONTH($B86)&lt;=YEAR($C$3)*12+MONTH($C$3),$G86,0))</f>
        <v/>
      </c>
      <c r="O86" s="68">
        <f>IF(OR($J86="",$B86=""),0,IF(YEAR($B86)*12+MONTH($B86)&lt;=YEAR($C$3)*12+MONTH($C$3)-1,$G86,0))</f>
        <v/>
      </c>
      <c r="P86" s="68">
        <f>$M86-$O86</f>
        <v/>
      </c>
      <c r="Q86" s="68">
        <f>($L86-$M86)-($N86-$O86)</f>
        <v/>
      </c>
      <c r="R86" s="68">
        <f>$L86-$N86</f>
        <v/>
      </c>
      <c r="S86" s="67">
        <f>"Finance invoice"</f>
        <v/>
      </c>
      <c r="T86" s="67">
        <f>"Revenue"</f>
        <v/>
      </c>
    </row>
    <row r="87">
      <c r="A87" s="65">
        <f>ROW()-5</f>
        <v/>
      </c>
      <c r="B87" s="66">
        <f>IFERROR(INDEX(tbl_Finance[Date],$A87),"")</f>
        <v/>
      </c>
      <c r="C87" s="67">
        <f>IFERROR(INDEX(tbl_Finance[Xero Invoice No],$A87),"")</f>
        <v/>
      </c>
      <c r="D87" s="67">
        <f>IFERROR(INDEX(tbl_Finance[Client],$A87),"")</f>
        <v/>
      </c>
      <c r="E87" s="67">
        <f>IFERROR(INDEX(tbl_Finance[Job Number],$A87),"")</f>
        <v/>
      </c>
      <c r="F87" s="67">
        <f>IFERROR(INDEX(tbl_Finance[Cost Centre],$A87),"")</f>
        <v/>
      </c>
      <c r="G87" s="68">
        <f>IFERROR(INDEX(tbl_Finance[Ex GST],$A87),"")</f>
        <v/>
      </c>
      <c r="H87" s="66">
        <f>IFERROR(INDEX(tbl_Finance[Defer Start],$A87),"")</f>
        <v/>
      </c>
      <c r="I87" s="66">
        <f>IFERROR(INDEX(tbl_Finance[Defer End],$A87),"")</f>
        <v/>
      </c>
      <c r="J87" s="65">
        <f>IF(OR($H87="",$I87="",$G87=""),"",MAX(1,(YEAR($I87)-YEAR($H87))*12+MONTH($I87)-MONTH($H87)+1))</f>
        <v/>
      </c>
      <c r="K87" s="68">
        <f>IF($J87="","",$G87/$J87)</f>
        <v/>
      </c>
      <c r="L87" s="68">
        <f>IF($J87="",0,$K87*MAX(0,MIN(YEAR($C$3)*12+MONTH($C$3),YEAR($I87)*12+MONTH($I87))-(YEAR($H87)*12+MONTH($H87))+1))</f>
        <v/>
      </c>
      <c r="M87" s="68">
        <f>IF($J87="",0,$K87*MAX(0,MIN(YEAR($C$3)*12+MONTH($C$3)-1,YEAR($I87)*12+MONTH($I87))-(YEAR($H87)*12+MONTH($H87))+1))</f>
        <v/>
      </c>
      <c r="N87" s="68">
        <f>IF(OR($J87="",$B87=""),0,IF(YEAR($B87)*12+MONTH($B87)&lt;=YEAR($C$3)*12+MONTH($C$3),$G87,0))</f>
        <v/>
      </c>
      <c r="O87" s="68">
        <f>IF(OR($J87="",$B87=""),0,IF(YEAR($B87)*12+MONTH($B87)&lt;=YEAR($C$3)*12+MONTH($C$3)-1,$G87,0))</f>
        <v/>
      </c>
      <c r="P87" s="68">
        <f>$M87-$O87</f>
        <v/>
      </c>
      <c r="Q87" s="68">
        <f>($L87-$M87)-($N87-$O87)</f>
        <v/>
      </c>
      <c r="R87" s="68">
        <f>$L87-$N87</f>
        <v/>
      </c>
      <c r="S87" s="67">
        <f>"Finance invoice"</f>
        <v/>
      </c>
      <c r="T87" s="67">
        <f>"Revenue"</f>
        <v/>
      </c>
    </row>
    <row r="88">
      <c r="A88" s="65">
        <f>ROW()-5</f>
        <v/>
      </c>
      <c r="B88" s="66">
        <f>IFERROR(INDEX(tbl_Finance[Date],$A88),"")</f>
        <v/>
      </c>
      <c r="C88" s="67">
        <f>IFERROR(INDEX(tbl_Finance[Xero Invoice No],$A88),"")</f>
        <v/>
      </c>
      <c r="D88" s="67">
        <f>IFERROR(INDEX(tbl_Finance[Client],$A88),"")</f>
        <v/>
      </c>
      <c r="E88" s="67">
        <f>IFERROR(INDEX(tbl_Finance[Job Number],$A88),"")</f>
        <v/>
      </c>
      <c r="F88" s="67">
        <f>IFERROR(INDEX(tbl_Finance[Cost Centre],$A88),"")</f>
        <v/>
      </c>
      <c r="G88" s="68">
        <f>IFERROR(INDEX(tbl_Finance[Ex GST],$A88),"")</f>
        <v/>
      </c>
      <c r="H88" s="66">
        <f>IFERROR(INDEX(tbl_Finance[Defer Start],$A88),"")</f>
        <v/>
      </c>
      <c r="I88" s="66">
        <f>IFERROR(INDEX(tbl_Finance[Defer End],$A88),"")</f>
        <v/>
      </c>
      <c r="J88" s="65">
        <f>IF(OR($H88="",$I88="",$G88=""),"",MAX(1,(YEAR($I88)-YEAR($H88))*12+MONTH($I88)-MONTH($H88)+1))</f>
        <v/>
      </c>
      <c r="K88" s="68">
        <f>IF($J88="","",$G88/$J88)</f>
        <v/>
      </c>
      <c r="L88" s="68">
        <f>IF($J88="",0,$K88*MAX(0,MIN(YEAR($C$3)*12+MONTH($C$3),YEAR($I88)*12+MONTH($I88))-(YEAR($H88)*12+MONTH($H88))+1))</f>
        <v/>
      </c>
      <c r="M88" s="68">
        <f>IF($J88="",0,$K88*MAX(0,MIN(YEAR($C$3)*12+MONTH($C$3)-1,YEAR($I88)*12+MONTH($I88))-(YEAR($H88)*12+MONTH($H88))+1))</f>
        <v/>
      </c>
      <c r="N88" s="68">
        <f>IF(OR($J88="",$B88=""),0,IF(YEAR($B88)*12+MONTH($B88)&lt;=YEAR($C$3)*12+MONTH($C$3),$G88,0))</f>
        <v/>
      </c>
      <c r="O88" s="68">
        <f>IF(OR($J88="",$B88=""),0,IF(YEAR($B88)*12+MONTH($B88)&lt;=YEAR($C$3)*12+MONTH($C$3)-1,$G88,0))</f>
        <v/>
      </c>
      <c r="P88" s="68">
        <f>$M88-$O88</f>
        <v/>
      </c>
      <c r="Q88" s="68">
        <f>($L88-$M88)-($N88-$O88)</f>
        <v/>
      </c>
      <c r="R88" s="68">
        <f>$L88-$N88</f>
        <v/>
      </c>
      <c r="S88" s="67">
        <f>"Finance invoice"</f>
        <v/>
      </c>
      <c r="T88" s="67">
        <f>"Revenue"</f>
        <v/>
      </c>
    </row>
    <row r="89">
      <c r="A89" s="65">
        <f>ROW()-5</f>
        <v/>
      </c>
      <c r="B89" s="66">
        <f>IFERROR(INDEX(tbl_Finance[Date],$A89),"")</f>
        <v/>
      </c>
      <c r="C89" s="67">
        <f>IFERROR(INDEX(tbl_Finance[Xero Invoice No],$A89),"")</f>
        <v/>
      </c>
      <c r="D89" s="67">
        <f>IFERROR(INDEX(tbl_Finance[Client],$A89),"")</f>
        <v/>
      </c>
      <c r="E89" s="67">
        <f>IFERROR(INDEX(tbl_Finance[Job Number],$A89),"")</f>
        <v/>
      </c>
      <c r="F89" s="67">
        <f>IFERROR(INDEX(tbl_Finance[Cost Centre],$A89),"")</f>
        <v/>
      </c>
      <c r="G89" s="68">
        <f>IFERROR(INDEX(tbl_Finance[Ex GST],$A89),"")</f>
        <v/>
      </c>
      <c r="H89" s="66">
        <f>IFERROR(INDEX(tbl_Finance[Defer Start],$A89),"")</f>
        <v/>
      </c>
      <c r="I89" s="66">
        <f>IFERROR(INDEX(tbl_Finance[Defer End],$A89),"")</f>
        <v/>
      </c>
      <c r="J89" s="65">
        <f>IF(OR($H89="",$I89="",$G89=""),"",MAX(1,(YEAR($I89)-YEAR($H89))*12+MONTH($I89)-MONTH($H89)+1))</f>
        <v/>
      </c>
      <c r="K89" s="68">
        <f>IF($J89="","",$G89/$J89)</f>
        <v/>
      </c>
      <c r="L89" s="68">
        <f>IF($J89="",0,$K89*MAX(0,MIN(YEAR($C$3)*12+MONTH($C$3),YEAR($I89)*12+MONTH($I89))-(YEAR($H89)*12+MONTH($H89))+1))</f>
        <v/>
      </c>
      <c r="M89" s="68">
        <f>IF($J89="",0,$K89*MAX(0,MIN(YEAR($C$3)*12+MONTH($C$3)-1,YEAR($I89)*12+MONTH($I89))-(YEAR($H89)*12+MONTH($H89))+1))</f>
        <v/>
      </c>
      <c r="N89" s="68">
        <f>IF(OR($J89="",$B89=""),0,IF(YEAR($B89)*12+MONTH($B89)&lt;=YEAR($C$3)*12+MONTH($C$3),$G89,0))</f>
        <v/>
      </c>
      <c r="O89" s="68">
        <f>IF(OR($J89="",$B89=""),0,IF(YEAR($B89)*12+MONTH($B89)&lt;=YEAR($C$3)*12+MONTH($C$3)-1,$G89,0))</f>
        <v/>
      </c>
      <c r="P89" s="68">
        <f>$M89-$O89</f>
        <v/>
      </c>
      <c r="Q89" s="68">
        <f>($L89-$M89)-($N89-$O89)</f>
        <v/>
      </c>
      <c r="R89" s="68">
        <f>$L89-$N89</f>
        <v/>
      </c>
      <c r="S89" s="67">
        <f>"Finance invoice"</f>
        <v/>
      </c>
      <c r="T89" s="67">
        <f>"Revenue"</f>
        <v/>
      </c>
    </row>
    <row r="90">
      <c r="A90" s="65">
        <f>ROW()-5</f>
        <v/>
      </c>
      <c r="B90" s="66">
        <f>IFERROR(INDEX(tbl_Finance[Date],$A90),"")</f>
        <v/>
      </c>
      <c r="C90" s="67">
        <f>IFERROR(INDEX(tbl_Finance[Xero Invoice No],$A90),"")</f>
        <v/>
      </c>
      <c r="D90" s="67">
        <f>IFERROR(INDEX(tbl_Finance[Client],$A90),"")</f>
        <v/>
      </c>
      <c r="E90" s="67">
        <f>IFERROR(INDEX(tbl_Finance[Job Number],$A90),"")</f>
        <v/>
      </c>
      <c r="F90" s="67">
        <f>IFERROR(INDEX(tbl_Finance[Cost Centre],$A90),"")</f>
        <v/>
      </c>
      <c r="G90" s="68">
        <f>IFERROR(INDEX(tbl_Finance[Ex GST],$A90),"")</f>
        <v/>
      </c>
      <c r="H90" s="66">
        <f>IFERROR(INDEX(tbl_Finance[Defer Start],$A90),"")</f>
        <v/>
      </c>
      <c r="I90" s="66">
        <f>IFERROR(INDEX(tbl_Finance[Defer End],$A90),"")</f>
        <v/>
      </c>
      <c r="J90" s="65">
        <f>IF(OR($H90="",$I90="",$G90=""),"",MAX(1,(YEAR($I90)-YEAR($H90))*12+MONTH($I90)-MONTH($H90)+1))</f>
        <v/>
      </c>
      <c r="K90" s="68">
        <f>IF($J90="","",$G90/$J90)</f>
        <v/>
      </c>
      <c r="L90" s="68">
        <f>IF($J90="",0,$K90*MAX(0,MIN(YEAR($C$3)*12+MONTH($C$3),YEAR($I90)*12+MONTH($I90))-(YEAR($H90)*12+MONTH($H90))+1))</f>
        <v/>
      </c>
      <c r="M90" s="68">
        <f>IF($J90="",0,$K90*MAX(0,MIN(YEAR($C$3)*12+MONTH($C$3)-1,YEAR($I90)*12+MONTH($I90))-(YEAR($H90)*12+MONTH($H90))+1))</f>
        <v/>
      </c>
      <c r="N90" s="68">
        <f>IF(OR($J90="",$B90=""),0,IF(YEAR($B90)*12+MONTH($B90)&lt;=YEAR($C$3)*12+MONTH($C$3),$G90,0))</f>
        <v/>
      </c>
      <c r="O90" s="68">
        <f>IF(OR($J90="",$B90=""),0,IF(YEAR($B90)*12+MONTH($B90)&lt;=YEAR($C$3)*12+MONTH($C$3)-1,$G90,0))</f>
        <v/>
      </c>
      <c r="P90" s="68">
        <f>$M90-$O90</f>
        <v/>
      </c>
      <c r="Q90" s="68">
        <f>($L90-$M90)-($N90-$O90)</f>
        <v/>
      </c>
      <c r="R90" s="68">
        <f>$L90-$N90</f>
        <v/>
      </c>
      <c r="S90" s="67">
        <f>"Finance invoice"</f>
        <v/>
      </c>
      <c r="T90" s="67">
        <f>"Revenue"</f>
        <v/>
      </c>
    </row>
    <row r="91">
      <c r="A91" s="65">
        <f>ROW()-5</f>
        <v/>
      </c>
      <c r="B91" s="66">
        <f>IFERROR(INDEX(tbl_Finance[Date],$A91),"")</f>
        <v/>
      </c>
      <c r="C91" s="67">
        <f>IFERROR(INDEX(tbl_Finance[Xero Invoice No],$A91),"")</f>
        <v/>
      </c>
      <c r="D91" s="67">
        <f>IFERROR(INDEX(tbl_Finance[Client],$A91),"")</f>
        <v/>
      </c>
      <c r="E91" s="67">
        <f>IFERROR(INDEX(tbl_Finance[Job Number],$A91),"")</f>
        <v/>
      </c>
      <c r="F91" s="67">
        <f>IFERROR(INDEX(tbl_Finance[Cost Centre],$A91),"")</f>
        <v/>
      </c>
      <c r="G91" s="68">
        <f>IFERROR(INDEX(tbl_Finance[Ex GST],$A91),"")</f>
        <v/>
      </c>
      <c r="H91" s="66">
        <f>IFERROR(INDEX(tbl_Finance[Defer Start],$A91),"")</f>
        <v/>
      </c>
      <c r="I91" s="66">
        <f>IFERROR(INDEX(tbl_Finance[Defer End],$A91),"")</f>
        <v/>
      </c>
      <c r="J91" s="65">
        <f>IF(OR($H91="",$I91="",$G91=""),"",MAX(1,(YEAR($I91)-YEAR($H91))*12+MONTH($I91)-MONTH($H91)+1))</f>
        <v/>
      </c>
      <c r="K91" s="68">
        <f>IF($J91="","",$G91/$J91)</f>
        <v/>
      </c>
      <c r="L91" s="68">
        <f>IF($J91="",0,$K91*MAX(0,MIN(YEAR($C$3)*12+MONTH($C$3),YEAR($I91)*12+MONTH($I91))-(YEAR($H91)*12+MONTH($H91))+1))</f>
        <v/>
      </c>
      <c r="M91" s="68">
        <f>IF($J91="",0,$K91*MAX(0,MIN(YEAR($C$3)*12+MONTH($C$3)-1,YEAR($I91)*12+MONTH($I91))-(YEAR($H91)*12+MONTH($H91))+1))</f>
        <v/>
      </c>
      <c r="N91" s="68">
        <f>IF(OR($J91="",$B91=""),0,IF(YEAR($B91)*12+MONTH($B91)&lt;=YEAR($C$3)*12+MONTH($C$3),$G91,0))</f>
        <v/>
      </c>
      <c r="O91" s="68">
        <f>IF(OR($J91="",$B91=""),0,IF(YEAR($B91)*12+MONTH($B91)&lt;=YEAR($C$3)*12+MONTH($C$3)-1,$G91,0))</f>
        <v/>
      </c>
      <c r="P91" s="68">
        <f>$M91-$O91</f>
        <v/>
      </c>
      <c r="Q91" s="68">
        <f>($L91-$M91)-($N91-$O91)</f>
        <v/>
      </c>
      <c r="R91" s="68">
        <f>$L91-$N91</f>
        <v/>
      </c>
      <c r="S91" s="67">
        <f>"Finance invoice"</f>
        <v/>
      </c>
      <c r="T91" s="67">
        <f>"Revenue"</f>
        <v/>
      </c>
    </row>
    <row r="92">
      <c r="A92" s="65">
        <f>ROW()-5</f>
        <v/>
      </c>
      <c r="B92" s="66">
        <f>IFERROR(INDEX(tbl_Finance[Date],$A92),"")</f>
        <v/>
      </c>
      <c r="C92" s="67">
        <f>IFERROR(INDEX(tbl_Finance[Xero Invoice No],$A92),"")</f>
        <v/>
      </c>
      <c r="D92" s="67">
        <f>IFERROR(INDEX(tbl_Finance[Client],$A92),"")</f>
        <v/>
      </c>
      <c r="E92" s="67">
        <f>IFERROR(INDEX(tbl_Finance[Job Number],$A92),"")</f>
        <v/>
      </c>
      <c r="F92" s="67">
        <f>IFERROR(INDEX(tbl_Finance[Cost Centre],$A92),"")</f>
        <v/>
      </c>
      <c r="G92" s="68">
        <f>IFERROR(INDEX(tbl_Finance[Ex GST],$A92),"")</f>
        <v/>
      </c>
      <c r="H92" s="66">
        <f>IFERROR(INDEX(tbl_Finance[Defer Start],$A92),"")</f>
        <v/>
      </c>
      <c r="I92" s="66">
        <f>IFERROR(INDEX(tbl_Finance[Defer End],$A92),"")</f>
        <v/>
      </c>
      <c r="J92" s="65">
        <f>IF(OR($H92="",$I92="",$G92=""),"",MAX(1,(YEAR($I92)-YEAR($H92))*12+MONTH($I92)-MONTH($H92)+1))</f>
        <v/>
      </c>
      <c r="K92" s="68">
        <f>IF($J92="","",$G92/$J92)</f>
        <v/>
      </c>
      <c r="L92" s="68">
        <f>IF($J92="",0,$K92*MAX(0,MIN(YEAR($C$3)*12+MONTH($C$3),YEAR($I92)*12+MONTH($I92))-(YEAR($H92)*12+MONTH($H92))+1))</f>
        <v/>
      </c>
      <c r="M92" s="68">
        <f>IF($J92="",0,$K92*MAX(0,MIN(YEAR($C$3)*12+MONTH($C$3)-1,YEAR($I92)*12+MONTH($I92))-(YEAR($H92)*12+MONTH($H92))+1))</f>
        <v/>
      </c>
      <c r="N92" s="68">
        <f>IF(OR($J92="",$B92=""),0,IF(YEAR($B92)*12+MONTH($B92)&lt;=YEAR($C$3)*12+MONTH($C$3),$G92,0))</f>
        <v/>
      </c>
      <c r="O92" s="68">
        <f>IF(OR($J92="",$B92=""),0,IF(YEAR($B92)*12+MONTH($B92)&lt;=YEAR($C$3)*12+MONTH($C$3)-1,$G92,0))</f>
        <v/>
      </c>
      <c r="P92" s="68">
        <f>$M92-$O92</f>
        <v/>
      </c>
      <c r="Q92" s="68">
        <f>($L92-$M92)-($N92-$O92)</f>
        <v/>
      </c>
      <c r="R92" s="68">
        <f>$L92-$N92</f>
        <v/>
      </c>
      <c r="S92" s="67">
        <f>"Finance invoice"</f>
        <v/>
      </c>
      <c r="T92" s="67">
        <f>"Revenue"</f>
        <v/>
      </c>
    </row>
    <row r="93">
      <c r="A93" s="65">
        <f>ROW()-5</f>
        <v/>
      </c>
      <c r="B93" s="66">
        <f>IFERROR(INDEX(tbl_Finance[Date],$A93),"")</f>
        <v/>
      </c>
      <c r="C93" s="67">
        <f>IFERROR(INDEX(tbl_Finance[Xero Invoice No],$A93),"")</f>
        <v/>
      </c>
      <c r="D93" s="67">
        <f>IFERROR(INDEX(tbl_Finance[Client],$A93),"")</f>
        <v/>
      </c>
      <c r="E93" s="67">
        <f>IFERROR(INDEX(tbl_Finance[Job Number],$A93),"")</f>
        <v/>
      </c>
      <c r="F93" s="67">
        <f>IFERROR(INDEX(tbl_Finance[Cost Centre],$A93),"")</f>
        <v/>
      </c>
      <c r="G93" s="68">
        <f>IFERROR(INDEX(tbl_Finance[Ex GST],$A93),"")</f>
        <v/>
      </c>
      <c r="H93" s="66">
        <f>IFERROR(INDEX(tbl_Finance[Defer Start],$A93),"")</f>
        <v/>
      </c>
      <c r="I93" s="66">
        <f>IFERROR(INDEX(tbl_Finance[Defer End],$A93),"")</f>
        <v/>
      </c>
      <c r="J93" s="65">
        <f>IF(OR($H93="",$I93="",$G93=""),"",MAX(1,(YEAR($I93)-YEAR($H93))*12+MONTH($I93)-MONTH($H93)+1))</f>
        <v/>
      </c>
      <c r="K93" s="68">
        <f>IF($J93="","",$G93/$J93)</f>
        <v/>
      </c>
      <c r="L93" s="68">
        <f>IF($J93="",0,$K93*MAX(0,MIN(YEAR($C$3)*12+MONTH($C$3),YEAR($I93)*12+MONTH($I93))-(YEAR($H93)*12+MONTH($H93))+1))</f>
        <v/>
      </c>
      <c r="M93" s="68">
        <f>IF($J93="",0,$K93*MAX(0,MIN(YEAR($C$3)*12+MONTH($C$3)-1,YEAR($I93)*12+MONTH($I93))-(YEAR($H93)*12+MONTH($H93))+1))</f>
        <v/>
      </c>
      <c r="N93" s="68">
        <f>IF(OR($J93="",$B93=""),0,IF(YEAR($B93)*12+MONTH($B93)&lt;=YEAR($C$3)*12+MONTH($C$3),$G93,0))</f>
        <v/>
      </c>
      <c r="O93" s="68">
        <f>IF(OR($J93="",$B93=""),0,IF(YEAR($B93)*12+MONTH($B93)&lt;=YEAR($C$3)*12+MONTH($C$3)-1,$G93,0))</f>
        <v/>
      </c>
      <c r="P93" s="68">
        <f>$M93-$O93</f>
        <v/>
      </c>
      <c r="Q93" s="68">
        <f>($L93-$M93)-($N93-$O93)</f>
        <v/>
      </c>
      <c r="R93" s="68">
        <f>$L93-$N93</f>
        <v/>
      </c>
      <c r="S93" s="67">
        <f>"Finance invoice"</f>
        <v/>
      </c>
      <c r="T93" s="67">
        <f>"Revenue"</f>
        <v/>
      </c>
    </row>
    <row r="94">
      <c r="A94" s="65">
        <f>ROW()-5</f>
        <v/>
      </c>
      <c r="B94" s="66">
        <f>IFERROR(INDEX(tbl_Finance[Date],$A94),"")</f>
        <v/>
      </c>
      <c r="C94" s="67">
        <f>IFERROR(INDEX(tbl_Finance[Xero Invoice No],$A94),"")</f>
        <v/>
      </c>
      <c r="D94" s="67">
        <f>IFERROR(INDEX(tbl_Finance[Client],$A94),"")</f>
        <v/>
      </c>
      <c r="E94" s="67">
        <f>IFERROR(INDEX(tbl_Finance[Job Number],$A94),"")</f>
        <v/>
      </c>
      <c r="F94" s="67">
        <f>IFERROR(INDEX(tbl_Finance[Cost Centre],$A94),"")</f>
        <v/>
      </c>
      <c r="G94" s="68">
        <f>IFERROR(INDEX(tbl_Finance[Ex GST],$A94),"")</f>
        <v/>
      </c>
      <c r="H94" s="66">
        <f>IFERROR(INDEX(tbl_Finance[Defer Start],$A94),"")</f>
        <v/>
      </c>
      <c r="I94" s="66">
        <f>IFERROR(INDEX(tbl_Finance[Defer End],$A94),"")</f>
        <v/>
      </c>
      <c r="J94" s="65">
        <f>IF(OR($H94="",$I94="",$G94=""),"",MAX(1,(YEAR($I94)-YEAR($H94))*12+MONTH($I94)-MONTH($H94)+1))</f>
        <v/>
      </c>
      <c r="K94" s="68">
        <f>IF($J94="","",$G94/$J94)</f>
        <v/>
      </c>
      <c r="L94" s="68">
        <f>IF($J94="",0,$K94*MAX(0,MIN(YEAR($C$3)*12+MONTH($C$3),YEAR($I94)*12+MONTH($I94))-(YEAR($H94)*12+MONTH($H94))+1))</f>
        <v/>
      </c>
      <c r="M94" s="68">
        <f>IF($J94="",0,$K94*MAX(0,MIN(YEAR($C$3)*12+MONTH($C$3)-1,YEAR($I94)*12+MONTH($I94))-(YEAR($H94)*12+MONTH($H94))+1))</f>
        <v/>
      </c>
      <c r="N94" s="68">
        <f>IF(OR($J94="",$B94=""),0,IF(YEAR($B94)*12+MONTH($B94)&lt;=YEAR($C$3)*12+MONTH($C$3),$G94,0))</f>
        <v/>
      </c>
      <c r="O94" s="68">
        <f>IF(OR($J94="",$B94=""),0,IF(YEAR($B94)*12+MONTH($B94)&lt;=YEAR($C$3)*12+MONTH($C$3)-1,$G94,0))</f>
        <v/>
      </c>
      <c r="P94" s="68">
        <f>$M94-$O94</f>
        <v/>
      </c>
      <c r="Q94" s="68">
        <f>($L94-$M94)-($N94-$O94)</f>
        <v/>
      </c>
      <c r="R94" s="68">
        <f>$L94-$N94</f>
        <v/>
      </c>
      <c r="S94" s="67">
        <f>"Finance invoice"</f>
        <v/>
      </c>
      <c r="T94" s="67">
        <f>"Revenue"</f>
        <v/>
      </c>
    </row>
    <row r="95">
      <c r="A95" s="65">
        <f>ROW()-5</f>
        <v/>
      </c>
      <c r="B95" s="66">
        <f>IFERROR(INDEX(tbl_Finance[Date],$A95),"")</f>
        <v/>
      </c>
      <c r="C95" s="67">
        <f>IFERROR(INDEX(tbl_Finance[Xero Invoice No],$A95),"")</f>
        <v/>
      </c>
      <c r="D95" s="67">
        <f>IFERROR(INDEX(tbl_Finance[Client],$A95),"")</f>
        <v/>
      </c>
      <c r="E95" s="67">
        <f>IFERROR(INDEX(tbl_Finance[Job Number],$A95),"")</f>
        <v/>
      </c>
      <c r="F95" s="67">
        <f>IFERROR(INDEX(tbl_Finance[Cost Centre],$A95),"")</f>
        <v/>
      </c>
      <c r="G95" s="68">
        <f>IFERROR(INDEX(tbl_Finance[Ex GST],$A95),"")</f>
        <v/>
      </c>
      <c r="H95" s="66">
        <f>IFERROR(INDEX(tbl_Finance[Defer Start],$A95),"")</f>
        <v/>
      </c>
      <c r="I95" s="66">
        <f>IFERROR(INDEX(tbl_Finance[Defer End],$A95),"")</f>
        <v/>
      </c>
      <c r="J95" s="65">
        <f>IF(OR($H95="",$I95="",$G95=""),"",MAX(1,(YEAR($I95)-YEAR($H95))*12+MONTH($I95)-MONTH($H95)+1))</f>
        <v/>
      </c>
      <c r="K95" s="68">
        <f>IF($J95="","",$G95/$J95)</f>
        <v/>
      </c>
      <c r="L95" s="68">
        <f>IF($J95="",0,$K95*MAX(0,MIN(YEAR($C$3)*12+MONTH($C$3),YEAR($I95)*12+MONTH($I95))-(YEAR($H95)*12+MONTH($H95))+1))</f>
        <v/>
      </c>
      <c r="M95" s="68">
        <f>IF($J95="",0,$K95*MAX(0,MIN(YEAR($C$3)*12+MONTH($C$3)-1,YEAR($I95)*12+MONTH($I95))-(YEAR($H95)*12+MONTH($H95))+1))</f>
        <v/>
      </c>
      <c r="N95" s="68">
        <f>IF(OR($J95="",$B95=""),0,IF(YEAR($B95)*12+MONTH($B95)&lt;=YEAR($C$3)*12+MONTH($C$3),$G95,0))</f>
        <v/>
      </c>
      <c r="O95" s="68">
        <f>IF(OR($J95="",$B95=""),0,IF(YEAR($B95)*12+MONTH($B95)&lt;=YEAR($C$3)*12+MONTH($C$3)-1,$G95,0))</f>
        <v/>
      </c>
      <c r="P95" s="68">
        <f>$M95-$O95</f>
        <v/>
      </c>
      <c r="Q95" s="68">
        <f>($L95-$M95)-($N95-$O95)</f>
        <v/>
      </c>
      <c r="R95" s="68">
        <f>$L95-$N95</f>
        <v/>
      </c>
      <c r="S95" s="67">
        <f>"Finance invoice"</f>
        <v/>
      </c>
      <c r="T95" s="67">
        <f>"Revenue"</f>
        <v/>
      </c>
    </row>
    <row r="96">
      <c r="A96" s="65">
        <f>ROW()-5</f>
        <v/>
      </c>
      <c r="B96" s="66">
        <f>IFERROR(INDEX(tbl_Finance[Date],$A96),"")</f>
        <v/>
      </c>
      <c r="C96" s="67">
        <f>IFERROR(INDEX(tbl_Finance[Xero Invoice No],$A96),"")</f>
        <v/>
      </c>
      <c r="D96" s="67">
        <f>IFERROR(INDEX(tbl_Finance[Client],$A96),"")</f>
        <v/>
      </c>
      <c r="E96" s="67">
        <f>IFERROR(INDEX(tbl_Finance[Job Number],$A96),"")</f>
        <v/>
      </c>
      <c r="F96" s="67">
        <f>IFERROR(INDEX(tbl_Finance[Cost Centre],$A96),"")</f>
        <v/>
      </c>
      <c r="G96" s="68">
        <f>IFERROR(INDEX(tbl_Finance[Ex GST],$A96),"")</f>
        <v/>
      </c>
      <c r="H96" s="66">
        <f>IFERROR(INDEX(tbl_Finance[Defer Start],$A96),"")</f>
        <v/>
      </c>
      <c r="I96" s="66">
        <f>IFERROR(INDEX(tbl_Finance[Defer End],$A96),"")</f>
        <v/>
      </c>
      <c r="J96" s="65">
        <f>IF(OR($H96="",$I96="",$G96=""),"",MAX(1,(YEAR($I96)-YEAR($H96))*12+MONTH($I96)-MONTH($H96)+1))</f>
        <v/>
      </c>
      <c r="K96" s="68">
        <f>IF($J96="","",$G96/$J96)</f>
        <v/>
      </c>
      <c r="L96" s="68">
        <f>IF($J96="",0,$K96*MAX(0,MIN(YEAR($C$3)*12+MONTH($C$3),YEAR($I96)*12+MONTH($I96))-(YEAR($H96)*12+MONTH($H96))+1))</f>
        <v/>
      </c>
      <c r="M96" s="68">
        <f>IF($J96="",0,$K96*MAX(0,MIN(YEAR($C$3)*12+MONTH($C$3)-1,YEAR($I96)*12+MONTH($I96))-(YEAR($H96)*12+MONTH($H96))+1))</f>
        <v/>
      </c>
      <c r="N96" s="68">
        <f>IF(OR($J96="",$B96=""),0,IF(YEAR($B96)*12+MONTH($B96)&lt;=YEAR($C$3)*12+MONTH($C$3),$G96,0))</f>
        <v/>
      </c>
      <c r="O96" s="68">
        <f>IF(OR($J96="",$B96=""),0,IF(YEAR($B96)*12+MONTH($B96)&lt;=YEAR($C$3)*12+MONTH($C$3)-1,$G96,0))</f>
        <v/>
      </c>
      <c r="P96" s="68">
        <f>$M96-$O96</f>
        <v/>
      </c>
      <c r="Q96" s="68">
        <f>($L96-$M96)-($N96-$O96)</f>
        <v/>
      </c>
      <c r="R96" s="68">
        <f>$L96-$N96</f>
        <v/>
      </c>
      <c r="S96" s="67">
        <f>"Finance invoice"</f>
        <v/>
      </c>
      <c r="T96" s="67">
        <f>"Revenue"</f>
        <v/>
      </c>
    </row>
    <row r="97">
      <c r="A97" s="65">
        <f>ROW()-5</f>
        <v/>
      </c>
      <c r="B97" s="66">
        <f>IFERROR(INDEX(tbl_Finance[Date],$A97),"")</f>
        <v/>
      </c>
      <c r="C97" s="67">
        <f>IFERROR(INDEX(tbl_Finance[Xero Invoice No],$A97),"")</f>
        <v/>
      </c>
      <c r="D97" s="67">
        <f>IFERROR(INDEX(tbl_Finance[Client],$A97),"")</f>
        <v/>
      </c>
      <c r="E97" s="67">
        <f>IFERROR(INDEX(tbl_Finance[Job Number],$A97),"")</f>
        <v/>
      </c>
      <c r="F97" s="67">
        <f>IFERROR(INDEX(tbl_Finance[Cost Centre],$A97),"")</f>
        <v/>
      </c>
      <c r="G97" s="68">
        <f>IFERROR(INDEX(tbl_Finance[Ex GST],$A97),"")</f>
        <v/>
      </c>
      <c r="H97" s="66">
        <f>IFERROR(INDEX(tbl_Finance[Defer Start],$A97),"")</f>
        <v/>
      </c>
      <c r="I97" s="66">
        <f>IFERROR(INDEX(tbl_Finance[Defer End],$A97),"")</f>
        <v/>
      </c>
      <c r="J97" s="65">
        <f>IF(OR($H97="",$I97="",$G97=""),"",MAX(1,(YEAR($I97)-YEAR($H97))*12+MONTH($I97)-MONTH($H97)+1))</f>
        <v/>
      </c>
      <c r="K97" s="68">
        <f>IF($J97="","",$G97/$J97)</f>
        <v/>
      </c>
      <c r="L97" s="68">
        <f>IF($J97="",0,$K97*MAX(0,MIN(YEAR($C$3)*12+MONTH($C$3),YEAR($I97)*12+MONTH($I97))-(YEAR($H97)*12+MONTH($H97))+1))</f>
        <v/>
      </c>
      <c r="M97" s="68">
        <f>IF($J97="",0,$K97*MAX(0,MIN(YEAR($C$3)*12+MONTH($C$3)-1,YEAR($I97)*12+MONTH($I97))-(YEAR($H97)*12+MONTH($H97))+1))</f>
        <v/>
      </c>
      <c r="N97" s="68">
        <f>IF(OR($J97="",$B97=""),0,IF(YEAR($B97)*12+MONTH($B97)&lt;=YEAR($C$3)*12+MONTH($C$3),$G97,0))</f>
        <v/>
      </c>
      <c r="O97" s="68">
        <f>IF(OR($J97="",$B97=""),0,IF(YEAR($B97)*12+MONTH($B97)&lt;=YEAR($C$3)*12+MONTH($C$3)-1,$G97,0))</f>
        <v/>
      </c>
      <c r="P97" s="68">
        <f>$M97-$O97</f>
        <v/>
      </c>
      <c r="Q97" s="68">
        <f>($L97-$M97)-($N97-$O97)</f>
        <v/>
      </c>
      <c r="R97" s="68">
        <f>$L97-$N97</f>
        <v/>
      </c>
      <c r="S97" s="67">
        <f>"Finance invoice"</f>
        <v/>
      </c>
      <c r="T97" s="67">
        <f>"Revenue"</f>
        <v/>
      </c>
    </row>
    <row r="98">
      <c r="A98" s="65">
        <f>ROW()-5</f>
        <v/>
      </c>
      <c r="B98" s="66">
        <f>IFERROR(INDEX(tbl_Finance[Date],$A98),"")</f>
        <v/>
      </c>
      <c r="C98" s="67">
        <f>IFERROR(INDEX(tbl_Finance[Xero Invoice No],$A98),"")</f>
        <v/>
      </c>
      <c r="D98" s="67">
        <f>IFERROR(INDEX(tbl_Finance[Client],$A98),"")</f>
        <v/>
      </c>
      <c r="E98" s="67">
        <f>IFERROR(INDEX(tbl_Finance[Job Number],$A98),"")</f>
        <v/>
      </c>
      <c r="F98" s="67">
        <f>IFERROR(INDEX(tbl_Finance[Cost Centre],$A98),"")</f>
        <v/>
      </c>
      <c r="G98" s="68">
        <f>IFERROR(INDEX(tbl_Finance[Ex GST],$A98),"")</f>
        <v/>
      </c>
      <c r="H98" s="66">
        <f>IFERROR(INDEX(tbl_Finance[Defer Start],$A98),"")</f>
        <v/>
      </c>
      <c r="I98" s="66">
        <f>IFERROR(INDEX(tbl_Finance[Defer End],$A98),"")</f>
        <v/>
      </c>
      <c r="J98" s="65">
        <f>IF(OR($H98="",$I98="",$G98=""),"",MAX(1,(YEAR($I98)-YEAR($H98))*12+MONTH($I98)-MONTH($H98)+1))</f>
        <v/>
      </c>
      <c r="K98" s="68">
        <f>IF($J98="","",$G98/$J98)</f>
        <v/>
      </c>
      <c r="L98" s="68">
        <f>IF($J98="",0,$K98*MAX(0,MIN(YEAR($C$3)*12+MONTH($C$3),YEAR($I98)*12+MONTH($I98))-(YEAR($H98)*12+MONTH($H98))+1))</f>
        <v/>
      </c>
      <c r="M98" s="68">
        <f>IF($J98="",0,$K98*MAX(0,MIN(YEAR($C$3)*12+MONTH($C$3)-1,YEAR($I98)*12+MONTH($I98))-(YEAR($H98)*12+MONTH($H98))+1))</f>
        <v/>
      </c>
      <c r="N98" s="68">
        <f>IF(OR($J98="",$B98=""),0,IF(YEAR($B98)*12+MONTH($B98)&lt;=YEAR($C$3)*12+MONTH($C$3),$G98,0))</f>
        <v/>
      </c>
      <c r="O98" s="68">
        <f>IF(OR($J98="",$B98=""),0,IF(YEAR($B98)*12+MONTH($B98)&lt;=YEAR($C$3)*12+MONTH($C$3)-1,$G98,0))</f>
        <v/>
      </c>
      <c r="P98" s="68">
        <f>$M98-$O98</f>
        <v/>
      </c>
      <c r="Q98" s="68">
        <f>($L98-$M98)-($N98-$O98)</f>
        <v/>
      </c>
      <c r="R98" s="68">
        <f>$L98-$N98</f>
        <v/>
      </c>
      <c r="S98" s="67">
        <f>"Finance invoice"</f>
        <v/>
      </c>
      <c r="T98" s="67">
        <f>"Revenue"</f>
        <v/>
      </c>
    </row>
    <row r="99">
      <c r="A99" s="65">
        <f>ROW()-5</f>
        <v/>
      </c>
      <c r="B99" s="66">
        <f>IFERROR(INDEX(tbl_Finance[Date],$A99),"")</f>
        <v/>
      </c>
      <c r="C99" s="67">
        <f>IFERROR(INDEX(tbl_Finance[Xero Invoice No],$A99),"")</f>
        <v/>
      </c>
      <c r="D99" s="67">
        <f>IFERROR(INDEX(tbl_Finance[Client],$A99),"")</f>
        <v/>
      </c>
      <c r="E99" s="67">
        <f>IFERROR(INDEX(tbl_Finance[Job Number],$A99),"")</f>
        <v/>
      </c>
      <c r="F99" s="67">
        <f>IFERROR(INDEX(tbl_Finance[Cost Centre],$A99),"")</f>
        <v/>
      </c>
      <c r="G99" s="68">
        <f>IFERROR(INDEX(tbl_Finance[Ex GST],$A99),"")</f>
        <v/>
      </c>
      <c r="H99" s="66">
        <f>IFERROR(INDEX(tbl_Finance[Defer Start],$A99),"")</f>
        <v/>
      </c>
      <c r="I99" s="66">
        <f>IFERROR(INDEX(tbl_Finance[Defer End],$A99),"")</f>
        <v/>
      </c>
      <c r="J99" s="65">
        <f>IF(OR($H99="",$I99="",$G99=""),"",MAX(1,(YEAR($I99)-YEAR($H99))*12+MONTH($I99)-MONTH($H99)+1))</f>
        <v/>
      </c>
      <c r="K99" s="68">
        <f>IF($J99="","",$G99/$J99)</f>
        <v/>
      </c>
      <c r="L99" s="68">
        <f>IF($J99="",0,$K99*MAX(0,MIN(YEAR($C$3)*12+MONTH($C$3),YEAR($I99)*12+MONTH($I99))-(YEAR($H99)*12+MONTH($H99))+1))</f>
        <v/>
      </c>
      <c r="M99" s="68">
        <f>IF($J99="",0,$K99*MAX(0,MIN(YEAR($C$3)*12+MONTH($C$3)-1,YEAR($I99)*12+MONTH($I99))-(YEAR($H99)*12+MONTH($H99))+1))</f>
        <v/>
      </c>
      <c r="N99" s="68">
        <f>IF(OR($J99="",$B99=""),0,IF(YEAR($B99)*12+MONTH($B99)&lt;=YEAR($C$3)*12+MONTH($C$3),$G99,0))</f>
        <v/>
      </c>
      <c r="O99" s="68">
        <f>IF(OR($J99="",$B99=""),0,IF(YEAR($B99)*12+MONTH($B99)&lt;=YEAR($C$3)*12+MONTH($C$3)-1,$G99,0))</f>
        <v/>
      </c>
      <c r="P99" s="68">
        <f>$M99-$O99</f>
        <v/>
      </c>
      <c r="Q99" s="68">
        <f>($L99-$M99)-($N99-$O99)</f>
        <v/>
      </c>
      <c r="R99" s="68">
        <f>$L99-$N99</f>
        <v/>
      </c>
      <c r="S99" s="67">
        <f>"Finance invoice"</f>
        <v/>
      </c>
      <c r="T99" s="67">
        <f>"Revenue"</f>
        <v/>
      </c>
    </row>
    <row r="100">
      <c r="A100" s="65">
        <f>ROW()-5</f>
        <v/>
      </c>
      <c r="B100" s="66">
        <f>IFERROR(INDEX(tbl_Finance[Date],$A100),"")</f>
        <v/>
      </c>
      <c r="C100" s="67">
        <f>IFERROR(INDEX(tbl_Finance[Xero Invoice No],$A100),"")</f>
        <v/>
      </c>
      <c r="D100" s="67">
        <f>IFERROR(INDEX(tbl_Finance[Client],$A100),"")</f>
        <v/>
      </c>
      <c r="E100" s="67">
        <f>IFERROR(INDEX(tbl_Finance[Job Number],$A100),"")</f>
        <v/>
      </c>
      <c r="F100" s="67">
        <f>IFERROR(INDEX(tbl_Finance[Cost Centre],$A100),"")</f>
        <v/>
      </c>
      <c r="G100" s="68">
        <f>IFERROR(INDEX(tbl_Finance[Ex GST],$A100),"")</f>
        <v/>
      </c>
      <c r="H100" s="66">
        <f>IFERROR(INDEX(tbl_Finance[Defer Start],$A100),"")</f>
        <v/>
      </c>
      <c r="I100" s="66">
        <f>IFERROR(INDEX(tbl_Finance[Defer End],$A100),"")</f>
        <v/>
      </c>
      <c r="J100" s="65">
        <f>IF(OR($H100="",$I100="",$G100=""),"",MAX(1,(YEAR($I100)-YEAR($H100))*12+MONTH($I100)-MONTH($H100)+1))</f>
        <v/>
      </c>
      <c r="K100" s="68">
        <f>IF($J100="","",$G100/$J100)</f>
        <v/>
      </c>
      <c r="L100" s="68">
        <f>IF($J100="",0,$K100*MAX(0,MIN(YEAR($C$3)*12+MONTH($C$3),YEAR($I100)*12+MONTH($I100))-(YEAR($H100)*12+MONTH($H100))+1))</f>
        <v/>
      </c>
      <c r="M100" s="68">
        <f>IF($J100="",0,$K100*MAX(0,MIN(YEAR($C$3)*12+MONTH($C$3)-1,YEAR($I100)*12+MONTH($I100))-(YEAR($H100)*12+MONTH($H100))+1))</f>
        <v/>
      </c>
      <c r="N100" s="68">
        <f>IF(OR($J100="",$B100=""),0,IF(YEAR($B100)*12+MONTH($B100)&lt;=YEAR($C$3)*12+MONTH($C$3),$G100,0))</f>
        <v/>
      </c>
      <c r="O100" s="68">
        <f>IF(OR($J100="",$B100=""),0,IF(YEAR($B100)*12+MONTH($B100)&lt;=YEAR($C$3)*12+MONTH($C$3)-1,$G100,0))</f>
        <v/>
      </c>
      <c r="P100" s="68">
        <f>$M100-$O100</f>
        <v/>
      </c>
      <c r="Q100" s="68">
        <f>($L100-$M100)-($N100-$O100)</f>
        <v/>
      </c>
      <c r="R100" s="68">
        <f>$L100-$N100</f>
        <v/>
      </c>
      <c r="S100" s="67">
        <f>"Finance invoice"</f>
        <v/>
      </c>
      <c r="T100" s="67">
        <f>"Revenue"</f>
        <v/>
      </c>
    </row>
    <row r="101">
      <c r="A101" s="65">
        <f>ROW()-5</f>
        <v/>
      </c>
      <c r="B101" s="66">
        <f>IFERROR(INDEX(tbl_Finance[Date],$A101),"")</f>
        <v/>
      </c>
      <c r="C101" s="67">
        <f>IFERROR(INDEX(tbl_Finance[Xero Invoice No],$A101),"")</f>
        <v/>
      </c>
      <c r="D101" s="67">
        <f>IFERROR(INDEX(tbl_Finance[Client],$A101),"")</f>
        <v/>
      </c>
      <c r="E101" s="67">
        <f>IFERROR(INDEX(tbl_Finance[Job Number],$A101),"")</f>
        <v/>
      </c>
      <c r="F101" s="67">
        <f>IFERROR(INDEX(tbl_Finance[Cost Centre],$A101),"")</f>
        <v/>
      </c>
      <c r="G101" s="68">
        <f>IFERROR(INDEX(tbl_Finance[Ex GST],$A101),"")</f>
        <v/>
      </c>
      <c r="H101" s="66">
        <f>IFERROR(INDEX(tbl_Finance[Defer Start],$A101),"")</f>
        <v/>
      </c>
      <c r="I101" s="66">
        <f>IFERROR(INDEX(tbl_Finance[Defer End],$A101),"")</f>
        <v/>
      </c>
      <c r="J101" s="65">
        <f>IF(OR($H101="",$I101="",$G101=""),"",MAX(1,(YEAR($I101)-YEAR($H101))*12+MONTH($I101)-MONTH($H101)+1))</f>
        <v/>
      </c>
      <c r="K101" s="68">
        <f>IF($J101="","",$G101/$J101)</f>
        <v/>
      </c>
      <c r="L101" s="68">
        <f>IF($J101="",0,$K101*MAX(0,MIN(YEAR($C$3)*12+MONTH($C$3),YEAR($I101)*12+MONTH($I101))-(YEAR($H101)*12+MONTH($H101))+1))</f>
        <v/>
      </c>
      <c r="M101" s="68">
        <f>IF($J101="",0,$K101*MAX(0,MIN(YEAR($C$3)*12+MONTH($C$3)-1,YEAR($I101)*12+MONTH($I101))-(YEAR($H101)*12+MONTH($H101))+1))</f>
        <v/>
      </c>
      <c r="N101" s="68">
        <f>IF(OR($J101="",$B101=""),0,IF(YEAR($B101)*12+MONTH($B101)&lt;=YEAR($C$3)*12+MONTH($C$3),$G101,0))</f>
        <v/>
      </c>
      <c r="O101" s="68">
        <f>IF(OR($J101="",$B101=""),0,IF(YEAR($B101)*12+MONTH($B101)&lt;=YEAR($C$3)*12+MONTH($C$3)-1,$G101,0))</f>
        <v/>
      </c>
      <c r="P101" s="68">
        <f>$M101-$O101</f>
        <v/>
      </c>
      <c r="Q101" s="68">
        <f>($L101-$M101)-($N101-$O101)</f>
        <v/>
      </c>
      <c r="R101" s="68">
        <f>$L101-$N101</f>
        <v/>
      </c>
      <c r="S101" s="67">
        <f>"Finance invoice"</f>
        <v/>
      </c>
      <c r="T101" s="67">
        <f>"Revenue"</f>
        <v/>
      </c>
    </row>
    <row r="102">
      <c r="A102" s="65">
        <f>ROW()-5</f>
        <v/>
      </c>
      <c r="B102" s="66">
        <f>IFERROR(INDEX(tbl_Finance[Date],$A102),"")</f>
        <v/>
      </c>
      <c r="C102" s="67">
        <f>IFERROR(INDEX(tbl_Finance[Xero Invoice No],$A102),"")</f>
        <v/>
      </c>
      <c r="D102" s="67">
        <f>IFERROR(INDEX(tbl_Finance[Client],$A102),"")</f>
        <v/>
      </c>
      <c r="E102" s="67">
        <f>IFERROR(INDEX(tbl_Finance[Job Number],$A102),"")</f>
        <v/>
      </c>
      <c r="F102" s="67">
        <f>IFERROR(INDEX(tbl_Finance[Cost Centre],$A102),"")</f>
        <v/>
      </c>
      <c r="G102" s="68">
        <f>IFERROR(INDEX(tbl_Finance[Ex GST],$A102),"")</f>
        <v/>
      </c>
      <c r="H102" s="66">
        <f>IFERROR(INDEX(tbl_Finance[Defer Start],$A102),"")</f>
        <v/>
      </c>
      <c r="I102" s="66">
        <f>IFERROR(INDEX(tbl_Finance[Defer End],$A102),"")</f>
        <v/>
      </c>
      <c r="J102" s="65">
        <f>IF(OR($H102="",$I102="",$G102=""),"",MAX(1,(YEAR($I102)-YEAR($H102))*12+MONTH($I102)-MONTH($H102)+1))</f>
        <v/>
      </c>
      <c r="K102" s="68">
        <f>IF($J102="","",$G102/$J102)</f>
        <v/>
      </c>
      <c r="L102" s="68">
        <f>IF($J102="",0,$K102*MAX(0,MIN(YEAR($C$3)*12+MONTH($C$3),YEAR($I102)*12+MONTH($I102))-(YEAR($H102)*12+MONTH($H102))+1))</f>
        <v/>
      </c>
      <c r="M102" s="68">
        <f>IF($J102="",0,$K102*MAX(0,MIN(YEAR($C$3)*12+MONTH($C$3)-1,YEAR($I102)*12+MONTH($I102))-(YEAR($H102)*12+MONTH($H102))+1))</f>
        <v/>
      </c>
      <c r="N102" s="68">
        <f>IF(OR($J102="",$B102=""),0,IF(YEAR($B102)*12+MONTH($B102)&lt;=YEAR($C$3)*12+MONTH($C$3),$G102,0))</f>
        <v/>
      </c>
      <c r="O102" s="68">
        <f>IF(OR($J102="",$B102=""),0,IF(YEAR($B102)*12+MONTH($B102)&lt;=YEAR($C$3)*12+MONTH($C$3)-1,$G102,0))</f>
        <v/>
      </c>
      <c r="P102" s="68">
        <f>$M102-$O102</f>
        <v/>
      </c>
      <c r="Q102" s="68">
        <f>($L102-$M102)-($N102-$O102)</f>
        <v/>
      </c>
      <c r="R102" s="68">
        <f>$L102-$N102</f>
        <v/>
      </c>
      <c r="S102" s="67">
        <f>"Finance invoice"</f>
        <v/>
      </c>
      <c r="T102" s="67">
        <f>"Revenue"</f>
        <v/>
      </c>
    </row>
    <row r="103">
      <c r="A103" s="65">
        <f>ROW()-5</f>
        <v/>
      </c>
      <c r="B103" s="66">
        <f>IFERROR(INDEX(tbl_Finance[Date],$A103),"")</f>
        <v/>
      </c>
      <c r="C103" s="67">
        <f>IFERROR(INDEX(tbl_Finance[Xero Invoice No],$A103),"")</f>
        <v/>
      </c>
      <c r="D103" s="67">
        <f>IFERROR(INDEX(tbl_Finance[Client],$A103),"")</f>
        <v/>
      </c>
      <c r="E103" s="67">
        <f>IFERROR(INDEX(tbl_Finance[Job Number],$A103),"")</f>
        <v/>
      </c>
      <c r="F103" s="67">
        <f>IFERROR(INDEX(tbl_Finance[Cost Centre],$A103),"")</f>
        <v/>
      </c>
      <c r="G103" s="68">
        <f>IFERROR(INDEX(tbl_Finance[Ex GST],$A103),"")</f>
        <v/>
      </c>
      <c r="H103" s="66">
        <f>IFERROR(INDEX(tbl_Finance[Defer Start],$A103),"")</f>
        <v/>
      </c>
      <c r="I103" s="66">
        <f>IFERROR(INDEX(tbl_Finance[Defer End],$A103),"")</f>
        <v/>
      </c>
      <c r="J103" s="65">
        <f>IF(OR($H103="",$I103="",$G103=""),"",MAX(1,(YEAR($I103)-YEAR($H103))*12+MONTH($I103)-MONTH($H103)+1))</f>
        <v/>
      </c>
      <c r="K103" s="68">
        <f>IF($J103="","",$G103/$J103)</f>
        <v/>
      </c>
      <c r="L103" s="68">
        <f>IF($J103="",0,$K103*MAX(0,MIN(YEAR($C$3)*12+MONTH($C$3),YEAR($I103)*12+MONTH($I103))-(YEAR($H103)*12+MONTH($H103))+1))</f>
        <v/>
      </c>
      <c r="M103" s="68">
        <f>IF($J103="",0,$K103*MAX(0,MIN(YEAR($C$3)*12+MONTH($C$3)-1,YEAR($I103)*12+MONTH($I103))-(YEAR($H103)*12+MONTH($H103))+1))</f>
        <v/>
      </c>
      <c r="N103" s="68">
        <f>IF(OR($J103="",$B103=""),0,IF(YEAR($B103)*12+MONTH($B103)&lt;=YEAR($C$3)*12+MONTH($C$3),$G103,0))</f>
        <v/>
      </c>
      <c r="O103" s="68">
        <f>IF(OR($J103="",$B103=""),0,IF(YEAR($B103)*12+MONTH($B103)&lt;=YEAR($C$3)*12+MONTH($C$3)-1,$G103,0))</f>
        <v/>
      </c>
      <c r="P103" s="68">
        <f>$M103-$O103</f>
        <v/>
      </c>
      <c r="Q103" s="68">
        <f>($L103-$M103)-($N103-$O103)</f>
        <v/>
      </c>
      <c r="R103" s="68">
        <f>$L103-$N103</f>
        <v/>
      </c>
      <c r="S103" s="67">
        <f>"Finance invoice"</f>
        <v/>
      </c>
      <c r="T103" s="67">
        <f>"Revenue"</f>
        <v/>
      </c>
    </row>
    <row r="104">
      <c r="A104" s="65">
        <f>ROW()-5</f>
        <v/>
      </c>
      <c r="B104" s="66">
        <f>IFERROR(INDEX(tbl_Finance[Date],$A104),"")</f>
        <v/>
      </c>
      <c r="C104" s="67">
        <f>IFERROR(INDEX(tbl_Finance[Xero Invoice No],$A104),"")</f>
        <v/>
      </c>
      <c r="D104" s="67">
        <f>IFERROR(INDEX(tbl_Finance[Client],$A104),"")</f>
        <v/>
      </c>
      <c r="E104" s="67">
        <f>IFERROR(INDEX(tbl_Finance[Job Number],$A104),"")</f>
        <v/>
      </c>
      <c r="F104" s="67">
        <f>IFERROR(INDEX(tbl_Finance[Cost Centre],$A104),"")</f>
        <v/>
      </c>
      <c r="G104" s="68">
        <f>IFERROR(INDEX(tbl_Finance[Ex GST],$A104),"")</f>
        <v/>
      </c>
      <c r="H104" s="66">
        <f>IFERROR(INDEX(tbl_Finance[Defer Start],$A104),"")</f>
        <v/>
      </c>
      <c r="I104" s="66">
        <f>IFERROR(INDEX(tbl_Finance[Defer End],$A104),"")</f>
        <v/>
      </c>
      <c r="J104" s="65">
        <f>IF(OR($H104="",$I104="",$G104=""),"",MAX(1,(YEAR($I104)-YEAR($H104))*12+MONTH($I104)-MONTH($H104)+1))</f>
        <v/>
      </c>
      <c r="K104" s="68">
        <f>IF($J104="","",$G104/$J104)</f>
        <v/>
      </c>
      <c r="L104" s="68">
        <f>IF($J104="",0,$K104*MAX(0,MIN(YEAR($C$3)*12+MONTH($C$3),YEAR($I104)*12+MONTH($I104))-(YEAR($H104)*12+MONTH($H104))+1))</f>
        <v/>
      </c>
      <c r="M104" s="68">
        <f>IF($J104="",0,$K104*MAX(0,MIN(YEAR($C$3)*12+MONTH($C$3)-1,YEAR($I104)*12+MONTH($I104))-(YEAR($H104)*12+MONTH($H104))+1))</f>
        <v/>
      </c>
      <c r="N104" s="68">
        <f>IF(OR($J104="",$B104=""),0,IF(YEAR($B104)*12+MONTH($B104)&lt;=YEAR($C$3)*12+MONTH($C$3),$G104,0))</f>
        <v/>
      </c>
      <c r="O104" s="68">
        <f>IF(OR($J104="",$B104=""),0,IF(YEAR($B104)*12+MONTH($B104)&lt;=YEAR($C$3)*12+MONTH($C$3)-1,$G104,0))</f>
        <v/>
      </c>
      <c r="P104" s="68">
        <f>$M104-$O104</f>
        <v/>
      </c>
      <c r="Q104" s="68">
        <f>($L104-$M104)-($N104-$O104)</f>
        <v/>
      </c>
      <c r="R104" s="68">
        <f>$L104-$N104</f>
        <v/>
      </c>
      <c r="S104" s="67">
        <f>"Finance invoice"</f>
        <v/>
      </c>
      <c r="T104" s="67">
        <f>"Revenue"</f>
        <v/>
      </c>
    </row>
    <row r="105">
      <c r="A105" s="65">
        <f>ROW()-5</f>
        <v/>
      </c>
      <c r="B105" s="66">
        <f>IFERROR(INDEX(tbl_Finance[Date],$A105),"")</f>
        <v/>
      </c>
      <c r="C105" s="67">
        <f>IFERROR(INDEX(tbl_Finance[Xero Invoice No],$A105),"")</f>
        <v/>
      </c>
      <c r="D105" s="67">
        <f>IFERROR(INDEX(tbl_Finance[Client],$A105),"")</f>
        <v/>
      </c>
      <c r="E105" s="67">
        <f>IFERROR(INDEX(tbl_Finance[Job Number],$A105),"")</f>
        <v/>
      </c>
      <c r="F105" s="67">
        <f>IFERROR(INDEX(tbl_Finance[Cost Centre],$A105),"")</f>
        <v/>
      </c>
      <c r="G105" s="68">
        <f>IFERROR(INDEX(tbl_Finance[Ex GST],$A105),"")</f>
        <v/>
      </c>
      <c r="H105" s="66">
        <f>IFERROR(INDEX(tbl_Finance[Defer Start],$A105),"")</f>
        <v/>
      </c>
      <c r="I105" s="66">
        <f>IFERROR(INDEX(tbl_Finance[Defer End],$A105),"")</f>
        <v/>
      </c>
      <c r="J105" s="65">
        <f>IF(OR($H105="",$I105="",$G105=""),"",MAX(1,(YEAR($I105)-YEAR($H105))*12+MONTH($I105)-MONTH($H105)+1))</f>
        <v/>
      </c>
      <c r="K105" s="68">
        <f>IF($J105="","",$G105/$J105)</f>
        <v/>
      </c>
      <c r="L105" s="68">
        <f>IF($J105="",0,$K105*MAX(0,MIN(YEAR($C$3)*12+MONTH($C$3),YEAR($I105)*12+MONTH($I105))-(YEAR($H105)*12+MONTH($H105))+1))</f>
        <v/>
      </c>
      <c r="M105" s="68">
        <f>IF($J105="",0,$K105*MAX(0,MIN(YEAR($C$3)*12+MONTH($C$3)-1,YEAR($I105)*12+MONTH($I105))-(YEAR($H105)*12+MONTH($H105))+1))</f>
        <v/>
      </c>
      <c r="N105" s="68">
        <f>IF(OR($J105="",$B105=""),0,IF(YEAR($B105)*12+MONTH($B105)&lt;=YEAR($C$3)*12+MONTH($C$3),$G105,0))</f>
        <v/>
      </c>
      <c r="O105" s="68">
        <f>IF(OR($J105="",$B105=""),0,IF(YEAR($B105)*12+MONTH($B105)&lt;=YEAR($C$3)*12+MONTH($C$3)-1,$G105,0))</f>
        <v/>
      </c>
      <c r="P105" s="68">
        <f>$M105-$O105</f>
        <v/>
      </c>
      <c r="Q105" s="68">
        <f>($L105-$M105)-($N105-$O105)</f>
        <v/>
      </c>
      <c r="R105" s="68">
        <f>$L105-$N105</f>
        <v/>
      </c>
      <c r="S105" s="67">
        <f>"Finance invoice"</f>
        <v/>
      </c>
      <c r="T105" s="67">
        <f>"Revenue"</f>
        <v/>
      </c>
    </row>
    <row r="106">
      <c r="A106" s="65">
        <f>ROW()-5</f>
        <v/>
      </c>
      <c r="B106" s="66">
        <f>IFERROR(INDEX(tbl_Finance[Date],$A106),"")</f>
        <v/>
      </c>
      <c r="C106" s="67">
        <f>IFERROR(INDEX(tbl_Finance[Xero Invoice No],$A106),"")</f>
        <v/>
      </c>
      <c r="D106" s="67">
        <f>IFERROR(INDEX(tbl_Finance[Client],$A106),"")</f>
        <v/>
      </c>
      <c r="E106" s="67">
        <f>IFERROR(INDEX(tbl_Finance[Job Number],$A106),"")</f>
        <v/>
      </c>
      <c r="F106" s="67">
        <f>IFERROR(INDEX(tbl_Finance[Cost Centre],$A106),"")</f>
        <v/>
      </c>
      <c r="G106" s="68">
        <f>IFERROR(INDEX(tbl_Finance[Ex GST],$A106),"")</f>
        <v/>
      </c>
      <c r="H106" s="66">
        <f>IFERROR(INDEX(tbl_Finance[Defer Start],$A106),"")</f>
        <v/>
      </c>
      <c r="I106" s="66">
        <f>IFERROR(INDEX(tbl_Finance[Defer End],$A106),"")</f>
        <v/>
      </c>
      <c r="J106" s="65">
        <f>IF(OR($H106="",$I106="",$G106=""),"",MAX(1,(YEAR($I106)-YEAR($H106))*12+MONTH($I106)-MONTH($H106)+1))</f>
        <v/>
      </c>
      <c r="K106" s="68">
        <f>IF($J106="","",$G106/$J106)</f>
        <v/>
      </c>
      <c r="L106" s="68">
        <f>IF($J106="",0,$K106*MAX(0,MIN(YEAR($C$3)*12+MONTH($C$3),YEAR($I106)*12+MONTH($I106))-(YEAR($H106)*12+MONTH($H106))+1))</f>
        <v/>
      </c>
      <c r="M106" s="68">
        <f>IF($J106="",0,$K106*MAX(0,MIN(YEAR($C$3)*12+MONTH($C$3)-1,YEAR($I106)*12+MONTH($I106))-(YEAR($H106)*12+MONTH($H106))+1))</f>
        <v/>
      </c>
      <c r="N106" s="68">
        <f>IF(OR($J106="",$B106=""),0,IF(YEAR($B106)*12+MONTH($B106)&lt;=YEAR($C$3)*12+MONTH($C$3),$G106,0))</f>
        <v/>
      </c>
      <c r="O106" s="68">
        <f>IF(OR($J106="",$B106=""),0,IF(YEAR($B106)*12+MONTH($B106)&lt;=YEAR($C$3)*12+MONTH($C$3)-1,$G106,0))</f>
        <v/>
      </c>
      <c r="P106" s="68">
        <f>$M106-$O106</f>
        <v/>
      </c>
      <c r="Q106" s="68">
        <f>($L106-$M106)-($N106-$O106)</f>
        <v/>
      </c>
      <c r="R106" s="68">
        <f>$L106-$N106</f>
        <v/>
      </c>
      <c r="S106" s="67">
        <f>"Finance invoice"</f>
        <v/>
      </c>
      <c r="T106" s="67">
        <f>"Revenue"</f>
        <v/>
      </c>
    </row>
    <row r="107">
      <c r="A107" s="65">
        <f>ROW()-5</f>
        <v/>
      </c>
      <c r="B107" s="66">
        <f>IFERROR(INDEX(tbl_Finance[Date],$A107),"")</f>
        <v/>
      </c>
      <c r="C107" s="67">
        <f>IFERROR(INDEX(tbl_Finance[Xero Invoice No],$A107),"")</f>
        <v/>
      </c>
      <c r="D107" s="67">
        <f>IFERROR(INDEX(tbl_Finance[Client],$A107),"")</f>
        <v/>
      </c>
      <c r="E107" s="67">
        <f>IFERROR(INDEX(tbl_Finance[Job Number],$A107),"")</f>
        <v/>
      </c>
      <c r="F107" s="67">
        <f>IFERROR(INDEX(tbl_Finance[Cost Centre],$A107),"")</f>
        <v/>
      </c>
      <c r="G107" s="68">
        <f>IFERROR(INDEX(tbl_Finance[Ex GST],$A107),"")</f>
        <v/>
      </c>
      <c r="H107" s="66">
        <f>IFERROR(INDEX(tbl_Finance[Defer Start],$A107),"")</f>
        <v/>
      </c>
      <c r="I107" s="66">
        <f>IFERROR(INDEX(tbl_Finance[Defer End],$A107),"")</f>
        <v/>
      </c>
      <c r="J107" s="65">
        <f>IF(OR($H107="",$I107="",$G107=""),"",MAX(1,(YEAR($I107)-YEAR($H107))*12+MONTH($I107)-MONTH($H107)+1))</f>
        <v/>
      </c>
      <c r="K107" s="68">
        <f>IF($J107="","",$G107/$J107)</f>
        <v/>
      </c>
      <c r="L107" s="68">
        <f>IF($J107="",0,$K107*MAX(0,MIN(YEAR($C$3)*12+MONTH($C$3),YEAR($I107)*12+MONTH($I107))-(YEAR($H107)*12+MONTH($H107))+1))</f>
        <v/>
      </c>
      <c r="M107" s="68">
        <f>IF($J107="",0,$K107*MAX(0,MIN(YEAR($C$3)*12+MONTH($C$3)-1,YEAR($I107)*12+MONTH($I107))-(YEAR($H107)*12+MONTH($H107))+1))</f>
        <v/>
      </c>
      <c r="N107" s="68">
        <f>IF(OR($J107="",$B107=""),0,IF(YEAR($B107)*12+MONTH($B107)&lt;=YEAR($C$3)*12+MONTH($C$3),$G107,0))</f>
        <v/>
      </c>
      <c r="O107" s="68">
        <f>IF(OR($J107="",$B107=""),0,IF(YEAR($B107)*12+MONTH($B107)&lt;=YEAR($C$3)*12+MONTH($C$3)-1,$G107,0))</f>
        <v/>
      </c>
      <c r="P107" s="68">
        <f>$M107-$O107</f>
        <v/>
      </c>
      <c r="Q107" s="68">
        <f>($L107-$M107)-($N107-$O107)</f>
        <v/>
      </c>
      <c r="R107" s="68">
        <f>$L107-$N107</f>
        <v/>
      </c>
      <c r="S107" s="67">
        <f>"Finance invoice"</f>
        <v/>
      </c>
      <c r="T107" s="67">
        <f>"Revenue"</f>
        <v/>
      </c>
    </row>
    <row r="108">
      <c r="A108" s="65">
        <f>ROW()-5</f>
        <v/>
      </c>
      <c r="B108" s="66">
        <f>IFERROR(INDEX(tbl_Finance[Date],$A108),"")</f>
        <v/>
      </c>
      <c r="C108" s="67">
        <f>IFERROR(INDEX(tbl_Finance[Xero Invoice No],$A108),"")</f>
        <v/>
      </c>
      <c r="D108" s="67">
        <f>IFERROR(INDEX(tbl_Finance[Client],$A108),"")</f>
        <v/>
      </c>
      <c r="E108" s="67">
        <f>IFERROR(INDEX(tbl_Finance[Job Number],$A108),"")</f>
        <v/>
      </c>
      <c r="F108" s="67">
        <f>IFERROR(INDEX(tbl_Finance[Cost Centre],$A108),"")</f>
        <v/>
      </c>
      <c r="G108" s="68">
        <f>IFERROR(INDEX(tbl_Finance[Ex GST],$A108),"")</f>
        <v/>
      </c>
      <c r="H108" s="66">
        <f>IFERROR(INDEX(tbl_Finance[Defer Start],$A108),"")</f>
        <v/>
      </c>
      <c r="I108" s="66">
        <f>IFERROR(INDEX(tbl_Finance[Defer End],$A108),"")</f>
        <v/>
      </c>
      <c r="J108" s="65">
        <f>IF(OR($H108="",$I108="",$G108=""),"",MAX(1,(YEAR($I108)-YEAR($H108))*12+MONTH($I108)-MONTH($H108)+1))</f>
        <v/>
      </c>
      <c r="K108" s="68">
        <f>IF($J108="","",$G108/$J108)</f>
        <v/>
      </c>
      <c r="L108" s="68">
        <f>IF($J108="",0,$K108*MAX(0,MIN(YEAR($C$3)*12+MONTH($C$3),YEAR($I108)*12+MONTH($I108))-(YEAR($H108)*12+MONTH($H108))+1))</f>
        <v/>
      </c>
      <c r="M108" s="68">
        <f>IF($J108="",0,$K108*MAX(0,MIN(YEAR($C$3)*12+MONTH($C$3)-1,YEAR($I108)*12+MONTH($I108))-(YEAR($H108)*12+MONTH($H108))+1))</f>
        <v/>
      </c>
      <c r="N108" s="68">
        <f>IF(OR($J108="",$B108=""),0,IF(YEAR($B108)*12+MONTH($B108)&lt;=YEAR($C$3)*12+MONTH($C$3),$G108,0))</f>
        <v/>
      </c>
      <c r="O108" s="68">
        <f>IF(OR($J108="",$B108=""),0,IF(YEAR($B108)*12+MONTH($B108)&lt;=YEAR($C$3)*12+MONTH($C$3)-1,$G108,0))</f>
        <v/>
      </c>
      <c r="P108" s="68">
        <f>$M108-$O108</f>
        <v/>
      </c>
      <c r="Q108" s="68">
        <f>($L108-$M108)-($N108-$O108)</f>
        <v/>
      </c>
      <c r="R108" s="68">
        <f>$L108-$N108</f>
        <v/>
      </c>
      <c r="S108" s="67">
        <f>"Finance invoice"</f>
        <v/>
      </c>
      <c r="T108" s="67">
        <f>"Revenue"</f>
        <v/>
      </c>
    </row>
    <row r="109">
      <c r="A109" s="65">
        <f>ROW()-5</f>
        <v/>
      </c>
      <c r="B109" s="66">
        <f>IFERROR(INDEX(tbl_Finance[Date],$A109),"")</f>
        <v/>
      </c>
      <c r="C109" s="67">
        <f>IFERROR(INDEX(tbl_Finance[Xero Invoice No],$A109),"")</f>
        <v/>
      </c>
      <c r="D109" s="67">
        <f>IFERROR(INDEX(tbl_Finance[Client],$A109),"")</f>
        <v/>
      </c>
      <c r="E109" s="67">
        <f>IFERROR(INDEX(tbl_Finance[Job Number],$A109),"")</f>
        <v/>
      </c>
      <c r="F109" s="67">
        <f>IFERROR(INDEX(tbl_Finance[Cost Centre],$A109),"")</f>
        <v/>
      </c>
      <c r="G109" s="68">
        <f>IFERROR(INDEX(tbl_Finance[Ex GST],$A109),"")</f>
        <v/>
      </c>
      <c r="H109" s="66">
        <f>IFERROR(INDEX(tbl_Finance[Defer Start],$A109),"")</f>
        <v/>
      </c>
      <c r="I109" s="66">
        <f>IFERROR(INDEX(tbl_Finance[Defer End],$A109),"")</f>
        <v/>
      </c>
      <c r="J109" s="65">
        <f>IF(OR($H109="",$I109="",$G109=""),"",MAX(1,(YEAR($I109)-YEAR($H109))*12+MONTH($I109)-MONTH($H109)+1))</f>
        <v/>
      </c>
      <c r="K109" s="68">
        <f>IF($J109="","",$G109/$J109)</f>
        <v/>
      </c>
      <c r="L109" s="68">
        <f>IF($J109="",0,$K109*MAX(0,MIN(YEAR($C$3)*12+MONTH($C$3),YEAR($I109)*12+MONTH($I109))-(YEAR($H109)*12+MONTH($H109))+1))</f>
        <v/>
      </c>
      <c r="M109" s="68">
        <f>IF($J109="",0,$K109*MAX(0,MIN(YEAR($C$3)*12+MONTH($C$3)-1,YEAR($I109)*12+MONTH($I109))-(YEAR($H109)*12+MONTH($H109))+1))</f>
        <v/>
      </c>
      <c r="N109" s="68">
        <f>IF(OR($J109="",$B109=""),0,IF(YEAR($B109)*12+MONTH($B109)&lt;=YEAR($C$3)*12+MONTH($C$3),$G109,0))</f>
        <v/>
      </c>
      <c r="O109" s="68">
        <f>IF(OR($J109="",$B109=""),0,IF(YEAR($B109)*12+MONTH($B109)&lt;=YEAR($C$3)*12+MONTH($C$3)-1,$G109,0))</f>
        <v/>
      </c>
      <c r="P109" s="68">
        <f>$M109-$O109</f>
        <v/>
      </c>
      <c r="Q109" s="68">
        <f>($L109-$M109)-($N109-$O109)</f>
        <v/>
      </c>
      <c r="R109" s="68">
        <f>$L109-$N109</f>
        <v/>
      </c>
      <c r="S109" s="67">
        <f>"Finance invoice"</f>
        <v/>
      </c>
      <c r="T109" s="67">
        <f>"Revenue"</f>
        <v/>
      </c>
    </row>
    <row r="110">
      <c r="A110" s="65">
        <f>ROW()-5</f>
        <v/>
      </c>
      <c r="B110" s="66">
        <f>IFERROR(INDEX(tbl_Finance[Date],$A110),"")</f>
        <v/>
      </c>
      <c r="C110" s="67">
        <f>IFERROR(INDEX(tbl_Finance[Xero Invoice No],$A110),"")</f>
        <v/>
      </c>
      <c r="D110" s="67">
        <f>IFERROR(INDEX(tbl_Finance[Client],$A110),"")</f>
        <v/>
      </c>
      <c r="E110" s="67">
        <f>IFERROR(INDEX(tbl_Finance[Job Number],$A110),"")</f>
        <v/>
      </c>
      <c r="F110" s="67">
        <f>IFERROR(INDEX(tbl_Finance[Cost Centre],$A110),"")</f>
        <v/>
      </c>
      <c r="G110" s="68">
        <f>IFERROR(INDEX(tbl_Finance[Ex GST],$A110),"")</f>
        <v/>
      </c>
      <c r="H110" s="66">
        <f>IFERROR(INDEX(tbl_Finance[Defer Start],$A110),"")</f>
        <v/>
      </c>
      <c r="I110" s="66">
        <f>IFERROR(INDEX(tbl_Finance[Defer End],$A110),"")</f>
        <v/>
      </c>
      <c r="J110" s="65">
        <f>IF(OR($H110="",$I110="",$G110=""),"",MAX(1,(YEAR($I110)-YEAR($H110))*12+MONTH($I110)-MONTH($H110)+1))</f>
        <v/>
      </c>
      <c r="K110" s="68">
        <f>IF($J110="","",$G110/$J110)</f>
        <v/>
      </c>
      <c r="L110" s="68">
        <f>IF($J110="",0,$K110*MAX(0,MIN(YEAR($C$3)*12+MONTH($C$3),YEAR($I110)*12+MONTH($I110))-(YEAR($H110)*12+MONTH($H110))+1))</f>
        <v/>
      </c>
      <c r="M110" s="68">
        <f>IF($J110="",0,$K110*MAX(0,MIN(YEAR($C$3)*12+MONTH($C$3)-1,YEAR($I110)*12+MONTH($I110))-(YEAR($H110)*12+MONTH($H110))+1))</f>
        <v/>
      </c>
      <c r="N110" s="68">
        <f>IF(OR($J110="",$B110=""),0,IF(YEAR($B110)*12+MONTH($B110)&lt;=YEAR($C$3)*12+MONTH($C$3),$G110,0))</f>
        <v/>
      </c>
      <c r="O110" s="68">
        <f>IF(OR($J110="",$B110=""),0,IF(YEAR($B110)*12+MONTH($B110)&lt;=YEAR($C$3)*12+MONTH($C$3)-1,$G110,0))</f>
        <v/>
      </c>
      <c r="P110" s="68">
        <f>$M110-$O110</f>
        <v/>
      </c>
      <c r="Q110" s="68">
        <f>($L110-$M110)-($N110-$O110)</f>
        <v/>
      </c>
      <c r="R110" s="68">
        <f>$L110-$N110</f>
        <v/>
      </c>
      <c r="S110" s="67">
        <f>"Finance invoice"</f>
        <v/>
      </c>
      <c r="T110" s="67">
        <f>"Revenue"</f>
        <v/>
      </c>
    </row>
    <row r="111">
      <c r="A111" s="65">
        <f>ROW()-5</f>
        <v/>
      </c>
      <c r="B111" s="66">
        <f>IFERROR(INDEX(tbl_Finance[Date],$A111),"")</f>
        <v/>
      </c>
      <c r="C111" s="67">
        <f>IFERROR(INDEX(tbl_Finance[Xero Invoice No],$A111),"")</f>
        <v/>
      </c>
      <c r="D111" s="67">
        <f>IFERROR(INDEX(tbl_Finance[Client],$A111),"")</f>
        <v/>
      </c>
      <c r="E111" s="67">
        <f>IFERROR(INDEX(tbl_Finance[Job Number],$A111),"")</f>
        <v/>
      </c>
      <c r="F111" s="67">
        <f>IFERROR(INDEX(tbl_Finance[Cost Centre],$A111),"")</f>
        <v/>
      </c>
      <c r="G111" s="68">
        <f>IFERROR(INDEX(tbl_Finance[Ex GST],$A111),"")</f>
        <v/>
      </c>
      <c r="H111" s="66">
        <f>IFERROR(INDEX(tbl_Finance[Defer Start],$A111),"")</f>
        <v/>
      </c>
      <c r="I111" s="66">
        <f>IFERROR(INDEX(tbl_Finance[Defer End],$A111),"")</f>
        <v/>
      </c>
      <c r="J111" s="65">
        <f>IF(OR($H111="",$I111="",$G111=""),"",MAX(1,(YEAR($I111)-YEAR($H111))*12+MONTH($I111)-MONTH($H111)+1))</f>
        <v/>
      </c>
      <c r="K111" s="68">
        <f>IF($J111="","",$G111/$J111)</f>
        <v/>
      </c>
      <c r="L111" s="68">
        <f>IF($J111="",0,$K111*MAX(0,MIN(YEAR($C$3)*12+MONTH($C$3),YEAR($I111)*12+MONTH($I111))-(YEAR($H111)*12+MONTH($H111))+1))</f>
        <v/>
      </c>
      <c r="M111" s="68">
        <f>IF($J111="",0,$K111*MAX(0,MIN(YEAR($C$3)*12+MONTH($C$3)-1,YEAR($I111)*12+MONTH($I111))-(YEAR($H111)*12+MONTH($H111))+1))</f>
        <v/>
      </c>
      <c r="N111" s="68">
        <f>IF(OR($J111="",$B111=""),0,IF(YEAR($B111)*12+MONTH($B111)&lt;=YEAR($C$3)*12+MONTH($C$3),$G111,0))</f>
        <v/>
      </c>
      <c r="O111" s="68">
        <f>IF(OR($J111="",$B111=""),0,IF(YEAR($B111)*12+MONTH($B111)&lt;=YEAR($C$3)*12+MONTH($C$3)-1,$G111,0))</f>
        <v/>
      </c>
      <c r="P111" s="68">
        <f>$M111-$O111</f>
        <v/>
      </c>
      <c r="Q111" s="68">
        <f>($L111-$M111)-($N111-$O111)</f>
        <v/>
      </c>
      <c r="R111" s="68">
        <f>$L111-$N111</f>
        <v/>
      </c>
      <c r="S111" s="67">
        <f>"Finance invoice"</f>
        <v/>
      </c>
      <c r="T111" s="67">
        <f>"Revenue"</f>
        <v/>
      </c>
    </row>
    <row r="112">
      <c r="A112" s="65">
        <f>ROW()-5</f>
        <v/>
      </c>
      <c r="B112" s="66">
        <f>IFERROR(INDEX(tbl_Finance[Date],$A112),"")</f>
        <v/>
      </c>
      <c r="C112" s="67">
        <f>IFERROR(INDEX(tbl_Finance[Xero Invoice No],$A112),"")</f>
        <v/>
      </c>
      <c r="D112" s="67">
        <f>IFERROR(INDEX(tbl_Finance[Client],$A112),"")</f>
        <v/>
      </c>
      <c r="E112" s="67">
        <f>IFERROR(INDEX(tbl_Finance[Job Number],$A112),"")</f>
        <v/>
      </c>
      <c r="F112" s="67">
        <f>IFERROR(INDEX(tbl_Finance[Cost Centre],$A112),"")</f>
        <v/>
      </c>
      <c r="G112" s="68">
        <f>IFERROR(INDEX(tbl_Finance[Ex GST],$A112),"")</f>
        <v/>
      </c>
      <c r="H112" s="66">
        <f>IFERROR(INDEX(tbl_Finance[Defer Start],$A112),"")</f>
        <v/>
      </c>
      <c r="I112" s="66">
        <f>IFERROR(INDEX(tbl_Finance[Defer End],$A112),"")</f>
        <v/>
      </c>
      <c r="J112" s="65">
        <f>IF(OR($H112="",$I112="",$G112=""),"",MAX(1,(YEAR($I112)-YEAR($H112))*12+MONTH($I112)-MONTH($H112)+1))</f>
        <v/>
      </c>
      <c r="K112" s="68">
        <f>IF($J112="","",$G112/$J112)</f>
        <v/>
      </c>
      <c r="L112" s="68">
        <f>IF($J112="",0,$K112*MAX(0,MIN(YEAR($C$3)*12+MONTH($C$3),YEAR($I112)*12+MONTH($I112))-(YEAR($H112)*12+MONTH($H112))+1))</f>
        <v/>
      </c>
      <c r="M112" s="68">
        <f>IF($J112="",0,$K112*MAX(0,MIN(YEAR($C$3)*12+MONTH($C$3)-1,YEAR($I112)*12+MONTH($I112))-(YEAR($H112)*12+MONTH($H112))+1))</f>
        <v/>
      </c>
      <c r="N112" s="68">
        <f>IF(OR($J112="",$B112=""),0,IF(YEAR($B112)*12+MONTH($B112)&lt;=YEAR($C$3)*12+MONTH($C$3),$G112,0))</f>
        <v/>
      </c>
      <c r="O112" s="68">
        <f>IF(OR($J112="",$B112=""),0,IF(YEAR($B112)*12+MONTH($B112)&lt;=YEAR($C$3)*12+MONTH($C$3)-1,$G112,0))</f>
        <v/>
      </c>
      <c r="P112" s="68">
        <f>$M112-$O112</f>
        <v/>
      </c>
      <c r="Q112" s="68">
        <f>($L112-$M112)-($N112-$O112)</f>
        <v/>
      </c>
      <c r="R112" s="68">
        <f>$L112-$N112</f>
        <v/>
      </c>
      <c r="S112" s="67">
        <f>"Finance invoice"</f>
        <v/>
      </c>
      <c r="T112" s="67">
        <f>"Revenue"</f>
        <v/>
      </c>
    </row>
    <row r="113">
      <c r="A113" s="65">
        <f>ROW()-5</f>
        <v/>
      </c>
      <c r="B113" s="66">
        <f>IFERROR(INDEX(tbl_Finance[Date],$A113),"")</f>
        <v/>
      </c>
      <c r="C113" s="67">
        <f>IFERROR(INDEX(tbl_Finance[Xero Invoice No],$A113),"")</f>
        <v/>
      </c>
      <c r="D113" s="67">
        <f>IFERROR(INDEX(tbl_Finance[Client],$A113),"")</f>
        <v/>
      </c>
      <c r="E113" s="67">
        <f>IFERROR(INDEX(tbl_Finance[Job Number],$A113),"")</f>
        <v/>
      </c>
      <c r="F113" s="67">
        <f>IFERROR(INDEX(tbl_Finance[Cost Centre],$A113),"")</f>
        <v/>
      </c>
      <c r="G113" s="68">
        <f>IFERROR(INDEX(tbl_Finance[Ex GST],$A113),"")</f>
        <v/>
      </c>
      <c r="H113" s="66">
        <f>IFERROR(INDEX(tbl_Finance[Defer Start],$A113),"")</f>
        <v/>
      </c>
      <c r="I113" s="66">
        <f>IFERROR(INDEX(tbl_Finance[Defer End],$A113),"")</f>
        <v/>
      </c>
      <c r="J113" s="65">
        <f>IF(OR($H113="",$I113="",$G113=""),"",MAX(1,(YEAR($I113)-YEAR($H113))*12+MONTH($I113)-MONTH($H113)+1))</f>
        <v/>
      </c>
      <c r="K113" s="68">
        <f>IF($J113="","",$G113/$J113)</f>
        <v/>
      </c>
      <c r="L113" s="68">
        <f>IF($J113="",0,$K113*MAX(0,MIN(YEAR($C$3)*12+MONTH($C$3),YEAR($I113)*12+MONTH($I113))-(YEAR($H113)*12+MONTH($H113))+1))</f>
        <v/>
      </c>
      <c r="M113" s="68">
        <f>IF($J113="",0,$K113*MAX(0,MIN(YEAR($C$3)*12+MONTH($C$3)-1,YEAR($I113)*12+MONTH($I113))-(YEAR($H113)*12+MONTH($H113))+1))</f>
        <v/>
      </c>
      <c r="N113" s="68">
        <f>IF(OR($J113="",$B113=""),0,IF(YEAR($B113)*12+MONTH($B113)&lt;=YEAR($C$3)*12+MONTH($C$3),$G113,0))</f>
        <v/>
      </c>
      <c r="O113" s="68">
        <f>IF(OR($J113="",$B113=""),0,IF(YEAR($B113)*12+MONTH($B113)&lt;=YEAR($C$3)*12+MONTH($C$3)-1,$G113,0))</f>
        <v/>
      </c>
      <c r="P113" s="68">
        <f>$M113-$O113</f>
        <v/>
      </c>
      <c r="Q113" s="68">
        <f>($L113-$M113)-($N113-$O113)</f>
        <v/>
      </c>
      <c r="R113" s="68">
        <f>$L113-$N113</f>
        <v/>
      </c>
      <c r="S113" s="67">
        <f>"Finance invoice"</f>
        <v/>
      </c>
      <c r="T113" s="67">
        <f>"Revenue"</f>
        <v/>
      </c>
    </row>
    <row r="114">
      <c r="A114" s="65">
        <f>ROW()-5</f>
        <v/>
      </c>
      <c r="B114" s="66">
        <f>IFERROR(INDEX(tbl_Finance[Date],$A114),"")</f>
        <v/>
      </c>
      <c r="C114" s="67">
        <f>IFERROR(INDEX(tbl_Finance[Xero Invoice No],$A114),"")</f>
        <v/>
      </c>
      <c r="D114" s="67">
        <f>IFERROR(INDEX(tbl_Finance[Client],$A114),"")</f>
        <v/>
      </c>
      <c r="E114" s="67">
        <f>IFERROR(INDEX(tbl_Finance[Job Number],$A114),"")</f>
        <v/>
      </c>
      <c r="F114" s="67">
        <f>IFERROR(INDEX(tbl_Finance[Cost Centre],$A114),"")</f>
        <v/>
      </c>
      <c r="G114" s="68">
        <f>IFERROR(INDEX(tbl_Finance[Ex GST],$A114),"")</f>
        <v/>
      </c>
      <c r="H114" s="66">
        <f>IFERROR(INDEX(tbl_Finance[Defer Start],$A114),"")</f>
        <v/>
      </c>
      <c r="I114" s="66">
        <f>IFERROR(INDEX(tbl_Finance[Defer End],$A114),"")</f>
        <v/>
      </c>
      <c r="J114" s="65">
        <f>IF(OR($H114="",$I114="",$G114=""),"",MAX(1,(YEAR($I114)-YEAR($H114))*12+MONTH($I114)-MONTH($H114)+1))</f>
        <v/>
      </c>
      <c r="K114" s="68">
        <f>IF($J114="","",$G114/$J114)</f>
        <v/>
      </c>
      <c r="L114" s="68">
        <f>IF($J114="",0,$K114*MAX(0,MIN(YEAR($C$3)*12+MONTH($C$3),YEAR($I114)*12+MONTH($I114))-(YEAR($H114)*12+MONTH($H114))+1))</f>
        <v/>
      </c>
      <c r="M114" s="68">
        <f>IF($J114="",0,$K114*MAX(0,MIN(YEAR($C$3)*12+MONTH($C$3)-1,YEAR($I114)*12+MONTH($I114))-(YEAR($H114)*12+MONTH($H114))+1))</f>
        <v/>
      </c>
      <c r="N114" s="68">
        <f>IF(OR($J114="",$B114=""),0,IF(YEAR($B114)*12+MONTH($B114)&lt;=YEAR($C$3)*12+MONTH($C$3),$G114,0))</f>
        <v/>
      </c>
      <c r="O114" s="68">
        <f>IF(OR($J114="",$B114=""),0,IF(YEAR($B114)*12+MONTH($B114)&lt;=YEAR($C$3)*12+MONTH($C$3)-1,$G114,0))</f>
        <v/>
      </c>
      <c r="P114" s="68">
        <f>$M114-$O114</f>
        <v/>
      </c>
      <c r="Q114" s="68">
        <f>($L114-$M114)-($N114-$O114)</f>
        <v/>
      </c>
      <c r="R114" s="68">
        <f>$L114-$N114</f>
        <v/>
      </c>
      <c r="S114" s="67">
        <f>"Finance invoice"</f>
        <v/>
      </c>
      <c r="T114" s="67">
        <f>"Revenue"</f>
        <v/>
      </c>
    </row>
    <row r="115">
      <c r="A115" s="65">
        <f>ROW()-5</f>
        <v/>
      </c>
      <c r="B115" s="66">
        <f>IFERROR(INDEX(tbl_Finance[Date],$A115),"")</f>
        <v/>
      </c>
      <c r="C115" s="67">
        <f>IFERROR(INDEX(tbl_Finance[Xero Invoice No],$A115),"")</f>
        <v/>
      </c>
      <c r="D115" s="67">
        <f>IFERROR(INDEX(tbl_Finance[Client],$A115),"")</f>
        <v/>
      </c>
      <c r="E115" s="67">
        <f>IFERROR(INDEX(tbl_Finance[Job Number],$A115),"")</f>
        <v/>
      </c>
      <c r="F115" s="67">
        <f>IFERROR(INDEX(tbl_Finance[Cost Centre],$A115),"")</f>
        <v/>
      </c>
      <c r="G115" s="68">
        <f>IFERROR(INDEX(tbl_Finance[Ex GST],$A115),"")</f>
        <v/>
      </c>
      <c r="H115" s="66">
        <f>IFERROR(INDEX(tbl_Finance[Defer Start],$A115),"")</f>
        <v/>
      </c>
      <c r="I115" s="66">
        <f>IFERROR(INDEX(tbl_Finance[Defer End],$A115),"")</f>
        <v/>
      </c>
      <c r="J115" s="65">
        <f>IF(OR($H115="",$I115="",$G115=""),"",MAX(1,(YEAR($I115)-YEAR($H115))*12+MONTH($I115)-MONTH($H115)+1))</f>
        <v/>
      </c>
      <c r="K115" s="68">
        <f>IF($J115="","",$G115/$J115)</f>
        <v/>
      </c>
      <c r="L115" s="68">
        <f>IF($J115="",0,$K115*MAX(0,MIN(YEAR($C$3)*12+MONTH($C$3),YEAR($I115)*12+MONTH($I115))-(YEAR($H115)*12+MONTH($H115))+1))</f>
        <v/>
      </c>
      <c r="M115" s="68">
        <f>IF($J115="",0,$K115*MAX(0,MIN(YEAR($C$3)*12+MONTH($C$3)-1,YEAR($I115)*12+MONTH($I115))-(YEAR($H115)*12+MONTH($H115))+1))</f>
        <v/>
      </c>
      <c r="N115" s="68">
        <f>IF(OR($J115="",$B115=""),0,IF(YEAR($B115)*12+MONTH($B115)&lt;=YEAR($C$3)*12+MONTH($C$3),$G115,0))</f>
        <v/>
      </c>
      <c r="O115" s="68">
        <f>IF(OR($J115="",$B115=""),0,IF(YEAR($B115)*12+MONTH($B115)&lt;=YEAR($C$3)*12+MONTH($C$3)-1,$G115,0))</f>
        <v/>
      </c>
      <c r="P115" s="68">
        <f>$M115-$O115</f>
        <v/>
      </c>
      <c r="Q115" s="68">
        <f>($L115-$M115)-($N115-$O115)</f>
        <v/>
      </c>
      <c r="R115" s="68">
        <f>$L115-$N115</f>
        <v/>
      </c>
      <c r="S115" s="67">
        <f>"Finance invoice"</f>
        <v/>
      </c>
      <c r="T115" s="67">
        <f>"Revenue"</f>
        <v/>
      </c>
    </row>
    <row r="116">
      <c r="A116" s="65">
        <f>ROW()-5</f>
        <v/>
      </c>
      <c r="B116" s="66">
        <f>IFERROR(INDEX(tbl_Finance[Date],$A116),"")</f>
        <v/>
      </c>
      <c r="C116" s="67">
        <f>IFERROR(INDEX(tbl_Finance[Xero Invoice No],$A116),"")</f>
        <v/>
      </c>
      <c r="D116" s="67">
        <f>IFERROR(INDEX(tbl_Finance[Client],$A116),"")</f>
        <v/>
      </c>
      <c r="E116" s="67">
        <f>IFERROR(INDEX(tbl_Finance[Job Number],$A116),"")</f>
        <v/>
      </c>
      <c r="F116" s="67">
        <f>IFERROR(INDEX(tbl_Finance[Cost Centre],$A116),"")</f>
        <v/>
      </c>
      <c r="G116" s="68">
        <f>IFERROR(INDEX(tbl_Finance[Ex GST],$A116),"")</f>
        <v/>
      </c>
      <c r="H116" s="66">
        <f>IFERROR(INDEX(tbl_Finance[Defer Start],$A116),"")</f>
        <v/>
      </c>
      <c r="I116" s="66">
        <f>IFERROR(INDEX(tbl_Finance[Defer End],$A116),"")</f>
        <v/>
      </c>
      <c r="J116" s="65">
        <f>IF(OR($H116="",$I116="",$G116=""),"",MAX(1,(YEAR($I116)-YEAR($H116))*12+MONTH($I116)-MONTH($H116)+1))</f>
        <v/>
      </c>
      <c r="K116" s="68">
        <f>IF($J116="","",$G116/$J116)</f>
        <v/>
      </c>
      <c r="L116" s="68">
        <f>IF($J116="",0,$K116*MAX(0,MIN(YEAR($C$3)*12+MONTH($C$3),YEAR($I116)*12+MONTH($I116))-(YEAR($H116)*12+MONTH($H116))+1))</f>
        <v/>
      </c>
      <c r="M116" s="68">
        <f>IF($J116="",0,$K116*MAX(0,MIN(YEAR($C$3)*12+MONTH($C$3)-1,YEAR($I116)*12+MONTH($I116))-(YEAR($H116)*12+MONTH($H116))+1))</f>
        <v/>
      </c>
      <c r="N116" s="68">
        <f>IF(OR($J116="",$B116=""),0,IF(YEAR($B116)*12+MONTH($B116)&lt;=YEAR($C$3)*12+MONTH($C$3),$G116,0))</f>
        <v/>
      </c>
      <c r="O116" s="68">
        <f>IF(OR($J116="",$B116=""),0,IF(YEAR($B116)*12+MONTH($B116)&lt;=YEAR($C$3)*12+MONTH($C$3)-1,$G116,0))</f>
        <v/>
      </c>
      <c r="P116" s="68">
        <f>$M116-$O116</f>
        <v/>
      </c>
      <c r="Q116" s="68">
        <f>($L116-$M116)-($N116-$O116)</f>
        <v/>
      </c>
      <c r="R116" s="68">
        <f>$L116-$N116</f>
        <v/>
      </c>
      <c r="S116" s="67">
        <f>"Finance invoice"</f>
        <v/>
      </c>
      <c r="T116" s="67">
        <f>"Revenue"</f>
        <v/>
      </c>
    </row>
    <row r="117">
      <c r="A117" s="65">
        <f>ROW()-5</f>
        <v/>
      </c>
      <c r="B117" s="66">
        <f>IFERROR(INDEX(tbl_Finance[Date],$A117),"")</f>
        <v/>
      </c>
      <c r="C117" s="67">
        <f>IFERROR(INDEX(tbl_Finance[Xero Invoice No],$A117),"")</f>
        <v/>
      </c>
      <c r="D117" s="67">
        <f>IFERROR(INDEX(tbl_Finance[Client],$A117),"")</f>
        <v/>
      </c>
      <c r="E117" s="67">
        <f>IFERROR(INDEX(tbl_Finance[Job Number],$A117),"")</f>
        <v/>
      </c>
      <c r="F117" s="67">
        <f>IFERROR(INDEX(tbl_Finance[Cost Centre],$A117),"")</f>
        <v/>
      </c>
      <c r="G117" s="68">
        <f>IFERROR(INDEX(tbl_Finance[Ex GST],$A117),"")</f>
        <v/>
      </c>
      <c r="H117" s="66">
        <f>IFERROR(INDEX(tbl_Finance[Defer Start],$A117),"")</f>
        <v/>
      </c>
      <c r="I117" s="66">
        <f>IFERROR(INDEX(tbl_Finance[Defer End],$A117),"")</f>
        <v/>
      </c>
      <c r="J117" s="65">
        <f>IF(OR($H117="",$I117="",$G117=""),"",MAX(1,(YEAR($I117)-YEAR($H117))*12+MONTH($I117)-MONTH($H117)+1))</f>
        <v/>
      </c>
      <c r="K117" s="68">
        <f>IF($J117="","",$G117/$J117)</f>
        <v/>
      </c>
      <c r="L117" s="68">
        <f>IF($J117="",0,$K117*MAX(0,MIN(YEAR($C$3)*12+MONTH($C$3),YEAR($I117)*12+MONTH($I117))-(YEAR($H117)*12+MONTH($H117))+1))</f>
        <v/>
      </c>
      <c r="M117" s="68">
        <f>IF($J117="",0,$K117*MAX(0,MIN(YEAR($C$3)*12+MONTH($C$3)-1,YEAR($I117)*12+MONTH($I117))-(YEAR($H117)*12+MONTH($H117))+1))</f>
        <v/>
      </c>
      <c r="N117" s="68">
        <f>IF(OR($J117="",$B117=""),0,IF(YEAR($B117)*12+MONTH($B117)&lt;=YEAR($C$3)*12+MONTH($C$3),$G117,0))</f>
        <v/>
      </c>
      <c r="O117" s="68">
        <f>IF(OR($J117="",$B117=""),0,IF(YEAR($B117)*12+MONTH($B117)&lt;=YEAR($C$3)*12+MONTH($C$3)-1,$G117,0))</f>
        <v/>
      </c>
      <c r="P117" s="68">
        <f>$M117-$O117</f>
        <v/>
      </c>
      <c r="Q117" s="68">
        <f>($L117-$M117)-($N117-$O117)</f>
        <v/>
      </c>
      <c r="R117" s="68">
        <f>$L117-$N117</f>
        <v/>
      </c>
      <c r="S117" s="67">
        <f>"Finance invoice"</f>
        <v/>
      </c>
      <c r="T117" s="67">
        <f>"Revenue"</f>
        <v/>
      </c>
    </row>
    <row r="118">
      <c r="A118" s="65">
        <f>ROW()-5</f>
        <v/>
      </c>
      <c r="B118" s="66">
        <f>IFERROR(INDEX(tbl_Finance[Date],$A118),"")</f>
        <v/>
      </c>
      <c r="C118" s="67">
        <f>IFERROR(INDEX(tbl_Finance[Xero Invoice No],$A118),"")</f>
        <v/>
      </c>
      <c r="D118" s="67">
        <f>IFERROR(INDEX(tbl_Finance[Client],$A118),"")</f>
        <v/>
      </c>
      <c r="E118" s="67">
        <f>IFERROR(INDEX(tbl_Finance[Job Number],$A118),"")</f>
        <v/>
      </c>
      <c r="F118" s="67">
        <f>IFERROR(INDEX(tbl_Finance[Cost Centre],$A118),"")</f>
        <v/>
      </c>
      <c r="G118" s="68">
        <f>IFERROR(INDEX(tbl_Finance[Ex GST],$A118),"")</f>
        <v/>
      </c>
      <c r="H118" s="66">
        <f>IFERROR(INDEX(tbl_Finance[Defer Start],$A118),"")</f>
        <v/>
      </c>
      <c r="I118" s="66">
        <f>IFERROR(INDEX(tbl_Finance[Defer End],$A118),"")</f>
        <v/>
      </c>
      <c r="J118" s="65">
        <f>IF(OR($H118="",$I118="",$G118=""),"",MAX(1,(YEAR($I118)-YEAR($H118))*12+MONTH($I118)-MONTH($H118)+1))</f>
        <v/>
      </c>
      <c r="K118" s="68">
        <f>IF($J118="","",$G118/$J118)</f>
        <v/>
      </c>
      <c r="L118" s="68">
        <f>IF($J118="",0,$K118*MAX(0,MIN(YEAR($C$3)*12+MONTH($C$3),YEAR($I118)*12+MONTH($I118))-(YEAR($H118)*12+MONTH($H118))+1))</f>
        <v/>
      </c>
      <c r="M118" s="68">
        <f>IF($J118="",0,$K118*MAX(0,MIN(YEAR($C$3)*12+MONTH($C$3)-1,YEAR($I118)*12+MONTH($I118))-(YEAR($H118)*12+MONTH($H118))+1))</f>
        <v/>
      </c>
      <c r="N118" s="68">
        <f>IF(OR($J118="",$B118=""),0,IF(YEAR($B118)*12+MONTH($B118)&lt;=YEAR($C$3)*12+MONTH($C$3),$G118,0))</f>
        <v/>
      </c>
      <c r="O118" s="68">
        <f>IF(OR($J118="",$B118=""),0,IF(YEAR($B118)*12+MONTH($B118)&lt;=YEAR($C$3)*12+MONTH($C$3)-1,$G118,0))</f>
        <v/>
      </c>
      <c r="P118" s="68">
        <f>$M118-$O118</f>
        <v/>
      </c>
      <c r="Q118" s="68">
        <f>($L118-$M118)-($N118-$O118)</f>
        <v/>
      </c>
      <c r="R118" s="68">
        <f>$L118-$N118</f>
        <v/>
      </c>
      <c r="S118" s="67">
        <f>"Finance invoice"</f>
        <v/>
      </c>
      <c r="T118" s="67">
        <f>"Revenue"</f>
        <v/>
      </c>
    </row>
    <row r="119">
      <c r="A119" s="65">
        <f>ROW()-5</f>
        <v/>
      </c>
      <c r="B119" s="66">
        <f>IFERROR(INDEX(tbl_Finance[Date],$A119),"")</f>
        <v/>
      </c>
      <c r="C119" s="67">
        <f>IFERROR(INDEX(tbl_Finance[Xero Invoice No],$A119),"")</f>
        <v/>
      </c>
      <c r="D119" s="67">
        <f>IFERROR(INDEX(tbl_Finance[Client],$A119),"")</f>
        <v/>
      </c>
      <c r="E119" s="67">
        <f>IFERROR(INDEX(tbl_Finance[Job Number],$A119),"")</f>
        <v/>
      </c>
      <c r="F119" s="67">
        <f>IFERROR(INDEX(tbl_Finance[Cost Centre],$A119),"")</f>
        <v/>
      </c>
      <c r="G119" s="68">
        <f>IFERROR(INDEX(tbl_Finance[Ex GST],$A119),"")</f>
        <v/>
      </c>
      <c r="H119" s="66">
        <f>IFERROR(INDEX(tbl_Finance[Defer Start],$A119),"")</f>
        <v/>
      </c>
      <c r="I119" s="66">
        <f>IFERROR(INDEX(tbl_Finance[Defer End],$A119),"")</f>
        <v/>
      </c>
      <c r="J119" s="65">
        <f>IF(OR($H119="",$I119="",$G119=""),"",MAX(1,(YEAR($I119)-YEAR($H119))*12+MONTH($I119)-MONTH($H119)+1))</f>
        <v/>
      </c>
      <c r="K119" s="68">
        <f>IF($J119="","",$G119/$J119)</f>
        <v/>
      </c>
      <c r="L119" s="68">
        <f>IF($J119="",0,$K119*MAX(0,MIN(YEAR($C$3)*12+MONTH($C$3),YEAR($I119)*12+MONTH($I119))-(YEAR($H119)*12+MONTH($H119))+1))</f>
        <v/>
      </c>
      <c r="M119" s="68">
        <f>IF($J119="",0,$K119*MAX(0,MIN(YEAR($C$3)*12+MONTH($C$3)-1,YEAR($I119)*12+MONTH($I119))-(YEAR($H119)*12+MONTH($H119))+1))</f>
        <v/>
      </c>
      <c r="N119" s="68">
        <f>IF(OR($J119="",$B119=""),0,IF(YEAR($B119)*12+MONTH($B119)&lt;=YEAR($C$3)*12+MONTH($C$3),$G119,0))</f>
        <v/>
      </c>
      <c r="O119" s="68">
        <f>IF(OR($J119="",$B119=""),0,IF(YEAR($B119)*12+MONTH($B119)&lt;=YEAR($C$3)*12+MONTH($C$3)-1,$G119,0))</f>
        <v/>
      </c>
      <c r="P119" s="68">
        <f>$M119-$O119</f>
        <v/>
      </c>
      <c r="Q119" s="68">
        <f>($L119-$M119)-($N119-$O119)</f>
        <v/>
      </c>
      <c r="R119" s="68">
        <f>$L119-$N119</f>
        <v/>
      </c>
      <c r="S119" s="67">
        <f>"Finance invoice"</f>
        <v/>
      </c>
      <c r="T119" s="67">
        <f>"Revenue"</f>
        <v/>
      </c>
    </row>
    <row r="120">
      <c r="A120" s="65">
        <f>ROW()-5</f>
        <v/>
      </c>
      <c r="B120" s="66">
        <f>IFERROR(INDEX(tbl_Finance[Date],$A120),"")</f>
        <v/>
      </c>
      <c r="C120" s="67">
        <f>IFERROR(INDEX(tbl_Finance[Xero Invoice No],$A120),"")</f>
        <v/>
      </c>
      <c r="D120" s="67">
        <f>IFERROR(INDEX(tbl_Finance[Client],$A120),"")</f>
        <v/>
      </c>
      <c r="E120" s="67">
        <f>IFERROR(INDEX(tbl_Finance[Job Number],$A120),"")</f>
        <v/>
      </c>
      <c r="F120" s="67">
        <f>IFERROR(INDEX(tbl_Finance[Cost Centre],$A120),"")</f>
        <v/>
      </c>
      <c r="G120" s="68">
        <f>IFERROR(INDEX(tbl_Finance[Ex GST],$A120),"")</f>
        <v/>
      </c>
      <c r="H120" s="66">
        <f>IFERROR(INDEX(tbl_Finance[Defer Start],$A120),"")</f>
        <v/>
      </c>
      <c r="I120" s="66">
        <f>IFERROR(INDEX(tbl_Finance[Defer End],$A120),"")</f>
        <v/>
      </c>
      <c r="J120" s="65">
        <f>IF(OR($H120="",$I120="",$G120=""),"",MAX(1,(YEAR($I120)-YEAR($H120))*12+MONTH($I120)-MONTH($H120)+1))</f>
        <v/>
      </c>
      <c r="K120" s="68">
        <f>IF($J120="","",$G120/$J120)</f>
        <v/>
      </c>
      <c r="L120" s="68">
        <f>IF($J120="",0,$K120*MAX(0,MIN(YEAR($C$3)*12+MONTH($C$3),YEAR($I120)*12+MONTH($I120))-(YEAR($H120)*12+MONTH($H120))+1))</f>
        <v/>
      </c>
      <c r="M120" s="68">
        <f>IF($J120="",0,$K120*MAX(0,MIN(YEAR($C$3)*12+MONTH($C$3)-1,YEAR($I120)*12+MONTH($I120))-(YEAR($H120)*12+MONTH($H120))+1))</f>
        <v/>
      </c>
      <c r="N120" s="68">
        <f>IF(OR($J120="",$B120=""),0,IF(YEAR($B120)*12+MONTH($B120)&lt;=YEAR($C$3)*12+MONTH($C$3),$G120,0))</f>
        <v/>
      </c>
      <c r="O120" s="68">
        <f>IF(OR($J120="",$B120=""),0,IF(YEAR($B120)*12+MONTH($B120)&lt;=YEAR($C$3)*12+MONTH($C$3)-1,$G120,0))</f>
        <v/>
      </c>
      <c r="P120" s="68">
        <f>$M120-$O120</f>
        <v/>
      </c>
      <c r="Q120" s="68">
        <f>($L120-$M120)-($N120-$O120)</f>
        <v/>
      </c>
      <c r="R120" s="68">
        <f>$L120-$N120</f>
        <v/>
      </c>
      <c r="S120" s="67">
        <f>"Finance invoice"</f>
        <v/>
      </c>
      <c r="T120" s="67">
        <f>"Revenue"</f>
        <v/>
      </c>
    </row>
    <row r="121">
      <c r="A121" s="65">
        <f>ROW()-5</f>
        <v/>
      </c>
      <c r="B121" s="66">
        <f>IFERROR(INDEX(tbl_Finance[Date],$A121),"")</f>
        <v/>
      </c>
      <c r="C121" s="67">
        <f>IFERROR(INDEX(tbl_Finance[Xero Invoice No],$A121),"")</f>
        <v/>
      </c>
      <c r="D121" s="67">
        <f>IFERROR(INDEX(tbl_Finance[Client],$A121),"")</f>
        <v/>
      </c>
      <c r="E121" s="67">
        <f>IFERROR(INDEX(tbl_Finance[Job Number],$A121),"")</f>
        <v/>
      </c>
      <c r="F121" s="67">
        <f>IFERROR(INDEX(tbl_Finance[Cost Centre],$A121),"")</f>
        <v/>
      </c>
      <c r="G121" s="68">
        <f>IFERROR(INDEX(tbl_Finance[Ex GST],$A121),"")</f>
        <v/>
      </c>
      <c r="H121" s="66">
        <f>IFERROR(INDEX(tbl_Finance[Defer Start],$A121),"")</f>
        <v/>
      </c>
      <c r="I121" s="66">
        <f>IFERROR(INDEX(tbl_Finance[Defer End],$A121),"")</f>
        <v/>
      </c>
      <c r="J121" s="65">
        <f>IF(OR($H121="",$I121="",$G121=""),"",MAX(1,(YEAR($I121)-YEAR($H121))*12+MONTH($I121)-MONTH($H121)+1))</f>
        <v/>
      </c>
      <c r="K121" s="68">
        <f>IF($J121="","",$G121/$J121)</f>
        <v/>
      </c>
      <c r="L121" s="68">
        <f>IF($J121="",0,$K121*MAX(0,MIN(YEAR($C$3)*12+MONTH($C$3),YEAR($I121)*12+MONTH($I121))-(YEAR($H121)*12+MONTH($H121))+1))</f>
        <v/>
      </c>
      <c r="M121" s="68">
        <f>IF($J121="",0,$K121*MAX(0,MIN(YEAR($C$3)*12+MONTH($C$3)-1,YEAR($I121)*12+MONTH($I121))-(YEAR($H121)*12+MONTH($H121))+1))</f>
        <v/>
      </c>
      <c r="N121" s="68">
        <f>IF(OR($J121="",$B121=""),0,IF(YEAR($B121)*12+MONTH($B121)&lt;=YEAR($C$3)*12+MONTH($C$3),$G121,0))</f>
        <v/>
      </c>
      <c r="O121" s="68">
        <f>IF(OR($J121="",$B121=""),0,IF(YEAR($B121)*12+MONTH($B121)&lt;=YEAR($C$3)*12+MONTH($C$3)-1,$G121,0))</f>
        <v/>
      </c>
      <c r="P121" s="68">
        <f>$M121-$O121</f>
        <v/>
      </c>
      <c r="Q121" s="68">
        <f>($L121-$M121)-($N121-$O121)</f>
        <v/>
      </c>
      <c r="R121" s="68">
        <f>$L121-$N121</f>
        <v/>
      </c>
      <c r="S121" s="67">
        <f>"Finance invoice"</f>
        <v/>
      </c>
      <c r="T121" s="67">
        <f>"Revenue"</f>
        <v/>
      </c>
    </row>
    <row r="122">
      <c r="A122" s="65">
        <f>ROW()-5</f>
        <v/>
      </c>
      <c r="B122" s="66">
        <f>IFERROR(INDEX(tbl_Finance[Date],$A122),"")</f>
        <v/>
      </c>
      <c r="C122" s="67">
        <f>IFERROR(INDEX(tbl_Finance[Xero Invoice No],$A122),"")</f>
        <v/>
      </c>
      <c r="D122" s="67">
        <f>IFERROR(INDEX(tbl_Finance[Client],$A122),"")</f>
        <v/>
      </c>
      <c r="E122" s="67">
        <f>IFERROR(INDEX(tbl_Finance[Job Number],$A122),"")</f>
        <v/>
      </c>
      <c r="F122" s="67">
        <f>IFERROR(INDEX(tbl_Finance[Cost Centre],$A122),"")</f>
        <v/>
      </c>
      <c r="G122" s="68">
        <f>IFERROR(INDEX(tbl_Finance[Ex GST],$A122),"")</f>
        <v/>
      </c>
      <c r="H122" s="66">
        <f>IFERROR(INDEX(tbl_Finance[Defer Start],$A122),"")</f>
        <v/>
      </c>
      <c r="I122" s="66">
        <f>IFERROR(INDEX(tbl_Finance[Defer End],$A122),"")</f>
        <v/>
      </c>
      <c r="J122" s="65">
        <f>IF(OR($H122="",$I122="",$G122=""),"",MAX(1,(YEAR($I122)-YEAR($H122))*12+MONTH($I122)-MONTH($H122)+1))</f>
        <v/>
      </c>
      <c r="K122" s="68">
        <f>IF($J122="","",$G122/$J122)</f>
        <v/>
      </c>
      <c r="L122" s="68">
        <f>IF($J122="",0,$K122*MAX(0,MIN(YEAR($C$3)*12+MONTH($C$3),YEAR($I122)*12+MONTH($I122))-(YEAR($H122)*12+MONTH($H122))+1))</f>
        <v/>
      </c>
      <c r="M122" s="68">
        <f>IF($J122="",0,$K122*MAX(0,MIN(YEAR($C$3)*12+MONTH($C$3)-1,YEAR($I122)*12+MONTH($I122))-(YEAR($H122)*12+MONTH($H122))+1))</f>
        <v/>
      </c>
      <c r="N122" s="68">
        <f>IF(OR($J122="",$B122=""),0,IF(YEAR($B122)*12+MONTH($B122)&lt;=YEAR($C$3)*12+MONTH($C$3),$G122,0))</f>
        <v/>
      </c>
      <c r="O122" s="68">
        <f>IF(OR($J122="",$B122=""),0,IF(YEAR($B122)*12+MONTH($B122)&lt;=YEAR($C$3)*12+MONTH($C$3)-1,$G122,0))</f>
        <v/>
      </c>
      <c r="P122" s="68">
        <f>$M122-$O122</f>
        <v/>
      </c>
      <c r="Q122" s="68">
        <f>($L122-$M122)-($N122-$O122)</f>
        <v/>
      </c>
      <c r="R122" s="68">
        <f>$L122-$N122</f>
        <v/>
      </c>
      <c r="S122" s="67">
        <f>"Finance invoice"</f>
        <v/>
      </c>
      <c r="T122" s="67">
        <f>"Revenue"</f>
        <v/>
      </c>
    </row>
    <row r="123">
      <c r="A123" s="65">
        <f>ROW()-5</f>
        <v/>
      </c>
      <c r="B123" s="66">
        <f>IFERROR(INDEX(tbl_Finance[Date],$A123),"")</f>
        <v/>
      </c>
      <c r="C123" s="67">
        <f>IFERROR(INDEX(tbl_Finance[Xero Invoice No],$A123),"")</f>
        <v/>
      </c>
      <c r="D123" s="67">
        <f>IFERROR(INDEX(tbl_Finance[Client],$A123),"")</f>
        <v/>
      </c>
      <c r="E123" s="67">
        <f>IFERROR(INDEX(tbl_Finance[Job Number],$A123),"")</f>
        <v/>
      </c>
      <c r="F123" s="67">
        <f>IFERROR(INDEX(tbl_Finance[Cost Centre],$A123),"")</f>
        <v/>
      </c>
      <c r="G123" s="68">
        <f>IFERROR(INDEX(tbl_Finance[Ex GST],$A123),"")</f>
        <v/>
      </c>
      <c r="H123" s="66">
        <f>IFERROR(INDEX(tbl_Finance[Defer Start],$A123),"")</f>
        <v/>
      </c>
      <c r="I123" s="66">
        <f>IFERROR(INDEX(tbl_Finance[Defer End],$A123),"")</f>
        <v/>
      </c>
      <c r="J123" s="65">
        <f>IF(OR($H123="",$I123="",$G123=""),"",MAX(1,(YEAR($I123)-YEAR($H123))*12+MONTH($I123)-MONTH($H123)+1))</f>
        <v/>
      </c>
      <c r="K123" s="68">
        <f>IF($J123="","",$G123/$J123)</f>
        <v/>
      </c>
      <c r="L123" s="68">
        <f>IF($J123="",0,$K123*MAX(0,MIN(YEAR($C$3)*12+MONTH($C$3),YEAR($I123)*12+MONTH($I123))-(YEAR($H123)*12+MONTH($H123))+1))</f>
        <v/>
      </c>
      <c r="M123" s="68">
        <f>IF($J123="",0,$K123*MAX(0,MIN(YEAR($C$3)*12+MONTH($C$3)-1,YEAR($I123)*12+MONTH($I123))-(YEAR($H123)*12+MONTH($H123))+1))</f>
        <v/>
      </c>
      <c r="N123" s="68">
        <f>IF(OR($J123="",$B123=""),0,IF(YEAR($B123)*12+MONTH($B123)&lt;=YEAR($C$3)*12+MONTH($C$3),$G123,0))</f>
        <v/>
      </c>
      <c r="O123" s="68">
        <f>IF(OR($J123="",$B123=""),0,IF(YEAR($B123)*12+MONTH($B123)&lt;=YEAR($C$3)*12+MONTH($C$3)-1,$G123,0))</f>
        <v/>
      </c>
      <c r="P123" s="68">
        <f>$M123-$O123</f>
        <v/>
      </c>
      <c r="Q123" s="68">
        <f>($L123-$M123)-($N123-$O123)</f>
        <v/>
      </c>
      <c r="R123" s="68">
        <f>$L123-$N123</f>
        <v/>
      </c>
      <c r="S123" s="67">
        <f>"Finance invoice"</f>
        <v/>
      </c>
      <c r="T123" s="67">
        <f>"Revenue"</f>
        <v/>
      </c>
    </row>
    <row r="124">
      <c r="A124" s="65">
        <f>ROW()-5</f>
        <v/>
      </c>
      <c r="B124" s="66">
        <f>IFERROR(INDEX(tbl_Finance[Date],$A124),"")</f>
        <v/>
      </c>
      <c r="C124" s="67">
        <f>IFERROR(INDEX(tbl_Finance[Xero Invoice No],$A124),"")</f>
        <v/>
      </c>
      <c r="D124" s="67">
        <f>IFERROR(INDEX(tbl_Finance[Client],$A124),"")</f>
        <v/>
      </c>
      <c r="E124" s="67">
        <f>IFERROR(INDEX(tbl_Finance[Job Number],$A124),"")</f>
        <v/>
      </c>
      <c r="F124" s="67">
        <f>IFERROR(INDEX(tbl_Finance[Cost Centre],$A124),"")</f>
        <v/>
      </c>
      <c r="G124" s="68">
        <f>IFERROR(INDEX(tbl_Finance[Ex GST],$A124),"")</f>
        <v/>
      </c>
      <c r="H124" s="66">
        <f>IFERROR(INDEX(tbl_Finance[Defer Start],$A124),"")</f>
        <v/>
      </c>
      <c r="I124" s="66">
        <f>IFERROR(INDEX(tbl_Finance[Defer End],$A124),"")</f>
        <v/>
      </c>
      <c r="J124" s="65">
        <f>IF(OR($H124="",$I124="",$G124=""),"",MAX(1,(YEAR($I124)-YEAR($H124))*12+MONTH($I124)-MONTH($H124)+1))</f>
        <v/>
      </c>
      <c r="K124" s="68">
        <f>IF($J124="","",$G124/$J124)</f>
        <v/>
      </c>
      <c r="L124" s="68">
        <f>IF($J124="",0,$K124*MAX(0,MIN(YEAR($C$3)*12+MONTH($C$3),YEAR($I124)*12+MONTH($I124))-(YEAR($H124)*12+MONTH($H124))+1))</f>
        <v/>
      </c>
      <c r="M124" s="68">
        <f>IF($J124="",0,$K124*MAX(0,MIN(YEAR($C$3)*12+MONTH($C$3)-1,YEAR($I124)*12+MONTH($I124))-(YEAR($H124)*12+MONTH($H124))+1))</f>
        <v/>
      </c>
      <c r="N124" s="68">
        <f>IF(OR($J124="",$B124=""),0,IF(YEAR($B124)*12+MONTH($B124)&lt;=YEAR($C$3)*12+MONTH($C$3),$G124,0))</f>
        <v/>
      </c>
      <c r="O124" s="68">
        <f>IF(OR($J124="",$B124=""),0,IF(YEAR($B124)*12+MONTH($B124)&lt;=YEAR($C$3)*12+MONTH($C$3)-1,$G124,0))</f>
        <v/>
      </c>
      <c r="P124" s="68">
        <f>$M124-$O124</f>
        <v/>
      </c>
      <c r="Q124" s="68">
        <f>($L124-$M124)-($N124-$O124)</f>
        <v/>
      </c>
      <c r="R124" s="68">
        <f>$L124-$N124</f>
        <v/>
      </c>
      <c r="S124" s="67">
        <f>"Finance invoice"</f>
        <v/>
      </c>
      <c r="T124" s="67">
        <f>"Revenue"</f>
        <v/>
      </c>
    </row>
    <row r="125">
      <c r="A125" s="65">
        <f>ROW()-5</f>
        <v/>
      </c>
      <c r="B125" s="66">
        <f>IFERROR(INDEX(tbl_Finance[Date],$A125),"")</f>
        <v/>
      </c>
      <c r="C125" s="67">
        <f>IFERROR(INDEX(tbl_Finance[Xero Invoice No],$A125),"")</f>
        <v/>
      </c>
      <c r="D125" s="67">
        <f>IFERROR(INDEX(tbl_Finance[Client],$A125),"")</f>
        <v/>
      </c>
      <c r="E125" s="67">
        <f>IFERROR(INDEX(tbl_Finance[Job Number],$A125),"")</f>
        <v/>
      </c>
      <c r="F125" s="67">
        <f>IFERROR(INDEX(tbl_Finance[Cost Centre],$A125),"")</f>
        <v/>
      </c>
      <c r="G125" s="68">
        <f>IFERROR(INDEX(tbl_Finance[Ex GST],$A125),"")</f>
        <v/>
      </c>
      <c r="H125" s="66">
        <f>IFERROR(INDEX(tbl_Finance[Defer Start],$A125),"")</f>
        <v/>
      </c>
      <c r="I125" s="66">
        <f>IFERROR(INDEX(tbl_Finance[Defer End],$A125),"")</f>
        <v/>
      </c>
      <c r="J125" s="65">
        <f>IF(OR($H125="",$I125="",$G125=""),"",MAX(1,(YEAR($I125)-YEAR($H125))*12+MONTH($I125)-MONTH($H125)+1))</f>
        <v/>
      </c>
      <c r="K125" s="68">
        <f>IF($J125="","",$G125/$J125)</f>
        <v/>
      </c>
      <c r="L125" s="68">
        <f>IF($J125="",0,$K125*MAX(0,MIN(YEAR($C$3)*12+MONTH($C$3),YEAR($I125)*12+MONTH($I125))-(YEAR($H125)*12+MONTH($H125))+1))</f>
        <v/>
      </c>
      <c r="M125" s="68">
        <f>IF($J125="",0,$K125*MAX(0,MIN(YEAR($C$3)*12+MONTH($C$3)-1,YEAR($I125)*12+MONTH($I125))-(YEAR($H125)*12+MONTH($H125))+1))</f>
        <v/>
      </c>
      <c r="N125" s="68">
        <f>IF(OR($J125="",$B125=""),0,IF(YEAR($B125)*12+MONTH($B125)&lt;=YEAR($C$3)*12+MONTH($C$3),$G125,0))</f>
        <v/>
      </c>
      <c r="O125" s="68">
        <f>IF(OR($J125="",$B125=""),0,IF(YEAR($B125)*12+MONTH($B125)&lt;=YEAR($C$3)*12+MONTH($C$3)-1,$G125,0))</f>
        <v/>
      </c>
      <c r="P125" s="68">
        <f>$M125-$O125</f>
        <v/>
      </c>
      <c r="Q125" s="68">
        <f>($L125-$M125)-($N125-$O125)</f>
        <v/>
      </c>
      <c r="R125" s="68">
        <f>$L125-$N125</f>
        <v/>
      </c>
      <c r="S125" s="67">
        <f>"Finance invoice"</f>
        <v/>
      </c>
      <c r="T125" s="67">
        <f>"Revenue"</f>
        <v/>
      </c>
    </row>
    <row r="126">
      <c r="A126" s="65">
        <f>ROW()-5</f>
        <v/>
      </c>
      <c r="B126" s="66">
        <f>IFERROR(INDEX(tbl_Finance[Date],$A126),"")</f>
        <v/>
      </c>
      <c r="C126" s="67">
        <f>IFERROR(INDEX(tbl_Finance[Xero Invoice No],$A126),"")</f>
        <v/>
      </c>
      <c r="D126" s="67">
        <f>IFERROR(INDEX(tbl_Finance[Client],$A126),"")</f>
        <v/>
      </c>
      <c r="E126" s="67">
        <f>IFERROR(INDEX(tbl_Finance[Job Number],$A126),"")</f>
        <v/>
      </c>
      <c r="F126" s="67">
        <f>IFERROR(INDEX(tbl_Finance[Cost Centre],$A126),"")</f>
        <v/>
      </c>
      <c r="G126" s="68">
        <f>IFERROR(INDEX(tbl_Finance[Ex GST],$A126),"")</f>
        <v/>
      </c>
      <c r="H126" s="66">
        <f>IFERROR(INDEX(tbl_Finance[Defer Start],$A126),"")</f>
        <v/>
      </c>
      <c r="I126" s="66">
        <f>IFERROR(INDEX(tbl_Finance[Defer End],$A126),"")</f>
        <v/>
      </c>
      <c r="J126" s="65">
        <f>IF(OR($H126="",$I126="",$G126=""),"",MAX(1,(YEAR($I126)-YEAR($H126))*12+MONTH($I126)-MONTH($H126)+1))</f>
        <v/>
      </c>
      <c r="K126" s="68">
        <f>IF($J126="","",$G126/$J126)</f>
        <v/>
      </c>
      <c r="L126" s="68">
        <f>IF($J126="",0,$K126*MAX(0,MIN(YEAR($C$3)*12+MONTH($C$3),YEAR($I126)*12+MONTH($I126))-(YEAR($H126)*12+MONTH($H126))+1))</f>
        <v/>
      </c>
      <c r="M126" s="68">
        <f>IF($J126="",0,$K126*MAX(0,MIN(YEAR($C$3)*12+MONTH($C$3)-1,YEAR($I126)*12+MONTH($I126))-(YEAR($H126)*12+MONTH($H126))+1))</f>
        <v/>
      </c>
      <c r="N126" s="68">
        <f>IF(OR($J126="",$B126=""),0,IF(YEAR($B126)*12+MONTH($B126)&lt;=YEAR($C$3)*12+MONTH($C$3),$G126,0))</f>
        <v/>
      </c>
      <c r="O126" s="68">
        <f>IF(OR($J126="",$B126=""),0,IF(YEAR($B126)*12+MONTH($B126)&lt;=YEAR($C$3)*12+MONTH($C$3)-1,$G126,0))</f>
        <v/>
      </c>
      <c r="P126" s="68">
        <f>$M126-$O126</f>
        <v/>
      </c>
      <c r="Q126" s="68">
        <f>($L126-$M126)-($N126-$O126)</f>
        <v/>
      </c>
      <c r="R126" s="68">
        <f>$L126-$N126</f>
        <v/>
      </c>
      <c r="S126" s="67">
        <f>"Finance invoice"</f>
        <v/>
      </c>
      <c r="T126" s="67">
        <f>"Revenue"</f>
        <v/>
      </c>
    </row>
    <row r="127">
      <c r="A127" s="65">
        <f>ROW()-5</f>
        <v/>
      </c>
      <c r="B127" s="66">
        <f>IFERROR(INDEX(tbl_Finance[Date],$A127),"")</f>
        <v/>
      </c>
      <c r="C127" s="67">
        <f>IFERROR(INDEX(tbl_Finance[Xero Invoice No],$A127),"")</f>
        <v/>
      </c>
      <c r="D127" s="67">
        <f>IFERROR(INDEX(tbl_Finance[Client],$A127),"")</f>
        <v/>
      </c>
      <c r="E127" s="67">
        <f>IFERROR(INDEX(tbl_Finance[Job Number],$A127),"")</f>
        <v/>
      </c>
      <c r="F127" s="67">
        <f>IFERROR(INDEX(tbl_Finance[Cost Centre],$A127),"")</f>
        <v/>
      </c>
      <c r="G127" s="68">
        <f>IFERROR(INDEX(tbl_Finance[Ex GST],$A127),"")</f>
        <v/>
      </c>
      <c r="H127" s="66">
        <f>IFERROR(INDEX(tbl_Finance[Defer Start],$A127),"")</f>
        <v/>
      </c>
      <c r="I127" s="66">
        <f>IFERROR(INDEX(tbl_Finance[Defer End],$A127),"")</f>
        <v/>
      </c>
      <c r="J127" s="65">
        <f>IF(OR($H127="",$I127="",$G127=""),"",MAX(1,(YEAR($I127)-YEAR($H127))*12+MONTH($I127)-MONTH($H127)+1))</f>
        <v/>
      </c>
      <c r="K127" s="68">
        <f>IF($J127="","",$G127/$J127)</f>
        <v/>
      </c>
      <c r="L127" s="68">
        <f>IF($J127="",0,$K127*MAX(0,MIN(YEAR($C$3)*12+MONTH($C$3),YEAR($I127)*12+MONTH($I127))-(YEAR($H127)*12+MONTH($H127))+1))</f>
        <v/>
      </c>
      <c r="M127" s="68">
        <f>IF($J127="",0,$K127*MAX(0,MIN(YEAR($C$3)*12+MONTH($C$3)-1,YEAR($I127)*12+MONTH($I127))-(YEAR($H127)*12+MONTH($H127))+1))</f>
        <v/>
      </c>
      <c r="N127" s="68">
        <f>IF(OR($J127="",$B127=""),0,IF(YEAR($B127)*12+MONTH($B127)&lt;=YEAR($C$3)*12+MONTH($C$3),$G127,0))</f>
        <v/>
      </c>
      <c r="O127" s="68">
        <f>IF(OR($J127="",$B127=""),0,IF(YEAR($B127)*12+MONTH($B127)&lt;=YEAR($C$3)*12+MONTH($C$3)-1,$G127,0))</f>
        <v/>
      </c>
      <c r="P127" s="68">
        <f>$M127-$O127</f>
        <v/>
      </c>
      <c r="Q127" s="68">
        <f>($L127-$M127)-($N127-$O127)</f>
        <v/>
      </c>
      <c r="R127" s="68">
        <f>$L127-$N127</f>
        <v/>
      </c>
      <c r="S127" s="67">
        <f>"Finance invoice"</f>
        <v/>
      </c>
      <c r="T127" s="67">
        <f>"Revenue"</f>
        <v/>
      </c>
    </row>
    <row r="128">
      <c r="A128" s="65">
        <f>ROW()-5</f>
        <v/>
      </c>
      <c r="B128" s="66">
        <f>IFERROR(INDEX(tbl_Finance[Date],$A128),"")</f>
        <v/>
      </c>
      <c r="C128" s="67">
        <f>IFERROR(INDEX(tbl_Finance[Xero Invoice No],$A128),"")</f>
        <v/>
      </c>
      <c r="D128" s="67">
        <f>IFERROR(INDEX(tbl_Finance[Client],$A128),"")</f>
        <v/>
      </c>
      <c r="E128" s="67">
        <f>IFERROR(INDEX(tbl_Finance[Job Number],$A128),"")</f>
        <v/>
      </c>
      <c r="F128" s="67">
        <f>IFERROR(INDEX(tbl_Finance[Cost Centre],$A128),"")</f>
        <v/>
      </c>
      <c r="G128" s="68">
        <f>IFERROR(INDEX(tbl_Finance[Ex GST],$A128),"")</f>
        <v/>
      </c>
      <c r="H128" s="66">
        <f>IFERROR(INDEX(tbl_Finance[Defer Start],$A128),"")</f>
        <v/>
      </c>
      <c r="I128" s="66">
        <f>IFERROR(INDEX(tbl_Finance[Defer End],$A128),"")</f>
        <v/>
      </c>
      <c r="J128" s="65">
        <f>IF(OR($H128="",$I128="",$G128=""),"",MAX(1,(YEAR($I128)-YEAR($H128))*12+MONTH($I128)-MONTH($H128)+1))</f>
        <v/>
      </c>
      <c r="K128" s="68">
        <f>IF($J128="","",$G128/$J128)</f>
        <v/>
      </c>
      <c r="L128" s="68">
        <f>IF($J128="",0,$K128*MAX(0,MIN(YEAR($C$3)*12+MONTH($C$3),YEAR($I128)*12+MONTH($I128))-(YEAR($H128)*12+MONTH($H128))+1))</f>
        <v/>
      </c>
      <c r="M128" s="68">
        <f>IF($J128="",0,$K128*MAX(0,MIN(YEAR($C$3)*12+MONTH($C$3)-1,YEAR($I128)*12+MONTH($I128))-(YEAR($H128)*12+MONTH($H128))+1))</f>
        <v/>
      </c>
      <c r="N128" s="68">
        <f>IF(OR($J128="",$B128=""),0,IF(YEAR($B128)*12+MONTH($B128)&lt;=YEAR($C$3)*12+MONTH($C$3),$G128,0))</f>
        <v/>
      </c>
      <c r="O128" s="68">
        <f>IF(OR($J128="",$B128=""),0,IF(YEAR($B128)*12+MONTH($B128)&lt;=YEAR($C$3)*12+MONTH($C$3)-1,$G128,0))</f>
        <v/>
      </c>
      <c r="P128" s="68">
        <f>$M128-$O128</f>
        <v/>
      </c>
      <c r="Q128" s="68">
        <f>($L128-$M128)-($N128-$O128)</f>
        <v/>
      </c>
      <c r="R128" s="68">
        <f>$L128-$N128</f>
        <v/>
      </c>
      <c r="S128" s="67">
        <f>"Finance invoice"</f>
        <v/>
      </c>
      <c r="T128" s="67">
        <f>"Revenue"</f>
        <v/>
      </c>
    </row>
    <row r="129">
      <c r="A129" s="65">
        <f>ROW()-5</f>
        <v/>
      </c>
      <c r="B129" s="66">
        <f>IFERROR(INDEX(tbl_Finance[Date],$A129),"")</f>
        <v/>
      </c>
      <c r="C129" s="67">
        <f>IFERROR(INDEX(tbl_Finance[Xero Invoice No],$A129),"")</f>
        <v/>
      </c>
      <c r="D129" s="67">
        <f>IFERROR(INDEX(tbl_Finance[Client],$A129),"")</f>
        <v/>
      </c>
      <c r="E129" s="67">
        <f>IFERROR(INDEX(tbl_Finance[Job Number],$A129),"")</f>
        <v/>
      </c>
      <c r="F129" s="67">
        <f>IFERROR(INDEX(tbl_Finance[Cost Centre],$A129),"")</f>
        <v/>
      </c>
      <c r="G129" s="68">
        <f>IFERROR(INDEX(tbl_Finance[Ex GST],$A129),"")</f>
        <v/>
      </c>
      <c r="H129" s="66">
        <f>IFERROR(INDEX(tbl_Finance[Defer Start],$A129),"")</f>
        <v/>
      </c>
      <c r="I129" s="66">
        <f>IFERROR(INDEX(tbl_Finance[Defer End],$A129),"")</f>
        <v/>
      </c>
      <c r="J129" s="65">
        <f>IF(OR($H129="",$I129="",$G129=""),"",MAX(1,(YEAR($I129)-YEAR($H129))*12+MONTH($I129)-MONTH($H129)+1))</f>
        <v/>
      </c>
      <c r="K129" s="68">
        <f>IF($J129="","",$G129/$J129)</f>
        <v/>
      </c>
      <c r="L129" s="68">
        <f>IF($J129="",0,$K129*MAX(0,MIN(YEAR($C$3)*12+MONTH($C$3),YEAR($I129)*12+MONTH($I129))-(YEAR($H129)*12+MONTH($H129))+1))</f>
        <v/>
      </c>
      <c r="M129" s="68">
        <f>IF($J129="",0,$K129*MAX(0,MIN(YEAR($C$3)*12+MONTH($C$3)-1,YEAR($I129)*12+MONTH($I129))-(YEAR($H129)*12+MONTH($H129))+1))</f>
        <v/>
      </c>
      <c r="N129" s="68">
        <f>IF(OR($J129="",$B129=""),0,IF(YEAR($B129)*12+MONTH($B129)&lt;=YEAR($C$3)*12+MONTH($C$3),$G129,0))</f>
        <v/>
      </c>
      <c r="O129" s="68">
        <f>IF(OR($J129="",$B129=""),0,IF(YEAR($B129)*12+MONTH($B129)&lt;=YEAR($C$3)*12+MONTH($C$3)-1,$G129,0))</f>
        <v/>
      </c>
      <c r="P129" s="68">
        <f>$M129-$O129</f>
        <v/>
      </c>
      <c r="Q129" s="68">
        <f>($L129-$M129)-($N129-$O129)</f>
        <v/>
      </c>
      <c r="R129" s="68">
        <f>$L129-$N129</f>
        <v/>
      </c>
      <c r="S129" s="67">
        <f>"Finance invoice"</f>
        <v/>
      </c>
      <c r="T129" s="67">
        <f>"Revenue"</f>
        <v/>
      </c>
    </row>
    <row r="130">
      <c r="A130" s="65">
        <f>ROW()-5</f>
        <v/>
      </c>
      <c r="B130" s="66">
        <f>IFERROR(INDEX(tbl_Finance[Date],$A130),"")</f>
        <v/>
      </c>
      <c r="C130" s="67">
        <f>IFERROR(INDEX(tbl_Finance[Xero Invoice No],$A130),"")</f>
        <v/>
      </c>
      <c r="D130" s="67">
        <f>IFERROR(INDEX(tbl_Finance[Client],$A130),"")</f>
        <v/>
      </c>
      <c r="E130" s="67">
        <f>IFERROR(INDEX(tbl_Finance[Job Number],$A130),"")</f>
        <v/>
      </c>
      <c r="F130" s="67">
        <f>IFERROR(INDEX(tbl_Finance[Cost Centre],$A130),"")</f>
        <v/>
      </c>
      <c r="G130" s="68">
        <f>IFERROR(INDEX(tbl_Finance[Ex GST],$A130),"")</f>
        <v/>
      </c>
      <c r="H130" s="66">
        <f>IFERROR(INDEX(tbl_Finance[Defer Start],$A130),"")</f>
        <v/>
      </c>
      <c r="I130" s="66">
        <f>IFERROR(INDEX(tbl_Finance[Defer End],$A130),"")</f>
        <v/>
      </c>
      <c r="J130" s="65">
        <f>IF(OR($H130="",$I130="",$G130=""),"",MAX(1,(YEAR($I130)-YEAR($H130))*12+MONTH($I130)-MONTH($H130)+1))</f>
        <v/>
      </c>
      <c r="K130" s="68">
        <f>IF($J130="","",$G130/$J130)</f>
        <v/>
      </c>
      <c r="L130" s="68">
        <f>IF($J130="",0,$K130*MAX(0,MIN(YEAR($C$3)*12+MONTH($C$3),YEAR($I130)*12+MONTH($I130))-(YEAR($H130)*12+MONTH($H130))+1))</f>
        <v/>
      </c>
      <c r="M130" s="68">
        <f>IF($J130="",0,$K130*MAX(0,MIN(YEAR($C$3)*12+MONTH($C$3)-1,YEAR($I130)*12+MONTH($I130))-(YEAR($H130)*12+MONTH($H130))+1))</f>
        <v/>
      </c>
      <c r="N130" s="68">
        <f>IF(OR($J130="",$B130=""),0,IF(YEAR($B130)*12+MONTH($B130)&lt;=YEAR($C$3)*12+MONTH($C$3),$G130,0))</f>
        <v/>
      </c>
      <c r="O130" s="68">
        <f>IF(OR($J130="",$B130=""),0,IF(YEAR($B130)*12+MONTH($B130)&lt;=YEAR($C$3)*12+MONTH($C$3)-1,$G130,0))</f>
        <v/>
      </c>
      <c r="P130" s="68">
        <f>$M130-$O130</f>
        <v/>
      </c>
      <c r="Q130" s="68">
        <f>($L130-$M130)-($N130-$O130)</f>
        <v/>
      </c>
      <c r="R130" s="68">
        <f>$L130-$N130</f>
        <v/>
      </c>
      <c r="S130" s="67">
        <f>"Finance invoice"</f>
        <v/>
      </c>
      <c r="T130" s="67">
        <f>"Revenue"</f>
        <v/>
      </c>
    </row>
    <row r="131">
      <c r="A131" s="65">
        <f>ROW()-5</f>
        <v/>
      </c>
      <c r="B131" s="66">
        <f>IFERROR(INDEX(tbl_Finance[Date],$A131),"")</f>
        <v/>
      </c>
      <c r="C131" s="67">
        <f>IFERROR(INDEX(tbl_Finance[Xero Invoice No],$A131),"")</f>
        <v/>
      </c>
      <c r="D131" s="67">
        <f>IFERROR(INDEX(tbl_Finance[Client],$A131),"")</f>
        <v/>
      </c>
      <c r="E131" s="67">
        <f>IFERROR(INDEX(tbl_Finance[Job Number],$A131),"")</f>
        <v/>
      </c>
      <c r="F131" s="67">
        <f>IFERROR(INDEX(tbl_Finance[Cost Centre],$A131),"")</f>
        <v/>
      </c>
      <c r="G131" s="68">
        <f>IFERROR(INDEX(tbl_Finance[Ex GST],$A131),"")</f>
        <v/>
      </c>
      <c r="H131" s="66">
        <f>IFERROR(INDEX(tbl_Finance[Defer Start],$A131),"")</f>
        <v/>
      </c>
      <c r="I131" s="66">
        <f>IFERROR(INDEX(tbl_Finance[Defer End],$A131),"")</f>
        <v/>
      </c>
      <c r="J131" s="65">
        <f>IF(OR($H131="",$I131="",$G131=""),"",MAX(1,(YEAR($I131)-YEAR($H131))*12+MONTH($I131)-MONTH($H131)+1))</f>
        <v/>
      </c>
      <c r="K131" s="68">
        <f>IF($J131="","",$G131/$J131)</f>
        <v/>
      </c>
      <c r="L131" s="68">
        <f>IF($J131="",0,$K131*MAX(0,MIN(YEAR($C$3)*12+MONTH($C$3),YEAR($I131)*12+MONTH($I131))-(YEAR($H131)*12+MONTH($H131))+1))</f>
        <v/>
      </c>
      <c r="M131" s="68">
        <f>IF($J131="",0,$K131*MAX(0,MIN(YEAR($C$3)*12+MONTH($C$3)-1,YEAR($I131)*12+MONTH($I131))-(YEAR($H131)*12+MONTH($H131))+1))</f>
        <v/>
      </c>
      <c r="N131" s="68">
        <f>IF(OR($J131="",$B131=""),0,IF(YEAR($B131)*12+MONTH($B131)&lt;=YEAR($C$3)*12+MONTH($C$3),$G131,0))</f>
        <v/>
      </c>
      <c r="O131" s="68">
        <f>IF(OR($J131="",$B131=""),0,IF(YEAR($B131)*12+MONTH($B131)&lt;=YEAR($C$3)*12+MONTH($C$3)-1,$G131,0))</f>
        <v/>
      </c>
      <c r="P131" s="68">
        <f>$M131-$O131</f>
        <v/>
      </c>
      <c r="Q131" s="68">
        <f>($L131-$M131)-($N131-$O131)</f>
        <v/>
      </c>
      <c r="R131" s="68">
        <f>$L131-$N131</f>
        <v/>
      </c>
      <c r="S131" s="67">
        <f>"Finance invoice"</f>
        <v/>
      </c>
      <c r="T131" s="67">
        <f>"Revenue"</f>
        <v/>
      </c>
    </row>
    <row r="132">
      <c r="A132" s="65">
        <f>ROW()-5</f>
        <v/>
      </c>
      <c r="B132" s="66">
        <f>IFERROR(INDEX(tbl_Finance[Date],$A132),"")</f>
        <v/>
      </c>
      <c r="C132" s="67">
        <f>IFERROR(INDEX(tbl_Finance[Xero Invoice No],$A132),"")</f>
        <v/>
      </c>
      <c r="D132" s="67">
        <f>IFERROR(INDEX(tbl_Finance[Client],$A132),"")</f>
        <v/>
      </c>
      <c r="E132" s="67">
        <f>IFERROR(INDEX(tbl_Finance[Job Number],$A132),"")</f>
        <v/>
      </c>
      <c r="F132" s="67">
        <f>IFERROR(INDEX(tbl_Finance[Cost Centre],$A132),"")</f>
        <v/>
      </c>
      <c r="G132" s="68">
        <f>IFERROR(INDEX(tbl_Finance[Ex GST],$A132),"")</f>
        <v/>
      </c>
      <c r="H132" s="66">
        <f>IFERROR(INDEX(tbl_Finance[Defer Start],$A132),"")</f>
        <v/>
      </c>
      <c r="I132" s="66">
        <f>IFERROR(INDEX(tbl_Finance[Defer End],$A132),"")</f>
        <v/>
      </c>
      <c r="J132" s="65">
        <f>IF(OR($H132="",$I132="",$G132=""),"",MAX(1,(YEAR($I132)-YEAR($H132))*12+MONTH($I132)-MONTH($H132)+1))</f>
        <v/>
      </c>
      <c r="K132" s="68">
        <f>IF($J132="","",$G132/$J132)</f>
        <v/>
      </c>
      <c r="L132" s="68">
        <f>IF($J132="",0,$K132*MAX(0,MIN(YEAR($C$3)*12+MONTH($C$3),YEAR($I132)*12+MONTH($I132))-(YEAR($H132)*12+MONTH($H132))+1))</f>
        <v/>
      </c>
      <c r="M132" s="68">
        <f>IF($J132="",0,$K132*MAX(0,MIN(YEAR($C$3)*12+MONTH($C$3)-1,YEAR($I132)*12+MONTH($I132))-(YEAR($H132)*12+MONTH($H132))+1))</f>
        <v/>
      </c>
      <c r="N132" s="68">
        <f>IF(OR($J132="",$B132=""),0,IF(YEAR($B132)*12+MONTH($B132)&lt;=YEAR($C$3)*12+MONTH($C$3),$G132,0))</f>
        <v/>
      </c>
      <c r="O132" s="68">
        <f>IF(OR($J132="",$B132=""),0,IF(YEAR($B132)*12+MONTH($B132)&lt;=YEAR($C$3)*12+MONTH($C$3)-1,$G132,0))</f>
        <v/>
      </c>
      <c r="P132" s="68">
        <f>$M132-$O132</f>
        <v/>
      </c>
      <c r="Q132" s="68">
        <f>($L132-$M132)-($N132-$O132)</f>
        <v/>
      </c>
      <c r="R132" s="68">
        <f>$L132-$N132</f>
        <v/>
      </c>
      <c r="S132" s="67">
        <f>"Finance invoice"</f>
        <v/>
      </c>
      <c r="T132" s="67">
        <f>"Revenue"</f>
        <v/>
      </c>
    </row>
    <row r="133">
      <c r="A133" s="65">
        <f>ROW()-5</f>
        <v/>
      </c>
      <c r="B133" s="66">
        <f>IFERROR(INDEX(tbl_Finance[Date],$A133),"")</f>
        <v/>
      </c>
      <c r="C133" s="67">
        <f>IFERROR(INDEX(tbl_Finance[Xero Invoice No],$A133),"")</f>
        <v/>
      </c>
      <c r="D133" s="67">
        <f>IFERROR(INDEX(tbl_Finance[Client],$A133),"")</f>
        <v/>
      </c>
      <c r="E133" s="67">
        <f>IFERROR(INDEX(tbl_Finance[Job Number],$A133),"")</f>
        <v/>
      </c>
      <c r="F133" s="67">
        <f>IFERROR(INDEX(tbl_Finance[Cost Centre],$A133),"")</f>
        <v/>
      </c>
      <c r="G133" s="68">
        <f>IFERROR(INDEX(tbl_Finance[Ex GST],$A133),"")</f>
        <v/>
      </c>
      <c r="H133" s="66">
        <f>IFERROR(INDEX(tbl_Finance[Defer Start],$A133),"")</f>
        <v/>
      </c>
      <c r="I133" s="66">
        <f>IFERROR(INDEX(tbl_Finance[Defer End],$A133),"")</f>
        <v/>
      </c>
      <c r="J133" s="65">
        <f>IF(OR($H133="",$I133="",$G133=""),"",MAX(1,(YEAR($I133)-YEAR($H133))*12+MONTH($I133)-MONTH($H133)+1))</f>
        <v/>
      </c>
      <c r="K133" s="68">
        <f>IF($J133="","",$G133/$J133)</f>
        <v/>
      </c>
      <c r="L133" s="68">
        <f>IF($J133="",0,$K133*MAX(0,MIN(YEAR($C$3)*12+MONTH($C$3),YEAR($I133)*12+MONTH($I133))-(YEAR($H133)*12+MONTH($H133))+1))</f>
        <v/>
      </c>
      <c r="M133" s="68">
        <f>IF($J133="",0,$K133*MAX(0,MIN(YEAR($C$3)*12+MONTH($C$3)-1,YEAR($I133)*12+MONTH($I133))-(YEAR($H133)*12+MONTH($H133))+1))</f>
        <v/>
      </c>
      <c r="N133" s="68">
        <f>IF(OR($J133="",$B133=""),0,IF(YEAR($B133)*12+MONTH($B133)&lt;=YEAR($C$3)*12+MONTH($C$3),$G133,0))</f>
        <v/>
      </c>
      <c r="O133" s="68">
        <f>IF(OR($J133="",$B133=""),0,IF(YEAR($B133)*12+MONTH($B133)&lt;=YEAR($C$3)*12+MONTH($C$3)-1,$G133,0))</f>
        <v/>
      </c>
      <c r="P133" s="68">
        <f>$M133-$O133</f>
        <v/>
      </c>
      <c r="Q133" s="68">
        <f>($L133-$M133)-($N133-$O133)</f>
        <v/>
      </c>
      <c r="R133" s="68">
        <f>$L133-$N133</f>
        <v/>
      </c>
      <c r="S133" s="67">
        <f>"Finance invoice"</f>
        <v/>
      </c>
      <c r="T133" s="67">
        <f>"Revenue"</f>
        <v/>
      </c>
    </row>
    <row r="134">
      <c r="A134" s="65">
        <f>ROW()-5</f>
        <v/>
      </c>
      <c r="B134" s="66">
        <f>IFERROR(INDEX(tbl_Finance[Date],$A134),"")</f>
        <v/>
      </c>
      <c r="C134" s="67">
        <f>IFERROR(INDEX(tbl_Finance[Xero Invoice No],$A134),"")</f>
        <v/>
      </c>
      <c r="D134" s="67">
        <f>IFERROR(INDEX(tbl_Finance[Client],$A134),"")</f>
        <v/>
      </c>
      <c r="E134" s="67">
        <f>IFERROR(INDEX(tbl_Finance[Job Number],$A134),"")</f>
        <v/>
      </c>
      <c r="F134" s="67">
        <f>IFERROR(INDEX(tbl_Finance[Cost Centre],$A134),"")</f>
        <v/>
      </c>
      <c r="G134" s="68">
        <f>IFERROR(INDEX(tbl_Finance[Ex GST],$A134),"")</f>
        <v/>
      </c>
      <c r="H134" s="66">
        <f>IFERROR(INDEX(tbl_Finance[Defer Start],$A134),"")</f>
        <v/>
      </c>
      <c r="I134" s="66">
        <f>IFERROR(INDEX(tbl_Finance[Defer End],$A134),"")</f>
        <v/>
      </c>
      <c r="J134" s="65">
        <f>IF(OR($H134="",$I134="",$G134=""),"",MAX(1,(YEAR($I134)-YEAR($H134))*12+MONTH($I134)-MONTH($H134)+1))</f>
        <v/>
      </c>
      <c r="K134" s="68">
        <f>IF($J134="","",$G134/$J134)</f>
        <v/>
      </c>
      <c r="L134" s="68">
        <f>IF($J134="",0,$K134*MAX(0,MIN(YEAR($C$3)*12+MONTH($C$3),YEAR($I134)*12+MONTH($I134))-(YEAR($H134)*12+MONTH($H134))+1))</f>
        <v/>
      </c>
      <c r="M134" s="68">
        <f>IF($J134="",0,$K134*MAX(0,MIN(YEAR($C$3)*12+MONTH($C$3)-1,YEAR($I134)*12+MONTH($I134))-(YEAR($H134)*12+MONTH($H134))+1))</f>
        <v/>
      </c>
      <c r="N134" s="68">
        <f>IF(OR($J134="",$B134=""),0,IF(YEAR($B134)*12+MONTH($B134)&lt;=YEAR($C$3)*12+MONTH($C$3),$G134,0))</f>
        <v/>
      </c>
      <c r="O134" s="68">
        <f>IF(OR($J134="",$B134=""),0,IF(YEAR($B134)*12+MONTH($B134)&lt;=YEAR($C$3)*12+MONTH($C$3)-1,$G134,0))</f>
        <v/>
      </c>
      <c r="P134" s="68">
        <f>$M134-$O134</f>
        <v/>
      </c>
      <c r="Q134" s="68">
        <f>($L134-$M134)-($N134-$O134)</f>
        <v/>
      </c>
      <c r="R134" s="68">
        <f>$L134-$N134</f>
        <v/>
      </c>
      <c r="S134" s="67">
        <f>"Finance invoice"</f>
        <v/>
      </c>
      <c r="T134" s="67">
        <f>"Revenue"</f>
        <v/>
      </c>
    </row>
    <row r="135">
      <c r="A135" s="65">
        <f>ROW()-5</f>
        <v/>
      </c>
      <c r="B135" s="66">
        <f>IFERROR(INDEX(tbl_Finance[Date],$A135),"")</f>
        <v/>
      </c>
      <c r="C135" s="67">
        <f>IFERROR(INDEX(tbl_Finance[Xero Invoice No],$A135),"")</f>
        <v/>
      </c>
      <c r="D135" s="67">
        <f>IFERROR(INDEX(tbl_Finance[Client],$A135),"")</f>
        <v/>
      </c>
      <c r="E135" s="67">
        <f>IFERROR(INDEX(tbl_Finance[Job Number],$A135),"")</f>
        <v/>
      </c>
      <c r="F135" s="67">
        <f>IFERROR(INDEX(tbl_Finance[Cost Centre],$A135),"")</f>
        <v/>
      </c>
      <c r="G135" s="68">
        <f>IFERROR(INDEX(tbl_Finance[Ex GST],$A135),"")</f>
        <v/>
      </c>
      <c r="H135" s="66">
        <f>IFERROR(INDEX(tbl_Finance[Defer Start],$A135),"")</f>
        <v/>
      </c>
      <c r="I135" s="66">
        <f>IFERROR(INDEX(tbl_Finance[Defer End],$A135),"")</f>
        <v/>
      </c>
      <c r="J135" s="65">
        <f>IF(OR($H135="",$I135="",$G135=""),"",MAX(1,(YEAR($I135)-YEAR($H135))*12+MONTH($I135)-MONTH($H135)+1))</f>
        <v/>
      </c>
      <c r="K135" s="68">
        <f>IF($J135="","",$G135/$J135)</f>
        <v/>
      </c>
      <c r="L135" s="68">
        <f>IF($J135="",0,$K135*MAX(0,MIN(YEAR($C$3)*12+MONTH($C$3),YEAR($I135)*12+MONTH($I135))-(YEAR($H135)*12+MONTH($H135))+1))</f>
        <v/>
      </c>
      <c r="M135" s="68">
        <f>IF($J135="",0,$K135*MAX(0,MIN(YEAR($C$3)*12+MONTH($C$3)-1,YEAR($I135)*12+MONTH($I135))-(YEAR($H135)*12+MONTH($H135))+1))</f>
        <v/>
      </c>
      <c r="N135" s="68">
        <f>IF(OR($J135="",$B135=""),0,IF(YEAR($B135)*12+MONTH($B135)&lt;=YEAR($C$3)*12+MONTH($C$3),$G135,0))</f>
        <v/>
      </c>
      <c r="O135" s="68">
        <f>IF(OR($J135="",$B135=""),0,IF(YEAR($B135)*12+MONTH($B135)&lt;=YEAR($C$3)*12+MONTH($C$3)-1,$G135,0))</f>
        <v/>
      </c>
      <c r="P135" s="68">
        <f>$M135-$O135</f>
        <v/>
      </c>
      <c r="Q135" s="68">
        <f>($L135-$M135)-($N135-$O135)</f>
        <v/>
      </c>
      <c r="R135" s="68">
        <f>$L135-$N135</f>
        <v/>
      </c>
      <c r="S135" s="67">
        <f>"Finance invoice"</f>
        <v/>
      </c>
      <c r="T135" s="67">
        <f>"Revenue"</f>
        <v/>
      </c>
    </row>
    <row r="136">
      <c r="A136" s="65">
        <f>ROW()-5</f>
        <v/>
      </c>
      <c r="B136" s="66">
        <f>IFERROR(INDEX(tbl_Finance[Date],$A136),"")</f>
        <v/>
      </c>
      <c r="C136" s="67">
        <f>IFERROR(INDEX(tbl_Finance[Xero Invoice No],$A136),"")</f>
        <v/>
      </c>
      <c r="D136" s="67">
        <f>IFERROR(INDEX(tbl_Finance[Client],$A136),"")</f>
        <v/>
      </c>
      <c r="E136" s="67">
        <f>IFERROR(INDEX(tbl_Finance[Job Number],$A136),"")</f>
        <v/>
      </c>
      <c r="F136" s="67">
        <f>IFERROR(INDEX(tbl_Finance[Cost Centre],$A136),"")</f>
        <v/>
      </c>
      <c r="G136" s="68">
        <f>IFERROR(INDEX(tbl_Finance[Ex GST],$A136),"")</f>
        <v/>
      </c>
      <c r="H136" s="66">
        <f>IFERROR(INDEX(tbl_Finance[Defer Start],$A136),"")</f>
        <v/>
      </c>
      <c r="I136" s="66">
        <f>IFERROR(INDEX(tbl_Finance[Defer End],$A136),"")</f>
        <v/>
      </c>
      <c r="J136" s="65">
        <f>IF(OR($H136="",$I136="",$G136=""),"",MAX(1,(YEAR($I136)-YEAR($H136))*12+MONTH($I136)-MONTH($H136)+1))</f>
        <v/>
      </c>
      <c r="K136" s="68">
        <f>IF($J136="","",$G136/$J136)</f>
        <v/>
      </c>
      <c r="L136" s="68">
        <f>IF($J136="",0,$K136*MAX(0,MIN(YEAR($C$3)*12+MONTH($C$3),YEAR($I136)*12+MONTH($I136))-(YEAR($H136)*12+MONTH($H136))+1))</f>
        <v/>
      </c>
      <c r="M136" s="68">
        <f>IF($J136="",0,$K136*MAX(0,MIN(YEAR($C$3)*12+MONTH($C$3)-1,YEAR($I136)*12+MONTH($I136))-(YEAR($H136)*12+MONTH($H136))+1))</f>
        <v/>
      </c>
      <c r="N136" s="68">
        <f>IF(OR($J136="",$B136=""),0,IF(YEAR($B136)*12+MONTH($B136)&lt;=YEAR($C$3)*12+MONTH($C$3),$G136,0))</f>
        <v/>
      </c>
      <c r="O136" s="68">
        <f>IF(OR($J136="",$B136=""),0,IF(YEAR($B136)*12+MONTH($B136)&lt;=YEAR($C$3)*12+MONTH($C$3)-1,$G136,0))</f>
        <v/>
      </c>
      <c r="P136" s="68">
        <f>$M136-$O136</f>
        <v/>
      </c>
      <c r="Q136" s="68">
        <f>($L136-$M136)-($N136-$O136)</f>
        <v/>
      </c>
      <c r="R136" s="68">
        <f>$L136-$N136</f>
        <v/>
      </c>
      <c r="S136" s="67">
        <f>"Finance invoice"</f>
        <v/>
      </c>
      <c r="T136" s="67">
        <f>"Revenue"</f>
        <v/>
      </c>
    </row>
    <row r="137">
      <c r="A137" s="65">
        <f>ROW()-5</f>
        <v/>
      </c>
      <c r="B137" s="66">
        <f>IFERROR(INDEX(tbl_Finance[Date],$A137),"")</f>
        <v/>
      </c>
      <c r="C137" s="67">
        <f>IFERROR(INDEX(tbl_Finance[Xero Invoice No],$A137),"")</f>
        <v/>
      </c>
      <c r="D137" s="67">
        <f>IFERROR(INDEX(tbl_Finance[Client],$A137),"")</f>
        <v/>
      </c>
      <c r="E137" s="67">
        <f>IFERROR(INDEX(tbl_Finance[Job Number],$A137),"")</f>
        <v/>
      </c>
      <c r="F137" s="67">
        <f>IFERROR(INDEX(tbl_Finance[Cost Centre],$A137),"")</f>
        <v/>
      </c>
      <c r="G137" s="68">
        <f>IFERROR(INDEX(tbl_Finance[Ex GST],$A137),"")</f>
        <v/>
      </c>
      <c r="H137" s="66">
        <f>IFERROR(INDEX(tbl_Finance[Defer Start],$A137),"")</f>
        <v/>
      </c>
      <c r="I137" s="66">
        <f>IFERROR(INDEX(tbl_Finance[Defer End],$A137),"")</f>
        <v/>
      </c>
      <c r="J137" s="65">
        <f>IF(OR($H137="",$I137="",$G137=""),"",MAX(1,(YEAR($I137)-YEAR($H137))*12+MONTH($I137)-MONTH($H137)+1))</f>
        <v/>
      </c>
      <c r="K137" s="68">
        <f>IF($J137="","",$G137/$J137)</f>
        <v/>
      </c>
      <c r="L137" s="68">
        <f>IF($J137="",0,$K137*MAX(0,MIN(YEAR($C$3)*12+MONTH($C$3),YEAR($I137)*12+MONTH($I137))-(YEAR($H137)*12+MONTH($H137))+1))</f>
        <v/>
      </c>
      <c r="M137" s="68">
        <f>IF($J137="",0,$K137*MAX(0,MIN(YEAR($C$3)*12+MONTH($C$3)-1,YEAR($I137)*12+MONTH($I137))-(YEAR($H137)*12+MONTH($H137))+1))</f>
        <v/>
      </c>
      <c r="N137" s="68">
        <f>IF(OR($J137="",$B137=""),0,IF(YEAR($B137)*12+MONTH($B137)&lt;=YEAR($C$3)*12+MONTH($C$3),$G137,0))</f>
        <v/>
      </c>
      <c r="O137" s="68">
        <f>IF(OR($J137="",$B137=""),0,IF(YEAR($B137)*12+MONTH($B137)&lt;=YEAR($C$3)*12+MONTH($C$3)-1,$G137,0))</f>
        <v/>
      </c>
      <c r="P137" s="68">
        <f>$M137-$O137</f>
        <v/>
      </c>
      <c r="Q137" s="68">
        <f>($L137-$M137)-($N137-$O137)</f>
        <v/>
      </c>
      <c r="R137" s="68">
        <f>$L137-$N137</f>
        <v/>
      </c>
      <c r="S137" s="67">
        <f>"Finance invoice"</f>
        <v/>
      </c>
      <c r="T137" s="67">
        <f>"Revenue"</f>
        <v/>
      </c>
    </row>
    <row r="138">
      <c r="A138" s="65">
        <f>ROW()-5</f>
        <v/>
      </c>
      <c r="B138" s="66">
        <f>IFERROR(INDEX(tbl_Finance[Date],$A138),"")</f>
        <v/>
      </c>
      <c r="C138" s="67">
        <f>IFERROR(INDEX(tbl_Finance[Xero Invoice No],$A138),"")</f>
        <v/>
      </c>
      <c r="D138" s="67">
        <f>IFERROR(INDEX(tbl_Finance[Client],$A138),"")</f>
        <v/>
      </c>
      <c r="E138" s="67">
        <f>IFERROR(INDEX(tbl_Finance[Job Number],$A138),"")</f>
        <v/>
      </c>
      <c r="F138" s="67">
        <f>IFERROR(INDEX(tbl_Finance[Cost Centre],$A138),"")</f>
        <v/>
      </c>
      <c r="G138" s="68">
        <f>IFERROR(INDEX(tbl_Finance[Ex GST],$A138),"")</f>
        <v/>
      </c>
      <c r="H138" s="66">
        <f>IFERROR(INDEX(tbl_Finance[Defer Start],$A138),"")</f>
        <v/>
      </c>
      <c r="I138" s="66">
        <f>IFERROR(INDEX(tbl_Finance[Defer End],$A138),"")</f>
        <v/>
      </c>
      <c r="J138" s="65">
        <f>IF(OR($H138="",$I138="",$G138=""),"",MAX(1,(YEAR($I138)-YEAR($H138))*12+MONTH($I138)-MONTH($H138)+1))</f>
        <v/>
      </c>
      <c r="K138" s="68">
        <f>IF($J138="","",$G138/$J138)</f>
        <v/>
      </c>
      <c r="L138" s="68">
        <f>IF($J138="",0,$K138*MAX(0,MIN(YEAR($C$3)*12+MONTH($C$3),YEAR($I138)*12+MONTH($I138))-(YEAR($H138)*12+MONTH($H138))+1))</f>
        <v/>
      </c>
      <c r="M138" s="68">
        <f>IF($J138="",0,$K138*MAX(0,MIN(YEAR($C$3)*12+MONTH($C$3)-1,YEAR($I138)*12+MONTH($I138))-(YEAR($H138)*12+MONTH($H138))+1))</f>
        <v/>
      </c>
      <c r="N138" s="68">
        <f>IF(OR($J138="",$B138=""),0,IF(YEAR($B138)*12+MONTH($B138)&lt;=YEAR($C$3)*12+MONTH($C$3),$G138,0))</f>
        <v/>
      </c>
      <c r="O138" s="68">
        <f>IF(OR($J138="",$B138=""),0,IF(YEAR($B138)*12+MONTH($B138)&lt;=YEAR($C$3)*12+MONTH($C$3)-1,$G138,0))</f>
        <v/>
      </c>
      <c r="P138" s="68">
        <f>$M138-$O138</f>
        <v/>
      </c>
      <c r="Q138" s="68">
        <f>($L138-$M138)-($N138-$O138)</f>
        <v/>
      </c>
      <c r="R138" s="68">
        <f>$L138-$N138</f>
        <v/>
      </c>
      <c r="S138" s="67">
        <f>"Finance invoice"</f>
        <v/>
      </c>
      <c r="T138" s="67">
        <f>"Revenue"</f>
        <v/>
      </c>
    </row>
    <row r="139">
      <c r="A139" s="65">
        <f>ROW()-5</f>
        <v/>
      </c>
      <c r="B139" s="66">
        <f>IFERROR(INDEX(tbl_Finance[Date],$A139),"")</f>
        <v/>
      </c>
      <c r="C139" s="67">
        <f>IFERROR(INDEX(tbl_Finance[Xero Invoice No],$A139),"")</f>
        <v/>
      </c>
      <c r="D139" s="67">
        <f>IFERROR(INDEX(tbl_Finance[Client],$A139),"")</f>
        <v/>
      </c>
      <c r="E139" s="67">
        <f>IFERROR(INDEX(tbl_Finance[Job Number],$A139),"")</f>
        <v/>
      </c>
      <c r="F139" s="67">
        <f>IFERROR(INDEX(tbl_Finance[Cost Centre],$A139),"")</f>
        <v/>
      </c>
      <c r="G139" s="68">
        <f>IFERROR(INDEX(tbl_Finance[Ex GST],$A139),"")</f>
        <v/>
      </c>
      <c r="H139" s="66">
        <f>IFERROR(INDEX(tbl_Finance[Defer Start],$A139),"")</f>
        <v/>
      </c>
      <c r="I139" s="66">
        <f>IFERROR(INDEX(tbl_Finance[Defer End],$A139),"")</f>
        <v/>
      </c>
      <c r="J139" s="65">
        <f>IF(OR($H139="",$I139="",$G139=""),"",MAX(1,(YEAR($I139)-YEAR($H139))*12+MONTH($I139)-MONTH($H139)+1))</f>
        <v/>
      </c>
      <c r="K139" s="68">
        <f>IF($J139="","",$G139/$J139)</f>
        <v/>
      </c>
      <c r="L139" s="68">
        <f>IF($J139="",0,$K139*MAX(0,MIN(YEAR($C$3)*12+MONTH($C$3),YEAR($I139)*12+MONTH($I139))-(YEAR($H139)*12+MONTH($H139))+1))</f>
        <v/>
      </c>
      <c r="M139" s="68">
        <f>IF($J139="",0,$K139*MAX(0,MIN(YEAR($C$3)*12+MONTH($C$3)-1,YEAR($I139)*12+MONTH($I139))-(YEAR($H139)*12+MONTH($H139))+1))</f>
        <v/>
      </c>
      <c r="N139" s="68">
        <f>IF(OR($J139="",$B139=""),0,IF(YEAR($B139)*12+MONTH($B139)&lt;=YEAR($C$3)*12+MONTH($C$3),$G139,0))</f>
        <v/>
      </c>
      <c r="O139" s="68">
        <f>IF(OR($J139="",$B139=""),0,IF(YEAR($B139)*12+MONTH($B139)&lt;=YEAR($C$3)*12+MONTH($C$3)-1,$G139,0))</f>
        <v/>
      </c>
      <c r="P139" s="68">
        <f>$M139-$O139</f>
        <v/>
      </c>
      <c r="Q139" s="68">
        <f>($L139-$M139)-($N139-$O139)</f>
        <v/>
      </c>
      <c r="R139" s="68">
        <f>$L139-$N139</f>
        <v/>
      </c>
      <c r="S139" s="67">
        <f>"Finance invoice"</f>
        <v/>
      </c>
      <c r="T139" s="67">
        <f>"Revenue"</f>
        <v/>
      </c>
    </row>
    <row r="140">
      <c r="A140" s="65">
        <f>ROW()-5</f>
        <v/>
      </c>
      <c r="B140" s="66">
        <f>IFERROR(INDEX(tbl_Finance[Date],$A140),"")</f>
        <v/>
      </c>
      <c r="C140" s="67">
        <f>IFERROR(INDEX(tbl_Finance[Xero Invoice No],$A140),"")</f>
        <v/>
      </c>
      <c r="D140" s="67">
        <f>IFERROR(INDEX(tbl_Finance[Client],$A140),"")</f>
        <v/>
      </c>
      <c r="E140" s="67">
        <f>IFERROR(INDEX(tbl_Finance[Job Number],$A140),"")</f>
        <v/>
      </c>
      <c r="F140" s="67">
        <f>IFERROR(INDEX(tbl_Finance[Cost Centre],$A140),"")</f>
        <v/>
      </c>
      <c r="G140" s="68">
        <f>IFERROR(INDEX(tbl_Finance[Ex GST],$A140),"")</f>
        <v/>
      </c>
      <c r="H140" s="66">
        <f>IFERROR(INDEX(tbl_Finance[Defer Start],$A140),"")</f>
        <v/>
      </c>
      <c r="I140" s="66">
        <f>IFERROR(INDEX(tbl_Finance[Defer End],$A140),"")</f>
        <v/>
      </c>
      <c r="J140" s="65">
        <f>IF(OR($H140="",$I140="",$G140=""),"",MAX(1,(YEAR($I140)-YEAR($H140))*12+MONTH($I140)-MONTH($H140)+1))</f>
        <v/>
      </c>
      <c r="K140" s="68">
        <f>IF($J140="","",$G140/$J140)</f>
        <v/>
      </c>
      <c r="L140" s="68">
        <f>IF($J140="",0,$K140*MAX(0,MIN(YEAR($C$3)*12+MONTH($C$3),YEAR($I140)*12+MONTH($I140))-(YEAR($H140)*12+MONTH($H140))+1))</f>
        <v/>
      </c>
      <c r="M140" s="68">
        <f>IF($J140="",0,$K140*MAX(0,MIN(YEAR($C$3)*12+MONTH($C$3)-1,YEAR($I140)*12+MONTH($I140))-(YEAR($H140)*12+MONTH($H140))+1))</f>
        <v/>
      </c>
      <c r="N140" s="68">
        <f>IF(OR($J140="",$B140=""),0,IF(YEAR($B140)*12+MONTH($B140)&lt;=YEAR($C$3)*12+MONTH($C$3),$G140,0))</f>
        <v/>
      </c>
      <c r="O140" s="68">
        <f>IF(OR($J140="",$B140=""),0,IF(YEAR($B140)*12+MONTH($B140)&lt;=YEAR($C$3)*12+MONTH($C$3)-1,$G140,0))</f>
        <v/>
      </c>
      <c r="P140" s="68">
        <f>$M140-$O140</f>
        <v/>
      </c>
      <c r="Q140" s="68">
        <f>($L140-$M140)-($N140-$O140)</f>
        <v/>
      </c>
      <c r="R140" s="68">
        <f>$L140-$N140</f>
        <v/>
      </c>
      <c r="S140" s="67">
        <f>"Finance invoice"</f>
        <v/>
      </c>
      <c r="T140" s="67">
        <f>"Revenue"</f>
        <v/>
      </c>
    </row>
    <row r="141">
      <c r="A141" s="65">
        <f>ROW()-5</f>
        <v/>
      </c>
      <c r="B141" s="66">
        <f>IFERROR(INDEX(tbl_Finance[Date],$A141),"")</f>
        <v/>
      </c>
      <c r="C141" s="67">
        <f>IFERROR(INDEX(tbl_Finance[Xero Invoice No],$A141),"")</f>
        <v/>
      </c>
      <c r="D141" s="67">
        <f>IFERROR(INDEX(tbl_Finance[Client],$A141),"")</f>
        <v/>
      </c>
      <c r="E141" s="67">
        <f>IFERROR(INDEX(tbl_Finance[Job Number],$A141),"")</f>
        <v/>
      </c>
      <c r="F141" s="67">
        <f>IFERROR(INDEX(tbl_Finance[Cost Centre],$A141),"")</f>
        <v/>
      </c>
      <c r="G141" s="68">
        <f>IFERROR(INDEX(tbl_Finance[Ex GST],$A141),"")</f>
        <v/>
      </c>
      <c r="H141" s="66">
        <f>IFERROR(INDEX(tbl_Finance[Defer Start],$A141),"")</f>
        <v/>
      </c>
      <c r="I141" s="66">
        <f>IFERROR(INDEX(tbl_Finance[Defer End],$A141),"")</f>
        <v/>
      </c>
      <c r="J141" s="65">
        <f>IF(OR($H141="",$I141="",$G141=""),"",MAX(1,(YEAR($I141)-YEAR($H141))*12+MONTH($I141)-MONTH($H141)+1))</f>
        <v/>
      </c>
      <c r="K141" s="68">
        <f>IF($J141="","",$G141/$J141)</f>
        <v/>
      </c>
      <c r="L141" s="68">
        <f>IF($J141="",0,$K141*MAX(0,MIN(YEAR($C$3)*12+MONTH($C$3),YEAR($I141)*12+MONTH($I141))-(YEAR($H141)*12+MONTH($H141))+1))</f>
        <v/>
      </c>
      <c r="M141" s="68">
        <f>IF($J141="",0,$K141*MAX(0,MIN(YEAR($C$3)*12+MONTH($C$3)-1,YEAR($I141)*12+MONTH($I141))-(YEAR($H141)*12+MONTH($H141))+1))</f>
        <v/>
      </c>
      <c r="N141" s="68">
        <f>IF(OR($J141="",$B141=""),0,IF(YEAR($B141)*12+MONTH($B141)&lt;=YEAR($C$3)*12+MONTH($C$3),$G141,0))</f>
        <v/>
      </c>
      <c r="O141" s="68">
        <f>IF(OR($J141="",$B141=""),0,IF(YEAR($B141)*12+MONTH($B141)&lt;=YEAR($C$3)*12+MONTH($C$3)-1,$G141,0))</f>
        <v/>
      </c>
      <c r="P141" s="68">
        <f>$M141-$O141</f>
        <v/>
      </c>
      <c r="Q141" s="68">
        <f>($L141-$M141)-($N141-$O141)</f>
        <v/>
      </c>
      <c r="R141" s="68">
        <f>$L141-$N141</f>
        <v/>
      </c>
      <c r="S141" s="67">
        <f>"Finance invoice"</f>
        <v/>
      </c>
      <c r="T141" s="67">
        <f>"Revenue"</f>
        <v/>
      </c>
    </row>
    <row r="142">
      <c r="A142" s="65">
        <f>ROW()-5</f>
        <v/>
      </c>
      <c r="B142" s="66">
        <f>IFERROR(INDEX(tbl_Finance[Date],$A142),"")</f>
        <v/>
      </c>
      <c r="C142" s="67">
        <f>IFERROR(INDEX(tbl_Finance[Xero Invoice No],$A142),"")</f>
        <v/>
      </c>
      <c r="D142" s="67">
        <f>IFERROR(INDEX(tbl_Finance[Client],$A142),"")</f>
        <v/>
      </c>
      <c r="E142" s="67">
        <f>IFERROR(INDEX(tbl_Finance[Job Number],$A142),"")</f>
        <v/>
      </c>
      <c r="F142" s="67">
        <f>IFERROR(INDEX(tbl_Finance[Cost Centre],$A142),"")</f>
        <v/>
      </c>
      <c r="G142" s="68">
        <f>IFERROR(INDEX(tbl_Finance[Ex GST],$A142),"")</f>
        <v/>
      </c>
      <c r="H142" s="66">
        <f>IFERROR(INDEX(tbl_Finance[Defer Start],$A142),"")</f>
        <v/>
      </c>
      <c r="I142" s="66">
        <f>IFERROR(INDEX(tbl_Finance[Defer End],$A142),"")</f>
        <v/>
      </c>
      <c r="J142" s="65">
        <f>IF(OR($H142="",$I142="",$G142=""),"",MAX(1,(YEAR($I142)-YEAR($H142))*12+MONTH($I142)-MONTH($H142)+1))</f>
        <v/>
      </c>
      <c r="K142" s="68">
        <f>IF($J142="","",$G142/$J142)</f>
        <v/>
      </c>
      <c r="L142" s="68">
        <f>IF($J142="",0,$K142*MAX(0,MIN(YEAR($C$3)*12+MONTH($C$3),YEAR($I142)*12+MONTH($I142))-(YEAR($H142)*12+MONTH($H142))+1))</f>
        <v/>
      </c>
      <c r="M142" s="68">
        <f>IF($J142="",0,$K142*MAX(0,MIN(YEAR($C$3)*12+MONTH($C$3)-1,YEAR($I142)*12+MONTH($I142))-(YEAR($H142)*12+MONTH($H142))+1))</f>
        <v/>
      </c>
      <c r="N142" s="68">
        <f>IF(OR($J142="",$B142=""),0,IF(YEAR($B142)*12+MONTH($B142)&lt;=YEAR($C$3)*12+MONTH($C$3),$G142,0))</f>
        <v/>
      </c>
      <c r="O142" s="68">
        <f>IF(OR($J142="",$B142=""),0,IF(YEAR($B142)*12+MONTH($B142)&lt;=YEAR($C$3)*12+MONTH($C$3)-1,$G142,0))</f>
        <v/>
      </c>
      <c r="P142" s="68">
        <f>$M142-$O142</f>
        <v/>
      </c>
      <c r="Q142" s="68">
        <f>($L142-$M142)-($N142-$O142)</f>
        <v/>
      </c>
      <c r="R142" s="68">
        <f>$L142-$N142</f>
        <v/>
      </c>
      <c r="S142" s="67">
        <f>"Finance invoice"</f>
        <v/>
      </c>
      <c r="T142" s="67">
        <f>"Revenue"</f>
        <v/>
      </c>
    </row>
    <row r="143">
      <c r="A143" s="65">
        <f>ROW()-5</f>
        <v/>
      </c>
      <c r="B143" s="66">
        <f>IFERROR(INDEX(tbl_Finance[Date],$A143),"")</f>
        <v/>
      </c>
      <c r="C143" s="67">
        <f>IFERROR(INDEX(tbl_Finance[Xero Invoice No],$A143),"")</f>
        <v/>
      </c>
      <c r="D143" s="67">
        <f>IFERROR(INDEX(tbl_Finance[Client],$A143),"")</f>
        <v/>
      </c>
      <c r="E143" s="67">
        <f>IFERROR(INDEX(tbl_Finance[Job Number],$A143),"")</f>
        <v/>
      </c>
      <c r="F143" s="67">
        <f>IFERROR(INDEX(tbl_Finance[Cost Centre],$A143),"")</f>
        <v/>
      </c>
      <c r="G143" s="68">
        <f>IFERROR(INDEX(tbl_Finance[Ex GST],$A143),"")</f>
        <v/>
      </c>
      <c r="H143" s="66">
        <f>IFERROR(INDEX(tbl_Finance[Defer Start],$A143),"")</f>
        <v/>
      </c>
      <c r="I143" s="66">
        <f>IFERROR(INDEX(tbl_Finance[Defer End],$A143),"")</f>
        <v/>
      </c>
      <c r="J143" s="65">
        <f>IF(OR($H143="",$I143="",$G143=""),"",MAX(1,(YEAR($I143)-YEAR($H143))*12+MONTH($I143)-MONTH($H143)+1))</f>
        <v/>
      </c>
      <c r="K143" s="68">
        <f>IF($J143="","",$G143/$J143)</f>
        <v/>
      </c>
      <c r="L143" s="68">
        <f>IF($J143="",0,$K143*MAX(0,MIN(YEAR($C$3)*12+MONTH($C$3),YEAR($I143)*12+MONTH($I143))-(YEAR($H143)*12+MONTH($H143))+1))</f>
        <v/>
      </c>
      <c r="M143" s="68">
        <f>IF($J143="",0,$K143*MAX(0,MIN(YEAR($C$3)*12+MONTH($C$3)-1,YEAR($I143)*12+MONTH($I143))-(YEAR($H143)*12+MONTH($H143))+1))</f>
        <v/>
      </c>
      <c r="N143" s="68">
        <f>IF(OR($J143="",$B143=""),0,IF(YEAR($B143)*12+MONTH($B143)&lt;=YEAR($C$3)*12+MONTH($C$3),$G143,0))</f>
        <v/>
      </c>
      <c r="O143" s="68">
        <f>IF(OR($J143="",$B143=""),0,IF(YEAR($B143)*12+MONTH($B143)&lt;=YEAR($C$3)*12+MONTH($C$3)-1,$G143,0))</f>
        <v/>
      </c>
      <c r="P143" s="68">
        <f>$M143-$O143</f>
        <v/>
      </c>
      <c r="Q143" s="68">
        <f>($L143-$M143)-($N143-$O143)</f>
        <v/>
      </c>
      <c r="R143" s="68">
        <f>$L143-$N143</f>
        <v/>
      </c>
      <c r="S143" s="67">
        <f>"Finance invoice"</f>
        <v/>
      </c>
      <c r="T143" s="67">
        <f>"Revenue"</f>
        <v/>
      </c>
    </row>
    <row r="144">
      <c r="A144" s="65">
        <f>ROW()-5</f>
        <v/>
      </c>
      <c r="B144" s="66">
        <f>IFERROR(INDEX(tbl_Finance[Date],$A144),"")</f>
        <v/>
      </c>
      <c r="C144" s="67">
        <f>IFERROR(INDEX(tbl_Finance[Xero Invoice No],$A144),"")</f>
        <v/>
      </c>
      <c r="D144" s="67">
        <f>IFERROR(INDEX(tbl_Finance[Client],$A144),"")</f>
        <v/>
      </c>
      <c r="E144" s="67">
        <f>IFERROR(INDEX(tbl_Finance[Job Number],$A144),"")</f>
        <v/>
      </c>
      <c r="F144" s="67">
        <f>IFERROR(INDEX(tbl_Finance[Cost Centre],$A144),"")</f>
        <v/>
      </c>
      <c r="G144" s="68">
        <f>IFERROR(INDEX(tbl_Finance[Ex GST],$A144),"")</f>
        <v/>
      </c>
      <c r="H144" s="66">
        <f>IFERROR(INDEX(tbl_Finance[Defer Start],$A144),"")</f>
        <v/>
      </c>
      <c r="I144" s="66">
        <f>IFERROR(INDEX(tbl_Finance[Defer End],$A144),"")</f>
        <v/>
      </c>
      <c r="J144" s="65">
        <f>IF(OR($H144="",$I144="",$G144=""),"",MAX(1,(YEAR($I144)-YEAR($H144))*12+MONTH($I144)-MONTH($H144)+1))</f>
        <v/>
      </c>
      <c r="K144" s="68">
        <f>IF($J144="","",$G144/$J144)</f>
        <v/>
      </c>
      <c r="L144" s="68">
        <f>IF($J144="",0,$K144*MAX(0,MIN(YEAR($C$3)*12+MONTH($C$3),YEAR($I144)*12+MONTH($I144))-(YEAR($H144)*12+MONTH($H144))+1))</f>
        <v/>
      </c>
      <c r="M144" s="68">
        <f>IF($J144="",0,$K144*MAX(0,MIN(YEAR($C$3)*12+MONTH($C$3)-1,YEAR($I144)*12+MONTH($I144))-(YEAR($H144)*12+MONTH($H144))+1))</f>
        <v/>
      </c>
      <c r="N144" s="68">
        <f>IF(OR($J144="",$B144=""),0,IF(YEAR($B144)*12+MONTH($B144)&lt;=YEAR($C$3)*12+MONTH($C$3),$G144,0))</f>
        <v/>
      </c>
      <c r="O144" s="68">
        <f>IF(OR($J144="",$B144=""),0,IF(YEAR($B144)*12+MONTH($B144)&lt;=YEAR($C$3)*12+MONTH($C$3)-1,$G144,0))</f>
        <v/>
      </c>
      <c r="P144" s="68">
        <f>$M144-$O144</f>
        <v/>
      </c>
      <c r="Q144" s="68">
        <f>($L144-$M144)-($N144-$O144)</f>
        <v/>
      </c>
      <c r="R144" s="68">
        <f>$L144-$N144</f>
        <v/>
      </c>
      <c r="S144" s="67">
        <f>"Finance invoice"</f>
        <v/>
      </c>
      <c r="T144" s="67">
        <f>"Revenue"</f>
        <v/>
      </c>
    </row>
    <row r="145">
      <c r="A145" s="65">
        <f>ROW()-5</f>
        <v/>
      </c>
      <c r="B145" s="66">
        <f>IFERROR(INDEX(tbl_Finance[Date],$A145),"")</f>
        <v/>
      </c>
      <c r="C145" s="67">
        <f>IFERROR(INDEX(tbl_Finance[Xero Invoice No],$A145),"")</f>
        <v/>
      </c>
      <c r="D145" s="67">
        <f>IFERROR(INDEX(tbl_Finance[Client],$A145),"")</f>
        <v/>
      </c>
      <c r="E145" s="67">
        <f>IFERROR(INDEX(tbl_Finance[Job Number],$A145),"")</f>
        <v/>
      </c>
      <c r="F145" s="67">
        <f>IFERROR(INDEX(tbl_Finance[Cost Centre],$A145),"")</f>
        <v/>
      </c>
      <c r="G145" s="68">
        <f>IFERROR(INDEX(tbl_Finance[Ex GST],$A145),"")</f>
        <v/>
      </c>
      <c r="H145" s="66">
        <f>IFERROR(INDEX(tbl_Finance[Defer Start],$A145),"")</f>
        <v/>
      </c>
      <c r="I145" s="66">
        <f>IFERROR(INDEX(tbl_Finance[Defer End],$A145),"")</f>
        <v/>
      </c>
      <c r="J145" s="65">
        <f>IF(OR($H145="",$I145="",$G145=""),"",MAX(1,(YEAR($I145)-YEAR($H145))*12+MONTH($I145)-MONTH($H145)+1))</f>
        <v/>
      </c>
      <c r="K145" s="68">
        <f>IF($J145="","",$G145/$J145)</f>
        <v/>
      </c>
      <c r="L145" s="68">
        <f>IF($J145="",0,$K145*MAX(0,MIN(YEAR($C$3)*12+MONTH($C$3),YEAR($I145)*12+MONTH($I145))-(YEAR($H145)*12+MONTH($H145))+1))</f>
        <v/>
      </c>
      <c r="M145" s="68">
        <f>IF($J145="",0,$K145*MAX(0,MIN(YEAR($C$3)*12+MONTH($C$3)-1,YEAR($I145)*12+MONTH($I145))-(YEAR($H145)*12+MONTH($H145))+1))</f>
        <v/>
      </c>
      <c r="N145" s="68">
        <f>IF(OR($J145="",$B145=""),0,IF(YEAR($B145)*12+MONTH($B145)&lt;=YEAR($C$3)*12+MONTH($C$3),$G145,0))</f>
        <v/>
      </c>
      <c r="O145" s="68">
        <f>IF(OR($J145="",$B145=""),0,IF(YEAR($B145)*12+MONTH($B145)&lt;=YEAR($C$3)*12+MONTH($C$3)-1,$G145,0))</f>
        <v/>
      </c>
      <c r="P145" s="68">
        <f>$M145-$O145</f>
        <v/>
      </c>
      <c r="Q145" s="68">
        <f>($L145-$M145)-($N145-$O145)</f>
        <v/>
      </c>
      <c r="R145" s="68">
        <f>$L145-$N145</f>
        <v/>
      </c>
      <c r="S145" s="67">
        <f>"Finance invoice"</f>
        <v/>
      </c>
      <c r="T145" s="67">
        <f>"Revenue"</f>
        <v/>
      </c>
    </row>
    <row r="146">
      <c r="A146" s="65">
        <f>ROW()-5</f>
        <v/>
      </c>
      <c r="B146" s="66">
        <f>IFERROR(INDEX(tbl_Finance[Date],$A146),"")</f>
        <v/>
      </c>
      <c r="C146" s="67">
        <f>IFERROR(INDEX(tbl_Finance[Xero Invoice No],$A146),"")</f>
        <v/>
      </c>
      <c r="D146" s="67">
        <f>IFERROR(INDEX(tbl_Finance[Client],$A146),"")</f>
        <v/>
      </c>
      <c r="E146" s="67">
        <f>IFERROR(INDEX(tbl_Finance[Job Number],$A146),"")</f>
        <v/>
      </c>
      <c r="F146" s="67">
        <f>IFERROR(INDEX(tbl_Finance[Cost Centre],$A146),"")</f>
        <v/>
      </c>
      <c r="G146" s="68">
        <f>IFERROR(INDEX(tbl_Finance[Ex GST],$A146),"")</f>
        <v/>
      </c>
      <c r="H146" s="66">
        <f>IFERROR(INDEX(tbl_Finance[Defer Start],$A146),"")</f>
        <v/>
      </c>
      <c r="I146" s="66">
        <f>IFERROR(INDEX(tbl_Finance[Defer End],$A146),"")</f>
        <v/>
      </c>
      <c r="J146" s="65">
        <f>IF(OR($H146="",$I146="",$G146=""),"",MAX(1,(YEAR($I146)-YEAR($H146))*12+MONTH($I146)-MONTH($H146)+1))</f>
        <v/>
      </c>
      <c r="K146" s="68">
        <f>IF($J146="","",$G146/$J146)</f>
        <v/>
      </c>
      <c r="L146" s="68">
        <f>IF($J146="",0,$K146*MAX(0,MIN(YEAR($C$3)*12+MONTH($C$3),YEAR($I146)*12+MONTH($I146))-(YEAR($H146)*12+MONTH($H146))+1))</f>
        <v/>
      </c>
      <c r="M146" s="68">
        <f>IF($J146="",0,$K146*MAX(0,MIN(YEAR($C$3)*12+MONTH($C$3)-1,YEAR($I146)*12+MONTH($I146))-(YEAR($H146)*12+MONTH($H146))+1))</f>
        <v/>
      </c>
      <c r="N146" s="68">
        <f>IF(OR($J146="",$B146=""),0,IF(YEAR($B146)*12+MONTH($B146)&lt;=YEAR($C$3)*12+MONTH($C$3),$G146,0))</f>
        <v/>
      </c>
      <c r="O146" s="68">
        <f>IF(OR($J146="",$B146=""),0,IF(YEAR($B146)*12+MONTH($B146)&lt;=YEAR($C$3)*12+MONTH($C$3)-1,$G146,0))</f>
        <v/>
      </c>
      <c r="P146" s="68">
        <f>$M146-$O146</f>
        <v/>
      </c>
      <c r="Q146" s="68">
        <f>($L146-$M146)-($N146-$O146)</f>
        <v/>
      </c>
      <c r="R146" s="68">
        <f>$L146-$N146</f>
        <v/>
      </c>
      <c r="S146" s="67">
        <f>"Finance invoice"</f>
        <v/>
      </c>
      <c r="T146" s="67">
        <f>"Revenue"</f>
        <v/>
      </c>
    </row>
    <row r="147">
      <c r="A147" s="65">
        <f>ROW()-5</f>
        <v/>
      </c>
      <c r="B147" s="66">
        <f>IFERROR(INDEX(tbl_Finance[Date],$A147),"")</f>
        <v/>
      </c>
      <c r="C147" s="67">
        <f>IFERROR(INDEX(tbl_Finance[Xero Invoice No],$A147),"")</f>
        <v/>
      </c>
      <c r="D147" s="67">
        <f>IFERROR(INDEX(tbl_Finance[Client],$A147),"")</f>
        <v/>
      </c>
      <c r="E147" s="67">
        <f>IFERROR(INDEX(tbl_Finance[Job Number],$A147),"")</f>
        <v/>
      </c>
      <c r="F147" s="67">
        <f>IFERROR(INDEX(tbl_Finance[Cost Centre],$A147),"")</f>
        <v/>
      </c>
      <c r="G147" s="68">
        <f>IFERROR(INDEX(tbl_Finance[Ex GST],$A147),"")</f>
        <v/>
      </c>
      <c r="H147" s="66">
        <f>IFERROR(INDEX(tbl_Finance[Defer Start],$A147),"")</f>
        <v/>
      </c>
      <c r="I147" s="66">
        <f>IFERROR(INDEX(tbl_Finance[Defer End],$A147),"")</f>
        <v/>
      </c>
      <c r="J147" s="65">
        <f>IF(OR($H147="",$I147="",$G147=""),"",MAX(1,(YEAR($I147)-YEAR($H147))*12+MONTH($I147)-MONTH($H147)+1))</f>
        <v/>
      </c>
      <c r="K147" s="68">
        <f>IF($J147="","",$G147/$J147)</f>
        <v/>
      </c>
      <c r="L147" s="68">
        <f>IF($J147="",0,$K147*MAX(0,MIN(YEAR($C$3)*12+MONTH($C$3),YEAR($I147)*12+MONTH($I147))-(YEAR($H147)*12+MONTH($H147))+1))</f>
        <v/>
      </c>
      <c r="M147" s="68">
        <f>IF($J147="",0,$K147*MAX(0,MIN(YEAR($C$3)*12+MONTH($C$3)-1,YEAR($I147)*12+MONTH($I147))-(YEAR($H147)*12+MONTH($H147))+1))</f>
        <v/>
      </c>
      <c r="N147" s="68">
        <f>IF(OR($J147="",$B147=""),0,IF(YEAR($B147)*12+MONTH($B147)&lt;=YEAR($C$3)*12+MONTH($C$3),$G147,0))</f>
        <v/>
      </c>
      <c r="O147" s="68">
        <f>IF(OR($J147="",$B147=""),0,IF(YEAR($B147)*12+MONTH($B147)&lt;=YEAR($C$3)*12+MONTH($C$3)-1,$G147,0))</f>
        <v/>
      </c>
      <c r="P147" s="68">
        <f>$M147-$O147</f>
        <v/>
      </c>
      <c r="Q147" s="68">
        <f>($L147-$M147)-($N147-$O147)</f>
        <v/>
      </c>
      <c r="R147" s="68">
        <f>$L147-$N147</f>
        <v/>
      </c>
      <c r="S147" s="67">
        <f>"Finance invoice"</f>
        <v/>
      </c>
      <c r="T147" s="67">
        <f>"Revenue"</f>
        <v/>
      </c>
    </row>
    <row r="148">
      <c r="A148" s="65">
        <f>ROW()-5</f>
        <v/>
      </c>
      <c r="B148" s="66">
        <f>IFERROR(INDEX(tbl_Finance[Date],$A148),"")</f>
        <v/>
      </c>
      <c r="C148" s="67">
        <f>IFERROR(INDEX(tbl_Finance[Xero Invoice No],$A148),"")</f>
        <v/>
      </c>
      <c r="D148" s="67">
        <f>IFERROR(INDEX(tbl_Finance[Client],$A148),"")</f>
        <v/>
      </c>
      <c r="E148" s="67">
        <f>IFERROR(INDEX(tbl_Finance[Job Number],$A148),"")</f>
        <v/>
      </c>
      <c r="F148" s="67">
        <f>IFERROR(INDEX(tbl_Finance[Cost Centre],$A148),"")</f>
        <v/>
      </c>
      <c r="G148" s="68">
        <f>IFERROR(INDEX(tbl_Finance[Ex GST],$A148),"")</f>
        <v/>
      </c>
      <c r="H148" s="66">
        <f>IFERROR(INDEX(tbl_Finance[Defer Start],$A148),"")</f>
        <v/>
      </c>
      <c r="I148" s="66">
        <f>IFERROR(INDEX(tbl_Finance[Defer End],$A148),"")</f>
        <v/>
      </c>
      <c r="J148" s="65">
        <f>IF(OR($H148="",$I148="",$G148=""),"",MAX(1,(YEAR($I148)-YEAR($H148))*12+MONTH($I148)-MONTH($H148)+1))</f>
        <v/>
      </c>
      <c r="K148" s="68">
        <f>IF($J148="","",$G148/$J148)</f>
        <v/>
      </c>
      <c r="L148" s="68">
        <f>IF($J148="",0,$K148*MAX(0,MIN(YEAR($C$3)*12+MONTH($C$3),YEAR($I148)*12+MONTH($I148))-(YEAR($H148)*12+MONTH($H148))+1))</f>
        <v/>
      </c>
      <c r="M148" s="68">
        <f>IF($J148="",0,$K148*MAX(0,MIN(YEAR($C$3)*12+MONTH($C$3)-1,YEAR($I148)*12+MONTH($I148))-(YEAR($H148)*12+MONTH($H148))+1))</f>
        <v/>
      </c>
      <c r="N148" s="68">
        <f>IF(OR($J148="",$B148=""),0,IF(YEAR($B148)*12+MONTH($B148)&lt;=YEAR($C$3)*12+MONTH($C$3),$G148,0))</f>
        <v/>
      </c>
      <c r="O148" s="68">
        <f>IF(OR($J148="",$B148=""),0,IF(YEAR($B148)*12+MONTH($B148)&lt;=YEAR($C$3)*12+MONTH($C$3)-1,$G148,0))</f>
        <v/>
      </c>
      <c r="P148" s="68">
        <f>$M148-$O148</f>
        <v/>
      </c>
      <c r="Q148" s="68">
        <f>($L148-$M148)-($N148-$O148)</f>
        <v/>
      </c>
      <c r="R148" s="68">
        <f>$L148-$N148</f>
        <v/>
      </c>
      <c r="S148" s="67">
        <f>"Finance invoice"</f>
        <v/>
      </c>
      <c r="T148" s="67">
        <f>"Revenue"</f>
        <v/>
      </c>
    </row>
    <row r="149">
      <c r="A149" s="65">
        <f>ROW()-5</f>
        <v/>
      </c>
      <c r="B149" s="66">
        <f>IFERROR(INDEX(tbl_Finance[Date],$A149),"")</f>
        <v/>
      </c>
      <c r="C149" s="67">
        <f>IFERROR(INDEX(tbl_Finance[Xero Invoice No],$A149),"")</f>
        <v/>
      </c>
      <c r="D149" s="67">
        <f>IFERROR(INDEX(tbl_Finance[Client],$A149),"")</f>
        <v/>
      </c>
      <c r="E149" s="67">
        <f>IFERROR(INDEX(tbl_Finance[Job Number],$A149),"")</f>
        <v/>
      </c>
      <c r="F149" s="67">
        <f>IFERROR(INDEX(tbl_Finance[Cost Centre],$A149),"")</f>
        <v/>
      </c>
      <c r="G149" s="68">
        <f>IFERROR(INDEX(tbl_Finance[Ex GST],$A149),"")</f>
        <v/>
      </c>
      <c r="H149" s="66">
        <f>IFERROR(INDEX(tbl_Finance[Defer Start],$A149),"")</f>
        <v/>
      </c>
      <c r="I149" s="66">
        <f>IFERROR(INDEX(tbl_Finance[Defer End],$A149),"")</f>
        <v/>
      </c>
      <c r="J149" s="65">
        <f>IF(OR($H149="",$I149="",$G149=""),"",MAX(1,(YEAR($I149)-YEAR($H149))*12+MONTH($I149)-MONTH($H149)+1))</f>
        <v/>
      </c>
      <c r="K149" s="68">
        <f>IF($J149="","",$G149/$J149)</f>
        <v/>
      </c>
      <c r="L149" s="68">
        <f>IF($J149="",0,$K149*MAX(0,MIN(YEAR($C$3)*12+MONTH($C$3),YEAR($I149)*12+MONTH($I149))-(YEAR($H149)*12+MONTH($H149))+1))</f>
        <v/>
      </c>
      <c r="M149" s="68">
        <f>IF($J149="",0,$K149*MAX(0,MIN(YEAR($C$3)*12+MONTH($C$3)-1,YEAR($I149)*12+MONTH($I149))-(YEAR($H149)*12+MONTH($H149))+1))</f>
        <v/>
      </c>
      <c r="N149" s="68">
        <f>IF(OR($J149="",$B149=""),0,IF(YEAR($B149)*12+MONTH($B149)&lt;=YEAR($C$3)*12+MONTH($C$3),$G149,0))</f>
        <v/>
      </c>
      <c r="O149" s="68">
        <f>IF(OR($J149="",$B149=""),0,IF(YEAR($B149)*12+MONTH($B149)&lt;=YEAR($C$3)*12+MONTH($C$3)-1,$G149,0))</f>
        <v/>
      </c>
      <c r="P149" s="68">
        <f>$M149-$O149</f>
        <v/>
      </c>
      <c r="Q149" s="68">
        <f>($L149-$M149)-($N149-$O149)</f>
        <v/>
      </c>
      <c r="R149" s="68">
        <f>$L149-$N149</f>
        <v/>
      </c>
      <c r="S149" s="67">
        <f>"Finance invoice"</f>
        <v/>
      </c>
      <c r="T149" s="67">
        <f>"Revenue"</f>
        <v/>
      </c>
    </row>
    <row r="150">
      <c r="A150" s="65">
        <f>ROW()-5</f>
        <v/>
      </c>
      <c r="B150" s="66">
        <f>IFERROR(INDEX(tbl_Finance[Date],$A150),"")</f>
        <v/>
      </c>
      <c r="C150" s="67">
        <f>IFERROR(INDEX(tbl_Finance[Xero Invoice No],$A150),"")</f>
        <v/>
      </c>
      <c r="D150" s="67">
        <f>IFERROR(INDEX(tbl_Finance[Client],$A150),"")</f>
        <v/>
      </c>
      <c r="E150" s="67">
        <f>IFERROR(INDEX(tbl_Finance[Job Number],$A150),"")</f>
        <v/>
      </c>
      <c r="F150" s="67">
        <f>IFERROR(INDEX(tbl_Finance[Cost Centre],$A150),"")</f>
        <v/>
      </c>
      <c r="G150" s="68">
        <f>IFERROR(INDEX(tbl_Finance[Ex GST],$A150),"")</f>
        <v/>
      </c>
      <c r="H150" s="66">
        <f>IFERROR(INDEX(tbl_Finance[Defer Start],$A150),"")</f>
        <v/>
      </c>
      <c r="I150" s="66">
        <f>IFERROR(INDEX(tbl_Finance[Defer End],$A150),"")</f>
        <v/>
      </c>
      <c r="J150" s="65">
        <f>IF(OR($H150="",$I150="",$G150=""),"",MAX(1,(YEAR($I150)-YEAR($H150))*12+MONTH($I150)-MONTH($H150)+1))</f>
        <v/>
      </c>
      <c r="K150" s="68">
        <f>IF($J150="","",$G150/$J150)</f>
        <v/>
      </c>
      <c r="L150" s="68">
        <f>IF($J150="",0,$K150*MAX(0,MIN(YEAR($C$3)*12+MONTH($C$3),YEAR($I150)*12+MONTH($I150))-(YEAR($H150)*12+MONTH($H150))+1))</f>
        <v/>
      </c>
      <c r="M150" s="68">
        <f>IF($J150="",0,$K150*MAX(0,MIN(YEAR($C$3)*12+MONTH($C$3)-1,YEAR($I150)*12+MONTH($I150))-(YEAR($H150)*12+MONTH($H150))+1))</f>
        <v/>
      </c>
      <c r="N150" s="68">
        <f>IF(OR($J150="",$B150=""),0,IF(YEAR($B150)*12+MONTH($B150)&lt;=YEAR($C$3)*12+MONTH($C$3),$G150,0))</f>
        <v/>
      </c>
      <c r="O150" s="68">
        <f>IF(OR($J150="",$B150=""),0,IF(YEAR($B150)*12+MONTH($B150)&lt;=YEAR($C$3)*12+MONTH($C$3)-1,$G150,0))</f>
        <v/>
      </c>
      <c r="P150" s="68">
        <f>$M150-$O150</f>
        <v/>
      </c>
      <c r="Q150" s="68">
        <f>($L150-$M150)-($N150-$O150)</f>
        <v/>
      </c>
      <c r="R150" s="68">
        <f>$L150-$N150</f>
        <v/>
      </c>
      <c r="S150" s="67">
        <f>"Finance invoice"</f>
        <v/>
      </c>
      <c r="T150" s="67">
        <f>"Revenue"</f>
        <v/>
      </c>
    </row>
    <row r="151">
      <c r="A151" s="65">
        <f>ROW()-5</f>
        <v/>
      </c>
      <c r="B151" s="66">
        <f>IFERROR(INDEX(tbl_Finance[Date],$A151),"")</f>
        <v/>
      </c>
      <c r="C151" s="67">
        <f>IFERROR(INDEX(tbl_Finance[Xero Invoice No],$A151),"")</f>
        <v/>
      </c>
      <c r="D151" s="67">
        <f>IFERROR(INDEX(tbl_Finance[Client],$A151),"")</f>
        <v/>
      </c>
      <c r="E151" s="67">
        <f>IFERROR(INDEX(tbl_Finance[Job Number],$A151),"")</f>
        <v/>
      </c>
      <c r="F151" s="67">
        <f>IFERROR(INDEX(tbl_Finance[Cost Centre],$A151),"")</f>
        <v/>
      </c>
      <c r="G151" s="68">
        <f>IFERROR(INDEX(tbl_Finance[Ex GST],$A151),"")</f>
        <v/>
      </c>
      <c r="H151" s="66">
        <f>IFERROR(INDEX(tbl_Finance[Defer Start],$A151),"")</f>
        <v/>
      </c>
      <c r="I151" s="66">
        <f>IFERROR(INDEX(tbl_Finance[Defer End],$A151),"")</f>
        <v/>
      </c>
      <c r="J151" s="65">
        <f>IF(OR($H151="",$I151="",$G151=""),"",MAX(1,(YEAR($I151)-YEAR($H151))*12+MONTH($I151)-MONTH($H151)+1))</f>
        <v/>
      </c>
      <c r="K151" s="68">
        <f>IF($J151="","",$G151/$J151)</f>
        <v/>
      </c>
      <c r="L151" s="68">
        <f>IF($J151="",0,$K151*MAX(0,MIN(YEAR($C$3)*12+MONTH($C$3),YEAR($I151)*12+MONTH($I151))-(YEAR($H151)*12+MONTH($H151))+1))</f>
        <v/>
      </c>
      <c r="M151" s="68">
        <f>IF($J151="",0,$K151*MAX(0,MIN(YEAR($C$3)*12+MONTH($C$3)-1,YEAR($I151)*12+MONTH($I151))-(YEAR($H151)*12+MONTH($H151))+1))</f>
        <v/>
      </c>
      <c r="N151" s="68">
        <f>IF(OR($J151="",$B151=""),0,IF(YEAR($B151)*12+MONTH($B151)&lt;=YEAR($C$3)*12+MONTH($C$3),$G151,0))</f>
        <v/>
      </c>
      <c r="O151" s="68">
        <f>IF(OR($J151="",$B151=""),0,IF(YEAR($B151)*12+MONTH($B151)&lt;=YEAR($C$3)*12+MONTH($C$3)-1,$G151,0))</f>
        <v/>
      </c>
      <c r="P151" s="68">
        <f>$M151-$O151</f>
        <v/>
      </c>
      <c r="Q151" s="68">
        <f>($L151-$M151)-($N151-$O151)</f>
        <v/>
      </c>
      <c r="R151" s="68">
        <f>$L151-$N151</f>
        <v/>
      </c>
      <c r="S151" s="67">
        <f>"Finance invoice"</f>
        <v/>
      </c>
      <c r="T151" s="67">
        <f>"Revenue"</f>
        <v/>
      </c>
    </row>
    <row r="152">
      <c r="A152" s="65">
        <f>ROW()-5</f>
        <v/>
      </c>
      <c r="B152" s="66">
        <f>IFERROR(INDEX(tbl_Finance[Date],$A152),"")</f>
        <v/>
      </c>
      <c r="C152" s="67">
        <f>IFERROR(INDEX(tbl_Finance[Xero Invoice No],$A152),"")</f>
        <v/>
      </c>
      <c r="D152" s="67">
        <f>IFERROR(INDEX(tbl_Finance[Client],$A152),"")</f>
        <v/>
      </c>
      <c r="E152" s="67">
        <f>IFERROR(INDEX(tbl_Finance[Job Number],$A152),"")</f>
        <v/>
      </c>
      <c r="F152" s="67">
        <f>IFERROR(INDEX(tbl_Finance[Cost Centre],$A152),"")</f>
        <v/>
      </c>
      <c r="G152" s="68">
        <f>IFERROR(INDEX(tbl_Finance[Ex GST],$A152),"")</f>
        <v/>
      </c>
      <c r="H152" s="66">
        <f>IFERROR(INDEX(tbl_Finance[Defer Start],$A152),"")</f>
        <v/>
      </c>
      <c r="I152" s="66">
        <f>IFERROR(INDEX(tbl_Finance[Defer End],$A152),"")</f>
        <v/>
      </c>
      <c r="J152" s="65">
        <f>IF(OR($H152="",$I152="",$G152=""),"",MAX(1,(YEAR($I152)-YEAR($H152))*12+MONTH($I152)-MONTH($H152)+1))</f>
        <v/>
      </c>
      <c r="K152" s="68">
        <f>IF($J152="","",$G152/$J152)</f>
        <v/>
      </c>
      <c r="L152" s="68">
        <f>IF($J152="",0,$K152*MAX(0,MIN(YEAR($C$3)*12+MONTH($C$3),YEAR($I152)*12+MONTH($I152))-(YEAR($H152)*12+MONTH($H152))+1))</f>
        <v/>
      </c>
      <c r="M152" s="68">
        <f>IF($J152="",0,$K152*MAX(0,MIN(YEAR($C$3)*12+MONTH($C$3)-1,YEAR($I152)*12+MONTH($I152))-(YEAR($H152)*12+MONTH($H152))+1))</f>
        <v/>
      </c>
      <c r="N152" s="68">
        <f>IF(OR($J152="",$B152=""),0,IF(YEAR($B152)*12+MONTH($B152)&lt;=YEAR($C$3)*12+MONTH($C$3),$G152,0))</f>
        <v/>
      </c>
      <c r="O152" s="68">
        <f>IF(OR($J152="",$B152=""),0,IF(YEAR($B152)*12+MONTH($B152)&lt;=YEAR($C$3)*12+MONTH($C$3)-1,$G152,0))</f>
        <v/>
      </c>
      <c r="P152" s="68">
        <f>$M152-$O152</f>
        <v/>
      </c>
      <c r="Q152" s="68">
        <f>($L152-$M152)-($N152-$O152)</f>
        <v/>
      </c>
      <c r="R152" s="68">
        <f>$L152-$N152</f>
        <v/>
      </c>
      <c r="S152" s="67">
        <f>"Finance invoice"</f>
        <v/>
      </c>
      <c r="T152" s="67">
        <f>"Revenue"</f>
        <v/>
      </c>
    </row>
    <row r="153">
      <c r="A153" s="65">
        <f>ROW()-5</f>
        <v/>
      </c>
      <c r="B153" s="66">
        <f>IFERROR(INDEX(tbl_Finance[Date],$A153),"")</f>
        <v/>
      </c>
      <c r="C153" s="67">
        <f>IFERROR(INDEX(tbl_Finance[Xero Invoice No],$A153),"")</f>
        <v/>
      </c>
      <c r="D153" s="67">
        <f>IFERROR(INDEX(tbl_Finance[Client],$A153),"")</f>
        <v/>
      </c>
      <c r="E153" s="67">
        <f>IFERROR(INDEX(tbl_Finance[Job Number],$A153),"")</f>
        <v/>
      </c>
      <c r="F153" s="67">
        <f>IFERROR(INDEX(tbl_Finance[Cost Centre],$A153),"")</f>
        <v/>
      </c>
      <c r="G153" s="68">
        <f>IFERROR(INDEX(tbl_Finance[Ex GST],$A153),"")</f>
        <v/>
      </c>
      <c r="H153" s="66">
        <f>IFERROR(INDEX(tbl_Finance[Defer Start],$A153),"")</f>
        <v/>
      </c>
      <c r="I153" s="66">
        <f>IFERROR(INDEX(tbl_Finance[Defer End],$A153),"")</f>
        <v/>
      </c>
      <c r="J153" s="65">
        <f>IF(OR($H153="",$I153="",$G153=""),"",MAX(1,(YEAR($I153)-YEAR($H153))*12+MONTH($I153)-MONTH($H153)+1))</f>
        <v/>
      </c>
      <c r="K153" s="68">
        <f>IF($J153="","",$G153/$J153)</f>
        <v/>
      </c>
      <c r="L153" s="68">
        <f>IF($J153="",0,$K153*MAX(0,MIN(YEAR($C$3)*12+MONTH($C$3),YEAR($I153)*12+MONTH($I153))-(YEAR($H153)*12+MONTH($H153))+1))</f>
        <v/>
      </c>
      <c r="M153" s="68">
        <f>IF($J153="",0,$K153*MAX(0,MIN(YEAR($C$3)*12+MONTH($C$3)-1,YEAR($I153)*12+MONTH($I153))-(YEAR($H153)*12+MONTH($H153))+1))</f>
        <v/>
      </c>
      <c r="N153" s="68">
        <f>IF(OR($J153="",$B153=""),0,IF(YEAR($B153)*12+MONTH($B153)&lt;=YEAR($C$3)*12+MONTH($C$3),$G153,0))</f>
        <v/>
      </c>
      <c r="O153" s="68">
        <f>IF(OR($J153="",$B153=""),0,IF(YEAR($B153)*12+MONTH($B153)&lt;=YEAR($C$3)*12+MONTH($C$3)-1,$G153,0))</f>
        <v/>
      </c>
      <c r="P153" s="68">
        <f>$M153-$O153</f>
        <v/>
      </c>
      <c r="Q153" s="68">
        <f>($L153-$M153)-($N153-$O153)</f>
        <v/>
      </c>
      <c r="R153" s="68">
        <f>$L153-$N153</f>
        <v/>
      </c>
      <c r="S153" s="67">
        <f>"Finance invoice"</f>
        <v/>
      </c>
      <c r="T153" s="67">
        <f>"Revenue"</f>
        <v/>
      </c>
    </row>
    <row r="154">
      <c r="A154" s="65">
        <f>ROW()-5</f>
        <v/>
      </c>
      <c r="B154" s="66">
        <f>IFERROR(INDEX(tbl_Finance[Date],$A154),"")</f>
        <v/>
      </c>
      <c r="C154" s="67">
        <f>IFERROR(INDEX(tbl_Finance[Xero Invoice No],$A154),"")</f>
        <v/>
      </c>
      <c r="D154" s="67">
        <f>IFERROR(INDEX(tbl_Finance[Client],$A154),"")</f>
        <v/>
      </c>
      <c r="E154" s="67">
        <f>IFERROR(INDEX(tbl_Finance[Job Number],$A154),"")</f>
        <v/>
      </c>
      <c r="F154" s="67">
        <f>IFERROR(INDEX(tbl_Finance[Cost Centre],$A154),"")</f>
        <v/>
      </c>
      <c r="G154" s="68">
        <f>IFERROR(INDEX(tbl_Finance[Ex GST],$A154),"")</f>
        <v/>
      </c>
      <c r="H154" s="66">
        <f>IFERROR(INDEX(tbl_Finance[Defer Start],$A154),"")</f>
        <v/>
      </c>
      <c r="I154" s="66">
        <f>IFERROR(INDEX(tbl_Finance[Defer End],$A154),"")</f>
        <v/>
      </c>
      <c r="J154" s="65">
        <f>IF(OR($H154="",$I154="",$G154=""),"",MAX(1,(YEAR($I154)-YEAR($H154))*12+MONTH($I154)-MONTH($H154)+1))</f>
        <v/>
      </c>
      <c r="K154" s="68">
        <f>IF($J154="","",$G154/$J154)</f>
        <v/>
      </c>
      <c r="L154" s="68">
        <f>IF($J154="",0,$K154*MAX(0,MIN(YEAR($C$3)*12+MONTH($C$3),YEAR($I154)*12+MONTH($I154))-(YEAR($H154)*12+MONTH($H154))+1))</f>
        <v/>
      </c>
      <c r="M154" s="68">
        <f>IF($J154="",0,$K154*MAX(0,MIN(YEAR($C$3)*12+MONTH($C$3)-1,YEAR($I154)*12+MONTH($I154))-(YEAR($H154)*12+MONTH($H154))+1))</f>
        <v/>
      </c>
      <c r="N154" s="68">
        <f>IF(OR($J154="",$B154=""),0,IF(YEAR($B154)*12+MONTH($B154)&lt;=YEAR($C$3)*12+MONTH($C$3),$G154,0))</f>
        <v/>
      </c>
      <c r="O154" s="68">
        <f>IF(OR($J154="",$B154=""),0,IF(YEAR($B154)*12+MONTH($B154)&lt;=YEAR($C$3)*12+MONTH($C$3)-1,$G154,0))</f>
        <v/>
      </c>
      <c r="P154" s="68">
        <f>$M154-$O154</f>
        <v/>
      </c>
      <c r="Q154" s="68">
        <f>($L154-$M154)-($N154-$O154)</f>
        <v/>
      </c>
      <c r="R154" s="68">
        <f>$L154-$N154</f>
        <v/>
      </c>
      <c r="S154" s="67">
        <f>"Finance invoice"</f>
        <v/>
      </c>
      <c r="T154" s="67">
        <f>"Revenue"</f>
        <v/>
      </c>
    </row>
    <row r="155">
      <c r="A155" s="65">
        <f>ROW()-5</f>
        <v/>
      </c>
      <c r="B155" s="66">
        <f>IFERROR(INDEX(tbl_Finance[Date],$A155),"")</f>
        <v/>
      </c>
      <c r="C155" s="67">
        <f>IFERROR(INDEX(tbl_Finance[Xero Invoice No],$A155),"")</f>
        <v/>
      </c>
      <c r="D155" s="67">
        <f>IFERROR(INDEX(tbl_Finance[Client],$A155),"")</f>
        <v/>
      </c>
      <c r="E155" s="67">
        <f>IFERROR(INDEX(tbl_Finance[Job Number],$A155),"")</f>
        <v/>
      </c>
      <c r="F155" s="67">
        <f>IFERROR(INDEX(tbl_Finance[Cost Centre],$A155),"")</f>
        <v/>
      </c>
      <c r="G155" s="68">
        <f>IFERROR(INDEX(tbl_Finance[Ex GST],$A155),"")</f>
        <v/>
      </c>
      <c r="H155" s="66">
        <f>IFERROR(INDEX(tbl_Finance[Defer Start],$A155),"")</f>
        <v/>
      </c>
      <c r="I155" s="66">
        <f>IFERROR(INDEX(tbl_Finance[Defer End],$A155),"")</f>
        <v/>
      </c>
      <c r="J155" s="65">
        <f>IF(OR($H155="",$I155="",$G155=""),"",MAX(1,(YEAR($I155)-YEAR($H155))*12+MONTH($I155)-MONTH($H155)+1))</f>
        <v/>
      </c>
      <c r="K155" s="68">
        <f>IF($J155="","",$G155/$J155)</f>
        <v/>
      </c>
      <c r="L155" s="68">
        <f>IF($J155="",0,$K155*MAX(0,MIN(YEAR($C$3)*12+MONTH($C$3),YEAR($I155)*12+MONTH($I155))-(YEAR($H155)*12+MONTH($H155))+1))</f>
        <v/>
      </c>
      <c r="M155" s="68">
        <f>IF($J155="",0,$K155*MAX(0,MIN(YEAR($C$3)*12+MONTH($C$3)-1,YEAR($I155)*12+MONTH($I155))-(YEAR($H155)*12+MONTH($H155))+1))</f>
        <v/>
      </c>
      <c r="N155" s="68">
        <f>IF(OR($J155="",$B155=""),0,IF(YEAR($B155)*12+MONTH($B155)&lt;=YEAR($C$3)*12+MONTH($C$3),$G155,0))</f>
        <v/>
      </c>
      <c r="O155" s="68">
        <f>IF(OR($J155="",$B155=""),0,IF(YEAR($B155)*12+MONTH($B155)&lt;=YEAR($C$3)*12+MONTH($C$3)-1,$G155,0))</f>
        <v/>
      </c>
      <c r="P155" s="68">
        <f>$M155-$O155</f>
        <v/>
      </c>
      <c r="Q155" s="68">
        <f>($L155-$M155)-($N155-$O155)</f>
        <v/>
      </c>
      <c r="R155" s="68">
        <f>$L155-$N155</f>
        <v/>
      </c>
      <c r="S155" s="67">
        <f>"Finance invoice"</f>
        <v/>
      </c>
      <c r="T155" s="67">
        <f>"Revenue"</f>
        <v/>
      </c>
    </row>
    <row r="156">
      <c r="A156" s="65">
        <f>ROW()-5</f>
        <v/>
      </c>
      <c r="B156" s="66">
        <f>IFERROR(INDEX(tbl_Finance[Date],$A156),"")</f>
        <v/>
      </c>
      <c r="C156" s="67">
        <f>IFERROR(INDEX(tbl_Finance[Xero Invoice No],$A156),"")</f>
        <v/>
      </c>
      <c r="D156" s="67">
        <f>IFERROR(INDEX(tbl_Finance[Client],$A156),"")</f>
        <v/>
      </c>
      <c r="E156" s="67">
        <f>IFERROR(INDEX(tbl_Finance[Job Number],$A156),"")</f>
        <v/>
      </c>
      <c r="F156" s="67">
        <f>IFERROR(INDEX(tbl_Finance[Cost Centre],$A156),"")</f>
        <v/>
      </c>
      <c r="G156" s="68">
        <f>IFERROR(INDEX(tbl_Finance[Ex GST],$A156),"")</f>
        <v/>
      </c>
      <c r="H156" s="66">
        <f>IFERROR(INDEX(tbl_Finance[Defer Start],$A156),"")</f>
        <v/>
      </c>
      <c r="I156" s="66">
        <f>IFERROR(INDEX(tbl_Finance[Defer End],$A156),"")</f>
        <v/>
      </c>
      <c r="J156" s="65">
        <f>IF(OR($H156="",$I156="",$G156=""),"",MAX(1,(YEAR($I156)-YEAR($H156))*12+MONTH($I156)-MONTH($H156)+1))</f>
        <v/>
      </c>
      <c r="K156" s="68">
        <f>IF($J156="","",$G156/$J156)</f>
        <v/>
      </c>
      <c r="L156" s="68">
        <f>IF($J156="",0,$K156*MAX(0,MIN(YEAR($C$3)*12+MONTH($C$3),YEAR($I156)*12+MONTH($I156))-(YEAR($H156)*12+MONTH($H156))+1))</f>
        <v/>
      </c>
      <c r="M156" s="68">
        <f>IF($J156="",0,$K156*MAX(0,MIN(YEAR($C$3)*12+MONTH($C$3)-1,YEAR($I156)*12+MONTH($I156))-(YEAR($H156)*12+MONTH($H156))+1))</f>
        <v/>
      </c>
      <c r="N156" s="68">
        <f>IF(OR($J156="",$B156=""),0,IF(YEAR($B156)*12+MONTH($B156)&lt;=YEAR($C$3)*12+MONTH($C$3),$G156,0))</f>
        <v/>
      </c>
      <c r="O156" s="68">
        <f>IF(OR($J156="",$B156=""),0,IF(YEAR($B156)*12+MONTH($B156)&lt;=YEAR($C$3)*12+MONTH($C$3)-1,$G156,0))</f>
        <v/>
      </c>
      <c r="P156" s="68">
        <f>$M156-$O156</f>
        <v/>
      </c>
      <c r="Q156" s="68">
        <f>($L156-$M156)-($N156-$O156)</f>
        <v/>
      </c>
      <c r="R156" s="68">
        <f>$L156-$N156</f>
        <v/>
      </c>
      <c r="S156" s="67">
        <f>"Finance invoice"</f>
        <v/>
      </c>
      <c r="T156" s="67">
        <f>"Revenue"</f>
        <v/>
      </c>
    </row>
    <row r="157">
      <c r="A157" s="65">
        <f>ROW()-5</f>
        <v/>
      </c>
      <c r="B157" s="66">
        <f>IFERROR(INDEX(tbl_Finance[Date],$A157),"")</f>
        <v/>
      </c>
      <c r="C157" s="67">
        <f>IFERROR(INDEX(tbl_Finance[Xero Invoice No],$A157),"")</f>
        <v/>
      </c>
      <c r="D157" s="67">
        <f>IFERROR(INDEX(tbl_Finance[Client],$A157),"")</f>
        <v/>
      </c>
      <c r="E157" s="67">
        <f>IFERROR(INDEX(tbl_Finance[Job Number],$A157),"")</f>
        <v/>
      </c>
      <c r="F157" s="67">
        <f>IFERROR(INDEX(tbl_Finance[Cost Centre],$A157),"")</f>
        <v/>
      </c>
      <c r="G157" s="68">
        <f>IFERROR(INDEX(tbl_Finance[Ex GST],$A157),"")</f>
        <v/>
      </c>
      <c r="H157" s="66">
        <f>IFERROR(INDEX(tbl_Finance[Defer Start],$A157),"")</f>
        <v/>
      </c>
      <c r="I157" s="66">
        <f>IFERROR(INDEX(tbl_Finance[Defer End],$A157),"")</f>
        <v/>
      </c>
      <c r="J157" s="65">
        <f>IF(OR($H157="",$I157="",$G157=""),"",MAX(1,(YEAR($I157)-YEAR($H157))*12+MONTH($I157)-MONTH($H157)+1))</f>
        <v/>
      </c>
      <c r="K157" s="68">
        <f>IF($J157="","",$G157/$J157)</f>
        <v/>
      </c>
      <c r="L157" s="68">
        <f>IF($J157="",0,$K157*MAX(0,MIN(YEAR($C$3)*12+MONTH($C$3),YEAR($I157)*12+MONTH($I157))-(YEAR($H157)*12+MONTH($H157))+1))</f>
        <v/>
      </c>
      <c r="M157" s="68">
        <f>IF($J157="",0,$K157*MAX(0,MIN(YEAR($C$3)*12+MONTH($C$3)-1,YEAR($I157)*12+MONTH($I157))-(YEAR($H157)*12+MONTH($H157))+1))</f>
        <v/>
      </c>
      <c r="N157" s="68">
        <f>IF(OR($J157="",$B157=""),0,IF(YEAR($B157)*12+MONTH($B157)&lt;=YEAR($C$3)*12+MONTH($C$3),$G157,0))</f>
        <v/>
      </c>
      <c r="O157" s="68">
        <f>IF(OR($J157="",$B157=""),0,IF(YEAR($B157)*12+MONTH($B157)&lt;=YEAR($C$3)*12+MONTH($C$3)-1,$G157,0))</f>
        <v/>
      </c>
      <c r="P157" s="68">
        <f>$M157-$O157</f>
        <v/>
      </c>
      <c r="Q157" s="68">
        <f>($L157-$M157)-($N157-$O157)</f>
        <v/>
      </c>
      <c r="R157" s="68">
        <f>$L157-$N157</f>
        <v/>
      </c>
      <c r="S157" s="67">
        <f>"Finance invoice"</f>
        <v/>
      </c>
      <c r="T157" s="67">
        <f>"Revenue"</f>
        <v/>
      </c>
    </row>
    <row r="158">
      <c r="A158" s="65">
        <f>ROW()-5</f>
        <v/>
      </c>
      <c r="B158" s="66">
        <f>IFERROR(INDEX(tbl_Finance[Date],$A158),"")</f>
        <v/>
      </c>
      <c r="C158" s="67">
        <f>IFERROR(INDEX(tbl_Finance[Xero Invoice No],$A158),"")</f>
        <v/>
      </c>
      <c r="D158" s="67">
        <f>IFERROR(INDEX(tbl_Finance[Client],$A158),"")</f>
        <v/>
      </c>
      <c r="E158" s="67">
        <f>IFERROR(INDEX(tbl_Finance[Job Number],$A158),"")</f>
        <v/>
      </c>
      <c r="F158" s="67">
        <f>IFERROR(INDEX(tbl_Finance[Cost Centre],$A158),"")</f>
        <v/>
      </c>
      <c r="G158" s="68">
        <f>IFERROR(INDEX(tbl_Finance[Ex GST],$A158),"")</f>
        <v/>
      </c>
      <c r="H158" s="66">
        <f>IFERROR(INDEX(tbl_Finance[Defer Start],$A158),"")</f>
        <v/>
      </c>
      <c r="I158" s="66">
        <f>IFERROR(INDEX(tbl_Finance[Defer End],$A158),"")</f>
        <v/>
      </c>
      <c r="J158" s="65">
        <f>IF(OR($H158="",$I158="",$G158=""),"",MAX(1,(YEAR($I158)-YEAR($H158))*12+MONTH($I158)-MONTH($H158)+1))</f>
        <v/>
      </c>
      <c r="K158" s="68">
        <f>IF($J158="","",$G158/$J158)</f>
        <v/>
      </c>
      <c r="L158" s="68">
        <f>IF($J158="",0,$K158*MAX(0,MIN(YEAR($C$3)*12+MONTH($C$3),YEAR($I158)*12+MONTH($I158))-(YEAR($H158)*12+MONTH($H158))+1))</f>
        <v/>
      </c>
      <c r="M158" s="68">
        <f>IF($J158="",0,$K158*MAX(0,MIN(YEAR($C$3)*12+MONTH($C$3)-1,YEAR($I158)*12+MONTH($I158))-(YEAR($H158)*12+MONTH($H158))+1))</f>
        <v/>
      </c>
      <c r="N158" s="68">
        <f>IF(OR($J158="",$B158=""),0,IF(YEAR($B158)*12+MONTH($B158)&lt;=YEAR($C$3)*12+MONTH($C$3),$G158,0))</f>
        <v/>
      </c>
      <c r="O158" s="68">
        <f>IF(OR($J158="",$B158=""),0,IF(YEAR($B158)*12+MONTH($B158)&lt;=YEAR($C$3)*12+MONTH($C$3)-1,$G158,0))</f>
        <v/>
      </c>
      <c r="P158" s="68">
        <f>$M158-$O158</f>
        <v/>
      </c>
      <c r="Q158" s="68">
        <f>($L158-$M158)-($N158-$O158)</f>
        <v/>
      </c>
      <c r="R158" s="68">
        <f>$L158-$N158</f>
        <v/>
      </c>
      <c r="S158" s="67">
        <f>"Finance invoice"</f>
        <v/>
      </c>
      <c r="T158" s="67">
        <f>"Revenue"</f>
        <v/>
      </c>
    </row>
    <row r="159">
      <c r="A159" s="65">
        <f>ROW()-5</f>
        <v/>
      </c>
      <c r="B159" s="66">
        <f>IFERROR(INDEX(tbl_Finance[Date],$A159),"")</f>
        <v/>
      </c>
      <c r="C159" s="67">
        <f>IFERROR(INDEX(tbl_Finance[Xero Invoice No],$A159),"")</f>
        <v/>
      </c>
      <c r="D159" s="67">
        <f>IFERROR(INDEX(tbl_Finance[Client],$A159),"")</f>
        <v/>
      </c>
      <c r="E159" s="67">
        <f>IFERROR(INDEX(tbl_Finance[Job Number],$A159),"")</f>
        <v/>
      </c>
      <c r="F159" s="67">
        <f>IFERROR(INDEX(tbl_Finance[Cost Centre],$A159),"")</f>
        <v/>
      </c>
      <c r="G159" s="68">
        <f>IFERROR(INDEX(tbl_Finance[Ex GST],$A159),"")</f>
        <v/>
      </c>
      <c r="H159" s="66">
        <f>IFERROR(INDEX(tbl_Finance[Defer Start],$A159),"")</f>
        <v/>
      </c>
      <c r="I159" s="66">
        <f>IFERROR(INDEX(tbl_Finance[Defer End],$A159),"")</f>
        <v/>
      </c>
      <c r="J159" s="65">
        <f>IF(OR($H159="",$I159="",$G159=""),"",MAX(1,(YEAR($I159)-YEAR($H159))*12+MONTH($I159)-MONTH($H159)+1))</f>
        <v/>
      </c>
      <c r="K159" s="68">
        <f>IF($J159="","",$G159/$J159)</f>
        <v/>
      </c>
      <c r="L159" s="68">
        <f>IF($J159="",0,$K159*MAX(0,MIN(YEAR($C$3)*12+MONTH($C$3),YEAR($I159)*12+MONTH($I159))-(YEAR($H159)*12+MONTH($H159))+1))</f>
        <v/>
      </c>
      <c r="M159" s="68">
        <f>IF($J159="",0,$K159*MAX(0,MIN(YEAR($C$3)*12+MONTH($C$3)-1,YEAR($I159)*12+MONTH($I159))-(YEAR($H159)*12+MONTH($H159))+1))</f>
        <v/>
      </c>
      <c r="N159" s="68">
        <f>IF(OR($J159="",$B159=""),0,IF(YEAR($B159)*12+MONTH($B159)&lt;=YEAR($C$3)*12+MONTH($C$3),$G159,0))</f>
        <v/>
      </c>
      <c r="O159" s="68">
        <f>IF(OR($J159="",$B159=""),0,IF(YEAR($B159)*12+MONTH($B159)&lt;=YEAR($C$3)*12+MONTH($C$3)-1,$G159,0))</f>
        <v/>
      </c>
      <c r="P159" s="68">
        <f>$M159-$O159</f>
        <v/>
      </c>
      <c r="Q159" s="68">
        <f>($L159-$M159)-($N159-$O159)</f>
        <v/>
      </c>
      <c r="R159" s="68">
        <f>$L159-$N159</f>
        <v/>
      </c>
      <c r="S159" s="67">
        <f>"Finance invoice"</f>
        <v/>
      </c>
      <c r="T159" s="67">
        <f>"Revenue"</f>
        <v/>
      </c>
    </row>
    <row r="160">
      <c r="A160" s="65">
        <f>ROW()-5</f>
        <v/>
      </c>
      <c r="B160" s="66">
        <f>IFERROR(INDEX(tbl_Finance[Date],$A160),"")</f>
        <v/>
      </c>
      <c r="C160" s="67">
        <f>IFERROR(INDEX(tbl_Finance[Xero Invoice No],$A160),"")</f>
        <v/>
      </c>
      <c r="D160" s="67">
        <f>IFERROR(INDEX(tbl_Finance[Client],$A160),"")</f>
        <v/>
      </c>
      <c r="E160" s="67">
        <f>IFERROR(INDEX(tbl_Finance[Job Number],$A160),"")</f>
        <v/>
      </c>
      <c r="F160" s="67">
        <f>IFERROR(INDEX(tbl_Finance[Cost Centre],$A160),"")</f>
        <v/>
      </c>
      <c r="G160" s="68">
        <f>IFERROR(INDEX(tbl_Finance[Ex GST],$A160),"")</f>
        <v/>
      </c>
      <c r="H160" s="66">
        <f>IFERROR(INDEX(tbl_Finance[Defer Start],$A160),"")</f>
        <v/>
      </c>
      <c r="I160" s="66">
        <f>IFERROR(INDEX(tbl_Finance[Defer End],$A160),"")</f>
        <v/>
      </c>
      <c r="J160" s="65">
        <f>IF(OR($H160="",$I160="",$G160=""),"",MAX(1,(YEAR($I160)-YEAR($H160))*12+MONTH($I160)-MONTH($H160)+1))</f>
        <v/>
      </c>
      <c r="K160" s="68">
        <f>IF($J160="","",$G160/$J160)</f>
        <v/>
      </c>
      <c r="L160" s="68">
        <f>IF($J160="",0,$K160*MAX(0,MIN(YEAR($C$3)*12+MONTH($C$3),YEAR($I160)*12+MONTH($I160))-(YEAR($H160)*12+MONTH($H160))+1))</f>
        <v/>
      </c>
      <c r="M160" s="68">
        <f>IF($J160="",0,$K160*MAX(0,MIN(YEAR($C$3)*12+MONTH($C$3)-1,YEAR($I160)*12+MONTH($I160))-(YEAR($H160)*12+MONTH($H160))+1))</f>
        <v/>
      </c>
      <c r="N160" s="68">
        <f>IF(OR($J160="",$B160=""),0,IF(YEAR($B160)*12+MONTH($B160)&lt;=YEAR($C$3)*12+MONTH($C$3),$G160,0))</f>
        <v/>
      </c>
      <c r="O160" s="68">
        <f>IF(OR($J160="",$B160=""),0,IF(YEAR($B160)*12+MONTH($B160)&lt;=YEAR($C$3)*12+MONTH($C$3)-1,$G160,0))</f>
        <v/>
      </c>
      <c r="P160" s="68">
        <f>$M160-$O160</f>
        <v/>
      </c>
      <c r="Q160" s="68">
        <f>($L160-$M160)-($N160-$O160)</f>
        <v/>
      </c>
      <c r="R160" s="68">
        <f>$L160-$N160</f>
        <v/>
      </c>
      <c r="S160" s="67">
        <f>"Finance invoice"</f>
        <v/>
      </c>
      <c r="T160" s="67">
        <f>"Revenue"</f>
        <v/>
      </c>
    </row>
    <row r="161">
      <c r="A161" s="65">
        <f>ROW()-5</f>
        <v/>
      </c>
      <c r="B161" s="66">
        <f>IFERROR(INDEX(tbl_Finance[Date],$A161),"")</f>
        <v/>
      </c>
      <c r="C161" s="67">
        <f>IFERROR(INDEX(tbl_Finance[Xero Invoice No],$A161),"")</f>
        <v/>
      </c>
      <c r="D161" s="67">
        <f>IFERROR(INDEX(tbl_Finance[Client],$A161),"")</f>
        <v/>
      </c>
      <c r="E161" s="67">
        <f>IFERROR(INDEX(tbl_Finance[Job Number],$A161),"")</f>
        <v/>
      </c>
      <c r="F161" s="67">
        <f>IFERROR(INDEX(tbl_Finance[Cost Centre],$A161),"")</f>
        <v/>
      </c>
      <c r="G161" s="68">
        <f>IFERROR(INDEX(tbl_Finance[Ex GST],$A161),"")</f>
        <v/>
      </c>
      <c r="H161" s="66">
        <f>IFERROR(INDEX(tbl_Finance[Defer Start],$A161),"")</f>
        <v/>
      </c>
      <c r="I161" s="66">
        <f>IFERROR(INDEX(tbl_Finance[Defer End],$A161),"")</f>
        <v/>
      </c>
      <c r="J161" s="65">
        <f>IF(OR($H161="",$I161="",$G161=""),"",MAX(1,(YEAR($I161)-YEAR($H161))*12+MONTH($I161)-MONTH($H161)+1))</f>
        <v/>
      </c>
      <c r="K161" s="68">
        <f>IF($J161="","",$G161/$J161)</f>
        <v/>
      </c>
      <c r="L161" s="68">
        <f>IF($J161="",0,$K161*MAX(0,MIN(YEAR($C$3)*12+MONTH($C$3),YEAR($I161)*12+MONTH($I161))-(YEAR($H161)*12+MONTH($H161))+1))</f>
        <v/>
      </c>
      <c r="M161" s="68">
        <f>IF($J161="",0,$K161*MAX(0,MIN(YEAR($C$3)*12+MONTH($C$3)-1,YEAR($I161)*12+MONTH($I161))-(YEAR($H161)*12+MONTH($H161))+1))</f>
        <v/>
      </c>
      <c r="N161" s="68">
        <f>IF(OR($J161="",$B161=""),0,IF(YEAR($B161)*12+MONTH($B161)&lt;=YEAR($C$3)*12+MONTH($C$3),$G161,0))</f>
        <v/>
      </c>
      <c r="O161" s="68">
        <f>IF(OR($J161="",$B161=""),0,IF(YEAR($B161)*12+MONTH($B161)&lt;=YEAR($C$3)*12+MONTH($C$3)-1,$G161,0))</f>
        <v/>
      </c>
      <c r="P161" s="68">
        <f>$M161-$O161</f>
        <v/>
      </c>
      <c r="Q161" s="68">
        <f>($L161-$M161)-($N161-$O161)</f>
        <v/>
      </c>
      <c r="R161" s="68">
        <f>$L161-$N161</f>
        <v/>
      </c>
      <c r="S161" s="67">
        <f>"Finance invoice"</f>
        <v/>
      </c>
      <c r="T161" s="67">
        <f>"Revenue"</f>
        <v/>
      </c>
    </row>
    <row r="162">
      <c r="A162" s="65">
        <f>ROW()-5</f>
        <v/>
      </c>
      <c r="B162" s="66">
        <f>IFERROR(INDEX(tbl_Finance[Date],$A162),"")</f>
        <v/>
      </c>
      <c r="C162" s="67">
        <f>IFERROR(INDEX(tbl_Finance[Xero Invoice No],$A162),"")</f>
        <v/>
      </c>
      <c r="D162" s="67">
        <f>IFERROR(INDEX(tbl_Finance[Client],$A162),"")</f>
        <v/>
      </c>
      <c r="E162" s="67">
        <f>IFERROR(INDEX(tbl_Finance[Job Number],$A162),"")</f>
        <v/>
      </c>
      <c r="F162" s="67">
        <f>IFERROR(INDEX(tbl_Finance[Cost Centre],$A162),"")</f>
        <v/>
      </c>
      <c r="G162" s="68">
        <f>IFERROR(INDEX(tbl_Finance[Ex GST],$A162),"")</f>
        <v/>
      </c>
      <c r="H162" s="66">
        <f>IFERROR(INDEX(tbl_Finance[Defer Start],$A162),"")</f>
        <v/>
      </c>
      <c r="I162" s="66">
        <f>IFERROR(INDEX(tbl_Finance[Defer End],$A162),"")</f>
        <v/>
      </c>
      <c r="J162" s="65">
        <f>IF(OR($H162="",$I162="",$G162=""),"",MAX(1,(YEAR($I162)-YEAR($H162))*12+MONTH($I162)-MONTH($H162)+1))</f>
        <v/>
      </c>
      <c r="K162" s="68">
        <f>IF($J162="","",$G162/$J162)</f>
        <v/>
      </c>
      <c r="L162" s="68">
        <f>IF($J162="",0,$K162*MAX(0,MIN(YEAR($C$3)*12+MONTH($C$3),YEAR($I162)*12+MONTH($I162))-(YEAR($H162)*12+MONTH($H162))+1))</f>
        <v/>
      </c>
      <c r="M162" s="68">
        <f>IF($J162="",0,$K162*MAX(0,MIN(YEAR($C$3)*12+MONTH($C$3)-1,YEAR($I162)*12+MONTH($I162))-(YEAR($H162)*12+MONTH($H162))+1))</f>
        <v/>
      </c>
      <c r="N162" s="68">
        <f>IF(OR($J162="",$B162=""),0,IF(YEAR($B162)*12+MONTH($B162)&lt;=YEAR($C$3)*12+MONTH($C$3),$G162,0))</f>
        <v/>
      </c>
      <c r="O162" s="68">
        <f>IF(OR($J162="",$B162=""),0,IF(YEAR($B162)*12+MONTH($B162)&lt;=YEAR($C$3)*12+MONTH($C$3)-1,$G162,0))</f>
        <v/>
      </c>
      <c r="P162" s="68">
        <f>$M162-$O162</f>
        <v/>
      </c>
      <c r="Q162" s="68">
        <f>($L162-$M162)-($N162-$O162)</f>
        <v/>
      </c>
      <c r="R162" s="68">
        <f>$L162-$N162</f>
        <v/>
      </c>
      <c r="S162" s="67">
        <f>"Finance invoice"</f>
        <v/>
      </c>
      <c r="T162" s="67">
        <f>"Revenue"</f>
        <v/>
      </c>
    </row>
    <row r="163">
      <c r="A163" s="65">
        <f>ROW()-5</f>
        <v/>
      </c>
      <c r="B163" s="66">
        <f>IFERROR(INDEX(tbl_Finance[Date],$A163),"")</f>
        <v/>
      </c>
      <c r="C163" s="67">
        <f>IFERROR(INDEX(tbl_Finance[Xero Invoice No],$A163),"")</f>
        <v/>
      </c>
      <c r="D163" s="67">
        <f>IFERROR(INDEX(tbl_Finance[Client],$A163),"")</f>
        <v/>
      </c>
      <c r="E163" s="67">
        <f>IFERROR(INDEX(tbl_Finance[Job Number],$A163),"")</f>
        <v/>
      </c>
      <c r="F163" s="67">
        <f>IFERROR(INDEX(tbl_Finance[Cost Centre],$A163),"")</f>
        <v/>
      </c>
      <c r="G163" s="68">
        <f>IFERROR(INDEX(tbl_Finance[Ex GST],$A163),"")</f>
        <v/>
      </c>
      <c r="H163" s="66">
        <f>IFERROR(INDEX(tbl_Finance[Defer Start],$A163),"")</f>
        <v/>
      </c>
      <c r="I163" s="66">
        <f>IFERROR(INDEX(tbl_Finance[Defer End],$A163),"")</f>
        <v/>
      </c>
      <c r="J163" s="65">
        <f>IF(OR($H163="",$I163="",$G163=""),"",MAX(1,(YEAR($I163)-YEAR($H163))*12+MONTH($I163)-MONTH($H163)+1))</f>
        <v/>
      </c>
      <c r="K163" s="68">
        <f>IF($J163="","",$G163/$J163)</f>
        <v/>
      </c>
      <c r="L163" s="68">
        <f>IF($J163="",0,$K163*MAX(0,MIN(YEAR($C$3)*12+MONTH($C$3),YEAR($I163)*12+MONTH($I163))-(YEAR($H163)*12+MONTH($H163))+1))</f>
        <v/>
      </c>
      <c r="M163" s="68">
        <f>IF($J163="",0,$K163*MAX(0,MIN(YEAR($C$3)*12+MONTH($C$3)-1,YEAR($I163)*12+MONTH($I163))-(YEAR($H163)*12+MONTH($H163))+1))</f>
        <v/>
      </c>
      <c r="N163" s="68">
        <f>IF(OR($J163="",$B163=""),0,IF(YEAR($B163)*12+MONTH($B163)&lt;=YEAR($C$3)*12+MONTH($C$3),$G163,0))</f>
        <v/>
      </c>
      <c r="O163" s="68">
        <f>IF(OR($J163="",$B163=""),0,IF(YEAR($B163)*12+MONTH($B163)&lt;=YEAR($C$3)*12+MONTH($C$3)-1,$G163,0))</f>
        <v/>
      </c>
      <c r="P163" s="68">
        <f>$M163-$O163</f>
        <v/>
      </c>
      <c r="Q163" s="68">
        <f>($L163-$M163)-($N163-$O163)</f>
        <v/>
      </c>
      <c r="R163" s="68">
        <f>$L163-$N163</f>
        <v/>
      </c>
      <c r="S163" s="67">
        <f>"Finance invoice"</f>
        <v/>
      </c>
      <c r="T163" s="67">
        <f>"Revenue"</f>
        <v/>
      </c>
    </row>
    <row r="164">
      <c r="A164" s="65">
        <f>ROW()-5</f>
        <v/>
      </c>
      <c r="B164" s="66">
        <f>IFERROR(INDEX(tbl_Finance[Date],$A164),"")</f>
        <v/>
      </c>
      <c r="C164" s="67">
        <f>IFERROR(INDEX(tbl_Finance[Xero Invoice No],$A164),"")</f>
        <v/>
      </c>
      <c r="D164" s="67">
        <f>IFERROR(INDEX(tbl_Finance[Client],$A164),"")</f>
        <v/>
      </c>
      <c r="E164" s="67">
        <f>IFERROR(INDEX(tbl_Finance[Job Number],$A164),"")</f>
        <v/>
      </c>
      <c r="F164" s="67">
        <f>IFERROR(INDEX(tbl_Finance[Cost Centre],$A164),"")</f>
        <v/>
      </c>
      <c r="G164" s="68">
        <f>IFERROR(INDEX(tbl_Finance[Ex GST],$A164),"")</f>
        <v/>
      </c>
      <c r="H164" s="66">
        <f>IFERROR(INDEX(tbl_Finance[Defer Start],$A164),"")</f>
        <v/>
      </c>
      <c r="I164" s="66">
        <f>IFERROR(INDEX(tbl_Finance[Defer End],$A164),"")</f>
        <v/>
      </c>
      <c r="J164" s="65">
        <f>IF(OR($H164="",$I164="",$G164=""),"",MAX(1,(YEAR($I164)-YEAR($H164))*12+MONTH($I164)-MONTH($H164)+1))</f>
        <v/>
      </c>
      <c r="K164" s="68">
        <f>IF($J164="","",$G164/$J164)</f>
        <v/>
      </c>
      <c r="L164" s="68">
        <f>IF($J164="",0,$K164*MAX(0,MIN(YEAR($C$3)*12+MONTH($C$3),YEAR($I164)*12+MONTH($I164))-(YEAR($H164)*12+MONTH($H164))+1))</f>
        <v/>
      </c>
      <c r="M164" s="68">
        <f>IF($J164="",0,$K164*MAX(0,MIN(YEAR($C$3)*12+MONTH($C$3)-1,YEAR($I164)*12+MONTH($I164))-(YEAR($H164)*12+MONTH($H164))+1))</f>
        <v/>
      </c>
      <c r="N164" s="68">
        <f>IF(OR($J164="",$B164=""),0,IF(YEAR($B164)*12+MONTH($B164)&lt;=YEAR($C$3)*12+MONTH($C$3),$G164,0))</f>
        <v/>
      </c>
      <c r="O164" s="68">
        <f>IF(OR($J164="",$B164=""),0,IF(YEAR($B164)*12+MONTH($B164)&lt;=YEAR($C$3)*12+MONTH($C$3)-1,$G164,0))</f>
        <v/>
      </c>
      <c r="P164" s="68">
        <f>$M164-$O164</f>
        <v/>
      </c>
      <c r="Q164" s="68">
        <f>($L164-$M164)-($N164-$O164)</f>
        <v/>
      </c>
      <c r="R164" s="68">
        <f>$L164-$N164</f>
        <v/>
      </c>
      <c r="S164" s="67">
        <f>"Finance invoice"</f>
        <v/>
      </c>
      <c r="T164" s="67">
        <f>"Revenue"</f>
        <v/>
      </c>
    </row>
    <row r="165">
      <c r="A165" s="65">
        <f>ROW()-5</f>
        <v/>
      </c>
      <c r="B165" s="66">
        <f>IFERROR(INDEX(tbl_Finance[Date],$A165),"")</f>
        <v/>
      </c>
      <c r="C165" s="67">
        <f>IFERROR(INDEX(tbl_Finance[Xero Invoice No],$A165),"")</f>
        <v/>
      </c>
      <c r="D165" s="67">
        <f>IFERROR(INDEX(tbl_Finance[Client],$A165),"")</f>
        <v/>
      </c>
      <c r="E165" s="67">
        <f>IFERROR(INDEX(tbl_Finance[Job Number],$A165),"")</f>
        <v/>
      </c>
      <c r="F165" s="67">
        <f>IFERROR(INDEX(tbl_Finance[Cost Centre],$A165),"")</f>
        <v/>
      </c>
      <c r="G165" s="68">
        <f>IFERROR(INDEX(tbl_Finance[Ex GST],$A165),"")</f>
        <v/>
      </c>
      <c r="H165" s="66">
        <f>IFERROR(INDEX(tbl_Finance[Defer Start],$A165),"")</f>
        <v/>
      </c>
      <c r="I165" s="66">
        <f>IFERROR(INDEX(tbl_Finance[Defer End],$A165),"")</f>
        <v/>
      </c>
      <c r="J165" s="65">
        <f>IF(OR($H165="",$I165="",$G165=""),"",MAX(1,(YEAR($I165)-YEAR($H165))*12+MONTH($I165)-MONTH($H165)+1))</f>
        <v/>
      </c>
      <c r="K165" s="68">
        <f>IF($J165="","",$G165/$J165)</f>
        <v/>
      </c>
      <c r="L165" s="68">
        <f>IF($J165="",0,$K165*MAX(0,MIN(YEAR($C$3)*12+MONTH($C$3),YEAR($I165)*12+MONTH($I165))-(YEAR($H165)*12+MONTH($H165))+1))</f>
        <v/>
      </c>
      <c r="M165" s="68">
        <f>IF($J165="",0,$K165*MAX(0,MIN(YEAR($C$3)*12+MONTH($C$3)-1,YEAR($I165)*12+MONTH($I165))-(YEAR($H165)*12+MONTH($H165))+1))</f>
        <v/>
      </c>
      <c r="N165" s="68">
        <f>IF(OR($J165="",$B165=""),0,IF(YEAR($B165)*12+MONTH($B165)&lt;=YEAR($C$3)*12+MONTH($C$3),$G165,0))</f>
        <v/>
      </c>
      <c r="O165" s="68">
        <f>IF(OR($J165="",$B165=""),0,IF(YEAR($B165)*12+MONTH($B165)&lt;=YEAR($C$3)*12+MONTH($C$3)-1,$G165,0))</f>
        <v/>
      </c>
      <c r="P165" s="68">
        <f>$M165-$O165</f>
        <v/>
      </c>
      <c r="Q165" s="68">
        <f>($L165-$M165)-($N165-$O165)</f>
        <v/>
      </c>
      <c r="R165" s="68">
        <f>$L165-$N165</f>
        <v/>
      </c>
      <c r="S165" s="67">
        <f>"Finance invoice"</f>
        <v/>
      </c>
      <c r="T165" s="67">
        <f>"Revenue"</f>
        <v/>
      </c>
    </row>
    <row r="166">
      <c r="A166" s="65">
        <f>ROW()-5</f>
        <v/>
      </c>
      <c r="B166" s="66">
        <f>IFERROR(INDEX(tbl_Finance[Date],$A166),"")</f>
        <v/>
      </c>
      <c r="C166" s="67">
        <f>IFERROR(INDEX(tbl_Finance[Xero Invoice No],$A166),"")</f>
        <v/>
      </c>
      <c r="D166" s="67">
        <f>IFERROR(INDEX(tbl_Finance[Client],$A166),"")</f>
        <v/>
      </c>
      <c r="E166" s="67">
        <f>IFERROR(INDEX(tbl_Finance[Job Number],$A166),"")</f>
        <v/>
      </c>
      <c r="F166" s="67">
        <f>IFERROR(INDEX(tbl_Finance[Cost Centre],$A166),"")</f>
        <v/>
      </c>
      <c r="G166" s="68">
        <f>IFERROR(INDEX(tbl_Finance[Ex GST],$A166),"")</f>
        <v/>
      </c>
      <c r="H166" s="66">
        <f>IFERROR(INDEX(tbl_Finance[Defer Start],$A166),"")</f>
        <v/>
      </c>
      <c r="I166" s="66">
        <f>IFERROR(INDEX(tbl_Finance[Defer End],$A166),"")</f>
        <v/>
      </c>
      <c r="J166" s="65">
        <f>IF(OR($H166="",$I166="",$G166=""),"",MAX(1,(YEAR($I166)-YEAR($H166))*12+MONTH($I166)-MONTH($H166)+1))</f>
        <v/>
      </c>
      <c r="K166" s="68">
        <f>IF($J166="","",$G166/$J166)</f>
        <v/>
      </c>
      <c r="L166" s="68">
        <f>IF($J166="",0,$K166*MAX(0,MIN(YEAR($C$3)*12+MONTH($C$3),YEAR($I166)*12+MONTH($I166))-(YEAR($H166)*12+MONTH($H166))+1))</f>
        <v/>
      </c>
      <c r="M166" s="68">
        <f>IF($J166="",0,$K166*MAX(0,MIN(YEAR($C$3)*12+MONTH($C$3)-1,YEAR($I166)*12+MONTH($I166))-(YEAR($H166)*12+MONTH($H166))+1))</f>
        <v/>
      </c>
      <c r="N166" s="68">
        <f>IF(OR($J166="",$B166=""),0,IF(YEAR($B166)*12+MONTH($B166)&lt;=YEAR($C$3)*12+MONTH($C$3),$G166,0))</f>
        <v/>
      </c>
      <c r="O166" s="68">
        <f>IF(OR($J166="",$B166=""),0,IF(YEAR($B166)*12+MONTH($B166)&lt;=YEAR($C$3)*12+MONTH($C$3)-1,$G166,0))</f>
        <v/>
      </c>
      <c r="P166" s="68">
        <f>$M166-$O166</f>
        <v/>
      </c>
      <c r="Q166" s="68">
        <f>($L166-$M166)-($N166-$O166)</f>
        <v/>
      </c>
      <c r="R166" s="68">
        <f>$L166-$N166</f>
        <v/>
      </c>
      <c r="S166" s="67">
        <f>"Finance invoice"</f>
        <v/>
      </c>
      <c r="T166" s="67">
        <f>"Revenue"</f>
        <v/>
      </c>
    </row>
    <row r="167">
      <c r="A167" s="65">
        <f>ROW()-5</f>
        <v/>
      </c>
      <c r="B167" s="66">
        <f>IFERROR(INDEX(tbl_Finance[Date],$A167),"")</f>
        <v/>
      </c>
      <c r="C167" s="67">
        <f>IFERROR(INDEX(tbl_Finance[Xero Invoice No],$A167),"")</f>
        <v/>
      </c>
      <c r="D167" s="67">
        <f>IFERROR(INDEX(tbl_Finance[Client],$A167),"")</f>
        <v/>
      </c>
      <c r="E167" s="67">
        <f>IFERROR(INDEX(tbl_Finance[Job Number],$A167),"")</f>
        <v/>
      </c>
      <c r="F167" s="67">
        <f>IFERROR(INDEX(tbl_Finance[Cost Centre],$A167),"")</f>
        <v/>
      </c>
      <c r="G167" s="68">
        <f>IFERROR(INDEX(tbl_Finance[Ex GST],$A167),"")</f>
        <v/>
      </c>
      <c r="H167" s="66">
        <f>IFERROR(INDEX(tbl_Finance[Defer Start],$A167),"")</f>
        <v/>
      </c>
      <c r="I167" s="66">
        <f>IFERROR(INDEX(tbl_Finance[Defer End],$A167),"")</f>
        <v/>
      </c>
      <c r="J167" s="65">
        <f>IF(OR($H167="",$I167="",$G167=""),"",MAX(1,(YEAR($I167)-YEAR($H167))*12+MONTH($I167)-MONTH($H167)+1))</f>
        <v/>
      </c>
      <c r="K167" s="68">
        <f>IF($J167="","",$G167/$J167)</f>
        <v/>
      </c>
      <c r="L167" s="68">
        <f>IF($J167="",0,$K167*MAX(0,MIN(YEAR($C$3)*12+MONTH($C$3),YEAR($I167)*12+MONTH($I167))-(YEAR($H167)*12+MONTH($H167))+1))</f>
        <v/>
      </c>
      <c r="M167" s="68">
        <f>IF($J167="",0,$K167*MAX(0,MIN(YEAR($C$3)*12+MONTH($C$3)-1,YEAR($I167)*12+MONTH($I167))-(YEAR($H167)*12+MONTH($H167))+1))</f>
        <v/>
      </c>
      <c r="N167" s="68">
        <f>IF(OR($J167="",$B167=""),0,IF(YEAR($B167)*12+MONTH($B167)&lt;=YEAR($C$3)*12+MONTH($C$3),$G167,0))</f>
        <v/>
      </c>
      <c r="O167" s="68">
        <f>IF(OR($J167="",$B167=""),0,IF(YEAR($B167)*12+MONTH($B167)&lt;=YEAR($C$3)*12+MONTH($C$3)-1,$G167,0))</f>
        <v/>
      </c>
      <c r="P167" s="68">
        <f>$M167-$O167</f>
        <v/>
      </c>
      <c r="Q167" s="68">
        <f>($L167-$M167)-($N167-$O167)</f>
        <v/>
      </c>
      <c r="R167" s="68">
        <f>$L167-$N167</f>
        <v/>
      </c>
      <c r="S167" s="67">
        <f>"Finance invoice"</f>
        <v/>
      </c>
      <c r="T167" s="67">
        <f>"Revenue"</f>
        <v/>
      </c>
    </row>
    <row r="168">
      <c r="A168" s="65">
        <f>ROW()-5</f>
        <v/>
      </c>
      <c r="B168" s="66">
        <f>IFERROR(INDEX(tbl_Finance[Date],$A168),"")</f>
        <v/>
      </c>
      <c r="C168" s="67">
        <f>IFERROR(INDEX(tbl_Finance[Xero Invoice No],$A168),"")</f>
        <v/>
      </c>
      <c r="D168" s="67">
        <f>IFERROR(INDEX(tbl_Finance[Client],$A168),"")</f>
        <v/>
      </c>
      <c r="E168" s="67">
        <f>IFERROR(INDEX(tbl_Finance[Job Number],$A168),"")</f>
        <v/>
      </c>
      <c r="F168" s="67">
        <f>IFERROR(INDEX(tbl_Finance[Cost Centre],$A168),"")</f>
        <v/>
      </c>
      <c r="G168" s="68">
        <f>IFERROR(INDEX(tbl_Finance[Ex GST],$A168),"")</f>
        <v/>
      </c>
      <c r="H168" s="66">
        <f>IFERROR(INDEX(tbl_Finance[Defer Start],$A168),"")</f>
        <v/>
      </c>
      <c r="I168" s="66">
        <f>IFERROR(INDEX(tbl_Finance[Defer End],$A168),"")</f>
        <v/>
      </c>
      <c r="J168" s="65">
        <f>IF(OR($H168="",$I168="",$G168=""),"",MAX(1,(YEAR($I168)-YEAR($H168))*12+MONTH($I168)-MONTH($H168)+1))</f>
        <v/>
      </c>
      <c r="K168" s="68">
        <f>IF($J168="","",$G168/$J168)</f>
        <v/>
      </c>
      <c r="L168" s="68">
        <f>IF($J168="",0,$K168*MAX(0,MIN(YEAR($C$3)*12+MONTH($C$3),YEAR($I168)*12+MONTH($I168))-(YEAR($H168)*12+MONTH($H168))+1))</f>
        <v/>
      </c>
      <c r="M168" s="68">
        <f>IF($J168="",0,$K168*MAX(0,MIN(YEAR($C$3)*12+MONTH($C$3)-1,YEAR($I168)*12+MONTH($I168))-(YEAR($H168)*12+MONTH($H168))+1))</f>
        <v/>
      </c>
      <c r="N168" s="68">
        <f>IF(OR($J168="",$B168=""),0,IF(YEAR($B168)*12+MONTH($B168)&lt;=YEAR($C$3)*12+MONTH($C$3),$G168,0))</f>
        <v/>
      </c>
      <c r="O168" s="68">
        <f>IF(OR($J168="",$B168=""),0,IF(YEAR($B168)*12+MONTH($B168)&lt;=YEAR($C$3)*12+MONTH($C$3)-1,$G168,0))</f>
        <v/>
      </c>
      <c r="P168" s="68">
        <f>$M168-$O168</f>
        <v/>
      </c>
      <c r="Q168" s="68">
        <f>($L168-$M168)-($N168-$O168)</f>
        <v/>
      </c>
      <c r="R168" s="68">
        <f>$L168-$N168</f>
        <v/>
      </c>
      <c r="S168" s="67">
        <f>"Finance invoice"</f>
        <v/>
      </c>
      <c r="T168" s="67">
        <f>"Revenue"</f>
        <v/>
      </c>
    </row>
    <row r="169">
      <c r="A169" s="65">
        <f>ROW()-5</f>
        <v/>
      </c>
      <c r="B169" s="66">
        <f>IFERROR(INDEX(tbl_Finance[Date],$A169),"")</f>
        <v/>
      </c>
      <c r="C169" s="67">
        <f>IFERROR(INDEX(tbl_Finance[Xero Invoice No],$A169),"")</f>
        <v/>
      </c>
      <c r="D169" s="67">
        <f>IFERROR(INDEX(tbl_Finance[Client],$A169),"")</f>
        <v/>
      </c>
      <c r="E169" s="67">
        <f>IFERROR(INDEX(tbl_Finance[Job Number],$A169),"")</f>
        <v/>
      </c>
      <c r="F169" s="67">
        <f>IFERROR(INDEX(tbl_Finance[Cost Centre],$A169),"")</f>
        <v/>
      </c>
      <c r="G169" s="68">
        <f>IFERROR(INDEX(tbl_Finance[Ex GST],$A169),"")</f>
        <v/>
      </c>
      <c r="H169" s="66">
        <f>IFERROR(INDEX(tbl_Finance[Defer Start],$A169),"")</f>
        <v/>
      </c>
      <c r="I169" s="66">
        <f>IFERROR(INDEX(tbl_Finance[Defer End],$A169),"")</f>
        <v/>
      </c>
      <c r="J169" s="65">
        <f>IF(OR($H169="",$I169="",$G169=""),"",MAX(1,(YEAR($I169)-YEAR($H169))*12+MONTH($I169)-MONTH($H169)+1))</f>
        <v/>
      </c>
      <c r="K169" s="68">
        <f>IF($J169="","",$G169/$J169)</f>
        <v/>
      </c>
      <c r="L169" s="68">
        <f>IF($J169="",0,$K169*MAX(0,MIN(YEAR($C$3)*12+MONTH($C$3),YEAR($I169)*12+MONTH($I169))-(YEAR($H169)*12+MONTH($H169))+1))</f>
        <v/>
      </c>
      <c r="M169" s="68">
        <f>IF($J169="",0,$K169*MAX(0,MIN(YEAR($C$3)*12+MONTH($C$3)-1,YEAR($I169)*12+MONTH($I169))-(YEAR($H169)*12+MONTH($H169))+1))</f>
        <v/>
      </c>
      <c r="N169" s="68">
        <f>IF(OR($J169="",$B169=""),0,IF(YEAR($B169)*12+MONTH($B169)&lt;=YEAR($C$3)*12+MONTH($C$3),$G169,0))</f>
        <v/>
      </c>
      <c r="O169" s="68">
        <f>IF(OR($J169="",$B169=""),0,IF(YEAR($B169)*12+MONTH($B169)&lt;=YEAR($C$3)*12+MONTH($C$3)-1,$G169,0))</f>
        <v/>
      </c>
      <c r="P169" s="68">
        <f>$M169-$O169</f>
        <v/>
      </c>
      <c r="Q169" s="68">
        <f>($L169-$M169)-($N169-$O169)</f>
        <v/>
      </c>
      <c r="R169" s="68">
        <f>$L169-$N169</f>
        <v/>
      </c>
      <c r="S169" s="67">
        <f>"Finance invoice"</f>
        <v/>
      </c>
      <c r="T169" s="67">
        <f>"Revenue"</f>
        <v/>
      </c>
    </row>
    <row r="170">
      <c r="A170" s="65">
        <f>ROW()-5</f>
        <v/>
      </c>
      <c r="B170" s="66">
        <f>IFERROR(INDEX(tbl_Finance[Date],$A170),"")</f>
        <v/>
      </c>
      <c r="C170" s="67">
        <f>IFERROR(INDEX(tbl_Finance[Xero Invoice No],$A170),"")</f>
        <v/>
      </c>
      <c r="D170" s="67">
        <f>IFERROR(INDEX(tbl_Finance[Client],$A170),"")</f>
        <v/>
      </c>
      <c r="E170" s="67">
        <f>IFERROR(INDEX(tbl_Finance[Job Number],$A170),"")</f>
        <v/>
      </c>
      <c r="F170" s="67">
        <f>IFERROR(INDEX(tbl_Finance[Cost Centre],$A170),"")</f>
        <v/>
      </c>
      <c r="G170" s="68">
        <f>IFERROR(INDEX(tbl_Finance[Ex GST],$A170),"")</f>
        <v/>
      </c>
      <c r="H170" s="66">
        <f>IFERROR(INDEX(tbl_Finance[Defer Start],$A170),"")</f>
        <v/>
      </c>
      <c r="I170" s="66">
        <f>IFERROR(INDEX(tbl_Finance[Defer End],$A170),"")</f>
        <v/>
      </c>
      <c r="J170" s="65">
        <f>IF(OR($H170="",$I170="",$G170=""),"",MAX(1,(YEAR($I170)-YEAR($H170))*12+MONTH($I170)-MONTH($H170)+1))</f>
        <v/>
      </c>
      <c r="K170" s="68">
        <f>IF($J170="","",$G170/$J170)</f>
        <v/>
      </c>
      <c r="L170" s="68">
        <f>IF($J170="",0,$K170*MAX(0,MIN(YEAR($C$3)*12+MONTH($C$3),YEAR($I170)*12+MONTH($I170))-(YEAR($H170)*12+MONTH($H170))+1))</f>
        <v/>
      </c>
      <c r="M170" s="68">
        <f>IF($J170="",0,$K170*MAX(0,MIN(YEAR($C$3)*12+MONTH($C$3)-1,YEAR($I170)*12+MONTH($I170))-(YEAR($H170)*12+MONTH($H170))+1))</f>
        <v/>
      </c>
      <c r="N170" s="68">
        <f>IF(OR($J170="",$B170=""),0,IF(YEAR($B170)*12+MONTH($B170)&lt;=YEAR($C$3)*12+MONTH($C$3),$G170,0))</f>
        <v/>
      </c>
      <c r="O170" s="68">
        <f>IF(OR($J170="",$B170=""),0,IF(YEAR($B170)*12+MONTH($B170)&lt;=YEAR($C$3)*12+MONTH($C$3)-1,$G170,0))</f>
        <v/>
      </c>
      <c r="P170" s="68">
        <f>$M170-$O170</f>
        <v/>
      </c>
      <c r="Q170" s="68">
        <f>($L170-$M170)-($N170-$O170)</f>
        <v/>
      </c>
      <c r="R170" s="68">
        <f>$L170-$N170</f>
        <v/>
      </c>
      <c r="S170" s="67">
        <f>"Finance invoice"</f>
        <v/>
      </c>
      <c r="T170" s="67">
        <f>"Revenue"</f>
        <v/>
      </c>
    </row>
    <row r="171">
      <c r="A171" s="65">
        <f>ROW()-5</f>
        <v/>
      </c>
      <c r="B171" s="66">
        <f>IFERROR(INDEX(tbl_Finance[Date],$A171),"")</f>
        <v/>
      </c>
      <c r="C171" s="67">
        <f>IFERROR(INDEX(tbl_Finance[Xero Invoice No],$A171),"")</f>
        <v/>
      </c>
      <c r="D171" s="67">
        <f>IFERROR(INDEX(tbl_Finance[Client],$A171),"")</f>
        <v/>
      </c>
      <c r="E171" s="67">
        <f>IFERROR(INDEX(tbl_Finance[Job Number],$A171),"")</f>
        <v/>
      </c>
      <c r="F171" s="67">
        <f>IFERROR(INDEX(tbl_Finance[Cost Centre],$A171),"")</f>
        <v/>
      </c>
      <c r="G171" s="68">
        <f>IFERROR(INDEX(tbl_Finance[Ex GST],$A171),"")</f>
        <v/>
      </c>
      <c r="H171" s="66">
        <f>IFERROR(INDEX(tbl_Finance[Defer Start],$A171),"")</f>
        <v/>
      </c>
      <c r="I171" s="66">
        <f>IFERROR(INDEX(tbl_Finance[Defer End],$A171),"")</f>
        <v/>
      </c>
      <c r="J171" s="65">
        <f>IF(OR($H171="",$I171="",$G171=""),"",MAX(1,(YEAR($I171)-YEAR($H171))*12+MONTH($I171)-MONTH($H171)+1))</f>
        <v/>
      </c>
      <c r="K171" s="68">
        <f>IF($J171="","",$G171/$J171)</f>
        <v/>
      </c>
      <c r="L171" s="68">
        <f>IF($J171="",0,$K171*MAX(0,MIN(YEAR($C$3)*12+MONTH($C$3),YEAR($I171)*12+MONTH($I171))-(YEAR($H171)*12+MONTH($H171))+1))</f>
        <v/>
      </c>
      <c r="M171" s="68">
        <f>IF($J171="",0,$K171*MAX(0,MIN(YEAR($C$3)*12+MONTH($C$3)-1,YEAR($I171)*12+MONTH($I171))-(YEAR($H171)*12+MONTH($H171))+1))</f>
        <v/>
      </c>
      <c r="N171" s="68">
        <f>IF(OR($J171="",$B171=""),0,IF(YEAR($B171)*12+MONTH($B171)&lt;=YEAR($C$3)*12+MONTH($C$3),$G171,0))</f>
        <v/>
      </c>
      <c r="O171" s="68">
        <f>IF(OR($J171="",$B171=""),0,IF(YEAR($B171)*12+MONTH($B171)&lt;=YEAR($C$3)*12+MONTH($C$3)-1,$G171,0))</f>
        <v/>
      </c>
      <c r="P171" s="68">
        <f>$M171-$O171</f>
        <v/>
      </c>
      <c r="Q171" s="68">
        <f>($L171-$M171)-($N171-$O171)</f>
        <v/>
      </c>
      <c r="R171" s="68">
        <f>$L171-$N171</f>
        <v/>
      </c>
      <c r="S171" s="67">
        <f>"Finance invoice"</f>
        <v/>
      </c>
      <c r="T171" s="67">
        <f>"Revenue"</f>
        <v/>
      </c>
    </row>
    <row r="172">
      <c r="A172" s="65">
        <f>ROW()-5</f>
        <v/>
      </c>
      <c r="B172" s="66">
        <f>IFERROR(INDEX(tbl_Finance[Date],$A172),"")</f>
        <v/>
      </c>
      <c r="C172" s="67">
        <f>IFERROR(INDEX(tbl_Finance[Xero Invoice No],$A172),"")</f>
        <v/>
      </c>
      <c r="D172" s="67">
        <f>IFERROR(INDEX(tbl_Finance[Client],$A172),"")</f>
        <v/>
      </c>
      <c r="E172" s="67">
        <f>IFERROR(INDEX(tbl_Finance[Job Number],$A172),"")</f>
        <v/>
      </c>
      <c r="F172" s="67">
        <f>IFERROR(INDEX(tbl_Finance[Cost Centre],$A172),"")</f>
        <v/>
      </c>
      <c r="G172" s="68">
        <f>IFERROR(INDEX(tbl_Finance[Ex GST],$A172),"")</f>
        <v/>
      </c>
      <c r="H172" s="66">
        <f>IFERROR(INDEX(tbl_Finance[Defer Start],$A172),"")</f>
        <v/>
      </c>
      <c r="I172" s="66">
        <f>IFERROR(INDEX(tbl_Finance[Defer End],$A172),"")</f>
        <v/>
      </c>
      <c r="J172" s="65">
        <f>IF(OR($H172="",$I172="",$G172=""),"",MAX(1,(YEAR($I172)-YEAR($H172))*12+MONTH($I172)-MONTH($H172)+1))</f>
        <v/>
      </c>
      <c r="K172" s="68">
        <f>IF($J172="","",$G172/$J172)</f>
        <v/>
      </c>
      <c r="L172" s="68">
        <f>IF($J172="",0,$K172*MAX(0,MIN(YEAR($C$3)*12+MONTH($C$3),YEAR($I172)*12+MONTH($I172))-(YEAR($H172)*12+MONTH($H172))+1))</f>
        <v/>
      </c>
      <c r="M172" s="68">
        <f>IF($J172="",0,$K172*MAX(0,MIN(YEAR($C$3)*12+MONTH($C$3)-1,YEAR($I172)*12+MONTH($I172))-(YEAR($H172)*12+MONTH($H172))+1))</f>
        <v/>
      </c>
      <c r="N172" s="68">
        <f>IF(OR($J172="",$B172=""),0,IF(YEAR($B172)*12+MONTH($B172)&lt;=YEAR($C$3)*12+MONTH($C$3),$G172,0))</f>
        <v/>
      </c>
      <c r="O172" s="68">
        <f>IF(OR($J172="",$B172=""),0,IF(YEAR($B172)*12+MONTH($B172)&lt;=YEAR($C$3)*12+MONTH($C$3)-1,$G172,0))</f>
        <v/>
      </c>
      <c r="P172" s="68">
        <f>$M172-$O172</f>
        <v/>
      </c>
      <c r="Q172" s="68">
        <f>($L172-$M172)-($N172-$O172)</f>
        <v/>
      </c>
      <c r="R172" s="68">
        <f>$L172-$N172</f>
        <v/>
      </c>
      <c r="S172" s="67">
        <f>"Finance invoice"</f>
        <v/>
      </c>
      <c r="T172" s="67">
        <f>"Revenue"</f>
        <v/>
      </c>
    </row>
    <row r="173">
      <c r="A173" s="65">
        <f>ROW()-5</f>
        <v/>
      </c>
      <c r="B173" s="66">
        <f>IFERROR(INDEX(tbl_Finance[Date],$A173),"")</f>
        <v/>
      </c>
      <c r="C173" s="67">
        <f>IFERROR(INDEX(tbl_Finance[Xero Invoice No],$A173),"")</f>
        <v/>
      </c>
      <c r="D173" s="67">
        <f>IFERROR(INDEX(tbl_Finance[Client],$A173),"")</f>
        <v/>
      </c>
      <c r="E173" s="67">
        <f>IFERROR(INDEX(tbl_Finance[Job Number],$A173),"")</f>
        <v/>
      </c>
      <c r="F173" s="67">
        <f>IFERROR(INDEX(tbl_Finance[Cost Centre],$A173),"")</f>
        <v/>
      </c>
      <c r="G173" s="68">
        <f>IFERROR(INDEX(tbl_Finance[Ex GST],$A173),"")</f>
        <v/>
      </c>
      <c r="H173" s="66">
        <f>IFERROR(INDEX(tbl_Finance[Defer Start],$A173),"")</f>
        <v/>
      </c>
      <c r="I173" s="66">
        <f>IFERROR(INDEX(tbl_Finance[Defer End],$A173),"")</f>
        <v/>
      </c>
      <c r="J173" s="65">
        <f>IF(OR($H173="",$I173="",$G173=""),"",MAX(1,(YEAR($I173)-YEAR($H173))*12+MONTH($I173)-MONTH($H173)+1))</f>
        <v/>
      </c>
      <c r="K173" s="68">
        <f>IF($J173="","",$G173/$J173)</f>
        <v/>
      </c>
      <c r="L173" s="68">
        <f>IF($J173="",0,$K173*MAX(0,MIN(YEAR($C$3)*12+MONTH($C$3),YEAR($I173)*12+MONTH($I173))-(YEAR($H173)*12+MONTH($H173))+1))</f>
        <v/>
      </c>
      <c r="M173" s="68">
        <f>IF($J173="",0,$K173*MAX(0,MIN(YEAR($C$3)*12+MONTH($C$3)-1,YEAR($I173)*12+MONTH($I173))-(YEAR($H173)*12+MONTH($H173))+1))</f>
        <v/>
      </c>
      <c r="N173" s="68">
        <f>IF(OR($J173="",$B173=""),0,IF(YEAR($B173)*12+MONTH($B173)&lt;=YEAR($C$3)*12+MONTH($C$3),$G173,0))</f>
        <v/>
      </c>
      <c r="O173" s="68">
        <f>IF(OR($J173="",$B173=""),0,IF(YEAR($B173)*12+MONTH($B173)&lt;=YEAR($C$3)*12+MONTH($C$3)-1,$G173,0))</f>
        <v/>
      </c>
      <c r="P173" s="68">
        <f>$M173-$O173</f>
        <v/>
      </c>
      <c r="Q173" s="68">
        <f>($L173-$M173)-($N173-$O173)</f>
        <v/>
      </c>
      <c r="R173" s="68">
        <f>$L173-$N173</f>
        <v/>
      </c>
      <c r="S173" s="67">
        <f>"Finance invoice"</f>
        <v/>
      </c>
      <c r="T173" s="67">
        <f>"Revenue"</f>
        <v/>
      </c>
    </row>
    <row r="174">
      <c r="A174" s="65">
        <f>ROW()-5</f>
        <v/>
      </c>
      <c r="B174" s="66">
        <f>IFERROR(INDEX(tbl_Finance[Date],$A174),"")</f>
        <v/>
      </c>
      <c r="C174" s="67">
        <f>IFERROR(INDEX(tbl_Finance[Xero Invoice No],$A174),"")</f>
        <v/>
      </c>
      <c r="D174" s="67">
        <f>IFERROR(INDEX(tbl_Finance[Client],$A174),"")</f>
        <v/>
      </c>
      <c r="E174" s="67">
        <f>IFERROR(INDEX(tbl_Finance[Job Number],$A174),"")</f>
        <v/>
      </c>
      <c r="F174" s="67">
        <f>IFERROR(INDEX(tbl_Finance[Cost Centre],$A174),"")</f>
        <v/>
      </c>
      <c r="G174" s="68">
        <f>IFERROR(INDEX(tbl_Finance[Ex GST],$A174),"")</f>
        <v/>
      </c>
      <c r="H174" s="66">
        <f>IFERROR(INDEX(tbl_Finance[Defer Start],$A174),"")</f>
        <v/>
      </c>
      <c r="I174" s="66">
        <f>IFERROR(INDEX(tbl_Finance[Defer End],$A174),"")</f>
        <v/>
      </c>
      <c r="J174" s="65">
        <f>IF(OR($H174="",$I174="",$G174=""),"",MAX(1,(YEAR($I174)-YEAR($H174))*12+MONTH($I174)-MONTH($H174)+1))</f>
        <v/>
      </c>
      <c r="K174" s="68">
        <f>IF($J174="","",$G174/$J174)</f>
        <v/>
      </c>
      <c r="L174" s="68">
        <f>IF($J174="",0,$K174*MAX(0,MIN(YEAR($C$3)*12+MONTH($C$3),YEAR($I174)*12+MONTH($I174))-(YEAR($H174)*12+MONTH($H174))+1))</f>
        <v/>
      </c>
      <c r="M174" s="68">
        <f>IF($J174="",0,$K174*MAX(0,MIN(YEAR($C$3)*12+MONTH($C$3)-1,YEAR($I174)*12+MONTH($I174))-(YEAR($H174)*12+MONTH($H174))+1))</f>
        <v/>
      </c>
      <c r="N174" s="68">
        <f>IF(OR($J174="",$B174=""),0,IF(YEAR($B174)*12+MONTH($B174)&lt;=YEAR($C$3)*12+MONTH($C$3),$G174,0))</f>
        <v/>
      </c>
      <c r="O174" s="68">
        <f>IF(OR($J174="",$B174=""),0,IF(YEAR($B174)*12+MONTH($B174)&lt;=YEAR($C$3)*12+MONTH($C$3)-1,$G174,0))</f>
        <v/>
      </c>
      <c r="P174" s="68">
        <f>$M174-$O174</f>
        <v/>
      </c>
      <c r="Q174" s="68">
        <f>($L174-$M174)-($N174-$O174)</f>
        <v/>
      </c>
      <c r="R174" s="68">
        <f>$L174-$N174</f>
        <v/>
      </c>
      <c r="S174" s="67">
        <f>"Finance invoice"</f>
        <v/>
      </c>
      <c r="T174" s="67">
        <f>"Revenue"</f>
        <v/>
      </c>
    </row>
    <row r="175">
      <c r="A175" s="65">
        <f>ROW()-5</f>
        <v/>
      </c>
      <c r="B175" s="66">
        <f>IFERROR(INDEX(tbl_Finance[Date],$A175),"")</f>
        <v/>
      </c>
      <c r="C175" s="67">
        <f>IFERROR(INDEX(tbl_Finance[Xero Invoice No],$A175),"")</f>
        <v/>
      </c>
      <c r="D175" s="67">
        <f>IFERROR(INDEX(tbl_Finance[Client],$A175),"")</f>
        <v/>
      </c>
      <c r="E175" s="67">
        <f>IFERROR(INDEX(tbl_Finance[Job Number],$A175),"")</f>
        <v/>
      </c>
      <c r="F175" s="67">
        <f>IFERROR(INDEX(tbl_Finance[Cost Centre],$A175),"")</f>
        <v/>
      </c>
      <c r="G175" s="68">
        <f>IFERROR(INDEX(tbl_Finance[Ex GST],$A175),"")</f>
        <v/>
      </c>
      <c r="H175" s="66">
        <f>IFERROR(INDEX(tbl_Finance[Defer Start],$A175),"")</f>
        <v/>
      </c>
      <c r="I175" s="66">
        <f>IFERROR(INDEX(tbl_Finance[Defer End],$A175),"")</f>
        <v/>
      </c>
      <c r="J175" s="65">
        <f>IF(OR($H175="",$I175="",$G175=""),"",MAX(1,(YEAR($I175)-YEAR($H175))*12+MONTH($I175)-MONTH($H175)+1))</f>
        <v/>
      </c>
      <c r="K175" s="68">
        <f>IF($J175="","",$G175/$J175)</f>
        <v/>
      </c>
      <c r="L175" s="68">
        <f>IF($J175="",0,$K175*MAX(0,MIN(YEAR($C$3)*12+MONTH($C$3),YEAR($I175)*12+MONTH($I175))-(YEAR($H175)*12+MONTH($H175))+1))</f>
        <v/>
      </c>
      <c r="M175" s="68">
        <f>IF($J175="",0,$K175*MAX(0,MIN(YEAR($C$3)*12+MONTH($C$3)-1,YEAR($I175)*12+MONTH($I175))-(YEAR($H175)*12+MONTH($H175))+1))</f>
        <v/>
      </c>
      <c r="N175" s="68">
        <f>IF(OR($J175="",$B175=""),0,IF(YEAR($B175)*12+MONTH($B175)&lt;=YEAR($C$3)*12+MONTH($C$3),$G175,0))</f>
        <v/>
      </c>
      <c r="O175" s="68">
        <f>IF(OR($J175="",$B175=""),0,IF(YEAR($B175)*12+MONTH($B175)&lt;=YEAR($C$3)*12+MONTH($C$3)-1,$G175,0))</f>
        <v/>
      </c>
      <c r="P175" s="68">
        <f>$M175-$O175</f>
        <v/>
      </c>
      <c r="Q175" s="68">
        <f>($L175-$M175)-($N175-$O175)</f>
        <v/>
      </c>
      <c r="R175" s="68">
        <f>$L175-$N175</f>
        <v/>
      </c>
      <c r="S175" s="67">
        <f>"Finance invoice"</f>
        <v/>
      </c>
      <c r="T175" s="67">
        <f>"Revenue"</f>
        <v/>
      </c>
    </row>
    <row r="176">
      <c r="A176" s="65">
        <f>ROW()-5</f>
        <v/>
      </c>
      <c r="B176" s="66">
        <f>IFERROR(INDEX(tbl_Finance[Date],$A176),"")</f>
        <v/>
      </c>
      <c r="C176" s="67">
        <f>IFERROR(INDEX(tbl_Finance[Xero Invoice No],$A176),"")</f>
        <v/>
      </c>
      <c r="D176" s="67">
        <f>IFERROR(INDEX(tbl_Finance[Client],$A176),"")</f>
        <v/>
      </c>
      <c r="E176" s="67">
        <f>IFERROR(INDEX(tbl_Finance[Job Number],$A176),"")</f>
        <v/>
      </c>
      <c r="F176" s="67">
        <f>IFERROR(INDEX(tbl_Finance[Cost Centre],$A176),"")</f>
        <v/>
      </c>
      <c r="G176" s="68">
        <f>IFERROR(INDEX(tbl_Finance[Ex GST],$A176),"")</f>
        <v/>
      </c>
      <c r="H176" s="66">
        <f>IFERROR(INDEX(tbl_Finance[Defer Start],$A176),"")</f>
        <v/>
      </c>
      <c r="I176" s="66">
        <f>IFERROR(INDEX(tbl_Finance[Defer End],$A176),"")</f>
        <v/>
      </c>
      <c r="J176" s="65">
        <f>IF(OR($H176="",$I176="",$G176=""),"",MAX(1,(YEAR($I176)-YEAR($H176))*12+MONTH($I176)-MONTH($H176)+1))</f>
        <v/>
      </c>
      <c r="K176" s="68">
        <f>IF($J176="","",$G176/$J176)</f>
        <v/>
      </c>
      <c r="L176" s="68">
        <f>IF($J176="",0,$K176*MAX(0,MIN(YEAR($C$3)*12+MONTH($C$3),YEAR($I176)*12+MONTH($I176))-(YEAR($H176)*12+MONTH($H176))+1))</f>
        <v/>
      </c>
      <c r="M176" s="68">
        <f>IF($J176="",0,$K176*MAX(0,MIN(YEAR($C$3)*12+MONTH($C$3)-1,YEAR($I176)*12+MONTH($I176))-(YEAR($H176)*12+MONTH($H176))+1))</f>
        <v/>
      </c>
      <c r="N176" s="68">
        <f>IF(OR($J176="",$B176=""),0,IF(YEAR($B176)*12+MONTH($B176)&lt;=YEAR($C$3)*12+MONTH($C$3),$G176,0))</f>
        <v/>
      </c>
      <c r="O176" s="68">
        <f>IF(OR($J176="",$B176=""),0,IF(YEAR($B176)*12+MONTH($B176)&lt;=YEAR($C$3)*12+MONTH($C$3)-1,$G176,0))</f>
        <v/>
      </c>
      <c r="P176" s="68">
        <f>$M176-$O176</f>
        <v/>
      </c>
      <c r="Q176" s="68">
        <f>($L176-$M176)-($N176-$O176)</f>
        <v/>
      </c>
      <c r="R176" s="68">
        <f>$L176-$N176</f>
        <v/>
      </c>
      <c r="S176" s="67">
        <f>"Finance invoice"</f>
        <v/>
      </c>
      <c r="T176" s="67">
        <f>"Revenue"</f>
        <v/>
      </c>
    </row>
    <row r="177">
      <c r="A177" s="65">
        <f>ROW()-5</f>
        <v/>
      </c>
      <c r="B177" s="66">
        <f>IFERROR(INDEX(tbl_Finance[Date],$A177),"")</f>
        <v/>
      </c>
      <c r="C177" s="67">
        <f>IFERROR(INDEX(tbl_Finance[Xero Invoice No],$A177),"")</f>
        <v/>
      </c>
      <c r="D177" s="67">
        <f>IFERROR(INDEX(tbl_Finance[Client],$A177),"")</f>
        <v/>
      </c>
      <c r="E177" s="67">
        <f>IFERROR(INDEX(tbl_Finance[Job Number],$A177),"")</f>
        <v/>
      </c>
      <c r="F177" s="67">
        <f>IFERROR(INDEX(tbl_Finance[Cost Centre],$A177),"")</f>
        <v/>
      </c>
      <c r="G177" s="68">
        <f>IFERROR(INDEX(tbl_Finance[Ex GST],$A177),"")</f>
        <v/>
      </c>
      <c r="H177" s="66">
        <f>IFERROR(INDEX(tbl_Finance[Defer Start],$A177),"")</f>
        <v/>
      </c>
      <c r="I177" s="66">
        <f>IFERROR(INDEX(tbl_Finance[Defer End],$A177),"")</f>
        <v/>
      </c>
      <c r="J177" s="65">
        <f>IF(OR($H177="",$I177="",$G177=""),"",MAX(1,(YEAR($I177)-YEAR($H177))*12+MONTH($I177)-MONTH($H177)+1))</f>
        <v/>
      </c>
      <c r="K177" s="68">
        <f>IF($J177="","",$G177/$J177)</f>
        <v/>
      </c>
      <c r="L177" s="68">
        <f>IF($J177="",0,$K177*MAX(0,MIN(YEAR($C$3)*12+MONTH($C$3),YEAR($I177)*12+MONTH($I177))-(YEAR($H177)*12+MONTH($H177))+1))</f>
        <v/>
      </c>
      <c r="M177" s="68">
        <f>IF($J177="",0,$K177*MAX(0,MIN(YEAR($C$3)*12+MONTH($C$3)-1,YEAR($I177)*12+MONTH($I177))-(YEAR($H177)*12+MONTH($H177))+1))</f>
        <v/>
      </c>
      <c r="N177" s="68">
        <f>IF(OR($J177="",$B177=""),0,IF(YEAR($B177)*12+MONTH($B177)&lt;=YEAR($C$3)*12+MONTH($C$3),$G177,0))</f>
        <v/>
      </c>
      <c r="O177" s="68">
        <f>IF(OR($J177="",$B177=""),0,IF(YEAR($B177)*12+MONTH($B177)&lt;=YEAR($C$3)*12+MONTH($C$3)-1,$G177,0))</f>
        <v/>
      </c>
      <c r="P177" s="68">
        <f>$M177-$O177</f>
        <v/>
      </c>
      <c r="Q177" s="68">
        <f>($L177-$M177)-($N177-$O177)</f>
        <v/>
      </c>
      <c r="R177" s="68">
        <f>$L177-$N177</f>
        <v/>
      </c>
      <c r="S177" s="67">
        <f>"Finance invoice"</f>
        <v/>
      </c>
      <c r="T177" s="67">
        <f>"Revenue"</f>
        <v/>
      </c>
    </row>
    <row r="178">
      <c r="A178" s="65">
        <f>ROW()-5</f>
        <v/>
      </c>
      <c r="B178" s="66">
        <f>IFERROR(INDEX(tbl_Finance[Date],$A178),"")</f>
        <v/>
      </c>
      <c r="C178" s="67">
        <f>IFERROR(INDEX(tbl_Finance[Xero Invoice No],$A178),"")</f>
        <v/>
      </c>
      <c r="D178" s="67">
        <f>IFERROR(INDEX(tbl_Finance[Client],$A178),"")</f>
        <v/>
      </c>
      <c r="E178" s="67">
        <f>IFERROR(INDEX(tbl_Finance[Job Number],$A178),"")</f>
        <v/>
      </c>
      <c r="F178" s="67">
        <f>IFERROR(INDEX(tbl_Finance[Cost Centre],$A178),"")</f>
        <v/>
      </c>
      <c r="G178" s="68">
        <f>IFERROR(INDEX(tbl_Finance[Ex GST],$A178),"")</f>
        <v/>
      </c>
      <c r="H178" s="66">
        <f>IFERROR(INDEX(tbl_Finance[Defer Start],$A178),"")</f>
        <v/>
      </c>
      <c r="I178" s="66">
        <f>IFERROR(INDEX(tbl_Finance[Defer End],$A178),"")</f>
        <v/>
      </c>
      <c r="J178" s="65">
        <f>IF(OR($H178="",$I178="",$G178=""),"",MAX(1,(YEAR($I178)-YEAR($H178))*12+MONTH($I178)-MONTH($H178)+1))</f>
        <v/>
      </c>
      <c r="K178" s="68">
        <f>IF($J178="","",$G178/$J178)</f>
        <v/>
      </c>
      <c r="L178" s="68">
        <f>IF($J178="",0,$K178*MAX(0,MIN(YEAR($C$3)*12+MONTH($C$3),YEAR($I178)*12+MONTH($I178))-(YEAR($H178)*12+MONTH($H178))+1))</f>
        <v/>
      </c>
      <c r="M178" s="68">
        <f>IF($J178="",0,$K178*MAX(0,MIN(YEAR($C$3)*12+MONTH($C$3)-1,YEAR($I178)*12+MONTH($I178))-(YEAR($H178)*12+MONTH($H178))+1))</f>
        <v/>
      </c>
      <c r="N178" s="68">
        <f>IF(OR($J178="",$B178=""),0,IF(YEAR($B178)*12+MONTH($B178)&lt;=YEAR($C$3)*12+MONTH($C$3),$G178,0))</f>
        <v/>
      </c>
      <c r="O178" s="68">
        <f>IF(OR($J178="",$B178=""),0,IF(YEAR($B178)*12+MONTH($B178)&lt;=YEAR($C$3)*12+MONTH($C$3)-1,$G178,0))</f>
        <v/>
      </c>
      <c r="P178" s="68">
        <f>$M178-$O178</f>
        <v/>
      </c>
      <c r="Q178" s="68">
        <f>($L178-$M178)-($N178-$O178)</f>
        <v/>
      </c>
      <c r="R178" s="68">
        <f>$L178-$N178</f>
        <v/>
      </c>
      <c r="S178" s="67">
        <f>"Finance invoice"</f>
        <v/>
      </c>
      <c r="T178" s="67">
        <f>"Revenue"</f>
        <v/>
      </c>
    </row>
    <row r="179">
      <c r="A179" s="65">
        <f>ROW()-5</f>
        <v/>
      </c>
      <c r="B179" s="66">
        <f>IFERROR(INDEX(tbl_Finance[Date],$A179),"")</f>
        <v/>
      </c>
      <c r="C179" s="67">
        <f>IFERROR(INDEX(tbl_Finance[Xero Invoice No],$A179),"")</f>
        <v/>
      </c>
      <c r="D179" s="67">
        <f>IFERROR(INDEX(tbl_Finance[Client],$A179),"")</f>
        <v/>
      </c>
      <c r="E179" s="67">
        <f>IFERROR(INDEX(tbl_Finance[Job Number],$A179),"")</f>
        <v/>
      </c>
      <c r="F179" s="67">
        <f>IFERROR(INDEX(tbl_Finance[Cost Centre],$A179),"")</f>
        <v/>
      </c>
      <c r="G179" s="68">
        <f>IFERROR(INDEX(tbl_Finance[Ex GST],$A179),"")</f>
        <v/>
      </c>
      <c r="H179" s="66">
        <f>IFERROR(INDEX(tbl_Finance[Defer Start],$A179),"")</f>
        <v/>
      </c>
      <c r="I179" s="66">
        <f>IFERROR(INDEX(tbl_Finance[Defer End],$A179),"")</f>
        <v/>
      </c>
      <c r="J179" s="65">
        <f>IF(OR($H179="",$I179="",$G179=""),"",MAX(1,(YEAR($I179)-YEAR($H179))*12+MONTH($I179)-MONTH($H179)+1))</f>
        <v/>
      </c>
      <c r="K179" s="68">
        <f>IF($J179="","",$G179/$J179)</f>
        <v/>
      </c>
      <c r="L179" s="68">
        <f>IF($J179="",0,$K179*MAX(0,MIN(YEAR($C$3)*12+MONTH($C$3),YEAR($I179)*12+MONTH($I179))-(YEAR($H179)*12+MONTH($H179))+1))</f>
        <v/>
      </c>
      <c r="M179" s="68">
        <f>IF($J179="",0,$K179*MAX(0,MIN(YEAR($C$3)*12+MONTH($C$3)-1,YEAR($I179)*12+MONTH($I179))-(YEAR($H179)*12+MONTH($H179))+1))</f>
        <v/>
      </c>
      <c r="N179" s="68">
        <f>IF(OR($J179="",$B179=""),0,IF(YEAR($B179)*12+MONTH($B179)&lt;=YEAR($C$3)*12+MONTH($C$3),$G179,0))</f>
        <v/>
      </c>
      <c r="O179" s="68">
        <f>IF(OR($J179="",$B179=""),0,IF(YEAR($B179)*12+MONTH($B179)&lt;=YEAR($C$3)*12+MONTH($C$3)-1,$G179,0))</f>
        <v/>
      </c>
      <c r="P179" s="68">
        <f>$M179-$O179</f>
        <v/>
      </c>
      <c r="Q179" s="68">
        <f>($L179-$M179)-($N179-$O179)</f>
        <v/>
      </c>
      <c r="R179" s="68">
        <f>$L179-$N179</f>
        <v/>
      </c>
      <c r="S179" s="67">
        <f>"Finance invoice"</f>
        <v/>
      </c>
      <c r="T179" s="67">
        <f>"Revenue"</f>
        <v/>
      </c>
    </row>
    <row r="180">
      <c r="A180" s="65">
        <f>ROW()-5</f>
        <v/>
      </c>
      <c r="B180" s="66">
        <f>IFERROR(INDEX(tbl_Finance[Date],$A180),"")</f>
        <v/>
      </c>
      <c r="C180" s="67">
        <f>IFERROR(INDEX(tbl_Finance[Xero Invoice No],$A180),"")</f>
        <v/>
      </c>
      <c r="D180" s="67">
        <f>IFERROR(INDEX(tbl_Finance[Client],$A180),"")</f>
        <v/>
      </c>
      <c r="E180" s="67">
        <f>IFERROR(INDEX(tbl_Finance[Job Number],$A180),"")</f>
        <v/>
      </c>
      <c r="F180" s="67">
        <f>IFERROR(INDEX(tbl_Finance[Cost Centre],$A180),"")</f>
        <v/>
      </c>
      <c r="G180" s="68">
        <f>IFERROR(INDEX(tbl_Finance[Ex GST],$A180),"")</f>
        <v/>
      </c>
      <c r="H180" s="66">
        <f>IFERROR(INDEX(tbl_Finance[Defer Start],$A180),"")</f>
        <v/>
      </c>
      <c r="I180" s="66">
        <f>IFERROR(INDEX(tbl_Finance[Defer End],$A180),"")</f>
        <v/>
      </c>
      <c r="J180" s="65">
        <f>IF(OR($H180="",$I180="",$G180=""),"",MAX(1,(YEAR($I180)-YEAR($H180))*12+MONTH($I180)-MONTH($H180)+1))</f>
        <v/>
      </c>
      <c r="K180" s="68">
        <f>IF($J180="","",$G180/$J180)</f>
        <v/>
      </c>
      <c r="L180" s="68">
        <f>IF($J180="",0,$K180*MAX(0,MIN(YEAR($C$3)*12+MONTH($C$3),YEAR($I180)*12+MONTH($I180))-(YEAR($H180)*12+MONTH($H180))+1))</f>
        <v/>
      </c>
      <c r="M180" s="68">
        <f>IF($J180="",0,$K180*MAX(0,MIN(YEAR($C$3)*12+MONTH($C$3)-1,YEAR($I180)*12+MONTH($I180))-(YEAR($H180)*12+MONTH($H180))+1))</f>
        <v/>
      </c>
      <c r="N180" s="68">
        <f>IF(OR($J180="",$B180=""),0,IF(YEAR($B180)*12+MONTH($B180)&lt;=YEAR($C$3)*12+MONTH($C$3),$G180,0))</f>
        <v/>
      </c>
      <c r="O180" s="68">
        <f>IF(OR($J180="",$B180=""),0,IF(YEAR($B180)*12+MONTH($B180)&lt;=YEAR($C$3)*12+MONTH($C$3)-1,$G180,0))</f>
        <v/>
      </c>
      <c r="P180" s="68">
        <f>$M180-$O180</f>
        <v/>
      </c>
      <c r="Q180" s="68">
        <f>($L180-$M180)-($N180-$O180)</f>
        <v/>
      </c>
      <c r="R180" s="68">
        <f>$L180-$N180</f>
        <v/>
      </c>
      <c r="S180" s="67">
        <f>"Finance invoice"</f>
        <v/>
      </c>
      <c r="T180" s="67">
        <f>"Revenue"</f>
        <v/>
      </c>
    </row>
    <row r="181">
      <c r="A181" s="65">
        <f>ROW()-5</f>
        <v/>
      </c>
      <c r="B181" s="66">
        <f>IFERROR(INDEX(tbl_Finance[Date],$A181),"")</f>
        <v/>
      </c>
      <c r="C181" s="67">
        <f>IFERROR(INDEX(tbl_Finance[Xero Invoice No],$A181),"")</f>
        <v/>
      </c>
      <c r="D181" s="67">
        <f>IFERROR(INDEX(tbl_Finance[Client],$A181),"")</f>
        <v/>
      </c>
      <c r="E181" s="67">
        <f>IFERROR(INDEX(tbl_Finance[Job Number],$A181),"")</f>
        <v/>
      </c>
      <c r="F181" s="67">
        <f>IFERROR(INDEX(tbl_Finance[Cost Centre],$A181),"")</f>
        <v/>
      </c>
      <c r="G181" s="68">
        <f>IFERROR(INDEX(tbl_Finance[Ex GST],$A181),"")</f>
        <v/>
      </c>
      <c r="H181" s="66">
        <f>IFERROR(INDEX(tbl_Finance[Defer Start],$A181),"")</f>
        <v/>
      </c>
      <c r="I181" s="66">
        <f>IFERROR(INDEX(tbl_Finance[Defer End],$A181),"")</f>
        <v/>
      </c>
      <c r="J181" s="65">
        <f>IF(OR($H181="",$I181="",$G181=""),"",MAX(1,(YEAR($I181)-YEAR($H181))*12+MONTH($I181)-MONTH($H181)+1))</f>
        <v/>
      </c>
      <c r="K181" s="68">
        <f>IF($J181="","",$G181/$J181)</f>
        <v/>
      </c>
      <c r="L181" s="68">
        <f>IF($J181="",0,$K181*MAX(0,MIN(YEAR($C$3)*12+MONTH($C$3),YEAR($I181)*12+MONTH($I181))-(YEAR($H181)*12+MONTH($H181))+1))</f>
        <v/>
      </c>
      <c r="M181" s="68">
        <f>IF($J181="",0,$K181*MAX(0,MIN(YEAR($C$3)*12+MONTH($C$3)-1,YEAR($I181)*12+MONTH($I181))-(YEAR($H181)*12+MONTH($H181))+1))</f>
        <v/>
      </c>
      <c r="N181" s="68">
        <f>IF(OR($J181="",$B181=""),0,IF(YEAR($B181)*12+MONTH($B181)&lt;=YEAR($C$3)*12+MONTH($C$3),$G181,0))</f>
        <v/>
      </c>
      <c r="O181" s="68">
        <f>IF(OR($J181="",$B181=""),0,IF(YEAR($B181)*12+MONTH($B181)&lt;=YEAR($C$3)*12+MONTH($C$3)-1,$G181,0))</f>
        <v/>
      </c>
      <c r="P181" s="68">
        <f>$M181-$O181</f>
        <v/>
      </c>
      <c r="Q181" s="68">
        <f>($L181-$M181)-($N181-$O181)</f>
        <v/>
      </c>
      <c r="R181" s="68">
        <f>$L181-$N181</f>
        <v/>
      </c>
      <c r="S181" s="67">
        <f>"Finance invoice"</f>
        <v/>
      </c>
      <c r="T181" s="67">
        <f>"Revenue"</f>
        <v/>
      </c>
    </row>
    <row r="182">
      <c r="A182" s="65">
        <f>ROW()-5</f>
        <v/>
      </c>
      <c r="B182" s="66">
        <f>IFERROR(INDEX(tbl_Finance[Date],$A182),"")</f>
        <v/>
      </c>
      <c r="C182" s="67">
        <f>IFERROR(INDEX(tbl_Finance[Xero Invoice No],$A182),"")</f>
        <v/>
      </c>
      <c r="D182" s="67">
        <f>IFERROR(INDEX(tbl_Finance[Client],$A182),"")</f>
        <v/>
      </c>
      <c r="E182" s="67">
        <f>IFERROR(INDEX(tbl_Finance[Job Number],$A182),"")</f>
        <v/>
      </c>
      <c r="F182" s="67">
        <f>IFERROR(INDEX(tbl_Finance[Cost Centre],$A182),"")</f>
        <v/>
      </c>
      <c r="G182" s="68">
        <f>IFERROR(INDEX(tbl_Finance[Ex GST],$A182),"")</f>
        <v/>
      </c>
      <c r="H182" s="66">
        <f>IFERROR(INDEX(tbl_Finance[Defer Start],$A182),"")</f>
        <v/>
      </c>
      <c r="I182" s="66">
        <f>IFERROR(INDEX(tbl_Finance[Defer End],$A182),"")</f>
        <v/>
      </c>
      <c r="J182" s="65">
        <f>IF(OR($H182="",$I182="",$G182=""),"",MAX(1,(YEAR($I182)-YEAR($H182))*12+MONTH($I182)-MONTH($H182)+1))</f>
        <v/>
      </c>
      <c r="K182" s="68">
        <f>IF($J182="","",$G182/$J182)</f>
        <v/>
      </c>
      <c r="L182" s="68">
        <f>IF($J182="",0,$K182*MAX(0,MIN(YEAR($C$3)*12+MONTH($C$3),YEAR($I182)*12+MONTH($I182))-(YEAR($H182)*12+MONTH($H182))+1))</f>
        <v/>
      </c>
      <c r="M182" s="68">
        <f>IF($J182="",0,$K182*MAX(0,MIN(YEAR($C$3)*12+MONTH($C$3)-1,YEAR($I182)*12+MONTH($I182))-(YEAR($H182)*12+MONTH($H182))+1))</f>
        <v/>
      </c>
      <c r="N182" s="68">
        <f>IF(OR($J182="",$B182=""),0,IF(YEAR($B182)*12+MONTH($B182)&lt;=YEAR($C$3)*12+MONTH($C$3),$G182,0))</f>
        <v/>
      </c>
      <c r="O182" s="68">
        <f>IF(OR($J182="",$B182=""),0,IF(YEAR($B182)*12+MONTH($B182)&lt;=YEAR($C$3)*12+MONTH($C$3)-1,$G182,0))</f>
        <v/>
      </c>
      <c r="P182" s="68">
        <f>$M182-$O182</f>
        <v/>
      </c>
      <c r="Q182" s="68">
        <f>($L182-$M182)-($N182-$O182)</f>
        <v/>
      </c>
      <c r="R182" s="68">
        <f>$L182-$N182</f>
        <v/>
      </c>
      <c r="S182" s="67">
        <f>"Finance invoice"</f>
        <v/>
      </c>
      <c r="T182" s="67">
        <f>"Revenue"</f>
        <v/>
      </c>
    </row>
    <row r="183">
      <c r="A183" s="65">
        <f>ROW()-5</f>
        <v/>
      </c>
      <c r="B183" s="66">
        <f>IFERROR(INDEX(tbl_Finance[Date],$A183),"")</f>
        <v/>
      </c>
      <c r="C183" s="67">
        <f>IFERROR(INDEX(tbl_Finance[Xero Invoice No],$A183),"")</f>
        <v/>
      </c>
      <c r="D183" s="67">
        <f>IFERROR(INDEX(tbl_Finance[Client],$A183),"")</f>
        <v/>
      </c>
      <c r="E183" s="67">
        <f>IFERROR(INDEX(tbl_Finance[Job Number],$A183),"")</f>
        <v/>
      </c>
      <c r="F183" s="67">
        <f>IFERROR(INDEX(tbl_Finance[Cost Centre],$A183),"")</f>
        <v/>
      </c>
      <c r="G183" s="68">
        <f>IFERROR(INDEX(tbl_Finance[Ex GST],$A183),"")</f>
        <v/>
      </c>
      <c r="H183" s="66">
        <f>IFERROR(INDEX(tbl_Finance[Defer Start],$A183),"")</f>
        <v/>
      </c>
      <c r="I183" s="66">
        <f>IFERROR(INDEX(tbl_Finance[Defer End],$A183),"")</f>
        <v/>
      </c>
      <c r="J183" s="65">
        <f>IF(OR($H183="",$I183="",$G183=""),"",MAX(1,(YEAR($I183)-YEAR($H183))*12+MONTH($I183)-MONTH($H183)+1))</f>
        <v/>
      </c>
      <c r="K183" s="68">
        <f>IF($J183="","",$G183/$J183)</f>
        <v/>
      </c>
      <c r="L183" s="68">
        <f>IF($J183="",0,$K183*MAX(0,MIN(YEAR($C$3)*12+MONTH($C$3),YEAR($I183)*12+MONTH($I183))-(YEAR($H183)*12+MONTH($H183))+1))</f>
        <v/>
      </c>
      <c r="M183" s="68">
        <f>IF($J183="",0,$K183*MAX(0,MIN(YEAR($C$3)*12+MONTH($C$3)-1,YEAR($I183)*12+MONTH($I183))-(YEAR($H183)*12+MONTH($H183))+1))</f>
        <v/>
      </c>
      <c r="N183" s="68">
        <f>IF(OR($J183="",$B183=""),0,IF(YEAR($B183)*12+MONTH($B183)&lt;=YEAR($C$3)*12+MONTH($C$3),$G183,0))</f>
        <v/>
      </c>
      <c r="O183" s="68">
        <f>IF(OR($J183="",$B183=""),0,IF(YEAR($B183)*12+MONTH($B183)&lt;=YEAR($C$3)*12+MONTH($C$3)-1,$G183,0))</f>
        <v/>
      </c>
      <c r="P183" s="68">
        <f>$M183-$O183</f>
        <v/>
      </c>
      <c r="Q183" s="68">
        <f>($L183-$M183)-($N183-$O183)</f>
        <v/>
      </c>
      <c r="R183" s="68">
        <f>$L183-$N183</f>
        <v/>
      </c>
      <c r="S183" s="67">
        <f>"Finance invoice"</f>
        <v/>
      </c>
      <c r="T183" s="67">
        <f>"Revenue"</f>
        <v/>
      </c>
    </row>
    <row r="184">
      <c r="A184" s="65">
        <f>ROW()-5</f>
        <v/>
      </c>
      <c r="B184" s="66">
        <f>IFERROR(INDEX(tbl_Finance[Date],$A184),"")</f>
        <v/>
      </c>
      <c r="C184" s="67">
        <f>IFERROR(INDEX(tbl_Finance[Xero Invoice No],$A184),"")</f>
        <v/>
      </c>
      <c r="D184" s="67">
        <f>IFERROR(INDEX(tbl_Finance[Client],$A184),"")</f>
        <v/>
      </c>
      <c r="E184" s="67">
        <f>IFERROR(INDEX(tbl_Finance[Job Number],$A184),"")</f>
        <v/>
      </c>
      <c r="F184" s="67">
        <f>IFERROR(INDEX(tbl_Finance[Cost Centre],$A184),"")</f>
        <v/>
      </c>
      <c r="G184" s="68">
        <f>IFERROR(INDEX(tbl_Finance[Ex GST],$A184),"")</f>
        <v/>
      </c>
      <c r="H184" s="66">
        <f>IFERROR(INDEX(tbl_Finance[Defer Start],$A184),"")</f>
        <v/>
      </c>
      <c r="I184" s="66">
        <f>IFERROR(INDEX(tbl_Finance[Defer End],$A184),"")</f>
        <v/>
      </c>
      <c r="J184" s="65">
        <f>IF(OR($H184="",$I184="",$G184=""),"",MAX(1,(YEAR($I184)-YEAR($H184))*12+MONTH($I184)-MONTH($H184)+1))</f>
        <v/>
      </c>
      <c r="K184" s="68">
        <f>IF($J184="","",$G184/$J184)</f>
        <v/>
      </c>
      <c r="L184" s="68">
        <f>IF($J184="",0,$K184*MAX(0,MIN(YEAR($C$3)*12+MONTH($C$3),YEAR($I184)*12+MONTH($I184))-(YEAR($H184)*12+MONTH($H184))+1))</f>
        <v/>
      </c>
      <c r="M184" s="68">
        <f>IF($J184="",0,$K184*MAX(0,MIN(YEAR($C$3)*12+MONTH($C$3)-1,YEAR($I184)*12+MONTH($I184))-(YEAR($H184)*12+MONTH($H184))+1))</f>
        <v/>
      </c>
      <c r="N184" s="68">
        <f>IF(OR($J184="",$B184=""),0,IF(YEAR($B184)*12+MONTH($B184)&lt;=YEAR($C$3)*12+MONTH($C$3),$G184,0))</f>
        <v/>
      </c>
      <c r="O184" s="68">
        <f>IF(OR($J184="",$B184=""),0,IF(YEAR($B184)*12+MONTH($B184)&lt;=YEAR($C$3)*12+MONTH($C$3)-1,$G184,0))</f>
        <v/>
      </c>
      <c r="P184" s="68">
        <f>$M184-$O184</f>
        <v/>
      </c>
      <c r="Q184" s="68">
        <f>($L184-$M184)-($N184-$O184)</f>
        <v/>
      </c>
      <c r="R184" s="68">
        <f>$L184-$N184</f>
        <v/>
      </c>
      <c r="S184" s="67">
        <f>"Finance invoice"</f>
        <v/>
      </c>
      <c r="T184" s="67">
        <f>"Revenue"</f>
        <v/>
      </c>
    </row>
    <row r="185">
      <c r="A185" s="65">
        <f>ROW()-5</f>
        <v/>
      </c>
      <c r="B185" s="66">
        <f>IFERROR(INDEX(tbl_Finance[Date],$A185),"")</f>
        <v/>
      </c>
      <c r="C185" s="67">
        <f>IFERROR(INDEX(tbl_Finance[Xero Invoice No],$A185),"")</f>
        <v/>
      </c>
      <c r="D185" s="67">
        <f>IFERROR(INDEX(tbl_Finance[Client],$A185),"")</f>
        <v/>
      </c>
      <c r="E185" s="67">
        <f>IFERROR(INDEX(tbl_Finance[Job Number],$A185),"")</f>
        <v/>
      </c>
      <c r="F185" s="67">
        <f>IFERROR(INDEX(tbl_Finance[Cost Centre],$A185),"")</f>
        <v/>
      </c>
      <c r="G185" s="68">
        <f>IFERROR(INDEX(tbl_Finance[Ex GST],$A185),"")</f>
        <v/>
      </c>
      <c r="H185" s="66">
        <f>IFERROR(INDEX(tbl_Finance[Defer Start],$A185),"")</f>
        <v/>
      </c>
      <c r="I185" s="66">
        <f>IFERROR(INDEX(tbl_Finance[Defer End],$A185),"")</f>
        <v/>
      </c>
      <c r="J185" s="65">
        <f>IF(OR($H185="",$I185="",$G185=""),"",MAX(1,(YEAR($I185)-YEAR($H185))*12+MONTH($I185)-MONTH($H185)+1))</f>
        <v/>
      </c>
      <c r="K185" s="68">
        <f>IF($J185="","",$G185/$J185)</f>
        <v/>
      </c>
      <c r="L185" s="68">
        <f>IF($J185="",0,$K185*MAX(0,MIN(YEAR($C$3)*12+MONTH($C$3),YEAR($I185)*12+MONTH($I185))-(YEAR($H185)*12+MONTH($H185))+1))</f>
        <v/>
      </c>
      <c r="M185" s="68">
        <f>IF($J185="",0,$K185*MAX(0,MIN(YEAR($C$3)*12+MONTH($C$3)-1,YEAR($I185)*12+MONTH($I185))-(YEAR($H185)*12+MONTH($H185))+1))</f>
        <v/>
      </c>
      <c r="N185" s="68">
        <f>IF(OR($J185="",$B185=""),0,IF(YEAR($B185)*12+MONTH($B185)&lt;=YEAR($C$3)*12+MONTH($C$3),$G185,0))</f>
        <v/>
      </c>
      <c r="O185" s="68">
        <f>IF(OR($J185="",$B185=""),0,IF(YEAR($B185)*12+MONTH($B185)&lt;=YEAR($C$3)*12+MONTH($C$3)-1,$G185,0))</f>
        <v/>
      </c>
      <c r="P185" s="68">
        <f>$M185-$O185</f>
        <v/>
      </c>
      <c r="Q185" s="68">
        <f>($L185-$M185)-($N185-$O185)</f>
        <v/>
      </c>
      <c r="R185" s="68">
        <f>$L185-$N185</f>
        <v/>
      </c>
      <c r="S185" s="67">
        <f>"Finance invoice"</f>
        <v/>
      </c>
      <c r="T185" s="67">
        <f>"Revenue"</f>
        <v/>
      </c>
    </row>
    <row r="186">
      <c r="A186" s="65">
        <f>ROW()-5</f>
        <v/>
      </c>
      <c r="B186" s="66">
        <f>IFERROR(INDEX(tbl_Finance[Date],$A186),"")</f>
        <v/>
      </c>
      <c r="C186" s="67">
        <f>IFERROR(INDEX(tbl_Finance[Xero Invoice No],$A186),"")</f>
        <v/>
      </c>
      <c r="D186" s="67">
        <f>IFERROR(INDEX(tbl_Finance[Client],$A186),"")</f>
        <v/>
      </c>
      <c r="E186" s="67">
        <f>IFERROR(INDEX(tbl_Finance[Job Number],$A186),"")</f>
        <v/>
      </c>
      <c r="F186" s="67">
        <f>IFERROR(INDEX(tbl_Finance[Cost Centre],$A186),"")</f>
        <v/>
      </c>
      <c r="G186" s="68">
        <f>IFERROR(INDEX(tbl_Finance[Ex GST],$A186),"")</f>
        <v/>
      </c>
      <c r="H186" s="66">
        <f>IFERROR(INDEX(tbl_Finance[Defer Start],$A186),"")</f>
        <v/>
      </c>
      <c r="I186" s="66">
        <f>IFERROR(INDEX(tbl_Finance[Defer End],$A186),"")</f>
        <v/>
      </c>
      <c r="J186" s="65">
        <f>IF(OR($H186="",$I186="",$G186=""),"",MAX(1,(YEAR($I186)-YEAR($H186))*12+MONTH($I186)-MONTH($H186)+1))</f>
        <v/>
      </c>
      <c r="K186" s="68">
        <f>IF($J186="","",$G186/$J186)</f>
        <v/>
      </c>
      <c r="L186" s="68">
        <f>IF($J186="",0,$K186*MAX(0,MIN(YEAR($C$3)*12+MONTH($C$3),YEAR($I186)*12+MONTH($I186))-(YEAR($H186)*12+MONTH($H186))+1))</f>
        <v/>
      </c>
      <c r="M186" s="68">
        <f>IF($J186="",0,$K186*MAX(0,MIN(YEAR($C$3)*12+MONTH($C$3)-1,YEAR($I186)*12+MONTH($I186))-(YEAR($H186)*12+MONTH($H186))+1))</f>
        <v/>
      </c>
      <c r="N186" s="68">
        <f>IF(OR($J186="",$B186=""),0,IF(YEAR($B186)*12+MONTH($B186)&lt;=YEAR($C$3)*12+MONTH($C$3),$G186,0))</f>
        <v/>
      </c>
      <c r="O186" s="68">
        <f>IF(OR($J186="",$B186=""),0,IF(YEAR($B186)*12+MONTH($B186)&lt;=YEAR($C$3)*12+MONTH($C$3)-1,$G186,0))</f>
        <v/>
      </c>
      <c r="P186" s="68">
        <f>$M186-$O186</f>
        <v/>
      </c>
      <c r="Q186" s="68">
        <f>($L186-$M186)-($N186-$O186)</f>
        <v/>
      </c>
      <c r="R186" s="68">
        <f>$L186-$N186</f>
        <v/>
      </c>
      <c r="S186" s="67">
        <f>"Finance invoice"</f>
        <v/>
      </c>
      <c r="T186" s="67">
        <f>"Revenue"</f>
        <v/>
      </c>
    </row>
    <row r="187">
      <c r="A187" s="65">
        <f>ROW()-5</f>
        <v/>
      </c>
      <c r="B187" s="66">
        <f>IFERROR(INDEX(tbl_Finance[Date],$A187),"")</f>
        <v/>
      </c>
      <c r="C187" s="67">
        <f>IFERROR(INDEX(tbl_Finance[Xero Invoice No],$A187),"")</f>
        <v/>
      </c>
      <c r="D187" s="67">
        <f>IFERROR(INDEX(tbl_Finance[Client],$A187),"")</f>
        <v/>
      </c>
      <c r="E187" s="67">
        <f>IFERROR(INDEX(tbl_Finance[Job Number],$A187),"")</f>
        <v/>
      </c>
      <c r="F187" s="67">
        <f>IFERROR(INDEX(tbl_Finance[Cost Centre],$A187),"")</f>
        <v/>
      </c>
      <c r="G187" s="68">
        <f>IFERROR(INDEX(tbl_Finance[Ex GST],$A187),"")</f>
        <v/>
      </c>
      <c r="H187" s="66">
        <f>IFERROR(INDEX(tbl_Finance[Defer Start],$A187),"")</f>
        <v/>
      </c>
      <c r="I187" s="66">
        <f>IFERROR(INDEX(tbl_Finance[Defer End],$A187),"")</f>
        <v/>
      </c>
      <c r="J187" s="65">
        <f>IF(OR($H187="",$I187="",$G187=""),"",MAX(1,(YEAR($I187)-YEAR($H187))*12+MONTH($I187)-MONTH($H187)+1))</f>
        <v/>
      </c>
      <c r="K187" s="68">
        <f>IF($J187="","",$G187/$J187)</f>
        <v/>
      </c>
      <c r="L187" s="68">
        <f>IF($J187="",0,$K187*MAX(0,MIN(YEAR($C$3)*12+MONTH($C$3),YEAR($I187)*12+MONTH($I187))-(YEAR($H187)*12+MONTH($H187))+1))</f>
        <v/>
      </c>
      <c r="M187" s="68">
        <f>IF($J187="",0,$K187*MAX(0,MIN(YEAR($C$3)*12+MONTH($C$3)-1,YEAR($I187)*12+MONTH($I187))-(YEAR($H187)*12+MONTH($H187))+1))</f>
        <v/>
      </c>
      <c r="N187" s="68">
        <f>IF(OR($J187="",$B187=""),0,IF(YEAR($B187)*12+MONTH($B187)&lt;=YEAR($C$3)*12+MONTH($C$3),$G187,0))</f>
        <v/>
      </c>
      <c r="O187" s="68">
        <f>IF(OR($J187="",$B187=""),0,IF(YEAR($B187)*12+MONTH($B187)&lt;=YEAR($C$3)*12+MONTH($C$3)-1,$G187,0))</f>
        <v/>
      </c>
      <c r="P187" s="68">
        <f>$M187-$O187</f>
        <v/>
      </c>
      <c r="Q187" s="68">
        <f>($L187-$M187)-($N187-$O187)</f>
        <v/>
      </c>
      <c r="R187" s="68">
        <f>$L187-$N187</f>
        <v/>
      </c>
      <c r="S187" s="67">
        <f>"Finance invoice"</f>
        <v/>
      </c>
      <c r="T187" s="67">
        <f>"Revenue"</f>
        <v/>
      </c>
    </row>
    <row r="188">
      <c r="A188" s="65">
        <f>ROW()-5</f>
        <v/>
      </c>
      <c r="B188" s="66">
        <f>IFERROR(INDEX(tbl_Finance[Date],$A188),"")</f>
        <v/>
      </c>
      <c r="C188" s="67">
        <f>IFERROR(INDEX(tbl_Finance[Xero Invoice No],$A188),"")</f>
        <v/>
      </c>
      <c r="D188" s="67">
        <f>IFERROR(INDEX(tbl_Finance[Client],$A188),"")</f>
        <v/>
      </c>
      <c r="E188" s="67">
        <f>IFERROR(INDEX(tbl_Finance[Job Number],$A188),"")</f>
        <v/>
      </c>
      <c r="F188" s="67">
        <f>IFERROR(INDEX(tbl_Finance[Cost Centre],$A188),"")</f>
        <v/>
      </c>
      <c r="G188" s="68">
        <f>IFERROR(INDEX(tbl_Finance[Ex GST],$A188),"")</f>
        <v/>
      </c>
      <c r="H188" s="66">
        <f>IFERROR(INDEX(tbl_Finance[Defer Start],$A188),"")</f>
        <v/>
      </c>
      <c r="I188" s="66">
        <f>IFERROR(INDEX(tbl_Finance[Defer End],$A188),"")</f>
        <v/>
      </c>
      <c r="J188" s="65">
        <f>IF(OR($H188="",$I188="",$G188=""),"",MAX(1,(YEAR($I188)-YEAR($H188))*12+MONTH($I188)-MONTH($H188)+1))</f>
        <v/>
      </c>
      <c r="K188" s="68">
        <f>IF($J188="","",$G188/$J188)</f>
        <v/>
      </c>
      <c r="L188" s="68">
        <f>IF($J188="",0,$K188*MAX(0,MIN(YEAR($C$3)*12+MONTH($C$3),YEAR($I188)*12+MONTH($I188))-(YEAR($H188)*12+MONTH($H188))+1))</f>
        <v/>
      </c>
      <c r="M188" s="68">
        <f>IF($J188="",0,$K188*MAX(0,MIN(YEAR($C$3)*12+MONTH($C$3)-1,YEAR($I188)*12+MONTH($I188))-(YEAR($H188)*12+MONTH($H188))+1))</f>
        <v/>
      </c>
      <c r="N188" s="68">
        <f>IF(OR($J188="",$B188=""),0,IF(YEAR($B188)*12+MONTH($B188)&lt;=YEAR($C$3)*12+MONTH($C$3),$G188,0))</f>
        <v/>
      </c>
      <c r="O188" s="68">
        <f>IF(OR($J188="",$B188=""),0,IF(YEAR($B188)*12+MONTH($B188)&lt;=YEAR($C$3)*12+MONTH($C$3)-1,$G188,0))</f>
        <v/>
      </c>
      <c r="P188" s="68">
        <f>$M188-$O188</f>
        <v/>
      </c>
      <c r="Q188" s="68">
        <f>($L188-$M188)-($N188-$O188)</f>
        <v/>
      </c>
      <c r="R188" s="68">
        <f>$L188-$N188</f>
        <v/>
      </c>
      <c r="S188" s="67">
        <f>"Finance invoice"</f>
        <v/>
      </c>
      <c r="T188" s="67">
        <f>"Revenue"</f>
        <v/>
      </c>
    </row>
    <row r="189">
      <c r="A189" s="65">
        <f>ROW()-5</f>
        <v/>
      </c>
      <c r="B189" s="66">
        <f>IFERROR(INDEX(tbl_Finance[Date],$A189),"")</f>
        <v/>
      </c>
      <c r="C189" s="67">
        <f>IFERROR(INDEX(tbl_Finance[Xero Invoice No],$A189),"")</f>
        <v/>
      </c>
      <c r="D189" s="67">
        <f>IFERROR(INDEX(tbl_Finance[Client],$A189),"")</f>
        <v/>
      </c>
      <c r="E189" s="67">
        <f>IFERROR(INDEX(tbl_Finance[Job Number],$A189),"")</f>
        <v/>
      </c>
      <c r="F189" s="67">
        <f>IFERROR(INDEX(tbl_Finance[Cost Centre],$A189),"")</f>
        <v/>
      </c>
      <c r="G189" s="68">
        <f>IFERROR(INDEX(tbl_Finance[Ex GST],$A189),"")</f>
        <v/>
      </c>
      <c r="H189" s="66">
        <f>IFERROR(INDEX(tbl_Finance[Defer Start],$A189),"")</f>
        <v/>
      </c>
      <c r="I189" s="66">
        <f>IFERROR(INDEX(tbl_Finance[Defer End],$A189),"")</f>
        <v/>
      </c>
      <c r="J189" s="65">
        <f>IF(OR($H189="",$I189="",$G189=""),"",MAX(1,(YEAR($I189)-YEAR($H189))*12+MONTH($I189)-MONTH($H189)+1))</f>
        <v/>
      </c>
      <c r="K189" s="68">
        <f>IF($J189="","",$G189/$J189)</f>
        <v/>
      </c>
      <c r="L189" s="68">
        <f>IF($J189="",0,$K189*MAX(0,MIN(YEAR($C$3)*12+MONTH($C$3),YEAR($I189)*12+MONTH($I189))-(YEAR($H189)*12+MONTH($H189))+1))</f>
        <v/>
      </c>
      <c r="M189" s="68">
        <f>IF($J189="",0,$K189*MAX(0,MIN(YEAR($C$3)*12+MONTH($C$3)-1,YEAR($I189)*12+MONTH($I189))-(YEAR($H189)*12+MONTH($H189))+1))</f>
        <v/>
      </c>
      <c r="N189" s="68">
        <f>IF(OR($J189="",$B189=""),0,IF(YEAR($B189)*12+MONTH($B189)&lt;=YEAR($C$3)*12+MONTH($C$3),$G189,0))</f>
        <v/>
      </c>
      <c r="O189" s="68">
        <f>IF(OR($J189="",$B189=""),0,IF(YEAR($B189)*12+MONTH($B189)&lt;=YEAR($C$3)*12+MONTH($C$3)-1,$G189,0))</f>
        <v/>
      </c>
      <c r="P189" s="68">
        <f>$M189-$O189</f>
        <v/>
      </c>
      <c r="Q189" s="68">
        <f>($L189-$M189)-($N189-$O189)</f>
        <v/>
      </c>
      <c r="R189" s="68">
        <f>$L189-$N189</f>
        <v/>
      </c>
      <c r="S189" s="67">
        <f>"Finance invoice"</f>
        <v/>
      </c>
      <c r="T189" s="67">
        <f>"Revenue"</f>
        <v/>
      </c>
    </row>
    <row r="190">
      <c r="A190" s="65">
        <f>ROW()-5</f>
        <v/>
      </c>
      <c r="B190" s="66">
        <f>IFERROR(INDEX(tbl_Finance[Date],$A190),"")</f>
        <v/>
      </c>
      <c r="C190" s="67">
        <f>IFERROR(INDEX(tbl_Finance[Xero Invoice No],$A190),"")</f>
        <v/>
      </c>
      <c r="D190" s="67">
        <f>IFERROR(INDEX(tbl_Finance[Client],$A190),"")</f>
        <v/>
      </c>
      <c r="E190" s="67">
        <f>IFERROR(INDEX(tbl_Finance[Job Number],$A190),"")</f>
        <v/>
      </c>
      <c r="F190" s="67">
        <f>IFERROR(INDEX(tbl_Finance[Cost Centre],$A190),"")</f>
        <v/>
      </c>
      <c r="G190" s="68">
        <f>IFERROR(INDEX(tbl_Finance[Ex GST],$A190),"")</f>
        <v/>
      </c>
      <c r="H190" s="66">
        <f>IFERROR(INDEX(tbl_Finance[Defer Start],$A190),"")</f>
        <v/>
      </c>
      <c r="I190" s="66">
        <f>IFERROR(INDEX(tbl_Finance[Defer End],$A190),"")</f>
        <v/>
      </c>
      <c r="J190" s="65">
        <f>IF(OR($H190="",$I190="",$G190=""),"",MAX(1,(YEAR($I190)-YEAR($H190))*12+MONTH($I190)-MONTH($H190)+1))</f>
        <v/>
      </c>
      <c r="K190" s="68">
        <f>IF($J190="","",$G190/$J190)</f>
        <v/>
      </c>
      <c r="L190" s="68">
        <f>IF($J190="",0,$K190*MAX(0,MIN(YEAR($C$3)*12+MONTH($C$3),YEAR($I190)*12+MONTH($I190))-(YEAR($H190)*12+MONTH($H190))+1))</f>
        <v/>
      </c>
      <c r="M190" s="68">
        <f>IF($J190="",0,$K190*MAX(0,MIN(YEAR($C$3)*12+MONTH($C$3)-1,YEAR($I190)*12+MONTH($I190))-(YEAR($H190)*12+MONTH($H190))+1))</f>
        <v/>
      </c>
      <c r="N190" s="68">
        <f>IF(OR($J190="",$B190=""),0,IF(YEAR($B190)*12+MONTH($B190)&lt;=YEAR($C$3)*12+MONTH($C$3),$G190,0))</f>
        <v/>
      </c>
      <c r="O190" s="68">
        <f>IF(OR($J190="",$B190=""),0,IF(YEAR($B190)*12+MONTH($B190)&lt;=YEAR($C$3)*12+MONTH($C$3)-1,$G190,0))</f>
        <v/>
      </c>
      <c r="P190" s="68">
        <f>$M190-$O190</f>
        <v/>
      </c>
      <c r="Q190" s="68">
        <f>($L190-$M190)-($N190-$O190)</f>
        <v/>
      </c>
      <c r="R190" s="68">
        <f>$L190-$N190</f>
        <v/>
      </c>
      <c r="S190" s="67">
        <f>"Finance invoice"</f>
        <v/>
      </c>
      <c r="T190" s="67">
        <f>"Revenue"</f>
        <v/>
      </c>
    </row>
    <row r="191">
      <c r="A191" s="65">
        <f>ROW()-5</f>
        <v/>
      </c>
      <c r="B191" s="66">
        <f>IFERROR(INDEX(tbl_Finance[Date],$A191),"")</f>
        <v/>
      </c>
      <c r="C191" s="67">
        <f>IFERROR(INDEX(tbl_Finance[Xero Invoice No],$A191),"")</f>
        <v/>
      </c>
      <c r="D191" s="67">
        <f>IFERROR(INDEX(tbl_Finance[Client],$A191),"")</f>
        <v/>
      </c>
      <c r="E191" s="67">
        <f>IFERROR(INDEX(tbl_Finance[Job Number],$A191),"")</f>
        <v/>
      </c>
      <c r="F191" s="67">
        <f>IFERROR(INDEX(tbl_Finance[Cost Centre],$A191),"")</f>
        <v/>
      </c>
      <c r="G191" s="68">
        <f>IFERROR(INDEX(tbl_Finance[Ex GST],$A191),"")</f>
        <v/>
      </c>
      <c r="H191" s="66">
        <f>IFERROR(INDEX(tbl_Finance[Defer Start],$A191),"")</f>
        <v/>
      </c>
      <c r="I191" s="66">
        <f>IFERROR(INDEX(tbl_Finance[Defer End],$A191),"")</f>
        <v/>
      </c>
      <c r="J191" s="65">
        <f>IF(OR($H191="",$I191="",$G191=""),"",MAX(1,(YEAR($I191)-YEAR($H191))*12+MONTH($I191)-MONTH($H191)+1))</f>
        <v/>
      </c>
      <c r="K191" s="68">
        <f>IF($J191="","",$G191/$J191)</f>
        <v/>
      </c>
      <c r="L191" s="68">
        <f>IF($J191="",0,$K191*MAX(0,MIN(YEAR($C$3)*12+MONTH($C$3),YEAR($I191)*12+MONTH($I191))-(YEAR($H191)*12+MONTH($H191))+1))</f>
        <v/>
      </c>
      <c r="M191" s="68">
        <f>IF($J191="",0,$K191*MAX(0,MIN(YEAR($C$3)*12+MONTH($C$3)-1,YEAR($I191)*12+MONTH($I191))-(YEAR($H191)*12+MONTH($H191))+1))</f>
        <v/>
      </c>
      <c r="N191" s="68">
        <f>IF(OR($J191="",$B191=""),0,IF(YEAR($B191)*12+MONTH($B191)&lt;=YEAR($C$3)*12+MONTH($C$3),$G191,0))</f>
        <v/>
      </c>
      <c r="O191" s="68">
        <f>IF(OR($J191="",$B191=""),0,IF(YEAR($B191)*12+MONTH($B191)&lt;=YEAR($C$3)*12+MONTH($C$3)-1,$G191,0))</f>
        <v/>
      </c>
      <c r="P191" s="68">
        <f>$M191-$O191</f>
        <v/>
      </c>
      <c r="Q191" s="68">
        <f>($L191-$M191)-($N191-$O191)</f>
        <v/>
      </c>
      <c r="R191" s="68">
        <f>$L191-$N191</f>
        <v/>
      </c>
      <c r="S191" s="67">
        <f>"Finance invoice"</f>
        <v/>
      </c>
      <c r="T191" s="67">
        <f>"Revenue"</f>
        <v/>
      </c>
    </row>
    <row r="192">
      <c r="A192" s="65">
        <f>ROW()-5</f>
        <v/>
      </c>
      <c r="B192" s="66">
        <f>IFERROR(INDEX(tbl_Finance[Date],$A192),"")</f>
        <v/>
      </c>
      <c r="C192" s="67">
        <f>IFERROR(INDEX(tbl_Finance[Xero Invoice No],$A192),"")</f>
        <v/>
      </c>
      <c r="D192" s="67">
        <f>IFERROR(INDEX(tbl_Finance[Client],$A192),"")</f>
        <v/>
      </c>
      <c r="E192" s="67">
        <f>IFERROR(INDEX(tbl_Finance[Job Number],$A192),"")</f>
        <v/>
      </c>
      <c r="F192" s="67">
        <f>IFERROR(INDEX(tbl_Finance[Cost Centre],$A192),"")</f>
        <v/>
      </c>
      <c r="G192" s="68">
        <f>IFERROR(INDEX(tbl_Finance[Ex GST],$A192),"")</f>
        <v/>
      </c>
      <c r="H192" s="66">
        <f>IFERROR(INDEX(tbl_Finance[Defer Start],$A192),"")</f>
        <v/>
      </c>
      <c r="I192" s="66">
        <f>IFERROR(INDEX(tbl_Finance[Defer End],$A192),"")</f>
        <v/>
      </c>
      <c r="J192" s="65">
        <f>IF(OR($H192="",$I192="",$G192=""),"",MAX(1,(YEAR($I192)-YEAR($H192))*12+MONTH($I192)-MONTH($H192)+1))</f>
        <v/>
      </c>
      <c r="K192" s="68">
        <f>IF($J192="","",$G192/$J192)</f>
        <v/>
      </c>
      <c r="L192" s="68">
        <f>IF($J192="",0,$K192*MAX(0,MIN(YEAR($C$3)*12+MONTH($C$3),YEAR($I192)*12+MONTH($I192))-(YEAR($H192)*12+MONTH($H192))+1))</f>
        <v/>
      </c>
      <c r="M192" s="68">
        <f>IF($J192="",0,$K192*MAX(0,MIN(YEAR($C$3)*12+MONTH($C$3)-1,YEAR($I192)*12+MONTH($I192))-(YEAR($H192)*12+MONTH($H192))+1))</f>
        <v/>
      </c>
      <c r="N192" s="68">
        <f>IF(OR($J192="",$B192=""),0,IF(YEAR($B192)*12+MONTH($B192)&lt;=YEAR($C$3)*12+MONTH($C$3),$G192,0))</f>
        <v/>
      </c>
      <c r="O192" s="68">
        <f>IF(OR($J192="",$B192=""),0,IF(YEAR($B192)*12+MONTH($B192)&lt;=YEAR($C$3)*12+MONTH($C$3)-1,$G192,0))</f>
        <v/>
      </c>
      <c r="P192" s="68">
        <f>$M192-$O192</f>
        <v/>
      </c>
      <c r="Q192" s="68">
        <f>($L192-$M192)-($N192-$O192)</f>
        <v/>
      </c>
      <c r="R192" s="68">
        <f>$L192-$N192</f>
        <v/>
      </c>
      <c r="S192" s="67">
        <f>"Finance invoice"</f>
        <v/>
      </c>
      <c r="T192" s="67">
        <f>"Revenue"</f>
        <v/>
      </c>
    </row>
    <row r="193">
      <c r="A193" s="65">
        <f>ROW()-5</f>
        <v/>
      </c>
      <c r="B193" s="66">
        <f>IFERROR(INDEX(tbl_Finance[Date],$A193),"")</f>
        <v/>
      </c>
      <c r="C193" s="67">
        <f>IFERROR(INDEX(tbl_Finance[Xero Invoice No],$A193),"")</f>
        <v/>
      </c>
      <c r="D193" s="67">
        <f>IFERROR(INDEX(tbl_Finance[Client],$A193),"")</f>
        <v/>
      </c>
      <c r="E193" s="67">
        <f>IFERROR(INDEX(tbl_Finance[Job Number],$A193),"")</f>
        <v/>
      </c>
      <c r="F193" s="67">
        <f>IFERROR(INDEX(tbl_Finance[Cost Centre],$A193),"")</f>
        <v/>
      </c>
      <c r="G193" s="68">
        <f>IFERROR(INDEX(tbl_Finance[Ex GST],$A193),"")</f>
        <v/>
      </c>
      <c r="H193" s="66">
        <f>IFERROR(INDEX(tbl_Finance[Defer Start],$A193),"")</f>
        <v/>
      </c>
      <c r="I193" s="66">
        <f>IFERROR(INDEX(tbl_Finance[Defer End],$A193),"")</f>
        <v/>
      </c>
      <c r="J193" s="65">
        <f>IF(OR($H193="",$I193="",$G193=""),"",MAX(1,(YEAR($I193)-YEAR($H193))*12+MONTH($I193)-MONTH($H193)+1))</f>
        <v/>
      </c>
      <c r="K193" s="68">
        <f>IF($J193="","",$G193/$J193)</f>
        <v/>
      </c>
      <c r="L193" s="68">
        <f>IF($J193="",0,$K193*MAX(0,MIN(YEAR($C$3)*12+MONTH($C$3),YEAR($I193)*12+MONTH($I193))-(YEAR($H193)*12+MONTH($H193))+1))</f>
        <v/>
      </c>
      <c r="M193" s="68">
        <f>IF($J193="",0,$K193*MAX(0,MIN(YEAR($C$3)*12+MONTH($C$3)-1,YEAR($I193)*12+MONTH($I193))-(YEAR($H193)*12+MONTH($H193))+1))</f>
        <v/>
      </c>
      <c r="N193" s="68">
        <f>IF(OR($J193="",$B193=""),0,IF(YEAR($B193)*12+MONTH($B193)&lt;=YEAR($C$3)*12+MONTH($C$3),$G193,0))</f>
        <v/>
      </c>
      <c r="O193" s="68">
        <f>IF(OR($J193="",$B193=""),0,IF(YEAR($B193)*12+MONTH($B193)&lt;=YEAR($C$3)*12+MONTH($C$3)-1,$G193,0))</f>
        <v/>
      </c>
      <c r="P193" s="68">
        <f>$M193-$O193</f>
        <v/>
      </c>
      <c r="Q193" s="68">
        <f>($L193-$M193)-($N193-$O193)</f>
        <v/>
      </c>
      <c r="R193" s="68">
        <f>$L193-$N193</f>
        <v/>
      </c>
      <c r="S193" s="67">
        <f>"Finance invoice"</f>
        <v/>
      </c>
      <c r="T193" s="67">
        <f>"Revenue"</f>
        <v/>
      </c>
    </row>
    <row r="194">
      <c r="A194" s="65">
        <f>ROW()-5</f>
        <v/>
      </c>
      <c r="B194" s="66">
        <f>IFERROR(INDEX(tbl_Finance[Date],$A194),"")</f>
        <v/>
      </c>
      <c r="C194" s="67">
        <f>IFERROR(INDEX(tbl_Finance[Xero Invoice No],$A194),"")</f>
        <v/>
      </c>
      <c r="D194" s="67">
        <f>IFERROR(INDEX(tbl_Finance[Client],$A194),"")</f>
        <v/>
      </c>
      <c r="E194" s="67">
        <f>IFERROR(INDEX(tbl_Finance[Job Number],$A194),"")</f>
        <v/>
      </c>
      <c r="F194" s="67">
        <f>IFERROR(INDEX(tbl_Finance[Cost Centre],$A194),"")</f>
        <v/>
      </c>
      <c r="G194" s="68">
        <f>IFERROR(INDEX(tbl_Finance[Ex GST],$A194),"")</f>
        <v/>
      </c>
      <c r="H194" s="66">
        <f>IFERROR(INDEX(tbl_Finance[Defer Start],$A194),"")</f>
        <v/>
      </c>
      <c r="I194" s="66">
        <f>IFERROR(INDEX(tbl_Finance[Defer End],$A194),"")</f>
        <v/>
      </c>
      <c r="J194" s="65">
        <f>IF(OR($H194="",$I194="",$G194=""),"",MAX(1,(YEAR($I194)-YEAR($H194))*12+MONTH($I194)-MONTH($H194)+1))</f>
        <v/>
      </c>
      <c r="K194" s="68">
        <f>IF($J194="","",$G194/$J194)</f>
        <v/>
      </c>
      <c r="L194" s="68">
        <f>IF($J194="",0,$K194*MAX(0,MIN(YEAR($C$3)*12+MONTH($C$3),YEAR($I194)*12+MONTH($I194))-(YEAR($H194)*12+MONTH($H194))+1))</f>
        <v/>
      </c>
      <c r="M194" s="68">
        <f>IF($J194="",0,$K194*MAX(0,MIN(YEAR($C$3)*12+MONTH($C$3)-1,YEAR($I194)*12+MONTH($I194))-(YEAR($H194)*12+MONTH($H194))+1))</f>
        <v/>
      </c>
      <c r="N194" s="68">
        <f>IF(OR($J194="",$B194=""),0,IF(YEAR($B194)*12+MONTH($B194)&lt;=YEAR($C$3)*12+MONTH($C$3),$G194,0))</f>
        <v/>
      </c>
      <c r="O194" s="68">
        <f>IF(OR($J194="",$B194=""),0,IF(YEAR($B194)*12+MONTH($B194)&lt;=YEAR($C$3)*12+MONTH($C$3)-1,$G194,0))</f>
        <v/>
      </c>
      <c r="P194" s="68">
        <f>$M194-$O194</f>
        <v/>
      </c>
      <c r="Q194" s="68">
        <f>($L194-$M194)-($N194-$O194)</f>
        <v/>
      </c>
      <c r="R194" s="68">
        <f>$L194-$N194</f>
        <v/>
      </c>
      <c r="S194" s="67">
        <f>"Finance invoice"</f>
        <v/>
      </c>
      <c r="T194" s="67">
        <f>"Revenue"</f>
        <v/>
      </c>
    </row>
    <row r="195">
      <c r="A195" s="65">
        <f>ROW()-5</f>
        <v/>
      </c>
      <c r="B195" s="66">
        <f>IFERROR(INDEX(tbl_Finance[Date],$A195),"")</f>
        <v/>
      </c>
      <c r="C195" s="67">
        <f>IFERROR(INDEX(tbl_Finance[Xero Invoice No],$A195),"")</f>
        <v/>
      </c>
      <c r="D195" s="67">
        <f>IFERROR(INDEX(tbl_Finance[Client],$A195),"")</f>
        <v/>
      </c>
      <c r="E195" s="67">
        <f>IFERROR(INDEX(tbl_Finance[Job Number],$A195),"")</f>
        <v/>
      </c>
      <c r="F195" s="67">
        <f>IFERROR(INDEX(tbl_Finance[Cost Centre],$A195),"")</f>
        <v/>
      </c>
      <c r="G195" s="68">
        <f>IFERROR(INDEX(tbl_Finance[Ex GST],$A195),"")</f>
        <v/>
      </c>
      <c r="H195" s="66">
        <f>IFERROR(INDEX(tbl_Finance[Defer Start],$A195),"")</f>
        <v/>
      </c>
      <c r="I195" s="66">
        <f>IFERROR(INDEX(tbl_Finance[Defer End],$A195),"")</f>
        <v/>
      </c>
      <c r="J195" s="65">
        <f>IF(OR($H195="",$I195="",$G195=""),"",MAX(1,(YEAR($I195)-YEAR($H195))*12+MONTH($I195)-MONTH($H195)+1))</f>
        <v/>
      </c>
      <c r="K195" s="68">
        <f>IF($J195="","",$G195/$J195)</f>
        <v/>
      </c>
      <c r="L195" s="68">
        <f>IF($J195="",0,$K195*MAX(0,MIN(YEAR($C$3)*12+MONTH($C$3),YEAR($I195)*12+MONTH($I195))-(YEAR($H195)*12+MONTH($H195))+1))</f>
        <v/>
      </c>
      <c r="M195" s="68">
        <f>IF($J195="",0,$K195*MAX(0,MIN(YEAR($C$3)*12+MONTH($C$3)-1,YEAR($I195)*12+MONTH($I195))-(YEAR($H195)*12+MONTH($H195))+1))</f>
        <v/>
      </c>
      <c r="N195" s="68">
        <f>IF(OR($J195="",$B195=""),0,IF(YEAR($B195)*12+MONTH($B195)&lt;=YEAR($C$3)*12+MONTH($C$3),$G195,0))</f>
        <v/>
      </c>
      <c r="O195" s="68">
        <f>IF(OR($J195="",$B195=""),0,IF(YEAR($B195)*12+MONTH($B195)&lt;=YEAR($C$3)*12+MONTH($C$3)-1,$G195,0))</f>
        <v/>
      </c>
      <c r="P195" s="68">
        <f>$M195-$O195</f>
        <v/>
      </c>
      <c r="Q195" s="68">
        <f>($L195-$M195)-($N195-$O195)</f>
        <v/>
      </c>
      <c r="R195" s="68">
        <f>$L195-$N195</f>
        <v/>
      </c>
      <c r="S195" s="67">
        <f>"Finance invoice"</f>
        <v/>
      </c>
      <c r="T195" s="67">
        <f>"Revenue"</f>
        <v/>
      </c>
    </row>
    <row r="196">
      <c r="A196" s="65">
        <f>ROW()-5</f>
        <v/>
      </c>
      <c r="B196" s="66">
        <f>IFERROR(INDEX(tbl_Finance[Date],$A196),"")</f>
        <v/>
      </c>
      <c r="C196" s="67">
        <f>IFERROR(INDEX(tbl_Finance[Xero Invoice No],$A196),"")</f>
        <v/>
      </c>
      <c r="D196" s="67">
        <f>IFERROR(INDEX(tbl_Finance[Client],$A196),"")</f>
        <v/>
      </c>
      <c r="E196" s="67">
        <f>IFERROR(INDEX(tbl_Finance[Job Number],$A196),"")</f>
        <v/>
      </c>
      <c r="F196" s="67">
        <f>IFERROR(INDEX(tbl_Finance[Cost Centre],$A196),"")</f>
        <v/>
      </c>
      <c r="G196" s="68">
        <f>IFERROR(INDEX(tbl_Finance[Ex GST],$A196),"")</f>
        <v/>
      </c>
      <c r="H196" s="66">
        <f>IFERROR(INDEX(tbl_Finance[Defer Start],$A196),"")</f>
        <v/>
      </c>
      <c r="I196" s="66">
        <f>IFERROR(INDEX(tbl_Finance[Defer End],$A196),"")</f>
        <v/>
      </c>
      <c r="J196" s="65">
        <f>IF(OR($H196="",$I196="",$G196=""),"",MAX(1,(YEAR($I196)-YEAR($H196))*12+MONTH($I196)-MONTH($H196)+1))</f>
        <v/>
      </c>
      <c r="K196" s="68">
        <f>IF($J196="","",$G196/$J196)</f>
        <v/>
      </c>
      <c r="L196" s="68">
        <f>IF($J196="",0,$K196*MAX(0,MIN(YEAR($C$3)*12+MONTH($C$3),YEAR($I196)*12+MONTH($I196))-(YEAR($H196)*12+MONTH($H196))+1))</f>
        <v/>
      </c>
      <c r="M196" s="68">
        <f>IF($J196="",0,$K196*MAX(0,MIN(YEAR($C$3)*12+MONTH($C$3)-1,YEAR($I196)*12+MONTH($I196))-(YEAR($H196)*12+MONTH($H196))+1))</f>
        <v/>
      </c>
      <c r="N196" s="68">
        <f>IF(OR($J196="",$B196=""),0,IF(YEAR($B196)*12+MONTH($B196)&lt;=YEAR($C$3)*12+MONTH($C$3),$G196,0))</f>
        <v/>
      </c>
      <c r="O196" s="68">
        <f>IF(OR($J196="",$B196=""),0,IF(YEAR($B196)*12+MONTH($B196)&lt;=YEAR($C$3)*12+MONTH($C$3)-1,$G196,0))</f>
        <v/>
      </c>
      <c r="P196" s="68">
        <f>$M196-$O196</f>
        <v/>
      </c>
      <c r="Q196" s="68">
        <f>($L196-$M196)-($N196-$O196)</f>
        <v/>
      </c>
      <c r="R196" s="68">
        <f>$L196-$N196</f>
        <v/>
      </c>
      <c r="S196" s="67">
        <f>"Finance invoice"</f>
        <v/>
      </c>
      <c r="T196" s="67">
        <f>"Revenue"</f>
        <v/>
      </c>
    </row>
    <row r="197">
      <c r="A197" s="65">
        <f>ROW()-5</f>
        <v/>
      </c>
      <c r="B197" s="66">
        <f>IFERROR(INDEX(tbl_Finance[Date],$A197),"")</f>
        <v/>
      </c>
      <c r="C197" s="67">
        <f>IFERROR(INDEX(tbl_Finance[Xero Invoice No],$A197),"")</f>
        <v/>
      </c>
      <c r="D197" s="67">
        <f>IFERROR(INDEX(tbl_Finance[Client],$A197),"")</f>
        <v/>
      </c>
      <c r="E197" s="67">
        <f>IFERROR(INDEX(tbl_Finance[Job Number],$A197),"")</f>
        <v/>
      </c>
      <c r="F197" s="67">
        <f>IFERROR(INDEX(tbl_Finance[Cost Centre],$A197),"")</f>
        <v/>
      </c>
      <c r="G197" s="68">
        <f>IFERROR(INDEX(tbl_Finance[Ex GST],$A197),"")</f>
        <v/>
      </c>
      <c r="H197" s="66">
        <f>IFERROR(INDEX(tbl_Finance[Defer Start],$A197),"")</f>
        <v/>
      </c>
      <c r="I197" s="66">
        <f>IFERROR(INDEX(tbl_Finance[Defer End],$A197),"")</f>
        <v/>
      </c>
      <c r="J197" s="65">
        <f>IF(OR($H197="",$I197="",$G197=""),"",MAX(1,(YEAR($I197)-YEAR($H197))*12+MONTH($I197)-MONTH($H197)+1))</f>
        <v/>
      </c>
      <c r="K197" s="68">
        <f>IF($J197="","",$G197/$J197)</f>
        <v/>
      </c>
      <c r="L197" s="68">
        <f>IF($J197="",0,$K197*MAX(0,MIN(YEAR($C$3)*12+MONTH($C$3),YEAR($I197)*12+MONTH($I197))-(YEAR($H197)*12+MONTH($H197))+1))</f>
        <v/>
      </c>
      <c r="M197" s="68">
        <f>IF($J197="",0,$K197*MAX(0,MIN(YEAR($C$3)*12+MONTH($C$3)-1,YEAR($I197)*12+MONTH($I197))-(YEAR($H197)*12+MONTH($H197))+1))</f>
        <v/>
      </c>
      <c r="N197" s="68">
        <f>IF(OR($J197="",$B197=""),0,IF(YEAR($B197)*12+MONTH($B197)&lt;=YEAR($C$3)*12+MONTH($C$3),$G197,0))</f>
        <v/>
      </c>
      <c r="O197" s="68">
        <f>IF(OR($J197="",$B197=""),0,IF(YEAR($B197)*12+MONTH($B197)&lt;=YEAR($C$3)*12+MONTH($C$3)-1,$G197,0))</f>
        <v/>
      </c>
      <c r="P197" s="68">
        <f>$M197-$O197</f>
        <v/>
      </c>
      <c r="Q197" s="68">
        <f>($L197-$M197)-($N197-$O197)</f>
        <v/>
      </c>
      <c r="R197" s="68">
        <f>$L197-$N197</f>
        <v/>
      </c>
      <c r="S197" s="67">
        <f>"Finance invoice"</f>
        <v/>
      </c>
      <c r="T197" s="67">
        <f>"Revenue"</f>
        <v/>
      </c>
    </row>
    <row r="198">
      <c r="A198" s="65">
        <f>ROW()-5</f>
        <v/>
      </c>
      <c r="B198" s="66">
        <f>IFERROR(INDEX(tbl_Finance[Date],$A198),"")</f>
        <v/>
      </c>
      <c r="C198" s="67">
        <f>IFERROR(INDEX(tbl_Finance[Xero Invoice No],$A198),"")</f>
        <v/>
      </c>
      <c r="D198" s="67">
        <f>IFERROR(INDEX(tbl_Finance[Client],$A198),"")</f>
        <v/>
      </c>
      <c r="E198" s="67">
        <f>IFERROR(INDEX(tbl_Finance[Job Number],$A198),"")</f>
        <v/>
      </c>
      <c r="F198" s="67">
        <f>IFERROR(INDEX(tbl_Finance[Cost Centre],$A198),"")</f>
        <v/>
      </c>
      <c r="G198" s="68">
        <f>IFERROR(INDEX(tbl_Finance[Ex GST],$A198),"")</f>
        <v/>
      </c>
      <c r="H198" s="66">
        <f>IFERROR(INDEX(tbl_Finance[Defer Start],$A198),"")</f>
        <v/>
      </c>
      <c r="I198" s="66">
        <f>IFERROR(INDEX(tbl_Finance[Defer End],$A198),"")</f>
        <v/>
      </c>
      <c r="J198" s="65">
        <f>IF(OR($H198="",$I198="",$G198=""),"",MAX(1,(YEAR($I198)-YEAR($H198))*12+MONTH($I198)-MONTH($H198)+1))</f>
        <v/>
      </c>
      <c r="K198" s="68">
        <f>IF($J198="","",$G198/$J198)</f>
        <v/>
      </c>
      <c r="L198" s="68">
        <f>IF($J198="",0,$K198*MAX(0,MIN(YEAR($C$3)*12+MONTH($C$3),YEAR($I198)*12+MONTH($I198))-(YEAR($H198)*12+MONTH($H198))+1))</f>
        <v/>
      </c>
      <c r="M198" s="68">
        <f>IF($J198="",0,$K198*MAX(0,MIN(YEAR($C$3)*12+MONTH($C$3)-1,YEAR($I198)*12+MONTH($I198))-(YEAR($H198)*12+MONTH($H198))+1))</f>
        <v/>
      </c>
      <c r="N198" s="68">
        <f>IF(OR($J198="",$B198=""),0,IF(YEAR($B198)*12+MONTH($B198)&lt;=YEAR($C$3)*12+MONTH($C$3),$G198,0))</f>
        <v/>
      </c>
      <c r="O198" s="68">
        <f>IF(OR($J198="",$B198=""),0,IF(YEAR($B198)*12+MONTH($B198)&lt;=YEAR($C$3)*12+MONTH($C$3)-1,$G198,0))</f>
        <v/>
      </c>
      <c r="P198" s="68">
        <f>$M198-$O198</f>
        <v/>
      </c>
      <c r="Q198" s="68">
        <f>($L198-$M198)-($N198-$O198)</f>
        <v/>
      </c>
      <c r="R198" s="68">
        <f>$L198-$N198</f>
        <v/>
      </c>
      <c r="S198" s="67">
        <f>"Finance invoice"</f>
        <v/>
      </c>
      <c r="T198" s="67">
        <f>"Revenue"</f>
        <v/>
      </c>
    </row>
    <row r="199">
      <c r="A199" s="65">
        <f>ROW()-5</f>
        <v/>
      </c>
      <c r="B199" s="66">
        <f>IFERROR(INDEX(tbl_Finance[Date],$A199),"")</f>
        <v/>
      </c>
      <c r="C199" s="67">
        <f>IFERROR(INDEX(tbl_Finance[Xero Invoice No],$A199),"")</f>
        <v/>
      </c>
      <c r="D199" s="67">
        <f>IFERROR(INDEX(tbl_Finance[Client],$A199),"")</f>
        <v/>
      </c>
      <c r="E199" s="67">
        <f>IFERROR(INDEX(tbl_Finance[Job Number],$A199),"")</f>
        <v/>
      </c>
      <c r="F199" s="67">
        <f>IFERROR(INDEX(tbl_Finance[Cost Centre],$A199),"")</f>
        <v/>
      </c>
      <c r="G199" s="68">
        <f>IFERROR(INDEX(tbl_Finance[Ex GST],$A199),"")</f>
        <v/>
      </c>
      <c r="H199" s="66">
        <f>IFERROR(INDEX(tbl_Finance[Defer Start],$A199),"")</f>
        <v/>
      </c>
      <c r="I199" s="66">
        <f>IFERROR(INDEX(tbl_Finance[Defer End],$A199),"")</f>
        <v/>
      </c>
      <c r="J199" s="65">
        <f>IF(OR($H199="",$I199="",$G199=""),"",MAX(1,(YEAR($I199)-YEAR($H199))*12+MONTH($I199)-MONTH($H199)+1))</f>
        <v/>
      </c>
      <c r="K199" s="68">
        <f>IF($J199="","",$G199/$J199)</f>
        <v/>
      </c>
      <c r="L199" s="68">
        <f>IF($J199="",0,$K199*MAX(0,MIN(YEAR($C$3)*12+MONTH($C$3),YEAR($I199)*12+MONTH($I199))-(YEAR($H199)*12+MONTH($H199))+1))</f>
        <v/>
      </c>
      <c r="M199" s="68">
        <f>IF($J199="",0,$K199*MAX(0,MIN(YEAR($C$3)*12+MONTH($C$3)-1,YEAR($I199)*12+MONTH($I199))-(YEAR($H199)*12+MONTH($H199))+1))</f>
        <v/>
      </c>
      <c r="N199" s="68">
        <f>IF(OR($J199="",$B199=""),0,IF(YEAR($B199)*12+MONTH($B199)&lt;=YEAR($C$3)*12+MONTH($C$3),$G199,0))</f>
        <v/>
      </c>
      <c r="O199" s="68">
        <f>IF(OR($J199="",$B199=""),0,IF(YEAR($B199)*12+MONTH($B199)&lt;=YEAR($C$3)*12+MONTH($C$3)-1,$G199,0))</f>
        <v/>
      </c>
      <c r="P199" s="68">
        <f>$M199-$O199</f>
        <v/>
      </c>
      <c r="Q199" s="68">
        <f>($L199-$M199)-($N199-$O199)</f>
        <v/>
      </c>
      <c r="R199" s="68">
        <f>$L199-$N199</f>
        <v/>
      </c>
      <c r="S199" s="67">
        <f>"Finance invoice"</f>
        <v/>
      </c>
      <c r="T199" s="67">
        <f>"Revenue"</f>
        <v/>
      </c>
    </row>
    <row r="200">
      <c r="A200" s="65">
        <f>ROW()-5</f>
        <v/>
      </c>
      <c r="B200" s="66">
        <f>IFERROR(INDEX(tbl_Finance[Date],$A200),"")</f>
        <v/>
      </c>
      <c r="C200" s="67">
        <f>IFERROR(INDEX(tbl_Finance[Xero Invoice No],$A200),"")</f>
        <v/>
      </c>
      <c r="D200" s="67">
        <f>IFERROR(INDEX(tbl_Finance[Client],$A200),"")</f>
        <v/>
      </c>
      <c r="E200" s="67">
        <f>IFERROR(INDEX(tbl_Finance[Job Number],$A200),"")</f>
        <v/>
      </c>
      <c r="F200" s="67">
        <f>IFERROR(INDEX(tbl_Finance[Cost Centre],$A200),"")</f>
        <v/>
      </c>
      <c r="G200" s="68">
        <f>IFERROR(INDEX(tbl_Finance[Ex GST],$A200),"")</f>
        <v/>
      </c>
      <c r="H200" s="66">
        <f>IFERROR(INDEX(tbl_Finance[Defer Start],$A200),"")</f>
        <v/>
      </c>
      <c r="I200" s="66">
        <f>IFERROR(INDEX(tbl_Finance[Defer End],$A200),"")</f>
        <v/>
      </c>
      <c r="J200" s="65">
        <f>IF(OR($H200="",$I200="",$G200=""),"",MAX(1,(YEAR($I200)-YEAR($H200))*12+MONTH($I200)-MONTH($H200)+1))</f>
        <v/>
      </c>
      <c r="K200" s="68">
        <f>IF($J200="","",$G200/$J200)</f>
        <v/>
      </c>
      <c r="L200" s="68">
        <f>IF($J200="",0,$K200*MAX(0,MIN(YEAR($C$3)*12+MONTH($C$3),YEAR($I200)*12+MONTH($I200))-(YEAR($H200)*12+MONTH($H200))+1))</f>
        <v/>
      </c>
      <c r="M200" s="68">
        <f>IF($J200="",0,$K200*MAX(0,MIN(YEAR($C$3)*12+MONTH($C$3)-1,YEAR($I200)*12+MONTH($I200))-(YEAR($H200)*12+MONTH($H200))+1))</f>
        <v/>
      </c>
      <c r="N200" s="68">
        <f>IF(OR($J200="",$B200=""),0,IF(YEAR($B200)*12+MONTH($B200)&lt;=YEAR($C$3)*12+MONTH($C$3),$G200,0))</f>
        <v/>
      </c>
      <c r="O200" s="68">
        <f>IF(OR($J200="",$B200=""),0,IF(YEAR($B200)*12+MONTH($B200)&lt;=YEAR($C$3)*12+MONTH($C$3)-1,$G200,0))</f>
        <v/>
      </c>
      <c r="P200" s="68">
        <f>$M200-$O200</f>
        <v/>
      </c>
      <c r="Q200" s="68">
        <f>($L200-$M200)-($N200-$O200)</f>
        <v/>
      </c>
      <c r="R200" s="68">
        <f>$L200-$N200</f>
        <v/>
      </c>
      <c r="S200" s="67">
        <f>"Finance invoice"</f>
        <v/>
      </c>
      <c r="T200" s="67">
        <f>"Revenue"</f>
        <v/>
      </c>
    </row>
    <row r="201">
      <c r="A201" s="65">
        <f>ROW()-5</f>
        <v/>
      </c>
      <c r="B201" s="66">
        <f>IFERROR(INDEX(tbl_Finance[Date],$A201),"")</f>
        <v/>
      </c>
      <c r="C201" s="67">
        <f>IFERROR(INDEX(tbl_Finance[Xero Invoice No],$A201),"")</f>
        <v/>
      </c>
      <c r="D201" s="67">
        <f>IFERROR(INDEX(tbl_Finance[Client],$A201),"")</f>
        <v/>
      </c>
      <c r="E201" s="67">
        <f>IFERROR(INDEX(tbl_Finance[Job Number],$A201),"")</f>
        <v/>
      </c>
      <c r="F201" s="67">
        <f>IFERROR(INDEX(tbl_Finance[Cost Centre],$A201),"")</f>
        <v/>
      </c>
      <c r="G201" s="68">
        <f>IFERROR(INDEX(tbl_Finance[Ex GST],$A201),"")</f>
        <v/>
      </c>
      <c r="H201" s="66">
        <f>IFERROR(INDEX(tbl_Finance[Defer Start],$A201),"")</f>
        <v/>
      </c>
      <c r="I201" s="66">
        <f>IFERROR(INDEX(tbl_Finance[Defer End],$A201),"")</f>
        <v/>
      </c>
      <c r="J201" s="65">
        <f>IF(OR($H201="",$I201="",$G201=""),"",MAX(1,(YEAR($I201)-YEAR($H201))*12+MONTH($I201)-MONTH($H201)+1))</f>
        <v/>
      </c>
      <c r="K201" s="68">
        <f>IF($J201="","",$G201/$J201)</f>
        <v/>
      </c>
      <c r="L201" s="68">
        <f>IF($J201="",0,$K201*MAX(0,MIN(YEAR($C$3)*12+MONTH($C$3),YEAR($I201)*12+MONTH($I201))-(YEAR($H201)*12+MONTH($H201))+1))</f>
        <v/>
      </c>
      <c r="M201" s="68">
        <f>IF($J201="",0,$K201*MAX(0,MIN(YEAR($C$3)*12+MONTH($C$3)-1,YEAR($I201)*12+MONTH($I201))-(YEAR($H201)*12+MONTH($H201))+1))</f>
        <v/>
      </c>
      <c r="N201" s="68">
        <f>IF(OR($J201="",$B201=""),0,IF(YEAR($B201)*12+MONTH($B201)&lt;=YEAR($C$3)*12+MONTH($C$3),$G201,0))</f>
        <v/>
      </c>
      <c r="O201" s="68">
        <f>IF(OR($J201="",$B201=""),0,IF(YEAR($B201)*12+MONTH($B201)&lt;=YEAR($C$3)*12+MONTH($C$3)-1,$G201,0))</f>
        <v/>
      </c>
      <c r="P201" s="68">
        <f>$M201-$O201</f>
        <v/>
      </c>
      <c r="Q201" s="68">
        <f>($L201-$M201)-($N201-$O201)</f>
        <v/>
      </c>
      <c r="R201" s="68">
        <f>$L201-$N201</f>
        <v/>
      </c>
      <c r="S201" s="67">
        <f>"Finance invoice"</f>
        <v/>
      </c>
      <c r="T201" s="67">
        <f>"Revenue"</f>
        <v/>
      </c>
    </row>
    <row r="202">
      <c r="A202" s="65">
        <f>ROW()-5</f>
        <v/>
      </c>
      <c r="B202" s="66">
        <f>IFERROR(INDEX(tbl_Finance[Date],$A202),"")</f>
        <v/>
      </c>
      <c r="C202" s="67">
        <f>IFERROR(INDEX(tbl_Finance[Xero Invoice No],$A202),"")</f>
        <v/>
      </c>
      <c r="D202" s="67">
        <f>IFERROR(INDEX(tbl_Finance[Client],$A202),"")</f>
        <v/>
      </c>
      <c r="E202" s="67">
        <f>IFERROR(INDEX(tbl_Finance[Job Number],$A202),"")</f>
        <v/>
      </c>
      <c r="F202" s="67">
        <f>IFERROR(INDEX(tbl_Finance[Cost Centre],$A202),"")</f>
        <v/>
      </c>
      <c r="G202" s="68">
        <f>IFERROR(INDEX(tbl_Finance[Ex GST],$A202),"")</f>
        <v/>
      </c>
      <c r="H202" s="66">
        <f>IFERROR(INDEX(tbl_Finance[Defer Start],$A202),"")</f>
        <v/>
      </c>
      <c r="I202" s="66">
        <f>IFERROR(INDEX(tbl_Finance[Defer End],$A202),"")</f>
        <v/>
      </c>
      <c r="J202" s="65">
        <f>IF(OR($H202="",$I202="",$G202=""),"",MAX(1,(YEAR($I202)-YEAR($H202))*12+MONTH($I202)-MONTH($H202)+1))</f>
        <v/>
      </c>
      <c r="K202" s="68">
        <f>IF($J202="","",$G202/$J202)</f>
        <v/>
      </c>
      <c r="L202" s="68">
        <f>IF($J202="",0,$K202*MAX(0,MIN(YEAR($C$3)*12+MONTH($C$3),YEAR($I202)*12+MONTH($I202))-(YEAR($H202)*12+MONTH($H202))+1))</f>
        <v/>
      </c>
      <c r="M202" s="68">
        <f>IF($J202="",0,$K202*MAX(0,MIN(YEAR($C$3)*12+MONTH($C$3)-1,YEAR($I202)*12+MONTH($I202))-(YEAR($H202)*12+MONTH($H202))+1))</f>
        <v/>
      </c>
      <c r="N202" s="68">
        <f>IF(OR($J202="",$B202=""),0,IF(YEAR($B202)*12+MONTH($B202)&lt;=YEAR($C$3)*12+MONTH($C$3),$G202,0))</f>
        <v/>
      </c>
      <c r="O202" s="68">
        <f>IF(OR($J202="",$B202=""),0,IF(YEAR($B202)*12+MONTH($B202)&lt;=YEAR($C$3)*12+MONTH($C$3)-1,$G202,0))</f>
        <v/>
      </c>
      <c r="P202" s="68">
        <f>$M202-$O202</f>
        <v/>
      </c>
      <c r="Q202" s="68">
        <f>($L202-$M202)-($N202-$O202)</f>
        <v/>
      </c>
      <c r="R202" s="68">
        <f>$L202-$N202</f>
        <v/>
      </c>
      <c r="S202" s="67">
        <f>"Finance invoice"</f>
        <v/>
      </c>
      <c r="T202" s="67">
        <f>"Revenue"</f>
        <v/>
      </c>
    </row>
    <row r="203">
      <c r="A203" s="65">
        <f>ROW()-5</f>
        <v/>
      </c>
      <c r="B203" s="66">
        <f>IFERROR(INDEX(tbl_Finance[Date],$A203),"")</f>
        <v/>
      </c>
      <c r="C203" s="67">
        <f>IFERROR(INDEX(tbl_Finance[Xero Invoice No],$A203),"")</f>
        <v/>
      </c>
      <c r="D203" s="67">
        <f>IFERROR(INDEX(tbl_Finance[Client],$A203),"")</f>
        <v/>
      </c>
      <c r="E203" s="67">
        <f>IFERROR(INDEX(tbl_Finance[Job Number],$A203),"")</f>
        <v/>
      </c>
      <c r="F203" s="67">
        <f>IFERROR(INDEX(tbl_Finance[Cost Centre],$A203),"")</f>
        <v/>
      </c>
      <c r="G203" s="68">
        <f>IFERROR(INDEX(tbl_Finance[Ex GST],$A203),"")</f>
        <v/>
      </c>
      <c r="H203" s="66">
        <f>IFERROR(INDEX(tbl_Finance[Defer Start],$A203),"")</f>
        <v/>
      </c>
      <c r="I203" s="66">
        <f>IFERROR(INDEX(tbl_Finance[Defer End],$A203),"")</f>
        <v/>
      </c>
      <c r="J203" s="65">
        <f>IF(OR($H203="",$I203="",$G203=""),"",MAX(1,(YEAR($I203)-YEAR($H203))*12+MONTH($I203)-MONTH($H203)+1))</f>
        <v/>
      </c>
      <c r="K203" s="68">
        <f>IF($J203="","",$G203/$J203)</f>
        <v/>
      </c>
      <c r="L203" s="68">
        <f>IF($J203="",0,$K203*MAX(0,MIN(YEAR($C$3)*12+MONTH($C$3),YEAR($I203)*12+MONTH($I203))-(YEAR($H203)*12+MONTH($H203))+1))</f>
        <v/>
      </c>
      <c r="M203" s="68">
        <f>IF($J203="",0,$K203*MAX(0,MIN(YEAR($C$3)*12+MONTH($C$3)-1,YEAR($I203)*12+MONTH($I203))-(YEAR($H203)*12+MONTH($H203))+1))</f>
        <v/>
      </c>
      <c r="N203" s="68">
        <f>IF(OR($J203="",$B203=""),0,IF(YEAR($B203)*12+MONTH($B203)&lt;=YEAR($C$3)*12+MONTH($C$3),$G203,0))</f>
        <v/>
      </c>
      <c r="O203" s="68">
        <f>IF(OR($J203="",$B203=""),0,IF(YEAR($B203)*12+MONTH($B203)&lt;=YEAR($C$3)*12+MONTH($C$3)-1,$G203,0))</f>
        <v/>
      </c>
      <c r="P203" s="68">
        <f>$M203-$O203</f>
        <v/>
      </c>
      <c r="Q203" s="68">
        <f>($L203-$M203)-($N203-$O203)</f>
        <v/>
      </c>
      <c r="R203" s="68">
        <f>$L203-$N203</f>
        <v/>
      </c>
      <c r="S203" s="67">
        <f>"Finance invoice"</f>
        <v/>
      </c>
      <c r="T203" s="67">
        <f>"Revenue"</f>
        <v/>
      </c>
    </row>
    <row r="204">
      <c r="A204" s="65">
        <f>ROW()-5</f>
        <v/>
      </c>
      <c r="B204" s="66">
        <f>IFERROR(INDEX(tbl_Finance[Date],$A204),"")</f>
        <v/>
      </c>
      <c r="C204" s="67">
        <f>IFERROR(INDEX(tbl_Finance[Xero Invoice No],$A204),"")</f>
        <v/>
      </c>
      <c r="D204" s="67">
        <f>IFERROR(INDEX(tbl_Finance[Client],$A204),"")</f>
        <v/>
      </c>
      <c r="E204" s="67">
        <f>IFERROR(INDEX(tbl_Finance[Job Number],$A204),"")</f>
        <v/>
      </c>
      <c r="F204" s="67">
        <f>IFERROR(INDEX(tbl_Finance[Cost Centre],$A204),"")</f>
        <v/>
      </c>
      <c r="G204" s="68">
        <f>IFERROR(INDEX(tbl_Finance[Ex GST],$A204),"")</f>
        <v/>
      </c>
      <c r="H204" s="66">
        <f>IFERROR(INDEX(tbl_Finance[Defer Start],$A204),"")</f>
        <v/>
      </c>
      <c r="I204" s="66">
        <f>IFERROR(INDEX(tbl_Finance[Defer End],$A204),"")</f>
        <v/>
      </c>
      <c r="J204" s="65">
        <f>IF(OR($H204="",$I204="",$G204=""),"",MAX(1,(YEAR($I204)-YEAR($H204))*12+MONTH($I204)-MONTH($H204)+1))</f>
        <v/>
      </c>
      <c r="K204" s="68">
        <f>IF($J204="","",$G204/$J204)</f>
        <v/>
      </c>
      <c r="L204" s="68">
        <f>IF($J204="",0,$K204*MAX(0,MIN(YEAR($C$3)*12+MONTH($C$3),YEAR($I204)*12+MONTH($I204))-(YEAR($H204)*12+MONTH($H204))+1))</f>
        <v/>
      </c>
      <c r="M204" s="68">
        <f>IF($J204="",0,$K204*MAX(0,MIN(YEAR($C$3)*12+MONTH($C$3)-1,YEAR($I204)*12+MONTH($I204))-(YEAR($H204)*12+MONTH($H204))+1))</f>
        <v/>
      </c>
      <c r="N204" s="68">
        <f>IF(OR($J204="",$B204=""),0,IF(YEAR($B204)*12+MONTH($B204)&lt;=YEAR($C$3)*12+MONTH($C$3),$G204,0))</f>
        <v/>
      </c>
      <c r="O204" s="68">
        <f>IF(OR($J204="",$B204=""),0,IF(YEAR($B204)*12+MONTH($B204)&lt;=YEAR($C$3)*12+MONTH($C$3)-1,$G204,0))</f>
        <v/>
      </c>
      <c r="P204" s="68">
        <f>$M204-$O204</f>
        <v/>
      </c>
      <c r="Q204" s="68">
        <f>($L204-$M204)-($N204-$O204)</f>
        <v/>
      </c>
      <c r="R204" s="68">
        <f>$L204-$N204</f>
        <v/>
      </c>
      <c r="S204" s="67">
        <f>"Finance invoice"</f>
        <v/>
      </c>
      <c r="T204" s="67">
        <f>"Revenue"</f>
        <v/>
      </c>
    </row>
    <row r="205">
      <c r="A205" s="65">
        <f>ROW()-5</f>
        <v/>
      </c>
      <c r="B205" s="66">
        <f>IFERROR(INDEX(tbl_Finance[Date],$A205),"")</f>
        <v/>
      </c>
      <c r="C205" s="67">
        <f>IFERROR(INDEX(tbl_Finance[Xero Invoice No],$A205),"")</f>
        <v/>
      </c>
      <c r="D205" s="67">
        <f>IFERROR(INDEX(tbl_Finance[Client],$A205),"")</f>
        <v/>
      </c>
      <c r="E205" s="67">
        <f>IFERROR(INDEX(tbl_Finance[Job Number],$A205),"")</f>
        <v/>
      </c>
      <c r="F205" s="67">
        <f>IFERROR(INDEX(tbl_Finance[Cost Centre],$A205),"")</f>
        <v/>
      </c>
      <c r="G205" s="68">
        <f>IFERROR(INDEX(tbl_Finance[Ex GST],$A205),"")</f>
        <v/>
      </c>
      <c r="H205" s="66">
        <f>IFERROR(INDEX(tbl_Finance[Defer Start],$A205),"")</f>
        <v/>
      </c>
      <c r="I205" s="66">
        <f>IFERROR(INDEX(tbl_Finance[Defer End],$A205),"")</f>
        <v/>
      </c>
      <c r="J205" s="65">
        <f>IF(OR($H205="",$I205="",$G205=""),"",MAX(1,(YEAR($I205)-YEAR($H205))*12+MONTH($I205)-MONTH($H205)+1))</f>
        <v/>
      </c>
      <c r="K205" s="68">
        <f>IF($J205="","",$G205/$J205)</f>
        <v/>
      </c>
      <c r="L205" s="68">
        <f>IF($J205="",0,$K205*MAX(0,MIN(YEAR($C$3)*12+MONTH($C$3),YEAR($I205)*12+MONTH($I205))-(YEAR($H205)*12+MONTH($H205))+1))</f>
        <v/>
      </c>
      <c r="M205" s="68">
        <f>IF($J205="",0,$K205*MAX(0,MIN(YEAR($C$3)*12+MONTH($C$3)-1,YEAR($I205)*12+MONTH($I205))-(YEAR($H205)*12+MONTH($H205))+1))</f>
        <v/>
      </c>
      <c r="N205" s="68">
        <f>IF(OR($J205="",$B205=""),0,IF(YEAR($B205)*12+MONTH($B205)&lt;=YEAR($C$3)*12+MONTH($C$3),$G205,0))</f>
        <v/>
      </c>
      <c r="O205" s="68">
        <f>IF(OR($J205="",$B205=""),0,IF(YEAR($B205)*12+MONTH($B205)&lt;=YEAR($C$3)*12+MONTH($C$3)-1,$G205,0))</f>
        <v/>
      </c>
      <c r="P205" s="68">
        <f>$M205-$O205</f>
        <v/>
      </c>
      <c r="Q205" s="68">
        <f>($L205-$M205)-($N205-$O205)</f>
        <v/>
      </c>
      <c r="R205" s="68">
        <f>$L205-$N205</f>
        <v/>
      </c>
      <c r="S205" s="67">
        <f>"Finance invoice"</f>
        <v/>
      </c>
      <c r="T205" s="67">
        <f>"Revenue"</f>
        <v/>
      </c>
    </row>
    <row r="206">
      <c r="A206" s="65">
        <f>ROW()-5</f>
        <v/>
      </c>
      <c r="B206" s="66">
        <f>IFERROR(INDEX(tbl_Finance[Date],$A206),"")</f>
        <v/>
      </c>
      <c r="C206" s="67">
        <f>IFERROR(INDEX(tbl_Finance[Xero Invoice No],$A206),"")</f>
        <v/>
      </c>
      <c r="D206" s="67">
        <f>IFERROR(INDEX(tbl_Finance[Client],$A206),"")</f>
        <v/>
      </c>
      <c r="E206" s="67">
        <f>IFERROR(INDEX(tbl_Finance[Job Number],$A206),"")</f>
        <v/>
      </c>
      <c r="F206" s="67">
        <f>IFERROR(INDEX(tbl_Finance[Cost Centre],$A206),"")</f>
        <v/>
      </c>
      <c r="G206" s="68">
        <f>IFERROR(INDEX(tbl_Finance[Ex GST],$A206),"")</f>
        <v/>
      </c>
      <c r="H206" s="66">
        <f>IFERROR(INDEX(tbl_Finance[Defer Start],$A206),"")</f>
        <v/>
      </c>
      <c r="I206" s="66">
        <f>IFERROR(INDEX(tbl_Finance[Defer End],$A206),"")</f>
        <v/>
      </c>
      <c r="J206" s="65">
        <f>IF(OR($H206="",$I206="",$G206=""),"",MAX(1,(YEAR($I206)-YEAR($H206))*12+MONTH($I206)-MONTH($H206)+1))</f>
        <v/>
      </c>
      <c r="K206" s="68">
        <f>IF($J206="","",$G206/$J206)</f>
        <v/>
      </c>
      <c r="L206" s="68">
        <f>IF($J206="",0,$K206*MAX(0,MIN(YEAR($C$3)*12+MONTH($C$3),YEAR($I206)*12+MONTH($I206))-(YEAR($H206)*12+MONTH($H206))+1))</f>
        <v/>
      </c>
      <c r="M206" s="68">
        <f>IF($J206="",0,$K206*MAX(0,MIN(YEAR($C$3)*12+MONTH($C$3)-1,YEAR($I206)*12+MONTH($I206))-(YEAR($H206)*12+MONTH($H206))+1))</f>
        <v/>
      </c>
      <c r="N206" s="68">
        <f>IF(OR($J206="",$B206=""),0,IF(YEAR($B206)*12+MONTH($B206)&lt;=YEAR($C$3)*12+MONTH($C$3),$G206,0))</f>
        <v/>
      </c>
      <c r="O206" s="68">
        <f>IF(OR($J206="",$B206=""),0,IF(YEAR($B206)*12+MONTH($B206)&lt;=YEAR($C$3)*12+MONTH($C$3)-1,$G206,0))</f>
        <v/>
      </c>
      <c r="P206" s="68">
        <f>$M206-$O206</f>
        <v/>
      </c>
      <c r="Q206" s="68">
        <f>($L206-$M206)-($N206-$O206)</f>
        <v/>
      </c>
      <c r="R206" s="68">
        <f>$L206-$N206</f>
        <v/>
      </c>
      <c r="S206" s="67">
        <f>"Finance invoice"</f>
        <v/>
      </c>
      <c r="T206" s="67">
        <f>"Revenue"</f>
        <v/>
      </c>
    </row>
    <row r="207">
      <c r="A207" s="65">
        <f>ROW()-5</f>
        <v/>
      </c>
      <c r="B207" s="66">
        <f>IFERROR(INDEX(tbl_Finance[Date],$A207),"")</f>
        <v/>
      </c>
      <c r="C207" s="67">
        <f>IFERROR(INDEX(tbl_Finance[Xero Invoice No],$A207),"")</f>
        <v/>
      </c>
      <c r="D207" s="67">
        <f>IFERROR(INDEX(tbl_Finance[Client],$A207),"")</f>
        <v/>
      </c>
      <c r="E207" s="67">
        <f>IFERROR(INDEX(tbl_Finance[Job Number],$A207),"")</f>
        <v/>
      </c>
      <c r="F207" s="67">
        <f>IFERROR(INDEX(tbl_Finance[Cost Centre],$A207),"")</f>
        <v/>
      </c>
      <c r="G207" s="68">
        <f>IFERROR(INDEX(tbl_Finance[Ex GST],$A207),"")</f>
        <v/>
      </c>
      <c r="H207" s="66">
        <f>IFERROR(INDEX(tbl_Finance[Defer Start],$A207),"")</f>
        <v/>
      </c>
      <c r="I207" s="66">
        <f>IFERROR(INDEX(tbl_Finance[Defer End],$A207),"")</f>
        <v/>
      </c>
      <c r="J207" s="65">
        <f>IF(OR($H207="",$I207="",$G207=""),"",MAX(1,(YEAR($I207)-YEAR($H207))*12+MONTH($I207)-MONTH($H207)+1))</f>
        <v/>
      </c>
      <c r="K207" s="68">
        <f>IF($J207="","",$G207/$J207)</f>
        <v/>
      </c>
      <c r="L207" s="68">
        <f>IF($J207="",0,$K207*MAX(0,MIN(YEAR($C$3)*12+MONTH($C$3),YEAR($I207)*12+MONTH($I207))-(YEAR($H207)*12+MONTH($H207))+1))</f>
        <v/>
      </c>
      <c r="M207" s="68">
        <f>IF($J207="",0,$K207*MAX(0,MIN(YEAR($C$3)*12+MONTH($C$3)-1,YEAR($I207)*12+MONTH($I207))-(YEAR($H207)*12+MONTH($H207))+1))</f>
        <v/>
      </c>
      <c r="N207" s="68">
        <f>IF(OR($J207="",$B207=""),0,IF(YEAR($B207)*12+MONTH($B207)&lt;=YEAR($C$3)*12+MONTH($C$3),$G207,0))</f>
        <v/>
      </c>
      <c r="O207" s="68">
        <f>IF(OR($J207="",$B207=""),0,IF(YEAR($B207)*12+MONTH($B207)&lt;=YEAR($C$3)*12+MONTH($C$3)-1,$G207,0))</f>
        <v/>
      </c>
      <c r="P207" s="68">
        <f>$M207-$O207</f>
        <v/>
      </c>
      <c r="Q207" s="68">
        <f>($L207-$M207)-($N207-$O207)</f>
        <v/>
      </c>
      <c r="R207" s="68">
        <f>$L207-$N207</f>
        <v/>
      </c>
      <c r="S207" s="67">
        <f>"Finance invoice"</f>
        <v/>
      </c>
      <c r="T207" s="67">
        <f>"Revenue"</f>
        <v/>
      </c>
    </row>
    <row r="208">
      <c r="A208" s="65">
        <f>ROW()-5</f>
        <v/>
      </c>
      <c r="B208" s="66">
        <f>IFERROR(INDEX(tbl_Finance[Date],$A208),"")</f>
        <v/>
      </c>
      <c r="C208" s="67">
        <f>IFERROR(INDEX(tbl_Finance[Xero Invoice No],$A208),"")</f>
        <v/>
      </c>
      <c r="D208" s="67">
        <f>IFERROR(INDEX(tbl_Finance[Client],$A208),"")</f>
        <v/>
      </c>
      <c r="E208" s="67">
        <f>IFERROR(INDEX(tbl_Finance[Job Number],$A208),"")</f>
        <v/>
      </c>
      <c r="F208" s="67">
        <f>IFERROR(INDEX(tbl_Finance[Cost Centre],$A208),"")</f>
        <v/>
      </c>
      <c r="G208" s="68">
        <f>IFERROR(INDEX(tbl_Finance[Ex GST],$A208),"")</f>
        <v/>
      </c>
      <c r="H208" s="66">
        <f>IFERROR(INDEX(tbl_Finance[Defer Start],$A208),"")</f>
        <v/>
      </c>
      <c r="I208" s="66">
        <f>IFERROR(INDEX(tbl_Finance[Defer End],$A208),"")</f>
        <v/>
      </c>
      <c r="J208" s="65">
        <f>IF(OR($H208="",$I208="",$G208=""),"",MAX(1,(YEAR($I208)-YEAR($H208))*12+MONTH($I208)-MONTH($H208)+1))</f>
        <v/>
      </c>
      <c r="K208" s="68">
        <f>IF($J208="","",$G208/$J208)</f>
        <v/>
      </c>
      <c r="L208" s="68">
        <f>IF($J208="",0,$K208*MAX(0,MIN(YEAR($C$3)*12+MONTH($C$3),YEAR($I208)*12+MONTH($I208))-(YEAR($H208)*12+MONTH($H208))+1))</f>
        <v/>
      </c>
      <c r="M208" s="68">
        <f>IF($J208="",0,$K208*MAX(0,MIN(YEAR($C$3)*12+MONTH($C$3)-1,YEAR($I208)*12+MONTH($I208))-(YEAR($H208)*12+MONTH($H208))+1))</f>
        <v/>
      </c>
      <c r="N208" s="68">
        <f>IF(OR($J208="",$B208=""),0,IF(YEAR($B208)*12+MONTH($B208)&lt;=YEAR($C$3)*12+MONTH($C$3),$G208,0))</f>
        <v/>
      </c>
      <c r="O208" s="68">
        <f>IF(OR($J208="",$B208=""),0,IF(YEAR($B208)*12+MONTH($B208)&lt;=YEAR($C$3)*12+MONTH($C$3)-1,$G208,0))</f>
        <v/>
      </c>
      <c r="P208" s="68">
        <f>$M208-$O208</f>
        <v/>
      </c>
      <c r="Q208" s="68">
        <f>($L208-$M208)-($N208-$O208)</f>
        <v/>
      </c>
      <c r="R208" s="68">
        <f>$L208-$N208</f>
        <v/>
      </c>
      <c r="S208" s="67">
        <f>"Finance invoice"</f>
        <v/>
      </c>
      <c r="T208" s="67">
        <f>"Revenue"</f>
        <v/>
      </c>
    </row>
    <row r="209">
      <c r="A209" s="65">
        <f>ROW()-5</f>
        <v/>
      </c>
      <c r="B209" s="66">
        <f>IFERROR(INDEX(tbl_Finance[Date],$A209),"")</f>
        <v/>
      </c>
      <c r="C209" s="67">
        <f>IFERROR(INDEX(tbl_Finance[Xero Invoice No],$A209),"")</f>
        <v/>
      </c>
      <c r="D209" s="67">
        <f>IFERROR(INDEX(tbl_Finance[Client],$A209),"")</f>
        <v/>
      </c>
      <c r="E209" s="67">
        <f>IFERROR(INDEX(tbl_Finance[Job Number],$A209),"")</f>
        <v/>
      </c>
      <c r="F209" s="67">
        <f>IFERROR(INDEX(tbl_Finance[Cost Centre],$A209),"")</f>
        <v/>
      </c>
      <c r="G209" s="68">
        <f>IFERROR(INDEX(tbl_Finance[Ex GST],$A209),"")</f>
        <v/>
      </c>
      <c r="H209" s="66">
        <f>IFERROR(INDEX(tbl_Finance[Defer Start],$A209),"")</f>
        <v/>
      </c>
      <c r="I209" s="66">
        <f>IFERROR(INDEX(tbl_Finance[Defer End],$A209),"")</f>
        <v/>
      </c>
      <c r="J209" s="65">
        <f>IF(OR($H209="",$I209="",$G209=""),"",MAX(1,(YEAR($I209)-YEAR($H209))*12+MONTH($I209)-MONTH($H209)+1))</f>
        <v/>
      </c>
      <c r="K209" s="68">
        <f>IF($J209="","",$G209/$J209)</f>
        <v/>
      </c>
      <c r="L209" s="68">
        <f>IF($J209="",0,$K209*MAX(0,MIN(YEAR($C$3)*12+MONTH($C$3),YEAR($I209)*12+MONTH($I209))-(YEAR($H209)*12+MONTH($H209))+1))</f>
        <v/>
      </c>
      <c r="M209" s="68">
        <f>IF($J209="",0,$K209*MAX(0,MIN(YEAR($C$3)*12+MONTH($C$3)-1,YEAR($I209)*12+MONTH($I209))-(YEAR($H209)*12+MONTH($H209))+1))</f>
        <v/>
      </c>
      <c r="N209" s="68">
        <f>IF(OR($J209="",$B209=""),0,IF(YEAR($B209)*12+MONTH($B209)&lt;=YEAR($C$3)*12+MONTH($C$3),$G209,0))</f>
        <v/>
      </c>
      <c r="O209" s="68">
        <f>IF(OR($J209="",$B209=""),0,IF(YEAR($B209)*12+MONTH($B209)&lt;=YEAR($C$3)*12+MONTH($C$3)-1,$G209,0))</f>
        <v/>
      </c>
      <c r="P209" s="68">
        <f>$M209-$O209</f>
        <v/>
      </c>
      <c r="Q209" s="68">
        <f>($L209-$M209)-($N209-$O209)</f>
        <v/>
      </c>
      <c r="R209" s="68">
        <f>$L209-$N209</f>
        <v/>
      </c>
      <c r="S209" s="67">
        <f>"Finance invoice"</f>
        <v/>
      </c>
      <c r="T209" s="67">
        <f>"Revenue"</f>
        <v/>
      </c>
    </row>
    <row r="210">
      <c r="A210" s="65">
        <f>ROW()-5</f>
        <v/>
      </c>
      <c r="B210" s="66">
        <f>IFERROR(INDEX(tbl_Finance[Date],$A210),"")</f>
        <v/>
      </c>
      <c r="C210" s="67">
        <f>IFERROR(INDEX(tbl_Finance[Xero Invoice No],$A210),"")</f>
        <v/>
      </c>
      <c r="D210" s="67">
        <f>IFERROR(INDEX(tbl_Finance[Client],$A210),"")</f>
        <v/>
      </c>
      <c r="E210" s="67">
        <f>IFERROR(INDEX(tbl_Finance[Job Number],$A210),"")</f>
        <v/>
      </c>
      <c r="F210" s="67">
        <f>IFERROR(INDEX(tbl_Finance[Cost Centre],$A210),"")</f>
        <v/>
      </c>
      <c r="G210" s="68">
        <f>IFERROR(INDEX(tbl_Finance[Ex GST],$A210),"")</f>
        <v/>
      </c>
      <c r="H210" s="66">
        <f>IFERROR(INDEX(tbl_Finance[Defer Start],$A210),"")</f>
        <v/>
      </c>
      <c r="I210" s="66">
        <f>IFERROR(INDEX(tbl_Finance[Defer End],$A210),"")</f>
        <v/>
      </c>
      <c r="J210" s="65">
        <f>IF(OR($H210="",$I210="",$G210=""),"",MAX(1,(YEAR($I210)-YEAR($H210))*12+MONTH($I210)-MONTH($H210)+1))</f>
        <v/>
      </c>
      <c r="K210" s="68">
        <f>IF($J210="","",$G210/$J210)</f>
        <v/>
      </c>
      <c r="L210" s="68">
        <f>IF($J210="",0,$K210*MAX(0,MIN(YEAR($C$3)*12+MONTH($C$3),YEAR($I210)*12+MONTH($I210))-(YEAR($H210)*12+MONTH($H210))+1))</f>
        <v/>
      </c>
      <c r="M210" s="68">
        <f>IF($J210="",0,$K210*MAX(0,MIN(YEAR($C$3)*12+MONTH($C$3)-1,YEAR($I210)*12+MONTH($I210))-(YEAR($H210)*12+MONTH($H210))+1))</f>
        <v/>
      </c>
      <c r="N210" s="68">
        <f>IF(OR($J210="",$B210=""),0,IF(YEAR($B210)*12+MONTH($B210)&lt;=YEAR($C$3)*12+MONTH($C$3),$G210,0))</f>
        <v/>
      </c>
      <c r="O210" s="68">
        <f>IF(OR($J210="",$B210=""),0,IF(YEAR($B210)*12+MONTH($B210)&lt;=YEAR($C$3)*12+MONTH($C$3)-1,$G210,0))</f>
        <v/>
      </c>
      <c r="P210" s="68">
        <f>$M210-$O210</f>
        <v/>
      </c>
      <c r="Q210" s="68">
        <f>($L210-$M210)-($N210-$O210)</f>
        <v/>
      </c>
      <c r="R210" s="68">
        <f>$L210-$N210</f>
        <v/>
      </c>
      <c r="S210" s="67">
        <f>"Finance invoice"</f>
        <v/>
      </c>
      <c r="T210" s="67">
        <f>"Revenue"</f>
        <v/>
      </c>
    </row>
    <row r="211">
      <c r="A211" s="65">
        <f>ROW()-5</f>
        <v/>
      </c>
      <c r="B211" s="66">
        <f>IFERROR(INDEX(tbl_Finance[Date],$A211),"")</f>
        <v/>
      </c>
      <c r="C211" s="67">
        <f>IFERROR(INDEX(tbl_Finance[Xero Invoice No],$A211),"")</f>
        <v/>
      </c>
      <c r="D211" s="67">
        <f>IFERROR(INDEX(tbl_Finance[Client],$A211),"")</f>
        <v/>
      </c>
      <c r="E211" s="67">
        <f>IFERROR(INDEX(tbl_Finance[Job Number],$A211),"")</f>
        <v/>
      </c>
      <c r="F211" s="67">
        <f>IFERROR(INDEX(tbl_Finance[Cost Centre],$A211),"")</f>
        <v/>
      </c>
      <c r="G211" s="68">
        <f>IFERROR(INDEX(tbl_Finance[Ex GST],$A211),"")</f>
        <v/>
      </c>
      <c r="H211" s="66">
        <f>IFERROR(INDEX(tbl_Finance[Defer Start],$A211),"")</f>
        <v/>
      </c>
      <c r="I211" s="66">
        <f>IFERROR(INDEX(tbl_Finance[Defer End],$A211),"")</f>
        <v/>
      </c>
      <c r="J211" s="65">
        <f>IF(OR($H211="",$I211="",$G211=""),"",MAX(1,(YEAR($I211)-YEAR($H211))*12+MONTH($I211)-MONTH($H211)+1))</f>
        <v/>
      </c>
      <c r="K211" s="68">
        <f>IF($J211="","",$G211/$J211)</f>
        <v/>
      </c>
      <c r="L211" s="68">
        <f>IF($J211="",0,$K211*MAX(0,MIN(YEAR($C$3)*12+MONTH($C$3),YEAR($I211)*12+MONTH($I211))-(YEAR($H211)*12+MONTH($H211))+1))</f>
        <v/>
      </c>
      <c r="M211" s="68">
        <f>IF($J211="",0,$K211*MAX(0,MIN(YEAR($C$3)*12+MONTH($C$3)-1,YEAR($I211)*12+MONTH($I211))-(YEAR($H211)*12+MONTH($H211))+1))</f>
        <v/>
      </c>
      <c r="N211" s="68">
        <f>IF(OR($J211="",$B211=""),0,IF(YEAR($B211)*12+MONTH($B211)&lt;=YEAR($C$3)*12+MONTH($C$3),$G211,0))</f>
        <v/>
      </c>
      <c r="O211" s="68">
        <f>IF(OR($J211="",$B211=""),0,IF(YEAR($B211)*12+MONTH($B211)&lt;=YEAR($C$3)*12+MONTH($C$3)-1,$G211,0))</f>
        <v/>
      </c>
      <c r="P211" s="68">
        <f>$M211-$O211</f>
        <v/>
      </c>
      <c r="Q211" s="68">
        <f>($L211-$M211)-($N211-$O211)</f>
        <v/>
      </c>
      <c r="R211" s="68">
        <f>$L211-$N211</f>
        <v/>
      </c>
      <c r="S211" s="67">
        <f>"Finance invoice"</f>
        <v/>
      </c>
      <c r="T211" s="67">
        <f>"Revenue"</f>
        <v/>
      </c>
    </row>
    <row r="212">
      <c r="A212" s="65">
        <f>ROW()-5</f>
        <v/>
      </c>
      <c r="B212" s="66">
        <f>IFERROR(INDEX(tbl_Finance[Date],$A212),"")</f>
        <v/>
      </c>
      <c r="C212" s="67">
        <f>IFERROR(INDEX(tbl_Finance[Xero Invoice No],$A212),"")</f>
        <v/>
      </c>
      <c r="D212" s="67">
        <f>IFERROR(INDEX(tbl_Finance[Client],$A212),"")</f>
        <v/>
      </c>
      <c r="E212" s="67">
        <f>IFERROR(INDEX(tbl_Finance[Job Number],$A212),"")</f>
        <v/>
      </c>
      <c r="F212" s="67">
        <f>IFERROR(INDEX(tbl_Finance[Cost Centre],$A212),"")</f>
        <v/>
      </c>
      <c r="G212" s="68">
        <f>IFERROR(INDEX(tbl_Finance[Ex GST],$A212),"")</f>
        <v/>
      </c>
      <c r="H212" s="66">
        <f>IFERROR(INDEX(tbl_Finance[Defer Start],$A212),"")</f>
        <v/>
      </c>
      <c r="I212" s="66">
        <f>IFERROR(INDEX(tbl_Finance[Defer End],$A212),"")</f>
        <v/>
      </c>
      <c r="J212" s="65">
        <f>IF(OR($H212="",$I212="",$G212=""),"",MAX(1,(YEAR($I212)-YEAR($H212))*12+MONTH($I212)-MONTH($H212)+1))</f>
        <v/>
      </c>
      <c r="K212" s="68">
        <f>IF($J212="","",$G212/$J212)</f>
        <v/>
      </c>
      <c r="L212" s="68">
        <f>IF($J212="",0,$K212*MAX(0,MIN(YEAR($C$3)*12+MONTH($C$3),YEAR($I212)*12+MONTH($I212))-(YEAR($H212)*12+MONTH($H212))+1))</f>
        <v/>
      </c>
      <c r="M212" s="68">
        <f>IF($J212="",0,$K212*MAX(0,MIN(YEAR($C$3)*12+MONTH($C$3)-1,YEAR($I212)*12+MONTH($I212))-(YEAR($H212)*12+MONTH($H212))+1))</f>
        <v/>
      </c>
      <c r="N212" s="68">
        <f>IF(OR($J212="",$B212=""),0,IF(YEAR($B212)*12+MONTH($B212)&lt;=YEAR($C$3)*12+MONTH($C$3),$G212,0))</f>
        <v/>
      </c>
      <c r="O212" s="68">
        <f>IF(OR($J212="",$B212=""),0,IF(YEAR($B212)*12+MONTH($B212)&lt;=YEAR($C$3)*12+MONTH($C$3)-1,$G212,0))</f>
        <v/>
      </c>
      <c r="P212" s="68">
        <f>$M212-$O212</f>
        <v/>
      </c>
      <c r="Q212" s="68">
        <f>($L212-$M212)-($N212-$O212)</f>
        <v/>
      </c>
      <c r="R212" s="68">
        <f>$L212-$N212</f>
        <v/>
      </c>
      <c r="S212" s="67">
        <f>"Finance invoice"</f>
        <v/>
      </c>
      <c r="T212" s="67">
        <f>"Revenue"</f>
        <v/>
      </c>
    </row>
    <row r="213">
      <c r="A213" s="65">
        <f>ROW()-5</f>
        <v/>
      </c>
      <c r="B213" s="66">
        <f>IFERROR(INDEX(tbl_Finance[Date],$A213),"")</f>
        <v/>
      </c>
      <c r="C213" s="67">
        <f>IFERROR(INDEX(tbl_Finance[Xero Invoice No],$A213),"")</f>
        <v/>
      </c>
      <c r="D213" s="67">
        <f>IFERROR(INDEX(tbl_Finance[Client],$A213),"")</f>
        <v/>
      </c>
      <c r="E213" s="67">
        <f>IFERROR(INDEX(tbl_Finance[Job Number],$A213),"")</f>
        <v/>
      </c>
      <c r="F213" s="67">
        <f>IFERROR(INDEX(tbl_Finance[Cost Centre],$A213),"")</f>
        <v/>
      </c>
      <c r="G213" s="68">
        <f>IFERROR(INDEX(tbl_Finance[Ex GST],$A213),"")</f>
        <v/>
      </c>
      <c r="H213" s="66">
        <f>IFERROR(INDEX(tbl_Finance[Defer Start],$A213),"")</f>
        <v/>
      </c>
      <c r="I213" s="66">
        <f>IFERROR(INDEX(tbl_Finance[Defer End],$A213),"")</f>
        <v/>
      </c>
      <c r="J213" s="65">
        <f>IF(OR($H213="",$I213="",$G213=""),"",MAX(1,(YEAR($I213)-YEAR($H213))*12+MONTH($I213)-MONTH($H213)+1))</f>
        <v/>
      </c>
      <c r="K213" s="68">
        <f>IF($J213="","",$G213/$J213)</f>
        <v/>
      </c>
      <c r="L213" s="68">
        <f>IF($J213="",0,$K213*MAX(0,MIN(YEAR($C$3)*12+MONTH($C$3),YEAR($I213)*12+MONTH($I213))-(YEAR($H213)*12+MONTH($H213))+1))</f>
        <v/>
      </c>
      <c r="M213" s="68">
        <f>IF($J213="",0,$K213*MAX(0,MIN(YEAR($C$3)*12+MONTH($C$3)-1,YEAR($I213)*12+MONTH($I213))-(YEAR($H213)*12+MONTH($H213))+1))</f>
        <v/>
      </c>
      <c r="N213" s="68">
        <f>IF(OR($J213="",$B213=""),0,IF(YEAR($B213)*12+MONTH($B213)&lt;=YEAR($C$3)*12+MONTH($C$3),$G213,0))</f>
        <v/>
      </c>
      <c r="O213" s="68">
        <f>IF(OR($J213="",$B213=""),0,IF(YEAR($B213)*12+MONTH($B213)&lt;=YEAR($C$3)*12+MONTH($C$3)-1,$G213,0))</f>
        <v/>
      </c>
      <c r="P213" s="68">
        <f>$M213-$O213</f>
        <v/>
      </c>
      <c r="Q213" s="68">
        <f>($L213-$M213)-($N213-$O213)</f>
        <v/>
      </c>
      <c r="R213" s="68">
        <f>$L213-$N213</f>
        <v/>
      </c>
      <c r="S213" s="67">
        <f>"Finance invoice"</f>
        <v/>
      </c>
      <c r="T213" s="67">
        <f>"Revenue"</f>
        <v/>
      </c>
    </row>
    <row r="214">
      <c r="A214" s="65">
        <f>ROW()-5</f>
        <v/>
      </c>
      <c r="B214" s="66">
        <f>IFERROR(INDEX(tbl_Finance[Date],$A214),"")</f>
        <v/>
      </c>
      <c r="C214" s="67">
        <f>IFERROR(INDEX(tbl_Finance[Xero Invoice No],$A214),"")</f>
        <v/>
      </c>
      <c r="D214" s="67">
        <f>IFERROR(INDEX(tbl_Finance[Client],$A214),"")</f>
        <v/>
      </c>
      <c r="E214" s="67">
        <f>IFERROR(INDEX(tbl_Finance[Job Number],$A214),"")</f>
        <v/>
      </c>
      <c r="F214" s="67">
        <f>IFERROR(INDEX(tbl_Finance[Cost Centre],$A214),"")</f>
        <v/>
      </c>
      <c r="G214" s="68">
        <f>IFERROR(INDEX(tbl_Finance[Ex GST],$A214),"")</f>
        <v/>
      </c>
      <c r="H214" s="66">
        <f>IFERROR(INDEX(tbl_Finance[Defer Start],$A214),"")</f>
        <v/>
      </c>
      <c r="I214" s="66">
        <f>IFERROR(INDEX(tbl_Finance[Defer End],$A214),"")</f>
        <v/>
      </c>
      <c r="J214" s="65">
        <f>IF(OR($H214="",$I214="",$G214=""),"",MAX(1,(YEAR($I214)-YEAR($H214))*12+MONTH($I214)-MONTH($H214)+1))</f>
        <v/>
      </c>
      <c r="K214" s="68">
        <f>IF($J214="","",$G214/$J214)</f>
        <v/>
      </c>
      <c r="L214" s="68">
        <f>IF($J214="",0,$K214*MAX(0,MIN(YEAR($C$3)*12+MONTH($C$3),YEAR($I214)*12+MONTH($I214))-(YEAR($H214)*12+MONTH($H214))+1))</f>
        <v/>
      </c>
      <c r="M214" s="68">
        <f>IF($J214="",0,$K214*MAX(0,MIN(YEAR($C$3)*12+MONTH($C$3)-1,YEAR($I214)*12+MONTH($I214))-(YEAR($H214)*12+MONTH($H214))+1))</f>
        <v/>
      </c>
      <c r="N214" s="68">
        <f>IF(OR($J214="",$B214=""),0,IF(YEAR($B214)*12+MONTH($B214)&lt;=YEAR($C$3)*12+MONTH($C$3),$G214,0))</f>
        <v/>
      </c>
      <c r="O214" s="68">
        <f>IF(OR($J214="",$B214=""),0,IF(YEAR($B214)*12+MONTH($B214)&lt;=YEAR($C$3)*12+MONTH($C$3)-1,$G214,0))</f>
        <v/>
      </c>
      <c r="P214" s="68">
        <f>$M214-$O214</f>
        <v/>
      </c>
      <c r="Q214" s="68">
        <f>($L214-$M214)-($N214-$O214)</f>
        <v/>
      </c>
      <c r="R214" s="68">
        <f>$L214-$N214</f>
        <v/>
      </c>
      <c r="S214" s="67">
        <f>"Finance invoice"</f>
        <v/>
      </c>
      <c r="T214" s="67">
        <f>"Revenue"</f>
        <v/>
      </c>
    </row>
    <row r="215">
      <c r="A215" s="65">
        <f>ROW()-5</f>
        <v/>
      </c>
      <c r="B215" s="66">
        <f>IFERROR(INDEX(tbl_Finance[Date],$A215),"")</f>
        <v/>
      </c>
      <c r="C215" s="67">
        <f>IFERROR(INDEX(tbl_Finance[Xero Invoice No],$A215),"")</f>
        <v/>
      </c>
      <c r="D215" s="67">
        <f>IFERROR(INDEX(tbl_Finance[Client],$A215),"")</f>
        <v/>
      </c>
      <c r="E215" s="67">
        <f>IFERROR(INDEX(tbl_Finance[Job Number],$A215),"")</f>
        <v/>
      </c>
      <c r="F215" s="67">
        <f>IFERROR(INDEX(tbl_Finance[Cost Centre],$A215),"")</f>
        <v/>
      </c>
      <c r="G215" s="68">
        <f>IFERROR(INDEX(tbl_Finance[Ex GST],$A215),"")</f>
        <v/>
      </c>
      <c r="H215" s="66">
        <f>IFERROR(INDEX(tbl_Finance[Defer Start],$A215),"")</f>
        <v/>
      </c>
      <c r="I215" s="66">
        <f>IFERROR(INDEX(tbl_Finance[Defer End],$A215),"")</f>
        <v/>
      </c>
      <c r="J215" s="65">
        <f>IF(OR($H215="",$I215="",$G215=""),"",MAX(1,(YEAR($I215)-YEAR($H215))*12+MONTH($I215)-MONTH($H215)+1))</f>
        <v/>
      </c>
      <c r="K215" s="68">
        <f>IF($J215="","",$G215/$J215)</f>
        <v/>
      </c>
      <c r="L215" s="68">
        <f>IF($J215="",0,$K215*MAX(0,MIN(YEAR($C$3)*12+MONTH($C$3),YEAR($I215)*12+MONTH($I215))-(YEAR($H215)*12+MONTH($H215))+1))</f>
        <v/>
      </c>
      <c r="M215" s="68">
        <f>IF($J215="",0,$K215*MAX(0,MIN(YEAR($C$3)*12+MONTH($C$3)-1,YEAR($I215)*12+MONTH($I215))-(YEAR($H215)*12+MONTH($H215))+1))</f>
        <v/>
      </c>
      <c r="N215" s="68">
        <f>IF(OR($J215="",$B215=""),0,IF(YEAR($B215)*12+MONTH($B215)&lt;=YEAR($C$3)*12+MONTH($C$3),$G215,0))</f>
        <v/>
      </c>
      <c r="O215" s="68">
        <f>IF(OR($J215="",$B215=""),0,IF(YEAR($B215)*12+MONTH($B215)&lt;=YEAR($C$3)*12+MONTH($C$3)-1,$G215,0))</f>
        <v/>
      </c>
      <c r="P215" s="68">
        <f>$M215-$O215</f>
        <v/>
      </c>
      <c r="Q215" s="68">
        <f>($L215-$M215)-($N215-$O215)</f>
        <v/>
      </c>
      <c r="R215" s="68">
        <f>$L215-$N215</f>
        <v/>
      </c>
      <c r="S215" s="67">
        <f>"Finance invoice"</f>
        <v/>
      </c>
      <c r="T215" s="67">
        <f>"Revenue"</f>
        <v/>
      </c>
    </row>
    <row r="216">
      <c r="A216" s="65">
        <f>ROW()-5</f>
        <v/>
      </c>
      <c r="B216" s="66">
        <f>IFERROR(INDEX(tbl_Finance[Date],$A216),"")</f>
        <v/>
      </c>
      <c r="C216" s="67">
        <f>IFERROR(INDEX(tbl_Finance[Xero Invoice No],$A216),"")</f>
        <v/>
      </c>
      <c r="D216" s="67">
        <f>IFERROR(INDEX(tbl_Finance[Client],$A216),"")</f>
        <v/>
      </c>
      <c r="E216" s="67">
        <f>IFERROR(INDEX(tbl_Finance[Job Number],$A216),"")</f>
        <v/>
      </c>
      <c r="F216" s="67">
        <f>IFERROR(INDEX(tbl_Finance[Cost Centre],$A216),"")</f>
        <v/>
      </c>
      <c r="G216" s="68">
        <f>IFERROR(INDEX(tbl_Finance[Ex GST],$A216),"")</f>
        <v/>
      </c>
      <c r="H216" s="66">
        <f>IFERROR(INDEX(tbl_Finance[Defer Start],$A216),"")</f>
        <v/>
      </c>
      <c r="I216" s="66">
        <f>IFERROR(INDEX(tbl_Finance[Defer End],$A216),"")</f>
        <v/>
      </c>
      <c r="J216" s="65">
        <f>IF(OR($H216="",$I216="",$G216=""),"",MAX(1,(YEAR($I216)-YEAR($H216))*12+MONTH($I216)-MONTH($H216)+1))</f>
        <v/>
      </c>
      <c r="K216" s="68">
        <f>IF($J216="","",$G216/$J216)</f>
        <v/>
      </c>
      <c r="L216" s="68">
        <f>IF($J216="",0,$K216*MAX(0,MIN(YEAR($C$3)*12+MONTH($C$3),YEAR($I216)*12+MONTH($I216))-(YEAR($H216)*12+MONTH($H216))+1))</f>
        <v/>
      </c>
      <c r="M216" s="68">
        <f>IF($J216="",0,$K216*MAX(0,MIN(YEAR($C$3)*12+MONTH($C$3)-1,YEAR($I216)*12+MONTH($I216))-(YEAR($H216)*12+MONTH($H216))+1))</f>
        <v/>
      </c>
      <c r="N216" s="68">
        <f>IF(OR($J216="",$B216=""),0,IF(YEAR($B216)*12+MONTH($B216)&lt;=YEAR($C$3)*12+MONTH($C$3),$G216,0))</f>
        <v/>
      </c>
      <c r="O216" s="68">
        <f>IF(OR($J216="",$B216=""),0,IF(YEAR($B216)*12+MONTH($B216)&lt;=YEAR($C$3)*12+MONTH($C$3)-1,$G216,0))</f>
        <v/>
      </c>
      <c r="P216" s="68">
        <f>$M216-$O216</f>
        <v/>
      </c>
      <c r="Q216" s="68">
        <f>($L216-$M216)-($N216-$O216)</f>
        <v/>
      </c>
      <c r="R216" s="68">
        <f>$L216-$N216</f>
        <v/>
      </c>
      <c r="S216" s="67">
        <f>"Finance invoice"</f>
        <v/>
      </c>
      <c r="T216" s="67">
        <f>"Revenue"</f>
        <v/>
      </c>
    </row>
    <row r="217">
      <c r="A217" s="65">
        <f>ROW()-5</f>
        <v/>
      </c>
      <c r="B217" s="66">
        <f>IFERROR(INDEX(tbl_Finance[Date],$A217),"")</f>
        <v/>
      </c>
      <c r="C217" s="67">
        <f>IFERROR(INDEX(tbl_Finance[Xero Invoice No],$A217),"")</f>
        <v/>
      </c>
      <c r="D217" s="67">
        <f>IFERROR(INDEX(tbl_Finance[Client],$A217),"")</f>
        <v/>
      </c>
      <c r="E217" s="67">
        <f>IFERROR(INDEX(tbl_Finance[Job Number],$A217),"")</f>
        <v/>
      </c>
      <c r="F217" s="67">
        <f>IFERROR(INDEX(tbl_Finance[Cost Centre],$A217),"")</f>
        <v/>
      </c>
      <c r="G217" s="68">
        <f>IFERROR(INDEX(tbl_Finance[Ex GST],$A217),"")</f>
        <v/>
      </c>
      <c r="H217" s="66">
        <f>IFERROR(INDEX(tbl_Finance[Defer Start],$A217),"")</f>
        <v/>
      </c>
      <c r="I217" s="66">
        <f>IFERROR(INDEX(tbl_Finance[Defer End],$A217),"")</f>
        <v/>
      </c>
      <c r="J217" s="65">
        <f>IF(OR($H217="",$I217="",$G217=""),"",MAX(1,(YEAR($I217)-YEAR($H217))*12+MONTH($I217)-MONTH($H217)+1))</f>
        <v/>
      </c>
      <c r="K217" s="68">
        <f>IF($J217="","",$G217/$J217)</f>
        <v/>
      </c>
      <c r="L217" s="68">
        <f>IF($J217="",0,$K217*MAX(0,MIN(YEAR($C$3)*12+MONTH($C$3),YEAR($I217)*12+MONTH($I217))-(YEAR($H217)*12+MONTH($H217))+1))</f>
        <v/>
      </c>
      <c r="M217" s="68">
        <f>IF($J217="",0,$K217*MAX(0,MIN(YEAR($C$3)*12+MONTH($C$3)-1,YEAR($I217)*12+MONTH($I217))-(YEAR($H217)*12+MONTH($H217))+1))</f>
        <v/>
      </c>
      <c r="N217" s="68">
        <f>IF(OR($J217="",$B217=""),0,IF(YEAR($B217)*12+MONTH($B217)&lt;=YEAR($C$3)*12+MONTH($C$3),$G217,0))</f>
        <v/>
      </c>
      <c r="O217" s="68">
        <f>IF(OR($J217="",$B217=""),0,IF(YEAR($B217)*12+MONTH($B217)&lt;=YEAR($C$3)*12+MONTH($C$3)-1,$G217,0))</f>
        <v/>
      </c>
      <c r="P217" s="68">
        <f>$M217-$O217</f>
        <v/>
      </c>
      <c r="Q217" s="68">
        <f>($L217-$M217)-($N217-$O217)</f>
        <v/>
      </c>
      <c r="R217" s="68">
        <f>$L217-$N217</f>
        <v/>
      </c>
      <c r="S217" s="67">
        <f>"Finance invoice"</f>
        <v/>
      </c>
      <c r="T217" s="67">
        <f>"Revenue"</f>
        <v/>
      </c>
    </row>
    <row r="218">
      <c r="A218" s="65">
        <f>ROW()-5</f>
        <v/>
      </c>
      <c r="B218" s="66">
        <f>IFERROR(INDEX(tbl_Finance[Date],$A218),"")</f>
        <v/>
      </c>
      <c r="C218" s="67">
        <f>IFERROR(INDEX(tbl_Finance[Xero Invoice No],$A218),"")</f>
        <v/>
      </c>
      <c r="D218" s="67">
        <f>IFERROR(INDEX(tbl_Finance[Client],$A218),"")</f>
        <v/>
      </c>
      <c r="E218" s="67">
        <f>IFERROR(INDEX(tbl_Finance[Job Number],$A218),"")</f>
        <v/>
      </c>
      <c r="F218" s="67">
        <f>IFERROR(INDEX(tbl_Finance[Cost Centre],$A218),"")</f>
        <v/>
      </c>
      <c r="G218" s="68">
        <f>IFERROR(INDEX(tbl_Finance[Ex GST],$A218),"")</f>
        <v/>
      </c>
      <c r="H218" s="66">
        <f>IFERROR(INDEX(tbl_Finance[Defer Start],$A218),"")</f>
        <v/>
      </c>
      <c r="I218" s="66">
        <f>IFERROR(INDEX(tbl_Finance[Defer End],$A218),"")</f>
        <v/>
      </c>
      <c r="J218" s="65">
        <f>IF(OR($H218="",$I218="",$G218=""),"",MAX(1,(YEAR($I218)-YEAR($H218))*12+MONTH($I218)-MONTH($H218)+1))</f>
        <v/>
      </c>
      <c r="K218" s="68">
        <f>IF($J218="","",$G218/$J218)</f>
        <v/>
      </c>
      <c r="L218" s="68">
        <f>IF($J218="",0,$K218*MAX(0,MIN(YEAR($C$3)*12+MONTH($C$3),YEAR($I218)*12+MONTH($I218))-(YEAR($H218)*12+MONTH($H218))+1))</f>
        <v/>
      </c>
      <c r="M218" s="68">
        <f>IF($J218="",0,$K218*MAX(0,MIN(YEAR($C$3)*12+MONTH($C$3)-1,YEAR($I218)*12+MONTH($I218))-(YEAR($H218)*12+MONTH($H218))+1))</f>
        <v/>
      </c>
      <c r="N218" s="68">
        <f>IF(OR($J218="",$B218=""),0,IF(YEAR($B218)*12+MONTH($B218)&lt;=YEAR($C$3)*12+MONTH($C$3),$G218,0))</f>
        <v/>
      </c>
      <c r="O218" s="68">
        <f>IF(OR($J218="",$B218=""),0,IF(YEAR($B218)*12+MONTH($B218)&lt;=YEAR($C$3)*12+MONTH($C$3)-1,$G218,0))</f>
        <v/>
      </c>
      <c r="P218" s="68">
        <f>$M218-$O218</f>
        <v/>
      </c>
      <c r="Q218" s="68">
        <f>($L218-$M218)-($N218-$O218)</f>
        <v/>
      </c>
      <c r="R218" s="68">
        <f>$L218-$N218</f>
        <v/>
      </c>
      <c r="S218" s="67">
        <f>"Finance invoice"</f>
        <v/>
      </c>
      <c r="T218" s="67">
        <f>"Revenue"</f>
        <v/>
      </c>
    </row>
    <row r="219">
      <c r="A219" s="65">
        <f>ROW()-5</f>
        <v/>
      </c>
      <c r="B219" s="66">
        <f>IFERROR(INDEX(tbl_Finance[Date],$A219),"")</f>
        <v/>
      </c>
      <c r="C219" s="67">
        <f>IFERROR(INDEX(tbl_Finance[Xero Invoice No],$A219),"")</f>
        <v/>
      </c>
      <c r="D219" s="67">
        <f>IFERROR(INDEX(tbl_Finance[Client],$A219),"")</f>
        <v/>
      </c>
      <c r="E219" s="67">
        <f>IFERROR(INDEX(tbl_Finance[Job Number],$A219),"")</f>
        <v/>
      </c>
      <c r="F219" s="67">
        <f>IFERROR(INDEX(tbl_Finance[Cost Centre],$A219),"")</f>
        <v/>
      </c>
      <c r="G219" s="68">
        <f>IFERROR(INDEX(tbl_Finance[Ex GST],$A219),"")</f>
        <v/>
      </c>
      <c r="H219" s="66">
        <f>IFERROR(INDEX(tbl_Finance[Defer Start],$A219),"")</f>
        <v/>
      </c>
      <c r="I219" s="66">
        <f>IFERROR(INDEX(tbl_Finance[Defer End],$A219),"")</f>
        <v/>
      </c>
      <c r="J219" s="65">
        <f>IF(OR($H219="",$I219="",$G219=""),"",MAX(1,(YEAR($I219)-YEAR($H219))*12+MONTH($I219)-MONTH($H219)+1))</f>
        <v/>
      </c>
      <c r="K219" s="68">
        <f>IF($J219="","",$G219/$J219)</f>
        <v/>
      </c>
      <c r="L219" s="68">
        <f>IF($J219="",0,$K219*MAX(0,MIN(YEAR($C$3)*12+MONTH($C$3),YEAR($I219)*12+MONTH($I219))-(YEAR($H219)*12+MONTH($H219))+1))</f>
        <v/>
      </c>
      <c r="M219" s="68">
        <f>IF($J219="",0,$K219*MAX(0,MIN(YEAR($C$3)*12+MONTH($C$3)-1,YEAR($I219)*12+MONTH($I219))-(YEAR($H219)*12+MONTH($H219))+1))</f>
        <v/>
      </c>
      <c r="N219" s="68">
        <f>IF(OR($J219="",$B219=""),0,IF(YEAR($B219)*12+MONTH($B219)&lt;=YEAR($C$3)*12+MONTH($C$3),$G219,0))</f>
        <v/>
      </c>
      <c r="O219" s="68">
        <f>IF(OR($J219="",$B219=""),0,IF(YEAR($B219)*12+MONTH($B219)&lt;=YEAR($C$3)*12+MONTH($C$3)-1,$G219,0))</f>
        <v/>
      </c>
      <c r="P219" s="68">
        <f>$M219-$O219</f>
        <v/>
      </c>
      <c r="Q219" s="68">
        <f>($L219-$M219)-($N219-$O219)</f>
        <v/>
      </c>
      <c r="R219" s="68">
        <f>$L219-$N219</f>
        <v/>
      </c>
      <c r="S219" s="67">
        <f>"Finance invoice"</f>
        <v/>
      </c>
      <c r="T219" s="67">
        <f>"Revenue"</f>
        <v/>
      </c>
    </row>
    <row r="220">
      <c r="A220" s="65">
        <f>ROW()-5</f>
        <v/>
      </c>
      <c r="B220" s="66">
        <f>IFERROR(INDEX(tbl_Finance[Date],$A220),"")</f>
        <v/>
      </c>
      <c r="C220" s="67">
        <f>IFERROR(INDEX(tbl_Finance[Xero Invoice No],$A220),"")</f>
        <v/>
      </c>
      <c r="D220" s="67">
        <f>IFERROR(INDEX(tbl_Finance[Client],$A220),"")</f>
        <v/>
      </c>
      <c r="E220" s="67">
        <f>IFERROR(INDEX(tbl_Finance[Job Number],$A220),"")</f>
        <v/>
      </c>
      <c r="F220" s="67">
        <f>IFERROR(INDEX(tbl_Finance[Cost Centre],$A220),"")</f>
        <v/>
      </c>
      <c r="G220" s="68">
        <f>IFERROR(INDEX(tbl_Finance[Ex GST],$A220),"")</f>
        <v/>
      </c>
      <c r="H220" s="66">
        <f>IFERROR(INDEX(tbl_Finance[Defer Start],$A220),"")</f>
        <v/>
      </c>
      <c r="I220" s="66">
        <f>IFERROR(INDEX(tbl_Finance[Defer End],$A220),"")</f>
        <v/>
      </c>
      <c r="J220" s="65">
        <f>IF(OR($H220="",$I220="",$G220=""),"",MAX(1,(YEAR($I220)-YEAR($H220))*12+MONTH($I220)-MONTH($H220)+1))</f>
        <v/>
      </c>
      <c r="K220" s="68">
        <f>IF($J220="","",$G220/$J220)</f>
        <v/>
      </c>
      <c r="L220" s="68">
        <f>IF($J220="",0,$K220*MAX(0,MIN(YEAR($C$3)*12+MONTH($C$3),YEAR($I220)*12+MONTH($I220))-(YEAR($H220)*12+MONTH($H220))+1))</f>
        <v/>
      </c>
      <c r="M220" s="68">
        <f>IF($J220="",0,$K220*MAX(0,MIN(YEAR($C$3)*12+MONTH($C$3)-1,YEAR($I220)*12+MONTH($I220))-(YEAR($H220)*12+MONTH($H220))+1))</f>
        <v/>
      </c>
      <c r="N220" s="68">
        <f>IF(OR($J220="",$B220=""),0,IF(YEAR($B220)*12+MONTH($B220)&lt;=YEAR($C$3)*12+MONTH($C$3),$G220,0))</f>
        <v/>
      </c>
      <c r="O220" s="68">
        <f>IF(OR($J220="",$B220=""),0,IF(YEAR($B220)*12+MONTH($B220)&lt;=YEAR($C$3)*12+MONTH($C$3)-1,$G220,0))</f>
        <v/>
      </c>
      <c r="P220" s="68">
        <f>$M220-$O220</f>
        <v/>
      </c>
      <c r="Q220" s="68">
        <f>($L220-$M220)-($N220-$O220)</f>
        <v/>
      </c>
      <c r="R220" s="68">
        <f>$L220-$N220</f>
        <v/>
      </c>
      <c r="S220" s="67">
        <f>"Finance invoice"</f>
        <v/>
      </c>
      <c r="T220" s="67">
        <f>"Revenue"</f>
        <v/>
      </c>
    </row>
    <row r="221">
      <c r="A221" s="65">
        <f>ROW()-5</f>
        <v/>
      </c>
      <c r="B221" s="66">
        <f>IFERROR(INDEX(tbl_Finance[Date],$A221),"")</f>
        <v/>
      </c>
      <c r="C221" s="67">
        <f>IFERROR(INDEX(tbl_Finance[Xero Invoice No],$A221),"")</f>
        <v/>
      </c>
      <c r="D221" s="67">
        <f>IFERROR(INDEX(tbl_Finance[Client],$A221),"")</f>
        <v/>
      </c>
      <c r="E221" s="67">
        <f>IFERROR(INDEX(tbl_Finance[Job Number],$A221),"")</f>
        <v/>
      </c>
      <c r="F221" s="67">
        <f>IFERROR(INDEX(tbl_Finance[Cost Centre],$A221),"")</f>
        <v/>
      </c>
      <c r="G221" s="68">
        <f>IFERROR(INDEX(tbl_Finance[Ex GST],$A221),"")</f>
        <v/>
      </c>
      <c r="H221" s="66">
        <f>IFERROR(INDEX(tbl_Finance[Defer Start],$A221),"")</f>
        <v/>
      </c>
      <c r="I221" s="66">
        <f>IFERROR(INDEX(tbl_Finance[Defer End],$A221),"")</f>
        <v/>
      </c>
      <c r="J221" s="65">
        <f>IF(OR($H221="",$I221="",$G221=""),"",MAX(1,(YEAR($I221)-YEAR($H221))*12+MONTH($I221)-MONTH($H221)+1))</f>
        <v/>
      </c>
      <c r="K221" s="68">
        <f>IF($J221="","",$G221/$J221)</f>
        <v/>
      </c>
      <c r="L221" s="68">
        <f>IF($J221="",0,$K221*MAX(0,MIN(YEAR($C$3)*12+MONTH($C$3),YEAR($I221)*12+MONTH($I221))-(YEAR($H221)*12+MONTH($H221))+1))</f>
        <v/>
      </c>
      <c r="M221" s="68">
        <f>IF($J221="",0,$K221*MAX(0,MIN(YEAR($C$3)*12+MONTH($C$3)-1,YEAR($I221)*12+MONTH($I221))-(YEAR($H221)*12+MONTH($H221))+1))</f>
        <v/>
      </c>
      <c r="N221" s="68">
        <f>IF(OR($J221="",$B221=""),0,IF(YEAR($B221)*12+MONTH($B221)&lt;=YEAR($C$3)*12+MONTH($C$3),$G221,0))</f>
        <v/>
      </c>
      <c r="O221" s="68">
        <f>IF(OR($J221="",$B221=""),0,IF(YEAR($B221)*12+MONTH($B221)&lt;=YEAR($C$3)*12+MONTH($C$3)-1,$G221,0))</f>
        <v/>
      </c>
      <c r="P221" s="68">
        <f>$M221-$O221</f>
        <v/>
      </c>
      <c r="Q221" s="68">
        <f>($L221-$M221)-($N221-$O221)</f>
        <v/>
      </c>
      <c r="R221" s="68">
        <f>$L221-$N221</f>
        <v/>
      </c>
      <c r="S221" s="67">
        <f>"Finance invoice"</f>
        <v/>
      </c>
      <c r="T221" s="67">
        <f>"Revenue"</f>
        <v/>
      </c>
    </row>
    <row r="222">
      <c r="A222" s="65">
        <f>ROW()-5</f>
        <v/>
      </c>
      <c r="B222" s="66">
        <f>IFERROR(INDEX(tbl_Finance[Date],$A222),"")</f>
        <v/>
      </c>
      <c r="C222" s="67">
        <f>IFERROR(INDEX(tbl_Finance[Xero Invoice No],$A222),"")</f>
        <v/>
      </c>
      <c r="D222" s="67">
        <f>IFERROR(INDEX(tbl_Finance[Client],$A222),"")</f>
        <v/>
      </c>
      <c r="E222" s="67">
        <f>IFERROR(INDEX(tbl_Finance[Job Number],$A222),"")</f>
        <v/>
      </c>
      <c r="F222" s="67">
        <f>IFERROR(INDEX(tbl_Finance[Cost Centre],$A222),"")</f>
        <v/>
      </c>
      <c r="G222" s="68">
        <f>IFERROR(INDEX(tbl_Finance[Ex GST],$A222),"")</f>
        <v/>
      </c>
      <c r="H222" s="66">
        <f>IFERROR(INDEX(tbl_Finance[Defer Start],$A222),"")</f>
        <v/>
      </c>
      <c r="I222" s="66">
        <f>IFERROR(INDEX(tbl_Finance[Defer End],$A222),"")</f>
        <v/>
      </c>
      <c r="J222" s="65">
        <f>IF(OR($H222="",$I222="",$G222=""),"",MAX(1,(YEAR($I222)-YEAR($H222))*12+MONTH($I222)-MONTH($H222)+1))</f>
        <v/>
      </c>
      <c r="K222" s="68">
        <f>IF($J222="","",$G222/$J222)</f>
        <v/>
      </c>
      <c r="L222" s="68">
        <f>IF($J222="",0,$K222*MAX(0,MIN(YEAR($C$3)*12+MONTH($C$3),YEAR($I222)*12+MONTH($I222))-(YEAR($H222)*12+MONTH($H222))+1))</f>
        <v/>
      </c>
      <c r="M222" s="68">
        <f>IF($J222="",0,$K222*MAX(0,MIN(YEAR($C$3)*12+MONTH($C$3)-1,YEAR($I222)*12+MONTH($I222))-(YEAR($H222)*12+MONTH($H222))+1))</f>
        <v/>
      </c>
      <c r="N222" s="68">
        <f>IF(OR($J222="",$B222=""),0,IF(YEAR($B222)*12+MONTH($B222)&lt;=YEAR($C$3)*12+MONTH($C$3),$G222,0))</f>
        <v/>
      </c>
      <c r="O222" s="68">
        <f>IF(OR($J222="",$B222=""),0,IF(YEAR($B222)*12+MONTH($B222)&lt;=YEAR($C$3)*12+MONTH($C$3)-1,$G222,0))</f>
        <v/>
      </c>
      <c r="P222" s="68">
        <f>$M222-$O222</f>
        <v/>
      </c>
      <c r="Q222" s="68">
        <f>($L222-$M222)-($N222-$O222)</f>
        <v/>
      </c>
      <c r="R222" s="68">
        <f>$L222-$N222</f>
        <v/>
      </c>
      <c r="S222" s="67">
        <f>"Finance invoice"</f>
        <v/>
      </c>
      <c r="T222" s="67">
        <f>"Revenue"</f>
        <v/>
      </c>
    </row>
    <row r="223">
      <c r="A223" s="65">
        <f>ROW()-5</f>
        <v/>
      </c>
      <c r="B223" s="66">
        <f>IFERROR(INDEX(tbl_Finance[Date],$A223),"")</f>
        <v/>
      </c>
      <c r="C223" s="67">
        <f>IFERROR(INDEX(tbl_Finance[Xero Invoice No],$A223),"")</f>
        <v/>
      </c>
      <c r="D223" s="67">
        <f>IFERROR(INDEX(tbl_Finance[Client],$A223),"")</f>
        <v/>
      </c>
      <c r="E223" s="67">
        <f>IFERROR(INDEX(tbl_Finance[Job Number],$A223),"")</f>
        <v/>
      </c>
      <c r="F223" s="67">
        <f>IFERROR(INDEX(tbl_Finance[Cost Centre],$A223),"")</f>
        <v/>
      </c>
      <c r="G223" s="68">
        <f>IFERROR(INDEX(tbl_Finance[Ex GST],$A223),"")</f>
        <v/>
      </c>
      <c r="H223" s="66">
        <f>IFERROR(INDEX(tbl_Finance[Defer Start],$A223),"")</f>
        <v/>
      </c>
      <c r="I223" s="66">
        <f>IFERROR(INDEX(tbl_Finance[Defer End],$A223),"")</f>
        <v/>
      </c>
      <c r="J223" s="65">
        <f>IF(OR($H223="",$I223="",$G223=""),"",MAX(1,(YEAR($I223)-YEAR($H223))*12+MONTH($I223)-MONTH($H223)+1))</f>
        <v/>
      </c>
      <c r="K223" s="68">
        <f>IF($J223="","",$G223/$J223)</f>
        <v/>
      </c>
      <c r="L223" s="68">
        <f>IF($J223="",0,$K223*MAX(0,MIN(YEAR($C$3)*12+MONTH($C$3),YEAR($I223)*12+MONTH($I223))-(YEAR($H223)*12+MONTH($H223))+1))</f>
        <v/>
      </c>
      <c r="M223" s="68">
        <f>IF($J223="",0,$K223*MAX(0,MIN(YEAR($C$3)*12+MONTH($C$3)-1,YEAR($I223)*12+MONTH($I223))-(YEAR($H223)*12+MONTH($H223))+1))</f>
        <v/>
      </c>
      <c r="N223" s="68">
        <f>IF(OR($J223="",$B223=""),0,IF(YEAR($B223)*12+MONTH($B223)&lt;=YEAR($C$3)*12+MONTH($C$3),$G223,0))</f>
        <v/>
      </c>
      <c r="O223" s="68">
        <f>IF(OR($J223="",$B223=""),0,IF(YEAR($B223)*12+MONTH($B223)&lt;=YEAR($C$3)*12+MONTH($C$3)-1,$G223,0))</f>
        <v/>
      </c>
      <c r="P223" s="68">
        <f>$M223-$O223</f>
        <v/>
      </c>
      <c r="Q223" s="68">
        <f>($L223-$M223)-($N223-$O223)</f>
        <v/>
      </c>
      <c r="R223" s="68">
        <f>$L223-$N223</f>
        <v/>
      </c>
      <c r="S223" s="67">
        <f>"Finance invoice"</f>
        <v/>
      </c>
      <c r="T223" s="67">
        <f>"Revenue"</f>
        <v/>
      </c>
    </row>
    <row r="224">
      <c r="A224" s="65">
        <f>ROW()-5</f>
        <v/>
      </c>
      <c r="B224" s="66">
        <f>IFERROR(INDEX(tbl_Finance[Date],$A224),"")</f>
        <v/>
      </c>
      <c r="C224" s="67">
        <f>IFERROR(INDEX(tbl_Finance[Xero Invoice No],$A224),"")</f>
        <v/>
      </c>
      <c r="D224" s="67">
        <f>IFERROR(INDEX(tbl_Finance[Client],$A224),"")</f>
        <v/>
      </c>
      <c r="E224" s="67">
        <f>IFERROR(INDEX(tbl_Finance[Job Number],$A224),"")</f>
        <v/>
      </c>
      <c r="F224" s="67">
        <f>IFERROR(INDEX(tbl_Finance[Cost Centre],$A224),"")</f>
        <v/>
      </c>
      <c r="G224" s="68">
        <f>IFERROR(INDEX(tbl_Finance[Ex GST],$A224),"")</f>
        <v/>
      </c>
      <c r="H224" s="66">
        <f>IFERROR(INDEX(tbl_Finance[Defer Start],$A224),"")</f>
        <v/>
      </c>
      <c r="I224" s="66">
        <f>IFERROR(INDEX(tbl_Finance[Defer End],$A224),"")</f>
        <v/>
      </c>
      <c r="J224" s="65">
        <f>IF(OR($H224="",$I224="",$G224=""),"",MAX(1,(YEAR($I224)-YEAR($H224))*12+MONTH($I224)-MONTH($H224)+1))</f>
        <v/>
      </c>
      <c r="K224" s="68">
        <f>IF($J224="","",$G224/$J224)</f>
        <v/>
      </c>
      <c r="L224" s="68">
        <f>IF($J224="",0,$K224*MAX(0,MIN(YEAR($C$3)*12+MONTH($C$3),YEAR($I224)*12+MONTH($I224))-(YEAR($H224)*12+MONTH($H224))+1))</f>
        <v/>
      </c>
      <c r="M224" s="68">
        <f>IF($J224="",0,$K224*MAX(0,MIN(YEAR($C$3)*12+MONTH($C$3)-1,YEAR($I224)*12+MONTH($I224))-(YEAR($H224)*12+MONTH($H224))+1))</f>
        <v/>
      </c>
      <c r="N224" s="68">
        <f>IF(OR($J224="",$B224=""),0,IF(YEAR($B224)*12+MONTH($B224)&lt;=YEAR($C$3)*12+MONTH($C$3),$G224,0))</f>
        <v/>
      </c>
      <c r="O224" s="68">
        <f>IF(OR($J224="",$B224=""),0,IF(YEAR($B224)*12+MONTH($B224)&lt;=YEAR($C$3)*12+MONTH($C$3)-1,$G224,0))</f>
        <v/>
      </c>
      <c r="P224" s="68">
        <f>$M224-$O224</f>
        <v/>
      </c>
      <c r="Q224" s="68">
        <f>($L224-$M224)-($N224-$O224)</f>
        <v/>
      </c>
      <c r="R224" s="68">
        <f>$L224-$N224</f>
        <v/>
      </c>
      <c r="S224" s="67">
        <f>"Finance invoice"</f>
        <v/>
      </c>
      <c r="T224" s="67">
        <f>"Revenue"</f>
        <v/>
      </c>
    </row>
    <row r="225">
      <c r="A225" s="65">
        <f>ROW()-5</f>
        <v/>
      </c>
      <c r="B225" s="66">
        <f>IFERROR(INDEX(tbl_Finance[Date],$A225),"")</f>
        <v/>
      </c>
      <c r="C225" s="67">
        <f>IFERROR(INDEX(tbl_Finance[Xero Invoice No],$A225),"")</f>
        <v/>
      </c>
      <c r="D225" s="67">
        <f>IFERROR(INDEX(tbl_Finance[Client],$A225),"")</f>
        <v/>
      </c>
      <c r="E225" s="67">
        <f>IFERROR(INDEX(tbl_Finance[Job Number],$A225),"")</f>
        <v/>
      </c>
      <c r="F225" s="67">
        <f>IFERROR(INDEX(tbl_Finance[Cost Centre],$A225),"")</f>
        <v/>
      </c>
      <c r="G225" s="68">
        <f>IFERROR(INDEX(tbl_Finance[Ex GST],$A225),"")</f>
        <v/>
      </c>
      <c r="H225" s="66">
        <f>IFERROR(INDEX(tbl_Finance[Defer Start],$A225),"")</f>
        <v/>
      </c>
      <c r="I225" s="66">
        <f>IFERROR(INDEX(tbl_Finance[Defer End],$A225),"")</f>
        <v/>
      </c>
      <c r="J225" s="65">
        <f>IF(OR($H225="",$I225="",$G225=""),"",MAX(1,(YEAR($I225)-YEAR($H225))*12+MONTH($I225)-MONTH($H225)+1))</f>
        <v/>
      </c>
      <c r="K225" s="68">
        <f>IF($J225="","",$G225/$J225)</f>
        <v/>
      </c>
      <c r="L225" s="68">
        <f>IF($J225="",0,$K225*MAX(0,MIN(YEAR($C$3)*12+MONTH($C$3),YEAR($I225)*12+MONTH($I225))-(YEAR($H225)*12+MONTH($H225))+1))</f>
        <v/>
      </c>
      <c r="M225" s="68">
        <f>IF($J225="",0,$K225*MAX(0,MIN(YEAR($C$3)*12+MONTH($C$3)-1,YEAR($I225)*12+MONTH($I225))-(YEAR($H225)*12+MONTH($H225))+1))</f>
        <v/>
      </c>
      <c r="N225" s="68">
        <f>IF(OR($J225="",$B225=""),0,IF(YEAR($B225)*12+MONTH($B225)&lt;=YEAR($C$3)*12+MONTH($C$3),$G225,0))</f>
        <v/>
      </c>
      <c r="O225" s="68">
        <f>IF(OR($J225="",$B225=""),0,IF(YEAR($B225)*12+MONTH($B225)&lt;=YEAR($C$3)*12+MONTH($C$3)-1,$G225,0))</f>
        <v/>
      </c>
      <c r="P225" s="68">
        <f>$M225-$O225</f>
        <v/>
      </c>
      <c r="Q225" s="68">
        <f>($L225-$M225)-($N225-$O225)</f>
        <v/>
      </c>
      <c r="R225" s="68">
        <f>$L225-$N225</f>
        <v/>
      </c>
      <c r="S225" s="67">
        <f>"Finance invoice"</f>
        <v/>
      </c>
      <c r="T225" s="67">
        <f>"Revenue"</f>
        <v/>
      </c>
    </row>
    <row r="226">
      <c r="A226" s="65">
        <f>ROW()-5</f>
        <v/>
      </c>
      <c r="B226" s="66">
        <f>IFERROR(INDEX(tbl_Finance[Date],$A226),"")</f>
        <v/>
      </c>
      <c r="C226" s="67">
        <f>IFERROR(INDEX(tbl_Finance[Xero Invoice No],$A226),"")</f>
        <v/>
      </c>
      <c r="D226" s="67">
        <f>IFERROR(INDEX(tbl_Finance[Client],$A226),"")</f>
        <v/>
      </c>
      <c r="E226" s="67">
        <f>IFERROR(INDEX(tbl_Finance[Job Number],$A226),"")</f>
        <v/>
      </c>
      <c r="F226" s="67">
        <f>IFERROR(INDEX(tbl_Finance[Cost Centre],$A226),"")</f>
        <v/>
      </c>
      <c r="G226" s="68">
        <f>IFERROR(INDEX(tbl_Finance[Ex GST],$A226),"")</f>
        <v/>
      </c>
      <c r="H226" s="66">
        <f>IFERROR(INDEX(tbl_Finance[Defer Start],$A226),"")</f>
        <v/>
      </c>
      <c r="I226" s="66">
        <f>IFERROR(INDEX(tbl_Finance[Defer End],$A226),"")</f>
        <v/>
      </c>
      <c r="J226" s="65">
        <f>IF(OR($H226="",$I226="",$G226=""),"",MAX(1,(YEAR($I226)-YEAR($H226))*12+MONTH($I226)-MONTH($H226)+1))</f>
        <v/>
      </c>
      <c r="K226" s="68">
        <f>IF($J226="","",$G226/$J226)</f>
        <v/>
      </c>
      <c r="L226" s="68">
        <f>IF($J226="",0,$K226*MAX(0,MIN(YEAR($C$3)*12+MONTH($C$3),YEAR($I226)*12+MONTH($I226))-(YEAR($H226)*12+MONTH($H226))+1))</f>
        <v/>
      </c>
      <c r="M226" s="68">
        <f>IF($J226="",0,$K226*MAX(0,MIN(YEAR($C$3)*12+MONTH($C$3)-1,YEAR($I226)*12+MONTH($I226))-(YEAR($H226)*12+MONTH($H226))+1))</f>
        <v/>
      </c>
      <c r="N226" s="68">
        <f>IF(OR($J226="",$B226=""),0,IF(YEAR($B226)*12+MONTH($B226)&lt;=YEAR($C$3)*12+MONTH($C$3),$G226,0))</f>
        <v/>
      </c>
      <c r="O226" s="68">
        <f>IF(OR($J226="",$B226=""),0,IF(YEAR($B226)*12+MONTH($B226)&lt;=YEAR($C$3)*12+MONTH($C$3)-1,$G226,0))</f>
        <v/>
      </c>
      <c r="P226" s="68">
        <f>$M226-$O226</f>
        <v/>
      </c>
      <c r="Q226" s="68">
        <f>($L226-$M226)-($N226-$O226)</f>
        <v/>
      </c>
      <c r="R226" s="68">
        <f>$L226-$N226</f>
        <v/>
      </c>
      <c r="S226" s="67">
        <f>"Finance invoice"</f>
        <v/>
      </c>
      <c r="T226" s="67">
        <f>"Revenue"</f>
        <v/>
      </c>
    </row>
    <row r="227">
      <c r="A227" s="65">
        <f>ROW()-5</f>
        <v/>
      </c>
      <c r="B227" s="66">
        <f>IFERROR(INDEX(tbl_Finance[Date],$A227),"")</f>
        <v/>
      </c>
      <c r="C227" s="67">
        <f>IFERROR(INDEX(tbl_Finance[Xero Invoice No],$A227),"")</f>
        <v/>
      </c>
      <c r="D227" s="67">
        <f>IFERROR(INDEX(tbl_Finance[Client],$A227),"")</f>
        <v/>
      </c>
      <c r="E227" s="67">
        <f>IFERROR(INDEX(tbl_Finance[Job Number],$A227),"")</f>
        <v/>
      </c>
      <c r="F227" s="67">
        <f>IFERROR(INDEX(tbl_Finance[Cost Centre],$A227),"")</f>
        <v/>
      </c>
      <c r="G227" s="68">
        <f>IFERROR(INDEX(tbl_Finance[Ex GST],$A227),"")</f>
        <v/>
      </c>
      <c r="H227" s="66">
        <f>IFERROR(INDEX(tbl_Finance[Defer Start],$A227),"")</f>
        <v/>
      </c>
      <c r="I227" s="66">
        <f>IFERROR(INDEX(tbl_Finance[Defer End],$A227),"")</f>
        <v/>
      </c>
      <c r="J227" s="65">
        <f>IF(OR($H227="",$I227="",$G227=""),"",MAX(1,(YEAR($I227)-YEAR($H227))*12+MONTH($I227)-MONTH($H227)+1))</f>
        <v/>
      </c>
      <c r="K227" s="68">
        <f>IF($J227="","",$G227/$J227)</f>
        <v/>
      </c>
      <c r="L227" s="68">
        <f>IF($J227="",0,$K227*MAX(0,MIN(YEAR($C$3)*12+MONTH($C$3),YEAR($I227)*12+MONTH($I227))-(YEAR($H227)*12+MONTH($H227))+1))</f>
        <v/>
      </c>
      <c r="M227" s="68">
        <f>IF($J227="",0,$K227*MAX(0,MIN(YEAR($C$3)*12+MONTH($C$3)-1,YEAR($I227)*12+MONTH($I227))-(YEAR($H227)*12+MONTH($H227))+1))</f>
        <v/>
      </c>
      <c r="N227" s="68">
        <f>IF(OR($J227="",$B227=""),0,IF(YEAR($B227)*12+MONTH($B227)&lt;=YEAR($C$3)*12+MONTH($C$3),$G227,0))</f>
        <v/>
      </c>
      <c r="O227" s="68">
        <f>IF(OR($J227="",$B227=""),0,IF(YEAR($B227)*12+MONTH($B227)&lt;=YEAR($C$3)*12+MONTH($C$3)-1,$G227,0))</f>
        <v/>
      </c>
      <c r="P227" s="68">
        <f>$M227-$O227</f>
        <v/>
      </c>
      <c r="Q227" s="68">
        <f>($L227-$M227)-($N227-$O227)</f>
        <v/>
      </c>
      <c r="R227" s="68">
        <f>$L227-$N227</f>
        <v/>
      </c>
      <c r="S227" s="67">
        <f>"Finance invoice"</f>
        <v/>
      </c>
      <c r="T227" s="67">
        <f>"Revenue"</f>
        <v/>
      </c>
    </row>
    <row r="228">
      <c r="A228" s="65">
        <f>ROW()-5</f>
        <v/>
      </c>
      <c r="B228" s="66">
        <f>IFERROR(INDEX(tbl_Finance[Date],$A228),"")</f>
        <v/>
      </c>
      <c r="C228" s="67">
        <f>IFERROR(INDEX(tbl_Finance[Xero Invoice No],$A228),"")</f>
        <v/>
      </c>
      <c r="D228" s="67">
        <f>IFERROR(INDEX(tbl_Finance[Client],$A228),"")</f>
        <v/>
      </c>
      <c r="E228" s="67">
        <f>IFERROR(INDEX(tbl_Finance[Job Number],$A228),"")</f>
        <v/>
      </c>
      <c r="F228" s="67">
        <f>IFERROR(INDEX(tbl_Finance[Cost Centre],$A228),"")</f>
        <v/>
      </c>
      <c r="G228" s="68">
        <f>IFERROR(INDEX(tbl_Finance[Ex GST],$A228),"")</f>
        <v/>
      </c>
      <c r="H228" s="66">
        <f>IFERROR(INDEX(tbl_Finance[Defer Start],$A228),"")</f>
        <v/>
      </c>
      <c r="I228" s="66">
        <f>IFERROR(INDEX(tbl_Finance[Defer End],$A228),"")</f>
        <v/>
      </c>
      <c r="J228" s="65">
        <f>IF(OR($H228="",$I228="",$G228=""),"",MAX(1,(YEAR($I228)-YEAR($H228))*12+MONTH($I228)-MONTH($H228)+1))</f>
        <v/>
      </c>
      <c r="K228" s="68">
        <f>IF($J228="","",$G228/$J228)</f>
        <v/>
      </c>
      <c r="L228" s="68">
        <f>IF($J228="",0,$K228*MAX(0,MIN(YEAR($C$3)*12+MONTH($C$3),YEAR($I228)*12+MONTH($I228))-(YEAR($H228)*12+MONTH($H228))+1))</f>
        <v/>
      </c>
      <c r="M228" s="68">
        <f>IF($J228="",0,$K228*MAX(0,MIN(YEAR($C$3)*12+MONTH($C$3)-1,YEAR($I228)*12+MONTH($I228))-(YEAR($H228)*12+MONTH($H228))+1))</f>
        <v/>
      </c>
      <c r="N228" s="68">
        <f>IF(OR($J228="",$B228=""),0,IF(YEAR($B228)*12+MONTH($B228)&lt;=YEAR($C$3)*12+MONTH($C$3),$G228,0))</f>
        <v/>
      </c>
      <c r="O228" s="68">
        <f>IF(OR($J228="",$B228=""),0,IF(YEAR($B228)*12+MONTH($B228)&lt;=YEAR($C$3)*12+MONTH($C$3)-1,$G228,0))</f>
        <v/>
      </c>
      <c r="P228" s="68">
        <f>$M228-$O228</f>
        <v/>
      </c>
      <c r="Q228" s="68">
        <f>($L228-$M228)-($N228-$O228)</f>
        <v/>
      </c>
      <c r="R228" s="68">
        <f>$L228-$N228</f>
        <v/>
      </c>
      <c r="S228" s="67">
        <f>"Finance invoice"</f>
        <v/>
      </c>
      <c r="T228" s="67">
        <f>"Revenue"</f>
        <v/>
      </c>
    </row>
    <row r="229">
      <c r="A229" s="65">
        <f>ROW()-5</f>
        <v/>
      </c>
      <c r="B229" s="66">
        <f>IFERROR(INDEX(tbl_Finance[Date],$A229),"")</f>
        <v/>
      </c>
      <c r="C229" s="67">
        <f>IFERROR(INDEX(tbl_Finance[Xero Invoice No],$A229),"")</f>
        <v/>
      </c>
      <c r="D229" s="67">
        <f>IFERROR(INDEX(tbl_Finance[Client],$A229),"")</f>
        <v/>
      </c>
      <c r="E229" s="67">
        <f>IFERROR(INDEX(tbl_Finance[Job Number],$A229),"")</f>
        <v/>
      </c>
      <c r="F229" s="67">
        <f>IFERROR(INDEX(tbl_Finance[Cost Centre],$A229),"")</f>
        <v/>
      </c>
      <c r="G229" s="68">
        <f>IFERROR(INDEX(tbl_Finance[Ex GST],$A229),"")</f>
        <v/>
      </c>
      <c r="H229" s="66">
        <f>IFERROR(INDEX(tbl_Finance[Defer Start],$A229),"")</f>
        <v/>
      </c>
      <c r="I229" s="66">
        <f>IFERROR(INDEX(tbl_Finance[Defer End],$A229),"")</f>
        <v/>
      </c>
      <c r="J229" s="65">
        <f>IF(OR($H229="",$I229="",$G229=""),"",MAX(1,(YEAR($I229)-YEAR($H229))*12+MONTH($I229)-MONTH($H229)+1))</f>
        <v/>
      </c>
      <c r="K229" s="68">
        <f>IF($J229="","",$G229/$J229)</f>
        <v/>
      </c>
      <c r="L229" s="68">
        <f>IF($J229="",0,$K229*MAX(0,MIN(YEAR($C$3)*12+MONTH($C$3),YEAR($I229)*12+MONTH($I229))-(YEAR($H229)*12+MONTH($H229))+1))</f>
        <v/>
      </c>
      <c r="M229" s="68">
        <f>IF($J229="",0,$K229*MAX(0,MIN(YEAR($C$3)*12+MONTH($C$3)-1,YEAR($I229)*12+MONTH($I229))-(YEAR($H229)*12+MONTH($H229))+1))</f>
        <v/>
      </c>
      <c r="N229" s="68">
        <f>IF(OR($J229="",$B229=""),0,IF(YEAR($B229)*12+MONTH($B229)&lt;=YEAR($C$3)*12+MONTH($C$3),$G229,0))</f>
        <v/>
      </c>
      <c r="O229" s="68">
        <f>IF(OR($J229="",$B229=""),0,IF(YEAR($B229)*12+MONTH($B229)&lt;=YEAR($C$3)*12+MONTH($C$3)-1,$G229,0))</f>
        <v/>
      </c>
      <c r="P229" s="68">
        <f>$M229-$O229</f>
        <v/>
      </c>
      <c r="Q229" s="68">
        <f>($L229-$M229)-($N229-$O229)</f>
        <v/>
      </c>
      <c r="R229" s="68">
        <f>$L229-$N229</f>
        <v/>
      </c>
      <c r="S229" s="67">
        <f>"Finance invoice"</f>
        <v/>
      </c>
      <c r="T229" s="67">
        <f>"Revenue"</f>
        <v/>
      </c>
    </row>
    <row r="230">
      <c r="A230" s="65">
        <f>ROW()-5</f>
        <v/>
      </c>
      <c r="B230" s="66">
        <f>IFERROR(INDEX(tbl_Finance[Date],$A230),"")</f>
        <v/>
      </c>
      <c r="C230" s="67">
        <f>IFERROR(INDEX(tbl_Finance[Xero Invoice No],$A230),"")</f>
        <v/>
      </c>
      <c r="D230" s="67">
        <f>IFERROR(INDEX(tbl_Finance[Client],$A230),"")</f>
        <v/>
      </c>
      <c r="E230" s="67">
        <f>IFERROR(INDEX(tbl_Finance[Job Number],$A230),"")</f>
        <v/>
      </c>
      <c r="F230" s="67">
        <f>IFERROR(INDEX(tbl_Finance[Cost Centre],$A230),"")</f>
        <v/>
      </c>
      <c r="G230" s="68">
        <f>IFERROR(INDEX(tbl_Finance[Ex GST],$A230),"")</f>
        <v/>
      </c>
      <c r="H230" s="66">
        <f>IFERROR(INDEX(tbl_Finance[Defer Start],$A230),"")</f>
        <v/>
      </c>
      <c r="I230" s="66">
        <f>IFERROR(INDEX(tbl_Finance[Defer End],$A230),"")</f>
        <v/>
      </c>
      <c r="J230" s="65">
        <f>IF(OR($H230="",$I230="",$G230=""),"",MAX(1,(YEAR($I230)-YEAR($H230))*12+MONTH($I230)-MONTH($H230)+1))</f>
        <v/>
      </c>
      <c r="K230" s="68">
        <f>IF($J230="","",$G230/$J230)</f>
        <v/>
      </c>
      <c r="L230" s="68">
        <f>IF($J230="",0,$K230*MAX(0,MIN(YEAR($C$3)*12+MONTH($C$3),YEAR($I230)*12+MONTH($I230))-(YEAR($H230)*12+MONTH($H230))+1))</f>
        <v/>
      </c>
      <c r="M230" s="68">
        <f>IF($J230="",0,$K230*MAX(0,MIN(YEAR($C$3)*12+MONTH($C$3)-1,YEAR($I230)*12+MONTH($I230))-(YEAR($H230)*12+MONTH($H230))+1))</f>
        <v/>
      </c>
      <c r="N230" s="68">
        <f>IF(OR($J230="",$B230=""),0,IF(YEAR($B230)*12+MONTH($B230)&lt;=YEAR($C$3)*12+MONTH($C$3),$G230,0))</f>
        <v/>
      </c>
      <c r="O230" s="68">
        <f>IF(OR($J230="",$B230=""),0,IF(YEAR($B230)*12+MONTH($B230)&lt;=YEAR($C$3)*12+MONTH($C$3)-1,$G230,0))</f>
        <v/>
      </c>
      <c r="P230" s="68">
        <f>$M230-$O230</f>
        <v/>
      </c>
      <c r="Q230" s="68">
        <f>($L230-$M230)-($N230-$O230)</f>
        <v/>
      </c>
      <c r="R230" s="68">
        <f>$L230-$N230</f>
        <v/>
      </c>
      <c r="S230" s="67">
        <f>"Finance invoice"</f>
        <v/>
      </c>
      <c r="T230" s="67">
        <f>"Revenue"</f>
        <v/>
      </c>
    </row>
    <row r="231">
      <c r="A231" s="65">
        <f>ROW()-5</f>
        <v/>
      </c>
      <c r="B231" s="66">
        <f>IFERROR(INDEX(tbl_Finance[Date],$A231),"")</f>
        <v/>
      </c>
      <c r="C231" s="67">
        <f>IFERROR(INDEX(tbl_Finance[Xero Invoice No],$A231),"")</f>
        <v/>
      </c>
      <c r="D231" s="67">
        <f>IFERROR(INDEX(tbl_Finance[Client],$A231),"")</f>
        <v/>
      </c>
      <c r="E231" s="67">
        <f>IFERROR(INDEX(tbl_Finance[Job Number],$A231),"")</f>
        <v/>
      </c>
      <c r="F231" s="67">
        <f>IFERROR(INDEX(tbl_Finance[Cost Centre],$A231),"")</f>
        <v/>
      </c>
      <c r="G231" s="68">
        <f>IFERROR(INDEX(tbl_Finance[Ex GST],$A231),"")</f>
        <v/>
      </c>
      <c r="H231" s="66">
        <f>IFERROR(INDEX(tbl_Finance[Defer Start],$A231),"")</f>
        <v/>
      </c>
      <c r="I231" s="66">
        <f>IFERROR(INDEX(tbl_Finance[Defer End],$A231),"")</f>
        <v/>
      </c>
      <c r="J231" s="65">
        <f>IF(OR($H231="",$I231="",$G231=""),"",MAX(1,(YEAR($I231)-YEAR($H231))*12+MONTH($I231)-MONTH($H231)+1))</f>
        <v/>
      </c>
      <c r="K231" s="68">
        <f>IF($J231="","",$G231/$J231)</f>
        <v/>
      </c>
      <c r="L231" s="68">
        <f>IF($J231="",0,$K231*MAX(0,MIN(YEAR($C$3)*12+MONTH($C$3),YEAR($I231)*12+MONTH($I231))-(YEAR($H231)*12+MONTH($H231))+1))</f>
        <v/>
      </c>
      <c r="M231" s="68">
        <f>IF($J231="",0,$K231*MAX(0,MIN(YEAR($C$3)*12+MONTH($C$3)-1,YEAR($I231)*12+MONTH($I231))-(YEAR($H231)*12+MONTH($H231))+1))</f>
        <v/>
      </c>
      <c r="N231" s="68">
        <f>IF(OR($J231="",$B231=""),0,IF(YEAR($B231)*12+MONTH($B231)&lt;=YEAR($C$3)*12+MONTH($C$3),$G231,0))</f>
        <v/>
      </c>
      <c r="O231" s="68">
        <f>IF(OR($J231="",$B231=""),0,IF(YEAR($B231)*12+MONTH($B231)&lt;=YEAR($C$3)*12+MONTH($C$3)-1,$G231,0))</f>
        <v/>
      </c>
      <c r="P231" s="68">
        <f>$M231-$O231</f>
        <v/>
      </c>
      <c r="Q231" s="68">
        <f>($L231-$M231)-($N231-$O231)</f>
        <v/>
      </c>
      <c r="R231" s="68">
        <f>$L231-$N231</f>
        <v/>
      </c>
      <c r="S231" s="67">
        <f>"Finance invoice"</f>
        <v/>
      </c>
      <c r="T231" s="67">
        <f>"Revenue"</f>
        <v/>
      </c>
    </row>
    <row r="232">
      <c r="A232" s="65">
        <f>ROW()-5</f>
        <v/>
      </c>
      <c r="B232" s="66">
        <f>IFERROR(INDEX(tbl_Finance[Date],$A232),"")</f>
        <v/>
      </c>
      <c r="C232" s="67">
        <f>IFERROR(INDEX(tbl_Finance[Xero Invoice No],$A232),"")</f>
        <v/>
      </c>
      <c r="D232" s="67">
        <f>IFERROR(INDEX(tbl_Finance[Client],$A232),"")</f>
        <v/>
      </c>
      <c r="E232" s="67">
        <f>IFERROR(INDEX(tbl_Finance[Job Number],$A232),"")</f>
        <v/>
      </c>
      <c r="F232" s="67">
        <f>IFERROR(INDEX(tbl_Finance[Cost Centre],$A232),"")</f>
        <v/>
      </c>
      <c r="G232" s="68">
        <f>IFERROR(INDEX(tbl_Finance[Ex GST],$A232),"")</f>
        <v/>
      </c>
      <c r="H232" s="66">
        <f>IFERROR(INDEX(tbl_Finance[Defer Start],$A232),"")</f>
        <v/>
      </c>
      <c r="I232" s="66">
        <f>IFERROR(INDEX(tbl_Finance[Defer End],$A232),"")</f>
        <v/>
      </c>
      <c r="J232" s="65">
        <f>IF(OR($H232="",$I232="",$G232=""),"",MAX(1,(YEAR($I232)-YEAR($H232))*12+MONTH($I232)-MONTH($H232)+1))</f>
        <v/>
      </c>
      <c r="K232" s="68">
        <f>IF($J232="","",$G232/$J232)</f>
        <v/>
      </c>
      <c r="L232" s="68">
        <f>IF($J232="",0,$K232*MAX(0,MIN(YEAR($C$3)*12+MONTH($C$3),YEAR($I232)*12+MONTH($I232))-(YEAR($H232)*12+MONTH($H232))+1))</f>
        <v/>
      </c>
      <c r="M232" s="68">
        <f>IF($J232="",0,$K232*MAX(0,MIN(YEAR($C$3)*12+MONTH($C$3)-1,YEAR($I232)*12+MONTH($I232))-(YEAR($H232)*12+MONTH($H232))+1))</f>
        <v/>
      </c>
      <c r="N232" s="68">
        <f>IF(OR($J232="",$B232=""),0,IF(YEAR($B232)*12+MONTH($B232)&lt;=YEAR($C$3)*12+MONTH($C$3),$G232,0))</f>
        <v/>
      </c>
      <c r="O232" s="68">
        <f>IF(OR($J232="",$B232=""),0,IF(YEAR($B232)*12+MONTH($B232)&lt;=YEAR($C$3)*12+MONTH($C$3)-1,$G232,0))</f>
        <v/>
      </c>
      <c r="P232" s="68">
        <f>$M232-$O232</f>
        <v/>
      </c>
      <c r="Q232" s="68">
        <f>($L232-$M232)-($N232-$O232)</f>
        <v/>
      </c>
      <c r="R232" s="68">
        <f>$L232-$N232</f>
        <v/>
      </c>
      <c r="S232" s="67">
        <f>"Finance invoice"</f>
        <v/>
      </c>
      <c r="T232" s="67">
        <f>"Revenue"</f>
        <v/>
      </c>
    </row>
    <row r="233">
      <c r="A233" s="65">
        <f>ROW()-5</f>
        <v/>
      </c>
      <c r="B233" s="66">
        <f>IFERROR(INDEX(tbl_Finance[Date],$A233),"")</f>
        <v/>
      </c>
      <c r="C233" s="67">
        <f>IFERROR(INDEX(tbl_Finance[Xero Invoice No],$A233),"")</f>
        <v/>
      </c>
      <c r="D233" s="67">
        <f>IFERROR(INDEX(tbl_Finance[Client],$A233),"")</f>
        <v/>
      </c>
      <c r="E233" s="67">
        <f>IFERROR(INDEX(tbl_Finance[Job Number],$A233),"")</f>
        <v/>
      </c>
      <c r="F233" s="67">
        <f>IFERROR(INDEX(tbl_Finance[Cost Centre],$A233),"")</f>
        <v/>
      </c>
      <c r="G233" s="68">
        <f>IFERROR(INDEX(tbl_Finance[Ex GST],$A233),"")</f>
        <v/>
      </c>
      <c r="H233" s="66">
        <f>IFERROR(INDEX(tbl_Finance[Defer Start],$A233),"")</f>
        <v/>
      </c>
      <c r="I233" s="66">
        <f>IFERROR(INDEX(tbl_Finance[Defer End],$A233),"")</f>
        <v/>
      </c>
      <c r="J233" s="65">
        <f>IF(OR($H233="",$I233="",$G233=""),"",MAX(1,(YEAR($I233)-YEAR($H233))*12+MONTH($I233)-MONTH($H233)+1))</f>
        <v/>
      </c>
      <c r="K233" s="68">
        <f>IF($J233="","",$G233/$J233)</f>
        <v/>
      </c>
      <c r="L233" s="68">
        <f>IF($J233="",0,$K233*MAX(0,MIN(YEAR($C$3)*12+MONTH($C$3),YEAR($I233)*12+MONTH($I233))-(YEAR($H233)*12+MONTH($H233))+1))</f>
        <v/>
      </c>
      <c r="M233" s="68">
        <f>IF($J233="",0,$K233*MAX(0,MIN(YEAR($C$3)*12+MONTH($C$3)-1,YEAR($I233)*12+MONTH($I233))-(YEAR($H233)*12+MONTH($H233))+1))</f>
        <v/>
      </c>
      <c r="N233" s="68">
        <f>IF(OR($J233="",$B233=""),0,IF(YEAR($B233)*12+MONTH($B233)&lt;=YEAR($C$3)*12+MONTH($C$3),$G233,0))</f>
        <v/>
      </c>
      <c r="O233" s="68">
        <f>IF(OR($J233="",$B233=""),0,IF(YEAR($B233)*12+MONTH($B233)&lt;=YEAR($C$3)*12+MONTH($C$3)-1,$G233,0))</f>
        <v/>
      </c>
      <c r="P233" s="68">
        <f>$M233-$O233</f>
        <v/>
      </c>
      <c r="Q233" s="68">
        <f>($L233-$M233)-($N233-$O233)</f>
        <v/>
      </c>
      <c r="R233" s="68">
        <f>$L233-$N233</f>
        <v/>
      </c>
      <c r="S233" s="67">
        <f>"Finance invoice"</f>
        <v/>
      </c>
      <c r="T233" s="67">
        <f>"Revenue"</f>
        <v/>
      </c>
    </row>
    <row r="234">
      <c r="A234" s="65">
        <f>ROW()-5</f>
        <v/>
      </c>
      <c r="B234" s="66">
        <f>IFERROR(INDEX(tbl_Finance[Date],$A234),"")</f>
        <v/>
      </c>
      <c r="C234" s="67">
        <f>IFERROR(INDEX(tbl_Finance[Xero Invoice No],$A234),"")</f>
        <v/>
      </c>
      <c r="D234" s="67">
        <f>IFERROR(INDEX(tbl_Finance[Client],$A234),"")</f>
        <v/>
      </c>
      <c r="E234" s="67">
        <f>IFERROR(INDEX(tbl_Finance[Job Number],$A234),"")</f>
        <v/>
      </c>
      <c r="F234" s="67">
        <f>IFERROR(INDEX(tbl_Finance[Cost Centre],$A234),"")</f>
        <v/>
      </c>
      <c r="G234" s="68">
        <f>IFERROR(INDEX(tbl_Finance[Ex GST],$A234),"")</f>
        <v/>
      </c>
      <c r="H234" s="66">
        <f>IFERROR(INDEX(tbl_Finance[Defer Start],$A234),"")</f>
        <v/>
      </c>
      <c r="I234" s="66">
        <f>IFERROR(INDEX(tbl_Finance[Defer End],$A234),"")</f>
        <v/>
      </c>
      <c r="J234" s="65">
        <f>IF(OR($H234="",$I234="",$G234=""),"",MAX(1,(YEAR($I234)-YEAR($H234))*12+MONTH($I234)-MONTH($H234)+1))</f>
        <v/>
      </c>
      <c r="K234" s="68">
        <f>IF($J234="","",$G234/$J234)</f>
        <v/>
      </c>
      <c r="L234" s="68">
        <f>IF($J234="",0,$K234*MAX(0,MIN(YEAR($C$3)*12+MONTH($C$3),YEAR($I234)*12+MONTH($I234))-(YEAR($H234)*12+MONTH($H234))+1))</f>
        <v/>
      </c>
      <c r="M234" s="68">
        <f>IF($J234="",0,$K234*MAX(0,MIN(YEAR($C$3)*12+MONTH($C$3)-1,YEAR($I234)*12+MONTH($I234))-(YEAR($H234)*12+MONTH($H234))+1))</f>
        <v/>
      </c>
      <c r="N234" s="68">
        <f>IF(OR($J234="",$B234=""),0,IF(YEAR($B234)*12+MONTH($B234)&lt;=YEAR($C$3)*12+MONTH($C$3),$G234,0))</f>
        <v/>
      </c>
      <c r="O234" s="68">
        <f>IF(OR($J234="",$B234=""),0,IF(YEAR($B234)*12+MONTH($B234)&lt;=YEAR($C$3)*12+MONTH($C$3)-1,$G234,0))</f>
        <v/>
      </c>
      <c r="P234" s="68">
        <f>$M234-$O234</f>
        <v/>
      </c>
      <c r="Q234" s="68">
        <f>($L234-$M234)-($N234-$O234)</f>
        <v/>
      </c>
      <c r="R234" s="68">
        <f>$L234-$N234</f>
        <v/>
      </c>
      <c r="S234" s="67">
        <f>"Finance invoice"</f>
        <v/>
      </c>
      <c r="T234" s="67">
        <f>"Revenue"</f>
        <v/>
      </c>
    </row>
    <row r="235">
      <c r="A235" s="65">
        <f>ROW()-5</f>
        <v/>
      </c>
      <c r="B235" s="66">
        <f>IFERROR(INDEX(tbl_Finance[Date],$A235),"")</f>
        <v/>
      </c>
      <c r="C235" s="67">
        <f>IFERROR(INDEX(tbl_Finance[Xero Invoice No],$A235),"")</f>
        <v/>
      </c>
      <c r="D235" s="67">
        <f>IFERROR(INDEX(tbl_Finance[Client],$A235),"")</f>
        <v/>
      </c>
      <c r="E235" s="67">
        <f>IFERROR(INDEX(tbl_Finance[Job Number],$A235),"")</f>
        <v/>
      </c>
      <c r="F235" s="67">
        <f>IFERROR(INDEX(tbl_Finance[Cost Centre],$A235),"")</f>
        <v/>
      </c>
      <c r="G235" s="68">
        <f>IFERROR(INDEX(tbl_Finance[Ex GST],$A235),"")</f>
        <v/>
      </c>
      <c r="H235" s="66">
        <f>IFERROR(INDEX(tbl_Finance[Defer Start],$A235),"")</f>
        <v/>
      </c>
      <c r="I235" s="66">
        <f>IFERROR(INDEX(tbl_Finance[Defer End],$A235),"")</f>
        <v/>
      </c>
      <c r="J235" s="65">
        <f>IF(OR($H235="",$I235="",$G235=""),"",MAX(1,(YEAR($I235)-YEAR($H235))*12+MONTH($I235)-MONTH($H235)+1))</f>
        <v/>
      </c>
      <c r="K235" s="68">
        <f>IF($J235="","",$G235/$J235)</f>
        <v/>
      </c>
      <c r="L235" s="68">
        <f>IF($J235="",0,$K235*MAX(0,MIN(YEAR($C$3)*12+MONTH($C$3),YEAR($I235)*12+MONTH($I235))-(YEAR($H235)*12+MONTH($H235))+1))</f>
        <v/>
      </c>
      <c r="M235" s="68">
        <f>IF($J235="",0,$K235*MAX(0,MIN(YEAR($C$3)*12+MONTH($C$3)-1,YEAR($I235)*12+MONTH($I235))-(YEAR($H235)*12+MONTH($H235))+1))</f>
        <v/>
      </c>
      <c r="N235" s="68">
        <f>IF(OR($J235="",$B235=""),0,IF(YEAR($B235)*12+MONTH($B235)&lt;=YEAR($C$3)*12+MONTH($C$3),$G235,0))</f>
        <v/>
      </c>
      <c r="O235" s="68">
        <f>IF(OR($J235="",$B235=""),0,IF(YEAR($B235)*12+MONTH($B235)&lt;=YEAR($C$3)*12+MONTH($C$3)-1,$G235,0))</f>
        <v/>
      </c>
      <c r="P235" s="68">
        <f>$M235-$O235</f>
        <v/>
      </c>
      <c r="Q235" s="68">
        <f>($L235-$M235)-($N235-$O235)</f>
        <v/>
      </c>
      <c r="R235" s="68">
        <f>$L235-$N235</f>
        <v/>
      </c>
      <c r="S235" s="67">
        <f>"Finance invoice"</f>
        <v/>
      </c>
      <c r="T235" s="67">
        <f>"Revenue"</f>
        <v/>
      </c>
    </row>
    <row r="236">
      <c r="A236" s="65">
        <f>ROW()-5</f>
        <v/>
      </c>
      <c r="B236" s="66">
        <f>IFERROR(INDEX(tbl_Finance[Date],$A236),"")</f>
        <v/>
      </c>
      <c r="C236" s="67">
        <f>IFERROR(INDEX(tbl_Finance[Xero Invoice No],$A236),"")</f>
        <v/>
      </c>
      <c r="D236" s="67">
        <f>IFERROR(INDEX(tbl_Finance[Client],$A236),"")</f>
        <v/>
      </c>
      <c r="E236" s="67">
        <f>IFERROR(INDEX(tbl_Finance[Job Number],$A236),"")</f>
        <v/>
      </c>
      <c r="F236" s="67">
        <f>IFERROR(INDEX(tbl_Finance[Cost Centre],$A236),"")</f>
        <v/>
      </c>
      <c r="G236" s="68">
        <f>IFERROR(INDEX(tbl_Finance[Ex GST],$A236),"")</f>
        <v/>
      </c>
      <c r="H236" s="66">
        <f>IFERROR(INDEX(tbl_Finance[Defer Start],$A236),"")</f>
        <v/>
      </c>
      <c r="I236" s="66">
        <f>IFERROR(INDEX(tbl_Finance[Defer End],$A236),"")</f>
        <v/>
      </c>
      <c r="J236" s="65">
        <f>IF(OR($H236="",$I236="",$G236=""),"",MAX(1,(YEAR($I236)-YEAR($H236))*12+MONTH($I236)-MONTH($H236)+1))</f>
        <v/>
      </c>
      <c r="K236" s="68">
        <f>IF($J236="","",$G236/$J236)</f>
        <v/>
      </c>
      <c r="L236" s="68">
        <f>IF($J236="",0,$K236*MAX(0,MIN(YEAR($C$3)*12+MONTH($C$3),YEAR($I236)*12+MONTH($I236))-(YEAR($H236)*12+MONTH($H236))+1))</f>
        <v/>
      </c>
      <c r="M236" s="68">
        <f>IF($J236="",0,$K236*MAX(0,MIN(YEAR($C$3)*12+MONTH($C$3)-1,YEAR($I236)*12+MONTH($I236))-(YEAR($H236)*12+MONTH($H236))+1))</f>
        <v/>
      </c>
      <c r="N236" s="68">
        <f>IF(OR($J236="",$B236=""),0,IF(YEAR($B236)*12+MONTH($B236)&lt;=YEAR($C$3)*12+MONTH($C$3),$G236,0))</f>
        <v/>
      </c>
      <c r="O236" s="68">
        <f>IF(OR($J236="",$B236=""),0,IF(YEAR($B236)*12+MONTH($B236)&lt;=YEAR($C$3)*12+MONTH($C$3)-1,$G236,0))</f>
        <v/>
      </c>
      <c r="P236" s="68">
        <f>$M236-$O236</f>
        <v/>
      </c>
      <c r="Q236" s="68">
        <f>($L236-$M236)-($N236-$O236)</f>
        <v/>
      </c>
      <c r="R236" s="68">
        <f>$L236-$N236</f>
        <v/>
      </c>
      <c r="S236" s="67">
        <f>"Finance invoice"</f>
        <v/>
      </c>
      <c r="T236" s="67">
        <f>"Revenue"</f>
        <v/>
      </c>
    </row>
    <row r="237">
      <c r="A237" s="65">
        <f>ROW()-5</f>
        <v/>
      </c>
      <c r="B237" s="66">
        <f>IFERROR(INDEX(tbl_Finance[Date],$A237),"")</f>
        <v/>
      </c>
      <c r="C237" s="67">
        <f>IFERROR(INDEX(tbl_Finance[Xero Invoice No],$A237),"")</f>
        <v/>
      </c>
      <c r="D237" s="67">
        <f>IFERROR(INDEX(tbl_Finance[Client],$A237),"")</f>
        <v/>
      </c>
      <c r="E237" s="67">
        <f>IFERROR(INDEX(tbl_Finance[Job Number],$A237),"")</f>
        <v/>
      </c>
      <c r="F237" s="67">
        <f>IFERROR(INDEX(tbl_Finance[Cost Centre],$A237),"")</f>
        <v/>
      </c>
      <c r="G237" s="68">
        <f>IFERROR(INDEX(tbl_Finance[Ex GST],$A237),"")</f>
        <v/>
      </c>
      <c r="H237" s="66">
        <f>IFERROR(INDEX(tbl_Finance[Defer Start],$A237),"")</f>
        <v/>
      </c>
      <c r="I237" s="66">
        <f>IFERROR(INDEX(tbl_Finance[Defer End],$A237),"")</f>
        <v/>
      </c>
      <c r="J237" s="65">
        <f>IF(OR($H237="",$I237="",$G237=""),"",MAX(1,(YEAR($I237)-YEAR($H237))*12+MONTH($I237)-MONTH($H237)+1))</f>
        <v/>
      </c>
      <c r="K237" s="68">
        <f>IF($J237="","",$G237/$J237)</f>
        <v/>
      </c>
      <c r="L237" s="68">
        <f>IF($J237="",0,$K237*MAX(0,MIN(YEAR($C$3)*12+MONTH($C$3),YEAR($I237)*12+MONTH($I237))-(YEAR($H237)*12+MONTH($H237))+1))</f>
        <v/>
      </c>
      <c r="M237" s="68">
        <f>IF($J237="",0,$K237*MAX(0,MIN(YEAR($C$3)*12+MONTH($C$3)-1,YEAR($I237)*12+MONTH($I237))-(YEAR($H237)*12+MONTH($H237))+1))</f>
        <v/>
      </c>
      <c r="N237" s="68">
        <f>IF(OR($J237="",$B237=""),0,IF(YEAR($B237)*12+MONTH($B237)&lt;=YEAR($C$3)*12+MONTH($C$3),$G237,0))</f>
        <v/>
      </c>
      <c r="O237" s="68">
        <f>IF(OR($J237="",$B237=""),0,IF(YEAR($B237)*12+MONTH($B237)&lt;=YEAR($C$3)*12+MONTH($C$3)-1,$G237,0))</f>
        <v/>
      </c>
      <c r="P237" s="68">
        <f>$M237-$O237</f>
        <v/>
      </c>
      <c r="Q237" s="68">
        <f>($L237-$M237)-($N237-$O237)</f>
        <v/>
      </c>
      <c r="R237" s="68">
        <f>$L237-$N237</f>
        <v/>
      </c>
      <c r="S237" s="67">
        <f>"Finance invoice"</f>
        <v/>
      </c>
      <c r="T237" s="67">
        <f>"Revenue"</f>
        <v/>
      </c>
    </row>
    <row r="238">
      <c r="A238" s="65">
        <f>ROW()-5</f>
        <v/>
      </c>
      <c r="B238" s="66">
        <f>IFERROR(INDEX(tbl_Finance[Date],$A238),"")</f>
        <v/>
      </c>
      <c r="C238" s="67">
        <f>IFERROR(INDEX(tbl_Finance[Xero Invoice No],$A238),"")</f>
        <v/>
      </c>
      <c r="D238" s="67">
        <f>IFERROR(INDEX(tbl_Finance[Client],$A238),"")</f>
        <v/>
      </c>
      <c r="E238" s="67">
        <f>IFERROR(INDEX(tbl_Finance[Job Number],$A238),"")</f>
        <v/>
      </c>
      <c r="F238" s="67">
        <f>IFERROR(INDEX(tbl_Finance[Cost Centre],$A238),"")</f>
        <v/>
      </c>
      <c r="G238" s="68">
        <f>IFERROR(INDEX(tbl_Finance[Ex GST],$A238),"")</f>
        <v/>
      </c>
      <c r="H238" s="66">
        <f>IFERROR(INDEX(tbl_Finance[Defer Start],$A238),"")</f>
        <v/>
      </c>
      <c r="I238" s="66">
        <f>IFERROR(INDEX(tbl_Finance[Defer End],$A238),"")</f>
        <v/>
      </c>
      <c r="J238" s="65">
        <f>IF(OR($H238="",$I238="",$G238=""),"",MAX(1,(YEAR($I238)-YEAR($H238))*12+MONTH($I238)-MONTH($H238)+1))</f>
        <v/>
      </c>
      <c r="K238" s="68">
        <f>IF($J238="","",$G238/$J238)</f>
        <v/>
      </c>
      <c r="L238" s="68">
        <f>IF($J238="",0,$K238*MAX(0,MIN(YEAR($C$3)*12+MONTH($C$3),YEAR($I238)*12+MONTH($I238))-(YEAR($H238)*12+MONTH($H238))+1))</f>
        <v/>
      </c>
      <c r="M238" s="68">
        <f>IF($J238="",0,$K238*MAX(0,MIN(YEAR($C$3)*12+MONTH($C$3)-1,YEAR($I238)*12+MONTH($I238))-(YEAR($H238)*12+MONTH($H238))+1))</f>
        <v/>
      </c>
      <c r="N238" s="68">
        <f>IF(OR($J238="",$B238=""),0,IF(YEAR($B238)*12+MONTH($B238)&lt;=YEAR($C$3)*12+MONTH($C$3),$G238,0))</f>
        <v/>
      </c>
      <c r="O238" s="68">
        <f>IF(OR($J238="",$B238=""),0,IF(YEAR($B238)*12+MONTH($B238)&lt;=YEAR($C$3)*12+MONTH($C$3)-1,$G238,0))</f>
        <v/>
      </c>
      <c r="P238" s="68">
        <f>$M238-$O238</f>
        <v/>
      </c>
      <c r="Q238" s="68">
        <f>($L238-$M238)-($N238-$O238)</f>
        <v/>
      </c>
      <c r="R238" s="68">
        <f>$L238-$N238</f>
        <v/>
      </c>
      <c r="S238" s="67">
        <f>"Finance invoice"</f>
        <v/>
      </c>
      <c r="T238" s="67">
        <f>"Revenue"</f>
        <v/>
      </c>
    </row>
    <row r="239">
      <c r="A239" s="65">
        <f>ROW()-5</f>
        <v/>
      </c>
      <c r="B239" s="66">
        <f>IFERROR(INDEX(tbl_Finance[Date],$A239),"")</f>
        <v/>
      </c>
      <c r="C239" s="67">
        <f>IFERROR(INDEX(tbl_Finance[Xero Invoice No],$A239),"")</f>
        <v/>
      </c>
      <c r="D239" s="67">
        <f>IFERROR(INDEX(tbl_Finance[Client],$A239),"")</f>
        <v/>
      </c>
      <c r="E239" s="67">
        <f>IFERROR(INDEX(tbl_Finance[Job Number],$A239),"")</f>
        <v/>
      </c>
      <c r="F239" s="67">
        <f>IFERROR(INDEX(tbl_Finance[Cost Centre],$A239),"")</f>
        <v/>
      </c>
      <c r="G239" s="68">
        <f>IFERROR(INDEX(tbl_Finance[Ex GST],$A239),"")</f>
        <v/>
      </c>
      <c r="H239" s="66">
        <f>IFERROR(INDEX(tbl_Finance[Defer Start],$A239),"")</f>
        <v/>
      </c>
      <c r="I239" s="66">
        <f>IFERROR(INDEX(tbl_Finance[Defer End],$A239),"")</f>
        <v/>
      </c>
      <c r="J239" s="65">
        <f>IF(OR($H239="",$I239="",$G239=""),"",MAX(1,(YEAR($I239)-YEAR($H239))*12+MONTH($I239)-MONTH($H239)+1))</f>
        <v/>
      </c>
      <c r="K239" s="68">
        <f>IF($J239="","",$G239/$J239)</f>
        <v/>
      </c>
      <c r="L239" s="68">
        <f>IF($J239="",0,$K239*MAX(0,MIN(YEAR($C$3)*12+MONTH($C$3),YEAR($I239)*12+MONTH($I239))-(YEAR($H239)*12+MONTH($H239))+1))</f>
        <v/>
      </c>
      <c r="M239" s="68">
        <f>IF($J239="",0,$K239*MAX(0,MIN(YEAR($C$3)*12+MONTH($C$3)-1,YEAR($I239)*12+MONTH($I239))-(YEAR($H239)*12+MONTH($H239))+1))</f>
        <v/>
      </c>
      <c r="N239" s="68">
        <f>IF(OR($J239="",$B239=""),0,IF(YEAR($B239)*12+MONTH($B239)&lt;=YEAR($C$3)*12+MONTH($C$3),$G239,0))</f>
        <v/>
      </c>
      <c r="O239" s="68">
        <f>IF(OR($J239="",$B239=""),0,IF(YEAR($B239)*12+MONTH($B239)&lt;=YEAR($C$3)*12+MONTH($C$3)-1,$G239,0))</f>
        <v/>
      </c>
      <c r="P239" s="68">
        <f>$M239-$O239</f>
        <v/>
      </c>
      <c r="Q239" s="68">
        <f>($L239-$M239)-($N239-$O239)</f>
        <v/>
      </c>
      <c r="R239" s="68">
        <f>$L239-$N239</f>
        <v/>
      </c>
      <c r="S239" s="67">
        <f>"Finance invoice"</f>
        <v/>
      </c>
      <c r="T239" s="67">
        <f>"Revenue"</f>
        <v/>
      </c>
    </row>
    <row r="240">
      <c r="A240" s="65">
        <f>ROW()-5</f>
        <v/>
      </c>
      <c r="B240" s="66">
        <f>IFERROR(INDEX(tbl_Finance[Date],$A240),"")</f>
        <v/>
      </c>
      <c r="C240" s="67">
        <f>IFERROR(INDEX(tbl_Finance[Xero Invoice No],$A240),"")</f>
        <v/>
      </c>
      <c r="D240" s="67">
        <f>IFERROR(INDEX(tbl_Finance[Client],$A240),"")</f>
        <v/>
      </c>
      <c r="E240" s="67">
        <f>IFERROR(INDEX(tbl_Finance[Job Number],$A240),"")</f>
        <v/>
      </c>
      <c r="F240" s="67">
        <f>IFERROR(INDEX(tbl_Finance[Cost Centre],$A240),"")</f>
        <v/>
      </c>
      <c r="G240" s="68">
        <f>IFERROR(INDEX(tbl_Finance[Ex GST],$A240),"")</f>
        <v/>
      </c>
      <c r="H240" s="66">
        <f>IFERROR(INDEX(tbl_Finance[Defer Start],$A240),"")</f>
        <v/>
      </c>
      <c r="I240" s="66">
        <f>IFERROR(INDEX(tbl_Finance[Defer End],$A240),"")</f>
        <v/>
      </c>
      <c r="J240" s="65">
        <f>IF(OR($H240="",$I240="",$G240=""),"",MAX(1,(YEAR($I240)-YEAR($H240))*12+MONTH($I240)-MONTH($H240)+1))</f>
        <v/>
      </c>
      <c r="K240" s="68">
        <f>IF($J240="","",$G240/$J240)</f>
        <v/>
      </c>
      <c r="L240" s="68">
        <f>IF($J240="",0,$K240*MAX(0,MIN(YEAR($C$3)*12+MONTH($C$3),YEAR($I240)*12+MONTH($I240))-(YEAR($H240)*12+MONTH($H240))+1))</f>
        <v/>
      </c>
      <c r="M240" s="68">
        <f>IF($J240="",0,$K240*MAX(0,MIN(YEAR($C$3)*12+MONTH($C$3)-1,YEAR($I240)*12+MONTH($I240))-(YEAR($H240)*12+MONTH($H240))+1))</f>
        <v/>
      </c>
      <c r="N240" s="68">
        <f>IF(OR($J240="",$B240=""),0,IF(YEAR($B240)*12+MONTH($B240)&lt;=YEAR($C$3)*12+MONTH($C$3),$G240,0))</f>
        <v/>
      </c>
      <c r="O240" s="68">
        <f>IF(OR($J240="",$B240=""),0,IF(YEAR($B240)*12+MONTH($B240)&lt;=YEAR($C$3)*12+MONTH($C$3)-1,$G240,0))</f>
        <v/>
      </c>
      <c r="P240" s="68">
        <f>$M240-$O240</f>
        <v/>
      </c>
      <c r="Q240" s="68">
        <f>($L240-$M240)-($N240-$O240)</f>
        <v/>
      </c>
      <c r="R240" s="68">
        <f>$L240-$N240</f>
        <v/>
      </c>
      <c r="S240" s="67">
        <f>"Finance invoice"</f>
        <v/>
      </c>
      <c r="T240" s="67">
        <f>"Revenue"</f>
        <v/>
      </c>
    </row>
    <row r="241">
      <c r="A241" s="65">
        <f>ROW()-5</f>
        <v/>
      </c>
      <c r="B241" s="66">
        <f>IFERROR(INDEX(tbl_Finance[Date],$A241),"")</f>
        <v/>
      </c>
      <c r="C241" s="67">
        <f>IFERROR(INDEX(tbl_Finance[Xero Invoice No],$A241),"")</f>
        <v/>
      </c>
      <c r="D241" s="67">
        <f>IFERROR(INDEX(tbl_Finance[Client],$A241),"")</f>
        <v/>
      </c>
      <c r="E241" s="67">
        <f>IFERROR(INDEX(tbl_Finance[Job Number],$A241),"")</f>
        <v/>
      </c>
      <c r="F241" s="67">
        <f>IFERROR(INDEX(tbl_Finance[Cost Centre],$A241),"")</f>
        <v/>
      </c>
      <c r="G241" s="68">
        <f>IFERROR(INDEX(tbl_Finance[Ex GST],$A241),"")</f>
        <v/>
      </c>
      <c r="H241" s="66">
        <f>IFERROR(INDEX(tbl_Finance[Defer Start],$A241),"")</f>
        <v/>
      </c>
      <c r="I241" s="66">
        <f>IFERROR(INDEX(tbl_Finance[Defer End],$A241),"")</f>
        <v/>
      </c>
      <c r="J241" s="65">
        <f>IF(OR($H241="",$I241="",$G241=""),"",MAX(1,(YEAR($I241)-YEAR($H241))*12+MONTH($I241)-MONTH($H241)+1))</f>
        <v/>
      </c>
      <c r="K241" s="68">
        <f>IF($J241="","",$G241/$J241)</f>
        <v/>
      </c>
      <c r="L241" s="68">
        <f>IF($J241="",0,$K241*MAX(0,MIN(YEAR($C$3)*12+MONTH($C$3),YEAR($I241)*12+MONTH($I241))-(YEAR($H241)*12+MONTH($H241))+1))</f>
        <v/>
      </c>
      <c r="M241" s="68">
        <f>IF($J241="",0,$K241*MAX(0,MIN(YEAR($C$3)*12+MONTH($C$3)-1,YEAR($I241)*12+MONTH($I241))-(YEAR($H241)*12+MONTH($H241))+1))</f>
        <v/>
      </c>
      <c r="N241" s="68">
        <f>IF(OR($J241="",$B241=""),0,IF(YEAR($B241)*12+MONTH($B241)&lt;=YEAR($C$3)*12+MONTH($C$3),$G241,0))</f>
        <v/>
      </c>
      <c r="O241" s="68">
        <f>IF(OR($J241="",$B241=""),0,IF(YEAR($B241)*12+MONTH($B241)&lt;=YEAR($C$3)*12+MONTH($C$3)-1,$G241,0))</f>
        <v/>
      </c>
      <c r="P241" s="68">
        <f>$M241-$O241</f>
        <v/>
      </c>
      <c r="Q241" s="68">
        <f>($L241-$M241)-($N241-$O241)</f>
        <v/>
      </c>
      <c r="R241" s="68">
        <f>$L241-$N241</f>
        <v/>
      </c>
      <c r="S241" s="67">
        <f>"Finance invoice"</f>
        <v/>
      </c>
      <c r="T241" s="67">
        <f>"Revenue"</f>
        <v/>
      </c>
    </row>
    <row r="242">
      <c r="A242" s="65">
        <f>ROW()-5</f>
        <v/>
      </c>
      <c r="B242" s="66">
        <f>IFERROR(INDEX(tbl_Finance[Date],$A242),"")</f>
        <v/>
      </c>
      <c r="C242" s="67">
        <f>IFERROR(INDEX(tbl_Finance[Xero Invoice No],$A242),"")</f>
        <v/>
      </c>
      <c r="D242" s="67">
        <f>IFERROR(INDEX(tbl_Finance[Client],$A242),"")</f>
        <v/>
      </c>
      <c r="E242" s="67">
        <f>IFERROR(INDEX(tbl_Finance[Job Number],$A242),"")</f>
        <v/>
      </c>
      <c r="F242" s="67">
        <f>IFERROR(INDEX(tbl_Finance[Cost Centre],$A242),"")</f>
        <v/>
      </c>
      <c r="G242" s="68">
        <f>IFERROR(INDEX(tbl_Finance[Ex GST],$A242),"")</f>
        <v/>
      </c>
      <c r="H242" s="66">
        <f>IFERROR(INDEX(tbl_Finance[Defer Start],$A242),"")</f>
        <v/>
      </c>
      <c r="I242" s="66">
        <f>IFERROR(INDEX(tbl_Finance[Defer End],$A242),"")</f>
        <v/>
      </c>
      <c r="J242" s="65">
        <f>IF(OR($H242="",$I242="",$G242=""),"",MAX(1,(YEAR($I242)-YEAR($H242))*12+MONTH($I242)-MONTH($H242)+1))</f>
        <v/>
      </c>
      <c r="K242" s="68">
        <f>IF($J242="","",$G242/$J242)</f>
        <v/>
      </c>
      <c r="L242" s="68">
        <f>IF($J242="",0,$K242*MAX(0,MIN(YEAR($C$3)*12+MONTH($C$3),YEAR($I242)*12+MONTH($I242))-(YEAR($H242)*12+MONTH($H242))+1))</f>
        <v/>
      </c>
      <c r="M242" s="68">
        <f>IF($J242="",0,$K242*MAX(0,MIN(YEAR($C$3)*12+MONTH($C$3)-1,YEAR($I242)*12+MONTH($I242))-(YEAR($H242)*12+MONTH($H242))+1))</f>
        <v/>
      </c>
      <c r="N242" s="68">
        <f>IF(OR($J242="",$B242=""),0,IF(YEAR($B242)*12+MONTH($B242)&lt;=YEAR($C$3)*12+MONTH($C$3),$G242,0))</f>
        <v/>
      </c>
      <c r="O242" s="68">
        <f>IF(OR($J242="",$B242=""),0,IF(YEAR($B242)*12+MONTH($B242)&lt;=YEAR($C$3)*12+MONTH($C$3)-1,$G242,0))</f>
        <v/>
      </c>
      <c r="P242" s="68">
        <f>$M242-$O242</f>
        <v/>
      </c>
      <c r="Q242" s="68">
        <f>($L242-$M242)-($N242-$O242)</f>
        <v/>
      </c>
      <c r="R242" s="68">
        <f>$L242-$N242</f>
        <v/>
      </c>
      <c r="S242" s="67">
        <f>"Finance invoice"</f>
        <v/>
      </c>
      <c r="T242" s="67">
        <f>"Revenue"</f>
        <v/>
      </c>
    </row>
    <row r="243">
      <c r="A243" s="65">
        <f>ROW()-5</f>
        <v/>
      </c>
      <c r="B243" s="66">
        <f>IFERROR(INDEX(tbl_Finance[Date],$A243),"")</f>
        <v/>
      </c>
      <c r="C243" s="67">
        <f>IFERROR(INDEX(tbl_Finance[Xero Invoice No],$A243),"")</f>
        <v/>
      </c>
      <c r="D243" s="67">
        <f>IFERROR(INDEX(tbl_Finance[Client],$A243),"")</f>
        <v/>
      </c>
      <c r="E243" s="67">
        <f>IFERROR(INDEX(tbl_Finance[Job Number],$A243),"")</f>
        <v/>
      </c>
      <c r="F243" s="67">
        <f>IFERROR(INDEX(tbl_Finance[Cost Centre],$A243),"")</f>
        <v/>
      </c>
      <c r="G243" s="68">
        <f>IFERROR(INDEX(tbl_Finance[Ex GST],$A243),"")</f>
        <v/>
      </c>
      <c r="H243" s="66">
        <f>IFERROR(INDEX(tbl_Finance[Defer Start],$A243),"")</f>
        <v/>
      </c>
      <c r="I243" s="66">
        <f>IFERROR(INDEX(tbl_Finance[Defer End],$A243),"")</f>
        <v/>
      </c>
      <c r="J243" s="65">
        <f>IF(OR($H243="",$I243="",$G243=""),"",MAX(1,(YEAR($I243)-YEAR($H243))*12+MONTH($I243)-MONTH($H243)+1))</f>
        <v/>
      </c>
      <c r="K243" s="68">
        <f>IF($J243="","",$G243/$J243)</f>
        <v/>
      </c>
      <c r="L243" s="68">
        <f>IF($J243="",0,$K243*MAX(0,MIN(YEAR($C$3)*12+MONTH($C$3),YEAR($I243)*12+MONTH($I243))-(YEAR($H243)*12+MONTH($H243))+1))</f>
        <v/>
      </c>
      <c r="M243" s="68">
        <f>IF($J243="",0,$K243*MAX(0,MIN(YEAR($C$3)*12+MONTH($C$3)-1,YEAR($I243)*12+MONTH($I243))-(YEAR($H243)*12+MONTH($H243))+1))</f>
        <v/>
      </c>
      <c r="N243" s="68">
        <f>IF(OR($J243="",$B243=""),0,IF(YEAR($B243)*12+MONTH($B243)&lt;=YEAR($C$3)*12+MONTH($C$3),$G243,0))</f>
        <v/>
      </c>
      <c r="O243" s="68">
        <f>IF(OR($J243="",$B243=""),0,IF(YEAR($B243)*12+MONTH($B243)&lt;=YEAR($C$3)*12+MONTH($C$3)-1,$G243,0))</f>
        <v/>
      </c>
      <c r="P243" s="68">
        <f>$M243-$O243</f>
        <v/>
      </c>
      <c r="Q243" s="68">
        <f>($L243-$M243)-($N243-$O243)</f>
        <v/>
      </c>
      <c r="R243" s="68">
        <f>$L243-$N243</f>
        <v/>
      </c>
      <c r="S243" s="67">
        <f>"Finance invoice"</f>
        <v/>
      </c>
      <c r="T243" s="67">
        <f>"Revenue"</f>
        <v/>
      </c>
    </row>
    <row r="244">
      <c r="A244" s="65">
        <f>ROW()-5</f>
        <v/>
      </c>
      <c r="B244" s="66">
        <f>IFERROR(INDEX(tbl_Finance[Date],$A244),"")</f>
        <v/>
      </c>
      <c r="C244" s="67">
        <f>IFERROR(INDEX(tbl_Finance[Xero Invoice No],$A244),"")</f>
        <v/>
      </c>
      <c r="D244" s="67">
        <f>IFERROR(INDEX(tbl_Finance[Client],$A244),"")</f>
        <v/>
      </c>
      <c r="E244" s="67">
        <f>IFERROR(INDEX(tbl_Finance[Job Number],$A244),"")</f>
        <v/>
      </c>
      <c r="F244" s="67">
        <f>IFERROR(INDEX(tbl_Finance[Cost Centre],$A244),"")</f>
        <v/>
      </c>
      <c r="G244" s="68">
        <f>IFERROR(INDEX(tbl_Finance[Ex GST],$A244),"")</f>
        <v/>
      </c>
      <c r="H244" s="66">
        <f>IFERROR(INDEX(tbl_Finance[Defer Start],$A244),"")</f>
        <v/>
      </c>
      <c r="I244" s="66">
        <f>IFERROR(INDEX(tbl_Finance[Defer End],$A244),"")</f>
        <v/>
      </c>
      <c r="J244" s="65">
        <f>IF(OR($H244="",$I244="",$G244=""),"",MAX(1,(YEAR($I244)-YEAR($H244))*12+MONTH($I244)-MONTH($H244)+1))</f>
        <v/>
      </c>
      <c r="K244" s="68">
        <f>IF($J244="","",$G244/$J244)</f>
        <v/>
      </c>
      <c r="L244" s="68">
        <f>IF($J244="",0,$K244*MAX(0,MIN(YEAR($C$3)*12+MONTH($C$3),YEAR($I244)*12+MONTH($I244))-(YEAR($H244)*12+MONTH($H244))+1))</f>
        <v/>
      </c>
      <c r="M244" s="68">
        <f>IF($J244="",0,$K244*MAX(0,MIN(YEAR($C$3)*12+MONTH($C$3)-1,YEAR($I244)*12+MONTH($I244))-(YEAR($H244)*12+MONTH($H244))+1))</f>
        <v/>
      </c>
      <c r="N244" s="68">
        <f>IF(OR($J244="",$B244=""),0,IF(YEAR($B244)*12+MONTH($B244)&lt;=YEAR($C$3)*12+MONTH($C$3),$G244,0))</f>
        <v/>
      </c>
      <c r="O244" s="68">
        <f>IF(OR($J244="",$B244=""),0,IF(YEAR($B244)*12+MONTH($B244)&lt;=YEAR($C$3)*12+MONTH($C$3)-1,$G244,0))</f>
        <v/>
      </c>
      <c r="P244" s="68">
        <f>$M244-$O244</f>
        <v/>
      </c>
      <c r="Q244" s="68">
        <f>($L244-$M244)-($N244-$O244)</f>
        <v/>
      </c>
      <c r="R244" s="68">
        <f>$L244-$N244</f>
        <v/>
      </c>
      <c r="S244" s="67">
        <f>"Finance invoice"</f>
        <v/>
      </c>
      <c r="T244" s="67">
        <f>"Revenue"</f>
        <v/>
      </c>
    </row>
    <row r="245">
      <c r="A245" s="65">
        <f>ROW()-5</f>
        <v/>
      </c>
      <c r="B245" s="66">
        <f>IFERROR(INDEX(tbl_Finance[Date],$A245),"")</f>
        <v/>
      </c>
      <c r="C245" s="67">
        <f>IFERROR(INDEX(tbl_Finance[Xero Invoice No],$A245),"")</f>
        <v/>
      </c>
      <c r="D245" s="67">
        <f>IFERROR(INDEX(tbl_Finance[Client],$A245),"")</f>
        <v/>
      </c>
      <c r="E245" s="67">
        <f>IFERROR(INDEX(tbl_Finance[Job Number],$A245),"")</f>
        <v/>
      </c>
      <c r="F245" s="67">
        <f>IFERROR(INDEX(tbl_Finance[Cost Centre],$A245),"")</f>
        <v/>
      </c>
      <c r="G245" s="68">
        <f>IFERROR(INDEX(tbl_Finance[Ex GST],$A245),"")</f>
        <v/>
      </c>
      <c r="H245" s="66">
        <f>IFERROR(INDEX(tbl_Finance[Defer Start],$A245),"")</f>
        <v/>
      </c>
      <c r="I245" s="66">
        <f>IFERROR(INDEX(tbl_Finance[Defer End],$A245),"")</f>
        <v/>
      </c>
      <c r="J245" s="65">
        <f>IF(OR($H245="",$I245="",$G245=""),"",MAX(1,(YEAR($I245)-YEAR($H245))*12+MONTH($I245)-MONTH($H245)+1))</f>
        <v/>
      </c>
      <c r="K245" s="68">
        <f>IF($J245="","",$G245/$J245)</f>
        <v/>
      </c>
      <c r="L245" s="68">
        <f>IF($J245="",0,$K245*MAX(0,MIN(YEAR($C$3)*12+MONTH($C$3),YEAR($I245)*12+MONTH($I245))-(YEAR($H245)*12+MONTH($H245))+1))</f>
        <v/>
      </c>
      <c r="M245" s="68">
        <f>IF($J245="",0,$K245*MAX(0,MIN(YEAR($C$3)*12+MONTH($C$3)-1,YEAR($I245)*12+MONTH($I245))-(YEAR($H245)*12+MONTH($H245))+1))</f>
        <v/>
      </c>
      <c r="N245" s="68">
        <f>IF(OR($J245="",$B245=""),0,IF(YEAR($B245)*12+MONTH($B245)&lt;=YEAR($C$3)*12+MONTH($C$3),$G245,0))</f>
        <v/>
      </c>
      <c r="O245" s="68">
        <f>IF(OR($J245="",$B245=""),0,IF(YEAR($B245)*12+MONTH($B245)&lt;=YEAR($C$3)*12+MONTH($C$3)-1,$G245,0))</f>
        <v/>
      </c>
      <c r="P245" s="68">
        <f>$M245-$O245</f>
        <v/>
      </c>
      <c r="Q245" s="68">
        <f>($L245-$M245)-($N245-$O245)</f>
        <v/>
      </c>
      <c r="R245" s="68">
        <f>$L245-$N245</f>
        <v/>
      </c>
      <c r="S245" s="67">
        <f>"Finance invoice"</f>
        <v/>
      </c>
      <c r="T245" s="67">
        <f>"Revenue"</f>
        <v/>
      </c>
    </row>
    <row r="246">
      <c r="A246" s="65">
        <f>ROW()-5</f>
        <v/>
      </c>
      <c r="B246" s="66">
        <f>IFERROR(INDEX(tbl_Finance[Date],$A246),"")</f>
        <v/>
      </c>
      <c r="C246" s="67">
        <f>IFERROR(INDEX(tbl_Finance[Xero Invoice No],$A246),"")</f>
        <v/>
      </c>
      <c r="D246" s="67">
        <f>IFERROR(INDEX(tbl_Finance[Client],$A246),"")</f>
        <v/>
      </c>
      <c r="E246" s="67">
        <f>IFERROR(INDEX(tbl_Finance[Job Number],$A246),"")</f>
        <v/>
      </c>
      <c r="F246" s="67">
        <f>IFERROR(INDEX(tbl_Finance[Cost Centre],$A246),"")</f>
        <v/>
      </c>
      <c r="G246" s="68">
        <f>IFERROR(INDEX(tbl_Finance[Ex GST],$A246),"")</f>
        <v/>
      </c>
      <c r="H246" s="66">
        <f>IFERROR(INDEX(tbl_Finance[Defer Start],$A246),"")</f>
        <v/>
      </c>
      <c r="I246" s="66">
        <f>IFERROR(INDEX(tbl_Finance[Defer End],$A246),"")</f>
        <v/>
      </c>
      <c r="J246" s="65">
        <f>IF(OR($H246="",$I246="",$G246=""),"",MAX(1,(YEAR($I246)-YEAR($H246))*12+MONTH($I246)-MONTH($H246)+1))</f>
        <v/>
      </c>
      <c r="K246" s="68">
        <f>IF($J246="","",$G246/$J246)</f>
        <v/>
      </c>
      <c r="L246" s="68">
        <f>IF($J246="",0,$K246*MAX(0,MIN(YEAR($C$3)*12+MONTH($C$3),YEAR($I246)*12+MONTH($I246))-(YEAR($H246)*12+MONTH($H246))+1))</f>
        <v/>
      </c>
      <c r="M246" s="68">
        <f>IF($J246="",0,$K246*MAX(0,MIN(YEAR($C$3)*12+MONTH($C$3)-1,YEAR($I246)*12+MONTH($I246))-(YEAR($H246)*12+MONTH($H246))+1))</f>
        <v/>
      </c>
      <c r="N246" s="68">
        <f>IF(OR($J246="",$B246=""),0,IF(YEAR($B246)*12+MONTH($B246)&lt;=YEAR($C$3)*12+MONTH($C$3),$G246,0))</f>
        <v/>
      </c>
      <c r="O246" s="68">
        <f>IF(OR($J246="",$B246=""),0,IF(YEAR($B246)*12+MONTH($B246)&lt;=YEAR($C$3)*12+MONTH($C$3)-1,$G246,0))</f>
        <v/>
      </c>
      <c r="P246" s="68">
        <f>$M246-$O246</f>
        <v/>
      </c>
      <c r="Q246" s="68">
        <f>($L246-$M246)-($N246-$O246)</f>
        <v/>
      </c>
      <c r="R246" s="68">
        <f>$L246-$N246</f>
        <v/>
      </c>
      <c r="S246" s="67">
        <f>"Finance invoice"</f>
        <v/>
      </c>
      <c r="T246" s="67">
        <f>"Revenue"</f>
        <v/>
      </c>
    </row>
    <row r="247">
      <c r="A247" s="65">
        <f>ROW()-5</f>
        <v/>
      </c>
      <c r="B247" s="66">
        <f>IFERROR(INDEX(tbl_Finance[Date],$A247),"")</f>
        <v/>
      </c>
      <c r="C247" s="67">
        <f>IFERROR(INDEX(tbl_Finance[Xero Invoice No],$A247),"")</f>
        <v/>
      </c>
      <c r="D247" s="67">
        <f>IFERROR(INDEX(tbl_Finance[Client],$A247),"")</f>
        <v/>
      </c>
      <c r="E247" s="67">
        <f>IFERROR(INDEX(tbl_Finance[Job Number],$A247),"")</f>
        <v/>
      </c>
      <c r="F247" s="67">
        <f>IFERROR(INDEX(tbl_Finance[Cost Centre],$A247),"")</f>
        <v/>
      </c>
      <c r="G247" s="68">
        <f>IFERROR(INDEX(tbl_Finance[Ex GST],$A247),"")</f>
        <v/>
      </c>
      <c r="H247" s="66">
        <f>IFERROR(INDEX(tbl_Finance[Defer Start],$A247),"")</f>
        <v/>
      </c>
      <c r="I247" s="66">
        <f>IFERROR(INDEX(tbl_Finance[Defer End],$A247),"")</f>
        <v/>
      </c>
      <c r="J247" s="65">
        <f>IF(OR($H247="",$I247="",$G247=""),"",MAX(1,(YEAR($I247)-YEAR($H247))*12+MONTH($I247)-MONTH($H247)+1))</f>
        <v/>
      </c>
      <c r="K247" s="68">
        <f>IF($J247="","",$G247/$J247)</f>
        <v/>
      </c>
      <c r="L247" s="68">
        <f>IF($J247="",0,$K247*MAX(0,MIN(YEAR($C$3)*12+MONTH($C$3),YEAR($I247)*12+MONTH($I247))-(YEAR($H247)*12+MONTH($H247))+1))</f>
        <v/>
      </c>
      <c r="M247" s="68">
        <f>IF($J247="",0,$K247*MAX(0,MIN(YEAR($C$3)*12+MONTH($C$3)-1,YEAR($I247)*12+MONTH($I247))-(YEAR($H247)*12+MONTH($H247))+1))</f>
        <v/>
      </c>
      <c r="N247" s="68">
        <f>IF(OR($J247="",$B247=""),0,IF(YEAR($B247)*12+MONTH($B247)&lt;=YEAR($C$3)*12+MONTH($C$3),$G247,0))</f>
        <v/>
      </c>
      <c r="O247" s="68">
        <f>IF(OR($J247="",$B247=""),0,IF(YEAR($B247)*12+MONTH($B247)&lt;=YEAR($C$3)*12+MONTH($C$3)-1,$G247,0))</f>
        <v/>
      </c>
      <c r="P247" s="68">
        <f>$M247-$O247</f>
        <v/>
      </c>
      <c r="Q247" s="68">
        <f>($L247-$M247)-($N247-$O247)</f>
        <v/>
      </c>
      <c r="R247" s="68">
        <f>$L247-$N247</f>
        <v/>
      </c>
      <c r="S247" s="67">
        <f>"Finance invoice"</f>
        <v/>
      </c>
      <c r="T247" s="67">
        <f>"Revenue"</f>
        <v/>
      </c>
    </row>
    <row r="248">
      <c r="A248" s="65">
        <f>ROW()-5</f>
        <v/>
      </c>
      <c r="B248" s="66">
        <f>IFERROR(INDEX(tbl_Finance[Date],$A248),"")</f>
        <v/>
      </c>
      <c r="C248" s="67">
        <f>IFERROR(INDEX(tbl_Finance[Xero Invoice No],$A248),"")</f>
        <v/>
      </c>
      <c r="D248" s="67">
        <f>IFERROR(INDEX(tbl_Finance[Client],$A248),"")</f>
        <v/>
      </c>
      <c r="E248" s="67">
        <f>IFERROR(INDEX(tbl_Finance[Job Number],$A248),"")</f>
        <v/>
      </c>
      <c r="F248" s="67">
        <f>IFERROR(INDEX(tbl_Finance[Cost Centre],$A248),"")</f>
        <v/>
      </c>
      <c r="G248" s="68">
        <f>IFERROR(INDEX(tbl_Finance[Ex GST],$A248),"")</f>
        <v/>
      </c>
      <c r="H248" s="66">
        <f>IFERROR(INDEX(tbl_Finance[Defer Start],$A248),"")</f>
        <v/>
      </c>
      <c r="I248" s="66">
        <f>IFERROR(INDEX(tbl_Finance[Defer End],$A248),"")</f>
        <v/>
      </c>
      <c r="J248" s="65">
        <f>IF(OR($H248="",$I248="",$G248=""),"",MAX(1,(YEAR($I248)-YEAR($H248))*12+MONTH($I248)-MONTH($H248)+1))</f>
        <v/>
      </c>
      <c r="K248" s="68">
        <f>IF($J248="","",$G248/$J248)</f>
        <v/>
      </c>
      <c r="L248" s="68">
        <f>IF($J248="",0,$K248*MAX(0,MIN(YEAR($C$3)*12+MONTH($C$3),YEAR($I248)*12+MONTH($I248))-(YEAR($H248)*12+MONTH($H248))+1))</f>
        <v/>
      </c>
      <c r="M248" s="68">
        <f>IF($J248="",0,$K248*MAX(0,MIN(YEAR($C$3)*12+MONTH($C$3)-1,YEAR($I248)*12+MONTH($I248))-(YEAR($H248)*12+MONTH($H248))+1))</f>
        <v/>
      </c>
      <c r="N248" s="68">
        <f>IF(OR($J248="",$B248=""),0,IF(YEAR($B248)*12+MONTH($B248)&lt;=YEAR($C$3)*12+MONTH($C$3),$G248,0))</f>
        <v/>
      </c>
      <c r="O248" s="68">
        <f>IF(OR($J248="",$B248=""),0,IF(YEAR($B248)*12+MONTH($B248)&lt;=YEAR($C$3)*12+MONTH($C$3)-1,$G248,0))</f>
        <v/>
      </c>
      <c r="P248" s="68">
        <f>$M248-$O248</f>
        <v/>
      </c>
      <c r="Q248" s="68">
        <f>($L248-$M248)-($N248-$O248)</f>
        <v/>
      </c>
      <c r="R248" s="68">
        <f>$L248-$N248</f>
        <v/>
      </c>
      <c r="S248" s="67">
        <f>"Finance invoice"</f>
        <v/>
      </c>
      <c r="T248" s="67">
        <f>"Revenue"</f>
        <v/>
      </c>
    </row>
    <row r="249">
      <c r="A249" s="65">
        <f>ROW()-5</f>
        <v/>
      </c>
      <c r="B249" s="66">
        <f>IFERROR(INDEX(tbl_Finance[Date],$A249),"")</f>
        <v/>
      </c>
      <c r="C249" s="67">
        <f>IFERROR(INDEX(tbl_Finance[Xero Invoice No],$A249),"")</f>
        <v/>
      </c>
      <c r="D249" s="67">
        <f>IFERROR(INDEX(tbl_Finance[Client],$A249),"")</f>
        <v/>
      </c>
      <c r="E249" s="67">
        <f>IFERROR(INDEX(tbl_Finance[Job Number],$A249),"")</f>
        <v/>
      </c>
      <c r="F249" s="67">
        <f>IFERROR(INDEX(tbl_Finance[Cost Centre],$A249),"")</f>
        <v/>
      </c>
      <c r="G249" s="68">
        <f>IFERROR(INDEX(tbl_Finance[Ex GST],$A249),"")</f>
        <v/>
      </c>
      <c r="H249" s="66">
        <f>IFERROR(INDEX(tbl_Finance[Defer Start],$A249),"")</f>
        <v/>
      </c>
      <c r="I249" s="66">
        <f>IFERROR(INDEX(tbl_Finance[Defer End],$A249),"")</f>
        <v/>
      </c>
      <c r="J249" s="65">
        <f>IF(OR($H249="",$I249="",$G249=""),"",MAX(1,(YEAR($I249)-YEAR($H249))*12+MONTH($I249)-MONTH($H249)+1))</f>
        <v/>
      </c>
      <c r="K249" s="68">
        <f>IF($J249="","",$G249/$J249)</f>
        <v/>
      </c>
      <c r="L249" s="68">
        <f>IF($J249="",0,$K249*MAX(0,MIN(YEAR($C$3)*12+MONTH($C$3),YEAR($I249)*12+MONTH($I249))-(YEAR($H249)*12+MONTH($H249))+1))</f>
        <v/>
      </c>
      <c r="M249" s="68">
        <f>IF($J249="",0,$K249*MAX(0,MIN(YEAR($C$3)*12+MONTH($C$3)-1,YEAR($I249)*12+MONTH($I249))-(YEAR($H249)*12+MONTH($H249))+1))</f>
        <v/>
      </c>
      <c r="N249" s="68">
        <f>IF(OR($J249="",$B249=""),0,IF(YEAR($B249)*12+MONTH($B249)&lt;=YEAR($C$3)*12+MONTH($C$3),$G249,0))</f>
        <v/>
      </c>
      <c r="O249" s="68">
        <f>IF(OR($J249="",$B249=""),0,IF(YEAR($B249)*12+MONTH($B249)&lt;=YEAR($C$3)*12+MONTH($C$3)-1,$G249,0))</f>
        <v/>
      </c>
      <c r="P249" s="68">
        <f>$M249-$O249</f>
        <v/>
      </c>
      <c r="Q249" s="68">
        <f>($L249-$M249)-($N249-$O249)</f>
        <v/>
      </c>
      <c r="R249" s="68">
        <f>$L249-$N249</f>
        <v/>
      </c>
      <c r="S249" s="67">
        <f>"Finance invoice"</f>
        <v/>
      </c>
      <c r="T249" s="67">
        <f>"Revenue"</f>
        <v/>
      </c>
    </row>
    <row r="250">
      <c r="A250" s="65">
        <f>ROW()-5</f>
        <v/>
      </c>
      <c r="B250" s="66">
        <f>IFERROR(INDEX(tbl_Finance[Date],$A250),"")</f>
        <v/>
      </c>
      <c r="C250" s="67">
        <f>IFERROR(INDEX(tbl_Finance[Xero Invoice No],$A250),"")</f>
        <v/>
      </c>
      <c r="D250" s="67">
        <f>IFERROR(INDEX(tbl_Finance[Client],$A250),"")</f>
        <v/>
      </c>
      <c r="E250" s="67">
        <f>IFERROR(INDEX(tbl_Finance[Job Number],$A250),"")</f>
        <v/>
      </c>
      <c r="F250" s="67">
        <f>IFERROR(INDEX(tbl_Finance[Cost Centre],$A250),"")</f>
        <v/>
      </c>
      <c r="G250" s="68">
        <f>IFERROR(INDEX(tbl_Finance[Ex GST],$A250),"")</f>
        <v/>
      </c>
      <c r="H250" s="66">
        <f>IFERROR(INDEX(tbl_Finance[Defer Start],$A250),"")</f>
        <v/>
      </c>
      <c r="I250" s="66">
        <f>IFERROR(INDEX(tbl_Finance[Defer End],$A250),"")</f>
        <v/>
      </c>
      <c r="J250" s="65">
        <f>IF(OR($H250="",$I250="",$G250=""),"",MAX(1,(YEAR($I250)-YEAR($H250))*12+MONTH($I250)-MONTH($H250)+1))</f>
        <v/>
      </c>
      <c r="K250" s="68">
        <f>IF($J250="","",$G250/$J250)</f>
        <v/>
      </c>
      <c r="L250" s="68">
        <f>IF($J250="",0,$K250*MAX(0,MIN(YEAR($C$3)*12+MONTH($C$3),YEAR($I250)*12+MONTH($I250))-(YEAR($H250)*12+MONTH($H250))+1))</f>
        <v/>
      </c>
      <c r="M250" s="68">
        <f>IF($J250="",0,$K250*MAX(0,MIN(YEAR($C$3)*12+MONTH($C$3)-1,YEAR($I250)*12+MONTH($I250))-(YEAR($H250)*12+MONTH($H250))+1))</f>
        <v/>
      </c>
      <c r="N250" s="68">
        <f>IF(OR($J250="",$B250=""),0,IF(YEAR($B250)*12+MONTH($B250)&lt;=YEAR($C$3)*12+MONTH($C$3),$G250,0))</f>
        <v/>
      </c>
      <c r="O250" s="68">
        <f>IF(OR($J250="",$B250=""),0,IF(YEAR($B250)*12+MONTH($B250)&lt;=YEAR($C$3)*12+MONTH($C$3)-1,$G250,0))</f>
        <v/>
      </c>
      <c r="P250" s="68">
        <f>$M250-$O250</f>
        <v/>
      </c>
      <c r="Q250" s="68">
        <f>($L250-$M250)-($N250-$O250)</f>
        <v/>
      </c>
      <c r="R250" s="68">
        <f>$L250-$N250</f>
        <v/>
      </c>
      <c r="S250" s="67">
        <f>"Finance invoice"</f>
        <v/>
      </c>
      <c r="T250" s="67">
        <f>"Revenue"</f>
        <v/>
      </c>
    </row>
    <row r="251">
      <c r="A251" s="65">
        <f>ROW()-5</f>
        <v/>
      </c>
      <c r="B251" s="66">
        <f>IFERROR(INDEX(tbl_Finance[Date],$A251),"")</f>
        <v/>
      </c>
      <c r="C251" s="67">
        <f>IFERROR(INDEX(tbl_Finance[Xero Invoice No],$A251),"")</f>
        <v/>
      </c>
      <c r="D251" s="67">
        <f>IFERROR(INDEX(tbl_Finance[Client],$A251),"")</f>
        <v/>
      </c>
      <c r="E251" s="67">
        <f>IFERROR(INDEX(tbl_Finance[Job Number],$A251),"")</f>
        <v/>
      </c>
      <c r="F251" s="67">
        <f>IFERROR(INDEX(tbl_Finance[Cost Centre],$A251),"")</f>
        <v/>
      </c>
      <c r="G251" s="68">
        <f>IFERROR(INDEX(tbl_Finance[Ex GST],$A251),"")</f>
        <v/>
      </c>
      <c r="H251" s="66">
        <f>IFERROR(INDEX(tbl_Finance[Defer Start],$A251),"")</f>
        <v/>
      </c>
      <c r="I251" s="66">
        <f>IFERROR(INDEX(tbl_Finance[Defer End],$A251),"")</f>
        <v/>
      </c>
      <c r="J251" s="65">
        <f>IF(OR($H251="",$I251="",$G251=""),"",MAX(1,(YEAR($I251)-YEAR($H251))*12+MONTH($I251)-MONTH($H251)+1))</f>
        <v/>
      </c>
      <c r="K251" s="68">
        <f>IF($J251="","",$G251/$J251)</f>
        <v/>
      </c>
      <c r="L251" s="68">
        <f>IF($J251="",0,$K251*MAX(0,MIN(YEAR($C$3)*12+MONTH($C$3),YEAR($I251)*12+MONTH($I251))-(YEAR($H251)*12+MONTH($H251))+1))</f>
        <v/>
      </c>
      <c r="M251" s="68">
        <f>IF($J251="",0,$K251*MAX(0,MIN(YEAR($C$3)*12+MONTH($C$3)-1,YEAR($I251)*12+MONTH($I251))-(YEAR($H251)*12+MONTH($H251))+1))</f>
        <v/>
      </c>
      <c r="N251" s="68">
        <f>IF(OR($J251="",$B251=""),0,IF(YEAR($B251)*12+MONTH($B251)&lt;=YEAR($C$3)*12+MONTH($C$3),$G251,0))</f>
        <v/>
      </c>
      <c r="O251" s="68">
        <f>IF(OR($J251="",$B251=""),0,IF(YEAR($B251)*12+MONTH($B251)&lt;=YEAR($C$3)*12+MONTH($C$3)-1,$G251,0))</f>
        <v/>
      </c>
      <c r="P251" s="68">
        <f>$M251-$O251</f>
        <v/>
      </c>
      <c r="Q251" s="68">
        <f>($L251-$M251)-($N251-$O251)</f>
        <v/>
      </c>
      <c r="R251" s="68">
        <f>$L251-$N251</f>
        <v/>
      </c>
      <c r="S251" s="67">
        <f>"Finance invoice"</f>
        <v/>
      </c>
      <c r="T251" s="67">
        <f>"Revenue"</f>
        <v/>
      </c>
    </row>
    <row r="252">
      <c r="A252" s="65">
        <f>ROW()-5</f>
        <v/>
      </c>
      <c r="B252" s="66">
        <f>IFERROR(INDEX(tbl_Finance[Date],$A252),"")</f>
        <v/>
      </c>
      <c r="C252" s="67">
        <f>IFERROR(INDEX(tbl_Finance[Xero Invoice No],$A252),"")</f>
        <v/>
      </c>
      <c r="D252" s="67">
        <f>IFERROR(INDEX(tbl_Finance[Client],$A252),"")</f>
        <v/>
      </c>
      <c r="E252" s="67">
        <f>IFERROR(INDEX(tbl_Finance[Job Number],$A252),"")</f>
        <v/>
      </c>
      <c r="F252" s="67">
        <f>IFERROR(INDEX(tbl_Finance[Cost Centre],$A252),"")</f>
        <v/>
      </c>
      <c r="G252" s="68">
        <f>IFERROR(INDEX(tbl_Finance[Ex GST],$A252),"")</f>
        <v/>
      </c>
      <c r="H252" s="66">
        <f>IFERROR(INDEX(tbl_Finance[Defer Start],$A252),"")</f>
        <v/>
      </c>
      <c r="I252" s="66">
        <f>IFERROR(INDEX(tbl_Finance[Defer End],$A252),"")</f>
        <v/>
      </c>
      <c r="J252" s="65">
        <f>IF(OR($H252="",$I252="",$G252=""),"",MAX(1,(YEAR($I252)-YEAR($H252))*12+MONTH($I252)-MONTH($H252)+1))</f>
        <v/>
      </c>
      <c r="K252" s="68">
        <f>IF($J252="","",$G252/$J252)</f>
        <v/>
      </c>
      <c r="L252" s="68">
        <f>IF($J252="",0,$K252*MAX(0,MIN(YEAR($C$3)*12+MONTH($C$3),YEAR($I252)*12+MONTH($I252))-(YEAR($H252)*12+MONTH($H252))+1))</f>
        <v/>
      </c>
      <c r="M252" s="68">
        <f>IF($J252="",0,$K252*MAX(0,MIN(YEAR($C$3)*12+MONTH($C$3)-1,YEAR($I252)*12+MONTH($I252))-(YEAR($H252)*12+MONTH($H252))+1))</f>
        <v/>
      </c>
      <c r="N252" s="68">
        <f>IF(OR($J252="",$B252=""),0,IF(YEAR($B252)*12+MONTH($B252)&lt;=YEAR($C$3)*12+MONTH($C$3),$G252,0))</f>
        <v/>
      </c>
      <c r="O252" s="68">
        <f>IF(OR($J252="",$B252=""),0,IF(YEAR($B252)*12+MONTH($B252)&lt;=YEAR($C$3)*12+MONTH($C$3)-1,$G252,0))</f>
        <v/>
      </c>
      <c r="P252" s="68">
        <f>$M252-$O252</f>
        <v/>
      </c>
      <c r="Q252" s="68">
        <f>($L252-$M252)-($N252-$O252)</f>
        <v/>
      </c>
      <c r="R252" s="68">
        <f>$L252-$N252</f>
        <v/>
      </c>
      <c r="S252" s="67">
        <f>"Finance invoice"</f>
        <v/>
      </c>
      <c r="T252" s="67">
        <f>"Revenue"</f>
        <v/>
      </c>
    </row>
    <row r="253">
      <c r="A253" s="65">
        <f>ROW()-5</f>
        <v/>
      </c>
      <c r="B253" s="66">
        <f>IFERROR(INDEX(tbl_Finance[Date],$A253),"")</f>
        <v/>
      </c>
      <c r="C253" s="67">
        <f>IFERROR(INDEX(tbl_Finance[Xero Invoice No],$A253),"")</f>
        <v/>
      </c>
      <c r="D253" s="67">
        <f>IFERROR(INDEX(tbl_Finance[Client],$A253),"")</f>
        <v/>
      </c>
      <c r="E253" s="67">
        <f>IFERROR(INDEX(tbl_Finance[Job Number],$A253),"")</f>
        <v/>
      </c>
      <c r="F253" s="67">
        <f>IFERROR(INDEX(tbl_Finance[Cost Centre],$A253),"")</f>
        <v/>
      </c>
      <c r="G253" s="68">
        <f>IFERROR(INDEX(tbl_Finance[Ex GST],$A253),"")</f>
        <v/>
      </c>
      <c r="H253" s="66">
        <f>IFERROR(INDEX(tbl_Finance[Defer Start],$A253),"")</f>
        <v/>
      </c>
      <c r="I253" s="66">
        <f>IFERROR(INDEX(tbl_Finance[Defer End],$A253),"")</f>
        <v/>
      </c>
      <c r="J253" s="65">
        <f>IF(OR($H253="",$I253="",$G253=""),"",MAX(1,(YEAR($I253)-YEAR($H253))*12+MONTH($I253)-MONTH($H253)+1))</f>
        <v/>
      </c>
      <c r="K253" s="68">
        <f>IF($J253="","",$G253/$J253)</f>
        <v/>
      </c>
      <c r="L253" s="68">
        <f>IF($J253="",0,$K253*MAX(0,MIN(YEAR($C$3)*12+MONTH($C$3),YEAR($I253)*12+MONTH($I253))-(YEAR($H253)*12+MONTH($H253))+1))</f>
        <v/>
      </c>
      <c r="M253" s="68">
        <f>IF($J253="",0,$K253*MAX(0,MIN(YEAR($C$3)*12+MONTH($C$3)-1,YEAR($I253)*12+MONTH($I253))-(YEAR($H253)*12+MONTH($H253))+1))</f>
        <v/>
      </c>
      <c r="N253" s="68">
        <f>IF(OR($J253="",$B253=""),0,IF(YEAR($B253)*12+MONTH($B253)&lt;=YEAR($C$3)*12+MONTH($C$3),$G253,0))</f>
        <v/>
      </c>
      <c r="O253" s="68">
        <f>IF(OR($J253="",$B253=""),0,IF(YEAR($B253)*12+MONTH($B253)&lt;=YEAR($C$3)*12+MONTH($C$3)-1,$G253,0))</f>
        <v/>
      </c>
      <c r="P253" s="68">
        <f>$M253-$O253</f>
        <v/>
      </c>
      <c r="Q253" s="68">
        <f>($L253-$M253)-($N253-$O253)</f>
        <v/>
      </c>
      <c r="R253" s="68">
        <f>$L253-$N253</f>
        <v/>
      </c>
      <c r="S253" s="67">
        <f>"Finance invoice"</f>
        <v/>
      </c>
      <c r="T253" s="67">
        <f>"Revenue"</f>
        <v/>
      </c>
    </row>
    <row r="254">
      <c r="A254" s="65">
        <f>ROW()-5</f>
        <v/>
      </c>
      <c r="B254" s="66">
        <f>IFERROR(INDEX(tbl_Finance[Date],$A254),"")</f>
        <v/>
      </c>
      <c r="C254" s="67">
        <f>IFERROR(INDEX(tbl_Finance[Xero Invoice No],$A254),"")</f>
        <v/>
      </c>
      <c r="D254" s="67">
        <f>IFERROR(INDEX(tbl_Finance[Client],$A254),"")</f>
        <v/>
      </c>
      <c r="E254" s="67">
        <f>IFERROR(INDEX(tbl_Finance[Job Number],$A254),"")</f>
        <v/>
      </c>
      <c r="F254" s="67">
        <f>IFERROR(INDEX(tbl_Finance[Cost Centre],$A254),"")</f>
        <v/>
      </c>
      <c r="G254" s="68">
        <f>IFERROR(INDEX(tbl_Finance[Ex GST],$A254),"")</f>
        <v/>
      </c>
      <c r="H254" s="66">
        <f>IFERROR(INDEX(tbl_Finance[Defer Start],$A254),"")</f>
        <v/>
      </c>
      <c r="I254" s="66">
        <f>IFERROR(INDEX(tbl_Finance[Defer End],$A254),"")</f>
        <v/>
      </c>
      <c r="J254" s="65">
        <f>IF(OR($H254="",$I254="",$G254=""),"",MAX(1,(YEAR($I254)-YEAR($H254))*12+MONTH($I254)-MONTH($H254)+1))</f>
        <v/>
      </c>
      <c r="K254" s="68">
        <f>IF($J254="","",$G254/$J254)</f>
        <v/>
      </c>
      <c r="L254" s="68">
        <f>IF($J254="",0,$K254*MAX(0,MIN(YEAR($C$3)*12+MONTH($C$3),YEAR($I254)*12+MONTH($I254))-(YEAR($H254)*12+MONTH($H254))+1))</f>
        <v/>
      </c>
      <c r="M254" s="68">
        <f>IF($J254="",0,$K254*MAX(0,MIN(YEAR($C$3)*12+MONTH($C$3)-1,YEAR($I254)*12+MONTH($I254))-(YEAR($H254)*12+MONTH($H254))+1))</f>
        <v/>
      </c>
      <c r="N254" s="68">
        <f>IF(OR($J254="",$B254=""),0,IF(YEAR($B254)*12+MONTH($B254)&lt;=YEAR($C$3)*12+MONTH($C$3),$G254,0))</f>
        <v/>
      </c>
      <c r="O254" s="68">
        <f>IF(OR($J254="",$B254=""),0,IF(YEAR($B254)*12+MONTH($B254)&lt;=YEAR($C$3)*12+MONTH($C$3)-1,$G254,0))</f>
        <v/>
      </c>
      <c r="P254" s="68">
        <f>$M254-$O254</f>
        <v/>
      </c>
      <c r="Q254" s="68">
        <f>($L254-$M254)-($N254-$O254)</f>
        <v/>
      </c>
      <c r="R254" s="68">
        <f>$L254-$N254</f>
        <v/>
      </c>
      <c r="S254" s="67">
        <f>"Finance invoice"</f>
        <v/>
      </c>
      <c r="T254" s="67">
        <f>"Revenue"</f>
        <v/>
      </c>
    </row>
    <row r="255">
      <c r="A255" s="65">
        <f>ROW()-5</f>
        <v/>
      </c>
      <c r="B255" s="66">
        <f>IFERROR(INDEX(tbl_Finance[Date],$A255),"")</f>
        <v/>
      </c>
      <c r="C255" s="67">
        <f>IFERROR(INDEX(tbl_Finance[Xero Invoice No],$A255),"")</f>
        <v/>
      </c>
      <c r="D255" s="67">
        <f>IFERROR(INDEX(tbl_Finance[Client],$A255),"")</f>
        <v/>
      </c>
      <c r="E255" s="67">
        <f>IFERROR(INDEX(tbl_Finance[Job Number],$A255),"")</f>
        <v/>
      </c>
      <c r="F255" s="67">
        <f>IFERROR(INDEX(tbl_Finance[Cost Centre],$A255),"")</f>
        <v/>
      </c>
      <c r="G255" s="68">
        <f>IFERROR(INDEX(tbl_Finance[Ex GST],$A255),"")</f>
        <v/>
      </c>
      <c r="H255" s="66">
        <f>IFERROR(INDEX(tbl_Finance[Defer Start],$A255),"")</f>
        <v/>
      </c>
      <c r="I255" s="66">
        <f>IFERROR(INDEX(tbl_Finance[Defer End],$A255),"")</f>
        <v/>
      </c>
      <c r="J255" s="65">
        <f>IF(OR($H255="",$I255="",$G255=""),"",MAX(1,(YEAR($I255)-YEAR($H255))*12+MONTH($I255)-MONTH($H255)+1))</f>
        <v/>
      </c>
      <c r="K255" s="68">
        <f>IF($J255="","",$G255/$J255)</f>
        <v/>
      </c>
      <c r="L255" s="68">
        <f>IF($J255="",0,$K255*MAX(0,MIN(YEAR($C$3)*12+MONTH($C$3),YEAR($I255)*12+MONTH($I255))-(YEAR($H255)*12+MONTH($H255))+1))</f>
        <v/>
      </c>
      <c r="M255" s="68">
        <f>IF($J255="",0,$K255*MAX(0,MIN(YEAR($C$3)*12+MONTH($C$3)-1,YEAR($I255)*12+MONTH($I255))-(YEAR($H255)*12+MONTH($H255))+1))</f>
        <v/>
      </c>
      <c r="N255" s="68">
        <f>IF(OR($J255="",$B255=""),0,IF(YEAR($B255)*12+MONTH($B255)&lt;=YEAR($C$3)*12+MONTH($C$3),$G255,0))</f>
        <v/>
      </c>
      <c r="O255" s="68">
        <f>IF(OR($J255="",$B255=""),0,IF(YEAR($B255)*12+MONTH($B255)&lt;=YEAR($C$3)*12+MONTH($C$3)-1,$G255,0))</f>
        <v/>
      </c>
      <c r="P255" s="68">
        <f>$M255-$O255</f>
        <v/>
      </c>
      <c r="Q255" s="68">
        <f>($L255-$M255)-($N255-$O255)</f>
        <v/>
      </c>
      <c r="R255" s="68">
        <f>$L255-$N255</f>
        <v/>
      </c>
      <c r="S255" s="67">
        <f>"Finance invoice"</f>
        <v/>
      </c>
      <c r="T255" s="67">
        <f>"Revenue"</f>
        <v/>
      </c>
    </row>
    <row r="256">
      <c r="A256" s="65">
        <f>ROW()-5</f>
        <v/>
      </c>
      <c r="B256" s="66">
        <f>IFERROR(INDEX(tbl_Finance[Date],$A256),"")</f>
        <v/>
      </c>
      <c r="C256" s="67">
        <f>IFERROR(INDEX(tbl_Finance[Xero Invoice No],$A256),"")</f>
        <v/>
      </c>
      <c r="D256" s="67">
        <f>IFERROR(INDEX(tbl_Finance[Client],$A256),"")</f>
        <v/>
      </c>
      <c r="E256" s="67">
        <f>IFERROR(INDEX(tbl_Finance[Job Number],$A256),"")</f>
        <v/>
      </c>
      <c r="F256" s="67">
        <f>IFERROR(INDEX(tbl_Finance[Cost Centre],$A256),"")</f>
        <v/>
      </c>
      <c r="G256" s="68">
        <f>IFERROR(INDEX(tbl_Finance[Ex GST],$A256),"")</f>
        <v/>
      </c>
      <c r="H256" s="66">
        <f>IFERROR(INDEX(tbl_Finance[Defer Start],$A256),"")</f>
        <v/>
      </c>
      <c r="I256" s="66">
        <f>IFERROR(INDEX(tbl_Finance[Defer End],$A256),"")</f>
        <v/>
      </c>
      <c r="J256" s="65">
        <f>IF(OR($H256="",$I256="",$G256=""),"",MAX(1,(YEAR($I256)-YEAR($H256))*12+MONTH($I256)-MONTH($H256)+1))</f>
        <v/>
      </c>
      <c r="K256" s="68">
        <f>IF($J256="","",$G256/$J256)</f>
        <v/>
      </c>
      <c r="L256" s="68">
        <f>IF($J256="",0,$K256*MAX(0,MIN(YEAR($C$3)*12+MONTH($C$3),YEAR($I256)*12+MONTH($I256))-(YEAR($H256)*12+MONTH($H256))+1))</f>
        <v/>
      </c>
      <c r="M256" s="68">
        <f>IF($J256="",0,$K256*MAX(0,MIN(YEAR($C$3)*12+MONTH($C$3)-1,YEAR($I256)*12+MONTH($I256))-(YEAR($H256)*12+MONTH($H256))+1))</f>
        <v/>
      </c>
      <c r="N256" s="68">
        <f>IF(OR($J256="",$B256=""),0,IF(YEAR($B256)*12+MONTH($B256)&lt;=YEAR($C$3)*12+MONTH($C$3),$G256,0))</f>
        <v/>
      </c>
      <c r="O256" s="68">
        <f>IF(OR($J256="",$B256=""),0,IF(YEAR($B256)*12+MONTH($B256)&lt;=YEAR($C$3)*12+MONTH($C$3)-1,$G256,0))</f>
        <v/>
      </c>
      <c r="P256" s="68">
        <f>$M256-$O256</f>
        <v/>
      </c>
      <c r="Q256" s="68">
        <f>($L256-$M256)-($N256-$O256)</f>
        <v/>
      </c>
      <c r="R256" s="68">
        <f>$L256-$N256</f>
        <v/>
      </c>
      <c r="S256" s="67">
        <f>"Finance invoice"</f>
        <v/>
      </c>
      <c r="T256" s="67">
        <f>"Revenue"</f>
        <v/>
      </c>
    </row>
    <row r="257">
      <c r="A257" s="65">
        <f>ROW()-5</f>
        <v/>
      </c>
      <c r="B257" s="66">
        <f>IFERROR(INDEX(tbl_Finance[Date],$A257),"")</f>
        <v/>
      </c>
      <c r="C257" s="67">
        <f>IFERROR(INDEX(tbl_Finance[Xero Invoice No],$A257),"")</f>
        <v/>
      </c>
      <c r="D257" s="67">
        <f>IFERROR(INDEX(tbl_Finance[Client],$A257),"")</f>
        <v/>
      </c>
      <c r="E257" s="67">
        <f>IFERROR(INDEX(tbl_Finance[Job Number],$A257),"")</f>
        <v/>
      </c>
      <c r="F257" s="67">
        <f>IFERROR(INDEX(tbl_Finance[Cost Centre],$A257),"")</f>
        <v/>
      </c>
      <c r="G257" s="68">
        <f>IFERROR(INDEX(tbl_Finance[Ex GST],$A257),"")</f>
        <v/>
      </c>
      <c r="H257" s="66">
        <f>IFERROR(INDEX(tbl_Finance[Defer Start],$A257),"")</f>
        <v/>
      </c>
      <c r="I257" s="66">
        <f>IFERROR(INDEX(tbl_Finance[Defer End],$A257),"")</f>
        <v/>
      </c>
      <c r="J257" s="65">
        <f>IF(OR($H257="",$I257="",$G257=""),"",MAX(1,(YEAR($I257)-YEAR($H257))*12+MONTH($I257)-MONTH($H257)+1))</f>
        <v/>
      </c>
      <c r="K257" s="68">
        <f>IF($J257="","",$G257/$J257)</f>
        <v/>
      </c>
      <c r="L257" s="68">
        <f>IF($J257="",0,$K257*MAX(0,MIN(YEAR($C$3)*12+MONTH($C$3),YEAR($I257)*12+MONTH($I257))-(YEAR($H257)*12+MONTH($H257))+1))</f>
        <v/>
      </c>
      <c r="M257" s="68">
        <f>IF($J257="",0,$K257*MAX(0,MIN(YEAR($C$3)*12+MONTH($C$3)-1,YEAR($I257)*12+MONTH($I257))-(YEAR($H257)*12+MONTH($H257))+1))</f>
        <v/>
      </c>
      <c r="N257" s="68">
        <f>IF(OR($J257="",$B257=""),0,IF(YEAR($B257)*12+MONTH($B257)&lt;=YEAR($C$3)*12+MONTH($C$3),$G257,0))</f>
        <v/>
      </c>
      <c r="O257" s="68">
        <f>IF(OR($J257="",$B257=""),0,IF(YEAR($B257)*12+MONTH($B257)&lt;=YEAR($C$3)*12+MONTH($C$3)-1,$G257,0))</f>
        <v/>
      </c>
      <c r="P257" s="68">
        <f>$M257-$O257</f>
        <v/>
      </c>
      <c r="Q257" s="68">
        <f>($L257-$M257)-($N257-$O257)</f>
        <v/>
      </c>
      <c r="R257" s="68">
        <f>$L257-$N257</f>
        <v/>
      </c>
      <c r="S257" s="67">
        <f>"Finance invoice"</f>
        <v/>
      </c>
      <c r="T257" s="67">
        <f>"Revenue"</f>
        <v/>
      </c>
    </row>
    <row r="258">
      <c r="A258" s="65">
        <f>ROW()-5</f>
        <v/>
      </c>
      <c r="B258" s="66">
        <f>IFERROR(INDEX(tbl_Finance[Date],$A258),"")</f>
        <v/>
      </c>
      <c r="C258" s="67">
        <f>IFERROR(INDEX(tbl_Finance[Xero Invoice No],$A258),"")</f>
        <v/>
      </c>
      <c r="D258" s="67">
        <f>IFERROR(INDEX(tbl_Finance[Client],$A258),"")</f>
        <v/>
      </c>
      <c r="E258" s="67">
        <f>IFERROR(INDEX(tbl_Finance[Job Number],$A258),"")</f>
        <v/>
      </c>
      <c r="F258" s="67">
        <f>IFERROR(INDEX(tbl_Finance[Cost Centre],$A258),"")</f>
        <v/>
      </c>
      <c r="G258" s="68">
        <f>IFERROR(INDEX(tbl_Finance[Ex GST],$A258),"")</f>
        <v/>
      </c>
      <c r="H258" s="66">
        <f>IFERROR(INDEX(tbl_Finance[Defer Start],$A258),"")</f>
        <v/>
      </c>
      <c r="I258" s="66">
        <f>IFERROR(INDEX(tbl_Finance[Defer End],$A258),"")</f>
        <v/>
      </c>
      <c r="J258" s="65">
        <f>IF(OR($H258="",$I258="",$G258=""),"",MAX(1,(YEAR($I258)-YEAR($H258))*12+MONTH($I258)-MONTH($H258)+1))</f>
        <v/>
      </c>
      <c r="K258" s="68">
        <f>IF($J258="","",$G258/$J258)</f>
        <v/>
      </c>
      <c r="L258" s="68">
        <f>IF($J258="",0,$K258*MAX(0,MIN(YEAR($C$3)*12+MONTH($C$3),YEAR($I258)*12+MONTH($I258))-(YEAR($H258)*12+MONTH($H258))+1))</f>
        <v/>
      </c>
      <c r="M258" s="68">
        <f>IF($J258="",0,$K258*MAX(0,MIN(YEAR($C$3)*12+MONTH($C$3)-1,YEAR($I258)*12+MONTH($I258))-(YEAR($H258)*12+MONTH($H258))+1))</f>
        <v/>
      </c>
      <c r="N258" s="68">
        <f>IF(OR($J258="",$B258=""),0,IF(YEAR($B258)*12+MONTH($B258)&lt;=YEAR($C$3)*12+MONTH($C$3),$G258,0))</f>
        <v/>
      </c>
      <c r="O258" s="68">
        <f>IF(OR($J258="",$B258=""),0,IF(YEAR($B258)*12+MONTH($B258)&lt;=YEAR($C$3)*12+MONTH($C$3)-1,$G258,0))</f>
        <v/>
      </c>
      <c r="P258" s="68">
        <f>$M258-$O258</f>
        <v/>
      </c>
      <c r="Q258" s="68">
        <f>($L258-$M258)-($N258-$O258)</f>
        <v/>
      </c>
      <c r="R258" s="68">
        <f>$L258-$N258</f>
        <v/>
      </c>
      <c r="S258" s="67">
        <f>"Finance invoice"</f>
        <v/>
      </c>
      <c r="T258" s="67">
        <f>"Revenue"</f>
        <v/>
      </c>
    </row>
    <row r="259">
      <c r="A259" s="65">
        <f>ROW()-5</f>
        <v/>
      </c>
      <c r="B259" s="66">
        <f>IFERROR(INDEX(tbl_Finance[Date],$A259),"")</f>
        <v/>
      </c>
      <c r="C259" s="67">
        <f>IFERROR(INDEX(tbl_Finance[Xero Invoice No],$A259),"")</f>
        <v/>
      </c>
      <c r="D259" s="67">
        <f>IFERROR(INDEX(tbl_Finance[Client],$A259),"")</f>
        <v/>
      </c>
      <c r="E259" s="67">
        <f>IFERROR(INDEX(tbl_Finance[Job Number],$A259),"")</f>
        <v/>
      </c>
      <c r="F259" s="67">
        <f>IFERROR(INDEX(tbl_Finance[Cost Centre],$A259),"")</f>
        <v/>
      </c>
      <c r="G259" s="68">
        <f>IFERROR(INDEX(tbl_Finance[Ex GST],$A259),"")</f>
        <v/>
      </c>
      <c r="H259" s="66">
        <f>IFERROR(INDEX(tbl_Finance[Defer Start],$A259),"")</f>
        <v/>
      </c>
      <c r="I259" s="66">
        <f>IFERROR(INDEX(tbl_Finance[Defer End],$A259),"")</f>
        <v/>
      </c>
      <c r="J259" s="65">
        <f>IF(OR($H259="",$I259="",$G259=""),"",MAX(1,(YEAR($I259)-YEAR($H259))*12+MONTH($I259)-MONTH($H259)+1))</f>
        <v/>
      </c>
      <c r="K259" s="68">
        <f>IF($J259="","",$G259/$J259)</f>
        <v/>
      </c>
      <c r="L259" s="68">
        <f>IF($J259="",0,$K259*MAX(0,MIN(YEAR($C$3)*12+MONTH($C$3),YEAR($I259)*12+MONTH($I259))-(YEAR($H259)*12+MONTH($H259))+1))</f>
        <v/>
      </c>
      <c r="M259" s="68">
        <f>IF($J259="",0,$K259*MAX(0,MIN(YEAR($C$3)*12+MONTH($C$3)-1,YEAR($I259)*12+MONTH($I259))-(YEAR($H259)*12+MONTH($H259))+1))</f>
        <v/>
      </c>
      <c r="N259" s="68">
        <f>IF(OR($J259="",$B259=""),0,IF(YEAR($B259)*12+MONTH($B259)&lt;=YEAR($C$3)*12+MONTH($C$3),$G259,0))</f>
        <v/>
      </c>
      <c r="O259" s="68">
        <f>IF(OR($J259="",$B259=""),0,IF(YEAR($B259)*12+MONTH($B259)&lt;=YEAR($C$3)*12+MONTH($C$3)-1,$G259,0))</f>
        <v/>
      </c>
      <c r="P259" s="68">
        <f>$M259-$O259</f>
        <v/>
      </c>
      <c r="Q259" s="68">
        <f>($L259-$M259)-($N259-$O259)</f>
        <v/>
      </c>
      <c r="R259" s="68">
        <f>$L259-$N259</f>
        <v/>
      </c>
      <c r="S259" s="67">
        <f>"Finance invoice"</f>
        <v/>
      </c>
      <c r="T259" s="67">
        <f>"Revenue"</f>
        <v/>
      </c>
    </row>
    <row r="260">
      <c r="A260" s="65">
        <f>ROW()-5</f>
        <v/>
      </c>
      <c r="B260" s="66">
        <f>IFERROR(INDEX(tbl_Finance[Date],$A260),"")</f>
        <v/>
      </c>
      <c r="C260" s="67">
        <f>IFERROR(INDEX(tbl_Finance[Xero Invoice No],$A260),"")</f>
        <v/>
      </c>
      <c r="D260" s="67">
        <f>IFERROR(INDEX(tbl_Finance[Client],$A260),"")</f>
        <v/>
      </c>
      <c r="E260" s="67">
        <f>IFERROR(INDEX(tbl_Finance[Job Number],$A260),"")</f>
        <v/>
      </c>
      <c r="F260" s="67">
        <f>IFERROR(INDEX(tbl_Finance[Cost Centre],$A260),"")</f>
        <v/>
      </c>
      <c r="G260" s="68">
        <f>IFERROR(INDEX(tbl_Finance[Ex GST],$A260),"")</f>
        <v/>
      </c>
      <c r="H260" s="66">
        <f>IFERROR(INDEX(tbl_Finance[Defer Start],$A260),"")</f>
        <v/>
      </c>
      <c r="I260" s="66">
        <f>IFERROR(INDEX(tbl_Finance[Defer End],$A260),"")</f>
        <v/>
      </c>
      <c r="J260" s="65">
        <f>IF(OR($H260="",$I260="",$G260=""),"",MAX(1,(YEAR($I260)-YEAR($H260))*12+MONTH($I260)-MONTH($H260)+1))</f>
        <v/>
      </c>
      <c r="K260" s="68">
        <f>IF($J260="","",$G260/$J260)</f>
        <v/>
      </c>
      <c r="L260" s="68">
        <f>IF($J260="",0,$K260*MAX(0,MIN(YEAR($C$3)*12+MONTH($C$3),YEAR($I260)*12+MONTH($I260))-(YEAR($H260)*12+MONTH($H260))+1))</f>
        <v/>
      </c>
      <c r="M260" s="68">
        <f>IF($J260="",0,$K260*MAX(0,MIN(YEAR($C$3)*12+MONTH($C$3)-1,YEAR($I260)*12+MONTH($I260))-(YEAR($H260)*12+MONTH($H260))+1))</f>
        <v/>
      </c>
      <c r="N260" s="68">
        <f>IF(OR($J260="",$B260=""),0,IF(YEAR($B260)*12+MONTH($B260)&lt;=YEAR($C$3)*12+MONTH($C$3),$G260,0))</f>
        <v/>
      </c>
      <c r="O260" s="68">
        <f>IF(OR($J260="",$B260=""),0,IF(YEAR($B260)*12+MONTH($B260)&lt;=YEAR($C$3)*12+MONTH($C$3)-1,$G260,0))</f>
        <v/>
      </c>
      <c r="P260" s="68">
        <f>$M260-$O260</f>
        <v/>
      </c>
      <c r="Q260" s="68">
        <f>($L260-$M260)-($N260-$O260)</f>
        <v/>
      </c>
      <c r="R260" s="68">
        <f>$L260-$N260</f>
        <v/>
      </c>
      <c r="S260" s="67">
        <f>"Finance invoice"</f>
        <v/>
      </c>
      <c r="T260" s="67">
        <f>"Revenue"</f>
        <v/>
      </c>
    </row>
    <row r="261">
      <c r="A261" s="65">
        <f>ROW()-5</f>
        <v/>
      </c>
      <c r="B261" s="66">
        <f>IFERROR(INDEX(tbl_Finance[Date],$A261),"")</f>
        <v/>
      </c>
      <c r="C261" s="67">
        <f>IFERROR(INDEX(tbl_Finance[Xero Invoice No],$A261),"")</f>
        <v/>
      </c>
      <c r="D261" s="67">
        <f>IFERROR(INDEX(tbl_Finance[Client],$A261),"")</f>
        <v/>
      </c>
      <c r="E261" s="67">
        <f>IFERROR(INDEX(tbl_Finance[Job Number],$A261),"")</f>
        <v/>
      </c>
      <c r="F261" s="67">
        <f>IFERROR(INDEX(tbl_Finance[Cost Centre],$A261),"")</f>
        <v/>
      </c>
      <c r="G261" s="68">
        <f>IFERROR(INDEX(tbl_Finance[Ex GST],$A261),"")</f>
        <v/>
      </c>
      <c r="H261" s="66">
        <f>IFERROR(INDEX(tbl_Finance[Defer Start],$A261),"")</f>
        <v/>
      </c>
      <c r="I261" s="66">
        <f>IFERROR(INDEX(tbl_Finance[Defer End],$A261),"")</f>
        <v/>
      </c>
      <c r="J261" s="65">
        <f>IF(OR($H261="",$I261="",$G261=""),"",MAX(1,(YEAR($I261)-YEAR($H261))*12+MONTH($I261)-MONTH($H261)+1))</f>
        <v/>
      </c>
      <c r="K261" s="68">
        <f>IF($J261="","",$G261/$J261)</f>
        <v/>
      </c>
      <c r="L261" s="68">
        <f>IF($J261="",0,$K261*MAX(0,MIN(YEAR($C$3)*12+MONTH($C$3),YEAR($I261)*12+MONTH($I261))-(YEAR($H261)*12+MONTH($H261))+1))</f>
        <v/>
      </c>
      <c r="M261" s="68">
        <f>IF($J261="",0,$K261*MAX(0,MIN(YEAR($C$3)*12+MONTH($C$3)-1,YEAR($I261)*12+MONTH($I261))-(YEAR($H261)*12+MONTH($H261))+1))</f>
        <v/>
      </c>
      <c r="N261" s="68">
        <f>IF(OR($J261="",$B261=""),0,IF(YEAR($B261)*12+MONTH($B261)&lt;=YEAR($C$3)*12+MONTH($C$3),$G261,0))</f>
        <v/>
      </c>
      <c r="O261" s="68">
        <f>IF(OR($J261="",$B261=""),0,IF(YEAR($B261)*12+MONTH($B261)&lt;=YEAR($C$3)*12+MONTH($C$3)-1,$G261,0))</f>
        <v/>
      </c>
      <c r="P261" s="68">
        <f>$M261-$O261</f>
        <v/>
      </c>
      <c r="Q261" s="68">
        <f>($L261-$M261)-($N261-$O261)</f>
        <v/>
      </c>
      <c r="R261" s="68">
        <f>$L261-$N261</f>
        <v/>
      </c>
      <c r="S261" s="67">
        <f>"Finance invoice"</f>
        <v/>
      </c>
      <c r="T261" s="67">
        <f>"Revenue"</f>
        <v/>
      </c>
    </row>
    <row r="262">
      <c r="A262" s="65">
        <f>ROW()-5</f>
        <v/>
      </c>
      <c r="B262" s="66">
        <f>IFERROR(INDEX(tbl_Finance[Date],$A262),"")</f>
        <v/>
      </c>
      <c r="C262" s="67">
        <f>IFERROR(INDEX(tbl_Finance[Xero Invoice No],$A262),"")</f>
        <v/>
      </c>
      <c r="D262" s="67">
        <f>IFERROR(INDEX(tbl_Finance[Client],$A262),"")</f>
        <v/>
      </c>
      <c r="E262" s="67">
        <f>IFERROR(INDEX(tbl_Finance[Job Number],$A262),"")</f>
        <v/>
      </c>
      <c r="F262" s="67">
        <f>IFERROR(INDEX(tbl_Finance[Cost Centre],$A262),"")</f>
        <v/>
      </c>
      <c r="G262" s="68">
        <f>IFERROR(INDEX(tbl_Finance[Ex GST],$A262),"")</f>
        <v/>
      </c>
      <c r="H262" s="66">
        <f>IFERROR(INDEX(tbl_Finance[Defer Start],$A262),"")</f>
        <v/>
      </c>
      <c r="I262" s="66">
        <f>IFERROR(INDEX(tbl_Finance[Defer End],$A262),"")</f>
        <v/>
      </c>
      <c r="J262" s="65">
        <f>IF(OR($H262="",$I262="",$G262=""),"",MAX(1,(YEAR($I262)-YEAR($H262))*12+MONTH($I262)-MONTH($H262)+1))</f>
        <v/>
      </c>
      <c r="K262" s="68">
        <f>IF($J262="","",$G262/$J262)</f>
        <v/>
      </c>
      <c r="L262" s="68">
        <f>IF($J262="",0,$K262*MAX(0,MIN(YEAR($C$3)*12+MONTH($C$3),YEAR($I262)*12+MONTH($I262))-(YEAR($H262)*12+MONTH($H262))+1))</f>
        <v/>
      </c>
      <c r="M262" s="68">
        <f>IF($J262="",0,$K262*MAX(0,MIN(YEAR($C$3)*12+MONTH($C$3)-1,YEAR($I262)*12+MONTH($I262))-(YEAR($H262)*12+MONTH($H262))+1))</f>
        <v/>
      </c>
      <c r="N262" s="68">
        <f>IF(OR($J262="",$B262=""),0,IF(YEAR($B262)*12+MONTH($B262)&lt;=YEAR($C$3)*12+MONTH($C$3),$G262,0))</f>
        <v/>
      </c>
      <c r="O262" s="68">
        <f>IF(OR($J262="",$B262=""),0,IF(YEAR($B262)*12+MONTH($B262)&lt;=YEAR($C$3)*12+MONTH($C$3)-1,$G262,0))</f>
        <v/>
      </c>
      <c r="P262" s="68">
        <f>$M262-$O262</f>
        <v/>
      </c>
      <c r="Q262" s="68">
        <f>($L262-$M262)-($N262-$O262)</f>
        <v/>
      </c>
      <c r="R262" s="68">
        <f>$L262-$N262</f>
        <v/>
      </c>
      <c r="S262" s="67">
        <f>"Finance invoice"</f>
        <v/>
      </c>
      <c r="T262" s="67">
        <f>"Revenue"</f>
        <v/>
      </c>
    </row>
    <row r="263">
      <c r="A263" s="65">
        <f>ROW()-5</f>
        <v/>
      </c>
      <c r="B263" s="66">
        <f>IFERROR(INDEX(tbl_Finance[Date],$A263),"")</f>
        <v/>
      </c>
      <c r="C263" s="67">
        <f>IFERROR(INDEX(tbl_Finance[Xero Invoice No],$A263),"")</f>
        <v/>
      </c>
      <c r="D263" s="67">
        <f>IFERROR(INDEX(tbl_Finance[Client],$A263),"")</f>
        <v/>
      </c>
      <c r="E263" s="67">
        <f>IFERROR(INDEX(tbl_Finance[Job Number],$A263),"")</f>
        <v/>
      </c>
      <c r="F263" s="67">
        <f>IFERROR(INDEX(tbl_Finance[Cost Centre],$A263),"")</f>
        <v/>
      </c>
      <c r="G263" s="68">
        <f>IFERROR(INDEX(tbl_Finance[Ex GST],$A263),"")</f>
        <v/>
      </c>
      <c r="H263" s="66">
        <f>IFERROR(INDEX(tbl_Finance[Defer Start],$A263),"")</f>
        <v/>
      </c>
      <c r="I263" s="66">
        <f>IFERROR(INDEX(tbl_Finance[Defer End],$A263),"")</f>
        <v/>
      </c>
      <c r="J263" s="65">
        <f>IF(OR($H263="",$I263="",$G263=""),"",MAX(1,(YEAR($I263)-YEAR($H263))*12+MONTH($I263)-MONTH($H263)+1))</f>
        <v/>
      </c>
      <c r="K263" s="68">
        <f>IF($J263="","",$G263/$J263)</f>
        <v/>
      </c>
      <c r="L263" s="68">
        <f>IF($J263="",0,$K263*MAX(0,MIN(YEAR($C$3)*12+MONTH($C$3),YEAR($I263)*12+MONTH($I263))-(YEAR($H263)*12+MONTH($H263))+1))</f>
        <v/>
      </c>
      <c r="M263" s="68">
        <f>IF($J263="",0,$K263*MAX(0,MIN(YEAR($C$3)*12+MONTH($C$3)-1,YEAR($I263)*12+MONTH($I263))-(YEAR($H263)*12+MONTH($H263))+1))</f>
        <v/>
      </c>
      <c r="N263" s="68">
        <f>IF(OR($J263="",$B263=""),0,IF(YEAR($B263)*12+MONTH($B263)&lt;=YEAR($C$3)*12+MONTH($C$3),$G263,0))</f>
        <v/>
      </c>
      <c r="O263" s="68">
        <f>IF(OR($J263="",$B263=""),0,IF(YEAR($B263)*12+MONTH($B263)&lt;=YEAR($C$3)*12+MONTH($C$3)-1,$G263,0))</f>
        <v/>
      </c>
      <c r="P263" s="68">
        <f>$M263-$O263</f>
        <v/>
      </c>
      <c r="Q263" s="68">
        <f>($L263-$M263)-($N263-$O263)</f>
        <v/>
      </c>
      <c r="R263" s="68">
        <f>$L263-$N263</f>
        <v/>
      </c>
      <c r="S263" s="67">
        <f>"Finance invoice"</f>
        <v/>
      </c>
      <c r="T263" s="67">
        <f>"Revenue"</f>
        <v/>
      </c>
    </row>
    <row r="264">
      <c r="A264" s="65">
        <f>ROW()-5</f>
        <v/>
      </c>
      <c r="B264" s="66">
        <f>IFERROR(INDEX(tbl_Finance[Date],$A264),"")</f>
        <v/>
      </c>
      <c r="C264" s="67">
        <f>IFERROR(INDEX(tbl_Finance[Xero Invoice No],$A264),"")</f>
        <v/>
      </c>
      <c r="D264" s="67">
        <f>IFERROR(INDEX(tbl_Finance[Client],$A264),"")</f>
        <v/>
      </c>
      <c r="E264" s="67">
        <f>IFERROR(INDEX(tbl_Finance[Job Number],$A264),"")</f>
        <v/>
      </c>
      <c r="F264" s="67">
        <f>IFERROR(INDEX(tbl_Finance[Cost Centre],$A264),"")</f>
        <v/>
      </c>
      <c r="G264" s="68">
        <f>IFERROR(INDEX(tbl_Finance[Ex GST],$A264),"")</f>
        <v/>
      </c>
      <c r="H264" s="66">
        <f>IFERROR(INDEX(tbl_Finance[Defer Start],$A264),"")</f>
        <v/>
      </c>
      <c r="I264" s="66">
        <f>IFERROR(INDEX(tbl_Finance[Defer End],$A264),"")</f>
        <v/>
      </c>
      <c r="J264" s="65">
        <f>IF(OR($H264="",$I264="",$G264=""),"",MAX(1,(YEAR($I264)-YEAR($H264))*12+MONTH($I264)-MONTH($H264)+1))</f>
        <v/>
      </c>
      <c r="K264" s="68">
        <f>IF($J264="","",$G264/$J264)</f>
        <v/>
      </c>
      <c r="L264" s="68">
        <f>IF($J264="",0,$K264*MAX(0,MIN(YEAR($C$3)*12+MONTH($C$3),YEAR($I264)*12+MONTH($I264))-(YEAR($H264)*12+MONTH($H264))+1))</f>
        <v/>
      </c>
      <c r="M264" s="68">
        <f>IF($J264="",0,$K264*MAX(0,MIN(YEAR($C$3)*12+MONTH($C$3)-1,YEAR($I264)*12+MONTH($I264))-(YEAR($H264)*12+MONTH($H264))+1))</f>
        <v/>
      </c>
      <c r="N264" s="68">
        <f>IF(OR($J264="",$B264=""),0,IF(YEAR($B264)*12+MONTH($B264)&lt;=YEAR($C$3)*12+MONTH($C$3),$G264,0))</f>
        <v/>
      </c>
      <c r="O264" s="68">
        <f>IF(OR($J264="",$B264=""),0,IF(YEAR($B264)*12+MONTH($B264)&lt;=YEAR($C$3)*12+MONTH($C$3)-1,$G264,0))</f>
        <v/>
      </c>
      <c r="P264" s="68">
        <f>$M264-$O264</f>
        <v/>
      </c>
      <c r="Q264" s="68">
        <f>($L264-$M264)-($N264-$O264)</f>
        <v/>
      </c>
      <c r="R264" s="68">
        <f>$L264-$N264</f>
        <v/>
      </c>
      <c r="S264" s="67">
        <f>"Finance invoice"</f>
        <v/>
      </c>
      <c r="T264" s="67">
        <f>"Revenue"</f>
        <v/>
      </c>
    </row>
    <row r="265">
      <c r="A265" s="65">
        <f>ROW()-5</f>
        <v/>
      </c>
      <c r="B265" s="66">
        <f>IFERROR(INDEX(tbl_Finance[Date],$A265),"")</f>
        <v/>
      </c>
      <c r="C265" s="67">
        <f>IFERROR(INDEX(tbl_Finance[Xero Invoice No],$A265),"")</f>
        <v/>
      </c>
      <c r="D265" s="67">
        <f>IFERROR(INDEX(tbl_Finance[Client],$A265),"")</f>
        <v/>
      </c>
      <c r="E265" s="67">
        <f>IFERROR(INDEX(tbl_Finance[Job Number],$A265),"")</f>
        <v/>
      </c>
      <c r="F265" s="67">
        <f>IFERROR(INDEX(tbl_Finance[Cost Centre],$A265),"")</f>
        <v/>
      </c>
      <c r="G265" s="68">
        <f>IFERROR(INDEX(tbl_Finance[Ex GST],$A265),"")</f>
        <v/>
      </c>
      <c r="H265" s="66">
        <f>IFERROR(INDEX(tbl_Finance[Defer Start],$A265),"")</f>
        <v/>
      </c>
      <c r="I265" s="66">
        <f>IFERROR(INDEX(tbl_Finance[Defer End],$A265),"")</f>
        <v/>
      </c>
      <c r="J265" s="65">
        <f>IF(OR($H265="",$I265="",$G265=""),"",MAX(1,(YEAR($I265)-YEAR($H265))*12+MONTH($I265)-MONTH($H265)+1))</f>
        <v/>
      </c>
      <c r="K265" s="68">
        <f>IF($J265="","",$G265/$J265)</f>
        <v/>
      </c>
      <c r="L265" s="68">
        <f>IF($J265="",0,$K265*MAX(0,MIN(YEAR($C$3)*12+MONTH($C$3),YEAR($I265)*12+MONTH($I265))-(YEAR($H265)*12+MONTH($H265))+1))</f>
        <v/>
      </c>
      <c r="M265" s="68">
        <f>IF($J265="",0,$K265*MAX(0,MIN(YEAR($C$3)*12+MONTH($C$3)-1,YEAR($I265)*12+MONTH($I265))-(YEAR($H265)*12+MONTH($H265))+1))</f>
        <v/>
      </c>
      <c r="N265" s="68">
        <f>IF(OR($J265="",$B265=""),0,IF(YEAR($B265)*12+MONTH($B265)&lt;=YEAR($C$3)*12+MONTH($C$3),$G265,0))</f>
        <v/>
      </c>
      <c r="O265" s="68">
        <f>IF(OR($J265="",$B265=""),0,IF(YEAR($B265)*12+MONTH($B265)&lt;=YEAR($C$3)*12+MONTH($C$3)-1,$G265,0))</f>
        <v/>
      </c>
      <c r="P265" s="68">
        <f>$M265-$O265</f>
        <v/>
      </c>
      <c r="Q265" s="68">
        <f>($L265-$M265)-($N265-$O265)</f>
        <v/>
      </c>
      <c r="R265" s="68">
        <f>$L265-$N265</f>
        <v/>
      </c>
      <c r="S265" s="67">
        <f>"Finance invoice"</f>
        <v/>
      </c>
      <c r="T265" s="67">
        <f>"Revenue"</f>
        <v/>
      </c>
    </row>
    <row r="266">
      <c r="A266" s="65">
        <f>ROW()-5</f>
        <v/>
      </c>
      <c r="B266" s="66">
        <f>IFERROR(INDEX(tbl_Finance[Date],$A266),"")</f>
        <v/>
      </c>
      <c r="C266" s="67">
        <f>IFERROR(INDEX(tbl_Finance[Xero Invoice No],$A266),"")</f>
        <v/>
      </c>
      <c r="D266" s="67">
        <f>IFERROR(INDEX(tbl_Finance[Client],$A266),"")</f>
        <v/>
      </c>
      <c r="E266" s="67">
        <f>IFERROR(INDEX(tbl_Finance[Job Number],$A266),"")</f>
        <v/>
      </c>
      <c r="F266" s="67">
        <f>IFERROR(INDEX(tbl_Finance[Cost Centre],$A266),"")</f>
        <v/>
      </c>
      <c r="G266" s="68">
        <f>IFERROR(INDEX(tbl_Finance[Ex GST],$A266),"")</f>
        <v/>
      </c>
      <c r="H266" s="66">
        <f>IFERROR(INDEX(tbl_Finance[Defer Start],$A266),"")</f>
        <v/>
      </c>
      <c r="I266" s="66">
        <f>IFERROR(INDEX(tbl_Finance[Defer End],$A266),"")</f>
        <v/>
      </c>
      <c r="J266" s="65">
        <f>IF(OR($H266="",$I266="",$G266=""),"",MAX(1,(YEAR($I266)-YEAR($H266))*12+MONTH($I266)-MONTH($H266)+1))</f>
        <v/>
      </c>
      <c r="K266" s="68">
        <f>IF($J266="","",$G266/$J266)</f>
        <v/>
      </c>
      <c r="L266" s="68">
        <f>IF($J266="",0,$K266*MAX(0,MIN(YEAR($C$3)*12+MONTH($C$3),YEAR($I266)*12+MONTH($I266))-(YEAR($H266)*12+MONTH($H266))+1))</f>
        <v/>
      </c>
      <c r="M266" s="68">
        <f>IF($J266="",0,$K266*MAX(0,MIN(YEAR($C$3)*12+MONTH($C$3)-1,YEAR($I266)*12+MONTH($I266))-(YEAR($H266)*12+MONTH($H266))+1))</f>
        <v/>
      </c>
      <c r="N266" s="68">
        <f>IF(OR($J266="",$B266=""),0,IF(YEAR($B266)*12+MONTH($B266)&lt;=YEAR($C$3)*12+MONTH($C$3),$G266,0))</f>
        <v/>
      </c>
      <c r="O266" s="68">
        <f>IF(OR($J266="",$B266=""),0,IF(YEAR($B266)*12+MONTH($B266)&lt;=YEAR($C$3)*12+MONTH($C$3)-1,$G266,0))</f>
        <v/>
      </c>
      <c r="P266" s="68">
        <f>$M266-$O266</f>
        <v/>
      </c>
      <c r="Q266" s="68">
        <f>($L266-$M266)-($N266-$O266)</f>
        <v/>
      </c>
      <c r="R266" s="68">
        <f>$L266-$N266</f>
        <v/>
      </c>
      <c r="S266" s="67">
        <f>"Finance invoice"</f>
        <v/>
      </c>
      <c r="T266" s="67">
        <f>"Revenue"</f>
        <v/>
      </c>
    </row>
    <row r="267">
      <c r="A267" s="65">
        <f>ROW()-5</f>
        <v/>
      </c>
      <c r="B267" s="66">
        <f>IFERROR(INDEX(tbl_Finance[Date],$A267),"")</f>
        <v/>
      </c>
      <c r="C267" s="67">
        <f>IFERROR(INDEX(tbl_Finance[Xero Invoice No],$A267),"")</f>
        <v/>
      </c>
      <c r="D267" s="67">
        <f>IFERROR(INDEX(tbl_Finance[Client],$A267),"")</f>
        <v/>
      </c>
      <c r="E267" s="67">
        <f>IFERROR(INDEX(tbl_Finance[Job Number],$A267),"")</f>
        <v/>
      </c>
      <c r="F267" s="67">
        <f>IFERROR(INDEX(tbl_Finance[Cost Centre],$A267),"")</f>
        <v/>
      </c>
      <c r="G267" s="68">
        <f>IFERROR(INDEX(tbl_Finance[Ex GST],$A267),"")</f>
        <v/>
      </c>
      <c r="H267" s="66">
        <f>IFERROR(INDEX(tbl_Finance[Defer Start],$A267),"")</f>
        <v/>
      </c>
      <c r="I267" s="66">
        <f>IFERROR(INDEX(tbl_Finance[Defer End],$A267),"")</f>
        <v/>
      </c>
      <c r="J267" s="65">
        <f>IF(OR($H267="",$I267="",$G267=""),"",MAX(1,(YEAR($I267)-YEAR($H267))*12+MONTH($I267)-MONTH($H267)+1))</f>
        <v/>
      </c>
      <c r="K267" s="68">
        <f>IF($J267="","",$G267/$J267)</f>
        <v/>
      </c>
      <c r="L267" s="68">
        <f>IF($J267="",0,$K267*MAX(0,MIN(YEAR($C$3)*12+MONTH($C$3),YEAR($I267)*12+MONTH($I267))-(YEAR($H267)*12+MONTH($H267))+1))</f>
        <v/>
      </c>
      <c r="M267" s="68">
        <f>IF($J267="",0,$K267*MAX(0,MIN(YEAR($C$3)*12+MONTH($C$3)-1,YEAR($I267)*12+MONTH($I267))-(YEAR($H267)*12+MONTH($H267))+1))</f>
        <v/>
      </c>
      <c r="N267" s="68">
        <f>IF(OR($J267="",$B267=""),0,IF(YEAR($B267)*12+MONTH($B267)&lt;=YEAR($C$3)*12+MONTH($C$3),$G267,0))</f>
        <v/>
      </c>
      <c r="O267" s="68">
        <f>IF(OR($J267="",$B267=""),0,IF(YEAR($B267)*12+MONTH($B267)&lt;=YEAR($C$3)*12+MONTH($C$3)-1,$G267,0))</f>
        <v/>
      </c>
      <c r="P267" s="68">
        <f>$M267-$O267</f>
        <v/>
      </c>
      <c r="Q267" s="68">
        <f>($L267-$M267)-($N267-$O267)</f>
        <v/>
      </c>
      <c r="R267" s="68">
        <f>$L267-$N267</f>
        <v/>
      </c>
      <c r="S267" s="67">
        <f>"Finance invoice"</f>
        <v/>
      </c>
      <c r="T267" s="67">
        <f>"Revenue"</f>
        <v/>
      </c>
    </row>
    <row r="268">
      <c r="A268" s="65">
        <f>ROW()-5</f>
        <v/>
      </c>
      <c r="B268" s="66">
        <f>IFERROR(INDEX(tbl_Finance[Date],$A268),"")</f>
        <v/>
      </c>
      <c r="C268" s="67">
        <f>IFERROR(INDEX(tbl_Finance[Xero Invoice No],$A268),"")</f>
        <v/>
      </c>
      <c r="D268" s="67">
        <f>IFERROR(INDEX(tbl_Finance[Client],$A268),"")</f>
        <v/>
      </c>
      <c r="E268" s="67">
        <f>IFERROR(INDEX(tbl_Finance[Job Number],$A268),"")</f>
        <v/>
      </c>
      <c r="F268" s="67">
        <f>IFERROR(INDEX(tbl_Finance[Cost Centre],$A268),"")</f>
        <v/>
      </c>
      <c r="G268" s="68">
        <f>IFERROR(INDEX(tbl_Finance[Ex GST],$A268),"")</f>
        <v/>
      </c>
      <c r="H268" s="66">
        <f>IFERROR(INDEX(tbl_Finance[Defer Start],$A268),"")</f>
        <v/>
      </c>
      <c r="I268" s="66">
        <f>IFERROR(INDEX(tbl_Finance[Defer End],$A268),"")</f>
        <v/>
      </c>
      <c r="J268" s="65">
        <f>IF(OR($H268="",$I268="",$G268=""),"",MAX(1,(YEAR($I268)-YEAR($H268))*12+MONTH($I268)-MONTH($H268)+1))</f>
        <v/>
      </c>
      <c r="K268" s="68">
        <f>IF($J268="","",$G268/$J268)</f>
        <v/>
      </c>
      <c r="L268" s="68">
        <f>IF($J268="",0,$K268*MAX(0,MIN(YEAR($C$3)*12+MONTH($C$3),YEAR($I268)*12+MONTH($I268))-(YEAR($H268)*12+MONTH($H268))+1))</f>
        <v/>
      </c>
      <c r="M268" s="68">
        <f>IF($J268="",0,$K268*MAX(0,MIN(YEAR($C$3)*12+MONTH($C$3)-1,YEAR($I268)*12+MONTH($I268))-(YEAR($H268)*12+MONTH($H268))+1))</f>
        <v/>
      </c>
      <c r="N268" s="68">
        <f>IF(OR($J268="",$B268=""),0,IF(YEAR($B268)*12+MONTH($B268)&lt;=YEAR($C$3)*12+MONTH($C$3),$G268,0))</f>
        <v/>
      </c>
      <c r="O268" s="68">
        <f>IF(OR($J268="",$B268=""),0,IF(YEAR($B268)*12+MONTH($B268)&lt;=YEAR($C$3)*12+MONTH($C$3)-1,$G268,0))</f>
        <v/>
      </c>
      <c r="P268" s="68">
        <f>$M268-$O268</f>
        <v/>
      </c>
      <c r="Q268" s="68">
        <f>($L268-$M268)-($N268-$O268)</f>
        <v/>
      </c>
      <c r="R268" s="68">
        <f>$L268-$N268</f>
        <v/>
      </c>
      <c r="S268" s="67">
        <f>"Finance invoice"</f>
        <v/>
      </c>
      <c r="T268" s="67">
        <f>"Revenue"</f>
        <v/>
      </c>
    </row>
    <row r="269">
      <c r="A269" s="65">
        <f>ROW()-5</f>
        <v/>
      </c>
      <c r="B269" s="66">
        <f>IFERROR(INDEX(tbl_Finance[Date],$A269),"")</f>
        <v/>
      </c>
      <c r="C269" s="67">
        <f>IFERROR(INDEX(tbl_Finance[Xero Invoice No],$A269),"")</f>
        <v/>
      </c>
      <c r="D269" s="67">
        <f>IFERROR(INDEX(tbl_Finance[Client],$A269),"")</f>
        <v/>
      </c>
      <c r="E269" s="67">
        <f>IFERROR(INDEX(tbl_Finance[Job Number],$A269),"")</f>
        <v/>
      </c>
      <c r="F269" s="67">
        <f>IFERROR(INDEX(tbl_Finance[Cost Centre],$A269),"")</f>
        <v/>
      </c>
      <c r="G269" s="68">
        <f>IFERROR(INDEX(tbl_Finance[Ex GST],$A269),"")</f>
        <v/>
      </c>
      <c r="H269" s="66">
        <f>IFERROR(INDEX(tbl_Finance[Defer Start],$A269),"")</f>
        <v/>
      </c>
      <c r="I269" s="66">
        <f>IFERROR(INDEX(tbl_Finance[Defer End],$A269),"")</f>
        <v/>
      </c>
      <c r="J269" s="65">
        <f>IF(OR($H269="",$I269="",$G269=""),"",MAX(1,(YEAR($I269)-YEAR($H269))*12+MONTH($I269)-MONTH($H269)+1))</f>
        <v/>
      </c>
      <c r="K269" s="68">
        <f>IF($J269="","",$G269/$J269)</f>
        <v/>
      </c>
      <c r="L269" s="68">
        <f>IF($J269="",0,$K269*MAX(0,MIN(YEAR($C$3)*12+MONTH($C$3),YEAR($I269)*12+MONTH($I269))-(YEAR($H269)*12+MONTH($H269))+1))</f>
        <v/>
      </c>
      <c r="M269" s="68">
        <f>IF($J269="",0,$K269*MAX(0,MIN(YEAR($C$3)*12+MONTH($C$3)-1,YEAR($I269)*12+MONTH($I269))-(YEAR($H269)*12+MONTH($H269))+1))</f>
        <v/>
      </c>
      <c r="N269" s="68">
        <f>IF(OR($J269="",$B269=""),0,IF(YEAR($B269)*12+MONTH($B269)&lt;=YEAR($C$3)*12+MONTH($C$3),$G269,0))</f>
        <v/>
      </c>
      <c r="O269" s="68">
        <f>IF(OR($J269="",$B269=""),0,IF(YEAR($B269)*12+MONTH($B269)&lt;=YEAR($C$3)*12+MONTH($C$3)-1,$G269,0))</f>
        <v/>
      </c>
      <c r="P269" s="68">
        <f>$M269-$O269</f>
        <v/>
      </c>
      <c r="Q269" s="68">
        <f>($L269-$M269)-($N269-$O269)</f>
        <v/>
      </c>
      <c r="R269" s="68">
        <f>$L269-$N269</f>
        <v/>
      </c>
      <c r="S269" s="67">
        <f>"Finance invoice"</f>
        <v/>
      </c>
      <c r="T269" s="67">
        <f>"Revenue"</f>
        <v/>
      </c>
    </row>
    <row r="270">
      <c r="A270" s="65">
        <f>ROW()-5</f>
        <v/>
      </c>
      <c r="B270" s="66">
        <f>IFERROR(INDEX(tbl_Finance[Date],$A270),"")</f>
        <v/>
      </c>
      <c r="C270" s="67">
        <f>IFERROR(INDEX(tbl_Finance[Xero Invoice No],$A270),"")</f>
        <v/>
      </c>
      <c r="D270" s="67">
        <f>IFERROR(INDEX(tbl_Finance[Client],$A270),"")</f>
        <v/>
      </c>
      <c r="E270" s="67">
        <f>IFERROR(INDEX(tbl_Finance[Job Number],$A270),"")</f>
        <v/>
      </c>
      <c r="F270" s="67">
        <f>IFERROR(INDEX(tbl_Finance[Cost Centre],$A270),"")</f>
        <v/>
      </c>
      <c r="G270" s="68">
        <f>IFERROR(INDEX(tbl_Finance[Ex GST],$A270),"")</f>
        <v/>
      </c>
      <c r="H270" s="66">
        <f>IFERROR(INDEX(tbl_Finance[Defer Start],$A270),"")</f>
        <v/>
      </c>
      <c r="I270" s="66">
        <f>IFERROR(INDEX(tbl_Finance[Defer End],$A270),"")</f>
        <v/>
      </c>
      <c r="J270" s="65">
        <f>IF(OR($H270="",$I270="",$G270=""),"",MAX(1,(YEAR($I270)-YEAR($H270))*12+MONTH($I270)-MONTH($H270)+1))</f>
        <v/>
      </c>
      <c r="K270" s="68">
        <f>IF($J270="","",$G270/$J270)</f>
        <v/>
      </c>
      <c r="L270" s="68">
        <f>IF($J270="",0,$K270*MAX(0,MIN(YEAR($C$3)*12+MONTH($C$3),YEAR($I270)*12+MONTH($I270))-(YEAR($H270)*12+MONTH($H270))+1))</f>
        <v/>
      </c>
      <c r="M270" s="68">
        <f>IF($J270="",0,$K270*MAX(0,MIN(YEAR($C$3)*12+MONTH($C$3)-1,YEAR($I270)*12+MONTH($I270))-(YEAR($H270)*12+MONTH($H270))+1))</f>
        <v/>
      </c>
      <c r="N270" s="68">
        <f>IF(OR($J270="",$B270=""),0,IF(YEAR($B270)*12+MONTH($B270)&lt;=YEAR($C$3)*12+MONTH($C$3),$G270,0))</f>
        <v/>
      </c>
      <c r="O270" s="68">
        <f>IF(OR($J270="",$B270=""),0,IF(YEAR($B270)*12+MONTH($B270)&lt;=YEAR($C$3)*12+MONTH($C$3)-1,$G270,0))</f>
        <v/>
      </c>
      <c r="P270" s="68">
        <f>$M270-$O270</f>
        <v/>
      </c>
      <c r="Q270" s="68">
        <f>($L270-$M270)-($N270-$O270)</f>
        <v/>
      </c>
      <c r="R270" s="68">
        <f>$L270-$N270</f>
        <v/>
      </c>
      <c r="S270" s="67">
        <f>"Finance invoice"</f>
        <v/>
      </c>
      <c r="T270" s="67">
        <f>"Revenue"</f>
        <v/>
      </c>
    </row>
    <row r="271">
      <c r="A271" s="65">
        <f>ROW()-5</f>
        <v/>
      </c>
      <c r="B271" s="66">
        <f>IFERROR(INDEX(tbl_Finance[Date],$A271),"")</f>
        <v/>
      </c>
      <c r="C271" s="67">
        <f>IFERROR(INDEX(tbl_Finance[Xero Invoice No],$A271),"")</f>
        <v/>
      </c>
      <c r="D271" s="67">
        <f>IFERROR(INDEX(tbl_Finance[Client],$A271),"")</f>
        <v/>
      </c>
      <c r="E271" s="67">
        <f>IFERROR(INDEX(tbl_Finance[Job Number],$A271),"")</f>
        <v/>
      </c>
      <c r="F271" s="67">
        <f>IFERROR(INDEX(tbl_Finance[Cost Centre],$A271),"")</f>
        <v/>
      </c>
      <c r="G271" s="68">
        <f>IFERROR(INDEX(tbl_Finance[Ex GST],$A271),"")</f>
        <v/>
      </c>
      <c r="H271" s="66">
        <f>IFERROR(INDEX(tbl_Finance[Defer Start],$A271),"")</f>
        <v/>
      </c>
      <c r="I271" s="66">
        <f>IFERROR(INDEX(tbl_Finance[Defer End],$A271),"")</f>
        <v/>
      </c>
      <c r="J271" s="65">
        <f>IF(OR($H271="",$I271="",$G271=""),"",MAX(1,(YEAR($I271)-YEAR($H271))*12+MONTH($I271)-MONTH($H271)+1))</f>
        <v/>
      </c>
      <c r="K271" s="68">
        <f>IF($J271="","",$G271/$J271)</f>
        <v/>
      </c>
      <c r="L271" s="68">
        <f>IF($J271="",0,$K271*MAX(0,MIN(YEAR($C$3)*12+MONTH($C$3),YEAR($I271)*12+MONTH($I271))-(YEAR($H271)*12+MONTH($H271))+1))</f>
        <v/>
      </c>
      <c r="M271" s="68">
        <f>IF($J271="",0,$K271*MAX(0,MIN(YEAR($C$3)*12+MONTH($C$3)-1,YEAR($I271)*12+MONTH($I271))-(YEAR($H271)*12+MONTH($H271))+1))</f>
        <v/>
      </c>
      <c r="N271" s="68">
        <f>IF(OR($J271="",$B271=""),0,IF(YEAR($B271)*12+MONTH($B271)&lt;=YEAR($C$3)*12+MONTH($C$3),$G271,0))</f>
        <v/>
      </c>
      <c r="O271" s="68">
        <f>IF(OR($J271="",$B271=""),0,IF(YEAR($B271)*12+MONTH($B271)&lt;=YEAR($C$3)*12+MONTH($C$3)-1,$G271,0))</f>
        <v/>
      </c>
      <c r="P271" s="68">
        <f>$M271-$O271</f>
        <v/>
      </c>
      <c r="Q271" s="68">
        <f>($L271-$M271)-($N271-$O271)</f>
        <v/>
      </c>
      <c r="R271" s="68">
        <f>$L271-$N271</f>
        <v/>
      </c>
      <c r="S271" s="67">
        <f>"Finance invoice"</f>
        <v/>
      </c>
      <c r="T271" s="67">
        <f>"Revenue"</f>
        <v/>
      </c>
    </row>
    <row r="272">
      <c r="A272" s="65">
        <f>ROW()-5</f>
        <v/>
      </c>
      <c r="B272" s="66">
        <f>IFERROR(INDEX(tbl_Finance[Date],$A272),"")</f>
        <v/>
      </c>
      <c r="C272" s="67">
        <f>IFERROR(INDEX(tbl_Finance[Xero Invoice No],$A272),"")</f>
        <v/>
      </c>
      <c r="D272" s="67">
        <f>IFERROR(INDEX(tbl_Finance[Client],$A272),"")</f>
        <v/>
      </c>
      <c r="E272" s="67">
        <f>IFERROR(INDEX(tbl_Finance[Job Number],$A272),"")</f>
        <v/>
      </c>
      <c r="F272" s="67">
        <f>IFERROR(INDEX(tbl_Finance[Cost Centre],$A272),"")</f>
        <v/>
      </c>
      <c r="G272" s="68">
        <f>IFERROR(INDEX(tbl_Finance[Ex GST],$A272),"")</f>
        <v/>
      </c>
      <c r="H272" s="66">
        <f>IFERROR(INDEX(tbl_Finance[Defer Start],$A272),"")</f>
        <v/>
      </c>
      <c r="I272" s="66">
        <f>IFERROR(INDEX(tbl_Finance[Defer End],$A272),"")</f>
        <v/>
      </c>
      <c r="J272" s="65">
        <f>IF(OR($H272="",$I272="",$G272=""),"",MAX(1,(YEAR($I272)-YEAR($H272))*12+MONTH($I272)-MONTH($H272)+1))</f>
        <v/>
      </c>
      <c r="K272" s="68">
        <f>IF($J272="","",$G272/$J272)</f>
        <v/>
      </c>
      <c r="L272" s="68">
        <f>IF($J272="",0,$K272*MAX(0,MIN(YEAR($C$3)*12+MONTH($C$3),YEAR($I272)*12+MONTH($I272))-(YEAR($H272)*12+MONTH($H272))+1))</f>
        <v/>
      </c>
      <c r="M272" s="68">
        <f>IF($J272="",0,$K272*MAX(0,MIN(YEAR($C$3)*12+MONTH($C$3)-1,YEAR($I272)*12+MONTH($I272))-(YEAR($H272)*12+MONTH($H272))+1))</f>
        <v/>
      </c>
      <c r="N272" s="68">
        <f>IF(OR($J272="",$B272=""),0,IF(YEAR($B272)*12+MONTH($B272)&lt;=YEAR($C$3)*12+MONTH($C$3),$G272,0))</f>
        <v/>
      </c>
      <c r="O272" s="68">
        <f>IF(OR($J272="",$B272=""),0,IF(YEAR($B272)*12+MONTH($B272)&lt;=YEAR($C$3)*12+MONTH($C$3)-1,$G272,0))</f>
        <v/>
      </c>
      <c r="P272" s="68">
        <f>$M272-$O272</f>
        <v/>
      </c>
      <c r="Q272" s="68">
        <f>($L272-$M272)-($N272-$O272)</f>
        <v/>
      </c>
      <c r="R272" s="68">
        <f>$L272-$N272</f>
        <v/>
      </c>
      <c r="S272" s="67">
        <f>"Finance invoice"</f>
        <v/>
      </c>
      <c r="T272" s="67">
        <f>"Revenue"</f>
        <v/>
      </c>
    </row>
    <row r="273">
      <c r="A273" s="65">
        <f>ROW()-5</f>
        <v/>
      </c>
      <c r="B273" s="66">
        <f>IFERROR(INDEX(tbl_Finance[Date],$A273),"")</f>
        <v/>
      </c>
      <c r="C273" s="67">
        <f>IFERROR(INDEX(tbl_Finance[Xero Invoice No],$A273),"")</f>
        <v/>
      </c>
      <c r="D273" s="67">
        <f>IFERROR(INDEX(tbl_Finance[Client],$A273),"")</f>
        <v/>
      </c>
      <c r="E273" s="67">
        <f>IFERROR(INDEX(tbl_Finance[Job Number],$A273),"")</f>
        <v/>
      </c>
      <c r="F273" s="67">
        <f>IFERROR(INDEX(tbl_Finance[Cost Centre],$A273),"")</f>
        <v/>
      </c>
      <c r="G273" s="68">
        <f>IFERROR(INDEX(tbl_Finance[Ex GST],$A273),"")</f>
        <v/>
      </c>
      <c r="H273" s="66">
        <f>IFERROR(INDEX(tbl_Finance[Defer Start],$A273),"")</f>
        <v/>
      </c>
      <c r="I273" s="66">
        <f>IFERROR(INDEX(tbl_Finance[Defer End],$A273),"")</f>
        <v/>
      </c>
      <c r="J273" s="65">
        <f>IF(OR($H273="",$I273="",$G273=""),"",MAX(1,(YEAR($I273)-YEAR($H273))*12+MONTH($I273)-MONTH($H273)+1))</f>
        <v/>
      </c>
      <c r="K273" s="68">
        <f>IF($J273="","",$G273/$J273)</f>
        <v/>
      </c>
      <c r="L273" s="68">
        <f>IF($J273="",0,$K273*MAX(0,MIN(YEAR($C$3)*12+MONTH($C$3),YEAR($I273)*12+MONTH($I273))-(YEAR($H273)*12+MONTH($H273))+1))</f>
        <v/>
      </c>
      <c r="M273" s="68">
        <f>IF($J273="",0,$K273*MAX(0,MIN(YEAR($C$3)*12+MONTH($C$3)-1,YEAR($I273)*12+MONTH($I273))-(YEAR($H273)*12+MONTH($H273))+1))</f>
        <v/>
      </c>
      <c r="N273" s="68">
        <f>IF(OR($J273="",$B273=""),0,IF(YEAR($B273)*12+MONTH($B273)&lt;=YEAR($C$3)*12+MONTH($C$3),$G273,0))</f>
        <v/>
      </c>
      <c r="O273" s="68">
        <f>IF(OR($J273="",$B273=""),0,IF(YEAR($B273)*12+MONTH($B273)&lt;=YEAR($C$3)*12+MONTH($C$3)-1,$G273,0))</f>
        <v/>
      </c>
      <c r="P273" s="68">
        <f>$M273-$O273</f>
        <v/>
      </c>
      <c r="Q273" s="68">
        <f>($L273-$M273)-($N273-$O273)</f>
        <v/>
      </c>
      <c r="R273" s="68">
        <f>$L273-$N273</f>
        <v/>
      </c>
      <c r="S273" s="67">
        <f>"Finance invoice"</f>
        <v/>
      </c>
      <c r="T273" s="67">
        <f>"Revenue"</f>
        <v/>
      </c>
    </row>
    <row r="274">
      <c r="A274" s="65">
        <f>ROW()-5</f>
        <v/>
      </c>
      <c r="B274" s="66">
        <f>IFERROR(INDEX(tbl_Finance[Date],$A274),"")</f>
        <v/>
      </c>
      <c r="C274" s="67">
        <f>IFERROR(INDEX(tbl_Finance[Xero Invoice No],$A274),"")</f>
        <v/>
      </c>
      <c r="D274" s="67">
        <f>IFERROR(INDEX(tbl_Finance[Client],$A274),"")</f>
        <v/>
      </c>
      <c r="E274" s="67">
        <f>IFERROR(INDEX(tbl_Finance[Job Number],$A274),"")</f>
        <v/>
      </c>
      <c r="F274" s="67">
        <f>IFERROR(INDEX(tbl_Finance[Cost Centre],$A274),"")</f>
        <v/>
      </c>
      <c r="G274" s="68">
        <f>IFERROR(INDEX(tbl_Finance[Ex GST],$A274),"")</f>
        <v/>
      </c>
      <c r="H274" s="66">
        <f>IFERROR(INDEX(tbl_Finance[Defer Start],$A274),"")</f>
        <v/>
      </c>
      <c r="I274" s="66">
        <f>IFERROR(INDEX(tbl_Finance[Defer End],$A274),"")</f>
        <v/>
      </c>
      <c r="J274" s="65">
        <f>IF(OR($H274="",$I274="",$G274=""),"",MAX(1,(YEAR($I274)-YEAR($H274))*12+MONTH($I274)-MONTH($H274)+1))</f>
        <v/>
      </c>
      <c r="K274" s="68">
        <f>IF($J274="","",$G274/$J274)</f>
        <v/>
      </c>
      <c r="L274" s="68">
        <f>IF($J274="",0,$K274*MAX(0,MIN(YEAR($C$3)*12+MONTH($C$3),YEAR($I274)*12+MONTH($I274))-(YEAR($H274)*12+MONTH($H274))+1))</f>
        <v/>
      </c>
      <c r="M274" s="68">
        <f>IF($J274="",0,$K274*MAX(0,MIN(YEAR($C$3)*12+MONTH($C$3)-1,YEAR($I274)*12+MONTH($I274))-(YEAR($H274)*12+MONTH($H274))+1))</f>
        <v/>
      </c>
      <c r="N274" s="68">
        <f>IF(OR($J274="",$B274=""),0,IF(YEAR($B274)*12+MONTH($B274)&lt;=YEAR($C$3)*12+MONTH($C$3),$G274,0))</f>
        <v/>
      </c>
      <c r="O274" s="68">
        <f>IF(OR($J274="",$B274=""),0,IF(YEAR($B274)*12+MONTH($B274)&lt;=YEAR($C$3)*12+MONTH($C$3)-1,$G274,0))</f>
        <v/>
      </c>
      <c r="P274" s="68">
        <f>$M274-$O274</f>
        <v/>
      </c>
      <c r="Q274" s="68">
        <f>($L274-$M274)-($N274-$O274)</f>
        <v/>
      </c>
      <c r="R274" s="68">
        <f>$L274-$N274</f>
        <v/>
      </c>
      <c r="S274" s="67">
        <f>"Finance invoice"</f>
        <v/>
      </c>
      <c r="T274" s="67">
        <f>"Revenue"</f>
        <v/>
      </c>
    </row>
    <row r="275">
      <c r="A275" s="65">
        <f>ROW()-5</f>
        <v/>
      </c>
      <c r="B275" s="66">
        <f>IFERROR(INDEX(tbl_Finance[Date],$A275),"")</f>
        <v/>
      </c>
      <c r="C275" s="67">
        <f>IFERROR(INDEX(tbl_Finance[Xero Invoice No],$A275),"")</f>
        <v/>
      </c>
      <c r="D275" s="67">
        <f>IFERROR(INDEX(tbl_Finance[Client],$A275),"")</f>
        <v/>
      </c>
      <c r="E275" s="67">
        <f>IFERROR(INDEX(tbl_Finance[Job Number],$A275),"")</f>
        <v/>
      </c>
      <c r="F275" s="67">
        <f>IFERROR(INDEX(tbl_Finance[Cost Centre],$A275),"")</f>
        <v/>
      </c>
      <c r="G275" s="68">
        <f>IFERROR(INDEX(tbl_Finance[Ex GST],$A275),"")</f>
        <v/>
      </c>
      <c r="H275" s="66">
        <f>IFERROR(INDEX(tbl_Finance[Defer Start],$A275),"")</f>
        <v/>
      </c>
      <c r="I275" s="66">
        <f>IFERROR(INDEX(tbl_Finance[Defer End],$A275),"")</f>
        <v/>
      </c>
      <c r="J275" s="65">
        <f>IF(OR($H275="",$I275="",$G275=""),"",MAX(1,(YEAR($I275)-YEAR($H275))*12+MONTH($I275)-MONTH($H275)+1))</f>
        <v/>
      </c>
      <c r="K275" s="68">
        <f>IF($J275="","",$G275/$J275)</f>
        <v/>
      </c>
      <c r="L275" s="68">
        <f>IF($J275="",0,$K275*MAX(0,MIN(YEAR($C$3)*12+MONTH($C$3),YEAR($I275)*12+MONTH($I275))-(YEAR($H275)*12+MONTH($H275))+1))</f>
        <v/>
      </c>
      <c r="M275" s="68">
        <f>IF($J275="",0,$K275*MAX(0,MIN(YEAR($C$3)*12+MONTH($C$3)-1,YEAR($I275)*12+MONTH($I275))-(YEAR($H275)*12+MONTH($H275))+1))</f>
        <v/>
      </c>
      <c r="N275" s="68">
        <f>IF(OR($J275="",$B275=""),0,IF(YEAR($B275)*12+MONTH($B275)&lt;=YEAR($C$3)*12+MONTH($C$3),$G275,0))</f>
        <v/>
      </c>
      <c r="O275" s="68">
        <f>IF(OR($J275="",$B275=""),0,IF(YEAR($B275)*12+MONTH($B275)&lt;=YEAR($C$3)*12+MONTH($C$3)-1,$G275,0))</f>
        <v/>
      </c>
      <c r="P275" s="68">
        <f>$M275-$O275</f>
        <v/>
      </c>
      <c r="Q275" s="68">
        <f>($L275-$M275)-($N275-$O275)</f>
        <v/>
      </c>
      <c r="R275" s="68">
        <f>$L275-$N275</f>
        <v/>
      </c>
      <c r="S275" s="67">
        <f>"Finance invoice"</f>
        <v/>
      </c>
      <c r="T275" s="67">
        <f>"Revenue"</f>
        <v/>
      </c>
    </row>
    <row r="276">
      <c r="A276" s="65">
        <f>ROW()-5</f>
        <v/>
      </c>
      <c r="B276" s="66">
        <f>IFERROR(INDEX(tbl_Finance[Date],$A276),"")</f>
        <v/>
      </c>
      <c r="C276" s="67">
        <f>IFERROR(INDEX(tbl_Finance[Xero Invoice No],$A276),"")</f>
        <v/>
      </c>
      <c r="D276" s="67">
        <f>IFERROR(INDEX(tbl_Finance[Client],$A276),"")</f>
        <v/>
      </c>
      <c r="E276" s="67">
        <f>IFERROR(INDEX(tbl_Finance[Job Number],$A276),"")</f>
        <v/>
      </c>
      <c r="F276" s="67">
        <f>IFERROR(INDEX(tbl_Finance[Cost Centre],$A276),"")</f>
        <v/>
      </c>
      <c r="G276" s="68">
        <f>IFERROR(INDEX(tbl_Finance[Ex GST],$A276),"")</f>
        <v/>
      </c>
      <c r="H276" s="66">
        <f>IFERROR(INDEX(tbl_Finance[Defer Start],$A276),"")</f>
        <v/>
      </c>
      <c r="I276" s="66">
        <f>IFERROR(INDEX(tbl_Finance[Defer End],$A276),"")</f>
        <v/>
      </c>
      <c r="J276" s="65">
        <f>IF(OR($H276="",$I276="",$G276=""),"",MAX(1,(YEAR($I276)-YEAR($H276))*12+MONTH($I276)-MONTH($H276)+1))</f>
        <v/>
      </c>
      <c r="K276" s="68">
        <f>IF($J276="","",$G276/$J276)</f>
        <v/>
      </c>
      <c r="L276" s="68">
        <f>IF($J276="",0,$K276*MAX(0,MIN(YEAR($C$3)*12+MONTH($C$3),YEAR($I276)*12+MONTH($I276))-(YEAR($H276)*12+MONTH($H276))+1))</f>
        <v/>
      </c>
      <c r="M276" s="68">
        <f>IF($J276="",0,$K276*MAX(0,MIN(YEAR($C$3)*12+MONTH($C$3)-1,YEAR($I276)*12+MONTH($I276))-(YEAR($H276)*12+MONTH($H276))+1))</f>
        <v/>
      </c>
      <c r="N276" s="68">
        <f>IF(OR($J276="",$B276=""),0,IF(YEAR($B276)*12+MONTH($B276)&lt;=YEAR($C$3)*12+MONTH($C$3),$G276,0))</f>
        <v/>
      </c>
      <c r="O276" s="68">
        <f>IF(OR($J276="",$B276=""),0,IF(YEAR($B276)*12+MONTH($B276)&lt;=YEAR($C$3)*12+MONTH($C$3)-1,$G276,0))</f>
        <v/>
      </c>
      <c r="P276" s="68">
        <f>$M276-$O276</f>
        <v/>
      </c>
      <c r="Q276" s="68">
        <f>($L276-$M276)-($N276-$O276)</f>
        <v/>
      </c>
      <c r="R276" s="68">
        <f>$L276-$N276</f>
        <v/>
      </c>
      <c r="S276" s="67">
        <f>"Finance invoice"</f>
        <v/>
      </c>
      <c r="T276" s="67">
        <f>"Revenue"</f>
        <v/>
      </c>
    </row>
    <row r="277">
      <c r="A277" s="65">
        <f>ROW()-5</f>
        <v/>
      </c>
      <c r="B277" s="66">
        <f>IFERROR(INDEX(tbl_Finance[Date],$A277),"")</f>
        <v/>
      </c>
      <c r="C277" s="67">
        <f>IFERROR(INDEX(tbl_Finance[Xero Invoice No],$A277),"")</f>
        <v/>
      </c>
      <c r="D277" s="67">
        <f>IFERROR(INDEX(tbl_Finance[Client],$A277),"")</f>
        <v/>
      </c>
      <c r="E277" s="67">
        <f>IFERROR(INDEX(tbl_Finance[Job Number],$A277),"")</f>
        <v/>
      </c>
      <c r="F277" s="67">
        <f>IFERROR(INDEX(tbl_Finance[Cost Centre],$A277),"")</f>
        <v/>
      </c>
      <c r="G277" s="68">
        <f>IFERROR(INDEX(tbl_Finance[Ex GST],$A277),"")</f>
        <v/>
      </c>
      <c r="H277" s="66">
        <f>IFERROR(INDEX(tbl_Finance[Defer Start],$A277),"")</f>
        <v/>
      </c>
      <c r="I277" s="66">
        <f>IFERROR(INDEX(tbl_Finance[Defer End],$A277),"")</f>
        <v/>
      </c>
      <c r="J277" s="65">
        <f>IF(OR($H277="",$I277="",$G277=""),"",MAX(1,(YEAR($I277)-YEAR($H277))*12+MONTH($I277)-MONTH($H277)+1))</f>
        <v/>
      </c>
      <c r="K277" s="68">
        <f>IF($J277="","",$G277/$J277)</f>
        <v/>
      </c>
      <c r="L277" s="68">
        <f>IF($J277="",0,$K277*MAX(0,MIN(YEAR($C$3)*12+MONTH($C$3),YEAR($I277)*12+MONTH($I277))-(YEAR($H277)*12+MONTH($H277))+1))</f>
        <v/>
      </c>
      <c r="M277" s="68">
        <f>IF($J277="",0,$K277*MAX(0,MIN(YEAR($C$3)*12+MONTH($C$3)-1,YEAR($I277)*12+MONTH($I277))-(YEAR($H277)*12+MONTH($H277))+1))</f>
        <v/>
      </c>
      <c r="N277" s="68">
        <f>IF(OR($J277="",$B277=""),0,IF(YEAR($B277)*12+MONTH($B277)&lt;=YEAR($C$3)*12+MONTH($C$3),$G277,0))</f>
        <v/>
      </c>
      <c r="O277" s="68">
        <f>IF(OR($J277="",$B277=""),0,IF(YEAR($B277)*12+MONTH($B277)&lt;=YEAR($C$3)*12+MONTH($C$3)-1,$G277,0))</f>
        <v/>
      </c>
      <c r="P277" s="68">
        <f>$M277-$O277</f>
        <v/>
      </c>
      <c r="Q277" s="68">
        <f>($L277-$M277)-($N277-$O277)</f>
        <v/>
      </c>
      <c r="R277" s="68">
        <f>$L277-$N277</f>
        <v/>
      </c>
      <c r="S277" s="67">
        <f>"Finance invoice"</f>
        <v/>
      </c>
      <c r="T277" s="67">
        <f>"Revenue"</f>
        <v/>
      </c>
    </row>
    <row r="278">
      <c r="A278" s="65">
        <f>ROW()-5</f>
        <v/>
      </c>
      <c r="B278" s="66">
        <f>IFERROR(INDEX(tbl_Finance[Date],$A278),"")</f>
        <v/>
      </c>
      <c r="C278" s="67">
        <f>IFERROR(INDEX(tbl_Finance[Xero Invoice No],$A278),"")</f>
        <v/>
      </c>
      <c r="D278" s="67">
        <f>IFERROR(INDEX(tbl_Finance[Client],$A278),"")</f>
        <v/>
      </c>
      <c r="E278" s="67">
        <f>IFERROR(INDEX(tbl_Finance[Job Number],$A278),"")</f>
        <v/>
      </c>
      <c r="F278" s="67">
        <f>IFERROR(INDEX(tbl_Finance[Cost Centre],$A278),"")</f>
        <v/>
      </c>
      <c r="G278" s="68">
        <f>IFERROR(INDEX(tbl_Finance[Ex GST],$A278),"")</f>
        <v/>
      </c>
      <c r="H278" s="66">
        <f>IFERROR(INDEX(tbl_Finance[Defer Start],$A278),"")</f>
        <v/>
      </c>
      <c r="I278" s="66">
        <f>IFERROR(INDEX(tbl_Finance[Defer End],$A278),"")</f>
        <v/>
      </c>
      <c r="J278" s="65">
        <f>IF(OR($H278="",$I278="",$G278=""),"",MAX(1,(YEAR($I278)-YEAR($H278))*12+MONTH($I278)-MONTH($H278)+1))</f>
        <v/>
      </c>
      <c r="K278" s="68">
        <f>IF($J278="","",$G278/$J278)</f>
        <v/>
      </c>
      <c r="L278" s="68">
        <f>IF($J278="",0,$K278*MAX(0,MIN(YEAR($C$3)*12+MONTH($C$3),YEAR($I278)*12+MONTH($I278))-(YEAR($H278)*12+MONTH($H278))+1))</f>
        <v/>
      </c>
      <c r="M278" s="68">
        <f>IF($J278="",0,$K278*MAX(0,MIN(YEAR($C$3)*12+MONTH($C$3)-1,YEAR($I278)*12+MONTH($I278))-(YEAR($H278)*12+MONTH($H278))+1))</f>
        <v/>
      </c>
      <c r="N278" s="68">
        <f>IF(OR($J278="",$B278=""),0,IF(YEAR($B278)*12+MONTH($B278)&lt;=YEAR($C$3)*12+MONTH($C$3),$G278,0))</f>
        <v/>
      </c>
      <c r="O278" s="68">
        <f>IF(OR($J278="",$B278=""),0,IF(YEAR($B278)*12+MONTH($B278)&lt;=YEAR($C$3)*12+MONTH($C$3)-1,$G278,0))</f>
        <v/>
      </c>
      <c r="P278" s="68">
        <f>$M278-$O278</f>
        <v/>
      </c>
      <c r="Q278" s="68">
        <f>($L278-$M278)-($N278-$O278)</f>
        <v/>
      </c>
      <c r="R278" s="68">
        <f>$L278-$N278</f>
        <v/>
      </c>
      <c r="S278" s="67">
        <f>"Finance invoice"</f>
        <v/>
      </c>
      <c r="T278" s="67">
        <f>"Revenue"</f>
        <v/>
      </c>
    </row>
    <row r="279">
      <c r="A279" s="65">
        <f>ROW()-5</f>
        <v/>
      </c>
      <c r="B279" s="66">
        <f>IFERROR(INDEX(tbl_Finance[Date],$A279),"")</f>
        <v/>
      </c>
      <c r="C279" s="67">
        <f>IFERROR(INDEX(tbl_Finance[Xero Invoice No],$A279),"")</f>
        <v/>
      </c>
      <c r="D279" s="67">
        <f>IFERROR(INDEX(tbl_Finance[Client],$A279),"")</f>
        <v/>
      </c>
      <c r="E279" s="67">
        <f>IFERROR(INDEX(tbl_Finance[Job Number],$A279),"")</f>
        <v/>
      </c>
      <c r="F279" s="67">
        <f>IFERROR(INDEX(tbl_Finance[Cost Centre],$A279),"")</f>
        <v/>
      </c>
      <c r="G279" s="68">
        <f>IFERROR(INDEX(tbl_Finance[Ex GST],$A279),"")</f>
        <v/>
      </c>
      <c r="H279" s="66">
        <f>IFERROR(INDEX(tbl_Finance[Defer Start],$A279),"")</f>
        <v/>
      </c>
      <c r="I279" s="66">
        <f>IFERROR(INDEX(tbl_Finance[Defer End],$A279),"")</f>
        <v/>
      </c>
      <c r="J279" s="65">
        <f>IF(OR($H279="",$I279="",$G279=""),"",MAX(1,(YEAR($I279)-YEAR($H279))*12+MONTH($I279)-MONTH($H279)+1))</f>
        <v/>
      </c>
      <c r="K279" s="68">
        <f>IF($J279="","",$G279/$J279)</f>
        <v/>
      </c>
      <c r="L279" s="68">
        <f>IF($J279="",0,$K279*MAX(0,MIN(YEAR($C$3)*12+MONTH($C$3),YEAR($I279)*12+MONTH($I279))-(YEAR($H279)*12+MONTH($H279))+1))</f>
        <v/>
      </c>
      <c r="M279" s="68">
        <f>IF($J279="",0,$K279*MAX(0,MIN(YEAR($C$3)*12+MONTH($C$3)-1,YEAR($I279)*12+MONTH($I279))-(YEAR($H279)*12+MONTH($H279))+1))</f>
        <v/>
      </c>
      <c r="N279" s="68">
        <f>IF(OR($J279="",$B279=""),0,IF(YEAR($B279)*12+MONTH($B279)&lt;=YEAR($C$3)*12+MONTH($C$3),$G279,0))</f>
        <v/>
      </c>
      <c r="O279" s="68">
        <f>IF(OR($J279="",$B279=""),0,IF(YEAR($B279)*12+MONTH($B279)&lt;=YEAR($C$3)*12+MONTH($C$3)-1,$G279,0))</f>
        <v/>
      </c>
      <c r="P279" s="68">
        <f>$M279-$O279</f>
        <v/>
      </c>
      <c r="Q279" s="68">
        <f>($L279-$M279)-($N279-$O279)</f>
        <v/>
      </c>
      <c r="R279" s="68">
        <f>$L279-$N279</f>
        <v/>
      </c>
      <c r="S279" s="67">
        <f>"Finance invoice"</f>
        <v/>
      </c>
      <c r="T279" s="67">
        <f>"Revenue"</f>
        <v/>
      </c>
    </row>
    <row r="280">
      <c r="A280" s="65">
        <f>ROW()-5</f>
        <v/>
      </c>
      <c r="B280" s="66">
        <f>IFERROR(INDEX(tbl_Finance[Date],$A280),"")</f>
        <v/>
      </c>
      <c r="C280" s="67">
        <f>IFERROR(INDEX(tbl_Finance[Xero Invoice No],$A280),"")</f>
        <v/>
      </c>
      <c r="D280" s="67">
        <f>IFERROR(INDEX(tbl_Finance[Client],$A280),"")</f>
        <v/>
      </c>
      <c r="E280" s="67">
        <f>IFERROR(INDEX(tbl_Finance[Job Number],$A280),"")</f>
        <v/>
      </c>
      <c r="F280" s="67">
        <f>IFERROR(INDEX(tbl_Finance[Cost Centre],$A280),"")</f>
        <v/>
      </c>
      <c r="G280" s="68">
        <f>IFERROR(INDEX(tbl_Finance[Ex GST],$A280),"")</f>
        <v/>
      </c>
      <c r="H280" s="66">
        <f>IFERROR(INDEX(tbl_Finance[Defer Start],$A280),"")</f>
        <v/>
      </c>
      <c r="I280" s="66">
        <f>IFERROR(INDEX(tbl_Finance[Defer End],$A280),"")</f>
        <v/>
      </c>
      <c r="J280" s="65">
        <f>IF(OR($H280="",$I280="",$G280=""),"",MAX(1,(YEAR($I280)-YEAR($H280))*12+MONTH($I280)-MONTH($H280)+1))</f>
        <v/>
      </c>
      <c r="K280" s="68">
        <f>IF($J280="","",$G280/$J280)</f>
        <v/>
      </c>
      <c r="L280" s="68">
        <f>IF($J280="",0,$K280*MAX(0,MIN(YEAR($C$3)*12+MONTH($C$3),YEAR($I280)*12+MONTH($I280))-(YEAR($H280)*12+MONTH($H280))+1))</f>
        <v/>
      </c>
      <c r="M280" s="68">
        <f>IF($J280="",0,$K280*MAX(0,MIN(YEAR($C$3)*12+MONTH($C$3)-1,YEAR($I280)*12+MONTH($I280))-(YEAR($H280)*12+MONTH($H280))+1))</f>
        <v/>
      </c>
      <c r="N280" s="68">
        <f>IF(OR($J280="",$B280=""),0,IF(YEAR($B280)*12+MONTH($B280)&lt;=YEAR($C$3)*12+MONTH($C$3),$G280,0))</f>
        <v/>
      </c>
      <c r="O280" s="68">
        <f>IF(OR($J280="",$B280=""),0,IF(YEAR($B280)*12+MONTH($B280)&lt;=YEAR($C$3)*12+MONTH($C$3)-1,$G280,0))</f>
        <v/>
      </c>
      <c r="P280" s="68">
        <f>$M280-$O280</f>
        <v/>
      </c>
      <c r="Q280" s="68">
        <f>($L280-$M280)-($N280-$O280)</f>
        <v/>
      </c>
      <c r="R280" s="68">
        <f>$L280-$N280</f>
        <v/>
      </c>
      <c r="S280" s="67">
        <f>"Finance invoice"</f>
        <v/>
      </c>
      <c r="T280" s="67">
        <f>"Revenue"</f>
        <v/>
      </c>
    </row>
    <row r="281">
      <c r="A281" s="65">
        <f>ROW()-5</f>
        <v/>
      </c>
      <c r="B281" s="66">
        <f>IFERROR(INDEX(tbl_Finance[Date],$A281),"")</f>
        <v/>
      </c>
      <c r="C281" s="67">
        <f>IFERROR(INDEX(tbl_Finance[Xero Invoice No],$A281),"")</f>
        <v/>
      </c>
      <c r="D281" s="67">
        <f>IFERROR(INDEX(tbl_Finance[Client],$A281),"")</f>
        <v/>
      </c>
      <c r="E281" s="67">
        <f>IFERROR(INDEX(tbl_Finance[Job Number],$A281),"")</f>
        <v/>
      </c>
      <c r="F281" s="67">
        <f>IFERROR(INDEX(tbl_Finance[Cost Centre],$A281),"")</f>
        <v/>
      </c>
      <c r="G281" s="68">
        <f>IFERROR(INDEX(tbl_Finance[Ex GST],$A281),"")</f>
        <v/>
      </c>
      <c r="H281" s="66">
        <f>IFERROR(INDEX(tbl_Finance[Defer Start],$A281),"")</f>
        <v/>
      </c>
      <c r="I281" s="66">
        <f>IFERROR(INDEX(tbl_Finance[Defer End],$A281),"")</f>
        <v/>
      </c>
      <c r="J281" s="65">
        <f>IF(OR($H281="",$I281="",$G281=""),"",MAX(1,(YEAR($I281)-YEAR($H281))*12+MONTH($I281)-MONTH($H281)+1))</f>
        <v/>
      </c>
      <c r="K281" s="68">
        <f>IF($J281="","",$G281/$J281)</f>
        <v/>
      </c>
      <c r="L281" s="68">
        <f>IF($J281="",0,$K281*MAX(0,MIN(YEAR($C$3)*12+MONTH($C$3),YEAR($I281)*12+MONTH($I281))-(YEAR($H281)*12+MONTH($H281))+1))</f>
        <v/>
      </c>
      <c r="M281" s="68">
        <f>IF($J281="",0,$K281*MAX(0,MIN(YEAR($C$3)*12+MONTH($C$3)-1,YEAR($I281)*12+MONTH($I281))-(YEAR($H281)*12+MONTH($H281))+1))</f>
        <v/>
      </c>
      <c r="N281" s="68">
        <f>IF(OR($J281="",$B281=""),0,IF(YEAR($B281)*12+MONTH($B281)&lt;=YEAR($C$3)*12+MONTH($C$3),$G281,0))</f>
        <v/>
      </c>
      <c r="O281" s="68">
        <f>IF(OR($J281="",$B281=""),0,IF(YEAR($B281)*12+MONTH($B281)&lt;=YEAR($C$3)*12+MONTH($C$3)-1,$G281,0))</f>
        <v/>
      </c>
      <c r="P281" s="68">
        <f>$M281-$O281</f>
        <v/>
      </c>
      <c r="Q281" s="68">
        <f>($L281-$M281)-($N281-$O281)</f>
        <v/>
      </c>
      <c r="R281" s="68">
        <f>$L281-$N281</f>
        <v/>
      </c>
      <c r="S281" s="67">
        <f>"Finance invoice"</f>
        <v/>
      </c>
      <c r="T281" s="67">
        <f>"Revenue"</f>
        <v/>
      </c>
    </row>
    <row r="282">
      <c r="A282" s="65">
        <f>ROW()-5</f>
        <v/>
      </c>
      <c r="B282" s="66">
        <f>IFERROR(INDEX(tbl_Finance[Date],$A282),"")</f>
        <v/>
      </c>
      <c r="C282" s="67">
        <f>IFERROR(INDEX(tbl_Finance[Xero Invoice No],$A282),"")</f>
        <v/>
      </c>
      <c r="D282" s="67">
        <f>IFERROR(INDEX(tbl_Finance[Client],$A282),"")</f>
        <v/>
      </c>
      <c r="E282" s="67">
        <f>IFERROR(INDEX(tbl_Finance[Job Number],$A282),"")</f>
        <v/>
      </c>
      <c r="F282" s="67">
        <f>IFERROR(INDEX(tbl_Finance[Cost Centre],$A282),"")</f>
        <v/>
      </c>
      <c r="G282" s="68">
        <f>IFERROR(INDEX(tbl_Finance[Ex GST],$A282),"")</f>
        <v/>
      </c>
      <c r="H282" s="66">
        <f>IFERROR(INDEX(tbl_Finance[Defer Start],$A282),"")</f>
        <v/>
      </c>
      <c r="I282" s="66">
        <f>IFERROR(INDEX(tbl_Finance[Defer End],$A282),"")</f>
        <v/>
      </c>
      <c r="J282" s="65">
        <f>IF(OR($H282="",$I282="",$G282=""),"",MAX(1,(YEAR($I282)-YEAR($H282))*12+MONTH($I282)-MONTH($H282)+1))</f>
        <v/>
      </c>
      <c r="K282" s="68">
        <f>IF($J282="","",$G282/$J282)</f>
        <v/>
      </c>
      <c r="L282" s="68">
        <f>IF($J282="",0,$K282*MAX(0,MIN(YEAR($C$3)*12+MONTH($C$3),YEAR($I282)*12+MONTH($I282))-(YEAR($H282)*12+MONTH($H282))+1))</f>
        <v/>
      </c>
      <c r="M282" s="68">
        <f>IF($J282="",0,$K282*MAX(0,MIN(YEAR($C$3)*12+MONTH($C$3)-1,YEAR($I282)*12+MONTH($I282))-(YEAR($H282)*12+MONTH($H282))+1))</f>
        <v/>
      </c>
      <c r="N282" s="68">
        <f>IF(OR($J282="",$B282=""),0,IF(YEAR($B282)*12+MONTH($B282)&lt;=YEAR($C$3)*12+MONTH($C$3),$G282,0))</f>
        <v/>
      </c>
      <c r="O282" s="68">
        <f>IF(OR($J282="",$B282=""),0,IF(YEAR($B282)*12+MONTH($B282)&lt;=YEAR($C$3)*12+MONTH($C$3)-1,$G282,0))</f>
        <v/>
      </c>
      <c r="P282" s="68">
        <f>$M282-$O282</f>
        <v/>
      </c>
      <c r="Q282" s="68">
        <f>($L282-$M282)-($N282-$O282)</f>
        <v/>
      </c>
      <c r="R282" s="68">
        <f>$L282-$N282</f>
        <v/>
      </c>
      <c r="S282" s="67">
        <f>"Finance invoice"</f>
        <v/>
      </c>
      <c r="T282" s="67">
        <f>"Revenue"</f>
        <v/>
      </c>
    </row>
    <row r="283">
      <c r="A283" s="65">
        <f>ROW()-5</f>
        <v/>
      </c>
      <c r="B283" s="66">
        <f>IFERROR(INDEX(tbl_Finance[Date],$A283),"")</f>
        <v/>
      </c>
      <c r="C283" s="67">
        <f>IFERROR(INDEX(tbl_Finance[Xero Invoice No],$A283),"")</f>
        <v/>
      </c>
      <c r="D283" s="67">
        <f>IFERROR(INDEX(tbl_Finance[Client],$A283),"")</f>
        <v/>
      </c>
      <c r="E283" s="67">
        <f>IFERROR(INDEX(tbl_Finance[Job Number],$A283),"")</f>
        <v/>
      </c>
      <c r="F283" s="67">
        <f>IFERROR(INDEX(tbl_Finance[Cost Centre],$A283),"")</f>
        <v/>
      </c>
      <c r="G283" s="68">
        <f>IFERROR(INDEX(tbl_Finance[Ex GST],$A283),"")</f>
        <v/>
      </c>
      <c r="H283" s="66">
        <f>IFERROR(INDEX(tbl_Finance[Defer Start],$A283),"")</f>
        <v/>
      </c>
      <c r="I283" s="66">
        <f>IFERROR(INDEX(tbl_Finance[Defer End],$A283),"")</f>
        <v/>
      </c>
      <c r="J283" s="65">
        <f>IF(OR($H283="",$I283="",$G283=""),"",MAX(1,(YEAR($I283)-YEAR($H283))*12+MONTH($I283)-MONTH($H283)+1))</f>
        <v/>
      </c>
      <c r="K283" s="68">
        <f>IF($J283="","",$G283/$J283)</f>
        <v/>
      </c>
      <c r="L283" s="68">
        <f>IF($J283="",0,$K283*MAX(0,MIN(YEAR($C$3)*12+MONTH($C$3),YEAR($I283)*12+MONTH($I283))-(YEAR($H283)*12+MONTH($H283))+1))</f>
        <v/>
      </c>
      <c r="M283" s="68">
        <f>IF($J283="",0,$K283*MAX(0,MIN(YEAR($C$3)*12+MONTH($C$3)-1,YEAR($I283)*12+MONTH($I283))-(YEAR($H283)*12+MONTH($H283))+1))</f>
        <v/>
      </c>
      <c r="N283" s="68">
        <f>IF(OR($J283="",$B283=""),0,IF(YEAR($B283)*12+MONTH($B283)&lt;=YEAR($C$3)*12+MONTH($C$3),$G283,0))</f>
        <v/>
      </c>
      <c r="O283" s="68">
        <f>IF(OR($J283="",$B283=""),0,IF(YEAR($B283)*12+MONTH($B283)&lt;=YEAR($C$3)*12+MONTH($C$3)-1,$G283,0))</f>
        <v/>
      </c>
      <c r="P283" s="68">
        <f>$M283-$O283</f>
        <v/>
      </c>
      <c r="Q283" s="68">
        <f>($L283-$M283)-($N283-$O283)</f>
        <v/>
      </c>
      <c r="R283" s="68">
        <f>$L283-$N283</f>
        <v/>
      </c>
      <c r="S283" s="67">
        <f>"Finance invoice"</f>
        <v/>
      </c>
      <c r="T283" s="67">
        <f>"Revenue"</f>
        <v/>
      </c>
    </row>
    <row r="284">
      <c r="A284" s="65">
        <f>ROW()-5</f>
        <v/>
      </c>
      <c r="B284" s="66">
        <f>IFERROR(INDEX(tbl_Finance[Date],$A284),"")</f>
        <v/>
      </c>
      <c r="C284" s="67">
        <f>IFERROR(INDEX(tbl_Finance[Xero Invoice No],$A284),"")</f>
        <v/>
      </c>
      <c r="D284" s="67">
        <f>IFERROR(INDEX(tbl_Finance[Client],$A284),"")</f>
        <v/>
      </c>
      <c r="E284" s="67">
        <f>IFERROR(INDEX(tbl_Finance[Job Number],$A284),"")</f>
        <v/>
      </c>
      <c r="F284" s="67">
        <f>IFERROR(INDEX(tbl_Finance[Cost Centre],$A284),"")</f>
        <v/>
      </c>
      <c r="G284" s="68">
        <f>IFERROR(INDEX(tbl_Finance[Ex GST],$A284),"")</f>
        <v/>
      </c>
      <c r="H284" s="66">
        <f>IFERROR(INDEX(tbl_Finance[Defer Start],$A284),"")</f>
        <v/>
      </c>
      <c r="I284" s="66">
        <f>IFERROR(INDEX(tbl_Finance[Defer End],$A284),"")</f>
        <v/>
      </c>
      <c r="J284" s="65">
        <f>IF(OR($H284="",$I284="",$G284=""),"",MAX(1,(YEAR($I284)-YEAR($H284))*12+MONTH($I284)-MONTH($H284)+1))</f>
        <v/>
      </c>
      <c r="K284" s="68">
        <f>IF($J284="","",$G284/$J284)</f>
        <v/>
      </c>
      <c r="L284" s="68">
        <f>IF($J284="",0,$K284*MAX(0,MIN(YEAR($C$3)*12+MONTH($C$3),YEAR($I284)*12+MONTH($I284))-(YEAR($H284)*12+MONTH($H284))+1))</f>
        <v/>
      </c>
      <c r="M284" s="68">
        <f>IF($J284="",0,$K284*MAX(0,MIN(YEAR($C$3)*12+MONTH($C$3)-1,YEAR($I284)*12+MONTH($I284))-(YEAR($H284)*12+MONTH($H284))+1))</f>
        <v/>
      </c>
      <c r="N284" s="68">
        <f>IF(OR($J284="",$B284=""),0,IF(YEAR($B284)*12+MONTH($B284)&lt;=YEAR($C$3)*12+MONTH($C$3),$G284,0))</f>
        <v/>
      </c>
      <c r="O284" s="68">
        <f>IF(OR($J284="",$B284=""),0,IF(YEAR($B284)*12+MONTH($B284)&lt;=YEAR($C$3)*12+MONTH($C$3)-1,$G284,0))</f>
        <v/>
      </c>
      <c r="P284" s="68">
        <f>$M284-$O284</f>
        <v/>
      </c>
      <c r="Q284" s="68">
        <f>($L284-$M284)-($N284-$O284)</f>
        <v/>
      </c>
      <c r="R284" s="68">
        <f>$L284-$N284</f>
        <v/>
      </c>
      <c r="S284" s="67">
        <f>"Finance invoice"</f>
        <v/>
      </c>
      <c r="T284" s="67">
        <f>"Revenue"</f>
        <v/>
      </c>
    </row>
    <row r="285">
      <c r="A285" s="65">
        <f>ROW()-5</f>
        <v/>
      </c>
      <c r="B285" s="66">
        <f>IFERROR(INDEX(tbl_Finance[Date],$A285),"")</f>
        <v/>
      </c>
      <c r="C285" s="67">
        <f>IFERROR(INDEX(tbl_Finance[Xero Invoice No],$A285),"")</f>
        <v/>
      </c>
      <c r="D285" s="67">
        <f>IFERROR(INDEX(tbl_Finance[Client],$A285),"")</f>
        <v/>
      </c>
      <c r="E285" s="67">
        <f>IFERROR(INDEX(tbl_Finance[Job Number],$A285),"")</f>
        <v/>
      </c>
      <c r="F285" s="67">
        <f>IFERROR(INDEX(tbl_Finance[Cost Centre],$A285),"")</f>
        <v/>
      </c>
      <c r="G285" s="68">
        <f>IFERROR(INDEX(tbl_Finance[Ex GST],$A285),"")</f>
        <v/>
      </c>
      <c r="H285" s="66">
        <f>IFERROR(INDEX(tbl_Finance[Defer Start],$A285),"")</f>
        <v/>
      </c>
      <c r="I285" s="66">
        <f>IFERROR(INDEX(tbl_Finance[Defer End],$A285),"")</f>
        <v/>
      </c>
      <c r="J285" s="65">
        <f>IF(OR($H285="",$I285="",$G285=""),"",MAX(1,(YEAR($I285)-YEAR($H285))*12+MONTH($I285)-MONTH($H285)+1))</f>
        <v/>
      </c>
      <c r="K285" s="68">
        <f>IF($J285="","",$G285/$J285)</f>
        <v/>
      </c>
      <c r="L285" s="68">
        <f>IF($J285="",0,$K285*MAX(0,MIN(YEAR($C$3)*12+MONTH($C$3),YEAR($I285)*12+MONTH($I285))-(YEAR($H285)*12+MONTH($H285))+1))</f>
        <v/>
      </c>
      <c r="M285" s="68">
        <f>IF($J285="",0,$K285*MAX(0,MIN(YEAR($C$3)*12+MONTH($C$3)-1,YEAR($I285)*12+MONTH($I285))-(YEAR($H285)*12+MONTH($H285))+1))</f>
        <v/>
      </c>
      <c r="N285" s="68">
        <f>IF(OR($J285="",$B285=""),0,IF(YEAR($B285)*12+MONTH($B285)&lt;=YEAR($C$3)*12+MONTH($C$3),$G285,0))</f>
        <v/>
      </c>
      <c r="O285" s="68">
        <f>IF(OR($J285="",$B285=""),0,IF(YEAR($B285)*12+MONTH($B285)&lt;=YEAR($C$3)*12+MONTH($C$3)-1,$G285,0))</f>
        <v/>
      </c>
      <c r="P285" s="68">
        <f>$M285-$O285</f>
        <v/>
      </c>
      <c r="Q285" s="68">
        <f>($L285-$M285)-($N285-$O285)</f>
        <v/>
      </c>
      <c r="R285" s="68">
        <f>$L285-$N285</f>
        <v/>
      </c>
      <c r="S285" s="67">
        <f>"Finance invoice"</f>
        <v/>
      </c>
      <c r="T285" s="67">
        <f>"Revenue"</f>
        <v/>
      </c>
    </row>
    <row r="286">
      <c r="A286" s="65">
        <f>ROW()-5</f>
        <v/>
      </c>
      <c r="B286" s="66">
        <f>IFERROR(INDEX(tbl_Finance[Date],$A286),"")</f>
        <v/>
      </c>
      <c r="C286" s="67">
        <f>IFERROR(INDEX(tbl_Finance[Xero Invoice No],$A286),"")</f>
        <v/>
      </c>
      <c r="D286" s="67">
        <f>IFERROR(INDEX(tbl_Finance[Client],$A286),"")</f>
        <v/>
      </c>
      <c r="E286" s="67">
        <f>IFERROR(INDEX(tbl_Finance[Job Number],$A286),"")</f>
        <v/>
      </c>
      <c r="F286" s="67">
        <f>IFERROR(INDEX(tbl_Finance[Cost Centre],$A286),"")</f>
        <v/>
      </c>
      <c r="G286" s="68">
        <f>IFERROR(INDEX(tbl_Finance[Ex GST],$A286),"")</f>
        <v/>
      </c>
      <c r="H286" s="66">
        <f>IFERROR(INDEX(tbl_Finance[Defer Start],$A286),"")</f>
        <v/>
      </c>
      <c r="I286" s="66">
        <f>IFERROR(INDEX(tbl_Finance[Defer End],$A286),"")</f>
        <v/>
      </c>
      <c r="J286" s="65">
        <f>IF(OR($H286="",$I286="",$G286=""),"",MAX(1,(YEAR($I286)-YEAR($H286))*12+MONTH($I286)-MONTH($H286)+1))</f>
        <v/>
      </c>
      <c r="K286" s="68">
        <f>IF($J286="","",$G286/$J286)</f>
        <v/>
      </c>
      <c r="L286" s="68">
        <f>IF($J286="",0,$K286*MAX(0,MIN(YEAR($C$3)*12+MONTH($C$3),YEAR($I286)*12+MONTH($I286))-(YEAR($H286)*12+MONTH($H286))+1))</f>
        <v/>
      </c>
      <c r="M286" s="68">
        <f>IF($J286="",0,$K286*MAX(0,MIN(YEAR($C$3)*12+MONTH($C$3)-1,YEAR($I286)*12+MONTH($I286))-(YEAR($H286)*12+MONTH($H286))+1))</f>
        <v/>
      </c>
      <c r="N286" s="68">
        <f>IF(OR($J286="",$B286=""),0,IF(YEAR($B286)*12+MONTH($B286)&lt;=YEAR($C$3)*12+MONTH($C$3),$G286,0))</f>
        <v/>
      </c>
      <c r="O286" s="68">
        <f>IF(OR($J286="",$B286=""),0,IF(YEAR($B286)*12+MONTH($B286)&lt;=YEAR($C$3)*12+MONTH($C$3)-1,$G286,0))</f>
        <v/>
      </c>
      <c r="P286" s="68">
        <f>$M286-$O286</f>
        <v/>
      </c>
      <c r="Q286" s="68">
        <f>($L286-$M286)-($N286-$O286)</f>
        <v/>
      </c>
      <c r="R286" s="68">
        <f>$L286-$N286</f>
        <v/>
      </c>
      <c r="S286" s="67">
        <f>"Finance invoice"</f>
        <v/>
      </c>
      <c r="T286" s="67">
        <f>"Revenue"</f>
        <v/>
      </c>
    </row>
    <row r="287">
      <c r="A287" s="65">
        <f>ROW()-5</f>
        <v/>
      </c>
      <c r="B287" s="66">
        <f>IFERROR(INDEX(tbl_Finance[Date],$A287),"")</f>
        <v/>
      </c>
      <c r="C287" s="67">
        <f>IFERROR(INDEX(tbl_Finance[Xero Invoice No],$A287),"")</f>
        <v/>
      </c>
      <c r="D287" s="67">
        <f>IFERROR(INDEX(tbl_Finance[Client],$A287),"")</f>
        <v/>
      </c>
      <c r="E287" s="67">
        <f>IFERROR(INDEX(tbl_Finance[Job Number],$A287),"")</f>
        <v/>
      </c>
      <c r="F287" s="67">
        <f>IFERROR(INDEX(tbl_Finance[Cost Centre],$A287),"")</f>
        <v/>
      </c>
      <c r="G287" s="68">
        <f>IFERROR(INDEX(tbl_Finance[Ex GST],$A287),"")</f>
        <v/>
      </c>
      <c r="H287" s="66">
        <f>IFERROR(INDEX(tbl_Finance[Defer Start],$A287),"")</f>
        <v/>
      </c>
      <c r="I287" s="66">
        <f>IFERROR(INDEX(tbl_Finance[Defer End],$A287),"")</f>
        <v/>
      </c>
      <c r="J287" s="65">
        <f>IF(OR($H287="",$I287="",$G287=""),"",MAX(1,(YEAR($I287)-YEAR($H287))*12+MONTH($I287)-MONTH($H287)+1))</f>
        <v/>
      </c>
      <c r="K287" s="68">
        <f>IF($J287="","",$G287/$J287)</f>
        <v/>
      </c>
      <c r="L287" s="68">
        <f>IF($J287="",0,$K287*MAX(0,MIN(YEAR($C$3)*12+MONTH($C$3),YEAR($I287)*12+MONTH($I287))-(YEAR($H287)*12+MONTH($H287))+1))</f>
        <v/>
      </c>
      <c r="M287" s="68">
        <f>IF($J287="",0,$K287*MAX(0,MIN(YEAR($C$3)*12+MONTH($C$3)-1,YEAR($I287)*12+MONTH($I287))-(YEAR($H287)*12+MONTH($H287))+1))</f>
        <v/>
      </c>
      <c r="N287" s="68">
        <f>IF(OR($J287="",$B287=""),0,IF(YEAR($B287)*12+MONTH($B287)&lt;=YEAR($C$3)*12+MONTH($C$3),$G287,0))</f>
        <v/>
      </c>
      <c r="O287" s="68">
        <f>IF(OR($J287="",$B287=""),0,IF(YEAR($B287)*12+MONTH($B287)&lt;=YEAR($C$3)*12+MONTH($C$3)-1,$G287,0))</f>
        <v/>
      </c>
      <c r="P287" s="68">
        <f>$M287-$O287</f>
        <v/>
      </c>
      <c r="Q287" s="68">
        <f>($L287-$M287)-($N287-$O287)</f>
        <v/>
      </c>
      <c r="R287" s="68">
        <f>$L287-$N287</f>
        <v/>
      </c>
      <c r="S287" s="67">
        <f>"Finance invoice"</f>
        <v/>
      </c>
      <c r="T287" s="67">
        <f>"Revenue"</f>
        <v/>
      </c>
    </row>
    <row r="288">
      <c r="A288" s="65">
        <f>ROW()-5</f>
        <v/>
      </c>
      <c r="B288" s="66">
        <f>IFERROR(INDEX(tbl_Finance[Date],$A288),"")</f>
        <v/>
      </c>
      <c r="C288" s="67">
        <f>IFERROR(INDEX(tbl_Finance[Xero Invoice No],$A288),"")</f>
        <v/>
      </c>
      <c r="D288" s="67">
        <f>IFERROR(INDEX(tbl_Finance[Client],$A288),"")</f>
        <v/>
      </c>
      <c r="E288" s="67">
        <f>IFERROR(INDEX(tbl_Finance[Job Number],$A288),"")</f>
        <v/>
      </c>
      <c r="F288" s="67">
        <f>IFERROR(INDEX(tbl_Finance[Cost Centre],$A288),"")</f>
        <v/>
      </c>
      <c r="G288" s="68">
        <f>IFERROR(INDEX(tbl_Finance[Ex GST],$A288),"")</f>
        <v/>
      </c>
      <c r="H288" s="66">
        <f>IFERROR(INDEX(tbl_Finance[Defer Start],$A288),"")</f>
        <v/>
      </c>
      <c r="I288" s="66">
        <f>IFERROR(INDEX(tbl_Finance[Defer End],$A288),"")</f>
        <v/>
      </c>
      <c r="J288" s="65">
        <f>IF(OR($H288="",$I288="",$G288=""),"",MAX(1,(YEAR($I288)-YEAR($H288))*12+MONTH($I288)-MONTH($H288)+1))</f>
        <v/>
      </c>
      <c r="K288" s="68">
        <f>IF($J288="","",$G288/$J288)</f>
        <v/>
      </c>
      <c r="L288" s="68">
        <f>IF($J288="",0,$K288*MAX(0,MIN(YEAR($C$3)*12+MONTH($C$3),YEAR($I288)*12+MONTH($I288))-(YEAR($H288)*12+MONTH($H288))+1))</f>
        <v/>
      </c>
      <c r="M288" s="68">
        <f>IF($J288="",0,$K288*MAX(0,MIN(YEAR($C$3)*12+MONTH($C$3)-1,YEAR($I288)*12+MONTH($I288))-(YEAR($H288)*12+MONTH($H288))+1))</f>
        <v/>
      </c>
      <c r="N288" s="68">
        <f>IF(OR($J288="",$B288=""),0,IF(YEAR($B288)*12+MONTH($B288)&lt;=YEAR($C$3)*12+MONTH($C$3),$G288,0))</f>
        <v/>
      </c>
      <c r="O288" s="68">
        <f>IF(OR($J288="",$B288=""),0,IF(YEAR($B288)*12+MONTH($B288)&lt;=YEAR($C$3)*12+MONTH($C$3)-1,$G288,0))</f>
        <v/>
      </c>
      <c r="P288" s="68">
        <f>$M288-$O288</f>
        <v/>
      </c>
      <c r="Q288" s="68">
        <f>($L288-$M288)-($N288-$O288)</f>
        <v/>
      </c>
      <c r="R288" s="68">
        <f>$L288-$N288</f>
        <v/>
      </c>
      <c r="S288" s="67">
        <f>"Finance invoice"</f>
        <v/>
      </c>
      <c r="T288" s="67">
        <f>"Revenue"</f>
        <v/>
      </c>
    </row>
    <row r="289">
      <c r="A289" s="65">
        <f>ROW()-5</f>
        <v/>
      </c>
      <c r="B289" s="66">
        <f>IFERROR(INDEX(tbl_Finance[Date],$A289),"")</f>
        <v/>
      </c>
      <c r="C289" s="67">
        <f>IFERROR(INDEX(tbl_Finance[Xero Invoice No],$A289),"")</f>
        <v/>
      </c>
      <c r="D289" s="67">
        <f>IFERROR(INDEX(tbl_Finance[Client],$A289),"")</f>
        <v/>
      </c>
      <c r="E289" s="67">
        <f>IFERROR(INDEX(tbl_Finance[Job Number],$A289),"")</f>
        <v/>
      </c>
      <c r="F289" s="67">
        <f>IFERROR(INDEX(tbl_Finance[Cost Centre],$A289),"")</f>
        <v/>
      </c>
      <c r="G289" s="68">
        <f>IFERROR(INDEX(tbl_Finance[Ex GST],$A289),"")</f>
        <v/>
      </c>
      <c r="H289" s="66">
        <f>IFERROR(INDEX(tbl_Finance[Defer Start],$A289),"")</f>
        <v/>
      </c>
      <c r="I289" s="66">
        <f>IFERROR(INDEX(tbl_Finance[Defer End],$A289),"")</f>
        <v/>
      </c>
      <c r="J289" s="65">
        <f>IF(OR($H289="",$I289="",$G289=""),"",MAX(1,(YEAR($I289)-YEAR($H289))*12+MONTH($I289)-MONTH($H289)+1))</f>
        <v/>
      </c>
      <c r="K289" s="68">
        <f>IF($J289="","",$G289/$J289)</f>
        <v/>
      </c>
      <c r="L289" s="68">
        <f>IF($J289="",0,$K289*MAX(0,MIN(YEAR($C$3)*12+MONTH($C$3),YEAR($I289)*12+MONTH($I289))-(YEAR($H289)*12+MONTH($H289))+1))</f>
        <v/>
      </c>
      <c r="M289" s="68">
        <f>IF($J289="",0,$K289*MAX(0,MIN(YEAR($C$3)*12+MONTH($C$3)-1,YEAR($I289)*12+MONTH($I289))-(YEAR($H289)*12+MONTH($H289))+1))</f>
        <v/>
      </c>
      <c r="N289" s="68">
        <f>IF(OR($J289="",$B289=""),0,IF(YEAR($B289)*12+MONTH($B289)&lt;=YEAR($C$3)*12+MONTH($C$3),$G289,0))</f>
        <v/>
      </c>
      <c r="O289" s="68">
        <f>IF(OR($J289="",$B289=""),0,IF(YEAR($B289)*12+MONTH($B289)&lt;=YEAR($C$3)*12+MONTH($C$3)-1,$G289,0))</f>
        <v/>
      </c>
      <c r="P289" s="68">
        <f>$M289-$O289</f>
        <v/>
      </c>
      <c r="Q289" s="68">
        <f>($L289-$M289)-($N289-$O289)</f>
        <v/>
      </c>
      <c r="R289" s="68">
        <f>$L289-$N289</f>
        <v/>
      </c>
      <c r="S289" s="67">
        <f>"Finance invoice"</f>
        <v/>
      </c>
      <c r="T289" s="67">
        <f>"Revenue"</f>
        <v/>
      </c>
    </row>
    <row r="290">
      <c r="A290" s="65">
        <f>ROW()-5</f>
        <v/>
      </c>
      <c r="B290" s="66">
        <f>IFERROR(INDEX(tbl_Finance[Date],$A290),"")</f>
        <v/>
      </c>
      <c r="C290" s="67">
        <f>IFERROR(INDEX(tbl_Finance[Xero Invoice No],$A290),"")</f>
        <v/>
      </c>
      <c r="D290" s="67">
        <f>IFERROR(INDEX(tbl_Finance[Client],$A290),"")</f>
        <v/>
      </c>
      <c r="E290" s="67">
        <f>IFERROR(INDEX(tbl_Finance[Job Number],$A290),"")</f>
        <v/>
      </c>
      <c r="F290" s="67">
        <f>IFERROR(INDEX(tbl_Finance[Cost Centre],$A290),"")</f>
        <v/>
      </c>
      <c r="G290" s="68">
        <f>IFERROR(INDEX(tbl_Finance[Ex GST],$A290),"")</f>
        <v/>
      </c>
      <c r="H290" s="66">
        <f>IFERROR(INDEX(tbl_Finance[Defer Start],$A290),"")</f>
        <v/>
      </c>
      <c r="I290" s="66">
        <f>IFERROR(INDEX(tbl_Finance[Defer End],$A290),"")</f>
        <v/>
      </c>
      <c r="J290" s="65">
        <f>IF(OR($H290="",$I290="",$G290=""),"",MAX(1,(YEAR($I290)-YEAR($H290))*12+MONTH($I290)-MONTH($H290)+1))</f>
        <v/>
      </c>
      <c r="K290" s="68">
        <f>IF($J290="","",$G290/$J290)</f>
        <v/>
      </c>
      <c r="L290" s="68">
        <f>IF($J290="",0,$K290*MAX(0,MIN(YEAR($C$3)*12+MONTH($C$3),YEAR($I290)*12+MONTH($I290))-(YEAR($H290)*12+MONTH($H290))+1))</f>
        <v/>
      </c>
      <c r="M290" s="68">
        <f>IF($J290="",0,$K290*MAX(0,MIN(YEAR($C$3)*12+MONTH($C$3)-1,YEAR($I290)*12+MONTH($I290))-(YEAR($H290)*12+MONTH($H290))+1))</f>
        <v/>
      </c>
      <c r="N290" s="68">
        <f>IF(OR($J290="",$B290=""),0,IF(YEAR($B290)*12+MONTH($B290)&lt;=YEAR($C$3)*12+MONTH($C$3),$G290,0))</f>
        <v/>
      </c>
      <c r="O290" s="68">
        <f>IF(OR($J290="",$B290=""),0,IF(YEAR($B290)*12+MONTH($B290)&lt;=YEAR($C$3)*12+MONTH($C$3)-1,$G290,0))</f>
        <v/>
      </c>
      <c r="P290" s="68">
        <f>$M290-$O290</f>
        <v/>
      </c>
      <c r="Q290" s="68">
        <f>($L290-$M290)-($N290-$O290)</f>
        <v/>
      </c>
      <c r="R290" s="68">
        <f>$L290-$N290</f>
        <v/>
      </c>
      <c r="S290" s="67">
        <f>"Finance invoice"</f>
        <v/>
      </c>
      <c r="T290" s="67">
        <f>"Revenue"</f>
        <v/>
      </c>
    </row>
    <row r="291">
      <c r="A291" s="65">
        <f>ROW()-5</f>
        <v/>
      </c>
      <c r="B291" s="66">
        <f>IFERROR(INDEX(tbl_Finance[Date],$A291),"")</f>
        <v/>
      </c>
      <c r="C291" s="67">
        <f>IFERROR(INDEX(tbl_Finance[Xero Invoice No],$A291),"")</f>
        <v/>
      </c>
      <c r="D291" s="67">
        <f>IFERROR(INDEX(tbl_Finance[Client],$A291),"")</f>
        <v/>
      </c>
      <c r="E291" s="67">
        <f>IFERROR(INDEX(tbl_Finance[Job Number],$A291),"")</f>
        <v/>
      </c>
      <c r="F291" s="67">
        <f>IFERROR(INDEX(tbl_Finance[Cost Centre],$A291),"")</f>
        <v/>
      </c>
      <c r="G291" s="68">
        <f>IFERROR(INDEX(tbl_Finance[Ex GST],$A291),"")</f>
        <v/>
      </c>
      <c r="H291" s="66">
        <f>IFERROR(INDEX(tbl_Finance[Defer Start],$A291),"")</f>
        <v/>
      </c>
      <c r="I291" s="66">
        <f>IFERROR(INDEX(tbl_Finance[Defer End],$A291),"")</f>
        <v/>
      </c>
      <c r="J291" s="65">
        <f>IF(OR($H291="",$I291="",$G291=""),"",MAX(1,(YEAR($I291)-YEAR($H291))*12+MONTH($I291)-MONTH($H291)+1))</f>
        <v/>
      </c>
      <c r="K291" s="68">
        <f>IF($J291="","",$G291/$J291)</f>
        <v/>
      </c>
      <c r="L291" s="68">
        <f>IF($J291="",0,$K291*MAX(0,MIN(YEAR($C$3)*12+MONTH($C$3),YEAR($I291)*12+MONTH($I291))-(YEAR($H291)*12+MONTH($H291))+1))</f>
        <v/>
      </c>
      <c r="M291" s="68">
        <f>IF($J291="",0,$K291*MAX(0,MIN(YEAR($C$3)*12+MONTH($C$3)-1,YEAR($I291)*12+MONTH($I291))-(YEAR($H291)*12+MONTH($H291))+1))</f>
        <v/>
      </c>
      <c r="N291" s="68">
        <f>IF(OR($J291="",$B291=""),0,IF(YEAR($B291)*12+MONTH($B291)&lt;=YEAR($C$3)*12+MONTH($C$3),$G291,0))</f>
        <v/>
      </c>
      <c r="O291" s="68">
        <f>IF(OR($J291="",$B291=""),0,IF(YEAR($B291)*12+MONTH($B291)&lt;=YEAR($C$3)*12+MONTH($C$3)-1,$G291,0))</f>
        <v/>
      </c>
      <c r="P291" s="68">
        <f>$M291-$O291</f>
        <v/>
      </c>
      <c r="Q291" s="68">
        <f>($L291-$M291)-($N291-$O291)</f>
        <v/>
      </c>
      <c r="R291" s="68">
        <f>$L291-$N291</f>
        <v/>
      </c>
      <c r="S291" s="67">
        <f>"Finance invoice"</f>
        <v/>
      </c>
      <c r="T291" s="67">
        <f>"Revenue"</f>
        <v/>
      </c>
    </row>
    <row r="292">
      <c r="A292" s="65">
        <f>ROW()-5</f>
        <v/>
      </c>
      <c r="B292" s="66">
        <f>IFERROR(INDEX(tbl_Finance[Date],$A292),"")</f>
        <v/>
      </c>
      <c r="C292" s="67">
        <f>IFERROR(INDEX(tbl_Finance[Xero Invoice No],$A292),"")</f>
        <v/>
      </c>
      <c r="D292" s="67">
        <f>IFERROR(INDEX(tbl_Finance[Client],$A292),"")</f>
        <v/>
      </c>
      <c r="E292" s="67">
        <f>IFERROR(INDEX(tbl_Finance[Job Number],$A292),"")</f>
        <v/>
      </c>
      <c r="F292" s="67">
        <f>IFERROR(INDEX(tbl_Finance[Cost Centre],$A292),"")</f>
        <v/>
      </c>
      <c r="G292" s="68">
        <f>IFERROR(INDEX(tbl_Finance[Ex GST],$A292),"")</f>
        <v/>
      </c>
      <c r="H292" s="66">
        <f>IFERROR(INDEX(tbl_Finance[Defer Start],$A292),"")</f>
        <v/>
      </c>
      <c r="I292" s="66">
        <f>IFERROR(INDEX(tbl_Finance[Defer End],$A292),"")</f>
        <v/>
      </c>
      <c r="J292" s="65">
        <f>IF(OR($H292="",$I292="",$G292=""),"",MAX(1,(YEAR($I292)-YEAR($H292))*12+MONTH($I292)-MONTH($H292)+1))</f>
        <v/>
      </c>
      <c r="K292" s="68">
        <f>IF($J292="","",$G292/$J292)</f>
        <v/>
      </c>
      <c r="L292" s="68">
        <f>IF($J292="",0,$K292*MAX(0,MIN(YEAR($C$3)*12+MONTH($C$3),YEAR($I292)*12+MONTH($I292))-(YEAR($H292)*12+MONTH($H292))+1))</f>
        <v/>
      </c>
      <c r="M292" s="68">
        <f>IF($J292="",0,$K292*MAX(0,MIN(YEAR($C$3)*12+MONTH($C$3)-1,YEAR($I292)*12+MONTH($I292))-(YEAR($H292)*12+MONTH($H292))+1))</f>
        <v/>
      </c>
      <c r="N292" s="68">
        <f>IF(OR($J292="",$B292=""),0,IF(YEAR($B292)*12+MONTH($B292)&lt;=YEAR($C$3)*12+MONTH($C$3),$G292,0))</f>
        <v/>
      </c>
      <c r="O292" s="68">
        <f>IF(OR($J292="",$B292=""),0,IF(YEAR($B292)*12+MONTH($B292)&lt;=YEAR($C$3)*12+MONTH($C$3)-1,$G292,0))</f>
        <v/>
      </c>
      <c r="P292" s="68">
        <f>$M292-$O292</f>
        <v/>
      </c>
      <c r="Q292" s="68">
        <f>($L292-$M292)-($N292-$O292)</f>
        <v/>
      </c>
      <c r="R292" s="68">
        <f>$L292-$N292</f>
        <v/>
      </c>
      <c r="S292" s="67">
        <f>"Finance invoice"</f>
        <v/>
      </c>
      <c r="T292" s="67">
        <f>"Revenue"</f>
        <v/>
      </c>
    </row>
    <row r="293">
      <c r="A293" s="65">
        <f>ROW()-5</f>
        <v/>
      </c>
      <c r="B293" s="66">
        <f>IFERROR(INDEX(tbl_Finance[Date],$A293),"")</f>
        <v/>
      </c>
      <c r="C293" s="67">
        <f>IFERROR(INDEX(tbl_Finance[Xero Invoice No],$A293),"")</f>
        <v/>
      </c>
      <c r="D293" s="67">
        <f>IFERROR(INDEX(tbl_Finance[Client],$A293),"")</f>
        <v/>
      </c>
      <c r="E293" s="67">
        <f>IFERROR(INDEX(tbl_Finance[Job Number],$A293),"")</f>
        <v/>
      </c>
      <c r="F293" s="67">
        <f>IFERROR(INDEX(tbl_Finance[Cost Centre],$A293),"")</f>
        <v/>
      </c>
      <c r="G293" s="68">
        <f>IFERROR(INDEX(tbl_Finance[Ex GST],$A293),"")</f>
        <v/>
      </c>
      <c r="H293" s="66">
        <f>IFERROR(INDEX(tbl_Finance[Defer Start],$A293),"")</f>
        <v/>
      </c>
      <c r="I293" s="66">
        <f>IFERROR(INDEX(tbl_Finance[Defer End],$A293),"")</f>
        <v/>
      </c>
      <c r="J293" s="65">
        <f>IF(OR($H293="",$I293="",$G293=""),"",MAX(1,(YEAR($I293)-YEAR($H293))*12+MONTH($I293)-MONTH($H293)+1))</f>
        <v/>
      </c>
      <c r="K293" s="68">
        <f>IF($J293="","",$G293/$J293)</f>
        <v/>
      </c>
      <c r="L293" s="68">
        <f>IF($J293="",0,$K293*MAX(0,MIN(YEAR($C$3)*12+MONTH($C$3),YEAR($I293)*12+MONTH($I293))-(YEAR($H293)*12+MONTH($H293))+1))</f>
        <v/>
      </c>
      <c r="M293" s="68">
        <f>IF($J293="",0,$K293*MAX(0,MIN(YEAR($C$3)*12+MONTH($C$3)-1,YEAR($I293)*12+MONTH($I293))-(YEAR($H293)*12+MONTH($H293))+1))</f>
        <v/>
      </c>
      <c r="N293" s="68">
        <f>IF(OR($J293="",$B293=""),0,IF(YEAR($B293)*12+MONTH($B293)&lt;=YEAR($C$3)*12+MONTH($C$3),$G293,0))</f>
        <v/>
      </c>
      <c r="O293" s="68">
        <f>IF(OR($J293="",$B293=""),0,IF(YEAR($B293)*12+MONTH($B293)&lt;=YEAR($C$3)*12+MONTH($C$3)-1,$G293,0))</f>
        <v/>
      </c>
      <c r="P293" s="68">
        <f>$M293-$O293</f>
        <v/>
      </c>
      <c r="Q293" s="68">
        <f>($L293-$M293)-($N293-$O293)</f>
        <v/>
      </c>
      <c r="R293" s="68">
        <f>$L293-$N293</f>
        <v/>
      </c>
      <c r="S293" s="67">
        <f>"Finance invoice"</f>
        <v/>
      </c>
      <c r="T293" s="67">
        <f>"Revenue"</f>
        <v/>
      </c>
    </row>
    <row r="294">
      <c r="A294" s="65">
        <f>ROW()-5</f>
        <v/>
      </c>
      <c r="B294" s="66">
        <f>IFERROR(INDEX(tbl_Finance[Date],$A294),"")</f>
        <v/>
      </c>
      <c r="C294" s="67">
        <f>IFERROR(INDEX(tbl_Finance[Xero Invoice No],$A294),"")</f>
        <v/>
      </c>
      <c r="D294" s="67">
        <f>IFERROR(INDEX(tbl_Finance[Client],$A294),"")</f>
        <v/>
      </c>
      <c r="E294" s="67">
        <f>IFERROR(INDEX(tbl_Finance[Job Number],$A294),"")</f>
        <v/>
      </c>
      <c r="F294" s="67">
        <f>IFERROR(INDEX(tbl_Finance[Cost Centre],$A294),"")</f>
        <v/>
      </c>
      <c r="G294" s="68">
        <f>IFERROR(INDEX(tbl_Finance[Ex GST],$A294),"")</f>
        <v/>
      </c>
      <c r="H294" s="66">
        <f>IFERROR(INDEX(tbl_Finance[Defer Start],$A294),"")</f>
        <v/>
      </c>
      <c r="I294" s="66">
        <f>IFERROR(INDEX(tbl_Finance[Defer End],$A294),"")</f>
        <v/>
      </c>
      <c r="J294" s="65">
        <f>IF(OR($H294="",$I294="",$G294=""),"",MAX(1,(YEAR($I294)-YEAR($H294))*12+MONTH($I294)-MONTH($H294)+1))</f>
        <v/>
      </c>
      <c r="K294" s="68">
        <f>IF($J294="","",$G294/$J294)</f>
        <v/>
      </c>
      <c r="L294" s="68">
        <f>IF($J294="",0,$K294*MAX(0,MIN(YEAR($C$3)*12+MONTH($C$3),YEAR($I294)*12+MONTH($I294))-(YEAR($H294)*12+MONTH($H294))+1))</f>
        <v/>
      </c>
      <c r="M294" s="68">
        <f>IF($J294="",0,$K294*MAX(0,MIN(YEAR($C$3)*12+MONTH($C$3)-1,YEAR($I294)*12+MONTH($I294))-(YEAR($H294)*12+MONTH($H294))+1))</f>
        <v/>
      </c>
      <c r="N294" s="68">
        <f>IF(OR($J294="",$B294=""),0,IF(YEAR($B294)*12+MONTH($B294)&lt;=YEAR($C$3)*12+MONTH($C$3),$G294,0))</f>
        <v/>
      </c>
      <c r="O294" s="68">
        <f>IF(OR($J294="",$B294=""),0,IF(YEAR($B294)*12+MONTH($B294)&lt;=YEAR($C$3)*12+MONTH($C$3)-1,$G294,0))</f>
        <v/>
      </c>
      <c r="P294" s="68">
        <f>$M294-$O294</f>
        <v/>
      </c>
      <c r="Q294" s="68">
        <f>($L294-$M294)-($N294-$O294)</f>
        <v/>
      </c>
      <c r="R294" s="68">
        <f>$L294-$N294</f>
        <v/>
      </c>
      <c r="S294" s="67">
        <f>"Finance invoice"</f>
        <v/>
      </c>
      <c r="T294" s="67">
        <f>"Revenue"</f>
        <v/>
      </c>
    </row>
    <row r="295">
      <c r="A295" s="65">
        <f>ROW()-5</f>
        <v/>
      </c>
      <c r="B295" s="66">
        <f>IFERROR(INDEX(tbl_Finance[Date],$A295),"")</f>
        <v/>
      </c>
      <c r="C295" s="67">
        <f>IFERROR(INDEX(tbl_Finance[Xero Invoice No],$A295),"")</f>
        <v/>
      </c>
      <c r="D295" s="67">
        <f>IFERROR(INDEX(tbl_Finance[Client],$A295),"")</f>
        <v/>
      </c>
      <c r="E295" s="67">
        <f>IFERROR(INDEX(tbl_Finance[Job Number],$A295),"")</f>
        <v/>
      </c>
      <c r="F295" s="67">
        <f>IFERROR(INDEX(tbl_Finance[Cost Centre],$A295),"")</f>
        <v/>
      </c>
      <c r="G295" s="68">
        <f>IFERROR(INDEX(tbl_Finance[Ex GST],$A295),"")</f>
        <v/>
      </c>
      <c r="H295" s="66">
        <f>IFERROR(INDEX(tbl_Finance[Defer Start],$A295),"")</f>
        <v/>
      </c>
      <c r="I295" s="66">
        <f>IFERROR(INDEX(tbl_Finance[Defer End],$A295),"")</f>
        <v/>
      </c>
      <c r="J295" s="65">
        <f>IF(OR($H295="",$I295="",$G295=""),"",MAX(1,(YEAR($I295)-YEAR($H295))*12+MONTH($I295)-MONTH($H295)+1))</f>
        <v/>
      </c>
      <c r="K295" s="68">
        <f>IF($J295="","",$G295/$J295)</f>
        <v/>
      </c>
      <c r="L295" s="68">
        <f>IF($J295="",0,$K295*MAX(0,MIN(YEAR($C$3)*12+MONTH($C$3),YEAR($I295)*12+MONTH($I295))-(YEAR($H295)*12+MONTH($H295))+1))</f>
        <v/>
      </c>
      <c r="M295" s="68">
        <f>IF($J295="",0,$K295*MAX(0,MIN(YEAR($C$3)*12+MONTH($C$3)-1,YEAR($I295)*12+MONTH($I295))-(YEAR($H295)*12+MONTH($H295))+1))</f>
        <v/>
      </c>
      <c r="N295" s="68">
        <f>IF(OR($J295="",$B295=""),0,IF(YEAR($B295)*12+MONTH($B295)&lt;=YEAR($C$3)*12+MONTH($C$3),$G295,0))</f>
        <v/>
      </c>
      <c r="O295" s="68">
        <f>IF(OR($J295="",$B295=""),0,IF(YEAR($B295)*12+MONTH($B295)&lt;=YEAR($C$3)*12+MONTH($C$3)-1,$G295,0))</f>
        <v/>
      </c>
      <c r="P295" s="68">
        <f>$M295-$O295</f>
        <v/>
      </c>
      <c r="Q295" s="68">
        <f>($L295-$M295)-($N295-$O295)</f>
        <v/>
      </c>
      <c r="R295" s="68">
        <f>$L295-$N295</f>
        <v/>
      </c>
      <c r="S295" s="67">
        <f>"Finance invoice"</f>
        <v/>
      </c>
      <c r="T295" s="67">
        <f>"Revenue"</f>
        <v/>
      </c>
    </row>
    <row r="296">
      <c r="A296" s="65">
        <f>ROW()-5</f>
        <v/>
      </c>
      <c r="B296" s="66">
        <f>IFERROR(INDEX(tbl_Finance[Date],$A296),"")</f>
        <v/>
      </c>
      <c r="C296" s="67">
        <f>IFERROR(INDEX(tbl_Finance[Xero Invoice No],$A296),"")</f>
        <v/>
      </c>
      <c r="D296" s="67">
        <f>IFERROR(INDEX(tbl_Finance[Client],$A296),"")</f>
        <v/>
      </c>
      <c r="E296" s="67">
        <f>IFERROR(INDEX(tbl_Finance[Job Number],$A296),"")</f>
        <v/>
      </c>
      <c r="F296" s="67">
        <f>IFERROR(INDEX(tbl_Finance[Cost Centre],$A296),"")</f>
        <v/>
      </c>
      <c r="G296" s="68">
        <f>IFERROR(INDEX(tbl_Finance[Ex GST],$A296),"")</f>
        <v/>
      </c>
      <c r="H296" s="66">
        <f>IFERROR(INDEX(tbl_Finance[Defer Start],$A296),"")</f>
        <v/>
      </c>
      <c r="I296" s="66">
        <f>IFERROR(INDEX(tbl_Finance[Defer End],$A296),"")</f>
        <v/>
      </c>
      <c r="J296" s="65">
        <f>IF(OR($H296="",$I296="",$G296=""),"",MAX(1,(YEAR($I296)-YEAR($H296))*12+MONTH($I296)-MONTH($H296)+1))</f>
        <v/>
      </c>
      <c r="K296" s="68">
        <f>IF($J296="","",$G296/$J296)</f>
        <v/>
      </c>
      <c r="L296" s="68">
        <f>IF($J296="",0,$K296*MAX(0,MIN(YEAR($C$3)*12+MONTH($C$3),YEAR($I296)*12+MONTH($I296))-(YEAR($H296)*12+MONTH($H296))+1))</f>
        <v/>
      </c>
      <c r="M296" s="68">
        <f>IF($J296="",0,$K296*MAX(0,MIN(YEAR($C$3)*12+MONTH($C$3)-1,YEAR($I296)*12+MONTH($I296))-(YEAR($H296)*12+MONTH($H296))+1))</f>
        <v/>
      </c>
      <c r="N296" s="68">
        <f>IF(OR($J296="",$B296=""),0,IF(YEAR($B296)*12+MONTH($B296)&lt;=YEAR($C$3)*12+MONTH($C$3),$G296,0))</f>
        <v/>
      </c>
      <c r="O296" s="68">
        <f>IF(OR($J296="",$B296=""),0,IF(YEAR($B296)*12+MONTH($B296)&lt;=YEAR($C$3)*12+MONTH($C$3)-1,$G296,0))</f>
        <v/>
      </c>
      <c r="P296" s="68">
        <f>$M296-$O296</f>
        <v/>
      </c>
      <c r="Q296" s="68">
        <f>($L296-$M296)-($N296-$O296)</f>
        <v/>
      </c>
      <c r="R296" s="68">
        <f>$L296-$N296</f>
        <v/>
      </c>
      <c r="S296" s="67">
        <f>"Finance invoice"</f>
        <v/>
      </c>
      <c r="T296" s="67">
        <f>"Revenue"</f>
        <v/>
      </c>
    </row>
    <row r="297">
      <c r="A297" s="65">
        <f>ROW()-5</f>
        <v/>
      </c>
      <c r="B297" s="66">
        <f>IFERROR(INDEX(tbl_Finance[Date],$A297),"")</f>
        <v/>
      </c>
      <c r="C297" s="67">
        <f>IFERROR(INDEX(tbl_Finance[Xero Invoice No],$A297),"")</f>
        <v/>
      </c>
      <c r="D297" s="67">
        <f>IFERROR(INDEX(tbl_Finance[Client],$A297),"")</f>
        <v/>
      </c>
      <c r="E297" s="67">
        <f>IFERROR(INDEX(tbl_Finance[Job Number],$A297),"")</f>
        <v/>
      </c>
      <c r="F297" s="67">
        <f>IFERROR(INDEX(tbl_Finance[Cost Centre],$A297),"")</f>
        <v/>
      </c>
      <c r="G297" s="68">
        <f>IFERROR(INDEX(tbl_Finance[Ex GST],$A297),"")</f>
        <v/>
      </c>
      <c r="H297" s="66">
        <f>IFERROR(INDEX(tbl_Finance[Defer Start],$A297),"")</f>
        <v/>
      </c>
      <c r="I297" s="66">
        <f>IFERROR(INDEX(tbl_Finance[Defer End],$A297),"")</f>
        <v/>
      </c>
      <c r="J297" s="65">
        <f>IF(OR($H297="",$I297="",$G297=""),"",MAX(1,(YEAR($I297)-YEAR($H297))*12+MONTH($I297)-MONTH($H297)+1))</f>
        <v/>
      </c>
      <c r="K297" s="68">
        <f>IF($J297="","",$G297/$J297)</f>
        <v/>
      </c>
      <c r="L297" s="68">
        <f>IF($J297="",0,$K297*MAX(0,MIN(YEAR($C$3)*12+MONTH($C$3),YEAR($I297)*12+MONTH($I297))-(YEAR($H297)*12+MONTH($H297))+1))</f>
        <v/>
      </c>
      <c r="M297" s="68">
        <f>IF($J297="",0,$K297*MAX(0,MIN(YEAR($C$3)*12+MONTH($C$3)-1,YEAR($I297)*12+MONTH($I297))-(YEAR($H297)*12+MONTH($H297))+1))</f>
        <v/>
      </c>
      <c r="N297" s="68">
        <f>IF(OR($J297="",$B297=""),0,IF(YEAR($B297)*12+MONTH($B297)&lt;=YEAR($C$3)*12+MONTH($C$3),$G297,0))</f>
        <v/>
      </c>
      <c r="O297" s="68">
        <f>IF(OR($J297="",$B297=""),0,IF(YEAR($B297)*12+MONTH($B297)&lt;=YEAR($C$3)*12+MONTH($C$3)-1,$G297,0))</f>
        <v/>
      </c>
      <c r="P297" s="68">
        <f>$M297-$O297</f>
        <v/>
      </c>
      <c r="Q297" s="68">
        <f>($L297-$M297)-($N297-$O297)</f>
        <v/>
      </c>
      <c r="R297" s="68">
        <f>$L297-$N297</f>
        <v/>
      </c>
      <c r="S297" s="67">
        <f>"Finance invoice"</f>
        <v/>
      </c>
      <c r="T297" s="67">
        <f>"Revenue"</f>
        <v/>
      </c>
    </row>
    <row r="298">
      <c r="A298" s="65">
        <f>ROW()-5</f>
        <v/>
      </c>
      <c r="B298" s="66">
        <f>IFERROR(INDEX(tbl_Finance[Date],$A298),"")</f>
        <v/>
      </c>
      <c r="C298" s="67">
        <f>IFERROR(INDEX(tbl_Finance[Xero Invoice No],$A298),"")</f>
        <v/>
      </c>
      <c r="D298" s="67">
        <f>IFERROR(INDEX(tbl_Finance[Client],$A298),"")</f>
        <v/>
      </c>
      <c r="E298" s="67">
        <f>IFERROR(INDEX(tbl_Finance[Job Number],$A298),"")</f>
        <v/>
      </c>
      <c r="F298" s="67">
        <f>IFERROR(INDEX(tbl_Finance[Cost Centre],$A298),"")</f>
        <v/>
      </c>
      <c r="G298" s="68">
        <f>IFERROR(INDEX(tbl_Finance[Ex GST],$A298),"")</f>
        <v/>
      </c>
      <c r="H298" s="66">
        <f>IFERROR(INDEX(tbl_Finance[Defer Start],$A298),"")</f>
        <v/>
      </c>
      <c r="I298" s="66">
        <f>IFERROR(INDEX(tbl_Finance[Defer End],$A298),"")</f>
        <v/>
      </c>
      <c r="J298" s="65">
        <f>IF(OR($H298="",$I298="",$G298=""),"",MAX(1,(YEAR($I298)-YEAR($H298))*12+MONTH($I298)-MONTH($H298)+1))</f>
        <v/>
      </c>
      <c r="K298" s="68">
        <f>IF($J298="","",$G298/$J298)</f>
        <v/>
      </c>
      <c r="L298" s="68">
        <f>IF($J298="",0,$K298*MAX(0,MIN(YEAR($C$3)*12+MONTH($C$3),YEAR($I298)*12+MONTH($I298))-(YEAR($H298)*12+MONTH($H298))+1))</f>
        <v/>
      </c>
      <c r="M298" s="68">
        <f>IF($J298="",0,$K298*MAX(0,MIN(YEAR($C$3)*12+MONTH($C$3)-1,YEAR($I298)*12+MONTH($I298))-(YEAR($H298)*12+MONTH($H298))+1))</f>
        <v/>
      </c>
      <c r="N298" s="68">
        <f>IF(OR($J298="",$B298=""),0,IF(YEAR($B298)*12+MONTH($B298)&lt;=YEAR($C$3)*12+MONTH($C$3),$G298,0))</f>
        <v/>
      </c>
      <c r="O298" s="68">
        <f>IF(OR($J298="",$B298=""),0,IF(YEAR($B298)*12+MONTH($B298)&lt;=YEAR($C$3)*12+MONTH($C$3)-1,$G298,0))</f>
        <v/>
      </c>
      <c r="P298" s="68">
        <f>$M298-$O298</f>
        <v/>
      </c>
      <c r="Q298" s="68">
        <f>($L298-$M298)-($N298-$O298)</f>
        <v/>
      </c>
      <c r="R298" s="68">
        <f>$L298-$N298</f>
        <v/>
      </c>
      <c r="S298" s="67">
        <f>"Finance invoice"</f>
        <v/>
      </c>
      <c r="T298" s="67">
        <f>"Revenue"</f>
        <v/>
      </c>
    </row>
    <row r="299">
      <c r="A299" s="65">
        <f>ROW()-5</f>
        <v/>
      </c>
      <c r="B299" s="66">
        <f>IFERROR(INDEX(tbl_Finance[Date],$A299),"")</f>
        <v/>
      </c>
      <c r="C299" s="67">
        <f>IFERROR(INDEX(tbl_Finance[Xero Invoice No],$A299),"")</f>
        <v/>
      </c>
      <c r="D299" s="67">
        <f>IFERROR(INDEX(tbl_Finance[Client],$A299),"")</f>
        <v/>
      </c>
      <c r="E299" s="67">
        <f>IFERROR(INDEX(tbl_Finance[Job Number],$A299),"")</f>
        <v/>
      </c>
      <c r="F299" s="67">
        <f>IFERROR(INDEX(tbl_Finance[Cost Centre],$A299),"")</f>
        <v/>
      </c>
      <c r="G299" s="68">
        <f>IFERROR(INDEX(tbl_Finance[Ex GST],$A299),"")</f>
        <v/>
      </c>
      <c r="H299" s="66">
        <f>IFERROR(INDEX(tbl_Finance[Defer Start],$A299),"")</f>
        <v/>
      </c>
      <c r="I299" s="66">
        <f>IFERROR(INDEX(tbl_Finance[Defer End],$A299),"")</f>
        <v/>
      </c>
      <c r="J299" s="65">
        <f>IF(OR($H299="",$I299="",$G299=""),"",MAX(1,(YEAR($I299)-YEAR($H299))*12+MONTH($I299)-MONTH($H299)+1))</f>
        <v/>
      </c>
      <c r="K299" s="68">
        <f>IF($J299="","",$G299/$J299)</f>
        <v/>
      </c>
      <c r="L299" s="68">
        <f>IF($J299="",0,$K299*MAX(0,MIN(YEAR($C$3)*12+MONTH($C$3),YEAR($I299)*12+MONTH($I299))-(YEAR($H299)*12+MONTH($H299))+1))</f>
        <v/>
      </c>
      <c r="M299" s="68">
        <f>IF($J299="",0,$K299*MAX(0,MIN(YEAR($C$3)*12+MONTH($C$3)-1,YEAR($I299)*12+MONTH($I299))-(YEAR($H299)*12+MONTH($H299))+1))</f>
        <v/>
      </c>
      <c r="N299" s="68">
        <f>IF(OR($J299="",$B299=""),0,IF(YEAR($B299)*12+MONTH($B299)&lt;=YEAR($C$3)*12+MONTH($C$3),$G299,0))</f>
        <v/>
      </c>
      <c r="O299" s="68">
        <f>IF(OR($J299="",$B299=""),0,IF(YEAR($B299)*12+MONTH($B299)&lt;=YEAR($C$3)*12+MONTH($C$3)-1,$G299,0))</f>
        <v/>
      </c>
      <c r="P299" s="68">
        <f>$M299-$O299</f>
        <v/>
      </c>
      <c r="Q299" s="68">
        <f>($L299-$M299)-($N299-$O299)</f>
        <v/>
      </c>
      <c r="R299" s="68">
        <f>$L299-$N299</f>
        <v/>
      </c>
      <c r="S299" s="67">
        <f>"Finance invoice"</f>
        <v/>
      </c>
      <c r="T299" s="67">
        <f>"Revenue"</f>
        <v/>
      </c>
    </row>
    <row r="300">
      <c r="A300" s="65">
        <f>ROW()-5</f>
        <v/>
      </c>
      <c r="B300" s="66">
        <f>IFERROR(INDEX(tbl_Finance[Date],$A300),"")</f>
        <v/>
      </c>
      <c r="C300" s="67">
        <f>IFERROR(INDEX(tbl_Finance[Xero Invoice No],$A300),"")</f>
        <v/>
      </c>
      <c r="D300" s="67">
        <f>IFERROR(INDEX(tbl_Finance[Client],$A300),"")</f>
        <v/>
      </c>
      <c r="E300" s="67">
        <f>IFERROR(INDEX(tbl_Finance[Job Number],$A300),"")</f>
        <v/>
      </c>
      <c r="F300" s="67">
        <f>IFERROR(INDEX(tbl_Finance[Cost Centre],$A300),"")</f>
        <v/>
      </c>
      <c r="G300" s="68">
        <f>IFERROR(INDEX(tbl_Finance[Ex GST],$A300),"")</f>
        <v/>
      </c>
      <c r="H300" s="66">
        <f>IFERROR(INDEX(tbl_Finance[Defer Start],$A300),"")</f>
        <v/>
      </c>
      <c r="I300" s="66">
        <f>IFERROR(INDEX(tbl_Finance[Defer End],$A300),"")</f>
        <v/>
      </c>
      <c r="J300" s="65">
        <f>IF(OR($H300="",$I300="",$G300=""),"",MAX(1,(YEAR($I300)-YEAR($H300))*12+MONTH($I300)-MONTH($H300)+1))</f>
        <v/>
      </c>
      <c r="K300" s="68">
        <f>IF($J300="","",$G300/$J300)</f>
        <v/>
      </c>
      <c r="L300" s="68">
        <f>IF($J300="",0,$K300*MAX(0,MIN(YEAR($C$3)*12+MONTH($C$3),YEAR($I300)*12+MONTH($I300))-(YEAR($H300)*12+MONTH($H300))+1))</f>
        <v/>
      </c>
      <c r="M300" s="68">
        <f>IF($J300="",0,$K300*MAX(0,MIN(YEAR($C$3)*12+MONTH($C$3)-1,YEAR($I300)*12+MONTH($I300))-(YEAR($H300)*12+MONTH($H300))+1))</f>
        <v/>
      </c>
      <c r="N300" s="68">
        <f>IF(OR($J300="",$B300=""),0,IF(YEAR($B300)*12+MONTH($B300)&lt;=YEAR($C$3)*12+MONTH($C$3),$G300,0))</f>
        <v/>
      </c>
      <c r="O300" s="68">
        <f>IF(OR($J300="",$B300=""),0,IF(YEAR($B300)*12+MONTH($B300)&lt;=YEAR($C$3)*12+MONTH($C$3)-1,$G300,0))</f>
        <v/>
      </c>
      <c r="P300" s="68">
        <f>$M300-$O300</f>
        <v/>
      </c>
      <c r="Q300" s="68">
        <f>($L300-$M300)-($N300-$O300)</f>
        <v/>
      </c>
      <c r="R300" s="68">
        <f>$L300-$N300</f>
        <v/>
      </c>
      <c r="S300" s="67">
        <f>"Finance invoice"</f>
        <v/>
      </c>
      <c r="T300" s="67">
        <f>"Revenue"</f>
        <v/>
      </c>
    </row>
    <row r="301">
      <c r="A301" s="65">
        <f>ROW()-5</f>
        <v/>
      </c>
      <c r="B301" s="66">
        <f>IFERROR(INDEX(tbl_Finance[Date],$A301),"")</f>
        <v/>
      </c>
      <c r="C301" s="67">
        <f>IFERROR(INDEX(tbl_Finance[Xero Invoice No],$A301),"")</f>
        <v/>
      </c>
      <c r="D301" s="67">
        <f>IFERROR(INDEX(tbl_Finance[Client],$A301),"")</f>
        <v/>
      </c>
      <c r="E301" s="67">
        <f>IFERROR(INDEX(tbl_Finance[Job Number],$A301),"")</f>
        <v/>
      </c>
      <c r="F301" s="67">
        <f>IFERROR(INDEX(tbl_Finance[Cost Centre],$A301),"")</f>
        <v/>
      </c>
      <c r="G301" s="68">
        <f>IFERROR(INDEX(tbl_Finance[Ex GST],$A301),"")</f>
        <v/>
      </c>
      <c r="H301" s="66">
        <f>IFERROR(INDEX(tbl_Finance[Defer Start],$A301),"")</f>
        <v/>
      </c>
      <c r="I301" s="66">
        <f>IFERROR(INDEX(tbl_Finance[Defer End],$A301),"")</f>
        <v/>
      </c>
      <c r="J301" s="65">
        <f>IF(OR($H301="",$I301="",$G301=""),"",MAX(1,(YEAR($I301)-YEAR($H301))*12+MONTH($I301)-MONTH($H301)+1))</f>
        <v/>
      </c>
      <c r="K301" s="68">
        <f>IF($J301="","",$G301/$J301)</f>
        <v/>
      </c>
      <c r="L301" s="68">
        <f>IF($J301="",0,$K301*MAX(0,MIN(YEAR($C$3)*12+MONTH($C$3),YEAR($I301)*12+MONTH($I301))-(YEAR($H301)*12+MONTH($H301))+1))</f>
        <v/>
      </c>
      <c r="M301" s="68">
        <f>IF($J301="",0,$K301*MAX(0,MIN(YEAR($C$3)*12+MONTH($C$3)-1,YEAR($I301)*12+MONTH($I301))-(YEAR($H301)*12+MONTH($H301))+1))</f>
        <v/>
      </c>
      <c r="N301" s="68">
        <f>IF(OR($J301="",$B301=""),0,IF(YEAR($B301)*12+MONTH($B301)&lt;=YEAR($C$3)*12+MONTH($C$3),$G301,0))</f>
        <v/>
      </c>
      <c r="O301" s="68">
        <f>IF(OR($J301="",$B301=""),0,IF(YEAR($B301)*12+MONTH($B301)&lt;=YEAR($C$3)*12+MONTH($C$3)-1,$G301,0))</f>
        <v/>
      </c>
      <c r="P301" s="68">
        <f>$M301-$O301</f>
        <v/>
      </c>
      <c r="Q301" s="68">
        <f>($L301-$M301)-($N301-$O301)</f>
        <v/>
      </c>
      <c r="R301" s="68">
        <f>$L301-$N301</f>
        <v/>
      </c>
      <c r="S301" s="67">
        <f>"Finance invoice"</f>
        <v/>
      </c>
      <c r="T301" s="67">
        <f>"Revenue"</f>
        <v/>
      </c>
    </row>
    <row r="302">
      <c r="A302" s="65">
        <f>ROW()-5</f>
        <v/>
      </c>
      <c r="B302" s="66">
        <f>IFERROR(INDEX(tbl_Finance[Date],$A302),"")</f>
        <v/>
      </c>
      <c r="C302" s="67">
        <f>IFERROR(INDEX(tbl_Finance[Xero Invoice No],$A302),"")</f>
        <v/>
      </c>
      <c r="D302" s="67">
        <f>IFERROR(INDEX(tbl_Finance[Client],$A302),"")</f>
        <v/>
      </c>
      <c r="E302" s="67">
        <f>IFERROR(INDEX(tbl_Finance[Job Number],$A302),"")</f>
        <v/>
      </c>
      <c r="F302" s="67">
        <f>IFERROR(INDEX(tbl_Finance[Cost Centre],$A302),"")</f>
        <v/>
      </c>
      <c r="G302" s="68">
        <f>IFERROR(INDEX(tbl_Finance[Ex GST],$A302),"")</f>
        <v/>
      </c>
      <c r="H302" s="66">
        <f>IFERROR(INDEX(tbl_Finance[Defer Start],$A302),"")</f>
        <v/>
      </c>
      <c r="I302" s="66">
        <f>IFERROR(INDEX(tbl_Finance[Defer End],$A302),"")</f>
        <v/>
      </c>
      <c r="J302" s="65">
        <f>IF(OR($H302="",$I302="",$G302=""),"",MAX(1,(YEAR($I302)-YEAR($H302))*12+MONTH($I302)-MONTH($H302)+1))</f>
        <v/>
      </c>
      <c r="K302" s="68">
        <f>IF($J302="","",$G302/$J302)</f>
        <v/>
      </c>
      <c r="L302" s="68">
        <f>IF($J302="",0,$K302*MAX(0,MIN(YEAR($C$3)*12+MONTH($C$3),YEAR($I302)*12+MONTH($I302))-(YEAR($H302)*12+MONTH($H302))+1))</f>
        <v/>
      </c>
      <c r="M302" s="68">
        <f>IF($J302="",0,$K302*MAX(0,MIN(YEAR($C$3)*12+MONTH($C$3)-1,YEAR($I302)*12+MONTH($I302))-(YEAR($H302)*12+MONTH($H302))+1))</f>
        <v/>
      </c>
      <c r="N302" s="68">
        <f>IF(OR($J302="",$B302=""),0,IF(YEAR($B302)*12+MONTH($B302)&lt;=YEAR($C$3)*12+MONTH($C$3),$G302,0))</f>
        <v/>
      </c>
      <c r="O302" s="68">
        <f>IF(OR($J302="",$B302=""),0,IF(YEAR($B302)*12+MONTH($B302)&lt;=YEAR($C$3)*12+MONTH($C$3)-1,$G302,0))</f>
        <v/>
      </c>
      <c r="P302" s="68">
        <f>$M302-$O302</f>
        <v/>
      </c>
      <c r="Q302" s="68">
        <f>($L302-$M302)-($N302-$O302)</f>
        <v/>
      </c>
      <c r="R302" s="68">
        <f>$L302-$N302</f>
        <v/>
      </c>
      <c r="S302" s="67">
        <f>"Finance invoice"</f>
        <v/>
      </c>
      <c r="T302" s="67">
        <f>"Revenue"</f>
        <v/>
      </c>
    </row>
    <row r="303">
      <c r="A303" s="65">
        <f>ROW()-5</f>
        <v/>
      </c>
      <c r="B303" s="66">
        <f>IFERROR(INDEX(tbl_Finance[Date],$A303),"")</f>
        <v/>
      </c>
      <c r="C303" s="67">
        <f>IFERROR(INDEX(tbl_Finance[Xero Invoice No],$A303),"")</f>
        <v/>
      </c>
      <c r="D303" s="67">
        <f>IFERROR(INDEX(tbl_Finance[Client],$A303),"")</f>
        <v/>
      </c>
      <c r="E303" s="67">
        <f>IFERROR(INDEX(tbl_Finance[Job Number],$A303),"")</f>
        <v/>
      </c>
      <c r="F303" s="67">
        <f>IFERROR(INDEX(tbl_Finance[Cost Centre],$A303),"")</f>
        <v/>
      </c>
      <c r="G303" s="68">
        <f>IFERROR(INDEX(tbl_Finance[Ex GST],$A303),"")</f>
        <v/>
      </c>
      <c r="H303" s="66">
        <f>IFERROR(INDEX(tbl_Finance[Defer Start],$A303),"")</f>
        <v/>
      </c>
      <c r="I303" s="66">
        <f>IFERROR(INDEX(tbl_Finance[Defer End],$A303),"")</f>
        <v/>
      </c>
      <c r="J303" s="65">
        <f>IF(OR($H303="",$I303="",$G303=""),"",MAX(1,(YEAR($I303)-YEAR($H303))*12+MONTH($I303)-MONTH($H303)+1))</f>
        <v/>
      </c>
      <c r="K303" s="68">
        <f>IF($J303="","",$G303/$J303)</f>
        <v/>
      </c>
      <c r="L303" s="68">
        <f>IF($J303="",0,$K303*MAX(0,MIN(YEAR($C$3)*12+MONTH($C$3),YEAR($I303)*12+MONTH($I303))-(YEAR($H303)*12+MONTH($H303))+1))</f>
        <v/>
      </c>
      <c r="M303" s="68">
        <f>IF($J303="",0,$K303*MAX(0,MIN(YEAR($C$3)*12+MONTH($C$3)-1,YEAR($I303)*12+MONTH($I303))-(YEAR($H303)*12+MONTH($H303))+1))</f>
        <v/>
      </c>
      <c r="N303" s="68">
        <f>IF(OR($J303="",$B303=""),0,IF(YEAR($B303)*12+MONTH($B303)&lt;=YEAR($C$3)*12+MONTH($C$3),$G303,0))</f>
        <v/>
      </c>
      <c r="O303" s="68">
        <f>IF(OR($J303="",$B303=""),0,IF(YEAR($B303)*12+MONTH($B303)&lt;=YEAR($C$3)*12+MONTH($C$3)-1,$G303,0))</f>
        <v/>
      </c>
      <c r="P303" s="68">
        <f>$M303-$O303</f>
        <v/>
      </c>
      <c r="Q303" s="68">
        <f>($L303-$M303)-($N303-$O303)</f>
        <v/>
      </c>
      <c r="R303" s="68">
        <f>$L303-$N303</f>
        <v/>
      </c>
      <c r="S303" s="67">
        <f>"Finance invoice"</f>
        <v/>
      </c>
      <c r="T303" s="67">
        <f>"Revenue"</f>
        <v/>
      </c>
    </row>
    <row r="304">
      <c r="A304" s="65">
        <f>ROW()-5</f>
        <v/>
      </c>
      <c r="B304" s="66">
        <f>IFERROR(INDEX(tbl_Finance[Date],$A304),"")</f>
        <v/>
      </c>
      <c r="C304" s="67">
        <f>IFERROR(INDEX(tbl_Finance[Xero Invoice No],$A304),"")</f>
        <v/>
      </c>
      <c r="D304" s="67">
        <f>IFERROR(INDEX(tbl_Finance[Client],$A304),"")</f>
        <v/>
      </c>
      <c r="E304" s="67">
        <f>IFERROR(INDEX(tbl_Finance[Job Number],$A304),"")</f>
        <v/>
      </c>
      <c r="F304" s="67">
        <f>IFERROR(INDEX(tbl_Finance[Cost Centre],$A304),"")</f>
        <v/>
      </c>
      <c r="G304" s="68">
        <f>IFERROR(INDEX(tbl_Finance[Ex GST],$A304),"")</f>
        <v/>
      </c>
      <c r="H304" s="66">
        <f>IFERROR(INDEX(tbl_Finance[Defer Start],$A304),"")</f>
        <v/>
      </c>
      <c r="I304" s="66">
        <f>IFERROR(INDEX(tbl_Finance[Defer End],$A304),"")</f>
        <v/>
      </c>
      <c r="J304" s="65">
        <f>IF(OR($H304="",$I304="",$G304=""),"",MAX(1,(YEAR($I304)-YEAR($H304))*12+MONTH($I304)-MONTH($H304)+1))</f>
        <v/>
      </c>
      <c r="K304" s="68">
        <f>IF($J304="","",$G304/$J304)</f>
        <v/>
      </c>
      <c r="L304" s="68">
        <f>IF($J304="",0,$K304*MAX(0,MIN(YEAR($C$3)*12+MONTH($C$3),YEAR($I304)*12+MONTH($I304))-(YEAR($H304)*12+MONTH($H304))+1))</f>
        <v/>
      </c>
      <c r="M304" s="68">
        <f>IF($J304="",0,$K304*MAX(0,MIN(YEAR($C$3)*12+MONTH($C$3)-1,YEAR($I304)*12+MONTH($I304))-(YEAR($H304)*12+MONTH($H304))+1))</f>
        <v/>
      </c>
      <c r="N304" s="68">
        <f>IF(OR($J304="",$B304=""),0,IF(YEAR($B304)*12+MONTH($B304)&lt;=YEAR($C$3)*12+MONTH($C$3),$G304,0))</f>
        <v/>
      </c>
      <c r="O304" s="68">
        <f>IF(OR($J304="",$B304=""),0,IF(YEAR($B304)*12+MONTH($B304)&lt;=YEAR($C$3)*12+MONTH($C$3)-1,$G304,0))</f>
        <v/>
      </c>
      <c r="P304" s="68">
        <f>$M304-$O304</f>
        <v/>
      </c>
      <c r="Q304" s="68">
        <f>($L304-$M304)-($N304-$O304)</f>
        <v/>
      </c>
      <c r="R304" s="68">
        <f>$L304-$N304</f>
        <v/>
      </c>
      <c r="S304" s="67">
        <f>"Finance invoice"</f>
        <v/>
      </c>
      <c r="T304" s="67">
        <f>"Revenue"</f>
        <v/>
      </c>
    </row>
    <row r="305">
      <c r="A305" s="65">
        <f>ROW()-5</f>
        <v/>
      </c>
      <c r="B305" s="66">
        <f>IFERROR(INDEX(tbl_Finance[Date],$A305),"")</f>
        <v/>
      </c>
      <c r="C305" s="67">
        <f>IFERROR(INDEX(tbl_Finance[Xero Invoice No],$A305),"")</f>
        <v/>
      </c>
      <c r="D305" s="67">
        <f>IFERROR(INDEX(tbl_Finance[Client],$A305),"")</f>
        <v/>
      </c>
      <c r="E305" s="67">
        <f>IFERROR(INDEX(tbl_Finance[Job Number],$A305),"")</f>
        <v/>
      </c>
      <c r="F305" s="67">
        <f>IFERROR(INDEX(tbl_Finance[Cost Centre],$A305),"")</f>
        <v/>
      </c>
      <c r="G305" s="68">
        <f>IFERROR(INDEX(tbl_Finance[Ex GST],$A305),"")</f>
        <v/>
      </c>
      <c r="H305" s="66">
        <f>IFERROR(INDEX(tbl_Finance[Defer Start],$A305),"")</f>
        <v/>
      </c>
      <c r="I305" s="66">
        <f>IFERROR(INDEX(tbl_Finance[Defer End],$A305),"")</f>
        <v/>
      </c>
      <c r="J305" s="65">
        <f>IF(OR($H305="",$I305="",$G305=""),"",MAX(1,(YEAR($I305)-YEAR($H305))*12+MONTH($I305)-MONTH($H305)+1))</f>
        <v/>
      </c>
      <c r="K305" s="68">
        <f>IF($J305="","",$G305/$J305)</f>
        <v/>
      </c>
      <c r="L305" s="68">
        <f>IF($J305="",0,$K305*MAX(0,MIN(YEAR($C$3)*12+MONTH($C$3),YEAR($I305)*12+MONTH($I305))-(YEAR($H305)*12+MONTH($H305))+1))</f>
        <v/>
      </c>
      <c r="M305" s="68">
        <f>IF($J305="",0,$K305*MAX(0,MIN(YEAR($C$3)*12+MONTH($C$3)-1,YEAR($I305)*12+MONTH($I305))-(YEAR($H305)*12+MONTH($H305))+1))</f>
        <v/>
      </c>
      <c r="N305" s="68">
        <f>IF(OR($J305="",$B305=""),0,IF(YEAR($B305)*12+MONTH($B305)&lt;=YEAR($C$3)*12+MONTH($C$3),$G305,0))</f>
        <v/>
      </c>
      <c r="O305" s="68">
        <f>IF(OR($J305="",$B305=""),0,IF(YEAR($B305)*12+MONTH($B305)&lt;=YEAR($C$3)*12+MONTH($C$3)-1,$G305,0))</f>
        <v/>
      </c>
      <c r="P305" s="68">
        <f>$M305-$O305</f>
        <v/>
      </c>
      <c r="Q305" s="68">
        <f>($L305-$M305)-($N305-$O305)</f>
        <v/>
      </c>
      <c r="R305" s="68">
        <f>$L305-$N305</f>
        <v/>
      </c>
      <c r="S305" s="67">
        <f>"Finance invoice"</f>
        <v/>
      </c>
      <c r="T305" s="67">
        <f>"Revenue"</f>
        <v/>
      </c>
    </row>
    <row r="306">
      <c r="A306" s="65">
        <f>ROW()-5</f>
        <v/>
      </c>
      <c r="B306" s="66">
        <f>IFERROR(INDEX(tbl_Finance[Date],$A306),"")</f>
        <v/>
      </c>
      <c r="C306" s="67">
        <f>IFERROR(INDEX(tbl_Finance[Xero Invoice No],$A306),"")</f>
        <v/>
      </c>
      <c r="D306" s="67">
        <f>IFERROR(INDEX(tbl_Finance[Client],$A306),"")</f>
        <v/>
      </c>
      <c r="E306" s="67">
        <f>IFERROR(INDEX(tbl_Finance[Job Number],$A306),"")</f>
        <v/>
      </c>
      <c r="F306" s="67">
        <f>IFERROR(INDEX(tbl_Finance[Cost Centre],$A306),"")</f>
        <v/>
      </c>
      <c r="G306" s="68">
        <f>IFERROR(INDEX(tbl_Finance[Ex GST],$A306),"")</f>
        <v/>
      </c>
      <c r="H306" s="66">
        <f>IFERROR(INDEX(tbl_Finance[Defer Start],$A306),"")</f>
        <v/>
      </c>
      <c r="I306" s="66">
        <f>IFERROR(INDEX(tbl_Finance[Defer End],$A306),"")</f>
        <v/>
      </c>
      <c r="J306" s="65">
        <f>IF(OR($H306="",$I306="",$G306=""),"",MAX(1,(YEAR($I306)-YEAR($H306))*12+MONTH($I306)-MONTH($H306)+1))</f>
        <v/>
      </c>
      <c r="K306" s="68">
        <f>IF($J306="","",$G306/$J306)</f>
        <v/>
      </c>
      <c r="L306" s="68">
        <f>IF($J306="",0,$K306*MAX(0,MIN(YEAR($C$3)*12+MONTH($C$3),YEAR($I306)*12+MONTH($I306))-(YEAR($H306)*12+MONTH($H306))+1))</f>
        <v/>
      </c>
      <c r="M306" s="68">
        <f>IF($J306="",0,$K306*MAX(0,MIN(YEAR($C$3)*12+MONTH($C$3)-1,YEAR($I306)*12+MONTH($I306))-(YEAR($H306)*12+MONTH($H306))+1))</f>
        <v/>
      </c>
      <c r="N306" s="68">
        <f>IF(OR($J306="",$B306=""),0,IF(YEAR($B306)*12+MONTH($B306)&lt;=YEAR($C$3)*12+MONTH($C$3),$G306,0))</f>
        <v/>
      </c>
      <c r="O306" s="68">
        <f>IF(OR($J306="",$B306=""),0,IF(YEAR($B306)*12+MONTH($B306)&lt;=YEAR($C$3)*12+MONTH($C$3)-1,$G306,0))</f>
        <v/>
      </c>
      <c r="P306" s="68">
        <f>$M306-$O306</f>
        <v/>
      </c>
      <c r="Q306" s="68">
        <f>($L306-$M306)-($N306-$O306)</f>
        <v/>
      </c>
      <c r="R306" s="68">
        <f>$L306-$N306</f>
        <v/>
      </c>
      <c r="S306" s="67">
        <f>"Finance invoice"</f>
        <v/>
      </c>
      <c r="T306" s="67">
        <f>"Revenue"</f>
        <v/>
      </c>
    </row>
    <row r="307">
      <c r="A307" s="65">
        <f>ROW()-5</f>
        <v/>
      </c>
      <c r="B307" s="66">
        <f>IFERROR(INDEX(tbl_Finance[Date],$A307),"")</f>
        <v/>
      </c>
      <c r="C307" s="67">
        <f>IFERROR(INDEX(tbl_Finance[Xero Invoice No],$A307),"")</f>
        <v/>
      </c>
      <c r="D307" s="67">
        <f>IFERROR(INDEX(tbl_Finance[Client],$A307),"")</f>
        <v/>
      </c>
      <c r="E307" s="67">
        <f>IFERROR(INDEX(tbl_Finance[Job Number],$A307),"")</f>
        <v/>
      </c>
      <c r="F307" s="67">
        <f>IFERROR(INDEX(tbl_Finance[Cost Centre],$A307),"")</f>
        <v/>
      </c>
      <c r="G307" s="68">
        <f>IFERROR(INDEX(tbl_Finance[Ex GST],$A307),"")</f>
        <v/>
      </c>
      <c r="H307" s="66">
        <f>IFERROR(INDEX(tbl_Finance[Defer Start],$A307),"")</f>
        <v/>
      </c>
      <c r="I307" s="66">
        <f>IFERROR(INDEX(tbl_Finance[Defer End],$A307),"")</f>
        <v/>
      </c>
      <c r="J307" s="65">
        <f>IF(OR($H307="",$I307="",$G307=""),"",MAX(1,(YEAR($I307)-YEAR($H307))*12+MONTH($I307)-MONTH($H307)+1))</f>
        <v/>
      </c>
      <c r="K307" s="68">
        <f>IF($J307="","",$G307/$J307)</f>
        <v/>
      </c>
      <c r="L307" s="68">
        <f>IF($J307="",0,$K307*MAX(0,MIN(YEAR($C$3)*12+MONTH($C$3),YEAR($I307)*12+MONTH($I307))-(YEAR($H307)*12+MONTH($H307))+1))</f>
        <v/>
      </c>
      <c r="M307" s="68">
        <f>IF($J307="",0,$K307*MAX(0,MIN(YEAR($C$3)*12+MONTH($C$3)-1,YEAR($I307)*12+MONTH($I307))-(YEAR($H307)*12+MONTH($H307))+1))</f>
        <v/>
      </c>
      <c r="N307" s="68">
        <f>IF(OR($J307="",$B307=""),0,IF(YEAR($B307)*12+MONTH($B307)&lt;=YEAR($C$3)*12+MONTH($C$3),$G307,0))</f>
        <v/>
      </c>
      <c r="O307" s="68">
        <f>IF(OR($J307="",$B307=""),0,IF(YEAR($B307)*12+MONTH($B307)&lt;=YEAR($C$3)*12+MONTH($C$3)-1,$G307,0))</f>
        <v/>
      </c>
      <c r="P307" s="68">
        <f>$M307-$O307</f>
        <v/>
      </c>
      <c r="Q307" s="68">
        <f>($L307-$M307)-($N307-$O307)</f>
        <v/>
      </c>
      <c r="R307" s="68">
        <f>$L307-$N307</f>
        <v/>
      </c>
      <c r="S307" s="67">
        <f>"Finance invoice"</f>
        <v/>
      </c>
      <c r="T307" s="67">
        <f>"Revenue"</f>
        <v/>
      </c>
    </row>
    <row r="308">
      <c r="A308" s="65">
        <f>ROW()-5</f>
        <v/>
      </c>
      <c r="B308" s="66">
        <f>IFERROR(INDEX(tbl_Finance[Date],$A308),"")</f>
        <v/>
      </c>
      <c r="C308" s="67">
        <f>IFERROR(INDEX(tbl_Finance[Xero Invoice No],$A308),"")</f>
        <v/>
      </c>
      <c r="D308" s="67">
        <f>IFERROR(INDEX(tbl_Finance[Client],$A308),"")</f>
        <v/>
      </c>
      <c r="E308" s="67">
        <f>IFERROR(INDEX(tbl_Finance[Job Number],$A308),"")</f>
        <v/>
      </c>
      <c r="F308" s="67">
        <f>IFERROR(INDEX(tbl_Finance[Cost Centre],$A308),"")</f>
        <v/>
      </c>
      <c r="G308" s="68">
        <f>IFERROR(INDEX(tbl_Finance[Ex GST],$A308),"")</f>
        <v/>
      </c>
      <c r="H308" s="66">
        <f>IFERROR(INDEX(tbl_Finance[Defer Start],$A308),"")</f>
        <v/>
      </c>
      <c r="I308" s="66">
        <f>IFERROR(INDEX(tbl_Finance[Defer End],$A308),"")</f>
        <v/>
      </c>
      <c r="J308" s="65">
        <f>IF(OR($H308="",$I308="",$G308=""),"",MAX(1,(YEAR($I308)-YEAR($H308))*12+MONTH($I308)-MONTH($H308)+1))</f>
        <v/>
      </c>
      <c r="K308" s="68">
        <f>IF($J308="","",$G308/$J308)</f>
        <v/>
      </c>
      <c r="L308" s="68">
        <f>IF($J308="",0,$K308*MAX(0,MIN(YEAR($C$3)*12+MONTH($C$3),YEAR($I308)*12+MONTH($I308))-(YEAR($H308)*12+MONTH($H308))+1))</f>
        <v/>
      </c>
      <c r="M308" s="68">
        <f>IF($J308="",0,$K308*MAX(0,MIN(YEAR($C$3)*12+MONTH($C$3)-1,YEAR($I308)*12+MONTH($I308))-(YEAR($H308)*12+MONTH($H308))+1))</f>
        <v/>
      </c>
      <c r="N308" s="68">
        <f>IF(OR($J308="",$B308=""),0,IF(YEAR($B308)*12+MONTH($B308)&lt;=YEAR($C$3)*12+MONTH($C$3),$G308,0))</f>
        <v/>
      </c>
      <c r="O308" s="68">
        <f>IF(OR($J308="",$B308=""),0,IF(YEAR($B308)*12+MONTH($B308)&lt;=YEAR($C$3)*12+MONTH($C$3)-1,$G308,0))</f>
        <v/>
      </c>
      <c r="P308" s="68">
        <f>$M308-$O308</f>
        <v/>
      </c>
      <c r="Q308" s="68">
        <f>($L308-$M308)-($N308-$O308)</f>
        <v/>
      </c>
      <c r="R308" s="68">
        <f>$L308-$N308</f>
        <v/>
      </c>
      <c r="S308" s="67">
        <f>"Finance invoice"</f>
        <v/>
      </c>
      <c r="T308" s="67">
        <f>"Revenue"</f>
        <v/>
      </c>
    </row>
    <row r="309">
      <c r="A309" s="65">
        <f>ROW()-5</f>
        <v/>
      </c>
      <c r="B309" s="66">
        <f>IFERROR(INDEX(tbl_Finance[Date],$A309),"")</f>
        <v/>
      </c>
      <c r="C309" s="67">
        <f>IFERROR(INDEX(tbl_Finance[Xero Invoice No],$A309),"")</f>
        <v/>
      </c>
      <c r="D309" s="67">
        <f>IFERROR(INDEX(tbl_Finance[Client],$A309),"")</f>
        <v/>
      </c>
      <c r="E309" s="67">
        <f>IFERROR(INDEX(tbl_Finance[Job Number],$A309),"")</f>
        <v/>
      </c>
      <c r="F309" s="67">
        <f>IFERROR(INDEX(tbl_Finance[Cost Centre],$A309),"")</f>
        <v/>
      </c>
      <c r="G309" s="68">
        <f>IFERROR(INDEX(tbl_Finance[Ex GST],$A309),"")</f>
        <v/>
      </c>
      <c r="H309" s="66">
        <f>IFERROR(INDEX(tbl_Finance[Defer Start],$A309),"")</f>
        <v/>
      </c>
      <c r="I309" s="66">
        <f>IFERROR(INDEX(tbl_Finance[Defer End],$A309),"")</f>
        <v/>
      </c>
      <c r="J309" s="65">
        <f>IF(OR($H309="",$I309="",$G309=""),"",MAX(1,(YEAR($I309)-YEAR($H309))*12+MONTH($I309)-MONTH($H309)+1))</f>
        <v/>
      </c>
      <c r="K309" s="68">
        <f>IF($J309="","",$G309/$J309)</f>
        <v/>
      </c>
      <c r="L309" s="68">
        <f>IF($J309="",0,$K309*MAX(0,MIN(YEAR($C$3)*12+MONTH($C$3),YEAR($I309)*12+MONTH($I309))-(YEAR($H309)*12+MONTH($H309))+1))</f>
        <v/>
      </c>
      <c r="M309" s="68">
        <f>IF($J309="",0,$K309*MAX(0,MIN(YEAR($C$3)*12+MONTH($C$3)-1,YEAR($I309)*12+MONTH($I309))-(YEAR($H309)*12+MONTH($H309))+1))</f>
        <v/>
      </c>
      <c r="N309" s="68">
        <f>IF(OR($J309="",$B309=""),0,IF(YEAR($B309)*12+MONTH($B309)&lt;=YEAR($C$3)*12+MONTH($C$3),$G309,0))</f>
        <v/>
      </c>
      <c r="O309" s="68">
        <f>IF(OR($J309="",$B309=""),0,IF(YEAR($B309)*12+MONTH($B309)&lt;=YEAR($C$3)*12+MONTH($C$3)-1,$G309,0))</f>
        <v/>
      </c>
      <c r="P309" s="68">
        <f>$M309-$O309</f>
        <v/>
      </c>
      <c r="Q309" s="68">
        <f>($L309-$M309)-($N309-$O309)</f>
        <v/>
      </c>
      <c r="R309" s="68">
        <f>$L309-$N309</f>
        <v/>
      </c>
      <c r="S309" s="67">
        <f>"Finance invoice"</f>
        <v/>
      </c>
      <c r="T309" s="67">
        <f>"Revenue"</f>
        <v/>
      </c>
    </row>
    <row r="310">
      <c r="A310" s="65">
        <f>ROW()-5</f>
        <v/>
      </c>
      <c r="B310" s="66">
        <f>IFERROR(INDEX(tbl_Finance[Date],$A310),"")</f>
        <v/>
      </c>
      <c r="C310" s="67">
        <f>IFERROR(INDEX(tbl_Finance[Xero Invoice No],$A310),"")</f>
        <v/>
      </c>
      <c r="D310" s="67">
        <f>IFERROR(INDEX(tbl_Finance[Client],$A310),"")</f>
        <v/>
      </c>
      <c r="E310" s="67">
        <f>IFERROR(INDEX(tbl_Finance[Job Number],$A310),"")</f>
        <v/>
      </c>
      <c r="F310" s="67">
        <f>IFERROR(INDEX(tbl_Finance[Cost Centre],$A310),"")</f>
        <v/>
      </c>
      <c r="G310" s="68">
        <f>IFERROR(INDEX(tbl_Finance[Ex GST],$A310),"")</f>
        <v/>
      </c>
      <c r="H310" s="66">
        <f>IFERROR(INDEX(tbl_Finance[Defer Start],$A310),"")</f>
        <v/>
      </c>
      <c r="I310" s="66">
        <f>IFERROR(INDEX(tbl_Finance[Defer End],$A310),"")</f>
        <v/>
      </c>
      <c r="J310" s="65">
        <f>IF(OR($H310="",$I310="",$G310=""),"",MAX(1,(YEAR($I310)-YEAR($H310))*12+MONTH($I310)-MONTH($H310)+1))</f>
        <v/>
      </c>
      <c r="K310" s="68">
        <f>IF($J310="","",$G310/$J310)</f>
        <v/>
      </c>
      <c r="L310" s="68">
        <f>IF($J310="",0,$K310*MAX(0,MIN(YEAR($C$3)*12+MONTH($C$3),YEAR($I310)*12+MONTH($I310))-(YEAR($H310)*12+MONTH($H310))+1))</f>
        <v/>
      </c>
      <c r="M310" s="68">
        <f>IF($J310="",0,$K310*MAX(0,MIN(YEAR($C$3)*12+MONTH($C$3)-1,YEAR($I310)*12+MONTH($I310))-(YEAR($H310)*12+MONTH($H310))+1))</f>
        <v/>
      </c>
      <c r="N310" s="68">
        <f>IF(OR($J310="",$B310=""),0,IF(YEAR($B310)*12+MONTH($B310)&lt;=YEAR($C$3)*12+MONTH($C$3),$G310,0))</f>
        <v/>
      </c>
      <c r="O310" s="68">
        <f>IF(OR($J310="",$B310=""),0,IF(YEAR($B310)*12+MONTH($B310)&lt;=YEAR($C$3)*12+MONTH($C$3)-1,$G310,0))</f>
        <v/>
      </c>
      <c r="P310" s="68">
        <f>$M310-$O310</f>
        <v/>
      </c>
      <c r="Q310" s="68">
        <f>($L310-$M310)-($N310-$O310)</f>
        <v/>
      </c>
      <c r="R310" s="68">
        <f>$L310-$N310</f>
        <v/>
      </c>
      <c r="S310" s="67">
        <f>"Finance invoice"</f>
        <v/>
      </c>
      <c r="T310" s="67">
        <f>"Revenue"</f>
        <v/>
      </c>
    </row>
    <row r="311">
      <c r="A311" s="65">
        <f>ROW()-5</f>
        <v/>
      </c>
      <c r="B311" s="66">
        <f>IFERROR(INDEX(tbl_Finance[Date],$A311),"")</f>
        <v/>
      </c>
      <c r="C311" s="67">
        <f>IFERROR(INDEX(tbl_Finance[Xero Invoice No],$A311),"")</f>
        <v/>
      </c>
      <c r="D311" s="67">
        <f>IFERROR(INDEX(tbl_Finance[Client],$A311),"")</f>
        <v/>
      </c>
      <c r="E311" s="67">
        <f>IFERROR(INDEX(tbl_Finance[Job Number],$A311),"")</f>
        <v/>
      </c>
      <c r="F311" s="67">
        <f>IFERROR(INDEX(tbl_Finance[Cost Centre],$A311),"")</f>
        <v/>
      </c>
      <c r="G311" s="68">
        <f>IFERROR(INDEX(tbl_Finance[Ex GST],$A311),"")</f>
        <v/>
      </c>
      <c r="H311" s="66">
        <f>IFERROR(INDEX(tbl_Finance[Defer Start],$A311),"")</f>
        <v/>
      </c>
      <c r="I311" s="66">
        <f>IFERROR(INDEX(tbl_Finance[Defer End],$A311),"")</f>
        <v/>
      </c>
      <c r="J311" s="65">
        <f>IF(OR($H311="",$I311="",$G311=""),"",MAX(1,(YEAR($I311)-YEAR($H311))*12+MONTH($I311)-MONTH($H311)+1))</f>
        <v/>
      </c>
      <c r="K311" s="68">
        <f>IF($J311="","",$G311/$J311)</f>
        <v/>
      </c>
      <c r="L311" s="68">
        <f>IF($J311="",0,$K311*MAX(0,MIN(YEAR($C$3)*12+MONTH($C$3),YEAR($I311)*12+MONTH($I311))-(YEAR($H311)*12+MONTH($H311))+1))</f>
        <v/>
      </c>
      <c r="M311" s="68">
        <f>IF($J311="",0,$K311*MAX(0,MIN(YEAR($C$3)*12+MONTH($C$3)-1,YEAR($I311)*12+MONTH($I311))-(YEAR($H311)*12+MONTH($H311))+1))</f>
        <v/>
      </c>
      <c r="N311" s="68">
        <f>IF(OR($J311="",$B311=""),0,IF(YEAR($B311)*12+MONTH($B311)&lt;=YEAR($C$3)*12+MONTH($C$3),$G311,0))</f>
        <v/>
      </c>
      <c r="O311" s="68">
        <f>IF(OR($J311="",$B311=""),0,IF(YEAR($B311)*12+MONTH($B311)&lt;=YEAR($C$3)*12+MONTH($C$3)-1,$G311,0))</f>
        <v/>
      </c>
      <c r="P311" s="68">
        <f>$M311-$O311</f>
        <v/>
      </c>
      <c r="Q311" s="68">
        <f>($L311-$M311)-($N311-$O311)</f>
        <v/>
      </c>
      <c r="R311" s="68">
        <f>$L311-$N311</f>
        <v/>
      </c>
      <c r="S311" s="67">
        <f>"Finance invoice"</f>
        <v/>
      </c>
      <c r="T311" s="67">
        <f>"Revenue"</f>
        <v/>
      </c>
    </row>
    <row r="312">
      <c r="A312" s="65">
        <f>ROW()-5</f>
        <v/>
      </c>
      <c r="B312" s="66">
        <f>IFERROR(INDEX(tbl_Finance[Date],$A312),"")</f>
        <v/>
      </c>
      <c r="C312" s="67">
        <f>IFERROR(INDEX(tbl_Finance[Xero Invoice No],$A312),"")</f>
        <v/>
      </c>
      <c r="D312" s="67">
        <f>IFERROR(INDEX(tbl_Finance[Client],$A312),"")</f>
        <v/>
      </c>
      <c r="E312" s="67">
        <f>IFERROR(INDEX(tbl_Finance[Job Number],$A312),"")</f>
        <v/>
      </c>
      <c r="F312" s="67">
        <f>IFERROR(INDEX(tbl_Finance[Cost Centre],$A312),"")</f>
        <v/>
      </c>
      <c r="G312" s="68">
        <f>IFERROR(INDEX(tbl_Finance[Ex GST],$A312),"")</f>
        <v/>
      </c>
      <c r="H312" s="66">
        <f>IFERROR(INDEX(tbl_Finance[Defer Start],$A312),"")</f>
        <v/>
      </c>
      <c r="I312" s="66">
        <f>IFERROR(INDEX(tbl_Finance[Defer End],$A312),"")</f>
        <v/>
      </c>
      <c r="J312" s="65">
        <f>IF(OR($H312="",$I312="",$G312=""),"",MAX(1,(YEAR($I312)-YEAR($H312))*12+MONTH($I312)-MONTH($H312)+1))</f>
        <v/>
      </c>
      <c r="K312" s="68">
        <f>IF($J312="","",$G312/$J312)</f>
        <v/>
      </c>
      <c r="L312" s="68">
        <f>IF($J312="",0,$K312*MAX(0,MIN(YEAR($C$3)*12+MONTH($C$3),YEAR($I312)*12+MONTH($I312))-(YEAR($H312)*12+MONTH($H312))+1))</f>
        <v/>
      </c>
      <c r="M312" s="68">
        <f>IF($J312="",0,$K312*MAX(0,MIN(YEAR($C$3)*12+MONTH($C$3)-1,YEAR($I312)*12+MONTH($I312))-(YEAR($H312)*12+MONTH($H312))+1))</f>
        <v/>
      </c>
      <c r="N312" s="68">
        <f>IF(OR($J312="",$B312=""),0,IF(YEAR($B312)*12+MONTH($B312)&lt;=YEAR($C$3)*12+MONTH($C$3),$G312,0))</f>
        <v/>
      </c>
      <c r="O312" s="68">
        <f>IF(OR($J312="",$B312=""),0,IF(YEAR($B312)*12+MONTH($B312)&lt;=YEAR($C$3)*12+MONTH($C$3)-1,$G312,0))</f>
        <v/>
      </c>
      <c r="P312" s="68">
        <f>$M312-$O312</f>
        <v/>
      </c>
      <c r="Q312" s="68">
        <f>($L312-$M312)-($N312-$O312)</f>
        <v/>
      </c>
      <c r="R312" s="68">
        <f>$L312-$N312</f>
        <v/>
      </c>
      <c r="S312" s="67">
        <f>"Finance invoice"</f>
        <v/>
      </c>
      <c r="T312" s="67">
        <f>"Revenue"</f>
        <v/>
      </c>
    </row>
    <row r="313">
      <c r="A313" s="65">
        <f>ROW()-5</f>
        <v/>
      </c>
      <c r="B313" s="66">
        <f>IFERROR(INDEX(tbl_Finance[Date],$A313),"")</f>
        <v/>
      </c>
      <c r="C313" s="67">
        <f>IFERROR(INDEX(tbl_Finance[Xero Invoice No],$A313),"")</f>
        <v/>
      </c>
      <c r="D313" s="67">
        <f>IFERROR(INDEX(tbl_Finance[Client],$A313),"")</f>
        <v/>
      </c>
      <c r="E313" s="67">
        <f>IFERROR(INDEX(tbl_Finance[Job Number],$A313),"")</f>
        <v/>
      </c>
      <c r="F313" s="67">
        <f>IFERROR(INDEX(tbl_Finance[Cost Centre],$A313),"")</f>
        <v/>
      </c>
      <c r="G313" s="68">
        <f>IFERROR(INDEX(tbl_Finance[Ex GST],$A313),"")</f>
        <v/>
      </c>
      <c r="H313" s="66">
        <f>IFERROR(INDEX(tbl_Finance[Defer Start],$A313),"")</f>
        <v/>
      </c>
      <c r="I313" s="66">
        <f>IFERROR(INDEX(tbl_Finance[Defer End],$A313),"")</f>
        <v/>
      </c>
      <c r="J313" s="65">
        <f>IF(OR($H313="",$I313="",$G313=""),"",MAX(1,(YEAR($I313)-YEAR($H313))*12+MONTH($I313)-MONTH($H313)+1))</f>
        <v/>
      </c>
      <c r="K313" s="68">
        <f>IF($J313="","",$G313/$J313)</f>
        <v/>
      </c>
      <c r="L313" s="68">
        <f>IF($J313="",0,$K313*MAX(0,MIN(YEAR($C$3)*12+MONTH($C$3),YEAR($I313)*12+MONTH($I313))-(YEAR($H313)*12+MONTH($H313))+1))</f>
        <v/>
      </c>
      <c r="M313" s="68">
        <f>IF($J313="",0,$K313*MAX(0,MIN(YEAR($C$3)*12+MONTH($C$3)-1,YEAR($I313)*12+MONTH($I313))-(YEAR($H313)*12+MONTH($H313))+1))</f>
        <v/>
      </c>
      <c r="N313" s="68">
        <f>IF(OR($J313="",$B313=""),0,IF(YEAR($B313)*12+MONTH($B313)&lt;=YEAR($C$3)*12+MONTH($C$3),$G313,0))</f>
        <v/>
      </c>
      <c r="O313" s="68">
        <f>IF(OR($J313="",$B313=""),0,IF(YEAR($B313)*12+MONTH($B313)&lt;=YEAR($C$3)*12+MONTH($C$3)-1,$G313,0))</f>
        <v/>
      </c>
      <c r="P313" s="68">
        <f>$M313-$O313</f>
        <v/>
      </c>
      <c r="Q313" s="68">
        <f>($L313-$M313)-($N313-$O313)</f>
        <v/>
      </c>
      <c r="R313" s="68">
        <f>$L313-$N313</f>
        <v/>
      </c>
      <c r="S313" s="67">
        <f>"Finance invoice"</f>
        <v/>
      </c>
      <c r="T313" s="67">
        <f>"Revenue"</f>
        <v/>
      </c>
    </row>
    <row r="314">
      <c r="A314" s="65">
        <f>ROW()-5</f>
        <v/>
      </c>
      <c r="B314" s="66">
        <f>IFERROR(INDEX(tbl_Finance[Date],$A314),"")</f>
        <v/>
      </c>
      <c r="C314" s="67">
        <f>IFERROR(INDEX(tbl_Finance[Xero Invoice No],$A314),"")</f>
        <v/>
      </c>
      <c r="D314" s="67">
        <f>IFERROR(INDEX(tbl_Finance[Client],$A314),"")</f>
        <v/>
      </c>
      <c r="E314" s="67">
        <f>IFERROR(INDEX(tbl_Finance[Job Number],$A314),"")</f>
        <v/>
      </c>
      <c r="F314" s="67">
        <f>IFERROR(INDEX(tbl_Finance[Cost Centre],$A314),"")</f>
        <v/>
      </c>
      <c r="G314" s="68">
        <f>IFERROR(INDEX(tbl_Finance[Ex GST],$A314),"")</f>
        <v/>
      </c>
      <c r="H314" s="66">
        <f>IFERROR(INDEX(tbl_Finance[Defer Start],$A314),"")</f>
        <v/>
      </c>
      <c r="I314" s="66">
        <f>IFERROR(INDEX(tbl_Finance[Defer End],$A314),"")</f>
        <v/>
      </c>
      <c r="J314" s="65">
        <f>IF(OR($H314="",$I314="",$G314=""),"",MAX(1,(YEAR($I314)-YEAR($H314))*12+MONTH($I314)-MONTH($H314)+1))</f>
        <v/>
      </c>
      <c r="K314" s="68">
        <f>IF($J314="","",$G314/$J314)</f>
        <v/>
      </c>
      <c r="L314" s="68">
        <f>IF($J314="",0,$K314*MAX(0,MIN(YEAR($C$3)*12+MONTH($C$3),YEAR($I314)*12+MONTH($I314))-(YEAR($H314)*12+MONTH($H314))+1))</f>
        <v/>
      </c>
      <c r="M314" s="68">
        <f>IF($J314="",0,$K314*MAX(0,MIN(YEAR($C$3)*12+MONTH($C$3)-1,YEAR($I314)*12+MONTH($I314))-(YEAR($H314)*12+MONTH($H314))+1))</f>
        <v/>
      </c>
      <c r="N314" s="68">
        <f>IF(OR($J314="",$B314=""),0,IF(YEAR($B314)*12+MONTH($B314)&lt;=YEAR($C$3)*12+MONTH($C$3),$G314,0))</f>
        <v/>
      </c>
      <c r="O314" s="68">
        <f>IF(OR($J314="",$B314=""),0,IF(YEAR($B314)*12+MONTH($B314)&lt;=YEAR($C$3)*12+MONTH($C$3)-1,$G314,0))</f>
        <v/>
      </c>
      <c r="P314" s="68">
        <f>$M314-$O314</f>
        <v/>
      </c>
      <c r="Q314" s="68">
        <f>($L314-$M314)-($N314-$O314)</f>
        <v/>
      </c>
      <c r="R314" s="68">
        <f>$L314-$N314</f>
        <v/>
      </c>
      <c r="S314" s="67">
        <f>"Finance invoice"</f>
        <v/>
      </c>
      <c r="T314" s="67">
        <f>"Revenue"</f>
        <v/>
      </c>
    </row>
    <row r="315">
      <c r="A315" s="65">
        <f>ROW()-5</f>
        <v/>
      </c>
      <c r="B315" s="66">
        <f>IFERROR(INDEX(tbl_Finance[Date],$A315),"")</f>
        <v/>
      </c>
      <c r="C315" s="67">
        <f>IFERROR(INDEX(tbl_Finance[Xero Invoice No],$A315),"")</f>
        <v/>
      </c>
      <c r="D315" s="67">
        <f>IFERROR(INDEX(tbl_Finance[Client],$A315),"")</f>
        <v/>
      </c>
      <c r="E315" s="67">
        <f>IFERROR(INDEX(tbl_Finance[Job Number],$A315),"")</f>
        <v/>
      </c>
      <c r="F315" s="67">
        <f>IFERROR(INDEX(tbl_Finance[Cost Centre],$A315),"")</f>
        <v/>
      </c>
      <c r="G315" s="68">
        <f>IFERROR(INDEX(tbl_Finance[Ex GST],$A315),"")</f>
        <v/>
      </c>
      <c r="H315" s="66">
        <f>IFERROR(INDEX(tbl_Finance[Defer Start],$A315),"")</f>
        <v/>
      </c>
      <c r="I315" s="66">
        <f>IFERROR(INDEX(tbl_Finance[Defer End],$A315),"")</f>
        <v/>
      </c>
      <c r="J315" s="65">
        <f>IF(OR($H315="",$I315="",$G315=""),"",MAX(1,(YEAR($I315)-YEAR($H315))*12+MONTH($I315)-MONTH($H315)+1))</f>
        <v/>
      </c>
      <c r="K315" s="68">
        <f>IF($J315="","",$G315/$J315)</f>
        <v/>
      </c>
      <c r="L315" s="68">
        <f>IF($J315="",0,$K315*MAX(0,MIN(YEAR($C$3)*12+MONTH($C$3),YEAR($I315)*12+MONTH($I315))-(YEAR($H315)*12+MONTH($H315))+1))</f>
        <v/>
      </c>
      <c r="M315" s="68">
        <f>IF($J315="",0,$K315*MAX(0,MIN(YEAR($C$3)*12+MONTH($C$3)-1,YEAR($I315)*12+MONTH($I315))-(YEAR($H315)*12+MONTH($H315))+1))</f>
        <v/>
      </c>
      <c r="N315" s="68">
        <f>IF(OR($J315="",$B315=""),0,IF(YEAR($B315)*12+MONTH($B315)&lt;=YEAR($C$3)*12+MONTH($C$3),$G315,0))</f>
        <v/>
      </c>
      <c r="O315" s="68">
        <f>IF(OR($J315="",$B315=""),0,IF(YEAR($B315)*12+MONTH($B315)&lt;=YEAR($C$3)*12+MONTH($C$3)-1,$G315,0))</f>
        <v/>
      </c>
      <c r="P315" s="68">
        <f>$M315-$O315</f>
        <v/>
      </c>
      <c r="Q315" s="68">
        <f>($L315-$M315)-($N315-$O315)</f>
        <v/>
      </c>
      <c r="R315" s="68">
        <f>$L315-$N315</f>
        <v/>
      </c>
      <c r="S315" s="67">
        <f>"Finance invoice"</f>
        <v/>
      </c>
      <c r="T315" s="67">
        <f>"Revenue"</f>
        <v/>
      </c>
    </row>
    <row r="316">
      <c r="A316" s="65">
        <f>ROW()-5</f>
        <v/>
      </c>
      <c r="B316" s="66">
        <f>IFERROR(INDEX(tbl_Finance[Date],$A316),"")</f>
        <v/>
      </c>
      <c r="C316" s="67">
        <f>IFERROR(INDEX(tbl_Finance[Xero Invoice No],$A316),"")</f>
        <v/>
      </c>
      <c r="D316" s="67">
        <f>IFERROR(INDEX(tbl_Finance[Client],$A316),"")</f>
        <v/>
      </c>
      <c r="E316" s="67">
        <f>IFERROR(INDEX(tbl_Finance[Job Number],$A316),"")</f>
        <v/>
      </c>
      <c r="F316" s="67">
        <f>IFERROR(INDEX(tbl_Finance[Cost Centre],$A316),"")</f>
        <v/>
      </c>
      <c r="G316" s="68">
        <f>IFERROR(INDEX(tbl_Finance[Ex GST],$A316),"")</f>
        <v/>
      </c>
      <c r="H316" s="66">
        <f>IFERROR(INDEX(tbl_Finance[Defer Start],$A316),"")</f>
        <v/>
      </c>
      <c r="I316" s="66">
        <f>IFERROR(INDEX(tbl_Finance[Defer End],$A316),"")</f>
        <v/>
      </c>
      <c r="J316" s="65">
        <f>IF(OR($H316="",$I316="",$G316=""),"",MAX(1,(YEAR($I316)-YEAR($H316))*12+MONTH($I316)-MONTH($H316)+1))</f>
        <v/>
      </c>
      <c r="K316" s="68">
        <f>IF($J316="","",$G316/$J316)</f>
        <v/>
      </c>
      <c r="L316" s="68">
        <f>IF($J316="",0,$K316*MAX(0,MIN(YEAR($C$3)*12+MONTH($C$3),YEAR($I316)*12+MONTH($I316))-(YEAR($H316)*12+MONTH($H316))+1))</f>
        <v/>
      </c>
      <c r="M316" s="68">
        <f>IF($J316="",0,$K316*MAX(0,MIN(YEAR($C$3)*12+MONTH($C$3)-1,YEAR($I316)*12+MONTH($I316))-(YEAR($H316)*12+MONTH($H316))+1))</f>
        <v/>
      </c>
      <c r="N316" s="68">
        <f>IF(OR($J316="",$B316=""),0,IF(YEAR($B316)*12+MONTH($B316)&lt;=YEAR($C$3)*12+MONTH($C$3),$G316,0))</f>
        <v/>
      </c>
      <c r="O316" s="68">
        <f>IF(OR($J316="",$B316=""),0,IF(YEAR($B316)*12+MONTH($B316)&lt;=YEAR($C$3)*12+MONTH($C$3)-1,$G316,0))</f>
        <v/>
      </c>
      <c r="P316" s="68">
        <f>$M316-$O316</f>
        <v/>
      </c>
      <c r="Q316" s="68">
        <f>($L316-$M316)-($N316-$O316)</f>
        <v/>
      </c>
      <c r="R316" s="68">
        <f>$L316-$N316</f>
        <v/>
      </c>
      <c r="S316" s="67">
        <f>"Finance invoice"</f>
        <v/>
      </c>
      <c r="T316" s="67">
        <f>"Revenue"</f>
        <v/>
      </c>
    </row>
    <row r="317">
      <c r="A317" s="65">
        <f>ROW()-5</f>
        <v/>
      </c>
      <c r="B317" s="66">
        <f>IFERROR(INDEX(tbl_Finance[Date],$A317),"")</f>
        <v/>
      </c>
      <c r="C317" s="67">
        <f>IFERROR(INDEX(tbl_Finance[Xero Invoice No],$A317),"")</f>
        <v/>
      </c>
      <c r="D317" s="67">
        <f>IFERROR(INDEX(tbl_Finance[Client],$A317),"")</f>
        <v/>
      </c>
      <c r="E317" s="67">
        <f>IFERROR(INDEX(tbl_Finance[Job Number],$A317),"")</f>
        <v/>
      </c>
      <c r="F317" s="67">
        <f>IFERROR(INDEX(tbl_Finance[Cost Centre],$A317),"")</f>
        <v/>
      </c>
      <c r="G317" s="68">
        <f>IFERROR(INDEX(tbl_Finance[Ex GST],$A317),"")</f>
        <v/>
      </c>
      <c r="H317" s="66">
        <f>IFERROR(INDEX(tbl_Finance[Defer Start],$A317),"")</f>
        <v/>
      </c>
      <c r="I317" s="66">
        <f>IFERROR(INDEX(tbl_Finance[Defer End],$A317),"")</f>
        <v/>
      </c>
      <c r="J317" s="65">
        <f>IF(OR($H317="",$I317="",$G317=""),"",MAX(1,(YEAR($I317)-YEAR($H317))*12+MONTH($I317)-MONTH($H317)+1))</f>
        <v/>
      </c>
      <c r="K317" s="68">
        <f>IF($J317="","",$G317/$J317)</f>
        <v/>
      </c>
      <c r="L317" s="68">
        <f>IF($J317="",0,$K317*MAX(0,MIN(YEAR($C$3)*12+MONTH($C$3),YEAR($I317)*12+MONTH($I317))-(YEAR($H317)*12+MONTH($H317))+1))</f>
        <v/>
      </c>
      <c r="M317" s="68">
        <f>IF($J317="",0,$K317*MAX(0,MIN(YEAR($C$3)*12+MONTH($C$3)-1,YEAR($I317)*12+MONTH($I317))-(YEAR($H317)*12+MONTH($H317))+1))</f>
        <v/>
      </c>
      <c r="N317" s="68">
        <f>IF(OR($J317="",$B317=""),0,IF(YEAR($B317)*12+MONTH($B317)&lt;=YEAR($C$3)*12+MONTH($C$3),$G317,0))</f>
        <v/>
      </c>
      <c r="O317" s="68">
        <f>IF(OR($J317="",$B317=""),0,IF(YEAR($B317)*12+MONTH($B317)&lt;=YEAR($C$3)*12+MONTH($C$3)-1,$G317,0))</f>
        <v/>
      </c>
      <c r="P317" s="68">
        <f>$M317-$O317</f>
        <v/>
      </c>
      <c r="Q317" s="68">
        <f>($L317-$M317)-($N317-$O317)</f>
        <v/>
      </c>
      <c r="R317" s="68">
        <f>$L317-$N317</f>
        <v/>
      </c>
      <c r="S317" s="67">
        <f>"Finance invoice"</f>
        <v/>
      </c>
      <c r="T317" s="67">
        <f>"Revenue"</f>
        <v/>
      </c>
    </row>
    <row r="318">
      <c r="A318" s="65">
        <f>ROW()-5</f>
        <v/>
      </c>
      <c r="B318" s="66">
        <f>IFERROR(INDEX(tbl_Finance[Date],$A318),"")</f>
        <v/>
      </c>
      <c r="C318" s="67">
        <f>IFERROR(INDEX(tbl_Finance[Xero Invoice No],$A318),"")</f>
        <v/>
      </c>
      <c r="D318" s="67">
        <f>IFERROR(INDEX(tbl_Finance[Client],$A318),"")</f>
        <v/>
      </c>
      <c r="E318" s="67">
        <f>IFERROR(INDEX(tbl_Finance[Job Number],$A318),"")</f>
        <v/>
      </c>
      <c r="F318" s="67">
        <f>IFERROR(INDEX(tbl_Finance[Cost Centre],$A318),"")</f>
        <v/>
      </c>
      <c r="G318" s="68">
        <f>IFERROR(INDEX(tbl_Finance[Ex GST],$A318),"")</f>
        <v/>
      </c>
      <c r="H318" s="66">
        <f>IFERROR(INDEX(tbl_Finance[Defer Start],$A318),"")</f>
        <v/>
      </c>
      <c r="I318" s="66">
        <f>IFERROR(INDEX(tbl_Finance[Defer End],$A318),"")</f>
        <v/>
      </c>
      <c r="J318" s="65">
        <f>IF(OR($H318="",$I318="",$G318=""),"",MAX(1,(YEAR($I318)-YEAR($H318))*12+MONTH($I318)-MONTH($H318)+1))</f>
        <v/>
      </c>
      <c r="K318" s="68">
        <f>IF($J318="","",$G318/$J318)</f>
        <v/>
      </c>
      <c r="L318" s="68">
        <f>IF($J318="",0,$K318*MAX(0,MIN(YEAR($C$3)*12+MONTH($C$3),YEAR($I318)*12+MONTH($I318))-(YEAR($H318)*12+MONTH($H318))+1))</f>
        <v/>
      </c>
      <c r="M318" s="68">
        <f>IF($J318="",0,$K318*MAX(0,MIN(YEAR($C$3)*12+MONTH($C$3)-1,YEAR($I318)*12+MONTH($I318))-(YEAR($H318)*12+MONTH($H318))+1))</f>
        <v/>
      </c>
      <c r="N318" s="68">
        <f>IF(OR($J318="",$B318=""),0,IF(YEAR($B318)*12+MONTH($B318)&lt;=YEAR($C$3)*12+MONTH($C$3),$G318,0))</f>
        <v/>
      </c>
      <c r="O318" s="68">
        <f>IF(OR($J318="",$B318=""),0,IF(YEAR($B318)*12+MONTH($B318)&lt;=YEAR($C$3)*12+MONTH($C$3)-1,$G318,0))</f>
        <v/>
      </c>
      <c r="P318" s="68">
        <f>$M318-$O318</f>
        <v/>
      </c>
      <c r="Q318" s="68">
        <f>($L318-$M318)-($N318-$O318)</f>
        <v/>
      </c>
      <c r="R318" s="68">
        <f>$L318-$N318</f>
        <v/>
      </c>
      <c r="S318" s="67">
        <f>"Finance invoice"</f>
        <v/>
      </c>
      <c r="T318" s="67">
        <f>"Revenue"</f>
        <v/>
      </c>
    </row>
    <row r="319">
      <c r="A319" s="65">
        <f>ROW()-5</f>
        <v/>
      </c>
      <c r="B319" s="66">
        <f>IFERROR(INDEX(tbl_Finance[Date],$A319),"")</f>
        <v/>
      </c>
      <c r="C319" s="67">
        <f>IFERROR(INDEX(tbl_Finance[Xero Invoice No],$A319),"")</f>
        <v/>
      </c>
      <c r="D319" s="67">
        <f>IFERROR(INDEX(tbl_Finance[Client],$A319),"")</f>
        <v/>
      </c>
      <c r="E319" s="67">
        <f>IFERROR(INDEX(tbl_Finance[Job Number],$A319),"")</f>
        <v/>
      </c>
      <c r="F319" s="67">
        <f>IFERROR(INDEX(tbl_Finance[Cost Centre],$A319),"")</f>
        <v/>
      </c>
      <c r="G319" s="68">
        <f>IFERROR(INDEX(tbl_Finance[Ex GST],$A319),"")</f>
        <v/>
      </c>
      <c r="H319" s="66">
        <f>IFERROR(INDEX(tbl_Finance[Defer Start],$A319),"")</f>
        <v/>
      </c>
      <c r="I319" s="66">
        <f>IFERROR(INDEX(tbl_Finance[Defer End],$A319),"")</f>
        <v/>
      </c>
      <c r="J319" s="65">
        <f>IF(OR($H319="",$I319="",$G319=""),"",MAX(1,(YEAR($I319)-YEAR($H319))*12+MONTH($I319)-MONTH($H319)+1))</f>
        <v/>
      </c>
      <c r="K319" s="68">
        <f>IF($J319="","",$G319/$J319)</f>
        <v/>
      </c>
      <c r="L319" s="68">
        <f>IF($J319="",0,$K319*MAX(0,MIN(YEAR($C$3)*12+MONTH($C$3),YEAR($I319)*12+MONTH($I319))-(YEAR($H319)*12+MONTH($H319))+1))</f>
        <v/>
      </c>
      <c r="M319" s="68">
        <f>IF($J319="",0,$K319*MAX(0,MIN(YEAR($C$3)*12+MONTH($C$3)-1,YEAR($I319)*12+MONTH($I319))-(YEAR($H319)*12+MONTH($H319))+1))</f>
        <v/>
      </c>
      <c r="N319" s="68">
        <f>IF(OR($J319="",$B319=""),0,IF(YEAR($B319)*12+MONTH($B319)&lt;=YEAR($C$3)*12+MONTH($C$3),$G319,0))</f>
        <v/>
      </c>
      <c r="O319" s="68">
        <f>IF(OR($J319="",$B319=""),0,IF(YEAR($B319)*12+MONTH($B319)&lt;=YEAR($C$3)*12+MONTH($C$3)-1,$G319,0))</f>
        <v/>
      </c>
      <c r="P319" s="68">
        <f>$M319-$O319</f>
        <v/>
      </c>
      <c r="Q319" s="68">
        <f>($L319-$M319)-($N319-$O319)</f>
        <v/>
      </c>
      <c r="R319" s="68">
        <f>$L319-$N319</f>
        <v/>
      </c>
      <c r="S319" s="67">
        <f>"Finance invoice"</f>
        <v/>
      </c>
      <c r="T319" s="67">
        <f>"Revenue"</f>
        <v/>
      </c>
    </row>
    <row r="320">
      <c r="A320" s="65">
        <f>ROW()-5</f>
        <v/>
      </c>
      <c r="B320" s="66">
        <f>IFERROR(INDEX(tbl_Finance[Date],$A320),"")</f>
        <v/>
      </c>
      <c r="C320" s="67">
        <f>IFERROR(INDEX(tbl_Finance[Xero Invoice No],$A320),"")</f>
        <v/>
      </c>
      <c r="D320" s="67">
        <f>IFERROR(INDEX(tbl_Finance[Client],$A320),"")</f>
        <v/>
      </c>
      <c r="E320" s="67">
        <f>IFERROR(INDEX(tbl_Finance[Job Number],$A320),"")</f>
        <v/>
      </c>
      <c r="F320" s="67">
        <f>IFERROR(INDEX(tbl_Finance[Cost Centre],$A320),"")</f>
        <v/>
      </c>
      <c r="G320" s="68">
        <f>IFERROR(INDEX(tbl_Finance[Ex GST],$A320),"")</f>
        <v/>
      </c>
      <c r="H320" s="66">
        <f>IFERROR(INDEX(tbl_Finance[Defer Start],$A320),"")</f>
        <v/>
      </c>
      <c r="I320" s="66">
        <f>IFERROR(INDEX(tbl_Finance[Defer End],$A320),"")</f>
        <v/>
      </c>
      <c r="J320" s="65">
        <f>IF(OR($H320="",$I320="",$G320=""),"",MAX(1,(YEAR($I320)-YEAR($H320))*12+MONTH($I320)-MONTH($H320)+1))</f>
        <v/>
      </c>
      <c r="K320" s="68">
        <f>IF($J320="","",$G320/$J320)</f>
        <v/>
      </c>
      <c r="L320" s="68">
        <f>IF($J320="",0,$K320*MAX(0,MIN(YEAR($C$3)*12+MONTH($C$3),YEAR($I320)*12+MONTH($I320))-(YEAR($H320)*12+MONTH($H320))+1))</f>
        <v/>
      </c>
      <c r="M320" s="68">
        <f>IF($J320="",0,$K320*MAX(0,MIN(YEAR($C$3)*12+MONTH($C$3)-1,YEAR($I320)*12+MONTH($I320))-(YEAR($H320)*12+MONTH($H320))+1))</f>
        <v/>
      </c>
      <c r="N320" s="68">
        <f>IF(OR($J320="",$B320=""),0,IF(YEAR($B320)*12+MONTH($B320)&lt;=YEAR($C$3)*12+MONTH($C$3),$G320,0))</f>
        <v/>
      </c>
      <c r="O320" s="68">
        <f>IF(OR($J320="",$B320=""),0,IF(YEAR($B320)*12+MONTH($B320)&lt;=YEAR($C$3)*12+MONTH($C$3)-1,$G320,0))</f>
        <v/>
      </c>
      <c r="P320" s="68">
        <f>$M320-$O320</f>
        <v/>
      </c>
      <c r="Q320" s="68">
        <f>($L320-$M320)-($N320-$O320)</f>
        <v/>
      </c>
      <c r="R320" s="68">
        <f>$L320-$N320</f>
        <v/>
      </c>
      <c r="S320" s="67">
        <f>"Finance invoice"</f>
        <v/>
      </c>
      <c r="T320" s="67">
        <f>"Revenue"</f>
        <v/>
      </c>
    </row>
    <row r="321">
      <c r="A321" s="65">
        <f>ROW()-5</f>
        <v/>
      </c>
      <c r="B321" s="66">
        <f>IFERROR(INDEX(tbl_Finance[Date],$A321),"")</f>
        <v/>
      </c>
      <c r="C321" s="67">
        <f>IFERROR(INDEX(tbl_Finance[Xero Invoice No],$A321),"")</f>
        <v/>
      </c>
      <c r="D321" s="67">
        <f>IFERROR(INDEX(tbl_Finance[Client],$A321),"")</f>
        <v/>
      </c>
      <c r="E321" s="67">
        <f>IFERROR(INDEX(tbl_Finance[Job Number],$A321),"")</f>
        <v/>
      </c>
      <c r="F321" s="67">
        <f>IFERROR(INDEX(tbl_Finance[Cost Centre],$A321),"")</f>
        <v/>
      </c>
      <c r="G321" s="68">
        <f>IFERROR(INDEX(tbl_Finance[Ex GST],$A321),"")</f>
        <v/>
      </c>
      <c r="H321" s="66">
        <f>IFERROR(INDEX(tbl_Finance[Defer Start],$A321),"")</f>
        <v/>
      </c>
      <c r="I321" s="66">
        <f>IFERROR(INDEX(tbl_Finance[Defer End],$A321),"")</f>
        <v/>
      </c>
      <c r="J321" s="65">
        <f>IF(OR($H321="",$I321="",$G321=""),"",MAX(1,(YEAR($I321)-YEAR($H321))*12+MONTH($I321)-MONTH($H321)+1))</f>
        <v/>
      </c>
      <c r="K321" s="68">
        <f>IF($J321="","",$G321/$J321)</f>
        <v/>
      </c>
      <c r="L321" s="68">
        <f>IF($J321="",0,$K321*MAX(0,MIN(YEAR($C$3)*12+MONTH($C$3),YEAR($I321)*12+MONTH($I321))-(YEAR($H321)*12+MONTH($H321))+1))</f>
        <v/>
      </c>
      <c r="M321" s="68">
        <f>IF($J321="",0,$K321*MAX(0,MIN(YEAR($C$3)*12+MONTH($C$3)-1,YEAR($I321)*12+MONTH($I321))-(YEAR($H321)*12+MONTH($H321))+1))</f>
        <v/>
      </c>
      <c r="N321" s="68">
        <f>IF(OR($J321="",$B321=""),0,IF(YEAR($B321)*12+MONTH($B321)&lt;=YEAR($C$3)*12+MONTH($C$3),$G321,0))</f>
        <v/>
      </c>
      <c r="O321" s="68">
        <f>IF(OR($J321="",$B321=""),0,IF(YEAR($B321)*12+MONTH($B321)&lt;=YEAR($C$3)*12+MONTH($C$3)-1,$G321,0))</f>
        <v/>
      </c>
      <c r="P321" s="68">
        <f>$M321-$O321</f>
        <v/>
      </c>
      <c r="Q321" s="68">
        <f>($L321-$M321)-($N321-$O321)</f>
        <v/>
      </c>
      <c r="R321" s="68">
        <f>$L321-$N321</f>
        <v/>
      </c>
      <c r="S321" s="67">
        <f>"Finance invoice"</f>
        <v/>
      </c>
      <c r="T321" s="67">
        <f>"Revenue"</f>
        <v/>
      </c>
    </row>
    <row r="322">
      <c r="A322" s="65">
        <f>ROW()-5</f>
        <v/>
      </c>
      <c r="B322" s="66">
        <f>IFERROR(INDEX(tbl_Finance[Date],$A322),"")</f>
        <v/>
      </c>
      <c r="C322" s="67">
        <f>IFERROR(INDEX(tbl_Finance[Xero Invoice No],$A322),"")</f>
        <v/>
      </c>
      <c r="D322" s="67">
        <f>IFERROR(INDEX(tbl_Finance[Client],$A322),"")</f>
        <v/>
      </c>
      <c r="E322" s="67">
        <f>IFERROR(INDEX(tbl_Finance[Job Number],$A322),"")</f>
        <v/>
      </c>
      <c r="F322" s="67">
        <f>IFERROR(INDEX(tbl_Finance[Cost Centre],$A322),"")</f>
        <v/>
      </c>
      <c r="G322" s="68">
        <f>IFERROR(INDEX(tbl_Finance[Ex GST],$A322),"")</f>
        <v/>
      </c>
      <c r="H322" s="66">
        <f>IFERROR(INDEX(tbl_Finance[Defer Start],$A322),"")</f>
        <v/>
      </c>
      <c r="I322" s="66">
        <f>IFERROR(INDEX(tbl_Finance[Defer End],$A322),"")</f>
        <v/>
      </c>
      <c r="J322" s="65">
        <f>IF(OR($H322="",$I322="",$G322=""),"",MAX(1,(YEAR($I322)-YEAR($H322))*12+MONTH($I322)-MONTH($H322)+1))</f>
        <v/>
      </c>
      <c r="K322" s="68">
        <f>IF($J322="","",$G322/$J322)</f>
        <v/>
      </c>
      <c r="L322" s="68">
        <f>IF($J322="",0,$K322*MAX(0,MIN(YEAR($C$3)*12+MONTH($C$3),YEAR($I322)*12+MONTH($I322))-(YEAR($H322)*12+MONTH($H322))+1))</f>
        <v/>
      </c>
      <c r="M322" s="68">
        <f>IF($J322="",0,$K322*MAX(0,MIN(YEAR($C$3)*12+MONTH($C$3)-1,YEAR($I322)*12+MONTH($I322))-(YEAR($H322)*12+MONTH($H322))+1))</f>
        <v/>
      </c>
      <c r="N322" s="68">
        <f>IF(OR($J322="",$B322=""),0,IF(YEAR($B322)*12+MONTH($B322)&lt;=YEAR($C$3)*12+MONTH($C$3),$G322,0))</f>
        <v/>
      </c>
      <c r="O322" s="68">
        <f>IF(OR($J322="",$B322=""),0,IF(YEAR($B322)*12+MONTH($B322)&lt;=YEAR($C$3)*12+MONTH($C$3)-1,$G322,0))</f>
        <v/>
      </c>
      <c r="P322" s="68">
        <f>$M322-$O322</f>
        <v/>
      </c>
      <c r="Q322" s="68">
        <f>($L322-$M322)-($N322-$O322)</f>
        <v/>
      </c>
      <c r="R322" s="68">
        <f>$L322-$N322</f>
        <v/>
      </c>
      <c r="S322" s="67">
        <f>"Finance invoice"</f>
        <v/>
      </c>
      <c r="T322" s="67">
        <f>"Revenue"</f>
        <v/>
      </c>
    </row>
    <row r="323">
      <c r="A323" s="65">
        <f>ROW()-5</f>
        <v/>
      </c>
      <c r="B323" s="66">
        <f>IFERROR(INDEX(tbl_Finance[Date],$A323),"")</f>
        <v/>
      </c>
      <c r="C323" s="67">
        <f>IFERROR(INDEX(tbl_Finance[Xero Invoice No],$A323),"")</f>
        <v/>
      </c>
      <c r="D323" s="67">
        <f>IFERROR(INDEX(tbl_Finance[Client],$A323),"")</f>
        <v/>
      </c>
      <c r="E323" s="67">
        <f>IFERROR(INDEX(tbl_Finance[Job Number],$A323),"")</f>
        <v/>
      </c>
      <c r="F323" s="67">
        <f>IFERROR(INDEX(tbl_Finance[Cost Centre],$A323),"")</f>
        <v/>
      </c>
      <c r="G323" s="68">
        <f>IFERROR(INDEX(tbl_Finance[Ex GST],$A323),"")</f>
        <v/>
      </c>
      <c r="H323" s="66">
        <f>IFERROR(INDEX(tbl_Finance[Defer Start],$A323),"")</f>
        <v/>
      </c>
      <c r="I323" s="66">
        <f>IFERROR(INDEX(tbl_Finance[Defer End],$A323),"")</f>
        <v/>
      </c>
      <c r="J323" s="65">
        <f>IF(OR($H323="",$I323="",$G323=""),"",MAX(1,(YEAR($I323)-YEAR($H323))*12+MONTH($I323)-MONTH($H323)+1))</f>
        <v/>
      </c>
      <c r="K323" s="68">
        <f>IF($J323="","",$G323/$J323)</f>
        <v/>
      </c>
      <c r="L323" s="68">
        <f>IF($J323="",0,$K323*MAX(0,MIN(YEAR($C$3)*12+MONTH($C$3),YEAR($I323)*12+MONTH($I323))-(YEAR($H323)*12+MONTH($H323))+1))</f>
        <v/>
      </c>
      <c r="M323" s="68">
        <f>IF($J323="",0,$K323*MAX(0,MIN(YEAR($C$3)*12+MONTH($C$3)-1,YEAR($I323)*12+MONTH($I323))-(YEAR($H323)*12+MONTH($H323))+1))</f>
        <v/>
      </c>
      <c r="N323" s="68">
        <f>IF(OR($J323="",$B323=""),0,IF(YEAR($B323)*12+MONTH($B323)&lt;=YEAR($C$3)*12+MONTH($C$3),$G323,0))</f>
        <v/>
      </c>
      <c r="O323" s="68">
        <f>IF(OR($J323="",$B323=""),0,IF(YEAR($B323)*12+MONTH($B323)&lt;=YEAR($C$3)*12+MONTH($C$3)-1,$G323,0))</f>
        <v/>
      </c>
      <c r="P323" s="68">
        <f>$M323-$O323</f>
        <v/>
      </c>
      <c r="Q323" s="68">
        <f>($L323-$M323)-($N323-$O323)</f>
        <v/>
      </c>
      <c r="R323" s="68">
        <f>$L323-$N323</f>
        <v/>
      </c>
      <c r="S323" s="67">
        <f>"Finance invoice"</f>
        <v/>
      </c>
      <c r="T323" s="67">
        <f>"Revenue"</f>
        <v/>
      </c>
    </row>
    <row r="324">
      <c r="A324" s="65">
        <f>ROW()-5</f>
        <v/>
      </c>
      <c r="B324" s="66">
        <f>IFERROR(INDEX(tbl_Finance[Date],$A324),"")</f>
        <v/>
      </c>
      <c r="C324" s="67">
        <f>IFERROR(INDEX(tbl_Finance[Xero Invoice No],$A324),"")</f>
        <v/>
      </c>
      <c r="D324" s="67">
        <f>IFERROR(INDEX(tbl_Finance[Client],$A324),"")</f>
        <v/>
      </c>
      <c r="E324" s="67">
        <f>IFERROR(INDEX(tbl_Finance[Job Number],$A324),"")</f>
        <v/>
      </c>
      <c r="F324" s="67">
        <f>IFERROR(INDEX(tbl_Finance[Cost Centre],$A324),"")</f>
        <v/>
      </c>
      <c r="G324" s="68">
        <f>IFERROR(INDEX(tbl_Finance[Ex GST],$A324),"")</f>
        <v/>
      </c>
      <c r="H324" s="66">
        <f>IFERROR(INDEX(tbl_Finance[Defer Start],$A324),"")</f>
        <v/>
      </c>
      <c r="I324" s="66">
        <f>IFERROR(INDEX(tbl_Finance[Defer End],$A324),"")</f>
        <v/>
      </c>
      <c r="J324" s="65">
        <f>IF(OR($H324="",$I324="",$G324=""),"",MAX(1,(YEAR($I324)-YEAR($H324))*12+MONTH($I324)-MONTH($H324)+1))</f>
        <v/>
      </c>
      <c r="K324" s="68">
        <f>IF($J324="","",$G324/$J324)</f>
        <v/>
      </c>
      <c r="L324" s="68">
        <f>IF($J324="",0,$K324*MAX(0,MIN(YEAR($C$3)*12+MONTH($C$3),YEAR($I324)*12+MONTH($I324))-(YEAR($H324)*12+MONTH($H324))+1))</f>
        <v/>
      </c>
      <c r="M324" s="68">
        <f>IF($J324="",0,$K324*MAX(0,MIN(YEAR($C$3)*12+MONTH($C$3)-1,YEAR($I324)*12+MONTH($I324))-(YEAR($H324)*12+MONTH($H324))+1))</f>
        <v/>
      </c>
      <c r="N324" s="68">
        <f>IF(OR($J324="",$B324=""),0,IF(YEAR($B324)*12+MONTH($B324)&lt;=YEAR($C$3)*12+MONTH($C$3),$G324,0))</f>
        <v/>
      </c>
      <c r="O324" s="68">
        <f>IF(OR($J324="",$B324=""),0,IF(YEAR($B324)*12+MONTH($B324)&lt;=YEAR($C$3)*12+MONTH($C$3)-1,$G324,0))</f>
        <v/>
      </c>
      <c r="P324" s="68">
        <f>$M324-$O324</f>
        <v/>
      </c>
      <c r="Q324" s="68">
        <f>($L324-$M324)-($N324-$O324)</f>
        <v/>
      </c>
      <c r="R324" s="68">
        <f>$L324-$N324</f>
        <v/>
      </c>
      <c r="S324" s="67">
        <f>"Finance invoice"</f>
        <v/>
      </c>
      <c r="T324" s="67">
        <f>"Revenue"</f>
        <v/>
      </c>
    </row>
    <row r="325">
      <c r="A325" s="65">
        <f>ROW()-5</f>
        <v/>
      </c>
      <c r="B325" s="66">
        <f>IFERROR(INDEX(tbl_Finance[Date],$A325),"")</f>
        <v/>
      </c>
      <c r="C325" s="67">
        <f>IFERROR(INDEX(tbl_Finance[Xero Invoice No],$A325),"")</f>
        <v/>
      </c>
      <c r="D325" s="67">
        <f>IFERROR(INDEX(tbl_Finance[Client],$A325),"")</f>
        <v/>
      </c>
      <c r="E325" s="67">
        <f>IFERROR(INDEX(tbl_Finance[Job Number],$A325),"")</f>
        <v/>
      </c>
      <c r="F325" s="67">
        <f>IFERROR(INDEX(tbl_Finance[Cost Centre],$A325),"")</f>
        <v/>
      </c>
      <c r="G325" s="68">
        <f>IFERROR(INDEX(tbl_Finance[Ex GST],$A325),"")</f>
        <v/>
      </c>
      <c r="H325" s="66">
        <f>IFERROR(INDEX(tbl_Finance[Defer Start],$A325),"")</f>
        <v/>
      </c>
      <c r="I325" s="66">
        <f>IFERROR(INDEX(tbl_Finance[Defer End],$A325),"")</f>
        <v/>
      </c>
      <c r="J325" s="65">
        <f>IF(OR($H325="",$I325="",$G325=""),"",MAX(1,(YEAR($I325)-YEAR($H325))*12+MONTH($I325)-MONTH($H325)+1))</f>
        <v/>
      </c>
      <c r="K325" s="68">
        <f>IF($J325="","",$G325/$J325)</f>
        <v/>
      </c>
      <c r="L325" s="68">
        <f>IF($J325="",0,$K325*MAX(0,MIN(YEAR($C$3)*12+MONTH($C$3),YEAR($I325)*12+MONTH($I325))-(YEAR($H325)*12+MONTH($H325))+1))</f>
        <v/>
      </c>
      <c r="M325" s="68">
        <f>IF($J325="",0,$K325*MAX(0,MIN(YEAR($C$3)*12+MONTH($C$3)-1,YEAR($I325)*12+MONTH($I325))-(YEAR($H325)*12+MONTH($H325))+1))</f>
        <v/>
      </c>
      <c r="N325" s="68">
        <f>IF(OR($J325="",$B325=""),0,IF(YEAR($B325)*12+MONTH($B325)&lt;=YEAR($C$3)*12+MONTH($C$3),$G325,0))</f>
        <v/>
      </c>
      <c r="O325" s="68">
        <f>IF(OR($J325="",$B325=""),0,IF(YEAR($B325)*12+MONTH($B325)&lt;=YEAR($C$3)*12+MONTH($C$3)-1,$G325,0))</f>
        <v/>
      </c>
      <c r="P325" s="68">
        <f>$M325-$O325</f>
        <v/>
      </c>
      <c r="Q325" s="68">
        <f>($L325-$M325)-($N325-$O325)</f>
        <v/>
      </c>
      <c r="R325" s="68">
        <f>$L325-$N325</f>
        <v/>
      </c>
      <c r="S325" s="67">
        <f>"Finance invoice"</f>
        <v/>
      </c>
      <c r="T325" s="67">
        <f>"Revenue"</f>
        <v/>
      </c>
    </row>
    <row r="326">
      <c r="A326" s="65">
        <f>ROW()-5</f>
        <v/>
      </c>
      <c r="B326" s="66">
        <f>IFERROR(INDEX(tbl_Finance[Date],$A326),"")</f>
        <v/>
      </c>
      <c r="C326" s="67">
        <f>IFERROR(INDEX(tbl_Finance[Xero Invoice No],$A326),"")</f>
        <v/>
      </c>
      <c r="D326" s="67">
        <f>IFERROR(INDEX(tbl_Finance[Client],$A326),"")</f>
        <v/>
      </c>
      <c r="E326" s="67">
        <f>IFERROR(INDEX(tbl_Finance[Job Number],$A326),"")</f>
        <v/>
      </c>
      <c r="F326" s="67">
        <f>IFERROR(INDEX(tbl_Finance[Cost Centre],$A326),"")</f>
        <v/>
      </c>
      <c r="G326" s="68">
        <f>IFERROR(INDEX(tbl_Finance[Ex GST],$A326),"")</f>
        <v/>
      </c>
      <c r="H326" s="66">
        <f>IFERROR(INDEX(tbl_Finance[Defer Start],$A326),"")</f>
        <v/>
      </c>
      <c r="I326" s="66">
        <f>IFERROR(INDEX(tbl_Finance[Defer End],$A326),"")</f>
        <v/>
      </c>
      <c r="J326" s="65">
        <f>IF(OR($H326="",$I326="",$G326=""),"",MAX(1,(YEAR($I326)-YEAR($H326))*12+MONTH($I326)-MONTH($H326)+1))</f>
        <v/>
      </c>
      <c r="K326" s="68">
        <f>IF($J326="","",$G326/$J326)</f>
        <v/>
      </c>
      <c r="L326" s="68">
        <f>IF($J326="",0,$K326*MAX(0,MIN(YEAR($C$3)*12+MONTH($C$3),YEAR($I326)*12+MONTH($I326))-(YEAR($H326)*12+MONTH($H326))+1))</f>
        <v/>
      </c>
      <c r="M326" s="68">
        <f>IF($J326="",0,$K326*MAX(0,MIN(YEAR($C$3)*12+MONTH($C$3)-1,YEAR($I326)*12+MONTH($I326))-(YEAR($H326)*12+MONTH($H326))+1))</f>
        <v/>
      </c>
      <c r="N326" s="68">
        <f>IF(OR($J326="",$B326=""),0,IF(YEAR($B326)*12+MONTH($B326)&lt;=YEAR($C$3)*12+MONTH($C$3),$G326,0))</f>
        <v/>
      </c>
      <c r="O326" s="68">
        <f>IF(OR($J326="",$B326=""),0,IF(YEAR($B326)*12+MONTH($B326)&lt;=YEAR($C$3)*12+MONTH($C$3)-1,$G326,0))</f>
        <v/>
      </c>
      <c r="P326" s="68">
        <f>$M326-$O326</f>
        <v/>
      </c>
      <c r="Q326" s="68">
        <f>($L326-$M326)-($N326-$O326)</f>
        <v/>
      </c>
      <c r="R326" s="68">
        <f>$L326-$N326</f>
        <v/>
      </c>
      <c r="S326" s="67">
        <f>"Finance invoice"</f>
        <v/>
      </c>
      <c r="T326" s="67">
        <f>"Revenue"</f>
        <v/>
      </c>
    </row>
    <row r="327">
      <c r="A327" s="65">
        <f>ROW()-5</f>
        <v/>
      </c>
      <c r="B327" s="66">
        <f>IFERROR(INDEX(tbl_Finance[Date],$A327),"")</f>
        <v/>
      </c>
      <c r="C327" s="67">
        <f>IFERROR(INDEX(tbl_Finance[Xero Invoice No],$A327),"")</f>
        <v/>
      </c>
      <c r="D327" s="67">
        <f>IFERROR(INDEX(tbl_Finance[Client],$A327),"")</f>
        <v/>
      </c>
      <c r="E327" s="67">
        <f>IFERROR(INDEX(tbl_Finance[Job Number],$A327),"")</f>
        <v/>
      </c>
      <c r="F327" s="67">
        <f>IFERROR(INDEX(tbl_Finance[Cost Centre],$A327),"")</f>
        <v/>
      </c>
      <c r="G327" s="68">
        <f>IFERROR(INDEX(tbl_Finance[Ex GST],$A327),"")</f>
        <v/>
      </c>
      <c r="H327" s="66">
        <f>IFERROR(INDEX(tbl_Finance[Defer Start],$A327),"")</f>
        <v/>
      </c>
      <c r="I327" s="66">
        <f>IFERROR(INDEX(tbl_Finance[Defer End],$A327),"")</f>
        <v/>
      </c>
      <c r="J327" s="65">
        <f>IF(OR($H327="",$I327="",$G327=""),"",MAX(1,(YEAR($I327)-YEAR($H327))*12+MONTH($I327)-MONTH($H327)+1))</f>
        <v/>
      </c>
      <c r="K327" s="68">
        <f>IF($J327="","",$G327/$J327)</f>
        <v/>
      </c>
      <c r="L327" s="68">
        <f>IF($J327="",0,$K327*MAX(0,MIN(YEAR($C$3)*12+MONTH($C$3),YEAR($I327)*12+MONTH($I327))-(YEAR($H327)*12+MONTH($H327))+1))</f>
        <v/>
      </c>
      <c r="M327" s="68">
        <f>IF($J327="",0,$K327*MAX(0,MIN(YEAR($C$3)*12+MONTH($C$3)-1,YEAR($I327)*12+MONTH($I327))-(YEAR($H327)*12+MONTH($H327))+1))</f>
        <v/>
      </c>
      <c r="N327" s="68">
        <f>IF(OR($J327="",$B327=""),0,IF(YEAR($B327)*12+MONTH($B327)&lt;=YEAR($C$3)*12+MONTH($C$3),$G327,0))</f>
        <v/>
      </c>
      <c r="O327" s="68">
        <f>IF(OR($J327="",$B327=""),0,IF(YEAR($B327)*12+MONTH($B327)&lt;=YEAR($C$3)*12+MONTH($C$3)-1,$G327,0))</f>
        <v/>
      </c>
      <c r="P327" s="68">
        <f>$M327-$O327</f>
        <v/>
      </c>
      <c r="Q327" s="68">
        <f>($L327-$M327)-($N327-$O327)</f>
        <v/>
      </c>
      <c r="R327" s="68">
        <f>$L327-$N327</f>
        <v/>
      </c>
      <c r="S327" s="67">
        <f>"Finance invoice"</f>
        <v/>
      </c>
      <c r="T327" s="67">
        <f>"Revenue"</f>
        <v/>
      </c>
    </row>
    <row r="328">
      <c r="A328" s="65">
        <f>ROW()-5</f>
        <v/>
      </c>
      <c r="B328" s="66">
        <f>IFERROR(INDEX(tbl_Finance[Date],$A328),"")</f>
        <v/>
      </c>
      <c r="C328" s="67">
        <f>IFERROR(INDEX(tbl_Finance[Xero Invoice No],$A328),"")</f>
        <v/>
      </c>
      <c r="D328" s="67">
        <f>IFERROR(INDEX(tbl_Finance[Client],$A328),"")</f>
        <v/>
      </c>
      <c r="E328" s="67">
        <f>IFERROR(INDEX(tbl_Finance[Job Number],$A328),"")</f>
        <v/>
      </c>
      <c r="F328" s="67">
        <f>IFERROR(INDEX(tbl_Finance[Cost Centre],$A328),"")</f>
        <v/>
      </c>
      <c r="G328" s="68">
        <f>IFERROR(INDEX(tbl_Finance[Ex GST],$A328),"")</f>
        <v/>
      </c>
      <c r="H328" s="66">
        <f>IFERROR(INDEX(tbl_Finance[Defer Start],$A328),"")</f>
        <v/>
      </c>
      <c r="I328" s="66">
        <f>IFERROR(INDEX(tbl_Finance[Defer End],$A328),"")</f>
        <v/>
      </c>
      <c r="J328" s="65">
        <f>IF(OR($H328="",$I328="",$G328=""),"",MAX(1,(YEAR($I328)-YEAR($H328))*12+MONTH($I328)-MONTH($H328)+1))</f>
        <v/>
      </c>
      <c r="K328" s="68">
        <f>IF($J328="","",$G328/$J328)</f>
        <v/>
      </c>
      <c r="L328" s="68">
        <f>IF($J328="",0,$K328*MAX(0,MIN(YEAR($C$3)*12+MONTH($C$3),YEAR($I328)*12+MONTH($I328))-(YEAR($H328)*12+MONTH($H328))+1))</f>
        <v/>
      </c>
      <c r="M328" s="68">
        <f>IF($J328="",0,$K328*MAX(0,MIN(YEAR($C$3)*12+MONTH($C$3)-1,YEAR($I328)*12+MONTH($I328))-(YEAR($H328)*12+MONTH($H328))+1))</f>
        <v/>
      </c>
      <c r="N328" s="68">
        <f>IF(OR($J328="",$B328=""),0,IF(YEAR($B328)*12+MONTH($B328)&lt;=YEAR($C$3)*12+MONTH($C$3),$G328,0))</f>
        <v/>
      </c>
      <c r="O328" s="68">
        <f>IF(OR($J328="",$B328=""),0,IF(YEAR($B328)*12+MONTH($B328)&lt;=YEAR($C$3)*12+MONTH($C$3)-1,$G328,0))</f>
        <v/>
      </c>
      <c r="P328" s="68">
        <f>$M328-$O328</f>
        <v/>
      </c>
      <c r="Q328" s="68">
        <f>($L328-$M328)-($N328-$O328)</f>
        <v/>
      </c>
      <c r="R328" s="68">
        <f>$L328-$N328</f>
        <v/>
      </c>
      <c r="S328" s="67">
        <f>"Finance invoice"</f>
        <v/>
      </c>
      <c r="T328" s="67">
        <f>"Revenue"</f>
        <v/>
      </c>
    </row>
    <row r="329">
      <c r="A329" s="65">
        <f>ROW()-5</f>
        <v/>
      </c>
      <c r="B329" s="66">
        <f>IFERROR(INDEX(tbl_Finance[Date],$A329),"")</f>
        <v/>
      </c>
      <c r="C329" s="67">
        <f>IFERROR(INDEX(tbl_Finance[Xero Invoice No],$A329),"")</f>
        <v/>
      </c>
      <c r="D329" s="67">
        <f>IFERROR(INDEX(tbl_Finance[Client],$A329),"")</f>
        <v/>
      </c>
      <c r="E329" s="67">
        <f>IFERROR(INDEX(tbl_Finance[Job Number],$A329),"")</f>
        <v/>
      </c>
      <c r="F329" s="67">
        <f>IFERROR(INDEX(tbl_Finance[Cost Centre],$A329),"")</f>
        <v/>
      </c>
      <c r="G329" s="68">
        <f>IFERROR(INDEX(tbl_Finance[Ex GST],$A329),"")</f>
        <v/>
      </c>
      <c r="H329" s="66">
        <f>IFERROR(INDEX(tbl_Finance[Defer Start],$A329),"")</f>
        <v/>
      </c>
      <c r="I329" s="66">
        <f>IFERROR(INDEX(tbl_Finance[Defer End],$A329),"")</f>
        <v/>
      </c>
      <c r="J329" s="65">
        <f>IF(OR($H329="",$I329="",$G329=""),"",MAX(1,(YEAR($I329)-YEAR($H329))*12+MONTH($I329)-MONTH($H329)+1))</f>
        <v/>
      </c>
      <c r="K329" s="68">
        <f>IF($J329="","",$G329/$J329)</f>
        <v/>
      </c>
      <c r="L329" s="68">
        <f>IF($J329="",0,$K329*MAX(0,MIN(YEAR($C$3)*12+MONTH($C$3),YEAR($I329)*12+MONTH($I329))-(YEAR($H329)*12+MONTH($H329))+1))</f>
        <v/>
      </c>
      <c r="M329" s="68">
        <f>IF($J329="",0,$K329*MAX(0,MIN(YEAR($C$3)*12+MONTH($C$3)-1,YEAR($I329)*12+MONTH($I329))-(YEAR($H329)*12+MONTH($H329))+1))</f>
        <v/>
      </c>
      <c r="N329" s="68">
        <f>IF(OR($J329="",$B329=""),0,IF(YEAR($B329)*12+MONTH($B329)&lt;=YEAR($C$3)*12+MONTH($C$3),$G329,0))</f>
        <v/>
      </c>
      <c r="O329" s="68">
        <f>IF(OR($J329="",$B329=""),0,IF(YEAR($B329)*12+MONTH($B329)&lt;=YEAR($C$3)*12+MONTH($C$3)-1,$G329,0))</f>
        <v/>
      </c>
      <c r="P329" s="68">
        <f>$M329-$O329</f>
        <v/>
      </c>
      <c r="Q329" s="68">
        <f>($L329-$M329)-($N329-$O329)</f>
        <v/>
      </c>
      <c r="R329" s="68">
        <f>$L329-$N329</f>
        <v/>
      </c>
      <c r="S329" s="67">
        <f>"Finance invoice"</f>
        <v/>
      </c>
      <c r="T329" s="67">
        <f>"Revenue"</f>
        <v/>
      </c>
    </row>
    <row r="330">
      <c r="A330" s="65">
        <f>ROW()-5</f>
        <v/>
      </c>
      <c r="B330" s="66">
        <f>IFERROR(INDEX(tbl_Finance[Date],$A330),"")</f>
        <v/>
      </c>
      <c r="C330" s="67">
        <f>IFERROR(INDEX(tbl_Finance[Xero Invoice No],$A330),"")</f>
        <v/>
      </c>
      <c r="D330" s="67">
        <f>IFERROR(INDEX(tbl_Finance[Client],$A330),"")</f>
        <v/>
      </c>
      <c r="E330" s="67">
        <f>IFERROR(INDEX(tbl_Finance[Job Number],$A330),"")</f>
        <v/>
      </c>
      <c r="F330" s="67">
        <f>IFERROR(INDEX(tbl_Finance[Cost Centre],$A330),"")</f>
        <v/>
      </c>
      <c r="G330" s="68">
        <f>IFERROR(INDEX(tbl_Finance[Ex GST],$A330),"")</f>
        <v/>
      </c>
      <c r="H330" s="66">
        <f>IFERROR(INDEX(tbl_Finance[Defer Start],$A330),"")</f>
        <v/>
      </c>
      <c r="I330" s="66">
        <f>IFERROR(INDEX(tbl_Finance[Defer End],$A330),"")</f>
        <v/>
      </c>
      <c r="J330" s="65">
        <f>IF(OR($H330="",$I330="",$G330=""),"",MAX(1,(YEAR($I330)-YEAR($H330))*12+MONTH($I330)-MONTH($H330)+1))</f>
        <v/>
      </c>
      <c r="K330" s="68">
        <f>IF($J330="","",$G330/$J330)</f>
        <v/>
      </c>
      <c r="L330" s="68">
        <f>IF($J330="",0,$K330*MAX(0,MIN(YEAR($C$3)*12+MONTH($C$3),YEAR($I330)*12+MONTH($I330))-(YEAR($H330)*12+MONTH($H330))+1))</f>
        <v/>
      </c>
      <c r="M330" s="68">
        <f>IF($J330="",0,$K330*MAX(0,MIN(YEAR($C$3)*12+MONTH($C$3)-1,YEAR($I330)*12+MONTH($I330))-(YEAR($H330)*12+MONTH($H330))+1))</f>
        <v/>
      </c>
      <c r="N330" s="68">
        <f>IF(OR($J330="",$B330=""),0,IF(YEAR($B330)*12+MONTH($B330)&lt;=YEAR($C$3)*12+MONTH($C$3),$G330,0))</f>
        <v/>
      </c>
      <c r="O330" s="68">
        <f>IF(OR($J330="",$B330=""),0,IF(YEAR($B330)*12+MONTH($B330)&lt;=YEAR($C$3)*12+MONTH($C$3)-1,$G330,0))</f>
        <v/>
      </c>
      <c r="P330" s="68">
        <f>$M330-$O330</f>
        <v/>
      </c>
      <c r="Q330" s="68">
        <f>($L330-$M330)-($N330-$O330)</f>
        <v/>
      </c>
      <c r="R330" s="68">
        <f>$L330-$N330</f>
        <v/>
      </c>
      <c r="S330" s="67">
        <f>"Finance invoice"</f>
        <v/>
      </c>
      <c r="T330" s="67">
        <f>"Revenue"</f>
        <v/>
      </c>
    </row>
    <row r="331">
      <c r="A331" s="65">
        <f>ROW()-5</f>
        <v/>
      </c>
      <c r="B331" s="66">
        <f>IFERROR(INDEX(tbl_Finance[Date],$A331),"")</f>
        <v/>
      </c>
      <c r="C331" s="67">
        <f>IFERROR(INDEX(tbl_Finance[Xero Invoice No],$A331),"")</f>
        <v/>
      </c>
      <c r="D331" s="67">
        <f>IFERROR(INDEX(tbl_Finance[Client],$A331),"")</f>
        <v/>
      </c>
      <c r="E331" s="67">
        <f>IFERROR(INDEX(tbl_Finance[Job Number],$A331),"")</f>
        <v/>
      </c>
      <c r="F331" s="67">
        <f>IFERROR(INDEX(tbl_Finance[Cost Centre],$A331),"")</f>
        <v/>
      </c>
      <c r="G331" s="68">
        <f>IFERROR(INDEX(tbl_Finance[Ex GST],$A331),"")</f>
        <v/>
      </c>
      <c r="H331" s="66">
        <f>IFERROR(INDEX(tbl_Finance[Defer Start],$A331),"")</f>
        <v/>
      </c>
      <c r="I331" s="66">
        <f>IFERROR(INDEX(tbl_Finance[Defer End],$A331),"")</f>
        <v/>
      </c>
      <c r="J331" s="65">
        <f>IF(OR($H331="",$I331="",$G331=""),"",MAX(1,(YEAR($I331)-YEAR($H331))*12+MONTH($I331)-MONTH($H331)+1))</f>
        <v/>
      </c>
      <c r="K331" s="68">
        <f>IF($J331="","",$G331/$J331)</f>
        <v/>
      </c>
      <c r="L331" s="68">
        <f>IF($J331="",0,$K331*MAX(0,MIN(YEAR($C$3)*12+MONTH($C$3),YEAR($I331)*12+MONTH($I331))-(YEAR($H331)*12+MONTH($H331))+1))</f>
        <v/>
      </c>
      <c r="M331" s="68">
        <f>IF($J331="",0,$K331*MAX(0,MIN(YEAR($C$3)*12+MONTH($C$3)-1,YEAR($I331)*12+MONTH($I331))-(YEAR($H331)*12+MONTH($H331))+1))</f>
        <v/>
      </c>
      <c r="N331" s="68">
        <f>IF(OR($J331="",$B331=""),0,IF(YEAR($B331)*12+MONTH($B331)&lt;=YEAR($C$3)*12+MONTH($C$3),$G331,0))</f>
        <v/>
      </c>
      <c r="O331" s="68">
        <f>IF(OR($J331="",$B331=""),0,IF(YEAR($B331)*12+MONTH($B331)&lt;=YEAR($C$3)*12+MONTH($C$3)-1,$G331,0))</f>
        <v/>
      </c>
      <c r="P331" s="68">
        <f>$M331-$O331</f>
        <v/>
      </c>
      <c r="Q331" s="68">
        <f>($L331-$M331)-($N331-$O331)</f>
        <v/>
      </c>
      <c r="R331" s="68">
        <f>$L331-$N331</f>
        <v/>
      </c>
      <c r="S331" s="67">
        <f>"Finance invoice"</f>
        <v/>
      </c>
      <c r="T331" s="67">
        <f>"Revenue"</f>
        <v/>
      </c>
    </row>
    <row r="332">
      <c r="A332" s="65">
        <f>ROW()-5</f>
        <v/>
      </c>
      <c r="B332" s="66">
        <f>IFERROR(INDEX(tbl_Finance[Date],$A332),"")</f>
        <v/>
      </c>
      <c r="C332" s="67">
        <f>IFERROR(INDEX(tbl_Finance[Xero Invoice No],$A332),"")</f>
        <v/>
      </c>
      <c r="D332" s="67">
        <f>IFERROR(INDEX(tbl_Finance[Client],$A332),"")</f>
        <v/>
      </c>
      <c r="E332" s="67">
        <f>IFERROR(INDEX(tbl_Finance[Job Number],$A332),"")</f>
        <v/>
      </c>
      <c r="F332" s="67">
        <f>IFERROR(INDEX(tbl_Finance[Cost Centre],$A332),"")</f>
        <v/>
      </c>
      <c r="G332" s="68">
        <f>IFERROR(INDEX(tbl_Finance[Ex GST],$A332),"")</f>
        <v/>
      </c>
      <c r="H332" s="66">
        <f>IFERROR(INDEX(tbl_Finance[Defer Start],$A332),"")</f>
        <v/>
      </c>
      <c r="I332" s="66">
        <f>IFERROR(INDEX(tbl_Finance[Defer End],$A332),"")</f>
        <v/>
      </c>
      <c r="J332" s="65">
        <f>IF(OR($H332="",$I332="",$G332=""),"",MAX(1,(YEAR($I332)-YEAR($H332))*12+MONTH($I332)-MONTH($H332)+1))</f>
        <v/>
      </c>
      <c r="K332" s="68">
        <f>IF($J332="","",$G332/$J332)</f>
        <v/>
      </c>
      <c r="L332" s="68">
        <f>IF($J332="",0,$K332*MAX(0,MIN(YEAR($C$3)*12+MONTH($C$3),YEAR($I332)*12+MONTH($I332))-(YEAR($H332)*12+MONTH($H332))+1))</f>
        <v/>
      </c>
      <c r="M332" s="68">
        <f>IF($J332="",0,$K332*MAX(0,MIN(YEAR($C$3)*12+MONTH($C$3)-1,YEAR($I332)*12+MONTH($I332))-(YEAR($H332)*12+MONTH($H332))+1))</f>
        <v/>
      </c>
      <c r="N332" s="68">
        <f>IF(OR($J332="",$B332=""),0,IF(YEAR($B332)*12+MONTH($B332)&lt;=YEAR($C$3)*12+MONTH($C$3),$G332,0))</f>
        <v/>
      </c>
      <c r="O332" s="68">
        <f>IF(OR($J332="",$B332=""),0,IF(YEAR($B332)*12+MONTH($B332)&lt;=YEAR($C$3)*12+MONTH($C$3)-1,$G332,0))</f>
        <v/>
      </c>
      <c r="P332" s="68">
        <f>$M332-$O332</f>
        <v/>
      </c>
      <c r="Q332" s="68">
        <f>($L332-$M332)-($N332-$O332)</f>
        <v/>
      </c>
      <c r="R332" s="68">
        <f>$L332-$N332</f>
        <v/>
      </c>
      <c r="S332" s="67">
        <f>"Finance invoice"</f>
        <v/>
      </c>
      <c r="T332" s="67">
        <f>"Revenue"</f>
        <v/>
      </c>
    </row>
    <row r="333">
      <c r="A333" s="65">
        <f>ROW()-5</f>
        <v/>
      </c>
      <c r="B333" s="66">
        <f>IFERROR(INDEX(tbl_Finance[Date],$A333),"")</f>
        <v/>
      </c>
      <c r="C333" s="67">
        <f>IFERROR(INDEX(tbl_Finance[Xero Invoice No],$A333),"")</f>
        <v/>
      </c>
      <c r="D333" s="67">
        <f>IFERROR(INDEX(tbl_Finance[Client],$A333),"")</f>
        <v/>
      </c>
      <c r="E333" s="67">
        <f>IFERROR(INDEX(tbl_Finance[Job Number],$A333),"")</f>
        <v/>
      </c>
      <c r="F333" s="67">
        <f>IFERROR(INDEX(tbl_Finance[Cost Centre],$A333),"")</f>
        <v/>
      </c>
      <c r="G333" s="68">
        <f>IFERROR(INDEX(tbl_Finance[Ex GST],$A333),"")</f>
        <v/>
      </c>
      <c r="H333" s="66">
        <f>IFERROR(INDEX(tbl_Finance[Defer Start],$A333),"")</f>
        <v/>
      </c>
      <c r="I333" s="66">
        <f>IFERROR(INDEX(tbl_Finance[Defer End],$A333),"")</f>
        <v/>
      </c>
      <c r="J333" s="65">
        <f>IF(OR($H333="",$I333="",$G333=""),"",MAX(1,(YEAR($I333)-YEAR($H333))*12+MONTH($I333)-MONTH($H333)+1))</f>
        <v/>
      </c>
      <c r="K333" s="68">
        <f>IF($J333="","",$G333/$J333)</f>
        <v/>
      </c>
      <c r="L333" s="68">
        <f>IF($J333="",0,$K333*MAX(0,MIN(YEAR($C$3)*12+MONTH($C$3),YEAR($I333)*12+MONTH($I333))-(YEAR($H333)*12+MONTH($H333))+1))</f>
        <v/>
      </c>
      <c r="M333" s="68">
        <f>IF($J333="",0,$K333*MAX(0,MIN(YEAR($C$3)*12+MONTH($C$3)-1,YEAR($I333)*12+MONTH($I333))-(YEAR($H333)*12+MONTH($H333))+1))</f>
        <v/>
      </c>
      <c r="N333" s="68">
        <f>IF(OR($J333="",$B333=""),0,IF(YEAR($B333)*12+MONTH($B333)&lt;=YEAR($C$3)*12+MONTH($C$3),$G333,0))</f>
        <v/>
      </c>
      <c r="O333" s="68">
        <f>IF(OR($J333="",$B333=""),0,IF(YEAR($B333)*12+MONTH($B333)&lt;=YEAR($C$3)*12+MONTH($C$3)-1,$G333,0))</f>
        <v/>
      </c>
      <c r="P333" s="68">
        <f>$M333-$O333</f>
        <v/>
      </c>
      <c r="Q333" s="68">
        <f>($L333-$M333)-($N333-$O333)</f>
        <v/>
      </c>
      <c r="R333" s="68">
        <f>$L333-$N333</f>
        <v/>
      </c>
      <c r="S333" s="67">
        <f>"Finance invoice"</f>
        <v/>
      </c>
      <c r="T333" s="67">
        <f>"Revenue"</f>
        <v/>
      </c>
    </row>
    <row r="334">
      <c r="A334" s="65">
        <f>ROW()-5</f>
        <v/>
      </c>
      <c r="B334" s="66">
        <f>IFERROR(INDEX(tbl_Finance[Date],$A334),"")</f>
        <v/>
      </c>
      <c r="C334" s="67">
        <f>IFERROR(INDEX(tbl_Finance[Xero Invoice No],$A334),"")</f>
        <v/>
      </c>
      <c r="D334" s="67">
        <f>IFERROR(INDEX(tbl_Finance[Client],$A334),"")</f>
        <v/>
      </c>
      <c r="E334" s="67">
        <f>IFERROR(INDEX(tbl_Finance[Job Number],$A334),"")</f>
        <v/>
      </c>
      <c r="F334" s="67">
        <f>IFERROR(INDEX(tbl_Finance[Cost Centre],$A334),"")</f>
        <v/>
      </c>
      <c r="G334" s="68">
        <f>IFERROR(INDEX(tbl_Finance[Ex GST],$A334),"")</f>
        <v/>
      </c>
      <c r="H334" s="66">
        <f>IFERROR(INDEX(tbl_Finance[Defer Start],$A334),"")</f>
        <v/>
      </c>
      <c r="I334" s="66">
        <f>IFERROR(INDEX(tbl_Finance[Defer End],$A334),"")</f>
        <v/>
      </c>
      <c r="J334" s="65">
        <f>IF(OR($H334="",$I334="",$G334=""),"",MAX(1,(YEAR($I334)-YEAR($H334))*12+MONTH($I334)-MONTH($H334)+1))</f>
        <v/>
      </c>
      <c r="K334" s="68">
        <f>IF($J334="","",$G334/$J334)</f>
        <v/>
      </c>
      <c r="L334" s="68">
        <f>IF($J334="",0,$K334*MAX(0,MIN(YEAR($C$3)*12+MONTH($C$3),YEAR($I334)*12+MONTH($I334))-(YEAR($H334)*12+MONTH($H334))+1))</f>
        <v/>
      </c>
      <c r="M334" s="68">
        <f>IF($J334="",0,$K334*MAX(0,MIN(YEAR($C$3)*12+MONTH($C$3)-1,YEAR($I334)*12+MONTH($I334))-(YEAR($H334)*12+MONTH($H334))+1))</f>
        <v/>
      </c>
      <c r="N334" s="68">
        <f>IF(OR($J334="",$B334=""),0,IF(YEAR($B334)*12+MONTH($B334)&lt;=YEAR($C$3)*12+MONTH($C$3),$G334,0))</f>
        <v/>
      </c>
      <c r="O334" s="68">
        <f>IF(OR($J334="",$B334=""),0,IF(YEAR($B334)*12+MONTH($B334)&lt;=YEAR($C$3)*12+MONTH($C$3)-1,$G334,0))</f>
        <v/>
      </c>
      <c r="P334" s="68">
        <f>$M334-$O334</f>
        <v/>
      </c>
      <c r="Q334" s="68">
        <f>($L334-$M334)-($N334-$O334)</f>
        <v/>
      </c>
      <c r="R334" s="68">
        <f>$L334-$N334</f>
        <v/>
      </c>
      <c r="S334" s="67">
        <f>"Finance invoice"</f>
        <v/>
      </c>
      <c r="T334" s="67">
        <f>"Revenue"</f>
        <v/>
      </c>
    </row>
    <row r="335">
      <c r="A335" s="65">
        <f>ROW()-5</f>
        <v/>
      </c>
      <c r="B335" s="66">
        <f>IFERROR(INDEX(tbl_Finance[Date],$A335),"")</f>
        <v/>
      </c>
      <c r="C335" s="67">
        <f>IFERROR(INDEX(tbl_Finance[Xero Invoice No],$A335),"")</f>
        <v/>
      </c>
      <c r="D335" s="67">
        <f>IFERROR(INDEX(tbl_Finance[Client],$A335),"")</f>
        <v/>
      </c>
      <c r="E335" s="67">
        <f>IFERROR(INDEX(tbl_Finance[Job Number],$A335),"")</f>
        <v/>
      </c>
      <c r="F335" s="67">
        <f>IFERROR(INDEX(tbl_Finance[Cost Centre],$A335),"")</f>
        <v/>
      </c>
      <c r="G335" s="68">
        <f>IFERROR(INDEX(tbl_Finance[Ex GST],$A335),"")</f>
        <v/>
      </c>
      <c r="H335" s="66">
        <f>IFERROR(INDEX(tbl_Finance[Defer Start],$A335),"")</f>
        <v/>
      </c>
      <c r="I335" s="66">
        <f>IFERROR(INDEX(tbl_Finance[Defer End],$A335),"")</f>
        <v/>
      </c>
      <c r="J335" s="65">
        <f>IF(OR($H335="",$I335="",$G335=""),"",MAX(1,(YEAR($I335)-YEAR($H335))*12+MONTH($I335)-MONTH($H335)+1))</f>
        <v/>
      </c>
      <c r="K335" s="68">
        <f>IF($J335="","",$G335/$J335)</f>
        <v/>
      </c>
      <c r="L335" s="68">
        <f>IF($J335="",0,$K335*MAX(0,MIN(YEAR($C$3)*12+MONTH($C$3),YEAR($I335)*12+MONTH($I335))-(YEAR($H335)*12+MONTH($H335))+1))</f>
        <v/>
      </c>
      <c r="M335" s="68">
        <f>IF($J335="",0,$K335*MAX(0,MIN(YEAR($C$3)*12+MONTH($C$3)-1,YEAR($I335)*12+MONTH($I335))-(YEAR($H335)*12+MONTH($H335))+1))</f>
        <v/>
      </c>
      <c r="N335" s="68">
        <f>IF(OR($J335="",$B335=""),0,IF(YEAR($B335)*12+MONTH($B335)&lt;=YEAR($C$3)*12+MONTH($C$3),$G335,0))</f>
        <v/>
      </c>
      <c r="O335" s="68">
        <f>IF(OR($J335="",$B335=""),0,IF(YEAR($B335)*12+MONTH($B335)&lt;=YEAR($C$3)*12+MONTH($C$3)-1,$G335,0))</f>
        <v/>
      </c>
      <c r="P335" s="68">
        <f>$M335-$O335</f>
        <v/>
      </c>
      <c r="Q335" s="68">
        <f>($L335-$M335)-($N335-$O335)</f>
        <v/>
      </c>
      <c r="R335" s="68">
        <f>$L335-$N335</f>
        <v/>
      </c>
      <c r="S335" s="67">
        <f>"Finance invoice"</f>
        <v/>
      </c>
      <c r="T335" s="67">
        <f>"Revenue"</f>
        <v/>
      </c>
    </row>
    <row r="336">
      <c r="A336" s="65">
        <f>ROW()-5</f>
        <v/>
      </c>
      <c r="B336" s="66">
        <f>IFERROR(INDEX(tbl_Finance[Date],$A336),"")</f>
        <v/>
      </c>
      <c r="C336" s="67">
        <f>IFERROR(INDEX(tbl_Finance[Xero Invoice No],$A336),"")</f>
        <v/>
      </c>
      <c r="D336" s="67">
        <f>IFERROR(INDEX(tbl_Finance[Client],$A336),"")</f>
        <v/>
      </c>
      <c r="E336" s="67">
        <f>IFERROR(INDEX(tbl_Finance[Job Number],$A336),"")</f>
        <v/>
      </c>
      <c r="F336" s="67">
        <f>IFERROR(INDEX(tbl_Finance[Cost Centre],$A336),"")</f>
        <v/>
      </c>
      <c r="G336" s="68">
        <f>IFERROR(INDEX(tbl_Finance[Ex GST],$A336),"")</f>
        <v/>
      </c>
      <c r="H336" s="66">
        <f>IFERROR(INDEX(tbl_Finance[Defer Start],$A336),"")</f>
        <v/>
      </c>
      <c r="I336" s="66">
        <f>IFERROR(INDEX(tbl_Finance[Defer End],$A336),"")</f>
        <v/>
      </c>
      <c r="J336" s="65">
        <f>IF(OR($H336="",$I336="",$G336=""),"",MAX(1,(YEAR($I336)-YEAR($H336))*12+MONTH($I336)-MONTH($H336)+1))</f>
        <v/>
      </c>
      <c r="K336" s="68">
        <f>IF($J336="","",$G336/$J336)</f>
        <v/>
      </c>
      <c r="L336" s="68">
        <f>IF($J336="",0,$K336*MAX(0,MIN(YEAR($C$3)*12+MONTH($C$3),YEAR($I336)*12+MONTH($I336))-(YEAR($H336)*12+MONTH($H336))+1))</f>
        <v/>
      </c>
      <c r="M336" s="68">
        <f>IF($J336="",0,$K336*MAX(0,MIN(YEAR($C$3)*12+MONTH($C$3)-1,YEAR($I336)*12+MONTH($I336))-(YEAR($H336)*12+MONTH($H336))+1))</f>
        <v/>
      </c>
      <c r="N336" s="68">
        <f>IF(OR($J336="",$B336=""),0,IF(YEAR($B336)*12+MONTH($B336)&lt;=YEAR($C$3)*12+MONTH($C$3),$G336,0))</f>
        <v/>
      </c>
      <c r="O336" s="68">
        <f>IF(OR($J336="",$B336=""),0,IF(YEAR($B336)*12+MONTH($B336)&lt;=YEAR($C$3)*12+MONTH($C$3)-1,$G336,0))</f>
        <v/>
      </c>
      <c r="P336" s="68">
        <f>$M336-$O336</f>
        <v/>
      </c>
      <c r="Q336" s="68">
        <f>($L336-$M336)-($N336-$O336)</f>
        <v/>
      </c>
      <c r="R336" s="68">
        <f>$L336-$N336</f>
        <v/>
      </c>
      <c r="S336" s="67">
        <f>"Finance invoice"</f>
        <v/>
      </c>
      <c r="T336" s="67">
        <f>"Revenue"</f>
        <v/>
      </c>
    </row>
    <row r="337">
      <c r="A337" s="65">
        <f>ROW()-5</f>
        <v/>
      </c>
      <c r="B337" s="66">
        <f>IFERROR(INDEX(tbl_Finance[Date],$A337),"")</f>
        <v/>
      </c>
      <c r="C337" s="67">
        <f>IFERROR(INDEX(tbl_Finance[Xero Invoice No],$A337),"")</f>
        <v/>
      </c>
      <c r="D337" s="67">
        <f>IFERROR(INDEX(tbl_Finance[Client],$A337),"")</f>
        <v/>
      </c>
      <c r="E337" s="67">
        <f>IFERROR(INDEX(tbl_Finance[Job Number],$A337),"")</f>
        <v/>
      </c>
      <c r="F337" s="67">
        <f>IFERROR(INDEX(tbl_Finance[Cost Centre],$A337),"")</f>
        <v/>
      </c>
      <c r="G337" s="68">
        <f>IFERROR(INDEX(tbl_Finance[Ex GST],$A337),"")</f>
        <v/>
      </c>
      <c r="H337" s="66">
        <f>IFERROR(INDEX(tbl_Finance[Defer Start],$A337),"")</f>
        <v/>
      </c>
      <c r="I337" s="66">
        <f>IFERROR(INDEX(tbl_Finance[Defer End],$A337),"")</f>
        <v/>
      </c>
      <c r="J337" s="65">
        <f>IF(OR($H337="",$I337="",$G337=""),"",MAX(1,(YEAR($I337)-YEAR($H337))*12+MONTH($I337)-MONTH($H337)+1))</f>
        <v/>
      </c>
      <c r="K337" s="68">
        <f>IF($J337="","",$G337/$J337)</f>
        <v/>
      </c>
      <c r="L337" s="68">
        <f>IF($J337="",0,$K337*MAX(0,MIN(YEAR($C$3)*12+MONTH($C$3),YEAR($I337)*12+MONTH($I337))-(YEAR($H337)*12+MONTH($H337))+1))</f>
        <v/>
      </c>
      <c r="M337" s="68">
        <f>IF($J337="",0,$K337*MAX(0,MIN(YEAR($C$3)*12+MONTH($C$3)-1,YEAR($I337)*12+MONTH($I337))-(YEAR($H337)*12+MONTH($H337))+1))</f>
        <v/>
      </c>
      <c r="N337" s="68">
        <f>IF(OR($J337="",$B337=""),0,IF(YEAR($B337)*12+MONTH($B337)&lt;=YEAR($C$3)*12+MONTH($C$3),$G337,0))</f>
        <v/>
      </c>
      <c r="O337" s="68">
        <f>IF(OR($J337="",$B337=""),0,IF(YEAR($B337)*12+MONTH($B337)&lt;=YEAR($C$3)*12+MONTH($C$3)-1,$G337,0))</f>
        <v/>
      </c>
      <c r="P337" s="68">
        <f>$M337-$O337</f>
        <v/>
      </c>
      <c r="Q337" s="68">
        <f>($L337-$M337)-($N337-$O337)</f>
        <v/>
      </c>
      <c r="R337" s="68">
        <f>$L337-$N337</f>
        <v/>
      </c>
      <c r="S337" s="67">
        <f>"Finance invoice"</f>
        <v/>
      </c>
      <c r="T337" s="67">
        <f>"Revenue"</f>
        <v/>
      </c>
    </row>
    <row r="338">
      <c r="A338" s="65">
        <f>ROW()-5</f>
        <v/>
      </c>
      <c r="B338" s="66">
        <f>IFERROR(INDEX(tbl_Finance[Date],$A338),"")</f>
        <v/>
      </c>
      <c r="C338" s="67">
        <f>IFERROR(INDEX(tbl_Finance[Xero Invoice No],$A338),"")</f>
        <v/>
      </c>
      <c r="D338" s="67">
        <f>IFERROR(INDEX(tbl_Finance[Client],$A338),"")</f>
        <v/>
      </c>
      <c r="E338" s="67">
        <f>IFERROR(INDEX(tbl_Finance[Job Number],$A338),"")</f>
        <v/>
      </c>
      <c r="F338" s="67">
        <f>IFERROR(INDEX(tbl_Finance[Cost Centre],$A338),"")</f>
        <v/>
      </c>
      <c r="G338" s="68">
        <f>IFERROR(INDEX(tbl_Finance[Ex GST],$A338),"")</f>
        <v/>
      </c>
      <c r="H338" s="66">
        <f>IFERROR(INDEX(tbl_Finance[Defer Start],$A338),"")</f>
        <v/>
      </c>
      <c r="I338" s="66">
        <f>IFERROR(INDEX(tbl_Finance[Defer End],$A338),"")</f>
        <v/>
      </c>
      <c r="J338" s="65">
        <f>IF(OR($H338="",$I338="",$G338=""),"",MAX(1,(YEAR($I338)-YEAR($H338))*12+MONTH($I338)-MONTH($H338)+1))</f>
        <v/>
      </c>
      <c r="K338" s="68">
        <f>IF($J338="","",$G338/$J338)</f>
        <v/>
      </c>
      <c r="L338" s="68">
        <f>IF($J338="",0,$K338*MAX(0,MIN(YEAR($C$3)*12+MONTH($C$3),YEAR($I338)*12+MONTH($I338))-(YEAR($H338)*12+MONTH($H338))+1))</f>
        <v/>
      </c>
      <c r="M338" s="68">
        <f>IF($J338="",0,$K338*MAX(0,MIN(YEAR($C$3)*12+MONTH($C$3)-1,YEAR($I338)*12+MONTH($I338))-(YEAR($H338)*12+MONTH($H338))+1))</f>
        <v/>
      </c>
      <c r="N338" s="68">
        <f>IF(OR($J338="",$B338=""),0,IF(YEAR($B338)*12+MONTH($B338)&lt;=YEAR($C$3)*12+MONTH($C$3),$G338,0))</f>
        <v/>
      </c>
      <c r="O338" s="68">
        <f>IF(OR($J338="",$B338=""),0,IF(YEAR($B338)*12+MONTH($B338)&lt;=YEAR($C$3)*12+MONTH($C$3)-1,$G338,0))</f>
        <v/>
      </c>
      <c r="P338" s="68">
        <f>$M338-$O338</f>
        <v/>
      </c>
      <c r="Q338" s="68">
        <f>($L338-$M338)-($N338-$O338)</f>
        <v/>
      </c>
      <c r="R338" s="68">
        <f>$L338-$N338</f>
        <v/>
      </c>
      <c r="S338" s="67">
        <f>"Finance invoice"</f>
        <v/>
      </c>
      <c r="T338" s="67">
        <f>"Revenue"</f>
        <v/>
      </c>
    </row>
    <row r="339">
      <c r="A339" s="65">
        <f>ROW()-5</f>
        <v/>
      </c>
      <c r="B339" s="66">
        <f>IFERROR(INDEX(tbl_Finance[Date],$A339),"")</f>
        <v/>
      </c>
      <c r="C339" s="67">
        <f>IFERROR(INDEX(tbl_Finance[Xero Invoice No],$A339),"")</f>
        <v/>
      </c>
      <c r="D339" s="67">
        <f>IFERROR(INDEX(tbl_Finance[Client],$A339),"")</f>
        <v/>
      </c>
      <c r="E339" s="67">
        <f>IFERROR(INDEX(tbl_Finance[Job Number],$A339),"")</f>
        <v/>
      </c>
      <c r="F339" s="67">
        <f>IFERROR(INDEX(tbl_Finance[Cost Centre],$A339),"")</f>
        <v/>
      </c>
      <c r="G339" s="68">
        <f>IFERROR(INDEX(tbl_Finance[Ex GST],$A339),"")</f>
        <v/>
      </c>
      <c r="H339" s="66">
        <f>IFERROR(INDEX(tbl_Finance[Defer Start],$A339),"")</f>
        <v/>
      </c>
      <c r="I339" s="66">
        <f>IFERROR(INDEX(tbl_Finance[Defer End],$A339),"")</f>
        <v/>
      </c>
      <c r="J339" s="65">
        <f>IF(OR($H339="",$I339="",$G339=""),"",MAX(1,(YEAR($I339)-YEAR($H339))*12+MONTH($I339)-MONTH($H339)+1))</f>
        <v/>
      </c>
      <c r="K339" s="68">
        <f>IF($J339="","",$G339/$J339)</f>
        <v/>
      </c>
      <c r="L339" s="68">
        <f>IF($J339="",0,$K339*MAX(0,MIN(YEAR($C$3)*12+MONTH($C$3),YEAR($I339)*12+MONTH($I339))-(YEAR($H339)*12+MONTH($H339))+1))</f>
        <v/>
      </c>
      <c r="M339" s="68">
        <f>IF($J339="",0,$K339*MAX(0,MIN(YEAR($C$3)*12+MONTH($C$3)-1,YEAR($I339)*12+MONTH($I339))-(YEAR($H339)*12+MONTH($H339))+1))</f>
        <v/>
      </c>
      <c r="N339" s="68">
        <f>IF(OR($J339="",$B339=""),0,IF(YEAR($B339)*12+MONTH($B339)&lt;=YEAR($C$3)*12+MONTH($C$3),$G339,0))</f>
        <v/>
      </c>
      <c r="O339" s="68">
        <f>IF(OR($J339="",$B339=""),0,IF(YEAR($B339)*12+MONTH($B339)&lt;=YEAR($C$3)*12+MONTH($C$3)-1,$G339,0))</f>
        <v/>
      </c>
      <c r="P339" s="68">
        <f>$M339-$O339</f>
        <v/>
      </c>
      <c r="Q339" s="68">
        <f>($L339-$M339)-($N339-$O339)</f>
        <v/>
      </c>
      <c r="R339" s="68">
        <f>$L339-$N339</f>
        <v/>
      </c>
      <c r="S339" s="67">
        <f>"Finance invoice"</f>
        <v/>
      </c>
      <c r="T339" s="67">
        <f>"Revenue"</f>
        <v/>
      </c>
    </row>
    <row r="340">
      <c r="A340" s="65">
        <f>ROW()-5</f>
        <v/>
      </c>
      <c r="B340" s="66">
        <f>IFERROR(INDEX(tbl_Finance[Date],$A340),"")</f>
        <v/>
      </c>
      <c r="C340" s="67">
        <f>IFERROR(INDEX(tbl_Finance[Xero Invoice No],$A340),"")</f>
        <v/>
      </c>
      <c r="D340" s="67">
        <f>IFERROR(INDEX(tbl_Finance[Client],$A340),"")</f>
        <v/>
      </c>
      <c r="E340" s="67">
        <f>IFERROR(INDEX(tbl_Finance[Job Number],$A340),"")</f>
        <v/>
      </c>
      <c r="F340" s="67">
        <f>IFERROR(INDEX(tbl_Finance[Cost Centre],$A340),"")</f>
        <v/>
      </c>
      <c r="G340" s="68">
        <f>IFERROR(INDEX(tbl_Finance[Ex GST],$A340),"")</f>
        <v/>
      </c>
      <c r="H340" s="66">
        <f>IFERROR(INDEX(tbl_Finance[Defer Start],$A340),"")</f>
        <v/>
      </c>
      <c r="I340" s="66">
        <f>IFERROR(INDEX(tbl_Finance[Defer End],$A340),"")</f>
        <v/>
      </c>
      <c r="J340" s="65">
        <f>IF(OR($H340="",$I340="",$G340=""),"",MAX(1,(YEAR($I340)-YEAR($H340))*12+MONTH($I340)-MONTH($H340)+1))</f>
        <v/>
      </c>
      <c r="K340" s="68">
        <f>IF($J340="","",$G340/$J340)</f>
        <v/>
      </c>
      <c r="L340" s="68">
        <f>IF($J340="",0,$K340*MAX(0,MIN(YEAR($C$3)*12+MONTH($C$3),YEAR($I340)*12+MONTH($I340))-(YEAR($H340)*12+MONTH($H340))+1))</f>
        <v/>
      </c>
      <c r="M340" s="68">
        <f>IF($J340="",0,$K340*MAX(0,MIN(YEAR($C$3)*12+MONTH($C$3)-1,YEAR($I340)*12+MONTH($I340))-(YEAR($H340)*12+MONTH($H340))+1))</f>
        <v/>
      </c>
      <c r="N340" s="68">
        <f>IF(OR($J340="",$B340=""),0,IF(YEAR($B340)*12+MONTH($B340)&lt;=YEAR($C$3)*12+MONTH($C$3),$G340,0))</f>
        <v/>
      </c>
      <c r="O340" s="68">
        <f>IF(OR($J340="",$B340=""),0,IF(YEAR($B340)*12+MONTH($B340)&lt;=YEAR($C$3)*12+MONTH($C$3)-1,$G340,0))</f>
        <v/>
      </c>
      <c r="P340" s="68">
        <f>$M340-$O340</f>
        <v/>
      </c>
      <c r="Q340" s="68">
        <f>($L340-$M340)-($N340-$O340)</f>
        <v/>
      </c>
      <c r="R340" s="68">
        <f>$L340-$N340</f>
        <v/>
      </c>
      <c r="S340" s="67">
        <f>"Finance invoice"</f>
        <v/>
      </c>
      <c r="T340" s="67">
        <f>"Revenue"</f>
        <v/>
      </c>
    </row>
    <row r="341">
      <c r="A341" s="65">
        <f>ROW()-5</f>
        <v/>
      </c>
      <c r="B341" s="66">
        <f>IFERROR(INDEX(tbl_Finance[Date],$A341),"")</f>
        <v/>
      </c>
      <c r="C341" s="67">
        <f>IFERROR(INDEX(tbl_Finance[Xero Invoice No],$A341),"")</f>
        <v/>
      </c>
      <c r="D341" s="67">
        <f>IFERROR(INDEX(tbl_Finance[Client],$A341),"")</f>
        <v/>
      </c>
      <c r="E341" s="67">
        <f>IFERROR(INDEX(tbl_Finance[Job Number],$A341),"")</f>
        <v/>
      </c>
      <c r="F341" s="67">
        <f>IFERROR(INDEX(tbl_Finance[Cost Centre],$A341),"")</f>
        <v/>
      </c>
      <c r="G341" s="68">
        <f>IFERROR(INDEX(tbl_Finance[Ex GST],$A341),"")</f>
        <v/>
      </c>
      <c r="H341" s="66">
        <f>IFERROR(INDEX(tbl_Finance[Defer Start],$A341),"")</f>
        <v/>
      </c>
      <c r="I341" s="66">
        <f>IFERROR(INDEX(tbl_Finance[Defer End],$A341),"")</f>
        <v/>
      </c>
      <c r="J341" s="65">
        <f>IF(OR($H341="",$I341="",$G341=""),"",MAX(1,(YEAR($I341)-YEAR($H341))*12+MONTH($I341)-MONTH($H341)+1))</f>
        <v/>
      </c>
      <c r="K341" s="68">
        <f>IF($J341="","",$G341/$J341)</f>
        <v/>
      </c>
      <c r="L341" s="68">
        <f>IF($J341="",0,$K341*MAX(0,MIN(YEAR($C$3)*12+MONTH($C$3),YEAR($I341)*12+MONTH($I341))-(YEAR($H341)*12+MONTH($H341))+1))</f>
        <v/>
      </c>
      <c r="M341" s="68">
        <f>IF($J341="",0,$K341*MAX(0,MIN(YEAR($C$3)*12+MONTH($C$3)-1,YEAR($I341)*12+MONTH($I341))-(YEAR($H341)*12+MONTH($H341))+1))</f>
        <v/>
      </c>
      <c r="N341" s="68">
        <f>IF(OR($J341="",$B341=""),0,IF(YEAR($B341)*12+MONTH($B341)&lt;=YEAR($C$3)*12+MONTH($C$3),$G341,0))</f>
        <v/>
      </c>
      <c r="O341" s="68">
        <f>IF(OR($J341="",$B341=""),0,IF(YEAR($B341)*12+MONTH($B341)&lt;=YEAR($C$3)*12+MONTH($C$3)-1,$G341,0))</f>
        <v/>
      </c>
      <c r="P341" s="68">
        <f>$M341-$O341</f>
        <v/>
      </c>
      <c r="Q341" s="68">
        <f>($L341-$M341)-($N341-$O341)</f>
        <v/>
      </c>
      <c r="R341" s="68">
        <f>$L341-$N341</f>
        <v/>
      </c>
      <c r="S341" s="67">
        <f>"Finance invoice"</f>
        <v/>
      </c>
      <c r="T341" s="67">
        <f>"Revenue"</f>
        <v/>
      </c>
    </row>
    <row r="342">
      <c r="A342" s="65">
        <f>ROW()-5</f>
        <v/>
      </c>
      <c r="B342" s="66">
        <f>IFERROR(INDEX(tbl_Finance[Date],$A342),"")</f>
        <v/>
      </c>
      <c r="C342" s="67">
        <f>IFERROR(INDEX(tbl_Finance[Xero Invoice No],$A342),"")</f>
        <v/>
      </c>
      <c r="D342" s="67">
        <f>IFERROR(INDEX(tbl_Finance[Client],$A342),"")</f>
        <v/>
      </c>
      <c r="E342" s="67">
        <f>IFERROR(INDEX(tbl_Finance[Job Number],$A342),"")</f>
        <v/>
      </c>
      <c r="F342" s="67">
        <f>IFERROR(INDEX(tbl_Finance[Cost Centre],$A342),"")</f>
        <v/>
      </c>
      <c r="G342" s="68">
        <f>IFERROR(INDEX(tbl_Finance[Ex GST],$A342),"")</f>
        <v/>
      </c>
      <c r="H342" s="66">
        <f>IFERROR(INDEX(tbl_Finance[Defer Start],$A342),"")</f>
        <v/>
      </c>
      <c r="I342" s="66">
        <f>IFERROR(INDEX(tbl_Finance[Defer End],$A342),"")</f>
        <v/>
      </c>
      <c r="J342" s="65">
        <f>IF(OR($H342="",$I342="",$G342=""),"",MAX(1,(YEAR($I342)-YEAR($H342))*12+MONTH($I342)-MONTH($H342)+1))</f>
        <v/>
      </c>
      <c r="K342" s="68">
        <f>IF($J342="","",$G342/$J342)</f>
        <v/>
      </c>
      <c r="L342" s="68">
        <f>IF($J342="",0,$K342*MAX(0,MIN(YEAR($C$3)*12+MONTH($C$3),YEAR($I342)*12+MONTH($I342))-(YEAR($H342)*12+MONTH($H342))+1))</f>
        <v/>
      </c>
      <c r="M342" s="68">
        <f>IF($J342="",0,$K342*MAX(0,MIN(YEAR($C$3)*12+MONTH($C$3)-1,YEAR($I342)*12+MONTH($I342))-(YEAR($H342)*12+MONTH($H342))+1))</f>
        <v/>
      </c>
      <c r="N342" s="68">
        <f>IF(OR($J342="",$B342=""),0,IF(YEAR($B342)*12+MONTH($B342)&lt;=YEAR($C$3)*12+MONTH($C$3),$G342,0))</f>
        <v/>
      </c>
      <c r="O342" s="68">
        <f>IF(OR($J342="",$B342=""),0,IF(YEAR($B342)*12+MONTH($B342)&lt;=YEAR($C$3)*12+MONTH($C$3)-1,$G342,0))</f>
        <v/>
      </c>
      <c r="P342" s="68">
        <f>$M342-$O342</f>
        <v/>
      </c>
      <c r="Q342" s="68">
        <f>($L342-$M342)-($N342-$O342)</f>
        <v/>
      </c>
      <c r="R342" s="68">
        <f>$L342-$N342</f>
        <v/>
      </c>
      <c r="S342" s="67">
        <f>"Finance invoice"</f>
        <v/>
      </c>
      <c r="T342" s="67">
        <f>"Revenue"</f>
        <v/>
      </c>
    </row>
    <row r="343">
      <c r="A343" s="65">
        <f>ROW()-5</f>
        <v/>
      </c>
      <c r="B343" s="66">
        <f>IFERROR(INDEX(tbl_Finance[Date],$A343),"")</f>
        <v/>
      </c>
      <c r="C343" s="67">
        <f>IFERROR(INDEX(tbl_Finance[Xero Invoice No],$A343),"")</f>
        <v/>
      </c>
      <c r="D343" s="67">
        <f>IFERROR(INDEX(tbl_Finance[Client],$A343),"")</f>
        <v/>
      </c>
      <c r="E343" s="67">
        <f>IFERROR(INDEX(tbl_Finance[Job Number],$A343),"")</f>
        <v/>
      </c>
      <c r="F343" s="67">
        <f>IFERROR(INDEX(tbl_Finance[Cost Centre],$A343),"")</f>
        <v/>
      </c>
      <c r="G343" s="68">
        <f>IFERROR(INDEX(tbl_Finance[Ex GST],$A343),"")</f>
        <v/>
      </c>
      <c r="H343" s="66">
        <f>IFERROR(INDEX(tbl_Finance[Defer Start],$A343),"")</f>
        <v/>
      </c>
      <c r="I343" s="66">
        <f>IFERROR(INDEX(tbl_Finance[Defer End],$A343),"")</f>
        <v/>
      </c>
      <c r="J343" s="65">
        <f>IF(OR($H343="",$I343="",$G343=""),"",MAX(1,(YEAR($I343)-YEAR($H343))*12+MONTH($I343)-MONTH($H343)+1))</f>
        <v/>
      </c>
      <c r="K343" s="68">
        <f>IF($J343="","",$G343/$J343)</f>
        <v/>
      </c>
      <c r="L343" s="68">
        <f>IF($J343="",0,$K343*MAX(0,MIN(YEAR($C$3)*12+MONTH($C$3),YEAR($I343)*12+MONTH($I343))-(YEAR($H343)*12+MONTH($H343))+1))</f>
        <v/>
      </c>
      <c r="M343" s="68">
        <f>IF($J343="",0,$K343*MAX(0,MIN(YEAR($C$3)*12+MONTH($C$3)-1,YEAR($I343)*12+MONTH($I343))-(YEAR($H343)*12+MONTH($H343))+1))</f>
        <v/>
      </c>
      <c r="N343" s="68">
        <f>IF(OR($J343="",$B343=""),0,IF(YEAR($B343)*12+MONTH($B343)&lt;=YEAR($C$3)*12+MONTH($C$3),$G343,0))</f>
        <v/>
      </c>
      <c r="O343" s="68">
        <f>IF(OR($J343="",$B343=""),0,IF(YEAR($B343)*12+MONTH($B343)&lt;=YEAR($C$3)*12+MONTH($C$3)-1,$G343,0))</f>
        <v/>
      </c>
      <c r="P343" s="68">
        <f>$M343-$O343</f>
        <v/>
      </c>
      <c r="Q343" s="68">
        <f>($L343-$M343)-($N343-$O343)</f>
        <v/>
      </c>
      <c r="R343" s="68">
        <f>$L343-$N343</f>
        <v/>
      </c>
      <c r="S343" s="67">
        <f>"Finance invoice"</f>
        <v/>
      </c>
      <c r="T343" s="67">
        <f>"Revenue"</f>
        <v/>
      </c>
    </row>
    <row r="344">
      <c r="A344" s="65">
        <f>ROW()-5</f>
        <v/>
      </c>
      <c r="B344" s="66">
        <f>IFERROR(INDEX(tbl_Finance[Date],$A344),"")</f>
        <v/>
      </c>
      <c r="C344" s="67">
        <f>IFERROR(INDEX(tbl_Finance[Xero Invoice No],$A344),"")</f>
        <v/>
      </c>
      <c r="D344" s="67">
        <f>IFERROR(INDEX(tbl_Finance[Client],$A344),"")</f>
        <v/>
      </c>
      <c r="E344" s="67">
        <f>IFERROR(INDEX(tbl_Finance[Job Number],$A344),"")</f>
        <v/>
      </c>
      <c r="F344" s="67">
        <f>IFERROR(INDEX(tbl_Finance[Cost Centre],$A344),"")</f>
        <v/>
      </c>
      <c r="G344" s="68">
        <f>IFERROR(INDEX(tbl_Finance[Ex GST],$A344),"")</f>
        <v/>
      </c>
      <c r="H344" s="66">
        <f>IFERROR(INDEX(tbl_Finance[Defer Start],$A344),"")</f>
        <v/>
      </c>
      <c r="I344" s="66">
        <f>IFERROR(INDEX(tbl_Finance[Defer End],$A344),"")</f>
        <v/>
      </c>
      <c r="J344" s="65">
        <f>IF(OR($H344="",$I344="",$G344=""),"",MAX(1,(YEAR($I344)-YEAR($H344))*12+MONTH($I344)-MONTH($H344)+1))</f>
        <v/>
      </c>
      <c r="K344" s="68">
        <f>IF($J344="","",$G344/$J344)</f>
        <v/>
      </c>
      <c r="L344" s="68">
        <f>IF($J344="",0,$K344*MAX(0,MIN(YEAR($C$3)*12+MONTH($C$3),YEAR($I344)*12+MONTH($I344))-(YEAR($H344)*12+MONTH($H344))+1))</f>
        <v/>
      </c>
      <c r="M344" s="68">
        <f>IF($J344="",0,$K344*MAX(0,MIN(YEAR($C$3)*12+MONTH($C$3)-1,YEAR($I344)*12+MONTH($I344))-(YEAR($H344)*12+MONTH($H344))+1))</f>
        <v/>
      </c>
      <c r="N344" s="68">
        <f>IF(OR($J344="",$B344=""),0,IF(YEAR($B344)*12+MONTH($B344)&lt;=YEAR($C$3)*12+MONTH($C$3),$G344,0))</f>
        <v/>
      </c>
      <c r="O344" s="68">
        <f>IF(OR($J344="",$B344=""),0,IF(YEAR($B344)*12+MONTH($B344)&lt;=YEAR($C$3)*12+MONTH($C$3)-1,$G344,0))</f>
        <v/>
      </c>
      <c r="P344" s="68">
        <f>$M344-$O344</f>
        <v/>
      </c>
      <c r="Q344" s="68">
        <f>($L344-$M344)-($N344-$O344)</f>
        <v/>
      </c>
      <c r="R344" s="68">
        <f>$L344-$N344</f>
        <v/>
      </c>
      <c r="S344" s="67">
        <f>"Finance invoice"</f>
        <v/>
      </c>
      <c r="T344" s="67">
        <f>"Revenue"</f>
        <v/>
      </c>
    </row>
    <row r="345">
      <c r="A345" s="65">
        <f>ROW()-5</f>
        <v/>
      </c>
      <c r="B345" s="66">
        <f>IFERROR(INDEX(tbl_Finance[Date],$A345),"")</f>
        <v/>
      </c>
      <c r="C345" s="67">
        <f>IFERROR(INDEX(tbl_Finance[Xero Invoice No],$A345),"")</f>
        <v/>
      </c>
      <c r="D345" s="67">
        <f>IFERROR(INDEX(tbl_Finance[Client],$A345),"")</f>
        <v/>
      </c>
      <c r="E345" s="67">
        <f>IFERROR(INDEX(tbl_Finance[Job Number],$A345),"")</f>
        <v/>
      </c>
      <c r="F345" s="67">
        <f>IFERROR(INDEX(tbl_Finance[Cost Centre],$A345),"")</f>
        <v/>
      </c>
      <c r="G345" s="68">
        <f>IFERROR(INDEX(tbl_Finance[Ex GST],$A345),"")</f>
        <v/>
      </c>
      <c r="H345" s="66">
        <f>IFERROR(INDEX(tbl_Finance[Defer Start],$A345),"")</f>
        <v/>
      </c>
      <c r="I345" s="66">
        <f>IFERROR(INDEX(tbl_Finance[Defer End],$A345),"")</f>
        <v/>
      </c>
      <c r="J345" s="65">
        <f>IF(OR($H345="",$I345="",$G345=""),"",MAX(1,(YEAR($I345)-YEAR($H345))*12+MONTH($I345)-MONTH($H345)+1))</f>
        <v/>
      </c>
      <c r="K345" s="68">
        <f>IF($J345="","",$G345/$J345)</f>
        <v/>
      </c>
      <c r="L345" s="68">
        <f>IF($J345="",0,$K345*MAX(0,MIN(YEAR($C$3)*12+MONTH($C$3),YEAR($I345)*12+MONTH($I345))-(YEAR($H345)*12+MONTH($H345))+1))</f>
        <v/>
      </c>
      <c r="M345" s="68">
        <f>IF($J345="",0,$K345*MAX(0,MIN(YEAR($C$3)*12+MONTH($C$3)-1,YEAR($I345)*12+MONTH($I345))-(YEAR($H345)*12+MONTH($H345))+1))</f>
        <v/>
      </c>
      <c r="N345" s="68">
        <f>IF(OR($J345="",$B345=""),0,IF(YEAR($B345)*12+MONTH($B345)&lt;=YEAR($C$3)*12+MONTH($C$3),$G345,0))</f>
        <v/>
      </c>
      <c r="O345" s="68">
        <f>IF(OR($J345="",$B345=""),0,IF(YEAR($B345)*12+MONTH($B345)&lt;=YEAR($C$3)*12+MONTH($C$3)-1,$G345,0))</f>
        <v/>
      </c>
      <c r="P345" s="68">
        <f>$M345-$O345</f>
        <v/>
      </c>
      <c r="Q345" s="68">
        <f>($L345-$M345)-($N345-$O345)</f>
        <v/>
      </c>
      <c r="R345" s="68">
        <f>$L345-$N345</f>
        <v/>
      </c>
      <c r="S345" s="67">
        <f>"Finance invoice"</f>
        <v/>
      </c>
      <c r="T345" s="67">
        <f>"Revenue"</f>
        <v/>
      </c>
    </row>
    <row r="346">
      <c r="A346" s="65">
        <f>ROW()-5</f>
        <v/>
      </c>
      <c r="B346" s="66">
        <f>IFERROR(INDEX(tbl_Finance[Date],$A346),"")</f>
        <v/>
      </c>
      <c r="C346" s="67">
        <f>IFERROR(INDEX(tbl_Finance[Xero Invoice No],$A346),"")</f>
        <v/>
      </c>
      <c r="D346" s="67">
        <f>IFERROR(INDEX(tbl_Finance[Client],$A346),"")</f>
        <v/>
      </c>
      <c r="E346" s="67">
        <f>IFERROR(INDEX(tbl_Finance[Job Number],$A346),"")</f>
        <v/>
      </c>
      <c r="F346" s="67">
        <f>IFERROR(INDEX(tbl_Finance[Cost Centre],$A346),"")</f>
        <v/>
      </c>
      <c r="G346" s="68">
        <f>IFERROR(INDEX(tbl_Finance[Ex GST],$A346),"")</f>
        <v/>
      </c>
      <c r="H346" s="66">
        <f>IFERROR(INDEX(tbl_Finance[Defer Start],$A346),"")</f>
        <v/>
      </c>
      <c r="I346" s="66">
        <f>IFERROR(INDEX(tbl_Finance[Defer End],$A346),"")</f>
        <v/>
      </c>
      <c r="J346" s="65">
        <f>IF(OR($H346="",$I346="",$G346=""),"",MAX(1,(YEAR($I346)-YEAR($H346))*12+MONTH($I346)-MONTH($H346)+1))</f>
        <v/>
      </c>
      <c r="K346" s="68">
        <f>IF($J346="","",$G346/$J346)</f>
        <v/>
      </c>
      <c r="L346" s="68">
        <f>IF($J346="",0,$K346*MAX(0,MIN(YEAR($C$3)*12+MONTH($C$3),YEAR($I346)*12+MONTH($I346))-(YEAR($H346)*12+MONTH($H346))+1))</f>
        <v/>
      </c>
      <c r="M346" s="68">
        <f>IF($J346="",0,$K346*MAX(0,MIN(YEAR($C$3)*12+MONTH($C$3)-1,YEAR($I346)*12+MONTH($I346))-(YEAR($H346)*12+MONTH($H346))+1))</f>
        <v/>
      </c>
      <c r="N346" s="68">
        <f>IF(OR($J346="",$B346=""),0,IF(YEAR($B346)*12+MONTH($B346)&lt;=YEAR($C$3)*12+MONTH($C$3),$G346,0))</f>
        <v/>
      </c>
      <c r="O346" s="68">
        <f>IF(OR($J346="",$B346=""),0,IF(YEAR($B346)*12+MONTH($B346)&lt;=YEAR($C$3)*12+MONTH($C$3)-1,$G346,0))</f>
        <v/>
      </c>
      <c r="P346" s="68">
        <f>$M346-$O346</f>
        <v/>
      </c>
      <c r="Q346" s="68">
        <f>($L346-$M346)-($N346-$O346)</f>
        <v/>
      </c>
      <c r="R346" s="68">
        <f>$L346-$N346</f>
        <v/>
      </c>
      <c r="S346" s="67">
        <f>"Finance invoice"</f>
        <v/>
      </c>
      <c r="T346" s="67">
        <f>"Revenue"</f>
        <v/>
      </c>
    </row>
    <row r="347">
      <c r="A347" s="65">
        <f>ROW()-5</f>
        <v/>
      </c>
      <c r="B347" s="66">
        <f>IFERROR(INDEX(tbl_Finance[Date],$A347),"")</f>
        <v/>
      </c>
      <c r="C347" s="67">
        <f>IFERROR(INDEX(tbl_Finance[Xero Invoice No],$A347),"")</f>
        <v/>
      </c>
      <c r="D347" s="67">
        <f>IFERROR(INDEX(tbl_Finance[Client],$A347),"")</f>
        <v/>
      </c>
      <c r="E347" s="67">
        <f>IFERROR(INDEX(tbl_Finance[Job Number],$A347),"")</f>
        <v/>
      </c>
      <c r="F347" s="67">
        <f>IFERROR(INDEX(tbl_Finance[Cost Centre],$A347),"")</f>
        <v/>
      </c>
      <c r="G347" s="68">
        <f>IFERROR(INDEX(tbl_Finance[Ex GST],$A347),"")</f>
        <v/>
      </c>
      <c r="H347" s="66">
        <f>IFERROR(INDEX(tbl_Finance[Defer Start],$A347),"")</f>
        <v/>
      </c>
      <c r="I347" s="66">
        <f>IFERROR(INDEX(tbl_Finance[Defer End],$A347),"")</f>
        <v/>
      </c>
      <c r="J347" s="65">
        <f>IF(OR($H347="",$I347="",$G347=""),"",MAX(1,(YEAR($I347)-YEAR($H347))*12+MONTH($I347)-MONTH($H347)+1))</f>
        <v/>
      </c>
      <c r="K347" s="68">
        <f>IF($J347="","",$G347/$J347)</f>
        <v/>
      </c>
      <c r="L347" s="68">
        <f>IF($J347="",0,$K347*MAX(0,MIN(YEAR($C$3)*12+MONTH($C$3),YEAR($I347)*12+MONTH($I347))-(YEAR($H347)*12+MONTH($H347))+1))</f>
        <v/>
      </c>
      <c r="M347" s="68">
        <f>IF($J347="",0,$K347*MAX(0,MIN(YEAR($C$3)*12+MONTH($C$3)-1,YEAR($I347)*12+MONTH($I347))-(YEAR($H347)*12+MONTH($H347))+1))</f>
        <v/>
      </c>
      <c r="N347" s="68">
        <f>IF(OR($J347="",$B347=""),0,IF(YEAR($B347)*12+MONTH($B347)&lt;=YEAR($C$3)*12+MONTH($C$3),$G347,0))</f>
        <v/>
      </c>
      <c r="O347" s="68">
        <f>IF(OR($J347="",$B347=""),0,IF(YEAR($B347)*12+MONTH($B347)&lt;=YEAR($C$3)*12+MONTH($C$3)-1,$G347,0))</f>
        <v/>
      </c>
      <c r="P347" s="68">
        <f>$M347-$O347</f>
        <v/>
      </c>
      <c r="Q347" s="68">
        <f>($L347-$M347)-($N347-$O347)</f>
        <v/>
      </c>
      <c r="R347" s="68">
        <f>$L347-$N347</f>
        <v/>
      </c>
      <c r="S347" s="67">
        <f>"Finance invoice"</f>
        <v/>
      </c>
      <c r="T347" s="67">
        <f>"Revenue"</f>
        <v/>
      </c>
    </row>
    <row r="348">
      <c r="A348" s="65">
        <f>ROW()-5</f>
        <v/>
      </c>
      <c r="B348" s="66">
        <f>IFERROR(INDEX(tbl_Finance[Date],$A348),"")</f>
        <v/>
      </c>
      <c r="C348" s="67">
        <f>IFERROR(INDEX(tbl_Finance[Xero Invoice No],$A348),"")</f>
        <v/>
      </c>
      <c r="D348" s="67">
        <f>IFERROR(INDEX(tbl_Finance[Client],$A348),"")</f>
        <v/>
      </c>
      <c r="E348" s="67">
        <f>IFERROR(INDEX(tbl_Finance[Job Number],$A348),"")</f>
        <v/>
      </c>
      <c r="F348" s="67">
        <f>IFERROR(INDEX(tbl_Finance[Cost Centre],$A348),"")</f>
        <v/>
      </c>
      <c r="G348" s="68">
        <f>IFERROR(INDEX(tbl_Finance[Ex GST],$A348),"")</f>
        <v/>
      </c>
      <c r="H348" s="66">
        <f>IFERROR(INDEX(tbl_Finance[Defer Start],$A348),"")</f>
        <v/>
      </c>
      <c r="I348" s="66">
        <f>IFERROR(INDEX(tbl_Finance[Defer End],$A348),"")</f>
        <v/>
      </c>
      <c r="J348" s="65">
        <f>IF(OR($H348="",$I348="",$G348=""),"",MAX(1,(YEAR($I348)-YEAR($H348))*12+MONTH($I348)-MONTH($H348)+1))</f>
        <v/>
      </c>
      <c r="K348" s="68">
        <f>IF($J348="","",$G348/$J348)</f>
        <v/>
      </c>
      <c r="L348" s="68">
        <f>IF($J348="",0,$K348*MAX(0,MIN(YEAR($C$3)*12+MONTH($C$3),YEAR($I348)*12+MONTH($I348))-(YEAR($H348)*12+MONTH($H348))+1))</f>
        <v/>
      </c>
      <c r="M348" s="68">
        <f>IF($J348="",0,$K348*MAX(0,MIN(YEAR($C$3)*12+MONTH($C$3)-1,YEAR($I348)*12+MONTH($I348))-(YEAR($H348)*12+MONTH($H348))+1))</f>
        <v/>
      </c>
      <c r="N348" s="68">
        <f>IF(OR($J348="",$B348=""),0,IF(YEAR($B348)*12+MONTH($B348)&lt;=YEAR($C$3)*12+MONTH($C$3),$G348,0))</f>
        <v/>
      </c>
      <c r="O348" s="68">
        <f>IF(OR($J348="",$B348=""),0,IF(YEAR($B348)*12+MONTH($B348)&lt;=YEAR($C$3)*12+MONTH($C$3)-1,$G348,0))</f>
        <v/>
      </c>
      <c r="P348" s="68">
        <f>$M348-$O348</f>
        <v/>
      </c>
      <c r="Q348" s="68">
        <f>($L348-$M348)-($N348-$O348)</f>
        <v/>
      </c>
      <c r="R348" s="68">
        <f>$L348-$N348</f>
        <v/>
      </c>
      <c r="S348" s="67">
        <f>"Finance invoice"</f>
        <v/>
      </c>
      <c r="T348" s="67">
        <f>"Revenue"</f>
        <v/>
      </c>
    </row>
    <row r="349">
      <c r="A349" s="65">
        <f>ROW()-5</f>
        <v/>
      </c>
      <c r="B349" s="66">
        <f>IFERROR(INDEX(tbl_Finance[Date],$A349),"")</f>
        <v/>
      </c>
      <c r="C349" s="67">
        <f>IFERROR(INDEX(tbl_Finance[Xero Invoice No],$A349),"")</f>
        <v/>
      </c>
      <c r="D349" s="67">
        <f>IFERROR(INDEX(tbl_Finance[Client],$A349),"")</f>
        <v/>
      </c>
      <c r="E349" s="67">
        <f>IFERROR(INDEX(tbl_Finance[Job Number],$A349),"")</f>
        <v/>
      </c>
      <c r="F349" s="67">
        <f>IFERROR(INDEX(tbl_Finance[Cost Centre],$A349),"")</f>
        <v/>
      </c>
      <c r="G349" s="68">
        <f>IFERROR(INDEX(tbl_Finance[Ex GST],$A349),"")</f>
        <v/>
      </c>
      <c r="H349" s="66">
        <f>IFERROR(INDEX(tbl_Finance[Defer Start],$A349),"")</f>
        <v/>
      </c>
      <c r="I349" s="66">
        <f>IFERROR(INDEX(tbl_Finance[Defer End],$A349),"")</f>
        <v/>
      </c>
      <c r="J349" s="65">
        <f>IF(OR($H349="",$I349="",$G349=""),"",MAX(1,(YEAR($I349)-YEAR($H349))*12+MONTH($I349)-MONTH($H349)+1))</f>
        <v/>
      </c>
      <c r="K349" s="68">
        <f>IF($J349="","",$G349/$J349)</f>
        <v/>
      </c>
      <c r="L349" s="68">
        <f>IF($J349="",0,$K349*MAX(0,MIN(YEAR($C$3)*12+MONTH($C$3),YEAR($I349)*12+MONTH($I349))-(YEAR($H349)*12+MONTH($H349))+1))</f>
        <v/>
      </c>
      <c r="M349" s="68">
        <f>IF($J349="",0,$K349*MAX(0,MIN(YEAR($C$3)*12+MONTH($C$3)-1,YEAR($I349)*12+MONTH($I349))-(YEAR($H349)*12+MONTH($H349))+1))</f>
        <v/>
      </c>
      <c r="N349" s="68">
        <f>IF(OR($J349="",$B349=""),0,IF(YEAR($B349)*12+MONTH($B349)&lt;=YEAR($C$3)*12+MONTH($C$3),$G349,0))</f>
        <v/>
      </c>
      <c r="O349" s="68">
        <f>IF(OR($J349="",$B349=""),0,IF(YEAR($B349)*12+MONTH($B349)&lt;=YEAR($C$3)*12+MONTH($C$3)-1,$G349,0))</f>
        <v/>
      </c>
      <c r="P349" s="68">
        <f>$M349-$O349</f>
        <v/>
      </c>
      <c r="Q349" s="68">
        <f>($L349-$M349)-($N349-$O349)</f>
        <v/>
      </c>
      <c r="R349" s="68">
        <f>$L349-$N349</f>
        <v/>
      </c>
      <c r="S349" s="67">
        <f>"Finance invoice"</f>
        <v/>
      </c>
      <c r="T349" s="67">
        <f>"Revenue"</f>
        <v/>
      </c>
    </row>
    <row r="350">
      <c r="A350" s="65">
        <f>ROW()-5</f>
        <v/>
      </c>
      <c r="B350" s="66">
        <f>IFERROR(INDEX(tbl_Finance[Date],$A350),"")</f>
        <v/>
      </c>
      <c r="C350" s="67">
        <f>IFERROR(INDEX(tbl_Finance[Xero Invoice No],$A350),"")</f>
        <v/>
      </c>
      <c r="D350" s="67">
        <f>IFERROR(INDEX(tbl_Finance[Client],$A350),"")</f>
        <v/>
      </c>
      <c r="E350" s="67">
        <f>IFERROR(INDEX(tbl_Finance[Job Number],$A350),"")</f>
        <v/>
      </c>
      <c r="F350" s="67">
        <f>IFERROR(INDEX(tbl_Finance[Cost Centre],$A350),"")</f>
        <v/>
      </c>
      <c r="G350" s="68">
        <f>IFERROR(INDEX(tbl_Finance[Ex GST],$A350),"")</f>
        <v/>
      </c>
      <c r="H350" s="66">
        <f>IFERROR(INDEX(tbl_Finance[Defer Start],$A350),"")</f>
        <v/>
      </c>
      <c r="I350" s="66">
        <f>IFERROR(INDEX(tbl_Finance[Defer End],$A350),"")</f>
        <v/>
      </c>
      <c r="J350" s="65">
        <f>IF(OR($H350="",$I350="",$G350=""),"",MAX(1,(YEAR($I350)-YEAR($H350))*12+MONTH($I350)-MONTH($H350)+1))</f>
        <v/>
      </c>
      <c r="K350" s="68">
        <f>IF($J350="","",$G350/$J350)</f>
        <v/>
      </c>
      <c r="L350" s="68">
        <f>IF($J350="",0,$K350*MAX(0,MIN(YEAR($C$3)*12+MONTH($C$3),YEAR($I350)*12+MONTH($I350))-(YEAR($H350)*12+MONTH($H350))+1))</f>
        <v/>
      </c>
      <c r="M350" s="68">
        <f>IF($J350="",0,$K350*MAX(0,MIN(YEAR($C$3)*12+MONTH($C$3)-1,YEAR($I350)*12+MONTH($I350))-(YEAR($H350)*12+MONTH($H350))+1))</f>
        <v/>
      </c>
      <c r="N350" s="68">
        <f>IF(OR($J350="",$B350=""),0,IF(YEAR($B350)*12+MONTH($B350)&lt;=YEAR($C$3)*12+MONTH($C$3),$G350,0))</f>
        <v/>
      </c>
      <c r="O350" s="68">
        <f>IF(OR($J350="",$B350=""),0,IF(YEAR($B350)*12+MONTH($B350)&lt;=YEAR($C$3)*12+MONTH($C$3)-1,$G350,0))</f>
        <v/>
      </c>
      <c r="P350" s="68">
        <f>$M350-$O350</f>
        <v/>
      </c>
      <c r="Q350" s="68">
        <f>($L350-$M350)-($N350-$O350)</f>
        <v/>
      </c>
      <c r="R350" s="68">
        <f>$L350-$N350</f>
        <v/>
      </c>
      <c r="S350" s="67">
        <f>"Finance invoice"</f>
        <v/>
      </c>
      <c r="T350" s="67">
        <f>"Revenue"</f>
        <v/>
      </c>
    </row>
    <row r="351">
      <c r="A351" s="65">
        <f>ROW()-5</f>
        <v/>
      </c>
      <c r="B351" s="66">
        <f>IFERROR(INDEX(tbl_Finance[Date],$A351),"")</f>
        <v/>
      </c>
      <c r="C351" s="67">
        <f>IFERROR(INDEX(tbl_Finance[Xero Invoice No],$A351),"")</f>
        <v/>
      </c>
      <c r="D351" s="67">
        <f>IFERROR(INDEX(tbl_Finance[Client],$A351),"")</f>
        <v/>
      </c>
      <c r="E351" s="67">
        <f>IFERROR(INDEX(tbl_Finance[Job Number],$A351),"")</f>
        <v/>
      </c>
      <c r="F351" s="67">
        <f>IFERROR(INDEX(tbl_Finance[Cost Centre],$A351),"")</f>
        <v/>
      </c>
      <c r="G351" s="68">
        <f>IFERROR(INDEX(tbl_Finance[Ex GST],$A351),"")</f>
        <v/>
      </c>
      <c r="H351" s="66">
        <f>IFERROR(INDEX(tbl_Finance[Defer Start],$A351),"")</f>
        <v/>
      </c>
      <c r="I351" s="66">
        <f>IFERROR(INDEX(tbl_Finance[Defer End],$A351),"")</f>
        <v/>
      </c>
      <c r="J351" s="65">
        <f>IF(OR($H351="",$I351="",$G351=""),"",MAX(1,(YEAR($I351)-YEAR($H351))*12+MONTH($I351)-MONTH($H351)+1))</f>
        <v/>
      </c>
      <c r="K351" s="68">
        <f>IF($J351="","",$G351/$J351)</f>
        <v/>
      </c>
      <c r="L351" s="68">
        <f>IF($J351="",0,$K351*MAX(0,MIN(YEAR($C$3)*12+MONTH($C$3),YEAR($I351)*12+MONTH($I351))-(YEAR($H351)*12+MONTH($H351))+1))</f>
        <v/>
      </c>
      <c r="M351" s="68">
        <f>IF($J351="",0,$K351*MAX(0,MIN(YEAR($C$3)*12+MONTH($C$3)-1,YEAR($I351)*12+MONTH($I351))-(YEAR($H351)*12+MONTH($H351))+1))</f>
        <v/>
      </c>
      <c r="N351" s="68">
        <f>IF(OR($J351="",$B351=""),0,IF(YEAR($B351)*12+MONTH($B351)&lt;=YEAR($C$3)*12+MONTH($C$3),$G351,0))</f>
        <v/>
      </c>
      <c r="O351" s="68">
        <f>IF(OR($J351="",$B351=""),0,IF(YEAR($B351)*12+MONTH($B351)&lt;=YEAR($C$3)*12+MONTH($C$3)-1,$G351,0))</f>
        <v/>
      </c>
      <c r="P351" s="68">
        <f>$M351-$O351</f>
        <v/>
      </c>
      <c r="Q351" s="68">
        <f>($L351-$M351)-($N351-$O351)</f>
        <v/>
      </c>
      <c r="R351" s="68">
        <f>$L351-$N351</f>
        <v/>
      </c>
      <c r="S351" s="67">
        <f>"Finance invoice"</f>
        <v/>
      </c>
      <c r="T351" s="67">
        <f>"Revenue"</f>
        <v/>
      </c>
    </row>
    <row r="352">
      <c r="A352" s="65">
        <f>ROW()-5</f>
        <v/>
      </c>
      <c r="B352" s="66">
        <f>IFERROR(INDEX(tbl_Finance[Date],$A352),"")</f>
        <v/>
      </c>
      <c r="C352" s="67">
        <f>IFERROR(INDEX(tbl_Finance[Xero Invoice No],$A352),"")</f>
        <v/>
      </c>
      <c r="D352" s="67">
        <f>IFERROR(INDEX(tbl_Finance[Client],$A352),"")</f>
        <v/>
      </c>
      <c r="E352" s="67">
        <f>IFERROR(INDEX(tbl_Finance[Job Number],$A352),"")</f>
        <v/>
      </c>
      <c r="F352" s="67">
        <f>IFERROR(INDEX(tbl_Finance[Cost Centre],$A352),"")</f>
        <v/>
      </c>
      <c r="G352" s="68">
        <f>IFERROR(INDEX(tbl_Finance[Ex GST],$A352),"")</f>
        <v/>
      </c>
      <c r="H352" s="66">
        <f>IFERROR(INDEX(tbl_Finance[Defer Start],$A352),"")</f>
        <v/>
      </c>
      <c r="I352" s="66">
        <f>IFERROR(INDEX(tbl_Finance[Defer End],$A352),"")</f>
        <v/>
      </c>
      <c r="J352" s="65">
        <f>IF(OR($H352="",$I352="",$G352=""),"",MAX(1,(YEAR($I352)-YEAR($H352))*12+MONTH($I352)-MONTH($H352)+1))</f>
        <v/>
      </c>
      <c r="K352" s="68">
        <f>IF($J352="","",$G352/$J352)</f>
        <v/>
      </c>
      <c r="L352" s="68">
        <f>IF($J352="",0,$K352*MAX(0,MIN(YEAR($C$3)*12+MONTH($C$3),YEAR($I352)*12+MONTH($I352))-(YEAR($H352)*12+MONTH($H352))+1))</f>
        <v/>
      </c>
      <c r="M352" s="68">
        <f>IF($J352="",0,$K352*MAX(0,MIN(YEAR($C$3)*12+MONTH($C$3)-1,YEAR($I352)*12+MONTH($I352))-(YEAR($H352)*12+MONTH($H352))+1))</f>
        <v/>
      </c>
      <c r="N352" s="68">
        <f>IF(OR($J352="",$B352=""),0,IF(YEAR($B352)*12+MONTH($B352)&lt;=YEAR($C$3)*12+MONTH($C$3),$G352,0))</f>
        <v/>
      </c>
      <c r="O352" s="68">
        <f>IF(OR($J352="",$B352=""),0,IF(YEAR($B352)*12+MONTH($B352)&lt;=YEAR($C$3)*12+MONTH($C$3)-1,$G352,0))</f>
        <v/>
      </c>
      <c r="P352" s="68">
        <f>$M352-$O352</f>
        <v/>
      </c>
      <c r="Q352" s="68">
        <f>($L352-$M352)-($N352-$O352)</f>
        <v/>
      </c>
      <c r="R352" s="68">
        <f>$L352-$N352</f>
        <v/>
      </c>
      <c r="S352" s="67">
        <f>"Finance invoice"</f>
        <v/>
      </c>
      <c r="T352" s="67">
        <f>"Revenue"</f>
        <v/>
      </c>
    </row>
    <row r="353">
      <c r="A353" s="65">
        <f>ROW()-5</f>
        <v/>
      </c>
      <c r="B353" s="66">
        <f>IFERROR(INDEX(tbl_Finance[Date],$A353),"")</f>
        <v/>
      </c>
      <c r="C353" s="67">
        <f>IFERROR(INDEX(tbl_Finance[Xero Invoice No],$A353),"")</f>
        <v/>
      </c>
      <c r="D353" s="67">
        <f>IFERROR(INDEX(tbl_Finance[Client],$A353),"")</f>
        <v/>
      </c>
      <c r="E353" s="67">
        <f>IFERROR(INDEX(tbl_Finance[Job Number],$A353),"")</f>
        <v/>
      </c>
      <c r="F353" s="67">
        <f>IFERROR(INDEX(tbl_Finance[Cost Centre],$A353),"")</f>
        <v/>
      </c>
      <c r="G353" s="68">
        <f>IFERROR(INDEX(tbl_Finance[Ex GST],$A353),"")</f>
        <v/>
      </c>
      <c r="H353" s="66">
        <f>IFERROR(INDEX(tbl_Finance[Defer Start],$A353),"")</f>
        <v/>
      </c>
      <c r="I353" s="66">
        <f>IFERROR(INDEX(tbl_Finance[Defer End],$A353),"")</f>
        <v/>
      </c>
      <c r="J353" s="65">
        <f>IF(OR($H353="",$I353="",$G353=""),"",MAX(1,(YEAR($I353)-YEAR($H353))*12+MONTH($I353)-MONTH($H353)+1))</f>
        <v/>
      </c>
      <c r="K353" s="68">
        <f>IF($J353="","",$G353/$J353)</f>
        <v/>
      </c>
      <c r="L353" s="68">
        <f>IF($J353="",0,$K353*MAX(0,MIN(YEAR($C$3)*12+MONTH($C$3),YEAR($I353)*12+MONTH($I353))-(YEAR($H353)*12+MONTH($H353))+1))</f>
        <v/>
      </c>
      <c r="M353" s="68">
        <f>IF($J353="",0,$K353*MAX(0,MIN(YEAR($C$3)*12+MONTH($C$3)-1,YEAR($I353)*12+MONTH($I353))-(YEAR($H353)*12+MONTH($H353))+1))</f>
        <v/>
      </c>
      <c r="N353" s="68">
        <f>IF(OR($J353="",$B353=""),0,IF(YEAR($B353)*12+MONTH($B353)&lt;=YEAR($C$3)*12+MONTH($C$3),$G353,0))</f>
        <v/>
      </c>
      <c r="O353" s="68">
        <f>IF(OR($J353="",$B353=""),0,IF(YEAR($B353)*12+MONTH($B353)&lt;=YEAR($C$3)*12+MONTH($C$3)-1,$G353,0))</f>
        <v/>
      </c>
      <c r="P353" s="68">
        <f>$M353-$O353</f>
        <v/>
      </c>
      <c r="Q353" s="68">
        <f>($L353-$M353)-($N353-$O353)</f>
        <v/>
      </c>
      <c r="R353" s="68">
        <f>$L353-$N353</f>
        <v/>
      </c>
      <c r="S353" s="67">
        <f>"Finance invoice"</f>
        <v/>
      </c>
      <c r="T353" s="67">
        <f>"Revenue"</f>
        <v/>
      </c>
    </row>
    <row r="354">
      <c r="A354" s="65">
        <f>ROW()-5</f>
        <v/>
      </c>
      <c r="B354" s="66">
        <f>IFERROR(INDEX(tbl_Finance[Date],$A354),"")</f>
        <v/>
      </c>
      <c r="C354" s="67">
        <f>IFERROR(INDEX(tbl_Finance[Xero Invoice No],$A354),"")</f>
        <v/>
      </c>
      <c r="D354" s="67">
        <f>IFERROR(INDEX(tbl_Finance[Client],$A354),"")</f>
        <v/>
      </c>
      <c r="E354" s="67">
        <f>IFERROR(INDEX(tbl_Finance[Job Number],$A354),"")</f>
        <v/>
      </c>
      <c r="F354" s="67">
        <f>IFERROR(INDEX(tbl_Finance[Cost Centre],$A354),"")</f>
        <v/>
      </c>
      <c r="G354" s="68">
        <f>IFERROR(INDEX(tbl_Finance[Ex GST],$A354),"")</f>
        <v/>
      </c>
      <c r="H354" s="66">
        <f>IFERROR(INDEX(tbl_Finance[Defer Start],$A354),"")</f>
        <v/>
      </c>
      <c r="I354" s="66">
        <f>IFERROR(INDEX(tbl_Finance[Defer End],$A354),"")</f>
        <v/>
      </c>
      <c r="J354" s="65">
        <f>IF(OR($H354="",$I354="",$G354=""),"",MAX(1,(YEAR($I354)-YEAR($H354))*12+MONTH($I354)-MONTH($H354)+1))</f>
        <v/>
      </c>
      <c r="K354" s="68">
        <f>IF($J354="","",$G354/$J354)</f>
        <v/>
      </c>
      <c r="L354" s="68">
        <f>IF($J354="",0,$K354*MAX(0,MIN(YEAR($C$3)*12+MONTH($C$3),YEAR($I354)*12+MONTH($I354))-(YEAR($H354)*12+MONTH($H354))+1))</f>
        <v/>
      </c>
      <c r="M354" s="68">
        <f>IF($J354="",0,$K354*MAX(0,MIN(YEAR($C$3)*12+MONTH($C$3)-1,YEAR($I354)*12+MONTH($I354))-(YEAR($H354)*12+MONTH($H354))+1))</f>
        <v/>
      </c>
      <c r="N354" s="68">
        <f>IF(OR($J354="",$B354=""),0,IF(YEAR($B354)*12+MONTH($B354)&lt;=YEAR($C$3)*12+MONTH($C$3),$G354,0))</f>
        <v/>
      </c>
      <c r="O354" s="68">
        <f>IF(OR($J354="",$B354=""),0,IF(YEAR($B354)*12+MONTH($B354)&lt;=YEAR($C$3)*12+MONTH($C$3)-1,$G354,0))</f>
        <v/>
      </c>
      <c r="P354" s="68">
        <f>$M354-$O354</f>
        <v/>
      </c>
      <c r="Q354" s="68">
        <f>($L354-$M354)-($N354-$O354)</f>
        <v/>
      </c>
      <c r="R354" s="68">
        <f>$L354-$N354</f>
        <v/>
      </c>
      <c r="S354" s="67">
        <f>"Finance invoice"</f>
        <v/>
      </c>
      <c r="T354" s="67">
        <f>"Revenue"</f>
        <v/>
      </c>
    </row>
    <row r="355">
      <c r="A355" s="65">
        <f>ROW()-5</f>
        <v/>
      </c>
      <c r="B355" s="66">
        <f>IFERROR(INDEX(tbl_Finance[Date],$A355),"")</f>
        <v/>
      </c>
      <c r="C355" s="67">
        <f>IFERROR(INDEX(tbl_Finance[Xero Invoice No],$A355),"")</f>
        <v/>
      </c>
      <c r="D355" s="67">
        <f>IFERROR(INDEX(tbl_Finance[Client],$A355),"")</f>
        <v/>
      </c>
      <c r="E355" s="67">
        <f>IFERROR(INDEX(tbl_Finance[Job Number],$A355),"")</f>
        <v/>
      </c>
      <c r="F355" s="67">
        <f>IFERROR(INDEX(tbl_Finance[Cost Centre],$A355),"")</f>
        <v/>
      </c>
      <c r="G355" s="68">
        <f>IFERROR(INDEX(tbl_Finance[Ex GST],$A355),"")</f>
        <v/>
      </c>
      <c r="H355" s="66">
        <f>IFERROR(INDEX(tbl_Finance[Defer Start],$A355),"")</f>
        <v/>
      </c>
      <c r="I355" s="66">
        <f>IFERROR(INDEX(tbl_Finance[Defer End],$A355),"")</f>
        <v/>
      </c>
      <c r="J355" s="65">
        <f>IF(OR($H355="",$I355="",$G355=""),"",MAX(1,(YEAR($I355)-YEAR($H355))*12+MONTH($I355)-MONTH($H355)+1))</f>
        <v/>
      </c>
      <c r="K355" s="68">
        <f>IF($J355="","",$G355/$J355)</f>
        <v/>
      </c>
      <c r="L355" s="68">
        <f>IF($J355="",0,$K355*MAX(0,MIN(YEAR($C$3)*12+MONTH($C$3),YEAR($I355)*12+MONTH($I355))-(YEAR($H355)*12+MONTH($H355))+1))</f>
        <v/>
      </c>
      <c r="M355" s="68">
        <f>IF($J355="",0,$K355*MAX(0,MIN(YEAR($C$3)*12+MONTH($C$3)-1,YEAR($I355)*12+MONTH($I355))-(YEAR($H355)*12+MONTH($H355))+1))</f>
        <v/>
      </c>
      <c r="N355" s="68">
        <f>IF(OR($J355="",$B355=""),0,IF(YEAR($B355)*12+MONTH($B355)&lt;=YEAR($C$3)*12+MONTH($C$3),$G355,0))</f>
        <v/>
      </c>
      <c r="O355" s="68">
        <f>IF(OR($J355="",$B355=""),0,IF(YEAR($B355)*12+MONTH($B355)&lt;=YEAR($C$3)*12+MONTH($C$3)-1,$G355,0))</f>
        <v/>
      </c>
      <c r="P355" s="68">
        <f>$M355-$O355</f>
        <v/>
      </c>
      <c r="Q355" s="68">
        <f>($L355-$M355)-($N355-$O355)</f>
        <v/>
      </c>
      <c r="R355" s="68">
        <f>$L355-$N355</f>
        <v/>
      </c>
      <c r="S355" s="67">
        <f>"Finance invoice"</f>
        <v/>
      </c>
      <c r="T355" s="67">
        <f>"Revenue"</f>
        <v/>
      </c>
    </row>
    <row r="356">
      <c r="A356" s="65">
        <f>ROW()-5</f>
        <v/>
      </c>
      <c r="B356" s="66">
        <f>IFERROR(INDEX(tbl_Finance[Date],$A356),"")</f>
        <v/>
      </c>
      <c r="C356" s="67">
        <f>IFERROR(INDEX(tbl_Finance[Xero Invoice No],$A356),"")</f>
        <v/>
      </c>
      <c r="D356" s="67">
        <f>IFERROR(INDEX(tbl_Finance[Client],$A356),"")</f>
        <v/>
      </c>
      <c r="E356" s="67">
        <f>IFERROR(INDEX(tbl_Finance[Job Number],$A356),"")</f>
        <v/>
      </c>
      <c r="F356" s="67">
        <f>IFERROR(INDEX(tbl_Finance[Cost Centre],$A356),"")</f>
        <v/>
      </c>
      <c r="G356" s="68">
        <f>IFERROR(INDEX(tbl_Finance[Ex GST],$A356),"")</f>
        <v/>
      </c>
      <c r="H356" s="66">
        <f>IFERROR(INDEX(tbl_Finance[Defer Start],$A356),"")</f>
        <v/>
      </c>
      <c r="I356" s="66">
        <f>IFERROR(INDEX(tbl_Finance[Defer End],$A356),"")</f>
        <v/>
      </c>
      <c r="J356" s="65">
        <f>IF(OR($H356="",$I356="",$G356=""),"",MAX(1,(YEAR($I356)-YEAR($H356))*12+MONTH($I356)-MONTH($H356)+1))</f>
        <v/>
      </c>
      <c r="K356" s="68">
        <f>IF($J356="","",$G356/$J356)</f>
        <v/>
      </c>
      <c r="L356" s="68">
        <f>IF($J356="",0,$K356*MAX(0,MIN(YEAR($C$3)*12+MONTH($C$3),YEAR($I356)*12+MONTH($I356))-(YEAR($H356)*12+MONTH($H356))+1))</f>
        <v/>
      </c>
      <c r="M356" s="68">
        <f>IF($J356="",0,$K356*MAX(0,MIN(YEAR($C$3)*12+MONTH($C$3)-1,YEAR($I356)*12+MONTH($I356))-(YEAR($H356)*12+MONTH($H356))+1))</f>
        <v/>
      </c>
      <c r="N356" s="68">
        <f>IF(OR($J356="",$B356=""),0,IF(YEAR($B356)*12+MONTH($B356)&lt;=YEAR($C$3)*12+MONTH($C$3),$G356,0))</f>
        <v/>
      </c>
      <c r="O356" s="68">
        <f>IF(OR($J356="",$B356=""),0,IF(YEAR($B356)*12+MONTH($B356)&lt;=YEAR($C$3)*12+MONTH($C$3)-1,$G356,0))</f>
        <v/>
      </c>
      <c r="P356" s="68">
        <f>$M356-$O356</f>
        <v/>
      </c>
      <c r="Q356" s="68">
        <f>($L356-$M356)-($N356-$O356)</f>
        <v/>
      </c>
      <c r="R356" s="68">
        <f>$L356-$N356</f>
        <v/>
      </c>
      <c r="S356" s="67">
        <f>"Finance invoice"</f>
        <v/>
      </c>
      <c r="T356" s="67">
        <f>"Revenue"</f>
        <v/>
      </c>
    </row>
    <row r="357">
      <c r="A357" s="65">
        <f>ROW()-5</f>
        <v/>
      </c>
      <c r="B357" s="66">
        <f>IFERROR(INDEX(tbl_Finance[Date],$A357),"")</f>
        <v/>
      </c>
      <c r="C357" s="67">
        <f>IFERROR(INDEX(tbl_Finance[Xero Invoice No],$A357),"")</f>
        <v/>
      </c>
      <c r="D357" s="67">
        <f>IFERROR(INDEX(tbl_Finance[Client],$A357),"")</f>
        <v/>
      </c>
      <c r="E357" s="67">
        <f>IFERROR(INDEX(tbl_Finance[Job Number],$A357),"")</f>
        <v/>
      </c>
      <c r="F357" s="67">
        <f>IFERROR(INDEX(tbl_Finance[Cost Centre],$A357),"")</f>
        <v/>
      </c>
      <c r="G357" s="68">
        <f>IFERROR(INDEX(tbl_Finance[Ex GST],$A357),"")</f>
        <v/>
      </c>
      <c r="H357" s="66">
        <f>IFERROR(INDEX(tbl_Finance[Defer Start],$A357),"")</f>
        <v/>
      </c>
      <c r="I357" s="66">
        <f>IFERROR(INDEX(tbl_Finance[Defer End],$A357),"")</f>
        <v/>
      </c>
      <c r="J357" s="65">
        <f>IF(OR($H357="",$I357="",$G357=""),"",MAX(1,(YEAR($I357)-YEAR($H357))*12+MONTH($I357)-MONTH($H357)+1))</f>
        <v/>
      </c>
      <c r="K357" s="68">
        <f>IF($J357="","",$G357/$J357)</f>
        <v/>
      </c>
      <c r="L357" s="68">
        <f>IF($J357="",0,$K357*MAX(0,MIN(YEAR($C$3)*12+MONTH($C$3),YEAR($I357)*12+MONTH($I357))-(YEAR($H357)*12+MONTH($H357))+1))</f>
        <v/>
      </c>
      <c r="M357" s="68">
        <f>IF($J357="",0,$K357*MAX(0,MIN(YEAR($C$3)*12+MONTH($C$3)-1,YEAR($I357)*12+MONTH($I357))-(YEAR($H357)*12+MONTH($H357))+1))</f>
        <v/>
      </c>
      <c r="N357" s="68">
        <f>IF(OR($J357="",$B357=""),0,IF(YEAR($B357)*12+MONTH($B357)&lt;=YEAR($C$3)*12+MONTH($C$3),$G357,0))</f>
        <v/>
      </c>
      <c r="O357" s="68">
        <f>IF(OR($J357="",$B357=""),0,IF(YEAR($B357)*12+MONTH($B357)&lt;=YEAR($C$3)*12+MONTH($C$3)-1,$G357,0))</f>
        <v/>
      </c>
      <c r="P357" s="68">
        <f>$M357-$O357</f>
        <v/>
      </c>
      <c r="Q357" s="68">
        <f>($L357-$M357)-($N357-$O357)</f>
        <v/>
      </c>
      <c r="R357" s="68">
        <f>$L357-$N357</f>
        <v/>
      </c>
      <c r="S357" s="67">
        <f>"Finance invoice"</f>
        <v/>
      </c>
      <c r="T357" s="67">
        <f>"Revenue"</f>
        <v/>
      </c>
    </row>
    <row r="358">
      <c r="A358" s="65">
        <f>ROW()-5</f>
        <v/>
      </c>
      <c r="B358" s="66">
        <f>IFERROR(INDEX(tbl_Finance[Date],$A358),"")</f>
        <v/>
      </c>
      <c r="C358" s="67">
        <f>IFERROR(INDEX(tbl_Finance[Xero Invoice No],$A358),"")</f>
        <v/>
      </c>
      <c r="D358" s="67">
        <f>IFERROR(INDEX(tbl_Finance[Client],$A358),"")</f>
        <v/>
      </c>
      <c r="E358" s="67">
        <f>IFERROR(INDEX(tbl_Finance[Job Number],$A358),"")</f>
        <v/>
      </c>
      <c r="F358" s="67">
        <f>IFERROR(INDEX(tbl_Finance[Cost Centre],$A358),"")</f>
        <v/>
      </c>
      <c r="G358" s="68">
        <f>IFERROR(INDEX(tbl_Finance[Ex GST],$A358),"")</f>
        <v/>
      </c>
      <c r="H358" s="66">
        <f>IFERROR(INDEX(tbl_Finance[Defer Start],$A358),"")</f>
        <v/>
      </c>
      <c r="I358" s="66">
        <f>IFERROR(INDEX(tbl_Finance[Defer End],$A358),"")</f>
        <v/>
      </c>
      <c r="J358" s="65">
        <f>IF(OR($H358="",$I358="",$G358=""),"",MAX(1,(YEAR($I358)-YEAR($H358))*12+MONTH($I358)-MONTH($H358)+1))</f>
        <v/>
      </c>
      <c r="K358" s="68">
        <f>IF($J358="","",$G358/$J358)</f>
        <v/>
      </c>
      <c r="L358" s="68">
        <f>IF($J358="",0,$K358*MAX(0,MIN(YEAR($C$3)*12+MONTH($C$3),YEAR($I358)*12+MONTH($I358))-(YEAR($H358)*12+MONTH($H358))+1))</f>
        <v/>
      </c>
      <c r="M358" s="68">
        <f>IF($J358="",0,$K358*MAX(0,MIN(YEAR($C$3)*12+MONTH($C$3)-1,YEAR($I358)*12+MONTH($I358))-(YEAR($H358)*12+MONTH($H358))+1))</f>
        <v/>
      </c>
      <c r="N358" s="68">
        <f>IF(OR($J358="",$B358=""),0,IF(YEAR($B358)*12+MONTH($B358)&lt;=YEAR($C$3)*12+MONTH($C$3),$G358,0))</f>
        <v/>
      </c>
      <c r="O358" s="68">
        <f>IF(OR($J358="",$B358=""),0,IF(YEAR($B358)*12+MONTH($B358)&lt;=YEAR($C$3)*12+MONTH($C$3)-1,$G358,0))</f>
        <v/>
      </c>
      <c r="P358" s="68">
        <f>$M358-$O358</f>
        <v/>
      </c>
      <c r="Q358" s="68">
        <f>($L358-$M358)-($N358-$O358)</f>
        <v/>
      </c>
      <c r="R358" s="68">
        <f>$L358-$N358</f>
        <v/>
      </c>
      <c r="S358" s="67">
        <f>"Finance invoice"</f>
        <v/>
      </c>
      <c r="T358" s="67">
        <f>"Revenue"</f>
        <v/>
      </c>
    </row>
    <row r="359">
      <c r="A359" s="65">
        <f>ROW()-5</f>
        <v/>
      </c>
      <c r="B359" s="66">
        <f>IFERROR(INDEX(tbl_Finance[Date],$A359),"")</f>
        <v/>
      </c>
      <c r="C359" s="67">
        <f>IFERROR(INDEX(tbl_Finance[Xero Invoice No],$A359),"")</f>
        <v/>
      </c>
      <c r="D359" s="67">
        <f>IFERROR(INDEX(tbl_Finance[Client],$A359),"")</f>
        <v/>
      </c>
      <c r="E359" s="67">
        <f>IFERROR(INDEX(tbl_Finance[Job Number],$A359),"")</f>
        <v/>
      </c>
      <c r="F359" s="67">
        <f>IFERROR(INDEX(tbl_Finance[Cost Centre],$A359),"")</f>
        <v/>
      </c>
      <c r="G359" s="68">
        <f>IFERROR(INDEX(tbl_Finance[Ex GST],$A359),"")</f>
        <v/>
      </c>
      <c r="H359" s="66">
        <f>IFERROR(INDEX(tbl_Finance[Defer Start],$A359),"")</f>
        <v/>
      </c>
      <c r="I359" s="66">
        <f>IFERROR(INDEX(tbl_Finance[Defer End],$A359),"")</f>
        <v/>
      </c>
      <c r="J359" s="65">
        <f>IF(OR($H359="",$I359="",$G359=""),"",MAX(1,(YEAR($I359)-YEAR($H359))*12+MONTH($I359)-MONTH($H359)+1))</f>
        <v/>
      </c>
      <c r="K359" s="68">
        <f>IF($J359="","",$G359/$J359)</f>
        <v/>
      </c>
      <c r="L359" s="68">
        <f>IF($J359="",0,$K359*MAX(0,MIN(YEAR($C$3)*12+MONTH($C$3),YEAR($I359)*12+MONTH($I359))-(YEAR($H359)*12+MONTH($H359))+1))</f>
        <v/>
      </c>
      <c r="M359" s="68">
        <f>IF($J359="",0,$K359*MAX(0,MIN(YEAR($C$3)*12+MONTH($C$3)-1,YEAR($I359)*12+MONTH($I359))-(YEAR($H359)*12+MONTH($H359))+1))</f>
        <v/>
      </c>
      <c r="N359" s="68">
        <f>IF(OR($J359="",$B359=""),0,IF(YEAR($B359)*12+MONTH($B359)&lt;=YEAR($C$3)*12+MONTH($C$3),$G359,0))</f>
        <v/>
      </c>
      <c r="O359" s="68">
        <f>IF(OR($J359="",$B359=""),0,IF(YEAR($B359)*12+MONTH($B359)&lt;=YEAR($C$3)*12+MONTH($C$3)-1,$G359,0))</f>
        <v/>
      </c>
      <c r="P359" s="68">
        <f>$M359-$O359</f>
        <v/>
      </c>
      <c r="Q359" s="68">
        <f>($L359-$M359)-($N359-$O359)</f>
        <v/>
      </c>
      <c r="R359" s="68">
        <f>$L359-$N359</f>
        <v/>
      </c>
      <c r="S359" s="67">
        <f>"Finance invoice"</f>
        <v/>
      </c>
      <c r="T359" s="67">
        <f>"Revenue"</f>
        <v/>
      </c>
    </row>
    <row r="360">
      <c r="A360" s="65">
        <f>ROW()-5</f>
        <v/>
      </c>
      <c r="B360" s="66">
        <f>IFERROR(INDEX(tbl_Finance[Date],$A360),"")</f>
        <v/>
      </c>
      <c r="C360" s="67">
        <f>IFERROR(INDEX(tbl_Finance[Xero Invoice No],$A360),"")</f>
        <v/>
      </c>
      <c r="D360" s="67">
        <f>IFERROR(INDEX(tbl_Finance[Client],$A360),"")</f>
        <v/>
      </c>
      <c r="E360" s="67">
        <f>IFERROR(INDEX(tbl_Finance[Job Number],$A360),"")</f>
        <v/>
      </c>
      <c r="F360" s="67">
        <f>IFERROR(INDEX(tbl_Finance[Cost Centre],$A360),"")</f>
        <v/>
      </c>
      <c r="G360" s="68">
        <f>IFERROR(INDEX(tbl_Finance[Ex GST],$A360),"")</f>
        <v/>
      </c>
      <c r="H360" s="66">
        <f>IFERROR(INDEX(tbl_Finance[Defer Start],$A360),"")</f>
        <v/>
      </c>
      <c r="I360" s="66">
        <f>IFERROR(INDEX(tbl_Finance[Defer End],$A360),"")</f>
        <v/>
      </c>
      <c r="J360" s="65">
        <f>IF(OR($H360="",$I360="",$G360=""),"",MAX(1,(YEAR($I360)-YEAR($H360))*12+MONTH($I360)-MONTH($H360)+1))</f>
        <v/>
      </c>
      <c r="K360" s="68">
        <f>IF($J360="","",$G360/$J360)</f>
        <v/>
      </c>
      <c r="L360" s="68">
        <f>IF($J360="",0,$K360*MAX(0,MIN(YEAR($C$3)*12+MONTH($C$3),YEAR($I360)*12+MONTH($I360))-(YEAR($H360)*12+MONTH($H360))+1))</f>
        <v/>
      </c>
      <c r="M360" s="68">
        <f>IF($J360="",0,$K360*MAX(0,MIN(YEAR($C$3)*12+MONTH($C$3)-1,YEAR($I360)*12+MONTH($I360))-(YEAR($H360)*12+MONTH($H360))+1))</f>
        <v/>
      </c>
      <c r="N360" s="68">
        <f>IF(OR($J360="",$B360=""),0,IF(YEAR($B360)*12+MONTH($B360)&lt;=YEAR($C$3)*12+MONTH($C$3),$G360,0))</f>
        <v/>
      </c>
      <c r="O360" s="68">
        <f>IF(OR($J360="",$B360=""),0,IF(YEAR($B360)*12+MONTH($B360)&lt;=YEAR($C$3)*12+MONTH($C$3)-1,$G360,0))</f>
        <v/>
      </c>
      <c r="P360" s="68">
        <f>$M360-$O360</f>
        <v/>
      </c>
      <c r="Q360" s="68">
        <f>($L360-$M360)-($N360-$O360)</f>
        <v/>
      </c>
      <c r="R360" s="68">
        <f>$L360-$N360</f>
        <v/>
      </c>
      <c r="S360" s="67">
        <f>"Finance invoice"</f>
        <v/>
      </c>
      <c r="T360" s="67">
        <f>"Revenue"</f>
        <v/>
      </c>
    </row>
    <row r="361">
      <c r="A361" s="65">
        <f>ROW()-5</f>
        <v/>
      </c>
      <c r="B361" s="66">
        <f>IFERROR(INDEX(tbl_Finance[Date],$A361),"")</f>
        <v/>
      </c>
      <c r="C361" s="67">
        <f>IFERROR(INDEX(tbl_Finance[Xero Invoice No],$A361),"")</f>
        <v/>
      </c>
      <c r="D361" s="67">
        <f>IFERROR(INDEX(tbl_Finance[Client],$A361),"")</f>
        <v/>
      </c>
      <c r="E361" s="67">
        <f>IFERROR(INDEX(tbl_Finance[Job Number],$A361),"")</f>
        <v/>
      </c>
      <c r="F361" s="67">
        <f>IFERROR(INDEX(tbl_Finance[Cost Centre],$A361),"")</f>
        <v/>
      </c>
      <c r="G361" s="68">
        <f>IFERROR(INDEX(tbl_Finance[Ex GST],$A361),"")</f>
        <v/>
      </c>
      <c r="H361" s="66">
        <f>IFERROR(INDEX(tbl_Finance[Defer Start],$A361),"")</f>
        <v/>
      </c>
      <c r="I361" s="66">
        <f>IFERROR(INDEX(tbl_Finance[Defer End],$A361),"")</f>
        <v/>
      </c>
      <c r="J361" s="65">
        <f>IF(OR($H361="",$I361="",$G361=""),"",MAX(1,(YEAR($I361)-YEAR($H361))*12+MONTH($I361)-MONTH($H361)+1))</f>
        <v/>
      </c>
      <c r="K361" s="68">
        <f>IF($J361="","",$G361/$J361)</f>
        <v/>
      </c>
      <c r="L361" s="68">
        <f>IF($J361="",0,$K361*MAX(0,MIN(YEAR($C$3)*12+MONTH($C$3),YEAR($I361)*12+MONTH($I361))-(YEAR($H361)*12+MONTH($H361))+1))</f>
        <v/>
      </c>
      <c r="M361" s="68">
        <f>IF($J361="",0,$K361*MAX(0,MIN(YEAR($C$3)*12+MONTH($C$3)-1,YEAR($I361)*12+MONTH($I361))-(YEAR($H361)*12+MONTH($H361))+1))</f>
        <v/>
      </c>
      <c r="N361" s="68">
        <f>IF(OR($J361="",$B361=""),0,IF(YEAR($B361)*12+MONTH($B361)&lt;=YEAR($C$3)*12+MONTH($C$3),$G361,0))</f>
        <v/>
      </c>
      <c r="O361" s="68">
        <f>IF(OR($J361="",$B361=""),0,IF(YEAR($B361)*12+MONTH($B361)&lt;=YEAR($C$3)*12+MONTH($C$3)-1,$G361,0))</f>
        <v/>
      </c>
      <c r="P361" s="68">
        <f>$M361-$O361</f>
        <v/>
      </c>
      <c r="Q361" s="68">
        <f>($L361-$M361)-($N361-$O361)</f>
        <v/>
      </c>
      <c r="R361" s="68">
        <f>$L361-$N361</f>
        <v/>
      </c>
      <c r="S361" s="67">
        <f>"Finance invoice"</f>
        <v/>
      </c>
      <c r="T361" s="67">
        <f>"Revenue"</f>
        <v/>
      </c>
    </row>
    <row r="362">
      <c r="A362" s="65">
        <f>ROW()-5</f>
        <v/>
      </c>
      <c r="B362" s="66">
        <f>IFERROR(INDEX(tbl_Finance[Date],$A362),"")</f>
        <v/>
      </c>
      <c r="C362" s="67">
        <f>IFERROR(INDEX(tbl_Finance[Xero Invoice No],$A362),"")</f>
        <v/>
      </c>
      <c r="D362" s="67">
        <f>IFERROR(INDEX(tbl_Finance[Client],$A362),"")</f>
        <v/>
      </c>
      <c r="E362" s="67">
        <f>IFERROR(INDEX(tbl_Finance[Job Number],$A362),"")</f>
        <v/>
      </c>
      <c r="F362" s="67">
        <f>IFERROR(INDEX(tbl_Finance[Cost Centre],$A362),"")</f>
        <v/>
      </c>
      <c r="G362" s="68">
        <f>IFERROR(INDEX(tbl_Finance[Ex GST],$A362),"")</f>
        <v/>
      </c>
      <c r="H362" s="66">
        <f>IFERROR(INDEX(tbl_Finance[Defer Start],$A362),"")</f>
        <v/>
      </c>
      <c r="I362" s="66">
        <f>IFERROR(INDEX(tbl_Finance[Defer End],$A362),"")</f>
        <v/>
      </c>
      <c r="J362" s="65">
        <f>IF(OR($H362="",$I362="",$G362=""),"",MAX(1,(YEAR($I362)-YEAR($H362))*12+MONTH($I362)-MONTH($H362)+1))</f>
        <v/>
      </c>
      <c r="K362" s="68">
        <f>IF($J362="","",$G362/$J362)</f>
        <v/>
      </c>
      <c r="L362" s="68">
        <f>IF($J362="",0,$K362*MAX(0,MIN(YEAR($C$3)*12+MONTH($C$3),YEAR($I362)*12+MONTH($I362))-(YEAR($H362)*12+MONTH($H362))+1))</f>
        <v/>
      </c>
      <c r="M362" s="68">
        <f>IF($J362="",0,$K362*MAX(0,MIN(YEAR($C$3)*12+MONTH($C$3)-1,YEAR($I362)*12+MONTH($I362))-(YEAR($H362)*12+MONTH($H362))+1))</f>
        <v/>
      </c>
      <c r="N362" s="68">
        <f>IF(OR($J362="",$B362=""),0,IF(YEAR($B362)*12+MONTH($B362)&lt;=YEAR($C$3)*12+MONTH($C$3),$G362,0))</f>
        <v/>
      </c>
      <c r="O362" s="68">
        <f>IF(OR($J362="",$B362=""),0,IF(YEAR($B362)*12+MONTH($B362)&lt;=YEAR($C$3)*12+MONTH($C$3)-1,$G362,0))</f>
        <v/>
      </c>
      <c r="P362" s="68">
        <f>$M362-$O362</f>
        <v/>
      </c>
      <c r="Q362" s="68">
        <f>($L362-$M362)-($N362-$O362)</f>
        <v/>
      </c>
      <c r="R362" s="68">
        <f>$L362-$N362</f>
        <v/>
      </c>
      <c r="S362" s="67">
        <f>"Finance invoice"</f>
        <v/>
      </c>
      <c r="T362" s="67">
        <f>"Revenue"</f>
        <v/>
      </c>
    </row>
    <row r="363">
      <c r="A363" s="65">
        <f>ROW()-5</f>
        <v/>
      </c>
      <c r="B363" s="66">
        <f>IFERROR(INDEX(tbl_Finance[Date],$A363),"")</f>
        <v/>
      </c>
      <c r="C363" s="67">
        <f>IFERROR(INDEX(tbl_Finance[Xero Invoice No],$A363),"")</f>
        <v/>
      </c>
      <c r="D363" s="67">
        <f>IFERROR(INDEX(tbl_Finance[Client],$A363),"")</f>
        <v/>
      </c>
      <c r="E363" s="67">
        <f>IFERROR(INDEX(tbl_Finance[Job Number],$A363),"")</f>
        <v/>
      </c>
      <c r="F363" s="67">
        <f>IFERROR(INDEX(tbl_Finance[Cost Centre],$A363),"")</f>
        <v/>
      </c>
      <c r="G363" s="68">
        <f>IFERROR(INDEX(tbl_Finance[Ex GST],$A363),"")</f>
        <v/>
      </c>
      <c r="H363" s="66">
        <f>IFERROR(INDEX(tbl_Finance[Defer Start],$A363),"")</f>
        <v/>
      </c>
      <c r="I363" s="66">
        <f>IFERROR(INDEX(tbl_Finance[Defer End],$A363),"")</f>
        <v/>
      </c>
      <c r="J363" s="65">
        <f>IF(OR($H363="",$I363="",$G363=""),"",MAX(1,(YEAR($I363)-YEAR($H363))*12+MONTH($I363)-MONTH($H363)+1))</f>
        <v/>
      </c>
      <c r="K363" s="68">
        <f>IF($J363="","",$G363/$J363)</f>
        <v/>
      </c>
      <c r="L363" s="68">
        <f>IF($J363="",0,$K363*MAX(0,MIN(YEAR($C$3)*12+MONTH($C$3),YEAR($I363)*12+MONTH($I363))-(YEAR($H363)*12+MONTH($H363))+1))</f>
        <v/>
      </c>
      <c r="M363" s="68">
        <f>IF($J363="",0,$K363*MAX(0,MIN(YEAR($C$3)*12+MONTH($C$3)-1,YEAR($I363)*12+MONTH($I363))-(YEAR($H363)*12+MONTH($H363))+1))</f>
        <v/>
      </c>
      <c r="N363" s="68">
        <f>IF(OR($J363="",$B363=""),0,IF(YEAR($B363)*12+MONTH($B363)&lt;=YEAR($C$3)*12+MONTH($C$3),$G363,0))</f>
        <v/>
      </c>
      <c r="O363" s="68">
        <f>IF(OR($J363="",$B363=""),0,IF(YEAR($B363)*12+MONTH($B363)&lt;=YEAR($C$3)*12+MONTH($C$3)-1,$G363,0))</f>
        <v/>
      </c>
      <c r="P363" s="68">
        <f>$M363-$O363</f>
        <v/>
      </c>
      <c r="Q363" s="68">
        <f>($L363-$M363)-($N363-$O363)</f>
        <v/>
      </c>
      <c r="R363" s="68">
        <f>$L363-$N363</f>
        <v/>
      </c>
      <c r="S363" s="67">
        <f>"Finance invoice"</f>
        <v/>
      </c>
      <c r="T363" s="67">
        <f>"Revenue"</f>
        <v/>
      </c>
    </row>
    <row r="364">
      <c r="A364" s="65">
        <f>ROW()-5</f>
        <v/>
      </c>
      <c r="B364" s="66">
        <f>IFERROR(INDEX(tbl_Finance[Date],$A364),"")</f>
        <v/>
      </c>
      <c r="C364" s="67">
        <f>IFERROR(INDEX(tbl_Finance[Xero Invoice No],$A364),"")</f>
        <v/>
      </c>
      <c r="D364" s="67">
        <f>IFERROR(INDEX(tbl_Finance[Client],$A364),"")</f>
        <v/>
      </c>
      <c r="E364" s="67">
        <f>IFERROR(INDEX(tbl_Finance[Job Number],$A364),"")</f>
        <v/>
      </c>
      <c r="F364" s="67">
        <f>IFERROR(INDEX(tbl_Finance[Cost Centre],$A364),"")</f>
        <v/>
      </c>
      <c r="G364" s="68">
        <f>IFERROR(INDEX(tbl_Finance[Ex GST],$A364),"")</f>
        <v/>
      </c>
      <c r="H364" s="66">
        <f>IFERROR(INDEX(tbl_Finance[Defer Start],$A364),"")</f>
        <v/>
      </c>
      <c r="I364" s="66">
        <f>IFERROR(INDEX(tbl_Finance[Defer End],$A364),"")</f>
        <v/>
      </c>
      <c r="J364" s="65">
        <f>IF(OR($H364="",$I364="",$G364=""),"",MAX(1,(YEAR($I364)-YEAR($H364))*12+MONTH($I364)-MONTH($H364)+1))</f>
        <v/>
      </c>
      <c r="K364" s="68">
        <f>IF($J364="","",$G364/$J364)</f>
        <v/>
      </c>
      <c r="L364" s="68">
        <f>IF($J364="",0,$K364*MAX(0,MIN(YEAR($C$3)*12+MONTH($C$3),YEAR($I364)*12+MONTH($I364))-(YEAR($H364)*12+MONTH($H364))+1))</f>
        <v/>
      </c>
      <c r="M364" s="68">
        <f>IF($J364="",0,$K364*MAX(0,MIN(YEAR($C$3)*12+MONTH($C$3)-1,YEAR($I364)*12+MONTH($I364))-(YEAR($H364)*12+MONTH($H364))+1))</f>
        <v/>
      </c>
      <c r="N364" s="68">
        <f>IF(OR($J364="",$B364=""),0,IF(YEAR($B364)*12+MONTH($B364)&lt;=YEAR($C$3)*12+MONTH($C$3),$G364,0))</f>
        <v/>
      </c>
      <c r="O364" s="68">
        <f>IF(OR($J364="",$B364=""),0,IF(YEAR($B364)*12+MONTH($B364)&lt;=YEAR($C$3)*12+MONTH($C$3)-1,$G364,0))</f>
        <v/>
      </c>
      <c r="P364" s="68">
        <f>$M364-$O364</f>
        <v/>
      </c>
      <c r="Q364" s="68">
        <f>($L364-$M364)-($N364-$O364)</f>
        <v/>
      </c>
      <c r="R364" s="68">
        <f>$L364-$N364</f>
        <v/>
      </c>
      <c r="S364" s="67">
        <f>"Finance invoice"</f>
        <v/>
      </c>
      <c r="T364" s="67">
        <f>"Revenue"</f>
        <v/>
      </c>
    </row>
    <row r="365">
      <c r="A365" s="65">
        <f>ROW()-5</f>
        <v/>
      </c>
      <c r="B365" s="66">
        <f>IFERROR(INDEX(tbl_Finance[Date],$A365),"")</f>
        <v/>
      </c>
      <c r="C365" s="67">
        <f>IFERROR(INDEX(tbl_Finance[Xero Invoice No],$A365),"")</f>
        <v/>
      </c>
      <c r="D365" s="67">
        <f>IFERROR(INDEX(tbl_Finance[Client],$A365),"")</f>
        <v/>
      </c>
      <c r="E365" s="67">
        <f>IFERROR(INDEX(tbl_Finance[Job Number],$A365),"")</f>
        <v/>
      </c>
      <c r="F365" s="67">
        <f>IFERROR(INDEX(tbl_Finance[Cost Centre],$A365),"")</f>
        <v/>
      </c>
      <c r="G365" s="68">
        <f>IFERROR(INDEX(tbl_Finance[Ex GST],$A365),"")</f>
        <v/>
      </c>
      <c r="H365" s="66">
        <f>IFERROR(INDEX(tbl_Finance[Defer Start],$A365),"")</f>
        <v/>
      </c>
      <c r="I365" s="66">
        <f>IFERROR(INDEX(tbl_Finance[Defer End],$A365),"")</f>
        <v/>
      </c>
      <c r="J365" s="65">
        <f>IF(OR($H365="",$I365="",$G365=""),"",MAX(1,(YEAR($I365)-YEAR($H365))*12+MONTH($I365)-MONTH($H365)+1))</f>
        <v/>
      </c>
      <c r="K365" s="68">
        <f>IF($J365="","",$G365/$J365)</f>
        <v/>
      </c>
      <c r="L365" s="68">
        <f>IF($J365="",0,$K365*MAX(0,MIN(YEAR($C$3)*12+MONTH($C$3),YEAR($I365)*12+MONTH($I365))-(YEAR($H365)*12+MONTH($H365))+1))</f>
        <v/>
      </c>
      <c r="M365" s="68">
        <f>IF($J365="",0,$K365*MAX(0,MIN(YEAR($C$3)*12+MONTH($C$3)-1,YEAR($I365)*12+MONTH($I365))-(YEAR($H365)*12+MONTH($H365))+1))</f>
        <v/>
      </c>
      <c r="N365" s="68">
        <f>IF(OR($J365="",$B365=""),0,IF(YEAR($B365)*12+MONTH($B365)&lt;=YEAR($C$3)*12+MONTH($C$3),$G365,0))</f>
        <v/>
      </c>
      <c r="O365" s="68">
        <f>IF(OR($J365="",$B365=""),0,IF(YEAR($B365)*12+MONTH($B365)&lt;=YEAR($C$3)*12+MONTH($C$3)-1,$G365,0))</f>
        <v/>
      </c>
      <c r="P365" s="68">
        <f>$M365-$O365</f>
        <v/>
      </c>
      <c r="Q365" s="68">
        <f>($L365-$M365)-($N365-$O365)</f>
        <v/>
      </c>
      <c r="R365" s="68">
        <f>$L365-$N365</f>
        <v/>
      </c>
      <c r="S365" s="67">
        <f>"Finance invoice"</f>
        <v/>
      </c>
      <c r="T365" s="67">
        <f>"Revenue"</f>
        <v/>
      </c>
    </row>
    <row r="366">
      <c r="A366" s="65">
        <f>ROW()-5</f>
        <v/>
      </c>
      <c r="B366" s="66">
        <f>IFERROR(INDEX(tbl_Finance[Date],$A366),"")</f>
        <v/>
      </c>
      <c r="C366" s="67">
        <f>IFERROR(INDEX(tbl_Finance[Xero Invoice No],$A366),"")</f>
        <v/>
      </c>
      <c r="D366" s="67">
        <f>IFERROR(INDEX(tbl_Finance[Client],$A366),"")</f>
        <v/>
      </c>
      <c r="E366" s="67">
        <f>IFERROR(INDEX(tbl_Finance[Job Number],$A366),"")</f>
        <v/>
      </c>
      <c r="F366" s="67">
        <f>IFERROR(INDEX(tbl_Finance[Cost Centre],$A366),"")</f>
        <v/>
      </c>
      <c r="G366" s="68">
        <f>IFERROR(INDEX(tbl_Finance[Ex GST],$A366),"")</f>
        <v/>
      </c>
      <c r="H366" s="66">
        <f>IFERROR(INDEX(tbl_Finance[Defer Start],$A366),"")</f>
        <v/>
      </c>
      <c r="I366" s="66">
        <f>IFERROR(INDEX(tbl_Finance[Defer End],$A366),"")</f>
        <v/>
      </c>
      <c r="J366" s="65">
        <f>IF(OR($H366="",$I366="",$G366=""),"",MAX(1,(YEAR($I366)-YEAR($H366))*12+MONTH($I366)-MONTH($H366)+1))</f>
        <v/>
      </c>
      <c r="K366" s="68">
        <f>IF($J366="","",$G366/$J366)</f>
        <v/>
      </c>
      <c r="L366" s="68">
        <f>IF($J366="",0,$K366*MAX(0,MIN(YEAR($C$3)*12+MONTH($C$3),YEAR($I366)*12+MONTH($I366))-(YEAR($H366)*12+MONTH($H366))+1))</f>
        <v/>
      </c>
      <c r="M366" s="68">
        <f>IF($J366="",0,$K366*MAX(0,MIN(YEAR($C$3)*12+MONTH($C$3)-1,YEAR($I366)*12+MONTH($I366))-(YEAR($H366)*12+MONTH($H366))+1))</f>
        <v/>
      </c>
      <c r="N366" s="68">
        <f>IF(OR($J366="",$B366=""),0,IF(YEAR($B366)*12+MONTH($B366)&lt;=YEAR($C$3)*12+MONTH($C$3),$G366,0))</f>
        <v/>
      </c>
      <c r="O366" s="68">
        <f>IF(OR($J366="",$B366=""),0,IF(YEAR($B366)*12+MONTH($B366)&lt;=YEAR($C$3)*12+MONTH($C$3)-1,$G366,0))</f>
        <v/>
      </c>
      <c r="P366" s="68">
        <f>$M366-$O366</f>
        <v/>
      </c>
      <c r="Q366" s="68">
        <f>($L366-$M366)-($N366-$O366)</f>
        <v/>
      </c>
      <c r="R366" s="68">
        <f>$L366-$N366</f>
        <v/>
      </c>
      <c r="S366" s="67">
        <f>"Finance invoice"</f>
        <v/>
      </c>
      <c r="T366" s="67">
        <f>"Revenue"</f>
        <v/>
      </c>
    </row>
    <row r="367">
      <c r="A367" s="65">
        <f>ROW()-5</f>
        <v/>
      </c>
      <c r="B367" s="66">
        <f>IFERROR(INDEX(tbl_Finance[Date],$A367),"")</f>
        <v/>
      </c>
      <c r="C367" s="67">
        <f>IFERROR(INDEX(tbl_Finance[Xero Invoice No],$A367),"")</f>
        <v/>
      </c>
      <c r="D367" s="67">
        <f>IFERROR(INDEX(tbl_Finance[Client],$A367),"")</f>
        <v/>
      </c>
      <c r="E367" s="67">
        <f>IFERROR(INDEX(tbl_Finance[Job Number],$A367),"")</f>
        <v/>
      </c>
      <c r="F367" s="67">
        <f>IFERROR(INDEX(tbl_Finance[Cost Centre],$A367),"")</f>
        <v/>
      </c>
      <c r="G367" s="68">
        <f>IFERROR(INDEX(tbl_Finance[Ex GST],$A367),"")</f>
        <v/>
      </c>
      <c r="H367" s="66">
        <f>IFERROR(INDEX(tbl_Finance[Defer Start],$A367),"")</f>
        <v/>
      </c>
      <c r="I367" s="66">
        <f>IFERROR(INDEX(tbl_Finance[Defer End],$A367),"")</f>
        <v/>
      </c>
      <c r="J367" s="65">
        <f>IF(OR($H367="",$I367="",$G367=""),"",MAX(1,(YEAR($I367)-YEAR($H367))*12+MONTH($I367)-MONTH($H367)+1))</f>
        <v/>
      </c>
      <c r="K367" s="68">
        <f>IF($J367="","",$G367/$J367)</f>
        <v/>
      </c>
      <c r="L367" s="68">
        <f>IF($J367="",0,$K367*MAX(0,MIN(YEAR($C$3)*12+MONTH($C$3),YEAR($I367)*12+MONTH($I367))-(YEAR($H367)*12+MONTH($H367))+1))</f>
        <v/>
      </c>
      <c r="M367" s="68">
        <f>IF($J367="",0,$K367*MAX(0,MIN(YEAR($C$3)*12+MONTH($C$3)-1,YEAR($I367)*12+MONTH($I367))-(YEAR($H367)*12+MONTH($H367))+1))</f>
        <v/>
      </c>
      <c r="N367" s="68">
        <f>IF(OR($J367="",$B367=""),0,IF(YEAR($B367)*12+MONTH($B367)&lt;=YEAR($C$3)*12+MONTH($C$3),$G367,0))</f>
        <v/>
      </c>
      <c r="O367" s="68">
        <f>IF(OR($J367="",$B367=""),0,IF(YEAR($B367)*12+MONTH($B367)&lt;=YEAR($C$3)*12+MONTH($C$3)-1,$G367,0))</f>
        <v/>
      </c>
      <c r="P367" s="68">
        <f>$M367-$O367</f>
        <v/>
      </c>
      <c r="Q367" s="68">
        <f>($L367-$M367)-($N367-$O367)</f>
        <v/>
      </c>
      <c r="R367" s="68">
        <f>$L367-$N367</f>
        <v/>
      </c>
      <c r="S367" s="67">
        <f>"Finance invoice"</f>
        <v/>
      </c>
      <c r="T367" s="67">
        <f>"Revenue"</f>
        <v/>
      </c>
    </row>
    <row r="368">
      <c r="A368" s="65">
        <f>ROW()-5</f>
        <v/>
      </c>
      <c r="B368" s="66">
        <f>IFERROR(INDEX(tbl_Finance[Date],$A368),"")</f>
        <v/>
      </c>
      <c r="C368" s="67">
        <f>IFERROR(INDEX(tbl_Finance[Xero Invoice No],$A368),"")</f>
        <v/>
      </c>
      <c r="D368" s="67">
        <f>IFERROR(INDEX(tbl_Finance[Client],$A368),"")</f>
        <v/>
      </c>
      <c r="E368" s="67">
        <f>IFERROR(INDEX(tbl_Finance[Job Number],$A368),"")</f>
        <v/>
      </c>
      <c r="F368" s="67">
        <f>IFERROR(INDEX(tbl_Finance[Cost Centre],$A368),"")</f>
        <v/>
      </c>
      <c r="G368" s="68">
        <f>IFERROR(INDEX(tbl_Finance[Ex GST],$A368),"")</f>
        <v/>
      </c>
      <c r="H368" s="66">
        <f>IFERROR(INDEX(tbl_Finance[Defer Start],$A368),"")</f>
        <v/>
      </c>
      <c r="I368" s="66">
        <f>IFERROR(INDEX(tbl_Finance[Defer End],$A368),"")</f>
        <v/>
      </c>
      <c r="J368" s="65">
        <f>IF(OR($H368="",$I368="",$G368=""),"",MAX(1,(YEAR($I368)-YEAR($H368))*12+MONTH($I368)-MONTH($H368)+1))</f>
        <v/>
      </c>
      <c r="K368" s="68">
        <f>IF($J368="","",$G368/$J368)</f>
        <v/>
      </c>
      <c r="L368" s="68">
        <f>IF($J368="",0,$K368*MAX(0,MIN(YEAR($C$3)*12+MONTH($C$3),YEAR($I368)*12+MONTH($I368))-(YEAR($H368)*12+MONTH($H368))+1))</f>
        <v/>
      </c>
      <c r="M368" s="68">
        <f>IF($J368="",0,$K368*MAX(0,MIN(YEAR($C$3)*12+MONTH($C$3)-1,YEAR($I368)*12+MONTH($I368))-(YEAR($H368)*12+MONTH($H368))+1))</f>
        <v/>
      </c>
      <c r="N368" s="68">
        <f>IF(OR($J368="",$B368=""),0,IF(YEAR($B368)*12+MONTH($B368)&lt;=YEAR($C$3)*12+MONTH($C$3),$G368,0))</f>
        <v/>
      </c>
      <c r="O368" s="68">
        <f>IF(OR($J368="",$B368=""),0,IF(YEAR($B368)*12+MONTH($B368)&lt;=YEAR($C$3)*12+MONTH($C$3)-1,$G368,0))</f>
        <v/>
      </c>
      <c r="P368" s="68">
        <f>$M368-$O368</f>
        <v/>
      </c>
      <c r="Q368" s="68">
        <f>($L368-$M368)-($N368-$O368)</f>
        <v/>
      </c>
      <c r="R368" s="68">
        <f>$L368-$N368</f>
        <v/>
      </c>
      <c r="S368" s="67">
        <f>"Finance invoice"</f>
        <v/>
      </c>
      <c r="T368" s="67">
        <f>"Revenue"</f>
        <v/>
      </c>
    </row>
    <row r="369">
      <c r="A369" s="65">
        <f>ROW()-5</f>
        <v/>
      </c>
      <c r="B369" s="66">
        <f>IFERROR(INDEX(tbl_Finance[Date],$A369),"")</f>
        <v/>
      </c>
      <c r="C369" s="67">
        <f>IFERROR(INDEX(tbl_Finance[Xero Invoice No],$A369),"")</f>
        <v/>
      </c>
      <c r="D369" s="67">
        <f>IFERROR(INDEX(tbl_Finance[Client],$A369),"")</f>
        <v/>
      </c>
      <c r="E369" s="67">
        <f>IFERROR(INDEX(tbl_Finance[Job Number],$A369),"")</f>
        <v/>
      </c>
      <c r="F369" s="67">
        <f>IFERROR(INDEX(tbl_Finance[Cost Centre],$A369),"")</f>
        <v/>
      </c>
      <c r="G369" s="68">
        <f>IFERROR(INDEX(tbl_Finance[Ex GST],$A369),"")</f>
        <v/>
      </c>
      <c r="H369" s="66">
        <f>IFERROR(INDEX(tbl_Finance[Defer Start],$A369),"")</f>
        <v/>
      </c>
      <c r="I369" s="66">
        <f>IFERROR(INDEX(tbl_Finance[Defer End],$A369),"")</f>
        <v/>
      </c>
      <c r="J369" s="65">
        <f>IF(OR($H369="",$I369="",$G369=""),"",MAX(1,(YEAR($I369)-YEAR($H369))*12+MONTH($I369)-MONTH($H369)+1))</f>
        <v/>
      </c>
      <c r="K369" s="68">
        <f>IF($J369="","",$G369/$J369)</f>
        <v/>
      </c>
      <c r="L369" s="68">
        <f>IF($J369="",0,$K369*MAX(0,MIN(YEAR($C$3)*12+MONTH($C$3),YEAR($I369)*12+MONTH($I369))-(YEAR($H369)*12+MONTH($H369))+1))</f>
        <v/>
      </c>
      <c r="M369" s="68">
        <f>IF($J369="",0,$K369*MAX(0,MIN(YEAR($C$3)*12+MONTH($C$3)-1,YEAR($I369)*12+MONTH($I369))-(YEAR($H369)*12+MONTH($H369))+1))</f>
        <v/>
      </c>
      <c r="N369" s="68">
        <f>IF(OR($J369="",$B369=""),0,IF(YEAR($B369)*12+MONTH($B369)&lt;=YEAR($C$3)*12+MONTH($C$3),$G369,0))</f>
        <v/>
      </c>
      <c r="O369" s="68">
        <f>IF(OR($J369="",$B369=""),0,IF(YEAR($B369)*12+MONTH($B369)&lt;=YEAR($C$3)*12+MONTH($C$3)-1,$G369,0))</f>
        <v/>
      </c>
      <c r="P369" s="68">
        <f>$M369-$O369</f>
        <v/>
      </c>
      <c r="Q369" s="68">
        <f>($L369-$M369)-($N369-$O369)</f>
        <v/>
      </c>
      <c r="R369" s="68">
        <f>$L369-$N369</f>
        <v/>
      </c>
      <c r="S369" s="67">
        <f>"Finance invoice"</f>
        <v/>
      </c>
      <c r="T369" s="67">
        <f>"Revenue"</f>
        <v/>
      </c>
    </row>
    <row r="370">
      <c r="A370" s="65">
        <f>ROW()-5</f>
        <v/>
      </c>
      <c r="B370" s="66">
        <f>IFERROR(INDEX(tbl_Finance[Date],$A370),"")</f>
        <v/>
      </c>
      <c r="C370" s="67">
        <f>IFERROR(INDEX(tbl_Finance[Xero Invoice No],$A370),"")</f>
        <v/>
      </c>
      <c r="D370" s="67">
        <f>IFERROR(INDEX(tbl_Finance[Client],$A370),"")</f>
        <v/>
      </c>
      <c r="E370" s="67">
        <f>IFERROR(INDEX(tbl_Finance[Job Number],$A370),"")</f>
        <v/>
      </c>
      <c r="F370" s="67">
        <f>IFERROR(INDEX(tbl_Finance[Cost Centre],$A370),"")</f>
        <v/>
      </c>
      <c r="G370" s="68">
        <f>IFERROR(INDEX(tbl_Finance[Ex GST],$A370),"")</f>
        <v/>
      </c>
      <c r="H370" s="66">
        <f>IFERROR(INDEX(tbl_Finance[Defer Start],$A370),"")</f>
        <v/>
      </c>
      <c r="I370" s="66">
        <f>IFERROR(INDEX(tbl_Finance[Defer End],$A370),"")</f>
        <v/>
      </c>
      <c r="J370" s="65">
        <f>IF(OR($H370="",$I370="",$G370=""),"",MAX(1,(YEAR($I370)-YEAR($H370))*12+MONTH($I370)-MONTH($H370)+1))</f>
        <v/>
      </c>
      <c r="K370" s="68">
        <f>IF($J370="","",$G370/$J370)</f>
        <v/>
      </c>
      <c r="L370" s="68">
        <f>IF($J370="",0,$K370*MAX(0,MIN(YEAR($C$3)*12+MONTH($C$3),YEAR($I370)*12+MONTH($I370))-(YEAR($H370)*12+MONTH($H370))+1))</f>
        <v/>
      </c>
      <c r="M370" s="68">
        <f>IF($J370="",0,$K370*MAX(0,MIN(YEAR($C$3)*12+MONTH($C$3)-1,YEAR($I370)*12+MONTH($I370))-(YEAR($H370)*12+MONTH($H370))+1))</f>
        <v/>
      </c>
      <c r="N370" s="68">
        <f>IF(OR($J370="",$B370=""),0,IF(YEAR($B370)*12+MONTH($B370)&lt;=YEAR($C$3)*12+MONTH($C$3),$G370,0))</f>
        <v/>
      </c>
      <c r="O370" s="68">
        <f>IF(OR($J370="",$B370=""),0,IF(YEAR($B370)*12+MONTH($B370)&lt;=YEAR($C$3)*12+MONTH($C$3)-1,$G370,0))</f>
        <v/>
      </c>
      <c r="P370" s="68">
        <f>$M370-$O370</f>
        <v/>
      </c>
      <c r="Q370" s="68">
        <f>($L370-$M370)-($N370-$O370)</f>
        <v/>
      </c>
      <c r="R370" s="68">
        <f>$L370-$N370</f>
        <v/>
      </c>
      <c r="S370" s="67">
        <f>"Finance invoice"</f>
        <v/>
      </c>
      <c r="T370" s="67">
        <f>"Revenue"</f>
        <v/>
      </c>
    </row>
    <row r="371">
      <c r="A371" s="65">
        <f>ROW()-5</f>
        <v/>
      </c>
      <c r="B371" s="66">
        <f>IFERROR(INDEX(tbl_Finance[Date],$A371),"")</f>
        <v/>
      </c>
      <c r="C371" s="67">
        <f>IFERROR(INDEX(tbl_Finance[Xero Invoice No],$A371),"")</f>
        <v/>
      </c>
      <c r="D371" s="67">
        <f>IFERROR(INDEX(tbl_Finance[Client],$A371),"")</f>
        <v/>
      </c>
      <c r="E371" s="67">
        <f>IFERROR(INDEX(tbl_Finance[Job Number],$A371),"")</f>
        <v/>
      </c>
      <c r="F371" s="67">
        <f>IFERROR(INDEX(tbl_Finance[Cost Centre],$A371),"")</f>
        <v/>
      </c>
      <c r="G371" s="68">
        <f>IFERROR(INDEX(tbl_Finance[Ex GST],$A371),"")</f>
        <v/>
      </c>
      <c r="H371" s="66">
        <f>IFERROR(INDEX(tbl_Finance[Defer Start],$A371),"")</f>
        <v/>
      </c>
      <c r="I371" s="66">
        <f>IFERROR(INDEX(tbl_Finance[Defer End],$A371),"")</f>
        <v/>
      </c>
      <c r="J371" s="65">
        <f>IF(OR($H371="",$I371="",$G371=""),"",MAX(1,(YEAR($I371)-YEAR($H371))*12+MONTH($I371)-MONTH($H371)+1))</f>
        <v/>
      </c>
      <c r="K371" s="68">
        <f>IF($J371="","",$G371/$J371)</f>
        <v/>
      </c>
      <c r="L371" s="68">
        <f>IF($J371="",0,$K371*MAX(0,MIN(YEAR($C$3)*12+MONTH($C$3),YEAR($I371)*12+MONTH($I371))-(YEAR($H371)*12+MONTH($H371))+1))</f>
        <v/>
      </c>
      <c r="M371" s="68">
        <f>IF($J371="",0,$K371*MAX(0,MIN(YEAR($C$3)*12+MONTH($C$3)-1,YEAR($I371)*12+MONTH($I371))-(YEAR($H371)*12+MONTH($H371))+1))</f>
        <v/>
      </c>
      <c r="N371" s="68">
        <f>IF(OR($J371="",$B371=""),0,IF(YEAR($B371)*12+MONTH($B371)&lt;=YEAR($C$3)*12+MONTH($C$3),$G371,0))</f>
        <v/>
      </c>
      <c r="O371" s="68">
        <f>IF(OR($J371="",$B371=""),0,IF(YEAR($B371)*12+MONTH($B371)&lt;=YEAR($C$3)*12+MONTH($C$3)-1,$G371,0))</f>
        <v/>
      </c>
      <c r="P371" s="68">
        <f>$M371-$O371</f>
        <v/>
      </c>
      <c r="Q371" s="68">
        <f>($L371-$M371)-($N371-$O371)</f>
        <v/>
      </c>
      <c r="R371" s="68">
        <f>$L371-$N371</f>
        <v/>
      </c>
      <c r="S371" s="67">
        <f>"Finance invoice"</f>
        <v/>
      </c>
      <c r="T371" s="67">
        <f>"Revenue"</f>
        <v/>
      </c>
    </row>
    <row r="372">
      <c r="A372" s="65">
        <f>ROW()-5</f>
        <v/>
      </c>
      <c r="B372" s="66">
        <f>IFERROR(INDEX(tbl_Finance[Date],$A372),"")</f>
        <v/>
      </c>
      <c r="C372" s="67">
        <f>IFERROR(INDEX(tbl_Finance[Xero Invoice No],$A372),"")</f>
        <v/>
      </c>
      <c r="D372" s="67">
        <f>IFERROR(INDEX(tbl_Finance[Client],$A372),"")</f>
        <v/>
      </c>
      <c r="E372" s="67">
        <f>IFERROR(INDEX(tbl_Finance[Job Number],$A372),"")</f>
        <v/>
      </c>
      <c r="F372" s="67">
        <f>IFERROR(INDEX(tbl_Finance[Cost Centre],$A372),"")</f>
        <v/>
      </c>
      <c r="G372" s="68">
        <f>IFERROR(INDEX(tbl_Finance[Ex GST],$A372),"")</f>
        <v/>
      </c>
      <c r="H372" s="66">
        <f>IFERROR(INDEX(tbl_Finance[Defer Start],$A372),"")</f>
        <v/>
      </c>
      <c r="I372" s="66">
        <f>IFERROR(INDEX(tbl_Finance[Defer End],$A372),"")</f>
        <v/>
      </c>
      <c r="J372" s="65">
        <f>IF(OR($H372="",$I372="",$G372=""),"",MAX(1,(YEAR($I372)-YEAR($H372))*12+MONTH($I372)-MONTH($H372)+1))</f>
        <v/>
      </c>
      <c r="K372" s="68">
        <f>IF($J372="","",$G372/$J372)</f>
        <v/>
      </c>
      <c r="L372" s="68">
        <f>IF($J372="",0,$K372*MAX(0,MIN(YEAR($C$3)*12+MONTH($C$3),YEAR($I372)*12+MONTH($I372))-(YEAR($H372)*12+MONTH($H372))+1))</f>
        <v/>
      </c>
      <c r="M372" s="68">
        <f>IF($J372="",0,$K372*MAX(0,MIN(YEAR($C$3)*12+MONTH($C$3)-1,YEAR($I372)*12+MONTH($I372))-(YEAR($H372)*12+MONTH($H372))+1))</f>
        <v/>
      </c>
      <c r="N372" s="68">
        <f>IF(OR($J372="",$B372=""),0,IF(YEAR($B372)*12+MONTH($B372)&lt;=YEAR($C$3)*12+MONTH($C$3),$G372,0))</f>
        <v/>
      </c>
      <c r="O372" s="68">
        <f>IF(OR($J372="",$B372=""),0,IF(YEAR($B372)*12+MONTH($B372)&lt;=YEAR($C$3)*12+MONTH($C$3)-1,$G372,0))</f>
        <v/>
      </c>
      <c r="P372" s="68">
        <f>$M372-$O372</f>
        <v/>
      </c>
      <c r="Q372" s="68">
        <f>($L372-$M372)-($N372-$O372)</f>
        <v/>
      </c>
      <c r="R372" s="68">
        <f>$L372-$N372</f>
        <v/>
      </c>
      <c r="S372" s="67">
        <f>"Finance invoice"</f>
        <v/>
      </c>
      <c r="T372" s="67">
        <f>"Revenue"</f>
        <v/>
      </c>
    </row>
    <row r="373">
      <c r="A373" s="65">
        <f>ROW()-5</f>
        <v/>
      </c>
      <c r="B373" s="66">
        <f>IFERROR(INDEX(tbl_Finance[Date],$A373),"")</f>
        <v/>
      </c>
      <c r="C373" s="67">
        <f>IFERROR(INDEX(tbl_Finance[Xero Invoice No],$A373),"")</f>
        <v/>
      </c>
      <c r="D373" s="67">
        <f>IFERROR(INDEX(tbl_Finance[Client],$A373),"")</f>
        <v/>
      </c>
      <c r="E373" s="67">
        <f>IFERROR(INDEX(tbl_Finance[Job Number],$A373),"")</f>
        <v/>
      </c>
      <c r="F373" s="67">
        <f>IFERROR(INDEX(tbl_Finance[Cost Centre],$A373),"")</f>
        <v/>
      </c>
      <c r="G373" s="68">
        <f>IFERROR(INDEX(tbl_Finance[Ex GST],$A373),"")</f>
        <v/>
      </c>
      <c r="H373" s="66">
        <f>IFERROR(INDEX(tbl_Finance[Defer Start],$A373),"")</f>
        <v/>
      </c>
      <c r="I373" s="66">
        <f>IFERROR(INDEX(tbl_Finance[Defer End],$A373),"")</f>
        <v/>
      </c>
      <c r="J373" s="65">
        <f>IF(OR($H373="",$I373="",$G373=""),"",MAX(1,(YEAR($I373)-YEAR($H373))*12+MONTH($I373)-MONTH($H373)+1))</f>
        <v/>
      </c>
      <c r="K373" s="68">
        <f>IF($J373="","",$G373/$J373)</f>
        <v/>
      </c>
      <c r="L373" s="68">
        <f>IF($J373="",0,$K373*MAX(0,MIN(YEAR($C$3)*12+MONTH($C$3),YEAR($I373)*12+MONTH($I373))-(YEAR($H373)*12+MONTH($H373))+1))</f>
        <v/>
      </c>
      <c r="M373" s="68">
        <f>IF($J373="",0,$K373*MAX(0,MIN(YEAR($C$3)*12+MONTH($C$3)-1,YEAR($I373)*12+MONTH($I373))-(YEAR($H373)*12+MONTH($H373))+1))</f>
        <v/>
      </c>
      <c r="N373" s="68">
        <f>IF(OR($J373="",$B373=""),0,IF(YEAR($B373)*12+MONTH($B373)&lt;=YEAR($C$3)*12+MONTH($C$3),$G373,0))</f>
        <v/>
      </c>
      <c r="O373" s="68">
        <f>IF(OR($J373="",$B373=""),0,IF(YEAR($B373)*12+MONTH($B373)&lt;=YEAR($C$3)*12+MONTH($C$3)-1,$G373,0))</f>
        <v/>
      </c>
      <c r="P373" s="68">
        <f>$M373-$O373</f>
        <v/>
      </c>
      <c r="Q373" s="68">
        <f>($L373-$M373)-($N373-$O373)</f>
        <v/>
      </c>
      <c r="R373" s="68">
        <f>$L373-$N373</f>
        <v/>
      </c>
      <c r="S373" s="67">
        <f>"Finance invoice"</f>
        <v/>
      </c>
      <c r="T373" s="67">
        <f>"Revenue"</f>
        <v/>
      </c>
    </row>
    <row r="374">
      <c r="A374" s="65">
        <f>ROW()-5</f>
        <v/>
      </c>
      <c r="B374" s="66">
        <f>IFERROR(INDEX(tbl_Finance[Date],$A374),"")</f>
        <v/>
      </c>
      <c r="C374" s="67">
        <f>IFERROR(INDEX(tbl_Finance[Xero Invoice No],$A374),"")</f>
        <v/>
      </c>
      <c r="D374" s="67">
        <f>IFERROR(INDEX(tbl_Finance[Client],$A374),"")</f>
        <v/>
      </c>
      <c r="E374" s="67">
        <f>IFERROR(INDEX(tbl_Finance[Job Number],$A374),"")</f>
        <v/>
      </c>
      <c r="F374" s="67">
        <f>IFERROR(INDEX(tbl_Finance[Cost Centre],$A374),"")</f>
        <v/>
      </c>
      <c r="G374" s="68">
        <f>IFERROR(INDEX(tbl_Finance[Ex GST],$A374),"")</f>
        <v/>
      </c>
      <c r="H374" s="66">
        <f>IFERROR(INDEX(tbl_Finance[Defer Start],$A374),"")</f>
        <v/>
      </c>
      <c r="I374" s="66">
        <f>IFERROR(INDEX(tbl_Finance[Defer End],$A374),"")</f>
        <v/>
      </c>
      <c r="J374" s="65">
        <f>IF(OR($H374="",$I374="",$G374=""),"",MAX(1,(YEAR($I374)-YEAR($H374))*12+MONTH($I374)-MONTH($H374)+1))</f>
        <v/>
      </c>
      <c r="K374" s="68">
        <f>IF($J374="","",$G374/$J374)</f>
        <v/>
      </c>
      <c r="L374" s="68">
        <f>IF($J374="",0,$K374*MAX(0,MIN(YEAR($C$3)*12+MONTH($C$3),YEAR($I374)*12+MONTH($I374))-(YEAR($H374)*12+MONTH($H374))+1))</f>
        <v/>
      </c>
      <c r="M374" s="68">
        <f>IF($J374="",0,$K374*MAX(0,MIN(YEAR($C$3)*12+MONTH($C$3)-1,YEAR($I374)*12+MONTH($I374))-(YEAR($H374)*12+MONTH($H374))+1))</f>
        <v/>
      </c>
      <c r="N374" s="68">
        <f>IF(OR($J374="",$B374=""),0,IF(YEAR($B374)*12+MONTH($B374)&lt;=YEAR($C$3)*12+MONTH($C$3),$G374,0))</f>
        <v/>
      </c>
      <c r="O374" s="68">
        <f>IF(OR($J374="",$B374=""),0,IF(YEAR($B374)*12+MONTH($B374)&lt;=YEAR($C$3)*12+MONTH($C$3)-1,$G374,0))</f>
        <v/>
      </c>
      <c r="P374" s="68">
        <f>$M374-$O374</f>
        <v/>
      </c>
      <c r="Q374" s="68">
        <f>($L374-$M374)-($N374-$O374)</f>
        <v/>
      </c>
      <c r="R374" s="68">
        <f>$L374-$N374</f>
        <v/>
      </c>
      <c r="S374" s="67">
        <f>"Finance invoice"</f>
        <v/>
      </c>
      <c r="T374" s="67">
        <f>"Revenue"</f>
        <v/>
      </c>
    </row>
    <row r="375">
      <c r="A375" s="65">
        <f>ROW()-5</f>
        <v/>
      </c>
      <c r="B375" s="66">
        <f>IFERROR(INDEX(tbl_Finance[Date],$A375),"")</f>
        <v/>
      </c>
      <c r="C375" s="67">
        <f>IFERROR(INDEX(tbl_Finance[Xero Invoice No],$A375),"")</f>
        <v/>
      </c>
      <c r="D375" s="67">
        <f>IFERROR(INDEX(tbl_Finance[Client],$A375),"")</f>
        <v/>
      </c>
      <c r="E375" s="67">
        <f>IFERROR(INDEX(tbl_Finance[Job Number],$A375),"")</f>
        <v/>
      </c>
      <c r="F375" s="67">
        <f>IFERROR(INDEX(tbl_Finance[Cost Centre],$A375),"")</f>
        <v/>
      </c>
      <c r="G375" s="68">
        <f>IFERROR(INDEX(tbl_Finance[Ex GST],$A375),"")</f>
        <v/>
      </c>
      <c r="H375" s="66">
        <f>IFERROR(INDEX(tbl_Finance[Defer Start],$A375),"")</f>
        <v/>
      </c>
      <c r="I375" s="66">
        <f>IFERROR(INDEX(tbl_Finance[Defer End],$A375),"")</f>
        <v/>
      </c>
      <c r="J375" s="65">
        <f>IF(OR($H375="",$I375="",$G375=""),"",MAX(1,(YEAR($I375)-YEAR($H375))*12+MONTH($I375)-MONTH($H375)+1))</f>
        <v/>
      </c>
      <c r="K375" s="68">
        <f>IF($J375="","",$G375/$J375)</f>
        <v/>
      </c>
      <c r="L375" s="68">
        <f>IF($J375="",0,$K375*MAX(0,MIN(YEAR($C$3)*12+MONTH($C$3),YEAR($I375)*12+MONTH($I375))-(YEAR($H375)*12+MONTH($H375))+1))</f>
        <v/>
      </c>
      <c r="M375" s="68">
        <f>IF($J375="",0,$K375*MAX(0,MIN(YEAR($C$3)*12+MONTH($C$3)-1,YEAR($I375)*12+MONTH($I375))-(YEAR($H375)*12+MONTH($H375))+1))</f>
        <v/>
      </c>
      <c r="N375" s="68">
        <f>IF(OR($J375="",$B375=""),0,IF(YEAR($B375)*12+MONTH($B375)&lt;=YEAR($C$3)*12+MONTH($C$3),$G375,0))</f>
        <v/>
      </c>
      <c r="O375" s="68">
        <f>IF(OR($J375="",$B375=""),0,IF(YEAR($B375)*12+MONTH($B375)&lt;=YEAR($C$3)*12+MONTH($C$3)-1,$G375,0))</f>
        <v/>
      </c>
      <c r="P375" s="68">
        <f>$M375-$O375</f>
        <v/>
      </c>
      <c r="Q375" s="68">
        <f>($L375-$M375)-($N375-$O375)</f>
        <v/>
      </c>
      <c r="R375" s="68">
        <f>$L375-$N375</f>
        <v/>
      </c>
      <c r="S375" s="67">
        <f>"Finance invoice"</f>
        <v/>
      </c>
      <c r="T375" s="67">
        <f>"Revenue"</f>
        <v/>
      </c>
    </row>
    <row r="376">
      <c r="A376" s="65">
        <f>ROW()-5</f>
        <v/>
      </c>
      <c r="B376" s="66">
        <f>IFERROR(INDEX(tbl_Finance[Date],$A376),"")</f>
        <v/>
      </c>
      <c r="C376" s="67">
        <f>IFERROR(INDEX(tbl_Finance[Xero Invoice No],$A376),"")</f>
        <v/>
      </c>
      <c r="D376" s="67">
        <f>IFERROR(INDEX(tbl_Finance[Client],$A376),"")</f>
        <v/>
      </c>
      <c r="E376" s="67">
        <f>IFERROR(INDEX(tbl_Finance[Job Number],$A376),"")</f>
        <v/>
      </c>
      <c r="F376" s="67">
        <f>IFERROR(INDEX(tbl_Finance[Cost Centre],$A376),"")</f>
        <v/>
      </c>
      <c r="G376" s="68">
        <f>IFERROR(INDEX(tbl_Finance[Ex GST],$A376),"")</f>
        <v/>
      </c>
      <c r="H376" s="66">
        <f>IFERROR(INDEX(tbl_Finance[Defer Start],$A376),"")</f>
        <v/>
      </c>
      <c r="I376" s="66">
        <f>IFERROR(INDEX(tbl_Finance[Defer End],$A376),"")</f>
        <v/>
      </c>
      <c r="J376" s="65">
        <f>IF(OR($H376="",$I376="",$G376=""),"",MAX(1,(YEAR($I376)-YEAR($H376))*12+MONTH($I376)-MONTH($H376)+1))</f>
        <v/>
      </c>
      <c r="K376" s="68">
        <f>IF($J376="","",$G376/$J376)</f>
        <v/>
      </c>
      <c r="L376" s="68">
        <f>IF($J376="",0,$K376*MAX(0,MIN(YEAR($C$3)*12+MONTH($C$3),YEAR($I376)*12+MONTH($I376))-(YEAR($H376)*12+MONTH($H376))+1))</f>
        <v/>
      </c>
      <c r="M376" s="68">
        <f>IF($J376="",0,$K376*MAX(0,MIN(YEAR($C$3)*12+MONTH($C$3)-1,YEAR($I376)*12+MONTH($I376))-(YEAR($H376)*12+MONTH($H376))+1))</f>
        <v/>
      </c>
      <c r="N376" s="68">
        <f>IF(OR($J376="",$B376=""),0,IF(YEAR($B376)*12+MONTH($B376)&lt;=YEAR($C$3)*12+MONTH($C$3),$G376,0))</f>
        <v/>
      </c>
      <c r="O376" s="68">
        <f>IF(OR($J376="",$B376=""),0,IF(YEAR($B376)*12+MONTH($B376)&lt;=YEAR($C$3)*12+MONTH($C$3)-1,$G376,0))</f>
        <v/>
      </c>
      <c r="P376" s="68">
        <f>$M376-$O376</f>
        <v/>
      </c>
      <c r="Q376" s="68">
        <f>($L376-$M376)-($N376-$O376)</f>
        <v/>
      </c>
      <c r="R376" s="68">
        <f>$L376-$N376</f>
        <v/>
      </c>
      <c r="S376" s="67">
        <f>"Finance invoice"</f>
        <v/>
      </c>
      <c r="T376" s="67">
        <f>"Revenue"</f>
        <v/>
      </c>
    </row>
    <row r="377">
      <c r="A377" s="65">
        <f>ROW()-5</f>
        <v/>
      </c>
      <c r="B377" s="66">
        <f>IFERROR(INDEX(tbl_Finance[Date],$A377),"")</f>
        <v/>
      </c>
      <c r="C377" s="67">
        <f>IFERROR(INDEX(tbl_Finance[Xero Invoice No],$A377),"")</f>
        <v/>
      </c>
      <c r="D377" s="67">
        <f>IFERROR(INDEX(tbl_Finance[Client],$A377),"")</f>
        <v/>
      </c>
      <c r="E377" s="67">
        <f>IFERROR(INDEX(tbl_Finance[Job Number],$A377),"")</f>
        <v/>
      </c>
      <c r="F377" s="67">
        <f>IFERROR(INDEX(tbl_Finance[Cost Centre],$A377),"")</f>
        <v/>
      </c>
      <c r="G377" s="68">
        <f>IFERROR(INDEX(tbl_Finance[Ex GST],$A377),"")</f>
        <v/>
      </c>
      <c r="H377" s="66">
        <f>IFERROR(INDEX(tbl_Finance[Defer Start],$A377),"")</f>
        <v/>
      </c>
      <c r="I377" s="66">
        <f>IFERROR(INDEX(tbl_Finance[Defer End],$A377),"")</f>
        <v/>
      </c>
      <c r="J377" s="65">
        <f>IF(OR($H377="",$I377="",$G377=""),"",MAX(1,(YEAR($I377)-YEAR($H377))*12+MONTH($I377)-MONTH($H377)+1))</f>
        <v/>
      </c>
      <c r="K377" s="68">
        <f>IF($J377="","",$G377/$J377)</f>
        <v/>
      </c>
      <c r="L377" s="68">
        <f>IF($J377="",0,$K377*MAX(0,MIN(YEAR($C$3)*12+MONTH($C$3),YEAR($I377)*12+MONTH($I377))-(YEAR($H377)*12+MONTH($H377))+1))</f>
        <v/>
      </c>
      <c r="M377" s="68">
        <f>IF($J377="",0,$K377*MAX(0,MIN(YEAR($C$3)*12+MONTH($C$3)-1,YEAR($I377)*12+MONTH($I377))-(YEAR($H377)*12+MONTH($H377))+1))</f>
        <v/>
      </c>
      <c r="N377" s="68">
        <f>IF(OR($J377="",$B377=""),0,IF(YEAR($B377)*12+MONTH($B377)&lt;=YEAR($C$3)*12+MONTH($C$3),$G377,0))</f>
        <v/>
      </c>
      <c r="O377" s="68">
        <f>IF(OR($J377="",$B377=""),0,IF(YEAR($B377)*12+MONTH($B377)&lt;=YEAR($C$3)*12+MONTH($C$3)-1,$G377,0))</f>
        <v/>
      </c>
      <c r="P377" s="68">
        <f>$M377-$O377</f>
        <v/>
      </c>
      <c r="Q377" s="68">
        <f>($L377-$M377)-($N377-$O377)</f>
        <v/>
      </c>
      <c r="R377" s="68">
        <f>$L377-$N377</f>
        <v/>
      </c>
      <c r="S377" s="67">
        <f>"Finance invoice"</f>
        <v/>
      </c>
      <c r="T377" s="67">
        <f>"Revenue"</f>
        <v/>
      </c>
    </row>
    <row r="378">
      <c r="A378" s="65">
        <f>ROW()-5</f>
        <v/>
      </c>
      <c r="B378" s="66">
        <f>IFERROR(INDEX(tbl_Finance[Date],$A378),"")</f>
        <v/>
      </c>
      <c r="C378" s="67">
        <f>IFERROR(INDEX(tbl_Finance[Xero Invoice No],$A378),"")</f>
        <v/>
      </c>
      <c r="D378" s="67">
        <f>IFERROR(INDEX(tbl_Finance[Client],$A378),"")</f>
        <v/>
      </c>
      <c r="E378" s="67">
        <f>IFERROR(INDEX(tbl_Finance[Job Number],$A378),"")</f>
        <v/>
      </c>
      <c r="F378" s="67">
        <f>IFERROR(INDEX(tbl_Finance[Cost Centre],$A378),"")</f>
        <v/>
      </c>
      <c r="G378" s="68">
        <f>IFERROR(INDEX(tbl_Finance[Ex GST],$A378),"")</f>
        <v/>
      </c>
      <c r="H378" s="66">
        <f>IFERROR(INDEX(tbl_Finance[Defer Start],$A378),"")</f>
        <v/>
      </c>
      <c r="I378" s="66">
        <f>IFERROR(INDEX(tbl_Finance[Defer End],$A378),"")</f>
        <v/>
      </c>
      <c r="J378" s="65">
        <f>IF(OR($H378="",$I378="",$G378=""),"",MAX(1,(YEAR($I378)-YEAR($H378))*12+MONTH($I378)-MONTH($H378)+1))</f>
        <v/>
      </c>
      <c r="K378" s="68">
        <f>IF($J378="","",$G378/$J378)</f>
        <v/>
      </c>
      <c r="L378" s="68">
        <f>IF($J378="",0,$K378*MAX(0,MIN(YEAR($C$3)*12+MONTH($C$3),YEAR($I378)*12+MONTH($I378))-(YEAR($H378)*12+MONTH($H378))+1))</f>
        <v/>
      </c>
      <c r="M378" s="68">
        <f>IF($J378="",0,$K378*MAX(0,MIN(YEAR($C$3)*12+MONTH($C$3)-1,YEAR($I378)*12+MONTH($I378))-(YEAR($H378)*12+MONTH($H378))+1))</f>
        <v/>
      </c>
      <c r="N378" s="68">
        <f>IF(OR($J378="",$B378=""),0,IF(YEAR($B378)*12+MONTH($B378)&lt;=YEAR($C$3)*12+MONTH($C$3),$G378,0))</f>
        <v/>
      </c>
      <c r="O378" s="68">
        <f>IF(OR($J378="",$B378=""),0,IF(YEAR($B378)*12+MONTH($B378)&lt;=YEAR($C$3)*12+MONTH($C$3)-1,$G378,0))</f>
        <v/>
      </c>
      <c r="P378" s="68">
        <f>$M378-$O378</f>
        <v/>
      </c>
      <c r="Q378" s="68">
        <f>($L378-$M378)-($N378-$O378)</f>
        <v/>
      </c>
      <c r="R378" s="68">
        <f>$L378-$N378</f>
        <v/>
      </c>
      <c r="S378" s="67">
        <f>"Finance invoice"</f>
        <v/>
      </c>
      <c r="T378" s="67">
        <f>"Revenue"</f>
        <v/>
      </c>
    </row>
    <row r="379">
      <c r="A379" s="65">
        <f>ROW()-5</f>
        <v/>
      </c>
      <c r="B379" s="66">
        <f>IFERROR(INDEX(tbl_Finance[Date],$A379),"")</f>
        <v/>
      </c>
      <c r="C379" s="67">
        <f>IFERROR(INDEX(tbl_Finance[Xero Invoice No],$A379),"")</f>
        <v/>
      </c>
      <c r="D379" s="67">
        <f>IFERROR(INDEX(tbl_Finance[Client],$A379),"")</f>
        <v/>
      </c>
      <c r="E379" s="67">
        <f>IFERROR(INDEX(tbl_Finance[Job Number],$A379),"")</f>
        <v/>
      </c>
      <c r="F379" s="67">
        <f>IFERROR(INDEX(tbl_Finance[Cost Centre],$A379),"")</f>
        <v/>
      </c>
      <c r="G379" s="68">
        <f>IFERROR(INDEX(tbl_Finance[Ex GST],$A379),"")</f>
        <v/>
      </c>
      <c r="H379" s="66">
        <f>IFERROR(INDEX(tbl_Finance[Defer Start],$A379),"")</f>
        <v/>
      </c>
      <c r="I379" s="66">
        <f>IFERROR(INDEX(tbl_Finance[Defer End],$A379),"")</f>
        <v/>
      </c>
      <c r="J379" s="65">
        <f>IF(OR($H379="",$I379="",$G379=""),"",MAX(1,(YEAR($I379)-YEAR($H379))*12+MONTH($I379)-MONTH($H379)+1))</f>
        <v/>
      </c>
      <c r="K379" s="68">
        <f>IF($J379="","",$G379/$J379)</f>
        <v/>
      </c>
      <c r="L379" s="68">
        <f>IF($J379="",0,$K379*MAX(0,MIN(YEAR($C$3)*12+MONTH($C$3),YEAR($I379)*12+MONTH($I379))-(YEAR($H379)*12+MONTH($H379))+1))</f>
        <v/>
      </c>
      <c r="M379" s="68">
        <f>IF($J379="",0,$K379*MAX(0,MIN(YEAR($C$3)*12+MONTH($C$3)-1,YEAR($I379)*12+MONTH($I379))-(YEAR($H379)*12+MONTH($H379))+1))</f>
        <v/>
      </c>
      <c r="N379" s="68">
        <f>IF(OR($J379="",$B379=""),0,IF(YEAR($B379)*12+MONTH($B379)&lt;=YEAR($C$3)*12+MONTH($C$3),$G379,0))</f>
        <v/>
      </c>
      <c r="O379" s="68">
        <f>IF(OR($J379="",$B379=""),0,IF(YEAR($B379)*12+MONTH($B379)&lt;=YEAR($C$3)*12+MONTH($C$3)-1,$G379,0))</f>
        <v/>
      </c>
      <c r="P379" s="68">
        <f>$M379-$O379</f>
        <v/>
      </c>
      <c r="Q379" s="68">
        <f>($L379-$M379)-($N379-$O379)</f>
        <v/>
      </c>
      <c r="R379" s="68">
        <f>$L379-$N379</f>
        <v/>
      </c>
      <c r="S379" s="67">
        <f>"Finance invoice"</f>
        <v/>
      </c>
      <c r="T379" s="67">
        <f>"Revenue"</f>
        <v/>
      </c>
    </row>
    <row r="380">
      <c r="A380" s="65">
        <f>ROW()-5</f>
        <v/>
      </c>
      <c r="B380" s="66">
        <f>IFERROR(INDEX(tbl_Finance[Date],$A380),"")</f>
        <v/>
      </c>
      <c r="C380" s="67">
        <f>IFERROR(INDEX(tbl_Finance[Xero Invoice No],$A380),"")</f>
        <v/>
      </c>
      <c r="D380" s="67">
        <f>IFERROR(INDEX(tbl_Finance[Client],$A380),"")</f>
        <v/>
      </c>
      <c r="E380" s="67">
        <f>IFERROR(INDEX(tbl_Finance[Job Number],$A380),"")</f>
        <v/>
      </c>
      <c r="F380" s="67">
        <f>IFERROR(INDEX(tbl_Finance[Cost Centre],$A380),"")</f>
        <v/>
      </c>
      <c r="G380" s="68">
        <f>IFERROR(INDEX(tbl_Finance[Ex GST],$A380),"")</f>
        <v/>
      </c>
      <c r="H380" s="66">
        <f>IFERROR(INDEX(tbl_Finance[Defer Start],$A380),"")</f>
        <v/>
      </c>
      <c r="I380" s="66">
        <f>IFERROR(INDEX(tbl_Finance[Defer End],$A380),"")</f>
        <v/>
      </c>
      <c r="J380" s="65">
        <f>IF(OR($H380="",$I380="",$G380=""),"",MAX(1,(YEAR($I380)-YEAR($H380))*12+MONTH($I380)-MONTH($H380)+1))</f>
        <v/>
      </c>
      <c r="K380" s="68">
        <f>IF($J380="","",$G380/$J380)</f>
        <v/>
      </c>
      <c r="L380" s="68">
        <f>IF($J380="",0,$K380*MAX(0,MIN(YEAR($C$3)*12+MONTH($C$3),YEAR($I380)*12+MONTH($I380))-(YEAR($H380)*12+MONTH($H380))+1))</f>
        <v/>
      </c>
      <c r="M380" s="68">
        <f>IF($J380="",0,$K380*MAX(0,MIN(YEAR($C$3)*12+MONTH($C$3)-1,YEAR($I380)*12+MONTH($I380))-(YEAR($H380)*12+MONTH($H380))+1))</f>
        <v/>
      </c>
      <c r="N380" s="68">
        <f>IF(OR($J380="",$B380=""),0,IF(YEAR($B380)*12+MONTH($B380)&lt;=YEAR($C$3)*12+MONTH($C$3),$G380,0))</f>
        <v/>
      </c>
      <c r="O380" s="68">
        <f>IF(OR($J380="",$B380=""),0,IF(YEAR($B380)*12+MONTH($B380)&lt;=YEAR($C$3)*12+MONTH($C$3)-1,$G380,0))</f>
        <v/>
      </c>
      <c r="P380" s="68">
        <f>$M380-$O380</f>
        <v/>
      </c>
      <c r="Q380" s="68">
        <f>($L380-$M380)-($N380-$O380)</f>
        <v/>
      </c>
      <c r="R380" s="68">
        <f>$L380-$N380</f>
        <v/>
      </c>
      <c r="S380" s="67">
        <f>"Finance invoice"</f>
        <v/>
      </c>
      <c r="T380" s="67">
        <f>"Revenue"</f>
        <v/>
      </c>
    </row>
    <row r="381">
      <c r="A381" s="65">
        <f>ROW()-5</f>
        <v/>
      </c>
      <c r="B381" s="66">
        <f>IFERROR(INDEX(tbl_Finance[Date],$A381),"")</f>
        <v/>
      </c>
      <c r="C381" s="67">
        <f>IFERROR(INDEX(tbl_Finance[Xero Invoice No],$A381),"")</f>
        <v/>
      </c>
      <c r="D381" s="67">
        <f>IFERROR(INDEX(tbl_Finance[Client],$A381),"")</f>
        <v/>
      </c>
      <c r="E381" s="67">
        <f>IFERROR(INDEX(tbl_Finance[Job Number],$A381),"")</f>
        <v/>
      </c>
      <c r="F381" s="67">
        <f>IFERROR(INDEX(tbl_Finance[Cost Centre],$A381),"")</f>
        <v/>
      </c>
      <c r="G381" s="68">
        <f>IFERROR(INDEX(tbl_Finance[Ex GST],$A381),"")</f>
        <v/>
      </c>
      <c r="H381" s="66">
        <f>IFERROR(INDEX(tbl_Finance[Defer Start],$A381),"")</f>
        <v/>
      </c>
      <c r="I381" s="66">
        <f>IFERROR(INDEX(tbl_Finance[Defer End],$A381),"")</f>
        <v/>
      </c>
      <c r="J381" s="65">
        <f>IF(OR($H381="",$I381="",$G381=""),"",MAX(1,(YEAR($I381)-YEAR($H381))*12+MONTH($I381)-MONTH($H381)+1))</f>
        <v/>
      </c>
      <c r="K381" s="68">
        <f>IF($J381="","",$G381/$J381)</f>
        <v/>
      </c>
      <c r="L381" s="68">
        <f>IF($J381="",0,$K381*MAX(0,MIN(YEAR($C$3)*12+MONTH($C$3),YEAR($I381)*12+MONTH($I381))-(YEAR($H381)*12+MONTH($H381))+1))</f>
        <v/>
      </c>
      <c r="M381" s="68">
        <f>IF($J381="",0,$K381*MAX(0,MIN(YEAR($C$3)*12+MONTH($C$3)-1,YEAR($I381)*12+MONTH($I381))-(YEAR($H381)*12+MONTH($H381))+1))</f>
        <v/>
      </c>
      <c r="N381" s="68">
        <f>IF(OR($J381="",$B381=""),0,IF(YEAR($B381)*12+MONTH($B381)&lt;=YEAR($C$3)*12+MONTH($C$3),$G381,0))</f>
        <v/>
      </c>
      <c r="O381" s="68">
        <f>IF(OR($J381="",$B381=""),0,IF(YEAR($B381)*12+MONTH($B381)&lt;=YEAR($C$3)*12+MONTH($C$3)-1,$G381,0))</f>
        <v/>
      </c>
      <c r="P381" s="68">
        <f>$M381-$O381</f>
        <v/>
      </c>
      <c r="Q381" s="68">
        <f>($L381-$M381)-($N381-$O381)</f>
        <v/>
      </c>
      <c r="R381" s="68">
        <f>$L381-$N381</f>
        <v/>
      </c>
      <c r="S381" s="67">
        <f>"Finance invoice"</f>
        <v/>
      </c>
      <c r="T381" s="67">
        <f>"Revenue"</f>
        <v/>
      </c>
    </row>
    <row r="382">
      <c r="A382" s="65">
        <f>ROW()-5</f>
        <v/>
      </c>
      <c r="B382" s="66">
        <f>IFERROR(INDEX(tbl_Finance[Date],$A382),"")</f>
        <v/>
      </c>
      <c r="C382" s="67">
        <f>IFERROR(INDEX(tbl_Finance[Xero Invoice No],$A382),"")</f>
        <v/>
      </c>
      <c r="D382" s="67">
        <f>IFERROR(INDEX(tbl_Finance[Client],$A382),"")</f>
        <v/>
      </c>
      <c r="E382" s="67">
        <f>IFERROR(INDEX(tbl_Finance[Job Number],$A382),"")</f>
        <v/>
      </c>
      <c r="F382" s="67">
        <f>IFERROR(INDEX(tbl_Finance[Cost Centre],$A382),"")</f>
        <v/>
      </c>
      <c r="G382" s="68">
        <f>IFERROR(INDEX(tbl_Finance[Ex GST],$A382),"")</f>
        <v/>
      </c>
      <c r="H382" s="66">
        <f>IFERROR(INDEX(tbl_Finance[Defer Start],$A382),"")</f>
        <v/>
      </c>
      <c r="I382" s="66">
        <f>IFERROR(INDEX(tbl_Finance[Defer End],$A382),"")</f>
        <v/>
      </c>
      <c r="J382" s="65">
        <f>IF(OR($H382="",$I382="",$G382=""),"",MAX(1,(YEAR($I382)-YEAR($H382))*12+MONTH($I382)-MONTH($H382)+1))</f>
        <v/>
      </c>
      <c r="K382" s="68">
        <f>IF($J382="","",$G382/$J382)</f>
        <v/>
      </c>
      <c r="L382" s="68">
        <f>IF($J382="",0,$K382*MAX(0,MIN(YEAR($C$3)*12+MONTH($C$3),YEAR($I382)*12+MONTH($I382))-(YEAR($H382)*12+MONTH($H382))+1))</f>
        <v/>
      </c>
      <c r="M382" s="68">
        <f>IF($J382="",0,$K382*MAX(0,MIN(YEAR($C$3)*12+MONTH($C$3)-1,YEAR($I382)*12+MONTH($I382))-(YEAR($H382)*12+MONTH($H382))+1))</f>
        <v/>
      </c>
      <c r="N382" s="68">
        <f>IF(OR($J382="",$B382=""),0,IF(YEAR($B382)*12+MONTH($B382)&lt;=YEAR($C$3)*12+MONTH($C$3),$G382,0))</f>
        <v/>
      </c>
      <c r="O382" s="68">
        <f>IF(OR($J382="",$B382=""),0,IF(YEAR($B382)*12+MONTH($B382)&lt;=YEAR($C$3)*12+MONTH($C$3)-1,$G382,0))</f>
        <v/>
      </c>
      <c r="P382" s="68">
        <f>$M382-$O382</f>
        <v/>
      </c>
      <c r="Q382" s="68">
        <f>($L382-$M382)-($N382-$O382)</f>
        <v/>
      </c>
      <c r="R382" s="68">
        <f>$L382-$N382</f>
        <v/>
      </c>
      <c r="S382" s="67">
        <f>"Finance invoice"</f>
        <v/>
      </c>
      <c r="T382" s="67">
        <f>"Revenue"</f>
        <v/>
      </c>
    </row>
    <row r="383">
      <c r="A383" s="65">
        <f>ROW()-5</f>
        <v/>
      </c>
      <c r="B383" s="66">
        <f>IFERROR(INDEX(tbl_Finance[Date],$A383),"")</f>
        <v/>
      </c>
      <c r="C383" s="67">
        <f>IFERROR(INDEX(tbl_Finance[Xero Invoice No],$A383),"")</f>
        <v/>
      </c>
      <c r="D383" s="67">
        <f>IFERROR(INDEX(tbl_Finance[Client],$A383),"")</f>
        <v/>
      </c>
      <c r="E383" s="67">
        <f>IFERROR(INDEX(tbl_Finance[Job Number],$A383),"")</f>
        <v/>
      </c>
      <c r="F383" s="67">
        <f>IFERROR(INDEX(tbl_Finance[Cost Centre],$A383),"")</f>
        <v/>
      </c>
      <c r="G383" s="68">
        <f>IFERROR(INDEX(tbl_Finance[Ex GST],$A383),"")</f>
        <v/>
      </c>
      <c r="H383" s="66">
        <f>IFERROR(INDEX(tbl_Finance[Defer Start],$A383),"")</f>
        <v/>
      </c>
      <c r="I383" s="66">
        <f>IFERROR(INDEX(tbl_Finance[Defer End],$A383),"")</f>
        <v/>
      </c>
      <c r="J383" s="65">
        <f>IF(OR($H383="",$I383="",$G383=""),"",MAX(1,(YEAR($I383)-YEAR($H383))*12+MONTH($I383)-MONTH($H383)+1))</f>
        <v/>
      </c>
      <c r="K383" s="68">
        <f>IF($J383="","",$G383/$J383)</f>
        <v/>
      </c>
      <c r="L383" s="68">
        <f>IF($J383="",0,$K383*MAX(0,MIN(YEAR($C$3)*12+MONTH($C$3),YEAR($I383)*12+MONTH($I383))-(YEAR($H383)*12+MONTH($H383))+1))</f>
        <v/>
      </c>
      <c r="M383" s="68">
        <f>IF($J383="",0,$K383*MAX(0,MIN(YEAR($C$3)*12+MONTH($C$3)-1,YEAR($I383)*12+MONTH($I383))-(YEAR($H383)*12+MONTH($H383))+1))</f>
        <v/>
      </c>
      <c r="N383" s="68">
        <f>IF(OR($J383="",$B383=""),0,IF(YEAR($B383)*12+MONTH($B383)&lt;=YEAR($C$3)*12+MONTH($C$3),$G383,0))</f>
        <v/>
      </c>
      <c r="O383" s="68">
        <f>IF(OR($J383="",$B383=""),0,IF(YEAR($B383)*12+MONTH($B383)&lt;=YEAR($C$3)*12+MONTH($C$3)-1,$G383,0))</f>
        <v/>
      </c>
      <c r="P383" s="68">
        <f>$M383-$O383</f>
        <v/>
      </c>
      <c r="Q383" s="68">
        <f>($L383-$M383)-($N383-$O383)</f>
        <v/>
      </c>
      <c r="R383" s="68">
        <f>$L383-$N383</f>
        <v/>
      </c>
      <c r="S383" s="67">
        <f>"Finance invoice"</f>
        <v/>
      </c>
      <c r="T383" s="67">
        <f>"Revenue"</f>
        <v/>
      </c>
    </row>
    <row r="384">
      <c r="A384" s="65">
        <f>ROW()-5</f>
        <v/>
      </c>
      <c r="B384" s="66">
        <f>IFERROR(INDEX(tbl_Finance[Date],$A384),"")</f>
        <v/>
      </c>
      <c r="C384" s="67">
        <f>IFERROR(INDEX(tbl_Finance[Xero Invoice No],$A384),"")</f>
        <v/>
      </c>
      <c r="D384" s="67">
        <f>IFERROR(INDEX(tbl_Finance[Client],$A384),"")</f>
        <v/>
      </c>
      <c r="E384" s="67">
        <f>IFERROR(INDEX(tbl_Finance[Job Number],$A384),"")</f>
        <v/>
      </c>
      <c r="F384" s="67">
        <f>IFERROR(INDEX(tbl_Finance[Cost Centre],$A384),"")</f>
        <v/>
      </c>
      <c r="G384" s="68">
        <f>IFERROR(INDEX(tbl_Finance[Ex GST],$A384),"")</f>
        <v/>
      </c>
      <c r="H384" s="66">
        <f>IFERROR(INDEX(tbl_Finance[Defer Start],$A384),"")</f>
        <v/>
      </c>
      <c r="I384" s="66">
        <f>IFERROR(INDEX(tbl_Finance[Defer End],$A384),"")</f>
        <v/>
      </c>
      <c r="J384" s="65">
        <f>IF(OR($H384="",$I384="",$G384=""),"",MAX(1,(YEAR($I384)-YEAR($H384))*12+MONTH($I384)-MONTH($H384)+1))</f>
        <v/>
      </c>
      <c r="K384" s="68">
        <f>IF($J384="","",$G384/$J384)</f>
        <v/>
      </c>
      <c r="L384" s="68">
        <f>IF($J384="",0,$K384*MAX(0,MIN(YEAR($C$3)*12+MONTH($C$3),YEAR($I384)*12+MONTH($I384))-(YEAR($H384)*12+MONTH($H384))+1))</f>
        <v/>
      </c>
      <c r="M384" s="68">
        <f>IF($J384="",0,$K384*MAX(0,MIN(YEAR($C$3)*12+MONTH($C$3)-1,YEAR($I384)*12+MONTH($I384))-(YEAR($H384)*12+MONTH($H384))+1))</f>
        <v/>
      </c>
      <c r="N384" s="68">
        <f>IF(OR($J384="",$B384=""),0,IF(YEAR($B384)*12+MONTH($B384)&lt;=YEAR($C$3)*12+MONTH($C$3),$G384,0))</f>
        <v/>
      </c>
      <c r="O384" s="68">
        <f>IF(OR($J384="",$B384=""),0,IF(YEAR($B384)*12+MONTH($B384)&lt;=YEAR($C$3)*12+MONTH($C$3)-1,$G384,0))</f>
        <v/>
      </c>
      <c r="P384" s="68">
        <f>$M384-$O384</f>
        <v/>
      </c>
      <c r="Q384" s="68">
        <f>($L384-$M384)-($N384-$O384)</f>
        <v/>
      </c>
      <c r="R384" s="68">
        <f>$L384-$N384</f>
        <v/>
      </c>
      <c r="S384" s="67">
        <f>"Finance invoice"</f>
        <v/>
      </c>
      <c r="T384" s="67">
        <f>"Revenue"</f>
        <v/>
      </c>
    </row>
    <row r="385">
      <c r="A385" s="65">
        <f>ROW()-5</f>
        <v/>
      </c>
      <c r="B385" s="66">
        <f>IFERROR(INDEX(tbl_Finance[Date],$A385),"")</f>
        <v/>
      </c>
      <c r="C385" s="67">
        <f>IFERROR(INDEX(tbl_Finance[Xero Invoice No],$A385),"")</f>
        <v/>
      </c>
      <c r="D385" s="67">
        <f>IFERROR(INDEX(tbl_Finance[Client],$A385),"")</f>
        <v/>
      </c>
      <c r="E385" s="67">
        <f>IFERROR(INDEX(tbl_Finance[Job Number],$A385),"")</f>
        <v/>
      </c>
      <c r="F385" s="67">
        <f>IFERROR(INDEX(tbl_Finance[Cost Centre],$A385),"")</f>
        <v/>
      </c>
      <c r="G385" s="68">
        <f>IFERROR(INDEX(tbl_Finance[Ex GST],$A385),"")</f>
        <v/>
      </c>
      <c r="H385" s="66">
        <f>IFERROR(INDEX(tbl_Finance[Defer Start],$A385),"")</f>
        <v/>
      </c>
      <c r="I385" s="66">
        <f>IFERROR(INDEX(tbl_Finance[Defer End],$A385),"")</f>
        <v/>
      </c>
      <c r="J385" s="65">
        <f>IF(OR($H385="",$I385="",$G385=""),"",MAX(1,(YEAR($I385)-YEAR($H385))*12+MONTH($I385)-MONTH($H385)+1))</f>
        <v/>
      </c>
      <c r="K385" s="68">
        <f>IF($J385="","",$G385/$J385)</f>
        <v/>
      </c>
      <c r="L385" s="68">
        <f>IF($J385="",0,$K385*MAX(0,MIN(YEAR($C$3)*12+MONTH($C$3),YEAR($I385)*12+MONTH($I385))-(YEAR($H385)*12+MONTH($H385))+1))</f>
        <v/>
      </c>
      <c r="M385" s="68">
        <f>IF($J385="",0,$K385*MAX(0,MIN(YEAR($C$3)*12+MONTH($C$3)-1,YEAR($I385)*12+MONTH($I385))-(YEAR($H385)*12+MONTH($H385))+1))</f>
        <v/>
      </c>
      <c r="N385" s="68">
        <f>IF(OR($J385="",$B385=""),0,IF(YEAR($B385)*12+MONTH($B385)&lt;=YEAR($C$3)*12+MONTH($C$3),$G385,0))</f>
        <v/>
      </c>
      <c r="O385" s="68">
        <f>IF(OR($J385="",$B385=""),0,IF(YEAR($B385)*12+MONTH($B385)&lt;=YEAR($C$3)*12+MONTH($C$3)-1,$G385,0))</f>
        <v/>
      </c>
      <c r="P385" s="68">
        <f>$M385-$O385</f>
        <v/>
      </c>
      <c r="Q385" s="68">
        <f>($L385-$M385)-($N385-$O385)</f>
        <v/>
      </c>
      <c r="R385" s="68">
        <f>$L385-$N385</f>
        <v/>
      </c>
      <c r="S385" s="67">
        <f>"Finance invoice"</f>
        <v/>
      </c>
      <c r="T385" s="67">
        <f>"Revenue"</f>
        <v/>
      </c>
    </row>
    <row r="386">
      <c r="A386" s="65">
        <f>ROW()-5</f>
        <v/>
      </c>
      <c r="B386" s="66">
        <f>IFERROR(INDEX(tbl_Finance[Date],$A386),"")</f>
        <v/>
      </c>
      <c r="C386" s="67">
        <f>IFERROR(INDEX(tbl_Finance[Xero Invoice No],$A386),"")</f>
        <v/>
      </c>
      <c r="D386" s="67">
        <f>IFERROR(INDEX(tbl_Finance[Client],$A386),"")</f>
        <v/>
      </c>
      <c r="E386" s="67">
        <f>IFERROR(INDEX(tbl_Finance[Job Number],$A386),"")</f>
        <v/>
      </c>
      <c r="F386" s="67">
        <f>IFERROR(INDEX(tbl_Finance[Cost Centre],$A386),"")</f>
        <v/>
      </c>
      <c r="G386" s="68">
        <f>IFERROR(INDEX(tbl_Finance[Ex GST],$A386),"")</f>
        <v/>
      </c>
      <c r="H386" s="66">
        <f>IFERROR(INDEX(tbl_Finance[Defer Start],$A386),"")</f>
        <v/>
      </c>
      <c r="I386" s="66">
        <f>IFERROR(INDEX(tbl_Finance[Defer End],$A386),"")</f>
        <v/>
      </c>
      <c r="J386" s="65">
        <f>IF(OR($H386="",$I386="",$G386=""),"",MAX(1,(YEAR($I386)-YEAR($H386))*12+MONTH($I386)-MONTH($H386)+1))</f>
        <v/>
      </c>
      <c r="K386" s="68">
        <f>IF($J386="","",$G386/$J386)</f>
        <v/>
      </c>
      <c r="L386" s="68">
        <f>IF($J386="",0,$K386*MAX(0,MIN(YEAR($C$3)*12+MONTH($C$3),YEAR($I386)*12+MONTH($I386))-(YEAR($H386)*12+MONTH($H386))+1))</f>
        <v/>
      </c>
      <c r="M386" s="68">
        <f>IF($J386="",0,$K386*MAX(0,MIN(YEAR($C$3)*12+MONTH($C$3)-1,YEAR($I386)*12+MONTH($I386))-(YEAR($H386)*12+MONTH($H386))+1))</f>
        <v/>
      </c>
      <c r="N386" s="68">
        <f>IF(OR($J386="",$B386=""),0,IF(YEAR($B386)*12+MONTH($B386)&lt;=YEAR($C$3)*12+MONTH($C$3),$G386,0))</f>
        <v/>
      </c>
      <c r="O386" s="68">
        <f>IF(OR($J386="",$B386=""),0,IF(YEAR($B386)*12+MONTH($B386)&lt;=YEAR($C$3)*12+MONTH($C$3)-1,$G386,0))</f>
        <v/>
      </c>
      <c r="P386" s="68">
        <f>$M386-$O386</f>
        <v/>
      </c>
      <c r="Q386" s="68">
        <f>($L386-$M386)-($N386-$O386)</f>
        <v/>
      </c>
      <c r="R386" s="68">
        <f>$L386-$N386</f>
        <v/>
      </c>
      <c r="S386" s="67">
        <f>"Finance invoice"</f>
        <v/>
      </c>
      <c r="T386" s="67">
        <f>"Revenue"</f>
        <v/>
      </c>
    </row>
    <row r="387">
      <c r="A387" s="65">
        <f>ROW()-5</f>
        <v/>
      </c>
      <c r="B387" s="66">
        <f>IFERROR(INDEX(tbl_Finance[Date],$A387),"")</f>
        <v/>
      </c>
      <c r="C387" s="67">
        <f>IFERROR(INDEX(tbl_Finance[Xero Invoice No],$A387),"")</f>
        <v/>
      </c>
      <c r="D387" s="67">
        <f>IFERROR(INDEX(tbl_Finance[Client],$A387),"")</f>
        <v/>
      </c>
      <c r="E387" s="67">
        <f>IFERROR(INDEX(tbl_Finance[Job Number],$A387),"")</f>
        <v/>
      </c>
      <c r="F387" s="67">
        <f>IFERROR(INDEX(tbl_Finance[Cost Centre],$A387),"")</f>
        <v/>
      </c>
      <c r="G387" s="68">
        <f>IFERROR(INDEX(tbl_Finance[Ex GST],$A387),"")</f>
        <v/>
      </c>
      <c r="H387" s="66">
        <f>IFERROR(INDEX(tbl_Finance[Defer Start],$A387),"")</f>
        <v/>
      </c>
      <c r="I387" s="66">
        <f>IFERROR(INDEX(tbl_Finance[Defer End],$A387),"")</f>
        <v/>
      </c>
      <c r="J387" s="65">
        <f>IF(OR($H387="",$I387="",$G387=""),"",MAX(1,(YEAR($I387)-YEAR($H387))*12+MONTH($I387)-MONTH($H387)+1))</f>
        <v/>
      </c>
      <c r="K387" s="68">
        <f>IF($J387="","",$G387/$J387)</f>
        <v/>
      </c>
      <c r="L387" s="68">
        <f>IF($J387="",0,$K387*MAX(0,MIN(YEAR($C$3)*12+MONTH($C$3),YEAR($I387)*12+MONTH($I387))-(YEAR($H387)*12+MONTH($H387))+1))</f>
        <v/>
      </c>
      <c r="M387" s="68">
        <f>IF($J387="",0,$K387*MAX(0,MIN(YEAR($C$3)*12+MONTH($C$3)-1,YEAR($I387)*12+MONTH($I387))-(YEAR($H387)*12+MONTH($H387))+1))</f>
        <v/>
      </c>
      <c r="N387" s="68">
        <f>IF(OR($J387="",$B387=""),0,IF(YEAR($B387)*12+MONTH($B387)&lt;=YEAR($C$3)*12+MONTH($C$3),$G387,0))</f>
        <v/>
      </c>
      <c r="O387" s="68">
        <f>IF(OR($J387="",$B387=""),0,IF(YEAR($B387)*12+MONTH($B387)&lt;=YEAR($C$3)*12+MONTH($C$3)-1,$G387,0))</f>
        <v/>
      </c>
      <c r="P387" s="68">
        <f>$M387-$O387</f>
        <v/>
      </c>
      <c r="Q387" s="68">
        <f>($L387-$M387)-($N387-$O387)</f>
        <v/>
      </c>
      <c r="R387" s="68">
        <f>$L387-$N387</f>
        <v/>
      </c>
      <c r="S387" s="67">
        <f>"Finance invoice"</f>
        <v/>
      </c>
      <c r="T387" s="67">
        <f>"Revenue"</f>
        <v/>
      </c>
    </row>
    <row r="388">
      <c r="A388" s="65">
        <f>ROW()-5</f>
        <v/>
      </c>
      <c r="B388" s="66">
        <f>IFERROR(INDEX(tbl_Finance[Date],$A388),"")</f>
        <v/>
      </c>
      <c r="C388" s="67">
        <f>IFERROR(INDEX(tbl_Finance[Xero Invoice No],$A388),"")</f>
        <v/>
      </c>
      <c r="D388" s="67">
        <f>IFERROR(INDEX(tbl_Finance[Client],$A388),"")</f>
        <v/>
      </c>
      <c r="E388" s="67">
        <f>IFERROR(INDEX(tbl_Finance[Job Number],$A388),"")</f>
        <v/>
      </c>
      <c r="F388" s="67">
        <f>IFERROR(INDEX(tbl_Finance[Cost Centre],$A388),"")</f>
        <v/>
      </c>
      <c r="G388" s="68">
        <f>IFERROR(INDEX(tbl_Finance[Ex GST],$A388),"")</f>
        <v/>
      </c>
      <c r="H388" s="66">
        <f>IFERROR(INDEX(tbl_Finance[Defer Start],$A388),"")</f>
        <v/>
      </c>
      <c r="I388" s="66">
        <f>IFERROR(INDEX(tbl_Finance[Defer End],$A388),"")</f>
        <v/>
      </c>
      <c r="J388" s="65">
        <f>IF(OR($H388="",$I388="",$G388=""),"",MAX(1,(YEAR($I388)-YEAR($H388))*12+MONTH($I388)-MONTH($H388)+1))</f>
        <v/>
      </c>
      <c r="K388" s="68">
        <f>IF($J388="","",$G388/$J388)</f>
        <v/>
      </c>
      <c r="L388" s="68">
        <f>IF($J388="",0,$K388*MAX(0,MIN(YEAR($C$3)*12+MONTH($C$3),YEAR($I388)*12+MONTH($I388))-(YEAR($H388)*12+MONTH($H388))+1))</f>
        <v/>
      </c>
      <c r="M388" s="68">
        <f>IF($J388="",0,$K388*MAX(0,MIN(YEAR($C$3)*12+MONTH($C$3)-1,YEAR($I388)*12+MONTH($I388))-(YEAR($H388)*12+MONTH($H388))+1))</f>
        <v/>
      </c>
      <c r="N388" s="68">
        <f>IF(OR($J388="",$B388=""),0,IF(YEAR($B388)*12+MONTH($B388)&lt;=YEAR($C$3)*12+MONTH($C$3),$G388,0))</f>
        <v/>
      </c>
      <c r="O388" s="68">
        <f>IF(OR($J388="",$B388=""),0,IF(YEAR($B388)*12+MONTH($B388)&lt;=YEAR($C$3)*12+MONTH($C$3)-1,$G388,0))</f>
        <v/>
      </c>
      <c r="P388" s="68">
        <f>$M388-$O388</f>
        <v/>
      </c>
      <c r="Q388" s="68">
        <f>($L388-$M388)-($N388-$O388)</f>
        <v/>
      </c>
      <c r="R388" s="68">
        <f>$L388-$N388</f>
        <v/>
      </c>
      <c r="S388" s="67">
        <f>"Finance invoice"</f>
        <v/>
      </c>
      <c r="T388" s="67">
        <f>"Revenue"</f>
        <v/>
      </c>
    </row>
    <row r="389">
      <c r="A389" s="65">
        <f>ROW()-5</f>
        <v/>
      </c>
      <c r="B389" s="66">
        <f>IFERROR(INDEX(tbl_Finance[Date],$A389),"")</f>
        <v/>
      </c>
      <c r="C389" s="67">
        <f>IFERROR(INDEX(tbl_Finance[Xero Invoice No],$A389),"")</f>
        <v/>
      </c>
      <c r="D389" s="67">
        <f>IFERROR(INDEX(tbl_Finance[Client],$A389),"")</f>
        <v/>
      </c>
      <c r="E389" s="67">
        <f>IFERROR(INDEX(tbl_Finance[Job Number],$A389),"")</f>
        <v/>
      </c>
      <c r="F389" s="67">
        <f>IFERROR(INDEX(tbl_Finance[Cost Centre],$A389),"")</f>
        <v/>
      </c>
      <c r="G389" s="68">
        <f>IFERROR(INDEX(tbl_Finance[Ex GST],$A389),"")</f>
        <v/>
      </c>
      <c r="H389" s="66">
        <f>IFERROR(INDEX(tbl_Finance[Defer Start],$A389),"")</f>
        <v/>
      </c>
      <c r="I389" s="66">
        <f>IFERROR(INDEX(tbl_Finance[Defer End],$A389),"")</f>
        <v/>
      </c>
      <c r="J389" s="65">
        <f>IF(OR($H389="",$I389="",$G389=""),"",MAX(1,(YEAR($I389)-YEAR($H389))*12+MONTH($I389)-MONTH($H389)+1))</f>
        <v/>
      </c>
      <c r="K389" s="68">
        <f>IF($J389="","",$G389/$J389)</f>
        <v/>
      </c>
      <c r="L389" s="68">
        <f>IF($J389="",0,$K389*MAX(0,MIN(YEAR($C$3)*12+MONTH($C$3),YEAR($I389)*12+MONTH($I389))-(YEAR($H389)*12+MONTH($H389))+1))</f>
        <v/>
      </c>
      <c r="M389" s="68">
        <f>IF($J389="",0,$K389*MAX(0,MIN(YEAR($C$3)*12+MONTH($C$3)-1,YEAR($I389)*12+MONTH($I389))-(YEAR($H389)*12+MONTH($H389))+1))</f>
        <v/>
      </c>
      <c r="N389" s="68">
        <f>IF(OR($J389="",$B389=""),0,IF(YEAR($B389)*12+MONTH($B389)&lt;=YEAR($C$3)*12+MONTH($C$3),$G389,0))</f>
        <v/>
      </c>
      <c r="O389" s="68">
        <f>IF(OR($J389="",$B389=""),0,IF(YEAR($B389)*12+MONTH($B389)&lt;=YEAR($C$3)*12+MONTH($C$3)-1,$G389,0))</f>
        <v/>
      </c>
      <c r="P389" s="68">
        <f>$M389-$O389</f>
        <v/>
      </c>
      <c r="Q389" s="68">
        <f>($L389-$M389)-($N389-$O389)</f>
        <v/>
      </c>
      <c r="R389" s="68">
        <f>$L389-$N389</f>
        <v/>
      </c>
      <c r="S389" s="67">
        <f>"Finance invoice"</f>
        <v/>
      </c>
      <c r="T389" s="67">
        <f>"Revenue"</f>
        <v/>
      </c>
    </row>
    <row r="390">
      <c r="A390" s="65">
        <f>ROW()-5</f>
        <v/>
      </c>
      <c r="B390" s="66">
        <f>IFERROR(INDEX(tbl_Finance[Date],$A390),"")</f>
        <v/>
      </c>
      <c r="C390" s="67">
        <f>IFERROR(INDEX(tbl_Finance[Xero Invoice No],$A390),"")</f>
        <v/>
      </c>
      <c r="D390" s="67">
        <f>IFERROR(INDEX(tbl_Finance[Client],$A390),"")</f>
        <v/>
      </c>
      <c r="E390" s="67">
        <f>IFERROR(INDEX(tbl_Finance[Job Number],$A390),"")</f>
        <v/>
      </c>
      <c r="F390" s="67">
        <f>IFERROR(INDEX(tbl_Finance[Cost Centre],$A390),"")</f>
        <v/>
      </c>
      <c r="G390" s="68">
        <f>IFERROR(INDEX(tbl_Finance[Ex GST],$A390),"")</f>
        <v/>
      </c>
      <c r="H390" s="66">
        <f>IFERROR(INDEX(tbl_Finance[Defer Start],$A390),"")</f>
        <v/>
      </c>
      <c r="I390" s="66">
        <f>IFERROR(INDEX(tbl_Finance[Defer End],$A390),"")</f>
        <v/>
      </c>
      <c r="J390" s="65">
        <f>IF(OR($H390="",$I390="",$G390=""),"",MAX(1,(YEAR($I390)-YEAR($H390))*12+MONTH($I390)-MONTH($H390)+1))</f>
        <v/>
      </c>
      <c r="K390" s="68">
        <f>IF($J390="","",$G390/$J390)</f>
        <v/>
      </c>
      <c r="L390" s="68">
        <f>IF($J390="",0,$K390*MAX(0,MIN(YEAR($C$3)*12+MONTH($C$3),YEAR($I390)*12+MONTH($I390))-(YEAR($H390)*12+MONTH($H390))+1))</f>
        <v/>
      </c>
      <c r="M390" s="68">
        <f>IF($J390="",0,$K390*MAX(0,MIN(YEAR($C$3)*12+MONTH($C$3)-1,YEAR($I390)*12+MONTH($I390))-(YEAR($H390)*12+MONTH($H390))+1))</f>
        <v/>
      </c>
      <c r="N390" s="68">
        <f>IF(OR($J390="",$B390=""),0,IF(YEAR($B390)*12+MONTH($B390)&lt;=YEAR($C$3)*12+MONTH($C$3),$G390,0))</f>
        <v/>
      </c>
      <c r="O390" s="68">
        <f>IF(OR($J390="",$B390=""),0,IF(YEAR($B390)*12+MONTH($B390)&lt;=YEAR($C$3)*12+MONTH($C$3)-1,$G390,0))</f>
        <v/>
      </c>
      <c r="P390" s="68">
        <f>$M390-$O390</f>
        <v/>
      </c>
      <c r="Q390" s="68">
        <f>($L390-$M390)-($N390-$O390)</f>
        <v/>
      </c>
      <c r="R390" s="68">
        <f>$L390-$N390</f>
        <v/>
      </c>
      <c r="S390" s="67">
        <f>"Finance invoice"</f>
        <v/>
      </c>
      <c r="T390" s="67">
        <f>"Revenue"</f>
        <v/>
      </c>
    </row>
    <row r="391">
      <c r="A391" s="65">
        <f>ROW()-5</f>
        <v/>
      </c>
      <c r="B391" s="66">
        <f>IFERROR(INDEX(tbl_Finance[Date],$A391),"")</f>
        <v/>
      </c>
      <c r="C391" s="67">
        <f>IFERROR(INDEX(tbl_Finance[Xero Invoice No],$A391),"")</f>
        <v/>
      </c>
      <c r="D391" s="67">
        <f>IFERROR(INDEX(tbl_Finance[Client],$A391),"")</f>
        <v/>
      </c>
      <c r="E391" s="67">
        <f>IFERROR(INDEX(tbl_Finance[Job Number],$A391),"")</f>
        <v/>
      </c>
      <c r="F391" s="67">
        <f>IFERROR(INDEX(tbl_Finance[Cost Centre],$A391),"")</f>
        <v/>
      </c>
      <c r="G391" s="68">
        <f>IFERROR(INDEX(tbl_Finance[Ex GST],$A391),"")</f>
        <v/>
      </c>
      <c r="H391" s="66">
        <f>IFERROR(INDEX(tbl_Finance[Defer Start],$A391),"")</f>
        <v/>
      </c>
      <c r="I391" s="66">
        <f>IFERROR(INDEX(tbl_Finance[Defer End],$A391),"")</f>
        <v/>
      </c>
      <c r="J391" s="65">
        <f>IF(OR($H391="",$I391="",$G391=""),"",MAX(1,(YEAR($I391)-YEAR($H391))*12+MONTH($I391)-MONTH($H391)+1))</f>
        <v/>
      </c>
      <c r="K391" s="68">
        <f>IF($J391="","",$G391/$J391)</f>
        <v/>
      </c>
      <c r="L391" s="68">
        <f>IF($J391="",0,$K391*MAX(0,MIN(YEAR($C$3)*12+MONTH($C$3),YEAR($I391)*12+MONTH($I391))-(YEAR($H391)*12+MONTH($H391))+1))</f>
        <v/>
      </c>
      <c r="M391" s="68">
        <f>IF($J391="",0,$K391*MAX(0,MIN(YEAR($C$3)*12+MONTH($C$3)-1,YEAR($I391)*12+MONTH($I391))-(YEAR($H391)*12+MONTH($H391))+1))</f>
        <v/>
      </c>
      <c r="N391" s="68">
        <f>IF(OR($J391="",$B391=""),0,IF(YEAR($B391)*12+MONTH($B391)&lt;=YEAR($C$3)*12+MONTH($C$3),$G391,0))</f>
        <v/>
      </c>
      <c r="O391" s="68">
        <f>IF(OR($J391="",$B391=""),0,IF(YEAR($B391)*12+MONTH($B391)&lt;=YEAR($C$3)*12+MONTH($C$3)-1,$G391,0))</f>
        <v/>
      </c>
      <c r="P391" s="68">
        <f>$M391-$O391</f>
        <v/>
      </c>
      <c r="Q391" s="68">
        <f>($L391-$M391)-($N391-$O391)</f>
        <v/>
      </c>
      <c r="R391" s="68">
        <f>$L391-$N391</f>
        <v/>
      </c>
      <c r="S391" s="67">
        <f>"Finance invoice"</f>
        <v/>
      </c>
      <c r="T391" s="67">
        <f>"Revenue"</f>
        <v/>
      </c>
    </row>
    <row r="392">
      <c r="A392" s="65">
        <f>ROW()-5</f>
        <v/>
      </c>
      <c r="B392" s="66">
        <f>IFERROR(INDEX(tbl_Finance[Date],$A392),"")</f>
        <v/>
      </c>
      <c r="C392" s="67">
        <f>IFERROR(INDEX(tbl_Finance[Xero Invoice No],$A392),"")</f>
        <v/>
      </c>
      <c r="D392" s="67">
        <f>IFERROR(INDEX(tbl_Finance[Client],$A392),"")</f>
        <v/>
      </c>
      <c r="E392" s="67">
        <f>IFERROR(INDEX(tbl_Finance[Job Number],$A392),"")</f>
        <v/>
      </c>
      <c r="F392" s="67">
        <f>IFERROR(INDEX(tbl_Finance[Cost Centre],$A392),"")</f>
        <v/>
      </c>
      <c r="G392" s="68">
        <f>IFERROR(INDEX(tbl_Finance[Ex GST],$A392),"")</f>
        <v/>
      </c>
      <c r="H392" s="66">
        <f>IFERROR(INDEX(tbl_Finance[Defer Start],$A392),"")</f>
        <v/>
      </c>
      <c r="I392" s="66">
        <f>IFERROR(INDEX(tbl_Finance[Defer End],$A392),"")</f>
        <v/>
      </c>
      <c r="J392" s="65">
        <f>IF(OR($H392="",$I392="",$G392=""),"",MAX(1,(YEAR($I392)-YEAR($H392))*12+MONTH($I392)-MONTH($H392)+1))</f>
        <v/>
      </c>
      <c r="K392" s="68">
        <f>IF($J392="","",$G392/$J392)</f>
        <v/>
      </c>
      <c r="L392" s="68">
        <f>IF($J392="",0,$K392*MAX(0,MIN(YEAR($C$3)*12+MONTH($C$3),YEAR($I392)*12+MONTH($I392))-(YEAR($H392)*12+MONTH($H392))+1))</f>
        <v/>
      </c>
      <c r="M392" s="68">
        <f>IF($J392="",0,$K392*MAX(0,MIN(YEAR($C$3)*12+MONTH($C$3)-1,YEAR($I392)*12+MONTH($I392))-(YEAR($H392)*12+MONTH($H392))+1))</f>
        <v/>
      </c>
      <c r="N392" s="68">
        <f>IF(OR($J392="",$B392=""),0,IF(YEAR($B392)*12+MONTH($B392)&lt;=YEAR($C$3)*12+MONTH($C$3),$G392,0))</f>
        <v/>
      </c>
      <c r="O392" s="68">
        <f>IF(OR($J392="",$B392=""),0,IF(YEAR($B392)*12+MONTH($B392)&lt;=YEAR($C$3)*12+MONTH($C$3)-1,$G392,0))</f>
        <v/>
      </c>
      <c r="P392" s="68">
        <f>$M392-$O392</f>
        <v/>
      </c>
      <c r="Q392" s="68">
        <f>($L392-$M392)-($N392-$O392)</f>
        <v/>
      </c>
      <c r="R392" s="68">
        <f>$L392-$N392</f>
        <v/>
      </c>
      <c r="S392" s="67">
        <f>"Finance invoice"</f>
        <v/>
      </c>
      <c r="T392" s="67">
        <f>"Revenue"</f>
        <v/>
      </c>
    </row>
    <row r="393">
      <c r="A393" s="65">
        <f>ROW()-5</f>
        <v/>
      </c>
      <c r="B393" s="66">
        <f>IFERROR(INDEX(tbl_Finance[Date],$A393),"")</f>
        <v/>
      </c>
      <c r="C393" s="67">
        <f>IFERROR(INDEX(tbl_Finance[Xero Invoice No],$A393),"")</f>
        <v/>
      </c>
      <c r="D393" s="67">
        <f>IFERROR(INDEX(tbl_Finance[Client],$A393),"")</f>
        <v/>
      </c>
      <c r="E393" s="67">
        <f>IFERROR(INDEX(tbl_Finance[Job Number],$A393),"")</f>
        <v/>
      </c>
      <c r="F393" s="67">
        <f>IFERROR(INDEX(tbl_Finance[Cost Centre],$A393),"")</f>
        <v/>
      </c>
      <c r="G393" s="68">
        <f>IFERROR(INDEX(tbl_Finance[Ex GST],$A393),"")</f>
        <v/>
      </c>
      <c r="H393" s="66">
        <f>IFERROR(INDEX(tbl_Finance[Defer Start],$A393),"")</f>
        <v/>
      </c>
      <c r="I393" s="66">
        <f>IFERROR(INDEX(tbl_Finance[Defer End],$A393),"")</f>
        <v/>
      </c>
      <c r="J393" s="65">
        <f>IF(OR($H393="",$I393="",$G393=""),"",MAX(1,(YEAR($I393)-YEAR($H393))*12+MONTH($I393)-MONTH($H393)+1))</f>
        <v/>
      </c>
      <c r="K393" s="68">
        <f>IF($J393="","",$G393/$J393)</f>
        <v/>
      </c>
      <c r="L393" s="68">
        <f>IF($J393="",0,$K393*MAX(0,MIN(YEAR($C$3)*12+MONTH($C$3),YEAR($I393)*12+MONTH($I393))-(YEAR($H393)*12+MONTH($H393))+1))</f>
        <v/>
      </c>
      <c r="M393" s="68">
        <f>IF($J393="",0,$K393*MAX(0,MIN(YEAR($C$3)*12+MONTH($C$3)-1,YEAR($I393)*12+MONTH($I393))-(YEAR($H393)*12+MONTH($H393))+1))</f>
        <v/>
      </c>
      <c r="N393" s="68">
        <f>IF(OR($J393="",$B393=""),0,IF(YEAR($B393)*12+MONTH($B393)&lt;=YEAR($C$3)*12+MONTH($C$3),$G393,0))</f>
        <v/>
      </c>
      <c r="O393" s="68">
        <f>IF(OR($J393="",$B393=""),0,IF(YEAR($B393)*12+MONTH($B393)&lt;=YEAR($C$3)*12+MONTH($C$3)-1,$G393,0))</f>
        <v/>
      </c>
      <c r="P393" s="68">
        <f>$M393-$O393</f>
        <v/>
      </c>
      <c r="Q393" s="68">
        <f>($L393-$M393)-($N393-$O393)</f>
        <v/>
      </c>
      <c r="R393" s="68">
        <f>$L393-$N393</f>
        <v/>
      </c>
      <c r="S393" s="67">
        <f>"Finance invoice"</f>
        <v/>
      </c>
      <c r="T393" s="67">
        <f>"Revenue"</f>
        <v/>
      </c>
    </row>
    <row r="394">
      <c r="A394" s="65">
        <f>ROW()-5</f>
        <v/>
      </c>
      <c r="B394" s="66">
        <f>IFERROR(INDEX(tbl_Finance[Date],$A394),"")</f>
        <v/>
      </c>
      <c r="C394" s="67">
        <f>IFERROR(INDEX(tbl_Finance[Xero Invoice No],$A394),"")</f>
        <v/>
      </c>
      <c r="D394" s="67">
        <f>IFERROR(INDEX(tbl_Finance[Client],$A394),"")</f>
        <v/>
      </c>
      <c r="E394" s="67">
        <f>IFERROR(INDEX(tbl_Finance[Job Number],$A394),"")</f>
        <v/>
      </c>
      <c r="F394" s="67">
        <f>IFERROR(INDEX(tbl_Finance[Cost Centre],$A394),"")</f>
        <v/>
      </c>
      <c r="G394" s="68">
        <f>IFERROR(INDEX(tbl_Finance[Ex GST],$A394),"")</f>
        <v/>
      </c>
      <c r="H394" s="66">
        <f>IFERROR(INDEX(tbl_Finance[Defer Start],$A394),"")</f>
        <v/>
      </c>
      <c r="I394" s="66">
        <f>IFERROR(INDEX(tbl_Finance[Defer End],$A394),"")</f>
        <v/>
      </c>
      <c r="J394" s="65">
        <f>IF(OR($H394="",$I394="",$G394=""),"",MAX(1,(YEAR($I394)-YEAR($H394))*12+MONTH($I394)-MONTH($H394)+1))</f>
        <v/>
      </c>
      <c r="K394" s="68">
        <f>IF($J394="","",$G394/$J394)</f>
        <v/>
      </c>
      <c r="L394" s="68">
        <f>IF($J394="",0,$K394*MAX(0,MIN(YEAR($C$3)*12+MONTH($C$3),YEAR($I394)*12+MONTH($I394))-(YEAR($H394)*12+MONTH($H394))+1))</f>
        <v/>
      </c>
      <c r="M394" s="68">
        <f>IF($J394="",0,$K394*MAX(0,MIN(YEAR($C$3)*12+MONTH($C$3)-1,YEAR($I394)*12+MONTH($I394))-(YEAR($H394)*12+MONTH($H394))+1))</f>
        <v/>
      </c>
      <c r="N394" s="68">
        <f>IF(OR($J394="",$B394=""),0,IF(YEAR($B394)*12+MONTH($B394)&lt;=YEAR($C$3)*12+MONTH($C$3),$G394,0))</f>
        <v/>
      </c>
      <c r="O394" s="68">
        <f>IF(OR($J394="",$B394=""),0,IF(YEAR($B394)*12+MONTH($B394)&lt;=YEAR($C$3)*12+MONTH($C$3)-1,$G394,0))</f>
        <v/>
      </c>
      <c r="P394" s="68">
        <f>$M394-$O394</f>
        <v/>
      </c>
      <c r="Q394" s="68">
        <f>($L394-$M394)-($N394-$O394)</f>
        <v/>
      </c>
      <c r="R394" s="68">
        <f>$L394-$N394</f>
        <v/>
      </c>
      <c r="S394" s="67">
        <f>"Finance invoice"</f>
        <v/>
      </c>
      <c r="T394" s="67">
        <f>"Revenue"</f>
        <v/>
      </c>
    </row>
    <row r="395">
      <c r="A395" s="65">
        <f>ROW()-5</f>
        <v/>
      </c>
      <c r="B395" s="66">
        <f>IFERROR(INDEX(tbl_Finance[Date],$A395),"")</f>
        <v/>
      </c>
      <c r="C395" s="67">
        <f>IFERROR(INDEX(tbl_Finance[Xero Invoice No],$A395),"")</f>
        <v/>
      </c>
      <c r="D395" s="67">
        <f>IFERROR(INDEX(tbl_Finance[Client],$A395),"")</f>
        <v/>
      </c>
      <c r="E395" s="67">
        <f>IFERROR(INDEX(tbl_Finance[Job Number],$A395),"")</f>
        <v/>
      </c>
      <c r="F395" s="67">
        <f>IFERROR(INDEX(tbl_Finance[Cost Centre],$A395),"")</f>
        <v/>
      </c>
      <c r="G395" s="68">
        <f>IFERROR(INDEX(tbl_Finance[Ex GST],$A395),"")</f>
        <v/>
      </c>
      <c r="H395" s="66">
        <f>IFERROR(INDEX(tbl_Finance[Defer Start],$A395),"")</f>
        <v/>
      </c>
      <c r="I395" s="66">
        <f>IFERROR(INDEX(tbl_Finance[Defer End],$A395),"")</f>
        <v/>
      </c>
      <c r="J395" s="65">
        <f>IF(OR($H395="",$I395="",$G395=""),"",MAX(1,(YEAR($I395)-YEAR($H395))*12+MONTH($I395)-MONTH($H395)+1))</f>
        <v/>
      </c>
      <c r="K395" s="68">
        <f>IF($J395="","",$G395/$J395)</f>
        <v/>
      </c>
      <c r="L395" s="68">
        <f>IF($J395="",0,$K395*MAX(0,MIN(YEAR($C$3)*12+MONTH($C$3),YEAR($I395)*12+MONTH($I395))-(YEAR($H395)*12+MONTH($H395))+1))</f>
        <v/>
      </c>
      <c r="M395" s="68">
        <f>IF($J395="",0,$K395*MAX(0,MIN(YEAR($C$3)*12+MONTH($C$3)-1,YEAR($I395)*12+MONTH($I395))-(YEAR($H395)*12+MONTH($H395))+1))</f>
        <v/>
      </c>
      <c r="N395" s="68">
        <f>IF(OR($J395="",$B395=""),0,IF(YEAR($B395)*12+MONTH($B395)&lt;=YEAR($C$3)*12+MONTH($C$3),$G395,0))</f>
        <v/>
      </c>
      <c r="O395" s="68">
        <f>IF(OR($J395="",$B395=""),0,IF(YEAR($B395)*12+MONTH($B395)&lt;=YEAR($C$3)*12+MONTH($C$3)-1,$G395,0))</f>
        <v/>
      </c>
      <c r="P395" s="68">
        <f>$M395-$O395</f>
        <v/>
      </c>
      <c r="Q395" s="68">
        <f>($L395-$M395)-($N395-$O395)</f>
        <v/>
      </c>
      <c r="R395" s="68">
        <f>$L395-$N395</f>
        <v/>
      </c>
      <c r="S395" s="67">
        <f>"Finance invoice"</f>
        <v/>
      </c>
      <c r="T395" s="67">
        <f>"Revenue"</f>
        <v/>
      </c>
    </row>
    <row r="396">
      <c r="A396" s="65">
        <f>ROW()-5</f>
        <v/>
      </c>
      <c r="B396" s="66">
        <f>IFERROR(INDEX(tbl_Finance[Date],$A396),"")</f>
        <v/>
      </c>
      <c r="C396" s="67">
        <f>IFERROR(INDEX(tbl_Finance[Xero Invoice No],$A396),"")</f>
        <v/>
      </c>
      <c r="D396" s="67">
        <f>IFERROR(INDEX(tbl_Finance[Client],$A396),"")</f>
        <v/>
      </c>
      <c r="E396" s="67">
        <f>IFERROR(INDEX(tbl_Finance[Job Number],$A396),"")</f>
        <v/>
      </c>
      <c r="F396" s="67">
        <f>IFERROR(INDEX(tbl_Finance[Cost Centre],$A396),"")</f>
        <v/>
      </c>
      <c r="G396" s="68">
        <f>IFERROR(INDEX(tbl_Finance[Ex GST],$A396),"")</f>
        <v/>
      </c>
      <c r="H396" s="66">
        <f>IFERROR(INDEX(tbl_Finance[Defer Start],$A396),"")</f>
        <v/>
      </c>
      <c r="I396" s="66">
        <f>IFERROR(INDEX(tbl_Finance[Defer End],$A396),"")</f>
        <v/>
      </c>
      <c r="J396" s="65">
        <f>IF(OR($H396="",$I396="",$G396=""),"",MAX(1,(YEAR($I396)-YEAR($H396))*12+MONTH($I396)-MONTH($H396)+1))</f>
        <v/>
      </c>
      <c r="K396" s="68">
        <f>IF($J396="","",$G396/$J396)</f>
        <v/>
      </c>
      <c r="L396" s="68">
        <f>IF($J396="",0,$K396*MAX(0,MIN(YEAR($C$3)*12+MONTH($C$3),YEAR($I396)*12+MONTH($I396))-(YEAR($H396)*12+MONTH($H396))+1))</f>
        <v/>
      </c>
      <c r="M396" s="68">
        <f>IF($J396="",0,$K396*MAX(0,MIN(YEAR($C$3)*12+MONTH($C$3)-1,YEAR($I396)*12+MONTH($I396))-(YEAR($H396)*12+MONTH($H396))+1))</f>
        <v/>
      </c>
      <c r="N396" s="68">
        <f>IF(OR($J396="",$B396=""),0,IF(YEAR($B396)*12+MONTH($B396)&lt;=YEAR($C$3)*12+MONTH($C$3),$G396,0))</f>
        <v/>
      </c>
      <c r="O396" s="68">
        <f>IF(OR($J396="",$B396=""),0,IF(YEAR($B396)*12+MONTH($B396)&lt;=YEAR($C$3)*12+MONTH($C$3)-1,$G396,0))</f>
        <v/>
      </c>
      <c r="P396" s="68">
        <f>$M396-$O396</f>
        <v/>
      </c>
      <c r="Q396" s="68">
        <f>($L396-$M396)-($N396-$O396)</f>
        <v/>
      </c>
      <c r="R396" s="68">
        <f>$L396-$N396</f>
        <v/>
      </c>
      <c r="S396" s="67">
        <f>"Finance invoice"</f>
        <v/>
      </c>
      <c r="T396" s="67">
        <f>"Revenue"</f>
        <v/>
      </c>
    </row>
    <row r="397">
      <c r="A397" s="65">
        <f>ROW()-5</f>
        <v/>
      </c>
      <c r="B397" s="66">
        <f>IFERROR(INDEX(tbl_Finance[Date],$A397),"")</f>
        <v/>
      </c>
      <c r="C397" s="67">
        <f>IFERROR(INDEX(tbl_Finance[Xero Invoice No],$A397),"")</f>
        <v/>
      </c>
      <c r="D397" s="67">
        <f>IFERROR(INDEX(tbl_Finance[Client],$A397),"")</f>
        <v/>
      </c>
      <c r="E397" s="67">
        <f>IFERROR(INDEX(tbl_Finance[Job Number],$A397),"")</f>
        <v/>
      </c>
      <c r="F397" s="67">
        <f>IFERROR(INDEX(tbl_Finance[Cost Centre],$A397),"")</f>
        <v/>
      </c>
      <c r="G397" s="68">
        <f>IFERROR(INDEX(tbl_Finance[Ex GST],$A397),"")</f>
        <v/>
      </c>
      <c r="H397" s="66">
        <f>IFERROR(INDEX(tbl_Finance[Defer Start],$A397),"")</f>
        <v/>
      </c>
      <c r="I397" s="66">
        <f>IFERROR(INDEX(tbl_Finance[Defer End],$A397),"")</f>
        <v/>
      </c>
      <c r="J397" s="65">
        <f>IF(OR($H397="",$I397="",$G397=""),"",MAX(1,(YEAR($I397)-YEAR($H397))*12+MONTH($I397)-MONTH($H397)+1))</f>
        <v/>
      </c>
      <c r="K397" s="68">
        <f>IF($J397="","",$G397/$J397)</f>
        <v/>
      </c>
      <c r="L397" s="68">
        <f>IF($J397="",0,$K397*MAX(0,MIN(YEAR($C$3)*12+MONTH($C$3),YEAR($I397)*12+MONTH($I397))-(YEAR($H397)*12+MONTH($H397))+1))</f>
        <v/>
      </c>
      <c r="M397" s="68">
        <f>IF($J397="",0,$K397*MAX(0,MIN(YEAR($C$3)*12+MONTH($C$3)-1,YEAR($I397)*12+MONTH($I397))-(YEAR($H397)*12+MONTH($H397))+1))</f>
        <v/>
      </c>
      <c r="N397" s="68">
        <f>IF(OR($J397="",$B397=""),0,IF(YEAR($B397)*12+MONTH($B397)&lt;=YEAR($C$3)*12+MONTH($C$3),$G397,0))</f>
        <v/>
      </c>
      <c r="O397" s="68">
        <f>IF(OR($J397="",$B397=""),0,IF(YEAR($B397)*12+MONTH($B397)&lt;=YEAR($C$3)*12+MONTH($C$3)-1,$G397,0))</f>
        <v/>
      </c>
      <c r="P397" s="68">
        <f>$M397-$O397</f>
        <v/>
      </c>
      <c r="Q397" s="68">
        <f>($L397-$M397)-($N397-$O397)</f>
        <v/>
      </c>
      <c r="R397" s="68">
        <f>$L397-$N397</f>
        <v/>
      </c>
      <c r="S397" s="67">
        <f>"Finance invoice"</f>
        <v/>
      </c>
      <c r="T397" s="67">
        <f>"Revenue"</f>
        <v/>
      </c>
    </row>
    <row r="398">
      <c r="A398" s="65">
        <f>ROW()-5</f>
        <v/>
      </c>
      <c r="B398" s="66">
        <f>IFERROR(INDEX(tbl_Finance[Date],$A398),"")</f>
        <v/>
      </c>
      <c r="C398" s="67">
        <f>IFERROR(INDEX(tbl_Finance[Xero Invoice No],$A398),"")</f>
        <v/>
      </c>
      <c r="D398" s="67">
        <f>IFERROR(INDEX(tbl_Finance[Client],$A398),"")</f>
        <v/>
      </c>
      <c r="E398" s="67">
        <f>IFERROR(INDEX(tbl_Finance[Job Number],$A398),"")</f>
        <v/>
      </c>
      <c r="F398" s="67">
        <f>IFERROR(INDEX(tbl_Finance[Cost Centre],$A398),"")</f>
        <v/>
      </c>
      <c r="G398" s="68">
        <f>IFERROR(INDEX(tbl_Finance[Ex GST],$A398),"")</f>
        <v/>
      </c>
      <c r="H398" s="66">
        <f>IFERROR(INDEX(tbl_Finance[Defer Start],$A398),"")</f>
        <v/>
      </c>
      <c r="I398" s="66">
        <f>IFERROR(INDEX(tbl_Finance[Defer End],$A398),"")</f>
        <v/>
      </c>
      <c r="J398" s="65">
        <f>IF(OR($H398="",$I398="",$G398=""),"",MAX(1,(YEAR($I398)-YEAR($H398))*12+MONTH($I398)-MONTH($H398)+1))</f>
        <v/>
      </c>
      <c r="K398" s="68">
        <f>IF($J398="","",$G398/$J398)</f>
        <v/>
      </c>
      <c r="L398" s="68">
        <f>IF($J398="",0,$K398*MAX(0,MIN(YEAR($C$3)*12+MONTH($C$3),YEAR($I398)*12+MONTH($I398))-(YEAR($H398)*12+MONTH($H398))+1))</f>
        <v/>
      </c>
      <c r="M398" s="68">
        <f>IF($J398="",0,$K398*MAX(0,MIN(YEAR($C$3)*12+MONTH($C$3)-1,YEAR($I398)*12+MONTH($I398))-(YEAR($H398)*12+MONTH($H398))+1))</f>
        <v/>
      </c>
      <c r="N398" s="68">
        <f>IF(OR($J398="",$B398=""),0,IF(YEAR($B398)*12+MONTH($B398)&lt;=YEAR($C$3)*12+MONTH($C$3),$G398,0))</f>
        <v/>
      </c>
      <c r="O398" s="68">
        <f>IF(OR($J398="",$B398=""),0,IF(YEAR($B398)*12+MONTH($B398)&lt;=YEAR($C$3)*12+MONTH($C$3)-1,$G398,0))</f>
        <v/>
      </c>
      <c r="P398" s="68">
        <f>$M398-$O398</f>
        <v/>
      </c>
      <c r="Q398" s="68">
        <f>($L398-$M398)-($N398-$O398)</f>
        <v/>
      </c>
      <c r="R398" s="68">
        <f>$L398-$N398</f>
        <v/>
      </c>
      <c r="S398" s="67">
        <f>"Finance invoice"</f>
        <v/>
      </c>
      <c r="T398" s="67">
        <f>"Revenue"</f>
        <v/>
      </c>
    </row>
    <row r="399">
      <c r="A399" s="65">
        <f>ROW()-5</f>
        <v/>
      </c>
      <c r="B399" s="66">
        <f>IFERROR(INDEX(tbl_Finance[Date],$A399),"")</f>
        <v/>
      </c>
      <c r="C399" s="67">
        <f>IFERROR(INDEX(tbl_Finance[Xero Invoice No],$A399),"")</f>
        <v/>
      </c>
      <c r="D399" s="67">
        <f>IFERROR(INDEX(tbl_Finance[Client],$A399),"")</f>
        <v/>
      </c>
      <c r="E399" s="67">
        <f>IFERROR(INDEX(tbl_Finance[Job Number],$A399),"")</f>
        <v/>
      </c>
      <c r="F399" s="67">
        <f>IFERROR(INDEX(tbl_Finance[Cost Centre],$A399),"")</f>
        <v/>
      </c>
      <c r="G399" s="68">
        <f>IFERROR(INDEX(tbl_Finance[Ex GST],$A399),"")</f>
        <v/>
      </c>
      <c r="H399" s="66">
        <f>IFERROR(INDEX(tbl_Finance[Defer Start],$A399),"")</f>
        <v/>
      </c>
      <c r="I399" s="66">
        <f>IFERROR(INDEX(tbl_Finance[Defer End],$A399),"")</f>
        <v/>
      </c>
      <c r="J399" s="65">
        <f>IF(OR($H399="",$I399="",$G399=""),"",MAX(1,(YEAR($I399)-YEAR($H399))*12+MONTH($I399)-MONTH($H399)+1))</f>
        <v/>
      </c>
      <c r="K399" s="68">
        <f>IF($J399="","",$G399/$J399)</f>
        <v/>
      </c>
      <c r="L399" s="68">
        <f>IF($J399="",0,$K399*MAX(0,MIN(YEAR($C$3)*12+MONTH($C$3),YEAR($I399)*12+MONTH($I399))-(YEAR($H399)*12+MONTH($H399))+1))</f>
        <v/>
      </c>
      <c r="M399" s="68">
        <f>IF($J399="",0,$K399*MAX(0,MIN(YEAR($C$3)*12+MONTH($C$3)-1,YEAR($I399)*12+MONTH($I399))-(YEAR($H399)*12+MONTH($H399))+1))</f>
        <v/>
      </c>
      <c r="N399" s="68">
        <f>IF(OR($J399="",$B399=""),0,IF(YEAR($B399)*12+MONTH($B399)&lt;=YEAR($C$3)*12+MONTH($C$3),$G399,0))</f>
        <v/>
      </c>
      <c r="O399" s="68">
        <f>IF(OR($J399="",$B399=""),0,IF(YEAR($B399)*12+MONTH($B399)&lt;=YEAR($C$3)*12+MONTH($C$3)-1,$G399,0))</f>
        <v/>
      </c>
      <c r="P399" s="68">
        <f>$M399-$O399</f>
        <v/>
      </c>
      <c r="Q399" s="68">
        <f>($L399-$M399)-($N399-$O399)</f>
        <v/>
      </c>
      <c r="R399" s="68">
        <f>$L399-$N399</f>
        <v/>
      </c>
      <c r="S399" s="67">
        <f>"Finance invoice"</f>
        <v/>
      </c>
      <c r="T399" s="67">
        <f>"Revenue"</f>
        <v/>
      </c>
    </row>
    <row r="400">
      <c r="A400" s="65">
        <f>ROW()-5</f>
        <v/>
      </c>
      <c r="B400" s="66">
        <f>IFERROR(INDEX(tbl_Finance[Date],$A400),"")</f>
        <v/>
      </c>
      <c r="C400" s="67">
        <f>IFERROR(INDEX(tbl_Finance[Xero Invoice No],$A400),"")</f>
        <v/>
      </c>
      <c r="D400" s="67">
        <f>IFERROR(INDEX(tbl_Finance[Client],$A400),"")</f>
        <v/>
      </c>
      <c r="E400" s="67">
        <f>IFERROR(INDEX(tbl_Finance[Job Number],$A400),"")</f>
        <v/>
      </c>
      <c r="F400" s="67">
        <f>IFERROR(INDEX(tbl_Finance[Cost Centre],$A400),"")</f>
        <v/>
      </c>
      <c r="G400" s="68">
        <f>IFERROR(INDEX(tbl_Finance[Ex GST],$A400),"")</f>
        <v/>
      </c>
      <c r="H400" s="66">
        <f>IFERROR(INDEX(tbl_Finance[Defer Start],$A400),"")</f>
        <v/>
      </c>
      <c r="I400" s="66">
        <f>IFERROR(INDEX(tbl_Finance[Defer End],$A400),"")</f>
        <v/>
      </c>
      <c r="J400" s="65">
        <f>IF(OR($H400="",$I400="",$G400=""),"",MAX(1,(YEAR($I400)-YEAR($H400))*12+MONTH($I400)-MONTH($H400)+1))</f>
        <v/>
      </c>
      <c r="K400" s="68">
        <f>IF($J400="","",$G400/$J400)</f>
        <v/>
      </c>
      <c r="L400" s="68">
        <f>IF($J400="",0,$K400*MAX(0,MIN(YEAR($C$3)*12+MONTH($C$3),YEAR($I400)*12+MONTH($I400))-(YEAR($H400)*12+MONTH($H400))+1))</f>
        <v/>
      </c>
      <c r="M400" s="68">
        <f>IF($J400="",0,$K400*MAX(0,MIN(YEAR($C$3)*12+MONTH($C$3)-1,YEAR($I400)*12+MONTH($I400))-(YEAR($H400)*12+MONTH($H400))+1))</f>
        <v/>
      </c>
      <c r="N400" s="68">
        <f>IF(OR($J400="",$B400=""),0,IF(YEAR($B400)*12+MONTH($B400)&lt;=YEAR($C$3)*12+MONTH($C$3),$G400,0))</f>
        <v/>
      </c>
      <c r="O400" s="68">
        <f>IF(OR($J400="",$B400=""),0,IF(YEAR($B400)*12+MONTH($B400)&lt;=YEAR($C$3)*12+MONTH($C$3)-1,$G400,0))</f>
        <v/>
      </c>
      <c r="P400" s="68">
        <f>$M400-$O400</f>
        <v/>
      </c>
      <c r="Q400" s="68">
        <f>($L400-$M400)-($N400-$O400)</f>
        <v/>
      </c>
      <c r="R400" s="68">
        <f>$L400-$N400</f>
        <v/>
      </c>
      <c r="S400" s="67">
        <f>"Finance invoice"</f>
        <v/>
      </c>
      <c r="T400" s="67">
        <f>"Revenue"</f>
        <v/>
      </c>
    </row>
    <row r="401">
      <c r="A401" s="65">
        <f>ROW()-5</f>
        <v/>
      </c>
      <c r="B401" s="66">
        <f>IFERROR(INDEX(tbl_Finance[Date],$A401),"")</f>
        <v/>
      </c>
      <c r="C401" s="67">
        <f>IFERROR(INDEX(tbl_Finance[Xero Invoice No],$A401),"")</f>
        <v/>
      </c>
      <c r="D401" s="67">
        <f>IFERROR(INDEX(tbl_Finance[Client],$A401),"")</f>
        <v/>
      </c>
      <c r="E401" s="67">
        <f>IFERROR(INDEX(tbl_Finance[Job Number],$A401),"")</f>
        <v/>
      </c>
      <c r="F401" s="67">
        <f>IFERROR(INDEX(tbl_Finance[Cost Centre],$A401),"")</f>
        <v/>
      </c>
      <c r="G401" s="68">
        <f>IFERROR(INDEX(tbl_Finance[Ex GST],$A401),"")</f>
        <v/>
      </c>
      <c r="H401" s="66">
        <f>IFERROR(INDEX(tbl_Finance[Defer Start],$A401),"")</f>
        <v/>
      </c>
      <c r="I401" s="66">
        <f>IFERROR(INDEX(tbl_Finance[Defer End],$A401),"")</f>
        <v/>
      </c>
      <c r="J401" s="65">
        <f>IF(OR($H401="",$I401="",$G401=""),"",MAX(1,(YEAR($I401)-YEAR($H401))*12+MONTH($I401)-MONTH($H401)+1))</f>
        <v/>
      </c>
      <c r="K401" s="68">
        <f>IF($J401="","",$G401/$J401)</f>
        <v/>
      </c>
      <c r="L401" s="68">
        <f>IF($J401="",0,$K401*MAX(0,MIN(YEAR($C$3)*12+MONTH($C$3),YEAR($I401)*12+MONTH($I401))-(YEAR($H401)*12+MONTH($H401))+1))</f>
        <v/>
      </c>
      <c r="M401" s="68">
        <f>IF($J401="",0,$K401*MAX(0,MIN(YEAR($C$3)*12+MONTH($C$3)-1,YEAR($I401)*12+MONTH($I401))-(YEAR($H401)*12+MONTH($H401))+1))</f>
        <v/>
      </c>
      <c r="N401" s="68">
        <f>IF(OR($J401="",$B401=""),0,IF(YEAR($B401)*12+MONTH($B401)&lt;=YEAR($C$3)*12+MONTH($C$3),$G401,0))</f>
        <v/>
      </c>
      <c r="O401" s="68">
        <f>IF(OR($J401="",$B401=""),0,IF(YEAR($B401)*12+MONTH($B401)&lt;=YEAR($C$3)*12+MONTH($C$3)-1,$G401,0))</f>
        <v/>
      </c>
      <c r="P401" s="68">
        <f>$M401-$O401</f>
        <v/>
      </c>
      <c r="Q401" s="68">
        <f>($L401-$M401)-($N401-$O401)</f>
        <v/>
      </c>
      <c r="R401" s="68">
        <f>$L401-$N401</f>
        <v/>
      </c>
      <c r="S401" s="67">
        <f>"Finance invoice"</f>
        <v/>
      </c>
      <c r="T401" s="67">
        <f>"Revenue"</f>
        <v/>
      </c>
    </row>
    <row r="402">
      <c r="A402" s="65">
        <f>ROW()-5</f>
        <v/>
      </c>
      <c r="B402" s="66">
        <f>IFERROR(INDEX(tbl_Finance[Date],$A402),"")</f>
        <v/>
      </c>
      <c r="C402" s="67">
        <f>IFERROR(INDEX(tbl_Finance[Xero Invoice No],$A402),"")</f>
        <v/>
      </c>
      <c r="D402" s="67">
        <f>IFERROR(INDEX(tbl_Finance[Client],$A402),"")</f>
        <v/>
      </c>
      <c r="E402" s="67">
        <f>IFERROR(INDEX(tbl_Finance[Job Number],$A402),"")</f>
        <v/>
      </c>
      <c r="F402" s="67">
        <f>IFERROR(INDEX(tbl_Finance[Cost Centre],$A402),"")</f>
        <v/>
      </c>
      <c r="G402" s="68">
        <f>IFERROR(INDEX(tbl_Finance[Ex GST],$A402),"")</f>
        <v/>
      </c>
      <c r="H402" s="66">
        <f>IFERROR(INDEX(tbl_Finance[Defer Start],$A402),"")</f>
        <v/>
      </c>
      <c r="I402" s="66">
        <f>IFERROR(INDEX(tbl_Finance[Defer End],$A402),"")</f>
        <v/>
      </c>
      <c r="J402" s="65">
        <f>IF(OR($H402="",$I402="",$G402=""),"",MAX(1,(YEAR($I402)-YEAR($H402))*12+MONTH($I402)-MONTH($H402)+1))</f>
        <v/>
      </c>
      <c r="K402" s="68">
        <f>IF($J402="","",$G402/$J402)</f>
        <v/>
      </c>
      <c r="L402" s="68">
        <f>IF($J402="",0,$K402*MAX(0,MIN(YEAR($C$3)*12+MONTH($C$3),YEAR($I402)*12+MONTH($I402))-(YEAR($H402)*12+MONTH($H402))+1))</f>
        <v/>
      </c>
      <c r="M402" s="68">
        <f>IF($J402="",0,$K402*MAX(0,MIN(YEAR($C$3)*12+MONTH($C$3)-1,YEAR($I402)*12+MONTH($I402))-(YEAR($H402)*12+MONTH($H402))+1))</f>
        <v/>
      </c>
      <c r="N402" s="68">
        <f>IF(OR($J402="",$B402=""),0,IF(YEAR($B402)*12+MONTH($B402)&lt;=YEAR($C$3)*12+MONTH($C$3),$G402,0))</f>
        <v/>
      </c>
      <c r="O402" s="68">
        <f>IF(OR($J402="",$B402=""),0,IF(YEAR($B402)*12+MONTH($B402)&lt;=YEAR($C$3)*12+MONTH($C$3)-1,$G402,0))</f>
        <v/>
      </c>
      <c r="P402" s="68">
        <f>$M402-$O402</f>
        <v/>
      </c>
      <c r="Q402" s="68">
        <f>($L402-$M402)-($N402-$O402)</f>
        <v/>
      </c>
      <c r="R402" s="68">
        <f>$L402-$N402</f>
        <v/>
      </c>
      <c r="S402" s="67">
        <f>"Finance invoice"</f>
        <v/>
      </c>
      <c r="T402" s="67">
        <f>"Revenue"</f>
        <v/>
      </c>
    </row>
    <row r="403">
      <c r="A403" s="65">
        <f>ROW()-5</f>
        <v/>
      </c>
      <c r="B403" s="66">
        <f>IFERROR(INDEX(tbl_Finance[Date],$A403),"")</f>
        <v/>
      </c>
      <c r="C403" s="67">
        <f>IFERROR(INDEX(tbl_Finance[Xero Invoice No],$A403),"")</f>
        <v/>
      </c>
      <c r="D403" s="67">
        <f>IFERROR(INDEX(tbl_Finance[Client],$A403),"")</f>
        <v/>
      </c>
      <c r="E403" s="67">
        <f>IFERROR(INDEX(tbl_Finance[Job Number],$A403),"")</f>
        <v/>
      </c>
      <c r="F403" s="67">
        <f>IFERROR(INDEX(tbl_Finance[Cost Centre],$A403),"")</f>
        <v/>
      </c>
      <c r="G403" s="68">
        <f>IFERROR(INDEX(tbl_Finance[Ex GST],$A403),"")</f>
        <v/>
      </c>
      <c r="H403" s="66">
        <f>IFERROR(INDEX(tbl_Finance[Defer Start],$A403),"")</f>
        <v/>
      </c>
      <c r="I403" s="66">
        <f>IFERROR(INDEX(tbl_Finance[Defer End],$A403),"")</f>
        <v/>
      </c>
      <c r="J403" s="65">
        <f>IF(OR($H403="",$I403="",$G403=""),"",MAX(1,(YEAR($I403)-YEAR($H403))*12+MONTH($I403)-MONTH($H403)+1))</f>
        <v/>
      </c>
      <c r="K403" s="68">
        <f>IF($J403="","",$G403/$J403)</f>
        <v/>
      </c>
      <c r="L403" s="68">
        <f>IF($J403="",0,$K403*MAX(0,MIN(YEAR($C$3)*12+MONTH($C$3),YEAR($I403)*12+MONTH($I403))-(YEAR($H403)*12+MONTH($H403))+1))</f>
        <v/>
      </c>
      <c r="M403" s="68">
        <f>IF($J403="",0,$K403*MAX(0,MIN(YEAR($C$3)*12+MONTH($C$3)-1,YEAR($I403)*12+MONTH($I403))-(YEAR($H403)*12+MONTH($H403))+1))</f>
        <v/>
      </c>
      <c r="N403" s="68">
        <f>IF(OR($J403="",$B403=""),0,IF(YEAR($B403)*12+MONTH($B403)&lt;=YEAR($C$3)*12+MONTH($C$3),$G403,0))</f>
        <v/>
      </c>
      <c r="O403" s="68">
        <f>IF(OR($J403="",$B403=""),0,IF(YEAR($B403)*12+MONTH($B403)&lt;=YEAR($C$3)*12+MONTH($C$3)-1,$G403,0))</f>
        <v/>
      </c>
      <c r="P403" s="68">
        <f>$M403-$O403</f>
        <v/>
      </c>
      <c r="Q403" s="68">
        <f>($L403-$M403)-($N403-$O403)</f>
        <v/>
      </c>
      <c r="R403" s="68">
        <f>$L403-$N403</f>
        <v/>
      </c>
      <c r="S403" s="67">
        <f>"Finance invoice"</f>
        <v/>
      </c>
      <c r="T403" s="67">
        <f>"Revenue"</f>
        <v/>
      </c>
    </row>
    <row r="404">
      <c r="A404" s="65">
        <f>ROW()-5</f>
        <v/>
      </c>
      <c r="B404" s="66">
        <f>IFERROR(INDEX(tbl_Finance[Date],$A404),"")</f>
        <v/>
      </c>
      <c r="C404" s="67">
        <f>IFERROR(INDEX(tbl_Finance[Xero Invoice No],$A404),"")</f>
        <v/>
      </c>
      <c r="D404" s="67">
        <f>IFERROR(INDEX(tbl_Finance[Client],$A404),"")</f>
        <v/>
      </c>
      <c r="E404" s="67">
        <f>IFERROR(INDEX(tbl_Finance[Job Number],$A404),"")</f>
        <v/>
      </c>
      <c r="F404" s="67">
        <f>IFERROR(INDEX(tbl_Finance[Cost Centre],$A404),"")</f>
        <v/>
      </c>
      <c r="G404" s="68">
        <f>IFERROR(INDEX(tbl_Finance[Ex GST],$A404),"")</f>
        <v/>
      </c>
      <c r="H404" s="66">
        <f>IFERROR(INDEX(tbl_Finance[Defer Start],$A404),"")</f>
        <v/>
      </c>
      <c r="I404" s="66">
        <f>IFERROR(INDEX(tbl_Finance[Defer End],$A404),"")</f>
        <v/>
      </c>
      <c r="J404" s="65">
        <f>IF(OR($H404="",$I404="",$G404=""),"",MAX(1,(YEAR($I404)-YEAR($H404))*12+MONTH($I404)-MONTH($H404)+1))</f>
        <v/>
      </c>
      <c r="K404" s="68">
        <f>IF($J404="","",$G404/$J404)</f>
        <v/>
      </c>
      <c r="L404" s="68">
        <f>IF($J404="",0,$K404*MAX(0,MIN(YEAR($C$3)*12+MONTH($C$3),YEAR($I404)*12+MONTH($I404))-(YEAR($H404)*12+MONTH($H404))+1))</f>
        <v/>
      </c>
      <c r="M404" s="68">
        <f>IF($J404="",0,$K404*MAX(0,MIN(YEAR($C$3)*12+MONTH($C$3)-1,YEAR($I404)*12+MONTH($I404))-(YEAR($H404)*12+MONTH($H404))+1))</f>
        <v/>
      </c>
      <c r="N404" s="68">
        <f>IF(OR($J404="",$B404=""),0,IF(YEAR($B404)*12+MONTH($B404)&lt;=YEAR($C$3)*12+MONTH($C$3),$G404,0))</f>
        <v/>
      </c>
      <c r="O404" s="68">
        <f>IF(OR($J404="",$B404=""),0,IF(YEAR($B404)*12+MONTH($B404)&lt;=YEAR($C$3)*12+MONTH($C$3)-1,$G404,0))</f>
        <v/>
      </c>
      <c r="P404" s="68">
        <f>$M404-$O404</f>
        <v/>
      </c>
      <c r="Q404" s="68">
        <f>($L404-$M404)-($N404-$O404)</f>
        <v/>
      </c>
      <c r="R404" s="68">
        <f>$L404-$N404</f>
        <v/>
      </c>
      <c r="S404" s="67">
        <f>"Finance invoice"</f>
        <v/>
      </c>
      <c r="T404" s="67">
        <f>"Revenue"</f>
        <v/>
      </c>
    </row>
    <row r="405">
      <c r="A405" s="65">
        <f>ROW()-5</f>
        <v/>
      </c>
      <c r="B405" s="66">
        <f>IFERROR(INDEX(tbl_Finance[Date],$A405),"")</f>
        <v/>
      </c>
      <c r="C405" s="67">
        <f>IFERROR(INDEX(tbl_Finance[Xero Invoice No],$A405),"")</f>
        <v/>
      </c>
      <c r="D405" s="67">
        <f>IFERROR(INDEX(tbl_Finance[Client],$A405),"")</f>
        <v/>
      </c>
      <c r="E405" s="67">
        <f>IFERROR(INDEX(tbl_Finance[Job Number],$A405),"")</f>
        <v/>
      </c>
      <c r="F405" s="67">
        <f>IFERROR(INDEX(tbl_Finance[Cost Centre],$A405),"")</f>
        <v/>
      </c>
      <c r="G405" s="68">
        <f>IFERROR(INDEX(tbl_Finance[Ex GST],$A405),"")</f>
        <v/>
      </c>
      <c r="H405" s="66">
        <f>IFERROR(INDEX(tbl_Finance[Defer Start],$A405),"")</f>
        <v/>
      </c>
      <c r="I405" s="66">
        <f>IFERROR(INDEX(tbl_Finance[Defer End],$A405),"")</f>
        <v/>
      </c>
      <c r="J405" s="65">
        <f>IF(OR($H405="",$I405="",$G405=""),"",MAX(1,(YEAR($I405)-YEAR($H405))*12+MONTH($I405)-MONTH($H405)+1))</f>
        <v/>
      </c>
      <c r="K405" s="68">
        <f>IF($J405="","",$G405/$J405)</f>
        <v/>
      </c>
      <c r="L405" s="68">
        <f>IF($J405="",0,$K405*MAX(0,MIN(YEAR($C$3)*12+MONTH($C$3),YEAR($I405)*12+MONTH($I405))-(YEAR($H405)*12+MONTH($H405))+1))</f>
        <v/>
      </c>
      <c r="M405" s="68">
        <f>IF($J405="",0,$K405*MAX(0,MIN(YEAR($C$3)*12+MONTH($C$3)-1,YEAR($I405)*12+MONTH($I405))-(YEAR($H405)*12+MONTH($H405))+1))</f>
        <v/>
      </c>
      <c r="N405" s="68">
        <f>IF(OR($J405="",$B405=""),0,IF(YEAR($B405)*12+MONTH($B405)&lt;=YEAR($C$3)*12+MONTH($C$3),$G405,0))</f>
        <v/>
      </c>
      <c r="O405" s="68">
        <f>IF(OR($J405="",$B405=""),0,IF(YEAR($B405)*12+MONTH($B405)&lt;=YEAR($C$3)*12+MONTH($C$3)-1,$G405,0))</f>
        <v/>
      </c>
      <c r="P405" s="68">
        <f>$M405-$O405</f>
        <v/>
      </c>
      <c r="Q405" s="68">
        <f>($L405-$M405)-($N405-$O405)</f>
        <v/>
      </c>
      <c r="R405" s="68">
        <f>$L405-$N405</f>
        <v/>
      </c>
      <c r="S405" s="67">
        <f>"Finance invoice"</f>
        <v/>
      </c>
      <c r="T405" s="67">
        <f>"Revenue"</f>
        <v/>
      </c>
    </row>
    <row r="407">
      <c r="A407" s="69" t="inlineStr">
        <is>
          <t>WIP Movements rows that spread over months  -  deferred cost and manual deferred revenue</t>
        </is>
      </c>
    </row>
    <row r="408">
      <c r="A408" s="65">
        <f>ROW()-407</f>
        <v/>
      </c>
      <c r="B408" s="66">
        <f>IFERROR(INDEX(tbl_WIP[Month],$A408),"")</f>
        <v/>
      </c>
      <c r="C408" s="67">
        <f>IFERROR(INDEX(tbl_WIP[Xero Invoice No],$A408),"")</f>
        <v/>
      </c>
      <c r="D408" s="67">
        <f>IFERROR(INDEX(tbl_WIP[Client],$A408),"")</f>
        <v/>
      </c>
      <c r="E408" s="67">
        <f>IFERROR(INDEX(tbl_WIP[Job Number],$A408),"")</f>
        <v/>
      </c>
      <c r="F408" s="67">
        <f>IFERROR(INDEX(tbl_WIP[Cost Centre],$A408),"")</f>
        <v/>
      </c>
      <c r="G408" s="68">
        <f>IFERROR(IF(INDEX(tbl_WIP[Defer Start],$A408)="","",IF(INDEX(tbl_WIP[Revenue or Cost],$A408)="Cost",-1,1)*INDEX(tbl_WIP[Amount],$A408)),"")</f>
        <v/>
      </c>
      <c r="H408" s="66">
        <f>IFERROR(INDEX(tbl_WIP[Defer Start],$A408),"")</f>
        <v/>
      </c>
      <c r="I408" s="66">
        <f>IFERROR(INDEX(tbl_WIP[Defer End],$A408),"")</f>
        <v/>
      </c>
      <c r="J408" s="65">
        <f>IF(OR($H408="",$I408="",$G408=""),"",MAX(1,(YEAR($I408)-YEAR($H408))*12+MONTH($I408)-MONTH($H408)+1))</f>
        <v/>
      </c>
      <c r="K408" s="68">
        <f>IF($J408="","",$G408/$J408)</f>
        <v/>
      </c>
      <c r="L408" s="68">
        <f>IF($J408="",0,$K408*MAX(0,MIN(YEAR($C$3)*12+MONTH($C$3),YEAR($I408)*12+MONTH($I408))-(YEAR($H408)*12+MONTH($H408))+1))</f>
        <v/>
      </c>
      <c r="M408" s="68">
        <f>IF($J408="",0,$K408*MAX(0,MIN(YEAR($C$3)*12+MONTH($C$3)-1,YEAR($I408)*12+MONTH($I408))-(YEAR($H408)*12+MONTH($H408))+1))</f>
        <v/>
      </c>
      <c r="N408" s="68">
        <f>IF(OR($J408="",$B408=""),0,IF(YEAR($B408)*12+MONTH($B408)&lt;=YEAR($C$3)*12+MONTH($C$3),$G408,0))</f>
        <v/>
      </c>
      <c r="O408" s="68">
        <f>IF(OR($J408="",$B408=""),0,IF(YEAR($B408)*12+MONTH($B408)&lt;=YEAR($C$3)*12+MONTH($C$3)-1,$G408,0))</f>
        <v/>
      </c>
      <c r="P408" s="68">
        <f>$M408-$O408</f>
        <v/>
      </c>
      <c r="Q408" s="68">
        <f>($L408-$M408)-($N408-$O408)</f>
        <v/>
      </c>
      <c r="R408" s="68">
        <f>$L408-$N408</f>
        <v/>
      </c>
      <c r="S408" s="67">
        <f>"WIP journal"</f>
        <v/>
      </c>
      <c r="T408" s="67">
        <f>IFERROR(INDEX(tbl_WIP[Revenue or Cost],$A408),"")</f>
        <v/>
      </c>
    </row>
    <row r="409">
      <c r="A409" s="65">
        <f>ROW()-407</f>
        <v/>
      </c>
      <c r="B409" s="66">
        <f>IFERROR(INDEX(tbl_WIP[Month],$A409),"")</f>
        <v/>
      </c>
      <c r="C409" s="67">
        <f>IFERROR(INDEX(tbl_WIP[Xero Invoice No],$A409),"")</f>
        <v/>
      </c>
      <c r="D409" s="67">
        <f>IFERROR(INDEX(tbl_WIP[Client],$A409),"")</f>
        <v/>
      </c>
      <c r="E409" s="67">
        <f>IFERROR(INDEX(tbl_WIP[Job Number],$A409),"")</f>
        <v/>
      </c>
      <c r="F409" s="67">
        <f>IFERROR(INDEX(tbl_WIP[Cost Centre],$A409),"")</f>
        <v/>
      </c>
      <c r="G409" s="68">
        <f>IFERROR(IF(INDEX(tbl_WIP[Defer Start],$A409)="","",IF(INDEX(tbl_WIP[Revenue or Cost],$A409)="Cost",-1,1)*INDEX(tbl_WIP[Amount],$A409)),"")</f>
        <v/>
      </c>
      <c r="H409" s="66">
        <f>IFERROR(INDEX(tbl_WIP[Defer Start],$A409),"")</f>
        <v/>
      </c>
      <c r="I409" s="66">
        <f>IFERROR(INDEX(tbl_WIP[Defer End],$A409),"")</f>
        <v/>
      </c>
      <c r="J409" s="65">
        <f>IF(OR($H409="",$I409="",$G409=""),"",MAX(1,(YEAR($I409)-YEAR($H409))*12+MONTH($I409)-MONTH($H409)+1))</f>
        <v/>
      </c>
      <c r="K409" s="68">
        <f>IF($J409="","",$G409/$J409)</f>
        <v/>
      </c>
      <c r="L409" s="68">
        <f>IF($J409="",0,$K409*MAX(0,MIN(YEAR($C$3)*12+MONTH($C$3),YEAR($I409)*12+MONTH($I409))-(YEAR($H409)*12+MONTH($H409))+1))</f>
        <v/>
      </c>
      <c r="M409" s="68">
        <f>IF($J409="",0,$K409*MAX(0,MIN(YEAR($C$3)*12+MONTH($C$3)-1,YEAR($I409)*12+MONTH($I409))-(YEAR($H409)*12+MONTH($H409))+1))</f>
        <v/>
      </c>
      <c r="N409" s="68">
        <f>IF(OR($J409="",$B409=""),0,IF(YEAR($B409)*12+MONTH($B409)&lt;=YEAR($C$3)*12+MONTH($C$3),$G409,0))</f>
        <v/>
      </c>
      <c r="O409" s="68">
        <f>IF(OR($J409="",$B409=""),0,IF(YEAR($B409)*12+MONTH($B409)&lt;=YEAR($C$3)*12+MONTH($C$3)-1,$G409,0))</f>
        <v/>
      </c>
      <c r="P409" s="68">
        <f>$M409-$O409</f>
        <v/>
      </c>
      <c r="Q409" s="68">
        <f>($L409-$M409)-($N409-$O409)</f>
        <v/>
      </c>
      <c r="R409" s="68">
        <f>$L409-$N409</f>
        <v/>
      </c>
      <c r="S409" s="67">
        <f>"WIP journal"</f>
        <v/>
      </c>
      <c r="T409" s="67">
        <f>IFERROR(INDEX(tbl_WIP[Revenue or Cost],$A409),"")</f>
        <v/>
      </c>
    </row>
    <row r="410">
      <c r="A410" s="65">
        <f>ROW()-407</f>
        <v/>
      </c>
      <c r="B410" s="66">
        <f>IFERROR(INDEX(tbl_WIP[Month],$A410),"")</f>
        <v/>
      </c>
      <c r="C410" s="67">
        <f>IFERROR(INDEX(tbl_WIP[Xero Invoice No],$A410),"")</f>
        <v/>
      </c>
      <c r="D410" s="67">
        <f>IFERROR(INDEX(tbl_WIP[Client],$A410),"")</f>
        <v/>
      </c>
      <c r="E410" s="67">
        <f>IFERROR(INDEX(tbl_WIP[Job Number],$A410),"")</f>
        <v/>
      </c>
      <c r="F410" s="67">
        <f>IFERROR(INDEX(tbl_WIP[Cost Centre],$A410),"")</f>
        <v/>
      </c>
      <c r="G410" s="68">
        <f>IFERROR(IF(INDEX(tbl_WIP[Defer Start],$A410)="","",IF(INDEX(tbl_WIP[Revenue or Cost],$A410)="Cost",-1,1)*INDEX(tbl_WIP[Amount],$A410)),"")</f>
        <v/>
      </c>
      <c r="H410" s="66">
        <f>IFERROR(INDEX(tbl_WIP[Defer Start],$A410),"")</f>
        <v/>
      </c>
      <c r="I410" s="66">
        <f>IFERROR(INDEX(tbl_WIP[Defer End],$A410),"")</f>
        <v/>
      </c>
      <c r="J410" s="65">
        <f>IF(OR($H410="",$I410="",$G410=""),"",MAX(1,(YEAR($I410)-YEAR($H410))*12+MONTH($I410)-MONTH($H410)+1))</f>
        <v/>
      </c>
      <c r="K410" s="68">
        <f>IF($J410="","",$G410/$J410)</f>
        <v/>
      </c>
      <c r="L410" s="68">
        <f>IF($J410="",0,$K410*MAX(0,MIN(YEAR($C$3)*12+MONTH($C$3),YEAR($I410)*12+MONTH($I410))-(YEAR($H410)*12+MONTH($H410))+1))</f>
        <v/>
      </c>
      <c r="M410" s="68">
        <f>IF($J410="",0,$K410*MAX(0,MIN(YEAR($C$3)*12+MONTH($C$3)-1,YEAR($I410)*12+MONTH($I410))-(YEAR($H410)*12+MONTH($H410))+1))</f>
        <v/>
      </c>
      <c r="N410" s="68">
        <f>IF(OR($J410="",$B410=""),0,IF(YEAR($B410)*12+MONTH($B410)&lt;=YEAR($C$3)*12+MONTH($C$3),$G410,0))</f>
        <v/>
      </c>
      <c r="O410" s="68">
        <f>IF(OR($J410="",$B410=""),0,IF(YEAR($B410)*12+MONTH($B410)&lt;=YEAR($C$3)*12+MONTH($C$3)-1,$G410,0))</f>
        <v/>
      </c>
      <c r="P410" s="68">
        <f>$M410-$O410</f>
        <v/>
      </c>
      <c r="Q410" s="68">
        <f>($L410-$M410)-($N410-$O410)</f>
        <v/>
      </c>
      <c r="R410" s="68">
        <f>$L410-$N410</f>
        <v/>
      </c>
      <c r="S410" s="67">
        <f>"WIP journal"</f>
        <v/>
      </c>
      <c r="T410" s="67">
        <f>IFERROR(INDEX(tbl_WIP[Revenue or Cost],$A410),"")</f>
        <v/>
      </c>
    </row>
    <row r="411">
      <c r="A411" s="65">
        <f>ROW()-407</f>
        <v/>
      </c>
      <c r="B411" s="66">
        <f>IFERROR(INDEX(tbl_WIP[Month],$A411),"")</f>
        <v/>
      </c>
      <c r="C411" s="67">
        <f>IFERROR(INDEX(tbl_WIP[Xero Invoice No],$A411),"")</f>
        <v/>
      </c>
      <c r="D411" s="67">
        <f>IFERROR(INDEX(tbl_WIP[Client],$A411),"")</f>
        <v/>
      </c>
      <c r="E411" s="67">
        <f>IFERROR(INDEX(tbl_WIP[Job Number],$A411),"")</f>
        <v/>
      </c>
      <c r="F411" s="67">
        <f>IFERROR(INDEX(tbl_WIP[Cost Centre],$A411),"")</f>
        <v/>
      </c>
      <c r="G411" s="68">
        <f>IFERROR(IF(INDEX(tbl_WIP[Defer Start],$A411)="","",IF(INDEX(tbl_WIP[Revenue or Cost],$A411)="Cost",-1,1)*INDEX(tbl_WIP[Amount],$A411)),"")</f>
        <v/>
      </c>
      <c r="H411" s="66">
        <f>IFERROR(INDEX(tbl_WIP[Defer Start],$A411),"")</f>
        <v/>
      </c>
      <c r="I411" s="66">
        <f>IFERROR(INDEX(tbl_WIP[Defer End],$A411),"")</f>
        <v/>
      </c>
      <c r="J411" s="65">
        <f>IF(OR($H411="",$I411="",$G411=""),"",MAX(1,(YEAR($I411)-YEAR($H411))*12+MONTH($I411)-MONTH($H411)+1))</f>
        <v/>
      </c>
      <c r="K411" s="68">
        <f>IF($J411="","",$G411/$J411)</f>
        <v/>
      </c>
      <c r="L411" s="68">
        <f>IF($J411="",0,$K411*MAX(0,MIN(YEAR($C$3)*12+MONTH($C$3),YEAR($I411)*12+MONTH($I411))-(YEAR($H411)*12+MONTH($H411))+1))</f>
        <v/>
      </c>
      <c r="M411" s="68">
        <f>IF($J411="",0,$K411*MAX(0,MIN(YEAR($C$3)*12+MONTH($C$3)-1,YEAR($I411)*12+MONTH($I411))-(YEAR($H411)*12+MONTH($H411))+1))</f>
        <v/>
      </c>
      <c r="N411" s="68">
        <f>IF(OR($J411="",$B411=""),0,IF(YEAR($B411)*12+MONTH($B411)&lt;=YEAR($C$3)*12+MONTH($C$3),$G411,0))</f>
        <v/>
      </c>
      <c r="O411" s="68">
        <f>IF(OR($J411="",$B411=""),0,IF(YEAR($B411)*12+MONTH($B411)&lt;=YEAR($C$3)*12+MONTH($C$3)-1,$G411,0))</f>
        <v/>
      </c>
      <c r="P411" s="68">
        <f>$M411-$O411</f>
        <v/>
      </c>
      <c r="Q411" s="68">
        <f>($L411-$M411)-($N411-$O411)</f>
        <v/>
      </c>
      <c r="R411" s="68">
        <f>$L411-$N411</f>
        <v/>
      </c>
      <c r="S411" s="67">
        <f>"WIP journal"</f>
        <v/>
      </c>
      <c r="T411" s="67">
        <f>IFERROR(INDEX(tbl_WIP[Revenue or Cost],$A411),"")</f>
        <v/>
      </c>
    </row>
    <row r="412">
      <c r="A412" s="65">
        <f>ROW()-407</f>
        <v/>
      </c>
      <c r="B412" s="66">
        <f>IFERROR(INDEX(tbl_WIP[Month],$A412),"")</f>
        <v/>
      </c>
      <c r="C412" s="67">
        <f>IFERROR(INDEX(tbl_WIP[Xero Invoice No],$A412),"")</f>
        <v/>
      </c>
      <c r="D412" s="67">
        <f>IFERROR(INDEX(tbl_WIP[Client],$A412),"")</f>
        <v/>
      </c>
      <c r="E412" s="67">
        <f>IFERROR(INDEX(tbl_WIP[Job Number],$A412),"")</f>
        <v/>
      </c>
      <c r="F412" s="67">
        <f>IFERROR(INDEX(tbl_WIP[Cost Centre],$A412),"")</f>
        <v/>
      </c>
      <c r="G412" s="68">
        <f>IFERROR(IF(INDEX(tbl_WIP[Defer Start],$A412)="","",IF(INDEX(tbl_WIP[Revenue or Cost],$A412)="Cost",-1,1)*INDEX(tbl_WIP[Amount],$A412)),"")</f>
        <v/>
      </c>
      <c r="H412" s="66">
        <f>IFERROR(INDEX(tbl_WIP[Defer Start],$A412),"")</f>
        <v/>
      </c>
      <c r="I412" s="66">
        <f>IFERROR(INDEX(tbl_WIP[Defer End],$A412),"")</f>
        <v/>
      </c>
      <c r="J412" s="65">
        <f>IF(OR($H412="",$I412="",$G412=""),"",MAX(1,(YEAR($I412)-YEAR($H412))*12+MONTH($I412)-MONTH($H412)+1))</f>
        <v/>
      </c>
      <c r="K412" s="68">
        <f>IF($J412="","",$G412/$J412)</f>
        <v/>
      </c>
      <c r="L412" s="68">
        <f>IF($J412="",0,$K412*MAX(0,MIN(YEAR($C$3)*12+MONTH($C$3),YEAR($I412)*12+MONTH($I412))-(YEAR($H412)*12+MONTH($H412))+1))</f>
        <v/>
      </c>
      <c r="M412" s="68">
        <f>IF($J412="",0,$K412*MAX(0,MIN(YEAR($C$3)*12+MONTH($C$3)-1,YEAR($I412)*12+MONTH($I412))-(YEAR($H412)*12+MONTH($H412))+1))</f>
        <v/>
      </c>
      <c r="N412" s="68">
        <f>IF(OR($J412="",$B412=""),0,IF(YEAR($B412)*12+MONTH($B412)&lt;=YEAR($C$3)*12+MONTH($C$3),$G412,0))</f>
        <v/>
      </c>
      <c r="O412" s="68">
        <f>IF(OR($J412="",$B412=""),0,IF(YEAR($B412)*12+MONTH($B412)&lt;=YEAR($C$3)*12+MONTH($C$3)-1,$G412,0))</f>
        <v/>
      </c>
      <c r="P412" s="68">
        <f>$M412-$O412</f>
        <v/>
      </c>
      <c r="Q412" s="68">
        <f>($L412-$M412)-($N412-$O412)</f>
        <v/>
      </c>
      <c r="R412" s="68">
        <f>$L412-$N412</f>
        <v/>
      </c>
      <c r="S412" s="67">
        <f>"WIP journal"</f>
        <v/>
      </c>
      <c r="T412" s="67">
        <f>IFERROR(INDEX(tbl_WIP[Revenue or Cost],$A412),"")</f>
        <v/>
      </c>
    </row>
    <row r="413">
      <c r="A413" s="65">
        <f>ROW()-407</f>
        <v/>
      </c>
      <c r="B413" s="66">
        <f>IFERROR(INDEX(tbl_WIP[Month],$A413),"")</f>
        <v/>
      </c>
      <c r="C413" s="67">
        <f>IFERROR(INDEX(tbl_WIP[Xero Invoice No],$A413),"")</f>
        <v/>
      </c>
      <c r="D413" s="67">
        <f>IFERROR(INDEX(tbl_WIP[Client],$A413),"")</f>
        <v/>
      </c>
      <c r="E413" s="67">
        <f>IFERROR(INDEX(tbl_WIP[Job Number],$A413),"")</f>
        <v/>
      </c>
      <c r="F413" s="67">
        <f>IFERROR(INDEX(tbl_WIP[Cost Centre],$A413),"")</f>
        <v/>
      </c>
      <c r="G413" s="68">
        <f>IFERROR(IF(INDEX(tbl_WIP[Defer Start],$A413)="","",IF(INDEX(tbl_WIP[Revenue or Cost],$A413)="Cost",-1,1)*INDEX(tbl_WIP[Amount],$A413)),"")</f>
        <v/>
      </c>
      <c r="H413" s="66">
        <f>IFERROR(INDEX(tbl_WIP[Defer Start],$A413),"")</f>
        <v/>
      </c>
      <c r="I413" s="66">
        <f>IFERROR(INDEX(tbl_WIP[Defer End],$A413),"")</f>
        <v/>
      </c>
      <c r="J413" s="65">
        <f>IF(OR($H413="",$I413="",$G413=""),"",MAX(1,(YEAR($I413)-YEAR($H413))*12+MONTH($I413)-MONTH($H413)+1))</f>
        <v/>
      </c>
      <c r="K413" s="68">
        <f>IF($J413="","",$G413/$J413)</f>
        <v/>
      </c>
      <c r="L413" s="68">
        <f>IF($J413="",0,$K413*MAX(0,MIN(YEAR($C$3)*12+MONTH($C$3),YEAR($I413)*12+MONTH($I413))-(YEAR($H413)*12+MONTH($H413))+1))</f>
        <v/>
      </c>
      <c r="M413" s="68">
        <f>IF($J413="",0,$K413*MAX(0,MIN(YEAR($C$3)*12+MONTH($C$3)-1,YEAR($I413)*12+MONTH($I413))-(YEAR($H413)*12+MONTH($H413))+1))</f>
        <v/>
      </c>
      <c r="N413" s="68">
        <f>IF(OR($J413="",$B413=""),0,IF(YEAR($B413)*12+MONTH($B413)&lt;=YEAR($C$3)*12+MONTH($C$3),$G413,0))</f>
        <v/>
      </c>
      <c r="O413" s="68">
        <f>IF(OR($J413="",$B413=""),0,IF(YEAR($B413)*12+MONTH($B413)&lt;=YEAR($C$3)*12+MONTH($C$3)-1,$G413,0))</f>
        <v/>
      </c>
      <c r="P413" s="68">
        <f>$M413-$O413</f>
        <v/>
      </c>
      <c r="Q413" s="68">
        <f>($L413-$M413)-($N413-$O413)</f>
        <v/>
      </c>
      <c r="R413" s="68">
        <f>$L413-$N413</f>
        <v/>
      </c>
      <c r="S413" s="67">
        <f>"WIP journal"</f>
        <v/>
      </c>
      <c r="T413" s="67">
        <f>IFERROR(INDEX(tbl_WIP[Revenue or Cost],$A413),"")</f>
        <v/>
      </c>
    </row>
    <row r="414">
      <c r="A414" s="65">
        <f>ROW()-407</f>
        <v/>
      </c>
      <c r="B414" s="66">
        <f>IFERROR(INDEX(tbl_WIP[Month],$A414),"")</f>
        <v/>
      </c>
      <c r="C414" s="67">
        <f>IFERROR(INDEX(tbl_WIP[Xero Invoice No],$A414),"")</f>
        <v/>
      </c>
      <c r="D414" s="67">
        <f>IFERROR(INDEX(tbl_WIP[Client],$A414),"")</f>
        <v/>
      </c>
      <c r="E414" s="67">
        <f>IFERROR(INDEX(tbl_WIP[Job Number],$A414),"")</f>
        <v/>
      </c>
      <c r="F414" s="67">
        <f>IFERROR(INDEX(tbl_WIP[Cost Centre],$A414),"")</f>
        <v/>
      </c>
      <c r="G414" s="68">
        <f>IFERROR(IF(INDEX(tbl_WIP[Defer Start],$A414)="","",IF(INDEX(tbl_WIP[Revenue or Cost],$A414)="Cost",-1,1)*INDEX(tbl_WIP[Amount],$A414)),"")</f>
        <v/>
      </c>
      <c r="H414" s="66">
        <f>IFERROR(INDEX(tbl_WIP[Defer Start],$A414),"")</f>
        <v/>
      </c>
      <c r="I414" s="66">
        <f>IFERROR(INDEX(tbl_WIP[Defer End],$A414),"")</f>
        <v/>
      </c>
      <c r="J414" s="65">
        <f>IF(OR($H414="",$I414="",$G414=""),"",MAX(1,(YEAR($I414)-YEAR($H414))*12+MONTH($I414)-MONTH($H414)+1))</f>
        <v/>
      </c>
      <c r="K414" s="68">
        <f>IF($J414="","",$G414/$J414)</f>
        <v/>
      </c>
      <c r="L414" s="68">
        <f>IF($J414="",0,$K414*MAX(0,MIN(YEAR($C$3)*12+MONTH($C$3),YEAR($I414)*12+MONTH($I414))-(YEAR($H414)*12+MONTH($H414))+1))</f>
        <v/>
      </c>
      <c r="M414" s="68">
        <f>IF($J414="",0,$K414*MAX(0,MIN(YEAR($C$3)*12+MONTH($C$3)-1,YEAR($I414)*12+MONTH($I414))-(YEAR($H414)*12+MONTH($H414))+1))</f>
        <v/>
      </c>
      <c r="N414" s="68">
        <f>IF(OR($J414="",$B414=""),0,IF(YEAR($B414)*12+MONTH($B414)&lt;=YEAR($C$3)*12+MONTH($C$3),$G414,0))</f>
        <v/>
      </c>
      <c r="O414" s="68">
        <f>IF(OR($J414="",$B414=""),0,IF(YEAR($B414)*12+MONTH($B414)&lt;=YEAR($C$3)*12+MONTH($C$3)-1,$G414,0))</f>
        <v/>
      </c>
      <c r="P414" s="68">
        <f>$M414-$O414</f>
        <v/>
      </c>
      <c r="Q414" s="68">
        <f>($L414-$M414)-($N414-$O414)</f>
        <v/>
      </c>
      <c r="R414" s="68">
        <f>$L414-$N414</f>
        <v/>
      </c>
      <c r="S414" s="67">
        <f>"WIP journal"</f>
        <v/>
      </c>
      <c r="T414" s="67">
        <f>IFERROR(INDEX(tbl_WIP[Revenue or Cost],$A414),"")</f>
        <v/>
      </c>
    </row>
    <row r="415">
      <c r="A415" s="65">
        <f>ROW()-407</f>
        <v/>
      </c>
      <c r="B415" s="66">
        <f>IFERROR(INDEX(tbl_WIP[Month],$A415),"")</f>
        <v/>
      </c>
      <c r="C415" s="67">
        <f>IFERROR(INDEX(tbl_WIP[Xero Invoice No],$A415),"")</f>
        <v/>
      </c>
      <c r="D415" s="67">
        <f>IFERROR(INDEX(tbl_WIP[Client],$A415),"")</f>
        <v/>
      </c>
      <c r="E415" s="67">
        <f>IFERROR(INDEX(tbl_WIP[Job Number],$A415),"")</f>
        <v/>
      </c>
      <c r="F415" s="67">
        <f>IFERROR(INDEX(tbl_WIP[Cost Centre],$A415),"")</f>
        <v/>
      </c>
      <c r="G415" s="68">
        <f>IFERROR(IF(INDEX(tbl_WIP[Defer Start],$A415)="","",IF(INDEX(tbl_WIP[Revenue or Cost],$A415)="Cost",-1,1)*INDEX(tbl_WIP[Amount],$A415)),"")</f>
        <v/>
      </c>
      <c r="H415" s="66">
        <f>IFERROR(INDEX(tbl_WIP[Defer Start],$A415),"")</f>
        <v/>
      </c>
      <c r="I415" s="66">
        <f>IFERROR(INDEX(tbl_WIP[Defer End],$A415),"")</f>
        <v/>
      </c>
      <c r="J415" s="65">
        <f>IF(OR($H415="",$I415="",$G415=""),"",MAX(1,(YEAR($I415)-YEAR($H415))*12+MONTH($I415)-MONTH($H415)+1))</f>
        <v/>
      </c>
      <c r="K415" s="68">
        <f>IF($J415="","",$G415/$J415)</f>
        <v/>
      </c>
      <c r="L415" s="68">
        <f>IF($J415="",0,$K415*MAX(0,MIN(YEAR($C$3)*12+MONTH($C$3),YEAR($I415)*12+MONTH($I415))-(YEAR($H415)*12+MONTH($H415))+1))</f>
        <v/>
      </c>
      <c r="M415" s="68">
        <f>IF($J415="",0,$K415*MAX(0,MIN(YEAR($C$3)*12+MONTH($C$3)-1,YEAR($I415)*12+MONTH($I415))-(YEAR($H415)*12+MONTH($H415))+1))</f>
        <v/>
      </c>
      <c r="N415" s="68">
        <f>IF(OR($J415="",$B415=""),0,IF(YEAR($B415)*12+MONTH($B415)&lt;=YEAR($C$3)*12+MONTH($C$3),$G415,0))</f>
        <v/>
      </c>
      <c r="O415" s="68">
        <f>IF(OR($J415="",$B415=""),0,IF(YEAR($B415)*12+MONTH($B415)&lt;=YEAR($C$3)*12+MONTH($C$3)-1,$G415,0))</f>
        <v/>
      </c>
      <c r="P415" s="68">
        <f>$M415-$O415</f>
        <v/>
      </c>
      <c r="Q415" s="68">
        <f>($L415-$M415)-($N415-$O415)</f>
        <v/>
      </c>
      <c r="R415" s="68">
        <f>$L415-$N415</f>
        <v/>
      </c>
      <c r="S415" s="67">
        <f>"WIP journal"</f>
        <v/>
      </c>
      <c r="T415" s="67">
        <f>IFERROR(INDEX(tbl_WIP[Revenue or Cost],$A415),"")</f>
        <v/>
      </c>
    </row>
    <row r="416">
      <c r="A416" s="65">
        <f>ROW()-407</f>
        <v/>
      </c>
      <c r="B416" s="66">
        <f>IFERROR(INDEX(tbl_WIP[Month],$A416),"")</f>
        <v/>
      </c>
      <c r="C416" s="67">
        <f>IFERROR(INDEX(tbl_WIP[Xero Invoice No],$A416),"")</f>
        <v/>
      </c>
      <c r="D416" s="67">
        <f>IFERROR(INDEX(tbl_WIP[Client],$A416),"")</f>
        <v/>
      </c>
      <c r="E416" s="67">
        <f>IFERROR(INDEX(tbl_WIP[Job Number],$A416),"")</f>
        <v/>
      </c>
      <c r="F416" s="67">
        <f>IFERROR(INDEX(tbl_WIP[Cost Centre],$A416),"")</f>
        <v/>
      </c>
      <c r="G416" s="68">
        <f>IFERROR(IF(INDEX(tbl_WIP[Defer Start],$A416)="","",IF(INDEX(tbl_WIP[Revenue or Cost],$A416)="Cost",-1,1)*INDEX(tbl_WIP[Amount],$A416)),"")</f>
        <v/>
      </c>
      <c r="H416" s="66">
        <f>IFERROR(INDEX(tbl_WIP[Defer Start],$A416),"")</f>
        <v/>
      </c>
      <c r="I416" s="66">
        <f>IFERROR(INDEX(tbl_WIP[Defer End],$A416),"")</f>
        <v/>
      </c>
      <c r="J416" s="65">
        <f>IF(OR($H416="",$I416="",$G416=""),"",MAX(1,(YEAR($I416)-YEAR($H416))*12+MONTH($I416)-MONTH($H416)+1))</f>
        <v/>
      </c>
      <c r="K416" s="68">
        <f>IF($J416="","",$G416/$J416)</f>
        <v/>
      </c>
      <c r="L416" s="68">
        <f>IF($J416="",0,$K416*MAX(0,MIN(YEAR($C$3)*12+MONTH($C$3),YEAR($I416)*12+MONTH($I416))-(YEAR($H416)*12+MONTH($H416))+1))</f>
        <v/>
      </c>
      <c r="M416" s="68">
        <f>IF($J416="",0,$K416*MAX(0,MIN(YEAR($C$3)*12+MONTH($C$3)-1,YEAR($I416)*12+MONTH($I416))-(YEAR($H416)*12+MONTH($H416))+1))</f>
        <v/>
      </c>
      <c r="N416" s="68">
        <f>IF(OR($J416="",$B416=""),0,IF(YEAR($B416)*12+MONTH($B416)&lt;=YEAR($C$3)*12+MONTH($C$3),$G416,0))</f>
        <v/>
      </c>
      <c r="O416" s="68">
        <f>IF(OR($J416="",$B416=""),0,IF(YEAR($B416)*12+MONTH($B416)&lt;=YEAR($C$3)*12+MONTH($C$3)-1,$G416,0))</f>
        <v/>
      </c>
      <c r="P416" s="68">
        <f>$M416-$O416</f>
        <v/>
      </c>
      <c r="Q416" s="68">
        <f>($L416-$M416)-($N416-$O416)</f>
        <v/>
      </c>
      <c r="R416" s="68">
        <f>$L416-$N416</f>
        <v/>
      </c>
      <c r="S416" s="67">
        <f>"WIP journal"</f>
        <v/>
      </c>
      <c r="T416" s="67">
        <f>IFERROR(INDEX(tbl_WIP[Revenue or Cost],$A416),"")</f>
        <v/>
      </c>
    </row>
    <row r="417">
      <c r="A417" s="65">
        <f>ROW()-407</f>
        <v/>
      </c>
      <c r="B417" s="66">
        <f>IFERROR(INDEX(tbl_WIP[Month],$A417),"")</f>
        <v/>
      </c>
      <c r="C417" s="67">
        <f>IFERROR(INDEX(tbl_WIP[Xero Invoice No],$A417),"")</f>
        <v/>
      </c>
      <c r="D417" s="67">
        <f>IFERROR(INDEX(tbl_WIP[Client],$A417),"")</f>
        <v/>
      </c>
      <c r="E417" s="67">
        <f>IFERROR(INDEX(tbl_WIP[Job Number],$A417),"")</f>
        <v/>
      </c>
      <c r="F417" s="67">
        <f>IFERROR(INDEX(tbl_WIP[Cost Centre],$A417),"")</f>
        <v/>
      </c>
      <c r="G417" s="68">
        <f>IFERROR(IF(INDEX(tbl_WIP[Defer Start],$A417)="","",IF(INDEX(tbl_WIP[Revenue or Cost],$A417)="Cost",-1,1)*INDEX(tbl_WIP[Amount],$A417)),"")</f>
        <v/>
      </c>
      <c r="H417" s="66">
        <f>IFERROR(INDEX(tbl_WIP[Defer Start],$A417),"")</f>
        <v/>
      </c>
      <c r="I417" s="66">
        <f>IFERROR(INDEX(tbl_WIP[Defer End],$A417),"")</f>
        <v/>
      </c>
      <c r="J417" s="65">
        <f>IF(OR($H417="",$I417="",$G417=""),"",MAX(1,(YEAR($I417)-YEAR($H417))*12+MONTH($I417)-MONTH($H417)+1))</f>
        <v/>
      </c>
      <c r="K417" s="68">
        <f>IF($J417="","",$G417/$J417)</f>
        <v/>
      </c>
      <c r="L417" s="68">
        <f>IF($J417="",0,$K417*MAX(0,MIN(YEAR($C$3)*12+MONTH($C$3),YEAR($I417)*12+MONTH($I417))-(YEAR($H417)*12+MONTH($H417))+1))</f>
        <v/>
      </c>
      <c r="M417" s="68">
        <f>IF($J417="",0,$K417*MAX(0,MIN(YEAR($C$3)*12+MONTH($C$3)-1,YEAR($I417)*12+MONTH($I417))-(YEAR($H417)*12+MONTH($H417))+1))</f>
        <v/>
      </c>
      <c r="N417" s="68">
        <f>IF(OR($J417="",$B417=""),0,IF(YEAR($B417)*12+MONTH($B417)&lt;=YEAR($C$3)*12+MONTH($C$3),$G417,0))</f>
        <v/>
      </c>
      <c r="O417" s="68">
        <f>IF(OR($J417="",$B417=""),0,IF(YEAR($B417)*12+MONTH($B417)&lt;=YEAR($C$3)*12+MONTH($C$3)-1,$G417,0))</f>
        <v/>
      </c>
      <c r="P417" s="68">
        <f>$M417-$O417</f>
        <v/>
      </c>
      <c r="Q417" s="68">
        <f>($L417-$M417)-($N417-$O417)</f>
        <v/>
      </c>
      <c r="R417" s="68">
        <f>$L417-$N417</f>
        <v/>
      </c>
      <c r="S417" s="67">
        <f>"WIP journal"</f>
        <v/>
      </c>
      <c r="T417" s="67">
        <f>IFERROR(INDEX(tbl_WIP[Revenue or Cost],$A417),"")</f>
        <v/>
      </c>
    </row>
    <row r="418">
      <c r="A418" s="65">
        <f>ROW()-407</f>
        <v/>
      </c>
      <c r="B418" s="66">
        <f>IFERROR(INDEX(tbl_WIP[Month],$A418),"")</f>
        <v/>
      </c>
      <c r="C418" s="67">
        <f>IFERROR(INDEX(tbl_WIP[Xero Invoice No],$A418),"")</f>
        <v/>
      </c>
      <c r="D418" s="67">
        <f>IFERROR(INDEX(tbl_WIP[Client],$A418),"")</f>
        <v/>
      </c>
      <c r="E418" s="67">
        <f>IFERROR(INDEX(tbl_WIP[Job Number],$A418),"")</f>
        <v/>
      </c>
      <c r="F418" s="67">
        <f>IFERROR(INDEX(tbl_WIP[Cost Centre],$A418),"")</f>
        <v/>
      </c>
      <c r="G418" s="68">
        <f>IFERROR(IF(INDEX(tbl_WIP[Defer Start],$A418)="","",IF(INDEX(tbl_WIP[Revenue or Cost],$A418)="Cost",-1,1)*INDEX(tbl_WIP[Amount],$A418)),"")</f>
        <v/>
      </c>
      <c r="H418" s="66">
        <f>IFERROR(INDEX(tbl_WIP[Defer Start],$A418),"")</f>
        <v/>
      </c>
      <c r="I418" s="66">
        <f>IFERROR(INDEX(tbl_WIP[Defer End],$A418),"")</f>
        <v/>
      </c>
      <c r="J418" s="65">
        <f>IF(OR($H418="",$I418="",$G418=""),"",MAX(1,(YEAR($I418)-YEAR($H418))*12+MONTH($I418)-MONTH($H418)+1))</f>
        <v/>
      </c>
      <c r="K418" s="68">
        <f>IF($J418="","",$G418/$J418)</f>
        <v/>
      </c>
      <c r="L418" s="68">
        <f>IF($J418="",0,$K418*MAX(0,MIN(YEAR($C$3)*12+MONTH($C$3),YEAR($I418)*12+MONTH($I418))-(YEAR($H418)*12+MONTH($H418))+1))</f>
        <v/>
      </c>
      <c r="M418" s="68">
        <f>IF($J418="",0,$K418*MAX(0,MIN(YEAR($C$3)*12+MONTH($C$3)-1,YEAR($I418)*12+MONTH($I418))-(YEAR($H418)*12+MONTH($H418))+1))</f>
        <v/>
      </c>
      <c r="N418" s="68">
        <f>IF(OR($J418="",$B418=""),0,IF(YEAR($B418)*12+MONTH($B418)&lt;=YEAR($C$3)*12+MONTH($C$3),$G418,0))</f>
        <v/>
      </c>
      <c r="O418" s="68">
        <f>IF(OR($J418="",$B418=""),0,IF(YEAR($B418)*12+MONTH($B418)&lt;=YEAR($C$3)*12+MONTH($C$3)-1,$G418,0))</f>
        <v/>
      </c>
      <c r="P418" s="68">
        <f>$M418-$O418</f>
        <v/>
      </c>
      <c r="Q418" s="68">
        <f>($L418-$M418)-($N418-$O418)</f>
        <v/>
      </c>
      <c r="R418" s="68">
        <f>$L418-$N418</f>
        <v/>
      </c>
      <c r="S418" s="67">
        <f>"WIP journal"</f>
        <v/>
      </c>
      <c r="T418" s="67">
        <f>IFERROR(INDEX(tbl_WIP[Revenue or Cost],$A418),"")</f>
        <v/>
      </c>
    </row>
    <row r="419">
      <c r="A419" s="65">
        <f>ROW()-407</f>
        <v/>
      </c>
      <c r="B419" s="66">
        <f>IFERROR(INDEX(tbl_WIP[Month],$A419),"")</f>
        <v/>
      </c>
      <c r="C419" s="67">
        <f>IFERROR(INDEX(tbl_WIP[Xero Invoice No],$A419),"")</f>
        <v/>
      </c>
      <c r="D419" s="67">
        <f>IFERROR(INDEX(tbl_WIP[Client],$A419),"")</f>
        <v/>
      </c>
      <c r="E419" s="67">
        <f>IFERROR(INDEX(tbl_WIP[Job Number],$A419),"")</f>
        <v/>
      </c>
      <c r="F419" s="67">
        <f>IFERROR(INDEX(tbl_WIP[Cost Centre],$A419),"")</f>
        <v/>
      </c>
      <c r="G419" s="68">
        <f>IFERROR(IF(INDEX(tbl_WIP[Defer Start],$A419)="","",IF(INDEX(tbl_WIP[Revenue or Cost],$A419)="Cost",-1,1)*INDEX(tbl_WIP[Amount],$A419)),"")</f>
        <v/>
      </c>
      <c r="H419" s="66">
        <f>IFERROR(INDEX(tbl_WIP[Defer Start],$A419),"")</f>
        <v/>
      </c>
      <c r="I419" s="66">
        <f>IFERROR(INDEX(tbl_WIP[Defer End],$A419),"")</f>
        <v/>
      </c>
      <c r="J419" s="65">
        <f>IF(OR($H419="",$I419="",$G419=""),"",MAX(1,(YEAR($I419)-YEAR($H419))*12+MONTH($I419)-MONTH($H419)+1))</f>
        <v/>
      </c>
      <c r="K419" s="68">
        <f>IF($J419="","",$G419/$J419)</f>
        <v/>
      </c>
      <c r="L419" s="68">
        <f>IF($J419="",0,$K419*MAX(0,MIN(YEAR($C$3)*12+MONTH($C$3),YEAR($I419)*12+MONTH($I419))-(YEAR($H419)*12+MONTH($H419))+1))</f>
        <v/>
      </c>
      <c r="M419" s="68">
        <f>IF($J419="",0,$K419*MAX(0,MIN(YEAR($C$3)*12+MONTH($C$3)-1,YEAR($I419)*12+MONTH($I419))-(YEAR($H419)*12+MONTH($H419))+1))</f>
        <v/>
      </c>
      <c r="N419" s="68">
        <f>IF(OR($J419="",$B419=""),0,IF(YEAR($B419)*12+MONTH($B419)&lt;=YEAR($C$3)*12+MONTH($C$3),$G419,0))</f>
        <v/>
      </c>
      <c r="O419" s="68">
        <f>IF(OR($J419="",$B419=""),0,IF(YEAR($B419)*12+MONTH($B419)&lt;=YEAR($C$3)*12+MONTH($C$3)-1,$G419,0))</f>
        <v/>
      </c>
      <c r="P419" s="68">
        <f>$M419-$O419</f>
        <v/>
      </c>
      <c r="Q419" s="68">
        <f>($L419-$M419)-($N419-$O419)</f>
        <v/>
      </c>
      <c r="R419" s="68">
        <f>$L419-$N419</f>
        <v/>
      </c>
      <c r="S419" s="67">
        <f>"WIP journal"</f>
        <v/>
      </c>
      <c r="T419" s="67">
        <f>IFERROR(INDEX(tbl_WIP[Revenue or Cost],$A419),"")</f>
        <v/>
      </c>
    </row>
    <row r="420">
      <c r="A420" s="65">
        <f>ROW()-407</f>
        <v/>
      </c>
      <c r="B420" s="66">
        <f>IFERROR(INDEX(tbl_WIP[Month],$A420),"")</f>
        <v/>
      </c>
      <c r="C420" s="67">
        <f>IFERROR(INDEX(tbl_WIP[Xero Invoice No],$A420),"")</f>
        <v/>
      </c>
      <c r="D420" s="67">
        <f>IFERROR(INDEX(tbl_WIP[Client],$A420),"")</f>
        <v/>
      </c>
      <c r="E420" s="67">
        <f>IFERROR(INDEX(tbl_WIP[Job Number],$A420),"")</f>
        <v/>
      </c>
      <c r="F420" s="67">
        <f>IFERROR(INDEX(tbl_WIP[Cost Centre],$A420),"")</f>
        <v/>
      </c>
      <c r="G420" s="68">
        <f>IFERROR(IF(INDEX(tbl_WIP[Defer Start],$A420)="","",IF(INDEX(tbl_WIP[Revenue or Cost],$A420)="Cost",-1,1)*INDEX(tbl_WIP[Amount],$A420)),"")</f>
        <v/>
      </c>
      <c r="H420" s="66">
        <f>IFERROR(INDEX(tbl_WIP[Defer Start],$A420),"")</f>
        <v/>
      </c>
      <c r="I420" s="66">
        <f>IFERROR(INDEX(tbl_WIP[Defer End],$A420),"")</f>
        <v/>
      </c>
      <c r="J420" s="65">
        <f>IF(OR($H420="",$I420="",$G420=""),"",MAX(1,(YEAR($I420)-YEAR($H420))*12+MONTH($I420)-MONTH($H420)+1))</f>
        <v/>
      </c>
      <c r="K420" s="68">
        <f>IF($J420="","",$G420/$J420)</f>
        <v/>
      </c>
      <c r="L420" s="68">
        <f>IF($J420="",0,$K420*MAX(0,MIN(YEAR($C$3)*12+MONTH($C$3),YEAR($I420)*12+MONTH($I420))-(YEAR($H420)*12+MONTH($H420))+1))</f>
        <v/>
      </c>
      <c r="M420" s="68">
        <f>IF($J420="",0,$K420*MAX(0,MIN(YEAR($C$3)*12+MONTH($C$3)-1,YEAR($I420)*12+MONTH($I420))-(YEAR($H420)*12+MONTH($H420))+1))</f>
        <v/>
      </c>
      <c r="N420" s="68">
        <f>IF(OR($J420="",$B420=""),0,IF(YEAR($B420)*12+MONTH($B420)&lt;=YEAR($C$3)*12+MONTH($C$3),$G420,0))</f>
        <v/>
      </c>
      <c r="O420" s="68">
        <f>IF(OR($J420="",$B420=""),0,IF(YEAR($B420)*12+MONTH($B420)&lt;=YEAR($C$3)*12+MONTH($C$3)-1,$G420,0))</f>
        <v/>
      </c>
      <c r="P420" s="68">
        <f>$M420-$O420</f>
        <v/>
      </c>
      <c r="Q420" s="68">
        <f>($L420-$M420)-($N420-$O420)</f>
        <v/>
      </c>
      <c r="R420" s="68">
        <f>$L420-$N420</f>
        <v/>
      </c>
      <c r="S420" s="67">
        <f>"WIP journal"</f>
        <v/>
      </c>
      <c r="T420" s="67">
        <f>IFERROR(INDEX(tbl_WIP[Revenue or Cost],$A420),"")</f>
        <v/>
      </c>
    </row>
    <row r="421">
      <c r="A421" s="65">
        <f>ROW()-407</f>
        <v/>
      </c>
      <c r="B421" s="66">
        <f>IFERROR(INDEX(tbl_WIP[Month],$A421),"")</f>
        <v/>
      </c>
      <c r="C421" s="67">
        <f>IFERROR(INDEX(tbl_WIP[Xero Invoice No],$A421),"")</f>
        <v/>
      </c>
      <c r="D421" s="67">
        <f>IFERROR(INDEX(tbl_WIP[Client],$A421),"")</f>
        <v/>
      </c>
      <c r="E421" s="67">
        <f>IFERROR(INDEX(tbl_WIP[Job Number],$A421),"")</f>
        <v/>
      </c>
      <c r="F421" s="67">
        <f>IFERROR(INDEX(tbl_WIP[Cost Centre],$A421),"")</f>
        <v/>
      </c>
      <c r="G421" s="68">
        <f>IFERROR(IF(INDEX(tbl_WIP[Defer Start],$A421)="","",IF(INDEX(tbl_WIP[Revenue or Cost],$A421)="Cost",-1,1)*INDEX(tbl_WIP[Amount],$A421)),"")</f>
        <v/>
      </c>
      <c r="H421" s="66">
        <f>IFERROR(INDEX(tbl_WIP[Defer Start],$A421),"")</f>
        <v/>
      </c>
      <c r="I421" s="66">
        <f>IFERROR(INDEX(tbl_WIP[Defer End],$A421),"")</f>
        <v/>
      </c>
      <c r="J421" s="65">
        <f>IF(OR($H421="",$I421="",$G421=""),"",MAX(1,(YEAR($I421)-YEAR($H421))*12+MONTH($I421)-MONTH($H421)+1))</f>
        <v/>
      </c>
      <c r="K421" s="68">
        <f>IF($J421="","",$G421/$J421)</f>
        <v/>
      </c>
      <c r="L421" s="68">
        <f>IF($J421="",0,$K421*MAX(0,MIN(YEAR($C$3)*12+MONTH($C$3),YEAR($I421)*12+MONTH($I421))-(YEAR($H421)*12+MONTH($H421))+1))</f>
        <v/>
      </c>
      <c r="M421" s="68">
        <f>IF($J421="",0,$K421*MAX(0,MIN(YEAR($C$3)*12+MONTH($C$3)-1,YEAR($I421)*12+MONTH($I421))-(YEAR($H421)*12+MONTH($H421))+1))</f>
        <v/>
      </c>
      <c r="N421" s="68">
        <f>IF(OR($J421="",$B421=""),0,IF(YEAR($B421)*12+MONTH($B421)&lt;=YEAR($C$3)*12+MONTH($C$3),$G421,0))</f>
        <v/>
      </c>
      <c r="O421" s="68">
        <f>IF(OR($J421="",$B421=""),0,IF(YEAR($B421)*12+MONTH($B421)&lt;=YEAR($C$3)*12+MONTH($C$3)-1,$G421,0))</f>
        <v/>
      </c>
      <c r="P421" s="68">
        <f>$M421-$O421</f>
        <v/>
      </c>
      <c r="Q421" s="68">
        <f>($L421-$M421)-($N421-$O421)</f>
        <v/>
      </c>
      <c r="R421" s="68">
        <f>$L421-$N421</f>
        <v/>
      </c>
      <c r="S421" s="67">
        <f>"WIP journal"</f>
        <v/>
      </c>
      <c r="T421" s="67">
        <f>IFERROR(INDEX(tbl_WIP[Revenue or Cost],$A421),"")</f>
        <v/>
      </c>
    </row>
    <row r="422">
      <c r="A422" s="65">
        <f>ROW()-407</f>
        <v/>
      </c>
      <c r="B422" s="66">
        <f>IFERROR(INDEX(tbl_WIP[Month],$A422),"")</f>
        <v/>
      </c>
      <c r="C422" s="67">
        <f>IFERROR(INDEX(tbl_WIP[Xero Invoice No],$A422),"")</f>
        <v/>
      </c>
      <c r="D422" s="67">
        <f>IFERROR(INDEX(tbl_WIP[Client],$A422),"")</f>
        <v/>
      </c>
      <c r="E422" s="67">
        <f>IFERROR(INDEX(tbl_WIP[Job Number],$A422),"")</f>
        <v/>
      </c>
      <c r="F422" s="67">
        <f>IFERROR(INDEX(tbl_WIP[Cost Centre],$A422),"")</f>
        <v/>
      </c>
      <c r="G422" s="68">
        <f>IFERROR(IF(INDEX(tbl_WIP[Defer Start],$A422)="","",IF(INDEX(tbl_WIP[Revenue or Cost],$A422)="Cost",-1,1)*INDEX(tbl_WIP[Amount],$A422)),"")</f>
        <v/>
      </c>
      <c r="H422" s="66">
        <f>IFERROR(INDEX(tbl_WIP[Defer Start],$A422),"")</f>
        <v/>
      </c>
      <c r="I422" s="66">
        <f>IFERROR(INDEX(tbl_WIP[Defer End],$A422),"")</f>
        <v/>
      </c>
      <c r="J422" s="65">
        <f>IF(OR($H422="",$I422="",$G422=""),"",MAX(1,(YEAR($I422)-YEAR($H422))*12+MONTH($I422)-MONTH($H422)+1))</f>
        <v/>
      </c>
      <c r="K422" s="68">
        <f>IF($J422="","",$G422/$J422)</f>
        <v/>
      </c>
      <c r="L422" s="68">
        <f>IF($J422="",0,$K422*MAX(0,MIN(YEAR($C$3)*12+MONTH($C$3),YEAR($I422)*12+MONTH($I422))-(YEAR($H422)*12+MONTH($H422))+1))</f>
        <v/>
      </c>
      <c r="M422" s="68">
        <f>IF($J422="",0,$K422*MAX(0,MIN(YEAR($C$3)*12+MONTH($C$3)-1,YEAR($I422)*12+MONTH($I422))-(YEAR($H422)*12+MONTH($H422))+1))</f>
        <v/>
      </c>
      <c r="N422" s="68">
        <f>IF(OR($J422="",$B422=""),0,IF(YEAR($B422)*12+MONTH($B422)&lt;=YEAR($C$3)*12+MONTH($C$3),$G422,0))</f>
        <v/>
      </c>
      <c r="O422" s="68">
        <f>IF(OR($J422="",$B422=""),0,IF(YEAR($B422)*12+MONTH($B422)&lt;=YEAR($C$3)*12+MONTH($C$3)-1,$G422,0))</f>
        <v/>
      </c>
      <c r="P422" s="68">
        <f>$M422-$O422</f>
        <v/>
      </c>
      <c r="Q422" s="68">
        <f>($L422-$M422)-($N422-$O422)</f>
        <v/>
      </c>
      <c r="R422" s="68">
        <f>$L422-$N422</f>
        <v/>
      </c>
      <c r="S422" s="67">
        <f>"WIP journal"</f>
        <v/>
      </c>
      <c r="T422" s="67">
        <f>IFERROR(INDEX(tbl_WIP[Revenue or Cost],$A422),"")</f>
        <v/>
      </c>
    </row>
    <row r="423">
      <c r="A423" s="65">
        <f>ROW()-407</f>
        <v/>
      </c>
      <c r="B423" s="66">
        <f>IFERROR(INDEX(tbl_WIP[Month],$A423),"")</f>
        <v/>
      </c>
      <c r="C423" s="67">
        <f>IFERROR(INDEX(tbl_WIP[Xero Invoice No],$A423),"")</f>
        <v/>
      </c>
      <c r="D423" s="67">
        <f>IFERROR(INDEX(tbl_WIP[Client],$A423),"")</f>
        <v/>
      </c>
      <c r="E423" s="67">
        <f>IFERROR(INDEX(tbl_WIP[Job Number],$A423),"")</f>
        <v/>
      </c>
      <c r="F423" s="67">
        <f>IFERROR(INDEX(tbl_WIP[Cost Centre],$A423),"")</f>
        <v/>
      </c>
      <c r="G423" s="68">
        <f>IFERROR(IF(INDEX(tbl_WIP[Defer Start],$A423)="","",IF(INDEX(tbl_WIP[Revenue or Cost],$A423)="Cost",-1,1)*INDEX(tbl_WIP[Amount],$A423)),"")</f>
        <v/>
      </c>
      <c r="H423" s="66">
        <f>IFERROR(INDEX(tbl_WIP[Defer Start],$A423),"")</f>
        <v/>
      </c>
      <c r="I423" s="66">
        <f>IFERROR(INDEX(tbl_WIP[Defer End],$A423),"")</f>
        <v/>
      </c>
      <c r="J423" s="65">
        <f>IF(OR($H423="",$I423="",$G423=""),"",MAX(1,(YEAR($I423)-YEAR($H423))*12+MONTH($I423)-MONTH($H423)+1))</f>
        <v/>
      </c>
      <c r="K423" s="68">
        <f>IF($J423="","",$G423/$J423)</f>
        <v/>
      </c>
      <c r="L423" s="68">
        <f>IF($J423="",0,$K423*MAX(0,MIN(YEAR($C$3)*12+MONTH($C$3),YEAR($I423)*12+MONTH($I423))-(YEAR($H423)*12+MONTH($H423))+1))</f>
        <v/>
      </c>
      <c r="M423" s="68">
        <f>IF($J423="",0,$K423*MAX(0,MIN(YEAR($C$3)*12+MONTH($C$3)-1,YEAR($I423)*12+MONTH($I423))-(YEAR($H423)*12+MONTH($H423))+1))</f>
        <v/>
      </c>
      <c r="N423" s="68">
        <f>IF(OR($J423="",$B423=""),0,IF(YEAR($B423)*12+MONTH($B423)&lt;=YEAR($C$3)*12+MONTH($C$3),$G423,0))</f>
        <v/>
      </c>
      <c r="O423" s="68">
        <f>IF(OR($J423="",$B423=""),0,IF(YEAR($B423)*12+MONTH($B423)&lt;=YEAR($C$3)*12+MONTH($C$3)-1,$G423,0))</f>
        <v/>
      </c>
      <c r="P423" s="68">
        <f>$M423-$O423</f>
        <v/>
      </c>
      <c r="Q423" s="68">
        <f>($L423-$M423)-($N423-$O423)</f>
        <v/>
      </c>
      <c r="R423" s="68">
        <f>$L423-$N423</f>
        <v/>
      </c>
      <c r="S423" s="67">
        <f>"WIP journal"</f>
        <v/>
      </c>
      <c r="T423" s="67">
        <f>IFERROR(INDEX(tbl_WIP[Revenue or Cost],$A423),"")</f>
        <v/>
      </c>
    </row>
    <row r="424">
      <c r="A424" s="65">
        <f>ROW()-407</f>
        <v/>
      </c>
      <c r="B424" s="66">
        <f>IFERROR(INDEX(tbl_WIP[Month],$A424),"")</f>
        <v/>
      </c>
      <c r="C424" s="67">
        <f>IFERROR(INDEX(tbl_WIP[Xero Invoice No],$A424),"")</f>
        <v/>
      </c>
      <c r="D424" s="67">
        <f>IFERROR(INDEX(tbl_WIP[Client],$A424),"")</f>
        <v/>
      </c>
      <c r="E424" s="67">
        <f>IFERROR(INDEX(tbl_WIP[Job Number],$A424),"")</f>
        <v/>
      </c>
      <c r="F424" s="67">
        <f>IFERROR(INDEX(tbl_WIP[Cost Centre],$A424),"")</f>
        <v/>
      </c>
      <c r="G424" s="68">
        <f>IFERROR(IF(INDEX(tbl_WIP[Defer Start],$A424)="","",IF(INDEX(tbl_WIP[Revenue or Cost],$A424)="Cost",-1,1)*INDEX(tbl_WIP[Amount],$A424)),"")</f>
        <v/>
      </c>
      <c r="H424" s="66">
        <f>IFERROR(INDEX(tbl_WIP[Defer Start],$A424),"")</f>
        <v/>
      </c>
      <c r="I424" s="66">
        <f>IFERROR(INDEX(tbl_WIP[Defer End],$A424),"")</f>
        <v/>
      </c>
      <c r="J424" s="65">
        <f>IF(OR($H424="",$I424="",$G424=""),"",MAX(1,(YEAR($I424)-YEAR($H424))*12+MONTH($I424)-MONTH($H424)+1))</f>
        <v/>
      </c>
      <c r="K424" s="68">
        <f>IF($J424="","",$G424/$J424)</f>
        <v/>
      </c>
      <c r="L424" s="68">
        <f>IF($J424="",0,$K424*MAX(0,MIN(YEAR($C$3)*12+MONTH($C$3),YEAR($I424)*12+MONTH($I424))-(YEAR($H424)*12+MONTH($H424))+1))</f>
        <v/>
      </c>
      <c r="M424" s="68">
        <f>IF($J424="",0,$K424*MAX(0,MIN(YEAR($C$3)*12+MONTH($C$3)-1,YEAR($I424)*12+MONTH($I424))-(YEAR($H424)*12+MONTH($H424))+1))</f>
        <v/>
      </c>
      <c r="N424" s="68">
        <f>IF(OR($J424="",$B424=""),0,IF(YEAR($B424)*12+MONTH($B424)&lt;=YEAR($C$3)*12+MONTH($C$3),$G424,0))</f>
        <v/>
      </c>
      <c r="O424" s="68">
        <f>IF(OR($J424="",$B424=""),0,IF(YEAR($B424)*12+MONTH($B424)&lt;=YEAR($C$3)*12+MONTH($C$3)-1,$G424,0))</f>
        <v/>
      </c>
      <c r="P424" s="68">
        <f>$M424-$O424</f>
        <v/>
      </c>
      <c r="Q424" s="68">
        <f>($L424-$M424)-($N424-$O424)</f>
        <v/>
      </c>
      <c r="R424" s="68">
        <f>$L424-$N424</f>
        <v/>
      </c>
      <c r="S424" s="67">
        <f>"WIP journal"</f>
        <v/>
      </c>
      <c r="T424" s="67">
        <f>IFERROR(INDEX(tbl_WIP[Revenue or Cost],$A424),"")</f>
        <v/>
      </c>
    </row>
    <row r="425">
      <c r="A425" s="65">
        <f>ROW()-407</f>
        <v/>
      </c>
      <c r="B425" s="66">
        <f>IFERROR(INDEX(tbl_WIP[Month],$A425),"")</f>
        <v/>
      </c>
      <c r="C425" s="67">
        <f>IFERROR(INDEX(tbl_WIP[Xero Invoice No],$A425),"")</f>
        <v/>
      </c>
      <c r="D425" s="67">
        <f>IFERROR(INDEX(tbl_WIP[Client],$A425),"")</f>
        <v/>
      </c>
      <c r="E425" s="67">
        <f>IFERROR(INDEX(tbl_WIP[Job Number],$A425),"")</f>
        <v/>
      </c>
      <c r="F425" s="67">
        <f>IFERROR(INDEX(tbl_WIP[Cost Centre],$A425),"")</f>
        <v/>
      </c>
      <c r="G425" s="68">
        <f>IFERROR(IF(INDEX(tbl_WIP[Defer Start],$A425)="","",IF(INDEX(tbl_WIP[Revenue or Cost],$A425)="Cost",-1,1)*INDEX(tbl_WIP[Amount],$A425)),"")</f>
        <v/>
      </c>
      <c r="H425" s="66">
        <f>IFERROR(INDEX(tbl_WIP[Defer Start],$A425),"")</f>
        <v/>
      </c>
      <c r="I425" s="66">
        <f>IFERROR(INDEX(tbl_WIP[Defer End],$A425),"")</f>
        <v/>
      </c>
      <c r="J425" s="65">
        <f>IF(OR($H425="",$I425="",$G425=""),"",MAX(1,(YEAR($I425)-YEAR($H425))*12+MONTH($I425)-MONTH($H425)+1))</f>
        <v/>
      </c>
      <c r="K425" s="68">
        <f>IF($J425="","",$G425/$J425)</f>
        <v/>
      </c>
      <c r="L425" s="68">
        <f>IF($J425="",0,$K425*MAX(0,MIN(YEAR($C$3)*12+MONTH($C$3),YEAR($I425)*12+MONTH($I425))-(YEAR($H425)*12+MONTH($H425))+1))</f>
        <v/>
      </c>
      <c r="M425" s="68">
        <f>IF($J425="",0,$K425*MAX(0,MIN(YEAR($C$3)*12+MONTH($C$3)-1,YEAR($I425)*12+MONTH($I425))-(YEAR($H425)*12+MONTH($H425))+1))</f>
        <v/>
      </c>
      <c r="N425" s="68">
        <f>IF(OR($J425="",$B425=""),0,IF(YEAR($B425)*12+MONTH($B425)&lt;=YEAR($C$3)*12+MONTH($C$3),$G425,0))</f>
        <v/>
      </c>
      <c r="O425" s="68">
        <f>IF(OR($J425="",$B425=""),0,IF(YEAR($B425)*12+MONTH($B425)&lt;=YEAR($C$3)*12+MONTH($C$3)-1,$G425,0))</f>
        <v/>
      </c>
      <c r="P425" s="68">
        <f>$M425-$O425</f>
        <v/>
      </c>
      <c r="Q425" s="68">
        <f>($L425-$M425)-($N425-$O425)</f>
        <v/>
      </c>
      <c r="R425" s="68">
        <f>$L425-$N425</f>
        <v/>
      </c>
      <c r="S425" s="67">
        <f>"WIP journal"</f>
        <v/>
      </c>
      <c r="T425" s="67">
        <f>IFERROR(INDEX(tbl_WIP[Revenue or Cost],$A425),"")</f>
        <v/>
      </c>
    </row>
    <row r="426">
      <c r="A426" s="65">
        <f>ROW()-407</f>
        <v/>
      </c>
      <c r="B426" s="66">
        <f>IFERROR(INDEX(tbl_WIP[Month],$A426),"")</f>
        <v/>
      </c>
      <c r="C426" s="67">
        <f>IFERROR(INDEX(tbl_WIP[Xero Invoice No],$A426),"")</f>
        <v/>
      </c>
      <c r="D426" s="67">
        <f>IFERROR(INDEX(tbl_WIP[Client],$A426),"")</f>
        <v/>
      </c>
      <c r="E426" s="67">
        <f>IFERROR(INDEX(tbl_WIP[Job Number],$A426),"")</f>
        <v/>
      </c>
      <c r="F426" s="67">
        <f>IFERROR(INDEX(tbl_WIP[Cost Centre],$A426),"")</f>
        <v/>
      </c>
      <c r="G426" s="68">
        <f>IFERROR(IF(INDEX(tbl_WIP[Defer Start],$A426)="","",IF(INDEX(tbl_WIP[Revenue or Cost],$A426)="Cost",-1,1)*INDEX(tbl_WIP[Amount],$A426)),"")</f>
        <v/>
      </c>
      <c r="H426" s="66">
        <f>IFERROR(INDEX(tbl_WIP[Defer Start],$A426),"")</f>
        <v/>
      </c>
      <c r="I426" s="66">
        <f>IFERROR(INDEX(tbl_WIP[Defer End],$A426),"")</f>
        <v/>
      </c>
      <c r="J426" s="65">
        <f>IF(OR($H426="",$I426="",$G426=""),"",MAX(1,(YEAR($I426)-YEAR($H426))*12+MONTH($I426)-MONTH($H426)+1))</f>
        <v/>
      </c>
      <c r="K426" s="68">
        <f>IF($J426="","",$G426/$J426)</f>
        <v/>
      </c>
      <c r="L426" s="68">
        <f>IF($J426="",0,$K426*MAX(0,MIN(YEAR($C$3)*12+MONTH($C$3),YEAR($I426)*12+MONTH($I426))-(YEAR($H426)*12+MONTH($H426))+1))</f>
        <v/>
      </c>
      <c r="M426" s="68">
        <f>IF($J426="",0,$K426*MAX(0,MIN(YEAR($C$3)*12+MONTH($C$3)-1,YEAR($I426)*12+MONTH($I426))-(YEAR($H426)*12+MONTH($H426))+1))</f>
        <v/>
      </c>
      <c r="N426" s="68">
        <f>IF(OR($J426="",$B426=""),0,IF(YEAR($B426)*12+MONTH($B426)&lt;=YEAR($C$3)*12+MONTH($C$3),$G426,0))</f>
        <v/>
      </c>
      <c r="O426" s="68">
        <f>IF(OR($J426="",$B426=""),0,IF(YEAR($B426)*12+MONTH($B426)&lt;=YEAR($C$3)*12+MONTH($C$3)-1,$G426,0))</f>
        <v/>
      </c>
      <c r="P426" s="68">
        <f>$M426-$O426</f>
        <v/>
      </c>
      <c r="Q426" s="68">
        <f>($L426-$M426)-($N426-$O426)</f>
        <v/>
      </c>
      <c r="R426" s="68">
        <f>$L426-$N426</f>
        <v/>
      </c>
      <c r="S426" s="67">
        <f>"WIP journal"</f>
        <v/>
      </c>
      <c r="T426" s="67">
        <f>IFERROR(INDEX(tbl_WIP[Revenue or Cost],$A426),"")</f>
        <v/>
      </c>
    </row>
    <row r="427">
      <c r="A427" s="65">
        <f>ROW()-407</f>
        <v/>
      </c>
      <c r="B427" s="66">
        <f>IFERROR(INDEX(tbl_WIP[Month],$A427),"")</f>
        <v/>
      </c>
      <c r="C427" s="67">
        <f>IFERROR(INDEX(tbl_WIP[Xero Invoice No],$A427),"")</f>
        <v/>
      </c>
      <c r="D427" s="67">
        <f>IFERROR(INDEX(tbl_WIP[Client],$A427),"")</f>
        <v/>
      </c>
      <c r="E427" s="67">
        <f>IFERROR(INDEX(tbl_WIP[Job Number],$A427),"")</f>
        <v/>
      </c>
      <c r="F427" s="67">
        <f>IFERROR(INDEX(tbl_WIP[Cost Centre],$A427),"")</f>
        <v/>
      </c>
      <c r="G427" s="68">
        <f>IFERROR(IF(INDEX(tbl_WIP[Defer Start],$A427)="","",IF(INDEX(tbl_WIP[Revenue or Cost],$A427)="Cost",-1,1)*INDEX(tbl_WIP[Amount],$A427)),"")</f>
        <v/>
      </c>
      <c r="H427" s="66">
        <f>IFERROR(INDEX(tbl_WIP[Defer Start],$A427),"")</f>
        <v/>
      </c>
      <c r="I427" s="66">
        <f>IFERROR(INDEX(tbl_WIP[Defer End],$A427),"")</f>
        <v/>
      </c>
      <c r="J427" s="65">
        <f>IF(OR($H427="",$I427="",$G427=""),"",MAX(1,(YEAR($I427)-YEAR($H427))*12+MONTH($I427)-MONTH($H427)+1))</f>
        <v/>
      </c>
      <c r="K427" s="68">
        <f>IF($J427="","",$G427/$J427)</f>
        <v/>
      </c>
      <c r="L427" s="68">
        <f>IF($J427="",0,$K427*MAX(0,MIN(YEAR($C$3)*12+MONTH($C$3),YEAR($I427)*12+MONTH($I427))-(YEAR($H427)*12+MONTH($H427))+1))</f>
        <v/>
      </c>
      <c r="M427" s="68">
        <f>IF($J427="",0,$K427*MAX(0,MIN(YEAR($C$3)*12+MONTH($C$3)-1,YEAR($I427)*12+MONTH($I427))-(YEAR($H427)*12+MONTH($H427))+1))</f>
        <v/>
      </c>
      <c r="N427" s="68">
        <f>IF(OR($J427="",$B427=""),0,IF(YEAR($B427)*12+MONTH($B427)&lt;=YEAR($C$3)*12+MONTH($C$3),$G427,0))</f>
        <v/>
      </c>
      <c r="O427" s="68">
        <f>IF(OR($J427="",$B427=""),0,IF(YEAR($B427)*12+MONTH($B427)&lt;=YEAR($C$3)*12+MONTH($C$3)-1,$G427,0))</f>
        <v/>
      </c>
      <c r="P427" s="68">
        <f>$M427-$O427</f>
        <v/>
      </c>
      <c r="Q427" s="68">
        <f>($L427-$M427)-($N427-$O427)</f>
        <v/>
      </c>
      <c r="R427" s="68">
        <f>$L427-$N427</f>
        <v/>
      </c>
      <c r="S427" s="67">
        <f>"WIP journal"</f>
        <v/>
      </c>
      <c r="T427" s="67">
        <f>IFERROR(INDEX(tbl_WIP[Revenue or Cost],$A427),"")</f>
        <v/>
      </c>
    </row>
    <row r="428">
      <c r="A428" s="65">
        <f>ROW()-407</f>
        <v/>
      </c>
      <c r="B428" s="66">
        <f>IFERROR(INDEX(tbl_WIP[Month],$A428),"")</f>
        <v/>
      </c>
      <c r="C428" s="67">
        <f>IFERROR(INDEX(tbl_WIP[Xero Invoice No],$A428),"")</f>
        <v/>
      </c>
      <c r="D428" s="67">
        <f>IFERROR(INDEX(tbl_WIP[Client],$A428),"")</f>
        <v/>
      </c>
      <c r="E428" s="67">
        <f>IFERROR(INDEX(tbl_WIP[Job Number],$A428),"")</f>
        <v/>
      </c>
      <c r="F428" s="67">
        <f>IFERROR(INDEX(tbl_WIP[Cost Centre],$A428),"")</f>
        <v/>
      </c>
      <c r="G428" s="68">
        <f>IFERROR(IF(INDEX(tbl_WIP[Defer Start],$A428)="","",IF(INDEX(tbl_WIP[Revenue or Cost],$A428)="Cost",-1,1)*INDEX(tbl_WIP[Amount],$A428)),"")</f>
        <v/>
      </c>
      <c r="H428" s="66">
        <f>IFERROR(INDEX(tbl_WIP[Defer Start],$A428),"")</f>
        <v/>
      </c>
      <c r="I428" s="66">
        <f>IFERROR(INDEX(tbl_WIP[Defer End],$A428),"")</f>
        <v/>
      </c>
      <c r="J428" s="65">
        <f>IF(OR($H428="",$I428="",$G428=""),"",MAX(1,(YEAR($I428)-YEAR($H428))*12+MONTH($I428)-MONTH($H428)+1))</f>
        <v/>
      </c>
      <c r="K428" s="68">
        <f>IF($J428="","",$G428/$J428)</f>
        <v/>
      </c>
      <c r="L428" s="68">
        <f>IF($J428="",0,$K428*MAX(0,MIN(YEAR($C$3)*12+MONTH($C$3),YEAR($I428)*12+MONTH($I428))-(YEAR($H428)*12+MONTH($H428))+1))</f>
        <v/>
      </c>
      <c r="M428" s="68">
        <f>IF($J428="",0,$K428*MAX(0,MIN(YEAR($C$3)*12+MONTH($C$3)-1,YEAR($I428)*12+MONTH($I428))-(YEAR($H428)*12+MONTH($H428))+1))</f>
        <v/>
      </c>
      <c r="N428" s="68">
        <f>IF(OR($J428="",$B428=""),0,IF(YEAR($B428)*12+MONTH($B428)&lt;=YEAR($C$3)*12+MONTH($C$3),$G428,0))</f>
        <v/>
      </c>
      <c r="O428" s="68">
        <f>IF(OR($J428="",$B428=""),0,IF(YEAR($B428)*12+MONTH($B428)&lt;=YEAR($C$3)*12+MONTH($C$3)-1,$G428,0))</f>
        <v/>
      </c>
      <c r="P428" s="68">
        <f>$M428-$O428</f>
        <v/>
      </c>
      <c r="Q428" s="68">
        <f>($L428-$M428)-($N428-$O428)</f>
        <v/>
      </c>
      <c r="R428" s="68">
        <f>$L428-$N428</f>
        <v/>
      </c>
      <c r="S428" s="67">
        <f>"WIP journal"</f>
        <v/>
      </c>
      <c r="T428" s="67">
        <f>IFERROR(INDEX(tbl_WIP[Revenue or Cost],$A428),"")</f>
        <v/>
      </c>
    </row>
    <row r="429">
      <c r="A429" s="65">
        <f>ROW()-407</f>
        <v/>
      </c>
      <c r="B429" s="66">
        <f>IFERROR(INDEX(tbl_WIP[Month],$A429),"")</f>
        <v/>
      </c>
      <c r="C429" s="67">
        <f>IFERROR(INDEX(tbl_WIP[Xero Invoice No],$A429),"")</f>
        <v/>
      </c>
      <c r="D429" s="67">
        <f>IFERROR(INDEX(tbl_WIP[Client],$A429),"")</f>
        <v/>
      </c>
      <c r="E429" s="67">
        <f>IFERROR(INDEX(tbl_WIP[Job Number],$A429),"")</f>
        <v/>
      </c>
      <c r="F429" s="67">
        <f>IFERROR(INDEX(tbl_WIP[Cost Centre],$A429),"")</f>
        <v/>
      </c>
      <c r="G429" s="68">
        <f>IFERROR(IF(INDEX(tbl_WIP[Defer Start],$A429)="","",IF(INDEX(tbl_WIP[Revenue or Cost],$A429)="Cost",-1,1)*INDEX(tbl_WIP[Amount],$A429)),"")</f>
        <v/>
      </c>
      <c r="H429" s="66">
        <f>IFERROR(INDEX(tbl_WIP[Defer Start],$A429),"")</f>
        <v/>
      </c>
      <c r="I429" s="66">
        <f>IFERROR(INDEX(tbl_WIP[Defer End],$A429),"")</f>
        <v/>
      </c>
      <c r="J429" s="65">
        <f>IF(OR($H429="",$I429="",$G429=""),"",MAX(1,(YEAR($I429)-YEAR($H429))*12+MONTH($I429)-MONTH($H429)+1))</f>
        <v/>
      </c>
      <c r="K429" s="68">
        <f>IF($J429="","",$G429/$J429)</f>
        <v/>
      </c>
      <c r="L429" s="68">
        <f>IF($J429="",0,$K429*MAX(0,MIN(YEAR($C$3)*12+MONTH($C$3),YEAR($I429)*12+MONTH($I429))-(YEAR($H429)*12+MONTH($H429))+1))</f>
        <v/>
      </c>
      <c r="M429" s="68">
        <f>IF($J429="",0,$K429*MAX(0,MIN(YEAR($C$3)*12+MONTH($C$3)-1,YEAR($I429)*12+MONTH($I429))-(YEAR($H429)*12+MONTH($H429))+1))</f>
        <v/>
      </c>
      <c r="N429" s="68">
        <f>IF(OR($J429="",$B429=""),0,IF(YEAR($B429)*12+MONTH($B429)&lt;=YEAR($C$3)*12+MONTH($C$3),$G429,0))</f>
        <v/>
      </c>
      <c r="O429" s="68">
        <f>IF(OR($J429="",$B429=""),0,IF(YEAR($B429)*12+MONTH($B429)&lt;=YEAR($C$3)*12+MONTH($C$3)-1,$G429,0))</f>
        <v/>
      </c>
      <c r="P429" s="68">
        <f>$M429-$O429</f>
        <v/>
      </c>
      <c r="Q429" s="68">
        <f>($L429-$M429)-($N429-$O429)</f>
        <v/>
      </c>
      <c r="R429" s="68">
        <f>$L429-$N429</f>
        <v/>
      </c>
      <c r="S429" s="67">
        <f>"WIP journal"</f>
        <v/>
      </c>
      <c r="T429" s="67">
        <f>IFERROR(INDEX(tbl_WIP[Revenue or Cost],$A429),"")</f>
        <v/>
      </c>
    </row>
    <row r="430">
      <c r="A430" s="65">
        <f>ROW()-407</f>
        <v/>
      </c>
      <c r="B430" s="66">
        <f>IFERROR(INDEX(tbl_WIP[Month],$A430),"")</f>
        <v/>
      </c>
      <c r="C430" s="67">
        <f>IFERROR(INDEX(tbl_WIP[Xero Invoice No],$A430),"")</f>
        <v/>
      </c>
      <c r="D430" s="67">
        <f>IFERROR(INDEX(tbl_WIP[Client],$A430),"")</f>
        <v/>
      </c>
      <c r="E430" s="67">
        <f>IFERROR(INDEX(tbl_WIP[Job Number],$A430),"")</f>
        <v/>
      </c>
      <c r="F430" s="67">
        <f>IFERROR(INDEX(tbl_WIP[Cost Centre],$A430),"")</f>
        <v/>
      </c>
      <c r="G430" s="68">
        <f>IFERROR(IF(INDEX(tbl_WIP[Defer Start],$A430)="","",IF(INDEX(tbl_WIP[Revenue or Cost],$A430)="Cost",-1,1)*INDEX(tbl_WIP[Amount],$A430)),"")</f>
        <v/>
      </c>
      <c r="H430" s="66">
        <f>IFERROR(INDEX(tbl_WIP[Defer Start],$A430),"")</f>
        <v/>
      </c>
      <c r="I430" s="66">
        <f>IFERROR(INDEX(tbl_WIP[Defer End],$A430),"")</f>
        <v/>
      </c>
      <c r="J430" s="65">
        <f>IF(OR($H430="",$I430="",$G430=""),"",MAX(1,(YEAR($I430)-YEAR($H430))*12+MONTH($I430)-MONTH($H430)+1))</f>
        <v/>
      </c>
      <c r="K430" s="68">
        <f>IF($J430="","",$G430/$J430)</f>
        <v/>
      </c>
      <c r="L430" s="68">
        <f>IF($J430="",0,$K430*MAX(0,MIN(YEAR($C$3)*12+MONTH($C$3),YEAR($I430)*12+MONTH($I430))-(YEAR($H430)*12+MONTH($H430))+1))</f>
        <v/>
      </c>
      <c r="M430" s="68">
        <f>IF($J430="",0,$K430*MAX(0,MIN(YEAR($C$3)*12+MONTH($C$3)-1,YEAR($I430)*12+MONTH($I430))-(YEAR($H430)*12+MONTH($H430))+1))</f>
        <v/>
      </c>
      <c r="N430" s="68">
        <f>IF(OR($J430="",$B430=""),0,IF(YEAR($B430)*12+MONTH($B430)&lt;=YEAR($C$3)*12+MONTH($C$3),$G430,0))</f>
        <v/>
      </c>
      <c r="O430" s="68">
        <f>IF(OR($J430="",$B430=""),0,IF(YEAR($B430)*12+MONTH($B430)&lt;=YEAR($C$3)*12+MONTH($C$3)-1,$G430,0))</f>
        <v/>
      </c>
      <c r="P430" s="68">
        <f>$M430-$O430</f>
        <v/>
      </c>
      <c r="Q430" s="68">
        <f>($L430-$M430)-($N430-$O430)</f>
        <v/>
      </c>
      <c r="R430" s="68">
        <f>$L430-$N430</f>
        <v/>
      </c>
      <c r="S430" s="67">
        <f>"WIP journal"</f>
        <v/>
      </c>
      <c r="T430" s="67">
        <f>IFERROR(INDEX(tbl_WIP[Revenue or Cost],$A430),"")</f>
        <v/>
      </c>
    </row>
    <row r="431">
      <c r="A431" s="65">
        <f>ROW()-407</f>
        <v/>
      </c>
      <c r="B431" s="66">
        <f>IFERROR(INDEX(tbl_WIP[Month],$A431),"")</f>
        <v/>
      </c>
      <c r="C431" s="67">
        <f>IFERROR(INDEX(tbl_WIP[Xero Invoice No],$A431),"")</f>
        <v/>
      </c>
      <c r="D431" s="67">
        <f>IFERROR(INDEX(tbl_WIP[Client],$A431),"")</f>
        <v/>
      </c>
      <c r="E431" s="67">
        <f>IFERROR(INDEX(tbl_WIP[Job Number],$A431),"")</f>
        <v/>
      </c>
      <c r="F431" s="67">
        <f>IFERROR(INDEX(tbl_WIP[Cost Centre],$A431),"")</f>
        <v/>
      </c>
      <c r="G431" s="68">
        <f>IFERROR(IF(INDEX(tbl_WIP[Defer Start],$A431)="","",IF(INDEX(tbl_WIP[Revenue or Cost],$A431)="Cost",-1,1)*INDEX(tbl_WIP[Amount],$A431)),"")</f>
        <v/>
      </c>
      <c r="H431" s="66">
        <f>IFERROR(INDEX(tbl_WIP[Defer Start],$A431),"")</f>
        <v/>
      </c>
      <c r="I431" s="66">
        <f>IFERROR(INDEX(tbl_WIP[Defer End],$A431),"")</f>
        <v/>
      </c>
      <c r="J431" s="65">
        <f>IF(OR($H431="",$I431="",$G431=""),"",MAX(1,(YEAR($I431)-YEAR($H431))*12+MONTH($I431)-MONTH($H431)+1))</f>
        <v/>
      </c>
      <c r="K431" s="68">
        <f>IF($J431="","",$G431/$J431)</f>
        <v/>
      </c>
      <c r="L431" s="68">
        <f>IF($J431="",0,$K431*MAX(0,MIN(YEAR($C$3)*12+MONTH($C$3),YEAR($I431)*12+MONTH($I431))-(YEAR($H431)*12+MONTH($H431))+1))</f>
        <v/>
      </c>
      <c r="M431" s="68">
        <f>IF($J431="",0,$K431*MAX(0,MIN(YEAR($C$3)*12+MONTH($C$3)-1,YEAR($I431)*12+MONTH($I431))-(YEAR($H431)*12+MONTH($H431))+1))</f>
        <v/>
      </c>
      <c r="N431" s="68">
        <f>IF(OR($J431="",$B431=""),0,IF(YEAR($B431)*12+MONTH($B431)&lt;=YEAR($C$3)*12+MONTH($C$3),$G431,0))</f>
        <v/>
      </c>
      <c r="O431" s="68">
        <f>IF(OR($J431="",$B431=""),0,IF(YEAR($B431)*12+MONTH($B431)&lt;=YEAR($C$3)*12+MONTH($C$3)-1,$G431,0))</f>
        <v/>
      </c>
      <c r="P431" s="68">
        <f>$M431-$O431</f>
        <v/>
      </c>
      <c r="Q431" s="68">
        <f>($L431-$M431)-($N431-$O431)</f>
        <v/>
      </c>
      <c r="R431" s="68">
        <f>$L431-$N431</f>
        <v/>
      </c>
      <c r="S431" s="67">
        <f>"WIP journal"</f>
        <v/>
      </c>
      <c r="T431" s="67">
        <f>IFERROR(INDEX(tbl_WIP[Revenue or Cost],$A431),"")</f>
        <v/>
      </c>
    </row>
    <row r="432">
      <c r="A432" s="65">
        <f>ROW()-407</f>
        <v/>
      </c>
      <c r="B432" s="66">
        <f>IFERROR(INDEX(tbl_WIP[Month],$A432),"")</f>
        <v/>
      </c>
      <c r="C432" s="67">
        <f>IFERROR(INDEX(tbl_WIP[Xero Invoice No],$A432),"")</f>
        <v/>
      </c>
      <c r="D432" s="67">
        <f>IFERROR(INDEX(tbl_WIP[Client],$A432),"")</f>
        <v/>
      </c>
      <c r="E432" s="67">
        <f>IFERROR(INDEX(tbl_WIP[Job Number],$A432),"")</f>
        <v/>
      </c>
      <c r="F432" s="67">
        <f>IFERROR(INDEX(tbl_WIP[Cost Centre],$A432),"")</f>
        <v/>
      </c>
      <c r="G432" s="68">
        <f>IFERROR(IF(INDEX(tbl_WIP[Defer Start],$A432)="","",IF(INDEX(tbl_WIP[Revenue or Cost],$A432)="Cost",-1,1)*INDEX(tbl_WIP[Amount],$A432)),"")</f>
        <v/>
      </c>
      <c r="H432" s="66">
        <f>IFERROR(INDEX(tbl_WIP[Defer Start],$A432),"")</f>
        <v/>
      </c>
      <c r="I432" s="66">
        <f>IFERROR(INDEX(tbl_WIP[Defer End],$A432),"")</f>
        <v/>
      </c>
      <c r="J432" s="65">
        <f>IF(OR($H432="",$I432="",$G432=""),"",MAX(1,(YEAR($I432)-YEAR($H432))*12+MONTH($I432)-MONTH($H432)+1))</f>
        <v/>
      </c>
      <c r="K432" s="68">
        <f>IF($J432="","",$G432/$J432)</f>
        <v/>
      </c>
      <c r="L432" s="68">
        <f>IF($J432="",0,$K432*MAX(0,MIN(YEAR($C$3)*12+MONTH($C$3),YEAR($I432)*12+MONTH($I432))-(YEAR($H432)*12+MONTH($H432))+1))</f>
        <v/>
      </c>
      <c r="M432" s="68">
        <f>IF($J432="",0,$K432*MAX(0,MIN(YEAR($C$3)*12+MONTH($C$3)-1,YEAR($I432)*12+MONTH($I432))-(YEAR($H432)*12+MONTH($H432))+1))</f>
        <v/>
      </c>
      <c r="N432" s="68">
        <f>IF(OR($J432="",$B432=""),0,IF(YEAR($B432)*12+MONTH($B432)&lt;=YEAR($C$3)*12+MONTH($C$3),$G432,0))</f>
        <v/>
      </c>
      <c r="O432" s="68">
        <f>IF(OR($J432="",$B432=""),0,IF(YEAR($B432)*12+MONTH($B432)&lt;=YEAR($C$3)*12+MONTH($C$3)-1,$G432,0))</f>
        <v/>
      </c>
      <c r="P432" s="68">
        <f>$M432-$O432</f>
        <v/>
      </c>
      <c r="Q432" s="68">
        <f>($L432-$M432)-($N432-$O432)</f>
        <v/>
      </c>
      <c r="R432" s="68">
        <f>$L432-$N432</f>
        <v/>
      </c>
      <c r="S432" s="67">
        <f>"WIP journal"</f>
        <v/>
      </c>
      <c r="T432" s="67">
        <f>IFERROR(INDEX(tbl_WIP[Revenue or Cost],$A432),"")</f>
        <v/>
      </c>
    </row>
    <row r="433">
      <c r="A433" s="65">
        <f>ROW()-407</f>
        <v/>
      </c>
      <c r="B433" s="66">
        <f>IFERROR(INDEX(tbl_WIP[Month],$A433),"")</f>
        <v/>
      </c>
      <c r="C433" s="67">
        <f>IFERROR(INDEX(tbl_WIP[Xero Invoice No],$A433),"")</f>
        <v/>
      </c>
      <c r="D433" s="67">
        <f>IFERROR(INDEX(tbl_WIP[Client],$A433),"")</f>
        <v/>
      </c>
      <c r="E433" s="67">
        <f>IFERROR(INDEX(tbl_WIP[Job Number],$A433),"")</f>
        <v/>
      </c>
      <c r="F433" s="67">
        <f>IFERROR(INDEX(tbl_WIP[Cost Centre],$A433),"")</f>
        <v/>
      </c>
      <c r="G433" s="68">
        <f>IFERROR(IF(INDEX(tbl_WIP[Defer Start],$A433)="","",IF(INDEX(tbl_WIP[Revenue or Cost],$A433)="Cost",-1,1)*INDEX(tbl_WIP[Amount],$A433)),"")</f>
        <v/>
      </c>
      <c r="H433" s="66">
        <f>IFERROR(INDEX(tbl_WIP[Defer Start],$A433),"")</f>
        <v/>
      </c>
      <c r="I433" s="66">
        <f>IFERROR(INDEX(tbl_WIP[Defer End],$A433),"")</f>
        <v/>
      </c>
      <c r="J433" s="65">
        <f>IF(OR($H433="",$I433="",$G433=""),"",MAX(1,(YEAR($I433)-YEAR($H433))*12+MONTH($I433)-MONTH($H433)+1))</f>
        <v/>
      </c>
      <c r="K433" s="68">
        <f>IF($J433="","",$G433/$J433)</f>
        <v/>
      </c>
      <c r="L433" s="68">
        <f>IF($J433="",0,$K433*MAX(0,MIN(YEAR($C$3)*12+MONTH($C$3),YEAR($I433)*12+MONTH($I433))-(YEAR($H433)*12+MONTH($H433))+1))</f>
        <v/>
      </c>
      <c r="M433" s="68">
        <f>IF($J433="",0,$K433*MAX(0,MIN(YEAR($C$3)*12+MONTH($C$3)-1,YEAR($I433)*12+MONTH($I433))-(YEAR($H433)*12+MONTH($H433))+1))</f>
        <v/>
      </c>
      <c r="N433" s="68">
        <f>IF(OR($J433="",$B433=""),0,IF(YEAR($B433)*12+MONTH($B433)&lt;=YEAR($C$3)*12+MONTH($C$3),$G433,0))</f>
        <v/>
      </c>
      <c r="O433" s="68">
        <f>IF(OR($J433="",$B433=""),0,IF(YEAR($B433)*12+MONTH($B433)&lt;=YEAR($C$3)*12+MONTH($C$3)-1,$G433,0))</f>
        <v/>
      </c>
      <c r="P433" s="68">
        <f>$M433-$O433</f>
        <v/>
      </c>
      <c r="Q433" s="68">
        <f>($L433-$M433)-($N433-$O433)</f>
        <v/>
      </c>
      <c r="R433" s="68">
        <f>$L433-$N433</f>
        <v/>
      </c>
      <c r="S433" s="67">
        <f>"WIP journal"</f>
        <v/>
      </c>
      <c r="T433" s="67">
        <f>IFERROR(INDEX(tbl_WIP[Revenue or Cost],$A433),"")</f>
        <v/>
      </c>
    </row>
    <row r="434">
      <c r="A434" s="65">
        <f>ROW()-407</f>
        <v/>
      </c>
      <c r="B434" s="66">
        <f>IFERROR(INDEX(tbl_WIP[Month],$A434),"")</f>
        <v/>
      </c>
      <c r="C434" s="67">
        <f>IFERROR(INDEX(tbl_WIP[Xero Invoice No],$A434),"")</f>
        <v/>
      </c>
      <c r="D434" s="67">
        <f>IFERROR(INDEX(tbl_WIP[Client],$A434),"")</f>
        <v/>
      </c>
      <c r="E434" s="67">
        <f>IFERROR(INDEX(tbl_WIP[Job Number],$A434),"")</f>
        <v/>
      </c>
      <c r="F434" s="67">
        <f>IFERROR(INDEX(tbl_WIP[Cost Centre],$A434),"")</f>
        <v/>
      </c>
      <c r="G434" s="68">
        <f>IFERROR(IF(INDEX(tbl_WIP[Defer Start],$A434)="","",IF(INDEX(tbl_WIP[Revenue or Cost],$A434)="Cost",-1,1)*INDEX(tbl_WIP[Amount],$A434)),"")</f>
        <v/>
      </c>
      <c r="H434" s="66">
        <f>IFERROR(INDEX(tbl_WIP[Defer Start],$A434),"")</f>
        <v/>
      </c>
      <c r="I434" s="66">
        <f>IFERROR(INDEX(tbl_WIP[Defer End],$A434),"")</f>
        <v/>
      </c>
      <c r="J434" s="65">
        <f>IF(OR($H434="",$I434="",$G434=""),"",MAX(1,(YEAR($I434)-YEAR($H434))*12+MONTH($I434)-MONTH($H434)+1))</f>
        <v/>
      </c>
      <c r="K434" s="68">
        <f>IF($J434="","",$G434/$J434)</f>
        <v/>
      </c>
      <c r="L434" s="68">
        <f>IF($J434="",0,$K434*MAX(0,MIN(YEAR($C$3)*12+MONTH($C$3),YEAR($I434)*12+MONTH($I434))-(YEAR($H434)*12+MONTH($H434))+1))</f>
        <v/>
      </c>
      <c r="M434" s="68">
        <f>IF($J434="",0,$K434*MAX(0,MIN(YEAR($C$3)*12+MONTH($C$3)-1,YEAR($I434)*12+MONTH($I434))-(YEAR($H434)*12+MONTH($H434))+1))</f>
        <v/>
      </c>
      <c r="N434" s="68">
        <f>IF(OR($J434="",$B434=""),0,IF(YEAR($B434)*12+MONTH($B434)&lt;=YEAR($C$3)*12+MONTH($C$3),$G434,0))</f>
        <v/>
      </c>
      <c r="O434" s="68">
        <f>IF(OR($J434="",$B434=""),0,IF(YEAR($B434)*12+MONTH($B434)&lt;=YEAR($C$3)*12+MONTH($C$3)-1,$G434,0))</f>
        <v/>
      </c>
      <c r="P434" s="68">
        <f>$M434-$O434</f>
        <v/>
      </c>
      <c r="Q434" s="68">
        <f>($L434-$M434)-($N434-$O434)</f>
        <v/>
      </c>
      <c r="R434" s="68">
        <f>$L434-$N434</f>
        <v/>
      </c>
      <c r="S434" s="67">
        <f>"WIP journal"</f>
        <v/>
      </c>
      <c r="T434" s="67">
        <f>IFERROR(INDEX(tbl_WIP[Revenue or Cost],$A434),"")</f>
        <v/>
      </c>
    </row>
    <row r="435">
      <c r="A435" s="65">
        <f>ROW()-407</f>
        <v/>
      </c>
      <c r="B435" s="66">
        <f>IFERROR(INDEX(tbl_WIP[Month],$A435),"")</f>
        <v/>
      </c>
      <c r="C435" s="67">
        <f>IFERROR(INDEX(tbl_WIP[Xero Invoice No],$A435),"")</f>
        <v/>
      </c>
      <c r="D435" s="67">
        <f>IFERROR(INDEX(tbl_WIP[Client],$A435),"")</f>
        <v/>
      </c>
      <c r="E435" s="67">
        <f>IFERROR(INDEX(tbl_WIP[Job Number],$A435),"")</f>
        <v/>
      </c>
      <c r="F435" s="67">
        <f>IFERROR(INDEX(tbl_WIP[Cost Centre],$A435),"")</f>
        <v/>
      </c>
      <c r="G435" s="68">
        <f>IFERROR(IF(INDEX(tbl_WIP[Defer Start],$A435)="","",IF(INDEX(tbl_WIP[Revenue or Cost],$A435)="Cost",-1,1)*INDEX(tbl_WIP[Amount],$A435)),"")</f>
        <v/>
      </c>
      <c r="H435" s="66">
        <f>IFERROR(INDEX(tbl_WIP[Defer Start],$A435),"")</f>
        <v/>
      </c>
      <c r="I435" s="66">
        <f>IFERROR(INDEX(tbl_WIP[Defer End],$A435),"")</f>
        <v/>
      </c>
      <c r="J435" s="65">
        <f>IF(OR($H435="",$I435="",$G435=""),"",MAX(1,(YEAR($I435)-YEAR($H435))*12+MONTH($I435)-MONTH($H435)+1))</f>
        <v/>
      </c>
      <c r="K435" s="68">
        <f>IF($J435="","",$G435/$J435)</f>
        <v/>
      </c>
      <c r="L435" s="68">
        <f>IF($J435="",0,$K435*MAX(0,MIN(YEAR($C$3)*12+MONTH($C$3),YEAR($I435)*12+MONTH($I435))-(YEAR($H435)*12+MONTH($H435))+1))</f>
        <v/>
      </c>
      <c r="M435" s="68">
        <f>IF($J435="",0,$K435*MAX(0,MIN(YEAR($C$3)*12+MONTH($C$3)-1,YEAR($I435)*12+MONTH($I435))-(YEAR($H435)*12+MONTH($H435))+1))</f>
        <v/>
      </c>
      <c r="N435" s="68">
        <f>IF(OR($J435="",$B435=""),0,IF(YEAR($B435)*12+MONTH($B435)&lt;=YEAR($C$3)*12+MONTH($C$3),$G435,0))</f>
        <v/>
      </c>
      <c r="O435" s="68">
        <f>IF(OR($J435="",$B435=""),0,IF(YEAR($B435)*12+MONTH($B435)&lt;=YEAR($C$3)*12+MONTH($C$3)-1,$G435,0))</f>
        <v/>
      </c>
      <c r="P435" s="68">
        <f>$M435-$O435</f>
        <v/>
      </c>
      <c r="Q435" s="68">
        <f>($L435-$M435)-($N435-$O435)</f>
        <v/>
      </c>
      <c r="R435" s="68">
        <f>$L435-$N435</f>
        <v/>
      </c>
      <c r="S435" s="67">
        <f>"WIP journal"</f>
        <v/>
      </c>
      <c r="T435" s="67">
        <f>IFERROR(INDEX(tbl_WIP[Revenue or Cost],$A435),"")</f>
        <v/>
      </c>
    </row>
    <row r="436">
      <c r="A436" s="65">
        <f>ROW()-407</f>
        <v/>
      </c>
      <c r="B436" s="66">
        <f>IFERROR(INDEX(tbl_WIP[Month],$A436),"")</f>
        <v/>
      </c>
      <c r="C436" s="67">
        <f>IFERROR(INDEX(tbl_WIP[Xero Invoice No],$A436),"")</f>
        <v/>
      </c>
      <c r="D436" s="67">
        <f>IFERROR(INDEX(tbl_WIP[Client],$A436),"")</f>
        <v/>
      </c>
      <c r="E436" s="67">
        <f>IFERROR(INDEX(tbl_WIP[Job Number],$A436),"")</f>
        <v/>
      </c>
      <c r="F436" s="67">
        <f>IFERROR(INDEX(tbl_WIP[Cost Centre],$A436),"")</f>
        <v/>
      </c>
      <c r="G436" s="68">
        <f>IFERROR(IF(INDEX(tbl_WIP[Defer Start],$A436)="","",IF(INDEX(tbl_WIP[Revenue or Cost],$A436)="Cost",-1,1)*INDEX(tbl_WIP[Amount],$A436)),"")</f>
        <v/>
      </c>
      <c r="H436" s="66">
        <f>IFERROR(INDEX(tbl_WIP[Defer Start],$A436),"")</f>
        <v/>
      </c>
      <c r="I436" s="66">
        <f>IFERROR(INDEX(tbl_WIP[Defer End],$A436),"")</f>
        <v/>
      </c>
      <c r="J436" s="65">
        <f>IF(OR($H436="",$I436="",$G436=""),"",MAX(1,(YEAR($I436)-YEAR($H436))*12+MONTH($I436)-MONTH($H436)+1))</f>
        <v/>
      </c>
      <c r="K436" s="68">
        <f>IF($J436="","",$G436/$J436)</f>
        <v/>
      </c>
      <c r="L436" s="68">
        <f>IF($J436="",0,$K436*MAX(0,MIN(YEAR($C$3)*12+MONTH($C$3),YEAR($I436)*12+MONTH($I436))-(YEAR($H436)*12+MONTH($H436))+1))</f>
        <v/>
      </c>
      <c r="M436" s="68">
        <f>IF($J436="",0,$K436*MAX(0,MIN(YEAR($C$3)*12+MONTH($C$3)-1,YEAR($I436)*12+MONTH($I436))-(YEAR($H436)*12+MONTH($H436))+1))</f>
        <v/>
      </c>
      <c r="N436" s="68">
        <f>IF(OR($J436="",$B436=""),0,IF(YEAR($B436)*12+MONTH($B436)&lt;=YEAR($C$3)*12+MONTH($C$3),$G436,0))</f>
        <v/>
      </c>
      <c r="O436" s="68">
        <f>IF(OR($J436="",$B436=""),0,IF(YEAR($B436)*12+MONTH($B436)&lt;=YEAR($C$3)*12+MONTH($C$3)-1,$G436,0))</f>
        <v/>
      </c>
      <c r="P436" s="68">
        <f>$M436-$O436</f>
        <v/>
      </c>
      <c r="Q436" s="68">
        <f>($L436-$M436)-($N436-$O436)</f>
        <v/>
      </c>
      <c r="R436" s="68">
        <f>$L436-$N436</f>
        <v/>
      </c>
      <c r="S436" s="67">
        <f>"WIP journal"</f>
        <v/>
      </c>
      <c r="T436" s="67">
        <f>IFERROR(INDEX(tbl_WIP[Revenue or Cost],$A436),"")</f>
        <v/>
      </c>
    </row>
    <row r="437">
      <c r="A437" s="65">
        <f>ROW()-407</f>
        <v/>
      </c>
      <c r="B437" s="66">
        <f>IFERROR(INDEX(tbl_WIP[Month],$A437),"")</f>
        <v/>
      </c>
      <c r="C437" s="67">
        <f>IFERROR(INDEX(tbl_WIP[Xero Invoice No],$A437),"")</f>
        <v/>
      </c>
      <c r="D437" s="67">
        <f>IFERROR(INDEX(tbl_WIP[Client],$A437),"")</f>
        <v/>
      </c>
      <c r="E437" s="67">
        <f>IFERROR(INDEX(tbl_WIP[Job Number],$A437),"")</f>
        <v/>
      </c>
      <c r="F437" s="67">
        <f>IFERROR(INDEX(tbl_WIP[Cost Centre],$A437),"")</f>
        <v/>
      </c>
      <c r="G437" s="68">
        <f>IFERROR(IF(INDEX(tbl_WIP[Defer Start],$A437)="","",IF(INDEX(tbl_WIP[Revenue or Cost],$A437)="Cost",-1,1)*INDEX(tbl_WIP[Amount],$A437)),"")</f>
        <v/>
      </c>
      <c r="H437" s="66">
        <f>IFERROR(INDEX(tbl_WIP[Defer Start],$A437),"")</f>
        <v/>
      </c>
      <c r="I437" s="66">
        <f>IFERROR(INDEX(tbl_WIP[Defer End],$A437),"")</f>
        <v/>
      </c>
      <c r="J437" s="65">
        <f>IF(OR($H437="",$I437="",$G437=""),"",MAX(1,(YEAR($I437)-YEAR($H437))*12+MONTH($I437)-MONTH($H437)+1))</f>
        <v/>
      </c>
      <c r="K437" s="68">
        <f>IF($J437="","",$G437/$J437)</f>
        <v/>
      </c>
      <c r="L437" s="68">
        <f>IF($J437="",0,$K437*MAX(0,MIN(YEAR($C$3)*12+MONTH($C$3),YEAR($I437)*12+MONTH($I437))-(YEAR($H437)*12+MONTH($H437))+1))</f>
        <v/>
      </c>
      <c r="M437" s="68">
        <f>IF($J437="",0,$K437*MAX(0,MIN(YEAR($C$3)*12+MONTH($C$3)-1,YEAR($I437)*12+MONTH($I437))-(YEAR($H437)*12+MONTH($H437))+1))</f>
        <v/>
      </c>
      <c r="N437" s="68">
        <f>IF(OR($J437="",$B437=""),0,IF(YEAR($B437)*12+MONTH($B437)&lt;=YEAR($C$3)*12+MONTH($C$3),$G437,0))</f>
        <v/>
      </c>
      <c r="O437" s="68">
        <f>IF(OR($J437="",$B437=""),0,IF(YEAR($B437)*12+MONTH($B437)&lt;=YEAR($C$3)*12+MONTH($C$3)-1,$G437,0))</f>
        <v/>
      </c>
      <c r="P437" s="68">
        <f>$M437-$O437</f>
        <v/>
      </c>
      <c r="Q437" s="68">
        <f>($L437-$M437)-($N437-$O437)</f>
        <v/>
      </c>
      <c r="R437" s="68">
        <f>$L437-$N437</f>
        <v/>
      </c>
      <c r="S437" s="67">
        <f>"WIP journal"</f>
        <v/>
      </c>
      <c r="T437" s="67">
        <f>IFERROR(INDEX(tbl_WIP[Revenue or Cost],$A437),"")</f>
        <v/>
      </c>
    </row>
    <row r="438">
      <c r="A438" s="65">
        <f>ROW()-407</f>
        <v/>
      </c>
      <c r="B438" s="66">
        <f>IFERROR(INDEX(tbl_WIP[Month],$A438),"")</f>
        <v/>
      </c>
      <c r="C438" s="67">
        <f>IFERROR(INDEX(tbl_WIP[Xero Invoice No],$A438),"")</f>
        <v/>
      </c>
      <c r="D438" s="67">
        <f>IFERROR(INDEX(tbl_WIP[Client],$A438),"")</f>
        <v/>
      </c>
      <c r="E438" s="67">
        <f>IFERROR(INDEX(tbl_WIP[Job Number],$A438),"")</f>
        <v/>
      </c>
      <c r="F438" s="67">
        <f>IFERROR(INDEX(tbl_WIP[Cost Centre],$A438),"")</f>
        <v/>
      </c>
      <c r="G438" s="68">
        <f>IFERROR(IF(INDEX(tbl_WIP[Defer Start],$A438)="","",IF(INDEX(tbl_WIP[Revenue or Cost],$A438)="Cost",-1,1)*INDEX(tbl_WIP[Amount],$A438)),"")</f>
        <v/>
      </c>
      <c r="H438" s="66">
        <f>IFERROR(INDEX(tbl_WIP[Defer Start],$A438),"")</f>
        <v/>
      </c>
      <c r="I438" s="66">
        <f>IFERROR(INDEX(tbl_WIP[Defer End],$A438),"")</f>
        <v/>
      </c>
      <c r="J438" s="65">
        <f>IF(OR($H438="",$I438="",$G438=""),"",MAX(1,(YEAR($I438)-YEAR($H438))*12+MONTH($I438)-MONTH($H438)+1))</f>
        <v/>
      </c>
      <c r="K438" s="68">
        <f>IF($J438="","",$G438/$J438)</f>
        <v/>
      </c>
      <c r="L438" s="68">
        <f>IF($J438="",0,$K438*MAX(0,MIN(YEAR($C$3)*12+MONTH($C$3),YEAR($I438)*12+MONTH($I438))-(YEAR($H438)*12+MONTH($H438))+1))</f>
        <v/>
      </c>
      <c r="M438" s="68">
        <f>IF($J438="",0,$K438*MAX(0,MIN(YEAR($C$3)*12+MONTH($C$3)-1,YEAR($I438)*12+MONTH($I438))-(YEAR($H438)*12+MONTH($H438))+1))</f>
        <v/>
      </c>
      <c r="N438" s="68">
        <f>IF(OR($J438="",$B438=""),0,IF(YEAR($B438)*12+MONTH($B438)&lt;=YEAR($C$3)*12+MONTH($C$3),$G438,0))</f>
        <v/>
      </c>
      <c r="O438" s="68">
        <f>IF(OR($J438="",$B438=""),0,IF(YEAR($B438)*12+MONTH($B438)&lt;=YEAR($C$3)*12+MONTH($C$3)-1,$G438,0))</f>
        <v/>
      </c>
      <c r="P438" s="68">
        <f>$M438-$O438</f>
        <v/>
      </c>
      <c r="Q438" s="68">
        <f>($L438-$M438)-($N438-$O438)</f>
        <v/>
      </c>
      <c r="R438" s="68">
        <f>$L438-$N438</f>
        <v/>
      </c>
      <c r="S438" s="67">
        <f>"WIP journal"</f>
        <v/>
      </c>
      <c r="T438" s="67">
        <f>IFERROR(INDEX(tbl_WIP[Revenue or Cost],$A438),"")</f>
        <v/>
      </c>
    </row>
    <row r="439">
      <c r="A439" s="65">
        <f>ROW()-407</f>
        <v/>
      </c>
      <c r="B439" s="66">
        <f>IFERROR(INDEX(tbl_WIP[Month],$A439),"")</f>
        <v/>
      </c>
      <c r="C439" s="67">
        <f>IFERROR(INDEX(tbl_WIP[Xero Invoice No],$A439),"")</f>
        <v/>
      </c>
      <c r="D439" s="67">
        <f>IFERROR(INDEX(tbl_WIP[Client],$A439),"")</f>
        <v/>
      </c>
      <c r="E439" s="67">
        <f>IFERROR(INDEX(tbl_WIP[Job Number],$A439),"")</f>
        <v/>
      </c>
      <c r="F439" s="67">
        <f>IFERROR(INDEX(tbl_WIP[Cost Centre],$A439),"")</f>
        <v/>
      </c>
      <c r="G439" s="68">
        <f>IFERROR(IF(INDEX(tbl_WIP[Defer Start],$A439)="","",IF(INDEX(tbl_WIP[Revenue or Cost],$A439)="Cost",-1,1)*INDEX(tbl_WIP[Amount],$A439)),"")</f>
        <v/>
      </c>
      <c r="H439" s="66">
        <f>IFERROR(INDEX(tbl_WIP[Defer Start],$A439),"")</f>
        <v/>
      </c>
      <c r="I439" s="66">
        <f>IFERROR(INDEX(tbl_WIP[Defer End],$A439),"")</f>
        <v/>
      </c>
      <c r="J439" s="65">
        <f>IF(OR($H439="",$I439="",$G439=""),"",MAX(1,(YEAR($I439)-YEAR($H439))*12+MONTH($I439)-MONTH($H439)+1))</f>
        <v/>
      </c>
      <c r="K439" s="68">
        <f>IF($J439="","",$G439/$J439)</f>
        <v/>
      </c>
      <c r="L439" s="68">
        <f>IF($J439="",0,$K439*MAX(0,MIN(YEAR($C$3)*12+MONTH($C$3),YEAR($I439)*12+MONTH($I439))-(YEAR($H439)*12+MONTH($H439))+1))</f>
        <v/>
      </c>
      <c r="M439" s="68">
        <f>IF($J439="",0,$K439*MAX(0,MIN(YEAR($C$3)*12+MONTH($C$3)-1,YEAR($I439)*12+MONTH($I439))-(YEAR($H439)*12+MONTH($H439))+1))</f>
        <v/>
      </c>
      <c r="N439" s="68">
        <f>IF(OR($J439="",$B439=""),0,IF(YEAR($B439)*12+MONTH($B439)&lt;=YEAR($C$3)*12+MONTH($C$3),$G439,0))</f>
        <v/>
      </c>
      <c r="O439" s="68">
        <f>IF(OR($J439="",$B439=""),0,IF(YEAR($B439)*12+MONTH($B439)&lt;=YEAR($C$3)*12+MONTH($C$3)-1,$G439,0))</f>
        <v/>
      </c>
      <c r="P439" s="68">
        <f>$M439-$O439</f>
        <v/>
      </c>
      <c r="Q439" s="68">
        <f>($L439-$M439)-($N439-$O439)</f>
        <v/>
      </c>
      <c r="R439" s="68">
        <f>$L439-$N439</f>
        <v/>
      </c>
      <c r="S439" s="67">
        <f>"WIP journal"</f>
        <v/>
      </c>
      <c r="T439" s="67">
        <f>IFERROR(INDEX(tbl_WIP[Revenue or Cost],$A439),"")</f>
        <v/>
      </c>
    </row>
    <row r="440">
      <c r="A440" s="65">
        <f>ROW()-407</f>
        <v/>
      </c>
      <c r="B440" s="66">
        <f>IFERROR(INDEX(tbl_WIP[Month],$A440),"")</f>
        <v/>
      </c>
      <c r="C440" s="67">
        <f>IFERROR(INDEX(tbl_WIP[Xero Invoice No],$A440),"")</f>
        <v/>
      </c>
      <c r="D440" s="67">
        <f>IFERROR(INDEX(tbl_WIP[Client],$A440),"")</f>
        <v/>
      </c>
      <c r="E440" s="67">
        <f>IFERROR(INDEX(tbl_WIP[Job Number],$A440),"")</f>
        <v/>
      </c>
      <c r="F440" s="67">
        <f>IFERROR(INDEX(tbl_WIP[Cost Centre],$A440),"")</f>
        <v/>
      </c>
      <c r="G440" s="68">
        <f>IFERROR(IF(INDEX(tbl_WIP[Defer Start],$A440)="","",IF(INDEX(tbl_WIP[Revenue or Cost],$A440)="Cost",-1,1)*INDEX(tbl_WIP[Amount],$A440)),"")</f>
        <v/>
      </c>
      <c r="H440" s="66">
        <f>IFERROR(INDEX(tbl_WIP[Defer Start],$A440),"")</f>
        <v/>
      </c>
      <c r="I440" s="66">
        <f>IFERROR(INDEX(tbl_WIP[Defer End],$A440),"")</f>
        <v/>
      </c>
      <c r="J440" s="65">
        <f>IF(OR($H440="",$I440="",$G440=""),"",MAX(1,(YEAR($I440)-YEAR($H440))*12+MONTH($I440)-MONTH($H440)+1))</f>
        <v/>
      </c>
      <c r="K440" s="68">
        <f>IF($J440="","",$G440/$J440)</f>
        <v/>
      </c>
      <c r="L440" s="68">
        <f>IF($J440="",0,$K440*MAX(0,MIN(YEAR($C$3)*12+MONTH($C$3),YEAR($I440)*12+MONTH($I440))-(YEAR($H440)*12+MONTH($H440))+1))</f>
        <v/>
      </c>
      <c r="M440" s="68">
        <f>IF($J440="",0,$K440*MAX(0,MIN(YEAR($C$3)*12+MONTH($C$3)-1,YEAR($I440)*12+MONTH($I440))-(YEAR($H440)*12+MONTH($H440))+1))</f>
        <v/>
      </c>
      <c r="N440" s="68">
        <f>IF(OR($J440="",$B440=""),0,IF(YEAR($B440)*12+MONTH($B440)&lt;=YEAR($C$3)*12+MONTH($C$3),$G440,0))</f>
        <v/>
      </c>
      <c r="O440" s="68">
        <f>IF(OR($J440="",$B440=""),0,IF(YEAR($B440)*12+MONTH($B440)&lt;=YEAR($C$3)*12+MONTH($C$3)-1,$G440,0))</f>
        <v/>
      </c>
      <c r="P440" s="68">
        <f>$M440-$O440</f>
        <v/>
      </c>
      <c r="Q440" s="68">
        <f>($L440-$M440)-($N440-$O440)</f>
        <v/>
      </c>
      <c r="R440" s="68">
        <f>$L440-$N440</f>
        <v/>
      </c>
      <c r="S440" s="67">
        <f>"WIP journal"</f>
        <v/>
      </c>
      <c r="T440" s="67">
        <f>IFERROR(INDEX(tbl_WIP[Revenue or Cost],$A440),"")</f>
        <v/>
      </c>
    </row>
    <row r="441">
      <c r="A441" s="65">
        <f>ROW()-407</f>
        <v/>
      </c>
      <c r="B441" s="66">
        <f>IFERROR(INDEX(tbl_WIP[Month],$A441),"")</f>
        <v/>
      </c>
      <c r="C441" s="67">
        <f>IFERROR(INDEX(tbl_WIP[Xero Invoice No],$A441),"")</f>
        <v/>
      </c>
      <c r="D441" s="67">
        <f>IFERROR(INDEX(tbl_WIP[Client],$A441),"")</f>
        <v/>
      </c>
      <c r="E441" s="67">
        <f>IFERROR(INDEX(tbl_WIP[Job Number],$A441),"")</f>
        <v/>
      </c>
      <c r="F441" s="67">
        <f>IFERROR(INDEX(tbl_WIP[Cost Centre],$A441),"")</f>
        <v/>
      </c>
      <c r="G441" s="68">
        <f>IFERROR(IF(INDEX(tbl_WIP[Defer Start],$A441)="","",IF(INDEX(tbl_WIP[Revenue or Cost],$A441)="Cost",-1,1)*INDEX(tbl_WIP[Amount],$A441)),"")</f>
        <v/>
      </c>
      <c r="H441" s="66">
        <f>IFERROR(INDEX(tbl_WIP[Defer Start],$A441),"")</f>
        <v/>
      </c>
      <c r="I441" s="66">
        <f>IFERROR(INDEX(tbl_WIP[Defer End],$A441),"")</f>
        <v/>
      </c>
      <c r="J441" s="65">
        <f>IF(OR($H441="",$I441="",$G441=""),"",MAX(1,(YEAR($I441)-YEAR($H441))*12+MONTH($I441)-MONTH($H441)+1))</f>
        <v/>
      </c>
      <c r="K441" s="68">
        <f>IF($J441="","",$G441/$J441)</f>
        <v/>
      </c>
      <c r="L441" s="68">
        <f>IF($J441="",0,$K441*MAX(0,MIN(YEAR($C$3)*12+MONTH($C$3),YEAR($I441)*12+MONTH($I441))-(YEAR($H441)*12+MONTH($H441))+1))</f>
        <v/>
      </c>
      <c r="M441" s="68">
        <f>IF($J441="",0,$K441*MAX(0,MIN(YEAR($C$3)*12+MONTH($C$3)-1,YEAR($I441)*12+MONTH($I441))-(YEAR($H441)*12+MONTH($H441))+1))</f>
        <v/>
      </c>
      <c r="N441" s="68">
        <f>IF(OR($J441="",$B441=""),0,IF(YEAR($B441)*12+MONTH($B441)&lt;=YEAR($C$3)*12+MONTH($C$3),$G441,0))</f>
        <v/>
      </c>
      <c r="O441" s="68">
        <f>IF(OR($J441="",$B441=""),0,IF(YEAR($B441)*12+MONTH($B441)&lt;=YEAR($C$3)*12+MONTH($C$3)-1,$G441,0))</f>
        <v/>
      </c>
      <c r="P441" s="68">
        <f>$M441-$O441</f>
        <v/>
      </c>
      <c r="Q441" s="68">
        <f>($L441-$M441)-($N441-$O441)</f>
        <v/>
      </c>
      <c r="R441" s="68">
        <f>$L441-$N441</f>
        <v/>
      </c>
      <c r="S441" s="67">
        <f>"WIP journal"</f>
        <v/>
      </c>
      <c r="T441" s="67">
        <f>IFERROR(INDEX(tbl_WIP[Revenue or Cost],$A441),"")</f>
        <v/>
      </c>
    </row>
    <row r="442">
      <c r="A442" s="65">
        <f>ROW()-407</f>
        <v/>
      </c>
      <c r="B442" s="66">
        <f>IFERROR(INDEX(tbl_WIP[Month],$A442),"")</f>
        <v/>
      </c>
      <c r="C442" s="67">
        <f>IFERROR(INDEX(tbl_WIP[Xero Invoice No],$A442),"")</f>
        <v/>
      </c>
      <c r="D442" s="67">
        <f>IFERROR(INDEX(tbl_WIP[Client],$A442),"")</f>
        <v/>
      </c>
      <c r="E442" s="67">
        <f>IFERROR(INDEX(tbl_WIP[Job Number],$A442),"")</f>
        <v/>
      </c>
      <c r="F442" s="67">
        <f>IFERROR(INDEX(tbl_WIP[Cost Centre],$A442),"")</f>
        <v/>
      </c>
      <c r="G442" s="68">
        <f>IFERROR(IF(INDEX(tbl_WIP[Defer Start],$A442)="","",IF(INDEX(tbl_WIP[Revenue or Cost],$A442)="Cost",-1,1)*INDEX(tbl_WIP[Amount],$A442)),"")</f>
        <v/>
      </c>
      <c r="H442" s="66">
        <f>IFERROR(INDEX(tbl_WIP[Defer Start],$A442),"")</f>
        <v/>
      </c>
      <c r="I442" s="66">
        <f>IFERROR(INDEX(tbl_WIP[Defer End],$A442),"")</f>
        <v/>
      </c>
      <c r="J442" s="65">
        <f>IF(OR($H442="",$I442="",$G442=""),"",MAX(1,(YEAR($I442)-YEAR($H442))*12+MONTH($I442)-MONTH($H442)+1))</f>
        <v/>
      </c>
      <c r="K442" s="68">
        <f>IF($J442="","",$G442/$J442)</f>
        <v/>
      </c>
      <c r="L442" s="68">
        <f>IF($J442="",0,$K442*MAX(0,MIN(YEAR($C$3)*12+MONTH($C$3),YEAR($I442)*12+MONTH($I442))-(YEAR($H442)*12+MONTH($H442))+1))</f>
        <v/>
      </c>
      <c r="M442" s="68">
        <f>IF($J442="",0,$K442*MAX(0,MIN(YEAR($C$3)*12+MONTH($C$3)-1,YEAR($I442)*12+MONTH($I442))-(YEAR($H442)*12+MONTH($H442))+1))</f>
        <v/>
      </c>
      <c r="N442" s="68">
        <f>IF(OR($J442="",$B442=""),0,IF(YEAR($B442)*12+MONTH($B442)&lt;=YEAR($C$3)*12+MONTH($C$3),$G442,0))</f>
        <v/>
      </c>
      <c r="O442" s="68">
        <f>IF(OR($J442="",$B442=""),0,IF(YEAR($B442)*12+MONTH($B442)&lt;=YEAR($C$3)*12+MONTH($C$3)-1,$G442,0))</f>
        <v/>
      </c>
      <c r="P442" s="68">
        <f>$M442-$O442</f>
        <v/>
      </c>
      <c r="Q442" s="68">
        <f>($L442-$M442)-($N442-$O442)</f>
        <v/>
      </c>
      <c r="R442" s="68">
        <f>$L442-$N442</f>
        <v/>
      </c>
      <c r="S442" s="67">
        <f>"WIP journal"</f>
        <v/>
      </c>
      <c r="T442" s="67">
        <f>IFERROR(INDEX(tbl_WIP[Revenue or Cost],$A442),"")</f>
        <v/>
      </c>
    </row>
    <row r="443">
      <c r="A443" s="65">
        <f>ROW()-407</f>
        <v/>
      </c>
      <c r="B443" s="66">
        <f>IFERROR(INDEX(tbl_WIP[Month],$A443),"")</f>
        <v/>
      </c>
      <c r="C443" s="67">
        <f>IFERROR(INDEX(tbl_WIP[Xero Invoice No],$A443),"")</f>
        <v/>
      </c>
      <c r="D443" s="67">
        <f>IFERROR(INDEX(tbl_WIP[Client],$A443),"")</f>
        <v/>
      </c>
      <c r="E443" s="67">
        <f>IFERROR(INDEX(tbl_WIP[Job Number],$A443),"")</f>
        <v/>
      </c>
      <c r="F443" s="67">
        <f>IFERROR(INDEX(tbl_WIP[Cost Centre],$A443),"")</f>
        <v/>
      </c>
      <c r="G443" s="68">
        <f>IFERROR(IF(INDEX(tbl_WIP[Defer Start],$A443)="","",IF(INDEX(tbl_WIP[Revenue or Cost],$A443)="Cost",-1,1)*INDEX(tbl_WIP[Amount],$A443)),"")</f>
        <v/>
      </c>
      <c r="H443" s="66">
        <f>IFERROR(INDEX(tbl_WIP[Defer Start],$A443),"")</f>
        <v/>
      </c>
      <c r="I443" s="66">
        <f>IFERROR(INDEX(tbl_WIP[Defer End],$A443),"")</f>
        <v/>
      </c>
      <c r="J443" s="65">
        <f>IF(OR($H443="",$I443="",$G443=""),"",MAX(1,(YEAR($I443)-YEAR($H443))*12+MONTH($I443)-MONTH($H443)+1))</f>
        <v/>
      </c>
      <c r="K443" s="68">
        <f>IF($J443="","",$G443/$J443)</f>
        <v/>
      </c>
      <c r="L443" s="68">
        <f>IF($J443="",0,$K443*MAX(0,MIN(YEAR($C$3)*12+MONTH($C$3),YEAR($I443)*12+MONTH($I443))-(YEAR($H443)*12+MONTH($H443))+1))</f>
        <v/>
      </c>
      <c r="M443" s="68">
        <f>IF($J443="",0,$K443*MAX(0,MIN(YEAR($C$3)*12+MONTH($C$3)-1,YEAR($I443)*12+MONTH($I443))-(YEAR($H443)*12+MONTH($H443))+1))</f>
        <v/>
      </c>
      <c r="N443" s="68">
        <f>IF(OR($J443="",$B443=""),0,IF(YEAR($B443)*12+MONTH($B443)&lt;=YEAR($C$3)*12+MONTH($C$3),$G443,0))</f>
        <v/>
      </c>
      <c r="O443" s="68">
        <f>IF(OR($J443="",$B443=""),0,IF(YEAR($B443)*12+MONTH($B443)&lt;=YEAR($C$3)*12+MONTH($C$3)-1,$G443,0))</f>
        <v/>
      </c>
      <c r="P443" s="68">
        <f>$M443-$O443</f>
        <v/>
      </c>
      <c r="Q443" s="68">
        <f>($L443-$M443)-($N443-$O443)</f>
        <v/>
      </c>
      <c r="R443" s="68">
        <f>$L443-$N443</f>
        <v/>
      </c>
      <c r="S443" s="67">
        <f>"WIP journal"</f>
        <v/>
      </c>
      <c r="T443" s="67">
        <f>IFERROR(INDEX(tbl_WIP[Revenue or Cost],$A443),"")</f>
        <v/>
      </c>
    </row>
    <row r="444">
      <c r="A444" s="65">
        <f>ROW()-407</f>
        <v/>
      </c>
      <c r="B444" s="66">
        <f>IFERROR(INDEX(tbl_WIP[Month],$A444),"")</f>
        <v/>
      </c>
      <c r="C444" s="67">
        <f>IFERROR(INDEX(tbl_WIP[Xero Invoice No],$A444),"")</f>
        <v/>
      </c>
      <c r="D444" s="67">
        <f>IFERROR(INDEX(tbl_WIP[Client],$A444),"")</f>
        <v/>
      </c>
      <c r="E444" s="67">
        <f>IFERROR(INDEX(tbl_WIP[Job Number],$A444),"")</f>
        <v/>
      </c>
      <c r="F444" s="67">
        <f>IFERROR(INDEX(tbl_WIP[Cost Centre],$A444),"")</f>
        <v/>
      </c>
      <c r="G444" s="68">
        <f>IFERROR(IF(INDEX(tbl_WIP[Defer Start],$A444)="","",IF(INDEX(tbl_WIP[Revenue or Cost],$A444)="Cost",-1,1)*INDEX(tbl_WIP[Amount],$A444)),"")</f>
        <v/>
      </c>
      <c r="H444" s="66">
        <f>IFERROR(INDEX(tbl_WIP[Defer Start],$A444),"")</f>
        <v/>
      </c>
      <c r="I444" s="66">
        <f>IFERROR(INDEX(tbl_WIP[Defer End],$A444),"")</f>
        <v/>
      </c>
      <c r="J444" s="65">
        <f>IF(OR($H444="",$I444="",$G444=""),"",MAX(1,(YEAR($I444)-YEAR($H444))*12+MONTH($I444)-MONTH($H444)+1))</f>
        <v/>
      </c>
      <c r="K444" s="68">
        <f>IF($J444="","",$G444/$J444)</f>
        <v/>
      </c>
      <c r="L444" s="68">
        <f>IF($J444="",0,$K444*MAX(0,MIN(YEAR($C$3)*12+MONTH($C$3),YEAR($I444)*12+MONTH($I444))-(YEAR($H444)*12+MONTH($H444))+1))</f>
        <v/>
      </c>
      <c r="M444" s="68">
        <f>IF($J444="",0,$K444*MAX(0,MIN(YEAR($C$3)*12+MONTH($C$3)-1,YEAR($I444)*12+MONTH($I444))-(YEAR($H444)*12+MONTH($H444))+1))</f>
        <v/>
      </c>
      <c r="N444" s="68">
        <f>IF(OR($J444="",$B444=""),0,IF(YEAR($B444)*12+MONTH($B444)&lt;=YEAR($C$3)*12+MONTH($C$3),$G444,0))</f>
        <v/>
      </c>
      <c r="O444" s="68">
        <f>IF(OR($J444="",$B444=""),0,IF(YEAR($B444)*12+MONTH($B444)&lt;=YEAR($C$3)*12+MONTH($C$3)-1,$G444,0))</f>
        <v/>
      </c>
      <c r="P444" s="68">
        <f>$M444-$O444</f>
        <v/>
      </c>
      <c r="Q444" s="68">
        <f>($L444-$M444)-($N444-$O444)</f>
        <v/>
      </c>
      <c r="R444" s="68">
        <f>$L444-$N444</f>
        <v/>
      </c>
      <c r="S444" s="67">
        <f>"WIP journal"</f>
        <v/>
      </c>
      <c r="T444" s="67">
        <f>IFERROR(INDEX(tbl_WIP[Revenue or Cost],$A444),"")</f>
        <v/>
      </c>
    </row>
    <row r="445">
      <c r="A445" s="65">
        <f>ROW()-407</f>
        <v/>
      </c>
      <c r="B445" s="66">
        <f>IFERROR(INDEX(tbl_WIP[Month],$A445),"")</f>
        <v/>
      </c>
      <c r="C445" s="67">
        <f>IFERROR(INDEX(tbl_WIP[Xero Invoice No],$A445),"")</f>
        <v/>
      </c>
      <c r="D445" s="67">
        <f>IFERROR(INDEX(tbl_WIP[Client],$A445),"")</f>
        <v/>
      </c>
      <c r="E445" s="67">
        <f>IFERROR(INDEX(tbl_WIP[Job Number],$A445),"")</f>
        <v/>
      </c>
      <c r="F445" s="67">
        <f>IFERROR(INDEX(tbl_WIP[Cost Centre],$A445),"")</f>
        <v/>
      </c>
      <c r="G445" s="68">
        <f>IFERROR(IF(INDEX(tbl_WIP[Defer Start],$A445)="","",IF(INDEX(tbl_WIP[Revenue or Cost],$A445)="Cost",-1,1)*INDEX(tbl_WIP[Amount],$A445)),"")</f>
        <v/>
      </c>
      <c r="H445" s="66">
        <f>IFERROR(INDEX(tbl_WIP[Defer Start],$A445),"")</f>
        <v/>
      </c>
      <c r="I445" s="66">
        <f>IFERROR(INDEX(tbl_WIP[Defer End],$A445),"")</f>
        <v/>
      </c>
      <c r="J445" s="65">
        <f>IF(OR($H445="",$I445="",$G445=""),"",MAX(1,(YEAR($I445)-YEAR($H445))*12+MONTH($I445)-MONTH($H445)+1))</f>
        <v/>
      </c>
      <c r="K445" s="68">
        <f>IF($J445="","",$G445/$J445)</f>
        <v/>
      </c>
      <c r="L445" s="68">
        <f>IF($J445="",0,$K445*MAX(0,MIN(YEAR($C$3)*12+MONTH($C$3),YEAR($I445)*12+MONTH($I445))-(YEAR($H445)*12+MONTH($H445))+1))</f>
        <v/>
      </c>
      <c r="M445" s="68">
        <f>IF($J445="",0,$K445*MAX(0,MIN(YEAR($C$3)*12+MONTH($C$3)-1,YEAR($I445)*12+MONTH($I445))-(YEAR($H445)*12+MONTH($H445))+1))</f>
        <v/>
      </c>
      <c r="N445" s="68">
        <f>IF(OR($J445="",$B445=""),0,IF(YEAR($B445)*12+MONTH($B445)&lt;=YEAR($C$3)*12+MONTH($C$3),$G445,0))</f>
        <v/>
      </c>
      <c r="O445" s="68">
        <f>IF(OR($J445="",$B445=""),0,IF(YEAR($B445)*12+MONTH($B445)&lt;=YEAR($C$3)*12+MONTH($C$3)-1,$G445,0))</f>
        <v/>
      </c>
      <c r="P445" s="68">
        <f>$M445-$O445</f>
        <v/>
      </c>
      <c r="Q445" s="68">
        <f>($L445-$M445)-($N445-$O445)</f>
        <v/>
      </c>
      <c r="R445" s="68">
        <f>$L445-$N445</f>
        <v/>
      </c>
      <c r="S445" s="67">
        <f>"WIP journal"</f>
        <v/>
      </c>
      <c r="T445" s="67">
        <f>IFERROR(INDEX(tbl_WIP[Revenue or Cost],$A445),"")</f>
        <v/>
      </c>
    </row>
    <row r="446">
      <c r="A446" s="65">
        <f>ROW()-407</f>
        <v/>
      </c>
      <c r="B446" s="66">
        <f>IFERROR(INDEX(tbl_WIP[Month],$A446),"")</f>
        <v/>
      </c>
      <c r="C446" s="67">
        <f>IFERROR(INDEX(tbl_WIP[Xero Invoice No],$A446),"")</f>
        <v/>
      </c>
      <c r="D446" s="67">
        <f>IFERROR(INDEX(tbl_WIP[Client],$A446),"")</f>
        <v/>
      </c>
      <c r="E446" s="67">
        <f>IFERROR(INDEX(tbl_WIP[Job Number],$A446),"")</f>
        <v/>
      </c>
      <c r="F446" s="67">
        <f>IFERROR(INDEX(tbl_WIP[Cost Centre],$A446),"")</f>
        <v/>
      </c>
      <c r="G446" s="68">
        <f>IFERROR(IF(INDEX(tbl_WIP[Defer Start],$A446)="","",IF(INDEX(tbl_WIP[Revenue or Cost],$A446)="Cost",-1,1)*INDEX(tbl_WIP[Amount],$A446)),"")</f>
        <v/>
      </c>
      <c r="H446" s="66">
        <f>IFERROR(INDEX(tbl_WIP[Defer Start],$A446),"")</f>
        <v/>
      </c>
      <c r="I446" s="66">
        <f>IFERROR(INDEX(tbl_WIP[Defer End],$A446),"")</f>
        <v/>
      </c>
      <c r="J446" s="65">
        <f>IF(OR($H446="",$I446="",$G446=""),"",MAX(1,(YEAR($I446)-YEAR($H446))*12+MONTH($I446)-MONTH($H446)+1))</f>
        <v/>
      </c>
      <c r="K446" s="68">
        <f>IF($J446="","",$G446/$J446)</f>
        <v/>
      </c>
      <c r="L446" s="68">
        <f>IF($J446="",0,$K446*MAX(0,MIN(YEAR($C$3)*12+MONTH($C$3),YEAR($I446)*12+MONTH($I446))-(YEAR($H446)*12+MONTH($H446))+1))</f>
        <v/>
      </c>
      <c r="M446" s="68">
        <f>IF($J446="",0,$K446*MAX(0,MIN(YEAR($C$3)*12+MONTH($C$3)-1,YEAR($I446)*12+MONTH($I446))-(YEAR($H446)*12+MONTH($H446))+1))</f>
        <v/>
      </c>
      <c r="N446" s="68">
        <f>IF(OR($J446="",$B446=""),0,IF(YEAR($B446)*12+MONTH($B446)&lt;=YEAR($C$3)*12+MONTH($C$3),$G446,0))</f>
        <v/>
      </c>
      <c r="O446" s="68">
        <f>IF(OR($J446="",$B446=""),0,IF(YEAR($B446)*12+MONTH($B446)&lt;=YEAR($C$3)*12+MONTH($C$3)-1,$G446,0))</f>
        <v/>
      </c>
      <c r="P446" s="68">
        <f>$M446-$O446</f>
        <v/>
      </c>
      <c r="Q446" s="68">
        <f>($L446-$M446)-($N446-$O446)</f>
        <v/>
      </c>
      <c r="R446" s="68">
        <f>$L446-$N446</f>
        <v/>
      </c>
      <c r="S446" s="67">
        <f>"WIP journal"</f>
        <v/>
      </c>
      <c r="T446" s="67">
        <f>IFERROR(INDEX(tbl_WIP[Revenue or Cost],$A446),"")</f>
        <v/>
      </c>
    </row>
    <row r="447">
      <c r="A447" s="65">
        <f>ROW()-407</f>
        <v/>
      </c>
      <c r="B447" s="66">
        <f>IFERROR(INDEX(tbl_WIP[Month],$A447),"")</f>
        <v/>
      </c>
      <c r="C447" s="67">
        <f>IFERROR(INDEX(tbl_WIP[Xero Invoice No],$A447),"")</f>
        <v/>
      </c>
      <c r="D447" s="67">
        <f>IFERROR(INDEX(tbl_WIP[Client],$A447),"")</f>
        <v/>
      </c>
      <c r="E447" s="67">
        <f>IFERROR(INDEX(tbl_WIP[Job Number],$A447),"")</f>
        <v/>
      </c>
      <c r="F447" s="67">
        <f>IFERROR(INDEX(tbl_WIP[Cost Centre],$A447),"")</f>
        <v/>
      </c>
      <c r="G447" s="68">
        <f>IFERROR(IF(INDEX(tbl_WIP[Defer Start],$A447)="","",IF(INDEX(tbl_WIP[Revenue or Cost],$A447)="Cost",-1,1)*INDEX(tbl_WIP[Amount],$A447)),"")</f>
        <v/>
      </c>
      <c r="H447" s="66">
        <f>IFERROR(INDEX(tbl_WIP[Defer Start],$A447),"")</f>
        <v/>
      </c>
      <c r="I447" s="66">
        <f>IFERROR(INDEX(tbl_WIP[Defer End],$A447),"")</f>
        <v/>
      </c>
      <c r="J447" s="65">
        <f>IF(OR($H447="",$I447="",$G447=""),"",MAX(1,(YEAR($I447)-YEAR($H447))*12+MONTH($I447)-MONTH($H447)+1))</f>
        <v/>
      </c>
      <c r="K447" s="68">
        <f>IF($J447="","",$G447/$J447)</f>
        <v/>
      </c>
      <c r="L447" s="68">
        <f>IF($J447="",0,$K447*MAX(0,MIN(YEAR($C$3)*12+MONTH($C$3),YEAR($I447)*12+MONTH($I447))-(YEAR($H447)*12+MONTH($H447))+1))</f>
        <v/>
      </c>
      <c r="M447" s="68">
        <f>IF($J447="",0,$K447*MAX(0,MIN(YEAR($C$3)*12+MONTH($C$3)-1,YEAR($I447)*12+MONTH($I447))-(YEAR($H447)*12+MONTH($H447))+1))</f>
        <v/>
      </c>
      <c r="N447" s="68">
        <f>IF(OR($J447="",$B447=""),0,IF(YEAR($B447)*12+MONTH($B447)&lt;=YEAR($C$3)*12+MONTH($C$3),$G447,0))</f>
        <v/>
      </c>
      <c r="O447" s="68">
        <f>IF(OR($J447="",$B447=""),0,IF(YEAR($B447)*12+MONTH($B447)&lt;=YEAR($C$3)*12+MONTH($C$3)-1,$G447,0))</f>
        <v/>
      </c>
      <c r="P447" s="68">
        <f>$M447-$O447</f>
        <v/>
      </c>
      <c r="Q447" s="68">
        <f>($L447-$M447)-($N447-$O447)</f>
        <v/>
      </c>
      <c r="R447" s="68">
        <f>$L447-$N447</f>
        <v/>
      </c>
      <c r="S447" s="67">
        <f>"WIP journal"</f>
        <v/>
      </c>
      <c r="T447" s="67">
        <f>IFERROR(INDEX(tbl_WIP[Revenue or Cost],$A447),"")</f>
        <v/>
      </c>
    </row>
    <row r="448">
      <c r="A448" s="65">
        <f>ROW()-407</f>
        <v/>
      </c>
      <c r="B448" s="66">
        <f>IFERROR(INDEX(tbl_WIP[Month],$A448),"")</f>
        <v/>
      </c>
      <c r="C448" s="67">
        <f>IFERROR(INDEX(tbl_WIP[Xero Invoice No],$A448),"")</f>
        <v/>
      </c>
      <c r="D448" s="67">
        <f>IFERROR(INDEX(tbl_WIP[Client],$A448),"")</f>
        <v/>
      </c>
      <c r="E448" s="67">
        <f>IFERROR(INDEX(tbl_WIP[Job Number],$A448),"")</f>
        <v/>
      </c>
      <c r="F448" s="67">
        <f>IFERROR(INDEX(tbl_WIP[Cost Centre],$A448),"")</f>
        <v/>
      </c>
      <c r="G448" s="68">
        <f>IFERROR(IF(INDEX(tbl_WIP[Defer Start],$A448)="","",IF(INDEX(tbl_WIP[Revenue or Cost],$A448)="Cost",-1,1)*INDEX(tbl_WIP[Amount],$A448)),"")</f>
        <v/>
      </c>
      <c r="H448" s="66">
        <f>IFERROR(INDEX(tbl_WIP[Defer Start],$A448),"")</f>
        <v/>
      </c>
      <c r="I448" s="66">
        <f>IFERROR(INDEX(tbl_WIP[Defer End],$A448),"")</f>
        <v/>
      </c>
      <c r="J448" s="65">
        <f>IF(OR($H448="",$I448="",$G448=""),"",MAX(1,(YEAR($I448)-YEAR($H448))*12+MONTH($I448)-MONTH($H448)+1))</f>
        <v/>
      </c>
      <c r="K448" s="68">
        <f>IF($J448="","",$G448/$J448)</f>
        <v/>
      </c>
      <c r="L448" s="68">
        <f>IF($J448="",0,$K448*MAX(0,MIN(YEAR($C$3)*12+MONTH($C$3),YEAR($I448)*12+MONTH($I448))-(YEAR($H448)*12+MONTH($H448))+1))</f>
        <v/>
      </c>
      <c r="M448" s="68">
        <f>IF($J448="",0,$K448*MAX(0,MIN(YEAR($C$3)*12+MONTH($C$3)-1,YEAR($I448)*12+MONTH($I448))-(YEAR($H448)*12+MONTH($H448))+1))</f>
        <v/>
      </c>
      <c r="N448" s="68">
        <f>IF(OR($J448="",$B448=""),0,IF(YEAR($B448)*12+MONTH($B448)&lt;=YEAR($C$3)*12+MONTH($C$3),$G448,0))</f>
        <v/>
      </c>
      <c r="O448" s="68">
        <f>IF(OR($J448="",$B448=""),0,IF(YEAR($B448)*12+MONTH($B448)&lt;=YEAR($C$3)*12+MONTH($C$3)-1,$G448,0))</f>
        <v/>
      </c>
      <c r="P448" s="68">
        <f>$M448-$O448</f>
        <v/>
      </c>
      <c r="Q448" s="68">
        <f>($L448-$M448)-($N448-$O448)</f>
        <v/>
      </c>
      <c r="R448" s="68">
        <f>$L448-$N448</f>
        <v/>
      </c>
      <c r="S448" s="67">
        <f>"WIP journal"</f>
        <v/>
      </c>
      <c r="T448" s="67">
        <f>IFERROR(INDEX(tbl_WIP[Revenue or Cost],$A448),"")</f>
        <v/>
      </c>
    </row>
    <row r="449">
      <c r="A449" s="65">
        <f>ROW()-407</f>
        <v/>
      </c>
      <c r="B449" s="66">
        <f>IFERROR(INDEX(tbl_WIP[Month],$A449),"")</f>
        <v/>
      </c>
      <c r="C449" s="67">
        <f>IFERROR(INDEX(tbl_WIP[Xero Invoice No],$A449),"")</f>
        <v/>
      </c>
      <c r="D449" s="67">
        <f>IFERROR(INDEX(tbl_WIP[Client],$A449),"")</f>
        <v/>
      </c>
      <c r="E449" s="67">
        <f>IFERROR(INDEX(tbl_WIP[Job Number],$A449),"")</f>
        <v/>
      </c>
      <c r="F449" s="67">
        <f>IFERROR(INDEX(tbl_WIP[Cost Centre],$A449),"")</f>
        <v/>
      </c>
      <c r="G449" s="68">
        <f>IFERROR(IF(INDEX(tbl_WIP[Defer Start],$A449)="","",IF(INDEX(tbl_WIP[Revenue or Cost],$A449)="Cost",-1,1)*INDEX(tbl_WIP[Amount],$A449)),"")</f>
        <v/>
      </c>
      <c r="H449" s="66">
        <f>IFERROR(INDEX(tbl_WIP[Defer Start],$A449),"")</f>
        <v/>
      </c>
      <c r="I449" s="66">
        <f>IFERROR(INDEX(tbl_WIP[Defer End],$A449),"")</f>
        <v/>
      </c>
      <c r="J449" s="65">
        <f>IF(OR($H449="",$I449="",$G449=""),"",MAX(1,(YEAR($I449)-YEAR($H449))*12+MONTH($I449)-MONTH($H449)+1))</f>
        <v/>
      </c>
      <c r="K449" s="68">
        <f>IF($J449="","",$G449/$J449)</f>
        <v/>
      </c>
      <c r="L449" s="68">
        <f>IF($J449="",0,$K449*MAX(0,MIN(YEAR($C$3)*12+MONTH($C$3),YEAR($I449)*12+MONTH($I449))-(YEAR($H449)*12+MONTH($H449))+1))</f>
        <v/>
      </c>
      <c r="M449" s="68">
        <f>IF($J449="",0,$K449*MAX(0,MIN(YEAR($C$3)*12+MONTH($C$3)-1,YEAR($I449)*12+MONTH($I449))-(YEAR($H449)*12+MONTH($H449))+1))</f>
        <v/>
      </c>
      <c r="N449" s="68">
        <f>IF(OR($J449="",$B449=""),0,IF(YEAR($B449)*12+MONTH($B449)&lt;=YEAR($C$3)*12+MONTH($C$3),$G449,0))</f>
        <v/>
      </c>
      <c r="O449" s="68">
        <f>IF(OR($J449="",$B449=""),0,IF(YEAR($B449)*12+MONTH($B449)&lt;=YEAR($C$3)*12+MONTH($C$3)-1,$G449,0))</f>
        <v/>
      </c>
      <c r="P449" s="68">
        <f>$M449-$O449</f>
        <v/>
      </c>
      <c r="Q449" s="68">
        <f>($L449-$M449)-($N449-$O449)</f>
        <v/>
      </c>
      <c r="R449" s="68">
        <f>$L449-$N449</f>
        <v/>
      </c>
      <c r="S449" s="67">
        <f>"WIP journal"</f>
        <v/>
      </c>
      <c r="T449" s="67">
        <f>IFERROR(INDEX(tbl_WIP[Revenue or Cost],$A449),"")</f>
        <v/>
      </c>
    </row>
    <row r="450">
      <c r="A450" s="65">
        <f>ROW()-407</f>
        <v/>
      </c>
      <c r="B450" s="66">
        <f>IFERROR(INDEX(tbl_WIP[Month],$A450),"")</f>
        <v/>
      </c>
      <c r="C450" s="67">
        <f>IFERROR(INDEX(tbl_WIP[Xero Invoice No],$A450),"")</f>
        <v/>
      </c>
      <c r="D450" s="67">
        <f>IFERROR(INDEX(tbl_WIP[Client],$A450),"")</f>
        <v/>
      </c>
      <c r="E450" s="67">
        <f>IFERROR(INDEX(tbl_WIP[Job Number],$A450),"")</f>
        <v/>
      </c>
      <c r="F450" s="67">
        <f>IFERROR(INDEX(tbl_WIP[Cost Centre],$A450),"")</f>
        <v/>
      </c>
      <c r="G450" s="68">
        <f>IFERROR(IF(INDEX(tbl_WIP[Defer Start],$A450)="","",IF(INDEX(tbl_WIP[Revenue or Cost],$A450)="Cost",-1,1)*INDEX(tbl_WIP[Amount],$A450)),"")</f>
        <v/>
      </c>
      <c r="H450" s="66">
        <f>IFERROR(INDEX(tbl_WIP[Defer Start],$A450),"")</f>
        <v/>
      </c>
      <c r="I450" s="66">
        <f>IFERROR(INDEX(tbl_WIP[Defer End],$A450),"")</f>
        <v/>
      </c>
      <c r="J450" s="65">
        <f>IF(OR($H450="",$I450="",$G450=""),"",MAX(1,(YEAR($I450)-YEAR($H450))*12+MONTH($I450)-MONTH($H450)+1))</f>
        <v/>
      </c>
      <c r="K450" s="68">
        <f>IF($J450="","",$G450/$J450)</f>
        <v/>
      </c>
      <c r="L450" s="68">
        <f>IF($J450="",0,$K450*MAX(0,MIN(YEAR($C$3)*12+MONTH($C$3),YEAR($I450)*12+MONTH($I450))-(YEAR($H450)*12+MONTH($H450))+1))</f>
        <v/>
      </c>
      <c r="M450" s="68">
        <f>IF($J450="",0,$K450*MAX(0,MIN(YEAR($C$3)*12+MONTH($C$3)-1,YEAR($I450)*12+MONTH($I450))-(YEAR($H450)*12+MONTH($H450))+1))</f>
        <v/>
      </c>
      <c r="N450" s="68">
        <f>IF(OR($J450="",$B450=""),0,IF(YEAR($B450)*12+MONTH($B450)&lt;=YEAR($C$3)*12+MONTH($C$3),$G450,0))</f>
        <v/>
      </c>
      <c r="O450" s="68">
        <f>IF(OR($J450="",$B450=""),0,IF(YEAR($B450)*12+MONTH($B450)&lt;=YEAR($C$3)*12+MONTH($C$3)-1,$G450,0))</f>
        <v/>
      </c>
      <c r="P450" s="68">
        <f>$M450-$O450</f>
        <v/>
      </c>
      <c r="Q450" s="68">
        <f>($L450-$M450)-($N450-$O450)</f>
        <v/>
      </c>
      <c r="R450" s="68">
        <f>$L450-$N450</f>
        <v/>
      </c>
      <c r="S450" s="67">
        <f>"WIP journal"</f>
        <v/>
      </c>
      <c r="T450" s="67">
        <f>IFERROR(INDEX(tbl_WIP[Revenue or Cost],$A450),"")</f>
        <v/>
      </c>
    </row>
    <row r="451">
      <c r="A451" s="65">
        <f>ROW()-407</f>
        <v/>
      </c>
      <c r="B451" s="66">
        <f>IFERROR(INDEX(tbl_WIP[Month],$A451),"")</f>
        <v/>
      </c>
      <c r="C451" s="67">
        <f>IFERROR(INDEX(tbl_WIP[Xero Invoice No],$A451),"")</f>
        <v/>
      </c>
      <c r="D451" s="67">
        <f>IFERROR(INDEX(tbl_WIP[Client],$A451),"")</f>
        <v/>
      </c>
      <c r="E451" s="67">
        <f>IFERROR(INDEX(tbl_WIP[Job Number],$A451),"")</f>
        <v/>
      </c>
      <c r="F451" s="67">
        <f>IFERROR(INDEX(tbl_WIP[Cost Centre],$A451),"")</f>
        <v/>
      </c>
      <c r="G451" s="68">
        <f>IFERROR(IF(INDEX(tbl_WIP[Defer Start],$A451)="","",IF(INDEX(tbl_WIP[Revenue or Cost],$A451)="Cost",-1,1)*INDEX(tbl_WIP[Amount],$A451)),"")</f>
        <v/>
      </c>
      <c r="H451" s="66">
        <f>IFERROR(INDEX(tbl_WIP[Defer Start],$A451),"")</f>
        <v/>
      </c>
      <c r="I451" s="66">
        <f>IFERROR(INDEX(tbl_WIP[Defer End],$A451),"")</f>
        <v/>
      </c>
      <c r="J451" s="65">
        <f>IF(OR($H451="",$I451="",$G451=""),"",MAX(1,(YEAR($I451)-YEAR($H451))*12+MONTH($I451)-MONTH($H451)+1))</f>
        <v/>
      </c>
      <c r="K451" s="68">
        <f>IF($J451="","",$G451/$J451)</f>
        <v/>
      </c>
      <c r="L451" s="68">
        <f>IF($J451="",0,$K451*MAX(0,MIN(YEAR($C$3)*12+MONTH($C$3),YEAR($I451)*12+MONTH($I451))-(YEAR($H451)*12+MONTH($H451))+1))</f>
        <v/>
      </c>
      <c r="M451" s="68">
        <f>IF($J451="",0,$K451*MAX(0,MIN(YEAR($C$3)*12+MONTH($C$3)-1,YEAR($I451)*12+MONTH($I451))-(YEAR($H451)*12+MONTH($H451))+1))</f>
        <v/>
      </c>
      <c r="N451" s="68">
        <f>IF(OR($J451="",$B451=""),0,IF(YEAR($B451)*12+MONTH($B451)&lt;=YEAR($C$3)*12+MONTH($C$3),$G451,0))</f>
        <v/>
      </c>
      <c r="O451" s="68">
        <f>IF(OR($J451="",$B451=""),0,IF(YEAR($B451)*12+MONTH($B451)&lt;=YEAR($C$3)*12+MONTH($C$3)-1,$G451,0))</f>
        <v/>
      </c>
      <c r="P451" s="68">
        <f>$M451-$O451</f>
        <v/>
      </c>
      <c r="Q451" s="68">
        <f>($L451-$M451)-($N451-$O451)</f>
        <v/>
      </c>
      <c r="R451" s="68">
        <f>$L451-$N451</f>
        <v/>
      </c>
      <c r="S451" s="67">
        <f>"WIP journal"</f>
        <v/>
      </c>
      <c r="T451" s="67">
        <f>IFERROR(INDEX(tbl_WIP[Revenue or Cost],$A451),"")</f>
        <v/>
      </c>
    </row>
    <row r="452">
      <c r="A452" s="65">
        <f>ROW()-407</f>
        <v/>
      </c>
      <c r="B452" s="66">
        <f>IFERROR(INDEX(tbl_WIP[Month],$A452),"")</f>
        <v/>
      </c>
      <c r="C452" s="67">
        <f>IFERROR(INDEX(tbl_WIP[Xero Invoice No],$A452),"")</f>
        <v/>
      </c>
      <c r="D452" s="67">
        <f>IFERROR(INDEX(tbl_WIP[Client],$A452),"")</f>
        <v/>
      </c>
      <c r="E452" s="67">
        <f>IFERROR(INDEX(tbl_WIP[Job Number],$A452),"")</f>
        <v/>
      </c>
      <c r="F452" s="67">
        <f>IFERROR(INDEX(tbl_WIP[Cost Centre],$A452),"")</f>
        <v/>
      </c>
      <c r="G452" s="68">
        <f>IFERROR(IF(INDEX(tbl_WIP[Defer Start],$A452)="","",IF(INDEX(tbl_WIP[Revenue or Cost],$A452)="Cost",-1,1)*INDEX(tbl_WIP[Amount],$A452)),"")</f>
        <v/>
      </c>
      <c r="H452" s="66">
        <f>IFERROR(INDEX(tbl_WIP[Defer Start],$A452),"")</f>
        <v/>
      </c>
      <c r="I452" s="66">
        <f>IFERROR(INDEX(tbl_WIP[Defer End],$A452),"")</f>
        <v/>
      </c>
      <c r="J452" s="65">
        <f>IF(OR($H452="",$I452="",$G452=""),"",MAX(1,(YEAR($I452)-YEAR($H452))*12+MONTH($I452)-MONTH($H452)+1))</f>
        <v/>
      </c>
      <c r="K452" s="68">
        <f>IF($J452="","",$G452/$J452)</f>
        <v/>
      </c>
      <c r="L452" s="68">
        <f>IF($J452="",0,$K452*MAX(0,MIN(YEAR($C$3)*12+MONTH($C$3),YEAR($I452)*12+MONTH($I452))-(YEAR($H452)*12+MONTH($H452))+1))</f>
        <v/>
      </c>
      <c r="M452" s="68">
        <f>IF($J452="",0,$K452*MAX(0,MIN(YEAR($C$3)*12+MONTH($C$3)-1,YEAR($I452)*12+MONTH($I452))-(YEAR($H452)*12+MONTH($H452))+1))</f>
        <v/>
      </c>
      <c r="N452" s="68">
        <f>IF(OR($J452="",$B452=""),0,IF(YEAR($B452)*12+MONTH($B452)&lt;=YEAR($C$3)*12+MONTH($C$3),$G452,0))</f>
        <v/>
      </c>
      <c r="O452" s="68">
        <f>IF(OR($J452="",$B452=""),0,IF(YEAR($B452)*12+MONTH($B452)&lt;=YEAR($C$3)*12+MONTH($C$3)-1,$G452,0))</f>
        <v/>
      </c>
      <c r="P452" s="68">
        <f>$M452-$O452</f>
        <v/>
      </c>
      <c r="Q452" s="68">
        <f>($L452-$M452)-($N452-$O452)</f>
        <v/>
      </c>
      <c r="R452" s="68">
        <f>$L452-$N452</f>
        <v/>
      </c>
      <c r="S452" s="67">
        <f>"WIP journal"</f>
        <v/>
      </c>
      <c r="T452" s="67">
        <f>IFERROR(INDEX(tbl_WIP[Revenue or Cost],$A452),"")</f>
        <v/>
      </c>
    </row>
    <row r="453">
      <c r="A453" s="65">
        <f>ROW()-407</f>
        <v/>
      </c>
      <c r="B453" s="66">
        <f>IFERROR(INDEX(tbl_WIP[Month],$A453),"")</f>
        <v/>
      </c>
      <c r="C453" s="67">
        <f>IFERROR(INDEX(tbl_WIP[Xero Invoice No],$A453),"")</f>
        <v/>
      </c>
      <c r="D453" s="67">
        <f>IFERROR(INDEX(tbl_WIP[Client],$A453),"")</f>
        <v/>
      </c>
      <c r="E453" s="67">
        <f>IFERROR(INDEX(tbl_WIP[Job Number],$A453),"")</f>
        <v/>
      </c>
      <c r="F453" s="67">
        <f>IFERROR(INDEX(tbl_WIP[Cost Centre],$A453),"")</f>
        <v/>
      </c>
      <c r="G453" s="68">
        <f>IFERROR(IF(INDEX(tbl_WIP[Defer Start],$A453)="","",IF(INDEX(tbl_WIP[Revenue or Cost],$A453)="Cost",-1,1)*INDEX(tbl_WIP[Amount],$A453)),"")</f>
        <v/>
      </c>
      <c r="H453" s="66">
        <f>IFERROR(INDEX(tbl_WIP[Defer Start],$A453),"")</f>
        <v/>
      </c>
      <c r="I453" s="66">
        <f>IFERROR(INDEX(tbl_WIP[Defer End],$A453),"")</f>
        <v/>
      </c>
      <c r="J453" s="65">
        <f>IF(OR($H453="",$I453="",$G453=""),"",MAX(1,(YEAR($I453)-YEAR($H453))*12+MONTH($I453)-MONTH($H453)+1))</f>
        <v/>
      </c>
      <c r="K453" s="68">
        <f>IF($J453="","",$G453/$J453)</f>
        <v/>
      </c>
      <c r="L453" s="68">
        <f>IF($J453="",0,$K453*MAX(0,MIN(YEAR($C$3)*12+MONTH($C$3),YEAR($I453)*12+MONTH($I453))-(YEAR($H453)*12+MONTH($H453))+1))</f>
        <v/>
      </c>
      <c r="M453" s="68">
        <f>IF($J453="",0,$K453*MAX(0,MIN(YEAR($C$3)*12+MONTH($C$3)-1,YEAR($I453)*12+MONTH($I453))-(YEAR($H453)*12+MONTH($H453))+1))</f>
        <v/>
      </c>
      <c r="N453" s="68">
        <f>IF(OR($J453="",$B453=""),0,IF(YEAR($B453)*12+MONTH($B453)&lt;=YEAR($C$3)*12+MONTH($C$3),$G453,0))</f>
        <v/>
      </c>
      <c r="O453" s="68">
        <f>IF(OR($J453="",$B453=""),0,IF(YEAR($B453)*12+MONTH($B453)&lt;=YEAR($C$3)*12+MONTH($C$3)-1,$G453,0))</f>
        <v/>
      </c>
      <c r="P453" s="68">
        <f>$M453-$O453</f>
        <v/>
      </c>
      <c r="Q453" s="68">
        <f>($L453-$M453)-($N453-$O453)</f>
        <v/>
      </c>
      <c r="R453" s="68">
        <f>$L453-$N453</f>
        <v/>
      </c>
      <c r="S453" s="67">
        <f>"WIP journal"</f>
        <v/>
      </c>
      <c r="T453" s="67">
        <f>IFERROR(INDEX(tbl_WIP[Revenue or Cost],$A453),"")</f>
        <v/>
      </c>
    </row>
    <row r="454">
      <c r="A454" s="65">
        <f>ROW()-407</f>
        <v/>
      </c>
      <c r="B454" s="66">
        <f>IFERROR(INDEX(tbl_WIP[Month],$A454),"")</f>
        <v/>
      </c>
      <c r="C454" s="67">
        <f>IFERROR(INDEX(tbl_WIP[Xero Invoice No],$A454),"")</f>
        <v/>
      </c>
      <c r="D454" s="67">
        <f>IFERROR(INDEX(tbl_WIP[Client],$A454),"")</f>
        <v/>
      </c>
      <c r="E454" s="67">
        <f>IFERROR(INDEX(tbl_WIP[Job Number],$A454),"")</f>
        <v/>
      </c>
      <c r="F454" s="67">
        <f>IFERROR(INDEX(tbl_WIP[Cost Centre],$A454),"")</f>
        <v/>
      </c>
      <c r="G454" s="68">
        <f>IFERROR(IF(INDEX(tbl_WIP[Defer Start],$A454)="","",IF(INDEX(tbl_WIP[Revenue or Cost],$A454)="Cost",-1,1)*INDEX(tbl_WIP[Amount],$A454)),"")</f>
        <v/>
      </c>
      <c r="H454" s="66">
        <f>IFERROR(INDEX(tbl_WIP[Defer Start],$A454),"")</f>
        <v/>
      </c>
      <c r="I454" s="66">
        <f>IFERROR(INDEX(tbl_WIP[Defer End],$A454),"")</f>
        <v/>
      </c>
      <c r="J454" s="65">
        <f>IF(OR($H454="",$I454="",$G454=""),"",MAX(1,(YEAR($I454)-YEAR($H454))*12+MONTH($I454)-MONTH($H454)+1))</f>
        <v/>
      </c>
      <c r="K454" s="68">
        <f>IF($J454="","",$G454/$J454)</f>
        <v/>
      </c>
      <c r="L454" s="68">
        <f>IF($J454="",0,$K454*MAX(0,MIN(YEAR($C$3)*12+MONTH($C$3),YEAR($I454)*12+MONTH($I454))-(YEAR($H454)*12+MONTH($H454))+1))</f>
        <v/>
      </c>
      <c r="M454" s="68">
        <f>IF($J454="",0,$K454*MAX(0,MIN(YEAR($C$3)*12+MONTH($C$3)-1,YEAR($I454)*12+MONTH($I454))-(YEAR($H454)*12+MONTH($H454))+1))</f>
        <v/>
      </c>
      <c r="N454" s="68">
        <f>IF(OR($J454="",$B454=""),0,IF(YEAR($B454)*12+MONTH($B454)&lt;=YEAR($C$3)*12+MONTH($C$3),$G454,0))</f>
        <v/>
      </c>
      <c r="O454" s="68">
        <f>IF(OR($J454="",$B454=""),0,IF(YEAR($B454)*12+MONTH($B454)&lt;=YEAR($C$3)*12+MONTH($C$3)-1,$G454,0))</f>
        <v/>
      </c>
      <c r="P454" s="68">
        <f>$M454-$O454</f>
        <v/>
      </c>
      <c r="Q454" s="68">
        <f>($L454-$M454)-($N454-$O454)</f>
        <v/>
      </c>
      <c r="R454" s="68">
        <f>$L454-$N454</f>
        <v/>
      </c>
      <c r="S454" s="67">
        <f>"WIP journal"</f>
        <v/>
      </c>
      <c r="T454" s="67">
        <f>IFERROR(INDEX(tbl_WIP[Revenue or Cost],$A454),"")</f>
        <v/>
      </c>
    </row>
    <row r="455">
      <c r="A455" s="65">
        <f>ROW()-407</f>
        <v/>
      </c>
      <c r="B455" s="66">
        <f>IFERROR(INDEX(tbl_WIP[Month],$A455),"")</f>
        <v/>
      </c>
      <c r="C455" s="67">
        <f>IFERROR(INDEX(tbl_WIP[Xero Invoice No],$A455),"")</f>
        <v/>
      </c>
      <c r="D455" s="67">
        <f>IFERROR(INDEX(tbl_WIP[Client],$A455),"")</f>
        <v/>
      </c>
      <c r="E455" s="67">
        <f>IFERROR(INDEX(tbl_WIP[Job Number],$A455),"")</f>
        <v/>
      </c>
      <c r="F455" s="67">
        <f>IFERROR(INDEX(tbl_WIP[Cost Centre],$A455),"")</f>
        <v/>
      </c>
      <c r="G455" s="68">
        <f>IFERROR(IF(INDEX(tbl_WIP[Defer Start],$A455)="","",IF(INDEX(tbl_WIP[Revenue or Cost],$A455)="Cost",-1,1)*INDEX(tbl_WIP[Amount],$A455)),"")</f>
        <v/>
      </c>
      <c r="H455" s="66">
        <f>IFERROR(INDEX(tbl_WIP[Defer Start],$A455),"")</f>
        <v/>
      </c>
      <c r="I455" s="66">
        <f>IFERROR(INDEX(tbl_WIP[Defer End],$A455),"")</f>
        <v/>
      </c>
      <c r="J455" s="65">
        <f>IF(OR($H455="",$I455="",$G455=""),"",MAX(1,(YEAR($I455)-YEAR($H455))*12+MONTH($I455)-MONTH($H455)+1))</f>
        <v/>
      </c>
      <c r="K455" s="68">
        <f>IF($J455="","",$G455/$J455)</f>
        <v/>
      </c>
      <c r="L455" s="68">
        <f>IF($J455="",0,$K455*MAX(0,MIN(YEAR($C$3)*12+MONTH($C$3),YEAR($I455)*12+MONTH($I455))-(YEAR($H455)*12+MONTH($H455))+1))</f>
        <v/>
      </c>
      <c r="M455" s="68">
        <f>IF($J455="",0,$K455*MAX(0,MIN(YEAR($C$3)*12+MONTH($C$3)-1,YEAR($I455)*12+MONTH($I455))-(YEAR($H455)*12+MONTH($H455))+1))</f>
        <v/>
      </c>
      <c r="N455" s="68">
        <f>IF(OR($J455="",$B455=""),0,IF(YEAR($B455)*12+MONTH($B455)&lt;=YEAR($C$3)*12+MONTH($C$3),$G455,0))</f>
        <v/>
      </c>
      <c r="O455" s="68">
        <f>IF(OR($J455="",$B455=""),0,IF(YEAR($B455)*12+MONTH($B455)&lt;=YEAR($C$3)*12+MONTH($C$3)-1,$G455,0))</f>
        <v/>
      </c>
      <c r="P455" s="68">
        <f>$M455-$O455</f>
        <v/>
      </c>
      <c r="Q455" s="68">
        <f>($L455-$M455)-($N455-$O455)</f>
        <v/>
      </c>
      <c r="R455" s="68">
        <f>$L455-$N455</f>
        <v/>
      </c>
      <c r="S455" s="67">
        <f>"WIP journal"</f>
        <v/>
      </c>
      <c r="T455" s="67">
        <f>IFERROR(INDEX(tbl_WIP[Revenue or Cost],$A455),"")</f>
        <v/>
      </c>
    </row>
    <row r="456">
      <c r="A456" s="65">
        <f>ROW()-407</f>
        <v/>
      </c>
      <c r="B456" s="66">
        <f>IFERROR(INDEX(tbl_WIP[Month],$A456),"")</f>
        <v/>
      </c>
      <c r="C456" s="67">
        <f>IFERROR(INDEX(tbl_WIP[Xero Invoice No],$A456),"")</f>
        <v/>
      </c>
      <c r="D456" s="67">
        <f>IFERROR(INDEX(tbl_WIP[Client],$A456),"")</f>
        <v/>
      </c>
      <c r="E456" s="67">
        <f>IFERROR(INDEX(tbl_WIP[Job Number],$A456),"")</f>
        <v/>
      </c>
      <c r="F456" s="67">
        <f>IFERROR(INDEX(tbl_WIP[Cost Centre],$A456),"")</f>
        <v/>
      </c>
      <c r="G456" s="68">
        <f>IFERROR(IF(INDEX(tbl_WIP[Defer Start],$A456)="","",IF(INDEX(tbl_WIP[Revenue or Cost],$A456)="Cost",-1,1)*INDEX(tbl_WIP[Amount],$A456)),"")</f>
        <v/>
      </c>
      <c r="H456" s="66">
        <f>IFERROR(INDEX(tbl_WIP[Defer Start],$A456),"")</f>
        <v/>
      </c>
      <c r="I456" s="66">
        <f>IFERROR(INDEX(tbl_WIP[Defer End],$A456),"")</f>
        <v/>
      </c>
      <c r="J456" s="65">
        <f>IF(OR($H456="",$I456="",$G456=""),"",MAX(1,(YEAR($I456)-YEAR($H456))*12+MONTH($I456)-MONTH($H456)+1))</f>
        <v/>
      </c>
      <c r="K456" s="68">
        <f>IF($J456="","",$G456/$J456)</f>
        <v/>
      </c>
      <c r="L456" s="68">
        <f>IF($J456="",0,$K456*MAX(0,MIN(YEAR($C$3)*12+MONTH($C$3),YEAR($I456)*12+MONTH($I456))-(YEAR($H456)*12+MONTH($H456))+1))</f>
        <v/>
      </c>
      <c r="M456" s="68">
        <f>IF($J456="",0,$K456*MAX(0,MIN(YEAR($C$3)*12+MONTH($C$3)-1,YEAR($I456)*12+MONTH($I456))-(YEAR($H456)*12+MONTH($H456))+1))</f>
        <v/>
      </c>
      <c r="N456" s="68">
        <f>IF(OR($J456="",$B456=""),0,IF(YEAR($B456)*12+MONTH($B456)&lt;=YEAR($C$3)*12+MONTH($C$3),$G456,0))</f>
        <v/>
      </c>
      <c r="O456" s="68">
        <f>IF(OR($J456="",$B456=""),0,IF(YEAR($B456)*12+MONTH($B456)&lt;=YEAR($C$3)*12+MONTH($C$3)-1,$G456,0))</f>
        <v/>
      </c>
      <c r="P456" s="68">
        <f>$M456-$O456</f>
        <v/>
      </c>
      <c r="Q456" s="68">
        <f>($L456-$M456)-($N456-$O456)</f>
        <v/>
      </c>
      <c r="R456" s="68">
        <f>$L456-$N456</f>
        <v/>
      </c>
      <c r="S456" s="67">
        <f>"WIP journal"</f>
        <v/>
      </c>
      <c r="T456" s="67">
        <f>IFERROR(INDEX(tbl_WIP[Revenue or Cost],$A456),"")</f>
        <v/>
      </c>
    </row>
    <row r="457">
      <c r="A457" s="65">
        <f>ROW()-407</f>
        <v/>
      </c>
      <c r="B457" s="66">
        <f>IFERROR(INDEX(tbl_WIP[Month],$A457),"")</f>
        <v/>
      </c>
      <c r="C457" s="67">
        <f>IFERROR(INDEX(tbl_WIP[Xero Invoice No],$A457),"")</f>
        <v/>
      </c>
      <c r="D457" s="67">
        <f>IFERROR(INDEX(tbl_WIP[Client],$A457),"")</f>
        <v/>
      </c>
      <c r="E457" s="67">
        <f>IFERROR(INDEX(tbl_WIP[Job Number],$A457),"")</f>
        <v/>
      </c>
      <c r="F457" s="67">
        <f>IFERROR(INDEX(tbl_WIP[Cost Centre],$A457),"")</f>
        <v/>
      </c>
      <c r="G457" s="68">
        <f>IFERROR(IF(INDEX(tbl_WIP[Defer Start],$A457)="","",IF(INDEX(tbl_WIP[Revenue or Cost],$A457)="Cost",-1,1)*INDEX(tbl_WIP[Amount],$A457)),"")</f>
        <v/>
      </c>
      <c r="H457" s="66">
        <f>IFERROR(INDEX(tbl_WIP[Defer Start],$A457),"")</f>
        <v/>
      </c>
      <c r="I457" s="66">
        <f>IFERROR(INDEX(tbl_WIP[Defer End],$A457),"")</f>
        <v/>
      </c>
      <c r="J457" s="65">
        <f>IF(OR($H457="",$I457="",$G457=""),"",MAX(1,(YEAR($I457)-YEAR($H457))*12+MONTH($I457)-MONTH($H457)+1))</f>
        <v/>
      </c>
      <c r="K457" s="68">
        <f>IF($J457="","",$G457/$J457)</f>
        <v/>
      </c>
      <c r="L457" s="68">
        <f>IF($J457="",0,$K457*MAX(0,MIN(YEAR($C$3)*12+MONTH($C$3),YEAR($I457)*12+MONTH($I457))-(YEAR($H457)*12+MONTH($H457))+1))</f>
        <v/>
      </c>
      <c r="M457" s="68">
        <f>IF($J457="",0,$K457*MAX(0,MIN(YEAR($C$3)*12+MONTH($C$3)-1,YEAR($I457)*12+MONTH($I457))-(YEAR($H457)*12+MONTH($H457))+1))</f>
        <v/>
      </c>
      <c r="N457" s="68">
        <f>IF(OR($J457="",$B457=""),0,IF(YEAR($B457)*12+MONTH($B457)&lt;=YEAR($C$3)*12+MONTH($C$3),$G457,0))</f>
        <v/>
      </c>
      <c r="O457" s="68">
        <f>IF(OR($J457="",$B457=""),0,IF(YEAR($B457)*12+MONTH($B457)&lt;=YEAR($C$3)*12+MONTH($C$3)-1,$G457,0))</f>
        <v/>
      </c>
      <c r="P457" s="68">
        <f>$M457-$O457</f>
        <v/>
      </c>
      <c r="Q457" s="68">
        <f>($L457-$M457)-($N457-$O457)</f>
        <v/>
      </c>
      <c r="R457" s="68">
        <f>$L457-$N457</f>
        <v/>
      </c>
      <c r="S457" s="67">
        <f>"WIP journal"</f>
        <v/>
      </c>
      <c r="T457" s="67">
        <f>IFERROR(INDEX(tbl_WIP[Revenue or Cost],$A457),"")</f>
        <v/>
      </c>
    </row>
    <row r="458">
      <c r="A458" s="65">
        <f>ROW()-407</f>
        <v/>
      </c>
      <c r="B458" s="66">
        <f>IFERROR(INDEX(tbl_WIP[Month],$A458),"")</f>
        <v/>
      </c>
      <c r="C458" s="67">
        <f>IFERROR(INDEX(tbl_WIP[Xero Invoice No],$A458),"")</f>
        <v/>
      </c>
      <c r="D458" s="67">
        <f>IFERROR(INDEX(tbl_WIP[Client],$A458),"")</f>
        <v/>
      </c>
      <c r="E458" s="67">
        <f>IFERROR(INDEX(tbl_WIP[Job Number],$A458),"")</f>
        <v/>
      </c>
      <c r="F458" s="67">
        <f>IFERROR(INDEX(tbl_WIP[Cost Centre],$A458),"")</f>
        <v/>
      </c>
      <c r="G458" s="68">
        <f>IFERROR(IF(INDEX(tbl_WIP[Defer Start],$A458)="","",IF(INDEX(tbl_WIP[Revenue or Cost],$A458)="Cost",-1,1)*INDEX(tbl_WIP[Amount],$A458)),"")</f>
        <v/>
      </c>
      <c r="H458" s="66">
        <f>IFERROR(INDEX(tbl_WIP[Defer Start],$A458),"")</f>
        <v/>
      </c>
      <c r="I458" s="66">
        <f>IFERROR(INDEX(tbl_WIP[Defer End],$A458),"")</f>
        <v/>
      </c>
      <c r="J458" s="65">
        <f>IF(OR($H458="",$I458="",$G458=""),"",MAX(1,(YEAR($I458)-YEAR($H458))*12+MONTH($I458)-MONTH($H458)+1))</f>
        <v/>
      </c>
      <c r="K458" s="68">
        <f>IF($J458="","",$G458/$J458)</f>
        <v/>
      </c>
      <c r="L458" s="68">
        <f>IF($J458="",0,$K458*MAX(0,MIN(YEAR($C$3)*12+MONTH($C$3),YEAR($I458)*12+MONTH($I458))-(YEAR($H458)*12+MONTH($H458))+1))</f>
        <v/>
      </c>
      <c r="M458" s="68">
        <f>IF($J458="",0,$K458*MAX(0,MIN(YEAR($C$3)*12+MONTH($C$3)-1,YEAR($I458)*12+MONTH($I458))-(YEAR($H458)*12+MONTH($H458))+1))</f>
        <v/>
      </c>
      <c r="N458" s="68">
        <f>IF(OR($J458="",$B458=""),0,IF(YEAR($B458)*12+MONTH($B458)&lt;=YEAR($C$3)*12+MONTH($C$3),$G458,0))</f>
        <v/>
      </c>
      <c r="O458" s="68">
        <f>IF(OR($J458="",$B458=""),0,IF(YEAR($B458)*12+MONTH($B458)&lt;=YEAR($C$3)*12+MONTH($C$3)-1,$G458,0))</f>
        <v/>
      </c>
      <c r="P458" s="68">
        <f>$M458-$O458</f>
        <v/>
      </c>
      <c r="Q458" s="68">
        <f>($L458-$M458)-($N458-$O458)</f>
        <v/>
      </c>
      <c r="R458" s="68">
        <f>$L458-$N458</f>
        <v/>
      </c>
      <c r="S458" s="67">
        <f>"WIP journal"</f>
        <v/>
      </c>
      <c r="T458" s="67">
        <f>IFERROR(INDEX(tbl_WIP[Revenue or Cost],$A458),"")</f>
        <v/>
      </c>
    </row>
    <row r="459">
      <c r="A459" s="65">
        <f>ROW()-407</f>
        <v/>
      </c>
      <c r="B459" s="66">
        <f>IFERROR(INDEX(tbl_WIP[Month],$A459),"")</f>
        <v/>
      </c>
      <c r="C459" s="67">
        <f>IFERROR(INDEX(tbl_WIP[Xero Invoice No],$A459),"")</f>
        <v/>
      </c>
      <c r="D459" s="67">
        <f>IFERROR(INDEX(tbl_WIP[Client],$A459),"")</f>
        <v/>
      </c>
      <c r="E459" s="67">
        <f>IFERROR(INDEX(tbl_WIP[Job Number],$A459),"")</f>
        <v/>
      </c>
      <c r="F459" s="67">
        <f>IFERROR(INDEX(tbl_WIP[Cost Centre],$A459),"")</f>
        <v/>
      </c>
      <c r="G459" s="68">
        <f>IFERROR(IF(INDEX(tbl_WIP[Defer Start],$A459)="","",IF(INDEX(tbl_WIP[Revenue or Cost],$A459)="Cost",-1,1)*INDEX(tbl_WIP[Amount],$A459)),"")</f>
        <v/>
      </c>
      <c r="H459" s="66">
        <f>IFERROR(INDEX(tbl_WIP[Defer Start],$A459),"")</f>
        <v/>
      </c>
      <c r="I459" s="66">
        <f>IFERROR(INDEX(tbl_WIP[Defer End],$A459),"")</f>
        <v/>
      </c>
      <c r="J459" s="65">
        <f>IF(OR($H459="",$I459="",$G459=""),"",MAX(1,(YEAR($I459)-YEAR($H459))*12+MONTH($I459)-MONTH($H459)+1))</f>
        <v/>
      </c>
      <c r="K459" s="68">
        <f>IF($J459="","",$G459/$J459)</f>
        <v/>
      </c>
      <c r="L459" s="68">
        <f>IF($J459="",0,$K459*MAX(0,MIN(YEAR($C$3)*12+MONTH($C$3),YEAR($I459)*12+MONTH($I459))-(YEAR($H459)*12+MONTH($H459))+1))</f>
        <v/>
      </c>
      <c r="M459" s="68">
        <f>IF($J459="",0,$K459*MAX(0,MIN(YEAR($C$3)*12+MONTH($C$3)-1,YEAR($I459)*12+MONTH($I459))-(YEAR($H459)*12+MONTH($H459))+1))</f>
        <v/>
      </c>
      <c r="N459" s="68">
        <f>IF(OR($J459="",$B459=""),0,IF(YEAR($B459)*12+MONTH($B459)&lt;=YEAR($C$3)*12+MONTH($C$3),$G459,0))</f>
        <v/>
      </c>
      <c r="O459" s="68">
        <f>IF(OR($J459="",$B459=""),0,IF(YEAR($B459)*12+MONTH($B459)&lt;=YEAR($C$3)*12+MONTH($C$3)-1,$G459,0))</f>
        <v/>
      </c>
      <c r="P459" s="68">
        <f>$M459-$O459</f>
        <v/>
      </c>
      <c r="Q459" s="68">
        <f>($L459-$M459)-($N459-$O459)</f>
        <v/>
      </c>
      <c r="R459" s="68">
        <f>$L459-$N459</f>
        <v/>
      </c>
      <c r="S459" s="67">
        <f>"WIP journal"</f>
        <v/>
      </c>
      <c r="T459" s="67">
        <f>IFERROR(INDEX(tbl_WIP[Revenue or Cost],$A459),"")</f>
        <v/>
      </c>
    </row>
    <row r="460">
      <c r="A460" s="65">
        <f>ROW()-407</f>
        <v/>
      </c>
      <c r="B460" s="66">
        <f>IFERROR(INDEX(tbl_WIP[Month],$A460),"")</f>
        <v/>
      </c>
      <c r="C460" s="67">
        <f>IFERROR(INDEX(tbl_WIP[Xero Invoice No],$A460),"")</f>
        <v/>
      </c>
      <c r="D460" s="67">
        <f>IFERROR(INDEX(tbl_WIP[Client],$A460),"")</f>
        <v/>
      </c>
      <c r="E460" s="67">
        <f>IFERROR(INDEX(tbl_WIP[Job Number],$A460),"")</f>
        <v/>
      </c>
      <c r="F460" s="67">
        <f>IFERROR(INDEX(tbl_WIP[Cost Centre],$A460),"")</f>
        <v/>
      </c>
      <c r="G460" s="68">
        <f>IFERROR(IF(INDEX(tbl_WIP[Defer Start],$A460)="","",IF(INDEX(tbl_WIP[Revenue or Cost],$A460)="Cost",-1,1)*INDEX(tbl_WIP[Amount],$A460)),"")</f>
        <v/>
      </c>
      <c r="H460" s="66">
        <f>IFERROR(INDEX(tbl_WIP[Defer Start],$A460),"")</f>
        <v/>
      </c>
      <c r="I460" s="66">
        <f>IFERROR(INDEX(tbl_WIP[Defer End],$A460),"")</f>
        <v/>
      </c>
      <c r="J460" s="65">
        <f>IF(OR($H460="",$I460="",$G460=""),"",MAX(1,(YEAR($I460)-YEAR($H460))*12+MONTH($I460)-MONTH($H460)+1))</f>
        <v/>
      </c>
      <c r="K460" s="68">
        <f>IF($J460="","",$G460/$J460)</f>
        <v/>
      </c>
      <c r="L460" s="68">
        <f>IF($J460="",0,$K460*MAX(0,MIN(YEAR($C$3)*12+MONTH($C$3),YEAR($I460)*12+MONTH($I460))-(YEAR($H460)*12+MONTH($H460))+1))</f>
        <v/>
      </c>
      <c r="M460" s="68">
        <f>IF($J460="",0,$K460*MAX(0,MIN(YEAR($C$3)*12+MONTH($C$3)-1,YEAR($I460)*12+MONTH($I460))-(YEAR($H460)*12+MONTH($H460))+1))</f>
        <v/>
      </c>
      <c r="N460" s="68">
        <f>IF(OR($J460="",$B460=""),0,IF(YEAR($B460)*12+MONTH($B460)&lt;=YEAR($C$3)*12+MONTH($C$3),$G460,0))</f>
        <v/>
      </c>
      <c r="O460" s="68">
        <f>IF(OR($J460="",$B460=""),0,IF(YEAR($B460)*12+MONTH($B460)&lt;=YEAR($C$3)*12+MONTH($C$3)-1,$G460,0))</f>
        <v/>
      </c>
      <c r="P460" s="68">
        <f>$M460-$O460</f>
        <v/>
      </c>
      <c r="Q460" s="68">
        <f>($L460-$M460)-($N460-$O460)</f>
        <v/>
      </c>
      <c r="R460" s="68">
        <f>$L460-$N460</f>
        <v/>
      </c>
      <c r="S460" s="67">
        <f>"WIP journal"</f>
        <v/>
      </c>
      <c r="T460" s="67">
        <f>IFERROR(INDEX(tbl_WIP[Revenue or Cost],$A460),"")</f>
        <v/>
      </c>
    </row>
    <row r="461">
      <c r="A461" s="65">
        <f>ROW()-407</f>
        <v/>
      </c>
      <c r="B461" s="66">
        <f>IFERROR(INDEX(tbl_WIP[Month],$A461),"")</f>
        <v/>
      </c>
      <c r="C461" s="67">
        <f>IFERROR(INDEX(tbl_WIP[Xero Invoice No],$A461),"")</f>
        <v/>
      </c>
      <c r="D461" s="67">
        <f>IFERROR(INDEX(tbl_WIP[Client],$A461),"")</f>
        <v/>
      </c>
      <c r="E461" s="67">
        <f>IFERROR(INDEX(tbl_WIP[Job Number],$A461),"")</f>
        <v/>
      </c>
      <c r="F461" s="67">
        <f>IFERROR(INDEX(tbl_WIP[Cost Centre],$A461),"")</f>
        <v/>
      </c>
      <c r="G461" s="68">
        <f>IFERROR(IF(INDEX(tbl_WIP[Defer Start],$A461)="","",IF(INDEX(tbl_WIP[Revenue or Cost],$A461)="Cost",-1,1)*INDEX(tbl_WIP[Amount],$A461)),"")</f>
        <v/>
      </c>
      <c r="H461" s="66">
        <f>IFERROR(INDEX(tbl_WIP[Defer Start],$A461),"")</f>
        <v/>
      </c>
      <c r="I461" s="66">
        <f>IFERROR(INDEX(tbl_WIP[Defer End],$A461),"")</f>
        <v/>
      </c>
      <c r="J461" s="65">
        <f>IF(OR($H461="",$I461="",$G461=""),"",MAX(1,(YEAR($I461)-YEAR($H461))*12+MONTH($I461)-MONTH($H461)+1))</f>
        <v/>
      </c>
      <c r="K461" s="68">
        <f>IF($J461="","",$G461/$J461)</f>
        <v/>
      </c>
      <c r="L461" s="68">
        <f>IF($J461="",0,$K461*MAX(0,MIN(YEAR($C$3)*12+MONTH($C$3),YEAR($I461)*12+MONTH($I461))-(YEAR($H461)*12+MONTH($H461))+1))</f>
        <v/>
      </c>
      <c r="M461" s="68">
        <f>IF($J461="",0,$K461*MAX(0,MIN(YEAR($C$3)*12+MONTH($C$3)-1,YEAR($I461)*12+MONTH($I461))-(YEAR($H461)*12+MONTH($H461))+1))</f>
        <v/>
      </c>
      <c r="N461" s="68">
        <f>IF(OR($J461="",$B461=""),0,IF(YEAR($B461)*12+MONTH($B461)&lt;=YEAR($C$3)*12+MONTH($C$3),$G461,0))</f>
        <v/>
      </c>
      <c r="O461" s="68">
        <f>IF(OR($J461="",$B461=""),0,IF(YEAR($B461)*12+MONTH($B461)&lt;=YEAR($C$3)*12+MONTH($C$3)-1,$G461,0))</f>
        <v/>
      </c>
      <c r="P461" s="68">
        <f>$M461-$O461</f>
        <v/>
      </c>
      <c r="Q461" s="68">
        <f>($L461-$M461)-($N461-$O461)</f>
        <v/>
      </c>
      <c r="R461" s="68">
        <f>$L461-$N461</f>
        <v/>
      </c>
      <c r="S461" s="67">
        <f>"WIP journal"</f>
        <v/>
      </c>
      <c r="T461" s="67">
        <f>IFERROR(INDEX(tbl_WIP[Revenue or Cost],$A461),"")</f>
        <v/>
      </c>
    </row>
    <row r="462">
      <c r="A462" s="65">
        <f>ROW()-407</f>
        <v/>
      </c>
      <c r="B462" s="66">
        <f>IFERROR(INDEX(tbl_WIP[Month],$A462),"")</f>
        <v/>
      </c>
      <c r="C462" s="67">
        <f>IFERROR(INDEX(tbl_WIP[Xero Invoice No],$A462),"")</f>
        <v/>
      </c>
      <c r="D462" s="67">
        <f>IFERROR(INDEX(tbl_WIP[Client],$A462),"")</f>
        <v/>
      </c>
      <c r="E462" s="67">
        <f>IFERROR(INDEX(tbl_WIP[Job Number],$A462),"")</f>
        <v/>
      </c>
      <c r="F462" s="67">
        <f>IFERROR(INDEX(tbl_WIP[Cost Centre],$A462),"")</f>
        <v/>
      </c>
      <c r="G462" s="68">
        <f>IFERROR(IF(INDEX(tbl_WIP[Defer Start],$A462)="","",IF(INDEX(tbl_WIP[Revenue or Cost],$A462)="Cost",-1,1)*INDEX(tbl_WIP[Amount],$A462)),"")</f>
        <v/>
      </c>
      <c r="H462" s="66">
        <f>IFERROR(INDEX(tbl_WIP[Defer Start],$A462),"")</f>
        <v/>
      </c>
      <c r="I462" s="66">
        <f>IFERROR(INDEX(tbl_WIP[Defer End],$A462),"")</f>
        <v/>
      </c>
      <c r="J462" s="65">
        <f>IF(OR($H462="",$I462="",$G462=""),"",MAX(1,(YEAR($I462)-YEAR($H462))*12+MONTH($I462)-MONTH($H462)+1))</f>
        <v/>
      </c>
      <c r="K462" s="68">
        <f>IF($J462="","",$G462/$J462)</f>
        <v/>
      </c>
      <c r="L462" s="68">
        <f>IF($J462="",0,$K462*MAX(0,MIN(YEAR($C$3)*12+MONTH($C$3),YEAR($I462)*12+MONTH($I462))-(YEAR($H462)*12+MONTH($H462))+1))</f>
        <v/>
      </c>
      <c r="M462" s="68">
        <f>IF($J462="",0,$K462*MAX(0,MIN(YEAR($C$3)*12+MONTH($C$3)-1,YEAR($I462)*12+MONTH($I462))-(YEAR($H462)*12+MONTH($H462))+1))</f>
        <v/>
      </c>
      <c r="N462" s="68">
        <f>IF(OR($J462="",$B462=""),0,IF(YEAR($B462)*12+MONTH($B462)&lt;=YEAR($C$3)*12+MONTH($C$3),$G462,0))</f>
        <v/>
      </c>
      <c r="O462" s="68">
        <f>IF(OR($J462="",$B462=""),0,IF(YEAR($B462)*12+MONTH($B462)&lt;=YEAR($C$3)*12+MONTH($C$3)-1,$G462,0))</f>
        <v/>
      </c>
      <c r="P462" s="68">
        <f>$M462-$O462</f>
        <v/>
      </c>
      <c r="Q462" s="68">
        <f>($L462-$M462)-($N462-$O462)</f>
        <v/>
      </c>
      <c r="R462" s="68">
        <f>$L462-$N462</f>
        <v/>
      </c>
      <c r="S462" s="67">
        <f>"WIP journal"</f>
        <v/>
      </c>
      <c r="T462" s="67">
        <f>IFERROR(INDEX(tbl_WIP[Revenue or Cost],$A462),"")</f>
        <v/>
      </c>
    </row>
    <row r="463">
      <c r="A463" s="65">
        <f>ROW()-407</f>
        <v/>
      </c>
      <c r="B463" s="66">
        <f>IFERROR(INDEX(tbl_WIP[Month],$A463),"")</f>
        <v/>
      </c>
      <c r="C463" s="67">
        <f>IFERROR(INDEX(tbl_WIP[Xero Invoice No],$A463),"")</f>
        <v/>
      </c>
      <c r="D463" s="67">
        <f>IFERROR(INDEX(tbl_WIP[Client],$A463),"")</f>
        <v/>
      </c>
      <c r="E463" s="67">
        <f>IFERROR(INDEX(tbl_WIP[Job Number],$A463),"")</f>
        <v/>
      </c>
      <c r="F463" s="67">
        <f>IFERROR(INDEX(tbl_WIP[Cost Centre],$A463),"")</f>
        <v/>
      </c>
      <c r="G463" s="68">
        <f>IFERROR(IF(INDEX(tbl_WIP[Defer Start],$A463)="","",IF(INDEX(tbl_WIP[Revenue or Cost],$A463)="Cost",-1,1)*INDEX(tbl_WIP[Amount],$A463)),"")</f>
        <v/>
      </c>
      <c r="H463" s="66">
        <f>IFERROR(INDEX(tbl_WIP[Defer Start],$A463),"")</f>
        <v/>
      </c>
      <c r="I463" s="66">
        <f>IFERROR(INDEX(tbl_WIP[Defer End],$A463),"")</f>
        <v/>
      </c>
      <c r="J463" s="65">
        <f>IF(OR($H463="",$I463="",$G463=""),"",MAX(1,(YEAR($I463)-YEAR($H463))*12+MONTH($I463)-MONTH($H463)+1))</f>
        <v/>
      </c>
      <c r="K463" s="68">
        <f>IF($J463="","",$G463/$J463)</f>
        <v/>
      </c>
      <c r="L463" s="68">
        <f>IF($J463="",0,$K463*MAX(0,MIN(YEAR($C$3)*12+MONTH($C$3),YEAR($I463)*12+MONTH($I463))-(YEAR($H463)*12+MONTH($H463))+1))</f>
        <v/>
      </c>
      <c r="M463" s="68">
        <f>IF($J463="",0,$K463*MAX(0,MIN(YEAR($C$3)*12+MONTH($C$3)-1,YEAR($I463)*12+MONTH($I463))-(YEAR($H463)*12+MONTH($H463))+1))</f>
        <v/>
      </c>
      <c r="N463" s="68">
        <f>IF(OR($J463="",$B463=""),0,IF(YEAR($B463)*12+MONTH($B463)&lt;=YEAR($C$3)*12+MONTH($C$3),$G463,0))</f>
        <v/>
      </c>
      <c r="O463" s="68">
        <f>IF(OR($J463="",$B463=""),0,IF(YEAR($B463)*12+MONTH($B463)&lt;=YEAR($C$3)*12+MONTH($C$3)-1,$G463,0))</f>
        <v/>
      </c>
      <c r="P463" s="68">
        <f>$M463-$O463</f>
        <v/>
      </c>
      <c r="Q463" s="68">
        <f>($L463-$M463)-($N463-$O463)</f>
        <v/>
      </c>
      <c r="R463" s="68">
        <f>$L463-$N463</f>
        <v/>
      </c>
      <c r="S463" s="67">
        <f>"WIP journal"</f>
        <v/>
      </c>
      <c r="T463" s="67">
        <f>IFERROR(INDEX(tbl_WIP[Revenue or Cost],$A463),"")</f>
        <v/>
      </c>
    </row>
    <row r="464">
      <c r="A464" s="65">
        <f>ROW()-407</f>
        <v/>
      </c>
      <c r="B464" s="66">
        <f>IFERROR(INDEX(tbl_WIP[Month],$A464),"")</f>
        <v/>
      </c>
      <c r="C464" s="67">
        <f>IFERROR(INDEX(tbl_WIP[Xero Invoice No],$A464),"")</f>
        <v/>
      </c>
      <c r="D464" s="67">
        <f>IFERROR(INDEX(tbl_WIP[Client],$A464),"")</f>
        <v/>
      </c>
      <c r="E464" s="67">
        <f>IFERROR(INDEX(tbl_WIP[Job Number],$A464),"")</f>
        <v/>
      </c>
      <c r="F464" s="67">
        <f>IFERROR(INDEX(tbl_WIP[Cost Centre],$A464),"")</f>
        <v/>
      </c>
      <c r="G464" s="68">
        <f>IFERROR(IF(INDEX(tbl_WIP[Defer Start],$A464)="","",IF(INDEX(tbl_WIP[Revenue or Cost],$A464)="Cost",-1,1)*INDEX(tbl_WIP[Amount],$A464)),"")</f>
        <v/>
      </c>
      <c r="H464" s="66">
        <f>IFERROR(INDEX(tbl_WIP[Defer Start],$A464),"")</f>
        <v/>
      </c>
      <c r="I464" s="66">
        <f>IFERROR(INDEX(tbl_WIP[Defer End],$A464),"")</f>
        <v/>
      </c>
      <c r="J464" s="65">
        <f>IF(OR($H464="",$I464="",$G464=""),"",MAX(1,(YEAR($I464)-YEAR($H464))*12+MONTH($I464)-MONTH($H464)+1))</f>
        <v/>
      </c>
      <c r="K464" s="68">
        <f>IF($J464="","",$G464/$J464)</f>
        <v/>
      </c>
      <c r="L464" s="68">
        <f>IF($J464="",0,$K464*MAX(0,MIN(YEAR($C$3)*12+MONTH($C$3),YEAR($I464)*12+MONTH($I464))-(YEAR($H464)*12+MONTH($H464))+1))</f>
        <v/>
      </c>
      <c r="M464" s="68">
        <f>IF($J464="",0,$K464*MAX(0,MIN(YEAR($C$3)*12+MONTH($C$3)-1,YEAR($I464)*12+MONTH($I464))-(YEAR($H464)*12+MONTH($H464))+1))</f>
        <v/>
      </c>
      <c r="N464" s="68">
        <f>IF(OR($J464="",$B464=""),0,IF(YEAR($B464)*12+MONTH($B464)&lt;=YEAR($C$3)*12+MONTH($C$3),$G464,0))</f>
        <v/>
      </c>
      <c r="O464" s="68">
        <f>IF(OR($J464="",$B464=""),0,IF(YEAR($B464)*12+MONTH($B464)&lt;=YEAR($C$3)*12+MONTH($C$3)-1,$G464,0))</f>
        <v/>
      </c>
      <c r="P464" s="68">
        <f>$M464-$O464</f>
        <v/>
      </c>
      <c r="Q464" s="68">
        <f>($L464-$M464)-($N464-$O464)</f>
        <v/>
      </c>
      <c r="R464" s="68">
        <f>$L464-$N464</f>
        <v/>
      </c>
      <c r="S464" s="67">
        <f>"WIP journal"</f>
        <v/>
      </c>
      <c r="T464" s="67">
        <f>IFERROR(INDEX(tbl_WIP[Revenue or Cost],$A464),"")</f>
        <v/>
      </c>
    </row>
    <row r="465">
      <c r="A465" s="65">
        <f>ROW()-407</f>
        <v/>
      </c>
      <c r="B465" s="66">
        <f>IFERROR(INDEX(tbl_WIP[Month],$A465),"")</f>
        <v/>
      </c>
      <c r="C465" s="67">
        <f>IFERROR(INDEX(tbl_WIP[Xero Invoice No],$A465),"")</f>
        <v/>
      </c>
      <c r="D465" s="67">
        <f>IFERROR(INDEX(tbl_WIP[Client],$A465),"")</f>
        <v/>
      </c>
      <c r="E465" s="67">
        <f>IFERROR(INDEX(tbl_WIP[Job Number],$A465),"")</f>
        <v/>
      </c>
      <c r="F465" s="67">
        <f>IFERROR(INDEX(tbl_WIP[Cost Centre],$A465),"")</f>
        <v/>
      </c>
      <c r="G465" s="68">
        <f>IFERROR(IF(INDEX(tbl_WIP[Defer Start],$A465)="","",IF(INDEX(tbl_WIP[Revenue or Cost],$A465)="Cost",-1,1)*INDEX(tbl_WIP[Amount],$A465)),"")</f>
        <v/>
      </c>
      <c r="H465" s="66">
        <f>IFERROR(INDEX(tbl_WIP[Defer Start],$A465),"")</f>
        <v/>
      </c>
      <c r="I465" s="66">
        <f>IFERROR(INDEX(tbl_WIP[Defer End],$A465),"")</f>
        <v/>
      </c>
      <c r="J465" s="65">
        <f>IF(OR($H465="",$I465="",$G465=""),"",MAX(1,(YEAR($I465)-YEAR($H465))*12+MONTH($I465)-MONTH($H465)+1))</f>
        <v/>
      </c>
      <c r="K465" s="68">
        <f>IF($J465="","",$G465/$J465)</f>
        <v/>
      </c>
      <c r="L465" s="68">
        <f>IF($J465="",0,$K465*MAX(0,MIN(YEAR($C$3)*12+MONTH($C$3),YEAR($I465)*12+MONTH($I465))-(YEAR($H465)*12+MONTH($H465))+1))</f>
        <v/>
      </c>
      <c r="M465" s="68">
        <f>IF($J465="",0,$K465*MAX(0,MIN(YEAR($C$3)*12+MONTH($C$3)-1,YEAR($I465)*12+MONTH($I465))-(YEAR($H465)*12+MONTH($H465))+1))</f>
        <v/>
      </c>
      <c r="N465" s="68">
        <f>IF(OR($J465="",$B465=""),0,IF(YEAR($B465)*12+MONTH($B465)&lt;=YEAR($C$3)*12+MONTH($C$3),$G465,0))</f>
        <v/>
      </c>
      <c r="O465" s="68">
        <f>IF(OR($J465="",$B465=""),0,IF(YEAR($B465)*12+MONTH($B465)&lt;=YEAR($C$3)*12+MONTH($C$3)-1,$G465,0))</f>
        <v/>
      </c>
      <c r="P465" s="68">
        <f>$M465-$O465</f>
        <v/>
      </c>
      <c r="Q465" s="68">
        <f>($L465-$M465)-($N465-$O465)</f>
        <v/>
      </c>
      <c r="R465" s="68">
        <f>$L465-$N465</f>
        <v/>
      </c>
      <c r="S465" s="67">
        <f>"WIP journal"</f>
        <v/>
      </c>
      <c r="T465" s="67">
        <f>IFERROR(INDEX(tbl_WIP[Revenue or Cost],$A465),"")</f>
        <v/>
      </c>
    </row>
    <row r="466">
      <c r="A466" s="65">
        <f>ROW()-407</f>
        <v/>
      </c>
      <c r="B466" s="66">
        <f>IFERROR(INDEX(tbl_WIP[Month],$A466),"")</f>
        <v/>
      </c>
      <c r="C466" s="67">
        <f>IFERROR(INDEX(tbl_WIP[Xero Invoice No],$A466),"")</f>
        <v/>
      </c>
      <c r="D466" s="67">
        <f>IFERROR(INDEX(tbl_WIP[Client],$A466),"")</f>
        <v/>
      </c>
      <c r="E466" s="67">
        <f>IFERROR(INDEX(tbl_WIP[Job Number],$A466),"")</f>
        <v/>
      </c>
      <c r="F466" s="67">
        <f>IFERROR(INDEX(tbl_WIP[Cost Centre],$A466),"")</f>
        <v/>
      </c>
      <c r="G466" s="68">
        <f>IFERROR(IF(INDEX(tbl_WIP[Defer Start],$A466)="","",IF(INDEX(tbl_WIP[Revenue or Cost],$A466)="Cost",-1,1)*INDEX(tbl_WIP[Amount],$A466)),"")</f>
        <v/>
      </c>
      <c r="H466" s="66">
        <f>IFERROR(INDEX(tbl_WIP[Defer Start],$A466),"")</f>
        <v/>
      </c>
      <c r="I466" s="66">
        <f>IFERROR(INDEX(tbl_WIP[Defer End],$A466),"")</f>
        <v/>
      </c>
      <c r="J466" s="65">
        <f>IF(OR($H466="",$I466="",$G466=""),"",MAX(1,(YEAR($I466)-YEAR($H466))*12+MONTH($I466)-MONTH($H466)+1))</f>
        <v/>
      </c>
      <c r="K466" s="68">
        <f>IF($J466="","",$G466/$J466)</f>
        <v/>
      </c>
      <c r="L466" s="68">
        <f>IF($J466="",0,$K466*MAX(0,MIN(YEAR($C$3)*12+MONTH($C$3),YEAR($I466)*12+MONTH($I466))-(YEAR($H466)*12+MONTH($H466))+1))</f>
        <v/>
      </c>
      <c r="M466" s="68">
        <f>IF($J466="",0,$K466*MAX(0,MIN(YEAR($C$3)*12+MONTH($C$3)-1,YEAR($I466)*12+MONTH($I466))-(YEAR($H466)*12+MONTH($H466))+1))</f>
        <v/>
      </c>
      <c r="N466" s="68">
        <f>IF(OR($J466="",$B466=""),0,IF(YEAR($B466)*12+MONTH($B466)&lt;=YEAR($C$3)*12+MONTH($C$3),$G466,0))</f>
        <v/>
      </c>
      <c r="O466" s="68">
        <f>IF(OR($J466="",$B466=""),0,IF(YEAR($B466)*12+MONTH($B466)&lt;=YEAR($C$3)*12+MONTH($C$3)-1,$G466,0))</f>
        <v/>
      </c>
      <c r="P466" s="68">
        <f>$M466-$O466</f>
        <v/>
      </c>
      <c r="Q466" s="68">
        <f>($L466-$M466)-($N466-$O466)</f>
        <v/>
      </c>
      <c r="R466" s="68">
        <f>$L466-$N466</f>
        <v/>
      </c>
      <c r="S466" s="67">
        <f>"WIP journal"</f>
        <v/>
      </c>
      <c r="T466" s="67">
        <f>IFERROR(INDEX(tbl_WIP[Revenue or Cost],$A466),"")</f>
        <v/>
      </c>
    </row>
    <row r="467">
      <c r="A467" s="65">
        <f>ROW()-407</f>
        <v/>
      </c>
      <c r="B467" s="66">
        <f>IFERROR(INDEX(tbl_WIP[Month],$A467),"")</f>
        <v/>
      </c>
      <c r="C467" s="67">
        <f>IFERROR(INDEX(tbl_WIP[Xero Invoice No],$A467),"")</f>
        <v/>
      </c>
      <c r="D467" s="67">
        <f>IFERROR(INDEX(tbl_WIP[Client],$A467),"")</f>
        <v/>
      </c>
      <c r="E467" s="67">
        <f>IFERROR(INDEX(tbl_WIP[Job Number],$A467),"")</f>
        <v/>
      </c>
      <c r="F467" s="67">
        <f>IFERROR(INDEX(tbl_WIP[Cost Centre],$A467),"")</f>
        <v/>
      </c>
      <c r="G467" s="68">
        <f>IFERROR(IF(INDEX(tbl_WIP[Defer Start],$A467)="","",IF(INDEX(tbl_WIP[Revenue or Cost],$A467)="Cost",-1,1)*INDEX(tbl_WIP[Amount],$A467)),"")</f>
        <v/>
      </c>
      <c r="H467" s="66">
        <f>IFERROR(INDEX(tbl_WIP[Defer Start],$A467),"")</f>
        <v/>
      </c>
      <c r="I467" s="66">
        <f>IFERROR(INDEX(tbl_WIP[Defer End],$A467),"")</f>
        <v/>
      </c>
      <c r="J467" s="65">
        <f>IF(OR($H467="",$I467="",$G467=""),"",MAX(1,(YEAR($I467)-YEAR($H467))*12+MONTH($I467)-MONTH($H467)+1))</f>
        <v/>
      </c>
      <c r="K467" s="68">
        <f>IF($J467="","",$G467/$J467)</f>
        <v/>
      </c>
      <c r="L467" s="68">
        <f>IF($J467="",0,$K467*MAX(0,MIN(YEAR($C$3)*12+MONTH($C$3),YEAR($I467)*12+MONTH($I467))-(YEAR($H467)*12+MONTH($H467))+1))</f>
        <v/>
      </c>
      <c r="M467" s="68">
        <f>IF($J467="",0,$K467*MAX(0,MIN(YEAR($C$3)*12+MONTH($C$3)-1,YEAR($I467)*12+MONTH($I467))-(YEAR($H467)*12+MONTH($H467))+1))</f>
        <v/>
      </c>
      <c r="N467" s="68">
        <f>IF(OR($J467="",$B467=""),0,IF(YEAR($B467)*12+MONTH($B467)&lt;=YEAR($C$3)*12+MONTH($C$3),$G467,0))</f>
        <v/>
      </c>
      <c r="O467" s="68">
        <f>IF(OR($J467="",$B467=""),0,IF(YEAR($B467)*12+MONTH($B467)&lt;=YEAR($C$3)*12+MONTH($C$3)-1,$G467,0))</f>
        <v/>
      </c>
      <c r="P467" s="68">
        <f>$M467-$O467</f>
        <v/>
      </c>
      <c r="Q467" s="68">
        <f>($L467-$M467)-($N467-$O467)</f>
        <v/>
      </c>
      <c r="R467" s="68">
        <f>$L467-$N467</f>
        <v/>
      </c>
      <c r="S467" s="67">
        <f>"WIP journal"</f>
        <v/>
      </c>
      <c r="T467" s="67">
        <f>IFERROR(INDEX(tbl_WIP[Revenue or Cost],$A467),"")</f>
        <v/>
      </c>
    </row>
    <row r="468">
      <c r="A468" s="65">
        <f>ROW()-407</f>
        <v/>
      </c>
      <c r="B468" s="66">
        <f>IFERROR(INDEX(tbl_WIP[Month],$A468),"")</f>
        <v/>
      </c>
      <c r="C468" s="67">
        <f>IFERROR(INDEX(tbl_WIP[Xero Invoice No],$A468),"")</f>
        <v/>
      </c>
      <c r="D468" s="67">
        <f>IFERROR(INDEX(tbl_WIP[Client],$A468),"")</f>
        <v/>
      </c>
      <c r="E468" s="67">
        <f>IFERROR(INDEX(tbl_WIP[Job Number],$A468),"")</f>
        <v/>
      </c>
      <c r="F468" s="67">
        <f>IFERROR(INDEX(tbl_WIP[Cost Centre],$A468),"")</f>
        <v/>
      </c>
      <c r="G468" s="68">
        <f>IFERROR(IF(INDEX(tbl_WIP[Defer Start],$A468)="","",IF(INDEX(tbl_WIP[Revenue or Cost],$A468)="Cost",-1,1)*INDEX(tbl_WIP[Amount],$A468)),"")</f>
        <v/>
      </c>
      <c r="H468" s="66">
        <f>IFERROR(INDEX(tbl_WIP[Defer Start],$A468),"")</f>
        <v/>
      </c>
      <c r="I468" s="66">
        <f>IFERROR(INDEX(tbl_WIP[Defer End],$A468),"")</f>
        <v/>
      </c>
      <c r="J468" s="65">
        <f>IF(OR($H468="",$I468="",$G468=""),"",MAX(1,(YEAR($I468)-YEAR($H468))*12+MONTH($I468)-MONTH($H468)+1))</f>
        <v/>
      </c>
      <c r="K468" s="68">
        <f>IF($J468="","",$G468/$J468)</f>
        <v/>
      </c>
      <c r="L468" s="68">
        <f>IF($J468="",0,$K468*MAX(0,MIN(YEAR($C$3)*12+MONTH($C$3),YEAR($I468)*12+MONTH($I468))-(YEAR($H468)*12+MONTH($H468))+1))</f>
        <v/>
      </c>
      <c r="M468" s="68">
        <f>IF($J468="",0,$K468*MAX(0,MIN(YEAR($C$3)*12+MONTH($C$3)-1,YEAR($I468)*12+MONTH($I468))-(YEAR($H468)*12+MONTH($H468))+1))</f>
        <v/>
      </c>
      <c r="N468" s="68">
        <f>IF(OR($J468="",$B468=""),0,IF(YEAR($B468)*12+MONTH($B468)&lt;=YEAR($C$3)*12+MONTH($C$3),$G468,0))</f>
        <v/>
      </c>
      <c r="O468" s="68">
        <f>IF(OR($J468="",$B468=""),0,IF(YEAR($B468)*12+MONTH($B468)&lt;=YEAR($C$3)*12+MONTH($C$3)-1,$G468,0))</f>
        <v/>
      </c>
      <c r="P468" s="68">
        <f>$M468-$O468</f>
        <v/>
      </c>
      <c r="Q468" s="68">
        <f>($L468-$M468)-($N468-$O468)</f>
        <v/>
      </c>
      <c r="R468" s="68">
        <f>$L468-$N468</f>
        <v/>
      </c>
      <c r="S468" s="67">
        <f>"WIP journal"</f>
        <v/>
      </c>
      <c r="T468" s="67">
        <f>IFERROR(INDEX(tbl_WIP[Revenue or Cost],$A468),"")</f>
        <v/>
      </c>
    </row>
    <row r="469">
      <c r="A469" s="65">
        <f>ROW()-407</f>
        <v/>
      </c>
      <c r="B469" s="66">
        <f>IFERROR(INDEX(tbl_WIP[Month],$A469),"")</f>
        <v/>
      </c>
      <c r="C469" s="67">
        <f>IFERROR(INDEX(tbl_WIP[Xero Invoice No],$A469),"")</f>
        <v/>
      </c>
      <c r="D469" s="67">
        <f>IFERROR(INDEX(tbl_WIP[Client],$A469),"")</f>
        <v/>
      </c>
      <c r="E469" s="67">
        <f>IFERROR(INDEX(tbl_WIP[Job Number],$A469),"")</f>
        <v/>
      </c>
      <c r="F469" s="67">
        <f>IFERROR(INDEX(tbl_WIP[Cost Centre],$A469),"")</f>
        <v/>
      </c>
      <c r="G469" s="68">
        <f>IFERROR(IF(INDEX(tbl_WIP[Defer Start],$A469)="","",IF(INDEX(tbl_WIP[Revenue or Cost],$A469)="Cost",-1,1)*INDEX(tbl_WIP[Amount],$A469)),"")</f>
        <v/>
      </c>
      <c r="H469" s="66">
        <f>IFERROR(INDEX(tbl_WIP[Defer Start],$A469),"")</f>
        <v/>
      </c>
      <c r="I469" s="66">
        <f>IFERROR(INDEX(tbl_WIP[Defer End],$A469),"")</f>
        <v/>
      </c>
      <c r="J469" s="65">
        <f>IF(OR($H469="",$I469="",$G469=""),"",MAX(1,(YEAR($I469)-YEAR($H469))*12+MONTH($I469)-MONTH($H469)+1))</f>
        <v/>
      </c>
      <c r="K469" s="68">
        <f>IF($J469="","",$G469/$J469)</f>
        <v/>
      </c>
      <c r="L469" s="68">
        <f>IF($J469="",0,$K469*MAX(0,MIN(YEAR($C$3)*12+MONTH($C$3),YEAR($I469)*12+MONTH($I469))-(YEAR($H469)*12+MONTH($H469))+1))</f>
        <v/>
      </c>
      <c r="M469" s="68">
        <f>IF($J469="",0,$K469*MAX(0,MIN(YEAR($C$3)*12+MONTH($C$3)-1,YEAR($I469)*12+MONTH($I469))-(YEAR($H469)*12+MONTH($H469))+1))</f>
        <v/>
      </c>
      <c r="N469" s="68">
        <f>IF(OR($J469="",$B469=""),0,IF(YEAR($B469)*12+MONTH($B469)&lt;=YEAR($C$3)*12+MONTH($C$3),$G469,0))</f>
        <v/>
      </c>
      <c r="O469" s="68">
        <f>IF(OR($J469="",$B469=""),0,IF(YEAR($B469)*12+MONTH($B469)&lt;=YEAR($C$3)*12+MONTH($C$3)-1,$G469,0))</f>
        <v/>
      </c>
      <c r="P469" s="68">
        <f>$M469-$O469</f>
        <v/>
      </c>
      <c r="Q469" s="68">
        <f>($L469-$M469)-($N469-$O469)</f>
        <v/>
      </c>
      <c r="R469" s="68">
        <f>$L469-$N469</f>
        <v/>
      </c>
      <c r="S469" s="67">
        <f>"WIP journal"</f>
        <v/>
      </c>
      <c r="T469" s="67">
        <f>IFERROR(INDEX(tbl_WIP[Revenue or Cost],$A469),"")</f>
        <v/>
      </c>
    </row>
    <row r="470">
      <c r="A470" s="65">
        <f>ROW()-407</f>
        <v/>
      </c>
      <c r="B470" s="66">
        <f>IFERROR(INDEX(tbl_WIP[Month],$A470),"")</f>
        <v/>
      </c>
      <c r="C470" s="67">
        <f>IFERROR(INDEX(tbl_WIP[Xero Invoice No],$A470),"")</f>
        <v/>
      </c>
      <c r="D470" s="67">
        <f>IFERROR(INDEX(tbl_WIP[Client],$A470),"")</f>
        <v/>
      </c>
      <c r="E470" s="67">
        <f>IFERROR(INDEX(tbl_WIP[Job Number],$A470),"")</f>
        <v/>
      </c>
      <c r="F470" s="67">
        <f>IFERROR(INDEX(tbl_WIP[Cost Centre],$A470),"")</f>
        <v/>
      </c>
      <c r="G470" s="68">
        <f>IFERROR(IF(INDEX(tbl_WIP[Defer Start],$A470)="","",IF(INDEX(tbl_WIP[Revenue or Cost],$A470)="Cost",-1,1)*INDEX(tbl_WIP[Amount],$A470)),"")</f>
        <v/>
      </c>
      <c r="H470" s="66">
        <f>IFERROR(INDEX(tbl_WIP[Defer Start],$A470),"")</f>
        <v/>
      </c>
      <c r="I470" s="66">
        <f>IFERROR(INDEX(tbl_WIP[Defer End],$A470),"")</f>
        <v/>
      </c>
      <c r="J470" s="65">
        <f>IF(OR($H470="",$I470="",$G470=""),"",MAX(1,(YEAR($I470)-YEAR($H470))*12+MONTH($I470)-MONTH($H470)+1))</f>
        <v/>
      </c>
      <c r="K470" s="68">
        <f>IF($J470="","",$G470/$J470)</f>
        <v/>
      </c>
      <c r="L470" s="68">
        <f>IF($J470="",0,$K470*MAX(0,MIN(YEAR($C$3)*12+MONTH($C$3),YEAR($I470)*12+MONTH($I470))-(YEAR($H470)*12+MONTH($H470))+1))</f>
        <v/>
      </c>
      <c r="M470" s="68">
        <f>IF($J470="",0,$K470*MAX(0,MIN(YEAR($C$3)*12+MONTH($C$3)-1,YEAR($I470)*12+MONTH($I470))-(YEAR($H470)*12+MONTH($H470))+1))</f>
        <v/>
      </c>
      <c r="N470" s="68">
        <f>IF(OR($J470="",$B470=""),0,IF(YEAR($B470)*12+MONTH($B470)&lt;=YEAR($C$3)*12+MONTH($C$3),$G470,0))</f>
        <v/>
      </c>
      <c r="O470" s="68">
        <f>IF(OR($J470="",$B470=""),0,IF(YEAR($B470)*12+MONTH($B470)&lt;=YEAR($C$3)*12+MONTH($C$3)-1,$G470,0))</f>
        <v/>
      </c>
      <c r="P470" s="68">
        <f>$M470-$O470</f>
        <v/>
      </c>
      <c r="Q470" s="68">
        <f>($L470-$M470)-($N470-$O470)</f>
        <v/>
      </c>
      <c r="R470" s="68">
        <f>$L470-$N470</f>
        <v/>
      </c>
      <c r="S470" s="67">
        <f>"WIP journal"</f>
        <v/>
      </c>
      <c r="T470" s="67">
        <f>IFERROR(INDEX(tbl_WIP[Revenue or Cost],$A470),"")</f>
        <v/>
      </c>
    </row>
    <row r="471">
      <c r="A471" s="65">
        <f>ROW()-407</f>
        <v/>
      </c>
      <c r="B471" s="66">
        <f>IFERROR(INDEX(tbl_WIP[Month],$A471),"")</f>
        <v/>
      </c>
      <c r="C471" s="67">
        <f>IFERROR(INDEX(tbl_WIP[Xero Invoice No],$A471),"")</f>
        <v/>
      </c>
      <c r="D471" s="67">
        <f>IFERROR(INDEX(tbl_WIP[Client],$A471),"")</f>
        <v/>
      </c>
      <c r="E471" s="67">
        <f>IFERROR(INDEX(tbl_WIP[Job Number],$A471),"")</f>
        <v/>
      </c>
      <c r="F471" s="67">
        <f>IFERROR(INDEX(tbl_WIP[Cost Centre],$A471),"")</f>
        <v/>
      </c>
      <c r="G471" s="68">
        <f>IFERROR(IF(INDEX(tbl_WIP[Defer Start],$A471)="","",IF(INDEX(tbl_WIP[Revenue or Cost],$A471)="Cost",-1,1)*INDEX(tbl_WIP[Amount],$A471)),"")</f>
        <v/>
      </c>
      <c r="H471" s="66">
        <f>IFERROR(INDEX(tbl_WIP[Defer Start],$A471),"")</f>
        <v/>
      </c>
      <c r="I471" s="66">
        <f>IFERROR(INDEX(tbl_WIP[Defer End],$A471),"")</f>
        <v/>
      </c>
      <c r="J471" s="65">
        <f>IF(OR($H471="",$I471="",$G471=""),"",MAX(1,(YEAR($I471)-YEAR($H471))*12+MONTH($I471)-MONTH($H471)+1))</f>
        <v/>
      </c>
      <c r="K471" s="68">
        <f>IF($J471="","",$G471/$J471)</f>
        <v/>
      </c>
      <c r="L471" s="68">
        <f>IF($J471="",0,$K471*MAX(0,MIN(YEAR($C$3)*12+MONTH($C$3),YEAR($I471)*12+MONTH($I471))-(YEAR($H471)*12+MONTH($H471))+1))</f>
        <v/>
      </c>
      <c r="M471" s="68">
        <f>IF($J471="",0,$K471*MAX(0,MIN(YEAR($C$3)*12+MONTH($C$3)-1,YEAR($I471)*12+MONTH($I471))-(YEAR($H471)*12+MONTH($H471))+1))</f>
        <v/>
      </c>
      <c r="N471" s="68">
        <f>IF(OR($J471="",$B471=""),0,IF(YEAR($B471)*12+MONTH($B471)&lt;=YEAR($C$3)*12+MONTH($C$3),$G471,0))</f>
        <v/>
      </c>
      <c r="O471" s="68">
        <f>IF(OR($J471="",$B471=""),0,IF(YEAR($B471)*12+MONTH($B471)&lt;=YEAR($C$3)*12+MONTH($C$3)-1,$G471,0))</f>
        <v/>
      </c>
      <c r="P471" s="68">
        <f>$M471-$O471</f>
        <v/>
      </c>
      <c r="Q471" s="68">
        <f>($L471-$M471)-($N471-$O471)</f>
        <v/>
      </c>
      <c r="R471" s="68">
        <f>$L471-$N471</f>
        <v/>
      </c>
      <c r="S471" s="67">
        <f>"WIP journal"</f>
        <v/>
      </c>
      <c r="T471" s="67">
        <f>IFERROR(INDEX(tbl_WIP[Revenue or Cost],$A471),"")</f>
        <v/>
      </c>
    </row>
    <row r="472">
      <c r="A472" s="65">
        <f>ROW()-407</f>
        <v/>
      </c>
      <c r="B472" s="66">
        <f>IFERROR(INDEX(tbl_WIP[Month],$A472),"")</f>
        <v/>
      </c>
      <c r="C472" s="67">
        <f>IFERROR(INDEX(tbl_WIP[Xero Invoice No],$A472),"")</f>
        <v/>
      </c>
      <c r="D472" s="67">
        <f>IFERROR(INDEX(tbl_WIP[Client],$A472),"")</f>
        <v/>
      </c>
      <c r="E472" s="67">
        <f>IFERROR(INDEX(tbl_WIP[Job Number],$A472),"")</f>
        <v/>
      </c>
      <c r="F472" s="67">
        <f>IFERROR(INDEX(tbl_WIP[Cost Centre],$A472),"")</f>
        <v/>
      </c>
      <c r="G472" s="68">
        <f>IFERROR(IF(INDEX(tbl_WIP[Defer Start],$A472)="","",IF(INDEX(tbl_WIP[Revenue or Cost],$A472)="Cost",-1,1)*INDEX(tbl_WIP[Amount],$A472)),"")</f>
        <v/>
      </c>
      <c r="H472" s="66">
        <f>IFERROR(INDEX(tbl_WIP[Defer Start],$A472),"")</f>
        <v/>
      </c>
      <c r="I472" s="66">
        <f>IFERROR(INDEX(tbl_WIP[Defer End],$A472),"")</f>
        <v/>
      </c>
      <c r="J472" s="65">
        <f>IF(OR($H472="",$I472="",$G472=""),"",MAX(1,(YEAR($I472)-YEAR($H472))*12+MONTH($I472)-MONTH($H472)+1))</f>
        <v/>
      </c>
      <c r="K472" s="68">
        <f>IF($J472="","",$G472/$J472)</f>
        <v/>
      </c>
      <c r="L472" s="68">
        <f>IF($J472="",0,$K472*MAX(0,MIN(YEAR($C$3)*12+MONTH($C$3),YEAR($I472)*12+MONTH($I472))-(YEAR($H472)*12+MONTH($H472))+1))</f>
        <v/>
      </c>
      <c r="M472" s="68">
        <f>IF($J472="",0,$K472*MAX(0,MIN(YEAR($C$3)*12+MONTH($C$3)-1,YEAR($I472)*12+MONTH($I472))-(YEAR($H472)*12+MONTH($H472))+1))</f>
        <v/>
      </c>
      <c r="N472" s="68">
        <f>IF(OR($J472="",$B472=""),0,IF(YEAR($B472)*12+MONTH($B472)&lt;=YEAR($C$3)*12+MONTH($C$3),$G472,0))</f>
        <v/>
      </c>
      <c r="O472" s="68">
        <f>IF(OR($J472="",$B472=""),0,IF(YEAR($B472)*12+MONTH($B472)&lt;=YEAR($C$3)*12+MONTH($C$3)-1,$G472,0))</f>
        <v/>
      </c>
      <c r="P472" s="68">
        <f>$M472-$O472</f>
        <v/>
      </c>
      <c r="Q472" s="68">
        <f>($L472-$M472)-($N472-$O472)</f>
        <v/>
      </c>
      <c r="R472" s="68">
        <f>$L472-$N472</f>
        <v/>
      </c>
      <c r="S472" s="67">
        <f>"WIP journal"</f>
        <v/>
      </c>
      <c r="T472" s="67">
        <f>IFERROR(INDEX(tbl_WIP[Revenue or Cost],$A472),"")</f>
        <v/>
      </c>
    </row>
    <row r="473">
      <c r="A473" s="65">
        <f>ROW()-407</f>
        <v/>
      </c>
      <c r="B473" s="66">
        <f>IFERROR(INDEX(tbl_WIP[Month],$A473),"")</f>
        <v/>
      </c>
      <c r="C473" s="67">
        <f>IFERROR(INDEX(tbl_WIP[Xero Invoice No],$A473),"")</f>
        <v/>
      </c>
      <c r="D473" s="67">
        <f>IFERROR(INDEX(tbl_WIP[Client],$A473),"")</f>
        <v/>
      </c>
      <c r="E473" s="67">
        <f>IFERROR(INDEX(tbl_WIP[Job Number],$A473),"")</f>
        <v/>
      </c>
      <c r="F473" s="67">
        <f>IFERROR(INDEX(tbl_WIP[Cost Centre],$A473),"")</f>
        <v/>
      </c>
      <c r="G473" s="68">
        <f>IFERROR(IF(INDEX(tbl_WIP[Defer Start],$A473)="","",IF(INDEX(tbl_WIP[Revenue or Cost],$A473)="Cost",-1,1)*INDEX(tbl_WIP[Amount],$A473)),"")</f>
        <v/>
      </c>
      <c r="H473" s="66">
        <f>IFERROR(INDEX(tbl_WIP[Defer Start],$A473),"")</f>
        <v/>
      </c>
      <c r="I473" s="66">
        <f>IFERROR(INDEX(tbl_WIP[Defer End],$A473),"")</f>
        <v/>
      </c>
      <c r="J473" s="65">
        <f>IF(OR($H473="",$I473="",$G473=""),"",MAX(1,(YEAR($I473)-YEAR($H473))*12+MONTH($I473)-MONTH($H473)+1))</f>
        <v/>
      </c>
      <c r="K473" s="68">
        <f>IF($J473="","",$G473/$J473)</f>
        <v/>
      </c>
      <c r="L473" s="68">
        <f>IF($J473="",0,$K473*MAX(0,MIN(YEAR($C$3)*12+MONTH($C$3),YEAR($I473)*12+MONTH($I473))-(YEAR($H473)*12+MONTH($H473))+1))</f>
        <v/>
      </c>
      <c r="M473" s="68">
        <f>IF($J473="",0,$K473*MAX(0,MIN(YEAR($C$3)*12+MONTH($C$3)-1,YEAR($I473)*12+MONTH($I473))-(YEAR($H473)*12+MONTH($H473))+1))</f>
        <v/>
      </c>
      <c r="N473" s="68">
        <f>IF(OR($J473="",$B473=""),0,IF(YEAR($B473)*12+MONTH($B473)&lt;=YEAR($C$3)*12+MONTH($C$3),$G473,0))</f>
        <v/>
      </c>
      <c r="O473" s="68">
        <f>IF(OR($J473="",$B473=""),0,IF(YEAR($B473)*12+MONTH($B473)&lt;=YEAR($C$3)*12+MONTH($C$3)-1,$G473,0))</f>
        <v/>
      </c>
      <c r="P473" s="68">
        <f>$M473-$O473</f>
        <v/>
      </c>
      <c r="Q473" s="68">
        <f>($L473-$M473)-($N473-$O473)</f>
        <v/>
      </c>
      <c r="R473" s="68">
        <f>$L473-$N473</f>
        <v/>
      </c>
      <c r="S473" s="67">
        <f>"WIP journal"</f>
        <v/>
      </c>
      <c r="T473" s="67">
        <f>IFERROR(INDEX(tbl_WIP[Revenue or Cost],$A473),"")</f>
        <v/>
      </c>
    </row>
    <row r="474">
      <c r="A474" s="65">
        <f>ROW()-407</f>
        <v/>
      </c>
      <c r="B474" s="66">
        <f>IFERROR(INDEX(tbl_WIP[Month],$A474),"")</f>
        <v/>
      </c>
      <c r="C474" s="67">
        <f>IFERROR(INDEX(tbl_WIP[Xero Invoice No],$A474),"")</f>
        <v/>
      </c>
      <c r="D474" s="67">
        <f>IFERROR(INDEX(tbl_WIP[Client],$A474),"")</f>
        <v/>
      </c>
      <c r="E474" s="67">
        <f>IFERROR(INDEX(tbl_WIP[Job Number],$A474),"")</f>
        <v/>
      </c>
      <c r="F474" s="67">
        <f>IFERROR(INDEX(tbl_WIP[Cost Centre],$A474),"")</f>
        <v/>
      </c>
      <c r="G474" s="68">
        <f>IFERROR(IF(INDEX(tbl_WIP[Defer Start],$A474)="","",IF(INDEX(tbl_WIP[Revenue or Cost],$A474)="Cost",-1,1)*INDEX(tbl_WIP[Amount],$A474)),"")</f>
        <v/>
      </c>
      <c r="H474" s="66">
        <f>IFERROR(INDEX(tbl_WIP[Defer Start],$A474),"")</f>
        <v/>
      </c>
      <c r="I474" s="66">
        <f>IFERROR(INDEX(tbl_WIP[Defer End],$A474),"")</f>
        <v/>
      </c>
      <c r="J474" s="65">
        <f>IF(OR($H474="",$I474="",$G474=""),"",MAX(1,(YEAR($I474)-YEAR($H474))*12+MONTH($I474)-MONTH($H474)+1))</f>
        <v/>
      </c>
      <c r="K474" s="68">
        <f>IF($J474="","",$G474/$J474)</f>
        <v/>
      </c>
      <c r="L474" s="68">
        <f>IF($J474="",0,$K474*MAX(0,MIN(YEAR($C$3)*12+MONTH($C$3),YEAR($I474)*12+MONTH($I474))-(YEAR($H474)*12+MONTH($H474))+1))</f>
        <v/>
      </c>
      <c r="M474" s="68">
        <f>IF($J474="",0,$K474*MAX(0,MIN(YEAR($C$3)*12+MONTH($C$3)-1,YEAR($I474)*12+MONTH($I474))-(YEAR($H474)*12+MONTH($H474))+1))</f>
        <v/>
      </c>
      <c r="N474" s="68">
        <f>IF(OR($J474="",$B474=""),0,IF(YEAR($B474)*12+MONTH($B474)&lt;=YEAR($C$3)*12+MONTH($C$3),$G474,0))</f>
        <v/>
      </c>
      <c r="O474" s="68">
        <f>IF(OR($J474="",$B474=""),0,IF(YEAR($B474)*12+MONTH($B474)&lt;=YEAR($C$3)*12+MONTH($C$3)-1,$G474,0))</f>
        <v/>
      </c>
      <c r="P474" s="68">
        <f>$M474-$O474</f>
        <v/>
      </c>
      <c r="Q474" s="68">
        <f>($L474-$M474)-($N474-$O474)</f>
        <v/>
      </c>
      <c r="R474" s="68">
        <f>$L474-$N474</f>
        <v/>
      </c>
      <c r="S474" s="67">
        <f>"WIP journal"</f>
        <v/>
      </c>
      <c r="T474" s="67">
        <f>IFERROR(INDEX(tbl_WIP[Revenue or Cost],$A474),"")</f>
        <v/>
      </c>
    </row>
    <row r="475">
      <c r="A475" s="65">
        <f>ROW()-407</f>
        <v/>
      </c>
      <c r="B475" s="66">
        <f>IFERROR(INDEX(tbl_WIP[Month],$A475),"")</f>
        <v/>
      </c>
      <c r="C475" s="67">
        <f>IFERROR(INDEX(tbl_WIP[Xero Invoice No],$A475),"")</f>
        <v/>
      </c>
      <c r="D475" s="67">
        <f>IFERROR(INDEX(tbl_WIP[Client],$A475),"")</f>
        <v/>
      </c>
      <c r="E475" s="67">
        <f>IFERROR(INDEX(tbl_WIP[Job Number],$A475),"")</f>
        <v/>
      </c>
      <c r="F475" s="67">
        <f>IFERROR(INDEX(tbl_WIP[Cost Centre],$A475),"")</f>
        <v/>
      </c>
      <c r="G475" s="68">
        <f>IFERROR(IF(INDEX(tbl_WIP[Defer Start],$A475)="","",IF(INDEX(tbl_WIP[Revenue or Cost],$A475)="Cost",-1,1)*INDEX(tbl_WIP[Amount],$A475)),"")</f>
        <v/>
      </c>
      <c r="H475" s="66">
        <f>IFERROR(INDEX(tbl_WIP[Defer Start],$A475),"")</f>
        <v/>
      </c>
      <c r="I475" s="66">
        <f>IFERROR(INDEX(tbl_WIP[Defer End],$A475),"")</f>
        <v/>
      </c>
      <c r="J475" s="65">
        <f>IF(OR($H475="",$I475="",$G475=""),"",MAX(1,(YEAR($I475)-YEAR($H475))*12+MONTH($I475)-MONTH($H475)+1))</f>
        <v/>
      </c>
      <c r="K475" s="68">
        <f>IF($J475="","",$G475/$J475)</f>
        <v/>
      </c>
      <c r="L475" s="68">
        <f>IF($J475="",0,$K475*MAX(0,MIN(YEAR($C$3)*12+MONTH($C$3),YEAR($I475)*12+MONTH($I475))-(YEAR($H475)*12+MONTH($H475))+1))</f>
        <v/>
      </c>
      <c r="M475" s="68">
        <f>IF($J475="",0,$K475*MAX(0,MIN(YEAR($C$3)*12+MONTH($C$3)-1,YEAR($I475)*12+MONTH($I475))-(YEAR($H475)*12+MONTH($H475))+1))</f>
        <v/>
      </c>
      <c r="N475" s="68">
        <f>IF(OR($J475="",$B475=""),0,IF(YEAR($B475)*12+MONTH($B475)&lt;=YEAR($C$3)*12+MONTH($C$3),$G475,0))</f>
        <v/>
      </c>
      <c r="O475" s="68">
        <f>IF(OR($J475="",$B475=""),0,IF(YEAR($B475)*12+MONTH($B475)&lt;=YEAR($C$3)*12+MONTH($C$3)-1,$G475,0))</f>
        <v/>
      </c>
      <c r="P475" s="68">
        <f>$M475-$O475</f>
        <v/>
      </c>
      <c r="Q475" s="68">
        <f>($L475-$M475)-($N475-$O475)</f>
        <v/>
      </c>
      <c r="R475" s="68">
        <f>$L475-$N475</f>
        <v/>
      </c>
      <c r="S475" s="67">
        <f>"WIP journal"</f>
        <v/>
      </c>
      <c r="T475" s="67">
        <f>IFERROR(INDEX(tbl_WIP[Revenue or Cost],$A475),"")</f>
        <v/>
      </c>
    </row>
    <row r="476">
      <c r="A476" s="65">
        <f>ROW()-407</f>
        <v/>
      </c>
      <c r="B476" s="66">
        <f>IFERROR(INDEX(tbl_WIP[Month],$A476),"")</f>
        <v/>
      </c>
      <c r="C476" s="67">
        <f>IFERROR(INDEX(tbl_WIP[Xero Invoice No],$A476),"")</f>
        <v/>
      </c>
      <c r="D476" s="67">
        <f>IFERROR(INDEX(tbl_WIP[Client],$A476),"")</f>
        <v/>
      </c>
      <c r="E476" s="67">
        <f>IFERROR(INDEX(tbl_WIP[Job Number],$A476),"")</f>
        <v/>
      </c>
      <c r="F476" s="67">
        <f>IFERROR(INDEX(tbl_WIP[Cost Centre],$A476),"")</f>
        <v/>
      </c>
      <c r="G476" s="68">
        <f>IFERROR(IF(INDEX(tbl_WIP[Defer Start],$A476)="","",IF(INDEX(tbl_WIP[Revenue or Cost],$A476)="Cost",-1,1)*INDEX(tbl_WIP[Amount],$A476)),"")</f>
        <v/>
      </c>
      <c r="H476" s="66">
        <f>IFERROR(INDEX(tbl_WIP[Defer Start],$A476),"")</f>
        <v/>
      </c>
      <c r="I476" s="66">
        <f>IFERROR(INDEX(tbl_WIP[Defer End],$A476),"")</f>
        <v/>
      </c>
      <c r="J476" s="65">
        <f>IF(OR($H476="",$I476="",$G476=""),"",MAX(1,(YEAR($I476)-YEAR($H476))*12+MONTH($I476)-MONTH($H476)+1))</f>
        <v/>
      </c>
      <c r="K476" s="68">
        <f>IF($J476="","",$G476/$J476)</f>
        <v/>
      </c>
      <c r="L476" s="68">
        <f>IF($J476="",0,$K476*MAX(0,MIN(YEAR($C$3)*12+MONTH($C$3),YEAR($I476)*12+MONTH($I476))-(YEAR($H476)*12+MONTH($H476))+1))</f>
        <v/>
      </c>
      <c r="M476" s="68">
        <f>IF($J476="",0,$K476*MAX(0,MIN(YEAR($C$3)*12+MONTH($C$3)-1,YEAR($I476)*12+MONTH($I476))-(YEAR($H476)*12+MONTH($H476))+1))</f>
        <v/>
      </c>
      <c r="N476" s="68">
        <f>IF(OR($J476="",$B476=""),0,IF(YEAR($B476)*12+MONTH($B476)&lt;=YEAR($C$3)*12+MONTH($C$3),$G476,0))</f>
        <v/>
      </c>
      <c r="O476" s="68">
        <f>IF(OR($J476="",$B476=""),0,IF(YEAR($B476)*12+MONTH($B476)&lt;=YEAR($C$3)*12+MONTH($C$3)-1,$G476,0))</f>
        <v/>
      </c>
      <c r="P476" s="68">
        <f>$M476-$O476</f>
        <v/>
      </c>
      <c r="Q476" s="68">
        <f>($L476-$M476)-($N476-$O476)</f>
        <v/>
      </c>
      <c r="R476" s="68">
        <f>$L476-$N476</f>
        <v/>
      </c>
      <c r="S476" s="67">
        <f>"WIP journal"</f>
        <v/>
      </c>
      <c r="T476" s="67">
        <f>IFERROR(INDEX(tbl_WIP[Revenue or Cost],$A476),"")</f>
        <v/>
      </c>
    </row>
    <row r="477">
      <c r="A477" s="65">
        <f>ROW()-407</f>
        <v/>
      </c>
      <c r="B477" s="66">
        <f>IFERROR(INDEX(tbl_WIP[Month],$A477),"")</f>
        <v/>
      </c>
      <c r="C477" s="67">
        <f>IFERROR(INDEX(tbl_WIP[Xero Invoice No],$A477),"")</f>
        <v/>
      </c>
      <c r="D477" s="67">
        <f>IFERROR(INDEX(tbl_WIP[Client],$A477),"")</f>
        <v/>
      </c>
      <c r="E477" s="67">
        <f>IFERROR(INDEX(tbl_WIP[Job Number],$A477),"")</f>
        <v/>
      </c>
      <c r="F477" s="67">
        <f>IFERROR(INDEX(tbl_WIP[Cost Centre],$A477),"")</f>
        <v/>
      </c>
      <c r="G477" s="68">
        <f>IFERROR(IF(INDEX(tbl_WIP[Defer Start],$A477)="","",IF(INDEX(tbl_WIP[Revenue or Cost],$A477)="Cost",-1,1)*INDEX(tbl_WIP[Amount],$A477)),"")</f>
        <v/>
      </c>
      <c r="H477" s="66">
        <f>IFERROR(INDEX(tbl_WIP[Defer Start],$A477),"")</f>
        <v/>
      </c>
      <c r="I477" s="66">
        <f>IFERROR(INDEX(tbl_WIP[Defer End],$A477),"")</f>
        <v/>
      </c>
      <c r="J477" s="65">
        <f>IF(OR($H477="",$I477="",$G477=""),"",MAX(1,(YEAR($I477)-YEAR($H477))*12+MONTH($I477)-MONTH($H477)+1))</f>
        <v/>
      </c>
      <c r="K477" s="68">
        <f>IF($J477="","",$G477/$J477)</f>
        <v/>
      </c>
      <c r="L477" s="68">
        <f>IF($J477="",0,$K477*MAX(0,MIN(YEAR($C$3)*12+MONTH($C$3),YEAR($I477)*12+MONTH($I477))-(YEAR($H477)*12+MONTH($H477))+1))</f>
        <v/>
      </c>
      <c r="M477" s="68">
        <f>IF($J477="",0,$K477*MAX(0,MIN(YEAR($C$3)*12+MONTH($C$3)-1,YEAR($I477)*12+MONTH($I477))-(YEAR($H477)*12+MONTH($H477))+1))</f>
        <v/>
      </c>
      <c r="N477" s="68">
        <f>IF(OR($J477="",$B477=""),0,IF(YEAR($B477)*12+MONTH($B477)&lt;=YEAR($C$3)*12+MONTH($C$3),$G477,0))</f>
        <v/>
      </c>
      <c r="O477" s="68">
        <f>IF(OR($J477="",$B477=""),0,IF(YEAR($B477)*12+MONTH($B477)&lt;=YEAR($C$3)*12+MONTH($C$3)-1,$G477,0))</f>
        <v/>
      </c>
      <c r="P477" s="68">
        <f>$M477-$O477</f>
        <v/>
      </c>
      <c r="Q477" s="68">
        <f>($L477-$M477)-($N477-$O477)</f>
        <v/>
      </c>
      <c r="R477" s="68">
        <f>$L477-$N477</f>
        <v/>
      </c>
      <c r="S477" s="67">
        <f>"WIP journal"</f>
        <v/>
      </c>
      <c r="T477" s="67">
        <f>IFERROR(INDEX(tbl_WIP[Revenue or Cost],$A477),"")</f>
        <v/>
      </c>
    </row>
    <row r="478">
      <c r="A478" s="65">
        <f>ROW()-407</f>
        <v/>
      </c>
      <c r="B478" s="66">
        <f>IFERROR(INDEX(tbl_WIP[Month],$A478),"")</f>
        <v/>
      </c>
      <c r="C478" s="67">
        <f>IFERROR(INDEX(tbl_WIP[Xero Invoice No],$A478),"")</f>
        <v/>
      </c>
      <c r="D478" s="67">
        <f>IFERROR(INDEX(tbl_WIP[Client],$A478),"")</f>
        <v/>
      </c>
      <c r="E478" s="67">
        <f>IFERROR(INDEX(tbl_WIP[Job Number],$A478),"")</f>
        <v/>
      </c>
      <c r="F478" s="67">
        <f>IFERROR(INDEX(tbl_WIP[Cost Centre],$A478),"")</f>
        <v/>
      </c>
      <c r="G478" s="68">
        <f>IFERROR(IF(INDEX(tbl_WIP[Defer Start],$A478)="","",IF(INDEX(tbl_WIP[Revenue or Cost],$A478)="Cost",-1,1)*INDEX(tbl_WIP[Amount],$A478)),"")</f>
        <v/>
      </c>
      <c r="H478" s="66">
        <f>IFERROR(INDEX(tbl_WIP[Defer Start],$A478),"")</f>
        <v/>
      </c>
      <c r="I478" s="66">
        <f>IFERROR(INDEX(tbl_WIP[Defer End],$A478),"")</f>
        <v/>
      </c>
      <c r="J478" s="65">
        <f>IF(OR($H478="",$I478="",$G478=""),"",MAX(1,(YEAR($I478)-YEAR($H478))*12+MONTH($I478)-MONTH($H478)+1))</f>
        <v/>
      </c>
      <c r="K478" s="68">
        <f>IF($J478="","",$G478/$J478)</f>
        <v/>
      </c>
      <c r="L478" s="68">
        <f>IF($J478="",0,$K478*MAX(0,MIN(YEAR($C$3)*12+MONTH($C$3),YEAR($I478)*12+MONTH($I478))-(YEAR($H478)*12+MONTH($H478))+1))</f>
        <v/>
      </c>
      <c r="M478" s="68">
        <f>IF($J478="",0,$K478*MAX(0,MIN(YEAR($C$3)*12+MONTH($C$3)-1,YEAR($I478)*12+MONTH($I478))-(YEAR($H478)*12+MONTH($H478))+1))</f>
        <v/>
      </c>
      <c r="N478" s="68">
        <f>IF(OR($J478="",$B478=""),0,IF(YEAR($B478)*12+MONTH($B478)&lt;=YEAR($C$3)*12+MONTH($C$3),$G478,0))</f>
        <v/>
      </c>
      <c r="O478" s="68">
        <f>IF(OR($J478="",$B478=""),0,IF(YEAR($B478)*12+MONTH($B478)&lt;=YEAR($C$3)*12+MONTH($C$3)-1,$G478,0))</f>
        <v/>
      </c>
      <c r="P478" s="68">
        <f>$M478-$O478</f>
        <v/>
      </c>
      <c r="Q478" s="68">
        <f>($L478-$M478)-($N478-$O478)</f>
        <v/>
      </c>
      <c r="R478" s="68">
        <f>$L478-$N478</f>
        <v/>
      </c>
      <c r="S478" s="67">
        <f>"WIP journal"</f>
        <v/>
      </c>
      <c r="T478" s="67">
        <f>IFERROR(INDEX(tbl_WIP[Revenue or Cost],$A478),"")</f>
        <v/>
      </c>
    </row>
    <row r="479">
      <c r="A479" s="65">
        <f>ROW()-407</f>
        <v/>
      </c>
      <c r="B479" s="66">
        <f>IFERROR(INDEX(tbl_WIP[Month],$A479),"")</f>
        <v/>
      </c>
      <c r="C479" s="67">
        <f>IFERROR(INDEX(tbl_WIP[Xero Invoice No],$A479),"")</f>
        <v/>
      </c>
      <c r="D479" s="67">
        <f>IFERROR(INDEX(tbl_WIP[Client],$A479),"")</f>
        <v/>
      </c>
      <c r="E479" s="67">
        <f>IFERROR(INDEX(tbl_WIP[Job Number],$A479),"")</f>
        <v/>
      </c>
      <c r="F479" s="67">
        <f>IFERROR(INDEX(tbl_WIP[Cost Centre],$A479),"")</f>
        <v/>
      </c>
      <c r="G479" s="68">
        <f>IFERROR(IF(INDEX(tbl_WIP[Defer Start],$A479)="","",IF(INDEX(tbl_WIP[Revenue or Cost],$A479)="Cost",-1,1)*INDEX(tbl_WIP[Amount],$A479)),"")</f>
        <v/>
      </c>
      <c r="H479" s="66">
        <f>IFERROR(INDEX(tbl_WIP[Defer Start],$A479),"")</f>
        <v/>
      </c>
      <c r="I479" s="66">
        <f>IFERROR(INDEX(tbl_WIP[Defer End],$A479),"")</f>
        <v/>
      </c>
      <c r="J479" s="65">
        <f>IF(OR($H479="",$I479="",$G479=""),"",MAX(1,(YEAR($I479)-YEAR($H479))*12+MONTH($I479)-MONTH($H479)+1))</f>
        <v/>
      </c>
      <c r="K479" s="68">
        <f>IF($J479="","",$G479/$J479)</f>
        <v/>
      </c>
      <c r="L479" s="68">
        <f>IF($J479="",0,$K479*MAX(0,MIN(YEAR($C$3)*12+MONTH($C$3),YEAR($I479)*12+MONTH($I479))-(YEAR($H479)*12+MONTH($H479))+1))</f>
        <v/>
      </c>
      <c r="M479" s="68">
        <f>IF($J479="",0,$K479*MAX(0,MIN(YEAR($C$3)*12+MONTH($C$3)-1,YEAR($I479)*12+MONTH($I479))-(YEAR($H479)*12+MONTH($H479))+1))</f>
        <v/>
      </c>
      <c r="N479" s="68">
        <f>IF(OR($J479="",$B479=""),0,IF(YEAR($B479)*12+MONTH($B479)&lt;=YEAR($C$3)*12+MONTH($C$3),$G479,0))</f>
        <v/>
      </c>
      <c r="O479" s="68">
        <f>IF(OR($J479="",$B479=""),0,IF(YEAR($B479)*12+MONTH($B479)&lt;=YEAR($C$3)*12+MONTH($C$3)-1,$G479,0))</f>
        <v/>
      </c>
      <c r="P479" s="68">
        <f>$M479-$O479</f>
        <v/>
      </c>
      <c r="Q479" s="68">
        <f>($L479-$M479)-($N479-$O479)</f>
        <v/>
      </c>
      <c r="R479" s="68">
        <f>$L479-$N479</f>
        <v/>
      </c>
      <c r="S479" s="67">
        <f>"WIP journal"</f>
        <v/>
      </c>
      <c r="T479" s="67">
        <f>IFERROR(INDEX(tbl_WIP[Revenue or Cost],$A479),"")</f>
        <v/>
      </c>
    </row>
    <row r="480">
      <c r="A480" s="65">
        <f>ROW()-407</f>
        <v/>
      </c>
      <c r="B480" s="66">
        <f>IFERROR(INDEX(tbl_WIP[Month],$A480),"")</f>
        <v/>
      </c>
      <c r="C480" s="67">
        <f>IFERROR(INDEX(tbl_WIP[Xero Invoice No],$A480),"")</f>
        <v/>
      </c>
      <c r="D480" s="67">
        <f>IFERROR(INDEX(tbl_WIP[Client],$A480),"")</f>
        <v/>
      </c>
      <c r="E480" s="67">
        <f>IFERROR(INDEX(tbl_WIP[Job Number],$A480),"")</f>
        <v/>
      </c>
      <c r="F480" s="67">
        <f>IFERROR(INDEX(tbl_WIP[Cost Centre],$A480),"")</f>
        <v/>
      </c>
      <c r="G480" s="68">
        <f>IFERROR(IF(INDEX(tbl_WIP[Defer Start],$A480)="","",IF(INDEX(tbl_WIP[Revenue or Cost],$A480)="Cost",-1,1)*INDEX(tbl_WIP[Amount],$A480)),"")</f>
        <v/>
      </c>
      <c r="H480" s="66">
        <f>IFERROR(INDEX(tbl_WIP[Defer Start],$A480),"")</f>
        <v/>
      </c>
      <c r="I480" s="66">
        <f>IFERROR(INDEX(tbl_WIP[Defer End],$A480),"")</f>
        <v/>
      </c>
      <c r="J480" s="65">
        <f>IF(OR($H480="",$I480="",$G480=""),"",MAX(1,(YEAR($I480)-YEAR($H480))*12+MONTH($I480)-MONTH($H480)+1))</f>
        <v/>
      </c>
      <c r="K480" s="68">
        <f>IF($J480="","",$G480/$J480)</f>
        <v/>
      </c>
      <c r="L480" s="68">
        <f>IF($J480="",0,$K480*MAX(0,MIN(YEAR($C$3)*12+MONTH($C$3),YEAR($I480)*12+MONTH($I480))-(YEAR($H480)*12+MONTH($H480))+1))</f>
        <v/>
      </c>
      <c r="M480" s="68">
        <f>IF($J480="",0,$K480*MAX(0,MIN(YEAR($C$3)*12+MONTH($C$3)-1,YEAR($I480)*12+MONTH($I480))-(YEAR($H480)*12+MONTH($H480))+1))</f>
        <v/>
      </c>
      <c r="N480" s="68">
        <f>IF(OR($J480="",$B480=""),0,IF(YEAR($B480)*12+MONTH($B480)&lt;=YEAR($C$3)*12+MONTH($C$3),$G480,0))</f>
        <v/>
      </c>
      <c r="O480" s="68">
        <f>IF(OR($J480="",$B480=""),0,IF(YEAR($B480)*12+MONTH($B480)&lt;=YEAR($C$3)*12+MONTH($C$3)-1,$G480,0))</f>
        <v/>
      </c>
      <c r="P480" s="68">
        <f>$M480-$O480</f>
        <v/>
      </c>
      <c r="Q480" s="68">
        <f>($L480-$M480)-($N480-$O480)</f>
        <v/>
      </c>
      <c r="R480" s="68">
        <f>$L480-$N480</f>
        <v/>
      </c>
      <c r="S480" s="67">
        <f>"WIP journal"</f>
        <v/>
      </c>
      <c r="T480" s="67">
        <f>IFERROR(INDEX(tbl_WIP[Revenue or Cost],$A480),"")</f>
        <v/>
      </c>
    </row>
    <row r="481">
      <c r="A481" s="65">
        <f>ROW()-407</f>
        <v/>
      </c>
      <c r="B481" s="66">
        <f>IFERROR(INDEX(tbl_WIP[Month],$A481),"")</f>
        <v/>
      </c>
      <c r="C481" s="67">
        <f>IFERROR(INDEX(tbl_WIP[Xero Invoice No],$A481),"")</f>
        <v/>
      </c>
      <c r="D481" s="67">
        <f>IFERROR(INDEX(tbl_WIP[Client],$A481),"")</f>
        <v/>
      </c>
      <c r="E481" s="67">
        <f>IFERROR(INDEX(tbl_WIP[Job Number],$A481),"")</f>
        <v/>
      </c>
      <c r="F481" s="67">
        <f>IFERROR(INDEX(tbl_WIP[Cost Centre],$A481),"")</f>
        <v/>
      </c>
      <c r="G481" s="68">
        <f>IFERROR(IF(INDEX(tbl_WIP[Defer Start],$A481)="","",IF(INDEX(tbl_WIP[Revenue or Cost],$A481)="Cost",-1,1)*INDEX(tbl_WIP[Amount],$A481)),"")</f>
        <v/>
      </c>
      <c r="H481" s="66">
        <f>IFERROR(INDEX(tbl_WIP[Defer Start],$A481),"")</f>
        <v/>
      </c>
      <c r="I481" s="66">
        <f>IFERROR(INDEX(tbl_WIP[Defer End],$A481),"")</f>
        <v/>
      </c>
      <c r="J481" s="65">
        <f>IF(OR($H481="",$I481="",$G481=""),"",MAX(1,(YEAR($I481)-YEAR($H481))*12+MONTH($I481)-MONTH($H481)+1))</f>
        <v/>
      </c>
      <c r="K481" s="68">
        <f>IF($J481="","",$G481/$J481)</f>
        <v/>
      </c>
      <c r="L481" s="68">
        <f>IF($J481="",0,$K481*MAX(0,MIN(YEAR($C$3)*12+MONTH($C$3),YEAR($I481)*12+MONTH($I481))-(YEAR($H481)*12+MONTH($H481))+1))</f>
        <v/>
      </c>
      <c r="M481" s="68">
        <f>IF($J481="",0,$K481*MAX(0,MIN(YEAR($C$3)*12+MONTH($C$3)-1,YEAR($I481)*12+MONTH($I481))-(YEAR($H481)*12+MONTH($H481))+1))</f>
        <v/>
      </c>
      <c r="N481" s="68">
        <f>IF(OR($J481="",$B481=""),0,IF(YEAR($B481)*12+MONTH($B481)&lt;=YEAR($C$3)*12+MONTH($C$3),$G481,0))</f>
        <v/>
      </c>
      <c r="O481" s="68">
        <f>IF(OR($J481="",$B481=""),0,IF(YEAR($B481)*12+MONTH($B481)&lt;=YEAR($C$3)*12+MONTH($C$3)-1,$G481,0))</f>
        <v/>
      </c>
      <c r="P481" s="68">
        <f>$M481-$O481</f>
        <v/>
      </c>
      <c r="Q481" s="68">
        <f>($L481-$M481)-($N481-$O481)</f>
        <v/>
      </c>
      <c r="R481" s="68">
        <f>$L481-$N481</f>
        <v/>
      </c>
      <c r="S481" s="67">
        <f>"WIP journal"</f>
        <v/>
      </c>
      <c r="T481" s="67">
        <f>IFERROR(INDEX(tbl_WIP[Revenue or Cost],$A481),"")</f>
        <v/>
      </c>
    </row>
    <row r="482">
      <c r="A482" s="65">
        <f>ROW()-407</f>
        <v/>
      </c>
      <c r="B482" s="66">
        <f>IFERROR(INDEX(tbl_WIP[Month],$A482),"")</f>
        <v/>
      </c>
      <c r="C482" s="67">
        <f>IFERROR(INDEX(tbl_WIP[Xero Invoice No],$A482),"")</f>
        <v/>
      </c>
      <c r="D482" s="67">
        <f>IFERROR(INDEX(tbl_WIP[Client],$A482),"")</f>
        <v/>
      </c>
      <c r="E482" s="67">
        <f>IFERROR(INDEX(tbl_WIP[Job Number],$A482),"")</f>
        <v/>
      </c>
      <c r="F482" s="67">
        <f>IFERROR(INDEX(tbl_WIP[Cost Centre],$A482),"")</f>
        <v/>
      </c>
      <c r="G482" s="68">
        <f>IFERROR(IF(INDEX(tbl_WIP[Defer Start],$A482)="","",IF(INDEX(tbl_WIP[Revenue or Cost],$A482)="Cost",-1,1)*INDEX(tbl_WIP[Amount],$A482)),"")</f>
        <v/>
      </c>
      <c r="H482" s="66">
        <f>IFERROR(INDEX(tbl_WIP[Defer Start],$A482),"")</f>
        <v/>
      </c>
      <c r="I482" s="66">
        <f>IFERROR(INDEX(tbl_WIP[Defer End],$A482),"")</f>
        <v/>
      </c>
      <c r="J482" s="65">
        <f>IF(OR($H482="",$I482="",$G482=""),"",MAX(1,(YEAR($I482)-YEAR($H482))*12+MONTH($I482)-MONTH($H482)+1))</f>
        <v/>
      </c>
      <c r="K482" s="68">
        <f>IF($J482="","",$G482/$J482)</f>
        <v/>
      </c>
      <c r="L482" s="68">
        <f>IF($J482="",0,$K482*MAX(0,MIN(YEAR($C$3)*12+MONTH($C$3),YEAR($I482)*12+MONTH($I482))-(YEAR($H482)*12+MONTH($H482))+1))</f>
        <v/>
      </c>
      <c r="M482" s="68">
        <f>IF($J482="",0,$K482*MAX(0,MIN(YEAR($C$3)*12+MONTH($C$3)-1,YEAR($I482)*12+MONTH($I482))-(YEAR($H482)*12+MONTH($H482))+1))</f>
        <v/>
      </c>
      <c r="N482" s="68">
        <f>IF(OR($J482="",$B482=""),0,IF(YEAR($B482)*12+MONTH($B482)&lt;=YEAR($C$3)*12+MONTH($C$3),$G482,0))</f>
        <v/>
      </c>
      <c r="O482" s="68">
        <f>IF(OR($J482="",$B482=""),0,IF(YEAR($B482)*12+MONTH($B482)&lt;=YEAR($C$3)*12+MONTH($C$3)-1,$G482,0))</f>
        <v/>
      </c>
      <c r="P482" s="68">
        <f>$M482-$O482</f>
        <v/>
      </c>
      <c r="Q482" s="68">
        <f>($L482-$M482)-($N482-$O482)</f>
        <v/>
      </c>
      <c r="R482" s="68">
        <f>$L482-$N482</f>
        <v/>
      </c>
      <c r="S482" s="67">
        <f>"WIP journal"</f>
        <v/>
      </c>
      <c r="T482" s="67">
        <f>IFERROR(INDEX(tbl_WIP[Revenue or Cost],$A482),"")</f>
        <v/>
      </c>
    </row>
    <row r="483">
      <c r="A483" s="65">
        <f>ROW()-407</f>
        <v/>
      </c>
      <c r="B483" s="66">
        <f>IFERROR(INDEX(tbl_WIP[Month],$A483),"")</f>
        <v/>
      </c>
      <c r="C483" s="67">
        <f>IFERROR(INDEX(tbl_WIP[Xero Invoice No],$A483),"")</f>
        <v/>
      </c>
      <c r="D483" s="67">
        <f>IFERROR(INDEX(tbl_WIP[Client],$A483),"")</f>
        <v/>
      </c>
      <c r="E483" s="67">
        <f>IFERROR(INDEX(tbl_WIP[Job Number],$A483),"")</f>
        <v/>
      </c>
      <c r="F483" s="67">
        <f>IFERROR(INDEX(tbl_WIP[Cost Centre],$A483),"")</f>
        <v/>
      </c>
      <c r="G483" s="68">
        <f>IFERROR(IF(INDEX(tbl_WIP[Defer Start],$A483)="","",IF(INDEX(tbl_WIP[Revenue or Cost],$A483)="Cost",-1,1)*INDEX(tbl_WIP[Amount],$A483)),"")</f>
        <v/>
      </c>
      <c r="H483" s="66">
        <f>IFERROR(INDEX(tbl_WIP[Defer Start],$A483),"")</f>
        <v/>
      </c>
      <c r="I483" s="66">
        <f>IFERROR(INDEX(tbl_WIP[Defer End],$A483),"")</f>
        <v/>
      </c>
      <c r="J483" s="65">
        <f>IF(OR($H483="",$I483="",$G483=""),"",MAX(1,(YEAR($I483)-YEAR($H483))*12+MONTH($I483)-MONTH($H483)+1))</f>
        <v/>
      </c>
      <c r="K483" s="68">
        <f>IF($J483="","",$G483/$J483)</f>
        <v/>
      </c>
      <c r="L483" s="68">
        <f>IF($J483="",0,$K483*MAX(0,MIN(YEAR($C$3)*12+MONTH($C$3),YEAR($I483)*12+MONTH($I483))-(YEAR($H483)*12+MONTH($H483))+1))</f>
        <v/>
      </c>
      <c r="M483" s="68">
        <f>IF($J483="",0,$K483*MAX(0,MIN(YEAR($C$3)*12+MONTH($C$3)-1,YEAR($I483)*12+MONTH($I483))-(YEAR($H483)*12+MONTH($H483))+1))</f>
        <v/>
      </c>
      <c r="N483" s="68">
        <f>IF(OR($J483="",$B483=""),0,IF(YEAR($B483)*12+MONTH($B483)&lt;=YEAR($C$3)*12+MONTH($C$3),$G483,0))</f>
        <v/>
      </c>
      <c r="O483" s="68">
        <f>IF(OR($J483="",$B483=""),0,IF(YEAR($B483)*12+MONTH($B483)&lt;=YEAR($C$3)*12+MONTH($C$3)-1,$G483,0))</f>
        <v/>
      </c>
      <c r="P483" s="68">
        <f>$M483-$O483</f>
        <v/>
      </c>
      <c r="Q483" s="68">
        <f>($L483-$M483)-($N483-$O483)</f>
        <v/>
      </c>
      <c r="R483" s="68">
        <f>$L483-$N483</f>
        <v/>
      </c>
      <c r="S483" s="67">
        <f>"WIP journal"</f>
        <v/>
      </c>
      <c r="T483" s="67">
        <f>IFERROR(INDEX(tbl_WIP[Revenue or Cost],$A483),"")</f>
        <v/>
      </c>
    </row>
    <row r="484">
      <c r="A484" s="65">
        <f>ROW()-407</f>
        <v/>
      </c>
      <c r="B484" s="66">
        <f>IFERROR(INDEX(tbl_WIP[Month],$A484),"")</f>
        <v/>
      </c>
      <c r="C484" s="67">
        <f>IFERROR(INDEX(tbl_WIP[Xero Invoice No],$A484),"")</f>
        <v/>
      </c>
      <c r="D484" s="67">
        <f>IFERROR(INDEX(tbl_WIP[Client],$A484),"")</f>
        <v/>
      </c>
      <c r="E484" s="67">
        <f>IFERROR(INDEX(tbl_WIP[Job Number],$A484),"")</f>
        <v/>
      </c>
      <c r="F484" s="67">
        <f>IFERROR(INDEX(tbl_WIP[Cost Centre],$A484),"")</f>
        <v/>
      </c>
      <c r="G484" s="68">
        <f>IFERROR(IF(INDEX(tbl_WIP[Defer Start],$A484)="","",IF(INDEX(tbl_WIP[Revenue or Cost],$A484)="Cost",-1,1)*INDEX(tbl_WIP[Amount],$A484)),"")</f>
        <v/>
      </c>
      <c r="H484" s="66">
        <f>IFERROR(INDEX(tbl_WIP[Defer Start],$A484),"")</f>
        <v/>
      </c>
      <c r="I484" s="66">
        <f>IFERROR(INDEX(tbl_WIP[Defer End],$A484),"")</f>
        <v/>
      </c>
      <c r="J484" s="65">
        <f>IF(OR($H484="",$I484="",$G484=""),"",MAX(1,(YEAR($I484)-YEAR($H484))*12+MONTH($I484)-MONTH($H484)+1))</f>
        <v/>
      </c>
      <c r="K484" s="68">
        <f>IF($J484="","",$G484/$J484)</f>
        <v/>
      </c>
      <c r="L484" s="68">
        <f>IF($J484="",0,$K484*MAX(0,MIN(YEAR($C$3)*12+MONTH($C$3),YEAR($I484)*12+MONTH($I484))-(YEAR($H484)*12+MONTH($H484))+1))</f>
        <v/>
      </c>
      <c r="M484" s="68">
        <f>IF($J484="",0,$K484*MAX(0,MIN(YEAR($C$3)*12+MONTH($C$3)-1,YEAR($I484)*12+MONTH($I484))-(YEAR($H484)*12+MONTH($H484))+1))</f>
        <v/>
      </c>
      <c r="N484" s="68">
        <f>IF(OR($J484="",$B484=""),0,IF(YEAR($B484)*12+MONTH($B484)&lt;=YEAR($C$3)*12+MONTH($C$3),$G484,0))</f>
        <v/>
      </c>
      <c r="O484" s="68">
        <f>IF(OR($J484="",$B484=""),0,IF(YEAR($B484)*12+MONTH($B484)&lt;=YEAR($C$3)*12+MONTH($C$3)-1,$G484,0))</f>
        <v/>
      </c>
      <c r="P484" s="68">
        <f>$M484-$O484</f>
        <v/>
      </c>
      <c r="Q484" s="68">
        <f>($L484-$M484)-($N484-$O484)</f>
        <v/>
      </c>
      <c r="R484" s="68">
        <f>$L484-$N484</f>
        <v/>
      </c>
      <c r="S484" s="67">
        <f>"WIP journal"</f>
        <v/>
      </c>
      <c r="T484" s="67">
        <f>IFERROR(INDEX(tbl_WIP[Revenue or Cost],$A484),"")</f>
        <v/>
      </c>
    </row>
    <row r="485">
      <c r="A485" s="65">
        <f>ROW()-407</f>
        <v/>
      </c>
      <c r="B485" s="66">
        <f>IFERROR(INDEX(tbl_WIP[Month],$A485),"")</f>
        <v/>
      </c>
      <c r="C485" s="67">
        <f>IFERROR(INDEX(tbl_WIP[Xero Invoice No],$A485),"")</f>
        <v/>
      </c>
      <c r="D485" s="67">
        <f>IFERROR(INDEX(tbl_WIP[Client],$A485),"")</f>
        <v/>
      </c>
      <c r="E485" s="67">
        <f>IFERROR(INDEX(tbl_WIP[Job Number],$A485),"")</f>
        <v/>
      </c>
      <c r="F485" s="67">
        <f>IFERROR(INDEX(tbl_WIP[Cost Centre],$A485),"")</f>
        <v/>
      </c>
      <c r="G485" s="68">
        <f>IFERROR(IF(INDEX(tbl_WIP[Defer Start],$A485)="","",IF(INDEX(tbl_WIP[Revenue or Cost],$A485)="Cost",-1,1)*INDEX(tbl_WIP[Amount],$A485)),"")</f>
        <v/>
      </c>
      <c r="H485" s="66">
        <f>IFERROR(INDEX(tbl_WIP[Defer Start],$A485),"")</f>
        <v/>
      </c>
      <c r="I485" s="66">
        <f>IFERROR(INDEX(tbl_WIP[Defer End],$A485),"")</f>
        <v/>
      </c>
      <c r="J485" s="65">
        <f>IF(OR($H485="",$I485="",$G485=""),"",MAX(1,(YEAR($I485)-YEAR($H485))*12+MONTH($I485)-MONTH($H485)+1))</f>
        <v/>
      </c>
      <c r="K485" s="68">
        <f>IF($J485="","",$G485/$J485)</f>
        <v/>
      </c>
      <c r="L485" s="68">
        <f>IF($J485="",0,$K485*MAX(0,MIN(YEAR($C$3)*12+MONTH($C$3),YEAR($I485)*12+MONTH($I485))-(YEAR($H485)*12+MONTH($H485))+1))</f>
        <v/>
      </c>
      <c r="M485" s="68">
        <f>IF($J485="",0,$K485*MAX(0,MIN(YEAR($C$3)*12+MONTH($C$3)-1,YEAR($I485)*12+MONTH($I485))-(YEAR($H485)*12+MONTH($H485))+1))</f>
        <v/>
      </c>
      <c r="N485" s="68">
        <f>IF(OR($J485="",$B485=""),0,IF(YEAR($B485)*12+MONTH($B485)&lt;=YEAR($C$3)*12+MONTH($C$3),$G485,0))</f>
        <v/>
      </c>
      <c r="O485" s="68">
        <f>IF(OR($J485="",$B485=""),0,IF(YEAR($B485)*12+MONTH($B485)&lt;=YEAR($C$3)*12+MONTH($C$3)-1,$G485,0))</f>
        <v/>
      </c>
      <c r="P485" s="68">
        <f>$M485-$O485</f>
        <v/>
      </c>
      <c r="Q485" s="68">
        <f>($L485-$M485)-($N485-$O485)</f>
        <v/>
      </c>
      <c r="R485" s="68">
        <f>$L485-$N485</f>
        <v/>
      </c>
      <c r="S485" s="67">
        <f>"WIP journal"</f>
        <v/>
      </c>
      <c r="T485" s="67">
        <f>IFERROR(INDEX(tbl_WIP[Revenue or Cost],$A485),"")</f>
        <v/>
      </c>
    </row>
    <row r="486">
      <c r="A486" s="65">
        <f>ROW()-407</f>
        <v/>
      </c>
      <c r="B486" s="66">
        <f>IFERROR(INDEX(tbl_WIP[Month],$A486),"")</f>
        <v/>
      </c>
      <c r="C486" s="67">
        <f>IFERROR(INDEX(tbl_WIP[Xero Invoice No],$A486),"")</f>
        <v/>
      </c>
      <c r="D486" s="67">
        <f>IFERROR(INDEX(tbl_WIP[Client],$A486),"")</f>
        <v/>
      </c>
      <c r="E486" s="67">
        <f>IFERROR(INDEX(tbl_WIP[Job Number],$A486),"")</f>
        <v/>
      </c>
      <c r="F486" s="67">
        <f>IFERROR(INDEX(tbl_WIP[Cost Centre],$A486),"")</f>
        <v/>
      </c>
      <c r="G486" s="68">
        <f>IFERROR(IF(INDEX(tbl_WIP[Defer Start],$A486)="","",IF(INDEX(tbl_WIP[Revenue or Cost],$A486)="Cost",-1,1)*INDEX(tbl_WIP[Amount],$A486)),"")</f>
        <v/>
      </c>
      <c r="H486" s="66">
        <f>IFERROR(INDEX(tbl_WIP[Defer Start],$A486),"")</f>
        <v/>
      </c>
      <c r="I486" s="66">
        <f>IFERROR(INDEX(tbl_WIP[Defer End],$A486),"")</f>
        <v/>
      </c>
      <c r="J486" s="65">
        <f>IF(OR($H486="",$I486="",$G486=""),"",MAX(1,(YEAR($I486)-YEAR($H486))*12+MONTH($I486)-MONTH($H486)+1))</f>
        <v/>
      </c>
      <c r="K486" s="68">
        <f>IF($J486="","",$G486/$J486)</f>
        <v/>
      </c>
      <c r="L486" s="68">
        <f>IF($J486="",0,$K486*MAX(0,MIN(YEAR($C$3)*12+MONTH($C$3),YEAR($I486)*12+MONTH($I486))-(YEAR($H486)*12+MONTH($H486))+1))</f>
        <v/>
      </c>
      <c r="M486" s="68">
        <f>IF($J486="",0,$K486*MAX(0,MIN(YEAR($C$3)*12+MONTH($C$3)-1,YEAR($I486)*12+MONTH($I486))-(YEAR($H486)*12+MONTH($H486))+1))</f>
        <v/>
      </c>
      <c r="N486" s="68">
        <f>IF(OR($J486="",$B486=""),0,IF(YEAR($B486)*12+MONTH($B486)&lt;=YEAR($C$3)*12+MONTH($C$3),$G486,0))</f>
        <v/>
      </c>
      <c r="O486" s="68">
        <f>IF(OR($J486="",$B486=""),0,IF(YEAR($B486)*12+MONTH($B486)&lt;=YEAR($C$3)*12+MONTH($C$3)-1,$G486,0))</f>
        <v/>
      </c>
      <c r="P486" s="68">
        <f>$M486-$O486</f>
        <v/>
      </c>
      <c r="Q486" s="68">
        <f>($L486-$M486)-($N486-$O486)</f>
        <v/>
      </c>
      <c r="R486" s="68">
        <f>$L486-$N486</f>
        <v/>
      </c>
      <c r="S486" s="67">
        <f>"WIP journal"</f>
        <v/>
      </c>
      <c r="T486" s="67">
        <f>IFERROR(INDEX(tbl_WIP[Revenue or Cost],$A486),"")</f>
        <v/>
      </c>
    </row>
    <row r="487">
      <c r="A487" s="65">
        <f>ROW()-407</f>
        <v/>
      </c>
      <c r="B487" s="66">
        <f>IFERROR(INDEX(tbl_WIP[Month],$A487),"")</f>
        <v/>
      </c>
      <c r="C487" s="67">
        <f>IFERROR(INDEX(tbl_WIP[Xero Invoice No],$A487),"")</f>
        <v/>
      </c>
      <c r="D487" s="67">
        <f>IFERROR(INDEX(tbl_WIP[Client],$A487),"")</f>
        <v/>
      </c>
      <c r="E487" s="67">
        <f>IFERROR(INDEX(tbl_WIP[Job Number],$A487),"")</f>
        <v/>
      </c>
      <c r="F487" s="67">
        <f>IFERROR(INDEX(tbl_WIP[Cost Centre],$A487),"")</f>
        <v/>
      </c>
      <c r="G487" s="68">
        <f>IFERROR(IF(INDEX(tbl_WIP[Defer Start],$A487)="","",IF(INDEX(tbl_WIP[Revenue or Cost],$A487)="Cost",-1,1)*INDEX(tbl_WIP[Amount],$A487)),"")</f>
        <v/>
      </c>
      <c r="H487" s="66">
        <f>IFERROR(INDEX(tbl_WIP[Defer Start],$A487),"")</f>
        <v/>
      </c>
      <c r="I487" s="66">
        <f>IFERROR(INDEX(tbl_WIP[Defer End],$A487),"")</f>
        <v/>
      </c>
      <c r="J487" s="65">
        <f>IF(OR($H487="",$I487="",$G487=""),"",MAX(1,(YEAR($I487)-YEAR($H487))*12+MONTH($I487)-MONTH($H487)+1))</f>
        <v/>
      </c>
      <c r="K487" s="68">
        <f>IF($J487="","",$G487/$J487)</f>
        <v/>
      </c>
      <c r="L487" s="68">
        <f>IF($J487="",0,$K487*MAX(0,MIN(YEAR($C$3)*12+MONTH($C$3),YEAR($I487)*12+MONTH($I487))-(YEAR($H487)*12+MONTH($H487))+1))</f>
        <v/>
      </c>
      <c r="M487" s="68">
        <f>IF($J487="",0,$K487*MAX(0,MIN(YEAR($C$3)*12+MONTH($C$3)-1,YEAR($I487)*12+MONTH($I487))-(YEAR($H487)*12+MONTH($H487))+1))</f>
        <v/>
      </c>
      <c r="N487" s="68">
        <f>IF(OR($J487="",$B487=""),0,IF(YEAR($B487)*12+MONTH($B487)&lt;=YEAR($C$3)*12+MONTH($C$3),$G487,0))</f>
        <v/>
      </c>
      <c r="O487" s="68">
        <f>IF(OR($J487="",$B487=""),0,IF(YEAR($B487)*12+MONTH($B487)&lt;=YEAR($C$3)*12+MONTH($C$3)-1,$G487,0))</f>
        <v/>
      </c>
      <c r="P487" s="68">
        <f>$M487-$O487</f>
        <v/>
      </c>
      <c r="Q487" s="68">
        <f>($L487-$M487)-($N487-$O487)</f>
        <v/>
      </c>
      <c r="R487" s="68">
        <f>$L487-$N487</f>
        <v/>
      </c>
      <c r="S487" s="67">
        <f>"WIP journal"</f>
        <v/>
      </c>
      <c r="T487" s="67">
        <f>IFERROR(INDEX(tbl_WIP[Revenue or Cost],$A487),"")</f>
        <v/>
      </c>
    </row>
    <row r="488">
      <c r="A488" s="65">
        <f>ROW()-407</f>
        <v/>
      </c>
      <c r="B488" s="66">
        <f>IFERROR(INDEX(tbl_WIP[Month],$A488),"")</f>
        <v/>
      </c>
      <c r="C488" s="67">
        <f>IFERROR(INDEX(tbl_WIP[Xero Invoice No],$A488),"")</f>
        <v/>
      </c>
      <c r="D488" s="67">
        <f>IFERROR(INDEX(tbl_WIP[Client],$A488),"")</f>
        <v/>
      </c>
      <c r="E488" s="67">
        <f>IFERROR(INDEX(tbl_WIP[Job Number],$A488),"")</f>
        <v/>
      </c>
      <c r="F488" s="67">
        <f>IFERROR(INDEX(tbl_WIP[Cost Centre],$A488),"")</f>
        <v/>
      </c>
      <c r="G488" s="68">
        <f>IFERROR(IF(INDEX(tbl_WIP[Defer Start],$A488)="","",IF(INDEX(tbl_WIP[Revenue or Cost],$A488)="Cost",-1,1)*INDEX(tbl_WIP[Amount],$A488)),"")</f>
        <v/>
      </c>
      <c r="H488" s="66">
        <f>IFERROR(INDEX(tbl_WIP[Defer Start],$A488),"")</f>
        <v/>
      </c>
      <c r="I488" s="66">
        <f>IFERROR(INDEX(tbl_WIP[Defer End],$A488),"")</f>
        <v/>
      </c>
      <c r="J488" s="65">
        <f>IF(OR($H488="",$I488="",$G488=""),"",MAX(1,(YEAR($I488)-YEAR($H488))*12+MONTH($I488)-MONTH($H488)+1))</f>
        <v/>
      </c>
      <c r="K488" s="68">
        <f>IF($J488="","",$G488/$J488)</f>
        <v/>
      </c>
      <c r="L488" s="68">
        <f>IF($J488="",0,$K488*MAX(0,MIN(YEAR($C$3)*12+MONTH($C$3),YEAR($I488)*12+MONTH($I488))-(YEAR($H488)*12+MONTH($H488))+1))</f>
        <v/>
      </c>
      <c r="M488" s="68">
        <f>IF($J488="",0,$K488*MAX(0,MIN(YEAR($C$3)*12+MONTH($C$3)-1,YEAR($I488)*12+MONTH($I488))-(YEAR($H488)*12+MONTH($H488))+1))</f>
        <v/>
      </c>
      <c r="N488" s="68">
        <f>IF(OR($J488="",$B488=""),0,IF(YEAR($B488)*12+MONTH($B488)&lt;=YEAR($C$3)*12+MONTH($C$3),$G488,0))</f>
        <v/>
      </c>
      <c r="O488" s="68">
        <f>IF(OR($J488="",$B488=""),0,IF(YEAR($B488)*12+MONTH($B488)&lt;=YEAR($C$3)*12+MONTH($C$3)-1,$G488,0))</f>
        <v/>
      </c>
      <c r="P488" s="68">
        <f>$M488-$O488</f>
        <v/>
      </c>
      <c r="Q488" s="68">
        <f>($L488-$M488)-($N488-$O488)</f>
        <v/>
      </c>
      <c r="R488" s="68">
        <f>$L488-$N488</f>
        <v/>
      </c>
      <c r="S488" s="67">
        <f>"WIP journal"</f>
        <v/>
      </c>
      <c r="T488" s="67">
        <f>IFERROR(INDEX(tbl_WIP[Revenue or Cost],$A488),"")</f>
        <v/>
      </c>
    </row>
    <row r="489">
      <c r="A489" s="65">
        <f>ROW()-407</f>
        <v/>
      </c>
      <c r="B489" s="66">
        <f>IFERROR(INDEX(tbl_WIP[Month],$A489),"")</f>
        <v/>
      </c>
      <c r="C489" s="67">
        <f>IFERROR(INDEX(tbl_WIP[Xero Invoice No],$A489),"")</f>
        <v/>
      </c>
      <c r="D489" s="67">
        <f>IFERROR(INDEX(tbl_WIP[Client],$A489),"")</f>
        <v/>
      </c>
      <c r="E489" s="67">
        <f>IFERROR(INDEX(tbl_WIP[Job Number],$A489),"")</f>
        <v/>
      </c>
      <c r="F489" s="67">
        <f>IFERROR(INDEX(tbl_WIP[Cost Centre],$A489),"")</f>
        <v/>
      </c>
      <c r="G489" s="68">
        <f>IFERROR(IF(INDEX(tbl_WIP[Defer Start],$A489)="","",IF(INDEX(tbl_WIP[Revenue or Cost],$A489)="Cost",-1,1)*INDEX(tbl_WIP[Amount],$A489)),"")</f>
        <v/>
      </c>
      <c r="H489" s="66">
        <f>IFERROR(INDEX(tbl_WIP[Defer Start],$A489),"")</f>
        <v/>
      </c>
      <c r="I489" s="66">
        <f>IFERROR(INDEX(tbl_WIP[Defer End],$A489),"")</f>
        <v/>
      </c>
      <c r="J489" s="65">
        <f>IF(OR($H489="",$I489="",$G489=""),"",MAX(1,(YEAR($I489)-YEAR($H489))*12+MONTH($I489)-MONTH($H489)+1))</f>
        <v/>
      </c>
      <c r="K489" s="68">
        <f>IF($J489="","",$G489/$J489)</f>
        <v/>
      </c>
      <c r="L489" s="68">
        <f>IF($J489="",0,$K489*MAX(0,MIN(YEAR($C$3)*12+MONTH($C$3),YEAR($I489)*12+MONTH($I489))-(YEAR($H489)*12+MONTH($H489))+1))</f>
        <v/>
      </c>
      <c r="M489" s="68">
        <f>IF($J489="",0,$K489*MAX(0,MIN(YEAR($C$3)*12+MONTH($C$3)-1,YEAR($I489)*12+MONTH($I489))-(YEAR($H489)*12+MONTH($H489))+1))</f>
        <v/>
      </c>
      <c r="N489" s="68">
        <f>IF(OR($J489="",$B489=""),0,IF(YEAR($B489)*12+MONTH($B489)&lt;=YEAR($C$3)*12+MONTH($C$3),$G489,0))</f>
        <v/>
      </c>
      <c r="O489" s="68">
        <f>IF(OR($J489="",$B489=""),0,IF(YEAR($B489)*12+MONTH($B489)&lt;=YEAR($C$3)*12+MONTH($C$3)-1,$G489,0))</f>
        <v/>
      </c>
      <c r="P489" s="68">
        <f>$M489-$O489</f>
        <v/>
      </c>
      <c r="Q489" s="68">
        <f>($L489-$M489)-($N489-$O489)</f>
        <v/>
      </c>
      <c r="R489" s="68">
        <f>$L489-$N489</f>
        <v/>
      </c>
      <c r="S489" s="67">
        <f>"WIP journal"</f>
        <v/>
      </c>
      <c r="T489" s="67">
        <f>IFERROR(INDEX(tbl_WIP[Revenue or Cost],$A489),"")</f>
        <v/>
      </c>
    </row>
    <row r="490">
      <c r="A490" s="65">
        <f>ROW()-407</f>
        <v/>
      </c>
      <c r="B490" s="66">
        <f>IFERROR(INDEX(tbl_WIP[Month],$A490),"")</f>
        <v/>
      </c>
      <c r="C490" s="67">
        <f>IFERROR(INDEX(tbl_WIP[Xero Invoice No],$A490),"")</f>
        <v/>
      </c>
      <c r="D490" s="67">
        <f>IFERROR(INDEX(tbl_WIP[Client],$A490),"")</f>
        <v/>
      </c>
      <c r="E490" s="67">
        <f>IFERROR(INDEX(tbl_WIP[Job Number],$A490),"")</f>
        <v/>
      </c>
      <c r="F490" s="67">
        <f>IFERROR(INDEX(tbl_WIP[Cost Centre],$A490),"")</f>
        <v/>
      </c>
      <c r="G490" s="68">
        <f>IFERROR(IF(INDEX(tbl_WIP[Defer Start],$A490)="","",IF(INDEX(tbl_WIP[Revenue or Cost],$A490)="Cost",-1,1)*INDEX(tbl_WIP[Amount],$A490)),"")</f>
        <v/>
      </c>
      <c r="H490" s="66">
        <f>IFERROR(INDEX(tbl_WIP[Defer Start],$A490),"")</f>
        <v/>
      </c>
      <c r="I490" s="66">
        <f>IFERROR(INDEX(tbl_WIP[Defer End],$A490),"")</f>
        <v/>
      </c>
      <c r="J490" s="65">
        <f>IF(OR($H490="",$I490="",$G490=""),"",MAX(1,(YEAR($I490)-YEAR($H490))*12+MONTH($I490)-MONTH($H490)+1))</f>
        <v/>
      </c>
      <c r="K490" s="68">
        <f>IF($J490="","",$G490/$J490)</f>
        <v/>
      </c>
      <c r="L490" s="68">
        <f>IF($J490="",0,$K490*MAX(0,MIN(YEAR($C$3)*12+MONTH($C$3),YEAR($I490)*12+MONTH($I490))-(YEAR($H490)*12+MONTH($H490))+1))</f>
        <v/>
      </c>
      <c r="M490" s="68">
        <f>IF($J490="",0,$K490*MAX(0,MIN(YEAR($C$3)*12+MONTH($C$3)-1,YEAR($I490)*12+MONTH($I490))-(YEAR($H490)*12+MONTH($H490))+1))</f>
        <v/>
      </c>
      <c r="N490" s="68">
        <f>IF(OR($J490="",$B490=""),0,IF(YEAR($B490)*12+MONTH($B490)&lt;=YEAR($C$3)*12+MONTH($C$3),$G490,0))</f>
        <v/>
      </c>
      <c r="O490" s="68">
        <f>IF(OR($J490="",$B490=""),0,IF(YEAR($B490)*12+MONTH($B490)&lt;=YEAR($C$3)*12+MONTH($C$3)-1,$G490,0))</f>
        <v/>
      </c>
      <c r="P490" s="68">
        <f>$M490-$O490</f>
        <v/>
      </c>
      <c r="Q490" s="68">
        <f>($L490-$M490)-($N490-$O490)</f>
        <v/>
      </c>
      <c r="R490" s="68">
        <f>$L490-$N490</f>
        <v/>
      </c>
      <c r="S490" s="67">
        <f>"WIP journal"</f>
        <v/>
      </c>
      <c r="T490" s="67">
        <f>IFERROR(INDEX(tbl_WIP[Revenue or Cost],$A490),"")</f>
        <v/>
      </c>
    </row>
    <row r="491">
      <c r="A491" s="65">
        <f>ROW()-407</f>
        <v/>
      </c>
      <c r="B491" s="66">
        <f>IFERROR(INDEX(tbl_WIP[Month],$A491),"")</f>
        <v/>
      </c>
      <c r="C491" s="67">
        <f>IFERROR(INDEX(tbl_WIP[Xero Invoice No],$A491),"")</f>
        <v/>
      </c>
      <c r="D491" s="67">
        <f>IFERROR(INDEX(tbl_WIP[Client],$A491),"")</f>
        <v/>
      </c>
      <c r="E491" s="67">
        <f>IFERROR(INDEX(tbl_WIP[Job Number],$A491),"")</f>
        <v/>
      </c>
      <c r="F491" s="67">
        <f>IFERROR(INDEX(tbl_WIP[Cost Centre],$A491),"")</f>
        <v/>
      </c>
      <c r="G491" s="68">
        <f>IFERROR(IF(INDEX(tbl_WIP[Defer Start],$A491)="","",IF(INDEX(tbl_WIP[Revenue or Cost],$A491)="Cost",-1,1)*INDEX(tbl_WIP[Amount],$A491)),"")</f>
        <v/>
      </c>
      <c r="H491" s="66">
        <f>IFERROR(INDEX(tbl_WIP[Defer Start],$A491),"")</f>
        <v/>
      </c>
      <c r="I491" s="66">
        <f>IFERROR(INDEX(tbl_WIP[Defer End],$A491),"")</f>
        <v/>
      </c>
      <c r="J491" s="65">
        <f>IF(OR($H491="",$I491="",$G491=""),"",MAX(1,(YEAR($I491)-YEAR($H491))*12+MONTH($I491)-MONTH($H491)+1))</f>
        <v/>
      </c>
      <c r="K491" s="68">
        <f>IF($J491="","",$G491/$J491)</f>
        <v/>
      </c>
      <c r="L491" s="68">
        <f>IF($J491="",0,$K491*MAX(0,MIN(YEAR($C$3)*12+MONTH($C$3),YEAR($I491)*12+MONTH($I491))-(YEAR($H491)*12+MONTH($H491))+1))</f>
        <v/>
      </c>
      <c r="M491" s="68">
        <f>IF($J491="",0,$K491*MAX(0,MIN(YEAR($C$3)*12+MONTH($C$3)-1,YEAR($I491)*12+MONTH($I491))-(YEAR($H491)*12+MONTH($H491))+1))</f>
        <v/>
      </c>
      <c r="N491" s="68">
        <f>IF(OR($J491="",$B491=""),0,IF(YEAR($B491)*12+MONTH($B491)&lt;=YEAR($C$3)*12+MONTH($C$3),$G491,0))</f>
        <v/>
      </c>
      <c r="O491" s="68">
        <f>IF(OR($J491="",$B491=""),0,IF(YEAR($B491)*12+MONTH($B491)&lt;=YEAR($C$3)*12+MONTH($C$3)-1,$G491,0))</f>
        <v/>
      </c>
      <c r="P491" s="68">
        <f>$M491-$O491</f>
        <v/>
      </c>
      <c r="Q491" s="68">
        <f>($L491-$M491)-($N491-$O491)</f>
        <v/>
      </c>
      <c r="R491" s="68">
        <f>$L491-$N491</f>
        <v/>
      </c>
      <c r="S491" s="67">
        <f>"WIP journal"</f>
        <v/>
      </c>
      <c r="T491" s="67">
        <f>IFERROR(INDEX(tbl_WIP[Revenue or Cost],$A491),"")</f>
        <v/>
      </c>
    </row>
    <row r="492">
      <c r="A492" s="65">
        <f>ROW()-407</f>
        <v/>
      </c>
      <c r="B492" s="66">
        <f>IFERROR(INDEX(tbl_WIP[Month],$A492),"")</f>
        <v/>
      </c>
      <c r="C492" s="67">
        <f>IFERROR(INDEX(tbl_WIP[Xero Invoice No],$A492),"")</f>
        <v/>
      </c>
      <c r="D492" s="67">
        <f>IFERROR(INDEX(tbl_WIP[Client],$A492),"")</f>
        <v/>
      </c>
      <c r="E492" s="67">
        <f>IFERROR(INDEX(tbl_WIP[Job Number],$A492),"")</f>
        <v/>
      </c>
      <c r="F492" s="67">
        <f>IFERROR(INDEX(tbl_WIP[Cost Centre],$A492),"")</f>
        <v/>
      </c>
      <c r="G492" s="68">
        <f>IFERROR(IF(INDEX(tbl_WIP[Defer Start],$A492)="","",IF(INDEX(tbl_WIP[Revenue or Cost],$A492)="Cost",-1,1)*INDEX(tbl_WIP[Amount],$A492)),"")</f>
        <v/>
      </c>
      <c r="H492" s="66">
        <f>IFERROR(INDEX(tbl_WIP[Defer Start],$A492),"")</f>
        <v/>
      </c>
      <c r="I492" s="66">
        <f>IFERROR(INDEX(tbl_WIP[Defer End],$A492),"")</f>
        <v/>
      </c>
      <c r="J492" s="65">
        <f>IF(OR($H492="",$I492="",$G492=""),"",MAX(1,(YEAR($I492)-YEAR($H492))*12+MONTH($I492)-MONTH($H492)+1))</f>
        <v/>
      </c>
      <c r="K492" s="68">
        <f>IF($J492="","",$G492/$J492)</f>
        <v/>
      </c>
      <c r="L492" s="68">
        <f>IF($J492="",0,$K492*MAX(0,MIN(YEAR($C$3)*12+MONTH($C$3),YEAR($I492)*12+MONTH($I492))-(YEAR($H492)*12+MONTH($H492))+1))</f>
        <v/>
      </c>
      <c r="M492" s="68">
        <f>IF($J492="",0,$K492*MAX(0,MIN(YEAR($C$3)*12+MONTH($C$3)-1,YEAR($I492)*12+MONTH($I492))-(YEAR($H492)*12+MONTH($H492))+1))</f>
        <v/>
      </c>
      <c r="N492" s="68">
        <f>IF(OR($J492="",$B492=""),0,IF(YEAR($B492)*12+MONTH($B492)&lt;=YEAR($C$3)*12+MONTH($C$3),$G492,0))</f>
        <v/>
      </c>
      <c r="O492" s="68">
        <f>IF(OR($J492="",$B492=""),0,IF(YEAR($B492)*12+MONTH($B492)&lt;=YEAR($C$3)*12+MONTH($C$3)-1,$G492,0))</f>
        <v/>
      </c>
      <c r="P492" s="68">
        <f>$M492-$O492</f>
        <v/>
      </c>
      <c r="Q492" s="68">
        <f>($L492-$M492)-($N492-$O492)</f>
        <v/>
      </c>
      <c r="R492" s="68">
        <f>$L492-$N492</f>
        <v/>
      </c>
      <c r="S492" s="67">
        <f>"WIP journal"</f>
        <v/>
      </c>
      <c r="T492" s="67">
        <f>IFERROR(INDEX(tbl_WIP[Revenue or Cost],$A492),"")</f>
        <v/>
      </c>
    </row>
    <row r="493">
      <c r="A493" s="65">
        <f>ROW()-407</f>
        <v/>
      </c>
      <c r="B493" s="66">
        <f>IFERROR(INDEX(tbl_WIP[Month],$A493),"")</f>
        <v/>
      </c>
      <c r="C493" s="67">
        <f>IFERROR(INDEX(tbl_WIP[Xero Invoice No],$A493),"")</f>
        <v/>
      </c>
      <c r="D493" s="67">
        <f>IFERROR(INDEX(tbl_WIP[Client],$A493),"")</f>
        <v/>
      </c>
      <c r="E493" s="67">
        <f>IFERROR(INDEX(tbl_WIP[Job Number],$A493),"")</f>
        <v/>
      </c>
      <c r="F493" s="67">
        <f>IFERROR(INDEX(tbl_WIP[Cost Centre],$A493),"")</f>
        <v/>
      </c>
      <c r="G493" s="68">
        <f>IFERROR(IF(INDEX(tbl_WIP[Defer Start],$A493)="","",IF(INDEX(tbl_WIP[Revenue or Cost],$A493)="Cost",-1,1)*INDEX(tbl_WIP[Amount],$A493)),"")</f>
        <v/>
      </c>
      <c r="H493" s="66">
        <f>IFERROR(INDEX(tbl_WIP[Defer Start],$A493),"")</f>
        <v/>
      </c>
      <c r="I493" s="66">
        <f>IFERROR(INDEX(tbl_WIP[Defer End],$A493),"")</f>
        <v/>
      </c>
      <c r="J493" s="65">
        <f>IF(OR($H493="",$I493="",$G493=""),"",MAX(1,(YEAR($I493)-YEAR($H493))*12+MONTH($I493)-MONTH($H493)+1))</f>
        <v/>
      </c>
      <c r="K493" s="68">
        <f>IF($J493="","",$G493/$J493)</f>
        <v/>
      </c>
      <c r="L493" s="68">
        <f>IF($J493="",0,$K493*MAX(0,MIN(YEAR($C$3)*12+MONTH($C$3),YEAR($I493)*12+MONTH($I493))-(YEAR($H493)*12+MONTH($H493))+1))</f>
        <v/>
      </c>
      <c r="M493" s="68">
        <f>IF($J493="",0,$K493*MAX(0,MIN(YEAR($C$3)*12+MONTH($C$3)-1,YEAR($I493)*12+MONTH($I493))-(YEAR($H493)*12+MONTH($H493))+1))</f>
        <v/>
      </c>
      <c r="N493" s="68">
        <f>IF(OR($J493="",$B493=""),0,IF(YEAR($B493)*12+MONTH($B493)&lt;=YEAR($C$3)*12+MONTH($C$3),$G493,0))</f>
        <v/>
      </c>
      <c r="O493" s="68">
        <f>IF(OR($J493="",$B493=""),0,IF(YEAR($B493)*12+MONTH($B493)&lt;=YEAR($C$3)*12+MONTH($C$3)-1,$G493,0))</f>
        <v/>
      </c>
      <c r="P493" s="68">
        <f>$M493-$O493</f>
        <v/>
      </c>
      <c r="Q493" s="68">
        <f>($L493-$M493)-($N493-$O493)</f>
        <v/>
      </c>
      <c r="R493" s="68">
        <f>$L493-$N493</f>
        <v/>
      </c>
      <c r="S493" s="67">
        <f>"WIP journal"</f>
        <v/>
      </c>
      <c r="T493" s="67">
        <f>IFERROR(INDEX(tbl_WIP[Revenue or Cost],$A493),"")</f>
        <v/>
      </c>
    </row>
    <row r="494">
      <c r="A494" s="65">
        <f>ROW()-407</f>
        <v/>
      </c>
      <c r="B494" s="66">
        <f>IFERROR(INDEX(tbl_WIP[Month],$A494),"")</f>
        <v/>
      </c>
      <c r="C494" s="67">
        <f>IFERROR(INDEX(tbl_WIP[Xero Invoice No],$A494),"")</f>
        <v/>
      </c>
      <c r="D494" s="67">
        <f>IFERROR(INDEX(tbl_WIP[Client],$A494),"")</f>
        <v/>
      </c>
      <c r="E494" s="67">
        <f>IFERROR(INDEX(tbl_WIP[Job Number],$A494),"")</f>
        <v/>
      </c>
      <c r="F494" s="67">
        <f>IFERROR(INDEX(tbl_WIP[Cost Centre],$A494),"")</f>
        <v/>
      </c>
      <c r="G494" s="68">
        <f>IFERROR(IF(INDEX(tbl_WIP[Defer Start],$A494)="","",IF(INDEX(tbl_WIP[Revenue or Cost],$A494)="Cost",-1,1)*INDEX(tbl_WIP[Amount],$A494)),"")</f>
        <v/>
      </c>
      <c r="H494" s="66">
        <f>IFERROR(INDEX(tbl_WIP[Defer Start],$A494),"")</f>
        <v/>
      </c>
      <c r="I494" s="66">
        <f>IFERROR(INDEX(tbl_WIP[Defer End],$A494),"")</f>
        <v/>
      </c>
      <c r="J494" s="65">
        <f>IF(OR($H494="",$I494="",$G494=""),"",MAX(1,(YEAR($I494)-YEAR($H494))*12+MONTH($I494)-MONTH($H494)+1))</f>
        <v/>
      </c>
      <c r="K494" s="68">
        <f>IF($J494="","",$G494/$J494)</f>
        <v/>
      </c>
      <c r="L494" s="68">
        <f>IF($J494="",0,$K494*MAX(0,MIN(YEAR($C$3)*12+MONTH($C$3),YEAR($I494)*12+MONTH($I494))-(YEAR($H494)*12+MONTH($H494))+1))</f>
        <v/>
      </c>
      <c r="M494" s="68">
        <f>IF($J494="",0,$K494*MAX(0,MIN(YEAR($C$3)*12+MONTH($C$3)-1,YEAR($I494)*12+MONTH($I494))-(YEAR($H494)*12+MONTH($H494))+1))</f>
        <v/>
      </c>
      <c r="N494" s="68">
        <f>IF(OR($J494="",$B494=""),0,IF(YEAR($B494)*12+MONTH($B494)&lt;=YEAR($C$3)*12+MONTH($C$3),$G494,0))</f>
        <v/>
      </c>
      <c r="O494" s="68">
        <f>IF(OR($J494="",$B494=""),0,IF(YEAR($B494)*12+MONTH($B494)&lt;=YEAR($C$3)*12+MONTH($C$3)-1,$G494,0))</f>
        <v/>
      </c>
      <c r="P494" s="68">
        <f>$M494-$O494</f>
        <v/>
      </c>
      <c r="Q494" s="68">
        <f>($L494-$M494)-($N494-$O494)</f>
        <v/>
      </c>
      <c r="R494" s="68">
        <f>$L494-$N494</f>
        <v/>
      </c>
      <c r="S494" s="67">
        <f>"WIP journal"</f>
        <v/>
      </c>
      <c r="T494" s="67">
        <f>IFERROR(INDEX(tbl_WIP[Revenue or Cost],$A494),"")</f>
        <v/>
      </c>
    </row>
    <row r="495">
      <c r="A495" s="65">
        <f>ROW()-407</f>
        <v/>
      </c>
      <c r="B495" s="66">
        <f>IFERROR(INDEX(tbl_WIP[Month],$A495),"")</f>
        <v/>
      </c>
      <c r="C495" s="67">
        <f>IFERROR(INDEX(tbl_WIP[Xero Invoice No],$A495),"")</f>
        <v/>
      </c>
      <c r="D495" s="67">
        <f>IFERROR(INDEX(tbl_WIP[Client],$A495),"")</f>
        <v/>
      </c>
      <c r="E495" s="67">
        <f>IFERROR(INDEX(tbl_WIP[Job Number],$A495),"")</f>
        <v/>
      </c>
      <c r="F495" s="67">
        <f>IFERROR(INDEX(tbl_WIP[Cost Centre],$A495),"")</f>
        <v/>
      </c>
      <c r="G495" s="68">
        <f>IFERROR(IF(INDEX(tbl_WIP[Defer Start],$A495)="","",IF(INDEX(tbl_WIP[Revenue or Cost],$A495)="Cost",-1,1)*INDEX(tbl_WIP[Amount],$A495)),"")</f>
        <v/>
      </c>
      <c r="H495" s="66">
        <f>IFERROR(INDEX(tbl_WIP[Defer Start],$A495),"")</f>
        <v/>
      </c>
      <c r="I495" s="66">
        <f>IFERROR(INDEX(tbl_WIP[Defer End],$A495),"")</f>
        <v/>
      </c>
      <c r="J495" s="65">
        <f>IF(OR($H495="",$I495="",$G495=""),"",MAX(1,(YEAR($I495)-YEAR($H495))*12+MONTH($I495)-MONTH($H495)+1))</f>
        <v/>
      </c>
      <c r="K495" s="68">
        <f>IF($J495="","",$G495/$J495)</f>
        <v/>
      </c>
      <c r="L495" s="68">
        <f>IF($J495="",0,$K495*MAX(0,MIN(YEAR($C$3)*12+MONTH($C$3),YEAR($I495)*12+MONTH($I495))-(YEAR($H495)*12+MONTH($H495))+1))</f>
        <v/>
      </c>
      <c r="M495" s="68">
        <f>IF($J495="",0,$K495*MAX(0,MIN(YEAR($C$3)*12+MONTH($C$3)-1,YEAR($I495)*12+MONTH($I495))-(YEAR($H495)*12+MONTH($H495))+1))</f>
        <v/>
      </c>
      <c r="N495" s="68">
        <f>IF(OR($J495="",$B495=""),0,IF(YEAR($B495)*12+MONTH($B495)&lt;=YEAR($C$3)*12+MONTH($C$3),$G495,0))</f>
        <v/>
      </c>
      <c r="O495" s="68">
        <f>IF(OR($J495="",$B495=""),0,IF(YEAR($B495)*12+MONTH($B495)&lt;=YEAR($C$3)*12+MONTH($C$3)-1,$G495,0))</f>
        <v/>
      </c>
      <c r="P495" s="68">
        <f>$M495-$O495</f>
        <v/>
      </c>
      <c r="Q495" s="68">
        <f>($L495-$M495)-($N495-$O495)</f>
        <v/>
      </c>
      <c r="R495" s="68">
        <f>$L495-$N495</f>
        <v/>
      </c>
      <c r="S495" s="67">
        <f>"WIP journal"</f>
        <v/>
      </c>
      <c r="T495" s="67">
        <f>IFERROR(INDEX(tbl_WIP[Revenue or Cost],$A495),"")</f>
        <v/>
      </c>
    </row>
    <row r="496">
      <c r="A496" s="65">
        <f>ROW()-407</f>
        <v/>
      </c>
      <c r="B496" s="66">
        <f>IFERROR(INDEX(tbl_WIP[Month],$A496),"")</f>
        <v/>
      </c>
      <c r="C496" s="67">
        <f>IFERROR(INDEX(tbl_WIP[Xero Invoice No],$A496),"")</f>
        <v/>
      </c>
      <c r="D496" s="67">
        <f>IFERROR(INDEX(tbl_WIP[Client],$A496),"")</f>
        <v/>
      </c>
      <c r="E496" s="67">
        <f>IFERROR(INDEX(tbl_WIP[Job Number],$A496),"")</f>
        <v/>
      </c>
      <c r="F496" s="67">
        <f>IFERROR(INDEX(tbl_WIP[Cost Centre],$A496),"")</f>
        <v/>
      </c>
      <c r="G496" s="68">
        <f>IFERROR(IF(INDEX(tbl_WIP[Defer Start],$A496)="","",IF(INDEX(tbl_WIP[Revenue or Cost],$A496)="Cost",-1,1)*INDEX(tbl_WIP[Amount],$A496)),"")</f>
        <v/>
      </c>
      <c r="H496" s="66">
        <f>IFERROR(INDEX(tbl_WIP[Defer Start],$A496),"")</f>
        <v/>
      </c>
      <c r="I496" s="66">
        <f>IFERROR(INDEX(tbl_WIP[Defer End],$A496),"")</f>
        <v/>
      </c>
      <c r="J496" s="65">
        <f>IF(OR($H496="",$I496="",$G496=""),"",MAX(1,(YEAR($I496)-YEAR($H496))*12+MONTH($I496)-MONTH($H496)+1))</f>
        <v/>
      </c>
      <c r="K496" s="68">
        <f>IF($J496="","",$G496/$J496)</f>
        <v/>
      </c>
      <c r="L496" s="68">
        <f>IF($J496="",0,$K496*MAX(0,MIN(YEAR($C$3)*12+MONTH($C$3),YEAR($I496)*12+MONTH($I496))-(YEAR($H496)*12+MONTH($H496))+1))</f>
        <v/>
      </c>
      <c r="M496" s="68">
        <f>IF($J496="",0,$K496*MAX(0,MIN(YEAR($C$3)*12+MONTH($C$3)-1,YEAR($I496)*12+MONTH($I496))-(YEAR($H496)*12+MONTH($H496))+1))</f>
        <v/>
      </c>
      <c r="N496" s="68">
        <f>IF(OR($J496="",$B496=""),0,IF(YEAR($B496)*12+MONTH($B496)&lt;=YEAR($C$3)*12+MONTH($C$3),$G496,0))</f>
        <v/>
      </c>
      <c r="O496" s="68">
        <f>IF(OR($J496="",$B496=""),0,IF(YEAR($B496)*12+MONTH($B496)&lt;=YEAR($C$3)*12+MONTH($C$3)-1,$G496,0))</f>
        <v/>
      </c>
      <c r="P496" s="68">
        <f>$M496-$O496</f>
        <v/>
      </c>
      <c r="Q496" s="68">
        <f>($L496-$M496)-($N496-$O496)</f>
        <v/>
      </c>
      <c r="R496" s="68">
        <f>$L496-$N496</f>
        <v/>
      </c>
      <c r="S496" s="67">
        <f>"WIP journal"</f>
        <v/>
      </c>
      <c r="T496" s="67">
        <f>IFERROR(INDEX(tbl_WIP[Revenue or Cost],$A496),"")</f>
        <v/>
      </c>
    </row>
    <row r="497">
      <c r="A497" s="65">
        <f>ROW()-407</f>
        <v/>
      </c>
      <c r="B497" s="66">
        <f>IFERROR(INDEX(tbl_WIP[Month],$A497),"")</f>
        <v/>
      </c>
      <c r="C497" s="67">
        <f>IFERROR(INDEX(tbl_WIP[Xero Invoice No],$A497),"")</f>
        <v/>
      </c>
      <c r="D497" s="67">
        <f>IFERROR(INDEX(tbl_WIP[Client],$A497),"")</f>
        <v/>
      </c>
      <c r="E497" s="67">
        <f>IFERROR(INDEX(tbl_WIP[Job Number],$A497),"")</f>
        <v/>
      </c>
      <c r="F497" s="67">
        <f>IFERROR(INDEX(tbl_WIP[Cost Centre],$A497),"")</f>
        <v/>
      </c>
      <c r="G497" s="68">
        <f>IFERROR(IF(INDEX(tbl_WIP[Defer Start],$A497)="","",IF(INDEX(tbl_WIP[Revenue or Cost],$A497)="Cost",-1,1)*INDEX(tbl_WIP[Amount],$A497)),"")</f>
        <v/>
      </c>
      <c r="H497" s="66">
        <f>IFERROR(INDEX(tbl_WIP[Defer Start],$A497),"")</f>
        <v/>
      </c>
      <c r="I497" s="66">
        <f>IFERROR(INDEX(tbl_WIP[Defer End],$A497),"")</f>
        <v/>
      </c>
      <c r="J497" s="65">
        <f>IF(OR($H497="",$I497="",$G497=""),"",MAX(1,(YEAR($I497)-YEAR($H497))*12+MONTH($I497)-MONTH($H497)+1))</f>
        <v/>
      </c>
      <c r="K497" s="68">
        <f>IF($J497="","",$G497/$J497)</f>
        <v/>
      </c>
      <c r="L497" s="68">
        <f>IF($J497="",0,$K497*MAX(0,MIN(YEAR($C$3)*12+MONTH($C$3),YEAR($I497)*12+MONTH($I497))-(YEAR($H497)*12+MONTH($H497))+1))</f>
        <v/>
      </c>
      <c r="M497" s="68">
        <f>IF($J497="",0,$K497*MAX(0,MIN(YEAR($C$3)*12+MONTH($C$3)-1,YEAR($I497)*12+MONTH($I497))-(YEAR($H497)*12+MONTH($H497))+1))</f>
        <v/>
      </c>
      <c r="N497" s="68">
        <f>IF(OR($J497="",$B497=""),0,IF(YEAR($B497)*12+MONTH($B497)&lt;=YEAR($C$3)*12+MONTH($C$3),$G497,0))</f>
        <v/>
      </c>
      <c r="O497" s="68">
        <f>IF(OR($J497="",$B497=""),0,IF(YEAR($B497)*12+MONTH($B497)&lt;=YEAR($C$3)*12+MONTH($C$3)-1,$G497,0))</f>
        <v/>
      </c>
      <c r="P497" s="68">
        <f>$M497-$O497</f>
        <v/>
      </c>
      <c r="Q497" s="68">
        <f>($L497-$M497)-($N497-$O497)</f>
        <v/>
      </c>
      <c r="R497" s="68">
        <f>$L497-$N497</f>
        <v/>
      </c>
      <c r="S497" s="67">
        <f>"WIP journal"</f>
        <v/>
      </c>
      <c r="T497" s="67">
        <f>IFERROR(INDEX(tbl_WIP[Revenue or Cost],$A497),"")</f>
        <v/>
      </c>
    </row>
    <row r="498">
      <c r="A498" s="65">
        <f>ROW()-407</f>
        <v/>
      </c>
      <c r="B498" s="66">
        <f>IFERROR(INDEX(tbl_WIP[Month],$A498),"")</f>
        <v/>
      </c>
      <c r="C498" s="67">
        <f>IFERROR(INDEX(tbl_WIP[Xero Invoice No],$A498),"")</f>
        <v/>
      </c>
      <c r="D498" s="67">
        <f>IFERROR(INDEX(tbl_WIP[Client],$A498),"")</f>
        <v/>
      </c>
      <c r="E498" s="67">
        <f>IFERROR(INDEX(tbl_WIP[Job Number],$A498),"")</f>
        <v/>
      </c>
      <c r="F498" s="67">
        <f>IFERROR(INDEX(tbl_WIP[Cost Centre],$A498),"")</f>
        <v/>
      </c>
      <c r="G498" s="68">
        <f>IFERROR(IF(INDEX(tbl_WIP[Defer Start],$A498)="","",IF(INDEX(tbl_WIP[Revenue or Cost],$A498)="Cost",-1,1)*INDEX(tbl_WIP[Amount],$A498)),"")</f>
        <v/>
      </c>
      <c r="H498" s="66">
        <f>IFERROR(INDEX(tbl_WIP[Defer Start],$A498),"")</f>
        <v/>
      </c>
      <c r="I498" s="66">
        <f>IFERROR(INDEX(tbl_WIP[Defer End],$A498),"")</f>
        <v/>
      </c>
      <c r="J498" s="65">
        <f>IF(OR($H498="",$I498="",$G498=""),"",MAX(1,(YEAR($I498)-YEAR($H498))*12+MONTH($I498)-MONTH($H498)+1))</f>
        <v/>
      </c>
      <c r="K498" s="68">
        <f>IF($J498="","",$G498/$J498)</f>
        <v/>
      </c>
      <c r="L498" s="68">
        <f>IF($J498="",0,$K498*MAX(0,MIN(YEAR($C$3)*12+MONTH($C$3),YEAR($I498)*12+MONTH($I498))-(YEAR($H498)*12+MONTH($H498))+1))</f>
        <v/>
      </c>
      <c r="M498" s="68">
        <f>IF($J498="",0,$K498*MAX(0,MIN(YEAR($C$3)*12+MONTH($C$3)-1,YEAR($I498)*12+MONTH($I498))-(YEAR($H498)*12+MONTH($H498))+1))</f>
        <v/>
      </c>
      <c r="N498" s="68">
        <f>IF(OR($J498="",$B498=""),0,IF(YEAR($B498)*12+MONTH($B498)&lt;=YEAR($C$3)*12+MONTH($C$3),$G498,0))</f>
        <v/>
      </c>
      <c r="O498" s="68">
        <f>IF(OR($J498="",$B498=""),0,IF(YEAR($B498)*12+MONTH($B498)&lt;=YEAR($C$3)*12+MONTH($C$3)-1,$G498,0))</f>
        <v/>
      </c>
      <c r="P498" s="68">
        <f>$M498-$O498</f>
        <v/>
      </c>
      <c r="Q498" s="68">
        <f>($L498-$M498)-($N498-$O498)</f>
        <v/>
      </c>
      <c r="R498" s="68">
        <f>$L498-$N498</f>
        <v/>
      </c>
      <c r="S498" s="67">
        <f>"WIP journal"</f>
        <v/>
      </c>
      <c r="T498" s="67">
        <f>IFERROR(INDEX(tbl_WIP[Revenue or Cost],$A498),"")</f>
        <v/>
      </c>
    </row>
    <row r="499">
      <c r="A499" s="65">
        <f>ROW()-407</f>
        <v/>
      </c>
      <c r="B499" s="66">
        <f>IFERROR(INDEX(tbl_WIP[Month],$A499),"")</f>
        <v/>
      </c>
      <c r="C499" s="67">
        <f>IFERROR(INDEX(tbl_WIP[Xero Invoice No],$A499),"")</f>
        <v/>
      </c>
      <c r="D499" s="67">
        <f>IFERROR(INDEX(tbl_WIP[Client],$A499),"")</f>
        <v/>
      </c>
      <c r="E499" s="67">
        <f>IFERROR(INDEX(tbl_WIP[Job Number],$A499),"")</f>
        <v/>
      </c>
      <c r="F499" s="67">
        <f>IFERROR(INDEX(tbl_WIP[Cost Centre],$A499),"")</f>
        <v/>
      </c>
      <c r="G499" s="68">
        <f>IFERROR(IF(INDEX(tbl_WIP[Defer Start],$A499)="","",IF(INDEX(tbl_WIP[Revenue or Cost],$A499)="Cost",-1,1)*INDEX(tbl_WIP[Amount],$A499)),"")</f>
        <v/>
      </c>
      <c r="H499" s="66">
        <f>IFERROR(INDEX(tbl_WIP[Defer Start],$A499),"")</f>
        <v/>
      </c>
      <c r="I499" s="66">
        <f>IFERROR(INDEX(tbl_WIP[Defer End],$A499),"")</f>
        <v/>
      </c>
      <c r="J499" s="65">
        <f>IF(OR($H499="",$I499="",$G499=""),"",MAX(1,(YEAR($I499)-YEAR($H499))*12+MONTH($I499)-MONTH($H499)+1))</f>
        <v/>
      </c>
      <c r="K499" s="68">
        <f>IF($J499="","",$G499/$J499)</f>
        <v/>
      </c>
      <c r="L499" s="68">
        <f>IF($J499="",0,$K499*MAX(0,MIN(YEAR($C$3)*12+MONTH($C$3),YEAR($I499)*12+MONTH($I499))-(YEAR($H499)*12+MONTH($H499))+1))</f>
        <v/>
      </c>
      <c r="M499" s="68">
        <f>IF($J499="",0,$K499*MAX(0,MIN(YEAR($C$3)*12+MONTH($C$3)-1,YEAR($I499)*12+MONTH($I499))-(YEAR($H499)*12+MONTH($H499))+1))</f>
        <v/>
      </c>
      <c r="N499" s="68">
        <f>IF(OR($J499="",$B499=""),0,IF(YEAR($B499)*12+MONTH($B499)&lt;=YEAR($C$3)*12+MONTH($C$3),$G499,0))</f>
        <v/>
      </c>
      <c r="O499" s="68">
        <f>IF(OR($J499="",$B499=""),0,IF(YEAR($B499)*12+MONTH($B499)&lt;=YEAR($C$3)*12+MONTH($C$3)-1,$G499,0))</f>
        <v/>
      </c>
      <c r="P499" s="68">
        <f>$M499-$O499</f>
        <v/>
      </c>
      <c r="Q499" s="68">
        <f>($L499-$M499)-($N499-$O499)</f>
        <v/>
      </c>
      <c r="R499" s="68">
        <f>$L499-$N499</f>
        <v/>
      </c>
      <c r="S499" s="67">
        <f>"WIP journal"</f>
        <v/>
      </c>
      <c r="T499" s="67">
        <f>IFERROR(INDEX(tbl_WIP[Revenue or Cost],$A499),"")</f>
        <v/>
      </c>
    </row>
    <row r="500">
      <c r="A500" s="65">
        <f>ROW()-407</f>
        <v/>
      </c>
      <c r="B500" s="66">
        <f>IFERROR(INDEX(tbl_WIP[Month],$A500),"")</f>
        <v/>
      </c>
      <c r="C500" s="67">
        <f>IFERROR(INDEX(tbl_WIP[Xero Invoice No],$A500),"")</f>
        <v/>
      </c>
      <c r="D500" s="67">
        <f>IFERROR(INDEX(tbl_WIP[Client],$A500),"")</f>
        <v/>
      </c>
      <c r="E500" s="67">
        <f>IFERROR(INDEX(tbl_WIP[Job Number],$A500),"")</f>
        <v/>
      </c>
      <c r="F500" s="67">
        <f>IFERROR(INDEX(tbl_WIP[Cost Centre],$A500),"")</f>
        <v/>
      </c>
      <c r="G500" s="68">
        <f>IFERROR(IF(INDEX(tbl_WIP[Defer Start],$A500)="","",IF(INDEX(tbl_WIP[Revenue or Cost],$A500)="Cost",-1,1)*INDEX(tbl_WIP[Amount],$A500)),"")</f>
        <v/>
      </c>
      <c r="H500" s="66">
        <f>IFERROR(INDEX(tbl_WIP[Defer Start],$A500),"")</f>
        <v/>
      </c>
      <c r="I500" s="66">
        <f>IFERROR(INDEX(tbl_WIP[Defer End],$A500),"")</f>
        <v/>
      </c>
      <c r="J500" s="65">
        <f>IF(OR($H500="",$I500="",$G500=""),"",MAX(1,(YEAR($I500)-YEAR($H500))*12+MONTH($I500)-MONTH($H500)+1))</f>
        <v/>
      </c>
      <c r="K500" s="68">
        <f>IF($J500="","",$G500/$J500)</f>
        <v/>
      </c>
      <c r="L500" s="68">
        <f>IF($J500="",0,$K500*MAX(0,MIN(YEAR($C$3)*12+MONTH($C$3),YEAR($I500)*12+MONTH($I500))-(YEAR($H500)*12+MONTH($H500))+1))</f>
        <v/>
      </c>
      <c r="M500" s="68">
        <f>IF($J500="",0,$K500*MAX(0,MIN(YEAR($C$3)*12+MONTH($C$3)-1,YEAR($I500)*12+MONTH($I500))-(YEAR($H500)*12+MONTH($H500))+1))</f>
        <v/>
      </c>
      <c r="N500" s="68">
        <f>IF(OR($J500="",$B500=""),0,IF(YEAR($B500)*12+MONTH($B500)&lt;=YEAR($C$3)*12+MONTH($C$3),$G500,0))</f>
        <v/>
      </c>
      <c r="O500" s="68">
        <f>IF(OR($J500="",$B500=""),0,IF(YEAR($B500)*12+MONTH($B500)&lt;=YEAR($C$3)*12+MONTH($C$3)-1,$G500,0))</f>
        <v/>
      </c>
      <c r="P500" s="68">
        <f>$M500-$O500</f>
        <v/>
      </c>
      <c r="Q500" s="68">
        <f>($L500-$M500)-($N500-$O500)</f>
        <v/>
      </c>
      <c r="R500" s="68">
        <f>$L500-$N500</f>
        <v/>
      </c>
      <c r="S500" s="67">
        <f>"WIP journal"</f>
        <v/>
      </c>
      <c r="T500" s="67">
        <f>IFERROR(INDEX(tbl_WIP[Revenue or Cost],$A500),"")</f>
        <v/>
      </c>
    </row>
    <row r="501">
      <c r="A501" s="65">
        <f>ROW()-407</f>
        <v/>
      </c>
      <c r="B501" s="66">
        <f>IFERROR(INDEX(tbl_WIP[Month],$A501),"")</f>
        <v/>
      </c>
      <c r="C501" s="67">
        <f>IFERROR(INDEX(tbl_WIP[Xero Invoice No],$A501),"")</f>
        <v/>
      </c>
      <c r="D501" s="67">
        <f>IFERROR(INDEX(tbl_WIP[Client],$A501),"")</f>
        <v/>
      </c>
      <c r="E501" s="67">
        <f>IFERROR(INDEX(tbl_WIP[Job Number],$A501),"")</f>
        <v/>
      </c>
      <c r="F501" s="67">
        <f>IFERROR(INDEX(tbl_WIP[Cost Centre],$A501),"")</f>
        <v/>
      </c>
      <c r="G501" s="68">
        <f>IFERROR(IF(INDEX(tbl_WIP[Defer Start],$A501)="","",IF(INDEX(tbl_WIP[Revenue or Cost],$A501)="Cost",-1,1)*INDEX(tbl_WIP[Amount],$A501)),"")</f>
        <v/>
      </c>
      <c r="H501" s="66">
        <f>IFERROR(INDEX(tbl_WIP[Defer Start],$A501),"")</f>
        <v/>
      </c>
      <c r="I501" s="66">
        <f>IFERROR(INDEX(tbl_WIP[Defer End],$A501),"")</f>
        <v/>
      </c>
      <c r="J501" s="65">
        <f>IF(OR($H501="",$I501="",$G501=""),"",MAX(1,(YEAR($I501)-YEAR($H501))*12+MONTH($I501)-MONTH($H501)+1))</f>
        <v/>
      </c>
      <c r="K501" s="68">
        <f>IF($J501="","",$G501/$J501)</f>
        <v/>
      </c>
      <c r="L501" s="68">
        <f>IF($J501="",0,$K501*MAX(0,MIN(YEAR($C$3)*12+MONTH($C$3),YEAR($I501)*12+MONTH($I501))-(YEAR($H501)*12+MONTH($H501))+1))</f>
        <v/>
      </c>
      <c r="M501" s="68">
        <f>IF($J501="",0,$K501*MAX(0,MIN(YEAR($C$3)*12+MONTH($C$3)-1,YEAR($I501)*12+MONTH($I501))-(YEAR($H501)*12+MONTH($H501))+1))</f>
        <v/>
      </c>
      <c r="N501" s="68">
        <f>IF(OR($J501="",$B501=""),0,IF(YEAR($B501)*12+MONTH($B501)&lt;=YEAR($C$3)*12+MONTH($C$3),$G501,0))</f>
        <v/>
      </c>
      <c r="O501" s="68">
        <f>IF(OR($J501="",$B501=""),0,IF(YEAR($B501)*12+MONTH($B501)&lt;=YEAR($C$3)*12+MONTH($C$3)-1,$G501,0))</f>
        <v/>
      </c>
      <c r="P501" s="68">
        <f>$M501-$O501</f>
        <v/>
      </c>
      <c r="Q501" s="68">
        <f>($L501-$M501)-($N501-$O501)</f>
        <v/>
      </c>
      <c r="R501" s="68">
        <f>$L501-$N501</f>
        <v/>
      </c>
      <c r="S501" s="67">
        <f>"WIP journal"</f>
        <v/>
      </c>
      <c r="T501" s="67">
        <f>IFERROR(INDEX(tbl_WIP[Revenue or Cost],$A501),"")</f>
        <v/>
      </c>
    </row>
    <row r="502">
      <c r="A502" s="65">
        <f>ROW()-407</f>
        <v/>
      </c>
      <c r="B502" s="66">
        <f>IFERROR(INDEX(tbl_WIP[Month],$A502),"")</f>
        <v/>
      </c>
      <c r="C502" s="67">
        <f>IFERROR(INDEX(tbl_WIP[Xero Invoice No],$A502),"")</f>
        <v/>
      </c>
      <c r="D502" s="67">
        <f>IFERROR(INDEX(tbl_WIP[Client],$A502),"")</f>
        <v/>
      </c>
      <c r="E502" s="67">
        <f>IFERROR(INDEX(tbl_WIP[Job Number],$A502),"")</f>
        <v/>
      </c>
      <c r="F502" s="67">
        <f>IFERROR(INDEX(tbl_WIP[Cost Centre],$A502),"")</f>
        <v/>
      </c>
      <c r="G502" s="68">
        <f>IFERROR(IF(INDEX(tbl_WIP[Defer Start],$A502)="","",IF(INDEX(tbl_WIP[Revenue or Cost],$A502)="Cost",-1,1)*INDEX(tbl_WIP[Amount],$A502)),"")</f>
        <v/>
      </c>
      <c r="H502" s="66">
        <f>IFERROR(INDEX(tbl_WIP[Defer Start],$A502),"")</f>
        <v/>
      </c>
      <c r="I502" s="66">
        <f>IFERROR(INDEX(tbl_WIP[Defer End],$A502),"")</f>
        <v/>
      </c>
      <c r="J502" s="65">
        <f>IF(OR($H502="",$I502="",$G502=""),"",MAX(1,(YEAR($I502)-YEAR($H502))*12+MONTH($I502)-MONTH($H502)+1))</f>
        <v/>
      </c>
      <c r="K502" s="68">
        <f>IF($J502="","",$G502/$J502)</f>
        <v/>
      </c>
      <c r="L502" s="68">
        <f>IF($J502="",0,$K502*MAX(0,MIN(YEAR($C$3)*12+MONTH($C$3),YEAR($I502)*12+MONTH($I502))-(YEAR($H502)*12+MONTH($H502))+1))</f>
        <v/>
      </c>
      <c r="M502" s="68">
        <f>IF($J502="",0,$K502*MAX(0,MIN(YEAR($C$3)*12+MONTH($C$3)-1,YEAR($I502)*12+MONTH($I502))-(YEAR($H502)*12+MONTH($H502))+1))</f>
        <v/>
      </c>
      <c r="N502" s="68">
        <f>IF(OR($J502="",$B502=""),0,IF(YEAR($B502)*12+MONTH($B502)&lt;=YEAR($C$3)*12+MONTH($C$3),$G502,0))</f>
        <v/>
      </c>
      <c r="O502" s="68">
        <f>IF(OR($J502="",$B502=""),0,IF(YEAR($B502)*12+MONTH($B502)&lt;=YEAR($C$3)*12+MONTH($C$3)-1,$G502,0))</f>
        <v/>
      </c>
      <c r="P502" s="68">
        <f>$M502-$O502</f>
        <v/>
      </c>
      <c r="Q502" s="68">
        <f>($L502-$M502)-($N502-$O502)</f>
        <v/>
      </c>
      <c r="R502" s="68">
        <f>$L502-$N502</f>
        <v/>
      </c>
      <c r="S502" s="67">
        <f>"WIP journal"</f>
        <v/>
      </c>
      <c r="T502" s="67">
        <f>IFERROR(INDEX(tbl_WIP[Revenue or Cost],$A502),"")</f>
        <v/>
      </c>
    </row>
    <row r="503">
      <c r="A503" s="65">
        <f>ROW()-407</f>
        <v/>
      </c>
      <c r="B503" s="66">
        <f>IFERROR(INDEX(tbl_WIP[Month],$A503),"")</f>
        <v/>
      </c>
      <c r="C503" s="67">
        <f>IFERROR(INDEX(tbl_WIP[Xero Invoice No],$A503),"")</f>
        <v/>
      </c>
      <c r="D503" s="67">
        <f>IFERROR(INDEX(tbl_WIP[Client],$A503),"")</f>
        <v/>
      </c>
      <c r="E503" s="67">
        <f>IFERROR(INDEX(tbl_WIP[Job Number],$A503),"")</f>
        <v/>
      </c>
      <c r="F503" s="67">
        <f>IFERROR(INDEX(tbl_WIP[Cost Centre],$A503),"")</f>
        <v/>
      </c>
      <c r="G503" s="68">
        <f>IFERROR(IF(INDEX(tbl_WIP[Defer Start],$A503)="","",IF(INDEX(tbl_WIP[Revenue or Cost],$A503)="Cost",-1,1)*INDEX(tbl_WIP[Amount],$A503)),"")</f>
        <v/>
      </c>
      <c r="H503" s="66">
        <f>IFERROR(INDEX(tbl_WIP[Defer Start],$A503),"")</f>
        <v/>
      </c>
      <c r="I503" s="66">
        <f>IFERROR(INDEX(tbl_WIP[Defer End],$A503),"")</f>
        <v/>
      </c>
      <c r="J503" s="65">
        <f>IF(OR($H503="",$I503="",$G503=""),"",MAX(1,(YEAR($I503)-YEAR($H503))*12+MONTH($I503)-MONTH($H503)+1))</f>
        <v/>
      </c>
      <c r="K503" s="68">
        <f>IF($J503="","",$G503/$J503)</f>
        <v/>
      </c>
      <c r="L503" s="68">
        <f>IF($J503="",0,$K503*MAX(0,MIN(YEAR($C$3)*12+MONTH($C$3),YEAR($I503)*12+MONTH($I503))-(YEAR($H503)*12+MONTH($H503))+1))</f>
        <v/>
      </c>
      <c r="M503" s="68">
        <f>IF($J503="",0,$K503*MAX(0,MIN(YEAR($C$3)*12+MONTH($C$3)-1,YEAR($I503)*12+MONTH($I503))-(YEAR($H503)*12+MONTH($H503))+1))</f>
        <v/>
      </c>
      <c r="N503" s="68">
        <f>IF(OR($J503="",$B503=""),0,IF(YEAR($B503)*12+MONTH($B503)&lt;=YEAR($C$3)*12+MONTH($C$3),$G503,0))</f>
        <v/>
      </c>
      <c r="O503" s="68">
        <f>IF(OR($J503="",$B503=""),0,IF(YEAR($B503)*12+MONTH($B503)&lt;=YEAR($C$3)*12+MONTH($C$3)-1,$G503,0))</f>
        <v/>
      </c>
      <c r="P503" s="68">
        <f>$M503-$O503</f>
        <v/>
      </c>
      <c r="Q503" s="68">
        <f>($L503-$M503)-($N503-$O503)</f>
        <v/>
      </c>
      <c r="R503" s="68">
        <f>$L503-$N503</f>
        <v/>
      </c>
      <c r="S503" s="67">
        <f>"WIP journal"</f>
        <v/>
      </c>
      <c r="T503" s="67">
        <f>IFERROR(INDEX(tbl_WIP[Revenue or Cost],$A503),"")</f>
        <v/>
      </c>
    </row>
    <row r="504">
      <c r="A504" s="65">
        <f>ROW()-407</f>
        <v/>
      </c>
      <c r="B504" s="66">
        <f>IFERROR(INDEX(tbl_WIP[Month],$A504),"")</f>
        <v/>
      </c>
      <c r="C504" s="67">
        <f>IFERROR(INDEX(tbl_WIP[Xero Invoice No],$A504),"")</f>
        <v/>
      </c>
      <c r="D504" s="67">
        <f>IFERROR(INDEX(tbl_WIP[Client],$A504),"")</f>
        <v/>
      </c>
      <c r="E504" s="67">
        <f>IFERROR(INDEX(tbl_WIP[Job Number],$A504),"")</f>
        <v/>
      </c>
      <c r="F504" s="67">
        <f>IFERROR(INDEX(tbl_WIP[Cost Centre],$A504),"")</f>
        <v/>
      </c>
      <c r="G504" s="68">
        <f>IFERROR(IF(INDEX(tbl_WIP[Defer Start],$A504)="","",IF(INDEX(tbl_WIP[Revenue or Cost],$A504)="Cost",-1,1)*INDEX(tbl_WIP[Amount],$A504)),"")</f>
        <v/>
      </c>
      <c r="H504" s="66">
        <f>IFERROR(INDEX(tbl_WIP[Defer Start],$A504),"")</f>
        <v/>
      </c>
      <c r="I504" s="66">
        <f>IFERROR(INDEX(tbl_WIP[Defer End],$A504),"")</f>
        <v/>
      </c>
      <c r="J504" s="65">
        <f>IF(OR($H504="",$I504="",$G504=""),"",MAX(1,(YEAR($I504)-YEAR($H504))*12+MONTH($I504)-MONTH($H504)+1))</f>
        <v/>
      </c>
      <c r="K504" s="68">
        <f>IF($J504="","",$G504/$J504)</f>
        <v/>
      </c>
      <c r="L504" s="68">
        <f>IF($J504="",0,$K504*MAX(0,MIN(YEAR($C$3)*12+MONTH($C$3),YEAR($I504)*12+MONTH($I504))-(YEAR($H504)*12+MONTH($H504))+1))</f>
        <v/>
      </c>
      <c r="M504" s="68">
        <f>IF($J504="",0,$K504*MAX(0,MIN(YEAR($C$3)*12+MONTH($C$3)-1,YEAR($I504)*12+MONTH($I504))-(YEAR($H504)*12+MONTH($H504))+1))</f>
        <v/>
      </c>
      <c r="N504" s="68">
        <f>IF(OR($J504="",$B504=""),0,IF(YEAR($B504)*12+MONTH($B504)&lt;=YEAR($C$3)*12+MONTH($C$3),$G504,0))</f>
        <v/>
      </c>
      <c r="O504" s="68">
        <f>IF(OR($J504="",$B504=""),0,IF(YEAR($B504)*12+MONTH($B504)&lt;=YEAR($C$3)*12+MONTH($C$3)-1,$G504,0))</f>
        <v/>
      </c>
      <c r="P504" s="68">
        <f>$M504-$O504</f>
        <v/>
      </c>
      <c r="Q504" s="68">
        <f>($L504-$M504)-($N504-$O504)</f>
        <v/>
      </c>
      <c r="R504" s="68">
        <f>$L504-$N504</f>
        <v/>
      </c>
      <c r="S504" s="67">
        <f>"WIP journal"</f>
        <v/>
      </c>
      <c r="T504" s="67">
        <f>IFERROR(INDEX(tbl_WIP[Revenue or Cost],$A504),"")</f>
        <v/>
      </c>
    </row>
    <row r="505">
      <c r="A505" s="65">
        <f>ROW()-407</f>
        <v/>
      </c>
      <c r="B505" s="66">
        <f>IFERROR(INDEX(tbl_WIP[Month],$A505),"")</f>
        <v/>
      </c>
      <c r="C505" s="67">
        <f>IFERROR(INDEX(tbl_WIP[Xero Invoice No],$A505),"")</f>
        <v/>
      </c>
      <c r="D505" s="67">
        <f>IFERROR(INDEX(tbl_WIP[Client],$A505),"")</f>
        <v/>
      </c>
      <c r="E505" s="67">
        <f>IFERROR(INDEX(tbl_WIP[Job Number],$A505),"")</f>
        <v/>
      </c>
      <c r="F505" s="67">
        <f>IFERROR(INDEX(tbl_WIP[Cost Centre],$A505),"")</f>
        <v/>
      </c>
      <c r="G505" s="68">
        <f>IFERROR(IF(INDEX(tbl_WIP[Defer Start],$A505)="","",IF(INDEX(tbl_WIP[Revenue or Cost],$A505)="Cost",-1,1)*INDEX(tbl_WIP[Amount],$A505)),"")</f>
        <v/>
      </c>
      <c r="H505" s="66">
        <f>IFERROR(INDEX(tbl_WIP[Defer Start],$A505),"")</f>
        <v/>
      </c>
      <c r="I505" s="66">
        <f>IFERROR(INDEX(tbl_WIP[Defer End],$A505),"")</f>
        <v/>
      </c>
      <c r="J505" s="65">
        <f>IF(OR($H505="",$I505="",$G505=""),"",MAX(1,(YEAR($I505)-YEAR($H505))*12+MONTH($I505)-MONTH($H505)+1))</f>
        <v/>
      </c>
      <c r="K505" s="68">
        <f>IF($J505="","",$G505/$J505)</f>
        <v/>
      </c>
      <c r="L505" s="68">
        <f>IF($J505="",0,$K505*MAX(0,MIN(YEAR($C$3)*12+MONTH($C$3),YEAR($I505)*12+MONTH($I505))-(YEAR($H505)*12+MONTH($H505))+1))</f>
        <v/>
      </c>
      <c r="M505" s="68">
        <f>IF($J505="",0,$K505*MAX(0,MIN(YEAR($C$3)*12+MONTH($C$3)-1,YEAR($I505)*12+MONTH($I505))-(YEAR($H505)*12+MONTH($H505))+1))</f>
        <v/>
      </c>
      <c r="N505" s="68">
        <f>IF(OR($J505="",$B505=""),0,IF(YEAR($B505)*12+MONTH($B505)&lt;=YEAR($C$3)*12+MONTH($C$3),$G505,0))</f>
        <v/>
      </c>
      <c r="O505" s="68">
        <f>IF(OR($J505="",$B505=""),0,IF(YEAR($B505)*12+MONTH($B505)&lt;=YEAR($C$3)*12+MONTH($C$3)-1,$G505,0))</f>
        <v/>
      </c>
      <c r="P505" s="68">
        <f>$M505-$O505</f>
        <v/>
      </c>
      <c r="Q505" s="68">
        <f>($L505-$M505)-($N505-$O505)</f>
        <v/>
      </c>
      <c r="R505" s="68">
        <f>$L505-$N505</f>
        <v/>
      </c>
      <c r="S505" s="67">
        <f>"WIP journal"</f>
        <v/>
      </c>
      <c r="T505" s="67">
        <f>IFERROR(INDEX(tbl_WIP[Revenue or Cost],$A505),"")</f>
        <v/>
      </c>
    </row>
    <row r="506">
      <c r="A506" s="65">
        <f>ROW()-407</f>
        <v/>
      </c>
      <c r="B506" s="66">
        <f>IFERROR(INDEX(tbl_WIP[Month],$A506),"")</f>
        <v/>
      </c>
      <c r="C506" s="67">
        <f>IFERROR(INDEX(tbl_WIP[Xero Invoice No],$A506),"")</f>
        <v/>
      </c>
      <c r="D506" s="67">
        <f>IFERROR(INDEX(tbl_WIP[Client],$A506),"")</f>
        <v/>
      </c>
      <c r="E506" s="67">
        <f>IFERROR(INDEX(tbl_WIP[Job Number],$A506),"")</f>
        <v/>
      </c>
      <c r="F506" s="67">
        <f>IFERROR(INDEX(tbl_WIP[Cost Centre],$A506),"")</f>
        <v/>
      </c>
      <c r="G506" s="68">
        <f>IFERROR(IF(INDEX(tbl_WIP[Defer Start],$A506)="","",IF(INDEX(tbl_WIP[Revenue or Cost],$A506)="Cost",-1,1)*INDEX(tbl_WIP[Amount],$A506)),"")</f>
        <v/>
      </c>
      <c r="H506" s="66">
        <f>IFERROR(INDEX(tbl_WIP[Defer Start],$A506),"")</f>
        <v/>
      </c>
      <c r="I506" s="66">
        <f>IFERROR(INDEX(tbl_WIP[Defer End],$A506),"")</f>
        <v/>
      </c>
      <c r="J506" s="65">
        <f>IF(OR($H506="",$I506="",$G506=""),"",MAX(1,(YEAR($I506)-YEAR($H506))*12+MONTH($I506)-MONTH($H506)+1))</f>
        <v/>
      </c>
      <c r="K506" s="68">
        <f>IF($J506="","",$G506/$J506)</f>
        <v/>
      </c>
      <c r="L506" s="68">
        <f>IF($J506="",0,$K506*MAX(0,MIN(YEAR($C$3)*12+MONTH($C$3),YEAR($I506)*12+MONTH($I506))-(YEAR($H506)*12+MONTH($H506))+1))</f>
        <v/>
      </c>
      <c r="M506" s="68">
        <f>IF($J506="",0,$K506*MAX(0,MIN(YEAR($C$3)*12+MONTH($C$3)-1,YEAR($I506)*12+MONTH($I506))-(YEAR($H506)*12+MONTH($H506))+1))</f>
        <v/>
      </c>
      <c r="N506" s="68">
        <f>IF(OR($J506="",$B506=""),0,IF(YEAR($B506)*12+MONTH($B506)&lt;=YEAR($C$3)*12+MONTH($C$3),$G506,0))</f>
        <v/>
      </c>
      <c r="O506" s="68">
        <f>IF(OR($J506="",$B506=""),0,IF(YEAR($B506)*12+MONTH($B506)&lt;=YEAR($C$3)*12+MONTH($C$3)-1,$G506,0))</f>
        <v/>
      </c>
      <c r="P506" s="68">
        <f>$M506-$O506</f>
        <v/>
      </c>
      <c r="Q506" s="68">
        <f>($L506-$M506)-($N506-$O506)</f>
        <v/>
      </c>
      <c r="R506" s="68">
        <f>$L506-$N506</f>
        <v/>
      </c>
      <c r="S506" s="67">
        <f>"WIP journal"</f>
        <v/>
      </c>
      <c r="T506" s="67">
        <f>IFERROR(INDEX(tbl_WIP[Revenue or Cost],$A506),"")</f>
        <v/>
      </c>
    </row>
    <row r="507">
      <c r="A507" s="65">
        <f>ROW()-407</f>
        <v/>
      </c>
      <c r="B507" s="66">
        <f>IFERROR(INDEX(tbl_WIP[Month],$A507),"")</f>
        <v/>
      </c>
      <c r="C507" s="67">
        <f>IFERROR(INDEX(tbl_WIP[Xero Invoice No],$A507),"")</f>
        <v/>
      </c>
      <c r="D507" s="67">
        <f>IFERROR(INDEX(tbl_WIP[Client],$A507),"")</f>
        <v/>
      </c>
      <c r="E507" s="67">
        <f>IFERROR(INDEX(tbl_WIP[Job Number],$A507),"")</f>
        <v/>
      </c>
      <c r="F507" s="67">
        <f>IFERROR(INDEX(tbl_WIP[Cost Centre],$A507),"")</f>
        <v/>
      </c>
      <c r="G507" s="68">
        <f>IFERROR(IF(INDEX(tbl_WIP[Defer Start],$A507)="","",IF(INDEX(tbl_WIP[Revenue or Cost],$A507)="Cost",-1,1)*INDEX(tbl_WIP[Amount],$A507)),"")</f>
        <v/>
      </c>
      <c r="H507" s="66">
        <f>IFERROR(INDEX(tbl_WIP[Defer Start],$A507),"")</f>
        <v/>
      </c>
      <c r="I507" s="66">
        <f>IFERROR(INDEX(tbl_WIP[Defer End],$A507),"")</f>
        <v/>
      </c>
      <c r="J507" s="65">
        <f>IF(OR($H507="",$I507="",$G507=""),"",MAX(1,(YEAR($I507)-YEAR($H507))*12+MONTH($I507)-MONTH($H507)+1))</f>
        <v/>
      </c>
      <c r="K507" s="68">
        <f>IF($J507="","",$G507/$J507)</f>
        <v/>
      </c>
      <c r="L507" s="68">
        <f>IF($J507="",0,$K507*MAX(0,MIN(YEAR($C$3)*12+MONTH($C$3),YEAR($I507)*12+MONTH($I507))-(YEAR($H507)*12+MONTH($H507))+1))</f>
        <v/>
      </c>
      <c r="M507" s="68">
        <f>IF($J507="",0,$K507*MAX(0,MIN(YEAR($C$3)*12+MONTH($C$3)-1,YEAR($I507)*12+MONTH($I507))-(YEAR($H507)*12+MONTH($H507))+1))</f>
        <v/>
      </c>
      <c r="N507" s="68">
        <f>IF(OR($J507="",$B507=""),0,IF(YEAR($B507)*12+MONTH($B507)&lt;=YEAR($C$3)*12+MONTH($C$3),$G507,0))</f>
        <v/>
      </c>
      <c r="O507" s="68">
        <f>IF(OR($J507="",$B507=""),0,IF(YEAR($B507)*12+MONTH($B507)&lt;=YEAR($C$3)*12+MONTH($C$3)-1,$G507,0))</f>
        <v/>
      </c>
      <c r="P507" s="68">
        <f>$M507-$O507</f>
        <v/>
      </c>
      <c r="Q507" s="68">
        <f>($L507-$M507)-($N507-$O507)</f>
        <v/>
      </c>
      <c r="R507" s="68">
        <f>$L507-$N507</f>
        <v/>
      </c>
      <c r="S507" s="67">
        <f>"WIP journal"</f>
        <v/>
      </c>
      <c r="T507" s="67">
        <f>IFERROR(INDEX(tbl_WIP[Revenue or Cost],$A507),"")</f>
        <v/>
      </c>
    </row>
    <row r="508">
      <c r="A508" s="65">
        <f>ROW()-407</f>
        <v/>
      </c>
      <c r="B508" s="66">
        <f>IFERROR(INDEX(tbl_WIP[Month],$A508),"")</f>
        <v/>
      </c>
      <c r="C508" s="67">
        <f>IFERROR(INDEX(tbl_WIP[Xero Invoice No],$A508),"")</f>
        <v/>
      </c>
      <c r="D508" s="67">
        <f>IFERROR(INDEX(tbl_WIP[Client],$A508),"")</f>
        <v/>
      </c>
      <c r="E508" s="67">
        <f>IFERROR(INDEX(tbl_WIP[Job Number],$A508),"")</f>
        <v/>
      </c>
      <c r="F508" s="67">
        <f>IFERROR(INDEX(tbl_WIP[Cost Centre],$A508),"")</f>
        <v/>
      </c>
      <c r="G508" s="68">
        <f>IFERROR(IF(INDEX(tbl_WIP[Defer Start],$A508)="","",IF(INDEX(tbl_WIP[Revenue or Cost],$A508)="Cost",-1,1)*INDEX(tbl_WIP[Amount],$A508)),"")</f>
        <v/>
      </c>
      <c r="H508" s="66">
        <f>IFERROR(INDEX(tbl_WIP[Defer Start],$A508),"")</f>
        <v/>
      </c>
      <c r="I508" s="66">
        <f>IFERROR(INDEX(tbl_WIP[Defer End],$A508),"")</f>
        <v/>
      </c>
      <c r="J508" s="65">
        <f>IF(OR($H508="",$I508="",$G508=""),"",MAX(1,(YEAR($I508)-YEAR($H508))*12+MONTH($I508)-MONTH($H508)+1))</f>
        <v/>
      </c>
      <c r="K508" s="68">
        <f>IF($J508="","",$G508/$J508)</f>
        <v/>
      </c>
      <c r="L508" s="68">
        <f>IF($J508="",0,$K508*MAX(0,MIN(YEAR($C$3)*12+MONTH($C$3),YEAR($I508)*12+MONTH($I508))-(YEAR($H508)*12+MONTH($H508))+1))</f>
        <v/>
      </c>
      <c r="M508" s="68">
        <f>IF($J508="",0,$K508*MAX(0,MIN(YEAR($C$3)*12+MONTH($C$3)-1,YEAR($I508)*12+MONTH($I508))-(YEAR($H508)*12+MONTH($H508))+1))</f>
        <v/>
      </c>
      <c r="N508" s="68">
        <f>IF(OR($J508="",$B508=""),0,IF(YEAR($B508)*12+MONTH($B508)&lt;=YEAR($C$3)*12+MONTH($C$3),$G508,0))</f>
        <v/>
      </c>
      <c r="O508" s="68">
        <f>IF(OR($J508="",$B508=""),0,IF(YEAR($B508)*12+MONTH($B508)&lt;=YEAR($C$3)*12+MONTH($C$3)-1,$G508,0))</f>
        <v/>
      </c>
      <c r="P508" s="68">
        <f>$M508-$O508</f>
        <v/>
      </c>
      <c r="Q508" s="68">
        <f>($L508-$M508)-($N508-$O508)</f>
        <v/>
      </c>
      <c r="R508" s="68">
        <f>$L508-$N508</f>
        <v/>
      </c>
      <c r="S508" s="67">
        <f>"WIP journal"</f>
        <v/>
      </c>
      <c r="T508" s="67">
        <f>IFERROR(INDEX(tbl_WIP[Revenue or Cost],$A508),"")</f>
        <v/>
      </c>
    </row>
    <row r="509">
      <c r="A509" s="65">
        <f>ROW()-407</f>
        <v/>
      </c>
      <c r="B509" s="66">
        <f>IFERROR(INDEX(tbl_WIP[Month],$A509),"")</f>
        <v/>
      </c>
      <c r="C509" s="67">
        <f>IFERROR(INDEX(tbl_WIP[Xero Invoice No],$A509),"")</f>
        <v/>
      </c>
      <c r="D509" s="67">
        <f>IFERROR(INDEX(tbl_WIP[Client],$A509),"")</f>
        <v/>
      </c>
      <c r="E509" s="67">
        <f>IFERROR(INDEX(tbl_WIP[Job Number],$A509),"")</f>
        <v/>
      </c>
      <c r="F509" s="67">
        <f>IFERROR(INDEX(tbl_WIP[Cost Centre],$A509),"")</f>
        <v/>
      </c>
      <c r="G509" s="68">
        <f>IFERROR(IF(INDEX(tbl_WIP[Defer Start],$A509)="","",IF(INDEX(tbl_WIP[Revenue or Cost],$A509)="Cost",-1,1)*INDEX(tbl_WIP[Amount],$A509)),"")</f>
        <v/>
      </c>
      <c r="H509" s="66">
        <f>IFERROR(INDEX(tbl_WIP[Defer Start],$A509),"")</f>
        <v/>
      </c>
      <c r="I509" s="66">
        <f>IFERROR(INDEX(tbl_WIP[Defer End],$A509),"")</f>
        <v/>
      </c>
      <c r="J509" s="65">
        <f>IF(OR($H509="",$I509="",$G509=""),"",MAX(1,(YEAR($I509)-YEAR($H509))*12+MONTH($I509)-MONTH($H509)+1))</f>
        <v/>
      </c>
      <c r="K509" s="68">
        <f>IF($J509="","",$G509/$J509)</f>
        <v/>
      </c>
      <c r="L509" s="68">
        <f>IF($J509="",0,$K509*MAX(0,MIN(YEAR($C$3)*12+MONTH($C$3),YEAR($I509)*12+MONTH($I509))-(YEAR($H509)*12+MONTH($H509))+1))</f>
        <v/>
      </c>
      <c r="M509" s="68">
        <f>IF($J509="",0,$K509*MAX(0,MIN(YEAR($C$3)*12+MONTH($C$3)-1,YEAR($I509)*12+MONTH($I509))-(YEAR($H509)*12+MONTH($H509))+1))</f>
        <v/>
      </c>
      <c r="N509" s="68">
        <f>IF(OR($J509="",$B509=""),0,IF(YEAR($B509)*12+MONTH($B509)&lt;=YEAR($C$3)*12+MONTH($C$3),$G509,0))</f>
        <v/>
      </c>
      <c r="O509" s="68">
        <f>IF(OR($J509="",$B509=""),0,IF(YEAR($B509)*12+MONTH($B509)&lt;=YEAR($C$3)*12+MONTH($C$3)-1,$G509,0))</f>
        <v/>
      </c>
      <c r="P509" s="68">
        <f>$M509-$O509</f>
        <v/>
      </c>
      <c r="Q509" s="68">
        <f>($L509-$M509)-($N509-$O509)</f>
        <v/>
      </c>
      <c r="R509" s="68">
        <f>$L509-$N509</f>
        <v/>
      </c>
      <c r="S509" s="67">
        <f>"WIP journal"</f>
        <v/>
      </c>
      <c r="T509" s="67">
        <f>IFERROR(INDEX(tbl_WIP[Revenue or Cost],$A509),"")</f>
        <v/>
      </c>
    </row>
    <row r="510">
      <c r="A510" s="65">
        <f>ROW()-407</f>
        <v/>
      </c>
      <c r="B510" s="66">
        <f>IFERROR(INDEX(tbl_WIP[Month],$A510),"")</f>
        <v/>
      </c>
      <c r="C510" s="67">
        <f>IFERROR(INDEX(tbl_WIP[Xero Invoice No],$A510),"")</f>
        <v/>
      </c>
      <c r="D510" s="67">
        <f>IFERROR(INDEX(tbl_WIP[Client],$A510),"")</f>
        <v/>
      </c>
      <c r="E510" s="67">
        <f>IFERROR(INDEX(tbl_WIP[Job Number],$A510),"")</f>
        <v/>
      </c>
      <c r="F510" s="67">
        <f>IFERROR(INDEX(tbl_WIP[Cost Centre],$A510),"")</f>
        <v/>
      </c>
      <c r="G510" s="68">
        <f>IFERROR(IF(INDEX(tbl_WIP[Defer Start],$A510)="","",IF(INDEX(tbl_WIP[Revenue or Cost],$A510)="Cost",-1,1)*INDEX(tbl_WIP[Amount],$A510)),"")</f>
        <v/>
      </c>
      <c r="H510" s="66">
        <f>IFERROR(INDEX(tbl_WIP[Defer Start],$A510),"")</f>
        <v/>
      </c>
      <c r="I510" s="66">
        <f>IFERROR(INDEX(tbl_WIP[Defer End],$A510),"")</f>
        <v/>
      </c>
      <c r="J510" s="65">
        <f>IF(OR($H510="",$I510="",$G510=""),"",MAX(1,(YEAR($I510)-YEAR($H510))*12+MONTH($I510)-MONTH($H510)+1))</f>
        <v/>
      </c>
      <c r="K510" s="68">
        <f>IF($J510="","",$G510/$J510)</f>
        <v/>
      </c>
      <c r="L510" s="68">
        <f>IF($J510="",0,$K510*MAX(0,MIN(YEAR($C$3)*12+MONTH($C$3),YEAR($I510)*12+MONTH($I510))-(YEAR($H510)*12+MONTH($H510))+1))</f>
        <v/>
      </c>
      <c r="M510" s="68">
        <f>IF($J510="",0,$K510*MAX(0,MIN(YEAR($C$3)*12+MONTH($C$3)-1,YEAR($I510)*12+MONTH($I510))-(YEAR($H510)*12+MONTH($H510))+1))</f>
        <v/>
      </c>
      <c r="N510" s="68">
        <f>IF(OR($J510="",$B510=""),0,IF(YEAR($B510)*12+MONTH($B510)&lt;=YEAR($C$3)*12+MONTH($C$3),$G510,0))</f>
        <v/>
      </c>
      <c r="O510" s="68">
        <f>IF(OR($J510="",$B510=""),0,IF(YEAR($B510)*12+MONTH($B510)&lt;=YEAR($C$3)*12+MONTH($C$3)-1,$G510,0))</f>
        <v/>
      </c>
      <c r="P510" s="68">
        <f>$M510-$O510</f>
        <v/>
      </c>
      <c r="Q510" s="68">
        <f>($L510-$M510)-($N510-$O510)</f>
        <v/>
      </c>
      <c r="R510" s="68">
        <f>$L510-$N510</f>
        <v/>
      </c>
      <c r="S510" s="67">
        <f>"WIP journal"</f>
        <v/>
      </c>
      <c r="T510" s="67">
        <f>IFERROR(INDEX(tbl_WIP[Revenue or Cost],$A510),"")</f>
        <v/>
      </c>
    </row>
    <row r="511">
      <c r="A511" s="65">
        <f>ROW()-407</f>
        <v/>
      </c>
      <c r="B511" s="66">
        <f>IFERROR(INDEX(tbl_WIP[Month],$A511),"")</f>
        <v/>
      </c>
      <c r="C511" s="67">
        <f>IFERROR(INDEX(tbl_WIP[Xero Invoice No],$A511),"")</f>
        <v/>
      </c>
      <c r="D511" s="67">
        <f>IFERROR(INDEX(tbl_WIP[Client],$A511),"")</f>
        <v/>
      </c>
      <c r="E511" s="67">
        <f>IFERROR(INDEX(tbl_WIP[Job Number],$A511),"")</f>
        <v/>
      </c>
      <c r="F511" s="67">
        <f>IFERROR(INDEX(tbl_WIP[Cost Centre],$A511),"")</f>
        <v/>
      </c>
      <c r="G511" s="68">
        <f>IFERROR(IF(INDEX(tbl_WIP[Defer Start],$A511)="","",IF(INDEX(tbl_WIP[Revenue or Cost],$A511)="Cost",-1,1)*INDEX(tbl_WIP[Amount],$A511)),"")</f>
        <v/>
      </c>
      <c r="H511" s="66">
        <f>IFERROR(INDEX(tbl_WIP[Defer Start],$A511),"")</f>
        <v/>
      </c>
      <c r="I511" s="66">
        <f>IFERROR(INDEX(tbl_WIP[Defer End],$A511),"")</f>
        <v/>
      </c>
      <c r="J511" s="65">
        <f>IF(OR($H511="",$I511="",$G511=""),"",MAX(1,(YEAR($I511)-YEAR($H511))*12+MONTH($I511)-MONTH($H511)+1))</f>
        <v/>
      </c>
      <c r="K511" s="68">
        <f>IF($J511="","",$G511/$J511)</f>
        <v/>
      </c>
      <c r="L511" s="68">
        <f>IF($J511="",0,$K511*MAX(0,MIN(YEAR($C$3)*12+MONTH($C$3),YEAR($I511)*12+MONTH($I511))-(YEAR($H511)*12+MONTH($H511))+1))</f>
        <v/>
      </c>
      <c r="M511" s="68">
        <f>IF($J511="",0,$K511*MAX(0,MIN(YEAR($C$3)*12+MONTH($C$3)-1,YEAR($I511)*12+MONTH($I511))-(YEAR($H511)*12+MONTH($H511))+1))</f>
        <v/>
      </c>
      <c r="N511" s="68">
        <f>IF(OR($J511="",$B511=""),0,IF(YEAR($B511)*12+MONTH($B511)&lt;=YEAR($C$3)*12+MONTH($C$3),$G511,0))</f>
        <v/>
      </c>
      <c r="O511" s="68">
        <f>IF(OR($J511="",$B511=""),0,IF(YEAR($B511)*12+MONTH($B511)&lt;=YEAR($C$3)*12+MONTH($C$3)-1,$G511,0))</f>
        <v/>
      </c>
      <c r="P511" s="68">
        <f>$M511-$O511</f>
        <v/>
      </c>
      <c r="Q511" s="68">
        <f>($L511-$M511)-($N511-$O511)</f>
        <v/>
      </c>
      <c r="R511" s="68">
        <f>$L511-$N511</f>
        <v/>
      </c>
      <c r="S511" s="67">
        <f>"WIP journal"</f>
        <v/>
      </c>
      <c r="T511" s="67">
        <f>IFERROR(INDEX(tbl_WIP[Revenue or Cost],$A511),"")</f>
        <v/>
      </c>
    </row>
    <row r="512">
      <c r="A512" s="65">
        <f>ROW()-407</f>
        <v/>
      </c>
      <c r="B512" s="66">
        <f>IFERROR(INDEX(tbl_WIP[Month],$A512),"")</f>
        <v/>
      </c>
      <c r="C512" s="67">
        <f>IFERROR(INDEX(tbl_WIP[Xero Invoice No],$A512),"")</f>
        <v/>
      </c>
      <c r="D512" s="67">
        <f>IFERROR(INDEX(tbl_WIP[Client],$A512),"")</f>
        <v/>
      </c>
      <c r="E512" s="67">
        <f>IFERROR(INDEX(tbl_WIP[Job Number],$A512),"")</f>
        <v/>
      </c>
      <c r="F512" s="67">
        <f>IFERROR(INDEX(tbl_WIP[Cost Centre],$A512),"")</f>
        <v/>
      </c>
      <c r="G512" s="68">
        <f>IFERROR(IF(INDEX(tbl_WIP[Defer Start],$A512)="","",IF(INDEX(tbl_WIP[Revenue or Cost],$A512)="Cost",-1,1)*INDEX(tbl_WIP[Amount],$A512)),"")</f>
        <v/>
      </c>
      <c r="H512" s="66">
        <f>IFERROR(INDEX(tbl_WIP[Defer Start],$A512),"")</f>
        <v/>
      </c>
      <c r="I512" s="66">
        <f>IFERROR(INDEX(tbl_WIP[Defer End],$A512),"")</f>
        <v/>
      </c>
      <c r="J512" s="65">
        <f>IF(OR($H512="",$I512="",$G512=""),"",MAX(1,(YEAR($I512)-YEAR($H512))*12+MONTH($I512)-MONTH($H512)+1))</f>
        <v/>
      </c>
      <c r="K512" s="68">
        <f>IF($J512="","",$G512/$J512)</f>
        <v/>
      </c>
      <c r="L512" s="68">
        <f>IF($J512="",0,$K512*MAX(0,MIN(YEAR($C$3)*12+MONTH($C$3),YEAR($I512)*12+MONTH($I512))-(YEAR($H512)*12+MONTH($H512))+1))</f>
        <v/>
      </c>
      <c r="M512" s="68">
        <f>IF($J512="",0,$K512*MAX(0,MIN(YEAR($C$3)*12+MONTH($C$3)-1,YEAR($I512)*12+MONTH($I512))-(YEAR($H512)*12+MONTH($H512))+1))</f>
        <v/>
      </c>
      <c r="N512" s="68">
        <f>IF(OR($J512="",$B512=""),0,IF(YEAR($B512)*12+MONTH($B512)&lt;=YEAR($C$3)*12+MONTH($C$3),$G512,0))</f>
        <v/>
      </c>
      <c r="O512" s="68">
        <f>IF(OR($J512="",$B512=""),0,IF(YEAR($B512)*12+MONTH($B512)&lt;=YEAR($C$3)*12+MONTH($C$3)-1,$G512,0))</f>
        <v/>
      </c>
      <c r="P512" s="68">
        <f>$M512-$O512</f>
        <v/>
      </c>
      <c r="Q512" s="68">
        <f>($L512-$M512)-($N512-$O512)</f>
        <v/>
      </c>
      <c r="R512" s="68">
        <f>$L512-$N512</f>
        <v/>
      </c>
      <c r="S512" s="67">
        <f>"WIP journal"</f>
        <v/>
      </c>
      <c r="T512" s="67">
        <f>IFERROR(INDEX(tbl_WIP[Revenue or Cost],$A512),"")</f>
        <v/>
      </c>
    </row>
    <row r="513">
      <c r="A513" s="65">
        <f>ROW()-407</f>
        <v/>
      </c>
      <c r="B513" s="66">
        <f>IFERROR(INDEX(tbl_WIP[Month],$A513),"")</f>
        <v/>
      </c>
      <c r="C513" s="67">
        <f>IFERROR(INDEX(tbl_WIP[Xero Invoice No],$A513),"")</f>
        <v/>
      </c>
      <c r="D513" s="67">
        <f>IFERROR(INDEX(tbl_WIP[Client],$A513),"")</f>
        <v/>
      </c>
      <c r="E513" s="67">
        <f>IFERROR(INDEX(tbl_WIP[Job Number],$A513),"")</f>
        <v/>
      </c>
      <c r="F513" s="67">
        <f>IFERROR(INDEX(tbl_WIP[Cost Centre],$A513),"")</f>
        <v/>
      </c>
      <c r="G513" s="68">
        <f>IFERROR(IF(INDEX(tbl_WIP[Defer Start],$A513)="","",IF(INDEX(tbl_WIP[Revenue or Cost],$A513)="Cost",-1,1)*INDEX(tbl_WIP[Amount],$A513)),"")</f>
        <v/>
      </c>
      <c r="H513" s="66">
        <f>IFERROR(INDEX(tbl_WIP[Defer Start],$A513),"")</f>
        <v/>
      </c>
      <c r="I513" s="66">
        <f>IFERROR(INDEX(tbl_WIP[Defer End],$A513),"")</f>
        <v/>
      </c>
      <c r="J513" s="65">
        <f>IF(OR($H513="",$I513="",$G513=""),"",MAX(1,(YEAR($I513)-YEAR($H513))*12+MONTH($I513)-MONTH($H513)+1))</f>
        <v/>
      </c>
      <c r="K513" s="68">
        <f>IF($J513="","",$G513/$J513)</f>
        <v/>
      </c>
      <c r="L513" s="68">
        <f>IF($J513="",0,$K513*MAX(0,MIN(YEAR($C$3)*12+MONTH($C$3),YEAR($I513)*12+MONTH($I513))-(YEAR($H513)*12+MONTH($H513))+1))</f>
        <v/>
      </c>
      <c r="M513" s="68">
        <f>IF($J513="",0,$K513*MAX(0,MIN(YEAR($C$3)*12+MONTH($C$3)-1,YEAR($I513)*12+MONTH($I513))-(YEAR($H513)*12+MONTH($H513))+1))</f>
        <v/>
      </c>
      <c r="N513" s="68">
        <f>IF(OR($J513="",$B513=""),0,IF(YEAR($B513)*12+MONTH($B513)&lt;=YEAR($C$3)*12+MONTH($C$3),$G513,0))</f>
        <v/>
      </c>
      <c r="O513" s="68">
        <f>IF(OR($J513="",$B513=""),0,IF(YEAR($B513)*12+MONTH($B513)&lt;=YEAR($C$3)*12+MONTH($C$3)-1,$G513,0))</f>
        <v/>
      </c>
      <c r="P513" s="68">
        <f>$M513-$O513</f>
        <v/>
      </c>
      <c r="Q513" s="68">
        <f>($L513-$M513)-($N513-$O513)</f>
        <v/>
      </c>
      <c r="R513" s="68">
        <f>$L513-$N513</f>
        <v/>
      </c>
      <c r="S513" s="67">
        <f>"WIP journal"</f>
        <v/>
      </c>
      <c r="T513" s="67">
        <f>IFERROR(INDEX(tbl_WIP[Revenue or Cost],$A513),"")</f>
        <v/>
      </c>
    </row>
    <row r="514">
      <c r="A514" s="65">
        <f>ROW()-407</f>
        <v/>
      </c>
      <c r="B514" s="66">
        <f>IFERROR(INDEX(tbl_WIP[Month],$A514),"")</f>
        <v/>
      </c>
      <c r="C514" s="67">
        <f>IFERROR(INDEX(tbl_WIP[Xero Invoice No],$A514),"")</f>
        <v/>
      </c>
      <c r="D514" s="67">
        <f>IFERROR(INDEX(tbl_WIP[Client],$A514),"")</f>
        <v/>
      </c>
      <c r="E514" s="67">
        <f>IFERROR(INDEX(tbl_WIP[Job Number],$A514),"")</f>
        <v/>
      </c>
      <c r="F514" s="67">
        <f>IFERROR(INDEX(tbl_WIP[Cost Centre],$A514),"")</f>
        <v/>
      </c>
      <c r="G514" s="68">
        <f>IFERROR(IF(INDEX(tbl_WIP[Defer Start],$A514)="","",IF(INDEX(tbl_WIP[Revenue or Cost],$A514)="Cost",-1,1)*INDEX(tbl_WIP[Amount],$A514)),"")</f>
        <v/>
      </c>
      <c r="H514" s="66">
        <f>IFERROR(INDEX(tbl_WIP[Defer Start],$A514),"")</f>
        <v/>
      </c>
      <c r="I514" s="66">
        <f>IFERROR(INDEX(tbl_WIP[Defer End],$A514),"")</f>
        <v/>
      </c>
      <c r="J514" s="65">
        <f>IF(OR($H514="",$I514="",$G514=""),"",MAX(1,(YEAR($I514)-YEAR($H514))*12+MONTH($I514)-MONTH($H514)+1))</f>
        <v/>
      </c>
      <c r="K514" s="68">
        <f>IF($J514="","",$G514/$J514)</f>
        <v/>
      </c>
      <c r="L514" s="68">
        <f>IF($J514="",0,$K514*MAX(0,MIN(YEAR($C$3)*12+MONTH($C$3),YEAR($I514)*12+MONTH($I514))-(YEAR($H514)*12+MONTH($H514))+1))</f>
        <v/>
      </c>
      <c r="M514" s="68">
        <f>IF($J514="",0,$K514*MAX(0,MIN(YEAR($C$3)*12+MONTH($C$3)-1,YEAR($I514)*12+MONTH($I514))-(YEAR($H514)*12+MONTH($H514))+1))</f>
        <v/>
      </c>
      <c r="N514" s="68">
        <f>IF(OR($J514="",$B514=""),0,IF(YEAR($B514)*12+MONTH($B514)&lt;=YEAR($C$3)*12+MONTH($C$3),$G514,0))</f>
        <v/>
      </c>
      <c r="O514" s="68">
        <f>IF(OR($J514="",$B514=""),0,IF(YEAR($B514)*12+MONTH($B514)&lt;=YEAR($C$3)*12+MONTH($C$3)-1,$G514,0))</f>
        <v/>
      </c>
      <c r="P514" s="68">
        <f>$M514-$O514</f>
        <v/>
      </c>
      <c r="Q514" s="68">
        <f>($L514-$M514)-($N514-$O514)</f>
        <v/>
      </c>
      <c r="R514" s="68">
        <f>$L514-$N514</f>
        <v/>
      </c>
      <c r="S514" s="67">
        <f>"WIP journal"</f>
        <v/>
      </c>
      <c r="T514" s="67">
        <f>IFERROR(INDEX(tbl_WIP[Revenue or Cost],$A514),"")</f>
        <v/>
      </c>
    </row>
    <row r="515">
      <c r="A515" s="65">
        <f>ROW()-407</f>
        <v/>
      </c>
      <c r="B515" s="66">
        <f>IFERROR(INDEX(tbl_WIP[Month],$A515),"")</f>
        <v/>
      </c>
      <c r="C515" s="67">
        <f>IFERROR(INDEX(tbl_WIP[Xero Invoice No],$A515),"")</f>
        <v/>
      </c>
      <c r="D515" s="67">
        <f>IFERROR(INDEX(tbl_WIP[Client],$A515),"")</f>
        <v/>
      </c>
      <c r="E515" s="67">
        <f>IFERROR(INDEX(tbl_WIP[Job Number],$A515),"")</f>
        <v/>
      </c>
      <c r="F515" s="67">
        <f>IFERROR(INDEX(tbl_WIP[Cost Centre],$A515),"")</f>
        <v/>
      </c>
      <c r="G515" s="68">
        <f>IFERROR(IF(INDEX(tbl_WIP[Defer Start],$A515)="","",IF(INDEX(tbl_WIP[Revenue or Cost],$A515)="Cost",-1,1)*INDEX(tbl_WIP[Amount],$A515)),"")</f>
        <v/>
      </c>
      <c r="H515" s="66">
        <f>IFERROR(INDEX(tbl_WIP[Defer Start],$A515),"")</f>
        <v/>
      </c>
      <c r="I515" s="66">
        <f>IFERROR(INDEX(tbl_WIP[Defer End],$A515),"")</f>
        <v/>
      </c>
      <c r="J515" s="65">
        <f>IF(OR($H515="",$I515="",$G515=""),"",MAX(1,(YEAR($I515)-YEAR($H515))*12+MONTH($I515)-MONTH($H515)+1))</f>
        <v/>
      </c>
      <c r="K515" s="68">
        <f>IF($J515="","",$G515/$J515)</f>
        <v/>
      </c>
      <c r="L515" s="68">
        <f>IF($J515="",0,$K515*MAX(0,MIN(YEAR($C$3)*12+MONTH($C$3),YEAR($I515)*12+MONTH($I515))-(YEAR($H515)*12+MONTH($H515))+1))</f>
        <v/>
      </c>
      <c r="M515" s="68">
        <f>IF($J515="",0,$K515*MAX(0,MIN(YEAR($C$3)*12+MONTH($C$3)-1,YEAR($I515)*12+MONTH($I515))-(YEAR($H515)*12+MONTH($H515))+1))</f>
        <v/>
      </c>
      <c r="N515" s="68">
        <f>IF(OR($J515="",$B515=""),0,IF(YEAR($B515)*12+MONTH($B515)&lt;=YEAR($C$3)*12+MONTH($C$3),$G515,0))</f>
        <v/>
      </c>
      <c r="O515" s="68">
        <f>IF(OR($J515="",$B515=""),0,IF(YEAR($B515)*12+MONTH($B515)&lt;=YEAR($C$3)*12+MONTH($C$3)-1,$G515,0))</f>
        <v/>
      </c>
      <c r="P515" s="68">
        <f>$M515-$O515</f>
        <v/>
      </c>
      <c r="Q515" s="68">
        <f>($L515-$M515)-($N515-$O515)</f>
        <v/>
      </c>
      <c r="R515" s="68">
        <f>$L515-$N515</f>
        <v/>
      </c>
      <c r="S515" s="67">
        <f>"WIP journal"</f>
        <v/>
      </c>
      <c r="T515" s="67">
        <f>IFERROR(INDEX(tbl_WIP[Revenue or Cost],$A515),"")</f>
        <v/>
      </c>
    </row>
    <row r="516">
      <c r="A516" s="65">
        <f>ROW()-407</f>
        <v/>
      </c>
      <c r="B516" s="66">
        <f>IFERROR(INDEX(tbl_WIP[Month],$A516),"")</f>
        <v/>
      </c>
      <c r="C516" s="67">
        <f>IFERROR(INDEX(tbl_WIP[Xero Invoice No],$A516),"")</f>
        <v/>
      </c>
      <c r="D516" s="67">
        <f>IFERROR(INDEX(tbl_WIP[Client],$A516),"")</f>
        <v/>
      </c>
      <c r="E516" s="67">
        <f>IFERROR(INDEX(tbl_WIP[Job Number],$A516),"")</f>
        <v/>
      </c>
      <c r="F516" s="67">
        <f>IFERROR(INDEX(tbl_WIP[Cost Centre],$A516),"")</f>
        <v/>
      </c>
      <c r="G516" s="68">
        <f>IFERROR(IF(INDEX(tbl_WIP[Defer Start],$A516)="","",IF(INDEX(tbl_WIP[Revenue or Cost],$A516)="Cost",-1,1)*INDEX(tbl_WIP[Amount],$A516)),"")</f>
        <v/>
      </c>
      <c r="H516" s="66">
        <f>IFERROR(INDEX(tbl_WIP[Defer Start],$A516),"")</f>
        <v/>
      </c>
      <c r="I516" s="66">
        <f>IFERROR(INDEX(tbl_WIP[Defer End],$A516),"")</f>
        <v/>
      </c>
      <c r="J516" s="65">
        <f>IF(OR($H516="",$I516="",$G516=""),"",MAX(1,(YEAR($I516)-YEAR($H516))*12+MONTH($I516)-MONTH($H516)+1))</f>
        <v/>
      </c>
      <c r="K516" s="68">
        <f>IF($J516="","",$G516/$J516)</f>
        <v/>
      </c>
      <c r="L516" s="68">
        <f>IF($J516="",0,$K516*MAX(0,MIN(YEAR($C$3)*12+MONTH($C$3),YEAR($I516)*12+MONTH($I516))-(YEAR($H516)*12+MONTH($H516))+1))</f>
        <v/>
      </c>
      <c r="M516" s="68">
        <f>IF($J516="",0,$K516*MAX(0,MIN(YEAR($C$3)*12+MONTH($C$3)-1,YEAR($I516)*12+MONTH($I516))-(YEAR($H516)*12+MONTH($H516))+1))</f>
        <v/>
      </c>
      <c r="N516" s="68">
        <f>IF(OR($J516="",$B516=""),0,IF(YEAR($B516)*12+MONTH($B516)&lt;=YEAR($C$3)*12+MONTH($C$3),$G516,0))</f>
        <v/>
      </c>
      <c r="O516" s="68">
        <f>IF(OR($J516="",$B516=""),0,IF(YEAR($B516)*12+MONTH($B516)&lt;=YEAR($C$3)*12+MONTH($C$3)-1,$G516,0))</f>
        <v/>
      </c>
      <c r="P516" s="68">
        <f>$M516-$O516</f>
        <v/>
      </c>
      <c r="Q516" s="68">
        <f>($L516-$M516)-($N516-$O516)</f>
        <v/>
      </c>
      <c r="R516" s="68">
        <f>$L516-$N516</f>
        <v/>
      </c>
      <c r="S516" s="67">
        <f>"WIP journal"</f>
        <v/>
      </c>
      <c r="T516" s="67">
        <f>IFERROR(INDEX(tbl_WIP[Revenue or Cost],$A516),"")</f>
        <v/>
      </c>
    </row>
    <row r="517">
      <c r="A517" s="65">
        <f>ROW()-407</f>
        <v/>
      </c>
      <c r="B517" s="66">
        <f>IFERROR(INDEX(tbl_WIP[Month],$A517),"")</f>
        <v/>
      </c>
      <c r="C517" s="67">
        <f>IFERROR(INDEX(tbl_WIP[Xero Invoice No],$A517),"")</f>
        <v/>
      </c>
      <c r="D517" s="67">
        <f>IFERROR(INDEX(tbl_WIP[Client],$A517),"")</f>
        <v/>
      </c>
      <c r="E517" s="67">
        <f>IFERROR(INDEX(tbl_WIP[Job Number],$A517),"")</f>
        <v/>
      </c>
      <c r="F517" s="67">
        <f>IFERROR(INDEX(tbl_WIP[Cost Centre],$A517),"")</f>
        <v/>
      </c>
      <c r="G517" s="68">
        <f>IFERROR(IF(INDEX(tbl_WIP[Defer Start],$A517)="","",IF(INDEX(tbl_WIP[Revenue or Cost],$A517)="Cost",-1,1)*INDEX(tbl_WIP[Amount],$A517)),"")</f>
        <v/>
      </c>
      <c r="H517" s="66">
        <f>IFERROR(INDEX(tbl_WIP[Defer Start],$A517),"")</f>
        <v/>
      </c>
      <c r="I517" s="66">
        <f>IFERROR(INDEX(tbl_WIP[Defer End],$A517),"")</f>
        <v/>
      </c>
      <c r="J517" s="65">
        <f>IF(OR($H517="",$I517="",$G517=""),"",MAX(1,(YEAR($I517)-YEAR($H517))*12+MONTH($I517)-MONTH($H517)+1))</f>
        <v/>
      </c>
      <c r="K517" s="68">
        <f>IF($J517="","",$G517/$J517)</f>
        <v/>
      </c>
      <c r="L517" s="68">
        <f>IF($J517="",0,$K517*MAX(0,MIN(YEAR($C$3)*12+MONTH($C$3),YEAR($I517)*12+MONTH($I517))-(YEAR($H517)*12+MONTH($H517))+1))</f>
        <v/>
      </c>
      <c r="M517" s="68">
        <f>IF($J517="",0,$K517*MAX(0,MIN(YEAR($C$3)*12+MONTH($C$3)-1,YEAR($I517)*12+MONTH($I517))-(YEAR($H517)*12+MONTH($H517))+1))</f>
        <v/>
      </c>
      <c r="N517" s="68">
        <f>IF(OR($J517="",$B517=""),0,IF(YEAR($B517)*12+MONTH($B517)&lt;=YEAR($C$3)*12+MONTH($C$3),$G517,0))</f>
        <v/>
      </c>
      <c r="O517" s="68">
        <f>IF(OR($J517="",$B517=""),0,IF(YEAR($B517)*12+MONTH($B517)&lt;=YEAR($C$3)*12+MONTH($C$3)-1,$G517,0))</f>
        <v/>
      </c>
      <c r="P517" s="68">
        <f>$M517-$O517</f>
        <v/>
      </c>
      <c r="Q517" s="68">
        <f>($L517-$M517)-($N517-$O517)</f>
        <v/>
      </c>
      <c r="R517" s="68">
        <f>$L517-$N517</f>
        <v/>
      </c>
      <c r="S517" s="67">
        <f>"WIP journal"</f>
        <v/>
      </c>
      <c r="T517" s="67">
        <f>IFERROR(INDEX(tbl_WIP[Revenue or Cost],$A517),"")</f>
        <v/>
      </c>
    </row>
    <row r="518">
      <c r="A518" s="65">
        <f>ROW()-407</f>
        <v/>
      </c>
      <c r="B518" s="66">
        <f>IFERROR(INDEX(tbl_WIP[Month],$A518),"")</f>
        <v/>
      </c>
      <c r="C518" s="67">
        <f>IFERROR(INDEX(tbl_WIP[Xero Invoice No],$A518),"")</f>
        <v/>
      </c>
      <c r="D518" s="67">
        <f>IFERROR(INDEX(tbl_WIP[Client],$A518),"")</f>
        <v/>
      </c>
      <c r="E518" s="67">
        <f>IFERROR(INDEX(tbl_WIP[Job Number],$A518),"")</f>
        <v/>
      </c>
      <c r="F518" s="67">
        <f>IFERROR(INDEX(tbl_WIP[Cost Centre],$A518),"")</f>
        <v/>
      </c>
      <c r="G518" s="68">
        <f>IFERROR(IF(INDEX(tbl_WIP[Defer Start],$A518)="","",IF(INDEX(tbl_WIP[Revenue or Cost],$A518)="Cost",-1,1)*INDEX(tbl_WIP[Amount],$A518)),"")</f>
        <v/>
      </c>
      <c r="H518" s="66">
        <f>IFERROR(INDEX(tbl_WIP[Defer Start],$A518),"")</f>
        <v/>
      </c>
      <c r="I518" s="66">
        <f>IFERROR(INDEX(tbl_WIP[Defer End],$A518),"")</f>
        <v/>
      </c>
      <c r="J518" s="65">
        <f>IF(OR($H518="",$I518="",$G518=""),"",MAX(1,(YEAR($I518)-YEAR($H518))*12+MONTH($I518)-MONTH($H518)+1))</f>
        <v/>
      </c>
      <c r="K518" s="68">
        <f>IF($J518="","",$G518/$J518)</f>
        <v/>
      </c>
      <c r="L518" s="68">
        <f>IF($J518="",0,$K518*MAX(0,MIN(YEAR($C$3)*12+MONTH($C$3),YEAR($I518)*12+MONTH($I518))-(YEAR($H518)*12+MONTH($H518))+1))</f>
        <v/>
      </c>
      <c r="M518" s="68">
        <f>IF($J518="",0,$K518*MAX(0,MIN(YEAR($C$3)*12+MONTH($C$3)-1,YEAR($I518)*12+MONTH($I518))-(YEAR($H518)*12+MONTH($H518))+1))</f>
        <v/>
      </c>
      <c r="N518" s="68">
        <f>IF(OR($J518="",$B518=""),0,IF(YEAR($B518)*12+MONTH($B518)&lt;=YEAR($C$3)*12+MONTH($C$3),$G518,0))</f>
        <v/>
      </c>
      <c r="O518" s="68">
        <f>IF(OR($J518="",$B518=""),0,IF(YEAR($B518)*12+MONTH($B518)&lt;=YEAR($C$3)*12+MONTH($C$3)-1,$G518,0))</f>
        <v/>
      </c>
      <c r="P518" s="68">
        <f>$M518-$O518</f>
        <v/>
      </c>
      <c r="Q518" s="68">
        <f>($L518-$M518)-($N518-$O518)</f>
        <v/>
      </c>
      <c r="R518" s="68">
        <f>$L518-$N518</f>
        <v/>
      </c>
      <c r="S518" s="67">
        <f>"WIP journal"</f>
        <v/>
      </c>
      <c r="T518" s="67">
        <f>IFERROR(INDEX(tbl_WIP[Revenue or Cost],$A518),"")</f>
        <v/>
      </c>
    </row>
    <row r="519">
      <c r="A519" s="65">
        <f>ROW()-407</f>
        <v/>
      </c>
      <c r="B519" s="66">
        <f>IFERROR(INDEX(tbl_WIP[Month],$A519),"")</f>
        <v/>
      </c>
      <c r="C519" s="67">
        <f>IFERROR(INDEX(tbl_WIP[Xero Invoice No],$A519),"")</f>
        <v/>
      </c>
      <c r="D519" s="67">
        <f>IFERROR(INDEX(tbl_WIP[Client],$A519),"")</f>
        <v/>
      </c>
      <c r="E519" s="67">
        <f>IFERROR(INDEX(tbl_WIP[Job Number],$A519),"")</f>
        <v/>
      </c>
      <c r="F519" s="67">
        <f>IFERROR(INDEX(tbl_WIP[Cost Centre],$A519),"")</f>
        <v/>
      </c>
      <c r="G519" s="68">
        <f>IFERROR(IF(INDEX(tbl_WIP[Defer Start],$A519)="","",IF(INDEX(tbl_WIP[Revenue or Cost],$A519)="Cost",-1,1)*INDEX(tbl_WIP[Amount],$A519)),"")</f>
        <v/>
      </c>
      <c r="H519" s="66">
        <f>IFERROR(INDEX(tbl_WIP[Defer Start],$A519),"")</f>
        <v/>
      </c>
      <c r="I519" s="66">
        <f>IFERROR(INDEX(tbl_WIP[Defer End],$A519),"")</f>
        <v/>
      </c>
      <c r="J519" s="65">
        <f>IF(OR($H519="",$I519="",$G519=""),"",MAX(1,(YEAR($I519)-YEAR($H519))*12+MONTH($I519)-MONTH($H519)+1))</f>
        <v/>
      </c>
      <c r="K519" s="68">
        <f>IF($J519="","",$G519/$J519)</f>
        <v/>
      </c>
      <c r="L519" s="68">
        <f>IF($J519="",0,$K519*MAX(0,MIN(YEAR($C$3)*12+MONTH($C$3),YEAR($I519)*12+MONTH($I519))-(YEAR($H519)*12+MONTH($H519))+1))</f>
        <v/>
      </c>
      <c r="M519" s="68">
        <f>IF($J519="",0,$K519*MAX(0,MIN(YEAR($C$3)*12+MONTH($C$3)-1,YEAR($I519)*12+MONTH($I519))-(YEAR($H519)*12+MONTH($H519))+1))</f>
        <v/>
      </c>
      <c r="N519" s="68">
        <f>IF(OR($J519="",$B519=""),0,IF(YEAR($B519)*12+MONTH($B519)&lt;=YEAR($C$3)*12+MONTH($C$3),$G519,0))</f>
        <v/>
      </c>
      <c r="O519" s="68">
        <f>IF(OR($J519="",$B519=""),0,IF(YEAR($B519)*12+MONTH($B519)&lt;=YEAR($C$3)*12+MONTH($C$3)-1,$G519,0))</f>
        <v/>
      </c>
      <c r="P519" s="68">
        <f>$M519-$O519</f>
        <v/>
      </c>
      <c r="Q519" s="68">
        <f>($L519-$M519)-($N519-$O519)</f>
        <v/>
      </c>
      <c r="R519" s="68">
        <f>$L519-$N519</f>
        <v/>
      </c>
      <c r="S519" s="67">
        <f>"WIP journal"</f>
        <v/>
      </c>
      <c r="T519" s="67">
        <f>IFERROR(INDEX(tbl_WIP[Revenue or Cost],$A519),"")</f>
        <v/>
      </c>
    </row>
    <row r="520">
      <c r="A520" s="65">
        <f>ROW()-407</f>
        <v/>
      </c>
      <c r="B520" s="66">
        <f>IFERROR(INDEX(tbl_WIP[Month],$A520),"")</f>
        <v/>
      </c>
      <c r="C520" s="67">
        <f>IFERROR(INDEX(tbl_WIP[Xero Invoice No],$A520),"")</f>
        <v/>
      </c>
      <c r="D520" s="67">
        <f>IFERROR(INDEX(tbl_WIP[Client],$A520),"")</f>
        <v/>
      </c>
      <c r="E520" s="67">
        <f>IFERROR(INDEX(tbl_WIP[Job Number],$A520),"")</f>
        <v/>
      </c>
      <c r="F520" s="67">
        <f>IFERROR(INDEX(tbl_WIP[Cost Centre],$A520),"")</f>
        <v/>
      </c>
      <c r="G520" s="68">
        <f>IFERROR(IF(INDEX(tbl_WIP[Defer Start],$A520)="","",IF(INDEX(tbl_WIP[Revenue or Cost],$A520)="Cost",-1,1)*INDEX(tbl_WIP[Amount],$A520)),"")</f>
        <v/>
      </c>
      <c r="H520" s="66">
        <f>IFERROR(INDEX(tbl_WIP[Defer Start],$A520),"")</f>
        <v/>
      </c>
      <c r="I520" s="66">
        <f>IFERROR(INDEX(tbl_WIP[Defer End],$A520),"")</f>
        <v/>
      </c>
      <c r="J520" s="65">
        <f>IF(OR($H520="",$I520="",$G520=""),"",MAX(1,(YEAR($I520)-YEAR($H520))*12+MONTH($I520)-MONTH($H520)+1))</f>
        <v/>
      </c>
      <c r="K520" s="68">
        <f>IF($J520="","",$G520/$J520)</f>
        <v/>
      </c>
      <c r="L520" s="68">
        <f>IF($J520="",0,$K520*MAX(0,MIN(YEAR($C$3)*12+MONTH($C$3),YEAR($I520)*12+MONTH($I520))-(YEAR($H520)*12+MONTH($H520))+1))</f>
        <v/>
      </c>
      <c r="M520" s="68">
        <f>IF($J520="",0,$K520*MAX(0,MIN(YEAR($C$3)*12+MONTH($C$3)-1,YEAR($I520)*12+MONTH($I520))-(YEAR($H520)*12+MONTH($H520))+1))</f>
        <v/>
      </c>
      <c r="N520" s="68">
        <f>IF(OR($J520="",$B520=""),0,IF(YEAR($B520)*12+MONTH($B520)&lt;=YEAR($C$3)*12+MONTH($C$3),$G520,0))</f>
        <v/>
      </c>
      <c r="O520" s="68">
        <f>IF(OR($J520="",$B520=""),0,IF(YEAR($B520)*12+MONTH($B520)&lt;=YEAR($C$3)*12+MONTH($C$3)-1,$G520,0))</f>
        <v/>
      </c>
      <c r="P520" s="68">
        <f>$M520-$O520</f>
        <v/>
      </c>
      <c r="Q520" s="68">
        <f>($L520-$M520)-($N520-$O520)</f>
        <v/>
      </c>
      <c r="R520" s="68">
        <f>$L520-$N520</f>
        <v/>
      </c>
      <c r="S520" s="67">
        <f>"WIP journal"</f>
        <v/>
      </c>
      <c r="T520" s="67">
        <f>IFERROR(INDEX(tbl_WIP[Revenue or Cost],$A520),"")</f>
        <v/>
      </c>
    </row>
    <row r="521">
      <c r="A521" s="65">
        <f>ROW()-407</f>
        <v/>
      </c>
      <c r="B521" s="66">
        <f>IFERROR(INDEX(tbl_WIP[Month],$A521),"")</f>
        <v/>
      </c>
      <c r="C521" s="67">
        <f>IFERROR(INDEX(tbl_WIP[Xero Invoice No],$A521),"")</f>
        <v/>
      </c>
      <c r="D521" s="67">
        <f>IFERROR(INDEX(tbl_WIP[Client],$A521),"")</f>
        <v/>
      </c>
      <c r="E521" s="67">
        <f>IFERROR(INDEX(tbl_WIP[Job Number],$A521),"")</f>
        <v/>
      </c>
      <c r="F521" s="67">
        <f>IFERROR(INDEX(tbl_WIP[Cost Centre],$A521),"")</f>
        <v/>
      </c>
      <c r="G521" s="68">
        <f>IFERROR(IF(INDEX(tbl_WIP[Defer Start],$A521)="","",IF(INDEX(tbl_WIP[Revenue or Cost],$A521)="Cost",-1,1)*INDEX(tbl_WIP[Amount],$A521)),"")</f>
        <v/>
      </c>
      <c r="H521" s="66">
        <f>IFERROR(INDEX(tbl_WIP[Defer Start],$A521),"")</f>
        <v/>
      </c>
      <c r="I521" s="66">
        <f>IFERROR(INDEX(tbl_WIP[Defer End],$A521),"")</f>
        <v/>
      </c>
      <c r="J521" s="65">
        <f>IF(OR($H521="",$I521="",$G521=""),"",MAX(1,(YEAR($I521)-YEAR($H521))*12+MONTH($I521)-MONTH($H521)+1))</f>
        <v/>
      </c>
      <c r="K521" s="68">
        <f>IF($J521="","",$G521/$J521)</f>
        <v/>
      </c>
      <c r="L521" s="68">
        <f>IF($J521="",0,$K521*MAX(0,MIN(YEAR($C$3)*12+MONTH($C$3),YEAR($I521)*12+MONTH($I521))-(YEAR($H521)*12+MONTH($H521))+1))</f>
        <v/>
      </c>
      <c r="M521" s="68">
        <f>IF($J521="",0,$K521*MAX(0,MIN(YEAR($C$3)*12+MONTH($C$3)-1,YEAR($I521)*12+MONTH($I521))-(YEAR($H521)*12+MONTH($H521))+1))</f>
        <v/>
      </c>
      <c r="N521" s="68">
        <f>IF(OR($J521="",$B521=""),0,IF(YEAR($B521)*12+MONTH($B521)&lt;=YEAR($C$3)*12+MONTH($C$3),$G521,0))</f>
        <v/>
      </c>
      <c r="O521" s="68">
        <f>IF(OR($J521="",$B521=""),0,IF(YEAR($B521)*12+MONTH($B521)&lt;=YEAR($C$3)*12+MONTH($C$3)-1,$G521,0))</f>
        <v/>
      </c>
      <c r="P521" s="68">
        <f>$M521-$O521</f>
        <v/>
      </c>
      <c r="Q521" s="68">
        <f>($L521-$M521)-($N521-$O521)</f>
        <v/>
      </c>
      <c r="R521" s="68">
        <f>$L521-$N521</f>
        <v/>
      </c>
      <c r="S521" s="67">
        <f>"WIP journal"</f>
        <v/>
      </c>
      <c r="T521" s="67">
        <f>IFERROR(INDEX(tbl_WIP[Revenue or Cost],$A521),"")</f>
        <v/>
      </c>
    </row>
    <row r="522">
      <c r="A522" s="65">
        <f>ROW()-407</f>
        <v/>
      </c>
      <c r="B522" s="66">
        <f>IFERROR(INDEX(tbl_WIP[Month],$A522),"")</f>
        <v/>
      </c>
      <c r="C522" s="67">
        <f>IFERROR(INDEX(tbl_WIP[Xero Invoice No],$A522),"")</f>
        <v/>
      </c>
      <c r="D522" s="67">
        <f>IFERROR(INDEX(tbl_WIP[Client],$A522),"")</f>
        <v/>
      </c>
      <c r="E522" s="67">
        <f>IFERROR(INDEX(tbl_WIP[Job Number],$A522),"")</f>
        <v/>
      </c>
      <c r="F522" s="67">
        <f>IFERROR(INDEX(tbl_WIP[Cost Centre],$A522),"")</f>
        <v/>
      </c>
      <c r="G522" s="68">
        <f>IFERROR(IF(INDEX(tbl_WIP[Defer Start],$A522)="","",IF(INDEX(tbl_WIP[Revenue or Cost],$A522)="Cost",-1,1)*INDEX(tbl_WIP[Amount],$A522)),"")</f>
        <v/>
      </c>
      <c r="H522" s="66">
        <f>IFERROR(INDEX(tbl_WIP[Defer Start],$A522),"")</f>
        <v/>
      </c>
      <c r="I522" s="66">
        <f>IFERROR(INDEX(tbl_WIP[Defer End],$A522),"")</f>
        <v/>
      </c>
      <c r="J522" s="65">
        <f>IF(OR($H522="",$I522="",$G522=""),"",MAX(1,(YEAR($I522)-YEAR($H522))*12+MONTH($I522)-MONTH($H522)+1))</f>
        <v/>
      </c>
      <c r="K522" s="68">
        <f>IF($J522="","",$G522/$J522)</f>
        <v/>
      </c>
      <c r="L522" s="68">
        <f>IF($J522="",0,$K522*MAX(0,MIN(YEAR($C$3)*12+MONTH($C$3),YEAR($I522)*12+MONTH($I522))-(YEAR($H522)*12+MONTH($H522))+1))</f>
        <v/>
      </c>
      <c r="M522" s="68">
        <f>IF($J522="",0,$K522*MAX(0,MIN(YEAR($C$3)*12+MONTH($C$3)-1,YEAR($I522)*12+MONTH($I522))-(YEAR($H522)*12+MONTH($H522))+1))</f>
        <v/>
      </c>
      <c r="N522" s="68">
        <f>IF(OR($J522="",$B522=""),0,IF(YEAR($B522)*12+MONTH($B522)&lt;=YEAR($C$3)*12+MONTH($C$3),$G522,0))</f>
        <v/>
      </c>
      <c r="O522" s="68">
        <f>IF(OR($J522="",$B522=""),0,IF(YEAR($B522)*12+MONTH($B522)&lt;=YEAR($C$3)*12+MONTH($C$3)-1,$G522,0))</f>
        <v/>
      </c>
      <c r="P522" s="68">
        <f>$M522-$O522</f>
        <v/>
      </c>
      <c r="Q522" s="68">
        <f>($L522-$M522)-($N522-$O522)</f>
        <v/>
      </c>
      <c r="R522" s="68">
        <f>$L522-$N522</f>
        <v/>
      </c>
      <c r="S522" s="67">
        <f>"WIP journal"</f>
        <v/>
      </c>
      <c r="T522" s="67">
        <f>IFERROR(INDEX(tbl_WIP[Revenue or Cost],$A522),"")</f>
        <v/>
      </c>
    </row>
    <row r="523">
      <c r="A523" s="65">
        <f>ROW()-407</f>
        <v/>
      </c>
      <c r="B523" s="66">
        <f>IFERROR(INDEX(tbl_WIP[Month],$A523),"")</f>
        <v/>
      </c>
      <c r="C523" s="67">
        <f>IFERROR(INDEX(tbl_WIP[Xero Invoice No],$A523),"")</f>
        <v/>
      </c>
      <c r="D523" s="67">
        <f>IFERROR(INDEX(tbl_WIP[Client],$A523),"")</f>
        <v/>
      </c>
      <c r="E523" s="67">
        <f>IFERROR(INDEX(tbl_WIP[Job Number],$A523),"")</f>
        <v/>
      </c>
      <c r="F523" s="67">
        <f>IFERROR(INDEX(tbl_WIP[Cost Centre],$A523),"")</f>
        <v/>
      </c>
      <c r="G523" s="68">
        <f>IFERROR(IF(INDEX(tbl_WIP[Defer Start],$A523)="","",IF(INDEX(tbl_WIP[Revenue or Cost],$A523)="Cost",-1,1)*INDEX(tbl_WIP[Amount],$A523)),"")</f>
        <v/>
      </c>
      <c r="H523" s="66">
        <f>IFERROR(INDEX(tbl_WIP[Defer Start],$A523),"")</f>
        <v/>
      </c>
      <c r="I523" s="66">
        <f>IFERROR(INDEX(tbl_WIP[Defer End],$A523),"")</f>
        <v/>
      </c>
      <c r="J523" s="65">
        <f>IF(OR($H523="",$I523="",$G523=""),"",MAX(1,(YEAR($I523)-YEAR($H523))*12+MONTH($I523)-MONTH($H523)+1))</f>
        <v/>
      </c>
      <c r="K523" s="68">
        <f>IF($J523="","",$G523/$J523)</f>
        <v/>
      </c>
      <c r="L523" s="68">
        <f>IF($J523="",0,$K523*MAX(0,MIN(YEAR($C$3)*12+MONTH($C$3),YEAR($I523)*12+MONTH($I523))-(YEAR($H523)*12+MONTH($H523))+1))</f>
        <v/>
      </c>
      <c r="M523" s="68">
        <f>IF($J523="",0,$K523*MAX(0,MIN(YEAR($C$3)*12+MONTH($C$3)-1,YEAR($I523)*12+MONTH($I523))-(YEAR($H523)*12+MONTH($H523))+1))</f>
        <v/>
      </c>
      <c r="N523" s="68">
        <f>IF(OR($J523="",$B523=""),0,IF(YEAR($B523)*12+MONTH($B523)&lt;=YEAR($C$3)*12+MONTH($C$3),$G523,0))</f>
        <v/>
      </c>
      <c r="O523" s="68">
        <f>IF(OR($J523="",$B523=""),0,IF(YEAR($B523)*12+MONTH($B523)&lt;=YEAR($C$3)*12+MONTH($C$3)-1,$G523,0))</f>
        <v/>
      </c>
      <c r="P523" s="68">
        <f>$M523-$O523</f>
        <v/>
      </c>
      <c r="Q523" s="68">
        <f>($L523-$M523)-($N523-$O523)</f>
        <v/>
      </c>
      <c r="R523" s="68">
        <f>$L523-$N523</f>
        <v/>
      </c>
      <c r="S523" s="67">
        <f>"WIP journal"</f>
        <v/>
      </c>
      <c r="T523" s="67">
        <f>IFERROR(INDEX(tbl_WIP[Revenue or Cost],$A523),"")</f>
        <v/>
      </c>
    </row>
    <row r="524">
      <c r="A524" s="65">
        <f>ROW()-407</f>
        <v/>
      </c>
      <c r="B524" s="66">
        <f>IFERROR(INDEX(tbl_WIP[Month],$A524),"")</f>
        <v/>
      </c>
      <c r="C524" s="67">
        <f>IFERROR(INDEX(tbl_WIP[Xero Invoice No],$A524),"")</f>
        <v/>
      </c>
      <c r="D524" s="67">
        <f>IFERROR(INDEX(tbl_WIP[Client],$A524),"")</f>
        <v/>
      </c>
      <c r="E524" s="67">
        <f>IFERROR(INDEX(tbl_WIP[Job Number],$A524),"")</f>
        <v/>
      </c>
      <c r="F524" s="67">
        <f>IFERROR(INDEX(tbl_WIP[Cost Centre],$A524),"")</f>
        <v/>
      </c>
      <c r="G524" s="68">
        <f>IFERROR(IF(INDEX(tbl_WIP[Defer Start],$A524)="","",IF(INDEX(tbl_WIP[Revenue or Cost],$A524)="Cost",-1,1)*INDEX(tbl_WIP[Amount],$A524)),"")</f>
        <v/>
      </c>
      <c r="H524" s="66">
        <f>IFERROR(INDEX(tbl_WIP[Defer Start],$A524),"")</f>
        <v/>
      </c>
      <c r="I524" s="66">
        <f>IFERROR(INDEX(tbl_WIP[Defer End],$A524),"")</f>
        <v/>
      </c>
      <c r="J524" s="65">
        <f>IF(OR($H524="",$I524="",$G524=""),"",MAX(1,(YEAR($I524)-YEAR($H524))*12+MONTH($I524)-MONTH($H524)+1))</f>
        <v/>
      </c>
      <c r="K524" s="68">
        <f>IF($J524="","",$G524/$J524)</f>
        <v/>
      </c>
      <c r="L524" s="68">
        <f>IF($J524="",0,$K524*MAX(0,MIN(YEAR($C$3)*12+MONTH($C$3),YEAR($I524)*12+MONTH($I524))-(YEAR($H524)*12+MONTH($H524))+1))</f>
        <v/>
      </c>
      <c r="M524" s="68">
        <f>IF($J524="",0,$K524*MAX(0,MIN(YEAR($C$3)*12+MONTH($C$3)-1,YEAR($I524)*12+MONTH($I524))-(YEAR($H524)*12+MONTH($H524))+1))</f>
        <v/>
      </c>
      <c r="N524" s="68">
        <f>IF(OR($J524="",$B524=""),0,IF(YEAR($B524)*12+MONTH($B524)&lt;=YEAR($C$3)*12+MONTH($C$3),$G524,0))</f>
        <v/>
      </c>
      <c r="O524" s="68">
        <f>IF(OR($J524="",$B524=""),0,IF(YEAR($B524)*12+MONTH($B524)&lt;=YEAR($C$3)*12+MONTH($C$3)-1,$G524,0))</f>
        <v/>
      </c>
      <c r="P524" s="68">
        <f>$M524-$O524</f>
        <v/>
      </c>
      <c r="Q524" s="68">
        <f>($L524-$M524)-($N524-$O524)</f>
        <v/>
      </c>
      <c r="R524" s="68">
        <f>$L524-$N524</f>
        <v/>
      </c>
      <c r="S524" s="67">
        <f>"WIP journal"</f>
        <v/>
      </c>
      <c r="T524" s="67">
        <f>IFERROR(INDEX(tbl_WIP[Revenue or Cost],$A524),"")</f>
        <v/>
      </c>
    </row>
    <row r="525">
      <c r="A525" s="65">
        <f>ROW()-407</f>
        <v/>
      </c>
      <c r="B525" s="66">
        <f>IFERROR(INDEX(tbl_WIP[Month],$A525),"")</f>
        <v/>
      </c>
      <c r="C525" s="67">
        <f>IFERROR(INDEX(tbl_WIP[Xero Invoice No],$A525),"")</f>
        <v/>
      </c>
      <c r="D525" s="67">
        <f>IFERROR(INDEX(tbl_WIP[Client],$A525),"")</f>
        <v/>
      </c>
      <c r="E525" s="67">
        <f>IFERROR(INDEX(tbl_WIP[Job Number],$A525),"")</f>
        <v/>
      </c>
      <c r="F525" s="67">
        <f>IFERROR(INDEX(tbl_WIP[Cost Centre],$A525),"")</f>
        <v/>
      </c>
      <c r="G525" s="68">
        <f>IFERROR(IF(INDEX(tbl_WIP[Defer Start],$A525)="","",IF(INDEX(tbl_WIP[Revenue or Cost],$A525)="Cost",-1,1)*INDEX(tbl_WIP[Amount],$A525)),"")</f>
        <v/>
      </c>
      <c r="H525" s="66">
        <f>IFERROR(INDEX(tbl_WIP[Defer Start],$A525),"")</f>
        <v/>
      </c>
      <c r="I525" s="66">
        <f>IFERROR(INDEX(tbl_WIP[Defer End],$A525),"")</f>
        <v/>
      </c>
      <c r="J525" s="65">
        <f>IF(OR($H525="",$I525="",$G525=""),"",MAX(1,(YEAR($I525)-YEAR($H525))*12+MONTH($I525)-MONTH($H525)+1))</f>
        <v/>
      </c>
      <c r="K525" s="68">
        <f>IF($J525="","",$G525/$J525)</f>
        <v/>
      </c>
      <c r="L525" s="68">
        <f>IF($J525="",0,$K525*MAX(0,MIN(YEAR($C$3)*12+MONTH($C$3),YEAR($I525)*12+MONTH($I525))-(YEAR($H525)*12+MONTH($H525))+1))</f>
        <v/>
      </c>
      <c r="M525" s="68">
        <f>IF($J525="",0,$K525*MAX(0,MIN(YEAR($C$3)*12+MONTH($C$3)-1,YEAR($I525)*12+MONTH($I525))-(YEAR($H525)*12+MONTH($H525))+1))</f>
        <v/>
      </c>
      <c r="N525" s="68">
        <f>IF(OR($J525="",$B525=""),0,IF(YEAR($B525)*12+MONTH($B525)&lt;=YEAR($C$3)*12+MONTH($C$3),$G525,0))</f>
        <v/>
      </c>
      <c r="O525" s="68">
        <f>IF(OR($J525="",$B525=""),0,IF(YEAR($B525)*12+MONTH($B525)&lt;=YEAR($C$3)*12+MONTH($C$3)-1,$G525,0))</f>
        <v/>
      </c>
      <c r="P525" s="68">
        <f>$M525-$O525</f>
        <v/>
      </c>
      <c r="Q525" s="68">
        <f>($L525-$M525)-($N525-$O525)</f>
        <v/>
      </c>
      <c r="R525" s="68">
        <f>$L525-$N525</f>
        <v/>
      </c>
      <c r="S525" s="67">
        <f>"WIP journal"</f>
        <v/>
      </c>
      <c r="T525" s="67">
        <f>IFERROR(INDEX(tbl_WIP[Revenue or Cost],$A525),"")</f>
        <v/>
      </c>
    </row>
    <row r="526">
      <c r="A526" s="65">
        <f>ROW()-407</f>
        <v/>
      </c>
      <c r="B526" s="66">
        <f>IFERROR(INDEX(tbl_WIP[Month],$A526),"")</f>
        <v/>
      </c>
      <c r="C526" s="67">
        <f>IFERROR(INDEX(tbl_WIP[Xero Invoice No],$A526),"")</f>
        <v/>
      </c>
      <c r="D526" s="67">
        <f>IFERROR(INDEX(tbl_WIP[Client],$A526),"")</f>
        <v/>
      </c>
      <c r="E526" s="67">
        <f>IFERROR(INDEX(tbl_WIP[Job Number],$A526),"")</f>
        <v/>
      </c>
      <c r="F526" s="67">
        <f>IFERROR(INDEX(tbl_WIP[Cost Centre],$A526),"")</f>
        <v/>
      </c>
      <c r="G526" s="68">
        <f>IFERROR(IF(INDEX(tbl_WIP[Defer Start],$A526)="","",IF(INDEX(tbl_WIP[Revenue or Cost],$A526)="Cost",-1,1)*INDEX(tbl_WIP[Amount],$A526)),"")</f>
        <v/>
      </c>
      <c r="H526" s="66">
        <f>IFERROR(INDEX(tbl_WIP[Defer Start],$A526),"")</f>
        <v/>
      </c>
      <c r="I526" s="66">
        <f>IFERROR(INDEX(tbl_WIP[Defer End],$A526),"")</f>
        <v/>
      </c>
      <c r="J526" s="65">
        <f>IF(OR($H526="",$I526="",$G526=""),"",MAX(1,(YEAR($I526)-YEAR($H526))*12+MONTH($I526)-MONTH($H526)+1))</f>
        <v/>
      </c>
      <c r="K526" s="68">
        <f>IF($J526="","",$G526/$J526)</f>
        <v/>
      </c>
      <c r="L526" s="68">
        <f>IF($J526="",0,$K526*MAX(0,MIN(YEAR($C$3)*12+MONTH($C$3),YEAR($I526)*12+MONTH($I526))-(YEAR($H526)*12+MONTH($H526))+1))</f>
        <v/>
      </c>
      <c r="M526" s="68">
        <f>IF($J526="",0,$K526*MAX(0,MIN(YEAR($C$3)*12+MONTH($C$3)-1,YEAR($I526)*12+MONTH($I526))-(YEAR($H526)*12+MONTH($H526))+1))</f>
        <v/>
      </c>
      <c r="N526" s="68">
        <f>IF(OR($J526="",$B526=""),0,IF(YEAR($B526)*12+MONTH($B526)&lt;=YEAR($C$3)*12+MONTH($C$3),$G526,0))</f>
        <v/>
      </c>
      <c r="O526" s="68">
        <f>IF(OR($J526="",$B526=""),0,IF(YEAR($B526)*12+MONTH($B526)&lt;=YEAR($C$3)*12+MONTH($C$3)-1,$G526,0))</f>
        <v/>
      </c>
      <c r="P526" s="68">
        <f>$M526-$O526</f>
        <v/>
      </c>
      <c r="Q526" s="68">
        <f>($L526-$M526)-($N526-$O526)</f>
        <v/>
      </c>
      <c r="R526" s="68">
        <f>$L526-$N526</f>
        <v/>
      </c>
      <c r="S526" s="67">
        <f>"WIP journal"</f>
        <v/>
      </c>
      <c r="T526" s="67">
        <f>IFERROR(INDEX(tbl_WIP[Revenue or Cost],$A526),"")</f>
        <v/>
      </c>
    </row>
    <row r="527">
      <c r="A527" s="65">
        <f>ROW()-407</f>
        <v/>
      </c>
      <c r="B527" s="66">
        <f>IFERROR(INDEX(tbl_WIP[Month],$A527),"")</f>
        <v/>
      </c>
      <c r="C527" s="67">
        <f>IFERROR(INDEX(tbl_WIP[Xero Invoice No],$A527),"")</f>
        <v/>
      </c>
      <c r="D527" s="67">
        <f>IFERROR(INDEX(tbl_WIP[Client],$A527),"")</f>
        <v/>
      </c>
      <c r="E527" s="67">
        <f>IFERROR(INDEX(tbl_WIP[Job Number],$A527),"")</f>
        <v/>
      </c>
      <c r="F527" s="67">
        <f>IFERROR(INDEX(tbl_WIP[Cost Centre],$A527),"")</f>
        <v/>
      </c>
      <c r="G527" s="68">
        <f>IFERROR(IF(INDEX(tbl_WIP[Defer Start],$A527)="","",IF(INDEX(tbl_WIP[Revenue or Cost],$A527)="Cost",-1,1)*INDEX(tbl_WIP[Amount],$A527)),"")</f>
        <v/>
      </c>
      <c r="H527" s="66">
        <f>IFERROR(INDEX(tbl_WIP[Defer Start],$A527),"")</f>
        <v/>
      </c>
      <c r="I527" s="66">
        <f>IFERROR(INDEX(tbl_WIP[Defer End],$A527),"")</f>
        <v/>
      </c>
      <c r="J527" s="65">
        <f>IF(OR($H527="",$I527="",$G527=""),"",MAX(1,(YEAR($I527)-YEAR($H527))*12+MONTH($I527)-MONTH($H527)+1))</f>
        <v/>
      </c>
      <c r="K527" s="68">
        <f>IF($J527="","",$G527/$J527)</f>
        <v/>
      </c>
      <c r="L527" s="68">
        <f>IF($J527="",0,$K527*MAX(0,MIN(YEAR($C$3)*12+MONTH($C$3),YEAR($I527)*12+MONTH($I527))-(YEAR($H527)*12+MONTH($H527))+1))</f>
        <v/>
      </c>
      <c r="M527" s="68">
        <f>IF($J527="",0,$K527*MAX(0,MIN(YEAR($C$3)*12+MONTH($C$3)-1,YEAR($I527)*12+MONTH($I527))-(YEAR($H527)*12+MONTH($H527))+1))</f>
        <v/>
      </c>
      <c r="N527" s="68">
        <f>IF(OR($J527="",$B527=""),0,IF(YEAR($B527)*12+MONTH($B527)&lt;=YEAR($C$3)*12+MONTH($C$3),$G527,0))</f>
        <v/>
      </c>
      <c r="O527" s="68">
        <f>IF(OR($J527="",$B527=""),0,IF(YEAR($B527)*12+MONTH($B527)&lt;=YEAR($C$3)*12+MONTH($C$3)-1,$G527,0))</f>
        <v/>
      </c>
      <c r="P527" s="68">
        <f>$M527-$O527</f>
        <v/>
      </c>
      <c r="Q527" s="68">
        <f>($L527-$M527)-($N527-$O527)</f>
        <v/>
      </c>
      <c r="R527" s="68">
        <f>$L527-$N527</f>
        <v/>
      </c>
      <c r="S527" s="67">
        <f>"WIP journal"</f>
        <v/>
      </c>
      <c r="T527" s="67">
        <f>IFERROR(INDEX(tbl_WIP[Revenue or Cost],$A527),"")</f>
        <v/>
      </c>
    </row>
    <row r="528">
      <c r="A528" s="65">
        <f>ROW()-407</f>
        <v/>
      </c>
      <c r="B528" s="66">
        <f>IFERROR(INDEX(tbl_WIP[Month],$A528),"")</f>
        <v/>
      </c>
      <c r="C528" s="67">
        <f>IFERROR(INDEX(tbl_WIP[Xero Invoice No],$A528),"")</f>
        <v/>
      </c>
      <c r="D528" s="67">
        <f>IFERROR(INDEX(tbl_WIP[Client],$A528),"")</f>
        <v/>
      </c>
      <c r="E528" s="67">
        <f>IFERROR(INDEX(tbl_WIP[Job Number],$A528),"")</f>
        <v/>
      </c>
      <c r="F528" s="67">
        <f>IFERROR(INDEX(tbl_WIP[Cost Centre],$A528),"")</f>
        <v/>
      </c>
      <c r="G528" s="68">
        <f>IFERROR(IF(INDEX(tbl_WIP[Defer Start],$A528)="","",IF(INDEX(tbl_WIP[Revenue or Cost],$A528)="Cost",-1,1)*INDEX(tbl_WIP[Amount],$A528)),"")</f>
        <v/>
      </c>
      <c r="H528" s="66">
        <f>IFERROR(INDEX(tbl_WIP[Defer Start],$A528),"")</f>
        <v/>
      </c>
      <c r="I528" s="66">
        <f>IFERROR(INDEX(tbl_WIP[Defer End],$A528),"")</f>
        <v/>
      </c>
      <c r="J528" s="65">
        <f>IF(OR($H528="",$I528="",$G528=""),"",MAX(1,(YEAR($I528)-YEAR($H528))*12+MONTH($I528)-MONTH($H528)+1))</f>
        <v/>
      </c>
      <c r="K528" s="68">
        <f>IF($J528="","",$G528/$J528)</f>
        <v/>
      </c>
      <c r="L528" s="68">
        <f>IF($J528="",0,$K528*MAX(0,MIN(YEAR($C$3)*12+MONTH($C$3),YEAR($I528)*12+MONTH($I528))-(YEAR($H528)*12+MONTH($H528))+1))</f>
        <v/>
      </c>
      <c r="M528" s="68">
        <f>IF($J528="",0,$K528*MAX(0,MIN(YEAR($C$3)*12+MONTH($C$3)-1,YEAR($I528)*12+MONTH($I528))-(YEAR($H528)*12+MONTH($H528))+1))</f>
        <v/>
      </c>
      <c r="N528" s="68">
        <f>IF(OR($J528="",$B528=""),0,IF(YEAR($B528)*12+MONTH($B528)&lt;=YEAR($C$3)*12+MONTH($C$3),$G528,0))</f>
        <v/>
      </c>
      <c r="O528" s="68">
        <f>IF(OR($J528="",$B528=""),0,IF(YEAR($B528)*12+MONTH($B528)&lt;=YEAR($C$3)*12+MONTH($C$3)-1,$G528,0))</f>
        <v/>
      </c>
      <c r="P528" s="68">
        <f>$M528-$O528</f>
        <v/>
      </c>
      <c r="Q528" s="68">
        <f>($L528-$M528)-($N528-$O528)</f>
        <v/>
      </c>
      <c r="R528" s="68">
        <f>$L528-$N528</f>
        <v/>
      </c>
      <c r="S528" s="67">
        <f>"WIP journal"</f>
        <v/>
      </c>
      <c r="T528" s="67">
        <f>IFERROR(INDEX(tbl_WIP[Revenue or Cost],$A528),"")</f>
        <v/>
      </c>
    </row>
    <row r="529">
      <c r="A529" s="65">
        <f>ROW()-407</f>
        <v/>
      </c>
      <c r="B529" s="66">
        <f>IFERROR(INDEX(tbl_WIP[Month],$A529),"")</f>
        <v/>
      </c>
      <c r="C529" s="67">
        <f>IFERROR(INDEX(tbl_WIP[Xero Invoice No],$A529),"")</f>
        <v/>
      </c>
      <c r="D529" s="67">
        <f>IFERROR(INDEX(tbl_WIP[Client],$A529),"")</f>
        <v/>
      </c>
      <c r="E529" s="67">
        <f>IFERROR(INDEX(tbl_WIP[Job Number],$A529),"")</f>
        <v/>
      </c>
      <c r="F529" s="67">
        <f>IFERROR(INDEX(tbl_WIP[Cost Centre],$A529),"")</f>
        <v/>
      </c>
      <c r="G529" s="68">
        <f>IFERROR(IF(INDEX(tbl_WIP[Defer Start],$A529)="","",IF(INDEX(tbl_WIP[Revenue or Cost],$A529)="Cost",-1,1)*INDEX(tbl_WIP[Amount],$A529)),"")</f>
        <v/>
      </c>
      <c r="H529" s="66">
        <f>IFERROR(INDEX(tbl_WIP[Defer Start],$A529),"")</f>
        <v/>
      </c>
      <c r="I529" s="66">
        <f>IFERROR(INDEX(tbl_WIP[Defer End],$A529),"")</f>
        <v/>
      </c>
      <c r="J529" s="65">
        <f>IF(OR($H529="",$I529="",$G529=""),"",MAX(1,(YEAR($I529)-YEAR($H529))*12+MONTH($I529)-MONTH($H529)+1))</f>
        <v/>
      </c>
      <c r="K529" s="68">
        <f>IF($J529="","",$G529/$J529)</f>
        <v/>
      </c>
      <c r="L529" s="68">
        <f>IF($J529="",0,$K529*MAX(0,MIN(YEAR($C$3)*12+MONTH($C$3),YEAR($I529)*12+MONTH($I529))-(YEAR($H529)*12+MONTH($H529))+1))</f>
        <v/>
      </c>
      <c r="M529" s="68">
        <f>IF($J529="",0,$K529*MAX(0,MIN(YEAR($C$3)*12+MONTH($C$3)-1,YEAR($I529)*12+MONTH($I529))-(YEAR($H529)*12+MONTH($H529))+1))</f>
        <v/>
      </c>
      <c r="N529" s="68">
        <f>IF(OR($J529="",$B529=""),0,IF(YEAR($B529)*12+MONTH($B529)&lt;=YEAR($C$3)*12+MONTH($C$3),$G529,0))</f>
        <v/>
      </c>
      <c r="O529" s="68">
        <f>IF(OR($J529="",$B529=""),0,IF(YEAR($B529)*12+MONTH($B529)&lt;=YEAR($C$3)*12+MONTH($C$3)-1,$G529,0))</f>
        <v/>
      </c>
      <c r="P529" s="68">
        <f>$M529-$O529</f>
        <v/>
      </c>
      <c r="Q529" s="68">
        <f>($L529-$M529)-($N529-$O529)</f>
        <v/>
      </c>
      <c r="R529" s="68">
        <f>$L529-$N529</f>
        <v/>
      </c>
      <c r="S529" s="67">
        <f>"WIP journal"</f>
        <v/>
      </c>
      <c r="T529" s="67">
        <f>IFERROR(INDEX(tbl_WIP[Revenue or Cost],$A529),"")</f>
        <v/>
      </c>
    </row>
    <row r="530">
      <c r="A530" s="65">
        <f>ROW()-407</f>
        <v/>
      </c>
      <c r="B530" s="66">
        <f>IFERROR(INDEX(tbl_WIP[Month],$A530),"")</f>
        <v/>
      </c>
      <c r="C530" s="67">
        <f>IFERROR(INDEX(tbl_WIP[Xero Invoice No],$A530),"")</f>
        <v/>
      </c>
      <c r="D530" s="67">
        <f>IFERROR(INDEX(tbl_WIP[Client],$A530),"")</f>
        <v/>
      </c>
      <c r="E530" s="67">
        <f>IFERROR(INDEX(tbl_WIP[Job Number],$A530),"")</f>
        <v/>
      </c>
      <c r="F530" s="67">
        <f>IFERROR(INDEX(tbl_WIP[Cost Centre],$A530),"")</f>
        <v/>
      </c>
      <c r="G530" s="68">
        <f>IFERROR(IF(INDEX(tbl_WIP[Defer Start],$A530)="","",IF(INDEX(tbl_WIP[Revenue or Cost],$A530)="Cost",-1,1)*INDEX(tbl_WIP[Amount],$A530)),"")</f>
        <v/>
      </c>
      <c r="H530" s="66">
        <f>IFERROR(INDEX(tbl_WIP[Defer Start],$A530),"")</f>
        <v/>
      </c>
      <c r="I530" s="66">
        <f>IFERROR(INDEX(tbl_WIP[Defer End],$A530),"")</f>
        <v/>
      </c>
      <c r="J530" s="65">
        <f>IF(OR($H530="",$I530="",$G530=""),"",MAX(1,(YEAR($I530)-YEAR($H530))*12+MONTH($I530)-MONTH($H530)+1))</f>
        <v/>
      </c>
      <c r="K530" s="68">
        <f>IF($J530="","",$G530/$J530)</f>
        <v/>
      </c>
      <c r="L530" s="68">
        <f>IF($J530="",0,$K530*MAX(0,MIN(YEAR($C$3)*12+MONTH($C$3),YEAR($I530)*12+MONTH($I530))-(YEAR($H530)*12+MONTH($H530))+1))</f>
        <v/>
      </c>
      <c r="M530" s="68">
        <f>IF($J530="",0,$K530*MAX(0,MIN(YEAR($C$3)*12+MONTH($C$3)-1,YEAR($I530)*12+MONTH($I530))-(YEAR($H530)*12+MONTH($H530))+1))</f>
        <v/>
      </c>
      <c r="N530" s="68">
        <f>IF(OR($J530="",$B530=""),0,IF(YEAR($B530)*12+MONTH($B530)&lt;=YEAR($C$3)*12+MONTH($C$3),$G530,0))</f>
        <v/>
      </c>
      <c r="O530" s="68">
        <f>IF(OR($J530="",$B530=""),0,IF(YEAR($B530)*12+MONTH($B530)&lt;=YEAR($C$3)*12+MONTH($C$3)-1,$G530,0))</f>
        <v/>
      </c>
      <c r="P530" s="68">
        <f>$M530-$O530</f>
        <v/>
      </c>
      <c r="Q530" s="68">
        <f>($L530-$M530)-($N530-$O530)</f>
        <v/>
      </c>
      <c r="R530" s="68">
        <f>$L530-$N530</f>
        <v/>
      </c>
      <c r="S530" s="67">
        <f>"WIP journal"</f>
        <v/>
      </c>
      <c r="T530" s="67">
        <f>IFERROR(INDEX(tbl_WIP[Revenue or Cost],$A530),"")</f>
        <v/>
      </c>
    </row>
    <row r="531">
      <c r="A531" s="65">
        <f>ROW()-407</f>
        <v/>
      </c>
      <c r="B531" s="66">
        <f>IFERROR(INDEX(tbl_WIP[Month],$A531),"")</f>
        <v/>
      </c>
      <c r="C531" s="67">
        <f>IFERROR(INDEX(tbl_WIP[Xero Invoice No],$A531),"")</f>
        <v/>
      </c>
      <c r="D531" s="67">
        <f>IFERROR(INDEX(tbl_WIP[Client],$A531),"")</f>
        <v/>
      </c>
      <c r="E531" s="67">
        <f>IFERROR(INDEX(tbl_WIP[Job Number],$A531),"")</f>
        <v/>
      </c>
      <c r="F531" s="67">
        <f>IFERROR(INDEX(tbl_WIP[Cost Centre],$A531),"")</f>
        <v/>
      </c>
      <c r="G531" s="68">
        <f>IFERROR(IF(INDEX(tbl_WIP[Defer Start],$A531)="","",IF(INDEX(tbl_WIP[Revenue or Cost],$A531)="Cost",-1,1)*INDEX(tbl_WIP[Amount],$A531)),"")</f>
        <v/>
      </c>
      <c r="H531" s="66">
        <f>IFERROR(INDEX(tbl_WIP[Defer Start],$A531),"")</f>
        <v/>
      </c>
      <c r="I531" s="66">
        <f>IFERROR(INDEX(tbl_WIP[Defer End],$A531),"")</f>
        <v/>
      </c>
      <c r="J531" s="65">
        <f>IF(OR($H531="",$I531="",$G531=""),"",MAX(1,(YEAR($I531)-YEAR($H531))*12+MONTH($I531)-MONTH($H531)+1))</f>
        <v/>
      </c>
      <c r="K531" s="68">
        <f>IF($J531="","",$G531/$J531)</f>
        <v/>
      </c>
      <c r="L531" s="68">
        <f>IF($J531="",0,$K531*MAX(0,MIN(YEAR($C$3)*12+MONTH($C$3),YEAR($I531)*12+MONTH($I531))-(YEAR($H531)*12+MONTH($H531))+1))</f>
        <v/>
      </c>
      <c r="M531" s="68">
        <f>IF($J531="",0,$K531*MAX(0,MIN(YEAR($C$3)*12+MONTH($C$3)-1,YEAR($I531)*12+MONTH($I531))-(YEAR($H531)*12+MONTH($H531))+1))</f>
        <v/>
      </c>
      <c r="N531" s="68">
        <f>IF(OR($J531="",$B531=""),0,IF(YEAR($B531)*12+MONTH($B531)&lt;=YEAR($C$3)*12+MONTH($C$3),$G531,0))</f>
        <v/>
      </c>
      <c r="O531" s="68">
        <f>IF(OR($J531="",$B531=""),0,IF(YEAR($B531)*12+MONTH($B531)&lt;=YEAR($C$3)*12+MONTH($C$3)-1,$G531,0))</f>
        <v/>
      </c>
      <c r="P531" s="68">
        <f>$M531-$O531</f>
        <v/>
      </c>
      <c r="Q531" s="68">
        <f>($L531-$M531)-($N531-$O531)</f>
        <v/>
      </c>
      <c r="R531" s="68">
        <f>$L531-$N531</f>
        <v/>
      </c>
      <c r="S531" s="67">
        <f>"WIP journal"</f>
        <v/>
      </c>
      <c r="T531" s="67">
        <f>IFERROR(INDEX(tbl_WIP[Revenue or Cost],$A531),"")</f>
        <v/>
      </c>
    </row>
    <row r="532">
      <c r="A532" s="65">
        <f>ROW()-407</f>
        <v/>
      </c>
      <c r="B532" s="66">
        <f>IFERROR(INDEX(tbl_WIP[Month],$A532),"")</f>
        <v/>
      </c>
      <c r="C532" s="67">
        <f>IFERROR(INDEX(tbl_WIP[Xero Invoice No],$A532),"")</f>
        <v/>
      </c>
      <c r="D532" s="67">
        <f>IFERROR(INDEX(tbl_WIP[Client],$A532),"")</f>
        <v/>
      </c>
      <c r="E532" s="67">
        <f>IFERROR(INDEX(tbl_WIP[Job Number],$A532),"")</f>
        <v/>
      </c>
      <c r="F532" s="67">
        <f>IFERROR(INDEX(tbl_WIP[Cost Centre],$A532),"")</f>
        <v/>
      </c>
      <c r="G532" s="68">
        <f>IFERROR(IF(INDEX(tbl_WIP[Defer Start],$A532)="","",IF(INDEX(tbl_WIP[Revenue or Cost],$A532)="Cost",-1,1)*INDEX(tbl_WIP[Amount],$A532)),"")</f>
        <v/>
      </c>
      <c r="H532" s="66">
        <f>IFERROR(INDEX(tbl_WIP[Defer Start],$A532),"")</f>
        <v/>
      </c>
      <c r="I532" s="66">
        <f>IFERROR(INDEX(tbl_WIP[Defer End],$A532),"")</f>
        <v/>
      </c>
      <c r="J532" s="65">
        <f>IF(OR($H532="",$I532="",$G532=""),"",MAX(1,(YEAR($I532)-YEAR($H532))*12+MONTH($I532)-MONTH($H532)+1))</f>
        <v/>
      </c>
      <c r="K532" s="68">
        <f>IF($J532="","",$G532/$J532)</f>
        <v/>
      </c>
      <c r="L532" s="68">
        <f>IF($J532="",0,$K532*MAX(0,MIN(YEAR($C$3)*12+MONTH($C$3),YEAR($I532)*12+MONTH($I532))-(YEAR($H532)*12+MONTH($H532))+1))</f>
        <v/>
      </c>
      <c r="M532" s="68">
        <f>IF($J532="",0,$K532*MAX(0,MIN(YEAR($C$3)*12+MONTH($C$3)-1,YEAR($I532)*12+MONTH($I532))-(YEAR($H532)*12+MONTH($H532))+1))</f>
        <v/>
      </c>
      <c r="N532" s="68">
        <f>IF(OR($J532="",$B532=""),0,IF(YEAR($B532)*12+MONTH($B532)&lt;=YEAR($C$3)*12+MONTH($C$3),$G532,0))</f>
        <v/>
      </c>
      <c r="O532" s="68">
        <f>IF(OR($J532="",$B532=""),0,IF(YEAR($B532)*12+MONTH($B532)&lt;=YEAR($C$3)*12+MONTH($C$3)-1,$G532,0))</f>
        <v/>
      </c>
      <c r="P532" s="68">
        <f>$M532-$O532</f>
        <v/>
      </c>
      <c r="Q532" s="68">
        <f>($L532-$M532)-($N532-$O532)</f>
        <v/>
      </c>
      <c r="R532" s="68">
        <f>$L532-$N532</f>
        <v/>
      </c>
      <c r="S532" s="67">
        <f>"WIP journal"</f>
        <v/>
      </c>
      <c r="T532" s="67">
        <f>IFERROR(INDEX(tbl_WIP[Revenue or Cost],$A532),"")</f>
        <v/>
      </c>
    </row>
    <row r="533">
      <c r="A533" s="65">
        <f>ROW()-407</f>
        <v/>
      </c>
      <c r="B533" s="66">
        <f>IFERROR(INDEX(tbl_WIP[Month],$A533),"")</f>
        <v/>
      </c>
      <c r="C533" s="67">
        <f>IFERROR(INDEX(tbl_WIP[Xero Invoice No],$A533),"")</f>
        <v/>
      </c>
      <c r="D533" s="67">
        <f>IFERROR(INDEX(tbl_WIP[Client],$A533),"")</f>
        <v/>
      </c>
      <c r="E533" s="67">
        <f>IFERROR(INDEX(tbl_WIP[Job Number],$A533),"")</f>
        <v/>
      </c>
      <c r="F533" s="67">
        <f>IFERROR(INDEX(tbl_WIP[Cost Centre],$A533),"")</f>
        <v/>
      </c>
      <c r="G533" s="68">
        <f>IFERROR(IF(INDEX(tbl_WIP[Defer Start],$A533)="","",IF(INDEX(tbl_WIP[Revenue or Cost],$A533)="Cost",-1,1)*INDEX(tbl_WIP[Amount],$A533)),"")</f>
        <v/>
      </c>
      <c r="H533" s="66">
        <f>IFERROR(INDEX(tbl_WIP[Defer Start],$A533),"")</f>
        <v/>
      </c>
      <c r="I533" s="66">
        <f>IFERROR(INDEX(tbl_WIP[Defer End],$A533),"")</f>
        <v/>
      </c>
      <c r="J533" s="65">
        <f>IF(OR($H533="",$I533="",$G533=""),"",MAX(1,(YEAR($I533)-YEAR($H533))*12+MONTH($I533)-MONTH($H533)+1))</f>
        <v/>
      </c>
      <c r="K533" s="68">
        <f>IF($J533="","",$G533/$J533)</f>
        <v/>
      </c>
      <c r="L533" s="68">
        <f>IF($J533="",0,$K533*MAX(0,MIN(YEAR($C$3)*12+MONTH($C$3),YEAR($I533)*12+MONTH($I533))-(YEAR($H533)*12+MONTH($H533))+1))</f>
        <v/>
      </c>
      <c r="M533" s="68">
        <f>IF($J533="",0,$K533*MAX(0,MIN(YEAR($C$3)*12+MONTH($C$3)-1,YEAR($I533)*12+MONTH($I533))-(YEAR($H533)*12+MONTH($H533))+1))</f>
        <v/>
      </c>
      <c r="N533" s="68">
        <f>IF(OR($J533="",$B533=""),0,IF(YEAR($B533)*12+MONTH($B533)&lt;=YEAR($C$3)*12+MONTH($C$3),$G533,0))</f>
        <v/>
      </c>
      <c r="O533" s="68">
        <f>IF(OR($J533="",$B533=""),0,IF(YEAR($B533)*12+MONTH($B533)&lt;=YEAR($C$3)*12+MONTH($C$3)-1,$G533,0))</f>
        <v/>
      </c>
      <c r="P533" s="68">
        <f>$M533-$O533</f>
        <v/>
      </c>
      <c r="Q533" s="68">
        <f>($L533-$M533)-($N533-$O533)</f>
        <v/>
      </c>
      <c r="R533" s="68">
        <f>$L533-$N533</f>
        <v/>
      </c>
      <c r="S533" s="67">
        <f>"WIP journal"</f>
        <v/>
      </c>
      <c r="T533" s="67">
        <f>IFERROR(INDEX(tbl_WIP[Revenue or Cost],$A533),"")</f>
        <v/>
      </c>
    </row>
    <row r="534">
      <c r="A534" s="65">
        <f>ROW()-407</f>
        <v/>
      </c>
      <c r="B534" s="66">
        <f>IFERROR(INDEX(tbl_WIP[Month],$A534),"")</f>
        <v/>
      </c>
      <c r="C534" s="67">
        <f>IFERROR(INDEX(tbl_WIP[Xero Invoice No],$A534),"")</f>
        <v/>
      </c>
      <c r="D534" s="67">
        <f>IFERROR(INDEX(tbl_WIP[Client],$A534),"")</f>
        <v/>
      </c>
      <c r="E534" s="67">
        <f>IFERROR(INDEX(tbl_WIP[Job Number],$A534),"")</f>
        <v/>
      </c>
      <c r="F534" s="67">
        <f>IFERROR(INDEX(tbl_WIP[Cost Centre],$A534),"")</f>
        <v/>
      </c>
      <c r="G534" s="68">
        <f>IFERROR(IF(INDEX(tbl_WIP[Defer Start],$A534)="","",IF(INDEX(tbl_WIP[Revenue or Cost],$A534)="Cost",-1,1)*INDEX(tbl_WIP[Amount],$A534)),"")</f>
        <v/>
      </c>
      <c r="H534" s="66">
        <f>IFERROR(INDEX(tbl_WIP[Defer Start],$A534),"")</f>
        <v/>
      </c>
      <c r="I534" s="66">
        <f>IFERROR(INDEX(tbl_WIP[Defer End],$A534),"")</f>
        <v/>
      </c>
      <c r="J534" s="65">
        <f>IF(OR($H534="",$I534="",$G534=""),"",MAX(1,(YEAR($I534)-YEAR($H534))*12+MONTH($I534)-MONTH($H534)+1))</f>
        <v/>
      </c>
      <c r="K534" s="68">
        <f>IF($J534="","",$G534/$J534)</f>
        <v/>
      </c>
      <c r="L534" s="68">
        <f>IF($J534="",0,$K534*MAX(0,MIN(YEAR($C$3)*12+MONTH($C$3),YEAR($I534)*12+MONTH($I534))-(YEAR($H534)*12+MONTH($H534))+1))</f>
        <v/>
      </c>
      <c r="M534" s="68">
        <f>IF($J534="",0,$K534*MAX(0,MIN(YEAR($C$3)*12+MONTH($C$3)-1,YEAR($I534)*12+MONTH($I534))-(YEAR($H534)*12+MONTH($H534))+1))</f>
        <v/>
      </c>
      <c r="N534" s="68">
        <f>IF(OR($J534="",$B534=""),0,IF(YEAR($B534)*12+MONTH($B534)&lt;=YEAR($C$3)*12+MONTH($C$3),$G534,0))</f>
        <v/>
      </c>
      <c r="O534" s="68">
        <f>IF(OR($J534="",$B534=""),0,IF(YEAR($B534)*12+MONTH($B534)&lt;=YEAR($C$3)*12+MONTH($C$3)-1,$G534,0))</f>
        <v/>
      </c>
      <c r="P534" s="68">
        <f>$M534-$O534</f>
        <v/>
      </c>
      <c r="Q534" s="68">
        <f>($L534-$M534)-($N534-$O534)</f>
        <v/>
      </c>
      <c r="R534" s="68">
        <f>$L534-$N534</f>
        <v/>
      </c>
      <c r="S534" s="67">
        <f>"WIP journal"</f>
        <v/>
      </c>
      <c r="T534" s="67">
        <f>IFERROR(INDEX(tbl_WIP[Revenue or Cost],$A534),"")</f>
        <v/>
      </c>
    </row>
    <row r="535">
      <c r="A535" s="65">
        <f>ROW()-407</f>
        <v/>
      </c>
      <c r="B535" s="66">
        <f>IFERROR(INDEX(tbl_WIP[Month],$A535),"")</f>
        <v/>
      </c>
      <c r="C535" s="67">
        <f>IFERROR(INDEX(tbl_WIP[Xero Invoice No],$A535),"")</f>
        <v/>
      </c>
      <c r="D535" s="67">
        <f>IFERROR(INDEX(tbl_WIP[Client],$A535),"")</f>
        <v/>
      </c>
      <c r="E535" s="67">
        <f>IFERROR(INDEX(tbl_WIP[Job Number],$A535),"")</f>
        <v/>
      </c>
      <c r="F535" s="67">
        <f>IFERROR(INDEX(tbl_WIP[Cost Centre],$A535),"")</f>
        <v/>
      </c>
      <c r="G535" s="68">
        <f>IFERROR(IF(INDEX(tbl_WIP[Defer Start],$A535)="","",IF(INDEX(tbl_WIP[Revenue or Cost],$A535)="Cost",-1,1)*INDEX(tbl_WIP[Amount],$A535)),"")</f>
        <v/>
      </c>
      <c r="H535" s="66">
        <f>IFERROR(INDEX(tbl_WIP[Defer Start],$A535),"")</f>
        <v/>
      </c>
      <c r="I535" s="66">
        <f>IFERROR(INDEX(tbl_WIP[Defer End],$A535),"")</f>
        <v/>
      </c>
      <c r="J535" s="65">
        <f>IF(OR($H535="",$I535="",$G535=""),"",MAX(1,(YEAR($I535)-YEAR($H535))*12+MONTH($I535)-MONTH($H535)+1))</f>
        <v/>
      </c>
      <c r="K535" s="68">
        <f>IF($J535="","",$G535/$J535)</f>
        <v/>
      </c>
      <c r="L535" s="68">
        <f>IF($J535="",0,$K535*MAX(0,MIN(YEAR($C$3)*12+MONTH($C$3),YEAR($I535)*12+MONTH($I535))-(YEAR($H535)*12+MONTH($H535))+1))</f>
        <v/>
      </c>
      <c r="M535" s="68">
        <f>IF($J535="",0,$K535*MAX(0,MIN(YEAR($C$3)*12+MONTH($C$3)-1,YEAR($I535)*12+MONTH($I535))-(YEAR($H535)*12+MONTH($H535))+1))</f>
        <v/>
      </c>
      <c r="N535" s="68">
        <f>IF(OR($J535="",$B535=""),0,IF(YEAR($B535)*12+MONTH($B535)&lt;=YEAR($C$3)*12+MONTH($C$3),$G535,0))</f>
        <v/>
      </c>
      <c r="O535" s="68">
        <f>IF(OR($J535="",$B535=""),0,IF(YEAR($B535)*12+MONTH($B535)&lt;=YEAR($C$3)*12+MONTH($C$3)-1,$G535,0))</f>
        <v/>
      </c>
      <c r="P535" s="68">
        <f>$M535-$O535</f>
        <v/>
      </c>
      <c r="Q535" s="68">
        <f>($L535-$M535)-($N535-$O535)</f>
        <v/>
      </c>
      <c r="R535" s="68">
        <f>$L535-$N535</f>
        <v/>
      </c>
      <c r="S535" s="67">
        <f>"WIP journal"</f>
        <v/>
      </c>
      <c r="T535" s="67">
        <f>IFERROR(INDEX(tbl_WIP[Revenue or Cost],$A535),"")</f>
        <v/>
      </c>
    </row>
    <row r="536">
      <c r="A536" s="65">
        <f>ROW()-407</f>
        <v/>
      </c>
      <c r="B536" s="66">
        <f>IFERROR(INDEX(tbl_WIP[Month],$A536),"")</f>
        <v/>
      </c>
      <c r="C536" s="67">
        <f>IFERROR(INDEX(tbl_WIP[Xero Invoice No],$A536),"")</f>
        <v/>
      </c>
      <c r="D536" s="67">
        <f>IFERROR(INDEX(tbl_WIP[Client],$A536),"")</f>
        <v/>
      </c>
      <c r="E536" s="67">
        <f>IFERROR(INDEX(tbl_WIP[Job Number],$A536),"")</f>
        <v/>
      </c>
      <c r="F536" s="67">
        <f>IFERROR(INDEX(tbl_WIP[Cost Centre],$A536),"")</f>
        <v/>
      </c>
      <c r="G536" s="68">
        <f>IFERROR(IF(INDEX(tbl_WIP[Defer Start],$A536)="","",IF(INDEX(tbl_WIP[Revenue or Cost],$A536)="Cost",-1,1)*INDEX(tbl_WIP[Amount],$A536)),"")</f>
        <v/>
      </c>
      <c r="H536" s="66">
        <f>IFERROR(INDEX(tbl_WIP[Defer Start],$A536),"")</f>
        <v/>
      </c>
      <c r="I536" s="66">
        <f>IFERROR(INDEX(tbl_WIP[Defer End],$A536),"")</f>
        <v/>
      </c>
      <c r="J536" s="65">
        <f>IF(OR($H536="",$I536="",$G536=""),"",MAX(1,(YEAR($I536)-YEAR($H536))*12+MONTH($I536)-MONTH($H536)+1))</f>
        <v/>
      </c>
      <c r="K536" s="68">
        <f>IF($J536="","",$G536/$J536)</f>
        <v/>
      </c>
      <c r="L536" s="68">
        <f>IF($J536="",0,$K536*MAX(0,MIN(YEAR($C$3)*12+MONTH($C$3),YEAR($I536)*12+MONTH($I536))-(YEAR($H536)*12+MONTH($H536))+1))</f>
        <v/>
      </c>
      <c r="M536" s="68">
        <f>IF($J536="",0,$K536*MAX(0,MIN(YEAR($C$3)*12+MONTH($C$3)-1,YEAR($I536)*12+MONTH($I536))-(YEAR($H536)*12+MONTH($H536))+1))</f>
        <v/>
      </c>
      <c r="N536" s="68">
        <f>IF(OR($J536="",$B536=""),0,IF(YEAR($B536)*12+MONTH($B536)&lt;=YEAR($C$3)*12+MONTH($C$3),$G536,0))</f>
        <v/>
      </c>
      <c r="O536" s="68">
        <f>IF(OR($J536="",$B536=""),0,IF(YEAR($B536)*12+MONTH($B536)&lt;=YEAR($C$3)*12+MONTH($C$3)-1,$G536,0))</f>
        <v/>
      </c>
      <c r="P536" s="68">
        <f>$M536-$O536</f>
        <v/>
      </c>
      <c r="Q536" s="68">
        <f>($L536-$M536)-($N536-$O536)</f>
        <v/>
      </c>
      <c r="R536" s="68">
        <f>$L536-$N536</f>
        <v/>
      </c>
      <c r="S536" s="67">
        <f>"WIP journal"</f>
        <v/>
      </c>
      <c r="T536" s="67">
        <f>IFERROR(INDEX(tbl_WIP[Revenue or Cost],$A536),"")</f>
        <v/>
      </c>
    </row>
    <row r="537">
      <c r="A537" s="65">
        <f>ROW()-407</f>
        <v/>
      </c>
      <c r="B537" s="66">
        <f>IFERROR(INDEX(tbl_WIP[Month],$A537),"")</f>
        <v/>
      </c>
      <c r="C537" s="67">
        <f>IFERROR(INDEX(tbl_WIP[Xero Invoice No],$A537),"")</f>
        <v/>
      </c>
      <c r="D537" s="67">
        <f>IFERROR(INDEX(tbl_WIP[Client],$A537),"")</f>
        <v/>
      </c>
      <c r="E537" s="67">
        <f>IFERROR(INDEX(tbl_WIP[Job Number],$A537),"")</f>
        <v/>
      </c>
      <c r="F537" s="67">
        <f>IFERROR(INDEX(tbl_WIP[Cost Centre],$A537),"")</f>
        <v/>
      </c>
      <c r="G537" s="68">
        <f>IFERROR(IF(INDEX(tbl_WIP[Defer Start],$A537)="","",IF(INDEX(tbl_WIP[Revenue or Cost],$A537)="Cost",-1,1)*INDEX(tbl_WIP[Amount],$A537)),"")</f>
        <v/>
      </c>
      <c r="H537" s="66">
        <f>IFERROR(INDEX(tbl_WIP[Defer Start],$A537),"")</f>
        <v/>
      </c>
      <c r="I537" s="66">
        <f>IFERROR(INDEX(tbl_WIP[Defer End],$A537),"")</f>
        <v/>
      </c>
      <c r="J537" s="65">
        <f>IF(OR($H537="",$I537="",$G537=""),"",MAX(1,(YEAR($I537)-YEAR($H537))*12+MONTH($I537)-MONTH($H537)+1))</f>
        <v/>
      </c>
      <c r="K537" s="68">
        <f>IF($J537="","",$G537/$J537)</f>
        <v/>
      </c>
      <c r="L537" s="68">
        <f>IF($J537="",0,$K537*MAX(0,MIN(YEAR($C$3)*12+MONTH($C$3),YEAR($I537)*12+MONTH($I537))-(YEAR($H537)*12+MONTH($H537))+1))</f>
        <v/>
      </c>
      <c r="M537" s="68">
        <f>IF($J537="",0,$K537*MAX(0,MIN(YEAR($C$3)*12+MONTH($C$3)-1,YEAR($I537)*12+MONTH($I537))-(YEAR($H537)*12+MONTH($H537))+1))</f>
        <v/>
      </c>
      <c r="N537" s="68">
        <f>IF(OR($J537="",$B537=""),0,IF(YEAR($B537)*12+MONTH($B537)&lt;=YEAR($C$3)*12+MONTH($C$3),$G537,0))</f>
        <v/>
      </c>
      <c r="O537" s="68">
        <f>IF(OR($J537="",$B537=""),0,IF(YEAR($B537)*12+MONTH($B537)&lt;=YEAR($C$3)*12+MONTH($C$3)-1,$G537,0))</f>
        <v/>
      </c>
      <c r="P537" s="68">
        <f>$M537-$O537</f>
        <v/>
      </c>
      <c r="Q537" s="68">
        <f>($L537-$M537)-($N537-$O537)</f>
        <v/>
      </c>
      <c r="R537" s="68">
        <f>$L537-$N537</f>
        <v/>
      </c>
      <c r="S537" s="67">
        <f>"WIP journal"</f>
        <v/>
      </c>
      <c r="T537" s="67">
        <f>IFERROR(INDEX(tbl_WIP[Revenue or Cost],$A537),"")</f>
        <v/>
      </c>
    </row>
    <row r="538">
      <c r="A538" s="65">
        <f>ROW()-407</f>
        <v/>
      </c>
      <c r="B538" s="66">
        <f>IFERROR(INDEX(tbl_WIP[Month],$A538),"")</f>
        <v/>
      </c>
      <c r="C538" s="67">
        <f>IFERROR(INDEX(tbl_WIP[Xero Invoice No],$A538),"")</f>
        <v/>
      </c>
      <c r="D538" s="67">
        <f>IFERROR(INDEX(tbl_WIP[Client],$A538),"")</f>
        <v/>
      </c>
      <c r="E538" s="67">
        <f>IFERROR(INDEX(tbl_WIP[Job Number],$A538),"")</f>
        <v/>
      </c>
      <c r="F538" s="67">
        <f>IFERROR(INDEX(tbl_WIP[Cost Centre],$A538),"")</f>
        <v/>
      </c>
      <c r="G538" s="68">
        <f>IFERROR(IF(INDEX(tbl_WIP[Defer Start],$A538)="","",IF(INDEX(tbl_WIP[Revenue or Cost],$A538)="Cost",-1,1)*INDEX(tbl_WIP[Amount],$A538)),"")</f>
        <v/>
      </c>
      <c r="H538" s="66">
        <f>IFERROR(INDEX(tbl_WIP[Defer Start],$A538),"")</f>
        <v/>
      </c>
      <c r="I538" s="66">
        <f>IFERROR(INDEX(tbl_WIP[Defer End],$A538),"")</f>
        <v/>
      </c>
      <c r="J538" s="65">
        <f>IF(OR($H538="",$I538="",$G538=""),"",MAX(1,(YEAR($I538)-YEAR($H538))*12+MONTH($I538)-MONTH($H538)+1))</f>
        <v/>
      </c>
      <c r="K538" s="68">
        <f>IF($J538="","",$G538/$J538)</f>
        <v/>
      </c>
      <c r="L538" s="68">
        <f>IF($J538="",0,$K538*MAX(0,MIN(YEAR($C$3)*12+MONTH($C$3),YEAR($I538)*12+MONTH($I538))-(YEAR($H538)*12+MONTH($H538))+1))</f>
        <v/>
      </c>
      <c r="M538" s="68">
        <f>IF($J538="",0,$K538*MAX(0,MIN(YEAR($C$3)*12+MONTH($C$3)-1,YEAR($I538)*12+MONTH($I538))-(YEAR($H538)*12+MONTH($H538))+1))</f>
        <v/>
      </c>
      <c r="N538" s="68">
        <f>IF(OR($J538="",$B538=""),0,IF(YEAR($B538)*12+MONTH($B538)&lt;=YEAR($C$3)*12+MONTH($C$3),$G538,0))</f>
        <v/>
      </c>
      <c r="O538" s="68">
        <f>IF(OR($J538="",$B538=""),0,IF(YEAR($B538)*12+MONTH($B538)&lt;=YEAR($C$3)*12+MONTH($C$3)-1,$G538,0))</f>
        <v/>
      </c>
      <c r="P538" s="68">
        <f>$M538-$O538</f>
        <v/>
      </c>
      <c r="Q538" s="68">
        <f>($L538-$M538)-($N538-$O538)</f>
        <v/>
      </c>
      <c r="R538" s="68">
        <f>$L538-$N538</f>
        <v/>
      </c>
      <c r="S538" s="67">
        <f>"WIP journal"</f>
        <v/>
      </c>
      <c r="T538" s="67">
        <f>IFERROR(INDEX(tbl_WIP[Revenue or Cost],$A538),"")</f>
        <v/>
      </c>
    </row>
    <row r="539">
      <c r="A539" s="65">
        <f>ROW()-407</f>
        <v/>
      </c>
      <c r="B539" s="66">
        <f>IFERROR(INDEX(tbl_WIP[Month],$A539),"")</f>
        <v/>
      </c>
      <c r="C539" s="67">
        <f>IFERROR(INDEX(tbl_WIP[Xero Invoice No],$A539),"")</f>
        <v/>
      </c>
      <c r="D539" s="67">
        <f>IFERROR(INDEX(tbl_WIP[Client],$A539),"")</f>
        <v/>
      </c>
      <c r="E539" s="67">
        <f>IFERROR(INDEX(tbl_WIP[Job Number],$A539),"")</f>
        <v/>
      </c>
      <c r="F539" s="67">
        <f>IFERROR(INDEX(tbl_WIP[Cost Centre],$A539),"")</f>
        <v/>
      </c>
      <c r="G539" s="68">
        <f>IFERROR(IF(INDEX(tbl_WIP[Defer Start],$A539)="","",IF(INDEX(tbl_WIP[Revenue or Cost],$A539)="Cost",-1,1)*INDEX(tbl_WIP[Amount],$A539)),"")</f>
        <v/>
      </c>
      <c r="H539" s="66">
        <f>IFERROR(INDEX(tbl_WIP[Defer Start],$A539),"")</f>
        <v/>
      </c>
      <c r="I539" s="66">
        <f>IFERROR(INDEX(tbl_WIP[Defer End],$A539),"")</f>
        <v/>
      </c>
      <c r="J539" s="65">
        <f>IF(OR($H539="",$I539="",$G539=""),"",MAX(1,(YEAR($I539)-YEAR($H539))*12+MONTH($I539)-MONTH($H539)+1))</f>
        <v/>
      </c>
      <c r="K539" s="68">
        <f>IF($J539="","",$G539/$J539)</f>
        <v/>
      </c>
      <c r="L539" s="68">
        <f>IF($J539="",0,$K539*MAX(0,MIN(YEAR($C$3)*12+MONTH($C$3),YEAR($I539)*12+MONTH($I539))-(YEAR($H539)*12+MONTH($H539))+1))</f>
        <v/>
      </c>
      <c r="M539" s="68">
        <f>IF($J539="",0,$K539*MAX(0,MIN(YEAR($C$3)*12+MONTH($C$3)-1,YEAR($I539)*12+MONTH($I539))-(YEAR($H539)*12+MONTH($H539))+1))</f>
        <v/>
      </c>
      <c r="N539" s="68">
        <f>IF(OR($J539="",$B539=""),0,IF(YEAR($B539)*12+MONTH($B539)&lt;=YEAR($C$3)*12+MONTH($C$3),$G539,0))</f>
        <v/>
      </c>
      <c r="O539" s="68">
        <f>IF(OR($J539="",$B539=""),0,IF(YEAR($B539)*12+MONTH($B539)&lt;=YEAR($C$3)*12+MONTH($C$3)-1,$G539,0))</f>
        <v/>
      </c>
      <c r="P539" s="68">
        <f>$M539-$O539</f>
        <v/>
      </c>
      <c r="Q539" s="68">
        <f>($L539-$M539)-($N539-$O539)</f>
        <v/>
      </c>
      <c r="R539" s="68">
        <f>$L539-$N539</f>
        <v/>
      </c>
      <c r="S539" s="67">
        <f>"WIP journal"</f>
        <v/>
      </c>
      <c r="T539" s="67">
        <f>IFERROR(INDEX(tbl_WIP[Revenue or Cost],$A539),"")</f>
        <v/>
      </c>
    </row>
    <row r="540">
      <c r="A540" s="65">
        <f>ROW()-407</f>
        <v/>
      </c>
      <c r="B540" s="66">
        <f>IFERROR(INDEX(tbl_WIP[Month],$A540),"")</f>
        <v/>
      </c>
      <c r="C540" s="67">
        <f>IFERROR(INDEX(tbl_WIP[Xero Invoice No],$A540),"")</f>
        <v/>
      </c>
      <c r="D540" s="67">
        <f>IFERROR(INDEX(tbl_WIP[Client],$A540),"")</f>
        <v/>
      </c>
      <c r="E540" s="67">
        <f>IFERROR(INDEX(tbl_WIP[Job Number],$A540),"")</f>
        <v/>
      </c>
      <c r="F540" s="67">
        <f>IFERROR(INDEX(tbl_WIP[Cost Centre],$A540),"")</f>
        <v/>
      </c>
      <c r="G540" s="68">
        <f>IFERROR(IF(INDEX(tbl_WIP[Defer Start],$A540)="","",IF(INDEX(tbl_WIP[Revenue or Cost],$A540)="Cost",-1,1)*INDEX(tbl_WIP[Amount],$A540)),"")</f>
        <v/>
      </c>
      <c r="H540" s="66">
        <f>IFERROR(INDEX(tbl_WIP[Defer Start],$A540),"")</f>
        <v/>
      </c>
      <c r="I540" s="66">
        <f>IFERROR(INDEX(tbl_WIP[Defer End],$A540),"")</f>
        <v/>
      </c>
      <c r="J540" s="65">
        <f>IF(OR($H540="",$I540="",$G540=""),"",MAX(1,(YEAR($I540)-YEAR($H540))*12+MONTH($I540)-MONTH($H540)+1))</f>
        <v/>
      </c>
      <c r="K540" s="68">
        <f>IF($J540="","",$G540/$J540)</f>
        <v/>
      </c>
      <c r="L540" s="68">
        <f>IF($J540="",0,$K540*MAX(0,MIN(YEAR($C$3)*12+MONTH($C$3),YEAR($I540)*12+MONTH($I540))-(YEAR($H540)*12+MONTH($H540))+1))</f>
        <v/>
      </c>
      <c r="M540" s="68">
        <f>IF($J540="",0,$K540*MAX(0,MIN(YEAR($C$3)*12+MONTH($C$3)-1,YEAR($I540)*12+MONTH($I540))-(YEAR($H540)*12+MONTH($H540))+1))</f>
        <v/>
      </c>
      <c r="N540" s="68">
        <f>IF(OR($J540="",$B540=""),0,IF(YEAR($B540)*12+MONTH($B540)&lt;=YEAR($C$3)*12+MONTH($C$3),$G540,0))</f>
        <v/>
      </c>
      <c r="O540" s="68">
        <f>IF(OR($J540="",$B540=""),0,IF(YEAR($B540)*12+MONTH($B540)&lt;=YEAR($C$3)*12+MONTH($C$3)-1,$G540,0))</f>
        <v/>
      </c>
      <c r="P540" s="68">
        <f>$M540-$O540</f>
        <v/>
      </c>
      <c r="Q540" s="68">
        <f>($L540-$M540)-($N540-$O540)</f>
        <v/>
      </c>
      <c r="R540" s="68">
        <f>$L540-$N540</f>
        <v/>
      </c>
      <c r="S540" s="67">
        <f>"WIP journal"</f>
        <v/>
      </c>
      <c r="T540" s="67">
        <f>IFERROR(INDEX(tbl_WIP[Revenue or Cost],$A540),"")</f>
        <v/>
      </c>
    </row>
    <row r="541">
      <c r="A541" s="65">
        <f>ROW()-407</f>
        <v/>
      </c>
      <c r="B541" s="66">
        <f>IFERROR(INDEX(tbl_WIP[Month],$A541),"")</f>
        <v/>
      </c>
      <c r="C541" s="67">
        <f>IFERROR(INDEX(tbl_WIP[Xero Invoice No],$A541),"")</f>
        <v/>
      </c>
      <c r="D541" s="67">
        <f>IFERROR(INDEX(tbl_WIP[Client],$A541),"")</f>
        <v/>
      </c>
      <c r="E541" s="67">
        <f>IFERROR(INDEX(tbl_WIP[Job Number],$A541),"")</f>
        <v/>
      </c>
      <c r="F541" s="67">
        <f>IFERROR(INDEX(tbl_WIP[Cost Centre],$A541),"")</f>
        <v/>
      </c>
      <c r="G541" s="68">
        <f>IFERROR(IF(INDEX(tbl_WIP[Defer Start],$A541)="","",IF(INDEX(tbl_WIP[Revenue or Cost],$A541)="Cost",-1,1)*INDEX(tbl_WIP[Amount],$A541)),"")</f>
        <v/>
      </c>
      <c r="H541" s="66">
        <f>IFERROR(INDEX(tbl_WIP[Defer Start],$A541),"")</f>
        <v/>
      </c>
      <c r="I541" s="66">
        <f>IFERROR(INDEX(tbl_WIP[Defer End],$A541),"")</f>
        <v/>
      </c>
      <c r="J541" s="65">
        <f>IF(OR($H541="",$I541="",$G541=""),"",MAX(1,(YEAR($I541)-YEAR($H541))*12+MONTH($I541)-MONTH($H541)+1))</f>
        <v/>
      </c>
      <c r="K541" s="68">
        <f>IF($J541="","",$G541/$J541)</f>
        <v/>
      </c>
      <c r="L541" s="68">
        <f>IF($J541="",0,$K541*MAX(0,MIN(YEAR($C$3)*12+MONTH($C$3),YEAR($I541)*12+MONTH($I541))-(YEAR($H541)*12+MONTH($H541))+1))</f>
        <v/>
      </c>
      <c r="M541" s="68">
        <f>IF($J541="",0,$K541*MAX(0,MIN(YEAR($C$3)*12+MONTH($C$3)-1,YEAR($I541)*12+MONTH($I541))-(YEAR($H541)*12+MONTH($H541))+1))</f>
        <v/>
      </c>
      <c r="N541" s="68">
        <f>IF(OR($J541="",$B541=""),0,IF(YEAR($B541)*12+MONTH($B541)&lt;=YEAR($C$3)*12+MONTH($C$3),$G541,0))</f>
        <v/>
      </c>
      <c r="O541" s="68">
        <f>IF(OR($J541="",$B541=""),0,IF(YEAR($B541)*12+MONTH($B541)&lt;=YEAR($C$3)*12+MONTH($C$3)-1,$G541,0))</f>
        <v/>
      </c>
      <c r="P541" s="68">
        <f>$M541-$O541</f>
        <v/>
      </c>
      <c r="Q541" s="68">
        <f>($L541-$M541)-($N541-$O541)</f>
        <v/>
      </c>
      <c r="R541" s="68">
        <f>$L541-$N541</f>
        <v/>
      </c>
      <c r="S541" s="67">
        <f>"WIP journal"</f>
        <v/>
      </c>
      <c r="T541" s="67">
        <f>IFERROR(INDEX(tbl_WIP[Revenue or Cost],$A541),"")</f>
        <v/>
      </c>
    </row>
    <row r="542">
      <c r="A542" s="65">
        <f>ROW()-407</f>
        <v/>
      </c>
      <c r="B542" s="66">
        <f>IFERROR(INDEX(tbl_WIP[Month],$A542),"")</f>
        <v/>
      </c>
      <c r="C542" s="67">
        <f>IFERROR(INDEX(tbl_WIP[Xero Invoice No],$A542),"")</f>
        <v/>
      </c>
      <c r="D542" s="67">
        <f>IFERROR(INDEX(tbl_WIP[Client],$A542),"")</f>
        <v/>
      </c>
      <c r="E542" s="67">
        <f>IFERROR(INDEX(tbl_WIP[Job Number],$A542),"")</f>
        <v/>
      </c>
      <c r="F542" s="67">
        <f>IFERROR(INDEX(tbl_WIP[Cost Centre],$A542),"")</f>
        <v/>
      </c>
      <c r="G542" s="68">
        <f>IFERROR(IF(INDEX(tbl_WIP[Defer Start],$A542)="","",IF(INDEX(tbl_WIP[Revenue or Cost],$A542)="Cost",-1,1)*INDEX(tbl_WIP[Amount],$A542)),"")</f>
        <v/>
      </c>
      <c r="H542" s="66">
        <f>IFERROR(INDEX(tbl_WIP[Defer Start],$A542),"")</f>
        <v/>
      </c>
      <c r="I542" s="66">
        <f>IFERROR(INDEX(tbl_WIP[Defer End],$A542),"")</f>
        <v/>
      </c>
      <c r="J542" s="65">
        <f>IF(OR($H542="",$I542="",$G542=""),"",MAX(1,(YEAR($I542)-YEAR($H542))*12+MONTH($I542)-MONTH($H542)+1))</f>
        <v/>
      </c>
      <c r="K542" s="68">
        <f>IF($J542="","",$G542/$J542)</f>
        <v/>
      </c>
      <c r="L542" s="68">
        <f>IF($J542="",0,$K542*MAX(0,MIN(YEAR($C$3)*12+MONTH($C$3),YEAR($I542)*12+MONTH($I542))-(YEAR($H542)*12+MONTH($H542))+1))</f>
        <v/>
      </c>
      <c r="M542" s="68">
        <f>IF($J542="",0,$K542*MAX(0,MIN(YEAR($C$3)*12+MONTH($C$3)-1,YEAR($I542)*12+MONTH($I542))-(YEAR($H542)*12+MONTH($H542))+1))</f>
        <v/>
      </c>
      <c r="N542" s="68">
        <f>IF(OR($J542="",$B542=""),0,IF(YEAR($B542)*12+MONTH($B542)&lt;=YEAR($C$3)*12+MONTH($C$3),$G542,0))</f>
        <v/>
      </c>
      <c r="O542" s="68">
        <f>IF(OR($J542="",$B542=""),0,IF(YEAR($B542)*12+MONTH($B542)&lt;=YEAR($C$3)*12+MONTH($C$3)-1,$G542,0))</f>
        <v/>
      </c>
      <c r="P542" s="68">
        <f>$M542-$O542</f>
        <v/>
      </c>
      <c r="Q542" s="68">
        <f>($L542-$M542)-($N542-$O542)</f>
        <v/>
      </c>
      <c r="R542" s="68">
        <f>$L542-$N542</f>
        <v/>
      </c>
      <c r="S542" s="67">
        <f>"WIP journal"</f>
        <v/>
      </c>
      <c r="T542" s="67">
        <f>IFERROR(INDEX(tbl_WIP[Revenue or Cost],$A542),"")</f>
        <v/>
      </c>
    </row>
    <row r="543">
      <c r="A543" s="65">
        <f>ROW()-407</f>
        <v/>
      </c>
      <c r="B543" s="66">
        <f>IFERROR(INDEX(tbl_WIP[Month],$A543),"")</f>
        <v/>
      </c>
      <c r="C543" s="67">
        <f>IFERROR(INDEX(tbl_WIP[Xero Invoice No],$A543),"")</f>
        <v/>
      </c>
      <c r="D543" s="67">
        <f>IFERROR(INDEX(tbl_WIP[Client],$A543),"")</f>
        <v/>
      </c>
      <c r="E543" s="67">
        <f>IFERROR(INDEX(tbl_WIP[Job Number],$A543),"")</f>
        <v/>
      </c>
      <c r="F543" s="67">
        <f>IFERROR(INDEX(tbl_WIP[Cost Centre],$A543),"")</f>
        <v/>
      </c>
      <c r="G543" s="68">
        <f>IFERROR(IF(INDEX(tbl_WIP[Defer Start],$A543)="","",IF(INDEX(tbl_WIP[Revenue or Cost],$A543)="Cost",-1,1)*INDEX(tbl_WIP[Amount],$A543)),"")</f>
        <v/>
      </c>
      <c r="H543" s="66">
        <f>IFERROR(INDEX(tbl_WIP[Defer Start],$A543),"")</f>
        <v/>
      </c>
      <c r="I543" s="66">
        <f>IFERROR(INDEX(tbl_WIP[Defer End],$A543),"")</f>
        <v/>
      </c>
      <c r="J543" s="65">
        <f>IF(OR($H543="",$I543="",$G543=""),"",MAX(1,(YEAR($I543)-YEAR($H543))*12+MONTH($I543)-MONTH($H543)+1))</f>
        <v/>
      </c>
      <c r="K543" s="68">
        <f>IF($J543="","",$G543/$J543)</f>
        <v/>
      </c>
      <c r="L543" s="68">
        <f>IF($J543="",0,$K543*MAX(0,MIN(YEAR($C$3)*12+MONTH($C$3),YEAR($I543)*12+MONTH($I543))-(YEAR($H543)*12+MONTH($H543))+1))</f>
        <v/>
      </c>
      <c r="M543" s="68">
        <f>IF($J543="",0,$K543*MAX(0,MIN(YEAR($C$3)*12+MONTH($C$3)-1,YEAR($I543)*12+MONTH($I543))-(YEAR($H543)*12+MONTH($H543))+1))</f>
        <v/>
      </c>
      <c r="N543" s="68">
        <f>IF(OR($J543="",$B543=""),0,IF(YEAR($B543)*12+MONTH($B543)&lt;=YEAR($C$3)*12+MONTH($C$3),$G543,0))</f>
        <v/>
      </c>
      <c r="O543" s="68">
        <f>IF(OR($J543="",$B543=""),0,IF(YEAR($B543)*12+MONTH($B543)&lt;=YEAR($C$3)*12+MONTH($C$3)-1,$G543,0))</f>
        <v/>
      </c>
      <c r="P543" s="68">
        <f>$M543-$O543</f>
        <v/>
      </c>
      <c r="Q543" s="68">
        <f>($L543-$M543)-($N543-$O543)</f>
        <v/>
      </c>
      <c r="R543" s="68">
        <f>$L543-$N543</f>
        <v/>
      </c>
      <c r="S543" s="67">
        <f>"WIP journal"</f>
        <v/>
      </c>
      <c r="T543" s="67">
        <f>IFERROR(INDEX(tbl_WIP[Revenue or Cost],$A543),"")</f>
        <v/>
      </c>
    </row>
    <row r="544">
      <c r="A544" s="65">
        <f>ROW()-407</f>
        <v/>
      </c>
      <c r="B544" s="66">
        <f>IFERROR(INDEX(tbl_WIP[Month],$A544),"")</f>
        <v/>
      </c>
      <c r="C544" s="67">
        <f>IFERROR(INDEX(tbl_WIP[Xero Invoice No],$A544),"")</f>
        <v/>
      </c>
      <c r="D544" s="67">
        <f>IFERROR(INDEX(tbl_WIP[Client],$A544),"")</f>
        <v/>
      </c>
      <c r="E544" s="67">
        <f>IFERROR(INDEX(tbl_WIP[Job Number],$A544),"")</f>
        <v/>
      </c>
      <c r="F544" s="67">
        <f>IFERROR(INDEX(tbl_WIP[Cost Centre],$A544),"")</f>
        <v/>
      </c>
      <c r="G544" s="68">
        <f>IFERROR(IF(INDEX(tbl_WIP[Defer Start],$A544)="","",IF(INDEX(tbl_WIP[Revenue or Cost],$A544)="Cost",-1,1)*INDEX(tbl_WIP[Amount],$A544)),"")</f>
        <v/>
      </c>
      <c r="H544" s="66">
        <f>IFERROR(INDEX(tbl_WIP[Defer Start],$A544),"")</f>
        <v/>
      </c>
      <c r="I544" s="66">
        <f>IFERROR(INDEX(tbl_WIP[Defer End],$A544),"")</f>
        <v/>
      </c>
      <c r="J544" s="65">
        <f>IF(OR($H544="",$I544="",$G544=""),"",MAX(1,(YEAR($I544)-YEAR($H544))*12+MONTH($I544)-MONTH($H544)+1))</f>
        <v/>
      </c>
      <c r="K544" s="68">
        <f>IF($J544="","",$G544/$J544)</f>
        <v/>
      </c>
      <c r="L544" s="68">
        <f>IF($J544="",0,$K544*MAX(0,MIN(YEAR($C$3)*12+MONTH($C$3),YEAR($I544)*12+MONTH($I544))-(YEAR($H544)*12+MONTH($H544))+1))</f>
        <v/>
      </c>
      <c r="M544" s="68">
        <f>IF($J544="",0,$K544*MAX(0,MIN(YEAR($C$3)*12+MONTH($C$3)-1,YEAR($I544)*12+MONTH($I544))-(YEAR($H544)*12+MONTH($H544))+1))</f>
        <v/>
      </c>
      <c r="N544" s="68">
        <f>IF(OR($J544="",$B544=""),0,IF(YEAR($B544)*12+MONTH($B544)&lt;=YEAR($C$3)*12+MONTH($C$3),$G544,0))</f>
        <v/>
      </c>
      <c r="O544" s="68">
        <f>IF(OR($J544="",$B544=""),0,IF(YEAR($B544)*12+MONTH($B544)&lt;=YEAR($C$3)*12+MONTH($C$3)-1,$G544,0))</f>
        <v/>
      </c>
      <c r="P544" s="68">
        <f>$M544-$O544</f>
        <v/>
      </c>
      <c r="Q544" s="68">
        <f>($L544-$M544)-($N544-$O544)</f>
        <v/>
      </c>
      <c r="R544" s="68">
        <f>$L544-$N544</f>
        <v/>
      </c>
      <c r="S544" s="67">
        <f>"WIP journal"</f>
        <v/>
      </c>
      <c r="T544" s="67">
        <f>IFERROR(INDEX(tbl_WIP[Revenue or Cost],$A544),"")</f>
        <v/>
      </c>
    </row>
    <row r="545">
      <c r="A545" s="65">
        <f>ROW()-407</f>
        <v/>
      </c>
      <c r="B545" s="66">
        <f>IFERROR(INDEX(tbl_WIP[Month],$A545),"")</f>
        <v/>
      </c>
      <c r="C545" s="67">
        <f>IFERROR(INDEX(tbl_WIP[Xero Invoice No],$A545),"")</f>
        <v/>
      </c>
      <c r="D545" s="67">
        <f>IFERROR(INDEX(tbl_WIP[Client],$A545),"")</f>
        <v/>
      </c>
      <c r="E545" s="67">
        <f>IFERROR(INDEX(tbl_WIP[Job Number],$A545),"")</f>
        <v/>
      </c>
      <c r="F545" s="67">
        <f>IFERROR(INDEX(tbl_WIP[Cost Centre],$A545),"")</f>
        <v/>
      </c>
      <c r="G545" s="68">
        <f>IFERROR(IF(INDEX(tbl_WIP[Defer Start],$A545)="","",IF(INDEX(tbl_WIP[Revenue or Cost],$A545)="Cost",-1,1)*INDEX(tbl_WIP[Amount],$A545)),"")</f>
        <v/>
      </c>
      <c r="H545" s="66">
        <f>IFERROR(INDEX(tbl_WIP[Defer Start],$A545),"")</f>
        <v/>
      </c>
      <c r="I545" s="66">
        <f>IFERROR(INDEX(tbl_WIP[Defer End],$A545),"")</f>
        <v/>
      </c>
      <c r="J545" s="65">
        <f>IF(OR($H545="",$I545="",$G545=""),"",MAX(1,(YEAR($I545)-YEAR($H545))*12+MONTH($I545)-MONTH($H545)+1))</f>
        <v/>
      </c>
      <c r="K545" s="68">
        <f>IF($J545="","",$G545/$J545)</f>
        <v/>
      </c>
      <c r="L545" s="68">
        <f>IF($J545="",0,$K545*MAX(0,MIN(YEAR($C$3)*12+MONTH($C$3),YEAR($I545)*12+MONTH($I545))-(YEAR($H545)*12+MONTH($H545))+1))</f>
        <v/>
      </c>
      <c r="M545" s="68">
        <f>IF($J545="",0,$K545*MAX(0,MIN(YEAR($C$3)*12+MONTH($C$3)-1,YEAR($I545)*12+MONTH($I545))-(YEAR($H545)*12+MONTH($H545))+1))</f>
        <v/>
      </c>
      <c r="N545" s="68">
        <f>IF(OR($J545="",$B545=""),0,IF(YEAR($B545)*12+MONTH($B545)&lt;=YEAR($C$3)*12+MONTH($C$3),$G545,0))</f>
        <v/>
      </c>
      <c r="O545" s="68">
        <f>IF(OR($J545="",$B545=""),0,IF(YEAR($B545)*12+MONTH($B545)&lt;=YEAR($C$3)*12+MONTH($C$3)-1,$G545,0))</f>
        <v/>
      </c>
      <c r="P545" s="68">
        <f>$M545-$O545</f>
        <v/>
      </c>
      <c r="Q545" s="68">
        <f>($L545-$M545)-($N545-$O545)</f>
        <v/>
      </c>
      <c r="R545" s="68">
        <f>$L545-$N545</f>
        <v/>
      </c>
      <c r="S545" s="67">
        <f>"WIP journal"</f>
        <v/>
      </c>
      <c r="T545" s="67">
        <f>IFERROR(INDEX(tbl_WIP[Revenue or Cost],$A545),"")</f>
        <v/>
      </c>
    </row>
    <row r="546">
      <c r="A546" s="65">
        <f>ROW()-407</f>
        <v/>
      </c>
      <c r="B546" s="66">
        <f>IFERROR(INDEX(tbl_WIP[Month],$A546),"")</f>
        <v/>
      </c>
      <c r="C546" s="67">
        <f>IFERROR(INDEX(tbl_WIP[Xero Invoice No],$A546),"")</f>
        <v/>
      </c>
      <c r="D546" s="67">
        <f>IFERROR(INDEX(tbl_WIP[Client],$A546),"")</f>
        <v/>
      </c>
      <c r="E546" s="67">
        <f>IFERROR(INDEX(tbl_WIP[Job Number],$A546),"")</f>
        <v/>
      </c>
      <c r="F546" s="67">
        <f>IFERROR(INDEX(tbl_WIP[Cost Centre],$A546),"")</f>
        <v/>
      </c>
      <c r="G546" s="68">
        <f>IFERROR(IF(INDEX(tbl_WIP[Defer Start],$A546)="","",IF(INDEX(tbl_WIP[Revenue or Cost],$A546)="Cost",-1,1)*INDEX(tbl_WIP[Amount],$A546)),"")</f>
        <v/>
      </c>
      <c r="H546" s="66">
        <f>IFERROR(INDEX(tbl_WIP[Defer Start],$A546),"")</f>
        <v/>
      </c>
      <c r="I546" s="66">
        <f>IFERROR(INDEX(tbl_WIP[Defer End],$A546),"")</f>
        <v/>
      </c>
      <c r="J546" s="65">
        <f>IF(OR($H546="",$I546="",$G546=""),"",MAX(1,(YEAR($I546)-YEAR($H546))*12+MONTH($I546)-MONTH($H546)+1))</f>
        <v/>
      </c>
      <c r="K546" s="68">
        <f>IF($J546="","",$G546/$J546)</f>
        <v/>
      </c>
      <c r="L546" s="68">
        <f>IF($J546="",0,$K546*MAX(0,MIN(YEAR($C$3)*12+MONTH($C$3),YEAR($I546)*12+MONTH($I546))-(YEAR($H546)*12+MONTH($H546))+1))</f>
        <v/>
      </c>
      <c r="M546" s="68">
        <f>IF($J546="",0,$K546*MAX(0,MIN(YEAR($C$3)*12+MONTH($C$3)-1,YEAR($I546)*12+MONTH($I546))-(YEAR($H546)*12+MONTH($H546))+1))</f>
        <v/>
      </c>
      <c r="N546" s="68">
        <f>IF(OR($J546="",$B546=""),0,IF(YEAR($B546)*12+MONTH($B546)&lt;=YEAR($C$3)*12+MONTH($C$3),$G546,0))</f>
        <v/>
      </c>
      <c r="O546" s="68">
        <f>IF(OR($J546="",$B546=""),0,IF(YEAR($B546)*12+MONTH($B546)&lt;=YEAR($C$3)*12+MONTH($C$3)-1,$G546,0))</f>
        <v/>
      </c>
      <c r="P546" s="68">
        <f>$M546-$O546</f>
        <v/>
      </c>
      <c r="Q546" s="68">
        <f>($L546-$M546)-($N546-$O546)</f>
        <v/>
      </c>
      <c r="R546" s="68">
        <f>$L546-$N546</f>
        <v/>
      </c>
      <c r="S546" s="67">
        <f>"WIP journal"</f>
        <v/>
      </c>
      <c r="T546" s="67">
        <f>IFERROR(INDEX(tbl_WIP[Revenue or Cost],$A546),"")</f>
        <v/>
      </c>
    </row>
    <row r="547">
      <c r="A547" s="65">
        <f>ROW()-407</f>
        <v/>
      </c>
      <c r="B547" s="66">
        <f>IFERROR(INDEX(tbl_WIP[Month],$A547),"")</f>
        <v/>
      </c>
      <c r="C547" s="67">
        <f>IFERROR(INDEX(tbl_WIP[Xero Invoice No],$A547),"")</f>
        <v/>
      </c>
      <c r="D547" s="67">
        <f>IFERROR(INDEX(tbl_WIP[Client],$A547),"")</f>
        <v/>
      </c>
      <c r="E547" s="67">
        <f>IFERROR(INDEX(tbl_WIP[Job Number],$A547),"")</f>
        <v/>
      </c>
      <c r="F547" s="67">
        <f>IFERROR(INDEX(tbl_WIP[Cost Centre],$A547),"")</f>
        <v/>
      </c>
      <c r="G547" s="68">
        <f>IFERROR(IF(INDEX(tbl_WIP[Defer Start],$A547)="","",IF(INDEX(tbl_WIP[Revenue or Cost],$A547)="Cost",-1,1)*INDEX(tbl_WIP[Amount],$A547)),"")</f>
        <v/>
      </c>
      <c r="H547" s="66">
        <f>IFERROR(INDEX(tbl_WIP[Defer Start],$A547),"")</f>
        <v/>
      </c>
      <c r="I547" s="66">
        <f>IFERROR(INDEX(tbl_WIP[Defer End],$A547),"")</f>
        <v/>
      </c>
      <c r="J547" s="65">
        <f>IF(OR($H547="",$I547="",$G547=""),"",MAX(1,(YEAR($I547)-YEAR($H547))*12+MONTH($I547)-MONTH($H547)+1))</f>
        <v/>
      </c>
      <c r="K547" s="68">
        <f>IF($J547="","",$G547/$J547)</f>
        <v/>
      </c>
      <c r="L547" s="68">
        <f>IF($J547="",0,$K547*MAX(0,MIN(YEAR($C$3)*12+MONTH($C$3),YEAR($I547)*12+MONTH($I547))-(YEAR($H547)*12+MONTH($H547))+1))</f>
        <v/>
      </c>
      <c r="M547" s="68">
        <f>IF($J547="",0,$K547*MAX(0,MIN(YEAR($C$3)*12+MONTH($C$3)-1,YEAR($I547)*12+MONTH($I547))-(YEAR($H547)*12+MONTH($H547))+1))</f>
        <v/>
      </c>
      <c r="N547" s="68">
        <f>IF(OR($J547="",$B547=""),0,IF(YEAR($B547)*12+MONTH($B547)&lt;=YEAR($C$3)*12+MONTH($C$3),$G547,0))</f>
        <v/>
      </c>
      <c r="O547" s="68">
        <f>IF(OR($J547="",$B547=""),0,IF(YEAR($B547)*12+MONTH($B547)&lt;=YEAR($C$3)*12+MONTH($C$3)-1,$G547,0))</f>
        <v/>
      </c>
      <c r="P547" s="68">
        <f>$M547-$O547</f>
        <v/>
      </c>
      <c r="Q547" s="68">
        <f>($L547-$M547)-($N547-$O547)</f>
        <v/>
      </c>
      <c r="R547" s="68">
        <f>$L547-$N547</f>
        <v/>
      </c>
      <c r="S547" s="67">
        <f>"WIP journal"</f>
        <v/>
      </c>
      <c r="T547" s="67">
        <f>IFERROR(INDEX(tbl_WIP[Revenue or Cost],$A547),"")</f>
        <v/>
      </c>
    </row>
    <row r="548">
      <c r="A548" s="65">
        <f>ROW()-407</f>
        <v/>
      </c>
      <c r="B548" s="66">
        <f>IFERROR(INDEX(tbl_WIP[Month],$A548),"")</f>
        <v/>
      </c>
      <c r="C548" s="67">
        <f>IFERROR(INDEX(tbl_WIP[Xero Invoice No],$A548),"")</f>
        <v/>
      </c>
      <c r="D548" s="67">
        <f>IFERROR(INDEX(tbl_WIP[Client],$A548),"")</f>
        <v/>
      </c>
      <c r="E548" s="67">
        <f>IFERROR(INDEX(tbl_WIP[Job Number],$A548),"")</f>
        <v/>
      </c>
      <c r="F548" s="67">
        <f>IFERROR(INDEX(tbl_WIP[Cost Centre],$A548),"")</f>
        <v/>
      </c>
      <c r="G548" s="68">
        <f>IFERROR(IF(INDEX(tbl_WIP[Defer Start],$A548)="","",IF(INDEX(tbl_WIP[Revenue or Cost],$A548)="Cost",-1,1)*INDEX(tbl_WIP[Amount],$A548)),"")</f>
        <v/>
      </c>
      <c r="H548" s="66">
        <f>IFERROR(INDEX(tbl_WIP[Defer Start],$A548),"")</f>
        <v/>
      </c>
      <c r="I548" s="66">
        <f>IFERROR(INDEX(tbl_WIP[Defer End],$A548),"")</f>
        <v/>
      </c>
      <c r="J548" s="65">
        <f>IF(OR($H548="",$I548="",$G548=""),"",MAX(1,(YEAR($I548)-YEAR($H548))*12+MONTH($I548)-MONTH($H548)+1))</f>
        <v/>
      </c>
      <c r="K548" s="68">
        <f>IF($J548="","",$G548/$J548)</f>
        <v/>
      </c>
      <c r="L548" s="68">
        <f>IF($J548="",0,$K548*MAX(0,MIN(YEAR($C$3)*12+MONTH($C$3),YEAR($I548)*12+MONTH($I548))-(YEAR($H548)*12+MONTH($H548))+1))</f>
        <v/>
      </c>
      <c r="M548" s="68">
        <f>IF($J548="",0,$K548*MAX(0,MIN(YEAR($C$3)*12+MONTH($C$3)-1,YEAR($I548)*12+MONTH($I548))-(YEAR($H548)*12+MONTH($H548))+1))</f>
        <v/>
      </c>
      <c r="N548" s="68">
        <f>IF(OR($J548="",$B548=""),0,IF(YEAR($B548)*12+MONTH($B548)&lt;=YEAR($C$3)*12+MONTH($C$3),$G548,0))</f>
        <v/>
      </c>
      <c r="O548" s="68">
        <f>IF(OR($J548="",$B548=""),0,IF(YEAR($B548)*12+MONTH($B548)&lt;=YEAR($C$3)*12+MONTH($C$3)-1,$G548,0))</f>
        <v/>
      </c>
      <c r="P548" s="68">
        <f>$M548-$O548</f>
        <v/>
      </c>
      <c r="Q548" s="68">
        <f>($L548-$M548)-($N548-$O548)</f>
        <v/>
      </c>
      <c r="R548" s="68">
        <f>$L548-$N548</f>
        <v/>
      </c>
      <c r="S548" s="67">
        <f>"WIP journal"</f>
        <v/>
      </c>
      <c r="T548" s="67">
        <f>IFERROR(INDEX(tbl_WIP[Revenue or Cost],$A548),"")</f>
        <v/>
      </c>
    </row>
    <row r="549">
      <c r="A549" s="65">
        <f>ROW()-407</f>
        <v/>
      </c>
      <c r="B549" s="66">
        <f>IFERROR(INDEX(tbl_WIP[Month],$A549),"")</f>
        <v/>
      </c>
      <c r="C549" s="67">
        <f>IFERROR(INDEX(tbl_WIP[Xero Invoice No],$A549),"")</f>
        <v/>
      </c>
      <c r="D549" s="67">
        <f>IFERROR(INDEX(tbl_WIP[Client],$A549),"")</f>
        <v/>
      </c>
      <c r="E549" s="67">
        <f>IFERROR(INDEX(tbl_WIP[Job Number],$A549),"")</f>
        <v/>
      </c>
      <c r="F549" s="67">
        <f>IFERROR(INDEX(tbl_WIP[Cost Centre],$A549),"")</f>
        <v/>
      </c>
      <c r="G549" s="68">
        <f>IFERROR(IF(INDEX(tbl_WIP[Defer Start],$A549)="","",IF(INDEX(tbl_WIP[Revenue or Cost],$A549)="Cost",-1,1)*INDEX(tbl_WIP[Amount],$A549)),"")</f>
        <v/>
      </c>
      <c r="H549" s="66">
        <f>IFERROR(INDEX(tbl_WIP[Defer Start],$A549),"")</f>
        <v/>
      </c>
      <c r="I549" s="66">
        <f>IFERROR(INDEX(tbl_WIP[Defer End],$A549),"")</f>
        <v/>
      </c>
      <c r="J549" s="65">
        <f>IF(OR($H549="",$I549="",$G549=""),"",MAX(1,(YEAR($I549)-YEAR($H549))*12+MONTH($I549)-MONTH($H549)+1))</f>
        <v/>
      </c>
      <c r="K549" s="68">
        <f>IF($J549="","",$G549/$J549)</f>
        <v/>
      </c>
      <c r="L549" s="68">
        <f>IF($J549="",0,$K549*MAX(0,MIN(YEAR($C$3)*12+MONTH($C$3),YEAR($I549)*12+MONTH($I549))-(YEAR($H549)*12+MONTH($H549))+1))</f>
        <v/>
      </c>
      <c r="M549" s="68">
        <f>IF($J549="",0,$K549*MAX(0,MIN(YEAR($C$3)*12+MONTH($C$3)-1,YEAR($I549)*12+MONTH($I549))-(YEAR($H549)*12+MONTH($H549))+1))</f>
        <v/>
      </c>
      <c r="N549" s="68">
        <f>IF(OR($J549="",$B549=""),0,IF(YEAR($B549)*12+MONTH($B549)&lt;=YEAR($C$3)*12+MONTH($C$3),$G549,0))</f>
        <v/>
      </c>
      <c r="O549" s="68">
        <f>IF(OR($J549="",$B549=""),0,IF(YEAR($B549)*12+MONTH($B549)&lt;=YEAR($C$3)*12+MONTH($C$3)-1,$G549,0))</f>
        <v/>
      </c>
      <c r="P549" s="68">
        <f>$M549-$O549</f>
        <v/>
      </c>
      <c r="Q549" s="68">
        <f>($L549-$M549)-($N549-$O549)</f>
        <v/>
      </c>
      <c r="R549" s="68">
        <f>$L549-$N549</f>
        <v/>
      </c>
      <c r="S549" s="67">
        <f>"WIP journal"</f>
        <v/>
      </c>
      <c r="T549" s="67">
        <f>IFERROR(INDEX(tbl_WIP[Revenue or Cost],$A549),"")</f>
        <v/>
      </c>
    </row>
    <row r="550">
      <c r="A550" s="65">
        <f>ROW()-407</f>
        <v/>
      </c>
      <c r="B550" s="66">
        <f>IFERROR(INDEX(tbl_WIP[Month],$A550),"")</f>
        <v/>
      </c>
      <c r="C550" s="67">
        <f>IFERROR(INDEX(tbl_WIP[Xero Invoice No],$A550),"")</f>
        <v/>
      </c>
      <c r="D550" s="67">
        <f>IFERROR(INDEX(tbl_WIP[Client],$A550),"")</f>
        <v/>
      </c>
      <c r="E550" s="67">
        <f>IFERROR(INDEX(tbl_WIP[Job Number],$A550),"")</f>
        <v/>
      </c>
      <c r="F550" s="67">
        <f>IFERROR(INDEX(tbl_WIP[Cost Centre],$A550),"")</f>
        <v/>
      </c>
      <c r="G550" s="68">
        <f>IFERROR(IF(INDEX(tbl_WIP[Defer Start],$A550)="","",IF(INDEX(tbl_WIP[Revenue or Cost],$A550)="Cost",-1,1)*INDEX(tbl_WIP[Amount],$A550)),"")</f>
        <v/>
      </c>
      <c r="H550" s="66">
        <f>IFERROR(INDEX(tbl_WIP[Defer Start],$A550),"")</f>
        <v/>
      </c>
      <c r="I550" s="66">
        <f>IFERROR(INDEX(tbl_WIP[Defer End],$A550),"")</f>
        <v/>
      </c>
      <c r="J550" s="65">
        <f>IF(OR($H550="",$I550="",$G550=""),"",MAX(1,(YEAR($I550)-YEAR($H550))*12+MONTH($I550)-MONTH($H550)+1))</f>
        <v/>
      </c>
      <c r="K550" s="68">
        <f>IF($J550="","",$G550/$J550)</f>
        <v/>
      </c>
      <c r="L550" s="68">
        <f>IF($J550="",0,$K550*MAX(0,MIN(YEAR($C$3)*12+MONTH($C$3),YEAR($I550)*12+MONTH($I550))-(YEAR($H550)*12+MONTH($H550))+1))</f>
        <v/>
      </c>
      <c r="M550" s="68">
        <f>IF($J550="",0,$K550*MAX(0,MIN(YEAR($C$3)*12+MONTH($C$3)-1,YEAR($I550)*12+MONTH($I550))-(YEAR($H550)*12+MONTH($H550))+1))</f>
        <v/>
      </c>
      <c r="N550" s="68">
        <f>IF(OR($J550="",$B550=""),0,IF(YEAR($B550)*12+MONTH($B550)&lt;=YEAR($C$3)*12+MONTH($C$3),$G550,0))</f>
        <v/>
      </c>
      <c r="O550" s="68">
        <f>IF(OR($J550="",$B550=""),0,IF(YEAR($B550)*12+MONTH($B550)&lt;=YEAR($C$3)*12+MONTH($C$3)-1,$G550,0))</f>
        <v/>
      </c>
      <c r="P550" s="68">
        <f>$M550-$O550</f>
        <v/>
      </c>
      <c r="Q550" s="68">
        <f>($L550-$M550)-($N550-$O550)</f>
        <v/>
      </c>
      <c r="R550" s="68">
        <f>$L550-$N550</f>
        <v/>
      </c>
      <c r="S550" s="67">
        <f>"WIP journal"</f>
        <v/>
      </c>
      <c r="T550" s="67">
        <f>IFERROR(INDEX(tbl_WIP[Revenue or Cost],$A550),"")</f>
        <v/>
      </c>
    </row>
    <row r="551">
      <c r="A551" s="65">
        <f>ROW()-407</f>
        <v/>
      </c>
      <c r="B551" s="66">
        <f>IFERROR(INDEX(tbl_WIP[Month],$A551),"")</f>
        <v/>
      </c>
      <c r="C551" s="67">
        <f>IFERROR(INDEX(tbl_WIP[Xero Invoice No],$A551),"")</f>
        <v/>
      </c>
      <c r="D551" s="67">
        <f>IFERROR(INDEX(tbl_WIP[Client],$A551),"")</f>
        <v/>
      </c>
      <c r="E551" s="67">
        <f>IFERROR(INDEX(tbl_WIP[Job Number],$A551),"")</f>
        <v/>
      </c>
      <c r="F551" s="67">
        <f>IFERROR(INDEX(tbl_WIP[Cost Centre],$A551),"")</f>
        <v/>
      </c>
      <c r="G551" s="68">
        <f>IFERROR(IF(INDEX(tbl_WIP[Defer Start],$A551)="","",IF(INDEX(tbl_WIP[Revenue or Cost],$A551)="Cost",-1,1)*INDEX(tbl_WIP[Amount],$A551)),"")</f>
        <v/>
      </c>
      <c r="H551" s="66">
        <f>IFERROR(INDEX(tbl_WIP[Defer Start],$A551),"")</f>
        <v/>
      </c>
      <c r="I551" s="66">
        <f>IFERROR(INDEX(tbl_WIP[Defer End],$A551),"")</f>
        <v/>
      </c>
      <c r="J551" s="65">
        <f>IF(OR($H551="",$I551="",$G551=""),"",MAX(1,(YEAR($I551)-YEAR($H551))*12+MONTH($I551)-MONTH($H551)+1))</f>
        <v/>
      </c>
      <c r="K551" s="68">
        <f>IF($J551="","",$G551/$J551)</f>
        <v/>
      </c>
      <c r="L551" s="68">
        <f>IF($J551="",0,$K551*MAX(0,MIN(YEAR($C$3)*12+MONTH($C$3),YEAR($I551)*12+MONTH($I551))-(YEAR($H551)*12+MONTH($H551))+1))</f>
        <v/>
      </c>
      <c r="M551" s="68">
        <f>IF($J551="",0,$K551*MAX(0,MIN(YEAR($C$3)*12+MONTH($C$3)-1,YEAR($I551)*12+MONTH($I551))-(YEAR($H551)*12+MONTH($H551))+1))</f>
        <v/>
      </c>
      <c r="N551" s="68">
        <f>IF(OR($J551="",$B551=""),0,IF(YEAR($B551)*12+MONTH($B551)&lt;=YEAR($C$3)*12+MONTH($C$3),$G551,0))</f>
        <v/>
      </c>
      <c r="O551" s="68">
        <f>IF(OR($J551="",$B551=""),0,IF(YEAR($B551)*12+MONTH($B551)&lt;=YEAR($C$3)*12+MONTH($C$3)-1,$G551,0))</f>
        <v/>
      </c>
      <c r="P551" s="68">
        <f>$M551-$O551</f>
        <v/>
      </c>
      <c r="Q551" s="68">
        <f>($L551-$M551)-($N551-$O551)</f>
        <v/>
      </c>
      <c r="R551" s="68">
        <f>$L551-$N551</f>
        <v/>
      </c>
      <c r="S551" s="67">
        <f>"WIP journal"</f>
        <v/>
      </c>
      <c r="T551" s="67">
        <f>IFERROR(INDEX(tbl_WIP[Revenue or Cost],$A551),"")</f>
        <v/>
      </c>
    </row>
    <row r="552">
      <c r="A552" s="65">
        <f>ROW()-407</f>
        <v/>
      </c>
      <c r="B552" s="66">
        <f>IFERROR(INDEX(tbl_WIP[Month],$A552),"")</f>
        <v/>
      </c>
      <c r="C552" s="67">
        <f>IFERROR(INDEX(tbl_WIP[Xero Invoice No],$A552),"")</f>
        <v/>
      </c>
      <c r="D552" s="67">
        <f>IFERROR(INDEX(tbl_WIP[Client],$A552),"")</f>
        <v/>
      </c>
      <c r="E552" s="67">
        <f>IFERROR(INDEX(tbl_WIP[Job Number],$A552),"")</f>
        <v/>
      </c>
      <c r="F552" s="67">
        <f>IFERROR(INDEX(tbl_WIP[Cost Centre],$A552),"")</f>
        <v/>
      </c>
      <c r="G552" s="68">
        <f>IFERROR(IF(INDEX(tbl_WIP[Defer Start],$A552)="","",IF(INDEX(tbl_WIP[Revenue or Cost],$A552)="Cost",-1,1)*INDEX(tbl_WIP[Amount],$A552)),"")</f>
        <v/>
      </c>
      <c r="H552" s="66">
        <f>IFERROR(INDEX(tbl_WIP[Defer Start],$A552),"")</f>
        <v/>
      </c>
      <c r="I552" s="66">
        <f>IFERROR(INDEX(tbl_WIP[Defer End],$A552),"")</f>
        <v/>
      </c>
      <c r="J552" s="65">
        <f>IF(OR($H552="",$I552="",$G552=""),"",MAX(1,(YEAR($I552)-YEAR($H552))*12+MONTH($I552)-MONTH($H552)+1))</f>
        <v/>
      </c>
      <c r="K552" s="68">
        <f>IF($J552="","",$G552/$J552)</f>
        <v/>
      </c>
      <c r="L552" s="68">
        <f>IF($J552="",0,$K552*MAX(0,MIN(YEAR($C$3)*12+MONTH($C$3),YEAR($I552)*12+MONTH($I552))-(YEAR($H552)*12+MONTH($H552))+1))</f>
        <v/>
      </c>
      <c r="M552" s="68">
        <f>IF($J552="",0,$K552*MAX(0,MIN(YEAR($C$3)*12+MONTH($C$3)-1,YEAR($I552)*12+MONTH($I552))-(YEAR($H552)*12+MONTH($H552))+1))</f>
        <v/>
      </c>
      <c r="N552" s="68">
        <f>IF(OR($J552="",$B552=""),0,IF(YEAR($B552)*12+MONTH($B552)&lt;=YEAR($C$3)*12+MONTH($C$3),$G552,0))</f>
        <v/>
      </c>
      <c r="O552" s="68">
        <f>IF(OR($J552="",$B552=""),0,IF(YEAR($B552)*12+MONTH($B552)&lt;=YEAR($C$3)*12+MONTH($C$3)-1,$G552,0))</f>
        <v/>
      </c>
      <c r="P552" s="68">
        <f>$M552-$O552</f>
        <v/>
      </c>
      <c r="Q552" s="68">
        <f>($L552-$M552)-($N552-$O552)</f>
        <v/>
      </c>
      <c r="R552" s="68">
        <f>$L552-$N552</f>
        <v/>
      </c>
      <c r="S552" s="67">
        <f>"WIP journal"</f>
        <v/>
      </c>
      <c r="T552" s="67">
        <f>IFERROR(INDEX(tbl_WIP[Revenue or Cost],$A552),"")</f>
        <v/>
      </c>
    </row>
    <row r="553">
      <c r="A553" s="65">
        <f>ROW()-407</f>
        <v/>
      </c>
      <c r="B553" s="66">
        <f>IFERROR(INDEX(tbl_WIP[Month],$A553),"")</f>
        <v/>
      </c>
      <c r="C553" s="67">
        <f>IFERROR(INDEX(tbl_WIP[Xero Invoice No],$A553),"")</f>
        <v/>
      </c>
      <c r="D553" s="67">
        <f>IFERROR(INDEX(tbl_WIP[Client],$A553),"")</f>
        <v/>
      </c>
      <c r="E553" s="67">
        <f>IFERROR(INDEX(tbl_WIP[Job Number],$A553),"")</f>
        <v/>
      </c>
      <c r="F553" s="67">
        <f>IFERROR(INDEX(tbl_WIP[Cost Centre],$A553),"")</f>
        <v/>
      </c>
      <c r="G553" s="68">
        <f>IFERROR(IF(INDEX(tbl_WIP[Defer Start],$A553)="","",IF(INDEX(tbl_WIP[Revenue or Cost],$A553)="Cost",-1,1)*INDEX(tbl_WIP[Amount],$A553)),"")</f>
        <v/>
      </c>
      <c r="H553" s="66">
        <f>IFERROR(INDEX(tbl_WIP[Defer Start],$A553),"")</f>
        <v/>
      </c>
      <c r="I553" s="66">
        <f>IFERROR(INDEX(tbl_WIP[Defer End],$A553),"")</f>
        <v/>
      </c>
      <c r="J553" s="65">
        <f>IF(OR($H553="",$I553="",$G553=""),"",MAX(1,(YEAR($I553)-YEAR($H553))*12+MONTH($I553)-MONTH($H553)+1))</f>
        <v/>
      </c>
      <c r="K553" s="68">
        <f>IF($J553="","",$G553/$J553)</f>
        <v/>
      </c>
      <c r="L553" s="68">
        <f>IF($J553="",0,$K553*MAX(0,MIN(YEAR($C$3)*12+MONTH($C$3),YEAR($I553)*12+MONTH($I553))-(YEAR($H553)*12+MONTH($H553))+1))</f>
        <v/>
      </c>
      <c r="M553" s="68">
        <f>IF($J553="",0,$K553*MAX(0,MIN(YEAR($C$3)*12+MONTH($C$3)-1,YEAR($I553)*12+MONTH($I553))-(YEAR($H553)*12+MONTH($H553))+1))</f>
        <v/>
      </c>
      <c r="N553" s="68">
        <f>IF(OR($J553="",$B553=""),0,IF(YEAR($B553)*12+MONTH($B553)&lt;=YEAR($C$3)*12+MONTH($C$3),$G553,0))</f>
        <v/>
      </c>
      <c r="O553" s="68">
        <f>IF(OR($J553="",$B553=""),0,IF(YEAR($B553)*12+MONTH($B553)&lt;=YEAR($C$3)*12+MONTH($C$3)-1,$G553,0))</f>
        <v/>
      </c>
      <c r="P553" s="68">
        <f>$M553-$O553</f>
        <v/>
      </c>
      <c r="Q553" s="68">
        <f>($L553-$M553)-($N553-$O553)</f>
        <v/>
      </c>
      <c r="R553" s="68">
        <f>$L553-$N553</f>
        <v/>
      </c>
      <c r="S553" s="67">
        <f>"WIP journal"</f>
        <v/>
      </c>
      <c r="T553" s="67">
        <f>IFERROR(INDEX(tbl_WIP[Revenue or Cost],$A553),"")</f>
        <v/>
      </c>
    </row>
    <row r="554">
      <c r="A554" s="65">
        <f>ROW()-407</f>
        <v/>
      </c>
      <c r="B554" s="66">
        <f>IFERROR(INDEX(tbl_WIP[Month],$A554),"")</f>
        <v/>
      </c>
      <c r="C554" s="67">
        <f>IFERROR(INDEX(tbl_WIP[Xero Invoice No],$A554),"")</f>
        <v/>
      </c>
      <c r="D554" s="67">
        <f>IFERROR(INDEX(tbl_WIP[Client],$A554),"")</f>
        <v/>
      </c>
      <c r="E554" s="67">
        <f>IFERROR(INDEX(tbl_WIP[Job Number],$A554),"")</f>
        <v/>
      </c>
      <c r="F554" s="67">
        <f>IFERROR(INDEX(tbl_WIP[Cost Centre],$A554),"")</f>
        <v/>
      </c>
      <c r="G554" s="68">
        <f>IFERROR(IF(INDEX(tbl_WIP[Defer Start],$A554)="","",IF(INDEX(tbl_WIP[Revenue or Cost],$A554)="Cost",-1,1)*INDEX(tbl_WIP[Amount],$A554)),"")</f>
        <v/>
      </c>
      <c r="H554" s="66">
        <f>IFERROR(INDEX(tbl_WIP[Defer Start],$A554),"")</f>
        <v/>
      </c>
      <c r="I554" s="66">
        <f>IFERROR(INDEX(tbl_WIP[Defer End],$A554),"")</f>
        <v/>
      </c>
      <c r="J554" s="65">
        <f>IF(OR($H554="",$I554="",$G554=""),"",MAX(1,(YEAR($I554)-YEAR($H554))*12+MONTH($I554)-MONTH($H554)+1))</f>
        <v/>
      </c>
      <c r="K554" s="68">
        <f>IF($J554="","",$G554/$J554)</f>
        <v/>
      </c>
      <c r="L554" s="68">
        <f>IF($J554="",0,$K554*MAX(0,MIN(YEAR($C$3)*12+MONTH($C$3),YEAR($I554)*12+MONTH($I554))-(YEAR($H554)*12+MONTH($H554))+1))</f>
        <v/>
      </c>
      <c r="M554" s="68">
        <f>IF($J554="",0,$K554*MAX(0,MIN(YEAR($C$3)*12+MONTH($C$3)-1,YEAR($I554)*12+MONTH($I554))-(YEAR($H554)*12+MONTH($H554))+1))</f>
        <v/>
      </c>
      <c r="N554" s="68">
        <f>IF(OR($J554="",$B554=""),0,IF(YEAR($B554)*12+MONTH($B554)&lt;=YEAR($C$3)*12+MONTH($C$3),$G554,0))</f>
        <v/>
      </c>
      <c r="O554" s="68">
        <f>IF(OR($J554="",$B554=""),0,IF(YEAR($B554)*12+MONTH($B554)&lt;=YEAR($C$3)*12+MONTH($C$3)-1,$G554,0))</f>
        <v/>
      </c>
      <c r="P554" s="68">
        <f>$M554-$O554</f>
        <v/>
      </c>
      <c r="Q554" s="68">
        <f>($L554-$M554)-($N554-$O554)</f>
        <v/>
      </c>
      <c r="R554" s="68">
        <f>$L554-$N554</f>
        <v/>
      </c>
      <c r="S554" s="67">
        <f>"WIP journal"</f>
        <v/>
      </c>
      <c r="T554" s="67">
        <f>IFERROR(INDEX(tbl_WIP[Revenue or Cost],$A554),"")</f>
        <v/>
      </c>
    </row>
    <row r="555">
      <c r="A555" s="65">
        <f>ROW()-407</f>
        <v/>
      </c>
      <c r="B555" s="66">
        <f>IFERROR(INDEX(tbl_WIP[Month],$A555),"")</f>
        <v/>
      </c>
      <c r="C555" s="67">
        <f>IFERROR(INDEX(tbl_WIP[Xero Invoice No],$A555),"")</f>
        <v/>
      </c>
      <c r="D555" s="67">
        <f>IFERROR(INDEX(tbl_WIP[Client],$A555),"")</f>
        <v/>
      </c>
      <c r="E555" s="67">
        <f>IFERROR(INDEX(tbl_WIP[Job Number],$A555),"")</f>
        <v/>
      </c>
      <c r="F555" s="67">
        <f>IFERROR(INDEX(tbl_WIP[Cost Centre],$A555),"")</f>
        <v/>
      </c>
      <c r="G555" s="68">
        <f>IFERROR(IF(INDEX(tbl_WIP[Defer Start],$A555)="","",IF(INDEX(tbl_WIP[Revenue or Cost],$A555)="Cost",-1,1)*INDEX(tbl_WIP[Amount],$A555)),"")</f>
        <v/>
      </c>
      <c r="H555" s="66">
        <f>IFERROR(INDEX(tbl_WIP[Defer Start],$A555),"")</f>
        <v/>
      </c>
      <c r="I555" s="66">
        <f>IFERROR(INDEX(tbl_WIP[Defer End],$A555),"")</f>
        <v/>
      </c>
      <c r="J555" s="65">
        <f>IF(OR($H555="",$I555="",$G555=""),"",MAX(1,(YEAR($I555)-YEAR($H555))*12+MONTH($I555)-MONTH($H555)+1))</f>
        <v/>
      </c>
      <c r="K555" s="68">
        <f>IF($J555="","",$G555/$J555)</f>
        <v/>
      </c>
      <c r="L555" s="68">
        <f>IF($J555="",0,$K555*MAX(0,MIN(YEAR($C$3)*12+MONTH($C$3),YEAR($I555)*12+MONTH($I555))-(YEAR($H555)*12+MONTH($H555))+1))</f>
        <v/>
      </c>
      <c r="M555" s="68">
        <f>IF($J555="",0,$K555*MAX(0,MIN(YEAR($C$3)*12+MONTH($C$3)-1,YEAR($I555)*12+MONTH($I555))-(YEAR($H555)*12+MONTH($H555))+1))</f>
        <v/>
      </c>
      <c r="N555" s="68">
        <f>IF(OR($J555="",$B555=""),0,IF(YEAR($B555)*12+MONTH($B555)&lt;=YEAR($C$3)*12+MONTH($C$3),$G555,0))</f>
        <v/>
      </c>
      <c r="O555" s="68">
        <f>IF(OR($J555="",$B555=""),0,IF(YEAR($B555)*12+MONTH($B555)&lt;=YEAR($C$3)*12+MONTH($C$3)-1,$G555,0))</f>
        <v/>
      </c>
      <c r="P555" s="68">
        <f>$M555-$O555</f>
        <v/>
      </c>
      <c r="Q555" s="68">
        <f>($L555-$M555)-($N555-$O555)</f>
        <v/>
      </c>
      <c r="R555" s="68">
        <f>$L555-$N555</f>
        <v/>
      </c>
      <c r="S555" s="67">
        <f>"WIP journal"</f>
        <v/>
      </c>
      <c r="T555" s="67">
        <f>IFERROR(INDEX(tbl_WIP[Revenue or Cost],$A555),"")</f>
        <v/>
      </c>
    </row>
    <row r="556">
      <c r="A556" s="65">
        <f>ROW()-407</f>
        <v/>
      </c>
      <c r="B556" s="66">
        <f>IFERROR(INDEX(tbl_WIP[Month],$A556),"")</f>
        <v/>
      </c>
      <c r="C556" s="67">
        <f>IFERROR(INDEX(tbl_WIP[Xero Invoice No],$A556),"")</f>
        <v/>
      </c>
      <c r="D556" s="67">
        <f>IFERROR(INDEX(tbl_WIP[Client],$A556),"")</f>
        <v/>
      </c>
      <c r="E556" s="67">
        <f>IFERROR(INDEX(tbl_WIP[Job Number],$A556),"")</f>
        <v/>
      </c>
      <c r="F556" s="67">
        <f>IFERROR(INDEX(tbl_WIP[Cost Centre],$A556),"")</f>
        <v/>
      </c>
      <c r="G556" s="68">
        <f>IFERROR(IF(INDEX(tbl_WIP[Defer Start],$A556)="","",IF(INDEX(tbl_WIP[Revenue or Cost],$A556)="Cost",-1,1)*INDEX(tbl_WIP[Amount],$A556)),"")</f>
        <v/>
      </c>
      <c r="H556" s="66">
        <f>IFERROR(INDEX(tbl_WIP[Defer Start],$A556),"")</f>
        <v/>
      </c>
      <c r="I556" s="66">
        <f>IFERROR(INDEX(tbl_WIP[Defer End],$A556),"")</f>
        <v/>
      </c>
      <c r="J556" s="65">
        <f>IF(OR($H556="",$I556="",$G556=""),"",MAX(1,(YEAR($I556)-YEAR($H556))*12+MONTH($I556)-MONTH($H556)+1))</f>
        <v/>
      </c>
      <c r="K556" s="68">
        <f>IF($J556="","",$G556/$J556)</f>
        <v/>
      </c>
      <c r="L556" s="68">
        <f>IF($J556="",0,$K556*MAX(0,MIN(YEAR($C$3)*12+MONTH($C$3),YEAR($I556)*12+MONTH($I556))-(YEAR($H556)*12+MONTH($H556))+1))</f>
        <v/>
      </c>
      <c r="M556" s="68">
        <f>IF($J556="",0,$K556*MAX(0,MIN(YEAR($C$3)*12+MONTH($C$3)-1,YEAR($I556)*12+MONTH($I556))-(YEAR($H556)*12+MONTH($H556))+1))</f>
        <v/>
      </c>
      <c r="N556" s="68">
        <f>IF(OR($J556="",$B556=""),0,IF(YEAR($B556)*12+MONTH($B556)&lt;=YEAR($C$3)*12+MONTH($C$3),$G556,0))</f>
        <v/>
      </c>
      <c r="O556" s="68">
        <f>IF(OR($J556="",$B556=""),0,IF(YEAR($B556)*12+MONTH($B556)&lt;=YEAR($C$3)*12+MONTH($C$3)-1,$G556,0))</f>
        <v/>
      </c>
      <c r="P556" s="68">
        <f>$M556-$O556</f>
        <v/>
      </c>
      <c r="Q556" s="68">
        <f>($L556-$M556)-($N556-$O556)</f>
        <v/>
      </c>
      <c r="R556" s="68">
        <f>$L556-$N556</f>
        <v/>
      </c>
      <c r="S556" s="67">
        <f>"WIP journal"</f>
        <v/>
      </c>
      <c r="T556" s="67">
        <f>IFERROR(INDEX(tbl_WIP[Revenue or Cost],$A556),"")</f>
        <v/>
      </c>
    </row>
    <row r="557">
      <c r="A557" s="65">
        <f>ROW()-407</f>
        <v/>
      </c>
      <c r="B557" s="66">
        <f>IFERROR(INDEX(tbl_WIP[Month],$A557),"")</f>
        <v/>
      </c>
      <c r="C557" s="67">
        <f>IFERROR(INDEX(tbl_WIP[Xero Invoice No],$A557),"")</f>
        <v/>
      </c>
      <c r="D557" s="67">
        <f>IFERROR(INDEX(tbl_WIP[Client],$A557),"")</f>
        <v/>
      </c>
      <c r="E557" s="67">
        <f>IFERROR(INDEX(tbl_WIP[Job Number],$A557),"")</f>
        <v/>
      </c>
      <c r="F557" s="67">
        <f>IFERROR(INDEX(tbl_WIP[Cost Centre],$A557),"")</f>
        <v/>
      </c>
      <c r="G557" s="68">
        <f>IFERROR(IF(INDEX(tbl_WIP[Defer Start],$A557)="","",IF(INDEX(tbl_WIP[Revenue or Cost],$A557)="Cost",-1,1)*INDEX(tbl_WIP[Amount],$A557)),"")</f>
        <v/>
      </c>
      <c r="H557" s="66">
        <f>IFERROR(INDEX(tbl_WIP[Defer Start],$A557),"")</f>
        <v/>
      </c>
      <c r="I557" s="66">
        <f>IFERROR(INDEX(tbl_WIP[Defer End],$A557),"")</f>
        <v/>
      </c>
      <c r="J557" s="65">
        <f>IF(OR($H557="",$I557="",$G557=""),"",MAX(1,(YEAR($I557)-YEAR($H557))*12+MONTH($I557)-MONTH($H557)+1))</f>
        <v/>
      </c>
      <c r="K557" s="68">
        <f>IF($J557="","",$G557/$J557)</f>
        <v/>
      </c>
      <c r="L557" s="68">
        <f>IF($J557="",0,$K557*MAX(0,MIN(YEAR($C$3)*12+MONTH($C$3),YEAR($I557)*12+MONTH($I557))-(YEAR($H557)*12+MONTH($H557))+1))</f>
        <v/>
      </c>
      <c r="M557" s="68">
        <f>IF($J557="",0,$K557*MAX(0,MIN(YEAR($C$3)*12+MONTH($C$3)-1,YEAR($I557)*12+MONTH($I557))-(YEAR($H557)*12+MONTH($H557))+1))</f>
        <v/>
      </c>
      <c r="N557" s="68">
        <f>IF(OR($J557="",$B557=""),0,IF(YEAR($B557)*12+MONTH($B557)&lt;=YEAR($C$3)*12+MONTH($C$3),$G557,0))</f>
        <v/>
      </c>
      <c r="O557" s="68">
        <f>IF(OR($J557="",$B557=""),0,IF(YEAR($B557)*12+MONTH($B557)&lt;=YEAR($C$3)*12+MONTH($C$3)-1,$G557,0))</f>
        <v/>
      </c>
      <c r="P557" s="68">
        <f>$M557-$O557</f>
        <v/>
      </c>
      <c r="Q557" s="68">
        <f>($L557-$M557)-($N557-$O557)</f>
        <v/>
      </c>
      <c r="R557" s="68">
        <f>$L557-$N557</f>
        <v/>
      </c>
      <c r="S557" s="67">
        <f>"WIP journal"</f>
        <v/>
      </c>
      <c r="T557" s="67">
        <f>IFERROR(INDEX(tbl_WIP[Revenue or Cost],$A557),"")</f>
        <v/>
      </c>
    </row>
    <row r="558">
      <c r="A558" s="65">
        <f>ROW()-407</f>
        <v/>
      </c>
      <c r="B558" s="66">
        <f>IFERROR(INDEX(tbl_WIP[Month],$A558),"")</f>
        <v/>
      </c>
      <c r="C558" s="67">
        <f>IFERROR(INDEX(tbl_WIP[Xero Invoice No],$A558),"")</f>
        <v/>
      </c>
      <c r="D558" s="67">
        <f>IFERROR(INDEX(tbl_WIP[Client],$A558),"")</f>
        <v/>
      </c>
      <c r="E558" s="67">
        <f>IFERROR(INDEX(tbl_WIP[Job Number],$A558),"")</f>
        <v/>
      </c>
      <c r="F558" s="67">
        <f>IFERROR(INDEX(tbl_WIP[Cost Centre],$A558),"")</f>
        <v/>
      </c>
      <c r="G558" s="68">
        <f>IFERROR(IF(INDEX(tbl_WIP[Defer Start],$A558)="","",IF(INDEX(tbl_WIP[Revenue or Cost],$A558)="Cost",-1,1)*INDEX(tbl_WIP[Amount],$A558)),"")</f>
        <v/>
      </c>
      <c r="H558" s="66">
        <f>IFERROR(INDEX(tbl_WIP[Defer Start],$A558),"")</f>
        <v/>
      </c>
      <c r="I558" s="66">
        <f>IFERROR(INDEX(tbl_WIP[Defer End],$A558),"")</f>
        <v/>
      </c>
      <c r="J558" s="65">
        <f>IF(OR($H558="",$I558="",$G558=""),"",MAX(1,(YEAR($I558)-YEAR($H558))*12+MONTH($I558)-MONTH($H558)+1))</f>
        <v/>
      </c>
      <c r="K558" s="68">
        <f>IF($J558="","",$G558/$J558)</f>
        <v/>
      </c>
      <c r="L558" s="68">
        <f>IF($J558="",0,$K558*MAX(0,MIN(YEAR($C$3)*12+MONTH($C$3),YEAR($I558)*12+MONTH($I558))-(YEAR($H558)*12+MONTH($H558))+1))</f>
        <v/>
      </c>
      <c r="M558" s="68">
        <f>IF($J558="",0,$K558*MAX(0,MIN(YEAR($C$3)*12+MONTH($C$3)-1,YEAR($I558)*12+MONTH($I558))-(YEAR($H558)*12+MONTH($H558))+1))</f>
        <v/>
      </c>
      <c r="N558" s="68">
        <f>IF(OR($J558="",$B558=""),0,IF(YEAR($B558)*12+MONTH($B558)&lt;=YEAR($C$3)*12+MONTH($C$3),$G558,0))</f>
        <v/>
      </c>
      <c r="O558" s="68">
        <f>IF(OR($J558="",$B558=""),0,IF(YEAR($B558)*12+MONTH($B558)&lt;=YEAR($C$3)*12+MONTH($C$3)-1,$G558,0))</f>
        <v/>
      </c>
      <c r="P558" s="68">
        <f>$M558-$O558</f>
        <v/>
      </c>
      <c r="Q558" s="68">
        <f>($L558-$M558)-($N558-$O558)</f>
        <v/>
      </c>
      <c r="R558" s="68">
        <f>$L558-$N558</f>
        <v/>
      </c>
      <c r="S558" s="67">
        <f>"WIP journal"</f>
        <v/>
      </c>
      <c r="T558" s="67">
        <f>IFERROR(INDEX(tbl_WIP[Revenue or Cost],$A558),"")</f>
        <v/>
      </c>
    </row>
    <row r="559">
      <c r="A559" s="65">
        <f>ROW()-407</f>
        <v/>
      </c>
      <c r="B559" s="66">
        <f>IFERROR(INDEX(tbl_WIP[Month],$A559),"")</f>
        <v/>
      </c>
      <c r="C559" s="67">
        <f>IFERROR(INDEX(tbl_WIP[Xero Invoice No],$A559),"")</f>
        <v/>
      </c>
      <c r="D559" s="67">
        <f>IFERROR(INDEX(tbl_WIP[Client],$A559),"")</f>
        <v/>
      </c>
      <c r="E559" s="67">
        <f>IFERROR(INDEX(tbl_WIP[Job Number],$A559),"")</f>
        <v/>
      </c>
      <c r="F559" s="67">
        <f>IFERROR(INDEX(tbl_WIP[Cost Centre],$A559),"")</f>
        <v/>
      </c>
      <c r="G559" s="68">
        <f>IFERROR(IF(INDEX(tbl_WIP[Defer Start],$A559)="","",IF(INDEX(tbl_WIP[Revenue or Cost],$A559)="Cost",-1,1)*INDEX(tbl_WIP[Amount],$A559)),"")</f>
        <v/>
      </c>
      <c r="H559" s="66">
        <f>IFERROR(INDEX(tbl_WIP[Defer Start],$A559),"")</f>
        <v/>
      </c>
      <c r="I559" s="66">
        <f>IFERROR(INDEX(tbl_WIP[Defer End],$A559),"")</f>
        <v/>
      </c>
      <c r="J559" s="65">
        <f>IF(OR($H559="",$I559="",$G559=""),"",MAX(1,(YEAR($I559)-YEAR($H559))*12+MONTH($I559)-MONTH($H559)+1))</f>
        <v/>
      </c>
      <c r="K559" s="68">
        <f>IF($J559="","",$G559/$J559)</f>
        <v/>
      </c>
      <c r="L559" s="68">
        <f>IF($J559="",0,$K559*MAX(0,MIN(YEAR($C$3)*12+MONTH($C$3),YEAR($I559)*12+MONTH($I559))-(YEAR($H559)*12+MONTH($H559))+1))</f>
        <v/>
      </c>
      <c r="M559" s="68">
        <f>IF($J559="",0,$K559*MAX(0,MIN(YEAR($C$3)*12+MONTH($C$3)-1,YEAR($I559)*12+MONTH($I559))-(YEAR($H559)*12+MONTH($H559))+1))</f>
        <v/>
      </c>
      <c r="N559" s="68">
        <f>IF(OR($J559="",$B559=""),0,IF(YEAR($B559)*12+MONTH($B559)&lt;=YEAR($C$3)*12+MONTH($C$3),$G559,0))</f>
        <v/>
      </c>
      <c r="O559" s="68">
        <f>IF(OR($J559="",$B559=""),0,IF(YEAR($B559)*12+MONTH($B559)&lt;=YEAR($C$3)*12+MONTH($C$3)-1,$G559,0))</f>
        <v/>
      </c>
      <c r="P559" s="68">
        <f>$M559-$O559</f>
        <v/>
      </c>
      <c r="Q559" s="68">
        <f>($L559-$M559)-($N559-$O559)</f>
        <v/>
      </c>
      <c r="R559" s="68">
        <f>$L559-$N559</f>
        <v/>
      </c>
      <c r="S559" s="67">
        <f>"WIP journal"</f>
        <v/>
      </c>
      <c r="T559" s="67">
        <f>IFERROR(INDEX(tbl_WIP[Revenue or Cost],$A559),"")</f>
        <v/>
      </c>
    </row>
    <row r="560">
      <c r="A560" s="65">
        <f>ROW()-407</f>
        <v/>
      </c>
      <c r="B560" s="66">
        <f>IFERROR(INDEX(tbl_WIP[Month],$A560),"")</f>
        <v/>
      </c>
      <c r="C560" s="67">
        <f>IFERROR(INDEX(tbl_WIP[Xero Invoice No],$A560),"")</f>
        <v/>
      </c>
      <c r="D560" s="67">
        <f>IFERROR(INDEX(tbl_WIP[Client],$A560),"")</f>
        <v/>
      </c>
      <c r="E560" s="67">
        <f>IFERROR(INDEX(tbl_WIP[Job Number],$A560),"")</f>
        <v/>
      </c>
      <c r="F560" s="67">
        <f>IFERROR(INDEX(tbl_WIP[Cost Centre],$A560),"")</f>
        <v/>
      </c>
      <c r="G560" s="68">
        <f>IFERROR(IF(INDEX(tbl_WIP[Defer Start],$A560)="","",IF(INDEX(tbl_WIP[Revenue or Cost],$A560)="Cost",-1,1)*INDEX(tbl_WIP[Amount],$A560)),"")</f>
        <v/>
      </c>
      <c r="H560" s="66">
        <f>IFERROR(INDEX(tbl_WIP[Defer Start],$A560),"")</f>
        <v/>
      </c>
      <c r="I560" s="66">
        <f>IFERROR(INDEX(tbl_WIP[Defer End],$A560),"")</f>
        <v/>
      </c>
      <c r="J560" s="65">
        <f>IF(OR($H560="",$I560="",$G560=""),"",MAX(1,(YEAR($I560)-YEAR($H560))*12+MONTH($I560)-MONTH($H560)+1))</f>
        <v/>
      </c>
      <c r="K560" s="68">
        <f>IF($J560="","",$G560/$J560)</f>
        <v/>
      </c>
      <c r="L560" s="68">
        <f>IF($J560="",0,$K560*MAX(0,MIN(YEAR($C$3)*12+MONTH($C$3),YEAR($I560)*12+MONTH($I560))-(YEAR($H560)*12+MONTH($H560))+1))</f>
        <v/>
      </c>
      <c r="M560" s="68">
        <f>IF($J560="",0,$K560*MAX(0,MIN(YEAR($C$3)*12+MONTH($C$3)-1,YEAR($I560)*12+MONTH($I560))-(YEAR($H560)*12+MONTH($H560))+1))</f>
        <v/>
      </c>
      <c r="N560" s="68">
        <f>IF(OR($J560="",$B560=""),0,IF(YEAR($B560)*12+MONTH($B560)&lt;=YEAR($C$3)*12+MONTH($C$3),$G560,0))</f>
        <v/>
      </c>
      <c r="O560" s="68">
        <f>IF(OR($J560="",$B560=""),0,IF(YEAR($B560)*12+MONTH($B560)&lt;=YEAR($C$3)*12+MONTH($C$3)-1,$G560,0))</f>
        <v/>
      </c>
      <c r="P560" s="68">
        <f>$M560-$O560</f>
        <v/>
      </c>
      <c r="Q560" s="68">
        <f>($L560-$M560)-($N560-$O560)</f>
        <v/>
      </c>
      <c r="R560" s="68">
        <f>$L560-$N560</f>
        <v/>
      </c>
      <c r="S560" s="67">
        <f>"WIP journal"</f>
        <v/>
      </c>
      <c r="T560" s="67">
        <f>IFERROR(INDEX(tbl_WIP[Revenue or Cost],$A560),"")</f>
        <v/>
      </c>
    </row>
    <row r="561">
      <c r="A561" s="65">
        <f>ROW()-407</f>
        <v/>
      </c>
      <c r="B561" s="66">
        <f>IFERROR(INDEX(tbl_WIP[Month],$A561),"")</f>
        <v/>
      </c>
      <c r="C561" s="67">
        <f>IFERROR(INDEX(tbl_WIP[Xero Invoice No],$A561),"")</f>
        <v/>
      </c>
      <c r="D561" s="67">
        <f>IFERROR(INDEX(tbl_WIP[Client],$A561),"")</f>
        <v/>
      </c>
      <c r="E561" s="67">
        <f>IFERROR(INDEX(tbl_WIP[Job Number],$A561),"")</f>
        <v/>
      </c>
      <c r="F561" s="67">
        <f>IFERROR(INDEX(tbl_WIP[Cost Centre],$A561),"")</f>
        <v/>
      </c>
      <c r="G561" s="68">
        <f>IFERROR(IF(INDEX(tbl_WIP[Defer Start],$A561)="","",IF(INDEX(tbl_WIP[Revenue or Cost],$A561)="Cost",-1,1)*INDEX(tbl_WIP[Amount],$A561)),"")</f>
        <v/>
      </c>
      <c r="H561" s="66">
        <f>IFERROR(INDEX(tbl_WIP[Defer Start],$A561),"")</f>
        <v/>
      </c>
      <c r="I561" s="66">
        <f>IFERROR(INDEX(tbl_WIP[Defer End],$A561),"")</f>
        <v/>
      </c>
      <c r="J561" s="65">
        <f>IF(OR($H561="",$I561="",$G561=""),"",MAX(1,(YEAR($I561)-YEAR($H561))*12+MONTH($I561)-MONTH($H561)+1))</f>
        <v/>
      </c>
      <c r="K561" s="68">
        <f>IF($J561="","",$G561/$J561)</f>
        <v/>
      </c>
      <c r="L561" s="68">
        <f>IF($J561="",0,$K561*MAX(0,MIN(YEAR($C$3)*12+MONTH($C$3),YEAR($I561)*12+MONTH($I561))-(YEAR($H561)*12+MONTH($H561))+1))</f>
        <v/>
      </c>
      <c r="M561" s="68">
        <f>IF($J561="",0,$K561*MAX(0,MIN(YEAR($C$3)*12+MONTH($C$3)-1,YEAR($I561)*12+MONTH($I561))-(YEAR($H561)*12+MONTH($H561))+1))</f>
        <v/>
      </c>
      <c r="N561" s="68">
        <f>IF(OR($J561="",$B561=""),0,IF(YEAR($B561)*12+MONTH($B561)&lt;=YEAR($C$3)*12+MONTH($C$3),$G561,0))</f>
        <v/>
      </c>
      <c r="O561" s="68">
        <f>IF(OR($J561="",$B561=""),0,IF(YEAR($B561)*12+MONTH($B561)&lt;=YEAR($C$3)*12+MONTH($C$3)-1,$G561,0))</f>
        <v/>
      </c>
      <c r="P561" s="68">
        <f>$M561-$O561</f>
        <v/>
      </c>
      <c r="Q561" s="68">
        <f>($L561-$M561)-($N561-$O561)</f>
        <v/>
      </c>
      <c r="R561" s="68">
        <f>$L561-$N561</f>
        <v/>
      </c>
      <c r="S561" s="67">
        <f>"WIP journal"</f>
        <v/>
      </c>
      <c r="T561" s="67">
        <f>IFERROR(INDEX(tbl_WIP[Revenue or Cost],$A561),"")</f>
        <v/>
      </c>
    </row>
    <row r="562">
      <c r="A562" s="65">
        <f>ROW()-407</f>
        <v/>
      </c>
      <c r="B562" s="66">
        <f>IFERROR(INDEX(tbl_WIP[Month],$A562),"")</f>
        <v/>
      </c>
      <c r="C562" s="67">
        <f>IFERROR(INDEX(tbl_WIP[Xero Invoice No],$A562),"")</f>
        <v/>
      </c>
      <c r="D562" s="67">
        <f>IFERROR(INDEX(tbl_WIP[Client],$A562),"")</f>
        <v/>
      </c>
      <c r="E562" s="67">
        <f>IFERROR(INDEX(tbl_WIP[Job Number],$A562),"")</f>
        <v/>
      </c>
      <c r="F562" s="67">
        <f>IFERROR(INDEX(tbl_WIP[Cost Centre],$A562),"")</f>
        <v/>
      </c>
      <c r="G562" s="68">
        <f>IFERROR(IF(INDEX(tbl_WIP[Defer Start],$A562)="","",IF(INDEX(tbl_WIP[Revenue or Cost],$A562)="Cost",-1,1)*INDEX(tbl_WIP[Amount],$A562)),"")</f>
        <v/>
      </c>
      <c r="H562" s="66">
        <f>IFERROR(INDEX(tbl_WIP[Defer Start],$A562),"")</f>
        <v/>
      </c>
      <c r="I562" s="66">
        <f>IFERROR(INDEX(tbl_WIP[Defer End],$A562),"")</f>
        <v/>
      </c>
      <c r="J562" s="65">
        <f>IF(OR($H562="",$I562="",$G562=""),"",MAX(1,(YEAR($I562)-YEAR($H562))*12+MONTH($I562)-MONTH($H562)+1))</f>
        <v/>
      </c>
      <c r="K562" s="68">
        <f>IF($J562="","",$G562/$J562)</f>
        <v/>
      </c>
      <c r="L562" s="68">
        <f>IF($J562="",0,$K562*MAX(0,MIN(YEAR($C$3)*12+MONTH($C$3),YEAR($I562)*12+MONTH($I562))-(YEAR($H562)*12+MONTH($H562))+1))</f>
        <v/>
      </c>
      <c r="M562" s="68">
        <f>IF($J562="",0,$K562*MAX(0,MIN(YEAR($C$3)*12+MONTH($C$3)-1,YEAR($I562)*12+MONTH($I562))-(YEAR($H562)*12+MONTH($H562))+1))</f>
        <v/>
      </c>
      <c r="N562" s="68">
        <f>IF(OR($J562="",$B562=""),0,IF(YEAR($B562)*12+MONTH($B562)&lt;=YEAR($C$3)*12+MONTH($C$3),$G562,0))</f>
        <v/>
      </c>
      <c r="O562" s="68">
        <f>IF(OR($J562="",$B562=""),0,IF(YEAR($B562)*12+MONTH($B562)&lt;=YEAR($C$3)*12+MONTH($C$3)-1,$G562,0))</f>
        <v/>
      </c>
      <c r="P562" s="68">
        <f>$M562-$O562</f>
        <v/>
      </c>
      <c r="Q562" s="68">
        <f>($L562-$M562)-($N562-$O562)</f>
        <v/>
      </c>
      <c r="R562" s="68">
        <f>$L562-$N562</f>
        <v/>
      </c>
      <c r="S562" s="67">
        <f>"WIP journal"</f>
        <v/>
      </c>
      <c r="T562" s="67">
        <f>IFERROR(INDEX(tbl_WIP[Revenue or Cost],$A562),"")</f>
        <v/>
      </c>
    </row>
    <row r="563">
      <c r="A563" s="65">
        <f>ROW()-407</f>
        <v/>
      </c>
      <c r="B563" s="66">
        <f>IFERROR(INDEX(tbl_WIP[Month],$A563),"")</f>
        <v/>
      </c>
      <c r="C563" s="67">
        <f>IFERROR(INDEX(tbl_WIP[Xero Invoice No],$A563),"")</f>
        <v/>
      </c>
      <c r="D563" s="67">
        <f>IFERROR(INDEX(tbl_WIP[Client],$A563),"")</f>
        <v/>
      </c>
      <c r="E563" s="67">
        <f>IFERROR(INDEX(tbl_WIP[Job Number],$A563),"")</f>
        <v/>
      </c>
      <c r="F563" s="67">
        <f>IFERROR(INDEX(tbl_WIP[Cost Centre],$A563),"")</f>
        <v/>
      </c>
      <c r="G563" s="68">
        <f>IFERROR(IF(INDEX(tbl_WIP[Defer Start],$A563)="","",IF(INDEX(tbl_WIP[Revenue or Cost],$A563)="Cost",-1,1)*INDEX(tbl_WIP[Amount],$A563)),"")</f>
        <v/>
      </c>
      <c r="H563" s="66">
        <f>IFERROR(INDEX(tbl_WIP[Defer Start],$A563),"")</f>
        <v/>
      </c>
      <c r="I563" s="66">
        <f>IFERROR(INDEX(tbl_WIP[Defer End],$A563),"")</f>
        <v/>
      </c>
      <c r="J563" s="65">
        <f>IF(OR($H563="",$I563="",$G563=""),"",MAX(1,(YEAR($I563)-YEAR($H563))*12+MONTH($I563)-MONTH($H563)+1))</f>
        <v/>
      </c>
      <c r="K563" s="68">
        <f>IF($J563="","",$G563/$J563)</f>
        <v/>
      </c>
      <c r="L563" s="68">
        <f>IF($J563="",0,$K563*MAX(0,MIN(YEAR($C$3)*12+MONTH($C$3),YEAR($I563)*12+MONTH($I563))-(YEAR($H563)*12+MONTH($H563))+1))</f>
        <v/>
      </c>
      <c r="M563" s="68">
        <f>IF($J563="",0,$K563*MAX(0,MIN(YEAR($C$3)*12+MONTH($C$3)-1,YEAR($I563)*12+MONTH($I563))-(YEAR($H563)*12+MONTH($H563))+1))</f>
        <v/>
      </c>
      <c r="N563" s="68">
        <f>IF(OR($J563="",$B563=""),0,IF(YEAR($B563)*12+MONTH($B563)&lt;=YEAR($C$3)*12+MONTH($C$3),$G563,0))</f>
        <v/>
      </c>
      <c r="O563" s="68">
        <f>IF(OR($J563="",$B563=""),0,IF(YEAR($B563)*12+MONTH($B563)&lt;=YEAR($C$3)*12+MONTH($C$3)-1,$G563,0))</f>
        <v/>
      </c>
      <c r="P563" s="68">
        <f>$M563-$O563</f>
        <v/>
      </c>
      <c r="Q563" s="68">
        <f>($L563-$M563)-($N563-$O563)</f>
        <v/>
      </c>
      <c r="R563" s="68">
        <f>$L563-$N563</f>
        <v/>
      </c>
      <c r="S563" s="67">
        <f>"WIP journal"</f>
        <v/>
      </c>
      <c r="T563" s="67">
        <f>IFERROR(INDEX(tbl_WIP[Revenue or Cost],$A563),"")</f>
        <v/>
      </c>
    </row>
    <row r="564">
      <c r="A564" s="65">
        <f>ROW()-407</f>
        <v/>
      </c>
      <c r="B564" s="66">
        <f>IFERROR(INDEX(tbl_WIP[Month],$A564),"")</f>
        <v/>
      </c>
      <c r="C564" s="67">
        <f>IFERROR(INDEX(tbl_WIP[Xero Invoice No],$A564),"")</f>
        <v/>
      </c>
      <c r="D564" s="67">
        <f>IFERROR(INDEX(tbl_WIP[Client],$A564),"")</f>
        <v/>
      </c>
      <c r="E564" s="67">
        <f>IFERROR(INDEX(tbl_WIP[Job Number],$A564),"")</f>
        <v/>
      </c>
      <c r="F564" s="67">
        <f>IFERROR(INDEX(tbl_WIP[Cost Centre],$A564),"")</f>
        <v/>
      </c>
      <c r="G564" s="68">
        <f>IFERROR(IF(INDEX(tbl_WIP[Defer Start],$A564)="","",IF(INDEX(tbl_WIP[Revenue or Cost],$A564)="Cost",-1,1)*INDEX(tbl_WIP[Amount],$A564)),"")</f>
        <v/>
      </c>
      <c r="H564" s="66">
        <f>IFERROR(INDEX(tbl_WIP[Defer Start],$A564),"")</f>
        <v/>
      </c>
      <c r="I564" s="66">
        <f>IFERROR(INDEX(tbl_WIP[Defer End],$A564),"")</f>
        <v/>
      </c>
      <c r="J564" s="65">
        <f>IF(OR($H564="",$I564="",$G564=""),"",MAX(1,(YEAR($I564)-YEAR($H564))*12+MONTH($I564)-MONTH($H564)+1))</f>
        <v/>
      </c>
      <c r="K564" s="68">
        <f>IF($J564="","",$G564/$J564)</f>
        <v/>
      </c>
      <c r="L564" s="68">
        <f>IF($J564="",0,$K564*MAX(0,MIN(YEAR($C$3)*12+MONTH($C$3),YEAR($I564)*12+MONTH($I564))-(YEAR($H564)*12+MONTH($H564))+1))</f>
        <v/>
      </c>
      <c r="M564" s="68">
        <f>IF($J564="",0,$K564*MAX(0,MIN(YEAR($C$3)*12+MONTH($C$3)-1,YEAR($I564)*12+MONTH($I564))-(YEAR($H564)*12+MONTH($H564))+1))</f>
        <v/>
      </c>
      <c r="N564" s="68">
        <f>IF(OR($J564="",$B564=""),0,IF(YEAR($B564)*12+MONTH($B564)&lt;=YEAR($C$3)*12+MONTH($C$3),$G564,0))</f>
        <v/>
      </c>
      <c r="O564" s="68">
        <f>IF(OR($J564="",$B564=""),0,IF(YEAR($B564)*12+MONTH($B564)&lt;=YEAR($C$3)*12+MONTH($C$3)-1,$G564,0))</f>
        <v/>
      </c>
      <c r="P564" s="68">
        <f>$M564-$O564</f>
        <v/>
      </c>
      <c r="Q564" s="68">
        <f>($L564-$M564)-($N564-$O564)</f>
        <v/>
      </c>
      <c r="R564" s="68">
        <f>$L564-$N564</f>
        <v/>
      </c>
      <c r="S564" s="67">
        <f>"WIP journal"</f>
        <v/>
      </c>
      <c r="T564" s="67">
        <f>IFERROR(INDEX(tbl_WIP[Revenue or Cost],$A564),"")</f>
        <v/>
      </c>
    </row>
    <row r="565">
      <c r="A565" s="65">
        <f>ROW()-407</f>
        <v/>
      </c>
      <c r="B565" s="66">
        <f>IFERROR(INDEX(tbl_WIP[Month],$A565),"")</f>
        <v/>
      </c>
      <c r="C565" s="67">
        <f>IFERROR(INDEX(tbl_WIP[Xero Invoice No],$A565),"")</f>
        <v/>
      </c>
      <c r="D565" s="67">
        <f>IFERROR(INDEX(tbl_WIP[Client],$A565),"")</f>
        <v/>
      </c>
      <c r="E565" s="67">
        <f>IFERROR(INDEX(tbl_WIP[Job Number],$A565),"")</f>
        <v/>
      </c>
      <c r="F565" s="67">
        <f>IFERROR(INDEX(tbl_WIP[Cost Centre],$A565),"")</f>
        <v/>
      </c>
      <c r="G565" s="68">
        <f>IFERROR(IF(INDEX(tbl_WIP[Defer Start],$A565)="","",IF(INDEX(tbl_WIP[Revenue or Cost],$A565)="Cost",-1,1)*INDEX(tbl_WIP[Amount],$A565)),"")</f>
        <v/>
      </c>
      <c r="H565" s="66">
        <f>IFERROR(INDEX(tbl_WIP[Defer Start],$A565),"")</f>
        <v/>
      </c>
      <c r="I565" s="66">
        <f>IFERROR(INDEX(tbl_WIP[Defer End],$A565),"")</f>
        <v/>
      </c>
      <c r="J565" s="65">
        <f>IF(OR($H565="",$I565="",$G565=""),"",MAX(1,(YEAR($I565)-YEAR($H565))*12+MONTH($I565)-MONTH($H565)+1))</f>
        <v/>
      </c>
      <c r="K565" s="68">
        <f>IF($J565="","",$G565/$J565)</f>
        <v/>
      </c>
      <c r="L565" s="68">
        <f>IF($J565="",0,$K565*MAX(0,MIN(YEAR($C$3)*12+MONTH($C$3),YEAR($I565)*12+MONTH($I565))-(YEAR($H565)*12+MONTH($H565))+1))</f>
        <v/>
      </c>
      <c r="M565" s="68">
        <f>IF($J565="",0,$K565*MAX(0,MIN(YEAR($C$3)*12+MONTH($C$3)-1,YEAR($I565)*12+MONTH($I565))-(YEAR($H565)*12+MONTH($H565))+1))</f>
        <v/>
      </c>
      <c r="N565" s="68">
        <f>IF(OR($J565="",$B565=""),0,IF(YEAR($B565)*12+MONTH($B565)&lt;=YEAR($C$3)*12+MONTH($C$3),$G565,0))</f>
        <v/>
      </c>
      <c r="O565" s="68">
        <f>IF(OR($J565="",$B565=""),0,IF(YEAR($B565)*12+MONTH($B565)&lt;=YEAR($C$3)*12+MONTH($C$3)-1,$G565,0))</f>
        <v/>
      </c>
      <c r="P565" s="68">
        <f>$M565-$O565</f>
        <v/>
      </c>
      <c r="Q565" s="68">
        <f>($L565-$M565)-($N565-$O565)</f>
        <v/>
      </c>
      <c r="R565" s="68">
        <f>$L565-$N565</f>
        <v/>
      </c>
      <c r="S565" s="67">
        <f>"WIP journal"</f>
        <v/>
      </c>
      <c r="T565" s="67">
        <f>IFERROR(INDEX(tbl_WIP[Revenue or Cost],$A565),"")</f>
        <v/>
      </c>
    </row>
    <row r="566">
      <c r="A566" s="65">
        <f>ROW()-407</f>
        <v/>
      </c>
      <c r="B566" s="66">
        <f>IFERROR(INDEX(tbl_WIP[Month],$A566),"")</f>
        <v/>
      </c>
      <c r="C566" s="67">
        <f>IFERROR(INDEX(tbl_WIP[Xero Invoice No],$A566),"")</f>
        <v/>
      </c>
      <c r="D566" s="67">
        <f>IFERROR(INDEX(tbl_WIP[Client],$A566),"")</f>
        <v/>
      </c>
      <c r="E566" s="67">
        <f>IFERROR(INDEX(tbl_WIP[Job Number],$A566),"")</f>
        <v/>
      </c>
      <c r="F566" s="67">
        <f>IFERROR(INDEX(tbl_WIP[Cost Centre],$A566),"")</f>
        <v/>
      </c>
      <c r="G566" s="68">
        <f>IFERROR(IF(INDEX(tbl_WIP[Defer Start],$A566)="","",IF(INDEX(tbl_WIP[Revenue or Cost],$A566)="Cost",-1,1)*INDEX(tbl_WIP[Amount],$A566)),"")</f>
        <v/>
      </c>
      <c r="H566" s="66">
        <f>IFERROR(INDEX(tbl_WIP[Defer Start],$A566),"")</f>
        <v/>
      </c>
      <c r="I566" s="66">
        <f>IFERROR(INDEX(tbl_WIP[Defer End],$A566),"")</f>
        <v/>
      </c>
      <c r="J566" s="65">
        <f>IF(OR($H566="",$I566="",$G566=""),"",MAX(1,(YEAR($I566)-YEAR($H566))*12+MONTH($I566)-MONTH($H566)+1))</f>
        <v/>
      </c>
      <c r="K566" s="68">
        <f>IF($J566="","",$G566/$J566)</f>
        <v/>
      </c>
      <c r="L566" s="68">
        <f>IF($J566="",0,$K566*MAX(0,MIN(YEAR($C$3)*12+MONTH($C$3),YEAR($I566)*12+MONTH($I566))-(YEAR($H566)*12+MONTH($H566))+1))</f>
        <v/>
      </c>
      <c r="M566" s="68">
        <f>IF($J566="",0,$K566*MAX(0,MIN(YEAR($C$3)*12+MONTH($C$3)-1,YEAR($I566)*12+MONTH($I566))-(YEAR($H566)*12+MONTH($H566))+1))</f>
        <v/>
      </c>
      <c r="N566" s="68">
        <f>IF(OR($J566="",$B566=""),0,IF(YEAR($B566)*12+MONTH($B566)&lt;=YEAR($C$3)*12+MONTH($C$3),$G566,0))</f>
        <v/>
      </c>
      <c r="O566" s="68">
        <f>IF(OR($J566="",$B566=""),0,IF(YEAR($B566)*12+MONTH($B566)&lt;=YEAR($C$3)*12+MONTH($C$3)-1,$G566,0))</f>
        <v/>
      </c>
      <c r="P566" s="68">
        <f>$M566-$O566</f>
        <v/>
      </c>
      <c r="Q566" s="68">
        <f>($L566-$M566)-($N566-$O566)</f>
        <v/>
      </c>
      <c r="R566" s="68">
        <f>$L566-$N566</f>
        <v/>
      </c>
      <c r="S566" s="67">
        <f>"WIP journal"</f>
        <v/>
      </c>
      <c r="T566" s="67">
        <f>IFERROR(INDEX(tbl_WIP[Revenue or Cost],$A566),"")</f>
        <v/>
      </c>
    </row>
    <row r="567">
      <c r="A567" s="65">
        <f>ROW()-407</f>
        <v/>
      </c>
      <c r="B567" s="66">
        <f>IFERROR(INDEX(tbl_WIP[Month],$A567),"")</f>
        <v/>
      </c>
      <c r="C567" s="67">
        <f>IFERROR(INDEX(tbl_WIP[Xero Invoice No],$A567),"")</f>
        <v/>
      </c>
      <c r="D567" s="67">
        <f>IFERROR(INDEX(tbl_WIP[Client],$A567),"")</f>
        <v/>
      </c>
      <c r="E567" s="67">
        <f>IFERROR(INDEX(tbl_WIP[Job Number],$A567),"")</f>
        <v/>
      </c>
      <c r="F567" s="67">
        <f>IFERROR(INDEX(tbl_WIP[Cost Centre],$A567),"")</f>
        <v/>
      </c>
      <c r="G567" s="68">
        <f>IFERROR(IF(INDEX(tbl_WIP[Defer Start],$A567)="","",IF(INDEX(tbl_WIP[Revenue or Cost],$A567)="Cost",-1,1)*INDEX(tbl_WIP[Amount],$A567)),"")</f>
        <v/>
      </c>
      <c r="H567" s="66">
        <f>IFERROR(INDEX(tbl_WIP[Defer Start],$A567),"")</f>
        <v/>
      </c>
      <c r="I567" s="66">
        <f>IFERROR(INDEX(tbl_WIP[Defer End],$A567),"")</f>
        <v/>
      </c>
      <c r="J567" s="65">
        <f>IF(OR($H567="",$I567="",$G567=""),"",MAX(1,(YEAR($I567)-YEAR($H567))*12+MONTH($I567)-MONTH($H567)+1))</f>
        <v/>
      </c>
      <c r="K567" s="68">
        <f>IF($J567="","",$G567/$J567)</f>
        <v/>
      </c>
      <c r="L567" s="68">
        <f>IF($J567="",0,$K567*MAX(0,MIN(YEAR($C$3)*12+MONTH($C$3),YEAR($I567)*12+MONTH($I567))-(YEAR($H567)*12+MONTH($H567))+1))</f>
        <v/>
      </c>
      <c r="M567" s="68">
        <f>IF($J567="",0,$K567*MAX(0,MIN(YEAR($C$3)*12+MONTH($C$3)-1,YEAR($I567)*12+MONTH($I567))-(YEAR($H567)*12+MONTH($H567))+1))</f>
        <v/>
      </c>
      <c r="N567" s="68">
        <f>IF(OR($J567="",$B567=""),0,IF(YEAR($B567)*12+MONTH($B567)&lt;=YEAR($C$3)*12+MONTH($C$3),$G567,0))</f>
        <v/>
      </c>
      <c r="O567" s="68">
        <f>IF(OR($J567="",$B567=""),0,IF(YEAR($B567)*12+MONTH($B567)&lt;=YEAR($C$3)*12+MONTH($C$3)-1,$G567,0))</f>
        <v/>
      </c>
      <c r="P567" s="68">
        <f>$M567-$O567</f>
        <v/>
      </c>
      <c r="Q567" s="68">
        <f>($L567-$M567)-($N567-$O567)</f>
        <v/>
      </c>
      <c r="R567" s="68">
        <f>$L567-$N567</f>
        <v/>
      </c>
      <c r="S567" s="67">
        <f>"WIP journal"</f>
        <v/>
      </c>
      <c r="T567" s="67">
        <f>IFERROR(INDEX(tbl_WIP[Revenue or Cost],$A567),"")</f>
        <v/>
      </c>
    </row>
    <row r="568">
      <c r="A568" s="65">
        <f>ROW()-407</f>
        <v/>
      </c>
      <c r="B568" s="66">
        <f>IFERROR(INDEX(tbl_WIP[Month],$A568),"")</f>
        <v/>
      </c>
      <c r="C568" s="67">
        <f>IFERROR(INDEX(tbl_WIP[Xero Invoice No],$A568),"")</f>
        <v/>
      </c>
      <c r="D568" s="67">
        <f>IFERROR(INDEX(tbl_WIP[Client],$A568),"")</f>
        <v/>
      </c>
      <c r="E568" s="67">
        <f>IFERROR(INDEX(tbl_WIP[Job Number],$A568),"")</f>
        <v/>
      </c>
      <c r="F568" s="67">
        <f>IFERROR(INDEX(tbl_WIP[Cost Centre],$A568),"")</f>
        <v/>
      </c>
      <c r="G568" s="68">
        <f>IFERROR(IF(INDEX(tbl_WIP[Defer Start],$A568)="","",IF(INDEX(tbl_WIP[Revenue or Cost],$A568)="Cost",-1,1)*INDEX(tbl_WIP[Amount],$A568)),"")</f>
        <v/>
      </c>
      <c r="H568" s="66">
        <f>IFERROR(INDEX(tbl_WIP[Defer Start],$A568),"")</f>
        <v/>
      </c>
      <c r="I568" s="66">
        <f>IFERROR(INDEX(tbl_WIP[Defer End],$A568),"")</f>
        <v/>
      </c>
      <c r="J568" s="65">
        <f>IF(OR($H568="",$I568="",$G568=""),"",MAX(1,(YEAR($I568)-YEAR($H568))*12+MONTH($I568)-MONTH($H568)+1))</f>
        <v/>
      </c>
      <c r="K568" s="68">
        <f>IF($J568="","",$G568/$J568)</f>
        <v/>
      </c>
      <c r="L568" s="68">
        <f>IF($J568="",0,$K568*MAX(0,MIN(YEAR($C$3)*12+MONTH($C$3),YEAR($I568)*12+MONTH($I568))-(YEAR($H568)*12+MONTH($H568))+1))</f>
        <v/>
      </c>
      <c r="M568" s="68">
        <f>IF($J568="",0,$K568*MAX(0,MIN(YEAR($C$3)*12+MONTH($C$3)-1,YEAR($I568)*12+MONTH($I568))-(YEAR($H568)*12+MONTH($H568))+1))</f>
        <v/>
      </c>
      <c r="N568" s="68">
        <f>IF(OR($J568="",$B568=""),0,IF(YEAR($B568)*12+MONTH($B568)&lt;=YEAR($C$3)*12+MONTH($C$3),$G568,0))</f>
        <v/>
      </c>
      <c r="O568" s="68">
        <f>IF(OR($J568="",$B568=""),0,IF(YEAR($B568)*12+MONTH($B568)&lt;=YEAR($C$3)*12+MONTH($C$3)-1,$G568,0))</f>
        <v/>
      </c>
      <c r="P568" s="68">
        <f>$M568-$O568</f>
        <v/>
      </c>
      <c r="Q568" s="68">
        <f>($L568-$M568)-($N568-$O568)</f>
        <v/>
      </c>
      <c r="R568" s="68">
        <f>$L568-$N568</f>
        <v/>
      </c>
      <c r="S568" s="67">
        <f>"WIP journal"</f>
        <v/>
      </c>
      <c r="T568" s="67">
        <f>IFERROR(INDEX(tbl_WIP[Revenue or Cost],$A568),"")</f>
        <v/>
      </c>
    </row>
    <row r="569">
      <c r="A569" s="65">
        <f>ROW()-407</f>
        <v/>
      </c>
      <c r="B569" s="66">
        <f>IFERROR(INDEX(tbl_WIP[Month],$A569),"")</f>
        <v/>
      </c>
      <c r="C569" s="67">
        <f>IFERROR(INDEX(tbl_WIP[Xero Invoice No],$A569),"")</f>
        <v/>
      </c>
      <c r="D569" s="67">
        <f>IFERROR(INDEX(tbl_WIP[Client],$A569),"")</f>
        <v/>
      </c>
      <c r="E569" s="67">
        <f>IFERROR(INDEX(tbl_WIP[Job Number],$A569),"")</f>
        <v/>
      </c>
      <c r="F569" s="67">
        <f>IFERROR(INDEX(tbl_WIP[Cost Centre],$A569),"")</f>
        <v/>
      </c>
      <c r="G569" s="68">
        <f>IFERROR(IF(INDEX(tbl_WIP[Defer Start],$A569)="","",IF(INDEX(tbl_WIP[Revenue or Cost],$A569)="Cost",-1,1)*INDEX(tbl_WIP[Amount],$A569)),"")</f>
        <v/>
      </c>
      <c r="H569" s="66">
        <f>IFERROR(INDEX(tbl_WIP[Defer Start],$A569),"")</f>
        <v/>
      </c>
      <c r="I569" s="66">
        <f>IFERROR(INDEX(tbl_WIP[Defer End],$A569),"")</f>
        <v/>
      </c>
      <c r="J569" s="65">
        <f>IF(OR($H569="",$I569="",$G569=""),"",MAX(1,(YEAR($I569)-YEAR($H569))*12+MONTH($I569)-MONTH($H569)+1))</f>
        <v/>
      </c>
      <c r="K569" s="68">
        <f>IF($J569="","",$G569/$J569)</f>
        <v/>
      </c>
      <c r="L569" s="68">
        <f>IF($J569="",0,$K569*MAX(0,MIN(YEAR($C$3)*12+MONTH($C$3),YEAR($I569)*12+MONTH($I569))-(YEAR($H569)*12+MONTH($H569))+1))</f>
        <v/>
      </c>
      <c r="M569" s="68">
        <f>IF($J569="",0,$K569*MAX(0,MIN(YEAR($C$3)*12+MONTH($C$3)-1,YEAR($I569)*12+MONTH($I569))-(YEAR($H569)*12+MONTH($H569))+1))</f>
        <v/>
      </c>
      <c r="N569" s="68">
        <f>IF(OR($J569="",$B569=""),0,IF(YEAR($B569)*12+MONTH($B569)&lt;=YEAR($C$3)*12+MONTH($C$3),$G569,0))</f>
        <v/>
      </c>
      <c r="O569" s="68">
        <f>IF(OR($J569="",$B569=""),0,IF(YEAR($B569)*12+MONTH($B569)&lt;=YEAR($C$3)*12+MONTH($C$3)-1,$G569,0))</f>
        <v/>
      </c>
      <c r="P569" s="68">
        <f>$M569-$O569</f>
        <v/>
      </c>
      <c r="Q569" s="68">
        <f>($L569-$M569)-($N569-$O569)</f>
        <v/>
      </c>
      <c r="R569" s="68">
        <f>$L569-$N569</f>
        <v/>
      </c>
      <c r="S569" s="67">
        <f>"WIP journal"</f>
        <v/>
      </c>
      <c r="T569" s="67">
        <f>IFERROR(INDEX(tbl_WIP[Revenue or Cost],$A569),"")</f>
        <v/>
      </c>
    </row>
    <row r="570">
      <c r="A570" s="65">
        <f>ROW()-407</f>
        <v/>
      </c>
      <c r="B570" s="66">
        <f>IFERROR(INDEX(tbl_WIP[Month],$A570),"")</f>
        <v/>
      </c>
      <c r="C570" s="67">
        <f>IFERROR(INDEX(tbl_WIP[Xero Invoice No],$A570),"")</f>
        <v/>
      </c>
      <c r="D570" s="67">
        <f>IFERROR(INDEX(tbl_WIP[Client],$A570),"")</f>
        <v/>
      </c>
      <c r="E570" s="67">
        <f>IFERROR(INDEX(tbl_WIP[Job Number],$A570),"")</f>
        <v/>
      </c>
      <c r="F570" s="67">
        <f>IFERROR(INDEX(tbl_WIP[Cost Centre],$A570),"")</f>
        <v/>
      </c>
      <c r="G570" s="68">
        <f>IFERROR(IF(INDEX(tbl_WIP[Defer Start],$A570)="","",IF(INDEX(tbl_WIP[Revenue or Cost],$A570)="Cost",-1,1)*INDEX(tbl_WIP[Amount],$A570)),"")</f>
        <v/>
      </c>
      <c r="H570" s="66">
        <f>IFERROR(INDEX(tbl_WIP[Defer Start],$A570),"")</f>
        <v/>
      </c>
      <c r="I570" s="66">
        <f>IFERROR(INDEX(tbl_WIP[Defer End],$A570),"")</f>
        <v/>
      </c>
      <c r="J570" s="65">
        <f>IF(OR($H570="",$I570="",$G570=""),"",MAX(1,(YEAR($I570)-YEAR($H570))*12+MONTH($I570)-MONTH($H570)+1))</f>
        <v/>
      </c>
      <c r="K570" s="68">
        <f>IF($J570="","",$G570/$J570)</f>
        <v/>
      </c>
      <c r="L570" s="68">
        <f>IF($J570="",0,$K570*MAX(0,MIN(YEAR($C$3)*12+MONTH($C$3),YEAR($I570)*12+MONTH($I570))-(YEAR($H570)*12+MONTH($H570))+1))</f>
        <v/>
      </c>
      <c r="M570" s="68">
        <f>IF($J570="",0,$K570*MAX(0,MIN(YEAR($C$3)*12+MONTH($C$3)-1,YEAR($I570)*12+MONTH($I570))-(YEAR($H570)*12+MONTH($H570))+1))</f>
        <v/>
      </c>
      <c r="N570" s="68">
        <f>IF(OR($J570="",$B570=""),0,IF(YEAR($B570)*12+MONTH($B570)&lt;=YEAR($C$3)*12+MONTH($C$3),$G570,0))</f>
        <v/>
      </c>
      <c r="O570" s="68">
        <f>IF(OR($J570="",$B570=""),0,IF(YEAR($B570)*12+MONTH($B570)&lt;=YEAR($C$3)*12+MONTH($C$3)-1,$G570,0))</f>
        <v/>
      </c>
      <c r="P570" s="68">
        <f>$M570-$O570</f>
        <v/>
      </c>
      <c r="Q570" s="68">
        <f>($L570-$M570)-($N570-$O570)</f>
        <v/>
      </c>
      <c r="R570" s="68">
        <f>$L570-$N570</f>
        <v/>
      </c>
      <c r="S570" s="67">
        <f>"WIP journal"</f>
        <v/>
      </c>
      <c r="T570" s="67">
        <f>IFERROR(INDEX(tbl_WIP[Revenue or Cost],$A570),"")</f>
        <v/>
      </c>
    </row>
    <row r="571">
      <c r="A571" s="65">
        <f>ROW()-407</f>
        <v/>
      </c>
      <c r="B571" s="66">
        <f>IFERROR(INDEX(tbl_WIP[Month],$A571),"")</f>
        <v/>
      </c>
      <c r="C571" s="67">
        <f>IFERROR(INDEX(tbl_WIP[Xero Invoice No],$A571),"")</f>
        <v/>
      </c>
      <c r="D571" s="67">
        <f>IFERROR(INDEX(tbl_WIP[Client],$A571),"")</f>
        <v/>
      </c>
      <c r="E571" s="67">
        <f>IFERROR(INDEX(tbl_WIP[Job Number],$A571),"")</f>
        <v/>
      </c>
      <c r="F571" s="67">
        <f>IFERROR(INDEX(tbl_WIP[Cost Centre],$A571),"")</f>
        <v/>
      </c>
      <c r="G571" s="68">
        <f>IFERROR(IF(INDEX(tbl_WIP[Defer Start],$A571)="","",IF(INDEX(tbl_WIP[Revenue or Cost],$A571)="Cost",-1,1)*INDEX(tbl_WIP[Amount],$A571)),"")</f>
        <v/>
      </c>
      <c r="H571" s="66">
        <f>IFERROR(INDEX(tbl_WIP[Defer Start],$A571),"")</f>
        <v/>
      </c>
      <c r="I571" s="66">
        <f>IFERROR(INDEX(tbl_WIP[Defer End],$A571),"")</f>
        <v/>
      </c>
      <c r="J571" s="65">
        <f>IF(OR($H571="",$I571="",$G571=""),"",MAX(1,(YEAR($I571)-YEAR($H571))*12+MONTH($I571)-MONTH($H571)+1))</f>
        <v/>
      </c>
      <c r="K571" s="68">
        <f>IF($J571="","",$G571/$J571)</f>
        <v/>
      </c>
      <c r="L571" s="68">
        <f>IF($J571="",0,$K571*MAX(0,MIN(YEAR($C$3)*12+MONTH($C$3),YEAR($I571)*12+MONTH($I571))-(YEAR($H571)*12+MONTH($H571))+1))</f>
        <v/>
      </c>
      <c r="M571" s="68">
        <f>IF($J571="",0,$K571*MAX(0,MIN(YEAR($C$3)*12+MONTH($C$3)-1,YEAR($I571)*12+MONTH($I571))-(YEAR($H571)*12+MONTH($H571))+1))</f>
        <v/>
      </c>
      <c r="N571" s="68">
        <f>IF(OR($J571="",$B571=""),0,IF(YEAR($B571)*12+MONTH($B571)&lt;=YEAR($C$3)*12+MONTH($C$3),$G571,0))</f>
        <v/>
      </c>
      <c r="O571" s="68">
        <f>IF(OR($J571="",$B571=""),0,IF(YEAR($B571)*12+MONTH($B571)&lt;=YEAR($C$3)*12+MONTH($C$3)-1,$G571,0))</f>
        <v/>
      </c>
      <c r="P571" s="68">
        <f>$M571-$O571</f>
        <v/>
      </c>
      <c r="Q571" s="68">
        <f>($L571-$M571)-($N571-$O571)</f>
        <v/>
      </c>
      <c r="R571" s="68">
        <f>$L571-$N571</f>
        <v/>
      </c>
      <c r="S571" s="67">
        <f>"WIP journal"</f>
        <v/>
      </c>
      <c r="T571" s="67">
        <f>IFERROR(INDEX(tbl_WIP[Revenue or Cost],$A571),"")</f>
        <v/>
      </c>
    </row>
    <row r="572">
      <c r="A572" s="65">
        <f>ROW()-407</f>
        <v/>
      </c>
      <c r="B572" s="66">
        <f>IFERROR(INDEX(tbl_WIP[Month],$A572),"")</f>
        <v/>
      </c>
      <c r="C572" s="67">
        <f>IFERROR(INDEX(tbl_WIP[Xero Invoice No],$A572),"")</f>
        <v/>
      </c>
      <c r="D572" s="67">
        <f>IFERROR(INDEX(tbl_WIP[Client],$A572),"")</f>
        <v/>
      </c>
      <c r="E572" s="67">
        <f>IFERROR(INDEX(tbl_WIP[Job Number],$A572),"")</f>
        <v/>
      </c>
      <c r="F572" s="67">
        <f>IFERROR(INDEX(tbl_WIP[Cost Centre],$A572),"")</f>
        <v/>
      </c>
      <c r="G572" s="68">
        <f>IFERROR(IF(INDEX(tbl_WIP[Defer Start],$A572)="","",IF(INDEX(tbl_WIP[Revenue or Cost],$A572)="Cost",-1,1)*INDEX(tbl_WIP[Amount],$A572)),"")</f>
        <v/>
      </c>
      <c r="H572" s="66">
        <f>IFERROR(INDEX(tbl_WIP[Defer Start],$A572),"")</f>
        <v/>
      </c>
      <c r="I572" s="66">
        <f>IFERROR(INDEX(tbl_WIP[Defer End],$A572),"")</f>
        <v/>
      </c>
      <c r="J572" s="65">
        <f>IF(OR($H572="",$I572="",$G572=""),"",MAX(1,(YEAR($I572)-YEAR($H572))*12+MONTH($I572)-MONTH($H572)+1))</f>
        <v/>
      </c>
      <c r="K572" s="68">
        <f>IF($J572="","",$G572/$J572)</f>
        <v/>
      </c>
      <c r="L572" s="68">
        <f>IF($J572="",0,$K572*MAX(0,MIN(YEAR($C$3)*12+MONTH($C$3),YEAR($I572)*12+MONTH($I572))-(YEAR($H572)*12+MONTH($H572))+1))</f>
        <v/>
      </c>
      <c r="M572" s="68">
        <f>IF($J572="",0,$K572*MAX(0,MIN(YEAR($C$3)*12+MONTH($C$3)-1,YEAR($I572)*12+MONTH($I572))-(YEAR($H572)*12+MONTH($H572))+1))</f>
        <v/>
      </c>
      <c r="N572" s="68">
        <f>IF(OR($J572="",$B572=""),0,IF(YEAR($B572)*12+MONTH($B572)&lt;=YEAR($C$3)*12+MONTH($C$3),$G572,0))</f>
        <v/>
      </c>
      <c r="O572" s="68">
        <f>IF(OR($J572="",$B572=""),0,IF(YEAR($B572)*12+MONTH($B572)&lt;=YEAR($C$3)*12+MONTH($C$3)-1,$G572,0))</f>
        <v/>
      </c>
      <c r="P572" s="68">
        <f>$M572-$O572</f>
        <v/>
      </c>
      <c r="Q572" s="68">
        <f>($L572-$M572)-($N572-$O572)</f>
        <v/>
      </c>
      <c r="R572" s="68">
        <f>$L572-$N572</f>
        <v/>
      </c>
      <c r="S572" s="67">
        <f>"WIP journal"</f>
        <v/>
      </c>
      <c r="T572" s="67">
        <f>IFERROR(INDEX(tbl_WIP[Revenue or Cost],$A572),"")</f>
        <v/>
      </c>
    </row>
    <row r="573">
      <c r="A573" s="65">
        <f>ROW()-407</f>
        <v/>
      </c>
      <c r="B573" s="66">
        <f>IFERROR(INDEX(tbl_WIP[Month],$A573),"")</f>
        <v/>
      </c>
      <c r="C573" s="67">
        <f>IFERROR(INDEX(tbl_WIP[Xero Invoice No],$A573),"")</f>
        <v/>
      </c>
      <c r="D573" s="67">
        <f>IFERROR(INDEX(tbl_WIP[Client],$A573),"")</f>
        <v/>
      </c>
      <c r="E573" s="67">
        <f>IFERROR(INDEX(tbl_WIP[Job Number],$A573),"")</f>
        <v/>
      </c>
      <c r="F573" s="67">
        <f>IFERROR(INDEX(tbl_WIP[Cost Centre],$A573),"")</f>
        <v/>
      </c>
      <c r="G573" s="68">
        <f>IFERROR(IF(INDEX(tbl_WIP[Defer Start],$A573)="","",IF(INDEX(tbl_WIP[Revenue or Cost],$A573)="Cost",-1,1)*INDEX(tbl_WIP[Amount],$A573)),"")</f>
        <v/>
      </c>
      <c r="H573" s="66">
        <f>IFERROR(INDEX(tbl_WIP[Defer Start],$A573),"")</f>
        <v/>
      </c>
      <c r="I573" s="66">
        <f>IFERROR(INDEX(tbl_WIP[Defer End],$A573),"")</f>
        <v/>
      </c>
      <c r="J573" s="65">
        <f>IF(OR($H573="",$I573="",$G573=""),"",MAX(1,(YEAR($I573)-YEAR($H573))*12+MONTH($I573)-MONTH($H573)+1))</f>
        <v/>
      </c>
      <c r="K573" s="68">
        <f>IF($J573="","",$G573/$J573)</f>
        <v/>
      </c>
      <c r="L573" s="68">
        <f>IF($J573="",0,$K573*MAX(0,MIN(YEAR($C$3)*12+MONTH($C$3),YEAR($I573)*12+MONTH($I573))-(YEAR($H573)*12+MONTH($H573))+1))</f>
        <v/>
      </c>
      <c r="M573" s="68">
        <f>IF($J573="",0,$K573*MAX(0,MIN(YEAR($C$3)*12+MONTH($C$3)-1,YEAR($I573)*12+MONTH($I573))-(YEAR($H573)*12+MONTH($H573))+1))</f>
        <v/>
      </c>
      <c r="N573" s="68">
        <f>IF(OR($J573="",$B573=""),0,IF(YEAR($B573)*12+MONTH($B573)&lt;=YEAR($C$3)*12+MONTH($C$3),$G573,0))</f>
        <v/>
      </c>
      <c r="O573" s="68">
        <f>IF(OR($J573="",$B573=""),0,IF(YEAR($B573)*12+MONTH($B573)&lt;=YEAR($C$3)*12+MONTH($C$3)-1,$G573,0))</f>
        <v/>
      </c>
      <c r="P573" s="68">
        <f>$M573-$O573</f>
        <v/>
      </c>
      <c r="Q573" s="68">
        <f>($L573-$M573)-($N573-$O573)</f>
        <v/>
      </c>
      <c r="R573" s="68">
        <f>$L573-$N573</f>
        <v/>
      </c>
      <c r="S573" s="67">
        <f>"WIP journal"</f>
        <v/>
      </c>
      <c r="T573" s="67">
        <f>IFERROR(INDEX(tbl_WIP[Revenue or Cost],$A573),"")</f>
        <v/>
      </c>
    </row>
    <row r="574">
      <c r="A574" s="65">
        <f>ROW()-407</f>
        <v/>
      </c>
      <c r="B574" s="66">
        <f>IFERROR(INDEX(tbl_WIP[Month],$A574),"")</f>
        <v/>
      </c>
      <c r="C574" s="67">
        <f>IFERROR(INDEX(tbl_WIP[Xero Invoice No],$A574),"")</f>
        <v/>
      </c>
      <c r="D574" s="67">
        <f>IFERROR(INDEX(tbl_WIP[Client],$A574),"")</f>
        <v/>
      </c>
      <c r="E574" s="67">
        <f>IFERROR(INDEX(tbl_WIP[Job Number],$A574),"")</f>
        <v/>
      </c>
      <c r="F574" s="67">
        <f>IFERROR(INDEX(tbl_WIP[Cost Centre],$A574),"")</f>
        <v/>
      </c>
      <c r="G574" s="68">
        <f>IFERROR(IF(INDEX(tbl_WIP[Defer Start],$A574)="","",IF(INDEX(tbl_WIP[Revenue or Cost],$A574)="Cost",-1,1)*INDEX(tbl_WIP[Amount],$A574)),"")</f>
        <v/>
      </c>
      <c r="H574" s="66">
        <f>IFERROR(INDEX(tbl_WIP[Defer Start],$A574),"")</f>
        <v/>
      </c>
      <c r="I574" s="66">
        <f>IFERROR(INDEX(tbl_WIP[Defer End],$A574),"")</f>
        <v/>
      </c>
      <c r="J574" s="65">
        <f>IF(OR($H574="",$I574="",$G574=""),"",MAX(1,(YEAR($I574)-YEAR($H574))*12+MONTH($I574)-MONTH($H574)+1))</f>
        <v/>
      </c>
      <c r="K574" s="68">
        <f>IF($J574="","",$G574/$J574)</f>
        <v/>
      </c>
      <c r="L574" s="68">
        <f>IF($J574="",0,$K574*MAX(0,MIN(YEAR($C$3)*12+MONTH($C$3),YEAR($I574)*12+MONTH($I574))-(YEAR($H574)*12+MONTH($H574))+1))</f>
        <v/>
      </c>
      <c r="M574" s="68">
        <f>IF($J574="",0,$K574*MAX(0,MIN(YEAR($C$3)*12+MONTH($C$3)-1,YEAR($I574)*12+MONTH($I574))-(YEAR($H574)*12+MONTH($H574))+1))</f>
        <v/>
      </c>
      <c r="N574" s="68">
        <f>IF(OR($J574="",$B574=""),0,IF(YEAR($B574)*12+MONTH($B574)&lt;=YEAR($C$3)*12+MONTH($C$3),$G574,0))</f>
        <v/>
      </c>
      <c r="O574" s="68">
        <f>IF(OR($J574="",$B574=""),0,IF(YEAR($B574)*12+MONTH($B574)&lt;=YEAR($C$3)*12+MONTH($C$3)-1,$G574,0))</f>
        <v/>
      </c>
      <c r="P574" s="68">
        <f>$M574-$O574</f>
        <v/>
      </c>
      <c r="Q574" s="68">
        <f>($L574-$M574)-($N574-$O574)</f>
        <v/>
      </c>
      <c r="R574" s="68">
        <f>$L574-$N574</f>
        <v/>
      </c>
      <c r="S574" s="67">
        <f>"WIP journal"</f>
        <v/>
      </c>
      <c r="T574" s="67">
        <f>IFERROR(INDEX(tbl_WIP[Revenue or Cost],$A574),"")</f>
        <v/>
      </c>
    </row>
    <row r="575">
      <c r="A575" s="65">
        <f>ROW()-407</f>
        <v/>
      </c>
      <c r="B575" s="66">
        <f>IFERROR(INDEX(tbl_WIP[Month],$A575),"")</f>
        <v/>
      </c>
      <c r="C575" s="67">
        <f>IFERROR(INDEX(tbl_WIP[Xero Invoice No],$A575),"")</f>
        <v/>
      </c>
      <c r="D575" s="67">
        <f>IFERROR(INDEX(tbl_WIP[Client],$A575),"")</f>
        <v/>
      </c>
      <c r="E575" s="67">
        <f>IFERROR(INDEX(tbl_WIP[Job Number],$A575),"")</f>
        <v/>
      </c>
      <c r="F575" s="67">
        <f>IFERROR(INDEX(tbl_WIP[Cost Centre],$A575),"")</f>
        <v/>
      </c>
      <c r="G575" s="68">
        <f>IFERROR(IF(INDEX(tbl_WIP[Defer Start],$A575)="","",IF(INDEX(tbl_WIP[Revenue or Cost],$A575)="Cost",-1,1)*INDEX(tbl_WIP[Amount],$A575)),"")</f>
        <v/>
      </c>
      <c r="H575" s="66">
        <f>IFERROR(INDEX(tbl_WIP[Defer Start],$A575),"")</f>
        <v/>
      </c>
      <c r="I575" s="66">
        <f>IFERROR(INDEX(tbl_WIP[Defer End],$A575),"")</f>
        <v/>
      </c>
      <c r="J575" s="65">
        <f>IF(OR($H575="",$I575="",$G575=""),"",MAX(1,(YEAR($I575)-YEAR($H575))*12+MONTH($I575)-MONTH($H575)+1))</f>
        <v/>
      </c>
      <c r="K575" s="68">
        <f>IF($J575="","",$G575/$J575)</f>
        <v/>
      </c>
      <c r="L575" s="68">
        <f>IF($J575="",0,$K575*MAX(0,MIN(YEAR($C$3)*12+MONTH($C$3),YEAR($I575)*12+MONTH($I575))-(YEAR($H575)*12+MONTH($H575))+1))</f>
        <v/>
      </c>
      <c r="M575" s="68">
        <f>IF($J575="",0,$K575*MAX(0,MIN(YEAR($C$3)*12+MONTH($C$3)-1,YEAR($I575)*12+MONTH($I575))-(YEAR($H575)*12+MONTH($H575))+1))</f>
        <v/>
      </c>
      <c r="N575" s="68">
        <f>IF(OR($J575="",$B575=""),0,IF(YEAR($B575)*12+MONTH($B575)&lt;=YEAR($C$3)*12+MONTH($C$3),$G575,0))</f>
        <v/>
      </c>
      <c r="O575" s="68">
        <f>IF(OR($J575="",$B575=""),0,IF(YEAR($B575)*12+MONTH($B575)&lt;=YEAR($C$3)*12+MONTH($C$3)-1,$G575,0))</f>
        <v/>
      </c>
      <c r="P575" s="68">
        <f>$M575-$O575</f>
        <v/>
      </c>
      <c r="Q575" s="68">
        <f>($L575-$M575)-($N575-$O575)</f>
        <v/>
      </c>
      <c r="R575" s="68">
        <f>$L575-$N575</f>
        <v/>
      </c>
      <c r="S575" s="67">
        <f>"WIP journal"</f>
        <v/>
      </c>
      <c r="T575" s="67">
        <f>IFERROR(INDEX(tbl_WIP[Revenue or Cost],$A575),"")</f>
        <v/>
      </c>
    </row>
    <row r="576">
      <c r="A576" s="65">
        <f>ROW()-407</f>
        <v/>
      </c>
      <c r="B576" s="66">
        <f>IFERROR(INDEX(tbl_WIP[Month],$A576),"")</f>
        <v/>
      </c>
      <c r="C576" s="67">
        <f>IFERROR(INDEX(tbl_WIP[Xero Invoice No],$A576),"")</f>
        <v/>
      </c>
      <c r="D576" s="67">
        <f>IFERROR(INDEX(tbl_WIP[Client],$A576),"")</f>
        <v/>
      </c>
      <c r="E576" s="67">
        <f>IFERROR(INDEX(tbl_WIP[Job Number],$A576),"")</f>
        <v/>
      </c>
      <c r="F576" s="67">
        <f>IFERROR(INDEX(tbl_WIP[Cost Centre],$A576),"")</f>
        <v/>
      </c>
      <c r="G576" s="68">
        <f>IFERROR(IF(INDEX(tbl_WIP[Defer Start],$A576)="","",IF(INDEX(tbl_WIP[Revenue or Cost],$A576)="Cost",-1,1)*INDEX(tbl_WIP[Amount],$A576)),"")</f>
        <v/>
      </c>
      <c r="H576" s="66">
        <f>IFERROR(INDEX(tbl_WIP[Defer Start],$A576),"")</f>
        <v/>
      </c>
      <c r="I576" s="66">
        <f>IFERROR(INDEX(tbl_WIP[Defer End],$A576),"")</f>
        <v/>
      </c>
      <c r="J576" s="65">
        <f>IF(OR($H576="",$I576="",$G576=""),"",MAX(1,(YEAR($I576)-YEAR($H576))*12+MONTH($I576)-MONTH($H576)+1))</f>
        <v/>
      </c>
      <c r="K576" s="68">
        <f>IF($J576="","",$G576/$J576)</f>
        <v/>
      </c>
      <c r="L576" s="68">
        <f>IF($J576="",0,$K576*MAX(0,MIN(YEAR($C$3)*12+MONTH($C$3),YEAR($I576)*12+MONTH($I576))-(YEAR($H576)*12+MONTH($H576))+1))</f>
        <v/>
      </c>
      <c r="M576" s="68">
        <f>IF($J576="",0,$K576*MAX(0,MIN(YEAR($C$3)*12+MONTH($C$3)-1,YEAR($I576)*12+MONTH($I576))-(YEAR($H576)*12+MONTH($H576))+1))</f>
        <v/>
      </c>
      <c r="N576" s="68">
        <f>IF(OR($J576="",$B576=""),0,IF(YEAR($B576)*12+MONTH($B576)&lt;=YEAR($C$3)*12+MONTH($C$3),$G576,0))</f>
        <v/>
      </c>
      <c r="O576" s="68">
        <f>IF(OR($J576="",$B576=""),0,IF(YEAR($B576)*12+MONTH($B576)&lt;=YEAR($C$3)*12+MONTH($C$3)-1,$G576,0))</f>
        <v/>
      </c>
      <c r="P576" s="68">
        <f>$M576-$O576</f>
        <v/>
      </c>
      <c r="Q576" s="68">
        <f>($L576-$M576)-($N576-$O576)</f>
        <v/>
      </c>
      <c r="R576" s="68">
        <f>$L576-$N576</f>
        <v/>
      </c>
      <c r="S576" s="67">
        <f>"WIP journal"</f>
        <v/>
      </c>
      <c r="T576" s="67">
        <f>IFERROR(INDEX(tbl_WIP[Revenue or Cost],$A576),"")</f>
        <v/>
      </c>
    </row>
    <row r="577">
      <c r="A577" s="65">
        <f>ROW()-407</f>
        <v/>
      </c>
      <c r="B577" s="66">
        <f>IFERROR(INDEX(tbl_WIP[Month],$A577),"")</f>
        <v/>
      </c>
      <c r="C577" s="67">
        <f>IFERROR(INDEX(tbl_WIP[Xero Invoice No],$A577),"")</f>
        <v/>
      </c>
      <c r="D577" s="67">
        <f>IFERROR(INDEX(tbl_WIP[Client],$A577),"")</f>
        <v/>
      </c>
      <c r="E577" s="67">
        <f>IFERROR(INDEX(tbl_WIP[Job Number],$A577),"")</f>
        <v/>
      </c>
      <c r="F577" s="67">
        <f>IFERROR(INDEX(tbl_WIP[Cost Centre],$A577),"")</f>
        <v/>
      </c>
      <c r="G577" s="68">
        <f>IFERROR(IF(INDEX(tbl_WIP[Defer Start],$A577)="","",IF(INDEX(tbl_WIP[Revenue or Cost],$A577)="Cost",-1,1)*INDEX(tbl_WIP[Amount],$A577)),"")</f>
        <v/>
      </c>
      <c r="H577" s="66">
        <f>IFERROR(INDEX(tbl_WIP[Defer Start],$A577),"")</f>
        <v/>
      </c>
      <c r="I577" s="66">
        <f>IFERROR(INDEX(tbl_WIP[Defer End],$A577),"")</f>
        <v/>
      </c>
      <c r="J577" s="65">
        <f>IF(OR($H577="",$I577="",$G577=""),"",MAX(1,(YEAR($I577)-YEAR($H577))*12+MONTH($I577)-MONTH($H577)+1))</f>
        <v/>
      </c>
      <c r="K577" s="68">
        <f>IF($J577="","",$G577/$J577)</f>
        <v/>
      </c>
      <c r="L577" s="68">
        <f>IF($J577="",0,$K577*MAX(0,MIN(YEAR($C$3)*12+MONTH($C$3),YEAR($I577)*12+MONTH($I577))-(YEAR($H577)*12+MONTH($H577))+1))</f>
        <v/>
      </c>
      <c r="M577" s="68">
        <f>IF($J577="",0,$K577*MAX(0,MIN(YEAR($C$3)*12+MONTH($C$3)-1,YEAR($I577)*12+MONTH($I577))-(YEAR($H577)*12+MONTH($H577))+1))</f>
        <v/>
      </c>
      <c r="N577" s="68">
        <f>IF(OR($J577="",$B577=""),0,IF(YEAR($B577)*12+MONTH($B577)&lt;=YEAR($C$3)*12+MONTH($C$3),$G577,0))</f>
        <v/>
      </c>
      <c r="O577" s="68">
        <f>IF(OR($J577="",$B577=""),0,IF(YEAR($B577)*12+MONTH($B577)&lt;=YEAR($C$3)*12+MONTH($C$3)-1,$G577,0))</f>
        <v/>
      </c>
      <c r="P577" s="68">
        <f>$M577-$O577</f>
        <v/>
      </c>
      <c r="Q577" s="68">
        <f>($L577-$M577)-($N577-$O577)</f>
        <v/>
      </c>
      <c r="R577" s="68">
        <f>$L577-$N577</f>
        <v/>
      </c>
      <c r="S577" s="67">
        <f>"WIP journal"</f>
        <v/>
      </c>
      <c r="T577" s="67">
        <f>IFERROR(INDEX(tbl_WIP[Revenue or Cost],$A577),"")</f>
        <v/>
      </c>
    </row>
    <row r="578">
      <c r="A578" s="65">
        <f>ROW()-407</f>
        <v/>
      </c>
      <c r="B578" s="66">
        <f>IFERROR(INDEX(tbl_WIP[Month],$A578),"")</f>
        <v/>
      </c>
      <c r="C578" s="67">
        <f>IFERROR(INDEX(tbl_WIP[Xero Invoice No],$A578),"")</f>
        <v/>
      </c>
      <c r="D578" s="67">
        <f>IFERROR(INDEX(tbl_WIP[Client],$A578),"")</f>
        <v/>
      </c>
      <c r="E578" s="67">
        <f>IFERROR(INDEX(tbl_WIP[Job Number],$A578),"")</f>
        <v/>
      </c>
      <c r="F578" s="67">
        <f>IFERROR(INDEX(tbl_WIP[Cost Centre],$A578),"")</f>
        <v/>
      </c>
      <c r="G578" s="68">
        <f>IFERROR(IF(INDEX(tbl_WIP[Defer Start],$A578)="","",IF(INDEX(tbl_WIP[Revenue or Cost],$A578)="Cost",-1,1)*INDEX(tbl_WIP[Amount],$A578)),"")</f>
        <v/>
      </c>
      <c r="H578" s="66">
        <f>IFERROR(INDEX(tbl_WIP[Defer Start],$A578),"")</f>
        <v/>
      </c>
      <c r="I578" s="66">
        <f>IFERROR(INDEX(tbl_WIP[Defer End],$A578),"")</f>
        <v/>
      </c>
      <c r="J578" s="65">
        <f>IF(OR($H578="",$I578="",$G578=""),"",MAX(1,(YEAR($I578)-YEAR($H578))*12+MONTH($I578)-MONTH($H578)+1))</f>
        <v/>
      </c>
      <c r="K578" s="68">
        <f>IF($J578="","",$G578/$J578)</f>
        <v/>
      </c>
      <c r="L578" s="68">
        <f>IF($J578="",0,$K578*MAX(0,MIN(YEAR($C$3)*12+MONTH($C$3),YEAR($I578)*12+MONTH($I578))-(YEAR($H578)*12+MONTH($H578))+1))</f>
        <v/>
      </c>
      <c r="M578" s="68">
        <f>IF($J578="",0,$K578*MAX(0,MIN(YEAR($C$3)*12+MONTH($C$3)-1,YEAR($I578)*12+MONTH($I578))-(YEAR($H578)*12+MONTH($H578))+1))</f>
        <v/>
      </c>
      <c r="N578" s="68">
        <f>IF(OR($J578="",$B578=""),0,IF(YEAR($B578)*12+MONTH($B578)&lt;=YEAR($C$3)*12+MONTH($C$3),$G578,0))</f>
        <v/>
      </c>
      <c r="O578" s="68">
        <f>IF(OR($J578="",$B578=""),0,IF(YEAR($B578)*12+MONTH($B578)&lt;=YEAR($C$3)*12+MONTH($C$3)-1,$G578,0))</f>
        <v/>
      </c>
      <c r="P578" s="68">
        <f>$M578-$O578</f>
        <v/>
      </c>
      <c r="Q578" s="68">
        <f>($L578-$M578)-($N578-$O578)</f>
        <v/>
      </c>
      <c r="R578" s="68">
        <f>$L578-$N578</f>
        <v/>
      </c>
      <c r="S578" s="67">
        <f>"WIP journal"</f>
        <v/>
      </c>
      <c r="T578" s="67">
        <f>IFERROR(INDEX(tbl_WIP[Revenue or Cost],$A578),"")</f>
        <v/>
      </c>
    </row>
    <row r="579">
      <c r="A579" s="65">
        <f>ROW()-407</f>
        <v/>
      </c>
      <c r="B579" s="66">
        <f>IFERROR(INDEX(tbl_WIP[Month],$A579),"")</f>
        <v/>
      </c>
      <c r="C579" s="67">
        <f>IFERROR(INDEX(tbl_WIP[Xero Invoice No],$A579),"")</f>
        <v/>
      </c>
      <c r="D579" s="67">
        <f>IFERROR(INDEX(tbl_WIP[Client],$A579),"")</f>
        <v/>
      </c>
      <c r="E579" s="67">
        <f>IFERROR(INDEX(tbl_WIP[Job Number],$A579),"")</f>
        <v/>
      </c>
      <c r="F579" s="67">
        <f>IFERROR(INDEX(tbl_WIP[Cost Centre],$A579),"")</f>
        <v/>
      </c>
      <c r="G579" s="68">
        <f>IFERROR(IF(INDEX(tbl_WIP[Defer Start],$A579)="","",IF(INDEX(tbl_WIP[Revenue or Cost],$A579)="Cost",-1,1)*INDEX(tbl_WIP[Amount],$A579)),"")</f>
        <v/>
      </c>
      <c r="H579" s="66">
        <f>IFERROR(INDEX(tbl_WIP[Defer Start],$A579),"")</f>
        <v/>
      </c>
      <c r="I579" s="66">
        <f>IFERROR(INDEX(tbl_WIP[Defer End],$A579),"")</f>
        <v/>
      </c>
      <c r="J579" s="65">
        <f>IF(OR($H579="",$I579="",$G579=""),"",MAX(1,(YEAR($I579)-YEAR($H579))*12+MONTH($I579)-MONTH($H579)+1))</f>
        <v/>
      </c>
      <c r="K579" s="68">
        <f>IF($J579="","",$G579/$J579)</f>
        <v/>
      </c>
      <c r="L579" s="68">
        <f>IF($J579="",0,$K579*MAX(0,MIN(YEAR($C$3)*12+MONTH($C$3),YEAR($I579)*12+MONTH($I579))-(YEAR($H579)*12+MONTH($H579))+1))</f>
        <v/>
      </c>
      <c r="M579" s="68">
        <f>IF($J579="",0,$K579*MAX(0,MIN(YEAR($C$3)*12+MONTH($C$3)-1,YEAR($I579)*12+MONTH($I579))-(YEAR($H579)*12+MONTH($H579))+1))</f>
        <v/>
      </c>
      <c r="N579" s="68">
        <f>IF(OR($J579="",$B579=""),0,IF(YEAR($B579)*12+MONTH($B579)&lt;=YEAR($C$3)*12+MONTH($C$3),$G579,0))</f>
        <v/>
      </c>
      <c r="O579" s="68">
        <f>IF(OR($J579="",$B579=""),0,IF(YEAR($B579)*12+MONTH($B579)&lt;=YEAR($C$3)*12+MONTH($C$3)-1,$G579,0))</f>
        <v/>
      </c>
      <c r="P579" s="68">
        <f>$M579-$O579</f>
        <v/>
      </c>
      <c r="Q579" s="68">
        <f>($L579-$M579)-($N579-$O579)</f>
        <v/>
      </c>
      <c r="R579" s="68">
        <f>$L579-$N579</f>
        <v/>
      </c>
      <c r="S579" s="67">
        <f>"WIP journal"</f>
        <v/>
      </c>
      <c r="T579" s="67">
        <f>IFERROR(INDEX(tbl_WIP[Revenue or Cost],$A579),"")</f>
        <v/>
      </c>
    </row>
    <row r="580">
      <c r="A580" s="65">
        <f>ROW()-407</f>
        <v/>
      </c>
      <c r="B580" s="66">
        <f>IFERROR(INDEX(tbl_WIP[Month],$A580),"")</f>
        <v/>
      </c>
      <c r="C580" s="67">
        <f>IFERROR(INDEX(tbl_WIP[Xero Invoice No],$A580),"")</f>
        <v/>
      </c>
      <c r="D580" s="67">
        <f>IFERROR(INDEX(tbl_WIP[Client],$A580),"")</f>
        <v/>
      </c>
      <c r="E580" s="67">
        <f>IFERROR(INDEX(tbl_WIP[Job Number],$A580),"")</f>
        <v/>
      </c>
      <c r="F580" s="67">
        <f>IFERROR(INDEX(tbl_WIP[Cost Centre],$A580),"")</f>
        <v/>
      </c>
      <c r="G580" s="68">
        <f>IFERROR(IF(INDEX(tbl_WIP[Defer Start],$A580)="","",IF(INDEX(tbl_WIP[Revenue or Cost],$A580)="Cost",-1,1)*INDEX(tbl_WIP[Amount],$A580)),"")</f>
        <v/>
      </c>
      <c r="H580" s="66">
        <f>IFERROR(INDEX(tbl_WIP[Defer Start],$A580),"")</f>
        <v/>
      </c>
      <c r="I580" s="66">
        <f>IFERROR(INDEX(tbl_WIP[Defer End],$A580),"")</f>
        <v/>
      </c>
      <c r="J580" s="65">
        <f>IF(OR($H580="",$I580="",$G580=""),"",MAX(1,(YEAR($I580)-YEAR($H580))*12+MONTH($I580)-MONTH($H580)+1))</f>
        <v/>
      </c>
      <c r="K580" s="68">
        <f>IF($J580="","",$G580/$J580)</f>
        <v/>
      </c>
      <c r="L580" s="68">
        <f>IF($J580="",0,$K580*MAX(0,MIN(YEAR($C$3)*12+MONTH($C$3),YEAR($I580)*12+MONTH($I580))-(YEAR($H580)*12+MONTH($H580))+1))</f>
        <v/>
      </c>
      <c r="M580" s="68">
        <f>IF($J580="",0,$K580*MAX(0,MIN(YEAR($C$3)*12+MONTH($C$3)-1,YEAR($I580)*12+MONTH($I580))-(YEAR($H580)*12+MONTH($H580))+1))</f>
        <v/>
      </c>
      <c r="N580" s="68">
        <f>IF(OR($J580="",$B580=""),0,IF(YEAR($B580)*12+MONTH($B580)&lt;=YEAR($C$3)*12+MONTH($C$3),$G580,0))</f>
        <v/>
      </c>
      <c r="O580" s="68">
        <f>IF(OR($J580="",$B580=""),0,IF(YEAR($B580)*12+MONTH($B580)&lt;=YEAR($C$3)*12+MONTH($C$3)-1,$G580,0))</f>
        <v/>
      </c>
      <c r="P580" s="68">
        <f>$M580-$O580</f>
        <v/>
      </c>
      <c r="Q580" s="68">
        <f>($L580-$M580)-($N580-$O580)</f>
        <v/>
      </c>
      <c r="R580" s="68">
        <f>$L580-$N580</f>
        <v/>
      </c>
      <c r="S580" s="67">
        <f>"WIP journal"</f>
        <v/>
      </c>
      <c r="T580" s="67">
        <f>IFERROR(INDEX(tbl_WIP[Revenue or Cost],$A580),"")</f>
        <v/>
      </c>
    </row>
    <row r="581">
      <c r="A581" s="65">
        <f>ROW()-407</f>
        <v/>
      </c>
      <c r="B581" s="66">
        <f>IFERROR(INDEX(tbl_WIP[Month],$A581),"")</f>
        <v/>
      </c>
      <c r="C581" s="67">
        <f>IFERROR(INDEX(tbl_WIP[Xero Invoice No],$A581),"")</f>
        <v/>
      </c>
      <c r="D581" s="67">
        <f>IFERROR(INDEX(tbl_WIP[Client],$A581),"")</f>
        <v/>
      </c>
      <c r="E581" s="67">
        <f>IFERROR(INDEX(tbl_WIP[Job Number],$A581),"")</f>
        <v/>
      </c>
      <c r="F581" s="67">
        <f>IFERROR(INDEX(tbl_WIP[Cost Centre],$A581),"")</f>
        <v/>
      </c>
      <c r="G581" s="68">
        <f>IFERROR(IF(INDEX(tbl_WIP[Defer Start],$A581)="","",IF(INDEX(tbl_WIP[Revenue or Cost],$A581)="Cost",-1,1)*INDEX(tbl_WIP[Amount],$A581)),"")</f>
        <v/>
      </c>
      <c r="H581" s="66">
        <f>IFERROR(INDEX(tbl_WIP[Defer Start],$A581),"")</f>
        <v/>
      </c>
      <c r="I581" s="66">
        <f>IFERROR(INDEX(tbl_WIP[Defer End],$A581),"")</f>
        <v/>
      </c>
      <c r="J581" s="65">
        <f>IF(OR($H581="",$I581="",$G581=""),"",MAX(1,(YEAR($I581)-YEAR($H581))*12+MONTH($I581)-MONTH($H581)+1))</f>
        <v/>
      </c>
      <c r="K581" s="68">
        <f>IF($J581="","",$G581/$J581)</f>
        <v/>
      </c>
      <c r="L581" s="68">
        <f>IF($J581="",0,$K581*MAX(0,MIN(YEAR($C$3)*12+MONTH($C$3),YEAR($I581)*12+MONTH($I581))-(YEAR($H581)*12+MONTH($H581))+1))</f>
        <v/>
      </c>
      <c r="M581" s="68">
        <f>IF($J581="",0,$K581*MAX(0,MIN(YEAR($C$3)*12+MONTH($C$3)-1,YEAR($I581)*12+MONTH($I581))-(YEAR($H581)*12+MONTH($H581))+1))</f>
        <v/>
      </c>
      <c r="N581" s="68">
        <f>IF(OR($J581="",$B581=""),0,IF(YEAR($B581)*12+MONTH($B581)&lt;=YEAR($C$3)*12+MONTH($C$3),$G581,0))</f>
        <v/>
      </c>
      <c r="O581" s="68">
        <f>IF(OR($J581="",$B581=""),0,IF(YEAR($B581)*12+MONTH($B581)&lt;=YEAR($C$3)*12+MONTH($C$3)-1,$G581,0))</f>
        <v/>
      </c>
      <c r="P581" s="68">
        <f>$M581-$O581</f>
        <v/>
      </c>
      <c r="Q581" s="68">
        <f>($L581-$M581)-($N581-$O581)</f>
        <v/>
      </c>
      <c r="R581" s="68">
        <f>$L581-$N581</f>
        <v/>
      </c>
      <c r="S581" s="67">
        <f>"WIP journal"</f>
        <v/>
      </c>
      <c r="T581" s="67">
        <f>IFERROR(INDEX(tbl_WIP[Revenue or Cost],$A581),"")</f>
        <v/>
      </c>
    </row>
    <row r="582">
      <c r="A582" s="65">
        <f>ROW()-407</f>
        <v/>
      </c>
      <c r="B582" s="66">
        <f>IFERROR(INDEX(tbl_WIP[Month],$A582),"")</f>
        <v/>
      </c>
      <c r="C582" s="67">
        <f>IFERROR(INDEX(tbl_WIP[Xero Invoice No],$A582),"")</f>
        <v/>
      </c>
      <c r="D582" s="67">
        <f>IFERROR(INDEX(tbl_WIP[Client],$A582),"")</f>
        <v/>
      </c>
      <c r="E582" s="67">
        <f>IFERROR(INDEX(tbl_WIP[Job Number],$A582),"")</f>
        <v/>
      </c>
      <c r="F582" s="67">
        <f>IFERROR(INDEX(tbl_WIP[Cost Centre],$A582),"")</f>
        <v/>
      </c>
      <c r="G582" s="68">
        <f>IFERROR(IF(INDEX(tbl_WIP[Defer Start],$A582)="","",IF(INDEX(tbl_WIP[Revenue or Cost],$A582)="Cost",-1,1)*INDEX(tbl_WIP[Amount],$A582)),"")</f>
        <v/>
      </c>
      <c r="H582" s="66">
        <f>IFERROR(INDEX(tbl_WIP[Defer Start],$A582),"")</f>
        <v/>
      </c>
      <c r="I582" s="66">
        <f>IFERROR(INDEX(tbl_WIP[Defer End],$A582),"")</f>
        <v/>
      </c>
      <c r="J582" s="65">
        <f>IF(OR($H582="",$I582="",$G582=""),"",MAX(1,(YEAR($I582)-YEAR($H582))*12+MONTH($I582)-MONTH($H582)+1))</f>
        <v/>
      </c>
      <c r="K582" s="68">
        <f>IF($J582="","",$G582/$J582)</f>
        <v/>
      </c>
      <c r="L582" s="68">
        <f>IF($J582="",0,$K582*MAX(0,MIN(YEAR($C$3)*12+MONTH($C$3),YEAR($I582)*12+MONTH($I582))-(YEAR($H582)*12+MONTH($H582))+1))</f>
        <v/>
      </c>
      <c r="M582" s="68">
        <f>IF($J582="",0,$K582*MAX(0,MIN(YEAR($C$3)*12+MONTH($C$3)-1,YEAR($I582)*12+MONTH($I582))-(YEAR($H582)*12+MONTH($H582))+1))</f>
        <v/>
      </c>
      <c r="N582" s="68">
        <f>IF(OR($J582="",$B582=""),0,IF(YEAR($B582)*12+MONTH($B582)&lt;=YEAR($C$3)*12+MONTH($C$3),$G582,0))</f>
        <v/>
      </c>
      <c r="O582" s="68">
        <f>IF(OR($J582="",$B582=""),0,IF(YEAR($B582)*12+MONTH($B582)&lt;=YEAR($C$3)*12+MONTH($C$3)-1,$G582,0))</f>
        <v/>
      </c>
      <c r="P582" s="68">
        <f>$M582-$O582</f>
        <v/>
      </c>
      <c r="Q582" s="68">
        <f>($L582-$M582)-($N582-$O582)</f>
        <v/>
      </c>
      <c r="R582" s="68">
        <f>$L582-$N582</f>
        <v/>
      </c>
      <c r="S582" s="67">
        <f>"WIP journal"</f>
        <v/>
      </c>
      <c r="T582" s="67">
        <f>IFERROR(INDEX(tbl_WIP[Revenue or Cost],$A582),"")</f>
        <v/>
      </c>
    </row>
    <row r="583">
      <c r="A583" s="65">
        <f>ROW()-407</f>
        <v/>
      </c>
      <c r="B583" s="66">
        <f>IFERROR(INDEX(tbl_WIP[Month],$A583),"")</f>
        <v/>
      </c>
      <c r="C583" s="67">
        <f>IFERROR(INDEX(tbl_WIP[Xero Invoice No],$A583),"")</f>
        <v/>
      </c>
      <c r="D583" s="67">
        <f>IFERROR(INDEX(tbl_WIP[Client],$A583),"")</f>
        <v/>
      </c>
      <c r="E583" s="67">
        <f>IFERROR(INDEX(tbl_WIP[Job Number],$A583),"")</f>
        <v/>
      </c>
      <c r="F583" s="67">
        <f>IFERROR(INDEX(tbl_WIP[Cost Centre],$A583),"")</f>
        <v/>
      </c>
      <c r="G583" s="68">
        <f>IFERROR(IF(INDEX(tbl_WIP[Defer Start],$A583)="","",IF(INDEX(tbl_WIP[Revenue or Cost],$A583)="Cost",-1,1)*INDEX(tbl_WIP[Amount],$A583)),"")</f>
        <v/>
      </c>
      <c r="H583" s="66">
        <f>IFERROR(INDEX(tbl_WIP[Defer Start],$A583),"")</f>
        <v/>
      </c>
      <c r="I583" s="66">
        <f>IFERROR(INDEX(tbl_WIP[Defer End],$A583),"")</f>
        <v/>
      </c>
      <c r="J583" s="65">
        <f>IF(OR($H583="",$I583="",$G583=""),"",MAX(1,(YEAR($I583)-YEAR($H583))*12+MONTH($I583)-MONTH($H583)+1))</f>
        <v/>
      </c>
      <c r="K583" s="68">
        <f>IF($J583="","",$G583/$J583)</f>
        <v/>
      </c>
      <c r="L583" s="68">
        <f>IF($J583="",0,$K583*MAX(0,MIN(YEAR($C$3)*12+MONTH($C$3),YEAR($I583)*12+MONTH($I583))-(YEAR($H583)*12+MONTH($H583))+1))</f>
        <v/>
      </c>
      <c r="M583" s="68">
        <f>IF($J583="",0,$K583*MAX(0,MIN(YEAR($C$3)*12+MONTH($C$3)-1,YEAR($I583)*12+MONTH($I583))-(YEAR($H583)*12+MONTH($H583))+1))</f>
        <v/>
      </c>
      <c r="N583" s="68">
        <f>IF(OR($J583="",$B583=""),0,IF(YEAR($B583)*12+MONTH($B583)&lt;=YEAR($C$3)*12+MONTH($C$3),$G583,0))</f>
        <v/>
      </c>
      <c r="O583" s="68">
        <f>IF(OR($J583="",$B583=""),0,IF(YEAR($B583)*12+MONTH($B583)&lt;=YEAR($C$3)*12+MONTH($C$3)-1,$G583,0))</f>
        <v/>
      </c>
      <c r="P583" s="68">
        <f>$M583-$O583</f>
        <v/>
      </c>
      <c r="Q583" s="68">
        <f>($L583-$M583)-($N583-$O583)</f>
        <v/>
      </c>
      <c r="R583" s="68">
        <f>$L583-$N583</f>
        <v/>
      </c>
      <c r="S583" s="67">
        <f>"WIP journal"</f>
        <v/>
      </c>
      <c r="T583" s="67">
        <f>IFERROR(INDEX(tbl_WIP[Revenue or Cost],$A583),"")</f>
        <v/>
      </c>
    </row>
    <row r="584">
      <c r="A584" s="65">
        <f>ROW()-407</f>
        <v/>
      </c>
      <c r="B584" s="66">
        <f>IFERROR(INDEX(tbl_WIP[Month],$A584),"")</f>
        <v/>
      </c>
      <c r="C584" s="67">
        <f>IFERROR(INDEX(tbl_WIP[Xero Invoice No],$A584),"")</f>
        <v/>
      </c>
      <c r="D584" s="67">
        <f>IFERROR(INDEX(tbl_WIP[Client],$A584),"")</f>
        <v/>
      </c>
      <c r="E584" s="67">
        <f>IFERROR(INDEX(tbl_WIP[Job Number],$A584),"")</f>
        <v/>
      </c>
      <c r="F584" s="67">
        <f>IFERROR(INDEX(tbl_WIP[Cost Centre],$A584),"")</f>
        <v/>
      </c>
      <c r="G584" s="68">
        <f>IFERROR(IF(INDEX(tbl_WIP[Defer Start],$A584)="","",IF(INDEX(tbl_WIP[Revenue or Cost],$A584)="Cost",-1,1)*INDEX(tbl_WIP[Amount],$A584)),"")</f>
        <v/>
      </c>
      <c r="H584" s="66">
        <f>IFERROR(INDEX(tbl_WIP[Defer Start],$A584),"")</f>
        <v/>
      </c>
      <c r="I584" s="66">
        <f>IFERROR(INDEX(tbl_WIP[Defer End],$A584),"")</f>
        <v/>
      </c>
      <c r="J584" s="65">
        <f>IF(OR($H584="",$I584="",$G584=""),"",MAX(1,(YEAR($I584)-YEAR($H584))*12+MONTH($I584)-MONTH($H584)+1))</f>
        <v/>
      </c>
      <c r="K584" s="68">
        <f>IF($J584="","",$G584/$J584)</f>
        <v/>
      </c>
      <c r="L584" s="68">
        <f>IF($J584="",0,$K584*MAX(0,MIN(YEAR($C$3)*12+MONTH($C$3),YEAR($I584)*12+MONTH($I584))-(YEAR($H584)*12+MONTH($H584))+1))</f>
        <v/>
      </c>
      <c r="M584" s="68">
        <f>IF($J584="",0,$K584*MAX(0,MIN(YEAR($C$3)*12+MONTH($C$3)-1,YEAR($I584)*12+MONTH($I584))-(YEAR($H584)*12+MONTH($H584))+1))</f>
        <v/>
      </c>
      <c r="N584" s="68">
        <f>IF(OR($J584="",$B584=""),0,IF(YEAR($B584)*12+MONTH($B584)&lt;=YEAR($C$3)*12+MONTH($C$3),$G584,0))</f>
        <v/>
      </c>
      <c r="O584" s="68">
        <f>IF(OR($J584="",$B584=""),0,IF(YEAR($B584)*12+MONTH($B584)&lt;=YEAR($C$3)*12+MONTH($C$3)-1,$G584,0))</f>
        <v/>
      </c>
      <c r="P584" s="68">
        <f>$M584-$O584</f>
        <v/>
      </c>
      <c r="Q584" s="68">
        <f>($L584-$M584)-($N584-$O584)</f>
        <v/>
      </c>
      <c r="R584" s="68">
        <f>$L584-$N584</f>
        <v/>
      </c>
      <c r="S584" s="67">
        <f>"WIP journal"</f>
        <v/>
      </c>
      <c r="T584" s="67">
        <f>IFERROR(INDEX(tbl_WIP[Revenue or Cost],$A584),"")</f>
        <v/>
      </c>
    </row>
    <row r="585">
      <c r="A585" s="65">
        <f>ROW()-407</f>
        <v/>
      </c>
      <c r="B585" s="66">
        <f>IFERROR(INDEX(tbl_WIP[Month],$A585),"")</f>
        <v/>
      </c>
      <c r="C585" s="67">
        <f>IFERROR(INDEX(tbl_WIP[Xero Invoice No],$A585),"")</f>
        <v/>
      </c>
      <c r="D585" s="67">
        <f>IFERROR(INDEX(tbl_WIP[Client],$A585),"")</f>
        <v/>
      </c>
      <c r="E585" s="67">
        <f>IFERROR(INDEX(tbl_WIP[Job Number],$A585),"")</f>
        <v/>
      </c>
      <c r="F585" s="67">
        <f>IFERROR(INDEX(tbl_WIP[Cost Centre],$A585),"")</f>
        <v/>
      </c>
      <c r="G585" s="68">
        <f>IFERROR(IF(INDEX(tbl_WIP[Defer Start],$A585)="","",IF(INDEX(tbl_WIP[Revenue or Cost],$A585)="Cost",-1,1)*INDEX(tbl_WIP[Amount],$A585)),"")</f>
        <v/>
      </c>
      <c r="H585" s="66">
        <f>IFERROR(INDEX(tbl_WIP[Defer Start],$A585),"")</f>
        <v/>
      </c>
      <c r="I585" s="66">
        <f>IFERROR(INDEX(tbl_WIP[Defer End],$A585),"")</f>
        <v/>
      </c>
      <c r="J585" s="65">
        <f>IF(OR($H585="",$I585="",$G585=""),"",MAX(1,(YEAR($I585)-YEAR($H585))*12+MONTH($I585)-MONTH($H585)+1))</f>
        <v/>
      </c>
      <c r="K585" s="68">
        <f>IF($J585="","",$G585/$J585)</f>
        <v/>
      </c>
      <c r="L585" s="68">
        <f>IF($J585="",0,$K585*MAX(0,MIN(YEAR($C$3)*12+MONTH($C$3),YEAR($I585)*12+MONTH($I585))-(YEAR($H585)*12+MONTH($H585))+1))</f>
        <v/>
      </c>
      <c r="M585" s="68">
        <f>IF($J585="",0,$K585*MAX(0,MIN(YEAR($C$3)*12+MONTH($C$3)-1,YEAR($I585)*12+MONTH($I585))-(YEAR($H585)*12+MONTH($H585))+1))</f>
        <v/>
      </c>
      <c r="N585" s="68">
        <f>IF(OR($J585="",$B585=""),0,IF(YEAR($B585)*12+MONTH($B585)&lt;=YEAR($C$3)*12+MONTH($C$3),$G585,0))</f>
        <v/>
      </c>
      <c r="O585" s="68">
        <f>IF(OR($J585="",$B585=""),0,IF(YEAR($B585)*12+MONTH($B585)&lt;=YEAR($C$3)*12+MONTH($C$3)-1,$G585,0))</f>
        <v/>
      </c>
      <c r="P585" s="68">
        <f>$M585-$O585</f>
        <v/>
      </c>
      <c r="Q585" s="68">
        <f>($L585-$M585)-($N585-$O585)</f>
        <v/>
      </c>
      <c r="R585" s="68">
        <f>$L585-$N585</f>
        <v/>
      </c>
      <c r="S585" s="67">
        <f>"WIP journal"</f>
        <v/>
      </c>
      <c r="T585" s="67">
        <f>IFERROR(INDEX(tbl_WIP[Revenue or Cost],$A585),"")</f>
        <v/>
      </c>
    </row>
    <row r="586">
      <c r="A586" s="65">
        <f>ROW()-407</f>
        <v/>
      </c>
      <c r="B586" s="66">
        <f>IFERROR(INDEX(tbl_WIP[Month],$A586),"")</f>
        <v/>
      </c>
      <c r="C586" s="67">
        <f>IFERROR(INDEX(tbl_WIP[Xero Invoice No],$A586),"")</f>
        <v/>
      </c>
      <c r="D586" s="67">
        <f>IFERROR(INDEX(tbl_WIP[Client],$A586),"")</f>
        <v/>
      </c>
      <c r="E586" s="67">
        <f>IFERROR(INDEX(tbl_WIP[Job Number],$A586),"")</f>
        <v/>
      </c>
      <c r="F586" s="67">
        <f>IFERROR(INDEX(tbl_WIP[Cost Centre],$A586),"")</f>
        <v/>
      </c>
      <c r="G586" s="68">
        <f>IFERROR(IF(INDEX(tbl_WIP[Defer Start],$A586)="","",IF(INDEX(tbl_WIP[Revenue or Cost],$A586)="Cost",-1,1)*INDEX(tbl_WIP[Amount],$A586)),"")</f>
        <v/>
      </c>
      <c r="H586" s="66">
        <f>IFERROR(INDEX(tbl_WIP[Defer Start],$A586),"")</f>
        <v/>
      </c>
      <c r="I586" s="66">
        <f>IFERROR(INDEX(tbl_WIP[Defer End],$A586),"")</f>
        <v/>
      </c>
      <c r="J586" s="65">
        <f>IF(OR($H586="",$I586="",$G586=""),"",MAX(1,(YEAR($I586)-YEAR($H586))*12+MONTH($I586)-MONTH($H586)+1))</f>
        <v/>
      </c>
      <c r="K586" s="68">
        <f>IF($J586="","",$G586/$J586)</f>
        <v/>
      </c>
      <c r="L586" s="68">
        <f>IF($J586="",0,$K586*MAX(0,MIN(YEAR($C$3)*12+MONTH($C$3),YEAR($I586)*12+MONTH($I586))-(YEAR($H586)*12+MONTH($H586))+1))</f>
        <v/>
      </c>
      <c r="M586" s="68">
        <f>IF($J586="",0,$K586*MAX(0,MIN(YEAR($C$3)*12+MONTH($C$3)-1,YEAR($I586)*12+MONTH($I586))-(YEAR($H586)*12+MONTH($H586))+1))</f>
        <v/>
      </c>
      <c r="N586" s="68">
        <f>IF(OR($J586="",$B586=""),0,IF(YEAR($B586)*12+MONTH($B586)&lt;=YEAR($C$3)*12+MONTH($C$3),$G586,0))</f>
        <v/>
      </c>
      <c r="O586" s="68">
        <f>IF(OR($J586="",$B586=""),0,IF(YEAR($B586)*12+MONTH($B586)&lt;=YEAR($C$3)*12+MONTH($C$3)-1,$G586,0))</f>
        <v/>
      </c>
      <c r="P586" s="68">
        <f>$M586-$O586</f>
        <v/>
      </c>
      <c r="Q586" s="68">
        <f>($L586-$M586)-($N586-$O586)</f>
        <v/>
      </c>
      <c r="R586" s="68">
        <f>$L586-$N586</f>
        <v/>
      </c>
      <c r="S586" s="67">
        <f>"WIP journal"</f>
        <v/>
      </c>
      <c r="T586" s="67">
        <f>IFERROR(INDEX(tbl_WIP[Revenue or Cost],$A586),"")</f>
        <v/>
      </c>
    </row>
    <row r="587">
      <c r="A587" s="65">
        <f>ROW()-407</f>
        <v/>
      </c>
      <c r="B587" s="66">
        <f>IFERROR(INDEX(tbl_WIP[Month],$A587),"")</f>
        <v/>
      </c>
      <c r="C587" s="67">
        <f>IFERROR(INDEX(tbl_WIP[Xero Invoice No],$A587),"")</f>
        <v/>
      </c>
      <c r="D587" s="67">
        <f>IFERROR(INDEX(tbl_WIP[Client],$A587),"")</f>
        <v/>
      </c>
      <c r="E587" s="67">
        <f>IFERROR(INDEX(tbl_WIP[Job Number],$A587),"")</f>
        <v/>
      </c>
      <c r="F587" s="67">
        <f>IFERROR(INDEX(tbl_WIP[Cost Centre],$A587),"")</f>
        <v/>
      </c>
      <c r="G587" s="68">
        <f>IFERROR(IF(INDEX(tbl_WIP[Defer Start],$A587)="","",IF(INDEX(tbl_WIP[Revenue or Cost],$A587)="Cost",-1,1)*INDEX(tbl_WIP[Amount],$A587)),"")</f>
        <v/>
      </c>
      <c r="H587" s="66">
        <f>IFERROR(INDEX(tbl_WIP[Defer Start],$A587),"")</f>
        <v/>
      </c>
      <c r="I587" s="66">
        <f>IFERROR(INDEX(tbl_WIP[Defer End],$A587),"")</f>
        <v/>
      </c>
      <c r="J587" s="65">
        <f>IF(OR($H587="",$I587="",$G587=""),"",MAX(1,(YEAR($I587)-YEAR($H587))*12+MONTH($I587)-MONTH($H587)+1))</f>
        <v/>
      </c>
      <c r="K587" s="68">
        <f>IF($J587="","",$G587/$J587)</f>
        <v/>
      </c>
      <c r="L587" s="68">
        <f>IF($J587="",0,$K587*MAX(0,MIN(YEAR($C$3)*12+MONTH($C$3),YEAR($I587)*12+MONTH($I587))-(YEAR($H587)*12+MONTH($H587))+1))</f>
        <v/>
      </c>
      <c r="M587" s="68">
        <f>IF($J587="",0,$K587*MAX(0,MIN(YEAR($C$3)*12+MONTH($C$3)-1,YEAR($I587)*12+MONTH($I587))-(YEAR($H587)*12+MONTH($H587))+1))</f>
        <v/>
      </c>
      <c r="N587" s="68">
        <f>IF(OR($J587="",$B587=""),0,IF(YEAR($B587)*12+MONTH($B587)&lt;=YEAR($C$3)*12+MONTH($C$3),$G587,0))</f>
        <v/>
      </c>
      <c r="O587" s="68">
        <f>IF(OR($J587="",$B587=""),0,IF(YEAR($B587)*12+MONTH($B587)&lt;=YEAR($C$3)*12+MONTH($C$3)-1,$G587,0))</f>
        <v/>
      </c>
      <c r="P587" s="68">
        <f>$M587-$O587</f>
        <v/>
      </c>
      <c r="Q587" s="68">
        <f>($L587-$M587)-($N587-$O587)</f>
        <v/>
      </c>
      <c r="R587" s="68">
        <f>$L587-$N587</f>
        <v/>
      </c>
      <c r="S587" s="67">
        <f>"WIP journal"</f>
        <v/>
      </c>
      <c r="T587" s="67">
        <f>IFERROR(INDEX(tbl_WIP[Revenue or Cost],$A587),"")</f>
        <v/>
      </c>
    </row>
    <row r="588">
      <c r="A588" s="65">
        <f>ROW()-407</f>
        <v/>
      </c>
      <c r="B588" s="66">
        <f>IFERROR(INDEX(tbl_WIP[Month],$A588),"")</f>
        <v/>
      </c>
      <c r="C588" s="67">
        <f>IFERROR(INDEX(tbl_WIP[Xero Invoice No],$A588),"")</f>
        <v/>
      </c>
      <c r="D588" s="67">
        <f>IFERROR(INDEX(tbl_WIP[Client],$A588),"")</f>
        <v/>
      </c>
      <c r="E588" s="67">
        <f>IFERROR(INDEX(tbl_WIP[Job Number],$A588),"")</f>
        <v/>
      </c>
      <c r="F588" s="67">
        <f>IFERROR(INDEX(tbl_WIP[Cost Centre],$A588),"")</f>
        <v/>
      </c>
      <c r="G588" s="68">
        <f>IFERROR(IF(INDEX(tbl_WIP[Defer Start],$A588)="","",IF(INDEX(tbl_WIP[Revenue or Cost],$A588)="Cost",-1,1)*INDEX(tbl_WIP[Amount],$A588)),"")</f>
        <v/>
      </c>
      <c r="H588" s="66">
        <f>IFERROR(INDEX(tbl_WIP[Defer Start],$A588),"")</f>
        <v/>
      </c>
      <c r="I588" s="66">
        <f>IFERROR(INDEX(tbl_WIP[Defer End],$A588),"")</f>
        <v/>
      </c>
      <c r="J588" s="65">
        <f>IF(OR($H588="",$I588="",$G588=""),"",MAX(1,(YEAR($I588)-YEAR($H588))*12+MONTH($I588)-MONTH($H588)+1))</f>
        <v/>
      </c>
      <c r="K588" s="68">
        <f>IF($J588="","",$G588/$J588)</f>
        <v/>
      </c>
      <c r="L588" s="68">
        <f>IF($J588="",0,$K588*MAX(0,MIN(YEAR($C$3)*12+MONTH($C$3),YEAR($I588)*12+MONTH($I588))-(YEAR($H588)*12+MONTH($H588))+1))</f>
        <v/>
      </c>
      <c r="M588" s="68">
        <f>IF($J588="",0,$K588*MAX(0,MIN(YEAR($C$3)*12+MONTH($C$3)-1,YEAR($I588)*12+MONTH($I588))-(YEAR($H588)*12+MONTH($H588))+1))</f>
        <v/>
      </c>
      <c r="N588" s="68">
        <f>IF(OR($J588="",$B588=""),0,IF(YEAR($B588)*12+MONTH($B588)&lt;=YEAR($C$3)*12+MONTH($C$3),$G588,0))</f>
        <v/>
      </c>
      <c r="O588" s="68">
        <f>IF(OR($J588="",$B588=""),0,IF(YEAR($B588)*12+MONTH($B588)&lt;=YEAR($C$3)*12+MONTH($C$3)-1,$G588,0))</f>
        <v/>
      </c>
      <c r="P588" s="68">
        <f>$M588-$O588</f>
        <v/>
      </c>
      <c r="Q588" s="68">
        <f>($L588-$M588)-($N588-$O588)</f>
        <v/>
      </c>
      <c r="R588" s="68">
        <f>$L588-$N588</f>
        <v/>
      </c>
      <c r="S588" s="67">
        <f>"WIP journal"</f>
        <v/>
      </c>
      <c r="T588" s="67">
        <f>IFERROR(INDEX(tbl_WIP[Revenue or Cost],$A588),"")</f>
        <v/>
      </c>
    </row>
    <row r="589">
      <c r="A589" s="65">
        <f>ROW()-407</f>
        <v/>
      </c>
      <c r="B589" s="66">
        <f>IFERROR(INDEX(tbl_WIP[Month],$A589),"")</f>
        <v/>
      </c>
      <c r="C589" s="67">
        <f>IFERROR(INDEX(tbl_WIP[Xero Invoice No],$A589),"")</f>
        <v/>
      </c>
      <c r="D589" s="67">
        <f>IFERROR(INDEX(tbl_WIP[Client],$A589),"")</f>
        <v/>
      </c>
      <c r="E589" s="67">
        <f>IFERROR(INDEX(tbl_WIP[Job Number],$A589),"")</f>
        <v/>
      </c>
      <c r="F589" s="67">
        <f>IFERROR(INDEX(tbl_WIP[Cost Centre],$A589),"")</f>
        <v/>
      </c>
      <c r="G589" s="68">
        <f>IFERROR(IF(INDEX(tbl_WIP[Defer Start],$A589)="","",IF(INDEX(tbl_WIP[Revenue or Cost],$A589)="Cost",-1,1)*INDEX(tbl_WIP[Amount],$A589)),"")</f>
        <v/>
      </c>
      <c r="H589" s="66">
        <f>IFERROR(INDEX(tbl_WIP[Defer Start],$A589),"")</f>
        <v/>
      </c>
      <c r="I589" s="66">
        <f>IFERROR(INDEX(tbl_WIP[Defer End],$A589),"")</f>
        <v/>
      </c>
      <c r="J589" s="65">
        <f>IF(OR($H589="",$I589="",$G589=""),"",MAX(1,(YEAR($I589)-YEAR($H589))*12+MONTH($I589)-MONTH($H589)+1))</f>
        <v/>
      </c>
      <c r="K589" s="68">
        <f>IF($J589="","",$G589/$J589)</f>
        <v/>
      </c>
      <c r="L589" s="68">
        <f>IF($J589="",0,$K589*MAX(0,MIN(YEAR($C$3)*12+MONTH($C$3),YEAR($I589)*12+MONTH($I589))-(YEAR($H589)*12+MONTH($H589))+1))</f>
        <v/>
      </c>
      <c r="M589" s="68">
        <f>IF($J589="",0,$K589*MAX(0,MIN(YEAR($C$3)*12+MONTH($C$3)-1,YEAR($I589)*12+MONTH($I589))-(YEAR($H589)*12+MONTH($H589))+1))</f>
        <v/>
      </c>
      <c r="N589" s="68">
        <f>IF(OR($J589="",$B589=""),0,IF(YEAR($B589)*12+MONTH($B589)&lt;=YEAR($C$3)*12+MONTH($C$3),$G589,0))</f>
        <v/>
      </c>
      <c r="O589" s="68">
        <f>IF(OR($J589="",$B589=""),0,IF(YEAR($B589)*12+MONTH($B589)&lt;=YEAR($C$3)*12+MONTH($C$3)-1,$G589,0))</f>
        <v/>
      </c>
      <c r="P589" s="68">
        <f>$M589-$O589</f>
        <v/>
      </c>
      <c r="Q589" s="68">
        <f>($L589-$M589)-($N589-$O589)</f>
        <v/>
      </c>
      <c r="R589" s="68">
        <f>$L589-$N589</f>
        <v/>
      </c>
      <c r="S589" s="67">
        <f>"WIP journal"</f>
        <v/>
      </c>
      <c r="T589" s="67">
        <f>IFERROR(INDEX(tbl_WIP[Revenue or Cost],$A589),"")</f>
        <v/>
      </c>
    </row>
    <row r="590">
      <c r="A590" s="65">
        <f>ROW()-407</f>
        <v/>
      </c>
      <c r="B590" s="66">
        <f>IFERROR(INDEX(tbl_WIP[Month],$A590),"")</f>
        <v/>
      </c>
      <c r="C590" s="67">
        <f>IFERROR(INDEX(tbl_WIP[Xero Invoice No],$A590),"")</f>
        <v/>
      </c>
      <c r="D590" s="67">
        <f>IFERROR(INDEX(tbl_WIP[Client],$A590),"")</f>
        <v/>
      </c>
      <c r="E590" s="67">
        <f>IFERROR(INDEX(tbl_WIP[Job Number],$A590),"")</f>
        <v/>
      </c>
      <c r="F590" s="67">
        <f>IFERROR(INDEX(tbl_WIP[Cost Centre],$A590),"")</f>
        <v/>
      </c>
      <c r="G590" s="68">
        <f>IFERROR(IF(INDEX(tbl_WIP[Defer Start],$A590)="","",IF(INDEX(tbl_WIP[Revenue or Cost],$A590)="Cost",-1,1)*INDEX(tbl_WIP[Amount],$A590)),"")</f>
        <v/>
      </c>
      <c r="H590" s="66">
        <f>IFERROR(INDEX(tbl_WIP[Defer Start],$A590),"")</f>
        <v/>
      </c>
      <c r="I590" s="66">
        <f>IFERROR(INDEX(tbl_WIP[Defer End],$A590),"")</f>
        <v/>
      </c>
      <c r="J590" s="65">
        <f>IF(OR($H590="",$I590="",$G590=""),"",MAX(1,(YEAR($I590)-YEAR($H590))*12+MONTH($I590)-MONTH($H590)+1))</f>
        <v/>
      </c>
      <c r="K590" s="68">
        <f>IF($J590="","",$G590/$J590)</f>
        <v/>
      </c>
      <c r="L590" s="68">
        <f>IF($J590="",0,$K590*MAX(0,MIN(YEAR($C$3)*12+MONTH($C$3),YEAR($I590)*12+MONTH($I590))-(YEAR($H590)*12+MONTH($H590))+1))</f>
        <v/>
      </c>
      <c r="M590" s="68">
        <f>IF($J590="",0,$K590*MAX(0,MIN(YEAR($C$3)*12+MONTH($C$3)-1,YEAR($I590)*12+MONTH($I590))-(YEAR($H590)*12+MONTH($H590))+1))</f>
        <v/>
      </c>
      <c r="N590" s="68">
        <f>IF(OR($J590="",$B590=""),0,IF(YEAR($B590)*12+MONTH($B590)&lt;=YEAR($C$3)*12+MONTH($C$3),$G590,0))</f>
        <v/>
      </c>
      <c r="O590" s="68">
        <f>IF(OR($J590="",$B590=""),0,IF(YEAR($B590)*12+MONTH($B590)&lt;=YEAR($C$3)*12+MONTH($C$3)-1,$G590,0))</f>
        <v/>
      </c>
      <c r="P590" s="68">
        <f>$M590-$O590</f>
        <v/>
      </c>
      <c r="Q590" s="68">
        <f>($L590-$M590)-($N590-$O590)</f>
        <v/>
      </c>
      <c r="R590" s="68">
        <f>$L590-$N590</f>
        <v/>
      </c>
      <c r="S590" s="67">
        <f>"WIP journal"</f>
        <v/>
      </c>
      <c r="T590" s="67">
        <f>IFERROR(INDEX(tbl_WIP[Revenue or Cost],$A590),"")</f>
        <v/>
      </c>
    </row>
    <row r="591">
      <c r="A591" s="65">
        <f>ROW()-407</f>
        <v/>
      </c>
      <c r="B591" s="66">
        <f>IFERROR(INDEX(tbl_WIP[Month],$A591),"")</f>
        <v/>
      </c>
      <c r="C591" s="67">
        <f>IFERROR(INDEX(tbl_WIP[Xero Invoice No],$A591),"")</f>
        <v/>
      </c>
      <c r="D591" s="67">
        <f>IFERROR(INDEX(tbl_WIP[Client],$A591),"")</f>
        <v/>
      </c>
      <c r="E591" s="67">
        <f>IFERROR(INDEX(tbl_WIP[Job Number],$A591),"")</f>
        <v/>
      </c>
      <c r="F591" s="67">
        <f>IFERROR(INDEX(tbl_WIP[Cost Centre],$A591),"")</f>
        <v/>
      </c>
      <c r="G591" s="68">
        <f>IFERROR(IF(INDEX(tbl_WIP[Defer Start],$A591)="","",IF(INDEX(tbl_WIP[Revenue or Cost],$A591)="Cost",-1,1)*INDEX(tbl_WIP[Amount],$A591)),"")</f>
        <v/>
      </c>
      <c r="H591" s="66">
        <f>IFERROR(INDEX(tbl_WIP[Defer Start],$A591),"")</f>
        <v/>
      </c>
      <c r="I591" s="66">
        <f>IFERROR(INDEX(tbl_WIP[Defer End],$A591),"")</f>
        <v/>
      </c>
      <c r="J591" s="65">
        <f>IF(OR($H591="",$I591="",$G591=""),"",MAX(1,(YEAR($I591)-YEAR($H591))*12+MONTH($I591)-MONTH($H591)+1))</f>
        <v/>
      </c>
      <c r="K591" s="68">
        <f>IF($J591="","",$G591/$J591)</f>
        <v/>
      </c>
      <c r="L591" s="68">
        <f>IF($J591="",0,$K591*MAX(0,MIN(YEAR($C$3)*12+MONTH($C$3),YEAR($I591)*12+MONTH($I591))-(YEAR($H591)*12+MONTH($H591))+1))</f>
        <v/>
      </c>
      <c r="M591" s="68">
        <f>IF($J591="",0,$K591*MAX(0,MIN(YEAR($C$3)*12+MONTH($C$3)-1,YEAR($I591)*12+MONTH($I591))-(YEAR($H591)*12+MONTH($H591))+1))</f>
        <v/>
      </c>
      <c r="N591" s="68">
        <f>IF(OR($J591="",$B591=""),0,IF(YEAR($B591)*12+MONTH($B591)&lt;=YEAR($C$3)*12+MONTH($C$3),$G591,0))</f>
        <v/>
      </c>
      <c r="O591" s="68">
        <f>IF(OR($J591="",$B591=""),0,IF(YEAR($B591)*12+MONTH($B591)&lt;=YEAR($C$3)*12+MONTH($C$3)-1,$G591,0))</f>
        <v/>
      </c>
      <c r="P591" s="68">
        <f>$M591-$O591</f>
        <v/>
      </c>
      <c r="Q591" s="68">
        <f>($L591-$M591)-($N591-$O591)</f>
        <v/>
      </c>
      <c r="R591" s="68">
        <f>$L591-$N591</f>
        <v/>
      </c>
      <c r="S591" s="67">
        <f>"WIP journal"</f>
        <v/>
      </c>
      <c r="T591" s="67">
        <f>IFERROR(INDEX(tbl_WIP[Revenue or Cost],$A591),"")</f>
        <v/>
      </c>
    </row>
    <row r="592">
      <c r="A592" s="65">
        <f>ROW()-407</f>
        <v/>
      </c>
      <c r="B592" s="66">
        <f>IFERROR(INDEX(tbl_WIP[Month],$A592),"")</f>
        <v/>
      </c>
      <c r="C592" s="67">
        <f>IFERROR(INDEX(tbl_WIP[Xero Invoice No],$A592),"")</f>
        <v/>
      </c>
      <c r="D592" s="67">
        <f>IFERROR(INDEX(tbl_WIP[Client],$A592),"")</f>
        <v/>
      </c>
      <c r="E592" s="67">
        <f>IFERROR(INDEX(tbl_WIP[Job Number],$A592),"")</f>
        <v/>
      </c>
      <c r="F592" s="67">
        <f>IFERROR(INDEX(tbl_WIP[Cost Centre],$A592),"")</f>
        <v/>
      </c>
      <c r="G592" s="68">
        <f>IFERROR(IF(INDEX(tbl_WIP[Defer Start],$A592)="","",IF(INDEX(tbl_WIP[Revenue or Cost],$A592)="Cost",-1,1)*INDEX(tbl_WIP[Amount],$A592)),"")</f>
        <v/>
      </c>
      <c r="H592" s="66">
        <f>IFERROR(INDEX(tbl_WIP[Defer Start],$A592),"")</f>
        <v/>
      </c>
      <c r="I592" s="66">
        <f>IFERROR(INDEX(tbl_WIP[Defer End],$A592),"")</f>
        <v/>
      </c>
      <c r="J592" s="65">
        <f>IF(OR($H592="",$I592="",$G592=""),"",MAX(1,(YEAR($I592)-YEAR($H592))*12+MONTH($I592)-MONTH($H592)+1))</f>
        <v/>
      </c>
      <c r="K592" s="68">
        <f>IF($J592="","",$G592/$J592)</f>
        <v/>
      </c>
      <c r="L592" s="68">
        <f>IF($J592="",0,$K592*MAX(0,MIN(YEAR($C$3)*12+MONTH($C$3),YEAR($I592)*12+MONTH($I592))-(YEAR($H592)*12+MONTH($H592))+1))</f>
        <v/>
      </c>
      <c r="M592" s="68">
        <f>IF($J592="",0,$K592*MAX(0,MIN(YEAR($C$3)*12+MONTH($C$3)-1,YEAR($I592)*12+MONTH($I592))-(YEAR($H592)*12+MONTH($H592))+1))</f>
        <v/>
      </c>
      <c r="N592" s="68">
        <f>IF(OR($J592="",$B592=""),0,IF(YEAR($B592)*12+MONTH($B592)&lt;=YEAR($C$3)*12+MONTH($C$3),$G592,0))</f>
        <v/>
      </c>
      <c r="O592" s="68">
        <f>IF(OR($J592="",$B592=""),0,IF(YEAR($B592)*12+MONTH($B592)&lt;=YEAR($C$3)*12+MONTH($C$3)-1,$G592,0))</f>
        <v/>
      </c>
      <c r="P592" s="68">
        <f>$M592-$O592</f>
        <v/>
      </c>
      <c r="Q592" s="68">
        <f>($L592-$M592)-($N592-$O592)</f>
        <v/>
      </c>
      <c r="R592" s="68">
        <f>$L592-$N592</f>
        <v/>
      </c>
      <c r="S592" s="67">
        <f>"WIP journal"</f>
        <v/>
      </c>
      <c r="T592" s="67">
        <f>IFERROR(INDEX(tbl_WIP[Revenue or Cost],$A592),"")</f>
        <v/>
      </c>
    </row>
    <row r="593">
      <c r="A593" s="65">
        <f>ROW()-407</f>
        <v/>
      </c>
      <c r="B593" s="66">
        <f>IFERROR(INDEX(tbl_WIP[Month],$A593),"")</f>
        <v/>
      </c>
      <c r="C593" s="67">
        <f>IFERROR(INDEX(tbl_WIP[Xero Invoice No],$A593),"")</f>
        <v/>
      </c>
      <c r="D593" s="67">
        <f>IFERROR(INDEX(tbl_WIP[Client],$A593),"")</f>
        <v/>
      </c>
      <c r="E593" s="67">
        <f>IFERROR(INDEX(tbl_WIP[Job Number],$A593),"")</f>
        <v/>
      </c>
      <c r="F593" s="67">
        <f>IFERROR(INDEX(tbl_WIP[Cost Centre],$A593),"")</f>
        <v/>
      </c>
      <c r="G593" s="68">
        <f>IFERROR(IF(INDEX(tbl_WIP[Defer Start],$A593)="","",IF(INDEX(tbl_WIP[Revenue or Cost],$A593)="Cost",-1,1)*INDEX(tbl_WIP[Amount],$A593)),"")</f>
        <v/>
      </c>
      <c r="H593" s="66">
        <f>IFERROR(INDEX(tbl_WIP[Defer Start],$A593),"")</f>
        <v/>
      </c>
      <c r="I593" s="66">
        <f>IFERROR(INDEX(tbl_WIP[Defer End],$A593),"")</f>
        <v/>
      </c>
      <c r="J593" s="65">
        <f>IF(OR($H593="",$I593="",$G593=""),"",MAX(1,(YEAR($I593)-YEAR($H593))*12+MONTH($I593)-MONTH($H593)+1))</f>
        <v/>
      </c>
      <c r="K593" s="68">
        <f>IF($J593="","",$G593/$J593)</f>
        <v/>
      </c>
      <c r="L593" s="68">
        <f>IF($J593="",0,$K593*MAX(0,MIN(YEAR($C$3)*12+MONTH($C$3),YEAR($I593)*12+MONTH($I593))-(YEAR($H593)*12+MONTH($H593))+1))</f>
        <v/>
      </c>
      <c r="M593" s="68">
        <f>IF($J593="",0,$K593*MAX(0,MIN(YEAR($C$3)*12+MONTH($C$3)-1,YEAR($I593)*12+MONTH($I593))-(YEAR($H593)*12+MONTH($H593))+1))</f>
        <v/>
      </c>
      <c r="N593" s="68">
        <f>IF(OR($J593="",$B593=""),0,IF(YEAR($B593)*12+MONTH($B593)&lt;=YEAR($C$3)*12+MONTH($C$3),$G593,0))</f>
        <v/>
      </c>
      <c r="O593" s="68">
        <f>IF(OR($J593="",$B593=""),0,IF(YEAR($B593)*12+MONTH($B593)&lt;=YEAR($C$3)*12+MONTH($C$3)-1,$G593,0))</f>
        <v/>
      </c>
      <c r="P593" s="68">
        <f>$M593-$O593</f>
        <v/>
      </c>
      <c r="Q593" s="68">
        <f>($L593-$M593)-($N593-$O593)</f>
        <v/>
      </c>
      <c r="R593" s="68">
        <f>$L593-$N593</f>
        <v/>
      </c>
      <c r="S593" s="67">
        <f>"WIP journal"</f>
        <v/>
      </c>
      <c r="T593" s="67">
        <f>IFERROR(INDEX(tbl_WIP[Revenue or Cost],$A593),"")</f>
        <v/>
      </c>
    </row>
    <row r="594">
      <c r="A594" s="65">
        <f>ROW()-407</f>
        <v/>
      </c>
      <c r="B594" s="66">
        <f>IFERROR(INDEX(tbl_WIP[Month],$A594),"")</f>
        <v/>
      </c>
      <c r="C594" s="67">
        <f>IFERROR(INDEX(tbl_WIP[Xero Invoice No],$A594),"")</f>
        <v/>
      </c>
      <c r="D594" s="67">
        <f>IFERROR(INDEX(tbl_WIP[Client],$A594),"")</f>
        <v/>
      </c>
      <c r="E594" s="67">
        <f>IFERROR(INDEX(tbl_WIP[Job Number],$A594),"")</f>
        <v/>
      </c>
      <c r="F594" s="67">
        <f>IFERROR(INDEX(tbl_WIP[Cost Centre],$A594),"")</f>
        <v/>
      </c>
      <c r="G594" s="68">
        <f>IFERROR(IF(INDEX(tbl_WIP[Defer Start],$A594)="","",IF(INDEX(tbl_WIP[Revenue or Cost],$A594)="Cost",-1,1)*INDEX(tbl_WIP[Amount],$A594)),"")</f>
        <v/>
      </c>
      <c r="H594" s="66">
        <f>IFERROR(INDEX(tbl_WIP[Defer Start],$A594),"")</f>
        <v/>
      </c>
      <c r="I594" s="66">
        <f>IFERROR(INDEX(tbl_WIP[Defer End],$A594),"")</f>
        <v/>
      </c>
      <c r="J594" s="65">
        <f>IF(OR($H594="",$I594="",$G594=""),"",MAX(1,(YEAR($I594)-YEAR($H594))*12+MONTH($I594)-MONTH($H594)+1))</f>
        <v/>
      </c>
      <c r="K594" s="68">
        <f>IF($J594="","",$G594/$J594)</f>
        <v/>
      </c>
      <c r="L594" s="68">
        <f>IF($J594="",0,$K594*MAX(0,MIN(YEAR($C$3)*12+MONTH($C$3),YEAR($I594)*12+MONTH($I594))-(YEAR($H594)*12+MONTH($H594))+1))</f>
        <v/>
      </c>
      <c r="M594" s="68">
        <f>IF($J594="",0,$K594*MAX(0,MIN(YEAR($C$3)*12+MONTH($C$3)-1,YEAR($I594)*12+MONTH($I594))-(YEAR($H594)*12+MONTH($H594))+1))</f>
        <v/>
      </c>
      <c r="N594" s="68">
        <f>IF(OR($J594="",$B594=""),0,IF(YEAR($B594)*12+MONTH($B594)&lt;=YEAR($C$3)*12+MONTH($C$3),$G594,0))</f>
        <v/>
      </c>
      <c r="O594" s="68">
        <f>IF(OR($J594="",$B594=""),0,IF(YEAR($B594)*12+MONTH($B594)&lt;=YEAR($C$3)*12+MONTH($C$3)-1,$G594,0))</f>
        <v/>
      </c>
      <c r="P594" s="68">
        <f>$M594-$O594</f>
        <v/>
      </c>
      <c r="Q594" s="68">
        <f>($L594-$M594)-($N594-$O594)</f>
        <v/>
      </c>
      <c r="R594" s="68">
        <f>$L594-$N594</f>
        <v/>
      </c>
      <c r="S594" s="67">
        <f>"WIP journal"</f>
        <v/>
      </c>
      <c r="T594" s="67">
        <f>IFERROR(INDEX(tbl_WIP[Revenue or Cost],$A594),"")</f>
        <v/>
      </c>
    </row>
    <row r="595">
      <c r="A595" s="65">
        <f>ROW()-407</f>
        <v/>
      </c>
      <c r="B595" s="66">
        <f>IFERROR(INDEX(tbl_WIP[Month],$A595),"")</f>
        <v/>
      </c>
      <c r="C595" s="67">
        <f>IFERROR(INDEX(tbl_WIP[Xero Invoice No],$A595),"")</f>
        <v/>
      </c>
      <c r="D595" s="67">
        <f>IFERROR(INDEX(tbl_WIP[Client],$A595),"")</f>
        <v/>
      </c>
      <c r="E595" s="67">
        <f>IFERROR(INDEX(tbl_WIP[Job Number],$A595),"")</f>
        <v/>
      </c>
      <c r="F595" s="67">
        <f>IFERROR(INDEX(tbl_WIP[Cost Centre],$A595),"")</f>
        <v/>
      </c>
      <c r="G595" s="68">
        <f>IFERROR(IF(INDEX(tbl_WIP[Defer Start],$A595)="","",IF(INDEX(tbl_WIP[Revenue or Cost],$A595)="Cost",-1,1)*INDEX(tbl_WIP[Amount],$A595)),"")</f>
        <v/>
      </c>
      <c r="H595" s="66">
        <f>IFERROR(INDEX(tbl_WIP[Defer Start],$A595),"")</f>
        <v/>
      </c>
      <c r="I595" s="66">
        <f>IFERROR(INDEX(tbl_WIP[Defer End],$A595),"")</f>
        <v/>
      </c>
      <c r="J595" s="65">
        <f>IF(OR($H595="",$I595="",$G595=""),"",MAX(1,(YEAR($I595)-YEAR($H595))*12+MONTH($I595)-MONTH($H595)+1))</f>
        <v/>
      </c>
      <c r="K595" s="68">
        <f>IF($J595="","",$G595/$J595)</f>
        <v/>
      </c>
      <c r="L595" s="68">
        <f>IF($J595="",0,$K595*MAX(0,MIN(YEAR($C$3)*12+MONTH($C$3),YEAR($I595)*12+MONTH($I595))-(YEAR($H595)*12+MONTH($H595))+1))</f>
        <v/>
      </c>
      <c r="M595" s="68">
        <f>IF($J595="",0,$K595*MAX(0,MIN(YEAR($C$3)*12+MONTH($C$3)-1,YEAR($I595)*12+MONTH($I595))-(YEAR($H595)*12+MONTH($H595))+1))</f>
        <v/>
      </c>
      <c r="N595" s="68">
        <f>IF(OR($J595="",$B595=""),0,IF(YEAR($B595)*12+MONTH($B595)&lt;=YEAR($C$3)*12+MONTH($C$3),$G595,0))</f>
        <v/>
      </c>
      <c r="O595" s="68">
        <f>IF(OR($J595="",$B595=""),0,IF(YEAR($B595)*12+MONTH($B595)&lt;=YEAR($C$3)*12+MONTH($C$3)-1,$G595,0))</f>
        <v/>
      </c>
      <c r="P595" s="68">
        <f>$M595-$O595</f>
        <v/>
      </c>
      <c r="Q595" s="68">
        <f>($L595-$M595)-($N595-$O595)</f>
        <v/>
      </c>
      <c r="R595" s="68">
        <f>$L595-$N595</f>
        <v/>
      </c>
      <c r="S595" s="67">
        <f>"WIP journal"</f>
        <v/>
      </c>
      <c r="T595" s="67">
        <f>IFERROR(INDEX(tbl_WIP[Revenue or Cost],$A595),"")</f>
        <v/>
      </c>
    </row>
    <row r="596">
      <c r="A596" s="65">
        <f>ROW()-407</f>
        <v/>
      </c>
      <c r="B596" s="66">
        <f>IFERROR(INDEX(tbl_WIP[Month],$A596),"")</f>
        <v/>
      </c>
      <c r="C596" s="67">
        <f>IFERROR(INDEX(tbl_WIP[Xero Invoice No],$A596),"")</f>
        <v/>
      </c>
      <c r="D596" s="67">
        <f>IFERROR(INDEX(tbl_WIP[Client],$A596),"")</f>
        <v/>
      </c>
      <c r="E596" s="67">
        <f>IFERROR(INDEX(tbl_WIP[Job Number],$A596),"")</f>
        <v/>
      </c>
      <c r="F596" s="67">
        <f>IFERROR(INDEX(tbl_WIP[Cost Centre],$A596),"")</f>
        <v/>
      </c>
      <c r="G596" s="68">
        <f>IFERROR(IF(INDEX(tbl_WIP[Defer Start],$A596)="","",IF(INDEX(tbl_WIP[Revenue or Cost],$A596)="Cost",-1,1)*INDEX(tbl_WIP[Amount],$A596)),"")</f>
        <v/>
      </c>
      <c r="H596" s="66">
        <f>IFERROR(INDEX(tbl_WIP[Defer Start],$A596),"")</f>
        <v/>
      </c>
      <c r="I596" s="66">
        <f>IFERROR(INDEX(tbl_WIP[Defer End],$A596),"")</f>
        <v/>
      </c>
      <c r="J596" s="65">
        <f>IF(OR($H596="",$I596="",$G596=""),"",MAX(1,(YEAR($I596)-YEAR($H596))*12+MONTH($I596)-MONTH($H596)+1))</f>
        <v/>
      </c>
      <c r="K596" s="68">
        <f>IF($J596="","",$G596/$J596)</f>
        <v/>
      </c>
      <c r="L596" s="68">
        <f>IF($J596="",0,$K596*MAX(0,MIN(YEAR($C$3)*12+MONTH($C$3),YEAR($I596)*12+MONTH($I596))-(YEAR($H596)*12+MONTH($H596))+1))</f>
        <v/>
      </c>
      <c r="M596" s="68">
        <f>IF($J596="",0,$K596*MAX(0,MIN(YEAR($C$3)*12+MONTH($C$3)-1,YEAR($I596)*12+MONTH($I596))-(YEAR($H596)*12+MONTH($H596))+1))</f>
        <v/>
      </c>
      <c r="N596" s="68">
        <f>IF(OR($J596="",$B596=""),0,IF(YEAR($B596)*12+MONTH($B596)&lt;=YEAR($C$3)*12+MONTH($C$3),$G596,0))</f>
        <v/>
      </c>
      <c r="O596" s="68">
        <f>IF(OR($J596="",$B596=""),0,IF(YEAR($B596)*12+MONTH($B596)&lt;=YEAR($C$3)*12+MONTH($C$3)-1,$G596,0))</f>
        <v/>
      </c>
      <c r="P596" s="68">
        <f>$M596-$O596</f>
        <v/>
      </c>
      <c r="Q596" s="68">
        <f>($L596-$M596)-($N596-$O596)</f>
        <v/>
      </c>
      <c r="R596" s="68">
        <f>$L596-$N596</f>
        <v/>
      </c>
      <c r="S596" s="67">
        <f>"WIP journal"</f>
        <v/>
      </c>
      <c r="T596" s="67">
        <f>IFERROR(INDEX(tbl_WIP[Revenue or Cost],$A596),"")</f>
        <v/>
      </c>
    </row>
    <row r="597">
      <c r="A597" s="65">
        <f>ROW()-407</f>
        <v/>
      </c>
      <c r="B597" s="66">
        <f>IFERROR(INDEX(tbl_WIP[Month],$A597),"")</f>
        <v/>
      </c>
      <c r="C597" s="67">
        <f>IFERROR(INDEX(tbl_WIP[Xero Invoice No],$A597),"")</f>
        <v/>
      </c>
      <c r="D597" s="67">
        <f>IFERROR(INDEX(tbl_WIP[Client],$A597),"")</f>
        <v/>
      </c>
      <c r="E597" s="67">
        <f>IFERROR(INDEX(tbl_WIP[Job Number],$A597),"")</f>
        <v/>
      </c>
      <c r="F597" s="67">
        <f>IFERROR(INDEX(tbl_WIP[Cost Centre],$A597),"")</f>
        <v/>
      </c>
      <c r="G597" s="68">
        <f>IFERROR(IF(INDEX(tbl_WIP[Defer Start],$A597)="","",IF(INDEX(tbl_WIP[Revenue or Cost],$A597)="Cost",-1,1)*INDEX(tbl_WIP[Amount],$A597)),"")</f>
        <v/>
      </c>
      <c r="H597" s="66">
        <f>IFERROR(INDEX(tbl_WIP[Defer Start],$A597),"")</f>
        <v/>
      </c>
      <c r="I597" s="66">
        <f>IFERROR(INDEX(tbl_WIP[Defer End],$A597),"")</f>
        <v/>
      </c>
      <c r="J597" s="65">
        <f>IF(OR($H597="",$I597="",$G597=""),"",MAX(1,(YEAR($I597)-YEAR($H597))*12+MONTH($I597)-MONTH($H597)+1))</f>
        <v/>
      </c>
      <c r="K597" s="68">
        <f>IF($J597="","",$G597/$J597)</f>
        <v/>
      </c>
      <c r="L597" s="68">
        <f>IF($J597="",0,$K597*MAX(0,MIN(YEAR($C$3)*12+MONTH($C$3),YEAR($I597)*12+MONTH($I597))-(YEAR($H597)*12+MONTH($H597))+1))</f>
        <v/>
      </c>
      <c r="M597" s="68">
        <f>IF($J597="",0,$K597*MAX(0,MIN(YEAR($C$3)*12+MONTH($C$3)-1,YEAR($I597)*12+MONTH($I597))-(YEAR($H597)*12+MONTH($H597))+1))</f>
        <v/>
      </c>
      <c r="N597" s="68">
        <f>IF(OR($J597="",$B597=""),0,IF(YEAR($B597)*12+MONTH($B597)&lt;=YEAR($C$3)*12+MONTH($C$3),$G597,0))</f>
        <v/>
      </c>
      <c r="O597" s="68">
        <f>IF(OR($J597="",$B597=""),0,IF(YEAR($B597)*12+MONTH($B597)&lt;=YEAR($C$3)*12+MONTH($C$3)-1,$G597,0))</f>
        <v/>
      </c>
      <c r="P597" s="68">
        <f>$M597-$O597</f>
        <v/>
      </c>
      <c r="Q597" s="68">
        <f>($L597-$M597)-($N597-$O597)</f>
        <v/>
      </c>
      <c r="R597" s="68">
        <f>$L597-$N597</f>
        <v/>
      </c>
      <c r="S597" s="67">
        <f>"WIP journal"</f>
        <v/>
      </c>
      <c r="T597" s="67">
        <f>IFERROR(INDEX(tbl_WIP[Revenue or Cost],$A597),"")</f>
        <v/>
      </c>
    </row>
    <row r="598">
      <c r="A598" s="65">
        <f>ROW()-407</f>
        <v/>
      </c>
      <c r="B598" s="66">
        <f>IFERROR(INDEX(tbl_WIP[Month],$A598),"")</f>
        <v/>
      </c>
      <c r="C598" s="67">
        <f>IFERROR(INDEX(tbl_WIP[Xero Invoice No],$A598),"")</f>
        <v/>
      </c>
      <c r="D598" s="67">
        <f>IFERROR(INDEX(tbl_WIP[Client],$A598),"")</f>
        <v/>
      </c>
      <c r="E598" s="67">
        <f>IFERROR(INDEX(tbl_WIP[Job Number],$A598),"")</f>
        <v/>
      </c>
      <c r="F598" s="67">
        <f>IFERROR(INDEX(tbl_WIP[Cost Centre],$A598),"")</f>
        <v/>
      </c>
      <c r="G598" s="68">
        <f>IFERROR(IF(INDEX(tbl_WIP[Defer Start],$A598)="","",IF(INDEX(tbl_WIP[Revenue or Cost],$A598)="Cost",-1,1)*INDEX(tbl_WIP[Amount],$A598)),"")</f>
        <v/>
      </c>
      <c r="H598" s="66">
        <f>IFERROR(INDEX(tbl_WIP[Defer Start],$A598),"")</f>
        <v/>
      </c>
      <c r="I598" s="66">
        <f>IFERROR(INDEX(tbl_WIP[Defer End],$A598),"")</f>
        <v/>
      </c>
      <c r="J598" s="65">
        <f>IF(OR($H598="",$I598="",$G598=""),"",MAX(1,(YEAR($I598)-YEAR($H598))*12+MONTH($I598)-MONTH($H598)+1))</f>
        <v/>
      </c>
      <c r="K598" s="68">
        <f>IF($J598="","",$G598/$J598)</f>
        <v/>
      </c>
      <c r="L598" s="68">
        <f>IF($J598="",0,$K598*MAX(0,MIN(YEAR($C$3)*12+MONTH($C$3),YEAR($I598)*12+MONTH($I598))-(YEAR($H598)*12+MONTH($H598))+1))</f>
        <v/>
      </c>
      <c r="M598" s="68">
        <f>IF($J598="",0,$K598*MAX(0,MIN(YEAR($C$3)*12+MONTH($C$3)-1,YEAR($I598)*12+MONTH($I598))-(YEAR($H598)*12+MONTH($H598))+1))</f>
        <v/>
      </c>
      <c r="N598" s="68">
        <f>IF(OR($J598="",$B598=""),0,IF(YEAR($B598)*12+MONTH($B598)&lt;=YEAR($C$3)*12+MONTH($C$3),$G598,0))</f>
        <v/>
      </c>
      <c r="O598" s="68">
        <f>IF(OR($J598="",$B598=""),0,IF(YEAR($B598)*12+MONTH($B598)&lt;=YEAR($C$3)*12+MONTH($C$3)-1,$G598,0))</f>
        <v/>
      </c>
      <c r="P598" s="68">
        <f>$M598-$O598</f>
        <v/>
      </c>
      <c r="Q598" s="68">
        <f>($L598-$M598)-($N598-$O598)</f>
        <v/>
      </c>
      <c r="R598" s="68">
        <f>$L598-$N598</f>
        <v/>
      </c>
      <c r="S598" s="67">
        <f>"WIP journal"</f>
        <v/>
      </c>
      <c r="T598" s="67">
        <f>IFERROR(INDEX(tbl_WIP[Revenue or Cost],$A598),"")</f>
        <v/>
      </c>
    </row>
    <row r="599">
      <c r="A599" s="65">
        <f>ROW()-407</f>
        <v/>
      </c>
      <c r="B599" s="66">
        <f>IFERROR(INDEX(tbl_WIP[Month],$A599),"")</f>
        <v/>
      </c>
      <c r="C599" s="67">
        <f>IFERROR(INDEX(tbl_WIP[Xero Invoice No],$A599),"")</f>
        <v/>
      </c>
      <c r="D599" s="67">
        <f>IFERROR(INDEX(tbl_WIP[Client],$A599),"")</f>
        <v/>
      </c>
      <c r="E599" s="67">
        <f>IFERROR(INDEX(tbl_WIP[Job Number],$A599),"")</f>
        <v/>
      </c>
      <c r="F599" s="67">
        <f>IFERROR(INDEX(tbl_WIP[Cost Centre],$A599),"")</f>
        <v/>
      </c>
      <c r="G599" s="68">
        <f>IFERROR(IF(INDEX(tbl_WIP[Defer Start],$A599)="","",IF(INDEX(tbl_WIP[Revenue or Cost],$A599)="Cost",-1,1)*INDEX(tbl_WIP[Amount],$A599)),"")</f>
        <v/>
      </c>
      <c r="H599" s="66">
        <f>IFERROR(INDEX(tbl_WIP[Defer Start],$A599),"")</f>
        <v/>
      </c>
      <c r="I599" s="66">
        <f>IFERROR(INDEX(tbl_WIP[Defer End],$A599),"")</f>
        <v/>
      </c>
      <c r="J599" s="65">
        <f>IF(OR($H599="",$I599="",$G599=""),"",MAX(1,(YEAR($I599)-YEAR($H599))*12+MONTH($I599)-MONTH($H599)+1))</f>
        <v/>
      </c>
      <c r="K599" s="68">
        <f>IF($J599="","",$G599/$J599)</f>
        <v/>
      </c>
      <c r="L599" s="68">
        <f>IF($J599="",0,$K599*MAX(0,MIN(YEAR($C$3)*12+MONTH($C$3),YEAR($I599)*12+MONTH($I599))-(YEAR($H599)*12+MONTH($H599))+1))</f>
        <v/>
      </c>
      <c r="M599" s="68">
        <f>IF($J599="",0,$K599*MAX(0,MIN(YEAR($C$3)*12+MONTH($C$3)-1,YEAR($I599)*12+MONTH($I599))-(YEAR($H599)*12+MONTH($H599))+1))</f>
        <v/>
      </c>
      <c r="N599" s="68">
        <f>IF(OR($J599="",$B599=""),0,IF(YEAR($B599)*12+MONTH($B599)&lt;=YEAR($C$3)*12+MONTH($C$3),$G599,0))</f>
        <v/>
      </c>
      <c r="O599" s="68">
        <f>IF(OR($J599="",$B599=""),0,IF(YEAR($B599)*12+MONTH($B599)&lt;=YEAR($C$3)*12+MONTH($C$3)-1,$G599,0))</f>
        <v/>
      </c>
      <c r="P599" s="68">
        <f>$M599-$O599</f>
        <v/>
      </c>
      <c r="Q599" s="68">
        <f>($L599-$M599)-($N599-$O599)</f>
        <v/>
      </c>
      <c r="R599" s="68">
        <f>$L599-$N599</f>
        <v/>
      </c>
      <c r="S599" s="67">
        <f>"WIP journal"</f>
        <v/>
      </c>
      <c r="T599" s="67">
        <f>IFERROR(INDEX(tbl_WIP[Revenue or Cost],$A599),"")</f>
        <v/>
      </c>
    </row>
    <row r="600">
      <c r="A600" s="65">
        <f>ROW()-407</f>
        <v/>
      </c>
      <c r="B600" s="66">
        <f>IFERROR(INDEX(tbl_WIP[Month],$A600),"")</f>
        <v/>
      </c>
      <c r="C600" s="67">
        <f>IFERROR(INDEX(tbl_WIP[Xero Invoice No],$A600),"")</f>
        <v/>
      </c>
      <c r="D600" s="67">
        <f>IFERROR(INDEX(tbl_WIP[Client],$A600),"")</f>
        <v/>
      </c>
      <c r="E600" s="67">
        <f>IFERROR(INDEX(tbl_WIP[Job Number],$A600),"")</f>
        <v/>
      </c>
      <c r="F600" s="67">
        <f>IFERROR(INDEX(tbl_WIP[Cost Centre],$A600),"")</f>
        <v/>
      </c>
      <c r="G600" s="68">
        <f>IFERROR(IF(INDEX(tbl_WIP[Defer Start],$A600)="","",IF(INDEX(tbl_WIP[Revenue or Cost],$A600)="Cost",-1,1)*INDEX(tbl_WIP[Amount],$A600)),"")</f>
        <v/>
      </c>
      <c r="H600" s="66">
        <f>IFERROR(INDEX(tbl_WIP[Defer Start],$A600),"")</f>
        <v/>
      </c>
      <c r="I600" s="66">
        <f>IFERROR(INDEX(tbl_WIP[Defer End],$A600),"")</f>
        <v/>
      </c>
      <c r="J600" s="65">
        <f>IF(OR($H600="",$I600="",$G600=""),"",MAX(1,(YEAR($I600)-YEAR($H600))*12+MONTH($I600)-MONTH($H600)+1))</f>
        <v/>
      </c>
      <c r="K600" s="68">
        <f>IF($J600="","",$G600/$J600)</f>
        <v/>
      </c>
      <c r="L600" s="68">
        <f>IF($J600="",0,$K600*MAX(0,MIN(YEAR($C$3)*12+MONTH($C$3),YEAR($I600)*12+MONTH($I600))-(YEAR($H600)*12+MONTH($H600))+1))</f>
        <v/>
      </c>
      <c r="M600" s="68">
        <f>IF($J600="",0,$K600*MAX(0,MIN(YEAR($C$3)*12+MONTH($C$3)-1,YEAR($I600)*12+MONTH($I600))-(YEAR($H600)*12+MONTH($H600))+1))</f>
        <v/>
      </c>
      <c r="N600" s="68">
        <f>IF(OR($J600="",$B600=""),0,IF(YEAR($B600)*12+MONTH($B600)&lt;=YEAR($C$3)*12+MONTH($C$3),$G600,0))</f>
        <v/>
      </c>
      <c r="O600" s="68">
        <f>IF(OR($J600="",$B600=""),0,IF(YEAR($B600)*12+MONTH($B600)&lt;=YEAR($C$3)*12+MONTH($C$3)-1,$G600,0))</f>
        <v/>
      </c>
      <c r="P600" s="68">
        <f>$M600-$O600</f>
        <v/>
      </c>
      <c r="Q600" s="68">
        <f>($L600-$M600)-($N600-$O600)</f>
        <v/>
      </c>
      <c r="R600" s="68">
        <f>$L600-$N600</f>
        <v/>
      </c>
      <c r="S600" s="67">
        <f>"WIP journal"</f>
        <v/>
      </c>
      <c r="T600" s="67">
        <f>IFERROR(INDEX(tbl_WIP[Revenue or Cost],$A600),"")</f>
        <v/>
      </c>
    </row>
    <row r="601">
      <c r="A601" s="65">
        <f>ROW()-407</f>
        <v/>
      </c>
      <c r="B601" s="66">
        <f>IFERROR(INDEX(tbl_WIP[Month],$A601),"")</f>
        <v/>
      </c>
      <c r="C601" s="67">
        <f>IFERROR(INDEX(tbl_WIP[Xero Invoice No],$A601),"")</f>
        <v/>
      </c>
      <c r="D601" s="67">
        <f>IFERROR(INDEX(tbl_WIP[Client],$A601),"")</f>
        <v/>
      </c>
      <c r="E601" s="67">
        <f>IFERROR(INDEX(tbl_WIP[Job Number],$A601),"")</f>
        <v/>
      </c>
      <c r="F601" s="67">
        <f>IFERROR(INDEX(tbl_WIP[Cost Centre],$A601),"")</f>
        <v/>
      </c>
      <c r="G601" s="68">
        <f>IFERROR(IF(INDEX(tbl_WIP[Defer Start],$A601)="","",IF(INDEX(tbl_WIP[Revenue or Cost],$A601)="Cost",-1,1)*INDEX(tbl_WIP[Amount],$A601)),"")</f>
        <v/>
      </c>
      <c r="H601" s="66">
        <f>IFERROR(INDEX(tbl_WIP[Defer Start],$A601),"")</f>
        <v/>
      </c>
      <c r="I601" s="66">
        <f>IFERROR(INDEX(tbl_WIP[Defer End],$A601),"")</f>
        <v/>
      </c>
      <c r="J601" s="65">
        <f>IF(OR($H601="",$I601="",$G601=""),"",MAX(1,(YEAR($I601)-YEAR($H601))*12+MONTH($I601)-MONTH($H601)+1))</f>
        <v/>
      </c>
      <c r="K601" s="68">
        <f>IF($J601="","",$G601/$J601)</f>
        <v/>
      </c>
      <c r="L601" s="68">
        <f>IF($J601="",0,$K601*MAX(0,MIN(YEAR($C$3)*12+MONTH($C$3),YEAR($I601)*12+MONTH($I601))-(YEAR($H601)*12+MONTH($H601))+1))</f>
        <v/>
      </c>
      <c r="M601" s="68">
        <f>IF($J601="",0,$K601*MAX(0,MIN(YEAR($C$3)*12+MONTH($C$3)-1,YEAR($I601)*12+MONTH($I601))-(YEAR($H601)*12+MONTH($H601))+1))</f>
        <v/>
      </c>
      <c r="N601" s="68">
        <f>IF(OR($J601="",$B601=""),0,IF(YEAR($B601)*12+MONTH($B601)&lt;=YEAR($C$3)*12+MONTH($C$3),$G601,0))</f>
        <v/>
      </c>
      <c r="O601" s="68">
        <f>IF(OR($J601="",$B601=""),0,IF(YEAR($B601)*12+MONTH($B601)&lt;=YEAR($C$3)*12+MONTH($C$3)-1,$G601,0))</f>
        <v/>
      </c>
      <c r="P601" s="68">
        <f>$M601-$O601</f>
        <v/>
      </c>
      <c r="Q601" s="68">
        <f>($L601-$M601)-($N601-$O601)</f>
        <v/>
      </c>
      <c r="R601" s="68">
        <f>$L601-$N601</f>
        <v/>
      </c>
      <c r="S601" s="67">
        <f>"WIP journal"</f>
        <v/>
      </c>
      <c r="T601" s="67">
        <f>IFERROR(INDEX(tbl_WIP[Revenue or Cost],$A601),"")</f>
        <v/>
      </c>
    </row>
    <row r="602">
      <c r="A602" s="65">
        <f>ROW()-407</f>
        <v/>
      </c>
      <c r="B602" s="66">
        <f>IFERROR(INDEX(tbl_WIP[Month],$A602),"")</f>
        <v/>
      </c>
      <c r="C602" s="67">
        <f>IFERROR(INDEX(tbl_WIP[Xero Invoice No],$A602),"")</f>
        <v/>
      </c>
      <c r="D602" s="67">
        <f>IFERROR(INDEX(tbl_WIP[Client],$A602),"")</f>
        <v/>
      </c>
      <c r="E602" s="67">
        <f>IFERROR(INDEX(tbl_WIP[Job Number],$A602),"")</f>
        <v/>
      </c>
      <c r="F602" s="67">
        <f>IFERROR(INDEX(tbl_WIP[Cost Centre],$A602),"")</f>
        <v/>
      </c>
      <c r="G602" s="68">
        <f>IFERROR(IF(INDEX(tbl_WIP[Defer Start],$A602)="","",IF(INDEX(tbl_WIP[Revenue or Cost],$A602)="Cost",-1,1)*INDEX(tbl_WIP[Amount],$A602)),"")</f>
        <v/>
      </c>
      <c r="H602" s="66">
        <f>IFERROR(INDEX(tbl_WIP[Defer Start],$A602),"")</f>
        <v/>
      </c>
      <c r="I602" s="66">
        <f>IFERROR(INDEX(tbl_WIP[Defer End],$A602),"")</f>
        <v/>
      </c>
      <c r="J602" s="65">
        <f>IF(OR($H602="",$I602="",$G602=""),"",MAX(1,(YEAR($I602)-YEAR($H602))*12+MONTH($I602)-MONTH($H602)+1))</f>
        <v/>
      </c>
      <c r="K602" s="68">
        <f>IF($J602="","",$G602/$J602)</f>
        <v/>
      </c>
      <c r="L602" s="68">
        <f>IF($J602="",0,$K602*MAX(0,MIN(YEAR($C$3)*12+MONTH($C$3),YEAR($I602)*12+MONTH($I602))-(YEAR($H602)*12+MONTH($H602))+1))</f>
        <v/>
      </c>
      <c r="M602" s="68">
        <f>IF($J602="",0,$K602*MAX(0,MIN(YEAR($C$3)*12+MONTH($C$3)-1,YEAR($I602)*12+MONTH($I602))-(YEAR($H602)*12+MONTH($H602))+1))</f>
        <v/>
      </c>
      <c r="N602" s="68">
        <f>IF(OR($J602="",$B602=""),0,IF(YEAR($B602)*12+MONTH($B602)&lt;=YEAR($C$3)*12+MONTH($C$3),$G602,0))</f>
        <v/>
      </c>
      <c r="O602" s="68">
        <f>IF(OR($J602="",$B602=""),0,IF(YEAR($B602)*12+MONTH($B602)&lt;=YEAR($C$3)*12+MONTH($C$3)-1,$G602,0))</f>
        <v/>
      </c>
      <c r="P602" s="68">
        <f>$M602-$O602</f>
        <v/>
      </c>
      <c r="Q602" s="68">
        <f>($L602-$M602)-($N602-$O602)</f>
        <v/>
      </c>
      <c r="R602" s="68">
        <f>$L602-$N602</f>
        <v/>
      </c>
      <c r="S602" s="67">
        <f>"WIP journal"</f>
        <v/>
      </c>
      <c r="T602" s="67">
        <f>IFERROR(INDEX(tbl_WIP[Revenue or Cost],$A602),"")</f>
        <v/>
      </c>
    </row>
    <row r="603">
      <c r="A603" s="65">
        <f>ROW()-407</f>
        <v/>
      </c>
      <c r="B603" s="66">
        <f>IFERROR(INDEX(tbl_WIP[Month],$A603),"")</f>
        <v/>
      </c>
      <c r="C603" s="67">
        <f>IFERROR(INDEX(tbl_WIP[Xero Invoice No],$A603),"")</f>
        <v/>
      </c>
      <c r="D603" s="67">
        <f>IFERROR(INDEX(tbl_WIP[Client],$A603),"")</f>
        <v/>
      </c>
      <c r="E603" s="67">
        <f>IFERROR(INDEX(tbl_WIP[Job Number],$A603),"")</f>
        <v/>
      </c>
      <c r="F603" s="67">
        <f>IFERROR(INDEX(tbl_WIP[Cost Centre],$A603),"")</f>
        <v/>
      </c>
      <c r="G603" s="68">
        <f>IFERROR(IF(INDEX(tbl_WIP[Defer Start],$A603)="","",IF(INDEX(tbl_WIP[Revenue or Cost],$A603)="Cost",-1,1)*INDEX(tbl_WIP[Amount],$A603)),"")</f>
        <v/>
      </c>
      <c r="H603" s="66">
        <f>IFERROR(INDEX(tbl_WIP[Defer Start],$A603),"")</f>
        <v/>
      </c>
      <c r="I603" s="66">
        <f>IFERROR(INDEX(tbl_WIP[Defer End],$A603),"")</f>
        <v/>
      </c>
      <c r="J603" s="65">
        <f>IF(OR($H603="",$I603="",$G603=""),"",MAX(1,(YEAR($I603)-YEAR($H603))*12+MONTH($I603)-MONTH($H603)+1))</f>
        <v/>
      </c>
      <c r="K603" s="68">
        <f>IF($J603="","",$G603/$J603)</f>
        <v/>
      </c>
      <c r="L603" s="68">
        <f>IF($J603="",0,$K603*MAX(0,MIN(YEAR($C$3)*12+MONTH($C$3),YEAR($I603)*12+MONTH($I603))-(YEAR($H603)*12+MONTH($H603))+1))</f>
        <v/>
      </c>
      <c r="M603" s="68">
        <f>IF($J603="",0,$K603*MAX(0,MIN(YEAR($C$3)*12+MONTH($C$3)-1,YEAR($I603)*12+MONTH($I603))-(YEAR($H603)*12+MONTH($H603))+1))</f>
        <v/>
      </c>
      <c r="N603" s="68">
        <f>IF(OR($J603="",$B603=""),0,IF(YEAR($B603)*12+MONTH($B603)&lt;=YEAR($C$3)*12+MONTH($C$3),$G603,0))</f>
        <v/>
      </c>
      <c r="O603" s="68">
        <f>IF(OR($J603="",$B603=""),0,IF(YEAR($B603)*12+MONTH($B603)&lt;=YEAR($C$3)*12+MONTH($C$3)-1,$G603,0))</f>
        <v/>
      </c>
      <c r="P603" s="68">
        <f>$M603-$O603</f>
        <v/>
      </c>
      <c r="Q603" s="68">
        <f>($L603-$M603)-($N603-$O603)</f>
        <v/>
      </c>
      <c r="R603" s="68">
        <f>$L603-$N603</f>
        <v/>
      </c>
      <c r="S603" s="67">
        <f>"WIP journal"</f>
        <v/>
      </c>
      <c r="T603" s="67">
        <f>IFERROR(INDEX(tbl_WIP[Revenue or Cost],$A603),"")</f>
        <v/>
      </c>
    </row>
    <row r="604">
      <c r="A604" s="65">
        <f>ROW()-407</f>
        <v/>
      </c>
      <c r="B604" s="66">
        <f>IFERROR(INDEX(tbl_WIP[Month],$A604),"")</f>
        <v/>
      </c>
      <c r="C604" s="67">
        <f>IFERROR(INDEX(tbl_WIP[Xero Invoice No],$A604),"")</f>
        <v/>
      </c>
      <c r="D604" s="67">
        <f>IFERROR(INDEX(tbl_WIP[Client],$A604),"")</f>
        <v/>
      </c>
      <c r="E604" s="67">
        <f>IFERROR(INDEX(tbl_WIP[Job Number],$A604),"")</f>
        <v/>
      </c>
      <c r="F604" s="67">
        <f>IFERROR(INDEX(tbl_WIP[Cost Centre],$A604),"")</f>
        <v/>
      </c>
      <c r="G604" s="68">
        <f>IFERROR(IF(INDEX(tbl_WIP[Defer Start],$A604)="","",IF(INDEX(tbl_WIP[Revenue or Cost],$A604)="Cost",-1,1)*INDEX(tbl_WIP[Amount],$A604)),"")</f>
        <v/>
      </c>
      <c r="H604" s="66">
        <f>IFERROR(INDEX(tbl_WIP[Defer Start],$A604),"")</f>
        <v/>
      </c>
      <c r="I604" s="66">
        <f>IFERROR(INDEX(tbl_WIP[Defer End],$A604),"")</f>
        <v/>
      </c>
      <c r="J604" s="65">
        <f>IF(OR($H604="",$I604="",$G604=""),"",MAX(1,(YEAR($I604)-YEAR($H604))*12+MONTH($I604)-MONTH($H604)+1))</f>
        <v/>
      </c>
      <c r="K604" s="68">
        <f>IF($J604="","",$G604/$J604)</f>
        <v/>
      </c>
      <c r="L604" s="68">
        <f>IF($J604="",0,$K604*MAX(0,MIN(YEAR($C$3)*12+MONTH($C$3),YEAR($I604)*12+MONTH($I604))-(YEAR($H604)*12+MONTH($H604))+1))</f>
        <v/>
      </c>
      <c r="M604" s="68">
        <f>IF($J604="",0,$K604*MAX(0,MIN(YEAR($C$3)*12+MONTH($C$3)-1,YEAR($I604)*12+MONTH($I604))-(YEAR($H604)*12+MONTH($H604))+1))</f>
        <v/>
      </c>
      <c r="N604" s="68">
        <f>IF(OR($J604="",$B604=""),0,IF(YEAR($B604)*12+MONTH($B604)&lt;=YEAR($C$3)*12+MONTH($C$3),$G604,0))</f>
        <v/>
      </c>
      <c r="O604" s="68">
        <f>IF(OR($J604="",$B604=""),0,IF(YEAR($B604)*12+MONTH($B604)&lt;=YEAR($C$3)*12+MONTH($C$3)-1,$G604,0))</f>
        <v/>
      </c>
      <c r="P604" s="68">
        <f>$M604-$O604</f>
        <v/>
      </c>
      <c r="Q604" s="68">
        <f>($L604-$M604)-($N604-$O604)</f>
        <v/>
      </c>
      <c r="R604" s="68">
        <f>$L604-$N604</f>
        <v/>
      </c>
      <c r="S604" s="67">
        <f>"WIP journal"</f>
        <v/>
      </c>
      <c r="T604" s="67">
        <f>IFERROR(INDEX(tbl_WIP[Revenue or Cost],$A604),"")</f>
        <v/>
      </c>
    </row>
    <row r="605">
      <c r="A605" s="65">
        <f>ROW()-407</f>
        <v/>
      </c>
      <c r="B605" s="66">
        <f>IFERROR(INDEX(tbl_WIP[Month],$A605),"")</f>
        <v/>
      </c>
      <c r="C605" s="67">
        <f>IFERROR(INDEX(tbl_WIP[Xero Invoice No],$A605),"")</f>
        <v/>
      </c>
      <c r="D605" s="67">
        <f>IFERROR(INDEX(tbl_WIP[Client],$A605),"")</f>
        <v/>
      </c>
      <c r="E605" s="67">
        <f>IFERROR(INDEX(tbl_WIP[Job Number],$A605),"")</f>
        <v/>
      </c>
      <c r="F605" s="67">
        <f>IFERROR(INDEX(tbl_WIP[Cost Centre],$A605),"")</f>
        <v/>
      </c>
      <c r="G605" s="68">
        <f>IFERROR(IF(INDEX(tbl_WIP[Defer Start],$A605)="","",IF(INDEX(tbl_WIP[Revenue or Cost],$A605)="Cost",-1,1)*INDEX(tbl_WIP[Amount],$A605)),"")</f>
        <v/>
      </c>
      <c r="H605" s="66">
        <f>IFERROR(INDEX(tbl_WIP[Defer Start],$A605),"")</f>
        <v/>
      </c>
      <c r="I605" s="66">
        <f>IFERROR(INDEX(tbl_WIP[Defer End],$A605),"")</f>
        <v/>
      </c>
      <c r="J605" s="65">
        <f>IF(OR($H605="",$I605="",$G605=""),"",MAX(1,(YEAR($I605)-YEAR($H605))*12+MONTH($I605)-MONTH($H605)+1))</f>
        <v/>
      </c>
      <c r="K605" s="68">
        <f>IF($J605="","",$G605/$J605)</f>
        <v/>
      </c>
      <c r="L605" s="68">
        <f>IF($J605="",0,$K605*MAX(0,MIN(YEAR($C$3)*12+MONTH($C$3),YEAR($I605)*12+MONTH($I605))-(YEAR($H605)*12+MONTH($H605))+1))</f>
        <v/>
      </c>
      <c r="M605" s="68">
        <f>IF($J605="",0,$K605*MAX(0,MIN(YEAR($C$3)*12+MONTH($C$3)-1,YEAR($I605)*12+MONTH($I605))-(YEAR($H605)*12+MONTH($H605))+1))</f>
        <v/>
      </c>
      <c r="N605" s="68">
        <f>IF(OR($J605="",$B605=""),0,IF(YEAR($B605)*12+MONTH($B605)&lt;=YEAR($C$3)*12+MONTH($C$3),$G605,0))</f>
        <v/>
      </c>
      <c r="O605" s="68">
        <f>IF(OR($J605="",$B605=""),0,IF(YEAR($B605)*12+MONTH($B605)&lt;=YEAR($C$3)*12+MONTH($C$3)-1,$G605,0))</f>
        <v/>
      </c>
      <c r="P605" s="68">
        <f>$M605-$O605</f>
        <v/>
      </c>
      <c r="Q605" s="68">
        <f>($L605-$M605)-($N605-$O605)</f>
        <v/>
      </c>
      <c r="R605" s="68">
        <f>$L605-$N605</f>
        <v/>
      </c>
      <c r="S605" s="67">
        <f>"WIP journal"</f>
        <v/>
      </c>
      <c r="T605" s="67">
        <f>IFERROR(INDEX(tbl_WIP[Revenue or Cost],$A605),"")</f>
        <v/>
      </c>
    </row>
    <row r="606">
      <c r="A606" s="65">
        <f>ROW()-407</f>
        <v/>
      </c>
      <c r="B606" s="66">
        <f>IFERROR(INDEX(tbl_WIP[Month],$A606),"")</f>
        <v/>
      </c>
      <c r="C606" s="67">
        <f>IFERROR(INDEX(tbl_WIP[Xero Invoice No],$A606),"")</f>
        <v/>
      </c>
      <c r="D606" s="67">
        <f>IFERROR(INDEX(tbl_WIP[Client],$A606),"")</f>
        <v/>
      </c>
      <c r="E606" s="67">
        <f>IFERROR(INDEX(tbl_WIP[Job Number],$A606),"")</f>
        <v/>
      </c>
      <c r="F606" s="67">
        <f>IFERROR(INDEX(tbl_WIP[Cost Centre],$A606),"")</f>
        <v/>
      </c>
      <c r="G606" s="68">
        <f>IFERROR(IF(INDEX(tbl_WIP[Defer Start],$A606)="","",IF(INDEX(tbl_WIP[Revenue or Cost],$A606)="Cost",-1,1)*INDEX(tbl_WIP[Amount],$A606)),"")</f>
        <v/>
      </c>
      <c r="H606" s="66">
        <f>IFERROR(INDEX(tbl_WIP[Defer Start],$A606),"")</f>
        <v/>
      </c>
      <c r="I606" s="66">
        <f>IFERROR(INDEX(tbl_WIP[Defer End],$A606),"")</f>
        <v/>
      </c>
      <c r="J606" s="65">
        <f>IF(OR($H606="",$I606="",$G606=""),"",MAX(1,(YEAR($I606)-YEAR($H606))*12+MONTH($I606)-MONTH($H606)+1))</f>
        <v/>
      </c>
      <c r="K606" s="68">
        <f>IF($J606="","",$G606/$J606)</f>
        <v/>
      </c>
      <c r="L606" s="68">
        <f>IF($J606="",0,$K606*MAX(0,MIN(YEAR($C$3)*12+MONTH($C$3),YEAR($I606)*12+MONTH($I606))-(YEAR($H606)*12+MONTH($H606))+1))</f>
        <v/>
      </c>
      <c r="M606" s="68">
        <f>IF($J606="",0,$K606*MAX(0,MIN(YEAR($C$3)*12+MONTH($C$3)-1,YEAR($I606)*12+MONTH($I606))-(YEAR($H606)*12+MONTH($H606))+1))</f>
        <v/>
      </c>
      <c r="N606" s="68">
        <f>IF(OR($J606="",$B606=""),0,IF(YEAR($B606)*12+MONTH($B606)&lt;=YEAR($C$3)*12+MONTH($C$3),$G606,0))</f>
        <v/>
      </c>
      <c r="O606" s="68">
        <f>IF(OR($J606="",$B606=""),0,IF(YEAR($B606)*12+MONTH($B606)&lt;=YEAR($C$3)*12+MONTH($C$3)-1,$G606,0))</f>
        <v/>
      </c>
      <c r="P606" s="68">
        <f>$M606-$O606</f>
        <v/>
      </c>
      <c r="Q606" s="68">
        <f>($L606-$M606)-($N606-$O606)</f>
        <v/>
      </c>
      <c r="R606" s="68">
        <f>$L606-$N606</f>
        <v/>
      </c>
      <c r="S606" s="67">
        <f>"WIP journal"</f>
        <v/>
      </c>
      <c r="T606" s="67">
        <f>IFERROR(INDEX(tbl_WIP[Revenue or Cost],$A606),"")</f>
        <v/>
      </c>
    </row>
    <row r="607">
      <c r="A607" s="65">
        <f>ROW()-407</f>
        <v/>
      </c>
      <c r="B607" s="66">
        <f>IFERROR(INDEX(tbl_WIP[Month],$A607),"")</f>
        <v/>
      </c>
      <c r="C607" s="67">
        <f>IFERROR(INDEX(tbl_WIP[Xero Invoice No],$A607),"")</f>
        <v/>
      </c>
      <c r="D607" s="67">
        <f>IFERROR(INDEX(tbl_WIP[Client],$A607),"")</f>
        <v/>
      </c>
      <c r="E607" s="67">
        <f>IFERROR(INDEX(tbl_WIP[Job Number],$A607),"")</f>
        <v/>
      </c>
      <c r="F607" s="67">
        <f>IFERROR(INDEX(tbl_WIP[Cost Centre],$A607),"")</f>
        <v/>
      </c>
      <c r="G607" s="68">
        <f>IFERROR(IF(INDEX(tbl_WIP[Defer Start],$A607)="","",IF(INDEX(tbl_WIP[Revenue or Cost],$A607)="Cost",-1,1)*INDEX(tbl_WIP[Amount],$A607)),"")</f>
        <v/>
      </c>
      <c r="H607" s="66">
        <f>IFERROR(INDEX(tbl_WIP[Defer Start],$A607),"")</f>
        <v/>
      </c>
      <c r="I607" s="66">
        <f>IFERROR(INDEX(tbl_WIP[Defer End],$A607),"")</f>
        <v/>
      </c>
      <c r="J607" s="65">
        <f>IF(OR($H607="",$I607="",$G607=""),"",MAX(1,(YEAR($I607)-YEAR($H607))*12+MONTH($I607)-MONTH($H607)+1))</f>
        <v/>
      </c>
      <c r="K607" s="68">
        <f>IF($J607="","",$G607/$J607)</f>
        <v/>
      </c>
      <c r="L607" s="68">
        <f>IF($J607="",0,$K607*MAX(0,MIN(YEAR($C$3)*12+MONTH($C$3),YEAR($I607)*12+MONTH($I607))-(YEAR($H607)*12+MONTH($H607))+1))</f>
        <v/>
      </c>
      <c r="M607" s="68">
        <f>IF($J607="",0,$K607*MAX(0,MIN(YEAR($C$3)*12+MONTH($C$3)-1,YEAR($I607)*12+MONTH($I607))-(YEAR($H607)*12+MONTH($H607))+1))</f>
        <v/>
      </c>
      <c r="N607" s="68">
        <f>IF(OR($J607="",$B607=""),0,IF(YEAR($B607)*12+MONTH($B607)&lt;=YEAR($C$3)*12+MONTH($C$3),$G607,0))</f>
        <v/>
      </c>
      <c r="O607" s="68">
        <f>IF(OR($J607="",$B607=""),0,IF(YEAR($B607)*12+MONTH($B607)&lt;=YEAR($C$3)*12+MONTH($C$3)-1,$G607,0))</f>
        <v/>
      </c>
      <c r="P607" s="68">
        <f>$M607-$O607</f>
        <v/>
      </c>
      <c r="Q607" s="68">
        <f>($L607-$M607)-($N607-$O607)</f>
        <v/>
      </c>
      <c r="R607" s="68">
        <f>$L607-$N607</f>
        <v/>
      </c>
      <c r="S607" s="67">
        <f>"WIP journal"</f>
        <v/>
      </c>
      <c r="T607" s="67">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W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14" customWidth="1" min="13" max="13"/>
    <col width="14" customWidth="1" min="14" max="14"/>
    <col width="21" customWidth="1" min="15" max="15"/>
    <col width="17" customWidth="1" min="16" max="16"/>
    <col width="16" customWidth="1" min="17" max="17"/>
    <col width="18" customWidth="1" min="18" max="18"/>
    <col width="40" customWidth="1" min="19" max="19"/>
    <col width="14" customWidth="1" min="20" max="20"/>
    <col width="13" customWidth="1" min="21" max="21"/>
    <col width="16" customWidth="1" min="22" max="22"/>
    <col width="38" customWidth="1" min="23" max="23"/>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0" t="inlineStr">
        <is>
          <t>Client</t>
        </is>
      </c>
      <c r="G4" s="20" t="inlineStr">
        <is>
          <t>Job Description</t>
        </is>
      </c>
      <c r="H4" s="20" t="inlineStr">
        <is>
          <t>Cost Centre</t>
        </is>
      </c>
      <c r="I4" s="20" t="inlineStr">
        <is>
          <t>Invoice Type</t>
        </is>
      </c>
      <c r="J4" s="20" t="inlineStr">
        <is>
          <t>Tax Code</t>
        </is>
      </c>
      <c r="K4" s="21" t="inlineStr">
        <is>
          <t>Lines on Job</t>
        </is>
      </c>
      <c r="L4" s="21" t="inlineStr">
        <is>
          <t>Revenue Ex GST</t>
        </is>
      </c>
      <c r="M4" s="21" t="inlineStr">
        <is>
          <t>Invoiced</t>
        </is>
      </c>
      <c r="N4" s="21" t="inlineStr">
        <is>
          <t>To Invoice</t>
        </is>
      </c>
      <c r="O4" s="20" t="inlineStr">
        <is>
          <t>Expected Revenue Ex GST</t>
        </is>
      </c>
      <c r="P4" s="21" t="inlineStr">
        <is>
          <t>Not Yet on Finance</t>
        </is>
      </c>
      <c r="Q4" s="21" t="inlineStr">
        <is>
          <t>Cost Centres</t>
        </is>
      </c>
      <c r="R4" s="20" t="inlineStr">
        <is>
          <t>PO / Reference</t>
        </is>
      </c>
      <c r="S4" s="20" t="inlineStr">
        <is>
          <t>Qwilr Quote</t>
        </is>
      </c>
      <c r="T4" s="21" t="inlineStr">
        <is>
          <t>Open Qwilr</t>
        </is>
      </c>
      <c r="U4" s="20" t="inlineStr">
        <is>
          <t>Billable Hours</t>
        </is>
      </c>
      <c r="V4" s="20" t="inlineStr">
        <is>
          <t>Approved By</t>
        </is>
      </c>
      <c r="W4" s="20" t="inlineStr">
        <is>
          <t>Notes</t>
        </is>
      </c>
    </row>
    <row r="5" ht="15" customHeight="1">
      <c r="A5" s="70">
        <f>IF(C5="","",IFERROR(IF(SUMPRODUCT(MAX((tbl_Finance[Job Number]&amp;""=C5&amp;"")*(tbl_Finance[Xero Invoice No]&lt;&gt;"")*tbl_Finance[Date]))=0,"",SUMPRODUCT(MAX((tbl_Finance[Job Number]&amp;""=C5&amp;"")*(tbl_Finance[Xero Invoice No]&lt;&gt;"")*tbl_Finance[Date]))),""))</f>
        <v/>
      </c>
      <c r="B5" s="26">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2" t="n"/>
      <c r="D5" s="26">
        <f>IF(C5="","",IF(COUNTIF(lst_Jobs,C5&amp;"")&gt;0,"OK","CHECK"))</f>
        <v/>
      </c>
      <c r="E5" s="26">
        <f>IF(C5="","",IFERROR(INDEX(lst_JobName,MATCH(C5&amp;"",lst_Jobs,0)),""))</f>
        <v/>
      </c>
      <c r="F5" s="22" t="n"/>
      <c r="G5" s="22" t="n"/>
      <c r="H5" s="22" t="n"/>
      <c r="I5" s="22" t="n"/>
      <c r="J5" s="22" t="n"/>
      <c r="K5" s="28">
        <f>IF(C5="","",COUNTIFS(tbl_Finance[Job Number],C5&amp;"",tbl_Finance[Ex GST],"&lt;&gt;"))</f>
        <v/>
      </c>
      <c r="L5" s="27">
        <f>IF(C5="","",SUMIFS(tbl_Finance[Ex GST],tbl_Finance[Job Number],C5&amp;""))</f>
        <v/>
      </c>
      <c r="M5" s="27">
        <f>IF(C5="","",SUMIFS(tbl_Finance[Ex GST],tbl_Finance[Job Number],C5&amp;"",tbl_Finance[Xero Invoice No],"&lt;&gt;"))</f>
        <v/>
      </c>
      <c r="N5" s="27">
        <f>IF(C5="","",L5-M5)</f>
        <v/>
      </c>
      <c r="O5" s="24" t="n"/>
      <c r="P5" s="27">
        <f>IF(C5="","",IF(O5="",0,MAX(0,O5-L5)))</f>
        <v/>
      </c>
      <c r="Q5" s="26">
        <f>IF(C5="","",IF(K5=0,"not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R5" s="22" t="n"/>
      <c r="S5" s="22" t="n"/>
      <c r="T5" s="26">
        <f>IF(S5="","",HYPERLINK(IF(LEFT(S5,4)="http",S5,set_QwilrBase&amp;S5),"Open quote"))</f>
        <v/>
      </c>
      <c r="U5" s="71" t="n"/>
      <c r="V5" s="22" t="n"/>
      <c r="W5" s="22" t="n"/>
    </row>
    <row r="6" ht="15" customHeight="1">
      <c r="A6" s="70">
        <f>IF(C6="","",IFERROR(IF(SUMPRODUCT(MAX((tbl_Finance[Job Number]&amp;""=C6&amp;"")*(tbl_Finance[Xero Invoice No]&lt;&gt;"")*tbl_Finance[Date]))=0,"",SUMPRODUCT(MAX((tbl_Finance[Job Number]&amp;""=C6&amp;"")*(tbl_Finance[Xero Invoice No]&lt;&gt;"")*tbl_Finance[Date]))),""))</f>
        <v/>
      </c>
      <c r="B6" s="26">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2" t="n"/>
      <c r="D6" s="26">
        <f>IF(C6="","",IF(COUNTIF(lst_Jobs,C6&amp;"")&gt;0,"OK","CHECK"))</f>
        <v/>
      </c>
      <c r="E6" s="26">
        <f>IF(C6="","",IFERROR(INDEX(lst_JobName,MATCH(C6&amp;"",lst_Jobs,0)),""))</f>
        <v/>
      </c>
      <c r="F6" s="22" t="n"/>
      <c r="G6" s="22" t="n"/>
      <c r="H6" s="22" t="n"/>
      <c r="I6" s="22" t="n"/>
      <c r="J6" s="22" t="n"/>
      <c r="K6" s="28">
        <f>IF(C6="","",COUNTIFS(tbl_Finance[Job Number],C6&amp;"",tbl_Finance[Ex GST],"&lt;&gt;"))</f>
        <v/>
      </c>
      <c r="L6" s="27">
        <f>IF(C6="","",SUMIFS(tbl_Finance[Ex GST],tbl_Finance[Job Number],C6&amp;""))</f>
        <v/>
      </c>
      <c r="M6" s="27">
        <f>IF(C6="","",SUMIFS(tbl_Finance[Ex GST],tbl_Finance[Job Number],C6&amp;"",tbl_Finance[Xero Invoice No],"&lt;&gt;"))</f>
        <v/>
      </c>
      <c r="N6" s="27">
        <f>IF(C6="","",L6-M6)</f>
        <v/>
      </c>
      <c r="O6" s="24" t="n"/>
      <c r="P6" s="27">
        <f>IF(C6="","",IF(O6="",0,MAX(0,O6-L6)))</f>
        <v/>
      </c>
      <c r="Q6" s="26">
        <f>IF(C6="","",IF(K6=0,"not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R6" s="22" t="n"/>
      <c r="S6" s="22" t="n"/>
      <c r="T6" s="26">
        <f>IF(S6="","",HYPERLINK(IF(LEFT(S6,4)="http",S6,set_QwilrBase&amp;S6),"Open quote"))</f>
        <v/>
      </c>
      <c r="U6" s="71" t="n"/>
      <c r="V6" s="22" t="n"/>
      <c r="W6" s="22" t="n"/>
    </row>
    <row r="7" ht="15" customHeight="1">
      <c r="A7" s="70">
        <f>IF(C7="","",IFERROR(IF(SUMPRODUCT(MAX((tbl_Finance[Job Number]&amp;""=C7&amp;"")*(tbl_Finance[Xero Invoice No]&lt;&gt;"")*tbl_Finance[Date]))=0,"",SUMPRODUCT(MAX((tbl_Finance[Job Number]&amp;""=C7&amp;"")*(tbl_Finance[Xero Invoice No]&lt;&gt;"")*tbl_Finance[Date]))),""))</f>
        <v/>
      </c>
      <c r="B7" s="26">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2" t="n"/>
      <c r="D7" s="26">
        <f>IF(C7="","",IF(COUNTIF(lst_Jobs,C7&amp;"")&gt;0,"OK","CHECK"))</f>
        <v/>
      </c>
      <c r="E7" s="26">
        <f>IF(C7="","",IFERROR(INDEX(lst_JobName,MATCH(C7&amp;"",lst_Jobs,0)),""))</f>
        <v/>
      </c>
      <c r="F7" s="22" t="n"/>
      <c r="G7" s="22" t="n"/>
      <c r="H7" s="22" t="n"/>
      <c r="I7" s="22" t="n"/>
      <c r="J7" s="22" t="n"/>
      <c r="K7" s="28">
        <f>IF(C7="","",COUNTIFS(tbl_Finance[Job Number],C7&amp;"",tbl_Finance[Ex GST],"&lt;&gt;"))</f>
        <v/>
      </c>
      <c r="L7" s="27">
        <f>IF(C7="","",SUMIFS(tbl_Finance[Ex GST],tbl_Finance[Job Number],C7&amp;""))</f>
        <v/>
      </c>
      <c r="M7" s="27">
        <f>IF(C7="","",SUMIFS(tbl_Finance[Ex GST],tbl_Finance[Job Number],C7&amp;"",tbl_Finance[Xero Invoice No],"&lt;&gt;"))</f>
        <v/>
      </c>
      <c r="N7" s="27">
        <f>IF(C7="","",L7-M7)</f>
        <v/>
      </c>
      <c r="O7" s="24" t="n"/>
      <c r="P7" s="27">
        <f>IF(C7="","",IF(O7="",0,MAX(0,O7-L7)))</f>
        <v/>
      </c>
      <c r="Q7" s="26">
        <f>IF(C7="","",IF(K7=0,"not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R7" s="22" t="n"/>
      <c r="S7" s="22" t="n"/>
      <c r="T7" s="26">
        <f>IF(S7="","",HYPERLINK(IF(LEFT(S7,4)="http",S7,set_QwilrBase&amp;S7),"Open quote"))</f>
        <v/>
      </c>
      <c r="U7" s="71" t="n"/>
      <c r="V7" s="22" t="n"/>
      <c r="W7" s="22" t="n"/>
    </row>
    <row r="8" ht="15" customHeight="1">
      <c r="A8" s="70">
        <f>IF(C8="","",IFERROR(IF(SUMPRODUCT(MAX((tbl_Finance[Job Number]&amp;""=C8&amp;"")*(tbl_Finance[Xero Invoice No]&lt;&gt;"")*tbl_Finance[Date]))=0,"",SUMPRODUCT(MAX((tbl_Finance[Job Number]&amp;""=C8&amp;"")*(tbl_Finance[Xero Invoice No]&lt;&gt;"")*tbl_Finance[Date]))),""))</f>
        <v/>
      </c>
      <c r="B8" s="26">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2" t="n"/>
      <c r="D8" s="26">
        <f>IF(C8="","",IF(COUNTIF(lst_Jobs,C8&amp;"")&gt;0,"OK","CHECK"))</f>
        <v/>
      </c>
      <c r="E8" s="26">
        <f>IF(C8="","",IFERROR(INDEX(lst_JobName,MATCH(C8&amp;"",lst_Jobs,0)),""))</f>
        <v/>
      </c>
      <c r="F8" s="22" t="n"/>
      <c r="G8" s="22" t="n"/>
      <c r="H8" s="22" t="n"/>
      <c r="I8" s="22" t="n"/>
      <c r="J8" s="22" t="n"/>
      <c r="K8" s="28">
        <f>IF(C8="","",COUNTIFS(tbl_Finance[Job Number],C8&amp;"",tbl_Finance[Ex GST],"&lt;&gt;"))</f>
        <v/>
      </c>
      <c r="L8" s="27">
        <f>IF(C8="","",SUMIFS(tbl_Finance[Ex GST],tbl_Finance[Job Number],C8&amp;""))</f>
        <v/>
      </c>
      <c r="M8" s="27">
        <f>IF(C8="","",SUMIFS(tbl_Finance[Ex GST],tbl_Finance[Job Number],C8&amp;"",tbl_Finance[Xero Invoice No],"&lt;&gt;"))</f>
        <v/>
      </c>
      <c r="N8" s="27">
        <f>IF(C8="","",L8-M8)</f>
        <v/>
      </c>
      <c r="O8" s="24" t="n"/>
      <c r="P8" s="27">
        <f>IF(C8="","",IF(O8="",0,MAX(0,O8-L8)))</f>
        <v/>
      </c>
      <c r="Q8" s="26">
        <f>IF(C8="","",IF(K8=0,"not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R8" s="22" t="n"/>
      <c r="S8" s="22" t="n"/>
      <c r="T8" s="26">
        <f>IF(S8="","",HYPERLINK(IF(LEFT(S8,4)="http",S8,set_QwilrBase&amp;S8),"Open quote"))</f>
        <v/>
      </c>
      <c r="U8" s="71" t="n"/>
      <c r="V8" s="22" t="n"/>
      <c r="W8" s="22" t="n"/>
    </row>
    <row r="9" ht="15" customHeight="1">
      <c r="A9" s="70">
        <f>IF(C9="","",IFERROR(IF(SUMPRODUCT(MAX((tbl_Finance[Job Number]&amp;""=C9&amp;"")*(tbl_Finance[Xero Invoice No]&lt;&gt;"")*tbl_Finance[Date]))=0,"",SUMPRODUCT(MAX((tbl_Finance[Job Number]&amp;""=C9&amp;"")*(tbl_Finance[Xero Invoice No]&lt;&gt;"")*tbl_Finance[Date]))),""))</f>
        <v/>
      </c>
      <c r="B9" s="26">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2" t="n"/>
      <c r="D9" s="26">
        <f>IF(C9="","",IF(COUNTIF(lst_Jobs,C9&amp;"")&gt;0,"OK","CHECK"))</f>
        <v/>
      </c>
      <c r="E9" s="26">
        <f>IF(C9="","",IFERROR(INDEX(lst_JobName,MATCH(C9&amp;"",lst_Jobs,0)),""))</f>
        <v/>
      </c>
      <c r="F9" s="22" t="n"/>
      <c r="G9" s="22" t="n"/>
      <c r="H9" s="22" t="n"/>
      <c r="I9" s="22" t="n"/>
      <c r="J9" s="22" t="n"/>
      <c r="K9" s="28">
        <f>IF(C9="","",COUNTIFS(tbl_Finance[Job Number],C9&amp;"",tbl_Finance[Ex GST],"&lt;&gt;"))</f>
        <v/>
      </c>
      <c r="L9" s="27">
        <f>IF(C9="","",SUMIFS(tbl_Finance[Ex GST],tbl_Finance[Job Number],C9&amp;""))</f>
        <v/>
      </c>
      <c r="M9" s="27">
        <f>IF(C9="","",SUMIFS(tbl_Finance[Ex GST],tbl_Finance[Job Number],C9&amp;"",tbl_Finance[Xero Invoice No],"&lt;&gt;"))</f>
        <v/>
      </c>
      <c r="N9" s="27">
        <f>IF(C9="","",L9-M9)</f>
        <v/>
      </c>
      <c r="O9" s="24" t="n"/>
      <c r="P9" s="27">
        <f>IF(C9="","",IF(O9="",0,MAX(0,O9-L9)))</f>
        <v/>
      </c>
      <c r="Q9" s="26">
        <f>IF(C9="","",IF(K9=0,"not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R9" s="22" t="n"/>
      <c r="S9" s="22" t="n"/>
      <c r="T9" s="26">
        <f>IF(S9="","",HYPERLINK(IF(LEFT(S9,4)="http",S9,set_QwilrBase&amp;S9),"Open quote"))</f>
        <v/>
      </c>
      <c r="U9" s="71" t="n"/>
      <c r="V9" s="22" t="n"/>
      <c r="W9" s="22" t="n"/>
    </row>
    <row r="10" ht="15" customHeight="1">
      <c r="A10" s="70">
        <f>IF(C10="","",IFERROR(IF(SUMPRODUCT(MAX((tbl_Finance[Job Number]&amp;""=C10&amp;"")*(tbl_Finance[Xero Invoice No]&lt;&gt;"")*tbl_Finance[Date]))=0,"",SUMPRODUCT(MAX((tbl_Finance[Job Number]&amp;""=C10&amp;"")*(tbl_Finance[Xero Invoice No]&lt;&gt;"")*tbl_Finance[Date]))),""))</f>
        <v/>
      </c>
      <c r="B10" s="26">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2" t="n"/>
      <c r="D10" s="26">
        <f>IF(C10="","",IF(COUNTIF(lst_Jobs,C10&amp;"")&gt;0,"OK","CHECK"))</f>
        <v/>
      </c>
      <c r="E10" s="26">
        <f>IF(C10="","",IFERROR(INDEX(lst_JobName,MATCH(C10&amp;"",lst_Jobs,0)),""))</f>
        <v/>
      </c>
      <c r="F10" s="22" t="n"/>
      <c r="G10" s="22" t="n"/>
      <c r="H10" s="22" t="n"/>
      <c r="I10" s="22" t="n"/>
      <c r="J10" s="22" t="n"/>
      <c r="K10" s="28">
        <f>IF(C10="","",COUNTIFS(tbl_Finance[Job Number],C10&amp;"",tbl_Finance[Ex GST],"&lt;&gt;"))</f>
        <v/>
      </c>
      <c r="L10" s="27">
        <f>IF(C10="","",SUMIFS(tbl_Finance[Ex GST],tbl_Finance[Job Number],C10&amp;""))</f>
        <v/>
      </c>
      <c r="M10" s="27">
        <f>IF(C10="","",SUMIFS(tbl_Finance[Ex GST],tbl_Finance[Job Number],C10&amp;"",tbl_Finance[Xero Invoice No],"&lt;&gt;"))</f>
        <v/>
      </c>
      <c r="N10" s="27">
        <f>IF(C10="","",L10-M10)</f>
        <v/>
      </c>
      <c r="O10" s="24" t="n"/>
      <c r="P10" s="27">
        <f>IF(C10="","",IF(O10="",0,MAX(0,O10-L10)))</f>
        <v/>
      </c>
      <c r="Q10" s="26">
        <f>IF(C10="","",IF(K10=0,"not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R10" s="22" t="n"/>
      <c r="S10" s="22" t="n"/>
      <c r="T10" s="26">
        <f>IF(S10="","",HYPERLINK(IF(LEFT(S10,4)="http",S10,set_QwilrBase&amp;S10),"Open quote"))</f>
        <v/>
      </c>
      <c r="U10" s="71" t="n"/>
      <c r="V10" s="22" t="n"/>
      <c r="W10" s="22" t="n"/>
    </row>
    <row r="11" ht="15" customHeight="1">
      <c r="A11" s="70">
        <f>IF(C11="","",IFERROR(IF(SUMPRODUCT(MAX((tbl_Finance[Job Number]&amp;""=C11&amp;"")*(tbl_Finance[Xero Invoice No]&lt;&gt;"")*tbl_Finance[Date]))=0,"",SUMPRODUCT(MAX((tbl_Finance[Job Number]&amp;""=C11&amp;"")*(tbl_Finance[Xero Invoice No]&lt;&gt;"")*tbl_Finance[Date]))),""))</f>
        <v/>
      </c>
      <c r="B11" s="26">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2" t="n"/>
      <c r="D11" s="26">
        <f>IF(C11="","",IF(COUNTIF(lst_Jobs,C11&amp;"")&gt;0,"OK","CHECK"))</f>
        <v/>
      </c>
      <c r="E11" s="26">
        <f>IF(C11="","",IFERROR(INDEX(lst_JobName,MATCH(C11&amp;"",lst_Jobs,0)),""))</f>
        <v/>
      </c>
      <c r="F11" s="22" t="n"/>
      <c r="G11" s="22" t="n"/>
      <c r="H11" s="22" t="n"/>
      <c r="I11" s="22" t="n"/>
      <c r="J11" s="22" t="n"/>
      <c r="K11" s="28">
        <f>IF(C11="","",COUNTIFS(tbl_Finance[Job Number],C11&amp;"",tbl_Finance[Ex GST],"&lt;&gt;"))</f>
        <v/>
      </c>
      <c r="L11" s="27">
        <f>IF(C11="","",SUMIFS(tbl_Finance[Ex GST],tbl_Finance[Job Number],C11&amp;""))</f>
        <v/>
      </c>
      <c r="M11" s="27">
        <f>IF(C11="","",SUMIFS(tbl_Finance[Ex GST],tbl_Finance[Job Number],C11&amp;"",tbl_Finance[Xero Invoice No],"&lt;&gt;"))</f>
        <v/>
      </c>
      <c r="N11" s="27">
        <f>IF(C11="","",L11-M11)</f>
        <v/>
      </c>
      <c r="O11" s="24" t="n"/>
      <c r="P11" s="27">
        <f>IF(C11="","",IF(O11="",0,MAX(0,O11-L11)))</f>
        <v/>
      </c>
      <c r="Q11" s="26">
        <f>IF(C11="","",IF(K11=0,"not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R11" s="22" t="n"/>
      <c r="S11" s="22" t="n"/>
      <c r="T11" s="26">
        <f>IF(S11="","",HYPERLINK(IF(LEFT(S11,4)="http",S11,set_QwilrBase&amp;S11),"Open quote"))</f>
        <v/>
      </c>
      <c r="U11" s="71" t="n"/>
      <c r="V11" s="22" t="n"/>
      <c r="W11" s="22" t="n"/>
    </row>
    <row r="12" ht="15" customHeight="1">
      <c r="A12" s="70">
        <f>IF(C12="","",IFERROR(IF(SUMPRODUCT(MAX((tbl_Finance[Job Number]&amp;""=C12&amp;"")*(tbl_Finance[Xero Invoice No]&lt;&gt;"")*tbl_Finance[Date]))=0,"",SUMPRODUCT(MAX((tbl_Finance[Job Number]&amp;""=C12&amp;"")*(tbl_Finance[Xero Invoice No]&lt;&gt;"")*tbl_Finance[Date]))),""))</f>
        <v/>
      </c>
      <c r="B12" s="26">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2" t="n"/>
      <c r="D12" s="26">
        <f>IF(C12="","",IF(COUNTIF(lst_Jobs,C12&amp;"")&gt;0,"OK","CHECK"))</f>
        <v/>
      </c>
      <c r="E12" s="26">
        <f>IF(C12="","",IFERROR(INDEX(lst_JobName,MATCH(C12&amp;"",lst_Jobs,0)),""))</f>
        <v/>
      </c>
      <c r="F12" s="22" t="n"/>
      <c r="G12" s="22" t="n"/>
      <c r="H12" s="22" t="n"/>
      <c r="I12" s="22" t="n"/>
      <c r="J12" s="22" t="n"/>
      <c r="K12" s="28">
        <f>IF(C12="","",COUNTIFS(tbl_Finance[Job Number],C12&amp;"",tbl_Finance[Ex GST],"&lt;&gt;"))</f>
        <v/>
      </c>
      <c r="L12" s="27">
        <f>IF(C12="","",SUMIFS(tbl_Finance[Ex GST],tbl_Finance[Job Number],C12&amp;""))</f>
        <v/>
      </c>
      <c r="M12" s="27">
        <f>IF(C12="","",SUMIFS(tbl_Finance[Ex GST],tbl_Finance[Job Number],C12&amp;"",tbl_Finance[Xero Invoice No],"&lt;&gt;"))</f>
        <v/>
      </c>
      <c r="N12" s="27">
        <f>IF(C12="","",L12-M12)</f>
        <v/>
      </c>
      <c r="O12" s="24" t="n"/>
      <c r="P12" s="27">
        <f>IF(C12="","",IF(O12="",0,MAX(0,O12-L12)))</f>
        <v/>
      </c>
      <c r="Q12" s="26">
        <f>IF(C12="","",IF(K12=0,"not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R12" s="22" t="n"/>
      <c r="S12" s="22" t="n"/>
      <c r="T12" s="26">
        <f>IF(S12="","",HYPERLINK(IF(LEFT(S12,4)="http",S12,set_QwilrBase&amp;S12),"Open quote"))</f>
        <v/>
      </c>
      <c r="U12" s="71" t="n"/>
      <c r="V12" s="22" t="n"/>
      <c r="W12" s="22" t="n"/>
    </row>
    <row r="13" ht="15" customHeight="1">
      <c r="A13" s="70">
        <f>IF(C13="","",IFERROR(IF(SUMPRODUCT(MAX((tbl_Finance[Job Number]&amp;""=C13&amp;"")*(tbl_Finance[Xero Invoice No]&lt;&gt;"")*tbl_Finance[Date]))=0,"",SUMPRODUCT(MAX((tbl_Finance[Job Number]&amp;""=C13&amp;"")*(tbl_Finance[Xero Invoice No]&lt;&gt;"")*tbl_Finance[Date]))),""))</f>
        <v/>
      </c>
      <c r="B13" s="26">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2" t="n"/>
      <c r="D13" s="26">
        <f>IF(C13="","",IF(COUNTIF(lst_Jobs,C13&amp;"")&gt;0,"OK","CHECK"))</f>
        <v/>
      </c>
      <c r="E13" s="26">
        <f>IF(C13="","",IFERROR(INDEX(lst_JobName,MATCH(C13&amp;"",lst_Jobs,0)),""))</f>
        <v/>
      </c>
      <c r="F13" s="22" t="n"/>
      <c r="G13" s="22" t="n"/>
      <c r="H13" s="22" t="n"/>
      <c r="I13" s="22" t="n"/>
      <c r="J13" s="22" t="n"/>
      <c r="K13" s="28">
        <f>IF(C13="","",COUNTIFS(tbl_Finance[Job Number],C13&amp;"",tbl_Finance[Ex GST],"&lt;&gt;"))</f>
        <v/>
      </c>
      <c r="L13" s="27">
        <f>IF(C13="","",SUMIFS(tbl_Finance[Ex GST],tbl_Finance[Job Number],C13&amp;""))</f>
        <v/>
      </c>
      <c r="M13" s="27">
        <f>IF(C13="","",SUMIFS(tbl_Finance[Ex GST],tbl_Finance[Job Number],C13&amp;"",tbl_Finance[Xero Invoice No],"&lt;&gt;"))</f>
        <v/>
      </c>
      <c r="N13" s="27">
        <f>IF(C13="","",L13-M13)</f>
        <v/>
      </c>
      <c r="O13" s="24" t="n"/>
      <c r="P13" s="27">
        <f>IF(C13="","",IF(O13="",0,MAX(0,O13-L13)))</f>
        <v/>
      </c>
      <c r="Q13" s="26">
        <f>IF(C13="","",IF(K13=0,"not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R13" s="22" t="n"/>
      <c r="S13" s="22" t="n"/>
      <c r="T13" s="26">
        <f>IF(S13="","",HYPERLINK(IF(LEFT(S13,4)="http",S13,set_QwilrBase&amp;S13),"Open quote"))</f>
        <v/>
      </c>
      <c r="U13" s="71" t="n"/>
      <c r="V13" s="22" t="n"/>
      <c r="W13" s="22" t="n"/>
    </row>
    <row r="14" ht="15" customHeight="1">
      <c r="A14" s="70">
        <f>IF(C14="","",IFERROR(IF(SUMPRODUCT(MAX((tbl_Finance[Job Number]&amp;""=C14&amp;"")*(tbl_Finance[Xero Invoice No]&lt;&gt;"")*tbl_Finance[Date]))=0,"",SUMPRODUCT(MAX((tbl_Finance[Job Number]&amp;""=C14&amp;"")*(tbl_Finance[Xero Invoice No]&lt;&gt;"")*tbl_Finance[Date]))),""))</f>
        <v/>
      </c>
      <c r="B14" s="26">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2" t="n"/>
      <c r="D14" s="26">
        <f>IF(C14="","",IF(COUNTIF(lst_Jobs,C14&amp;"")&gt;0,"OK","CHECK"))</f>
        <v/>
      </c>
      <c r="E14" s="26">
        <f>IF(C14="","",IFERROR(INDEX(lst_JobName,MATCH(C14&amp;"",lst_Jobs,0)),""))</f>
        <v/>
      </c>
      <c r="F14" s="22" t="n"/>
      <c r="G14" s="22" t="n"/>
      <c r="H14" s="22" t="n"/>
      <c r="I14" s="22" t="n"/>
      <c r="J14" s="22" t="n"/>
      <c r="K14" s="28">
        <f>IF(C14="","",COUNTIFS(tbl_Finance[Job Number],C14&amp;"",tbl_Finance[Ex GST],"&lt;&gt;"))</f>
        <v/>
      </c>
      <c r="L14" s="27">
        <f>IF(C14="","",SUMIFS(tbl_Finance[Ex GST],tbl_Finance[Job Number],C14&amp;""))</f>
        <v/>
      </c>
      <c r="M14" s="27">
        <f>IF(C14="","",SUMIFS(tbl_Finance[Ex GST],tbl_Finance[Job Number],C14&amp;"",tbl_Finance[Xero Invoice No],"&lt;&gt;"))</f>
        <v/>
      </c>
      <c r="N14" s="27">
        <f>IF(C14="","",L14-M14)</f>
        <v/>
      </c>
      <c r="O14" s="24" t="n"/>
      <c r="P14" s="27">
        <f>IF(C14="","",IF(O14="",0,MAX(0,O14-L14)))</f>
        <v/>
      </c>
      <c r="Q14" s="26">
        <f>IF(C14="","",IF(K14=0,"not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R14" s="22" t="n"/>
      <c r="S14" s="22" t="n"/>
      <c r="T14" s="26">
        <f>IF(S14="","",HYPERLINK(IF(LEFT(S14,4)="http",S14,set_QwilrBase&amp;S14),"Open quote"))</f>
        <v/>
      </c>
      <c r="U14" s="71" t="n"/>
      <c r="V14" s="22" t="n"/>
      <c r="W14" s="22" t="n"/>
    </row>
    <row r="15" ht="15" customHeight="1">
      <c r="A15" s="70">
        <f>IF(C15="","",IFERROR(IF(SUMPRODUCT(MAX((tbl_Finance[Job Number]&amp;""=C15&amp;"")*(tbl_Finance[Xero Invoice No]&lt;&gt;"")*tbl_Finance[Date]))=0,"",SUMPRODUCT(MAX((tbl_Finance[Job Number]&amp;""=C15&amp;"")*(tbl_Finance[Xero Invoice No]&lt;&gt;"")*tbl_Finance[Date]))),""))</f>
        <v/>
      </c>
      <c r="B15" s="26">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2" t="n"/>
      <c r="D15" s="26">
        <f>IF(C15="","",IF(COUNTIF(lst_Jobs,C15&amp;"")&gt;0,"OK","CHECK"))</f>
        <v/>
      </c>
      <c r="E15" s="26">
        <f>IF(C15="","",IFERROR(INDEX(lst_JobName,MATCH(C15&amp;"",lst_Jobs,0)),""))</f>
        <v/>
      </c>
      <c r="F15" s="22" t="n"/>
      <c r="G15" s="22" t="n"/>
      <c r="H15" s="22" t="n"/>
      <c r="I15" s="22" t="n"/>
      <c r="J15" s="22" t="n"/>
      <c r="K15" s="28">
        <f>IF(C15="","",COUNTIFS(tbl_Finance[Job Number],C15&amp;"",tbl_Finance[Ex GST],"&lt;&gt;"))</f>
        <v/>
      </c>
      <c r="L15" s="27">
        <f>IF(C15="","",SUMIFS(tbl_Finance[Ex GST],tbl_Finance[Job Number],C15&amp;""))</f>
        <v/>
      </c>
      <c r="M15" s="27">
        <f>IF(C15="","",SUMIFS(tbl_Finance[Ex GST],tbl_Finance[Job Number],C15&amp;"",tbl_Finance[Xero Invoice No],"&lt;&gt;"))</f>
        <v/>
      </c>
      <c r="N15" s="27">
        <f>IF(C15="","",L15-M15)</f>
        <v/>
      </c>
      <c r="O15" s="24" t="n"/>
      <c r="P15" s="27">
        <f>IF(C15="","",IF(O15="",0,MAX(0,O15-L15)))</f>
        <v/>
      </c>
      <c r="Q15" s="26">
        <f>IF(C15="","",IF(K15=0,"not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R15" s="22" t="n"/>
      <c r="S15" s="22" t="n"/>
      <c r="T15" s="26">
        <f>IF(S15="","",HYPERLINK(IF(LEFT(S15,4)="http",S15,set_QwilrBase&amp;S15),"Open quote"))</f>
        <v/>
      </c>
      <c r="U15" s="71" t="n"/>
      <c r="V15" s="22" t="n"/>
      <c r="W15" s="22" t="n"/>
    </row>
    <row r="16" ht="15" customHeight="1">
      <c r="A16" s="70">
        <f>IF(C16="","",IFERROR(IF(SUMPRODUCT(MAX((tbl_Finance[Job Number]&amp;""=C16&amp;"")*(tbl_Finance[Xero Invoice No]&lt;&gt;"")*tbl_Finance[Date]))=0,"",SUMPRODUCT(MAX((tbl_Finance[Job Number]&amp;""=C16&amp;"")*(tbl_Finance[Xero Invoice No]&lt;&gt;"")*tbl_Finance[Date]))),""))</f>
        <v/>
      </c>
      <c r="B16" s="26">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2" t="n"/>
      <c r="D16" s="26">
        <f>IF(C16="","",IF(COUNTIF(lst_Jobs,C16&amp;"")&gt;0,"OK","CHECK"))</f>
        <v/>
      </c>
      <c r="E16" s="26">
        <f>IF(C16="","",IFERROR(INDEX(lst_JobName,MATCH(C16&amp;"",lst_Jobs,0)),""))</f>
        <v/>
      </c>
      <c r="F16" s="22" t="n"/>
      <c r="G16" s="22" t="n"/>
      <c r="H16" s="22" t="n"/>
      <c r="I16" s="22" t="n"/>
      <c r="J16" s="22" t="n"/>
      <c r="K16" s="28">
        <f>IF(C16="","",COUNTIFS(tbl_Finance[Job Number],C16&amp;"",tbl_Finance[Ex GST],"&lt;&gt;"))</f>
        <v/>
      </c>
      <c r="L16" s="27">
        <f>IF(C16="","",SUMIFS(tbl_Finance[Ex GST],tbl_Finance[Job Number],C16&amp;""))</f>
        <v/>
      </c>
      <c r="M16" s="27">
        <f>IF(C16="","",SUMIFS(tbl_Finance[Ex GST],tbl_Finance[Job Number],C16&amp;"",tbl_Finance[Xero Invoice No],"&lt;&gt;"))</f>
        <v/>
      </c>
      <c r="N16" s="27">
        <f>IF(C16="","",L16-M16)</f>
        <v/>
      </c>
      <c r="O16" s="24" t="n"/>
      <c r="P16" s="27">
        <f>IF(C16="","",IF(O16="",0,MAX(0,O16-L16)))</f>
        <v/>
      </c>
      <c r="Q16" s="26">
        <f>IF(C16="","",IF(K16=0,"not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R16" s="22" t="n"/>
      <c r="S16" s="22" t="n"/>
      <c r="T16" s="26">
        <f>IF(S16="","",HYPERLINK(IF(LEFT(S16,4)="http",S16,set_QwilrBase&amp;S16),"Open quote"))</f>
        <v/>
      </c>
      <c r="U16" s="71" t="n"/>
      <c r="V16" s="22" t="n"/>
      <c r="W16" s="22" t="n"/>
    </row>
    <row r="17" ht="15" customHeight="1">
      <c r="A17" s="70">
        <f>IF(C17="","",IFERROR(IF(SUMPRODUCT(MAX((tbl_Finance[Job Number]&amp;""=C17&amp;"")*(tbl_Finance[Xero Invoice No]&lt;&gt;"")*tbl_Finance[Date]))=0,"",SUMPRODUCT(MAX((tbl_Finance[Job Number]&amp;""=C17&amp;"")*(tbl_Finance[Xero Invoice No]&lt;&gt;"")*tbl_Finance[Date]))),""))</f>
        <v/>
      </c>
      <c r="B17" s="26">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2" t="n"/>
      <c r="D17" s="26">
        <f>IF(C17="","",IF(COUNTIF(lst_Jobs,C17&amp;"")&gt;0,"OK","CHECK"))</f>
        <v/>
      </c>
      <c r="E17" s="26">
        <f>IF(C17="","",IFERROR(INDEX(lst_JobName,MATCH(C17&amp;"",lst_Jobs,0)),""))</f>
        <v/>
      </c>
      <c r="F17" s="22" t="n"/>
      <c r="G17" s="22" t="n"/>
      <c r="H17" s="22" t="n"/>
      <c r="I17" s="22" t="n"/>
      <c r="J17" s="22" t="n"/>
      <c r="K17" s="28">
        <f>IF(C17="","",COUNTIFS(tbl_Finance[Job Number],C17&amp;"",tbl_Finance[Ex GST],"&lt;&gt;"))</f>
        <v/>
      </c>
      <c r="L17" s="27">
        <f>IF(C17="","",SUMIFS(tbl_Finance[Ex GST],tbl_Finance[Job Number],C17&amp;""))</f>
        <v/>
      </c>
      <c r="M17" s="27">
        <f>IF(C17="","",SUMIFS(tbl_Finance[Ex GST],tbl_Finance[Job Number],C17&amp;"",tbl_Finance[Xero Invoice No],"&lt;&gt;"))</f>
        <v/>
      </c>
      <c r="N17" s="27">
        <f>IF(C17="","",L17-M17)</f>
        <v/>
      </c>
      <c r="O17" s="24" t="n"/>
      <c r="P17" s="27">
        <f>IF(C17="","",IF(O17="",0,MAX(0,O17-L17)))</f>
        <v/>
      </c>
      <c r="Q17" s="26">
        <f>IF(C17="","",IF(K17=0,"not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R17" s="22" t="n"/>
      <c r="S17" s="22" t="n"/>
      <c r="T17" s="26">
        <f>IF(S17="","",HYPERLINK(IF(LEFT(S17,4)="http",S17,set_QwilrBase&amp;S17),"Open quote"))</f>
        <v/>
      </c>
      <c r="U17" s="71" t="n"/>
      <c r="V17" s="22" t="n"/>
      <c r="W17" s="22" t="n"/>
    </row>
    <row r="18" ht="15" customHeight="1">
      <c r="A18" s="70">
        <f>IF(C18="","",IFERROR(IF(SUMPRODUCT(MAX((tbl_Finance[Job Number]&amp;""=C18&amp;"")*(tbl_Finance[Xero Invoice No]&lt;&gt;"")*tbl_Finance[Date]))=0,"",SUMPRODUCT(MAX((tbl_Finance[Job Number]&amp;""=C18&amp;"")*(tbl_Finance[Xero Invoice No]&lt;&gt;"")*tbl_Finance[Date]))),""))</f>
        <v/>
      </c>
      <c r="B18" s="26">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2" t="n"/>
      <c r="D18" s="26">
        <f>IF(C18="","",IF(COUNTIF(lst_Jobs,C18&amp;"")&gt;0,"OK","CHECK"))</f>
        <v/>
      </c>
      <c r="E18" s="26">
        <f>IF(C18="","",IFERROR(INDEX(lst_JobName,MATCH(C18&amp;"",lst_Jobs,0)),""))</f>
        <v/>
      </c>
      <c r="F18" s="22" t="n"/>
      <c r="G18" s="22" t="n"/>
      <c r="H18" s="22" t="n"/>
      <c r="I18" s="22" t="n"/>
      <c r="J18" s="22" t="n"/>
      <c r="K18" s="28">
        <f>IF(C18="","",COUNTIFS(tbl_Finance[Job Number],C18&amp;"",tbl_Finance[Ex GST],"&lt;&gt;"))</f>
        <v/>
      </c>
      <c r="L18" s="27">
        <f>IF(C18="","",SUMIFS(tbl_Finance[Ex GST],tbl_Finance[Job Number],C18&amp;""))</f>
        <v/>
      </c>
      <c r="M18" s="27">
        <f>IF(C18="","",SUMIFS(tbl_Finance[Ex GST],tbl_Finance[Job Number],C18&amp;"",tbl_Finance[Xero Invoice No],"&lt;&gt;"))</f>
        <v/>
      </c>
      <c r="N18" s="27">
        <f>IF(C18="","",L18-M18)</f>
        <v/>
      </c>
      <c r="O18" s="24" t="n"/>
      <c r="P18" s="27">
        <f>IF(C18="","",IF(O18="",0,MAX(0,O18-L18)))</f>
        <v/>
      </c>
      <c r="Q18" s="26">
        <f>IF(C18="","",IF(K18=0,"not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R18" s="22" t="n"/>
      <c r="S18" s="22" t="n"/>
      <c r="T18" s="26">
        <f>IF(S18="","",HYPERLINK(IF(LEFT(S18,4)="http",S18,set_QwilrBase&amp;S18),"Open quote"))</f>
        <v/>
      </c>
      <c r="U18" s="71" t="n"/>
      <c r="V18" s="22" t="n"/>
      <c r="W18" s="22" t="n"/>
    </row>
    <row r="19" ht="15" customHeight="1">
      <c r="A19" s="70">
        <f>IF(C19="","",IFERROR(IF(SUMPRODUCT(MAX((tbl_Finance[Job Number]&amp;""=C19&amp;"")*(tbl_Finance[Xero Invoice No]&lt;&gt;"")*tbl_Finance[Date]))=0,"",SUMPRODUCT(MAX((tbl_Finance[Job Number]&amp;""=C19&amp;"")*(tbl_Finance[Xero Invoice No]&lt;&gt;"")*tbl_Finance[Date]))),""))</f>
        <v/>
      </c>
      <c r="B19" s="26">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2" t="n"/>
      <c r="D19" s="26">
        <f>IF(C19="","",IF(COUNTIF(lst_Jobs,C19&amp;"")&gt;0,"OK","CHECK"))</f>
        <v/>
      </c>
      <c r="E19" s="26">
        <f>IF(C19="","",IFERROR(INDEX(lst_JobName,MATCH(C19&amp;"",lst_Jobs,0)),""))</f>
        <v/>
      </c>
      <c r="F19" s="22" t="n"/>
      <c r="G19" s="22" t="n"/>
      <c r="H19" s="22" t="n"/>
      <c r="I19" s="22" t="n"/>
      <c r="J19" s="22" t="n"/>
      <c r="K19" s="28">
        <f>IF(C19="","",COUNTIFS(tbl_Finance[Job Number],C19&amp;"",tbl_Finance[Ex GST],"&lt;&gt;"))</f>
        <v/>
      </c>
      <c r="L19" s="27">
        <f>IF(C19="","",SUMIFS(tbl_Finance[Ex GST],tbl_Finance[Job Number],C19&amp;""))</f>
        <v/>
      </c>
      <c r="M19" s="27">
        <f>IF(C19="","",SUMIFS(tbl_Finance[Ex GST],tbl_Finance[Job Number],C19&amp;"",tbl_Finance[Xero Invoice No],"&lt;&gt;"))</f>
        <v/>
      </c>
      <c r="N19" s="27">
        <f>IF(C19="","",L19-M19)</f>
        <v/>
      </c>
      <c r="O19" s="24" t="n"/>
      <c r="P19" s="27">
        <f>IF(C19="","",IF(O19="",0,MAX(0,O19-L19)))</f>
        <v/>
      </c>
      <c r="Q19" s="26">
        <f>IF(C19="","",IF(K19=0,"not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R19" s="22" t="n"/>
      <c r="S19" s="22" t="n"/>
      <c r="T19" s="26">
        <f>IF(S19="","",HYPERLINK(IF(LEFT(S19,4)="http",S19,set_QwilrBase&amp;S19),"Open quote"))</f>
        <v/>
      </c>
      <c r="U19" s="71" t="n"/>
      <c r="V19" s="22" t="n"/>
      <c r="W19" s="22" t="n"/>
    </row>
    <row r="20" ht="15" customHeight="1">
      <c r="A20" s="70">
        <f>IF(C20="","",IFERROR(IF(SUMPRODUCT(MAX((tbl_Finance[Job Number]&amp;""=C20&amp;"")*(tbl_Finance[Xero Invoice No]&lt;&gt;"")*tbl_Finance[Date]))=0,"",SUMPRODUCT(MAX((tbl_Finance[Job Number]&amp;""=C20&amp;"")*(tbl_Finance[Xero Invoice No]&lt;&gt;"")*tbl_Finance[Date]))),""))</f>
        <v/>
      </c>
      <c r="B20" s="26">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2" t="n"/>
      <c r="D20" s="26">
        <f>IF(C20="","",IF(COUNTIF(lst_Jobs,C20&amp;"")&gt;0,"OK","CHECK"))</f>
        <v/>
      </c>
      <c r="E20" s="26">
        <f>IF(C20="","",IFERROR(INDEX(lst_JobName,MATCH(C20&amp;"",lst_Jobs,0)),""))</f>
        <v/>
      </c>
      <c r="F20" s="22" t="n"/>
      <c r="G20" s="22" t="n"/>
      <c r="H20" s="22" t="n"/>
      <c r="I20" s="22" t="n"/>
      <c r="J20" s="22" t="n"/>
      <c r="K20" s="28">
        <f>IF(C20="","",COUNTIFS(tbl_Finance[Job Number],C20&amp;"",tbl_Finance[Ex GST],"&lt;&gt;"))</f>
        <v/>
      </c>
      <c r="L20" s="27">
        <f>IF(C20="","",SUMIFS(tbl_Finance[Ex GST],tbl_Finance[Job Number],C20&amp;""))</f>
        <v/>
      </c>
      <c r="M20" s="27">
        <f>IF(C20="","",SUMIFS(tbl_Finance[Ex GST],tbl_Finance[Job Number],C20&amp;"",tbl_Finance[Xero Invoice No],"&lt;&gt;"))</f>
        <v/>
      </c>
      <c r="N20" s="27">
        <f>IF(C20="","",L20-M20)</f>
        <v/>
      </c>
      <c r="O20" s="24" t="n"/>
      <c r="P20" s="27">
        <f>IF(C20="","",IF(O20="",0,MAX(0,O20-L20)))</f>
        <v/>
      </c>
      <c r="Q20" s="26">
        <f>IF(C20="","",IF(K20=0,"not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R20" s="22" t="n"/>
      <c r="S20" s="22" t="n"/>
      <c r="T20" s="26">
        <f>IF(S20="","",HYPERLINK(IF(LEFT(S20,4)="http",S20,set_QwilrBase&amp;S20),"Open quote"))</f>
        <v/>
      </c>
      <c r="U20" s="71" t="n"/>
      <c r="V20" s="22" t="n"/>
      <c r="W20" s="22" t="n"/>
    </row>
    <row r="21" ht="15" customHeight="1">
      <c r="A21" s="70">
        <f>IF(C21="","",IFERROR(IF(SUMPRODUCT(MAX((tbl_Finance[Job Number]&amp;""=C21&amp;"")*(tbl_Finance[Xero Invoice No]&lt;&gt;"")*tbl_Finance[Date]))=0,"",SUMPRODUCT(MAX((tbl_Finance[Job Number]&amp;""=C21&amp;"")*(tbl_Finance[Xero Invoice No]&lt;&gt;"")*tbl_Finance[Date]))),""))</f>
        <v/>
      </c>
      <c r="B21" s="26">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2" t="n"/>
      <c r="D21" s="26">
        <f>IF(C21="","",IF(COUNTIF(lst_Jobs,C21&amp;"")&gt;0,"OK","CHECK"))</f>
        <v/>
      </c>
      <c r="E21" s="26">
        <f>IF(C21="","",IFERROR(INDEX(lst_JobName,MATCH(C21&amp;"",lst_Jobs,0)),""))</f>
        <v/>
      </c>
      <c r="F21" s="22" t="n"/>
      <c r="G21" s="22" t="n"/>
      <c r="H21" s="22" t="n"/>
      <c r="I21" s="22" t="n"/>
      <c r="J21" s="22" t="n"/>
      <c r="K21" s="28">
        <f>IF(C21="","",COUNTIFS(tbl_Finance[Job Number],C21&amp;"",tbl_Finance[Ex GST],"&lt;&gt;"))</f>
        <v/>
      </c>
      <c r="L21" s="27">
        <f>IF(C21="","",SUMIFS(tbl_Finance[Ex GST],tbl_Finance[Job Number],C21&amp;""))</f>
        <v/>
      </c>
      <c r="M21" s="27">
        <f>IF(C21="","",SUMIFS(tbl_Finance[Ex GST],tbl_Finance[Job Number],C21&amp;"",tbl_Finance[Xero Invoice No],"&lt;&gt;"))</f>
        <v/>
      </c>
      <c r="N21" s="27">
        <f>IF(C21="","",L21-M21)</f>
        <v/>
      </c>
      <c r="O21" s="24" t="n"/>
      <c r="P21" s="27">
        <f>IF(C21="","",IF(O21="",0,MAX(0,O21-L21)))</f>
        <v/>
      </c>
      <c r="Q21" s="26">
        <f>IF(C21="","",IF(K21=0,"not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R21" s="22" t="n"/>
      <c r="S21" s="22" t="n"/>
      <c r="T21" s="26">
        <f>IF(S21="","",HYPERLINK(IF(LEFT(S21,4)="http",S21,set_QwilrBase&amp;S21),"Open quote"))</f>
        <v/>
      </c>
      <c r="U21" s="71" t="n"/>
      <c r="V21" s="22" t="n"/>
      <c r="W21" s="22" t="n"/>
    </row>
    <row r="22" ht="15" customHeight="1">
      <c r="A22" s="70">
        <f>IF(C22="","",IFERROR(IF(SUMPRODUCT(MAX((tbl_Finance[Job Number]&amp;""=C22&amp;"")*(tbl_Finance[Xero Invoice No]&lt;&gt;"")*tbl_Finance[Date]))=0,"",SUMPRODUCT(MAX((tbl_Finance[Job Number]&amp;""=C22&amp;"")*(tbl_Finance[Xero Invoice No]&lt;&gt;"")*tbl_Finance[Date]))),""))</f>
        <v/>
      </c>
      <c r="B22" s="26">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2" t="n"/>
      <c r="D22" s="26">
        <f>IF(C22="","",IF(COUNTIF(lst_Jobs,C22&amp;"")&gt;0,"OK","CHECK"))</f>
        <v/>
      </c>
      <c r="E22" s="26">
        <f>IF(C22="","",IFERROR(INDEX(lst_JobName,MATCH(C22&amp;"",lst_Jobs,0)),""))</f>
        <v/>
      </c>
      <c r="F22" s="22" t="n"/>
      <c r="G22" s="22" t="n"/>
      <c r="H22" s="22" t="n"/>
      <c r="I22" s="22" t="n"/>
      <c r="J22" s="22" t="n"/>
      <c r="K22" s="28">
        <f>IF(C22="","",COUNTIFS(tbl_Finance[Job Number],C22&amp;"",tbl_Finance[Ex GST],"&lt;&gt;"))</f>
        <v/>
      </c>
      <c r="L22" s="27">
        <f>IF(C22="","",SUMIFS(tbl_Finance[Ex GST],tbl_Finance[Job Number],C22&amp;""))</f>
        <v/>
      </c>
      <c r="M22" s="27">
        <f>IF(C22="","",SUMIFS(tbl_Finance[Ex GST],tbl_Finance[Job Number],C22&amp;"",tbl_Finance[Xero Invoice No],"&lt;&gt;"))</f>
        <v/>
      </c>
      <c r="N22" s="27">
        <f>IF(C22="","",L22-M22)</f>
        <v/>
      </c>
      <c r="O22" s="24" t="n"/>
      <c r="P22" s="27">
        <f>IF(C22="","",IF(O22="",0,MAX(0,O22-L22)))</f>
        <v/>
      </c>
      <c r="Q22" s="26">
        <f>IF(C22="","",IF(K22=0,"not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R22" s="22" t="n"/>
      <c r="S22" s="22" t="n"/>
      <c r="T22" s="26">
        <f>IF(S22="","",HYPERLINK(IF(LEFT(S22,4)="http",S22,set_QwilrBase&amp;S22),"Open quote"))</f>
        <v/>
      </c>
      <c r="U22" s="71" t="n"/>
      <c r="V22" s="22" t="n"/>
      <c r="W22" s="22" t="n"/>
    </row>
    <row r="23" ht="15" customHeight="1">
      <c r="A23" s="70">
        <f>IF(C23="","",IFERROR(IF(SUMPRODUCT(MAX((tbl_Finance[Job Number]&amp;""=C23&amp;"")*(tbl_Finance[Xero Invoice No]&lt;&gt;"")*tbl_Finance[Date]))=0,"",SUMPRODUCT(MAX((tbl_Finance[Job Number]&amp;""=C23&amp;"")*(tbl_Finance[Xero Invoice No]&lt;&gt;"")*tbl_Finance[Date]))),""))</f>
        <v/>
      </c>
      <c r="B23" s="26">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2" t="n"/>
      <c r="D23" s="26">
        <f>IF(C23="","",IF(COUNTIF(lst_Jobs,C23&amp;"")&gt;0,"OK","CHECK"))</f>
        <v/>
      </c>
      <c r="E23" s="26">
        <f>IF(C23="","",IFERROR(INDEX(lst_JobName,MATCH(C23&amp;"",lst_Jobs,0)),""))</f>
        <v/>
      </c>
      <c r="F23" s="22" t="n"/>
      <c r="G23" s="22" t="n"/>
      <c r="H23" s="22" t="n"/>
      <c r="I23" s="22" t="n"/>
      <c r="J23" s="22" t="n"/>
      <c r="K23" s="28">
        <f>IF(C23="","",COUNTIFS(tbl_Finance[Job Number],C23&amp;"",tbl_Finance[Ex GST],"&lt;&gt;"))</f>
        <v/>
      </c>
      <c r="L23" s="27">
        <f>IF(C23="","",SUMIFS(tbl_Finance[Ex GST],tbl_Finance[Job Number],C23&amp;""))</f>
        <v/>
      </c>
      <c r="M23" s="27">
        <f>IF(C23="","",SUMIFS(tbl_Finance[Ex GST],tbl_Finance[Job Number],C23&amp;"",tbl_Finance[Xero Invoice No],"&lt;&gt;"))</f>
        <v/>
      </c>
      <c r="N23" s="27">
        <f>IF(C23="","",L23-M23)</f>
        <v/>
      </c>
      <c r="O23" s="24" t="n"/>
      <c r="P23" s="27">
        <f>IF(C23="","",IF(O23="",0,MAX(0,O23-L23)))</f>
        <v/>
      </c>
      <c r="Q23" s="26">
        <f>IF(C23="","",IF(K23=0,"not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R23" s="22" t="n"/>
      <c r="S23" s="22" t="n"/>
      <c r="T23" s="26">
        <f>IF(S23="","",HYPERLINK(IF(LEFT(S23,4)="http",S23,set_QwilrBase&amp;S23),"Open quote"))</f>
        <v/>
      </c>
      <c r="U23" s="71" t="n"/>
      <c r="V23" s="22" t="n"/>
      <c r="W23" s="22" t="n"/>
    </row>
    <row r="24" ht="15" customHeight="1">
      <c r="A24" s="70">
        <f>IF(C24="","",IFERROR(IF(SUMPRODUCT(MAX((tbl_Finance[Job Number]&amp;""=C24&amp;"")*(tbl_Finance[Xero Invoice No]&lt;&gt;"")*tbl_Finance[Date]))=0,"",SUMPRODUCT(MAX((tbl_Finance[Job Number]&amp;""=C24&amp;"")*(tbl_Finance[Xero Invoice No]&lt;&gt;"")*tbl_Finance[Date]))),""))</f>
        <v/>
      </c>
      <c r="B24" s="26">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2" t="n"/>
      <c r="D24" s="26">
        <f>IF(C24="","",IF(COUNTIF(lst_Jobs,C24&amp;"")&gt;0,"OK","CHECK"))</f>
        <v/>
      </c>
      <c r="E24" s="26">
        <f>IF(C24="","",IFERROR(INDEX(lst_JobName,MATCH(C24&amp;"",lst_Jobs,0)),""))</f>
        <v/>
      </c>
      <c r="F24" s="22" t="n"/>
      <c r="G24" s="22" t="n"/>
      <c r="H24" s="22" t="n"/>
      <c r="I24" s="22" t="n"/>
      <c r="J24" s="22" t="n"/>
      <c r="K24" s="28">
        <f>IF(C24="","",COUNTIFS(tbl_Finance[Job Number],C24&amp;"",tbl_Finance[Ex GST],"&lt;&gt;"))</f>
        <v/>
      </c>
      <c r="L24" s="27">
        <f>IF(C24="","",SUMIFS(tbl_Finance[Ex GST],tbl_Finance[Job Number],C24&amp;""))</f>
        <v/>
      </c>
      <c r="M24" s="27">
        <f>IF(C24="","",SUMIFS(tbl_Finance[Ex GST],tbl_Finance[Job Number],C24&amp;"",tbl_Finance[Xero Invoice No],"&lt;&gt;"))</f>
        <v/>
      </c>
      <c r="N24" s="27">
        <f>IF(C24="","",L24-M24)</f>
        <v/>
      </c>
      <c r="O24" s="24" t="n"/>
      <c r="P24" s="27">
        <f>IF(C24="","",IF(O24="",0,MAX(0,O24-L24)))</f>
        <v/>
      </c>
      <c r="Q24" s="26">
        <f>IF(C24="","",IF(K24=0,"not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R24" s="22" t="n"/>
      <c r="S24" s="22" t="n"/>
      <c r="T24" s="26">
        <f>IF(S24="","",HYPERLINK(IF(LEFT(S24,4)="http",S24,set_QwilrBase&amp;S24),"Open quote"))</f>
        <v/>
      </c>
      <c r="U24" s="71" t="n"/>
      <c r="V24" s="22" t="n"/>
      <c r="W24" s="22" t="n"/>
    </row>
    <row r="25" ht="15" customHeight="1">
      <c r="A25" s="70">
        <f>IF(C25="","",IFERROR(IF(SUMPRODUCT(MAX((tbl_Finance[Job Number]&amp;""=C25&amp;"")*(tbl_Finance[Xero Invoice No]&lt;&gt;"")*tbl_Finance[Date]))=0,"",SUMPRODUCT(MAX((tbl_Finance[Job Number]&amp;""=C25&amp;"")*(tbl_Finance[Xero Invoice No]&lt;&gt;"")*tbl_Finance[Date]))),""))</f>
        <v/>
      </c>
      <c r="B25" s="26">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2" t="n"/>
      <c r="D25" s="26">
        <f>IF(C25="","",IF(COUNTIF(lst_Jobs,C25&amp;"")&gt;0,"OK","CHECK"))</f>
        <v/>
      </c>
      <c r="E25" s="26">
        <f>IF(C25="","",IFERROR(INDEX(lst_JobName,MATCH(C25&amp;"",lst_Jobs,0)),""))</f>
        <v/>
      </c>
      <c r="F25" s="22" t="n"/>
      <c r="G25" s="22" t="n"/>
      <c r="H25" s="22" t="n"/>
      <c r="I25" s="22" t="n"/>
      <c r="J25" s="22" t="n"/>
      <c r="K25" s="28">
        <f>IF(C25="","",COUNTIFS(tbl_Finance[Job Number],C25&amp;"",tbl_Finance[Ex GST],"&lt;&gt;"))</f>
        <v/>
      </c>
      <c r="L25" s="27">
        <f>IF(C25="","",SUMIFS(tbl_Finance[Ex GST],tbl_Finance[Job Number],C25&amp;""))</f>
        <v/>
      </c>
      <c r="M25" s="27">
        <f>IF(C25="","",SUMIFS(tbl_Finance[Ex GST],tbl_Finance[Job Number],C25&amp;"",tbl_Finance[Xero Invoice No],"&lt;&gt;"))</f>
        <v/>
      </c>
      <c r="N25" s="27">
        <f>IF(C25="","",L25-M25)</f>
        <v/>
      </c>
      <c r="O25" s="24" t="n"/>
      <c r="P25" s="27">
        <f>IF(C25="","",IF(O25="",0,MAX(0,O25-L25)))</f>
        <v/>
      </c>
      <c r="Q25" s="26">
        <f>IF(C25="","",IF(K25=0,"not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R25" s="22" t="n"/>
      <c r="S25" s="22" t="n"/>
      <c r="T25" s="26">
        <f>IF(S25="","",HYPERLINK(IF(LEFT(S25,4)="http",S25,set_QwilrBase&amp;S25),"Open quote"))</f>
        <v/>
      </c>
      <c r="U25" s="71" t="n"/>
      <c r="V25" s="22" t="n"/>
      <c r="W25" s="22" t="n"/>
    </row>
    <row r="26" ht="15" customHeight="1">
      <c r="A26" s="70">
        <f>IF(C26="","",IFERROR(IF(SUMPRODUCT(MAX((tbl_Finance[Job Number]&amp;""=C26&amp;"")*(tbl_Finance[Xero Invoice No]&lt;&gt;"")*tbl_Finance[Date]))=0,"",SUMPRODUCT(MAX((tbl_Finance[Job Number]&amp;""=C26&amp;"")*(tbl_Finance[Xero Invoice No]&lt;&gt;"")*tbl_Finance[Date]))),""))</f>
        <v/>
      </c>
      <c r="B26" s="26">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2" t="n"/>
      <c r="D26" s="26">
        <f>IF(C26="","",IF(COUNTIF(lst_Jobs,C26&amp;"")&gt;0,"OK","CHECK"))</f>
        <v/>
      </c>
      <c r="E26" s="26">
        <f>IF(C26="","",IFERROR(INDEX(lst_JobName,MATCH(C26&amp;"",lst_Jobs,0)),""))</f>
        <v/>
      </c>
      <c r="F26" s="22" t="n"/>
      <c r="G26" s="22" t="n"/>
      <c r="H26" s="22" t="n"/>
      <c r="I26" s="22" t="n"/>
      <c r="J26" s="22" t="n"/>
      <c r="K26" s="28">
        <f>IF(C26="","",COUNTIFS(tbl_Finance[Job Number],C26&amp;"",tbl_Finance[Ex GST],"&lt;&gt;"))</f>
        <v/>
      </c>
      <c r="L26" s="27">
        <f>IF(C26="","",SUMIFS(tbl_Finance[Ex GST],tbl_Finance[Job Number],C26&amp;""))</f>
        <v/>
      </c>
      <c r="M26" s="27">
        <f>IF(C26="","",SUMIFS(tbl_Finance[Ex GST],tbl_Finance[Job Number],C26&amp;"",tbl_Finance[Xero Invoice No],"&lt;&gt;"))</f>
        <v/>
      </c>
      <c r="N26" s="27">
        <f>IF(C26="","",L26-M26)</f>
        <v/>
      </c>
      <c r="O26" s="24" t="n"/>
      <c r="P26" s="27">
        <f>IF(C26="","",IF(O26="",0,MAX(0,O26-L26)))</f>
        <v/>
      </c>
      <c r="Q26" s="26">
        <f>IF(C26="","",IF(K26=0,"not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R26" s="22" t="n"/>
      <c r="S26" s="22" t="n"/>
      <c r="T26" s="26">
        <f>IF(S26="","",HYPERLINK(IF(LEFT(S26,4)="http",S26,set_QwilrBase&amp;S26),"Open quote"))</f>
        <v/>
      </c>
      <c r="U26" s="71" t="n"/>
      <c r="V26" s="22" t="n"/>
      <c r="W26" s="22" t="n"/>
    </row>
    <row r="27" ht="15" customHeight="1">
      <c r="A27" s="70">
        <f>IF(C27="","",IFERROR(IF(SUMPRODUCT(MAX((tbl_Finance[Job Number]&amp;""=C27&amp;"")*(tbl_Finance[Xero Invoice No]&lt;&gt;"")*tbl_Finance[Date]))=0,"",SUMPRODUCT(MAX((tbl_Finance[Job Number]&amp;""=C27&amp;"")*(tbl_Finance[Xero Invoice No]&lt;&gt;"")*tbl_Finance[Date]))),""))</f>
        <v/>
      </c>
      <c r="B27" s="26">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2" t="n"/>
      <c r="D27" s="26">
        <f>IF(C27="","",IF(COUNTIF(lst_Jobs,C27&amp;"")&gt;0,"OK","CHECK"))</f>
        <v/>
      </c>
      <c r="E27" s="26">
        <f>IF(C27="","",IFERROR(INDEX(lst_JobName,MATCH(C27&amp;"",lst_Jobs,0)),""))</f>
        <v/>
      </c>
      <c r="F27" s="22" t="n"/>
      <c r="G27" s="22" t="n"/>
      <c r="H27" s="22" t="n"/>
      <c r="I27" s="22" t="n"/>
      <c r="J27" s="22" t="n"/>
      <c r="K27" s="28">
        <f>IF(C27="","",COUNTIFS(tbl_Finance[Job Number],C27&amp;"",tbl_Finance[Ex GST],"&lt;&gt;"))</f>
        <v/>
      </c>
      <c r="L27" s="27">
        <f>IF(C27="","",SUMIFS(tbl_Finance[Ex GST],tbl_Finance[Job Number],C27&amp;""))</f>
        <v/>
      </c>
      <c r="M27" s="27">
        <f>IF(C27="","",SUMIFS(tbl_Finance[Ex GST],tbl_Finance[Job Number],C27&amp;"",tbl_Finance[Xero Invoice No],"&lt;&gt;"))</f>
        <v/>
      </c>
      <c r="N27" s="27">
        <f>IF(C27="","",L27-M27)</f>
        <v/>
      </c>
      <c r="O27" s="24" t="n"/>
      <c r="P27" s="27">
        <f>IF(C27="","",IF(O27="",0,MAX(0,O27-L27)))</f>
        <v/>
      </c>
      <c r="Q27" s="26">
        <f>IF(C27="","",IF(K27=0,"not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R27" s="22" t="n"/>
      <c r="S27" s="22" t="n"/>
      <c r="T27" s="26">
        <f>IF(S27="","",HYPERLINK(IF(LEFT(S27,4)="http",S27,set_QwilrBase&amp;S27),"Open quote"))</f>
        <v/>
      </c>
      <c r="U27" s="71" t="n"/>
      <c r="V27" s="22" t="n"/>
      <c r="W27" s="22" t="n"/>
    </row>
    <row r="28" ht="15" customHeight="1">
      <c r="A28" s="70">
        <f>IF(C28="","",IFERROR(IF(SUMPRODUCT(MAX((tbl_Finance[Job Number]&amp;""=C28&amp;"")*(tbl_Finance[Xero Invoice No]&lt;&gt;"")*tbl_Finance[Date]))=0,"",SUMPRODUCT(MAX((tbl_Finance[Job Number]&amp;""=C28&amp;"")*(tbl_Finance[Xero Invoice No]&lt;&gt;"")*tbl_Finance[Date]))),""))</f>
        <v/>
      </c>
      <c r="B28" s="26">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2" t="n"/>
      <c r="D28" s="26">
        <f>IF(C28="","",IF(COUNTIF(lst_Jobs,C28&amp;"")&gt;0,"OK","CHECK"))</f>
        <v/>
      </c>
      <c r="E28" s="26">
        <f>IF(C28="","",IFERROR(INDEX(lst_JobName,MATCH(C28&amp;"",lst_Jobs,0)),""))</f>
        <v/>
      </c>
      <c r="F28" s="22" t="n"/>
      <c r="G28" s="22" t="n"/>
      <c r="H28" s="22" t="n"/>
      <c r="I28" s="22" t="n"/>
      <c r="J28" s="22" t="n"/>
      <c r="K28" s="28">
        <f>IF(C28="","",COUNTIFS(tbl_Finance[Job Number],C28&amp;"",tbl_Finance[Ex GST],"&lt;&gt;"))</f>
        <v/>
      </c>
      <c r="L28" s="27">
        <f>IF(C28="","",SUMIFS(tbl_Finance[Ex GST],tbl_Finance[Job Number],C28&amp;""))</f>
        <v/>
      </c>
      <c r="M28" s="27">
        <f>IF(C28="","",SUMIFS(tbl_Finance[Ex GST],tbl_Finance[Job Number],C28&amp;"",tbl_Finance[Xero Invoice No],"&lt;&gt;"))</f>
        <v/>
      </c>
      <c r="N28" s="27">
        <f>IF(C28="","",L28-M28)</f>
        <v/>
      </c>
      <c r="O28" s="24" t="n"/>
      <c r="P28" s="27">
        <f>IF(C28="","",IF(O28="",0,MAX(0,O28-L28)))</f>
        <v/>
      </c>
      <c r="Q28" s="26">
        <f>IF(C28="","",IF(K28=0,"not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R28" s="22" t="n"/>
      <c r="S28" s="22" t="n"/>
      <c r="T28" s="26">
        <f>IF(S28="","",HYPERLINK(IF(LEFT(S28,4)="http",S28,set_QwilrBase&amp;S28),"Open quote"))</f>
        <v/>
      </c>
      <c r="U28" s="71" t="n"/>
      <c r="V28" s="22" t="n"/>
      <c r="W28" s="22" t="n"/>
    </row>
    <row r="29" ht="15" customHeight="1">
      <c r="A29" s="70">
        <f>IF(C29="","",IFERROR(IF(SUMPRODUCT(MAX((tbl_Finance[Job Number]&amp;""=C29&amp;"")*(tbl_Finance[Xero Invoice No]&lt;&gt;"")*tbl_Finance[Date]))=0,"",SUMPRODUCT(MAX((tbl_Finance[Job Number]&amp;""=C29&amp;"")*(tbl_Finance[Xero Invoice No]&lt;&gt;"")*tbl_Finance[Date]))),""))</f>
        <v/>
      </c>
      <c r="B29" s="26">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2" t="n"/>
      <c r="D29" s="26">
        <f>IF(C29="","",IF(COUNTIF(lst_Jobs,C29&amp;"")&gt;0,"OK","CHECK"))</f>
        <v/>
      </c>
      <c r="E29" s="26">
        <f>IF(C29="","",IFERROR(INDEX(lst_JobName,MATCH(C29&amp;"",lst_Jobs,0)),""))</f>
        <v/>
      </c>
      <c r="F29" s="22" t="n"/>
      <c r="G29" s="22" t="n"/>
      <c r="H29" s="22" t="n"/>
      <c r="I29" s="22" t="n"/>
      <c r="J29" s="22" t="n"/>
      <c r="K29" s="28">
        <f>IF(C29="","",COUNTIFS(tbl_Finance[Job Number],C29&amp;"",tbl_Finance[Ex GST],"&lt;&gt;"))</f>
        <v/>
      </c>
      <c r="L29" s="27">
        <f>IF(C29="","",SUMIFS(tbl_Finance[Ex GST],tbl_Finance[Job Number],C29&amp;""))</f>
        <v/>
      </c>
      <c r="M29" s="27">
        <f>IF(C29="","",SUMIFS(tbl_Finance[Ex GST],tbl_Finance[Job Number],C29&amp;"",tbl_Finance[Xero Invoice No],"&lt;&gt;"))</f>
        <v/>
      </c>
      <c r="N29" s="27">
        <f>IF(C29="","",L29-M29)</f>
        <v/>
      </c>
      <c r="O29" s="24" t="n"/>
      <c r="P29" s="27">
        <f>IF(C29="","",IF(O29="",0,MAX(0,O29-L29)))</f>
        <v/>
      </c>
      <c r="Q29" s="26">
        <f>IF(C29="","",IF(K29=0,"not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R29" s="22" t="n"/>
      <c r="S29" s="22" t="n"/>
      <c r="T29" s="26">
        <f>IF(S29="","",HYPERLINK(IF(LEFT(S29,4)="http",S29,set_QwilrBase&amp;S29),"Open quote"))</f>
        <v/>
      </c>
      <c r="U29" s="71" t="n"/>
      <c r="V29" s="22" t="n"/>
      <c r="W29" s="22" t="n"/>
    </row>
    <row r="30" ht="15" customHeight="1">
      <c r="A30" s="70">
        <f>IF(C30="","",IFERROR(IF(SUMPRODUCT(MAX((tbl_Finance[Job Number]&amp;""=C30&amp;"")*(tbl_Finance[Xero Invoice No]&lt;&gt;"")*tbl_Finance[Date]))=0,"",SUMPRODUCT(MAX((tbl_Finance[Job Number]&amp;""=C30&amp;"")*(tbl_Finance[Xero Invoice No]&lt;&gt;"")*tbl_Finance[Date]))),""))</f>
        <v/>
      </c>
      <c r="B30" s="26">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2" t="n"/>
      <c r="D30" s="26">
        <f>IF(C30="","",IF(COUNTIF(lst_Jobs,C30&amp;"")&gt;0,"OK","CHECK"))</f>
        <v/>
      </c>
      <c r="E30" s="26">
        <f>IF(C30="","",IFERROR(INDEX(lst_JobName,MATCH(C30&amp;"",lst_Jobs,0)),""))</f>
        <v/>
      </c>
      <c r="F30" s="22" t="n"/>
      <c r="G30" s="22" t="n"/>
      <c r="H30" s="22" t="n"/>
      <c r="I30" s="22" t="n"/>
      <c r="J30" s="22" t="n"/>
      <c r="K30" s="28">
        <f>IF(C30="","",COUNTIFS(tbl_Finance[Job Number],C30&amp;"",tbl_Finance[Ex GST],"&lt;&gt;"))</f>
        <v/>
      </c>
      <c r="L30" s="27">
        <f>IF(C30="","",SUMIFS(tbl_Finance[Ex GST],tbl_Finance[Job Number],C30&amp;""))</f>
        <v/>
      </c>
      <c r="M30" s="27">
        <f>IF(C30="","",SUMIFS(tbl_Finance[Ex GST],tbl_Finance[Job Number],C30&amp;"",tbl_Finance[Xero Invoice No],"&lt;&gt;"))</f>
        <v/>
      </c>
      <c r="N30" s="27">
        <f>IF(C30="","",L30-M30)</f>
        <v/>
      </c>
      <c r="O30" s="24" t="n"/>
      <c r="P30" s="27">
        <f>IF(C30="","",IF(O30="",0,MAX(0,O30-L30)))</f>
        <v/>
      </c>
      <c r="Q30" s="26">
        <f>IF(C30="","",IF(K30=0,"not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R30" s="22" t="n"/>
      <c r="S30" s="22" t="n"/>
      <c r="T30" s="26">
        <f>IF(S30="","",HYPERLINK(IF(LEFT(S30,4)="http",S30,set_QwilrBase&amp;S30),"Open quote"))</f>
        <v/>
      </c>
      <c r="U30" s="71" t="n"/>
      <c r="V30" s="22" t="n"/>
      <c r="W30" s="22" t="n"/>
    </row>
    <row r="31" ht="15" customHeight="1">
      <c r="A31" s="70">
        <f>IF(C31="","",IFERROR(IF(SUMPRODUCT(MAX((tbl_Finance[Job Number]&amp;""=C31&amp;"")*(tbl_Finance[Xero Invoice No]&lt;&gt;"")*tbl_Finance[Date]))=0,"",SUMPRODUCT(MAX((tbl_Finance[Job Number]&amp;""=C31&amp;"")*(tbl_Finance[Xero Invoice No]&lt;&gt;"")*tbl_Finance[Date]))),""))</f>
        <v/>
      </c>
      <c r="B31" s="26">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2" t="n"/>
      <c r="D31" s="26">
        <f>IF(C31="","",IF(COUNTIF(lst_Jobs,C31&amp;"")&gt;0,"OK","CHECK"))</f>
        <v/>
      </c>
      <c r="E31" s="26">
        <f>IF(C31="","",IFERROR(INDEX(lst_JobName,MATCH(C31&amp;"",lst_Jobs,0)),""))</f>
        <v/>
      </c>
      <c r="F31" s="22" t="n"/>
      <c r="G31" s="22" t="n"/>
      <c r="H31" s="22" t="n"/>
      <c r="I31" s="22" t="n"/>
      <c r="J31" s="22" t="n"/>
      <c r="K31" s="28">
        <f>IF(C31="","",COUNTIFS(tbl_Finance[Job Number],C31&amp;"",tbl_Finance[Ex GST],"&lt;&gt;"))</f>
        <v/>
      </c>
      <c r="L31" s="27">
        <f>IF(C31="","",SUMIFS(tbl_Finance[Ex GST],tbl_Finance[Job Number],C31&amp;""))</f>
        <v/>
      </c>
      <c r="M31" s="27">
        <f>IF(C31="","",SUMIFS(tbl_Finance[Ex GST],tbl_Finance[Job Number],C31&amp;"",tbl_Finance[Xero Invoice No],"&lt;&gt;"))</f>
        <v/>
      </c>
      <c r="N31" s="27">
        <f>IF(C31="","",L31-M31)</f>
        <v/>
      </c>
      <c r="O31" s="24" t="n"/>
      <c r="P31" s="27">
        <f>IF(C31="","",IF(O31="",0,MAX(0,O31-L31)))</f>
        <v/>
      </c>
      <c r="Q31" s="26">
        <f>IF(C31="","",IF(K31=0,"not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R31" s="22" t="n"/>
      <c r="S31" s="22" t="n"/>
      <c r="T31" s="26">
        <f>IF(S31="","",HYPERLINK(IF(LEFT(S31,4)="http",S31,set_QwilrBase&amp;S31),"Open quote"))</f>
        <v/>
      </c>
      <c r="U31" s="71" t="n"/>
      <c r="V31" s="22" t="n"/>
      <c r="W31" s="22" t="n"/>
    </row>
    <row r="32" ht="15" customHeight="1">
      <c r="A32" s="70">
        <f>IF(C32="","",IFERROR(IF(SUMPRODUCT(MAX((tbl_Finance[Job Number]&amp;""=C32&amp;"")*(tbl_Finance[Xero Invoice No]&lt;&gt;"")*tbl_Finance[Date]))=0,"",SUMPRODUCT(MAX((tbl_Finance[Job Number]&amp;""=C32&amp;"")*(tbl_Finance[Xero Invoice No]&lt;&gt;"")*tbl_Finance[Date]))),""))</f>
        <v/>
      </c>
      <c r="B32" s="26">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2" t="n"/>
      <c r="D32" s="26">
        <f>IF(C32="","",IF(COUNTIF(lst_Jobs,C32&amp;"")&gt;0,"OK","CHECK"))</f>
        <v/>
      </c>
      <c r="E32" s="26">
        <f>IF(C32="","",IFERROR(INDEX(lst_JobName,MATCH(C32&amp;"",lst_Jobs,0)),""))</f>
        <v/>
      </c>
      <c r="F32" s="22" t="n"/>
      <c r="G32" s="22" t="n"/>
      <c r="H32" s="22" t="n"/>
      <c r="I32" s="22" t="n"/>
      <c r="J32" s="22" t="n"/>
      <c r="K32" s="28">
        <f>IF(C32="","",COUNTIFS(tbl_Finance[Job Number],C32&amp;"",tbl_Finance[Ex GST],"&lt;&gt;"))</f>
        <v/>
      </c>
      <c r="L32" s="27">
        <f>IF(C32="","",SUMIFS(tbl_Finance[Ex GST],tbl_Finance[Job Number],C32&amp;""))</f>
        <v/>
      </c>
      <c r="M32" s="27">
        <f>IF(C32="","",SUMIFS(tbl_Finance[Ex GST],tbl_Finance[Job Number],C32&amp;"",tbl_Finance[Xero Invoice No],"&lt;&gt;"))</f>
        <v/>
      </c>
      <c r="N32" s="27">
        <f>IF(C32="","",L32-M32)</f>
        <v/>
      </c>
      <c r="O32" s="24" t="n"/>
      <c r="P32" s="27">
        <f>IF(C32="","",IF(O32="",0,MAX(0,O32-L32)))</f>
        <v/>
      </c>
      <c r="Q32" s="26">
        <f>IF(C32="","",IF(K32=0,"not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R32" s="22" t="n"/>
      <c r="S32" s="22" t="n"/>
      <c r="T32" s="26">
        <f>IF(S32="","",HYPERLINK(IF(LEFT(S32,4)="http",S32,set_QwilrBase&amp;S32),"Open quote"))</f>
        <v/>
      </c>
      <c r="U32" s="71" t="n"/>
      <c r="V32" s="22" t="n"/>
      <c r="W32" s="22" t="n"/>
    </row>
    <row r="33" ht="15" customHeight="1">
      <c r="A33" s="70">
        <f>IF(C33="","",IFERROR(IF(SUMPRODUCT(MAX((tbl_Finance[Job Number]&amp;""=C33&amp;"")*(tbl_Finance[Xero Invoice No]&lt;&gt;"")*tbl_Finance[Date]))=0,"",SUMPRODUCT(MAX((tbl_Finance[Job Number]&amp;""=C33&amp;"")*(tbl_Finance[Xero Invoice No]&lt;&gt;"")*tbl_Finance[Date]))),""))</f>
        <v/>
      </c>
      <c r="B33" s="26">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2" t="n"/>
      <c r="D33" s="26">
        <f>IF(C33="","",IF(COUNTIF(lst_Jobs,C33&amp;"")&gt;0,"OK","CHECK"))</f>
        <v/>
      </c>
      <c r="E33" s="26">
        <f>IF(C33="","",IFERROR(INDEX(lst_JobName,MATCH(C33&amp;"",lst_Jobs,0)),""))</f>
        <v/>
      </c>
      <c r="F33" s="22" t="n"/>
      <c r="G33" s="22" t="n"/>
      <c r="H33" s="22" t="n"/>
      <c r="I33" s="22" t="n"/>
      <c r="J33" s="22" t="n"/>
      <c r="K33" s="28">
        <f>IF(C33="","",COUNTIFS(tbl_Finance[Job Number],C33&amp;"",tbl_Finance[Ex GST],"&lt;&gt;"))</f>
        <v/>
      </c>
      <c r="L33" s="27">
        <f>IF(C33="","",SUMIFS(tbl_Finance[Ex GST],tbl_Finance[Job Number],C33&amp;""))</f>
        <v/>
      </c>
      <c r="M33" s="27">
        <f>IF(C33="","",SUMIFS(tbl_Finance[Ex GST],tbl_Finance[Job Number],C33&amp;"",tbl_Finance[Xero Invoice No],"&lt;&gt;"))</f>
        <v/>
      </c>
      <c r="N33" s="27">
        <f>IF(C33="","",L33-M33)</f>
        <v/>
      </c>
      <c r="O33" s="24" t="n"/>
      <c r="P33" s="27">
        <f>IF(C33="","",IF(O33="",0,MAX(0,O33-L33)))</f>
        <v/>
      </c>
      <c r="Q33" s="26">
        <f>IF(C33="","",IF(K33=0,"not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R33" s="22" t="n"/>
      <c r="S33" s="22" t="n"/>
      <c r="T33" s="26">
        <f>IF(S33="","",HYPERLINK(IF(LEFT(S33,4)="http",S33,set_QwilrBase&amp;S33),"Open quote"))</f>
        <v/>
      </c>
      <c r="U33" s="71" t="n"/>
      <c r="V33" s="22" t="n"/>
      <c r="W33" s="22" t="n"/>
    </row>
    <row r="34" ht="15" customHeight="1">
      <c r="A34" s="70">
        <f>IF(C34="","",IFERROR(IF(SUMPRODUCT(MAX((tbl_Finance[Job Number]&amp;""=C34&amp;"")*(tbl_Finance[Xero Invoice No]&lt;&gt;"")*tbl_Finance[Date]))=0,"",SUMPRODUCT(MAX((tbl_Finance[Job Number]&amp;""=C34&amp;"")*(tbl_Finance[Xero Invoice No]&lt;&gt;"")*tbl_Finance[Date]))),""))</f>
        <v/>
      </c>
      <c r="B34" s="26">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2" t="n"/>
      <c r="D34" s="26">
        <f>IF(C34="","",IF(COUNTIF(lst_Jobs,C34&amp;"")&gt;0,"OK","CHECK"))</f>
        <v/>
      </c>
      <c r="E34" s="26">
        <f>IF(C34="","",IFERROR(INDEX(lst_JobName,MATCH(C34&amp;"",lst_Jobs,0)),""))</f>
        <v/>
      </c>
      <c r="F34" s="22" t="n"/>
      <c r="G34" s="22" t="n"/>
      <c r="H34" s="22" t="n"/>
      <c r="I34" s="22" t="n"/>
      <c r="J34" s="22" t="n"/>
      <c r="K34" s="28">
        <f>IF(C34="","",COUNTIFS(tbl_Finance[Job Number],C34&amp;"",tbl_Finance[Ex GST],"&lt;&gt;"))</f>
        <v/>
      </c>
      <c r="L34" s="27">
        <f>IF(C34="","",SUMIFS(tbl_Finance[Ex GST],tbl_Finance[Job Number],C34&amp;""))</f>
        <v/>
      </c>
      <c r="M34" s="27">
        <f>IF(C34="","",SUMIFS(tbl_Finance[Ex GST],tbl_Finance[Job Number],C34&amp;"",tbl_Finance[Xero Invoice No],"&lt;&gt;"))</f>
        <v/>
      </c>
      <c r="N34" s="27">
        <f>IF(C34="","",L34-M34)</f>
        <v/>
      </c>
      <c r="O34" s="24" t="n"/>
      <c r="P34" s="27">
        <f>IF(C34="","",IF(O34="",0,MAX(0,O34-L34)))</f>
        <v/>
      </c>
      <c r="Q34" s="26">
        <f>IF(C34="","",IF(K34=0,"not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R34" s="22" t="n"/>
      <c r="S34" s="22" t="n"/>
      <c r="T34" s="26">
        <f>IF(S34="","",HYPERLINK(IF(LEFT(S34,4)="http",S34,set_QwilrBase&amp;S34),"Open quote"))</f>
        <v/>
      </c>
      <c r="U34" s="71" t="n"/>
      <c r="V34" s="22" t="n"/>
      <c r="W34" s="22" t="n"/>
    </row>
    <row r="35" ht="15" customHeight="1">
      <c r="A35" s="70">
        <f>IF(C35="","",IFERROR(IF(SUMPRODUCT(MAX((tbl_Finance[Job Number]&amp;""=C35&amp;"")*(tbl_Finance[Xero Invoice No]&lt;&gt;"")*tbl_Finance[Date]))=0,"",SUMPRODUCT(MAX((tbl_Finance[Job Number]&amp;""=C35&amp;"")*(tbl_Finance[Xero Invoice No]&lt;&gt;"")*tbl_Finance[Date]))),""))</f>
        <v/>
      </c>
      <c r="B35" s="26">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2" t="n"/>
      <c r="D35" s="26">
        <f>IF(C35="","",IF(COUNTIF(lst_Jobs,C35&amp;"")&gt;0,"OK","CHECK"))</f>
        <v/>
      </c>
      <c r="E35" s="26">
        <f>IF(C35="","",IFERROR(INDEX(lst_JobName,MATCH(C35&amp;"",lst_Jobs,0)),""))</f>
        <v/>
      </c>
      <c r="F35" s="22" t="n"/>
      <c r="G35" s="22" t="n"/>
      <c r="H35" s="22" t="n"/>
      <c r="I35" s="22" t="n"/>
      <c r="J35" s="22" t="n"/>
      <c r="K35" s="28">
        <f>IF(C35="","",COUNTIFS(tbl_Finance[Job Number],C35&amp;"",tbl_Finance[Ex GST],"&lt;&gt;"))</f>
        <v/>
      </c>
      <c r="L35" s="27">
        <f>IF(C35="","",SUMIFS(tbl_Finance[Ex GST],tbl_Finance[Job Number],C35&amp;""))</f>
        <v/>
      </c>
      <c r="M35" s="27">
        <f>IF(C35="","",SUMIFS(tbl_Finance[Ex GST],tbl_Finance[Job Number],C35&amp;"",tbl_Finance[Xero Invoice No],"&lt;&gt;"))</f>
        <v/>
      </c>
      <c r="N35" s="27">
        <f>IF(C35="","",L35-M35)</f>
        <v/>
      </c>
      <c r="O35" s="24" t="n"/>
      <c r="P35" s="27">
        <f>IF(C35="","",IF(O35="",0,MAX(0,O35-L35)))</f>
        <v/>
      </c>
      <c r="Q35" s="26">
        <f>IF(C35="","",IF(K35=0,"not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R35" s="22" t="n"/>
      <c r="S35" s="22" t="n"/>
      <c r="T35" s="26">
        <f>IF(S35="","",HYPERLINK(IF(LEFT(S35,4)="http",S35,set_QwilrBase&amp;S35),"Open quote"))</f>
        <v/>
      </c>
      <c r="U35" s="71" t="n"/>
      <c r="V35" s="22" t="n"/>
      <c r="W35" s="22" t="n"/>
    </row>
    <row r="36" ht="15" customHeight="1">
      <c r="A36" s="70">
        <f>IF(C36="","",IFERROR(IF(SUMPRODUCT(MAX((tbl_Finance[Job Number]&amp;""=C36&amp;"")*(tbl_Finance[Xero Invoice No]&lt;&gt;"")*tbl_Finance[Date]))=0,"",SUMPRODUCT(MAX((tbl_Finance[Job Number]&amp;""=C36&amp;"")*(tbl_Finance[Xero Invoice No]&lt;&gt;"")*tbl_Finance[Date]))),""))</f>
        <v/>
      </c>
      <c r="B36" s="26">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2" t="n"/>
      <c r="D36" s="26">
        <f>IF(C36="","",IF(COUNTIF(lst_Jobs,C36&amp;"")&gt;0,"OK","CHECK"))</f>
        <v/>
      </c>
      <c r="E36" s="26">
        <f>IF(C36="","",IFERROR(INDEX(lst_JobName,MATCH(C36&amp;"",lst_Jobs,0)),""))</f>
        <v/>
      </c>
      <c r="F36" s="22" t="n"/>
      <c r="G36" s="22" t="n"/>
      <c r="H36" s="22" t="n"/>
      <c r="I36" s="22" t="n"/>
      <c r="J36" s="22" t="n"/>
      <c r="K36" s="28">
        <f>IF(C36="","",COUNTIFS(tbl_Finance[Job Number],C36&amp;"",tbl_Finance[Ex GST],"&lt;&gt;"))</f>
        <v/>
      </c>
      <c r="L36" s="27">
        <f>IF(C36="","",SUMIFS(tbl_Finance[Ex GST],tbl_Finance[Job Number],C36&amp;""))</f>
        <v/>
      </c>
      <c r="M36" s="27">
        <f>IF(C36="","",SUMIFS(tbl_Finance[Ex GST],tbl_Finance[Job Number],C36&amp;"",tbl_Finance[Xero Invoice No],"&lt;&gt;"))</f>
        <v/>
      </c>
      <c r="N36" s="27">
        <f>IF(C36="","",L36-M36)</f>
        <v/>
      </c>
      <c r="O36" s="24" t="n"/>
      <c r="P36" s="27">
        <f>IF(C36="","",IF(O36="",0,MAX(0,O36-L36)))</f>
        <v/>
      </c>
      <c r="Q36" s="26">
        <f>IF(C36="","",IF(K36=0,"not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R36" s="22" t="n"/>
      <c r="S36" s="22" t="n"/>
      <c r="T36" s="26">
        <f>IF(S36="","",HYPERLINK(IF(LEFT(S36,4)="http",S36,set_QwilrBase&amp;S36),"Open quote"))</f>
        <v/>
      </c>
      <c r="U36" s="71" t="n"/>
      <c r="V36" s="22" t="n"/>
      <c r="W36" s="22" t="n"/>
    </row>
    <row r="37" ht="15" customHeight="1">
      <c r="A37" s="70">
        <f>IF(C37="","",IFERROR(IF(SUMPRODUCT(MAX((tbl_Finance[Job Number]&amp;""=C37&amp;"")*(tbl_Finance[Xero Invoice No]&lt;&gt;"")*tbl_Finance[Date]))=0,"",SUMPRODUCT(MAX((tbl_Finance[Job Number]&amp;""=C37&amp;"")*(tbl_Finance[Xero Invoice No]&lt;&gt;"")*tbl_Finance[Date]))),""))</f>
        <v/>
      </c>
      <c r="B37" s="26">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2" t="n"/>
      <c r="D37" s="26">
        <f>IF(C37="","",IF(COUNTIF(lst_Jobs,C37&amp;"")&gt;0,"OK","CHECK"))</f>
        <v/>
      </c>
      <c r="E37" s="26">
        <f>IF(C37="","",IFERROR(INDEX(lst_JobName,MATCH(C37&amp;"",lst_Jobs,0)),""))</f>
        <v/>
      </c>
      <c r="F37" s="22" t="n"/>
      <c r="G37" s="22" t="n"/>
      <c r="H37" s="22" t="n"/>
      <c r="I37" s="22" t="n"/>
      <c r="J37" s="22" t="n"/>
      <c r="K37" s="28">
        <f>IF(C37="","",COUNTIFS(tbl_Finance[Job Number],C37&amp;"",tbl_Finance[Ex GST],"&lt;&gt;"))</f>
        <v/>
      </c>
      <c r="L37" s="27">
        <f>IF(C37="","",SUMIFS(tbl_Finance[Ex GST],tbl_Finance[Job Number],C37&amp;""))</f>
        <v/>
      </c>
      <c r="M37" s="27">
        <f>IF(C37="","",SUMIFS(tbl_Finance[Ex GST],tbl_Finance[Job Number],C37&amp;"",tbl_Finance[Xero Invoice No],"&lt;&gt;"))</f>
        <v/>
      </c>
      <c r="N37" s="27">
        <f>IF(C37="","",L37-M37)</f>
        <v/>
      </c>
      <c r="O37" s="24" t="n"/>
      <c r="P37" s="27">
        <f>IF(C37="","",IF(O37="",0,MAX(0,O37-L37)))</f>
        <v/>
      </c>
      <c r="Q37" s="26">
        <f>IF(C37="","",IF(K37=0,"not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R37" s="22" t="n"/>
      <c r="S37" s="22" t="n"/>
      <c r="T37" s="26">
        <f>IF(S37="","",HYPERLINK(IF(LEFT(S37,4)="http",S37,set_QwilrBase&amp;S37),"Open quote"))</f>
        <v/>
      </c>
      <c r="U37" s="71" t="n"/>
      <c r="V37" s="22" t="n"/>
      <c r="W37" s="22" t="n"/>
    </row>
    <row r="38" ht="15" customHeight="1">
      <c r="A38" s="70">
        <f>IF(C38="","",IFERROR(IF(SUMPRODUCT(MAX((tbl_Finance[Job Number]&amp;""=C38&amp;"")*(tbl_Finance[Xero Invoice No]&lt;&gt;"")*tbl_Finance[Date]))=0,"",SUMPRODUCT(MAX((tbl_Finance[Job Number]&amp;""=C38&amp;"")*(tbl_Finance[Xero Invoice No]&lt;&gt;"")*tbl_Finance[Date]))),""))</f>
        <v/>
      </c>
      <c r="B38" s="26">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2" t="n"/>
      <c r="D38" s="26">
        <f>IF(C38="","",IF(COUNTIF(lst_Jobs,C38&amp;"")&gt;0,"OK","CHECK"))</f>
        <v/>
      </c>
      <c r="E38" s="26">
        <f>IF(C38="","",IFERROR(INDEX(lst_JobName,MATCH(C38&amp;"",lst_Jobs,0)),""))</f>
        <v/>
      </c>
      <c r="F38" s="22" t="n"/>
      <c r="G38" s="22" t="n"/>
      <c r="H38" s="22" t="n"/>
      <c r="I38" s="22" t="n"/>
      <c r="J38" s="22" t="n"/>
      <c r="K38" s="28">
        <f>IF(C38="","",COUNTIFS(tbl_Finance[Job Number],C38&amp;"",tbl_Finance[Ex GST],"&lt;&gt;"))</f>
        <v/>
      </c>
      <c r="L38" s="27">
        <f>IF(C38="","",SUMIFS(tbl_Finance[Ex GST],tbl_Finance[Job Number],C38&amp;""))</f>
        <v/>
      </c>
      <c r="M38" s="27">
        <f>IF(C38="","",SUMIFS(tbl_Finance[Ex GST],tbl_Finance[Job Number],C38&amp;"",tbl_Finance[Xero Invoice No],"&lt;&gt;"))</f>
        <v/>
      </c>
      <c r="N38" s="27">
        <f>IF(C38="","",L38-M38)</f>
        <v/>
      </c>
      <c r="O38" s="24" t="n"/>
      <c r="P38" s="27">
        <f>IF(C38="","",IF(O38="",0,MAX(0,O38-L38)))</f>
        <v/>
      </c>
      <c r="Q38" s="26">
        <f>IF(C38="","",IF(K38=0,"not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R38" s="22" t="n"/>
      <c r="S38" s="22" t="n"/>
      <c r="T38" s="26">
        <f>IF(S38="","",HYPERLINK(IF(LEFT(S38,4)="http",S38,set_QwilrBase&amp;S38),"Open quote"))</f>
        <v/>
      </c>
      <c r="U38" s="71" t="n"/>
      <c r="V38" s="22" t="n"/>
      <c r="W38" s="22" t="n"/>
    </row>
    <row r="39" ht="15" customHeight="1">
      <c r="A39" s="70">
        <f>IF(C39="","",IFERROR(IF(SUMPRODUCT(MAX((tbl_Finance[Job Number]&amp;""=C39&amp;"")*(tbl_Finance[Xero Invoice No]&lt;&gt;"")*tbl_Finance[Date]))=0,"",SUMPRODUCT(MAX((tbl_Finance[Job Number]&amp;""=C39&amp;"")*(tbl_Finance[Xero Invoice No]&lt;&gt;"")*tbl_Finance[Date]))),""))</f>
        <v/>
      </c>
      <c r="B39" s="26">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2" t="n"/>
      <c r="D39" s="26">
        <f>IF(C39="","",IF(COUNTIF(lst_Jobs,C39&amp;"")&gt;0,"OK","CHECK"))</f>
        <v/>
      </c>
      <c r="E39" s="26">
        <f>IF(C39="","",IFERROR(INDEX(lst_JobName,MATCH(C39&amp;"",lst_Jobs,0)),""))</f>
        <v/>
      </c>
      <c r="F39" s="22" t="n"/>
      <c r="G39" s="22" t="n"/>
      <c r="H39" s="22" t="n"/>
      <c r="I39" s="22" t="n"/>
      <c r="J39" s="22" t="n"/>
      <c r="K39" s="28">
        <f>IF(C39="","",COUNTIFS(tbl_Finance[Job Number],C39&amp;"",tbl_Finance[Ex GST],"&lt;&gt;"))</f>
        <v/>
      </c>
      <c r="L39" s="27">
        <f>IF(C39="","",SUMIFS(tbl_Finance[Ex GST],tbl_Finance[Job Number],C39&amp;""))</f>
        <v/>
      </c>
      <c r="M39" s="27">
        <f>IF(C39="","",SUMIFS(tbl_Finance[Ex GST],tbl_Finance[Job Number],C39&amp;"",tbl_Finance[Xero Invoice No],"&lt;&gt;"))</f>
        <v/>
      </c>
      <c r="N39" s="27">
        <f>IF(C39="","",L39-M39)</f>
        <v/>
      </c>
      <c r="O39" s="24" t="n"/>
      <c r="P39" s="27">
        <f>IF(C39="","",IF(O39="",0,MAX(0,O39-L39)))</f>
        <v/>
      </c>
      <c r="Q39" s="26">
        <f>IF(C39="","",IF(K39=0,"not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R39" s="22" t="n"/>
      <c r="S39" s="22" t="n"/>
      <c r="T39" s="26">
        <f>IF(S39="","",HYPERLINK(IF(LEFT(S39,4)="http",S39,set_QwilrBase&amp;S39),"Open quote"))</f>
        <v/>
      </c>
      <c r="U39" s="71" t="n"/>
      <c r="V39" s="22" t="n"/>
      <c r="W39" s="22" t="n"/>
    </row>
    <row r="40" ht="15" customHeight="1">
      <c r="A40" s="70">
        <f>IF(C40="","",IFERROR(IF(SUMPRODUCT(MAX((tbl_Finance[Job Number]&amp;""=C40&amp;"")*(tbl_Finance[Xero Invoice No]&lt;&gt;"")*tbl_Finance[Date]))=0,"",SUMPRODUCT(MAX((tbl_Finance[Job Number]&amp;""=C40&amp;"")*(tbl_Finance[Xero Invoice No]&lt;&gt;"")*tbl_Finance[Date]))),""))</f>
        <v/>
      </c>
      <c r="B40" s="26">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2" t="n"/>
      <c r="D40" s="26">
        <f>IF(C40="","",IF(COUNTIF(lst_Jobs,C40&amp;"")&gt;0,"OK","CHECK"))</f>
        <v/>
      </c>
      <c r="E40" s="26">
        <f>IF(C40="","",IFERROR(INDEX(lst_JobName,MATCH(C40&amp;"",lst_Jobs,0)),""))</f>
        <v/>
      </c>
      <c r="F40" s="22" t="n"/>
      <c r="G40" s="22" t="n"/>
      <c r="H40" s="22" t="n"/>
      <c r="I40" s="22" t="n"/>
      <c r="J40" s="22" t="n"/>
      <c r="K40" s="28">
        <f>IF(C40="","",COUNTIFS(tbl_Finance[Job Number],C40&amp;"",tbl_Finance[Ex GST],"&lt;&gt;"))</f>
        <v/>
      </c>
      <c r="L40" s="27">
        <f>IF(C40="","",SUMIFS(tbl_Finance[Ex GST],tbl_Finance[Job Number],C40&amp;""))</f>
        <v/>
      </c>
      <c r="M40" s="27">
        <f>IF(C40="","",SUMIFS(tbl_Finance[Ex GST],tbl_Finance[Job Number],C40&amp;"",tbl_Finance[Xero Invoice No],"&lt;&gt;"))</f>
        <v/>
      </c>
      <c r="N40" s="27">
        <f>IF(C40="","",L40-M40)</f>
        <v/>
      </c>
      <c r="O40" s="24" t="n"/>
      <c r="P40" s="27">
        <f>IF(C40="","",IF(O40="",0,MAX(0,O40-L40)))</f>
        <v/>
      </c>
      <c r="Q40" s="26">
        <f>IF(C40="","",IF(K40=0,"not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R40" s="22" t="n"/>
      <c r="S40" s="22" t="n"/>
      <c r="T40" s="26">
        <f>IF(S40="","",HYPERLINK(IF(LEFT(S40,4)="http",S40,set_QwilrBase&amp;S40),"Open quote"))</f>
        <v/>
      </c>
      <c r="U40" s="71" t="n"/>
      <c r="V40" s="22" t="n"/>
      <c r="W40" s="22" t="n"/>
    </row>
    <row r="41" ht="15" customHeight="1">
      <c r="A41" s="70">
        <f>IF(C41="","",IFERROR(IF(SUMPRODUCT(MAX((tbl_Finance[Job Number]&amp;""=C41&amp;"")*(tbl_Finance[Xero Invoice No]&lt;&gt;"")*tbl_Finance[Date]))=0,"",SUMPRODUCT(MAX((tbl_Finance[Job Number]&amp;""=C41&amp;"")*(tbl_Finance[Xero Invoice No]&lt;&gt;"")*tbl_Finance[Date]))),""))</f>
        <v/>
      </c>
      <c r="B41" s="26">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2" t="n"/>
      <c r="D41" s="26">
        <f>IF(C41="","",IF(COUNTIF(lst_Jobs,C41&amp;"")&gt;0,"OK","CHECK"))</f>
        <v/>
      </c>
      <c r="E41" s="26">
        <f>IF(C41="","",IFERROR(INDEX(lst_JobName,MATCH(C41&amp;"",lst_Jobs,0)),""))</f>
        <v/>
      </c>
      <c r="F41" s="22" t="n"/>
      <c r="G41" s="22" t="n"/>
      <c r="H41" s="22" t="n"/>
      <c r="I41" s="22" t="n"/>
      <c r="J41" s="22" t="n"/>
      <c r="K41" s="28">
        <f>IF(C41="","",COUNTIFS(tbl_Finance[Job Number],C41&amp;"",tbl_Finance[Ex GST],"&lt;&gt;"))</f>
        <v/>
      </c>
      <c r="L41" s="27">
        <f>IF(C41="","",SUMIFS(tbl_Finance[Ex GST],tbl_Finance[Job Number],C41&amp;""))</f>
        <v/>
      </c>
      <c r="M41" s="27">
        <f>IF(C41="","",SUMIFS(tbl_Finance[Ex GST],tbl_Finance[Job Number],C41&amp;"",tbl_Finance[Xero Invoice No],"&lt;&gt;"))</f>
        <v/>
      </c>
      <c r="N41" s="27">
        <f>IF(C41="","",L41-M41)</f>
        <v/>
      </c>
      <c r="O41" s="24" t="n"/>
      <c r="P41" s="27">
        <f>IF(C41="","",IF(O41="",0,MAX(0,O41-L41)))</f>
        <v/>
      </c>
      <c r="Q41" s="26">
        <f>IF(C41="","",IF(K41=0,"not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R41" s="22" t="n"/>
      <c r="S41" s="22" t="n"/>
      <c r="T41" s="26">
        <f>IF(S41="","",HYPERLINK(IF(LEFT(S41,4)="http",S41,set_QwilrBase&amp;S41),"Open quote"))</f>
        <v/>
      </c>
      <c r="U41" s="71" t="n"/>
      <c r="V41" s="22" t="n"/>
      <c r="W41" s="22" t="n"/>
    </row>
    <row r="42" ht="15" customHeight="1">
      <c r="A42" s="70">
        <f>IF(C42="","",IFERROR(IF(SUMPRODUCT(MAX((tbl_Finance[Job Number]&amp;""=C42&amp;"")*(tbl_Finance[Xero Invoice No]&lt;&gt;"")*tbl_Finance[Date]))=0,"",SUMPRODUCT(MAX((tbl_Finance[Job Number]&amp;""=C42&amp;"")*(tbl_Finance[Xero Invoice No]&lt;&gt;"")*tbl_Finance[Date]))),""))</f>
        <v/>
      </c>
      <c r="B42" s="26">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2" t="n"/>
      <c r="D42" s="26">
        <f>IF(C42="","",IF(COUNTIF(lst_Jobs,C42&amp;"")&gt;0,"OK","CHECK"))</f>
        <v/>
      </c>
      <c r="E42" s="26">
        <f>IF(C42="","",IFERROR(INDEX(lst_JobName,MATCH(C42&amp;"",lst_Jobs,0)),""))</f>
        <v/>
      </c>
      <c r="F42" s="22" t="n"/>
      <c r="G42" s="22" t="n"/>
      <c r="H42" s="22" t="n"/>
      <c r="I42" s="22" t="n"/>
      <c r="J42" s="22" t="n"/>
      <c r="K42" s="28">
        <f>IF(C42="","",COUNTIFS(tbl_Finance[Job Number],C42&amp;"",tbl_Finance[Ex GST],"&lt;&gt;"))</f>
        <v/>
      </c>
      <c r="L42" s="27">
        <f>IF(C42="","",SUMIFS(tbl_Finance[Ex GST],tbl_Finance[Job Number],C42&amp;""))</f>
        <v/>
      </c>
      <c r="M42" s="27">
        <f>IF(C42="","",SUMIFS(tbl_Finance[Ex GST],tbl_Finance[Job Number],C42&amp;"",tbl_Finance[Xero Invoice No],"&lt;&gt;"))</f>
        <v/>
      </c>
      <c r="N42" s="27">
        <f>IF(C42="","",L42-M42)</f>
        <v/>
      </c>
      <c r="O42" s="24" t="n"/>
      <c r="P42" s="27">
        <f>IF(C42="","",IF(O42="",0,MAX(0,O42-L42)))</f>
        <v/>
      </c>
      <c r="Q42" s="26">
        <f>IF(C42="","",IF(K42=0,"not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R42" s="22" t="n"/>
      <c r="S42" s="22" t="n"/>
      <c r="T42" s="26">
        <f>IF(S42="","",HYPERLINK(IF(LEFT(S42,4)="http",S42,set_QwilrBase&amp;S42),"Open quote"))</f>
        <v/>
      </c>
      <c r="U42" s="71" t="n"/>
      <c r="V42" s="22" t="n"/>
      <c r="W42" s="22" t="n"/>
    </row>
    <row r="43" ht="15" customHeight="1">
      <c r="A43" s="70">
        <f>IF(C43="","",IFERROR(IF(SUMPRODUCT(MAX((tbl_Finance[Job Number]&amp;""=C43&amp;"")*(tbl_Finance[Xero Invoice No]&lt;&gt;"")*tbl_Finance[Date]))=0,"",SUMPRODUCT(MAX((tbl_Finance[Job Number]&amp;""=C43&amp;"")*(tbl_Finance[Xero Invoice No]&lt;&gt;"")*tbl_Finance[Date]))),""))</f>
        <v/>
      </c>
      <c r="B43" s="26">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2" t="n"/>
      <c r="D43" s="26">
        <f>IF(C43="","",IF(COUNTIF(lst_Jobs,C43&amp;"")&gt;0,"OK","CHECK"))</f>
        <v/>
      </c>
      <c r="E43" s="26">
        <f>IF(C43="","",IFERROR(INDEX(lst_JobName,MATCH(C43&amp;"",lst_Jobs,0)),""))</f>
        <v/>
      </c>
      <c r="F43" s="22" t="n"/>
      <c r="G43" s="22" t="n"/>
      <c r="H43" s="22" t="n"/>
      <c r="I43" s="22" t="n"/>
      <c r="J43" s="22" t="n"/>
      <c r="K43" s="28">
        <f>IF(C43="","",COUNTIFS(tbl_Finance[Job Number],C43&amp;"",tbl_Finance[Ex GST],"&lt;&gt;"))</f>
        <v/>
      </c>
      <c r="L43" s="27">
        <f>IF(C43="","",SUMIFS(tbl_Finance[Ex GST],tbl_Finance[Job Number],C43&amp;""))</f>
        <v/>
      </c>
      <c r="M43" s="27">
        <f>IF(C43="","",SUMIFS(tbl_Finance[Ex GST],tbl_Finance[Job Number],C43&amp;"",tbl_Finance[Xero Invoice No],"&lt;&gt;"))</f>
        <v/>
      </c>
      <c r="N43" s="27">
        <f>IF(C43="","",L43-M43)</f>
        <v/>
      </c>
      <c r="O43" s="24" t="n"/>
      <c r="P43" s="27">
        <f>IF(C43="","",IF(O43="",0,MAX(0,O43-L43)))</f>
        <v/>
      </c>
      <c r="Q43" s="26">
        <f>IF(C43="","",IF(K43=0,"not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R43" s="22" t="n"/>
      <c r="S43" s="22" t="n"/>
      <c r="T43" s="26">
        <f>IF(S43="","",HYPERLINK(IF(LEFT(S43,4)="http",S43,set_QwilrBase&amp;S43),"Open quote"))</f>
        <v/>
      </c>
      <c r="U43" s="71" t="n"/>
      <c r="V43" s="22" t="n"/>
      <c r="W43" s="22" t="n"/>
    </row>
    <row r="44" ht="15" customHeight="1">
      <c r="A44" s="70">
        <f>IF(C44="","",IFERROR(IF(SUMPRODUCT(MAX((tbl_Finance[Job Number]&amp;""=C44&amp;"")*(tbl_Finance[Xero Invoice No]&lt;&gt;"")*tbl_Finance[Date]))=0,"",SUMPRODUCT(MAX((tbl_Finance[Job Number]&amp;""=C44&amp;"")*(tbl_Finance[Xero Invoice No]&lt;&gt;"")*tbl_Finance[Date]))),""))</f>
        <v/>
      </c>
      <c r="B44" s="26">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2" t="n"/>
      <c r="D44" s="26">
        <f>IF(C44="","",IF(COUNTIF(lst_Jobs,C44&amp;"")&gt;0,"OK","CHECK"))</f>
        <v/>
      </c>
      <c r="E44" s="26">
        <f>IF(C44="","",IFERROR(INDEX(lst_JobName,MATCH(C44&amp;"",lst_Jobs,0)),""))</f>
        <v/>
      </c>
      <c r="F44" s="22" t="n"/>
      <c r="G44" s="22" t="n"/>
      <c r="H44" s="22" t="n"/>
      <c r="I44" s="22" t="n"/>
      <c r="J44" s="22" t="n"/>
      <c r="K44" s="28">
        <f>IF(C44="","",COUNTIFS(tbl_Finance[Job Number],C44&amp;"",tbl_Finance[Ex GST],"&lt;&gt;"))</f>
        <v/>
      </c>
      <c r="L44" s="27">
        <f>IF(C44="","",SUMIFS(tbl_Finance[Ex GST],tbl_Finance[Job Number],C44&amp;""))</f>
        <v/>
      </c>
      <c r="M44" s="27">
        <f>IF(C44="","",SUMIFS(tbl_Finance[Ex GST],tbl_Finance[Job Number],C44&amp;"",tbl_Finance[Xero Invoice No],"&lt;&gt;"))</f>
        <v/>
      </c>
      <c r="N44" s="27">
        <f>IF(C44="","",L44-M44)</f>
        <v/>
      </c>
      <c r="O44" s="24" t="n"/>
      <c r="P44" s="27">
        <f>IF(C44="","",IF(O44="",0,MAX(0,O44-L44)))</f>
        <v/>
      </c>
      <c r="Q44" s="26">
        <f>IF(C44="","",IF(K44=0,"not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R44" s="22" t="n"/>
      <c r="S44" s="22" t="n"/>
      <c r="T44" s="26">
        <f>IF(S44="","",HYPERLINK(IF(LEFT(S44,4)="http",S44,set_QwilrBase&amp;S44),"Open quote"))</f>
        <v/>
      </c>
      <c r="U44" s="71" t="n"/>
      <c r="V44" s="22" t="n"/>
      <c r="W44" s="22" t="n"/>
    </row>
    <row r="45" ht="15" customHeight="1">
      <c r="A45" s="70">
        <f>IF(C45="","",IFERROR(IF(SUMPRODUCT(MAX((tbl_Finance[Job Number]&amp;""=C45&amp;"")*(tbl_Finance[Xero Invoice No]&lt;&gt;"")*tbl_Finance[Date]))=0,"",SUMPRODUCT(MAX((tbl_Finance[Job Number]&amp;""=C45&amp;"")*(tbl_Finance[Xero Invoice No]&lt;&gt;"")*tbl_Finance[Date]))),""))</f>
        <v/>
      </c>
      <c r="B45" s="26">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2" t="n"/>
      <c r="D45" s="26">
        <f>IF(C45="","",IF(COUNTIF(lst_Jobs,C45&amp;"")&gt;0,"OK","CHECK"))</f>
        <v/>
      </c>
      <c r="E45" s="26">
        <f>IF(C45="","",IFERROR(INDEX(lst_JobName,MATCH(C45&amp;"",lst_Jobs,0)),""))</f>
        <v/>
      </c>
      <c r="F45" s="22" t="n"/>
      <c r="G45" s="22" t="n"/>
      <c r="H45" s="22" t="n"/>
      <c r="I45" s="22" t="n"/>
      <c r="J45" s="22" t="n"/>
      <c r="K45" s="28">
        <f>IF(C45="","",COUNTIFS(tbl_Finance[Job Number],C45&amp;"",tbl_Finance[Ex GST],"&lt;&gt;"))</f>
        <v/>
      </c>
      <c r="L45" s="27">
        <f>IF(C45="","",SUMIFS(tbl_Finance[Ex GST],tbl_Finance[Job Number],C45&amp;""))</f>
        <v/>
      </c>
      <c r="M45" s="27">
        <f>IF(C45="","",SUMIFS(tbl_Finance[Ex GST],tbl_Finance[Job Number],C45&amp;"",tbl_Finance[Xero Invoice No],"&lt;&gt;"))</f>
        <v/>
      </c>
      <c r="N45" s="27">
        <f>IF(C45="","",L45-M45)</f>
        <v/>
      </c>
      <c r="O45" s="24" t="n"/>
      <c r="P45" s="27">
        <f>IF(C45="","",IF(O45="",0,MAX(0,O45-L45)))</f>
        <v/>
      </c>
      <c r="Q45" s="26">
        <f>IF(C45="","",IF(K45=0,"not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R45" s="22" t="n"/>
      <c r="S45" s="22" t="n"/>
      <c r="T45" s="26">
        <f>IF(S45="","",HYPERLINK(IF(LEFT(S45,4)="http",S45,set_QwilrBase&amp;S45),"Open quote"))</f>
        <v/>
      </c>
      <c r="U45" s="71" t="n"/>
      <c r="V45" s="22" t="n"/>
      <c r="W45" s="22" t="n"/>
    </row>
    <row r="46" ht="15" customHeight="1">
      <c r="A46" s="70">
        <f>IF(C46="","",IFERROR(IF(SUMPRODUCT(MAX((tbl_Finance[Job Number]&amp;""=C46&amp;"")*(tbl_Finance[Xero Invoice No]&lt;&gt;"")*tbl_Finance[Date]))=0,"",SUMPRODUCT(MAX((tbl_Finance[Job Number]&amp;""=C46&amp;"")*(tbl_Finance[Xero Invoice No]&lt;&gt;"")*tbl_Finance[Date]))),""))</f>
        <v/>
      </c>
      <c r="B46" s="26">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2" t="n"/>
      <c r="D46" s="26">
        <f>IF(C46="","",IF(COUNTIF(lst_Jobs,C46&amp;"")&gt;0,"OK","CHECK"))</f>
        <v/>
      </c>
      <c r="E46" s="26">
        <f>IF(C46="","",IFERROR(INDEX(lst_JobName,MATCH(C46&amp;"",lst_Jobs,0)),""))</f>
        <v/>
      </c>
      <c r="F46" s="22" t="n"/>
      <c r="G46" s="22" t="n"/>
      <c r="H46" s="22" t="n"/>
      <c r="I46" s="22" t="n"/>
      <c r="J46" s="22" t="n"/>
      <c r="K46" s="28">
        <f>IF(C46="","",COUNTIFS(tbl_Finance[Job Number],C46&amp;"",tbl_Finance[Ex GST],"&lt;&gt;"))</f>
        <v/>
      </c>
      <c r="L46" s="27">
        <f>IF(C46="","",SUMIFS(tbl_Finance[Ex GST],tbl_Finance[Job Number],C46&amp;""))</f>
        <v/>
      </c>
      <c r="M46" s="27">
        <f>IF(C46="","",SUMIFS(tbl_Finance[Ex GST],tbl_Finance[Job Number],C46&amp;"",tbl_Finance[Xero Invoice No],"&lt;&gt;"))</f>
        <v/>
      </c>
      <c r="N46" s="27">
        <f>IF(C46="","",L46-M46)</f>
        <v/>
      </c>
      <c r="O46" s="24" t="n"/>
      <c r="P46" s="27">
        <f>IF(C46="","",IF(O46="",0,MAX(0,O46-L46)))</f>
        <v/>
      </c>
      <c r="Q46" s="26">
        <f>IF(C46="","",IF(K46=0,"not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R46" s="22" t="n"/>
      <c r="S46" s="22" t="n"/>
      <c r="T46" s="26">
        <f>IF(S46="","",HYPERLINK(IF(LEFT(S46,4)="http",S46,set_QwilrBase&amp;S46),"Open quote"))</f>
        <v/>
      </c>
      <c r="U46" s="71" t="n"/>
      <c r="V46" s="22" t="n"/>
      <c r="W46" s="22" t="n"/>
    </row>
    <row r="47" ht="15" customHeight="1">
      <c r="A47" s="70">
        <f>IF(C47="","",IFERROR(IF(SUMPRODUCT(MAX((tbl_Finance[Job Number]&amp;""=C47&amp;"")*(tbl_Finance[Xero Invoice No]&lt;&gt;"")*tbl_Finance[Date]))=0,"",SUMPRODUCT(MAX((tbl_Finance[Job Number]&amp;""=C47&amp;"")*(tbl_Finance[Xero Invoice No]&lt;&gt;"")*tbl_Finance[Date]))),""))</f>
        <v/>
      </c>
      <c r="B47" s="26">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2" t="n"/>
      <c r="D47" s="26">
        <f>IF(C47="","",IF(COUNTIF(lst_Jobs,C47&amp;"")&gt;0,"OK","CHECK"))</f>
        <v/>
      </c>
      <c r="E47" s="26">
        <f>IF(C47="","",IFERROR(INDEX(lst_JobName,MATCH(C47&amp;"",lst_Jobs,0)),""))</f>
        <v/>
      </c>
      <c r="F47" s="22" t="n"/>
      <c r="G47" s="22" t="n"/>
      <c r="H47" s="22" t="n"/>
      <c r="I47" s="22" t="n"/>
      <c r="J47" s="22" t="n"/>
      <c r="K47" s="28">
        <f>IF(C47="","",COUNTIFS(tbl_Finance[Job Number],C47&amp;"",tbl_Finance[Ex GST],"&lt;&gt;"))</f>
        <v/>
      </c>
      <c r="L47" s="27">
        <f>IF(C47="","",SUMIFS(tbl_Finance[Ex GST],tbl_Finance[Job Number],C47&amp;""))</f>
        <v/>
      </c>
      <c r="M47" s="27">
        <f>IF(C47="","",SUMIFS(tbl_Finance[Ex GST],tbl_Finance[Job Number],C47&amp;"",tbl_Finance[Xero Invoice No],"&lt;&gt;"))</f>
        <v/>
      </c>
      <c r="N47" s="27">
        <f>IF(C47="","",L47-M47)</f>
        <v/>
      </c>
      <c r="O47" s="24" t="n"/>
      <c r="P47" s="27">
        <f>IF(C47="","",IF(O47="",0,MAX(0,O47-L47)))</f>
        <v/>
      </c>
      <c r="Q47" s="26">
        <f>IF(C47="","",IF(K47=0,"not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R47" s="22" t="n"/>
      <c r="S47" s="22" t="n"/>
      <c r="T47" s="26">
        <f>IF(S47="","",HYPERLINK(IF(LEFT(S47,4)="http",S47,set_QwilrBase&amp;S47),"Open quote"))</f>
        <v/>
      </c>
      <c r="U47" s="71" t="n"/>
      <c r="V47" s="22" t="n"/>
      <c r="W47" s="22" t="n"/>
    </row>
    <row r="48" ht="15" customHeight="1">
      <c r="A48" s="70">
        <f>IF(C48="","",IFERROR(IF(SUMPRODUCT(MAX((tbl_Finance[Job Number]&amp;""=C48&amp;"")*(tbl_Finance[Xero Invoice No]&lt;&gt;"")*tbl_Finance[Date]))=0,"",SUMPRODUCT(MAX((tbl_Finance[Job Number]&amp;""=C48&amp;"")*(tbl_Finance[Xero Invoice No]&lt;&gt;"")*tbl_Finance[Date]))),""))</f>
        <v/>
      </c>
      <c r="B48" s="26">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2" t="n"/>
      <c r="D48" s="26">
        <f>IF(C48="","",IF(COUNTIF(lst_Jobs,C48&amp;"")&gt;0,"OK","CHECK"))</f>
        <v/>
      </c>
      <c r="E48" s="26">
        <f>IF(C48="","",IFERROR(INDEX(lst_JobName,MATCH(C48&amp;"",lst_Jobs,0)),""))</f>
        <v/>
      </c>
      <c r="F48" s="22" t="n"/>
      <c r="G48" s="22" t="n"/>
      <c r="H48" s="22" t="n"/>
      <c r="I48" s="22" t="n"/>
      <c r="J48" s="22" t="n"/>
      <c r="K48" s="28">
        <f>IF(C48="","",COUNTIFS(tbl_Finance[Job Number],C48&amp;"",tbl_Finance[Ex GST],"&lt;&gt;"))</f>
        <v/>
      </c>
      <c r="L48" s="27">
        <f>IF(C48="","",SUMIFS(tbl_Finance[Ex GST],tbl_Finance[Job Number],C48&amp;""))</f>
        <v/>
      </c>
      <c r="M48" s="27">
        <f>IF(C48="","",SUMIFS(tbl_Finance[Ex GST],tbl_Finance[Job Number],C48&amp;"",tbl_Finance[Xero Invoice No],"&lt;&gt;"))</f>
        <v/>
      </c>
      <c r="N48" s="27">
        <f>IF(C48="","",L48-M48)</f>
        <v/>
      </c>
      <c r="O48" s="24" t="n"/>
      <c r="P48" s="27">
        <f>IF(C48="","",IF(O48="",0,MAX(0,O48-L48)))</f>
        <v/>
      </c>
      <c r="Q48" s="26">
        <f>IF(C48="","",IF(K48=0,"not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R48" s="22" t="n"/>
      <c r="S48" s="22" t="n"/>
      <c r="T48" s="26">
        <f>IF(S48="","",HYPERLINK(IF(LEFT(S48,4)="http",S48,set_QwilrBase&amp;S48),"Open quote"))</f>
        <v/>
      </c>
      <c r="U48" s="71" t="n"/>
      <c r="V48" s="22" t="n"/>
      <c r="W48" s="22" t="n"/>
    </row>
    <row r="49" ht="15" customHeight="1">
      <c r="A49" s="70">
        <f>IF(C49="","",IFERROR(IF(SUMPRODUCT(MAX((tbl_Finance[Job Number]&amp;""=C49&amp;"")*(tbl_Finance[Xero Invoice No]&lt;&gt;"")*tbl_Finance[Date]))=0,"",SUMPRODUCT(MAX((tbl_Finance[Job Number]&amp;""=C49&amp;"")*(tbl_Finance[Xero Invoice No]&lt;&gt;"")*tbl_Finance[Date]))),""))</f>
        <v/>
      </c>
      <c r="B49" s="26">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2" t="n"/>
      <c r="D49" s="26">
        <f>IF(C49="","",IF(COUNTIF(lst_Jobs,C49&amp;"")&gt;0,"OK","CHECK"))</f>
        <v/>
      </c>
      <c r="E49" s="26">
        <f>IF(C49="","",IFERROR(INDEX(lst_JobName,MATCH(C49&amp;"",lst_Jobs,0)),""))</f>
        <v/>
      </c>
      <c r="F49" s="22" t="n"/>
      <c r="G49" s="22" t="n"/>
      <c r="H49" s="22" t="n"/>
      <c r="I49" s="22" t="n"/>
      <c r="J49" s="22" t="n"/>
      <c r="K49" s="28">
        <f>IF(C49="","",COUNTIFS(tbl_Finance[Job Number],C49&amp;"",tbl_Finance[Ex GST],"&lt;&gt;"))</f>
        <v/>
      </c>
      <c r="L49" s="27">
        <f>IF(C49="","",SUMIFS(tbl_Finance[Ex GST],tbl_Finance[Job Number],C49&amp;""))</f>
        <v/>
      </c>
      <c r="M49" s="27">
        <f>IF(C49="","",SUMIFS(tbl_Finance[Ex GST],tbl_Finance[Job Number],C49&amp;"",tbl_Finance[Xero Invoice No],"&lt;&gt;"))</f>
        <v/>
      </c>
      <c r="N49" s="27">
        <f>IF(C49="","",L49-M49)</f>
        <v/>
      </c>
      <c r="O49" s="24" t="n"/>
      <c r="P49" s="27">
        <f>IF(C49="","",IF(O49="",0,MAX(0,O49-L49)))</f>
        <v/>
      </c>
      <c r="Q49" s="26">
        <f>IF(C49="","",IF(K49=0,"not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R49" s="22" t="n"/>
      <c r="S49" s="22" t="n"/>
      <c r="T49" s="26">
        <f>IF(S49="","",HYPERLINK(IF(LEFT(S49,4)="http",S49,set_QwilrBase&amp;S49),"Open quote"))</f>
        <v/>
      </c>
      <c r="U49" s="71" t="n"/>
      <c r="V49" s="22" t="n"/>
      <c r="W49" s="22" t="n"/>
    </row>
    <row r="50" ht="15" customHeight="1">
      <c r="A50" s="70">
        <f>IF(C50="","",IFERROR(IF(SUMPRODUCT(MAX((tbl_Finance[Job Number]&amp;""=C50&amp;"")*(tbl_Finance[Xero Invoice No]&lt;&gt;"")*tbl_Finance[Date]))=0,"",SUMPRODUCT(MAX((tbl_Finance[Job Number]&amp;""=C50&amp;"")*(tbl_Finance[Xero Invoice No]&lt;&gt;"")*tbl_Finance[Date]))),""))</f>
        <v/>
      </c>
      <c r="B50" s="26">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2" t="n"/>
      <c r="D50" s="26">
        <f>IF(C50="","",IF(COUNTIF(lst_Jobs,C50&amp;"")&gt;0,"OK","CHECK"))</f>
        <v/>
      </c>
      <c r="E50" s="26">
        <f>IF(C50="","",IFERROR(INDEX(lst_JobName,MATCH(C50&amp;"",lst_Jobs,0)),""))</f>
        <v/>
      </c>
      <c r="F50" s="22" t="n"/>
      <c r="G50" s="22" t="n"/>
      <c r="H50" s="22" t="n"/>
      <c r="I50" s="22" t="n"/>
      <c r="J50" s="22" t="n"/>
      <c r="K50" s="28">
        <f>IF(C50="","",COUNTIFS(tbl_Finance[Job Number],C50&amp;"",tbl_Finance[Ex GST],"&lt;&gt;"))</f>
        <v/>
      </c>
      <c r="L50" s="27">
        <f>IF(C50="","",SUMIFS(tbl_Finance[Ex GST],tbl_Finance[Job Number],C50&amp;""))</f>
        <v/>
      </c>
      <c r="M50" s="27">
        <f>IF(C50="","",SUMIFS(tbl_Finance[Ex GST],tbl_Finance[Job Number],C50&amp;"",tbl_Finance[Xero Invoice No],"&lt;&gt;"))</f>
        <v/>
      </c>
      <c r="N50" s="27">
        <f>IF(C50="","",L50-M50)</f>
        <v/>
      </c>
      <c r="O50" s="24" t="n"/>
      <c r="P50" s="27">
        <f>IF(C50="","",IF(O50="",0,MAX(0,O50-L50)))</f>
        <v/>
      </c>
      <c r="Q50" s="26">
        <f>IF(C50="","",IF(K50=0,"not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R50" s="22" t="n"/>
      <c r="S50" s="22" t="n"/>
      <c r="T50" s="26">
        <f>IF(S50="","",HYPERLINK(IF(LEFT(S50,4)="http",S50,set_QwilrBase&amp;S50),"Open quote"))</f>
        <v/>
      </c>
      <c r="U50" s="71" t="n"/>
      <c r="V50" s="22" t="n"/>
      <c r="W50" s="22" t="n"/>
    </row>
    <row r="51" ht="15" customHeight="1">
      <c r="A51" s="70">
        <f>IF(C51="","",IFERROR(IF(SUMPRODUCT(MAX((tbl_Finance[Job Number]&amp;""=C51&amp;"")*(tbl_Finance[Xero Invoice No]&lt;&gt;"")*tbl_Finance[Date]))=0,"",SUMPRODUCT(MAX((tbl_Finance[Job Number]&amp;""=C51&amp;"")*(tbl_Finance[Xero Invoice No]&lt;&gt;"")*tbl_Finance[Date]))),""))</f>
        <v/>
      </c>
      <c r="B51" s="26">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2" t="n"/>
      <c r="D51" s="26">
        <f>IF(C51="","",IF(COUNTIF(lst_Jobs,C51&amp;"")&gt;0,"OK","CHECK"))</f>
        <v/>
      </c>
      <c r="E51" s="26">
        <f>IF(C51="","",IFERROR(INDEX(lst_JobName,MATCH(C51&amp;"",lst_Jobs,0)),""))</f>
        <v/>
      </c>
      <c r="F51" s="22" t="n"/>
      <c r="G51" s="22" t="n"/>
      <c r="H51" s="22" t="n"/>
      <c r="I51" s="22" t="n"/>
      <c r="J51" s="22" t="n"/>
      <c r="K51" s="28">
        <f>IF(C51="","",COUNTIFS(tbl_Finance[Job Number],C51&amp;"",tbl_Finance[Ex GST],"&lt;&gt;"))</f>
        <v/>
      </c>
      <c r="L51" s="27">
        <f>IF(C51="","",SUMIFS(tbl_Finance[Ex GST],tbl_Finance[Job Number],C51&amp;""))</f>
        <v/>
      </c>
      <c r="M51" s="27">
        <f>IF(C51="","",SUMIFS(tbl_Finance[Ex GST],tbl_Finance[Job Number],C51&amp;"",tbl_Finance[Xero Invoice No],"&lt;&gt;"))</f>
        <v/>
      </c>
      <c r="N51" s="27">
        <f>IF(C51="","",L51-M51)</f>
        <v/>
      </c>
      <c r="O51" s="24" t="n"/>
      <c r="P51" s="27">
        <f>IF(C51="","",IF(O51="",0,MAX(0,O51-L51)))</f>
        <v/>
      </c>
      <c r="Q51" s="26">
        <f>IF(C51="","",IF(K51=0,"not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R51" s="22" t="n"/>
      <c r="S51" s="22" t="n"/>
      <c r="T51" s="26">
        <f>IF(S51="","",HYPERLINK(IF(LEFT(S51,4)="http",S51,set_QwilrBase&amp;S51),"Open quote"))</f>
        <v/>
      </c>
      <c r="U51" s="71" t="n"/>
      <c r="V51" s="22" t="n"/>
      <c r="W51" s="22" t="n"/>
    </row>
    <row r="52" ht="15" customHeight="1">
      <c r="A52" s="70">
        <f>IF(C52="","",IFERROR(IF(SUMPRODUCT(MAX((tbl_Finance[Job Number]&amp;""=C52&amp;"")*(tbl_Finance[Xero Invoice No]&lt;&gt;"")*tbl_Finance[Date]))=0,"",SUMPRODUCT(MAX((tbl_Finance[Job Number]&amp;""=C52&amp;"")*(tbl_Finance[Xero Invoice No]&lt;&gt;"")*tbl_Finance[Date]))),""))</f>
        <v/>
      </c>
      <c r="B52" s="26">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2" t="n"/>
      <c r="D52" s="26">
        <f>IF(C52="","",IF(COUNTIF(lst_Jobs,C52&amp;"")&gt;0,"OK","CHECK"))</f>
        <v/>
      </c>
      <c r="E52" s="26">
        <f>IF(C52="","",IFERROR(INDEX(lst_JobName,MATCH(C52&amp;"",lst_Jobs,0)),""))</f>
        <v/>
      </c>
      <c r="F52" s="22" t="n"/>
      <c r="G52" s="22" t="n"/>
      <c r="H52" s="22" t="n"/>
      <c r="I52" s="22" t="n"/>
      <c r="J52" s="22" t="n"/>
      <c r="K52" s="28">
        <f>IF(C52="","",COUNTIFS(tbl_Finance[Job Number],C52&amp;"",tbl_Finance[Ex GST],"&lt;&gt;"))</f>
        <v/>
      </c>
      <c r="L52" s="27">
        <f>IF(C52="","",SUMIFS(tbl_Finance[Ex GST],tbl_Finance[Job Number],C52&amp;""))</f>
        <v/>
      </c>
      <c r="M52" s="27">
        <f>IF(C52="","",SUMIFS(tbl_Finance[Ex GST],tbl_Finance[Job Number],C52&amp;"",tbl_Finance[Xero Invoice No],"&lt;&gt;"))</f>
        <v/>
      </c>
      <c r="N52" s="27">
        <f>IF(C52="","",L52-M52)</f>
        <v/>
      </c>
      <c r="O52" s="24" t="n"/>
      <c r="P52" s="27">
        <f>IF(C52="","",IF(O52="",0,MAX(0,O52-L52)))</f>
        <v/>
      </c>
      <c r="Q52" s="26">
        <f>IF(C52="","",IF(K52=0,"not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R52" s="22" t="n"/>
      <c r="S52" s="22" t="n"/>
      <c r="T52" s="26">
        <f>IF(S52="","",HYPERLINK(IF(LEFT(S52,4)="http",S52,set_QwilrBase&amp;S52),"Open quote"))</f>
        <v/>
      </c>
      <c r="U52" s="71" t="n"/>
      <c r="V52" s="22" t="n"/>
      <c r="W52" s="22" t="n"/>
    </row>
    <row r="53" ht="15" customHeight="1">
      <c r="A53" s="70">
        <f>IF(C53="","",IFERROR(IF(SUMPRODUCT(MAX((tbl_Finance[Job Number]&amp;""=C53&amp;"")*(tbl_Finance[Xero Invoice No]&lt;&gt;"")*tbl_Finance[Date]))=0,"",SUMPRODUCT(MAX((tbl_Finance[Job Number]&amp;""=C53&amp;"")*(tbl_Finance[Xero Invoice No]&lt;&gt;"")*tbl_Finance[Date]))),""))</f>
        <v/>
      </c>
      <c r="B53" s="26">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2" t="n"/>
      <c r="D53" s="26">
        <f>IF(C53="","",IF(COUNTIF(lst_Jobs,C53&amp;"")&gt;0,"OK","CHECK"))</f>
        <v/>
      </c>
      <c r="E53" s="26">
        <f>IF(C53="","",IFERROR(INDEX(lst_JobName,MATCH(C53&amp;"",lst_Jobs,0)),""))</f>
        <v/>
      </c>
      <c r="F53" s="22" t="n"/>
      <c r="G53" s="22" t="n"/>
      <c r="H53" s="22" t="n"/>
      <c r="I53" s="22" t="n"/>
      <c r="J53" s="22" t="n"/>
      <c r="K53" s="28">
        <f>IF(C53="","",COUNTIFS(tbl_Finance[Job Number],C53&amp;"",tbl_Finance[Ex GST],"&lt;&gt;"))</f>
        <v/>
      </c>
      <c r="L53" s="27">
        <f>IF(C53="","",SUMIFS(tbl_Finance[Ex GST],tbl_Finance[Job Number],C53&amp;""))</f>
        <v/>
      </c>
      <c r="M53" s="27">
        <f>IF(C53="","",SUMIFS(tbl_Finance[Ex GST],tbl_Finance[Job Number],C53&amp;"",tbl_Finance[Xero Invoice No],"&lt;&gt;"))</f>
        <v/>
      </c>
      <c r="N53" s="27">
        <f>IF(C53="","",L53-M53)</f>
        <v/>
      </c>
      <c r="O53" s="24" t="n"/>
      <c r="P53" s="27">
        <f>IF(C53="","",IF(O53="",0,MAX(0,O53-L53)))</f>
        <v/>
      </c>
      <c r="Q53" s="26">
        <f>IF(C53="","",IF(K53=0,"not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R53" s="22" t="n"/>
      <c r="S53" s="22" t="n"/>
      <c r="T53" s="26">
        <f>IF(S53="","",HYPERLINK(IF(LEFT(S53,4)="http",S53,set_QwilrBase&amp;S53),"Open quote"))</f>
        <v/>
      </c>
      <c r="U53" s="71" t="n"/>
      <c r="V53" s="22" t="n"/>
      <c r="W53" s="22" t="n"/>
    </row>
    <row r="54" ht="15" customHeight="1">
      <c r="A54" s="70">
        <f>IF(C54="","",IFERROR(IF(SUMPRODUCT(MAX((tbl_Finance[Job Number]&amp;""=C54&amp;"")*(tbl_Finance[Xero Invoice No]&lt;&gt;"")*tbl_Finance[Date]))=0,"",SUMPRODUCT(MAX((tbl_Finance[Job Number]&amp;""=C54&amp;"")*(tbl_Finance[Xero Invoice No]&lt;&gt;"")*tbl_Finance[Date]))),""))</f>
        <v/>
      </c>
      <c r="B54" s="26">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2" t="n"/>
      <c r="D54" s="26">
        <f>IF(C54="","",IF(COUNTIF(lst_Jobs,C54&amp;"")&gt;0,"OK","CHECK"))</f>
        <v/>
      </c>
      <c r="E54" s="26">
        <f>IF(C54="","",IFERROR(INDEX(lst_JobName,MATCH(C54&amp;"",lst_Jobs,0)),""))</f>
        <v/>
      </c>
      <c r="F54" s="22" t="n"/>
      <c r="G54" s="22" t="n"/>
      <c r="H54" s="22" t="n"/>
      <c r="I54" s="22" t="n"/>
      <c r="J54" s="22" t="n"/>
      <c r="K54" s="28">
        <f>IF(C54="","",COUNTIFS(tbl_Finance[Job Number],C54&amp;"",tbl_Finance[Ex GST],"&lt;&gt;"))</f>
        <v/>
      </c>
      <c r="L54" s="27">
        <f>IF(C54="","",SUMIFS(tbl_Finance[Ex GST],tbl_Finance[Job Number],C54&amp;""))</f>
        <v/>
      </c>
      <c r="M54" s="27">
        <f>IF(C54="","",SUMIFS(tbl_Finance[Ex GST],tbl_Finance[Job Number],C54&amp;"",tbl_Finance[Xero Invoice No],"&lt;&gt;"))</f>
        <v/>
      </c>
      <c r="N54" s="27">
        <f>IF(C54="","",L54-M54)</f>
        <v/>
      </c>
      <c r="O54" s="24" t="n"/>
      <c r="P54" s="27">
        <f>IF(C54="","",IF(O54="",0,MAX(0,O54-L54)))</f>
        <v/>
      </c>
      <c r="Q54" s="26">
        <f>IF(C54="","",IF(K54=0,"not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R54" s="22" t="n"/>
      <c r="S54" s="22" t="n"/>
      <c r="T54" s="26">
        <f>IF(S54="","",HYPERLINK(IF(LEFT(S54,4)="http",S54,set_QwilrBase&amp;S54),"Open quote"))</f>
        <v/>
      </c>
      <c r="U54" s="71" t="n"/>
      <c r="V54" s="22" t="n"/>
      <c r="W54" s="22" t="n"/>
    </row>
    <row r="55" ht="15" customHeight="1">
      <c r="A55" s="70">
        <f>IF(C55="","",IFERROR(IF(SUMPRODUCT(MAX((tbl_Finance[Job Number]&amp;""=C55&amp;"")*(tbl_Finance[Xero Invoice No]&lt;&gt;"")*tbl_Finance[Date]))=0,"",SUMPRODUCT(MAX((tbl_Finance[Job Number]&amp;""=C55&amp;"")*(tbl_Finance[Xero Invoice No]&lt;&gt;"")*tbl_Finance[Date]))),""))</f>
        <v/>
      </c>
      <c r="B55" s="26">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2" t="n"/>
      <c r="D55" s="26">
        <f>IF(C55="","",IF(COUNTIF(lst_Jobs,C55&amp;"")&gt;0,"OK","CHECK"))</f>
        <v/>
      </c>
      <c r="E55" s="26">
        <f>IF(C55="","",IFERROR(INDEX(lst_JobName,MATCH(C55&amp;"",lst_Jobs,0)),""))</f>
        <v/>
      </c>
      <c r="F55" s="22" t="n"/>
      <c r="G55" s="22" t="n"/>
      <c r="H55" s="22" t="n"/>
      <c r="I55" s="22" t="n"/>
      <c r="J55" s="22" t="n"/>
      <c r="K55" s="28">
        <f>IF(C55="","",COUNTIFS(tbl_Finance[Job Number],C55&amp;"",tbl_Finance[Ex GST],"&lt;&gt;"))</f>
        <v/>
      </c>
      <c r="L55" s="27">
        <f>IF(C55="","",SUMIFS(tbl_Finance[Ex GST],tbl_Finance[Job Number],C55&amp;""))</f>
        <v/>
      </c>
      <c r="M55" s="27">
        <f>IF(C55="","",SUMIFS(tbl_Finance[Ex GST],tbl_Finance[Job Number],C55&amp;"",tbl_Finance[Xero Invoice No],"&lt;&gt;"))</f>
        <v/>
      </c>
      <c r="N55" s="27">
        <f>IF(C55="","",L55-M55)</f>
        <v/>
      </c>
      <c r="O55" s="24" t="n"/>
      <c r="P55" s="27">
        <f>IF(C55="","",IF(O55="",0,MAX(0,O55-L55)))</f>
        <v/>
      </c>
      <c r="Q55" s="26">
        <f>IF(C55="","",IF(K55=0,"not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R55" s="22" t="n"/>
      <c r="S55" s="22" t="n"/>
      <c r="T55" s="26">
        <f>IF(S55="","",HYPERLINK(IF(LEFT(S55,4)="http",S55,set_QwilrBase&amp;S55),"Open quote"))</f>
        <v/>
      </c>
      <c r="U55" s="71" t="n"/>
      <c r="V55" s="22" t="n"/>
      <c r="W55" s="22" t="n"/>
    </row>
    <row r="56" ht="15" customHeight="1">
      <c r="A56" s="70">
        <f>IF(C56="","",IFERROR(IF(SUMPRODUCT(MAX((tbl_Finance[Job Number]&amp;""=C56&amp;"")*(tbl_Finance[Xero Invoice No]&lt;&gt;"")*tbl_Finance[Date]))=0,"",SUMPRODUCT(MAX((tbl_Finance[Job Number]&amp;""=C56&amp;"")*(tbl_Finance[Xero Invoice No]&lt;&gt;"")*tbl_Finance[Date]))),""))</f>
        <v/>
      </c>
      <c r="B56" s="26">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2" t="n"/>
      <c r="D56" s="26">
        <f>IF(C56="","",IF(COUNTIF(lst_Jobs,C56&amp;"")&gt;0,"OK","CHECK"))</f>
        <v/>
      </c>
      <c r="E56" s="26">
        <f>IF(C56="","",IFERROR(INDEX(lst_JobName,MATCH(C56&amp;"",lst_Jobs,0)),""))</f>
        <v/>
      </c>
      <c r="F56" s="22" t="n"/>
      <c r="G56" s="22" t="n"/>
      <c r="H56" s="22" t="n"/>
      <c r="I56" s="22" t="n"/>
      <c r="J56" s="22" t="n"/>
      <c r="K56" s="28">
        <f>IF(C56="","",COUNTIFS(tbl_Finance[Job Number],C56&amp;"",tbl_Finance[Ex GST],"&lt;&gt;"))</f>
        <v/>
      </c>
      <c r="L56" s="27">
        <f>IF(C56="","",SUMIFS(tbl_Finance[Ex GST],tbl_Finance[Job Number],C56&amp;""))</f>
        <v/>
      </c>
      <c r="M56" s="27">
        <f>IF(C56="","",SUMIFS(tbl_Finance[Ex GST],tbl_Finance[Job Number],C56&amp;"",tbl_Finance[Xero Invoice No],"&lt;&gt;"))</f>
        <v/>
      </c>
      <c r="N56" s="27">
        <f>IF(C56="","",L56-M56)</f>
        <v/>
      </c>
      <c r="O56" s="24" t="n"/>
      <c r="P56" s="27">
        <f>IF(C56="","",IF(O56="",0,MAX(0,O56-L56)))</f>
        <v/>
      </c>
      <c r="Q56" s="26">
        <f>IF(C56="","",IF(K56=0,"not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R56" s="22" t="n"/>
      <c r="S56" s="22" t="n"/>
      <c r="T56" s="26">
        <f>IF(S56="","",HYPERLINK(IF(LEFT(S56,4)="http",S56,set_QwilrBase&amp;S56),"Open quote"))</f>
        <v/>
      </c>
      <c r="U56" s="71" t="n"/>
      <c r="V56" s="22" t="n"/>
      <c r="W56" s="22" t="n"/>
    </row>
    <row r="57" ht="15" customHeight="1">
      <c r="A57" s="70">
        <f>IF(C57="","",IFERROR(IF(SUMPRODUCT(MAX((tbl_Finance[Job Number]&amp;""=C57&amp;"")*(tbl_Finance[Xero Invoice No]&lt;&gt;"")*tbl_Finance[Date]))=0,"",SUMPRODUCT(MAX((tbl_Finance[Job Number]&amp;""=C57&amp;"")*(tbl_Finance[Xero Invoice No]&lt;&gt;"")*tbl_Finance[Date]))),""))</f>
        <v/>
      </c>
      <c r="B57" s="26">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2" t="n"/>
      <c r="D57" s="26">
        <f>IF(C57="","",IF(COUNTIF(lst_Jobs,C57&amp;"")&gt;0,"OK","CHECK"))</f>
        <v/>
      </c>
      <c r="E57" s="26">
        <f>IF(C57="","",IFERROR(INDEX(lst_JobName,MATCH(C57&amp;"",lst_Jobs,0)),""))</f>
        <v/>
      </c>
      <c r="F57" s="22" t="n"/>
      <c r="G57" s="22" t="n"/>
      <c r="H57" s="22" t="n"/>
      <c r="I57" s="22" t="n"/>
      <c r="J57" s="22" t="n"/>
      <c r="K57" s="28">
        <f>IF(C57="","",COUNTIFS(tbl_Finance[Job Number],C57&amp;"",tbl_Finance[Ex GST],"&lt;&gt;"))</f>
        <v/>
      </c>
      <c r="L57" s="27">
        <f>IF(C57="","",SUMIFS(tbl_Finance[Ex GST],tbl_Finance[Job Number],C57&amp;""))</f>
        <v/>
      </c>
      <c r="M57" s="27">
        <f>IF(C57="","",SUMIFS(tbl_Finance[Ex GST],tbl_Finance[Job Number],C57&amp;"",tbl_Finance[Xero Invoice No],"&lt;&gt;"))</f>
        <v/>
      </c>
      <c r="N57" s="27">
        <f>IF(C57="","",L57-M57)</f>
        <v/>
      </c>
      <c r="O57" s="24" t="n"/>
      <c r="P57" s="27">
        <f>IF(C57="","",IF(O57="",0,MAX(0,O57-L57)))</f>
        <v/>
      </c>
      <c r="Q57" s="26">
        <f>IF(C57="","",IF(K57=0,"not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R57" s="22" t="n"/>
      <c r="S57" s="22" t="n"/>
      <c r="T57" s="26">
        <f>IF(S57="","",HYPERLINK(IF(LEFT(S57,4)="http",S57,set_QwilrBase&amp;S57),"Open quote"))</f>
        <v/>
      </c>
      <c r="U57" s="71" t="n"/>
      <c r="V57" s="22" t="n"/>
      <c r="W57" s="22" t="n"/>
    </row>
    <row r="58" ht="15" customHeight="1">
      <c r="A58" s="70">
        <f>IF(C58="","",IFERROR(IF(SUMPRODUCT(MAX((tbl_Finance[Job Number]&amp;""=C58&amp;"")*(tbl_Finance[Xero Invoice No]&lt;&gt;"")*tbl_Finance[Date]))=0,"",SUMPRODUCT(MAX((tbl_Finance[Job Number]&amp;""=C58&amp;"")*(tbl_Finance[Xero Invoice No]&lt;&gt;"")*tbl_Finance[Date]))),""))</f>
        <v/>
      </c>
      <c r="B58" s="26">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2" t="n"/>
      <c r="D58" s="26">
        <f>IF(C58="","",IF(COUNTIF(lst_Jobs,C58&amp;"")&gt;0,"OK","CHECK"))</f>
        <v/>
      </c>
      <c r="E58" s="26">
        <f>IF(C58="","",IFERROR(INDEX(lst_JobName,MATCH(C58&amp;"",lst_Jobs,0)),""))</f>
        <v/>
      </c>
      <c r="F58" s="22" t="n"/>
      <c r="G58" s="22" t="n"/>
      <c r="H58" s="22" t="n"/>
      <c r="I58" s="22" t="n"/>
      <c r="J58" s="22" t="n"/>
      <c r="K58" s="28">
        <f>IF(C58="","",COUNTIFS(tbl_Finance[Job Number],C58&amp;"",tbl_Finance[Ex GST],"&lt;&gt;"))</f>
        <v/>
      </c>
      <c r="L58" s="27">
        <f>IF(C58="","",SUMIFS(tbl_Finance[Ex GST],tbl_Finance[Job Number],C58&amp;""))</f>
        <v/>
      </c>
      <c r="M58" s="27">
        <f>IF(C58="","",SUMIFS(tbl_Finance[Ex GST],tbl_Finance[Job Number],C58&amp;"",tbl_Finance[Xero Invoice No],"&lt;&gt;"))</f>
        <v/>
      </c>
      <c r="N58" s="27">
        <f>IF(C58="","",L58-M58)</f>
        <v/>
      </c>
      <c r="O58" s="24" t="n"/>
      <c r="P58" s="27">
        <f>IF(C58="","",IF(O58="",0,MAX(0,O58-L58)))</f>
        <v/>
      </c>
      <c r="Q58" s="26">
        <f>IF(C58="","",IF(K58=0,"not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R58" s="22" t="n"/>
      <c r="S58" s="22" t="n"/>
      <c r="T58" s="26">
        <f>IF(S58="","",HYPERLINK(IF(LEFT(S58,4)="http",S58,set_QwilrBase&amp;S58),"Open quote"))</f>
        <v/>
      </c>
      <c r="U58" s="71" t="n"/>
      <c r="V58" s="22" t="n"/>
      <c r="W58" s="22" t="n"/>
    </row>
    <row r="59" ht="15" customHeight="1">
      <c r="A59" s="70">
        <f>IF(C59="","",IFERROR(IF(SUMPRODUCT(MAX((tbl_Finance[Job Number]&amp;""=C59&amp;"")*(tbl_Finance[Xero Invoice No]&lt;&gt;"")*tbl_Finance[Date]))=0,"",SUMPRODUCT(MAX((tbl_Finance[Job Number]&amp;""=C59&amp;"")*(tbl_Finance[Xero Invoice No]&lt;&gt;"")*tbl_Finance[Date]))),""))</f>
        <v/>
      </c>
      <c r="B59" s="26">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2" t="n"/>
      <c r="D59" s="26">
        <f>IF(C59="","",IF(COUNTIF(lst_Jobs,C59&amp;"")&gt;0,"OK","CHECK"))</f>
        <v/>
      </c>
      <c r="E59" s="26">
        <f>IF(C59="","",IFERROR(INDEX(lst_JobName,MATCH(C59&amp;"",lst_Jobs,0)),""))</f>
        <v/>
      </c>
      <c r="F59" s="22" t="n"/>
      <c r="G59" s="22" t="n"/>
      <c r="H59" s="22" t="n"/>
      <c r="I59" s="22" t="n"/>
      <c r="J59" s="22" t="n"/>
      <c r="K59" s="28">
        <f>IF(C59="","",COUNTIFS(tbl_Finance[Job Number],C59&amp;"",tbl_Finance[Ex GST],"&lt;&gt;"))</f>
        <v/>
      </c>
      <c r="L59" s="27">
        <f>IF(C59="","",SUMIFS(tbl_Finance[Ex GST],tbl_Finance[Job Number],C59&amp;""))</f>
        <v/>
      </c>
      <c r="M59" s="27">
        <f>IF(C59="","",SUMIFS(tbl_Finance[Ex GST],tbl_Finance[Job Number],C59&amp;"",tbl_Finance[Xero Invoice No],"&lt;&gt;"))</f>
        <v/>
      </c>
      <c r="N59" s="27">
        <f>IF(C59="","",L59-M59)</f>
        <v/>
      </c>
      <c r="O59" s="24" t="n"/>
      <c r="P59" s="27">
        <f>IF(C59="","",IF(O59="",0,MAX(0,O59-L59)))</f>
        <v/>
      </c>
      <c r="Q59" s="26">
        <f>IF(C59="","",IF(K59=0,"not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R59" s="22" t="n"/>
      <c r="S59" s="22" t="n"/>
      <c r="T59" s="26">
        <f>IF(S59="","",HYPERLINK(IF(LEFT(S59,4)="http",S59,set_QwilrBase&amp;S59),"Open quote"))</f>
        <v/>
      </c>
      <c r="U59" s="71" t="n"/>
      <c r="V59" s="22" t="n"/>
      <c r="W59" s="22" t="n"/>
    </row>
    <row r="60" ht="15" customHeight="1">
      <c r="A60" s="70">
        <f>IF(C60="","",IFERROR(IF(SUMPRODUCT(MAX((tbl_Finance[Job Number]&amp;""=C60&amp;"")*(tbl_Finance[Xero Invoice No]&lt;&gt;"")*tbl_Finance[Date]))=0,"",SUMPRODUCT(MAX((tbl_Finance[Job Number]&amp;""=C60&amp;"")*(tbl_Finance[Xero Invoice No]&lt;&gt;"")*tbl_Finance[Date]))),""))</f>
        <v/>
      </c>
      <c r="B60" s="26">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2" t="n"/>
      <c r="D60" s="26">
        <f>IF(C60="","",IF(COUNTIF(lst_Jobs,C60&amp;"")&gt;0,"OK","CHECK"))</f>
        <v/>
      </c>
      <c r="E60" s="26">
        <f>IF(C60="","",IFERROR(INDEX(lst_JobName,MATCH(C60&amp;"",lst_Jobs,0)),""))</f>
        <v/>
      </c>
      <c r="F60" s="22" t="n"/>
      <c r="G60" s="22" t="n"/>
      <c r="H60" s="22" t="n"/>
      <c r="I60" s="22" t="n"/>
      <c r="J60" s="22" t="n"/>
      <c r="K60" s="28">
        <f>IF(C60="","",COUNTIFS(tbl_Finance[Job Number],C60&amp;"",tbl_Finance[Ex GST],"&lt;&gt;"))</f>
        <v/>
      </c>
      <c r="L60" s="27">
        <f>IF(C60="","",SUMIFS(tbl_Finance[Ex GST],tbl_Finance[Job Number],C60&amp;""))</f>
        <v/>
      </c>
      <c r="M60" s="27">
        <f>IF(C60="","",SUMIFS(tbl_Finance[Ex GST],tbl_Finance[Job Number],C60&amp;"",tbl_Finance[Xero Invoice No],"&lt;&gt;"))</f>
        <v/>
      </c>
      <c r="N60" s="27">
        <f>IF(C60="","",L60-M60)</f>
        <v/>
      </c>
      <c r="O60" s="24" t="n"/>
      <c r="P60" s="27">
        <f>IF(C60="","",IF(O60="",0,MAX(0,O60-L60)))</f>
        <v/>
      </c>
      <c r="Q60" s="26">
        <f>IF(C60="","",IF(K60=0,"not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R60" s="22" t="n"/>
      <c r="S60" s="22" t="n"/>
      <c r="T60" s="26">
        <f>IF(S60="","",HYPERLINK(IF(LEFT(S60,4)="http",S60,set_QwilrBase&amp;S60),"Open quote"))</f>
        <v/>
      </c>
      <c r="U60" s="71" t="n"/>
      <c r="V60" s="22" t="n"/>
      <c r="W60" s="22" t="n"/>
    </row>
    <row r="61" ht="15" customHeight="1">
      <c r="A61" s="70">
        <f>IF(C61="","",IFERROR(IF(SUMPRODUCT(MAX((tbl_Finance[Job Number]&amp;""=C61&amp;"")*(tbl_Finance[Xero Invoice No]&lt;&gt;"")*tbl_Finance[Date]))=0,"",SUMPRODUCT(MAX((tbl_Finance[Job Number]&amp;""=C61&amp;"")*(tbl_Finance[Xero Invoice No]&lt;&gt;"")*tbl_Finance[Date]))),""))</f>
        <v/>
      </c>
      <c r="B61" s="26">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2" t="n"/>
      <c r="D61" s="26">
        <f>IF(C61="","",IF(COUNTIF(lst_Jobs,C61&amp;"")&gt;0,"OK","CHECK"))</f>
        <v/>
      </c>
      <c r="E61" s="26">
        <f>IF(C61="","",IFERROR(INDEX(lst_JobName,MATCH(C61&amp;"",lst_Jobs,0)),""))</f>
        <v/>
      </c>
      <c r="F61" s="22" t="n"/>
      <c r="G61" s="22" t="n"/>
      <c r="H61" s="22" t="n"/>
      <c r="I61" s="22" t="n"/>
      <c r="J61" s="22" t="n"/>
      <c r="K61" s="28">
        <f>IF(C61="","",COUNTIFS(tbl_Finance[Job Number],C61&amp;"",tbl_Finance[Ex GST],"&lt;&gt;"))</f>
        <v/>
      </c>
      <c r="L61" s="27">
        <f>IF(C61="","",SUMIFS(tbl_Finance[Ex GST],tbl_Finance[Job Number],C61&amp;""))</f>
        <v/>
      </c>
      <c r="M61" s="27">
        <f>IF(C61="","",SUMIFS(tbl_Finance[Ex GST],tbl_Finance[Job Number],C61&amp;"",tbl_Finance[Xero Invoice No],"&lt;&gt;"))</f>
        <v/>
      </c>
      <c r="N61" s="27">
        <f>IF(C61="","",L61-M61)</f>
        <v/>
      </c>
      <c r="O61" s="24" t="n"/>
      <c r="P61" s="27">
        <f>IF(C61="","",IF(O61="",0,MAX(0,O61-L61)))</f>
        <v/>
      </c>
      <c r="Q61" s="26">
        <f>IF(C61="","",IF(K61=0,"not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R61" s="22" t="n"/>
      <c r="S61" s="22" t="n"/>
      <c r="T61" s="26">
        <f>IF(S61="","",HYPERLINK(IF(LEFT(S61,4)="http",S61,set_QwilrBase&amp;S61),"Open quote"))</f>
        <v/>
      </c>
      <c r="U61" s="71" t="n"/>
      <c r="V61" s="22" t="n"/>
      <c r="W61" s="22" t="n"/>
    </row>
    <row r="62" ht="15" customHeight="1">
      <c r="A62" s="70">
        <f>IF(C62="","",IFERROR(IF(SUMPRODUCT(MAX((tbl_Finance[Job Number]&amp;""=C62&amp;"")*(tbl_Finance[Xero Invoice No]&lt;&gt;"")*tbl_Finance[Date]))=0,"",SUMPRODUCT(MAX((tbl_Finance[Job Number]&amp;""=C62&amp;"")*(tbl_Finance[Xero Invoice No]&lt;&gt;"")*tbl_Finance[Date]))),""))</f>
        <v/>
      </c>
      <c r="B62" s="26">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2" t="n"/>
      <c r="D62" s="26">
        <f>IF(C62="","",IF(COUNTIF(lst_Jobs,C62&amp;"")&gt;0,"OK","CHECK"))</f>
        <v/>
      </c>
      <c r="E62" s="26">
        <f>IF(C62="","",IFERROR(INDEX(lst_JobName,MATCH(C62&amp;"",lst_Jobs,0)),""))</f>
        <v/>
      </c>
      <c r="F62" s="22" t="n"/>
      <c r="G62" s="22" t="n"/>
      <c r="H62" s="22" t="n"/>
      <c r="I62" s="22" t="n"/>
      <c r="J62" s="22" t="n"/>
      <c r="K62" s="28">
        <f>IF(C62="","",COUNTIFS(tbl_Finance[Job Number],C62&amp;"",tbl_Finance[Ex GST],"&lt;&gt;"))</f>
        <v/>
      </c>
      <c r="L62" s="27">
        <f>IF(C62="","",SUMIFS(tbl_Finance[Ex GST],tbl_Finance[Job Number],C62&amp;""))</f>
        <v/>
      </c>
      <c r="M62" s="27">
        <f>IF(C62="","",SUMIFS(tbl_Finance[Ex GST],tbl_Finance[Job Number],C62&amp;"",tbl_Finance[Xero Invoice No],"&lt;&gt;"))</f>
        <v/>
      </c>
      <c r="N62" s="27">
        <f>IF(C62="","",L62-M62)</f>
        <v/>
      </c>
      <c r="O62" s="24" t="n"/>
      <c r="P62" s="27">
        <f>IF(C62="","",IF(O62="",0,MAX(0,O62-L62)))</f>
        <v/>
      </c>
      <c r="Q62" s="26">
        <f>IF(C62="","",IF(K62=0,"not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R62" s="22" t="n"/>
      <c r="S62" s="22" t="n"/>
      <c r="T62" s="26">
        <f>IF(S62="","",HYPERLINK(IF(LEFT(S62,4)="http",S62,set_QwilrBase&amp;S62),"Open quote"))</f>
        <v/>
      </c>
      <c r="U62" s="71" t="n"/>
      <c r="V62" s="22" t="n"/>
      <c r="W62" s="22" t="n"/>
    </row>
    <row r="63" ht="15" customHeight="1">
      <c r="A63" s="70">
        <f>IF(C63="","",IFERROR(IF(SUMPRODUCT(MAX((tbl_Finance[Job Number]&amp;""=C63&amp;"")*(tbl_Finance[Xero Invoice No]&lt;&gt;"")*tbl_Finance[Date]))=0,"",SUMPRODUCT(MAX((tbl_Finance[Job Number]&amp;""=C63&amp;"")*(tbl_Finance[Xero Invoice No]&lt;&gt;"")*tbl_Finance[Date]))),""))</f>
        <v/>
      </c>
      <c r="B63" s="26">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2" t="n"/>
      <c r="D63" s="26">
        <f>IF(C63="","",IF(COUNTIF(lst_Jobs,C63&amp;"")&gt;0,"OK","CHECK"))</f>
        <v/>
      </c>
      <c r="E63" s="26">
        <f>IF(C63="","",IFERROR(INDEX(lst_JobName,MATCH(C63&amp;"",lst_Jobs,0)),""))</f>
        <v/>
      </c>
      <c r="F63" s="22" t="n"/>
      <c r="G63" s="22" t="n"/>
      <c r="H63" s="22" t="n"/>
      <c r="I63" s="22" t="n"/>
      <c r="J63" s="22" t="n"/>
      <c r="K63" s="28">
        <f>IF(C63="","",COUNTIFS(tbl_Finance[Job Number],C63&amp;"",tbl_Finance[Ex GST],"&lt;&gt;"))</f>
        <v/>
      </c>
      <c r="L63" s="27">
        <f>IF(C63="","",SUMIFS(tbl_Finance[Ex GST],tbl_Finance[Job Number],C63&amp;""))</f>
        <v/>
      </c>
      <c r="M63" s="27">
        <f>IF(C63="","",SUMIFS(tbl_Finance[Ex GST],tbl_Finance[Job Number],C63&amp;"",tbl_Finance[Xero Invoice No],"&lt;&gt;"))</f>
        <v/>
      </c>
      <c r="N63" s="27">
        <f>IF(C63="","",L63-M63)</f>
        <v/>
      </c>
      <c r="O63" s="24" t="n"/>
      <c r="P63" s="27">
        <f>IF(C63="","",IF(O63="",0,MAX(0,O63-L63)))</f>
        <v/>
      </c>
      <c r="Q63" s="26">
        <f>IF(C63="","",IF(K63=0,"not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R63" s="22" t="n"/>
      <c r="S63" s="22" t="n"/>
      <c r="T63" s="26">
        <f>IF(S63="","",HYPERLINK(IF(LEFT(S63,4)="http",S63,set_QwilrBase&amp;S63),"Open quote"))</f>
        <v/>
      </c>
      <c r="U63" s="71" t="n"/>
      <c r="V63" s="22" t="n"/>
      <c r="W63" s="22" t="n"/>
    </row>
    <row r="64" ht="15" customHeight="1">
      <c r="A64" s="70">
        <f>IF(C64="","",IFERROR(IF(SUMPRODUCT(MAX((tbl_Finance[Job Number]&amp;""=C64&amp;"")*(tbl_Finance[Xero Invoice No]&lt;&gt;"")*tbl_Finance[Date]))=0,"",SUMPRODUCT(MAX((tbl_Finance[Job Number]&amp;""=C64&amp;"")*(tbl_Finance[Xero Invoice No]&lt;&gt;"")*tbl_Finance[Date]))),""))</f>
        <v/>
      </c>
      <c r="B64" s="26">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2" t="n"/>
      <c r="D64" s="26">
        <f>IF(C64="","",IF(COUNTIF(lst_Jobs,C64&amp;"")&gt;0,"OK","CHECK"))</f>
        <v/>
      </c>
      <c r="E64" s="26">
        <f>IF(C64="","",IFERROR(INDEX(lst_JobName,MATCH(C64&amp;"",lst_Jobs,0)),""))</f>
        <v/>
      </c>
      <c r="F64" s="22" t="n"/>
      <c r="G64" s="22" t="n"/>
      <c r="H64" s="22" t="n"/>
      <c r="I64" s="22" t="n"/>
      <c r="J64" s="22" t="n"/>
      <c r="K64" s="28">
        <f>IF(C64="","",COUNTIFS(tbl_Finance[Job Number],C64&amp;"",tbl_Finance[Ex GST],"&lt;&gt;"))</f>
        <v/>
      </c>
      <c r="L64" s="27">
        <f>IF(C64="","",SUMIFS(tbl_Finance[Ex GST],tbl_Finance[Job Number],C64&amp;""))</f>
        <v/>
      </c>
      <c r="M64" s="27">
        <f>IF(C64="","",SUMIFS(tbl_Finance[Ex GST],tbl_Finance[Job Number],C64&amp;"",tbl_Finance[Xero Invoice No],"&lt;&gt;"))</f>
        <v/>
      </c>
      <c r="N64" s="27">
        <f>IF(C64="","",L64-M64)</f>
        <v/>
      </c>
      <c r="O64" s="24" t="n"/>
      <c r="P64" s="27">
        <f>IF(C64="","",IF(O64="",0,MAX(0,O64-L64)))</f>
        <v/>
      </c>
      <c r="Q64" s="26">
        <f>IF(C64="","",IF(K64=0,"not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R64" s="22" t="n"/>
      <c r="S64" s="22" t="n"/>
      <c r="T64" s="26">
        <f>IF(S64="","",HYPERLINK(IF(LEFT(S64,4)="http",S64,set_QwilrBase&amp;S64),"Open quote"))</f>
        <v/>
      </c>
      <c r="U64" s="71" t="n"/>
      <c r="V64" s="22" t="n"/>
      <c r="W64" s="22" t="n"/>
    </row>
    <row r="65" ht="15" customHeight="1">
      <c r="A65" s="70">
        <f>IF(C65="","",IFERROR(IF(SUMPRODUCT(MAX((tbl_Finance[Job Number]&amp;""=C65&amp;"")*(tbl_Finance[Xero Invoice No]&lt;&gt;"")*tbl_Finance[Date]))=0,"",SUMPRODUCT(MAX((tbl_Finance[Job Number]&amp;""=C65&amp;"")*(tbl_Finance[Xero Invoice No]&lt;&gt;"")*tbl_Finance[Date]))),""))</f>
        <v/>
      </c>
      <c r="B65" s="26">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2" t="n"/>
      <c r="D65" s="26">
        <f>IF(C65="","",IF(COUNTIF(lst_Jobs,C65&amp;"")&gt;0,"OK","CHECK"))</f>
        <v/>
      </c>
      <c r="E65" s="26">
        <f>IF(C65="","",IFERROR(INDEX(lst_JobName,MATCH(C65&amp;"",lst_Jobs,0)),""))</f>
        <v/>
      </c>
      <c r="F65" s="22" t="n"/>
      <c r="G65" s="22" t="n"/>
      <c r="H65" s="22" t="n"/>
      <c r="I65" s="22" t="n"/>
      <c r="J65" s="22" t="n"/>
      <c r="K65" s="28">
        <f>IF(C65="","",COUNTIFS(tbl_Finance[Job Number],C65&amp;"",tbl_Finance[Ex GST],"&lt;&gt;"))</f>
        <v/>
      </c>
      <c r="L65" s="27">
        <f>IF(C65="","",SUMIFS(tbl_Finance[Ex GST],tbl_Finance[Job Number],C65&amp;""))</f>
        <v/>
      </c>
      <c r="M65" s="27">
        <f>IF(C65="","",SUMIFS(tbl_Finance[Ex GST],tbl_Finance[Job Number],C65&amp;"",tbl_Finance[Xero Invoice No],"&lt;&gt;"))</f>
        <v/>
      </c>
      <c r="N65" s="27">
        <f>IF(C65="","",L65-M65)</f>
        <v/>
      </c>
      <c r="O65" s="24" t="n"/>
      <c r="P65" s="27">
        <f>IF(C65="","",IF(O65="",0,MAX(0,O65-L65)))</f>
        <v/>
      </c>
      <c r="Q65" s="26">
        <f>IF(C65="","",IF(K65=0,"not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R65" s="22" t="n"/>
      <c r="S65" s="22" t="n"/>
      <c r="T65" s="26">
        <f>IF(S65="","",HYPERLINK(IF(LEFT(S65,4)="http",S65,set_QwilrBase&amp;S65),"Open quote"))</f>
        <v/>
      </c>
      <c r="U65" s="71" t="n"/>
      <c r="V65" s="22" t="n"/>
      <c r="W65" s="22" t="n"/>
    </row>
    <row r="66" ht="15" customHeight="1">
      <c r="A66" s="70">
        <f>IF(C66="","",IFERROR(IF(SUMPRODUCT(MAX((tbl_Finance[Job Number]&amp;""=C66&amp;"")*(tbl_Finance[Xero Invoice No]&lt;&gt;"")*tbl_Finance[Date]))=0,"",SUMPRODUCT(MAX((tbl_Finance[Job Number]&amp;""=C66&amp;"")*(tbl_Finance[Xero Invoice No]&lt;&gt;"")*tbl_Finance[Date]))),""))</f>
        <v/>
      </c>
      <c r="B66" s="26">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2" t="n"/>
      <c r="D66" s="26">
        <f>IF(C66="","",IF(COUNTIF(lst_Jobs,C66&amp;"")&gt;0,"OK","CHECK"))</f>
        <v/>
      </c>
      <c r="E66" s="26">
        <f>IF(C66="","",IFERROR(INDEX(lst_JobName,MATCH(C66&amp;"",lst_Jobs,0)),""))</f>
        <v/>
      </c>
      <c r="F66" s="22" t="n"/>
      <c r="G66" s="22" t="n"/>
      <c r="H66" s="22" t="n"/>
      <c r="I66" s="22" t="n"/>
      <c r="J66" s="22" t="n"/>
      <c r="K66" s="28">
        <f>IF(C66="","",COUNTIFS(tbl_Finance[Job Number],C66&amp;"",tbl_Finance[Ex GST],"&lt;&gt;"))</f>
        <v/>
      </c>
      <c r="L66" s="27">
        <f>IF(C66="","",SUMIFS(tbl_Finance[Ex GST],tbl_Finance[Job Number],C66&amp;""))</f>
        <v/>
      </c>
      <c r="M66" s="27">
        <f>IF(C66="","",SUMIFS(tbl_Finance[Ex GST],tbl_Finance[Job Number],C66&amp;"",tbl_Finance[Xero Invoice No],"&lt;&gt;"))</f>
        <v/>
      </c>
      <c r="N66" s="27">
        <f>IF(C66="","",L66-M66)</f>
        <v/>
      </c>
      <c r="O66" s="24" t="n"/>
      <c r="P66" s="27">
        <f>IF(C66="","",IF(O66="",0,MAX(0,O66-L66)))</f>
        <v/>
      </c>
      <c r="Q66" s="26">
        <f>IF(C66="","",IF(K66=0,"not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R66" s="22" t="n"/>
      <c r="S66" s="22" t="n"/>
      <c r="T66" s="26">
        <f>IF(S66="","",HYPERLINK(IF(LEFT(S66,4)="http",S66,set_QwilrBase&amp;S66),"Open quote"))</f>
        <v/>
      </c>
      <c r="U66" s="71" t="n"/>
      <c r="V66" s="22" t="n"/>
      <c r="W66" s="22" t="n"/>
    </row>
    <row r="67" ht="15" customHeight="1">
      <c r="A67" s="70">
        <f>IF(C67="","",IFERROR(IF(SUMPRODUCT(MAX((tbl_Finance[Job Number]&amp;""=C67&amp;"")*(tbl_Finance[Xero Invoice No]&lt;&gt;"")*tbl_Finance[Date]))=0,"",SUMPRODUCT(MAX((tbl_Finance[Job Number]&amp;""=C67&amp;"")*(tbl_Finance[Xero Invoice No]&lt;&gt;"")*tbl_Finance[Date]))),""))</f>
        <v/>
      </c>
      <c r="B67" s="26">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2" t="n"/>
      <c r="D67" s="26">
        <f>IF(C67="","",IF(COUNTIF(lst_Jobs,C67&amp;"")&gt;0,"OK","CHECK"))</f>
        <v/>
      </c>
      <c r="E67" s="26">
        <f>IF(C67="","",IFERROR(INDEX(lst_JobName,MATCH(C67&amp;"",lst_Jobs,0)),""))</f>
        <v/>
      </c>
      <c r="F67" s="22" t="n"/>
      <c r="G67" s="22" t="n"/>
      <c r="H67" s="22" t="n"/>
      <c r="I67" s="22" t="n"/>
      <c r="J67" s="22" t="n"/>
      <c r="K67" s="28">
        <f>IF(C67="","",COUNTIFS(tbl_Finance[Job Number],C67&amp;"",tbl_Finance[Ex GST],"&lt;&gt;"))</f>
        <v/>
      </c>
      <c r="L67" s="27">
        <f>IF(C67="","",SUMIFS(tbl_Finance[Ex GST],tbl_Finance[Job Number],C67&amp;""))</f>
        <v/>
      </c>
      <c r="M67" s="27">
        <f>IF(C67="","",SUMIFS(tbl_Finance[Ex GST],tbl_Finance[Job Number],C67&amp;"",tbl_Finance[Xero Invoice No],"&lt;&gt;"))</f>
        <v/>
      </c>
      <c r="N67" s="27">
        <f>IF(C67="","",L67-M67)</f>
        <v/>
      </c>
      <c r="O67" s="24" t="n"/>
      <c r="P67" s="27">
        <f>IF(C67="","",IF(O67="",0,MAX(0,O67-L67)))</f>
        <v/>
      </c>
      <c r="Q67" s="26">
        <f>IF(C67="","",IF(K67=0,"not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R67" s="22" t="n"/>
      <c r="S67" s="22" t="n"/>
      <c r="T67" s="26">
        <f>IF(S67="","",HYPERLINK(IF(LEFT(S67,4)="http",S67,set_QwilrBase&amp;S67),"Open quote"))</f>
        <v/>
      </c>
      <c r="U67" s="71" t="n"/>
      <c r="V67" s="22" t="n"/>
      <c r="W67" s="22" t="n"/>
    </row>
    <row r="68" ht="15" customHeight="1">
      <c r="A68" s="70">
        <f>IF(C68="","",IFERROR(IF(SUMPRODUCT(MAX((tbl_Finance[Job Number]&amp;""=C68&amp;"")*(tbl_Finance[Xero Invoice No]&lt;&gt;"")*tbl_Finance[Date]))=0,"",SUMPRODUCT(MAX((tbl_Finance[Job Number]&amp;""=C68&amp;"")*(tbl_Finance[Xero Invoice No]&lt;&gt;"")*tbl_Finance[Date]))),""))</f>
        <v/>
      </c>
      <c r="B68" s="26">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2" t="n"/>
      <c r="D68" s="26">
        <f>IF(C68="","",IF(COUNTIF(lst_Jobs,C68&amp;"")&gt;0,"OK","CHECK"))</f>
        <v/>
      </c>
      <c r="E68" s="26">
        <f>IF(C68="","",IFERROR(INDEX(lst_JobName,MATCH(C68&amp;"",lst_Jobs,0)),""))</f>
        <v/>
      </c>
      <c r="F68" s="22" t="n"/>
      <c r="G68" s="22" t="n"/>
      <c r="H68" s="22" t="n"/>
      <c r="I68" s="22" t="n"/>
      <c r="J68" s="22" t="n"/>
      <c r="K68" s="28">
        <f>IF(C68="","",COUNTIFS(tbl_Finance[Job Number],C68&amp;"",tbl_Finance[Ex GST],"&lt;&gt;"))</f>
        <v/>
      </c>
      <c r="L68" s="27">
        <f>IF(C68="","",SUMIFS(tbl_Finance[Ex GST],tbl_Finance[Job Number],C68&amp;""))</f>
        <v/>
      </c>
      <c r="M68" s="27">
        <f>IF(C68="","",SUMIFS(tbl_Finance[Ex GST],tbl_Finance[Job Number],C68&amp;"",tbl_Finance[Xero Invoice No],"&lt;&gt;"))</f>
        <v/>
      </c>
      <c r="N68" s="27">
        <f>IF(C68="","",L68-M68)</f>
        <v/>
      </c>
      <c r="O68" s="24" t="n"/>
      <c r="P68" s="27">
        <f>IF(C68="","",IF(O68="",0,MAX(0,O68-L68)))</f>
        <v/>
      </c>
      <c r="Q68" s="26">
        <f>IF(C68="","",IF(K68=0,"not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R68" s="22" t="n"/>
      <c r="S68" s="22" t="n"/>
      <c r="T68" s="26">
        <f>IF(S68="","",HYPERLINK(IF(LEFT(S68,4)="http",S68,set_QwilrBase&amp;S68),"Open quote"))</f>
        <v/>
      </c>
      <c r="U68" s="71" t="n"/>
      <c r="V68" s="22" t="n"/>
      <c r="W68" s="22" t="n"/>
    </row>
    <row r="69" ht="15" customHeight="1">
      <c r="A69" s="70">
        <f>IF(C69="","",IFERROR(IF(SUMPRODUCT(MAX((tbl_Finance[Job Number]&amp;""=C69&amp;"")*(tbl_Finance[Xero Invoice No]&lt;&gt;"")*tbl_Finance[Date]))=0,"",SUMPRODUCT(MAX((tbl_Finance[Job Number]&amp;""=C69&amp;"")*(tbl_Finance[Xero Invoice No]&lt;&gt;"")*tbl_Finance[Date]))),""))</f>
        <v/>
      </c>
      <c r="B69" s="26">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2" t="n"/>
      <c r="D69" s="26">
        <f>IF(C69="","",IF(COUNTIF(lst_Jobs,C69&amp;"")&gt;0,"OK","CHECK"))</f>
        <v/>
      </c>
      <c r="E69" s="26">
        <f>IF(C69="","",IFERROR(INDEX(lst_JobName,MATCH(C69&amp;"",lst_Jobs,0)),""))</f>
        <v/>
      </c>
      <c r="F69" s="22" t="n"/>
      <c r="G69" s="22" t="n"/>
      <c r="H69" s="22" t="n"/>
      <c r="I69" s="22" t="n"/>
      <c r="J69" s="22" t="n"/>
      <c r="K69" s="28">
        <f>IF(C69="","",COUNTIFS(tbl_Finance[Job Number],C69&amp;"",tbl_Finance[Ex GST],"&lt;&gt;"))</f>
        <v/>
      </c>
      <c r="L69" s="27">
        <f>IF(C69="","",SUMIFS(tbl_Finance[Ex GST],tbl_Finance[Job Number],C69&amp;""))</f>
        <v/>
      </c>
      <c r="M69" s="27">
        <f>IF(C69="","",SUMIFS(tbl_Finance[Ex GST],tbl_Finance[Job Number],C69&amp;"",tbl_Finance[Xero Invoice No],"&lt;&gt;"))</f>
        <v/>
      </c>
      <c r="N69" s="27">
        <f>IF(C69="","",L69-M69)</f>
        <v/>
      </c>
      <c r="O69" s="24" t="n"/>
      <c r="P69" s="27">
        <f>IF(C69="","",IF(O69="",0,MAX(0,O69-L69)))</f>
        <v/>
      </c>
      <c r="Q69" s="26">
        <f>IF(C69="","",IF(K69=0,"not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R69" s="22" t="n"/>
      <c r="S69" s="22" t="n"/>
      <c r="T69" s="26">
        <f>IF(S69="","",HYPERLINK(IF(LEFT(S69,4)="http",S69,set_QwilrBase&amp;S69),"Open quote"))</f>
        <v/>
      </c>
      <c r="U69" s="71" t="n"/>
      <c r="V69" s="22" t="n"/>
      <c r="W69" s="22" t="n"/>
    </row>
    <row r="70" ht="15" customHeight="1">
      <c r="A70" s="70">
        <f>IF(C70="","",IFERROR(IF(SUMPRODUCT(MAX((tbl_Finance[Job Number]&amp;""=C70&amp;"")*(tbl_Finance[Xero Invoice No]&lt;&gt;"")*tbl_Finance[Date]))=0,"",SUMPRODUCT(MAX((tbl_Finance[Job Number]&amp;""=C70&amp;"")*(tbl_Finance[Xero Invoice No]&lt;&gt;"")*tbl_Finance[Date]))),""))</f>
        <v/>
      </c>
      <c r="B70" s="26">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2" t="n"/>
      <c r="D70" s="26">
        <f>IF(C70="","",IF(COUNTIF(lst_Jobs,C70&amp;"")&gt;0,"OK","CHECK"))</f>
        <v/>
      </c>
      <c r="E70" s="26">
        <f>IF(C70="","",IFERROR(INDEX(lst_JobName,MATCH(C70&amp;"",lst_Jobs,0)),""))</f>
        <v/>
      </c>
      <c r="F70" s="22" t="n"/>
      <c r="G70" s="22" t="n"/>
      <c r="H70" s="22" t="n"/>
      <c r="I70" s="22" t="n"/>
      <c r="J70" s="22" t="n"/>
      <c r="K70" s="28">
        <f>IF(C70="","",COUNTIFS(tbl_Finance[Job Number],C70&amp;"",tbl_Finance[Ex GST],"&lt;&gt;"))</f>
        <v/>
      </c>
      <c r="L70" s="27">
        <f>IF(C70="","",SUMIFS(tbl_Finance[Ex GST],tbl_Finance[Job Number],C70&amp;""))</f>
        <v/>
      </c>
      <c r="M70" s="27">
        <f>IF(C70="","",SUMIFS(tbl_Finance[Ex GST],tbl_Finance[Job Number],C70&amp;"",tbl_Finance[Xero Invoice No],"&lt;&gt;"))</f>
        <v/>
      </c>
      <c r="N70" s="27">
        <f>IF(C70="","",L70-M70)</f>
        <v/>
      </c>
      <c r="O70" s="24" t="n"/>
      <c r="P70" s="27">
        <f>IF(C70="","",IF(O70="",0,MAX(0,O70-L70)))</f>
        <v/>
      </c>
      <c r="Q70" s="26">
        <f>IF(C70="","",IF(K70=0,"not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R70" s="22" t="n"/>
      <c r="S70" s="22" t="n"/>
      <c r="T70" s="26">
        <f>IF(S70="","",HYPERLINK(IF(LEFT(S70,4)="http",S70,set_QwilrBase&amp;S70),"Open quote"))</f>
        <v/>
      </c>
      <c r="U70" s="71" t="n"/>
      <c r="V70" s="22" t="n"/>
      <c r="W70" s="22" t="n"/>
    </row>
    <row r="71" ht="15" customHeight="1">
      <c r="A71" s="70">
        <f>IF(C71="","",IFERROR(IF(SUMPRODUCT(MAX((tbl_Finance[Job Number]&amp;""=C71&amp;"")*(tbl_Finance[Xero Invoice No]&lt;&gt;"")*tbl_Finance[Date]))=0,"",SUMPRODUCT(MAX((tbl_Finance[Job Number]&amp;""=C71&amp;"")*(tbl_Finance[Xero Invoice No]&lt;&gt;"")*tbl_Finance[Date]))),""))</f>
        <v/>
      </c>
      <c r="B71" s="26">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2" t="n"/>
      <c r="D71" s="26">
        <f>IF(C71="","",IF(COUNTIF(lst_Jobs,C71&amp;"")&gt;0,"OK","CHECK"))</f>
        <v/>
      </c>
      <c r="E71" s="26">
        <f>IF(C71="","",IFERROR(INDEX(lst_JobName,MATCH(C71&amp;"",lst_Jobs,0)),""))</f>
        <v/>
      </c>
      <c r="F71" s="22" t="n"/>
      <c r="G71" s="22" t="n"/>
      <c r="H71" s="22" t="n"/>
      <c r="I71" s="22" t="n"/>
      <c r="J71" s="22" t="n"/>
      <c r="K71" s="28">
        <f>IF(C71="","",COUNTIFS(tbl_Finance[Job Number],C71&amp;"",tbl_Finance[Ex GST],"&lt;&gt;"))</f>
        <v/>
      </c>
      <c r="L71" s="27">
        <f>IF(C71="","",SUMIFS(tbl_Finance[Ex GST],tbl_Finance[Job Number],C71&amp;""))</f>
        <v/>
      </c>
      <c r="M71" s="27">
        <f>IF(C71="","",SUMIFS(tbl_Finance[Ex GST],tbl_Finance[Job Number],C71&amp;"",tbl_Finance[Xero Invoice No],"&lt;&gt;"))</f>
        <v/>
      </c>
      <c r="N71" s="27">
        <f>IF(C71="","",L71-M71)</f>
        <v/>
      </c>
      <c r="O71" s="24" t="n"/>
      <c r="P71" s="27">
        <f>IF(C71="","",IF(O71="",0,MAX(0,O71-L71)))</f>
        <v/>
      </c>
      <c r="Q71" s="26">
        <f>IF(C71="","",IF(K71=0,"not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R71" s="22" t="n"/>
      <c r="S71" s="22" t="n"/>
      <c r="T71" s="26">
        <f>IF(S71="","",HYPERLINK(IF(LEFT(S71,4)="http",S71,set_QwilrBase&amp;S71),"Open quote"))</f>
        <v/>
      </c>
      <c r="U71" s="71" t="n"/>
      <c r="V71" s="22" t="n"/>
      <c r="W71" s="22" t="n"/>
    </row>
    <row r="72" ht="15" customHeight="1">
      <c r="A72" s="70">
        <f>IF(C72="","",IFERROR(IF(SUMPRODUCT(MAX((tbl_Finance[Job Number]&amp;""=C72&amp;"")*(tbl_Finance[Xero Invoice No]&lt;&gt;"")*tbl_Finance[Date]))=0,"",SUMPRODUCT(MAX((tbl_Finance[Job Number]&amp;""=C72&amp;"")*(tbl_Finance[Xero Invoice No]&lt;&gt;"")*tbl_Finance[Date]))),""))</f>
        <v/>
      </c>
      <c r="B72" s="26">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2" t="n"/>
      <c r="D72" s="26">
        <f>IF(C72="","",IF(COUNTIF(lst_Jobs,C72&amp;"")&gt;0,"OK","CHECK"))</f>
        <v/>
      </c>
      <c r="E72" s="26">
        <f>IF(C72="","",IFERROR(INDEX(lst_JobName,MATCH(C72&amp;"",lst_Jobs,0)),""))</f>
        <v/>
      </c>
      <c r="F72" s="22" t="n"/>
      <c r="G72" s="22" t="n"/>
      <c r="H72" s="22" t="n"/>
      <c r="I72" s="22" t="n"/>
      <c r="J72" s="22" t="n"/>
      <c r="K72" s="28">
        <f>IF(C72="","",COUNTIFS(tbl_Finance[Job Number],C72&amp;"",tbl_Finance[Ex GST],"&lt;&gt;"))</f>
        <v/>
      </c>
      <c r="L72" s="27">
        <f>IF(C72="","",SUMIFS(tbl_Finance[Ex GST],tbl_Finance[Job Number],C72&amp;""))</f>
        <v/>
      </c>
      <c r="M72" s="27">
        <f>IF(C72="","",SUMIFS(tbl_Finance[Ex GST],tbl_Finance[Job Number],C72&amp;"",tbl_Finance[Xero Invoice No],"&lt;&gt;"))</f>
        <v/>
      </c>
      <c r="N72" s="27">
        <f>IF(C72="","",L72-M72)</f>
        <v/>
      </c>
      <c r="O72" s="24" t="n"/>
      <c r="P72" s="27">
        <f>IF(C72="","",IF(O72="",0,MAX(0,O72-L72)))</f>
        <v/>
      </c>
      <c r="Q72" s="26">
        <f>IF(C72="","",IF(K72=0,"not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R72" s="22" t="n"/>
      <c r="S72" s="22" t="n"/>
      <c r="T72" s="26">
        <f>IF(S72="","",HYPERLINK(IF(LEFT(S72,4)="http",S72,set_QwilrBase&amp;S72),"Open quote"))</f>
        <v/>
      </c>
      <c r="U72" s="71" t="n"/>
      <c r="V72" s="22" t="n"/>
      <c r="W72" s="22" t="n"/>
    </row>
    <row r="73" ht="15" customHeight="1">
      <c r="A73" s="70">
        <f>IF(C73="","",IFERROR(IF(SUMPRODUCT(MAX((tbl_Finance[Job Number]&amp;""=C73&amp;"")*(tbl_Finance[Xero Invoice No]&lt;&gt;"")*tbl_Finance[Date]))=0,"",SUMPRODUCT(MAX((tbl_Finance[Job Number]&amp;""=C73&amp;"")*(tbl_Finance[Xero Invoice No]&lt;&gt;"")*tbl_Finance[Date]))),""))</f>
        <v/>
      </c>
      <c r="B73" s="26">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2" t="n"/>
      <c r="D73" s="26">
        <f>IF(C73="","",IF(COUNTIF(lst_Jobs,C73&amp;"")&gt;0,"OK","CHECK"))</f>
        <v/>
      </c>
      <c r="E73" s="26">
        <f>IF(C73="","",IFERROR(INDEX(lst_JobName,MATCH(C73&amp;"",lst_Jobs,0)),""))</f>
        <v/>
      </c>
      <c r="F73" s="22" t="n"/>
      <c r="G73" s="22" t="n"/>
      <c r="H73" s="22" t="n"/>
      <c r="I73" s="22" t="n"/>
      <c r="J73" s="22" t="n"/>
      <c r="K73" s="28">
        <f>IF(C73="","",COUNTIFS(tbl_Finance[Job Number],C73&amp;"",tbl_Finance[Ex GST],"&lt;&gt;"))</f>
        <v/>
      </c>
      <c r="L73" s="27">
        <f>IF(C73="","",SUMIFS(tbl_Finance[Ex GST],tbl_Finance[Job Number],C73&amp;""))</f>
        <v/>
      </c>
      <c r="M73" s="27">
        <f>IF(C73="","",SUMIFS(tbl_Finance[Ex GST],tbl_Finance[Job Number],C73&amp;"",tbl_Finance[Xero Invoice No],"&lt;&gt;"))</f>
        <v/>
      </c>
      <c r="N73" s="27">
        <f>IF(C73="","",L73-M73)</f>
        <v/>
      </c>
      <c r="O73" s="24" t="n"/>
      <c r="P73" s="27">
        <f>IF(C73="","",IF(O73="",0,MAX(0,O73-L73)))</f>
        <v/>
      </c>
      <c r="Q73" s="26">
        <f>IF(C73="","",IF(K73=0,"not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R73" s="22" t="n"/>
      <c r="S73" s="22" t="n"/>
      <c r="T73" s="26">
        <f>IF(S73="","",HYPERLINK(IF(LEFT(S73,4)="http",S73,set_QwilrBase&amp;S73),"Open quote"))</f>
        <v/>
      </c>
      <c r="U73" s="71" t="n"/>
      <c r="V73" s="22" t="n"/>
      <c r="W73" s="22" t="n"/>
    </row>
    <row r="74" ht="15" customHeight="1">
      <c r="A74" s="70">
        <f>IF(C74="","",IFERROR(IF(SUMPRODUCT(MAX((tbl_Finance[Job Number]&amp;""=C74&amp;"")*(tbl_Finance[Xero Invoice No]&lt;&gt;"")*tbl_Finance[Date]))=0,"",SUMPRODUCT(MAX((tbl_Finance[Job Number]&amp;""=C74&amp;"")*(tbl_Finance[Xero Invoice No]&lt;&gt;"")*tbl_Finance[Date]))),""))</f>
        <v/>
      </c>
      <c r="B74" s="26">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2" t="n"/>
      <c r="D74" s="26">
        <f>IF(C74="","",IF(COUNTIF(lst_Jobs,C74&amp;"")&gt;0,"OK","CHECK"))</f>
        <v/>
      </c>
      <c r="E74" s="26">
        <f>IF(C74="","",IFERROR(INDEX(lst_JobName,MATCH(C74&amp;"",lst_Jobs,0)),""))</f>
        <v/>
      </c>
      <c r="F74" s="22" t="n"/>
      <c r="G74" s="22" t="n"/>
      <c r="H74" s="22" t="n"/>
      <c r="I74" s="22" t="n"/>
      <c r="J74" s="22" t="n"/>
      <c r="K74" s="28">
        <f>IF(C74="","",COUNTIFS(tbl_Finance[Job Number],C74&amp;"",tbl_Finance[Ex GST],"&lt;&gt;"))</f>
        <v/>
      </c>
      <c r="L74" s="27">
        <f>IF(C74="","",SUMIFS(tbl_Finance[Ex GST],tbl_Finance[Job Number],C74&amp;""))</f>
        <v/>
      </c>
      <c r="M74" s="27">
        <f>IF(C74="","",SUMIFS(tbl_Finance[Ex GST],tbl_Finance[Job Number],C74&amp;"",tbl_Finance[Xero Invoice No],"&lt;&gt;"))</f>
        <v/>
      </c>
      <c r="N74" s="27">
        <f>IF(C74="","",L74-M74)</f>
        <v/>
      </c>
      <c r="O74" s="24" t="n"/>
      <c r="P74" s="27">
        <f>IF(C74="","",IF(O74="",0,MAX(0,O74-L74)))</f>
        <v/>
      </c>
      <c r="Q74" s="26">
        <f>IF(C74="","",IF(K74=0,"not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R74" s="22" t="n"/>
      <c r="S74" s="22" t="n"/>
      <c r="T74" s="26">
        <f>IF(S74="","",HYPERLINK(IF(LEFT(S74,4)="http",S74,set_QwilrBase&amp;S74),"Open quote"))</f>
        <v/>
      </c>
      <c r="U74" s="71" t="n"/>
      <c r="V74" s="22" t="n"/>
      <c r="W74" s="22" t="n"/>
    </row>
    <row r="75" ht="15" customHeight="1">
      <c r="A75" s="70">
        <f>IF(C75="","",IFERROR(IF(SUMPRODUCT(MAX((tbl_Finance[Job Number]&amp;""=C75&amp;"")*(tbl_Finance[Xero Invoice No]&lt;&gt;"")*tbl_Finance[Date]))=0,"",SUMPRODUCT(MAX((tbl_Finance[Job Number]&amp;""=C75&amp;"")*(tbl_Finance[Xero Invoice No]&lt;&gt;"")*tbl_Finance[Date]))),""))</f>
        <v/>
      </c>
      <c r="B75" s="26">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2" t="n"/>
      <c r="D75" s="26">
        <f>IF(C75="","",IF(COUNTIF(lst_Jobs,C75&amp;"")&gt;0,"OK","CHECK"))</f>
        <v/>
      </c>
      <c r="E75" s="26">
        <f>IF(C75="","",IFERROR(INDEX(lst_JobName,MATCH(C75&amp;"",lst_Jobs,0)),""))</f>
        <v/>
      </c>
      <c r="F75" s="22" t="n"/>
      <c r="G75" s="22" t="n"/>
      <c r="H75" s="22" t="n"/>
      <c r="I75" s="22" t="n"/>
      <c r="J75" s="22" t="n"/>
      <c r="K75" s="28">
        <f>IF(C75="","",COUNTIFS(tbl_Finance[Job Number],C75&amp;"",tbl_Finance[Ex GST],"&lt;&gt;"))</f>
        <v/>
      </c>
      <c r="L75" s="27">
        <f>IF(C75="","",SUMIFS(tbl_Finance[Ex GST],tbl_Finance[Job Number],C75&amp;""))</f>
        <v/>
      </c>
      <c r="M75" s="27">
        <f>IF(C75="","",SUMIFS(tbl_Finance[Ex GST],tbl_Finance[Job Number],C75&amp;"",tbl_Finance[Xero Invoice No],"&lt;&gt;"))</f>
        <v/>
      </c>
      <c r="N75" s="27">
        <f>IF(C75="","",L75-M75)</f>
        <v/>
      </c>
      <c r="O75" s="24" t="n"/>
      <c r="P75" s="27">
        <f>IF(C75="","",IF(O75="",0,MAX(0,O75-L75)))</f>
        <v/>
      </c>
      <c r="Q75" s="26">
        <f>IF(C75="","",IF(K75=0,"not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R75" s="22" t="n"/>
      <c r="S75" s="22" t="n"/>
      <c r="T75" s="26">
        <f>IF(S75="","",HYPERLINK(IF(LEFT(S75,4)="http",S75,set_QwilrBase&amp;S75),"Open quote"))</f>
        <v/>
      </c>
      <c r="U75" s="71" t="n"/>
      <c r="V75" s="22" t="n"/>
      <c r="W75" s="22" t="n"/>
    </row>
    <row r="76" ht="15" customHeight="1">
      <c r="A76" s="70">
        <f>IF(C76="","",IFERROR(IF(SUMPRODUCT(MAX((tbl_Finance[Job Number]&amp;""=C76&amp;"")*(tbl_Finance[Xero Invoice No]&lt;&gt;"")*tbl_Finance[Date]))=0,"",SUMPRODUCT(MAX((tbl_Finance[Job Number]&amp;""=C76&amp;"")*(tbl_Finance[Xero Invoice No]&lt;&gt;"")*tbl_Finance[Date]))),""))</f>
        <v/>
      </c>
      <c r="B76" s="26">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2" t="n"/>
      <c r="D76" s="26">
        <f>IF(C76="","",IF(COUNTIF(lst_Jobs,C76&amp;"")&gt;0,"OK","CHECK"))</f>
        <v/>
      </c>
      <c r="E76" s="26">
        <f>IF(C76="","",IFERROR(INDEX(lst_JobName,MATCH(C76&amp;"",lst_Jobs,0)),""))</f>
        <v/>
      </c>
      <c r="F76" s="22" t="n"/>
      <c r="G76" s="22" t="n"/>
      <c r="H76" s="22" t="n"/>
      <c r="I76" s="22" t="n"/>
      <c r="J76" s="22" t="n"/>
      <c r="K76" s="28">
        <f>IF(C76="","",COUNTIFS(tbl_Finance[Job Number],C76&amp;"",tbl_Finance[Ex GST],"&lt;&gt;"))</f>
        <v/>
      </c>
      <c r="L76" s="27">
        <f>IF(C76="","",SUMIFS(tbl_Finance[Ex GST],tbl_Finance[Job Number],C76&amp;""))</f>
        <v/>
      </c>
      <c r="M76" s="27">
        <f>IF(C76="","",SUMIFS(tbl_Finance[Ex GST],tbl_Finance[Job Number],C76&amp;"",tbl_Finance[Xero Invoice No],"&lt;&gt;"))</f>
        <v/>
      </c>
      <c r="N76" s="27">
        <f>IF(C76="","",L76-M76)</f>
        <v/>
      </c>
      <c r="O76" s="24" t="n"/>
      <c r="P76" s="27">
        <f>IF(C76="","",IF(O76="",0,MAX(0,O76-L76)))</f>
        <v/>
      </c>
      <c r="Q76" s="26">
        <f>IF(C76="","",IF(K76=0,"not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R76" s="22" t="n"/>
      <c r="S76" s="22" t="n"/>
      <c r="T76" s="26">
        <f>IF(S76="","",HYPERLINK(IF(LEFT(S76,4)="http",S76,set_QwilrBase&amp;S76),"Open quote"))</f>
        <v/>
      </c>
      <c r="U76" s="71" t="n"/>
      <c r="V76" s="22" t="n"/>
      <c r="W76" s="22" t="n"/>
    </row>
    <row r="77" ht="15" customHeight="1">
      <c r="A77" s="70">
        <f>IF(C77="","",IFERROR(IF(SUMPRODUCT(MAX((tbl_Finance[Job Number]&amp;""=C77&amp;"")*(tbl_Finance[Xero Invoice No]&lt;&gt;"")*tbl_Finance[Date]))=0,"",SUMPRODUCT(MAX((tbl_Finance[Job Number]&amp;""=C77&amp;"")*(tbl_Finance[Xero Invoice No]&lt;&gt;"")*tbl_Finance[Date]))),""))</f>
        <v/>
      </c>
      <c r="B77" s="26">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2" t="n"/>
      <c r="D77" s="26">
        <f>IF(C77="","",IF(COUNTIF(lst_Jobs,C77&amp;"")&gt;0,"OK","CHECK"))</f>
        <v/>
      </c>
      <c r="E77" s="26">
        <f>IF(C77="","",IFERROR(INDEX(lst_JobName,MATCH(C77&amp;"",lst_Jobs,0)),""))</f>
        <v/>
      </c>
      <c r="F77" s="22" t="n"/>
      <c r="G77" s="22" t="n"/>
      <c r="H77" s="22" t="n"/>
      <c r="I77" s="22" t="n"/>
      <c r="J77" s="22" t="n"/>
      <c r="K77" s="28">
        <f>IF(C77="","",COUNTIFS(tbl_Finance[Job Number],C77&amp;"",tbl_Finance[Ex GST],"&lt;&gt;"))</f>
        <v/>
      </c>
      <c r="L77" s="27">
        <f>IF(C77="","",SUMIFS(tbl_Finance[Ex GST],tbl_Finance[Job Number],C77&amp;""))</f>
        <v/>
      </c>
      <c r="M77" s="27">
        <f>IF(C77="","",SUMIFS(tbl_Finance[Ex GST],tbl_Finance[Job Number],C77&amp;"",tbl_Finance[Xero Invoice No],"&lt;&gt;"))</f>
        <v/>
      </c>
      <c r="N77" s="27">
        <f>IF(C77="","",L77-M77)</f>
        <v/>
      </c>
      <c r="O77" s="24" t="n"/>
      <c r="P77" s="27">
        <f>IF(C77="","",IF(O77="",0,MAX(0,O77-L77)))</f>
        <v/>
      </c>
      <c r="Q77" s="26">
        <f>IF(C77="","",IF(K77=0,"not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R77" s="22" t="n"/>
      <c r="S77" s="22" t="n"/>
      <c r="T77" s="26">
        <f>IF(S77="","",HYPERLINK(IF(LEFT(S77,4)="http",S77,set_QwilrBase&amp;S77),"Open quote"))</f>
        <v/>
      </c>
      <c r="U77" s="71" t="n"/>
      <c r="V77" s="22" t="n"/>
      <c r="W77" s="22" t="n"/>
    </row>
    <row r="78" ht="15" customHeight="1">
      <c r="A78" s="70">
        <f>IF(C78="","",IFERROR(IF(SUMPRODUCT(MAX((tbl_Finance[Job Number]&amp;""=C78&amp;"")*(tbl_Finance[Xero Invoice No]&lt;&gt;"")*tbl_Finance[Date]))=0,"",SUMPRODUCT(MAX((tbl_Finance[Job Number]&amp;""=C78&amp;"")*(tbl_Finance[Xero Invoice No]&lt;&gt;"")*tbl_Finance[Date]))),""))</f>
        <v/>
      </c>
      <c r="B78" s="26">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2" t="n"/>
      <c r="D78" s="26">
        <f>IF(C78="","",IF(COUNTIF(lst_Jobs,C78&amp;"")&gt;0,"OK","CHECK"))</f>
        <v/>
      </c>
      <c r="E78" s="26">
        <f>IF(C78="","",IFERROR(INDEX(lst_JobName,MATCH(C78&amp;"",lst_Jobs,0)),""))</f>
        <v/>
      </c>
      <c r="F78" s="22" t="n"/>
      <c r="G78" s="22" t="n"/>
      <c r="H78" s="22" t="n"/>
      <c r="I78" s="22" t="n"/>
      <c r="J78" s="22" t="n"/>
      <c r="K78" s="28">
        <f>IF(C78="","",COUNTIFS(tbl_Finance[Job Number],C78&amp;"",tbl_Finance[Ex GST],"&lt;&gt;"))</f>
        <v/>
      </c>
      <c r="L78" s="27">
        <f>IF(C78="","",SUMIFS(tbl_Finance[Ex GST],tbl_Finance[Job Number],C78&amp;""))</f>
        <v/>
      </c>
      <c r="M78" s="27">
        <f>IF(C78="","",SUMIFS(tbl_Finance[Ex GST],tbl_Finance[Job Number],C78&amp;"",tbl_Finance[Xero Invoice No],"&lt;&gt;"))</f>
        <v/>
      </c>
      <c r="N78" s="27">
        <f>IF(C78="","",L78-M78)</f>
        <v/>
      </c>
      <c r="O78" s="24" t="n"/>
      <c r="P78" s="27">
        <f>IF(C78="","",IF(O78="",0,MAX(0,O78-L78)))</f>
        <v/>
      </c>
      <c r="Q78" s="26">
        <f>IF(C78="","",IF(K78=0,"not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R78" s="22" t="n"/>
      <c r="S78" s="22" t="n"/>
      <c r="T78" s="26">
        <f>IF(S78="","",HYPERLINK(IF(LEFT(S78,4)="http",S78,set_QwilrBase&amp;S78),"Open quote"))</f>
        <v/>
      </c>
      <c r="U78" s="71" t="n"/>
      <c r="V78" s="22" t="n"/>
      <c r="W78" s="22" t="n"/>
    </row>
    <row r="79" ht="15" customHeight="1">
      <c r="A79" s="70">
        <f>IF(C79="","",IFERROR(IF(SUMPRODUCT(MAX((tbl_Finance[Job Number]&amp;""=C79&amp;"")*(tbl_Finance[Xero Invoice No]&lt;&gt;"")*tbl_Finance[Date]))=0,"",SUMPRODUCT(MAX((tbl_Finance[Job Number]&amp;""=C79&amp;"")*(tbl_Finance[Xero Invoice No]&lt;&gt;"")*tbl_Finance[Date]))),""))</f>
        <v/>
      </c>
      <c r="B79" s="26">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2" t="n"/>
      <c r="D79" s="26">
        <f>IF(C79="","",IF(COUNTIF(lst_Jobs,C79&amp;"")&gt;0,"OK","CHECK"))</f>
        <v/>
      </c>
      <c r="E79" s="26">
        <f>IF(C79="","",IFERROR(INDEX(lst_JobName,MATCH(C79&amp;"",lst_Jobs,0)),""))</f>
        <v/>
      </c>
      <c r="F79" s="22" t="n"/>
      <c r="G79" s="22" t="n"/>
      <c r="H79" s="22" t="n"/>
      <c r="I79" s="22" t="n"/>
      <c r="J79" s="22" t="n"/>
      <c r="K79" s="28">
        <f>IF(C79="","",COUNTIFS(tbl_Finance[Job Number],C79&amp;"",tbl_Finance[Ex GST],"&lt;&gt;"))</f>
        <v/>
      </c>
      <c r="L79" s="27">
        <f>IF(C79="","",SUMIFS(tbl_Finance[Ex GST],tbl_Finance[Job Number],C79&amp;""))</f>
        <v/>
      </c>
      <c r="M79" s="27">
        <f>IF(C79="","",SUMIFS(tbl_Finance[Ex GST],tbl_Finance[Job Number],C79&amp;"",tbl_Finance[Xero Invoice No],"&lt;&gt;"))</f>
        <v/>
      </c>
      <c r="N79" s="27">
        <f>IF(C79="","",L79-M79)</f>
        <v/>
      </c>
      <c r="O79" s="24" t="n"/>
      <c r="P79" s="27">
        <f>IF(C79="","",IF(O79="",0,MAX(0,O79-L79)))</f>
        <v/>
      </c>
      <c r="Q79" s="26">
        <f>IF(C79="","",IF(K79=0,"not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R79" s="22" t="n"/>
      <c r="S79" s="22" t="n"/>
      <c r="T79" s="26">
        <f>IF(S79="","",HYPERLINK(IF(LEFT(S79,4)="http",S79,set_QwilrBase&amp;S79),"Open quote"))</f>
        <v/>
      </c>
      <c r="U79" s="71" t="n"/>
      <c r="V79" s="22" t="n"/>
      <c r="W79" s="22" t="n"/>
    </row>
    <row r="80" ht="15" customHeight="1">
      <c r="A80" s="70">
        <f>IF(C80="","",IFERROR(IF(SUMPRODUCT(MAX((tbl_Finance[Job Number]&amp;""=C80&amp;"")*(tbl_Finance[Xero Invoice No]&lt;&gt;"")*tbl_Finance[Date]))=0,"",SUMPRODUCT(MAX((tbl_Finance[Job Number]&amp;""=C80&amp;"")*(tbl_Finance[Xero Invoice No]&lt;&gt;"")*tbl_Finance[Date]))),""))</f>
        <v/>
      </c>
      <c r="B80" s="26">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2" t="n"/>
      <c r="D80" s="26">
        <f>IF(C80="","",IF(COUNTIF(lst_Jobs,C80&amp;"")&gt;0,"OK","CHECK"))</f>
        <v/>
      </c>
      <c r="E80" s="26">
        <f>IF(C80="","",IFERROR(INDEX(lst_JobName,MATCH(C80&amp;"",lst_Jobs,0)),""))</f>
        <v/>
      </c>
      <c r="F80" s="22" t="n"/>
      <c r="G80" s="22" t="n"/>
      <c r="H80" s="22" t="n"/>
      <c r="I80" s="22" t="n"/>
      <c r="J80" s="22" t="n"/>
      <c r="K80" s="28">
        <f>IF(C80="","",COUNTIFS(tbl_Finance[Job Number],C80&amp;"",tbl_Finance[Ex GST],"&lt;&gt;"))</f>
        <v/>
      </c>
      <c r="L80" s="27">
        <f>IF(C80="","",SUMIFS(tbl_Finance[Ex GST],tbl_Finance[Job Number],C80&amp;""))</f>
        <v/>
      </c>
      <c r="M80" s="27">
        <f>IF(C80="","",SUMIFS(tbl_Finance[Ex GST],tbl_Finance[Job Number],C80&amp;"",tbl_Finance[Xero Invoice No],"&lt;&gt;"))</f>
        <v/>
      </c>
      <c r="N80" s="27">
        <f>IF(C80="","",L80-M80)</f>
        <v/>
      </c>
      <c r="O80" s="24" t="n"/>
      <c r="P80" s="27">
        <f>IF(C80="","",IF(O80="",0,MAX(0,O80-L80)))</f>
        <v/>
      </c>
      <c r="Q80" s="26">
        <f>IF(C80="","",IF(K80=0,"not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R80" s="22" t="n"/>
      <c r="S80" s="22" t="n"/>
      <c r="T80" s="26">
        <f>IF(S80="","",HYPERLINK(IF(LEFT(S80,4)="http",S80,set_QwilrBase&amp;S80),"Open quote"))</f>
        <v/>
      </c>
      <c r="U80" s="71" t="n"/>
      <c r="V80" s="22" t="n"/>
      <c r="W80" s="22" t="n"/>
    </row>
    <row r="81" ht="15" customHeight="1">
      <c r="A81" s="70">
        <f>IF(C81="","",IFERROR(IF(SUMPRODUCT(MAX((tbl_Finance[Job Number]&amp;""=C81&amp;"")*(tbl_Finance[Xero Invoice No]&lt;&gt;"")*tbl_Finance[Date]))=0,"",SUMPRODUCT(MAX((tbl_Finance[Job Number]&amp;""=C81&amp;"")*(tbl_Finance[Xero Invoice No]&lt;&gt;"")*tbl_Finance[Date]))),""))</f>
        <v/>
      </c>
      <c r="B81" s="26">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2" t="n"/>
      <c r="D81" s="26">
        <f>IF(C81="","",IF(COUNTIF(lst_Jobs,C81&amp;"")&gt;0,"OK","CHECK"))</f>
        <v/>
      </c>
      <c r="E81" s="26">
        <f>IF(C81="","",IFERROR(INDEX(lst_JobName,MATCH(C81&amp;"",lst_Jobs,0)),""))</f>
        <v/>
      </c>
      <c r="F81" s="22" t="n"/>
      <c r="G81" s="22" t="n"/>
      <c r="H81" s="22" t="n"/>
      <c r="I81" s="22" t="n"/>
      <c r="J81" s="22" t="n"/>
      <c r="K81" s="28">
        <f>IF(C81="","",COUNTIFS(tbl_Finance[Job Number],C81&amp;"",tbl_Finance[Ex GST],"&lt;&gt;"))</f>
        <v/>
      </c>
      <c r="L81" s="27">
        <f>IF(C81="","",SUMIFS(tbl_Finance[Ex GST],tbl_Finance[Job Number],C81&amp;""))</f>
        <v/>
      </c>
      <c r="M81" s="27">
        <f>IF(C81="","",SUMIFS(tbl_Finance[Ex GST],tbl_Finance[Job Number],C81&amp;"",tbl_Finance[Xero Invoice No],"&lt;&gt;"))</f>
        <v/>
      </c>
      <c r="N81" s="27">
        <f>IF(C81="","",L81-M81)</f>
        <v/>
      </c>
      <c r="O81" s="24" t="n"/>
      <c r="P81" s="27">
        <f>IF(C81="","",IF(O81="",0,MAX(0,O81-L81)))</f>
        <v/>
      </c>
      <c r="Q81" s="26">
        <f>IF(C81="","",IF(K81=0,"not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R81" s="22" t="n"/>
      <c r="S81" s="22" t="n"/>
      <c r="T81" s="26">
        <f>IF(S81="","",HYPERLINK(IF(LEFT(S81,4)="http",S81,set_QwilrBase&amp;S81),"Open quote"))</f>
        <v/>
      </c>
      <c r="U81" s="71" t="n"/>
      <c r="V81" s="22" t="n"/>
      <c r="W81" s="22" t="n"/>
    </row>
    <row r="82" ht="15" customHeight="1">
      <c r="A82" s="70">
        <f>IF(C82="","",IFERROR(IF(SUMPRODUCT(MAX((tbl_Finance[Job Number]&amp;""=C82&amp;"")*(tbl_Finance[Xero Invoice No]&lt;&gt;"")*tbl_Finance[Date]))=0,"",SUMPRODUCT(MAX((tbl_Finance[Job Number]&amp;""=C82&amp;"")*(tbl_Finance[Xero Invoice No]&lt;&gt;"")*tbl_Finance[Date]))),""))</f>
        <v/>
      </c>
      <c r="B82" s="26">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2" t="n"/>
      <c r="D82" s="26">
        <f>IF(C82="","",IF(COUNTIF(lst_Jobs,C82&amp;"")&gt;0,"OK","CHECK"))</f>
        <v/>
      </c>
      <c r="E82" s="26">
        <f>IF(C82="","",IFERROR(INDEX(lst_JobName,MATCH(C82&amp;"",lst_Jobs,0)),""))</f>
        <v/>
      </c>
      <c r="F82" s="22" t="n"/>
      <c r="G82" s="22" t="n"/>
      <c r="H82" s="22" t="n"/>
      <c r="I82" s="22" t="n"/>
      <c r="J82" s="22" t="n"/>
      <c r="K82" s="28">
        <f>IF(C82="","",COUNTIFS(tbl_Finance[Job Number],C82&amp;"",tbl_Finance[Ex GST],"&lt;&gt;"))</f>
        <v/>
      </c>
      <c r="L82" s="27">
        <f>IF(C82="","",SUMIFS(tbl_Finance[Ex GST],tbl_Finance[Job Number],C82&amp;""))</f>
        <v/>
      </c>
      <c r="M82" s="27">
        <f>IF(C82="","",SUMIFS(tbl_Finance[Ex GST],tbl_Finance[Job Number],C82&amp;"",tbl_Finance[Xero Invoice No],"&lt;&gt;"))</f>
        <v/>
      </c>
      <c r="N82" s="27">
        <f>IF(C82="","",L82-M82)</f>
        <v/>
      </c>
      <c r="O82" s="24" t="n"/>
      <c r="P82" s="27">
        <f>IF(C82="","",IF(O82="",0,MAX(0,O82-L82)))</f>
        <v/>
      </c>
      <c r="Q82" s="26">
        <f>IF(C82="","",IF(K82=0,"not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R82" s="22" t="n"/>
      <c r="S82" s="22" t="n"/>
      <c r="T82" s="26">
        <f>IF(S82="","",HYPERLINK(IF(LEFT(S82,4)="http",S82,set_QwilrBase&amp;S82),"Open quote"))</f>
        <v/>
      </c>
      <c r="U82" s="71" t="n"/>
      <c r="V82" s="22" t="n"/>
      <c r="W82" s="22" t="n"/>
    </row>
    <row r="83" ht="15" customHeight="1">
      <c r="A83" s="70">
        <f>IF(C83="","",IFERROR(IF(SUMPRODUCT(MAX((tbl_Finance[Job Number]&amp;""=C83&amp;"")*(tbl_Finance[Xero Invoice No]&lt;&gt;"")*tbl_Finance[Date]))=0,"",SUMPRODUCT(MAX((tbl_Finance[Job Number]&amp;""=C83&amp;"")*(tbl_Finance[Xero Invoice No]&lt;&gt;"")*tbl_Finance[Date]))),""))</f>
        <v/>
      </c>
      <c r="B83" s="26">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2" t="n"/>
      <c r="D83" s="26">
        <f>IF(C83="","",IF(COUNTIF(lst_Jobs,C83&amp;"")&gt;0,"OK","CHECK"))</f>
        <v/>
      </c>
      <c r="E83" s="26">
        <f>IF(C83="","",IFERROR(INDEX(lst_JobName,MATCH(C83&amp;"",lst_Jobs,0)),""))</f>
        <v/>
      </c>
      <c r="F83" s="22" t="n"/>
      <c r="G83" s="22" t="n"/>
      <c r="H83" s="22" t="n"/>
      <c r="I83" s="22" t="n"/>
      <c r="J83" s="22" t="n"/>
      <c r="K83" s="28">
        <f>IF(C83="","",COUNTIFS(tbl_Finance[Job Number],C83&amp;"",tbl_Finance[Ex GST],"&lt;&gt;"))</f>
        <v/>
      </c>
      <c r="L83" s="27">
        <f>IF(C83="","",SUMIFS(tbl_Finance[Ex GST],tbl_Finance[Job Number],C83&amp;""))</f>
        <v/>
      </c>
      <c r="M83" s="27">
        <f>IF(C83="","",SUMIFS(tbl_Finance[Ex GST],tbl_Finance[Job Number],C83&amp;"",tbl_Finance[Xero Invoice No],"&lt;&gt;"))</f>
        <v/>
      </c>
      <c r="N83" s="27">
        <f>IF(C83="","",L83-M83)</f>
        <v/>
      </c>
      <c r="O83" s="24" t="n"/>
      <c r="P83" s="27">
        <f>IF(C83="","",IF(O83="",0,MAX(0,O83-L83)))</f>
        <v/>
      </c>
      <c r="Q83" s="26">
        <f>IF(C83="","",IF(K83=0,"not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R83" s="22" t="n"/>
      <c r="S83" s="22" t="n"/>
      <c r="T83" s="26">
        <f>IF(S83="","",HYPERLINK(IF(LEFT(S83,4)="http",S83,set_QwilrBase&amp;S83),"Open quote"))</f>
        <v/>
      </c>
      <c r="U83" s="71" t="n"/>
      <c r="V83" s="22" t="n"/>
      <c r="W83" s="22" t="n"/>
    </row>
    <row r="84" ht="15" customHeight="1">
      <c r="A84" s="70">
        <f>IF(C84="","",IFERROR(IF(SUMPRODUCT(MAX((tbl_Finance[Job Number]&amp;""=C84&amp;"")*(tbl_Finance[Xero Invoice No]&lt;&gt;"")*tbl_Finance[Date]))=0,"",SUMPRODUCT(MAX((tbl_Finance[Job Number]&amp;""=C84&amp;"")*(tbl_Finance[Xero Invoice No]&lt;&gt;"")*tbl_Finance[Date]))),""))</f>
        <v/>
      </c>
      <c r="B84" s="26">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2" t="n"/>
      <c r="D84" s="26">
        <f>IF(C84="","",IF(COUNTIF(lst_Jobs,C84&amp;"")&gt;0,"OK","CHECK"))</f>
        <v/>
      </c>
      <c r="E84" s="26">
        <f>IF(C84="","",IFERROR(INDEX(lst_JobName,MATCH(C84&amp;"",lst_Jobs,0)),""))</f>
        <v/>
      </c>
      <c r="F84" s="22" t="n"/>
      <c r="G84" s="22" t="n"/>
      <c r="H84" s="22" t="n"/>
      <c r="I84" s="22" t="n"/>
      <c r="J84" s="22" t="n"/>
      <c r="K84" s="28">
        <f>IF(C84="","",COUNTIFS(tbl_Finance[Job Number],C84&amp;"",tbl_Finance[Ex GST],"&lt;&gt;"))</f>
        <v/>
      </c>
      <c r="L84" s="27">
        <f>IF(C84="","",SUMIFS(tbl_Finance[Ex GST],tbl_Finance[Job Number],C84&amp;""))</f>
        <v/>
      </c>
      <c r="M84" s="27">
        <f>IF(C84="","",SUMIFS(tbl_Finance[Ex GST],tbl_Finance[Job Number],C84&amp;"",tbl_Finance[Xero Invoice No],"&lt;&gt;"))</f>
        <v/>
      </c>
      <c r="N84" s="27">
        <f>IF(C84="","",L84-M84)</f>
        <v/>
      </c>
      <c r="O84" s="24" t="n"/>
      <c r="P84" s="27">
        <f>IF(C84="","",IF(O84="",0,MAX(0,O84-L84)))</f>
        <v/>
      </c>
      <c r="Q84" s="26">
        <f>IF(C84="","",IF(K84=0,"not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R84" s="22" t="n"/>
      <c r="S84" s="22" t="n"/>
      <c r="T84" s="26">
        <f>IF(S84="","",HYPERLINK(IF(LEFT(S84,4)="http",S84,set_QwilrBase&amp;S84),"Open quote"))</f>
        <v/>
      </c>
      <c r="U84" s="71" t="n"/>
      <c r="V84" s="22" t="n"/>
      <c r="W84" s="22" t="n"/>
    </row>
    <row r="85" ht="15" customHeight="1">
      <c r="A85" s="70">
        <f>IF(C85="","",IFERROR(IF(SUMPRODUCT(MAX((tbl_Finance[Job Number]&amp;""=C85&amp;"")*(tbl_Finance[Xero Invoice No]&lt;&gt;"")*tbl_Finance[Date]))=0,"",SUMPRODUCT(MAX((tbl_Finance[Job Number]&amp;""=C85&amp;"")*(tbl_Finance[Xero Invoice No]&lt;&gt;"")*tbl_Finance[Date]))),""))</f>
        <v/>
      </c>
      <c r="B85" s="26">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2" t="n"/>
      <c r="D85" s="26">
        <f>IF(C85="","",IF(COUNTIF(lst_Jobs,C85&amp;"")&gt;0,"OK","CHECK"))</f>
        <v/>
      </c>
      <c r="E85" s="26">
        <f>IF(C85="","",IFERROR(INDEX(lst_JobName,MATCH(C85&amp;"",lst_Jobs,0)),""))</f>
        <v/>
      </c>
      <c r="F85" s="22" t="n"/>
      <c r="G85" s="22" t="n"/>
      <c r="H85" s="22" t="n"/>
      <c r="I85" s="22" t="n"/>
      <c r="J85" s="22" t="n"/>
      <c r="K85" s="28">
        <f>IF(C85="","",COUNTIFS(tbl_Finance[Job Number],C85&amp;"",tbl_Finance[Ex GST],"&lt;&gt;"))</f>
        <v/>
      </c>
      <c r="L85" s="27">
        <f>IF(C85="","",SUMIFS(tbl_Finance[Ex GST],tbl_Finance[Job Number],C85&amp;""))</f>
        <v/>
      </c>
      <c r="M85" s="27">
        <f>IF(C85="","",SUMIFS(tbl_Finance[Ex GST],tbl_Finance[Job Number],C85&amp;"",tbl_Finance[Xero Invoice No],"&lt;&gt;"))</f>
        <v/>
      </c>
      <c r="N85" s="27">
        <f>IF(C85="","",L85-M85)</f>
        <v/>
      </c>
      <c r="O85" s="24" t="n"/>
      <c r="P85" s="27">
        <f>IF(C85="","",IF(O85="",0,MAX(0,O85-L85)))</f>
        <v/>
      </c>
      <c r="Q85" s="26">
        <f>IF(C85="","",IF(K85=0,"not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R85" s="22" t="n"/>
      <c r="S85" s="22" t="n"/>
      <c r="T85" s="26">
        <f>IF(S85="","",HYPERLINK(IF(LEFT(S85,4)="http",S85,set_QwilrBase&amp;S85),"Open quote"))</f>
        <v/>
      </c>
      <c r="U85" s="71" t="n"/>
      <c r="V85" s="22" t="n"/>
      <c r="W85" s="22" t="n"/>
    </row>
    <row r="86" ht="15" customHeight="1">
      <c r="A86" s="70">
        <f>IF(C86="","",IFERROR(IF(SUMPRODUCT(MAX((tbl_Finance[Job Number]&amp;""=C86&amp;"")*(tbl_Finance[Xero Invoice No]&lt;&gt;"")*tbl_Finance[Date]))=0,"",SUMPRODUCT(MAX((tbl_Finance[Job Number]&amp;""=C86&amp;"")*(tbl_Finance[Xero Invoice No]&lt;&gt;"")*tbl_Finance[Date]))),""))</f>
        <v/>
      </c>
      <c r="B86" s="26">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2" t="n"/>
      <c r="D86" s="26">
        <f>IF(C86="","",IF(COUNTIF(lst_Jobs,C86&amp;"")&gt;0,"OK","CHECK"))</f>
        <v/>
      </c>
      <c r="E86" s="26">
        <f>IF(C86="","",IFERROR(INDEX(lst_JobName,MATCH(C86&amp;"",lst_Jobs,0)),""))</f>
        <v/>
      </c>
      <c r="F86" s="22" t="n"/>
      <c r="G86" s="22" t="n"/>
      <c r="H86" s="22" t="n"/>
      <c r="I86" s="22" t="n"/>
      <c r="J86" s="22" t="n"/>
      <c r="K86" s="28">
        <f>IF(C86="","",COUNTIFS(tbl_Finance[Job Number],C86&amp;"",tbl_Finance[Ex GST],"&lt;&gt;"))</f>
        <v/>
      </c>
      <c r="L86" s="27">
        <f>IF(C86="","",SUMIFS(tbl_Finance[Ex GST],tbl_Finance[Job Number],C86&amp;""))</f>
        <v/>
      </c>
      <c r="M86" s="27">
        <f>IF(C86="","",SUMIFS(tbl_Finance[Ex GST],tbl_Finance[Job Number],C86&amp;"",tbl_Finance[Xero Invoice No],"&lt;&gt;"))</f>
        <v/>
      </c>
      <c r="N86" s="27">
        <f>IF(C86="","",L86-M86)</f>
        <v/>
      </c>
      <c r="O86" s="24" t="n"/>
      <c r="P86" s="27">
        <f>IF(C86="","",IF(O86="",0,MAX(0,O86-L86)))</f>
        <v/>
      </c>
      <c r="Q86" s="26">
        <f>IF(C86="","",IF(K86=0,"not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R86" s="22" t="n"/>
      <c r="S86" s="22" t="n"/>
      <c r="T86" s="26">
        <f>IF(S86="","",HYPERLINK(IF(LEFT(S86,4)="http",S86,set_QwilrBase&amp;S86),"Open quote"))</f>
        <v/>
      </c>
      <c r="U86" s="71" t="n"/>
      <c r="V86" s="22" t="n"/>
      <c r="W86" s="22" t="n"/>
    </row>
    <row r="87" ht="15" customHeight="1">
      <c r="A87" s="70">
        <f>IF(C87="","",IFERROR(IF(SUMPRODUCT(MAX((tbl_Finance[Job Number]&amp;""=C87&amp;"")*(tbl_Finance[Xero Invoice No]&lt;&gt;"")*tbl_Finance[Date]))=0,"",SUMPRODUCT(MAX((tbl_Finance[Job Number]&amp;""=C87&amp;"")*(tbl_Finance[Xero Invoice No]&lt;&gt;"")*tbl_Finance[Date]))),""))</f>
        <v/>
      </c>
      <c r="B87" s="26">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2" t="n"/>
      <c r="D87" s="26">
        <f>IF(C87="","",IF(COUNTIF(lst_Jobs,C87&amp;"")&gt;0,"OK","CHECK"))</f>
        <v/>
      </c>
      <c r="E87" s="26">
        <f>IF(C87="","",IFERROR(INDEX(lst_JobName,MATCH(C87&amp;"",lst_Jobs,0)),""))</f>
        <v/>
      </c>
      <c r="F87" s="22" t="n"/>
      <c r="G87" s="22" t="n"/>
      <c r="H87" s="22" t="n"/>
      <c r="I87" s="22" t="n"/>
      <c r="J87" s="22" t="n"/>
      <c r="K87" s="28">
        <f>IF(C87="","",COUNTIFS(tbl_Finance[Job Number],C87&amp;"",tbl_Finance[Ex GST],"&lt;&gt;"))</f>
        <v/>
      </c>
      <c r="L87" s="27">
        <f>IF(C87="","",SUMIFS(tbl_Finance[Ex GST],tbl_Finance[Job Number],C87&amp;""))</f>
        <v/>
      </c>
      <c r="M87" s="27">
        <f>IF(C87="","",SUMIFS(tbl_Finance[Ex GST],tbl_Finance[Job Number],C87&amp;"",tbl_Finance[Xero Invoice No],"&lt;&gt;"))</f>
        <v/>
      </c>
      <c r="N87" s="27">
        <f>IF(C87="","",L87-M87)</f>
        <v/>
      </c>
      <c r="O87" s="24" t="n"/>
      <c r="P87" s="27">
        <f>IF(C87="","",IF(O87="",0,MAX(0,O87-L87)))</f>
        <v/>
      </c>
      <c r="Q87" s="26">
        <f>IF(C87="","",IF(K87=0,"not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R87" s="22" t="n"/>
      <c r="S87" s="22" t="n"/>
      <c r="T87" s="26">
        <f>IF(S87="","",HYPERLINK(IF(LEFT(S87,4)="http",S87,set_QwilrBase&amp;S87),"Open quote"))</f>
        <v/>
      </c>
      <c r="U87" s="71" t="n"/>
      <c r="V87" s="22" t="n"/>
      <c r="W87" s="22" t="n"/>
    </row>
    <row r="88" ht="15" customHeight="1">
      <c r="A88" s="70">
        <f>IF(C88="","",IFERROR(IF(SUMPRODUCT(MAX((tbl_Finance[Job Number]&amp;""=C88&amp;"")*(tbl_Finance[Xero Invoice No]&lt;&gt;"")*tbl_Finance[Date]))=0,"",SUMPRODUCT(MAX((tbl_Finance[Job Number]&amp;""=C88&amp;"")*(tbl_Finance[Xero Invoice No]&lt;&gt;"")*tbl_Finance[Date]))),""))</f>
        <v/>
      </c>
      <c r="B88" s="26">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2" t="n"/>
      <c r="D88" s="26">
        <f>IF(C88="","",IF(COUNTIF(lst_Jobs,C88&amp;"")&gt;0,"OK","CHECK"))</f>
        <v/>
      </c>
      <c r="E88" s="26">
        <f>IF(C88="","",IFERROR(INDEX(lst_JobName,MATCH(C88&amp;"",lst_Jobs,0)),""))</f>
        <v/>
      </c>
      <c r="F88" s="22" t="n"/>
      <c r="G88" s="22" t="n"/>
      <c r="H88" s="22" t="n"/>
      <c r="I88" s="22" t="n"/>
      <c r="J88" s="22" t="n"/>
      <c r="K88" s="28">
        <f>IF(C88="","",COUNTIFS(tbl_Finance[Job Number],C88&amp;"",tbl_Finance[Ex GST],"&lt;&gt;"))</f>
        <v/>
      </c>
      <c r="L88" s="27">
        <f>IF(C88="","",SUMIFS(tbl_Finance[Ex GST],tbl_Finance[Job Number],C88&amp;""))</f>
        <v/>
      </c>
      <c r="M88" s="27">
        <f>IF(C88="","",SUMIFS(tbl_Finance[Ex GST],tbl_Finance[Job Number],C88&amp;"",tbl_Finance[Xero Invoice No],"&lt;&gt;"))</f>
        <v/>
      </c>
      <c r="N88" s="27">
        <f>IF(C88="","",L88-M88)</f>
        <v/>
      </c>
      <c r="O88" s="24" t="n"/>
      <c r="P88" s="27">
        <f>IF(C88="","",IF(O88="",0,MAX(0,O88-L88)))</f>
        <v/>
      </c>
      <c r="Q88" s="26">
        <f>IF(C88="","",IF(K88=0,"not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R88" s="22" t="n"/>
      <c r="S88" s="22" t="n"/>
      <c r="T88" s="26">
        <f>IF(S88="","",HYPERLINK(IF(LEFT(S88,4)="http",S88,set_QwilrBase&amp;S88),"Open quote"))</f>
        <v/>
      </c>
      <c r="U88" s="71" t="n"/>
      <c r="V88" s="22" t="n"/>
      <c r="W88" s="22" t="n"/>
    </row>
    <row r="89" ht="15" customHeight="1">
      <c r="A89" s="70">
        <f>IF(C89="","",IFERROR(IF(SUMPRODUCT(MAX((tbl_Finance[Job Number]&amp;""=C89&amp;"")*(tbl_Finance[Xero Invoice No]&lt;&gt;"")*tbl_Finance[Date]))=0,"",SUMPRODUCT(MAX((tbl_Finance[Job Number]&amp;""=C89&amp;"")*(tbl_Finance[Xero Invoice No]&lt;&gt;"")*tbl_Finance[Date]))),""))</f>
        <v/>
      </c>
      <c r="B89" s="26">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2" t="n"/>
      <c r="D89" s="26">
        <f>IF(C89="","",IF(COUNTIF(lst_Jobs,C89&amp;"")&gt;0,"OK","CHECK"))</f>
        <v/>
      </c>
      <c r="E89" s="26">
        <f>IF(C89="","",IFERROR(INDEX(lst_JobName,MATCH(C89&amp;"",lst_Jobs,0)),""))</f>
        <v/>
      </c>
      <c r="F89" s="22" t="n"/>
      <c r="G89" s="22" t="n"/>
      <c r="H89" s="22" t="n"/>
      <c r="I89" s="22" t="n"/>
      <c r="J89" s="22" t="n"/>
      <c r="K89" s="28">
        <f>IF(C89="","",COUNTIFS(tbl_Finance[Job Number],C89&amp;"",tbl_Finance[Ex GST],"&lt;&gt;"))</f>
        <v/>
      </c>
      <c r="L89" s="27">
        <f>IF(C89="","",SUMIFS(tbl_Finance[Ex GST],tbl_Finance[Job Number],C89&amp;""))</f>
        <v/>
      </c>
      <c r="M89" s="27">
        <f>IF(C89="","",SUMIFS(tbl_Finance[Ex GST],tbl_Finance[Job Number],C89&amp;"",tbl_Finance[Xero Invoice No],"&lt;&gt;"))</f>
        <v/>
      </c>
      <c r="N89" s="27">
        <f>IF(C89="","",L89-M89)</f>
        <v/>
      </c>
      <c r="O89" s="24" t="n"/>
      <c r="P89" s="27">
        <f>IF(C89="","",IF(O89="",0,MAX(0,O89-L89)))</f>
        <v/>
      </c>
      <c r="Q89" s="26">
        <f>IF(C89="","",IF(K89=0,"not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R89" s="22" t="n"/>
      <c r="S89" s="22" t="n"/>
      <c r="T89" s="26">
        <f>IF(S89="","",HYPERLINK(IF(LEFT(S89,4)="http",S89,set_QwilrBase&amp;S89),"Open quote"))</f>
        <v/>
      </c>
      <c r="U89" s="71" t="n"/>
      <c r="V89" s="22" t="n"/>
      <c r="W89" s="22" t="n"/>
    </row>
    <row r="90" ht="15" customHeight="1">
      <c r="A90" s="70">
        <f>IF(C90="","",IFERROR(IF(SUMPRODUCT(MAX((tbl_Finance[Job Number]&amp;""=C90&amp;"")*(tbl_Finance[Xero Invoice No]&lt;&gt;"")*tbl_Finance[Date]))=0,"",SUMPRODUCT(MAX((tbl_Finance[Job Number]&amp;""=C90&amp;"")*(tbl_Finance[Xero Invoice No]&lt;&gt;"")*tbl_Finance[Date]))),""))</f>
        <v/>
      </c>
      <c r="B90" s="26">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2" t="n"/>
      <c r="D90" s="26">
        <f>IF(C90="","",IF(COUNTIF(lst_Jobs,C90&amp;"")&gt;0,"OK","CHECK"))</f>
        <v/>
      </c>
      <c r="E90" s="26">
        <f>IF(C90="","",IFERROR(INDEX(lst_JobName,MATCH(C90&amp;"",lst_Jobs,0)),""))</f>
        <v/>
      </c>
      <c r="F90" s="22" t="n"/>
      <c r="G90" s="22" t="n"/>
      <c r="H90" s="22" t="n"/>
      <c r="I90" s="22" t="n"/>
      <c r="J90" s="22" t="n"/>
      <c r="K90" s="28">
        <f>IF(C90="","",COUNTIFS(tbl_Finance[Job Number],C90&amp;"",tbl_Finance[Ex GST],"&lt;&gt;"))</f>
        <v/>
      </c>
      <c r="L90" s="27">
        <f>IF(C90="","",SUMIFS(tbl_Finance[Ex GST],tbl_Finance[Job Number],C90&amp;""))</f>
        <v/>
      </c>
      <c r="M90" s="27">
        <f>IF(C90="","",SUMIFS(tbl_Finance[Ex GST],tbl_Finance[Job Number],C90&amp;"",tbl_Finance[Xero Invoice No],"&lt;&gt;"))</f>
        <v/>
      </c>
      <c r="N90" s="27">
        <f>IF(C90="","",L90-M90)</f>
        <v/>
      </c>
      <c r="O90" s="24" t="n"/>
      <c r="P90" s="27">
        <f>IF(C90="","",IF(O90="",0,MAX(0,O90-L90)))</f>
        <v/>
      </c>
      <c r="Q90" s="26">
        <f>IF(C90="","",IF(K90=0,"not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R90" s="22" t="n"/>
      <c r="S90" s="22" t="n"/>
      <c r="T90" s="26">
        <f>IF(S90="","",HYPERLINK(IF(LEFT(S90,4)="http",S90,set_QwilrBase&amp;S90),"Open quote"))</f>
        <v/>
      </c>
      <c r="U90" s="71" t="n"/>
      <c r="V90" s="22" t="n"/>
      <c r="W90" s="22" t="n"/>
    </row>
    <row r="91" ht="15" customHeight="1">
      <c r="A91" s="70">
        <f>IF(C91="","",IFERROR(IF(SUMPRODUCT(MAX((tbl_Finance[Job Number]&amp;""=C91&amp;"")*(tbl_Finance[Xero Invoice No]&lt;&gt;"")*tbl_Finance[Date]))=0,"",SUMPRODUCT(MAX((tbl_Finance[Job Number]&amp;""=C91&amp;"")*(tbl_Finance[Xero Invoice No]&lt;&gt;"")*tbl_Finance[Date]))),""))</f>
        <v/>
      </c>
      <c r="B91" s="26">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2" t="n"/>
      <c r="D91" s="26">
        <f>IF(C91="","",IF(COUNTIF(lst_Jobs,C91&amp;"")&gt;0,"OK","CHECK"))</f>
        <v/>
      </c>
      <c r="E91" s="26">
        <f>IF(C91="","",IFERROR(INDEX(lst_JobName,MATCH(C91&amp;"",lst_Jobs,0)),""))</f>
        <v/>
      </c>
      <c r="F91" s="22" t="n"/>
      <c r="G91" s="22" t="n"/>
      <c r="H91" s="22" t="n"/>
      <c r="I91" s="22" t="n"/>
      <c r="J91" s="22" t="n"/>
      <c r="K91" s="28">
        <f>IF(C91="","",COUNTIFS(tbl_Finance[Job Number],C91&amp;"",tbl_Finance[Ex GST],"&lt;&gt;"))</f>
        <v/>
      </c>
      <c r="L91" s="27">
        <f>IF(C91="","",SUMIFS(tbl_Finance[Ex GST],tbl_Finance[Job Number],C91&amp;""))</f>
        <v/>
      </c>
      <c r="M91" s="27">
        <f>IF(C91="","",SUMIFS(tbl_Finance[Ex GST],tbl_Finance[Job Number],C91&amp;"",tbl_Finance[Xero Invoice No],"&lt;&gt;"))</f>
        <v/>
      </c>
      <c r="N91" s="27">
        <f>IF(C91="","",L91-M91)</f>
        <v/>
      </c>
      <c r="O91" s="24" t="n"/>
      <c r="P91" s="27">
        <f>IF(C91="","",IF(O91="",0,MAX(0,O91-L91)))</f>
        <v/>
      </c>
      <c r="Q91" s="26">
        <f>IF(C91="","",IF(K91=0,"not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R91" s="22" t="n"/>
      <c r="S91" s="22" t="n"/>
      <c r="T91" s="26">
        <f>IF(S91="","",HYPERLINK(IF(LEFT(S91,4)="http",S91,set_QwilrBase&amp;S91),"Open quote"))</f>
        <v/>
      </c>
      <c r="U91" s="71" t="n"/>
      <c r="V91" s="22" t="n"/>
      <c r="W91" s="22" t="n"/>
    </row>
    <row r="92" ht="15" customHeight="1">
      <c r="A92" s="70">
        <f>IF(C92="","",IFERROR(IF(SUMPRODUCT(MAX((tbl_Finance[Job Number]&amp;""=C92&amp;"")*(tbl_Finance[Xero Invoice No]&lt;&gt;"")*tbl_Finance[Date]))=0,"",SUMPRODUCT(MAX((tbl_Finance[Job Number]&amp;""=C92&amp;"")*(tbl_Finance[Xero Invoice No]&lt;&gt;"")*tbl_Finance[Date]))),""))</f>
        <v/>
      </c>
      <c r="B92" s="26">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2" t="n"/>
      <c r="D92" s="26">
        <f>IF(C92="","",IF(COUNTIF(lst_Jobs,C92&amp;"")&gt;0,"OK","CHECK"))</f>
        <v/>
      </c>
      <c r="E92" s="26">
        <f>IF(C92="","",IFERROR(INDEX(lst_JobName,MATCH(C92&amp;"",lst_Jobs,0)),""))</f>
        <v/>
      </c>
      <c r="F92" s="22" t="n"/>
      <c r="G92" s="22" t="n"/>
      <c r="H92" s="22" t="n"/>
      <c r="I92" s="22" t="n"/>
      <c r="J92" s="22" t="n"/>
      <c r="K92" s="28">
        <f>IF(C92="","",COUNTIFS(tbl_Finance[Job Number],C92&amp;"",tbl_Finance[Ex GST],"&lt;&gt;"))</f>
        <v/>
      </c>
      <c r="L92" s="27">
        <f>IF(C92="","",SUMIFS(tbl_Finance[Ex GST],tbl_Finance[Job Number],C92&amp;""))</f>
        <v/>
      </c>
      <c r="M92" s="27">
        <f>IF(C92="","",SUMIFS(tbl_Finance[Ex GST],tbl_Finance[Job Number],C92&amp;"",tbl_Finance[Xero Invoice No],"&lt;&gt;"))</f>
        <v/>
      </c>
      <c r="N92" s="27">
        <f>IF(C92="","",L92-M92)</f>
        <v/>
      </c>
      <c r="O92" s="24" t="n"/>
      <c r="P92" s="27">
        <f>IF(C92="","",IF(O92="",0,MAX(0,O92-L92)))</f>
        <v/>
      </c>
      <c r="Q92" s="26">
        <f>IF(C92="","",IF(K92=0,"not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R92" s="22" t="n"/>
      <c r="S92" s="22" t="n"/>
      <c r="T92" s="26">
        <f>IF(S92="","",HYPERLINK(IF(LEFT(S92,4)="http",S92,set_QwilrBase&amp;S92),"Open quote"))</f>
        <v/>
      </c>
      <c r="U92" s="71" t="n"/>
      <c r="V92" s="22" t="n"/>
      <c r="W92" s="22" t="n"/>
    </row>
    <row r="93" ht="15" customHeight="1">
      <c r="A93" s="70">
        <f>IF(C93="","",IFERROR(IF(SUMPRODUCT(MAX((tbl_Finance[Job Number]&amp;""=C93&amp;"")*(tbl_Finance[Xero Invoice No]&lt;&gt;"")*tbl_Finance[Date]))=0,"",SUMPRODUCT(MAX((tbl_Finance[Job Number]&amp;""=C93&amp;"")*(tbl_Finance[Xero Invoice No]&lt;&gt;"")*tbl_Finance[Date]))),""))</f>
        <v/>
      </c>
      <c r="B93" s="26">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2" t="n"/>
      <c r="D93" s="26">
        <f>IF(C93="","",IF(COUNTIF(lst_Jobs,C93&amp;"")&gt;0,"OK","CHECK"))</f>
        <v/>
      </c>
      <c r="E93" s="26">
        <f>IF(C93="","",IFERROR(INDEX(lst_JobName,MATCH(C93&amp;"",lst_Jobs,0)),""))</f>
        <v/>
      </c>
      <c r="F93" s="22" t="n"/>
      <c r="G93" s="22" t="n"/>
      <c r="H93" s="22" t="n"/>
      <c r="I93" s="22" t="n"/>
      <c r="J93" s="22" t="n"/>
      <c r="K93" s="28">
        <f>IF(C93="","",COUNTIFS(tbl_Finance[Job Number],C93&amp;"",tbl_Finance[Ex GST],"&lt;&gt;"))</f>
        <v/>
      </c>
      <c r="L93" s="27">
        <f>IF(C93="","",SUMIFS(tbl_Finance[Ex GST],tbl_Finance[Job Number],C93&amp;""))</f>
        <v/>
      </c>
      <c r="M93" s="27">
        <f>IF(C93="","",SUMIFS(tbl_Finance[Ex GST],tbl_Finance[Job Number],C93&amp;"",tbl_Finance[Xero Invoice No],"&lt;&gt;"))</f>
        <v/>
      </c>
      <c r="N93" s="27">
        <f>IF(C93="","",L93-M93)</f>
        <v/>
      </c>
      <c r="O93" s="24" t="n"/>
      <c r="P93" s="27">
        <f>IF(C93="","",IF(O93="",0,MAX(0,O93-L93)))</f>
        <v/>
      </c>
      <c r="Q93" s="26">
        <f>IF(C93="","",IF(K93=0,"not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R93" s="22" t="n"/>
      <c r="S93" s="22" t="n"/>
      <c r="T93" s="26">
        <f>IF(S93="","",HYPERLINK(IF(LEFT(S93,4)="http",S93,set_QwilrBase&amp;S93),"Open quote"))</f>
        <v/>
      </c>
      <c r="U93" s="71" t="n"/>
      <c r="V93" s="22" t="n"/>
      <c r="W93" s="22" t="n"/>
    </row>
    <row r="94" ht="15" customHeight="1">
      <c r="A94" s="70">
        <f>IF(C94="","",IFERROR(IF(SUMPRODUCT(MAX((tbl_Finance[Job Number]&amp;""=C94&amp;"")*(tbl_Finance[Xero Invoice No]&lt;&gt;"")*tbl_Finance[Date]))=0,"",SUMPRODUCT(MAX((tbl_Finance[Job Number]&amp;""=C94&amp;"")*(tbl_Finance[Xero Invoice No]&lt;&gt;"")*tbl_Finance[Date]))),""))</f>
        <v/>
      </c>
      <c r="B94" s="26">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2" t="n"/>
      <c r="D94" s="26">
        <f>IF(C94="","",IF(COUNTIF(lst_Jobs,C94&amp;"")&gt;0,"OK","CHECK"))</f>
        <v/>
      </c>
      <c r="E94" s="26">
        <f>IF(C94="","",IFERROR(INDEX(lst_JobName,MATCH(C94&amp;"",lst_Jobs,0)),""))</f>
        <v/>
      </c>
      <c r="F94" s="22" t="n"/>
      <c r="G94" s="22" t="n"/>
      <c r="H94" s="22" t="n"/>
      <c r="I94" s="22" t="n"/>
      <c r="J94" s="22" t="n"/>
      <c r="K94" s="28">
        <f>IF(C94="","",COUNTIFS(tbl_Finance[Job Number],C94&amp;"",tbl_Finance[Ex GST],"&lt;&gt;"))</f>
        <v/>
      </c>
      <c r="L94" s="27">
        <f>IF(C94="","",SUMIFS(tbl_Finance[Ex GST],tbl_Finance[Job Number],C94&amp;""))</f>
        <v/>
      </c>
      <c r="M94" s="27">
        <f>IF(C94="","",SUMIFS(tbl_Finance[Ex GST],tbl_Finance[Job Number],C94&amp;"",tbl_Finance[Xero Invoice No],"&lt;&gt;"))</f>
        <v/>
      </c>
      <c r="N94" s="27">
        <f>IF(C94="","",L94-M94)</f>
        <v/>
      </c>
      <c r="O94" s="24" t="n"/>
      <c r="P94" s="27">
        <f>IF(C94="","",IF(O94="",0,MAX(0,O94-L94)))</f>
        <v/>
      </c>
      <c r="Q94" s="26">
        <f>IF(C94="","",IF(K94=0,"not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R94" s="22" t="n"/>
      <c r="S94" s="22" t="n"/>
      <c r="T94" s="26">
        <f>IF(S94="","",HYPERLINK(IF(LEFT(S94,4)="http",S94,set_QwilrBase&amp;S94),"Open quote"))</f>
        <v/>
      </c>
      <c r="U94" s="71" t="n"/>
      <c r="V94" s="22" t="n"/>
      <c r="W94" s="22" t="n"/>
    </row>
    <row r="95" ht="15" customHeight="1">
      <c r="A95" s="70">
        <f>IF(C95="","",IFERROR(IF(SUMPRODUCT(MAX((tbl_Finance[Job Number]&amp;""=C95&amp;"")*(tbl_Finance[Xero Invoice No]&lt;&gt;"")*tbl_Finance[Date]))=0,"",SUMPRODUCT(MAX((tbl_Finance[Job Number]&amp;""=C95&amp;"")*(tbl_Finance[Xero Invoice No]&lt;&gt;"")*tbl_Finance[Date]))),""))</f>
        <v/>
      </c>
      <c r="B95" s="26">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2" t="n"/>
      <c r="D95" s="26">
        <f>IF(C95="","",IF(COUNTIF(lst_Jobs,C95&amp;"")&gt;0,"OK","CHECK"))</f>
        <v/>
      </c>
      <c r="E95" s="26">
        <f>IF(C95="","",IFERROR(INDEX(lst_JobName,MATCH(C95&amp;"",lst_Jobs,0)),""))</f>
        <v/>
      </c>
      <c r="F95" s="22" t="n"/>
      <c r="G95" s="22" t="n"/>
      <c r="H95" s="22" t="n"/>
      <c r="I95" s="22" t="n"/>
      <c r="J95" s="22" t="n"/>
      <c r="K95" s="28">
        <f>IF(C95="","",COUNTIFS(tbl_Finance[Job Number],C95&amp;"",tbl_Finance[Ex GST],"&lt;&gt;"))</f>
        <v/>
      </c>
      <c r="L95" s="27">
        <f>IF(C95="","",SUMIFS(tbl_Finance[Ex GST],tbl_Finance[Job Number],C95&amp;""))</f>
        <v/>
      </c>
      <c r="M95" s="27">
        <f>IF(C95="","",SUMIFS(tbl_Finance[Ex GST],tbl_Finance[Job Number],C95&amp;"",tbl_Finance[Xero Invoice No],"&lt;&gt;"))</f>
        <v/>
      </c>
      <c r="N95" s="27">
        <f>IF(C95="","",L95-M95)</f>
        <v/>
      </c>
      <c r="O95" s="24" t="n"/>
      <c r="P95" s="27">
        <f>IF(C95="","",IF(O95="",0,MAX(0,O95-L95)))</f>
        <v/>
      </c>
      <c r="Q95" s="26">
        <f>IF(C95="","",IF(K95=0,"not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R95" s="22" t="n"/>
      <c r="S95" s="22" t="n"/>
      <c r="T95" s="26">
        <f>IF(S95="","",HYPERLINK(IF(LEFT(S95,4)="http",S95,set_QwilrBase&amp;S95),"Open quote"))</f>
        <v/>
      </c>
      <c r="U95" s="71" t="n"/>
      <c r="V95" s="22" t="n"/>
      <c r="W95" s="22" t="n"/>
    </row>
    <row r="96" ht="15" customHeight="1">
      <c r="A96" s="70">
        <f>IF(C96="","",IFERROR(IF(SUMPRODUCT(MAX((tbl_Finance[Job Number]&amp;""=C96&amp;"")*(tbl_Finance[Xero Invoice No]&lt;&gt;"")*tbl_Finance[Date]))=0,"",SUMPRODUCT(MAX((tbl_Finance[Job Number]&amp;""=C96&amp;"")*(tbl_Finance[Xero Invoice No]&lt;&gt;"")*tbl_Finance[Date]))),""))</f>
        <v/>
      </c>
      <c r="B96" s="26">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2" t="n"/>
      <c r="D96" s="26">
        <f>IF(C96="","",IF(COUNTIF(lst_Jobs,C96&amp;"")&gt;0,"OK","CHECK"))</f>
        <v/>
      </c>
      <c r="E96" s="26">
        <f>IF(C96="","",IFERROR(INDEX(lst_JobName,MATCH(C96&amp;"",lst_Jobs,0)),""))</f>
        <v/>
      </c>
      <c r="F96" s="22" t="n"/>
      <c r="G96" s="22" t="n"/>
      <c r="H96" s="22" t="n"/>
      <c r="I96" s="22" t="n"/>
      <c r="J96" s="22" t="n"/>
      <c r="K96" s="28">
        <f>IF(C96="","",COUNTIFS(tbl_Finance[Job Number],C96&amp;"",tbl_Finance[Ex GST],"&lt;&gt;"))</f>
        <v/>
      </c>
      <c r="L96" s="27">
        <f>IF(C96="","",SUMIFS(tbl_Finance[Ex GST],tbl_Finance[Job Number],C96&amp;""))</f>
        <v/>
      </c>
      <c r="M96" s="27">
        <f>IF(C96="","",SUMIFS(tbl_Finance[Ex GST],tbl_Finance[Job Number],C96&amp;"",tbl_Finance[Xero Invoice No],"&lt;&gt;"))</f>
        <v/>
      </c>
      <c r="N96" s="27">
        <f>IF(C96="","",L96-M96)</f>
        <v/>
      </c>
      <c r="O96" s="24" t="n"/>
      <c r="P96" s="27">
        <f>IF(C96="","",IF(O96="",0,MAX(0,O96-L96)))</f>
        <v/>
      </c>
      <c r="Q96" s="26">
        <f>IF(C96="","",IF(K96=0,"not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R96" s="22" t="n"/>
      <c r="S96" s="22" t="n"/>
      <c r="T96" s="26">
        <f>IF(S96="","",HYPERLINK(IF(LEFT(S96,4)="http",S96,set_QwilrBase&amp;S96),"Open quote"))</f>
        <v/>
      </c>
      <c r="U96" s="71" t="n"/>
      <c r="V96" s="22" t="n"/>
      <c r="W96" s="22" t="n"/>
    </row>
    <row r="97" ht="15" customHeight="1">
      <c r="A97" s="70">
        <f>IF(C97="","",IFERROR(IF(SUMPRODUCT(MAX((tbl_Finance[Job Number]&amp;""=C97&amp;"")*(tbl_Finance[Xero Invoice No]&lt;&gt;"")*tbl_Finance[Date]))=0,"",SUMPRODUCT(MAX((tbl_Finance[Job Number]&amp;""=C97&amp;"")*(tbl_Finance[Xero Invoice No]&lt;&gt;"")*tbl_Finance[Date]))),""))</f>
        <v/>
      </c>
      <c r="B97" s="26">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2" t="n"/>
      <c r="D97" s="26">
        <f>IF(C97="","",IF(COUNTIF(lst_Jobs,C97&amp;"")&gt;0,"OK","CHECK"))</f>
        <v/>
      </c>
      <c r="E97" s="26">
        <f>IF(C97="","",IFERROR(INDEX(lst_JobName,MATCH(C97&amp;"",lst_Jobs,0)),""))</f>
        <v/>
      </c>
      <c r="F97" s="22" t="n"/>
      <c r="G97" s="22" t="n"/>
      <c r="H97" s="22" t="n"/>
      <c r="I97" s="22" t="n"/>
      <c r="J97" s="22" t="n"/>
      <c r="K97" s="28">
        <f>IF(C97="","",COUNTIFS(tbl_Finance[Job Number],C97&amp;"",tbl_Finance[Ex GST],"&lt;&gt;"))</f>
        <v/>
      </c>
      <c r="L97" s="27">
        <f>IF(C97="","",SUMIFS(tbl_Finance[Ex GST],tbl_Finance[Job Number],C97&amp;""))</f>
        <v/>
      </c>
      <c r="M97" s="27">
        <f>IF(C97="","",SUMIFS(tbl_Finance[Ex GST],tbl_Finance[Job Number],C97&amp;"",tbl_Finance[Xero Invoice No],"&lt;&gt;"))</f>
        <v/>
      </c>
      <c r="N97" s="27">
        <f>IF(C97="","",L97-M97)</f>
        <v/>
      </c>
      <c r="O97" s="24" t="n"/>
      <c r="P97" s="27">
        <f>IF(C97="","",IF(O97="",0,MAX(0,O97-L97)))</f>
        <v/>
      </c>
      <c r="Q97" s="26">
        <f>IF(C97="","",IF(K97=0,"not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R97" s="22" t="n"/>
      <c r="S97" s="22" t="n"/>
      <c r="T97" s="26">
        <f>IF(S97="","",HYPERLINK(IF(LEFT(S97,4)="http",S97,set_QwilrBase&amp;S97),"Open quote"))</f>
        <v/>
      </c>
      <c r="U97" s="71" t="n"/>
      <c r="V97" s="22" t="n"/>
      <c r="W97" s="22" t="n"/>
    </row>
    <row r="98" ht="15" customHeight="1">
      <c r="A98" s="70">
        <f>IF(C98="","",IFERROR(IF(SUMPRODUCT(MAX((tbl_Finance[Job Number]&amp;""=C98&amp;"")*(tbl_Finance[Xero Invoice No]&lt;&gt;"")*tbl_Finance[Date]))=0,"",SUMPRODUCT(MAX((tbl_Finance[Job Number]&amp;""=C98&amp;"")*(tbl_Finance[Xero Invoice No]&lt;&gt;"")*tbl_Finance[Date]))),""))</f>
        <v/>
      </c>
      <c r="B98" s="26">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2" t="n"/>
      <c r="D98" s="26">
        <f>IF(C98="","",IF(COUNTIF(lst_Jobs,C98&amp;"")&gt;0,"OK","CHECK"))</f>
        <v/>
      </c>
      <c r="E98" s="26">
        <f>IF(C98="","",IFERROR(INDEX(lst_JobName,MATCH(C98&amp;"",lst_Jobs,0)),""))</f>
        <v/>
      </c>
      <c r="F98" s="22" t="n"/>
      <c r="G98" s="22" t="n"/>
      <c r="H98" s="22" t="n"/>
      <c r="I98" s="22" t="n"/>
      <c r="J98" s="22" t="n"/>
      <c r="K98" s="28">
        <f>IF(C98="","",COUNTIFS(tbl_Finance[Job Number],C98&amp;"",tbl_Finance[Ex GST],"&lt;&gt;"))</f>
        <v/>
      </c>
      <c r="L98" s="27">
        <f>IF(C98="","",SUMIFS(tbl_Finance[Ex GST],tbl_Finance[Job Number],C98&amp;""))</f>
        <v/>
      </c>
      <c r="M98" s="27">
        <f>IF(C98="","",SUMIFS(tbl_Finance[Ex GST],tbl_Finance[Job Number],C98&amp;"",tbl_Finance[Xero Invoice No],"&lt;&gt;"))</f>
        <v/>
      </c>
      <c r="N98" s="27">
        <f>IF(C98="","",L98-M98)</f>
        <v/>
      </c>
      <c r="O98" s="24" t="n"/>
      <c r="P98" s="27">
        <f>IF(C98="","",IF(O98="",0,MAX(0,O98-L98)))</f>
        <v/>
      </c>
      <c r="Q98" s="26">
        <f>IF(C98="","",IF(K98=0,"not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R98" s="22" t="n"/>
      <c r="S98" s="22" t="n"/>
      <c r="T98" s="26">
        <f>IF(S98="","",HYPERLINK(IF(LEFT(S98,4)="http",S98,set_QwilrBase&amp;S98),"Open quote"))</f>
        <v/>
      </c>
      <c r="U98" s="71" t="n"/>
      <c r="V98" s="22" t="n"/>
      <c r="W98" s="22" t="n"/>
    </row>
    <row r="99" ht="15" customHeight="1">
      <c r="A99" s="70">
        <f>IF(C99="","",IFERROR(IF(SUMPRODUCT(MAX((tbl_Finance[Job Number]&amp;""=C99&amp;"")*(tbl_Finance[Xero Invoice No]&lt;&gt;"")*tbl_Finance[Date]))=0,"",SUMPRODUCT(MAX((tbl_Finance[Job Number]&amp;""=C99&amp;"")*(tbl_Finance[Xero Invoice No]&lt;&gt;"")*tbl_Finance[Date]))),""))</f>
        <v/>
      </c>
      <c r="B99" s="26">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2" t="n"/>
      <c r="D99" s="26">
        <f>IF(C99="","",IF(COUNTIF(lst_Jobs,C99&amp;"")&gt;0,"OK","CHECK"))</f>
        <v/>
      </c>
      <c r="E99" s="26">
        <f>IF(C99="","",IFERROR(INDEX(lst_JobName,MATCH(C99&amp;"",lst_Jobs,0)),""))</f>
        <v/>
      </c>
      <c r="F99" s="22" t="n"/>
      <c r="G99" s="22" t="n"/>
      <c r="H99" s="22" t="n"/>
      <c r="I99" s="22" t="n"/>
      <c r="J99" s="22" t="n"/>
      <c r="K99" s="28">
        <f>IF(C99="","",COUNTIFS(tbl_Finance[Job Number],C99&amp;"",tbl_Finance[Ex GST],"&lt;&gt;"))</f>
        <v/>
      </c>
      <c r="L99" s="27">
        <f>IF(C99="","",SUMIFS(tbl_Finance[Ex GST],tbl_Finance[Job Number],C99&amp;""))</f>
        <v/>
      </c>
      <c r="M99" s="27">
        <f>IF(C99="","",SUMIFS(tbl_Finance[Ex GST],tbl_Finance[Job Number],C99&amp;"",tbl_Finance[Xero Invoice No],"&lt;&gt;"))</f>
        <v/>
      </c>
      <c r="N99" s="27">
        <f>IF(C99="","",L99-M99)</f>
        <v/>
      </c>
      <c r="O99" s="24" t="n"/>
      <c r="P99" s="27">
        <f>IF(C99="","",IF(O99="",0,MAX(0,O99-L99)))</f>
        <v/>
      </c>
      <c r="Q99" s="26">
        <f>IF(C99="","",IF(K99=0,"not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R99" s="22" t="n"/>
      <c r="S99" s="22" t="n"/>
      <c r="T99" s="26">
        <f>IF(S99="","",HYPERLINK(IF(LEFT(S99,4)="http",S99,set_QwilrBase&amp;S99),"Open quote"))</f>
        <v/>
      </c>
      <c r="U99" s="71" t="n"/>
      <c r="V99" s="22" t="n"/>
      <c r="W99" s="22" t="n"/>
    </row>
    <row r="100" ht="15" customHeight="1">
      <c r="A100" s="70">
        <f>IF(C100="","",IFERROR(IF(SUMPRODUCT(MAX((tbl_Finance[Job Number]&amp;""=C100&amp;"")*(tbl_Finance[Xero Invoice No]&lt;&gt;"")*tbl_Finance[Date]))=0,"",SUMPRODUCT(MAX((tbl_Finance[Job Number]&amp;""=C100&amp;"")*(tbl_Finance[Xero Invoice No]&lt;&gt;"")*tbl_Finance[Date]))),""))</f>
        <v/>
      </c>
      <c r="B100" s="26">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2" t="n"/>
      <c r="D100" s="26">
        <f>IF(C100="","",IF(COUNTIF(lst_Jobs,C100&amp;"")&gt;0,"OK","CHECK"))</f>
        <v/>
      </c>
      <c r="E100" s="26">
        <f>IF(C100="","",IFERROR(INDEX(lst_JobName,MATCH(C100&amp;"",lst_Jobs,0)),""))</f>
        <v/>
      </c>
      <c r="F100" s="22" t="n"/>
      <c r="G100" s="22" t="n"/>
      <c r="H100" s="22" t="n"/>
      <c r="I100" s="22" t="n"/>
      <c r="J100" s="22" t="n"/>
      <c r="K100" s="28">
        <f>IF(C100="","",COUNTIFS(tbl_Finance[Job Number],C100&amp;"",tbl_Finance[Ex GST],"&lt;&gt;"))</f>
        <v/>
      </c>
      <c r="L100" s="27">
        <f>IF(C100="","",SUMIFS(tbl_Finance[Ex GST],tbl_Finance[Job Number],C100&amp;""))</f>
        <v/>
      </c>
      <c r="M100" s="27">
        <f>IF(C100="","",SUMIFS(tbl_Finance[Ex GST],tbl_Finance[Job Number],C100&amp;"",tbl_Finance[Xero Invoice No],"&lt;&gt;"))</f>
        <v/>
      </c>
      <c r="N100" s="27">
        <f>IF(C100="","",L100-M100)</f>
        <v/>
      </c>
      <c r="O100" s="24" t="n"/>
      <c r="P100" s="27">
        <f>IF(C100="","",IF(O100="",0,MAX(0,O100-L100)))</f>
        <v/>
      </c>
      <c r="Q100" s="26">
        <f>IF(C100="","",IF(K100=0,"not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R100" s="22" t="n"/>
      <c r="S100" s="22" t="n"/>
      <c r="T100" s="26">
        <f>IF(S100="","",HYPERLINK(IF(LEFT(S100,4)="http",S100,set_QwilrBase&amp;S100),"Open quote"))</f>
        <v/>
      </c>
      <c r="U100" s="71" t="n"/>
      <c r="V100" s="22" t="n"/>
      <c r="W100" s="22" t="n"/>
    </row>
    <row r="101" ht="15" customHeight="1">
      <c r="A101" s="70">
        <f>IF(C101="","",IFERROR(IF(SUMPRODUCT(MAX((tbl_Finance[Job Number]&amp;""=C101&amp;"")*(tbl_Finance[Xero Invoice No]&lt;&gt;"")*tbl_Finance[Date]))=0,"",SUMPRODUCT(MAX((tbl_Finance[Job Number]&amp;""=C101&amp;"")*(tbl_Finance[Xero Invoice No]&lt;&gt;"")*tbl_Finance[Date]))),""))</f>
        <v/>
      </c>
      <c r="B101" s="26">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2" t="n"/>
      <c r="D101" s="26">
        <f>IF(C101="","",IF(COUNTIF(lst_Jobs,C101&amp;"")&gt;0,"OK","CHECK"))</f>
        <v/>
      </c>
      <c r="E101" s="26">
        <f>IF(C101="","",IFERROR(INDEX(lst_JobName,MATCH(C101&amp;"",lst_Jobs,0)),""))</f>
        <v/>
      </c>
      <c r="F101" s="22" t="n"/>
      <c r="G101" s="22" t="n"/>
      <c r="H101" s="22" t="n"/>
      <c r="I101" s="22" t="n"/>
      <c r="J101" s="22" t="n"/>
      <c r="K101" s="28">
        <f>IF(C101="","",COUNTIFS(tbl_Finance[Job Number],C101&amp;"",tbl_Finance[Ex GST],"&lt;&gt;"))</f>
        <v/>
      </c>
      <c r="L101" s="27">
        <f>IF(C101="","",SUMIFS(tbl_Finance[Ex GST],tbl_Finance[Job Number],C101&amp;""))</f>
        <v/>
      </c>
      <c r="M101" s="27">
        <f>IF(C101="","",SUMIFS(tbl_Finance[Ex GST],tbl_Finance[Job Number],C101&amp;"",tbl_Finance[Xero Invoice No],"&lt;&gt;"))</f>
        <v/>
      </c>
      <c r="N101" s="27">
        <f>IF(C101="","",L101-M101)</f>
        <v/>
      </c>
      <c r="O101" s="24" t="n"/>
      <c r="P101" s="27">
        <f>IF(C101="","",IF(O101="",0,MAX(0,O101-L101)))</f>
        <v/>
      </c>
      <c r="Q101" s="26">
        <f>IF(C101="","",IF(K101=0,"not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R101" s="22" t="n"/>
      <c r="S101" s="22" t="n"/>
      <c r="T101" s="26">
        <f>IF(S101="","",HYPERLINK(IF(LEFT(S101,4)="http",S101,set_QwilrBase&amp;S101),"Open quote"))</f>
        <v/>
      </c>
      <c r="U101" s="71" t="n"/>
      <c r="V101" s="22" t="n"/>
      <c r="W101" s="22" t="n"/>
    </row>
    <row r="102" ht="15" customHeight="1">
      <c r="A102" s="70">
        <f>IF(C102="","",IFERROR(IF(SUMPRODUCT(MAX((tbl_Finance[Job Number]&amp;""=C102&amp;"")*(tbl_Finance[Xero Invoice No]&lt;&gt;"")*tbl_Finance[Date]))=0,"",SUMPRODUCT(MAX((tbl_Finance[Job Number]&amp;""=C102&amp;"")*(tbl_Finance[Xero Invoice No]&lt;&gt;"")*tbl_Finance[Date]))),""))</f>
        <v/>
      </c>
      <c r="B102" s="26">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2" t="n"/>
      <c r="D102" s="26">
        <f>IF(C102="","",IF(COUNTIF(lst_Jobs,C102&amp;"")&gt;0,"OK","CHECK"))</f>
        <v/>
      </c>
      <c r="E102" s="26">
        <f>IF(C102="","",IFERROR(INDEX(lst_JobName,MATCH(C102&amp;"",lst_Jobs,0)),""))</f>
        <v/>
      </c>
      <c r="F102" s="22" t="n"/>
      <c r="G102" s="22" t="n"/>
      <c r="H102" s="22" t="n"/>
      <c r="I102" s="22" t="n"/>
      <c r="J102" s="22" t="n"/>
      <c r="K102" s="28">
        <f>IF(C102="","",COUNTIFS(tbl_Finance[Job Number],C102&amp;"",tbl_Finance[Ex GST],"&lt;&gt;"))</f>
        <v/>
      </c>
      <c r="L102" s="27">
        <f>IF(C102="","",SUMIFS(tbl_Finance[Ex GST],tbl_Finance[Job Number],C102&amp;""))</f>
        <v/>
      </c>
      <c r="M102" s="27">
        <f>IF(C102="","",SUMIFS(tbl_Finance[Ex GST],tbl_Finance[Job Number],C102&amp;"",tbl_Finance[Xero Invoice No],"&lt;&gt;"))</f>
        <v/>
      </c>
      <c r="N102" s="27">
        <f>IF(C102="","",L102-M102)</f>
        <v/>
      </c>
      <c r="O102" s="24" t="n"/>
      <c r="P102" s="27">
        <f>IF(C102="","",IF(O102="",0,MAX(0,O102-L102)))</f>
        <v/>
      </c>
      <c r="Q102" s="26">
        <f>IF(C102="","",IF(K102=0,"not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R102" s="22" t="n"/>
      <c r="S102" s="22" t="n"/>
      <c r="T102" s="26">
        <f>IF(S102="","",HYPERLINK(IF(LEFT(S102,4)="http",S102,set_QwilrBase&amp;S102),"Open quote"))</f>
        <v/>
      </c>
      <c r="U102" s="71" t="n"/>
      <c r="V102" s="22" t="n"/>
      <c r="W102" s="22" t="n"/>
    </row>
    <row r="103" ht="15" customHeight="1">
      <c r="A103" s="70">
        <f>IF(C103="","",IFERROR(IF(SUMPRODUCT(MAX((tbl_Finance[Job Number]&amp;""=C103&amp;"")*(tbl_Finance[Xero Invoice No]&lt;&gt;"")*tbl_Finance[Date]))=0,"",SUMPRODUCT(MAX((tbl_Finance[Job Number]&amp;""=C103&amp;"")*(tbl_Finance[Xero Invoice No]&lt;&gt;"")*tbl_Finance[Date]))),""))</f>
        <v/>
      </c>
      <c r="B103" s="26">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2" t="n"/>
      <c r="D103" s="26">
        <f>IF(C103="","",IF(COUNTIF(lst_Jobs,C103&amp;"")&gt;0,"OK","CHECK"))</f>
        <v/>
      </c>
      <c r="E103" s="26">
        <f>IF(C103="","",IFERROR(INDEX(lst_JobName,MATCH(C103&amp;"",lst_Jobs,0)),""))</f>
        <v/>
      </c>
      <c r="F103" s="22" t="n"/>
      <c r="G103" s="22" t="n"/>
      <c r="H103" s="22" t="n"/>
      <c r="I103" s="22" t="n"/>
      <c r="J103" s="22" t="n"/>
      <c r="K103" s="28">
        <f>IF(C103="","",COUNTIFS(tbl_Finance[Job Number],C103&amp;"",tbl_Finance[Ex GST],"&lt;&gt;"))</f>
        <v/>
      </c>
      <c r="L103" s="27">
        <f>IF(C103="","",SUMIFS(tbl_Finance[Ex GST],tbl_Finance[Job Number],C103&amp;""))</f>
        <v/>
      </c>
      <c r="M103" s="27">
        <f>IF(C103="","",SUMIFS(tbl_Finance[Ex GST],tbl_Finance[Job Number],C103&amp;"",tbl_Finance[Xero Invoice No],"&lt;&gt;"))</f>
        <v/>
      </c>
      <c r="N103" s="27">
        <f>IF(C103="","",L103-M103)</f>
        <v/>
      </c>
      <c r="O103" s="24" t="n"/>
      <c r="P103" s="27">
        <f>IF(C103="","",IF(O103="",0,MAX(0,O103-L103)))</f>
        <v/>
      </c>
      <c r="Q103" s="26">
        <f>IF(C103="","",IF(K103=0,"not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R103" s="22" t="n"/>
      <c r="S103" s="22" t="n"/>
      <c r="T103" s="26">
        <f>IF(S103="","",HYPERLINK(IF(LEFT(S103,4)="http",S103,set_QwilrBase&amp;S103),"Open quote"))</f>
        <v/>
      </c>
      <c r="U103" s="71" t="n"/>
      <c r="V103" s="22" t="n"/>
      <c r="W103" s="22" t="n"/>
    </row>
    <row r="104" ht="15" customHeight="1">
      <c r="A104" s="70">
        <f>IF(C104="","",IFERROR(IF(SUMPRODUCT(MAX((tbl_Finance[Job Number]&amp;""=C104&amp;"")*(tbl_Finance[Xero Invoice No]&lt;&gt;"")*tbl_Finance[Date]))=0,"",SUMPRODUCT(MAX((tbl_Finance[Job Number]&amp;""=C104&amp;"")*(tbl_Finance[Xero Invoice No]&lt;&gt;"")*tbl_Finance[Date]))),""))</f>
        <v/>
      </c>
      <c r="B104" s="26">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2" t="n"/>
      <c r="D104" s="26">
        <f>IF(C104="","",IF(COUNTIF(lst_Jobs,C104&amp;"")&gt;0,"OK","CHECK"))</f>
        <v/>
      </c>
      <c r="E104" s="26">
        <f>IF(C104="","",IFERROR(INDEX(lst_JobName,MATCH(C104&amp;"",lst_Jobs,0)),""))</f>
        <v/>
      </c>
      <c r="F104" s="22" t="n"/>
      <c r="G104" s="22" t="n"/>
      <c r="H104" s="22" t="n"/>
      <c r="I104" s="22" t="n"/>
      <c r="J104" s="22" t="n"/>
      <c r="K104" s="28">
        <f>IF(C104="","",COUNTIFS(tbl_Finance[Job Number],C104&amp;"",tbl_Finance[Ex GST],"&lt;&gt;"))</f>
        <v/>
      </c>
      <c r="L104" s="27">
        <f>IF(C104="","",SUMIFS(tbl_Finance[Ex GST],tbl_Finance[Job Number],C104&amp;""))</f>
        <v/>
      </c>
      <c r="M104" s="27">
        <f>IF(C104="","",SUMIFS(tbl_Finance[Ex GST],tbl_Finance[Job Number],C104&amp;"",tbl_Finance[Xero Invoice No],"&lt;&gt;"))</f>
        <v/>
      </c>
      <c r="N104" s="27">
        <f>IF(C104="","",L104-M104)</f>
        <v/>
      </c>
      <c r="O104" s="24" t="n"/>
      <c r="P104" s="27">
        <f>IF(C104="","",IF(O104="",0,MAX(0,O104-L104)))</f>
        <v/>
      </c>
      <c r="Q104" s="26">
        <f>IF(C104="","",IF(K104=0,"not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R104" s="22" t="n"/>
      <c r="S104" s="22" t="n"/>
      <c r="T104" s="26">
        <f>IF(S104="","",HYPERLINK(IF(LEFT(S104,4)="http",S104,set_QwilrBase&amp;S104),"Open quote"))</f>
        <v/>
      </c>
      <c r="U104" s="71" t="n"/>
      <c r="V104" s="22" t="n"/>
      <c r="W104" s="22" t="n"/>
    </row>
    <row r="105" ht="15" customHeight="1">
      <c r="A105" s="70">
        <f>IF(C105="","",IFERROR(IF(SUMPRODUCT(MAX((tbl_Finance[Job Number]&amp;""=C105&amp;"")*(tbl_Finance[Xero Invoice No]&lt;&gt;"")*tbl_Finance[Date]))=0,"",SUMPRODUCT(MAX((tbl_Finance[Job Number]&amp;""=C105&amp;"")*(tbl_Finance[Xero Invoice No]&lt;&gt;"")*tbl_Finance[Date]))),""))</f>
        <v/>
      </c>
      <c r="B105" s="26">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2" t="n"/>
      <c r="D105" s="26">
        <f>IF(C105="","",IF(COUNTIF(lst_Jobs,C105&amp;"")&gt;0,"OK","CHECK"))</f>
        <v/>
      </c>
      <c r="E105" s="26">
        <f>IF(C105="","",IFERROR(INDEX(lst_JobName,MATCH(C105&amp;"",lst_Jobs,0)),""))</f>
        <v/>
      </c>
      <c r="F105" s="22" t="n"/>
      <c r="G105" s="22" t="n"/>
      <c r="H105" s="22" t="n"/>
      <c r="I105" s="22" t="n"/>
      <c r="J105" s="22" t="n"/>
      <c r="K105" s="28">
        <f>IF(C105="","",COUNTIFS(tbl_Finance[Job Number],C105&amp;"",tbl_Finance[Ex GST],"&lt;&gt;"))</f>
        <v/>
      </c>
      <c r="L105" s="27">
        <f>IF(C105="","",SUMIFS(tbl_Finance[Ex GST],tbl_Finance[Job Number],C105&amp;""))</f>
        <v/>
      </c>
      <c r="M105" s="27">
        <f>IF(C105="","",SUMIFS(tbl_Finance[Ex GST],tbl_Finance[Job Number],C105&amp;"",tbl_Finance[Xero Invoice No],"&lt;&gt;"))</f>
        <v/>
      </c>
      <c r="N105" s="27">
        <f>IF(C105="","",L105-M105)</f>
        <v/>
      </c>
      <c r="O105" s="24" t="n"/>
      <c r="P105" s="27">
        <f>IF(C105="","",IF(O105="",0,MAX(0,O105-L105)))</f>
        <v/>
      </c>
      <c r="Q105" s="26">
        <f>IF(C105="","",IF(K105=0,"not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R105" s="22" t="n"/>
      <c r="S105" s="22" t="n"/>
      <c r="T105" s="26">
        <f>IF(S105="","",HYPERLINK(IF(LEFT(S105,4)="http",S105,set_QwilrBase&amp;S105),"Open quote"))</f>
        <v/>
      </c>
      <c r="U105" s="71" t="n"/>
      <c r="V105" s="22" t="n"/>
      <c r="W105" s="22" t="n"/>
    </row>
    <row r="106" ht="15" customHeight="1">
      <c r="A106" s="70">
        <f>IF(C106="","",IFERROR(IF(SUMPRODUCT(MAX((tbl_Finance[Job Number]&amp;""=C106&amp;"")*(tbl_Finance[Xero Invoice No]&lt;&gt;"")*tbl_Finance[Date]))=0,"",SUMPRODUCT(MAX((tbl_Finance[Job Number]&amp;""=C106&amp;"")*(tbl_Finance[Xero Invoice No]&lt;&gt;"")*tbl_Finance[Date]))),""))</f>
        <v/>
      </c>
      <c r="B106" s="26">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2" t="n"/>
      <c r="D106" s="26">
        <f>IF(C106="","",IF(COUNTIF(lst_Jobs,C106&amp;"")&gt;0,"OK","CHECK"))</f>
        <v/>
      </c>
      <c r="E106" s="26">
        <f>IF(C106="","",IFERROR(INDEX(lst_JobName,MATCH(C106&amp;"",lst_Jobs,0)),""))</f>
        <v/>
      </c>
      <c r="F106" s="22" t="n"/>
      <c r="G106" s="22" t="n"/>
      <c r="H106" s="22" t="n"/>
      <c r="I106" s="22" t="n"/>
      <c r="J106" s="22" t="n"/>
      <c r="K106" s="28">
        <f>IF(C106="","",COUNTIFS(tbl_Finance[Job Number],C106&amp;"",tbl_Finance[Ex GST],"&lt;&gt;"))</f>
        <v/>
      </c>
      <c r="L106" s="27">
        <f>IF(C106="","",SUMIFS(tbl_Finance[Ex GST],tbl_Finance[Job Number],C106&amp;""))</f>
        <v/>
      </c>
      <c r="M106" s="27">
        <f>IF(C106="","",SUMIFS(tbl_Finance[Ex GST],tbl_Finance[Job Number],C106&amp;"",tbl_Finance[Xero Invoice No],"&lt;&gt;"))</f>
        <v/>
      </c>
      <c r="N106" s="27">
        <f>IF(C106="","",L106-M106)</f>
        <v/>
      </c>
      <c r="O106" s="24" t="n"/>
      <c r="P106" s="27">
        <f>IF(C106="","",IF(O106="",0,MAX(0,O106-L106)))</f>
        <v/>
      </c>
      <c r="Q106" s="26">
        <f>IF(C106="","",IF(K106=0,"not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R106" s="22" t="n"/>
      <c r="S106" s="22" t="n"/>
      <c r="T106" s="26">
        <f>IF(S106="","",HYPERLINK(IF(LEFT(S106,4)="http",S106,set_QwilrBase&amp;S106),"Open quote"))</f>
        <v/>
      </c>
      <c r="U106" s="71" t="n"/>
      <c r="V106" s="22" t="n"/>
      <c r="W106" s="22" t="n"/>
    </row>
    <row r="107" ht="15" customHeight="1">
      <c r="A107" s="70">
        <f>IF(C107="","",IFERROR(IF(SUMPRODUCT(MAX((tbl_Finance[Job Number]&amp;""=C107&amp;"")*(tbl_Finance[Xero Invoice No]&lt;&gt;"")*tbl_Finance[Date]))=0,"",SUMPRODUCT(MAX((tbl_Finance[Job Number]&amp;""=C107&amp;"")*(tbl_Finance[Xero Invoice No]&lt;&gt;"")*tbl_Finance[Date]))),""))</f>
        <v/>
      </c>
      <c r="B107" s="26">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2" t="n"/>
      <c r="D107" s="26">
        <f>IF(C107="","",IF(COUNTIF(lst_Jobs,C107&amp;"")&gt;0,"OK","CHECK"))</f>
        <v/>
      </c>
      <c r="E107" s="26">
        <f>IF(C107="","",IFERROR(INDEX(lst_JobName,MATCH(C107&amp;"",lst_Jobs,0)),""))</f>
        <v/>
      </c>
      <c r="F107" s="22" t="n"/>
      <c r="G107" s="22" t="n"/>
      <c r="H107" s="22" t="n"/>
      <c r="I107" s="22" t="n"/>
      <c r="J107" s="22" t="n"/>
      <c r="K107" s="28">
        <f>IF(C107="","",COUNTIFS(tbl_Finance[Job Number],C107&amp;"",tbl_Finance[Ex GST],"&lt;&gt;"))</f>
        <v/>
      </c>
      <c r="L107" s="27">
        <f>IF(C107="","",SUMIFS(tbl_Finance[Ex GST],tbl_Finance[Job Number],C107&amp;""))</f>
        <v/>
      </c>
      <c r="M107" s="27">
        <f>IF(C107="","",SUMIFS(tbl_Finance[Ex GST],tbl_Finance[Job Number],C107&amp;"",tbl_Finance[Xero Invoice No],"&lt;&gt;"))</f>
        <v/>
      </c>
      <c r="N107" s="27">
        <f>IF(C107="","",L107-M107)</f>
        <v/>
      </c>
      <c r="O107" s="24" t="n"/>
      <c r="P107" s="27">
        <f>IF(C107="","",IF(O107="",0,MAX(0,O107-L107)))</f>
        <v/>
      </c>
      <c r="Q107" s="26">
        <f>IF(C107="","",IF(K107=0,"not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R107" s="22" t="n"/>
      <c r="S107" s="22" t="n"/>
      <c r="T107" s="26">
        <f>IF(S107="","",HYPERLINK(IF(LEFT(S107,4)="http",S107,set_QwilrBase&amp;S107),"Open quote"))</f>
        <v/>
      </c>
      <c r="U107" s="71" t="n"/>
      <c r="V107" s="22" t="n"/>
      <c r="W107" s="22" t="n"/>
    </row>
    <row r="108" ht="15" customHeight="1">
      <c r="A108" s="70">
        <f>IF(C108="","",IFERROR(IF(SUMPRODUCT(MAX((tbl_Finance[Job Number]&amp;""=C108&amp;"")*(tbl_Finance[Xero Invoice No]&lt;&gt;"")*tbl_Finance[Date]))=0,"",SUMPRODUCT(MAX((tbl_Finance[Job Number]&amp;""=C108&amp;"")*(tbl_Finance[Xero Invoice No]&lt;&gt;"")*tbl_Finance[Date]))),""))</f>
        <v/>
      </c>
      <c r="B108" s="26">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2" t="n"/>
      <c r="D108" s="26">
        <f>IF(C108="","",IF(COUNTIF(lst_Jobs,C108&amp;"")&gt;0,"OK","CHECK"))</f>
        <v/>
      </c>
      <c r="E108" s="26">
        <f>IF(C108="","",IFERROR(INDEX(lst_JobName,MATCH(C108&amp;"",lst_Jobs,0)),""))</f>
        <v/>
      </c>
      <c r="F108" s="22" t="n"/>
      <c r="G108" s="22" t="n"/>
      <c r="H108" s="22" t="n"/>
      <c r="I108" s="22" t="n"/>
      <c r="J108" s="22" t="n"/>
      <c r="K108" s="28">
        <f>IF(C108="","",COUNTIFS(tbl_Finance[Job Number],C108&amp;"",tbl_Finance[Ex GST],"&lt;&gt;"))</f>
        <v/>
      </c>
      <c r="L108" s="27">
        <f>IF(C108="","",SUMIFS(tbl_Finance[Ex GST],tbl_Finance[Job Number],C108&amp;""))</f>
        <v/>
      </c>
      <c r="M108" s="27">
        <f>IF(C108="","",SUMIFS(tbl_Finance[Ex GST],tbl_Finance[Job Number],C108&amp;"",tbl_Finance[Xero Invoice No],"&lt;&gt;"))</f>
        <v/>
      </c>
      <c r="N108" s="27">
        <f>IF(C108="","",L108-M108)</f>
        <v/>
      </c>
      <c r="O108" s="24" t="n"/>
      <c r="P108" s="27">
        <f>IF(C108="","",IF(O108="",0,MAX(0,O108-L108)))</f>
        <v/>
      </c>
      <c r="Q108" s="26">
        <f>IF(C108="","",IF(K108=0,"not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R108" s="22" t="n"/>
      <c r="S108" s="22" t="n"/>
      <c r="T108" s="26">
        <f>IF(S108="","",HYPERLINK(IF(LEFT(S108,4)="http",S108,set_QwilrBase&amp;S108),"Open quote"))</f>
        <v/>
      </c>
      <c r="U108" s="71" t="n"/>
      <c r="V108" s="22" t="n"/>
      <c r="W108" s="22" t="n"/>
    </row>
    <row r="109" ht="15" customHeight="1">
      <c r="A109" s="70">
        <f>IF(C109="","",IFERROR(IF(SUMPRODUCT(MAX((tbl_Finance[Job Number]&amp;""=C109&amp;"")*(tbl_Finance[Xero Invoice No]&lt;&gt;"")*tbl_Finance[Date]))=0,"",SUMPRODUCT(MAX((tbl_Finance[Job Number]&amp;""=C109&amp;"")*(tbl_Finance[Xero Invoice No]&lt;&gt;"")*tbl_Finance[Date]))),""))</f>
        <v/>
      </c>
      <c r="B109" s="26">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2" t="n"/>
      <c r="D109" s="26">
        <f>IF(C109="","",IF(COUNTIF(lst_Jobs,C109&amp;"")&gt;0,"OK","CHECK"))</f>
        <v/>
      </c>
      <c r="E109" s="26">
        <f>IF(C109="","",IFERROR(INDEX(lst_JobName,MATCH(C109&amp;"",lst_Jobs,0)),""))</f>
        <v/>
      </c>
      <c r="F109" s="22" t="n"/>
      <c r="G109" s="22" t="n"/>
      <c r="H109" s="22" t="n"/>
      <c r="I109" s="22" t="n"/>
      <c r="J109" s="22" t="n"/>
      <c r="K109" s="28">
        <f>IF(C109="","",COUNTIFS(tbl_Finance[Job Number],C109&amp;"",tbl_Finance[Ex GST],"&lt;&gt;"))</f>
        <v/>
      </c>
      <c r="L109" s="27">
        <f>IF(C109="","",SUMIFS(tbl_Finance[Ex GST],tbl_Finance[Job Number],C109&amp;""))</f>
        <v/>
      </c>
      <c r="M109" s="27">
        <f>IF(C109="","",SUMIFS(tbl_Finance[Ex GST],tbl_Finance[Job Number],C109&amp;"",tbl_Finance[Xero Invoice No],"&lt;&gt;"))</f>
        <v/>
      </c>
      <c r="N109" s="27">
        <f>IF(C109="","",L109-M109)</f>
        <v/>
      </c>
      <c r="O109" s="24" t="n"/>
      <c r="P109" s="27">
        <f>IF(C109="","",IF(O109="",0,MAX(0,O109-L109)))</f>
        <v/>
      </c>
      <c r="Q109" s="26">
        <f>IF(C109="","",IF(K109=0,"not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R109" s="22" t="n"/>
      <c r="S109" s="22" t="n"/>
      <c r="T109" s="26">
        <f>IF(S109="","",HYPERLINK(IF(LEFT(S109,4)="http",S109,set_QwilrBase&amp;S109),"Open quote"))</f>
        <v/>
      </c>
      <c r="U109" s="71" t="n"/>
      <c r="V109" s="22" t="n"/>
      <c r="W109" s="22" t="n"/>
    </row>
    <row r="110" ht="15" customHeight="1">
      <c r="A110" s="70">
        <f>IF(C110="","",IFERROR(IF(SUMPRODUCT(MAX((tbl_Finance[Job Number]&amp;""=C110&amp;"")*(tbl_Finance[Xero Invoice No]&lt;&gt;"")*tbl_Finance[Date]))=0,"",SUMPRODUCT(MAX((tbl_Finance[Job Number]&amp;""=C110&amp;"")*(tbl_Finance[Xero Invoice No]&lt;&gt;"")*tbl_Finance[Date]))),""))</f>
        <v/>
      </c>
      <c r="B110" s="26">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2" t="n"/>
      <c r="D110" s="26">
        <f>IF(C110="","",IF(COUNTIF(lst_Jobs,C110&amp;"")&gt;0,"OK","CHECK"))</f>
        <v/>
      </c>
      <c r="E110" s="26">
        <f>IF(C110="","",IFERROR(INDEX(lst_JobName,MATCH(C110&amp;"",lst_Jobs,0)),""))</f>
        <v/>
      </c>
      <c r="F110" s="22" t="n"/>
      <c r="G110" s="22" t="n"/>
      <c r="H110" s="22" t="n"/>
      <c r="I110" s="22" t="n"/>
      <c r="J110" s="22" t="n"/>
      <c r="K110" s="28">
        <f>IF(C110="","",COUNTIFS(tbl_Finance[Job Number],C110&amp;"",tbl_Finance[Ex GST],"&lt;&gt;"))</f>
        <v/>
      </c>
      <c r="L110" s="27">
        <f>IF(C110="","",SUMIFS(tbl_Finance[Ex GST],tbl_Finance[Job Number],C110&amp;""))</f>
        <v/>
      </c>
      <c r="M110" s="27">
        <f>IF(C110="","",SUMIFS(tbl_Finance[Ex GST],tbl_Finance[Job Number],C110&amp;"",tbl_Finance[Xero Invoice No],"&lt;&gt;"))</f>
        <v/>
      </c>
      <c r="N110" s="27">
        <f>IF(C110="","",L110-M110)</f>
        <v/>
      </c>
      <c r="O110" s="24" t="n"/>
      <c r="P110" s="27">
        <f>IF(C110="","",IF(O110="",0,MAX(0,O110-L110)))</f>
        <v/>
      </c>
      <c r="Q110" s="26">
        <f>IF(C110="","",IF(K110=0,"not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R110" s="22" t="n"/>
      <c r="S110" s="22" t="n"/>
      <c r="T110" s="26">
        <f>IF(S110="","",HYPERLINK(IF(LEFT(S110,4)="http",S110,set_QwilrBase&amp;S110),"Open quote"))</f>
        <v/>
      </c>
      <c r="U110" s="71" t="n"/>
      <c r="V110" s="22" t="n"/>
      <c r="W110" s="22" t="n"/>
    </row>
    <row r="111" ht="15" customHeight="1">
      <c r="A111" s="70">
        <f>IF(C111="","",IFERROR(IF(SUMPRODUCT(MAX((tbl_Finance[Job Number]&amp;""=C111&amp;"")*(tbl_Finance[Xero Invoice No]&lt;&gt;"")*tbl_Finance[Date]))=0,"",SUMPRODUCT(MAX((tbl_Finance[Job Number]&amp;""=C111&amp;"")*(tbl_Finance[Xero Invoice No]&lt;&gt;"")*tbl_Finance[Date]))),""))</f>
        <v/>
      </c>
      <c r="B111" s="26">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2" t="n"/>
      <c r="D111" s="26">
        <f>IF(C111="","",IF(COUNTIF(lst_Jobs,C111&amp;"")&gt;0,"OK","CHECK"))</f>
        <v/>
      </c>
      <c r="E111" s="26">
        <f>IF(C111="","",IFERROR(INDEX(lst_JobName,MATCH(C111&amp;"",lst_Jobs,0)),""))</f>
        <v/>
      </c>
      <c r="F111" s="22" t="n"/>
      <c r="G111" s="22" t="n"/>
      <c r="H111" s="22" t="n"/>
      <c r="I111" s="22" t="n"/>
      <c r="J111" s="22" t="n"/>
      <c r="K111" s="28">
        <f>IF(C111="","",COUNTIFS(tbl_Finance[Job Number],C111&amp;"",tbl_Finance[Ex GST],"&lt;&gt;"))</f>
        <v/>
      </c>
      <c r="L111" s="27">
        <f>IF(C111="","",SUMIFS(tbl_Finance[Ex GST],tbl_Finance[Job Number],C111&amp;""))</f>
        <v/>
      </c>
      <c r="M111" s="27">
        <f>IF(C111="","",SUMIFS(tbl_Finance[Ex GST],tbl_Finance[Job Number],C111&amp;"",tbl_Finance[Xero Invoice No],"&lt;&gt;"))</f>
        <v/>
      </c>
      <c r="N111" s="27">
        <f>IF(C111="","",L111-M111)</f>
        <v/>
      </c>
      <c r="O111" s="24" t="n"/>
      <c r="P111" s="27">
        <f>IF(C111="","",IF(O111="",0,MAX(0,O111-L111)))</f>
        <v/>
      </c>
      <c r="Q111" s="26">
        <f>IF(C111="","",IF(K111=0,"not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R111" s="22" t="n"/>
      <c r="S111" s="22" t="n"/>
      <c r="T111" s="26">
        <f>IF(S111="","",HYPERLINK(IF(LEFT(S111,4)="http",S111,set_QwilrBase&amp;S111),"Open quote"))</f>
        <v/>
      </c>
      <c r="U111" s="71" t="n"/>
      <c r="V111" s="22" t="n"/>
      <c r="W111" s="22" t="n"/>
    </row>
    <row r="112" ht="15" customHeight="1">
      <c r="A112" s="70">
        <f>IF(C112="","",IFERROR(IF(SUMPRODUCT(MAX((tbl_Finance[Job Number]&amp;""=C112&amp;"")*(tbl_Finance[Xero Invoice No]&lt;&gt;"")*tbl_Finance[Date]))=0,"",SUMPRODUCT(MAX((tbl_Finance[Job Number]&amp;""=C112&amp;"")*(tbl_Finance[Xero Invoice No]&lt;&gt;"")*tbl_Finance[Date]))),""))</f>
        <v/>
      </c>
      <c r="B112" s="26">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2" t="n"/>
      <c r="D112" s="26">
        <f>IF(C112="","",IF(COUNTIF(lst_Jobs,C112&amp;"")&gt;0,"OK","CHECK"))</f>
        <v/>
      </c>
      <c r="E112" s="26">
        <f>IF(C112="","",IFERROR(INDEX(lst_JobName,MATCH(C112&amp;"",lst_Jobs,0)),""))</f>
        <v/>
      </c>
      <c r="F112" s="22" t="n"/>
      <c r="G112" s="22" t="n"/>
      <c r="H112" s="22" t="n"/>
      <c r="I112" s="22" t="n"/>
      <c r="J112" s="22" t="n"/>
      <c r="K112" s="28">
        <f>IF(C112="","",COUNTIFS(tbl_Finance[Job Number],C112&amp;"",tbl_Finance[Ex GST],"&lt;&gt;"))</f>
        <v/>
      </c>
      <c r="L112" s="27">
        <f>IF(C112="","",SUMIFS(tbl_Finance[Ex GST],tbl_Finance[Job Number],C112&amp;""))</f>
        <v/>
      </c>
      <c r="M112" s="27">
        <f>IF(C112="","",SUMIFS(tbl_Finance[Ex GST],tbl_Finance[Job Number],C112&amp;"",tbl_Finance[Xero Invoice No],"&lt;&gt;"))</f>
        <v/>
      </c>
      <c r="N112" s="27">
        <f>IF(C112="","",L112-M112)</f>
        <v/>
      </c>
      <c r="O112" s="24" t="n"/>
      <c r="P112" s="27">
        <f>IF(C112="","",IF(O112="",0,MAX(0,O112-L112)))</f>
        <v/>
      </c>
      <c r="Q112" s="26">
        <f>IF(C112="","",IF(K112=0,"not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R112" s="22" t="n"/>
      <c r="S112" s="22" t="n"/>
      <c r="T112" s="26">
        <f>IF(S112="","",HYPERLINK(IF(LEFT(S112,4)="http",S112,set_QwilrBase&amp;S112),"Open quote"))</f>
        <v/>
      </c>
      <c r="U112" s="71" t="n"/>
      <c r="V112" s="22" t="n"/>
      <c r="W112" s="22" t="n"/>
    </row>
    <row r="113" ht="15" customHeight="1">
      <c r="A113" s="70">
        <f>IF(C113="","",IFERROR(IF(SUMPRODUCT(MAX((tbl_Finance[Job Number]&amp;""=C113&amp;"")*(tbl_Finance[Xero Invoice No]&lt;&gt;"")*tbl_Finance[Date]))=0,"",SUMPRODUCT(MAX((tbl_Finance[Job Number]&amp;""=C113&amp;"")*(tbl_Finance[Xero Invoice No]&lt;&gt;"")*tbl_Finance[Date]))),""))</f>
        <v/>
      </c>
      <c r="B113" s="26">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2" t="n"/>
      <c r="D113" s="26">
        <f>IF(C113="","",IF(COUNTIF(lst_Jobs,C113&amp;"")&gt;0,"OK","CHECK"))</f>
        <v/>
      </c>
      <c r="E113" s="26">
        <f>IF(C113="","",IFERROR(INDEX(lst_JobName,MATCH(C113&amp;"",lst_Jobs,0)),""))</f>
        <v/>
      </c>
      <c r="F113" s="22" t="n"/>
      <c r="G113" s="22" t="n"/>
      <c r="H113" s="22" t="n"/>
      <c r="I113" s="22" t="n"/>
      <c r="J113" s="22" t="n"/>
      <c r="K113" s="28">
        <f>IF(C113="","",COUNTIFS(tbl_Finance[Job Number],C113&amp;"",tbl_Finance[Ex GST],"&lt;&gt;"))</f>
        <v/>
      </c>
      <c r="L113" s="27">
        <f>IF(C113="","",SUMIFS(tbl_Finance[Ex GST],tbl_Finance[Job Number],C113&amp;""))</f>
        <v/>
      </c>
      <c r="M113" s="27">
        <f>IF(C113="","",SUMIFS(tbl_Finance[Ex GST],tbl_Finance[Job Number],C113&amp;"",tbl_Finance[Xero Invoice No],"&lt;&gt;"))</f>
        <v/>
      </c>
      <c r="N113" s="27">
        <f>IF(C113="","",L113-M113)</f>
        <v/>
      </c>
      <c r="O113" s="24" t="n"/>
      <c r="P113" s="27">
        <f>IF(C113="","",IF(O113="",0,MAX(0,O113-L113)))</f>
        <v/>
      </c>
      <c r="Q113" s="26">
        <f>IF(C113="","",IF(K113=0,"not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R113" s="22" t="n"/>
      <c r="S113" s="22" t="n"/>
      <c r="T113" s="26">
        <f>IF(S113="","",HYPERLINK(IF(LEFT(S113,4)="http",S113,set_QwilrBase&amp;S113),"Open quote"))</f>
        <v/>
      </c>
      <c r="U113" s="71" t="n"/>
      <c r="V113" s="22" t="n"/>
      <c r="W113" s="22" t="n"/>
    </row>
    <row r="114" ht="15" customHeight="1">
      <c r="A114" s="70">
        <f>IF(C114="","",IFERROR(IF(SUMPRODUCT(MAX((tbl_Finance[Job Number]&amp;""=C114&amp;"")*(tbl_Finance[Xero Invoice No]&lt;&gt;"")*tbl_Finance[Date]))=0,"",SUMPRODUCT(MAX((tbl_Finance[Job Number]&amp;""=C114&amp;"")*(tbl_Finance[Xero Invoice No]&lt;&gt;"")*tbl_Finance[Date]))),""))</f>
        <v/>
      </c>
      <c r="B114" s="26">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2" t="n"/>
      <c r="D114" s="26">
        <f>IF(C114="","",IF(COUNTIF(lst_Jobs,C114&amp;"")&gt;0,"OK","CHECK"))</f>
        <v/>
      </c>
      <c r="E114" s="26">
        <f>IF(C114="","",IFERROR(INDEX(lst_JobName,MATCH(C114&amp;"",lst_Jobs,0)),""))</f>
        <v/>
      </c>
      <c r="F114" s="22" t="n"/>
      <c r="G114" s="22" t="n"/>
      <c r="H114" s="22" t="n"/>
      <c r="I114" s="22" t="n"/>
      <c r="J114" s="22" t="n"/>
      <c r="K114" s="28">
        <f>IF(C114="","",COUNTIFS(tbl_Finance[Job Number],C114&amp;"",tbl_Finance[Ex GST],"&lt;&gt;"))</f>
        <v/>
      </c>
      <c r="L114" s="27">
        <f>IF(C114="","",SUMIFS(tbl_Finance[Ex GST],tbl_Finance[Job Number],C114&amp;""))</f>
        <v/>
      </c>
      <c r="M114" s="27">
        <f>IF(C114="","",SUMIFS(tbl_Finance[Ex GST],tbl_Finance[Job Number],C114&amp;"",tbl_Finance[Xero Invoice No],"&lt;&gt;"))</f>
        <v/>
      </c>
      <c r="N114" s="27">
        <f>IF(C114="","",L114-M114)</f>
        <v/>
      </c>
      <c r="O114" s="24" t="n"/>
      <c r="P114" s="27">
        <f>IF(C114="","",IF(O114="",0,MAX(0,O114-L114)))</f>
        <v/>
      </c>
      <c r="Q114" s="26">
        <f>IF(C114="","",IF(K114=0,"not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R114" s="22" t="n"/>
      <c r="S114" s="22" t="n"/>
      <c r="T114" s="26">
        <f>IF(S114="","",HYPERLINK(IF(LEFT(S114,4)="http",S114,set_QwilrBase&amp;S114),"Open quote"))</f>
        <v/>
      </c>
      <c r="U114" s="71" t="n"/>
      <c r="V114" s="22" t="n"/>
      <c r="W114" s="22" t="n"/>
    </row>
    <row r="115" ht="15" customHeight="1">
      <c r="A115" s="70">
        <f>IF(C115="","",IFERROR(IF(SUMPRODUCT(MAX((tbl_Finance[Job Number]&amp;""=C115&amp;"")*(tbl_Finance[Xero Invoice No]&lt;&gt;"")*tbl_Finance[Date]))=0,"",SUMPRODUCT(MAX((tbl_Finance[Job Number]&amp;""=C115&amp;"")*(tbl_Finance[Xero Invoice No]&lt;&gt;"")*tbl_Finance[Date]))),""))</f>
        <v/>
      </c>
      <c r="B115" s="26">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2" t="n"/>
      <c r="D115" s="26">
        <f>IF(C115="","",IF(COUNTIF(lst_Jobs,C115&amp;"")&gt;0,"OK","CHECK"))</f>
        <v/>
      </c>
      <c r="E115" s="26">
        <f>IF(C115="","",IFERROR(INDEX(lst_JobName,MATCH(C115&amp;"",lst_Jobs,0)),""))</f>
        <v/>
      </c>
      <c r="F115" s="22" t="n"/>
      <c r="G115" s="22" t="n"/>
      <c r="H115" s="22" t="n"/>
      <c r="I115" s="22" t="n"/>
      <c r="J115" s="22" t="n"/>
      <c r="K115" s="28">
        <f>IF(C115="","",COUNTIFS(tbl_Finance[Job Number],C115&amp;"",tbl_Finance[Ex GST],"&lt;&gt;"))</f>
        <v/>
      </c>
      <c r="L115" s="27">
        <f>IF(C115="","",SUMIFS(tbl_Finance[Ex GST],tbl_Finance[Job Number],C115&amp;""))</f>
        <v/>
      </c>
      <c r="M115" s="27">
        <f>IF(C115="","",SUMIFS(tbl_Finance[Ex GST],tbl_Finance[Job Number],C115&amp;"",tbl_Finance[Xero Invoice No],"&lt;&gt;"))</f>
        <v/>
      </c>
      <c r="N115" s="27">
        <f>IF(C115="","",L115-M115)</f>
        <v/>
      </c>
      <c r="O115" s="24" t="n"/>
      <c r="P115" s="27">
        <f>IF(C115="","",IF(O115="",0,MAX(0,O115-L115)))</f>
        <v/>
      </c>
      <c r="Q115" s="26">
        <f>IF(C115="","",IF(K115=0,"not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R115" s="22" t="n"/>
      <c r="S115" s="22" t="n"/>
      <c r="T115" s="26">
        <f>IF(S115="","",HYPERLINK(IF(LEFT(S115,4)="http",S115,set_QwilrBase&amp;S115),"Open quote"))</f>
        <v/>
      </c>
      <c r="U115" s="71" t="n"/>
      <c r="V115" s="22" t="n"/>
      <c r="W115" s="22" t="n"/>
    </row>
    <row r="116" ht="15" customHeight="1">
      <c r="A116" s="70">
        <f>IF(C116="","",IFERROR(IF(SUMPRODUCT(MAX((tbl_Finance[Job Number]&amp;""=C116&amp;"")*(tbl_Finance[Xero Invoice No]&lt;&gt;"")*tbl_Finance[Date]))=0,"",SUMPRODUCT(MAX((tbl_Finance[Job Number]&amp;""=C116&amp;"")*(tbl_Finance[Xero Invoice No]&lt;&gt;"")*tbl_Finance[Date]))),""))</f>
        <v/>
      </c>
      <c r="B116" s="26">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2" t="n"/>
      <c r="D116" s="26">
        <f>IF(C116="","",IF(COUNTIF(lst_Jobs,C116&amp;"")&gt;0,"OK","CHECK"))</f>
        <v/>
      </c>
      <c r="E116" s="26">
        <f>IF(C116="","",IFERROR(INDEX(lst_JobName,MATCH(C116&amp;"",lst_Jobs,0)),""))</f>
        <v/>
      </c>
      <c r="F116" s="22" t="n"/>
      <c r="G116" s="22" t="n"/>
      <c r="H116" s="22" t="n"/>
      <c r="I116" s="22" t="n"/>
      <c r="J116" s="22" t="n"/>
      <c r="K116" s="28">
        <f>IF(C116="","",COUNTIFS(tbl_Finance[Job Number],C116&amp;"",tbl_Finance[Ex GST],"&lt;&gt;"))</f>
        <v/>
      </c>
      <c r="L116" s="27">
        <f>IF(C116="","",SUMIFS(tbl_Finance[Ex GST],tbl_Finance[Job Number],C116&amp;""))</f>
        <v/>
      </c>
      <c r="M116" s="27">
        <f>IF(C116="","",SUMIFS(tbl_Finance[Ex GST],tbl_Finance[Job Number],C116&amp;"",tbl_Finance[Xero Invoice No],"&lt;&gt;"))</f>
        <v/>
      </c>
      <c r="N116" s="27">
        <f>IF(C116="","",L116-M116)</f>
        <v/>
      </c>
      <c r="O116" s="24" t="n"/>
      <c r="P116" s="27">
        <f>IF(C116="","",IF(O116="",0,MAX(0,O116-L116)))</f>
        <v/>
      </c>
      <c r="Q116" s="26">
        <f>IF(C116="","",IF(K116=0,"not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R116" s="22" t="n"/>
      <c r="S116" s="22" t="n"/>
      <c r="T116" s="26">
        <f>IF(S116="","",HYPERLINK(IF(LEFT(S116,4)="http",S116,set_QwilrBase&amp;S116),"Open quote"))</f>
        <v/>
      </c>
      <c r="U116" s="71" t="n"/>
      <c r="V116" s="22" t="n"/>
      <c r="W116" s="22" t="n"/>
    </row>
    <row r="117" ht="15" customHeight="1">
      <c r="A117" s="70">
        <f>IF(C117="","",IFERROR(IF(SUMPRODUCT(MAX((tbl_Finance[Job Number]&amp;""=C117&amp;"")*(tbl_Finance[Xero Invoice No]&lt;&gt;"")*tbl_Finance[Date]))=0,"",SUMPRODUCT(MAX((tbl_Finance[Job Number]&amp;""=C117&amp;"")*(tbl_Finance[Xero Invoice No]&lt;&gt;"")*tbl_Finance[Date]))),""))</f>
        <v/>
      </c>
      <c r="B117" s="26">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2" t="n"/>
      <c r="D117" s="26">
        <f>IF(C117="","",IF(COUNTIF(lst_Jobs,C117&amp;"")&gt;0,"OK","CHECK"))</f>
        <v/>
      </c>
      <c r="E117" s="26">
        <f>IF(C117="","",IFERROR(INDEX(lst_JobName,MATCH(C117&amp;"",lst_Jobs,0)),""))</f>
        <v/>
      </c>
      <c r="F117" s="22" t="n"/>
      <c r="G117" s="22" t="n"/>
      <c r="H117" s="22" t="n"/>
      <c r="I117" s="22" t="n"/>
      <c r="J117" s="22" t="n"/>
      <c r="K117" s="28">
        <f>IF(C117="","",COUNTIFS(tbl_Finance[Job Number],C117&amp;"",tbl_Finance[Ex GST],"&lt;&gt;"))</f>
        <v/>
      </c>
      <c r="L117" s="27">
        <f>IF(C117="","",SUMIFS(tbl_Finance[Ex GST],tbl_Finance[Job Number],C117&amp;""))</f>
        <v/>
      </c>
      <c r="M117" s="27">
        <f>IF(C117="","",SUMIFS(tbl_Finance[Ex GST],tbl_Finance[Job Number],C117&amp;"",tbl_Finance[Xero Invoice No],"&lt;&gt;"))</f>
        <v/>
      </c>
      <c r="N117" s="27">
        <f>IF(C117="","",L117-M117)</f>
        <v/>
      </c>
      <c r="O117" s="24" t="n"/>
      <c r="P117" s="27">
        <f>IF(C117="","",IF(O117="",0,MAX(0,O117-L117)))</f>
        <v/>
      </c>
      <c r="Q117" s="26">
        <f>IF(C117="","",IF(K117=0,"not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R117" s="22" t="n"/>
      <c r="S117" s="22" t="n"/>
      <c r="T117" s="26">
        <f>IF(S117="","",HYPERLINK(IF(LEFT(S117,4)="http",S117,set_QwilrBase&amp;S117),"Open quote"))</f>
        <v/>
      </c>
      <c r="U117" s="71" t="n"/>
      <c r="V117" s="22" t="n"/>
      <c r="W117" s="22" t="n"/>
    </row>
    <row r="118" ht="15" customHeight="1">
      <c r="A118" s="70">
        <f>IF(C118="","",IFERROR(IF(SUMPRODUCT(MAX((tbl_Finance[Job Number]&amp;""=C118&amp;"")*(tbl_Finance[Xero Invoice No]&lt;&gt;"")*tbl_Finance[Date]))=0,"",SUMPRODUCT(MAX((tbl_Finance[Job Number]&amp;""=C118&amp;"")*(tbl_Finance[Xero Invoice No]&lt;&gt;"")*tbl_Finance[Date]))),""))</f>
        <v/>
      </c>
      <c r="B118" s="26">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2" t="n"/>
      <c r="D118" s="26">
        <f>IF(C118="","",IF(COUNTIF(lst_Jobs,C118&amp;"")&gt;0,"OK","CHECK"))</f>
        <v/>
      </c>
      <c r="E118" s="26">
        <f>IF(C118="","",IFERROR(INDEX(lst_JobName,MATCH(C118&amp;"",lst_Jobs,0)),""))</f>
        <v/>
      </c>
      <c r="F118" s="22" t="n"/>
      <c r="G118" s="22" t="n"/>
      <c r="H118" s="22" t="n"/>
      <c r="I118" s="22" t="n"/>
      <c r="J118" s="22" t="n"/>
      <c r="K118" s="28">
        <f>IF(C118="","",COUNTIFS(tbl_Finance[Job Number],C118&amp;"",tbl_Finance[Ex GST],"&lt;&gt;"))</f>
        <v/>
      </c>
      <c r="L118" s="27">
        <f>IF(C118="","",SUMIFS(tbl_Finance[Ex GST],tbl_Finance[Job Number],C118&amp;""))</f>
        <v/>
      </c>
      <c r="M118" s="27">
        <f>IF(C118="","",SUMIFS(tbl_Finance[Ex GST],tbl_Finance[Job Number],C118&amp;"",tbl_Finance[Xero Invoice No],"&lt;&gt;"))</f>
        <v/>
      </c>
      <c r="N118" s="27">
        <f>IF(C118="","",L118-M118)</f>
        <v/>
      </c>
      <c r="O118" s="24" t="n"/>
      <c r="P118" s="27">
        <f>IF(C118="","",IF(O118="",0,MAX(0,O118-L118)))</f>
        <v/>
      </c>
      <c r="Q118" s="26">
        <f>IF(C118="","",IF(K118=0,"not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R118" s="22" t="n"/>
      <c r="S118" s="22" t="n"/>
      <c r="T118" s="26">
        <f>IF(S118="","",HYPERLINK(IF(LEFT(S118,4)="http",S118,set_QwilrBase&amp;S118),"Open quote"))</f>
        <v/>
      </c>
      <c r="U118" s="71" t="n"/>
      <c r="V118" s="22" t="n"/>
      <c r="W118" s="22" t="n"/>
    </row>
    <row r="119" ht="15" customHeight="1">
      <c r="A119" s="70">
        <f>IF(C119="","",IFERROR(IF(SUMPRODUCT(MAX((tbl_Finance[Job Number]&amp;""=C119&amp;"")*(tbl_Finance[Xero Invoice No]&lt;&gt;"")*tbl_Finance[Date]))=0,"",SUMPRODUCT(MAX((tbl_Finance[Job Number]&amp;""=C119&amp;"")*(tbl_Finance[Xero Invoice No]&lt;&gt;"")*tbl_Finance[Date]))),""))</f>
        <v/>
      </c>
      <c r="B119" s="26">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2" t="n"/>
      <c r="D119" s="26">
        <f>IF(C119="","",IF(COUNTIF(lst_Jobs,C119&amp;"")&gt;0,"OK","CHECK"))</f>
        <v/>
      </c>
      <c r="E119" s="26">
        <f>IF(C119="","",IFERROR(INDEX(lst_JobName,MATCH(C119&amp;"",lst_Jobs,0)),""))</f>
        <v/>
      </c>
      <c r="F119" s="22" t="n"/>
      <c r="G119" s="22" t="n"/>
      <c r="H119" s="22" t="n"/>
      <c r="I119" s="22" t="n"/>
      <c r="J119" s="22" t="n"/>
      <c r="K119" s="28">
        <f>IF(C119="","",COUNTIFS(tbl_Finance[Job Number],C119&amp;"",tbl_Finance[Ex GST],"&lt;&gt;"))</f>
        <v/>
      </c>
      <c r="L119" s="27">
        <f>IF(C119="","",SUMIFS(tbl_Finance[Ex GST],tbl_Finance[Job Number],C119&amp;""))</f>
        <v/>
      </c>
      <c r="M119" s="27">
        <f>IF(C119="","",SUMIFS(tbl_Finance[Ex GST],tbl_Finance[Job Number],C119&amp;"",tbl_Finance[Xero Invoice No],"&lt;&gt;"))</f>
        <v/>
      </c>
      <c r="N119" s="27">
        <f>IF(C119="","",L119-M119)</f>
        <v/>
      </c>
      <c r="O119" s="24" t="n"/>
      <c r="P119" s="27">
        <f>IF(C119="","",IF(O119="",0,MAX(0,O119-L119)))</f>
        <v/>
      </c>
      <c r="Q119" s="26">
        <f>IF(C119="","",IF(K119=0,"not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R119" s="22" t="n"/>
      <c r="S119" s="22" t="n"/>
      <c r="T119" s="26">
        <f>IF(S119="","",HYPERLINK(IF(LEFT(S119,4)="http",S119,set_QwilrBase&amp;S119),"Open quote"))</f>
        <v/>
      </c>
      <c r="U119" s="71" t="n"/>
      <c r="V119" s="22" t="n"/>
      <c r="W119" s="22" t="n"/>
    </row>
    <row r="120" ht="15" customHeight="1">
      <c r="A120" s="70">
        <f>IF(C120="","",IFERROR(IF(SUMPRODUCT(MAX((tbl_Finance[Job Number]&amp;""=C120&amp;"")*(tbl_Finance[Xero Invoice No]&lt;&gt;"")*tbl_Finance[Date]))=0,"",SUMPRODUCT(MAX((tbl_Finance[Job Number]&amp;""=C120&amp;"")*(tbl_Finance[Xero Invoice No]&lt;&gt;"")*tbl_Finance[Date]))),""))</f>
        <v/>
      </c>
      <c r="B120" s="26">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2" t="n"/>
      <c r="D120" s="26">
        <f>IF(C120="","",IF(COUNTIF(lst_Jobs,C120&amp;"")&gt;0,"OK","CHECK"))</f>
        <v/>
      </c>
      <c r="E120" s="26">
        <f>IF(C120="","",IFERROR(INDEX(lst_JobName,MATCH(C120&amp;"",lst_Jobs,0)),""))</f>
        <v/>
      </c>
      <c r="F120" s="22" t="n"/>
      <c r="G120" s="22" t="n"/>
      <c r="H120" s="22" t="n"/>
      <c r="I120" s="22" t="n"/>
      <c r="J120" s="22" t="n"/>
      <c r="K120" s="28">
        <f>IF(C120="","",COUNTIFS(tbl_Finance[Job Number],C120&amp;"",tbl_Finance[Ex GST],"&lt;&gt;"))</f>
        <v/>
      </c>
      <c r="L120" s="27">
        <f>IF(C120="","",SUMIFS(tbl_Finance[Ex GST],tbl_Finance[Job Number],C120&amp;""))</f>
        <v/>
      </c>
      <c r="M120" s="27">
        <f>IF(C120="","",SUMIFS(tbl_Finance[Ex GST],tbl_Finance[Job Number],C120&amp;"",tbl_Finance[Xero Invoice No],"&lt;&gt;"))</f>
        <v/>
      </c>
      <c r="N120" s="27">
        <f>IF(C120="","",L120-M120)</f>
        <v/>
      </c>
      <c r="O120" s="24" t="n"/>
      <c r="P120" s="27">
        <f>IF(C120="","",IF(O120="",0,MAX(0,O120-L120)))</f>
        <v/>
      </c>
      <c r="Q120" s="26">
        <f>IF(C120="","",IF(K120=0,"not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R120" s="22" t="n"/>
      <c r="S120" s="22" t="n"/>
      <c r="T120" s="26">
        <f>IF(S120="","",HYPERLINK(IF(LEFT(S120,4)="http",S120,set_QwilrBase&amp;S120),"Open quote"))</f>
        <v/>
      </c>
      <c r="U120" s="71" t="n"/>
      <c r="V120" s="22" t="n"/>
      <c r="W120" s="22" t="n"/>
    </row>
    <row r="121" ht="15" customHeight="1">
      <c r="A121" s="70">
        <f>IF(C121="","",IFERROR(IF(SUMPRODUCT(MAX((tbl_Finance[Job Number]&amp;""=C121&amp;"")*(tbl_Finance[Xero Invoice No]&lt;&gt;"")*tbl_Finance[Date]))=0,"",SUMPRODUCT(MAX((tbl_Finance[Job Number]&amp;""=C121&amp;"")*(tbl_Finance[Xero Invoice No]&lt;&gt;"")*tbl_Finance[Date]))),""))</f>
        <v/>
      </c>
      <c r="B121" s="26">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2" t="n"/>
      <c r="D121" s="26">
        <f>IF(C121="","",IF(COUNTIF(lst_Jobs,C121&amp;"")&gt;0,"OK","CHECK"))</f>
        <v/>
      </c>
      <c r="E121" s="26">
        <f>IF(C121="","",IFERROR(INDEX(lst_JobName,MATCH(C121&amp;"",lst_Jobs,0)),""))</f>
        <v/>
      </c>
      <c r="F121" s="22" t="n"/>
      <c r="G121" s="22" t="n"/>
      <c r="H121" s="22" t="n"/>
      <c r="I121" s="22" t="n"/>
      <c r="J121" s="22" t="n"/>
      <c r="K121" s="28">
        <f>IF(C121="","",COUNTIFS(tbl_Finance[Job Number],C121&amp;"",tbl_Finance[Ex GST],"&lt;&gt;"))</f>
        <v/>
      </c>
      <c r="L121" s="27">
        <f>IF(C121="","",SUMIFS(tbl_Finance[Ex GST],tbl_Finance[Job Number],C121&amp;""))</f>
        <v/>
      </c>
      <c r="M121" s="27">
        <f>IF(C121="","",SUMIFS(tbl_Finance[Ex GST],tbl_Finance[Job Number],C121&amp;"",tbl_Finance[Xero Invoice No],"&lt;&gt;"))</f>
        <v/>
      </c>
      <c r="N121" s="27">
        <f>IF(C121="","",L121-M121)</f>
        <v/>
      </c>
      <c r="O121" s="24" t="n"/>
      <c r="P121" s="27">
        <f>IF(C121="","",IF(O121="",0,MAX(0,O121-L121)))</f>
        <v/>
      </c>
      <c r="Q121" s="26">
        <f>IF(C121="","",IF(K121=0,"not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R121" s="22" t="n"/>
      <c r="S121" s="22" t="n"/>
      <c r="T121" s="26">
        <f>IF(S121="","",HYPERLINK(IF(LEFT(S121,4)="http",S121,set_QwilrBase&amp;S121),"Open quote"))</f>
        <v/>
      </c>
      <c r="U121" s="71" t="n"/>
      <c r="V121" s="22" t="n"/>
      <c r="W121" s="22" t="n"/>
    </row>
    <row r="122" ht="15" customHeight="1">
      <c r="A122" s="70">
        <f>IF(C122="","",IFERROR(IF(SUMPRODUCT(MAX((tbl_Finance[Job Number]&amp;""=C122&amp;"")*(tbl_Finance[Xero Invoice No]&lt;&gt;"")*tbl_Finance[Date]))=0,"",SUMPRODUCT(MAX((tbl_Finance[Job Number]&amp;""=C122&amp;"")*(tbl_Finance[Xero Invoice No]&lt;&gt;"")*tbl_Finance[Date]))),""))</f>
        <v/>
      </c>
      <c r="B122" s="26">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2" t="n"/>
      <c r="D122" s="26">
        <f>IF(C122="","",IF(COUNTIF(lst_Jobs,C122&amp;"")&gt;0,"OK","CHECK"))</f>
        <v/>
      </c>
      <c r="E122" s="26">
        <f>IF(C122="","",IFERROR(INDEX(lst_JobName,MATCH(C122&amp;"",lst_Jobs,0)),""))</f>
        <v/>
      </c>
      <c r="F122" s="22" t="n"/>
      <c r="G122" s="22" t="n"/>
      <c r="H122" s="22" t="n"/>
      <c r="I122" s="22" t="n"/>
      <c r="J122" s="22" t="n"/>
      <c r="K122" s="28">
        <f>IF(C122="","",COUNTIFS(tbl_Finance[Job Number],C122&amp;"",tbl_Finance[Ex GST],"&lt;&gt;"))</f>
        <v/>
      </c>
      <c r="L122" s="27">
        <f>IF(C122="","",SUMIFS(tbl_Finance[Ex GST],tbl_Finance[Job Number],C122&amp;""))</f>
        <v/>
      </c>
      <c r="M122" s="27">
        <f>IF(C122="","",SUMIFS(tbl_Finance[Ex GST],tbl_Finance[Job Number],C122&amp;"",tbl_Finance[Xero Invoice No],"&lt;&gt;"))</f>
        <v/>
      </c>
      <c r="N122" s="27">
        <f>IF(C122="","",L122-M122)</f>
        <v/>
      </c>
      <c r="O122" s="24" t="n"/>
      <c r="P122" s="27">
        <f>IF(C122="","",IF(O122="",0,MAX(0,O122-L122)))</f>
        <v/>
      </c>
      <c r="Q122" s="26">
        <f>IF(C122="","",IF(K122=0,"not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R122" s="22" t="n"/>
      <c r="S122" s="22" t="n"/>
      <c r="T122" s="26">
        <f>IF(S122="","",HYPERLINK(IF(LEFT(S122,4)="http",S122,set_QwilrBase&amp;S122),"Open quote"))</f>
        <v/>
      </c>
      <c r="U122" s="71" t="n"/>
      <c r="V122" s="22" t="n"/>
      <c r="W122" s="22" t="n"/>
    </row>
    <row r="123" ht="15" customHeight="1">
      <c r="A123" s="70">
        <f>IF(C123="","",IFERROR(IF(SUMPRODUCT(MAX((tbl_Finance[Job Number]&amp;""=C123&amp;"")*(tbl_Finance[Xero Invoice No]&lt;&gt;"")*tbl_Finance[Date]))=0,"",SUMPRODUCT(MAX((tbl_Finance[Job Number]&amp;""=C123&amp;"")*(tbl_Finance[Xero Invoice No]&lt;&gt;"")*tbl_Finance[Date]))),""))</f>
        <v/>
      </c>
      <c r="B123" s="26">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2" t="n"/>
      <c r="D123" s="26">
        <f>IF(C123="","",IF(COUNTIF(lst_Jobs,C123&amp;"")&gt;0,"OK","CHECK"))</f>
        <v/>
      </c>
      <c r="E123" s="26">
        <f>IF(C123="","",IFERROR(INDEX(lst_JobName,MATCH(C123&amp;"",lst_Jobs,0)),""))</f>
        <v/>
      </c>
      <c r="F123" s="22" t="n"/>
      <c r="G123" s="22" t="n"/>
      <c r="H123" s="22" t="n"/>
      <c r="I123" s="22" t="n"/>
      <c r="J123" s="22" t="n"/>
      <c r="K123" s="28">
        <f>IF(C123="","",COUNTIFS(tbl_Finance[Job Number],C123&amp;"",tbl_Finance[Ex GST],"&lt;&gt;"))</f>
        <v/>
      </c>
      <c r="L123" s="27">
        <f>IF(C123="","",SUMIFS(tbl_Finance[Ex GST],tbl_Finance[Job Number],C123&amp;""))</f>
        <v/>
      </c>
      <c r="M123" s="27">
        <f>IF(C123="","",SUMIFS(tbl_Finance[Ex GST],tbl_Finance[Job Number],C123&amp;"",tbl_Finance[Xero Invoice No],"&lt;&gt;"))</f>
        <v/>
      </c>
      <c r="N123" s="27">
        <f>IF(C123="","",L123-M123)</f>
        <v/>
      </c>
      <c r="O123" s="24" t="n"/>
      <c r="P123" s="27">
        <f>IF(C123="","",IF(O123="",0,MAX(0,O123-L123)))</f>
        <v/>
      </c>
      <c r="Q123" s="26">
        <f>IF(C123="","",IF(K123=0,"not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R123" s="22" t="n"/>
      <c r="S123" s="22" t="n"/>
      <c r="T123" s="26">
        <f>IF(S123="","",HYPERLINK(IF(LEFT(S123,4)="http",S123,set_QwilrBase&amp;S123),"Open quote"))</f>
        <v/>
      </c>
      <c r="U123" s="71" t="n"/>
      <c r="V123" s="22" t="n"/>
      <c r="W123" s="22" t="n"/>
    </row>
    <row r="124" ht="15" customHeight="1">
      <c r="A124" s="70">
        <f>IF(C124="","",IFERROR(IF(SUMPRODUCT(MAX((tbl_Finance[Job Number]&amp;""=C124&amp;"")*(tbl_Finance[Xero Invoice No]&lt;&gt;"")*tbl_Finance[Date]))=0,"",SUMPRODUCT(MAX((tbl_Finance[Job Number]&amp;""=C124&amp;"")*(tbl_Finance[Xero Invoice No]&lt;&gt;"")*tbl_Finance[Date]))),""))</f>
        <v/>
      </c>
      <c r="B124" s="26">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2" t="n"/>
      <c r="D124" s="26">
        <f>IF(C124="","",IF(COUNTIF(lst_Jobs,C124&amp;"")&gt;0,"OK","CHECK"))</f>
        <v/>
      </c>
      <c r="E124" s="26">
        <f>IF(C124="","",IFERROR(INDEX(lst_JobName,MATCH(C124&amp;"",lst_Jobs,0)),""))</f>
        <v/>
      </c>
      <c r="F124" s="22" t="n"/>
      <c r="G124" s="22" t="n"/>
      <c r="H124" s="22" t="n"/>
      <c r="I124" s="22" t="n"/>
      <c r="J124" s="22" t="n"/>
      <c r="K124" s="28">
        <f>IF(C124="","",COUNTIFS(tbl_Finance[Job Number],C124&amp;"",tbl_Finance[Ex GST],"&lt;&gt;"))</f>
        <v/>
      </c>
      <c r="L124" s="27">
        <f>IF(C124="","",SUMIFS(tbl_Finance[Ex GST],tbl_Finance[Job Number],C124&amp;""))</f>
        <v/>
      </c>
      <c r="M124" s="27">
        <f>IF(C124="","",SUMIFS(tbl_Finance[Ex GST],tbl_Finance[Job Number],C124&amp;"",tbl_Finance[Xero Invoice No],"&lt;&gt;"))</f>
        <v/>
      </c>
      <c r="N124" s="27">
        <f>IF(C124="","",L124-M124)</f>
        <v/>
      </c>
      <c r="O124" s="24" t="n"/>
      <c r="P124" s="27">
        <f>IF(C124="","",IF(O124="",0,MAX(0,O124-L124)))</f>
        <v/>
      </c>
      <c r="Q124" s="26">
        <f>IF(C124="","",IF(K124=0,"not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R124" s="22" t="n"/>
      <c r="S124" s="22" t="n"/>
      <c r="T124" s="26">
        <f>IF(S124="","",HYPERLINK(IF(LEFT(S124,4)="http",S124,set_QwilrBase&amp;S124),"Open quote"))</f>
        <v/>
      </c>
      <c r="U124" s="71" t="n"/>
      <c r="V124" s="22" t="n"/>
      <c r="W124" s="22" t="n"/>
    </row>
    <row r="125" ht="15" customHeight="1">
      <c r="A125" s="70">
        <f>IF(C125="","",IFERROR(IF(SUMPRODUCT(MAX((tbl_Finance[Job Number]&amp;""=C125&amp;"")*(tbl_Finance[Xero Invoice No]&lt;&gt;"")*tbl_Finance[Date]))=0,"",SUMPRODUCT(MAX((tbl_Finance[Job Number]&amp;""=C125&amp;"")*(tbl_Finance[Xero Invoice No]&lt;&gt;"")*tbl_Finance[Date]))),""))</f>
        <v/>
      </c>
      <c r="B125" s="26">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2" t="n"/>
      <c r="D125" s="26">
        <f>IF(C125="","",IF(COUNTIF(lst_Jobs,C125&amp;"")&gt;0,"OK","CHECK"))</f>
        <v/>
      </c>
      <c r="E125" s="26">
        <f>IF(C125="","",IFERROR(INDEX(lst_JobName,MATCH(C125&amp;"",lst_Jobs,0)),""))</f>
        <v/>
      </c>
      <c r="F125" s="22" t="n"/>
      <c r="G125" s="22" t="n"/>
      <c r="H125" s="22" t="n"/>
      <c r="I125" s="22" t="n"/>
      <c r="J125" s="22" t="n"/>
      <c r="K125" s="28">
        <f>IF(C125="","",COUNTIFS(tbl_Finance[Job Number],C125&amp;"",tbl_Finance[Ex GST],"&lt;&gt;"))</f>
        <v/>
      </c>
      <c r="L125" s="27">
        <f>IF(C125="","",SUMIFS(tbl_Finance[Ex GST],tbl_Finance[Job Number],C125&amp;""))</f>
        <v/>
      </c>
      <c r="M125" s="27">
        <f>IF(C125="","",SUMIFS(tbl_Finance[Ex GST],tbl_Finance[Job Number],C125&amp;"",tbl_Finance[Xero Invoice No],"&lt;&gt;"))</f>
        <v/>
      </c>
      <c r="N125" s="27">
        <f>IF(C125="","",L125-M125)</f>
        <v/>
      </c>
      <c r="O125" s="24" t="n"/>
      <c r="P125" s="27">
        <f>IF(C125="","",IF(O125="",0,MAX(0,O125-L125)))</f>
        <v/>
      </c>
      <c r="Q125" s="26">
        <f>IF(C125="","",IF(K125=0,"not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R125" s="22" t="n"/>
      <c r="S125" s="22" t="n"/>
      <c r="T125" s="26">
        <f>IF(S125="","",HYPERLINK(IF(LEFT(S125,4)="http",S125,set_QwilrBase&amp;S125),"Open quote"))</f>
        <v/>
      </c>
      <c r="U125" s="71" t="n"/>
      <c r="V125" s="22" t="n"/>
      <c r="W125" s="22" t="n"/>
    </row>
    <row r="126" ht="15" customHeight="1">
      <c r="A126" s="70">
        <f>IF(C126="","",IFERROR(IF(SUMPRODUCT(MAX((tbl_Finance[Job Number]&amp;""=C126&amp;"")*(tbl_Finance[Xero Invoice No]&lt;&gt;"")*tbl_Finance[Date]))=0,"",SUMPRODUCT(MAX((tbl_Finance[Job Number]&amp;""=C126&amp;"")*(tbl_Finance[Xero Invoice No]&lt;&gt;"")*tbl_Finance[Date]))),""))</f>
        <v/>
      </c>
      <c r="B126" s="26">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2" t="n"/>
      <c r="D126" s="26">
        <f>IF(C126="","",IF(COUNTIF(lst_Jobs,C126&amp;"")&gt;0,"OK","CHECK"))</f>
        <v/>
      </c>
      <c r="E126" s="26">
        <f>IF(C126="","",IFERROR(INDEX(lst_JobName,MATCH(C126&amp;"",lst_Jobs,0)),""))</f>
        <v/>
      </c>
      <c r="F126" s="22" t="n"/>
      <c r="G126" s="22" t="n"/>
      <c r="H126" s="22" t="n"/>
      <c r="I126" s="22" t="n"/>
      <c r="J126" s="22" t="n"/>
      <c r="K126" s="28">
        <f>IF(C126="","",COUNTIFS(tbl_Finance[Job Number],C126&amp;"",tbl_Finance[Ex GST],"&lt;&gt;"))</f>
        <v/>
      </c>
      <c r="L126" s="27">
        <f>IF(C126="","",SUMIFS(tbl_Finance[Ex GST],tbl_Finance[Job Number],C126&amp;""))</f>
        <v/>
      </c>
      <c r="M126" s="27">
        <f>IF(C126="","",SUMIFS(tbl_Finance[Ex GST],tbl_Finance[Job Number],C126&amp;"",tbl_Finance[Xero Invoice No],"&lt;&gt;"))</f>
        <v/>
      </c>
      <c r="N126" s="27">
        <f>IF(C126="","",L126-M126)</f>
        <v/>
      </c>
      <c r="O126" s="24" t="n"/>
      <c r="P126" s="27">
        <f>IF(C126="","",IF(O126="",0,MAX(0,O126-L126)))</f>
        <v/>
      </c>
      <c r="Q126" s="26">
        <f>IF(C126="","",IF(K126=0,"not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R126" s="22" t="n"/>
      <c r="S126" s="22" t="n"/>
      <c r="T126" s="26">
        <f>IF(S126="","",HYPERLINK(IF(LEFT(S126,4)="http",S126,set_QwilrBase&amp;S126),"Open quote"))</f>
        <v/>
      </c>
      <c r="U126" s="71" t="n"/>
      <c r="V126" s="22" t="n"/>
      <c r="W126" s="22" t="n"/>
    </row>
    <row r="127" ht="15" customHeight="1">
      <c r="A127" s="70">
        <f>IF(C127="","",IFERROR(IF(SUMPRODUCT(MAX((tbl_Finance[Job Number]&amp;""=C127&amp;"")*(tbl_Finance[Xero Invoice No]&lt;&gt;"")*tbl_Finance[Date]))=0,"",SUMPRODUCT(MAX((tbl_Finance[Job Number]&amp;""=C127&amp;"")*(tbl_Finance[Xero Invoice No]&lt;&gt;"")*tbl_Finance[Date]))),""))</f>
        <v/>
      </c>
      <c r="B127" s="26">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2" t="n"/>
      <c r="D127" s="26">
        <f>IF(C127="","",IF(COUNTIF(lst_Jobs,C127&amp;"")&gt;0,"OK","CHECK"))</f>
        <v/>
      </c>
      <c r="E127" s="26">
        <f>IF(C127="","",IFERROR(INDEX(lst_JobName,MATCH(C127&amp;"",lst_Jobs,0)),""))</f>
        <v/>
      </c>
      <c r="F127" s="22" t="n"/>
      <c r="G127" s="22" t="n"/>
      <c r="H127" s="22" t="n"/>
      <c r="I127" s="22" t="n"/>
      <c r="J127" s="22" t="n"/>
      <c r="K127" s="28">
        <f>IF(C127="","",COUNTIFS(tbl_Finance[Job Number],C127&amp;"",tbl_Finance[Ex GST],"&lt;&gt;"))</f>
        <v/>
      </c>
      <c r="L127" s="27">
        <f>IF(C127="","",SUMIFS(tbl_Finance[Ex GST],tbl_Finance[Job Number],C127&amp;""))</f>
        <v/>
      </c>
      <c r="M127" s="27">
        <f>IF(C127="","",SUMIFS(tbl_Finance[Ex GST],tbl_Finance[Job Number],C127&amp;"",tbl_Finance[Xero Invoice No],"&lt;&gt;"))</f>
        <v/>
      </c>
      <c r="N127" s="27">
        <f>IF(C127="","",L127-M127)</f>
        <v/>
      </c>
      <c r="O127" s="24" t="n"/>
      <c r="P127" s="27">
        <f>IF(C127="","",IF(O127="",0,MAX(0,O127-L127)))</f>
        <v/>
      </c>
      <c r="Q127" s="26">
        <f>IF(C127="","",IF(K127=0,"not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R127" s="22" t="n"/>
      <c r="S127" s="22" t="n"/>
      <c r="T127" s="26">
        <f>IF(S127="","",HYPERLINK(IF(LEFT(S127,4)="http",S127,set_QwilrBase&amp;S127),"Open quote"))</f>
        <v/>
      </c>
      <c r="U127" s="71" t="n"/>
      <c r="V127" s="22" t="n"/>
      <c r="W127" s="22" t="n"/>
    </row>
    <row r="128" ht="15" customHeight="1">
      <c r="A128" s="70">
        <f>IF(C128="","",IFERROR(IF(SUMPRODUCT(MAX((tbl_Finance[Job Number]&amp;""=C128&amp;"")*(tbl_Finance[Xero Invoice No]&lt;&gt;"")*tbl_Finance[Date]))=0,"",SUMPRODUCT(MAX((tbl_Finance[Job Number]&amp;""=C128&amp;"")*(tbl_Finance[Xero Invoice No]&lt;&gt;"")*tbl_Finance[Date]))),""))</f>
        <v/>
      </c>
      <c r="B128" s="26">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2" t="n"/>
      <c r="D128" s="26">
        <f>IF(C128="","",IF(COUNTIF(lst_Jobs,C128&amp;"")&gt;0,"OK","CHECK"))</f>
        <v/>
      </c>
      <c r="E128" s="26">
        <f>IF(C128="","",IFERROR(INDEX(lst_JobName,MATCH(C128&amp;"",lst_Jobs,0)),""))</f>
        <v/>
      </c>
      <c r="F128" s="22" t="n"/>
      <c r="G128" s="22" t="n"/>
      <c r="H128" s="22" t="n"/>
      <c r="I128" s="22" t="n"/>
      <c r="J128" s="22" t="n"/>
      <c r="K128" s="28">
        <f>IF(C128="","",COUNTIFS(tbl_Finance[Job Number],C128&amp;"",tbl_Finance[Ex GST],"&lt;&gt;"))</f>
        <v/>
      </c>
      <c r="L128" s="27">
        <f>IF(C128="","",SUMIFS(tbl_Finance[Ex GST],tbl_Finance[Job Number],C128&amp;""))</f>
        <v/>
      </c>
      <c r="M128" s="27">
        <f>IF(C128="","",SUMIFS(tbl_Finance[Ex GST],tbl_Finance[Job Number],C128&amp;"",tbl_Finance[Xero Invoice No],"&lt;&gt;"))</f>
        <v/>
      </c>
      <c r="N128" s="27">
        <f>IF(C128="","",L128-M128)</f>
        <v/>
      </c>
      <c r="O128" s="24" t="n"/>
      <c r="P128" s="27">
        <f>IF(C128="","",IF(O128="",0,MAX(0,O128-L128)))</f>
        <v/>
      </c>
      <c r="Q128" s="26">
        <f>IF(C128="","",IF(K128=0,"not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R128" s="22" t="n"/>
      <c r="S128" s="22" t="n"/>
      <c r="T128" s="26">
        <f>IF(S128="","",HYPERLINK(IF(LEFT(S128,4)="http",S128,set_QwilrBase&amp;S128),"Open quote"))</f>
        <v/>
      </c>
      <c r="U128" s="71" t="n"/>
      <c r="V128" s="22" t="n"/>
      <c r="W128" s="22" t="n"/>
    </row>
    <row r="129" ht="15" customHeight="1">
      <c r="A129" s="70">
        <f>IF(C129="","",IFERROR(IF(SUMPRODUCT(MAX((tbl_Finance[Job Number]&amp;""=C129&amp;"")*(tbl_Finance[Xero Invoice No]&lt;&gt;"")*tbl_Finance[Date]))=0,"",SUMPRODUCT(MAX((tbl_Finance[Job Number]&amp;""=C129&amp;"")*(tbl_Finance[Xero Invoice No]&lt;&gt;"")*tbl_Finance[Date]))),""))</f>
        <v/>
      </c>
      <c r="B129" s="26">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2" t="n"/>
      <c r="D129" s="26">
        <f>IF(C129="","",IF(COUNTIF(lst_Jobs,C129&amp;"")&gt;0,"OK","CHECK"))</f>
        <v/>
      </c>
      <c r="E129" s="26">
        <f>IF(C129="","",IFERROR(INDEX(lst_JobName,MATCH(C129&amp;"",lst_Jobs,0)),""))</f>
        <v/>
      </c>
      <c r="F129" s="22" t="n"/>
      <c r="G129" s="22" t="n"/>
      <c r="H129" s="22" t="n"/>
      <c r="I129" s="22" t="n"/>
      <c r="J129" s="22" t="n"/>
      <c r="K129" s="28">
        <f>IF(C129="","",COUNTIFS(tbl_Finance[Job Number],C129&amp;"",tbl_Finance[Ex GST],"&lt;&gt;"))</f>
        <v/>
      </c>
      <c r="L129" s="27">
        <f>IF(C129="","",SUMIFS(tbl_Finance[Ex GST],tbl_Finance[Job Number],C129&amp;""))</f>
        <v/>
      </c>
      <c r="M129" s="27">
        <f>IF(C129="","",SUMIFS(tbl_Finance[Ex GST],tbl_Finance[Job Number],C129&amp;"",tbl_Finance[Xero Invoice No],"&lt;&gt;"))</f>
        <v/>
      </c>
      <c r="N129" s="27">
        <f>IF(C129="","",L129-M129)</f>
        <v/>
      </c>
      <c r="O129" s="24" t="n"/>
      <c r="P129" s="27">
        <f>IF(C129="","",IF(O129="",0,MAX(0,O129-L129)))</f>
        <v/>
      </c>
      <c r="Q129" s="26">
        <f>IF(C129="","",IF(K129=0,"not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R129" s="22" t="n"/>
      <c r="S129" s="22" t="n"/>
      <c r="T129" s="26">
        <f>IF(S129="","",HYPERLINK(IF(LEFT(S129,4)="http",S129,set_QwilrBase&amp;S129),"Open quote"))</f>
        <v/>
      </c>
      <c r="U129" s="71" t="n"/>
      <c r="V129" s="22" t="n"/>
      <c r="W129" s="22" t="n"/>
    </row>
    <row r="130" ht="15" customHeight="1">
      <c r="A130" s="70">
        <f>IF(C130="","",IFERROR(IF(SUMPRODUCT(MAX((tbl_Finance[Job Number]&amp;""=C130&amp;"")*(tbl_Finance[Xero Invoice No]&lt;&gt;"")*tbl_Finance[Date]))=0,"",SUMPRODUCT(MAX((tbl_Finance[Job Number]&amp;""=C130&amp;"")*(tbl_Finance[Xero Invoice No]&lt;&gt;"")*tbl_Finance[Date]))),""))</f>
        <v/>
      </c>
      <c r="B130" s="26">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2" t="n"/>
      <c r="D130" s="26">
        <f>IF(C130="","",IF(COUNTIF(lst_Jobs,C130&amp;"")&gt;0,"OK","CHECK"))</f>
        <v/>
      </c>
      <c r="E130" s="26">
        <f>IF(C130="","",IFERROR(INDEX(lst_JobName,MATCH(C130&amp;"",lst_Jobs,0)),""))</f>
        <v/>
      </c>
      <c r="F130" s="22" t="n"/>
      <c r="G130" s="22" t="n"/>
      <c r="H130" s="22" t="n"/>
      <c r="I130" s="22" t="n"/>
      <c r="J130" s="22" t="n"/>
      <c r="K130" s="28">
        <f>IF(C130="","",COUNTIFS(tbl_Finance[Job Number],C130&amp;"",tbl_Finance[Ex GST],"&lt;&gt;"))</f>
        <v/>
      </c>
      <c r="L130" s="27">
        <f>IF(C130="","",SUMIFS(tbl_Finance[Ex GST],tbl_Finance[Job Number],C130&amp;""))</f>
        <v/>
      </c>
      <c r="M130" s="27">
        <f>IF(C130="","",SUMIFS(tbl_Finance[Ex GST],tbl_Finance[Job Number],C130&amp;"",tbl_Finance[Xero Invoice No],"&lt;&gt;"))</f>
        <v/>
      </c>
      <c r="N130" s="27">
        <f>IF(C130="","",L130-M130)</f>
        <v/>
      </c>
      <c r="O130" s="24" t="n"/>
      <c r="P130" s="27">
        <f>IF(C130="","",IF(O130="",0,MAX(0,O130-L130)))</f>
        <v/>
      </c>
      <c r="Q130" s="26">
        <f>IF(C130="","",IF(K130=0,"not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R130" s="22" t="n"/>
      <c r="S130" s="22" t="n"/>
      <c r="T130" s="26">
        <f>IF(S130="","",HYPERLINK(IF(LEFT(S130,4)="http",S130,set_QwilrBase&amp;S130),"Open quote"))</f>
        <v/>
      </c>
      <c r="U130" s="71" t="n"/>
      <c r="V130" s="22" t="n"/>
      <c r="W130" s="22" t="n"/>
    </row>
    <row r="131" ht="15" customHeight="1">
      <c r="A131" s="70">
        <f>IF(C131="","",IFERROR(IF(SUMPRODUCT(MAX((tbl_Finance[Job Number]&amp;""=C131&amp;"")*(tbl_Finance[Xero Invoice No]&lt;&gt;"")*tbl_Finance[Date]))=0,"",SUMPRODUCT(MAX((tbl_Finance[Job Number]&amp;""=C131&amp;"")*(tbl_Finance[Xero Invoice No]&lt;&gt;"")*tbl_Finance[Date]))),""))</f>
        <v/>
      </c>
      <c r="B131" s="26">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2" t="n"/>
      <c r="D131" s="26">
        <f>IF(C131="","",IF(COUNTIF(lst_Jobs,C131&amp;"")&gt;0,"OK","CHECK"))</f>
        <v/>
      </c>
      <c r="E131" s="26">
        <f>IF(C131="","",IFERROR(INDEX(lst_JobName,MATCH(C131&amp;"",lst_Jobs,0)),""))</f>
        <v/>
      </c>
      <c r="F131" s="22" t="n"/>
      <c r="G131" s="22" t="n"/>
      <c r="H131" s="22" t="n"/>
      <c r="I131" s="22" t="n"/>
      <c r="J131" s="22" t="n"/>
      <c r="K131" s="28">
        <f>IF(C131="","",COUNTIFS(tbl_Finance[Job Number],C131&amp;"",tbl_Finance[Ex GST],"&lt;&gt;"))</f>
        <v/>
      </c>
      <c r="L131" s="27">
        <f>IF(C131="","",SUMIFS(tbl_Finance[Ex GST],tbl_Finance[Job Number],C131&amp;""))</f>
        <v/>
      </c>
      <c r="M131" s="27">
        <f>IF(C131="","",SUMIFS(tbl_Finance[Ex GST],tbl_Finance[Job Number],C131&amp;"",tbl_Finance[Xero Invoice No],"&lt;&gt;"))</f>
        <v/>
      </c>
      <c r="N131" s="27">
        <f>IF(C131="","",L131-M131)</f>
        <v/>
      </c>
      <c r="O131" s="24" t="n"/>
      <c r="P131" s="27">
        <f>IF(C131="","",IF(O131="",0,MAX(0,O131-L131)))</f>
        <v/>
      </c>
      <c r="Q131" s="26">
        <f>IF(C131="","",IF(K131=0,"not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R131" s="22" t="n"/>
      <c r="S131" s="22" t="n"/>
      <c r="T131" s="26">
        <f>IF(S131="","",HYPERLINK(IF(LEFT(S131,4)="http",S131,set_QwilrBase&amp;S131),"Open quote"))</f>
        <v/>
      </c>
      <c r="U131" s="71" t="n"/>
      <c r="V131" s="22" t="n"/>
      <c r="W131" s="22" t="n"/>
    </row>
    <row r="132" ht="15" customHeight="1">
      <c r="A132" s="70">
        <f>IF(C132="","",IFERROR(IF(SUMPRODUCT(MAX((tbl_Finance[Job Number]&amp;""=C132&amp;"")*(tbl_Finance[Xero Invoice No]&lt;&gt;"")*tbl_Finance[Date]))=0,"",SUMPRODUCT(MAX((tbl_Finance[Job Number]&amp;""=C132&amp;"")*(tbl_Finance[Xero Invoice No]&lt;&gt;"")*tbl_Finance[Date]))),""))</f>
        <v/>
      </c>
      <c r="B132" s="26">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2" t="n"/>
      <c r="D132" s="26">
        <f>IF(C132="","",IF(COUNTIF(lst_Jobs,C132&amp;"")&gt;0,"OK","CHECK"))</f>
        <v/>
      </c>
      <c r="E132" s="26">
        <f>IF(C132="","",IFERROR(INDEX(lst_JobName,MATCH(C132&amp;"",lst_Jobs,0)),""))</f>
        <v/>
      </c>
      <c r="F132" s="22" t="n"/>
      <c r="G132" s="22" t="n"/>
      <c r="H132" s="22" t="n"/>
      <c r="I132" s="22" t="n"/>
      <c r="J132" s="22" t="n"/>
      <c r="K132" s="28">
        <f>IF(C132="","",COUNTIFS(tbl_Finance[Job Number],C132&amp;"",tbl_Finance[Ex GST],"&lt;&gt;"))</f>
        <v/>
      </c>
      <c r="L132" s="27">
        <f>IF(C132="","",SUMIFS(tbl_Finance[Ex GST],tbl_Finance[Job Number],C132&amp;""))</f>
        <v/>
      </c>
      <c r="M132" s="27">
        <f>IF(C132="","",SUMIFS(tbl_Finance[Ex GST],tbl_Finance[Job Number],C132&amp;"",tbl_Finance[Xero Invoice No],"&lt;&gt;"))</f>
        <v/>
      </c>
      <c r="N132" s="27">
        <f>IF(C132="","",L132-M132)</f>
        <v/>
      </c>
      <c r="O132" s="24" t="n"/>
      <c r="P132" s="27">
        <f>IF(C132="","",IF(O132="",0,MAX(0,O132-L132)))</f>
        <v/>
      </c>
      <c r="Q132" s="26">
        <f>IF(C132="","",IF(K132=0,"not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R132" s="22" t="n"/>
      <c r="S132" s="22" t="n"/>
      <c r="T132" s="26">
        <f>IF(S132="","",HYPERLINK(IF(LEFT(S132,4)="http",S132,set_QwilrBase&amp;S132),"Open quote"))</f>
        <v/>
      </c>
      <c r="U132" s="71" t="n"/>
      <c r="V132" s="22" t="n"/>
      <c r="W132" s="22" t="n"/>
    </row>
    <row r="133" ht="15" customHeight="1">
      <c r="A133" s="70">
        <f>IF(C133="","",IFERROR(IF(SUMPRODUCT(MAX((tbl_Finance[Job Number]&amp;""=C133&amp;"")*(tbl_Finance[Xero Invoice No]&lt;&gt;"")*tbl_Finance[Date]))=0,"",SUMPRODUCT(MAX((tbl_Finance[Job Number]&amp;""=C133&amp;"")*(tbl_Finance[Xero Invoice No]&lt;&gt;"")*tbl_Finance[Date]))),""))</f>
        <v/>
      </c>
      <c r="B133" s="26">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2" t="n"/>
      <c r="D133" s="26">
        <f>IF(C133="","",IF(COUNTIF(lst_Jobs,C133&amp;"")&gt;0,"OK","CHECK"))</f>
        <v/>
      </c>
      <c r="E133" s="26">
        <f>IF(C133="","",IFERROR(INDEX(lst_JobName,MATCH(C133&amp;"",lst_Jobs,0)),""))</f>
        <v/>
      </c>
      <c r="F133" s="22" t="n"/>
      <c r="G133" s="22" t="n"/>
      <c r="H133" s="22" t="n"/>
      <c r="I133" s="22" t="n"/>
      <c r="J133" s="22" t="n"/>
      <c r="K133" s="28">
        <f>IF(C133="","",COUNTIFS(tbl_Finance[Job Number],C133&amp;"",tbl_Finance[Ex GST],"&lt;&gt;"))</f>
        <v/>
      </c>
      <c r="L133" s="27">
        <f>IF(C133="","",SUMIFS(tbl_Finance[Ex GST],tbl_Finance[Job Number],C133&amp;""))</f>
        <v/>
      </c>
      <c r="M133" s="27">
        <f>IF(C133="","",SUMIFS(tbl_Finance[Ex GST],tbl_Finance[Job Number],C133&amp;"",tbl_Finance[Xero Invoice No],"&lt;&gt;"))</f>
        <v/>
      </c>
      <c r="N133" s="27">
        <f>IF(C133="","",L133-M133)</f>
        <v/>
      </c>
      <c r="O133" s="24" t="n"/>
      <c r="P133" s="27">
        <f>IF(C133="","",IF(O133="",0,MAX(0,O133-L133)))</f>
        <v/>
      </c>
      <c r="Q133" s="26">
        <f>IF(C133="","",IF(K133=0,"not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R133" s="22" t="n"/>
      <c r="S133" s="22" t="n"/>
      <c r="T133" s="26">
        <f>IF(S133="","",HYPERLINK(IF(LEFT(S133,4)="http",S133,set_QwilrBase&amp;S133),"Open quote"))</f>
        <v/>
      </c>
      <c r="U133" s="71" t="n"/>
      <c r="V133" s="22" t="n"/>
      <c r="W133" s="22" t="n"/>
    </row>
    <row r="134" ht="15" customHeight="1">
      <c r="A134" s="70">
        <f>IF(C134="","",IFERROR(IF(SUMPRODUCT(MAX((tbl_Finance[Job Number]&amp;""=C134&amp;"")*(tbl_Finance[Xero Invoice No]&lt;&gt;"")*tbl_Finance[Date]))=0,"",SUMPRODUCT(MAX((tbl_Finance[Job Number]&amp;""=C134&amp;"")*(tbl_Finance[Xero Invoice No]&lt;&gt;"")*tbl_Finance[Date]))),""))</f>
        <v/>
      </c>
      <c r="B134" s="26">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2" t="n"/>
      <c r="D134" s="26">
        <f>IF(C134="","",IF(COUNTIF(lst_Jobs,C134&amp;"")&gt;0,"OK","CHECK"))</f>
        <v/>
      </c>
      <c r="E134" s="26">
        <f>IF(C134="","",IFERROR(INDEX(lst_JobName,MATCH(C134&amp;"",lst_Jobs,0)),""))</f>
        <v/>
      </c>
      <c r="F134" s="22" t="n"/>
      <c r="G134" s="22" t="n"/>
      <c r="H134" s="22" t="n"/>
      <c r="I134" s="22" t="n"/>
      <c r="J134" s="22" t="n"/>
      <c r="K134" s="28">
        <f>IF(C134="","",COUNTIFS(tbl_Finance[Job Number],C134&amp;"",tbl_Finance[Ex GST],"&lt;&gt;"))</f>
        <v/>
      </c>
      <c r="L134" s="27">
        <f>IF(C134="","",SUMIFS(tbl_Finance[Ex GST],tbl_Finance[Job Number],C134&amp;""))</f>
        <v/>
      </c>
      <c r="M134" s="27">
        <f>IF(C134="","",SUMIFS(tbl_Finance[Ex GST],tbl_Finance[Job Number],C134&amp;"",tbl_Finance[Xero Invoice No],"&lt;&gt;"))</f>
        <v/>
      </c>
      <c r="N134" s="27">
        <f>IF(C134="","",L134-M134)</f>
        <v/>
      </c>
      <c r="O134" s="24" t="n"/>
      <c r="P134" s="27">
        <f>IF(C134="","",IF(O134="",0,MAX(0,O134-L134)))</f>
        <v/>
      </c>
      <c r="Q134" s="26">
        <f>IF(C134="","",IF(K134=0,"not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R134" s="22" t="n"/>
      <c r="S134" s="22" t="n"/>
      <c r="T134" s="26">
        <f>IF(S134="","",HYPERLINK(IF(LEFT(S134,4)="http",S134,set_QwilrBase&amp;S134),"Open quote"))</f>
        <v/>
      </c>
      <c r="U134" s="71" t="n"/>
      <c r="V134" s="22" t="n"/>
      <c r="W134" s="22" t="n"/>
    </row>
    <row r="135" ht="15" customHeight="1">
      <c r="A135" s="70">
        <f>IF(C135="","",IFERROR(IF(SUMPRODUCT(MAX((tbl_Finance[Job Number]&amp;""=C135&amp;"")*(tbl_Finance[Xero Invoice No]&lt;&gt;"")*tbl_Finance[Date]))=0,"",SUMPRODUCT(MAX((tbl_Finance[Job Number]&amp;""=C135&amp;"")*(tbl_Finance[Xero Invoice No]&lt;&gt;"")*tbl_Finance[Date]))),""))</f>
        <v/>
      </c>
      <c r="B135" s="26">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2" t="n"/>
      <c r="D135" s="26">
        <f>IF(C135="","",IF(COUNTIF(lst_Jobs,C135&amp;"")&gt;0,"OK","CHECK"))</f>
        <v/>
      </c>
      <c r="E135" s="26">
        <f>IF(C135="","",IFERROR(INDEX(lst_JobName,MATCH(C135&amp;"",lst_Jobs,0)),""))</f>
        <v/>
      </c>
      <c r="F135" s="22" t="n"/>
      <c r="G135" s="22" t="n"/>
      <c r="H135" s="22" t="n"/>
      <c r="I135" s="22" t="n"/>
      <c r="J135" s="22" t="n"/>
      <c r="K135" s="28">
        <f>IF(C135="","",COUNTIFS(tbl_Finance[Job Number],C135&amp;"",tbl_Finance[Ex GST],"&lt;&gt;"))</f>
        <v/>
      </c>
      <c r="L135" s="27">
        <f>IF(C135="","",SUMIFS(tbl_Finance[Ex GST],tbl_Finance[Job Number],C135&amp;""))</f>
        <v/>
      </c>
      <c r="M135" s="27">
        <f>IF(C135="","",SUMIFS(tbl_Finance[Ex GST],tbl_Finance[Job Number],C135&amp;"",tbl_Finance[Xero Invoice No],"&lt;&gt;"))</f>
        <v/>
      </c>
      <c r="N135" s="27">
        <f>IF(C135="","",L135-M135)</f>
        <v/>
      </c>
      <c r="O135" s="24" t="n"/>
      <c r="P135" s="27">
        <f>IF(C135="","",IF(O135="",0,MAX(0,O135-L135)))</f>
        <v/>
      </c>
      <c r="Q135" s="26">
        <f>IF(C135="","",IF(K135=0,"not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R135" s="22" t="n"/>
      <c r="S135" s="22" t="n"/>
      <c r="T135" s="26">
        <f>IF(S135="","",HYPERLINK(IF(LEFT(S135,4)="http",S135,set_QwilrBase&amp;S135),"Open quote"))</f>
        <v/>
      </c>
      <c r="U135" s="71" t="n"/>
      <c r="V135" s="22" t="n"/>
      <c r="W135" s="22" t="n"/>
    </row>
    <row r="136" ht="15" customHeight="1">
      <c r="A136" s="70">
        <f>IF(C136="","",IFERROR(IF(SUMPRODUCT(MAX((tbl_Finance[Job Number]&amp;""=C136&amp;"")*(tbl_Finance[Xero Invoice No]&lt;&gt;"")*tbl_Finance[Date]))=0,"",SUMPRODUCT(MAX((tbl_Finance[Job Number]&amp;""=C136&amp;"")*(tbl_Finance[Xero Invoice No]&lt;&gt;"")*tbl_Finance[Date]))),""))</f>
        <v/>
      </c>
      <c r="B136" s="26">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2" t="n"/>
      <c r="D136" s="26">
        <f>IF(C136="","",IF(COUNTIF(lst_Jobs,C136&amp;"")&gt;0,"OK","CHECK"))</f>
        <v/>
      </c>
      <c r="E136" s="26">
        <f>IF(C136="","",IFERROR(INDEX(lst_JobName,MATCH(C136&amp;"",lst_Jobs,0)),""))</f>
        <v/>
      </c>
      <c r="F136" s="22" t="n"/>
      <c r="G136" s="22" t="n"/>
      <c r="H136" s="22" t="n"/>
      <c r="I136" s="22" t="n"/>
      <c r="J136" s="22" t="n"/>
      <c r="K136" s="28">
        <f>IF(C136="","",COUNTIFS(tbl_Finance[Job Number],C136&amp;"",tbl_Finance[Ex GST],"&lt;&gt;"))</f>
        <v/>
      </c>
      <c r="L136" s="27">
        <f>IF(C136="","",SUMIFS(tbl_Finance[Ex GST],tbl_Finance[Job Number],C136&amp;""))</f>
        <v/>
      </c>
      <c r="M136" s="27">
        <f>IF(C136="","",SUMIFS(tbl_Finance[Ex GST],tbl_Finance[Job Number],C136&amp;"",tbl_Finance[Xero Invoice No],"&lt;&gt;"))</f>
        <v/>
      </c>
      <c r="N136" s="27">
        <f>IF(C136="","",L136-M136)</f>
        <v/>
      </c>
      <c r="O136" s="24" t="n"/>
      <c r="P136" s="27">
        <f>IF(C136="","",IF(O136="",0,MAX(0,O136-L136)))</f>
        <v/>
      </c>
      <c r="Q136" s="26">
        <f>IF(C136="","",IF(K136=0,"not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R136" s="22" t="n"/>
      <c r="S136" s="22" t="n"/>
      <c r="T136" s="26">
        <f>IF(S136="","",HYPERLINK(IF(LEFT(S136,4)="http",S136,set_QwilrBase&amp;S136),"Open quote"))</f>
        <v/>
      </c>
      <c r="U136" s="71" t="n"/>
      <c r="V136" s="22" t="n"/>
      <c r="W136" s="22" t="n"/>
    </row>
    <row r="137" ht="15" customHeight="1">
      <c r="A137" s="70">
        <f>IF(C137="","",IFERROR(IF(SUMPRODUCT(MAX((tbl_Finance[Job Number]&amp;""=C137&amp;"")*(tbl_Finance[Xero Invoice No]&lt;&gt;"")*tbl_Finance[Date]))=0,"",SUMPRODUCT(MAX((tbl_Finance[Job Number]&amp;""=C137&amp;"")*(tbl_Finance[Xero Invoice No]&lt;&gt;"")*tbl_Finance[Date]))),""))</f>
        <v/>
      </c>
      <c r="B137" s="26">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2" t="n"/>
      <c r="D137" s="26">
        <f>IF(C137="","",IF(COUNTIF(lst_Jobs,C137&amp;"")&gt;0,"OK","CHECK"))</f>
        <v/>
      </c>
      <c r="E137" s="26">
        <f>IF(C137="","",IFERROR(INDEX(lst_JobName,MATCH(C137&amp;"",lst_Jobs,0)),""))</f>
        <v/>
      </c>
      <c r="F137" s="22" t="n"/>
      <c r="G137" s="22" t="n"/>
      <c r="H137" s="22" t="n"/>
      <c r="I137" s="22" t="n"/>
      <c r="J137" s="22" t="n"/>
      <c r="K137" s="28">
        <f>IF(C137="","",COUNTIFS(tbl_Finance[Job Number],C137&amp;"",tbl_Finance[Ex GST],"&lt;&gt;"))</f>
        <v/>
      </c>
      <c r="L137" s="27">
        <f>IF(C137="","",SUMIFS(tbl_Finance[Ex GST],tbl_Finance[Job Number],C137&amp;""))</f>
        <v/>
      </c>
      <c r="M137" s="27">
        <f>IF(C137="","",SUMIFS(tbl_Finance[Ex GST],tbl_Finance[Job Number],C137&amp;"",tbl_Finance[Xero Invoice No],"&lt;&gt;"))</f>
        <v/>
      </c>
      <c r="N137" s="27">
        <f>IF(C137="","",L137-M137)</f>
        <v/>
      </c>
      <c r="O137" s="24" t="n"/>
      <c r="P137" s="27">
        <f>IF(C137="","",IF(O137="",0,MAX(0,O137-L137)))</f>
        <v/>
      </c>
      <c r="Q137" s="26">
        <f>IF(C137="","",IF(K137=0,"not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R137" s="22" t="n"/>
      <c r="S137" s="22" t="n"/>
      <c r="T137" s="26">
        <f>IF(S137="","",HYPERLINK(IF(LEFT(S137,4)="http",S137,set_QwilrBase&amp;S137),"Open quote"))</f>
        <v/>
      </c>
      <c r="U137" s="71" t="n"/>
      <c r="V137" s="22" t="n"/>
      <c r="W137" s="22" t="n"/>
    </row>
    <row r="138" ht="15" customHeight="1">
      <c r="A138" s="70">
        <f>IF(C138="","",IFERROR(IF(SUMPRODUCT(MAX((tbl_Finance[Job Number]&amp;""=C138&amp;"")*(tbl_Finance[Xero Invoice No]&lt;&gt;"")*tbl_Finance[Date]))=0,"",SUMPRODUCT(MAX((tbl_Finance[Job Number]&amp;""=C138&amp;"")*(tbl_Finance[Xero Invoice No]&lt;&gt;"")*tbl_Finance[Date]))),""))</f>
        <v/>
      </c>
      <c r="B138" s="26">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2" t="n"/>
      <c r="D138" s="26">
        <f>IF(C138="","",IF(COUNTIF(lst_Jobs,C138&amp;"")&gt;0,"OK","CHECK"))</f>
        <v/>
      </c>
      <c r="E138" s="26">
        <f>IF(C138="","",IFERROR(INDEX(lst_JobName,MATCH(C138&amp;"",lst_Jobs,0)),""))</f>
        <v/>
      </c>
      <c r="F138" s="22" t="n"/>
      <c r="G138" s="22" t="n"/>
      <c r="H138" s="22" t="n"/>
      <c r="I138" s="22" t="n"/>
      <c r="J138" s="22" t="n"/>
      <c r="K138" s="28">
        <f>IF(C138="","",COUNTIFS(tbl_Finance[Job Number],C138&amp;"",tbl_Finance[Ex GST],"&lt;&gt;"))</f>
        <v/>
      </c>
      <c r="L138" s="27">
        <f>IF(C138="","",SUMIFS(tbl_Finance[Ex GST],tbl_Finance[Job Number],C138&amp;""))</f>
        <v/>
      </c>
      <c r="M138" s="27">
        <f>IF(C138="","",SUMIFS(tbl_Finance[Ex GST],tbl_Finance[Job Number],C138&amp;"",tbl_Finance[Xero Invoice No],"&lt;&gt;"))</f>
        <v/>
      </c>
      <c r="N138" s="27">
        <f>IF(C138="","",L138-M138)</f>
        <v/>
      </c>
      <c r="O138" s="24" t="n"/>
      <c r="P138" s="27">
        <f>IF(C138="","",IF(O138="",0,MAX(0,O138-L138)))</f>
        <v/>
      </c>
      <c r="Q138" s="26">
        <f>IF(C138="","",IF(K138=0,"not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R138" s="22" t="n"/>
      <c r="S138" s="22" t="n"/>
      <c r="T138" s="26">
        <f>IF(S138="","",HYPERLINK(IF(LEFT(S138,4)="http",S138,set_QwilrBase&amp;S138),"Open quote"))</f>
        <v/>
      </c>
      <c r="U138" s="71" t="n"/>
      <c r="V138" s="22" t="n"/>
      <c r="W138" s="22" t="n"/>
    </row>
    <row r="139" ht="15" customHeight="1">
      <c r="A139" s="70">
        <f>IF(C139="","",IFERROR(IF(SUMPRODUCT(MAX((tbl_Finance[Job Number]&amp;""=C139&amp;"")*(tbl_Finance[Xero Invoice No]&lt;&gt;"")*tbl_Finance[Date]))=0,"",SUMPRODUCT(MAX((tbl_Finance[Job Number]&amp;""=C139&amp;"")*(tbl_Finance[Xero Invoice No]&lt;&gt;"")*tbl_Finance[Date]))),""))</f>
        <v/>
      </c>
      <c r="B139" s="26">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2" t="n"/>
      <c r="D139" s="26">
        <f>IF(C139="","",IF(COUNTIF(lst_Jobs,C139&amp;"")&gt;0,"OK","CHECK"))</f>
        <v/>
      </c>
      <c r="E139" s="26">
        <f>IF(C139="","",IFERROR(INDEX(lst_JobName,MATCH(C139&amp;"",lst_Jobs,0)),""))</f>
        <v/>
      </c>
      <c r="F139" s="22" t="n"/>
      <c r="G139" s="22" t="n"/>
      <c r="H139" s="22" t="n"/>
      <c r="I139" s="22" t="n"/>
      <c r="J139" s="22" t="n"/>
      <c r="K139" s="28">
        <f>IF(C139="","",COUNTIFS(tbl_Finance[Job Number],C139&amp;"",tbl_Finance[Ex GST],"&lt;&gt;"))</f>
        <v/>
      </c>
      <c r="L139" s="27">
        <f>IF(C139="","",SUMIFS(tbl_Finance[Ex GST],tbl_Finance[Job Number],C139&amp;""))</f>
        <v/>
      </c>
      <c r="M139" s="27">
        <f>IF(C139="","",SUMIFS(tbl_Finance[Ex GST],tbl_Finance[Job Number],C139&amp;"",tbl_Finance[Xero Invoice No],"&lt;&gt;"))</f>
        <v/>
      </c>
      <c r="N139" s="27">
        <f>IF(C139="","",L139-M139)</f>
        <v/>
      </c>
      <c r="O139" s="24" t="n"/>
      <c r="P139" s="27">
        <f>IF(C139="","",IF(O139="",0,MAX(0,O139-L139)))</f>
        <v/>
      </c>
      <c r="Q139" s="26">
        <f>IF(C139="","",IF(K139=0,"not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R139" s="22" t="n"/>
      <c r="S139" s="22" t="n"/>
      <c r="T139" s="26">
        <f>IF(S139="","",HYPERLINK(IF(LEFT(S139,4)="http",S139,set_QwilrBase&amp;S139),"Open quote"))</f>
        <v/>
      </c>
      <c r="U139" s="71" t="n"/>
      <c r="V139" s="22" t="n"/>
      <c r="W139" s="22" t="n"/>
    </row>
    <row r="140" ht="15" customHeight="1">
      <c r="A140" s="70">
        <f>IF(C140="","",IFERROR(IF(SUMPRODUCT(MAX((tbl_Finance[Job Number]&amp;""=C140&amp;"")*(tbl_Finance[Xero Invoice No]&lt;&gt;"")*tbl_Finance[Date]))=0,"",SUMPRODUCT(MAX((tbl_Finance[Job Number]&amp;""=C140&amp;"")*(tbl_Finance[Xero Invoice No]&lt;&gt;"")*tbl_Finance[Date]))),""))</f>
        <v/>
      </c>
      <c r="B140" s="26">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2" t="n"/>
      <c r="D140" s="26">
        <f>IF(C140="","",IF(COUNTIF(lst_Jobs,C140&amp;"")&gt;0,"OK","CHECK"))</f>
        <v/>
      </c>
      <c r="E140" s="26">
        <f>IF(C140="","",IFERROR(INDEX(lst_JobName,MATCH(C140&amp;"",lst_Jobs,0)),""))</f>
        <v/>
      </c>
      <c r="F140" s="22" t="n"/>
      <c r="G140" s="22" t="n"/>
      <c r="H140" s="22" t="n"/>
      <c r="I140" s="22" t="n"/>
      <c r="J140" s="22" t="n"/>
      <c r="K140" s="28">
        <f>IF(C140="","",COUNTIFS(tbl_Finance[Job Number],C140&amp;"",tbl_Finance[Ex GST],"&lt;&gt;"))</f>
        <v/>
      </c>
      <c r="L140" s="27">
        <f>IF(C140="","",SUMIFS(tbl_Finance[Ex GST],tbl_Finance[Job Number],C140&amp;""))</f>
        <v/>
      </c>
      <c r="M140" s="27">
        <f>IF(C140="","",SUMIFS(tbl_Finance[Ex GST],tbl_Finance[Job Number],C140&amp;"",tbl_Finance[Xero Invoice No],"&lt;&gt;"))</f>
        <v/>
      </c>
      <c r="N140" s="27">
        <f>IF(C140="","",L140-M140)</f>
        <v/>
      </c>
      <c r="O140" s="24" t="n"/>
      <c r="P140" s="27">
        <f>IF(C140="","",IF(O140="",0,MAX(0,O140-L140)))</f>
        <v/>
      </c>
      <c r="Q140" s="26">
        <f>IF(C140="","",IF(K140=0,"not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R140" s="22" t="n"/>
      <c r="S140" s="22" t="n"/>
      <c r="T140" s="26">
        <f>IF(S140="","",HYPERLINK(IF(LEFT(S140,4)="http",S140,set_QwilrBase&amp;S140),"Open quote"))</f>
        <v/>
      </c>
      <c r="U140" s="71" t="n"/>
      <c r="V140" s="22" t="n"/>
      <c r="W140" s="22" t="n"/>
    </row>
    <row r="141" ht="15" customHeight="1">
      <c r="A141" s="70">
        <f>IF(C141="","",IFERROR(IF(SUMPRODUCT(MAX((tbl_Finance[Job Number]&amp;""=C141&amp;"")*(tbl_Finance[Xero Invoice No]&lt;&gt;"")*tbl_Finance[Date]))=0,"",SUMPRODUCT(MAX((tbl_Finance[Job Number]&amp;""=C141&amp;"")*(tbl_Finance[Xero Invoice No]&lt;&gt;"")*tbl_Finance[Date]))),""))</f>
        <v/>
      </c>
      <c r="B141" s="26">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2" t="n"/>
      <c r="D141" s="26">
        <f>IF(C141="","",IF(COUNTIF(lst_Jobs,C141&amp;"")&gt;0,"OK","CHECK"))</f>
        <v/>
      </c>
      <c r="E141" s="26">
        <f>IF(C141="","",IFERROR(INDEX(lst_JobName,MATCH(C141&amp;"",lst_Jobs,0)),""))</f>
        <v/>
      </c>
      <c r="F141" s="22" t="n"/>
      <c r="G141" s="22" t="n"/>
      <c r="H141" s="22" t="n"/>
      <c r="I141" s="22" t="n"/>
      <c r="J141" s="22" t="n"/>
      <c r="K141" s="28">
        <f>IF(C141="","",COUNTIFS(tbl_Finance[Job Number],C141&amp;"",tbl_Finance[Ex GST],"&lt;&gt;"))</f>
        <v/>
      </c>
      <c r="L141" s="27">
        <f>IF(C141="","",SUMIFS(tbl_Finance[Ex GST],tbl_Finance[Job Number],C141&amp;""))</f>
        <v/>
      </c>
      <c r="M141" s="27">
        <f>IF(C141="","",SUMIFS(tbl_Finance[Ex GST],tbl_Finance[Job Number],C141&amp;"",tbl_Finance[Xero Invoice No],"&lt;&gt;"))</f>
        <v/>
      </c>
      <c r="N141" s="27">
        <f>IF(C141="","",L141-M141)</f>
        <v/>
      </c>
      <c r="O141" s="24" t="n"/>
      <c r="P141" s="27">
        <f>IF(C141="","",IF(O141="",0,MAX(0,O141-L141)))</f>
        <v/>
      </c>
      <c r="Q141" s="26">
        <f>IF(C141="","",IF(K141=0,"not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R141" s="22" t="n"/>
      <c r="S141" s="22" t="n"/>
      <c r="T141" s="26">
        <f>IF(S141="","",HYPERLINK(IF(LEFT(S141,4)="http",S141,set_QwilrBase&amp;S141),"Open quote"))</f>
        <v/>
      </c>
      <c r="U141" s="71" t="n"/>
      <c r="V141" s="22" t="n"/>
      <c r="W141" s="22" t="n"/>
    </row>
    <row r="142" ht="15" customHeight="1">
      <c r="A142" s="70">
        <f>IF(C142="","",IFERROR(IF(SUMPRODUCT(MAX((tbl_Finance[Job Number]&amp;""=C142&amp;"")*(tbl_Finance[Xero Invoice No]&lt;&gt;"")*tbl_Finance[Date]))=0,"",SUMPRODUCT(MAX((tbl_Finance[Job Number]&amp;""=C142&amp;"")*(tbl_Finance[Xero Invoice No]&lt;&gt;"")*tbl_Finance[Date]))),""))</f>
        <v/>
      </c>
      <c r="B142" s="26">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2" t="n"/>
      <c r="D142" s="26">
        <f>IF(C142="","",IF(COUNTIF(lst_Jobs,C142&amp;"")&gt;0,"OK","CHECK"))</f>
        <v/>
      </c>
      <c r="E142" s="26">
        <f>IF(C142="","",IFERROR(INDEX(lst_JobName,MATCH(C142&amp;"",lst_Jobs,0)),""))</f>
        <v/>
      </c>
      <c r="F142" s="22" t="n"/>
      <c r="G142" s="22" t="n"/>
      <c r="H142" s="22" t="n"/>
      <c r="I142" s="22" t="n"/>
      <c r="J142" s="22" t="n"/>
      <c r="K142" s="28">
        <f>IF(C142="","",COUNTIFS(tbl_Finance[Job Number],C142&amp;"",tbl_Finance[Ex GST],"&lt;&gt;"))</f>
        <v/>
      </c>
      <c r="L142" s="27">
        <f>IF(C142="","",SUMIFS(tbl_Finance[Ex GST],tbl_Finance[Job Number],C142&amp;""))</f>
        <v/>
      </c>
      <c r="M142" s="27">
        <f>IF(C142="","",SUMIFS(tbl_Finance[Ex GST],tbl_Finance[Job Number],C142&amp;"",tbl_Finance[Xero Invoice No],"&lt;&gt;"))</f>
        <v/>
      </c>
      <c r="N142" s="27">
        <f>IF(C142="","",L142-M142)</f>
        <v/>
      </c>
      <c r="O142" s="24" t="n"/>
      <c r="P142" s="27">
        <f>IF(C142="","",IF(O142="",0,MAX(0,O142-L142)))</f>
        <v/>
      </c>
      <c r="Q142" s="26">
        <f>IF(C142="","",IF(K142=0,"not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R142" s="22" t="n"/>
      <c r="S142" s="22" t="n"/>
      <c r="T142" s="26">
        <f>IF(S142="","",HYPERLINK(IF(LEFT(S142,4)="http",S142,set_QwilrBase&amp;S142),"Open quote"))</f>
        <v/>
      </c>
      <c r="U142" s="71" t="n"/>
      <c r="V142" s="22" t="n"/>
      <c r="W142" s="22" t="n"/>
    </row>
    <row r="143" ht="15" customHeight="1">
      <c r="A143" s="70">
        <f>IF(C143="","",IFERROR(IF(SUMPRODUCT(MAX((tbl_Finance[Job Number]&amp;""=C143&amp;"")*(tbl_Finance[Xero Invoice No]&lt;&gt;"")*tbl_Finance[Date]))=0,"",SUMPRODUCT(MAX((tbl_Finance[Job Number]&amp;""=C143&amp;"")*(tbl_Finance[Xero Invoice No]&lt;&gt;"")*tbl_Finance[Date]))),""))</f>
        <v/>
      </c>
      <c r="B143" s="26">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2" t="n"/>
      <c r="D143" s="26">
        <f>IF(C143="","",IF(COUNTIF(lst_Jobs,C143&amp;"")&gt;0,"OK","CHECK"))</f>
        <v/>
      </c>
      <c r="E143" s="26">
        <f>IF(C143="","",IFERROR(INDEX(lst_JobName,MATCH(C143&amp;"",lst_Jobs,0)),""))</f>
        <v/>
      </c>
      <c r="F143" s="22" t="n"/>
      <c r="G143" s="22" t="n"/>
      <c r="H143" s="22" t="n"/>
      <c r="I143" s="22" t="n"/>
      <c r="J143" s="22" t="n"/>
      <c r="K143" s="28">
        <f>IF(C143="","",COUNTIFS(tbl_Finance[Job Number],C143&amp;"",tbl_Finance[Ex GST],"&lt;&gt;"))</f>
        <v/>
      </c>
      <c r="L143" s="27">
        <f>IF(C143="","",SUMIFS(tbl_Finance[Ex GST],tbl_Finance[Job Number],C143&amp;""))</f>
        <v/>
      </c>
      <c r="M143" s="27">
        <f>IF(C143="","",SUMIFS(tbl_Finance[Ex GST],tbl_Finance[Job Number],C143&amp;"",tbl_Finance[Xero Invoice No],"&lt;&gt;"))</f>
        <v/>
      </c>
      <c r="N143" s="27">
        <f>IF(C143="","",L143-M143)</f>
        <v/>
      </c>
      <c r="O143" s="24" t="n"/>
      <c r="P143" s="27">
        <f>IF(C143="","",IF(O143="",0,MAX(0,O143-L143)))</f>
        <v/>
      </c>
      <c r="Q143" s="26">
        <f>IF(C143="","",IF(K143=0,"not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R143" s="22" t="n"/>
      <c r="S143" s="22" t="n"/>
      <c r="T143" s="26">
        <f>IF(S143="","",HYPERLINK(IF(LEFT(S143,4)="http",S143,set_QwilrBase&amp;S143),"Open quote"))</f>
        <v/>
      </c>
      <c r="U143" s="71" t="n"/>
      <c r="V143" s="22" t="n"/>
      <c r="W143" s="22" t="n"/>
    </row>
    <row r="144" ht="15" customHeight="1">
      <c r="A144" s="70">
        <f>IF(C144="","",IFERROR(IF(SUMPRODUCT(MAX((tbl_Finance[Job Number]&amp;""=C144&amp;"")*(tbl_Finance[Xero Invoice No]&lt;&gt;"")*tbl_Finance[Date]))=0,"",SUMPRODUCT(MAX((tbl_Finance[Job Number]&amp;""=C144&amp;"")*(tbl_Finance[Xero Invoice No]&lt;&gt;"")*tbl_Finance[Date]))),""))</f>
        <v/>
      </c>
      <c r="B144" s="26">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2" t="n"/>
      <c r="D144" s="26">
        <f>IF(C144="","",IF(COUNTIF(lst_Jobs,C144&amp;"")&gt;0,"OK","CHECK"))</f>
        <v/>
      </c>
      <c r="E144" s="26">
        <f>IF(C144="","",IFERROR(INDEX(lst_JobName,MATCH(C144&amp;"",lst_Jobs,0)),""))</f>
        <v/>
      </c>
      <c r="F144" s="22" t="n"/>
      <c r="G144" s="22" t="n"/>
      <c r="H144" s="22" t="n"/>
      <c r="I144" s="22" t="n"/>
      <c r="J144" s="22" t="n"/>
      <c r="K144" s="28">
        <f>IF(C144="","",COUNTIFS(tbl_Finance[Job Number],C144&amp;"",tbl_Finance[Ex GST],"&lt;&gt;"))</f>
        <v/>
      </c>
      <c r="L144" s="27">
        <f>IF(C144="","",SUMIFS(tbl_Finance[Ex GST],tbl_Finance[Job Number],C144&amp;""))</f>
        <v/>
      </c>
      <c r="M144" s="27">
        <f>IF(C144="","",SUMIFS(tbl_Finance[Ex GST],tbl_Finance[Job Number],C144&amp;"",tbl_Finance[Xero Invoice No],"&lt;&gt;"))</f>
        <v/>
      </c>
      <c r="N144" s="27">
        <f>IF(C144="","",L144-M144)</f>
        <v/>
      </c>
      <c r="O144" s="24" t="n"/>
      <c r="P144" s="27">
        <f>IF(C144="","",IF(O144="",0,MAX(0,O144-L144)))</f>
        <v/>
      </c>
      <c r="Q144" s="26">
        <f>IF(C144="","",IF(K144=0,"not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R144" s="22" t="n"/>
      <c r="S144" s="22" t="n"/>
      <c r="T144" s="26">
        <f>IF(S144="","",HYPERLINK(IF(LEFT(S144,4)="http",S144,set_QwilrBase&amp;S144),"Open quote"))</f>
        <v/>
      </c>
      <c r="U144" s="71" t="n"/>
      <c r="V144" s="22" t="n"/>
      <c r="W144" s="22" t="n"/>
    </row>
    <row r="145" ht="15" customHeight="1">
      <c r="A145" s="70">
        <f>IF(C145="","",IFERROR(IF(SUMPRODUCT(MAX((tbl_Finance[Job Number]&amp;""=C145&amp;"")*(tbl_Finance[Xero Invoice No]&lt;&gt;"")*tbl_Finance[Date]))=0,"",SUMPRODUCT(MAX((tbl_Finance[Job Number]&amp;""=C145&amp;"")*(tbl_Finance[Xero Invoice No]&lt;&gt;"")*tbl_Finance[Date]))),""))</f>
        <v/>
      </c>
      <c r="B145" s="26">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2" t="n"/>
      <c r="D145" s="26">
        <f>IF(C145="","",IF(COUNTIF(lst_Jobs,C145&amp;"")&gt;0,"OK","CHECK"))</f>
        <v/>
      </c>
      <c r="E145" s="26">
        <f>IF(C145="","",IFERROR(INDEX(lst_JobName,MATCH(C145&amp;"",lst_Jobs,0)),""))</f>
        <v/>
      </c>
      <c r="F145" s="22" t="n"/>
      <c r="G145" s="22" t="n"/>
      <c r="H145" s="22" t="n"/>
      <c r="I145" s="22" t="n"/>
      <c r="J145" s="22" t="n"/>
      <c r="K145" s="28">
        <f>IF(C145="","",COUNTIFS(tbl_Finance[Job Number],C145&amp;"",tbl_Finance[Ex GST],"&lt;&gt;"))</f>
        <v/>
      </c>
      <c r="L145" s="27">
        <f>IF(C145="","",SUMIFS(tbl_Finance[Ex GST],tbl_Finance[Job Number],C145&amp;""))</f>
        <v/>
      </c>
      <c r="M145" s="27">
        <f>IF(C145="","",SUMIFS(tbl_Finance[Ex GST],tbl_Finance[Job Number],C145&amp;"",tbl_Finance[Xero Invoice No],"&lt;&gt;"))</f>
        <v/>
      </c>
      <c r="N145" s="27">
        <f>IF(C145="","",L145-M145)</f>
        <v/>
      </c>
      <c r="O145" s="24" t="n"/>
      <c r="P145" s="27">
        <f>IF(C145="","",IF(O145="",0,MAX(0,O145-L145)))</f>
        <v/>
      </c>
      <c r="Q145" s="26">
        <f>IF(C145="","",IF(K145=0,"not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R145" s="22" t="n"/>
      <c r="S145" s="22" t="n"/>
      <c r="T145" s="26">
        <f>IF(S145="","",HYPERLINK(IF(LEFT(S145,4)="http",S145,set_QwilrBase&amp;S145),"Open quote"))</f>
        <v/>
      </c>
      <c r="U145" s="71" t="n"/>
      <c r="V145" s="22" t="n"/>
      <c r="W145" s="22" t="n"/>
    </row>
    <row r="146" ht="15" customHeight="1">
      <c r="A146" s="70">
        <f>IF(C146="","",IFERROR(IF(SUMPRODUCT(MAX((tbl_Finance[Job Number]&amp;""=C146&amp;"")*(tbl_Finance[Xero Invoice No]&lt;&gt;"")*tbl_Finance[Date]))=0,"",SUMPRODUCT(MAX((tbl_Finance[Job Number]&amp;""=C146&amp;"")*(tbl_Finance[Xero Invoice No]&lt;&gt;"")*tbl_Finance[Date]))),""))</f>
        <v/>
      </c>
      <c r="B146" s="26">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2" t="n"/>
      <c r="D146" s="26">
        <f>IF(C146="","",IF(COUNTIF(lst_Jobs,C146&amp;"")&gt;0,"OK","CHECK"))</f>
        <v/>
      </c>
      <c r="E146" s="26">
        <f>IF(C146="","",IFERROR(INDEX(lst_JobName,MATCH(C146&amp;"",lst_Jobs,0)),""))</f>
        <v/>
      </c>
      <c r="F146" s="22" t="n"/>
      <c r="G146" s="22" t="n"/>
      <c r="H146" s="22" t="n"/>
      <c r="I146" s="22" t="n"/>
      <c r="J146" s="22" t="n"/>
      <c r="K146" s="28">
        <f>IF(C146="","",COUNTIFS(tbl_Finance[Job Number],C146&amp;"",tbl_Finance[Ex GST],"&lt;&gt;"))</f>
        <v/>
      </c>
      <c r="L146" s="27">
        <f>IF(C146="","",SUMIFS(tbl_Finance[Ex GST],tbl_Finance[Job Number],C146&amp;""))</f>
        <v/>
      </c>
      <c r="M146" s="27">
        <f>IF(C146="","",SUMIFS(tbl_Finance[Ex GST],tbl_Finance[Job Number],C146&amp;"",tbl_Finance[Xero Invoice No],"&lt;&gt;"))</f>
        <v/>
      </c>
      <c r="N146" s="27">
        <f>IF(C146="","",L146-M146)</f>
        <v/>
      </c>
      <c r="O146" s="24" t="n"/>
      <c r="P146" s="27">
        <f>IF(C146="","",IF(O146="",0,MAX(0,O146-L146)))</f>
        <v/>
      </c>
      <c r="Q146" s="26">
        <f>IF(C146="","",IF(K146=0,"not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R146" s="22" t="n"/>
      <c r="S146" s="22" t="n"/>
      <c r="T146" s="26">
        <f>IF(S146="","",HYPERLINK(IF(LEFT(S146,4)="http",S146,set_QwilrBase&amp;S146),"Open quote"))</f>
        <v/>
      </c>
      <c r="U146" s="71" t="n"/>
      <c r="V146" s="22" t="n"/>
      <c r="W146" s="22" t="n"/>
    </row>
    <row r="147" ht="15" customHeight="1">
      <c r="A147" s="70">
        <f>IF(C147="","",IFERROR(IF(SUMPRODUCT(MAX((tbl_Finance[Job Number]&amp;""=C147&amp;"")*(tbl_Finance[Xero Invoice No]&lt;&gt;"")*tbl_Finance[Date]))=0,"",SUMPRODUCT(MAX((tbl_Finance[Job Number]&amp;""=C147&amp;"")*(tbl_Finance[Xero Invoice No]&lt;&gt;"")*tbl_Finance[Date]))),""))</f>
        <v/>
      </c>
      <c r="B147" s="26">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2" t="n"/>
      <c r="D147" s="26">
        <f>IF(C147="","",IF(COUNTIF(lst_Jobs,C147&amp;"")&gt;0,"OK","CHECK"))</f>
        <v/>
      </c>
      <c r="E147" s="26">
        <f>IF(C147="","",IFERROR(INDEX(lst_JobName,MATCH(C147&amp;"",lst_Jobs,0)),""))</f>
        <v/>
      </c>
      <c r="F147" s="22" t="n"/>
      <c r="G147" s="22" t="n"/>
      <c r="H147" s="22" t="n"/>
      <c r="I147" s="22" t="n"/>
      <c r="J147" s="22" t="n"/>
      <c r="K147" s="28">
        <f>IF(C147="","",COUNTIFS(tbl_Finance[Job Number],C147&amp;"",tbl_Finance[Ex GST],"&lt;&gt;"))</f>
        <v/>
      </c>
      <c r="L147" s="27">
        <f>IF(C147="","",SUMIFS(tbl_Finance[Ex GST],tbl_Finance[Job Number],C147&amp;""))</f>
        <v/>
      </c>
      <c r="M147" s="27">
        <f>IF(C147="","",SUMIFS(tbl_Finance[Ex GST],tbl_Finance[Job Number],C147&amp;"",tbl_Finance[Xero Invoice No],"&lt;&gt;"))</f>
        <v/>
      </c>
      <c r="N147" s="27">
        <f>IF(C147="","",L147-M147)</f>
        <v/>
      </c>
      <c r="O147" s="24" t="n"/>
      <c r="P147" s="27">
        <f>IF(C147="","",IF(O147="",0,MAX(0,O147-L147)))</f>
        <v/>
      </c>
      <c r="Q147" s="26">
        <f>IF(C147="","",IF(K147=0,"not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R147" s="22" t="n"/>
      <c r="S147" s="22" t="n"/>
      <c r="T147" s="26">
        <f>IF(S147="","",HYPERLINK(IF(LEFT(S147,4)="http",S147,set_QwilrBase&amp;S147),"Open quote"))</f>
        <v/>
      </c>
      <c r="U147" s="71" t="n"/>
      <c r="V147" s="22" t="n"/>
      <c r="W147" s="22" t="n"/>
    </row>
    <row r="148" ht="15" customHeight="1">
      <c r="A148" s="70">
        <f>IF(C148="","",IFERROR(IF(SUMPRODUCT(MAX((tbl_Finance[Job Number]&amp;""=C148&amp;"")*(tbl_Finance[Xero Invoice No]&lt;&gt;"")*tbl_Finance[Date]))=0,"",SUMPRODUCT(MAX((tbl_Finance[Job Number]&amp;""=C148&amp;"")*(tbl_Finance[Xero Invoice No]&lt;&gt;"")*tbl_Finance[Date]))),""))</f>
        <v/>
      </c>
      <c r="B148" s="26">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2" t="n"/>
      <c r="D148" s="26">
        <f>IF(C148="","",IF(COUNTIF(lst_Jobs,C148&amp;"")&gt;0,"OK","CHECK"))</f>
        <v/>
      </c>
      <c r="E148" s="26">
        <f>IF(C148="","",IFERROR(INDEX(lst_JobName,MATCH(C148&amp;"",lst_Jobs,0)),""))</f>
        <v/>
      </c>
      <c r="F148" s="22" t="n"/>
      <c r="G148" s="22" t="n"/>
      <c r="H148" s="22" t="n"/>
      <c r="I148" s="22" t="n"/>
      <c r="J148" s="22" t="n"/>
      <c r="K148" s="28">
        <f>IF(C148="","",COUNTIFS(tbl_Finance[Job Number],C148&amp;"",tbl_Finance[Ex GST],"&lt;&gt;"))</f>
        <v/>
      </c>
      <c r="L148" s="27">
        <f>IF(C148="","",SUMIFS(tbl_Finance[Ex GST],tbl_Finance[Job Number],C148&amp;""))</f>
        <v/>
      </c>
      <c r="M148" s="27">
        <f>IF(C148="","",SUMIFS(tbl_Finance[Ex GST],tbl_Finance[Job Number],C148&amp;"",tbl_Finance[Xero Invoice No],"&lt;&gt;"))</f>
        <v/>
      </c>
      <c r="N148" s="27">
        <f>IF(C148="","",L148-M148)</f>
        <v/>
      </c>
      <c r="O148" s="24" t="n"/>
      <c r="P148" s="27">
        <f>IF(C148="","",IF(O148="",0,MAX(0,O148-L148)))</f>
        <v/>
      </c>
      <c r="Q148" s="26">
        <f>IF(C148="","",IF(K148=0,"not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R148" s="22" t="n"/>
      <c r="S148" s="22" t="n"/>
      <c r="T148" s="26">
        <f>IF(S148="","",HYPERLINK(IF(LEFT(S148,4)="http",S148,set_QwilrBase&amp;S148),"Open quote"))</f>
        <v/>
      </c>
      <c r="U148" s="71" t="n"/>
      <c r="V148" s="22" t="n"/>
      <c r="W148" s="22" t="n"/>
    </row>
    <row r="149" ht="15" customHeight="1">
      <c r="A149" s="70">
        <f>IF(C149="","",IFERROR(IF(SUMPRODUCT(MAX((tbl_Finance[Job Number]&amp;""=C149&amp;"")*(tbl_Finance[Xero Invoice No]&lt;&gt;"")*tbl_Finance[Date]))=0,"",SUMPRODUCT(MAX((tbl_Finance[Job Number]&amp;""=C149&amp;"")*(tbl_Finance[Xero Invoice No]&lt;&gt;"")*tbl_Finance[Date]))),""))</f>
        <v/>
      </c>
      <c r="B149" s="26">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2" t="n"/>
      <c r="D149" s="26">
        <f>IF(C149="","",IF(COUNTIF(lst_Jobs,C149&amp;"")&gt;0,"OK","CHECK"))</f>
        <v/>
      </c>
      <c r="E149" s="26">
        <f>IF(C149="","",IFERROR(INDEX(lst_JobName,MATCH(C149&amp;"",lst_Jobs,0)),""))</f>
        <v/>
      </c>
      <c r="F149" s="22" t="n"/>
      <c r="G149" s="22" t="n"/>
      <c r="H149" s="22" t="n"/>
      <c r="I149" s="22" t="n"/>
      <c r="J149" s="22" t="n"/>
      <c r="K149" s="28">
        <f>IF(C149="","",COUNTIFS(tbl_Finance[Job Number],C149&amp;"",tbl_Finance[Ex GST],"&lt;&gt;"))</f>
        <v/>
      </c>
      <c r="L149" s="27">
        <f>IF(C149="","",SUMIFS(tbl_Finance[Ex GST],tbl_Finance[Job Number],C149&amp;""))</f>
        <v/>
      </c>
      <c r="M149" s="27">
        <f>IF(C149="","",SUMIFS(tbl_Finance[Ex GST],tbl_Finance[Job Number],C149&amp;"",tbl_Finance[Xero Invoice No],"&lt;&gt;"))</f>
        <v/>
      </c>
      <c r="N149" s="27">
        <f>IF(C149="","",L149-M149)</f>
        <v/>
      </c>
      <c r="O149" s="24" t="n"/>
      <c r="P149" s="27">
        <f>IF(C149="","",IF(O149="",0,MAX(0,O149-L149)))</f>
        <v/>
      </c>
      <c r="Q149" s="26">
        <f>IF(C149="","",IF(K149=0,"not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R149" s="22" t="n"/>
      <c r="S149" s="22" t="n"/>
      <c r="T149" s="26">
        <f>IF(S149="","",HYPERLINK(IF(LEFT(S149,4)="http",S149,set_QwilrBase&amp;S149),"Open quote"))</f>
        <v/>
      </c>
      <c r="U149" s="71" t="n"/>
      <c r="V149" s="22" t="n"/>
      <c r="W149" s="22" t="n"/>
    </row>
    <row r="150" ht="15" customHeight="1">
      <c r="A150" s="70">
        <f>IF(C150="","",IFERROR(IF(SUMPRODUCT(MAX((tbl_Finance[Job Number]&amp;""=C150&amp;"")*(tbl_Finance[Xero Invoice No]&lt;&gt;"")*tbl_Finance[Date]))=0,"",SUMPRODUCT(MAX((tbl_Finance[Job Number]&amp;""=C150&amp;"")*(tbl_Finance[Xero Invoice No]&lt;&gt;"")*tbl_Finance[Date]))),""))</f>
        <v/>
      </c>
      <c r="B150" s="26">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2" t="n"/>
      <c r="D150" s="26">
        <f>IF(C150="","",IF(COUNTIF(lst_Jobs,C150&amp;"")&gt;0,"OK","CHECK"))</f>
        <v/>
      </c>
      <c r="E150" s="26">
        <f>IF(C150="","",IFERROR(INDEX(lst_JobName,MATCH(C150&amp;"",lst_Jobs,0)),""))</f>
        <v/>
      </c>
      <c r="F150" s="22" t="n"/>
      <c r="G150" s="22" t="n"/>
      <c r="H150" s="22" t="n"/>
      <c r="I150" s="22" t="n"/>
      <c r="J150" s="22" t="n"/>
      <c r="K150" s="28">
        <f>IF(C150="","",COUNTIFS(tbl_Finance[Job Number],C150&amp;"",tbl_Finance[Ex GST],"&lt;&gt;"))</f>
        <v/>
      </c>
      <c r="L150" s="27">
        <f>IF(C150="","",SUMIFS(tbl_Finance[Ex GST],tbl_Finance[Job Number],C150&amp;""))</f>
        <v/>
      </c>
      <c r="M150" s="27">
        <f>IF(C150="","",SUMIFS(tbl_Finance[Ex GST],tbl_Finance[Job Number],C150&amp;"",tbl_Finance[Xero Invoice No],"&lt;&gt;"))</f>
        <v/>
      </c>
      <c r="N150" s="27">
        <f>IF(C150="","",L150-M150)</f>
        <v/>
      </c>
      <c r="O150" s="24" t="n"/>
      <c r="P150" s="27">
        <f>IF(C150="","",IF(O150="",0,MAX(0,O150-L150)))</f>
        <v/>
      </c>
      <c r="Q150" s="26">
        <f>IF(C150="","",IF(K150=0,"not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R150" s="22" t="n"/>
      <c r="S150" s="22" t="n"/>
      <c r="T150" s="26">
        <f>IF(S150="","",HYPERLINK(IF(LEFT(S150,4)="http",S150,set_QwilrBase&amp;S150),"Open quote"))</f>
        <v/>
      </c>
      <c r="U150" s="71" t="n"/>
      <c r="V150" s="22" t="n"/>
      <c r="W150" s="22" t="n"/>
    </row>
    <row r="151" ht="15" customHeight="1">
      <c r="A151" s="70">
        <f>IF(C151="","",IFERROR(IF(SUMPRODUCT(MAX((tbl_Finance[Job Number]&amp;""=C151&amp;"")*(tbl_Finance[Xero Invoice No]&lt;&gt;"")*tbl_Finance[Date]))=0,"",SUMPRODUCT(MAX((tbl_Finance[Job Number]&amp;""=C151&amp;"")*(tbl_Finance[Xero Invoice No]&lt;&gt;"")*tbl_Finance[Date]))),""))</f>
        <v/>
      </c>
      <c r="B151" s="26">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2" t="n"/>
      <c r="D151" s="26">
        <f>IF(C151="","",IF(COUNTIF(lst_Jobs,C151&amp;"")&gt;0,"OK","CHECK"))</f>
        <v/>
      </c>
      <c r="E151" s="26">
        <f>IF(C151="","",IFERROR(INDEX(lst_JobName,MATCH(C151&amp;"",lst_Jobs,0)),""))</f>
        <v/>
      </c>
      <c r="F151" s="22" t="n"/>
      <c r="G151" s="22" t="n"/>
      <c r="H151" s="22" t="n"/>
      <c r="I151" s="22" t="n"/>
      <c r="J151" s="22" t="n"/>
      <c r="K151" s="28">
        <f>IF(C151="","",COUNTIFS(tbl_Finance[Job Number],C151&amp;"",tbl_Finance[Ex GST],"&lt;&gt;"))</f>
        <v/>
      </c>
      <c r="L151" s="27">
        <f>IF(C151="","",SUMIFS(tbl_Finance[Ex GST],tbl_Finance[Job Number],C151&amp;""))</f>
        <v/>
      </c>
      <c r="M151" s="27">
        <f>IF(C151="","",SUMIFS(tbl_Finance[Ex GST],tbl_Finance[Job Number],C151&amp;"",tbl_Finance[Xero Invoice No],"&lt;&gt;"))</f>
        <v/>
      </c>
      <c r="N151" s="27">
        <f>IF(C151="","",L151-M151)</f>
        <v/>
      </c>
      <c r="O151" s="24" t="n"/>
      <c r="P151" s="27">
        <f>IF(C151="","",IF(O151="",0,MAX(0,O151-L151)))</f>
        <v/>
      </c>
      <c r="Q151" s="26">
        <f>IF(C151="","",IF(K151=0,"not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R151" s="22" t="n"/>
      <c r="S151" s="22" t="n"/>
      <c r="T151" s="26">
        <f>IF(S151="","",HYPERLINK(IF(LEFT(S151,4)="http",S151,set_QwilrBase&amp;S151),"Open quote"))</f>
        <v/>
      </c>
      <c r="U151" s="71" t="n"/>
      <c r="V151" s="22" t="n"/>
      <c r="W151" s="22" t="n"/>
    </row>
    <row r="152" ht="15" customHeight="1">
      <c r="A152" s="70">
        <f>IF(C152="","",IFERROR(IF(SUMPRODUCT(MAX((tbl_Finance[Job Number]&amp;""=C152&amp;"")*(tbl_Finance[Xero Invoice No]&lt;&gt;"")*tbl_Finance[Date]))=0,"",SUMPRODUCT(MAX((tbl_Finance[Job Number]&amp;""=C152&amp;"")*(tbl_Finance[Xero Invoice No]&lt;&gt;"")*tbl_Finance[Date]))),""))</f>
        <v/>
      </c>
      <c r="B152" s="26">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2" t="n"/>
      <c r="D152" s="26">
        <f>IF(C152="","",IF(COUNTIF(lst_Jobs,C152&amp;"")&gt;0,"OK","CHECK"))</f>
        <v/>
      </c>
      <c r="E152" s="26">
        <f>IF(C152="","",IFERROR(INDEX(lst_JobName,MATCH(C152&amp;"",lst_Jobs,0)),""))</f>
        <v/>
      </c>
      <c r="F152" s="22" t="n"/>
      <c r="G152" s="22" t="n"/>
      <c r="H152" s="22" t="n"/>
      <c r="I152" s="22" t="n"/>
      <c r="J152" s="22" t="n"/>
      <c r="K152" s="28">
        <f>IF(C152="","",COUNTIFS(tbl_Finance[Job Number],C152&amp;"",tbl_Finance[Ex GST],"&lt;&gt;"))</f>
        <v/>
      </c>
      <c r="L152" s="27">
        <f>IF(C152="","",SUMIFS(tbl_Finance[Ex GST],tbl_Finance[Job Number],C152&amp;""))</f>
        <v/>
      </c>
      <c r="M152" s="27">
        <f>IF(C152="","",SUMIFS(tbl_Finance[Ex GST],tbl_Finance[Job Number],C152&amp;"",tbl_Finance[Xero Invoice No],"&lt;&gt;"))</f>
        <v/>
      </c>
      <c r="N152" s="27">
        <f>IF(C152="","",L152-M152)</f>
        <v/>
      </c>
      <c r="O152" s="24" t="n"/>
      <c r="P152" s="27">
        <f>IF(C152="","",IF(O152="",0,MAX(0,O152-L152)))</f>
        <v/>
      </c>
      <c r="Q152" s="26">
        <f>IF(C152="","",IF(K152=0,"not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R152" s="22" t="n"/>
      <c r="S152" s="22" t="n"/>
      <c r="T152" s="26">
        <f>IF(S152="","",HYPERLINK(IF(LEFT(S152,4)="http",S152,set_QwilrBase&amp;S152),"Open quote"))</f>
        <v/>
      </c>
      <c r="U152" s="71" t="n"/>
      <c r="V152" s="22" t="n"/>
      <c r="W152" s="22" t="n"/>
    </row>
    <row r="153" ht="15" customHeight="1">
      <c r="A153" s="70">
        <f>IF(C153="","",IFERROR(IF(SUMPRODUCT(MAX((tbl_Finance[Job Number]&amp;""=C153&amp;"")*(tbl_Finance[Xero Invoice No]&lt;&gt;"")*tbl_Finance[Date]))=0,"",SUMPRODUCT(MAX((tbl_Finance[Job Number]&amp;""=C153&amp;"")*(tbl_Finance[Xero Invoice No]&lt;&gt;"")*tbl_Finance[Date]))),""))</f>
        <v/>
      </c>
      <c r="B153" s="26">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2" t="n"/>
      <c r="D153" s="26">
        <f>IF(C153="","",IF(COUNTIF(lst_Jobs,C153&amp;"")&gt;0,"OK","CHECK"))</f>
        <v/>
      </c>
      <c r="E153" s="26">
        <f>IF(C153="","",IFERROR(INDEX(lst_JobName,MATCH(C153&amp;"",lst_Jobs,0)),""))</f>
        <v/>
      </c>
      <c r="F153" s="22" t="n"/>
      <c r="G153" s="22" t="n"/>
      <c r="H153" s="22" t="n"/>
      <c r="I153" s="22" t="n"/>
      <c r="J153" s="22" t="n"/>
      <c r="K153" s="28">
        <f>IF(C153="","",COUNTIFS(tbl_Finance[Job Number],C153&amp;"",tbl_Finance[Ex GST],"&lt;&gt;"))</f>
        <v/>
      </c>
      <c r="L153" s="27">
        <f>IF(C153="","",SUMIFS(tbl_Finance[Ex GST],tbl_Finance[Job Number],C153&amp;""))</f>
        <v/>
      </c>
      <c r="M153" s="27">
        <f>IF(C153="","",SUMIFS(tbl_Finance[Ex GST],tbl_Finance[Job Number],C153&amp;"",tbl_Finance[Xero Invoice No],"&lt;&gt;"))</f>
        <v/>
      </c>
      <c r="N153" s="27">
        <f>IF(C153="","",L153-M153)</f>
        <v/>
      </c>
      <c r="O153" s="24" t="n"/>
      <c r="P153" s="27">
        <f>IF(C153="","",IF(O153="",0,MAX(0,O153-L153)))</f>
        <v/>
      </c>
      <c r="Q153" s="26">
        <f>IF(C153="","",IF(K153=0,"not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R153" s="22" t="n"/>
      <c r="S153" s="22" t="n"/>
      <c r="T153" s="26">
        <f>IF(S153="","",HYPERLINK(IF(LEFT(S153,4)="http",S153,set_QwilrBase&amp;S153),"Open quote"))</f>
        <v/>
      </c>
      <c r="U153" s="71" t="n"/>
      <c r="V153" s="22" t="n"/>
      <c r="W153" s="22" t="n"/>
    </row>
    <row r="154" ht="15" customHeight="1">
      <c r="A154" s="70">
        <f>IF(C154="","",IFERROR(IF(SUMPRODUCT(MAX((tbl_Finance[Job Number]&amp;""=C154&amp;"")*(tbl_Finance[Xero Invoice No]&lt;&gt;"")*tbl_Finance[Date]))=0,"",SUMPRODUCT(MAX((tbl_Finance[Job Number]&amp;""=C154&amp;"")*(tbl_Finance[Xero Invoice No]&lt;&gt;"")*tbl_Finance[Date]))),""))</f>
        <v/>
      </c>
      <c r="B154" s="26">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2" t="n"/>
      <c r="D154" s="26">
        <f>IF(C154="","",IF(COUNTIF(lst_Jobs,C154&amp;"")&gt;0,"OK","CHECK"))</f>
        <v/>
      </c>
      <c r="E154" s="26">
        <f>IF(C154="","",IFERROR(INDEX(lst_JobName,MATCH(C154&amp;"",lst_Jobs,0)),""))</f>
        <v/>
      </c>
      <c r="F154" s="22" t="n"/>
      <c r="G154" s="22" t="n"/>
      <c r="H154" s="22" t="n"/>
      <c r="I154" s="22" t="n"/>
      <c r="J154" s="22" t="n"/>
      <c r="K154" s="28">
        <f>IF(C154="","",COUNTIFS(tbl_Finance[Job Number],C154&amp;"",tbl_Finance[Ex GST],"&lt;&gt;"))</f>
        <v/>
      </c>
      <c r="L154" s="27">
        <f>IF(C154="","",SUMIFS(tbl_Finance[Ex GST],tbl_Finance[Job Number],C154&amp;""))</f>
        <v/>
      </c>
      <c r="M154" s="27">
        <f>IF(C154="","",SUMIFS(tbl_Finance[Ex GST],tbl_Finance[Job Number],C154&amp;"",tbl_Finance[Xero Invoice No],"&lt;&gt;"))</f>
        <v/>
      </c>
      <c r="N154" s="27">
        <f>IF(C154="","",L154-M154)</f>
        <v/>
      </c>
      <c r="O154" s="24" t="n"/>
      <c r="P154" s="27">
        <f>IF(C154="","",IF(O154="",0,MAX(0,O154-L154)))</f>
        <v/>
      </c>
      <c r="Q154" s="26">
        <f>IF(C154="","",IF(K154=0,"not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R154" s="22" t="n"/>
      <c r="S154" s="22" t="n"/>
      <c r="T154" s="26">
        <f>IF(S154="","",HYPERLINK(IF(LEFT(S154,4)="http",S154,set_QwilrBase&amp;S154),"Open quote"))</f>
        <v/>
      </c>
      <c r="U154" s="71" t="n"/>
      <c r="V154" s="22" t="n"/>
      <c r="W154" s="22" t="n"/>
    </row>
    <row r="155" ht="15" customHeight="1">
      <c r="A155" s="70">
        <f>IF(C155="","",IFERROR(IF(SUMPRODUCT(MAX((tbl_Finance[Job Number]&amp;""=C155&amp;"")*(tbl_Finance[Xero Invoice No]&lt;&gt;"")*tbl_Finance[Date]))=0,"",SUMPRODUCT(MAX((tbl_Finance[Job Number]&amp;""=C155&amp;"")*(tbl_Finance[Xero Invoice No]&lt;&gt;"")*tbl_Finance[Date]))),""))</f>
        <v/>
      </c>
      <c r="B155" s="26">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2" t="n"/>
      <c r="D155" s="26">
        <f>IF(C155="","",IF(COUNTIF(lst_Jobs,C155&amp;"")&gt;0,"OK","CHECK"))</f>
        <v/>
      </c>
      <c r="E155" s="26">
        <f>IF(C155="","",IFERROR(INDEX(lst_JobName,MATCH(C155&amp;"",lst_Jobs,0)),""))</f>
        <v/>
      </c>
      <c r="F155" s="22" t="n"/>
      <c r="G155" s="22" t="n"/>
      <c r="H155" s="22" t="n"/>
      <c r="I155" s="22" t="n"/>
      <c r="J155" s="22" t="n"/>
      <c r="K155" s="28">
        <f>IF(C155="","",COUNTIFS(tbl_Finance[Job Number],C155&amp;"",tbl_Finance[Ex GST],"&lt;&gt;"))</f>
        <v/>
      </c>
      <c r="L155" s="27">
        <f>IF(C155="","",SUMIFS(tbl_Finance[Ex GST],tbl_Finance[Job Number],C155&amp;""))</f>
        <v/>
      </c>
      <c r="M155" s="27">
        <f>IF(C155="","",SUMIFS(tbl_Finance[Ex GST],tbl_Finance[Job Number],C155&amp;"",tbl_Finance[Xero Invoice No],"&lt;&gt;"))</f>
        <v/>
      </c>
      <c r="N155" s="27">
        <f>IF(C155="","",L155-M155)</f>
        <v/>
      </c>
      <c r="O155" s="24" t="n"/>
      <c r="P155" s="27">
        <f>IF(C155="","",IF(O155="",0,MAX(0,O155-L155)))</f>
        <v/>
      </c>
      <c r="Q155" s="26">
        <f>IF(C155="","",IF(K155=0,"not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R155" s="22" t="n"/>
      <c r="S155" s="22" t="n"/>
      <c r="T155" s="26">
        <f>IF(S155="","",HYPERLINK(IF(LEFT(S155,4)="http",S155,set_QwilrBase&amp;S155),"Open quote"))</f>
        <v/>
      </c>
      <c r="U155" s="71" t="n"/>
      <c r="V155" s="22" t="n"/>
      <c r="W155" s="22" t="n"/>
    </row>
    <row r="156" ht="15" customHeight="1">
      <c r="A156" s="70">
        <f>IF(C156="","",IFERROR(IF(SUMPRODUCT(MAX((tbl_Finance[Job Number]&amp;""=C156&amp;"")*(tbl_Finance[Xero Invoice No]&lt;&gt;"")*tbl_Finance[Date]))=0,"",SUMPRODUCT(MAX((tbl_Finance[Job Number]&amp;""=C156&amp;"")*(tbl_Finance[Xero Invoice No]&lt;&gt;"")*tbl_Finance[Date]))),""))</f>
        <v/>
      </c>
      <c r="B156" s="26">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2" t="n"/>
      <c r="D156" s="26">
        <f>IF(C156="","",IF(COUNTIF(lst_Jobs,C156&amp;"")&gt;0,"OK","CHECK"))</f>
        <v/>
      </c>
      <c r="E156" s="26">
        <f>IF(C156="","",IFERROR(INDEX(lst_JobName,MATCH(C156&amp;"",lst_Jobs,0)),""))</f>
        <v/>
      </c>
      <c r="F156" s="22" t="n"/>
      <c r="G156" s="22" t="n"/>
      <c r="H156" s="22" t="n"/>
      <c r="I156" s="22" t="n"/>
      <c r="J156" s="22" t="n"/>
      <c r="K156" s="28">
        <f>IF(C156="","",COUNTIFS(tbl_Finance[Job Number],C156&amp;"",tbl_Finance[Ex GST],"&lt;&gt;"))</f>
        <v/>
      </c>
      <c r="L156" s="27">
        <f>IF(C156="","",SUMIFS(tbl_Finance[Ex GST],tbl_Finance[Job Number],C156&amp;""))</f>
        <v/>
      </c>
      <c r="M156" s="27">
        <f>IF(C156="","",SUMIFS(tbl_Finance[Ex GST],tbl_Finance[Job Number],C156&amp;"",tbl_Finance[Xero Invoice No],"&lt;&gt;"))</f>
        <v/>
      </c>
      <c r="N156" s="27">
        <f>IF(C156="","",L156-M156)</f>
        <v/>
      </c>
      <c r="O156" s="24" t="n"/>
      <c r="P156" s="27">
        <f>IF(C156="","",IF(O156="",0,MAX(0,O156-L156)))</f>
        <v/>
      </c>
      <c r="Q156" s="26">
        <f>IF(C156="","",IF(K156=0,"not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R156" s="22" t="n"/>
      <c r="S156" s="22" t="n"/>
      <c r="T156" s="26">
        <f>IF(S156="","",HYPERLINK(IF(LEFT(S156,4)="http",S156,set_QwilrBase&amp;S156),"Open quote"))</f>
        <v/>
      </c>
      <c r="U156" s="71" t="n"/>
      <c r="V156" s="22" t="n"/>
      <c r="W156" s="22" t="n"/>
    </row>
    <row r="157" ht="15" customHeight="1">
      <c r="A157" s="70">
        <f>IF(C157="","",IFERROR(IF(SUMPRODUCT(MAX((tbl_Finance[Job Number]&amp;""=C157&amp;"")*(tbl_Finance[Xero Invoice No]&lt;&gt;"")*tbl_Finance[Date]))=0,"",SUMPRODUCT(MAX((tbl_Finance[Job Number]&amp;""=C157&amp;"")*(tbl_Finance[Xero Invoice No]&lt;&gt;"")*tbl_Finance[Date]))),""))</f>
        <v/>
      </c>
      <c r="B157" s="26">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2" t="n"/>
      <c r="D157" s="26">
        <f>IF(C157="","",IF(COUNTIF(lst_Jobs,C157&amp;"")&gt;0,"OK","CHECK"))</f>
        <v/>
      </c>
      <c r="E157" s="26">
        <f>IF(C157="","",IFERROR(INDEX(lst_JobName,MATCH(C157&amp;"",lst_Jobs,0)),""))</f>
        <v/>
      </c>
      <c r="F157" s="22" t="n"/>
      <c r="G157" s="22" t="n"/>
      <c r="H157" s="22" t="n"/>
      <c r="I157" s="22" t="n"/>
      <c r="J157" s="22" t="n"/>
      <c r="K157" s="28">
        <f>IF(C157="","",COUNTIFS(tbl_Finance[Job Number],C157&amp;"",tbl_Finance[Ex GST],"&lt;&gt;"))</f>
        <v/>
      </c>
      <c r="L157" s="27">
        <f>IF(C157="","",SUMIFS(tbl_Finance[Ex GST],tbl_Finance[Job Number],C157&amp;""))</f>
        <v/>
      </c>
      <c r="M157" s="27">
        <f>IF(C157="","",SUMIFS(tbl_Finance[Ex GST],tbl_Finance[Job Number],C157&amp;"",tbl_Finance[Xero Invoice No],"&lt;&gt;"))</f>
        <v/>
      </c>
      <c r="N157" s="27">
        <f>IF(C157="","",L157-M157)</f>
        <v/>
      </c>
      <c r="O157" s="24" t="n"/>
      <c r="P157" s="27">
        <f>IF(C157="","",IF(O157="",0,MAX(0,O157-L157)))</f>
        <v/>
      </c>
      <c r="Q157" s="26">
        <f>IF(C157="","",IF(K157=0,"not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R157" s="22" t="n"/>
      <c r="S157" s="22" t="n"/>
      <c r="T157" s="26">
        <f>IF(S157="","",HYPERLINK(IF(LEFT(S157,4)="http",S157,set_QwilrBase&amp;S157),"Open quote"))</f>
        <v/>
      </c>
      <c r="U157" s="71" t="n"/>
      <c r="V157" s="22" t="n"/>
      <c r="W157" s="22" t="n"/>
    </row>
    <row r="158" ht="15" customHeight="1">
      <c r="A158" s="70">
        <f>IF(C158="","",IFERROR(IF(SUMPRODUCT(MAX((tbl_Finance[Job Number]&amp;""=C158&amp;"")*(tbl_Finance[Xero Invoice No]&lt;&gt;"")*tbl_Finance[Date]))=0,"",SUMPRODUCT(MAX((tbl_Finance[Job Number]&amp;""=C158&amp;"")*(tbl_Finance[Xero Invoice No]&lt;&gt;"")*tbl_Finance[Date]))),""))</f>
        <v/>
      </c>
      <c r="B158" s="26">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2" t="n"/>
      <c r="D158" s="26">
        <f>IF(C158="","",IF(COUNTIF(lst_Jobs,C158&amp;"")&gt;0,"OK","CHECK"))</f>
        <v/>
      </c>
      <c r="E158" s="26">
        <f>IF(C158="","",IFERROR(INDEX(lst_JobName,MATCH(C158&amp;"",lst_Jobs,0)),""))</f>
        <v/>
      </c>
      <c r="F158" s="22" t="n"/>
      <c r="G158" s="22" t="n"/>
      <c r="H158" s="22" t="n"/>
      <c r="I158" s="22" t="n"/>
      <c r="J158" s="22" t="n"/>
      <c r="K158" s="28">
        <f>IF(C158="","",COUNTIFS(tbl_Finance[Job Number],C158&amp;"",tbl_Finance[Ex GST],"&lt;&gt;"))</f>
        <v/>
      </c>
      <c r="L158" s="27">
        <f>IF(C158="","",SUMIFS(tbl_Finance[Ex GST],tbl_Finance[Job Number],C158&amp;""))</f>
        <v/>
      </c>
      <c r="M158" s="27">
        <f>IF(C158="","",SUMIFS(tbl_Finance[Ex GST],tbl_Finance[Job Number],C158&amp;"",tbl_Finance[Xero Invoice No],"&lt;&gt;"))</f>
        <v/>
      </c>
      <c r="N158" s="27">
        <f>IF(C158="","",L158-M158)</f>
        <v/>
      </c>
      <c r="O158" s="24" t="n"/>
      <c r="P158" s="27">
        <f>IF(C158="","",IF(O158="",0,MAX(0,O158-L158)))</f>
        <v/>
      </c>
      <c r="Q158" s="26">
        <f>IF(C158="","",IF(K158=0,"not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R158" s="22" t="n"/>
      <c r="S158" s="22" t="n"/>
      <c r="T158" s="26">
        <f>IF(S158="","",HYPERLINK(IF(LEFT(S158,4)="http",S158,set_QwilrBase&amp;S158),"Open quote"))</f>
        <v/>
      </c>
      <c r="U158" s="71" t="n"/>
      <c r="V158" s="22" t="n"/>
      <c r="W158" s="22" t="n"/>
    </row>
    <row r="159" ht="15" customHeight="1">
      <c r="A159" s="70">
        <f>IF(C159="","",IFERROR(IF(SUMPRODUCT(MAX((tbl_Finance[Job Number]&amp;""=C159&amp;"")*(tbl_Finance[Xero Invoice No]&lt;&gt;"")*tbl_Finance[Date]))=0,"",SUMPRODUCT(MAX((tbl_Finance[Job Number]&amp;""=C159&amp;"")*(tbl_Finance[Xero Invoice No]&lt;&gt;"")*tbl_Finance[Date]))),""))</f>
        <v/>
      </c>
      <c r="B159" s="26">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2" t="n"/>
      <c r="D159" s="26">
        <f>IF(C159="","",IF(COUNTIF(lst_Jobs,C159&amp;"")&gt;0,"OK","CHECK"))</f>
        <v/>
      </c>
      <c r="E159" s="26">
        <f>IF(C159="","",IFERROR(INDEX(lst_JobName,MATCH(C159&amp;"",lst_Jobs,0)),""))</f>
        <v/>
      </c>
      <c r="F159" s="22" t="n"/>
      <c r="G159" s="22" t="n"/>
      <c r="H159" s="22" t="n"/>
      <c r="I159" s="22" t="n"/>
      <c r="J159" s="22" t="n"/>
      <c r="K159" s="28">
        <f>IF(C159="","",COUNTIFS(tbl_Finance[Job Number],C159&amp;"",tbl_Finance[Ex GST],"&lt;&gt;"))</f>
        <v/>
      </c>
      <c r="L159" s="27">
        <f>IF(C159="","",SUMIFS(tbl_Finance[Ex GST],tbl_Finance[Job Number],C159&amp;""))</f>
        <v/>
      </c>
      <c r="M159" s="27">
        <f>IF(C159="","",SUMIFS(tbl_Finance[Ex GST],tbl_Finance[Job Number],C159&amp;"",tbl_Finance[Xero Invoice No],"&lt;&gt;"))</f>
        <v/>
      </c>
      <c r="N159" s="27">
        <f>IF(C159="","",L159-M159)</f>
        <v/>
      </c>
      <c r="O159" s="24" t="n"/>
      <c r="P159" s="27">
        <f>IF(C159="","",IF(O159="",0,MAX(0,O159-L159)))</f>
        <v/>
      </c>
      <c r="Q159" s="26">
        <f>IF(C159="","",IF(K159=0,"not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R159" s="22" t="n"/>
      <c r="S159" s="22" t="n"/>
      <c r="T159" s="26">
        <f>IF(S159="","",HYPERLINK(IF(LEFT(S159,4)="http",S159,set_QwilrBase&amp;S159),"Open quote"))</f>
        <v/>
      </c>
      <c r="U159" s="71" t="n"/>
      <c r="V159" s="22" t="n"/>
      <c r="W159" s="22" t="n"/>
    </row>
    <row r="160" ht="15" customHeight="1">
      <c r="A160" s="70">
        <f>IF(C160="","",IFERROR(IF(SUMPRODUCT(MAX((tbl_Finance[Job Number]&amp;""=C160&amp;"")*(tbl_Finance[Xero Invoice No]&lt;&gt;"")*tbl_Finance[Date]))=0,"",SUMPRODUCT(MAX((tbl_Finance[Job Number]&amp;""=C160&amp;"")*(tbl_Finance[Xero Invoice No]&lt;&gt;"")*tbl_Finance[Date]))),""))</f>
        <v/>
      </c>
      <c r="B160" s="26">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2" t="n"/>
      <c r="D160" s="26">
        <f>IF(C160="","",IF(COUNTIF(lst_Jobs,C160&amp;"")&gt;0,"OK","CHECK"))</f>
        <v/>
      </c>
      <c r="E160" s="26">
        <f>IF(C160="","",IFERROR(INDEX(lst_JobName,MATCH(C160&amp;"",lst_Jobs,0)),""))</f>
        <v/>
      </c>
      <c r="F160" s="22" t="n"/>
      <c r="G160" s="22" t="n"/>
      <c r="H160" s="22" t="n"/>
      <c r="I160" s="22" t="n"/>
      <c r="J160" s="22" t="n"/>
      <c r="K160" s="28">
        <f>IF(C160="","",COUNTIFS(tbl_Finance[Job Number],C160&amp;"",tbl_Finance[Ex GST],"&lt;&gt;"))</f>
        <v/>
      </c>
      <c r="L160" s="27">
        <f>IF(C160="","",SUMIFS(tbl_Finance[Ex GST],tbl_Finance[Job Number],C160&amp;""))</f>
        <v/>
      </c>
      <c r="M160" s="27">
        <f>IF(C160="","",SUMIFS(tbl_Finance[Ex GST],tbl_Finance[Job Number],C160&amp;"",tbl_Finance[Xero Invoice No],"&lt;&gt;"))</f>
        <v/>
      </c>
      <c r="N160" s="27">
        <f>IF(C160="","",L160-M160)</f>
        <v/>
      </c>
      <c r="O160" s="24" t="n"/>
      <c r="P160" s="27">
        <f>IF(C160="","",IF(O160="",0,MAX(0,O160-L160)))</f>
        <v/>
      </c>
      <c r="Q160" s="26">
        <f>IF(C160="","",IF(K160=0,"not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R160" s="22" t="n"/>
      <c r="S160" s="22" t="n"/>
      <c r="T160" s="26">
        <f>IF(S160="","",HYPERLINK(IF(LEFT(S160,4)="http",S160,set_QwilrBase&amp;S160),"Open quote"))</f>
        <v/>
      </c>
      <c r="U160" s="71" t="n"/>
      <c r="V160" s="22" t="n"/>
      <c r="W160" s="22" t="n"/>
    </row>
    <row r="161" ht="15" customHeight="1">
      <c r="A161" s="70">
        <f>IF(C161="","",IFERROR(IF(SUMPRODUCT(MAX((tbl_Finance[Job Number]&amp;""=C161&amp;"")*(tbl_Finance[Xero Invoice No]&lt;&gt;"")*tbl_Finance[Date]))=0,"",SUMPRODUCT(MAX((tbl_Finance[Job Number]&amp;""=C161&amp;"")*(tbl_Finance[Xero Invoice No]&lt;&gt;"")*tbl_Finance[Date]))),""))</f>
        <v/>
      </c>
      <c r="B161" s="26">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2" t="n"/>
      <c r="D161" s="26">
        <f>IF(C161="","",IF(COUNTIF(lst_Jobs,C161&amp;"")&gt;0,"OK","CHECK"))</f>
        <v/>
      </c>
      <c r="E161" s="26">
        <f>IF(C161="","",IFERROR(INDEX(lst_JobName,MATCH(C161&amp;"",lst_Jobs,0)),""))</f>
        <v/>
      </c>
      <c r="F161" s="22" t="n"/>
      <c r="G161" s="22" t="n"/>
      <c r="H161" s="22" t="n"/>
      <c r="I161" s="22" t="n"/>
      <c r="J161" s="22" t="n"/>
      <c r="K161" s="28">
        <f>IF(C161="","",COUNTIFS(tbl_Finance[Job Number],C161&amp;"",tbl_Finance[Ex GST],"&lt;&gt;"))</f>
        <v/>
      </c>
      <c r="L161" s="27">
        <f>IF(C161="","",SUMIFS(tbl_Finance[Ex GST],tbl_Finance[Job Number],C161&amp;""))</f>
        <v/>
      </c>
      <c r="M161" s="27">
        <f>IF(C161="","",SUMIFS(tbl_Finance[Ex GST],tbl_Finance[Job Number],C161&amp;"",tbl_Finance[Xero Invoice No],"&lt;&gt;"))</f>
        <v/>
      </c>
      <c r="N161" s="27">
        <f>IF(C161="","",L161-M161)</f>
        <v/>
      </c>
      <c r="O161" s="24" t="n"/>
      <c r="P161" s="27">
        <f>IF(C161="","",IF(O161="",0,MAX(0,O161-L161)))</f>
        <v/>
      </c>
      <c r="Q161" s="26">
        <f>IF(C161="","",IF(K161=0,"not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R161" s="22" t="n"/>
      <c r="S161" s="22" t="n"/>
      <c r="T161" s="26">
        <f>IF(S161="","",HYPERLINK(IF(LEFT(S161,4)="http",S161,set_QwilrBase&amp;S161),"Open quote"))</f>
        <v/>
      </c>
      <c r="U161" s="71" t="n"/>
      <c r="V161" s="22" t="n"/>
      <c r="W161" s="22" t="n"/>
    </row>
    <row r="162" ht="15" customHeight="1">
      <c r="A162" s="70">
        <f>IF(C162="","",IFERROR(IF(SUMPRODUCT(MAX((tbl_Finance[Job Number]&amp;""=C162&amp;"")*(tbl_Finance[Xero Invoice No]&lt;&gt;"")*tbl_Finance[Date]))=0,"",SUMPRODUCT(MAX((tbl_Finance[Job Number]&amp;""=C162&amp;"")*(tbl_Finance[Xero Invoice No]&lt;&gt;"")*tbl_Finance[Date]))),""))</f>
        <v/>
      </c>
      <c r="B162" s="26">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2" t="n"/>
      <c r="D162" s="26">
        <f>IF(C162="","",IF(COUNTIF(lst_Jobs,C162&amp;"")&gt;0,"OK","CHECK"))</f>
        <v/>
      </c>
      <c r="E162" s="26">
        <f>IF(C162="","",IFERROR(INDEX(lst_JobName,MATCH(C162&amp;"",lst_Jobs,0)),""))</f>
        <v/>
      </c>
      <c r="F162" s="22" t="n"/>
      <c r="G162" s="22" t="n"/>
      <c r="H162" s="22" t="n"/>
      <c r="I162" s="22" t="n"/>
      <c r="J162" s="22" t="n"/>
      <c r="K162" s="28">
        <f>IF(C162="","",COUNTIFS(tbl_Finance[Job Number],C162&amp;"",tbl_Finance[Ex GST],"&lt;&gt;"))</f>
        <v/>
      </c>
      <c r="L162" s="27">
        <f>IF(C162="","",SUMIFS(tbl_Finance[Ex GST],tbl_Finance[Job Number],C162&amp;""))</f>
        <v/>
      </c>
      <c r="M162" s="27">
        <f>IF(C162="","",SUMIFS(tbl_Finance[Ex GST],tbl_Finance[Job Number],C162&amp;"",tbl_Finance[Xero Invoice No],"&lt;&gt;"))</f>
        <v/>
      </c>
      <c r="N162" s="27">
        <f>IF(C162="","",L162-M162)</f>
        <v/>
      </c>
      <c r="O162" s="24" t="n"/>
      <c r="P162" s="27">
        <f>IF(C162="","",IF(O162="",0,MAX(0,O162-L162)))</f>
        <v/>
      </c>
      <c r="Q162" s="26">
        <f>IF(C162="","",IF(K162=0,"not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R162" s="22" t="n"/>
      <c r="S162" s="22" t="n"/>
      <c r="T162" s="26">
        <f>IF(S162="","",HYPERLINK(IF(LEFT(S162,4)="http",S162,set_QwilrBase&amp;S162),"Open quote"))</f>
        <v/>
      </c>
      <c r="U162" s="71" t="n"/>
      <c r="V162" s="22" t="n"/>
      <c r="W162" s="22" t="n"/>
    </row>
    <row r="163" ht="15" customHeight="1">
      <c r="A163" s="70">
        <f>IF(C163="","",IFERROR(IF(SUMPRODUCT(MAX((tbl_Finance[Job Number]&amp;""=C163&amp;"")*(tbl_Finance[Xero Invoice No]&lt;&gt;"")*tbl_Finance[Date]))=0,"",SUMPRODUCT(MAX((tbl_Finance[Job Number]&amp;""=C163&amp;"")*(tbl_Finance[Xero Invoice No]&lt;&gt;"")*tbl_Finance[Date]))),""))</f>
        <v/>
      </c>
      <c r="B163" s="26">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2" t="n"/>
      <c r="D163" s="26">
        <f>IF(C163="","",IF(COUNTIF(lst_Jobs,C163&amp;"")&gt;0,"OK","CHECK"))</f>
        <v/>
      </c>
      <c r="E163" s="26">
        <f>IF(C163="","",IFERROR(INDEX(lst_JobName,MATCH(C163&amp;"",lst_Jobs,0)),""))</f>
        <v/>
      </c>
      <c r="F163" s="22" t="n"/>
      <c r="G163" s="22" t="n"/>
      <c r="H163" s="22" t="n"/>
      <c r="I163" s="22" t="n"/>
      <c r="J163" s="22" t="n"/>
      <c r="K163" s="28">
        <f>IF(C163="","",COUNTIFS(tbl_Finance[Job Number],C163&amp;"",tbl_Finance[Ex GST],"&lt;&gt;"))</f>
        <v/>
      </c>
      <c r="L163" s="27">
        <f>IF(C163="","",SUMIFS(tbl_Finance[Ex GST],tbl_Finance[Job Number],C163&amp;""))</f>
        <v/>
      </c>
      <c r="M163" s="27">
        <f>IF(C163="","",SUMIFS(tbl_Finance[Ex GST],tbl_Finance[Job Number],C163&amp;"",tbl_Finance[Xero Invoice No],"&lt;&gt;"))</f>
        <v/>
      </c>
      <c r="N163" s="27">
        <f>IF(C163="","",L163-M163)</f>
        <v/>
      </c>
      <c r="O163" s="24" t="n"/>
      <c r="P163" s="27">
        <f>IF(C163="","",IF(O163="",0,MAX(0,O163-L163)))</f>
        <v/>
      </c>
      <c r="Q163" s="26">
        <f>IF(C163="","",IF(K163=0,"not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R163" s="22" t="n"/>
      <c r="S163" s="22" t="n"/>
      <c r="T163" s="26">
        <f>IF(S163="","",HYPERLINK(IF(LEFT(S163,4)="http",S163,set_QwilrBase&amp;S163),"Open quote"))</f>
        <v/>
      </c>
      <c r="U163" s="71" t="n"/>
      <c r="V163" s="22" t="n"/>
      <c r="W163" s="22" t="n"/>
    </row>
    <row r="164" ht="15" customHeight="1">
      <c r="A164" s="70">
        <f>IF(C164="","",IFERROR(IF(SUMPRODUCT(MAX((tbl_Finance[Job Number]&amp;""=C164&amp;"")*(tbl_Finance[Xero Invoice No]&lt;&gt;"")*tbl_Finance[Date]))=0,"",SUMPRODUCT(MAX((tbl_Finance[Job Number]&amp;""=C164&amp;"")*(tbl_Finance[Xero Invoice No]&lt;&gt;"")*tbl_Finance[Date]))),""))</f>
        <v/>
      </c>
      <c r="B164" s="26">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2" t="n"/>
      <c r="D164" s="26">
        <f>IF(C164="","",IF(COUNTIF(lst_Jobs,C164&amp;"")&gt;0,"OK","CHECK"))</f>
        <v/>
      </c>
      <c r="E164" s="26">
        <f>IF(C164="","",IFERROR(INDEX(lst_JobName,MATCH(C164&amp;"",lst_Jobs,0)),""))</f>
        <v/>
      </c>
      <c r="F164" s="22" t="n"/>
      <c r="G164" s="22" t="n"/>
      <c r="H164" s="22" t="n"/>
      <c r="I164" s="22" t="n"/>
      <c r="J164" s="22" t="n"/>
      <c r="K164" s="28">
        <f>IF(C164="","",COUNTIFS(tbl_Finance[Job Number],C164&amp;"",tbl_Finance[Ex GST],"&lt;&gt;"))</f>
        <v/>
      </c>
      <c r="L164" s="27">
        <f>IF(C164="","",SUMIFS(tbl_Finance[Ex GST],tbl_Finance[Job Number],C164&amp;""))</f>
        <v/>
      </c>
      <c r="M164" s="27">
        <f>IF(C164="","",SUMIFS(tbl_Finance[Ex GST],tbl_Finance[Job Number],C164&amp;"",tbl_Finance[Xero Invoice No],"&lt;&gt;"))</f>
        <v/>
      </c>
      <c r="N164" s="27">
        <f>IF(C164="","",L164-M164)</f>
        <v/>
      </c>
      <c r="O164" s="24" t="n"/>
      <c r="P164" s="27">
        <f>IF(C164="","",IF(O164="",0,MAX(0,O164-L164)))</f>
        <v/>
      </c>
      <c r="Q164" s="26">
        <f>IF(C164="","",IF(K164=0,"not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R164" s="22" t="n"/>
      <c r="S164" s="22" t="n"/>
      <c r="T164" s="26">
        <f>IF(S164="","",HYPERLINK(IF(LEFT(S164,4)="http",S164,set_QwilrBase&amp;S164),"Open quote"))</f>
        <v/>
      </c>
      <c r="U164" s="71" t="n"/>
      <c r="V164" s="22" t="n"/>
      <c r="W164" s="22" t="n"/>
    </row>
    <row r="165" ht="15" customHeight="1">
      <c r="A165" s="70">
        <f>IF(C165="","",IFERROR(IF(SUMPRODUCT(MAX((tbl_Finance[Job Number]&amp;""=C165&amp;"")*(tbl_Finance[Xero Invoice No]&lt;&gt;"")*tbl_Finance[Date]))=0,"",SUMPRODUCT(MAX((tbl_Finance[Job Number]&amp;""=C165&amp;"")*(tbl_Finance[Xero Invoice No]&lt;&gt;"")*tbl_Finance[Date]))),""))</f>
        <v/>
      </c>
      <c r="B165" s="26">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2" t="n"/>
      <c r="D165" s="26">
        <f>IF(C165="","",IF(COUNTIF(lst_Jobs,C165&amp;"")&gt;0,"OK","CHECK"))</f>
        <v/>
      </c>
      <c r="E165" s="26">
        <f>IF(C165="","",IFERROR(INDEX(lst_JobName,MATCH(C165&amp;"",lst_Jobs,0)),""))</f>
        <v/>
      </c>
      <c r="F165" s="22" t="n"/>
      <c r="G165" s="22" t="n"/>
      <c r="H165" s="22" t="n"/>
      <c r="I165" s="22" t="n"/>
      <c r="J165" s="22" t="n"/>
      <c r="K165" s="28">
        <f>IF(C165="","",COUNTIFS(tbl_Finance[Job Number],C165&amp;"",tbl_Finance[Ex GST],"&lt;&gt;"))</f>
        <v/>
      </c>
      <c r="L165" s="27">
        <f>IF(C165="","",SUMIFS(tbl_Finance[Ex GST],tbl_Finance[Job Number],C165&amp;""))</f>
        <v/>
      </c>
      <c r="M165" s="27">
        <f>IF(C165="","",SUMIFS(tbl_Finance[Ex GST],tbl_Finance[Job Number],C165&amp;"",tbl_Finance[Xero Invoice No],"&lt;&gt;"))</f>
        <v/>
      </c>
      <c r="N165" s="27">
        <f>IF(C165="","",L165-M165)</f>
        <v/>
      </c>
      <c r="O165" s="24" t="n"/>
      <c r="P165" s="27">
        <f>IF(C165="","",IF(O165="",0,MAX(0,O165-L165)))</f>
        <v/>
      </c>
      <c r="Q165" s="26">
        <f>IF(C165="","",IF(K165=0,"not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R165" s="22" t="n"/>
      <c r="S165" s="22" t="n"/>
      <c r="T165" s="26">
        <f>IF(S165="","",HYPERLINK(IF(LEFT(S165,4)="http",S165,set_QwilrBase&amp;S165),"Open quote"))</f>
        <v/>
      </c>
      <c r="U165" s="71" t="n"/>
      <c r="V165" s="22" t="n"/>
      <c r="W165" s="22" t="n"/>
    </row>
    <row r="166" ht="15" customHeight="1">
      <c r="A166" s="70">
        <f>IF(C166="","",IFERROR(IF(SUMPRODUCT(MAX((tbl_Finance[Job Number]&amp;""=C166&amp;"")*(tbl_Finance[Xero Invoice No]&lt;&gt;"")*tbl_Finance[Date]))=0,"",SUMPRODUCT(MAX((tbl_Finance[Job Number]&amp;""=C166&amp;"")*(tbl_Finance[Xero Invoice No]&lt;&gt;"")*tbl_Finance[Date]))),""))</f>
        <v/>
      </c>
      <c r="B166" s="26">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2" t="n"/>
      <c r="D166" s="26">
        <f>IF(C166="","",IF(COUNTIF(lst_Jobs,C166&amp;"")&gt;0,"OK","CHECK"))</f>
        <v/>
      </c>
      <c r="E166" s="26">
        <f>IF(C166="","",IFERROR(INDEX(lst_JobName,MATCH(C166&amp;"",lst_Jobs,0)),""))</f>
        <v/>
      </c>
      <c r="F166" s="22" t="n"/>
      <c r="G166" s="22" t="n"/>
      <c r="H166" s="22" t="n"/>
      <c r="I166" s="22" t="n"/>
      <c r="J166" s="22" t="n"/>
      <c r="K166" s="28">
        <f>IF(C166="","",COUNTIFS(tbl_Finance[Job Number],C166&amp;"",tbl_Finance[Ex GST],"&lt;&gt;"))</f>
        <v/>
      </c>
      <c r="L166" s="27">
        <f>IF(C166="","",SUMIFS(tbl_Finance[Ex GST],tbl_Finance[Job Number],C166&amp;""))</f>
        <v/>
      </c>
      <c r="M166" s="27">
        <f>IF(C166="","",SUMIFS(tbl_Finance[Ex GST],tbl_Finance[Job Number],C166&amp;"",tbl_Finance[Xero Invoice No],"&lt;&gt;"))</f>
        <v/>
      </c>
      <c r="N166" s="27">
        <f>IF(C166="","",L166-M166)</f>
        <v/>
      </c>
      <c r="O166" s="24" t="n"/>
      <c r="P166" s="27">
        <f>IF(C166="","",IF(O166="",0,MAX(0,O166-L166)))</f>
        <v/>
      </c>
      <c r="Q166" s="26">
        <f>IF(C166="","",IF(K166=0,"not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R166" s="22" t="n"/>
      <c r="S166" s="22" t="n"/>
      <c r="T166" s="26">
        <f>IF(S166="","",HYPERLINK(IF(LEFT(S166,4)="http",S166,set_QwilrBase&amp;S166),"Open quote"))</f>
        <v/>
      </c>
      <c r="U166" s="71" t="n"/>
      <c r="V166" s="22" t="n"/>
      <c r="W166" s="22" t="n"/>
    </row>
    <row r="167" ht="15" customHeight="1">
      <c r="A167" s="70">
        <f>IF(C167="","",IFERROR(IF(SUMPRODUCT(MAX((tbl_Finance[Job Number]&amp;""=C167&amp;"")*(tbl_Finance[Xero Invoice No]&lt;&gt;"")*tbl_Finance[Date]))=0,"",SUMPRODUCT(MAX((tbl_Finance[Job Number]&amp;""=C167&amp;"")*(tbl_Finance[Xero Invoice No]&lt;&gt;"")*tbl_Finance[Date]))),""))</f>
        <v/>
      </c>
      <c r="B167" s="26">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2" t="n"/>
      <c r="D167" s="26">
        <f>IF(C167="","",IF(COUNTIF(lst_Jobs,C167&amp;"")&gt;0,"OK","CHECK"))</f>
        <v/>
      </c>
      <c r="E167" s="26">
        <f>IF(C167="","",IFERROR(INDEX(lst_JobName,MATCH(C167&amp;"",lst_Jobs,0)),""))</f>
        <v/>
      </c>
      <c r="F167" s="22" t="n"/>
      <c r="G167" s="22" t="n"/>
      <c r="H167" s="22" t="n"/>
      <c r="I167" s="22" t="n"/>
      <c r="J167" s="22" t="n"/>
      <c r="K167" s="28">
        <f>IF(C167="","",COUNTIFS(tbl_Finance[Job Number],C167&amp;"",tbl_Finance[Ex GST],"&lt;&gt;"))</f>
        <v/>
      </c>
      <c r="L167" s="27">
        <f>IF(C167="","",SUMIFS(tbl_Finance[Ex GST],tbl_Finance[Job Number],C167&amp;""))</f>
        <v/>
      </c>
      <c r="M167" s="27">
        <f>IF(C167="","",SUMIFS(tbl_Finance[Ex GST],tbl_Finance[Job Number],C167&amp;"",tbl_Finance[Xero Invoice No],"&lt;&gt;"))</f>
        <v/>
      </c>
      <c r="N167" s="27">
        <f>IF(C167="","",L167-M167)</f>
        <v/>
      </c>
      <c r="O167" s="24" t="n"/>
      <c r="P167" s="27">
        <f>IF(C167="","",IF(O167="",0,MAX(0,O167-L167)))</f>
        <v/>
      </c>
      <c r="Q167" s="26">
        <f>IF(C167="","",IF(K167=0,"not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R167" s="22" t="n"/>
      <c r="S167" s="22" t="n"/>
      <c r="T167" s="26">
        <f>IF(S167="","",HYPERLINK(IF(LEFT(S167,4)="http",S167,set_QwilrBase&amp;S167),"Open quote"))</f>
        <v/>
      </c>
      <c r="U167" s="71" t="n"/>
      <c r="V167" s="22" t="n"/>
      <c r="W167" s="22" t="n"/>
    </row>
    <row r="168" ht="15" customHeight="1">
      <c r="A168" s="70">
        <f>IF(C168="","",IFERROR(IF(SUMPRODUCT(MAX((tbl_Finance[Job Number]&amp;""=C168&amp;"")*(tbl_Finance[Xero Invoice No]&lt;&gt;"")*tbl_Finance[Date]))=0,"",SUMPRODUCT(MAX((tbl_Finance[Job Number]&amp;""=C168&amp;"")*(tbl_Finance[Xero Invoice No]&lt;&gt;"")*tbl_Finance[Date]))),""))</f>
        <v/>
      </c>
      <c r="B168" s="26">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2" t="n"/>
      <c r="D168" s="26">
        <f>IF(C168="","",IF(COUNTIF(lst_Jobs,C168&amp;"")&gt;0,"OK","CHECK"))</f>
        <v/>
      </c>
      <c r="E168" s="26">
        <f>IF(C168="","",IFERROR(INDEX(lst_JobName,MATCH(C168&amp;"",lst_Jobs,0)),""))</f>
        <v/>
      </c>
      <c r="F168" s="22" t="n"/>
      <c r="G168" s="22" t="n"/>
      <c r="H168" s="22" t="n"/>
      <c r="I168" s="22" t="n"/>
      <c r="J168" s="22" t="n"/>
      <c r="K168" s="28">
        <f>IF(C168="","",COUNTIFS(tbl_Finance[Job Number],C168&amp;"",tbl_Finance[Ex GST],"&lt;&gt;"))</f>
        <v/>
      </c>
      <c r="L168" s="27">
        <f>IF(C168="","",SUMIFS(tbl_Finance[Ex GST],tbl_Finance[Job Number],C168&amp;""))</f>
        <v/>
      </c>
      <c r="M168" s="27">
        <f>IF(C168="","",SUMIFS(tbl_Finance[Ex GST],tbl_Finance[Job Number],C168&amp;"",tbl_Finance[Xero Invoice No],"&lt;&gt;"))</f>
        <v/>
      </c>
      <c r="N168" s="27">
        <f>IF(C168="","",L168-M168)</f>
        <v/>
      </c>
      <c r="O168" s="24" t="n"/>
      <c r="P168" s="27">
        <f>IF(C168="","",IF(O168="",0,MAX(0,O168-L168)))</f>
        <v/>
      </c>
      <c r="Q168" s="26">
        <f>IF(C168="","",IF(K168=0,"not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R168" s="22" t="n"/>
      <c r="S168" s="22" t="n"/>
      <c r="T168" s="26">
        <f>IF(S168="","",HYPERLINK(IF(LEFT(S168,4)="http",S168,set_QwilrBase&amp;S168),"Open quote"))</f>
        <v/>
      </c>
      <c r="U168" s="71" t="n"/>
      <c r="V168" s="22" t="n"/>
      <c r="W168" s="22" t="n"/>
    </row>
    <row r="169" ht="15" customHeight="1">
      <c r="A169" s="70">
        <f>IF(C169="","",IFERROR(IF(SUMPRODUCT(MAX((tbl_Finance[Job Number]&amp;""=C169&amp;"")*(tbl_Finance[Xero Invoice No]&lt;&gt;"")*tbl_Finance[Date]))=0,"",SUMPRODUCT(MAX((tbl_Finance[Job Number]&amp;""=C169&amp;"")*(tbl_Finance[Xero Invoice No]&lt;&gt;"")*tbl_Finance[Date]))),""))</f>
        <v/>
      </c>
      <c r="B169" s="26">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2" t="n"/>
      <c r="D169" s="26">
        <f>IF(C169="","",IF(COUNTIF(lst_Jobs,C169&amp;"")&gt;0,"OK","CHECK"))</f>
        <v/>
      </c>
      <c r="E169" s="26">
        <f>IF(C169="","",IFERROR(INDEX(lst_JobName,MATCH(C169&amp;"",lst_Jobs,0)),""))</f>
        <v/>
      </c>
      <c r="F169" s="22" t="n"/>
      <c r="G169" s="22" t="n"/>
      <c r="H169" s="22" t="n"/>
      <c r="I169" s="22" t="n"/>
      <c r="J169" s="22" t="n"/>
      <c r="K169" s="28">
        <f>IF(C169="","",COUNTIFS(tbl_Finance[Job Number],C169&amp;"",tbl_Finance[Ex GST],"&lt;&gt;"))</f>
        <v/>
      </c>
      <c r="L169" s="27">
        <f>IF(C169="","",SUMIFS(tbl_Finance[Ex GST],tbl_Finance[Job Number],C169&amp;""))</f>
        <v/>
      </c>
      <c r="M169" s="27">
        <f>IF(C169="","",SUMIFS(tbl_Finance[Ex GST],tbl_Finance[Job Number],C169&amp;"",tbl_Finance[Xero Invoice No],"&lt;&gt;"))</f>
        <v/>
      </c>
      <c r="N169" s="27">
        <f>IF(C169="","",L169-M169)</f>
        <v/>
      </c>
      <c r="O169" s="24" t="n"/>
      <c r="P169" s="27">
        <f>IF(C169="","",IF(O169="",0,MAX(0,O169-L169)))</f>
        <v/>
      </c>
      <c r="Q169" s="26">
        <f>IF(C169="","",IF(K169=0,"not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R169" s="22" t="n"/>
      <c r="S169" s="22" t="n"/>
      <c r="T169" s="26">
        <f>IF(S169="","",HYPERLINK(IF(LEFT(S169,4)="http",S169,set_QwilrBase&amp;S169),"Open quote"))</f>
        <v/>
      </c>
      <c r="U169" s="71" t="n"/>
      <c r="V169" s="22" t="n"/>
      <c r="W169" s="22" t="n"/>
    </row>
    <row r="170" ht="15" customHeight="1">
      <c r="A170" s="70">
        <f>IF(C170="","",IFERROR(IF(SUMPRODUCT(MAX((tbl_Finance[Job Number]&amp;""=C170&amp;"")*(tbl_Finance[Xero Invoice No]&lt;&gt;"")*tbl_Finance[Date]))=0,"",SUMPRODUCT(MAX((tbl_Finance[Job Number]&amp;""=C170&amp;"")*(tbl_Finance[Xero Invoice No]&lt;&gt;"")*tbl_Finance[Date]))),""))</f>
        <v/>
      </c>
      <c r="B170" s="26">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2" t="n"/>
      <c r="D170" s="26">
        <f>IF(C170="","",IF(COUNTIF(lst_Jobs,C170&amp;"")&gt;0,"OK","CHECK"))</f>
        <v/>
      </c>
      <c r="E170" s="26">
        <f>IF(C170="","",IFERROR(INDEX(lst_JobName,MATCH(C170&amp;"",lst_Jobs,0)),""))</f>
        <v/>
      </c>
      <c r="F170" s="22" t="n"/>
      <c r="G170" s="22" t="n"/>
      <c r="H170" s="22" t="n"/>
      <c r="I170" s="22" t="n"/>
      <c r="J170" s="22" t="n"/>
      <c r="K170" s="28">
        <f>IF(C170="","",COUNTIFS(tbl_Finance[Job Number],C170&amp;"",tbl_Finance[Ex GST],"&lt;&gt;"))</f>
        <v/>
      </c>
      <c r="L170" s="27">
        <f>IF(C170="","",SUMIFS(tbl_Finance[Ex GST],tbl_Finance[Job Number],C170&amp;""))</f>
        <v/>
      </c>
      <c r="M170" s="27">
        <f>IF(C170="","",SUMIFS(tbl_Finance[Ex GST],tbl_Finance[Job Number],C170&amp;"",tbl_Finance[Xero Invoice No],"&lt;&gt;"))</f>
        <v/>
      </c>
      <c r="N170" s="27">
        <f>IF(C170="","",L170-M170)</f>
        <v/>
      </c>
      <c r="O170" s="24" t="n"/>
      <c r="P170" s="27">
        <f>IF(C170="","",IF(O170="",0,MAX(0,O170-L170)))</f>
        <v/>
      </c>
      <c r="Q170" s="26">
        <f>IF(C170="","",IF(K170=0,"not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R170" s="22" t="n"/>
      <c r="S170" s="22" t="n"/>
      <c r="T170" s="26">
        <f>IF(S170="","",HYPERLINK(IF(LEFT(S170,4)="http",S170,set_QwilrBase&amp;S170),"Open quote"))</f>
        <v/>
      </c>
      <c r="U170" s="71" t="n"/>
      <c r="V170" s="22" t="n"/>
      <c r="W170" s="22" t="n"/>
    </row>
    <row r="171" ht="15" customHeight="1">
      <c r="A171" s="70">
        <f>IF(C171="","",IFERROR(IF(SUMPRODUCT(MAX((tbl_Finance[Job Number]&amp;""=C171&amp;"")*(tbl_Finance[Xero Invoice No]&lt;&gt;"")*tbl_Finance[Date]))=0,"",SUMPRODUCT(MAX((tbl_Finance[Job Number]&amp;""=C171&amp;"")*(tbl_Finance[Xero Invoice No]&lt;&gt;"")*tbl_Finance[Date]))),""))</f>
        <v/>
      </c>
      <c r="B171" s="26">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2" t="n"/>
      <c r="D171" s="26">
        <f>IF(C171="","",IF(COUNTIF(lst_Jobs,C171&amp;"")&gt;0,"OK","CHECK"))</f>
        <v/>
      </c>
      <c r="E171" s="26">
        <f>IF(C171="","",IFERROR(INDEX(lst_JobName,MATCH(C171&amp;"",lst_Jobs,0)),""))</f>
        <v/>
      </c>
      <c r="F171" s="22" t="n"/>
      <c r="G171" s="22" t="n"/>
      <c r="H171" s="22" t="n"/>
      <c r="I171" s="22" t="n"/>
      <c r="J171" s="22" t="n"/>
      <c r="K171" s="28">
        <f>IF(C171="","",COUNTIFS(tbl_Finance[Job Number],C171&amp;"",tbl_Finance[Ex GST],"&lt;&gt;"))</f>
        <v/>
      </c>
      <c r="L171" s="27">
        <f>IF(C171="","",SUMIFS(tbl_Finance[Ex GST],tbl_Finance[Job Number],C171&amp;""))</f>
        <v/>
      </c>
      <c r="M171" s="27">
        <f>IF(C171="","",SUMIFS(tbl_Finance[Ex GST],tbl_Finance[Job Number],C171&amp;"",tbl_Finance[Xero Invoice No],"&lt;&gt;"))</f>
        <v/>
      </c>
      <c r="N171" s="27">
        <f>IF(C171="","",L171-M171)</f>
        <v/>
      </c>
      <c r="O171" s="24" t="n"/>
      <c r="P171" s="27">
        <f>IF(C171="","",IF(O171="",0,MAX(0,O171-L171)))</f>
        <v/>
      </c>
      <c r="Q171" s="26">
        <f>IF(C171="","",IF(K171=0,"not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R171" s="22" t="n"/>
      <c r="S171" s="22" t="n"/>
      <c r="T171" s="26">
        <f>IF(S171="","",HYPERLINK(IF(LEFT(S171,4)="http",S171,set_QwilrBase&amp;S171),"Open quote"))</f>
        <v/>
      </c>
      <c r="U171" s="71" t="n"/>
      <c r="V171" s="22" t="n"/>
      <c r="W171" s="22" t="n"/>
    </row>
    <row r="172" ht="15" customHeight="1">
      <c r="A172" s="70">
        <f>IF(C172="","",IFERROR(IF(SUMPRODUCT(MAX((tbl_Finance[Job Number]&amp;""=C172&amp;"")*(tbl_Finance[Xero Invoice No]&lt;&gt;"")*tbl_Finance[Date]))=0,"",SUMPRODUCT(MAX((tbl_Finance[Job Number]&amp;""=C172&amp;"")*(tbl_Finance[Xero Invoice No]&lt;&gt;"")*tbl_Finance[Date]))),""))</f>
        <v/>
      </c>
      <c r="B172" s="26">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2" t="n"/>
      <c r="D172" s="26">
        <f>IF(C172="","",IF(COUNTIF(lst_Jobs,C172&amp;"")&gt;0,"OK","CHECK"))</f>
        <v/>
      </c>
      <c r="E172" s="26">
        <f>IF(C172="","",IFERROR(INDEX(lst_JobName,MATCH(C172&amp;"",lst_Jobs,0)),""))</f>
        <v/>
      </c>
      <c r="F172" s="22" t="n"/>
      <c r="G172" s="22" t="n"/>
      <c r="H172" s="22" t="n"/>
      <c r="I172" s="22" t="n"/>
      <c r="J172" s="22" t="n"/>
      <c r="K172" s="28">
        <f>IF(C172="","",COUNTIFS(tbl_Finance[Job Number],C172&amp;"",tbl_Finance[Ex GST],"&lt;&gt;"))</f>
        <v/>
      </c>
      <c r="L172" s="27">
        <f>IF(C172="","",SUMIFS(tbl_Finance[Ex GST],tbl_Finance[Job Number],C172&amp;""))</f>
        <v/>
      </c>
      <c r="M172" s="27">
        <f>IF(C172="","",SUMIFS(tbl_Finance[Ex GST],tbl_Finance[Job Number],C172&amp;"",tbl_Finance[Xero Invoice No],"&lt;&gt;"))</f>
        <v/>
      </c>
      <c r="N172" s="27">
        <f>IF(C172="","",L172-M172)</f>
        <v/>
      </c>
      <c r="O172" s="24" t="n"/>
      <c r="P172" s="27">
        <f>IF(C172="","",IF(O172="",0,MAX(0,O172-L172)))</f>
        <v/>
      </c>
      <c r="Q172" s="26">
        <f>IF(C172="","",IF(K172=0,"not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R172" s="22" t="n"/>
      <c r="S172" s="22" t="n"/>
      <c r="T172" s="26">
        <f>IF(S172="","",HYPERLINK(IF(LEFT(S172,4)="http",S172,set_QwilrBase&amp;S172),"Open quote"))</f>
        <v/>
      </c>
      <c r="U172" s="71" t="n"/>
      <c r="V172" s="22" t="n"/>
      <c r="W172" s="22" t="n"/>
    </row>
    <row r="173" ht="15" customHeight="1">
      <c r="A173" s="70">
        <f>IF(C173="","",IFERROR(IF(SUMPRODUCT(MAX((tbl_Finance[Job Number]&amp;""=C173&amp;"")*(tbl_Finance[Xero Invoice No]&lt;&gt;"")*tbl_Finance[Date]))=0,"",SUMPRODUCT(MAX((tbl_Finance[Job Number]&amp;""=C173&amp;"")*(tbl_Finance[Xero Invoice No]&lt;&gt;"")*tbl_Finance[Date]))),""))</f>
        <v/>
      </c>
      <c r="B173" s="26">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2" t="n"/>
      <c r="D173" s="26">
        <f>IF(C173="","",IF(COUNTIF(lst_Jobs,C173&amp;"")&gt;0,"OK","CHECK"))</f>
        <v/>
      </c>
      <c r="E173" s="26">
        <f>IF(C173="","",IFERROR(INDEX(lst_JobName,MATCH(C173&amp;"",lst_Jobs,0)),""))</f>
        <v/>
      </c>
      <c r="F173" s="22" t="n"/>
      <c r="G173" s="22" t="n"/>
      <c r="H173" s="22" t="n"/>
      <c r="I173" s="22" t="n"/>
      <c r="J173" s="22" t="n"/>
      <c r="K173" s="28">
        <f>IF(C173="","",COUNTIFS(tbl_Finance[Job Number],C173&amp;"",tbl_Finance[Ex GST],"&lt;&gt;"))</f>
        <v/>
      </c>
      <c r="L173" s="27">
        <f>IF(C173="","",SUMIFS(tbl_Finance[Ex GST],tbl_Finance[Job Number],C173&amp;""))</f>
        <v/>
      </c>
      <c r="M173" s="27">
        <f>IF(C173="","",SUMIFS(tbl_Finance[Ex GST],tbl_Finance[Job Number],C173&amp;"",tbl_Finance[Xero Invoice No],"&lt;&gt;"))</f>
        <v/>
      </c>
      <c r="N173" s="27">
        <f>IF(C173="","",L173-M173)</f>
        <v/>
      </c>
      <c r="O173" s="24" t="n"/>
      <c r="P173" s="27">
        <f>IF(C173="","",IF(O173="",0,MAX(0,O173-L173)))</f>
        <v/>
      </c>
      <c r="Q173" s="26">
        <f>IF(C173="","",IF(K173=0,"not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R173" s="22" t="n"/>
      <c r="S173" s="22" t="n"/>
      <c r="T173" s="26">
        <f>IF(S173="","",HYPERLINK(IF(LEFT(S173,4)="http",S173,set_QwilrBase&amp;S173),"Open quote"))</f>
        <v/>
      </c>
      <c r="U173" s="71" t="n"/>
      <c r="V173" s="22" t="n"/>
      <c r="W173" s="22" t="n"/>
    </row>
    <row r="174" ht="15" customHeight="1">
      <c r="A174" s="70">
        <f>IF(C174="","",IFERROR(IF(SUMPRODUCT(MAX((tbl_Finance[Job Number]&amp;""=C174&amp;"")*(tbl_Finance[Xero Invoice No]&lt;&gt;"")*tbl_Finance[Date]))=0,"",SUMPRODUCT(MAX((tbl_Finance[Job Number]&amp;""=C174&amp;"")*(tbl_Finance[Xero Invoice No]&lt;&gt;"")*tbl_Finance[Date]))),""))</f>
        <v/>
      </c>
      <c r="B174" s="26">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2" t="n"/>
      <c r="D174" s="26">
        <f>IF(C174="","",IF(COUNTIF(lst_Jobs,C174&amp;"")&gt;0,"OK","CHECK"))</f>
        <v/>
      </c>
      <c r="E174" s="26">
        <f>IF(C174="","",IFERROR(INDEX(lst_JobName,MATCH(C174&amp;"",lst_Jobs,0)),""))</f>
        <v/>
      </c>
      <c r="F174" s="22" t="n"/>
      <c r="G174" s="22" t="n"/>
      <c r="H174" s="22" t="n"/>
      <c r="I174" s="22" t="n"/>
      <c r="J174" s="22" t="n"/>
      <c r="K174" s="28">
        <f>IF(C174="","",COUNTIFS(tbl_Finance[Job Number],C174&amp;"",tbl_Finance[Ex GST],"&lt;&gt;"))</f>
        <v/>
      </c>
      <c r="L174" s="27">
        <f>IF(C174="","",SUMIFS(tbl_Finance[Ex GST],tbl_Finance[Job Number],C174&amp;""))</f>
        <v/>
      </c>
      <c r="M174" s="27">
        <f>IF(C174="","",SUMIFS(tbl_Finance[Ex GST],tbl_Finance[Job Number],C174&amp;"",tbl_Finance[Xero Invoice No],"&lt;&gt;"))</f>
        <v/>
      </c>
      <c r="N174" s="27">
        <f>IF(C174="","",L174-M174)</f>
        <v/>
      </c>
      <c r="O174" s="24" t="n"/>
      <c r="P174" s="27">
        <f>IF(C174="","",IF(O174="",0,MAX(0,O174-L174)))</f>
        <v/>
      </c>
      <c r="Q174" s="26">
        <f>IF(C174="","",IF(K174=0,"not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R174" s="22" t="n"/>
      <c r="S174" s="22" t="n"/>
      <c r="T174" s="26">
        <f>IF(S174="","",HYPERLINK(IF(LEFT(S174,4)="http",S174,set_QwilrBase&amp;S174),"Open quote"))</f>
        <v/>
      </c>
      <c r="U174" s="71" t="n"/>
      <c r="V174" s="22" t="n"/>
      <c r="W174" s="22" t="n"/>
    </row>
    <row r="175" ht="15" customHeight="1">
      <c r="A175" s="70">
        <f>IF(C175="","",IFERROR(IF(SUMPRODUCT(MAX((tbl_Finance[Job Number]&amp;""=C175&amp;"")*(tbl_Finance[Xero Invoice No]&lt;&gt;"")*tbl_Finance[Date]))=0,"",SUMPRODUCT(MAX((tbl_Finance[Job Number]&amp;""=C175&amp;"")*(tbl_Finance[Xero Invoice No]&lt;&gt;"")*tbl_Finance[Date]))),""))</f>
        <v/>
      </c>
      <c r="B175" s="26">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2" t="n"/>
      <c r="D175" s="26">
        <f>IF(C175="","",IF(COUNTIF(lst_Jobs,C175&amp;"")&gt;0,"OK","CHECK"))</f>
        <v/>
      </c>
      <c r="E175" s="26">
        <f>IF(C175="","",IFERROR(INDEX(lst_JobName,MATCH(C175&amp;"",lst_Jobs,0)),""))</f>
        <v/>
      </c>
      <c r="F175" s="22" t="n"/>
      <c r="G175" s="22" t="n"/>
      <c r="H175" s="22" t="n"/>
      <c r="I175" s="22" t="n"/>
      <c r="J175" s="22" t="n"/>
      <c r="K175" s="28">
        <f>IF(C175="","",COUNTIFS(tbl_Finance[Job Number],C175&amp;"",tbl_Finance[Ex GST],"&lt;&gt;"))</f>
        <v/>
      </c>
      <c r="L175" s="27">
        <f>IF(C175="","",SUMIFS(tbl_Finance[Ex GST],tbl_Finance[Job Number],C175&amp;""))</f>
        <v/>
      </c>
      <c r="M175" s="27">
        <f>IF(C175="","",SUMIFS(tbl_Finance[Ex GST],tbl_Finance[Job Number],C175&amp;"",tbl_Finance[Xero Invoice No],"&lt;&gt;"))</f>
        <v/>
      </c>
      <c r="N175" s="27">
        <f>IF(C175="","",L175-M175)</f>
        <v/>
      </c>
      <c r="O175" s="24" t="n"/>
      <c r="P175" s="27">
        <f>IF(C175="","",IF(O175="",0,MAX(0,O175-L175)))</f>
        <v/>
      </c>
      <c r="Q175" s="26">
        <f>IF(C175="","",IF(K175=0,"not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R175" s="22" t="n"/>
      <c r="S175" s="22" t="n"/>
      <c r="T175" s="26">
        <f>IF(S175="","",HYPERLINK(IF(LEFT(S175,4)="http",S175,set_QwilrBase&amp;S175),"Open quote"))</f>
        <v/>
      </c>
      <c r="U175" s="71" t="n"/>
      <c r="V175" s="22" t="n"/>
      <c r="W175" s="22" t="n"/>
    </row>
    <row r="176" ht="15" customHeight="1">
      <c r="A176" s="70">
        <f>IF(C176="","",IFERROR(IF(SUMPRODUCT(MAX((tbl_Finance[Job Number]&amp;""=C176&amp;"")*(tbl_Finance[Xero Invoice No]&lt;&gt;"")*tbl_Finance[Date]))=0,"",SUMPRODUCT(MAX((tbl_Finance[Job Number]&amp;""=C176&amp;"")*(tbl_Finance[Xero Invoice No]&lt;&gt;"")*tbl_Finance[Date]))),""))</f>
        <v/>
      </c>
      <c r="B176" s="26">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2" t="n"/>
      <c r="D176" s="26">
        <f>IF(C176="","",IF(COUNTIF(lst_Jobs,C176&amp;"")&gt;0,"OK","CHECK"))</f>
        <v/>
      </c>
      <c r="E176" s="26">
        <f>IF(C176="","",IFERROR(INDEX(lst_JobName,MATCH(C176&amp;"",lst_Jobs,0)),""))</f>
        <v/>
      </c>
      <c r="F176" s="22" t="n"/>
      <c r="G176" s="22" t="n"/>
      <c r="H176" s="22" t="n"/>
      <c r="I176" s="22" t="n"/>
      <c r="J176" s="22" t="n"/>
      <c r="K176" s="28">
        <f>IF(C176="","",COUNTIFS(tbl_Finance[Job Number],C176&amp;"",tbl_Finance[Ex GST],"&lt;&gt;"))</f>
        <v/>
      </c>
      <c r="L176" s="27">
        <f>IF(C176="","",SUMIFS(tbl_Finance[Ex GST],tbl_Finance[Job Number],C176&amp;""))</f>
        <v/>
      </c>
      <c r="M176" s="27">
        <f>IF(C176="","",SUMIFS(tbl_Finance[Ex GST],tbl_Finance[Job Number],C176&amp;"",tbl_Finance[Xero Invoice No],"&lt;&gt;"))</f>
        <v/>
      </c>
      <c r="N176" s="27">
        <f>IF(C176="","",L176-M176)</f>
        <v/>
      </c>
      <c r="O176" s="24" t="n"/>
      <c r="P176" s="27">
        <f>IF(C176="","",IF(O176="",0,MAX(0,O176-L176)))</f>
        <v/>
      </c>
      <c r="Q176" s="26">
        <f>IF(C176="","",IF(K176=0,"not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R176" s="22" t="n"/>
      <c r="S176" s="22" t="n"/>
      <c r="T176" s="26">
        <f>IF(S176="","",HYPERLINK(IF(LEFT(S176,4)="http",S176,set_QwilrBase&amp;S176),"Open quote"))</f>
        <v/>
      </c>
      <c r="U176" s="71" t="n"/>
      <c r="V176" s="22" t="n"/>
      <c r="W176" s="22" t="n"/>
    </row>
    <row r="177" ht="15" customHeight="1">
      <c r="A177" s="70">
        <f>IF(C177="","",IFERROR(IF(SUMPRODUCT(MAX((tbl_Finance[Job Number]&amp;""=C177&amp;"")*(tbl_Finance[Xero Invoice No]&lt;&gt;"")*tbl_Finance[Date]))=0,"",SUMPRODUCT(MAX((tbl_Finance[Job Number]&amp;""=C177&amp;"")*(tbl_Finance[Xero Invoice No]&lt;&gt;"")*tbl_Finance[Date]))),""))</f>
        <v/>
      </c>
      <c r="B177" s="26">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2" t="n"/>
      <c r="D177" s="26">
        <f>IF(C177="","",IF(COUNTIF(lst_Jobs,C177&amp;"")&gt;0,"OK","CHECK"))</f>
        <v/>
      </c>
      <c r="E177" s="26">
        <f>IF(C177="","",IFERROR(INDEX(lst_JobName,MATCH(C177&amp;"",lst_Jobs,0)),""))</f>
        <v/>
      </c>
      <c r="F177" s="22" t="n"/>
      <c r="G177" s="22" t="n"/>
      <c r="H177" s="22" t="n"/>
      <c r="I177" s="22" t="n"/>
      <c r="J177" s="22" t="n"/>
      <c r="K177" s="28">
        <f>IF(C177="","",COUNTIFS(tbl_Finance[Job Number],C177&amp;"",tbl_Finance[Ex GST],"&lt;&gt;"))</f>
        <v/>
      </c>
      <c r="L177" s="27">
        <f>IF(C177="","",SUMIFS(tbl_Finance[Ex GST],tbl_Finance[Job Number],C177&amp;""))</f>
        <v/>
      </c>
      <c r="M177" s="27">
        <f>IF(C177="","",SUMIFS(tbl_Finance[Ex GST],tbl_Finance[Job Number],C177&amp;"",tbl_Finance[Xero Invoice No],"&lt;&gt;"))</f>
        <v/>
      </c>
      <c r="N177" s="27">
        <f>IF(C177="","",L177-M177)</f>
        <v/>
      </c>
      <c r="O177" s="24" t="n"/>
      <c r="P177" s="27">
        <f>IF(C177="","",IF(O177="",0,MAX(0,O177-L177)))</f>
        <v/>
      </c>
      <c r="Q177" s="26">
        <f>IF(C177="","",IF(K177=0,"not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R177" s="22" t="n"/>
      <c r="S177" s="22" t="n"/>
      <c r="T177" s="26">
        <f>IF(S177="","",HYPERLINK(IF(LEFT(S177,4)="http",S177,set_QwilrBase&amp;S177),"Open quote"))</f>
        <v/>
      </c>
      <c r="U177" s="71" t="n"/>
      <c r="V177" s="22" t="n"/>
      <c r="W177" s="22" t="n"/>
    </row>
    <row r="178" ht="15" customHeight="1">
      <c r="A178" s="70">
        <f>IF(C178="","",IFERROR(IF(SUMPRODUCT(MAX((tbl_Finance[Job Number]&amp;""=C178&amp;"")*(tbl_Finance[Xero Invoice No]&lt;&gt;"")*tbl_Finance[Date]))=0,"",SUMPRODUCT(MAX((tbl_Finance[Job Number]&amp;""=C178&amp;"")*(tbl_Finance[Xero Invoice No]&lt;&gt;"")*tbl_Finance[Date]))),""))</f>
        <v/>
      </c>
      <c r="B178" s="26">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2" t="n"/>
      <c r="D178" s="26">
        <f>IF(C178="","",IF(COUNTIF(lst_Jobs,C178&amp;"")&gt;0,"OK","CHECK"))</f>
        <v/>
      </c>
      <c r="E178" s="26">
        <f>IF(C178="","",IFERROR(INDEX(lst_JobName,MATCH(C178&amp;"",lst_Jobs,0)),""))</f>
        <v/>
      </c>
      <c r="F178" s="22" t="n"/>
      <c r="G178" s="22" t="n"/>
      <c r="H178" s="22" t="n"/>
      <c r="I178" s="22" t="n"/>
      <c r="J178" s="22" t="n"/>
      <c r="K178" s="28">
        <f>IF(C178="","",COUNTIFS(tbl_Finance[Job Number],C178&amp;"",tbl_Finance[Ex GST],"&lt;&gt;"))</f>
        <v/>
      </c>
      <c r="L178" s="27">
        <f>IF(C178="","",SUMIFS(tbl_Finance[Ex GST],tbl_Finance[Job Number],C178&amp;""))</f>
        <v/>
      </c>
      <c r="M178" s="27">
        <f>IF(C178="","",SUMIFS(tbl_Finance[Ex GST],tbl_Finance[Job Number],C178&amp;"",tbl_Finance[Xero Invoice No],"&lt;&gt;"))</f>
        <v/>
      </c>
      <c r="N178" s="27">
        <f>IF(C178="","",L178-M178)</f>
        <v/>
      </c>
      <c r="O178" s="24" t="n"/>
      <c r="P178" s="27">
        <f>IF(C178="","",IF(O178="",0,MAX(0,O178-L178)))</f>
        <v/>
      </c>
      <c r="Q178" s="26">
        <f>IF(C178="","",IF(K178=0,"not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R178" s="22" t="n"/>
      <c r="S178" s="22" t="n"/>
      <c r="T178" s="26">
        <f>IF(S178="","",HYPERLINK(IF(LEFT(S178,4)="http",S178,set_QwilrBase&amp;S178),"Open quote"))</f>
        <v/>
      </c>
      <c r="U178" s="71" t="n"/>
      <c r="V178" s="22" t="n"/>
      <c r="W178" s="22" t="n"/>
    </row>
    <row r="179" ht="15" customHeight="1">
      <c r="A179" s="70">
        <f>IF(C179="","",IFERROR(IF(SUMPRODUCT(MAX((tbl_Finance[Job Number]&amp;""=C179&amp;"")*(tbl_Finance[Xero Invoice No]&lt;&gt;"")*tbl_Finance[Date]))=0,"",SUMPRODUCT(MAX((tbl_Finance[Job Number]&amp;""=C179&amp;"")*(tbl_Finance[Xero Invoice No]&lt;&gt;"")*tbl_Finance[Date]))),""))</f>
        <v/>
      </c>
      <c r="B179" s="26">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2" t="n"/>
      <c r="D179" s="26">
        <f>IF(C179="","",IF(COUNTIF(lst_Jobs,C179&amp;"")&gt;0,"OK","CHECK"))</f>
        <v/>
      </c>
      <c r="E179" s="26">
        <f>IF(C179="","",IFERROR(INDEX(lst_JobName,MATCH(C179&amp;"",lst_Jobs,0)),""))</f>
        <v/>
      </c>
      <c r="F179" s="22" t="n"/>
      <c r="G179" s="22" t="n"/>
      <c r="H179" s="22" t="n"/>
      <c r="I179" s="22" t="n"/>
      <c r="J179" s="22" t="n"/>
      <c r="K179" s="28">
        <f>IF(C179="","",COUNTIFS(tbl_Finance[Job Number],C179&amp;"",tbl_Finance[Ex GST],"&lt;&gt;"))</f>
        <v/>
      </c>
      <c r="L179" s="27">
        <f>IF(C179="","",SUMIFS(tbl_Finance[Ex GST],tbl_Finance[Job Number],C179&amp;""))</f>
        <v/>
      </c>
      <c r="M179" s="27">
        <f>IF(C179="","",SUMIFS(tbl_Finance[Ex GST],tbl_Finance[Job Number],C179&amp;"",tbl_Finance[Xero Invoice No],"&lt;&gt;"))</f>
        <v/>
      </c>
      <c r="N179" s="27">
        <f>IF(C179="","",L179-M179)</f>
        <v/>
      </c>
      <c r="O179" s="24" t="n"/>
      <c r="P179" s="27">
        <f>IF(C179="","",IF(O179="",0,MAX(0,O179-L179)))</f>
        <v/>
      </c>
      <c r="Q179" s="26">
        <f>IF(C179="","",IF(K179=0,"not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R179" s="22" t="n"/>
      <c r="S179" s="22" t="n"/>
      <c r="T179" s="26">
        <f>IF(S179="","",HYPERLINK(IF(LEFT(S179,4)="http",S179,set_QwilrBase&amp;S179),"Open quote"))</f>
        <v/>
      </c>
      <c r="U179" s="71" t="n"/>
      <c r="V179" s="22" t="n"/>
      <c r="W179" s="22" t="n"/>
    </row>
    <row r="180" ht="15" customHeight="1">
      <c r="A180" s="70">
        <f>IF(C180="","",IFERROR(IF(SUMPRODUCT(MAX((tbl_Finance[Job Number]&amp;""=C180&amp;"")*(tbl_Finance[Xero Invoice No]&lt;&gt;"")*tbl_Finance[Date]))=0,"",SUMPRODUCT(MAX((tbl_Finance[Job Number]&amp;""=C180&amp;"")*(tbl_Finance[Xero Invoice No]&lt;&gt;"")*tbl_Finance[Date]))),""))</f>
        <v/>
      </c>
      <c r="B180" s="26">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2" t="n"/>
      <c r="D180" s="26">
        <f>IF(C180="","",IF(COUNTIF(lst_Jobs,C180&amp;"")&gt;0,"OK","CHECK"))</f>
        <v/>
      </c>
      <c r="E180" s="26">
        <f>IF(C180="","",IFERROR(INDEX(lst_JobName,MATCH(C180&amp;"",lst_Jobs,0)),""))</f>
        <v/>
      </c>
      <c r="F180" s="22" t="n"/>
      <c r="G180" s="22" t="n"/>
      <c r="H180" s="22" t="n"/>
      <c r="I180" s="22" t="n"/>
      <c r="J180" s="22" t="n"/>
      <c r="K180" s="28">
        <f>IF(C180="","",COUNTIFS(tbl_Finance[Job Number],C180&amp;"",tbl_Finance[Ex GST],"&lt;&gt;"))</f>
        <v/>
      </c>
      <c r="L180" s="27">
        <f>IF(C180="","",SUMIFS(tbl_Finance[Ex GST],tbl_Finance[Job Number],C180&amp;""))</f>
        <v/>
      </c>
      <c r="M180" s="27">
        <f>IF(C180="","",SUMIFS(tbl_Finance[Ex GST],tbl_Finance[Job Number],C180&amp;"",tbl_Finance[Xero Invoice No],"&lt;&gt;"))</f>
        <v/>
      </c>
      <c r="N180" s="27">
        <f>IF(C180="","",L180-M180)</f>
        <v/>
      </c>
      <c r="O180" s="24" t="n"/>
      <c r="P180" s="27">
        <f>IF(C180="","",IF(O180="",0,MAX(0,O180-L180)))</f>
        <v/>
      </c>
      <c r="Q180" s="26">
        <f>IF(C180="","",IF(K180=0,"not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R180" s="22" t="n"/>
      <c r="S180" s="22" t="n"/>
      <c r="T180" s="26">
        <f>IF(S180="","",HYPERLINK(IF(LEFT(S180,4)="http",S180,set_QwilrBase&amp;S180),"Open quote"))</f>
        <v/>
      </c>
      <c r="U180" s="71" t="n"/>
      <c r="V180" s="22" t="n"/>
      <c r="W180" s="22" t="n"/>
    </row>
    <row r="181" ht="15" customHeight="1">
      <c r="A181" s="70">
        <f>IF(C181="","",IFERROR(IF(SUMPRODUCT(MAX((tbl_Finance[Job Number]&amp;""=C181&amp;"")*(tbl_Finance[Xero Invoice No]&lt;&gt;"")*tbl_Finance[Date]))=0,"",SUMPRODUCT(MAX((tbl_Finance[Job Number]&amp;""=C181&amp;"")*(tbl_Finance[Xero Invoice No]&lt;&gt;"")*tbl_Finance[Date]))),""))</f>
        <v/>
      </c>
      <c r="B181" s="26">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2" t="n"/>
      <c r="D181" s="26">
        <f>IF(C181="","",IF(COUNTIF(lst_Jobs,C181&amp;"")&gt;0,"OK","CHECK"))</f>
        <v/>
      </c>
      <c r="E181" s="26">
        <f>IF(C181="","",IFERROR(INDEX(lst_JobName,MATCH(C181&amp;"",lst_Jobs,0)),""))</f>
        <v/>
      </c>
      <c r="F181" s="22" t="n"/>
      <c r="G181" s="22" t="n"/>
      <c r="H181" s="22" t="n"/>
      <c r="I181" s="22" t="n"/>
      <c r="J181" s="22" t="n"/>
      <c r="K181" s="28">
        <f>IF(C181="","",COUNTIFS(tbl_Finance[Job Number],C181&amp;"",tbl_Finance[Ex GST],"&lt;&gt;"))</f>
        <v/>
      </c>
      <c r="L181" s="27">
        <f>IF(C181="","",SUMIFS(tbl_Finance[Ex GST],tbl_Finance[Job Number],C181&amp;""))</f>
        <v/>
      </c>
      <c r="M181" s="27">
        <f>IF(C181="","",SUMIFS(tbl_Finance[Ex GST],tbl_Finance[Job Number],C181&amp;"",tbl_Finance[Xero Invoice No],"&lt;&gt;"))</f>
        <v/>
      </c>
      <c r="N181" s="27">
        <f>IF(C181="","",L181-M181)</f>
        <v/>
      </c>
      <c r="O181" s="24" t="n"/>
      <c r="P181" s="27">
        <f>IF(C181="","",IF(O181="",0,MAX(0,O181-L181)))</f>
        <v/>
      </c>
      <c r="Q181" s="26">
        <f>IF(C181="","",IF(K181=0,"not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R181" s="22" t="n"/>
      <c r="S181" s="22" t="n"/>
      <c r="T181" s="26">
        <f>IF(S181="","",HYPERLINK(IF(LEFT(S181,4)="http",S181,set_QwilrBase&amp;S181),"Open quote"))</f>
        <v/>
      </c>
      <c r="U181" s="71" t="n"/>
      <c r="V181" s="22" t="n"/>
      <c r="W181" s="22" t="n"/>
    </row>
    <row r="182" ht="15" customHeight="1">
      <c r="A182" s="70">
        <f>IF(C182="","",IFERROR(IF(SUMPRODUCT(MAX((tbl_Finance[Job Number]&amp;""=C182&amp;"")*(tbl_Finance[Xero Invoice No]&lt;&gt;"")*tbl_Finance[Date]))=0,"",SUMPRODUCT(MAX((tbl_Finance[Job Number]&amp;""=C182&amp;"")*(tbl_Finance[Xero Invoice No]&lt;&gt;"")*tbl_Finance[Date]))),""))</f>
        <v/>
      </c>
      <c r="B182" s="26">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2" t="n"/>
      <c r="D182" s="26">
        <f>IF(C182="","",IF(COUNTIF(lst_Jobs,C182&amp;"")&gt;0,"OK","CHECK"))</f>
        <v/>
      </c>
      <c r="E182" s="26">
        <f>IF(C182="","",IFERROR(INDEX(lst_JobName,MATCH(C182&amp;"",lst_Jobs,0)),""))</f>
        <v/>
      </c>
      <c r="F182" s="22" t="n"/>
      <c r="G182" s="22" t="n"/>
      <c r="H182" s="22" t="n"/>
      <c r="I182" s="22" t="n"/>
      <c r="J182" s="22" t="n"/>
      <c r="K182" s="28">
        <f>IF(C182="","",COUNTIFS(tbl_Finance[Job Number],C182&amp;"",tbl_Finance[Ex GST],"&lt;&gt;"))</f>
        <v/>
      </c>
      <c r="L182" s="27">
        <f>IF(C182="","",SUMIFS(tbl_Finance[Ex GST],tbl_Finance[Job Number],C182&amp;""))</f>
        <v/>
      </c>
      <c r="M182" s="27">
        <f>IF(C182="","",SUMIFS(tbl_Finance[Ex GST],tbl_Finance[Job Number],C182&amp;"",tbl_Finance[Xero Invoice No],"&lt;&gt;"))</f>
        <v/>
      </c>
      <c r="N182" s="27">
        <f>IF(C182="","",L182-M182)</f>
        <v/>
      </c>
      <c r="O182" s="24" t="n"/>
      <c r="P182" s="27">
        <f>IF(C182="","",IF(O182="",0,MAX(0,O182-L182)))</f>
        <v/>
      </c>
      <c r="Q182" s="26">
        <f>IF(C182="","",IF(K182=0,"not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R182" s="22" t="n"/>
      <c r="S182" s="22" t="n"/>
      <c r="T182" s="26">
        <f>IF(S182="","",HYPERLINK(IF(LEFT(S182,4)="http",S182,set_QwilrBase&amp;S182),"Open quote"))</f>
        <v/>
      </c>
      <c r="U182" s="71" t="n"/>
      <c r="V182" s="22" t="n"/>
      <c r="W182" s="22" t="n"/>
    </row>
    <row r="183" ht="15" customHeight="1">
      <c r="A183" s="70">
        <f>IF(C183="","",IFERROR(IF(SUMPRODUCT(MAX((tbl_Finance[Job Number]&amp;""=C183&amp;"")*(tbl_Finance[Xero Invoice No]&lt;&gt;"")*tbl_Finance[Date]))=0,"",SUMPRODUCT(MAX((tbl_Finance[Job Number]&amp;""=C183&amp;"")*(tbl_Finance[Xero Invoice No]&lt;&gt;"")*tbl_Finance[Date]))),""))</f>
        <v/>
      </c>
      <c r="B183" s="26">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2" t="n"/>
      <c r="D183" s="26">
        <f>IF(C183="","",IF(COUNTIF(lst_Jobs,C183&amp;"")&gt;0,"OK","CHECK"))</f>
        <v/>
      </c>
      <c r="E183" s="26">
        <f>IF(C183="","",IFERROR(INDEX(lst_JobName,MATCH(C183&amp;"",lst_Jobs,0)),""))</f>
        <v/>
      </c>
      <c r="F183" s="22" t="n"/>
      <c r="G183" s="22" t="n"/>
      <c r="H183" s="22" t="n"/>
      <c r="I183" s="22" t="n"/>
      <c r="J183" s="22" t="n"/>
      <c r="K183" s="28">
        <f>IF(C183="","",COUNTIFS(tbl_Finance[Job Number],C183&amp;"",tbl_Finance[Ex GST],"&lt;&gt;"))</f>
        <v/>
      </c>
      <c r="L183" s="27">
        <f>IF(C183="","",SUMIFS(tbl_Finance[Ex GST],tbl_Finance[Job Number],C183&amp;""))</f>
        <v/>
      </c>
      <c r="M183" s="27">
        <f>IF(C183="","",SUMIFS(tbl_Finance[Ex GST],tbl_Finance[Job Number],C183&amp;"",tbl_Finance[Xero Invoice No],"&lt;&gt;"))</f>
        <v/>
      </c>
      <c r="N183" s="27">
        <f>IF(C183="","",L183-M183)</f>
        <v/>
      </c>
      <c r="O183" s="24" t="n"/>
      <c r="P183" s="27">
        <f>IF(C183="","",IF(O183="",0,MAX(0,O183-L183)))</f>
        <v/>
      </c>
      <c r="Q183" s="26">
        <f>IF(C183="","",IF(K183=0,"not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R183" s="22" t="n"/>
      <c r="S183" s="22" t="n"/>
      <c r="T183" s="26">
        <f>IF(S183="","",HYPERLINK(IF(LEFT(S183,4)="http",S183,set_QwilrBase&amp;S183),"Open quote"))</f>
        <v/>
      </c>
      <c r="U183" s="71" t="n"/>
      <c r="V183" s="22" t="n"/>
      <c r="W183" s="22" t="n"/>
    </row>
    <row r="184" ht="15" customHeight="1">
      <c r="A184" s="70">
        <f>IF(C184="","",IFERROR(IF(SUMPRODUCT(MAX((tbl_Finance[Job Number]&amp;""=C184&amp;"")*(tbl_Finance[Xero Invoice No]&lt;&gt;"")*tbl_Finance[Date]))=0,"",SUMPRODUCT(MAX((tbl_Finance[Job Number]&amp;""=C184&amp;"")*(tbl_Finance[Xero Invoice No]&lt;&gt;"")*tbl_Finance[Date]))),""))</f>
        <v/>
      </c>
      <c r="B184" s="26">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2" t="n"/>
      <c r="D184" s="26">
        <f>IF(C184="","",IF(COUNTIF(lst_Jobs,C184&amp;"")&gt;0,"OK","CHECK"))</f>
        <v/>
      </c>
      <c r="E184" s="26">
        <f>IF(C184="","",IFERROR(INDEX(lst_JobName,MATCH(C184&amp;"",lst_Jobs,0)),""))</f>
        <v/>
      </c>
      <c r="F184" s="22" t="n"/>
      <c r="G184" s="22" t="n"/>
      <c r="H184" s="22" t="n"/>
      <c r="I184" s="22" t="n"/>
      <c r="J184" s="22" t="n"/>
      <c r="K184" s="28">
        <f>IF(C184="","",COUNTIFS(tbl_Finance[Job Number],C184&amp;"",tbl_Finance[Ex GST],"&lt;&gt;"))</f>
        <v/>
      </c>
      <c r="L184" s="27">
        <f>IF(C184="","",SUMIFS(tbl_Finance[Ex GST],tbl_Finance[Job Number],C184&amp;""))</f>
        <v/>
      </c>
      <c r="M184" s="27">
        <f>IF(C184="","",SUMIFS(tbl_Finance[Ex GST],tbl_Finance[Job Number],C184&amp;"",tbl_Finance[Xero Invoice No],"&lt;&gt;"))</f>
        <v/>
      </c>
      <c r="N184" s="27">
        <f>IF(C184="","",L184-M184)</f>
        <v/>
      </c>
      <c r="O184" s="24" t="n"/>
      <c r="P184" s="27">
        <f>IF(C184="","",IF(O184="",0,MAX(0,O184-L184)))</f>
        <v/>
      </c>
      <c r="Q184" s="26">
        <f>IF(C184="","",IF(K184=0,"not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R184" s="22" t="n"/>
      <c r="S184" s="22" t="n"/>
      <c r="T184" s="26">
        <f>IF(S184="","",HYPERLINK(IF(LEFT(S184,4)="http",S184,set_QwilrBase&amp;S184),"Open quote"))</f>
        <v/>
      </c>
      <c r="U184" s="71" t="n"/>
      <c r="V184" s="22" t="n"/>
      <c r="W184" s="22" t="n"/>
    </row>
    <row r="185" ht="15" customHeight="1">
      <c r="A185" s="70">
        <f>IF(C185="","",IFERROR(IF(SUMPRODUCT(MAX((tbl_Finance[Job Number]&amp;""=C185&amp;"")*(tbl_Finance[Xero Invoice No]&lt;&gt;"")*tbl_Finance[Date]))=0,"",SUMPRODUCT(MAX((tbl_Finance[Job Number]&amp;""=C185&amp;"")*(tbl_Finance[Xero Invoice No]&lt;&gt;"")*tbl_Finance[Date]))),""))</f>
        <v/>
      </c>
      <c r="B185" s="26">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2" t="n"/>
      <c r="D185" s="26">
        <f>IF(C185="","",IF(COUNTIF(lst_Jobs,C185&amp;"")&gt;0,"OK","CHECK"))</f>
        <v/>
      </c>
      <c r="E185" s="26">
        <f>IF(C185="","",IFERROR(INDEX(lst_JobName,MATCH(C185&amp;"",lst_Jobs,0)),""))</f>
        <v/>
      </c>
      <c r="F185" s="22" t="n"/>
      <c r="G185" s="22" t="n"/>
      <c r="H185" s="22" t="n"/>
      <c r="I185" s="22" t="n"/>
      <c r="J185" s="22" t="n"/>
      <c r="K185" s="28">
        <f>IF(C185="","",COUNTIFS(tbl_Finance[Job Number],C185&amp;"",tbl_Finance[Ex GST],"&lt;&gt;"))</f>
        <v/>
      </c>
      <c r="L185" s="27">
        <f>IF(C185="","",SUMIFS(tbl_Finance[Ex GST],tbl_Finance[Job Number],C185&amp;""))</f>
        <v/>
      </c>
      <c r="M185" s="27">
        <f>IF(C185="","",SUMIFS(tbl_Finance[Ex GST],tbl_Finance[Job Number],C185&amp;"",tbl_Finance[Xero Invoice No],"&lt;&gt;"))</f>
        <v/>
      </c>
      <c r="N185" s="27">
        <f>IF(C185="","",L185-M185)</f>
        <v/>
      </c>
      <c r="O185" s="24" t="n"/>
      <c r="P185" s="27">
        <f>IF(C185="","",IF(O185="",0,MAX(0,O185-L185)))</f>
        <v/>
      </c>
      <c r="Q185" s="26">
        <f>IF(C185="","",IF(K185=0,"not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R185" s="22" t="n"/>
      <c r="S185" s="22" t="n"/>
      <c r="T185" s="26">
        <f>IF(S185="","",HYPERLINK(IF(LEFT(S185,4)="http",S185,set_QwilrBase&amp;S185),"Open quote"))</f>
        <v/>
      </c>
      <c r="U185" s="71" t="n"/>
      <c r="V185" s="22" t="n"/>
      <c r="W185" s="22" t="n"/>
    </row>
    <row r="186" ht="15" customHeight="1">
      <c r="A186" s="70">
        <f>IF(C186="","",IFERROR(IF(SUMPRODUCT(MAX((tbl_Finance[Job Number]&amp;""=C186&amp;"")*(tbl_Finance[Xero Invoice No]&lt;&gt;"")*tbl_Finance[Date]))=0,"",SUMPRODUCT(MAX((tbl_Finance[Job Number]&amp;""=C186&amp;"")*(tbl_Finance[Xero Invoice No]&lt;&gt;"")*tbl_Finance[Date]))),""))</f>
        <v/>
      </c>
      <c r="B186" s="26">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2" t="n"/>
      <c r="D186" s="26">
        <f>IF(C186="","",IF(COUNTIF(lst_Jobs,C186&amp;"")&gt;0,"OK","CHECK"))</f>
        <v/>
      </c>
      <c r="E186" s="26">
        <f>IF(C186="","",IFERROR(INDEX(lst_JobName,MATCH(C186&amp;"",lst_Jobs,0)),""))</f>
        <v/>
      </c>
      <c r="F186" s="22" t="n"/>
      <c r="G186" s="22" t="n"/>
      <c r="H186" s="22" t="n"/>
      <c r="I186" s="22" t="n"/>
      <c r="J186" s="22" t="n"/>
      <c r="K186" s="28">
        <f>IF(C186="","",COUNTIFS(tbl_Finance[Job Number],C186&amp;"",tbl_Finance[Ex GST],"&lt;&gt;"))</f>
        <v/>
      </c>
      <c r="L186" s="27">
        <f>IF(C186="","",SUMIFS(tbl_Finance[Ex GST],tbl_Finance[Job Number],C186&amp;""))</f>
        <v/>
      </c>
      <c r="M186" s="27">
        <f>IF(C186="","",SUMIFS(tbl_Finance[Ex GST],tbl_Finance[Job Number],C186&amp;"",tbl_Finance[Xero Invoice No],"&lt;&gt;"))</f>
        <v/>
      </c>
      <c r="N186" s="27">
        <f>IF(C186="","",L186-M186)</f>
        <v/>
      </c>
      <c r="O186" s="24" t="n"/>
      <c r="P186" s="27">
        <f>IF(C186="","",IF(O186="",0,MAX(0,O186-L186)))</f>
        <v/>
      </c>
      <c r="Q186" s="26">
        <f>IF(C186="","",IF(K186=0,"not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R186" s="22" t="n"/>
      <c r="S186" s="22" t="n"/>
      <c r="T186" s="26">
        <f>IF(S186="","",HYPERLINK(IF(LEFT(S186,4)="http",S186,set_QwilrBase&amp;S186),"Open quote"))</f>
        <v/>
      </c>
      <c r="U186" s="71" t="n"/>
      <c r="V186" s="22" t="n"/>
      <c r="W186" s="22" t="n"/>
    </row>
    <row r="187" ht="15" customHeight="1">
      <c r="A187" s="70">
        <f>IF(C187="","",IFERROR(IF(SUMPRODUCT(MAX((tbl_Finance[Job Number]&amp;""=C187&amp;"")*(tbl_Finance[Xero Invoice No]&lt;&gt;"")*tbl_Finance[Date]))=0,"",SUMPRODUCT(MAX((tbl_Finance[Job Number]&amp;""=C187&amp;"")*(tbl_Finance[Xero Invoice No]&lt;&gt;"")*tbl_Finance[Date]))),""))</f>
        <v/>
      </c>
      <c r="B187" s="26">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2" t="n"/>
      <c r="D187" s="26">
        <f>IF(C187="","",IF(COUNTIF(lst_Jobs,C187&amp;"")&gt;0,"OK","CHECK"))</f>
        <v/>
      </c>
      <c r="E187" s="26">
        <f>IF(C187="","",IFERROR(INDEX(lst_JobName,MATCH(C187&amp;"",lst_Jobs,0)),""))</f>
        <v/>
      </c>
      <c r="F187" s="22" t="n"/>
      <c r="G187" s="22" t="n"/>
      <c r="H187" s="22" t="n"/>
      <c r="I187" s="22" t="n"/>
      <c r="J187" s="22" t="n"/>
      <c r="K187" s="28">
        <f>IF(C187="","",COUNTIFS(tbl_Finance[Job Number],C187&amp;"",tbl_Finance[Ex GST],"&lt;&gt;"))</f>
        <v/>
      </c>
      <c r="L187" s="27">
        <f>IF(C187="","",SUMIFS(tbl_Finance[Ex GST],tbl_Finance[Job Number],C187&amp;""))</f>
        <v/>
      </c>
      <c r="M187" s="27">
        <f>IF(C187="","",SUMIFS(tbl_Finance[Ex GST],tbl_Finance[Job Number],C187&amp;"",tbl_Finance[Xero Invoice No],"&lt;&gt;"))</f>
        <v/>
      </c>
      <c r="N187" s="27">
        <f>IF(C187="","",L187-M187)</f>
        <v/>
      </c>
      <c r="O187" s="24" t="n"/>
      <c r="P187" s="27">
        <f>IF(C187="","",IF(O187="",0,MAX(0,O187-L187)))</f>
        <v/>
      </c>
      <c r="Q187" s="26">
        <f>IF(C187="","",IF(K187=0,"not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R187" s="22" t="n"/>
      <c r="S187" s="22" t="n"/>
      <c r="T187" s="26">
        <f>IF(S187="","",HYPERLINK(IF(LEFT(S187,4)="http",S187,set_QwilrBase&amp;S187),"Open quote"))</f>
        <v/>
      </c>
      <c r="U187" s="71" t="n"/>
      <c r="V187" s="22" t="n"/>
      <c r="W187" s="22" t="n"/>
    </row>
    <row r="188" ht="15" customHeight="1">
      <c r="A188" s="70">
        <f>IF(C188="","",IFERROR(IF(SUMPRODUCT(MAX((tbl_Finance[Job Number]&amp;""=C188&amp;"")*(tbl_Finance[Xero Invoice No]&lt;&gt;"")*tbl_Finance[Date]))=0,"",SUMPRODUCT(MAX((tbl_Finance[Job Number]&amp;""=C188&amp;"")*(tbl_Finance[Xero Invoice No]&lt;&gt;"")*tbl_Finance[Date]))),""))</f>
        <v/>
      </c>
      <c r="B188" s="26">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2" t="n"/>
      <c r="D188" s="26">
        <f>IF(C188="","",IF(COUNTIF(lst_Jobs,C188&amp;"")&gt;0,"OK","CHECK"))</f>
        <v/>
      </c>
      <c r="E188" s="26">
        <f>IF(C188="","",IFERROR(INDEX(lst_JobName,MATCH(C188&amp;"",lst_Jobs,0)),""))</f>
        <v/>
      </c>
      <c r="F188" s="22" t="n"/>
      <c r="G188" s="22" t="n"/>
      <c r="H188" s="22" t="n"/>
      <c r="I188" s="22" t="n"/>
      <c r="J188" s="22" t="n"/>
      <c r="K188" s="28">
        <f>IF(C188="","",COUNTIFS(tbl_Finance[Job Number],C188&amp;"",tbl_Finance[Ex GST],"&lt;&gt;"))</f>
        <v/>
      </c>
      <c r="L188" s="27">
        <f>IF(C188="","",SUMIFS(tbl_Finance[Ex GST],tbl_Finance[Job Number],C188&amp;""))</f>
        <v/>
      </c>
      <c r="M188" s="27">
        <f>IF(C188="","",SUMIFS(tbl_Finance[Ex GST],tbl_Finance[Job Number],C188&amp;"",tbl_Finance[Xero Invoice No],"&lt;&gt;"))</f>
        <v/>
      </c>
      <c r="N188" s="27">
        <f>IF(C188="","",L188-M188)</f>
        <v/>
      </c>
      <c r="O188" s="24" t="n"/>
      <c r="P188" s="27">
        <f>IF(C188="","",IF(O188="",0,MAX(0,O188-L188)))</f>
        <v/>
      </c>
      <c r="Q188" s="26">
        <f>IF(C188="","",IF(K188=0,"not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R188" s="22" t="n"/>
      <c r="S188" s="22" t="n"/>
      <c r="T188" s="26">
        <f>IF(S188="","",HYPERLINK(IF(LEFT(S188,4)="http",S188,set_QwilrBase&amp;S188),"Open quote"))</f>
        <v/>
      </c>
      <c r="U188" s="71" t="n"/>
      <c r="V188" s="22" t="n"/>
      <c r="W188" s="22" t="n"/>
    </row>
    <row r="189" ht="15" customHeight="1">
      <c r="A189" s="70">
        <f>IF(C189="","",IFERROR(IF(SUMPRODUCT(MAX((tbl_Finance[Job Number]&amp;""=C189&amp;"")*(tbl_Finance[Xero Invoice No]&lt;&gt;"")*tbl_Finance[Date]))=0,"",SUMPRODUCT(MAX((tbl_Finance[Job Number]&amp;""=C189&amp;"")*(tbl_Finance[Xero Invoice No]&lt;&gt;"")*tbl_Finance[Date]))),""))</f>
        <v/>
      </c>
      <c r="B189" s="26">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2" t="n"/>
      <c r="D189" s="26">
        <f>IF(C189="","",IF(COUNTIF(lst_Jobs,C189&amp;"")&gt;0,"OK","CHECK"))</f>
        <v/>
      </c>
      <c r="E189" s="26">
        <f>IF(C189="","",IFERROR(INDEX(lst_JobName,MATCH(C189&amp;"",lst_Jobs,0)),""))</f>
        <v/>
      </c>
      <c r="F189" s="22" t="n"/>
      <c r="G189" s="22" t="n"/>
      <c r="H189" s="22" t="n"/>
      <c r="I189" s="22" t="n"/>
      <c r="J189" s="22" t="n"/>
      <c r="K189" s="28">
        <f>IF(C189="","",COUNTIFS(tbl_Finance[Job Number],C189&amp;"",tbl_Finance[Ex GST],"&lt;&gt;"))</f>
        <v/>
      </c>
      <c r="L189" s="27">
        <f>IF(C189="","",SUMIFS(tbl_Finance[Ex GST],tbl_Finance[Job Number],C189&amp;""))</f>
        <v/>
      </c>
      <c r="M189" s="27">
        <f>IF(C189="","",SUMIFS(tbl_Finance[Ex GST],tbl_Finance[Job Number],C189&amp;"",tbl_Finance[Xero Invoice No],"&lt;&gt;"))</f>
        <v/>
      </c>
      <c r="N189" s="27">
        <f>IF(C189="","",L189-M189)</f>
        <v/>
      </c>
      <c r="O189" s="24" t="n"/>
      <c r="P189" s="27">
        <f>IF(C189="","",IF(O189="",0,MAX(0,O189-L189)))</f>
        <v/>
      </c>
      <c r="Q189" s="26">
        <f>IF(C189="","",IF(K189=0,"not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R189" s="22" t="n"/>
      <c r="S189" s="22" t="n"/>
      <c r="T189" s="26">
        <f>IF(S189="","",HYPERLINK(IF(LEFT(S189,4)="http",S189,set_QwilrBase&amp;S189),"Open quote"))</f>
        <v/>
      </c>
      <c r="U189" s="71" t="n"/>
      <c r="V189" s="22" t="n"/>
      <c r="W189" s="22" t="n"/>
    </row>
    <row r="190" ht="15" customHeight="1">
      <c r="A190" s="70">
        <f>IF(C190="","",IFERROR(IF(SUMPRODUCT(MAX((tbl_Finance[Job Number]&amp;""=C190&amp;"")*(tbl_Finance[Xero Invoice No]&lt;&gt;"")*tbl_Finance[Date]))=0,"",SUMPRODUCT(MAX((tbl_Finance[Job Number]&amp;""=C190&amp;"")*(tbl_Finance[Xero Invoice No]&lt;&gt;"")*tbl_Finance[Date]))),""))</f>
        <v/>
      </c>
      <c r="B190" s="26">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2" t="n"/>
      <c r="D190" s="26">
        <f>IF(C190="","",IF(COUNTIF(lst_Jobs,C190&amp;"")&gt;0,"OK","CHECK"))</f>
        <v/>
      </c>
      <c r="E190" s="26">
        <f>IF(C190="","",IFERROR(INDEX(lst_JobName,MATCH(C190&amp;"",lst_Jobs,0)),""))</f>
        <v/>
      </c>
      <c r="F190" s="22" t="n"/>
      <c r="G190" s="22" t="n"/>
      <c r="H190" s="22" t="n"/>
      <c r="I190" s="22" t="n"/>
      <c r="J190" s="22" t="n"/>
      <c r="K190" s="28">
        <f>IF(C190="","",COUNTIFS(tbl_Finance[Job Number],C190&amp;"",tbl_Finance[Ex GST],"&lt;&gt;"))</f>
        <v/>
      </c>
      <c r="L190" s="27">
        <f>IF(C190="","",SUMIFS(tbl_Finance[Ex GST],tbl_Finance[Job Number],C190&amp;""))</f>
        <v/>
      </c>
      <c r="M190" s="27">
        <f>IF(C190="","",SUMIFS(tbl_Finance[Ex GST],tbl_Finance[Job Number],C190&amp;"",tbl_Finance[Xero Invoice No],"&lt;&gt;"))</f>
        <v/>
      </c>
      <c r="N190" s="27">
        <f>IF(C190="","",L190-M190)</f>
        <v/>
      </c>
      <c r="O190" s="24" t="n"/>
      <c r="P190" s="27">
        <f>IF(C190="","",IF(O190="",0,MAX(0,O190-L190)))</f>
        <v/>
      </c>
      <c r="Q190" s="26">
        <f>IF(C190="","",IF(K190=0,"not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R190" s="22" t="n"/>
      <c r="S190" s="22" t="n"/>
      <c r="T190" s="26">
        <f>IF(S190="","",HYPERLINK(IF(LEFT(S190,4)="http",S190,set_QwilrBase&amp;S190),"Open quote"))</f>
        <v/>
      </c>
      <c r="U190" s="71" t="n"/>
      <c r="V190" s="22" t="n"/>
      <c r="W190" s="22" t="n"/>
    </row>
    <row r="191" ht="15" customHeight="1">
      <c r="A191" s="70">
        <f>IF(C191="","",IFERROR(IF(SUMPRODUCT(MAX((tbl_Finance[Job Number]&amp;""=C191&amp;"")*(tbl_Finance[Xero Invoice No]&lt;&gt;"")*tbl_Finance[Date]))=0,"",SUMPRODUCT(MAX((tbl_Finance[Job Number]&amp;""=C191&amp;"")*(tbl_Finance[Xero Invoice No]&lt;&gt;"")*tbl_Finance[Date]))),""))</f>
        <v/>
      </c>
      <c r="B191" s="26">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2" t="n"/>
      <c r="D191" s="26">
        <f>IF(C191="","",IF(COUNTIF(lst_Jobs,C191&amp;"")&gt;0,"OK","CHECK"))</f>
        <v/>
      </c>
      <c r="E191" s="26">
        <f>IF(C191="","",IFERROR(INDEX(lst_JobName,MATCH(C191&amp;"",lst_Jobs,0)),""))</f>
        <v/>
      </c>
      <c r="F191" s="22" t="n"/>
      <c r="G191" s="22" t="n"/>
      <c r="H191" s="22" t="n"/>
      <c r="I191" s="22" t="n"/>
      <c r="J191" s="22" t="n"/>
      <c r="K191" s="28">
        <f>IF(C191="","",COUNTIFS(tbl_Finance[Job Number],C191&amp;"",tbl_Finance[Ex GST],"&lt;&gt;"))</f>
        <v/>
      </c>
      <c r="L191" s="27">
        <f>IF(C191="","",SUMIFS(tbl_Finance[Ex GST],tbl_Finance[Job Number],C191&amp;""))</f>
        <v/>
      </c>
      <c r="M191" s="27">
        <f>IF(C191="","",SUMIFS(tbl_Finance[Ex GST],tbl_Finance[Job Number],C191&amp;"",tbl_Finance[Xero Invoice No],"&lt;&gt;"))</f>
        <v/>
      </c>
      <c r="N191" s="27">
        <f>IF(C191="","",L191-M191)</f>
        <v/>
      </c>
      <c r="O191" s="24" t="n"/>
      <c r="P191" s="27">
        <f>IF(C191="","",IF(O191="",0,MAX(0,O191-L191)))</f>
        <v/>
      </c>
      <c r="Q191" s="26">
        <f>IF(C191="","",IF(K191=0,"not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R191" s="22" t="n"/>
      <c r="S191" s="22" t="n"/>
      <c r="T191" s="26">
        <f>IF(S191="","",HYPERLINK(IF(LEFT(S191,4)="http",S191,set_QwilrBase&amp;S191),"Open quote"))</f>
        <v/>
      </c>
      <c r="U191" s="71" t="n"/>
      <c r="V191" s="22" t="n"/>
      <c r="W191" s="22" t="n"/>
    </row>
    <row r="192" ht="15" customHeight="1">
      <c r="A192" s="70">
        <f>IF(C192="","",IFERROR(IF(SUMPRODUCT(MAX((tbl_Finance[Job Number]&amp;""=C192&amp;"")*(tbl_Finance[Xero Invoice No]&lt;&gt;"")*tbl_Finance[Date]))=0,"",SUMPRODUCT(MAX((tbl_Finance[Job Number]&amp;""=C192&amp;"")*(tbl_Finance[Xero Invoice No]&lt;&gt;"")*tbl_Finance[Date]))),""))</f>
        <v/>
      </c>
      <c r="B192" s="26">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2" t="n"/>
      <c r="D192" s="26">
        <f>IF(C192="","",IF(COUNTIF(lst_Jobs,C192&amp;"")&gt;0,"OK","CHECK"))</f>
        <v/>
      </c>
      <c r="E192" s="26">
        <f>IF(C192="","",IFERROR(INDEX(lst_JobName,MATCH(C192&amp;"",lst_Jobs,0)),""))</f>
        <v/>
      </c>
      <c r="F192" s="22" t="n"/>
      <c r="G192" s="22" t="n"/>
      <c r="H192" s="22" t="n"/>
      <c r="I192" s="22" t="n"/>
      <c r="J192" s="22" t="n"/>
      <c r="K192" s="28">
        <f>IF(C192="","",COUNTIFS(tbl_Finance[Job Number],C192&amp;"",tbl_Finance[Ex GST],"&lt;&gt;"))</f>
        <v/>
      </c>
      <c r="L192" s="27">
        <f>IF(C192="","",SUMIFS(tbl_Finance[Ex GST],tbl_Finance[Job Number],C192&amp;""))</f>
        <v/>
      </c>
      <c r="M192" s="27">
        <f>IF(C192="","",SUMIFS(tbl_Finance[Ex GST],tbl_Finance[Job Number],C192&amp;"",tbl_Finance[Xero Invoice No],"&lt;&gt;"))</f>
        <v/>
      </c>
      <c r="N192" s="27">
        <f>IF(C192="","",L192-M192)</f>
        <v/>
      </c>
      <c r="O192" s="24" t="n"/>
      <c r="P192" s="27">
        <f>IF(C192="","",IF(O192="",0,MAX(0,O192-L192)))</f>
        <v/>
      </c>
      <c r="Q192" s="26">
        <f>IF(C192="","",IF(K192=0,"not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R192" s="22" t="n"/>
      <c r="S192" s="22" t="n"/>
      <c r="T192" s="26">
        <f>IF(S192="","",HYPERLINK(IF(LEFT(S192,4)="http",S192,set_QwilrBase&amp;S192),"Open quote"))</f>
        <v/>
      </c>
      <c r="U192" s="71" t="n"/>
      <c r="V192" s="22" t="n"/>
      <c r="W192" s="22" t="n"/>
    </row>
    <row r="193" ht="15" customHeight="1">
      <c r="A193" s="70">
        <f>IF(C193="","",IFERROR(IF(SUMPRODUCT(MAX((tbl_Finance[Job Number]&amp;""=C193&amp;"")*(tbl_Finance[Xero Invoice No]&lt;&gt;"")*tbl_Finance[Date]))=0,"",SUMPRODUCT(MAX((tbl_Finance[Job Number]&amp;""=C193&amp;"")*(tbl_Finance[Xero Invoice No]&lt;&gt;"")*tbl_Finance[Date]))),""))</f>
        <v/>
      </c>
      <c r="B193" s="26">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2" t="n"/>
      <c r="D193" s="26">
        <f>IF(C193="","",IF(COUNTIF(lst_Jobs,C193&amp;"")&gt;0,"OK","CHECK"))</f>
        <v/>
      </c>
      <c r="E193" s="26">
        <f>IF(C193="","",IFERROR(INDEX(lst_JobName,MATCH(C193&amp;"",lst_Jobs,0)),""))</f>
        <v/>
      </c>
      <c r="F193" s="22" t="n"/>
      <c r="G193" s="22" t="n"/>
      <c r="H193" s="22" t="n"/>
      <c r="I193" s="22" t="n"/>
      <c r="J193" s="22" t="n"/>
      <c r="K193" s="28">
        <f>IF(C193="","",COUNTIFS(tbl_Finance[Job Number],C193&amp;"",tbl_Finance[Ex GST],"&lt;&gt;"))</f>
        <v/>
      </c>
      <c r="L193" s="27">
        <f>IF(C193="","",SUMIFS(tbl_Finance[Ex GST],tbl_Finance[Job Number],C193&amp;""))</f>
        <v/>
      </c>
      <c r="M193" s="27">
        <f>IF(C193="","",SUMIFS(tbl_Finance[Ex GST],tbl_Finance[Job Number],C193&amp;"",tbl_Finance[Xero Invoice No],"&lt;&gt;"))</f>
        <v/>
      </c>
      <c r="N193" s="27">
        <f>IF(C193="","",L193-M193)</f>
        <v/>
      </c>
      <c r="O193" s="24" t="n"/>
      <c r="P193" s="27">
        <f>IF(C193="","",IF(O193="",0,MAX(0,O193-L193)))</f>
        <v/>
      </c>
      <c r="Q193" s="26">
        <f>IF(C193="","",IF(K193=0,"not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R193" s="22" t="n"/>
      <c r="S193" s="22" t="n"/>
      <c r="T193" s="26">
        <f>IF(S193="","",HYPERLINK(IF(LEFT(S193,4)="http",S193,set_QwilrBase&amp;S193),"Open quote"))</f>
        <v/>
      </c>
      <c r="U193" s="71" t="n"/>
      <c r="V193" s="22" t="n"/>
      <c r="W193" s="22" t="n"/>
    </row>
    <row r="194" ht="15" customHeight="1">
      <c r="A194" s="70">
        <f>IF(C194="","",IFERROR(IF(SUMPRODUCT(MAX((tbl_Finance[Job Number]&amp;""=C194&amp;"")*(tbl_Finance[Xero Invoice No]&lt;&gt;"")*tbl_Finance[Date]))=0,"",SUMPRODUCT(MAX((tbl_Finance[Job Number]&amp;""=C194&amp;"")*(tbl_Finance[Xero Invoice No]&lt;&gt;"")*tbl_Finance[Date]))),""))</f>
        <v/>
      </c>
      <c r="B194" s="26">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2" t="n"/>
      <c r="D194" s="26">
        <f>IF(C194="","",IF(COUNTIF(lst_Jobs,C194&amp;"")&gt;0,"OK","CHECK"))</f>
        <v/>
      </c>
      <c r="E194" s="26">
        <f>IF(C194="","",IFERROR(INDEX(lst_JobName,MATCH(C194&amp;"",lst_Jobs,0)),""))</f>
        <v/>
      </c>
      <c r="F194" s="22" t="n"/>
      <c r="G194" s="22" t="n"/>
      <c r="H194" s="22" t="n"/>
      <c r="I194" s="22" t="n"/>
      <c r="J194" s="22" t="n"/>
      <c r="K194" s="28">
        <f>IF(C194="","",COUNTIFS(tbl_Finance[Job Number],C194&amp;"",tbl_Finance[Ex GST],"&lt;&gt;"))</f>
        <v/>
      </c>
      <c r="L194" s="27">
        <f>IF(C194="","",SUMIFS(tbl_Finance[Ex GST],tbl_Finance[Job Number],C194&amp;""))</f>
        <v/>
      </c>
      <c r="M194" s="27">
        <f>IF(C194="","",SUMIFS(tbl_Finance[Ex GST],tbl_Finance[Job Number],C194&amp;"",tbl_Finance[Xero Invoice No],"&lt;&gt;"))</f>
        <v/>
      </c>
      <c r="N194" s="27">
        <f>IF(C194="","",L194-M194)</f>
        <v/>
      </c>
      <c r="O194" s="24" t="n"/>
      <c r="P194" s="27">
        <f>IF(C194="","",IF(O194="",0,MAX(0,O194-L194)))</f>
        <v/>
      </c>
      <c r="Q194" s="26">
        <f>IF(C194="","",IF(K194=0,"not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R194" s="22" t="n"/>
      <c r="S194" s="22" t="n"/>
      <c r="T194" s="26">
        <f>IF(S194="","",HYPERLINK(IF(LEFT(S194,4)="http",S194,set_QwilrBase&amp;S194),"Open quote"))</f>
        <v/>
      </c>
      <c r="U194" s="71" t="n"/>
      <c r="V194" s="22" t="n"/>
      <c r="W194" s="22" t="n"/>
    </row>
    <row r="195" ht="15" customHeight="1">
      <c r="A195" s="70">
        <f>IF(C195="","",IFERROR(IF(SUMPRODUCT(MAX((tbl_Finance[Job Number]&amp;""=C195&amp;"")*(tbl_Finance[Xero Invoice No]&lt;&gt;"")*tbl_Finance[Date]))=0,"",SUMPRODUCT(MAX((tbl_Finance[Job Number]&amp;""=C195&amp;"")*(tbl_Finance[Xero Invoice No]&lt;&gt;"")*tbl_Finance[Date]))),""))</f>
        <v/>
      </c>
      <c r="B195" s="26">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2" t="n"/>
      <c r="D195" s="26">
        <f>IF(C195="","",IF(COUNTIF(lst_Jobs,C195&amp;"")&gt;0,"OK","CHECK"))</f>
        <v/>
      </c>
      <c r="E195" s="26">
        <f>IF(C195="","",IFERROR(INDEX(lst_JobName,MATCH(C195&amp;"",lst_Jobs,0)),""))</f>
        <v/>
      </c>
      <c r="F195" s="22" t="n"/>
      <c r="G195" s="22" t="n"/>
      <c r="H195" s="22" t="n"/>
      <c r="I195" s="22" t="n"/>
      <c r="J195" s="22" t="n"/>
      <c r="K195" s="28">
        <f>IF(C195="","",COUNTIFS(tbl_Finance[Job Number],C195&amp;"",tbl_Finance[Ex GST],"&lt;&gt;"))</f>
        <v/>
      </c>
      <c r="L195" s="27">
        <f>IF(C195="","",SUMIFS(tbl_Finance[Ex GST],tbl_Finance[Job Number],C195&amp;""))</f>
        <v/>
      </c>
      <c r="M195" s="27">
        <f>IF(C195="","",SUMIFS(tbl_Finance[Ex GST],tbl_Finance[Job Number],C195&amp;"",tbl_Finance[Xero Invoice No],"&lt;&gt;"))</f>
        <v/>
      </c>
      <c r="N195" s="27">
        <f>IF(C195="","",L195-M195)</f>
        <v/>
      </c>
      <c r="O195" s="24" t="n"/>
      <c r="P195" s="27">
        <f>IF(C195="","",IF(O195="",0,MAX(0,O195-L195)))</f>
        <v/>
      </c>
      <c r="Q195" s="26">
        <f>IF(C195="","",IF(K195=0,"not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R195" s="22" t="n"/>
      <c r="S195" s="22" t="n"/>
      <c r="T195" s="26">
        <f>IF(S195="","",HYPERLINK(IF(LEFT(S195,4)="http",S195,set_QwilrBase&amp;S195),"Open quote"))</f>
        <v/>
      </c>
      <c r="U195" s="71" t="n"/>
      <c r="V195" s="22" t="n"/>
      <c r="W195" s="22" t="n"/>
    </row>
    <row r="196" ht="15" customHeight="1">
      <c r="A196" s="70">
        <f>IF(C196="","",IFERROR(IF(SUMPRODUCT(MAX((tbl_Finance[Job Number]&amp;""=C196&amp;"")*(tbl_Finance[Xero Invoice No]&lt;&gt;"")*tbl_Finance[Date]))=0,"",SUMPRODUCT(MAX((tbl_Finance[Job Number]&amp;""=C196&amp;"")*(tbl_Finance[Xero Invoice No]&lt;&gt;"")*tbl_Finance[Date]))),""))</f>
        <v/>
      </c>
      <c r="B196" s="26">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2" t="n"/>
      <c r="D196" s="26">
        <f>IF(C196="","",IF(COUNTIF(lst_Jobs,C196&amp;"")&gt;0,"OK","CHECK"))</f>
        <v/>
      </c>
      <c r="E196" s="26">
        <f>IF(C196="","",IFERROR(INDEX(lst_JobName,MATCH(C196&amp;"",lst_Jobs,0)),""))</f>
        <v/>
      </c>
      <c r="F196" s="22" t="n"/>
      <c r="G196" s="22" t="n"/>
      <c r="H196" s="22" t="n"/>
      <c r="I196" s="22" t="n"/>
      <c r="J196" s="22" t="n"/>
      <c r="K196" s="28">
        <f>IF(C196="","",COUNTIFS(tbl_Finance[Job Number],C196&amp;"",tbl_Finance[Ex GST],"&lt;&gt;"))</f>
        <v/>
      </c>
      <c r="L196" s="27">
        <f>IF(C196="","",SUMIFS(tbl_Finance[Ex GST],tbl_Finance[Job Number],C196&amp;""))</f>
        <v/>
      </c>
      <c r="M196" s="27">
        <f>IF(C196="","",SUMIFS(tbl_Finance[Ex GST],tbl_Finance[Job Number],C196&amp;"",tbl_Finance[Xero Invoice No],"&lt;&gt;"))</f>
        <v/>
      </c>
      <c r="N196" s="27">
        <f>IF(C196="","",L196-M196)</f>
        <v/>
      </c>
      <c r="O196" s="24" t="n"/>
      <c r="P196" s="27">
        <f>IF(C196="","",IF(O196="",0,MAX(0,O196-L196)))</f>
        <v/>
      </c>
      <c r="Q196" s="26">
        <f>IF(C196="","",IF(K196=0,"not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R196" s="22" t="n"/>
      <c r="S196" s="22" t="n"/>
      <c r="T196" s="26">
        <f>IF(S196="","",HYPERLINK(IF(LEFT(S196,4)="http",S196,set_QwilrBase&amp;S196),"Open quote"))</f>
        <v/>
      </c>
      <c r="U196" s="71" t="n"/>
      <c r="V196" s="22" t="n"/>
      <c r="W196" s="22" t="n"/>
    </row>
    <row r="197" ht="15" customHeight="1">
      <c r="A197" s="70">
        <f>IF(C197="","",IFERROR(IF(SUMPRODUCT(MAX((tbl_Finance[Job Number]&amp;""=C197&amp;"")*(tbl_Finance[Xero Invoice No]&lt;&gt;"")*tbl_Finance[Date]))=0,"",SUMPRODUCT(MAX((tbl_Finance[Job Number]&amp;""=C197&amp;"")*(tbl_Finance[Xero Invoice No]&lt;&gt;"")*tbl_Finance[Date]))),""))</f>
        <v/>
      </c>
      <c r="B197" s="26">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2" t="n"/>
      <c r="D197" s="26">
        <f>IF(C197="","",IF(COUNTIF(lst_Jobs,C197&amp;"")&gt;0,"OK","CHECK"))</f>
        <v/>
      </c>
      <c r="E197" s="26">
        <f>IF(C197="","",IFERROR(INDEX(lst_JobName,MATCH(C197&amp;"",lst_Jobs,0)),""))</f>
        <v/>
      </c>
      <c r="F197" s="22" t="n"/>
      <c r="G197" s="22" t="n"/>
      <c r="H197" s="22" t="n"/>
      <c r="I197" s="22" t="n"/>
      <c r="J197" s="22" t="n"/>
      <c r="K197" s="28">
        <f>IF(C197="","",COUNTIFS(tbl_Finance[Job Number],C197&amp;"",tbl_Finance[Ex GST],"&lt;&gt;"))</f>
        <v/>
      </c>
      <c r="L197" s="27">
        <f>IF(C197="","",SUMIFS(tbl_Finance[Ex GST],tbl_Finance[Job Number],C197&amp;""))</f>
        <v/>
      </c>
      <c r="M197" s="27">
        <f>IF(C197="","",SUMIFS(tbl_Finance[Ex GST],tbl_Finance[Job Number],C197&amp;"",tbl_Finance[Xero Invoice No],"&lt;&gt;"))</f>
        <v/>
      </c>
      <c r="N197" s="27">
        <f>IF(C197="","",L197-M197)</f>
        <v/>
      </c>
      <c r="O197" s="24" t="n"/>
      <c r="P197" s="27">
        <f>IF(C197="","",IF(O197="",0,MAX(0,O197-L197)))</f>
        <v/>
      </c>
      <c r="Q197" s="26">
        <f>IF(C197="","",IF(K197=0,"not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R197" s="22" t="n"/>
      <c r="S197" s="22" t="n"/>
      <c r="T197" s="26">
        <f>IF(S197="","",HYPERLINK(IF(LEFT(S197,4)="http",S197,set_QwilrBase&amp;S197),"Open quote"))</f>
        <v/>
      </c>
      <c r="U197" s="71" t="n"/>
      <c r="V197" s="22" t="n"/>
      <c r="W197" s="22" t="n"/>
    </row>
    <row r="198" ht="15" customHeight="1">
      <c r="A198" s="70">
        <f>IF(C198="","",IFERROR(IF(SUMPRODUCT(MAX((tbl_Finance[Job Number]&amp;""=C198&amp;"")*(tbl_Finance[Xero Invoice No]&lt;&gt;"")*tbl_Finance[Date]))=0,"",SUMPRODUCT(MAX((tbl_Finance[Job Number]&amp;""=C198&amp;"")*(tbl_Finance[Xero Invoice No]&lt;&gt;"")*tbl_Finance[Date]))),""))</f>
        <v/>
      </c>
      <c r="B198" s="26">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2" t="n"/>
      <c r="D198" s="26">
        <f>IF(C198="","",IF(COUNTIF(lst_Jobs,C198&amp;"")&gt;0,"OK","CHECK"))</f>
        <v/>
      </c>
      <c r="E198" s="26">
        <f>IF(C198="","",IFERROR(INDEX(lst_JobName,MATCH(C198&amp;"",lst_Jobs,0)),""))</f>
        <v/>
      </c>
      <c r="F198" s="22" t="n"/>
      <c r="G198" s="22" t="n"/>
      <c r="H198" s="22" t="n"/>
      <c r="I198" s="22" t="n"/>
      <c r="J198" s="22" t="n"/>
      <c r="K198" s="28">
        <f>IF(C198="","",COUNTIFS(tbl_Finance[Job Number],C198&amp;"",tbl_Finance[Ex GST],"&lt;&gt;"))</f>
        <v/>
      </c>
      <c r="L198" s="27">
        <f>IF(C198="","",SUMIFS(tbl_Finance[Ex GST],tbl_Finance[Job Number],C198&amp;""))</f>
        <v/>
      </c>
      <c r="M198" s="27">
        <f>IF(C198="","",SUMIFS(tbl_Finance[Ex GST],tbl_Finance[Job Number],C198&amp;"",tbl_Finance[Xero Invoice No],"&lt;&gt;"))</f>
        <v/>
      </c>
      <c r="N198" s="27">
        <f>IF(C198="","",L198-M198)</f>
        <v/>
      </c>
      <c r="O198" s="24" t="n"/>
      <c r="P198" s="27">
        <f>IF(C198="","",IF(O198="",0,MAX(0,O198-L198)))</f>
        <v/>
      </c>
      <c r="Q198" s="26">
        <f>IF(C198="","",IF(K198=0,"not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R198" s="22" t="n"/>
      <c r="S198" s="22" t="n"/>
      <c r="T198" s="26">
        <f>IF(S198="","",HYPERLINK(IF(LEFT(S198,4)="http",S198,set_QwilrBase&amp;S198),"Open quote"))</f>
        <v/>
      </c>
      <c r="U198" s="71" t="n"/>
      <c r="V198" s="22" t="n"/>
      <c r="W198" s="22" t="n"/>
    </row>
    <row r="199" ht="15" customHeight="1">
      <c r="A199" s="70">
        <f>IF(C199="","",IFERROR(IF(SUMPRODUCT(MAX((tbl_Finance[Job Number]&amp;""=C199&amp;"")*(tbl_Finance[Xero Invoice No]&lt;&gt;"")*tbl_Finance[Date]))=0,"",SUMPRODUCT(MAX((tbl_Finance[Job Number]&amp;""=C199&amp;"")*(tbl_Finance[Xero Invoice No]&lt;&gt;"")*tbl_Finance[Date]))),""))</f>
        <v/>
      </c>
      <c r="B199" s="26">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2" t="n"/>
      <c r="D199" s="26">
        <f>IF(C199="","",IF(COUNTIF(lst_Jobs,C199&amp;"")&gt;0,"OK","CHECK"))</f>
        <v/>
      </c>
      <c r="E199" s="26">
        <f>IF(C199="","",IFERROR(INDEX(lst_JobName,MATCH(C199&amp;"",lst_Jobs,0)),""))</f>
        <v/>
      </c>
      <c r="F199" s="22" t="n"/>
      <c r="G199" s="22" t="n"/>
      <c r="H199" s="22" t="n"/>
      <c r="I199" s="22" t="n"/>
      <c r="J199" s="22" t="n"/>
      <c r="K199" s="28">
        <f>IF(C199="","",COUNTIFS(tbl_Finance[Job Number],C199&amp;"",tbl_Finance[Ex GST],"&lt;&gt;"))</f>
        <v/>
      </c>
      <c r="L199" s="27">
        <f>IF(C199="","",SUMIFS(tbl_Finance[Ex GST],tbl_Finance[Job Number],C199&amp;""))</f>
        <v/>
      </c>
      <c r="M199" s="27">
        <f>IF(C199="","",SUMIFS(tbl_Finance[Ex GST],tbl_Finance[Job Number],C199&amp;"",tbl_Finance[Xero Invoice No],"&lt;&gt;"))</f>
        <v/>
      </c>
      <c r="N199" s="27">
        <f>IF(C199="","",L199-M199)</f>
        <v/>
      </c>
      <c r="O199" s="24" t="n"/>
      <c r="P199" s="27">
        <f>IF(C199="","",IF(O199="",0,MAX(0,O199-L199)))</f>
        <v/>
      </c>
      <c r="Q199" s="26">
        <f>IF(C199="","",IF(K199=0,"not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R199" s="22" t="n"/>
      <c r="S199" s="22" t="n"/>
      <c r="T199" s="26">
        <f>IF(S199="","",HYPERLINK(IF(LEFT(S199,4)="http",S199,set_QwilrBase&amp;S199),"Open quote"))</f>
        <v/>
      </c>
      <c r="U199" s="71" t="n"/>
      <c r="V199" s="22" t="n"/>
      <c r="W199" s="22" t="n"/>
    </row>
    <row r="200" ht="15" customHeight="1">
      <c r="A200" s="70">
        <f>IF(C200="","",IFERROR(IF(SUMPRODUCT(MAX((tbl_Finance[Job Number]&amp;""=C200&amp;"")*(tbl_Finance[Xero Invoice No]&lt;&gt;"")*tbl_Finance[Date]))=0,"",SUMPRODUCT(MAX((tbl_Finance[Job Number]&amp;""=C200&amp;"")*(tbl_Finance[Xero Invoice No]&lt;&gt;"")*tbl_Finance[Date]))),""))</f>
        <v/>
      </c>
      <c r="B200" s="26">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2" t="n"/>
      <c r="D200" s="26">
        <f>IF(C200="","",IF(COUNTIF(lst_Jobs,C200&amp;"")&gt;0,"OK","CHECK"))</f>
        <v/>
      </c>
      <c r="E200" s="26">
        <f>IF(C200="","",IFERROR(INDEX(lst_JobName,MATCH(C200&amp;"",lst_Jobs,0)),""))</f>
        <v/>
      </c>
      <c r="F200" s="22" t="n"/>
      <c r="G200" s="22" t="n"/>
      <c r="H200" s="22" t="n"/>
      <c r="I200" s="22" t="n"/>
      <c r="J200" s="22" t="n"/>
      <c r="K200" s="28">
        <f>IF(C200="","",COUNTIFS(tbl_Finance[Job Number],C200&amp;"",tbl_Finance[Ex GST],"&lt;&gt;"))</f>
        <v/>
      </c>
      <c r="L200" s="27">
        <f>IF(C200="","",SUMIFS(tbl_Finance[Ex GST],tbl_Finance[Job Number],C200&amp;""))</f>
        <v/>
      </c>
      <c r="M200" s="27">
        <f>IF(C200="","",SUMIFS(tbl_Finance[Ex GST],tbl_Finance[Job Number],C200&amp;"",tbl_Finance[Xero Invoice No],"&lt;&gt;"))</f>
        <v/>
      </c>
      <c r="N200" s="27">
        <f>IF(C200="","",L200-M200)</f>
        <v/>
      </c>
      <c r="O200" s="24" t="n"/>
      <c r="P200" s="27">
        <f>IF(C200="","",IF(O200="",0,MAX(0,O200-L200)))</f>
        <v/>
      </c>
      <c r="Q200" s="26">
        <f>IF(C200="","",IF(K200=0,"not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R200" s="22" t="n"/>
      <c r="S200" s="22" t="n"/>
      <c r="T200" s="26">
        <f>IF(S200="","",HYPERLINK(IF(LEFT(S200,4)="http",S200,set_QwilrBase&amp;S200),"Open quote"))</f>
        <v/>
      </c>
      <c r="U200" s="71" t="n"/>
      <c r="V200" s="22" t="n"/>
      <c r="W200" s="22" t="n"/>
    </row>
    <row r="201" ht="15" customHeight="1">
      <c r="A201" s="70">
        <f>IF(C201="","",IFERROR(IF(SUMPRODUCT(MAX((tbl_Finance[Job Number]&amp;""=C201&amp;"")*(tbl_Finance[Xero Invoice No]&lt;&gt;"")*tbl_Finance[Date]))=0,"",SUMPRODUCT(MAX((tbl_Finance[Job Number]&amp;""=C201&amp;"")*(tbl_Finance[Xero Invoice No]&lt;&gt;"")*tbl_Finance[Date]))),""))</f>
        <v/>
      </c>
      <c r="B201" s="26">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2" t="n"/>
      <c r="D201" s="26">
        <f>IF(C201="","",IF(COUNTIF(lst_Jobs,C201&amp;"")&gt;0,"OK","CHECK"))</f>
        <v/>
      </c>
      <c r="E201" s="26">
        <f>IF(C201="","",IFERROR(INDEX(lst_JobName,MATCH(C201&amp;"",lst_Jobs,0)),""))</f>
        <v/>
      </c>
      <c r="F201" s="22" t="n"/>
      <c r="G201" s="22" t="n"/>
      <c r="H201" s="22" t="n"/>
      <c r="I201" s="22" t="n"/>
      <c r="J201" s="22" t="n"/>
      <c r="K201" s="28">
        <f>IF(C201="","",COUNTIFS(tbl_Finance[Job Number],C201&amp;"",tbl_Finance[Ex GST],"&lt;&gt;"))</f>
        <v/>
      </c>
      <c r="L201" s="27">
        <f>IF(C201="","",SUMIFS(tbl_Finance[Ex GST],tbl_Finance[Job Number],C201&amp;""))</f>
        <v/>
      </c>
      <c r="M201" s="27">
        <f>IF(C201="","",SUMIFS(tbl_Finance[Ex GST],tbl_Finance[Job Number],C201&amp;"",tbl_Finance[Xero Invoice No],"&lt;&gt;"))</f>
        <v/>
      </c>
      <c r="N201" s="27">
        <f>IF(C201="","",L201-M201)</f>
        <v/>
      </c>
      <c r="O201" s="24" t="n"/>
      <c r="P201" s="27">
        <f>IF(C201="","",IF(O201="",0,MAX(0,O201-L201)))</f>
        <v/>
      </c>
      <c r="Q201" s="26">
        <f>IF(C201="","",IF(K201=0,"not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R201" s="22" t="n"/>
      <c r="S201" s="22" t="n"/>
      <c r="T201" s="26">
        <f>IF(S201="","",HYPERLINK(IF(LEFT(S201,4)="http",S201,set_QwilrBase&amp;S201),"Open quote"))</f>
        <v/>
      </c>
      <c r="U201" s="71" t="n"/>
      <c r="V201" s="22" t="n"/>
      <c r="W201" s="22" t="n"/>
    </row>
    <row r="202" ht="15" customHeight="1">
      <c r="A202" s="70">
        <f>IF(C202="","",IFERROR(IF(SUMPRODUCT(MAX((tbl_Finance[Job Number]&amp;""=C202&amp;"")*(tbl_Finance[Xero Invoice No]&lt;&gt;"")*tbl_Finance[Date]))=0,"",SUMPRODUCT(MAX((tbl_Finance[Job Number]&amp;""=C202&amp;"")*(tbl_Finance[Xero Invoice No]&lt;&gt;"")*tbl_Finance[Date]))),""))</f>
        <v/>
      </c>
      <c r="B202" s="26">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2" t="n"/>
      <c r="D202" s="26">
        <f>IF(C202="","",IF(COUNTIF(lst_Jobs,C202&amp;"")&gt;0,"OK","CHECK"))</f>
        <v/>
      </c>
      <c r="E202" s="26">
        <f>IF(C202="","",IFERROR(INDEX(lst_JobName,MATCH(C202&amp;"",lst_Jobs,0)),""))</f>
        <v/>
      </c>
      <c r="F202" s="22" t="n"/>
      <c r="G202" s="22" t="n"/>
      <c r="H202" s="22" t="n"/>
      <c r="I202" s="22" t="n"/>
      <c r="J202" s="22" t="n"/>
      <c r="K202" s="28">
        <f>IF(C202="","",COUNTIFS(tbl_Finance[Job Number],C202&amp;"",tbl_Finance[Ex GST],"&lt;&gt;"))</f>
        <v/>
      </c>
      <c r="L202" s="27">
        <f>IF(C202="","",SUMIFS(tbl_Finance[Ex GST],tbl_Finance[Job Number],C202&amp;""))</f>
        <v/>
      </c>
      <c r="M202" s="27">
        <f>IF(C202="","",SUMIFS(tbl_Finance[Ex GST],tbl_Finance[Job Number],C202&amp;"",tbl_Finance[Xero Invoice No],"&lt;&gt;"))</f>
        <v/>
      </c>
      <c r="N202" s="27">
        <f>IF(C202="","",L202-M202)</f>
        <v/>
      </c>
      <c r="O202" s="24" t="n"/>
      <c r="P202" s="27">
        <f>IF(C202="","",IF(O202="",0,MAX(0,O202-L202)))</f>
        <v/>
      </c>
      <c r="Q202" s="26">
        <f>IF(C202="","",IF(K202=0,"not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R202" s="22" t="n"/>
      <c r="S202" s="22" t="n"/>
      <c r="T202" s="26">
        <f>IF(S202="","",HYPERLINK(IF(LEFT(S202,4)="http",S202,set_QwilrBase&amp;S202),"Open quote"))</f>
        <v/>
      </c>
      <c r="U202" s="71" t="n"/>
      <c r="V202" s="22" t="n"/>
      <c r="W202" s="22" t="n"/>
    </row>
    <row r="203" ht="15" customHeight="1">
      <c r="A203" s="70">
        <f>IF(C203="","",IFERROR(IF(SUMPRODUCT(MAX((tbl_Finance[Job Number]&amp;""=C203&amp;"")*(tbl_Finance[Xero Invoice No]&lt;&gt;"")*tbl_Finance[Date]))=0,"",SUMPRODUCT(MAX((tbl_Finance[Job Number]&amp;""=C203&amp;"")*(tbl_Finance[Xero Invoice No]&lt;&gt;"")*tbl_Finance[Date]))),""))</f>
        <v/>
      </c>
      <c r="B203" s="26">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2" t="n"/>
      <c r="D203" s="26">
        <f>IF(C203="","",IF(COUNTIF(lst_Jobs,C203&amp;"")&gt;0,"OK","CHECK"))</f>
        <v/>
      </c>
      <c r="E203" s="26">
        <f>IF(C203="","",IFERROR(INDEX(lst_JobName,MATCH(C203&amp;"",lst_Jobs,0)),""))</f>
        <v/>
      </c>
      <c r="F203" s="22" t="n"/>
      <c r="G203" s="22" t="n"/>
      <c r="H203" s="22" t="n"/>
      <c r="I203" s="22" t="n"/>
      <c r="J203" s="22" t="n"/>
      <c r="K203" s="28">
        <f>IF(C203="","",COUNTIFS(tbl_Finance[Job Number],C203&amp;"",tbl_Finance[Ex GST],"&lt;&gt;"))</f>
        <v/>
      </c>
      <c r="L203" s="27">
        <f>IF(C203="","",SUMIFS(tbl_Finance[Ex GST],tbl_Finance[Job Number],C203&amp;""))</f>
        <v/>
      </c>
      <c r="M203" s="27">
        <f>IF(C203="","",SUMIFS(tbl_Finance[Ex GST],tbl_Finance[Job Number],C203&amp;"",tbl_Finance[Xero Invoice No],"&lt;&gt;"))</f>
        <v/>
      </c>
      <c r="N203" s="27">
        <f>IF(C203="","",L203-M203)</f>
        <v/>
      </c>
      <c r="O203" s="24" t="n"/>
      <c r="P203" s="27">
        <f>IF(C203="","",IF(O203="",0,MAX(0,O203-L203)))</f>
        <v/>
      </c>
      <c r="Q203" s="26">
        <f>IF(C203="","",IF(K203=0,"not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R203" s="22" t="n"/>
      <c r="S203" s="22" t="n"/>
      <c r="T203" s="26">
        <f>IF(S203="","",HYPERLINK(IF(LEFT(S203,4)="http",S203,set_QwilrBase&amp;S203),"Open quote"))</f>
        <v/>
      </c>
      <c r="U203" s="71" t="n"/>
      <c r="V203" s="22" t="n"/>
      <c r="W203" s="22" t="n"/>
    </row>
    <row r="204" ht="15" customHeight="1">
      <c r="A204" s="70">
        <f>IF(C204="","",IFERROR(IF(SUMPRODUCT(MAX((tbl_Finance[Job Number]&amp;""=C204&amp;"")*(tbl_Finance[Xero Invoice No]&lt;&gt;"")*tbl_Finance[Date]))=0,"",SUMPRODUCT(MAX((tbl_Finance[Job Number]&amp;""=C204&amp;"")*(tbl_Finance[Xero Invoice No]&lt;&gt;"")*tbl_Finance[Date]))),""))</f>
        <v/>
      </c>
      <c r="B204" s="26">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2" t="n"/>
      <c r="D204" s="26">
        <f>IF(C204="","",IF(COUNTIF(lst_Jobs,C204&amp;"")&gt;0,"OK","CHECK"))</f>
        <v/>
      </c>
      <c r="E204" s="26">
        <f>IF(C204="","",IFERROR(INDEX(lst_JobName,MATCH(C204&amp;"",lst_Jobs,0)),""))</f>
        <v/>
      </c>
      <c r="F204" s="22" t="n"/>
      <c r="G204" s="22" t="n"/>
      <c r="H204" s="22" t="n"/>
      <c r="I204" s="22" t="n"/>
      <c r="J204" s="22" t="n"/>
      <c r="K204" s="28">
        <f>IF(C204="","",COUNTIFS(tbl_Finance[Job Number],C204&amp;"",tbl_Finance[Ex GST],"&lt;&gt;"))</f>
        <v/>
      </c>
      <c r="L204" s="27">
        <f>IF(C204="","",SUMIFS(tbl_Finance[Ex GST],tbl_Finance[Job Number],C204&amp;""))</f>
        <v/>
      </c>
      <c r="M204" s="27">
        <f>IF(C204="","",SUMIFS(tbl_Finance[Ex GST],tbl_Finance[Job Number],C204&amp;"",tbl_Finance[Xero Invoice No],"&lt;&gt;"))</f>
        <v/>
      </c>
      <c r="N204" s="27">
        <f>IF(C204="","",L204-M204)</f>
        <v/>
      </c>
      <c r="O204" s="24" t="n"/>
      <c r="P204" s="27">
        <f>IF(C204="","",IF(O204="",0,MAX(0,O204-L204)))</f>
        <v/>
      </c>
      <c r="Q204" s="26">
        <f>IF(C204="","",IF(K204=0,"not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R204" s="22" t="n"/>
      <c r="S204" s="22" t="n"/>
      <c r="T204" s="26">
        <f>IF(S204="","",HYPERLINK(IF(LEFT(S204,4)="http",S204,set_QwilrBase&amp;S204),"Open quote"))</f>
        <v/>
      </c>
      <c r="U204" s="71" t="n"/>
      <c r="V204" s="22" t="n"/>
      <c r="W204" s="22" t="n"/>
    </row>
    <row r="205" ht="15" customHeight="1">
      <c r="A205" s="70">
        <f>IF(C205="","",IFERROR(IF(SUMPRODUCT(MAX((tbl_Finance[Job Number]&amp;""=C205&amp;"")*(tbl_Finance[Xero Invoice No]&lt;&gt;"")*tbl_Finance[Date]))=0,"",SUMPRODUCT(MAX((tbl_Finance[Job Number]&amp;""=C205&amp;"")*(tbl_Finance[Xero Invoice No]&lt;&gt;"")*tbl_Finance[Date]))),""))</f>
        <v/>
      </c>
      <c r="B205" s="26">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2" t="n"/>
      <c r="D205" s="26">
        <f>IF(C205="","",IF(COUNTIF(lst_Jobs,C205&amp;"")&gt;0,"OK","CHECK"))</f>
        <v/>
      </c>
      <c r="E205" s="26">
        <f>IF(C205="","",IFERROR(INDEX(lst_JobName,MATCH(C205&amp;"",lst_Jobs,0)),""))</f>
        <v/>
      </c>
      <c r="F205" s="22" t="n"/>
      <c r="G205" s="22" t="n"/>
      <c r="H205" s="22" t="n"/>
      <c r="I205" s="22" t="n"/>
      <c r="J205" s="22" t="n"/>
      <c r="K205" s="28">
        <f>IF(C205="","",COUNTIFS(tbl_Finance[Job Number],C205&amp;"",tbl_Finance[Ex GST],"&lt;&gt;"))</f>
        <v/>
      </c>
      <c r="L205" s="27">
        <f>IF(C205="","",SUMIFS(tbl_Finance[Ex GST],tbl_Finance[Job Number],C205&amp;""))</f>
        <v/>
      </c>
      <c r="M205" s="27">
        <f>IF(C205="","",SUMIFS(tbl_Finance[Ex GST],tbl_Finance[Job Number],C205&amp;"",tbl_Finance[Xero Invoice No],"&lt;&gt;"))</f>
        <v/>
      </c>
      <c r="N205" s="27">
        <f>IF(C205="","",L205-M205)</f>
        <v/>
      </c>
      <c r="O205" s="24" t="n"/>
      <c r="P205" s="27">
        <f>IF(C205="","",IF(O205="",0,MAX(0,O205-L205)))</f>
        <v/>
      </c>
      <c r="Q205" s="26">
        <f>IF(C205="","",IF(K205=0,"not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R205" s="22" t="n"/>
      <c r="S205" s="22" t="n"/>
      <c r="T205" s="26">
        <f>IF(S205="","",HYPERLINK(IF(LEFT(S205,4)="http",S205,set_QwilrBase&amp;S205),"Open quote"))</f>
        <v/>
      </c>
      <c r="U205" s="71" t="n"/>
      <c r="V205" s="22" t="n"/>
      <c r="W205" s="22" t="n"/>
    </row>
    <row r="206" ht="15" customHeight="1">
      <c r="A206" s="70">
        <f>IF(C206="","",IFERROR(IF(SUMPRODUCT(MAX((tbl_Finance[Job Number]&amp;""=C206&amp;"")*(tbl_Finance[Xero Invoice No]&lt;&gt;"")*tbl_Finance[Date]))=0,"",SUMPRODUCT(MAX((tbl_Finance[Job Number]&amp;""=C206&amp;"")*(tbl_Finance[Xero Invoice No]&lt;&gt;"")*tbl_Finance[Date]))),""))</f>
        <v/>
      </c>
      <c r="B206" s="26">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2" t="n"/>
      <c r="D206" s="26">
        <f>IF(C206="","",IF(COUNTIF(lst_Jobs,C206&amp;"")&gt;0,"OK","CHECK"))</f>
        <v/>
      </c>
      <c r="E206" s="26">
        <f>IF(C206="","",IFERROR(INDEX(lst_JobName,MATCH(C206&amp;"",lst_Jobs,0)),""))</f>
        <v/>
      </c>
      <c r="F206" s="22" t="n"/>
      <c r="G206" s="22" t="n"/>
      <c r="H206" s="22" t="n"/>
      <c r="I206" s="22" t="n"/>
      <c r="J206" s="22" t="n"/>
      <c r="K206" s="28">
        <f>IF(C206="","",COUNTIFS(tbl_Finance[Job Number],C206&amp;"",tbl_Finance[Ex GST],"&lt;&gt;"))</f>
        <v/>
      </c>
      <c r="L206" s="27">
        <f>IF(C206="","",SUMIFS(tbl_Finance[Ex GST],tbl_Finance[Job Number],C206&amp;""))</f>
        <v/>
      </c>
      <c r="M206" s="27">
        <f>IF(C206="","",SUMIFS(tbl_Finance[Ex GST],tbl_Finance[Job Number],C206&amp;"",tbl_Finance[Xero Invoice No],"&lt;&gt;"))</f>
        <v/>
      </c>
      <c r="N206" s="27">
        <f>IF(C206="","",L206-M206)</f>
        <v/>
      </c>
      <c r="O206" s="24" t="n"/>
      <c r="P206" s="27">
        <f>IF(C206="","",IF(O206="",0,MAX(0,O206-L206)))</f>
        <v/>
      </c>
      <c r="Q206" s="26">
        <f>IF(C206="","",IF(K206=0,"not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R206" s="22" t="n"/>
      <c r="S206" s="22" t="n"/>
      <c r="T206" s="26">
        <f>IF(S206="","",HYPERLINK(IF(LEFT(S206,4)="http",S206,set_QwilrBase&amp;S206),"Open quote"))</f>
        <v/>
      </c>
      <c r="U206" s="71" t="n"/>
      <c r="V206" s="22" t="n"/>
      <c r="W206" s="22" t="n"/>
    </row>
    <row r="207" ht="15" customHeight="1">
      <c r="A207" s="70">
        <f>IF(C207="","",IFERROR(IF(SUMPRODUCT(MAX((tbl_Finance[Job Number]&amp;""=C207&amp;"")*(tbl_Finance[Xero Invoice No]&lt;&gt;"")*tbl_Finance[Date]))=0,"",SUMPRODUCT(MAX((tbl_Finance[Job Number]&amp;""=C207&amp;"")*(tbl_Finance[Xero Invoice No]&lt;&gt;"")*tbl_Finance[Date]))),""))</f>
        <v/>
      </c>
      <c r="B207" s="26">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2" t="n"/>
      <c r="D207" s="26">
        <f>IF(C207="","",IF(COUNTIF(lst_Jobs,C207&amp;"")&gt;0,"OK","CHECK"))</f>
        <v/>
      </c>
      <c r="E207" s="26">
        <f>IF(C207="","",IFERROR(INDEX(lst_JobName,MATCH(C207&amp;"",lst_Jobs,0)),""))</f>
        <v/>
      </c>
      <c r="F207" s="22" t="n"/>
      <c r="G207" s="22" t="n"/>
      <c r="H207" s="22" t="n"/>
      <c r="I207" s="22" t="n"/>
      <c r="J207" s="22" t="n"/>
      <c r="K207" s="28">
        <f>IF(C207="","",COUNTIFS(tbl_Finance[Job Number],C207&amp;"",tbl_Finance[Ex GST],"&lt;&gt;"))</f>
        <v/>
      </c>
      <c r="L207" s="27">
        <f>IF(C207="","",SUMIFS(tbl_Finance[Ex GST],tbl_Finance[Job Number],C207&amp;""))</f>
        <v/>
      </c>
      <c r="M207" s="27">
        <f>IF(C207="","",SUMIFS(tbl_Finance[Ex GST],tbl_Finance[Job Number],C207&amp;"",tbl_Finance[Xero Invoice No],"&lt;&gt;"))</f>
        <v/>
      </c>
      <c r="N207" s="27">
        <f>IF(C207="","",L207-M207)</f>
        <v/>
      </c>
      <c r="O207" s="24" t="n"/>
      <c r="P207" s="27">
        <f>IF(C207="","",IF(O207="",0,MAX(0,O207-L207)))</f>
        <v/>
      </c>
      <c r="Q207" s="26">
        <f>IF(C207="","",IF(K207=0,"not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R207" s="22" t="n"/>
      <c r="S207" s="22" t="n"/>
      <c r="T207" s="26">
        <f>IF(S207="","",HYPERLINK(IF(LEFT(S207,4)="http",S207,set_QwilrBase&amp;S207),"Open quote"))</f>
        <v/>
      </c>
      <c r="U207" s="71" t="n"/>
      <c r="V207" s="22" t="n"/>
      <c r="W207" s="22" t="n"/>
    </row>
    <row r="208" ht="15" customHeight="1">
      <c r="A208" s="70">
        <f>IF(C208="","",IFERROR(IF(SUMPRODUCT(MAX((tbl_Finance[Job Number]&amp;""=C208&amp;"")*(tbl_Finance[Xero Invoice No]&lt;&gt;"")*tbl_Finance[Date]))=0,"",SUMPRODUCT(MAX((tbl_Finance[Job Number]&amp;""=C208&amp;"")*(tbl_Finance[Xero Invoice No]&lt;&gt;"")*tbl_Finance[Date]))),""))</f>
        <v/>
      </c>
      <c r="B208" s="26">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2" t="n"/>
      <c r="D208" s="26">
        <f>IF(C208="","",IF(COUNTIF(lst_Jobs,C208&amp;"")&gt;0,"OK","CHECK"))</f>
        <v/>
      </c>
      <c r="E208" s="26">
        <f>IF(C208="","",IFERROR(INDEX(lst_JobName,MATCH(C208&amp;"",lst_Jobs,0)),""))</f>
        <v/>
      </c>
      <c r="F208" s="22" t="n"/>
      <c r="G208" s="22" t="n"/>
      <c r="H208" s="22" t="n"/>
      <c r="I208" s="22" t="n"/>
      <c r="J208" s="22" t="n"/>
      <c r="K208" s="28">
        <f>IF(C208="","",COUNTIFS(tbl_Finance[Job Number],C208&amp;"",tbl_Finance[Ex GST],"&lt;&gt;"))</f>
        <v/>
      </c>
      <c r="L208" s="27">
        <f>IF(C208="","",SUMIFS(tbl_Finance[Ex GST],tbl_Finance[Job Number],C208&amp;""))</f>
        <v/>
      </c>
      <c r="M208" s="27">
        <f>IF(C208="","",SUMIFS(tbl_Finance[Ex GST],tbl_Finance[Job Number],C208&amp;"",tbl_Finance[Xero Invoice No],"&lt;&gt;"))</f>
        <v/>
      </c>
      <c r="N208" s="27">
        <f>IF(C208="","",L208-M208)</f>
        <v/>
      </c>
      <c r="O208" s="24" t="n"/>
      <c r="P208" s="27">
        <f>IF(C208="","",IF(O208="",0,MAX(0,O208-L208)))</f>
        <v/>
      </c>
      <c r="Q208" s="26">
        <f>IF(C208="","",IF(K208=0,"not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R208" s="22" t="n"/>
      <c r="S208" s="22" t="n"/>
      <c r="T208" s="26">
        <f>IF(S208="","",HYPERLINK(IF(LEFT(S208,4)="http",S208,set_QwilrBase&amp;S208),"Open quote"))</f>
        <v/>
      </c>
      <c r="U208" s="71" t="n"/>
      <c r="V208" s="22" t="n"/>
      <c r="W208" s="22" t="n"/>
    </row>
    <row r="209" ht="15" customHeight="1">
      <c r="A209" s="70">
        <f>IF(C209="","",IFERROR(IF(SUMPRODUCT(MAX((tbl_Finance[Job Number]&amp;""=C209&amp;"")*(tbl_Finance[Xero Invoice No]&lt;&gt;"")*tbl_Finance[Date]))=0,"",SUMPRODUCT(MAX((tbl_Finance[Job Number]&amp;""=C209&amp;"")*(tbl_Finance[Xero Invoice No]&lt;&gt;"")*tbl_Finance[Date]))),""))</f>
        <v/>
      </c>
      <c r="B209" s="26">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2" t="n"/>
      <c r="D209" s="26">
        <f>IF(C209="","",IF(COUNTIF(lst_Jobs,C209&amp;"")&gt;0,"OK","CHECK"))</f>
        <v/>
      </c>
      <c r="E209" s="26">
        <f>IF(C209="","",IFERROR(INDEX(lst_JobName,MATCH(C209&amp;"",lst_Jobs,0)),""))</f>
        <v/>
      </c>
      <c r="F209" s="22" t="n"/>
      <c r="G209" s="22" t="n"/>
      <c r="H209" s="22" t="n"/>
      <c r="I209" s="22" t="n"/>
      <c r="J209" s="22" t="n"/>
      <c r="K209" s="28">
        <f>IF(C209="","",COUNTIFS(tbl_Finance[Job Number],C209&amp;"",tbl_Finance[Ex GST],"&lt;&gt;"))</f>
        <v/>
      </c>
      <c r="L209" s="27">
        <f>IF(C209="","",SUMIFS(tbl_Finance[Ex GST],tbl_Finance[Job Number],C209&amp;""))</f>
        <v/>
      </c>
      <c r="M209" s="27">
        <f>IF(C209="","",SUMIFS(tbl_Finance[Ex GST],tbl_Finance[Job Number],C209&amp;"",tbl_Finance[Xero Invoice No],"&lt;&gt;"))</f>
        <v/>
      </c>
      <c r="N209" s="27">
        <f>IF(C209="","",L209-M209)</f>
        <v/>
      </c>
      <c r="O209" s="24" t="n"/>
      <c r="P209" s="27">
        <f>IF(C209="","",IF(O209="",0,MAX(0,O209-L209)))</f>
        <v/>
      </c>
      <c r="Q209" s="26">
        <f>IF(C209="","",IF(K209=0,"not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R209" s="22" t="n"/>
      <c r="S209" s="22" t="n"/>
      <c r="T209" s="26">
        <f>IF(S209="","",HYPERLINK(IF(LEFT(S209,4)="http",S209,set_QwilrBase&amp;S209),"Open quote"))</f>
        <v/>
      </c>
      <c r="U209" s="71" t="n"/>
      <c r="V209" s="22" t="n"/>
      <c r="W209" s="22" t="n"/>
    </row>
    <row r="210" ht="15" customHeight="1">
      <c r="A210" s="70">
        <f>IF(C210="","",IFERROR(IF(SUMPRODUCT(MAX((tbl_Finance[Job Number]&amp;""=C210&amp;"")*(tbl_Finance[Xero Invoice No]&lt;&gt;"")*tbl_Finance[Date]))=0,"",SUMPRODUCT(MAX((tbl_Finance[Job Number]&amp;""=C210&amp;"")*(tbl_Finance[Xero Invoice No]&lt;&gt;"")*tbl_Finance[Date]))),""))</f>
        <v/>
      </c>
      <c r="B210" s="26">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2" t="n"/>
      <c r="D210" s="26">
        <f>IF(C210="","",IF(COUNTIF(lst_Jobs,C210&amp;"")&gt;0,"OK","CHECK"))</f>
        <v/>
      </c>
      <c r="E210" s="26">
        <f>IF(C210="","",IFERROR(INDEX(lst_JobName,MATCH(C210&amp;"",lst_Jobs,0)),""))</f>
        <v/>
      </c>
      <c r="F210" s="22" t="n"/>
      <c r="G210" s="22" t="n"/>
      <c r="H210" s="22" t="n"/>
      <c r="I210" s="22" t="n"/>
      <c r="J210" s="22" t="n"/>
      <c r="K210" s="28">
        <f>IF(C210="","",COUNTIFS(tbl_Finance[Job Number],C210&amp;"",tbl_Finance[Ex GST],"&lt;&gt;"))</f>
        <v/>
      </c>
      <c r="L210" s="27">
        <f>IF(C210="","",SUMIFS(tbl_Finance[Ex GST],tbl_Finance[Job Number],C210&amp;""))</f>
        <v/>
      </c>
      <c r="M210" s="27">
        <f>IF(C210="","",SUMIFS(tbl_Finance[Ex GST],tbl_Finance[Job Number],C210&amp;"",tbl_Finance[Xero Invoice No],"&lt;&gt;"))</f>
        <v/>
      </c>
      <c r="N210" s="27">
        <f>IF(C210="","",L210-M210)</f>
        <v/>
      </c>
      <c r="O210" s="24" t="n"/>
      <c r="P210" s="27">
        <f>IF(C210="","",IF(O210="",0,MAX(0,O210-L210)))</f>
        <v/>
      </c>
      <c r="Q210" s="26">
        <f>IF(C210="","",IF(K210=0,"not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R210" s="22" t="n"/>
      <c r="S210" s="22" t="n"/>
      <c r="T210" s="26">
        <f>IF(S210="","",HYPERLINK(IF(LEFT(S210,4)="http",S210,set_QwilrBase&amp;S210),"Open quote"))</f>
        <v/>
      </c>
      <c r="U210" s="71" t="n"/>
      <c r="V210" s="22" t="n"/>
      <c r="W210" s="22" t="n"/>
    </row>
    <row r="211" ht="15" customHeight="1">
      <c r="A211" s="70">
        <f>IF(C211="","",IFERROR(IF(SUMPRODUCT(MAX((tbl_Finance[Job Number]&amp;""=C211&amp;"")*(tbl_Finance[Xero Invoice No]&lt;&gt;"")*tbl_Finance[Date]))=0,"",SUMPRODUCT(MAX((tbl_Finance[Job Number]&amp;""=C211&amp;"")*(tbl_Finance[Xero Invoice No]&lt;&gt;"")*tbl_Finance[Date]))),""))</f>
        <v/>
      </c>
      <c r="B211" s="26">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2" t="n"/>
      <c r="D211" s="26">
        <f>IF(C211="","",IF(COUNTIF(lst_Jobs,C211&amp;"")&gt;0,"OK","CHECK"))</f>
        <v/>
      </c>
      <c r="E211" s="26">
        <f>IF(C211="","",IFERROR(INDEX(lst_JobName,MATCH(C211&amp;"",lst_Jobs,0)),""))</f>
        <v/>
      </c>
      <c r="F211" s="22" t="n"/>
      <c r="G211" s="22" t="n"/>
      <c r="H211" s="22" t="n"/>
      <c r="I211" s="22" t="n"/>
      <c r="J211" s="22" t="n"/>
      <c r="K211" s="28">
        <f>IF(C211="","",COUNTIFS(tbl_Finance[Job Number],C211&amp;"",tbl_Finance[Ex GST],"&lt;&gt;"))</f>
        <v/>
      </c>
      <c r="L211" s="27">
        <f>IF(C211="","",SUMIFS(tbl_Finance[Ex GST],tbl_Finance[Job Number],C211&amp;""))</f>
        <v/>
      </c>
      <c r="M211" s="27">
        <f>IF(C211="","",SUMIFS(tbl_Finance[Ex GST],tbl_Finance[Job Number],C211&amp;"",tbl_Finance[Xero Invoice No],"&lt;&gt;"))</f>
        <v/>
      </c>
      <c r="N211" s="27">
        <f>IF(C211="","",L211-M211)</f>
        <v/>
      </c>
      <c r="O211" s="24" t="n"/>
      <c r="P211" s="27">
        <f>IF(C211="","",IF(O211="",0,MAX(0,O211-L211)))</f>
        <v/>
      </c>
      <c r="Q211" s="26">
        <f>IF(C211="","",IF(K211=0,"not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R211" s="22" t="n"/>
      <c r="S211" s="22" t="n"/>
      <c r="T211" s="26">
        <f>IF(S211="","",HYPERLINK(IF(LEFT(S211,4)="http",S211,set_QwilrBase&amp;S211),"Open quote"))</f>
        <v/>
      </c>
      <c r="U211" s="71" t="n"/>
      <c r="V211" s="22" t="n"/>
      <c r="W211" s="22" t="n"/>
    </row>
    <row r="212" ht="15" customHeight="1">
      <c r="A212" s="70">
        <f>IF(C212="","",IFERROR(IF(SUMPRODUCT(MAX((tbl_Finance[Job Number]&amp;""=C212&amp;"")*(tbl_Finance[Xero Invoice No]&lt;&gt;"")*tbl_Finance[Date]))=0,"",SUMPRODUCT(MAX((tbl_Finance[Job Number]&amp;""=C212&amp;"")*(tbl_Finance[Xero Invoice No]&lt;&gt;"")*tbl_Finance[Date]))),""))</f>
        <v/>
      </c>
      <c r="B212" s="26">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2" t="n"/>
      <c r="D212" s="26">
        <f>IF(C212="","",IF(COUNTIF(lst_Jobs,C212&amp;"")&gt;0,"OK","CHECK"))</f>
        <v/>
      </c>
      <c r="E212" s="26">
        <f>IF(C212="","",IFERROR(INDEX(lst_JobName,MATCH(C212&amp;"",lst_Jobs,0)),""))</f>
        <v/>
      </c>
      <c r="F212" s="22" t="n"/>
      <c r="G212" s="22" t="n"/>
      <c r="H212" s="22" t="n"/>
      <c r="I212" s="22" t="n"/>
      <c r="J212" s="22" t="n"/>
      <c r="K212" s="28">
        <f>IF(C212="","",COUNTIFS(tbl_Finance[Job Number],C212&amp;"",tbl_Finance[Ex GST],"&lt;&gt;"))</f>
        <v/>
      </c>
      <c r="L212" s="27">
        <f>IF(C212="","",SUMIFS(tbl_Finance[Ex GST],tbl_Finance[Job Number],C212&amp;""))</f>
        <v/>
      </c>
      <c r="M212" s="27">
        <f>IF(C212="","",SUMIFS(tbl_Finance[Ex GST],tbl_Finance[Job Number],C212&amp;"",tbl_Finance[Xero Invoice No],"&lt;&gt;"))</f>
        <v/>
      </c>
      <c r="N212" s="27">
        <f>IF(C212="","",L212-M212)</f>
        <v/>
      </c>
      <c r="O212" s="24" t="n"/>
      <c r="P212" s="27">
        <f>IF(C212="","",IF(O212="",0,MAX(0,O212-L212)))</f>
        <v/>
      </c>
      <c r="Q212" s="26">
        <f>IF(C212="","",IF(K212=0,"not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R212" s="22" t="n"/>
      <c r="S212" s="22" t="n"/>
      <c r="T212" s="26">
        <f>IF(S212="","",HYPERLINK(IF(LEFT(S212,4)="http",S212,set_QwilrBase&amp;S212),"Open quote"))</f>
        <v/>
      </c>
      <c r="U212" s="71" t="n"/>
      <c r="V212" s="22" t="n"/>
      <c r="W212" s="22" t="n"/>
    </row>
    <row r="213" ht="15" customHeight="1">
      <c r="A213" s="70">
        <f>IF(C213="","",IFERROR(IF(SUMPRODUCT(MAX((tbl_Finance[Job Number]&amp;""=C213&amp;"")*(tbl_Finance[Xero Invoice No]&lt;&gt;"")*tbl_Finance[Date]))=0,"",SUMPRODUCT(MAX((tbl_Finance[Job Number]&amp;""=C213&amp;"")*(tbl_Finance[Xero Invoice No]&lt;&gt;"")*tbl_Finance[Date]))),""))</f>
        <v/>
      </c>
      <c r="B213" s="26">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2" t="n"/>
      <c r="D213" s="26">
        <f>IF(C213="","",IF(COUNTIF(lst_Jobs,C213&amp;"")&gt;0,"OK","CHECK"))</f>
        <v/>
      </c>
      <c r="E213" s="26">
        <f>IF(C213="","",IFERROR(INDEX(lst_JobName,MATCH(C213&amp;"",lst_Jobs,0)),""))</f>
        <v/>
      </c>
      <c r="F213" s="22" t="n"/>
      <c r="G213" s="22" t="n"/>
      <c r="H213" s="22" t="n"/>
      <c r="I213" s="22" t="n"/>
      <c r="J213" s="22" t="n"/>
      <c r="K213" s="28">
        <f>IF(C213="","",COUNTIFS(tbl_Finance[Job Number],C213&amp;"",tbl_Finance[Ex GST],"&lt;&gt;"))</f>
        <v/>
      </c>
      <c r="L213" s="27">
        <f>IF(C213="","",SUMIFS(tbl_Finance[Ex GST],tbl_Finance[Job Number],C213&amp;""))</f>
        <v/>
      </c>
      <c r="M213" s="27">
        <f>IF(C213="","",SUMIFS(tbl_Finance[Ex GST],tbl_Finance[Job Number],C213&amp;"",tbl_Finance[Xero Invoice No],"&lt;&gt;"))</f>
        <v/>
      </c>
      <c r="N213" s="27">
        <f>IF(C213="","",L213-M213)</f>
        <v/>
      </c>
      <c r="O213" s="24" t="n"/>
      <c r="P213" s="27">
        <f>IF(C213="","",IF(O213="",0,MAX(0,O213-L213)))</f>
        <v/>
      </c>
      <c r="Q213" s="26">
        <f>IF(C213="","",IF(K213=0,"not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R213" s="22" t="n"/>
      <c r="S213" s="22" t="n"/>
      <c r="T213" s="26">
        <f>IF(S213="","",HYPERLINK(IF(LEFT(S213,4)="http",S213,set_QwilrBase&amp;S213),"Open quote"))</f>
        <v/>
      </c>
      <c r="U213" s="71" t="n"/>
      <c r="V213" s="22" t="n"/>
      <c r="W213" s="22" t="n"/>
    </row>
    <row r="214" ht="15" customHeight="1">
      <c r="A214" s="70">
        <f>IF(C214="","",IFERROR(IF(SUMPRODUCT(MAX((tbl_Finance[Job Number]&amp;""=C214&amp;"")*(tbl_Finance[Xero Invoice No]&lt;&gt;"")*tbl_Finance[Date]))=0,"",SUMPRODUCT(MAX((tbl_Finance[Job Number]&amp;""=C214&amp;"")*(tbl_Finance[Xero Invoice No]&lt;&gt;"")*tbl_Finance[Date]))),""))</f>
        <v/>
      </c>
      <c r="B214" s="26">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2" t="n"/>
      <c r="D214" s="26">
        <f>IF(C214="","",IF(COUNTIF(lst_Jobs,C214&amp;"")&gt;0,"OK","CHECK"))</f>
        <v/>
      </c>
      <c r="E214" s="26">
        <f>IF(C214="","",IFERROR(INDEX(lst_JobName,MATCH(C214&amp;"",lst_Jobs,0)),""))</f>
        <v/>
      </c>
      <c r="F214" s="22" t="n"/>
      <c r="G214" s="22" t="n"/>
      <c r="H214" s="22" t="n"/>
      <c r="I214" s="22" t="n"/>
      <c r="J214" s="22" t="n"/>
      <c r="K214" s="28">
        <f>IF(C214="","",COUNTIFS(tbl_Finance[Job Number],C214&amp;"",tbl_Finance[Ex GST],"&lt;&gt;"))</f>
        <v/>
      </c>
      <c r="L214" s="27">
        <f>IF(C214="","",SUMIFS(tbl_Finance[Ex GST],tbl_Finance[Job Number],C214&amp;""))</f>
        <v/>
      </c>
      <c r="M214" s="27">
        <f>IF(C214="","",SUMIFS(tbl_Finance[Ex GST],tbl_Finance[Job Number],C214&amp;"",tbl_Finance[Xero Invoice No],"&lt;&gt;"))</f>
        <v/>
      </c>
      <c r="N214" s="27">
        <f>IF(C214="","",L214-M214)</f>
        <v/>
      </c>
      <c r="O214" s="24" t="n"/>
      <c r="P214" s="27">
        <f>IF(C214="","",IF(O214="",0,MAX(0,O214-L214)))</f>
        <v/>
      </c>
      <c r="Q214" s="26">
        <f>IF(C214="","",IF(K214=0,"not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R214" s="22" t="n"/>
      <c r="S214" s="22" t="n"/>
      <c r="T214" s="26">
        <f>IF(S214="","",HYPERLINK(IF(LEFT(S214,4)="http",S214,set_QwilrBase&amp;S214),"Open quote"))</f>
        <v/>
      </c>
      <c r="U214" s="71" t="n"/>
      <c r="V214" s="22" t="n"/>
      <c r="W214" s="22" t="n"/>
    </row>
    <row r="215" ht="15" customHeight="1">
      <c r="A215" s="70">
        <f>IF(C215="","",IFERROR(IF(SUMPRODUCT(MAX((tbl_Finance[Job Number]&amp;""=C215&amp;"")*(tbl_Finance[Xero Invoice No]&lt;&gt;"")*tbl_Finance[Date]))=0,"",SUMPRODUCT(MAX((tbl_Finance[Job Number]&amp;""=C215&amp;"")*(tbl_Finance[Xero Invoice No]&lt;&gt;"")*tbl_Finance[Date]))),""))</f>
        <v/>
      </c>
      <c r="B215" s="26">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2" t="n"/>
      <c r="D215" s="26">
        <f>IF(C215="","",IF(COUNTIF(lst_Jobs,C215&amp;"")&gt;0,"OK","CHECK"))</f>
        <v/>
      </c>
      <c r="E215" s="26">
        <f>IF(C215="","",IFERROR(INDEX(lst_JobName,MATCH(C215&amp;"",lst_Jobs,0)),""))</f>
        <v/>
      </c>
      <c r="F215" s="22" t="n"/>
      <c r="G215" s="22" t="n"/>
      <c r="H215" s="22" t="n"/>
      <c r="I215" s="22" t="n"/>
      <c r="J215" s="22" t="n"/>
      <c r="K215" s="28">
        <f>IF(C215="","",COUNTIFS(tbl_Finance[Job Number],C215&amp;"",tbl_Finance[Ex GST],"&lt;&gt;"))</f>
        <v/>
      </c>
      <c r="L215" s="27">
        <f>IF(C215="","",SUMIFS(tbl_Finance[Ex GST],tbl_Finance[Job Number],C215&amp;""))</f>
        <v/>
      </c>
      <c r="M215" s="27">
        <f>IF(C215="","",SUMIFS(tbl_Finance[Ex GST],tbl_Finance[Job Number],C215&amp;"",tbl_Finance[Xero Invoice No],"&lt;&gt;"))</f>
        <v/>
      </c>
      <c r="N215" s="27">
        <f>IF(C215="","",L215-M215)</f>
        <v/>
      </c>
      <c r="O215" s="24" t="n"/>
      <c r="P215" s="27">
        <f>IF(C215="","",IF(O215="",0,MAX(0,O215-L215)))</f>
        <v/>
      </c>
      <c r="Q215" s="26">
        <f>IF(C215="","",IF(K215=0,"not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R215" s="22" t="n"/>
      <c r="S215" s="22" t="n"/>
      <c r="T215" s="26">
        <f>IF(S215="","",HYPERLINK(IF(LEFT(S215,4)="http",S215,set_QwilrBase&amp;S215),"Open quote"))</f>
        <v/>
      </c>
      <c r="U215" s="71" t="n"/>
      <c r="V215" s="22" t="n"/>
      <c r="W215" s="22" t="n"/>
    </row>
    <row r="216" ht="15" customHeight="1">
      <c r="A216" s="70">
        <f>IF(C216="","",IFERROR(IF(SUMPRODUCT(MAX((tbl_Finance[Job Number]&amp;""=C216&amp;"")*(tbl_Finance[Xero Invoice No]&lt;&gt;"")*tbl_Finance[Date]))=0,"",SUMPRODUCT(MAX((tbl_Finance[Job Number]&amp;""=C216&amp;"")*(tbl_Finance[Xero Invoice No]&lt;&gt;"")*tbl_Finance[Date]))),""))</f>
        <v/>
      </c>
      <c r="B216" s="26">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2" t="n"/>
      <c r="D216" s="26">
        <f>IF(C216="","",IF(COUNTIF(lst_Jobs,C216&amp;"")&gt;0,"OK","CHECK"))</f>
        <v/>
      </c>
      <c r="E216" s="26">
        <f>IF(C216="","",IFERROR(INDEX(lst_JobName,MATCH(C216&amp;"",lst_Jobs,0)),""))</f>
        <v/>
      </c>
      <c r="F216" s="22" t="n"/>
      <c r="G216" s="22" t="n"/>
      <c r="H216" s="22" t="n"/>
      <c r="I216" s="22" t="n"/>
      <c r="J216" s="22" t="n"/>
      <c r="K216" s="28">
        <f>IF(C216="","",COUNTIFS(tbl_Finance[Job Number],C216&amp;"",tbl_Finance[Ex GST],"&lt;&gt;"))</f>
        <v/>
      </c>
      <c r="L216" s="27">
        <f>IF(C216="","",SUMIFS(tbl_Finance[Ex GST],tbl_Finance[Job Number],C216&amp;""))</f>
        <v/>
      </c>
      <c r="M216" s="27">
        <f>IF(C216="","",SUMIFS(tbl_Finance[Ex GST],tbl_Finance[Job Number],C216&amp;"",tbl_Finance[Xero Invoice No],"&lt;&gt;"))</f>
        <v/>
      </c>
      <c r="N216" s="27">
        <f>IF(C216="","",L216-M216)</f>
        <v/>
      </c>
      <c r="O216" s="24" t="n"/>
      <c r="P216" s="27">
        <f>IF(C216="","",IF(O216="",0,MAX(0,O216-L216)))</f>
        <v/>
      </c>
      <c r="Q216" s="26">
        <f>IF(C216="","",IF(K216=0,"not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R216" s="22" t="n"/>
      <c r="S216" s="22" t="n"/>
      <c r="T216" s="26">
        <f>IF(S216="","",HYPERLINK(IF(LEFT(S216,4)="http",S216,set_QwilrBase&amp;S216),"Open quote"))</f>
        <v/>
      </c>
      <c r="U216" s="71" t="n"/>
      <c r="V216" s="22" t="n"/>
      <c r="W216" s="22" t="n"/>
    </row>
    <row r="217" ht="15" customHeight="1">
      <c r="A217" s="70">
        <f>IF(C217="","",IFERROR(IF(SUMPRODUCT(MAX((tbl_Finance[Job Number]&amp;""=C217&amp;"")*(tbl_Finance[Xero Invoice No]&lt;&gt;"")*tbl_Finance[Date]))=0,"",SUMPRODUCT(MAX((tbl_Finance[Job Number]&amp;""=C217&amp;"")*(tbl_Finance[Xero Invoice No]&lt;&gt;"")*tbl_Finance[Date]))),""))</f>
        <v/>
      </c>
      <c r="B217" s="26">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2" t="n"/>
      <c r="D217" s="26">
        <f>IF(C217="","",IF(COUNTIF(lst_Jobs,C217&amp;"")&gt;0,"OK","CHECK"))</f>
        <v/>
      </c>
      <c r="E217" s="26">
        <f>IF(C217="","",IFERROR(INDEX(lst_JobName,MATCH(C217&amp;"",lst_Jobs,0)),""))</f>
        <v/>
      </c>
      <c r="F217" s="22" t="n"/>
      <c r="G217" s="22" t="n"/>
      <c r="H217" s="22" t="n"/>
      <c r="I217" s="22" t="n"/>
      <c r="J217" s="22" t="n"/>
      <c r="K217" s="28">
        <f>IF(C217="","",COUNTIFS(tbl_Finance[Job Number],C217&amp;"",tbl_Finance[Ex GST],"&lt;&gt;"))</f>
        <v/>
      </c>
      <c r="L217" s="27">
        <f>IF(C217="","",SUMIFS(tbl_Finance[Ex GST],tbl_Finance[Job Number],C217&amp;""))</f>
        <v/>
      </c>
      <c r="M217" s="27">
        <f>IF(C217="","",SUMIFS(tbl_Finance[Ex GST],tbl_Finance[Job Number],C217&amp;"",tbl_Finance[Xero Invoice No],"&lt;&gt;"))</f>
        <v/>
      </c>
      <c r="N217" s="27">
        <f>IF(C217="","",L217-M217)</f>
        <v/>
      </c>
      <c r="O217" s="24" t="n"/>
      <c r="P217" s="27">
        <f>IF(C217="","",IF(O217="",0,MAX(0,O217-L217)))</f>
        <v/>
      </c>
      <c r="Q217" s="26">
        <f>IF(C217="","",IF(K217=0,"not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R217" s="22" t="n"/>
      <c r="S217" s="22" t="n"/>
      <c r="T217" s="26">
        <f>IF(S217="","",HYPERLINK(IF(LEFT(S217,4)="http",S217,set_QwilrBase&amp;S217),"Open quote"))</f>
        <v/>
      </c>
      <c r="U217" s="71" t="n"/>
      <c r="V217" s="22" t="n"/>
      <c r="W217" s="22" t="n"/>
    </row>
    <row r="218" ht="15" customHeight="1">
      <c r="A218" s="70">
        <f>IF(C218="","",IFERROR(IF(SUMPRODUCT(MAX((tbl_Finance[Job Number]&amp;""=C218&amp;"")*(tbl_Finance[Xero Invoice No]&lt;&gt;"")*tbl_Finance[Date]))=0,"",SUMPRODUCT(MAX((tbl_Finance[Job Number]&amp;""=C218&amp;"")*(tbl_Finance[Xero Invoice No]&lt;&gt;"")*tbl_Finance[Date]))),""))</f>
        <v/>
      </c>
      <c r="B218" s="26">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2" t="n"/>
      <c r="D218" s="26">
        <f>IF(C218="","",IF(COUNTIF(lst_Jobs,C218&amp;"")&gt;0,"OK","CHECK"))</f>
        <v/>
      </c>
      <c r="E218" s="26">
        <f>IF(C218="","",IFERROR(INDEX(lst_JobName,MATCH(C218&amp;"",lst_Jobs,0)),""))</f>
        <v/>
      </c>
      <c r="F218" s="22" t="n"/>
      <c r="G218" s="22" t="n"/>
      <c r="H218" s="22" t="n"/>
      <c r="I218" s="22" t="n"/>
      <c r="J218" s="22" t="n"/>
      <c r="K218" s="28">
        <f>IF(C218="","",COUNTIFS(tbl_Finance[Job Number],C218&amp;"",tbl_Finance[Ex GST],"&lt;&gt;"))</f>
        <v/>
      </c>
      <c r="L218" s="27">
        <f>IF(C218="","",SUMIFS(tbl_Finance[Ex GST],tbl_Finance[Job Number],C218&amp;""))</f>
        <v/>
      </c>
      <c r="M218" s="27">
        <f>IF(C218="","",SUMIFS(tbl_Finance[Ex GST],tbl_Finance[Job Number],C218&amp;"",tbl_Finance[Xero Invoice No],"&lt;&gt;"))</f>
        <v/>
      </c>
      <c r="N218" s="27">
        <f>IF(C218="","",L218-M218)</f>
        <v/>
      </c>
      <c r="O218" s="24" t="n"/>
      <c r="P218" s="27">
        <f>IF(C218="","",IF(O218="",0,MAX(0,O218-L218)))</f>
        <v/>
      </c>
      <c r="Q218" s="26">
        <f>IF(C218="","",IF(K218=0,"not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R218" s="22" t="n"/>
      <c r="S218" s="22" t="n"/>
      <c r="T218" s="26">
        <f>IF(S218="","",HYPERLINK(IF(LEFT(S218,4)="http",S218,set_QwilrBase&amp;S218),"Open quote"))</f>
        <v/>
      </c>
      <c r="U218" s="71" t="n"/>
      <c r="V218" s="22" t="n"/>
      <c r="W218" s="22" t="n"/>
    </row>
    <row r="219" ht="15" customHeight="1">
      <c r="A219" s="70">
        <f>IF(C219="","",IFERROR(IF(SUMPRODUCT(MAX((tbl_Finance[Job Number]&amp;""=C219&amp;"")*(tbl_Finance[Xero Invoice No]&lt;&gt;"")*tbl_Finance[Date]))=0,"",SUMPRODUCT(MAX((tbl_Finance[Job Number]&amp;""=C219&amp;"")*(tbl_Finance[Xero Invoice No]&lt;&gt;"")*tbl_Finance[Date]))),""))</f>
        <v/>
      </c>
      <c r="B219" s="26">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2" t="n"/>
      <c r="D219" s="26">
        <f>IF(C219="","",IF(COUNTIF(lst_Jobs,C219&amp;"")&gt;0,"OK","CHECK"))</f>
        <v/>
      </c>
      <c r="E219" s="26">
        <f>IF(C219="","",IFERROR(INDEX(lst_JobName,MATCH(C219&amp;"",lst_Jobs,0)),""))</f>
        <v/>
      </c>
      <c r="F219" s="22" t="n"/>
      <c r="G219" s="22" t="n"/>
      <c r="H219" s="22" t="n"/>
      <c r="I219" s="22" t="n"/>
      <c r="J219" s="22" t="n"/>
      <c r="K219" s="28">
        <f>IF(C219="","",COUNTIFS(tbl_Finance[Job Number],C219&amp;"",tbl_Finance[Ex GST],"&lt;&gt;"))</f>
        <v/>
      </c>
      <c r="L219" s="27">
        <f>IF(C219="","",SUMIFS(tbl_Finance[Ex GST],tbl_Finance[Job Number],C219&amp;""))</f>
        <v/>
      </c>
      <c r="M219" s="27">
        <f>IF(C219="","",SUMIFS(tbl_Finance[Ex GST],tbl_Finance[Job Number],C219&amp;"",tbl_Finance[Xero Invoice No],"&lt;&gt;"))</f>
        <v/>
      </c>
      <c r="N219" s="27">
        <f>IF(C219="","",L219-M219)</f>
        <v/>
      </c>
      <c r="O219" s="24" t="n"/>
      <c r="P219" s="27">
        <f>IF(C219="","",IF(O219="",0,MAX(0,O219-L219)))</f>
        <v/>
      </c>
      <c r="Q219" s="26">
        <f>IF(C219="","",IF(K219=0,"not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R219" s="22" t="n"/>
      <c r="S219" s="22" t="n"/>
      <c r="T219" s="26">
        <f>IF(S219="","",HYPERLINK(IF(LEFT(S219,4)="http",S219,set_QwilrBase&amp;S219),"Open quote"))</f>
        <v/>
      </c>
      <c r="U219" s="71" t="n"/>
      <c r="V219" s="22" t="n"/>
      <c r="W219" s="22" t="n"/>
    </row>
    <row r="220" ht="15" customHeight="1">
      <c r="A220" s="70">
        <f>IF(C220="","",IFERROR(IF(SUMPRODUCT(MAX((tbl_Finance[Job Number]&amp;""=C220&amp;"")*(tbl_Finance[Xero Invoice No]&lt;&gt;"")*tbl_Finance[Date]))=0,"",SUMPRODUCT(MAX((tbl_Finance[Job Number]&amp;""=C220&amp;"")*(tbl_Finance[Xero Invoice No]&lt;&gt;"")*tbl_Finance[Date]))),""))</f>
        <v/>
      </c>
      <c r="B220" s="26">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2" t="n"/>
      <c r="D220" s="26">
        <f>IF(C220="","",IF(COUNTIF(lst_Jobs,C220&amp;"")&gt;0,"OK","CHECK"))</f>
        <v/>
      </c>
      <c r="E220" s="26">
        <f>IF(C220="","",IFERROR(INDEX(lst_JobName,MATCH(C220&amp;"",lst_Jobs,0)),""))</f>
        <v/>
      </c>
      <c r="F220" s="22" t="n"/>
      <c r="G220" s="22" t="n"/>
      <c r="H220" s="22" t="n"/>
      <c r="I220" s="22" t="n"/>
      <c r="J220" s="22" t="n"/>
      <c r="K220" s="28">
        <f>IF(C220="","",COUNTIFS(tbl_Finance[Job Number],C220&amp;"",tbl_Finance[Ex GST],"&lt;&gt;"))</f>
        <v/>
      </c>
      <c r="L220" s="27">
        <f>IF(C220="","",SUMIFS(tbl_Finance[Ex GST],tbl_Finance[Job Number],C220&amp;""))</f>
        <v/>
      </c>
      <c r="M220" s="27">
        <f>IF(C220="","",SUMIFS(tbl_Finance[Ex GST],tbl_Finance[Job Number],C220&amp;"",tbl_Finance[Xero Invoice No],"&lt;&gt;"))</f>
        <v/>
      </c>
      <c r="N220" s="27">
        <f>IF(C220="","",L220-M220)</f>
        <v/>
      </c>
      <c r="O220" s="24" t="n"/>
      <c r="P220" s="27">
        <f>IF(C220="","",IF(O220="",0,MAX(0,O220-L220)))</f>
        <v/>
      </c>
      <c r="Q220" s="26">
        <f>IF(C220="","",IF(K220=0,"not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R220" s="22" t="n"/>
      <c r="S220" s="22" t="n"/>
      <c r="T220" s="26">
        <f>IF(S220="","",HYPERLINK(IF(LEFT(S220,4)="http",S220,set_QwilrBase&amp;S220),"Open quote"))</f>
        <v/>
      </c>
      <c r="U220" s="71" t="n"/>
      <c r="V220" s="22" t="n"/>
      <c r="W220" s="22" t="n"/>
    </row>
    <row r="221" ht="15" customHeight="1">
      <c r="A221" s="70">
        <f>IF(C221="","",IFERROR(IF(SUMPRODUCT(MAX((tbl_Finance[Job Number]&amp;""=C221&amp;"")*(tbl_Finance[Xero Invoice No]&lt;&gt;"")*tbl_Finance[Date]))=0,"",SUMPRODUCT(MAX((tbl_Finance[Job Number]&amp;""=C221&amp;"")*(tbl_Finance[Xero Invoice No]&lt;&gt;"")*tbl_Finance[Date]))),""))</f>
        <v/>
      </c>
      <c r="B221" s="26">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2" t="n"/>
      <c r="D221" s="26">
        <f>IF(C221="","",IF(COUNTIF(lst_Jobs,C221&amp;"")&gt;0,"OK","CHECK"))</f>
        <v/>
      </c>
      <c r="E221" s="26">
        <f>IF(C221="","",IFERROR(INDEX(lst_JobName,MATCH(C221&amp;"",lst_Jobs,0)),""))</f>
        <v/>
      </c>
      <c r="F221" s="22" t="n"/>
      <c r="G221" s="22" t="n"/>
      <c r="H221" s="22" t="n"/>
      <c r="I221" s="22" t="n"/>
      <c r="J221" s="22" t="n"/>
      <c r="K221" s="28">
        <f>IF(C221="","",COUNTIFS(tbl_Finance[Job Number],C221&amp;"",tbl_Finance[Ex GST],"&lt;&gt;"))</f>
        <v/>
      </c>
      <c r="L221" s="27">
        <f>IF(C221="","",SUMIFS(tbl_Finance[Ex GST],tbl_Finance[Job Number],C221&amp;""))</f>
        <v/>
      </c>
      <c r="M221" s="27">
        <f>IF(C221="","",SUMIFS(tbl_Finance[Ex GST],tbl_Finance[Job Number],C221&amp;"",tbl_Finance[Xero Invoice No],"&lt;&gt;"))</f>
        <v/>
      </c>
      <c r="N221" s="27">
        <f>IF(C221="","",L221-M221)</f>
        <v/>
      </c>
      <c r="O221" s="24" t="n"/>
      <c r="P221" s="27">
        <f>IF(C221="","",IF(O221="",0,MAX(0,O221-L221)))</f>
        <v/>
      </c>
      <c r="Q221" s="26">
        <f>IF(C221="","",IF(K221=0,"not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R221" s="22" t="n"/>
      <c r="S221" s="22" t="n"/>
      <c r="T221" s="26">
        <f>IF(S221="","",HYPERLINK(IF(LEFT(S221,4)="http",S221,set_QwilrBase&amp;S221),"Open quote"))</f>
        <v/>
      </c>
      <c r="U221" s="71" t="n"/>
      <c r="V221" s="22" t="n"/>
      <c r="W221" s="22" t="n"/>
    </row>
    <row r="222" ht="15" customHeight="1">
      <c r="A222" s="70">
        <f>IF(C222="","",IFERROR(IF(SUMPRODUCT(MAX((tbl_Finance[Job Number]&amp;""=C222&amp;"")*(tbl_Finance[Xero Invoice No]&lt;&gt;"")*tbl_Finance[Date]))=0,"",SUMPRODUCT(MAX((tbl_Finance[Job Number]&amp;""=C222&amp;"")*(tbl_Finance[Xero Invoice No]&lt;&gt;"")*tbl_Finance[Date]))),""))</f>
        <v/>
      </c>
      <c r="B222" s="26">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2" t="n"/>
      <c r="D222" s="26">
        <f>IF(C222="","",IF(COUNTIF(lst_Jobs,C222&amp;"")&gt;0,"OK","CHECK"))</f>
        <v/>
      </c>
      <c r="E222" s="26">
        <f>IF(C222="","",IFERROR(INDEX(lst_JobName,MATCH(C222&amp;"",lst_Jobs,0)),""))</f>
        <v/>
      </c>
      <c r="F222" s="22" t="n"/>
      <c r="G222" s="22" t="n"/>
      <c r="H222" s="22" t="n"/>
      <c r="I222" s="22" t="n"/>
      <c r="J222" s="22" t="n"/>
      <c r="K222" s="28">
        <f>IF(C222="","",COUNTIFS(tbl_Finance[Job Number],C222&amp;"",tbl_Finance[Ex GST],"&lt;&gt;"))</f>
        <v/>
      </c>
      <c r="L222" s="27">
        <f>IF(C222="","",SUMIFS(tbl_Finance[Ex GST],tbl_Finance[Job Number],C222&amp;""))</f>
        <v/>
      </c>
      <c r="M222" s="27">
        <f>IF(C222="","",SUMIFS(tbl_Finance[Ex GST],tbl_Finance[Job Number],C222&amp;"",tbl_Finance[Xero Invoice No],"&lt;&gt;"))</f>
        <v/>
      </c>
      <c r="N222" s="27">
        <f>IF(C222="","",L222-M222)</f>
        <v/>
      </c>
      <c r="O222" s="24" t="n"/>
      <c r="P222" s="27">
        <f>IF(C222="","",IF(O222="",0,MAX(0,O222-L222)))</f>
        <v/>
      </c>
      <c r="Q222" s="26">
        <f>IF(C222="","",IF(K222=0,"not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R222" s="22" t="n"/>
      <c r="S222" s="22" t="n"/>
      <c r="T222" s="26">
        <f>IF(S222="","",HYPERLINK(IF(LEFT(S222,4)="http",S222,set_QwilrBase&amp;S222),"Open quote"))</f>
        <v/>
      </c>
      <c r="U222" s="71" t="n"/>
      <c r="V222" s="22" t="n"/>
      <c r="W222" s="22" t="n"/>
    </row>
    <row r="223" ht="15" customHeight="1">
      <c r="A223" s="70">
        <f>IF(C223="","",IFERROR(IF(SUMPRODUCT(MAX((tbl_Finance[Job Number]&amp;""=C223&amp;"")*(tbl_Finance[Xero Invoice No]&lt;&gt;"")*tbl_Finance[Date]))=0,"",SUMPRODUCT(MAX((tbl_Finance[Job Number]&amp;""=C223&amp;"")*(tbl_Finance[Xero Invoice No]&lt;&gt;"")*tbl_Finance[Date]))),""))</f>
        <v/>
      </c>
      <c r="B223" s="26">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2" t="n"/>
      <c r="D223" s="26">
        <f>IF(C223="","",IF(COUNTIF(lst_Jobs,C223&amp;"")&gt;0,"OK","CHECK"))</f>
        <v/>
      </c>
      <c r="E223" s="26">
        <f>IF(C223="","",IFERROR(INDEX(lst_JobName,MATCH(C223&amp;"",lst_Jobs,0)),""))</f>
        <v/>
      </c>
      <c r="F223" s="22" t="n"/>
      <c r="G223" s="22" t="n"/>
      <c r="H223" s="22" t="n"/>
      <c r="I223" s="22" t="n"/>
      <c r="J223" s="22" t="n"/>
      <c r="K223" s="28">
        <f>IF(C223="","",COUNTIFS(tbl_Finance[Job Number],C223&amp;"",tbl_Finance[Ex GST],"&lt;&gt;"))</f>
        <v/>
      </c>
      <c r="L223" s="27">
        <f>IF(C223="","",SUMIFS(tbl_Finance[Ex GST],tbl_Finance[Job Number],C223&amp;""))</f>
        <v/>
      </c>
      <c r="M223" s="27">
        <f>IF(C223="","",SUMIFS(tbl_Finance[Ex GST],tbl_Finance[Job Number],C223&amp;"",tbl_Finance[Xero Invoice No],"&lt;&gt;"))</f>
        <v/>
      </c>
      <c r="N223" s="27">
        <f>IF(C223="","",L223-M223)</f>
        <v/>
      </c>
      <c r="O223" s="24" t="n"/>
      <c r="P223" s="27">
        <f>IF(C223="","",IF(O223="",0,MAX(0,O223-L223)))</f>
        <v/>
      </c>
      <c r="Q223" s="26">
        <f>IF(C223="","",IF(K223=0,"not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R223" s="22" t="n"/>
      <c r="S223" s="22" t="n"/>
      <c r="T223" s="26">
        <f>IF(S223="","",HYPERLINK(IF(LEFT(S223,4)="http",S223,set_QwilrBase&amp;S223),"Open quote"))</f>
        <v/>
      </c>
      <c r="U223" s="71" t="n"/>
      <c r="V223" s="22" t="n"/>
      <c r="W223" s="22" t="n"/>
    </row>
    <row r="224" ht="15" customHeight="1">
      <c r="A224" s="70">
        <f>IF(C224="","",IFERROR(IF(SUMPRODUCT(MAX((tbl_Finance[Job Number]&amp;""=C224&amp;"")*(tbl_Finance[Xero Invoice No]&lt;&gt;"")*tbl_Finance[Date]))=0,"",SUMPRODUCT(MAX((tbl_Finance[Job Number]&amp;""=C224&amp;"")*(tbl_Finance[Xero Invoice No]&lt;&gt;"")*tbl_Finance[Date]))),""))</f>
        <v/>
      </c>
      <c r="B224" s="26">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2" t="n"/>
      <c r="D224" s="26">
        <f>IF(C224="","",IF(COUNTIF(lst_Jobs,C224&amp;"")&gt;0,"OK","CHECK"))</f>
        <v/>
      </c>
      <c r="E224" s="26">
        <f>IF(C224="","",IFERROR(INDEX(lst_JobName,MATCH(C224&amp;"",lst_Jobs,0)),""))</f>
        <v/>
      </c>
      <c r="F224" s="22" t="n"/>
      <c r="G224" s="22" t="n"/>
      <c r="H224" s="22" t="n"/>
      <c r="I224" s="22" t="n"/>
      <c r="J224" s="22" t="n"/>
      <c r="K224" s="28">
        <f>IF(C224="","",COUNTIFS(tbl_Finance[Job Number],C224&amp;"",tbl_Finance[Ex GST],"&lt;&gt;"))</f>
        <v/>
      </c>
      <c r="L224" s="27">
        <f>IF(C224="","",SUMIFS(tbl_Finance[Ex GST],tbl_Finance[Job Number],C224&amp;""))</f>
        <v/>
      </c>
      <c r="M224" s="27">
        <f>IF(C224="","",SUMIFS(tbl_Finance[Ex GST],tbl_Finance[Job Number],C224&amp;"",tbl_Finance[Xero Invoice No],"&lt;&gt;"))</f>
        <v/>
      </c>
      <c r="N224" s="27">
        <f>IF(C224="","",L224-M224)</f>
        <v/>
      </c>
      <c r="O224" s="24" t="n"/>
      <c r="P224" s="27">
        <f>IF(C224="","",IF(O224="",0,MAX(0,O224-L224)))</f>
        <v/>
      </c>
      <c r="Q224" s="26">
        <f>IF(C224="","",IF(K224=0,"not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R224" s="22" t="n"/>
      <c r="S224" s="22" t="n"/>
      <c r="T224" s="26">
        <f>IF(S224="","",HYPERLINK(IF(LEFT(S224,4)="http",S224,set_QwilrBase&amp;S224),"Open quote"))</f>
        <v/>
      </c>
      <c r="U224" s="71" t="n"/>
      <c r="V224" s="22" t="n"/>
      <c r="W224" s="22" t="n"/>
    </row>
    <row r="225" ht="15" customHeight="1">
      <c r="A225" s="70">
        <f>IF(C225="","",IFERROR(IF(SUMPRODUCT(MAX((tbl_Finance[Job Number]&amp;""=C225&amp;"")*(tbl_Finance[Xero Invoice No]&lt;&gt;"")*tbl_Finance[Date]))=0,"",SUMPRODUCT(MAX((tbl_Finance[Job Number]&amp;""=C225&amp;"")*(tbl_Finance[Xero Invoice No]&lt;&gt;"")*tbl_Finance[Date]))),""))</f>
        <v/>
      </c>
      <c r="B225" s="26">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2" t="n"/>
      <c r="D225" s="26">
        <f>IF(C225="","",IF(COUNTIF(lst_Jobs,C225&amp;"")&gt;0,"OK","CHECK"))</f>
        <v/>
      </c>
      <c r="E225" s="26">
        <f>IF(C225="","",IFERROR(INDEX(lst_JobName,MATCH(C225&amp;"",lst_Jobs,0)),""))</f>
        <v/>
      </c>
      <c r="F225" s="22" t="n"/>
      <c r="G225" s="22" t="n"/>
      <c r="H225" s="22" t="n"/>
      <c r="I225" s="22" t="n"/>
      <c r="J225" s="22" t="n"/>
      <c r="K225" s="28">
        <f>IF(C225="","",COUNTIFS(tbl_Finance[Job Number],C225&amp;"",tbl_Finance[Ex GST],"&lt;&gt;"))</f>
        <v/>
      </c>
      <c r="L225" s="27">
        <f>IF(C225="","",SUMIFS(tbl_Finance[Ex GST],tbl_Finance[Job Number],C225&amp;""))</f>
        <v/>
      </c>
      <c r="M225" s="27">
        <f>IF(C225="","",SUMIFS(tbl_Finance[Ex GST],tbl_Finance[Job Number],C225&amp;"",tbl_Finance[Xero Invoice No],"&lt;&gt;"))</f>
        <v/>
      </c>
      <c r="N225" s="27">
        <f>IF(C225="","",L225-M225)</f>
        <v/>
      </c>
      <c r="O225" s="24" t="n"/>
      <c r="P225" s="27">
        <f>IF(C225="","",IF(O225="",0,MAX(0,O225-L225)))</f>
        <v/>
      </c>
      <c r="Q225" s="26">
        <f>IF(C225="","",IF(K225=0,"not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R225" s="22" t="n"/>
      <c r="S225" s="22" t="n"/>
      <c r="T225" s="26">
        <f>IF(S225="","",HYPERLINK(IF(LEFT(S225,4)="http",S225,set_QwilrBase&amp;S225),"Open quote"))</f>
        <v/>
      </c>
      <c r="U225" s="71" t="n"/>
      <c r="V225" s="22" t="n"/>
      <c r="W225" s="22" t="n"/>
    </row>
    <row r="226" ht="15" customHeight="1">
      <c r="A226" s="70">
        <f>IF(C226="","",IFERROR(IF(SUMPRODUCT(MAX((tbl_Finance[Job Number]&amp;""=C226&amp;"")*(tbl_Finance[Xero Invoice No]&lt;&gt;"")*tbl_Finance[Date]))=0,"",SUMPRODUCT(MAX((tbl_Finance[Job Number]&amp;""=C226&amp;"")*(tbl_Finance[Xero Invoice No]&lt;&gt;"")*tbl_Finance[Date]))),""))</f>
        <v/>
      </c>
      <c r="B226" s="26">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2" t="n"/>
      <c r="D226" s="26">
        <f>IF(C226="","",IF(COUNTIF(lst_Jobs,C226&amp;"")&gt;0,"OK","CHECK"))</f>
        <v/>
      </c>
      <c r="E226" s="26">
        <f>IF(C226="","",IFERROR(INDEX(lst_JobName,MATCH(C226&amp;"",lst_Jobs,0)),""))</f>
        <v/>
      </c>
      <c r="F226" s="22" t="n"/>
      <c r="G226" s="22" t="n"/>
      <c r="H226" s="22" t="n"/>
      <c r="I226" s="22" t="n"/>
      <c r="J226" s="22" t="n"/>
      <c r="K226" s="28">
        <f>IF(C226="","",COUNTIFS(tbl_Finance[Job Number],C226&amp;"",tbl_Finance[Ex GST],"&lt;&gt;"))</f>
        <v/>
      </c>
      <c r="L226" s="27">
        <f>IF(C226="","",SUMIFS(tbl_Finance[Ex GST],tbl_Finance[Job Number],C226&amp;""))</f>
        <v/>
      </c>
      <c r="M226" s="27">
        <f>IF(C226="","",SUMIFS(tbl_Finance[Ex GST],tbl_Finance[Job Number],C226&amp;"",tbl_Finance[Xero Invoice No],"&lt;&gt;"))</f>
        <v/>
      </c>
      <c r="N226" s="27">
        <f>IF(C226="","",L226-M226)</f>
        <v/>
      </c>
      <c r="O226" s="24" t="n"/>
      <c r="P226" s="27">
        <f>IF(C226="","",IF(O226="",0,MAX(0,O226-L226)))</f>
        <v/>
      </c>
      <c r="Q226" s="26">
        <f>IF(C226="","",IF(K226=0,"not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R226" s="22" t="n"/>
      <c r="S226" s="22" t="n"/>
      <c r="T226" s="26">
        <f>IF(S226="","",HYPERLINK(IF(LEFT(S226,4)="http",S226,set_QwilrBase&amp;S226),"Open quote"))</f>
        <v/>
      </c>
      <c r="U226" s="71" t="n"/>
      <c r="V226" s="22" t="n"/>
      <c r="W226" s="22" t="n"/>
    </row>
    <row r="227" ht="15" customHeight="1">
      <c r="A227" s="70">
        <f>IF(C227="","",IFERROR(IF(SUMPRODUCT(MAX((tbl_Finance[Job Number]&amp;""=C227&amp;"")*(tbl_Finance[Xero Invoice No]&lt;&gt;"")*tbl_Finance[Date]))=0,"",SUMPRODUCT(MAX((tbl_Finance[Job Number]&amp;""=C227&amp;"")*(tbl_Finance[Xero Invoice No]&lt;&gt;"")*tbl_Finance[Date]))),""))</f>
        <v/>
      </c>
      <c r="B227" s="26">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2" t="n"/>
      <c r="D227" s="26">
        <f>IF(C227="","",IF(COUNTIF(lst_Jobs,C227&amp;"")&gt;0,"OK","CHECK"))</f>
        <v/>
      </c>
      <c r="E227" s="26">
        <f>IF(C227="","",IFERROR(INDEX(lst_JobName,MATCH(C227&amp;"",lst_Jobs,0)),""))</f>
        <v/>
      </c>
      <c r="F227" s="22" t="n"/>
      <c r="G227" s="22" t="n"/>
      <c r="H227" s="22" t="n"/>
      <c r="I227" s="22" t="n"/>
      <c r="J227" s="22" t="n"/>
      <c r="K227" s="28">
        <f>IF(C227="","",COUNTIFS(tbl_Finance[Job Number],C227&amp;"",tbl_Finance[Ex GST],"&lt;&gt;"))</f>
        <v/>
      </c>
      <c r="L227" s="27">
        <f>IF(C227="","",SUMIFS(tbl_Finance[Ex GST],tbl_Finance[Job Number],C227&amp;""))</f>
        <v/>
      </c>
      <c r="M227" s="27">
        <f>IF(C227="","",SUMIFS(tbl_Finance[Ex GST],tbl_Finance[Job Number],C227&amp;"",tbl_Finance[Xero Invoice No],"&lt;&gt;"))</f>
        <v/>
      </c>
      <c r="N227" s="27">
        <f>IF(C227="","",L227-M227)</f>
        <v/>
      </c>
      <c r="O227" s="24" t="n"/>
      <c r="P227" s="27">
        <f>IF(C227="","",IF(O227="",0,MAX(0,O227-L227)))</f>
        <v/>
      </c>
      <c r="Q227" s="26">
        <f>IF(C227="","",IF(K227=0,"not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R227" s="22" t="n"/>
      <c r="S227" s="22" t="n"/>
      <c r="T227" s="26">
        <f>IF(S227="","",HYPERLINK(IF(LEFT(S227,4)="http",S227,set_QwilrBase&amp;S227),"Open quote"))</f>
        <v/>
      </c>
      <c r="U227" s="71" t="n"/>
      <c r="V227" s="22" t="n"/>
      <c r="W227" s="22" t="n"/>
    </row>
    <row r="228" ht="15" customHeight="1">
      <c r="A228" s="70">
        <f>IF(C228="","",IFERROR(IF(SUMPRODUCT(MAX((tbl_Finance[Job Number]&amp;""=C228&amp;"")*(tbl_Finance[Xero Invoice No]&lt;&gt;"")*tbl_Finance[Date]))=0,"",SUMPRODUCT(MAX((tbl_Finance[Job Number]&amp;""=C228&amp;"")*(tbl_Finance[Xero Invoice No]&lt;&gt;"")*tbl_Finance[Date]))),""))</f>
        <v/>
      </c>
      <c r="B228" s="26">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2" t="n"/>
      <c r="D228" s="26">
        <f>IF(C228="","",IF(COUNTIF(lst_Jobs,C228&amp;"")&gt;0,"OK","CHECK"))</f>
        <v/>
      </c>
      <c r="E228" s="26">
        <f>IF(C228="","",IFERROR(INDEX(lst_JobName,MATCH(C228&amp;"",lst_Jobs,0)),""))</f>
        <v/>
      </c>
      <c r="F228" s="22" t="n"/>
      <c r="G228" s="22" t="n"/>
      <c r="H228" s="22" t="n"/>
      <c r="I228" s="22" t="n"/>
      <c r="J228" s="22" t="n"/>
      <c r="K228" s="28">
        <f>IF(C228="","",COUNTIFS(tbl_Finance[Job Number],C228&amp;"",tbl_Finance[Ex GST],"&lt;&gt;"))</f>
        <v/>
      </c>
      <c r="L228" s="27">
        <f>IF(C228="","",SUMIFS(tbl_Finance[Ex GST],tbl_Finance[Job Number],C228&amp;""))</f>
        <v/>
      </c>
      <c r="M228" s="27">
        <f>IF(C228="","",SUMIFS(tbl_Finance[Ex GST],tbl_Finance[Job Number],C228&amp;"",tbl_Finance[Xero Invoice No],"&lt;&gt;"))</f>
        <v/>
      </c>
      <c r="N228" s="27">
        <f>IF(C228="","",L228-M228)</f>
        <v/>
      </c>
      <c r="O228" s="24" t="n"/>
      <c r="P228" s="27">
        <f>IF(C228="","",IF(O228="",0,MAX(0,O228-L228)))</f>
        <v/>
      </c>
      <c r="Q228" s="26">
        <f>IF(C228="","",IF(K228=0,"not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R228" s="22" t="n"/>
      <c r="S228" s="22" t="n"/>
      <c r="T228" s="26">
        <f>IF(S228="","",HYPERLINK(IF(LEFT(S228,4)="http",S228,set_QwilrBase&amp;S228),"Open quote"))</f>
        <v/>
      </c>
      <c r="U228" s="71" t="n"/>
      <c r="V228" s="22" t="n"/>
      <c r="W228" s="22" t="n"/>
    </row>
    <row r="229" ht="15" customHeight="1">
      <c r="A229" s="70">
        <f>IF(C229="","",IFERROR(IF(SUMPRODUCT(MAX((tbl_Finance[Job Number]&amp;""=C229&amp;"")*(tbl_Finance[Xero Invoice No]&lt;&gt;"")*tbl_Finance[Date]))=0,"",SUMPRODUCT(MAX((tbl_Finance[Job Number]&amp;""=C229&amp;"")*(tbl_Finance[Xero Invoice No]&lt;&gt;"")*tbl_Finance[Date]))),""))</f>
        <v/>
      </c>
      <c r="B229" s="26">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2" t="n"/>
      <c r="D229" s="26">
        <f>IF(C229="","",IF(COUNTIF(lst_Jobs,C229&amp;"")&gt;0,"OK","CHECK"))</f>
        <v/>
      </c>
      <c r="E229" s="26">
        <f>IF(C229="","",IFERROR(INDEX(lst_JobName,MATCH(C229&amp;"",lst_Jobs,0)),""))</f>
        <v/>
      </c>
      <c r="F229" s="22" t="n"/>
      <c r="G229" s="22" t="n"/>
      <c r="H229" s="22" t="n"/>
      <c r="I229" s="22" t="n"/>
      <c r="J229" s="22" t="n"/>
      <c r="K229" s="28">
        <f>IF(C229="","",COUNTIFS(tbl_Finance[Job Number],C229&amp;"",tbl_Finance[Ex GST],"&lt;&gt;"))</f>
        <v/>
      </c>
      <c r="L229" s="27">
        <f>IF(C229="","",SUMIFS(tbl_Finance[Ex GST],tbl_Finance[Job Number],C229&amp;""))</f>
        <v/>
      </c>
      <c r="M229" s="27">
        <f>IF(C229="","",SUMIFS(tbl_Finance[Ex GST],tbl_Finance[Job Number],C229&amp;"",tbl_Finance[Xero Invoice No],"&lt;&gt;"))</f>
        <v/>
      </c>
      <c r="N229" s="27">
        <f>IF(C229="","",L229-M229)</f>
        <v/>
      </c>
      <c r="O229" s="24" t="n"/>
      <c r="P229" s="27">
        <f>IF(C229="","",IF(O229="",0,MAX(0,O229-L229)))</f>
        <v/>
      </c>
      <c r="Q229" s="26">
        <f>IF(C229="","",IF(K229=0,"not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R229" s="22" t="n"/>
      <c r="S229" s="22" t="n"/>
      <c r="T229" s="26">
        <f>IF(S229="","",HYPERLINK(IF(LEFT(S229,4)="http",S229,set_QwilrBase&amp;S229),"Open quote"))</f>
        <v/>
      </c>
      <c r="U229" s="71" t="n"/>
      <c r="V229" s="22" t="n"/>
      <c r="W229" s="22" t="n"/>
    </row>
    <row r="230" ht="15" customHeight="1">
      <c r="A230" s="70">
        <f>IF(C230="","",IFERROR(IF(SUMPRODUCT(MAX((tbl_Finance[Job Number]&amp;""=C230&amp;"")*(tbl_Finance[Xero Invoice No]&lt;&gt;"")*tbl_Finance[Date]))=0,"",SUMPRODUCT(MAX((tbl_Finance[Job Number]&amp;""=C230&amp;"")*(tbl_Finance[Xero Invoice No]&lt;&gt;"")*tbl_Finance[Date]))),""))</f>
        <v/>
      </c>
      <c r="B230" s="26">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2" t="n"/>
      <c r="D230" s="26">
        <f>IF(C230="","",IF(COUNTIF(lst_Jobs,C230&amp;"")&gt;0,"OK","CHECK"))</f>
        <v/>
      </c>
      <c r="E230" s="26">
        <f>IF(C230="","",IFERROR(INDEX(lst_JobName,MATCH(C230&amp;"",lst_Jobs,0)),""))</f>
        <v/>
      </c>
      <c r="F230" s="22" t="n"/>
      <c r="G230" s="22" t="n"/>
      <c r="H230" s="22" t="n"/>
      <c r="I230" s="22" t="n"/>
      <c r="J230" s="22" t="n"/>
      <c r="K230" s="28">
        <f>IF(C230="","",COUNTIFS(tbl_Finance[Job Number],C230&amp;"",tbl_Finance[Ex GST],"&lt;&gt;"))</f>
        <v/>
      </c>
      <c r="L230" s="27">
        <f>IF(C230="","",SUMIFS(tbl_Finance[Ex GST],tbl_Finance[Job Number],C230&amp;""))</f>
        <v/>
      </c>
      <c r="M230" s="27">
        <f>IF(C230="","",SUMIFS(tbl_Finance[Ex GST],tbl_Finance[Job Number],C230&amp;"",tbl_Finance[Xero Invoice No],"&lt;&gt;"))</f>
        <v/>
      </c>
      <c r="N230" s="27">
        <f>IF(C230="","",L230-M230)</f>
        <v/>
      </c>
      <c r="O230" s="24" t="n"/>
      <c r="P230" s="27">
        <f>IF(C230="","",IF(O230="",0,MAX(0,O230-L230)))</f>
        <v/>
      </c>
      <c r="Q230" s="26">
        <f>IF(C230="","",IF(K230=0,"not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R230" s="22" t="n"/>
      <c r="S230" s="22" t="n"/>
      <c r="T230" s="26">
        <f>IF(S230="","",HYPERLINK(IF(LEFT(S230,4)="http",S230,set_QwilrBase&amp;S230),"Open quote"))</f>
        <v/>
      </c>
      <c r="U230" s="71" t="n"/>
      <c r="V230" s="22" t="n"/>
      <c r="W230" s="22" t="n"/>
    </row>
    <row r="231" ht="15" customHeight="1">
      <c r="A231" s="70">
        <f>IF(C231="","",IFERROR(IF(SUMPRODUCT(MAX((tbl_Finance[Job Number]&amp;""=C231&amp;"")*(tbl_Finance[Xero Invoice No]&lt;&gt;"")*tbl_Finance[Date]))=0,"",SUMPRODUCT(MAX((tbl_Finance[Job Number]&amp;""=C231&amp;"")*(tbl_Finance[Xero Invoice No]&lt;&gt;"")*tbl_Finance[Date]))),""))</f>
        <v/>
      </c>
      <c r="B231" s="26">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2" t="n"/>
      <c r="D231" s="26">
        <f>IF(C231="","",IF(COUNTIF(lst_Jobs,C231&amp;"")&gt;0,"OK","CHECK"))</f>
        <v/>
      </c>
      <c r="E231" s="26">
        <f>IF(C231="","",IFERROR(INDEX(lst_JobName,MATCH(C231&amp;"",lst_Jobs,0)),""))</f>
        <v/>
      </c>
      <c r="F231" s="22" t="n"/>
      <c r="G231" s="22" t="n"/>
      <c r="H231" s="22" t="n"/>
      <c r="I231" s="22" t="n"/>
      <c r="J231" s="22" t="n"/>
      <c r="K231" s="28">
        <f>IF(C231="","",COUNTIFS(tbl_Finance[Job Number],C231&amp;"",tbl_Finance[Ex GST],"&lt;&gt;"))</f>
        <v/>
      </c>
      <c r="L231" s="27">
        <f>IF(C231="","",SUMIFS(tbl_Finance[Ex GST],tbl_Finance[Job Number],C231&amp;""))</f>
        <v/>
      </c>
      <c r="M231" s="27">
        <f>IF(C231="","",SUMIFS(tbl_Finance[Ex GST],tbl_Finance[Job Number],C231&amp;"",tbl_Finance[Xero Invoice No],"&lt;&gt;"))</f>
        <v/>
      </c>
      <c r="N231" s="27">
        <f>IF(C231="","",L231-M231)</f>
        <v/>
      </c>
      <c r="O231" s="24" t="n"/>
      <c r="P231" s="27">
        <f>IF(C231="","",IF(O231="",0,MAX(0,O231-L231)))</f>
        <v/>
      </c>
      <c r="Q231" s="26">
        <f>IF(C231="","",IF(K231=0,"not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R231" s="22" t="n"/>
      <c r="S231" s="22" t="n"/>
      <c r="T231" s="26">
        <f>IF(S231="","",HYPERLINK(IF(LEFT(S231,4)="http",S231,set_QwilrBase&amp;S231),"Open quote"))</f>
        <v/>
      </c>
      <c r="U231" s="71" t="n"/>
      <c r="V231" s="22" t="n"/>
      <c r="W231" s="22" t="n"/>
    </row>
    <row r="232" ht="15" customHeight="1">
      <c r="A232" s="70">
        <f>IF(C232="","",IFERROR(IF(SUMPRODUCT(MAX((tbl_Finance[Job Number]&amp;""=C232&amp;"")*(tbl_Finance[Xero Invoice No]&lt;&gt;"")*tbl_Finance[Date]))=0,"",SUMPRODUCT(MAX((tbl_Finance[Job Number]&amp;""=C232&amp;"")*(tbl_Finance[Xero Invoice No]&lt;&gt;"")*tbl_Finance[Date]))),""))</f>
        <v/>
      </c>
      <c r="B232" s="26">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2" t="n"/>
      <c r="D232" s="26">
        <f>IF(C232="","",IF(COUNTIF(lst_Jobs,C232&amp;"")&gt;0,"OK","CHECK"))</f>
        <v/>
      </c>
      <c r="E232" s="26">
        <f>IF(C232="","",IFERROR(INDEX(lst_JobName,MATCH(C232&amp;"",lst_Jobs,0)),""))</f>
        <v/>
      </c>
      <c r="F232" s="22" t="n"/>
      <c r="G232" s="22" t="n"/>
      <c r="H232" s="22" t="n"/>
      <c r="I232" s="22" t="n"/>
      <c r="J232" s="22" t="n"/>
      <c r="K232" s="28">
        <f>IF(C232="","",COUNTIFS(tbl_Finance[Job Number],C232&amp;"",tbl_Finance[Ex GST],"&lt;&gt;"))</f>
        <v/>
      </c>
      <c r="L232" s="27">
        <f>IF(C232="","",SUMIFS(tbl_Finance[Ex GST],tbl_Finance[Job Number],C232&amp;""))</f>
        <v/>
      </c>
      <c r="M232" s="27">
        <f>IF(C232="","",SUMIFS(tbl_Finance[Ex GST],tbl_Finance[Job Number],C232&amp;"",tbl_Finance[Xero Invoice No],"&lt;&gt;"))</f>
        <v/>
      </c>
      <c r="N232" s="27">
        <f>IF(C232="","",L232-M232)</f>
        <v/>
      </c>
      <c r="O232" s="24" t="n"/>
      <c r="P232" s="27">
        <f>IF(C232="","",IF(O232="",0,MAX(0,O232-L232)))</f>
        <v/>
      </c>
      <c r="Q232" s="26">
        <f>IF(C232="","",IF(K232=0,"not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R232" s="22" t="n"/>
      <c r="S232" s="22" t="n"/>
      <c r="T232" s="26">
        <f>IF(S232="","",HYPERLINK(IF(LEFT(S232,4)="http",S232,set_QwilrBase&amp;S232),"Open quote"))</f>
        <v/>
      </c>
      <c r="U232" s="71" t="n"/>
      <c r="V232" s="22" t="n"/>
      <c r="W232" s="22" t="n"/>
    </row>
    <row r="233" ht="15" customHeight="1">
      <c r="A233" s="70">
        <f>IF(C233="","",IFERROR(IF(SUMPRODUCT(MAX((tbl_Finance[Job Number]&amp;""=C233&amp;"")*(tbl_Finance[Xero Invoice No]&lt;&gt;"")*tbl_Finance[Date]))=0,"",SUMPRODUCT(MAX((tbl_Finance[Job Number]&amp;""=C233&amp;"")*(tbl_Finance[Xero Invoice No]&lt;&gt;"")*tbl_Finance[Date]))),""))</f>
        <v/>
      </c>
      <c r="B233" s="26">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2" t="n"/>
      <c r="D233" s="26">
        <f>IF(C233="","",IF(COUNTIF(lst_Jobs,C233&amp;"")&gt;0,"OK","CHECK"))</f>
        <v/>
      </c>
      <c r="E233" s="26">
        <f>IF(C233="","",IFERROR(INDEX(lst_JobName,MATCH(C233&amp;"",lst_Jobs,0)),""))</f>
        <v/>
      </c>
      <c r="F233" s="22" t="n"/>
      <c r="G233" s="22" t="n"/>
      <c r="H233" s="22" t="n"/>
      <c r="I233" s="22" t="n"/>
      <c r="J233" s="22" t="n"/>
      <c r="K233" s="28">
        <f>IF(C233="","",COUNTIFS(tbl_Finance[Job Number],C233&amp;"",tbl_Finance[Ex GST],"&lt;&gt;"))</f>
        <v/>
      </c>
      <c r="L233" s="27">
        <f>IF(C233="","",SUMIFS(tbl_Finance[Ex GST],tbl_Finance[Job Number],C233&amp;""))</f>
        <v/>
      </c>
      <c r="M233" s="27">
        <f>IF(C233="","",SUMIFS(tbl_Finance[Ex GST],tbl_Finance[Job Number],C233&amp;"",tbl_Finance[Xero Invoice No],"&lt;&gt;"))</f>
        <v/>
      </c>
      <c r="N233" s="27">
        <f>IF(C233="","",L233-M233)</f>
        <v/>
      </c>
      <c r="O233" s="24" t="n"/>
      <c r="P233" s="27">
        <f>IF(C233="","",IF(O233="",0,MAX(0,O233-L233)))</f>
        <v/>
      </c>
      <c r="Q233" s="26">
        <f>IF(C233="","",IF(K233=0,"not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R233" s="22" t="n"/>
      <c r="S233" s="22" t="n"/>
      <c r="T233" s="26">
        <f>IF(S233="","",HYPERLINK(IF(LEFT(S233,4)="http",S233,set_QwilrBase&amp;S233),"Open quote"))</f>
        <v/>
      </c>
      <c r="U233" s="71" t="n"/>
      <c r="V233" s="22" t="n"/>
      <c r="W233" s="22" t="n"/>
    </row>
    <row r="234" ht="15" customHeight="1">
      <c r="A234" s="70">
        <f>IF(C234="","",IFERROR(IF(SUMPRODUCT(MAX((tbl_Finance[Job Number]&amp;""=C234&amp;"")*(tbl_Finance[Xero Invoice No]&lt;&gt;"")*tbl_Finance[Date]))=0,"",SUMPRODUCT(MAX((tbl_Finance[Job Number]&amp;""=C234&amp;"")*(tbl_Finance[Xero Invoice No]&lt;&gt;"")*tbl_Finance[Date]))),""))</f>
        <v/>
      </c>
      <c r="B234" s="26">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2" t="n"/>
      <c r="D234" s="26">
        <f>IF(C234="","",IF(COUNTIF(lst_Jobs,C234&amp;"")&gt;0,"OK","CHECK"))</f>
        <v/>
      </c>
      <c r="E234" s="26">
        <f>IF(C234="","",IFERROR(INDEX(lst_JobName,MATCH(C234&amp;"",lst_Jobs,0)),""))</f>
        <v/>
      </c>
      <c r="F234" s="22" t="n"/>
      <c r="G234" s="22" t="n"/>
      <c r="H234" s="22" t="n"/>
      <c r="I234" s="22" t="n"/>
      <c r="J234" s="22" t="n"/>
      <c r="K234" s="28">
        <f>IF(C234="","",COUNTIFS(tbl_Finance[Job Number],C234&amp;"",tbl_Finance[Ex GST],"&lt;&gt;"))</f>
        <v/>
      </c>
      <c r="L234" s="27">
        <f>IF(C234="","",SUMIFS(tbl_Finance[Ex GST],tbl_Finance[Job Number],C234&amp;""))</f>
        <v/>
      </c>
      <c r="M234" s="27">
        <f>IF(C234="","",SUMIFS(tbl_Finance[Ex GST],tbl_Finance[Job Number],C234&amp;"",tbl_Finance[Xero Invoice No],"&lt;&gt;"))</f>
        <v/>
      </c>
      <c r="N234" s="27">
        <f>IF(C234="","",L234-M234)</f>
        <v/>
      </c>
      <c r="O234" s="24" t="n"/>
      <c r="P234" s="27">
        <f>IF(C234="","",IF(O234="",0,MAX(0,O234-L234)))</f>
        <v/>
      </c>
      <c r="Q234" s="26">
        <f>IF(C234="","",IF(K234=0,"not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R234" s="22" t="n"/>
      <c r="S234" s="22" t="n"/>
      <c r="T234" s="26">
        <f>IF(S234="","",HYPERLINK(IF(LEFT(S234,4)="http",S234,set_QwilrBase&amp;S234),"Open quote"))</f>
        <v/>
      </c>
      <c r="U234" s="71" t="n"/>
      <c r="V234" s="22" t="n"/>
      <c r="W234" s="22" t="n"/>
    </row>
    <row r="235" ht="15" customHeight="1">
      <c r="A235" s="70">
        <f>IF(C235="","",IFERROR(IF(SUMPRODUCT(MAX((tbl_Finance[Job Number]&amp;""=C235&amp;"")*(tbl_Finance[Xero Invoice No]&lt;&gt;"")*tbl_Finance[Date]))=0,"",SUMPRODUCT(MAX((tbl_Finance[Job Number]&amp;""=C235&amp;"")*(tbl_Finance[Xero Invoice No]&lt;&gt;"")*tbl_Finance[Date]))),""))</f>
        <v/>
      </c>
      <c r="B235" s="26">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2" t="n"/>
      <c r="D235" s="26">
        <f>IF(C235="","",IF(COUNTIF(lst_Jobs,C235&amp;"")&gt;0,"OK","CHECK"))</f>
        <v/>
      </c>
      <c r="E235" s="26">
        <f>IF(C235="","",IFERROR(INDEX(lst_JobName,MATCH(C235&amp;"",lst_Jobs,0)),""))</f>
        <v/>
      </c>
      <c r="F235" s="22" t="n"/>
      <c r="G235" s="22" t="n"/>
      <c r="H235" s="22" t="n"/>
      <c r="I235" s="22" t="n"/>
      <c r="J235" s="22" t="n"/>
      <c r="K235" s="28">
        <f>IF(C235="","",COUNTIFS(tbl_Finance[Job Number],C235&amp;"",tbl_Finance[Ex GST],"&lt;&gt;"))</f>
        <v/>
      </c>
      <c r="L235" s="27">
        <f>IF(C235="","",SUMIFS(tbl_Finance[Ex GST],tbl_Finance[Job Number],C235&amp;""))</f>
        <v/>
      </c>
      <c r="M235" s="27">
        <f>IF(C235="","",SUMIFS(tbl_Finance[Ex GST],tbl_Finance[Job Number],C235&amp;"",tbl_Finance[Xero Invoice No],"&lt;&gt;"))</f>
        <v/>
      </c>
      <c r="N235" s="27">
        <f>IF(C235="","",L235-M235)</f>
        <v/>
      </c>
      <c r="O235" s="24" t="n"/>
      <c r="P235" s="27">
        <f>IF(C235="","",IF(O235="",0,MAX(0,O235-L235)))</f>
        <v/>
      </c>
      <c r="Q235" s="26">
        <f>IF(C235="","",IF(K235=0,"not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R235" s="22" t="n"/>
      <c r="S235" s="22" t="n"/>
      <c r="T235" s="26">
        <f>IF(S235="","",HYPERLINK(IF(LEFT(S235,4)="http",S235,set_QwilrBase&amp;S235),"Open quote"))</f>
        <v/>
      </c>
      <c r="U235" s="71" t="n"/>
      <c r="V235" s="22" t="n"/>
      <c r="W235" s="22" t="n"/>
    </row>
    <row r="236" ht="15" customHeight="1">
      <c r="A236" s="70">
        <f>IF(C236="","",IFERROR(IF(SUMPRODUCT(MAX((tbl_Finance[Job Number]&amp;""=C236&amp;"")*(tbl_Finance[Xero Invoice No]&lt;&gt;"")*tbl_Finance[Date]))=0,"",SUMPRODUCT(MAX((tbl_Finance[Job Number]&amp;""=C236&amp;"")*(tbl_Finance[Xero Invoice No]&lt;&gt;"")*tbl_Finance[Date]))),""))</f>
        <v/>
      </c>
      <c r="B236" s="26">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2" t="n"/>
      <c r="D236" s="26">
        <f>IF(C236="","",IF(COUNTIF(lst_Jobs,C236&amp;"")&gt;0,"OK","CHECK"))</f>
        <v/>
      </c>
      <c r="E236" s="26">
        <f>IF(C236="","",IFERROR(INDEX(lst_JobName,MATCH(C236&amp;"",lst_Jobs,0)),""))</f>
        <v/>
      </c>
      <c r="F236" s="22" t="n"/>
      <c r="G236" s="22" t="n"/>
      <c r="H236" s="22" t="n"/>
      <c r="I236" s="22" t="n"/>
      <c r="J236" s="22" t="n"/>
      <c r="K236" s="28">
        <f>IF(C236="","",COUNTIFS(tbl_Finance[Job Number],C236&amp;"",tbl_Finance[Ex GST],"&lt;&gt;"))</f>
        <v/>
      </c>
      <c r="L236" s="27">
        <f>IF(C236="","",SUMIFS(tbl_Finance[Ex GST],tbl_Finance[Job Number],C236&amp;""))</f>
        <v/>
      </c>
      <c r="M236" s="27">
        <f>IF(C236="","",SUMIFS(tbl_Finance[Ex GST],tbl_Finance[Job Number],C236&amp;"",tbl_Finance[Xero Invoice No],"&lt;&gt;"))</f>
        <v/>
      </c>
      <c r="N236" s="27">
        <f>IF(C236="","",L236-M236)</f>
        <v/>
      </c>
      <c r="O236" s="24" t="n"/>
      <c r="P236" s="27">
        <f>IF(C236="","",IF(O236="",0,MAX(0,O236-L236)))</f>
        <v/>
      </c>
      <c r="Q236" s="26">
        <f>IF(C236="","",IF(K236=0,"not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R236" s="22" t="n"/>
      <c r="S236" s="22" t="n"/>
      <c r="T236" s="26">
        <f>IF(S236="","",HYPERLINK(IF(LEFT(S236,4)="http",S236,set_QwilrBase&amp;S236),"Open quote"))</f>
        <v/>
      </c>
      <c r="U236" s="71" t="n"/>
      <c r="V236" s="22" t="n"/>
      <c r="W236" s="22" t="n"/>
    </row>
    <row r="237" ht="15" customHeight="1">
      <c r="A237" s="70">
        <f>IF(C237="","",IFERROR(IF(SUMPRODUCT(MAX((tbl_Finance[Job Number]&amp;""=C237&amp;"")*(tbl_Finance[Xero Invoice No]&lt;&gt;"")*tbl_Finance[Date]))=0,"",SUMPRODUCT(MAX((tbl_Finance[Job Number]&amp;""=C237&amp;"")*(tbl_Finance[Xero Invoice No]&lt;&gt;"")*tbl_Finance[Date]))),""))</f>
        <v/>
      </c>
      <c r="B237" s="26">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2" t="n"/>
      <c r="D237" s="26">
        <f>IF(C237="","",IF(COUNTIF(lst_Jobs,C237&amp;"")&gt;0,"OK","CHECK"))</f>
        <v/>
      </c>
      <c r="E237" s="26">
        <f>IF(C237="","",IFERROR(INDEX(lst_JobName,MATCH(C237&amp;"",lst_Jobs,0)),""))</f>
        <v/>
      </c>
      <c r="F237" s="22" t="n"/>
      <c r="G237" s="22" t="n"/>
      <c r="H237" s="22" t="n"/>
      <c r="I237" s="22" t="n"/>
      <c r="J237" s="22" t="n"/>
      <c r="K237" s="28">
        <f>IF(C237="","",COUNTIFS(tbl_Finance[Job Number],C237&amp;"",tbl_Finance[Ex GST],"&lt;&gt;"))</f>
        <v/>
      </c>
      <c r="L237" s="27">
        <f>IF(C237="","",SUMIFS(tbl_Finance[Ex GST],tbl_Finance[Job Number],C237&amp;""))</f>
        <v/>
      </c>
      <c r="M237" s="27">
        <f>IF(C237="","",SUMIFS(tbl_Finance[Ex GST],tbl_Finance[Job Number],C237&amp;"",tbl_Finance[Xero Invoice No],"&lt;&gt;"))</f>
        <v/>
      </c>
      <c r="N237" s="27">
        <f>IF(C237="","",L237-M237)</f>
        <v/>
      </c>
      <c r="O237" s="24" t="n"/>
      <c r="P237" s="27">
        <f>IF(C237="","",IF(O237="",0,MAX(0,O237-L237)))</f>
        <v/>
      </c>
      <c r="Q237" s="26">
        <f>IF(C237="","",IF(K237=0,"not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R237" s="22" t="n"/>
      <c r="S237" s="22" t="n"/>
      <c r="T237" s="26">
        <f>IF(S237="","",HYPERLINK(IF(LEFT(S237,4)="http",S237,set_QwilrBase&amp;S237),"Open quote"))</f>
        <v/>
      </c>
      <c r="U237" s="71" t="n"/>
      <c r="V237" s="22" t="n"/>
      <c r="W237" s="22" t="n"/>
    </row>
    <row r="238" ht="15" customHeight="1">
      <c r="A238" s="70">
        <f>IF(C238="","",IFERROR(IF(SUMPRODUCT(MAX((tbl_Finance[Job Number]&amp;""=C238&amp;"")*(tbl_Finance[Xero Invoice No]&lt;&gt;"")*tbl_Finance[Date]))=0,"",SUMPRODUCT(MAX((tbl_Finance[Job Number]&amp;""=C238&amp;"")*(tbl_Finance[Xero Invoice No]&lt;&gt;"")*tbl_Finance[Date]))),""))</f>
        <v/>
      </c>
      <c r="B238" s="26">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2" t="n"/>
      <c r="D238" s="26">
        <f>IF(C238="","",IF(COUNTIF(lst_Jobs,C238&amp;"")&gt;0,"OK","CHECK"))</f>
        <v/>
      </c>
      <c r="E238" s="26">
        <f>IF(C238="","",IFERROR(INDEX(lst_JobName,MATCH(C238&amp;"",lst_Jobs,0)),""))</f>
        <v/>
      </c>
      <c r="F238" s="22" t="n"/>
      <c r="G238" s="22" t="n"/>
      <c r="H238" s="22" t="n"/>
      <c r="I238" s="22" t="n"/>
      <c r="J238" s="22" t="n"/>
      <c r="K238" s="28">
        <f>IF(C238="","",COUNTIFS(tbl_Finance[Job Number],C238&amp;"",tbl_Finance[Ex GST],"&lt;&gt;"))</f>
        <v/>
      </c>
      <c r="L238" s="27">
        <f>IF(C238="","",SUMIFS(tbl_Finance[Ex GST],tbl_Finance[Job Number],C238&amp;""))</f>
        <v/>
      </c>
      <c r="M238" s="27">
        <f>IF(C238="","",SUMIFS(tbl_Finance[Ex GST],tbl_Finance[Job Number],C238&amp;"",tbl_Finance[Xero Invoice No],"&lt;&gt;"))</f>
        <v/>
      </c>
      <c r="N238" s="27">
        <f>IF(C238="","",L238-M238)</f>
        <v/>
      </c>
      <c r="O238" s="24" t="n"/>
      <c r="P238" s="27">
        <f>IF(C238="","",IF(O238="",0,MAX(0,O238-L238)))</f>
        <v/>
      </c>
      <c r="Q238" s="26">
        <f>IF(C238="","",IF(K238=0,"not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R238" s="22" t="n"/>
      <c r="S238" s="22" t="n"/>
      <c r="T238" s="26">
        <f>IF(S238="","",HYPERLINK(IF(LEFT(S238,4)="http",S238,set_QwilrBase&amp;S238),"Open quote"))</f>
        <v/>
      </c>
      <c r="U238" s="71" t="n"/>
      <c r="V238" s="22" t="n"/>
      <c r="W238" s="22" t="n"/>
    </row>
    <row r="239" ht="15" customHeight="1">
      <c r="A239" s="70">
        <f>IF(C239="","",IFERROR(IF(SUMPRODUCT(MAX((tbl_Finance[Job Number]&amp;""=C239&amp;"")*(tbl_Finance[Xero Invoice No]&lt;&gt;"")*tbl_Finance[Date]))=0,"",SUMPRODUCT(MAX((tbl_Finance[Job Number]&amp;""=C239&amp;"")*(tbl_Finance[Xero Invoice No]&lt;&gt;"")*tbl_Finance[Date]))),""))</f>
        <v/>
      </c>
      <c r="B239" s="26">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2" t="n"/>
      <c r="D239" s="26">
        <f>IF(C239="","",IF(COUNTIF(lst_Jobs,C239&amp;"")&gt;0,"OK","CHECK"))</f>
        <v/>
      </c>
      <c r="E239" s="26">
        <f>IF(C239="","",IFERROR(INDEX(lst_JobName,MATCH(C239&amp;"",lst_Jobs,0)),""))</f>
        <v/>
      </c>
      <c r="F239" s="22" t="n"/>
      <c r="G239" s="22" t="n"/>
      <c r="H239" s="22" t="n"/>
      <c r="I239" s="22" t="n"/>
      <c r="J239" s="22" t="n"/>
      <c r="K239" s="28">
        <f>IF(C239="","",COUNTIFS(tbl_Finance[Job Number],C239&amp;"",tbl_Finance[Ex GST],"&lt;&gt;"))</f>
        <v/>
      </c>
      <c r="L239" s="27">
        <f>IF(C239="","",SUMIFS(tbl_Finance[Ex GST],tbl_Finance[Job Number],C239&amp;""))</f>
        <v/>
      </c>
      <c r="M239" s="27">
        <f>IF(C239="","",SUMIFS(tbl_Finance[Ex GST],tbl_Finance[Job Number],C239&amp;"",tbl_Finance[Xero Invoice No],"&lt;&gt;"))</f>
        <v/>
      </c>
      <c r="N239" s="27">
        <f>IF(C239="","",L239-M239)</f>
        <v/>
      </c>
      <c r="O239" s="24" t="n"/>
      <c r="P239" s="27">
        <f>IF(C239="","",IF(O239="",0,MAX(0,O239-L239)))</f>
        <v/>
      </c>
      <c r="Q239" s="26">
        <f>IF(C239="","",IF(K239=0,"not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R239" s="22" t="n"/>
      <c r="S239" s="22" t="n"/>
      <c r="T239" s="26">
        <f>IF(S239="","",HYPERLINK(IF(LEFT(S239,4)="http",S239,set_QwilrBase&amp;S239),"Open quote"))</f>
        <v/>
      </c>
      <c r="U239" s="71" t="n"/>
      <c r="V239" s="22" t="n"/>
      <c r="W239" s="22" t="n"/>
    </row>
    <row r="240" ht="15" customHeight="1">
      <c r="A240" s="70">
        <f>IF(C240="","",IFERROR(IF(SUMPRODUCT(MAX((tbl_Finance[Job Number]&amp;""=C240&amp;"")*(tbl_Finance[Xero Invoice No]&lt;&gt;"")*tbl_Finance[Date]))=0,"",SUMPRODUCT(MAX((tbl_Finance[Job Number]&amp;""=C240&amp;"")*(tbl_Finance[Xero Invoice No]&lt;&gt;"")*tbl_Finance[Date]))),""))</f>
        <v/>
      </c>
      <c r="B240" s="26">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2" t="n"/>
      <c r="D240" s="26">
        <f>IF(C240="","",IF(COUNTIF(lst_Jobs,C240&amp;"")&gt;0,"OK","CHECK"))</f>
        <v/>
      </c>
      <c r="E240" s="26">
        <f>IF(C240="","",IFERROR(INDEX(lst_JobName,MATCH(C240&amp;"",lst_Jobs,0)),""))</f>
        <v/>
      </c>
      <c r="F240" s="22" t="n"/>
      <c r="G240" s="22" t="n"/>
      <c r="H240" s="22" t="n"/>
      <c r="I240" s="22" t="n"/>
      <c r="J240" s="22" t="n"/>
      <c r="K240" s="28">
        <f>IF(C240="","",COUNTIFS(tbl_Finance[Job Number],C240&amp;"",tbl_Finance[Ex GST],"&lt;&gt;"))</f>
        <v/>
      </c>
      <c r="L240" s="27">
        <f>IF(C240="","",SUMIFS(tbl_Finance[Ex GST],tbl_Finance[Job Number],C240&amp;""))</f>
        <v/>
      </c>
      <c r="M240" s="27">
        <f>IF(C240="","",SUMIFS(tbl_Finance[Ex GST],tbl_Finance[Job Number],C240&amp;"",tbl_Finance[Xero Invoice No],"&lt;&gt;"))</f>
        <v/>
      </c>
      <c r="N240" s="27">
        <f>IF(C240="","",L240-M240)</f>
        <v/>
      </c>
      <c r="O240" s="24" t="n"/>
      <c r="P240" s="27">
        <f>IF(C240="","",IF(O240="",0,MAX(0,O240-L240)))</f>
        <v/>
      </c>
      <c r="Q240" s="26">
        <f>IF(C240="","",IF(K240=0,"not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R240" s="22" t="n"/>
      <c r="S240" s="22" t="n"/>
      <c r="T240" s="26">
        <f>IF(S240="","",HYPERLINK(IF(LEFT(S240,4)="http",S240,set_QwilrBase&amp;S240),"Open quote"))</f>
        <v/>
      </c>
      <c r="U240" s="71" t="n"/>
      <c r="V240" s="22" t="n"/>
      <c r="W240" s="22" t="n"/>
    </row>
    <row r="241" ht="15" customHeight="1">
      <c r="A241" s="70">
        <f>IF(C241="","",IFERROR(IF(SUMPRODUCT(MAX((tbl_Finance[Job Number]&amp;""=C241&amp;"")*(tbl_Finance[Xero Invoice No]&lt;&gt;"")*tbl_Finance[Date]))=0,"",SUMPRODUCT(MAX((tbl_Finance[Job Number]&amp;""=C241&amp;"")*(tbl_Finance[Xero Invoice No]&lt;&gt;"")*tbl_Finance[Date]))),""))</f>
        <v/>
      </c>
      <c r="B241" s="26">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2" t="n"/>
      <c r="D241" s="26">
        <f>IF(C241="","",IF(COUNTIF(lst_Jobs,C241&amp;"")&gt;0,"OK","CHECK"))</f>
        <v/>
      </c>
      <c r="E241" s="26">
        <f>IF(C241="","",IFERROR(INDEX(lst_JobName,MATCH(C241&amp;"",lst_Jobs,0)),""))</f>
        <v/>
      </c>
      <c r="F241" s="22" t="n"/>
      <c r="G241" s="22" t="n"/>
      <c r="H241" s="22" t="n"/>
      <c r="I241" s="22" t="n"/>
      <c r="J241" s="22" t="n"/>
      <c r="K241" s="28">
        <f>IF(C241="","",COUNTIFS(tbl_Finance[Job Number],C241&amp;"",tbl_Finance[Ex GST],"&lt;&gt;"))</f>
        <v/>
      </c>
      <c r="L241" s="27">
        <f>IF(C241="","",SUMIFS(tbl_Finance[Ex GST],tbl_Finance[Job Number],C241&amp;""))</f>
        <v/>
      </c>
      <c r="M241" s="27">
        <f>IF(C241="","",SUMIFS(tbl_Finance[Ex GST],tbl_Finance[Job Number],C241&amp;"",tbl_Finance[Xero Invoice No],"&lt;&gt;"))</f>
        <v/>
      </c>
      <c r="N241" s="27">
        <f>IF(C241="","",L241-M241)</f>
        <v/>
      </c>
      <c r="O241" s="24" t="n"/>
      <c r="P241" s="27">
        <f>IF(C241="","",IF(O241="",0,MAX(0,O241-L241)))</f>
        <v/>
      </c>
      <c r="Q241" s="26">
        <f>IF(C241="","",IF(K241=0,"not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R241" s="22" t="n"/>
      <c r="S241" s="22" t="n"/>
      <c r="T241" s="26">
        <f>IF(S241="","",HYPERLINK(IF(LEFT(S241,4)="http",S241,set_QwilrBase&amp;S241),"Open quote"))</f>
        <v/>
      </c>
      <c r="U241" s="71" t="n"/>
      <c r="V241" s="22" t="n"/>
      <c r="W241" s="22" t="n"/>
    </row>
    <row r="242" ht="15" customHeight="1">
      <c r="A242" s="70">
        <f>IF(C242="","",IFERROR(IF(SUMPRODUCT(MAX((tbl_Finance[Job Number]&amp;""=C242&amp;"")*(tbl_Finance[Xero Invoice No]&lt;&gt;"")*tbl_Finance[Date]))=0,"",SUMPRODUCT(MAX((tbl_Finance[Job Number]&amp;""=C242&amp;"")*(tbl_Finance[Xero Invoice No]&lt;&gt;"")*tbl_Finance[Date]))),""))</f>
        <v/>
      </c>
      <c r="B242" s="26">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2" t="n"/>
      <c r="D242" s="26">
        <f>IF(C242="","",IF(COUNTIF(lst_Jobs,C242&amp;"")&gt;0,"OK","CHECK"))</f>
        <v/>
      </c>
      <c r="E242" s="26">
        <f>IF(C242="","",IFERROR(INDEX(lst_JobName,MATCH(C242&amp;"",lst_Jobs,0)),""))</f>
        <v/>
      </c>
      <c r="F242" s="22" t="n"/>
      <c r="G242" s="22" t="n"/>
      <c r="H242" s="22" t="n"/>
      <c r="I242" s="22" t="n"/>
      <c r="J242" s="22" t="n"/>
      <c r="K242" s="28">
        <f>IF(C242="","",COUNTIFS(tbl_Finance[Job Number],C242&amp;"",tbl_Finance[Ex GST],"&lt;&gt;"))</f>
        <v/>
      </c>
      <c r="L242" s="27">
        <f>IF(C242="","",SUMIFS(tbl_Finance[Ex GST],tbl_Finance[Job Number],C242&amp;""))</f>
        <v/>
      </c>
      <c r="M242" s="27">
        <f>IF(C242="","",SUMIFS(tbl_Finance[Ex GST],tbl_Finance[Job Number],C242&amp;"",tbl_Finance[Xero Invoice No],"&lt;&gt;"))</f>
        <v/>
      </c>
      <c r="N242" s="27">
        <f>IF(C242="","",L242-M242)</f>
        <v/>
      </c>
      <c r="O242" s="24" t="n"/>
      <c r="P242" s="27">
        <f>IF(C242="","",IF(O242="",0,MAX(0,O242-L242)))</f>
        <v/>
      </c>
      <c r="Q242" s="26">
        <f>IF(C242="","",IF(K242=0,"not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R242" s="22" t="n"/>
      <c r="S242" s="22" t="n"/>
      <c r="T242" s="26">
        <f>IF(S242="","",HYPERLINK(IF(LEFT(S242,4)="http",S242,set_QwilrBase&amp;S242),"Open quote"))</f>
        <v/>
      </c>
      <c r="U242" s="71" t="n"/>
      <c r="V242" s="22" t="n"/>
      <c r="W242" s="22" t="n"/>
    </row>
    <row r="243" ht="15" customHeight="1">
      <c r="A243" s="70">
        <f>IF(C243="","",IFERROR(IF(SUMPRODUCT(MAX((tbl_Finance[Job Number]&amp;""=C243&amp;"")*(tbl_Finance[Xero Invoice No]&lt;&gt;"")*tbl_Finance[Date]))=0,"",SUMPRODUCT(MAX((tbl_Finance[Job Number]&amp;""=C243&amp;"")*(tbl_Finance[Xero Invoice No]&lt;&gt;"")*tbl_Finance[Date]))),""))</f>
        <v/>
      </c>
      <c r="B243" s="26">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2" t="n"/>
      <c r="D243" s="26">
        <f>IF(C243="","",IF(COUNTIF(lst_Jobs,C243&amp;"")&gt;0,"OK","CHECK"))</f>
        <v/>
      </c>
      <c r="E243" s="26">
        <f>IF(C243="","",IFERROR(INDEX(lst_JobName,MATCH(C243&amp;"",lst_Jobs,0)),""))</f>
        <v/>
      </c>
      <c r="F243" s="22" t="n"/>
      <c r="G243" s="22" t="n"/>
      <c r="H243" s="22" t="n"/>
      <c r="I243" s="22" t="n"/>
      <c r="J243" s="22" t="n"/>
      <c r="K243" s="28">
        <f>IF(C243="","",COUNTIFS(tbl_Finance[Job Number],C243&amp;"",tbl_Finance[Ex GST],"&lt;&gt;"))</f>
        <v/>
      </c>
      <c r="L243" s="27">
        <f>IF(C243="","",SUMIFS(tbl_Finance[Ex GST],tbl_Finance[Job Number],C243&amp;""))</f>
        <v/>
      </c>
      <c r="M243" s="27">
        <f>IF(C243="","",SUMIFS(tbl_Finance[Ex GST],tbl_Finance[Job Number],C243&amp;"",tbl_Finance[Xero Invoice No],"&lt;&gt;"))</f>
        <v/>
      </c>
      <c r="N243" s="27">
        <f>IF(C243="","",L243-M243)</f>
        <v/>
      </c>
      <c r="O243" s="24" t="n"/>
      <c r="P243" s="27">
        <f>IF(C243="","",IF(O243="",0,MAX(0,O243-L243)))</f>
        <v/>
      </c>
      <c r="Q243" s="26">
        <f>IF(C243="","",IF(K243=0,"not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R243" s="22" t="n"/>
      <c r="S243" s="22" t="n"/>
      <c r="T243" s="26">
        <f>IF(S243="","",HYPERLINK(IF(LEFT(S243,4)="http",S243,set_QwilrBase&amp;S243),"Open quote"))</f>
        <v/>
      </c>
      <c r="U243" s="71" t="n"/>
      <c r="V243" s="22" t="n"/>
      <c r="W243" s="22" t="n"/>
    </row>
    <row r="244" ht="15" customHeight="1">
      <c r="A244" s="70">
        <f>IF(C244="","",IFERROR(IF(SUMPRODUCT(MAX((tbl_Finance[Job Number]&amp;""=C244&amp;"")*(tbl_Finance[Xero Invoice No]&lt;&gt;"")*tbl_Finance[Date]))=0,"",SUMPRODUCT(MAX((tbl_Finance[Job Number]&amp;""=C244&amp;"")*(tbl_Finance[Xero Invoice No]&lt;&gt;"")*tbl_Finance[Date]))),""))</f>
        <v/>
      </c>
      <c r="B244" s="26">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2" t="n"/>
      <c r="D244" s="26">
        <f>IF(C244="","",IF(COUNTIF(lst_Jobs,C244&amp;"")&gt;0,"OK","CHECK"))</f>
        <v/>
      </c>
      <c r="E244" s="26">
        <f>IF(C244="","",IFERROR(INDEX(lst_JobName,MATCH(C244&amp;"",lst_Jobs,0)),""))</f>
        <v/>
      </c>
      <c r="F244" s="22" t="n"/>
      <c r="G244" s="22" t="n"/>
      <c r="H244" s="22" t="n"/>
      <c r="I244" s="22" t="n"/>
      <c r="J244" s="22" t="n"/>
      <c r="K244" s="28">
        <f>IF(C244="","",COUNTIFS(tbl_Finance[Job Number],C244&amp;"",tbl_Finance[Ex GST],"&lt;&gt;"))</f>
        <v/>
      </c>
      <c r="L244" s="27">
        <f>IF(C244="","",SUMIFS(tbl_Finance[Ex GST],tbl_Finance[Job Number],C244&amp;""))</f>
        <v/>
      </c>
      <c r="M244" s="27">
        <f>IF(C244="","",SUMIFS(tbl_Finance[Ex GST],tbl_Finance[Job Number],C244&amp;"",tbl_Finance[Xero Invoice No],"&lt;&gt;"))</f>
        <v/>
      </c>
      <c r="N244" s="27">
        <f>IF(C244="","",L244-M244)</f>
        <v/>
      </c>
      <c r="O244" s="24" t="n"/>
      <c r="P244" s="27">
        <f>IF(C244="","",IF(O244="",0,MAX(0,O244-L244)))</f>
        <v/>
      </c>
      <c r="Q244" s="26">
        <f>IF(C244="","",IF(K244=0,"not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R244" s="22" t="n"/>
      <c r="S244" s="22" t="n"/>
      <c r="T244" s="26">
        <f>IF(S244="","",HYPERLINK(IF(LEFT(S244,4)="http",S244,set_QwilrBase&amp;S244),"Open quote"))</f>
        <v/>
      </c>
      <c r="U244" s="71" t="n"/>
      <c r="V244" s="22" t="n"/>
      <c r="W244" s="22" t="n"/>
    </row>
    <row r="245" ht="15" customHeight="1">
      <c r="A245" s="70">
        <f>IF(C245="","",IFERROR(IF(SUMPRODUCT(MAX((tbl_Finance[Job Number]&amp;""=C245&amp;"")*(tbl_Finance[Xero Invoice No]&lt;&gt;"")*tbl_Finance[Date]))=0,"",SUMPRODUCT(MAX((tbl_Finance[Job Number]&amp;""=C245&amp;"")*(tbl_Finance[Xero Invoice No]&lt;&gt;"")*tbl_Finance[Date]))),""))</f>
        <v/>
      </c>
      <c r="B245" s="26">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2" t="n"/>
      <c r="D245" s="26">
        <f>IF(C245="","",IF(COUNTIF(lst_Jobs,C245&amp;"")&gt;0,"OK","CHECK"))</f>
        <v/>
      </c>
      <c r="E245" s="26">
        <f>IF(C245="","",IFERROR(INDEX(lst_JobName,MATCH(C245&amp;"",lst_Jobs,0)),""))</f>
        <v/>
      </c>
      <c r="F245" s="22" t="n"/>
      <c r="G245" s="22" t="n"/>
      <c r="H245" s="22" t="n"/>
      <c r="I245" s="22" t="n"/>
      <c r="J245" s="22" t="n"/>
      <c r="K245" s="28">
        <f>IF(C245="","",COUNTIFS(tbl_Finance[Job Number],C245&amp;"",tbl_Finance[Ex GST],"&lt;&gt;"))</f>
        <v/>
      </c>
      <c r="L245" s="27">
        <f>IF(C245="","",SUMIFS(tbl_Finance[Ex GST],tbl_Finance[Job Number],C245&amp;""))</f>
        <v/>
      </c>
      <c r="M245" s="27">
        <f>IF(C245="","",SUMIFS(tbl_Finance[Ex GST],tbl_Finance[Job Number],C245&amp;"",tbl_Finance[Xero Invoice No],"&lt;&gt;"))</f>
        <v/>
      </c>
      <c r="N245" s="27">
        <f>IF(C245="","",L245-M245)</f>
        <v/>
      </c>
      <c r="O245" s="24" t="n"/>
      <c r="P245" s="27">
        <f>IF(C245="","",IF(O245="",0,MAX(0,O245-L245)))</f>
        <v/>
      </c>
      <c r="Q245" s="26">
        <f>IF(C245="","",IF(K245=0,"not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R245" s="22" t="n"/>
      <c r="S245" s="22" t="n"/>
      <c r="T245" s="26">
        <f>IF(S245="","",HYPERLINK(IF(LEFT(S245,4)="http",S245,set_QwilrBase&amp;S245),"Open quote"))</f>
        <v/>
      </c>
      <c r="U245" s="71" t="n"/>
      <c r="V245" s="22" t="n"/>
      <c r="W245" s="22" t="n"/>
    </row>
    <row r="246" ht="15" customHeight="1">
      <c r="A246" s="70">
        <f>IF(C246="","",IFERROR(IF(SUMPRODUCT(MAX((tbl_Finance[Job Number]&amp;""=C246&amp;"")*(tbl_Finance[Xero Invoice No]&lt;&gt;"")*tbl_Finance[Date]))=0,"",SUMPRODUCT(MAX((tbl_Finance[Job Number]&amp;""=C246&amp;"")*(tbl_Finance[Xero Invoice No]&lt;&gt;"")*tbl_Finance[Date]))),""))</f>
        <v/>
      </c>
      <c r="B246" s="26">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2" t="n"/>
      <c r="D246" s="26">
        <f>IF(C246="","",IF(COUNTIF(lst_Jobs,C246&amp;"")&gt;0,"OK","CHECK"))</f>
        <v/>
      </c>
      <c r="E246" s="26">
        <f>IF(C246="","",IFERROR(INDEX(lst_JobName,MATCH(C246&amp;"",lst_Jobs,0)),""))</f>
        <v/>
      </c>
      <c r="F246" s="22" t="n"/>
      <c r="G246" s="22" t="n"/>
      <c r="H246" s="22" t="n"/>
      <c r="I246" s="22" t="n"/>
      <c r="J246" s="22" t="n"/>
      <c r="K246" s="28">
        <f>IF(C246="","",COUNTIFS(tbl_Finance[Job Number],C246&amp;"",tbl_Finance[Ex GST],"&lt;&gt;"))</f>
        <v/>
      </c>
      <c r="L246" s="27">
        <f>IF(C246="","",SUMIFS(tbl_Finance[Ex GST],tbl_Finance[Job Number],C246&amp;""))</f>
        <v/>
      </c>
      <c r="M246" s="27">
        <f>IF(C246="","",SUMIFS(tbl_Finance[Ex GST],tbl_Finance[Job Number],C246&amp;"",tbl_Finance[Xero Invoice No],"&lt;&gt;"))</f>
        <v/>
      </c>
      <c r="N246" s="27">
        <f>IF(C246="","",L246-M246)</f>
        <v/>
      </c>
      <c r="O246" s="24" t="n"/>
      <c r="P246" s="27">
        <f>IF(C246="","",IF(O246="",0,MAX(0,O246-L246)))</f>
        <v/>
      </c>
      <c r="Q246" s="26">
        <f>IF(C246="","",IF(K246=0,"not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R246" s="22" t="n"/>
      <c r="S246" s="22" t="n"/>
      <c r="T246" s="26">
        <f>IF(S246="","",HYPERLINK(IF(LEFT(S246,4)="http",S246,set_QwilrBase&amp;S246),"Open quote"))</f>
        <v/>
      </c>
      <c r="U246" s="71" t="n"/>
      <c r="V246" s="22" t="n"/>
      <c r="W246" s="22" t="n"/>
    </row>
    <row r="247" ht="15" customHeight="1">
      <c r="A247" s="70">
        <f>IF(C247="","",IFERROR(IF(SUMPRODUCT(MAX((tbl_Finance[Job Number]&amp;""=C247&amp;"")*(tbl_Finance[Xero Invoice No]&lt;&gt;"")*tbl_Finance[Date]))=0,"",SUMPRODUCT(MAX((tbl_Finance[Job Number]&amp;""=C247&amp;"")*(tbl_Finance[Xero Invoice No]&lt;&gt;"")*tbl_Finance[Date]))),""))</f>
        <v/>
      </c>
      <c r="B247" s="26">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2" t="n"/>
      <c r="D247" s="26">
        <f>IF(C247="","",IF(COUNTIF(lst_Jobs,C247&amp;"")&gt;0,"OK","CHECK"))</f>
        <v/>
      </c>
      <c r="E247" s="26">
        <f>IF(C247="","",IFERROR(INDEX(lst_JobName,MATCH(C247&amp;"",lst_Jobs,0)),""))</f>
        <v/>
      </c>
      <c r="F247" s="22" t="n"/>
      <c r="G247" s="22" t="n"/>
      <c r="H247" s="22" t="n"/>
      <c r="I247" s="22" t="n"/>
      <c r="J247" s="22" t="n"/>
      <c r="K247" s="28">
        <f>IF(C247="","",COUNTIFS(tbl_Finance[Job Number],C247&amp;"",tbl_Finance[Ex GST],"&lt;&gt;"))</f>
        <v/>
      </c>
      <c r="L247" s="27">
        <f>IF(C247="","",SUMIFS(tbl_Finance[Ex GST],tbl_Finance[Job Number],C247&amp;""))</f>
        <v/>
      </c>
      <c r="M247" s="27">
        <f>IF(C247="","",SUMIFS(tbl_Finance[Ex GST],tbl_Finance[Job Number],C247&amp;"",tbl_Finance[Xero Invoice No],"&lt;&gt;"))</f>
        <v/>
      </c>
      <c r="N247" s="27">
        <f>IF(C247="","",L247-M247)</f>
        <v/>
      </c>
      <c r="O247" s="24" t="n"/>
      <c r="P247" s="27">
        <f>IF(C247="","",IF(O247="",0,MAX(0,O247-L247)))</f>
        <v/>
      </c>
      <c r="Q247" s="26">
        <f>IF(C247="","",IF(K247=0,"not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R247" s="22" t="n"/>
      <c r="S247" s="22" t="n"/>
      <c r="T247" s="26">
        <f>IF(S247="","",HYPERLINK(IF(LEFT(S247,4)="http",S247,set_QwilrBase&amp;S247),"Open quote"))</f>
        <v/>
      </c>
      <c r="U247" s="71" t="n"/>
      <c r="V247" s="22" t="n"/>
      <c r="W247" s="22" t="n"/>
    </row>
    <row r="248" ht="15" customHeight="1">
      <c r="A248" s="70">
        <f>IF(C248="","",IFERROR(IF(SUMPRODUCT(MAX((tbl_Finance[Job Number]&amp;""=C248&amp;"")*(tbl_Finance[Xero Invoice No]&lt;&gt;"")*tbl_Finance[Date]))=0,"",SUMPRODUCT(MAX((tbl_Finance[Job Number]&amp;""=C248&amp;"")*(tbl_Finance[Xero Invoice No]&lt;&gt;"")*tbl_Finance[Date]))),""))</f>
        <v/>
      </c>
      <c r="B248" s="26">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2" t="n"/>
      <c r="D248" s="26">
        <f>IF(C248="","",IF(COUNTIF(lst_Jobs,C248&amp;"")&gt;0,"OK","CHECK"))</f>
        <v/>
      </c>
      <c r="E248" s="26">
        <f>IF(C248="","",IFERROR(INDEX(lst_JobName,MATCH(C248&amp;"",lst_Jobs,0)),""))</f>
        <v/>
      </c>
      <c r="F248" s="22" t="n"/>
      <c r="G248" s="22" t="n"/>
      <c r="H248" s="22" t="n"/>
      <c r="I248" s="22" t="n"/>
      <c r="J248" s="22" t="n"/>
      <c r="K248" s="28">
        <f>IF(C248="","",COUNTIFS(tbl_Finance[Job Number],C248&amp;"",tbl_Finance[Ex GST],"&lt;&gt;"))</f>
        <v/>
      </c>
      <c r="L248" s="27">
        <f>IF(C248="","",SUMIFS(tbl_Finance[Ex GST],tbl_Finance[Job Number],C248&amp;""))</f>
        <v/>
      </c>
      <c r="M248" s="27">
        <f>IF(C248="","",SUMIFS(tbl_Finance[Ex GST],tbl_Finance[Job Number],C248&amp;"",tbl_Finance[Xero Invoice No],"&lt;&gt;"))</f>
        <v/>
      </c>
      <c r="N248" s="27">
        <f>IF(C248="","",L248-M248)</f>
        <v/>
      </c>
      <c r="O248" s="24" t="n"/>
      <c r="P248" s="27">
        <f>IF(C248="","",IF(O248="",0,MAX(0,O248-L248)))</f>
        <v/>
      </c>
      <c r="Q248" s="26">
        <f>IF(C248="","",IF(K248=0,"not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R248" s="22" t="n"/>
      <c r="S248" s="22" t="n"/>
      <c r="T248" s="26">
        <f>IF(S248="","",HYPERLINK(IF(LEFT(S248,4)="http",S248,set_QwilrBase&amp;S248),"Open quote"))</f>
        <v/>
      </c>
      <c r="U248" s="71" t="n"/>
      <c r="V248" s="22" t="n"/>
      <c r="W248" s="22" t="n"/>
    </row>
    <row r="249" ht="15" customHeight="1">
      <c r="A249" s="70">
        <f>IF(C249="","",IFERROR(IF(SUMPRODUCT(MAX((tbl_Finance[Job Number]&amp;""=C249&amp;"")*(tbl_Finance[Xero Invoice No]&lt;&gt;"")*tbl_Finance[Date]))=0,"",SUMPRODUCT(MAX((tbl_Finance[Job Number]&amp;""=C249&amp;"")*(tbl_Finance[Xero Invoice No]&lt;&gt;"")*tbl_Finance[Date]))),""))</f>
        <v/>
      </c>
      <c r="B249" s="26">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2" t="n"/>
      <c r="D249" s="26">
        <f>IF(C249="","",IF(COUNTIF(lst_Jobs,C249&amp;"")&gt;0,"OK","CHECK"))</f>
        <v/>
      </c>
      <c r="E249" s="26">
        <f>IF(C249="","",IFERROR(INDEX(lst_JobName,MATCH(C249&amp;"",lst_Jobs,0)),""))</f>
        <v/>
      </c>
      <c r="F249" s="22" t="n"/>
      <c r="G249" s="22" t="n"/>
      <c r="H249" s="22" t="n"/>
      <c r="I249" s="22" t="n"/>
      <c r="J249" s="22" t="n"/>
      <c r="K249" s="28">
        <f>IF(C249="","",COUNTIFS(tbl_Finance[Job Number],C249&amp;"",tbl_Finance[Ex GST],"&lt;&gt;"))</f>
        <v/>
      </c>
      <c r="L249" s="27">
        <f>IF(C249="","",SUMIFS(tbl_Finance[Ex GST],tbl_Finance[Job Number],C249&amp;""))</f>
        <v/>
      </c>
      <c r="M249" s="27">
        <f>IF(C249="","",SUMIFS(tbl_Finance[Ex GST],tbl_Finance[Job Number],C249&amp;"",tbl_Finance[Xero Invoice No],"&lt;&gt;"))</f>
        <v/>
      </c>
      <c r="N249" s="27">
        <f>IF(C249="","",L249-M249)</f>
        <v/>
      </c>
      <c r="O249" s="24" t="n"/>
      <c r="P249" s="27">
        <f>IF(C249="","",IF(O249="",0,MAX(0,O249-L249)))</f>
        <v/>
      </c>
      <c r="Q249" s="26">
        <f>IF(C249="","",IF(K249=0,"not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R249" s="22" t="n"/>
      <c r="S249" s="22" t="n"/>
      <c r="T249" s="26">
        <f>IF(S249="","",HYPERLINK(IF(LEFT(S249,4)="http",S249,set_QwilrBase&amp;S249),"Open quote"))</f>
        <v/>
      </c>
      <c r="U249" s="71" t="n"/>
      <c r="V249" s="22" t="n"/>
      <c r="W249" s="22" t="n"/>
    </row>
    <row r="250" ht="15" customHeight="1">
      <c r="A250" s="70">
        <f>IF(C250="","",IFERROR(IF(SUMPRODUCT(MAX((tbl_Finance[Job Number]&amp;""=C250&amp;"")*(tbl_Finance[Xero Invoice No]&lt;&gt;"")*tbl_Finance[Date]))=0,"",SUMPRODUCT(MAX((tbl_Finance[Job Number]&amp;""=C250&amp;"")*(tbl_Finance[Xero Invoice No]&lt;&gt;"")*tbl_Finance[Date]))),""))</f>
        <v/>
      </c>
      <c r="B250" s="26">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2" t="n"/>
      <c r="D250" s="26">
        <f>IF(C250="","",IF(COUNTIF(lst_Jobs,C250&amp;"")&gt;0,"OK","CHECK"))</f>
        <v/>
      </c>
      <c r="E250" s="26">
        <f>IF(C250="","",IFERROR(INDEX(lst_JobName,MATCH(C250&amp;"",lst_Jobs,0)),""))</f>
        <v/>
      </c>
      <c r="F250" s="22" t="n"/>
      <c r="G250" s="22" t="n"/>
      <c r="H250" s="22" t="n"/>
      <c r="I250" s="22" t="n"/>
      <c r="J250" s="22" t="n"/>
      <c r="K250" s="28">
        <f>IF(C250="","",COUNTIFS(tbl_Finance[Job Number],C250&amp;"",tbl_Finance[Ex GST],"&lt;&gt;"))</f>
        <v/>
      </c>
      <c r="L250" s="27">
        <f>IF(C250="","",SUMIFS(tbl_Finance[Ex GST],tbl_Finance[Job Number],C250&amp;""))</f>
        <v/>
      </c>
      <c r="M250" s="27">
        <f>IF(C250="","",SUMIFS(tbl_Finance[Ex GST],tbl_Finance[Job Number],C250&amp;"",tbl_Finance[Xero Invoice No],"&lt;&gt;"))</f>
        <v/>
      </c>
      <c r="N250" s="27">
        <f>IF(C250="","",L250-M250)</f>
        <v/>
      </c>
      <c r="O250" s="24" t="n"/>
      <c r="P250" s="27">
        <f>IF(C250="","",IF(O250="",0,MAX(0,O250-L250)))</f>
        <v/>
      </c>
      <c r="Q250" s="26">
        <f>IF(C250="","",IF(K250=0,"not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R250" s="22" t="n"/>
      <c r="S250" s="22" t="n"/>
      <c r="T250" s="26">
        <f>IF(S250="","",HYPERLINK(IF(LEFT(S250,4)="http",S250,set_QwilrBase&amp;S250),"Open quote"))</f>
        <v/>
      </c>
      <c r="U250" s="71" t="n"/>
      <c r="V250" s="22" t="n"/>
      <c r="W250" s="22" t="n"/>
    </row>
    <row r="251" ht="15" customHeight="1">
      <c r="A251" s="70">
        <f>IF(C251="","",IFERROR(IF(SUMPRODUCT(MAX((tbl_Finance[Job Number]&amp;""=C251&amp;"")*(tbl_Finance[Xero Invoice No]&lt;&gt;"")*tbl_Finance[Date]))=0,"",SUMPRODUCT(MAX((tbl_Finance[Job Number]&amp;""=C251&amp;"")*(tbl_Finance[Xero Invoice No]&lt;&gt;"")*tbl_Finance[Date]))),""))</f>
        <v/>
      </c>
      <c r="B251" s="26">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2" t="n"/>
      <c r="D251" s="26">
        <f>IF(C251="","",IF(COUNTIF(lst_Jobs,C251&amp;"")&gt;0,"OK","CHECK"))</f>
        <v/>
      </c>
      <c r="E251" s="26">
        <f>IF(C251="","",IFERROR(INDEX(lst_JobName,MATCH(C251&amp;"",lst_Jobs,0)),""))</f>
        <v/>
      </c>
      <c r="F251" s="22" t="n"/>
      <c r="G251" s="22" t="n"/>
      <c r="H251" s="22" t="n"/>
      <c r="I251" s="22" t="n"/>
      <c r="J251" s="22" t="n"/>
      <c r="K251" s="28">
        <f>IF(C251="","",COUNTIFS(tbl_Finance[Job Number],C251&amp;"",tbl_Finance[Ex GST],"&lt;&gt;"))</f>
        <v/>
      </c>
      <c r="L251" s="27">
        <f>IF(C251="","",SUMIFS(tbl_Finance[Ex GST],tbl_Finance[Job Number],C251&amp;""))</f>
        <v/>
      </c>
      <c r="M251" s="27">
        <f>IF(C251="","",SUMIFS(tbl_Finance[Ex GST],tbl_Finance[Job Number],C251&amp;"",tbl_Finance[Xero Invoice No],"&lt;&gt;"))</f>
        <v/>
      </c>
      <c r="N251" s="27">
        <f>IF(C251="","",L251-M251)</f>
        <v/>
      </c>
      <c r="O251" s="24" t="n"/>
      <c r="P251" s="27">
        <f>IF(C251="","",IF(O251="",0,MAX(0,O251-L251)))</f>
        <v/>
      </c>
      <c r="Q251" s="26">
        <f>IF(C251="","",IF(K251=0,"not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R251" s="22" t="n"/>
      <c r="S251" s="22" t="n"/>
      <c r="T251" s="26">
        <f>IF(S251="","",HYPERLINK(IF(LEFT(S251,4)="http",S251,set_QwilrBase&amp;S251),"Open quote"))</f>
        <v/>
      </c>
      <c r="U251" s="71" t="n"/>
      <c r="V251" s="22" t="n"/>
      <c r="W251" s="22" t="n"/>
    </row>
    <row r="252" ht="15" customHeight="1">
      <c r="A252" s="70">
        <f>IF(C252="","",IFERROR(IF(SUMPRODUCT(MAX((tbl_Finance[Job Number]&amp;""=C252&amp;"")*(tbl_Finance[Xero Invoice No]&lt;&gt;"")*tbl_Finance[Date]))=0,"",SUMPRODUCT(MAX((tbl_Finance[Job Number]&amp;""=C252&amp;"")*(tbl_Finance[Xero Invoice No]&lt;&gt;"")*tbl_Finance[Date]))),""))</f>
        <v/>
      </c>
      <c r="B252" s="26">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2" t="n"/>
      <c r="D252" s="26">
        <f>IF(C252="","",IF(COUNTIF(lst_Jobs,C252&amp;"")&gt;0,"OK","CHECK"))</f>
        <v/>
      </c>
      <c r="E252" s="26">
        <f>IF(C252="","",IFERROR(INDEX(lst_JobName,MATCH(C252&amp;"",lst_Jobs,0)),""))</f>
        <v/>
      </c>
      <c r="F252" s="22" t="n"/>
      <c r="G252" s="22" t="n"/>
      <c r="H252" s="22" t="n"/>
      <c r="I252" s="22" t="n"/>
      <c r="J252" s="22" t="n"/>
      <c r="K252" s="28">
        <f>IF(C252="","",COUNTIFS(tbl_Finance[Job Number],C252&amp;"",tbl_Finance[Ex GST],"&lt;&gt;"))</f>
        <v/>
      </c>
      <c r="L252" s="27">
        <f>IF(C252="","",SUMIFS(tbl_Finance[Ex GST],tbl_Finance[Job Number],C252&amp;""))</f>
        <v/>
      </c>
      <c r="M252" s="27">
        <f>IF(C252="","",SUMIFS(tbl_Finance[Ex GST],tbl_Finance[Job Number],C252&amp;"",tbl_Finance[Xero Invoice No],"&lt;&gt;"))</f>
        <v/>
      </c>
      <c r="N252" s="27">
        <f>IF(C252="","",L252-M252)</f>
        <v/>
      </c>
      <c r="O252" s="24" t="n"/>
      <c r="P252" s="27">
        <f>IF(C252="","",IF(O252="",0,MAX(0,O252-L252)))</f>
        <v/>
      </c>
      <c r="Q252" s="26">
        <f>IF(C252="","",IF(K252=0,"not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R252" s="22" t="n"/>
      <c r="S252" s="22" t="n"/>
      <c r="T252" s="26">
        <f>IF(S252="","",HYPERLINK(IF(LEFT(S252,4)="http",S252,set_QwilrBase&amp;S252),"Open quote"))</f>
        <v/>
      </c>
      <c r="U252" s="71" t="n"/>
      <c r="V252" s="22" t="n"/>
      <c r="W252" s="22" t="n"/>
    </row>
    <row r="253" ht="15" customHeight="1">
      <c r="A253" s="70">
        <f>IF(C253="","",IFERROR(IF(SUMPRODUCT(MAX((tbl_Finance[Job Number]&amp;""=C253&amp;"")*(tbl_Finance[Xero Invoice No]&lt;&gt;"")*tbl_Finance[Date]))=0,"",SUMPRODUCT(MAX((tbl_Finance[Job Number]&amp;""=C253&amp;"")*(tbl_Finance[Xero Invoice No]&lt;&gt;"")*tbl_Finance[Date]))),""))</f>
        <v/>
      </c>
      <c r="B253" s="26">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2" t="n"/>
      <c r="D253" s="26">
        <f>IF(C253="","",IF(COUNTIF(lst_Jobs,C253&amp;"")&gt;0,"OK","CHECK"))</f>
        <v/>
      </c>
      <c r="E253" s="26">
        <f>IF(C253="","",IFERROR(INDEX(lst_JobName,MATCH(C253&amp;"",lst_Jobs,0)),""))</f>
        <v/>
      </c>
      <c r="F253" s="22" t="n"/>
      <c r="G253" s="22" t="n"/>
      <c r="H253" s="22" t="n"/>
      <c r="I253" s="22" t="n"/>
      <c r="J253" s="22" t="n"/>
      <c r="K253" s="28">
        <f>IF(C253="","",COUNTIFS(tbl_Finance[Job Number],C253&amp;"",tbl_Finance[Ex GST],"&lt;&gt;"))</f>
        <v/>
      </c>
      <c r="L253" s="27">
        <f>IF(C253="","",SUMIFS(tbl_Finance[Ex GST],tbl_Finance[Job Number],C253&amp;""))</f>
        <v/>
      </c>
      <c r="M253" s="27">
        <f>IF(C253="","",SUMIFS(tbl_Finance[Ex GST],tbl_Finance[Job Number],C253&amp;"",tbl_Finance[Xero Invoice No],"&lt;&gt;"))</f>
        <v/>
      </c>
      <c r="N253" s="27">
        <f>IF(C253="","",L253-M253)</f>
        <v/>
      </c>
      <c r="O253" s="24" t="n"/>
      <c r="P253" s="27">
        <f>IF(C253="","",IF(O253="",0,MAX(0,O253-L253)))</f>
        <v/>
      </c>
      <c r="Q253" s="26">
        <f>IF(C253="","",IF(K253=0,"not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R253" s="22" t="n"/>
      <c r="S253" s="22" t="n"/>
      <c r="T253" s="26">
        <f>IF(S253="","",HYPERLINK(IF(LEFT(S253,4)="http",S253,set_QwilrBase&amp;S253),"Open quote"))</f>
        <v/>
      </c>
      <c r="U253" s="71" t="n"/>
      <c r="V253" s="22" t="n"/>
      <c r="W253" s="22" t="n"/>
    </row>
    <row r="254" ht="15" customHeight="1">
      <c r="A254" s="70">
        <f>IF(C254="","",IFERROR(IF(SUMPRODUCT(MAX((tbl_Finance[Job Number]&amp;""=C254&amp;"")*(tbl_Finance[Xero Invoice No]&lt;&gt;"")*tbl_Finance[Date]))=0,"",SUMPRODUCT(MAX((tbl_Finance[Job Number]&amp;""=C254&amp;"")*(tbl_Finance[Xero Invoice No]&lt;&gt;"")*tbl_Finance[Date]))),""))</f>
        <v/>
      </c>
      <c r="B254" s="26">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2" t="n"/>
      <c r="D254" s="26">
        <f>IF(C254="","",IF(COUNTIF(lst_Jobs,C254&amp;"")&gt;0,"OK","CHECK"))</f>
        <v/>
      </c>
      <c r="E254" s="26">
        <f>IF(C254="","",IFERROR(INDEX(lst_JobName,MATCH(C254&amp;"",lst_Jobs,0)),""))</f>
        <v/>
      </c>
      <c r="F254" s="22" t="n"/>
      <c r="G254" s="22" t="n"/>
      <c r="H254" s="22" t="n"/>
      <c r="I254" s="22" t="n"/>
      <c r="J254" s="22" t="n"/>
      <c r="K254" s="28">
        <f>IF(C254="","",COUNTIFS(tbl_Finance[Job Number],C254&amp;"",tbl_Finance[Ex GST],"&lt;&gt;"))</f>
        <v/>
      </c>
      <c r="L254" s="27">
        <f>IF(C254="","",SUMIFS(tbl_Finance[Ex GST],tbl_Finance[Job Number],C254&amp;""))</f>
        <v/>
      </c>
      <c r="M254" s="27">
        <f>IF(C254="","",SUMIFS(tbl_Finance[Ex GST],tbl_Finance[Job Number],C254&amp;"",tbl_Finance[Xero Invoice No],"&lt;&gt;"))</f>
        <v/>
      </c>
      <c r="N254" s="27">
        <f>IF(C254="","",L254-M254)</f>
        <v/>
      </c>
      <c r="O254" s="24" t="n"/>
      <c r="P254" s="27">
        <f>IF(C254="","",IF(O254="",0,MAX(0,O254-L254)))</f>
        <v/>
      </c>
      <c r="Q254" s="26">
        <f>IF(C254="","",IF(K254=0,"not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R254" s="22" t="n"/>
      <c r="S254" s="22" t="n"/>
      <c r="T254" s="26">
        <f>IF(S254="","",HYPERLINK(IF(LEFT(S254,4)="http",S254,set_QwilrBase&amp;S254),"Open quote"))</f>
        <v/>
      </c>
      <c r="U254" s="71" t="n"/>
      <c r="V254" s="22" t="n"/>
      <c r="W254" s="22" t="n"/>
    </row>
    <row r="255" ht="15" customHeight="1">
      <c r="A255" s="70">
        <f>IF(C255="","",IFERROR(IF(SUMPRODUCT(MAX((tbl_Finance[Job Number]&amp;""=C255&amp;"")*(tbl_Finance[Xero Invoice No]&lt;&gt;"")*tbl_Finance[Date]))=0,"",SUMPRODUCT(MAX((tbl_Finance[Job Number]&amp;""=C255&amp;"")*(tbl_Finance[Xero Invoice No]&lt;&gt;"")*tbl_Finance[Date]))),""))</f>
        <v/>
      </c>
      <c r="B255" s="26">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2" t="n"/>
      <c r="D255" s="26">
        <f>IF(C255="","",IF(COUNTIF(lst_Jobs,C255&amp;"")&gt;0,"OK","CHECK"))</f>
        <v/>
      </c>
      <c r="E255" s="26">
        <f>IF(C255="","",IFERROR(INDEX(lst_JobName,MATCH(C255&amp;"",lst_Jobs,0)),""))</f>
        <v/>
      </c>
      <c r="F255" s="22" t="n"/>
      <c r="G255" s="22" t="n"/>
      <c r="H255" s="22" t="n"/>
      <c r="I255" s="22" t="n"/>
      <c r="J255" s="22" t="n"/>
      <c r="K255" s="28">
        <f>IF(C255="","",COUNTIFS(tbl_Finance[Job Number],C255&amp;"",tbl_Finance[Ex GST],"&lt;&gt;"))</f>
        <v/>
      </c>
      <c r="L255" s="27">
        <f>IF(C255="","",SUMIFS(tbl_Finance[Ex GST],tbl_Finance[Job Number],C255&amp;""))</f>
        <v/>
      </c>
      <c r="M255" s="27">
        <f>IF(C255="","",SUMIFS(tbl_Finance[Ex GST],tbl_Finance[Job Number],C255&amp;"",tbl_Finance[Xero Invoice No],"&lt;&gt;"))</f>
        <v/>
      </c>
      <c r="N255" s="27">
        <f>IF(C255="","",L255-M255)</f>
        <v/>
      </c>
      <c r="O255" s="24" t="n"/>
      <c r="P255" s="27">
        <f>IF(C255="","",IF(O255="",0,MAX(0,O255-L255)))</f>
        <v/>
      </c>
      <c r="Q255" s="26">
        <f>IF(C255="","",IF(K255=0,"not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R255" s="22" t="n"/>
      <c r="S255" s="22" t="n"/>
      <c r="T255" s="26">
        <f>IF(S255="","",HYPERLINK(IF(LEFT(S255,4)="http",S255,set_QwilrBase&amp;S255),"Open quote"))</f>
        <v/>
      </c>
      <c r="U255" s="71" t="n"/>
      <c r="V255" s="22" t="n"/>
      <c r="W255" s="22" t="n"/>
    </row>
    <row r="256" ht="15" customHeight="1">
      <c r="A256" s="70">
        <f>IF(C256="","",IFERROR(IF(SUMPRODUCT(MAX((tbl_Finance[Job Number]&amp;""=C256&amp;"")*(tbl_Finance[Xero Invoice No]&lt;&gt;"")*tbl_Finance[Date]))=0,"",SUMPRODUCT(MAX((tbl_Finance[Job Number]&amp;""=C256&amp;"")*(tbl_Finance[Xero Invoice No]&lt;&gt;"")*tbl_Finance[Date]))),""))</f>
        <v/>
      </c>
      <c r="B256" s="26">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2" t="n"/>
      <c r="D256" s="26">
        <f>IF(C256="","",IF(COUNTIF(lst_Jobs,C256&amp;"")&gt;0,"OK","CHECK"))</f>
        <v/>
      </c>
      <c r="E256" s="26">
        <f>IF(C256="","",IFERROR(INDEX(lst_JobName,MATCH(C256&amp;"",lst_Jobs,0)),""))</f>
        <v/>
      </c>
      <c r="F256" s="22" t="n"/>
      <c r="G256" s="22" t="n"/>
      <c r="H256" s="22" t="n"/>
      <c r="I256" s="22" t="n"/>
      <c r="J256" s="22" t="n"/>
      <c r="K256" s="28">
        <f>IF(C256="","",COUNTIFS(tbl_Finance[Job Number],C256&amp;"",tbl_Finance[Ex GST],"&lt;&gt;"))</f>
        <v/>
      </c>
      <c r="L256" s="27">
        <f>IF(C256="","",SUMIFS(tbl_Finance[Ex GST],tbl_Finance[Job Number],C256&amp;""))</f>
        <v/>
      </c>
      <c r="M256" s="27">
        <f>IF(C256="","",SUMIFS(tbl_Finance[Ex GST],tbl_Finance[Job Number],C256&amp;"",tbl_Finance[Xero Invoice No],"&lt;&gt;"))</f>
        <v/>
      </c>
      <c r="N256" s="27">
        <f>IF(C256="","",L256-M256)</f>
        <v/>
      </c>
      <c r="O256" s="24" t="n"/>
      <c r="P256" s="27">
        <f>IF(C256="","",IF(O256="",0,MAX(0,O256-L256)))</f>
        <v/>
      </c>
      <c r="Q256" s="26">
        <f>IF(C256="","",IF(K256=0,"not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R256" s="22" t="n"/>
      <c r="S256" s="22" t="n"/>
      <c r="T256" s="26">
        <f>IF(S256="","",HYPERLINK(IF(LEFT(S256,4)="http",S256,set_QwilrBase&amp;S256),"Open quote"))</f>
        <v/>
      </c>
      <c r="U256" s="71" t="n"/>
      <c r="V256" s="22" t="n"/>
      <c r="W256" s="22" t="n"/>
    </row>
    <row r="257" ht="15" customHeight="1">
      <c r="A257" s="70">
        <f>IF(C257="","",IFERROR(IF(SUMPRODUCT(MAX((tbl_Finance[Job Number]&amp;""=C257&amp;"")*(tbl_Finance[Xero Invoice No]&lt;&gt;"")*tbl_Finance[Date]))=0,"",SUMPRODUCT(MAX((tbl_Finance[Job Number]&amp;""=C257&amp;"")*(tbl_Finance[Xero Invoice No]&lt;&gt;"")*tbl_Finance[Date]))),""))</f>
        <v/>
      </c>
      <c r="B257" s="26">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2" t="n"/>
      <c r="D257" s="26">
        <f>IF(C257="","",IF(COUNTIF(lst_Jobs,C257&amp;"")&gt;0,"OK","CHECK"))</f>
        <v/>
      </c>
      <c r="E257" s="26">
        <f>IF(C257="","",IFERROR(INDEX(lst_JobName,MATCH(C257&amp;"",lst_Jobs,0)),""))</f>
        <v/>
      </c>
      <c r="F257" s="22" t="n"/>
      <c r="G257" s="22" t="n"/>
      <c r="H257" s="22" t="n"/>
      <c r="I257" s="22" t="n"/>
      <c r="J257" s="22" t="n"/>
      <c r="K257" s="28">
        <f>IF(C257="","",COUNTIFS(tbl_Finance[Job Number],C257&amp;"",tbl_Finance[Ex GST],"&lt;&gt;"))</f>
        <v/>
      </c>
      <c r="L257" s="27">
        <f>IF(C257="","",SUMIFS(tbl_Finance[Ex GST],tbl_Finance[Job Number],C257&amp;""))</f>
        <v/>
      </c>
      <c r="M257" s="27">
        <f>IF(C257="","",SUMIFS(tbl_Finance[Ex GST],tbl_Finance[Job Number],C257&amp;"",tbl_Finance[Xero Invoice No],"&lt;&gt;"))</f>
        <v/>
      </c>
      <c r="N257" s="27">
        <f>IF(C257="","",L257-M257)</f>
        <v/>
      </c>
      <c r="O257" s="24" t="n"/>
      <c r="P257" s="27">
        <f>IF(C257="","",IF(O257="",0,MAX(0,O257-L257)))</f>
        <v/>
      </c>
      <c r="Q257" s="26">
        <f>IF(C257="","",IF(K257=0,"not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R257" s="22" t="n"/>
      <c r="S257" s="22" t="n"/>
      <c r="T257" s="26">
        <f>IF(S257="","",HYPERLINK(IF(LEFT(S257,4)="http",S257,set_QwilrBase&amp;S257),"Open quote"))</f>
        <v/>
      </c>
      <c r="U257" s="71" t="n"/>
      <c r="V257" s="22" t="n"/>
      <c r="W257" s="22" t="n"/>
    </row>
    <row r="258" ht="15" customHeight="1">
      <c r="A258" s="70">
        <f>IF(C258="","",IFERROR(IF(SUMPRODUCT(MAX((tbl_Finance[Job Number]&amp;""=C258&amp;"")*(tbl_Finance[Xero Invoice No]&lt;&gt;"")*tbl_Finance[Date]))=0,"",SUMPRODUCT(MAX((tbl_Finance[Job Number]&amp;""=C258&amp;"")*(tbl_Finance[Xero Invoice No]&lt;&gt;"")*tbl_Finance[Date]))),""))</f>
        <v/>
      </c>
      <c r="B258" s="26">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2" t="n"/>
      <c r="D258" s="26">
        <f>IF(C258="","",IF(COUNTIF(lst_Jobs,C258&amp;"")&gt;0,"OK","CHECK"))</f>
        <v/>
      </c>
      <c r="E258" s="26">
        <f>IF(C258="","",IFERROR(INDEX(lst_JobName,MATCH(C258&amp;"",lst_Jobs,0)),""))</f>
        <v/>
      </c>
      <c r="F258" s="22" t="n"/>
      <c r="G258" s="22" t="n"/>
      <c r="H258" s="22" t="n"/>
      <c r="I258" s="22" t="n"/>
      <c r="J258" s="22" t="n"/>
      <c r="K258" s="28">
        <f>IF(C258="","",COUNTIFS(tbl_Finance[Job Number],C258&amp;"",tbl_Finance[Ex GST],"&lt;&gt;"))</f>
        <v/>
      </c>
      <c r="L258" s="27">
        <f>IF(C258="","",SUMIFS(tbl_Finance[Ex GST],tbl_Finance[Job Number],C258&amp;""))</f>
        <v/>
      </c>
      <c r="M258" s="27">
        <f>IF(C258="","",SUMIFS(tbl_Finance[Ex GST],tbl_Finance[Job Number],C258&amp;"",tbl_Finance[Xero Invoice No],"&lt;&gt;"))</f>
        <v/>
      </c>
      <c r="N258" s="27">
        <f>IF(C258="","",L258-M258)</f>
        <v/>
      </c>
      <c r="O258" s="24" t="n"/>
      <c r="P258" s="27">
        <f>IF(C258="","",IF(O258="",0,MAX(0,O258-L258)))</f>
        <v/>
      </c>
      <c r="Q258" s="26">
        <f>IF(C258="","",IF(K258=0,"not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R258" s="22" t="n"/>
      <c r="S258" s="22" t="n"/>
      <c r="T258" s="26">
        <f>IF(S258="","",HYPERLINK(IF(LEFT(S258,4)="http",S258,set_QwilrBase&amp;S258),"Open quote"))</f>
        <v/>
      </c>
      <c r="U258" s="71" t="n"/>
      <c r="V258" s="22" t="n"/>
      <c r="W258" s="22" t="n"/>
    </row>
    <row r="259" ht="15" customHeight="1">
      <c r="A259" s="70">
        <f>IF(C259="","",IFERROR(IF(SUMPRODUCT(MAX((tbl_Finance[Job Number]&amp;""=C259&amp;"")*(tbl_Finance[Xero Invoice No]&lt;&gt;"")*tbl_Finance[Date]))=0,"",SUMPRODUCT(MAX((tbl_Finance[Job Number]&amp;""=C259&amp;"")*(tbl_Finance[Xero Invoice No]&lt;&gt;"")*tbl_Finance[Date]))),""))</f>
        <v/>
      </c>
      <c r="B259" s="26">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2" t="n"/>
      <c r="D259" s="26">
        <f>IF(C259="","",IF(COUNTIF(lst_Jobs,C259&amp;"")&gt;0,"OK","CHECK"))</f>
        <v/>
      </c>
      <c r="E259" s="26">
        <f>IF(C259="","",IFERROR(INDEX(lst_JobName,MATCH(C259&amp;"",lst_Jobs,0)),""))</f>
        <v/>
      </c>
      <c r="F259" s="22" t="n"/>
      <c r="G259" s="22" t="n"/>
      <c r="H259" s="22" t="n"/>
      <c r="I259" s="22" t="n"/>
      <c r="J259" s="22" t="n"/>
      <c r="K259" s="28">
        <f>IF(C259="","",COUNTIFS(tbl_Finance[Job Number],C259&amp;"",tbl_Finance[Ex GST],"&lt;&gt;"))</f>
        <v/>
      </c>
      <c r="L259" s="27">
        <f>IF(C259="","",SUMIFS(tbl_Finance[Ex GST],tbl_Finance[Job Number],C259&amp;""))</f>
        <v/>
      </c>
      <c r="M259" s="27">
        <f>IF(C259="","",SUMIFS(tbl_Finance[Ex GST],tbl_Finance[Job Number],C259&amp;"",tbl_Finance[Xero Invoice No],"&lt;&gt;"))</f>
        <v/>
      </c>
      <c r="N259" s="27">
        <f>IF(C259="","",L259-M259)</f>
        <v/>
      </c>
      <c r="O259" s="24" t="n"/>
      <c r="P259" s="27">
        <f>IF(C259="","",IF(O259="",0,MAX(0,O259-L259)))</f>
        <v/>
      </c>
      <c r="Q259" s="26">
        <f>IF(C259="","",IF(K259=0,"not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R259" s="22" t="n"/>
      <c r="S259" s="22" t="n"/>
      <c r="T259" s="26">
        <f>IF(S259="","",HYPERLINK(IF(LEFT(S259,4)="http",S259,set_QwilrBase&amp;S259),"Open quote"))</f>
        <v/>
      </c>
      <c r="U259" s="71" t="n"/>
      <c r="V259" s="22" t="n"/>
      <c r="W259" s="22" t="n"/>
    </row>
    <row r="260" ht="15" customHeight="1">
      <c r="A260" s="70">
        <f>IF(C260="","",IFERROR(IF(SUMPRODUCT(MAX((tbl_Finance[Job Number]&amp;""=C260&amp;"")*(tbl_Finance[Xero Invoice No]&lt;&gt;"")*tbl_Finance[Date]))=0,"",SUMPRODUCT(MAX((tbl_Finance[Job Number]&amp;""=C260&amp;"")*(tbl_Finance[Xero Invoice No]&lt;&gt;"")*tbl_Finance[Date]))),""))</f>
        <v/>
      </c>
      <c r="B260" s="26">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2" t="n"/>
      <c r="D260" s="26">
        <f>IF(C260="","",IF(COUNTIF(lst_Jobs,C260&amp;"")&gt;0,"OK","CHECK"))</f>
        <v/>
      </c>
      <c r="E260" s="26">
        <f>IF(C260="","",IFERROR(INDEX(lst_JobName,MATCH(C260&amp;"",lst_Jobs,0)),""))</f>
        <v/>
      </c>
      <c r="F260" s="22" t="n"/>
      <c r="G260" s="22" t="n"/>
      <c r="H260" s="22" t="n"/>
      <c r="I260" s="22" t="n"/>
      <c r="J260" s="22" t="n"/>
      <c r="K260" s="28">
        <f>IF(C260="","",COUNTIFS(tbl_Finance[Job Number],C260&amp;"",tbl_Finance[Ex GST],"&lt;&gt;"))</f>
        <v/>
      </c>
      <c r="L260" s="27">
        <f>IF(C260="","",SUMIFS(tbl_Finance[Ex GST],tbl_Finance[Job Number],C260&amp;""))</f>
        <v/>
      </c>
      <c r="M260" s="27">
        <f>IF(C260="","",SUMIFS(tbl_Finance[Ex GST],tbl_Finance[Job Number],C260&amp;"",tbl_Finance[Xero Invoice No],"&lt;&gt;"))</f>
        <v/>
      </c>
      <c r="N260" s="27">
        <f>IF(C260="","",L260-M260)</f>
        <v/>
      </c>
      <c r="O260" s="24" t="n"/>
      <c r="P260" s="27">
        <f>IF(C260="","",IF(O260="",0,MAX(0,O260-L260)))</f>
        <v/>
      </c>
      <c r="Q260" s="26">
        <f>IF(C260="","",IF(K260=0,"not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R260" s="22" t="n"/>
      <c r="S260" s="22" t="n"/>
      <c r="T260" s="26">
        <f>IF(S260="","",HYPERLINK(IF(LEFT(S260,4)="http",S260,set_QwilrBase&amp;S260),"Open quote"))</f>
        <v/>
      </c>
      <c r="U260" s="71" t="n"/>
      <c r="V260" s="22" t="n"/>
      <c r="W260" s="22" t="n"/>
    </row>
    <row r="261" ht="15" customHeight="1">
      <c r="A261" s="70">
        <f>IF(C261="","",IFERROR(IF(SUMPRODUCT(MAX((tbl_Finance[Job Number]&amp;""=C261&amp;"")*(tbl_Finance[Xero Invoice No]&lt;&gt;"")*tbl_Finance[Date]))=0,"",SUMPRODUCT(MAX((tbl_Finance[Job Number]&amp;""=C261&amp;"")*(tbl_Finance[Xero Invoice No]&lt;&gt;"")*tbl_Finance[Date]))),""))</f>
        <v/>
      </c>
      <c r="B261" s="26">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2" t="n"/>
      <c r="D261" s="26">
        <f>IF(C261="","",IF(COUNTIF(lst_Jobs,C261&amp;"")&gt;0,"OK","CHECK"))</f>
        <v/>
      </c>
      <c r="E261" s="26">
        <f>IF(C261="","",IFERROR(INDEX(lst_JobName,MATCH(C261&amp;"",lst_Jobs,0)),""))</f>
        <v/>
      </c>
      <c r="F261" s="22" t="n"/>
      <c r="G261" s="22" t="n"/>
      <c r="H261" s="22" t="n"/>
      <c r="I261" s="22" t="n"/>
      <c r="J261" s="22" t="n"/>
      <c r="K261" s="28">
        <f>IF(C261="","",COUNTIFS(tbl_Finance[Job Number],C261&amp;"",tbl_Finance[Ex GST],"&lt;&gt;"))</f>
        <v/>
      </c>
      <c r="L261" s="27">
        <f>IF(C261="","",SUMIFS(tbl_Finance[Ex GST],tbl_Finance[Job Number],C261&amp;""))</f>
        <v/>
      </c>
      <c r="M261" s="27">
        <f>IF(C261="","",SUMIFS(tbl_Finance[Ex GST],tbl_Finance[Job Number],C261&amp;"",tbl_Finance[Xero Invoice No],"&lt;&gt;"))</f>
        <v/>
      </c>
      <c r="N261" s="27">
        <f>IF(C261="","",L261-M261)</f>
        <v/>
      </c>
      <c r="O261" s="24" t="n"/>
      <c r="P261" s="27">
        <f>IF(C261="","",IF(O261="",0,MAX(0,O261-L261)))</f>
        <v/>
      </c>
      <c r="Q261" s="26">
        <f>IF(C261="","",IF(K261=0,"not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R261" s="22" t="n"/>
      <c r="S261" s="22" t="n"/>
      <c r="T261" s="26">
        <f>IF(S261="","",HYPERLINK(IF(LEFT(S261,4)="http",S261,set_QwilrBase&amp;S261),"Open quote"))</f>
        <v/>
      </c>
      <c r="U261" s="71" t="n"/>
      <c r="V261" s="22" t="n"/>
      <c r="W261" s="22" t="n"/>
    </row>
    <row r="262" ht="15" customHeight="1">
      <c r="A262" s="70">
        <f>IF(C262="","",IFERROR(IF(SUMPRODUCT(MAX((tbl_Finance[Job Number]&amp;""=C262&amp;"")*(tbl_Finance[Xero Invoice No]&lt;&gt;"")*tbl_Finance[Date]))=0,"",SUMPRODUCT(MAX((tbl_Finance[Job Number]&amp;""=C262&amp;"")*(tbl_Finance[Xero Invoice No]&lt;&gt;"")*tbl_Finance[Date]))),""))</f>
        <v/>
      </c>
      <c r="B262" s="26">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2" t="n"/>
      <c r="D262" s="26">
        <f>IF(C262="","",IF(COUNTIF(lst_Jobs,C262&amp;"")&gt;0,"OK","CHECK"))</f>
        <v/>
      </c>
      <c r="E262" s="26">
        <f>IF(C262="","",IFERROR(INDEX(lst_JobName,MATCH(C262&amp;"",lst_Jobs,0)),""))</f>
        <v/>
      </c>
      <c r="F262" s="22" t="n"/>
      <c r="G262" s="22" t="n"/>
      <c r="H262" s="22" t="n"/>
      <c r="I262" s="22" t="n"/>
      <c r="J262" s="22" t="n"/>
      <c r="K262" s="28">
        <f>IF(C262="","",COUNTIFS(tbl_Finance[Job Number],C262&amp;"",tbl_Finance[Ex GST],"&lt;&gt;"))</f>
        <v/>
      </c>
      <c r="L262" s="27">
        <f>IF(C262="","",SUMIFS(tbl_Finance[Ex GST],tbl_Finance[Job Number],C262&amp;""))</f>
        <v/>
      </c>
      <c r="M262" s="27">
        <f>IF(C262="","",SUMIFS(tbl_Finance[Ex GST],tbl_Finance[Job Number],C262&amp;"",tbl_Finance[Xero Invoice No],"&lt;&gt;"))</f>
        <v/>
      </c>
      <c r="N262" s="27">
        <f>IF(C262="","",L262-M262)</f>
        <v/>
      </c>
      <c r="O262" s="24" t="n"/>
      <c r="P262" s="27">
        <f>IF(C262="","",IF(O262="",0,MAX(0,O262-L262)))</f>
        <v/>
      </c>
      <c r="Q262" s="26">
        <f>IF(C262="","",IF(K262=0,"not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R262" s="22" t="n"/>
      <c r="S262" s="22" t="n"/>
      <c r="T262" s="26">
        <f>IF(S262="","",HYPERLINK(IF(LEFT(S262,4)="http",S262,set_QwilrBase&amp;S262),"Open quote"))</f>
        <v/>
      </c>
      <c r="U262" s="71" t="n"/>
      <c r="V262" s="22" t="n"/>
      <c r="W262" s="22" t="n"/>
    </row>
    <row r="263" ht="15" customHeight="1">
      <c r="A263" s="70">
        <f>IF(C263="","",IFERROR(IF(SUMPRODUCT(MAX((tbl_Finance[Job Number]&amp;""=C263&amp;"")*(tbl_Finance[Xero Invoice No]&lt;&gt;"")*tbl_Finance[Date]))=0,"",SUMPRODUCT(MAX((tbl_Finance[Job Number]&amp;""=C263&amp;"")*(tbl_Finance[Xero Invoice No]&lt;&gt;"")*tbl_Finance[Date]))),""))</f>
        <v/>
      </c>
      <c r="B263" s="26">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2" t="n"/>
      <c r="D263" s="26">
        <f>IF(C263="","",IF(COUNTIF(lst_Jobs,C263&amp;"")&gt;0,"OK","CHECK"))</f>
        <v/>
      </c>
      <c r="E263" s="26">
        <f>IF(C263="","",IFERROR(INDEX(lst_JobName,MATCH(C263&amp;"",lst_Jobs,0)),""))</f>
        <v/>
      </c>
      <c r="F263" s="22" t="n"/>
      <c r="G263" s="22" t="n"/>
      <c r="H263" s="22" t="n"/>
      <c r="I263" s="22" t="n"/>
      <c r="J263" s="22" t="n"/>
      <c r="K263" s="28">
        <f>IF(C263="","",COUNTIFS(tbl_Finance[Job Number],C263&amp;"",tbl_Finance[Ex GST],"&lt;&gt;"))</f>
        <v/>
      </c>
      <c r="L263" s="27">
        <f>IF(C263="","",SUMIFS(tbl_Finance[Ex GST],tbl_Finance[Job Number],C263&amp;""))</f>
        <v/>
      </c>
      <c r="M263" s="27">
        <f>IF(C263="","",SUMIFS(tbl_Finance[Ex GST],tbl_Finance[Job Number],C263&amp;"",tbl_Finance[Xero Invoice No],"&lt;&gt;"))</f>
        <v/>
      </c>
      <c r="N263" s="27">
        <f>IF(C263="","",L263-M263)</f>
        <v/>
      </c>
      <c r="O263" s="24" t="n"/>
      <c r="P263" s="27">
        <f>IF(C263="","",IF(O263="",0,MAX(0,O263-L263)))</f>
        <v/>
      </c>
      <c r="Q263" s="26">
        <f>IF(C263="","",IF(K263=0,"not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R263" s="22" t="n"/>
      <c r="S263" s="22" t="n"/>
      <c r="T263" s="26">
        <f>IF(S263="","",HYPERLINK(IF(LEFT(S263,4)="http",S263,set_QwilrBase&amp;S263),"Open quote"))</f>
        <v/>
      </c>
      <c r="U263" s="71" t="n"/>
      <c r="V263" s="22" t="n"/>
      <c r="W263" s="22" t="n"/>
    </row>
    <row r="264" ht="15" customHeight="1">
      <c r="A264" s="70">
        <f>IF(C264="","",IFERROR(IF(SUMPRODUCT(MAX((tbl_Finance[Job Number]&amp;""=C264&amp;"")*(tbl_Finance[Xero Invoice No]&lt;&gt;"")*tbl_Finance[Date]))=0,"",SUMPRODUCT(MAX((tbl_Finance[Job Number]&amp;""=C264&amp;"")*(tbl_Finance[Xero Invoice No]&lt;&gt;"")*tbl_Finance[Date]))),""))</f>
        <v/>
      </c>
      <c r="B264" s="26">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2" t="n"/>
      <c r="D264" s="26">
        <f>IF(C264="","",IF(COUNTIF(lst_Jobs,C264&amp;"")&gt;0,"OK","CHECK"))</f>
        <v/>
      </c>
      <c r="E264" s="26">
        <f>IF(C264="","",IFERROR(INDEX(lst_JobName,MATCH(C264&amp;"",lst_Jobs,0)),""))</f>
        <v/>
      </c>
      <c r="F264" s="22" t="n"/>
      <c r="G264" s="22" t="n"/>
      <c r="H264" s="22" t="n"/>
      <c r="I264" s="22" t="n"/>
      <c r="J264" s="22" t="n"/>
      <c r="K264" s="28">
        <f>IF(C264="","",COUNTIFS(tbl_Finance[Job Number],C264&amp;"",tbl_Finance[Ex GST],"&lt;&gt;"))</f>
        <v/>
      </c>
      <c r="L264" s="27">
        <f>IF(C264="","",SUMIFS(tbl_Finance[Ex GST],tbl_Finance[Job Number],C264&amp;""))</f>
        <v/>
      </c>
      <c r="M264" s="27">
        <f>IF(C264="","",SUMIFS(tbl_Finance[Ex GST],tbl_Finance[Job Number],C264&amp;"",tbl_Finance[Xero Invoice No],"&lt;&gt;"))</f>
        <v/>
      </c>
      <c r="N264" s="27">
        <f>IF(C264="","",L264-M264)</f>
        <v/>
      </c>
      <c r="O264" s="24" t="n"/>
      <c r="P264" s="27">
        <f>IF(C264="","",IF(O264="",0,MAX(0,O264-L264)))</f>
        <v/>
      </c>
      <c r="Q264" s="26">
        <f>IF(C264="","",IF(K264=0,"not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R264" s="22" t="n"/>
      <c r="S264" s="22" t="n"/>
      <c r="T264" s="26">
        <f>IF(S264="","",HYPERLINK(IF(LEFT(S264,4)="http",S264,set_QwilrBase&amp;S264),"Open quote"))</f>
        <v/>
      </c>
      <c r="U264" s="71" t="n"/>
      <c r="V264" s="22" t="n"/>
      <c r="W264" s="22" t="n"/>
    </row>
    <row r="265" ht="15" customHeight="1">
      <c r="A265" s="70">
        <f>IF(C265="","",IFERROR(IF(SUMPRODUCT(MAX((tbl_Finance[Job Number]&amp;""=C265&amp;"")*(tbl_Finance[Xero Invoice No]&lt;&gt;"")*tbl_Finance[Date]))=0,"",SUMPRODUCT(MAX((tbl_Finance[Job Number]&amp;""=C265&amp;"")*(tbl_Finance[Xero Invoice No]&lt;&gt;"")*tbl_Finance[Date]))),""))</f>
        <v/>
      </c>
      <c r="B265" s="26">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2" t="n"/>
      <c r="D265" s="26">
        <f>IF(C265="","",IF(COUNTIF(lst_Jobs,C265&amp;"")&gt;0,"OK","CHECK"))</f>
        <v/>
      </c>
      <c r="E265" s="26">
        <f>IF(C265="","",IFERROR(INDEX(lst_JobName,MATCH(C265&amp;"",lst_Jobs,0)),""))</f>
        <v/>
      </c>
      <c r="F265" s="22" t="n"/>
      <c r="G265" s="22" t="n"/>
      <c r="H265" s="22" t="n"/>
      <c r="I265" s="22" t="n"/>
      <c r="J265" s="22" t="n"/>
      <c r="K265" s="28">
        <f>IF(C265="","",COUNTIFS(tbl_Finance[Job Number],C265&amp;"",tbl_Finance[Ex GST],"&lt;&gt;"))</f>
        <v/>
      </c>
      <c r="L265" s="27">
        <f>IF(C265="","",SUMIFS(tbl_Finance[Ex GST],tbl_Finance[Job Number],C265&amp;""))</f>
        <v/>
      </c>
      <c r="M265" s="27">
        <f>IF(C265="","",SUMIFS(tbl_Finance[Ex GST],tbl_Finance[Job Number],C265&amp;"",tbl_Finance[Xero Invoice No],"&lt;&gt;"))</f>
        <v/>
      </c>
      <c r="N265" s="27">
        <f>IF(C265="","",L265-M265)</f>
        <v/>
      </c>
      <c r="O265" s="24" t="n"/>
      <c r="P265" s="27">
        <f>IF(C265="","",IF(O265="",0,MAX(0,O265-L265)))</f>
        <v/>
      </c>
      <c r="Q265" s="26">
        <f>IF(C265="","",IF(K265=0,"not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R265" s="22" t="n"/>
      <c r="S265" s="22" t="n"/>
      <c r="T265" s="26">
        <f>IF(S265="","",HYPERLINK(IF(LEFT(S265,4)="http",S265,set_QwilrBase&amp;S265),"Open quote"))</f>
        <v/>
      </c>
      <c r="U265" s="71" t="n"/>
      <c r="V265" s="22" t="n"/>
      <c r="W265" s="22" t="n"/>
    </row>
    <row r="266" ht="15" customHeight="1">
      <c r="A266" s="70">
        <f>IF(C266="","",IFERROR(IF(SUMPRODUCT(MAX((tbl_Finance[Job Number]&amp;""=C266&amp;"")*(tbl_Finance[Xero Invoice No]&lt;&gt;"")*tbl_Finance[Date]))=0,"",SUMPRODUCT(MAX((tbl_Finance[Job Number]&amp;""=C266&amp;"")*(tbl_Finance[Xero Invoice No]&lt;&gt;"")*tbl_Finance[Date]))),""))</f>
        <v/>
      </c>
      <c r="B266" s="26">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2" t="n"/>
      <c r="D266" s="26">
        <f>IF(C266="","",IF(COUNTIF(lst_Jobs,C266&amp;"")&gt;0,"OK","CHECK"))</f>
        <v/>
      </c>
      <c r="E266" s="26">
        <f>IF(C266="","",IFERROR(INDEX(lst_JobName,MATCH(C266&amp;"",lst_Jobs,0)),""))</f>
        <v/>
      </c>
      <c r="F266" s="22" t="n"/>
      <c r="G266" s="22" t="n"/>
      <c r="H266" s="22" t="n"/>
      <c r="I266" s="22" t="n"/>
      <c r="J266" s="22" t="n"/>
      <c r="K266" s="28">
        <f>IF(C266="","",COUNTIFS(tbl_Finance[Job Number],C266&amp;"",tbl_Finance[Ex GST],"&lt;&gt;"))</f>
        <v/>
      </c>
      <c r="L266" s="27">
        <f>IF(C266="","",SUMIFS(tbl_Finance[Ex GST],tbl_Finance[Job Number],C266&amp;""))</f>
        <v/>
      </c>
      <c r="M266" s="27">
        <f>IF(C266="","",SUMIFS(tbl_Finance[Ex GST],tbl_Finance[Job Number],C266&amp;"",tbl_Finance[Xero Invoice No],"&lt;&gt;"))</f>
        <v/>
      </c>
      <c r="N266" s="27">
        <f>IF(C266="","",L266-M266)</f>
        <v/>
      </c>
      <c r="O266" s="24" t="n"/>
      <c r="P266" s="27">
        <f>IF(C266="","",IF(O266="",0,MAX(0,O266-L266)))</f>
        <v/>
      </c>
      <c r="Q266" s="26">
        <f>IF(C266="","",IF(K266=0,"not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R266" s="22" t="n"/>
      <c r="S266" s="22" t="n"/>
      <c r="T266" s="26">
        <f>IF(S266="","",HYPERLINK(IF(LEFT(S266,4)="http",S266,set_QwilrBase&amp;S266),"Open quote"))</f>
        <v/>
      </c>
      <c r="U266" s="71" t="n"/>
      <c r="V266" s="22" t="n"/>
      <c r="W266" s="22" t="n"/>
    </row>
    <row r="267" ht="15" customHeight="1">
      <c r="A267" s="70">
        <f>IF(C267="","",IFERROR(IF(SUMPRODUCT(MAX((tbl_Finance[Job Number]&amp;""=C267&amp;"")*(tbl_Finance[Xero Invoice No]&lt;&gt;"")*tbl_Finance[Date]))=0,"",SUMPRODUCT(MAX((tbl_Finance[Job Number]&amp;""=C267&amp;"")*(tbl_Finance[Xero Invoice No]&lt;&gt;"")*tbl_Finance[Date]))),""))</f>
        <v/>
      </c>
      <c r="B267" s="26">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2" t="n"/>
      <c r="D267" s="26">
        <f>IF(C267="","",IF(COUNTIF(lst_Jobs,C267&amp;"")&gt;0,"OK","CHECK"))</f>
        <v/>
      </c>
      <c r="E267" s="26">
        <f>IF(C267="","",IFERROR(INDEX(lst_JobName,MATCH(C267&amp;"",lst_Jobs,0)),""))</f>
        <v/>
      </c>
      <c r="F267" s="22" t="n"/>
      <c r="G267" s="22" t="n"/>
      <c r="H267" s="22" t="n"/>
      <c r="I267" s="22" t="n"/>
      <c r="J267" s="22" t="n"/>
      <c r="K267" s="28">
        <f>IF(C267="","",COUNTIFS(tbl_Finance[Job Number],C267&amp;"",tbl_Finance[Ex GST],"&lt;&gt;"))</f>
        <v/>
      </c>
      <c r="L267" s="27">
        <f>IF(C267="","",SUMIFS(tbl_Finance[Ex GST],tbl_Finance[Job Number],C267&amp;""))</f>
        <v/>
      </c>
      <c r="M267" s="27">
        <f>IF(C267="","",SUMIFS(tbl_Finance[Ex GST],tbl_Finance[Job Number],C267&amp;"",tbl_Finance[Xero Invoice No],"&lt;&gt;"))</f>
        <v/>
      </c>
      <c r="N267" s="27">
        <f>IF(C267="","",L267-M267)</f>
        <v/>
      </c>
      <c r="O267" s="24" t="n"/>
      <c r="P267" s="27">
        <f>IF(C267="","",IF(O267="",0,MAX(0,O267-L267)))</f>
        <v/>
      </c>
      <c r="Q267" s="26">
        <f>IF(C267="","",IF(K267=0,"not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R267" s="22" t="n"/>
      <c r="S267" s="22" t="n"/>
      <c r="T267" s="26">
        <f>IF(S267="","",HYPERLINK(IF(LEFT(S267,4)="http",S267,set_QwilrBase&amp;S267),"Open quote"))</f>
        <v/>
      </c>
      <c r="U267" s="71" t="n"/>
      <c r="V267" s="22" t="n"/>
      <c r="W267" s="22" t="n"/>
    </row>
    <row r="268" ht="15" customHeight="1">
      <c r="A268" s="70">
        <f>IF(C268="","",IFERROR(IF(SUMPRODUCT(MAX((tbl_Finance[Job Number]&amp;""=C268&amp;"")*(tbl_Finance[Xero Invoice No]&lt;&gt;"")*tbl_Finance[Date]))=0,"",SUMPRODUCT(MAX((tbl_Finance[Job Number]&amp;""=C268&amp;"")*(tbl_Finance[Xero Invoice No]&lt;&gt;"")*tbl_Finance[Date]))),""))</f>
        <v/>
      </c>
      <c r="B268" s="26">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2" t="n"/>
      <c r="D268" s="26">
        <f>IF(C268="","",IF(COUNTIF(lst_Jobs,C268&amp;"")&gt;0,"OK","CHECK"))</f>
        <v/>
      </c>
      <c r="E268" s="26">
        <f>IF(C268="","",IFERROR(INDEX(lst_JobName,MATCH(C268&amp;"",lst_Jobs,0)),""))</f>
        <v/>
      </c>
      <c r="F268" s="22" t="n"/>
      <c r="G268" s="22" t="n"/>
      <c r="H268" s="22" t="n"/>
      <c r="I268" s="22" t="n"/>
      <c r="J268" s="22" t="n"/>
      <c r="K268" s="28">
        <f>IF(C268="","",COUNTIFS(tbl_Finance[Job Number],C268&amp;"",tbl_Finance[Ex GST],"&lt;&gt;"))</f>
        <v/>
      </c>
      <c r="L268" s="27">
        <f>IF(C268="","",SUMIFS(tbl_Finance[Ex GST],tbl_Finance[Job Number],C268&amp;""))</f>
        <v/>
      </c>
      <c r="M268" s="27">
        <f>IF(C268="","",SUMIFS(tbl_Finance[Ex GST],tbl_Finance[Job Number],C268&amp;"",tbl_Finance[Xero Invoice No],"&lt;&gt;"))</f>
        <v/>
      </c>
      <c r="N268" s="27">
        <f>IF(C268="","",L268-M268)</f>
        <v/>
      </c>
      <c r="O268" s="24" t="n"/>
      <c r="P268" s="27">
        <f>IF(C268="","",IF(O268="",0,MAX(0,O268-L268)))</f>
        <v/>
      </c>
      <c r="Q268" s="26">
        <f>IF(C268="","",IF(K268=0,"not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R268" s="22" t="n"/>
      <c r="S268" s="22" t="n"/>
      <c r="T268" s="26">
        <f>IF(S268="","",HYPERLINK(IF(LEFT(S268,4)="http",S268,set_QwilrBase&amp;S268),"Open quote"))</f>
        <v/>
      </c>
      <c r="U268" s="71" t="n"/>
      <c r="V268" s="22" t="n"/>
      <c r="W268" s="22" t="n"/>
    </row>
    <row r="269" ht="15" customHeight="1">
      <c r="A269" s="70">
        <f>IF(C269="","",IFERROR(IF(SUMPRODUCT(MAX((tbl_Finance[Job Number]&amp;""=C269&amp;"")*(tbl_Finance[Xero Invoice No]&lt;&gt;"")*tbl_Finance[Date]))=0,"",SUMPRODUCT(MAX((tbl_Finance[Job Number]&amp;""=C269&amp;"")*(tbl_Finance[Xero Invoice No]&lt;&gt;"")*tbl_Finance[Date]))),""))</f>
        <v/>
      </c>
      <c r="B269" s="26">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2" t="n"/>
      <c r="D269" s="26">
        <f>IF(C269="","",IF(COUNTIF(lst_Jobs,C269&amp;"")&gt;0,"OK","CHECK"))</f>
        <v/>
      </c>
      <c r="E269" s="26">
        <f>IF(C269="","",IFERROR(INDEX(lst_JobName,MATCH(C269&amp;"",lst_Jobs,0)),""))</f>
        <v/>
      </c>
      <c r="F269" s="22" t="n"/>
      <c r="G269" s="22" t="n"/>
      <c r="H269" s="22" t="n"/>
      <c r="I269" s="22" t="n"/>
      <c r="J269" s="22" t="n"/>
      <c r="K269" s="28">
        <f>IF(C269="","",COUNTIFS(tbl_Finance[Job Number],C269&amp;"",tbl_Finance[Ex GST],"&lt;&gt;"))</f>
        <v/>
      </c>
      <c r="L269" s="27">
        <f>IF(C269="","",SUMIFS(tbl_Finance[Ex GST],tbl_Finance[Job Number],C269&amp;""))</f>
        <v/>
      </c>
      <c r="M269" s="27">
        <f>IF(C269="","",SUMIFS(tbl_Finance[Ex GST],tbl_Finance[Job Number],C269&amp;"",tbl_Finance[Xero Invoice No],"&lt;&gt;"))</f>
        <v/>
      </c>
      <c r="N269" s="27">
        <f>IF(C269="","",L269-M269)</f>
        <v/>
      </c>
      <c r="O269" s="24" t="n"/>
      <c r="P269" s="27">
        <f>IF(C269="","",IF(O269="",0,MAX(0,O269-L269)))</f>
        <v/>
      </c>
      <c r="Q269" s="26">
        <f>IF(C269="","",IF(K269=0,"not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R269" s="22" t="n"/>
      <c r="S269" s="22" t="n"/>
      <c r="T269" s="26">
        <f>IF(S269="","",HYPERLINK(IF(LEFT(S269,4)="http",S269,set_QwilrBase&amp;S269),"Open quote"))</f>
        <v/>
      </c>
      <c r="U269" s="71" t="n"/>
      <c r="V269" s="22" t="n"/>
      <c r="W269" s="22" t="n"/>
    </row>
    <row r="270" ht="15" customHeight="1">
      <c r="A270" s="70">
        <f>IF(C270="","",IFERROR(IF(SUMPRODUCT(MAX((tbl_Finance[Job Number]&amp;""=C270&amp;"")*(tbl_Finance[Xero Invoice No]&lt;&gt;"")*tbl_Finance[Date]))=0,"",SUMPRODUCT(MAX((tbl_Finance[Job Number]&amp;""=C270&amp;"")*(tbl_Finance[Xero Invoice No]&lt;&gt;"")*tbl_Finance[Date]))),""))</f>
        <v/>
      </c>
      <c r="B270" s="26">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2" t="n"/>
      <c r="D270" s="26">
        <f>IF(C270="","",IF(COUNTIF(lst_Jobs,C270&amp;"")&gt;0,"OK","CHECK"))</f>
        <v/>
      </c>
      <c r="E270" s="26">
        <f>IF(C270="","",IFERROR(INDEX(lst_JobName,MATCH(C270&amp;"",lst_Jobs,0)),""))</f>
        <v/>
      </c>
      <c r="F270" s="22" t="n"/>
      <c r="G270" s="22" t="n"/>
      <c r="H270" s="22" t="n"/>
      <c r="I270" s="22" t="n"/>
      <c r="J270" s="22" t="n"/>
      <c r="K270" s="28">
        <f>IF(C270="","",COUNTIFS(tbl_Finance[Job Number],C270&amp;"",tbl_Finance[Ex GST],"&lt;&gt;"))</f>
        <v/>
      </c>
      <c r="L270" s="27">
        <f>IF(C270="","",SUMIFS(tbl_Finance[Ex GST],tbl_Finance[Job Number],C270&amp;""))</f>
        <v/>
      </c>
      <c r="M270" s="27">
        <f>IF(C270="","",SUMIFS(tbl_Finance[Ex GST],tbl_Finance[Job Number],C270&amp;"",tbl_Finance[Xero Invoice No],"&lt;&gt;"))</f>
        <v/>
      </c>
      <c r="N270" s="27">
        <f>IF(C270="","",L270-M270)</f>
        <v/>
      </c>
      <c r="O270" s="24" t="n"/>
      <c r="P270" s="27">
        <f>IF(C270="","",IF(O270="",0,MAX(0,O270-L270)))</f>
        <v/>
      </c>
      <c r="Q270" s="26">
        <f>IF(C270="","",IF(K270=0,"not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R270" s="22" t="n"/>
      <c r="S270" s="22" t="n"/>
      <c r="T270" s="26">
        <f>IF(S270="","",HYPERLINK(IF(LEFT(S270,4)="http",S270,set_QwilrBase&amp;S270),"Open quote"))</f>
        <v/>
      </c>
      <c r="U270" s="71" t="n"/>
      <c r="V270" s="22" t="n"/>
      <c r="W270" s="22" t="n"/>
    </row>
    <row r="271" ht="15" customHeight="1">
      <c r="A271" s="70">
        <f>IF(C271="","",IFERROR(IF(SUMPRODUCT(MAX((tbl_Finance[Job Number]&amp;""=C271&amp;"")*(tbl_Finance[Xero Invoice No]&lt;&gt;"")*tbl_Finance[Date]))=0,"",SUMPRODUCT(MAX((tbl_Finance[Job Number]&amp;""=C271&amp;"")*(tbl_Finance[Xero Invoice No]&lt;&gt;"")*tbl_Finance[Date]))),""))</f>
        <v/>
      </c>
      <c r="B271" s="26">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2" t="n"/>
      <c r="D271" s="26">
        <f>IF(C271="","",IF(COUNTIF(lst_Jobs,C271&amp;"")&gt;0,"OK","CHECK"))</f>
        <v/>
      </c>
      <c r="E271" s="26">
        <f>IF(C271="","",IFERROR(INDEX(lst_JobName,MATCH(C271&amp;"",lst_Jobs,0)),""))</f>
        <v/>
      </c>
      <c r="F271" s="22" t="n"/>
      <c r="G271" s="22" t="n"/>
      <c r="H271" s="22" t="n"/>
      <c r="I271" s="22" t="n"/>
      <c r="J271" s="22" t="n"/>
      <c r="K271" s="28">
        <f>IF(C271="","",COUNTIFS(tbl_Finance[Job Number],C271&amp;"",tbl_Finance[Ex GST],"&lt;&gt;"))</f>
        <v/>
      </c>
      <c r="L271" s="27">
        <f>IF(C271="","",SUMIFS(tbl_Finance[Ex GST],tbl_Finance[Job Number],C271&amp;""))</f>
        <v/>
      </c>
      <c r="M271" s="27">
        <f>IF(C271="","",SUMIFS(tbl_Finance[Ex GST],tbl_Finance[Job Number],C271&amp;"",tbl_Finance[Xero Invoice No],"&lt;&gt;"))</f>
        <v/>
      </c>
      <c r="N271" s="27">
        <f>IF(C271="","",L271-M271)</f>
        <v/>
      </c>
      <c r="O271" s="24" t="n"/>
      <c r="P271" s="27">
        <f>IF(C271="","",IF(O271="",0,MAX(0,O271-L271)))</f>
        <v/>
      </c>
      <c r="Q271" s="26">
        <f>IF(C271="","",IF(K271=0,"not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R271" s="22" t="n"/>
      <c r="S271" s="22" t="n"/>
      <c r="T271" s="26">
        <f>IF(S271="","",HYPERLINK(IF(LEFT(S271,4)="http",S271,set_QwilrBase&amp;S271),"Open quote"))</f>
        <v/>
      </c>
      <c r="U271" s="71" t="n"/>
      <c r="V271" s="22" t="n"/>
      <c r="W271" s="22" t="n"/>
    </row>
    <row r="272" ht="15" customHeight="1">
      <c r="A272" s="70">
        <f>IF(C272="","",IFERROR(IF(SUMPRODUCT(MAX((tbl_Finance[Job Number]&amp;""=C272&amp;"")*(tbl_Finance[Xero Invoice No]&lt;&gt;"")*tbl_Finance[Date]))=0,"",SUMPRODUCT(MAX((tbl_Finance[Job Number]&amp;""=C272&amp;"")*(tbl_Finance[Xero Invoice No]&lt;&gt;"")*tbl_Finance[Date]))),""))</f>
        <v/>
      </c>
      <c r="B272" s="26">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2" t="n"/>
      <c r="D272" s="26">
        <f>IF(C272="","",IF(COUNTIF(lst_Jobs,C272&amp;"")&gt;0,"OK","CHECK"))</f>
        <v/>
      </c>
      <c r="E272" s="26">
        <f>IF(C272="","",IFERROR(INDEX(lst_JobName,MATCH(C272&amp;"",lst_Jobs,0)),""))</f>
        <v/>
      </c>
      <c r="F272" s="22" t="n"/>
      <c r="G272" s="22" t="n"/>
      <c r="H272" s="22" t="n"/>
      <c r="I272" s="22" t="n"/>
      <c r="J272" s="22" t="n"/>
      <c r="K272" s="28">
        <f>IF(C272="","",COUNTIFS(tbl_Finance[Job Number],C272&amp;"",tbl_Finance[Ex GST],"&lt;&gt;"))</f>
        <v/>
      </c>
      <c r="L272" s="27">
        <f>IF(C272="","",SUMIFS(tbl_Finance[Ex GST],tbl_Finance[Job Number],C272&amp;""))</f>
        <v/>
      </c>
      <c r="M272" s="27">
        <f>IF(C272="","",SUMIFS(tbl_Finance[Ex GST],tbl_Finance[Job Number],C272&amp;"",tbl_Finance[Xero Invoice No],"&lt;&gt;"))</f>
        <v/>
      </c>
      <c r="N272" s="27">
        <f>IF(C272="","",L272-M272)</f>
        <v/>
      </c>
      <c r="O272" s="24" t="n"/>
      <c r="P272" s="27">
        <f>IF(C272="","",IF(O272="",0,MAX(0,O272-L272)))</f>
        <v/>
      </c>
      <c r="Q272" s="26">
        <f>IF(C272="","",IF(K272=0,"not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R272" s="22" t="n"/>
      <c r="S272" s="22" t="n"/>
      <c r="T272" s="26">
        <f>IF(S272="","",HYPERLINK(IF(LEFT(S272,4)="http",S272,set_QwilrBase&amp;S272),"Open quote"))</f>
        <v/>
      </c>
      <c r="U272" s="71" t="n"/>
      <c r="V272" s="22" t="n"/>
      <c r="W272" s="22" t="n"/>
    </row>
    <row r="273" ht="15" customHeight="1">
      <c r="A273" s="70">
        <f>IF(C273="","",IFERROR(IF(SUMPRODUCT(MAX((tbl_Finance[Job Number]&amp;""=C273&amp;"")*(tbl_Finance[Xero Invoice No]&lt;&gt;"")*tbl_Finance[Date]))=0,"",SUMPRODUCT(MAX((tbl_Finance[Job Number]&amp;""=C273&amp;"")*(tbl_Finance[Xero Invoice No]&lt;&gt;"")*tbl_Finance[Date]))),""))</f>
        <v/>
      </c>
      <c r="B273" s="26">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2" t="n"/>
      <c r="D273" s="26">
        <f>IF(C273="","",IF(COUNTIF(lst_Jobs,C273&amp;"")&gt;0,"OK","CHECK"))</f>
        <v/>
      </c>
      <c r="E273" s="26">
        <f>IF(C273="","",IFERROR(INDEX(lst_JobName,MATCH(C273&amp;"",lst_Jobs,0)),""))</f>
        <v/>
      </c>
      <c r="F273" s="22" t="n"/>
      <c r="G273" s="22" t="n"/>
      <c r="H273" s="22" t="n"/>
      <c r="I273" s="22" t="n"/>
      <c r="J273" s="22" t="n"/>
      <c r="K273" s="28">
        <f>IF(C273="","",COUNTIFS(tbl_Finance[Job Number],C273&amp;"",tbl_Finance[Ex GST],"&lt;&gt;"))</f>
        <v/>
      </c>
      <c r="L273" s="27">
        <f>IF(C273="","",SUMIFS(tbl_Finance[Ex GST],tbl_Finance[Job Number],C273&amp;""))</f>
        <v/>
      </c>
      <c r="M273" s="27">
        <f>IF(C273="","",SUMIFS(tbl_Finance[Ex GST],tbl_Finance[Job Number],C273&amp;"",tbl_Finance[Xero Invoice No],"&lt;&gt;"))</f>
        <v/>
      </c>
      <c r="N273" s="27">
        <f>IF(C273="","",L273-M273)</f>
        <v/>
      </c>
      <c r="O273" s="24" t="n"/>
      <c r="P273" s="27">
        <f>IF(C273="","",IF(O273="",0,MAX(0,O273-L273)))</f>
        <v/>
      </c>
      <c r="Q273" s="26">
        <f>IF(C273="","",IF(K273=0,"not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R273" s="22" t="n"/>
      <c r="S273" s="22" t="n"/>
      <c r="T273" s="26">
        <f>IF(S273="","",HYPERLINK(IF(LEFT(S273,4)="http",S273,set_QwilrBase&amp;S273),"Open quote"))</f>
        <v/>
      </c>
      <c r="U273" s="71" t="n"/>
      <c r="V273" s="22" t="n"/>
      <c r="W273" s="22" t="n"/>
    </row>
    <row r="274" ht="15" customHeight="1">
      <c r="A274" s="70">
        <f>IF(C274="","",IFERROR(IF(SUMPRODUCT(MAX((tbl_Finance[Job Number]&amp;""=C274&amp;"")*(tbl_Finance[Xero Invoice No]&lt;&gt;"")*tbl_Finance[Date]))=0,"",SUMPRODUCT(MAX((tbl_Finance[Job Number]&amp;""=C274&amp;"")*(tbl_Finance[Xero Invoice No]&lt;&gt;"")*tbl_Finance[Date]))),""))</f>
        <v/>
      </c>
      <c r="B274" s="26">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2" t="n"/>
      <c r="D274" s="26">
        <f>IF(C274="","",IF(COUNTIF(lst_Jobs,C274&amp;"")&gt;0,"OK","CHECK"))</f>
        <v/>
      </c>
      <c r="E274" s="26">
        <f>IF(C274="","",IFERROR(INDEX(lst_JobName,MATCH(C274&amp;"",lst_Jobs,0)),""))</f>
        <v/>
      </c>
      <c r="F274" s="22" t="n"/>
      <c r="G274" s="22" t="n"/>
      <c r="H274" s="22" t="n"/>
      <c r="I274" s="22" t="n"/>
      <c r="J274" s="22" t="n"/>
      <c r="K274" s="28">
        <f>IF(C274="","",COUNTIFS(tbl_Finance[Job Number],C274&amp;"",tbl_Finance[Ex GST],"&lt;&gt;"))</f>
        <v/>
      </c>
      <c r="L274" s="27">
        <f>IF(C274="","",SUMIFS(tbl_Finance[Ex GST],tbl_Finance[Job Number],C274&amp;""))</f>
        <v/>
      </c>
      <c r="M274" s="27">
        <f>IF(C274="","",SUMIFS(tbl_Finance[Ex GST],tbl_Finance[Job Number],C274&amp;"",tbl_Finance[Xero Invoice No],"&lt;&gt;"))</f>
        <v/>
      </c>
      <c r="N274" s="27">
        <f>IF(C274="","",L274-M274)</f>
        <v/>
      </c>
      <c r="O274" s="24" t="n"/>
      <c r="P274" s="27">
        <f>IF(C274="","",IF(O274="",0,MAX(0,O274-L274)))</f>
        <v/>
      </c>
      <c r="Q274" s="26">
        <f>IF(C274="","",IF(K274=0,"not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R274" s="22" t="n"/>
      <c r="S274" s="22" t="n"/>
      <c r="T274" s="26">
        <f>IF(S274="","",HYPERLINK(IF(LEFT(S274,4)="http",S274,set_QwilrBase&amp;S274),"Open quote"))</f>
        <v/>
      </c>
      <c r="U274" s="71" t="n"/>
      <c r="V274" s="22" t="n"/>
      <c r="W274" s="22" t="n"/>
    </row>
    <row r="275" ht="15" customHeight="1">
      <c r="A275" s="70">
        <f>IF(C275="","",IFERROR(IF(SUMPRODUCT(MAX((tbl_Finance[Job Number]&amp;""=C275&amp;"")*(tbl_Finance[Xero Invoice No]&lt;&gt;"")*tbl_Finance[Date]))=0,"",SUMPRODUCT(MAX((tbl_Finance[Job Number]&amp;""=C275&amp;"")*(tbl_Finance[Xero Invoice No]&lt;&gt;"")*tbl_Finance[Date]))),""))</f>
        <v/>
      </c>
      <c r="B275" s="26">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2" t="n"/>
      <c r="D275" s="26">
        <f>IF(C275="","",IF(COUNTIF(lst_Jobs,C275&amp;"")&gt;0,"OK","CHECK"))</f>
        <v/>
      </c>
      <c r="E275" s="26">
        <f>IF(C275="","",IFERROR(INDEX(lst_JobName,MATCH(C275&amp;"",lst_Jobs,0)),""))</f>
        <v/>
      </c>
      <c r="F275" s="22" t="n"/>
      <c r="G275" s="22" t="n"/>
      <c r="H275" s="22" t="n"/>
      <c r="I275" s="22" t="n"/>
      <c r="J275" s="22" t="n"/>
      <c r="K275" s="28">
        <f>IF(C275="","",COUNTIFS(tbl_Finance[Job Number],C275&amp;"",tbl_Finance[Ex GST],"&lt;&gt;"))</f>
        <v/>
      </c>
      <c r="L275" s="27">
        <f>IF(C275="","",SUMIFS(tbl_Finance[Ex GST],tbl_Finance[Job Number],C275&amp;""))</f>
        <v/>
      </c>
      <c r="M275" s="27">
        <f>IF(C275="","",SUMIFS(tbl_Finance[Ex GST],tbl_Finance[Job Number],C275&amp;"",tbl_Finance[Xero Invoice No],"&lt;&gt;"))</f>
        <v/>
      </c>
      <c r="N275" s="27">
        <f>IF(C275="","",L275-M275)</f>
        <v/>
      </c>
      <c r="O275" s="24" t="n"/>
      <c r="P275" s="27">
        <f>IF(C275="","",IF(O275="",0,MAX(0,O275-L275)))</f>
        <v/>
      </c>
      <c r="Q275" s="26">
        <f>IF(C275="","",IF(K275=0,"not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R275" s="22" t="n"/>
      <c r="S275" s="22" t="n"/>
      <c r="T275" s="26">
        <f>IF(S275="","",HYPERLINK(IF(LEFT(S275,4)="http",S275,set_QwilrBase&amp;S275),"Open quote"))</f>
        <v/>
      </c>
      <c r="U275" s="71" t="n"/>
      <c r="V275" s="22" t="n"/>
      <c r="W275" s="22" t="n"/>
    </row>
    <row r="276" ht="15" customHeight="1">
      <c r="A276" s="70">
        <f>IF(C276="","",IFERROR(IF(SUMPRODUCT(MAX((tbl_Finance[Job Number]&amp;""=C276&amp;"")*(tbl_Finance[Xero Invoice No]&lt;&gt;"")*tbl_Finance[Date]))=0,"",SUMPRODUCT(MAX((tbl_Finance[Job Number]&amp;""=C276&amp;"")*(tbl_Finance[Xero Invoice No]&lt;&gt;"")*tbl_Finance[Date]))),""))</f>
        <v/>
      </c>
      <c r="B276" s="26">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2" t="n"/>
      <c r="D276" s="26">
        <f>IF(C276="","",IF(COUNTIF(lst_Jobs,C276&amp;"")&gt;0,"OK","CHECK"))</f>
        <v/>
      </c>
      <c r="E276" s="26">
        <f>IF(C276="","",IFERROR(INDEX(lst_JobName,MATCH(C276&amp;"",lst_Jobs,0)),""))</f>
        <v/>
      </c>
      <c r="F276" s="22" t="n"/>
      <c r="G276" s="22" t="n"/>
      <c r="H276" s="22" t="n"/>
      <c r="I276" s="22" t="n"/>
      <c r="J276" s="22" t="n"/>
      <c r="K276" s="28">
        <f>IF(C276="","",COUNTIFS(tbl_Finance[Job Number],C276&amp;"",tbl_Finance[Ex GST],"&lt;&gt;"))</f>
        <v/>
      </c>
      <c r="L276" s="27">
        <f>IF(C276="","",SUMIFS(tbl_Finance[Ex GST],tbl_Finance[Job Number],C276&amp;""))</f>
        <v/>
      </c>
      <c r="M276" s="27">
        <f>IF(C276="","",SUMIFS(tbl_Finance[Ex GST],tbl_Finance[Job Number],C276&amp;"",tbl_Finance[Xero Invoice No],"&lt;&gt;"))</f>
        <v/>
      </c>
      <c r="N276" s="27">
        <f>IF(C276="","",L276-M276)</f>
        <v/>
      </c>
      <c r="O276" s="24" t="n"/>
      <c r="P276" s="27">
        <f>IF(C276="","",IF(O276="",0,MAX(0,O276-L276)))</f>
        <v/>
      </c>
      <c r="Q276" s="26">
        <f>IF(C276="","",IF(K276=0,"not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R276" s="22" t="n"/>
      <c r="S276" s="22" t="n"/>
      <c r="T276" s="26">
        <f>IF(S276="","",HYPERLINK(IF(LEFT(S276,4)="http",S276,set_QwilrBase&amp;S276),"Open quote"))</f>
        <v/>
      </c>
      <c r="U276" s="71" t="n"/>
      <c r="V276" s="22" t="n"/>
      <c r="W276" s="22" t="n"/>
    </row>
    <row r="277" ht="15" customHeight="1">
      <c r="A277" s="70">
        <f>IF(C277="","",IFERROR(IF(SUMPRODUCT(MAX((tbl_Finance[Job Number]&amp;""=C277&amp;"")*(tbl_Finance[Xero Invoice No]&lt;&gt;"")*tbl_Finance[Date]))=0,"",SUMPRODUCT(MAX((tbl_Finance[Job Number]&amp;""=C277&amp;"")*(tbl_Finance[Xero Invoice No]&lt;&gt;"")*tbl_Finance[Date]))),""))</f>
        <v/>
      </c>
      <c r="B277" s="26">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2" t="n"/>
      <c r="D277" s="26">
        <f>IF(C277="","",IF(COUNTIF(lst_Jobs,C277&amp;"")&gt;0,"OK","CHECK"))</f>
        <v/>
      </c>
      <c r="E277" s="26">
        <f>IF(C277="","",IFERROR(INDEX(lst_JobName,MATCH(C277&amp;"",lst_Jobs,0)),""))</f>
        <v/>
      </c>
      <c r="F277" s="22" t="n"/>
      <c r="G277" s="22" t="n"/>
      <c r="H277" s="22" t="n"/>
      <c r="I277" s="22" t="n"/>
      <c r="J277" s="22" t="n"/>
      <c r="K277" s="28">
        <f>IF(C277="","",COUNTIFS(tbl_Finance[Job Number],C277&amp;"",tbl_Finance[Ex GST],"&lt;&gt;"))</f>
        <v/>
      </c>
      <c r="L277" s="27">
        <f>IF(C277="","",SUMIFS(tbl_Finance[Ex GST],tbl_Finance[Job Number],C277&amp;""))</f>
        <v/>
      </c>
      <c r="M277" s="27">
        <f>IF(C277="","",SUMIFS(tbl_Finance[Ex GST],tbl_Finance[Job Number],C277&amp;"",tbl_Finance[Xero Invoice No],"&lt;&gt;"))</f>
        <v/>
      </c>
      <c r="N277" s="27">
        <f>IF(C277="","",L277-M277)</f>
        <v/>
      </c>
      <c r="O277" s="24" t="n"/>
      <c r="P277" s="27">
        <f>IF(C277="","",IF(O277="",0,MAX(0,O277-L277)))</f>
        <v/>
      </c>
      <c r="Q277" s="26">
        <f>IF(C277="","",IF(K277=0,"not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R277" s="22" t="n"/>
      <c r="S277" s="22" t="n"/>
      <c r="T277" s="26">
        <f>IF(S277="","",HYPERLINK(IF(LEFT(S277,4)="http",S277,set_QwilrBase&amp;S277),"Open quote"))</f>
        <v/>
      </c>
      <c r="U277" s="71" t="n"/>
      <c r="V277" s="22" t="n"/>
      <c r="W277" s="22" t="n"/>
    </row>
    <row r="278" ht="15" customHeight="1">
      <c r="A278" s="70">
        <f>IF(C278="","",IFERROR(IF(SUMPRODUCT(MAX((tbl_Finance[Job Number]&amp;""=C278&amp;"")*(tbl_Finance[Xero Invoice No]&lt;&gt;"")*tbl_Finance[Date]))=0,"",SUMPRODUCT(MAX((tbl_Finance[Job Number]&amp;""=C278&amp;"")*(tbl_Finance[Xero Invoice No]&lt;&gt;"")*tbl_Finance[Date]))),""))</f>
        <v/>
      </c>
      <c r="B278" s="26">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2" t="n"/>
      <c r="D278" s="26">
        <f>IF(C278="","",IF(COUNTIF(lst_Jobs,C278&amp;"")&gt;0,"OK","CHECK"))</f>
        <v/>
      </c>
      <c r="E278" s="26">
        <f>IF(C278="","",IFERROR(INDEX(lst_JobName,MATCH(C278&amp;"",lst_Jobs,0)),""))</f>
        <v/>
      </c>
      <c r="F278" s="22" t="n"/>
      <c r="G278" s="22" t="n"/>
      <c r="H278" s="22" t="n"/>
      <c r="I278" s="22" t="n"/>
      <c r="J278" s="22" t="n"/>
      <c r="K278" s="28">
        <f>IF(C278="","",COUNTIFS(tbl_Finance[Job Number],C278&amp;"",tbl_Finance[Ex GST],"&lt;&gt;"))</f>
        <v/>
      </c>
      <c r="L278" s="27">
        <f>IF(C278="","",SUMIFS(tbl_Finance[Ex GST],tbl_Finance[Job Number],C278&amp;""))</f>
        <v/>
      </c>
      <c r="M278" s="27">
        <f>IF(C278="","",SUMIFS(tbl_Finance[Ex GST],tbl_Finance[Job Number],C278&amp;"",tbl_Finance[Xero Invoice No],"&lt;&gt;"))</f>
        <v/>
      </c>
      <c r="N278" s="27">
        <f>IF(C278="","",L278-M278)</f>
        <v/>
      </c>
      <c r="O278" s="24" t="n"/>
      <c r="P278" s="27">
        <f>IF(C278="","",IF(O278="",0,MAX(0,O278-L278)))</f>
        <v/>
      </c>
      <c r="Q278" s="26">
        <f>IF(C278="","",IF(K278=0,"not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R278" s="22" t="n"/>
      <c r="S278" s="22" t="n"/>
      <c r="T278" s="26">
        <f>IF(S278="","",HYPERLINK(IF(LEFT(S278,4)="http",S278,set_QwilrBase&amp;S278),"Open quote"))</f>
        <v/>
      </c>
      <c r="U278" s="71" t="n"/>
      <c r="V278" s="22" t="n"/>
      <c r="W278" s="22" t="n"/>
    </row>
    <row r="279" ht="15" customHeight="1">
      <c r="A279" s="70">
        <f>IF(C279="","",IFERROR(IF(SUMPRODUCT(MAX((tbl_Finance[Job Number]&amp;""=C279&amp;"")*(tbl_Finance[Xero Invoice No]&lt;&gt;"")*tbl_Finance[Date]))=0,"",SUMPRODUCT(MAX((tbl_Finance[Job Number]&amp;""=C279&amp;"")*(tbl_Finance[Xero Invoice No]&lt;&gt;"")*tbl_Finance[Date]))),""))</f>
        <v/>
      </c>
      <c r="B279" s="26">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2" t="n"/>
      <c r="D279" s="26">
        <f>IF(C279="","",IF(COUNTIF(lst_Jobs,C279&amp;"")&gt;0,"OK","CHECK"))</f>
        <v/>
      </c>
      <c r="E279" s="26">
        <f>IF(C279="","",IFERROR(INDEX(lst_JobName,MATCH(C279&amp;"",lst_Jobs,0)),""))</f>
        <v/>
      </c>
      <c r="F279" s="22" t="n"/>
      <c r="G279" s="22" t="n"/>
      <c r="H279" s="22" t="n"/>
      <c r="I279" s="22" t="n"/>
      <c r="J279" s="22" t="n"/>
      <c r="K279" s="28">
        <f>IF(C279="","",COUNTIFS(tbl_Finance[Job Number],C279&amp;"",tbl_Finance[Ex GST],"&lt;&gt;"))</f>
        <v/>
      </c>
      <c r="L279" s="27">
        <f>IF(C279="","",SUMIFS(tbl_Finance[Ex GST],tbl_Finance[Job Number],C279&amp;""))</f>
        <v/>
      </c>
      <c r="M279" s="27">
        <f>IF(C279="","",SUMIFS(tbl_Finance[Ex GST],tbl_Finance[Job Number],C279&amp;"",tbl_Finance[Xero Invoice No],"&lt;&gt;"))</f>
        <v/>
      </c>
      <c r="N279" s="27">
        <f>IF(C279="","",L279-M279)</f>
        <v/>
      </c>
      <c r="O279" s="24" t="n"/>
      <c r="P279" s="27">
        <f>IF(C279="","",IF(O279="",0,MAX(0,O279-L279)))</f>
        <v/>
      </c>
      <c r="Q279" s="26">
        <f>IF(C279="","",IF(K279=0,"not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R279" s="22" t="n"/>
      <c r="S279" s="22" t="n"/>
      <c r="T279" s="26">
        <f>IF(S279="","",HYPERLINK(IF(LEFT(S279,4)="http",S279,set_QwilrBase&amp;S279),"Open quote"))</f>
        <v/>
      </c>
      <c r="U279" s="71" t="n"/>
      <c r="V279" s="22" t="n"/>
      <c r="W279" s="22" t="n"/>
    </row>
    <row r="280" ht="15" customHeight="1">
      <c r="A280" s="70">
        <f>IF(C280="","",IFERROR(IF(SUMPRODUCT(MAX((tbl_Finance[Job Number]&amp;""=C280&amp;"")*(tbl_Finance[Xero Invoice No]&lt;&gt;"")*tbl_Finance[Date]))=0,"",SUMPRODUCT(MAX((tbl_Finance[Job Number]&amp;""=C280&amp;"")*(tbl_Finance[Xero Invoice No]&lt;&gt;"")*tbl_Finance[Date]))),""))</f>
        <v/>
      </c>
      <c r="B280" s="26">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2" t="n"/>
      <c r="D280" s="26">
        <f>IF(C280="","",IF(COUNTIF(lst_Jobs,C280&amp;"")&gt;0,"OK","CHECK"))</f>
        <v/>
      </c>
      <c r="E280" s="26">
        <f>IF(C280="","",IFERROR(INDEX(lst_JobName,MATCH(C280&amp;"",lst_Jobs,0)),""))</f>
        <v/>
      </c>
      <c r="F280" s="22" t="n"/>
      <c r="G280" s="22" t="n"/>
      <c r="H280" s="22" t="n"/>
      <c r="I280" s="22" t="n"/>
      <c r="J280" s="22" t="n"/>
      <c r="K280" s="28">
        <f>IF(C280="","",COUNTIFS(tbl_Finance[Job Number],C280&amp;"",tbl_Finance[Ex GST],"&lt;&gt;"))</f>
        <v/>
      </c>
      <c r="L280" s="27">
        <f>IF(C280="","",SUMIFS(tbl_Finance[Ex GST],tbl_Finance[Job Number],C280&amp;""))</f>
        <v/>
      </c>
      <c r="M280" s="27">
        <f>IF(C280="","",SUMIFS(tbl_Finance[Ex GST],tbl_Finance[Job Number],C280&amp;"",tbl_Finance[Xero Invoice No],"&lt;&gt;"))</f>
        <v/>
      </c>
      <c r="N280" s="27">
        <f>IF(C280="","",L280-M280)</f>
        <v/>
      </c>
      <c r="O280" s="24" t="n"/>
      <c r="P280" s="27">
        <f>IF(C280="","",IF(O280="",0,MAX(0,O280-L280)))</f>
        <v/>
      </c>
      <c r="Q280" s="26">
        <f>IF(C280="","",IF(K280=0,"not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R280" s="22" t="n"/>
      <c r="S280" s="22" t="n"/>
      <c r="T280" s="26">
        <f>IF(S280="","",HYPERLINK(IF(LEFT(S280,4)="http",S280,set_QwilrBase&amp;S280),"Open quote"))</f>
        <v/>
      </c>
      <c r="U280" s="71" t="n"/>
      <c r="V280" s="22" t="n"/>
      <c r="W280" s="22" t="n"/>
    </row>
    <row r="281" ht="15" customHeight="1">
      <c r="A281" s="70">
        <f>IF(C281="","",IFERROR(IF(SUMPRODUCT(MAX((tbl_Finance[Job Number]&amp;""=C281&amp;"")*(tbl_Finance[Xero Invoice No]&lt;&gt;"")*tbl_Finance[Date]))=0,"",SUMPRODUCT(MAX((tbl_Finance[Job Number]&amp;""=C281&amp;"")*(tbl_Finance[Xero Invoice No]&lt;&gt;"")*tbl_Finance[Date]))),""))</f>
        <v/>
      </c>
      <c r="B281" s="26">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2" t="n"/>
      <c r="D281" s="26">
        <f>IF(C281="","",IF(COUNTIF(lst_Jobs,C281&amp;"")&gt;0,"OK","CHECK"))</f>
        <v/>
      </c>
      <c r="E281" s="26">
        <f>IF(C281="","",IFERROR(INDEX(lst_JobName,MATCH(C281&amp;"",lst_Jobs,0)),""))</f>
        <v/>
      </c>
      <c r="F281" s="22" t="n"/>
      <c r="G281" s="22" t="n"/>
      <c r="H281" s="22" t="n"/>
      <c r="I281" s="22" t="n"/>
      <c r="J281" s="22" t="n"/>
      <c r="K281" s="28">
        <f>IF(C281="","",COUNTIFS(tbl_Finance[Job Number],C281&amp;"",tbl_Finance[Ex GST],"&lt;&gt;"))</f>
        <v/>
      </c>
      <c r="L281" s="27">
        <f>IF(C281="","",SUMIFS(tbl_Finance[Ex GST],tbl_Finance[Job Number],C281&amp;""))</f>
        <v/>
      </c>
      <c r="M281" s="27">
        <f>IF(C281="","",SUMIFS(tbl_Finance[Ex GST],tbl_Finance[Job Number],C281&amp;"",tbl_Finance[Xero Invoice No],"&lt;&gt;"))</f>
        <v/>
      </c>
      <c r="N281" s="27">
        <f>IF(C281="","",L281-M281)</f>
        <v/>
      </c>
      <c r="O281" s="24" t="n"/>
      <c r="P281" s="27">
        <f>IF(C281="","",IF(O281="",0,MAX(0,O281-L281)))</f>
        <v/>
      </c>
      <c r="Q281" s="26">
        <f>IF(C281="","",IF(K281=0,"not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R281" s="22" t="n"/>
      <c r="S281" s="22" t="n"/>
      <c r="T281" s="26">
        <f>IF(S281="","",HYPERLINK(IF(LEFT(S281,4)="http",S281,set_QwilrBase&amp;S281),"Open quote"))</f>
        <v/>
      </c>
      <c r="U281" s="71" t="n"/>
      <c r="V281" s="22" t="n"/>
      <c r="W281" s="22" t="n"/>
    </row>
    <row r="282" ht="15" customHeight="1">
      <c r="A282" s="70">
        <f>IF(C282="","",IFERROR(IF(SUMPRODUCT(MAX((tbl_Finance[Job Number]&amp;""=C282&amp;"")*(tbl_Finance[Xero Invoice No]&lt;&gt;"")*tbl_Finance[Date]))=0,"",SUMPRODUCT(MAX((tbl_Finance[Job Number]&amp;""=C282&amp;"")*(tbl_Finance[Xero Invoice No]&lt;&gt;"")*tbl_Finance[Date]))),""))</f>
        <v/>
      </c>
      <c r="B282" s="26">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2" t="n"/>
      <c r="D282" s="26">
        <f>IF(C282="","",IF(COUNTIF(lst_Jobs,C282&amp;"")&gt;0,"OK","CHECK"))</f>
        <v/>
      </c>
      <c r="E282" s="26">
        <f>IF(C282="","",IFERROR(INDEX(lst_JobName,MATCH(C282&amp;"",lst_Jobs,0)),""))</f>
        <v/>
      </c>
      <c r="F282" s="22" t="n"/>
      <c r="G282" s="22" t="n"/>
      <c r="H282" s="22" t="n"/>
      <c r="I282" s="22" t="n"/>
      <c r="J282" s="22" t="n"/>
      <c r="K282" s="28">
        <f>IF(C282="","",COUNTIFS(tbl_Finance[Job Number],C282&amp;"",tbl_Finance[Ex GST],"&lt;&gt;"))</f>
        <v/>
      </c>
      <c r="L282" s="27">
        <f>IF(C282="","",SUMIFS(tbl_Finance[Ex GST],tbl_Finance[Job Number],C282&amp;""))</f>
        <v/>
      </c>
      <c r="M282" s="27">
        <f>IF(C282="","",SUMIFS(tbl_Finance[Ex GST],tbl_Finance[Job Number],C282&amp;"",tbl_Finance[Xero Invoice No],"&lt;&gt;"))</f>
        <v/>
      </c>
      <c r="N282" s="27">
        <f>IF(C282="","",L282-M282)</f>
        <v/>
      </c>
      <c r="O282" s="24" t="n"/>
      <c r="P282" s="27">
        <f>IF(C282="","",IF(O282="",0,MAX(0,O282-L282)))</f>
        <v/>
      </c>
      <c r="Q282" s="26">
        <f>IF(C282="","",IF(K282=0,"not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R282" s="22" t="n"/>
      <c r="S282" s="22" t="n"/>
      <c r="T282" s="26">
        <f>IF(S282="","",HYPERLINK(IF(LEFT(S282,4)="http",S282,set_QwilrBase&amp;S282),"Open quote"))</f>
        <v/>
      </c>
      <c r="U282" s="71" t="n"/>
      <c r="V282" s="22" t="n"/>
      <c r="W282" s="22" t="n"/>
    </row>
    <row r="283" ht="15" customHeight="1">
      <c r="A283" s="70">
        <f>IF(C283="","",IFERROR(IF(SUMPRODUCT(MAX((tbl_Finance[Job Number]&amp;""=C283&amp;"")*(tbl_Finance[Xero Invoice No]&lt;&gt;"")*tbl_Finance[Date]))=0,"",SUMPRODUCT(MAX((tbl_Finance[Job Number]&amp;""=C283&amp;"")*(tbl_Finance[Xero Invoice No]&lt;&gt;"")*tbl_Finance[Date]))),""))</f>
        <v/>
      </c>
      <c r="B283" s="26">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2" t="n"/>
      <c r="D283" s="26">
        <f>IF(C283="","",IF(COUNTIF(lst_Jobs,C283&amp;"")&gt;0,"OK","CHECK"))</f>
        <v/>
      </c>
      <c r="E283" s="26">
        <f>IF(C283="","",IFERROR(INDEX(lst_JobName,MATCH(C283&amp;"",lst_Jobs,0)),""))</f>
        <v/>
      </c>
      <c r="F283" s="22" t="n"/>
      <c r="G283" s="22" t="n"/>
      <c r="H283" s="22" t="n"/>
      <c r="I283" s="22" t="n"/>
      <c r="J283" s="22" t="n"/>
      <c r="K283" s="28">
        <f>IF(C283="","",COUNTIFS(tbl_Finance[Job Number],C283&amp;"",tbl_Finance[Ex GST],"&lt;&gt;"))</f>
        <v/>
      </c>
      <c r="L283" s="27">
        <f>IF(C283="","",SUMIFS(tbl_Finance[Ex GST],tbl_Finance[Job Number],C283&amp;""))</f>
        <v/>
      </c>
      <c r="M283" s="27">
        <f>IF(C283="","",SUMIFS(tbl_Finance[Ex GST],tbl_Finance[Job Number],C283&amp;"",tbl_Finance[Xero Invoice No],"&lt;&gt;"))</f>
        <v/>
      </c>
      <c r="N283" s="27">
        <f>IF(C283="","",L283-M283)</f>
        <v/>
      </c>
      <c r="O283" s="24" t="n"/>
      <c r="P283" s="27">
        <f>IF(C283="","",IF(O283="",0,MAX(0,O283-L283)))</f>
        <v/>
      </c>
      <c r="Q283" s="26">
        <f>IF(C283="","",IF(K283=0,"not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R283" s="22" t="n"/>
      <c r="S283" s="22" t="n"/>
      <c r="T283" s="26">
        <f>IF(S283="","",HYPERLINK(IF(LEFT(S283,4)="http",S283,set_QwilrBase&amp;S283),"Open quote"))</f>
        <v/>
      </c>
      <c r="U283" s="71" t="n"/>
      <c r="V283" s="22" t="n"/>
      <c r="W283" s="22" t="n"/>
    </row>
    <row r="284" ht="15" customHeight="1">
      <c r="A284" s="70">
        <f>IF(C284="","",IFERROR(IF(SUMPRODUCT(MAX((tbl_Finance[Job Number]&amp;""=C284&amp;"")*(tbl_Finance[Xero Invoice No]&lt;&gt;"")*tbl_Finance[Date]))=0,"",SUMPRODUCT(MAX((tbl_Finance[Job Number]&amp;""=C284&amp;"")*(tbl_Finance[Xero Invoice No]&lt;&gt;"")*tbl_Finance[Date]))),""))</f>
        <v/>
      </c>
      <c r="B284" s="26">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2" t="n"/>
      <c r="D284" s="26">
        <f>IF(C284="","",IF(COUNTIF(lst_Jobs,C284&amp;"")&gt;0,"OK","CHECK"))</f>
        <v/>
      </c>
      <c r="E284" s="26">
        <f>IF(C284="","",IFERROR(INDEX(lst_JobName,MATCH(C284&amp;"",lst_Jobs,0)),""))</f>
        <v/>
      </c>
      <c r="F284" s="22" t="n"/>
      <c r="G284" s="22" t="n"/>
      <c r="H284" s="22" t="n"/>
      <c r="I284" s="22" t="n"/>
      <c r="J284" s="22" t="n"/>
      <c r="K284" s="28">
        <f>IF(C284="","",COUNTIFS(tbl_Finance[Job Number],C284&amp;"",tbl_Finance[Ex GST],"&lt;&gt;"))</f>
        <v/>
      </c>
      <c r="L284" s="27">
        <f>IF(C284="","",SUMIFS(tbl_Finance[Ex GST],tbl_Finance[Job Number],C284&amp;""))</f>
        <v/>
      </c>
      <c r="M284" s="27">
        <f>IF(C284="","",SUMIFS(tbl_Finance[Ex GST],tbl_Finance[Job Number],C284&amp;"",tbl_Finance[Xero Invoice No],"&lt;&gt;"))</f>
        <v/>
      </c>
      <c r="N284" s="27">
        <f>IF(C284="","",L284-M284)</f>
        <v/>
      </c>
      <c r="O284" s="24" t="n"/>
      <c r="P284" s="27">
        <f>IF(C284="","",IF(O284="",0,MAX(0,O284-L284)))</f>
        <v/>
      </c>
      <c r="Q284" s="26">
        <f>IF(C284="","",IF(K284=0,"not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R284" s="22" t="n"/>
      <c r="S284" s="22" t="n"/>
      <c r="T284" s="26">
        <f>IF(S284="","",HYPERLINK(IF(LEFT(S284,4)="http",S284,set_QwilrBase&amp;S284),"Open quote"))</f>
        <v/>
      </c>
      <c r="U284" s="71" t="n"/>
      <c r="V284" s="22" t="n"/>
      <c r="W284" s="22" t="n"/>
    </row>
    <row r="285" ht="15" customHeight="1">
      <c r="A285" s="70">
        <f>IF(C285="","",IFERROR(IF(SUMPRODUCT(MAX((tbl_Finance[Job Number]&amp;""=C285&amp;"")*(tbl_Finance[Xero Invoice No]&lt;&gt;"")*tbl_Finance[Date]))=0,"",SUMPRODUCT(MAX((tbl_Finance[Job Number]&amp;""=C285&amp;"")*(tbl_Finance[Xero Invoice No]&lt;&gt;"")*tbl_Finance[Date]))),""))</f>
        <v/>
      </c>
      <c r="B285" s="26">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2" t="n"/>
      <c r="D285" s="26">
        <f>IF(C285="","",IF(COUNTIF(lst_Jobs,C285&amp;"")&gt;0,"OK","CHECK"))</f>
        <v/>
      </c>
      <c r="E285" s="26">
        <f>IF(C285="","",IFERROR(INDEX(lst_JobName,MATCH(C285&amp;"",lst_Jobs,0)),""))</f>
        <v/>
      </c>
      <c r="F285" s="22" t="n"/>
      <c r="G285" s="22" t="n"/>
      <c r="H285" s="22" t="n"/>
      <c r="I285" s="22" t="n"/>
      <c r="J285" s="22" t="n"/>
      <c r="K285" s="28">
        <f>IF(C285="","",COUNTIFS(tbl_Finance[Job Number],C285&amp;"",tbl_Finance[Ex GST],"&lt;&gt;"))</f>
        <v/>
      </c>
      <c r="L285" s="27">
        <f>IF(C285="","",SUMIFS(tbl_Finance[Ex GST],tbl_Finance[Job Number],C285&amp;""))</f>
        <v/>
      </c>
      <c r="M285" s="27">
        <f>IF(C285="","",SUMIFS(tbl_Finance[Ex GST],tbl_Finance[Job Number],C285&amp;"",tbl_Finance[Xero Invoice No],"&lt;&gt;"))</f>
        <v/>
      </c>
      <c r="N285" s="27">
        <f>IF(C285="","",L285-M285)</f>
        <v/>
      </c>
      <c r="O285" s="24" t="n"/>
      <c r="P285" s="27">
        <f>IF(C285="","",IF(O285="",0,MAX(0,O285-L285)))</f>
        <v/>
      </c>
      <c r="Q285" s="26">
        <f>IF(C285="","",IF(K285=0,"not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R285" s="22" t="n"/>
      <c r="S285" s="22" t="n"/>
      <c r="T285" s="26">
        <f>IF(S285="","",HYPERLINK(IF(LEFT(S285,4)="http",S285,set_QwilrBase&amp;S285),"Open quote"))</f>
        <v/>
      </c>
      <c r="U285" s="71" t="n"/>
      <c r="V285" s="22" t="n"/>
      <c r="W285" s="22" t="n"/>
    </row>
    <row r="286" ht="15" customHeight="1">
      <c r="A286" s="70">
        <f>IF(C286="","",IFERROR(IF(SUMPRODUCT(MAX((tbl_Finance[Job Number]&amp;""=C286&amp;"")*(tbl_Finance[Xero Invoice No]&lt;&gt;"")*tbl_Finance[Date]))=0,"",SUMPRODUCT(MAX((tbl_Finance[Job Number]&amp;""=C286&amp;"")*(tbl_Finance[Xero Invoice No]&lt;&gt;"")*tbl_Finance[Date]))),""))</f>
        <v/>
      </c>
      <c r="B286" s="26">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2" t="n"/>
      <c r="D286" s="26">
        <f>IF(C286="","",IF(COUNTIF(lst_Jobs,C286&amp;"")&gt;0,"OK","CHECK"))</f>
        <v/>
      </c>
      <c r="E286" s="26">
        <f>IF(C286="","",IFERROR(INDEX(lst_JobName,MATCH(C286&amp;"",lst_Jobs,0)),""))</f>
        <v/>
      </c>
      <c r="F286" s="22" t="n"/>
      <c r="G286" s="22" t="n"/>
      <c r="H286" s="22" t="n"/>
      <c r="I286" s="22" t="n"/>
      <c r="J286" s="22" t="n"/>
      <c r="K286" s="28">
        <f>IF(C286="","",COUNTIFS(tbl_Finance[Job Number],C286&amp;"",tbl_Finance[Ex GST],"&lt;&gt;"))</f>
        <v/>
      </c>
      <c r="L286" s="27">
        <f>IF(C286="","",SUMIFS(tbl_Finance[Ex GST],tbl_Finance[Job Number],C286&amp;""))</f>
        <v/>
      </c>
      <c r="M286" s="27">
        <f>IF(C286="","",SUMIFS(tbl_Finance[Ex GST],tbl_Finance[Job Number],C286&amp;"",tbl_Finance[Xero Invoice No],"&lt;&gt;"))</f>
        <v/>
      </c>
      <c r="N286" s="27">
        <f>IF(C286="","",L286-M286)</f>
        <v/>
      </c>
      <c r="O286" s="24" t="n"/>
      <c r="P286" s="27">
        <f>IF(C286="","",IF(O286="",0,MAX(0,O286-L286)))</f>
        <v/>
      </c>
      <c r="Q286" s="26">
        <f>IF(C286="","",IF(K286=0,"not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R286" s="22" t="n"/>
      <c r="S286" s="22" t="n"/>
      <c r="T286" s="26">
        <f>IF(S286="","",HYPERLINK(IF(LEFT(S286,4)="http",S286,set_QwilrBase&amp;S286),"Open quote"))</f>
        <v/>
      </c>
      <c r="U286" s="71" t="n"/>
      <c r="V286" s="22" t="n"/>
      <c r="W286" s="22" t="n"/>
    </row>
    <row r="287" ht="15" customHeight="1">
      <c r="A287" s="70">
        <f>IF(C287="","",IFERROR(IF(SUMPRODUCT(MAX((tbl_Finance[Job Number]&amp;""=C287&amp;"")*(tbl_Finance[Xero Invoice No]&lt;&gt;"")*tbl_Finance[Date]))=0,"",SUMPRODUCT(MAX((tbl_Finance[Job Number]&amp;""=C287&amp;"")*(tbl_Finance[Xero Invoice No]&lt;&gt;"")*tbl_Finance[Date]))),""))</f>
        <v/>
      </c>
      <c r="B287" s="26">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2" t="n"/>
      <c r="D287" s="26">
        <f>IF(C287="","",IF(COUNTIF(lst_Jobs,C287&amp;"")&gt;0,"OK","CHECK"))</f>
        <v/>
      </c>
      <c r="E287" s="26">
        <f>IF(C287="","",IFERROR(INDEX(lst_JobName,MATCH(C287&amp;"",lst_Jobs,0)),""))</f>
        <v/>
      </c>
      <c r="F287" s="22" t="n"/>
      <c r="G287" s="22" t="n"/>
      <c r="H287" s="22" t="n"/>
      <c r="I287" s="22" t="n"/>
      <c r="J287" s="22" t="n"/>
      <c r="K287" s="28">
        <f>IF(C287="","",COUNTIFS(tbl_Finance[Job Number],C287&amp;"",tbl_Finance[Ex GST],"&lt;&gt;"))</f>
        <v/>
      </c>
      <c r="L287" s="27">
        <f>IF(C287="","",SUMIFS(tbl_Finance[Ex GST],tbl_Finance[Job Number],C287&amp;""))</f>
        <v/>
      </c>
      <c r="M287" s="27">
        <f>IF(C287="","",SUMIFS(tbl_Finance[Ex GST],tbl_Finance[Job Number],C287&amp;"",tbl_Finance[Xero Invoice No],"&lt;&gt;"))</f>
        <v/>
      </c>
      <c r="N287" s="27">
        <f>IF(C287="","",L287-M287)</f>
        <v/>
      </c>
      <c r="O287" s="24" t="n"/>
      <c r="P287" s="27">
        <f>IF(C287="","",IF(O287="",0,MAX(0,O287-L287)))</f>
        <v/>
      </c>
      <c r="Q287" s="26">
        <f>IF(C287="","",IF(K287=0,"not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R287" s="22" t="n"/>
      <c r="S287" s="22" t="n"/>
      <c r="T287" s="26">
        <f>IF(S287="","",HYPERLINK(IF(LEFT(S287,4)="http",S287,set_QwilrBase&amp;S287),"Open quote"))</f>
        <v/>
      </c>
      <c r="U287" s="71" t="n"/>
      <c r="V287" s="22" t="n"/>
      <c r="W287" s="22" t="n"/>
    </row>
    <row r="288" ht="15" customHeight="1">
      <c r="A288" s="70">
        <f>IF(C288="","",IFERROR(IF(SUMPRODUCT(MAX((tbl_Finance[Job Number]&amp;""=C288&amp;"")*(tbl_Finance[Xero Invoice No]&lt;&gt;"")*tbl_Finance[Date]))=0,"",SUMPRODUCT(MAX((tbl_Finance[Job Number]&amp;""=C288&amp;"")*(tbl_Finance[Xero Invoice No]&lt;&gt;"")*tbl_Finance[Date]))),""))</f>
        <v/>
      </c>
      <c r="B288" s="26">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2" t="n"/>
      <c r="D288" s="26">
        <f>IF(C288="","",IF(COUNTIF(lst_Jobs,C288&amp;"")&gt;0,"OK","CHECK"))</f>
        <v/>
      </c>
      <c r="E288" s="26">
        <f>IF(C288="","",IFERROR(INDEX(lst_JobName,MATCH(C288&amp;"",lst_Jobs,0)),""))</f>
        <v/>
      </c>
      <c r="F288" s="22" t="n"/>
      <c r="G288" s="22" t="n"/>
      <c r="H288" s="22" t="n"/>
      <c r="I288" s="22" t="n"/>
      <c r="J288" s="22" t="n"/>
      <c r="K288" s="28">
        <f>IF(C288="","",COUNTIFS(tbl_Finance[Job Number],C288&amp;"",tbl_Finance[Ex GST],"&lt;&gt;"))</f>
        <v/>
      </c>
      <c r="L288" s="27">
        <f>IF(C288="","",SUMIFS(tbl_Finance[Ex GST],tbl_Finance[Job Number],C288&amp;""))</f>
        <v/>
      </c>
      <c r="M288" s="27">
        <f>IF(C288="","",SUMIFS(tbl_Finance[Ex GST],tbl_Finance[Job Number],C288&amp;"",tbl_Finance[Xero Invoice No],"&lt;&gt;"))</f>
        <v/>
      </c>
      <c r="N288" s="27">
        <f>IF(C288="","",L288-M288)</f>
        <v/>
      </c>
      <c r="O288" s="24" t="n"/>
      <c r="P288" s="27">
        <f>IF(C288="","",IF(O288="",0,MAX(0,O288-L288)))</f>
        <v/>
      </c>
      <c r="Q288" s="26">
        <f>IF(C288="","",IF(K288=0,"not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R288" s="22" t="n"/>
      <c r="S288" s="22" t="n"/>
      <c r="T288" s="26">
        <f>IF(S288="","",HYPERLINK(IF(LEFT(S288,4)="http",S288,set_QwilrBase&amp;S288),"Open quote"))</f>
        <v/>
      </c>
      <c r="U288" s="71" t="n"/>
      <c r="V288" s="22" t="n"/>
      <c r="W288" s="22" t="n"/>
    </row>
    <row r="289" ht="15" customHeight="1">
      <c r="A289" s="70">
        <f>IF(C289="","",IFERROR(IF(SUMPRODUCT(MAX((tbl_Finance[Job Number]&amp;""=C289&amp;"")*(tbl_Finance[Xero Invoice No]&lt;&gt;"")*tbl_Finance[Date]))=0,"",SUMPRODUCT(MAX((tbl_Finance[Job Number]&amp;""=C289&amp;"")*(tbl_Finance[Xero Invoice No]&lt;&gt;"")*tbl_Finance[Date]))),""))</f>
        <v/>
      </c>
      <c r="B289" s="26">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2" t="n"/>
      <c r="D289" s="26">
        <f>IF(C289="","",IF(COUNTIF(lst_Jobs,C289&amp;"")&gt;0,"OK","CHECK"))</f>
        <v/>
      </c>
      <c r="E289" s="26">
        <f>IF(C289="","",IFERROR(INDEX(lst_JobName,MATCH(C289&amp;"",lst_Jobs,0)),""))</f>
        <v/>
      </c>
      <c r="F289" s="22" t="n"/>
      <c r="G289" s="22" t="n"/>
      <c r="H289" s="22" t="n"/>
      <c r="I289" s="22" t="n"/>
      <c r="J289" s="22" t="n"/>
      <c r="K289" s="28">
        <f>IF(C289="","",COUNTIFS(tbl_Finance[Job Number],C289&amp;"",tbl_Finance[Ex GST],"&lt;&gt;"))</f>
        <v/>
      </c>
      <c r="L289" s="27">
        <f>IF(C289="","",SUMIFS(tbl_Finance[Ex GST],tbl_Finance[Job Number],C289&amp;""))</f>
        <v/>
      </c>
      <c r="M289" s="27">
        <f>IF(C289="","",SUMIFS(tbl_Finance[Ex GST],tbl_Finance[Job Number],C289&amp;"",tbl_Finance[Xero Invoice No],"&lt;&gt;"))</f>
        <v/>
      </c>
      <c r="N289" s="27">
        <f>IF(C289="","",L289-M289)</f>
        <v/>
      </c>
      <c r="O289" s="24" t="n"/>
      <c r="P289" s="27">
        <f>IF(C289="","",IF(O289="",0,MAX(0,O289-L289)))</f>
        <v/>
      </c>
      <c r="Q289" s="26">
        <f>IF(C289="","",IF(K289=0,"not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R289" s="22" t="n"/>
      <c r="S289" s="22" t="n"/>
      <c r="T289" s="26">
        <f>IF(S289="","",HYPERLINK(IF(LEFT(S289,4)="http",S289,set_QwilrBase&amp;S289),"Open quote"))</f>
        <v/>
      </c>
      <c r="U289" s="71" t="n"/>
      <c r="V289" s="22" t="n"/>
      <c r="W289" s="22" t="n"/>
    </row>
    <row r="290" ht="15" customHeight="1">
      <c r="A290" s="70">
        <f>IF(C290="","",IFERROR(IF(SUMPRODUCT(MAX((tbl_Finance[Job Number]&amp;""=C290&amp;"")*(tbl_Finance[Xero Invoice No]&lt;&gt;"")*tbl_Finance[Date]))=0,"",SUMPRODUCT(MAX((tbl_Finance[Job Number]&amp;""=C290&amp;"")*(tbl_Finance[Xero Invoice No]&lt;&gt;"")*tbl_Finance[Date]))),""))</f>
        <v/>
      </c>
      <c r="B290" s="26">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2" t="n"/>
      <c r="D290" s="26">
        <f>IF(C290="","",IF(COUNTIF(lst_Jobs,C290&amp;"")&gt;0,"OK","CHECK"))</f>
        <v/>
      </c>
      <c r="E290" s="26">
        <f>IF(C290="","",IFERROR(INDEX(lst_JobName,MATCH(C290&amp;"",lst_Jobs,0)),""))</f>
        <v/>
      </c>
      <c r="F290" s="22" t="n"/>
      <c r="G290" s="22" t="n"/>
      <c r="H290" s="22" t="n"/>
      <c r="I290" s="22" t="n"/>
      <c r="J290" s="22" t="n"/>
      <c r="K290" s="28">
        <f>IF(C290="","",COUNTIFS(tbl_Finance[Job Number],C290&amp;"",tbl_Finance[Ex GST],"&lt;&gt;"))</f>
        <v/>
      </c>
      <c r="L290" s="27">
        <f>IF(C290="","",SUMIFS(tbl_Finance[Ex GST],tbl_Finance[Job Number],C290&amp;""))</f>
        <v/>
      </c>
      <c r="M290" s="27">
        <f>IF(C290="","",SUMIFS(tbl_Finance[Ex GST],tbl_Finance[Job Number],C290&amp;"",tbl_Finance[Xero Invoice No],"&lt;&gt;"))</f>
        <v/>
      </c>
      <c r="N290" s="27">
        <f>IF(C290="","",L290-M290)</f>
        <v/>
      </c>
      <c r="O290" s="24" t="n"/>
      <c r="P290" s="27">
        <f>IF(C290="","",IF(O290="",0,MAX(0,O290-L290)))</f>
        <v/>
      </c>
      <c r="Q290" s="26">
        <f>IF(C290="","",IF(K290=0,"not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R290" s="22" t="n"/>
      <c r="S290" s="22" t="n"/>
      <c r="T290" s="26">
        <f>IF(S290="","",HYPERLINK(IF(LEFT(S290,4)="http",S290,set_QwilrBase&amp;S290),"Open quote"))</f>
        <v/>
      </c>
      <c r="U290" s="71" t="n"/>
      <c r="V290" s="22" t="n"/>
      <c r="W290" s="22" t="n"/>
    </row>
    <row r="291" ht="15" customHeight="1">
      <c r="A291" s="70">
        <f>IF(C291="","",IFERROR(IF(SUMPRODUCT(MAX((tbl_Finance[Job Number]&amp;""=C291&amp;"")*(tbl_Finance[Xero Invoice No]&lt;&gt;"")*tbl_Finance[Date]))=0,"",SUMPRODUCT(MAX((tbl_Finance[Job Number]&amp;""=C291&amp;"")*(tbl_Finance[Xero Invoice No]&lt;&gt;"")*tbl_Finance[Date]))),""))</f>
        <v/>
      </c>
      <c r="B291" s="26">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2" t="n"/>
      <c r="D291" s="26">
        <f>IF(C291="","",IF(COUNTIF(lst_Jobs,C291&amp;"")&gt;0,"OK","CHECK"))</f>
        <v/>
      </c>
      <c r="E291" s="26">
        <f>IF(C291="","",IFERROR(INDEX(lst_JobName,MATCH(C291&amp;"",lst_Jobs,0)),""))</f>
        <v/>
      </c>
      <c r="F291" s="22" t="n"/>
      <c r="G291" s="22" t="n"/>
      <c r="H291" s="22" t="n"/>
      <c r="I291" s="22" t="n"/>
      <c r="J291" s="22" t="n"/>
      <c r="K291" s="28">
        <f>IF(C291="","",COUNTIFS(tbl_Finance[Job Number],C291&amp;"",tbl_Finance[Ex GST],"&lt;&gt;"))</f>
        <v/>
      </c>
      <c r="L291" s="27">
        <f>IF(C291="","",SUMIFS(tbl_Finance[Ex GST],tbl_Finance[Job Number],C291&amp;""))</f>
        <v/>
      </c>
      <c r="M291" s="27">
        <f>IF(C291="","",SUMIFS(tbl_Finance[Ex GST],tbl_Finance[Job Number],C291&amp;"",tbl_Finance[Xero Invoice No],"&lt;&gt;"))</f>
        <v/>
      </c>
      <c r="N291" s="27">
        <f>IF(C291="","",L291-M291)</f>
        <v/>
      </c>
      <c r="O291" s="24" t="n"/>
      <c r="P291" s="27">
        <f>IF(C291="","",IF(O291="",0,MAX(0,O291-L291)))</f>
        <v/>
      </c>
      <c r="Q291" s="26">
        <f>IF(C291="","",IF(K291=0,"not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R291" s="22" t="n"/>
      <c r="S291" s="22" t="n"/>
      <c r="T291" s="26">
        <f>IF(S291="","",HYPERLINK(IF(LEFT(S291,4)="http",S291,set_QwilrBase&amp;S291),"Open quote"))</f>
        <v/>
      </c>
      <c r="U291" s="71" t="n"/>
      <c r="V291" s="22" t="n"/>
      <c r="W291" s="22" t="n"/>
    </row>
    <row r="292" ht="15" customHeight="1">
      <c r="A292" s="70">
        <f>IF(C292="","",IFERROR(IF(SUMPRODUCT(MAX((tbl_Finance[Job Number]&amp;""=C292&amp;"")*(tbl_Finance[Xero Invoice No]&lt;&gt;"")*tbl_Finance[Date]))=0,"",SUMPRODUCT(MAX((tbl_Finance[Job Number]&amp;""=C292&amp;"")*(tbl_Finance[Xero Invoice No]&lt;&gt;"")*tbl_Finance[Date]))),""))</f>
        <v/>
      </c>
      <c r="B292" s="26">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2" t="n"/>
      <c r="D292" s="26">
        <f>IF(C292="","",IF(COUNTIF(lst_Jobs,C292&amp;"")&gt;0,"OK","CHECK"))</f>
        <v/>
      </c>
      <c r="E292" s="26">
        <f>IF(C292="","",IFERROR(INDEX(lst_JobName,MATCH(C292&amp;"",lst_Jobs,0)),""))</f>
        <v/>
      </c>
      <c r="F292" s="22" t="n"/>
      <c r="G292" s="22" t="n"/>
      <c r="H292" s="22" t="n"/>
      <c r="I292" s="22" t="n"/>
      <c r="J292" s="22" t="n"/>
      <c r="K292" s="28">
        <f>IF(C292="","",COUNTIFS(tbl_Finance[Job Number],C292&amp;"",tbl_Finance[Ex GST],"&lt;&gt;"))</f>
        <v/>
      </c>
      <c r="L292" s="27">
        <f>IF(C292="","",SUMIFS(tbl_Finance[Ex GST],tbl_Finance[Job Number],C292&amp;""))</f>
        <v/>
      </c>
      <c r="M292" s="27">
        <f>IF(C292="","",SUMIFS(tbl_Finance[Ex GST],tbl_Finance[Job Number],C292&amp;"",tbl_Finance[Xero Invoice No],"&lt;&gt;"))</f>
        <v/>
      </c>
      <c r="N292" s="27">
        <f>IF(C292="","",L292-M292)</f>
        <v/>
      </c>
      <c r="O292" s="24" t="n"/>
      <c r="P292" s="27">
        <f>IF(C292="","",IF(O292="",0,MAX(0,O292-L292)))</f>
        <v/>
      </c>
      <c r="Q292" s="26">
        <f>IF(C292="","",IF(K292=0,"not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R292" s="22" t="n"/>
      <c r="S292" s="22" t="n"/>
      <c r="T292" s="26">
        <f>IF(S292="","",HYPERLINK(IF(LEFT(S292,4)="http",S292,set_QwilrBase&amp;S292),"Open quote"))</f>
        <v/>
      </c>
      <c r="U292" s="71" t="n"/>
      <c r="V292" s="22" t="n"/>
      <c r="W292" s="22" t="n"/>
    </row>
    <row r="293" ht="15" customHeight="1">
      <c r="A293" s="70">
        <f>IF(C293="","",IFERROR(IF(SUMPRODUCT(MAX((tbl_Finance[Job Number]&amp;""=C293&amp;"")*(tbl_Finance[Xero Invoice No]&lt;&gt;"")*tbl_Finance[Date]))=0,"",SUMPRODUCT(MAX((tbl_Finance[Job Number]&amp;""=C293&amp;"")*(tbl_Finance[Xero Invoice No]&lt;&gt;"")*tbl_Finance[Date]))),""))</f>
        <v/>
      </c>
      <c r="B293" s="26">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2" t="n"/>
      <c r="D293" s="26">
        <f>IF(C293="","",IF(COUNTIF(lst_Jobs,C293&amp;"")&gt;0,"OK","CHECK"))</f>
        <v/>
      </c>
      <c r="E293" s="26">
        <f>IF(C293="","",IFERROR(INDEX(lst_JobName,MATCH(C293&amp;"",lst_Jobs,0)),""))</f>
        <v/>
      </c>
      <c r="F293" s="22" t="n"/>
      <c r="G293" s="22" t="n"/>
      <c r="H293" s="22" t="n"/>
      <c r="I293" s="22" t="n"/>
      <c r="J293" s="22" t="n"/>
      <c r="K293" s="28">
        <f>IF(C293="","",COUNTIFS(tbl_Finance[Job Number],C293&amp;"",tbl_Finance[Ex GST],"&lt;&gt;"))</f>
        <v/>
      </c>
      <c r="L293" s="27">
        <f>IF(C293="","",SUMIFS(tbl_Finance[Ex GST],tbl_Finance[Job Number],C293&amp;""))</f>
        <v/>
      </c>
      <c r="M293" s="27">
        <f>IF(C293="","",SUMIFS(tbl_Finance[Ex GST],tbl_Finance[Job Number],C293&amp;"",tbl_Finance[Xero Invoice No],"&lt;&gt;"))</f>
        <v/>
      </c>
      <c r="N293" s="27">
        <f>IF(C293="","",L293-M293)</f>
        <v/>
      </c>
      <c r="O293" s="24" t="n"/>
      <c r="P293" s="27">
        <f>IF(C293="","",IF(O293="",0,MAX(0,O293-L293)))</f>
        <v/>
      </c>
      <c r="Q293" s="26">
        <f>IF(C293="","",IF(K293=0,"not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R293" s="22" t="n"/>
      <c r="S293" s="22" t="n"/>
      <c r="T293" s="26">
        <f>IF(S293="","",HYPERLINK(IF(LEFT(S293,4)="http",S293,set_QwilrBase&amp;S293),"Open quote"))</f>
        <v/>
      </c>
      <c r="U293" s="71" t="n"/>
      <c r="V293" s="22" t="n"/>
      <c r="W293" s="22" t="n"/>
    </row>
    <row r="294" ht="15" customHeight="1">
      <c r="A294" s="70">
        <f>IF(C294="","",IFERROR(IF(SUMPRODUCT(MAX((tbl_Finance[Job Number]&amp;""=C294&amp;"")*(tbl_Finance[Xero Invoice No]&lt;&gt;"")*tbl_Finance[Date]))=0,"",SUMPRODUCT(MAX((tbl_Finance[Job Number]&amp;""=C294&amp;"")*(tbl_Finance[Xero Invoice No]&lt;&gt;"")*tbl_Finance[Date]))),""))</f>
        <v/>
      </c>
      <c r="B294" s="26">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2" t="n"/>
      <c r="D294" s="26">
        <f>IF(C294="","",IF(COUNTIF(lst_Jobs,C294&amp;"")&gt;0,"OK","CHECK"))</f>
        <v/>
      </c>
      <c r="E294" s="26">
        <f>IF(C294="","",IFERROR(INDEX(lst_JobName,MATCH(C294&amp;"",lst_Jobs,0)),""))</f>
        <v/>
      </c>
      <c r="F294" s="22" t="n"/>
      <c r="G294" s="22" t="n"/>
      <c r="H294" s="22" t="n"/>
      <c r="I294" s="22" t="n"/>
      <c r="J294" s="22" t="n"/>
      <c r="K294" s="28">
        <f>IF(C294="","",COUNTIFS(tbl_Finance[Job Number],C294&amp;"",tbl_Finance[Ex GST],"&lt;&gt;"))</f>
        <v/>
      </c>
      <c r="L294" s="27">
        <f>IF(C294="","",SUMIFS(tbl_Finance[Ex GST],tbl_Finance[Job Number],C294&amp;""))</f>
        <v/>
      </c>
      <c r="M294" s="27">
        <f>IF(C294="","",SUMIFS(tbl_Finance[Ex GST],tbl_Finance[Job Number],C294&amp;"",tbl_Finance[Xero Invoice No],"&lt;&gt;"))</f>
        <v/>
      </c>
      <c r="N294" s="27">
        <f>IF(C294="","",L294-M294)</f>
        <v/>
      </c>
      <c r="O294" s="24" t="n"/>
      <c r="P294" s="27">
        <f>IF(C294="","",IF(O294="",0,MAX(0,O294-L294)))</f>
        <v/>
      </c>
      <c r="Q294" s="26">
        <f>IF(C294="","",IF(K294=0,"not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R294" s="22" t="n"/>
      <c r="S294" s="22" t="n"/>
      <c r="T294" s="26">
        <f>IF(S294="","",HYPERLINK(IF(LEFT(S294,4)="http",S294,set_QwilrBase&amp;S294),"Open quote"))</f>
        <v/>
      </c>
      <c r="U294" s="71" t="n"/>
      <c r="V294" s="22" t="n"/>
      <c r="W294" s="22" t="n"/>
    </row>
    <row r="295" ht="15" customHeight="1">
      <c r="A295" s="70">
        <f>IF(C295="","",IFERROR(IF(SUMPRODUCT(MAX((tbl_Finance[Job Number]&amp;""=C295&amp;"")*(tbl_Finance[Xero Invoice No]&lt;&gt;"")*tbl_Finance[Date]))=0,"",SUMPRODUCT(MAX((tbl_Finance[Job Number]&amp;""=C295&amp;"")*(tbl_Finance[Xero Invoice No]&lt;&gt;"")*tbl_Finance[Date]))),""))</f>
        <v/>
      </c>
      <c r="B295" s="26">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2" t="n"/>
      <c r="D295" s="26">
        <f>IF(C295="","",IF(COUNTIF(lst_Jobs,C295&amp;"")&gt;0,"OK","CHECK"))</f>
        <v/>
      </c>
      <c r="E295" s="26">
        <f>IF(C295="","",IFERROR(INDEX(lst_JobName,MATCH(C295&amp;"",lst_Jobs,0)),""))</f>
        <v/>
      </c>
      <c r="F295" s="22" t="n"/>
      <c r="G295" s="22" t="n"/>
      <c r="H295" s="22" t="n"/>
      <c r="I295" s="22" t="n"/>
      <c r="J295" s="22" t="n"/>
      <c r="K295" s="28">
        <f>IF(C295="","",COUNTIFS(tbl_Finance[Job Number],C295&amp;"",tbl_Finance[Ex GST],"&lt;&gt;"))</f>
        <v/>
      </c>
      <c r="L295" s="27">
        <f>IF(C295="","",SUMIFS(tbl_Finance[Ex GST],tbl_Finance[Job Number],C295&amp;""))</f>
        <v/>
      </c>
      <c r="M295" s="27">
        <f>IF(C295="","",SUMIFS(tbl_Finance[Ex GST],tbl_Finance[Job Number],C295&amp;"",tbl_Finance[Xero Invoice No],"&lt;&gt;"))</f>
        <v/>
      </c>
      <c r="N295" s="27">
        <f>IF(C295="","",L295-M295)</f>
        <v/>
      </c>
      <c r="O295" s="24" t="n"/>
      <c r="P295" s="27">
        <f>IF(C295="","",IF(O295="",0,MAX(0,O295-L295)))</f>
        <v/>
      </c>
      <c r="Q295" s="26">
        <f>IF(C295="","",IF(K295=0,"not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R295" s="22" t="n"/>
      <c r="S295" s="22" t="n"/>
      <c r="T295" s="26">
        <f>IF(S295="","",HYPERLINK(IF(LEFT(S295,4)="http",S295,set_QwilrBase&amp;S295),"Open quote"))</f>
        <v/>
      </c>
      <c r="U295" s="71" t="n"/>
      <c r="V295" s="22" t="n"/>
      <c r="W295" s="22" t="n"/>
    </row>
    <row r="296" ht="15" customHeight="1">
      <c r="A296" s="70">
        <f>IF(C296="","",IFERROR(IF(SUMPRODUCT(MAX((tbl_Finance[Job Number]&amp;""=C296&amp;"")*(tbl_Finance[Xero Invoice No]&lt;&gt;"")*tbl_Finance[Date]))=0,"",SUMPRODUCT(MAX((tbl_Finance[Job Number]&amp;""=C296&amp;"")*(tbl_Finance[Xero Invoice No]&lt;&gt;"")*tbl_Finance[Date]))),""))</f>
        <v/>
      </c>
      <c r="B296" s="26">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2" t="n"/>
      <c r="D296" s="26">
        <f>IF(C296="","",IF(COUNTIF(lst_Jobs,C296&amp;"")&gt;0,"OK","CHECK"))</f>
        <v/>
      </c>
      <c r="E296" s="26">
        <f>IF(C296="","",IFERROR(INDEX(lst_JobName,MATCH(C296&amp;"",lst_Jobs,0)),""))</f>
        <v/>
      </c>
      <c r="F296" s="22" t="n"/>
      <c r="G296" s="22" t="n"/>
      <c r="H296" s="22" t="n"/>
      <c r="I296" s="22" t="n"/>
      <c r="J296" s="22" t="n"/>
      <c r="K296" s="28">
        <f>IF(C296="","",COUNTIFS(tbl_Finance[Job Number],C296&amp;"",tbl_Finance[Ex GST],"&lt;&gt;"))</f>
        <v/>
      </c>
      <c r="L296" s="27">
        <f>IF(C296="","",SUMIFS(tbl_Finance[Ex GST],tbl_Finance[Job Number],C296&amp;""))</f>
        <v/>
      </c>
      <c r="M296" s="27">
        <f>IF(C296="","",SUMIFS(tbl_Finance[Ex GST],tbl_Finance[Job Number],C296&amp;"",tbl_Finance[Xero Invoice No],"&lt;&gt;"))</f>
        <v/>
      </c>
      <c r="N296" s="27">
        <f>IF(C296="","",L296-M296)</f>
        <v/>
      </c>
      <c r="O296" s="24" t="n"/>
      <c r="P296" s="27">
        <f>IF(C296="","",IF(O296="",0,MAX(0,O296-L296)))</f>
        <v/>
      </c>
      <c r="Q296" s="26">
        <f>IF(C296="","",IF(K296=0,"not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R296" s="22" t="n"/>
      <c r="S296" s="22" t="n"/>
      <c r="T296" s="26">
        <f>IF(S296="","",HYPERLINK(IF(LEFT(S296,4)="http",S296,set_QwilrBase&amp;S296),"Open quote"))</f>
        <v/>
      </c>
      <c r="U296" s="71" t="n"/>
      <c r="V296" s="22" t="n"/>
      <c r="W296" s="22" t="n"/>
    </row>
    <row r="297" ht="15" customHeight="1">
      <c r="A297" s="70">
        <f>IF(C297="","",IFERROR(IF(SUMPRODUCT(MAX((tbl_Finance[Job Number]&amp;""=C297&amp;"")*(tbl_Finance[Xero Invoice No]&lt;&gt;"")*tbl_Finance[Date]))=0,"",SUMPRODUCT(MAX((tbl_Finance[Job Number]&amp;""=C297&amp;"")*(tbl_Finance[Xero Invoice No]&lt;&gt;"")*tbl_Finance[Date]))),""))</f>
        <v/>
      </c>
      <c r="B297" s="26">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2" t="n"/>
      <c r="D297" s="26">
        <f>IF(C297="","",IF(COUNTIF(lst_Jobs,C297&amp;"")&gt;0,"OK","CHECK"))</f>
        <v/>
      </c>
      <c r="E297" s="26">
        <f>IF(C297="","",IFERROR(INDEX(lst_JobName,MATCH(C297&amp;"",lst_Jobs,0)),""))</f>
        <v/>
      </c>
      <c r="F297" s="22" t="n"/>
      <c r="G297" s="22" t="n"/>
      <c r="H297" s="22" t="n"/>
      <c r="I297" s="22" t="n"/>
      <c r="J297" s="22" t="n"/>
      <c r="K297" s="28">
        <f>IF(C297="","",COUNTIFS(tbl_Finance[Job Number],C297&amp;"",tbl_Finance[Ex GST],"&lt;&gt;"))</f>
        <v/>
      </c>
      <c r="L297" s="27">
        <f>IF(C297="","",SUMIFS(tbl_Finance[Ex GST],tbl_Finance[Job Number],C297&amp;""))</f>
        <v/>
      </c>
      <c r="M297" s="27">
        <f>IF(C297="","",SUMIFS(tbl_Finance[Ex GST],tbl_Finance[Job Number],C297&amp;"",tbl_Finance[Xero Invoice No],"&lt;&gt;"))</f>
        <v/>
      </c>
      <c r="N297" s="27">
        <f>IF(C297="","",L297-M297)</f>
        <v/>
      </c>
      <c r="O297" s="24" t="n"/>
      <c r="P297" s="27">
        <f>IF(C297="","",IF(O297="",0,MAX(0,O297-L297)))</f>
        <v/>
      </c>
      <c r="Q297" s="26">
        <f>IF(C297="","",IF(K297=0,"not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R297" s="22" t="n"/>
      <c r="S297" s="22" t="n"/>
      <c r="T297" s="26">
        <f>IF(S297="","",HYPERLINK(IF(LEFT(S297,4)="http",S297,set_QwilrBase&amp;S297),"Open quote"))</f>
        <v/>
      </c>
      <c r="U297" s="71" t="n"/>
      <c r="V297" s="22" t="n"/>
      <c r="W297" s="22" t="n"/>
    </row>
    <row r="298" ht="15" customHeight="1">
      <c r="A298" s="70">
        <f>IF(C298="","",IFERROR(IF(SUMPRODUCT(MAX((tbl_Finance[Job Number]&amp;""=C298&amp;"")*(tbl_Finance[Xero Invoice No]&lt;&gt;"")*tbl_Finance[Date]))=0,"",SUMPRODUCT(MAX((tbl_Finance[Job Number]&amp;""=C298&amp;"")*(tbl_Finance[Xero Invoice No]&lt;&gt;"")*tbl_Finance[Date]))),""))</f>
        <v/>
      </c>
      <c r="B298" s="26">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2" t="n"/>
      <c r="D298" s="26">
        <f>IF(C298="","",IF(COUNTIF(lst_Jobs,C298&amp;"")&gt;0,"OK","CHECK"))</f>
        <v/>
      </c>
      <c r="E298" s="26">
        <f>IF(C298="","",IFERROR(INDEX(lst_JobName,MATCH(C298&amp;"",lst_Jobs,0)),""))</f>
        <v/>
      </c>
      <c r="F298" s="22" t="n"/>
      <c r="G298" s="22" t="n"/>
      <c r="H298" s="22" t="n"/>
      <c r="I298" s="22" t="n"/>
      <c r="J298" s="22" t="n"/>
      <c r="K298" s="28">
        <f>IF(C298="","",COUNTIFS(tbl_Finance[Job Number],C298&amp;"",tbl_Finance[Ex GST],"&lt;&gt;"))</f>
        <v/>
      </c>
      <c r="L298" s="27">
        <f>IF(C298="","",SUMIFS(tbl_Finance[Ex GST],tbl_Finance[Job Number],C298&amp;""))</f>
        <v/>
      </c>
      <c r="M298" s="27">
        <f>IF(C298="","",SUMIFS(tbl_Finance[Ex GST],tbl_Finance[Job Number],C298&amp;"",tbl_Finance[Xero Invoice No],"&lt;&gt;"))</f>
        <v/>
      </c>
      <c r="N298" s="27">
        <f>IF(C298="","",L298-M298)</f>
        <v/>
      </c>
      <c r="O298" s="24" t="n"/>
      <c r="P298" s="27">
        <f>IF(C298="","",IF(O298="",0,MAX(0,O298-L298)))</f>
        <v/>
      </c>
      <c r="Q298" s="26">
        <f>IF(C298="","",IF(K298=0,"not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R298" s="22" t="n"/>
      <c r="S298" s="22" t="n"/>
      <c r="T298" s="26">
        <f>IF(S298="","",HYPERLINK(IF(LEFT(S298,4)="http",S298,set_QwilrBase&amp;S298),"Open quote"))</f>
        <v/>
      </c>
      <c r="U298" s="71" t="n"/>
      <c r="V298" s="22" t="n"/>
      <c r="W298" s="22" t="n"/>
    </row>
    <row r="299" ht="15" customHeight="1">
      <c r="A299" s="70">
        <f>IF(C299="","",IFERROR(IF(SUMPRODUCT(MAX((tbl_Finance[Job Number]&amp;""=C299&amp;"")*(tbl_Finance[Xero Invoice No]&lt;&gt;"")*tbl_Finance[Date]))=0,"",SUMPRODUCT(MAX((tbl_Finance[Job Number]&amp;""=C299&amp;"")*(tbl_Finance[Xero Invoice No]&lt;&gt;"")*tbl_Finance[Date]))),""))</f>
        <v/>
      </c>
      <c r="B299" s="26">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2" t="n"/>
      <c r="D299" s="26">
        <f>IF(C299="","",IF(COUNTIF(lst_Jobs,C299&amp;"")&gt;0,"OK","CHECK"))</f>
        <v/>
      </c>
      <c r="E299" s="26">
        <f>IF(C299="","",IFERROR(INDEX(lst_JobName,MATCH(C299&amp;"",lst_Jobs,0)),""))</f>
        <v/>
      </c>
      <c r="F299" s="22" t="n"/>
      <c r="G299" s="22" t="n"/>
      <c r="H299" s="22" t="n"/>
      <c r="I299" s="22" t="n"/>
      <c r="J299" s="22" t="n"/>
      <c r="K299" s="28">
        <f>IF(C299="","",COUNTIFS(tbl_Finance[Job Number],C299&amp;"",tbl_Finance[Ex GST],"&lt;&gt;"))</f>
        <v/>
      </c>
      <c r="L299" s="27">
        <f>IF(C299="","",SUMIFS(tbl_Finance[Ex GST],tbl_Finance[Job Number],C299&amp;""))</f>
        <v/>
      </c>
      <c r="M299" s="27">
        <f>IF(C299="","",SUMIFS(tbl_Finance[Ex GST],tbl_Finance[Job Number],C299&amp;"",tbl_Finance[Xero Invoice No],"&lt;&gt;"))</f>
        <v/>
      </c>
      <c r="N299" s="27">
        <f>IF(C299="","",L299-M299)</f>
        <v/>
      </c>
      <c r="O299" s="24" t="n"/>
      <c r="P299" s="27">
        <f>IF(C299="","",IF(O299="",0,MAX(0,O299-L299)))</f>
        <v/>
      </c>
      <c r="Q299" s="26">
        <f>IF(C299="","",IF(K299=0,"not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R299" s="22" t="n"/>
      <c r="S299" s="22" t="n"/>
      <c r="T299" s="26">
        <f>IF(S299="","",HYPERLINK(IF(LEFT(S299,4)="http",S299,set_QwilrBase&amp;S299),"Open quote"))</f>
        <v/>
      </c>
      <c r="U299" s="71" t="n"/>
      <c r="V299" s="22" t="n"/>
      <c r="W299" s="22" t="n"/>
    </row>
    <row r="300" ht="15" customHeight="1">
      <c r="A300" s="70">
        <f>IF(C300="","",IFERROR(IF(SUMPRODUCT(MAX((tbl_Finance[Job Number]&amp;""=C300&amp;"")*(tbl_Finance[Xero Invoice No]&lt;&gt;"")*tbl_Finance[Date]))=0,"",SUMPRODUCT(MAX((tbl_Finance[Job Number]&amp;""=C300&amp;"")*(tbl_Finance[Xero Invoice No]&lt;&gt;"")*tbl_Finance[Date]))),""))</f>
        <v/>
      </c>
      <c r="B300" s="26">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2" t="n"/>
      <c r="D300" s="26">
        <f>IF(C300="","",IF(COUNTIF(lst_Jobs,C300&amp;"")&gt;0,"OK","CHECK"))</f>
        <v/>
      </c>
      <c r="E300" s="26">
        <f>IF(C300="","",IFERROR(INDEX(lst_JobName,MATCH(C300&amp;"",lst_Jobs,0)),""))</f>
        <v/>
      </c>
      <c r="F300" s="22" t="n"/>
      <c r="G300" s="22" t="n"/>
      <c r="H300" s="22" t="n"/>
      <c r="I300" s="22" t="n"/>
      <c r="J300" s="22" t="n"/>
      <c r="K300" s="28">
        <f>IF(C300="","",COUNTIFS(tbl_Finance[Job Number],C300&amp;"",tbl_Finance[Ex GST],"&lt;&gt;"))</f>
        <v/>
      </c>
      <c r="L300" s="27">
        <f>IF(C300="","",SUMIFS(tbl_Finance[Ex GST],tbl_Finance[Job Number],C300&amp;""))</f>
        <v/>
      </c>
      <c r="M300" s="27">
        <f>IF(C300="","",SUMIFS(tbl_Finance[Ex GST],tbl_Finance[Job Number],C300&amp;"",tbl_Finance[Xero Invoice No],"&lt;&gt;"))</f>
        <v/>
      </c>
      <c r="N300" s="27">
        <f>IF(C300="","",L300-M300)</f>
        <v/>
      </c>
      <c r="O300" s="24" t="n"/>
      <c r="P300" s="27">
        <f>IF(C300="","",IF(O300="",0,MAX(0,O300-L300)))</f>
        <v/>
      </c>
      <c r="Q300" s="26">
        <f>IF(C300="","",IF(K300=0,"not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R300" s="22" t="n"/>
      <c r="S300" s="22" t="n"/>
      <c r="T300" s="26">
        <f>IF(S300="","",HYPERLINK(IF(LEFT(S300,4)="http",S300,set_QwilrBase&amp;S300),"Open quote"))</f>
        <v/>
      </c>
      <c r="U300" s="71" t="n"/>
      <c r="V300" s="22" t="n"/>
      <c r="W300" s="22" t="n"/>
    </row>
    <row r="301" ht="15" customHeight="1">
      <c r="A301" s="70">
        <f>IF(C301="","",IFERROR(IF(SUMPRODUCT(MAX((tbl_Finance[Job Number]&amp;""=C301&amp;"")*(tbl_Finance[Xero Invoice No]&lt;&gt;"")*tbl_Finance[Date]))=0,"",SUMPRODUCT(MAX((tbl_Finance[Job Number]&amp;""=C301&amp;"")*(tbl_Finance[Xero Invoice No]&lt;&gt;"")*tbl_Finance[Date]))),""))</f>
        <v/>
      </c>
      <c r="B301" s="26">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2" t="n"/>
      <c r="D301" s="26">
        <f>IF(C301="","",IF(COUNTIF(lst_Jobs,C301&amp;"")&gt;0,"OK","CHECK"))</f>
        <v/>
      </c>
      <c r="E301" s="26">
        <f>IF(C301="","",IFERROR(INDEX(lst_JobName,MATCH(C301&amp;"",lst_Jobs,0)),""))</f>
        <v/>
      </c>
      <c r="F301" s="22" t="n"/>
      <c r="G301" s="22" t="n"/>
      <c r="H301" s="22" t="n"/>
      <c r="I301" s="22" t="n"/>
      <c r="J301" s="22" t="n"/>
      <c r="K301" s="28">
        <f>IF(C301="","",COUNTIFS(tbl_Finance[Job Number],C301&amp;"",tbl_Finance[Ex GST],"&lt;&gt;"))</f>
        <v/>
      </c>
      <c r="L301" s="27">
        <f>IF(C301="","",SUMIFS(tbl_Finance[Ex GST],tbl_Finance[Job Number],C301&amp;""))</f>
        <v/>
      </c>
      <c r="M301" s="27">
        <f>IF(C301="","",SUMIFS(tbl_Finance[Ex GST],tbl_Finance[Job Number],C301&amp;"",tbl_Finance[Xero Invoice No],"&lt;&gt;"))</f>
        <v/>
      </c>
      <c r="N301" s="27">
        <f>IF(C301="","",L301-M301)</f>
        <v/>
      </c>
      <c r="O301" s="24" t="n"/>
      <c r="P301" s="27">
        <f>IF(C301="","",IF(O301="",0,MAX(0,O301-L301)))</f>
        <v/>
      </c>
      <c r="Q301" s="26">
        <f>IF(C301="","",IF(K301=0,"not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R301" s="22" t="n"/>
      <c r="S301" s="22" t="n"/>
      <c r="T301" s="26">
        <f>IF(S301="","",HYPERLINK(IF(LEFT(S301,4)="http",S301,set_QwilrBase&amp;S301),"Open quote"))</f>
        <v/>
      </c>
      <c r="U301" s="71" t="n"/>
      <c r="V301" s="22" t="n"/>
      <c r="W301" s="22" t="n"/>
    </row>
    <row r="302" ht="15" customHeight="1">
      <c r="A302" s="70">
        <f>IF(C302="","",IFERROR(IF(SUMPRODUCT(MAX((tbl_Finance[Job Number]&amp;""=C302&amp;"")*(tbl_Finance[Xero Invoice No]&lt;&gt;"")*tbl_Finance[Date]))=0,"",SUMPRODUCT(MAX((tbl_Finance[Job Number]&amp;""=C302&amp;"")*(tbl_Finance[Xero Invoice No]&lt;&gt;"")*tbl_Finance[Date]))),""))</f>
        <v/>
      </c>
      <c r="B302" s="26">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2" t="n"/>
      <c r="D302" s="26">
        <f>IF(C302="","",IF(COUNTIF(lst_Jobs,C302&amp;"")&gt;0,"OK","CHECK"))</f>
        <v/>
      </c>
      <c r="E302" s="26">
        <f>IF(C302="","",IFERROR(INDEX(lst_JobName,MATCH(C302&amp;"",lst_Jobs,0)),""))</f>
        <v/>
      </c>
      <c r="F302" s="22" t="n"/>
      <c r="G302" s="22" t="n"/>
      <c r="H302" s="22" t="n"/>
      <c r="I302" s="22" t="n"/>
      <c r="J302" s="22" t="n"/>
      <c r="K302" s="28">
        <f>IF(C302="","",COUNTIFS(tbl_Finance[Job Number],C302&amp;"",tbl_Finance[Ex GST],"&lt;&gt;"))</f>
        <v/>
      </c>
      <c r="L302" s="27">
        <f>IF(C302="","",SUMIFS(tbl_Finance[Ex GST],tbl_Finance[Job Number],C302&amp;""))</f>
        <v/>
      </c>
      <c r="M302" s="27">
        <f>IF(C302="","",SUMIFS(tbl_Finance[Ex GST],tbl_Finance[Job Number],C302&amp;"",tbl_Finance[Xero Invoice No],"&lt;&gt;"))</f>
        <v/>
      </c>
      <c r="N302" s="27">
        <f>IF(C302="","",L302-M302)</f>
        <v/>
      </c>
      <c r="O302" s="24" t="n"/>
      <c r="P302" s="27">
        <f>IF(C302="","",IF(O302="",0,MAX(0,O302-L302)))</f>
        <v/>
      </c>
      <c r="Q302" s="26">
        <f>IF(C302="","",IF(K302=0,"not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R302" s="22" t="n"/>
      <c r="S302" s="22" t="n"/>
      <c r="T302" s="26">
        <f>IF(S302="","",HYPERLINK(IF(LEFT(S302,4)="http",S302,set_QwilrBase&amp;S302),"Open quote"))</f>
        <v/>
      </c>
      <c r="U302" s="71" t="n"/>
      <c r="V302" s="22" t="n"/>
      <c r="W302" s="22" t="n"/>
    </row>
    <row r="303" ht="15" customHeight="1">
      <c r="A303" s="70">
        <f>IF(C303="","",IFERROR(IF(SUMPRODUCT(MAX((tbl_Finance[Job Number]&amp;""=C303&amp;"")*(tbl_Finance[Xero Invoice No]&lt;&gt;"")*tbl_Finance[Date]))=0,"",SUMPRODUCT(MAX((tbl_Finance[Job Number]&amp;""=C303&amp;"")*(tbl_Finance[Xero Invoice No]&lt;&gt;"")*tbl_Finance[Date]))),""))</f>
        <v/>
      </c>
      <c r="B303" s="26">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2" t="n"/>
      <c r="D303" s="26">
        <f>IF(C303="","",IF(COUNTIF(lst_Jobs,C303&amp;"")&gt;0,"OK","CHECK"))</f>
        <v/>
      </c>
      <c r="E303" s="26">
        <f>IF(C303="","",IFERROR(INDEX(lst_JobName,MATCH(C303&amp;"",lst_Jobs,0)),""))</f>
        <v/>
      </c>
      <c r="F303" s="22" t="n"/>
      <c r="G303" s="22" t="n"/>
      <c r="H303" s="22" t="n"/>
      <c r="I303" s="22" t="n"/>
      <c r="J303" s="22" t="n"/>
      <c r="K303" s="28">
        <f>IF(C303="","",COUNTIFS(tbl_Finance[Job Number],C303&amp;"",tbl_Finance[Ex GST],"&lt;&gt;"))</f>
        <v/>
      </c>
      <c r="L303" s="27">
        <f>IF(C303="","",SUMIFS(tbl_Finance[Ex GST],tbl_Finance[Job Number],C303&amp;""))</f>
        <v/>
      </c>
      <c r="M303" s="27">
        <f>IF(C303="","",SUMIFS(tbl_Finance[Ex GST],tbl_Finance[Job Number],C303&amp;"",tbl_Finance[Xero Invoice No],"&lt;&gt;"))</f>
        <v/>
      </c>
      <c r="N303" s="27">
        <f>IF(C303="","",L303-M303)</f>
        <v/>
      </c>
      <c r="O303" s="24" t="n"/>
      <c r="P303" s="27">
        <f>IF(C303="","",IF(O303="",0,MAX(0,O303-L303)))</f>
        <v/>
      </c>
      <c r="Q303" s="26">
        <f>IF(C303="","",IF(K303=0,"not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R303" s="22" t="n"/>
      <c r="S303" s="22" t="n"/>
      <c r="T303" s="26">
        <f>IF(S303="","",HYPERLINK(IF(LEFT(S303,4)="http",S303,set_QwilrBase&amp;S303),"Open quote"))</f>
        <v/>
      </c>
      <c r="U303" s="71" t="n"/>
      <c r="V303" s="22" t="n"/>
      <c r="W303" s="22" t="n"/>
    </row>
    <row r="304" ht="15" customHeight="1">
      <c r="A304" s="70">
        <f>IF(C304="","",IFERROR(IF(SUMPRODUCT(MAX((tbl_Finance[Job Number]&amp;""=C304&amp;"")*(tbl_Finance[Xero Invoice No]&lt;&gt;"")*tbl_Finance[Date]))=0,"",SUMPRODUCT(MAX((tbl_Finance[Job Number]&amp;""=C304&amp;"")*(tbl_Finance[Xero Invoice No]&lt;&gt;"")*tbl_Finance[Date]))),""))</f>
        <v/>
      </c>
      <c r="B304" s="26">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2" t="n"/>
      <c r="D304" s="26">
        <f>IF(C304="","",IF(COUNTIF(lst_Jobs,C304&amp;"")&gt;0,"OK","CHECK"))</f>
        <v/>
      </c>
      <c r="E304" s="26">
        <f>IF(C304="","",IFERROR(INDEX(lst_JobName,MATCH(C304&amp;"",lst_Jobs,0)),""))</f>
        <v/>
      </c>
      <c r="F304" s="22" t="n"/>
      <c r="G304" s="22" t="n"/>
      <c r="H304" s="22" t="n"/>
      <c r="I304" s="22" t="n"/>
      <c r="J304" s="22" t="n"/>
      <c r="K304" s="28">
        <f>IF(C304="","",COUNTIFS(tbl_Finance[Job Number],C304&amp;"",tbl_Finance[Ex GST],"&lt;&gt;"))</f>
        <v/>
      </c>
      <c r="L304" s="27">
        <f>IF(C304="","",SUMIFS(tbl_Finance[Ex GST],tbl_Finance[Job Number],C304&amp;""))</f>
        <v/>
      </c>
      <c r="M304" s="27">
        <f>IF(C304="","",SUMIFS(tbl_Finance[Ex GST],tbl_Finance[Job Number],C304&amp;"",tbl_Finance[Xero Invoice No],"&lt;&gt;"))</f>
        <v/>
      </c>
      <c r="N304" s="27">
        <f>IF(C304="","",L304-M304)</f>
        <v/>
      </c>
      <c r="O304" s="24" t="n"/>
      <c r="P304" s="27">
        <f>IF(C304="","",IF(O304="",0,MAX(0,O304-L304)))</f>
        <v/>
      </c>
      <c r="Q304" s="26">
        <f>IF(C304="","",IF(K304=0,"not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R304" s="22" t="n"/>
      <c r="S304" s="22" t="n"/>
      <c r="T304" s="26">
        <f>IF(S304="","",HYPERLINK(IF(LEFT(S304,4)="http",S304,set_QwilrBase&amp;S304),"Open quote"))</f>
        <v/>
      </c>
      <c r="U304" s="71" t="n"/>
      <c r="V304" s="22" t="n"/>
      <c r="W304" s="22" t="n"/>
    </row>
    <row r="305" ht="15" customHeight="1">
      <c r="A305" s="70">
        <f>IF(C305="","",IFERROR(IF(SUMPRODUCT(MAX((tbl_Finance[Job Number]&amp;""=C305&amp;"")*(tbl_Finance[Xero Invoice No]&lt;&gt;"")*tbl_Finance[Date]))=0,"",SUMPRODUCT(MAX((tbl_Finance[Job Number]&amp;""=C305&amp;"")*(tbl_Finance[Xero Invoice No]&lt;&gt;"")*tbl_Finance[Date]))),""))</f>
        <v/>
      </c>
      <c r="B305" s="26">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2" t="n"/>
      <c r="D305" s="26">
        <f>IF(C305="","",IF(COUNTIF(lst_Jobs,C305&amp;"")&gt;0,"OK","CHECK"))</f>
        <v/>
      </c>
      <c r="E305" s="26">
        <f>IF(C305="","",IFERROR(INDEX(lst_JobName,MATCH(C305&amp;"",lst_Jobs,0)),""))</f>
        <v/>
      </c>
      <c r="F305" s="22" t="n"/>
      <c r="G305" s="22" t="n"/>
      <c r="H305" s="22" t="n"/>
      <c r="I305" s="22" t="n"/>
      <c r="J305" s="22" t="n"/>
      <c r="K305" s="28">
        <f>IF(C305="","",COUNTIFS(tbl_Finance[Job Number],C305&amp;"",tbl_Finance[Ex GST],"&lt;&gt;"))</f>
        <v/>
      </c>
      <c r="L305" s="27">
        <f>IF(C305="","",SUMIFS(tbl_Finance[Ex GST],tbl_Finance[Job Number],C305&amp;""))</f>
        <v/>
      </c>
      <c r="M305" s="27">
        <f>IF(C305="","",SUMIFS(tbl_Finance[Ex GST],tbl_Finance[Job Number],C305&amp;"",tbl_Finance[Xero Invoice No],"&lt;&gt;"))</f>
        <v/>
      </c>
      <c r="N305" s="27">
        <f>IF(C305="","",L305-M305)</f>
        <v/>
      </c>
      <c r="O305" s="24" t="n"/>
      <c r="P305" s="27">
        <f>IF(C305="","",IF(O305="",0,MAX(0,O305-L305)))</f>
        <v/>
      </c>
      <c r="Q305" s="26">
        <f>IF(C305="","",IF(K305=0,"not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R305" s="22" t="n"/>
      <c r="S305" s="22" t="n"/>
      <c r="T305" s="26">
        <f>IF(S305="","",HYPERLINK(IF(LEFT(S305,4)="http",S305,set_QwilrBase&amp;S305),"Open quote"))</f>
        <v/>
      </c>
      <c r="U305" s="71" t="n"/>
      <c r="V305" s="22" t="n"/>
      <c r="W305" s="22" t="n"/>
    </row>
    <row r="306" ht="15" customHeight="1">
      <c r="A306" s="70">
        <f>IF(C306="","",IFERROR(IF(SUMPRODUCT(MAX((tbl_Finance[Job Number]&amp;""=C306&amp;"")*(tbl_Finance[Xero Invoice No]&lt;&gt;"")*tbl_Finance[Date]))=0,"",SUMPRODUCT(MAX((tbl_Finance[Job Number]&amp;""=C306&amp;"")*(tbl_Finance[Xero Invoice No]&lt;&gt;"")*tbl_Finance[Date]))),""))</f>
        <v/>
      </c>
      <c r="B306" s="26">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2" t="n"/>
      <c r="D306" s="26">
        <f>IF(C306="","",IF(COUNTIF(lst_Jobs,C306&amp;"")&gt;0,"OK","CHECK"))</f>
        <v/>
      </c>
      <c r="E306" s="26">
        <f>IF(C306="","",IFERROR(INDEX(lst_JobName,MATCH(C306&amp;"",lst_Jobs,0)),""))</f>
        <v/>
      </c>
      <c r="F306" s="22" t="n"/>
      <c r="G306" s="22" t="n"/>
      <c r="H306" s="22" t="n"/>
      <c r="I306" s="22" t="n"/>
      <c r="J306" s="22" t="n"/>
      <c r="K306" s="28">
        <f>IF(C306="","",COUNTIFS(tbl_Finance[Job Number],C306&amp;"",tbl_Finance[Ex GST],"&lt;&gt;"))</f>
        <v/>
      </c>
      <c r="L306" s="27">
        <f>IF(C306="","",SUMIFS(tbl_Finance[Ex GST],tbl_Finance[Job Number],C306&amp;""))</f>
        <v/>
      </c>
      <c r="M306" s="27">
        <f>IF(C306="","",SUMIFS(tbl_Finance[Ex GST],tbl_Finance[Job Number],C306&amp;"",tbl_Finance[Xero Invoice No],"&lt;&gt;"))</f>
        <v/>
      </c>
      <c r="N306" s="27">
        <f>IF(C306="","",L306-M306)</f>
        <v/>
      </c>
      <c r="O306" s="24" t="n"/>
      <c r="P306" s="27">
        <f>IF(C306="","",IF(O306="",0,MAX(0,O306-L306)))</f>
        <v/>
      </c>
      <c r="Q306" s="26">
        <f>IF(C306="","",IF(K306=0,"not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R306" s="22" t="n"/>
      <c r="S306" s="22" t="n"/>
      <c r="T306" s="26">
        <f>IF(S306="","",HYPERLINK(IF(LEFT(S306,4)="http",S306,set_QwilrBase&amp;S306),"Open quote"))</f>
        <v/>
      </c>
      <c r="U306" s="71" t="n"/>
      <c r="V306" s="22" t="n"/>
      <c r="W306" s="22" t="n"/>
    </row>
    <row r="307" ht="15" customHeight="1">
      <c r="A307" s="70">
        <f>IF(C307="","",IFERROR(IF(SUMPRODUCT(MAX((tbl_Finance[Job Number]&amp;""=C307&amp;"")*(tbl_Finance[Xero Invoice No]&lt;&gt;"")*tbl_Finance[Date]))=0,"",SUMPRODUCT(MAX((tbl_Finance[Job Number]&amp;""=C307&amp;"")*(tbl_Finance[Xero Invoice No]&lt;&gt;"")*tbl_Finance[Date]))),""))</f>
        <v/>
      </c>
      <c r="B307" s="26">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2" t="n"/>
      <c r="D307" s="26">
        <f>IF(C307="","",IF(COUNTIF(lst_Jobs,C307&amp;"")&gt;0,"OK","CHECK"))</f>
        <v/>
      </c>
      <c r="E307" s="26">
        <f>IF(C307="","",IFERROR(INDEX(lst_JobName,MATCH(C307&amp;"",lst_Jobs,0)),""))</f>
        <v/>
      </c>
      <c r="F307" s="22" t="n"/>
      <c r="G307" s="22" t="n"/>
      <c r="H307" s="22" t="n"/>
      <c r="I307" s="22" t="n"/>
      <c r="J307" s="22" t="n"/>
      <c r="K307" s="28">
        <f>IF(C307="","",COUNTIFS(tbl_Finance[Job Number],C307&amp;"",tbl_Finance[Ex GST],"&lt;&gt;"))</f>
        <v/>
      </c>
      <c r="L307" s="27">
        <f>IF(C307="","",SUMIFS(tbl_Finance[Ex GST],tbl_Finance[Job Number],C307&amp;""))</f>
        <v/>
      </c>
      <c r="M307" s="27">
        <f>IF(C307="","",SUMIFS(tbl_Finance[Ex GST],tbl_Finance[Job Number],C307&amp;"",tbl_Finance[Xero Invoice No],"&lt;&gt;"))</f>
        <v/>
      </c>
      <c r="N307" s="27">
        <f>IF(C307="","",L307-M307)</f>
        <v/>
      </c>
      <c r="O307" s="24" t="n"/>
      <c r="P307" s="27">
        <f>IF(C307="","",IF(O307="",0,MAX(0,O307-L307)))</f>
        <v/>
      </c>
      <c r="Q307" s="26">
        <f>IF(C307="","",IF(K307=0,"not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R307" s="22" t="n"/>
      <c r="S307" s="22" t="n"/>
      <c r="T307" s="26">
        <f>IF(S307="","",HYPERLINK(IF(LEFT(S307,4)="http",S307,set_QwilrBase&amp;S307),"Open quote"))</f>
        <v/>
      </c>
      <c r="U307" s="71" t="n"/>
      <c r="V307" s="22" t="n"/>
      <c r="W307" s="22" t="n"/>
    </row>
    <row r="308" ht="15" customHeight="1">
      <c r="A308" s="70">
        <f>IF(C308="","",IFERROR(IF(SUMPRODUCT(MAX((tbl_Finance[Job Number]&amp;""=C308&amp;"")*(tbl_Finance[Xero Invoice No]&lt;&gt;"")*tbl_Finance[Date]))=0,"",SUMPRODUCT(MAX((tbl_Finance[Job Number]&amp;""=C308&amp;"")*(tbl_Finance[Xero Invoice No]&lt;&gt;"")*tbl_Finance[Date]))),""))</f>
        <v/>
      </c>
      <c r="B308" s="26">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2" t="n"/>
      <c r="D308" s="26">
        <f>IF(C308="","",IF(COUNTIF(lst_Jobs,C308&amp;"")&gt;0,"OK","CHECK"))</f>
        <v/>
      </c>
      <c r="E308" s="26">
        <f>IF(C308="","",IFERROR(INDEX(lst_JobName,MATCH(C308&amp;"",lst_Jobs,0)),""))</f>
        <v/>
      </c>
      <c r="F308" s="22" t="n"/>
      <c r="G308" s="22" t="n"/>
      <c r="H308" s="22" t="n"/>
      <c r="I308" s="22" t="n"/>
      <c r="J308" s="22" t="n"/>
      <c r="K308" s="28">
        <f>IF(C308="","",COUNTIFS(tbl_Finance[Job Number],C308&amp;"",tbl_Finance[Ex GST],"&lt;&gt;"))</f>
        <v/>
      </c>
      <c r="L308" s="27">
        <f>IF(C308="","",SUMIFS(tbl_Finance[Ex GST],tbl_Finance[Job Number],C308&amp;""))</f>
        <v/>
      </c>
      <c r="M308" s="27">
        <f>IF(C308="","",SUMIFS(tbl_Finance[Ex GST],tbl_Finance[Job Number],C308&amp;"",tbl_Finance[Xero Invoice No],"&lt;&gt;"))</f>
        <v/>
      </c>
      <c r="N308" s="27">
        <f>IF(C308="","",L308-M308)</f>
        <v/>
      </c>
      <c r="O308" s="24" t="n"/>
      <c r="P308" s="27">
        <f>IF(C308="","",IF(O308="",0,MAX(0,O308-L308)))</f>
        <v/>
      </c>
      <c r="Q308" s="26">
        <f>IF(C308="","",IF(K308=0,"not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R308" s="22" t="n"/>
      <c r="S308" s="22" t="n"/>
      <c r="T308" s="26">
        <f>IF(S308="","",HYPERLINK(IF(LEFT(S308,4)="http",S308,set_QwilrBase&amp;S308),"Open quote"))</f>
        <v/>
      </c>
      <c r="U308" s="71" t="n"/>
      <c r="V308" s="22" t="n"/>
      <c r="W308" s="22" t="n"/>
    </row>
    <row r="309" ht="15" customHeight="1">
      <c r="A309" s="70">
        <f>IF(C309="","",IFERROR(IF(SUMPRODUCT(MAX((tbl_Finance[Job Number]&amp;""=C309&amp;"")*(tbl_Finance[Xero Invoice No]&lt;&gt;"")*tbl_Finance[Date]))=0,"",SUMPRODUCT(MAX((tbl_Finance[Job Number]&amp;""=C309&amp;"")*(tbl_Finance[Xero Invoice No]&lt;&gt;"")*tbl_Finance[Date]))),""))</f>
        <v/>
      </c>
      <c r="B309" s="26">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2" t="n"/>
      <c r="D309" s="26">
        <f>IF(C309="","",IF(COUNTIF(lst_Jobs,C309&amp;"")&gt;0,"OK","CHECK"))</f>
        <v/>
      </c>
      <c r="E309" s="26">
        <f>IF(C309="","",IFERROR(INDEX(lst_JobName,MATCH(C309&amp;"",lst_Jobs,0)),""))</f>
        <v/>
      </c>
      <c r="F309" s="22" t="n"/>
      <c r="G309" s="22" t="n"/>
      <c r="H309" s="22" t="n"/>
      <c r="I309" s="22" t="n"/>
      <c r="J309" s="22" t="n"/>
      <c r="K309" s="28">
        <f>IF(C309="","",COUNTIFS(tbl_Finance[Job Number],C309&amp;"",tbl_Finance[Ex GST],"&lt;&gt;"))</f>
        <v/>
      </c>
      <c r="L309" s="27">
        <f>IF(C309="","",SUMIFS(tbl_Finance[Ex GST],tbl_Finance[Job Number],C309&amp;""))</f>
        <v/>
      </c>
      <c r="M309" s="27">
        <f>IF(C309="","",SUMIFS(tbl_Finance[Ex GST],tbl_Finance[Job Number],C309&amp;"",tbl_Finance[Xero Invoice No],"&lt;&gt;"))</f>
        <v/>
      </c>
      <c r="N309" s="27">
        <f>IF(C309="","",L309-M309)</f>
        <v/>
      </c>
      <c r="O309" s="24" t="n"/>
      <c r="P309" s="27">
        <f>IF(C309="","",IF(O309="",0,MAX(0,O309-L309)))</f>
        <v/>
      </c>
      <c r="Q309" s="26">
        <f>IF(C309="","",IF(K309=0,"not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R309" s="22" t="n"/>
      <c r="S309" s="22" t="n"/>
      <c r="T309" s="26">
        <f>IF(S309="","",HYPERLINK(IF(LEFT(S309,4)="http",S309,set_QwilrBase&amp;S309),"Open quote"))</f>
        <v/>
      </c>
      <c r="U309" s="71" t="n"/>
      <c r="V309" s="22" t="n"/>
      <c r="W309" s="22" t="n"/>
    </row>
    <row r="310" ht="15" customHeight="1">
      <c r="A310" s="70">
        <f>IF(C310="","",IFERROR(IF(SUMPRODUCT(MAX((tbl_Finance[Job Number]&amp;""=C310&amp;"")*(tbl_Finance[Xero Invoice No]&lt;&gt;"")*tbl_Finance[Date]))=0,"",SUMPRODUCT(MAX((tbl_Finance[Job Number]&amp;""=C310&amp;"")*(tbl_Finance[Xero Invoice No]&lt;&gt;"")*tbl_Finance[Date]))),""))</f>
        <v/>
      </c>
      <c r="B310" s="26">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2" t="n"/>
      <c r="D310" s="26">
        <f>IF(C310="","",IF(COUNTIF(lst_Jobs,C310&amp;"")&gt;0,"OK","CHECK"))</f>
        <v/>
      </c>
      <c r="E310" s="26">
        <f>IF(C310="","",IFERROR(INDEX(lst_JobName,MATCH(C310&amp;"",lst_Jobs,0)),""))</f>
        <v/>
      </c>
      <c r="F310" s="22" t="n"/>
      <c r="G310" s="22" t="n"/>
      <c r="H310" s="22" t="n"/>
      <c r="I310" s="22" t="n"/>
      <c r="J310" s="22" t="n"/>
      <c r="K310" s="28">
        <f>IF(C310="","",COUNTIFS(tbl_Finance[Job Number],C310&amp;"",tbl_Finance[Ex GST],"&lt;&gt;"))</f>
        <v/>
      </c>
      <c r="L310" s="27">
        <f>IF(C310="","",SUMIFS(tbl_Finance[Ex GST],tbl_Finance[Job Number],C310&amp;""))</f>
        <v/>
      </c>
      <c r="M310" s="27">
        <f>IF(C310="","",SUMIFS(tbl_Finance[Ex GST],tbl_Finance[Job Number],C310&amp;"",tbl_Finance[Xero Invoice No],"&lt;&gt;"))</f>
        <v/>
      </c>
      <c r="N310" s="27">
        <f>IF(C310="","",L310-M310)</f>
        <v/>
      </c>
      <c r="O310" s="24" t="n"/>
      <c r="P310" s="27">
        <f>IF(C310="","",IF(O310="",0,MAX(0,O310-L310)))</f>
        <v/>
      </c>
      <c r="Q310" s="26">
        <f>IF(C310="","",IF(K310=0,"not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R310" s="22" t="n"/>
      <c r="S310" s="22" t="n"/>
      <c r="T310" s="26">
        <f>IF(S310="","",HYPERLINK(IF(LEFT(S310,4)="http",S310,set_QwilrBase&amp;S310),"Open quote"))</f>
        <v/>
      </c>
      <c r="U310" s="71" t="n"/>
      <c r="V310" s="22" t="n"/>
      <c r="W310" s="22" t="n"/>
    </row>
    <row r="311" ht="15" customHeight="1">
      <c r="A311" s="70">
        <f>IF(C311="","",IFERROR(IF(SUMPRODUCT(MAX((tbl_Finance[Job Number]&amp;""=C311&amp;"")*(tbl_Finance[Xero Invoice No]&lt;&gt;"")*tbl_Finance[Date]))=0,"",SUMPRODUCT(MAX((tbl_Finance[Job Number]&amp;""=C311&amp;"")*(tbl_Finance[Xero Invoice No]&lt;&gt;"")*tbl_Finance[Date]))),""))</f>
        <v/>
      </c>
      <c r="B311" s="26">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2" t="n"/>
      <c r="D311" s="26">
        <f>IF(C311="","",IF(COUNTIF(lst_Jobs,C311&amp;"")&gt;0,"OK","CHECK"))</f>
        <v/>
      </c>
      <c r="E311" s="26">
        <f>IF(C311="","",IFERROR(INDEX(lst_JobName,MATCH(C311&amp;"",lst_Jobs,0)),""))</f>
        <v/>
      </c>
      <c r="F311" s="22" t="n"/>
      <c r="G311" s="22" t="n"/>
      <c r="H311" s="22" t="n"/>
      <c r="I311" s="22" t="n"/>
      <c r="J311" s="22" t="n"/>
      <c r="K311" s="28">
        <f>IF(C311="","",COUNTIFS(tbl_Finance[Job Number],C311&amp;"",tbl_Finance[Ex GST],"&lt;&gt;"))</f>
        <v/>
      </c>
      <c r="L311" s="27">
        <f>IF(C311="","",SUMIFS(tbl_Finance[Ex GST],tbl_Finance[Job Number],C311&amp;""))</f>
        <v/>
      </c>
      <c r="M311" s="27">
        <f>IF(C311="","",SUMIFS(tbl_Finance[Ex GST],tbl_Finance[Job Number],C311&amp;"",tbl_Finance[Xero Invoice No],"&lt;&gt;"))</f>
        <v/>
      </c>
      <c r="N311" s="27">
        <f>IF(C311="","",L311-M311)</f>
        <v/>
      </c>
      <c r="O311" s="24" t="n"/>
      <c r="P311" s="27">
        <f>IF(C311="","",IF(O311="",0,MAX(0,O311-L311)))</f>
        <v/>
      </c>
      <c r="Q311" s="26">
        <f>IF(C311="","",IF(K311=0,"not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R311" s="22" t="n"/>
      <c r="S311" s="22" t="n"/>
      <c r="T311" s="26">
        <f>IF(S311="","",HYPERLINK(IF(LEFT(S311,4)="http",S311,set_QwilrBase&amp;S311),"Open quote"))</f>
        <v/>
      </c>
      <c r="U311" s="71" t="n"/>
      <c r="V311" s="22" t="n"/>
      <c r="W311" s="22" t="n"/>
    </row>
    <row r="312" ht="15" customHeight="1">
      <c r="A312" s="70">
        <f>IF(C312="","",IFERROR(IF(SUMPRODUCT(MAX((tbl_Finance[Job Number]&amp;""=C312&amp;"")*(tbl_Finance[Xero Invoice No]&lt;&gt;"")*tbl_Finance[Date]))=0,"",SUMPRODUCT(MAX((tbl_Finance[Job Number]&amp;""=C312&amp;"")*(tbl_Finance[Xero Invoice No]&lt;&gt;"")*tbl_Finance[Date]))),""))</f>
        <v/>
      </c>
      <c r="B312" s="26">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2" t="n"/>
      <c r="D312" s="26">
        <f>IF(C312="","",IF(COUNTIF(lst_Jobs,C312&amp;"")&gt;0,"OK","CHECK"))</f>
        <v/>
      </c>
      <c r="E312" s="26">
        <f>IF(C312="","",IFERROR(INDEX(lst_JobName,MATCH(C312&amp;"",lst_Jobs,0)),""))</f>
        <v/>
      </c>
      <c r="F312" s="22" t="n"/>
      <c r="G312" s="22" t="n"/>
      <c r="H312" s="22" t="n"/>
      <c r="I312" s="22" t="n"/>
      <c r="J312" s="22" t="n"/>
      <c r="K312" s="28">
        <f>IF(C312="","",COUNTIFS(tbl_Finance[Job Number],C312&amp;"",tbl_Finance[Ex GST],"&lt;&gt;"))</f>
        <v/>
      </c>
      <c r="L312" s="27">
        <f>IF(C312="","",SUMIFS(tbl_Finance[Ex GST],tbl_Finance[Job Number],C312&amp;""))</f>
        <v/>
      </c>
      <c r="M312" s="27">
        <f>IF(C312="","",SUMIFS(tbl_Finance[Ex GST],tbl_Finance[Job Number],C312&amp;"",tbl_Finance[Xero Invoice No],"&lt;&gt;"))</f>
        <v/>
      </c>
      <c r="N312" s="27">
        <f>IF(C312="","",L312-M312)</f>
        <v/>
      </c>
      <c r="O312" s="24" t="n"/>
      <c r="P312" s="27">
        <f>IF(C312="","",IF(O312="",0,MAX(0,O312-L312)))</f>
        <v/>
      </c>
      <c r="Q312" s="26">
        <f>IF(C312="","",IF(K312=0,"not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R312" s="22" t="n"/>
      <c r="S312" s="22" t="n"/>
      <c r="T312" s="26">
        <f>IF(S312="","",HYPERLINK(IF(LEFT(S312,4)="http",S312,set_QwilrBase&amp;S312),"Open quote"))</f>
        <v/>
      </c>
      <c r="U312" s="71" t="n"/>
      <c r="V312" s="22" t="n"/>
      <c r="W312" s="22" t="n"/>
    </row>
    <row r="313" ht="15" customHeight="1">
      <c r="A313" s="70">
        <f>IF(C313="","",IFERROR(IF(SUMPRODUCT(MAX((tbl_Finance[Job Number]&amp;""=C313&amp;"")*(tbl_Finance[Xero Invoice No]&lt;&gt;"")*tbl_Finance[Date]))=0,"",SUMPRODUCT(MAX((tbl_Finance[Job Number]&amp;""=C313&amp;"")*(tbl_Finance[Xero Invoice No]&lt;&gt;"")*tbl_Finance[Date]))),""))</f>
        <v/>
      </c>
      <c r="B313" s="26">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2" t="n"/>
      <c r="D313" s="26">
        <f>IF(C313="","",IF(COUNTIF(lst_Jobs,C313&amp;"")&gt;0,"OK","CHECK"))</f>
        <v/>
      </c>
      <c r="E313" s="26">
        <f>IF(C313="","",IFERROR(INDEX(lst_JobName,MATCH(C313&amp;"",lst_Jobs,0)),""))</f>
        <v/>
      </c>
      <c r="F313" s="22" t="n"/>
      <c r="G313" s="22" t="n"/>
      <c r="H313" s="22" t="n"/>
      <c r="I313" s="22" t="n"/>
      <c r="J313" s="22" t="n"/>
      <c r="K313" s="28">
        <f>IF(C313="","",COUNTIFS(tbl_Finance[Job Number],C313&amp;"",tbl_Finance[Ex GST],"&lt;&gt;"))</f>
        <v/>
      </c>
      <c r="L313" s="27">
        <f>IF(C313="","",SUMIFS(tbl_Finance[Ex GST],tbl_Finance[Job Number],C313&amp;""))</f>
        <v/>
      </c>
      <c r="M313" s="27">
        <f>IF(C313="","",SUMIFS(tbl_Finance[Ex GST],tbl_Finance[Job Number],C313&amp;"",tbl_Finance[Xero Invoice No],"&lt;&gt;"))</f>
        <v/>
      </c>
      <c r="N313" s="27">
        <f>IF(C313="","",L313-M313)</f>
        <v/>
      </c>
      <c r="O313" s="24" t="n"/>
      <c r="P313" s="27">
        <f>IF(C313="","",IF(O313="",0,MAX(0,O313-L313)))</f>
        <v/>
      </c>
      <c r="Q313" s="26">
        <f>IF(C313="","",IF(K313=0,"not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R313" s="22" t="n"/>
      <c r="S313" s="22" t="n"/>
      <c r="T313" s="26">
        <f>IF(S313="","",HYPERLINK(IF(LEFT(S313,4)="http",S313,set_QwilrBase&amp;S313),"Open quote"))</f>
        <v/>
      </c>
      <c r="U313" s="71" t="n"/>
      <c r="V313" s="22" t="n"/>
      <c r="W313" s="22" t="n"/>
    </row>
    <row r="314" ht="15" customHeight="1">
      <c r="A314" s="70">
        <f>IF(C314="","",IFERROR(IF(SUMPRODUCT(MAX((tbl_Finance[Job Number]&amp;""=C314&amp;"")*(tbl_Finance[Xero Invoice No]&lt;&gt;"")*tbl_Finance[Date]))=0,"",SUMPRODUCT(MAX((tbl_Finance[Job Number]&amp;""=C314&amp;"")*(tbl_Finance[Xero Invoice No]&lt;&gt;"")*tbl_Finance[Date]))),""))</f>
        <v/>
      </c>
      <c r="B314" s="26">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2" t="n"/>
      <c r="D314" s="26">
        <f>IF(C314="","",IF(COUNTIF(lst_Jobs,C314&amp;"")&gt;0,"OK","CHECK"))</f>
        <v/>
      </c>
      <c r="E314" s="26">
        <f>IF(C314="","",IFERROR(INDEX(lst_JobName,MATCH(C314&amp;"",lst_Jobs,0)),""))</f>
        <v/>
      </c>
      <c r="F314" s="22" t="n"/>
      <c r="G314" s="22" t="n"/>
      <c r="H314" s="22" t="n"/>
      <c r="I314" s="22" t="n"/>
      <c r="J314" s="22" t="n"/>
      <c r="K314" s="28">
        <f>IF(C314="","",COUNTIFS(tbl_Finance[Job Number],C314&amp;"",tbl_Finance[Ex GST],"&lt;&gt;"))</f>
        <v/>
      </c>
      <c r="L314" s="27">
        <f>IF(C314="","",SUMIFS(tbl_Finance[Ex GST],tbl_Finance[Job Number],C314&amp;""))</f>
        <v/>
      </c>
      <c r="M314" s="27">
        <f>IF(C314="","",SUMIFS(tbl_Finance[Ex GST],tbl_Finance[Job Number],C314&amp;"",tbl_Finance[Xero Invoice No],"&lt;&gt;"))</f>
        <v/>
      </c>
      <c r="N314" s="27">
        <f>IF(C314="","",L314-M314)</f>
        <v/>
      </c>
      <c r="O314" s="24" t="n"/>
      <c r="P314" s="27">
        <f>IF(C314="","",IF(O314="",0,MAX(0,O314-L314)))</f>
        <v/>
      </c>
      <c r="Q314" s="26">
        <f>IF(C314="","",IF(K314=0,"not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R314" s="22" t="n"/>
      <c r="S314" s="22" t="n"/>
      <c r="T314" s="26">
        <f>IF(S314="","",HYPERLINK(IF(LEFT(S314,4)="http",S314,set_QwilrBase&amp;S314),"Open quote"))</f>
        <v/>
      </c>
      <c r="U314" s="71" t="n"/>
      <c r="V314" s="22" t="n"/>
      <c r="W314" s="22" t="n"/>
    </row>
    <row r="315" ht="15" customHeight="1">
      <c r="A315" s="70">
        <f>IF(C315="","",IFERROR(IF(SUMPRODUCT(MAX((tbl_Finance[Job Number]&amp;""=C315&amp;"")*(tbl_Finance[Xero Invoice No]&lt;&gt;"")*tbl_Finance[Date]))=0,"",SUMPRODUCT(MAX((tbl_Finance[Job Number]&amp;""=C315&amp;"")*(tbl_Finance[Xero Invoice No]&lt;&gt;"")*tbl_Finance[Date]))),""))</f>
        <v/>
      </c>
      <c r="B315" s="26">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2" t="n"/>
      <c r="D315" s="26">
        <f>IF(C315="","",IF(COUNTIF(lst_Jobs,C315&amp;"")&gt;0,"OK","CHECK"))</f>
        <v/>
      </c>
      <c r="E315" s="26">
        <f>IF(C315="","",IFERROR(INDEX(lst_JobName,MATCH(C315&amp;"",lst_Jobs,0)),""))</f>
        <v/>
      </c>
      <c r="F315" s="22" t="n"/>
      <c r="G315" s="22" t="n"/>
      <c r="H315" s="22" t="n"/>
      <c r="I315" s="22" t="n"/>
      <c r="J315" s="22" t="n"/>
      <c r="K315" s="28">
        <f>IF(C315="","",COUNTIFS(tbl_Finance[Job Number],C315&amp;"",tbl_Finance[Ex GST],"&lt;&gt;"))</f>
        <v/>
      </c>
      <c r="L315" s="27">
        <f>IF(C315="","",SUMIFS(tbl_Finance[Ex GST],tbl_Finance[Job Number],C315&amp;""))</f>
        <v/>
      </c>
      <c r="M315" s="27">
        <f>IF(C315="","",SUMIFS(tbl_Finance[Ex GST],tbl_Finance[Job Number],C315&amp;"",tbl_Finance[Xero Invoice No],"&lt;&gt;"))</f>
        <v/>
      </c>
      <c r="N315" s="27">
        <f>IF(C315="","",L315-M315)</f>
        <v/>
      </c>
      <c r="O315" s="24" t="n"/>
      <c r="P315" s="27">
        <f>IF(C315="","",IF(O315="",0,MAX(0,O315-L315)))</f>
        <v/>
      </c>
      <c r="Q315" s="26">
        <f>IF(C315="","",IF(K315=0,"not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R315" s="22" t="n"/>
      <c r="S315" s="22" t="n"/>
      <c r="T315" s="26">
        <f>IF(S315="","",HYPERLINK(IF(LEFT(S315,4)="http",S315,set_QwilrBase&amp;S315),"Open quote"))</f>
        <v/>
      </c>
      <c r="U315" s="71" t="n"/>
      <c r="V315" s="22" t="n"/>
      <c r="W315" s="22" t="n"/>
    </row>
    <row r="316" ht="15" customHeight="1">
      <c r="A316" s="70">
        <f>IF(C316="","",IFERROR(IF(SUMPRODUCT(MAX((tbl_Finance[Job Number]&amp;""=C316&amp;"")*(tbl_Finance[Xero Invoice No]&lt;&gt;"")*tbl_Finance[Date]))=0,"",SUMPRODUCT(MAX((tbl_Finance[Job Number]&amp;""=C316&amp;"")*(tbl_Finance[Xero Invoice No]&lt;&gt;"")*tbl_Finance[Date]))),""))</f>
        <v/>
      </c>
      <c r="B316" s="26">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2" t="n"/>
      <c r="D316" s="26">
        <f>IF(C316="","",IF(COUNTIF(lst_Jobs,C316&amp;"")&gt;0,"OK","CHECK"))</f>
        <v/>
      </c>
      <c r="E316" s="26">
        <f>IF(C316="","",IFERROR(INDEX(lst_JobName,MATCH(C316&amp;"",lst_Jobs,0)),""))</f>
        <v/>
      </c>
      <c r="F316" s="22" t="n"/>
      <c r="G316" s="22" t="n"/>
      <c r="H316" s="22" t="n"/>
      <c r="I316" s="22" t="n"/>
      <c r="J316" s="22" t="n"/>
      <c r="K316" s="28">
        <f>IF(C316="","",COUNTIFS(tbl_Finance[Job Number],C316&amp;"",tbl_Finance[Ex GST],"&lt;&gt;"))</f>
        <v/>
      </c>
      <c r="L316" s="27">
        <f>IF(C316="","",SUMIFS(tbl_Finance[Ex GST],tbl_Finance[Job Number],C316&amp;""))</f>
        <v/>
      </c>
      <c r="M316" s="27">
        <f>IF(C316="","",SUMIFS(tbl_Finance[Ex GST],tbl_Finance[Job Number],C316&amp;"",tbl_Finance[Xero Invoice No],"&lt;&gt;"))</f>
        <v/>
      </c>
      <c r="N316" s="27">
        <f>IF(C316="","",L316-M316)</f>
        <v/>
      </c>
      <c r="O316" s="24" t="n"/>
      <c r="P316" s="27">
        <f>IF(C316="","",IF(O316="",0,MAX(0,O316-L316)))</f>
        <v/>
      </c>
      <c r="Q316" s="26">
        <f>IF(C316="","",IF(K316=0,"not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R316" s="22" t="n"/>
      <c r="S316" s="22" t="n"/>
      <c r="T316" s="26">
        <f>IF(S316="","",HYPERLINK(IF(LEFT(S316,4)="http",S316,set_QwilrBase&amp;S316),"Open quote"))</f>
        <v/>
      </c>
      <c r="U316" s="71" t="n"/>
      <c r="V316" s="22" t="n"/>
      <c r="W316" s="22" t="n"/>
    </row>
    <row r="317" ht="15" customHeight="1">
      <c r="A317" s="70">
        <f>IF(C317="","",IFERROR(IF(SUMPRODUCT(MAX((tbl_Finance[Job Number]&amp;""=C317&amp;"")*(tbl_Finance[Xero Invoice No]&lt;&gt;"")*tbl_Finance[Date]))=0,"",SUMPRODUCT(MAX((tbl_Finance[Job Number]&amp;""=C317&amp;"")*(tbl_Finance[Xero Invoice No]&lt;&gt;"")*tbl_Finance[Date]))),""))</f>
        <v/>
      </c>
      <c r="B317" s="26">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2" t="n"/>
      <c r="D317" s="26">
        <f>IF(C317="","",IF(COUNTIF(lst_Jobs,C317&amp;"")&gt;0,"OK","CHECK"))</f>
        <v/>
      </c>
      <c r="E317" s="26">
        <f>IF(C317="","",IFERROR(INDEX(lst_JobName,MATCH(C317&amp;"",lst_Jobs,0)),""))</f>
        <v/>
      </c>
      <c r="F317" s="22" t="n"/>
      <c r="G317" s="22" t="n"/>
      <c r="H317" s="22" t="n"/>
      <c r="I317" s="22" t="n"/>
      <c r="J317" s="22" t="n"/>
      <c r="K317" s="28">
        <f>IF(C317="","",COUNTIFS(tbl_Finance[Job Number],C317&amp;"",tbl_Finance[Ex GST],"&lt;&gt;"))</f>
        <v/>
      </c>
      <c r="L317" s="27">
        <f>IF(C317="","",SUMIFS(tbl_Finance[Ex GST],tbl_Finance[Job Number],C317&amp;""))</f>
        <v/>
      </c>
      <c r="M317" s="27">
        <f>IF(C317="","",SUMIFS(tbl_Finance[Ex GST],tbl_Finance[Job Number],C317&amp;"",tbl_Finance[Xero Invoice No],"&lt;&gt;"))</f>
        <v/>
      </c>
      <c r="N317" s="27">
        <f>IF(C317="","",L317-M317)</f>
        <v/>
      </c>
      <c r="O317" s="24" t="n"/>
      <c r="P317" s="27">
        <f>IF(C317="","",IF(O317="",0,MAX(0,O317-L317)))</f>
        <v/>
      </c>
      <c r="Q317" s="26">
        <f>IF(C317="","",IF(K317=0,"not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R317" s="22" t="n"/>
      <c r="S317" s="22" t="n"/>
      <c r="T317" s="26">
        <f>IF(S317="","",HYPERLINK(IF(LEFT(S317,4)="http",S317,set_QwilrBase&amp;S317),"Open quote"))</f>
        <v/>
      </c>
      <c r="U317" s="71" t="n"/>
      <c r="V317" s="22" t="n"/>
      <c r="W317" s="22" t="n"/>
    </row>
    <row r="318" ht="15" customHeight="1">
      <c r="A318" s="70">
        <f>IF(C318="","",IFERROR(IF(SUMPRODUCT(MAX((tbl_Finance[Job Number]&amp;""=C318&amp;"")*(tbl_Finance[Xero Invoice No]&lt;&gt;"")*tbl_Finance[Date]))=0,"",SUMPRODUCT(MAX((tbl_Finance[Job Number]&amp;""=C318&amp;"")*(tbl_Finance[Xero Invoice No]&lt;&gt;"")*tbl_Finance[Date]))),""))</f>
        <v/>
      </c>
      <c r="B318" s="26">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2" t="n"/>
      <c r="D318" s="26">
        <f>IF(C318="","",IF(COUNTIF(lst_Jobs,C318&amp;"")&gt;0,"OK","CHECK"))</f>
        <v/>
      </c>
      <c r="E318" s="26">
        <f>IF(C318="","",IFERROR(INDEX(lst_JobName,MATCH(C318&amp;"",lst_Jobs,0)),""))</f>
        <v/>
      </c>
      <c r="F318" s="22" t="n"/>
      <c r="G318" s="22" t="n"/>
      <c r="H318" s="22" t="n"/>
      <c r="I318" s="22" t="n"/>
      <c r="J318" s="22" t="n"/>
      <c r="K318" s="28">
        <f>IF(C318="","",COUNTIFS(tbl_Finance[Job Number],C318&amp;"",tbl_Finance[Ex GST],"&lt;&gt;"))</f>
        <v/>
      </c>
      <c r="L318" s="27">
        <f>IF(C318="","",SUMIFS(tbl_Finance[Ex GST],tbl_Finance[Job Number],C318&amp;""))</f>
        <v/>
      </c>
      <c r="M318" s="27">
        <f>IF(C318="","",SUMIFS(tbl_Finance[Ex GST],tbl_Finance[Job Number],C318&amp;"",tbl_Finance[Xero Invoice No],"&lt;&gt;"))</f>
        <v/>
      </c>
      <c r="N318" s="27">
        <f>IF(C318="","",L318-M318)</f>
        <v/>
      </c>
      <c r="O318" s="24" t="n"/>
      <c r="P318" s="27">
        <f>IF(C318="","",IF(O318="",0,MAX(0,O318-L318)))</f>
        <v/>
      </c>
      <c r="Q318" s="26">
        <f>IF(C318="","",IF(K318=0,"not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R318" s="22" t="n"/>
      <c r="S318" s="22" t="n"/>
      <c r="T318" s="26">
        <f>IF(S318="","",HYPERLINK(IF(LEFT(S318,4)="http",S318,set_QwilrBase&amp;S318),"Open quote"))</f>
        <v/>
      </c>
      <c r="U318" s="71" t="n"/>
      <c r="V318" s="22" t="n"/>
      <c r="W318" s="22" t="n"/>
    </row>
    <row r="319" ht="15" customHeight="1">
      <c r="A319" s="70">
        <f>IF(C319="","",IFERROR(IF(SUMPRODUCT(MAX((tbl_Finance[Job Number]&amp;""=C319&amp;"")*(tbl_Finance[Xero Invoice No]&lt;&gt;"")*tbl_Finance[Date]))=0,"",SUMPRODUCT(MAX((tbl_Finance[Job Number]&amp;""=C319&amp;"")*(tbl_Finance[Xero Invoice No]&lt;&gt;"")*tbl_Finance[Date]))),""))</f>
        <v/>
      </c>
      <c r="B319" s="26">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2" t="n"/>
      <c r="D319" s="26">
        <f>IF(C319="","",IF(COUNTIF(lst_Jobs,C319&amp;"")&gt;0,"OK","CHECK"))</f>
        <v/>
      </c>
      <c r="E319" s="26">
        <f>IF(C319="","",IFERROR(INDEX(lst_JobName,MATCH(C319&amp;"",lst_Jobs,0)),""))</f>
        <v/>
      </c>
      <c r="F319" s="22" t="n"/>
      <c r="G319" s="22" t="n"/>
      <c r="H319" s="22" t="n"/>
      <c r="I319" s="22" t="n"/>
      <c r="J319" s="22" t="n"/>
      <c r="K319" s="28">
        <f>IF(C319="","",COUNTIFS(tbl_Finance[Job Number],C319&amp;"",tbl_Finance[Ex GST],"&lt;&gt;"))</f>
        <v/>
      </c>
      <c r="L319" s="27">
        <f>IF(C319="","",SUMIFS(tbl_Finance[Ex GST],tbl_Finance[Job Number],C319&amp;""))</f>
        <v/>
      </c>
      <c r="M319" s="27">
        <f>IF(C319="","",SUMIFS(tbl_Finance[Ex GST],tbl_Finance[Job Number],C319&amp;"",tbl_Finance[Xero Invoice No],"&lt;&gt;"))</f>
        <v/>
      </c>
      <c r="N319" s="27">
        <f>IF(C319="","",L319-M319)</f>
        <v/>
      </c>
      <c r="O319" s="24" t="n"/>
      <c r="P319" s="27">
        <f>IF(C319="","",IF(O319="",0,MAX(0,O319-L319)))</f>
        <v/>
      </c>
      <c r="Q319" s="26">
        <f>IF(C319="","",IF(K319=0,"not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R319" s="22" t="n"/>
      <c r="S319" s="22" t="n"/>
      <c r="T319" s="26">
        <f>IF(S319="","",HYPERLINK(IF(LEFT(S319,4)="http",S319,set_QwilrBase&amp;S319),"Open quote"))</f>
        <v/>
      </c>
      <c r="U319" s="71" t="n"/>
      <c r="V319" s="22" t="n"/>
      <c r="W319" s="22" t="n"/>
    </row>
    <row r="320" ht="15" customHeight="1">
      <c r="A320" s="70">
        <f>IF(C320="","",IFERROR(IF(SUMPRODUCT(MAX((tbl_Finance[Job Number]&amp;""=C320&amp;"")*(tbl_Finance[Xero Invoice No]&lt;&gt;"")*tbl_Finance[Date]))=0,"",SUMPRODUCT(MAX((tbl_Finance[Job Number]&amp;""=C320&amp;"")*(tbl_Finance[Xero Invoice No]&lt;&gt;"")*tbl_Finance[Date]))),""))</f>
        <v/>
      </c>
      <c r="B320" s="26">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2" t="n"/>
      <c r="D320" s="26">
        <f>IF(C320="","",IF(COUNTIF(lst_Jobs,C320&amp;"")&gt;0,"OK","CHECK"))</f>
        <v/>
      </c>
      <c r="E320" s="26">
        <f>IF(C320="","",IFERROR(INDEX(lst_JobName,MATCH(C320&amp;"",lst_Jobs,0)),""))</f>
        <v/>
      </c>
      <c r="F320" s="22" t="n"/>
      <c r="G320" s="22" t="n"/>
      <c r="H320" s="22" t="n"/>
      <c r="I320" s="22" t="n"/>
      <c r="J320" s="22" t="n"/>
      <c r="K320" s="28">
        <f>IF(C320="","",COUNTIFS(tbl_Finance[Job Number],C320&amp;"",tbl_Finance[Ex GST],"&lt;&gt;"))</f>
        <v/>
      </c>
      <c r="L320" s="27">
        <f>IF(C320="","",SUMIFS(tbl_Finance[Ex GST],tbl_Finance[Job Number],C320&amp;""))</f>
        <v/>
      </c>
      <c r="M320" s="27">
        <f>IF(C320="","",SUMIFS(tbl_Finance[Ex GST],tbl_Finance[Job Number],C320&amp;"",tbl_Finance[Xero Invoice No],"&lt;&gt;"))</f>
        <v/>
      </c>
      <c r="N320" s="27">
        <f>IF(C320="","",L320-M320)</f>
        <v/>
      </c>
      <c r="O320" s="24" t="n"/>
      <c r="P320" s="27">
        <f>IF(C320="","",IF(O320="",0,MAX(0,O320-L320)))</f>
        <v/>
      </c>
      <c r="Q320" s="26">
        <f>IF(C320="","",IF(K320=0,"not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R320" s="22" t="n"/>
      <c r="S320" s="22" t="n"/>
      <c r="T320" s="26">
        <f>IF(S320="","",HYPERLINK(IF(LEFT(S320,4)="http",S320,set_QwilrBase&amp;S320),"Open quote"))</f>
        <v/>
      </c>
      <c r="U320" s="71" t="n"/>
      <c r="V320" s="22" t="n"/>
      <c r="W320" s="22" t="n"/>
    </row>
    <row r="321" ht="15" customHeight="1">
      <c r="A321" s="70">
        <f>IF(C321="","",IFERROR(IF(SUMPRODUCT(MAX((tbl_Finance[Job Number]&amp;""=C321&amp;"")*(tbl_Finance[Xero Invoice No]&lt;&gt;"")*tbl_Finance[Date]))=0,"",SUMPRODUCT(MAX((tbl_Finance[Job Number]&amp;""=C321&amp;"")*(tbl_Finance[Xero Invoice No]&lt;&gt;"")*tbl_Finance[Date]))),""))</f>
        <v/>
      </c>
      <c r="B321" s="26">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2" t="n"/>
      <c r="D321" s="26">
        <f>IF(C321="","",IF(COUNTIF(lst_Jobs,C321&amp;"")&gt;0,"OK","CHECK"))</f>
        <v/>
      </c>
      <c r="E321" s="26">
        <f>IF(C321="","",IFERROR(INDEX(lst_JobName,MATCH(C321&amp;"",lst_Jobs,0)),""))</f>
        <v/>
      </c>
      <c r="F321" s="22" t="n"/>
      <c r="G321" s="22" t="n"/>
      <c r="H321" s="22" t="n"/>
      <c r="I321" s="22" t="n"/>
      <c r="J321" s="22" t="n"/>
      <c r="K321" s="28">
        <f>IF(C321="","",COUNTIFS(tbl_Finance[Job Number],C321&amp;"",tbl_Finance[Ex GST],"&lt;&gt;"))</f>
        <v/>
      </c>
      <c r="L321" s="27">
        <f>IF(C321="","",SUMIFS(tbl_Finance[Ex GST],tbl_Finance[Job Number],C321&amp;""))</f>
        <v/>
      </c>
      <c r="M321" s="27">
        <f>IF(C321="","",SUMIFS(tbl_Finance[Ex GST],tbl_Finance[Job Number],C321&amp;"",tbl_Finance[Xero Invoice No],"&lt;&gt;"))</f>
        <v/>
      </c>
      <c r="N321" s="27">
        <f>IF(C321="","",L321-M321)</f>
        <v/>
      </c>
      <c r="O321" s="24" t="n"/>
      <c r="P321" s="27">
        <f>IF(C321="","",IF(O321="",0,MAX(0,O321-L321)))</f>
        <v/>
      </c>
      <c r="Q321" s="26">
        <f>IF(C321="","",IF(K321=0,"not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R321" s="22" t="n"/>
      <c r="S321" s="22" t="n"/>
      <c r="T321" s="26">
        <f>IF(S321="","",HYPERLINK(IF(LEFT(S321,4)="http",S321,set_QwilrBase&amp;S321),"Open quote"))</f>
        <v/>
      </c>
      <c r="U321" s="71" t="n"/>
      <c r="V321" s="22" t="n"/>
      <c r="W321" s="22" t="n"/>
    </row>
    <row r="322" ht="15" customHeight="1">
      <c r="A322" s="70">
        <f>IF(C322="","",IFERROR(IF(SUMPRODUCT(MAX((tbl_Finance[Job Number]&amp;""=C322&amp;"")*(tbl_Finance[Xero Invoice No]&lt;&gt;"")*tbl_Finance[Date]))=0,"",SUMPRODUCT(MAX((tbl_Finance[Job Number]&amp;""=C322&amp;"")*(tbl_Finance[Xero Invoice No]&lt;&gt;"")*tbl_Finance[Date]))),""))</f>
        <v/>
      </c>
      <c r="B322" s="26">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2" t="n"/>
      <c r="D322" s="26">
        <f>IF(C322="","",IF(COUNTIF(lst_Jobs,C322&amp;"")&gt;0,"OK","CHECK"))</f>
        <v/>
      </c>
      <c r="E322" s="26">
        <f>IF(C322="","",IFERROR(INDEX(lst_JobName,MATCH(C322&amp;"",lst_Jobs,0)),""))</f>
        <v/>
      </c>
      <c r="F322" s="22" t="n"/>
      <c r="G322" s="22" t="n"/>
      <c r="H322" s="22" t="n"/>
      <c r="I322" s="22" t="n"/>
      <c r="J322" s="22" t="n"/>
      <c r="K322" s="28">
        <f>IF(C322="","",COUNTIFS(tbl_Finance[Job Number],C322&amp;"",tbl_Finance[Ex GST],"&lt;&gt;"))</f>
        <v/>
      </c>
      <c r="L322" s="27">
        <f>IF(C322="","",SUMIFS(tbl_Finance[Ex GST],tbl_Finance[Job Number],C322&amp;""))</f>
        <v/>
      </c>
      <c r="M322" s="27">
        <f>IF(C322="","",SUMIFS(tbl_Finance[Ex GST],tbl_Finance[Job Number],C322&amp;"",tbl_Finance[Xero Invoice No],"&lt;&gt;"))</f>
        <v/>
      </c>
      <c r="N322" s="27">
        <f>IF(C322="","",L322-M322)</f>
        <v/>
      </c>
      <c r="O322" s="24" t="n"/>
      <c r="P322" s="27">
        <f>IF(C322="","",IF(O322="",0,MAX(0,O322-L322)))</f>
        <v/>
      </c>
      <c r="Q322" s="26">
        <f>IF(C322="","",IF(K322=0,"not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R322" s="22" t="n"/>
      <c r="S322" s="22" t="n"/>
      <c r="T322" s="26">
        <f>IF(S322="","",HYPERLINK(IF(LEFT(S322,4)="http",S322,set_QwilrBase&amp;S322),"Open quote"))</f>
        <v/>
      </c>
      <c r="U322" s="71" t="n"/>
      <c r="V322" s="22" t="n"/>
      <c r="W322" s="22" t="n"/>
    </row>
    <row r="323" ht="15" customHeight="1">
      <c r="A323" s="70">
        <f>IF(C323="","",IFERROR(IF(SUMPRODUCT(MAX((tbl_Finance[Job Number]&amp;""=C323&amp;"")*(tbl_Finance[Xero Invoice No]&lt;&gt;"")*tbl_Finance[Date]))=0,"",SUMPRODUCT(MAX((tbl_Finance[Job Number]&amp;""=C323&amp;"")*(tbl_Finance[Xero Invoice No]&lt;&gt;"")*tbl_Finance[Date]))),""))</f>
        <v/>
      </c>
      <c r="B323" s="26">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2" t="n"/>
      <c r="D323" s="26">
        <f>IF(C323="","",IF(COUNTIF(lst_Jobs,C323&amp;"")&gt;0,"OK","CHECK"))</f>
        <v/>
      </c>
      <c r="E323" s="26">
        <f>IF(C323="","",IFERROR(INDEX(lst_JobName,MATCH(C323&amp;"",lst_Jobs,0)),""))</f>
        <v/>
      </c>
      <c r="F323" s="22" t="n"/>
      <c r="G323" s="22" t="n"/>
      <c r="H323" s="22" t="n"/>
      <c r="I323" s="22" t="n"/>
      <c r="J323" s="22" t="n"/>
      <c r="K323" s="28">
        <f>IF(C323="","",COUNTIFS(tbl_Finance[Job Number],C323&amp;"",tbl_Finance[Ex GST],"&lt;&gt;"))</f>
        <v/>
      </c>
      <c r="L323" s="27">
        <f>IF(C323="","",SUMIFS(tbl_Finance[Ex GST],tbl_Finance[Job Number],C323&amp;""))</f>
        <v/>
      </c>
      <c r="M323" s="27">
        <f>IF(C323="","",SUMIFS(tbl_Finance[Ex GST],tbl_Finance[Job Number],C323&amp;"",tbl_Finance[Xero Invoice No],"&lt;&gt;"))</f>
        <v/>
      </c>
      <c r="N323" s="27">
        <f>IF(C323="","",L323-M323)</f>
        <v/>
      </c>
      <c r="O323" s="24" t="n"/>
      <c r="P323" s="27">
        <f>IF(C323="","",IF(O323="",0,MAX(0,O323-L323)))</f>
        <v/>
      </c>
      <c r="Q323" s="26">
        <f>IF(C323="","",IF(K323=0,"not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R323" s="22" t="n"/>
      <c r="S323" s="22" t="n"/>
      <c r="T323" s="26">
        <f>IF(S323="","",HYPERLINK(IF(LEFT(S323,4)="http",S323,set_QwilrBase&amp;S323),"Open quote"))</f>
        <v/>
      </c>
      <c r="U323" s="71" t="n"/>
      <c r="V323" s="22" t="n"/>
      <c r="W323" s="22" t="n"/>
    </row>
    <row r="324" ht="15" customHeight="1">
      <c r="A324" s="70">
        <f>IF(C324="","",IFERROR(IF(SUMPRODUCT(MAX((tbl_Finance[Job Number]&amp;""=C324&amp;"")*(tbl_Finance[Xero Invoice No]&lt;&gt;"")*tbl_Finance[Date]))=0,"",SUMPRODUCT(MAX((tbl_Finance[Job Number]&amp;""=C324&amp;"")*(tbl_Finance[Xero Invoice No]&lt;&gt;"")*tbl_Finance[Date]))),""))</f>
        <v/>
      </c>
      <c r="B324" s="26">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2" t="n"/>
      <c r="D324" s="26">
        <f>IF(C324="","",IF(COUNTIF(lst_Jobs,C324&amp;"")&gt;0,"OK","CHECK"))</f>
        <v/>
      </c>
      <c r="E324" s="26">
        <f>IF(C324="","",IFERROR(INDEX(lst_JobName,MATCH(C324&amp;"",lst_Jobs,0)),""))</f>
        <v/>
      </c>
      <c r="F324" s="22" t="n"/>
      <c r="G324" s="22" t="n"/>
      <c r="H324" s="22" t="n"/>
      <c r="I324" s="22" t="n"/>
      <c r="J324" s="22" t="n"/>
      <c r="K324" s="28">
        <f>IF(C324="","",COUNTIFS(tbl_Finance[Job Number],C324&amp;"",tbl_Finance[Ex GST],"&lt;&gt;"))</f>
        <v/>
      </c>
      <c r="L324" s="27">
        <f>IF(C324="","",SUMIFS(tbl_Finance[Ex GST],tbl_Finance[Job Number],C324&amp;""))</f>
        <v/>
      </c>
      <c r="M324" s="27">
        <f>IF(C324="","",SUMIFS(tbl_Finance[Ex GST],tbl_Finance[Job Number],C324&amp;"",tbl_Finance[Xero Invoice No],"&lt;&gt;"))</f>
        <v/>
      </c>
      <c r="N324" s="27">
        <f>IF(C324="","",L324-M324)</f>
        <v/>
      </c>
      <c r="O324" s="24" t="n"/>
      <c r="P324" s="27">
        <f>IF(C324="","",IF(O324="",0,MAX(0,O324-L324)))</f>
        <v/>
      </c>
      <c r="Q324" s="26">
        <f>IF(C324="","",IF(K324=0,"not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R324" s="22" t="n"/>
      <c r="S324" s="22" t="n"/>
      <c r="T324" s="26">
        <f>IF(S324="","",HYPERLINK(IF(LEFT(S324,4)="http",S324,set_QwilrBase&amp;S324),"Open quote"))</f>
        <v/>
      </c>
      <c r="U324" s="71" t="n"/>
      <c r="V324" s="22" t="n"/>
      <c r="W324" s="22" t="n"/>
    </row>
    <row r="325" ht="15" customHeight="1">
      <c r="A325" s="70">
        <f>IF(C325="","",IFERROR(IF(SUMPRODUCT(MAX((tbl_Finance[Job Number]&amp;""=C325&amp;"")*(tbl_Finance[Xero Invoice No]&lt;&gt;"")*tbl_Finance[Date]))=0,"",SUMPRODUCT(MAX((tbl_Finance[Job Number]&amp;""=C325&amp;"")*(tbl_Finance[Xero Invoice No]&lt;&gt;"")*tbl_Finance[Date]))),""))</f>
        <v/>
      </c>
      <c r="B325" s="26">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2" t="n"/>
      <c r="D325" s="26">
        <f>IF(C325="","",IF(COUNTIF(lst_Jobs,C325&amp;"")&gt;0,"OK","CHECK"))</f>
        <v/>
      </c>
      <c r="E325" s="26">
        <f>IF(C325="","",IFERROR(INDEX(lst_JobName,MATCH(C325&amp;"",lst_Jobs,0)),""))</f>
        <v/>
      </c>
      <c r="F325" s="22" t="n"/>
      <c r="G325" s="22" t="n"/>
      <c r="H325" s="22" t="n"/>
      <c r="I325" s="22" t="n"/>
      <c r="J325" s="22" t="n"/>
      <c r="K325" s="28">
        <f>IF(C325="","",COUNTIFS(tbl_Finance[Job Number],C325&amp;"",tbl_Finance[Ex GST],"&lt;&gt;"))</f>
        <v/>
      </c>
      <c r="L325" s="27">
        <f>IF(C325="","",SUMIFS(tbl_Finance[Ex GST],tbl_Finance[Job Number],C325&amp;""))</f>
        <v/>
      </c>
      <c r="M325" s="27">
        <f>IF(C325="","",SUMIFS(tbl_Finance[Ex GST],tbl_Finance[Job Number],C325&amp;"",tbl_Finance[Xero Invoice No],"&lt;&gt;"))</f>
        <v/>
      </c>
      <c r="N325" s="27">
        <f>IF(C325="","",L325-M325)</f>
        <v/>
      </c>
      <c r="O325" s="24" t="n"/>
      <c r="P325" s="27">
        <f>IF(C325="","",IF(O325="",0,MAX(0,O325-L325)))</f>
        <v/>
      </c>
      <c r="Q325" s="26">
        <f>IF(C325="","",IF(K325=0,"not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R325" s="22" t="n"/>
      <c r="S325" s="22" t="n"/>
      <c r="T325" s="26">
        <f>IF(S325="","",HYPERLINK(IF(LEFT(S325,4)="http",S325,set_QwilrBase&amp;S325),"Open quote"))</f>
        <v/>
      </c>
      <c r="U325" s="71" t="n"/>
      <c r="V325" s="22" t="n"/>
      <c r="W325" s="22" t="n"/>
    </row>
    <row r="326" ht="15" customHeight="1">
      <c r="A326" s="70">
        <f>IF(C326="","",IFERROR(IF(SUMPRODUCT(MAX((tbl_Finance[Job Number]&amp;""=C326&amp;"")*(tbl_Finance[Xero Invoice No]&lt;&gt;"")*tbl_Finance[Date]))=0,"",SUMPRODUCT(MAX((tbl_Finance[Job Number]&amp;""=C326&amp;"")*(tbl_Finance[Xero Invoice No]&lt;&gt;"")*tbl_Finance[Date]))),""))</f>
        <v/>
      </c>
      <c r="B326" s="26">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2" t="n"/>
      <c r="D326" s="26">
        <f>IF(C326="","",IF(COUNTIF(lst_Jobs,C326&amp;"")&gt;0,"OK","CHECK"))</f>
        <v/>
      </c>
      <c r="E326" s="26">
        <f>IF(C326="","",IFERROR(INDEX(lst_JobName,MATCH(C326&amp;"",lst_Jobs,0)),""))</f>
        <v/>
      </c>
      <c r="F326" s="22" t="n"/>
      <c r="G326" s="22" t="n"/>
      <c r="H326" s="22" t="n"/>
      <c r="I326" s="22" t="n"/>
      <c r="J326" s="22" t="n"/>
      <c r="K326" s="28">
        <f>IF(C326="","",COUNTIFS(tbl_Finance[Job Number],C326&amp;"",tbl_Finance[Ex GST],"&lt;&gt;"))</f>
        <v/>
      </c>
      <c r="L326" s="27">
        <f>IF(C326="","",SUMIFS(tbl_Finance[Ex GST],tbl_Finance[Job Number],C326&amp;""))</f>
        <v/>
      </c>
      <c r="M326" s="27">
        <f>IF(C326="","",SUMIFS(tbl_Finance[Ex GST],tbl_Finance[Job Number],C326&amp;"",tbl_Finance[Xero Invoice No],"&lt;&gt;"))</f>
        <v/>
      </c>
      <c r="N326" s="27">
        <f>IF(C326="","",L326-M326)</f>
        <v/>
      </c>
      <c r="O326" s="24" t="n"/>
      <c r="P326" s="27">
        <f>IF(C326="","",IF(O326="",0,MAX(0,O326-L326)))</f>
        <v/>
      </c>
      <c r="Q326" s="26">
        <f>IF(C326="","",IF(K326=0,"not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R326" s="22" t="n"/>
      <c r="S326" s="22" t="n"/>
      <c r="T326" s="26">
        <f>IF(S326="","",HYPERLINK(IF(LEFT(S326,4)="http",S326,set_QwilrBase&amp;S326),"Open quote"))</f>
        <v/>
      </c>
      <c r="U326" s="71" t="n"/>
      <c r="V326" s="22" t="n"/>
      <c r="W326" s="22" t="n"/>
    </row>
    <row r="327" ht="15" customHeight="1">
      <c r="A327" s="70">
        <f>IF(C327="","",IFERROR(IF(SUMPRODUCT(MAX((tbl_Finance[Job Number]&amp;""=C327&amp;"")*(tbl_Finance[Xero Invoice No]&lt;&gt;"")*tbl_Finance[Date]))=0,"",SUMPRODUCT(MAX((tbl_Finance[Job Number]&amp;""=C327&amp;"")*(tbl_Finance[Xero Invoice No]&lt;&gt;"")*tbl_Finance[Date]))),""))</f>
        <v/>
      </c>
      <c r="B327" s="26">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2" t="n"/>
      <c r="D327" s="26">
        <f>IF(C327="","",IF(COUNTIF(lst_Jobs,C327&amp;"")&gt;0,"OK","CHECK"))</f>
        <v/>
      </c>
      <c r="E327" s="26">
        <f>IF(C327="","",IFERROR(INDEX(lst_JobName,MATCH(C327&amp;"",lst_Jobs,0)),""))</f>
        <v/>
      </c>
      <c r="F327" s="22" t="n"/>
      <c r="G327" s="22" t="n"/>
      <c r="H327" s="22" t="n"/>
      <c r="I327" s="22" t="n"/>
      <c r="J327" s="22" t="n"/>
      <c r="K327" s="28">
        <f>IF(C327="","",COUNTIFS(tbl_Finance[Job Number],C327&amp;"",tbl_Finance[Ex GST],"&lt;&gt;"))</f>
        <v/>
      </c>
      <c r="L327" s="27">
        <f>IF(C327="","",SUMIFS(tbl_Finance[Ex GST],tbl_Finance[Job Number],C327&amp;""))</f>
        <v/>
      </c>
      <c r="M327" s="27">
        <f>IF(C327="","",SUMIFS(tbl_Finance[Ex GST],tbl_Finance[Job Number],C327&amp;"",tbl_Finance[Xero Invoice No],"&lt;&gt;"))</f>
        <v/>
      </c>
      <c r="N327" s="27">
        <f>IF(C327="","",L327-M327)</f>
        <v/>
      </c>
      <c r="O327" s="24" t="n"/>
      <c r="P327" s="27">
        <f>IF(C327="","",IF(O327="",0,MAX(0,O327-L327)))</f>
        <v/>
      </c>
      <c r="Q327" s="26">
        <f>IF(C327="","",IF(K327=0,"not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R327" s="22" t="n"/>
      <c r="S327" s="22" t="n"/>
      <c r="T327" s="26">
        <f>IF(S327="","",HYPERLINK(IF(LEFT(S327,4)="http",S327,set_QwilrBase&amp;S327),"Open quote"))</f>
        <v/>
      </c>
      <c r="U327" s="71" t="n"/>
      <c r="V327" s="22" t="n"/>
      <c r="W327" s="22" t="n"/>
    </row>
    <row r="328" ht="15" customHeight="1">
      <c r="A328" s="70">
        <f>IF(C328="","",IFERROR(IF(SUMPRODUCT(MAX((tbl_Finance[Job Number]&amp;""=C328&amp;"")*(tbl_Finance[Xero Invoice No]&lt;&gt;"")*tbl_Finance[Date]))=0,"",SUMPRODUCT(MAX((tbl_Finance[Job Number]&amp;""=C328&amp;"")*(tbl_Finance[Xero Invoice No]&lt;&gt;"")*tbl_Finance[Date]))),""))</f>
        <v/>
      </c>
      <c r="B328" s="26">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2" t="n"/>
      <c r="D328" s="26">
        <f>IF(C328="","",IF(COUNTIF(lst_Jobs,C328&amp;"")&gt;0,"OK","CHECK"))</f>
        <v/>
      </c>
      <c r="E328" s="26">
        <f>IF(C328="","",IFERROR(INDEX(lst_JobName,MATCH(C328&amp;"",lst_Jobs,0)),""))</f>
        <v/>
      </c>
      <c r="F328" s="22" t="n"/>
      <c r="G328" s="22" t="n"/>
      <c r="H328" s="22" t="n"/>
      <c r="I328" s="22" t="n"/>
      <c r="J328" s="22" t="n"/>
      <c r="K328" s="28">
        <f>IF(C328="","",COUNTIFS(tbl_Finance[Job Number],C328&amp;"",tbl_Finance[Ex GST],"&lt;&gt;"))</f>
        <v/>
      </c>
      <c r="L328" s="27">
        <f>IF(C328="","",SUMIFS(tbl_Finance[Ex GST],tbl_Finance[Job Number],C328&amp;""))</f>
        <v/>
      </c>
      <c r="M328" s="27">
        <f>IF(C328="","",SUMIFS(tbl_Finance[Ex GST],tbl_Finance[Job Number],C328&amp;"",tbl_Finance[Xero Invoice No],"&lt;&gt;"))</f>
        <v/>
      </c>
      <c r="N328" s="27">
        <f>IF(C328="","",L328-M328)</f>
        <v/>
      </c>
      <c r="O328" s="24" t="n"/>
      <c r="P328" s="27">
        <f>IF(C328="","",IF(O328="",0,MAX(0,O328-L328)))</f>
        <v/>
      </c>
      <c r="Q328" s="26">
        <f>IF(C328="","",IF(K328=0,"not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R328" s="22" t="n"/>
      <c r="S328" s="22" t="n"/>
      <c r="T328" s="26">
        <f>IF(S328="","",HYPERLINK(IF(LEFT(S328,4)="http",S328,set_QwilrBase&amp;S328),"Open quote"))</f>
        <v/>
      </c>
      <c r="U328" s="71" t="n"/>
      <c r="V328" s="22" t="n"/>
      <c r="W328" s="22" t="n"/>
    </row>
    <row r="329" ht="15" customHeight="1">
      <c r="A329" s="70">
        <f>IF(C329="","",IFERROR(IF(SUMPRODUCT(MAX((tbl_Finance[Job Number]&amp;""=C329&amp;"")*(tbl_Finance[Xero Invoice No]&lt;&gt;"")*tbl_Finance[Date]))=0,"",SUMPRODUCT(MAX((tbl_Finance[Job Number]&amp;""=C329&amp;"")*(tbl_Finance[Xero Invoice No]&lt;&gt;"")*tbl_Finance[Date]))),""))</f>
        <v/>
      </c>
      <c r="B329" s="26">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2" t="n"/>
      <c r="D329" s="26">
        <f>IF(C329="","",IF(COUNTIF(lst_Jobs,C329&amp;"")&gt;0,"OK","CHECK"))</f>
        <v/>
      </c>
      <c r="E329" s="26">
        <f>IF(C329="","",IFERROR(INDEX(lst_JobName,MATCH(C329&amp;"",lst_Jobs,0)),""))</f>
        <v/>
      </c>
      <c r="F329" s="22" t="n"/>
      <c r="G329" s="22" t="n"/>
      <c r="H329" s="22" t="n"/>
      <c r="I329" s="22" t="n"/>
      <c r="J329" s="22" t="n"/>
      <c r="K329" s="28">
        <f>IF(C329="","",COUNTIFS(tbl_Finance[Job Number],C329&amp;"",tbl_Finance[Ex GST],"&lt;&gt;"))</f>
        <v/>
      </c>
      <c r="L329" s="27">
        <f>IF(C329="","",SUMIFS(tbl_Finance[Ex GST],tbl_Finance[Job Number],C329&amp;""))</f>
        <v/>
      </c>
      <c r="M329" s="27">
        <f>IF(C329="","",SUMIFS(tbl_Finance[Ex GST],tbl_Finance[Job Number],C329&amp;"",tbl_Finance[Xero Invoice No],"&lt;&gt;"))</f>
        <v/>
      </c>
      <c r="N329" s="27">
        <f>IF(C329="","",L329-M329)</f>
        <v/>
      </c>
      <c r="O329" s="24" t="n"/>
      <c r="P329" s="27">
        <f>IF(C329="","",IF(O329="",0,MAX(0,O329-L329)))</f>
        <v/>
      </c>
      <c r="Q329" s="26">
        <f>IF(C329="","",IF(K329=0,"not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R329" s="22" t="n"/>
      <c r="S329" s="22" t="n"/>
      <c r="T329" s="26">
        <f>IF(S329="","",HYPERLINK(IF(LEFT(S329,4)="http",S329,set_QwilrBase&amp;S329),"Open quote"))</f>
        <v/>
      </c>
      <c r="U329" s="71" t="n"/>
      <c r="V329" s="22" t="n"/>
      <c r="W329" s="22" t="n"/>
    </row>
    <row r="330" ht="15" customHeight="1">
      <c r="A330" s="70">
        <f>IF(C330="","",IFERROR(IF(SUMPRODUCT(MAX((tbl_Finance[Job Number]&amp;""=C330&amp;"")*(tbl_Finance[Xero Invoice No]&lt;&gt;"")*tbl_Finance[Date]))=0,"",SUMPRODUCT(MAX((tbl_Finance[Job Number]&amp;""=C330&amp;"")*(tbl_Finance[Xero Invoice No]&lt;&gt;"")*tbl_Finance[Date]))),""))</f>
        <v/>
      </c>
      <c r="B330" s="26">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2" t="n"/>
      <c r="D330" s="26">
        <f>IF(C330="","",IF(COUNTIF(lst_Jobs,C330&amp;"")&gt;0,"OK","CHECK"))</f>
        <v/>
      </c>
      <c r="E330" s="26">
        <f>IF(C330="","",IFERROR(INDEX(lst_JobName,MATCH(C330&amp;"",lst_Jobs,0)),""))</f>
        <v/>
      </c>
      <c r="F330" s="22" t="n"/>
      <c r="G330" s="22" t="n"/>
      <c r="H330" s="22" t="n"/>
      <c r="I330" s="22" t="n"/>
      <c r="J330" s="22" t="n"/>
      <c r="K330" s="28">
        <f>IF(C330="","",COUNTIFS(tbl_Finance[Job Number],C330&amp;"",tbl_Finance[Ex GST],"&lt;&gt;"))</f>
        <v/>
      </c>
      <c r="L330" s="27">
        <f>IF(C330="","",SUMIFS(tbl_Finance[Ex GST],tbl_Finance[Job Number],C330&amp;""))</f>
        <v/>
      </c>
      <c r="M330" s="27">
        <f>IF(C330="","",SUMIFS(tbl_Finance[Ex GST],tbl_Finance[Job Number],C330&amp;"",tbl_Finance[Xero Invoice No],"&lt;&gt;"))</f>
        <v/>
      </c>
      <c r="N330" s="27">
        <f>IF(C330="","",L330-M330)</f>
        <v/>
      </c>
      <c r="O330" s="24" t="n"/>
      <c r="P330" s="27">
        <f>IF(C330="","",IF(O330="",0,MAX(0,O330-L330)))</f>
        <v/>
      </c>
      <c r="Q330" s="26">
        <f>IF(C330="","",IF(K330=0,"not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R330" s="22" t="n"/>
      <c r="S330" s="22" t="n"/>
      <c r="T330" s="26">
        <f>IF(S330="","",HYPERLINK(IF(LEFT(S330,4)="http",S330,set_QwilrBase&amp;S330),"Open quote"))</f>
        <v/>
      </c>
      <c r="U330" s="71" t="n"/>
      <c r="V330" s="22" t="n"/>
      <c r="W330" s="22" t="n"/>
    </row>
    <row r="331" ht="15" customHeight="1">
      <c r="A331" s="70">
        <f>IF(C331="","",IFERROR(IF(SUMPRODUCT(MAX((tbl_Finance[Job Number]&amp;""=C331&amp;"")*(tbl_Finance[Xero Invoice No]&lt;&gt;"")*tbl_Finance[Date]))=0,"",SUMPRODUCT(MAX((tbl_Finance[Job Number]&amp;""=C331&amp;"")*(tbl_Finance[Xero Invoice No]&lt;&gt;"")*tbl_Finance[Date]))),""))</f>
        <v/>
      </c>
      <c r="B331" s="26">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2" t="n"/>
      <c r="D331" s="26">
        <f>IF(C331="","",IF(COUNTIF(lst_Jobs,C331&amp;"")&gt;0,"OK","CHECK"))</f>
        <v/>
      </c>
      <c r="E331" s="26">
        <f>IF(C331="","",IFERROR(INDEX(lst_JobName,MATCH(C331&amp;"",lst_Jobs,0)),""))</f>
        <v/>
      </c>
      <c r="F331" s="22" t="n"/>
      <c r="G331" s="22" t="n"/>
      <c r="H331" s="22" t="n"/>
      <c r="I331" s="22" t="n"/>
      <c r="J331" s="22" t="n"/>
      <c r="K331" s="28">
        <f>IF(C331="","",COUNTIFS(tbl_Finance[Job Number],C331&amp;"",tbl_Finance[Ex GST],"&lt;&gt;"))</f>
        <v/>
      </c>
      <c r="L331" s="27">
        <f>IF(C331="","",SUMIFS(tbl_Finance[Ex GST],tbl_Finance[Job Number],C331&amp;""))</f>
        <v/>
      </c>
      <c r="M331" s="27">
        <f>IF(C331="","",SUMIFS(tbl_Finance[Ex GST],tbl_Finance[Job Number],C331&amp;"",tbl_Finance[Xero Invoice No],"&lt;&gt;"))</f>
        <v/>
      </c>
      <c r="N331" s="27">
        <f>IF(C331="","",L331-M331)</f>
        <v/>
      </c>
      <c r="O331" s="24" t="n"/>
      <c r="P331" s="27">
        <f>IF(C331="","",IF(O331="",0,MAX(0,O331-L331)))</f>
        <v/>
      </c>
      <c r="Q331" s="26">
        <f>IF(C331="","",IF(K331=0,"not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R331" s="22" t="n"/>
      <c r="S331" s="22" t="n"/>
      <c r="T331" s="26">
        <f>IF(S331="","",HYPERLINK(IF(LEFT(S331,4)="http",S331,set_QwilrBase&amp;S331),"Open quote"))</f>
        <v/>
      </c>
      <c r="U331" s="71" t="n"/>
      <c r="V331" s="22" t="n"/>
      <c r="W331" s="22" t="n"/>
    </row>
    <row r="332" ht="15" customHeight="1">
      <c r="A332" s="70">
        <f>IF(C332="","",IFERROR(IF(SUMPRODUCT(MAX((tbl_Finance[Job Number]&amp;""=C332&amp;"")*(tbl_Finance[Xero Invoice No]&lt;&gt;"")*tbl_Finance[Date]))=0,"",SUMPRODUCT(MAX((tbl_Finance[Job Number]&amp;""=C332&amp;"")*(tbl_Finance[Xero Invoice No]&lt;&gt;"")*tbl_Finance[Date]))),""))</f>
        <v/>
      </c>
      <c r="B332" s="26">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2" t="n"/>
      <c r="D332" s="26">
        <f>IF(C332="","",IF(COUNTIF(lst_Jobs,C332&amp;"")&gt;0,"OK","CHECK"))</f>
        <v/>
      </c>
      <c r="E332" s="26">
        <f>IF(C332="","",IFERROR(INDEX(lst_JobName,MATCH(C332&amp;"",lst_Jobs,0)),""))</f>
        <v/>
      </c>
      <c r="F332" s="22" t="n"/>
      <c r="G332" s="22" t="n"/>
      <c r="H332" s="22" t="n"/>
      <c r="I332" s="22" t="n"/>
      <c r="J332" s="22" t="n"/>
      <c r="K332" s="28">
        <f>IF(C332="","",COUNTIFS(tbl_Finance[Job Number],C332&amp;"",tbl_Finance[Ex GST],"&lt;&gt;"))</f>
        <v/>
      </c>
      <c r="L332" s="27">
        <f>IF(C332="","",SUMIFS(tbl_Finance[Ex GST],tbl_Finance[Job Number],C332&amp;""))</f>
        <v/>
      </c>
      <c r="M332" s="27">
        <f>IF(C332="","",SUMIFS(tbl_Finance[Ex GST],tbl_Finance[Job Number],C332&amp;"",tbl_Finance[Xero Invoice No],"&lt;&gt;"))</f>
        <v/>
      </c>
      <c r="N332" s="27">
        <f>IF(C332="","",L332-M332)</f>
        <v/>
      </c>
      <c r="O332" s="24" t="n"/>
      <c r="P332" s="27">
        <f>IF(C332="","",IF(O332="",0,MAX(0,O332-L332)))</f>
        <v/>
      </c>
      <c r="Q332" s="26">
        <f>IF(C332="","",IF(K332=0,"not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R332" s="22" t="n"/>
      <c r="S332" s="22" t="n"/>
      <c r="T332" s="26">
        <f>IF(S332="","",HYPERLINK(IF(LEFT(S332,4)="http",S332,set_QwilrBase&amp;S332),"Open quote"))</f>
        <v/>
      </c>
      <c r="U332" s="71" t="n"/>
      <c r="V332" s="22" t="n"/>
      <c r="W332" s="22" t="n"/>
    </row>
    <row r="333" ht="15" customHeight="1">
      <c r="A333" s="70">
        <f>IF(C333="","",IFERROR(IF(SUMPRODUCT(MAX((tbl_Finance[Job Number]&amp;""=C333&amp;"")*(tbl_Finance[Xero Invoice No]&lt;&gt;"")*tbl_Finance[Date]))=0,"",SUMPRODUCT(MAX((tbl_Finance[Job Number]&amp;""=C333&amp;"")*(tbl_Finance[Xero Invoice No]&lt;&gt;"")*tbl_Finance[Date]))),""))</f>
        <v/>
      </c>
      <c r="B333" s="26">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2" t="n"/>
      <c r="D333" s="26">
        <f>IF(C333="","",IF(COUNTIF(lst_Jobs,C333&amp;"")&gt;0,"OK","CHECK"))</f>
        <v/>
      </c>
      <c r="E333" s="26">
        <f>IF(C333="","",IFERROR(INDEX(lst_JobName,MATCH(C333&amp;"",lst_Jobs,0)),""))</f>
        <v/>
      </c>
      <c r="F333" s="22" t="n"/>
      <c r="G333" s="22" t="n"/>
      <c r="H333" s="22" t="n"/>
      <c r="I333" s="22" t="n"/>
      <c r="J333" s="22" t="n"/>
      <c r="K333" s="28">
        <f>IF(C333="","",COUNTIFS(tbl_Finance[Job Number],C333&amp;"",tbl_Finance[Ex GST],"&lt;&gt;"))</f>
        <v/>
      </c>
      <c r="L333" s="27">
        <f>IF(C333="","",SUMIFS(tbl_Finance[Ex GST],tbl_Finance[Job Number],C333&amp;""))</f>
        <v/>
      </c>
      <c r="M333" s="27">
        <f>IF(C333="","",SUMIFS(tbl_Finance[Ex GST],tbl_Finance[Job Number],C333&amp;"",tbl_Finance[Xero Invoice No],"&lt;&gt;"))</f>
        <v/>
      </c>
      <c r="N333" s="27">
        <f>IF(C333="","",L333-M333)</f>
        <v/>
      </c>
      <c r="O333" s="24" t="n"/>
      <c r="P333" s="27">
        <f>IF(C333="","",IF(O333="",0,MAX(0,O333-L333)))</f>
        <v/>
      </c>
      <c r="Q333" s="26">
        <f>IF(C333="","",IF(K333=0,"not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R333" s="22" t="n"/>
      <c r="S333" s="22" t="n"/>
      <c r="T333" s="26">
        <f>IF(S333="","",HYPERLINK(IF(LEFT(S333,4)="http",S333,set_QwilrBase&amp;S333),"Open quote"))</f>
        <v/>
      </c>
      <c r="U333" s="71" t="n"/>
      <c r="V333" s="22" t="n"/>
      <c r="W333" s="22" t="n"/>
    </row>
    <row r="334" ht="15" customHeight="1">
      <c r="A334" s="70">
        <f>IF(C334="","",IFERROR(IF(SUMPRODUCT(MAX((tbl_Finance[Job Number]&amp;""=C334&amp;"")*(tbl_Finance[Xero Invoice No]&lt;&gt;"")*tbl_Finance[Date]))=0,"",SUMPRODUCT(MAX((tbl_Finance[Job Number]&amp;""=C334&amp;"")*(tbl_Finance[Xero Invoice No]&lt;&gt;"")*tbl_Finance[Date]))),""))</f>
        <v/>
      </c>
      <c r="B334" s="26">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2" t="n"/>
      <c r="D334" s="26">
        <f>IF(C334="","",IF(COUNTIF(lst_Jobs,C334&amp;"")&gt;0,"OK","CHECK"))</f>
        <v/>
      </c>
      <c r="E334" s="26">
        <f>IF(C334="","",IFERROR(INDEX(lst_JobName,MATCH(C334&amp;"",lst_Jobs,0)),""))</f>
        <v/>
      </c>
      <c r="F334" s="22" t="n"/>
      <c r="G334" s="22" t="n"/>
      <c r="H334" s="22" t="n"/>
      <c r="I334" s="22" t="n"/>
      <c r="J334" s="22" t="n"/>
      <c r="K334" s="28">
        <f>IF(C334="","",COUNTIFS(tbl_Finance[Job Number],C334&amp;"",tbl_Finance[Ex GST],"&lt;&gt;"))</f>
        <v/>
      </c>
      <c r="L334" s="27">
        <f>IF(C334="","",SUMIFS(tbl_Finance[Ex GST],tbl_Finance[Job Number],C334&amp;""))</f>
        <v/>
      </c>
      <c r="M334" s="27">
        <f>IF(C334="","",SUMIFS(tbl_Finance[Ex GST],tbl_Finance[Job Number],C334&amp;"",tbl_Finance[Xero Invoice No],"&lt;&gt;"))</f>
        <v/>
      </c>
      <c r="N334" s="27">
        <f>IF(C334="","",L334-M334)</f>
        <v/>
      </c>
      <c r="O334" s="24" t="n"/>
      <c r="P334" s="27">
        <f>IF(C334="","",IF(O334="",0,MAX(0,O334-L334)))</f>
        <v/>
      </c>
      <c r="Q334" s="26">
        <f>IF(C334="","",IF(K334=0,"not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R334" s="22" t="n"/>
      <c r="S334" s="22" t="n"/>
      <c r="T334" s="26">
        <f>IF(S334="","",HYPERLINK(IF(LEFT(S334,4)="http",S334,set_QwilrBase&amp;S334),"Open quote"))</f>
        <v/>
      </c>
      <c r="U334" s="71" t="n"/>
      <c r="V334" s="22" t="n"/>
      <c r="W334" s="22" t="n"/>
    </row>
    <row r="335" ht="15" customHeight="1">
      <c r="A335" s="70">
        <f>IF(C335="","",IFERROR(IF(SUMPRODUCT(MAX((tbl_Finance[Job Number]&amp;""=C335&amp;"")*(tbl_Finance[Xero Invoice No]&lt;&gt;"")*tbl_Finance[Date]))=0,"",SUMPRODUCT(MAX((tbl_Finance[Job Number]&amp;""=C335&amp;"")*(tbl_Finance[Xero Invoice No]&lt;&gt;"")*tbl_Finance[Date]))),""))</f>
        <v/>
      </c>
      <c r="B335" s="26">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2" t="n"/>
      <c r="D335" s="26">
        <f>IF(C335="","",IF(COUNTIF(lst_Jobs,C335&amp;"")&gt;0,"OK","CHECK"))</f>
        <v/>
      </c>
      <c r="E335" s="26">
        <f>IF(C335="","",IFERROR(INDEX(lst_JobName,MATCH(C335&amp;"",lst_Jobs,0)),""))</f>
        <v/>
      </c>
      <c r="F335" s="22" t="n"/>
      <c r="G335" s="22" t="n"/>
      <c r="H335" s="22" t="n"/>
      <c r="I335" s="22" t="n"/>
      <c r="J335" s="22" t="n"/>
      <c r="K335" s="28">
        <f>IF(C335="","",COUNTIFS(tbl_Finance[Job Number],C335&amp;"",tbl_Finance[Ex GST],"&lt;&gt;"))</f>
        <v/>
      </c>
      <c r="L335" s="27">
        <f>IF(C335="","",SUMIFS(tbl_Finance[Ex GST],tbl_Finance[Job Number],C335&amp;""))</f>
        <v/>
      </c>
      <c r="M335" s="27">
        <f>IF(C335="","",SUMIFS(tbl_Finance[Ex GST],tbl_Finance[Job Number],C335&amp;"",tbl_Finance[Xero Invoice No],"&lt;&gt;"))</f>
        <v/>
      </c>
      <c r="N335" s="27">
        <f>IF(C335="","",L335-M335)</f>
        <v/>
      </c>
      <c r="O335" s="24" t="n"/>
      <c r="P335" s="27">
        <f>IF(C335="","",IF(O335="",0,MAX(0,O335-L335)))</f>
        <v/>
      </c>
      <c r="Q335" s="26">
        <f>IF(C335="","",IF(K335=0,"not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R335" s="22" t="n"/>
      <c r="S335" s="22" t="n"/>
      <c r="T335" s="26">
        <f>IF(S335="","",HYPERLINK(IF(LEFT(S335,4)="http",S335,set_QwilrBase&amp;S335),"Open quote"))</f>
        <v/>
      </c>
      <c r="U335" s="71" t="n"/>
      <c r="V335" s="22" t="n"/>
      <c r="W335" s="22" t="n"/>
    </row>
    <row r="336" ht="15" customHeight="1">
      <c r="A336" s="70">
        <f>IF(C336="","",IFERROR(IF(SUMPRODUCT(MAX((tbl_Finance[Job Number]&amp;""=C336&amp;"")*(tbl_Finance[Xero Invoice No]&lt;&gt;"")*tbl_Finance[Date]))=0,"",SUMPRODUCT(MAX((tbl_Finance[Job Number]&amp;""=C336&amp;"")*(tbl_Finance[Xero Invoice No]&lt;&gt;"")*tbl_Finance[Date]))),""))</f>
        <v/>
      </c>
      <c r="B336" s="26">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2" t="n"/>
      <c r="D336" s="26">
        <f>IF(C336="","",IF(COUNTIF(lst_Jobs,C336&amp;"")&gt;0,"OK","CHECK"))</f>
        <v/>
      </c>
      <c r="E336" s="26">
        <f>IF(C336="","",IFERROR(INDEX(lst_JobName,MATCH(C336&amp;"",lst_Jobs,0)),""))</f>
        <v/>
      </c>
      <c r="F336" s="22" t="n"/>
      <c r="G336" s="22" t="n"/>
      <c r="H336" s="22" t="n"/>
      <c r="I336" s="22" t="n"/>
      <c r="J336" s="22" t="n"/>
      <c r="K336" s="28">
        <f>IF(C336="","",COUNTIFS(tbl_Finance[Job Number],C336&amp;"",tbl_Finance[Ex GST],"&lt;&gt;"))</f>
        <v/>
      </c>
      <c r="L336" s="27">
        <f>IF(C336="","",SUMIFS(tbl_Finance[Ex GST],tbl_Finance[Job Number],C336&amp;""))</f>
        <v/>
      </c>
      <c r="M336" s="27">
        <f>IF(C336="","",SUMIFS(tbl_Finance[Ex GST],tbl_Finance[Job Number],C336&amp;"",tbl_Finance[Xero Invoice No],"&lt;&gt;"))</f>
        <v/>
      </c>
      <c r="N336" s="27">
        <f>IF(C336="","",L336-M336)</f>
        <v/>
      </c>
      <c r="O336" s="24" t="n"/>
      <c r="P336" s="27">
        <f>IF(C336="","",IF(O336="",0,MAX(0,O336-L336)))</f>
        <v/>
      </c>
      <c r="Q336" s="26">
        <f>IF(C336="","",IF(K336=0,"not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R336" s="22" t="n"/>
      <c r="S336" s="22" t="n"/>
      <c r="T336" s="26">
        <f>IF(S336="","",HYPERLINK(IF(LEFT(S336,4)="http",S336,set_QwilrBase&amp;S336),"Open quote"))</f>
        <v/>
      </c>
      <c r="U336" s="71" t="n"/>
      <c r="V336" s="22" t="n"/>
      <c r="W336" s="22" t="n"/>
    </row>
    <row r="337" ht="15" customHeight="1">
      <c r="A337" s="70">
        <f>IF(C337="","",IFERROR(IF(SUMPRODUCT(MAX((tbl_Finance[Job Number]&amp;""=C337&amp;"")*(tbl_Finance[Xero Invoice No]&lt;&gt;"")*tbl_Finance[Date]))=0,"",SUMPRODUCT(MAX((tbl_Finance[Job Number]&amp;""=C337&amp;"")*(tbl_Finance[Xero Invoice No]&lt;&gt;"")*tbl_Finance[Date]))),""))</f>
        <v/>
      </c>
      <c r="B337" s="26">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2" t="n"/>
      <c r="D337" s="26">
        <f>IF(C337="","",IF(COUNTIF(lst_Jobs,C337&amp;"")&gt;0,"OK","CHECK"))</f>
        <v/>
      </c>
      <c r="E337" s="26">
        <f>IF(C337="","",IFERROR(INDEX(lst_JobName,MATCH(C337&amp;"",lst_Jobs,0)),""))</f>
        <v/>
      </c>
      <c r="F337" s="22" t="n"/>
      <c r="G337" s="22" t="n"/>
      <c r="H337" s="22" t="n"/>
      <c r="I337" s="22" t="n"/>
      <c r="J337" s="22" t="n"/>
      <c r="K337" s="28">
        <f>IF(C337="","",COUNTIFS(tbl_Finance[Job Number],C337&amp;"",tbl_Finance[Ex GST],"&lt;&gt;"))</f>
        <v/>
      </c>
      <c r="L337" s="27">
        <f>IF(C337="","",SUMIFS(tbl_Finance[Ex GST],tbl_Finance[Job Number],C337&amp;""))</f>
        <v/>
      </c>
      <c r="M337" s="27">
        <f>IF(C337="","",SUMIFS(tbl_Finance[Ex GST],tbl_Finance[Job Number],C337&amp;"",tbl_Finance[Xero Invoice No],"&lt;&gt;"))</f>
        <v/>
      </c>
      <c r="N337" s="27">
        <f>IF(C337="","",L337-M337)</f>
        <v/>
      </c>
      <c r="O337" s="24" t="n"/>
      <c r="P337" s="27">
        <f>IF(C337="","",IF(O337="",0,MAX(0,O337-L337)))</f>
        <v/>
      </c>
      <c r="Q337" s="26">
        <f>IF(C337="","",IF(K337=0,"not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R337" s="22" t="n"/>
      <c r="S337" s="22" t="n"/>
      <c r="T337" s="26">
        <f>IF(S337="","",HYPERLINK(IF(LEFT(S337,4)="http",S337,set_QwilrBase&amp;S337),"Open quote"))</f>
        <v/>
      </c>
      <c r="U337" s="71" t="n"/>
      <c r="V337" s="22" t="n"/>
      <c r="W337" s="22" t="n"/>
    </row>
    <row r="338" ht="15" customHeight="1">
      <c r="A338" s="70">
        <f>IF(C338="","",IFERROR(IF(SUMPRODUCT(MAX((tbl_Finance[Job Number]&amp;""=C338&amp;"")*(tbl_Finance[Xero Invoice No]&lt;&gt;"")*tbl_Finance[Date]))=0,"",SUMPRODUCT(MAX((tbl_Finance[Job Number]&amp;""=C338&amp;"")*(tbl_Finance[Xero Invoice No]&lt;&gt;"")*tbl_Finance[Date]))),""))</f>
        <v/>
      </c>
      <c r="B338" s="26">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2" t="n"/>
      <c r="D338" s="26">
        <f>IF(C338="","",IF(COUNTIF(lst_Jobs,C338&amp;"")&gt;0,"OK","CHECK"))</f>
        <v/>
      </c>
      <c r="E338" s="26">
        <f>IF(C338="","",IFERROR(INDEX(lst_JobName,MATCH(C338&amp;"",lst_Jobs,0)),""))</f>
        <v/>
      </c>
      <c r="F338" s="22" t="n"/>
      <c r="G338" s="22" t="n"/>
      <c r="H338" s="22" t="n"/>
      <c r="I338" s="22" t="n"/>
      <c r="J338" s="22" t="n"/>
      <c r="K338" s="28">
        <f>IF(C338="","",COUNTIFS(tbl_Finance[Job Number],C338&amp;"",tbl_Finance[Ex GST],"&lt;&gt;"))</f>
        <v/>
      </c>
      <c r="L338" s="27">
        <f>IF(C338="","",SUMIFS(tbl_Finance[Ex GST],tbl_Finance[Job Number],C338&amp;""))</f>
        <v/>
      </c>
      <c r="M338" s="27">
        <f>IF(C338="","",SUMIFS(tbl_Finance[Ex GST],tbl_Finance[Job Number],C338&amp;"",tbl_Finance[Xero Invoice No],"&lt;&gt;"))</f>
        <v/>
      </c>
      <c r="N338" s="27">
        <f>IF(C338="","",L338-M338)</f>
        <v/>
      </c>
      <c r="O338" s="24" t="n"/>
      <c r="P338" s="27">
        <f>IF(C338="","",IF(O338="",0,MAX(0,O338-L338)))</f>
        <v/>
      </c>
      <c r="Q338" s="26">
        <f>IF(C338="","",IF(K338=0,"not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R338" s="22" t="n"/>
      <c r="S338" s="22" t="n"/>
      <c r="T338" s="26">
        <f>IF(S338="","",HYPERLINK(IF(LEFT(S338,4)="http",S338,set_QwilrBase&amp;S338),"Open quote"))</f>
        <v/>
      </c>
      <c r="U338" s="71" t="n"/>
      <c r="V338" s="22" t="n"/>
      <c r="W338" s="22" t="n"/>
    </row>
    <row r="339" ht="15" customHeight="1">
      <c r="A339" s="70">
        <f>IF(C339="","",IFERROR(IF(SUMPRODUCT(MAX((tbl_Finance[Job Number]&amp;""=C339&amp;"")*(tbl_Finance[Xero Invoice No]&lt;&gt;"")*tbl_Finance[Date]))=0,"",SUMPRODUCT(MAX((tbl_Finance[Job Number]&amp;""=C339&amp;"")*(tbl_Finance[Xero Invoice No]&lt;&gt;"")*tbl_Finance[Date]))),""))</f>
        <v/>
      </c>
      <c r="B339" s="26">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2" t="n"/>
      <c r="D339" s="26">
        <f>IF(C339="","",IF(COUNTIF(lst_Jobs,C339&amp;"")&gt;0,"OK","CHECK"))</f>
        <v/>
      </c>
      <c r="E339" s="26">
        <f>IF(C339="","",IFERROR(INDEX(lst_JobName,MATCH(C339&amp;"",lst_Jobs,0)),""))</f>
        <v/>
      </c>
      <c r="F339" s="22" t="n"/>
      <c r="G339" s="22" t="n"/>
      <c r="H339" s="22" t="n"/>
      <c r="I339" s="22" t="n"/>
      <c r="J339" s="22" t="n"/>
      <c r="K339" s="28">
        <f>IF(C339="","",COUNTIFS(tbl_Finance[Job Number],C339&amp;"",tbl_Finance[Ex GST],"&lt;&gt;"))</f>
        <v/>
      </c>
      <c r="L339" s="27">
        <f>IF(C339="","",SUMIFS(tbl_Finance[Ex GST],tbl_Finance[Job Number],C339&amp;""))</f>
        <v/>
      </c>
      <c r="M339" s="27">
        <f>IF(C339="","",SUMIFS(tbl_Finance[Ex GST],tbl_Finance[Job Number],C339&amp;"",tbl_Finance[Xero Invoice No],"&lt;&gt;"))</f>
        <v/>
      </c>
      <c r="N339" s="27">
        <f>IF(C339="","",L339-M339)</f>
        <v/>
      </c>
      <c r="O339" s="24" t="n"/>
      <c r="P339" s="27">
        <f>IF(C339="","",IF(O339="",0,MAX(0,O339-L339)))</f>
        <v/>
      </c>
      <c r="Q339" s="26">
        <f>IF(C339="","",IF(K339=0,"not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R339" s="22" t="n"/>
      <c r="S339" s="22" t="n"/>
      <c r="T339" s="26">
        <f>IF(S339="","",HYPERLINK(IF(LEFT(S339,4)="http",S339,set_QwilrBase&amp;S339),"Open quote"))</f>
        <v/>
      </c>
      <c r="U339" s="71" t="n"/>
      <c r="V339" s="22" t="n"/>
      <c r="W339" s="22" t="n"/>
    </row>
    <row r="340" ht="15" customHeight="1">
      <c r="A340" s="70">
        <f>IF(C340="","",IFERROR(IF(SUMPRODUCT(MAX((tbl_Finance[Job Number]&amp;""=C340&amp;"")*(tbl_Finance[Xero Invoice No]&lt;&gt;"")*tbl_Finance[Date]))=0,"",SUMPRODUCT(MAX((tbl_Finance[Job Number]&amp;""=C340&amp;"")*(tbl_Finance[Xero Invoice No]&lt;&gt;"")*tbl_Finance[Date]))),""))</f>
        <v/>
      </c>
      <c r="B340" s="26">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2" t="n"/>
      <c r="D340" s="26">
        <f>IF(C340="","",IF(COUNTIF(lst_Jobs,C340&amp;"")&gt;0,"OK","CHECK"))</f>
        <v/>
      </c>
      <c r="E340" s="26">
        <f>IF(C340="","",IFERROR(INDEX(lst_JobName,MATCH(C340&amp;"",lst_Jobs,0)),""))</f>
        <v/>
      </c>
      <c r="F340" s="22" t="n"/>
      <c r="G340" s="22" t="n"/>
      <c r="H340" s="22" t="n"/>
      <c r="I340" s="22" t="n"/>
      <c r="J340" s="22" t="n"/>
      <c r="K340" s="28">
        <f>IF(C340="","",COUNTIFS(tbl_Finance[Job Number],C340&amp;"",tbl_Finance[Ex GST],"&lt;&gt;"))</f>
        <v/>
      </c>
      <c r="L340" s="27">
        <f>IF(C340="","",SUMIFS(tbl_Finance[Ex GST],tbl_Finance[Job Number],C340&amp;""))</f>
        <v/>
      </c>
      <c r="M340" s="27">
        <f>IF(C340="","",SUMIFS(tbl_Finance[Ex GST],tbl_Finance[Job Number],C340&amp;"",tbl_Finance[Xero Invoice No],"&lt;&gt;"))</f>
        <v/>
      </c>
      <c r="N340" s="27">
        <f>IF(C340="","",L340-M340)</f>
        <v/>
      </c>
      <c r="O340" s="24" t="n"/>
      <c r="P340" s="27">
        <f>IF(C340="","",IF(O340="",0,MAX(0,O340-L340)))</f>
        <v/>
      </c>
      <c r="Q340" s="26">
        <f>IF(C340="","",IF(K340=0,"not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R340" s="22" t="n"/>
      <c r="S340" s="22" t="n"/>
      <c r="T340" s="26">
        <f>IF(S340="","",HYPERLINK(IF(LEFT(S340,4)="http",S340,set_QwilrBase&amp;S340),"Open quote"))</f>
        <v/>
      </c>
      <c r="U340" s="71" t="n"/>
      <c r="V340" s="22" t="n"/>
      <c r="W340" s="22" t="n"/>
    </row>
    <row r="341" ht="15" customHeight="1">
      <c r="A341" s="70">
        <f>IF(C341="","",IFERROR(IF(SUMPRODUCT(MAX((tbl_Finance[Job Number]&amp;""=C341&amp;"")*(tbl_Finance[Xero Invoice No]&lt;&gt;"")*tbl_Finance[Date]))=0,"",SUMPRODUCT(MAX((tbl_Finance[Job Number]&amp;""=C341&amp;"")*(tbl_Finance[Xero Invoice No]&lt;&gt;"")*tbl_Finance[Date]))),""))</f>
        <v/>
      </c>
      <c r="B341" s="26">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2" t="n"/>
      <c r="D341" s="26">
        <f>IF(C341="","",IF(COUNTIF(lst_Jobs,C341&amp;"")&gt;0,"OK","CHECK"))</f>
        <v/>
      </c>
      <c r="E341" s="26">
        <f>IF(C341="","",IFERROR(INDEX(lst_JobName,MATCH(C341&amp;"",lst_Jobs,0)),""))</f>
        <v/>
      </c>
      <c r="F341" s="22" t="n"/>
      <c r="G341" s="22" t="n"/>
      <c r="H341" s="22" t="n"/>
      <c r="I341" s="22" t="n"/>
      <c r="J341" s="22" t="n"/>
      <c r="K341" s="28">
        <f>IF(C341="","",COUNTIFS(tbl_Finance[Job Number],C341&amp;"",tbl_Finance[Ex GST],"&lt;&gt;"))</f>
        <v/>
      </c>
      <c r="L341" s="27">
        <f>IF(C341="","",SUMIFS(tbl_Finance[Ex GST],tbl_Finance[Job Number],C341&amp;""))</f>
        <v/>
      </c>
      <c r="M341" s="27">
        <f>IF(C341="","",SUMIFS(tbl_Finance[Ex GST],tbl_Finance[Job Number],C341&amp;"",tbl_Finance[Xero Invoice No],"&lt;&gt;"))</f>
        <v/>
      </c>
      <c r="N341" s="27">
        <f>IF(C341="","",L341-M341)</f>
        <v/>
      </c>
      <c r="O341" s="24" t="n"/>
      <c r="P341" s="27">
        <f>IF(C341="","",IF(O341="",0,MAX(0,O341-L341)))</f>
        <v/>
      </c>
      <c r="Q341" s="26">
        <f>IF(C341="","",IF(K341=0,"not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R341" s="22" t="n"/>
      <c r="S341" s="22" t="n"/>
      <c r="T341" s="26">
        <f>IF(S341="","",HYPERLINK(IF(LEFT(S341,4)="http",S341,set_QwilrBase&amp;S341),"Open quote"))</f>
        <v/>
      </c>
      <c r="U341" s="71" t="n"/>
      <c r="V341" s="22" t="n"/>
      <c r="W341" s="22" t="n"/>
    </row>
    <row r="342" ht="15" customHeight="1">
      <c r="A342" s="70">
        <f>IF(C342="","",IFERROR(IF(SUMPRODUCT(MAX((tbl_Finance[Job Number]&amp;""=C342&amp;"")*(tbl_Finance[Xero Invoice No]&lt;&gt;"")*tbl_Finance[Date]))=0,"",SUMPRODUCT(MAX((tbl_Finance[Job Number]&amp;""=C342&amp;"")*(tbl_Finance[Xero Invoice No]&lt;&gt;"")*tbl_Finance[Date]))),""))</f>
        <v/>
      </c>
      <c r="B342" s="26">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2" t="n"/>
      <c r="D342" s="26">
        <f>IF(C342="","",IF(COUNTIF(lst_Jobs,C342&amp;"")&gt;0,"OK","CHECK"))</f>
        <v/>
      </c>
      <c r="E342" s="26">
        <f>IF(C342="","",IFERROR(INDEX(lst_JobName,MATCH(C342&amp;"",lst_Jobs,0)),""))</f>
        <v/>
      </c>
      <c r="F342" s="22" t="n"/>
      <c r="G342" s="22" t="n"/>
      <c r="H342" s="22" t="n"/>
      <c r="I342" s="22" t="n"/>
      <c r="J342" s="22" t="n"/>
      <c r="K342" s="28">
        <f>IF(C342="","",COUNTIFS(tbl_Finance[Job Number],C342&amp;"",tbl_Finance[Ex GST],"&lt;&gt;"))</f>
        <v/>
      </c>
      <c r="L342" s="27">
        <f>IF(C342="","",SUMIFS(tbl_Finance[Ex GST],tbl_Finance[Job Number],C342&amp;""))</f>
        <v/>
      </c>
      <c r="M342" s="27">
        <f>IF(C342="","",SUMIFS(tbl_Finance[Ex GST],tbl_Finance[Job Number],C342&amp;"",tbl_Finance[Xero Invoice No],"&lt;&gt;"))</f>
        <v/>
      </c>
      <c r="N342" s="27">
        <f>IF(C342="","",L342-M342)</f>
        <v/>
      </c>
      <c r="O342" s="24" t="n"/>
      <c r="P342" s="27">
        <f>IF(C342="","",IF(O342="",0,MAX(0,O342-L342)))</f>
        <v/>
      </c>
      <c r="Q342" s="26">
        <f>IF(C342="","",IF(K342=0,"not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R342" s="22" t="n"/>
      <c r="S342" s="22" t="n"/>
      <c r="T342" s="26">
        <f>IF(S342="","",HYPERLINK(IF(LEFT(S342,4)="http",S342,set_QwilrBase&amp;S342),"Open quote"))</f>
        <v/>
      </c>
      <c r="U342" s="71" t="n"/>
      <c r="V342" s="22" t="n"/>
      <c r="W342" s="22" t="n"/>
    </row>
    <row r="343" ht="15" customHeight="1">
      <c r="A343" s="70">
        <f>IF(C343="","",IFERROR(IF(SUMPRODUCT(MAX((tbl_Finance[Job Number]&amp;""=C343&amp;"")*(tbl_Finance[Xero Invoice No]&lt;&gt;"")*tbl_Finance[Date]))=0,"",SUMPRODUCT(MAX((tbl_Finance[Job Number]&amp;""=C343&amp;"")*(tbl_Finance[Xero Invoice No]&lt;&gt;"")*tbl_Finance[Date]))),""))</f>
        <v/>
      </c>
      <c r="B343" s="26">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2" t="n"/>
      <c r="D343" s="26">
        <f>IF(C343="","",IF(COUNTIF(lst_Jobs,C343&amp;"")&gt;0,"OK","CHECK"))</f>
        <v/>
      </c>
      <c r="E343" s="26">
        <f>IF(C343="","",IFERROR(INDEX(lst_JobName,MATCH(C343&amp;"",lst_Jobs,0)),""))</f>
        <v/>
      </c>
      <c r="F343" s="22" t="n"/>
      <c r="G343" s="22" t="n"/>
      <c r="H343" s="22" t="n"/>
      <c r="I343" s="22" t="n"/>
      <c r="J343" s="22" t="n"/>
      <c r="K343" s="28">
        <f>IF(C343="","",COUNTIFS(tbl_Finance[Job Number],C343&amp;"",tbl_Finance[Ex GST],"&lt;&gt;"))</f>
        <v/>
      </c>
      <c r="L343" s="27">
        <f>IF(C343="","",SUMIFS(tbl_Finance[Ex GST],tbl_Finance[Job Number],C343&amp;""))</f>
        <v/>
      </c>
      <c r="M343" s="27">
        <f>IF(C343="","",SUMIFS(tbl_Finance[Ex GST],tbl_Finance[Job Number],C343&amp;"",tbl_Finance[Xero Invoice No],"&lt;&gt;"))</f>
        <v/>
      </c>
      <c r="N343" s="27">
        <f>IF(C343="","",L343-M343)</f>
        <v/>
      </c>
      <c r="O343" s="24" t="n"/>
      <c r="P343" s="27">
        <f>IF(C343="","",IF(O343="",0,MAX(0,O343-L343)))</f>
        <v/>
      </c>
      <c r="Q343" s="26">
        <f>IF(C343="","",IF(K343=0,"not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R343" s="22" t="n"/>
      <c r="S343" s="22" t="n"/>
      <c r="T343" s="26">
        <f>IF(S343="","",HYPERLINK(IF(LEFT(S343,4)="http",S343,set_QwilrBase&amp;S343),"Open quote"))</f>
        <v/>
      </c>
      <c r="U343" s="71" t="n"/>
      <c r="V343" s="22" t="n"/>
      <c r="W343" s="22" t="n"/>
    </row>
    <row r="344" ht="15" customHeight="1">
      <c r="A344" s="70">
        <f>IF(C344="","",IFERROR(IF(SUMPRODUCT(MAX((tbl_Finance[Job Number]&amp;""=C344&amp;"")*(tbl_Finance[Xero Invoice No]&lt;&gt;"")*tbl_Finance[Date]))=0,"",SUMPRODUCT(MAX((tbl_Finance[Job Number]&amp;""=C344&amp;"")*(tbl_Finance[Xero Invoice No]&lt;&gt;"")*tbl_Finance[Date]))),""))</f>
        <v/>
      </c>
      <c r="B344" s="26">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2" t="n"/>
      <c r="D344" s="26">
        <f>IF(C344="","",IF(COUNTIF(lst_Jobs,C344&amp;"")&gt;0,"OK","CHECK"))</f>
        <v/>
      </c>
      <c r="E344" s="26">
        <f>IF(C344="","",IFERROR(INDEX(lst_JobName,MATCH(C344&amp;"",lst_Jobs,0)),""))</f>
        <v/>
      </c>
      <c r="F344" s="22" t="n"/>
      <c r="G344" s="22" t="n"/>
      <c r="H344" s="22" t="n"/>
      <c r="I344" s="22" t="n"/>
      <c r="J344" s="22" t="n"/>
      <c r="K344" s="28">
        <f>IF(C344="","",COUNTIFS(tbl_Finance[Job Number],C344&amp;"",tbl_Finance[Ex GST],"&lt;&gt;"))</f>
        <v/>
      </c>
      <c r="L344" s="27">
        <f>IF(C344="","",SUMIFS(tbl_Finance[Ex GST],tbl_Finance[Job Number],C344&amp;""))</f>
        <v/>
      </c>
      <c r="M344" s="27">
        <f>IF(C344="","",SUMIFS(tbl_Finance[Ex GST],tbl_Finance[Job Number],C344&amp;"",tbl_Finance[Xero Invoice No],"&lt;&gt;"))</f>
        <v/>
      </c>
      <c r="N344" s="27">
        <f>IF(C344="","",L344-M344)</f>
        <v/>
      </c>
      <c r="O344" s="24" t="n"/>
      <c r="P344" s="27">
        <f>IF(C344="","",IF(O344="",0,MAX(0,O344-L344)))</f>
        <v/>
      </c>
      <c r="Q344" s="26">
        <f>IF(C344="","",IF(K344=0,"not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R344" s="22" t="n"/>
      <c r="S344" s="22" t="n"/>
      <c r="T344" s="26">
        <f>IF(S344="","",HYPERLINK(IF(LEFT(S344,4)="http",S344,set_QwilrBase&amp;S344),"Open quote"))</f>
        <v/>
      </c>
      <c r="U344" s="71" t="n"/>
      <c r="V344" s="22" t="n"/>
      <c r="W344" s="22" t="n"/>
    </row>
    <row r="345" ht="15" customHeight="1">
      <c r="A345" s="70">
        <f>IF(C345="","",IFERROR(IF(SUMPRODUCT(MAX((tbl_Finance[Job Number]&amp;""=C345&amp;"")*(tbl_Finance[Xero Invoice No]&lt;&gt;"")*tbl_Finance[Date]))=0,"",SUMPRODUCT(MAX((tbl_Finance[Job Number]&amp;""=C345&amp;"")*(tbl_Finance[Xero Invoice No]&lt;&gt;"")*tbl_Finance[Date]))),""))</f>
        <v/>
      </c>
      <c r="B345" s="26">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2" t="n"/>
      <c r="D345" s="26">
        <f>IF(C345="","",IF(COUNTIF(lst_Jobs,C345&amp;"")&gt;0,"OK","CHECK"))</f>
        <v/>
      </c>
      <c r="E345" s="26">
        <f>IF(C345="","",IFERROR(INDEX(lst_JobName,MATCH(C345&amp;"",lst_Jobs,0)),""))</f>
        <v/>
      </c>
      <c r="F345" s="22" t="n"/>
      <c r="G345" s="22" t="n"/>
      <c r="H345" s="22" t="n"/>
      <c r="I345" s="22" t="n"/>
      <c r="J345" s="22" t="n"/>
      <c r="K345" s="28">
        <f>IF(C345="","",COUNTIFS(tbl_Finance[Job Number],C345&amp;"",tbl_Finance[Ex GST],"&lt;&gt;"))</f>
        <v/>
      </c>
      <c r="L345" s="27">
        <f>IF(C345="","",SUMIFS(tbl_Finance[Ex GST],tbl_Finance[Job Number],C345&amp;""))</f>
        <v/>
      </c>
      <c r="M345" s="27">
        <f>IF(C345="","",SUMIFS(tbl_Finance[Ex GST],tbl_Finance[Job Number],C345&amp;"",tbl_Finance[Xero Invoice No],"&lt;&gt;"))</f>
        <v/>
      </c>
      <c r="N345" s="27">
        <f>IF(C345="","",L345-M345)</f>
        <v/>
      </c>
      <c r="O345" s="24" t="n"/>
      <c r="P345" s="27">
        <f>IF(C345="","",IF(O345="",0,MAX(0,O345-L345)))</f>
        <v/>
      </c>
      <c r="Q345" s="26">
        <f>IF(C345="","",IF(K345=0,"not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R345" s="22" t="n"/>
      <c r="S345" s="22" t="n"/>
      <c r="T345" s="26">
        <f>IF(S345="","",HYPERLINK(IF(LEFT(S345,4)="http",S345,set_QwilrBase&amp;S345),"Open quote"))</f>
        <v/>
      </c>
      <c r="U345" s="71" t="n"/>
      <c r="V345" s="22" t="n"/>
      <c r="W345" s="22" t="n"/>
    </row>
    <row r="346" ht="15" customHeight="1">
      <c r="A346" s="70">
        <f>IF(C346="","",IFERROR(IF(SUMPRODUCT(MAX((tbl_Finance[Job Number]&amp;""=C346&amp;"")*(tbl_Finance[Xero Invoice No]&lt;&gt;"")*tbl_Finance[Date]))=0,"",SUMPRODUCT(MAX((tbl_Finance[Job Number]&amp;""=C346&amp;"")*(tbl_Finance[Xero Invoice No]&lt;&gt;"")*tbl_Finance[Date]))),""))</f>
        <v/>
      </c>
      <c r="B346" s="26">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2" t="n"/>
      <c r="D346" s="26">
        <f>IF(C346="","",IF(COUNTIF(lst_Jobs,C346&amp;"")&gt;0,"OK","CHECK"))</f>
        <v/>
      </c>
      <c r="E346" s="26">
        <f>IF(C346="","",IFERROR(INDEX(lst_JobName,MATCH(C346&amp;"",lst_Jobs,0)),""))</f>
        <v/>
      </c>
      <c r="F346" s="22" t="n"/>
      <c r="G346" s="22" t="n"/>
      <c r="H346" s="22" t="n"/>
      <c r="I346" s="22" t="n"/>
      <c r="J346" s="22" t="n"/>
      <c r="K346" s="28">
        <f>IF(C346="","",COUNTIFS(tbl_Finance[Job Number],C346&amp;"",tbl_Finance[Ex GST],"&lt;&gt;"))</f>
        <v/>
      </c>
      <c r="L346" s="27">
        <f>IF(C346="","",SUMIFS(tbl_Finance[Ex GST],tbl_Finance[Job Number],C346&amp;""))</f>
        <v/>
      </c>
      <c r="M346" s="27">
        <f>IF(C346="","",SUMIFS(tbl_Finance[Ex GST],tbl_Finance[Job Number],C346&amp;"",tbl_Finance[Xero Invoice No],"&lt;&gt;"))</f>
        <v/>
      </c>
      <c r="N346" s="27">
        <f>IF(C346="","",L346-M346)</f>
        <v/>
      </c>
      <c r="O346" s="24" t="n"/>
      <c r="P346" s="27">
        <f>IF(C346="","",IF(O346="",0,MAX(0,O346-L346)))</f>
        <v/>
      </c>
      <c r="Q346" s="26">
        <f>IF(C346="","",IF(K346=0,"not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R346" s="22" t="n"/>
      <c r="S346" s="22" t="n"/>
      <c r="T346" s="26">
        <f>IF(S346="","",HYPERLINK(IF(LEFT(S346,4)="http",S346,set_QwilrBase&amp;S346),"Open quote"))</f>
        <v/>
      </c>
      <c r="U346" s="71" t="n"/>
      <c r="V346" s="22" t="n"/>
      <c r="W346" s="22" t="n"/>
    </row>
    <row r="347" ht="15" customHeight="1">
      <c r="A347" s="70">
        <f>IF(C347="","",IFERROR(IF(SUMPRODUCT(MAX((tbl_Finance[Job Number]&amp;""=C347&amp;"")*(tbl_Finance[Xero Invoice No]&lt;&gt;"")*tbl_Finance[Date]))=0,"",SUMPRODUCT(MAX((tbl_Finance[Job Number]&amp;""=C347&amp;"")*(tbl_Finance[Xero Invoice No]&lt;&gt;"")*tbl_Finance[Date]))),""))</f>
        <v/>
      </c>
      <c r="B347" s="26">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2" t="n"/>
      <c r="D347" s="26">
        <f>IF(C347="","",IF(COUNTIF(lst_Jobs,C347&amp;"")&gt;0,"OK","CHECK"))</f>
        <v/>
      </c>
      <c r="E347" s="26">
        <f>IF(C347="","",IFERROR(INDEX(lst_JobName,MATCH(C347&amp;"",lst_Jobs,0)),""))</f>
        <v/>
      </c>
      <c r="F347" s="22" t="n"/>
      <c r="G347" s="22" t="n"/>
      <c r="H347" s="22" t="n"/>
      <c r="I347" s="22" t="n"/>
      <c r="J347" s="22" t="n"/>
      <c r="K347" s="28">
        <f>IF(C347="","",COUNTIFS(tbl_Finance[Job Number],C347&amp;"",tbl_Finance[Ex GST],"&lt;&gt;"))</f>
        <v/>
      </c>
      <c r="L347" s="27">
        <f>IF(C347="","",SUMIFS(tbl_Finance[Ex GST],tbl_Finance[Job Number],C347&amp;""))</f>
        <v/>
      </c>
      <c r="M347" s="27">
        <f>IF(C347="","",SUMIFS(tbl_Finance[Ex GST],tbl_Finance[Job Number],C347&amp;"",tbl_Finance[Xero Invoice No],"&lt;&gt;"))</f>
        <v/>
      </c>
      <c r="N347" s="27">
        <f>IF(C347="","",L347-M347)</f>
        <v/>
      </c>
      <c r="O347" s="24" t="n"/>
      <c r="P347" s="27">
        <f>IF(C347="","",IF(O347="",0,MAX(0,O347-L347)))</f>
        <v/>
      </c>
      <c r="Q347" s="26">
        <f>IF(C347="","",IF(K347=0,"not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R347" s="22" t="n"/>
      <c r="S347" s="22" t="n"/>
      <c r="T347" s="26">
        <f>IF(S347="","",HYPERLINK(IF(LEFT(S347,4)="http",S347,set_QwilrBase&amp;S347),"Open quote"))</f>
        <v/>
      </c>
      <c r="U347" s="71" t="n"/>
      <c r="V347" s="22" t="n"/>
      <c r="W347" s="22" t="n"/>
    </row>
    <row r="348" ht="15" customHeight="1">
      <c r="A348" s="70">
        <f>IF(C348="","",IFERROR(IF(SUMPRODUCT(MAX((tbl_Finance[Job Number]&amp;""=C348&amp;"")*(tbl_Finance[Xero Invoice No]&lt;&gt;"")*tbl_Finance[Date]))=0,"",SUMPRODUCT(MAX((tbl_Finance[Job Number]&amp;""=C348&amp;"")*(tbl_Finance[Xero Invoice No]&lt;&gt;"")*tbl_Finance[Date]))),""))</f>
        <v/>
      </c>
      <c r="B348" s="26">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2" t="n"/>
      <c r="D348" s="26">
        <f>IF(C348="","",IF(COUNTIF(lst_Jobs,C348&amp;"")&gt;0,"OK","CHECK"))</f>
        <v/>
      </c>
      <c r="E348" s="26">
        <f>IF(C348="","",IFERROR(INDEX(lst_JobName,MATCH(C348&amp;"",lst_Jobs,0)),""))</f>
        <v/>
      </c>
      <c r="F348" s="22" t="n"/>
      <c r="G348" s="22" t="n"/>
      <c r="H348" s="22" t="n"/>
      <c r="I348" s="22" t="n"/>
      <c r="J348" s="22" t="n"/>
      <c r="K348" s="28">
        <f>IF(C348="","",COUNTIFS(tbl_Finance[Job Number],C348&amp;"",tbl_Finance[Ex GST],"&lt;&gt;"))</f>
        <v/>
      </c>
      <c r="L348" s="27">
        <f>IF(C348="","",SUMIFS(tbl_Finance[Ex GST],tbl_Finance[Job Number],C348&amp;""))</f>
        <v/>
      </c>
      <c r="M348" s="27">
        <f>IF(C348="","",SUMIFS(tbl_Finance[Ex GST],tbl_Finance[Job Number],C348&amp;"",tbl_Finance[Xero Invoice No],"&lt;&gt;"))</f>
        <v/>
      </c>
      <c r="N348" s="27">
        <f>IF(C348="","",L348-M348)</f>
        <v/>
      </c>
      <c r="O348" s="24" t="n"/>
      <c r="P348" s="27">
        <f>IF(C348="","",IF(O348="",0,MAX(0,O348-L348)))</f>
        <v/>
      </c>
      <c r="Q348" s="26">
        <f>IF(C348="","",IF(K348=0,"not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R348" s="22" t="n"/>
      <c r="S348" s="22" t="n"/>
      <c r="T348" s="26">
        <f>IF(S348="","",HYPERLINK(IF(LEFT(S348,4)="http",S348,set_QwilrBase&amp;S348),"Open quote"))</f>
        <v/>
      </c>
      <c r="U348" s="71" t="n"/>
      <c r="V348" s="22" t="n"/>
      <c r="W348" s="22" t="n"/>
    </row>
    <row r="349" ht="15" customHeight="1">
      <c r="A349" s="70">
        <f>IF(C349="","",IFERROR(IF(SUMPRODUCT(MAX((tbl_Finance[Job Number]&amp;""=C349&amp;"")*(tbl_Finance[Xero Invoice No]&lt;&gt;"")*tbl_Finance[Date]))=0,"",SUMPRODUCT(MAX((tbl_Finance[Job Number]&amp;""=C349&amp;"")*(tbl_Finance[Xero Invoice No]&lt;&gt;"")*tbl_Finance[Date]))),""))</f>
        <v/>
      </c>
      <c r="B349" s="26">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2" t="n"/>
      <c r="D349" s="26">
        <f>IF(C349="","",IF(COUNTIF(lst_Jobs,C349&amp;"")&gt;0,"OK","CHECK"))</f>
        <v/>
      </c>
      <c r="E349" s="26">
        <f>IF(C349="","",IFERROR(INDEX(lst_JobName,MATCH(C349&amp;"",lst_Jobs,0)),""))</f>
        <v/>
      </c>
      <c r="F349" s="22" t="n"/>
      <c r="G349" s="22" t="n"/>
      <c r="H349" s="22" t="n"/>
      <c r="I349" s="22" t="n"/>
      <c r="J349" s="22" t="n"/>
      <c r="K349" s="28">
        <f>IF(C349="","",COUNTIFS(tbl_Finance[Job Number],C349&amp;"",tbl_Finance[Ex GST],"&lt;&gt;"))</f>
        <v/>
      </c>
      <c r="L349" s="27">
        <f>IF(C349="","",SUMIFS(tbl_Finance[Ex GST],tbl_Finance[Job Number],C349&amp;""))</f>
        <v/>
      </c>
      <c r="M349" s="27">
        <f>IF(C349="","",SUMIFS(tbl_Finance[Ex GST],tbl_Finance[Job Number],C349&amp;"",tbl_Finance[Xero Invoice No],"&lt;&gt;"))</f>
        <v/>
      </c>
      <c r="N349" s="27">
        <f>IF(C349="","",L349-M349)</f>
        <v/>
      </c>
      <c r="O349" s="24" t="n"/>
      <c r="P349" s="27">
        <f>IF(C349="","",IF(O349="",0,MAX(0,O349-L349)))</f>
        <v/>
      </c>
      <c r="Q349" s="26">
        <f>IF(C349="","",IF(K349=0,"not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R349" s="22" t="n"/>
      <c r="S349" s="22" t="n"/>
      <c r="T349" s="26">
        <f>IF(S349="","",HYPERLINK(IF(LEFT(S349,4)="http",S349,set_QwilrBase&amp;S349),"Open quote"))</f>
        <v/>
      </c>
      <c r="U349" s="71" t="n"/>
      <c r="V349" s="22" t="n"/>
      <c r="W349" s="22" t="n"/>
    </row>
    <row r="350" ht="15" customHeight="1">
      <c r="A350" s="70">
        <f>IF(C350="","",IFERROR(IF(SUMPRODUCT(MAX((tbl_Finance[Job Number]&amp;""=C350&amp;"")*(tbl_Finance[Xero Invoice No]&lt;&gt;"")*tbl_Finance[Date]))=0,"",SUMPRODUCT(MAX((tbl_Finance[Job Number]&amp;""=C350&amp;"")*(tbl_Finance[Xero Invoice No]&lt;&gt;"")*tbl_Finance[Date]))),""))</f>
        <v/>
      </c>
      <c r="B350" s="26">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2" t="n"/>
      <c r="D350" s="26">
        <f>IF(C350="","",IF(COUNTIF(lst_Jobs,C350&amp;"")&gt;0,"OK","CHECK"))</f>
        <v/>
      </c>
      <c r="E350" s="26">
        <f>IF(C350="","",IFERROR(INDEX(lst_JobName,MATCH(C350&amp;"",lst_Jobs,0)),""))</f>
        <v/>
      </c>
      <c r="F350" s="22" t="n"/>
      <c r="G350" s="22" t="n"/>
      <c r="H350" s="22" t="n"/>
      <c r="I350" s="22" t="n"/>
      <c r="J350" s="22" t="n"/>
      <c r="K350" s="28">
        <f>IF(C350="","",COUNTIFS(tbl_Finance[Job Number],C350&amp;"",tbl_Finance[Ex GST],"&lt;&gt;"))</f>
        <v/>
      </c>
      <c r="L350" s="27">
        <f>IF(C350="","",SUMIFS(tbl_Finance[Ex GST],tbl_Finance[Job Number],C350&amp;""))</f>
        <v/>
      </c>
      <c r="M350" s="27">
        <f>IF(C350="","",SUMIFS(tbl_Finance[Ex GST],tbl_Finance[Job Number],C350&amp;"",tbl_Finance[Xero Invoice No],"&lt;&gt;"))</f>
        <v/>
      </c>
      <c r="N350" s="27">
        <f>IF(C350="","",L350-M350)</f>
        <v/>
      </c>
      <c r="O350" s="24" t="n"/>
      <c r="P350" s="27">
        <f>IF(C350="","",IF(O350="",0,MAX(0,O350-L350)))</f>
        <v/>
      </c>
      <c r="Q350" s="26">
        <f>IF(C350="","",IF(K350=0,"not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R350" s="22" t="n"/>
      <c r="S350" s="22" t="n"/>
      <c r="T350" s="26">
        <f>IF(S350="","",HYPERLINK(IF(LEFT(S350,4)="http",S350,set_QwilrBase&amp;S350),"Open quote"))</f>
        <v/>
      </c>
      <c r="U350" s="71" t="n"/>
      <c r="V350" s="22" t="n"/>
      <c r="W350" s="22" t="n"/>
    </row>
    <row r="351" ht="15" customHeight="1">
      <c r="A351" s="70">
        <f>IF(C351="","",IFERROR(IF(SUMPRODUCT(MAX((tbl_Finance[Job Number]&amp;""=C351&amp;"")*(tbl_Finance[Xero Invoice No]&lt;&gt;"")*tbl_Finance[Date]))=0,"",SUMPRODUCT(MAX((tbl_Finance[Job Number]&amp;""=C351&amp;"")*(tbl_Finance[Xero Invoice No]&lt;&gt;"")*tbl_Finance[Date]))),""))</f>
        <v/>
      </c>
      <c r="B351" s="26">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2" t="n"/>
      <c r="D351" s="26">
        <f>IF(C351="","",IF(COUNTIF(lst_Jobs,C351&amp;"")&gt;0,"OK","CHECK"))</f>
        <v/>
      </c>
      <c r="E351" s="26">
        <f>IF(C351="","",IFERROR(INDEX(lst_JobName,MATCH(C351&amp;"",lst_Jobs,0)),""))</f>
        <v/>
      </c>
      <c r="F351" s="22" t="n"/>
      <c r="G351" s="22" t="n"/>
      <c r="H351" s="22" t="n"/>
      <c r="I351" s="22" t="n"/>
      <c r="J351" s="22" t="n"/>
      <c r="K351" s="28">
        <f>IF(C351="","",COUNTIFS(tbl_Finance[Job Number],C351&amp;"",tbl_Finance[Ex GST],"&lt;&gt;"))</f>
        <v/>
      </c>
      <c r="L351" s="27">
        <f>IF(C351="","",SUMIFS(tbl_Finance[Ex GST],tbl_Finance[Job Number],C351&amp;""))</f>
        <v/>
      </c>
      <c r="M351" s="27">
        <f>IF(C351="","",SUMIFS(tbl_Finance[Ex GST],tbl_Finance[Job Number],C351&amp;"",tbl_Finance[Xero Invoice No],"&lt;&gt;"))</f>
        <v/>
      </c>
      <c r="N351" s="27">
        <f>IF(C351="","",L351-M351)</f>
        <v/>
      </c>
      <c r="O351" s="24" t="n"/>
      <c r="P351" s="27">
        <f>IF(C351="","",IF(O351="",0,MAX(0,O351-L351)))</f>
        <v/>
      </c>
      <c r="Q351" s="26">
        <f>IF(C351="","",IF(K351=0,"not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R351" s="22" t="n"/>
      <c r="S351" s="22" t="n"/>
      <c r="T351" s="26">
        <f>IF(S351="","",HYPERLINK(IF(LEFT(S351,4)="http",S351,set_QwilrBase&amp;S351),"Open quote"))</f>
        <v/>
      </c>
      <c r="U351" s="71" t="n"/>
      <c r="V351" s="22" t="n"/>
      <c r="W351" s="22" t="n"/>
    </row>
    <row r="352" ht="15" customHeight="1">
      <c r="A352" s="70">
        <f>IF(C352="","",IFERROR(IF(SUMPRODUCT(MAX((tbl_Finance[Job Number]&amp;""=C352&amp;"")*(tbl_Finance[Xero Invoice No]&lt;&gt;"")*tbl_Finance[Date]))=0,"",SUMPRODUCT(MAX((tbl_Finance[Job Number]&amp;""=C352&amp;"")*(tbl_Finance[Xero Invoice No]&lt;&gt;"")*tbl_Finance[Date]))),""))</f>
        <v/>
      </c>
      <c r="B352" s="26">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2" t="n"/>
      <c r="D352" s="26">
        <f>IF(C352="","",IF(COUNTIF(lst_Jobs,C352&amp;"")&gt;0,"OK","CHECK"))</f>
        <v/>
      </c>
      <c r="E352" s="26">
        <f>IF(C352="","",IFERROR(INDEX(lst_JobName,MATCH(C352&amp;"",lst_Jobs,0)),""))</f>
        <v/>
      </c>
      <c r="F352" s="22" t="n"/>
      <c r="G352" s="22" t="n"/>
      <c r="H352" s="22" t="n"/>
      <c r="I352" s="22" t="n"/>
      <c r="J352" s="22" t="n"/>
      <c r="K352" s="28">
        <f>IF(C352="","",COUNTIFS(tbl_Finance[Job Number],C352&amp;"",tbl_Finance[Ex GST],"&lt;&gt;"))</f>
        <v/>
      </c>
      <c r="L352" s="27">
        <f>IF(C352="","",SUMIFS(tbl_Finance[Ex GST],tbl_Finance[Job Number],C352&amp;""))</f>
        <v/>
      </c>
      <c r="M352" s="27">
        <f>IF(C352="","",SUMIFS(tbl_Finance[Ex GST],tbl_Finance[Job Number],C352&amp;"",tbl_Finance[Xero Invoice No],"&lt;&gt;"))</f>
        <v/>
      </c>
      <c r="N352" s="27">
        <f>IF(C352="","",L352-M352)</f>
        <v/>
      </c>
      <c r="O352" s="24" t="n"/>
      <c r="P352" s="27">
        <f>IF(C352="","",IF(O352="",0,MAX(0,O352-L352)))</f>
        <v/>
      </c>
      <c r="Q352" s="26">
        <f>IF(C352="","",IF(K352=0,"not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R352" s="22" t="n"/>
      <c r="S352" s="22" t="n"/>
      <c r="T352" s="26">
        <f>IF(S352="","",HYPERLINK(IF(LEFT(S352,4)="http",S352,set_QwilrBase&amp;S352),"Open quote"))</f>
        <v/>
      </c>
      <c r="U352" s="71" t="n"/>
      <c r="V352" s="22" t="n"/>
      <c r="W352" s="22" t="n"/>
    </row>
    <row r="353" ht="15" customHeight="1">
      <c r="A353" s="70">
        <f>IF(C353="","",IFERROR(IF(SUMPRODUCT(MAX((tbl_Finance[Job Number]&amp;""=C353&amp;"")*(tbl_Finance[Xero Invoice No]&lt;&gt;"")*tbl_Finance[Date]))=0,"",SUMPRODUCT(MAX((tbl_Finance[Job Number]&amp;""=C353&amp;"")*(tbl_Finance[Xero Invoice No]&lt;&gt;"")*tbl_Finance[Date]))),""))</f>
        <v/>
      </c>
      <c r="B353" s="26">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2" t="n"/>
      <c r="D353" s="26">
        <f>IF(C353="","",IF(COUNTIF(lst_Jobs,C353&amp;"")&gt;0,"OK","CHECK"))</f>
        <v/>
      </c>
      <c r="E353" s="26">
        <f>IF(C353="","",IFERROR(INDEX(lst_JobName,MATCH(C353&amp;"",lst_Jobs,0)),""))</f>
        <v/>
      </c>
      <c r="F353" s="22" t="n"/>
      <c r="G353" s="22" t="n"/>
      <c r="H353" s="22" t="n"/>
      <c r="I353" s="22" t="n"/>
      <c r="J353" s="22" t="n"/>
      <c r="K353" s="28">
        <f>IF(C353="","",COUNTIFS(tbl_Finance[Job Number],C353&amp;"",tbl_Finance[Ex GST],"&lt;&gt;"))</f>
        <v/>
      </c>
      <c r="L353" s="27">
        <f>IF(C353="","",SUMIFS(tbl_Finance[Ex GST],tbl_Finance[Job Number],C353&amp;""))</f>
        <v/>
      </c>
      <c r="M353" s="27">
        <f>IF(C353="","",SUMIFS(tbl_Finance[Ex GST],tbl_Finance[Job Number],C353&amp;"",tbl_Finance[Xero Invoice No],"&lt;&gt;"))</f>
        <v/>
      </c>
      <c r="N353" s="27">
        <f>IF(C353="","",L353-M353)</f>
        <v/>
      </c>
      <c r="O353" s="24" t="n"/>
      <c r="P353" s="27">
        <f>IF(C353="","",IF(O353="",0,MAX(0,O353-L353)))</f>
        <v/>
      </c>
      <c r="Q353" s="26">
        <f>IF(C353="","",IF(K353=0,"not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R353" s="22" t="n"/>
      <c r="S353" s="22" t="n"/>
      <c r="T353" s="26">
        <f>IF(S353="","",HYPERLINK(IF(LEFT(S353,4)="http",S353,set_QwilrBase&amp;S353),"Open quote"))</f>
        <v/>
      </c>
      <c r="U353" s="71" t="n"/>
      <c r="V353" s="22" t="n"/>
      <c r="W353" s="22" t="n"/>
    </row>
    <row r="354" ht="15" customHeight="1">
      <c r="A354" s="70">
        <f>IF(C354="","",IFERROR(IF(SUMPRODUCT(MAX((tbl_Finance[Job Number]&amp;""=C354&amp;"")*(tbl_Finance[Xero Invoice No]&lt;&gt;"")*tbl_Finance[Date]))=0,"",SUMPRODUCT(MAX((tbl_Finance[Job Number]&amp;""=C354&amp;"")*(tbl_Finance[Xero Invoice No]&lt;&gt;"")*tbl_Finance[Date]))),""))</f>
        <v/>
      </c>
      <c r="B354" s="26">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2" t="n"/>
      <c r="D354" s="26">
        <f>IF(C354="","",IF(COUNTIF(lst_Jobs,C354&amp;"")&gt;0,"OK","CHECK"))</f>
        <v/>
      </c>
      <c r="E354" s="26">
        <f>IF(C354="","",IFERROR(INDEX(lst_JobName,MATCH(C354&amp;"",lst_Jobs,0)),""))</f>
        <v/>
      </c>
      <c r="F354" s="22" t="n"/>
      <c r="G354" s="22" t="n"/>
      <c r="H354" s="22" t="n"/>
      <c r="I354" s="22" t="n"/>
      <c r="J354" s="22" t="n"/>
      <c r="K354" s="28">
        <f>IF(C354="","",COUNTIFS(tbl_Finance[Job Number],C354&amp;"",tbl_Finance[Ex GST],"&lt;&gt;"))</f>
        <v/>
      </c>
      <c r="L354" s="27">
        <f>IF(C354="","",SUMIFS(tbl_Finance[Ex GST],tbl_Finance[Job Number],C354&amp;""))</f>
        <v/>
      </c>
      <c r="M354" s="27">
        <f>IF(C354="","",SUMIFS(tbl_Finance[Ex GST],tbl_Finance[Job Number],C354&amp;"",tbl_Finance[Xero Invoice No],"&lt;&gt;"))</f>
        <v/>
      </c>
      <c r="N354" s="27">
        <f>IF(C354="","",L354-M354)</f>
        <v/>
      </c>
      <c r="O354" s="24" t="n"/>
      <c r="P354" s="27">
        <f>IF(C354="","",IF(O354="",0,MAX(0,O354-L354)))</f>
        <v/>
      </c>
      <c r="Q354" s="26">
        <f>IF(C354="","",IF(K354=0,"not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R354" s="22" t="n"/>
      <c r="S354" s="22" t="n"/>
      <c r="T354" s="26">
        <f>IF(S354="","",HYPERLINK(IF(LEFT(S354,4)="http",S354,set_QwilrBase&amp;S354),"Open quote"))</f>
        <v/>
      </c>
      <c r="U354" s="71" t="n"/>
      <c r="V354" s="22" t="n"/>
      <c r="W354" s="22" t="n"/>
    </row>
    <row r="355" ht="15" customHeight="1">
      <c r="A355" s="70">
        <f>IF(C355="","",IFERROR(IF(SUMPRODUCT(MAX((tbl_Finance[Job Number]&amp;""=C355&amp;"")*(tbl_Finance[Xero Invoice No]&lt;&gt;"")*tbl_Finance[Date]))=0,"",SUMPRODUCT(MAX((tbl_Finance[Job Number]&amp;""=C355&amp;"")*(tbl_Finance[Xero Invoice No]&lt;&gt;"")*tbl_Finance[Date]))),""))</f>
        <v/>
      </c>
      <c r="B355" s="26">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2" t="n"/>
      <c r="D355" s="26">
        <f>IF(C355="","",IF(COUNTIF(lst_Jobs,C355&amp;"")&gt;0,"OK","CHECK"))</f>
        <v/>
      </c>
      <c r="E355" s="26">
        <f>IF(C355="","",IFERROR(INDEX(lst_JobName,MATCH(C355&amp;"",lst_Jobs,0)),""))</f>
        <v/>
      </c>
      <c r="F355" s="22" t="n"/>
      <c r="G355" s="22" t="n"/>
      <c r="H355" s="22" t="n"/>
      <c r="I355" s="22" t="n"/>
      <c r="J355" s="22" t="n"/>
      <c r="K355" s="28">
        <f>IF(C355="","",COUNTIFS(tbl_Finance[Job Number],C355&amp;"",tbl_Finance[Ex GST],"&lt;&gt;"))</f>
        <v/>
      </c>
      <c r="L355" s="27">
        <f>IF(C355="","",SUMIFS(tbl_Finance[Ex GST],tbl_Finance[Job Number],C355&amp;""))</f>
        <v/>
      </c>
      <c r="M355" s="27">
        <f>IF(C355="","",SUMIFS(tbl_Finance[Ex GST],tbl_Finance[Job Number],C355&amp;"",tbl_Finance[Xero Invoice No],"&lt;&gt;"))</f>
        <v/>
      </c>
      <c r="N355" s="27">
        <f>IF(C355="","",L355-M355)</f>
        <v/>
      </c>
      <c r="O355" s="24" t="n"/>
      <c r="P355" s="27">
        <f>IF(C355="","",IF(O355="",0,MAX(0,O355-L355)))</f>
        <v/>
      </c>
      <c r="Q355" s="26">
        <f>IF(C355="","",IF(K355=0,"not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R355" s="22" t="n"/>
      <c r="S355" s="22" t="n"/>
      <c r="T355" s="26">
        <f>IF(S355="","",HYPERLINK(IF(LEFT(S355,4)="http",S355,set_QwilrBase&amp;S355),"Open quote"))</f>
        <v/>
      </c>
      <c r="U355" s="71" t="n"/>
      <c r="V355" s="22" t="n"/>
      <c r="W355" s="22" t="n"/>
    </row>
    <row r="356" ht="15" customHeight="1">
      <c r="A356" s="70">
        <f>IF(C356="","",IFERROR(IF(SUMPRODUCT(MAX((tbl_Finance[Job Number]&amp;""=C356&amp;"")*(tbl_Finance[Xero Invoice No]&lt;&gt;"")*tbl_Finance[Date]))=0,"",SUMPRODUCT(MAX((tbl_Finance[Job Number]&amp;""=C356&amp;"")*(tbl_Finance[Xero Invoice No]&lt;&gt;"")*tbl_Finance[Date]))),""))</f>
        <v/>
      </c>
      <c r="B356" s="26">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2" t="n"/>
      <c r="D356" s="26">
        <f>IF(C356="","",IF(COUNTIF(lst_Jobs,C356&amp;"")&gt;0,"OK","CHECK"))</f>
        <v/>
      </c>
      <c r="E356" s="26">
        <f>IF(C356="","",IFERROR(INDEX(lst_JobName,MATCH(C356&amp;"",lst_Jobs,0)),""))</f>
        <v/>
      </c>
      <c r="F356" s="22" t="n"/>
      <c r="G356" s="22" t="n"/>
      <c r="H356" s="22" t="n"/>
      <c r="I356" s="22" t="n"/>
      <c r="J356" s="22" t="n"/>
      <c r="K356" s="28">
        <f>IF(C356="","",COUNTIFS(tbl_Finance[Job Number],C356&amp;"",tbl_Finance[Ex GST],"&lt;&gt;"))</f>
        <v/>
      </c>
      <c r="L356" s="27">
        <f>IF(C356="","",SUMIFS(tbl_Finance[Ex GST],tbl_Finance[Job Number],C356&amp;""))</f>
        <v/>
      </c>
      <c r="M356" s="27">
        <f>IF(C356="","",SUMIFS(tbl_Finance[Ex GST],tbl_Finance[Job Number],C356&amp;"",tbl_Finance[Xero Invoice No],"&lt;&gt;"))</f>
        <v/>
      </c>
      <c r="N356" s="27">
        <f>IF(C356="","",L356-M356)</f>
        <v/>
      </c>
      <c r="O356" s="24" t="n"/>
      <c r="P356" s="27">
        <f>IF(C356="","",IF(O356="",0,MAX(0,O356-L356)))</f>
        <v/>
      </c>
      <c r="Q356" s="26">
        <f>IF(C356="","",IF(K356=0,"not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R356" s="22" t="n"/>
      <c r="S356" s="22" t="n"/>
      <c r="T356" s="26">
        <f>IF(S356="","",HYPERLINK(IF(LEFT(S356,4)="http",S356,set_QwilrBase&amp;S356),"Open quote"))</f>
        <v/>
      </c>
      <c r="U356" s="71" t="n"/>
      <c r="V356" s="22" t="n"/>
      <c r="W356" s="22" t="n"/>
    </row>
    <row r="357" ht="15" customHeight="1">
      <c r="A357" s="70">
        <f>IF(C357="","",IFERROR(IF(SUMPRODUCT(MAX((tbl_Finance[Job Number]&amp;""=C357&amp;"")*(tbl_Finance[Xero Invoice No]&lt;&gt;"")*tbl_Finance[Date]))=0,"",SUMPRODUCT(MAX((tbl_Finance[Job Number]&amp;""=C357&amp;"")*(tbl_Finance[Xero Invoice No]&lt;&gt;"")*tbl_Finance[Date]))),""))</f>
        <v/>
      </c>
      <c r="B357" s="26">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2" t="n"/>
      <c r="D357" s="26">
        <f>IF(C357="","",IF(COUNTIF(lst_Jobs,C357&amp;"")&gt;0,"OK","CHECK"))</f>
        <v/>
      </c>
      <c r="E357" s="26">
        <f>IF(C357="","",IFERROR(INDEX(lst_JobName,MATCH(C357&amp;"",lst_Jobs,0)),""))</f>
        <v/>
      </c>
      <c r="F357" s="22" t="n"/>
      <c r="G357" s="22" t="n"/>
      <c r="H357" s="22" t="n"/>
      <c r="I357" s="22" t="n"/>
      <c r="J357" s="22" t="n"/>
      <c r="K357" s="28">
        <f>IF(C357="","",COUNTIFS(tbl_Finance[Job Number],C357&amp;"",tbl_Finance[Ex GST],"&lt;&gt;"))</f>
        <v/>
      </c>
      <c r="L357" s="27">
        <f>IF(C357="","",SUMIFS(tbl_Finance[Ex GST],tbl_Finance[Job Number],C357&amp;""))</f>
        <v/>
      </c>
      <c r="M357" s="27">
        <f>IF(C357="","",SUMIFS(tbl_Finance[Ex GST],tbl_Finance[Job Number],C357&amp;"",tbl_Finance[Xero Invoice No],"&lt;&gt;"))</f>
        <v/>
      </c>
      <c r="N357" s="27">
        <f>IF(C357="","",L357-M357)</f>
        <v/>
      </c>
      <c r="O357" s="24" t="n"/>
      <c r="P357" s="27">
        <f>IF(C357="","",IF(O357="",0,MAX(0,O357-L357)))</f>
        <v/>
      </c>
      <c r="Q357" s="26">
        <f>IF(C357="","",IF(K357=0,"not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R357" s="22" t="n"/>
      <c r="S357" s="22" t="n"/>
      <c r="T357" s="26">
        <f>IF(S357="","",HYPERLINK(IF(LEFT(S357,4)="http",S357,set_QwilrBase&amp;S357),"Open quote"))</f>
        <v/>
      </c>
      <c r="U357" s="71" t="n"/>
      <c r="V357" s="22" t="n"/>
      <c r="W357" s="22" t="n"/>
    </row>
    <row r="358" ht="15" customHeight="1">
      <c r="A358" s="70">
        <f>IF(C358="","",IFERROR(IF(SUMPRODUCT(MAX((tbl_Finance[Job Number]&amp;""=C358&amp;"")*(tbl_Finance[Xero Invoice No]&lt;&gt;"")*tbl_Finance[Date]))=0,"",SUMPRODUCT(MAX((tbl_Finance[Job Number]&amp;""=C358&amp;"")*(tbl_Finance[Xero Invoice No]&lt;&gt;"")*tbl_Finance[Date]))),""))</f>
        <v/>
      </c>
      <c r="B358" s="26">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2" t="n"/>
      <c r="D358" s="26">
        <f>IF(C358="","",IF(COUNTIF(lst_Jobs,C358&amp;"")&gt;0,"OK","CHECK"))</f>
        <v/>
      </c>
      <c r="E358" s="26">
        <f>IF(C358="","",IFERROR(INDEX(lst_JobName,MATCH(C358&amp;"",lst_Jobs,0)),""))</f>
        <v/>
      </c>
      <c r="F358" s="22" t="n"/>
      <c r="G358" s="22" t="n"/>
      <c r="H358" s="22" t="n"/>
      <c r="I358" s="22" t="n"/>
      <c r="J358" s="22" t="n"/>
      <c r="K358" s="28">
        <f>IF(C358="","",COUNTIFS(tbl_Finance[Job Number],C358&amp;"",tbl_Finance[Ex GST],"&lt;&gt;"))</f>
        <v/>
      </c>
      <c r="L358" s="27">
        <f>IF(C358="","",SUMIFS(tbl_Finance[Ex GST],tbl_Finance[Job Number],C358&amp;""))</f>
        <v/>
      </c>
      <c r="M358" s="27">
        <f>IF(C358="","",SUMIFS(tbl_Finance[Ex GST],tbl_Finance[Job Number],C358&amp;"",tbl_Finance[Xero Invoice No],"&lt;&gt;"))</f>
        <v/>
      </c>
      <c r="N358" s="27">
        <f>IF(C358="","",L358-M358)</f>
        <v/>
      </c>
      <c r="O358" s="24" t="n"/>
      <c r="P358" s="27">
        <f>IF(C358="","",IF(O358="",0,MAX(0,O358-L358)))</f>
        <v/>
      </c>
      <c r="Q358" s="26">
        <f>IF(C358="","",IF(K358=0,"not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R358" s="22" t="n"/>
      <c r="S358" s="22" t="n"/>
      <c r="T358" s="26">
        <f>IF(S358="","",HYPERLINK(IF(LEFT(S358,4)="http",S358,set_QwilrBase&amp;S358),"Open quote"))</f>
        <v/>
      </c>
      <c r="U358" s="71" t="n"/>
      <c r="V358" s="22" t="n"/>
      <c r="W358" s="22" t="n"/>
    </row>
    <row r="359" ht="15" customHeight="1">
      <c r="A359" s="70">
        <f>IF(C359="","",IFERROR(IF(SUMPRODUCT(MAX((tbl_Finance[Job Number]&amp;""=C359&amp;"")*(tbl_Finance[Xero Invoice No]&lt;&gt;"")*tbl_Finance[Date]))=0,"",SUMPRODUCT(MAX((tbl_Finance[Job Number]&amp;""=C359&amp;"")*(tbl_Finance[Xero Invoice No]&lt;&gt;"")*tbl_Finance[Date]))),""))</f>
        <v/>
      </c>
      <c r="B359" s="26">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2" t="n"/>
      <c r="D359" s="26">
        <f>IF(C359="","",IF(COUNTIF(lst_Jobs,C359&amp;"")&gt;0,"OK","CHECK"))</f>
        <v/>
      </c>
      <c r="E359" s="26">
        <f>IF(C359="","",IFERROR(INDEX(lst_JobName,MATCH(C359&amp;"",lst_Jobs,0)),""))</f>
        <v/>
      </c>
      <c r="F359" s="22" t="n"/>
      <c r="G359" s="22" t="n"/>
      <c r="H359" s="22" t="n"/>
      <c r="I359" s="22" t="n"/>
      <c r="J359" s="22" t="n"/>
      <c r="K359" s="28">
        <f>IF(C359="","",COUNTIFS(tbl_Finance[Job Number],C359&amp;"",tbl_Finance[Ex GST],"&lt;&gt;"))</f>
        <v/>
      </c>
      <c r="L359" s="27">
        <f>IF(C359="","",SUMIFS(tbl_Finance[Ex GST],tbl_Finance[Job Number],C359&amp;""))</f>
        <v/>
      </c>
      <c r="M359" s="27">
        <f>IF(C359="","",SUMIFS(tbl_Finance[Ex GST],tbl_Finance[Job Number],C359&amp;"",tbl_Finance[Xero Invoice No],"&lt;&gt;"))</f>
        <v/>
      </c>
      <c r="N359" s="27">
        <f>IF(C359="","",L359-M359)</f>
        <v/>
      </c>
      <c r="O359" s="24" t="n"/>
      <c r="P359" s="27">
        <f>IF(C359="","",IF(O359="",0,MAX(0,O359-L359)))</f>
        <v/>
      </c>
      <c r="Q359" s="26">
        <f>IF(C359="","",IF(K359=0,"not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R359" s="22" t="n"/>
      <c r="S359" s="22" t="n"/>
      <c r="T359" s="26">
        <f>IF(S359="","",HYPERLINK(IF(LEFT(S359,4)="http",S359,set_QwilrBase&amp;S359),"Open quote"))</f>
        <v/>
      </c>
      <c r="U359" s="71" t="n"/>
      <c r="V359" s="22" t="n"/>
      <c r="W359" s="22" t="n"/>
    </row>
    <row r="360" ht="15" customHeight="1">
      <c r="A360" s="70">
        <f>IF(C360="","",IFERROR(IF(SUMPRODUCT(MAX((tbl_Finance[Job Number]&amp;""=C360&amp;"")*(tbl_Finance[Xero Invoice No]&lt;&gt;"")*tbl_Finance[Date]))=0,"",SUMPRODUCT(MAX((tbl_Finance[Job Number]&amp;""=C360&amp;"")*(tbl_Finance[Xero Invoice No]&lt;&gt;"")*tbl_Finance[Date]))),""))</f>
        <v/>
      </c>
      <c r="B360" s="26">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2" t="n"/>
      <c r="D360" s="26">
        <f>IF(C360="","",IF(COUNTIF(lst_Jobs,C360&amp;"")&gt;0,"OK","CHECK"))</f>
        <v/>
      </c>
      <c r="E360" s="26">
        <f>IF(C360="","",IFERROR(INDEX(lst_JobName,MATCH(C360&amp;"",lst_Jobs,0)),""))</f>
        <v/>
      </c>
      <c r="F360" s="22" t="n"/>
      <c r="G360" s="22" t="n"/>
      <c r="H360" s="22" t="n"/>
      <c r="I360" s="22" t="n"/>
      <c r="J360" s="22" t="n"/>
      <c r="K360" s="28">
        <f>IF(C360="","",COUNTIFS(tbl_Finance[Job Number],C360&amp;"",tbl_Finance[Ex GST],"&lt;&gt;"))</f>
        <v/>
      </c>
      <c r="L360" s="27">
        <f>IF(C360="","",SUMIFS(tbl_Finance[Ex GST],tbl_Finance[Job Number],C360&amp;""))</f>
        <v/>
      </c>
      <c r="M360" s="27">
        <f>IF(C360="","",SUMIFS(tbl_Finance[Ex GST],tbl_Finance[Job Number],C360&amp;"",tbl_Finance[Xero Invoice No],"&lt;&gt;"))</f>
        <v/>
      </c>
      <c r="N360" s="27">
        <f>IF(C360="","",L360-M360)</f>
        <v/>
      </c>
      <c r="O360" s="24" t="n"/>
      <c r="P360" s="27">
        <f>IF(C360="","",IF(O360="",0,MAX(0,O360-L360)))</f>
        <v/>
      </c>
      <c r="Q360" s="26">
        <f>IF(C360="","",IF(K360=0,"not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R360" s="22" t="n"/>
      <c r="S360" s="22" t="n"/>
      <c r="T360" s="26">
        <f>IF(S360="","",HYPERLINK(IF(LEFT(S360,4)="http",S360,set_QwilrBase&amp;S360),"Open quote"))</f>
        <v/>
      </c>
      <c r="U360" s="71" t="n"/>
      <c r="V360" s="22" t="n"/>
      <c r="W360" s="22" t="n"/>
    </row>
    <row r="361" ht="15" customHeight="1">
      <c r="A361" s="70">
        <f>IF(C361="","",IFERROR(IF(SUMPRODUCT(MAX((tbl_Finance[Job Number]&amp;""=C361&amp;"")*(tbl_Finance[Xero Invoice No]&lt;&gt;"")*tbl_Finance[Date]))=0,"",SUMPRODUCT(MAX((tbl_Finance[Job Number]&amp;""=C361&amp;"")*(tbl_Finance[Xero Invoice No]&lt;&gt;"")*tbl_Finance[Date]))),""))</f>
        <v/>
      </c>
      <c r="B361" s="26">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2" t="n"/>
      <c r="D361" s="26">
        <f>IF(C361="","",IF(COUNTIF(lst_Jobs,C361&amp;"")&gt;0,"OK","CHECK"))</f>
        <v/>
      </c>
      <c r="E361" s="26">
        <f>IF(C361="","",IFERROR(INDEX(lst_JobName,MATCH(C361&amp;"",lst_Jobs,0)),""))</f>
        <v/>
      </c>
      <c r="F361" s="22" t="n"/>
      <c r="G361" s="22" t="n"/>
      <c r="H361" s="22" t="n"/>
      <c r="I361" s="22" t="n"/>
      <c r="J361" s="22" t="n"/>
      <c r="K361" s="28">
        <f>IF(C361="","",COUNTIFS(tbl_Finance[Job Number],C361&amp;"",tbl_Finance[Ex GST],"&lt;&gt;"))</f>
        <v/>
      </c>
      <c r="L361" s="27">
        <f>IF(C361="","",SUMIFS(tbl_Finance[Ex GST],tbl_Finance[Job Number],C361&amp;""))</f>
        <v/>
      </c>
      <c r="M361" s="27">
        <f>IF(C361="","",SUMIFS(tbl_Finance[Ex GST],tbl_Finance[Job Number],C361&amp;"",tbl_Finance[Xero Invoice No],"&lt;&gt;"))</f>
        <v/>
      </c>
      <c r="N361" s="27">
        <f>IF(C361="","",L361-M361)</f>
        <v/>
      </c>
      <c r="O361" s="24" t="n"/>
      <c r="P361" s="27">
        <f>IF(C361="","",IF(O361="",0,MAX(0,O361-L361)))</f>
        <v/>
      </c>
      <c r="Q361" s="26">
        <f>IF(C361="","",IF(K361=0,"not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R361" s="22" t="n"/>
      <c r="S361" s="22" t="n"/>
      <c r="T361" s="26">
        <f>IF(S361="","",HYPERLINK(IF(LEFT(S361,4)="http",S361,set_QwilrBase&amp;S361),"Open quote"))</f>
        <v/>
      </c>
      <c r="U361" s="71" t="n"/>
      <c r="V361" s="22" t="n"/>
      <c r="W361" s="22" t="n"/>
    </row>
    <row r="362" ht="15" customHeight="1">
      <c r="A362" s="70">
        <f>IF(C362="","",IFERROR(IF(SUMPRODUCT(MAX((tbl_Finance[Job Number]&amp;""=C362&amp;"")*(tbl_Finance[Xero Invoice No]&lt;&gt;"")*tbl_Finance[Date]))=0,"",SUMPRODUCT(MAX((tbl_Finance[Job Number]&amp;""=C362&amp;"")*(tbl_Finance[Xero Invoice No]&lt;&gt;"")*tbl_Finance[Date]))),""))</f>
        <v/>
      </c>
      <c r="B362" s="26">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2" t="n"/>
      <c r="D362" s="26">
        <f>IF(C362="","",IF(COUNTIF(lst_Jobs,C362&amp;"")&gt;0,"OK","CHECK"))</f>
        <v/>
      </c>
      <c r="E362" s="26">
        <f>IF(C362="","",IFERROR(INDEX(lst_JobName,MATCH(C362&amp;"",lst_Jobs,0)),""))</f>
        <v/>
      </c>
      <c r="F362" s="22" t="n"/>
      <c r="G362" s="22" t="n"/>
      <c r="H362" s="22" t="n"/>
      <c r="I362" s="22" t="n"/>
      <c r="J362" s="22" t="n"/>
      <c r="K362" s="28">
        <f>IF(C362="","",COUNTIFS(tbl_Finance[Job Number],C362&amp;"",tbl_Finance[Ex GST],"&lt;&gt;"))</f>
        <v/>
      </c>
      <c r="L362" s="27">
        <f>IF(C362="","",SUMIFS(tbl_Finance[Ex GST],tbl_Finance[Job Number],C362&amp;""))</f>
        <v/>
      </c>
      <c r="M362" s="27">
        <f>IF(C362="","",SUMIFS(tbl_Finance[Ex GST],tbl_Finance[Job Number],C362&amp;"",tbl_Finance[Xero Invoice No],"&lt;&gt;"))</f>
        <v/>
      </c>
      <c r="N362" s="27">
        <f>IF(C362="","",L362-M362)</f>
        <v/>
      </c>
      <c r="O362" s="24" t="n"/>
      <c r="P362" s="27">
        <f>IF(C362="","",IF(O362="",0,MAX(0,O362-L362)))</f>
        <v/>
      </c>
      <c r="Q362" s="26">
        <f>IF(C362="","",IF(K362=0,"not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R362" s="22" t="n"/>
      <c r="S362" s="22" t="n"/>
      <c r="T362" s="26">
        <f>IF(S362="","",HYPERLINK(IF(LEFT(S362,4)="http",S362,set_QwilrBase&amp;S362),"Open quote"))</f>
        <v/>
      </c>
      <c r="U362" s="71" t="n"/>
      <c r="V362" s="22" t="n"/>
      <c r="W362" s="22" t="n"/>
    </row>
    <row r="363" ht="15" customHeight="1">
      <c r="A363" s="70">
        <f>IF(C363="","",IFERROR(IF(SUMPRODUCT(MAX((tbl_Finance[Job Number]&amp;""=C363&amp;"")*(tbl_Finance[Xero Invoice No]&lt;&gt;"")*tbl_Finance[Date]))=0,"",SUMPRODUCT(MAX((tbl_Finance[Job Number]&amp;""=C363&amp;"")*(tbl_Finance[Xero Invoice No]&lt;&gt;"")*tbl_Finance[Date]))),""))</f>
        <v/>
      </c>
      <c r="B363" s="26">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2" t="n"/>
      <c r="D363" s="26">
        <f>IF(C363="","",IF(COUNTIF(lst_Jobs,C363&amp;"")&gt;0,"OK","CHECK"))</f>
        <v/>
      </c>
      <c r="E363" s="26">
        <f>IF(C363="","",IFERROR(INDEX(lst_JobName,MATCH(C363&amp;"",lst_Jobs,0)),""))</f>
        <v/>
      </c>
      <c r="F363" s="22" t="n"/>
      <c r="G363" s="22" t="n"/>
      <c r="H363" s="22" t="n"/>
      <c r="I363" s="22" t="n"/>
      <c r="J363" s="22" t="n"/>
      <c r="K363" s="28">
        <f>IF(C363="","",COUNTIFS(tbl_Finance[Job Number],C363&amp;"",tbl_Finance[Ex GST],"&lt;&gt;"))</f>
        <v/>
      </c>
      <c r="L363" s="27">
        <f>IF(C363="","",SUMIFS(tbl_Finance[Ex GST],tbl_Finance[Job Number],C363&amp;""))</f>
        <v/>
      </c>
      <c r="M363" s="27">
        <f>IF(C363="","",SUMIFS(tbl_Finance[Ex GST],tbl_Finance[Job Number],C363&amp;"",tbl_Finance[Xero Invoice No],"&lt;&gt;"))</f>
        <v/>
      </c>
      <c r="N363" s="27">
        <f>IF(C363="","",L363-M363)</f>
        <v/>
      </c>
      <c r="O363" s="24" t="n"/>
      <c r="P363" s="27">
        <f>IF(C363="","",IF(O363="",0,MAX(0,O363-L363)))</f>
        <v/>
      </c>
      <c r="Q363" s="26">
        <f>IF(C363="","",IF(K363=0,"not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R363" s="22" t="n"/>
      <c r="S363" s="22" t="n"/>
      <c r="T363" s="26">
        <f>IF(S363="","",HYPERLINK(IF(LEFT(S363,4)="http",S363,set_QwilrBase&amp;S363),"Open quote"))</f>
        <v/>
      </c>
      <c r="U363" s="71" t="n"/>
      <c r="V363" s="22" t="n"/>
      <c r="W363" s="22" t="n"/>
    </row>
    <row r="364" ht="15" customHeight="1">
      <c r="A364" s="70">
        <f>IF(C364="","",IFERROR(IF(SUMPRODUCT(MAX((tbl_Finance[Job Number]&amp;""=C364&amp;"")*(tbl_Finance[Xero Invoice No]&lt;&gt;"")*tbl_Finance[Date]))=0,"",SUMPRODUCT(MAX((tbl_Finance[Job Number]&amp;""=C364&amp;"")*(tbl_Finance[Xero Invoice No]&lt;&gt;"")*tbl_Finance[Date]))),""))</f>
        <v/>
      </c>
      <c r="B364" s="26">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2" t="n"/>
      <c r="D364" s="26">
        <f>IF(C364="","",IF(COUNTIF(lst_Jobs,C364&amp;"")&gt;0,"OK","CHECK"))</f>
        <v/>
      </c>
      <c r="E364" s="26">
        <f>IF(C364="","",IFERROR(INDEX(lst_JobName,MATCH(C364&amp;"",lst_Jobs,0)),""))</f>
        <v/>
      </c>
      <c r="F364" s="22" t="n"/>
      <c r="G364" s="22" t="n"/>
      <c r="H364" s="22" t="n"/>
      <c r="I364" s="22" t="n"/>
      <c r="J364" s="22" t="n"/>
      <c r="K364" s="28">
        <f>IF(C364="","",COUNTIFS(tbl_Finance[Job Number],C364&amp;"",tbl_Finance[Ex GST],"&lt;&gt;"))</f>
        <v/>
      </c>
      <c r="L364" s="27">
        <f>IF(C364="","",SUMIFS(tbl_Finance[Ex GST],tbl_Finance[Job Number],C364&amp;""))</f>
        <v/>
      </c>
      <c r="M364" s="27">
        <f>IF(C364="","",SUMIFS(tbl_Finance[Ex GST],tbl_Finance[Job Number],C364&amp;"",tbl_Finance[Xero Invoice No],"&lt;&gt;"))</f>
        <v/>
      </c>
      <c r="N364" s="27">
        <f>IF(C364="","",L364-M364)</f>
        <v/>
      </c>
      <c r="O364" s="24" t="n"/>
      <c r="P364" s="27">
        <f>IF(C364="","",IF(O364="",0,MAX(0,O364-L364)))</f>
        <v/>
      </c>
      <c r="Q364" s="26">
        <f>IF(C364="","",IF(K364=0,"not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R364" s="22" t="n"/>
      <c r="S364" s="22" t="n"/>
      <c r="T364" s="26">
        <f>IF(S364="","",HYPERLINK(IF(LEFT(S364,4)="http",S364,set_QwilrBase&amp;S364),"Open quote"))</f>
        <v/>
      </c>
      <c r="U364" s="71" t="n"/>
      <c r="V364" s="22" t="n"/>
      <c r="W364" s="22" t="n"/>
    </row>
    <row r="365" ht="15" customHeight="1">
      <c r="A365" s="70">
        <f>IF(C365="","",IFERROR(IF(SUMPRODUCT(MAX((tbl_Finance[Job Number]&amp;""=C365&amp;"")*(tbl_Finance[Xero Invoice No]&lt;&gt;"")*tbl_Finance[Date]))=0,"",SUMPRODUCT(MAX((tbl_Finance[Job Number]&amp;""=C365&amp;"")*(tbl_Finance[Xero Invoice No]&lt;&gt;"")*tbl_Finance[Date]))),""))</f>
        <v/>
      </c>
      <c r="B365" s="26">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2" t="n"/>
      <c r="D365" s="26">
        <f>IF(C365="","",IF(COUNTIF(lst_Jobs,C365&amp;"")&gt;0,"OK","CHECK"))</f>
        <v/>
      </c>
      <c r="E365" s="26">
        <f>IF(C365="","",IFERROR(INDEX(lst_JobName,MATCH(C365&amp;"",lst_Jobs,0)),""))</f>
        <v/>
      </c>
      <c r="F365" s="22" t="n"/>
      <c r="G365" s="22" t="n"/>
      <c r="H365" s="22" t="n"/>
      <c r="I365" s="22" t="n"/>
      <c r="J365" s="22" t="n"/>
      <c r="K365" s="28">
        <f>IF(C365="","",COUNTIFS(tbl_Finance[Job Number],C365&amp;"",tbl_Finance[Ex GST],"&lt;&gt;"))</f>
        <v/>
      </c>
      <c r="L365" s="27">
        <f>IF(C365="","",SUMIFS(tbl_Finance[Ex GST],tbl_Finance[Job Number],C365&amp;""))</f>
        <v/>
      </c>
      <c r="M365" s="27">
        <f>IF(C365="","",SUMIFS(tbl_Finance[Ex GST],tbl_Finance[Job Number],C365&amp;"",tbl_Finance[Xero Invoice No],"&lt;&gt;"))</f>
        <v/>
      </c>
      <c r="N365" s="27">
        <f>IF(C365="","",L365-M365)</f>
        <v/>
      </c>
      <c r="O365" s="24" t="n"/>
      <c r="P365" s="27">
        <f>IF(C365="","",IF(O365="",0,MAX(0,O365-L365)))</f>
        <v/>
      </c>
      <c r="Q365" s="26">
        <f>IF(C365="","",IF(K365=0,"not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R365" s="22" t="n"/>
      <c r="S365" s="22" t="n"/>
      <c r="T365" s="26">
        <f>IF(S365="","",HYPERLINK(IF(LEFT(S365,4)="http",S365,set_QwilrBase&amp;S365),"Open quote"))</f>
        <v/>
      </c>
      <c r="U365" s="71" t="n"/>
      <c r="V365" s="22" t="n"/>
      <c r="W365" s="22" t="n"/>
    </row>
    <row r="366" ht="15" customHeight="1">
      <c r="A366" s="70">
        <f>IF(C366="","",IFERROR(IF(SUMPRODUCT(MAX((tbl_Finance[Job Number]&amp;""=C366&amp;"")*(tbl_Finance[Xero Invoice No]&lt;&gt;"")*tbl_Finance[Date]))=0,"",SUMPRODUCT(MAX((tbl_Finance[Job Number]&amp;""=C366&amp;"")*(tbl_Finance[Xero Invoice No]&lt;&gt;"")*tbl_Finance[Date]))),""))</f>
        <v/>
      </c>
      <c r="B366" s="26">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2" t="n"/>
      <c r="D366" s="26">
        <f>IF(C366="","",IF(COUNTIF(lst_Jobs,C366&amp;"")&gt;0,"OK","CHECK"))</f>
        <v/>
      </c>
      <c r="E366" s="26">
        <f>IF(C366="","",IFERROR(INDEX(lst_JobName,MATCH(C366&amp;"",lst_Jobs,0)),""))</f>
        <v/>
      </c>
      <c r="F366" s="22" t="n"/>
      <c r="G366" s="22" t="n"/>
      <c r="H366" s="22" t="n"/>
      <c r="I366" s="22" t="n"/>
      <c r="J366" s="22" t="n"/>
      <c r="K366" s="28">
        <f>IF(C366="","",COUNTIFS(tbl_Finance[Job Number],C366&amp;"",tbl_Finance[Ex GST],"&lt;&gt;"))</f>
        <v/>
      </c>
      <c r="L366" s="27">
        <f>IF(C366="","",SUMIFS(tbl_Finance[Ex GST],tbl_Finance[Job Number],C366&amp;""))</f>
        <v/>
      </c>
      <c r="M366" s="27">
        <f>IF(C366="","",SUMIFS(tbl_Finance[Ex GST],tbl_Finance[Job Number],C366&amp;"",tbl_Finance[Xero Invoice No],"&lt;&gt;"))</f>
        <v/>
      </c>
      <c r="N366" s="27">
        <f>IF(C366="","",L366-M366)</f>
        <v/>
      </c>
      <c r="O366" s="24" t="n"/>
      <c r="P366" s="27">
        <f>IF(C366="","",IF(O366="",0,MAX(0,O366-L366)))</f>
        <v/>
      </c>
      <c r="Q366" s="26">
        <f>IF(C366="","",IF(K366=0,"not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R366" s="22" t="n"/>
      <c r="S366" s="22" t="n"/>
      <c r="T366" s="26">
        <f>IF(S366="","",HYPERLINK(IF(LEFT(S366,4)="http",S366,set_QwilrBase&amp;S366),"Open quote"))</f>
        <v/>
      </c>
      <c r="U366" s="71" t="n"/>
      <c r="V366" s="22" t="n"/>
      <c r="W366" s="22" t="n"/>
    </row>
    <row r="367" ht="15" customHeight="1">
      <c r="A367" s="70">
        <f>IF(C367="","",IFERROR(IF(SUMPRODUCT(MAX((tbl_Finance[Job Number]&amp;""=C367&amp;"")*(tbl_Finance[Xero Invoice No]&lt;&gt;"")*tbl_Finance[Date]))=0,"",SUMPRODUCT(MAX((tbl_Finance[Job Number]&amp;""=C367&amp;"")*(tbl_Finance[Xero Invoice No]&lt;&gt;"")*tbl_Finance[Date]))),""))</f>
        <v/>
      </c>
      <c r="B367" s="26">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2" t="n"/>
      <c r="D367" s="26">
        <f>IF(C367="","",IF(COUNTIF(lst_Jobs,C367&amp;"")&gt;0,"OK","CHECK"))</f>
        <v/>
      </c>
      <c r="E367" s="26">
        <f>IF(C367="","",IFERROR(INDEX(lst_JobName,MATCH(C367&amp;"",lst_Jobs,0)),""))</f>
        <v/>
      </c>
      <c r="F367" s="22" t="n"/>
      <c r="G367" s="22" t="n"/>
      <c r="H367" s="22" t="n"/>
      <c r="I367" s="22" t="n"/>
      <c r="J367" s="22" t="n"/>
      <c r="K367" s="28">
        <f>IF(C367="","",COUNTIFS(tbl_Finance[Job Number],C367&amp;"",tbl_Finance[Ex GST],"&lt;&gt;"))</f>
        <v/>
      </c>
      <c r="L367" s="27">
        <f>IF(C367="","",SUMIFS(tbl_Finance[Ex GST],tbl_Finance[Job Number],C367&amp;""))</f>
        <v/>
      </c>
      <c r="M367" s="27">
        <f>IF(C367="","",SUMIFS(tbl_Finance[Ex GST],tbl_Finance[Job Number],C367&amp;"",tbl_Finance[Xero Invoice No],"&lt;&gt;"))</f>
        <v/>
      </c>
      <c r="N367" s="27">
        <f>IF(C367="","",L367-M367)</f>
        <v/>
      </c>
      <c r="O367" s="24" t="n"/>
      <c r="P367" s="27">
        <f>IF(C367="","",IF(O367="",0,MAX(0,O367-L367)))</f>
        <v/>
      </c>
      <c r="Q367" s="26">
        <f>IF(C367="","",IF(K367=0,"not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R367" s="22" t="n"/>
      <c r="S367" s="22" t="n"/>
      <c r="T367" s="26">
        <f>IF(S367="","",HYPERLINK(IF(LEFT(S367,4)="http",S367,set_QwilrBase&amp;S367),"Open quote"))</f>
        <v/>
      </c>
      <c r="U367" s="71" t="n"/>
      <c r="V367" s="22" t="n"/>
      <c r="W367" s="22" t="n"/>
    </row>
    <row r="368" ht="15" customHeight="1">
      <c r="A368" s="70">
        <f>IF(C368="","",IFERROR(IF(SUMPRODUCT(MAX((tbl_Finance[Job Number]&amp;""=C368&amp;"")*(tbl_Finance[Xero Invoice No]&lt;&gt;"")*tbl_Finance[Date]))=0,"",SUMPRODUCT(MAX((tbl_Finance[Job Number]&amp;""=C368&amp;"")*(tbl_Finance[Xero Invoice No]&lt;&gt;"")*tbl_Finance[Date]))),""))</f>
        <v/>
      </c>
      <c r="B368" s="26">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2" t="n"/>
      <c r="D368" s="26">
        <f>IF(C368="","",IF(COUNTIF(lst_Jobs,C368&amp;"")&gt;0,"OK","CHECK"))</f>
        <v/>
      </c>
      <c r="E368" s="26">
        <f>IF(C368="","",IFERROR(INDEX(lst_JobName,MATCH(C368&amp;"",lst_Jobs,0)),""))</f>
        <v/>
      </c>
      <c r="F368" s="22" t="n"/>
      <c r="G368" s="22" t="n"/>
      <c r="H368" s="22" t="n"/>
      <c r="I368" s="22" t="n"/>
      <c r="J368" s="22" t="n"/>
      <c r="K368" s="28">
        <f>IF(C368="","",COUNTIFS(tbl_Finance[Job Number],C368&amp;"",tbl_Finance[Ex GST],"&lt;&gt;"))</f>
        <v/>
      </c>
      <c r="L368" s="27">
        <f>IF(C368="","",SUMIFS(tbl_Finance[Ex GST],tbl_Finance[Job Number],C368&amp;""))</f>
        <v/>
      </c>
      <c r="M368" s="27">
        <f>IF(C368="","",SUMIFS(tbl_Finance[Ex GST],tbl_Finance[Job Number],C368&amp;"",tbl_Finance[Xero Invoice No],"&lt;&gt;"))</f>
        <v/>
      </c>
      <c r="N368" s="27">
        <f>IF(C368="","",L368-M368)</f>
        <v/>
      </c>
      <c r="O368" s="24" t="n"/>
      <c r="P368" s="27">
        <f>IF(C368="","",IF(O368="",0,MAX(0,O368-L368)))</f>
        <v/>
      </c>
      <c r="Q368" s="26">
        <f>IF(C368="","",IF(K368=0,"not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R368" s="22" t="n"/>
      <c r="S368" s="22" t="n"/>
      <c r="T368" s="26">
        <f>IF(S368="","",HYPERLINK(IF(LEFT(S368,4)="http",S368,set_QwilrBase&amp;S368),"Open quote"))</f>
        <v/>
      </c>
      <c r="U368" s="71" t="n"/>
      <c r="V368" s="22" t="n"/>
      <c r="W368" s="22" t="n"/>
    </row>
    <row r="369" ht="15" customHeight="1">
      <c r="A369" s="70">
        <f>IF(C369="","",IFERROR(IF(SUMPRODUCT(MAX((tbl_Finance[Job Number]&amp;""=C369&amp;"")*(tbl_Finance[Xero Invoice No]&lt;&gt;"")*tbl_Finance[Date]))=0,"",SUMPRODUCT(MAX((tbl_Finance[Job Number]&amp;""=C369&amp;"")*(tbl_Finance[Xero Invoice No]&lt;&gt;"")*tbl_Finance[Date]))),""))</f>
        <v/>
      </c>
      <c r="B369" s="26">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2" t="n"/>
      <c r="D369" s="26">
        <f>IF(C369="","",IF(COUNTIF(lst_Jobs,C369&amp;"")&gt;0,"OK","CHECK"))</f>
        <v/>
      </c>
      <c r="E369" s="26">
        <f>IF(C369="","",IFERROR(INDEX(lst_JobName,MATCH(C369&amp;"",lst_Jobs,0)),""))</f>
        <v/>
      </c>
      <c r="F369" s="22" t="n"/>
      <c r="G369" s="22" t="n"/>
      <c r="H369" s="22" t="n"/>
      <c r="I369" s="22" t="n"/>
      <c r="J369" s="22" t="n"/>
      <c r="K369" s="28">
        <f>IF(C369="","",COUNTIFS(tbl_Finance[Job Number],C369&amp;"",tbl_Finance[Ex GST],"&lt;&gt;"))</f>
        <v/>
      </c>
      <c r="L369" s="27">
        <f>IF(C369="","",SUMIFS(tbl_Finance[Ex GST],tbl_Finance[Job Number],C369&amp;""))</f>
        <v/>
      </c>
      <c r="M369" s="27">
        <f>IF(C369="","",SUMIFS(tbl_Finance[Ex GST],tbl_Finance[Job Number],C369&amp;"",tbl_Finance[Xero Invoice No],"&lt;&gt;"))</f>
        <v/>
      </c>
      <c r="N369" s="27">
        <f>IF(C369="","",L369-M369)</f>
        <v/>
      </c>
      <c r="O369" s="24" t="n"/>
      <c r="P369" s="27">
        <f>IF(C369="","",IF(O369="",0,MAX(0,O369-L369)))</f>
        <v/>
      </c>
      <c r="Q369" s="26">
        <f>IF(C369="","",IF(K369=0,"not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R369" s="22" t="n"/>
      <c r="S369" s="22" t="n"/>
      <c r="T369" s="26">
        <f>IF(S369="","",HYPERLINK(IF(LEFT(S369,4)="http",S369,set_QwilrBase&amp;S369),"Open quote"))</f>
        <v/>
      </c>
      <c r="U369" s="71" t="n"/>
      <c r="V369" s="22" t="n"/>
      <c r="W369" s="22" t="n"/>
    </row>
    <row r="370" ht="15" customHeight="1">
      <c r="A370" s="70">
        <f>IF(C370="","",IFERROR(IF(SUMPRODUCT(MAX((tbl_Finance[Job Number]&amp;""=C370&amp;"")*(tbl_Finance[Xero Invoice No]&lt;&gt;"")*tbl_Finance[Date]))=0,"",SUMPRODUCT(MAX((tbl_Finance[Job Number]&amp;""=C370&amp;"")*(tbl_Finance[Xero Invoice No]&lt;&gt;"")*tbl_Finance[Date]))),""))</f>
        <v/>
      </c>
      <c r="B370" s="26">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2" t="n"/>
      <c r="D370" s="26">
        <f>IF(C370="","",IF(COUNTIF(lst_Jobs,C370&amp;"")&gt;0,"OK","CHECK"))</f>
        <v/>
      </c>
      <c r="E370" s="26">
        <f>IF(C370="","",IFERROR(INDEX(lst_JobName,MATCH(C370&amp;"",lst_Jobs,0)),""))</f>
        <v/>
      </c>
      <c r="F370" s="22" t="n"/>
      <c r="G370" s="22" t="n"/>
      <c r="H370" s="22" t="n"/>
      <c r="I370" s="22" t="n"/>
      <c r="J370" s="22" t="n"/>
      <c r="K370" s="28">
        <f>IF(C370="","",COUNTIFS(tbl_Finance[Job Number],C370&amp;"",tbl_Finance[Ex GST],"&lt;&gt;"))</f>
        <v/>
      </c>
      <c r="L370" s="27">
        <f>IF(C370="","",SUMIFS(tbl_Finance[Ex GST],tbl_Finance[Job Number],C370&amp;""))</f>
        <v/>
      </c>
      <c r="M370" s="27">
        <f>IF(C370="","",SUMIFS(tbl_Finance[Ex GST],tbl_Finance[Job Number],C370&amp;"",tbl_Finance[Xero Invoice No],"&lt;&gt;"))</f>
        <v/>
      </c>
      <c r="N370" s="27">
        <f>IF(C370="","",L370-M370)</f>
        <v/>
      </c>
      <c r="O370" s="24" t="n"/>
      <c r="P370" s="27">
        <f>IF(C370="","",IF(O370="",0,MAX(0,O370-L370)))</f>
        <v/>
      </c>
      <c r="Q370" s="26">
        <f>IF(C370="","",IF(K370=0,"not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R370" s="22" t="n"/>
      <c r="S370" s="22" t="n"/>
      <c r="T370" s="26">
        <f>IF(S370="","",HYPERLINK(IF(LEFT(S370,4)="http",S370,set_QwilrBase&amp;S370),"Open quote"))</f>
        <v/>
      </c>
      <c r="U370" s="71" t="n"/>
      <c r="V370" s="22" t="n"/>
      <c r="W370" s="22" t="n"/>
    </row>
    <row r="371" ht="15" customHeight="1">
      <c r="A371" s="70">
        <f>IF(C371="","",IFERROR(IF(SUMPRODUCT(MAX((tbl_Finance[Job Number]&amp;""=C371&amp;"")*(tbl_Finance[Xero Invoice No]&lt;&gt;"")*tbl_Finance[Date]))=0,"",SUMPRODUCT(MAX((tbl_Finance[Job Number]&amp;""=C371&amp;"")*(tbl_Finance[Xero Invoice No]&lt;&gt;"")*tbl_Finance[Date]))),""))</f>
        <v/>
      </c>
      <c r="B371" s="26">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2" t="n"/>
      <c r="D371" s="26">
        <f>IF(C371="","",IF(COUNTIF(lst_Jobs,C371&amp;"")&gt;0,"OK","CHECK"))</f>
        <v/>
      </c>
      <c r="E371" s="26">
        <f>IF(C371="","",IFERROR(INDEX(lst_JobName,MATCH(C371&amp;"",lst_Jobs,0)),""))</f>
        <v/>
      </c>
      <c r="F371" s="22" t="n"/>
      <c r="G371" s="22" t="n"/>
      <c r="H371" s="22" t="n"/>
      <c r="I371" s="22" t="n"/>
      <c r="J371" s="22" t="n"/>
      <c r="K371" s="28">
        <f>IF(C371="","",COUNTIFS(tbl_Finance[Job Number],C371&amp;"",tbl_Finance[Ex GST],"&lt;&gt;"))</f>
        <v/>
      </c>
      <c r="L371" s="27">
        <f>IF(C371="","",SUMIFS(tbl_Finance[Ex GST],tbl_Finance[Job Number],C371&amp;""))</f>
        <v/>
      </c>
      <c r="M371" s="27">
        <f>IF(C371="","",SUMIFS(tbl_Finance[Ex GST],tbl_Finance[Job Number],C371&amp;"",tbl_Finance[Xero Invoice No],"&lt;&gt;"))</f>
        <v/>
      </c>
      <c r="N371" s="27">
        <f>IF(C371="","",L371-M371)</f>
        <v/>
      </c>
      <c r="O371" s="24" t="n"/>
      <c r="P371" s="27">
        <f>IF(C371="","",IF(O371="",0,MAX(0,O371-L371)))</f>
        <v/>
      </c>
      <c r="Q371" s="26">
        <f>IF(C371="","",IF(K371=0,"not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R371" s="22" t="n"/>
      <c r="S371" s="22" t="n"/>
      <c r="T371" s="26">
        <f>IF(S371="","",HYPERLINK(IF(LEFT(S371,4)="http",S371,set_QwilrBase&amp;S371),"Open quote"))</f>
        <v/>
      </c>
      <c r="U371" s="71" t="n"/>
      <c r="V371" s="22" t="n"/>
      <c r="W371" s="22" t="n"/>
    </row>
    <row r="372" ht="15" customHeight="1">
      <c r="A372" s="70">
        <f>IF(C372="","",IFERROR(IF(SUMPRODUCT(MAX((tbl_Finance[Job Number]&amp;""=C372&amp;"")*(tbl_Finance[Xero Invoice No]&lt;&gt;"")*tbl_Finance[Date]))=0,"",SUMPRODUCT(MAX((tbl_Finance[Job Number]&amp;""=C372&amp;"")*(tbl_Finance[Xero Invoice No]&lt;&gt;"")*tbl_Finance[Date]))),""))</f>
        <v/>
      </c>
      <c r="B372" s="26">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2" t="n"/>
      <c r="D372" s="26">
        <f>IF(C372="","",IF(COUNTIF(lst_Jobs,C372&amp;"")&gt;0,"OK","CHECK"))</f>
        <v/>
      </c>
      <c r="E372" s="26">
        <f>IF(C372="","",IFERROR(INDEX(lst_JobName,MATCH(C372&amp;"",lst_Jobs,0)),""))</f>
        <v/>
      </c>
      <c r="F372" s="22" t="n"/>
      <c r="G372" s="22" t="n"/>
      <c r="H372" s="22" t="n"/>
      <c r="I372" s="22" t="n"/>
      <c r="J372" s="22" t="n"/>
      <c r="K372" s="28">
        <f>IF(C372="","",COUNTIFS(tbl_Finance[Job Number],C372&amp;"",tbl_Finance[Ex GST],"&lt;&gt;"))</f>
        <v/>
      </c>
      <c r="L372" s="27">
        <f>IF(C372="","",SUMIFS(tbl_Finance[Ex GST],tbl_Finance[Job Number],C372&amp;""))</f>
        <v/>
      </c>
      <c r="M372" s="27">
        <f>IF(C372="","",SUMIFS(tbl_Finance[Ex GST],tbl_Finance[Job Number],C372&amp;"",tbl_Finance[Xero Invoice No],"&lt;&gt;"))</f>
        <v/>
      </c>
      <c r="N372" s="27">
        <f>IF(C372="","",L372-M372)</f>
        <v/>
      </c>
      <c r="O372" s="24" t="n"/>
      <c r="P372" s="27">
        <f>IF(C372="","",IF(O372="",0,MAX(0,O372-L372)))</f>
        <v/>
      </c>
      <c r="Q372" s="26">
        <f>IF(C372="","",IF(K372=0,"not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R372" s="22" t="n"/>
      <c r="S372" s="22" t="n"/>
      <c r="T372" s="26">
        <f>IF(S372="","",HYPERLINK(IF(LEFT(S372,4)="http",S372,set_QwilrBase&amp;S372),"Open quote"))</f>
        <v/>
      </c>
      <c r="U372" s="71" t="n"/>
      <c r="V372" s="22" t="n"/>
      <c r="W372" s="22" t="n"/>
    </row>
    <row r="373" ht="15" customHeight="1">
      <c r="A373" s="70">
        <f>IF(C373="","",IFERROR(IF(SUMPRODUCT(MAX((tbl_Finance[Job Number]&amp;""=C373&amp;"")*(tbl_Finance[Xero Invoice No]&lt;&gt;"")*tbl_Finance[Date]))=0,"",SUMPRODUCT(MAX((tbl_Finance[Job Number]&amp;""=C373&amp;"")*(tbl_Finance[Xero Invoice No]&lt;&gt;"")*tbl_Finance[Date]))),""))</f>
        <v/>
      </c>
      <c r="B373" s="26">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2" t="n"/>
      <c r="D373" s="26">
        <f>IF(C373="","",IF(COUNTIF(lst_Jobs,C373&amp;"")&gt;0,"OK","CHECK"))</f>
        <v/>
      </c>
      <c r="E373" s="26">
        <f>IF(C373="","",IFERROR(INDEX(lst_JobName,MATCH(C373&amp;"",lst_Jobs,0)),""))</f>
        <v/>
      </c>
      <c r="F373" s="22" t="n"/>
      <c r="G373" s="22" t="n"/>
      <c r="H373" s="22" t="n"/>
      <c r="I373" s="22" t="n"/>
      <c r="J373" s="22" t="n"/>
      <c r="K373" s="28">
        <f>IF(C373="","",COUNTIFS(tbl_Finance[Job Number],C373&amp;"",tbl_Finance[Ex GST],"&lt;&gt;"))</f>
        <v/>
      </c>
      <c r="L373" s="27">
        <f>IF(C373="","",SUMIFS(tbl_Finance[Ex GST],tbl_Finance[Job Number],C373&amp;""))</f>
        <v/>
      </c>
      <c r="M373" s="27">
        <f>IF(C373="","",SUMIFS(tbl_Finance[Ex GST],tbl_Finance[Job Number],C373&amp;"",tbl_Finance[Xero Invoice No],"&lt;&gt;"))</f>
        <v/>
      </c>
      <c r="N373" s="27">
        <f>IF(C373="","",L373-M373)</f>
        <v/>
      </c>
      <c r="O373" s="24" t="n"/>
      <c r="P373" s="27">
        <f>IF(C373="","",IF(O373="",0,MAX(0,O373-L373)))</f>
        <v/>
      </c>
      <c r="Q373" s="26">
        <f>IF(C373="","",IF(K373=0,"not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R373" s="22" t="n"/>
      <c r="S373" s="22" t="n"/>
      <c r="T373" s="26">
        <f>IF(S373="","",HYPERLINK(IF(LEFT(S373,4)="http",S373,set_QwilrBase&amp;S373),"Open quote"))</f>
        <v/>
      </c>
      <c r="U373" s="71" t="n"/>
      <c r="V373" s="22" t="n"/>
      <c r="W373" s="22" t="n"/>
    </row>
    <row r="374" ht="15" customHeight="1">
      <c r="A374" s="70">
        <f>IF(C374="","",IFERROR(IF(SUMPRODUCT(MAX((tbl_Finance[Job Number]&amp;""=C374&amp;"")*(tbl_Finance[Xero Invoice No]&lt;&gt;"")*tbl_Finance[Date]))=0,"",SUMPRODUCT(MAX((tbl_Finance[Job Number]&amp;""=C374&amp;"")*(tbl_Finance[Xero Invoice No]&lt;&gt;"")*tbl_Finance[Date]))),""))</f>
        <v/>
      </c>
      <c r="B374" s="26">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2" t="n"/>
      <c r="D374" s="26">
        <f>IF(C374="","",IF(COUNTIF(lst_Jobs,C374&amp;"")&gt;0,"OK","CHECK"))</f>
        <v/>
      </c>
      <c r="E374" s="26">
        <f>IF(C374="","",IFERROR(INDEX(lst_JobName,MATCH(C374&amp;"",lst_Jobs,0)),""))</f>
        <v/>
      </c>
      <c r="F374" s="22" t="n"/>
      <c r="G374" s="22" t="n"/>
      <c r="H374" s="22" t="n"/>
      <c r="I374" s="22" t="n"/>
      <c r="J374" s="22" t="n"/>
      <c r="K374" s="28">
        <f>IF(C374="","",COUNTIFS(tbl_Finance[Job Number],C374&amp;"",tbl_Finance[Ex GST],"&lt;&gt;"))</f>
        <v/>
      </c>
      <c r="L374" s="27">
        <f>IF(C374="","",SUMIFS(tbl_Finance[Ex GST],tbl_Finance[Job Number],C374&amp;""))</f>
        <v/>
      </c>
      <c r="M374" s="27">
        <f>IF(C374="","",SUMIFS(tbl_Finance[Ex GST],tbl_Finance[Job Number],C374&amp;"",tbl_Finance[Xero Invoice No],"&lt;&gt;"))</f>
        <v/>
      </c>
      <c r="N374" s="27">
        <f>IF(C374="","",L374-M374)</f>
        <v/>
      </c>
      <c r="O374" s="24" t="n"/>
      <c r="P374" s="27">
        <f>IF(C374="","",IF(O374="",0,MAX(0,O374-L374)))</f>
        <v/>
      </c>
      <c r="Q374" s="26">
        <f>IF(C374="","",IF(K374=0,"not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R374" s="22" t="n"/>
      <c r="S374" s="22" t="n"/>
      <c r="T374" s="26">
        <f>IF(S374="","",HYPERLINK(IF(LEFT(S374,4)="http",S374,set_QwilrBase&amp;S374),"Open quote"))</f>
        <v/>
      </c>
      <c r="U374" s="71" t="n"/>
      <c r="V374" s="22" t="n"/>
      <c r="W374" s="22" t="n"/>
    </row>
    <row r="375" ht="15" customHeight="1">
      <c r="A375" s="70">
        <f>IF(C375="","",IFERROR(IF(SUMPRODUCT(MAX((tbl_Finance[Job Number]&amp;""=C375&amp;"")*(tbl_Finance[Xero Invoice No]&lt;&gt;"")*tbl_Finance[Date]))=0,"",SUMPRODUCT(MAX((tbl_Finance[Job Number]&amp;""=C375&amp;"")*(tbl_Finance[Xero Invoice No]&lt;&gt;"")*tbl_Finance[Date]))),""))</f>
        <v/>
      </c>
      <c r="B375" s="26">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2" t="n"/>
      <c r="D375" s="26">
        <f>IF(C375="","",IF(COUNTIF(lst_Jobs,C375&amp;"")&gt;0,"OK","CHECK"))</f>
        <v/>
      </c>
      <c r="E375" s="26">
        <f>IF(C375="","",IFERROR(INDEX(lst_JobName,MATCH(C375&amp;"",lst_Jobs,0)),""))</f>
        <v/>
      </c>
      <c r="F375" s="22" t="n"/>
      <c r="G375" s="22" t="n"/>
      <c r="H375" s="22" t="n"/>
      <c r="I375" s="22" t="n"/>
      <c r="J375" s="22" t="n"/>
      <c r="K375" s="28">
        <f>IF(C375="","",COUNTIFS(tbl_Finance[Job Number],C375&amp;"",tbl_Finance[Ex GST],"&lt;&gt;"))</f>
        <v/>
      </c>
      <c r="L375" s="27">
        <f>IF(C375="","",SUMIFS(tbl_Finance[Ex GST],tbl_Finance[Job Number],C375&amp;""))</f>
        <v/>
      </c>
      <c r="M375" s="27">
        <f>IF(C375="","",SUMIFS(tbl_Finance[Ex GST],tbl_Finance[Job Number],C375&amp;"",tbl_Finance[Xero Invoice No],"&lt;&gt;"))</f>
        <v/>
      </c>
      <c r="N375" s="27">
        <f>IF(C375="","",L375-M375)</f>
        <v/>
      </c>
      <c r="O375" s="24" t="n"/>
      <c r="P375" s="27">
        <f>IF(C375="","",IF(O375="",0,MAX(0,O375-L375)))</f>
        <v/>
      </c>
      <c r="Q375" s="26">
        <f>IF(C375="","",IF(K375=0,"not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R375" s="22" t="n"/>
      <c r="S375" s="22" t="n"/>
      <c r="T375" s="26">
        <f>IF(S375="","",HYPERLINK(IF(LEFT(S375,4)="http",S375,set_QwilrBase&amp;S375),"Open quote"))</f>
        <v/>
      </c>
      <c r="U375" s="71" t="n"/>
      <c r="V375" s="22" t="n"/>
      <c r="W375" s="22" t="n"/>
    </row>
    <row r="376" ht="15" customHeight="1">
      <c r="A376" s="70">
        <f>IF(C376="","",IFERROR(IF(SUMPRODUCT(MAX((tbl_Finance[Job Number]&amp;""=C376&amp;"")*(tbl_Finance[Xero Invoice No]&lt;&gt;"")*tbl_Finance[Date]))=0,"",SUMPRODUCT(MAX((tbl_Finance[Job Number]&amp;""=C376&amp;"")*(tbl_Finance[Xero Invoice No]&lt;&gt;"")*tbl_Finance[Date]))),""))</f>
        <v/>
      </c>
      <c r="B376" s="26">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2" t="n"/>
      <c r="D376" s="26">
        <f>IF(C376="","",IF(COUNTIF(lst_Jobs,C376&amp;"")&gt;0,"OK","CHECK"))</f>
        <v/>
      </c>
      <c r="E376" s="26">
        <f>IF(C376="","",IFERROR(INDEX(lst_JobName,MATCH(C376&amp;"",lst_Jobs,0)),""))</f>
        <v/>
      </c>
      <c r="F376" s="22" t="n"/>
      <c r="G376" s="22" t="n"/>
      <c r="H376" s="22" t="n"/>
      <c r="I376" s="22" t="n"/>
      <c r="J376" s="22" t="n"/>
      <c r="K376" s="28">
        <f>IF(C376="","",COUNTIFS(tbl_Finance[Job Number],C376&amp;"",tbl_Finance[Ex GST],"&lt;&gt;"))</f>
        <v/>
      </c>
      <c r="L376" s="27">
        <f>IF(C376="","",SUMIFS(tbl_Finance[Ex GST],tbl_Finance[Job Number],C376&amp;""))</f>
        <v/>
      </c>
      <c r="M376" s="27">
        <f>IF(C376="","",SUMIFS(tbl_Finance[Ex GST],tbl_Finance[Job Number],C376&amp;"",tbl_Finance[Xero Invoice No],"&lt;&gt;"))</f>
        <v/>
      </c>
      <c r="N376" s="27">
        <f>IF(C376="","",L376-M376)</f>
        <v/>
      </c>
      <c r="O376" s="24" t="n"/>
      <c r="P376" s="27">
        <f>IF(C376="","",IF(O376="",0,MAX(0,O376-L376)))</f>
        <v/>
      </c>
      <c r="Q376" s="26">
        <f>IF(C376="","",IF(K376=0,"not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R376" s="22" t="n"/>
      <c r="S376" s="22" t="n"/>
      <c r="T376" s="26">
        <f>IF(S376="","",HYPERLINK(IF(LEFT(S376,4)="http",S376,set_QwilrBase&amp;S376),"Open quote"))</f>
        <v/>
      </c>
      <c r="U376" s="71" t="n"/>
      <c r="V376" s="22" t="n"/>
      <c r="W376" s="22" t="n"/>
    </row>
    <row r="377" ht="15" customHeight="1">
      <c r="A377" s="70">
        <f>IF(C377="","",IFERROR(IF(SUMPRODUCT(MAX((tbl_Finance[Job Number]&amp;""=C377&amp;"")*(tbl_Finance[Xero Invoice No]&lt;&gt;"")*tbl_Finance[Date]))=0,"",SUMPRODUCT(MAX((tbl_Finance[Job Number]&amp;""=C377&amp;"")*(tbl_Finance[Xero Invoice No]&lt;&gt;"")*tbl_Finance[Date]))),""))</f>
        <v/>
      </c>
      <c r="B377" s="26">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2" t="n"/>
      <c r="D377" s="26">
        <f>IF(C377="","",IF(COUNTIF(lst_Jobs,C377&amp;"")&gt;0,"OK","CHECK"))</f>
        <v/>
      </c>
      <c r="E377" s="26">
        <f>IF(C377="","",IFERROR(INDEX(lst_JobName,MATCH(C377&amp;"",lst_Jobs,0)),""))</f>
        <v/>
      </c>
      <c r="F377" s="22" t="n"/>
      <c r="G377" s="22" t="n"/>
      <c r="H377" s="22" t="n"/>
      <c r="I377" s="22" t="n"/>
      <c r="J377" s="22" t="n"/>
      <c r="K377" s="28">
        <f>IF(C377="","",COUNTIFS(tbl_Finance[Job Number],C377&amp;"",tbl_Finance[Ex GST],"&lt;&gt;"))</f>
        <v/>
      </c>
      <c r="L377" s="27">
        <f>IF(C377="","",SUMIFS(tbl_Finance[Ex GST],tbl_Finance[Job Number],C377&amp;""))</f>
        <v/>
      </c>
      <c r="M377" s="27">
        <f>IF(C377="","",SUMIFS(tbl_Finance[Ex GST],tbl_Finance[Job Number],C377&amp;"",tbl_Finance[Xero Invoice No],"&lt;&gt;"))</f>
        <v/>
      </c>
      <c r="N377" s="27">
        <f>IF(C377="","",L377-M377)</f>
        <v/>
      </c>
      <c r="O377" s="24" t="n"/>
      <c r="P377" s="27">
        <f>IF(C377="","",IF(O377="",0,MAX(0,O377-L377)))</f>
        <v/>
      </c>
      <c r="Q377" s="26">
        <f>IF(C377="","",IF(K377=0,"not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R377" s="22" t="n"/>
      <c r="S377" s="22" t="n"/>
      <c r="T377" s="26">
        <f>IF(S377="","",HYPERLINK(IF(LEFT(S377,4)="http",S377,set_QwilrBase&amp;S377),"Open quote"))</f>
        <v/>
      </c>
      <c r="U377" s="71" t="n"/>
      <c r="V377" s="22" t="n"/>
      <c r="W377" s="22" t="n"/>
    </row>
    <row r="378" ht="15" customHeight="1">
      <c r="A378" s="70">
        <f>IF(C378="","",IFERROR(IF(SUMPRODUCT(MAX((tbl_Finance[Job Number]&amp;""=C378&amp;"")*(tbl_Finance[Xero Invoice No]&lt;&gt;"")*tbl_Finance[Date]))=0,"",SUMPRODUCT(MAX((tbl_Finance[Job Number]&amp;""=C378&amp;"")*(tbl_Finance[Xero Invoice No]&lt;&gt;"")*tbl_Finance[Date]))),""))</f>
        <v/>
      </c>
      <c r="B378" s="26">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2" t="n"/>
      <c r="D378" s="26">
        <f>IF(C378="","",IF(COUNTIF(lst_Jobs,C378&amp;"")&gt;0,"OK","CHECK"))</f>
        <v/>
      </c>
      <c r="E378" s="26">
        <f>IF(C378="","",IFERROR(INDEX(lst_JobName,MATCH(C378&amp;"",lst_Jobs,0)),""))</f>
        <v/>
      </c>
      <c r="F378" s="22" t="n"/>
      <c r="G378" s="22" t="n"/>
      <c r="H378" s="22" t="n"/>
      <c r="I378" s="22" t="n"/>
      <c r="J378" s="22" t="n"/>
      <c r="K378" s="28">
        <f>IF(C378="","",COUNTIFS(tbl_Finance[Job Number],C378&amp;"",tbl_Finance[Ex GST],"&lt;&gt;"))</f>
        <v/>
      </c>
      <c r="L378" s="27">
        <f>IF(C378="","",SUMIFS(tbl_Finance[Ex GST],tbl_Finance[Job Number],C378&amp;""))</f>
        <v/>
      </c>
      <c r="M378" s="27">
        <f>IF(C378="","",SUMIFS(tbl_Finance[Ex GST],tbl_Finance[Job Number],C378&amp;"",tbl_Finance[Xero Invoice No],"&lt;&gt;"))</f>
        <v/>
      </c>
      <c r="N378" s="27">
        <f>IF(C378="","",L378-M378)</f>
        <v/>
      </c>
      <c r="O378" s="24" t="n"/>
      <c r="P378" s="27">
        <f>IF(C378="","",IF(O378="",0,MAX(0,O378-L378)))</f>
        <v/>
      </c>
      <c r="Q378" s="26">
        <f>IF(C378="","",IF(K378=0,"not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R378" s="22" t="n"/>
      <c r="S378" s="22" t="n"/>
      <c r="T378" s="26">
        <f>IF(S378="","",HYPERLINK(IF(LEFT(S378,4)="http",S378,set_QwilrBase&amp;S378),"Open quote"))</f>
        <v/>
      </c>
      <c r="U378" s="71" t="n"/>
      <c r="V378" s="22" t="n"/>
      <c r="W378" s="22" t="n"/>
    </row>
    <row r="379" ht="15" customHeight="1">
      <c r="A379" s="70">
        <f>IF(C379="","",IFERROR(IF(SUMPRODUCT(MAX((tbl_Finance[Job Number]&amp;""=C379&amp;"")*(tbl_Finance[Xero Invoice No]&lt;&gt;"")*tbl_Finance[Date]))=0,"",SUMPRODUCT(MAX((tbl_Finance[Job Number]&amp;""=C379&amp;"")*(tbl_Finance[Xero Invoice No]&lt;&gt;"")*tbl_Finance[Date]))),""))</f>
        <v/>
      </c>
      <c r="B379" s="26">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2" t="n"/>
      <c r="D379" s="26">
        <f>IF(C379="","",IF(COUNTIF(lst_Jobs,C379&amp;"")&gt;0,"OK","CHECK"))</f>
        <v/>
      </c>
      <c r="E379" s="26">
        <f>IF(C379="","",IFERROR(INDEX(lst_JobName,MATCH(C379&amp;"",lst_Jobs,0)),""))</f>
        <v/>
      </c>
      <c r="F379" s="22" t="n"/>
      <c r="G379" s="22" t="n"/>
      <c r="H379" s="22" t="n"/>
      <c r="I379" s="22" t="n"/>
      <c r="J379" s="22" t="n"/>
      <c r="K379" s="28">
        <f>IF(C379="","",COUNTIFS(tbl_Finance[Job Number],C379&amp;"",tbl_Finance[Ex GST],"&lt;&gt;"))</f>
        <v/>
      </c>
      <c r="L379" s="27">
        <f>IF(C379="","",SUMIFS(tbl_Finance[Ex GST],tbl_Finance[Job Number],C379&amp;""))</f>
        <v/>
      </c>
      <c r="M379" s="27">
        <f>IF(C379="","",SUMIFS(tbl_Finance[Ex GST],tbl_Finance[Job Number],C379&amp;"",tbl_Finance[Xero Invoice No],"&lt;&gt;"))</f>
        <v/>
      </c>
      <c r="N379" s="27">
        <f>IF(C379="","",L379-M379)</f>
        <v/>
      </c>
      <c r="O379" s="24" t="n"/>
      <c r="P379" s="27">
        <f>IF(C379="","",IF(O379="",0,MAX(0,O379-L379)))</f>
        <v/>
      </c>
      <c r="Q379" s="26">
        <f>IF(C379="","",IF(K379=0,"not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R379" s="22" t="n"/>
      <c r="S379" s="22" t="n"/>
      <c r="T379" s="26">
        <f>IF(S379="","",HYPERLINK(IF(LEFT(S379,4)="http",S379,set_QwilrBase&amp;S379),"Open quote"))</f>
        <v/>
      </c>
      <c r="U379" s="71" t="n"/>
      <c r="V379" s="22" t="n"/>
      <c r="W379" s="22" t="n"/>
    </row>
    <row r="380" ht="15" customHeight="1">
      <c r="A380" s="70">
        <f>IF(C380="","",IFERROR(IF(SUMPRODUCT(MAX((tbl_Finance[Job Number]&amp;""=C380&amp;"")*(tbl_Finance[Xero Invoice No]&lt;&gt;"")*tbl_Finance[Date]))=0,"",SUMPRODUCT(MAX((tbl_Finance[Job Number]&amp;""=C380&amp;"")*(tbl_Finance[Xero Invoice No]&lt;&gt;"")*tbl_Finance[Date]))),""))</f>
        <v/>
      </c>
      <c r="B380" s="26">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2" t="n"/>
      <c r="D380" s="26">
        <f>IF(C380="","",IF(COUNTIF(lst_Jobs,C380&amp;"")&gt;0,"OK","CHECK"))</f>
        <v/>
      </c>
      <c r="E380" s="26">
        <f>IF(C380="","",IFERROR(INDEX(lst_JobName,MATCH(C380&amp;"",lst_Jobs,0)),""))</f>
        <v/>
      </c>
      <c r="F380" s="22" t="n"/>
      <c r="G380" s="22" t="n"/>
      <c r="H380" s="22" t="n"/>
      <c r="I380" s="22" t="n"/>
      <c r="J380" s="22" t="n"/>
      <c r="K380" s="28">
        <f>IF(C380="","",COUNTIFS(tbl_Finance[Job Number],C380&amp;"",tbl_Finance[Ex GST],"&lt;&gt;"))</f>
        <v/>
      </c>
      <c r="L380" s="27">
        <f>IF(C380="","",SUMIFS(tbl_Finance[Ex GST],tbl_Finance[Job Number],C380&amp;""))</f>
        <v/>
      </c>
      <c r="M380" s="27">
        <f>IF(C380="","",SUMIFS(tbl_Finance[Ex GST],tbl_Finance[Job Number],C380&amp;"",tbl_Finance[Xero Invoice No],"&lt;&gt;"))</f>
        <v/>
      </c>
      <c r="N380" s="27">
        <f>IF(C380="","",L380-M380)</f>
        <v/>
      </c>
      <c r="O380" s="24" t="n"/>
      <c r="P380" s="27">
        <f>IF(C380="","",IF(O380="",0,MAX(0,O380-L380)))</f>
        <v/>
      </c>
      <c r="Q380" s="26">
        <f>IF(C380="","",IF(K380=0,"not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R380" s="22" t="n"/>
      <c r="S380" s="22" t="n"/>
      <c r="T380" s="26">
        <f>IF(S380="","",HYPERLINK(IF(LEFT(S380,4)="http",S380,set_QwilrBase&amp;S380),"Open quote"))</f>
        <v/>
      </c>
      <c r="U380" s="71" t="n"/>
      <c r="V380" s="22" t="n"/>
      <c r="W380" s="22" t="n"/>
    </row>
    <row r="381" ht="15" customHeight="1">
      <c r="A381" s="70">
        <f>IF(C381="","",IFERROR(IF(SUMPRODUCT(MAX((tbl_Finance[Job Number]&amp;""=C381&amp;"")*(tbl_Finance[Xero Invoice No]&lt;&gt;"")*tbl_Finance[Date]))=0,"",SUMPRODUCT(MAX((tbl_Finance[Job Number]&amp;""=C381&amp;"")*(tbl_Finance[Xero Invoice No]&lt;&gt;"")*tbl_Finance[Date]))),""))</f>
        <v/>
      </c>
      <c r="B381" s="26">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2" t="n"/>
      <c r="D381" s="26">
        <f>IF(C381="","",IF(COUNTIF(lst_Jobs,C381&amp;"")&gt;0,"OK","CHECK"))</f>
        <v/>
      </c>
      <c r="E381" s="26">
        <f>IF(C381="","",IFERROR(INDEX(lst_JobName,MATCH(C381&amp;"",lst_Jobs,0)),""))</f>
        <v/>
      </c>
      <c r="F381" s="22" t="n"/>
      <c r="G381" s="22" t="n"/>
      <c r="H381" s="22" t="n"/>
      <c r="I381" s="22" t="n"/>
      <c r="J381" s="22" t="n"/>
      <c r="K381" s="28">
        <f>IF(C381="","",COUNTIFS(tbl_Finance[Job Number],C381&amp;"",tbl_Finance[Ex GST],"&lt;&gt;"))</f>
        <v/>
      </c>
      <c r="L381" s="27">
        <f>IF(C381="","",SUMIFS(tbl_Finance[Ex GST],tbl_Finance[Job Number],C381&amp;""))</f>
        <v/>
      </c>
      <c r="M381" s="27">
        <f>IF(C381="","",SUMIFS(tbl_Finance[Ex GST],tbl_Finance[Job Number],C381&amp;"",tbl_Finance[Xero Invoice No],"&lt;&gt;"))</f>
        <v/>
      </c>
      <c r="N381" s="27">
        <f>IF(C381="","",L381-M381)</f>
        <v/>
      </c>
      <c r="O381" s="24" t="n"/>
      <c r="P381" s="27">
        <f>IF(C381="","",IF(O381="",0,MAX(0,O381-L381)))</f>
        <v/>
      </c>
      <c r="Q381" s="26">
        <f>IF(C381="","",IF(K381=0,"not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R381" s="22" t="n"/>
      <c r="S381" s="22" t="n"/>
      <c r="T381" s="26">
        <f>IF(S381="","",HYPERLINK(IF(LEFT(S381,4)="http",S381,set_QwilrBase&amp;S381),"Open quote"))</f>
        <v/>
      </c>
      <c r="U381" s="71" t="n"/>
      <c r="V381" s="22" t="n"/>
      <c r="W381" s="22" t="n"/>
    </row>
    <row r="382" ht="15" customHeight="1">
      <c r="A382" s="70">
        <f>IF(C382="","",IFERROR(IF(SUMPRODUCT(MAX((tbl_Finance[Job Number]&amp;""=C382&amp;"")*(tbl_Finance[Xero Invoice No]&lt;&gt;"")*tbl_Finance[Date]))=0,"",SUMPRODUCT(MAX((tbl_Finance[Job Number]&amp;""=C382&amp;"")*(tbl_Finance[Xero Invoice No]&lt;&gt;"")*tbl_Finance[Date]))),""))</f>
        <v/>
      </c>
      <c r="B382" s="26">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2" t="n"/>
      <c r="D382" s="26">
        <f>IF(C382="","",IF(COUNTIF(lst_Jobs,C382&amp;"")&gt;0,"OK","CHECK"))</f>
        <v/>
      </c>
      <c r="E382" s="26">
        <f>IF(C382="","",IFERROR(INDEX(lst_JobName,MATCH(C382&amp;"",lst_Jobs,0)),""))</f>
        <v/>
      </c>
      <c r="F382" s="22" t="n"/>
      <c r="G382" s="22" t="n"/>
      <c r="H382" s="22" t="n"/>
      <c r="I382" s="22" t="n"/>
      <c r="J382" s="22" t="n"/>
      <c r="K382" s="28">
        <f>IF(C382="","",COUNTIFS(tbl_Finance[Job Number],C382&amp;"",tbl_Finance[Ex GST],"&lt;&gt;"))</f>
        <v/>
      </c>
      <c r="L382" s="27">
        <f>IF(C382="","",SUMIFS(tbl_Finance[Ex GST],tbl_Finance[Job Number],C382&amp;""))</f>
        <v/>
      </c>
      <c r="M382" s="27">
        <f>IF(C382="","",SUMIFS(tbl_Finance[Ex GST],tbl_Finance[Job Number],C382&amp;"",tbl_Finance[Xero Invoice No],"&lt;&gt;"))</f>
        <v/>
      </c>
      <c r="N382" s="27">
        <f>IF(C382="","",L382-M382)</f>
        <v/>
      </c>
      <c r="O382" s="24" t="n"/>
      <c r="P382" s="27">
        <f>IF(C382="","",IF(O382="",0,MAX(0,O382-L382)))</f>
        <v/>
      </c>
      <c r="Q382" s="26">
        <f>IF(C382="","",IF(K382=0,"not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R382" s="22" t="n"/>
      <c r="S382" s="22" t="n"/>
      <c r="T382" s="26">
        <f>IF(S382="","",HYPERLINK(IF(LEFT(S382,4)="http",S382,set_QwilrBase&amp;S382),"Open quote"))</f>
        <v/>
      </c>
      <c r="U382" s="71" t="n"/>
      <c r="V382" s="22" t="n"/>
      <c r="W382" s="22" t="n"/>
    </row>
    <row r="383" ht="15" customHeight="1">
      <c r="A383" s="70">
        <f>IF(C383="","",IFERROR(IF(SUMPRODUCT(MAX((tbl_Finance[Job Number]&amp;""=C383&amp;"")*(tbl_Finance[Xero Invoice No]&lt;&gt;"")*tbl_Finance[Date]))=0,"",SUMPRODUCT(MAX((tbl_Finance[Job Number]&amp;""=C383&amp;"")*(tbl_Finance[Xero Invoice No]&lt;&gt;"")*tbl_Finance[Date]))),""))</f>
        <v/>
      </c>
      <c r="B383" s="26">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2" t="n"/>
      <c r="D383" s="26">
        <f>IF(C383="","",IF(COUNTIF(lst_Jobs,C383&amp;"")&gt;0,"OK","CHECK"))</f>
        <v/>
      </c>
      <c r="E383" s="26">
        <f>IF(C383="","",IFERROR(INDEX(lst_JobName,MATCH(C383&amp;"",lst_Jobs,0)),""))</f>
        <v/>
      </c>
      <c r="F383" s="22" t="n"/>
      <c r="G383" s="22" t="n"/>
      <c r="H383" s="22" t="n"/>
      <c r="I383" s="22" t="n"/>
      <c r="J383" s="22" t="n"/>
      <c r="K383" s="28">
        <f>IF(C383="","",COUNTIFS(tbl_Finance[Job Number],C383&amp;"",tbl_Finance[Ex GST],"&lt;&gt;"))</f>
        <v/>
      </c>
      <c r="L383" s="27">
        <f>IF(C383="","",SUMIFS(tbl_Finance[Ex GST],tbl_Finance[Job Number],C383&amp;""))</f>
        <v/>
      </c>
      <c r="M383" s="27">
        <f>IF(C383="","",SUMIFS(tbl_Finance[Ex GST],tbl_Finance[Job Number],C383&amp;"",tbl_Finance[Xero Invoice No],"&lt;&gt;"))</f>
        <v/>
      </c>
      <c r="N383" s="27">
        <f>IF(C383="","",L383-M383)</f>
        <v/>
      </c>
      <c r="O383" s="24" t="n"/>
      <c r="P383" s="27">
        <f>IF(C383="","",IF(O383="",0,MAX(0,O383-L383)))</f>
        <v/>
      </c>
      <c r="Q383" s="26">
        <f>IF(C383="","",IF(K383=0,"not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R383" s="22" t="n"/>
      <c r="S383" s="22" t="n"/>
      <c r="T383" s="26">
        <f>IF(S383="","",HYPERLINK(IF(LEFT(S383,4)="http",S383,set_QwilrBase&amp;S383),"Open quote"))</f>
        <v/>
      </c>
      <c r="U383" s="71" t="n"/>
      <c r="V383" s="22" t="n"/>
      <c r="W383" s="22" t="n"/>
    </row>
    <row r="384" ht="15" customHeight="1">
      <c r="A384" s="70">
        <f>IF(C384="","",IFERROR(IF(SUMPRODUCT(MAX((tbl_Finance[Job Number]&amp;""=C384&amp;"")*(tbl_Finance[Xero Invoice No]&lt;&gt;"")*tbl_Finance[Date]))=0,"",SUMPRODUCT(MAX((tbl_Finance[Job Number]&amp;""=C384&amp;"")*(tbl_Finance[Xero Invoice No]&lt;&gt;"")*tbl_Finance[Date]))),""))</f>
        <v/>
      </c>
      <c r="B384" s="26">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2" t="n"/>
      <c r="D384" s="26">
        <f>IF(C384="","",IF(COUNTIF(lst_Jobs,C384&amp;"")&gt;0,"OK","CHECK"))</f>
        <v/>
      </c>
      <c r="E384" s="26">
        <f>IF(C384="","",IFERROR(INDEX(lst_JobName,MATCH(C384&amp;"",lst_Jobs,0)),""))</f>
        <v/>
      </c>
      <c r="F384" s="22" t="n"/>
      <c r="G384" s="22" t="n"/>
      <c r="H384" s="22" t="n"/>
      <c r="I384" s="22" t="n"/>
      <c r="J384" s="22" t="n"/>
      <c r="K384" s="28">
        <f>IF(C384="","",COUNTIFS(tbl_Finance[Job Number],C384&amp;"",tbl_Finance[Ex GST],"&lt;&gt;"))</f>
        <v/>
      </c>
      <c r="L384" s="27">
        <f>IF(C384="","",SUMIFS(tbl_Finance[Ex GST],tbl_Finance[Job Number],C384&amp;""))</f>
        <v/>
      </c>
      <c r="M384" s="27">
        <f>IF(C384="","",SUMIFS(tbl_Finance[Ex GST],tbl_Finance[Job Number],C384&amp;"",tbl_Finance[Xero Invoice No],"&lt;&gt;"))</f>
        <v/>
      </c>
      <c r="N384" s="27">
        <f>IF(C384="","",L384-M384)</f>
        <v/>
      </c>
      <c r="O384" s="24" t="n"/>
      <c r="P384" s="27">
        <f>IF(C384="","",IF(O384="",0,MAX(0,O384-L384)))</f>
        <v/>
      </c>
      <c r="Q384" s="26">
        <f>IF(C384="","",IF(K384=0,"not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R384" s="22" t="n"/>
      <c r="S384" s="22" t="n"/>
      <c r="T384" s="26">
        <f>IF(S384="","",HYPERLINK(IF(LEFT(S384,4)="http",S384,set_QwilrBase&amp;S384),"Open quote"))</f>
        <v/>
      </c>
      <c r="U384" s="71" t="n"/>
      <c r="V384" s="22" t="n"/>
      <c r="W384" s="22" t="n"/>
    </row>
    <row r="385" ht="15" customHeight="1">
      <c r="A385" s="70">
        <f>IF(C385="","",IFERROR(IF(SUMPRODUCT(MAX((tbl_Finance[Job Number]&amp;""=C385&amp;"")*(tbl_Finance[Xero Invoice No]&lt;&gt;"")*tbl_Finance[Date]))=0,"",SUMPRODUCT(MAX((tbl_Finance[Job Number]&amp;""=C385&amp;"")*(tbl_Finance[Xero Invoice No]&lt;&gt;"")*tbl_Finance[Date]))),""))</f>
        <v/>
      </c>
      <c r="B385" s="26">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2" t="n"/>
      <c r="D385" s="26">
        <f>IF(C385="","",IF(COUNTIF(lst_Jobs,C385&amp;"")&gt;0,"OK","CHECK"))</f>
        <v/>
      </c>
      <c r="E385" s="26">
        <f>IF(C385="","",IFERROR(INDEX(lst_JobName,MATCH(C385&amp;"",lst_Jobs,0)),""))</f>
        <v/>
      </c>
      <c r="F385" s="22" t="n"/>
      <c r="G385" s="22" t="n"/>
      <c r="H385" s="22" t="n"/>
      <c r="I385" s="22" t="n"/>
      <c r="J385" s="22" t="n"/>
      <c r="K385" s="28">
        <f>IF(C385="","",COUNTIFS(tbl_Finance[Job Number],C385&amp;"",tbl_Finance[Ex GST],"&lt;&gt;"))</f>
        <v/>
      </c>
      <c r="L385" s="27">
        <f>IF(C385="","",SUMIFS(tbl_Finance[Ex GST],tbl_Finance[Job Number],C385&amp;""))</f>
        <v/>
      </c>
      <c r="M385" s="27">
        <f>IF(C385="","",SUMIFS(tbl_Finance[Ex GST],tbl_Finance[Job Number],C385&amp;"",tbl_Finance[Xero Invoice No],"&lt;&gt;"))</f>
        <v/>
      </c>
      <c r="N385" s="27">
        <f>IF(C385="","",L385-M385)</f>
        <v/>
      </c>
      <c r="O385" s="24" t="n"/>
      <c r="P385" s="27">
        <f>IF(C385="","",IF(O385="",0,MAX(0,O385-L385)))</f>
        <v/>
      </c>
      <c r="Q385" s="26">
        <f>IF(C385="","",IF(K385=0,"not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R385" s="22" t="n"/>
      <c r="S385" s="22" t="n"/>
      <c r="T385" s="26">
        <f>IF(S385="","",HYPERLINK(IF(LEFT(S385,4)="http",S385,set_QwilrBase&amp;S385),"Open quote"))</f>
        <v/>
      </c>
      <c r="U385" s="71" t="n"/>
      <c r="V385" s="22" t="n"/>
      <c r="W385" s="22" t="n"/>
    </row>
    <row r="386" ht="15" customHeight="1">
      <c r="A386" s="70">
        <f>IF(C386="","",IFERROR(IF(SUMPRODUCT(MAX((tbl_Finance[Job Number]&amp;""=C386&amp;"")*(tbl_Finance[Xero Invoice No]&lt;&gt;"")*tbl_Finance[Date]))=0,"",SUMPRODUCT(MAX((tbl_Finance[Job Number]&amp;""=C386&amp;"")*(tbl_Finance[Xero Invoice No]&lt;&gt;"")*tbl_Finance[Date]))),""))</f>
        <v/>
      </c>
      <c r="B386" s="26">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2" t="n"/>
      <c r="D386" s="26">
        <f>IF(C386="","",IF(COUNTIF(lst_Jobs,C386&amp;"")&gt;0,"OK","CHECK"))</f>
        <v/>
      </c>
      <c r="E386" s="26">
        <f>IF(C386="","",IFERROR(INDEX(lst_JobName,MATCH(C386&amp;"",lst_Jobs,0)),""))</f>
        <v/>
      </c>
      <c r="F386" s="22" t="n"/>
      <c r="G386" s="22" t="n"/>
      <c r="H386" s="22" t="n"/>
      <c r="I386" s="22" t="n"/>
      <c r="J386" s="22" t="n"/>
      <c r="K386" s="28">
        <f>IF(C386="","",COUNTIFS(tbl_Finance[Job Number],C386&amp;"",tbl_Finance[Ex GST],"&lt;&gt;"))</f>
        <v/>
      </c>
      <c r="L386" s="27">
        <f>IF(C386="","",SUMIFS(tbl_Finance[Ex GST],tbl_Finance[Job Number],C386&amp;""))</f>
        <v/>
      </c>
      <c r="M386" s="27">
        <f>IF(C386="","",SUMIFS(tbl_Finance[Ex GST],tbl_Finance[Job Number],C386&amp;"",tbl_Finance[Xero Invoice No],"&lt;&gt;"))</f>
        <v/>
      </c>
      <c r="N386" s="27">
        <f>IF(C386="","",L386-M386)</f>
        <v/>
      </c>
      <c r="O386" s="24" t="n"/>
      <c r="P386" s="27">
        <f>IF(C386="","",IF(O386="",0,MAX(0,O386-L386)))</f>
        <v/>
      </c>
      <c r="Q386" s="26">
        <f>IF(C386="","",IF(K386=0,"not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R386" s="22" t="n"/>
      <c r="S386" s="22" t="n"/>
      <c r="T386" s="26">
        <f>IF(S386="","",HYPERLINK(IF(LEFT(S386,4)="http",S386,set_QwilrBase&amp;S386),"Open quote"))</f>
        <v/>
      </c>
      <c r="U386" s="71" t="n"/>
      <c r="V386" s="22" t="n"/>
      <c r="W386" s="22" t="n"/>
    </row>
    <row r="387" ht="15" customHeight="1">
      <c r="A387" s="70">
        <f>IF(C387="","",IFERROR(IF(SUMPRODUCT(MAX((tbl_Finance[Job Number]&amp;""=C387&amp;"")*(tbl_Finance[Xero Invoice No]&lt;&gt;"")*tbl_Finance[Date]))=0,"",SUMPRODUCT(MAX((tbl_Finance[Job Number]&amp;""=C387&amp;"")*(tbl_Finance[Xero Invoice No]&lt;&gt;"")*tbl_Finance[Date]))),""))</f>
        <v/>
      </c>
      <c r="B387" s="26">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2" t="n"/>
      <c r="D387" s="26">
        <f>IF(C387="","",IF(COUNTIF(lst_Jobs,C387&amp;"")&gt;0,"OK","CHECK"))</f>
        <v/>
      </c>
      <c r="E387" s="26">
        <f>IF(C387="","",IFERROR(INDEX(lst_JobName,MATCH(C387&amp;"",lst_Jobs,0)),""))</f>
        <v/>
      </c>
      <c r="F387" s="22" t="n"/>
      <c r="G387" s="22" t="n"/>
      <c r="H387" s="22" t="n"/>
      <c r="I387" s="22" t="n"/>
      <c r="J387" s="22" t="n"/>
      <c r="K387" s="28">
        <f>IF(C387="","",COUNTIFS(tbl_Finance[Job Number],C387&amp;"",tbl_Finance[Ex GST],"&lt;&gt;"))</f>
        <v/>
      </c>
      <c r="L387" s="27">
        <f>IF(C387="","",SUMIFS(tbl_Finance[Ex GST],tbl_Finance[Job Number],C387&amp;""))</f>
        <v/>
      </c>
      <c r="M387" s="27">
        <f>IF(C387="","",SUMIFS(tbl_Finance[Ex GST],tbl_Finance[Job Number],C387&amp;"",tbl_Finance[Xero Invoice No],"&lt;&gt;"))</f>
        <v/>
      </c>
      <c r="N387" s="27">
        <f>IF(C387="","",L387-M387)</f>
        <v/>
      </c>
      <c r="O387" s="24" t="n"/>
      <c r="P387" s="27">
        <f>IF(C387="","",IF(O387="",0,MAX(0,O387-L387)))</f>
        <v/>
      </c>
      <c r="Q387" s="26">
        <f>IF(C387="","",IF(K387=0,"not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R387" s="22" t="n"/>
      <c r="S387" s="22" t="n"/>
      <c r="T387" s="26">
        <f>IF(S387="","",HYPERLINK(IF(LEFT(S387,4)="http",S387,set_QwilrBase&amp;S387),"Open quote"))</f>
        <v/>
      </c>
      <c r="U387" s="71" t="n"/>
      <c r="V387" s="22" t="n"/>
      <c r="W387" s="22" t="n"/>
    </row>
    <row r="388" ht="15" customHeight="1">
      <c r="A388" s="70">
        <f>IF(C388="","",IFERROR(IF(SUMPRODUCT(MAX((tbl_Finance[Job Number]&amp;""=C388&amp;"")*(tbl_Finance[Xero Invoice No]&lt;&gt;"")*tbl_Finance[Date]))=0,"",SUMPRODUCT(MAX((tbl_Finance[Job Number]&amp;""=C388&amp;"")*(tbl_Finance[Xero Invoice No]&lt;&gt;"")*tbl_Finance[Date]))),""))</f>
        <v/>
      </c>
      <c r="B388" s="26">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2" t="n"/>
      <c r="D388" s="26">
        <f>IF(C388="","",IF(COUNTIF(lst_Jobs,C388&amp;"")&gt;0,"OK","CHECK"))</f>
        <v/>
      </c>
      <c r="E388" s="26">
        <f>IF(C388="","",IFERROR(INDEX(lst_JobName,MATCH(C388&amp;"",lst_Jobs,0)),""))</f>
        <v/>
      </c>
      <c r="F388" s="22" t="n"/>
      <c r="G388" s="22" t="n"/>
      <c r="H388" s="22" t="n"/>
      <c r="I388" s="22" t="n"/>
      <c r="J388" s="22" t="n"/>
      <c r="K388" s="28">
        <f>IF(C388="","",COUNTIFS(tbl_Finance[Job Number],C388&amp;"",tbl_Finance[Ex GST],"&lt;&gt;"))</f>
        <v/>
      </c>
      <c r="L388" s="27">
        <f>IF(C388="","",SUMIFS(tbl_Finance[Ex GST],tbl_Finance[Job Number],C388&amp;""))</f>
        <v/>
      </c>
      <c r="M388" s="27">
        <f>IF(C388="","",SUMIFS(tbl_Finance[Ex GST],tbl_Finance[Job Number],C388&amp;"",tbl_Finance[Xero Invoice No],"&lt;&gt;"))</f>
        <v/>
      </c>
      <c r="N388" s="27">
        <f>IF(C388="","",L388-M388)</f>
        <v/>
      </c>
      <c r="O388" s="24" t="n"/>
      <c r="P388" s="27">
        <f>IF(C388="","",IF(O388="",0,MAX(0,O388-L388)))</f>
        <v/>
      </c>
      <c r="Q388" s="26">
        <f>IF(C388="","",IF(K388=0,"not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R388" s="22" t="n"/>
      <c r="S388" s="22" t="n"/>
      <c r="T388" s="26">
        <f>IF(S388="","",HYPERLINK(IF(LEFT(S388,4)="http",S388,set_QwilrBase&amp;S388),"Open quote"))</f>
        <v/>
      </c>
      <c r="U388" s="71" t="n"/>
      <c r="V388" s="22" t="n"/>
      <c r="W388" s="22" t="n"/>
    </row>
    <row r="389" ht="15" customHeight="1">
      <c r="A389" s="70">
        <f>IF(C389="","",IFERROR(IF(SUMPRODUCT(MAX((tbl_Finance[Job Number]&amp;""=C389&amp;"")*(tbl_Finance[Xero Invoice No]&lt;&gt;"")*tbl_Finance[Date]))=0,"",SUMPRODUCT(MAX((tbl_Finance[Job Number]&amp;""=C389&amp;"")*(tbl_Finance[Xero Invoice No]&lt;&gt;"")*tbl_Finance[Date]))),""))</f>
        <v/>
      </c>
      <c r="B389" s="26">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2" t="n"/>
      <c r="D389" s="26">
        <f>IF(C389="","",IF(COUNTIF(lst_Jobs,C389&amp;"")&gt;0,"OK","CHECK"))</f>
        <v/>
      </c>
      <c r="E389" s="26">
        <f>IF(C389="","",IFERROR(INDEX(lst_JobName,MATCH(C389&amp;"",lst_Jobs,0)),""))</f>
        <v/>
      </c>
      <c r="F389" s="22" t="n"/>
      <c r="G389" s="22" t="n"/>
      <c r="H389" s="22" t="n"/>
      <c r="I389" s="22" t="n"/>
      <c r="J389" s="22" t="n"/>
      <c r="K389" s="28">
        <f>IF(C389="","",COUNTIFS(tbl_Finance[Job Number],C389&amp;"",tbl_Finance[Ex GST],"&lt;&gt;"))</f>
        <v/>
      </c>
      <c r="L389" s="27">
        <f>IF(C389="","",SUMIFS(tbl_Finance[Ex GST],tbl_Finance[Job Number],C389&amp;""))</f>
        <v/>
      </c>
      <c r="M389" s="27">
        <f>IF(C389="","",SUMIFS(tbl_Finance[Ex GST],tbl_Finance[Job Number],C389&amp;"",tbl_Finance[Xero Invoice No],"&lt;&gt;"))</f>
        <v/>
      </c>
      <c r="N389" s="27">
        <f>IF(C389="","",L389-M389)</f>
        <v/>
      </c>
      <c r="O389" s="24" t="n"/>
      <c r="P389" s="27">
        <f>IF(C389="","",IF(O389="",0,MAX(0,O389-L389)))</f>
        <v/>
      </c>
      <c r="Q389" s="26">
        <f>IF(C389="","",IF(K389=0,"not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R389" s="22" t="n"/>
      <c r="S389" s="22" t="n"/>
      <c r="T389" s="26">
        <f>IF(S389="","",HYPERLINK(IF(LEFT(S389,4)="http",S389,set_QwilrBase&amp;S389),"Open quote"))</f>
        <v/>
      </c>
      <c r="U389" s="71" t="n"/>
      <c r="V389" s="22" t="n"/>
      <c r="W389" s="22" t="n"/>
    </row>
    <row r="390" ht="15" customHeight="1">
      <c r="A390" s="70">
        <f>IF(C390="","",IFERROR(IF(SUMPRODUCT(MAX((tbl_Finance[Job Number]&amp;""=C390&amp;"")*(tbl_Finance[Xero Invoice No]&lt;&gt;"")*tbl_Finance[Date]))=0,"",SUMPRODUCT(MAX((tbl_Finance[Job Number]&amp;""=C390&amp;"")*(tbl_Finance[Xero Invoice No]&lt;&gt;"")*tbl_Finance[Date]))),""))</f>
        <v/>
      </c>
      <c r="B390" s="26">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2" t="n"/>
      <c r="D390" s="26">
        <f>IF(C390="","",IF(COUNTIF(lst_Jobs,C390&amp;"")&gt;0,"OK","CHECK"))</f>
        <v/>
      </c>
      <c r="E390" s="26">
        <f>IF(C390="","",IFERROR(INDEX(lst_JobName,MATCH(C390&amp;"",lst_Jobs,0)),""))</f>
        <v/>
      </c>
      <c r="F390" s="22" t="n"/>
      <c r="G390" s="22" t="n"/>
      <c r="H390" s="22" t="n"/>
      <c r="I390" s="22" t="n"/>
      <c r="J390" s="22" t="n"/>
      <c r="K390" s="28">
        <f>IF(C390="","",COUNTIFS(tbl_Finance[Job Number],C390&amp;"",tbl_Finance[Ex GST],"&lt;&gt;"))</f>
        <v/>
      </c>
      <c r="L390" s="27">
        <f>IF(C390="","",SUMIFS(tbl_Finance[Ex GST],tbl_Finance[Job Number],C390&amp;""))</f>
        <v/>
      </c>
      <c r="M390" s="27">
        <f>IF(C390="","",SUMIFS(tbl_Finance[Ex GST],tbl_Finance[Job Number],C390&amp;"",tbl_Finance[Xero Invoice No],"&lt;&gt;"))</f>
        <v/>
      </c>
      <c r="N390" s="27">
        <f>IF(C390="","",L390-M390)</f>
        <v/>
      </c>
      <c r="O390" s="24" t="n"/>
      <c r="P390" s="27">
        <f>IF(C390="","",IF(O390="",0,MAX(0,O390-L390)))</f>
        <v/>
      </c>
      <c r="Q390" s="26">
        <f>IF(C390="","",IF(K390=0,"not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R390" s="22" t="n"/>
      <c r="S390" s="22" t="n"/>
      <c r="T390" s="26">
        <f>IF(S390="","",HYPERLINK(IF(LEFT(S390,4)="http",S390,set_QwilrBase&amp;S390),"Open quote"))</f>
        <v/>
      </c>
      <c r="U390" s="71" t="n"/>
      <c r="V390" s="22" t="n"/>
      <c r="W390" s="22" t="n"/>
    </row>
    <row r="391" ht="15" customHeight="1">
      <c r="A391" s="70">
        <f>IF(C391="","",IFERROR(IF(SUMPRODUCT(MAX((tbl_Finance[Job Number]&amp;""=C391&amp;"")*(tbl_Finance[Xero Invoice No]&lt;&gt;"")*tbl_Finance[Date]))=0,"",SUMPRODUCT(MAX((tbl_Finance[Job Number]&amp;""=C391&amp;"")*(tbl_Finance[Xero Invoice No]&lt;&gt;"")*tbl_Finance[Date]))),""))</f>
        <v/>
      </c>
      <c r="B391" s="26">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2" t="n"/>
      <c r="D391" s="26">
        <f>IF(C391="","",IF(COUNTIF(lst_Jobs,C391&amp;"")&gt;0,"OK","CHECK"))</f>
        <v/>
      </c>
      <c r="E391" s="26">
        <f>IF(C391="","",IFERROR(INDEX(lst_JobName,MATCH(C391&amp;"",lst_Jobs,0)),""))</f>
        <v/>
      </c>
      <c r="F391" s="22" t="n"/>
      <c r="G391" s="22" t="n"/>
      <c r="H391" s="22" t="n"/>
      <c r="I391" s="22" t="n"/>
      <c r="J391" s="22" t="n"/>
      <c r="K391" s="28">
        <f>IF(C391="","",COUNTIFS(tbl_Finance[Job Number],C391&amp;"",tbl_Finance[Ex GST],"&lt;&gt;"))</f>
        <v/>
      </c>
      <c r="L391" s="27">
        <f>IF(C391="","",SUMIFS(tbl_Finance[Ex GST],tbl_Finance[Job Number],C391&amp;""))</f>
        <v/>
      </c>
      <c r="M391" s="27">
        <f>IF(C391="","",SUMIFS(tbl_Finance[Ex GST],tbl_Finance[Job Number],C391&amp;"",tbl_Finance[Xero Invoice No],"&lt;&gt;"))</f>
        <v/>
      </c>
      <c r="N391" s="27">
        <f>IF(C391="","",L391-M391)</f>
        <v/>
      </c>
      <c r="O391" s="24" t="n"/>
      <c r="P391" s="27">
        <f>IF(C391="","",IF(O391="",0,MAX(0,O391-L391)))</f>
        <v/>
      </c>
      <c r="Q391" s="26">
        <f>IF(C391="","",IF(K391=0,"not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R391" s="22" t="n"/>
      <c r="S391" s="22" t="n"/>
      <c r="T391" s="26">
        <f>IF(S391="","",HYPERLINK(IF(LEFT(S391,4)="http",S391,set_QwilrBase&amp;S391),"Open quote"))</f>
        <v/>
      </c>
      <c r="U391" s="71" t="n"/>
      <c r="V391" s="22" t="n"/>
      <c r="W391" s="22" t="n"/>
    </row>
    <row r="392" ht="15" customHeight="1">
      <c r="A392" s="70">
        <f>IF(C392="","",IFERROR(IF(SUMPRODUCT(MAX((tbl_Finance[Job Number]&amp;""=C392&amp;"")*(tbl_Finance[Xero Invoice No]&lt;&gt;"")*tbl_Finance[Date]))=0,"",SUMPRODUCT(MAX((tbl_Finance[Job Number]&amp;""=C392&amp;"")*(tbl_Finance[Xero Invoice No]&lt;&gt;"")*tbl_Finance[Date]))),""))</f>
        <v/>
      </c>
      <c r="B392" s="26">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2" t="n"/>
      <c r="D392" s="26">
        <f>IF(C392="","",IF(COUNTIF(lst_Jobs,C392&amp;"")&gt;0,"OK","CHECK"))</f>
        <v/>
      </c>
      <c r="E392" s="26">
        <f>IF(C392="","",IFERROR(INDEX(lst_JobName,MATCH(C392&amp;"",lst_Jobs,0)),""))</f>
        <v/>
      </c>
      <c r="F392" s="22" t="n"/>
      <c r="G392" s="22" t="n"/>
      <c r="H392" s="22" t="n"/>
      <c r="I392" s="22" t="n"/>
      <c r="J392" s="22" t="n"/>
      <c r="K392" s="28">
        <f>IF(C392="","",COUNTIFS(tbl_Finance[Job Number],C392&amp;"",tbl_Finance[Ex GST],"&lt;&gt;"))</f>
        <v/>
      </c>
      <c r="L392" s="27">
        <f>IF(C392="","",SUMIFS(tbl_Finance[Ex GST],tbl_Finance[Job Number],C392&amp;""))</f>
        <v/>
      </c>
      <c r="M392" s="27">
        <f>IF(C392="","",SUMIFS(tbl_Finance[Ex GST],tbl_Finance[Job Number],C392&amp;"",tbl_Finance[Xero Invoice No],"&lt;&gt;"))</f>
        <v/>
      </c>
      <c r="N392" s="27">
        <f>IF(C392="","",L392-M392)</f>
        <v/>
      </c>
      <c r="O392" s="24" t="n"/>
      <c r="P392" s="27">
        <f>IF(C392="","",IF(O392="",0,MAX(0,O392-L392)))</f>
        <v/>
      </c>
      <c r="Q392" s="26">
        <f>IF(C392="","",IF(K392=0,"not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R392" s="22" t="n"/>
      <c r="S392" s="22" t="n"/>
      <c r="T392" s="26">
        <f>IF(S392="","",HYPERLINK(IF(LEFT(S392,4)="http",S392,set_QwilrBase&amp;S392),"Open quote"))</f>
        <v/>
      </c>
      <c r="U392" s="71" t="n"/>
      <c r="V392" s="22" t="n"/>
      <c r="W392" s="22" t="n"/>
    </row>
    <row r="393" ht="15" customHeight="1">
      <c r="A393" s="70">
        <f>IF(C393="","",IFERROR(IF(SUMPRODUCT(MAX((tbl_Finance[Job Number]&amp;""=C393&amp;"")*(tbl_Finance[Xero Invoice No]&lt;&gt;"")*tbl_Finance[Date]))=0,"",SUMPRODUCT(MAX((tbl_Finance[Job Number]&amp;""=C393&amp;"")*(tbl_Finance[Xero Invoice No]&lt;&gt;"")*tbl_Finance[Date]))),""))</f>
        <v/>
      </c>
      <c r="B393" s="26">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2" t="n"/>
      <c r="D393" s="26">
        <f>IF(C393="","",IF(COUNTIF(lst_Jobs,C393&amp;"")&gt;0,"OK","CHECK"))</f>
        <v/>
      </c>
      <c r="E393" s="26">
        <f>IF(C393="","",IFERROR(INDEX(lst_JobName,MATCH(C393&amp;"",lst_Jobs,0)),""))</f>
        <v/>
      </c>
      <c r="F393" s="22" t="n"/>
      <c r="G393" s="22" t="n"/>
      <c r="H393" s="22" t="n"/>
      <c r="I393" s="22" t="n"/>
      <c r="J393" s="22" t="n"/>
      <c r="K393" s="28">
        <f>IF(C393="","",COUNTIFS(tbl_Finance[Job Number],C393&amp;"",tbl_Finance[Ex GST],"&lt;&gt;"))</f>
        <v/>
      </c>
      <c r="L393" s="27">
        <f>IF(C393="","",SUMIFS(tbl_Finance[Ex GST],tbl_Finance[Job Number],C393&amp;""))</f>
        <v/>
      </c>
      <c r="M393" s="27">
        <f>IF(C393="","",SUMIFS(tbl_Finance[Ex GST],tbl_Finance[Job Number],C393&amp;"",tbl_Finance[Xero Invoice No],"&lt;&gt;"))</f>
        <v/>
      </c>
      <c r="N393" s="27">
        <f>IF(C393="","",L393-M393)</f>
        <v/>
      </c>
      <c r="O393" s="24" t="n"/>
      <c r="P393" s="27">
        <f>IF(C393="","",IF(O393="",0,MAX(0,O393-L393)))</f>
        <v/>
      </c>
      <c r="Q393" s="26">
        <f>IF(C393="","",IF(K393=0,"not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R393" s="22" t="n"/>
      <c r="S393" s="22" t="n"/>
      <c r="T393" s="26">
        <f>IF(S393="","",HYPERLINK(IF(LEFT(S393,4)="http",S393,set_QwilrBase&amp;S393),"Open quote"))</f>
        <v/>
      </c>
      <c r="U393" s="71" t="n"/>
      <c r="V393" s="22" t="n"/>
      <c r="W393" s="22" t="n"/>
    </row>
    <row r="394" ht="15" customHeight="1">
      <c r="A394" s="70">
        <f>IF(C394="","",IFERROR(IF(SUMPRODUCT(MAX((tbl_Finance[Job Number]&amp;""=C394&amp;"")*(tbl_Finance[Xero Invoice No]&lt;&gt;"")*tbl_Finance[Date]))=0,"",SUMPRODUCT(MAX((tbl_Finance[Job Number]&amp;""=C394&amp;"")*(tbl_Finance[Xero Invoice No]&lt;&gt;"")*tbl_Finance[Date]))),""))</f>
        <v/>
      </c>
      <c r="B394" s="26">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2" t="n"/>
      <c r="D394" s="26">
        <f>IF(C394="","",IF(COUNTIF(lst_Jobs,C394&amp;"")&gt;0,"OK","CHECK"))</f>
        <v/>
      </c>
      <c r="E394" s="26">
        <f>IF(C394="","",IFERROR(INDEX(lst_JobName,MATCH(C394&amp;"",lst_Jobs,0)),""))</f>
        <v/>
      </c>
      <c r="F394" s="22" t="n"/>
      <c r="G394" s="22" t="n"/>
      <c r="H394" s="22" t="n"/>
      <c r="I394" s="22" t="n"/>
      <c r="J394" s="22" t="n"/>
      <c r="K394" s="28">
        <f>IF(C394="","",COUNTIFS(tbl_Finance[Job Number],C394&amp;"",tbl_Finance[Ex GST],"&lt;&gt;"))</f>
        <v/>
      </c>
      <c r="L394" s="27">
        <f>IF(C394="","",SUMIFS(tbl_Finance[Ex GST],tbl_Finance[Job Number],C394&amp;""))</f>
        <v/>
      </c>
      <c r="M394" s="27">
        <f>IF(C394="","",SUMIFS(tbl_Finance[Ex GST],tbl_Finance[Job Number],C394&amp;"",tbl_Finance[Xero Invoice No],"&lt;&gt;"))</f>
        <v/>
      </c>
      <c r="N394" s="27">
        <f>IF(C394="","",L394-M394)</f>
        <v/>
      </c>
      <c r="O394" s="24" t="n"/>
      <c r="P394" s="27">
        <f>IF(C394="","",IF(O394="",0,MAX(0,O394-L394)))</f>
        <v/>
      </c>
      <c r="Q394" s="26">
        <f>IF(C394="","",IF(K394=0,"not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R394" s="22" t="n"/>
      <c r="S394" s="22" t="n"/>
      <c r="T394" s="26">
        <f>IF(S394="","",HYPERLINK(IF(LEFT(S394,4)="http",S394,set_QwilrBase&amp;S394),"Open quote"))</f>
        <v/>
      </c>
      <c r="U394" s="71" t="n"/>
      <c r="V394" s="22" t="n"/>
      <c r="W394" s="22" t="n"/>
    </row>
    <row r="395" ht="15" customHeight="1">
      <c r="A395" s="70">
        <f>IF(C395="","",IFERROR(IF(SUMPRODUCT(MAX((tbl_Finance[Job Number]&amp;""=C395&amp;"")*(tbl_Finance[Xero Invoice No]&lt;&gt;"")*tbl_Finance[Date]))=0,"",SUMPRODUCT(MAX((tbl_Finance[Job Number]&amp;""=C395&amp;"")*(tbl_Finance[Xero Invoice No]&lt;&gt;"")*tbl_Finance[Date]))),""))</f>
        <v/>
      </c>
      <c r="B395" s="26">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2" t="n"/>
      <c r="D395" s="26">
        <f>IF(C395="","",IF(COUNTIF(lst_Jobs,C395&amp;"")&gt;0,"OK","CHECK"))</f>
        <v/>
      </c>
      <c r="E395" s="26">
        <f>IF(C395="","",IFERROR(INDEX(lst_JobName,MATCH(C395&amp;"",lst_Jobs,0)),""))</f>
        <v/>
      </c>
      <c r="F395" s="22" t="n"/>
      <c r="G395" s="22" t="n"/>
      <c r="H395" s="22" t="n"/>
      <c r="I395" s="22" t="n"/>
      <c r="J395" s="22" t="n"/>
      <c r="K395" s="28">
        <f>IF(C395="","",COUNTIFS(tbl_Finance[Job Number],C395&amp;"",tbl_Finance[Ex GST],"&lt;&gt;"))</f>
        <v/>
      </c>
      <c r="L395" s="27">
        <f>IF(C395="","",SUMIFS(tbl_Finance[Ex GST],tbl_Finance[Job Number],C395&amp;""))</f>
        <v/>
      </c>
      <c r="M395" s="27">
        <f>IF(C395="","",SUMIFS(tbl_Finance[Ex GST],tbl_Finance[Job Number],C395&amp;"",tbl_Finance[Xero Invoice No],"&lt;&gt;"))</f>
        <v/>
      </c>
      <c r="N395" s="27">
        <f>IF(C395="","",L395-M395)</f>
        <v/>
      </c>
      <c r="O395" s="24" t="n"/>
      <c r="P395" s="27">
        <f>IF(C395="","",IF(O395="",0,MAX(0,O395-L395)))</f>
        <v/>
      </c>
      <c r="Q395" s="26">
        <f>IF(C395="","",IF(K395=0,"not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R395" s="22" t="n"/>
      <c r="S395" s="22" t="n"/>
      <c r="T395" s="26">
        <f>IF(S395="","",HYPERLINK(IF(LEFT(S395,4)="http",S395,set_QwilrBase&amp;S395),"Open quote"))</f>
        <v/>
      </c>
      <c r="U395" s="71" t="n"/>
      <c r="V395" s="22" t="n"/>
      <c r="W395" s="22" t="n"/>
    </row>
    <row r="396" ht="15" customHeight="1">
      <c r="A396" s="70">
        <f>IF(C396="","",IFERROR(IF(SUMPRODUCT(MAX((tbl_Finance[Job Number]&amp;""=C396&amp;"")*(tbl_Finance[Xero Invoice No]&lt;&gt;"")*tbl_Finance[Date]))=0,"",SUMPRODUCT(MAX((tbl_Finance[Job Number]&amp;""=C396&amp;"")*(tbl_Finance[Xero Invoice No]&lt;&gt;"")*tbl_Finance[Date]))),""))</f>
        <v/>
      </c>
      <c r="B396" s="26">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2" t="n"/>
      <c r="D396" s="26">
        <f>IF(C396="","",IF(COUNTIF(lst_Jobs,C396&amp;"")&gt;0,"OK","CHECK"))</f>
        <v/>
      </c>
      <c r="E396" s="26">
        <f>IF(C396="","",IFERROR(INDEX(lst_JobName,MATCH(C396&amp;"",lst_Jobs,0)),""))</f>
        <v/>
      </c>
      <c r="F396" s="22" t="n"/>
      <c r="G396" s="22" t="n"/>
      <c r="H396" s="22" t="n"/>
      <c r="I396" s="22" t="n"/>
      <c r="J396" s="22" t="n"/>
      <c r="K396" s="28">
        <f>IF(C396="","",COUNTIFS(tbl_Finance[Job Number],C396&amp;"",tbl_Finance[Ex GST],"&lt;&gt;"))</f>
        <v/>
      </c>
      <c r="L396" s="27">
        <f>IF(C396="","",SUMIFS(tbl_Finance[Ex GST],tbl_Finance[Job Number],C396&amp;""))</f>
        <v/>
      </c>
      <c r="M396" s="27">
        <f>IF(C396="","",SUMIFS(tbl_Finance[Ex GST],tbl_Finance[Job Number],C396&amp;"",tbl_Finance[Xero Invoice No],"&lt;&gt;"))</f>
        <v/>
      </c>
      <c r="N396" s="27">
        <f>IF(C396="","",L396-M396)</f>
        <v/>
      </c>
      <c r="O396" s="24" t="n"/>
      <c r="P396" s="27">
        <f>IF(C396="","",IF(O396="",0,MAX(0,O396-L396)))</f>
        <v/>
      </c>
      <c r="Q396" s="26">
        <f>IF(C396="","",IF(K396=0,"not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R396" s="22" t="n"/>
      <c r="S396" s="22" t="n"/>
      <c r="T396" s="26">
        <f>IF(S396="","",HYPERLINK(IF(LEFT(S396,4)="http",S396,set_QwilrBase&amp;S396),"Open quote"))</f>
        <v/>
      </c>
      <c r="U396" s="71" t="n"/>
      <c r="V396" s="22" t="n"/>
      <c r="W396" s="22" t="n"/>
    </row>
    <row r="397" ht="15" customHeight="1">
      <c r="A397" s="70">
        <f>IF(C397="","",IFERROR(IF(SUMPRODUCT(MAX((tbl_Finance[Job Number]&amp;""=C397&amp;"")*(tbl_Finance[Xero Invoice No]&lt;&gt;"")*tbl_Finance[Date]))=0,"",SUMPRODUCT(MAX((tbl_Finance[Job Number]&amp;""=C397&amp;"")*(tbl_Finance[Xero Invoice No]&lt;&gt;"")*tbl_Finance[Date]))),""))</f>
        <v/>
      </c>
      <c r="B397" s="26">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2" t="n"/>
      <c r="D397" s="26">
        <f>IF(C397="","",IF(COUNTIF(lst_Jobs,C397&amp;"")&gt;0,"OK","CHECK"))</f>
        <v/>
      </c>
      <c r="E397" s="26">
        <f>IF(C397="","",IFERROR(INDEX(lst_JobName,MATCH(C397&amp;"",lst_Jobs,0)),""))</f>
        <v/>
      </c>
      <c r="F397" s="22" t="n"/>
      <c r="G397" s="22" t="n"/>
      <c r="H397" s="22" t="n"/>
      <c r="I397" s="22" t="n"/>
      <c r="J397" s="22" t="n"/>
      <c r="K397" s="28">
        <f>IF(C397="","",COUNTIFS(tbl_Finance[Job Number],C397&amp;"",tbl_Finance[Ex GST],"&lt;&gt;"))</f>
        <v/>
      </c>
      <c r="L397" s="27">
        <f>IF(C397="","",SUMIFS(tbl_Finance[Ex GST],tbl_Finance[Job Number],C397&amp;""))</f>
        <v/>
      </c>
      <c r="M397" s="27">
        <f>IF(C397="","",SUMIFS(tbl_Finance[Ex GST],tbl_Finance[Job Number],C397&amp;"",tbl_Finance[Xero Invoice No],"&lt;&gt;"))</f>
        <v/>
      </c>
      <c r="N397" s="27">
        <f>IF(C397="","",L397-M397)</f>
        <v/>
      </c>
      <c r="O397" s="24" t="n"/>
      <c r="P397" s="27">
        <f>IF(C397="","",IF(O397="",0,MAX(0,O397-L397)))</f>
        <v/>
      </c>
      <c r="Q397" s="26">
        <f>IF(C397="","",IF(K397=0,"not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R397" s="22" t="n"/>
      <c r="S397" s="22" t="n"/>
      <c r="T397" s="26">
        <f>IF(S397="","",HYPERLINK(IF(LEFT(S397,4)="http",S397,set_QwilrBase&amp;S397),"Open quote"))</f>
        <v/>
      </c>
      <c r="U397" s="71" t="n"/>
      <c r="V397" s="22" t="n"/>
      <c r="W397" s="22" t="n"/>
    </row>
    <row r="398" ht="15" customHeight="1">
      <c r="A398" s="70">
        <f>IF(C398="","",IFERROR(IF(SUMPRODUCT(MAX((tbl_Finance[Job Number]&amp;""=C398&amp;"")*(tbl_Finance[Xero Invoice No]&lt;&gt;"")*tbl_Finance[Date]))=0,"",SUMPRODUCT(MAX((tbl_Finance[Job Number]&amp;""=C398&amp;"")*(tbl_Finance[Xero Invoice No]&lt;&gt;"")*tbl_Finance[Date]))),""))</f>
        <v/>
      </c>
      <c r="B398" s="26">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2" t="n"/>
      <c r="D398" s="26">
        <f>IF(C398="","",IF(COUNTIF(lst_Jobs,C398&amp;"")&gt;0,"OK","CHECK"))</f>
        <v/>
      </c>
      <c r="E398" s="26">
        <f>IF(C398="","",IFERROR(INDEX(lst_JobName,MATCH(C398&amp;"",lst_Jobs,0)),""))</f>
        <v/>
      </c>
      <c r="F398" s="22" t="n"/>
      <c r="G398" s="22" t="n"/>
      <c r="H398" s="22" t="n"/>
      <c r="I398" s="22" t="n"/>
      <c r="J398" s="22" t="n"/>
      <c r="K398" s="28">
        <f>IF(C398="","",COUNTIFS(tbl_Finance[Job Number],C398&amp;"",tbl_Finance[Ex GST],"&lt;&gt;"))</f>
        <v/>
      </c>
      <c r="L398" s="27">
        <f>IF(C398="","",SUMIFS(tbl_Finance[Ex GST],tbl_Finance[Job Number],C398&amp;""))</f>
        <v/>
      </c>
      <c r="M398" s="27">
        <f>IF(C398="","",SUMIFS(tbl_Finance[Ex GST],tbl_Finance[Job Number],C398&amp;"",tbl_Finance[Xero Invoice No],"&lt;&gt;"))</f>
        <v/>
      </c>
      <c r="N398" s="27">
        <f>IF(C398="","",L398-M398)</f>
        <v/>
      </c>
      <c r="O398" s="24" t="n"/>
      <c r="P398" s="27">
        <f>IF(C398="","",IF(O398="",0,MAX(0,O398-L398)))</f>
        <v/>
      </c>
      <c r="Q398" s="26">
        <f>IF(C398="","",IF(K398=0,"not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R398" s="22" t="n"/>
      <c r="S398" s="22" t="n"/>
      <c r="T398" s="26">
        <f>IF(S398="","",HYPERLINK(IF(LEFT(S398,4)="http",S398,set_QwilrBase&amp;S398),"Open quote"))</f>
        <v/>
      </c>
      <c r="U398" s="71" t="n"/>
      <c r="V398" s="22" t="n"/>
      <c r="W398" s="22" t="n"/>
    </row>
    <row r="399" ht="15" customHeight="1">
      <c r="A399" s="70">
        <f>IF(C399="","",IFERROR(IF(SUMPRODUCT(MAX((tbl_Finance[Job Number]&amp;""=C399&amp;"")*(tbl_Finance[Xero Invoice No]&lt;&gt;"")*tbl_Finance[Date]))=0,"",SUMPRODUCT(MAX((tbl_Finance[Job Number]&amp;""=C399&amp;"")*(tbl_Finance[Xero Invoice No]&lt;&gt;"")*tbl_Finance[Date]))),""))</f>
        <v/>
      </c>
      <c r="B399" s="26">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2" t="n"/>
      <c r="D399" s="26">
        <f>IF(C399="","",IF(COUNTIF(lst_Jobs,C399&amp;"")&gt;0,"OK","CHECK"))</f>
        <v/>
      </c>
      <c r="E399" s="26">
        <f>IF(C399="","",IFERROR(INDEX(lst_JobName,MATCH(C399&amp;"",lst_Jobs,0)),""))</f>
        <v/>
      </c>
      <c r="F399" s="22" t="n"/>
      <c r="G399" s="22" t="n"/>
      <c r="H399" s="22" t="n"/>
      <c r="I399" s="22" t="n"/>
      <c r="J399" s="22" t="n"/>
      <c r="K399" s="28">
        <f>IF(C399="","",COUNTIFS(tbl_Finance[Job Number],C399&amp;"",tbl_Finance[Ex GST],"&lt;&gt;"))</f>
        <v/>
      </c>
      <c r="L399" s="27">
        <f>IF(C399="","",SUMIFS(tbl_Finance[Ex GST],tbl_Finance[Job Number],C399&amp;""))</f>
        <v/>
      </c>
      <c r="M399" s="27">
        <f>IF(C399="","",SUMIFS(tbl_Finance[Ex GST],tbl_Finance[Job Number],C399&amp;"",tbl_Finance[Xero Invoice No],"&lt;&gt;"))</f>
        <v/>
      </c>
      <c r="N399" s="27">
        <f>IF(C399="","",L399-M399)</f>
        <v/>
      </c>
      <c r="O399" s="24" t="n"/>
      <c r="P399" s="27">
        <f>IF(C399="","",IF(O399="",0,MAX(0,O399-L399)))</f>
        <v/>
      </c>
      <c r="Q399" s="26">
        <f>IF(C399="","",IF(K399=0,"not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R399" s="22" t="n"/>
      <c r="S399" s="22" t="n"/>
      <c r="T399" s="26">
        <f>IF(S399="","",HYPERLINK(IF(LEFT(S399,4)="http",S399,set_QwilrBase&amp;S399),"Open quote"))</f>
        <v/>
      </c>
      <c r="U399" s="71" t="n"/>
      <c r="V399" s="22" t="n"/>
      <c r="W399" s="22" t="n"/>
    </row>
    <row r="400" ht="15" customHeight="1">
      <c r="A400" s="70">
        <f>IF(C400="","",IFERROR(IF(SUMPRODUCT(MAX((tbl_Finance[Job Number]&amp;""=C400&amp;"")*(tbl_Finance[Xero Invoice No]&lt;&gt;"")*tbl_Finance[Date]))=0,"",SUMPRODUCT(MAX((tbl_Finance[Job Number]&amp;""=C400&amp;"")*(tbl_Finance[Xero Invoice No]&lt;&gt;"")*tbl_Finance[Date]))),""))</f>
        <v/>
      </c>
      <c r="B400" s="26">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2" t="n"/>
      <c r="D400" s="26">
        <f>IF(C400="","",IF(COUNTIF(lst_Jobs,C400&amp;"")&gt;0,"OK","CHECK"))</f>
        <v/>
      </c>
      <c r="E400" s="26">
        <f>IF(C400="","",IFERROR(INDEX(lst_JobName,MATCH(C400&amp;"",lst_Jobs,0)),""))</f>
        <v/>
      </c>
      <c r="F400" s="22" t="n"/>
      <c r="G400" s="22" t="n"/>
      <c r="H400" s="22" t="n"/>
      <c r="I400" s="22" t="n"/>
      <c r="J400" s="22" t="n"/>
      <c r="K400" s="28">
        <f>IF(C400="","",COUNTIFS(tbl_Finance[Job Number],C400&amp;"",tbl_Finance[Ex GST],"&lt;&gt;"))</f>
        <v/>
      </c>
      <c r="L400" s="27">
        <f>IF(C400="","",SUMIFS(tbl_Finance[Ex GST],tbl_Finance[Job Number],C400&amp;""))</f>
        <v/>
      </c>
      <c r="M400" s="27">
        <f>IF(C400="","",SUMIFS(tbl_Finance[Ex GST],tbl_Finance[Job Number],C400&amp;"",tbl_Finance[Xero Invoice No],"&lt;&gt;"))</f>
        <v/>
      </c>
      <c r="N400" s="27">
        <f>IF(C400="","",L400-M400)</f>
        <v/>
      </c>
      <c r="O400" s="24" t="n"/>
      <c r="P400" s="27">
        <f>IF(C400="","",IF(O400="",0,MAX(0,O400-L400)))</f>
        <v/>
      </c>
      <c r="Q400" s="26">
        <f>IF(C400="","",IF(K400=0,"not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R400" s="22" t="n"/>
      <c r="S400" s="22" t="n"/>
      <c r="T400" s="26">
        <f>IF(S400="","",HYPERLINK(IF(LEFT(S400,4)="http",S400,set_QwilrBase&amp;S400),"Open quote"))</f>
        <v/>
      </c>
      <c r="U400" s="71" t="n"/>
      <c r="V400" s="22" t="n"/>
      <c r="W400" s="22" t="n"/>
    </row>
    <row r="401" ht="15" customHeight="1">
      <c r="A401" s="70">
        <f>IF(C401="","",IFERROR(IF(SUMPRODUCT(MAX((tbl_Finance[Job Number]&amp;""=C401&amp;"")*(tbl_Finance[Xero Invoice No]&lt;&gt;"")*tbl_Finance[Date]))=0,"",SUMPRODUCT(MAX((tbl_Finance[Job Number]&amp;""=C401&amp;"")*(tbl_Finance[Xero Invoice No]&lt;&gt;"")*tbl_Finance[Date]))),""))</f>
        <v/>
      </c>
      <c r="B401" s="26">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2" t="n"/>
      <c r="D401" s="26">
        <f>IF(C401="","",IF(COUNTIF(lst_Jobs,C401&amp;"")&gt;0,"OK","CHECK"))</f>
        <v/>
      </c>
      <c r="E401" s="26">
        <f>IF(C401="","",IFERROR(INDEX(lst_JobName,MATCH(C401&amp;"",lst_Jobs,0)),""))</f>
        <v/>
      </c>
      <c r="F401" s="22" t="n"/>
      <c r="G401" s="22" t="n"/>
      <c r="H401" s="22" t="n"/>
      <c r="I401" s="22" t="n"/>
      <c r="J401" s="22" t="n"/>
      <c r="K401" s="28">
        <f>IF(C401="","",COUNTIFS(tbl_Finance[Job Number],C401&amp;"",tbl_Finance[Ex GST],"&lt;&gt;"))</f>
        <v/>
      </c>
      <c r="L401" s="27">
        <f>IF(C401="","",SUMIFS(tbl_Finance[Ex GST],tbl_Finance[Job Number],C401&amp;""))</f>
        <v/>
      </c>
      <c r="M401" s="27">
        <f>IF(C401="","",SUMIFS(tbl_Finance[Ex GST],tbl_Finance[Job Number],C401&amp;"",tbl_Finance[Xero Invoice No],"&lt;&gt;"))</f>
        <v/>
      </c>
      <c r="N401" s="27">
        <f>IF(C401="","",L401-M401)</f>
        <v/>
      </c>
      <c r="O401" s="24" t="n"/>
      <c r="P401" s="27">
        <f>IF(C401="","",IF(O401="",0,MAX(0,O401-L401)))</f>
        <v/>
      </c>
      <c r="Q401" s="26">
        <f>IF(C401="","",IF(K401=0,"not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R401" s="22" t="n"/>
      <c r="S401" s="22" t="n"/>
      <c r="T401" s="26">
        <f>IF(S401="","",HYPERLINK(IF(LEFT(S401,4)="http",S401,set_QwilrBase&amp;S401),"Open quote"))</f>
        <v/>
      </c>
      <c r="U401" s="71" t="n"/>
      <c r="V401" s="22" t="n"/>
      <c r="W401" s="22" t="n"/>
    </row>
    <row r="402" ht="15" customHeight="1">
      <c r="A402" s="70">
        <f>IF(C402="","",IFERROR(IF(SUMPRODUCT(MAX((tbl_Finance[Job Number]&amp;""=C402&amp;"")*(tbl_Finance[Xero Invoice No]&lt;&gt;"")*tbl_Finance[Date]))=0,"",SUMPRODUCT(MAX((tbl_Finance[Job Number]&amp;""=C402&amp;"")*(tbl_Finance[Xero Invoice No]&lt;&gt;"")*tbl_Finance[Date]))),""))</f>
        <v/>
      </c>
      <c r="B402" s="26">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2" t="n"/>
      <c r="D402" s="26">
        <f>IF(C402="","",IF(COUNTIF(lst_Jobs,C402&amp;"")&gt;0,"OK","CHECK"))</f>
        <v/>
      </c>
      <c r="E402" s="26">
        <f>IF(C402="","",IFERROR(INDEX(lst_JobName,MATCH(C402&amp;"",lst_Jobs,0)),""))</f>
        <v/>
      </c>
      <c r="F402" s="22" t="n"/>
      <c r="G402" s="22" t="n"/>
      <c r="H402" s="22" t="n"/>
      <c r="I402" s="22" t="n"/>
      <c r="J402" s="22" t="n"/>
      <c r="K402" s="28">
        <f>IF(C402="","",COUNTIFS(tbl_Finance[Job Number],C402&amp;"",tbl_Finance[Ex GST],"&lt;&gt;"))</f>
        <v/>
      </c>
      <c r="L402" s="27">
        <f>IF(C402="","",SUMIFS(tbl_Finance[Ex GST],tbl_Finance[Job Number],C402&amp;""))</f>
        <v/>
      </c>
      <c r="M402" s="27">
        <f>IF(C402="","",SUMIFS(tbl_Finance[Ex GST],tbl_Finance[Job Number],C402&amp;"",tbl_Finance[Xero Invoice No],"&lt;&gt;"))</f>
        <v/>
      </c>
      <c r="N402" s="27">
        <f>IF(C402="","",L402-M402)</f>
        <v/>
      </c>
      <c r="O402" s="24" t="n"/>
      <c r="P402" s="27">
        <f>IF(C402="","",IF(O402="",0,MAX(0,O402-L402)))</f>
        <v/>
      </c>
      <c r="Q402" s="26">
        <f>IF(C402="","",IF(K402=0,"not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R402" s="22" t="n"/>
      <c r="S402" s="22" t="n"/>
      <c r="T402" s="26">
        <f>IF(S402="","",HYPERLINK(IF(LEFT(S402,4)="http",S402,set_QwilrBase&amp;S402),"Open quote"))</f>
        <v/>
      </c>
      <c r="U402" s="71" t="n"/>
      <c r="V402" s="22" t="n"/>
      <c r="W402" s="22" t="n"/>
    </row>
    <row r="403" ht="15" customHeight="1">
      <c r="A403" s="70">
        <f>IF(C403="","",IFERROR(IF(SUMPRODUCT(MAX((tbl_Finance[Job Number]&amp;""=C403&amp;"")*(tbl_Finance[Xero Invoice No]&lt;&gt;"")*tbl_Finance[Date]))=0,"",SUMPRODUCT(MAX((tbl_Finance[Job Number]&amp;""=C403&amp;"")*(tbl_Finance[Xero Invoice No]&lt;&gt;"")*tbl_Finance[Date]))),""))</f>
        <v/>
      </c>
      <c r="B403" s="26">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2" t="n"/>
      <c r="D403" s="26">
        <f>IF(C403="","",IF(COUNTIF(lst_Jobs,C403&amp;"")&gt;0,"OK","CHECK"))</f>
        <v/>
      </c>
      <c r="E403" s="26">
        <f>IF(C403="","",IFERROR(INDEX(lst_JobName,MATCH(C403&amp;"",lst_Jobs,0)),""))</f>
        <v/>
      </c>
      <c r="F403" s="22" t="n"/>
      <c r="G403" s="22" t="n"/>
      <c r="H403" s="22" t="n"/>
      <c r="I403" s="22" t="n"/>
      <c r="J403" s="22" t="n"/>
      <c r="K403" s="28">
        <f>IF(C403="","",COUNTIFS(tbl_Finance[Job Number],C403&amp;"",tbl_Finance[Ex GST],"&lt;&gt;"))</f>
        <v/>
      </c>
      <c r="L403" s="27">
        <f>IF(C403="","",SUMIFS(tbl_Finance[Ex GST],tbl_Finance[Job Number],C403&amp;""))</f>
        <v/>
      </c>
      <c r="M403" s="27">
        <f>IF(C403="","",SUMIFS(tbl_Finance[Ex GST],tbl_Finance[Job Number],C403&amp;"",tbl_Finance[Xero Invoice No],"&lt;&gt;"))</f>
        <v/>
      </c>
      <c r="N403" s="27">
        <f>IF(C403="","",L403-M403)</f>
        <v/>
      </c>
      <c r="O403" s="24" t="n"/>
      <c r="P403" s="27">
        <f>IF(C403="","",IF(O403="",0,MAX(0,O403-L403)))</f>
        <v/>
      </c>
      <c r="Q403" s="26">
        <f>IF(C403="","",IF(K403=0,"not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R403" s="22" t="n"/>
      <c r="S403" s="22" t="n"/>
      <c r="T403" s="26">
        <f>IF(S403="","",HYPERLINK(IF(LEFT(S403,4)="http",S403,set_QwilrBase&amp;S403),"Open quote"))</f>
        <v/>
      </c>
      <c r="U403" s="71" t="n"/>
      <c r="V403" s="22" t="n"/>
      <c r="W403" s="22" t="n"/>
    </row>
    <row r="404" ht="15" customHeight="1">
      <c r="A404" s="70">
        <f>IF(C404="","",IFERROR(IF(SUMPRODUCT(MAX((tbl_Finance[Job Number]&amp;""=C404&amp;"")*(tbl_Finance[Xero Invoice No]&lt;&gt;"")*tbl_Finance[Date]))=0,"",SUMPRODUCT(MAX((tbl_Finance[Job Number]&amp;""=C404&amp;"")*(tbl_Finance[Xero Invoice No]&lt;&gt;"")*tbl_Finance[Date]))),""))</f>
        <v/>
      </c>
      <c r="B404" s="26">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2" t="n"/>
      <c r="D404" s="26">
        <f>IF(C404="","",IF(COUNTIF(lst_Jobs,C404&amp;"")&gt;0,"OK","CHECK"))</f>
        <v/>
      </c>
      <c r="E404" s="26">
        <f>IF(C404="","",IFERROR(INDEX(lst_JobName,MATCH(C404&amp;"",lst_Jobs,0)),""))</f>
        <v/>
      </c>
      <c r="F404" s="22" t="n"/>
      <c r="G404" s="22" t="n"/>
      <c r="H404" s="22" t="n"/>
      <c r="I404" s="22" t="n"/>
      <c r="J404" s="22" t="n"/>
      <c r="K404" s="28">
        <f>IF(C404="","",COUNTIFS(tbl_Finance[Job Number],C404&amp;"",tbl_Finance[Ex GST],"&lt;&gt;"))</f>
        <v/>
      </c>
      <c r="L404" s="27">
        <f>IF(C404="","",SUMIFS(tbl_Finance[Ex GST],tbl_Finance[Job Number],C404&amp;""))</f>
        <v/>
      </c>
      <c r="M404" s="27">
        <f>IF(C404="","",SUMIFS(tbl_Finance[Ex GST],tbl_Finance[Job Number],C404&amp;"",tbl_Finance[Xero Invoice No],"&lt;&gt;"))</f>
        <v/>
      </c>
      <c r="N404" s="27">
        <f>IF(C404="","",L404-M404)</f>
        <v/>
      </c>
      <c r="O404" s="24" t="n"/>
      <c r="P404" s="27">
        <f>IF(C404="","",IF(O404="",0,MAX(0,O404-L404)))</f>
        <v/>
      </c>
      <c r="Q404" s="26">
        <f>IF(C404="","",IF(K404=0,"not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R404" s="22" t="n"/>
      <c r="S404" s="22" t="n"/>
      <c r="T404" s="26">
        <f>IF(S404="","",HYPERLINK(IF(LEFT(S404,4)="http",S404,set_QwilrBase&amp;S404),"Open quote"))</f>
        <v/>
      </c>
      <c r="U404" s="71" t="n"/>
      <c r="V404" s="22" t="n"/>
      <c r="W404" s="22"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dataValidations count="3">
    <dataValidation sqref="H5:H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J5:J20000" showDropDown="0" showInputMessage="0" showErrorMessage="1" allowBlank="1" errorTitle="Not on the list" error="&quot;Tax Code&quot; is not on the list in the Lists sheet. Add it there if it is genuinely new." type="list" errorStyle="warning">
      <formula1>lst_TaxCode</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T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14" customWidth="1" min="13" max="13"/>
    <col width="14" customWidth="1" min="14" max="14"/>
    <col width="21" customWidth="1" min="15" max="15"/>
    <col width="17" customWidth="1" min="16" max="16"/>
    <col width="16" customWidth="1" min="17" max="17"/>
    <col width="14" customWidth="1" min="18" max="18"/>
    <col width="18" customWidth="1" min="19" max="19"/>
    <col width="30" customWidth="1" min="20" max="20"/>
    <col width="20" customWidth="1" min="21" max="21"/>
    <col width="12" customWidth="1" min="22" max="22"/>
    <col width="14" customWidth="1" min="23" max="23"/>
    <col width="18" customWidth="1" min="24" max="24"/>
    <col width="40" customWidth="1" min="25" max="25"/>
    <col width="14" customWidth="1" min="26" max="26"/>
    <col width="14" customWidth="1" min="27" max="27"/>
    <col width="11" customWidth="1" min="28" max="28"/>
    <col width="16" customWidth="1" min="29" max="29"/>
    <col width="20" customWidth="1" min="30" max="30"/>
    <col width="11" customWidth="1" min="31" max="31"/>
    <col width="17" customWidth="1" min="32" max="32"/>
    <col width="15" customWidth="1" min="33" max="33"/>
    <col width="18" customWidth="1" min="34" max="34"/>
    <col width="22" customWidth="1" min="35" max="35"/>
    <col width="14" customWidth="1" min="36" max="36"/>
    <col width="16" customWidth="1" min="37" max="37"/>
    <col width="14" customWidth="1" min="38" max="38"/>
    <col width="14" customWidth="1" min="39" max="39"/>
    <col width="10" customWidth="1" min="40" max="40"/>
    <col width="15" customWidth="1" min="41" max="41"/>
    <col width="15" customWidth="1" min="42" max="42"/>
    <col width="15" customWidth="1" min="43" max="43"/>
    <col width="19" customWidth="1" min="44" max="44"/>
    <col width="18" customWidth="1" min="45" max="45"/>
    <col width="38" customWidth="1" min="46" max="46"/>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0" t="inlineStr">
        <is>
          <t>Client</t>
        </is>
      </c>
      <c r="G4" s="20" t="inlineStr">
        <is>
          <t>Job Description</t>
        </is>
      </c>
      <c r="H4" s="20" t="inlineStr">
        <is>
          <t>Cost Centre</t>
        </is>
      </c>
      <c r="I4" s="20" t="inlineStr">
        <is>
          <t>Invoice Type</t>
        </is>
      </c>
      <c r="J4" s="20" t="inlineStr">
        <is>
          <t>Tax Code</t>
        </is>
      </c>
      <c r="K4" s="21" t="inlineStr">
        <is>
          <t>Lines on Job</t>
        </is>
      </c>
      <c r="L4" s="21" t="inlineStr">
        <is>
          <t>Revenue Ex GST</t>
        </is>
      </c>
      <c r="M4" s="21" t="inlineStr">
        <is>
          <t>Invoiced</t>
        </is>
      </c>
      <c r="N4" s="21" t="inlineStr">
        <is>
          <t>To Invoice</t>
        </is>
      </c>
      <c r="O4" s="20" t="inlineStr">
        <is>
          <t>Expected Revenue Ex GST</t>
        </is>
      </c>
      <c r="P4" s="21" t="inlineStr">
        <is>
          <t>Not Yet on Finance</t>
        </is>
      </c>
      <c r="Q4" s="21" t="inlineStr">
        <is>
          <t>Cost Centres</t>
        </is>
      </c>
      <c r="R4" s="21" t="inlineStr">
        <is>
          <t>Total Inc GST</t>
        </is>
      </c>
      <c r="S4" s="20" t="inlineStr">
        <is>
          <t>Company</t>
        </is>
      </c>
      <c r="T4" s="20" t="inlineStr">
        <is>
          <t>Client Email</t>
        </is>
      </c>
      <c r="U4" s="20" t="inlineStr">
        <is>
          <t>Event Grouping</t>
        </is>
      </c>
      <c r="V4" s="20" t="inlineStr">
        <is>
          <t>Event Date</t>
        </is>
      </c>
      <c r="W4" s="20" t="inlineStr">
        <is>
          <t>Current RMS No</t>
        </is>
      </c>
      <c r="X4" s="21" t="inlineStr">
        <is>
          <t>Open in Current RMS</t>
        </is>
      </c>
      <c r="Y4" s="20" t="inlineStr">
        <is>
          <t>Qwilr Quote</t>
        </is>
      </c>
      <c r="Z4" s="21" t="inlineStr">
        <is>
          <t>Open Qwilr</t>
        </is>
      </c>
      <c r="AA4" s="21" t="inlineStr">
        <is>
          <t>Zoho Number</t>
        </is>
      </c>
      <c r="AB4" s="20" t="inlineStr">
        <is>
          <t>Job Closed</t>
        </is>
      </c>
      <c r="AC4" s="20" t="inlineStr">
        <is>
          <t>Discounts Given</t>
        </is>
      </c>
      <c r="AD4" s="21" t="inlineStr">
        <is>
          <t>Value Before Discount</t>
        </is>
      </c>
      <c r="AE4" s="21" t="inlineStr">
        <is>
          <t>Discount %</t>
        </is>
      </c>
      <c r="AF4" s="20" t="inlineStr">
        <is>
          <t>Cross Hire Expense</t>
        </is>
      </c>
      <c r="AG4" s="20" t="inlineStr">
        <is>
          <t>Conf. Call Costs</t>
        </is>
      </c>
      <c r="AH4" s="20" t="inlineStr">
        <is>
          <t>Transcription Costs</t>
        </is>
      </c>
      <c r="AI4" s="20" t="inlineStr">
        <is>
          <t>Labour Expense (Internal)</t>
        </is>
      </c>
      <c r="AJ4" s="21" t="inlineStr">
        <is>
          <t>Video Revenue</t>
        </is>
      </c>
      <c r="AK4" s="21" t="inlineStr">
        <is>
          <t>Video % of Revenue</t>
        </is>
      </c>
      <c r="AL4" s="21" t="inlineStr">
        <is>
          <t>Total Expense</t>
        </is>
      </c>
      <c r="AM4" s="21" t="inlineStr">
        <is>
          <t>Margin</t>
        </is>
      </c>
      <c r="AN4" s="21" t="inlineStr">
        <is>
          <t>Margin %</t>
        </is>
      </c>
      <c r="AO4" s="20" t="inlineStr">
        <is>
          <t>Video Filming Hrs</t>
        </is>
      </c>
      <c r="AP4" s="20" t="inlineStr">
        <is>
          <t>Video Editing Hrs</t>
        </is>
      </c>
      <c r="AQ4" s="20" t="inlineStr">
        <is>
          <t>Project Mgmt Hrs</t>
        </is>
      </c>
      <c r="AR4" s="20" t="inlineStr">
        <is>
          <t>Video Project Mgmt Hrs</t>
        </is>
      </c>
      <c r="AS4" s="20" t="inlineStr">
        <is>
          <t>Production Labour Hrs</t>
        </is>
      </c>
      <c r="AT4" s="20" t="inlineStr">
        <is>
          <t>Notes</t>
        </is>
      </c>
    </row>
    <row r="5" ht="15" customHeight="1">
      <c r="A5" s="70">
        <f>IF(C5="","",IFERROR(IF(SUMPRODUCT(MAX((tbl_Finance[Job Number]&amp;""=C5&amp;"")*(tbl_Finance[Xero Invoice No]&lt;&gt;"")*tbl_Finance[Date]))=0,"",SUMPRODUCT(MAX((tbl_Finance[Job Number]&amp;""=C5&amp;"")*(tbl_Finance[Xero Invoice No]&lt;&gt;"")*tbl_Finance[Date]))),""))</f>
        <v/>
      </c>
      <c r="B5" s="26">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2" t="n"/>
      <c r="D5" s="26">
        <f>IF(C5="","",IF(COUNTIF(lst_Jobs,C5&amp;"")&gt;0,"OK","CHECK"))</f>
        <v/>
      </c>
      <c r="E5" s="26">
        <f>IF(C5="","",IFERROR(INDEX(lst_JobName,MATCH(C5&amp;"",lst_Jobs,0)),""))</f>
        <v/>
      </c>
      <c r="F5" s="22" t="n"/>
      <c r="G5" s="22" t="n"/>
      <c r="H5" s="22" t="n"/>
      <c r="I5" s="22" t="n"/>
      <c r="J5" s="22" t="n"/>
      <c r="K5" s="28">
        <f>IF(C5="","",COUNTIFS(tbl_Finance[Job Number],C5&amp;"",tbl_Finance[Ex GST],"&lt;&gt;"))</f>
        <v/>
      </c>
      <c r="L5" s="27">
        <f>IF(C5="","",SUMIFS(tbl_Finance[Ex GST],tbl_Finance[Job Number],C5&amp;""))</f>
        <v/>
      </c>
      <c r="M5" s="27">
        <f>IF(C5="","",SUMIFS(tbl_Finance[Ex GST],tbl_Finance[Job Number],C5&amp;"",tbl_Finance[Xero Invoice No],"&lt;&gt;"))</f>
        <v/>
      </c>
      <c r="N5" s="27">
        <f>IF(C5="","",L5-M5)</f>
        <v/>
      </c>
      <c r="O5" s="24" t="n"/>
      <c r="P5" s="27">
        <f>IF(C5="","",IF(O5="",0,MAX(0,O5-L5)))</f>
        <v/>
      </c>
      <c r="Q5" s="26">
        <f>IF(C5="","",IF(K5=0,"not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R5" s="27">
        <f>IF(C5="","",SUMIFS(tbl_Finance[Inc GST],tbl_Finance[Job Number],C5&amp;""))</f>
        <v/>
      </c>
      <c r="S5" s="22" t="n"/>
      <c r="T5" s="22" t="n"/>
      <c r="U5" s="22" t="n"/>
      <c r="V5" s="23" t="n"/>
      <c r="W5" s="22" t="n"/>
      <c r="X5" s="26">
        <f>IF(W5="","",IF(AND(LEFT(W5,4)&lt;&gt;"http",set_RMSBase=""),"",HYPERLINK(IF(LEFT(W5,4)="http",W5,set_RMSBase&amp;W5),"Open opportunity")))</f>
        <v/>
      </c>
      <c r="Y5" s="22" t="n"/>
      <c r="Z5" s="26">
        <f>IF(Y5="","",HYPERLINK(IF(LEFT(Y5,4)="http",Y5,set_QwilrBase&amp;Y5),"Open quote"))</f>
        <v/>
      </c>
      <c r="AA5" s="26">
        <f>IF(C5="","",C5)</f>
        <v/>
      </c>
      <c r="AB5" s="22" t="n"/>
      <c r="AC5" s="24" t="n"/>
      <c r="AD5" s="27">
        <f>IF(C5="","",L5+N(AC5))</f>
        <v/>
      </c>
      <c r="AE5" s="29">
        <f>IFERROR(AC5/AD5,"")</f>
        <v/>
      </c>
      <c r="AF5" s="24" t="n"/>
      <c r="AG5" s="24" t="n"/>
      <c r="AH5" s="24" t="n"/>
      <c r="AI5" s="24" t="n"/>
      <c r="AJ5" s="27">
        <f>IF(C5="","",SUMIFS(tbl_Finance[Ex GST],tbl_Finance[Job Number],C5&amp;"",tbl_Finance[Cost Centre],"VIDEO"))</f>
        <v/>
      </c>
      <c r="AK5" s="29">
        <f>IFERROR(AJ5/L5,"")</f>
        <v/>
      </c>
      <c r="AL5" s="27">
        <f>IF(C5="","",N(AF5)+N(AG5)+N(AH5)+N(AI5))</f>
        <v/>
      </c>
      <c r="AM5" s="27" t="n"/>
      <c r="AN5" s="29" t="n"/>
      <c r="AO5" s="71" t="n"/>
      <c r="AP5" s="71" t="n"/>
      <c r="AQ5" s="71" t="n"/>
      <c r="AR5" s="71" t="n"/>
      <c r="AS5" s="71" t="n"/>
      <c r="AT5" s="22" t="n"/>
    </row>
    <row r="6" ht="15" customHeight="1">
      <c r="A6" s="70">
        <f>IF(C6="","",IFERROR(IF(SUMPRODUCT(MAX((tbl_Finance[Job Number]&amp;""=C6&amp;"")*(tbl_Finance[Xero Invoice No]&lt;&gt;"")*tbl_Finance[Date]))=0,"",SUMPRODUCT(MAX((tbl_Finance[Job Number]&amp;""=C6&amp;"")*(tbl_Finance[Xero Invoice No]&lt;&gt;"")*tbl_Finance[Date]))),""))</f>
        <v/>
      </c>
      <c r="B6" s="26">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2" t="n"/>
      <c r="D6" s="26">
        <f>IF(C6="","",IF(COUNTIF(lst_Jobs,C6&amp;"")&gt;0,"OK","CHECK"))</f>
        <v/>
      </c>
      <c r="E6" s="26">
        <f>IF(C6="","",IFERROR(INDEX(lst_JobName,MATCH(C6&amp;"",lst_Jobs,0)),""))</f>
        <v/>
      </c>
      <c r="F6" s="22" t="n"/>
      <c r="G6" s="22" t="n"/>
      <c r="H6" s="22" t="n"/>
      <c r="I6" s="22" t="n"/>
      <c r="J6" s="22" t="n"/>
      <c r="K6" s="28">
        <f>IF(C6="","",COUNTIFS(tbl_Finance[Job Number],C6&amp;"",tbl_Finance[Ex GST],"&lt;&gt;"))</f>
        <v/>
      </c>
      <c r="L6" s="27">
        <f>IF(C6="","",SUMIFS(tbl_Finance[Ex GST],tbl_Finance[Job Number],C6&amp;""))</f>
        <v/>
      </c>
      <c r="M6" s="27">
        <f>IF(C6="","",SUMIFS(tbl_Finance[Ex GST],tbl_Finance[Job Number],C6&amp;"",tbl_Finance[Xero Invoice No],"&lt;&gt;"))</f>
        <v/>
      </c>
      <c r="N6" s="27">
        <f>IF(C6="","",L6-M6)</f>
        <v/>
      </c>
      <c r="O6" s="24" t="n"/>
      <c r="P6" s="27">
        <f>IF(C6="","",IF(O6="",0,MAX(0,O6-L6)))</f>
        <v/>
      </c>
      <c r="Q6" s="26">
        <f>IF(C6="","",IF(K6=0,"not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R6" s="27">
        <f>IF(C6="","",SUMIFS(tbl_Finance[Inc GST],tbl_Finance[Job Number],C6&amp;""))</f>
        <v/>
      </c>
      <c r="S6" s="22" t="n"/>
      <c r="T6" s="22" t="n"/>
      <c r="U6" s="22" t="n"/>
      <c r="V6" s="23" t="n"/>
      <c r="W6" s="22" t="n"/>
      <c r="X6" s="26">
        <f>IF(W6="","",IF(AND(LEFT(W6,4)&lt;&gt;"http",set_RMSBase=""),"",HYPERLINK(IF(LEFT(W6,4)="http",W6,set_RMSBase&amp;W6),"Open opportunity")))</f>
        <v/>
      </c>
      <c r="Y6" s="22" t="n"/>
      <c r="Z6" s="26">
        <f>IF(Y6="","",HYPERLINK(IF(LEFT(Y6,4)="http",Y6,set_QwilrBase&amp;Y6),"Open quote"))</f>
        <v/>
      </c>
      <c r="AA6" s="26">
        <f>IF(C6="","",C6)</f>
        <v/>
      </c>
      <c r="AB6" s="22" t="n"/>
      <c r="AC6" s="24" t="n"/>
      <c r="AD6" s="27">
        <f>IF(C6="","",L6+N(AC6))</f>
        <v/>
      </c>
      <c r="AE6" s="29">
        <f>IFERROR(AC6/AD6,"")</f>
        <v/>
      </c>
      <c r="AF6" s="24" t="n"/>
      <c r="AG6" s="24" t="n"/>
      <c r="AH6" s="24" t="n"/>
      <c r="AI6" s="24" t="n"/>
      <c r="AJ6" s="27">
        <f>IF(C6="","",SUMIFS(tbl_Finance[Ex GST],tbl_Finance[Job Number],C6&amp;"",tbl_Finance[Cost Centre],"VIDEO"))</f>
        <v/>
      </c>
      <c r="AK6" s="29">
        <f>IFERROR(AJ6/L6,"")</f>
        <v/>
      </c>
      <c r="AL6" s="27">
        <f>IF(C6="","",N(AF6)+N(AG6)+N(AH6)+N(AI6))</f>
        <v/>
      </c>
      <c r="AM6" s="27" t="n"/>
      <c r="AN6" s="29" t="n"/>
      <c r="AO6" s="71" t="n"/>
      <c r="AP6" s="71" t="n"/>
      <c r="AQ6" s="71" t="n"/>
      <c r="AR6" s="71" t="n"/>
      <c r="AS6" s="71" t="n"/>
      <c r="AT6" s="22" t="n"/>
    </row>
    <row r="7" ht="15" customHeight="1">
      <c r="A7" s="70">
        <f>IF(C7="","",IFERROR(IF(SUMPRODUCT(MAX((tbl_Finance[Job Number]&amp;""=C7&amp;"")*(tbl_Finance[Xero Invoice No]&lt;&gt;"")*tbl_Finance[Date]))=0,"",SUMPRODUCT(MAX((tbl_Finance[Job Number]&amp;""=C7&amp;"")*(tbl_Finance[Xero Invoice No]&lt;&gt;"")*tbl_Finance[Date]))),""))</f>
        <v/>
      </c>
      <c r="B7" s="26">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2" t="n"/>
      <c r="D7" s="26">
        <f>IF(C7="","",IF(COUNTIF(lst_Jobs,C7&amp;"")&gt;0,"OK","CHECK"))</f>
        <v/>
      </c>
      <c r="E7" s="26">
        <f>IF(C7="","",IFERROR(INDEX(lst_JobName,MATCH(C7&amp;"",lst_Jobs,0)),""))</f>
        <v/>
      </c>
      <c r="F7" s="22" t="n"/>
      <c r="G7" s="22" t="n"/>
      <c r="H7" s="22" t="n"/>
      <c r="I7" s="22" t="n"/>
      <c r="J7" s="22" t="n"/>
      <c r="K7" s="28">
        <f>IF(C7="","",COUNTIFS(tbl_Finance[Job Number],C7&amp;"",tbl_Finance[Ex GST],"&lt;&gt;"))</f>
        <v/>
      </c>
      <c r="L7" s="27">
        <f>IF(C7="","",SUMIFS(tbl_Finance[Ex GST],tbl_Finance[Job Number],C7&amp;""))</f>
        <v/>
      </c>
      <c r="M7" s="27">
        <f>IF(C7="","",SUMIFS(tbl_Finance[Ex GST],tbl_Finance[Job Number],C7&amp;"",tbl_Finance[Xero Invoice No],"&lt;&gt;"))</f>
        <v/>
      </c>
      <c r="N7" s="27">
        <f>IF(C7="","",L7-M7)</f>
        <v/>
      </c>
      <c r="O7" s="24" t="n"/>
      <c r="P7" s="27">
        <f>IF(C7="","",IF(O7="",0,MAX(0,O7-L7)))</f>
        <v/>
      </c>
      <c r="Q7" s="26">
        <f>IF(C7="","",IF(K7=0,"not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R7" s="27">
        <f>IF(C7="","",SUMIFS(tbl_Finance[Inc GST],tbl_Finance[Job Number],C7&amp;""))</f>
        <v/>
      </c>
      <c r="S7" s="22" t="n"/>
      <c r="T7" s="22" t="n"/>
      <c r="U7" s="22" t="n"/>
      <c r="V7" s="23" t="n"/>
      <c r="W7" s="22" t="n"/>
      <c r="X7" s="26">
        <f>IF(W7="","",IF(AND(LEFT(W7,4)&lt;&gt;"http",set_RMSBase=""),"",HYPERLINK(IF(LEFT(W7,4)="http",W7,set_RMSBase&amp;W7),"Open opportunity")))</f>
        <v/>
      </c>
      <c r="Y7" s="22" t="n"/>
      <c r="Z7" s="26">
        <f>IF(Y7="","",HYPERLINK(IF(LEFT(Y7,4)="http",Y7,set_QwilrBase&amp;Y7),"Open quote"))</f>
        <v/>
      </c>
      <c r="AA7" s="26">
        <f>IF(C7="","",C7)</f>
        <v/>
      </c>
      <c r="AB7" s="22" t="n"/>
      <c r="AC7" s="24" t="n"/>
      <c r="AD7" s="27">
        <f>IF(C7="","",L7+N(AC7))</f>
        <v/>
      </c>
      <c r="AE7" s="29">
        <f>IFERROR(AC7/AD7,"")</f>
        <v/>
      </c>
      <c r="AF7" s="24" t="n"/>
      <c r="AG7" s="24" t="n"/>
      <c r="AH7" s="24" t="n"/>
      <c r="AI7" s="24" t="n"/>
      <c r="AJ7" s="27">
        <f>IF(C7="","",SUMIFS(tbl_Finance[Ex GST],tbl_Finance[Job Number],C7&amp;"",tbl_Finance[Cost Centre],"VIDEO"))</f>
        <v/>
      </c>
      <c r="AK7" s="29">
        <f>IFERROR(AJ7/L7,"")</f>
        <v/>
      </c>
      <c r="AL7" s="27">
        <f>IF(C7="","",N(AF7)+N(AG7)+N(AH7)+N(AI7))</f>
        <v/>
      </c>
      <c r="AM7" s="27" t="n"/>
      <c r="AN7" s="29" t="n"/>
      <c r="AO7" s="71" t="n"/>
      <c r="AP7" s="71" t="n"/>
      <c r="AQ7" s="71" t="n"/>
      <c r="AR7" s="71" t="n"/>
      <c r="AS7" s="71" t="n"/>
      <c r="AT7" s="22" t="n"/>
    </row>
    <row r="8" ht="15" customHeight="1">
      <c r="A8" s="70">
        <f>IF(C8="","",IFERROR(IF(SUMPRODUCT(MAX((tbl_Finance[Job Number]&amp;""=C8&amp;"")*(tbl_Finance[Xero Invoice No]&lt;&gt;"")*tbl_Finance[Date]))=0,"",SUMPRODUCT(MAX((tbl_Finance[Job Number]&amp;""=C8&amp;"")*(tbl_Finance[Xero Invoice No]&lt;&gt;"")*tbl_Finance[Date]))),""))</f>
        <v/>
      </c>
      <c r="B8" s="26">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2" t="n"/>
      <c r="D8" s="26">
        <f>IF(C8="","",IF(COUNTIF(lst_Jobs,C8&amp;"")&gt;0,"OK","CHECK"))</f>
        <v/>
      </c>
      <c r="E8" s="26">
        <f>IF(C8="","",IFERROR(INDEX(lst_JobName,MATCH(C8&amp;"",lst_Jobs,0)),""))</f>
        <v/>
      </c>
      <c r="F8" s="22" t="n"/>
      <c r="G8" s="22" t="n"/>
      <c r="H8" s="22" t="n"/>
      <c r="I8" s="22" t="n"/>
      <c r="J8" s="22" t="n"/>
      <c r="K8" s="28">
        <f>IF(C8="","",COUNTIFS(tbl_Finance[Job Number],C8&amp;"",tbl_Finance[Ex GST],"&lt;&gt;"))</f>
        <v/>
      </c>
      <c r="L8" s="27">
        <f>IF(C8="","",SUMIFS(tbl_Finance[Ex GST],tbl_Finance[Job Number],C8&amp;""))</f>
        <v/>
      </c>
      <c r="M8" s="27">
        <f>IF(C8="","",SUMIFS(tbl_Finance[Ex GST],tbl_Finance[Job Number],C8&amp;"",tbl_Finance[Xero Invoice No],"&lt;&gt;"))</f>
        <v/>
      </c>
      <c r="N8" s="27">
        <f>IF(C8="","",L8-M8)</f>
        <v/>
      </c>
      <c r="O8" s="24" t="n"/>
      <c r="P8" s="27">
        <f>IF(C8="","",IF(O8="",0,MAX(0,O8-L8)))</f>
        <v/>
      </c>
      <c r="Q8" s="26">
        <f>IF(C8="","",IF(K8=0,"not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R8" s="27">
        <f>IF(C8="","",SUMIFS(tbl_Finance[Inc GST],tbl_Finance[Job Number],C8&amp;""))</f>
        <v/>
      </c>
      <c r="S8" s="22" t="n"/>
      <c r="T8" s="22" t="n"/>
      <c r="U8" s="22" t="n"/>
      <c r="V8" s="23" t="n"/>
      <c r="W8" s="22" t="n"/>
      <c r="X8" s="26">
        <f>IF(W8="","",IF(AND(LEFT(W8,4)&lt;&gt;"http",set_RMSBase=""),"",HYPERLINK(IF(LEFT(W8,4)="http",W8,set_RMSBase&amp;W8),"Open opportunity")))</f>
        <v/>
      </c>
      <c r="Y8" s="22" t="n"/>
      <c r="Z8" s="26">
        <f>IF(Y8="","",HYPERLINK(IF(LEFT(Y8,4)="http",Y8,set_QwilrBase&amp;Y8),"Open quote"))</f>
        <v/>
      </c>
      <c r="AA8" s="26">
        <f>IF(C8="","",C8)</f>
        <v/>
      </c>
      <c r="AB8" s="22" t="n"/>
      <c r="AC8" s="24" t="n"/>
      <c r="AD8" s="27">
        <f>IF(C8="","",L8+N(AC8))</f>
        <v/>
      </c>
      <c r="AE8" s="29">
        <f>IFERROR(AC8/AD8,"")</f>
        <v/>
      </c>
      <c r="AF8" s="24" t="n"/>
      <c r="AG8" s="24" t="n"/>
      <c r="AH8" s="24" t="n"/>
      <c r="AI8" s="24" t="n"/>
      <c r="AJ8" s="27">
        <f>IF(C8="","",SUMIFS(tbl_Finance[Ex GST],tbl_Finance[Job Number],C8&amp;"",tbl_Finance[Cost Centre],"VIDEO"))</f>
        <v/>
      </c>
      <c r="AK8" s="29">
        <f>IFERROR(AJ8/L8,"")</f>
        <v/>
      </c>
      <c r="AL8" s="27">
        <f>IF(C8="","",N(AF8)+N(AG8)+N(AH8)+N(AI8))</f>
        <v/>
      </c>
      <c r="AM8" s="27" t="n"/>
      <c r="AN8" s="29" t="n"/>
      <c r="AO8" s="71" t="n"/>
      <c r="AP8" s="71" t="n"/>
      <c r="AQ8" s="71" t="n"/>
      <c r="AR8" s="71" t="n"/>
      <c r="AS8" s="71" t="n"/>
      <c r="AT8" s="22" t="n"/>
    </row>
    <row r="9" ht="15" customHeight="1">
      <c r="A9" s="70">
        <f>IF(C9="","",IFERROR(IF(SUMPRODUCT(MAX((tbl_Finance[Job Number]&amp;""=C9&amp;"")*(tbl_Finance[Xero Invoice No]&lt;&gt;"")*tbl_Finance[Date]))=0,"",SUMPRODUCT(MAX((tbl_Finance[Job Number]&amp;""=C9&amp;"")*(tbl_Finance[Xero Invoice No]&lt;&gt;"")*tbl_Finance[Date]))),""))</f>
        <v/>
      </c>
      <c r="B9" s="26">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2" t="n"/>
      <c r="D9" s="26">
        <f>IF(C9="","",IF(COUNTIF(lst_Jobs,C9&amp;"")&gt;0,"OK","CHECK"))</f>
        <v/>
      </c>
      <c r="E9" s="26">
        <f>IF(C9="","",IFERROR(INDEX(lst_JobName,MATCH(C9&amp;"",lst_Jobs,0)),""))</f>
        <v/>
      </c>
      <c r="F9" s="22" t="n"/>
      <c r="G9" s="22" t="n"/>
      <c r="H9" s="22" t="n"/>
      <c r="I9" s="22" t="n"/>
      <c r="J9" s="22" t="n"/>
      <c r="K9" s="28">
        <f>IF(C9="","",COUNTIFS(tbl_Finance[Job Number],C9&amp;"",tbl_Finance[Ex GST],"&lt;&gt;"))</f>
        <v/>
      </c>
      <c r="L9" s="27">
        <f>IF(C9="","",SUMIFS(tbl_Finance[Ex GST],tbl_Finance[Job Number],C9&amp;""))</f>
        <v/>
      </c>
      <c r="M9" s="27">
        <f>IF(C9="","",SUMIFS(tbl_Finance[Ex GST],tbl_Finance[Job Number],C9&amp;"",tbl_Finance[Xero Invoice No],"&lt;&gt;"))</f>
        <v/>
      </c>
      <c r="N9" s="27">
        <f>IF(C9="","",L9-M9)</f>
        <v/>
      </c>
      <c r="O9" s="24" t="n"/>
      <c r="P9" s="27">
        <f>IF(C9="","",IF(O9="",0,MAX(0,O9-L9)))</f>
        <v/>
      </c>
      <c r="Q9" s="26">
        <f>IF(C9="","",IF(K9=0,"not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R9" s="27">
        <f>IF(C9="","",SUMIFS(tbl_Finance[Inc GST],tbl_Finance[Job Number],C9&amp;""))</f>
        <v/>
      </c>
      <c r="S9" s="22" t="n"/>
      <c r="T9" s="22" t="n"/>
      <c r="U9" s="22" t="n"/>
      <c r="V9" s="23" t="n"/>
      <c r="W9" s="22" t="n"/>
      <c r="X9" s="26">
        <f>IF(W9="","",IF(AND(LEFT(W9,4)&lt;&gt;"http",set_RMSBase=""),"",HYPERLINK(IF(LEFT(W9,4)="http",W9,set_RMSBase&amp;W9),"Open opportunity")))</f>
        <v/>
      </c>
      <c r="Y9" s="22" t="n"/>
      <c r="Z9" s="26">
        <f>IF(Y9="","",HYPERLINK(IF(LEFT(Y9,4)="http",Y9,set_QwilrBase&amp;Y9),"Open quote"))</f>
        <v/>
      </c>
      <c r="AA9" s="26">
        <f>IF(C9="","",C9)</f>
        <v/>
      </c>
      <c r="AB9" s="22" t="n"/>
      <c r="AC9" s="24" t="n"/>
      <c r="AD9" s="27">
        <f>IF(C9="","",L9+N(AC9))</f>
        <v/>
      </c>
      <c r="AE9" s="29">
        <f>IFERROR(AC9/AD9,"")</f>
        <v/>
      </c>
      <c r="AF9" s="24" t="n"/>
      <c r="AG9" s="24" t="n"/>
      <c r="AH9" s="24" t="n"/>
      <c r="AI9" s="24" t="n"/>
      <c r="AJ9" s="27">
        <f>IF(C9="","",SUMIFS(tbl_Finance[Ex GST],tbl_Finance[Job Number],C9&amp;"",tbl_Finance[Cost Centre],"VIDEO"))</f>
        <v/>
      </c>
      <c r="AK9" s="29">
        <f>IFERROR(AJ9/L9,"")</f>
        <v/>
      </c>
      <c r="AL9" s="27">
        <f>IF(C9="","",N(AF9)+N(AG9)+N(AH9)+N(AI9))</f>
        <v/>
      </c>
      <c r="AM9" s="27" t="n"/>
      <c r="AN9" s="29" t="n"/>
      <c r="AO9" s="71" t="n"/>
      <c r="AP9" s="71" t="n"/>
      <c r="AQ9" s="71" t="n"/>
      <c r="AR9" s="71" t="n"/>
      <c r="AS9" s="71" t="n"/>
      <c r="AT9" s="22" t="n"/>
    </row>
    <row r="10" ht="15" customHeight="1">
      <c r="A10" s="70">
        <f>IF(C10="","",IFERROR(IF(SUMPRODUCT(MAX((tbl_Finance[Job Number]&amp;""=C10&amp;"")*(tbl_Finance[Xero Invoice No]&lt;&gt;"")*tbl_Finance[Date]))=0,"",SUMPRODUCT(MAX((tbl_Finance[Job Number]&amp;""=C10&amp;"")*(tbl_Finance[Xero Invoice No]&lt;&gt;"")*tbl_Finance[Date]))),""))</f>
        <v/>
      </c>
      <c r="B10" s="26">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2" t="n"/>
      <c r="D10" s="26">
        <f>IF(C10="","",IF(COUNTIF(lst_Jobs,C10&amp;"")&gt;0,"OK","CHECK"))</f>
        <v/>
      </c>
      <c r="E10" s="26">
        <f>IF(C10="","",IFERROR(INDEX(lst_JobName,MATCH(C10&amp;"",lst_Jobs,0)),""))</f>
        <v/>
      </c>
      <c r="F10" s="22" t="n"/>
      <c r="G10" s="22" t="n"/>
      <c r="H10" s="22" t="n"/>
      <c r="I10" s="22" t="n"/>
      <c r="J10" s="22" t="n"/>
      <c r="K10" s="28">
        <f>IF(C10="","",COUNTIFS(tbl_Finance[Job Number],C10&amp;"",tbl_Finance[Ex GST],"&lt;&gt;"))</f>
        <v/>
      </c>
      <c r="L10" s="27">
        <f>IF(C10="","",SUMIFS(tbl_Finance[Ex GST],tbl_Finance[Job Number],C10&amp;""))</f>
        <v/>
      </c>
      <c r="M10" s="27">
        <f>IF(C10="","",SUMIFS(tbl_Finance[Ex GST],tbl_Finance[Job Number],C10&amp;"",tbl_Finance[Xero Invoice No],"&lt;&gt;"))</f>
        <v/>
      </c>
      <c r="N10" s="27">
        <f>IF(C10="","",L10-M10)</f>
        <v/>
      </c>
      <c r="O10" s="24" t="n"/>
      <c r="P10" s="27">
        <f>IF(C10="","",IF(O10="",0,MAX(0,O10-L10)))</f>
        <v/>
      </c>
      <c r="Q10" s="26">
        <f>IF(C10="","",IF(K10=0,"not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R10" s="27">
        <f>IF(C10="","",SUMIFS(tbl_Finance[Inc GST],tbl_Finance[Job Number],C10&amp;""))</f>
        <v/>
      </c>
      <c r="S10" s="22" t="n"/>
      <c r="T10" s="22" t="n"/>
      <c r="U10" s="22" t="n"/>
      <c r="V10" s="23" t="n"/>
      <c r="W10" s="22" t="n"/>
      <c r="X10" s="26">
        <f>IF(W10="","",IF(AND(LEFT(W10,4)&lt;&gt;"http",set_RMSBase=""),"",HYPERLINK(IF(LEFT(W10,4)="http",W10,set_RMSBase&amp;W10),"Open opportunity")))</f>
        <v/>
      </c>
      <c r="Y10" s="22" t="n"/>
      <c r="Z10" s="26">
        <f>IF(Y10="","",HYPERLINK(IF(LEFT(Y10,4)="http",Y10,set_QwilrBase&amp;Y10),"Open quote"))</f>
        <v/>
      </c>
      <c r="AA10" s="26">
        <f>IF(C10="","",C10)</f>
        <v/>
      </c>
      <c r="AB10" s="22" t="n"/>
      <c r="AC10" s="24" t="n"/>
      <c r="AD10" s="27">
        <f>IF(C10="","",L10+N(AC10))</f>
        <v/>
      </c>
      <c r="AE10" s="29">
        <f>IFERROR(AC10/AD10,"")</f>
        <v/>
      </c>
      <c r="AF10" s="24" t="n"/>
      <c r="AG10" s="24" t="n"/>
      <c r="AH10" s="24" t="n"/>
      <c r="AI10" s="24" t="n"/>
      <c r="AJ10" s="27">
        <f>IF(C10="","",SUMIFS(tbl_Finance[Ex GST],tbl_Finance[Job Number],C10&amp;"",tbl_Finance[Cost Centre],"VIDEO"))</f>
        <v/>
      </c>
      <c r="AK10" s="29">
        <f>IFERROR(AJ10/L10,"")</f>
        <v/>
      </c>
      <c r="AL10" s="27">
        <f>IF(C10="","",N(AF10)+N(AG10)+N(AH10)+N(AI10))</f>
        <v/>
      </c>
      <c r="AM10" s="27" t="n"/>
      <c r="AN10" s="29" t="n"/>
      <c r="AO10" s="71" t="n"/>
      <c r="AP10" s="71" t="n"/>
      <c r="AQ10" s="71" t="n"/>
      <c r="AR10" s="71" t="n"/>
      <c r="AS10" s="71" t="n"/>
      <c r="AT10" s="22" t="n"/>
    </row>
    <row r="11" ht="15" customHeight="1">
      <c r="A11" s="70">
        <f>IF(C11="","",IFERROR(IF(SUMPRODUCT(MAX((tbl_Finance[Job Number]&amp;""=C11&amp;"")*(tbl_Finance[Xero Invoice No]&lt;&gt;"")*tbl_Finance[Date]))=0,"",SUMPRODUCT(MAX((tbl_Finance[Job Number]&amp;""=C11&amp;"")*(tbl_Finance[Xero Invoice No]&lt;&gt;"")*tbl_Finance[Date]))),""))</f>
        <v/>
      </c>
      <c r="B11" s="26">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2" t="n"/>
      <c r="D11" s="26">
        <f>IF(C11="","",IF(COUNTIF(lst_Jobs,C11&amp;"")&gt;0,"OK","CHECK"))</f>
        <v/>
      </c>
      <c r="E11" s="26">
        <f>IF(C11="","",IFERROR(INDEX(lst_JobName,MATCH(C11&amp;"",lst_Jobs,0)),""))</f>
        <v/>
      </c>
      <c r="F11" s="22" t="n"/>
      <c r="G11" s="22" t="n"/>
      <c r="H11" s="22" t="n"/>
      <c r="I11" s="22" t="n"/>
      <c r="J11" s="22" t="n"/>
      <c r="K11" s="28">
        <f>IF(C11="","",COUNTIFS(tbl_Finance[Job Number],C11&amp;"",tbl_Finance[Ex GST],"&lt;&gt;"))</f>
        <v/>
      </c>
      <c r="L11" s="27">
        <f>IF(C11="","",SUMIFS(tbl_Finance[Ex GST],tbl_Finance[Job Number],C11&amp;""))</f>
        <v/>
      </c>
      <c r="M11" s="27">
        <f>IF(C11="","",SUMIFS(tbl_Finance[Ex GST],tbl_Finance[Job Number],C11&amp;"",tbl_Finance[Xero Invoice No],"&lt;&gt;"))</f>
        <v/>
      </c>
      <c r="N11" s="27">
        <f>IF(C11="","",L11-M11)</f>
        <v/>
      </c>
      <c r="O11" s="24" t="n"/>
      <c r="P11" s="27">
        <f>IF(C11="","",IF(O11="",0,MAX(0,O11-L11)))</f>
        <v/>
      </c>
      <c r="Q11" s="26">
        <f>IF(C11="","",IF(K11=0,"not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R11" s="27">
        <f>IF(C11="","",SUMIFS(tbl_Finance[Inc GST],tbl_Finance[Job Number],C11&amp;""))</f>
        <v/>
      </c>
      <c r="S11" s="22" t="n"/>
      <c r="T11" s="22" t="n"/>
      <c r="U11" s="22" t="n"/>
      <c r="V11" s="23" t="n"/>
      <c r="W11" s="22" t="n"/>
      <c r="X11" s="26">
        <f>IF(W11="","",IF(AND(LEFT(W11,4)&lt;&gt;"http",set_RMSBase=""),"",HYPERLINK(IF(LEFT(W11,4)="http",W11,set_RMSBase&amp;W11),"Open opportunity")))</f>
        <v/>
      </c>
      <c r="Y11" s="22" t="n"/>
      <c r="Z11" s="26">
        <f>IF(Y11="","",HYPERLINK(IF(LEFT(Y11,4)="http",Y11,set_QwilrBase&amp;Y11),"Open quote"))</f>
        <v/>
      </c>
      <c r="AA11" s="26">
        <f>IF(C11="","",C11)</f>
        <v/>
      </c>
      <c r="AB11" s="22" t="n"/>
      <c r="AC11" s="24" t="n"/>
      <c r="AD11" s="27">
        <f>IF(C11="","",L11+N(AC11))</f>
        <v/>
      </c>
      <c r="AE11" s="29">
        <f>IFERROR(AC11/AD11,"")</f>
        <v/>
      </c>
      <c r="AF11" s="24" t="n"/>
      <c r="AG11" s="24" t="n"/>
      <c r="AH11" s="24" t="n"/>
      <c r="AI11" s="24" t="n"/>
      <c r="AJ11" s="27">
        <f>IF(C11="","",SUMIFS(tbl_Finance[Ex GST],tbl_Finance[Job Number],C11&amp;"",tbl_Finance[Cost Centre],"VIDEO"))</f>
        <v/>
      </c>
      <c r="AK11" s="29">
        <f>IFERROR(AJ11/L11,"")</f>
        <v/>
      </c>
      <c r="AL11" s="27">
        <f>IF(C11="","",N(AF11)+N(AG11)+N(AH11)+N(AI11))</f>
        <v/>
      </c>
      <c r="AM11" s="27" t="n"/>
      <c r="AN11" s="29" t="n"/>
      <c r="AO11" s="71" t="n"/>
      <c r="AP11" s="71" t="n"/>
      <c r="AQ11" s="71" t="n"/>
      <c r="AR11" s="71" t="n"/>
      <c r="AS11" s="71" t="n"/>
      <c r="AT11" s="22" t="n"/>
    </row>
    <row r="12" ht="15" customHeight="1">
      <c r="A12" s="70">
        <f>IF(C12="","",IFERROR(IF(SUMPRODUCT(MAX((tbl_Finance[Job Number]&amp;""=C12&amp;"")*(tbl_Finance[Xero Invoice No]&lt;&gt;"")*tbl_Finance[Date]))=0,"",SUMPRODUCT(MAX((tbl_Finance[Job Number]&amp;""=C12&amp;"")*(tbl_Finance[Xero Invoice No]&lt;&gt;"")*tbl_Finance[Date]))),""))</f>
        <v/>
      </c>
      <c r="B12" s="26">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2" t="n"/>
      <c r="D12" s="26">
        <f>IF(C12="","",IF(COUNTIF(lst_Jobs,C12&amp;"")&gt;0,"OK","CHECK"))</f>
        <v/>
      </c>
      <c r="E12" s="26">
        <f>IF(C12="","",IFERROR(INDEX(lst_JobName,MATCH(C12&amp;"",lst_Jobs,0)),""))</f>
        <v/>
      </c>
      <c r="F12" s="22" t="n"/>
      <c r="G12" s="22" t="n"/>
      <c r="H12" s="22" t="n"/>
      <c r="I12" s="22" t="n"/>
      <c r="J12" s="22" t="n"/>
      <c r="K12" s="28">
        <f>IF(C12="","",COUNTIFS(tbl_Finance[Job Number],C12&amp;"",tbl_Finance[Ex GST],"&lt;&gt;"))</f>
        <v/>
      </c>
      <c r="L12" s="27">
        <f>IF(C12="","",SUMIFS(tbl_Finance[Ex GST],tbl_Finance[Job Number],C12&amp;""))</f>
        <v/>
      </c>
      <c r="M12" s="27">
        <f>IF(C12="","",SUMIFS(tbl_Finance[Ex GST],tbl_Finance[Job Number],C12&amp;"",tbl_Finance[Xero Invoice No],"&lt;&gt;"))</f>
        <v/>
      </c>
      <c r="N12" s="27">
        <f>IF(C12="","",L12-M12)</f>
        <v/>
      </c>
      <c r="O12" s="24" t="n"/>
      <c r="P12" s="27">
        <f>IF(C12="","",IF(O12="",0,MAX(0,O12-L12)))</f>
        <v/>
      </c>
      <c r="Q12" s="26">
        <f>IF(C12="","",IF(K12=0,"not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R12" s="27">
        <f>IF(C12="","",SUMIFS(tbl_Finance[Inc GST],tbl_Finance[Job Number],C12&amp;""))</f>
        <v/>
      </c>
      <c r="S12" s="22" t="n"/>
      <c r="T12" s="22" t="n"/>
      <c r="U12" s="22" t="n"/>
      <c r="V12" s="23" t="n"/>
      <c r="W12" s="22" t="n"/>
      <c r="X12" s="26">
        <f>IF(W12="","",IF(AND(LEFT(W12,4)&lt;&gt;"http",set_RMSBase=""),"",HYPERLINK(IF(LEFT(W12,4)="http",W12,set_RMSBase&amp;W12),"Open opportunity")))</f>
        <v/>
      </c>
      <c r="Y12" s="22" t="n"/>
      <c r="Z12" s="26">
        <f>IF(Y12="","",HYPERLINK(IF(LEFT(Y12,4)="http",Y12,set_QwilrBase&amp;Y12),"Open quote"))</f>
        <v/>
      </c>
      <c r="AA12" s="26">
        <f>IF(C12="","",C12)</f>
        <v/>
      </c>
      <c r="AB12" s="22" t="n"/>
      <c r="AC12" s="24" t="n"/>
      <c r="AD12" s="27">
        <f>IF(C12="","",L12+N(AC12))</f>
        <v/>
      </c>
      <c r="AE12" s="29">
        <f>IFERROR(AC12/AD12,"")</f>
        <v/>
      </c>
      <c r="AF12" s="24" t="n"/>
      <c r="AG12" s="24" t="n"/>
      <c r="AH12" s="24" t="n"/>
      <c r="AI12" s="24" t="n"/>
      <c r="AJ12" s="27">
        <f>IF(C12="","",SUMIFS(tbl_Finance[Ex GST],tbl_Finance[Job Number],C12&amp;"",tbl_Finance[Cost Centre],"VIDEO"))</f>
        <v/>
      </c>
      <c r="AK12" s="29">
        <f>IFERROR(AJ12/L12,"")</f>
        <v/>
      </c>
      <c r="AL12" s="27">
        <f>IF(C12="","",N(AF12)+N(AG12)+N(AH12)+N(AI12))</f>
        <v/>
      </c>
      <c r="AM12" s="27" t="n"/>
      <c r="AN12" s="29" t="n"/>
      <c r="AO12" s="71" t="n"/>
      <c r="AP12" s="71" t="n"/>
      <c r="AQ12" s="71" t="n"/>
      <c r="AR12" s="71" t="n"/>
      <c r="AS12" s="71" t="n"/>
      <c r="AT12" s="22" t="n"/>
    </row>
    <row r="13" ht="15" customHeight="1">
      <c r="A13" s="70">
        <f>IF(C13="","",IFERROR(IF(SUMPRODUCT(MAX((tbl_Finance[Job Number]&amp;""=C13&amp;"")*(tbl_Finance[Xero Invoice No]&lt;&gt;"")*tbl_Finance[Date]))=0,"",SUMPRODUCT(MAX((tbl_Finance[Job Number]&amp;""=C13&amp;"")*(tbl_Finance[Xero Invoice No]&lt;&gt;"")*tbl_Finance[Date]))),""))</f>
        <v/>
      </c>
      <c r="B13" s="26">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2" t="n"/>
      <c r="D13" s="26">
        <f>IF(C13="","",IF(COUNTIF(lst_Jobs,C13&amp;"")&gt;0,"OK","CHECK"))</f>
        <v/>
      </c>
      <c r="E13" s="26">
        <f>IF(C13="","",IFERROR(INDEX(lst_JobName,MATCH(C13&amp;"",lst_Jobs,0)),""))</f>
        <v/>
      </c>
      <c r="F13" s="22" t="n"/>
      <c r="G13" s="22" t="n"/>
      <c r="H13" s="22" t="n"/>
      <c r="I13" s="22" t="n"/>
      <c r="J13" s="22" t="n"/>
      <c r="K13" s="28">
        <f>IF(C13="","",COUNTIFS(tbl_Finance[Job Number],C13&amp;"",tbl_Finance[Ex GST],"&lt;&gt;"))</f>
        <v/>
      </c>
      <c r="L13" s="27">
        <f>IF(C13="","",SUMIFS(tbl_Finance[Ex GST],tbl_Finance[Job Number],C13&amp;""))</f>
        <v/>
      </c>
      <c r="M13" s="27">
        <f>IF(C13="","",SUMIFS(tbl_Finance[Ex GST],tbl_Finance[Job Number],C13&amp;"",tbl_Finance[Xero Invoice No],"&lt;&gt;"))</f>
        <v/>
      </c>
      <c r="N13" s="27">
        <f>IF(C13="","",L13-M13)</f>
        <v/>
      </c>
      <c r="O13" s="24" t="n"/>
      <c r="P13" s="27">
        <f>IF(C13="","",IF(O13="",0,MAX(0,O13-L13)))</f>
        <v/>
      </c>
      <c r="Q13" s="26">
        <f>IF(C13="","",IF(K13=0,"not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R13" s="27">
        <f>IF(C13="","",SUMIFS(tbl_Finance[Inc GST],tbl_Finance[Job Number],C13&amp;""))</f>
        <v/>
      </c>
      <c r="S13" s="22" t="n"/>
      <c r="T13" s="22" t="n"/>
      <c r="U13" s="22" t="n"/>
      <c r="V13" s="23" t="n"/>
      <c r="W13" s="22" t="n"/>
      <c r="X13" s="26">
        <f>IF(W13="","",IF(AND(LEFT(W13,4)&lt;&gt;"http",set_RMSBase=""),"",HYPERLINK(IF(LEFT(W13,4)="http",W13,set_RMSBase&amp;W13),"Open opportunity")))</f>
        <v/>
      </c>
      <c r="Y13" s="22" t="n"/>
      <c r="Z13" s="26">
        <f>IF(Y13="","",HYPERLINK(IF(LEFT(Y13,4)="http",Y13,set_QwilrBase&amp;Y13),"Open quote"))</f>
        <v/>
      </c>
      <c r="AA13" s="26">
        <f>IF(C13="","",C13)</f>
        <v/>
      </c>
      <c r="AB13" s="22" t="n"/>
      <c r="AC13" s="24" t="n"/>
      <c r="AD13" s="27">
        <f>IF(C13="","",L13+N(AC13))</f>
        <v/>
      </c>
      <c r="AE13" s="29">
        <f>IFERROR(AC13/AD13,"")</f>
        <v/>
      </c>
      <c r="AF13" s="24" t="n"/>
      <c r="AG13" s="24" t="n"/>
      <c r="AH13" s="24" t="n"/>
      <c r="AI13" s="24" t="n"/>
      <c r="AJ13" s="27">
        <f>IF(C13="","",SUMIFS(tbl_Finance[Ex GST],tbl_Finance[Job Number],C13&amp;"",tbl_Finance[Cost Centre],"VIDEO"))</f>
        <v/>
      </c>
      <c r="AK13" s="29">
        <f>IFERROR(AJ13/L13,"")</f>
        <v/>
      </c>
      <c r="AL13" s="27">
        <f>IF(C13="","",N(AF13)+N(AG13)+N(AH13)+N(AI13))</f>
        <v/>
      </c>
      <c r="AM13" s="27" t="n"/>
      <c r="AN13" s="29" t="n"/>
      <c r="AO13" s="71" t="n"/>
      <c r="AP13" s="71" t="n"/>
      <c r="AQ13" s="71" t="n"/>
      <c r="AR13" s="71" t="n"/>
      <c r="AS13" s="71" t="n"/>
      <c r="AT13" s="22" t="n"/>
    </row>
    <row r="14" ht="15" customHeight="1">
      <c r="A14" s="70">
        <f>IF(C14="","",IFERROR(IF(SUMPRODUCT(MAX((tbl_Finance[Job Number]&amp;""=C14&amp;"")*(tbl_Finance[Xero Invoice No]&lt;&gt;"")*tbl_Finance[Date]))=0,"",SUMPRODUCT(MAX((tbl_Finance[Job Number]&amp;""=C14&amp;"")*(tbl_Finance[Xero Invoice No]&lt;&gt;"")*tbl_Finance[Date]))),""))</f>
        <v/>
      </c>
      <c r="B14" s="26">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2" t="n"/>
      <c r="D14" s="26">
        <f>IF(C14="","",IF(COUNTIF(lst_Jobs,C14&amp;"")&gt;0,"OK","CHECK"))</f>
        <v/>
      </c>
      <c r="E14" s="26">
        <f>IF(C14="","",IFERROR(INDEX(lst_JobName,MATCH(C14&amp;"",lst_Jobs,0)),""))</f>
        <v/>
      </c>
      <c r="F14" s="22" t="n"/>
      <c r="G14" s="22" t="n"/>
      <c r="H14" s="22" t="n"/>
      <c r="I14" s="22" t="n"/>
      <c r="J14" s="22" t="n"/>
      <c r="K14" s="28">
        <f>IF(C14="","",COUNTIFS(tbl_Finance[Job Number],C14&amp;"",tbl_Finance[Ex GST],"&lt;&gt;"))</f>
        <v/>
      </c>
      <c r="L14" s="27">
        <f>IF(C14="","",SUMIFS(tbl_Finance[Ex GST],tbl_Finance[Job Number],C14&amp;""))</f>
        <v/>
      </c>
      <c r="M14" s="27">
        <f>IF(C14="","",SUMIFS(tbl_Finance[Ex GST],tbl_Finance[Job Number],C14&amp;"",tbl_Finance[Xero Invoice No],"&lt;&gt;"))</f>
        <v/>
      </c>
      <c r="N14" s="27">
        <f>IF(C14="","",L14-M14)</f>
        <v/>
      </c>
      <c r="O14" s="24" t="n"/>
      <c r="P14" s="27">
        <f>IF(C14="","",IF(O14="",0,MAX(0,O14-L14)))</f>
        <v/>
      </c>
      <c r="Q14" s="26">
        <f>IF(C14="","",IF(K14=0,"not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R14" s="27">
        <f>IF(C14="","",SUMIFS(tbl_Finance[Inc GST],tbl_Finance[Job Number],C14&amp;""))</f>
        <v/>
      </c>
      <c r="S14" s="22" t="n"/>
      <c r="T14" s="22" t="n"/>
      <c r="U14" s="22" t="n"/>
      <c r="V14" s="23" t="n"/>
      <c r="W14" s="22" t="n"/>
      <c r="X14" s="26">
        <f>IF(W14="","",IF(AND(LEFT(W14,4)&lt;&gt;"http",set_RMSBase=""),"",HYPERLINK(IF(LEFT(W14,4)="http",W14,set_RMSBase&amp;W14),"Open opportunity")))</f>
        <v/>
      </c>
      <c r="Y14" s="22" t="n"/>
      <c r="Z14" s="26">
        <f>IF(Y14="","",HYPERLINK(IF(LEFT(Y14,4)="http",Y14,set_QwilrBase&amp;Y14),"Open quote"))</f>
        <v/>
      </c>
      <c r="AA14" s="26">
        <f>IF(C14="","",C14)</f>
        <v/>
      </c>
      <c r="AB14" s="22" t="n"/>
      <c r="AC14" s="24" t="n"/>
      <c r="AD14" s="27">
        <f>IF(C14="","",L14+N(AC14))</f>
        <v/>
      </c>
      <c r="AE14" s="29">
        <f>IFERROR(AC14/AD14,"")</f>
        <v/>
      </c>
      <c r="AF14" s="24" t="n"/>
      <c r="AG14" s="24" t="n"/>
      <c r="AH14" s="24" t="n"/>
      <c r="AI14" s="24" t="n"/>
      <c r="AJ14" s="27">
        <f>IF(C14="","",SUMIFS(tbl_Finance[Ex GST],tbl_Finance[Job Number],C14&amp;"",tbl_Finance[Cost Centre],"VIDEO"))</f>
        <v/>
      </c>
      <c r="AK14" s="29">
        <f>IFERROR(AJ14/L14,"")</f>
        <v/>
      </c>
      <c r="AL14" s="27">
        <f>IF(C14="","",N(AF14)+N(AG14)+N(AH14)+N(AI14))</f>
        <v/>
      </c>
      <c r="AM14" s="27" t="n"/>
      <c r="AN14" s="29" t="n"/>
      <c r="AO14" s="71" t="n"/>
      <c r="AP14" s="71" t="n"/>
      <c r="AQ14" s="71" t="n"/>
      <c r="AR14" s="71" t="n"/>
      <c r="AS14" s="71" t="n"/>
      <c r="AT14" s="22" t="n"/>
    </row>
    <row r="15" ht="15" customHeight="1">
      <c r="A15" s="70">
        <f>IF(C15="","",IFERROR(IF(SUMPRODUCT(MAX((tbl_Finance[Job Number]&amp;""=C15&amp;"")*(tbl_Finance[Xero Invoice No]&lt;&gt;"")*tbl_Finance[Date]))=0,"",SUMPRODUCT(MAX((tbl_Finance[Job Number]&amp;""=C15&amp;"")*(tbl_Finance[Xero Invoice No]&lt;&gt;"")*tbl_Finance[Date]))),""))</f>
        <v/>
      </c>
      <c r="B15" s="26">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2" t="n"/>
      <c r="D15" s="26">
        <f>IF(C15="","",IF(COUNTIF(lst_Jobs,C15&amp;"")&gt;0,"OK","CHECK"))</f>
        <v/>
      </c>
      <c r="E15" s="26">
        <f>IF(C15="","",IFERROR(INDEX(lst_JobName,MATCH(C15&amp;"",lst_Jobs,0)),""))</f>
        <v/>
      </c>
      <c r="F15" s="22" t="n"/>
      <c r="G15" s="22" t="n"/>
      <c r="H15" s="22" t="n"/>
      <c r="I15" s="22" t="n"/>
      <c r="J15" s="22" t="n"/>
      <c r="K15" s="28">
        <f>IF(C15="","",COUNTIFS(tbl_Finance[Job Number],C15&amp;"",tbl_Finance[Ex GST],"&lt;&gt;"))</f>
        <v/>
      </c>
      <c r="L15" s="27">
        <f>IF(C15="","",SUMIFS(tbl_Finance[Ex GST],tbl_Finance[Job Number],C15&amp;""))</f>
        <v/>
      </c>
      <c r="M15" s="27">
        <f>IF(C15="","",SUMIFS(tbl_Finance[Ex GST],tbl_Finance[Job Number],C15&amp;"",tbl_Finance[Xero Invoice No],"&lt;&gt;"))</f>
        <v/>
      </c>
      <c r="N15" s="27">
        <f>IF(C15="","",L15-M15)</f>
        <v/>
      </c>
      <c r="O15" s="24" t="n"/>
      <c r="P15" s="27">
        <f>IF(C15="","",IF(O15="",0,MAX(0,O15-L15)))</f>
        <v/>
      </c>
      <c r="Q15" s="26">
        <f>IF(C15="","",IF(K15=0,"not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R15" s="27">
        <f>IF(C15="","",SUMIFS(tbl_Finance[Inc GST],tbl_Finance[Job Number],C15&amp;""))</f>
        <v/>
      </c>
      <c r="S15" s="22" t="n"/>
      <c r="T15" s="22" t="n"/>
      <c r="U15" s="22" t="n"/>
      <c r="V15" s="23" t="n"/>
      <c r="W15" s="22" t="n"/>
      <c r="X15" s="26">
        <f>IF(W15="","",IF(AND(LEFT(W15,4)&lt;&gt;"http",set_RMSBase=""),"",HYPERLINK(IF(LEFT(W15,4)="http",W15,set_RMSBase&amp;W15),"Open opportunity")))</f>
        <v/>
      </c>
      <c r="Y15" s="22" t="n"/>
      <c r="Z15" s="26">
        <f>IF(Y15="","",HYPERLINK(IF(LEFT(Y15,4)="http",Y15,set_QwilrBase&amp;Y15),"Open quote"))</f>
        <v/>
      </c>
      <c r="AA15" s="26">
        <f>IF(C15="","",C15)</f>
        <v/>
      </c>
      <c r="AB15" s="22" t="n"/>
      <c r="AC15" s="24" t="n"/>
      <c r="AD15" s="27">
        <f>IF(C15="","",L15+N(AC15))</f>
        <v/>
      </c>
      <c r="AE15" s="29">
        <f>IFERROR(AC15/AD15,"")</f>
        <v/>
      </c>
      <c r="AF15" s="24" t="n"/>
      <c r="AG15" s="24" t="n"/>
      <c r="AH15" s="24" t="n"/>
      <c r="AI15" s="24" t="n"/>
      <c r="AJ15" s="27">
        <f>IF(C15="","",SUMIFS(tbl_Finance[Ex GST],tbl_Finance[Job Number],C15&amp;"",tbl_Finance[Cost Centre],"VIDEO"))</f>
        <v/>
      </c>
      <c r="AK15" s="29">
        <f>IFERROR(AJ15/L15,"")</f>
        <v/>
      </c>
      <c r="AL15" s="27">
        <f>IF(C15="","",N(AF15)+N(AG15)+N(AH15)+N(AI15))</f>
        <v/>
      </c>
      <c r="AM15" s="27" t="n"/>
      <c r="AN15" s="29" t="n"/>
      <c r="AO15" s="71" t="n"/>
      <c r="AP15" s="71" t="n"/>
      <c r="AQ15" s="71" t="n"/>
      <c r="AR15" s="71" t="n"/>
      <c r="AS15" s="71" t="n"/>
      <c r="AT15" s="22" t="n"/>
    </row>
    <row r="16" ht="15" customHeight="1">
      <c r="A16" s="70">
        <f>IF(C16="","",IFERROR(IF(SUMPRODUCT(MAX((tbl_Finance[Job Number]&amp;""=C16&amp;"")*(tbl_Finance[Xero Invoice No]&lt;&gt;"")*tbl_Finance[Date]))=0,"",SUMPRODUCT(MAX((tbl_Finance[Job Number]&amp;""=C16&amp;"")*(tbl_Finance[Xero Invoice No]&lt;&gt;"")*tbl_Finance[Date]))),""))</f>
        <v/>
      </c>
      <c r="B16" s="26">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2" t="n"/>
      <c r="D16" s="26">
        <f>IF(C16="","",IF(COUNTIF(lst_Jobs,C16&amp;"")&gt;0,"OK","CHECK"))</f>
        <v/>
      </c>
      <c r="E16" s="26">
        <f>IF(C16="","",IFERROR(INDEX(lst_JobName,MATCH(C16&amp;"",lst_Jobs,0)),""))</f>
        <v/>
      </c>
      <c r="F16" s="22" t="n"/>
      <c r="G16" s="22" t="n"/>
      <c r="H16" s="22" t="n"/>
      <c r="I16" s="22" t="n"/>
      <c r="J16" s="22" t="n"/>
      <c r="K16" s="28">
        <f>IF(C16="","",COUNTIFS(tbl_Finance[Job Number],C16&amp;"",tbl_Finance[Ex GST],"&lt;&gt;"))</f>
        <v/>
      </c>
      <c r="L16" s="27">
        <f>IF(C16="","",SUMIFS(tbl_Finance[Ex GST],tbl_Finance[Job Number],C16&amp;""))</f>
        <v/>
      </c>
      <c r="M16" s="27">
        <f>IF(C16="","",SUMIFS(tbl_Finance[Ex GST],tbl_Finance[Job Number],C16&amp;"",tbl_Finance[Xero Invoice No],"&lt;&gt;"))</f>
        <v/>
      </c>
      <c r="N16" s="27">
        <f>IF(C16="","",L16-M16)</f>
        <v/>
      </c>
      <c r="O16" s="24" t="n"/>
      <c r="P16" s="27">
        <f>IF(C16="","",IF(O16="",0,MAX(0,O16-L16)))</f>
        <v/>
      </c>
      <c r="Q16" s="26">
        <f>IF(C16="","",IF(K16=0,"not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R16" s="27">
        <f>IF(C16="","",SUMIFS(tbl_Finance[Inc GST],tbl_Finance[Job Number],C16&amp;""))</f>
        <v/>
      </c>
      <c r="S16" s="22" t="n"/>
      <c r="T16" s="22" t="n"/>
      <c r="U16" s="22" t="n"/>
      <c r="V16" s="23" t="n"/>
      <c r="W16" s="22" t="n"/>
      <c r="X16" s="26">
        <f>IF(W16="","",IF(AND(LEFT(W16,4)&lt;&gt;"http",set_RMSBase=""),"",HYPERLINK(IF(LEFT(W16,4)="http",W16,set_RMSBase&amp;W16),"Open opportunity")))</f>
        <v/>
      </c>
      <c r="Y16" s="22" t="n"/>
      <c r="Z16" s="26">
        <f>IF(Y16="","",HYPERLINK(IF(LEFT(Y16,4)="http",Y16,set_QwilrBase&amp;Y16),"Open quote"))</f>
        <v/>
      </c>
      <c r="AA16" s="26">
        <f>IF(C16="","",C16)</f>
        <v/>
      </c>
      <c r="AB16" s="22" t="n"/>
      <c r="AC16" s="24" t="n"/>
      <c r="AD16" s="27">
        <f>IF(C16="","",L16+N(AC16))</f>
        <v/>
      </c>
      <c r="AE16" s="29">
        <f>IFERROR(AC16/AD16,"")</f>
        <v/>
      </c>
      <c r="AF16" s="24" t="n"/>
      <c r="AG16" s="24" t="n"/>
      <c r="AH16" s="24" t="n"/>
      <c r="AI16" s="24" t="n"/>
      <c r="AJ16" s="27">
        <f>IF(C16="","",SUMIFS(tbl_Finance[Ex GST],tbl_Finance[Job Number],C16&amp;"",tbl_Finance[Cost Centre],"VIDEO"))</f>
        <v/>
      </c>
      <c r="AK16" s="29">
        <f>IFERROR(AJ16/L16,"")</f>
        <v/>
      </c>
      <c r="AL16" s="27">
        <f>IF(C16="","",N(AF16)+N(AG16)+N(AH16)+N(AI16))</f>
        <v/>
      </c>
      <c r="AM16" s="27" t="n"/>
      <c r="AN16" s="29" t="n"/>
      <c r="AO16" s="71" t="n"/>
      <c r="AP16" s="71" t="n"/>
      <c r="AQ16" s="71" t="n"/>
      <c r="AR16" s="71" t="n"/>
      <c r="AS16" s="71" t="n"/>
      <c r="AT16" s="22" t="n"/>
    </row>
    <row r="17" ht="15" customHeight="1">
      <c r="A17" s="70">
        <f>IF(C17="","",IFERROR(IF(SUMPRODUCT(MAX((tbl_Finance[Job Number]&amp;""=C17&amp;"")*(tbl_Finance[Xero Invoice No]&lt;&gt;"")*tbl_Finance[Date]))=0,"",SUMPRODUCT(MAX((tbl_Finance[Job Number]&amp;""=C17&amp;"")*(tbl_Finance[Xero Invoice No]&lt;&gt;"")*tbl_Finance[Date]))),""))</f>
        <v/>
      </c>
      <c r="B17" s="26">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2" t="n"/>
      <c r="D17" s="26">
        <f>IF(C17="","",IF(COUNTIF(lst_Jobs,C17&amp;"")&gt;0,"OK","CHECK"))</f>
        <v/>
      </c>
      <c r="E17" s="26">
        <f>IF(C17="","",IFERROR(INDEX(lst_JobName,MATCH(C17&amp;"",lst_Jobs,0)),""))</f>
        <v/>
      </c>
      <c r="F17" s="22" t="n"/>
      <c r="G17" s="22" t="n"/>
      <c r="H17" s="22" t="n"/>
      <c r="I17" s="22" t="n"/>
      <c r="J17" s="22" t="n"/>
      <c r="K17" s="28">
        <f>IF(C17="","",COUNTIFS(tbl_Finance[Job Number],C17&amp;"",tbl_Finance[Ex GST],"&lt;&gt;"))</f>
        <v/>
      </c>
      <c r="L17" s="27">
        <f>IF(C17="","",SUMIFS(tbl_Finance[Ex GST],tbl_Finance[Job Number],C17&amp;""))</f>
        <v/>
      </c>
      <c r="M17" s="27">
        <f>IF(C17="","",SUMIFS(tbl_Finance[Ex GST],tbl_Finance[Job Number],C17&amp;"",tbl_Finance[Xero Invoice No],"&lt;&gt;"))</f>
        <v/>
      </c>
      <c r="N17" s="27">
        <f>IF(C17="","",L17-M17)</f>
        <v/>
      </c>
      <c r="O17" s="24" t="n"/>
      <c r="P17" s="27">
        <f>IF(C17="","",IF(O17="",0,MAX(0,O17-L17)))</f>
        <v/>
      </c>
      <c r="Q17" s="26">
        <f>IF(C17="","",IF(K17=0,"not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R17" s="27">
        <f>IF(C17="","",SUMIFS(tbl_Finance[Inc GST],tbl_Finance[Job Number],C17&amp;""))</f>
        <v/>
      </c>
      <c r="S17" s="22" t="n"/>
      <c r="T17" s="22" t="n"/>
      <c r="U17" s="22" t="n"/>
      <c r="V17" s="23" t="n"/>
      <c r="W17" s="22" t="n"/>
      <c r="X17" s="26">
        <f>IF(W17="","",IF(AND(LEFT(W17,4)&lt;&gt;"http",set_RMSBase=""),"",HYPERLINK(IF(LEFT(W17,4)="http",W17,set_RMSBase&amp;W17),"Open opportunity")))</f>
        <v/>
      </c>
      <c r="Y17" s="22" t="n"/>
      <c r="Z17" s="26">
        <f>IF(Y17="","",HYPERLINK(IF(LEFT(Y17,4)="http",Y17,set_QwilrBase&amp;Y17),"Open quote"))</f>
        <v/>
      </c>
      <c r="AA17" s="26">
        <f>IF(C17="","",C17)</f>
        <v/>
      </c>
      <c r="AB17" s="22" t="n"/>
      <c r="AC17" s="24" t="n"/>
      <c r="AD17" s="27">
        <f>IF(C17="","",L17+N(AC17))</f>
        <v/>
      </c>
      <c r="AE17" s="29">
        <f>IFERROR(AC17/AD17,"")</f>
        <v/>
      </c>
      <c r="AF17" s="24" t="n"/>
      <c r="AG17" s="24" t="n"/>
      <c r="AH17" s="24" t="n"/>
      <c r="AI17" s="24" t="n"/>
      <c r="AJ17" s="27">
        <f>IF(C17="","",SUMIFS(tbl_Finance[Ex GST],tbl_Finance[Job Number],C17&amp;"",tbl_Finance[Cost Centre],"VIDEO"))</f>
        <v/>
      </c>
      <c r="AK17" s="29">
        <f>IFERROR(AJ17/L17,"")</f>
        <v/>
      </c>
      <c r="AL17" s="27">
        <f>IF(C17="","",N(AF17)+N(AG17)+N(AH17)+N(AI17))</f>
        <v/>
      </c>
      <c r="AM17" s="27" t="n"/>
      <c r="AN17" s="29" t="n"/>
      <c r="AO17" s="71" t="n"/>
      <c r="AP17" s="71" t="n"/>
      <c r="AQ17" s="71" t="n"/>
      <c r="AR17" s="71" t="n"/>
      <c r="AS17" s="71" t="n"/>
      <c r="AT17" s="22" t="n"/>
    </row>
    <row r="18" ht="15" customHeight="1">
      <c r="A18" s="70">
        <f>IF(C18="","",IFERROR(IF(SUMPRODUCT(MAX((tbl_Finance[Job Number]&amp;""=C18&amp;"")*(tbl_Finance[Xero Invoice No]&lt;&gt;"")*tbl_Finance[Date]))=0,"",SUMPRODUCT(MAX((tbl_Finance[Job Number]&amp;""=C18&amp;"")*(tbl_Finance[Xero Invoice No]&lt;&gt;"")*tbl_Finance[Date]))),""))</f>
        <v/>
      </c>
      <c r="B18" s="26">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2" t="n"/>
      <c r="D18" s="26">
        <f>IF(C18="","",IF(COUNTIF(lst_Jobs,C18&amp;"")&gt;0,"OK","CHECK"))</f>
        <v/>
      </c>
      <c r="E18" s="26">
        <f>IF(C18="","",IFERROR(INDEX(lst_JobName,MATCH(C18&amp;"",lst_Jobs,0)),""))</f>
        <v/>
      </c>
      <c r="F18" s="22" t="n"/>
      <c r="G18" s="22" t="n"/>
      <c r="H18" s="22" t="n"/>
      <c r="I18" s="22" t="n"/>
      <c r="J18" s="22" t="n"/>
      <c r="K18" s="28">
        <f>IF(C18="","",COUNTIFS(tbl_Finance[Job Number],C18&amp;"",tbl_Finance[Ex GST],"&lt;&gt;"))</f>
        <v/>
      </c>
      <c r="L18" s="27">
        <f>IF(C18="","",SUMIFS(tbl_Finance[Ex GST],tbl_Finance[Job Number],C18&amp;""))</f>
        <v/>
      </c>
      <c r="M18" s="27">
        <f>IF(C18="","",SUMIFS(tbl_Finance[Ex GST],tbl_Finance[Job Number],C18&amp;"",tbl_Finance[Xero Invoice No],"&lt;&gt;"))</f>
        <v/>
      </c>
      <c r="N18" s="27">
        <f>IF(C18="","",L18-M18)</f>
        <v/>
      </c>
      <c r="O18" s="24" t="n"/>
      <c r="P18" s="27">
        <f>IF(C18="","",IF(O18="",0,MAX(0,O18-L18)))</f>
        <v/>
      </c>
      <c r="Q18" s="26">
        <f>IF(C18="","",IF(K18=0,"not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R18" s="27">
        <f>IF(C18="","",SUMIFS(tbl_Finance[Inc GST],tbl_Finance[Job Number],C18&amp;""))</f>
        <v/>
      </c>
      <c r="S18" s="22" t="n"/>
      <c r="T18" s="22" t="n"/>
      <c r="U18" s="22" t="n"/>
      <c r="V18" s="23" t="n"/>
      <c r="W18" s="22" t="n"/>
      <c r="X18" s="26">
        <f>IF(W18="","",IF(AND(LEFT(W18,4)&lt;&gt;"http",set_RMSBase=""),"",HYPERLINK(IF(LEFT(W18,4)="http",W18,set_RMSBase&amp;W18),"Open opportunity")))</f>
        <v/>
      </c>
      <c r="Y18" s="22" t="n"/>
      <c r="Z18" s="26">
        <f>IF(Y18="","",HYPERLINK(IF(LEFT(Y18,4)="http",Y18,set_QwilrBase&amp;Y18),"Open quote"))</f>
        <v/>
      </c>
      <c r="AA18" s="26">
        <f>IF(C18="","",C18)</f>
        <v/>
      </c>
      <c r="AB18" s="22" t="n"/>
      <c r="AC18" s="24" t="n"/>
      <c r="AD18" s="27">
        <f>IF(C18="","",L18+N(AC18))</f>
        <v/>
      </c>
      <c r="AE18" s="29">
        <f>IFERROR(AC18/AD18,"")</f>
        <v/>
      </c>
      <c r="AF18" s="24" t="n"/>
      <c r="AG18" s="24" t="n"/>
      <c r="AH18" s="24" t="n"/>
      <c r="AI18" s="24" t="n"/>
      <c r="AJ18" s="27">
        <f>IF(C18="","",SUMIFS(tbl_Finance[Ex GST],tbl_Finance[Job Number],C18&amp;"",tbl_Finance[Cost Centre],"VIDEO"))</f>
        <v/>
      </c>
      <c r="AK18" s="29">
        <f>IFERROR(AJ18/L18,"")</f>
        <v/>
      </c>
      <c r="AL18" s="27">
        <f>IF(C18="","",N(AF18)+N(AG18)+N(AH18)+N(AI18))</f>
        <v/>
      </c>
      <c r="AM18" s="27" t="n"/>
      <c r="AN18" s="29" t="n"/>
      <c r="AO18" s="71" t="n"/>
      <c r="AP18" s="71" t="n"/>
      <c r="AQ18" s="71" t="n"/>
      <c r="AR18" s="71" t="n"/>
      <c r="AS18" s="71" t="n"/>
      <c r="AT18" s="22" t="n"/>
    </row>
    <row r="19" ht="15" customHeight="1">
      <c r="A19" s="70">
        <f>IF(C19="","",IFERROR(IF(SUMPRODUCT(MAX((tbl_Finance[Job Number]&amp;""=C19&amp;"")*(tbl_Finance[Xero Invoice No]&lt;&gt;"")*tbl_Finance[Date]))=0,"",SUMPRODUCT(MAX((tbl_Finance[Job Number]&amp;""=C19&amp;"")*(tbl_Finance[Xero Invoice No]&lt;&gt;"")*tbl_Finance[Date]))),""))</f>
        <v/>
      </c>
      <c r="B19" s="26">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2" t="n"/>
      <c r="D19" s="26">
        <f>IF(C19="","",IF(COUNTIF(lst_Jobs,C19&amp;"")&gt;0,"OK","CHECK"))</f>
        <v/>
      </c>
      <c r="E19" s="26">
        <f>IF(C19="","",IFERROR(INDEX(lst_JobName,MATCH(C19&amp;"",lst_Jobs,0)),""))</f>
        <v/>
      </c>
      <c r="F19" s="22" t="n"/>
      <c r="G19" s="22" t="n"/>
      <c r="H19" s="22" t="n"/>
      <c r="I19" s="22" t="n"/>
      <c r="J19" s="22" t="n"/>
      <c r="K19" s="28">
        <f>IF(C19="","",COUNTIFS(tbl_Finance[Job Number],C19&amp;"",tbl_Finance[Ex GST],"&lt;&gt;"))</f>
        <v/>
      </c>
      <c r="L19" s="27">
        <f>IF(C19="","",SUMIFS(tbl_Finance[Ex GST],tbl_Finance[Job Number],C19&amp;""))</f>
        <v/>
      </c>
      <c r="M19" s="27">
        <f>IF(C19="","",SUMIFS(tbl_Finance[Ex GST],tbl_Finance[Job Number],C19&amp;"",tbl_Finance[Xero Invoice No],"&lt;&gt;"))</f>
        <v/>
      </c>
      <c r="N19" s="27">
        <f>IF(C19="","",L19-M19)</f>
        <v/>
      </c>
      <c r="O19" s="24" t="n"/>
      <c r="P19" s="27">
        <f>IF(C19="","",IF(O19="",0,MAX(0,O19-L19)))</f>
        <v/>
      </c>
      <c r="Q19" s="26">
        <f>IF(C19="","",IF(K19=0,"not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R19" s="27">
        <f>IF(C19="","",SUMIFS(tbl_Finance[Inc GST],tbl_Finance[Job Number],C19&amp;""))</f>
        <v/>
      </c>
      <c r="S19" s="22" t="n"/>
      <c r="T19" s="22" t="n"/>
      <c r="U19" s="22" t="n"/>
      <c r="V19" s="23" t="n"/>
      <c r="W19" s="22" t="n"/>
      <c r="X19" s="26">
        <f>IF(W19="","",IF(AND(LEFT(W19,4)&lt;&gt;"http",set_RMSBase=""),"",HYPERLINK(IF(LEFT(W19,4)="http",W19,set_RMSBase&amp;W19),"Open opportunity")))</f>
        <v/>
      </c>
      <c r="Y19" s="22" t="n"/>
      <c r="Z19" s="26">
        <f>IF(Y19="","",HYPERLINK(IF(LEFT(Y19,4)="http",Y19,set_QwilrBase&amp;Y19),"Open quote"))</f>
        <v/>
      </c>
      <c r="AA19" s="26">
        <f>IF(C19="","",C19)</f>
        <v/>
      </c>
      <c r="AB19" s="22" t="n"/>
      <c r="AC19" s="24" t="n"/>
      <c r="AD19" s="27">
        <f>IF(C19="","",L19+N(AC19))</f>
        <v/>
      </c>
      <c r="AE19" s="29">
        <f>IFERROR(AC19/AD19,"")</f>
        <v/>
      </c>
      <c r="AF19" s="24" t="n"/>
      <c r="AG19" s="24" t="n"/>
      <c r="AH19" s="24" t="n"/>
      <c r="AI19" s="24" t="n"/>
      <c r="AJ19" s="27">
        <f>IF(C19="","",SUMIFS(tbl_Finance[Ex GST],tbl_Finance[Job Number],C19&amp;"",tbl_Finance[Cost Centre],"VIDEO"))</f>
        <v/>
      </c>
      <c r="AK19" s="29">
        <f>IFERROR(AJ19/L19,"")</f>
        <v/>
      </c>
      <c r="AL19" s="27">
        <f>IF(C19="","",N(AF19)+N(AG19)+N(AH19)+N(AI19))</f>
        <v/>
      </c>
      <c r="AM19" s="27" t="n"/>
      <c r="AN19" s="29" t="n"/>
      <c r="AO19" s="71" t="n"/>
      <c r="AP19" s="71" t="n"/>
      <c r="AQ19" s="71" t="n"/>
      <c r="AR19" s="71" t="n"/>
      <c r="AS19" s="71" t="n"/>
      <c r="AT19" s="22" t="n"/>
    </row>
    <row r="20" ht="15" customHeight="1">
      <c r="A20" s="70">
        <f>IF(C20="","",IFERROR(IF(SUMPRODUCT(MAX((tbl_Finance[Job Number]&amp;""=C20&amp;"")*(tbl_Finance[Xero Invoice No]&lt;&gt;"")*tbl_Finance[Date]))=0,"",SUMPRODUCT(MAX((tbl_Finance[Job Number]&amp;""=C20&amp;"")*(tbl_Finance[Xero Invoice No]&lt;&gt;"")*tbl_Finance[Date]))),""))</f>
        <v/>
      </c>
      <c r="B20" s="26">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2" t="n"/>
      <c r="D20" s="26">
        <f>IF(C20="","",IF(COUNTIF(lst_Jobs,C20&amp;"")&gt;0,"OK","CHECK"))</f>
        <v/>
      </c>
      <c r="E20" s="26">
        <f>IF(C20="","",IFERROR(INDEX(lst_JobName,MATCH(C20&amp;"",lst_Jobs,0)),""))</f>
        <v/>
      </c>
      <c r="F20" s="22" t="n"/>
      <c r="G20" s="22" t="n"/>
      <c r="H20" s="22" t="n"/>
      <c r="I20" s="22" t="n"/>
      <c r="J20" s="22" t="n"/>
      <c r="K20" s="28">
        <f>IF(C20="","",COUNTIFS(tbl_Finance[Job Number],C20&amp;"",tbl_Finance[Ex GST],"&lt;&gt;"))</f>
        <v/>
      </c>
      <c r="L20" s="27">
        <f>IF(C20="","",SUMIFS(tbl_Finance[Ex GST],tbl_Finance[Job Number],C20&amp;""))</f>
        <v/>
      </c>
      <c r="M20" s="27">
        <f>IF(C20="","",SUMIFS(tbl_Finance[Ex GST],tbl_Finance[Job Number],C20&amp;"",tbl_Finance[Xero Invoice No],"&lt;&gt;"))</f>
        <v/>
      </c>
      <c r="N20" s="27">
        <f>IF(C20="","",L20-M20)</f>
        <v/>
      </c>
      <c r="O20" s="24" t="n"/>
      <c r="P20" s="27">
        <f>IF(C20="","",IF(O20="",0,MAX(0,O20-L20)))</f>
        <v/>
      </c>
      <c r="Q20" s="26">
        <f>IF(C20="","",IF(K20=0,"not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R20" s="27">
        <f>IF(C20="","",SUMIFS(tbl_Finance[Inc GST],tbl_Finance[Job Number],C20&amp;""))</f>
        <v/>
      </c>
      <c r="S20" s="22" t="n"/>
      <c r="T20" s="22" t="n"/>
      <c r="U20" s="22" t="n"/>
      <c r="V20" s="23" t="n"/>
      <c r="W20" s="22" t="n"/>
      <c r="X20" s="26">
        <f>IF(W20="","",IF(AND(LEFT(W20,4)&lt;&gt;"http",set_RMSBase=""),"",HYPERLINK(IF(LEFT(W20,4)="http",W20,set_RMSBase&amp;W20),"Open opportunity")))</f>
        <v/>
      </c>
      <c r="Y20" s="22" t="n"/>
      <c r="Z20" s="26">
        <f>IF(Y20="","",HYPERLINK(IF(LEFT(Y20,4)="http",Y20,set_QwilrBase&amp;Y20),"Open quote"))</f>
        <v/>
      </c>
      <c r="AA20" s="26">
        <f>IF(C20="","",C20)</f>
        <v/>
      </c>
      <c r="AB20" s="22" t="n"/>
      <c r="AC20" s="24" t="n"/>
      <c r="AD20" s="27">
        <f>IF(C20="","",L20+N(AC20))</f>
        <v/>
      </c>
      <c r="AE20" s="29">
        <f>IFERROR(AC20/AD20,"")</f>
        <v/>
      </c>
      <c r="AF20" s="24" t="n"/>
      <c r="AG20" s="24" t="n"/>
      <c r="AH20" s="24" t="n"/>
      <c r="AI20" s="24" t="n"/>
      <c r="AJ20" s="27">
        <f>IF(C20="","",SUMIFS(tbl_Finance[Ex GST],tbl_Finance[Job Number],C20&amp;"",tbl_Finance[Cost Centre],"VIDEO"))</f>
        <v/>
      </c>
      <c r="AK20" s="29">
        <f>IFERROR(AJ20/L20,"")</f>
        <v/>
      </c>
      <c r="AL20" s="27">
        <f>IF(C20="","",N(AF20)+N(AG20)+N(AH20)+N(AI20))</f>
        <v/>
      </c>
      <c r="AM20" s="27" t="n"/>
      <c r="AN20" s="29" t="n"/>
      <c r="AO20" s="71" t="n"/>
      <c r="AP20" s="71" t="n"/>
      <c r="AQ20" s="71" t="n"/>
      <c r="AR20" s="71" t="n"/>
      <c r="AS20" s="71" t="n"/>
      <c r="AT20" s="22" t="n"/>
    </row>
    <row r="21" ht="15" customHeight="1">
      <c r="A21" s="70">
        <f>IF(C21="","",IFERROR(IF(SUMPRODUCT(MAX((tbl_Finance[Job Number]&amp;""=C21&amp;"")*(tbl_Finance[Xero Invoice No]&lt;&gt;"")*tbl_Finance[Date]))=0,"",SUMPRODUCT(MAX((tbl_Finance[Job Number]&amp;""=C21&amp;"")*(tbl_Finance[Xero Invoice No]&lt;&gt;"")*tbl_Finance[Date]))),""))</f>
        <v/>
      </c>
      <c r="B21" s="26">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2" t="n"/>
      <c r="D21" s="26">
        <f>IF(C21="","",IF(COUNTIF(lst_Jobs,C21&amp;"")&gt;0,"OK","CHECK"))</f>
        <v/>
      </c>
      <c r="E21" s="26">
        <f>IF(C21="","",IFERROR(INDEX(lst_JobName,MATCH(C21&amp;"",lst_Jobs,0)),""))</f>
        <v/>
      </c>
      <c r="F21" s="22" t="n"/>
      <c r="G21" s="22" t="n"/>
      <c r="H21" s="22" t="n"/>
      <c r="I21" s="22" t="n"/>
      <c r="J21" s="22" t="n"/>
      <c r="K21" s="28">
        <f>IF(C21="","",COUNTIFS(tbl_Finance[Job Number],C21&amp;"",tbl_Finance[Ex GST],"&lt;&gt;"))</f>
        <v/>
      </c>
      <c r="L21" s="27">
        <f>IF(C21="","",SUMIFS(tbl_Finance[Ex GST],tbl_Finance[Job Number],C21&amp;""))</f>
        <v/>
      </c>
      <c r="M21" s="27">
        <f>IF(C21="","",SUMIFS(tbl_Finance[Ex GST],tbl_Finance[Job Number],C21&amp;"",tbl_Finance[Xero Invoice No],"&lt;&gt;"))</f>
        <v/>
      </c>
      <c r="N21" s="27">
        <f>IF(C21="","",L21-M21)</f>
        <v/>
      </c>
      <c r="O21" s="24" t="n"/>
      <c r="P21" s="27">
        <f>IF(C21="","",IF(O21="",0,MAX(0,O21-L21)))</f>
        <v/>
      </c>
      <c r="Q21" s="26">
        <f>IF(C21="","",IF(K21=0,"not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R21" s="27">
        <f>IF(C21="","",SUMIFS(tbl_Finance[Inc GST],tbl_Finance[Job Number],C21&amp;""))</f>
        <v/>
      </c>
      <c r="S21" s="22" t="n"/>
      <c r="T21" s="22" t="n"/>
      <c r="U21" s="22" t="n"/>
      <c r="V21" s="23" t="n"/>
      <c r="W21" s="22" t="n"/>
      <c r="X21" s="26">
        <f>IF(W21="","",IF(AND(LEFT(W21,4)&lt;&gt;"http",set_RMSBase=""),"",HYPERLINK(IF(LEFT(W21,4)="http",W21,set_RMSBase&amp;W21),"Open opportunity")))</f>
        <v/>
      </c>
      <c r="Y21" s="22" t="n"/>
      <c r="Z21" s="26">
        <f>IF(Y21="","",HYPERLINK(IF(LEFT(Y21,4)="http",Y21,set_QwilrBase&amp;Y21),"Open quote"))</f>
        <v/>
      </c>
      <c r="AA21" s="26">
        <f>IF(C21="","",C21)</f>
        <v/>
      </c>
      <c r="AB21" s="22" t="n"/>
      <c r="AC21" s="24" t="n"/>
      <c r="AD21" s="27">
        <f>IF(C21="","",L21+N(AC21))</f>
        <v/>
      </c>
      <c r="AE21" s="29">
        <f>IFERROR(AC21/AD21,"")</f>
        <v/>
      </c>
      <c r="AF21" s="24" t="n"/>
      <c r="AG21" s="24" t="n"/>
      <c r="AH21" s="24" t="n"/>
      <c r="AI21" s="24" t="n"/>
      <c r="AJ21" s="27">
        <f>IF(C21="","",SUMIFS(tbl_Finance[Ex GST],tbl_Finance[Job Number],C21&amp;"",tbl_Finance[Cost Centre],"VIDEO"))</f>
        <v/>
      </c>
      <c r="AK21" s="29">
        <f>IFERROR(AJ21/L21,"")</f>
        <v/>
      </c>
      <c r="AL21" s="27">
        <f>IF(C21="","",N(AF21)+N(AG21)+N(AH21)+N(AI21))</f>
        <v/>
      </c>
      <c r="AM21" s="27" t="n"/>
      <c r="AN21" s="29" t="n"/>
      <c r="AO21" s="71" t="n"/>
      <c r="AP21" s="71" t="n"/>
      <c r="AQ21" s="71" t="n"/>
      <c r="AR21" s="71" t="n"/>
      <c r="AS21" s="71" t="n"/>
      <c r="AT21" s="22" t="n"/>
    </row>
    <row r="22" ht="15" customHeight="1">
      <c r="A22" s="70">
        <f>IF(C22="","",IFERROR(IF(SUMPRODUCT(MAX((tbl_Finance[Job Number]&amp;""=C22&amp;"")*(tbl_Finance[Xero Invoice No]&lt;&gt;"")*tbl_Finance[Date]))=0,"",SUMPRODUCT(MAX((tbl_Finance[Job Number]&amp;""=C22&amp;"")*(tbl_Finance[Xero Invoice No]&lt;&gt;"")*tbl_Finance[Date]))),""))</f>
        <v/>
      </c>
      <c r="B22" s="26">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2" t="n"/>
      <c r="D22" s="26">
        <f>IF(C22="","",IF(COUNTIF(lst_Jobs,C22&amp;"")&gt;0,"OK","CHECK"))</f>
        <v/>
      </c>
      <c r="E22" s="26">
        <f>IF(C22="","",IFERROR(INDEX(lst_JobName,MATCH(C22&amp;"",lst_Jobs,0)),""))</f>
        <v/>
      </c>
      <c r="F22" s="22" t="n"/>
      <c r="G22" s="22" t="n"/>
      <c r="H22" s="22" t="n"/>
      <c r="I22" s="22" t="n"/>
      <c r="J22" s="22" t="n"/>
      <c r="K22" s="28">
        <f>IF(C22="","",COUNTIFS(tbl_Finance[Job Number],C22&amp;"",tbl_Finance[Ex GST],"&lt;&gt;"))</f>
        <v/>
      </c>
      <c r="L22" s="27">
        <f>IF(C22="","",SUMIFS(tbl_Finance[Ex GST],tbl_Finance[Job Number],C22&amp;""))</f>
        <v/>
      </c>
      <c r="M22" s="27">
        <f>IF(C22="","",SUMIFS(tbl_Finance[Ex GST],tbl_Finance[Job Number],C22&amp;"",tbl_Finance[Xero Invoice No],"&lt;&gt;"))</f>
        <v/>
      </c>
      <c r="N22" s="27">
        <f>IF(C22="","",L22-M22)</f>
        <v/>
      </c>
      <c r="O22" s="24" t="n"/>
      <c r="P22" s="27">
        <f>IF(C22="","",IF(O22="",0,MAX(0,O22-L22)))</f>
        <v/>
      </c>
      <c r="Q22" s="26">
        <f>IF(C22="","",IF(K22=0,"not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R22" s="27">
        <f>IF(C22="","",SUMIFS(tbl_Finance[Inc GST],tbl_Finance[Job Number],C22&amp;""))</f>
        <v/>
      </c>
      <c r="S22" s="22" t="n"/>
      <c r="T22" s="22" t="n"/>
      <c r="U22" s="22" t="n"/>
      <c r="V22" s="23" t="n"/>
      <c r="W22" s="22" t="n"/>
      <c r="X22" s="26">
        <f>IF(W22="","",IF(AND(LEFT(W22,4)&lt;&gt;"http",set_RMSBase=""),"",HYPERLINK(IF(LEFT(W22,4)="http",W22,set_RMSBase&amp;W22),"Open opportunity")))</f>
        <v/>
      </c>
      <c r="Y22" s="22" t="n"/>
      <c r="Z22" s="26">
        <f>IF(Y22="","",HYPERLINK(IF(LEFT(Y22,4)="http",Y22,set_QwilrBase&amp;Y22),"Open quote"))</f>
        <v/>
      </c>
      <c r="AA22" s="26">
        <f>IF(C22="","",C22)</f>
        <v/>
      </c>
      <c r="AB22" s="22" t="n"/>
      <c r="AC22" s="24" t="n"/>
      <c r="AD22" s="27">
        <f>IF(C22="","",L22+N(AC22))</f>
        <v/>
      </c>
      <c r="AE22" s="29">
        <f>IFERROR(AC22/AD22,"")</f>
        <v/>
      </c>
      <c r="AF22" s="24" t="n"/>
      <c r="AG22" s="24" t="n"/>
      <c r="AH22" s="24" t="n"/>
      <c r="AI22" s="24" t="n"/>
      <c r="AJ22" s="27">
        <f>IF(C22="","",SUMIFS(tbl_Finance[Ex GST],tbl_Finance[Job Number],C22&amp;"",tbl_Finance[Cost Centre],"VIDEO"))</f>
        <v/>
      </c>
      <c r="AK22" s="29">
        <f>IFERROR(AJ22/L22,"")</f>
        <v/>
      </c>
      <c r="AL22" s="27">
        <f>IF(C22="","",N(AF22)+N(AG22)+N(AH22)+N(AI22))</f>
        <v/>
      </c>
      <c r="AM22" s="27" t="n"/>
      <c r="AN22" s="29" t="n"/>
      <c r="AO22" s="71" t="n"/>
      <c r="AP22" s="71" t="n"/>
      <c r="AQ22" s="71" t="n"/>
      <c r="AR22" s="71" t="n"/>
      <c r="AS22" s="71" t="n"/>
      <c r="AT22" s="22" t="n"/>
    </row>
    <row r="23" ht="15" customHeight="1">
      <c r="A23" s="70">
        <f>IF(C23="","",IFERROR(IF(SUMPRODUCT(MAX((tbl_Finance[Job Number]&amp;""=C23&amp;"")*(tbl_Finance[Xero Invoice No]&lt;&gt;"")*tbl_Finance[Date]))=0,"",SUMPRODUCT(MAX((tbl_Finance[Job Number]&amp;""=C23&amp;"")*(tbl_Finance[Xero Invoice No]&lt;&gt;"")*tbl_Finance[Date]))),""))</f>
        <v/>
      </c>
      <c r="B23" s="26">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2" t="n"/>
      <c r="D23" s="26">
        <f>IF(C23="","",IF(COUNTIF(lst_Jobs,C23&amp;"")&gt;0,"OK","CHECK"))</f>
        <v/>
      </c>
      <c r="E23" s="26">
        <f>IF(C23="","",IFERROR(INDEX(lst_JobName,MATCH(C23&amp;"",lst_Jobs,0)),""))</f>
        <v/>
      </c>
      <c r="F23" s="22" t="n"/>
      <c r="G23" s="22" t="n"/>
      <c r="H23" s="22" t="n"/>
      <c r="I23" s="22" t="n"/>
      <c r="J23" s="22" t="n"/>
      <c r="K23" s="28">
        <f>IF(C23="","",COUNTIFS(tbl_Finance[Job Number],C23&amp;"",tbl_Finance[Ex GST],"&lt;&gt;"))</f>
        <v/>
      </c>
      <c r="L23" s="27">
        <f>IF(C23="","",SUMIFS(tbl_Finance[Ex GST],tbl_Finance[Job Number],C23&amp;""))</f>
        <v/>
      </c>
      <c r="M23" s="27">
        <f>IF(C23="","",SUMIFS(tbl_Finance[Ex GST],tbl_Finance[Job Number],C23&amp;"",tbl_Finance[Xero Invoice No],"&lt;&gt;"))</f>
        <v/>
      </c>
      <c r="N23" s="27">
        <f>IF(C23="","",L23-M23)</f>
        <v/>
      </c>
      <c r="O23" s="24" t="n"/>
      <c r="P23" s="27">
        <f>IF(C23="","",IF(O23="",0,MAX(0,O23-L23)))</f>
        <v/>
      </c>
      <c r="Q23" s="26">
        <f>IF(C23="","",IF(K23=0,"not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R23" s="27">
        <f>IF(C23="","",SUMIFS(tbl_Finance[Inc GST],tbl_Finance[Job Number],C23&amp;""))</f>
        <v/>
      </c>
      <c r="S23" s="22" t="n"/>
      <c r="T23" s="22" t="n"/>
      <c r="U23" s="22" t="n"/>
      <c r="V23" s="23" t="n"/>
      <c r="W23" s="22" t="n"/>
      <c r="X23" s="26">
        <f>IF(W23="","",IF(AND(LEFT(W23,4)&lt;&gt;"http",set_RMSBase=""),"",HYPERLINK(IF(LEFT(W23,4)="http",W23,set_RMSBase&amp;W23),"Open opportunity")))</f>
        <v/>
      </c>
      <c r="Y23" s="22" t="n"/>
      <c r="Z23" s="26">
        <f>IF(Y23="","",HYPERLINK(IF(LEFT(Y23,4)="http",Y23,set_QwilrBase&amp;Y23),"Open quote"))</f>
        <v/>
      </c>
      <c r="AA23" s="26">
        <f>IF(C23="","",C23)</f>
        <v/>
      </c>
      <c r="AB23" s="22" t="n"/>
      <c r="AC23" s="24" t="n"/>
      <c r="AD23" s="27">
        <f>IF(C23="","",L23+N(AC23))</f>
        <v/>
      </c>
      <c r="AE23" s="29">
        <f>IFERROR(AC23/AD23,"")</f>
        <v/>
      </c>
      <c r="AF23" s="24" t="n"/>
      <c r="AG23" s="24" t="n"/>
      <c r="AH23" s="24" t="n"/>
      <c r="AI23" s="24" t="n"/>
      <c r="AJ23" s="27">
        <f>IF(C23="","",SUMIFS(tbl_Finance[Ex GST],tbl_Finance[Job Number],C23&amp;"",tbl_Finance[Cost Centre],"VIDEO"))</f>
        <v/>
      </c>
      <c r="AK23" s="29">
        <f>IFERROR(AJ23/L23,"")</f>
        <v/>
      </c>
      <c r="AL23" s="27">
        <f>IF(C23="","",N(AF23)+N(AG23)+N(AH23)+N(AI23))</f>
        <v/>
      </c>
      <c r="AM23" s="27" t="n"/>
      <c r="AN23" s="29" t="n"/>
      <c r="AO23" s="71" t="n"/>
      <c r="AP23" s="71" t="n"/>
      <c r="AQ23" s="71" t="n"/>
      <c r="AR23" s="71" t="n"/>
      <c r="AS23" s="71" t="n"/>
      <c r="AT23" s="22" t="n"/>
    </row>
    <row r="24" ht="15" customHeight="1">
      <c r="A24" s="70">
        <f>IF(C24="","",IFERROR(IF(SUMPRODUCT(MAX((tbl_Finance[Job Number]&amp;""=C24&amp;"")*(tbl_Finance[Xero Invoice No]&lt;&gt;"")*tbl_Finance[Date]))=0,"",SUMPRODUCT(MAX((tbl_Finance[Job Number]&amp;""=C24&amp;"")*(tbl_Finance[Xero Invoice No]&lt;&gt;"")*tbl_Finance[Date]))),""))</f>
        <v/>
      </c>
      <c r="B24" s="26">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2" t="n"/>
      <c r="D24" s="26">
        <f>IF(C24="","",IF(COUNTIF(lst_Jobs,C24&amp;"")&gt;0,"OK","CHECK"))</f>
        <v/>
      </c>
      <c r="E24" s="26">
        <f>IF(C24="","",IFERROR(INDEX(lst_JobName,MATCH(C24&amp;"",lst_Jobs,0)),""))</f>
        <v/>
      </c>
      <c r="F24" s="22" t="n"/>
      <c r="G24" s="22" t="n"/>
      <c r="H24" s="22" t="n"/>
      <c r="I24" s="22" t="n"/>
      <c r="J24" s="22" t="n"/>
      <c r="K24" s="28">
        <f>IF(C24="","",COUNTIFS(tbl_Finance[Job Number],C24&amp;"",tbl_Finance[Ex GST],"&lt;&gt;"))</f>
        <v/>
      </c>
      <c r="L24" s="27">
        <f>IF(C24="","",SUMIFS(tbl_Finance[Ex GST],tbl_Finance[Job Number],C24&amp;""))</f>
        <v/>
      </c>
      <c r="M24" s="27">
        <f>IF(C24="","",SUMIFS(tbl_Finance[Ex GST],tbl_Finance[Job Number],C24&amp;"",tbl_Finance[Xero Invoice No],"&lt;&gt;"))</f>
        <v/>
      </c>
      <c r="N24" s="27">
        <f>IF(C24="","",L24-M24)</f>
        <v/>
      </c>
      <c r="O24" s="24" t="n"/>
      <c r="P24" s="27">
        <f>IF(C24="","",IF(O24="",0,MAX(0,O24-L24)))</f>
        <v/>
      </c>
      <c r="Q24" s="26">
        <f>IF(C24="","",IF(K24=0,"not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R24" s="27">
        <f>IF(C24="","",SUMIFS(tbl_Finance[Inc GST],tbl_Finance[Job Number],C24&amp;""))</f>
        <v/>
      </c>
      <c r="S24" s="22" t="n"/>
      <c r="T24" s="22" t="n"/>
      <c r="U24" s="22" t="n"/>
      <c r="V24" s="23" t="n"/>
      <c r="W24" s="22" t="n"/>
      <c r="X24" s="26">
        <f>IF(W24="","",IF(AND(LEFT(W24,4)&lt;&gt;"http",set_RMSBase=""),"",HYPERLINK(IF(LEFT(W24,4)="http",W24,set_RMSBase&amp;W24),"Open opportunity")))</f>
        <v/>
      </c>
      <c r="Y24" s="22" t="n"/>
      <c r="Z24" s="26">
        <f>IF(Y24="","",HYPERLINK(IF(LEFT(Y24,4)="http",Y24,set_QwilrBase&amp;Y24),"Open quote"))</f>
        <v/>
      </c>
      <c r="AA24" s="26">
        <f>IF(C24="","",C24)</f>
        <v/>
      </c>
      <c r="AB24" s="22" t="n"/>
      <c r="AC24" s="24" t="n"/>
      <c r="AD24" s="27">
        <f>IF(C24="","",L24+N(AC24))</f>
        <v/>
      </c>
      <c r="AE24" s="29">
        <f>IFERROR(AC24/AD24,"")</f>
        <v/>
      </c>
      <c r="AF24" s="24" t="n"/>
      <c r="AG24" s="24" t="n"/>
      <c r="AH24" s="24" t="n"/>
      <c r="AI24" s="24" t="n"/>
      <c r="AJ24" s="27">
        <f>IF(C24="","",SUMIFS(tbl_Finance[Ex GST],tbl_Finance[Job Number],C24&amp;"",tbl_Finance[Cost Centre],"VIDEO"))</f>
        <v/>
      </c>
      <c r="AK24" s="29">
        <f>IFERROR(AJ24/L24,"")</f>
        <v/>
      </c>
      <c r="AL24" s="27">
        <f>IF(C24="","",N(AF24)+N(AG24)+N(AH24)+N(AI24))</f>
        <v/>
      </c>
      <c r="AM24" s="27" t="n"/>
      <c r="AN24" s="29" t="n"/>
      <c r="AO24" s="71" t="n"/>
      <c r="AP24" s="71" t="n"/>
      <c r="AQ24" s="71" t="n"/>
      <c r="AR24" s="71" t="n"/>
      <c r="AS24" s="71" t="n"/>
      <c r="AT24" s="22" t="n"/>
    </row>
    <row r="25" ht="15" customHeight="1">
      <c r="A25" s="70">
        <f>IF(C25="","",IFERROR(IF(SUMPRODUCT(MAX((tbl_Finance[Job Number]&amp;""=C25&amp;"")*(tbl_Finance[Xero Invoice No]&lt;&gt;"")*tbl_Finance[Date]))=0,"",SUMPRODUCT(MAX((tbl_Finance[Job Number]&amp;""=C25&amp;"")*(tbl_Finance[Xero Invoice No]&lt;&gt;"")*tbl_Finance[Date]))),""))</f>
        <v/>
      </c>
      <c r="B25" s="26">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2" t="n"/>
      <c r="D25" s="26">
        <f>IF(C25="","",IF(COUNTIF(lst_Jobs,C25&amp;"")&gt;0,"OK","CHECK"))</f>
        <v/>
      </c>
      <c r="E25" s="26">
        <f>IF(C25="","",IFERROR(INDEX(lst_JobName,MATCH(C25&amp;"",lst_Jobs,0)),""))</f>
        <v/>
      </c>
      <c r="F25" s="22" t="n"/>
      <c r="G25" s="22" t="n"/>
      <c r="H25" s="22" t="n"/>
      <c r="I25" s="22" t="n"/>
      <c r="J25" s="22" t="n"/>
      <c r="K25" s="28">
        <f>IF(C25="","",COUNTIFS(tbl_Finance[Job Number],C25&amp;"",tbl_Finance[Ex GST],"&lt;&gt;"))</f>
        <v/>
      </c>
      <c r="L25" s="27">
        <f>IF(C25="","",SUMIFS(tbl_Finance[Ex GST],tbl_Finance[Job Number],C25&amp;""))</f>
        <v/>
      </c>
      <c r="M25" s="27">
        <f>IF(C25="","",SUMIFS(tbl_Finance[Ex GST],tbl_Finance[Job Number],C25&amp;"",tbl_Finance[Xero Invoice No],"&lt;&gt;"))</f>
        <v/>
      </c>
      <c r="N25" s="27">
        <f>IF(C25="","",L25-M25)</f>
        <v/>
      </c>
      <c r="O25" s="24" t="n"/>
      <c r="P25" s="27">
        <f>IF(C25="","",IF(O25="",0,MAX(0,O25-L25)))</f>
        <v/>
      </c>
      <c r="Q25" s="26">
        <f>IF(C25="","",IF(K25=0,"not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R25" s="27">
        <f>IF(C25="","",SUMIFS(tbl_Finance[Inc GST],tbl_Finance[Job Number],C25&amp;""))</f>
        <v/>
      </c>
      <c r="S25" s="22" t="n"/>
      <c r="T25" s="22" t="n"/>
      <c r="U25" s="22" t="n"/>
      <c r="V25" s="23" t="n"/>
      <c r="W25" s="22" t="n"/>
      <c r="X25" s="26">
        <f>IF(W25="","",IF(AND(LEFT(W25,4)&lt;&gt;"http",set_RMSBase=""),"",HYPERLINK(IF(LEFT(W25,4)="http",W25,set_RMSBase&amp;W25),"Open opportunity")))</f>
        <v/>
      </c>
      <c r="Y25" s="22" t="n"/>
      <c r="Z25" s="26">
        <f>IF(Y25="","",HYPERLINK(IF(LEFT(Y25,4)="http",Y25,set_QwilrBase&amp;Y25),"Open quote"))</f>
        <v/>
      </c>
      <c r="AA25" s="26">
        <f>IF(C25="","",C25)</f>
        <v/>
      </c>
      <c r="AB25" s="22" t="n"/>
      <c r="AC25" s="24" t="n"/>
      <c r="AD25" s="27">
        <f>IF(C25="","",L25+N(AC25))</f>
        <v/>
      </c>
      <c r="AE25" s="29">
        <f>IFERROR(AC25/AD25,"")</f>
        <v/>
      </c>
      <c r="AF25" s="24" t="n"/>
      <c r="AG25" s="24" t="n"/>
      <c r="AH25" s="24" t="n"/>
      <c r="AI25" s="24" t="n"/>
      <c r="AJ25" s="27">
        <f>IF(C25="","",SUMIFS(tbl_Finance[Ex GST],tbl_Finance[Job Number],C25&amp;"",tbl_Finance[Cost Centre],"VIDEO"))</f>
        <v/>
      </c>
      <c r="AK25" s="29">
        <f>IFERROR(AJ25/L25,"")</f>
        <v/>
      </c>
      <c r="AL25" s="27">
        <f>IF(C25="","",N(AF25)+N(AG25)+N(AH25)+N(AI25))</f>
        <v/>
      </c>
      <c r="AM25" s="27" t="n"/>
      <c r="AN25" s="29" t="n"/>
      <c r="AO25" s="71" t="n"/>
      <c r="AP25" s="71" t="n"/>
      <c r="AQ25" s="71" t="n"/>
      <c r="AR25" s="71" t="n"/>
      <c r="AS25" s="71" t="n"/>
      <c r="AT25" s="22" t="n"/>
    </row>
    <row r="26" ht="15" customHeight="1">
      <c r="A26" s="70">
        <f>IF(C26="","",IFERROR(IF(SUMPRODUCT(MAX((tbl_Finance[Job Number]&amp;""=C26&amp;"")*(tbl_Finance[Xero Invoice No]&lt;&gt;"")*tbl_Finance[Date]))=0,"",SUMPRODUCT(MAX((tbl_Finance[Job Number]&amp;""=C26&amp;"")*(tbl_Finance[Xero Invoice No]&lt;&gt;"")*tbl_Finance[Date]))),""))</f>
        <v/>
      </c>
      <c r="B26" s="26">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2" t="n"/>
      <c r="D26" s="26">
        <f>IF(C26="","",IF(COUNTIF(lst_Jobs,C26&amp;"")&gt;0,"OK","CHECK"))</f>
        <v/>
      </c>
      <c r="E26" s="26">
        <f>IF(C26="","",IFERROR(INDEX(lst_JobName,MATCH(C26&amp;"",lst_Jobs,0)),""))</f>
        <v/>
      </c>
      <c r="F26" s="22" t="n"/>
      <c r="G26" s="22" t="n"/>
      <c r="H26" s="22" t="n"/>
      <c r="I26" s="22" t="n"/>
      <c r="J26" s="22" t="n"/>
      <c r="K26" s="28">
        <f>IF(C26="","",COUNTIFS(tbl_Finance[Job Number],C26&amp;"",tbl_Finance[Ex GST],"&lt;&gt;"))</f>
        <v/>
      </c>
      <c r="L26" s="27">
        <f>IF(C26="","",SUMIFS(tbl_Finance[Ex GST],tbl_Finance[Job Number],C26&amp;""))</f>
        <v/>
      </c>
      <c r="M26" s="27">
        <f>IF(C26="","",SUMIFS(tbl_Finance[Ex GST],tbl_Finance[Job Number],C26&amp;"",tbl_Finance[Xero Invoice No],"&lt;&gt;"))</f>
        <v/>
      </c>
      <c r="N26" s="27">
        <f>IF(C26="","",L26-M26)</f>
        <v/>
      </c>
      <c r="O26" s="24" t="n"/>
      <c r="P26" s="27">
        <f>IF(C26="","",IF(O26="",0,MAX(0,O26-L26)))</f>
        <v/>
      </c>
      <c r="Q26" s="26">
        <f>IF(C26="","",IF(K26=0,"not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R26" s="27">
        <f>IF(C26="","",SUMIFS(tbl_Finance[Inc GST],tbl_Finance[Job Number],C26&amp;""))</f>
        <v/>
      </c>
      <c r="S26" s="22" t="n"/>
      <c r="T26" s="22" t="n"/>
      <c r="U26" s="22" t="n"/>
      <c r="V26" s="23" t="n"/>
      <c r="W26" s="22" t="n"/>
      <c r="X26" s="26">
        <f>IF(W26="","",IF(AND(LEFT(W26,4)&lt;&gt;"http",set_RMSBase=""),"",HYPERLINK(IF(LEFT(W26,4)="http",W26,set_RMSBase&amp;W26),"Open opportunity")))</f>
        <v/>
      </c>
      <c r="Y26" s="22" t="n"/>
      <c r="Z26" s="26">
        <f>IF(Y26="","",HYPERLINK(IF(LEFT(Y26,4)="http",Y26,set_QwilrBase&amp;Y26),"Open quote"))</f>
        <v/>
      </c>
      <c r="AA26" s="26">
        <f>IF(C26="","",C26)</f>
        <v/>
      </c>
      <c r="AB26" s="22" t="n"/>
      <c r="AC26" s="24" t="n"/>
      <c r="AD26" s="27">
        <f>IF(C26="","",L26+N(AC26))</f>
        <v/>
      </c>
      <c r="AE26" s="29">
        <f>IFERROR(AC26/AD26,"")</f>
        <v/>
      </c>
      <c r="AF26" s="24" t="n"/>
      <c r="AG26" s="24" t="n"/>
      <c r="AH26" s="24" t="n"/>
      <c r="AI26" s="24" t="n"/>
      <c r="AJ26" s="27">
        <f>IF(C26="","",SUMIFS(tbl_Finance[Ex GST],tbl_Finance[Job Number],C26&amp;"",tbl_Finance[Cost Centre],"VIDEO"))</f>
        <v/>
      </c>
      <c r="AK26" s="29">
        <f>IFERROR(AJ26/L26,"")</f>
        <v/>
      </c>
      <c r="AL26" s="27">
        <f>IF(C26="","",N(AF26)+N(AG26)+N(AH26)+N(AI26))</f>
        <v/>
      </c>
      <c r="AM26" s="27" t="n"/>
      <c r="AN26" s="29" t="n"/>
      <c r="AO26" s="71" t="n"/>
      <c r="AP26" s="71" t="n"/>
      <c r="AQ26" s="71" t="n"/>
      <c r="AR26" s="71" t="n"/>
      <c r="AS26" s="71" t="n"/>
      <c r="AT26" s="22" t="n"/>
    </row>
    <row r="27" ht="15" customHeight="1">
      <c r="A27" s="70">
        <f>IF(C27="","",IFERROR(IF(SUMPRODUCT(MAX((tbl_Finance[Job Number]&amp;""=C27&amp;"")*(tbl_Finance[Xero Invoice No]&lt;&gt;"")*tbl_Finance[Date]))=0,"",SUMPRODUCT(MAX((tbl_Finance[Job Number]&amp;""=C27&amp;"")*(tbl_Finance[Xero Invoice No]&lt;&gt;"")*tbl_Finance[Date]))),""))</f>
        <v/>
      </c>
      <c r="B27" s="26">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2" t="n"/>
      <c r="D27" s="26">
        <f>IF(C27="","",IF(COUNTIF(lst_Jobs,C27&amp;"")&gt;0,"OK","CHECK"))</f>
        <v/>
      </c>
      <c r="E27" s="26">
        <f>IF(C27="","",IFERROR(INDEX(lst_JobName,MATCH(C27&amp;"",lst_Jobs,0)),""))</f>
        <v/>
      </c>
      <c r="F27" s="22" t="n"/>
      <c r="G27" s="22" t="n"/>
      <c r="H27" s="22" t="n"/>
      <c r="I27" s="22" t="n"/>
      <c r="J27" s="22" t="n"/>
      <c r="K27" s="28">
        <f>IF(C27="","",COUNTIFS(tbl_Finance[Job Number],C27&amp;"",tbl_Finance[Ex GST],"&lt;&gt;"))</f>
        <v/>
      </c>
      <c r="L27" s="27">
        <f>IF(C27="","",SUMIFS(tbl_Finance[Ex GST],tbl_Finance[Job Number],C27&amp;""))</f>
        <v/>
      </c>
      <c r="M27" s="27">
        <f>IF(C27="","",SUMIFS(tbl_Finance[Ex GST],tbl_Finance[Job Number],C27&amp;"",tbl_Finance[Xero Invoice No],"&lt;&gt;"))</f>
        <v/>
      </c>
      <c r="N27" s="27">
        <f>IF(C27="","",L27-M27)</f>
        <v/>
      </c>
      <c r="O27" s="24" t="n"/>
      <c r="P27" s="27">
        <f>IF(C27="","",IF(O27="",0,MAX(0,O27-L27)))</f>
        <v/>
      </c>
      <c r="Q27" s="26">
        <f>IF(C27="","",IF(K27=0,"not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R27" s="27">
        <f>IF(C27="","",SUMIFS(tbl_Finance[Inc GST],tbl_Finance[Job Number],C27&amp;""))</f>
        <v/>
      </c>
      <c r="S27" s="22" t="n"/>
      <c r="T27" s="22" t="n"/>
      <c r="U27" s="22" t="n"/>
      <c r="V27" s="23" t="n"/>
      <c r="W27" s="22" t="n"/>
      <c r="X27" s="26">
        <f>IF(W27="","",IF(AND(LEFT(W27,4)&lt;&gt;"http",set_RMSBase=""),"",HYPERLINK(IF(LEFT(W27,4)="http",W27,set_RMSBase&amp;W27),"Open opportunity")))</f>
        <v/>
      </c>
      <c r="Y27" s="22" t="n"/>
      <c r="Z27" s="26">
        <f>IF(Y27="","",HYPERLINK(IF(LEFT(Y27,4)="http",Y27,set_QwilrBase&amp;Y27),"Open quote"))</f>
        <v/>
      </c>
      <c r="AA27" s="26">
        <f>IF(C27="","",C27)</f>
        <v/>
      </c>
      <c r="AB27" s="22" t="n"/>
      <c r="AC27" s="24" t="n"/>
      <c r="AD27" s="27">
        <f>IF(C27="","",L27+N(AC27))</f>
        <v/>
      </c>
      <c r="AE27" s="29">
        <f>IFERROR(AC27/AD27,"")</f>
        <v/>
      </c>
      <c r="AF27" s="24" t="n"/>
      <c r="AG27" s="24" t="n"/>
      <c r="AH27" s="24" t="n"/>
      <c r="AI27" s="24" t="n"/>
      <c r="AJ27" s="27">
        <f>IF(C27="","",SUMIFS(tbl_Finance[Ex GST],tbl_Finance[Job Number],C27&amp;"",tbl_Finance[Cost Centre],"VIDEO"))</f>
        <v/>
      </c>
      <c r="AK27" s="29">
        <f>IFERROR(AJ27/L27,"")</f>
        <v/>
      </c>
      <c r="AL27" s="27">
        <f>IF(C27="","",N(AF27)+N(AG27)+N(AH27)+N(AI27))</f>
        <v/>
      </c>
      <c r="AM27" s="27" t="n"/>
      <c r="AN27" s="29" t="n"/>
      <c r="AO27" s="71" t="n"/>
      <c r="AP27" s="71" t="n"/>
      <c r="AQ27" s="71" t="n"/>
      <c r="AR27" s="71" t="n"/>
      <c r="AS27" s="71" t="n"/>
      <c r="AT27" s="22" t="n"/>
    </row>
    <row r="28" ht="15" customHeight="1">
      <c r="A28" s="70">
        <f>IF(C28="","",IFERROR(IF(SUMPRODUCT(MAX((tbl_Finance[Job Number]&amp;""=C28&amp;"")*(tbl_Finance[Xero Invoice No]&lt;&gt;"")*tbl_Finance[Date]))=0,"",SUMPRODUCT(MAX((tbl_Finance[Job Number]&amp;""=C28&amp;"")*(tbl_Finance[Xero Invoice No]&lt;&gt;"")*tbl_Finance[Date]))),""))</f>
        <v/>
      </c>
      <c r="B28" s="26">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2" t="n"/>
      <c r="D28" s="26">
        <f>IF(C28="","",IF(COUNTIF(lst_Jobs,C28&amp;"")&gt;0,"OK","CHECK"))</f>
        <v/>
      </c>
      <c r="E28" s="26">
        <f>IF(C28="","",IFERROR(INDEX(lst_JobName,MATCH(C28&amp;"",lst_Jobs,0)),""))</f>
        <v/>
      </c>
      <c r="F28" s="22" t="n"/>
      <c r="G28" s="22" t="n"/>
      <c r="H28" s="22" t="n"/>
      <c r="I28" s="22" t="n"/>
      <c r="J28" s="22" t="n"/>
      <c r="K28" s="28">
        <f>IF(C28="","",COUNTIFS(tbl_Finance[Job Number],C28&amp;"",tbl_Finance[Ex GST],"&lt;&gt;"))</f>
        <v/>
      </c>
      <c r="L28" s="27">
        <f>IF(C28="","",SUMIFS(tbl_Finance[Ex GST],tbl_Finance[Job Number],C28&amp;""))</f>
        <v/>
      </c>
      <c r="M28" s="27">
        <f>IF(C28="","",SUMIFS(tbl_Finance[Ex GST],tbl_Finance[Job Number],C28&amp;"",tbl_Finance[Xero Invoice No],"&lt;&gt;"))</f>
        <v/>
      </c>
      <c r="N28" s="27">
        <f>IF(C28="","",L28-M28)</f>
        <v/>
      </c>
      <c r="O28" s="24" t="n"/>
      <c r="P28" s="27">
        <f>IF(C28="","",IF(O28="",0,MAX(0,O28-L28)))</f>
        <v/>
      </c>
      <c r="Q28" s="26">
        <f>IF(C28="","",IF(K28=0,"not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R28" s="27">
        <f>IF(C28="","",SUMIFS(tbl_Finance[Inc GST],tbl_Finance[Job Number],C28&amp;""))</f>
        <v/>
      </c>
      <c r="S28" s="22" t="n"/>
      <c r="T28" s="22" t="n"/>
      <c r="U28" s="22" t="n"/>
      <c r="V28" s="23" t="n"/>
      <c r="W28" s="22" t="n"/>
      <c r="X28" s="26">
        <f>IF(W28="","",IF(AND(LEFT(W28,4)&lt;&gt;"http",set_RMSBase=""),"",HYPERLINK(IF(LEFT(W28,4)="http",W28,set_RMSBase&amp;W28),"Open opportunity")))</f>
        <v/>
      </c>
      <c r="Y28" s="22" t="n"/>
      <c r="Z28" s="26">
        <f>IF(Y28="","",HYPERLINK(IF(LEFT(Y28,4)="http",Y28,set_QwilrBase&amp;Y28),"Open quote"))</f>
        <v/>
      </c>
      <c r="AA28" s="26">
        <f>IF(C28="","",C28)</f>
        <v/>
      </c>
      <c r="AB28" s="22" t="n"/>
      <c r="AC28" s="24" t="n"/>
      <c r="AD28" s="27">
        <f>IF(C28="","",L28+N(AC28))</f>
        <v/>
      </c>
      <c r="AE28" s="29">
        <f>IFERROR(AC28/AD28,"")</f>
        <v/>
      </c>
      <c r="AF28" s="24" t="n"/>
      <c r="AG28" s="24" t="n"/>
      <c r="AH28" s="24" t="n"/>
      <c r="AI28" s="24" t="n"/>
      <c r="AJ28" s="27">
        <f>IF(C28="","",SUMIFS(tbl_Finance[Ex GST],tbl_Finance[Job Number],C28&amp;"",tbl_Finance[Cost Centre],"VIDEO"))</f>
        <v/>
      </c>
      <c r="AK28" s="29">
        <f>IFERROR(AJ28/L28,"")</f>
        <v/>
      </c>
      <c r="AL28" s="27">
        <f>IF(C28="","",N(AF28)+N(AG28)+N(AH28)+N(AI28))</f>
        <v/>
      </c>
      <c r="AM28" s="27" t="n"/>
      <c r="AN28" s="29" t="n"/>
      <c r="AO28" s="71" t="n"/>
      <c r="AP28" s="71" t="n"/>
      <c r="AQ28" s="71" t="n"/>
      <c r="AR28" s="71" t="n"/>
      <c r="AS28" s="71" t="n"/>
      <c r="AT28" s="22" t="n"/>
    </row>
    <row r="29" ht="15" customHeight="1">
      <c r="A29" s="70">
        <f>IF(C29="","",IFERROR(IF(SUMPRODUCT(MAX((tbl_Finance[Job Number]&amp;""=C29&amp;"")*(tbl_Finance[Xero Invoice No]&lt;&gt;"")*tbl_Finance[Date]))=0,"",SUMPRODUCT(MAX((tbl_Finance[Job Number]&amp;""=C29&amp;"")*(tbl_Finance[Xero Invoice No]&lt;&gt;"")*tbl_Finance[Date]))),""))</f>
        <v/>
      </c>
      <c r="B29" s="26">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2" t="n"/>
      <c r="D29" s="26">
        <f>IF(C29="","",IF(COUNTIF(lst_Jobs,C29&amp;"")&gt;0,"OK","CHECK"))</f>
        <v/>
      </c>
      <c r="E29" s="26">
        <f>IF(C29="","",IFERROR(INDEX(lst_JobName,MATCH(C29&amp;"",lst_Jobs,0)),""))</f>
        <v/>
      </c>
      <c r="F29" s="22" t="n"/>
      <c r="G29" s="22" t="n"/>
      <c r="H29" s="22" t="n"/>
      <c r="I29" s="22" t="n"/>
      <c r="J29" s="22" t="n"/>
      <c r="K29" s="28">
        <f>IF(C29="","",COUNTIFS(tbl_Finance[Job Number],C29&amp;"",tbl_Finance[Ex GST],"&lt;&gt;"))</f>
        <v/>
      </c>
      <c r="L29" s="27">
        <f>IF(C29="","",SUMIFS(tbl_Finance[Ex GST],tbl_Finance[Job Number],C29&amp;""))</f>
        <v/>
      </c>
      <c r="M29" s="27">
        <f>IF(C29="","",SUMIFS(tbl_Finance[Ex GST],tbl_Finance[Job Number],C29&amp;"",tbl_Finance[Xero Invoice No],"&lt;&gt;"))</f>
        <v/>
      </c>
      <c r="N29" s="27">
        <f>IF(C29="","",L29-M29)</f>
        <v/>
      </c>
      <c r="O29" s="24" t="n"/>
      <c r="P29" s="27">
        <f>IF(C29="","",IF(O29="",0,MAX(0,O29-L29)))</f>
        <v/>
      </c>
      <c r="Q29" s="26">
        <f>IF(C29="","",IF(K29=0,"not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R29" s="27">
        <f>IF(C29="","",SUMIFS(tbl_Finance[Inc GST],tbl_Finance[Job Number],C29&amp;""))</f>
        <v/>
      </c>
      <c r="S29" s="22" t="n"/>
      <c r="T29" s="22" t="n"/>
      <c r="U29" s="22" t="n"/>
      <c r="V29" s="23" t="n"/>
      <c r="W29" s="22" t="n"/>
      <c r="X29" s="26">
        <f>IF(W29="","",IF(AND(LEFT(W29,4)&lt;&gt;"http",set_RMSBase=""),"",HYPERLINK(IF(LEFT(W29,4)="http",W29,set_RMSBase&amp;W29),"Open opportunity")))</f>
        <v/>
      </c>
      <c r="Y29" s="22" t="n"/>
      <c r="Z29" s="26">
        <f>IF(Y29="","",HYPERLINK(IF(LEFT(Y29,4)="http",Y29,set_QwilrBase&amp;Y29),"Open quote"))</f>
        <v/>
      </c>
      <c r="AA29" s="26">
        <f>IF(C29="","",C29)</f>
        <v/>
      </c>
      <c r="AB29" s="22" t="n"/>
      <c r="AC29" s="24" t="n"/>
      <c r="AD29" s="27">
        <f>IF(C29="","",L29+N(AC29))</f>
        <v/>
      </c>
      <c r="AE29" s="29">
        <f>IFERROR(AC29/AD29,"")</f>
        <v/>
      </c>
      <c r="AF29" s="24" t="n"/>
      <c r="AG29" s="24" t="n"/>
      <c r="AH29" s="24" t="n"/>
      <c r="AI29" s="24" t="n"/>
      <c r="AJ29" s="27">
        <f>IF(C29="","",SUMIFS(tbl_Finance[Ex GST],tbl_Finance[Job Number],C29&amp;"",tbl_Finance[Cost Centre],"VIDEO"))</f>
        <v/>
      </c>
      <c r="AK29" s="29">
        <f>IFERROR(AJ29/L29,"")</f>
        <v/>
      </c>
      <c r="AL29" s="27">
        <f>IF(C29="","",N(AF29)+N(AG29)+N(AH29)+N(AI29))</f>
        <v/>
      </c>
      <c r="AM29" s="27" t="n"/>
      <c r="AN29" s="29" t="n"/>
      <c r="AO29" s="71" t="n"/>
      <c r="AP29" s="71" t="n"/>
      <c r="AQ29" s="71" t="n"/>
      <c r="AR29" s="71" t="n"/>
      <c r="AS29" s="71" t="n"/>
      <c r="AT29" s="22" t="n"/>
    </row>
    <row r="30" ht="15" customHeight="1">
      <c r="A30" s="70">
        <f>IF(C30="","",IFERROR(IF(SUMPRODUCT(MAX((tbl_Finance[Job Number]&amp;""=C30&amp;"")*(tbl_Finance[Xero Invoice No]&lt;&gt;"")*tbl_Finance[Date]))=0,"",SUMPRODUCT(MAX((tbl_Finance[Job Number]&amp;""=C30&amp;"")*(tbl_Finance[Xero Invoice No]&lt;&gt;"")*tbl_Finance[Date]))),""))</f>
        <v/>
      </c>
      <c r="B30" s="26">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2" t="n"/>
      <c r="D30" s="26">
        <f>IF(C30="","",IF(COUNTIF(lst_Jobs,C30&amp;"")&gt;0,"OK","CHECK"))</f>
        <v/>
      </c>
      <c r="E30" s="26">
        <f>IF(C30="","",IFERROR(INDEX(lst_JobName,MATCH(C30&amp;"",lst_Jobs,0)),""))</f>
        <v/>
      </c>
      <c r="F30" s="22" t="n"/>
      <c r="G30" s="22" t="n"/>
      <c r="H30" s="22" t="n"/>
      <c r="I30" s="22" t="n"/>
      <c r="J30" s="22" t="n"/>
      <c r="K30" s="28">
        <f>IF(C30="","",COUNTIFS(tbl_Finance[Job Number],C30&amp;"",tbl_Finance[Ex GST],"&lt;&gt;"))</f>
        <v/>
      </c>
      <c r="L30" s="27">
        <f>IF(C30="","",SUMIFS(tbl_Finance[Ex GST],tbl_Finance[Job Number],C30&amp;""))</f>
        <v/>
      </c>
      <c r="M30" s="27">
        <f>IF(C30="","",SUMIFS(tbl_Finance[Ex GST],tbl_Finance[Job Number],C30&amp;"",tbl_Finance[Xero Invoice No],"&lt;&gt;"))</f>
        <v/>
      </c>
      <c r="N30" s="27">
        <f>IF(C30="","",L30-M30)</f>
        <v/>
      </c>
      <c r="O30" s="24" t="n"/>
      <c r="P30" s="27">
        <f>IF(C30="","",IF(O30="",0,MAX(0,O30-L30)))</f>
        <v/>
      </c>
      <c r="Q30" s="26">
        <f>IF(C30="","",IF(K30=0,"not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R30" s="27">
        <f>IF(C30="","",SUMIFS(tbl_Finance[Inc GST],tbl_Finance[Job Number],C30&amp;""))</f>
        <v/>
      </c>
      <c r="S30" s="22" t="n"/>
      <c r="T30" s="22" t="n"/>
      <c r="U30" s="22" t="n"/>
      <c r="V30" s="23" t="n"/>
      <c r="W30" s="22" t="n"/>
      <c r="X30" s="26">
        <f>IF(W30="","",IF(AND(LEFT(W30,4)&lt;&gt;"http",set_RMSBase=""),"",HYPERLINK(IF(LEFT(W30,4)="http",W30,set_RMSBase&amp;W30),"Open opportunity")))</f>
        <v/>
      </c>
      <c r="Y30" s="22" t="n"/>
      <c r="Z30" s="26">
        <f>IF(Y30="","",HYPERLINK(IF(LEFT(Y30,4)="http",Y30,set_QwilrBase&amp;Y30),"Open quote"))</f>
        <v/>
      </c>
      <c r="AA30" s="26">
        <f>IF(C30="","",C30)</f>
        <v/>
      </c>
      <c r="AB30" s="22" t="n"/>
      <c r="AC30" s="24" t="n"/>
      <c r="AD30" s="27">
        <f>IF(C30="","",L30+N(AC30))</f>
        <v/>
      </c>
      <c r="AE30" s="29">
        <f>IFERROR(AC30/AD30,"")</f>
        <v/>
      </c>
      <c r="AF30" s="24" t="n"/>
      <c r="AG30" s="24" t="n"/>
      <c r="AH30" s="24" t="n"/>
      <c r="AI30" s="24" t="n"/>
      <c r="AJ30" s="27">
        <f>IF(C30="","",SUMIFS(tbl_Finance[Ex GST],tbl_Finance[Job Number],C30&amp;"",tbl_Finance[Cost Centre],"VIDEO"))</f>
        <v/>
      </c>
      <c r="AK30" s="29">
        <f>IFERROR(AJ30/L30,"")</f>
        <v/>
      </c>
      <c r="AL30" s="27">
        <f>IF(C30="","",N(AF30)+N(AG30)+N(AH30)+N(AI30))</f>
        <v/>
      </c>
      <c r="AM30" s="27" t="n"/>
      <c r="AN30" s="29" t="n"/>
      <c r="AO30" s="71" t="n"/>
      <c r="AP30" s="71" t="n"/>
      <c r="AQ30" s="71" t="n"/>
      <c r="AR30" s="71" t="n"/>
      <c r="AS30" s="71" t="n"/>
      <c r="AT30" s="22" t="n"/>
    </row>
    <row r="31" ht="15" customHeight="1">
      <c r="A31" s="70">
        <f>IF(C31="","",IFERROR(IF(SUMPRODUCT(MAX((tbl_Finance[Job Number]&amp;""=C31&amp;"")*(tbl_Finance[Xero Invoice No]&lt;&gt;"")*tbl_Finance[Date]))=0,"",SUMPRODUCT(MAX((tbl_Finance[Job Number]&amp;""=C31&amp;"")*(tbl_Finance[Xero Invoice No]&lt;&gt;"")*tbl_Finance[Date]))),""))</f>
        <v/>
      </c>
      <c r="B31" s="26">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2" t="n"/>
      <c r="D31" s="26">
        <f>IF(C31="","",IF(COUNTIF(lst_Jobs,C31&amp;"")&gt;0,"OK","CHECK"))</f>
        <v/>
      </c>
      <c r="E31" s="26">
        <f>IF(C31="","",IFERROR(INDEX(lst_JobName,MATCH(C31&amp;"",lst_Jobs,0)),""))</f>
        <v/>
      </c>
      <c r="F31" s="22" t="n"/>
      <c r="G31" s="22" t="n"/>
      <c r="H31" s="22" t="n"/>
      <c r="I31" s="22" t="n"/>
      <c r="J31" s="22" t="n"/>
      <c r="K31" s="28">
        <f>IF(C31="","",COUNTIFS(tbl_Finance[Job Number],C31&amp;"",tbl_Finance[Ex GST],"&lt;&gt;"))</f>
        <v/>
      </c>
      <c r="L31" s="27">
        <f>IF(C31="","",SUMIFS(tbl_Finance[Ex GST],tbl_Finance[Job Number],C31&amp;""))</f>
        <v/>
      </c>
      <c r="M31" s="27">
        <f>IF(C31="","",SUMIFS(tbl_Finance[Ex GST],tbl_Finance[Job Number],C31&amp;"",tbl_Finance[Xero Invoice No],"&lt;&gt;"))</f>
        <v/>
      </c>
      <c r="N31" s="27">
        <f>IF(C31="","",L31-M31)</f>
        <v/>
      </c>
      <c r="O31" s="24" t="n"/>
      <c r="P31" s="27">
        <f>IF(C31="","",IF(O31="",0,MAX(0,O31-L31)))</f>
        <v/>
      </c>
      <c r="Q31" s="26">
        <f>IF(C31="","",IF(K31=0,"not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R31" s="27">
        <f>IF(C31="","",SUMIFS(tbl_Finance[Inc GST],tbl_Finance[Job Number],C31&amp;""))</f>
        <v/>
      </c>
      <c r="S31" s="22" t="n"/>
      <c r="T31" s="22" t="n"/>
      <c r="U31" s="22" t="n"/>
      <c r="V31" s="23" t="n"/>
      <c r="W31" s="22" t="n"/>
      <c r="X31" s="26">
        <f>IF(W31="","",IF(AND(LEFT(W31,4)&lt;&gt;"http",set_RMSBase=""),"",HYPERLINK(IF(LEFT(W31,4)="http",W31,set_RMSBase&amp;W31),"Open opportunity")))</f>
        <v/>
      </c>
      <c r="Y31" s="22" t="n"/>
      <c r="Z31" s="26">
        <f>IF(Y31="","",HYPERLINK(IF(LEFT(Y31,4)="http",Y31,set_QwilrBase&amp;Y31),"Open quote"))</f>
        <v/>
      </c>
      <c r="AA31" s="26">
        <f>IF(C31="","",C31)</f>
        <v/>
      </c>
      <c r="AB31" s="22" t="n"/>
      <c r="AC31" s="24" t="n"/>
      <c r="AD31" s="27">
        <f>IF(C31="","",L31+N(AC31))</f>
        <v/>
      </c>
      <c r="AE31" s="29">
        <f>IFERROR(AC31/AD31,"")</f>
        <v/>
      </c>
      <c r="AF31" s="24" t="n"/>
      <c r="AG31" s="24" t="n"/>
      <c r="AH31" s="24" t="n"/>
      <c r="AI31" s="24" t="n"/>
      <c r="AJ31" s="27">
        <f>IF(C31="","",SUMIFS(tbl_Finance[Ex GST],tbl_Finance[Job Number],C31&amp;"",tbl_Finance[Cost Centre],"VIDEO"))</f>
        <v/>
      </c>
      <c r="AK31" s="29">
        <f>IFERROR(AJ31/L31,"")</f>
        <v/>
      </c>
      <c r="AL31" s="27">
        <f>IF(C31="","",N(AF31)+N(AG31)+N(AH31)+N(AI31))</f>
        <v/>
      </c>
      <c r="AM31" s="27" t="n"/>
      <c r="AN31" s="29" t="n"/>
      <c r="AO31" s="71" t="n"/>
      <c r="AP31" s="71" t="n"/>
      <c r="AQ31" s="71" t="n"/>
      <c r="AR31" s="71" t="n"/>
      <c r="AS31" s="71" t="n"/>
      <c r="AT31" s="22" t="n"/>
    </row>
    <row r="32" ht="15" customHeight="1">
      <c r="A32" s="70">
        <f>IF(C32="","",IFERROR(IF(SUMPRODUCT(MAX((tbl_Finance[Job Number]&amp;""=C32&amp;"")*(tbl_Finance[Xero Invoice No]&lt;&gt;"")*tbl_Finance[Date]))=0,"",SUMPRODUCT(MAX((tbl_Finance[Job Number]&amp;""=C32&amp;"")*(tbl_Finance[Xero Invoice No]&lt;&gt;"")*tbl_Finance[Date]))),""))</f>
        <v/>
      </c>
      <c r="B32" s="26">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2" t="n"/>
      <c r="D32" s="26">
        <f>IF(C32="","",IF(COUNTIF(lst_Jobs,C32&amp;"")&gt;0,"OK","CHECK"))</f>
        <v/>
      </c>
      <c r="E32" s="26">
        <f>IF(C32="","",IFERROR(INDEX(lst_JobName,MATCH(C32&amp;"",lst_Jobs,0)),""))</f>
        <v/>
      </c>
      <c r="F32" s="22" t="n"/>
      <c r="G32" s="22" t="n"/>
      <c r="H32" s="22" t="n"/>
      <c r="I32" s="22" t="n"/>
      <c r="J32" s="22" t="n"/>
      <c r="K32" s="28">
        <f>IF(C32="","",COUNTIFS(tbl_Finance[Job Number],C32&amp;"",tbl_Finance[Ex GST],"&lt;&gt;"))</f>
        <v/>
      </c>
      <c r="L32" s="27">
        <f>IF(C32="","",SUMIFS(tbl_Finance[Ex GST],tbl_Finance[Job Number],C32&amp;""))</f>
        <v/>
      </c>
      <c r="M32" s="27">
        <f>IF(C32="","",SUMIFS(tbl_Finance[Ex GST],tbl_Finance[Job Number],C32&amp;"",tbl_Finance[Xero Invoice No],"&lt;&gt;"))</f>
        <v/>
      </c>
      <c r="N32" s="27">
        <f>IF(C32="","",L32-M32)</f>
        <v/>
      </c>
      <c r="O32" s="24" t="n"/>
      <c r="P32" s="27">
        <f>IF(C32="","",IF(O32="",0,MAX(0,O32-L32)))</f>
        <v/>
      </c>
      <c r="Q32" s="26">
        <f>IF(C32="","",IF(K32=0,"not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R32" s="27">
        <f>IF(C32="","",SUMIFS(tbl_Finance[Inc GST],tbl_Finance[Job Number],C32&amp;""))</f>
        <v/>
      </c>
      <c r="S32" s="22" t="n"/>
      <c r="T32" s="22" t="n"/>
      <c r="U32" s="22" t="n"/>
      <c r="V32" s="23" t="n"/>
      <c r="W32" s="22" t="n"/>
      <c r="X32" s="26">
        <f>IF(W32="","",IF(AND(LEFT(W32,4)&lt;&gt;"http",set_RMSBase=""),"",HYPERLINK(IF(LEFT(W32,4)="http",W32,set_RMSBase&amp;W32),"Open opportunity")))</f>
        <v/>
      </c>
      <c r="Y32" s="22" t="n"/>
      <c r="Z32" s="26">
        <f>IF(Y32="","",HYPERLINK(IF(LEFT(Y32,4)="http",Y32,set_QwilrBase&amp;Y32),"Open quote"))</f>
        <v/>
      </c>
      <c r="AA32" s="26">
        <f>IF(C32="","",C32)</f>
        <v/>
      </c>
      <c r="AB32" s="22" t="n"/>
      <c r="AC32" s="24" t="n"/>
      <c r="AD32" s="27">
        <f>IF(C32="","",L32+N(AC32))</f>
        <v/>
      </c>
      <c r="AE32" s="29">
        <f>IFERROR(AC32/AD32,"")</f>
        <v/>
      </c>
      <c r="AF32" s="24" t="n"/>
      <c r="AG32" s="24" t="n"/>
      <c r="AH32" s="24" t="n"/>
      <c r="AI32" s="24" t="n"/>
      <c r="AJ32" s="27">
        <f>IF(C32="","",SUMIFS(tbl_Finance[Ex GST],tbl_Finance[Job Number],C32&amp;"",tbl_Finance[Cost Centre],"VIDEO"))</f>
        <v/>
      </c>
      <c r="AK32" s="29">
        <f>IFERROR(AJ32/L32,"")</f>
        <v/>
      </c>
      <c r="AL32" s="27">
        <f>IF(C32="","",N(AF32)+N(AG32)+N(AH32)+N(AI32))</f>
        <v/>
      </c>
      <c r="AM32" s="27" t="n"/>
      <c r="AN32" s="29" t="n"/>
      <c r="AO32" s="71" t="n"/>
      <c r="AP32" s="71" t="n"/>
      <c r="AQ32" s="71" t="n"/>
      <c r="AR32" s="71" t="n"/>
      <c r="AS32" s="71" t="n"/>
      <c r="AT32" s="22" t="n"/>
    </row>
    <row r="33" ht="15" customHeight="1">
      <c r="A33" s="70">
        <f>IF(C33="","",IFERROR(IF(SUMPRODUCT(MAX((tbl_Finance[Job Number]&amp;""=C33&amp;"")*(tbl_Finance[Xero Invoice No]&lt;&gt;"")*tbl_Finance[Date]))=0,"",SUMPRODUCT(MAX((tbl_Finance[Job Number]&amp;""=C33&amp;"")*(tbl_Finance[Xero Invoice No]&lt;&gt;"")*tbl_Finance[Date]))),""))</f>
        <v/>
      </c>
      <c r="B33" s="26">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2" t="n"/>
      <c r="D33" s="26">
        <f>IF(C33="","",IF(COUNTIF(lst_Jobs,C33&amp;"")&gt;0,"OK","CHECK"))</f>
        <v/>
      </c>
      <c r="E33" s="26">
        <f>IF(C33="","",IFERROR(INDEX(lst_JobName,MATCH(C33&amp;"",lst_Jobs,0)),""))</f>
        <v/>
      </c>
      <c r="F33" s="22" t="n"/>
      <c r="G33" s="22" t="n"/>
      <c r="H33" s="22" t="n"/>
      <c r="I33" s="22" t="n"/>
      <c r="J33" s="22" t="n"/>
      <c r="K33" s="28">
        <f>IF(C33="","",COUNTIFS(tbl_Finance[Job Number],C33&amp;"",tbl_Finance[Ex GST],"&lt;&gt;"))</f>
        <v/>
      </c>
      <c r="L33" s="27">
        <f>IF(C33="","",SUMIFS(tbl_Finance[Ex GST],tbl_Finance[Job Number],C33&amp;""))</f>
        <v/>
      </c>
      <c r="M33" s="27">
        <f>IF(C33="","",SUMIFS(tbl_Finance[Ex GST],tbl_Finance[Job Number],C33&amp;"",tbl_Finance[Xero Invoice No],"&lt;&gt;"))</f>
        <v/>
      </c>
      <c r="N33" s="27">
        <f>IF(C33="","",L33-M33)</f>
        <v/>
      </c>
      <c r="O33" s="24" t="n"/>
      <c r="P33" s="27">
        <f>IF(C33="","",IF(O33="",0,MAX(0,O33-L33)))</f>
        <v/>
      </c>
      <c r="Q33" s="26">
        <f>IF(C33="","",IF(K33=0,"not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R33" s="27">
        <f>IF(C33="","",SUMIFS(tbl_Finance[Inc GST],tbl_Finance[Job Number],C33&amp;""))</f>
        <v/>
      </c>
      <c r="S33" s="22" t="n"/>
      <c r="T33" s="22" t="n"/>
      <c r="U33" s="22" t="n"/>
      <c r="V33" s="23" t="n"/>
      <c r="W33" s="22" t="n"/>
      <c r="X33" s="26">
        <f>IF(W33="","",IF(AND(LEFT(W33,4)&lt;&gt;"http",set_RMSBase=""),"",HYPERLINK(IF(LEFT(W33,4)="http",W33,set_RMSBase&amp;W33),"Open opportunity")))</f>
        <v/>
      </c>
      <c r="Y33" s="22" t="n"/>
      <c r="Z33" s="26">
        <f>IF(Y33="","",HYPERLINK(IF(LEFT(Y33,4)="http",Y33,set_QwilrBase&amp;Y33),"Open quote"))</f>
        <v/>
      </c>
      <c r="AA33" s="26">
        <f>IF(C33="","",C33)</f>
        <v/>
      </c>
      <c r="AB33" s="22" t="n"/>
      <c r="AC33" s="24" t="n"/>
      <c r="AD33" s="27">
        <f>IF(C33="","",L33+N(AC33))</f>
        <v/>
      </c>
      <c r="AE33" s="29">
        <f>IFERROR(AC33/AD33,"")</f>
        <v/>
      </c>
      <c r="AF33" s="24" t="n"/>
      <c r="AG33" s="24" t="n"/>
      <c r="AH33" s="24" t="n"/>
      <c r="AI33" s="24" t="n"/>
      <c r="AJ33" s="27">
        <f>IF(C33="","",SUMIFS(tbl_Finance[Ex GST],tbl_Finance[Job Number],C33&amp;"",tbl_Finance[Cost Centre],"VIDEO"))</f>
        <v/>
      </c>
      <c r="AK33" s="29">
        <f>IFERROR(AJ33/L33,"")</f>
        <v/>
      </c>
      <c r="AL33" s="27">
        <f>IF(C33="","",N(AF33)+N(AG33)+N(AH33)+N(AI33))</f>
        <v/>
      </c>
      <c r="AM33" s="27" t="n"/>
      <c r="AN33" s="29" t="n"/>
      <c r="AO33" s="71" t="n"/>
      <c r="AP33" s="71" t="n"/>
      <c r="AQ33" s="71" t="n"/>
      <c r="AR33" s="71" t="n"/>
      <c r="AS33" s="71" t="n"/>
      <c r="AT33" s="22" t="n"/>
    </row>
    <row r="34" ht="15" customHeight="1">
      <c r="A34" s="70">
        <f>IF(C34="","",IFERROR(IF(SUMPRODUCT(MAX((tbl_Finance[Job Number]&amp;""=C34&amp;"")*(tbl_Finance[Xero Invoice No]&lt;&gt;"")*tbl_Finance[Date]))=0,"",SUMPRODUCT(MAX((tbl_Finance[Job Number]&amp;""=C34&amp;"")*(tbl_Finance[Xero Invoice No]&lt;&gt;"")*tbl_Finance[Date]))),""))</f>
        <v/>
      </c>
      <c r="B34" s="26">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2" t="n"/>
      <c r="D34" s="26">
        <f>IF(C34="","",IF(COUNTIF(lst_Jobs,C34&amp;"")&gt;0,"OK","CHECK"))</f>
        <v/>
      </c>
      <c r="E34" s="26">
        <f>IF(C34="","",IFERROR(INDEX(lst_JobName,MATCH(C34&amp;"",lst_Jobs,0)),""))</f>
        <v/>
      </c>
      <c r="F34" s="22" t="n"/>
      <c r="G34" s="22" t="n"/>
      <c r="H34" s="22" t="n"/>
      <c r="I34" s="22" t="n"/>
      <c r="J34" s="22" t="n"/>
      <c r="K34" s="28">
        <f>IF(C34="","",COUNTIFS(tbl_Finance[Job Number],C34&amp;"",tbl_Finance[Ex GST],"&lt;&gt;"))</f>
        <v/>
      </c>
      <c r="L34" s="27">
        <f>IF(C34="","",SUMIFS(tbl_Finance[Ex GST],tbl_Finance[Job Number],C34&amp;""))</f>
        <v/>
      </c>
      <c r="M34" s="27">
        <f>IF(C34="","",SUMIFS(tbl_Finance[Ex GST],tbl_Finance[Job Number],C34&amp;"",tbl_Finance[Xero Invoice No],"&lt;&gt;"))</f>
        <v/>
      </c>
      <c r="N34" s="27">
        <f>IF(C34="","",L34-M34)</f>
        <v/>
      </c>
      <c r="O34" s="24" t="n"/>
      <c r="P34" s="27">
        <f>IF(C34="","",IF(O34="",0,MAX(0,O34-L34)))</f>
        <v/>
      </c>
      <c r="Q34" s="26">
        <f>IF(C34="","",IF(K34=0,"not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R34" s="27">
        <f>IF(C34="","",SUMIFS(tbl_Finance[Inc GST],tbl_Finance[Job Number],C34&amp;""))</f>
        <v/>
      </c>
      <c r="S34" s="22" t="n"/>
      <c r="T34" s="22" t="n"/>
      <c r="U34" s="22" t="n"/>
      <c r="V34" s="23" t="n"/>
      <c r="W34" s="22" t="n"/>
      <c r="X34" s="26">
        <f>IF(W34="","",IF(AND(LEFT(W34,4)&lt;&gt;"http",set_RMSBase=""),"",HYPERLINK(IF(LEFT(W34,4)="http",W34,set_RMSBase&amp;W34),"Open opportunity")))</f>
        <v/>
      </c>
      <c r="Y34" s="22" t="n"/>
      <c r="Z34" s="26">
        <f>IF(Y34="","",HYPERLINK(IF(LEFT(Y34,4)="http",Y34,set_QwilrBase&amp;Y34),"Open quote"))</f>
        <v/>
      </c>
      <c r="AA34" s="26">
        <f>IF(C34="","",C34)</f>
        <v/>
      </c>
      <c r="AB34" s="22" t="n"/>
      <c r="AC34" s="24" t="n"/>
      <c r="AD34" s="27">
        <f>IF(C34="","",L34+N(AC34))</f>
        <v/>
      </c>
      <c r="AE34" s="29">
        <f>IFERROR(AC34/AD34,"")</f>
        <v/>
      </c>
      <c r="AF34" s="24" t="n"/>
      <c r="AG34" s="24" t="n"/>
      <c r="AH34" s="24" t="n"/>
      <c r="AI34" s="24" t="n"/>
      <c r="AJ34" s="27">
        <f>IF(C34="","",SUMIFS(tbl_Finance[Ex GST],tbl_Finance[Job Number],C34&amp;"",tbl_Finance[Cost Centre],"VIDEO"))</f>
        <v/>
      </c>
      <c r="AK34" s="29">
        <f>IFERROR(AJ34/L34,"")</f>
        <v/>
      </c>
      <c r="AL34" s="27">
        <f>IF(C34="","",N(AF34)+N(AG34)+N(AH34)+N(AI34))</f>
        <v/>
      </c>
      <c r="AM34" s="27" t="n"/>
      <c r="AN34" s="29" t="n"/>
      <c r="AO34" s="71" t="n"/>
      <c r="AP34" s="71" t="n"/>
      <c r="AQ34" s="71" t="n"/>
      <c r="AR34" s="71" t="n"/>
      <c r="AS34" s="71" t="n"/>
      <c r="AT34" s="22" t="n"/>
    </row>
    <row r="35" ht="15" customHeight="1">
      <c r="A35" s="70">
        <f>IF(C35="","",IFERROR(IF(SUMPRODUCT(MAX((tbl_Finance[Job Number]&amp;""=C35&amp;"")*(tbl_Finance[Xero Invoice No]&lt;&gt;"")*tbl_Finance[Date]))=0,"",SUMPRODUCT(MAX((tbl_Finance[Job Number]&amp;""=C35&amp;"")*(tbl_Finance[Xero Invoice No]&lt;&gt;"")*tbl_Finance[Date]))),""))</f>
        <v/>
      </c>
      <c r="B35" s="26">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2" t="n"/>
      <c r="D35" s="26">
        <f>IF(C35="","",IF(COUNTIF(lst_Jobs,C35&amp;"")&gt;0,"OK","CHECK"))</f>
        <v/>
      </c>
      <c r="E35" s="26">
        <f>IF(C35="","",IFERROR(INDEX(lst_JobName,MATCH(C35&amp;"",lst_Jobs,0)),""))</f>
        <v/>
      </c>
      <c r="F35" s="22" t="n"/>
      <c r="G35" s="22" t="n"/>
      <c r="H35" s="22" t="n"/>
      <c r="I35" s="22" t="n"/>
      <c r="J35" s="22" t="n"/>
      <c r="K35" s="28">
        <f>IF(C35="","",COUNTIFS(tbl_Finance[Job Number],C35&amp;"",tbl_Finance[Ex GST],"&lt;&gt;"))</f>
        <v/>
      </c>
      <c r="L35" s="27">
        <f>IF(C35="","",SUMIFS(tbl_Finance[Ex GST],tbl_Finance[Job Number],C35&amp;""))</f>
        <v/>
      </c>
      <c r="M35" s="27">
        <f>IF(C35="","",SUMIFS(tbl_Finance[Ex GST],tbl_Finance[Job Number],C35&amp;"",tbl_Finance[Xero Invoice No],"&lt;&gt;"))</f>
        <v/>
      </c>
      <c r="N35" s="27">
        <f>IF(C35="","",L35-M35)</f>
        <v/>
      </c>
      <c r="O35" s="24" t="n"/>
      <c r="P35" s="27">
        <f>IF(C35="","",IF(O35="",0,MAX(0,O35-L35)))</f>
        <v/>
      </c>
      <c r="Q35" s="26">
        <f>IF(C35="","",IF(K35=0,"not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R35" s="27">
        <f>IF(C35="","",SUMIFS(tbl_Finance[Inc GST],tbl_Finance[Job Number],C35&amp;""))</f>
        <v/>
      </c>
      <c r="S35" s="22" t="n"/>
      <c r="T35" s="22" t="n"/>
      <c r="U35" s="22" t="n"/>
      <c r="V35" s="23" t="n"/>
      <c r="W35" s="22" t="n"/>
      <c r="X35" s="26">
        <f>IF(W35="","",IF(AND(LEFT(W35,4)&lt;&gt;"http",set_RMSBase=""),"",HYPERLINK(IF(LEFT(W35,4)="http",W35,set_RMSBase&amp;W35),"Open opportunity")))</f>
        <v/>
      </c>
      <c r="Y35" s="22" t="n"/>
      <c r="Z35" s="26">
        <f>IF(Y35="","",HYPERLINK(IF(LEFT(Y35,4)="http",Y35,set_QwilrBase&amp;Y35),"Open quote"))</f>
        <v/>
      </c>
      <c r="AA35" s="26">
        <f>IF(C35="","",C35)</f>
        <v/>
      </c>
      <c r="AB35" s="22" t="n"/>
      <c r="AC35" s="24" t="n"/>
      <c r="AD35" s="27">
        <f>IF(C35="","",L35+N(AC35))</f>
        <v/>
      </c>
      <c r="AE35" s="29">
        <f>IFERROR(AC35/AD35,"")</f>
        <v/>
      </c>
      <c r="AF35" s="24" t="n"/>
      <c r="AG35" s="24" t="n"/>
      <c r="AH35" s="24" t="n"/>
      <c r="AI35" s="24" t="n"/>
      <c r="AJ35" s="27">
        <f>IF(C35="","",SUMIFS(tbl_Finance[Ex GST],tbl_Finance[Job Number],C35&amp;"",tbl_Finance[Cost Centre],"VIDEO"))</f>
        <v/>
      </c>
      <c r="AK35" s="29">
        <f>IFERROR(AJ35/L35,"")</f>
        <v/>
      </c>
      <c r="AL35" s="27">
        <f>IF(C35="","",N(AF35)+N(AG35)+N(AH35)+N(AI35))</f>
        <v/>
      </c>
      <c r="AM35" s="27" t="n"/>
      <c r="AN35" s="29" t="n"/>
      <c r="AO35" s="71" t="n"/>
      <c r="AP35" s="71" t="n"/>
      <c r="AQ35" s="71" t="n"/>
      <c r="AR35" s="71" t="n"/>
      <c r="AS35" s="71" t="n"/>
      <c r="AT35" s="22" t="n"/>
    </row>
    <row r="36" ht="15" customHeight="1">
      <c r="A36" s="70">
        <f>IF(C36="","",IFERROR(IF(SUMPRODUCT(MAX((tbl_Finance[Job Number]&amp;""=C36&amp;"")*(tbl_Finance[Xero Invoice No]&lt;&gt;"")*tbl_Finance[Date]))=0,"",SUMPRODUCT(MAX((tbl_Finance[Job Number]&amp;""=C36&amp;"")*(tbl_Finance[Xero Invoice No]&lt;&gt;"")*tbl_Finance[Date]))),""))</f>
        <v/>
      </c>
      <c r="B36" s="26">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2" t="n"/>
      <c r="D36" s="26">
        <f>IF(C36="","",IF(COUNTIF(lst_Jobs,C36&amp;"")&gt;0,"OK","CHECK"))</f>
        <v/>
      </c>
      <c r="E36" s="26">
        <f>IF(C36="","",IFERROR(INDEX(lst_JobName,MATCH(C36&amp;"",lst_Jobs,0)),""))</f>
        <v/>
      </c>
      <c r="F36" s="22" t="n"/>
      <c r="G36" s="22" t="n"/>
      <c r="H36" s="22" t="n"/>
      <c r="I36" s="22" t="n"/>
      <c r="J36" s="22" t="n"/>
      <c r="K36" s="28">
        <f>IF(C36="","",COUNTIFS(tbl_Finance[Job Number],C36&amp;"",tbl_Finance[Ex GST],"&lt;&gt;"))</f>
        <v/>
      </c>
      <c r="L36" s="27">
        <f>IF(C36="","",SUMIFS(tbl_Finance[Ex GST],tbl_Finance[Job Number],C36&amp;""))</f>
        <v/>
      </c>
      <c r="M36" s="27">
        <f>IF(C36="","",SUMIFS(tbl_Finance[Ex GST],tbl_Finance[Job Number],C36&amp;"",tbl_Finance[Xero Invoice No],"&lt;&gt;"))</f>
        <v/>
      </c>
      <c r="N36" s="27">
        <f>IF(C36="","",L36-M36)</f>
        <v/>
      </c>
      <c r="O36" s="24" t="n"/>
      <c r="P36" s="27">
        <f>IF(C36="","",IF(O36="",0,MAX(0,O36-L36)))</f>
        <v/>
      </c>
      <c r="Q36" s="26">
        <f>IF(C36="","",IF(K36=0,"not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R36" s="27">
        <f>IF(C36="","",SUMIFS(tbl_Finance[Inc GST],tbl_Finance[Job Number],C36&amp;""))</f>
        <v/>
      </c>
      <c r="S36" s="22" t="n"/>
      <c r="T36" s="22" t="n"/>
      <c r="U36" s="22" t="n"/>
      <c r="V36" s="23" t="n"/>
      <c r="W36" s="22" t="n"/>
      <c r="X36" s="26">
        <f>IF(W36="","",IF(AND(LEFT(W36,4)&lt;&gt;"http",set_RMSBase=""),"",HYPERLINK(IF(LEFT(W36,4)="http",W36,set_RMSBase&amp;W36),"Open opportunity")))</f>
        <v/>
      </c>
      <c r="Y36" s="22" t="n"/>
      <c r="Z36" s="26">
        <f>IF(Y36="","",HYPERLINK(IF(LEFT(Y36,4)="http",Y36,set_QwilrBase&amp;Y36),"Open quote"))</f>
        <v/>
      </c>
      <c r="AA36" s="26">
        <f>IF(C36="","",C36)</f>
        <v/>
      </c>
      <c r="AB36" s="22" t="n"/>
      <c r="AC36" s="24" t="n"/>
      <c r="AD36" s="27">
        <f>IF(C36="","",L36+N(AC36))</f>
        <v/>
      </c>
      <c r="AE36" s="29">
        <f>IFERROR(AC36/AD36,"")</f>
        <v/>
      </c>
      <c r="AF36" s="24" t="n"/>
      <c r="AG36" s="24" t="n"/>
      <c r="AH36" s="24" t="n"/>
      <c r="AI36" s="24" t="n"/>
      <c r="AJ36" s="27">
        <f>IF(C36="","",SUMIFS(tbl_Finance[Ex GST],tbl_Finance[Job Number],C36&amp;"",tbl_Finance[Cost Centre],"VIDEO"))</f>
        <v/>
      </c>
      <c r="AK36" s="29">
        <f>IFERROR(AJ36/L36,"")</f>
        <v/>
      </c>
      <c r="AL36" s="27">
        <f>IF(C36="","",N(AF36)+N(AG36)+N(AH36)+N(AI36))</f>
        <v/>
      </c>
      <c r="AM36" s="27" t="n"/>
      <c r="AN36" s="29" t="n"/>
      <c r="AO36" s="71" t="n"/>
      <c r="AP36" s="71" t="n"/>
      <c r="AQ36" s="71" t="n"/>
      <c r="AR36" s="71" t="n"/>
      <c r="AS36" s="71" t="n"/>
      <c r="AT36" s="22" t="n"/>
    </row>
    <row r="37" ht="15" customHeight="1">
      <c r="A37" s="70">
        <f>IF(C37="","",IFERROR(IF(SUMPRODUCT(MAX((tbl_Finance[Job Number]&amp;""=C37&amp;"")*(tbl_Finance[Xero Invoice No]&lt;&gt;"")*tbl_Finance[Date]))=0,"",SUMPRODUCT(MAX((tbl_Finance[Job Number]&amp;""=C37&amp;"")*(tbl_Finance[Xero Invoice No]&lt;&gt;"")*tbl_Finance[Date]))),""))</f>
        <v/>
      </c>
      <c r="B37" s="26">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2" t="n"/>
      <c r="D37" s="26">
        <f>IF(C37="","",IF(COUNTIF(lst_Jobs,C37&amp;"")&gt;0,"OK","CHECK"))</f>
        <v/>
      </c>
      <c r="E37" s="26">
        <f>IF(C37="","",IFERROR(INDEX(lst_JobName,MATCH(C37&amp;"",lst_Jobs,0)),""))</f>
        <v/>
      </c>
      <c r="F37" s="22" t="n"/>
      <c r="G37" s="22" t="n"/>
      <c r="H37" s="22" t="n"/>
      <c r="I37" s="22" t="n"/>
      <c r="J37" s="22" t="n"/>
      <c r="K37" s="28">
        <f>IF(C37="","",COUNTIFS(tbl_Finance[Job Number],C37&amp;"",tbl_Finance[Ex GST],"&lt;&gt;"))</f>
        <v/>
      </c>
      <c r="L37" s="27">
        <f>IF(C37="","",SUMIFS(tbl_Finance[Ex GST],tbl_Finance[Job Number],C37&amp;""))</f>
        <v/>
      </c>
      <c r="M37" s="27">
        <f>IF(C37="","",SUMIFS(tbl_Finance[Ex GST],tbl_Finance[Job Number],C37&amp;"",tbl_Finance[Xero Invoice No],"&lt;&gt;"))</f>
        <v/>
      </c>
      <c r="N37" s="27">
        <f>IF(C37="","",L37-M37)</f>
        <v/>
      </c>
      <c r="O37" s="24" t="n"/>
      <c r="P37" s="27">
        <f>IF(C37="","",IF(O37="",0,MAX(0,O37-L37)))</f>
        <v/>
      </c>
      <c r="Q37" s="26">
        <f>IF(C37="","",IF(K37=0,"not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R37" s="27">
        <f>IF(C37="","",SUMIFS(tbl_Finance[Inc GST],tbl_Finance[Job Number],C37&amp;""))</f>
        <v/>
      </c>
      <c r="S37" s="22" t="n"/>
      <c r="T37" s="22" t="n"/>
      <c r="U37" s="22" t="n"/>
      <c r="V37" s="23" t="n"/>
      <c r="W37" s="22" t="n"/>
      <c r="X37" s="26">
        <f>IF(W37="","",IF(AND(LEFT(W37,4)&lt;&gt;"http",set_RMSBase=""),"",HYPERLINK(IF(LEFT(W37,4)="http",W37,set_RMSBase&amp;W37),"Open opportunity")))</f>
        <v/>
      </c>
      <c r="Y37" s="22" t="n"/>
      <c r="Z37" s="26">
        <f>IF(Y37="","",HYPERLINK(IF(LEFT(Y37,4)="http",Y37,set_QwilrBase&amp;Y37),"Open quote"))</f>
        <v/>
      </c>
      <c r="AA37" s="26">
        <f>IF(C37="","",C37)</f>
        <v/>
      </c>
      <c r="AB37" s="22" t="n"/>
      <c r="AC37" s="24" t="n"/>
      <c r="AD37" s="27">
        <f>IF(C37="","",L37+N(AC37))</f>
        <v/>
      </c>
      <c r="AE37" s="29">
        <f>IFERROR(AC37/AD37,"")</f>
        <v/>
      </c>
      <c r="AF37" s="24" t="n"/>
      <c r="AG37" s="24" t="n"/>
      <c r="AH37" s="24" t="n"/>
      <c r="AI37" s="24" t="n"/>
      <c r="AJ37" s="27">
        <f>IF(C37="","",SUMIFS(tbl_Finance[Ex GST],tbl_Finance[Job Number],C37&amp;"",tbl_Finance[Cost Centre],"VIDEO"))</f>
        <v/>
      </c>
      <c r="AK37" s="29">
        <f>IFERROR(AJ37/L37,"")</f>
        <v/>
      </c>
      <c r="AL37" s="27">
        <f>IF(C37="","",N(AF37)+N(AG37)+N(AH37)+N(AI37))</f>
        <v/>
      </c>
      <c r="AM37" s="27" t="n"/>
      <c r="AN37" s="29" t="n"/>
      <c r="AO37" s="71" t="n"/>
      <c r="AP37" s="71" t="n"/>
      <c r="AQ37" s="71" t="n"/>
      <c r="AR37" s="71" t="n"/>
      <c r="AS37" s="71" t="n"/>
      <c r="AT37" s="22" t="n"/>
    </row>
    <row r="38" ht="15" customHeight="1">
      <c r="A38" s="70">
        <f>IF(C38="","",IFERROR(IF(SUMPRODUCT(MAX((tbl_Finance[Job Number]&amp;""=C38&amp;"")*(tbl_Finance[Xero Invoice No]&lt;&gt;"")*tbl_Finance[Date]))=0,"",SUMPRODUCT(MAX((tbl_Finance[Job Number]&amp;""=C38&amp;"")*(tbl_Finance[Xero Invoice No]&lt;&gt;"")*tbl_Finance[Date]))),""))</f>
        <v/>
      </c>
      <c r="B38" s="26">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2" t="n"/>
      <c r="D38" s="26">
        <f>IF(C38="","",IF(COUNTIF(lst_Jobs,C38&amp;"")&gt;0,"OK","CHECK"))</f>
        <v/>
      </c>
      <c r="E38" s="26">
        <f>IF(C38="","",IFERROR(INDEX(lst_JobName,MATCH(C38&amp;"",lst_Jobs,0)),""))</f>
        <v/>
      </c>
      <c r="F38" s="22" t="n"/>
      <c r="G38" s="22" t="n"/>
      <c r="H38" s="22" t="n"/>
      <c r="I38" s="22" t="n"/>
      <c r="J38" s="22" t="n"/>
      <c r="K38" s="28">
        <f>IF(C38="","",COUNTIFS(tbl_Finance[Job Number],C38&amp;"",tbl_Finance[Ex GST],"&lt;&gt;"))</f>
        <v/>
      </c>
      <c r="L38" s="27">
        <f>IF(C38="","",SUMIFS(tbl_Finance[Ex GST],tbl_Finance[Job Number],C38&amp;""))</f>
        <v/>
      </c>
      <c r="M38" s="27">
        <f>IF(C38="","",SUMIFS(tbl_Finance[Ex GST],tbl_Finance[Job Number],C38&amp;"",tbl_Finance[Xero Invoice No],"&lt;&gt;"))</f>
        <v/>
      </c>
      <c r="N38" s="27">
        <f>IF(C38="","",L38-M38)</f>
        <v/>
      </c>
      <c r="O38" s="24" t="n"/>
      <c r="P38" s="27">
        <f>IF(C38="","",IF(O38="",0,MAX(0,O38-L38)))</f>
        <v/>
      </c>
      <c r="Q38" s="26">
        <f>IF(C38="","",IF(K38=0,"not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R38" s="27">
        <f>IF(C38="","",SUMIFS(tbl_Finance[Inc GST],tbl_Finance[Job Number],C38&amp;""))</f>
        <v/>
      </c>
      <c r="S38" s="22" t="n"/>
      <c r="T38" s="22" t="n"/>
      <c r="U38" s="22" t="n"/>
      <c r="V38" s="23" t="n"/>
      <c r="W38" s="22" t="n"/>
      <c r="X38" s="26">
        <f>IF(W38="","",IF(AND(LEFT(W38,4)&lt;&gt;"http",set_RMSBase=""),"",HYPERLINK(IF(LEFT(W38,4)="http",W38,set_RMSBase&amp;W38),"Open opportunity")))</f>
        <v/>
      </c>
      <c r="Y38" s="22" t="n"/>
      <c r="Z38" s="26">
        <f>IF(Y38="","",HYPERLINK(IF(LEFT(Y38,4)="http",Y38,set_QwilrBase&amp;Y38),"Open quote"))</f>
        <v/>
      </c>
      <c r="AA38" s="26">
        <f>IF(C38="","",C38)</f>
        <v/>
      </c>
      <c r="AB38" s="22" t="n"/>
      <c r="AC38" s="24" t="n"/>
      <c r="AD38" s="27">
        <f>IF(C38="","",L38+N(AC38))</f>
        <v/>
      </c>
      <c r="AE38" s="29">
        <f>IFERROR(AC38/AD38,"")</f>
        <v/>
      </c>
      <c r="AF38" s="24" t="n"/>
      <c r="AG38" s="24" t="n"/>
      <c r="AH38" s="24" t="n"/>
      <c r="AI38" s="24" t="n"/>
      <c r="AJ38" s="27">
        <f>IF(C38="","",SUMIFS(tbl_Finance[Ex GST],tbl_Finance[Job Number],C38&amp;"",tbl_Finance[Cost Centre],"VIDEO"))</f>
        <v/>
      </c>
      <c r="AK38" s="29">
        <f>IFERROR(AJ38/L38,"")</f>
        <v/>
      </c>
      <c r="AL38" s="27">
        <f>IF(C38="","",N(AF38)+N(AG38)+N(AH38)+N(AI38))</f>
        <v/>
      </c>
      <c r="AM38" s="27" t="n"/>
      <c r="AN38" s="29" t="n"/>
      <c r="AO38" s="71" t="n"/>
      <c r="AP38" s="71" t="n"/>
      <c r="AQ38" s="71" t="n"/>
      <c r="AR38" s="71" t="n"/>
      <c r="AS38" s="71" t="n"/>
      <c r="AT38" s="22" t="n"/>
    </row>
    <row r="39" ht="15" customHeight="1">
      <c r="A39" s="70">
        <f>IF(C39="","",IFERROR(IF(SUMPRODUCT(MAX((tbl_Finance[Job Number]&amp;""=C39&amp;"")*(tbl_Finance[Xero Invoice No]&lt;&gt;"")*tbl_Finance[Date]))=0,"",SUMPRODUCT(MAX((tbl_Finance[Job Number]&amp;""=C39&amp;"")*(tbl_Finance[Xero Invoice No]&lt;&gt;"")*tbl_Finance[Date]))),""))</f>
        <v/>
      </c>
      <c r="B39" s="26">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2" t="n"/>
      <c r="D39" s="26">
        <f>IF(C39="","",IF(COUNTIF(lst_Jobs,C39&amp;"")&gt;0,"OK","CHECK"))</f>
        <v/>
      </c>
      <c r="E39" s="26">
        <f>IF(C39="","",IFERROR(INDEX(lst_JobName,MATCH(C39&amp;"",lst_Jobs,0)),""))</f>
        <v/>
      </c>
      <c r="F39" s="22" t="n"/>
      <c r="G39" s="22" t="n"/>
      <c r="H39" s="22" t="n"/>
      <c r="I39" s="22" t="n"/>
      <c r="J39" s="22" t="n"/>
      <c r="K39" s="28">
        <f>IF(C39="","",COUNTIFS(tbl_Finance[Job Number],C39&amp;"",tbl_Finance[Ex GST],"&lt;&gt;"))</f>
        <v/>
      </c>
      <c r="L39" s="27">
        <f>IF(C39="","",SUMIFS(tbl_Finance[Ex GST],tbl_Finance[Job Number],C39&amp;""))</f>
        <v/>
      </c>
      <c r="M39" s="27">
        <f>IF(C39="","",SUMIFS(tbl_Finance[Ex GST],tbl_Finance[Job Number],C39&amp;"",tbl_Finance[Xero Invoice No],"&lt;&gt;"))</f>
        <v/>
      </c>
      <c r="N39" s="27">
        <f>IF(C39="","",L39-M39)</f>
        <v/>
      </c>
      <c r="O39" s="24" t="n"/>
      <c r="P39" s="27">
        <f>IF(C39="","",IF(O39="",0,MAX(0,O39-L39)))</f>
        <v/>
      </c>
      <c r="Q39" s="26">
        <f>IF(C39="","",IF(K39=0,"not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R39" s="27">
        <f>IF(C39="","",SUMIFS(tbl_Finance[Inc GST],tbl_Finance[Job Number],C39&amp;""))</f>
        <v/>
      </c>
      <c r="S39" s="22" t="n"/>
      <c r="T39" s="22" t="n"/>
      <c r="U39" s="22" t="n"/>
      <c r="V39" s="23" t="n"/>
      <c r="W39" s="22" t="n"/>
      <c r="X39" s="26">
        <f>IF(W39="","",IF(AND(LEFT(W39,4)&lt;&gt;"http",set_RMSBase=""),"",HYPERLINK(IF(LEFT(W39,4)="http",W39,set_RMSBase&amp;W39),"Open opportunity")))</f>
        <v/>
      </c>
      <c r="Y39" s="22" t="n"/>
      <c r="Z39" s="26">
        <f>IF(Y39="","",HYPERLINK(IF(LEFT(Y39,4)="http",Y39,set_QwilrBase&amp;Y39),"Open quote"))</f>
        <v/>
      </c>
      <c r="AA39" s="26">
        <f>IF(C39="","",C39)</f>
        <v/>
      </c>
      <c r="AB39" s="22" t="n"/>
      <c r="AC39" s="24" t="n"/>
      <c r="AD39" s="27">
        <f>IF(C39="","",L39+N(AC39))</f>
        <v/>
      </c>
      <c r="AE39" s="29">
        <f>IFERROR(AC39/AD39,"")</f>
        <v/>
      </c>
      <c r="AF39" s="24" t="n"/>
      <c r="AG39" s="24" t="n"/>
      <c r="AH39" s="24" t="n"/>
      <c r="AI39" s="24" t="n"/>
      <c r="AJ39" s="27">
        <f>IF(C39="","",SUMIFS(tbl_Finance[Ex GST],tbl_Finance[Job Number],C39&amp;"",tbl_Finance[Cost Centre],"VIDEO"))</f>
        <v/>
      </c>
      <c r="AK39" s="29">
        <f>IFERROR(AJ39/L39,"")</f>
        <v/>
      </c>
      <c r="AL39" s="27">
        <f>IF(C39="","",N(AF39)+N(AG39)+N(AH39)+N(AI39))</f>
        <v/>
      </c>
      <c r="AM39" s="27" t="n"/>
      <c r="AN39" s="29" t="n"/>
      <c r="AO39" s="71" t="n"/>
      <c r="AP39" s="71" t="n"/>
      <c r="AQ39" s="71" t="n"/>
      <c r="AR39" s="71" t="n"/>
      <c r="AS39" s="71" t="n"/>
      <c r="AT39" s="22" t="n"/>
    </row>
    <row r="40" ht="15" customHeight="1">
      <c r="A40" s="70">
        <f>IF(C40="","",IFERROR(IF(SUMPRODUCT(MAX((tbl_Finance[Job Number]&amp;""=C40&amp;"")*(tbl_Finance[Xero Invoice No]&lt;&gt;"")*tbl_Finance[Date]))=0,"",SUMPRODUCT(MAX((tbl_Finance[Job Number]&amp;""=C40&amp;"")*(tbl_Finance[Xero Invoice No]&lt;&gt;"")*tbl_Finance[Date]))),""))</f>
        <v/>
      </c>
      <c r="B40" s="26">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2" t="n"/>
      <c r="D40" s="26">
        <f>IF(C40="","",IF(COUNTIF(lst_Jobs,C40&amp;"")&gt;0,"OK","CHECK"))</f>
        <v/>
      </c>
      <c r="E40" s="26">
        <f>IF(C40="","",IFERROR(INDEX(lst_JobName,MATCH(C40&amp;"",lst_Jobs,0)),""))</f>
        <v/>
      </c>
      <c r="F40" s="22" t="n"/>
      <c r="G40" s="22" t="n"/>
      <c r="H40" s="22" t="n"/>
      <c r="I40" s="22" t="n"/>
      <c r="J40" s="22" t="n"/>
      <c r="K40" s="28">
        <f>IF(C40="","",COUNTIFS(tbl_Finance[Job Number],C40&amp;"",tbl_Finance[Ex GST],"&lt;&gt;"))</f>
        <v/>
      </c>
      <c r="L40" s="27">
        <f>IF(C40="","",SUMIFS(tbl_Finance[Ex GST],tbl_Finance[Job Number],C40&amp;""))</f>
        <v/>
      </c>
      <c r="M40" s="27">
        <f>IF(C40="","",SUMIFS(tbl_Finance[Ex GST],tbl_Finance[Job Number],C40&amp;"",tbl_Finance[Xero Invoice No],"&lt;&gt;"))</f>
        <v/>
      </c>
      <c r="N40" s="27">
        <f>IF(C40="","",L40-M40)</f>
        <v/>
      </c>
      <c r="O40" s="24" t="n"/>
      <c r="P40" s="27">
        <f>IF(C40="","",IF(O40="",0,MAX(0,O40-L40)))</f>
        <v/>
      </c>
      <c r="Q40" s="26">
        <f>IF(C40="","",IF(K40=0,"not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R40" s="27">
        <f>IF(C40="","",SUMIFS(tbl_Finance[Inc GST],tbl_Finance[Job Number],C40&amp;""))</f>
        <v/>
      </c>
      <c r="S40" s="22" t="n"/>
      <c r="T40" s="22" t="n"/>
      <c r="U40" s="22" t="n"/>
      <c r="V40" s="23" t="n"/>
      <c r="W40" s="22" t="n"/>
      <c r="X40" s="26">
        <f>IF(W40="","",IF(AND(LEFT(W40,4)&lt;&gt;"http",set_RMSBase=""),"",HYPERLINK(IF(LEFT(W40,4)="http",W40,set_RMSBase&amp;W40),"Open opportunity")))</f>
        <v/>
      </c>
      <c r="Y40" s="22" t="n"/>
      <c r="Z40" s="26">
        <f>IF(Y40="","",HYPERLINK(IF(LEFT(Y40,4)="http",Y40,set_QwilrBase&amp;Y40),"Open quote"))</f>
        <v/>
      </c>
      <c r="AA40" s="26">
        <f>IF(C40="","",C40)</f>
        <v/>
      </c>
      <c r="AB40" s="22" t="n"/>
      <c r="AC40" s="24" t="n"/>
      <c r="AD40" s="27">
        <f>IF(C40="","",L40+N(AC40))</f>
        <v/>
      </c>
      <c r="AE40" s="29">
        <f>IFERROR(AC40/AD40,"")</f>
        <v/>
      </c>
      <c r="AF40" s="24" t="n"/>
      <c r="AG40" s="24" t="n"/>
      <c r="AH40" s="24" t="n"/>
      <c r="AI40" s="24" t="n"/>
      <c r="AJ40" s="27">
        <f>IF(C40="","",SUMIFS(tbl_Finance[Ex GST],tbl_Finance[Job Number],C40&amp;"",tbl_Finance[Cost Centre],"VIDEO"))</f>
        <v/>
      </c>
      <c r="AK40" s="29">
        <f>IFERROR(AJ40/L40,"")</f>
        <v/>
      </c>
      <c r="AL40" s="27">
        <f>IF(C40="","",N(AF40)+N(AG40)+N(AH40)+N(AI40))</f>
        <v/>
      </c>
      <c r="AM40" s="27" t="n"/>
      <c r="AN40" s="29" t="n"/>
      <c r="AO40" s="71" t="n"/>
      <c r="AP40" s="71" t="n"/>
      <c r="AQ40" s="71" t="n"/>
      <c r="AR40" s="71" t="n"/>
      <c r="AS40" s="71" t="n"/>
      <c r="AT40" s="22" t="n"/>
    </row>
    <row r="41" ht="15" customHeight="1">
      <c r="A41" s="70">
        <f>IF(C41="","",IFERROR(IF(SUMPRODUCT(MAX((tbl_Finance[Job Number]&amp;""=C41&amp;"")*(tbl_Finance[Xero Invoice No]&lt;&gt;"")*tbl_Finance[Date]))=0,"",SUMPRODUCT(MAX((tbl_Finance[Job Number]&amp;""=C41&amp;"")*(tbl_Finance[Xero Invoice No]&lt;&gt;"")*tbl_Finance[Date]))),""))</f>
        <v/>
      </c>
      <c r="B41" s="26">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2" t="n"/>
      <c r="D41" s="26">
        <f>IF(C41="","",IF(COUNTIF(lst_Jobs,C41&amp;"")&gt;0,"OK","CHECK"))</f>
        <v/>
      </c>
      <c r="E41" s="26">
        <f>IF(C41="","",IFERROR(INDEX(lst_JobName,MATCH(C41&amp;"",lst_Jobs,0)),""))</f>
        <v/>
      </c>
      <c r="F41" s="22" t="n"/>
      <c r="G41" s="22" t="n"/>
      <c r="H41" s="22" t="n"/>
      <c r="I41" s="22" t="n"/>
      <c r="J41" s="22" t="n"/>
      <c r="K41" s="28">
        <f>IF(C41="","",COUNTIFS(tbl_Finance[Job Number],C41&amp;"",tbl_Finance[Ex GST],"&lt;&gt;"))</f>
        <v/>
      </c>
      <c r="L41" s="27">
        <f>IF(C41="","",SUMIFS(tbl_Finance[Ex GST],tbl_Finance[Job Number],C41&amp;""))</f>
        <v/>
      </c>
      <c r="M41" s="27">
        <f>IF(C41="","",SUMIFS(tbl_Finance[Ex GST],tbl_Finance[Job Number],C41&amp;"",tbl_Finance[Xero Invoice No],"&lt;&gt;"))</f>
        <v/>
      </c>
      <c r="N41" s="27">
        <f>IF(C41="","",L41-M41)</f>
        <v/>
      </c>
      <c r="O41" s="24" t="n"/>
      <c r="P41" s="27">
        <f>IF(C41="","",IF(O41="",0,MAX(0,O41-L41)))</f>
        <v/>
      </c>
      <c r="Q41" s="26">
        <f>IF(C41="","",IF(K41=0,"not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R41" s="27">
        <f>IF(C41="","",SUMIFS(tbl_Finance[Inc GST],tbl_Finance[Job Number],C41&amp;""))</f>
        <v/>
      </c>
      <c r="S41" s="22" t="n"/>
      <c r="T41" s="22" t="n"/>
      <c r="U41" s="22" t="n"/>
      <c r="V41" s="23" t="n"/>
      <c r="W41" s="22" t="n"/>
      <c r="X41" s="26">
        <f>IF(W41="","",IF(AND(LEFT(W41,4)&lt;&gt;"http",set_RMSBase=""),"",HYPERLINK(IF(LEFT(W41,4)="http",W41,set_RMSBase&amp;W41),"Open opportunity")))</f>
        <v/>
      </c>
      <c r="Y41" s="22" t="n"/>
      <c r="Z41" s="26">
        <f>IF(Y41="","",HYPERLINK(IF(LEFT(Y41,4)="http",Y41,set_QwilrBase&amp;Y41),"Open quote"))</f>
        <v/>
      </c>
      <c r="AA41" s="26">
        <f>IF(C41="","",C41)</f>
        <v/>
      </c>
      <c r="AB41" s="22" t="n"/>
      <c r="AC41" s="24" t="n"/>
      <c r="AD41" s="27">
        <f>IF(C41="","",L41+N(AC41))</f>
        <v/>
      </c>
      <c r="AE41" s="29">
        <f>IFERROR(AC41/AD41,"")</f>
        <v/>
      </c>
      <c r="AF41" s="24" t="n"/>
      <c r="AG41" s="24" t="n"/>
      <c r="AH41" s="24" t="n"/>
      <c r="AI41" s="24" t="n"/>
      <c r="AJ41" s="27">
        <f>IF(C41="","",SUMIFS(tbl_Finance[Ex GST],tbl_Finance[Job Number],C41&amp;"",tbl_Finance[Cost Centre],"VIDEO"))</f>
        <v/>
      </c>
      <c r="AK41" s="29">
        <f>IFERROR(AJ41/L41,"")</f>
        <v/>
      </c>
      <c r="AL41" s="27">
        <f>IF(C41="","",N(AF41)+N(AG41)+N(AH41)+N(AI41))</f>
        <v/>
      </c>
      <c r="AM41" s="27" t="n"/>
      <c r="AN41" s="29" t="n"/>
      <c r="AO41" s="71" t="n"/>
      <c r="AP41" s="71" t="n"/>
      <c r="AQ41" s="71" t="n"/>
      <c r="AR41" s="71" t="n"/>
      <c r="AS41" s="71" t="n"/>
      <c r="AT41" s="22" t="n"/>
    </row>
    <row r="42" ht="15" customHeight="1">
      <c r="A42" s="70">
        <f>IF(C42="","",IFERROR(IF(SUMPRODUCT(MAX((tbl_Finance[Job Number]&amp;""=C42&amp;"")*(tbl_Finance[Xero Invoice No]&lt;&gt;"")*tbl_Finance[Date]))=0,"",SUMPRODUCT(MAX((tbl_Finance[Job Number]&amp;""=C42&amp;"")*(tbl_Finance[Xero Invoice No]&lt;&gt;"")*tbl_Finance[Date]))),""))</f>
        <v/>
      </c>
      <c r="B42" s="26">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2" t="n"/>
      <c r="D42" s="26">
        <f>IF(C42="","",IF(COUNTIF(lst_Jobs,C42&amp;"")&gt;0,"OK","CHECK"))</f>
        <v/>
      </c>
      <c r="E42" s="26">
        <f>IF(C42="","",IFERROR(INDEX(lst_JobName,MATCH(C42&amp;"",lst_Jobs,0)),""))</f>
        <v/>
      </c>
      <c r="F42" s="22" t="n"/>
      <c r="G42" s="22" t="n"/>
      <c r="H42" s="22" t="n"/>
      <c r="I42" s="22" t="n"/>
      <c r="J42" s="22" t="n"/>
      <c r="K42" s="28">
        <f>IF(C42="","",COUNTIFS(tbl_Finance[Job Number],C42&amp;"",tbl_Finance[Ex GST],"&lt;&gt;"))</f>
        <v/>
      </c>
      <c r="L42" s="27">
        <f>IF(C42="","",SUMIFS(tbl_Finance[Ex GST],tbl_Finance[Job Number],C42&amp;""))</f>
        <v/>
      </c>
      <c r="M42" s="27">
        <f>IF(C42="","",SUMIFS(tbl_Finance[Ex GST],tbl_Finance[Job Number],C42&amp;"",tbl_Finance[Xero Invoice No],"&lt;&gt;"))</f>
        <v/>
      </c>
      <c r="N42" s="27">
        <f>IF(C42="","",L42-M42)</f>
        <v/>
      </c>
      <c r="O42" s="24" t="n"/>
      <c r="P42" s="27">
        <f>IF(C42="","",IF(O42="",0,MAX(0,O42-L42)))</f>
        <v/>
      </c>
      <c r="Q42" s="26">
        <f>IF(C42="","",IF(K42=0,"not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R42" s="27">
        <f>IF(C42="","",SUMIFS(tbl_Finance[Inc GST],tbl_Finance[Job Number],C42&amp;""))</f>
        <v/>
      </c>
      <c r="S42" s="22" t="n"/>
      <c r="T42" s="22" t="n"/>
      <c r="U42" s="22" t="n"/>
      <c r="V42" s="23" t="n"/>
      <c r="W42" s="22" t="n"/>
      <c r="X42" s="26">
        <f>IF(W42="","",IF(AND(LEFT(W42,4)&lt;&gt;"http",set_RMSBase=""),"",HYPERLINK(IF(LEFT(W42,4)="http",W42,set_RMSBase&amp;W42),"Open opportunity")))</f>
        <v/>
      </c>
      <c r="Y42" s="22" t="n"/>
      <c r="Z42" s="26">
        <f>IF(Y42="","",HYPERLINK(IF(LEFT(Y42,4)="http",Y42,set_QwilrBase&amp;Y42),"Open quote"))</f>
        <v/>
      </c>
      <c r="AA42" s="26">
        <f>IF(C42="","",C42)</f>
        <v/>
      </c>
      <c r="AB42" s="22" t="n"/>
      <c r="AC42" s="24" t="n"/>
      <c r="AD42" s="27">
        <f>IF(C42="","",L42+N(AC42))</f>
        <v/>
      </c>
      <c r="AE42" s="29">
        <f>IFERROR(AC42/AD42,"")</f>
        <v/>
      </c>
      <c r="AF42" s="24" t="n"/>
      <c r="AG42" s="24" t="n"/>
      <c r="AH42" s="24" t="n"/>
      <c r="AI42" s="24" t="n"/>
      <c r="AJ42" s="27">
        <f>IF(C42="","",SUMIFS(tbl_Finance[Ex GST],tbl_Finance[Job Number],C42&amp;"",tbl_Finance[Cost Centre],"VIDEO"))</f>
        <v/>
      </c>
      <c r="AK42" s="29">
        <f>IFERROR(AJ42/L42,"")</f>
        <v/>
      </c>
      <c r="AL42" s="27">
        <f>IF(C42="","",N(AF42)+N(AG42)+N(AH42)+N(AI42))</f>
        <v/>
      </c>
      <c r="AM42" s="27" t="n"/>
      <c r="AN42" s="29" t="n"/>
      <c r="AO42" s="71" t="n"/>
      <c r="AP42" s="71" t="n"/>
      <c r="AQ42" s="71" t="n"/>
      <c r="AR42" s="71" t="n"/>
      <c r="AS42" s="71" t="n"/>
      <c r="AT42" s="22" t="n"/>
    </row>
    <row r="43" ht="15" customHeight="1">
      <c r="A43" s="70">
        <f>IF(C43="","",IFERROR(IF(SUMPRODUCT(MAX((tbl_Finance[Job Number]&amp;""=C43&amp;"")*(tbl_Finance[Xero Invoice No]&lt;&gt;"")*tbl_Finance[Date]))=0,"",SUMPRODUCT(MAX((tbl_Finance[Job Number]&amp;""=C43&amp;"")*(tbl_Finance[Xero Invoice No]&lt;&gt;"")*tbl_Finance[Date]))),""))</f>
        <v/>
      </c>
      <c r="B43" s="26">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2" t="n"/>
      <c r="D43" s="26">
        <f>IF(C43="","",IF(COUNTIF(lst_Jobs,C43&amp;"")&gt;0,"OK","CHECK"))</f>
        <v/>
      </c>
      <c r="E43" s="26">
        <f>IF(C43="","",IFERROR(INDEX(lst_JobName,MATCH(C43&amp;"",lst_Jobs,0)),""))</f>
        <v/>
      </c>
      <c r="F43" s="22" t="n"/>
      <c r="G43" s="22" t="n"/>
      <c r="H43" s="22" t="n"/>
      <c r="I43" s="22" t="n"/>
      <c r="J43" s="22" t="n"/>
      <c r="K43" s="28">
        <f>IF(C43="","",COUNTIFS(tbl_Finance[Job Number],C43&amp;"",tbl_Finance[Ex GST],"&lt;&gt;"))</f>
        <v/>
      </c>
      <c r="L43" s="27">
        <f>IF(C43="","",SUMIFS(tbl_Finance[Ex GST],tbl_Finance[Job Number],C43&amp;""))</f>
        <v/>
      </c>
      <c r="M43" s="27">
        <f>IF(C43="","",SUMIFS(tbl_Finance[Ex GST],tbl_Finance[Job Number],C43&amp;"",tbl_Finance[Xero Invoice No],"&lt;&gt;"))</f>
        <v/>
      </c>
      <c r="N43" s="27">
        <f>IF(C43="","",L43-M43)</f>
        <v/>
      </c>
      <c r="O43" s="24" t="n"/>
      <c r="P43" s="27">
        <f>IF(C43="","",IF(O43="",0,MAX(0,O43-L43)))</f>
        <v/>
      </c>
      <c r="Q43" s="26">
        <f>IF(C43="","",IF(K43=0,"not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R43" s="27">
        <f>IF(C43="","",SUMIFS(tbl_Finance[Inc GST],tbl_Finance[Job Number],C43&amp;""))</f>
        <v/>
      </c>
      <c r="S43" s="22" t="n"/>
      <c r="T43" s="22" t="n"/>
      <c r="U43" s="22" t="n"/>
      <c r="V43" s="23" t="n"/>
      <c r="W43" s="22" t="n"/>
      <c r="X43" s="26">
        <f>IF(W43="","",IF(AND(LEFT(W43,4)&lt;&gt;"http",set_RMSBase=""),"",HYPERLINK(IF(LEFT(W43,4)="http",W43,set_RMSBase&amp;W43),"Open opportunity")))</f>
        <v/>
      </c>
      <c r="Y43" s="22" t="n"/>
      <c r="Z43" s="26">
        <f>IF(Y43="","",HYPERLINK(IF(LEFT(Y43,4)="http",Y43,set_QwilrBase&amp;Y43),"Open quote"))</f>
        <v/>
      </c>
      <c r="AA43" s="26">
        <f>IF(C43="","",C43)</f>
        <v/>
      </c>
      <c r="AB43" s="22" t="n"/>
      <c r="AC43" s="24" t="n"/>
      <c r="AD43" s="27">
        <f>IF(C43="","",L43+N(AC43))</f>
        <v/>
      </c>
      <c r="AE43" s="29">
        <f>IFERROR(AC43/AD43,"")</f>
        <v/>
      </c>
      <c r="AF43" s="24" t="n"/>
      <c r="AG43" s="24" t="n"/>
      <c r="AH43" s="24" t="n"/>
      <c r="AI43" s="24" t="n"/>
      <c r="AJ43" s="27">
        <f>IF(C43="","",SUMIFS(tbl_Finance[Ex GST],tbl_Finance[Job Number],C43&amp;"",tbl_Finance[Cost Centre],"VIDEO"))</f>
        <v/>
      </c>
      <c r="AK43" s="29">
        <f>IFERROR(AJ43/L43,"")</f>
        <v/>
      </c>
      <c r="AL43" s="27">
        <f>IF(C43="","",N(AF43)+N(AG43)+N(AH43)+N(AI43))</f>
        <v/>
      </c>
      <c r="AM43" s="27" t="n"/>
      <c r="AN43" s="29" t="n"/>
      <c r="AO43" s="71" t="n"/>
      <c r="AP43" s="71" t="n"/>
      <c r="AQ43" s="71" t="n"/>
      <c r="AR43" s="71" t="n"/>
      <c r="AS43" s="71" t="n"/>
      <c r="AT43" s="22" t="n"/>
    </row>
    <row r="44" ht="15" customHeight="1">
      <c r="A44" s="70">
        <f>IF(C44="","",IFERROR(IF(SUMPRODUCT(MAX((tbl_Finance[Job Number]&amp;""=C44&amp;"")*(tbl_Finance[Xero Invoice No]&lt;&gt;"")*tbl_Finance[Date]))=0,"",SUMPRODUCT(MAX((tbl_Finance[Job Number]&amp;""=C44&amp;"")*(tbl_Finance[Xero Invoice No]&lt;&gt;"")*tbl_Finance[Date]))),""))</f>
        <v/>
      </c>
      <c r="B44" s="26">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2" t="n"/>
      <c r="D44" s="26">
        <f>IF(C44="","",IF(COUNTIF(lst_Jobs,C44&amp;"")&gt;0,"OK","CHECK"))</f>
        <v/>
      </c>
      <c r="E44" s="26">
        <f>IF(C44="","",IFERROR(INDEX(lst_JobName,MATCH(C44&amp;"",lst_Jobs,0)),""))</f>
        <v/>
      </c>
      <c r="F44" s="22" t="n"/>
      <c r="G44" s="22" t="n"/>
      <c r="H44" s="22" t="n"/>
      <c r="I44" s="22" t="n"/>
      <c r="J44" s="22" t="n"/>
      <c r="K44" s="28">
        <f>IF(C44="","",COUNTIFS(tbl_Finance[Job Number],C44&amp;"",tbl_Finance[Ex GST],"&lt;&gt;"))</f>
        <v/>
      </c>
      <c r="L44" s="27">
        <f>IF(C44="","",SUMIFS(tbl_Finance[Ex GST],tbl_Finance[Job Number],C44&amp;""))</f>
        <v/>
      </c>
      <c r="M44" s="27">
        <f>IF(C44="","",SUMIFS(tbl_Finance[Ex GST],tbl_Finance[Job Number],C44&amp;"",tbl_Finance[Xero Invoice No],"&lt;&gt;"))</f>
        <v/>
      </c>
      <c r="N44" s="27">
        <f>IF(C44="","",L44-M44)</f>
        <v/>
      </c>
      <c r="O44" s="24" t="n"/>
      <c r="P44" s="27">
        <f>IF(C44="","",IF(O44="",0,MAX(0,O44-L44)))</f>
        <v/>
      </c>
      <c r="Q44" s="26">
        <f>IF(C44="","",IF(K44=0,"not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R44" s="27">
        <f>IF(C44="","",SUMIFS(tbl_Finance[Inc GST],tbl_Finance[Job Number],C44&amp;""))</f>
        <v/>
      </c>
      <c r="S44" s="22" t="n"/>
      <c r="T44" s="22" t="n"/>
      <c r="U44" s="22" t="n"/>
      <c r="V44" s="23" t="n"/>
      <c r="W44" s="22" t="n"/>
      <c r="X44" s="26">
        <f>IF(W44="","",IF(AND(LEFT(W44,4)&lt;&gt;"http",set_RMSBase=""),"",HYPERLINK(IF(LEFT(W44,4)="http",W44,set_RMSBase&amp;W44),"Open opportunity")))</f>
        <v/>
      </c>
      <c r="Y44" s="22" t="n"/>
      <c r="Z44" s="26">
        <f>IF(Y44="","",HYPERLINK(IF(LEFT(Y44,4)="http",Y44,set_QwilrBase&amp;Y44),"Open quote"))</f>
        <v/>
      </c>
      <c r="AA44" s="26">
        <f>IF(C44="","",C44)</f>
        <v/>
      </c>
      <c r="AB44" s="22" t="n"/>
      <c r="AC44" s="24" t="n"/>
      <c r="AD44" s="27">
        <f>IF(C44="","",L44+N(AC44))</f>
        <v/>
      </c>
      <c r="AE44" s="29">
        <f>IFERROR(AC44/AD44,"")</f>
        <v/>
      </c>
      <c r="AF44" s="24" t="n"/>
      <c r="AG44" s="24" t="n"/>
      <c r="AH44" s="24" t="n"/>
      <c r="AI44" s="24" t="n"/>
      <c r="AJ44" s="27">
        <f>IF(C44="","",SUMIFS(tbl_Finance[Ex GST],tbl_Finance[Job Number],C44&amp;"",tbl_Finance[Cost Centre],"VIDEO"))</f>
        <v/>
      </c>
      <c r="AK44" s="29">
        <f>IFERROR(AJ44/L44,"")</f>
        <v/>
      </c>
      <c r="AL44" s="27">
        <f>IF(C44="","",N(AF44)+N(AG44)+N(AH44)+N(AI44))</f>
        <v/>
      </c>
      <c r="AM44" s="27" t="n"/>
      <c r="AN44" s="29" t="n"/>
      <c r="AO44" s="71" t="n"/>
      <c r="AP44" s="71" t="n"/>
      <c r="AQ44" s="71" t="n"/>
      <c r="AR44" s="71" t="n"/>
      <c r="AS44" s="71" t="n"/>
      <c r="AT44" s="22" t="n"/>
    </row>
    <row r="45" ht="15" customHeight="1">
      <c r="A45" s="70">
        <f>IF(C45="","",IFERROR(IF(SUMPRODUCT(MAX((tbl_Finance[Job Number]&amp;""=C45&amp;"")*(tbl_Finance[Xero Invoice No]&lt;&gt;"")*tbl_Finance[Date]))=0,"",SUMPRODUCT(MAX((tbl_Finance[Job Number]&amp;""=C45&amp;"")*(tbl_Finance[Xero Invoice No]&lt;&gt;"")*tbl_Finance[Date]))),""))</f>
        <v/>
      </c>
      <c r="B45" s="26">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2" t="n"/>
      <c r="D45" s="26">
        <f>IF(C45="","",IF(COUNTIF(lst_Jobs,C45&amp;"")&gt;0,"OK","CHECK"))</f>
        <v/>
      </c>
      <c r="E45" s="26">
        <f>IF(C45="","",IFERROR(INDEX(lst_JobName,MATCH(C45&amp;"",lst_Jobs,0)),""))</f>
        <v/>
      </c>
      <c r="F45" s="22" t="n"/>
      <c r="G45" s="22" t="n"/>
      <c r="H45" s="22" t="n"/>
      <c r="I45" s="22" t="n"/>
      <c r="J45" s="22" t="n"/>
      <c r="K45" s="28">
        <f>IF(C45="","",COUNTIFS(tbl_Finance[Job Number],C45&amp;"",tbl_Finance[Ex GST],"&lt;&gt;"))</f>
        <v/>
      </c>
      <c r="L45" s="27">
        <f>IF(C45="","",SUMIFS(tbl_Finance[Ex GST],tbl_Finance[Job Number],C45&amp;""))</f>
        <v/>
      </c>
      <c r="M45" s="27">
        <f>IF(C45="","",SUMIFS(tbl_Finance[Ex GST],tbl_Finance[Job Number],C45&amp;"",tbl_Finance[Xero Invoice No],"&lt;&gt;"))</f>
        <v/>
      </c>
      <c r="N45" s="27">
        <f>IF(C45="","",L45-M45)</f>
        <v/>
      </c>
      <c r="O45" s="24" t="n"/>
      <c r="P45" s="27">
        <f>IF(C45="","",IF(O45="",0,MAX(0,O45-L45)))</f>
        <v/>
      </c>
      <c r="Q45" s="26">
        <f>IF(C45="","",IF(K45=0,"not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R45" s="27">
        <f>IF(C45="","",SUMIFS(tbl_Finance[Inc GST],tbl_Finance[Job Number],C45&amp;""))</f>
        <v/>
      </c>
      <c r="S45" s="22" t="n"/>
      <c r="T45" s="22" t="n"/>
      <c r="U45" s="22" t="n"/>
      <c r="V45" s="23" t="n"/>
      <c r="W45" s="22" t="n"/>
      <c r="X45" s="26">
        <f>IF(W45="","",IF(AND(LEFT(W45,4)&lt;&gt;"http",set_RMSBase=""),"",HYPERLINK(IF(LEFT(W45,4)="http",W45,set_RMSBase&amp;W45),"Open opportunity")))</f>
        <v/>
      </c>
      <c r="Y45" s="22" t="n"/>
      <c r="Z45" s="26">
        <f>IF(Y45="","",HYPERLINK(IF(LEFT(Y45,4)="http",Y45,set_QwilrBase&amp;Y45),"Open quote"))</f>
        <v/>
      </c>
      <c r="AA45" s="26">
        <f>IF(C45="","",C45)</f>
        <v/>
      </c>
      <c r="AB45" s="22" t="n"/>
      <c r="AC45" s="24" t="n"/>
      <c r="AD45" s="27">
        <f>IF(C45="","",L45+N(AC45))</f>
        <v/>
      </c>
      <c r="AE45" s="29">
        <f>IFERROR(AC45/AD45,"")</f>
        <v/>
      </c>
      <c r="AF45" s="24" t="n"/>
      <c r="AG45" s="24" t="n"/>
      <c r="AH45" s="24" t="n"/>
      <c r="AI45" s="24" t="n"/>
      <c r="AJ45" s="27">
        <f>IF(C45="","",SUMIFS(tbl_Finance[Ex GST],tbl_Finance[Job Number],C45&amp;"",tbl_Finance[Cost Centre],"VIDEO"))</f>
        <v/>
      </c>
      <c r="AK45" s="29">
        <f>IFERROR(AJ45/L45,"")</f>
        <v/>
      </c>
      <c r="AL45" s="27">
        <f>IF(C45="","",N(AF45)+N(AG45)+N(AH45)+N(AI45))</f>
        <v/>
      </c>
      <c r="AM45" s="27" t="n"/>
      <c r="AN45" s="29" t="n"/>
      <c r="AO45" s="71" t="n"/>
      <c r="AP45" s="71" t="n"/>
      <c r="AQ45" s="71" t="n"/>
      <c r="AR45" s="71" t="n"/>
      <c r="AS45" s="71" t="n"/>
      <c r="AT45" s="22" t="n"/>
    </row>
    <row r="46" ht="15" customHeight="1">
      <c r="A46" s="70">
        <f>IF(C46="","",IFERROR(IF(SUMPRODUCT(MAX((tbl_Finance[Job Number]&amp;""=C46&amp;"")*(tbl_Finance[Xero Invoice No]&lt;&gt;"")*tbl_Finance[Date]))=0,"",SUMPRODUCT(MAX((tbl_Finance[Job Number]&amp;""=C46&amp;"")*(tbl_Finance[Xero Invoice No]&lt;&gt;"")*tbl_Finance[Date]))),""))</f>
        <v/>
      </c>
      <c r="B46" s="26">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2" t="n"/>
      <c r="D46" s="26">
        <f>IF(C46="","",IF(COUNTIF(lst_Jobs,C46&amp;"")&gt;0,"OK","CHECK"))</f>
        <v/>
      </c>
      <c r="E46" s="26">
        <f>IF(C46="","",IFERROR(INDEX(lst_JobName,MATCH(C46&amp;"",lst_Jobs,0)),""))</f>
        <v/>
      </c>
      <c r="F46" s="22" t="n"/>
      <c r="G46" s="22" t="n"/>
      <c r="H46" s="22" t="n"/>
      <c r="I46" s="22" t="n"/>
      <c r="J46" s="22" t="n"/>
      <c r="K46" s="28">
        <f>IF(C46="","",COUNTIFS(tbl_Finance[Job Number],C46&amp;"",tbl_Finance[Ex GST],"&lt;&gt;"))</f>
        <v/>
      </c>
      <c r="L46" s="27">
        <f>IF(C46="","",SUMIFS(tbl_Finance[Ex GST],tbl_Finance[Job Number],C46&amp;""))</f>
        <v/>
      </c>
      <c r="M46" s="27">
        <f>IF(C46="","",SUMIFS(tbl_Finance[Ex GST],tbl_Finance[Job Number],C46&amp;"",tbl_Finance[Xero Invoice No],"&lt;&gt;"))</f>
        <v/>
      </c>
      <c r="N46" s="27">
        <f>IF(C46="","",L46-M46)</f>
        <v/>
      </c>
      <c r="O46" s="24" t="n"/>
      <c r="P46" s="27">
        <f>IF(C46="","",IF(O46="",0,MAX(0,O46-L46)))</f>
        <v/>
      </c>
      <c r="Q46" s="26">
        <f>IF(C46="","",IF(K46=0,"not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R46" s="27">
        <f>IF(C46="","",SUMIFS(tbl_Finance[Inc GST],tbl_Finance[Job Number],C46&amp;""))</f>
        <v/>
      </c>
      <c r="S46" s="22" t="n"/>
      <c r="T46" s="22" t="n"/>
      <c r="U46" s="22" t="n"/>
      <c r="V46" s="23" t="n"/>
      <c r="W46" s="22" t="n"/>
      <c r="X46" s="26">
        <f>IF(W46="","",IF(AND(LEFT(W46,4)&lt;&gt;"http",set_RMSBase=""),"",HYPERLINK(IF(LEFT(W46,4)="http",W46,set_RMSBase&amp;W46),"Open opportunity")))</f>
        <v/>
      </c>
      <c r="Y46" s="22" t="n"/>
      <c r="Z46" s="26">
        <f>IF(Y46="","",HYPERLINK(IF(LEFT(Y46,4)="http",Y46,set_QwilrBase&amp;Y46),"Open quote"))</f>
        <v/>
      </c>
      <c r="AA46" s="26">
        <f>IF(C46="","",C46)</f>
        <v/>
      </c>
      <c r="AB46" s="22" t="n"/>
      <c r="AC46" s="24" t="n"/>
      <c r="AD46" s="27">
        <f>IF(C46="","",L46+N(AC46))</f>
        <v/>
      </c>
      <c r="AE46" s="29">
        <f>IFERROR(AC46/AD46,"")</f>
        <v/>
      </c>
      <c r="AF46" s="24" t="n"/>
      <c r="AG46" s="24" t="n"/>
      <c r="AH46" s="24" t="n"/>
      <c r="AI46" s="24" t="n"/>
      <c r="AJ46" s="27">
        <f>IF(C46="","",SUMIFS(tbl_Finance[Ex GST],tbl_Finance[Job Number],C46&amp;"",tbl_Finance[Cost Centre],"VIDEO"))</f>
        <v/>
      </c>
      <c r="AK46" s="29">
        <f>IFERROR(AJ46/L46,"")</f>
        <v/>
      </c>
      <c r="AL46" s="27">
        <f>IF(C46="","",N(AF46)+N(AG46)+N(AH46)+N(AI46))</f>
        <v/>
      </c>
      <c r="AM46" s="27" t="n"/>
      <c r="AN46" s="29" t="n"/>
      <c r="AO46" s="71" t="n"/>
      <c r="AP46" s="71" t="n"/>
      <c r="AQ46" s="71" t="n"/>
      <c r="AR46" s="71" t="n"/>
      <c r="AS46" s="71" t="n"/>
      <c r="AT46" s="22" t="n"/>
    </row>
    <row r="47" ht="15" customHeight="1">
      <c r="A47" s="70">
        <f>IF(C47="","",IFERROR(IF(SUMPRODUCT(MAX((tbl_Finance[Job Number]&amp;""=C47&amp;"")*(tbl_Finance[Xero Invoice No]&lt;&gt;"")*tbl_Finance[Date]))=0,"",SUMPRODUCT(MAX((tbl_Finance[Job Number]&amp;""=C47&amp;"")*(tbl_Finance[Xero Invoice No]&lt;&gt;"")*tbl_Finance[Date]))),""))</f>
        <v/>
      </c>
      <c r="B47" s="26">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2" t="n"/>
      <c r="D47" s="26">
        <f>IF(C47="","",IF(COUNTIF(lst_Jobs,C47&amp;"")&gt;0,"OK","CHECK"))</f>
        <v/>
      </c>
      <c r="E47" s="26">
        <f>IF(C47="","",IFERROR(INDEX(lst_JobName,MATCH(C47&amp;"",lst_Jobs,0)),""))</f>
        <v/>
      </c>
      <c r="F47" s="22" t="n"/>
      <c r="G47" s="22" t="n"/>
      <c r="H47" s="22" t="n"/>
      <c r="I47" s="22" t="n"/>
      <c r="J47" s="22" t="n"/>
      <c r="K47" s="28">
        <f>IF(C47="","",COUNTIFS(tbl_Finance[Job Number],C47&amp;"",tbl_Finance[Ex GST],"&lt;&gt;"))</f>
        <v/>
      </c>
      <c r="L47" s="27">
        <f>IF(C47="","",SUMIFS(tbl_Finance[Ex GST],tbl_Finance[Job Number],C47&amp;""))</f>
        <v/>
      </c>
      <c r="M47" s="27">
        <f>IF(C47="","",SUMIFS(tbl_Finance[Ex GST],tbl_Finance[Job Number],C47&amp;"",tbl_Finance[Xero Invoice No],"&lt;&gt;"))</f>
        <v/>
      </c>
      <c r="N47" s="27">
        <f>IF(C47="","",L47-M47)</f>
        <v/>
      </c>
      <c r="O47" s="24" t="n"/>
      <c r="P47" s="27">
        <f>IF(C47="","",IF(O47="",0,MAX(0,O47-L47)))</f>
        <v/>
      </c>
      <c r="Q47" s="26">
        <f>IF(C47="","",IF(K47=0,"not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R47" s="27">
        <f>IF(C47="","",SUMIFS(tbl_Finance[Inc GST],tbl_Finance[Job Number],C47&amp;""))</f>
        <v/>
      </c>
      <c r="S47" s="22" t="n"/>
      <c r="T47" s="22" t="n"/>
      <c r="U47" s="22" t="n"/>
      <c r="V47" s="23" t="n"/>
      <c r="W47" s="22" t="n"/>
      <c r="X47" s="26">
        <f>IF(W47="","",IF(AND(LEFT(W47,4)&lt;&gt;"http",set_RMSBase=""),"",HYPERLINK(IF(LEFT(W47,4)="http",W47,set_RMSBase&amp;W47),"Open opportunity")))</f>
        <v/>
      </c>
      <c r="Y47" s="22" t="n"/>
      <c r="Z47" s="26">
        <f>IF(Y47="","",HYPERLINK(IF(LEFT(Y47,4)="http",Y47,set_QwilrBase&amp;Y47),"Open quote"))</f>
        <v/>
      </c>
      <c r="AA47" s="26">
        <f>IF(C47="","",C47)</f>
        <v/>
      </c>
      <c r="AB47" s="22" t="n"/>
      <c r="AC47" s="24" t="n"/>
      <c r="AD47" s="27">
        <f>IF(C47="","",L47+N(AC47))</f>
        <v/>
      </c>
      <c r="AE47" s="29">
        <f>IFERROR(AC47/AD47,"")</f>
        <v/>
      </c>
      <c r="AF47" s="24" t="n"/>
      <c r="AG47" s="24" t="n"/>
      <c r="AH47" s="24" t="n"/>
      <c r="AI47" s="24" t="n"/>
      <c r="AJ47" s="27">
        <f>IF(C47="","",SUMIFS(tbl_Finance[Ex GST],tbl_Finance[Job Number],C47&amp;"",tbl_Finance[Cost Centre],"VIDEO"))</f>
        <v/>
      </c>
      <c r="AK47" s="29">
        <f>IFERROR(AJ47/L47,"")</f>
        <v/>
      </c>
      <c r="AL47" s="27">
        <f>IF(C47="","",N(AF47)+N(AG47)+N(AH47)+N(AI47))</f>
        <v/>
      </c>
      <c r="AM47" s="27" t="n"/>
      <c r="AN47" s="29" t="n"/>
      <c r="AO47" s="71" t="n"/>
      <c r="AP47" s="71" t="n"/>
      <c r="AQ47" s="71" t="n"/>
      <c r="AR47" s="71" t="n"/>
      <c r="AS47" s="71" t="n"/>
      <c r="AT47" s="22" t="n"/>
    </row>
    <row r="48" ht="15" customHeight="1">
      <c r="A48" s="70">
        <f>IF(C48="","",IFERROR(IF(SUMPRODUCT(MAX((tbl_Finance[Job Number]&amp;""=C48&amp;"")*(tbl_Finance[Xero Invoice No]&lt;&gt;"")*tbl_Finance[Date]))=0,"",SUMPRODUCT(MAX((tbl_Finance[Job Number]&amp;""=C48&amp;"")*(tbl_Finance[Xero Invoice No]&lt;&gt;"")*tbl_Finance[Date]))),""))</f>
        <v/>
      </c>
      <c r="B48" s="26">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2" t="n"/>
      <c r="D48" s="26">
        <f>IF(C48="","",IF(COUNTIF(lst_Jobs,C48&amp;"")&gt;0,"OK","CHECK"))</f>
        <v/>
      </c>
      <c r="E48" s="26">
        <f>IF(C48="","",IFERROR(INDEX(lst_JobName,MATCH(C48&amp;"",lst_Jobs,0)),""))</f>
        <v/>
      </c>
      <c r="F48" s="22" t="n"/>
      <c r="G48" s="22" t="n"/>
      <c r="H48" s="22" t="n"/>
      <c r="I48" s="22" t="n"/>
      <c r="J48" s="22" t="n"/>
      <c r="K48" s="28">
        <f>IF(C48="","",COUNTIFS(tbl_Finance[Job Number],C48&amp;"",tbl_Finance[Ex GST],"&lt;&gt;"))</f>
        <v/>
      </c>
      <c r="L48" s="27">
        <f>IF(C48="","",SUMIFS(tbl_Finance[Ex GST],tbl_Finance[Job Number],C48&amp;""))</f>
        <v/>
      </c>
      <c r="M48" s="27">
        <f>IF(C48="","",SUMIFS(tbl_Finance[Ex GST],tbl_Finance[Job Number],C48&amp;"",tbl_Finance[Xero Invoice No],"&lt;&gt;"))</f>
        <v/>
      </c>
      <c r="N48" s="27">
        <f>IF(C48="","",L48-M48)</f>
        <v/>
      </c>
      <c r="O48" s="24" t="n"/>
      <c r="P48" s="27">
        <f>IF(C48="","",IF(O48="",0,MAX(0,O48-L48)))</f>
        <v/>
      </c>
      <c r="Q48" s="26">
        <f>IF(C48="","",IF(K48=0,"not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R48" s="27">
        <f>IF(C48="","",SUMIFS(tbl_Finance[Inc GST],tbl_Finance[Job Number],C48&amp;""))</f>
        <v/>
      </c>
      <c r="S48" s="22" t="n"/>
      <c r="T48" s="22" t="n"/>
      <c r="U48" s="22" t="n"/>
      <c r="V48" s="23" t="n"/>
      <c r="W48" s="22" t="n"/>
      <c r="X48" s="26">
        <f>IF(W48="","",IF(AND(LEFT(W48,4)&lt;&gt;"http",set_RMSBase=""),"",HYPERLINK(IF(LEFT(W48,4)="http",W48,set_RMSBase&amp;W48),"Open opportunity")))</f>
        <v/>
      </c>
      <c r="Y48" s="22" t="n"/>
      <c r="Z48" s="26">
        <f>IF(Y48="","",HYPERLINK(IF(LEFT(Y48,4)="http",Y48,set_QwilrBase&amp;Y48),"Open quote"))</f>
        <v/>
      </c>
      <c r="AA48" s="26">
        <f>IF(C48="","",C48)</f>
        <v/>
      </c>
      <c r="AB48" s="22" t="n"/>
      <c r="AC48" s="24" t="n"/>
      <c r="AD48" s="27">
        <f>IF(C48="","",L48+N(AC48))</f>
        <v/>
      </c>
      <c r="AE48" s="29">
        <f>IFERROR(AC48/AD48,"")</f>
        <v/>
      </c>
      <c r="AF48" s="24" t="n"/>
      <c r="AG48" s="24" t="n"/>
      <c r="AH48" s="24" t="n"/>
      <c r="AI48" s="24" t="n"/>
      <c r="AJ48" s="27">
        <f>IF(C48="","",SUMIFS(tbl_Finance[Ex GST],tbl_Finance[Job Number],C48&amp;"",tbl_Finance[Cost Centre],"VIDEO"))</f>
        <v/>
      </c>
      <c r="AK48" s="29">
        <f>IFERROR(AJ48/L48,"")</f>
        <v/>
      </c>
      <c r="AL48" s="27">
        <f>IF(C48="","",N(AF48)+N(AG48)+N(AH48)+N(AI48))</f>
        <v/>
      </c>
      <c r="AM48" s="27" t="n"/>
      <c r="AN48" s="29" t="n"/>
      <c r="AO48" s="71" t="n"/>
      <c r="AP48" s="71" t="n"/>
      <c r="AQ48" s="71" t="n"/>
      <c r="AR48" s="71" t="n"/>
      <c r="AS48" s="71" t="n"/>
      <c r="AT48" s="22" t="n"/>
    </row>
    <row r="49" ht="15" customHeight="1">
      <c r="A49" s="70">
        <f>IF(C49="","",IFERROR(IF(SUMPRODUCT(MAX((tbl_Finance[Job Number]&amp;""=C49&amp;"")*(tbl_Finance[Xero Invoice No]&lt;&gt;"")*tbl_Finance[Date]))=0,"",SUMPRODUCT(MAX((tbl_Finance[Job Number]&amp;""=C49&amp;"")*(tbl_Finance[Xero Invoice No]&lt;&gt;"")*tbl_Finance[Date]))),""))</f>
        <v/>
      </c>
      <c r="B49" s="26">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2" t="n"/>
      <c r="D49" s="26">
        <f>IF(C49="","",IF(COUNTIF(lst_Jobs,C49&amp;"")&gt;0,"OK","CHECK"))</f>
        <v/>
      </c>
      <c r="E49" s="26">
        <f>IF(C49="","",IFERROR(INDEX(lst_JobName,MATCH(C49&amp;"",lst_Jobs,0)),""))</f>
        <v/>
      </c>
      <c r="F49" s="22" t="n"/>
      <c r="G49" s="22" t="n"/>
      <c r="H49" s="22" t="n"/>
      <c r="I49" s="22" t="n"/>
      <c r="J49" s="22" t="n"/>
      <c r="K49" s="28">
        <f>IF(C49="","",COUNTIFS(tbl_Finance[Job Number],C49&amp;"",tbl_Finance[Ex GST],"&lt;&gt;"))</f>
        <v/>
      </c>
      <c r="L49" s="27">
        <f>IF(C49="","",SUMIFS(tbl_Finance[Ex GST],tbl_Finance[Job Number],C49&amp;""))</f>
        <v/>
      </c>
      <c r="M49" s="27">
        <f>IF(C49="","",SUMIFS(tbl_Finance[Ex GST],tbl_Finance[Job Number],C49&amp;"",tbl_Finance[Xero Invoice No],"&lt;&gt;"))</f>
        <v/>
      </c>
      <c r="N49" s="27">
        <f>IF(C49="","",L49-M49)</f>
        <v/>
      </c>
      <c r="O49" s="24" t="n"/>
      <c r="P49" s="27">
        <f>IF(C49="","",IF(O49="",0,MAX(0,O49-L49)))</f>
        <v/>
      </c>
      <c r="Q49" s="26">
        <f>IF(C49="","",IF(K49=0,"not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R49" s="27">
        <f>IF(C49="","",SUMIFS(tbl_Finance[Inc GST],tbl_Finance[Job Number],C49&amp;""))</f>
        <v/>
      </c>
      <c r="S49" s="22" t="n"/>
      <c r="T49" s="22" t="n"/>
      <c r="U49" s="22" t="n"/>
      <c r="V49" s="23" t="n"/>
      <c r="W49" s="22" t="n"/>
      <c r="X49" s="26">
        <f>IF(W49="","",IF(AND(LEFT(W49,4)&lt;&gt;"http",set_RMSBase=""),"",HYPERLINK(IF(LEFT(W49,4)="http",W49,set_RMSBase&amp;W49),"Open opportunity")))</f>
        <v/>
      </c>
      <c r="Y49" s="22" t="n"/>
      <c r="Z49" s="26">
        <f>IF(Y49="","",HYPERLINK(IF(LEFT(Y49,4)="http",Y49,set_QwilrBase&amp;Y49),"Open quote"))</f>
        <v/>
      </c>
      <c r="AA49" s="26">
        <f>IF(C49="","",C49)</f>
        <v/>
      </c>
      <c r="AB49" s="22" t="n"/>
      <c r="AC49" s="24" t="n"/>
      <c r="AD49" s="27">
        <f>IF(C49="","",L49+N(AC49))</f>
        <v/>
      </c>
      <c r="AE49" s="29">
        <f>IFERROR(AC49/AD49,"")</f>
        <v/>
      </c>
      <c r="AF49" s="24" t="n"/>
      <c r="AG49" s="24" t="n"/>
      <c r="AH49" s="24" t="n"/>
      <c r="AI49" s="24" t="n"/>
      <c r="AJ49" s="27">
        <f>IF(C49="","",SUMIFS(tbl_Finance[Ex GST],tbl_Finance[Job Number],C49&amp;"",tbl_Finance[Cost Centre],"VIDEO"))</f>
        <v/>
      </c>
      <c r="AK49" s="29">
        <f>IFERROR(AJ49/L49,"")</f>
        <v/>
      </c>
      <c r="AL49" s="27">
        <f>IF(C49="","",N(AF49)+N(AG49)+N(AH49)+N(AI49))</f>
        <v/>
      </c>
      <c r="AM49" s="27" t="n"/>
      <c r="AN49" s="29" t="n"/>
      <c r="AO49" s="71" t="n"/>
      <c r="AP49" s="71" t="n"/>
      <c r="AQ49" s="71" t="n"/>
      <c r="AR49" s="71" t="n"/>
      <c r="AS49" s="71" t="n"/>
      <c r="AT49" s="22" t="n"/>
    </row>
    <row r="50" ht="15" customHeight="1">
      <c r="A50" s="70">
        <f>IF(C50="","",IFERROR(IF(SUMPRODUCT(MAX((tbl_Finance[Job Number]&amp;""=C50&amp;"")*(tbl_Finance[Xero Invoice No]&lt;&gt;"")*tbl_Finance[Date]))=0,"",SUMPRODUCT(MAX((tbl_Finance[Job Number]&amp;""=C50&amp;"")*(tbl_Finance[Xero Invoice No]&lt;&gt;"")*tbl_Finance[Date]))),""))</f>
        <v/>
      </c>
      <c r="B50" s="26">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2" t="n"/>
      <c r="D50" s="26">
        <f>IF(C50="","",IF(COUNTIF(lst_Jobs,C50&amp;"")&gt;0,"OK","CHECK"))</f>
        <v/>
      </c>
      <c r="E50" s="26">
        <f>IF(C50="","",IFERROR(INDEX(lst_JobName,MATCH(C50&amp;"",lst_Jobs,0)),""))</f>
        <v/>
      </c>
      <c r="F50" s="22" t="n"/>
      <c r="G50" s="22" t="n"/>
      <c r="H50" s="22" t="n"/>
      <c r="I50" s="22" t="n"/>
      <c r="J50" s="22" t="n"/>
      <c r="K50" s="28">
        <f>IF(C50="","",COUNTIFS(tbl_Finance[Job Number],C50&amp;"",tbl_Finance[Ex GST],"&lt;&gt;"))</f>
        <v/>
      </c>
      <c r="L50" s="27">
        <f>IF(C50="","",SUMIFS(tbl_Finance[Ex GST],tbl_Finance[Job Number],C50&amp;""))</f>
        <v/>
      </c>
      <c r="M50" s="27">
        <f>IF(C50="","",SUMIFS(tbl_Finance[Ex GST],tbl_Finance[Job Number],C50&amp;"",tbl_Finance[Xero Invoice No],"&lt;&gt;"))</f>
        <v/>
      </c>
      <c r="N50" s="27">
        <f>IF(C50="","",L50-M50)</f>
        <v/>
      </c>
      <c r="O50" s="24" t="n"/>
      <c r="P50" s="27">
        <f>IF(C50="","",IF(O50="",0,MAX(0,O50-L50)))</f>
        <v/>
      </c>
      <c r="Q50" s="26">
        <f>IF(C50="","",IF(K50=0,"not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R50" s="27">
        <f>IF(C50="","",SUMIFS(tbl_Finance[Inc GST],tbl_Finance[Job Number],C50&amp;""))</f>
        <v/>
      </c>
      <c r="S50" s="22" t="n"/>
      <c r="T50" s="22" t="n"/>
      <c r="U50" s="22" t="n"/>
      <c r="V50" s="23" t="n"/>
      <c r="W50" s="22" t="n"/>
      <c r="X50" s="26">
        <f>IF(W50="","",IF(AND(LEFT(W50,4)&lt;&gt;"http",set_RMSBase=""),"",HYPERLINK(IF(LEFT(W50,4)="http",W50,set_RMSBase&amp;W50),"Open opportunity")))</f>
        <v/>
      </c>
      <c r="Y50" s="22" t="n"/>
      <c r="Z50" s="26">
        <f>IF(Y50="","",HYPERLINK(IF(LEFT(Y50,4)="http",Y50,set_QwilrBase&amp;Y50),"Open quote"))</f>
        <v/>
      </c>
      <c r="AA50" s="26">
        <f>IF(C50="","",C50)</f>
        <v/>
      </c>
      <c r="AB50" s="22" t="n"/>
      <c r="AC50" s="24" t="n"/>
      <c r="AD50" s="27">
        <f>IF(C50="","",L50+N(AC50))</f>
        <v/>
      </c>
      <c r="AE50" s="29">
        <f>IFERROR(AC50/AD50,"")</f>
        <v/>
      </c>
      <c r="AF50" s="24" t="n"/>
      <c r="AG50" s="24" t="n"/>
      <c r="AH50" s="24" t="n"/>
      <c r="AI50" s="24" t="n"/>
      <c r="AJ50" s="27">
        <f>IF(C50="","",SUMIFS(tbl_Finance[Ex GST],tbl_Finance[Job Number],C50&amp;"",tbl_Finance[Cost Centre],"VIDEO"))</f>
        <v/>
      </c>
      <c r="AK50" s="29">
        <f>IFERROR(AJ50/L50,"")</f>
        <v/>
      </c>
      <c r="AL50" s="27">
        <f>IF(C50="","",N(AF50)+N(AG50)+N(AH50)+N(AI50))</f>
        <v/>
      </c>
      <c r="AM50" s="27" t="n"/>
      <c r="AN50" s="29" t="n"/>
      <c r="AO50" s="71" t="n"/>
      <c r="AP50" s="71" t="n"/>
      <c r="AQ50" s="71" t="n"/>
      <c r="AR50" s="71" t="n"/>
      <c r="AS50" s="71" t="n"/>
      <c r="AT50" s="22" t="n"/>
    </row>
    <row r="51" ht="15" customHeight="1">
      <c r="A51" s="70">
        <f>IF(C51="","",IFERROR(IF(SUMPRODUCT(MAX((tbl_Finance[Job Number]&amp;""=C51&amp;"")*(tbl_Finance[Xero Invoice No]&lt;&gt;"")*tbl_Finance[Date]))=0,"",SUMPRODUCT(MAX((tbl_Finance[Job Number]&amp;""=C51&amp;"")*(tbl_Finance[Xero Invoice No]&lt;&gt;"")*tbl_Finance[Date]))),""))</f>
        <v/>
      </c>
      <c r="B51" s="26">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2" t="n"/>
      <c r="D51" s="26">
        <f>IF(C51="","",IF(COUNTIF(lst_Jobs,C51&amp;"")&gt;0,"OK","CHECK"))</f>
        <v/>
      </c>
      <c r="E51" s="26">
        <f>IF(C51="","",IFERROR(INDEX(lst_JobName,MATCH(C51&amp;"",lst_Jobs,0)),""))</f>
        <v/>
      </c>
      <c r="F51" s="22" t="n"/>
      <c r="G51" s="22" t="n"/>
      <c r="H51" s="22" t="n"/>
      <c r="I51" s="22" t="n"/>
      <c r="J51" s="22" t="n"/>
      <c r="K51" s="28">
        <f>IF(C51="","",COUNTIFS(tbl_Finance[Job Number],C51&amp;"",tbl_Finance[Ex GST],"&lt;&gt;"))</f>
        <v/>
      </c>
      <c r="L51" s="27">
        <f>IF(C51="","",SUMIFS(tbl_Finance[Ex GST],tbl_Finance[Job Number],C51&amp;""))</f>
        <v/>
      </c>
      <c r="M51" s="27">
        <f>IF(C51="","",SUMIFS(tbl_Finance[Ex GST],tbl_Finance[Job Number],C51&amp;"",tbl_Finance[Xero Invoice No],"&lt;&gt;"))</f>
        <v/>
      </c>
      <c r="N51" s="27">
        <f>IF(C51="","",L51-M51)</f>
        <v/>
      </c>
      <c r="O51" s="24" t="n"/>
      <c r="P51" s="27">
        <f>IF(C51="","",IF(O51="",0,MAX(0,O51-L51)))</f>
        <v/>
      </c>
      <c r="Q51" s="26">
        <f>IF(C51="","",IF(K51=0,"not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R51" s="27">
        <f>IF(C51="","",SUMIFS(tbl_Finance[Inc GST],tbl_Finance[Job Number],C51&amp;""))</f>
        <v/>
      </c>
      <c r="S51" s="22" t="n"/>
      <c r="T51" s="22" t="n"/>
      <c r="U51" s="22" t="n"/>
      <c r="V51" s="23" t="n"/>
      <c r="W51" s="22" t="n"/>
      <c r="X51" s="26">
        <f>IF(W51="","",IF(AND(LEFT(W51,4)&lt;&gt;"http",set_RMSBase=""),"",HYPERLINK(IF(LEFT(W51,4)="http",W51,set_RMSBase&amp;W51),"Open opportunity")))</f>
        <v/>
      </c>
      <c r="Y51" s="22" t="n"/>
      <c r="Z51" s="26">
        <f>IF(Y51="","",HYPERLINK(IF(LEFT(Y51,4)="http",Y51,set_QwilrBase&amp;Y51),"Open quote"))</f>
        <v/>
      </c>
      <c r="AA51" s="26">
        <f>IF(C51="","",C51)</f>
        <v/>
      </c>
      <c r="AB51" s="22" t="n"/>
      <c r="AC51" s="24" t="n"/>
      <c r="AD51" s="27">
        <f>IF(C51="","",L51+N(AC51))</f>
        <v/>
      </c>
      <c r="AE51" s="29">
        <f>IFERROR(AC51/AD51,"")</f>
        <v/>
      </c>
      <c r="AF51" s="24" t="n"/>
      <c r="AG51" s="24" t="n"/>
      <c r="AH51" s="24" t="n"/>
      <c r="AI51" s="24" t="n"/>
      <c r="AJ51" s="27">
        <f>IF(C51="","",SUMIFS(tbl_Finance[Ex GST],tbl_Finance[Job Number],C51&amp;"",tbl_Finance[Cost Centre],"VIDEO"))</f>
        <v/>
      </c>
      <c r="AK51" s="29">
        <f>IFERROR(AJ51/L51,"")</f>
        <v/>
      </c>
      <c r="AL51" s="27">
        <f>IF(C51="","",N(AF51)+N(AG51)+N(AH51)+N(AI51))</f>
        <v/>
      </c>
      <c r="AM51" s="27" t="n"/>
      <c r="AN51" s="29" t="n"/>
      <c r="AO51" s="71" t="n"/>
      <c r="AP51" s="71" t="n"/>
      <c r="AQ51" s="71" t="n"/>
      <c r="AR51" s="71" t="n"/>
      <c r="AS51" s="71" t="n"/>
      <c r="AT51" s="22" t="n"/>
    </row>
    <row r="52" ht="15" customHeight="1">
      <c r="A52" s="70">
        <f>IF(C52="","",IFERROR(IF(SUMPRODUCT(MAX((tbl_Finance[Job Number]&amp;""=C52&amp;"")*(tbl_Finance[Xero Invoice No]&lt;&gt;"")*tbl_Finance[Date]))=0,"",SUMPRODUCT(MAX((tbl_Finance[Job Number]&amp;""=C52&amp;"")*(tbl_Finance[Xero Invoice No]&lt;&gt;"")*tbl_Finance[Date]))),""))</f>
        <v/>
      </c>
      <c r="B52" s="26">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2" t="n"/>
      <c r="D52" s="26">
        <f>IF(C52="","",IF(COUNTIF(lst_Jobs,C52&amp;"")&gt;0,"OK","CHECK"))</f>
        <v/>
      </c>
      <c r="E52" s="26">
        <f>IF(C52="","",IFERROR(INDEX(lst_JobName,MATCH(C52&amp;"",lst_Jobs,0)),""))</f>
        <v/>
      </c>
      <c r="F52" s="22" t="n"/>
      <c r="G52" s="22" t="n"/>
      <c r="H52" s="22" t="n"/>
      <c r="I52" s="22" t="n"/>
      <c r="J52" s="22" t="n"/>
      <c r="K52" s="28">
        <f>IF(C52="","",COUNTIFS(tbl_Finance[Job Number],C52&amp;"",tbl_Finance[Ex GST],"&lt;&gt;"))</f>
        <v/>
      </c>
      <c r="L52" s="27">
        <f>IF(C52="","",SUMIFS(tbl_Finance[Ex GST],tbl_Finance[Job Number],C52&amp;""))</f>
        <v/>
      </c>
      <c r="M52" s="27">
        <f>IF(C52="","",SUMIFS(tbl_Finance[Ex GST],tbl_Finance[Job Number],C52&amp;"",tbl_Finance[Xero Invoice No],"&lt;&gt;"))</f>
        <v/>
      </c>
      <c r="N52" s="27">
        <f>IF(C52="","",L52-M52)</f>
        <v/>
      </c>
      <c r="O52" s="24" t="n"/>
      <c r="P52" s="27">
        <f>IF(C52="","",IF(O52="",0,MAX(0,O52-L52)))</f>
        <v/>
      </c>
      <c r="Q52" s="26">
        <f>IF(C52="","",IF(K52=0,"not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R52" s="27">
        <f>IF(C52="","",SUMIFS(tbl_Finance[Inc GST],tbl_Finance[Job Number],C52&amp;""))</f>
        <v/>
      </c>
      <c r="S52" s="22" t="n"/>
      <c r="T52" s="22" t="n"/>
      <c r="U52" s="22" t="n"/>
      <c r="V52" s="23" t="n"/>
      <c r="W52" s="22" t="n"/>
      <c r="X52" s="26">
        <f>IF(W52="","",IF(AND(LEFT(W52,4)&lt;&gt;"http",set_RMSBase=""),"",HYPERLINK(IF(LEFT(W52,4)="http",W52,set_RMSBase&amp;W52),"Open opportunity")))</f>
        <v/>
      </c>
      <c r="Y52" s="22" t="n"/>
      <c r="Z52" s="26">
        <f>IF(Y52="","",HYPERLINK(IF(LEFT(Y52,4)="http",Y52,set_QwilrBase&amp;Y52),"Open quote"))</f>
        <v/>
      </c>
      <c r="AA52" s="26">
        <f>IF(C52="","",C52)</f>
        <v/>
      </c>
      <c r="AB52" s="22" t="n"/>
      <c r="AC52" s="24" t="n"/>
      <c r="AD52" s="27">
        <f>IF(C52="","",L52+N(AC52))</f>
        <v/>
      </c>
      <c r="AE52" s="29">
        <f>IFERROR(AC52/AD52,"")</f>
        <v/>
      </c>
      <c r="AF52" s="24" t="n"/>
      <c r="AG52" s="24" t="n"/>
      <c r="AH52" s="24" t="n"/>
      <c r="AI52" s="24" t="n"/>
      <c r="AJ52" s="27">
        <f>IF(C52="","",SUMIFS(tbl_Finance[Ex GST],tbl_Finance[Job Number],C52&amp;"",tbl_Finance[Cost Centre],"VIDEO"))</f>
        <v/>
      </c>
      <c r="AK52" s="29">
        <f>IFERROR(AJ52/L52,"")</f>
        <v/>
      </c>
      <c r="AL52" s="27">
        <f>IF(C52="","",N(AF52)+N(AG52)+N(AH52)+N(AI52))</f>
        <v/>
      </c>
      <c r="AM52" s="27" t="n"/>
      <c r="AN52" s="29" t="n"/>
      <c r="AO52" s="71" t="n"/>
      <c r="AP52" s="71" t="n"/>
      <c r="AQ52" s="71" t="n"/>
      <c r="AR52" s="71" t="n"/>
      <c r="AS52" s="71" t="n"/>
      <c r="AT52" s="22" t="n"/>
    </row>
    <row r="53" ht="15" customHeight="1">
      <c r="A53" s="70">
        <f>IF(C53="","",IFERROR(IF(SUMPRODUCT(MAX((tbl_Finance[Job Number]&amp;""=C53&amp;"")*(tbl_Finance[Xero Invoice No]&lt;&gt;"")*tbl_Finance[Date]))=0,"",SUMPRODUCT(MAX((tbl_Finance[Job Number]&amp;""=C53&amp;"")*(tbl_Finance[Xero Invoice No]&lt;&gt;"")*tbl_Finance[Date]))),""))</f>
        <v/>
      </c>
      <c r="B53" s="26">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2" t="n"/>
      <c r="D53" s="26">
        <f>IF(C53="","",IF(COUNTIF(lst_Jobs,C53&amp;"")&gt;0,"OK","CHECK"))</f>
        <v/>
      </c>
      <c r="E53" s="26">
        <f>IF(C53="","",IFERROR(INDEX(lst_JobName,MATCH(C53&amp;"",lst_Jobs,0)),""))</f>
        <v/>
      </c>
      <c r="F53" s="22" t="n"/>
      <c r="G53" s="22" t="n"/>
      <c r="H53" s="22" t="n"/>
      <c r="I53" s="22" t="n"/>
      <c r="J53" s="22" t="n"/>
      <c r="K53" s="28">
        <f>IF(C53="","",COUNTIFS(tbl_Finance[Job Number],C53&amp;"",tbl_Finance[Ex GST],"&lt;&gt;"))</f>
        <v/>
      </c>
      <c r="L53" s="27">
        <f>IF(C53="","",SUMIFS(tbl_Finance[Ex GST],tbl_Finance[Job Number],C53&amp;""))</f>
        <v/>
      </c>
      <c r="M53" s="27">
        <f>IF(C53="","",SUMIFS(tbl_Finance[Ex GST],tbl_Finance[Job Number],C53&amp;"",tbl_Finance[Xero Invoice No],"&lt;&gt;"))</f>
        <v/>
      </c>
      <c r="N53" s="27">
        <f>IF(C53="","",L53-M53)</f>
        <v/>
      </c>
      <c r="O53" s="24" t="n"/>
      <c r="P53" s="27">
        <f>IF(C53="","",IF(O53="",0,MAX(0,O53-L53)))</f>
        <v/>
      </c>
      <c r="Q53" s="26">
        <f>IF(C53="","",IF(K53=0,"not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R53" s="27">
        <f>IF(C53="","",SUMIFS(tbl_Finance[Inc GST],tbl_Finance[Job Number],C53&amp;""))</f>
        <v/>
      </c>
      <c r="S53" s="22" t="n"/>
      <c r="T53" s="22" t="n"/>
      <c r="U53" s="22" t="n"/>
      <c r="V53" s="23" t="n"/>
      <c r="W53" s="22" t="n"/>
      <c r="X53" s="26">
        <f>IF(W53="","",IF(AND(LEFT(W53,4)&lt;&gt;"http",set_RMSBase=""),"",HYPERLINK(IF(LEFT(W53,4)="http",W53,set_RMSBase&amp;W53),"Open opportunity")))</f>
        <v/>
      </c>
      <c r="Y53" s="22" t="n"/>
      <c r="Z53" s="26">
        <f>IF(Y53="","",HYPERLINK(IF(LEFT(Y53,4)="http",Y53,set_QwilrBase&amp;Y53),"Open quote"))</f>
        <v/>
      </c>
      <c r="AA53" s="26">
        <f>IF(C53="","",C53)</f>
        <v/>
      </c>
      <c r="AB53" s="22" t="n"/>
      <c r="AC53" s="24" t="n"/>
      <c r="AD53" s="27">
        <f>IF(C53="","",L53+N(AC53))</f>
        <v/>
      </c>
      <c r="AE53" s="29">
        <f>IFERROR(AC53/AD53,"")</f>
        <v/>
      </c>
      <c r="AF53" s="24" t="n"/>
      <c r="AG53" s="24" t="n"/>
      <c r="AH53" s="24" t="n"/>
      <c r="AI53" s="24" t="n"/>
      <c r="AJ53" s="27">
        <f>IF(C53="","",SUMIFS(tbl_Finance[Ex GST],tbl_Finance[Job Number],C53&amp;"",tbl_Finance[Cost Centre],"VIDEO"))</f>
        <v/>
      </c>
      <c r="AK53" s="29">
        <f>IFERROR(AJ53/L53,"")</f>
        <v/>
      </c>
      <c r="AL53" s="27">
        <f>IF(C53="","",N(AF53)+N(AG53)+N(AH53)+N(AI53))</f>
        <v/>
      </c>
      <c r="AM53" s="27" t="n"/>
      <c r="AN53" s="29" t="n"/>
      <c r="AO53" s="71" t="n"/>
      <c r="AP53" s="71" t="n"/>
      <c r="AQ53" s="71" t="n"/>
      <c r="AR53" s="71" t="n"/>
      <c r="AS53" s="71" t="n"/>
      <c r="AT53" s="22" t="n"/>
    </row>
    <row r="54" ht="15" customHeight="1">
      <c r="A54" s="70">
        <f>IF(C54="","",IFERROR(IF(SUMPRODUCT(MAX((tbl_Finance[Job Number]&amp;""=C54&amp;"")*(tbl_Finance[Xero Invoice No]&lt;&gt;"")*tbl_Finance[Date]))=0,"",SUMPRODUCT(MAX((tbl_Finance[Job Number]&amp;""=C54&amp;"")*(tbl_Finance[Xero Invoice No]&lt;&gt;"")*tbl_Finance[Date]))),""))</f>
        <v/>
      </c>
      <c r="B54" s="26">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2" t="n"/>
      <c r="D54" s="26">
        <f>IF(C54="","",IF(COUNTIF(lst_Jobs,C54&amp;"")&gt;0,"OK","CHECK"))</f>
        <v/>
      </c>
      <c r="E54" s="26">
        <f>IF(C54="","",IFERROR(INDEX(lst_JobName,MATCH(C54&amp;"",lst_Jobs,0)),""))</f>
        <v/>
      </c>
      <c r="F54" s="22" t="n"/>
      <c r="G54" s="22" t="n"/>
      <c r="H54" s="22" t="n"/>
      <c r="I54" s="22" t="n"/>
      <c r="J54" s="22" t="n"/>
      <c r="K54" s="28">
        <f>IF(C54="","",COUNTIFS(tbl_Finance[Job Number],C54&amp;"",tbl_Finance[Ex GST],"&lt;&gt;"))</f>
        <v/>
      </c>
      <c r="L54" s="27">
        <f>IF(C54="","",SUMIFS(tbl_Finance[Ex GST],tbl_Finance[Job Number],C54&amp;""))</f>
        <v/>
      </c>
      <c r="M54" s="27">
        <f>IF(C54="","",SUMIFS(tbl_Finance[Ex GST],tbl_Finance[Job Number],C54&amp;"",tbl_Finance[Xero Invoice No],"&lt;&gt;"))</f>
        <v/>
      </c>
      <c r="N54" s="27">
        <f>IF(C54="","",L54-M54)</f>
        <v/>
      </c>
      <c r="O54" s="24" t="n"/>
      <c r="P54" s="27">
        <f>IF(C54="","",IF(O54="",0,MAX(0,O54-L54)))</f>
        <v/>
      </c>
      <c r="Q54" s="26">
        <f>IF(C54="","",IF(K54=0,"not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R54" s="27">
        <f>IF(C54="","",SUMIFS(tbl_Finance[Inc GST],tbl_Finance[Job Number],C54&amp;""))</f>
        <v/>
      </c>
      <c r="S54" s="22" t="n"/>
      <c r="T54" s="22" t="n"/>
      <c r="U54" s="22" t="n"/>
      <c r="V54" s="23" t="n"/>
      <c r="W54" s="22" t="n"/>
      <c r="X54" s="26">
        <f>IF(W54="","",IF(AND(LEFT(W54,4)&lt;&gt;"http",set_RMSBase=""),"",HYPERLINK(IF(LEFT(W54,4)="http",W54,set_RMSBase&amp;W54),"Open opportunity")))</f>
        <v/>
      </c>
      <c r="Y54" s="22" t="n"/>
      <c r="Z54" s="26">
        <f>IF(Y54="","",HYPERLINK(IF(LEFT(Y54,4)="http",Y54,set_QwilrBase&amp;Y54),"Open quote"))</f>
        <v/>
      </c>
      <c r="AA54" s="26">
        <f>IF(C54="","",C54)</f>
        <v/>
      </c>
      <c r="AB54" s="22" t="n"/>
      <c r="AC54" s="24" t="n"/>
      <c r="AD54" s="27">
        <f>IF(C54="","",L54+N(AC54))</f>
        <v/>
      </c>
      <c r="AE54" s="29">
        <f>IFERROR(AC54/AD54,"")</f>
        <v/>
      </c>
      <c r="AF54" s="24" t="n"/>
      <c r="AG54" s="24" t="n"/>
      <c r="AH54" s="24" t="n"/>
      <c r="AI54" s="24" t="n"/>
      <c r="AJ54" s="27">
        <f>IF(C54="","",SUMIFS(tbl_Finance[Ex GST],tbl_Finance[Job Number],C54&amp;"",tbl_Finance[Cost Centre],"VIDEO"))</f>
        <v/>
      </c>
      <c r="AK54" s="29">
        <f>IFERROR(AJ54/L54,"")</f>
        <v/>
      </c>
      <c r="AL54" s="27">
        <f>IF(C54="","",N(AF54)+N(AG54)+N(AH54)+N(AI54))</f>
        <v/>
      </c>
      <c r="AM54" s="27" t="n"/>
      <c r="AN54" s="29" t="n"/>
      <c r="AO54" s="71" t="n"/>
      <c r="AP54" s="71" t="n"/>
      <c r="AQ54" s="71" t="n"/>
      <c r="AR54" s="71" t="n"/>
      <c r="AS54" s="71" t="n"/>
      <c r="AT54" s="22" t="n"/>
    </row>
    <row r="55" ht="15" customHeight="1">
      <c r="A55" s="70">
        <f>IF(C55="","",IFERROR(IF(SUMPRODUCT(MAX((tbl_Finance[Job Number]&amp;""=C55&amp;"")*(tbl_Finance[Xero Invoice No]&lt;&gt;"")*tbl_Finance[Date]))=0,"",SUMPRODUCT(MAX((tbl_Finance[Job Number]&amp;""=C55&amp;"")*(tbl_Finance[Xero Invoice No]&lt;&gt;"")*tbl_Finance[Date]))),""))</f>
        <v/>
      </c>
      <c r="B55" s="26">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2" t="n"/>
      <c r="D55" s="26">
        <f>IF(C55="","",IF(COUNTIF(lst_Jobs,C55&amp;"")&gt;0,"OK","CHECK"))</f>
        <v/>
      </c>
      <c r="E55" s="26">
        <f>IF(C55="","",IFERROR(INDEX(lst_JobName,MATCH(C55&amp;"",lst_Jobs,0)),""))</f>
        <v/>
      </c>
      <c r="F55" s="22" t="n"/>
      <c r="G55" s="22" t="n"/>
      <c r="H55" s="22" t="n"/>
      <c r="I55" s="22" t="n"/>
      <c r="J55" s="22" t="n"/>
      <c r="K55" s="28">
        <f>IF(C55="","",COUNTIFS(tbl_Finance[Job Number],C55&amp;"",tbl_Finance[Ex GST],"&lt;&gt;"))</f>
        <v/>
      </c>
      <c r="L55" s="27">
        <f>IF(C55="","",SUMIFS(tbl_Finance[Ex GST],tbl_Finance[Job Number],C55&amp;""))</f>
        <v/>
      </c>
      <c r="M55" s="27">
        <f>IF(C55="","",SUMIFS(tbl_Finance[Ex GST],tbl_Finance[Job Number],C55&amp;"",tbl_Finance[Xero Invoice No],"&lt;&gt;"))</f>
        <v/>
      </c>
      <c r="N55" s="27">
        <f>IF(C55="","",L55-M55)</f>
        <v/>
      </c>
      <c r="O55" s="24" t="n"/>
      <c r="P55" s="27">
        <f>IF(C55="","",IF(O55="",0,MAX(0,O55-L55)))</f>
        <v/>
      </c>
      <c r="Q55" s="26">
        <f>IF(C55="","",IF(K55=0,"not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R55" s="27">
        <f>IF(C55="","",SUMIFS(tbl_Finance[Inc GST],tbl_Finance[Job Number],C55&amp;""))</f>
        <v/>
      </c>
      <c r="S55" s="22" t="n"/>
      <c r="T55" s="22" t="n"/>
      <c r="U55" s="22" t="n"/>
      <c r="V55" s="23" t="n"/>
      <c r="W55" s="22" t="n"/>
      <c r="X55" s="26">
        <f>IF(W55="","",IF(AND(LEFT(W55,4)&lt;&gt;"http",set_RMSBase=""),"",HYPERLINK(IF(LEFT(W55,4)="http",W55,set_RMSBase&amp;W55),"Open opportunity")))</f>
        <v/>
      </c>
      <c r="Y55" s="22" t="n"/>
      <c r="Z55" s="26">
        <f>IF(Y55="","",HYPERLINK(IF(LEFT(Y55,4)="http",Y55,set_QwilrBase&amp;Y55),"Open quote"))</f>
        <v/>
      </c>
      <c r="AA55" s="26">
        <f>IF(C55="","",C55)</f>
        <v/>
      </c>
      <c r="AB55" s="22" t="n"/>
      <c r="AC55" s="24" t="n"/>
      <c r="AD55" s="27">
        <f>IF(C55="","",L55+N(AC55))</f>
        <v/>
      </c>
      <c r="AE55" s="29">
        <f>IFERROR(AC55/AD55,"")</f>
        <v/>
      </c>
      <c r="AF55" s="24" t="n"/>
      <c r="AG55" s="24" t="n"/>
      <c r="AH55" s="24" t="n"/>
      <c r="AI55" s="24" t="n"/>
      <c r="AJ55" s="27">
        <f>IF(C55="","",SUMIFS(tbl_Finance[Ex GST],tbl_Finance[Job Number],C55&amp;"",tbl_Finance[Cost Centre],"VIDEO"))</f>
        <v/>
      </c>
      <c r="AK55" s="29">
        <f>IFERROR(AJ55/L55,"")</f>
        <v/>
      </c>
      <c r="AL55" s="27">
        <f>IF(C55="","",N(AF55)+N(AG55)+N(AH55)+N(AI55))</f>
        <v/>
      </c>
      <c r="AM55" s="27" t="n"/>
      <c r="AN55" s="29" t="n"/>
      <c r="AO55" s="71" t="n"/>
      <c r="AP55" s="71" t="n"/>
      <c r="AQ55" s="71" t="n"/>
      <c r="AR55" s="71" t="n"/>
      <c r="AS55" s="71" t="n"/>
      <c r="AT55" s="22" t="n"/>
    </row>
    <row r="56" ht="15" customHeight="1">
      <c r="A56" s="70">
        <f>IF(C56="","",IFERROR(IF(SUMPRODUCT(MAX((tbl_Finance[Job Number]&amp;""=C56&amp;"")*(tbl_Finance[Xero Invoice No]&lt;&gt;"")*tbl_Finance[Date]))=0,"",SUMPRODUCT(MAX((tbl_Finance[Job Number]&amp;""=C56&amp;"")*(tbl_Finance[Xero Invoice No]&lt;&gt;"")*tbl_Finance[Date]))),""))</f>
        <v/>
      </c>
      <c r="B56" s="26">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2" t="n"/>
      <c r="D56" s="26">
        <f>IF(C56="","",IF(COUNTIF(lst_Jobs,C56&amp;"")&gt;0,"OK","CHECK"))</f>
        <v/>
      </c>
      <c r="E56" s="26">
        <f>IF(C56="","",IFERROR(INDEX(lst_JobName,MATCH(C56&amp;"",lst_Jobs,0)),""))</f>
        <v/>
      </c>
      <c r="F56" s="22" t="n"/>
      <c r="G56" s="22" t="n"/>
      <c r="H56" s="22" t="n"/>
      <c r="I56" s="22" t="n"/>
      <c r="J56" s="22" t="n"/>
      <c r="K56" s="28">
        <f>IF(C56="","",COUNTIFS(tbl_Finance[Job Number],C56&amp;"",tbl_Finance[Ex GST],"&lt;&gt;"))</f>
        <v/>
      </c>
      <c r="L56" s="27">
        <f>IF(C56="","",SUMIFS(tbl_Finance[Ex GST],tbl_Finance[Job Number],C56&amp;""))</f>
        <v/>
      </c>
      <c r="M56" s="27">
        <f>IF(C56="","",SUMIFS(tbl_Finance[Ex GST],tbl_Finance[Job Number],C56&amp;"",tbl_Finance[Xero Invoice No],"&lt;&gt;"))</f>
        <v/>
      </c>
      <c r="N56" s="27">
        <f>IF(C56="","",L56-M56)</f>
        <v/>
      </c>
      <c r="O56" s="24" t="n"/>
      <c r="P56" s="27">
        <f>IF(C56="","",IF(O56="",0,MAX(0,O56-L56)))</f>
        <v/>
      </c>
      <c r="Q56" s="26">
        <f>IF(C56="","",IF(K56=0,"not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R56" s="27">
        <f>IF(C56="","",SUMIFS(tbl_Finance[Inc GST],tbl_Finance[Job Number],C56&amp;""))</f>
        <v/>
      </c>
      <c r="S56" s="22" t="n"/>
      <c r="T56" s="22" t="n"/>
      <c r="U56" s="22" t="n"/>
      <c r="V56" s="23" t="n"/>
      <c r="W56" s="22" t="n"/>
      <c r="X56" s="26">
        <f>IF(W56="","",IF(AND(LEFT(W56,4)&lt;&gt;"http",set_RMSBase=""),"",HYPERLINK(IF(LEFT(W56,4)="http",W56,set_RMSBase&amp;W56),"Open opportunity")))</f>
        <v/>
      </c>
      <c r="Y56" s="22" t="n"/>
      <c r="Z56" s="26">
        <f>IF(Y56="","",HYPERLINK(IF(LEFT(Y56,4)="http",Y56,set_QwilrBase&amp;Y56),"Open quote"))</f>
        <v/>
      </c>
      <c r="AA56" s="26">
        <f>IF(C56="","",C56)</f>
        <v/>
      </c>
      <c r="AB56" s="22" t="n"/>
      <c r="AC56" s="24" t="n"/>
      <c r="AD56" s="27">
        <f>IF(C56="","",L56+N(AC56))</f>
        <v/>
      </c>
      <c r="AE56" s="29">
        <f>IFERROR(AC56/AD56,"")</f>
        <v/>
      </c>
      <c r="AF56" s="24" t="n"/>
      <c r="AG56" s="24" t="n"/>
      <c r="AH56" s="24" t="n"/>
      <c r="AI56" s="24" t="n"/>
      <c r="AJ56" s="27">
        <f>IF(C56="","",SUMIFS(tbl_Finance[Ex GST],tbl_Finance[Job Number],C56&amp;"",tbl_Finance[Cost Centre],"VIDEO"))</f>
        <v/>
      </c>
      <c r="AK56" s="29">
        <f>IFERROR(AJ56/L56,"")</f>
        <v/>
      </c>
      <c r="AL56" s="27">
        <f>IF(C56="","",N(AF56)+N(AG56)+N(AH56)+N(AI56))</f>
        <v/>
      </c>
      <c r="AM56" s="27" t="n"/>
      <c r="AN56" s="29" t="n"/>
      <c r="AO56" s="71" t="n"/>
      <c r="AP56" s="71" t="n"/>
      <c r="AQ56" s="71" t="n"/>
      <c r="AR56" s="71" t="n"/>
      <c r="AS56" s="71" t="n"/>
      <c r="AT56" s="22" t="n"/>
    </row>
    <row r="57" ht="15" customHeight="1">
      <c r="A57" s="70">
        <f>IF(C57="","",IFERROR(IF(SUMPRODUCT(MAX((tbl_Finance[Job Number]&amp;""=C57&amp;"")*(tbl_Finance[Xero Invoice No]&lt;&gt;"")*tbl_Finance[Date]))=0,"",SUMPRODUCT(MAX((tbl_Finance[Job Number]&amp;""=C57&amp;"")*(tbl_Finance[Xero Invoice No]&lt;&gt;"")*tbl_Finance[Date]))),""))</f>
        <v/>
      </c>
      <c r="B57" s="26">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2" t="n"/>
      <c r="D57" s="26">
        <f>IF(C57="","",IF(COUNTIF(lst_Jobs,C57&amp;"")&gt;0,"OK","CHECK"))</f>
        <v/>
      </c>
      <c r="E57" s="26">
        <f>IF(C57="","",IFERROR(INDEX(lst_JobName,MATCH(C57&amp;"",lst_Jobs,0)),""))</f>
        <v/>
      </c>
      <c r="F57" s="22" t="n"/>
      <c r="G57" s="22" t="n"/>
      <c r="H57" s="22" t="n"/>
      <c r="I57" s="22" t="n"/>
      <c r="J57" s="22" t="n"/>
      <c r="K57" s="28">
        <f>IF(C57="","",COUNTIFS(tbl_Finance[Job Number],C57&amp;"",tbl_Finance[Ex GST],"&lt;&gt;"))</f>
        <v/>
      </c>
      <c r="L57" s="27">
        <f>IF(C57="","",SUMIFS(tbl_Finance[Ex GST],tbl_Finance[Job Number],C57&amp;""))</f>
        <v/>
      </c>
      <c r="M57" s="27">
        <f>IF(C57="","",SUMIFS(tbl_Finance[Ex GST],tbl_Finance[Job Number],C57&amp;"",tbl_Finance[Xero Invoice No],"&lt;&gt;"))</f>
        <v/>
      </c>
      <c r="N57" s="27">
        <f>IF(C57="","",L57-M57)</f>
        <v/>
      </c>
      <c r="O57" s="24" t="n"/>
      <c r="P57" s="27">
        <f>IF(C57="","",IF(O57="",0,MAX(0,O57-L57)))</f>
        <v/>
      </c>
      <c r="Q57" s="26">
        <f>IF(C57="","",IF(K57=0,"not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R57" s="27">
        <f>IF(C57="","",SUMIFS(tbl_Finance[Inc GST],tbl_Finance[Job Number],C57&amp;""))</f>
        <v/>
      </c>
      <c r="S57" s="22" t="n"/>
      <c r="T57" s="22" t="n"/>
      <c r="U57" s="22" t="n"/>
      <c r="V57" s="23" t="n"/>
      <c r="W57" s="22" t="n"/>
      <c r="X57" s="26">
        <f>IF(W57="","",IF(AND(LEFT(W57,4)&lt;&gt;"http",set_RMSBase=""),"",HYPERLINK(IF(LEFT(W57,4)="http",W57,set_RMSBase&amp;W57),"Open opportunity")))</f>
        <v/>
      </c>
      <c r="Y57" s="22" t="n"/>
      <c r="Z57" s="26">
        <f>IF(Y57="","",HYPERLINK(IF(LEFT(Y57,4)="http",Y57,set_QwilrBase&amp;Y57),"Open quote"))</f>
        <v/>
      </c>
      <c r="AA57" s="26">
        <f>IF(C57="","",C57)</f>
        <v/>
      </c>
      <c r="AB57" s="22" t="n"/>
      <c r="AC57" s="24" t="n"/>
      <c r="AD57" s="27">
        <f>IF(C57="","",L57+N(AC57))</f>
        <v/>
      </c>
      <c r="AE57" s="29">
        <f>IFERROR(AC57/AD57,"")</f>
        <v/>
      </c>
      <c r="AF57" s="24" t="n"/>
      <c r="AG57" s="24" t="n"/>
      <c r="AH57" s="24" t="n"/>
      <c r="AI57" s="24" t="n"/>
      <c r="AJ57" s="27">
        <f>IF(C57="","",SUMIFS(tbl_Finance[Ex GST],tbl_Finance[Job Number],C57&amp;"",tbl_Finance[Cost Centre],"VIDEO"))</f>
        <v/>
      </c>
      <c r="AK57" s="29">
        <f>IFERROR(AJ57/L57,"")</f>
        <v/>
      </c>
      <c r="AL57" s="27">
        <f>IF(C57="","",N(AF57)+N(AG57)+N(AH57)+N(AI57))</f>
        <v/>
      </c>
      <c r="AM57" s="27" t="n"/>
      <c r="AN57" s="29" t="n"/>
      <c r="AO57" s="71" t="n"/>
      <c r="AP57" s="71" t="n"/>
      <c r="AQ57" s="71" t="n"/>
      <c r="AR57" s="71" t="n"/>
      <c r="AS57" s="71" t="n"/>
      <c r="AT57" s="22" t="n"/>
    </row>
    <row r="58" ht="15" customHeight="1">
      <c r="A58" s="70">
        <f>IF(C58="","",IFERROR(IF(SUMPRODUCT(MAX((tbl_Finance[Job Number]&amp;""=C58&amp;"")*(tbl_Finance[Xero Invoice No]&lt;&gt;"")*tbl_Finance[Date]))=0,"",SUMPRODUCT(MAX((tbl_Finance[Job Number]&amp;""=C58&amp;"")*(tbl_Finance[Xero Invoice No]&lt;&gt;"")*tbl_Finance[Date]))),""))</f>
        <v/>
      </c>
      <c r="B58" s="26">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2" t="n"/>
      <c r="D58" s="26">
        <f>IF(C58="","",IF(COUNTIF(lst_Jobs,C58&amp;"")&gt;0,"OK","CHECK"))</f>
        <v/>
      </c>
      <c r="E58" s="26">
        <f>IF(C58="","",IFERROR(INDEX(lst_JobName,MATCH(C58&amp;"",lst_Jobs,0)),""))</f>
        <v/>
      </c>
      <c r="F58" s="22" t="n"/>
      <c r="G58" s="22" t="n"/>
      <c r="H58" s="22" t="n"/>
      <c r="I58" s="22" t="n"/>
      <c r="J58" s="22" t="n"/>
      <c r="K58" s="28">
        <f>IF(C58="","",COUNTIFS(tbl_Finance[Job Number],C58&amp;"",tbl_Finance[Ex GST],"&lt;&gt;"))</f>
        <v/>
      </c>
      <c r="L58" s="27">
        <f>IF(C58="","",SUMIFS(tbl_Finance[Ex GST],tbl_Finance[Job Number],C58&amp;""))</f>
        <v/>
      </c>
      <c r="M58" s="27">
        <f>IF(C58="","",SUMIFS(tbl_Finance[Ex GST],tbl_Finance[Job Number],C58&amp;"",tbl_Finance[Xero Invoice No],"&lt;&gt;"))</f>
        <v/>
      </c>
      <c r="N58" s="27">
        <f>IF(C58="","",L58-M58)</f>
        <v/>
      </c>
      <c r="O58" s="24" t="n"/>
      <c r="P58" s="27">
        <f>IF(C58="","",IF(O58="",0,MAX(0,O58-L58)))</f>
        <v/>
      </c>
      <c r="Q58" s="26">
        <f>IF(C58="","",IF(K58=0,"not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R58" s="27">
        <f>IF(C58="","",SUMIFS(tbl_Finance[Inc GST],tbl_Finance[Job Number],C58&amp;""))</f>
        <v/>
      </c>
      <c r="S58" s="22" t="n"/>
      <c r="T58" s="22" t="n"/>
      <c r="U58" s="22" t="n"/>
      <c r="V58" s="23" t="n"/>
      <c r="W58" s="22" t="n"/>
      <c r="X58" s="26">
        <f>IF(W58="","",IF(AND(LEFT(W58,4)&lt;&gt;"http",set_RMSBase=""),"",HYPERLINK(IF(LEFT(W58,4)="http",W58,set_RMSBase&amp;W58),"Open opportunity")))</f>
        <v/>
      </c>
      <c r="Y58" s="22" t="n"/>
      <c r="Z58" s="26">
        <f>IF(Y58="","",HYPERLINK(IF(LEFT(Y58,4)="http",Y58,set_QwilrBase&amp;Y58),"Open quote"))</f>
        <v/>
      </c>
      <c r="AA58" s="26">
        <f>IF(C58="","",C58)</f>
        <v/>
      </c>
      <c r="AB58" s="22" t="n"/>
      <c r="AC58" s="24" t="n"/>
      <c r="AD58" s="27">
        <f>IF(C58="","",L58+N(AC58))</f>
        <v/>
      </c>
      <c r="AE58" s="29">
        <f>IFERROR(AC58/AD58,"")</f>
        <v/>
      </c>
      <c r="AF58" s="24" t="n"/>
      <c r="AG58" s="24" t="n"/>
      <c r="AH58" s="24" t="n"/>
      <c r="AI58" s="24" t="n"/>
      <c r="AJ58" s="27">
        <f>IF(C58="","",SUMIFS(tbl_Finance[Ex GST],tbl_Finance[Job Number],C58&amp;"",tbl_Finance[Cost Centre],"VIDEO"))</f>
        <v/>
      </c>
      <c r="AK58" s="29">
        <f>IFERROR(AJ58/L58,"")</f>
        <v/>
      </c>
      <c r="AL58" s="27">
        <f>IF(C58="","",N(AF58)+N(AG58)+N(AH58)+N(AI58))</f>
        <v/>
      </c>
      <c r="AM58" s="27" t="n"/>
      <c r="AN58" s="29" t="n"/>
      <c r="AO58" s="71" t="n"/>
      <c r="AP58" s="71" t="n"/>
      <c r="AQ58" s="71" t="n"/>
      <c r="AR58" s="71" t="n"/>
      <c r="AS58" s="71" t="n"/>
      <c r="AT58" s="22" t="n"/>
    </row>
    <row r="59" ht="15" customHeight="1">
      <c r="A59" s="70">
        <f>IF(C59="","",IFERROR(IF(SUMPRODUCT(MAX((tbl_Finance[Job Number]&amp;""=C59&amp;"")*(tbl_Finance[Xero Invoice No]&lt;&gt;"")*tbl_Finance[Date]))=0,"",SUMPRODUCT(MAX((tbl_Finance[Job Number]&amp;""=C59&amp;"")*(tbl_Finance[Xero Invoice No]&lt;&gt;"")*tbl_Finance[Date]))),""))</f>
        <v/>
      </c>
      <c r="B59" s="26">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2" t="n"/>
      <c r="D59" s="26">
        <f>IF(C59="","",IF(COUNTIF(lst_Jobs,C59&amp;"")&gt;0,"OK","CHECK"))</f>
        <v/>
      </c>
      <c r="E59" s="26">
        <f>IF(C59="","",IFERROR(INDEX(lst_JobName,MATCH(C59&amp;"",lst_Jobs,0)),""))</f>
        <v/>
      </c>
      <c r="F59" s="22" t="n"/>
      <c r="G59" s="22" t="n"/>
      <c r="H59" s="22" t="n"/>
      <c r="I59" s="22" t="n"/>
      <c r="J59" s="22" t="n"/>
      <c r="K59" s="28">
        <f>IF(C59="","",COUNTIFS(tbl_Finance[Job Number],C59&amp;"",tbl_Finance[Ex GST],"&lt;&gt;"))</f>
        <v/>
      </c>
      <c r="L59" s="27">
        <f>IF(C59="","",SUMIFS(tbl_Finance[Ex GST],tbl_Finance[Job Number],C59&amp;""))</f>
        <v/>
      </c>
      <c r="M59" s="27">
        <f>IF(C59="","",SUMIFS(tbl_Finance[Ex GST],tbl_Finance[Job Number],C59&amp;"",tbl_Finance[Xero Invoice No],"&lt;&gt;"))</f>
        <v/>
      </c>
      <c r="N59" s="27">
        <f>IF(C59="","",L59-M59)</f>
        <v/>
      </c>
      <c r="O59" s="24" t="n"/>
      <c r="P59" s="27">
        <f>IF(C59="","",IF(O59="",0,MAX(0,O59-L59)))</f>
        <v/>
      </c>
      <c r="Q59" s="26">
        <f>IF(C59="","",IF(K59=0,"not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R59" s="27">
        <f>IF(C59="","",SUMIFS(tbl_Finance[Inc GST],tbl_Finance[Job Number],C59&amp;""))</f>
        <v/>
      </c>
      <c r="S59" s="22" t="n"/>
      <c r="T59" s="22" t="n"/>
      <c r="U59" s="22" t="n"/>
      <c r="V59" s="23" t="n"/>
      <c r="W59" s="22" t="n"/>
      <c r="X59" s="26">
        <f>IF(W59="","",IF(AND(LEFT(W59,4)&lt;&gt;"http",set_RMSBase=""),"",HYPERLINK(IF(LEFT(W59,4)="http",W59,set_RMSBase&amp;W59),"Open opportunity")))</f>
        <v/>
      </c>
      <c r="Y59" s="22" t="n"/>
      <c r="Z59" s="26">
        <f>IF(Y59="","",HYPERLINK(IF(LEFT(Y59,4)="http",Y59,set_QwilrBase&amp;Y59),"Open quote"))</f>
        <v/>
      </c>
      <c r="AA59" s="26">
        <f>IF(C59="","",C59)</f>
        <v/>
      </c>
      <c r="AB59" s="22" t="n"/>
      <c r="AC59" s="24" t="n"/>
      <c r="AD59" s="27">
        <f>IF(C59="","",L59+N(AC59))</f>
        <v/>
      </c>
      <c r="AE59" s="29">
        <f>IFERROR(AC59/AD59,"")</f>
        <v/>
      </c>
      <c r="AF59" s="24" t="n"/>
      <c r="AG59" s="24" t="n"/>
      <c r="AH59" s="24" t="n"/>
      <c r="AI59" s="24" t="n"/>
      <c r="AJ59" s="27">
        <f>IF(C59="","",SUMIFS(tbl_Finance[Ex GST],tbl_Finance[Job Number],C59&amp;"",tbl_Finance[Cost Centre],"VIDEO"))</f>
        <v/>
      </c>
      <c r="AK59" s="29">
        <f>IFERROR(AJ59/L59,"")</f>
        <v/>
      </c>
      <c r="AL59" s="27">
        <f>IF(C59="","",N(AF59)+N(AG59)+N(AH59)+N(AI59))</f>
        <v/>
      </c>
      <c r="AM59" s="27" t="n"/>
      <c r="AN59" s="29" t="n"/>
      <c r="AO59" s="71" t="n"/>
      <c r="AP59" s="71" t="n"/>
      <c r="AQ59" s="71" t="n"/>
      <c r="AR59" s="71" t="n"/>
      <c r="AS59" s="71" t="n"/>
      <c r="AT59" s="22" t="n"/>
    </row>
    <row r="60" ht="15" customHeight="1">
      <c r="A60" s="70">
        <f>IF(C60="","",IFERROR(IF(SUMPRODUCT(MAX((tbl_Finance[Job Number]&amp;""=C60&amp;"")*(tbl_Finance[Xero Invoice No]&lt;&gt;"")*tbl_Finance[Date]))=0,"",SUMPRODUCT(MAX((tbl_Finance[Job Number]&amp;""=C60&amp;"")*(tbl_Finance[Xero Invoice No]&lt;&gt;"")*tbl_Finance[Date]))),""))</f>
        <v/>
      </c>
      <c r="B60" s="26">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2" t="n"/>
      <c r="D60" s="26">
        <f>IF(C60="","",IF(COUNTIF(lst_Jobs,C60&amp;"")&gt;0,"OK","CHECK"))</f>
        <v/>
      </c>
      <c r="E60" s="26">
        <f>IF(C60="","",IFERROR(INDEX(lst_JobName,MATCH(C60&amp;"",lst_Jobs,0)),""))</f>
        <v/>
      </c>
      <c r="F60" s="22" t="n"/>
      <c r="G60" s="22" t="n"/>
      <c r="H60" s="22" t="n"/>
      <c r="I60" s="22" t="n"/>
      <c r="J60" s="22" t="n"/>
      <c r="K60" s="28">
        <f>IF(C60="","",COUNTIFS(tbl_Finance[Job Number],C60&amp;"",tbl_Finance[Ex GST],"&lt;&gt;"))</f>
        <v/>
      </c>
      <c r="L60" s="27">
        <f>IF(C60="","",SUMIFS(tbl_Finance[Ex GST],tbl_Finance[Job Number],C60&amp;""))</f>
        <v/>
      </c>
      <c r="M60" s="27">
        <f>IF(C60="","",SUMIFS(tbl_Finance[Ex GST],tbl_Finance[Job Number],C60&amp;"",tbl_Finance[Xero Invoice No],"&lt;&gt;"))</f>
        <v/>
      </c>
      <c r="N60" s="27">
        <f>IF(C60="","",L60-M60)</f>
        <v/>
      </c>
      <c r="O60" s="24" t="n"/>
      <c r="P60" s="27">
        <f>IF(C60="","",IF(O60="",0,MAX(0,O60-L60)))</f>
        <v/>
      </c>
      <c r="Q60" s="26">
        <f>IF(C60="","",IF(K60=0,"not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R60" s="27">
        <f>IF(C60="","",SUMIFS(tbl_Finance[Inc GST],tbl_Finance[Job Number],C60&amp;""))</f>
        <v/>
      </c>
      <c r="S60" s="22" t="n"/>
      <c r="T60" s="22" t="n"/>
      <c r="U60" s="22" t="n"/>
      <c r="V60" s="23" t="n"/>
      <c r="W60" s="22" t="n"/>
      <c r="X60" s="26">
        <f>IF(W60="","",IF(AND(LEFT(W60,4)&lt;&gt;"http",set_RMSBase=""),"",HYPERLINK(IF(LEFT(W60,4)="http",W60,set_RMSBase&amp;W60),"Open opportunity")))</f>
        <v/>
      </c>
      <c r="Y60" s="22" t="n"/>
      <c r="Z60" s="26">
        <f>IF(Y60="","",HYPERLINK(IF(LEFT(Y60,4)="http",Y60,set_QwilrBase&amp;Y60),"Open quote"))</f>
        <v/>
      </c>
      <c r="AA60" s="26">
        <f>IF(C60="","",C60)</f>
        <v/>
      </c>
      <c r="AB60" s="22" t="n"/>
      <c r="AC60" s="24" t="n"/>
      <c r="AD60" s="27">
        <f>IF(C60="","",L60+N(AC60))</f>
        <v/>
      </c>
      <c r="AE60" s="29">
        <f>IFERROR(AC60/AD60,"")</f>
        <v/>
      </c>
      <c r="AF60" s="24" t="n"/>
      <c r="AG60" s="24" t="n"/>
      <c r="AH60" s="24" t="n"/>
      <c r="AI60" s="24" t="n"/>
      <c r="AJ60" s="27">
        <f>IF(C60="","",SUMIFS(tbl_Finance[Ex GST],tbl_Finance[Job Number],C60&amp;"",tbl_Finance[Cost Centre],"VIDEO"))</f>
        <v/>
      </c>
      <c r="AK60" s="29">
        <f>IFERROR(AJ60/L60,"")</f>
        <v/>
      </c>
      <c r="AL60" s="27">
        <f>IF(C60="","",N(AF60)+N(AG60)+N(AH60)+N(AI60))</f>
        <v/>
      </c>
      <c r="AM60" s="27" t="n"/>
      <c r="AN60" s="29" t="n"/>
      <c r="AO60" s="71" t="n"/>
      <c r="AP60" s="71" t="n"/>
      <c r="AQ60" s="71" t="n"/>
      <c r="AR60" s="71" t="n"/>
      <c r="AS60" s="71" t="n"/>
      <c r="AT60" s="22" t="n"/>
    </row>
    <row r="61" ht="15" customHeight="1">
      <c r="A61" s="70">
        <f>IF(C61="","",IFERROR(IF(SUMPRODUCT(MAX((tbl_Finance[Job Number]&amp;""=C61&amp;"")*(tbl_Finance[Xero Invoice No]&lt;&gt;"")*tbl_Finance[Date]))=0,"",SUMPRODUCT(MAX((tbl_Finance[Job Number]&amp;""=C61&amp;"")*(tbl_Finance[Xero Invoice No]&lt;&gt;"")*tbl_Finance[Date]))),""))</f>
        <v/>
      </c>
      <c r="B61" s="26">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2" t="n"/>
      <c r="D61" s="26">
        <f>IF(C61="","",IF(COUNTIF(lst_Jobs,C61&amp;"")&gt;0,"OK","CHECK"))</f>
        <v/>
      </c>
      <c r="E61" s="26">
        <f>IF(C61="","",IFERROR(INDEX(lst_JobName,MATCH(C61&amp;"",lst_Jobs,0)),""))</f>
        <v/>
      </c>
      <c r="F61" s="22" t="n"/>
      <c r="G61" s="22" t="n"/>
      <c r="H61" s="22" t="n"/>
      <c r="I61" s="22" t="n"/>
      <c r="J61" s="22" t="n"/>
      <c r="K61" s="28">
        <f>IF(C61="","",COUNTIFS(tbl_Finance[Job Number],C61&amp;"",tbl_Finance[Ex GST],"&lt;&gt;"))</f>
        <v/>
      </c>
      <c r="L61" s="27">
        <f>IF(C61="","",SUMIFS(tbl_Finance[Ex GST],tbl_Finance[Job Number],C61&amp;""))</f>
        <v/>
      </c>
      <c r="M61" s="27">
        <f>IF(C61="","",SUMIFS(tbl_Finance[Ex GST],tbl_Finance[Job Number],C61&amp;"",tbl_Finance[Xero Invoice No],"&lt;&gt;"))</f>
        <v/>
      </c>
      <c r="N61" s="27">
        <f>IF(C61="","",L61-M61)</f>
        <v/>
      </c>
      <c r="O61" s="24" t="n"/>
      <c r="P61" s="27">
        <f>IF(C61="","",IF(O61="",0,MAX(0,O61-L61)))</f>
        <v/>
      </c>
      <c r="Q61" s="26">
        <f>IF(C61="","",IF(K61=0,"not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R61" s="27">
        <f>IF(C61="","",SUMIFS(tbl_Finance[Inc GST],tbl_Finance[Job Number],C61&amp;""))</f>
        <v/>
      </c>
      <c r="S61" s="22" t="n"/>
      <c r="T61" s="22" t="n"/>
      <c r="U61" s="22" t="n"/>
      <c r="V61" s="23" t="n"/>
      <c r="W61" s="22" t="n"/>
      <c r="X61" s="26">
        <f>IF(W61="","",IF(AND(LEFT(W61,4)&lt;&gt;"http",set_RMSBase=""),"",HYPERLINK(IF(LEFT(W61,4)="http",W61,set_RMSBase&amp;W61),"Open opportunity")))</f>
        <v/>
      </c>
      <c r="Y61" s="22" t="n"/>
      <c r="Z61" s="26">
        <f>IF(Y61="","",HYPERLINK(IF(LEFT(Y61,4)="http",Y61,set_QwilrBase&amp;Y61),"Open quote"))</f>
        <v/>
      </c>
      <c r="AA61" s="26">
        <f>IF(C61="","",C61)</f>
        <v/>
      </c>
      <c r="AB61" s="22" t="n"/>
      <c r="AC61" s="24" t="n"/>
      <c r="AD61" s="27">
        <f>IF(C61="","",L61+N(AC61))</f>
        <v/>
      </c>
      <c r="AE61" s="29">
        <f>IFERROR(AC61/AD61,"")</f>
        <v/>
      </c>
      <c r="AF61" s="24" t="n"/>
      <c r="AG61" s="24" t="n"/>
      <c r="AH61" s="24" t="n"/>
      <c r="AI61" s="24" t="n"/>
      <c r="AJ61" s="27">
        <f>IF(C61="","",SUMIFS(tbl_Finance[Ex GST],tbl_Finance[Job Number],C61&amp;"",tbl_Finance[Cost Centre],"VIDEO"))</f>
        <v/>
      </c>
      <c r="AK61" s="29">
        <f>IFERROR(AJ61/L61,"")</f>
        <v/>
      </c>
      <c r="AL61" s="27">
        <f>IF(C61="","",N(AF61)+N(AG61)+N(AH61)+N(AI61))</f>
        <v/>
      </c>
      <c r="AM61" s="27" t="n"/>
      <c r="AN61" s="29" t="n"/>
      <c r="AO61" s="71" t="n"/>
      <c r="AP61" s="71" t="n"/>
      <c r="AQ61" s="71" t="n"/>
      <c r="AR61" s="71" t="n"/>
      <c r="AS61" s="71" t="n"/>
      <c r="AT61" s="22" t="n"/>
    </row>
    <row r="62" ht="15" customHeight="1">
      <c r="A62" s="70">
        <f>IF(C62="","",IFERROR(IF(SUMPRODUCT(MAX((tbl_Finance[Job Number]&amp;""=C62&amp;"")*(tbl_Finance[Xero Invoice No]&lt;&gt;"")*tbl_Finance[Date]))=0,"",SUMPRODUCT(MAX((tbl_Finance[Job Number]&amp;""=C62&amp;"")*(tbl_Finance[Xero Invoice No]&lt;&gt;"")*tbl_Finance[Date]))),""))</f>
        <v/>
      </c>
      <c r="B62" s="26">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2" t="n"/>
      <c r="D62" s="26">
        <f>IF(C62="","",IF(COUNTIF(lst_Jobs,C62&amp;"")&gt;0,"OK","CHECK"))</f>
        <v/>
      </c>
      <c r="E62" s="26">
        <f>IF(C62="","",IFERROR(INDEX(lst_JobName,MATCH(C62&amp;"",lst_Jobs,0)),""))</f>
        <v/>
      </c>
      <c r="F62" s="22" t="n"/>
      <c r="G62" s="22" t="n"/>
      <c r="H62" s="22" t="n"/>
      <c r="I62" s="22" t="n"/>
      <c r="J62" s="22" t="n"/>
      <c r="K62" s="28">
        <f>IF(C62="","",COUNTIFS(tbl_Finance[Job Number],C62&amp;"",tbl_Finance[Ex GST],"&lt;&gt;"))</f>
        <v/>
      </c>
      <c r="L62" s="27">
        <f>IF(C62="","",SUMIFS(tbl_Finance[Ex GST],tbl_Finance[Job Number],C62&amp;""))</f>
        <v/>
      </c>
      <c r="M62" s="27">
        <f>IF(C62="","",SUMIFS(tbl_Finance[Ex GST],tbl_Finance[Job Number],C62&amp;"",tbl_Finance[Xero Invoice No],"&lt;&gt;"))</f>
        <v/>
      </c>
      <c r="N62" s="27">
        <f>IF(C62="","",L62-M62)</f>
        <v/>
      </c>
      <c r="O62" s="24" t="n"/>
      <c r="P62" s="27">
        <f>IF(C62="","",IF(O62="",0,MAX(0,O62-L62)))</f>
        <v/>
      </c>
      <c r="Q62" s="26">
        <f>IF(C62="","",IF(K62=0,"not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R62" s="27">
        <f>IF(C62="","",SUMIFS(tbl_Finance[Inc GST],tbl_Finance[Job Number],C62&amp;""))</f>
        <v/>
      </c>
      <c r="S62" s="22" t="n"/>
      <c r="T62" s="22" t="n"/>
      <c r="U62" s="22" t="n"/>
      <c r="V62" s="23" t="n"/>
      <c r="W62" s="22" t="n"/>
      <c r="X62" s="26">
        <f>IF(W62="","",IF(AND(LEFT(W62,4)&lt;&gt;"http",set_RMSBase=""),"",HYPERLINK(IF(LEFT(W62,4)="http",W62,set_RMSBase&amp;W62),"Open opportunity")))</f>
        <v/>
      </c>
      <c r="Y62" s="22" t="n"/>
      <c r="Z62" s="26">
        <f>IF(Y62="","",HYPERLINK(IF(LEFT(Y62,4)="http",Y62,set_QwilrBase&amp;Y62),"Open quote"))</f>
        <v/>
      </c>
      <c r="AA62" s="26">
        <f>IF(C62="","",C62)</f>
        <v/>
      </c>
      <c r="AB62" s="22" t="n"/>
      <c r="AC62" s="24" t="n"/>
      <c r="AD62" s="27">
        <f>IF(C62="","",L62+N(AC62))</f>
        <v/>
      </c>
      <c r="AE62" s="29">
        <f>IFERROR(AC62/AD62,"")</f>
        <v/>
      </c>
      <c r="AF62" s="24" t="n"/>
      <c r="AG62" s="24" t="n"/>
      <c r="AH62" s="24" t="n"/>
      <c r="AI62" s="24" t="n"/>
      <c r="AJ62" s="27">
        <f>IF(C62="","",SUMIFS(tbl_Finance[Ex GST],tbl_Finance[Job Number],C62&amp;"",tbl_Finance[Cost Centre],"VIDEO"))</f>
        <v/>
      </c>
      <c r="AK62" s="29">
        <f>IFERROR(AJ62/L62,"")</f>
        <v/>
      </c>
      <c r="AL62" s="27">
        <f>IF(C62="","",N(AF62)+N(AG62)+N(AH62)+N(AI62))</f>
        <v/>
      </c>
      <c r="AM62" s="27" t="n"/>
      <c r="AN62" s="29" t="n"/>
      <c r="AO62" s="71" t="n"/>
      <c r="AP62" s="71" t="n"/>
      <c r="AQ62" s="71" t="n"/>
      <c r="AR62" s="71" t="n"/>
      <c r="AS62" s="71" t="n"/>
      <c r="AT62" s="22" t="n"/>
    </row>
    <row r="63" ht="15" customHeight="1">
      <c r="A63" s="70">
        <f>IF(C63="","",IFERROR(IF(SUMPRODUCT(MAX((tbl_Finance[Job Number]&amp;""=C63&amp;"")*(tbl_Finance[Xero Invoice No]&lt;&gt;"")*tbl_Finance[Date]))=0,"",SUMPRODUCT(MAX((tbl_Finance[Job Number]&amp;""=C63&amp;"")*(tbl_Finance[Xero Invoice No]&lt;&gt;"")*tbl_Finance[Date]))),""))</f>
        <v/>
      </c>
      <c r="B63" s="26">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2" t="n"/>
      <c r="D63" s="26">
        <f>IF(C63="","",IF(COUNTIF(lst_Jobs,C63&amp;"")&gt;0,"OK","CHECK"))</f>
        <v/>
      </c>
      <c r="E63" s="26">
        <f>IF(C63="","",IFERROR(INDEX(lst_JobName,MATCH(C63&amp;"",lst_Jobs,0)),""))</f>
        <v/>
      </c>
      <c r="F63" s="22" t="n"/>
      <c r="G63" s="22" t="n"/>
      <c r="H63" s="22" t="n"/>
      <c r="I63" s="22" t="n"/>
      <c r="J63" s="22" t="n"/>
      <c r="K63" s="28">
        <f>IF(C63="","",COUNTIFS(tbl_Finance[Job Number],C63&amp;"",tbl_Finance[Ex GST],"&lt;&gt;"))</f>
        <v/>
      </c>
      <c r="L63" s="27">
        <f>IF(C63="","",SUMIFS(tbl_Finance[Ex GST],tbl_Finance[Job Number],C63&amp;""))</f>
        <v/>
      </c>
      <c r="M63" s="27">
        <f>IF(C63="","",SUMIFS(tbl_Finance[Ex GST],tbl_Finance[Job Number],C63&amp;"",tbl_Finance[Xero Invoice No],"&lt;&gt;"))</f>
        <v/>
      </c>
      <c r="N63" s="27">
        <f>IF(C63="","",L63-M63)</f>
        <v/>
      </c>
      <c r="O63" s="24" t="n"/>
      <c r="P63" s="27">
        <f>IF(C63="","",IF(O63="",0,MAX(0,O63-L63)))</f>
        <v/>
      </c>
      <c r="Q63" s="26">
        <f>IF(C63="","",IF(K63=0,"not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R63" s="27">
        <f>IF(C63="","",SUMIFS(tbl_Finance[Inc GST],tbl_Finance[Job Number],C63&amp;""))</f>
        <v/>
      </c>
      <c r="S63" s="22" t="n"/>
      <c r="T63" s="22" t="n"/>
      <c r="U63" s="22" t="n"/>
      <c r="V63" s="23" t="n"/>
      <c r="W63" s="22" t="n"/>
      <c r="X63" s="26">
        <f>IF(W63="","",IF(AND(LEFT(W63,4)&lt;&gt;"http",set_RMSBase=""),"",HYPERLINK(IF(LEFT(W63,4)="http",W63,set_RMSBase&amp;W63),"Open opportunity")))</f>
        <v/>
      </c>
      <c r="Y63" s="22" t="n"/>
      <c r="Z63" s="26">
        <f>IF(Y63="","",HYPERLINK(IF(LEFT(Y63,4)="http",Y63,set_QwilrBase&amp;Y63),"Open quote"))</f>
        <v/>
      </c>
      <c r="AA63" s="26">
        <f>IF(C63="","",C63)</f>
        <v/>
      </c>
      <c r="AB63" s="22" t="n"/>
      <c r="AC63" s="24" t="n"/>
      <c r="AD63" s="27">
        <f>IF(C63="","",L63+N(AC63))</f>
        <v/>
      </c>
      <c r="AE63" s="29">
        <f>IFERROR(AC63/AD63,"")</f>
        <v/>
      </c>
      <c r="AF63" s="24" t="n"/>
      <c r="AG63" s="24" t="n"/>
      <c r="AH63" s="24" t="n"/>
      <c r="AI63" s="24" t="n"/>
      <c r="AJ63" s="27">
        <f>IF(C63="","",SUMIFS(tbl_Finance[Ex GST],tbl_Finance[Job Number],C63&amp;"",tbl_Finance[Cost Centre],"VIDEO"))</f>
        <v/>
      </c>
      <c r="AK63" s="29">
        <f>IFERROR(AJ63/L63,"")</f>
        <v/>
      </c>
      <c r="AL63" s="27">
        <f>IF(C63="","",N(AF63)+N(AG63)+N(AH63)+N(AI63))</f>
        <v/>
      </c>
      <c r="AM63" s="27" t="n"/>
      <c r="AN63" s="29" t="n"/>
      <c r="AO63" s="71" t="n"/>
      <c r="AP63" s="71" t="n"/>
      <c r="AQ63" s="71" t="n"/>
      <c r="AR63" s="71" t="n"/>
      <c r="AS63" s="71" t="n"/>
      <c r="AT63" s="22" t="n"/>
    </row>
    <row r="64" ht="15" customHeight="1">
      <c r="A64" s="70">
        <f>IF(C64="","",IFERROR(IF(SUMPRODUCT(MAX((tbl_Finance[Job Number]&amp;""=C64&amp;"")*(tbl_Finance[Xero Invoice No]&lt;&gt;"")*tbl_Finance[Date]))=0,"",SUMPRODUCT(MAX((tbl_Finance[Job Number]&amp;""=C64&amp;"")*(tbl_Finance[Xero Invoice No]&lt;&gt;"")*tbl_Finance[Date]))),""))</f>
        <v/>
      </c>
      <c r="B64" s="26">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2" t="n"/>
      <c r="D64" s="26">
        <f>IF(C64="","",IF(COUNTIF(lst_Jobs,C64&amp;"")&gt;0,"OK","CHECK"))</f>
        <v/>
      </c>
      <c r="E64" s="26">
        <f>IF(C64="","",IFERROR(INDEX(lst_JobName,MATCH(C64&amp;"",lst_Jobs,0)),""))</f>
        <v/>
      </c>
      <c r="F64" s="22" t="n"/>
      <c r="G64" s="22" t="n"/>
      <c r="H64" s="22" t="n"/>
      <c r="I64" s="22" t="n"/>
      <c r="J64" s="22" t="n"/>
      <c r="K64" s="28">
        <f>IF(C64="","",COUNTIFS(tbl_Finance[Job Number],C64&amp;"",tbl_Finance[Ex GST],"&lt;&gt;"))</f>
        <v/>
      </c>
      <c r="L64" s="27">
        <f>IF(C64="","",SUMIFS(tbl_Finance[Ex GST],tbl_Finance[Job Number],C64&amp;""))</f>
        <v/>
      </c>
      <c r="M64" s="27">
        <f>IF(C64="","",SUMIFS(tbl_Finance[Ex GST],tbl_Finance[Job Number],C64&amp;"",tbl_Finance[Xero Invoice No],"&lt;&gt;"))</f>
        <v/>
      </c>
      <c r="N64" s="27">
        <f>IF(C64="","",L64-M64)</f>
        <v/>
      </c>
      <c r="O64" s="24" t="n"/>
      <c r="P64" s="27">
        <f>IF(C64="","",IF(O64="",0,MAX(0,O64-L64)))</f>
        <v/>
      </c>
      <c r="Q64" s="26">
        <f>IF(C64="","",IF(K64=0,"not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R64" s="27">
        <f>IF(C64="","",SUMIFS(tbl_Finance[Inc GST],tbl_Finance[Job Number],C64&amp;""))</f>
        <v/>
      </c>
      <c r="S64" s="22" t="n"/>
      <c r="T64" s="22" t="n"/>
      <c r="U64" s="22" t="n"/>
      <c r="V64" s="23" t="n"/>
      <c r="W64" s="22" t="n"/>
      <c r="X64" s="26">
        <f>IF(W64="","",IF(AND(LEFT(W64,4)&lt;&gt;"http",set_RMSBase=""),"",HYPERLINK(IF(LEFT(W64,4)="http",W64,set_RMSBase&amp;W64),"Open opportunity")))</f>
        <v/>
      </c>
      <c r="Y64" s="22" t="n"/>
      <c r="Z64" s="26">
        <f>IF(Y64="","",HYPERLINK(IF(LEFT(Y64,4)="http",Y64,set_QwilrBase&amp;Y64),"Open quote"))</f>
        <v/>
      </c>
      <c r="AA64" s="26">
        <f>IF(C64="","",C64)</f>
        <v/>
      </c>
      <c r="AB64" s="22" t="n"/>
      <c r="AC64" s="24" t="n"/>
      <c r="AD64" s="27">
        <f>IF(C64="","",L64+N(AC64))</f>
        <v/>
      </c>
      <c r="AE64" s="29">
        <f>IFERROR(AC64/AD64,"")</f>
        <v/>
      </c>
      <c r="AF64" s="24" t="n"/>
      <c r="AG64" s="24" t="n"/>
      <c r="AH64" s="24" t="n"/>
      <c r="AI64" s="24" t="n"/>
      <c r="AJ64" s="27">
        <f>IF(C64="","",SUMIFS(tbl_Finance[Ex GST],tbl_Finance[Job Number],C64&amp;"",tbl_Finance[Cost Centre],"VIDEO"))</f>
        <v/>
      </c>
      <c r="AK64" s="29">
        <f>IFERROR(AJ64/L64,"")</f>
        <v/>
      </c>
      <c r="AL64" s="27">
        <f>IF(C64="","",N(AF64)+N(AG64)+N(AH64)+N(AI64))</f>
        <v/>
      </c>
      <c r="AM64" s="27" t="n"/>
      <c r="AN64" s="29" t="n"/>
      <c r="AO64" s="71" t="n"/>
      <c r="AP64" s="71" t="n"/>
      <c r="AQ64" s="71" t="n"/>
      <c r="AR64" s="71" t="n"/>
      <c r="AS64" s="71" t="n"/>
      <c r="AT64" s="22" t="n"/>
    </row>
    <row r="65" ht="15" customHeight="1">
      <c r="A65" s="70">
        <f>IF(C65="","",IFERROR(IF(SUMPRODUCT(MAX((tbl_Finance[Job Number]&amp;""=C65&amp;"")*(tbl_Finance[Xero Invoice No]&lt;&gt;"")*tbl_Finance[Date]))=0,"",SUMPRODUCT(MAX((tbl_Finance[Job Number]&amp;""=C65&amp;"")*(tbl_Finance[Xero Invoice No]&lt;&gt;"")*tbl_Finance[Date]))),""))</f>
        <v/>
      </c>
      <c r="B65" s="26">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2" t="n"/>
      <c r="D65" s="26">
        <f>IF(C65="","",IF(COUNTIF(lst_Jobs,C65&amp;"")&gt;0,"OK","CHECK"))</f>
        <v/>
      </c>
      <c r="E65" s="26">
        <f>IF(C65="","",IFERROR(INDEX(lst_JobName,MATCH(C65&amp;"",lst_Jobs,0)),""))</f>
        <v/>
      </c>
      <c r="F65" s="22" t="n"/>
      <c r="G65" s="22" t="n"/>
      <c r="H65" s="22" t="n"/>
      <c r="I65" s="22" t="n"/>
      <c r="J65" s="22" t="n"/>
      <c r="K65" s="28">
        <f>IF(C65="","",COUNTIFS(tbl_Finance[Job Number],C65&amp;"",tbl_Finance[Ex GST],"&lt;&gt;"))</f>
        <v/>
      </c>
      <c r="L65" s="27">
        <f>IF(C65="","",SUMIFS(tbl_Finance[Ex GST],tbl_Finance[Job Number],C65&amp;""))</f>
        <v/>
      </c>
      <c r="M65" s="27">
        <f>IF(C65="","",SUMIFS(tbl_Finance[Ex GST],tbl_Finance[Job Number],C65&amp;"",tbl_Finance[Xero Invoice No],"&lt;&gt;"))</f>
        <v/>
      </c>
      <c r="N65" s="27">
        <f>IF(C65="","",L65-M65)</f>
        <v/>
      </c>
      <c r="O65" s="24" t="n"/>
      <c r="P65" s="27">
        <f>IF(C65="","",IF(O65="",0,MAX(0,O65-L65)))</f>
        <v/>
      </c>
      <c r="Q65" s="26">
        <f>IF(C65="","",IF(K65=0,"not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R65" s="27">
        <f>IF(C65="","",SUMIFS(tbl_Finance[Inc GST],tbl_Finance[Job Number],C65&amp;""))</f>
        <v/>
      </c>
      <c r="S65" s="22" t="n"/>
      <c r="T65" s="22" t="n"/>
      <c r="U65" s="22" t="n"/>
      <c r="V65" s="23" t="n"/>
      <c r="W65" s="22" t="n"/>
      <c r="X65" s="26">
        <f>IF(W65="","",IF(AND(LEFT(W65,4)&lt;&gt;"http",set_RMSBase=""),"",HYPERLINK(IF(LEFT(W65,4)="http",W65,set_RMSBase&amp;W65),"Open opportunity")))</f>
        <v/>
      </c>
      <c r="Y65" s="22" t="n"/>
      <c r="Z65" s="26">
        <f>IF(Y65="","",HYPERLINK(IF(LEFT(Y65,4)="http",Y65,set_QwilrBase&amp;Y65),"Open quote"))</f>
        <v/>
      </c>
      <c r="AA65" s="26">
        <f>IF(C65="","",C65)</f>
        <v/>
      </c>
      <c r="AB65" s="22" t="n"/>
      <c r="AC65" s="24" t="n"/>
      <c r="AD65" s="27">
        <f>IF(C65="","",L65+N(AC65))</f>
        <v/>
      </c>
      <c r="AE65" s="29">
        <f>IFERROR(AC65/AD65,"")</f>
        <v/>
      </c>
      <c r="AF65" s="24" t="n"/>
      <c r="AG65" s="24" t="n"/>
      <c r="AH65" s="24" t="n"/>
      <c r="AI65" s="24" t="n"/>
      <c r="AJ65" s="27">
        <f>IF(C65="","",SUMIFS(tbl_Finance[Ex GST],tbl_Finance[Job Number],C65&amp;"",tbl_Finance[Cost Centre],"VIDEO"))</f>
        <v/>
      </c>
      <c r="AK65" s="29">
        <f>IFERROR(AJ65/L65,"")</f>
        <v/>
      </c>
      <c r="AL65" s="27">
        <f>IF(C65="","",N(AF65)+N(AG65)+N(AH65)+N(AI65))</f>
        <v/>
      </c>
      <c r="AM65" s="27" t="n"/>
      <c r="AN65" s="29" t="n"/>
      <c r="AO65" s="71" t="n"/>
      <c r="AP65" s="71" t="n"/>
      <c r="AQ65" s="71" t="n"/>
      <c r="AR65" s="71" t="n"/>
      <c r="AS65" s="71" t="n"/>
      <c r="AT65" s="22" t="n"/>
    </row>
    <row r="66" ht="15" customHeight="1">
      <c r="A66" s="70">
        <f>IF(C66="","",IFERROR(IF(SUMPRODUCT(MAX((tbl_Finance[Job Number]&amp;""=C66&amp;"")*(tbl_Finance[Xero Invoice No]&lt;&gt;"")*tbl_Finance[Date]))=0,"",SUMPRODUCT(MAX((tbl_Finance[Job Number]&amp;""=C66&amp;"")*(tbl_Finance[Xero Invoice No]&lt;&gt;"")*tbl_Finance[Date]))),""))</f>
        <v/>
      </c>
      <c r="B66" s="26">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2" t="n"/>
      <c r="D66" s="26">
        <f>IF(C66="","",IF(COUNTIF(lst_Jobs,C66&amp;"")&gt;0,"OK","CHECK"))</f>
        <v/>
      </c>
      <c r="E66" s="26">
        <f>IF(C66="","",IFERROR(INDEX(lst_JobName,MATCH(C66&amp;"",lst_Jobs,0)),""))</f>
        <v/>
      </c>
      <c r="F66" s="22" t="n"/>
      <c r="G66" s="22" t="n"/>
      <c r="H66" s="22" t="n"/>
      <c r="I66" s="22" t="n"/>
      <c r="J66" s="22" t="n"/>
      <c r="K66" s="28">
        <f>IF(C66="","",COUNTIFS(tbl_Finance[Job Number],C66&amp;"",tbl_Finance[Ex GST],"&lt;&gt;"))</f>
        <v/>
      </c>
      <c r="L66" s="27">
        <f>IF(C66="","",SUMIFS(tbl_Finance[Ex GST],tbl_Finance[Job Number],C66&amp;""))</f>
        <v/>
      </c>
      <c r="M66" s="27">
        <f>IF(C66="","",SUMIFS(tbl_Finance[Ex GST],tbl_Finance[Job Number],C66&amp;"",tbl_Finance[Xero Invoice No],"&lt;&gt;"))</f>
        <v/>
      </c>
      <c r="N66" s="27">
        <f>IF(C66="","",L66-M66)</f>
        <v/>
      </c>
      <c r="O66" s="24" t="n"/>
      <c r="P66" s="27">
        <f>IF(C66="","",IF(O66="",0,MAX(0,O66-L66)))</f>
        <v/>
      </c>
      <c r="Q66" s="26">
        <f>IF(C66="","",IF(K66=0,"not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R66" s="27">
        <f>IF(C66="","",SUMIFS(tbl_Finance[Inc GST],tbl_Finance[Job Number],C66&amp;""))</f>
        <v/>
      </c>
      <c r="S66" s="22" t="n"/>
      <c r="T66" s="22" t="n"/>
      <c r="U66" s="22" t="n"/>
      <c r="V66" s="23" t="n"/>
      <c r="W66" s="22" t="n"/>
      <c r="X66" s="26">
        <f>IF(W66="","",IF(AND(LEFT(W66,4)&lt;&gt;"http",set_RMSBase=""),"",HYPERLINK(IF(LEFT(W66,4)="http",W66,set_RMSBase&amp;W66),"Open opportunity")))</f>
        <v/>
      </c>
      <c r="Y66" s="22" t="n"/>
      <c r="Z66" s="26">
        <f>IF(Y66="","",HYPERLINK(IF(LEFT(Y66,4)="http",Y66,set_QwilrBase&amp;Y66),"Open quote"))</f>
        <v/>
      </c>
      <c r="AA66" s="26">
        <f>IF(C66="","",C66)</f>
        <v/>
      </c>
      <c r="AB66" s="22" t="n"/>
      <c r="AC66" s="24" t="n"/>
      <c r="AD66" s="27">
        <f>IF(C66="","",L66+N(AC66))</f>
        <v/>
      </c>
      <c r="AE66" s="29">
        <f>IFERROR(AC66/AD66,"")</f>
        <v/>
      </c>
      <c r="AF66" s="24" t="n"/>
      <c r="AG66" s="24" t="n"/>
      <c r="AH66" s="24" t="n"/>
      <c r="AI66" s="24" t="n"/>
      <c r="AJ66" s="27">
        <f>IF(C66="","",SUMIFS(tbl_Finance[Ex GST],tbl_Finance[Job Number],C66&amp;"",tbl_Finance[Cost Centre],"VIDEO"))</f>
        <v/>
      </c>
      <c r="AK66" s="29">
        <f>IFERROR(AJ66/L66,"")</f>
        <v/>
      </c>
      <c r="AL66" s="27">
        <f>IF(C66="","",N(AF66)+N(AG66)+N(AH66)+N(AI66))</f>
        <v/>
      </c>
      <c r="AM66" s="27" t="n"/>
      <c r="AN66" s="29" t="n"/>
      <c r="AO66" s="71" t="n"/>
      <c r="AP66" s="71" t="n"/>
      <c r="AQ66" s="71" t="n"/>
      <c r="AR66" s="71" t="n"/>
      <c r="AS66" s="71" t="n"/>
      <c r="AT66" s="22" t="n"/>
    </row>
    <row r="67" ht="15" customHeight="1">
      <c r="A67" s="70">
        <f>IF(C67="","",IFERROR(IF(SUMPRODUCT(MAX((tbl_Finance[Job Number]&amp;""=C67&amp;"")*(tbl_Finance[Xero Invoice No]&lt;&gt;"")*tbl_Finance[Date]))=0,"",SUMPRODUCT(MAX((tbl_Finance[Job Number]&amp;""=C67&amp;"")*(tbl_Finance[Xero Invoice No]&lt;&gt;"")*tbl_Finance[Date]))),""))</f>
        <v/>
      </c>
      <c r="B67" s="26">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2" t="n"/>
      <c r="D67" s="26">
        <f>IF(C67="","",IF(COUNTIF(lst_Jobs,C67&amp;"")&gt;0,"OK","CHECK"))</f>
        <v/>
      </c>
      <c r="E67" s="26">
        <f>IF(C67="","",IFERROR(INDEX(lst_JobName,MATCH(C67&amp;"",lst_Jobs,0)),""))</f>
        <v/>
      </c>
      <c r="F67" s="22" t="n"/>
      <c r="G67" s="22" t="n"/>
      <c r="H67" s="22" t="n"/>
      <c r="I67" s="22" t="n"/>
      <c r="J67" s="22" t="n"/>
      <c r="K67" s="28">
        <f>IF(C67="","",COUNTIFS(tbl_Finance[Job Number],C67&amp;"",tbl_Finance[Ex GST],"&lt;&gt;"))</f>
        <v/>
      </c>
      <c r="L67" s="27">
        <f>IF(C67="","",SUMIFS(tbl_Finance[Ex GST],tbl_Finance[Job Number],C67&amp;""))</f>
        <v/>
      </c>
      <c r="M67" s="27">
        <f>IF(C67="","",SUMIFS(tbl_Finance[Ex GST],tbl_Finance[Job Number],C67&amp;"",tbl_Finance[Xero Invoice No],"&lt;&gt;"))</f>
        <v/>
      </c>
      <c r="N67" s="27">
        <f>IF(C67="","",L67-M67)</f>
        <v/>
      </c>
      <c r="O67" s="24" t="n"/>
      <c r="P67" s="27">
        <f>IF(C67="","",IF(O67="",0,MAX(0,O67-L67)))</f>
        <v/>
      </c>
      <c r="Q67" s="26">
        <f>IF(C67="","",IF(K67=0,"not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R67" s="27">
        <f>IF(C67="","",SUMIFS(tbl_Finance[Inc GST],tbl_Finance[Job Number],C67&amp;""))</f>
        <v/>
      </c>
      <c r="S67" s="22" t="n"/>
      <c r="T67" s="22" t="n"/>
      <c r="U67" s="22" t="n"/>
      <c r="V67" s="23" t="n"/>
      <c r="W67" s="22" t="n"/>
      <c r="X67" s="26">
        <f>IF(W67="","",IF(AND(LEFT(W67,4)&lt;&gt;"http",set_RMSBase=""),"",HYPERLINK(IF(LEFT(W67,4)="http",W67,set_RMSBase&amp;W67),"Open opportunity")))</f>
        <v/>
      </c>
      <c r="Y67" s="22" t="n"/>
      <c r="Z67" s="26">
        <f>IF(Y67="","",HYPERLINK(IF(LEFT(Y67,4)="http",Y67,set_QwilrBase&amp;Y67),"Open quote"))</f>
        <v/>
      </c>
      <c r="AA67" s="26">
        <f>IF(C67="","",C67)</f>
        <v/>
      </c>
      <c r="AB67" s="22" t="n"/>
      <c r="AC67" s="24" t="n"/>
      <c r="AD67" s="27">
        <f>IF(C67="","",L67+N(AC67))</f>
        <v/>
      </c>
      <c r="AE67" s="29">
        <f>IFERROR(AC67/AD67,"")</f>
        <v/>
      </c>
      <c r="AF67" s="24" t="n"/>
      <c r="AG67" s="24" t="n"/>
      <c r="AH67" s="24" t="n"/>
      <c r="AI67" s="24" t="n"/>
      <c r="AJ67" s="27">
        <f>IF(C67="","",SUMIFS(tbl_Finance[Ex GST],tbl_Finance[Job Number],C67&amp;"",tbl_Finance[Cost Centre],"VIDEO"))</f>
        <v/>
      </c>
      <c r="AK67" s="29">
        <f>IFERROR(AJ67/L67,"")</f>
        <v/>
      </c>
      <c r="AL67" s="27">
        <f>IF(C67="","",N(AF67)+N(AG67)+N(AH67)+N(AI67))</f>
        <v/>
      </c>
      <c r="AM67" s="27" t="n"/>
      <c r="AN67" s="29" t="n"/>
      <c r="AO67" s="71" t="n"/>
      <c r="AP67" s="71" t="n"/>
      <c r="AQ67" s="71" t="n"/>
      <c r="AR67" s="71" t="n"/>
      <c r="AS67" s="71" t="n"/>
      <c r="AT67" s="22" t="n"/>
    </row>
    <row r="68" ht="15" customHeight="1">
      <c r="A68" s="70">
        <f>IF(C68="","",IFERROR(IF(SUMPRODUCT(MAX((tbl_Finance[Job Number]&amp;""=C68&amp;"")*(tbl_Finance[Xero Invoice No]&lt;&gt;"")*tbl_Finance[Date]))=0,"",SUMPRODUCT(MAX((tbl_Finance[Job Number]&amp;""=C68&amp;"")*(tbl_Finance[Xero Invoice No]&lt;&gt;"")*tbl_Finance[Date]))),""))</f>
        <v/>
      </c>
      <c r="B68" s="26">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2" t="n"/>
      <c r="D68" s="26">
        <f>IF(C68="","",IF(COUNTIF(lst_Jobs,C68&amp;"")&gt;0,"OK","CHECK"))</f>
        <v/>
      </c>
      <c r="E68" s="26">
        <f>IF(C68="","",IFERROR(INDEX(lst_JobName,MATCH(C68&amp;"",lst_Jobs,0)),""))</f>
        <v/>
      </c>
      <c r="F68" s="22" t="n"/>
      <c r="G68" s="22" t="n"/>
      <c r="H68" s="22" t="n"/>
      <c r="I68" s="22" t="n"/>
      <c r="J68" s="22" t="n"/>
      <c r="K68" s="28">
        <f>IF(C68="","",COUNTIFS(tbl_Finance[Job Number],C68&amp;"",tbl_Finance[Ex GST],"&lt;&gt;"))</f>
        <v/>
      </c>
      <c r="L68" s="27">
        <f>IF(C68="","",SUMIFS(tbl_Finance[Ex GST],tbl_Finance[Job Number],C68&amp;""))</f>
        <v/>
      </c>
      <c r="M68" s="27">
        <f>IF(C68="","",SUMIFS(tbl_Finance[Ex GST],tbl_Finance[Job Number],C68&amp;"",tbl_Finance[Xero Invoice No],"&lt;&gt;"))</f>
        <v/>
      </c>
      <c r="N68" s="27">
        <f>IF(C68="","",L68-M68)</f>
        <v/>
      </c>
      <c r="O68" s="24" t="n"/>
      <c r="P68" s="27">
        <f>IF(C68="","",IF(O68="",0,MAX(0,O68-L68)))</f>
        <v/>
      </c>
      <c r="Q68" s="26">
        <f>IF(C68="","",IF(K68=0,"not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R68" s="27">
        <f>IF(C68="","",SUMIFS(tbl_Finance[Inc GST],tbl_Finance[Job Number],C68&amp;""))</f>
        <v/>
      </c>
      <c r="S68" s="22" t="n"/>
      <c r="T68" s="22" t="n"/>
      <c r="U68" s="22" t="n"/>
      <c r="V68" s="23" t="n"/>
      <c r="W68" s="22" t="n"/>
      <c r="X68" s="26">
        <f>IF(W68="","",IF(AND(LEFT(W68,4)&lt;&gt;"http",set_RMSBase=""),"",HYPERLINK(IF(LEFT(W68,4)="http",W68,set_RMSBase&amp;W68),"Open opportunity")))</f>
        <v/>
      </c>
      <c r="Y68" s="22" t="n"/>
      <c r="Z68" s="26">
        <f>IF(Y68="","",HYPERLINK(IF(LEFT(Y68,4)="http",Y68,set_QwilrBase&amp;Y68),"Open quote"))</f>
        <v/>
      </c>
      <c r="AA68" s="26">
        <f>IF(C68="","",C68)</f>
        <v/>
      </c>
      <c r="AB68" s="22" t="n"/>
      <c r="AC68" s="24" t="n"/>
      <c r="AD68" s="27">
        <f>IF(C68="","",L68+N(AC68))</f>
        <v/>
      </c>
      <c r="AE68" s="29">
        <f>IFERROR(AC68/AD68,"")</f>
        <v/>
      </c>
      <c r="AF68" s="24" t="n"/>
      <c r="AG68" s="24" t="n"/>
      <c r="AH68" s="24" t="n"/>
      <c r="AI68" s="24" t="n"/>
      <c r="AJ68" s="27">
        <f>IF(C68="","",SUMIFS(tbl_Finance[Ex GST],tbl_Finance[Job Number],C68&amp;"",tbl_Finance[Cost Centre],"VIDEO"))</f>
        <v/>
      </c>
      <c r="AK68" s="29">
        <f>IFERROR(AJ68/L68,"")</f>
        <v/>
      </c>
      <c r="AL68" s="27">
        <f>IF(C68="","",N(AF68)+N(AG68)+N(AH68)+N(AI68))</f>
        <v/>
      </c>
      <c r="AM68" s="27" t="n"/>
      <c r="AN68" s="29" t="n"/>
      <c r="AO68" s="71" t="n"/>
      <c r="AP68" s="71" t="n"/>
      <c r="AQ68" s="71" t="n"/>
      <c r="AR68" s="71" t="n"/>
      <c r="AS68" s="71" t="n"/>
      <c r="AT68" s="22" t="n"/>
    </row>
    <row r="69" ht="15" customHeight="1">
      <c r="A69" s="70">
        <f>IF(C69="","",IFERROR(IF(SUMPRODUCT(MAX((tbl_Finance[Job Number]&amp;""=C69&amp;"")*(tbl_Finance[Xero Invoice No]&lt;&gt;"")*tbl_Finance[Date]))=0,"",SUMPRODUCT(MAX((tbl_Finance[Job Number]&amp;""=C69&amp;"")*(tbl_Finance[Xero Invoice No]&lt;&gt;"")*tbl_Finance[Date]))),""))</f>
        <v/>
      </c>
      <c r="B69" s="26">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2" t="n"/>
      <c r="D69" s="26">
        <f>IF(C69="","",IF(COUNTIF(lst_Jobs,C69&amp;"")&gt;0,"OK","CHECK"))</f>
        <v/>
      </c>
      <c r="E69" s="26">
        <f>IF(C69="","",IFERROR(INDEX(lst_JobName,MATCH(C69&amp;"",lst_Jobs,0)),""))</f>
        <v/>
      </c>
      <c r="F69" s="22" t="n"/>
      <c r="G69" s="22" t="n"/>
      <c r="H69" s="22" t="n"/>
      <c r="I69" s="22" t="n"/>
      <c r="J69" s="22" t="n"/>
      <c r="K69" s="28">
        <f>IF(C69="","",COUNTIFS(tbl_Finance[Job Number],C69&amp;"",tbl_Finance[Ex GST],"&lt;&gt;"))</f>
        <v/>
      </c>
      <c r="L69" s="27">
        <f>IF(C69="","",SUMIFS(tbl_Finance[Ex GST],tbl_Finance[Job Number],C69&amp;""))</f>
        <v/>
      </c>
      <c r="M69" s="27">
        <f>IF(C69="","",SUMIFS(tbl_Finance[Ex GST],tbl_Finance[Job Number],C69&amp;"",tbl_Finance[Xero Invoice No],"&lt;&gt;"))</f>
        <v/>
      </c>
      <c r="N69" s="27">
        <f>IF(C69="","",L69-M69)</f>
        <v/>
      </c>
      <c r="O69" s="24" t="n"/>
      <c r="P69" s="27">
        <f>IF(C69="","",IF(O69="",0,MAX(0,O69-L69)))</f>
        <v/>
      </c>
      <c r="Q69" s="26">
        <f>IF(C69="","",IF(K69=0,"not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R69" s="27">
        <f>IF(C69="","",SUMIFS(tbl_Finance[Inc GST],tbl_Finance[Job Number],C69&amp;""))</f>
        <v/>
      </c>
      <c r="S69" s="22" t="n"/>
      <c r="T69" s="22" t="n"/>
      <c r="U69" s="22" t="n"/>
      <c r="V69" s="23" t="n"/>
      <c r="W69" s="22" t="n"/>
      <c r="X69" s="26">
        <f>IF(W69="","",IF(AND(LEFT(W69,4)&lt;&gt;"http",set_RMSBase=""),"",HYPERLINK(IF(LEFT(W69,4)="http",W69,set_RMSBase&amp;W69),"Open opportunity")))</f>
        <v/>
      </c>
      <c r="Y69" s="22" t="n"/>
      <c r="Z69" s="26">
        <f>IF(Y69="","",HYPERLINK(IF(LEFT(Y69,4)="http",Y69,set_QwilrBase&amp;Y69),"Open quote"))</f>
        <v/>
      </c>
      <c r="AA69" s="26">
        <f>IF(C69="","",C69)</f>
        <v/>
      </c>
      <c r="AB69" s="22" t="n"/>
      <c r="AC69" s="24" t="n"/>
      <c r="AD69" s="27">
        <f>IF(C69="","",L69+N(AC69))</f>
        <v/>
      </c>
      <c r="AE69" s="29">
        <f>IFERROR(AC69/AD69,"")</f>
        <v/>
      </c>
      <c r="AF69" s="24" t="n"/>
      <c r="AG69" s="24" t="n"/>
      <c r="AH69" s="24" t="n"/>
      <c r="AI69" s="24" t="n"/>
      <c r="AJ69" s="27">
        <f>IF(C69="","",SUMIFS(tbl_Finance[Ex GST],tbl_Finance[Job Number],C69&amp;"",tbl_Finance[Cost Centre],"VIDEO"))</f>
        <v/>
      </c>
      <c r="AK69" s="29">
        <f>IFERROR(AJ69/L69,"")</f>
        <v/>
      </c>
      <c r="AL69" s="27">
        <f>IF(C69="","",N(AF69)+N(AG69)+N(AH69)+N(AI69))</f>
        <v/>
      </c>
      <c r="AM69" s="27" t="n"/>
      <c r="AN69" s="29" t="n"/>
      <c r="AO69" s="71" t="n"/>
      <c r="AP69" s="71" t="n"/>
      <c r="AQ69" s="71" t="n"/>
      <c r="AR69" s="71" t="n"/>
      <c r="AS69" s="71" t="n"/>
      <c r="AT69" s="22" t="n"/>
    </row>
    <row r="70" ht="15" customHeight="1">
      <c r="A70" s="70">
        <f>IF(C70="","",IFERROR(IF(SUMPRODUCT(MAX((tbl_Finance[Job Number]&amp;""=C70&amp;"")*(tbl_Finance[Xero Invoice No]&lt;&gt;"")*tbl_Finance[Date]))=0,"",SUMPRODUCT(MAX((tbl_Finance[Job Number]&amp;""=C70&amp;"")*(tbl_Finance[Xero Invoice No]&lt;&gt;"")*tbl_Finance[Date]))),""))</f>
        <v/>
      </c>
      <c r="B70" s="26">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2" t="n"/>
      <c r="D70" s="26">
        <f>IF(C70="","",IF(COUNTIF(lst_Jobs,C70&amp;"")&gt;0,"OK","CHECK"))</f>
        <v/>
      </c>
      <c r="E70" s="26">
        <f>IF(C70="","",IFERROR(INDEX(lst_JobName,MATCH(C70&amp;"",lst_Jobs,0)),""))</f>
        <v/>
      </c>
      <c r="F70" s="22" t="n"/>
      <c r="G70" s="22" t="n"/>
      <c r="H70" s="22" t="n"/>
      <c r="I70" s="22" t="n"/>
      <c r="J70" s="22" t="n"/>
      <c r="K70" s="28">
        <f>IF(C70="","",COUNTIFS(tbl_Finance[Job Number],C70&amp;"",tbl_Finance[Ex GST],"&lt;&gt;"))</f>
        <v/>
      </c>
      <c r="L70" s="27">
        <f>IF(C70="","",SUMIFS(tbl_Finance[Ex GST],tbl_Finance[Job Number],C70&amp;""))</f>
        <v/>
      </c>
      <c r="M70" s="27">
        <f>IF(C70="","",SUMIFS(tbl_Finance[Ex GST],tbl_Finance[Job Number],C70&amp;"",tbl_Finance[Xero Invoice No],"&lt;&gt;"))</f>
        <v/>
      </c>
      <c r="N70" s="27">
        <f>IF(C70="","",L70-M70)</f>
        <v/>
      </c>
      <c r="O70" s="24" t="n"/>
      <c r="P70" s="27">
        <f>IF(C70="","",IF(O70="",0,MAX(0,O70-L70)))</f>
        <v/>
      </c>
      <c r="Q70" s="26">
        <f>IF(C70="","",IF(K70=0,"not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R70" s="27">
        <f>IF(C70="","",SUMIFS(tbl_Finance[Inc GST],tbl_Finance[Job Number],C70&amp;""))</f>
        <v/>
      </c>
      <c r="S70" s="22" t="n"/>
      <c r="T70" s="22" t="n"/>
      <c r="U70" s="22" t="n"/>
      <c r="V70" s="23" t="n"/>
      <c r="W70" s="22" t="n"/>
      <c r="X70" s="26">
        <f>IF(W70="","",IF(AND(LEFT(W70,4)&lt;&gt;"http",set_RMSBase=""),"",HYPERLINK(IF(LEFT(W70,4)="http",W70,set_RMSBase&amp;W70),"Open opportunity")))</f>
        <v/>
      </c>
      <c r="Y70" s="22" t="n"/>
      <c r="Z70" s="26">
        <f>IF(Y70="","",HYPERLINK(IF(LEFT(Y70,4)="http",Y70,set_QwilrBase&amp;Y70),"Open quote"))</f>
        <v/>
      </c>
      <c r="AA70" s="26">
        <f>IF(C70="","",C70)</f>
        <v/>
      </c>
      <c r="AB70" s="22" t="n"/>
      <c r="AC70" s="24" t="n"/>
      <c r="AD70" s="27">
        <f>IF(C70="","",L70+N(AC70))</f>
        <v/>
      </c>
      <c r="AE70" s="29">
        <f>IFERROR(AC70/AD70,"")</f>
        <v/>
      </c>
      <c r="AF70" s="24" t="n"/>
      <c r="AG70" s="24" t="n"/>
      <c r="AH70" s="24" t="n"/>
      <c r="AI70" s="24" t="n"/>
      <c r="AJ70" s="27">
        <f>IF(C70="","",SUMIFS(tbl_Finance[Ex GST],tbl_Finance[Job Number],C70&amp;"",tbl_Finance[Cost Centre],"VIDEO"))</f>
        <v/>
      </c>
      <c r="AK70" s="29">
        <f>IFERROR(AJ70/L70,"")</f>
        <v/>
      </c>
      <c r="AL70" s="27">
        <f>IF(C70="","",N(AF70)+N(AG70)+N(AH70)+N(AI70))</f>
        <v/>
      </c>
      <c r="AM70" s="27" t="n"/>
      <c r="AN70" s="29" t="n"/>
      <c r="AO70" s="71" t="n"/>
      <c r="AP70" s="71" t="n"/>
      <c r="AQ70" s="71" t="n"/>
      <c r="AR70" s="71" t="n"/>
      <c r="AS70" s="71" t="n"/>
      <c r="AT70" s="22" t="n"/>
    </row>
    <row r="71" ht="15" customHeight="1">
      <c r="A71" s="70">
        <f>IF(C71="","",IFERROR(IF(SUMPRODUCT(MAX((tbl_Finance[Job Number]&amp;""=C71&amp;"")*(tbl_Finance[Xero Invoice No]&lt;&gt;"")*tbl_Finance[Date]))=0,"",SUMPRODUCT(MAX((tbl_Finance[Job Number]&amp;""=C71&amp;"")*(tbl_Finance[Xero Invoice No]&lt;&gt;"")*tbl_Finance[Date]))),""))</f>
        <v/>
      </c>
      <c r="B71" s="26">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2" t="n"/>
      <c r="D71" s="26">
        <f>IF(C71="","",IF(COUNTIF(lst_Jobs,C71&amp;"")&gt;0,"OK","CHECK"))</f>
        <v/>
      </c>
      <c r="E71" s="26">
        <f>IF(C71="","",IFERROR(INDEX(lst_JobName,MATCH(C71&amp;"",lst_Jobs,0)),""))</f>
        <v/>
      </c>
      <c r="F71" s="22" t="n"/>
      <c r="G71" s="22" t="n"/>
      <c r="H71" s="22" t="n"/>
      <c r="I71" s="22" t="n"/>
      <c r="J71" s="22" t="n"/>
      <c r="K71" s="28">
        <f>IF(C71="","",COUNTIFS(tbl_Finance[Job Number],C71&amp;"",tbl_Finance[Ex GST],"&lt;&gt;"))</f>
        <v/>
      </c>
      <c r="L71" s="27">
        <f>IF(C71="","",SUMIFS(tbl_Finance[Ex GST],tbl_Finance[Job Number],C71&amp;""))</f>
        <v/>
      </c>
      <c r="M71" s="27">
        <f>IF(C71="","",SUMIFS(tbl_Finance[Ex GST],tbl_Finance[Job Number],C71&amp;"",tbl_Finance[Xero Invoice No],"&lt;&gt;"))</f>
        <v/>
      </c>
      <c r="N71" s="27">
        <f>IF(C71="","",L71-M71)</f>
        <v/>
      </c>
      <c r="O71" s="24" t="n"/>
      <c r="P71" s="27">
        <f>IF(C71="","",IF(O71="",0,MAX(0,O71-L71)))</f>
        <v/>
      </c>
      <c r="Q71" s="26">
        <f>IF(C71="","",IF(K71=0,"not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R71" s="27">
        <f>IF(C71="","",SUMIFS(tbl_Finance[Inc GST],tbl_Finance[Job Number],C71&amp;""))</f>
        <v/>
      </c>
      <c r="S71" s="22" t="n"/>
      <c r="T71" s="22" t="n"/>
      <c r="U71" s="22" t="n"/>
      <c r="V71" s="23" t="n"/>
      <c r="W71" s="22" t="n"/>
      <c r="X71" s="26">
        <f>IF(W71="","",IF(AND(LEFT(W71,4)&lt;&gt;"http",set_RMSBase=""),"",HYPERLINK(IF(LEFT(W71,4)="http",W71,set_RMSBase&amp;W71),"Open opportunity")))</f>
        <v/>
      </c>
      <c r="Y71" s="22" t="n"/>
      <c r="Z71" s="26">
        <f>IF(Y71="","",HYPERLINK(IF(LEFT(Y71,4)="http",Y71,set_QwilrBase&amp;Y71),"Open quote"))</f>
        <v/>
      </c>
      <c r="AA71" s="26">
        <f>IF(C71="","",C71)</f>
        <v/>
      </c>
      <c r="AB71" s="22" t="n"/>
      <c r="AC71" s="24" t="n"/>
      <c r="AD71" s="27">
        <f>IF(C71="","",L71+N(AC71))</f>
        <v/>
      </c>
      <c r="AE71" s="29">
        <f>IFERROR(AC71/AD71,"")</f>
        <v/>
      </c>
      <c r="AF71" s="24" t="n"/>
      <c r="AG71" s="24" t="n"/>
      <c r="AH71" s="24" t="n"/>
      <c r="AI71" s="24" t="n"/>
      <c r="AJ71" s="27">
        <f>IF(C71="","",SUMIFS(tbl_Finance[Ex GST],tbl_Finance[Job Number],C71&amp;"",tbl_Finance[Cost Centre],"VIDEO"))</f>
        <v/>
      </c>
      <c r="AK71" s="29">
        <f>IFERROR(AJ71/L71,"")</f>
        <v/>
      </c>
      <c r="AL71" s="27">
        <f>IF(C71="","",N(AF71)+N(AG71)+N(AH71)+N(AI71))</f>
        <v/>
      </c>
      <c r="AM71" s="27" t="n"/>
      <c r="AN71" s="29" t="n"/>
      <c r="AO71" s="71" t="n"/>
      <c r="AP71" s="71" t="n"/>
      <c r="AQ71" s="71" t="n"/>
      <c r="AR71" s="71" t="n"/>
      <c r="AS71" s="71" t="n"/>
      <c r="AT71" s="22" t="n"/>
    </row>
    <row r="72" ht="15" customHeight="1">
      <c r="A72" s="70">
        <f>IF(C72="","",IFERROR(IF(SUMPRODUCT(MAX((tbl_Finance[Job Number]&amp;""=C72&amp;"")*(tbl_Finance[Xero Invoice No]&lt;&gt;"")*tbl_Finance[Date]))=0,"",SUMPRODUCT(MAX((tbl_Finance[Job Number]&amp;""=C72&amp;"")*(tbl_Finance[Xero Invoice No]&lt;&gt;"")*tbl_Finance[Date]))),""))</f>
        <v/>
      </c>
      <c r="B72" s="26">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2" t="n"/>
      <c r="D72" s="26">
        <f>IF(C72="","",IF(COUNTIF(lst_Jobs,C72&amp;"")&gt;0,"OK","CHECK"))</f>
        <v/>
      </c>
      <c r="E72" s="26">
        <f>IF(C72="","",IFERROR(INDEX(lst_JobName,MATCH(C72&amp;"",lst_Jobs,0)),""))</f>
        <v/>
      </c>
      <c r="F72" s="22" t="n"/>
      <c r="G72" s="22" t="n"/>
      <c r="H72" s="22" t="n"/>
      <c r="I72" s="22" t="n"/>
      <c r="J72" s="22" t="n"/>
      <c r="K72" s="28">
        <f>IF(C72="","",COUNTIFS(tbl_Finance[Job Number],C72&amp;"",tbl_Finance[Ex GST],"&lt;&gt;"))</f>
        <v/>
      </c>
      <c r="L72" s="27">
        <f>IF(C72="","",SUMIFS(tbl_Finance[Ex GST],tbl_Finance[Job Number],C72&amp;""))</f>
        <v/>
      </c>
      <c r="M72" s="27">
        <f>IF(C72="","",SUMIFS(tbl_Finance[Ex GST],tbl_Finance[Job Number],C72&amp;"",tbl_Finance[Xero Invoice No],"&lt;&gt;"))</f>
        <v/>
      </c>
      <c r="N72" s="27">
        <f>IF(C72="","",L72-M72)</f>
        <v/>
      </c>
      <c r="O72" s="24" t="n"/>
      <c r="P72" s="27">
        <f>IF(C72="","",IF(O72="",0,MAX(0,O72-L72)))</f>
        <v/>
      </c>
      <c r="Q72" s="26">
        <f>IF(C72="","",IF(K72=0,"not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R72" s="27">
        <f>IF(C72="","",SUMIFS(tbl_Finance[Inc GST],tbl_Finance[Job Number],C72&amp;""))</f>
        <v/>
      </c>
      <c r="S72" s="22" t="n"/>
      <c r="T72" s="22" t="n"/>
      <c r="U72" s="22" t="n"/>
      <c r="V72" s="23" t="n"/>
      <c r="W72" s="22" t="n"/>
      <c r="X72" s="26">
        <f>IF(W72="","",IF(AND(LEFT(W72,4)&lt;&gt;"http",set_RMSBase=""),"",HYPERLINK(IF(LEFT(W72,4)="http",W72,set_RMSBase&amp;W72),"Open opportunity")))</f>
        <v/>
      </c>
      <c r="Y72" s="22" t="n"/>
      <c r="Z72" s="26">
        <f>IF(Y72="","",HYPERLINK(IF(LEFT(Y72,4)="http",Y72,set_QwilrBase&amp;Y72),"Open quote"))</f>
        <v/>
      </c>
      <c r="AA72" s="26">
        <f>IF(C72="","",C72)</f>
        <v/>
      </c>
      <c r="AB72" s="22" t="n"/>
      <c r="AC72" s="24" t="n"/>
      <c r="AD72" s="27">
        <f>IF(C72="","",L72+N(AC72))</f>
        <v/>
      </c>
      <c r="AE72" s="29">
        <f>IFERROR(AC72/AD72,"")</f>
        <v/>
      </c>
      <c r="AF72" s="24" t="n"/>
      <c r="AG72" s="24" t="n"/>
      <c r="AH72" s="24" t="n"/>
      <c r="AI72" s="24" t="n"/>
      <c r="AJ72" s="27">
        <f>IF(C72="","",SUMIFS(tbl_Finance[Ex GST],tbl_Finance[Job Number],C72&amp;"",tbl_Finance[Cost Centre],"VIDEO"))</f>
        <v/>
      </c>
      <c r="AK72" s="29">
        <f>IFERROR(AJ72/L72,"")</f>
        <v/>
      </c>
      <c r="AL72" s="27">
        <f>IF(C72="","",N(AF72)+N(AG72)+N(AH72)+N(AI72))</f>
        <v/>
      </c>
      <c r="AM72" s="27" t="n"/>
      <c r="AN72" s="29" t="n"/>
      <c r="AO72" s="71" t="n"/>
      <c r="AP72" s="71" t="n"/>
      <c r="AQ72" s="71" t="n"/>
      <c r="AR72" s="71" t="n"/>
      <c r="AS72" s="71" t="n"/>
      <c r="AT72" s="22" t="n"/>
    </row>
    <row r="73" ht="15" customHeight="1">
      <c r="A73" s="70">
        <f>IF(C73="","",IFERROR(IF(SUMPRODUCT(MAX((tbl_Finance[Job Number]&amp;""=C73&amp;"")*(tbl_Finance[Xero Invoice No]&lt;&gt;"")*tbl_Finance[Date]))=0,"",SUMPRODUCT(MAX((tbl_Finance[Job Number]&amp;""=C73&amp;"")*(tbl_Finance[Xero Invoice No]&lt;&gt;"")*tbl_Finance[Date]))),""))</f>
        <v/>
      </c>
      <c r="B73" s="26">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2" t="n"/>
      <c r="D73" s="26">
        <f>IF(C73="","",IF(COUNTIF(lst_Jobs,C73&amp;"")&gt;0,"OK","CHECK"))</f>
        <v/>
      </c>
      <c r="E73" s="26">
        <f>IF(C73="","",IFERROR(INDEX(lst_JobName,MATCH(C73&amp;"",lst_Jobs,0)),""))</f>
        <v/>
      </c>
      <c r="F73" s="22" t="n"/>
      <c r="G73" s="22" t="n"/>
      <c r="H73" s="22" t="n"/>
      <c r="I73" s="22" t="n"/>
      <c r="J73" s="22" t="n"/>
      <c r="K73" s="28">
        <f>IF(C73="","",COUNTIFS(tbl_Finance[Job Number],C73&amp;"",tbl_Finance[Ex GST],"&lt;&gt;"))</f>
        <v/>
      </c>
      <c r="L73" s="27">
        <f>IF(C73="","",SUMIFS(tbl_Finance[Ex GST],tbl_Finance[Job Number],C73&amp;""))</f>
        <v/>
      </c>
      <c r="M73" s="27">
        <f>IF(C73="","",SUMIFS(tbl_Finance[Ex GST],tbl_Finance[Job Number],C73&amp;"",tbl_Finance[Xero Invoice No],"&lt;&gt;"))</f>
        <v/>
      </c>
      <c r="N73" s="27">
        <f>IF(C73="","",L73-M73)</f>
        <v/>
      </c>
      <c r="O73" s="24" t="n"/>
      <c r="P73" s="27">
        <f>IF(C73="","",IF(O73="",0,MAX(0,O73-L73)))</f>
        <v/>
      </c>
      <c r="Q73" s="26">
        <f>IF(C73="","",IF(K73=0,"not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R73" s="27">
        <f>IF(C73="","",SUMIFS(tbl_Finance[Inc GST],tbl_Finance[Job Number],C73&amp;""))</f>
        <v/>
      </c>
      <c r="S73" s="22" t="n"/>
      <c r="T73" s="22" t="n"/>
      <c r="U73" s="22" t="n"/>
      <c r="V73" s="23" t="n"/>
      <c r="W73" s="22" t="n"/>
      <c r="X73" s="26">
        <f>IF(W73="","",IF(AND(LEFT(W73,4)&lt;&gt;"http",set_RMSBase=""),"",HYPERLINK(IF(LEFT(W73,4)="http",W73,set_RMSBase&amp;W73),"Open opportunity")))</f>
        <v/>
      </c>
      <c r="Y73" s="22" t="n"/>
      <c r="Z73" s="26">
        <f>IF(Y73="","",HYPERLINK(IF(LEFT(Y73,4)="http",Y73,set_QwilrBase&amp;Y73),"Open quote"))</f>
        <v/>
      </c>
      <c r="AA73" s="26">
        <f>IF(C73="","",C73)</f>
        <v/>
      </c>
      <c r="AB73" s="22" t="n"/>
      <c r="AC73" s="24" t="n"/>
      <c r="AD73" s="27">
        <f>IF(C73="","",L73+N(AC73))</f>
        <v/>
      </c>
      <c r="AE73" s="29">
        <f>IFERROR(AC73/AD73,"")</f>
        <v/>
      </c>
      <c r="AF73" s="24" t="n"/>
      <c r="AG73" s="24" t="n"/>
      <c r="AH73" s="24" t="n"/>
      <c r="AI73" s="24" t="n"/>
      <c r="AJ73" s="27">
        <f>IF(C73="","",SUMIFS(tbl_Finance[Ex GST],tbl_Finance[Job Number],C73&amp;"",tbl_Finance[Cost Centre],"VIDEO"))</f>
        <v/>
      </c>
      <c r="AK73" s="29">
        <f>IFERROR(AJ73/L73,"")</f>
        <v/>
      </c>
      <c r="AL73" s="27">
        <f>IF(C73="","",N(AF73)+N(AG73)+N(AH73)+N(AI73))</f>
        <v/>
      </c>
      <c r="AM73" s="27" t="n"/>
      <c r="AN73" s="29" t="n"/>
      <c r="AO73" s="71" t="n"/>
      <c r="AP73" s="71" t="n"/>
      <c r="AQ73" s="71" t="n"/>
      <c r="AR73" s="71" t="n"/>
      <c r="AS73" s="71" t="n"/>
      <c r="AT73" s="22" t="n"/>
    </row>
    <row r="74" ht="15" customHeight="1">
      <c r="A74" s="70">
        <f>IF(C74="","",IFERROR(IF(SUMPRODUCT(MAX((tbl_Finance[Job Number]&amp;""=C74&amp;"")*(tbl_Finance[Xero Invoice No]&lt;&gt;"")*tbl_Finance[Date]))=0,"",SUMPRODUCT(MAX((tbl_Finance[Job Number]&amp;""=C74&amp;"")*(tbl_Finance[Xero Invoice No]&lt;&gt;"")*tbl_Finance[Date]))),""))</f>
        <v/>
      </c>
      <c r="B74" s="26">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2" t="n"/>
      <c r="D74" s="26">
        <f>IF(C74="","",IF(COUNTIF(lst_Jobs,C74&amp;"")&gt;0,"OK","CHECK"))</f>
        <v/>
      </c>
      <c r="E74" s="26">
        <f>IF(C74="","",IFERROR(INDEX(lst_JobName,MATCH(C74&amp;"",lst_Jobs,0)),""))</f>
        <v/>
      </c>
      <c r="F74" s="22" t="n"/>
      <c r="G74" s="22" t="n"/>
      <c r="H74" s="22" t="n"/>
      <c r="I74" s="22" t="n"/>
      <c r="J74" s="22" t="n"/>
      <c r="K74" s="28">
        <f>IF(C74="","",COUNTIFS(tbl_Finance[Job Number],C74&amp;"",tbl_Finance[Ex GST],"&lt;&gt;"))</f>
        <v/>
      </c>
      <c r="L74" s="27">
        <f>IF(C74="","",SUMIFS(tbl_Finance[Ex GST],tbl_Finance[Job Number],C74&amp;""))</f>
        <v/>
      </c>
      <c r="M74" s="27">
        <f>IF(C74="","",SUMIFS(tbl_Finance[Ex GST],tbl_Finance[Job Number],C74&amp;"",tbl_Finance[Xero Invoice No],"&lt;&gt;"))</f>
        <v/>
      </c>
      <c r="N74" s="27">
        <f>IF(C74="","",L74-M74)</f>
        <v/>
      </c>
      <c r="O74" s="24" t="n"/>
      <c r="P74" s="27">
        <f>IF(C74="","",IF(O74="",0,MAX(0,O74-L74)))</f>
        <v/>
      </c>
      <c r="Q74" s="26">
        <f>IF(C74="","",IF(K74=0,"not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R74" s="27">
        <f>IF(C74="","",SUMIFS(tbl_Finance[Inc GST],tbl_Finance[Job Number],C74&amp;""))</f>
        <v/>
      </c>
      <c r="S74" s="22" t="n"/>
      <c r="T74" s="22" t="n"/>
      <c r="U74" s="22" t="n"/>
      <c r="V74" s="23" t="n"/>
      <c r="W74" s="22" t="n"/>
      <c r="X74" s="26">
        <f>IF(W74="","",IF(AND(LEFT(W74,4)&lt;&gt;"http",set_RMSBase=""),"",HYPERLINK(IF(LEFT(W74,4)="http",W74,set_RMSBase&amp;W74),"Open opportunity")))</f>
        <v/>
      </c>
      <c r="Y74" s="22" t="n"/>
      <c r="Z74" s="26">
        <f>IF(Y74="","",HYPERLINK(IF(LEFT(Y74,4)="http",Y74,set_QwilrBase&amp;Y74),"Open quote"))</f>
        <v/>
      </c>
      <c r="AA74" s="26">
        <f>IF(C74="","",C74)</f>
        <v/>
      </c>
      <c r="AB74" s="22" t="n"/>
      <c r="AC74" s="24" t="n"/>
      <c r="AD74" s="27">
        <f>IF(C74="","",L74+N(AC74))</f>
        <v/>
      </c>
      <c r="AE74" s="29">
        <f>IFERROR(AC74/AD74,"")</f>
        <v/>
      </c>
      <c r="AF74" s="24" t="n"/>
      <c r="AG74" s="24" t="n"/>
      <c r="AH74" s="24" t="n"/>
      <c r="AI74" s="24" t="n"/>
      <c r="AJ74" s="27">
        <f>IF(C74="","",SUMIFS(tbl_Finance[Ex GST],tbl_Finance[Job Number],C74&amp;"",tbl_Finance[Cost Centre],"VIDEO"))</f>
        <v/>
      </c>
      <c r="AK74" s="29">
        <f>IFERROR(AJ74/L74,"")</f>
        <v/>
      </c>
      <c r="AL74" s="27">
        <f>IF(C74="","",N(AF74)+N(AG74)+N(AH74)+N(AI74))</f>
        <v/>
      </c>
      <c r="AM74" s="27" t="n"/>
      <c r="AN74" s="29" t="n"/>
      <c r="AO74" s="71" t="n"/>
      <c r="AP74" s="71" t="n"/>
      <c r="AQ74" s="71" t="n"/>
      <c r="AR74" s="71" t="n"/>
      <c r="AS74" s="71" t="n"/>
      <c r="AT74" s="22" t="n"/>
    </row>
    <row r="75" ht="15" customHeight="1">
      <c r="A75" s="70">
        <f>IF(C75="","",IFERROR(IF(SUMPRODUCT(MAX((tbl_Finance[Job Number]&amp;""=C75&amp;"")*(tbl_Finance[Xero Invoice No]&lt;&gt;"")*tbl_Finance[Date]))=0,"",SUMPRODUCT(MAX((tbl_Finance[Job Number]&amp;""=C75&amp;"")*(tbl_Finance[Xero Invoice No]&lt;&gt;"")*tbl_Finance[Date]))),""))</f>
        <v/>
      </c>
      <c r="B75" s="26">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2" t="n"/>
      <c r="D75" s="26">
        <f>IF(C75="","",IF(COUNTIF(lst_Jobs,C75&amp;"")&gt;0,"OK","CHECK"))</f>
        <v/>
      </c>
      <c r="E75" s="26">
        <f>IF(C75="","",IFERROR(INDEX(lst_JobName,MATCH(C75&amp;"",lst_Jobs,0)),""))</f>
        <v/>
      </c>
      <c r="F75" s="22" t="n"/>
      <c r="G75" s="22" t="n"/>
      <c r="H75" s="22" t="n"/>
      <c r="I75" s="22" t="n"/>
      <c r="J75" s="22" t="n"/>
      <c r="K75" s="28">
        <f>IF(C75="","",COUNTIFS(tbl_Finance[Job Number],C75&amp;"",tbl_Finance[Ex GST],"&lt;&gt;"))</f>
        <v/>
      </c>
      <c r="L75" s="27">
        <f>IF(C75="","",SUMIFS(tbl_Finance[Ex GST],tbl_Finance[Job Number],C75&amp;""))</f>
        <v/>
      </c>
      <c r="M75" s="27">
        <f>IF(C75="","",SUMIFS(tbl_Finance[Ex GST],tbl_Finance[Job Number],C75&amp;"",tbl_Finance[Xero Invoice No],"&lt;&gt;"))</f>
        <v/>
      </c>
      <c r="N75" s="27">
        <f>IF(C75="","",L75-M75)</f>
        <v/>
      </c>
      <c r="O75" s="24" t="n"/>
      <c r="P75" s="27">
        <f>IF(C75="","",IF(O75="",0,MAX(0,O75-L75)))</f>
        <v/>
      </c>
      <c r="Q75" s="26">
        <f>IF(C75="","",IF(K75=0,"not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R75" s="27">
        <f>IF(C75="","",SUMIFS(tbl_Finance[Inc GST],tbl_Finance[Job Number],C75&amp;""))</f>
        <v/>
      </c>
      <c r="S75" s="22" t="n"/>
      <c r="T75" s="22" t="n"/>
      <c r="U75" s="22" t="n"/>
      <c r="V75" s="23" t="n"/>
      <c r="W75" s="22" t="n"/>
      <c r="X75" s="26">
        <f>IF(W75="","",IF(AND(LEFT(W75,4)&lt;&gt;"http",set_RMSBase=""),"",HYPERLINK(IF(LEFT(W75,4)="http",W75,set_RMSBase&amp;W75),"Open opportunity")))</f>
        <v/>
      </c>
      <c r="Y75" s="22" t="n"/>
      <c r="Z75" s="26">
        <f>IF(Y75="","",HYPERLINK(IF(LEFT(Y75,4)="http",Y75,set_QwilrBase&amp;Y75),"Open quote"))</f>
        <v/>
      </c>
      <c r="AA75" s="26">
        <f>IF(C75="","",C75)</f>
        <v/>
      </c>
      <c r="AB75" s="22" t="n"/>
      <c r="AC75" s="24" t="n"/>
      <c r="AD75" s="27">
        <f>IF(C75="","",L75+N(AC75))</f>
        <v/>
      </c>
      <c r="AE75" s="29">
        <f>IFERROR(AC75/AD75,"")</f>
        <v/>
      </c>
      <c r="AF75" s="24" t="n"/>
      <c r="AG75" s="24" t="n"/>
      <c r="AH75" s="24" t="n"/>
      <c r="AI75" s="24" t="n"/>
      <c r="AJ75" s="27">
        <f>IF(C75="","",SUMIFS(tbl_Finance[Ex GST],tbl_Finance[Job Number],C75&amp;"",tbl_Finance[Cost Centre],"VIDEO"))</f>
        <v/>
      </c>
      <c r="AK75" s="29">
        <f>IFERROR(AJ75/L75,"")</f>
        <v/>
      </c>
      <c r="AL75" s="27">
        <f>IF(C75="","",N(AF75)+N(AG75)+N(AH75)+N(AI75))</f>
        <v/>
      </c>
      <c r="AM75" s="27" t="n"/>
      <c r="AN75" s="29" t="n"/>
      <c r="AO75" s="71" t="n"/>
      <c r="AP75" s="71" t="n"/>
      <c r="AQ75" s="71" t="n"/>
      <c r="AR75" s="71" t="n"/>
      <c r="AS75" s="71" t="n"/>
      <c r="AT75" s="22" t="n"/>
    </row>
    <row r="76" ht="15" customHeight="1">
      <c r="A76" s="70">
        <f>IF(C76="","",IFERROR(IF(SUMPRODUCT(MAX((tbl_Finance[Job Number]&amp;""=C76&amp;"")*(tbl_Finance[Xero Invoice No]&lt;&gt;"")*tbl_Finance[Date]))=0,"",SUMPRODUCT(MAX((tbl_Finance[Job Number]&amp;""=C76&amp;"")*(tbl_Finance[Xero Invoice No]&lt;&gt;"")*tbl_Finance[Date]))),""))</f>
        <v/>
      </c>
      <c r="B76" s="26">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2" t="n"/>
      <c r="D76" s="26">
        <f>IF(C76="","",IF(COUNTIF(lst_Jobs,C76&amp;"")&gt;0,"OK","CHECK"))</f>
        <v/>
      </c>
      <c r="E76" s="26">
        <f>IF(C76="","",IFERROR(INDEX(lst_JobName,MATCH(C76&amp;"",lst_Jobs,0)),""))</f>
        <v/>
      </c>
      <c r="F76" s="22" t="n"/>
      <c r="G76" s="22" t="n"/>
      <c r="H76" s="22" t="n"/>
      <c r="I76" s="22" t="n"/>
      <c r="J76" s="22" t="n"/>
      <c r="K76" s="28">
        <f>IF(C76="","",COUNTIFS(tbl_Finance[Job Number],C76&amp;"",tbl_Finance[Ex GST],"&lt;&gt;"))</f>
        <v/>
      </c>
      <c r="L76" s="27">
        <f>IF(C76="","",SUMIFS(tbl_Finance[Ex GST],tbl_Finance[Job Number],C76&amp;""))</f>
        <v/>
      </c>
      <c r="M76" s="27">
        <f>IF(C76="","",SUMIFS(tbl_Finance[Ex GST],tbl_Finance[Job Number],C76&amp;"",tbl_Finance[Xero Invoice No],"&lt;&gt;"))</f>
        <v/>
      </c>
      <c r="N76" s="27">
        <f>IF(C76="","",L76-M76)</f>
        <v/>
      </c>
      <c r="O76" s="24" t="n"/>
      <c r="P76" s="27">
        <f>IF(C76="","",IF(O76="",0,MAX(0,O76-L76)))</f>
        <v/>
      </c>
      <c r="Q76" s="26">
        <f>IF(C76="","",IF(K76=0,"not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R76" s="27">
        <f>IF(C76="","",SUMIFS(tbl_Finance[Inc GST],tbl_Finance[Job Number],C76&amp;""))</f>
        <v/>
      </c>
      <c r="S76" s="22" t="n"/>
      <c r="T76" s="22" t="n"/>
      <c r="U76" s="22" t="n"/>
      <c r="V76" s="23" t="n"/>
      <c r="W76" s="22" t="n"/>
      <c r="X76" s="26">
        <f>IF(W76="","",IF(AND(LEFT(W76,4)&lt;&gt;"http",set_RMSBase=""),"",HYPERLINK(IF(LEFT(W76,4)="http",W76,set_RMSBase&amp;W76),"Open opportunity")))</f>
        <v/>
      </c>
      <c r="Y76" s="22" t="n"/>
      <c r="Z76" s="26">
        <f>IF(Y76="","",HYPERLINK(IF(LEFT(Y76,4)="http",Y76,set_QwilrBase&amp;Y76),"Open quote"))</f>
        <v/>
      </c>
      <c r="AA76" s="26">
        <f>IF(C76="","",C76)</f>
        <v/>
      </c>
      <c r="AB76" s="22" t="n"/>
      <c r="AC76" s="24" t="n"/>
      <c r="AD76" s="27">
        <f>IF(C76="","",L76+N(AC76))</f>
        <v/>
      </c>
      <c r="AE76" s="29">
        <f>IFERROR(AC76/AD76,"")</f>
        <v/>
      </c>
      <c r="AF76" s="24" t="n"/>
      <c r="AG76" s="24" t="n"/>
      <c r="AH76" s="24" t="n"/>
      <c r="AI76" s="24" t="n"/>
      <c r="AJ76" s="27">
        <f>IF(C76="","",SUMIFS(tbl_Finance[Ex GST],tbl_Finance[Job Number],C76&amp;"",tbl_Finance[Cost Centre],"VIDEO"))</f>
        <v/>
      </c>
      <c r="AK76" s="29">
        <f>IFERROR(AJ76/L76,"")</f>
        <v/>
      </c>
      <c r="AL76" s="27">
        <f>IF(C76="","",N(AF76)+N(AG76)+N(AH76)+N(AI76))</f>
        <v/>
      </c>
      <c r="AM76" s="27" t="n"/>
      <c r="AN76" s="29" t="n"/>
      <c r="AO76" s="71" t="n"/>
      <c r="AP76" s="71" t="n"/>
      <c r="AQ76" s="71" t="n"/>
      <c r="AR76" s="71" t="n"/>
      <c r="AS76" s="71" t="n"/>
      <c r="AT76" s="22" t="n"/>
    </row>
    <row r="77" ht="15" customHeight="1">
      <c r="A77" s="70">
        <f>IF(C77="","",IFERROR(IF(SUMPRODUCT(MAX((tbl_Finance[Job Number]&amp;""=C77&amp;"")*(tbl_Finance[Xero Invoice No]&lt;&gt;"")*tbl_Finance[Date]))=0,"",SUMPRODUCT(MAX((tbl_Finance[Job Number]&amp;""=C77&amp;"")*(tbl_Finance[Xero Invoice No]&lt;&gt;"")*tbl_Finance[Date]))),""))</f>
        <v/>
      </c>
      <c r="B77" s="26">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2" t="n"/>
      <c r="D77" s="26">
        <f>IF(C77="","",IF(COUNTIF(lst_Jobs,C77&amp;"")&gt;0,"OK","CHECK"))</f>
        <v/>
      </c>
      <c r="E77" s="26">
        <f>IF(C77="","",IFERROR(INDEX(lst_JobName,MATCH(C77&amp;"",lst_Jobs,0)),""))</f>
        <v/>
      </c>
      <c r="F77" s="22" t="n"/>
      <c r="G77" s="22" t="n"/>
      <c r="H77" s="22" t="n"/>
      <c r="I77" s="22" t="n"/>
      <c r="J77" s="22" t="n"/>
      <c r="K77" s="28">
        <f>IF(C77="","",COUNTIFS(tbl_Finance[Job Number],C77&amp;"",tbl_Finance[Ex GST],"&lt;&gt;"))</f>
        <v/>
      </c>
      <c r="L77" s="27">
        <f>IF(C77="","",SUMIFS(tbl_Finance[Ex GST],tbl_Finance[Job Number],C77&amp;""))</f>
        <v/>
      </c>
      <c r="M77" s="27">
        <f>IF(C77="","",SUMIFS(tbl_Finance[Ex GST],tbl_Finance[Job Number],C77&amp;"",tbl_Finance[Xero Invoice No],"&lt;&gt;"))</f>
        <v/>
      </c>
      <c r="N77" s="27">
        <f>IF(C77="","",L77-M77)</f>
        <v/>
      </c>
      <c r="O77" s="24" t="n"/>
      <c r="P77" s="27">
        <f>IF(C77="","",IF(O77="",0,MAX(0,O77-L77)))</f>
        <v/>
      </c>
      <c r="Q77" s="26">
        <f>IF(C77="","",IF(K77=0,"not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R77" s="27">
        <f>IF(C77="","",SUMIFS(tbl_Finance[Inc GST],tbl_Finance[Job Number],C77&amp;""))</f>
        <v/>
      </c>
      <c r="S77" s="22" t="n"/>
      <c r="T77" s="22" t="n"/>
      <c r="U77" s="22" t="n"/>
      <c r="V77" s="23" t="n"/>
      <c r="W77" s="22" t="n"/>
      <c r="X77" s="26">
        <f>IF(W77="","",IF(AND(LEFT(W77,4)&lt;&gt;"http",set_RMSBase=""),"",HYPERLINK(IF(LEFT(W77,4)="http",W77,set_RMSBase&amp;W77),"Open opportunity")))</f>
        <v/>
      </c>
      <c r="Y77" s="22" t="n"/>
      <c r="Z77" s="26">
        <f>IF(Y77="","",HYPERLINK(IF(LEFT(Y77,4)="http",Y77,set_QwilrBase&amp;Y77),"Open quote"))</f>
        <v/>
      </c>
      <c r="AA77" s="26">
        <f>IF(C77="","",C77)</f>
        <v/>
      </c>
      <c r="AB77" s="22" t="n"/>
      <c r="AC77" s="24" t="n"/>
      <c r="AD77" s="27">
        <f>IF(C77="","",L77+N(AC77))</f>
        <v/>
      </c>
      <c r="AE77" s="29">
        <f>IFERROR(AC77/AD77,"")</f>
        <v/>
      </c>
      <c r="AF77" s="24" t="n"/>
      <c r="AG77" s="24" t="n"/>
      <c r="AH77" s="24" t="n"/>
      <c r="AI77" s="24" t="n"/>
      <c r="AJ77" s="27">
        <f>IF(C77="","",SUMIFS(tbl_Finance[Ex GST],tbl_Finance[Job Number],C77&amp;"",tbl_Finance[Cost Centre],"VIDEO"))</f>
        <v/>
      </c>
      <c r="AK77" s="29">
        <f>IFERROR(AJ77/L77,"")</f>
        <v/>
      </c>
      <c r="AL77" s="27">
        <f>IF(C77="","",N(AF77)+N(AG77)+N(AH77)+N(AI77))</f>
        <v/>
      </c>
      <c r="AM77" s="27" t="n"/>
      <c r="AN77" s="29" t="n"/>
      <c r="AO77" s="71" t="n"/>
      <c r="AP77" s="71" t="n"/>
      <c r="AQ77" s="71" t="n"/>
      <c r="AR77" s="71" t="n"/>
      <c r="AS77" s="71" t="n"/>
      <c r="AT77" s="22" t="n"/>
    </row>
    <row r="78" ht="15" customHeight="1">
      <c r="A78" s="70">
        <f>IF(C78="","",IFERROR(IF(SUMPRODUCT(MAX((tbl_Finance[Job Number]&amp;""=C78&amp;"")*(tbl_Finance[Xero Invoice No]&lt;&gt;"")*tbl_Finance[Date]))=0,"",SUMPRODUCT(MAX((tbl_Finance[Job Number]&amp;""=C78&amp;"")*(tbl_Finance[Xero Invoice No]&lt;&gt;"")*tbl_Finance[Date]))),""))</f>
        <v/>
      </c>
      <c r="B78" s="26">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2" t="n"/>
      <c r="D78" s="26">
        <f>IF(C78="","",IF(COUNTIF(lst_Jobs,C78&amp;"")&gt;0,"OK","CHECK"))</f>
        <v/>
      </c>
      <c r="E78" s="26">
        <f>IF(C78="","",IFERROR(INDEX(lst_JobName,MATCH(C78&amp;"",lst_Jobs,0)),""))</f>
        <v/>
      </c>
      <c r="F78" s="22" t="n"/>
      <c r="G78" s="22" t="n"/>
      <c r="H78" s="22" t="n"/>
      <c r="I78" s="22" t="n"/>
      <c r="J78" s="22" t="n"/>
      <c r="K78" s="28">
        <f>IF(C78="","",COUNTIFS(tbl_Finance[Job Number],C78&amp;"",tbl_Finance[Ex GST],"&lt;&gt;"))</f>
        <v/>
      </c>
      <c r="L78" s="27">
        <f>IF(C78="","",SUMIFS(tbl_Finance[Ex GST],tbl_Finance[Job Number],C78&amp;""))</f>
        <v/>
      </c>
      <c r="M78" s="27">
        <f>IF(C78="","",SUMIFS(tbl_Finance[Ex GST],tbl_Finance[Job Number],C78&amp;"",tbl_Finance[Xero Invoice No],"&lt;&gt;"))</f>
        <v/>
      </c>
      <c r="N78" s="27">
        <f>IF(C78="","",L78-M78)</f>
        <v/>
      </c>
      <c r="O78" s="24" t="n"/>
      <c r="P78" s="27">
        <f>IF(C78="","",IF(O78="",0,MAX(0,O78-L78)))</f>
        <v/>
      </c>
      <c r="Q78" s="26">
        <f>IF(C78="","",IF(K78=0,"not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R78" s="27">
        <f>IF(C78="","",SUMIFS(tbl_Finance[Inc GST],tbl_Finance[Job Number],C78&amp;""))</f>
        <v/>
      </c>
      <c r="S78" s="22" t="n"/>
      <c r="T78" s="22" t="n"/>
      <c r="U78" s="22" t="n"/>
      <c r="V78" s="23" t="n"/>
      <c r="W78" s="22" t="n"/>
      <c r="X78" s="26">
        <f>IF(W78="","",IF(AND(LEFT(W78,4)&lt;&gt;"http",set_RMSBase=""),"",HYPERLINK(IF(LEFT(W78,4)="http",W78,set_RMSBase&amp;W78),"Open opportunity")))</f>
        <v/>
      </c>
      <c r="Y78" s="22" t="n"/>
      <c r="Z78" s="26">
        <f>IF(Y78="","",HYPERLINK(IF(LEFT(Y78,4)="http",Y78,set_QwilrBase&amp;Y78),"Open quote"))</f>
        <v/>
      </c>
      <c r="AA78" s="26">
        <f>IF(C78="","",C78)</f>
        <v/>
      </c>
      <c r="AB78" s="22" t="n"/>
      <c r="AC78" s="24" t="n"/>
      <c r="AD78" s="27">
        <f>IF(C78="","",L78+N(AC78))</f>
        <v/>
      </c>
      <c r="AE78" s="29">
        <f>IFERROR(AC78/AD78,"")</f>
        <v/>
      </c>
      <c r="AF78" s="24" t="n"/>
      <c r="AG78" s="24" t="n"/>
      <c r="AH78" s="24" t="n"/>
      <c r="AI78" s="24" t="n"/>
      <c r="AJ78" s="27">
        <f>IF(C78="","",SUMIFS(tbl_Finance[Ex GST],tbl_Finance[Job Number],C78&amp;"",tbl_Finance[Cost Centre],"VIDEO"))</f>
        <v/>
      </c>
      <c r="AK78" s="29">
        <f>IFERROR(AJ78/L78,"")</f>
        <v/>
      </c>
      <c r="AL78" s="27">
        <f>IF(C78="","",N(AF78)+N(AG78)+N(AH78)+N(AI78))</f>
        <v/>
      </c>
      <c r="AM78" s="27" t="n"/>
      <c r="AN78" s="29" t="n"/>
      <c r="AO78" s="71" t="n"/>
      <c r="AP78" s="71" t="n"/>
      <c r="AQ78" s="71" t="n"/>
      <c r="AR78" s="71" t="n"/>
      <c r="AS78" s="71" t="n"/>
      <c r="AT78" s="22" t="n"/>
    </row>
    <row r="79" ht="15" customHeight="1">
      <c r="A79" s="70">
        <f>IF(C79="","",IFERROR(IF(SUMPRODUCT(MAX((tbl_Finance[Job Number]&amp;""=C79&amp;"")*(tbl_Finance[Xero Invoice No]&lt;&gt;"")*tbl_Finance[Date]))=0,"",SUMPRODUCT(MAX((tbl_Finance[Job Number]&amp;""=C79&amp;"")*(tbl_Finance[Xero Invoice No]&lt;&gt;"")*tbl_Finance[Date]))),""))</f>
        <v/>
      </c>
      <c r="B79" s="26">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2" t="n"/>
      <c r="D79" s="26">
        <f>IF(C79="","",IF(COUNTIF(lst_Jobs,C79&amp;"")&gt;0,"OK","CHECK"))</f>
        <v/>
      </c>
      <c r="E79" s="26">
        <f>IF(C79="","",IFERROR(INDEX(lst_JobName,MATCH(C79&amp;"",lst_Jobs,0)),""))</f>
        <v/>
      </c>
      <c r="F79" s="22" t="n"/>
      <c r="G79" s="22" t="n"/>
      <c r="H79" s="22" t="n"/>
      <c r="I79" s="22" t="n"/>
      <c r="J79" s="22" t="n"/>
      <c r="K79" s="28">
        <f>IF(C79="","",COUNTIFS(tbl_Finance[Job Number],C79&amp;"",tbl_Finance[Ex GST],"&lt;&gt;"))</f>
        <v/>
      </c>
      <c r="L79" s="27">
        <f>IF(C79="","",SUMIFS(tbl_Finance[Ex GST],tbl_Finance[Job Number],C79&amp;""))</f>
        <v/>
      </c>
      <c r="M79" s="27">
        <f>IF(C79="","",SUMIFS(tbl_Finance[Ex GST],tbl_Finance[Job Number],C79&amp;"",tbl_Finance[Xero Invoice No],"&lt;&gt;"))</f>
        <v/>
      </c>
      <c r="N79" s="27">
        <f>IF(C79="","",L79-M79)</f>
        <v/>
      </c>
      <c r="O79" s="24" t="n"/>
      <c r="P79" s="27">
        <f>IF(C79="","",IF(O79="",0,MAX(0,O79-L79)))</f>
        <v/>
      </c>
      <c r="Q79" s="26">
        <f>IF(C79="","",IF(K79=0,"not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R79" s="27">
        <f>IF(C79="","",SUMIFS(tbl_Finance[Inc GST],tbl_Finance[Job Number],C79&amp;""))</f>
        <v/>
      </c>
      <c r="S79" s="22" t="n"/>
      <c r="T79" s="22" t="n"/>
      <c r="U79" s="22" t="n"/>
      <c r="V79" s="23" t="n"/>
      <c r="W79" s="22" t="n"/>
      <c r="X79" s="26">
        <f>IF(W79="","",IF(AND(LEFT(W79,4)&lt;&gt;"http",set_RMSBase=""),"",HYPERLINK(IF(LEFT(W79,4)="http",W79,set_RMSBase&amp;W79),"Open opportunity")))</f>
        <v/>
      </c>
      <c r="Y79" s="22" t="n"/>
      <c r="Z79" s="26">
        <f>IF(Y79="","",HYPERLINK(IF(LEFT(Y79,4)="http",Y79,set_QwilrBase&amp;Y79),"Open quote"))</f>
        <v/>
      </c>
      <c r="AA79" s="26">
        <f>IF(C79="","",C79)</f>
        <v/>
      </c>
      <c r="AB79" s="22" t="n"/>
      <c r="AC79" s="24" t="n"/>
      <c r="AD79" s="27">
        <f>IF(C79="","",L79+N(AC79))</f>
        <v/>
      </c>
      <c r="AE79" s="29">
        <f>IFERROR(AC79/AD79,"")</f>
        <v/>
      </c>
      <c r="AF79" s="24" t="n"/>
      <c r="AG79" s="24" t="n"/>
      <c r="AH79" s="24" t="n"/>
      <c r="AI79" s="24" t="n"/>
      <c r="AJ79" s="27">
        <f>IF(C79="","",SUMIFS(tbl_Finance[Ex GST],tbl_Finance[Job Number],C79&amp;"",tbl_Finance[Cost Centre],"VIDEO"))</f>
        <v/>
      </c>
      <c r="AK79" s="29">
        <f>IFERROR(AJ79/L79,"")</f>
        <v/>
      </c>
      <c r="AL79" s="27">
        <f>IF(C79="","",N(AF79)+N(AG79)+N(AH79)+N(AI79))</f>
        <v/>
      </c>
      <c r="AM79" s="27" t="n"/>
      <c r="AN79" s="29" t="n"/>
      <c r="AO79" s="71" t="n"/>
      <c r="AP79" s="71" t="n"/>
      <c r="AQ79" s="71" t="n"/>
      <c r="AR79" s="71" t="n"/>
      <c r="AS79" s="71" t="n"/>
      <c r="AT79" s="22" t="n"/>
    </row>
    <row r="80" ht="15" customHeight="1">
      <c r="A80" s="70">
        <f>IF(C80="","",IFERROR(IF(SUMPRODUCT(MAX((tbl_Finance[Job Number]&amp;""=C80&amp;"")*(tbl_Finance[Xero Invoice No]&lt;&gt;"")*tbl_Finance[Date]))=0,"",SUMPRODUCT(MAX((tbl_Finance[Job Number]&amp;""=C80&amp;"")*(tbl_Finance[Xero Invoice No]&lt;&gt;"")*tbl_Finance[Date]))),""))</f>
        <v/>
      </c>
      <c r="B80" s="26">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2" t="n"/>
      <c r="D80" s="26">
        <f>IF(C80="","",IF(COUNTIF(lst_Jobs,C80&amp;"")&gt;0,"OK","CHECK"))</f>
        <v/>
      </c>
      <c r="E80" s="26">
        <f>IF(C80="","",IFERROR(INDEX(lst_JobName,MATCH(C80&amp;"",lst_Jobs,0)),""))</f>
        <v/>
      </c>
      <c r="F80" s="22" t="n"/>
      <c r="G80" s="22" t="n"/>
      <c r="H80" s="22" t="n"/>
      <c r="I80" s="22" t="n"/>
      <c r="J80" s="22" t="n"/>
      <c r="K80" s="28">
        <f>IF(C80="","",COUNTIFS(tbl_Finance[Job Number],C80&amp;"",tbl_Finance[Ex GST],"&lt;&gt;"))</f>
        <v/>
      </c>
      <c r="L80" s="27">
        <f>IF(C80="","",SUMIFS(tbl_Finance[Ex GST],tbl_Finance[Job Number],C80&amp;""))</f>
        <v/>
      </c>
      <c r="M80" s="27">
        <f>IF(C80="","",SUMIFS(tbl_Finance[Ex GST],tbl_Finance[Job Number],C80&amp;"",tbl_Finance[Xero Invoice No],"&lt;&gt;"))</f>
        <v/>
      </c>
      <c r="N80" s="27">
        <f>IF(C80="","",L80-M80)</f>
        <v/>
      </c>
      <c r="O80" s="24" t="n"/>
      <c r="P80" s="27">
        <f>IF(C80="","",IF(O80="",0,MAX(0,O80-L80)))</f>
        <v/>
      </c>
      <c r="Q80" s="26">
        <f>IF(C80="","",IF(K80=0,"not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R80" s="27">
        <f>IF(C80="","",SUMIFS(tbl_Finance[Inc GST],tbl_Finance[Job Number],C80&amp;""))</f>
        <v/>
      </c>
      <c r="S80" s="22" t="n"/>
      <c r="T80" s="22" t="n"/>
      <c r="U80" s="22" t="n"/>
      <c r="V80" s="23" t="n"/>
      <c r="W80" s="22" t="n"/>
      <c r="X80" s="26">
        <f>IF(W80="","",IF(AND(LEFT(W80,4)&lt;&gt;"http",set_RMSBase=""),"",HYPERLINK(IF(LEFT(W80,4)="http",W80,set_RMSBase&amp;W80),"Open opportunity")))</f>
        <v/>
      </c>
      <c r="Y80" s="22" t="n"/>
      <c r="Z80" s="26">
        <f>IF(Y80="","",HYPERLINK(IF(LEFT(Y80,4)="http",Y80,set_QwilrBase&amp;Y80),"Open quote"))</f>
        <v/>
      </c>
      <c r="AA80" s="26">
        <f>IF(C80="","",C80)</f>
        <v/>
      </c>
      <c r="AB80" s="22" t="n"/>
      <c r="AC80" s="24" t="n"/>
      <c r="AD80" s="27">
        <f>IF(C80="","",L80+N(AC80))</f>
        <v/>
      </c>
      <c r="AE80" s="29">
        <f>IFERROR(AC80/AD80,"")</f>
        <v/>
      </c>
      <c r="AF80" s="24" t="n"/>
      <c r="AG80" s="24" t="n"/>
      <c r="AH80" s="24" t="n"/>
      <c r="AI80" s="24" t="n"/>
      <c r="AJ80" s="27">
        <f>IF(C80="","",SUMIFS(tbl_Finance[Ex GST],tbl_Finance[Job Number],C80&amp;"",tbl_Finance[Cost Centre],"VIDEO"))</f>
        <v/>
      </c>
      <c r="AK80" s="29">
        <f>IFERROR(AJ80/L80,"")</f>
        <v/>
      </c>
      <c r="AL80" s="27">
        <f>IF(C80="","",N(AF80)+N(AG80)+N(AH80)+N(AI80))</f>
        <v/>
      </c>
      <c r="AM80" s="27" t="n"/>
      <c r="AN80" s="29" t="n"/>
      <c r="AO80" s="71" t="n"/>
      <c r="AP80" s="71" t="n"/>
      <c r="AQ80" s="71" t="n"/>
      <c r="AR80" s="71" t="n"/>
      <c r="AS80" s="71" t="n"/>
      <c r="AT80" s="22" t="n"/>
    </row>
    <row r="81" ht="15" customHeight="1">
      <c r="A81" s="70">
        <f>IF(C81="","",IFERROR(IF(SUMPRODUCT(MAX((tbl_Finance[Job Number]&amp;""=C81&amp;"")*(tbl_Finance[Xero Invoice No]&lt;&gt;"")*tbl_Finance[Date]))=0,"",SUMPRODUCT(MAX((tbl_Finance[Job Number]&amp;""=C81&amp;"")*(tbl_Finance[Xero Invoice No]&lt;&gt;"")*tbl_Finance[Date]))),""))</f>
        <v/>
      </c>
      <c r="B81" s="26">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2" t="n"/>
      <c r="D81" s="26">
        <f>IF(C81="","",IF(COUNTIF(lst_Jobs,C81&amp;"")&gt;0,"OK","CHECK"))</f>
        <v/>
      </c>
      <c r="E81" s="26">
        <f>IF(C81="","",IFERROR(INDEX(lst_JobName,MATCH(C81&amp;"",lst_Jobs,0)),""))</f>
        <v/>
      </c>
      <c r="F81" s="22" t="n"/>
      <c r="G81" s="22" t="n"/>
      <c r="H81" s="22" t="n"/>
      <c r="I81" s="22" t="n"/>
      <c r="J81" s="22" t="n"/>
      <c r="K81" s="28">
        <f>IF(C81="","",COUNTIFS(tbl_Finance[Job Number],C81&amp;"",tbl_Finance[Ex GST],"&lt;&gt;"))</f>
        <v/>
      </c>
      <c r="L81" s="27">
        <f>IF(C81="","",SUMIFS(tbl_Finance[Ex GST],tbl_Finance[Job Number],C81&amp;""))</f>
        <v/>
      </c>
      <c r="M81" s="27">
        <f>IF(C81="","",SUMIFS(tbl_Finance[Ex GST],tbl_Finance[Job Number],C81&amp;"",tbl_Finance[Xero Invoice No],"&lt;&gt;"))</f>
        <v/>
      </c>
      <c r="N81" s="27">
        <f>IF(C81="","",L81-M81)</f>
        <v/>
      </c>
      <c r="O81" s="24" t="n"/>
      <c r="P81" s="27">
        <f>IF(C81="","",IF(O81="",0,MAX(0,O81-L81)))</f>
        <v/>
      </c>
      <c r="Q81" s="26">
        <f>IF(C81="","",IF(K81=0,"not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R81" s="27">
        <f>IF(C81="","",SUMIFS(tbl_Finance[Inc GST],tbl_Finance[Job Number],C81&amp;""))</f>
        <v/>
      </c>
      <c r="S81" s="22" t="n"/>
      <c r="T81" s="22" t="n"/>
      <c r="U81" s="22" t="n"/>
      <c r="V81" s="23" t="n"/>
      <c r="W81" s="22" t="n"/>
      <c r="X81" s="26">
        <f>IF(W81="","",IF(AND(LEFT(W81,4)&lt;&gt;"http",set_RMSBase=""),"",HYPERLINK(IF(LEFT(W81,4)="http",W81,set_RMSBase&amp;W81),"Open opportunity")))</f>
        <v/>
      </c>
      <c r="Y81" s="22" t="n"/>
      <c r="Z81" s="26">
        <f>IF(Y81="","",HYPERLINK(IF(LEFT(Y81,4)="http",Y81,set_QwilrBase&amp;Y81),"Open quote"))</f>
        <v/>
      </c>
      <c r="AA81" s="26">
        <f>IF(C81="","",C81)</f>
        <v/>
      </c>
      <c r="AB81" s="22" t="n"/>
      <c r="AC81" s="24" t="n"/>
      <c r="AD81" s="27">
        <f>IF(C81="","",L81+N(AC81))</f>
        <v/>
      </c>
      <c r="AE81" s="29">
        <f>IFERROR(AC81/AD81,"")</f>
        <v/>
      </c>
      <c r="AF81" s="24" t="n"/>
      <c r="AG81" s="24" t="n"/>
      <c r="AH81" s="24" t="n"/>
      <c r="AI81" s="24" t="n"/>
      <c r="AJ81" s="27">
        <f>IF(C81="","",SUMIFS(tbl_Finance[Ex GST],tbl_Finance[Job Number],C81&amp;"",tbl_Finance[Cost Centre],"VIDEO"))</f>
        <v/>
      </c>
      <c r="AK81" s="29">
        <f>IFERROR(AJ81/L81,"")</f>
        <v/>
      </c>
      <c r="AL81" s="27">
        <f>IF(C81="","",N(AF81)+N(AG81)+N(AH81)+N(AI81))</f>
        <v/>
      </c>
      <c r="AM81" s="27" t="n"/>
      <c r="AN81" s="29" t="n"/>
      <c r="AO81" s="71" t="n"/>
      <c r="AP81" s="71" t="n"/>
      <c r="AQ81" s="71" t="n"/>
      <c r="AR81" s="71" t="n"/>
      <c r="AS81" s="71" t="n"/>
      <c r="AT81" s="22" t="n"/>
    </row>
    <row r="82" ht="15" customHeight="1">
      <c r="A82" s="70">
        <f>IF(C82="","",IFERROR(IF(SUMPRODUCT(MAX((tbl_Finance[Job Number]&amp;""=C82&amp;"")*(tbl_Finance[Xero Invoice No]&lt;&gt;"")*tbl_Finance[Date]))=0,"",SUMPRODUCT(MAX((tbl_Finance[Job Number]&amp;""=C82&amp;"")*(tbl_Finance[Xero Invoice No]&lt;&gt;"")*tbl_Finance[Date]))),""))</f>
        <v/>
      </c>
      <c r="B82" s="26">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2" t="n"/>
      <c r="D82" s="26">
        <f>IF(C82="","",IF(COUNTIF(lst_Jobs,C82&amp;"")&gt;0,"OK","CHECK"))</f>
        <v/>
      </c>
      <c r="E82" s="26">
        <f>IF(C82="","",IFERROR(INDEX(lst_JobName,MATCH(C82&amp;"",lst_Jobs,0)),""))</f>
        <v/>
      </c>
      <c r="F82" s="22" t="n"/>
      <c r="G82" s="22" t="n"/>
      <c r="H82" s="22" t="n"/>
      <c r="I82" s="22" t="n"/>
      <c r="J82" s="22" t="n"/>
      <c r="K82" s="28">
        <f>IF(C82="","",COUNTIFS(tbl_Finance[Job Number],C82&amp;"",tbl_Finance[Ex GST],"&lt;&gt;"))</f>
        <v/>
      </c>
      <c r="L82" s="27">
        <f>IF(C82="","",SUMIFS(tbl_Finance[Ex GST],tbl_Finance[Job Number],C82&amp;""))</f>
        <v/>
      </c>
      <c r="M82" s="27">
        <f>IF(C82="","",SUMIFS(tbl_Finance[Ex GST],tbl_Finance[Job Number],C82&amp;"",tbl_Finance[Xero Invoice No],"&lt;&gt;"))</f>
        <v/>
      </c>
      <c r="N82" s="27">
        <f>IF(C82="","",L82-M82)</f>
        <v/>
      </c>
      <c r="O82" s="24" t="n"/>
      <c r="P82" s="27">
        <f>IF(C82="","",IF(O82="",0,MAX(0,O82-L82)))</f>
        <v/>
      </c>
      <c r="Q82" s="26">
        <f>IF(C82="","",IF(K82=0,"not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R82" s="27">
        <f>IF(C82="","",SUMIFS(tbl_Finance[Inc GST],tbl_Finance[Job Number],C82&amp;""))</f>
        <v/>
      </c>
      <c r="S82" s="22" t="n"/>
      <c r="T82" s="22" t="n"/>
      <c r="U82" s="22" t="n"/>
      <c r="V82" s="23" t="n"/>
      <c r="W82" s="22" t="n"/>
      <c r="X82" s="26">
        <f>IF(W82="","",IF(AND(LEFT(W82,4)&lt;&gt;"http",set_RMSBase=""),"",HYPERLINK(IF(LEFT(W82,4)="http",W82,set_RMSBase&amp;W82),"Open opportunity")))</f>
        <v/>
      </c>
      <c r="Y82" s="22" t="n"/>
      <c r="Z82" s="26">
        <f>IF(Y82="","",HYPERLINK(IF(LEFT(Y82,4)="http",Y82,set_QwilrBase&amp;Y82),"Open quote"))</f>
        <v/>
      </c>
      <c r="AA82" s="26">
        <f>IF(C82="","",C82)</f>
        <v/>
      </c>
      <c r="AB82" s="22" t="n"/>
      <c r="AC82" s="24" t="n"/>
      <c r="AD82" s="27">
        <f>IF(C82="","",L82+N(AC82))</f>
        <v/>
      </c>
      <c r="AE82" s="29">
        <f>IFERROR(AC82/AD82,"")</f>
        <v/>
      </c>
      <c r="AF82" s="24" t="n"/>
      <c r="AG82" s="24" t="n"/>
      <c r="AH82" s="24" t="n"/>
      <c r="AI82" s="24" t="n"/>
      <c r="AJ82" s="27">
        <f>IF(C82="","",SUMIFS(tbl_Finance[Ex GST],tbl_Finance[Job Number],C82&amp;"",tbl_Finance[Cost Centre],"VIDEO"))</f>
        <v/>
      </c>
      <c r="AK82" s="29">
        <f>IFERROR(AJ82/L82,"")</f>
        <v/>
      </c>
      <c r="AL82" s="27">
        <f>IF(C82="","",N(AF82)+N(AG82)+N(AH82)+N(AI82))</f>
        <v/>
      </c>
      <c r="AM82" s="27" t="n"/>
      <c r="AN82" s="29" t="n"/>
      <c r="AO82" s="71" t="n"/>
      <c r="AP82" s="71" t="n"/>
      <c r="AQ82" s="71" t="n"/>
      <c r="AR82" s="71" t="n"/>
      <c r="AS82" s="71" t="n"/>
      <c r="AT82" s="22" t="n"/>
    </row>
    <row r="83" ht="15" customHeight="1">
      <c r="A83" s="70">
        <f>IF(C83="","",IFERROR(IF(SUMPRODUCT(MAX((tbl_Finance[Job Number]&amp;""=C83&amp;"")*(tbl_Finance[Xero Invoice No]&lt;&gt;"")*tbl_Finance[Date]))=0,"",SUMPRODUCT(MAX((tbl_Finance[Job Number]&amp;""=C83&amp;"")*(tbl_Finance[Xero Invoice No]&lt;&gt;"")*tbl_Finance[Date]))),""))</f>
        <v/>
      </c>
      <c r="B83" s="26">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2" t="n"/>
      <c r="D83" s="26">
        <f>IF(C83="","",IF(COUNTIF(lst_Jobs,C83&amp;"")&gt;0,"OK","CHECK"))</f>
        <v/>
      </c>
      <c r="E83" s="26">
        <f>IF(C83="","",IFERROR(INDEX(lst_JobName,MATCH(C83&amp;"",lst_Jobs,0)),""))</f>
        <v/>
      </c>
      <c r="F83" s="22" t="n"/>
      <c r="G83" s="22" t="n"/>
      <c r="H83" s="22" t="n"/>
      <c r="I83" s="22" t="n"/>
      <c r="J83" s="22" t="n"/>
      <c r="K83" s="28">
        <f>IF(C83="","",COUNTIFS(tbl_Finance[Job Number],C83&amp;"",tbl_Finance[Ex GST],"&lt;&gt;"))</f>
        <v/>
      </c>
      <c r="L83" s="27">
        <f>IF(C83="","",SUMIFS(tbl_Finance[Ex GST],tbl_Finance[Job Number],C83&amp;""))</f>
        <v/>
      </c>
      <c r="M83" s="27">
        <f>IF(C83="","",SUMIFS(tbl_Finance[Ex GST],tbl_Finance[Job Number],C83&amp;"",tbl_Finance[Xero Invoice No],"&lt;&gt;"))</f>
        <v/>
      </c>
      <c r="N83" s="27">
        <f>IF(C83="","",L83-M83)</f>
        <v/>
      </c>
      <c r="O83" s="24" t="n"/>
      <c r="P83" s="27">
        <f>IF(C83="","",IF(O83="",0,MAX(0,O83-L83)))</f>
        <v/>
      </c>
      <c r="Q83" s="26">
        <f>IF(C83="","",IF(K83=0,"not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R83" s="27">
        <f>IF(C83="","",SUMIFS(tbl_Finance[Inc GST],tbl_Finance[Job Number],C83&amp;""))</f>
        <v/>
      </c>
      <c r="S83" s="22" t="n"/>
      <c r="T83" s="22" t="n"/>
      <c r="U83" s="22" t="n"/>
      <c r="V83" s="23" t="n"/>
      <c r="W83" s="22" t="n"/>
      <c r="X83" s="26">
        <f>IF(W83="","",IF(AND(LEFT(W83,4)&lt;&gt;"http",set_RMSBase=""),"",HYPERLINK(IF(LEFT(W83,4)="http",W83,set_RMSBase&amp;W83),"Open opportunity")))</f>
        <v/>
      </c>
      <c r="Y83" s="22" t="n"/>
      <c r="Z83" s="26">
        <f>IF(Y83="","",HYPERLINK(IF(LEFT(Y83,4)="http",Y83,set_QwilrBase&amp;Y83),"Open quote"))</f>
        <v/>
      </c>
      <c r="AA83" s="26">
        <f>IF(C83="","",C83)</f>
        <v/>
      </c>
      <c r="AB83" s="22" t="n"/>
      <c r="AC83" s="24" t="n"/>
      <c r="AD83" s="27">
        <f>IF(C83="","",L83+N(AC83))</f>
        <v/>
      </c>
      <c r="AE83" s="29">
        <f>IFERROR(AC83/AD83,"")</f>
        <v/>
      </c>
      <c r="AF83" s="24" t="n"/>
      <c r="AG83" s="24" t="n"/>
      <c r="AH83" s="24" t="n"/>
      <c r="AI83" s="24" t="n"/>
      <c r="AJ83" s="27">
        <f>IF(C83="","",SUMIFS(tbl_Finance[Ex GST],tbl_Finance[Job Number],C83&amp;"",tbl_Finance[Cost Centre],"VIDEO"))</f>
        <v/>
      </c>
      <c r="AK83" s="29">
        <f>IFERROR(AJ83/L83,"")</f>
        <v/>
      </c>
      <c r="AL83" s="27">
        <f>IF(C83="","",N(AF83)+N(AG83)+N(AH83)+N(AI83))</f>
        <v/>
      </c>
      <c r="AM83" s="27" t="n"/>
      <c r="AN83" s="29" t="n"/>
      <c r="AO83" s="71" t="n"/>
      <c r="AP83" s="71" t="n"/>
      <c r="AQ83" s="71" t="n"/>
      <c r="AR83" s="71" t="n"/>
      <c r="AS83" s="71" t="n"/>
      <c r="AT83" s="22" t="n"/>
    </row>
    <row r="84" ht="15" customHeight="1">
      <c r="A84" s="70">
        <f>IF(C84="","",IFERROR(IF(SUMPRODUCT(MAX((tbl_Finance[Job Number]&amp;""=C84&amp;"")*(tbl_Finance[Xero Invoice No]&lt;&gt;"")*tbl_Finance[Date]))=0,"",SUMPRODUCT(MAX((tbl_Finance[Job Number]&amp;""=C84&amp;"")*(tbl_Finance[Xero Invoice No]&lt;&gt;"")*tbl_Finance[Date]))),""))</f>
        <v/>
      </c>
      <c r="B84" s="26">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2" t="n"/>
      <c r="D84" s="26">
        <f>IF(C84="","",IF(COUNTIF(lst_Jobs,C84&amp;"")&gt;0,"OK","CHECK"))</f>
        <v/>
      </c>
      <c r="E84" s="26">
        <f>IF(C84="","",IFERROR(INDEX(lst_JobName,MATCH(C84&amp;"",lst_Jobs,0)),""))</f>
        <v/>
      </c>
      <c r="F84" s="22" t="n"/>
      <c r="G84" s="22" t="n"/>
      <c r="H84" s="22" t="n"/>
      <c r="I84" s="22" t="n"/>
      <c r="J84" s="22" t="n"/>
      <c r="K84" s="28">
        <f>IF(C84="","",COUNTIFS(tbl_Finance[Job Number],C84&amp;"",tbl_Finance[Ex GST],"&lt;&gt;"))</f>
        <v/>
      </c>
      <c r="L84" s="27">
        <f>IF(C84="","",SUMIFS(tbl_Finance[Ex GST],tbl_Finance[Job Number],C84&amp;""))</f>
        <v/>
      </c>
      <c r="M84" s="27">
        <f>IF(C84="","",SUMIFS(tbl_Finance[Ex GST],tbl_Finance[Job Number],C84&amp;"",tbl_Finance[Xero Invoice No],"&lt;&gt;"))</f>
        <v/>
      </c>
      <c r="N84" s="27">
        <f>IF(C84="","",L84-M84)</f>
        <v/>
      </c>
      <c r="O84" s="24" t="n"/>
      <c r="P84" s="27">
        <f>IF(C84="","",IF(O84="",0,MAX(0,O84-L84)))</f>
        <v/>
      </c>
      <c r="Q84" s="26">
        <f>IF(C84="","",IF(K84=0,"not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R84" s="27">
        <f>IF(C84="","",SUMIFS(tbl_Finance[Inc GST],tbl_Finance[Job Number],C84&amp;""))</f>
        <v/>
      </c>
      <c r="S84" s="22" t="n"/>
      <c r="T84" s="22" t="n"/>
      <c r="U84" s="22" t="n"/>
      <c r="V84" s="23" t="n"/>
      <c r="W84" s="22" t="n"/>
      <c r="X84" s="26">
        <f>IF(W84="","",IF(AND(LEFT(W84,4)&lt;&gt;"http",set_RMSBase=""),"",HYPERLINK(IF(LEFT(W84,4)="http",W84,set_RMSBase&amp;W84),"Open opportunity")))</f>
        <v/>
      </c>
      <c r="Y84" s="22" t="n"/>
      <c r="Z84" s="26">
        <f>IF(Y84="","",HYPERLINK(IF(LEFT(Y84,4)="http",Y84,set_QwilrBase&amp;Y84),"Open quote"))</f>
        <v/>
      </c>
      <c r="AA84" s="26">
        <f>IF(C84="","",C84)</f>
        <v/>
      </c>
      <c r="AB84" s="22" t="n"/>
      <c r="AC84" s="24" t="n"/>
      <c r="AD84" s="27">
        <f>IF(C84="","",L84+N(AC84))</f>
        <v/>
      </c>
      <c r="AE84" s="29">
        <f>IFERROR(AC84/AD84,"")</f>
        <v/>
      </c>
      <c r="AF84" s="24" t="n"/>
      <c r="AG84" s="24" t="n"/>
      <c r="AH84" s="24" t="n"/>
      <c r="AI84" s="24" t="n"/>
      <c r="AJ84" s="27">
        <f>IF(C84="","",SUMIFS(tbl_Finance[Ex GST],tbl_Finance[Job Number],C84&amp;"",tbl_Finance[Cost Centre],"VIDEO"))</f>
        <v/>
      </c>
      <c r="AK84" s="29">
        <f>IFERROR(AJ84/L84,"")</f>
        <v/>
      </c>
      <c r="AL84" s="27">
        <f>IF(C84="","",N(AF84)+N(AG84)+N(AH84)+N(AI84))</f>
        <v/>
      </c>
      <c r="AM84" s="27" t="n"/>
      <c r="AN84" s="29" t="n"/>
      <c r="AO84" s="71" t="n"/>
      <c r="AP84" s="71" t="n"/>
      <c r="AQ84" s="71" t="n"/>
      <c r="AR84" s="71" t="n"/>
      <c r="AS84" s="71" t="n"/>
      <c r="AT84" s="22" t="n"/>
    </row>
    <row r="85" ht="15" customHeight="1">
      <c r="A85" s="70">
        <f>IF(C85="","",IFERROR(IF(SUMPRODUCT(MAX((tbl_Finance[Job Number]&amp;""=C85&amp;"")*(tbl_Finance[Xero Invoice No]&lt;&gt;"")*tbl_Finance[Date]))=0,"",SUMPRODUCT(MAX((tbl_Finance[Job Number]&amp;""=C85&amp;"")*(tbl_Finance[Xero Invoice No]&lt;&gt;"")*tbl_Finance[Date]))),""))</f>
        <v/>
      </c>
      <c r="B85" s="26">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2" t="n"/>
      <c r="D85" s="26">
        <f>IF(C85="","",IF(COUNTIF(lst_Jobs,C85&amp;"")&gt;0,"OK","CHECK"))</f>
        <v/>
      </c>
      <c r="E85" s="26">
        <f>IF(C85="","",IFERROR(INDEX(lst_JobName,MATCH(C85&amp;"",lst_Jobs,0)),""))</f>
        <v/>
      </c>
      <c r="F85" s="22" t="n"/>
      <c r="G85" s="22" t="n"/>
      <c r="H85" s="22" t="n"/>
      <c r="I85" s="22" t="n"/>
      <c r="J85" s="22" t="n"/>
      <c r="K85" s="28">
        <f>IF(C85="","",COUNTIFS(tbl_Finance[Job Number],C85&amp;"",tbl_Finance[Ex GST],"&lt;&gt;"))</f>
        <v/>
      </c>
      <c r="L85" s="27">
        <f>IF(C85="","",SUMIFS(tbl_Finance[Ex GST],tbl_Finance[Job Number],C85&amp;""))</f>
        <v/>
      </c>
      <c r="M85" s="27">
        <f>IF(C85="","",SUMIFS(tbl_Finance[Ex GST],tbl_Finance[Job Number],C85&amp;"",tbl_Finance[Xero Invoice No],"&lt;&gt;"))</f>
        <v/>
      </c>
      <c r="N85" s="27">
        <f>IF(C85="","",L85-M85)</f>
        <v/>
      </c>
      <c r="O85" s="24" t="n"/>
      <c r="P85" s="27">
        <f>IF(C85="","",IF(O85="",0,MAX(0,O85-L85)))</f>
        <v/>
      </c>
      <c r="Q85" s="26">
        <f>IF(C85="","",IF(K85=0,"not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R85" s="27">
        <f>IF(C85="","",SUMIFS(tbl_Finance[Inc GST],tbl_Finance[Job Number],C85&amp;""))</f>
        <v/>
      </c>
      <c r="S85" s="22" t="n"/>
      <c r="T85" s="22" t="n"/>
      <c r="U85" s="22" t="n"/>
      <c r="V85" s="23" t="n"/>
      <c r="W85" s="22" t="n"/>
      <c r="X85" s="26">
        <f>IF(W85="","",IF(AND(LEFT(W85,4)&lt;&gt;"http",set_RMSBase=""),"",HYPERLINK(IF(LEFT(W85,4)="http",W85,set_RMSBase&amp;W85),"Open opportunity")))</f>
        <v/>
      </c>
      <c r="Y85" s="22" t="n"/>
      <c r="Z85" s="26">
        <f>IF(Y85="","",HYPERLINK(IF(LEFT(Y85,4)="http",Y85,set_QwilrBase&amp;Y85),"Open quote"))</f>
        <v/>
      </c>
      <c r="AA85" s="26">
        <f>IF(C85="","",C85)</f>
        <v/>
      </c>
      <c r="AB85" s="22" t="n"/>
      <c r="AC85" s="24" t="n"/>
      <c r="AD85" s="27">
        <f>IF(C85="","",L85+N(AC85))</f>
        <v/>
      </c>
      <c r="AE85" s="29">
        <f>IFERROR(AC85/AD85,"")</f>
        <v/>
      </c>
      <c r="AF85" s="24" t="n"/>
      <c r="AG85" s="24" t="n"/>
      <c r="AH85" s="24" t="n"/>
      <c r="AI85" s="24" t="n"/>
      <c r="AJ85" s="27">
        <f>IF(C85="","",SUMIFS(tbl_Finance[Ex GST],tbl_Finance[Job Number],C85&amp;"",tbl_Finance[Cost Centre],"VIDEO"))</f>
        <v/>
      </c>
      <c r="AK85" s="29">
        <f>IFERROR(AJ85/L85,"")</f>
        <v/>
      </c>
      <c r="AL85" s="27">
        <f>IF(C85="","",N(AF85)+N(AG85)+N(AH85)+N(AI85))</f>
        <v/>
      </c>
      <c r="AM85" s="27" t="n"/>
      <c r="AN85" s="29" t="n"/>
      <c r="AO85" s="71" t="n"/>
      <c r="AP85" s="71" t="n"/>
      <c r="AQ85" s="71" t="n"/>
      <c r="AR85" s="71" t="n"/>
      <c r="AS85" s="71" t="n"/>
      <c r="AT85" s="22" t="n"/>
    </row>
    <row r="86" ht="15" customHeight="1">
      <c r="A86" s="70">
        <f>IF(C86="","",IFERROR(IF(SUMPRODUCT(MAX((tbl_Finance[Job Number]&amp;""=C86&amp;"")*(tbl_Finance[Xero Invoice No]&lt;&gt;"")*tbl_Finance[Date]))=0,"",SUMPRODUCT(MAX((tbl_Finance[Job Number]&amp;""=C86&amp;"")*(tbl_Finance[Xero Invoice No]&lt;&gt;"")*tbl_Finance[Date]))),""))</f>
        <v/>
      </c>
      <c r="B86" s="26">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2" t="n"/>
      <c r="D86" s="26">
        <f>IF(C86="","",IF(COUNTIF(lst_Jobs,C86&amp;"")&gt;0,"OK","CHECK"))</f>
        <v/>
      </c>
      <c r="E86" s="26">
        <f>IF(C86="","",IFERROR(INDEX(lst_JobName,MATCH(C86&amp;"",lst_Jobs,0)),""))</f>
        <v/>
      </c>
      <c r="F86" s="22" t="n"/>
      <c r="G86" s="22" t="n"/>
      <c r="H86" s="22" t="n"/>
      <c r="I86" s="22" t="n"/>
      <c r="J86" s="22" t="n"/>
      <c r="K86" s="28">
        <f>IF(C86="","",COUNTIFS(tbl_Finance[Job Number],C86&amp;"",tbl_Finance[Ex GST],"&lt;&gt;"))</f>
        <v/>
      </c>
      <c r="L86" s="27">
        <f>IF(C86="","",SUMIFS(tbl_Finance[Ex GST],tbl_Finance[Job Number],C86&amp;""))</f>
        <v/>
      </c>
      <c r="M86" s="27">
        <f>IF(C86="","",SUMIFS(tbl_Finance[Ex GST],tbl_Finance[Job Number],C86&amp;"",tbl_Finance[Xero Invoice No],"&lt;&gt;"))</f>
        <v/>
      </c>
      <c r="N86" s="27">
        <f>IF(C86="","",L86-M86)</f>
        <v/>
      </c>
      <c r="O86" s="24" t="n"/>
      <c r="P86" s="27">
        <f>IF(C86="","",IF(O86="",0,MAX(0,O86-L86)))</f>
        <v/>
      </c>
      <c r="Q86" s="26">
        <f>IF(C86="","",IF(K86=0,"not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R86" s="27">
        <f>IF(C86="","",SUMIFS(tbl_Finance[Inc GST],tbl_Finance[Job Number],C86&amp;""))</f>
        <v/>
      </c>
      <c r="S86" s="22" t="n"/>
      <c r="T86" s="22" t="n"/>
      <c r="U86" s="22" t="n"/>
      <c r="V86" s="23" t="n"/>
      <c r="W86" s="22" t="n"/>
      <c r="X86" s="26">
        <f>IF(W86="","",IF(AND(LEFT(W86,4)&lt;&gt;"http",set_RMSBase=""),"",HYPERLINK(IF(LEFT(W86,4)="http",W86,set_RMSBase&amp;W86),"Open opportunity")))</f>
        <v/>
      </c>
      <c r="Y86" s="22" t="n"/>
      <c r="Z86" s="26">
        <f>IF(Y86="","",HYPERLINK(IF(LEFT(Y86,4)="http",Y86,set_QwilrBase&amp;Y86),"Open quote"))</f>
        <v/>
      </c>
      <c r="AA86" s="26">
        <f>IF(C86="","",C86)</f>
        <v/>
      </c>
      <c r="AB86" s="22" t="n"/>
      <c r="AC86" s="24" t="n"/>
      <c r="AD86" s="27">
        <f>IF(C86="","",L86+N(AC86))</f>
        <v/>
      </c>
      <c r="AE86" s="29">
        <f>IFERROR(AC86/AD86,"")</f>
        <v/>
      </c>
      <c r="AF86" s="24" t="n"/>
      <c r="AG86" s="24" t="n"/>
      <c r="AH86" s="24" t="n"/>
      <c r="AI86" s="24" t="n"/>
      <c r="AJ86" s="27">
        <f>IF(C86="","",SUMIFS(tbl_Finance[Ex GST],tbl_Finance[Job Number],C86&amp;"",tbl_Finance[Cost Centre],"VIDEO"))</f>
        <v/>
      </c>
      <c r="AK86" s="29">
        <f>IFERROR(AJ86/L86,"")</f>
        <v/>
      </c>
      <c r="AL86" s="27">
        <f>IF(C86="","",N(AF86)+N(AG86)+N(AH86)+N(AI86))</f>
        <v/>
      </c>
      <c r="AM86" s="27" t="n"/>
      <c r="AN86" s="29" t="n"/>
      <c r="AO86" s="71" t="n"/>
      <c r="AP86" s="71" t="n"/>
      <c r="AQ86" s="71" t="n"/>
      <c r="AR86" s="71" t="n"/>
      <c r="AS86" s="71" t="n"/>
      <c r="AT86" s="22" t="n"/>
    </row>
    <row r="87" ht="15" customHeight="1">
      <c r="A87" s="70">
        <f>IF(C87="","",IFERROR(IF(SUMPRODUCT(MAX((tbl_Finance[Job Number]&amp;""=C87&amp;"")*(tbl_Finance[Xero Invoice No]&lt;&gt;"")*tbl_Finance[Date]))=0,"",SUMPRODUCT(MAX((tbl_Finance[Job Number]&amp;""=C87&amp;"")*(tbl_Finance[Xero Invoice No]&lt;&gt;"")*tbl_Finance[Date]))),""))</f>
        <v/>
      </c>
      <c r="B87" s="26">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2" t="n"/>
      <c r="D87" s="26">
        <f>IF(C87="","",IF(COUNTIF(lst_Jobs,C87&amp;"")&gt;0,"OK","CHECK"))</f>
        <v/>
      </c>
      <c r="E87" s="26">
        <f>IF(C87="","",IFERROR(INDEX(lst_JobName,MATCH(C87&amp;"",lst_Jobs,0)),""))</f>
        <v/>
      </c>
      <c r="F87" s="22" t="n"/>
      <c r="G87" s="22" t="n"/>
      <c r="H87" s="22" t="n"/>
      <c r="I87" s="22" t="n"/>
      <c r="J87" s="22" t="n"/>
      <c r="K87" s="28">
        <f>IF(C87="","",COUNTIFS(tbl_Finance[Job Number],C87&amp;"",tbl_Finance[Ex GST],"&lt;&gt;"))</f>
        <v/>
      </c>
      <c r="L87" s="27">
        <f>IF(C87="","",SUMIFS(tbl_Finance[Ex GST],tbl_Finance[Job Number],C87&amp;""))</f>
        <v/>
      </c>
      <c r="M87" s="27">
        <f>IF(C87="","",SUMIFS(tbl_Finance[Ex GST],tbl_Finance[Job Number],C87&amp;"",tbl_Finance[Xero Invoice No],"&lt;&gt;"))</f>
        <v/>
      </c>
      <c r="N87" s="27">
        <f>IF(C87="","",L87-M87)</f>
        <v/>
      </c>
      <c r="O87" s="24" t="n"/>
      <c r="P87" s="27">
        <f>IF(C87="","",IF(O87="",0,MAX(0,O87-L87)))</f>
        <v/>
      </c>
      <c r="Q87" s="26">
        <f>IF(C87="","",IF(K87=0,"not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R87" s="27">
        <f>IF(C87="","",SUMIFS(tbl_Finance[Inc GST],tbl_Finance[Job Number],C87&amp;""))</f>
        <v/>
      </c>
      <c r="S87" s="22" t="n"/>
      <c r="T87" s="22" t="n"/>
      <c r="U87" s="22" t="n"/>
      <c r="V87" s="23" t="n"/>
      <c r="W87" s="22" t="n"/>
      <c r="X87" s="26">
        <f>IF(W87="","",IF(AND(LEFT(W87,4)&lt;&gt;"http",set_RMSBase=""),"",HYPERLINK(IF(LEFT(W87,4)="http",W87,set_RMSBase&amp;W87),"Open opportunity")))</f>
        <v/>
      </c>
      <c r="Y87" s="22" t="n"/>
      <c r="Z87" s="26">
        <f>IF(Y87="","",HYPERLINK(IF(LEFT(Y87,4)="http",Y87,set_QwilrBase&amp;Y87),"Open quote"))</f>
        <v/>
      </c>
      <c r="AA87" s="26">
        <f>IF(C87="","",C87)</f>
        <v/>
      </c>
      <c r="AB87" s="22" t="n"/>
      <c r="AC87" s="24" t="n"/>
      <c r="AD87" s="27">
        <f>IF(C87="","",L87+N(AC87))</f>
        <v/>
      </c>
      <c r="AE87" s="29">
        <f>IFERROR(AC87/AD87,"")</f>
        <v/>
      </c>
      <c r="AF87" s="24" t="n"/>
      <c r="AG87" s="24" t="n"/>
      <c r="AH87" s="24" t="n"/>
      <c r="AI87" s="24" t="n"/>
      <c r="AJ87" s="27">
        <f>IF(C87="","",SUMIFS(tbl_Finance[Ex GST],tbl_Finance[Job Number],C87&amp;"",tbl_Finance[Cost Centre],"VIDEO"))</f>
        <v/>
      </c>
      <c r="AK87" s="29">
        <f>IFERROR(AJ87/L87,"")</f>
        <v/>
      </c>
      <c r="AL87" s="27">
        <f>IF(C87="","",N(AF87)+N(AG87)+N(AH87)+N(AI87))</f>
        <v/>
      </c>
      <c r="AM87" s="27" t="n"/>
      <c r="AN87" s="29" t="n"/>
      <c r="AO87" s="71" t="n"/>
      <c r="AP87" s="71" t="n"/>
      <c r="AQ87" s="71" t="n"/>
      <c r="AR87" s="71" t="n"/>
      <c r="AS87" s="71" t="n"/>
      <c r="AT87" s="22" t="n"/>
    </row>
    <row r="88" ht="15" customHeight="1">
      <c r="A88" s="70">
        <f>IF(C88="","",IFERROR(IF(SUMPRODUCT(MAX((tbl_Finance[Job Number]&amp;""=C88&amp;"")*(tbl_Finance[Xero Invoice No]&lt;&gt;"")*tbl_Finance[Date]))=0,"",SUMPRODUCT(MAX((tbl_Finance[Job Number]&amp;""=C88&amp;"")*(tbl_Finance[Xero Invoice No]&lt;&gt;"")*tbl_Finance[Date]))),""))</f>
        <v/>
      </c>
      <c r="B88" s="26">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2" t="n"/>
      <c r="D88" s="26">
        <f>IF(C88="","",IF(COUNTIF(lst_Jobs,C88&amp;"")&gt;0,"OK","CHECK"))</f>
        <v/>
      </c>
      <c r="E88" s="26">
        <f>IF(C88="","",IFERROR(INDEX(lst_JobName,MATCH(C88&amp;"",lst_Jobs,0)),""))</f>
        <v/>
      </c>
      <c r="F88" s="22" t="n"/>
      <c r="G88" s="22" t="n"/>
      <c r="H88" s="22" t="n"/>
      <c r="I88" s="22" t="n"/>
      <c r="J88" s="22" t="n"/>
      <c r="K88" s="28">
        <f>IF(C88="","",COUNTIFS(tbl_Finance[Job Number],C88&amp;"",tbl_Finance[Ex GST],"&lt;&gt;"))</f>
        <v/>
      </c>
      <c r="L88" s="27">
        <f>IF(C88="","",SUMIFS(tbl_Finance[Ex GST],tbl_Finance[Job Number],C88&amp;""))</f>
        <v/>
      </c>
      <c r="M88" s="27">
        <f>IF(C88="","",SUMIFS(tbl_Finance[Ex GST],tbl_Finance[Job Number],C88&amp;"",tbl_Finance[Xero Invoice No],"&lt;&gt;"))</f>
        <v/>
      </c>
      <c r="N88" s="27">
        <f>IF(C88="","",L88-M88)</f>
        <v/>
      </c>
      <c r="O88" s="24" t="n"/>
      <c r="P88" s="27">
        <f>IF(C88="","",IF(O88="",0,MAX(0,O88-L88)))</f>
        <v/>
      </c>
      <c r="Q88" s="26">
        <f>IF(C88="","",IF(K88=0,"not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R88" s="27">
        <f>IF(C88="","",SUMIFS(tbl_Finance[Inc GST],tbl_Finance[Job Number],C88&amp;""))</f>
        <v/>
      </c>
      <c r="S88" s="22" t="n"/>
      <c r="T88" s="22" t="n"/>
      <c r="U88" s="22" t="n"/>
      <c r="V88" s="23" t="n"/>
      <c r="W88" s="22" t="n"/>
      <c r="X88" s="26">
        <f>IF(W88="","",IF(AND(LEFT(W88,4)&lt;&gt;"http",set_RMSBase=""),"",HYPERLINK(IF(LEFT(W88,4)="http",W88,set_RMSBase&amp;W88),"Open opportunity")))</f>
        <v/>
      </c>
      <c r="Y88" s="22" t="n"/>
      <c r="Z88" s="26">
        <f>IF(Y88="","",HYPERLINK(IF(LEFT(Y88,4)="http",Y88,set_QwilrBase&amp;Y88),"Open quote"))</f>
        <v/>
      </c>
      <c r="AA88" s="26">
        <f>IF(C88="","",C88)</f>
        <v/>
      </c>
      <c r="AB88" s="22" t="n"/>
      <c r="AC88" s="24" t="n"/>
      <c r="AD88" s="27">
        <f>IF(C88="","",L88+N(AC88))</f>
        <v/>
      </c>
      <c r="AE88" s="29">
        <f>IFERROR(AC88/AD88,"")</f>
        <v/>
      </c>
      <c r="AF88" s="24" t="n"/>
      <c r="AG88" s="24" t="n"/>
      <c r="AH88" s="24" t="n"/>
      <c r="AI88" s="24" t="n"/>
      <c r="AJ88" s="27">
        <f>IF(C88="","",SUMIFS(tbl_Finance[Ex GST],tbl_Finance[Job Number],C88&amp;"",tbl_Finance[Cost Centre],"VIDEO"))</f>
        <v/>
      </c>
      <c r="AK88" s="29">
        <f>IFERROR(AJ88/L88,"")</f>
        <v/>
      </c>
      <c r="AL88" s="27">
        <f>IF(C88="","",N(AF88)+N(AG88)+N(AH88)+N(AI88))</f>
        <v/>
      </c>
      <c r="AM88" s="27" t="n"/>
      <c r="AN88" s="29" t="n"/>
      <c r="AO88" s="71" t="n"/>
      <c r="AP88" s="71" t="n"/>
      <c r="AQ88" s="71" t="n"/>
      <c r="AR88" s="71" t="n"/>
      <c r="AS88" s="71" t="n"/>
      <c r="AT88" s="22" t="n"/>
    </row>
    <row r="89" ht="15" customHeight="1">
      <c r="A89" s="70">
        <f>IF(C89="","",IFERROR(IF(SUMPRODUCT(MAX((tbl_Finance[Job Number]&amp;""=C89&amp;"")*(tbl_Finance[Xero Invoice No]&lt;&gt;"")*tbl_Finance[Date]))=0,"",SUMPRODUCT(MAX((tbl_Finance[Job Number]&amp;""=C89&amp;"")*(tbl_Finance[Xero Invoice No]&lt;&gt;"")*tbl_Finance[Date]))),""))</f>
        <v/>
      </c>
      <c r="B89" s="26">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2" t="n"/>
      <c r="D89" s="26">
        <f>IF(C89="","",IF(COUNTIF(lst_Jobs,C89&amp;"")&gt;0,"OK","CHECK"))</f>
        <v/>
      </c>
      <c r="E89" s="26">
        <f>IF(C89="","",IFERROR(INDEX(lst_JobName,MATCH(C89&amp;"",lst_Jobs,0)),""))</f>
        <v/>
      </c>
      <c r="F89" s="22" t="n"/>
      <c r="G89" s="22" t="n"/>
      <c r="H89" s="22" t="n"/>
      <c r="I89" s="22" t="n"/>
      <c r="J89" s="22" t="n"/>
      <c r="K89" s="28">
        <f>IF(C89="","",COUNTIFS(tbl_Finance[Job Number],C89&amp;"",tbl_Finance[Ex GST],"&lt;&gt;"))</f>
        <v/>
      </c>
      <c r="L89" s="27">
        <f>IF(C89="","",SUMIFS(tbl_Finance[Ex GST],tbl_Finance[Job Number],C89&amp;""))</f>
        <v/>
      </c>
      <c r="M89" s="27">
        <f>IF(C89="","",SUMIFS(tbl_Finance[Ex GST],tbl_Finance[Job Number],C89&amp;"",tbl_Finance[Xero Invoice No],"&lt;&gt;"))</f>
        <v/>
      </c>
      <c r="N89" s="27">
        <f>IF(C89="","",L89-M89)</f>
        <v/>
      </c>
      <c r="O89" s="24" t="n"/>
      <c r="P89" s="27">
        <f>IF(C89="","",IF(O89="",0,MAX(0,O89-L89)))</f>
        <v/>
      </c>
      <c r="Q89" s="26">
        <f>IF(C89="","",IF(K89=0,"not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R89" s="27">
        <f>IF(C89="","",SUMIFS(tbl_Finance[Inc GST],tbl_Finance[Job Number],C89&amp;""))</f>
        <v/>
      </c>
      <c r="S89" s="22" t="n"/>
      <c r="T89" s="22" t="n"/>
      <c r="U89" s="22" t="n"/>
      <c r="V89" s="23" t="n"/>
      <c r="W89" s="22" t="n"/>
      <c r="X89" s="26">
        <f>IF(W89="","",IF(AND(LEFT(W89,4)&lt;&gt;"http",set_RMSBase=""),"",HYPERLINK(IF(LEFT(W89,4)="http",W89,set_RMSBase&amp;W89),"Open opportunity")))</f>
        <v/>
      </c>
      <c r="Y89" s="22" t="n"/>
      <c r="Z89" s="26">
        <f>IF(Y89="","",HYPERLINK(IF(LEFT(Y89,4)="http",Y89,set_QwilrBase&amp;Y89),"Open quote"))</f>
        <v/>
      </c>
      <c r="AA89" s="26">
        <f>IF(C89="","",C89)</f>
        <v/>
      </c>
      <c r="AB89" s="22" t="n"/>
      <c r="AC89" s="24" t="n"/>
      <c r="AD89" s="27">
        <f>IF(C89="","",L89+N(AC89))</f>
        <v/>
      </c>
      <c r="AE89" s="29">
        <f>IFERROR(AC89/AD89,"")</f>
        <v/>
      </c>
      <c r="AF89" s="24" t="n"/>
      <c r="AG89" s="24" t="n"/>
      <c r="AH89" s="24" t="n"/>
      <c r="AI89" s="24" t="n"/>
      <c r="AJ89" s="27">
        <f>IF(C89="","",SUMIFS(tbl_Finance[Ex GST],tbl_Finance[Job Number],C89&amp;"",tbl_Finance[Cost Centre],"VIDEO"))</f>
        <v/>
      </c>
      <c r="AK89" s="29">
        <f>IFERROR(AJ89/L89,"")</f>
        <v/>
      </c>
      <c r="AL89" s="27">
        <f>IF(C89="","",N(AF89)+N(AG89)+N(AH89)+N(AI89))</f>
        <v/>
      </c>
      <c r="AM89" s="27" t="n"/>
      <c r="AN89" s="29" t="n"/>
      <c r="AO89" s="71" t="n"/>
      <c r="AP89" s="71" t="n"/>
      <c r="AQ89" s="71" t="n"/>
      <c r="AR89" s="71" t="n"/>
      <c r="AS89" s="71" t="n"/>
      <c r="AT89" s="22" t="n"/>
    </row>
    <row r="90" ht="15" customHeight="1">
      <c r="A90" s="70">
        <f>IF(C90="","",IFERROR(IF(SUMPRODUCT(MAX((tbl_Finance[Job Number]&amp;""=C90&amp;"")*(tbl_Finance[Xero Invoice No]&lt;&gt;"")*tbl_Finance[Date]))=0,"",SUMPRODUCT(MAX((tbl_Finance[Job Number]&amp;""=C90&amp;"")*(tbl_Finance[Xero Invoice No]&lt;&gt;"")*tbl_Finance[Date]))),""))</f>
        <v/>
      </c>
      <c r="B90" s="26">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2" t="n"/>
      <c r="D90" s="26">
        <f>IF(C90="","",IF(COUNTIF(lst_Jobs,C90&amp;"")&gt;0,"OK","CHECK"))</f>
        <v/>
      </c>
      <c r="E90" s="26">
        <f>IF(C90="","",IFERROR(INDEX(lst_JobName,MATCH(C90&amp;"",lst_Jobs,0)),""))</f>
        <v/>
      </c>
      <c r="F90" s="22" t="n"/>
      <c r="G90" s="22" t="n"/>
      <c r="H90" s="22" t="n"/>
      <c r="I90" s="22" t="n"/>
      <c r="J90" s="22" t="n"/>
      <c r="K90" s="28">
        <f>IF(C90="","",COUNTIFS(tbl_Finance[Job Number],C90&amp;"",tbl_Finance[Ex GST],"&lt;&gt;"))</f>
        <v/>
      </c>
      <c r="L90" s="27">
        <f>IF(C90="","",SUMIFS(tbl_Finance[Ex GST],tbl_Finance[Job Number],C90&amp;""))</f>
        <v/>
      </c>
      <c r="M90" s="27">
        <f>IF(C90="","",SUMIFS(tbl_Finance[Ex GST],tbl_Finance[Job Number],C90&amp;"",tbl_Finance[Xero Invoice No],"&lt;&gt;"))</f>
        <v/>
      </c>
      <c r="N90" s="27">
        <f>IF(C90="","",L90-M90)</f>
        <v/>
      </c>
      <c r="O90" s="24" t="n"/>
      <c r="P90" s="27">
        <f>IF(C90="","",IF(O90="",0,MAX(0,O90-L90)))</f>
        <v/>
      </c>
      <c r="Q90" s="26">
        <f>IF(C90="","",IF(K90=0,"not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R90" s="27">
        <f>IF(C90="","",SUMIFS(tbl_Finance[Inc GST],tbl_Finance[Job Number],C90&amp;""))</f>
        <v/>
      </c>
      <c r="S90" s="22" t="n"/>
      <c r="T90" s="22" t="n"/>
      <c r="U90" s="22" t="n"/>
      <c r="V90" s="23" t="n"/>
      <c r="W90" s="22" t="n"/>
      <c r="X90" s="26">
        <f>IF(W90="","",IF(AND(LEFT(W90,4)&lt;&gt;"http",set_RMSBase=""),"",HYPERLINK(IF(LEFT(W90,4)="http",W90,set_RMSBase&amp;W90),"Open opportunity")))</f>
        <v/>
      </c>
      <c r="Y90" s="22" t="n"/>
      <c r="Z90" s="26">
        <f>IF(Y90="","",HYPERLINK(IF(LEFT(Y90,4)="http",Y90,set_QwilrBase&amp;Y90),"Open quote"))</f>
        <v/>
      </c>
      <c r="AA90" s="26">
        <f>IF(C90="","",C90)</f>
        <v/>
      </c>
      <c r="AB90" s="22" t="n"/>
      <c r="AC90" s="24" t="n"/>
      <c r="AD90" s="27">
        <f>IF(C90="","",L90+N(AC90))</f>
        <v/>
      </c>
      <c r="AE90" s="29">
        <f>IFERROR(AC90/AD90,"")</f>
        <v/>
      </c>
      <c r="AF90" s="24" t="n"/>
      <c r="AG90" s="24" t="n"/>
      <c r="AH90" s="24" t="n"/>
      <c r="AI90" s="24" t="n"/>
      <c r="AJ90" s="27">
        <f>IF(C90="","",SUMIFS(tbl_Finance[Ex GST],tbl_Finance[Job Number],C90&amp;"",tbl_Finance[Cost Centre],"VIDEO"))</f>
        <v/>
      </c>
      <c r="AK90" s="29">
        <f>IFERROR(AJ90/L90,"")</f>
        <v/>
      </c>
      <c r="AL90" s="27">
        <f>IF(C90="","",N(AF90)+N(AG90)+N(AH90)+N(AI90))</f>
        <v/>
      </c>
      <c r="AM90" s="27" t="n"/>
      <c r="AN90" s="29" t="n"/>
      <c r="AO90" s="71" t="n"/>
      <c r="AP90" s="71" t="n"/>
      <c r="AQ90" s="71" t="n"/>
      <c r="AR90" s="71" t="n"/>
      <c r="AS90" s="71" t="n"/>
      <c r="AT90" s="22" t="n"/>
    </row>
    <row r="91" ht="15" customHeight="1">
      <c r="A91" s="70">
        <f>IF(C91="","",IFERROR(IF(SUMPRODUCT(MAX((tbl_Finance[Job Number]&amp;""=C91&amp;"")*(tbl_Finance[Xero Invoice No]&lt;&gt;"")*tbl_Finance[Date]))=0,"",SUMPRODUCT(MAX((tbl_Finance[Job Number]&amp;""=C91&amp;"")*(tbl_Finance[Xero Invoice No]&lt;&gt;"")*tbl_Finance[Date]))),""))</f>
        <v/>
      </c>
      <c r="B91" s="26">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2" t="n"/>
      <c r="D91" s="26">
        <f>IF(C91="","",IF(COUNTIF(lst_Jobs,C91&amp;"")&gt;0,"OK","CHECK"))</f>
        <v/>
      </c>
      <c r="E91" s="26">
        <f>IF(C91="","",IFERROR(INDEX(lst_JobName,MATCH(C91&amp;"",lst_Jobs,0)),""))</f>
        <v/>
      </c>
      <c r="F91" s="22" t="n"/>
      <c r="G91" s="22" t="n"/>
      <c r="H91" s="22" t="n"/>
      <c r="I91" s="22" t="n"/>
      <c r="J91" s="22" t="n"/>
      <c r="K91" s="28">
        <f>IF(C91="","",COUNTIFS(tbl_Finance[Job Number],C91&amp;"",tbl_Finance[Ex GST],"&lt;&gt;"))</f>
        <v/>
      </c>
      <c r="L91" s="27">
        <f>IF(C91="","",SUMIFS(tbl_Finance[Ex GST],tbl_Finance[Job Number],C91&amp;""))</f>
        <v/>
      </c>
      <c r="M91" s="27">
        <f>IF(C91="","",SUMIFS(tbl_Finance[Ex GST],tbl_Finance[Job Number],C91&amp;"",tbl_Finance[Xero Invoice No],"&lt;&gt;"))</f>
        <v/>
      </c>
      <c r="N91" s="27">
        <f>IF(C91="","",L91-M91)</f>
        <v/>
      </c>
      <c r="O91" s="24" t="n"/>
      <c r="P91" s="27">
        <f>IF(C91="","",IF(O91="",0,MAX(0,O91-L91)))</f>
        <v/>
      </c>
      <c r="Q91" s="26">
        <f>IF(C91="","",IF(K91=0,"not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R91" s="27">
        <f>IF(C91="","",SUMIFS(tbl_Finance[Inc GST],tbl_Finance[Job Number],C91&amp;""))</f>
        <v/>
      </c>
      <c r="S91" s="22" t="n"/>
      <c r="T91" s="22" t="n"/>
      <c r="U91" s="22" t="n"/>
      <c r="V91" s="23" t="n"/>
      <c r="W91" s="22" t="n"/>
      <c r="X91" s="26">
        <f>IF(W91="","",IF(AND(LEFT(W91,4)&lt;&gt;"http",set_RMSBase=""),"",HYPERLINK(IF(LEFT(W91,4)="http",W91,set_RMSBase&amp;W91),"Open opportunity")))</f>
        <v/>
      </c>
      <c r="Y91" s="22" t="n"/>
      <c r="Z91" s="26">
        <f>IF(Y91="","",HYPERLINK(IF(LEFT(Y91,4)="http",Y91,set_QwilrBase&amp;Y91),"Open quote"))</f>
        <v/>
      </c>
      <c r="AA91" s="26">
        <f>IF(C91="","",C91)</f>
        <v/>
      </c>
      <c r="AB91" s="22" t="n"/>
      <c r="AC91" s="24" t="n"/>
      <c r="AD91" s="27">
        <f>IF(C91="","",L91+N(AC91))</f>
        <v/>
      </c>
      <c r="AE91" s="29">
        <f>IFERROR(AC91/AD91,"")</f>
        <v/>
      </c>
      <c r="AF91" s="24" t="n"/>
      <c r="AG91" s="24" t="n"/>
      <c r="AH91" s="24" t="n"/>
      <c r="AI91" s="24" t="n"/>
      <c r="AJ91" s="27">
        <f>IF(C91="","",SUMIFS(tbl_Finance[Ex GST],tbl_Finance[Job Number],C91&amp;"",tbl_Finance[Cost Centre],"VIDEO"))</f>
        <v/>
      </c>
      <c r="AK91" s="29">
        <f>IFERROR(AJ91/L91,"")</f>
        <v/>
      </c>
      <c r="AL91" s="27">
        <f>IF(C91="","",N(AF91)+N(AG91)+N(AH91)+N(AI91))</f>
        <v/>
      </c>
      <c r="AM91" s="27" t="n"/>
      <c r="AN91" s="29" t="n"/>
      <c r="AO91" s="71" t="n"/>
      <c r="AP91" s="71" t="n"/>
      <c r="AQ91" s="71" t="n"/>
      <c r="AR91" s="71" t="n"/>
      <c r="AS91" s="71" t="n"/>
      <c r="AT91" s="22" t="n"/>
    </row>
    <row r="92" ht="15" customHeight="1">
      <c r="A92" s="70">
        <f>IF(C92="","",IFERROR(IF(SUMPRODUCT(MAX((tbl_Finance[Job Number]&amp;""=C92&amp;"")*(tbl_Finance[Xero Invoice No]&lt;&gt;"")*tbl_Finance[Date]))=0,"",SUMPRODUCT(MAX((tbl_Finance[Job Number]&amp;""=C92&amp;"")*(tbl_Finance[Xero Invoice No]&lt;&gt;"")*tbl_Finance[Date]))),""))</f>
        <v/>
      </c>
      <c r="B92" s="26">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2" t="n"/>
      <c r="D92" s="26">
        <f>IF(C92="","",IF(COUNTIF(lst_Jobs,C92&amp;"")&gt;0,"OK","CHECK"))</f>
        <v/>
      </c>
      <c r="E92" s="26">
        <f>IF(C92="","",IFERROR(INDEX(lst_JobName,MATCH(C92&amp;"",lst_Jobs,0)),""))</f>
        <v/>
      </c>
      <c r="F92" s="22" t="n"/>
      <c r="G92" s="22" t="n"/>
      <c r="H92" s="22" t="n"/>
      <c r="I92" s="22" t="n"/>
      <c r="J92" s="22" t="n"/>
      <c r="K92" s="28">
        <f>IF(C92="","",COUNTIFS(tbl_Finance[Job Number],C92&amp;"",tbl_Finance[Ex GST],"&lt;&gt;"))</f>
        <v/>
      </c>
      <c r="L92" s="27">
        <f>IF(C92="","",SUMIFS(tbl_Finance[Ex GST],tbl_Finance[Job Number],C92&amp;""))</f>
        <v/>
      </c>
      <c r="M92" s="27">
        <f>IF(C92="","",SUMIFS(tbl_Finance[Ex GST],tbl_Finance[Job Number],C92&amp;"",tbl_Finance[Xero Invoice No],"&lt;&gt;"))</f>
        <v/>
      </c>
      <c r="N92" s="27">
        <f>IF(C92="","",L92-M92)</f>
        <v/>
      </c>
      <c r="O92" s="24" t="n"/>
      <c r="P92" s="27">
        <f>IF(C92="","",IF(O92="",0,MAX(0,O92-L92)))</f>
        <v/>
      </c>
      <c r="Q92" s="26">
        <f>IF(C92="","",IF(K92=0,"not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R92" s="27">
        <f>IF(C92="","",SUMIFS(tbl_Finance[Inc GST],tbl_Finance[Job Number],C92&amp;""))</f>
        <v/>
      </c>
      <c r="S92" s="22" t="n"/>
      <c r="T92" s="22" t="n"/>
      <c r="U92" s="22" t="n"/>
      <c r="V92" s="23" t="n"/>
      <c r="W92" s="22" t="n"/>
      <c r="X92" s="26">
        <f>IF(W92="","",IF(AND(LEFT(W92,4)&lt;&gt;"http",set_RMSBase=""),"",HYPERLINK(IF(LEFT(W92,4)="http",W92,set_RMSBase&amp;W92),"Open opportunity")))</f>
        <v/>
      </c>
      <c r="Y92" s="22" t="n"/>
      <c r="Z92" s="26">
        <f>IF(Y92="","",HYPERLINK(IF(LEFT(Y92,4)="http",Y92,set_QwilrBase&amp;Y92),"Open quote"))</f>
        <v/>
      </c>
      <c r="AA92" s="26">
        <f>IF(C92="","",C92)</f>
        <v/>
      </c>
      <c r="AB92" s="22" t="n"/>
      <c r="AC92" s="24" t="n"/>
      <c r="AD92" s="27">
        <f>IF(C92="","",L92+N(AC92))</f>
        <v/>
      </c>
      <c r="AE92" s="29">
        <f>IFERROR(AC92/AD92,"")</f>
        <v/>
      </c>
      <c r="AF92" s="24" t="n"/>
      <c r="AG92" s="24" t="n"/>
      <c r="AH92" s="24" t="n"/>
      <c r="AI92" s="24" t="n"/>
      <c r="AJ92" s="27">
        <f>IF(C92="","",SUMIFS(tbl_Finance[Ex GST],tbl_Finance[Job Number],C92&amp;"",tbl_Finance[Cost Centre],"VIDEO"))</f>
        <v/>
      </c>
      <c r="AK92" s="29">
        <f>IFERROR(AJ92/L92,"")</f>
        <v/>
      </c>
      <c r="AL92" s="27">
        <f>IF(C92="","",N(AF92)+N(AG92)+N(AH92)+N(AI92))</f>
        <v/>
      </c>
      <c r="AM92" s="27" t="n"/>
      <c r="AN92" s="29" t="n"/>
      <c r="AO92" s="71" t="n"/>
      <c r="AP92" s="71" t="n"/>
      <c r="AQ92" s="71" t="n"/>
      <c r="AR92" s="71" t="n"/>
      <c r="AS92" s="71" t="n"/>
      <c r="AT92" s="22" t="n"/>
    </row>
    <row r="93" ht="15" customHeight="1">
      <c r="A93" s="70">
        <f>IF(C93="","",IFERROR(IF(SUMPRODUCT(MAX((tbl_Finance[Job Number]&amp;""=C93&amp;"")*(tbl_Finance[Xero Invoice No]&lt;&gt;"")*tbl_Finance[Date]))=0,"",SUMPRODUCT(MAX((tbl_Finance[Job Number]&amp;""=C93&amp;"")*(tbl_Finance[Xero Invoice No]&lt;&gt;"")*tbl_Finance[Date]))),""))</f>
        <v/>
      </c>
      <c r="B93" s="26">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2" t="n"/>
      <c r="D93" s="26">
        <f>IF(C93="","",IF(COUNTIF(lst_Jobs,C93&amp;"")&gt;0,"OK","CHECK"))</f>
        <v/>
      </c>
      <c r="E93" s="26">
        <f>IF(C93="","",IFERROR(INDEX(lst_JobName,MATCH(C93&amp;"",lst_Jobs,0)),""))</f>
        <v/>
      </c>
      <c r="F93" s="22" t="n"/>
      <c r="G93" s="22" t="n"/>
      <c r="H93" s="22" t="n"/>
      <c r="I93" s="22" t="n"/>
      <c r="J93" s="22" t="n"/>
      <c r="K93" s="28">
        <f>IF(C93="","",COUNTIFS(tbl_Finance[Job Number],C93&amp;"",tbl_Finance[Ex GST],"&lt;&gt;"))</f>
        <v/>
      </c>
      <c r="L93" s="27">
        <f>IF(C93="","",SUMIFS(tbl_Finance[Ex GST],tbl_Finance[Job Number],C93&amp;""))</f>
        <v/>
      </c>
      <c r="M93" s="27">
        <f>IF(C93="","",SUMIFS(tbl_Finance[Ex GST],tbl_Finance[Job Number],C93&amp;"",tbl_Finance[Xero Invoice No],"&lt;&gt;"))</f>
        <v/>
      </c>
      <c r="N93" s="27">
        <f>IF(C93="","",L93-M93)</f>
        <v/>
      </c>
      <c r="O93" s="24" t="n"/>
      <c r="P93" s="27">
        <f>IF(C93="","",IF(O93="",0,MAX(0,O93-L93)))</f>
        <v/>
      </c>
      <c r="Q93" s="26">
        <f>IF(C93="","",IF(K93=0,"not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R93" s="27">
        <f>IF(C93="","",SUMIFS(tbl_Finance[Inc GST],tbl_Finance[Job Number],C93&amp;""))</f>
        <v/>
      </c>
      <c r="S93" s="22" t="n"/>
      <c r="T93" s="22" t="n"/>
      <c r="U93" s="22" t="n"/>
      <c r="V93" s="23" t="n"/>
      <c r="W93" s="22" t="n"/>
      <c r="X93" s="26">
        <f>IF(W93="","",IF(AND(LEFT(W93,4)&lt;&gt;"http",set_RMSBase=""),"",HYPERLINK(IF(LEFT(W93,4)="http",W93,set_RMSBase&amp;W93),"Open opportunity")))</f>
        <v/>
      </c>
      <c r="Y93" s="22" t="n"/>
      <c r="Z93" s="26">
        <f>IF(Y93="","",HYPERLINK(IF(LEFT(Y93,4)="http",Y93,set_QwilrBase&amp;Y93),"Open quote"))</f>
        <v/>
      </c>
      <c r="AA93" s="26">
        <f>IF(C93="","",C93)</f>
        <v/>
      </c>
      <c r="AB93" s="22" t="n"/>
      <c r="AC93" s="24" t="n"/>
      <c r="AD93" s="27">
        <f>IF(C93="","",L93+N(AC93))</f>
        <v/>
      </c>
      <c r="AE93" s="29">
        <f>IFERROR(AC93/AD93,"")</f>
        <v/>
      </c>
      <c r="AF93" s="24" t="n"/>
      <c r="AG93" s="24" t="n"/>
      <c r="AH93" s="24" t="n"/>
      <c r="AI93" s="24" t="n"/>
      <c r="AJ93" s="27">
        <f>IF(C93="","",SUMIFS(tbl_Finance[Ex GST],tbl_Finance[Job Number],C93&amp;"",tbl_Finance[Cost Centre],"VIDEO"))</f>
        <v/>
      </c>
      <c r="AK93" s="29">
        <f>IFERROR(AJ93/L93,"")</f>
        <v/>
      </c>
      <c r="AL93" s="27">
        <f>IF(C93="","",N(AF93)+N(AG93)+N(AH93)+N(AI93))</f>
        <v/>
      </c>
      <c r="AM93" s="27" t="n"/>
      <c r="AN93" s="29" t="n"/>
      <c r="AO93" s="71" t="n"/>
      <c r="AP93" s="71" t="n"/>
      <c r="AQ93" s="71" t="n"/>
      <c r="AR93" s="71" t="n"/>
      <c r="AS93" s="71" t="n"/>
      <c r="AT93" s="22" t="n"/>
    </row>
    <row r="94" ht="15" customHeight="1">
      <c r="A94" s="70">
        <f>IF(C94="","",IFERROR(IF(SUMPRODUCT(MAX((tbl_Finance[Job Number]&amp;""=C94&amp;"")*(tbl_Finance[Xero Invoice No]&lt;&gt;"")*tbl_Finance[Date]))=0,"",SUMPRODUCT(MAX((tbl_Finance[Job Number]&amp;""=C94&amp;"")*(tbl_Finance[Xero Invoice No]&lt;&gt;"")*tbl_Finance[Date]))),""))</f>
        <v/>
      </c>
      <c r="B94" s="26">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2" t="n"/>
      <c r="D94" s="26">
        <f>IF(C94="","",IF(COUNTIF(lst_Jobs,C94&amp;"")&gt;0,"OK","CHECK"))</f>
        <v/>
      </c>
      <c r="E94" s="26">
        <f>IF(C94="","",IFERROR(INDEX(lst_JobName,MATCH(C94&amp;"",lst_Jobs,0)),""))</f>
        <v/>
      </c>
      <c r="F94" s="22" t="n"/>
      <c r="G94" s="22" t="n"/>
      <c r="H94" s="22" t="n"/>
      <c r="I94" s="22" t="n"/>
      <c r="J94" s="22" t="n"/>
      <c r="K94" s="28">
        <f>IF(C94="","",COUNTIFS(tbl_Finance[Job Number],C94&amp;"",tbl_Finance[Ex GST],"&lt;&gt;"))</f>
        <v/>
      </c>
      <c r="L94" s="27">
        <f>IF(C94="","",SUMIFS(tbl_Finance[Ex GST],tbl_Finance[Job Number],C94&amp;""))</f>
        <v/>
      </c>
      <c r="M94" s="27">
        <f>IF(C94="","",SUMIFS(tbl_Finance[Ex GST],tbl_Finance[Job Number],C94&amp;"",tbl_Finance[Xero Invoice No],"&lt;&gt;"))</f>
        <v/>
      </c>
      <c r="N94" s="27">
        <f>IF(C94="","",L94-M94)</f>
        <v/>
      </c>
      <c r="O94" s="24" t="n"/>
      <c r="P94" s="27">
        <f>IF(C94="","",IF(O94="",0,MAX(0,O94-L94)))</f>
        <v/>
      </c>
      <c r="Q94" s="26">
        <f>IF(C94="","",IF(K94=0,"not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R94" s="27">
        <f>IF(C94="","",SUMIFS(tbl_Finance[Inc GST],tbl_Finance[Job Number],C94&amp;""))</f>
        <v/>
      </c>
      <c r="S94" s="22" t="n"/>
      <c r="T94" s="22" t="n"/>
      <c r="U94" s="22" t="n"/>
      <c r="V94" s="23" t="n"/>
      <c r="W94" s="22" t="n"/>
      <c r="X94" s="26">
        <f>IF(W94="","",IF(AND(LEFT(W94,4)&lt;&gt;"http",set_RMSBase=""),"",HYPERLINK(IF(LEFT(W94,4)="http",W94,set_RMSBase&amp;W94),"Open opportunity")))</f>
        <v/>
      </c>
      <c r="Y94" s="22" t="n"/>
      <c r="Z94" s="26">
        <f>IF(Y94="","",HYPERLINK(IF(LEFT(Y94,4)="http",Y94,set_QwilrBase&amp;Y94),"Open quote"))</f>
        <v/>
      </c>
      <c r="AA94" s="26">
        <f>IF(C94="","",C94)</f>
        <v/>
      </c>
      <c r="AB94" s="22" t="n"/>
      <c r="AC94" s="24" t="n"/>
      <c r="AD94" s="27">
        <f>IF(C94="","",L94+N(AC94))</f>
        <v/>
      </c>
      <c r="AE94" s="29">
        <f>IFERROR(AC94/AD94,"")</f>
        <v/>
      </c>
      <c r="AF94" s="24" t="n"/>
      <c r="AG94" s="24" t="n"/>
      <c r="AH94" s="24" t="n"/>
      <c r="AI94" s="24" t="n"/>
      <c r="AJ94" s="27">
        <f>IF(C94="","",SUMIFS(tbl_Finance[Ex GST],tbl_Finance[Job Number],C94&amp;"",tbl_Finance[Cost Centre],"VIDEO"))</f>
        <v/>
      </c>
      <c r="AK94" s="29">
        <f>IFERROR(AJ94/L94,"")</f>
        <v/>
      </c>
      <c r="AL94" s="27">
        <f>IF(C94="","",N(AF94)+N(AG94)+N(AH94)+N(AI94))</f>
        <v/>
      </c>
      <c r="AM94" s="27" t="n"/>
      <c r="AN94" s="29" t="n"/>
      <c r="AO94" s="71" t="n"/>
      <c r="AP94" s="71" t="n"/>
      <c r="AQ94" s="71" t="n"/>
      <c r="AR94" s="71" t="n"/>
      <c r="AS94" s="71" t="n"/>
      <c r="AT94" s="22" t="n"/>
    </row>
    <row r="95" ht="15" customHeight="1">
      <c r="A95" s="70">
        <f>IF(C95="","",IFERROR(IF(SUMPRODUCT(MAX((tbl_Finance[Job Number]&amp;""=C95&amp;"")*(tbl_Finance[Xero Invoice No]&lt;&gt;"")*tbl_Finance[Date]))=0,"",SUMPRODUCT(MAX((tbl_Finance[Job Number]&amp;""=C95&amp;"")*(tbl_Finance[Xero Invoice No]&lt;&gt;"")*tbl_Finance[Date]))),""))</f>
        <v/>
      </c>
      <c r="B95" s="26">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2" t="n"/>
      <c r="D95" s="26">
        <f>IF(C95="","",IF(COUNTIF(lst_Jobs,C95&amp;"")&gt;0,"OK","CHECK"))</f>
        <v/>
      </c>
      <c r="E95" s="26">
        <f>IF(C95="","",IFERROR(INDEX(lst_JobName,MATCH(C95&amp;"",lst_Jobs,0)),""))</f>
        <v/>
      </c>
      <c r="F95" s="22" t="n"/>
      <c r="G95" s="22" t="n"/>
      <c r="H95" s="22" t="n"/>
      <c r="I95" s="22" t="n"/>
      <c r="J95" s="22" t="n"/>
      <c r="K95" s="28">
        <f>IF(C95="","",COUNTIFS(tbl_Finance[Job Number],C95&amp;"",tbl_Finance[Ex GST],"&lt;&gt;"))</f>
        <v/>
      </c>
      <c r="L95" s="27">
        <f>IF(C95="","",SUMIFS(tbl_Finance[Ex GST],tbl_Finance[Job Number],C95&amp;""))</f>
        <v/>
      </c>
      <c r="M95" s="27">
        <f>IF(C95="","",SUMIFS(tbl_Finance[Ex GST],tbl_Finance[Job Number],C95&amp;"",tbl_Finance[Xero Invoice No],"&lt;&gt;"))</f>
        <v/>
      </c>
      <c r="N95" s="27">
        <f>IF(C95="","",L95-M95)</f>
        <v/>
      </c>
      <c r="O95" s="24" t="n"/>
      <c r="P95" s="27">
        <f>IF(C95="","",IF(O95="",0,MAX(0,O95-L95)))</f>
        <v/>
      </c>
      <c r="Q95" s="26">
        <f>IF(C95="","",IF(K95=0,"not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R95" s="27">
        <f>IF(C95="","",SUMIFS(tbl_Finance[Inc GST],tbl_Finance[Job Number],C95&amp;""))</f>
        <v/>
      </c>
      <c r="S95" s="22" t="n"/>
      <c r="T95" s="22" t="n"/>
      <c r="U95" s="22" t="n"/>
      <c r="V95" s="23" t="n"/>
      <c r="W95" s="22" t="n"/>
      <c r="X95" s="26">
        <f>IF(W95="","",IF(AND(LEFT(W95,4)&lt;&gt;"http",set_RMSBase=""),"",HYPERLINK(IF(LEFT(W95,4)="http",W95,set_RMSBase&amp;W95),"Open opportunity")))</f>
        <v/>
      </c>
      <c r="Y95" s="22" t="n"/>
      <c r="Z95" s="26">
        <f>IF(Y95="","",HYPERLINK(IF(LEFT(Y95,4)="http",Y95,set_QwilrBase&amp;Y95),"Open quote"))</f>
        <v/>
      </c>
      <c r="AA95" s="26">
        <f>IF(C95="","",C95)</f>
        <v/>
      </c>
      <c r="AB95" s="22" t="n"/>
      <c r="AC95" s="24" t="n"/>
      <c r="AD95" s="27">
        <f>IF(C95="","",L95+N(AC95))</f>
        <v/>
      </c>
      <c r="AE95" s="29">
        <f>IFERROR(AC95/AD95,"")</f>
        <v/>
      </c>
      <c r="AF95" s="24" t="n"/>
      <c r="AG95" s="24" t="n"/>
      <c r="AH95" s="24" t="n"/>
      <c r="AI95" s="24" t="n"/>
      <c r="AJ95" s="27">
        <f>IF(C95="","",SUMIFS(tbl_Finance[Ex GST],tbl_Finance[Job Number],C95&amp;"",tbl_Finance[Cost Centre],"VIDEO"))</f>
        <v/>
      </c>
      <c r="AK95" s="29">
        <f>IFERROR(AJ95/L95,"")</f>
        <v/>
      </c>
      <c r="AL95" s="27">
        <f>IF(C95="","",N(AF95)+N(AG95)+N(AH95)+N(AI95))</f>
        <v/>
      </c>
      <c r="AM95" s="27" t="n"/>
      <c r="AN95" s="29" t="n"/>
      <c r="AO95" s="71" t="n"/>
      <c r="AP95" s="71" t="n"/>
      <c r="AQ95" s="71" t="n"/>
      <c r="AR95" s="71" t="n"/>
      <c r="AS95" s="71" t="n"/>
      <c r="AT95" s="22" t="n"/>
    </row>
    <row r="96" ht="15" customHeight="1">
      <c r="A96" s="70">
        <f>IF(C96="","",IFERROR(IF(SUMPRODUCT(MAX((tbl_Finance[Job Number]&amp;""=C96&amp;"")*(tbl_Finance[Xero Invoice No]&lt;&gt;"")*tbl_Finance[Date]))=0,"",SUMPRODUCT(MAX((tbl_Finance[Job Number]&amp;""=C96&amp;"")*(tbl_Finance[Xero Invoice No]&lt;&gt;"")*tbl_Finance[Date]))),""))</f>
        <v/>
      </c>
      <c r="B96" s="26">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2" t="n"/>
      <c r="D96" s="26">
        <f>IF(C96="","",IF(COUNTIF(lst_Jobs,C96&amp;"")&gt;0,"OK","CHECK"))</f>
        <v/>
      </c>
      <c r="E96" s="26">
        <f>IF(C96="","",IFERROR(INDEX(lst_JobName,MATCH(C96&amp;"",lst_Jobs,0)),""))</f>
        <v/>
      </c>
      <c r="F96" s="22" t="n"/>
      <c r="G96" s="22" t="n"/>
      <c r="H96" s="22" t="n"/>
      <c r="I96" s="22" t="n"/>
      <c r="J96" s="22" t="n"/>
      <c r="K96" s="28">
        <f>IF(C96="","",COUNTIFS(tbl_Finance[Job Number],C96&amp;"",tbl_Finance[Ex GST],"&lt;&gt;"))</f>
        <v/>
      </c>
      <c r="L96" s="27">
        <f>IF(C96="","",SUMIFS(tbl_Finance[Ex GST],tbl_Finance[Job Number],C96&amp;""))</f>
        <v/>
      </c>
      <c r="M96" s="27">
        <f>IF(C96="","",SUMIFS(tbl_Finance[Ex GST],tbl_Finance[Job Number],C96&amp;"",tbl_Finance[Xero Invoice No],"&lt;&gt;"))</f>
        <v/>
      </c>
      <c r="N96" s="27">
        <f>IF(C96="","",L96-M96)</f>
        <v/>
      </c>
      <c r="O96" s="24" t="n"/>
      <c r="P96" s="27">
        <f>IF(C96="","",IF(O96="",0,MAX(0,O96-L96)))</f>
        <v/>
      </c>
      <c r="Q96" s="26">
        <f>IF(C96="","",IF(K96=0,"not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R96" s="27">
        <f>IF(C96="","",SUMIFS(tbl_Finance[Inc GST],tbl_Finance[Job Number],C96&amp;""))</f>
        <v/>
      </c>
      <c r="S96" s="22" t="n"/>
      <c r="T96" s="22" t="n"/>
      <c r="U96" s="22" t="n"/>
      <c r="V96" s="23" t="n"/>
      <c r="W96" s="22" t="n"/>
      <c r="X96" s="26">
        <f>IF(W96="","",IF(AND(LEFT(W96,4)&lt;&gt;"http",set_RMSBase=""),"",HYPERLINK(IF(LEFT(W96,4)="http",W96,set_RMSBase&amp;W96),"Open opportunity")))</f>
        <v/>
      </c>
      <c r="Y96" s="22" t="n"/>
      <c r="Z96" s="26">
        <f>IF(Y96="","",HYPERLINK(IF(LEFT(Y96,4)="http",Y96,set_QwilrBase&amp;Y96),"Open quote"))</f>
        <v/>
      </c>
      <c r="AA96" s="26">
        <f>IF(C96="","",C96)</f>
        <v/>
      </c>
      <c r="AB96" s="22" t="n"/>
      <c r="AC96" s="24" t="n"/>
      <c r="AD96" s="27">
        <f>IF(C96="","",L96+N(AC96))</f>
        <v/>
      </c>
      <c r="AE96" s="29">
        <f>IFERROR(AC96/AD96,"")</f>
        <v/>
      </c>
      <c r="AF96" s="24" t="n"/>
      <c r="AG96" s="24" t="n"/>
      <c r="AH96" s="24" t="n"/>
      <c r="AI96" s="24" t="n"/>
      <c r="AJ96" s="27">
        <f>IF(C96="","",SUMIFS(tbl_Finance[Ex GST],tbl_Finance[Job Number],C96&amp;"",tbl_Finance[Cost Centre],"VIDEO"))</f>
        <v/>
      </c>
      <c r="AK96" s="29">
        <f>IFERROR(AJ96/L96,"")</f>
        <v/>
      </c>
      <c r="AL96" s="27">
        <f>IF(C96="","",N(AF96)+N(AG96)+N(AH96)+N(AI96))</f>
        <v/>
      </c>
      <c r="AM96" s="27" t="n"/>
      <c r="AN96" s="29" t="n"/>
      <c r="AO96" s="71" t="n"/>
      <c r="AP96" s="71" t="n"/>
      <c r="AQ96" s="71" t="n"/>
      <c r="AR96" s="71" t="n"/>
      <c r="AS96" s="71" t="n"/>
      <c r="AT96" s="22" t="n"/>
    </row>
    <row r="97" ht="15" customHeight="1">
      <c r="A97" s="70">
        <f>IF(C97="","",IFERROR(IF(SUMPRODUCT(MAX((tbl_Finance[Job Number]&amp;""=C97&amp;"")*(tbl_Finance[Xero Invoice No]&lt;&gt;"")*tbl_Finance[Date]))=0,"",SUMPRODUCT(MAX((tbl_Finance[Job Number]&amp;""=C97&amp;"")*(tbl_Finance[Xero Invoice No]&lt;&gt;"")*tbl_Finance[Date]))),""))</f>
        <v/>
      </c>
      <c r="B97" s="26">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2" t="n"/>
      <c r="D97" s="26">
        <f>IF(C97="","",IF(COUNTIF(lst_Jobs,C97&amp;"")&gt;0,"OK","CHECK"))</f>
        <v/>
      </c>
      <c r="E97" s="26">
        <f>IF(C97="","",IFERROR(INDEX(lst_JobName,MATCH(C97&amp;"",lst_Jobs,0)),""))</f>
        <v/>
      </c>
      <c r="F97" s="22" t="n"/>
      <c r="G97" s="22" t="n"/>
      <c r="H97" s="22" t="n"/>
      <c r="I97" s="22" t="n"/>
      <c r="J97" s="22" t="n"/>
      <c r="K97" s="28">
        <f>IF(C97="","",COUNTIFS(tbl_Finance[Job Number],C97&amp;"",tbl_Finance[Ex GST],"&lt;&gt;"))</f>
        <v/>
      </c>
      <c r="L97" s="27">
        <f>IF(C97="","",SUMIFS(tbl_Finance[Ex GST],tbl_Finance[Job Number],C97&amp;""))</f>
        <v/>
      </c>
      <c r="M97" s="27">
        <f>IF(C97="","",SUMIFS(tbl_Finance[Ex GST],tbl_Finance[Job Number],C97&amp;"",tbl_Finance[Xero Invoice No],"&lt;&gt;"))</f>
        <v/>
      </c>
      <c r="N97" s="27">
        <f>IF(C97="","",L97-M97)</f>
        <v/>
      </c>
      <c r="O97" s="24" t="n"/>
      <c r="P97" s="27">
        <f>IF(C97="","",IF(O97="",0,MAX(0,O97-L97)))</f>
        <v/>
      </c>
      <c r="Q97" s="26">
        <f>IF(C97="","",IF(K97=0,"not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R97" s="27">
        <f>IF(C97="","",SUMIFS(tbl_Finance[Inc GST],tbl_Finance[Job Number],C97&amp;""))</f>
        <v/>
      </c>
      <c r="S97" s="22" t="n"/>
      <c r="T97" s="22" t="n"/>
      <c r="U97" s="22" t="n"/>
      <c r="V97" s="23" t="n"/>
      <c r="W97" s="22" t="n"/>
      <c r="X97" s="26">
        <f>IF(W97="","",IF(AND(LEFT(W97,4)&lt;&gt;"http",set_RMSBase=""),"",HYPERLINK(IF(LEFT(W97,4)="http",W97,set_RMSBase&amp;W97),"Open opportunity")))</f>
        <v/>
      </c>
      <c r="Y97" s="22" t="n"/>
      <c r="Z97" s="26">
        <f>IF(Y97="","",HYPERLINK(IF(LEFT(Y97,4)="http",Y97,set_QwilrBase&amp;Y97),"Open quote"))</f>
        <v/>
      </c>
      <c r="AA97" s="26">
        <f>IF(C97="","",C97)</f>
        <v/>
      </c>
      <c r="AB97" s="22" t="n"/>
      <c r="AC97" s="24" t="n"/>
      <c r="AD97" s="27">
        <f>IF(C97="","",L97+N(AC97))</f>
        <v/>
      </c>
      <c r="AE97" s="29">
        <f>IFERROR(AC97/AD97,"")</f>
        <v/>
      </c>
      <c r="AF97" s="24" t="n"/>
      <c r="AG97" s="24" t="n"/>
      <c r="AH97" s="24" t="n"/>
      <c r="AI97" s="24" t="n"/>
      <c r="AJ97" s="27">
        <f>IF(C97="","",SUMIFS(tbl_Finance[Ex GST],tbl_Finance[Job Number],C97&amp;"",tbl_Finance[Cost Centre],"VIDEO"))</f>
        <v/>
      </c>
      <c r="AK97" s="29">
        <f>IFERROR(AJ97/L97,"")</f>
        <v/>
      </c>
      <c r="AL97" s="27">
        <f>IF(C97="","",N(AF97)+N(AG97)+N(AH97)+N(AI97))</f>
        <v/>
      </c>
      <c r="AM97" s="27" t="n"/>
      <c r="AN97" s="29" t="n"/>
      <c r="AO97" s="71" t="n"/>
      <c r="AP97" s="71" t="n"/>
      <c r="AQ97" s="71" t="n"/>
      <c r="AR97" s="71" t="n"/>
      <c r="AS97" s="71" t="n"/>
      <c r="AT97" s="22" t="n"/>
    </row>
    <row r="98" ht="15" customHeight="1">
      <c r="A98" s="70">
        <f>IF(C98="","",IFERROR(IF(SUMPRODUCT(MAX((tbl_Finance[Job Number]&amp;""=C98&amp;"")*(tbl_Finance[Xero Invoice No]&lt;&gt;"")*tbl_Finance[Date]))=0,"",SUMPRODUCT(MAX((tbl_Finance[Job Number]&amp;""=C98&amp;"")*(tbl_Finance[Xero Invoice No]&lt;&gt;"")*tbl_Finance[Date]))),""))</f>
        <v/>
      </c>
      <c r="B98" s="26">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2" t="n"/>
      <c r="D98" s="26">
        <f>IF(C98="","",IF(COUNTIF(lst_Jobs,C98&amp;"")&gt;0,"OK","CHECK"))</f>
        <v/>
      </c>
      <c r="E98" s="26">
        <f>IF(C98="","",IFERROR(INDEX(lst_JobName,MATCH(C98&amp;"",lst_Jobs,0)),""))</f>
        <v/>
      </c>
      <c r="F98" s="22" t="n"/>
      <c r="G98" s="22" t="n"/>
      <c r="H98" s="22" t="n"/>
      <c r="I98" s="22" t="n"/>
      <c r="J98" s="22" t="n"/>
      <c r="K98" s="28">
        <f>IF(C98="","",COUNTIFS(tbl_Finance[Job Number],C98&amp;"",tbl_Finance[Ex GST],"&lt;&gt;"))</f>
        <v/>
      </c>
      <c r="L98" s="27">
        <f>IF(C98="","",SUMIFS(tbl_Finance[Ex GST],tbl_Finance[Job Number],C98&amp;""))</f>
        <v/>
      </c>
      <c r="M98" s="27">
        <f>IF(C98="","",SUMIFS(tbl_Finance[Ex GST],tbl_Finance[Job Number],C98&amp;"",tbl_Finance[Xero Invoice No],"&lt;&gt;"))</f>
        <v/>
      </c>
      <c r="N98" s="27">
        <f>IF(C98="","",L98-M98)</f>
        <v/>
      </c>
      <c r="O98" s="24" t="n"/>
      <c r="P98" s="27">
        <f>IF(C98="","",IF(O98="",0,MAX(0,O98-L98)))</f>
        <v/>
      </c>
      <c r="Q98" s="26">
        <f>IF(C98="","",IF(K98=0,"not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R98" s="27">
        <f>IF(C98="","",SUMIFS(tbl_Finance[Inc GST],tbl_Finance[Job Number],C98&amp;""))</f>
        <v/>
      </c>
      <c r="S98" s="22" t="n"/>
      <c r="T98" s="22" t="n"/>
      <c r="U98" s="22" t="n"/>
      <c r="V98" s="23" t="n"/>
      <c r="W98" s="22" t="n"/>
      <c r="X98" s="26">
        <f>IF(W98="","",IF(AND(LEFT(W98,4)&lt;&gt;"http",set_RMSBase=""),"",HYPERLINK(IF(LEFT(W98,4)="http",W98,set_RMSBase&amp;W98),"Open opportunity")))</f>
        <v/>
      </c>
      <c r="Y98" s="22" t="n"/>
      <c r="Z98" s="26">
        <f>IF(Y98="","",HYPERLINK(IF(LEFT(Y98,4)="http",Y98,set_QwilrBase&amp;Y98),"Open quote"))</f>
        <v/>
      </c>
      <c r="AA98" s="26">
        <f>IF(C98="","",C98)</f>
        <v/>
      </c>
      <c r="AB98" s="22" t="n"/>
      <c r="AC98" s="24" t="n"/>
      <c r="AD98" s="27">
        <f>IF(C98="","",L98+N(AC98))</f>
        <v/>
      </c>
      <c r="AE98" s="29">
        <f>IFERROR(AC98/AD98,"")</f>
        <v/>
      </c>
      <c r="AF98" s="24" t="n"/>
      <c r="AG98" s="24" t="n"/>
      <c r="AH98" s="24" t="n"/>
      <c r="AI98" s="24" t="n"/>
      <c r="AJ98" s="27">
        <f>IF(C98="","",SUMIFS(tbl_Finance[Ex GST],tbl_Finance[Job Number],C98&amp;"",tbl_Finance[Cost Centre],"VIDEO"))</f>
        <v/>
      </c>
      <c r="AK98" s="29">
        <f>IFERROR(AJ98/L98,"")</f>
        <v/>
      </c>
      <c r="AL98" s="27">
        <f>IF(C98="","",N(AF98)+N(AG98)+N(AH98)+N(AI98))</f>
        <v/>
      </c>
      <c r="AM98" s="27" t="n"/>
      <c r="AN98" s="29" t="n"/>
      <c r="AO98" s="71" t="n"/>
      <c r="AP98" s="71" t="n"/>
      <c r="AQ98" s="71" t="n"/>
      <c r="AR98" s="71" t="n"/>
      <c r="AS98" s="71" t="n"/>
      <c r="AT98" s="22" t="n"/>
    </row>
    <row r="99" ht="15" customHeight="1">
      <c r="A99" s="70">
        <f>IF(C99="","",IFERROR(IF(SUMPRODUCT(MAX((tbl_Finance[Job Number]&amp;""=C99&amp;"")*(tbl_Finance[Xero Invoice No]&lt;&gt;"")*tbl_Finance[Date]))=0,"",SUMPRODUCT(MAX((tbl_Finance[Job Number]&amp;""=C99&amp;"")*(tbl_Finance[Xero Invoice No]&lt;&gt;"")*tbl_Finance[Date]))),""))</f>
        <v/>
      </c>
      <c r="B99" s="26">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2" t="n"/>
      <c r="D99" s="26">
        <f>IF(C99="","",IF(COUNTIF(lst_Jobs,C99&amp;"")&gt;0,"OK","CHECK"))</f>
        <v/>
      </c>
      <c r="E99" s="26">
        <f>IF(C99="","",IFERROR(INDEX(lst_JobName,MATCH(C99&amp;"",lst_Jobs,0)),""))</f>
        <v/>
      </c>
      <c r="F99" s="22" t="n"/>
      <c r="G99" s="22" t="n"/>
      <c r="H99" s="22" t="n"/>
      <c r="I99" s="22" t="n"/>
      <c r="J99" s="22" t="n"/>
      <c r="K99" s="28">
        <f>IF(C99="","",COUNTIFS(tbl_Finance[Job Number],C99&amp;"",tbl_Finance[Ex GST],"&lt;&gt;"))</f>
        <v/>
      </c>
      <c r="L99" s="27">
        <f>IF(C99="","",SUMIFS(tbl_Finance[Ex GST],tbl_Finance[Job Number],C99&amp;""))</f>
        <v/>
      </c>
      <c r="M99" s="27">
        <f>IF(C99="","",SUMIFS(tbl_Finance[Ex GST],tbl_Finance[Job Number],C99&amp;"",tbl_Finance[Xero Invoice No],"&lt;&gt;"))</f>
        <v/>
      </c>
      <c r="N99" s="27">
        <f>IF(C99="","",L99-M99)</f>
        <v/>
      </c>
      <c r="O99" s="24" t="n"/>
      <c r="P99" s="27">
        <f>IF(C99="","",IF(O99="",0,MAX(0,O99-L99)))</f>
        <v/>
      </c>
      <c r="Q99" s="26">
        <f>IF(C99="","",IF(K99=0,"not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R99" s="27">
        <f>IF(C99="","",SUMIFS(tbl_Finance[Inc GST],tbl_Finance[Job Number],C99&amp;""))</f>
        <v/>
      </c>
      <c r="S99" s="22" t="n"/>
      <c r="T99" s="22" t="n"/>
      <c r="U99" s="22" t="n"/>
      <c r="V99" s="23" t="n"/>
      <c r="W99" s="22" t="n"/>
      <c r="X99" s="26">
        <f>IF(W99="","",IF(AND(LEFT(W99,4)&lt;&gt;"http",set_RMSBase=""),"",HYPERLINK(IF(LEFT(W99,4)="http",W99,set_RMSBase&amp;W99),"Open opportunity")))</f>
        <v/>
      </c>
      <c r="Y99" s="22" t="n"/>
      <c r="Z99" s="26">
        <f>IF(Y99="","",HYPERLINK(IF(LEFT(Y99,4)="http",Y99,set_QwilrBase&amp;Y99),"Open quote"))</f>
        <v/>
      </c>
      <c r="AA99" s="26">
        <f>IF(C99="","",C99)</f>
        <v/>
      </c>
      <c r="AB99" s="22" t="n"/>
      <c r="AC99" s="24" t="n"/>
      <c r="AD99" s="27">
        <f>IF(C99="","",L99+N(AC99))</f>
        <v/>
      </c>
      <c r="AE99" s="29">
        <f>IFERROR(AC99/AD99,"")</f>
        <v/>
      </c>
      <c r="AF99" s="24" t="n"/>
      <c r="AG99" s="24" t="n"/>
      <c r="AH99" s="24" t="n"/>
      <c r="AI99" s="24" t="n"/>
      <c r="AJ99" s="27">
        <f>IF(C99="","",SUMIFS(tbl_Finance[Ex GST],tbl_Finance[Job Number],C99&amp;"",tbl_Finance[Cost Centre],"VIDEO"))</f>
        <v/>
      </c>
      <c r="AK99" s="29">
        <f>IFERROR(AJ99/L99,"")</f>
        <v/>
      </c>
      <c r="AL99" s="27">
        <f>IF(C99="","",N(AF99)+N(AG99)+N(AH99)+N(AI99))</f>
        <v/>
      </c>
      <c r="AM99" s="27" t="n"/>
      <c r="AN99" s="29" t="n"/>
      <c r="AO99" s="71" t="n"/>
      <c r="AP99" s="71" t="n"/>
      <c r="AQ99" s="71" t="n"/>
      <c r="AR99" s="71" t="n"/>
      <c r="AS99" s="71" t="n"/>
      <c r="AT99" s="22" t="n"/>
    </row>
    <row r="100" ht="15" customHeight="1">
      <c r="A100" s="70">
        <f>IF(C100="","",IFERROR(IF(SUMPRODUCT(MAX((tbl_Finance[Job Number]&amp;""=C100&amp;"")*(tbl_Finance[Xero Invoice No]&lt;&gt;"")*tbl_Finance[Date]))=0,"",SUMPRODUCT(MAX((tbl_Finance[Job Number]&amp;""=C100&amp;"")*(tbl_Finance[Xero Invoice No]&lt;&gt;"")*tbl_Finance[Date]))),""))</f>
        <v/>
      </c>
      <c r="B100" s="26">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2" t="n"/>
      <c r="D100" s="26">
        <f>IF(C100="","",IF(COUNTIF(lst_Jobs,C100&amp;"")&gt;0,"OK","CHECK"))</f>
        <v/>
      </c>
      <c r="E100" s="26">
        <f>IF(C100="","",IFERROR(INDEX(lst_JobName,MATCH(C100&amp;"",lst_Jobs,0)),""))</f>
        <v/>
      </c>
      <c r="F100" s="22" t="n"/>
      <c r="G100" s="22" t="n"/>
      <c r="H100" s="22" t="n"/>
      <c r="I100" s="22" t="n"/>
      <c r="J100" s="22" t="n"/>
      <c r="K100" s="28">
        <f>IF(C100="","",COUNTIFS(tbl_Finance[Job Number],C100&amp;"",tbl_Finance[Ex GST],"&lt;&gt;"))</f>
        <v/>
      </c>
      <c r="L100" s="27">
        <f>IF(C100="","",SUMIFS(tbl_Finance[Ex GST],tbl_Finance[Job Number],C100&amp;""))</f>
        <v/>
      </c>
      <c r="M100" s="27">
        <f>IF(C100="","",SUMIFS(tbl_Finance[Ex GST],tbl_Finance[Job Number],C100&amp;"",tbl_Finance[Xero Invoice No],"&lt;&gt;"))</f>
        <v/>
      </c>
      <c r="N100" s="27">
        <f>IF(C100="","",L100-M100)</f>
        <v/>
      </c>
      <c r="O100" s="24" t="n"/>
      <c r="P100" s="27">
        <f>IF(C100="","",IF(O100="",0,MAX(0,O100-L100)))</f>
        <v/>
      </c>
      <c r="Q100" s="26">
        <f>IF(C100="","",IF(K100=0,"not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R100" s="27">
        <f>IF(C100="","",SUMIFS(tbl_Finance[Inc GST],tbl_Finance[Job Number],C100&amp;""))</f>
        <v/>
      </c>
      <c r="S100" s="22" t="n"/>
      <c r="T100" s="22" t="n"/>
      <c r="U100" s="22" t="n"/>
      <c r="V100" s="23" t="n"/>
      <c r="W100" s="22" t="n"/>
      <c r="X100" s="26">
        <f>IF(W100="","",IF(AND(LEFT(W100,4)&lt;&gt;"http",set_RMSBase=""),"",HYPERLINK(IF(LEFT(W100,4)="http",W100,set_RMSBase&amp;W100),"Open opportunity")))</f>
        <v/>
      </c>
      <c r="Y100" s="22" t="n"/>
      <c r="Z100" s="26">
        <f>IF(Y100="","",HYPERLINK(IF(LEFT(Y100,4)="http",Y100,set_QwilrBase&amp;Y100),"Open quote"))</f>
        <v/>
      </c>
      <c r="AA100" s="26">
        <f>IF(C100="","",C100)</f>
        <v/>
      </c>
      <c r="AB100" s="22" t="n"/>
      <c r="AC100" s="24" t="n"/>
      <c r="AD100" s="27">
        <f>IF(C100="","",L100+N(AC100))</f>
        <v/>
      </c>
      <c r="AE100" s="29">
        <f>IFERROR(AC100/AD100,"")</f>
        <v/>
      </c>
      <c r="AF100" s="24" t="n"/>
      <c r="AG100" s="24" t="n"/>
      <c r="AH100" s="24" t="n"/>
      <c r="AI100" s="24" t="n"/>
      <c r="AJ100" s="27">
        <f>IF(C100="","",SUMIFS(tbl_Finance[Ex GST],tbl_Finance[Job Number],C100&amp;"",tbl_Finance[Cost Centre],"VIDEO"))</f>
        <v/>
      </c>
      <c r="AK100" s="29">
        <f>IFERROR(AJ100/L100,"")</f>
        <v/>
      </c>
      <c r="AL100" s="27">
        <f>IF(C100="","",N(AF100)+N(AG100)+N(AH100)+N(AI100))</f>
        <v/>
      </c>
      <c r="AM100" s="27" t="n"/>
      <c r="AN100" s="29" t="n"/>
      <c r="AO100" s="71" t="n"/>
      <c r="AP100" s="71" t="n"/>
      <c r="AQ100" s="71" t="n"/>
      <c r="AR100" s="71" t="n"/>
      <c r="AS100" s="71" t="n"/>
      <c r="AT100" s="22" t="n"/>
    </row>
    <row r="101" ht="15" customHeight="1">
      <c r="A101" s="70">
        <f>IF(C101="","",IFERROR(IF(SUMPRODUCT(MAX((tbl_Finance[Job Number]&amp;""=C101&amp;"")*(tbl_Finance[Xero Invoice No]&lt;&gt;"")*tbl_Finance[Date]))=0,"",SUMPRODUCT(MAX((tbl_Finance[Job Number]&amp;""=C101&amp;"")*(tbl_Finance[Xero Invoice No]&lt;&gt;"")*tbl_Finance[Date]))),""))</f>
        <v/>
      </c>
      <c r="B101" s="26">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2" t="n"/>
      <c r="D101" s="26">
        <f>IF(C101="","",IF(COUNTIF(lst_Jobs,C101&amp;"")&gt;0,"OK","CHECK"))</f>
        <v/>
      </c>
      <c r="E101" s="26">
        <f>IF(C101="","",IFERROR(INDEX(lst_JobName,MATCH(C101&amp;"",lst_Jobs,0)),""))</f>
        <v/>
      </c>
      <c r="F101" s="22" t="n"/>
      <c r="G101" s="22" t="n"/>
      <c r="H101" s="22" t="n"/>
      <c r="I101" s="22" t="n"/>
      <c r="J101" s="22" t="n"/>
      <c r="K101" s="28">
        <f>IF(C101="","",COUNTIFS(tbl_Finance[Job Number],C101&amp;"",tbl_Finance[Ex GST],"&lt;&gt;"))</f>
        <v/>
      </c>
      <c r="L101" s="27">
        <f>IF(C101="","",SUMIFS(tbl_Finance[Ex GST],tbl_Finance[Job Number],C101&amp;""))</f>
        <v/>
      </c>
      <c r="M101" s="27">
        <f>IF(C101="","",SUMIFS(tbl_Finance[Ex GST],tbl_Finance[Job Number],C101&amp;"",tbl_Finance[Xero Invoice No],"&lt;&gt;"))</f>
        <v/>
      </c>
      <c r="N101" s="27">
        <f>IF(C101="","",L101-M101)</f>
        <v/>
      </c>
      <c r="O101" s="24" t="n"/>
      <c r="P101" s="27">
        <f>IF(C101="","",IF(O101="",0,MAX(0,O101-L101)))</f>
        <v/>
      </c>
      <c r="Q101" s="26">
        <f>IF(C101="","",IF(K101=0,"not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R101" s="27">
        <f>IF(C101="","",SUMIFS(tbl_Finance[Inc GST],tbl_Finance[Job Number],C101&amp;""))</f>
        <v/>
      </c>
      <c r="S101" s="22" t="n"/>
      <c r="T101" s="22" t="n"/>
      <c r="U101" s="22" t="n"/>
      <c r="V101" s="23" t="n"/>
      <c r="W101" s="22" t="n"/>
      <c r="X101" s="26">
        <f>IF(W101="","",IF(AND(LEFT(W101,4)&lt;&gt;"http",set_RMSBase=""),"",HYPERLINK(IF(LEFT(W101,4)="http",W101,set_RMSBase&amp;W101),"Open opportunity")))</f>
        <v/>
      </c>
      <c r="Y101" s="22" t="n"/>
      <c r="Z101" s="26">
        <f>IF(Y101="","",HYPERLINK(IF(LEFT(Y101,4)="http",Y101,set_QwilrBase&amp;Y101),"Open quote"))</f>
        <v/>
      </c>
      <c r="AA101" s="26">
        <f>IF(C101="","",C101)</f>
        <v/>
      </c>
      <c r="AB101" s="22" t="n"/>
      <c r="AC101" s="24" t="n"/>
      <c r="AD101" s="27">
        <f>IF(C101="","",L101+N(AC101))</f>
        <v/>
      </c>
      <c r="AE101" s="29">
        <f>IFERROR(AC101/AD101,"")</f>
        <v/>
      </c>
      <c r="AF101" s="24" t="n"/>
      <c r="AG101" s="24" t="n"/>
      <c r="AH101" s="24" t="n"/>
      <c r="AI101" s="24" t="n"/>
      <c r="AJ101" s="27">
        <f>IF(C101="","",SUMIFS(tbl_Finance[Ex GST],tbl_Finance[Job Number],C101&amp;"",tbl_Finance[Cost Centre],"VIDEO"))</f>
        <v/>
      </c>
      <c r="AK101" s="29">
        <f>IFERROR(AJ101/L101,"")</f>
        <v/>
      </c>
      <c r="AL101" s="27">
        <f>IF(C101="","",N(AF101)+N(AG101)+N(AH101)+N(AI101))</f>
        <v/>
      </c>
      <c r="AM101" s="27" t="n"/>
      <c r="AN101" s="29" t="n"/>
      <c r="AO101" s="71" t="n"/>
      <c r="AP101" s="71" t="n"/>
      <c r="AQ101" s="71" t="n"/>
      <c r="AR101" s="71" t="n"/>
      <c r="AS101" s="71" t="n"/>
      <c r="AT101" s="22" t="n"/>
    </row>
    <row r="102" ht="15" customHeight="1">
      <c r="A102" s="70">
        <f>IF(C102="","",IFERROR(IF(SUMPRODUCT(MAX((tbl_Finance[Job Number]&amp;""=C102&amp;"")*(tbl_Finance[Xero Invoice No]&lt;&gt;"")*tbl_Finance[Date]))=0,"",SUMPRODUCT(MAX((tbl_Finance[Job Number]&amp;""=C102&amp;"")*(tbl_Finance[Xero Invoice No]&lt;&gt;"")*tbl_Finance[Date]))),""))</f>
        <v/>
      </c>
      <c r="B102" s="26">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2" t="n"/>
      <c r="D102" s="26">
        <f>IF(C102="","",IF(COUNTIF(lst_Jobs,C102&amp;"")&gt;0,"OK","CHECK"))</f>
        <v/>
      </c>
      <c r="E102" s="26">
        <f>IF(C102="","",IFERROR(INDEX(lst_JobName,MATCH(C102&amp;"",lst_Jobs,0)),""))</f>
        <v/>
      </c>
      <c r="F102" s="22" t="n"/>
      <c r="G102" s="22" t="n"/>
      <c r="H102" s="22" t="n"/>
      <c r="I102" s="22" t="n"/>
      <c r="J102" s="22" t="n"/>
      <c r="K102" s="28">
        <f>IF(C102="","",COUNTIFS(tbl_Finance[Job Number],C102&amp;"",tbl_Finance[Ex GST],"&lt;&gt;"))</f>
        <v/>
      </c>
      <c r="L102" s="27">
        <f>IF(C102="","",SUMIFS(tbl_Finance[Ex GST],tbl_Finance[Job Number],C102&amp;""))</f>
        <v/>
      </c>
      <c r="M102" s="27">
        <f>IF(C102="","",SUMIFS(tbl_Finance[Ex GST],tbl_Finance[Job Number],C102&amp;"",tbl_Finance[Xero Invoice No],"&lt;&gt;"))</f>
        <v/>
      </c>
      <c r="N102" s="27">
        <f>IF(C102="","",L102-M102)</f>
        <v/>
      </c>
      <c r="O102" s="24" t="n"/>
      <c r="P102" s="27">
        <f>IF(C102="","",IF(O102="",0,MAX(0,O102-L102)))</f>
        <v/>
      </c>
      <c r="Q102" s="26">
        <f>IF(C102="","",IF(K102=0,"not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R102" s="27">
        <f>IF(C102="","",SUMIFS(tbl_Finance[Inc GST],tbl_Finance[Job Number],C102&amp;""))</f>
        <v/>
      </c>
      <c r="S102" s="22" t="n"/>
      <c r="T102" s="22" t="n"/>
      <c r="U102" s="22" t="n"/>
      <c r="V102" s="23" t="n"/>
      <c r="W102" s="22" t="n"/>
      <c r="X102" s="26">
        <f>IF(W102="","",IF(AND(LEFT(W102,4)&lt;&gt;"http",set_RMSBase=""),"",HYPERLINK(IF(LEFT(W102,4)="http",W102,set_RMSBase&amp;W102),"Open opportunity")))</f>
        <v/>
      </c>
      <c r="Y102" s="22" t="n"/>
      <c r="Z102" s="26">
        <f>IF(Y102="","",HYPERLINK(IF(LEFT(Y102,4)="http",Y102,set_QwilrBase&amp;Y102),"Open quote"))</f>
        <v/>
      </c>
      <c r="AA102" s="26">
        <f>IF(C102="","",C102)</f>
        <v/>
      </c>
      <c r="AB102" s="22" t="n"/>
      <c r="AC102" s="24" t="n"/>
      <c r="AD102" s="27">
        <f>IF(C102="","",L102+N(AC102))</f>
        <v/>
      </c>
      <c r="AE102" s="29">
        <f>IFERROR(AC102/AD102,"")</f>
        <v/>
      </c>
      <c r="AF102" s="24" t="n"/>
      <c r="AG102" s="24" t="n"/>
      <c r="AH102" s="24" t="n"/>
      <c r="AI102" s="24" t="n"/>
      <c r="AJ102" s="27">
        <f>IF(C102="","",SUMIFS(tbl_Finance[Ex GST],tbl_Finance[Job Number],C102&amp;"",tbl_Finance[Cost Centre],"VIDEO"))</f>
        <v/>
      </c>
      <c r="AK102" s="29">
        <f>IFERROR(AJ102/L102,"")</f>
        <v/>
      </c>
      <c r="AL102" s="27">
        <f>IF(C102="","",N(AF102)+N(AG102)+N(AH102)+N(AI102))</f>
        <v/>
      </c>
      <c r="AM102" s="27" t="n"/>
      <c r="AN102" s="29" t="n"/>
      <c r="AO102" s="71" t="n"/>
      <c r="AP102" s="71" t="n"/>
      <c r="AQ102" s="71" t="n"/>
      <c r="AR102" s="71" t="n"/>
      <c r="AS102" s="71" t="n"/>
      <c r="AT102" s="22" t="n"/>
    </row>
    <row r="103" ht="15" customHeight="1">
      <c r="A103" s="70">
        <f>IF(C103="","",IFERROR(IF(SUMPRODUCT(MAX((tbl_Finance[Job Number]&amp;""=C103&amp;"")*(tbl_Finance[Xero Invoice No]&lt;&gt;"")*tbl_Finance[Date]))=0,"",SUMPRODUCT(MAX((tbl_Finance[Job Number]&amp;""=C103&amp;"")*(tbl_Finance[Xero Invoice No]&lt;&gt;"")*tbl_Finance[Date]))),""))</f>
        <v/>
      </c>
      <c r="B103" s="26">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2" t="n"/>
      <c r="D103" s="26">
        <f>IF(C103="","",IF(COUNTIF(lst_Jobs,C103&amp;"")&gt;0,"OK","CHECK"))</f>
        <v/>
      </c>
      <c r="E103" s="26">
        <f>IF(C103="","",IFERROR(INDEX(lst_JobName,MATCH(C103&amp;"",lst_Jobs,0)),""))</f>
        <v/>
      </c>
      <c r="F103" s="22" t="n"/>
      <c r="G103" s="22" t="n"/>
      <c r="H103" s="22" t="n"/>
      <c r="I103" s="22" t="n"/>
      <c r="J103" s="22" t="n"/>
      <c r="K103" s="28">
        <f>IF(C103="","",COUNTIFS(tbl_Finance[Job Number],C103&amp;"",tbl_Finance[Ex GST],"&lt;&gt;"))</f>
        <v/>
      </c>
      <c r="L103" s="27">
        <f>IF(C103="","",SUMIFS(tbl_Finance[Ex GST],tbl_Finance[Job Number],C103&amp;""))</f>
        <v/>
      </c>
      <c r="M103" s="27">
        <f>IF(C103="","",SUMIFS(tbl_Finance[Ex GST],tbl_Finance[Job Number],C103&amp;"",tbl_Finance[Xero Invoice No],"&lt;&gt;"))</f>
        <v/>
      </c>
      <c r="N103" s="27">
        <f>IF(C103="","",L103-M103)</f>
        <v/>
      </c>
      <c r="O103" s="24" t="n"/>
      <c r="P103" s="27">
        <f>IF(C103="","",IF(O103="",0,MAX(0,O103-L103)))</f>
        <v/>
      </c>
      <c r="Q103" s="26">
        <f>IF(C103="","",IF(K103=0,"not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R103" s="27">
        <f>IF(C103="","",SUMIFS(tbl_Finance[Inc GST],tbl_Finance[Job Number],C103&amp;""))</f>
        <v/>
      </c>
      <c r="S103" s="22" t="n"/>
      <c r="T103" s="22" t="n"/>
      <c r="U103" s="22" t="n"/>
      <c r="V103" s="23" t="n"/>
      <c r="W103" s="22" t="n"/>
      <c r="X103" s="26">
        <f>IF(W103="","",IF(AND(LEFT(W103,4)&lt;&gt;"http",set_RMSBase=""),"",HYPERLINK(IF(LEFT(W103,4)="http",W103,set_RMSBase&amp;W103),"Open opportunity")))</f>
        <v/>
      </c>
      <c r="Y103" s="22" t="n"/>
      <c r="Z103" s="26">
        <f>IF(Y103="","",HYPERLINK(IF(LEFT(Y103,4)="http",Y103,set_QwilrBase&amp;Y103),"Open quote"))</f>
        <v/>
      </c>
      <c r="AA103" s="26">
        <f>IF(C103="","",C103)</f>
        <v/>
      </c>
      <c r="AB103" s="22" t="n"/>
      <c r="AC103" s="24" t="n"/>
      <c r="AD103" s="27">
        <f>IF(C103="","",L103+N(AC103))</f>
        <v/>
      </c>
      <c r="AE103" s="29">
        <f>IFERROR(AC103/AD103,"")</f>
        <v/>
      </c>
      <c r="AF103" s="24" t="n"/>
      <c r="AG103" s="24" t="n"/>
      <c r="AH103" s="24" t="n"/>
      <c r="AI103" s="24" t="n"/>
      <c r="AJ103" s="27">
        <f>IF(C103="","",SUMIFS(tbl_Finance[Ex GST],tbl_Finance[Job Number],C103&amp;"",tbl_Finance[Cost Centre],"VIDEO"))</f>
        <v/>
      </c>
      <c r="AK103" s="29">
        <f>IFERROR(AJ103/L103,"")</f>
        <v/>
      </c>
      <c r="AL103" s="27">
        <f>IF(C103="","",N(AF103)+N(AG103)+N(AH103)+N(AI103))</f>
        <v/>
      </c>
      <c r="AM103" s="27" t="n"/>
      <c r="AN103" s="29" t="n"/>
      <c r="AO103" s="71" t="n"/>
      <c r="AP103" s="71" t="n"/>
      <c r="AQ103" s="71" t="n"/>
      <c r="AR103" s="71" t="n"/>
      <c r="AS103" s="71" t="n"/>
      <c r="AT103" s="22" t="n"/>
    </row>
    <row r="104" ht="15" customHeight="1">
      <c r="A104" s="70">
        <f>IF(C104="","",IFERROR(IF(SUMPRODUCT(MAX((tbl_Finance[Job Number]&amp;""=C104&amp;"")*(tbl_Finance[Xero Invoice No]&lt;&gt;"")*tbl_Finance[Date]))=0,"",SUMPRODUCT(MAX((tbl_Finance[Job Number]&amp;""=C104&amp;"")*(tbl_Finance[Xero Invoice No]&lt;&gt;"")*tbl_Finance[Date]))),""))</f>
        <v/>
      </c>
      <c r="B104" s="26">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2" t="n"/>
      <c r="D104" s="26">
        <f>IF(C104="","",IF(COUNTIF(lst_Jobs,C104&amp;"")&gt;0,"OK","CHECK"))</f>
        <v/>
      </c>
      <c r="E104" s="26">
        <f>IF(C104="","",IFERROR(INDEX(lst_JobName,MATCH(C104&amp;"",lst_Jobs,0)),""))</f>
        <v/>
      </c>
      <c r="F104" s="22" t="n"/>
      <c r="G104" s="22" t="n"/>
      <c r="H104" s="22" t="n"/>
      <c r="I104" s="22" t="n"/>
      <c r="J104" s="22" t="n"/>
      <c r="K104" s="28">
        <f>IF(C104="","",COUNTIFS(tbl_Finance[Job Number],C104&amp;"",tbl_Finance[Ex GST],"&lt;&gt;"))</f>
        <v/>
      </c>
      <c r="L104" s="27">
        <f>IF(C104="","",SUMIFS(tbl_Finance[Ex GST],tbl_Finance[Job Number],C104&amp;""))</f>
        <v/>
      </c>
      <c r="M104" s="27">
        <f>IF(C104="","",SUMIFS(tbl_Finance[Ex GST],tbl_Finance[Job Number],C104&amp;"",tbl_Finance[Xero Invoice No],"&lt;&gt;"))</f>
        <v/>
      </c>
      <c r="N104" s="27">
        <f>IF(C104="","",L104-M104)</f>
        <v/>
      </c>
      <c r="O104" s="24" t="n"/>
      <c r="P104" s="27">
        <f>IF(C104="","",IF(O104="",0,MAX(0,O104-L104)))</f>
        <v/>
      </c>
      <c r="Q104" s="26">
        <f>IF(C104="","",IF(K104=0,"not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R104" s="27">
        <f>IF(C104="","",SUMIFS(tbl_Finance[Inc GST],tbl_Finance[Job Number],C104&amp;""))</f>
        <v/>
      </c>
      <c r="S104" s="22" t="n"/>
      <c r="T104" s="22" t="n"/>
      <c r="U104" s="22" t="n"/>
      <c r="V104" s="23" t="n"/>
      <c r="W104" s="22" t="n"/>
      <c r="X104" s="26">
        <f>IF(W104="","",IF(AND(LEFT(W104,4)&lt;&gt;"http",set_RMSBase=""),"",HYPERLINK(IF(LEFT(W104,4)="http",W104,set_RMSBase&amp;W104),"Open opportunity")))</f>
        <v/>
      </c>
      <c r="Y104" s="22" t="n"/>
      <c r="Z104" s="26">
        <f>IF(Y104="","",HYPERLINK(IF(LEFT(Y104,4)="http",Y104,set_QwilrBase&amp;Y104),"Open quote"))</f>
        <v/>
      </c>
      <c r="AA104" s="26">
        <f>IF(C104="","",C104)</f>
        <v/>
      </c>
      <c r="AB104" s="22" t="n"/>
      <c r="AC104" s="24" t="n"/>
      <c r="AD104" s="27">
        <f>IF(C104="","",L104+N(AC104))</f>
        <v/>
      </c>
      <c r="AE104" s="29">
        <f>IFERROR(AC104/AD104,"")</f>
        <v/>
      </c>
      <c r="AF104" s="24" t="n"/>
      <c r="AG104" s="24" t="n"/>
      <c r="AH104" s="24" t="n"/>
      <c r="AI104" s="24" t="n"/>
      <c r="AJ104" s="27">
        <f>IF(C104="","",SUMIFS(tbl_Finance[Ex GST],tbl_Finance[Job Number],C104&amp;"",tbl_Finance[Cost Centre],"VIDEO"))</f>
        <v/>
      </c>
      <c r="AK104" s="29">
        <f>IFERROR(AJ104/L104,"")</f>
        <v/>
      </c>
      <c r="AL104" s="27">
        <f>IF(C104="","",N(AF104)+N(AG104)+N(AH104)+N(AI104))</f>
        <v/>
      </c>
      <c r="AM104" s="27" t="n"/>
      <c r="AN104" s="29" t="n"/>
      <c r="AO104" s="71" t="n"/>
      <c r="AP104" s="71" t="n"/>
      <c r="AQ104" s="71" t="n"/>
      <c r="AR104" s="71" t="n"/>
      <c r="AS104" s="71" t="n"/>
      <c r="AT104" s="22" t="n"/>
    </row>
    <row r="105" ht="15" customHeight="1">
      <c r="A105" s="70">
        <f>IF(C105="","",IFERROR(IF(SUMPRODUCT(MAX((tbl_Finance[Job Number]&amp;""=C105&amp;"")*(tbl_Finance[Xero Invoice No]&lt;&gt;"")*tbl_Finance[Date]))=0,"",SUMPRODUCT(MAX((tbl_Finance[Job Number]&amp;""=C105&amp;"")*(tbl_Finance[Xero Invoice No]&lt;&gt;"")*tbl_Finance[Date]))),""))</f>
        <v/>
      </c>
      <c r="B105" s="26">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2" t="n"/>
      <c r="D105" s="26">
        <f>IF(C105="","",IF(COUNTIF(lst_Jobs,C105&amp;"")&gt;0,"OK","CHECK"))</f>
        <v/>
      </c>
      <c r="E105" s="26">
        <f>IF(C105="","",IFERROR(INDEX(lst_JobName,MATCH(C105&amp;"",lst_Jobs,0)),""))</f>
        <v/>
      </c>
      <c r="F105" s="22" t="n"/>
      <c r="G105" s="22" t="n"/>
      <c r="H105" s="22" t="n"/>
      <c r="I105" s="22" t="n"/>
      <c r="J105" s="22" t="n"/>
      <c r="K105" s="28">
        <f>IF(C105="","",COUNTIFS(tbl_Finance[Job Number],C105&amp;"",tbl_Finance[Ex GST],"&lt;&gt;"))</f>
        <v/>
      </c>
      <c r="L105" s="27">
        <f>IF(C105="","",SUMIFS(tbl_Finance[Ex GST],tbl_Finance[Job Number],C105&amp;""))</f>
        <v/>
      </c>
      <c r="M105" s="27">
        <f>IF(C105="","",SUMIFS(tbl_Finance[Ex GST],tbl_Finance[Job Number],C105&amp;"",tbl_Finance[Xero Invoice No],"&lt;&gt;"))</f>
        <v/>
      </c>
      <c r="N105" s="27">
        <f>IF(C105="","",L105-M105)</f>
        <v/>
      </c>
      <c r="O105" s="24" t="n"/>
      <c r="P105" s="27">
        <f>IF(C105="","",IF(O105="",0,MAX(0,O105-L105)))</f>
        <v/>
      </c>
      <c r="Q105" s="26">
        <f>IF(C105="","",IF(K105=0,"not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R105" s="27">
        <f>IF(C105="","",SUMIFS(tbl_Finance[Inc GST],tbl_Finance[Job Number],C105&amp;""))</f>
        <v/>
      </c>
      <c r="S105" s="22" t="n"/>
      <c r="T105" s="22" t="n"/>
      <c r="U105" s="22" t="n"/>
      <c r="V105" s="23" t="n"/>
      <c r="W105" s="22" t="n"/>
      <c r="X105" s="26">
        <f>IF(W105="","",IF(AND(LEFT(W105,4)&lt;&gt;"http",set_RMSBase=""),"",HYPERLINK(IF(LEFT(W105,4)="http",W105,set_RMSBase&amp;W105),"Open opportunity")))</f>
        <v/>
      </c>
      <c r="Y105" s="22" t="n"/>
      <c r="Z105" s="26">
        <f>IF(Y105="","",HYPERLINK(IF(LEFT(Y105,4)="http",Y105,set_QwilrBase&amp;Y105),"Open quote"))</f>
        <v/>
      </c>
      <c r="AA105" s="26">
        <f>IF(C105="","",C105)</f>
        <v/>
      </c>
      <c r="AB105" s="22" t="n"/>
      <c r="AC105" s="24" t="n"/>
      <c r="AD105" s="27">
        <f>IF(C105="","",L105+N(AC105))</f>
        <v/>
      </c>
      <c r="AE105" s="29">
        <f>IFERROR(AC105/AD105,"")</f>
        <v/>
      </c>
      <c r="AF105" s="24" t="n"/>
      <c r="AG105" s="24" t="n"/>
      <c r="AH105" s="24" t="n"/>
      <c r="AI105" s="24" t="n"/>
      <c r="AJ105" s="27">
        <f>IF(C105="","",SUMIFS(tbl_Finance[Ex GST],tbl_Finance[Job Number],C105&amp;"",tbl_Finance[Cost Centre],"VIDEO"))</f>
        <v/>
      </c>
      <c r="AK105" s="29">
        <f>IFERROR(AJ105/L105,"")</f>
        <v/>
      </c>
      <c r="AL105" s="27">
        <f>IF(C105="","",N(AF105)+N(AG105)+N(AH105)+N(AI105))</f>
        <v/>
      </c>
      <c r="AM105" s="27" t="n"/>
      <c r="AN105" s="29" t="n"/>
      <c r="AO105" s="71" t="n"/>
      <c r="AP105" s="71" t="n"/>
      <c r="AQ105" s="71" t="n"/>
      <c r="AR105" s="71" t="n"/>
      <c r="AS105" s="71" t="n"/>
      <c r="AT105" s="22" t="n"/>
    </row>
    <row r="106" ht="15" customHeight="1">
      <c r="A106" s="70">
        <f>IF(C106="","",IFERROR(IF(SUMPRODUCT(MAX((tbl_Finance[Job Number]&amp;""=C106&amp;"")*(tbl_Finance[Xero Invoice No]&lt;&gt;"")*tbl_Finance[Date]))=0,"",SUMPRODUCT(MAX((tbl_Finance[Job Number]&amp;""=C106&amp;"")*(tbl_Finance[Xero Invoice No]&lt;&gt;"")*tbl_Finance[Date]))),""))</f>
        <v/>
      </c>
      <c r="B106" s="26">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2" t="n"/>
      <c r="D106" s="26">
        <f>IF(C106="","",IF(COUNTIF(lst_Jobs,C106&amp;"")&gt;0,"OK","CHECK"))</f>
        <v/>
      </c>
      <c r="E106" s="26">
        <f>IF(C106="","",IFERROR(INDEX(lst_JobName,MATCH(C106&amp;"",lst_Jobs,0)),""))</f>
        <v/>
      </c>
      <c r="F106" s="22" t="n"/>
      <c r="G106" s="22" t="n"/>
      <c r="H106" s="22" t="n"/>
      <c r="I106" s="22" t="n"/>
      <c r="J106" s="22" t="n"/>
      <c r="K106" s="28">
        <f>IF(C106="","",COUNTIFS(tbl_Finance[Job Number],C106&amp;"",tbl_Finance[Ex GST],"&lt;&gt;"))</f>
        <v/>
      </c>
      <c r="L106" s="27">
        <f>IF(C106="","",SUMIFS(tbl_Finance[Ex GST],tbl_Finance[Job Number],C106&amp;""))</f>
        <v/>
      </c>
      <c r="M106" s="27">
        <f>IF(C106="","",SUMIFS(tbl_Finance[Ex GST],tbl_Finance[Job Number],C106&amp;"",tbl_Finance[Xero Invoice No],"&lt;&gt;"))</f>
        <v/>
      </c>
      <c r="N106" s="27">
        <f>IF(C106="","",L106-M106)</f>
        <v/>
      </c>
      <c r="O106" s="24" t="n"/>
      <c r="P106" s="27">
        <f>IF(C106="","",IF(O106="",0,MAX(0,O106-L106)))</f>
        <v/>
      </c>
      <c r="Q106" s="26">
        <f>IF(C106="","",IF(K106=0,"not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R106" s="27">
        <f>IF(C106="","",SUMIFS(tbl_Finance[Inc GST],tbl_Finance[Job Number],C106&amp;""))</f>
        <v/>
      </c>
      <c r="S106" s="22" t="n"/>
      <c r="T106" s="22" t="n"/>
      <c r="U106" s="22" t="n"/>
      <c r="V106" s="23" t="n"/>
      <c r="W106" s="22" t="n"/>
      <c r="X106" s="26">
        <f>IF(W106="","",IF(AND(LEFT(W106,4)&lt;&gt;"http",set_RMSBase=""),"",HYPERLINK(IF(LEFT(W106,4)="http",W106,set_RMSBase&amp;W106),"Open opportunity")))</f>
        <v/>
      </c>
      <c r="Y106" s="22" t="n"/>
      <c r="Z106" s="26">
        <f>IF(Y106="","",HYPERLINK(IF(LEFT(Y106,4)="http",Y106,set_QwilrBase&amp;Y106),"Open quote"))</f>
        <v/>
      </c>
      <c r="AA106" s="26">
        <f>IF(C106="","",C106)</f>
        <v/>
      </c>
      <c r="AB106" s="22" t="n"/>
      <c r="AC106" s="24" t="n"/>
      <c r="AD106" s="27">
        <f>IF(C106="","",L106+N(AC106))</f>
        <v/>
      </c>
      <c r="AE106" s="29">
        <f>IFERROR(AC106/AD106,"")</f>
        <v/>
      </c>
      <c r="AF106" s="24" t="n"/>
      <c r="AG106" s="24" t="n"/>
      <c r="AH106" s="24" t="n"/>
      <c r="AI106" s="24" t="n"/>
      <c r="AJ106" s="27">
        <f>IF(C106="","",SUMIFS(tbl_Finance[Ex GST],tbl_Finance[Job Number],C106&amp;"",tbl_Finance[Cost Centre],"VIDEO"))</f>
        <v/>
      </c>
      <c r="AK106" s="29">
        <f>IFERROR(AJ106/L106,"")</f>
        <v/>
      </c>
      <c r="AL106" s="27">
        <f>IF(C106="","",N(AF106)+N(AG106)+N(AH106)+N(AI106))</f>
        <v/>
      </c>
      <c r="AM106" s="27" t="n"/>
      <c r="AN106" s="29" t="n"/>
      <c r="AO106" s="71" t="n"/>
      <c r="AP106" s="71" t="n"/>
      <c r="AQ106" s="71" t="n"/>
      <c r="AR106" s="71" t="n"/>
      <c r="AS106" s="71" t="n"/>
      <c r="AT106" s="22" t="n"/>
    </row>
    <row r="107" ht="15" customHeight="1">
      <c r="A107" s="70">
        <f>IF(C107="","",IFERROR(IF(SUMPRODUCT(MAX((tbl_Finance[Job Number]&amp;""=C107&amp;"")*(tbl_Finance[Xero Invoice No]&lt;&gt;"")*tbl_Finance[Date]))=0,"",SUMPRODUCT(MAX((tbl_Finance[Job Number]&amp;""=C107&amp;"")*(tbl_Finance[Xero Invoice No]&lt;&gt;"")*tbl_Finance[Date]))),""))</f>
        <v/>
      </c>
      <c r="B107" s="26">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2" t="n"/>
      <c r="D107" s="26">
        <f>IF(C107="","",IF(COUNTIF(lst_Jobs,C107&amp;"")&gt;0,"OK","CHECK"))</f>
        <v/>
      </c>
      <c r="E107" s="26">
        <f>IF(C107="","",IFERROR(INDEX(lst_JobName,MATCH(C107&amp;"",lst_Jobs,0)),""))</f>
        <v/>
      </c>
      <c r="F107" s="22" t="n"/>
      <c r="G107" s="22" t="n"/>
      <c r="H107" s="22" t="n"/>
      <c r="I107" s="22" t="n"/>
      <c r="J107" s="22" t="n"/>
      <c r="K107" s="28">
        <f>IF(C107="","",COUNTIFS(tbl_Finance[Job Number],C107&amp;"",tbl_Finance[Ex GST],"&lt;&gt;"))</f>
        <v/>
      </c>
      <c r="L107" s="27">
        <f>IF(C107="","",SUMIFS(tbl_Finance[Ex GST],tbl_Finance[Job Number],C107&amp;""))</f>
        <v/>
      </c>
      <c r="M107" s="27">
        <f>IF(C107="","",SUMIFS(tbl_Finance[Ex GST],tbl_Finance[Job Number],C107&amp;"",tbl_Finance[Xero Invoice No],"&lt;&gt;"))</f>
        <v/>
      </c>
      <c r="N107" s="27">
        <f>IF(C107="","",L107-M107)</f>
        <v/>
      </c>
      <c r="O107" s="24" t="n"/>
      <c r="P107" s="27">
        <f>IF(C107="","",IF(O107="",0,MAX(0,O107-L107)))</f>
        <v/>
      </c>
      <c r="Q107" s="26">
        <f>IF(C107="","",IF(K107=0,"not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R107" s="27">
        <f>IF(C107="","",SUMIFS(tbl_Finance[Inc GST],tbl_Finance[Job Number],C107&amp;""))</f>
        <v/>
      </c>
      <c r="S107" s="22" t="n"/>
      <c r="T107" s="22" t="n"/>
      <c r="U107" s="22" t="n"/>
      <c r="V107" s="23" t="n"/>
      <c r="W107" s="22" t="n"/>
      <c r="X107" s="26">
        <f>IF(W107="","",IF(AND(LEFT(W107,4)&lt;&gt;"http",set_RMSBase=""),"",HYPERLINK(IF(LEFT(W107,4)="http",W107,set_RMSBase&amp;W107),"Open opportunity")))</f>
        <v/>
      </c>
      <c r="Y107" s="22" t="n"/>
      <c r="Z107" s="26">
        <f>IF(Y107="","",HYPERLINK(IF(LEFT(Y107,4)="http",Y107,set_QwilrBase&amp;Y107),"Open quote"))</f>
        <v/>
      </c>
      <c r="AA107" s="26">
        <f>IF(C107="","",C107)</f>
        <v/>
      </c>
      <c r="AB107" s="22" t="n"/>
      <c r="AC107" s="24" t="n"/>
      <c r="AD107" s="27">
        <f>IF(C107="","",L107+N(AC107))</f>
        <v/>
      </c>
      <c r="AE107" s="29">
        <f>IFERROR(AC107/AD107,"")</f>
        <v/>
      </c>
      <c r="AF107" s="24" t="n"/>
      <c r="AG107" s="24" t="n"/>
      <c r="AH107" s="24" t="n"/>
      <c r="AI107" s="24" t="n"/>
      <c r="AJ107" s="27">
        <f>IF(C107="","",SUMIFS(tbl_Finance[Ex GST],tbl_Finance[Job Number],C107&amp;"",tbl_Finance[Cost Centre],"VIDEO"))</f>
        <v/>
      </c>
      <c r="AK107" s="29">
        <f>IFERROR(AJ107/L107,"")</f>
        <v/>
      </c>
      <c r="AL107" s="27">
        <f>IF(C107="","",N(AF107)+N(AG107)+N(AH107)+N(AI107))</f>
        <v/>
      </c>
      <c r="AM107" s="27" t="n"/>
      <c r="AN107" s="29" t="n"/>
      <c r="AO107" s="71" t="n"/>
      <c r="AP107" s="71" t="n"/>
      <c r="AQ107" s="71" t="n"/>
      <c r="AR107" s="71" t="n"/>
      <c r="AS107" s="71" t="n"/>
      <c r="AT107" s="22" t="n"/>
    </row>
    <row r="108" ht="15" customHeight="1">
      <c r="A108" s="70">
        <f>IF(C108="","",IFERROR(IF(SUMPRODUCT(MAX((tbl_Finance[Job Number]&amp;""=C108&amp;"")*(tbl_Finance[Xero Invoice No]&lt;&gt;"")*tbl_Finance[Date]))=0,"",SUMPRODUCT(MAX((tbl_Finance[Job Number]&amp;""=C108&amp;"")*(tbl_Finance[Xero Invoice No]&lt;&gt;"")*tbl_Finance[Date]))),""))</f>
        <v/>
      </c>
      <c r="B108" s="26">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2" t="n"/>
      <c r="D108" s="26">
        <f>IF(C108="","",IF(COUNTIF(lst_Jobs,C108&amp;"")&gt;0,"OK","CHECK"))</f>
        <v/>
      </c>
      <c r="E108" s="26">
        <f>IF(C108="","",IFERROR(INDEX(lst_JobName,MATCH(C108&amp;"",lst_Jobs,0)),""))</f>
        <v/>
      </c>
      <c r="F108" s="22" t="n"/>
      <c r="G108" s="22" t="n"/>
      <c r="H108" s="22" t="n"/>
      <c r="I108" s="22" t="n"/>
      <c r="J108" s="22" t="n"/>
      <c r="K108" s="28">
        <f>IF(C108="","",COUNTIFS(tbl_Finance[Job Number],C108&amp;"",tbl_Finance[Ex GST],"&lt;&gt;"))</f>
        <v/>
      </c>
      <c r="L108" s="27">
        <f>IF(C108="","",SUMIFS(tbl_Finance[Ex GST],tbl_Finance[Job Number],C108&amp;""))</f>
        <v/>
      </c>
      <c r="M108" s="27">
        <f>IF(C108="","",SUMIFS(tbl_Finance[Ex GST],tbl_Finance[Job Number],C108&amp;"",tbl_Finance[Xero Invoice No],"&lt;&gt;"))</f>
        <v/>
      </c>
      <c r="N108" s="27">
        <f>IF(C108="","",L108-M108)</f>
        <v/>
      </c>
      <c r="O108" s="24" t="n"/>
      <c r="P108" s="27">
        <f>IF(C108="","",IF(O108="",0,MAX(0,O108-L108)))</f>
        <v/>
      </c>
      <c r="Q108" s="26">
        <f>IF(C108="","",IF(K108=0,"not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R108" s="27">
        <f>IF(C108="","",SUMIFS(tbl_Finance[Inc GST],tbl_Finance[Job Number],C108&amp;""))</f>
        <v/>
      </c>
      <c r="S108" s="22" t="n"/>
      <c r="T108" s="22" t="n"/>
      <c r="U108" s="22" t="n"/>
      <c r="V108" s="23" t="n"/>
      <c r="W108" s="22" t="n"/>
      <c r="X108" s="26">
        <f>IF(W108="","",IF(AND(LEFT(W108,4)&lt;&gt;"http",set_RMSBase=""),"",HYPERLINK(IF(LEFT(W108,4)="http",W108,set_RMSBase&amp;W108),"Open opportunity")))</f>
        <v/>
      </c>
      <c r="Y108" s="22" t="n"/>
      <c r="Z108" s="26">
        <f>IF(Y108="","",HYPERLINK(IF(LEFT(Y108,4)="http",Y108,set_QwilrBase&amp;Y108),"Open quote"))</f>
        <v/>
      </c>
      <c r="AA108" s="26">
        <f>IF(C108="","",C108)</f>
        <v/>
      </c>
      <c r="AB108" s="22" t="n"/>
      <c r="AC108" s="24" t="n"/>
      <c r="AD108" s="27">
        <f>IF(C108="","",L108+N(AC108))</f>
        <v/>
      </c>
      <c r="AE108" s="29">
        <f>IFERROR(AC108/AD108,"")</f>
        <v/>
      </c>
      <c r="AF108" s="24" t="n"/>
      <c r="AG108" s="24" t="n"/>
      <c r="AH108" s="24" t="n"/>
      <c r="AI108" s="24" t="n"/>
      <c r="AJ108" s="27">
        <f>IF(C108="","",SUMIFS(tbl_Finance[Ex GST],tbl_Finance[Job Number],C108&amp;"",tbl_Finance[Cost Centre],"VIDEO"))</f>
        <v/>
      </c>
      <c r="AK108" s="29">
        <f>IFERROR(AJ108/L108,"")</f>
        <v/>
      </c>
      <c r="AL108" s="27">
        <f>IF(C108="","",N(AF108)+N(AG108)+N(AH108)+N(AI108))</f>
        <v/>
      </c>
      <c r="AM108" s="27" t="n"/>
      <c r="AN108" s="29" t="n"/>
      <c r="AO108" s="71" t="n"/>
      <c r="AP108" s="71" t="n"/>
      <c r="AQ108" s="71" t="n"/>
      <c r="AR108" s="71" t="n"/>
      <c r="AS108" s="71" t="n"/>
      <c r="AT108" s="22" t="n"/>
    </row>
    <row r="109" ht="15" customHeight="1">
      <c r="A109" s="70">
        <f>IF(C109="","",IFERROR(IF(SUMPRODUCT(MAX((tbl_Finance[Job Number]&amp;""=C109&amp;"")*(tbl_Finance[Xero Invoice No]&lt;&gt;"")*tbl_Finance[Date]))=0,"",SUMPRODUCT(MAX((tbl_Finance[Job Number]&amp;""=C109&amp;"")*(tbl_Finance[Xero Invoice No]&lt;&gt;"")*tbl_Finance[Date]))),""))</f>
        <v/>
      </c>
      <c r="B109" s="26">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2" t="n"/>
      <c r="D109" s="26">
        <f>IF(C109="","",IF(COUNTIF(lst_Jobs,C109&amp;"")&gt;0,"OK","CHECK"))</f>
        <v/>
      </c>
      <c r="E109" s="26">
        <f>IF(C109="","",IFERROR(INDEX(lst_JobName,MATCH(C109&amp;"",lst_Jobs,0)),""))</f>
        <v/>
      </c>
      <c r="F109" s="22" t="n"/>
      <c r="G109" s="22" t="n"/>
      <c r="H109" s="22" t="n"/>
      <c r="I109" s="22" t="n"/>
      <c r="J109" s="22" t="n"/>
      <c r="K109" s="28">
        <f>IF(C109="","",COUNTIFS(tbl_Finance[Job Number],C109&amp;"",tbl_Finance[Ex GST],"&lt;&gt;"))</f>
        <v/>
      </c>
      <c r="L109" s="27">
        <f>IF(C109="","",SUMIFS(tbl_Finance[Ex GST],tbl_Finance[Job Number],C109&amp;""))</f>
        <v/>
      </c>
      <c r="M109" s="27">
        <f>IF(C109="","",SUMIFS(tbl_Finance[Ex GST],tbl_Finance[Job Number],C109&amp;"",tbl_Finance[Xero Invoice No],"&lt;&gt;"))</f>
        <v/>
      </c>
      <c r="N109" s="27">
        <f>IF(C109="","",L109-M109)</f>
        <v/>
      </c>
      <c r="O109" s="24" t="n"/>
      <c r="P109" s="27">
        <f>IF(C109="","",IF(O109="",0,MAX(0,O109-L109)))</f>
        <v/>
      </c>
      <c r="Q109" s="26">
        <f>IF(C109="","",IF(K109=0,"not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R109" s="27">
        <f>IF(C109="","",SUMIFS(tbl_Finance[Inc GST],tbl_Finance[Job Number],C109&amp;""))</f>
        <v/>
      </c>
      <c r="S109" s="22" t="n"/>
      <c r="T109" s="22" t="n"/>
      <c r="U109" s="22" t="n"/>
      <c r="V109" s="23" t="n"/>
      <c r="W109" s="22" t="n"/>
      <c r="X109" s="26">
        <f>IF(W109="","",IF(AND(LEFT(W109,4)&lt;&gt;"http",set_RMSBase=""),"",HYPERLINK(IF(LEFT(W109,4)="http",W109,set_RMSBase&amp;W109),"Open opportunity")))</f>
        <v/>
      </c>
      <c r="Y109" s="22" t="n"/>
      <c r="Z109" s="26">
        <f>IF(Y109="","",HYPERLINK(IF(LEFT(Y109,4)="http",Y109,set_QwilrBase&amp;Y109),"Open quote"))</f>
        <v/>
      </c>
      <c r="AA109" s="26">
        <f>IF(C109="","",C109)</f>
        <v/>
      </c>
      <c r="AB109" s="22" t="n"/>
      <c r="AC109" s="24" t="n"/>
      <c r="AD109" s="27">
        <f>IF(C109="","",L109+N(AC109))</f>
        <v/>
      </c>
      <c r="AE109" s="29">
        <f>IFERROR(AC109/AD109,"")</f>
        <v/>
      </c>
      <c r="AF109" s="24" t="n"/>
      <c r="AG109" s="24" t="n"/>
      <c r="AH109" s="24" t="n"/>
      <c r="AI109" s="24" t="n"/>
      <c r="AJ109" s="27">
        <f>IF(C109="","",SUMIFS(tbl_Finance[Ex GST],tbl_Finance[Job Number],C109&amp;"",tbl_Finance[Cost Centre],"VIDEO"))</f>
        <v/>
      </c>
      <c r="AK109" s="29">
        <f>IFERROR(AJ109/L109,"")</f>
        <v/>
      </c>
      <c r="AL109" s="27">
        <f>IF(C109="","",N(AF109)+N(AG109)+N(AH109)+N(AI109))</f>
        <v/>
      </c>
      <c r="AM109" s="27" t="n"/>
      <c r="AN109" s="29" t="n"/>
      <c r="AO109" s="71" t="n"/>
      <c r="AP109" s="71" t="n"/>
      <c r="AQ109" s="71" t="n"/>
      <c r="AR109" s="71" t="n"/>
      <c r="AS109" s="71" t="n"/>
      <c r="AT109" s="22" t="n"/>
    </row>
    <row r="110" ht="15" customHeight="1">
      <c r="A110" s="70">
        <f>IF(C110="","",IFERROR(IF(SUMPRODUCT(MAX((tbl_Finance[Job Number]&amp;""=C110&amp;"")*(tbl_Finance[Xero Invoice No]&lt;&gt;"")*tbl_Finance[Date]))=0,"",SUMPRODUCT(MAX((tbl_Finance[Job Number]&amp;""=C110&amp;"")*(tbl_Finance[Xero Invoice No]&lt;&gt;"")*tbl_Finance[Date]))),""))</f>
        <v/>
      </c>
      <c r="B110" s="26">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2" t="n"/>
      <c r="D110" s="26">
        <f>IF(C110="","",IF(COUNTIF(lst_Jobs,C110&amp;"")&gt;0,"OK","CHECK"))</f>
        <v/>
      </c>
      <c r="E110" s="26">
        <f>IF(C110="","",IFERROR(INDEX(lst_JobName,MATCH(C110&amp;"",lst_Jobs,0)),""))</f>
        <v/>
      </c>
      <c r="F110" s="22" t="n"/>
      <c r="G110" s="22" t="n"/>
      <c r="H110" s="22" t="n"/>
      <c r="I110" s="22" t="n"/>
      <c r="J110" s="22" t="n"/>
      <c r="K110" s="28">
        <f>IF(C110="","",COUNTIFS(tbl_Finance[Job Number],C110&amp;"",tbl_Finance[Ex GST],"&lt;&gt;"))</f>
        <v/>
      </c>
      <c r="L110" s="27">
        <f>IF(C110="","",SUMIFS(tbl_Finance[Ex GST],tbl_Finance[Job Number],C110&amp;""))</f>
        <v/>
      </c>
      <c r="M110" s="27">
        <f>IF(C110="","",SUMIFS(tbl_Finance[Ex GST],tbl_Finance[Job Number],C110&amp;"",tbl_Finance[Xero Invoice No],"&lt;&gt;"))</f>
        <v/>
      </c>
      <c r="N110" s="27">
        <f>IF(C110="","",L110-M110)</f>
        <v/>
      </c>
      <c r="O110" s="24" t="n"/>
      <c r="P110" s="27">
        <f>IF(C110="","",IF(O110="",0,MAX(0,O110-L110)))</f>
        <v/>
      </c>
      <c r="Q110" s="26">
        <f>IF(C110="","",IF(K110=0,"not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R110" s="27">
        <f>IF(C110="","",SUMIFS(tbl_Finance[Inc GST],tbl_Finance[Job Number],C110&amp;""))</f>
        <v/>
      </c>
      <c r="S110" s="22" t="n"/>
      <c r="T110" s="22" t="n"/>
      <c r="U110" s="22" t="n"/>
      <c r="V110" s="23" t="n"/>
      <c r="W110" s="22" t="n"/>
      <c r="X110" s="26">
        <f>IF(W110="","",IF(AND(LEFT(W110,4)&lt;&gt;"http",set_RMSBase=""),"",HYPERLINK(IF(LEFT(W110,4)="http",W110,set_RMSBase&amp;W110),"Open opportunity")))</f>
        <v/>
      </c>
      <c r="Y110" s="22" t="n"/>
      <c r="Z110" s="26">
        <f>IF(Y110="","",HYPERLINK(IF(LEFT(Y110,4)="http",Y110,set_QwilrBase&amp;Y110),"Open quote"))</f>
        <v/>
      </c>
      <c r="AA110" s="26">
        <f>IF(C110="","",C110)</f>
        <v/>
      </c>
      <c r="AB110" s="22" t="n"/>
      <c r="AC110" s="24" t="n"/>
      <c r="AD110" s="27">
        <f>IF(C110="","",L110+N(AC110))</f>
        <v/>
      </c>
      <c r="AE110" s="29">
        <f>IFERROR(AC110/AD110,"")</f>
        <v/>
      </c>
      <c r="AF110" s="24" t="n"/>
      <c r="AG110" s="24" t="n"/>
      <c r="AH110" s="24" t="n"/>
      <c r="AI110" s="24" t="n"/>
      <c r="AJ110" s="27">
        <f>IF(C110="","",SUMIFS(tbl_Finance[Ex GST],tbl_Finance[Job Number],C110&amp;"",tbl_Finance[Cost Centre],"VIDEO"))</f>
        <v/>
      </c>
      <c r="AK110" s="29">
        <f>IFERROR(AJ110/L110,"")</f>
        <v/>
      </c>
      <c r="AL110" s="27">
        <f>IF(C110="","",N(AF110)+N(AG110)+N(AH110)+N(AI110))</f>
        <v/>
      </c>
      <c r="AM110" s="27" t="n"/>
      <c r="AN110" s="29" t="n"/>
      <c r="AO110" s="71" t="n"/>
      <c r="AP110" s="71" t="n"/>
      <c r="AQ110" s="71" t="n"/>
      <c r="AR110" s="71" t="n"/>
      <c r="AS110" s="71" t="n"/>
      <c r="AT110" s="22" t="n"/>
    </row>
    <row r="111" ht="15" customHeight="1">
      <c r="A111" s="70">
        <f>IF(C111="","",IFERROR(IF(SUMPRODUCT(MAX((tbl_Finance[Job Number]&amp;""=C111&amp;"")*(tbl_Finance[Xero Invoice No]&lt;&gt;"")*tbl_Finance[Date]))=0,"",SUMPRODUCT(MAX((tbl_Finance[Job Number]&amp;""=C111&amp;"")*(tbl_Finance[Xero Invoice No]&lt;&gt;"")*tbl_Finance[Date]))),""))</f>
        <v/>
      </c>
      <c r="B111" s="26">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2" t="n"/>
      <c r="D111" s="26">
        <f>IF(C111="","",IF(COUNTIF(lst_Jobs,C111&amp;"")&gt;0,"OK","CHECK"))</f>
        <v/>
      </c>
      <c r="E111" s="26">
        <f>IF(C111="","",IFERROR(INDEX(lst_JobName,MATCH(C111&amp;"",lst_Jobs,0)),""))</f>
        <v/>
      </c>
      <c r="F111" s="22" t="n"/>
      <c r="G111" s="22" t="n"/>
      <c r="H111" s="22" t="n"/>
      <c r="I111" s="22" t="n"/>
      <c r="J111" s="22" t="n"/>
      <c r="K111" s="28">
        <f>IF(C111="","",COUNTIFS(tbl_Finance[Job Number],C111&amp;"",tbl_Finance[Ex GST],"&lt;&gt;"))</f>
        <v/>
      </c>
      <c r="L111" s="27">
        <f>IF(C111="","",SUMIFS(tbl_Finance[Ex GST],tbl_Finance[Job Number],C111&amp;""))</f>
        <v/>
      </c>
      <c r="M111" s="27">
        <f>IF(C111="","",SUMIFS(tbl_Finance[Ex GST],tbl_Finance[Job Number],C111&amp;"",tbl_Finance[Xero Invoice No],"&lt;&gt;"))</f>
        <v/>
      </c>
      <c r="N111" s="27">
        <f>IF(C111="","",L111-M111)</f>
        <v/>
      </c>
      <c r="O111" s="24" t="n"/>
      <c r="P111" s="27">
        <f>IF(C111="","",IF(O111="",0,MAX(0,O111-L111)))</f>
        <v/>
      </c>
      <c r="Q111" s="26">
        <f>IF(C111="","",IF(K111=0,"not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R111" s="27">
        <f>IF(C111="","",SUMIFS(tbl_Finance[Inc GST],tbl_Finance[Job Number],C111&amp;""))</f>
        <v/>
      </c>
      <c r="S111" s="22" t="n"/>
      <c r="T111" s="22" t="n"/>
      <c r="U111" s="22" t="n"/>
      <c r="V111" s="23" t="n"/>
      <c r="W111" s="22" t="n"/>
      <c r="X111" s="26">
        <f>IF(W111="","",IF(AND(LEFT(W111,4)&lt;&gt;"http",set_RMSBase=""),"",HYPERLINK(IF(LEFT(W111,4)="http",W111,set_RMSBase&amp;W111),"Open opportunity")))</f>
        <v/>
      </c>
      <c r="Y111" s="22" t="n"/>
      <c r="Z111" s="26">
        <f>IF(Y111="","",HYPERLINK(IF(LEFT(Y111,4)="http",Y111,set_QwilrBase&amp;Y111),"Open quote"))</f>
        <v/>
      </c>
      <c r="AA111" s="26">
        <f>IF(C111="","",C111)</f>
        <v/>
      </c>
      <c r="AB111" s="22" t="n"/>
      <c r="AC111" s="24" t="n"/>
      <c r="AD111" s="27">
        <f>IF(C111="","",L111+N(AC111))</f>
        <v/>
      </c>
      <c r="AE111" s="29">
        <f>IFERROR(AC111/AD111,"")</f>
        <v/>
      </c>
      <c r="AF111" s="24" t="n"/>
      <c r="AG111" s="24" t="n"/>
      <c r="AH111" s="24" t="n"/>
      <c r="AI111" s="24" t="n"/>
      <c r="AJ111" s="27">
        <f>IF(C111="","",SUMIFS(tbl_Finance[Ex GST],tbl_Finance[Job Number],C111&amp;"",tbl_Finance[Cost Centre],"VIDEO"))</f>
        <v/>
      </c>
      <c r="AK111" s="29">
        <f>IFERROR(AJ111/L111,"")</f>
        <v/>
      </c>
      <c r="AL111" s="27">
        <f>IF(C111="","",N(AF111)+N(AG111)+N(AH111)+N(AI111))</f>
        <v/>
      </c>
      <c r="AM111" s="27" t="n"/>
      <c r="AN111" s="29" t="n"/>
      <c r="AO111" s="71" t="n"/>
      <c r="AP111" s="71" t="n"/>
      <c r="AQ111" s="71" t="n"/>
      <c r="AR111" s="71" t="n"/>
      <c r="AS111" s="71" t="n"/>
      <c r="AT111" s="22" t="n"/>
    </row>
    <row r="112" ht="15" customHeight="1">
      <c r="A112" s="70">
        <f>IF(C112="","",IFERROR(IF(SUMPRODUCT(MAX((tbl_Finance[Job Number]&amp;""=C112&amp;"")*(tbl_Finance[Xero Invoice No]&lt;&gt;"")*tbl_Finance[Date]))=0,"",SUMPRODUCT(MAX((tbl_Finance[Job Number]&amp;""=C112&amp;"")*(tbl_Finance[Xero Invoice No]&lt;&gt;"")*tbl_Finance[Date]))),""))</f>
        <v/>
      </c>
      <c r="B112" s="26">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2" t="n"/>
      <c r="D112" s="26">
        <f>IF(C112="","",IF(COUNTIF(lst_Jobs,C112&amp;"")&gt;0,"OK","CHECK"))</f>
        <v/>
      </c>
      <c r="E112" s="26">
        <f>IF(C112="","",IFERROR(INDEX(lst_JobName,MATCH(C112&amp;"",lst_Jobs,0)),""))</f>
        <v/>
      </c>
      <c r="F112" s="22" t="n"/>
      <c r="G112" s="22" t="n"/>
      <c r="H112" s="22" t="n"/>
      <c r="I112" s="22" t="n"/>
      <c r="J112" s="22" t="n"/>
      <c r="K112" s="28">
        <f>IF(C112="","",COUNTIFS(tbl_Finance[Job Number],C112&amp;"",tbl_Finance[Ex GST],"&lt;&gt;"))</f>
        <v/>
      </c>
      <c r="L112" s="27">
        <f>IF(C112="","",SUMIFS(tbl_Finance[Ex GST],tbl_Finance[Job Number],C112&amp;""))</f>
        <v/>
      </c>
      <c r="M112" s="27">
        <f>IF(C112="","",SUMIFS(tbl_Finance[Ex GST],tbl_Finance[Job Number],C112&amp;"",tbl_Finance[Xero Invoice No],"&lt;&gt;"))</f>
        <v/>
      </c>
      <c r="N112" s="27">
        <f>IF(C112="","",L112-M112)</f>
        <v/>
      </c>
      <c r="O112" s="24" t="n"/>
      <c r="P112" s="27">
        <f>IF(C112="","",IF(O112="",0,MAX(0,O112-L112)))</f>
        <v/>
      </c>
      <c r="Q112" s="26">
        <f>IF(C112="","",IF(K112=0,"not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R112" s="27">
        <f>IF(C112="","",SUMIFS(tbl_Finance[Inc GST],tbl_Finance[Job Number],C112&amp;""))</f>
        <v/>
      </c>
      <c r="S112" s="22" t="n"/>
      <c r="T112" s="22" t="n"/>
      <c r="U112" s="22" t="n"/>
      <c r="V112" s="23" t="n"/>
      <c r="W112" s="22" t="n"/>
      <c r="X112" s="26">
        <f>IF(W112="","",IF(AND(LEFT(W112,4)&lt;&gt;"http",set_RMSBase=""),"",HYPERLINK(IF(LEFT(W112,4)="http",W112,set_RMSBase&amp;W112),"Open opportunity")))</f>
        <v/>
      </c>
      <c r="Y112" s="22" t="n"/>
      <c r="Z112" s="26">
        <f>IF(Y112="","",HYPERLINK(IF(LEFT(Y112,4)="http",Y112,set_QwilrBase&amp;Y112),"Open quote"))</f>
        <v/>
      </c>
      <c r="AA112" s="26">
        <f>IF(C112="","",C112)</f>
        <v/>
      </c>
      <c r="AB112" s="22" t="n"/>
      <c r="AC112" s="24" t="n"/>
      <c r="AD112" s="27">
        <f>IF(C112="","",L112+N(AC112))</f>
        <v/>
      </c>
      <c r="AE112" s="29">
        <f>IFERROR(AC112/AD112,"")</f>
        <v/>
      </c>
      <c r="AF112" s="24" t="n"/>
      <c r="AG112" s="24" t="n"/>
      <c r="AH112" s="24" t="n"/>
      <c r="AI112" s="24" t="n"/>
      <c r="AJ112" s="27">
        <f>IF(C112="","",SUMIFS(tbl_Finance[Ex GST],tbl_Finance[Job Number],C112&amp;"",tbl_Finance[Cost Centre],"VIDEO"))</f>
        <v/>
      </c>
      <c r="AK112" s="29">
        <f>IFERROR(AJ112/L112,"")</f>
        <v/>
      </c>
      <c r="AL112" s="27">
        <f>IF(C112="","",N(AF112)+N(AG112)+N(AH112)+N(AI112))</f>
        <v/>
      </c>
      <c r="AM112" s="27" t="n"/>
      <c r="AN112" s="29" t="n"/>
      <c r="AO112" s="71" t="n"/>
      <c r="AP112" s="71" t="n"/>
      <c r="AQ112" s="71" t="n"/>
      <c r="AR112" s="71" t="n"/>
      <c r="AS112" s="71" t="n"/>
      <c r="AT112" s="22" t="n"/>
    </row>
    <row r="113" ht="15" customHeight="1">
      <c r="A113" s="70">
        <f>IF(C113="","",IFERROR(IF(SUMPRODUCT(MAX((tbl_Finance[Job Number]&amp;""=C113&amp;"")*(tbl_Finance[Xero Invoice No]&lt;&gt;"")*tbl_Finance[Date]))=0,"",SUMPRODUCT(MAX((tbl_Finance[Job Number]&amp;""=C113&amp;"")*(tbl_Finance[Xero Invoice No]&lt;&gt;"")*tbl_Finance[Date]))),""))</f>
        <v/>
      </c>
      <c r="B113" s="26">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2" t="n"/>
      <c r="D113" s="26">
        <f>IF(C113="","",IF(COUNTIF(lst_Jobs,C113&amp;"")&gt;0,"OK","CHECK"))</f>
        <v/>
      </c>
      <c r="E113" s="26">
        <f>IF(C113="","",IFERROR(INDEX(lst_JobName,MATCH(C113&amp;"",lst_Jobs,0)),""))</f>
        <v/>
      </c>
      <c r="F113" s="22" t="n"/>
      <c r="G113" s="22" t="n"/>
      <c r="H113" s="22" t="n"/>
      <c r="I113" s="22" t="n"/>
      <c r="J113" s="22" t="n"/>
      <c r="K113" s="28">
        <f>IF(C113="","",COUNTIFS(tbl_Finance[Job Number],C113&amp;"",tbl_Finance[Ex GST],"&lt;&gt;"))</f>
        <v/>
      </c>
      <c r="L113" s="27">
        <f>IF(C113="","",SUMIFS(tbl_Finance[Ex GST],tbl_Finance[Job Number],C113&amp;""))</f>
        <v/>
      </c>
      <c r="M113" s="27">
        <f>IF(C113="","",SUMIFS(tbl_Finance[Ex GST],tbl_Finance[Job Number],C113&amp;"",tbl_Finance[Xero Invoice No],"&lt;&gt;"))</f>
        <v/>
      </c>
      <c r="N113" s="27">
        <f>IF(C113="","",L113-M113)</f>
        <v/>
      </c>
      <c r="O113" s="24" t="n"/>
      <c r="P113" s="27">
        <f>IF(C113="","",IF(O113="",0,MAX(0,O113-L113)))</f>
        <v/>
      </c>
      <c r="Q113" s="26">
        <f>IF(C113="","",IF(K113=0,"not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R113" s="27">
        <f>IF(C113="","",SUMIFS(tbl_Finance[Inc GST],tbl_Finance[Job Number],C113&amp;""))</f>
        <v/>
      </c>
      <c r="S113" s="22" t="n"/>
      <c r="T113" s="22" t="n"/>
      <c r="U113" s="22" t="n"/>
      <c r="V113" s="23" t="n"/>
      <c r="W113" s="22" t="n"/>
      <c r="X113" s="26">
        <f>IF(W113="","",IF(AND(LEFT(W113,4)&lt;&gt;"http",set_RMSBase=""),"",HYPERLINK(IF(LEFT(W113,4)="http",W113,set_RMSBase&amp;W113),"Open opportunity")))</f>
        <v/>
      </c>
      <c r="Y113" s="22" t="n"/>
      <c r="Z113" s="26">
        <f>IF(Y113="","",HYPERLINK(IF(LEFT(Y113,4)="http",Y113,set_QwilrBase&amp;Y113),"Open quote"))</f>
        <v/>
      </c>
      <c r="AA113" s="26">
        <f>IF(C113="","",C113)</f>
        <v/>
      </c>
      <c r="AB113" s="22" t="n"/>
      <c r="AC113" s="24" t="n"/>
      <c r="AD113" s="27">
        <f>IF(C113="","",L113+N(AC113))</f>
        <v/>
      </c>
      <c r="AE113" s="29">
        <f>IFERROR(AC113/AD113,"")</f>
        <v/>
      </c>
      <c r="AF113" s="24" t="n"/>
      <c r="AG113" s="24" t="n"/>
      <c r="AH113" s="24" t="n"/>
      <c r="AI113" s="24" t="n"/>
      <c r="AJ113" s="27">
        <f>IF(C113="","",SUMIFS(tbl_Finance[Ex GST],tbl_Finance[Job Number],C113&amp;"",tbl_Finance[Cost Centre],"VIDEO"))</f>
        <v/>
      </c>
      <c r="AK113" s="29">
        <f>IFERROR(AJ113/L113,"")</f>
        <v/>
      </c>
      <c r="AL113" s="27">
        <f>IF(C113="","",N(AF113)+N(AG113)+N(AH113)+N(AI113))</f>
        <v/>
      </c>
      <c r="AM113" s="27" t="n"/>
      <c r="AN113" s="29" t="n"/>
      <c r="AO113" s="71" t="n"/>
      <c r="AP113" s="71" t="n"/>
      <c r="AQ113" s="71" t="n"/>
      <c r="AR113" s="71" t="n"/>
      <c r="AS113" s="71" t="n"/>
      <c r="AT113" s="22" t="n"/>
    </row>
    <row r="114" ht="15" customHeight="1">
      <c r="A114" s="70">
        <f>IF(C114="","",IFERROR(IF(SUMPRODUCT(MAX((tbl_Finance[Job Number]&amp;""=C114&amp;"")*(tbl_Finance[Xero Invoice No]&lt;&gt;"")*tbl_Finance[Date]))=0,"",SUMPRODUCT(MAX((tbl_Finance[Job Number]&amp;""=C114&amp;"")*(tbl_Finance[Xero Invoice No]&lt;&gt;"")*tbl_Finance[Date]))),""))</f>
        <v/>
      </c>
      <c r="B114" s="26">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2" t="n"/>
      <c r="D114" s="26">
        <f>IF(C114="","",IF(COUNTIF(lst_Jobs,C114&amp;"")&gt;0,"OK","CHECK"))</f>
        <v/>
      </c>
      <c r="E114" s="26">
        <f>IF(C114="","",IFERROR(INDEX(lst_JobName,MATCH(C114&amp;"",lst_Jobs,0)),""))</f>
        <v/>
      </c>
      <c r="F114" s="22" t="n"/>
      <c r="G114" s="22" t="n"/>
      <c r="H114" s="22" t="n"/>
      <c r="I114" s="22" t="n"/>
      <c r="J114" s="22" t="n"/>
      <c r="K114" s="28">
        <f>IF(C114="","",COUNTIFS(tbl_Finance[Job Number],C114&amp;"",tbl_Finance[Ex GST],"&lt;&gt;"))</f>
        <v/>
      </c>
      <c r="L114" s="27">
        <f>IF(C114="","",SUMIFS(tbl_Finance[Ex GST],tbl_Finance[Job Number],C114&amp;""))</f>
        <v/>
      </c>
      <c r="M114" s="27">
        <f>IF(C114="","",SUMIFS(tbl_Finance[Ex GST],tbl_Finance[Job Number],C114&amp;"",tbl_Finance[Xero Invoice No],"&lt;&gt;"))</f>
        <v/>
      </c>
      <c r="N114" s="27">
        <f>IF(C114="","",L114-M114)</f>
        <v/>
      </c>
      <c r="O114" s="24" t="n"/>
      <c r="P114" s="27">
        <f>IF(C114="","",IF(O114="",0,MAX(0,O114-L114)))</f>
        <v/>
      </c>
      <c r="Q114" s="26">
        <f>IF(C114="","",IF(K114=0,"not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R114" s="27">
        <f>IF(C114="","",SUMIFS(tbl_Finance[Inc GST],tbl_Finance[Job Number],C114&amp;""))</f>
        <v/>
      </c>
      <c r="S114" s="22" t="n"/>
      <c r="T114" s="22" t="n"/>
      <c r="U114" s="22" t="n"/>
      <c r="V114" s="23" t="n"/>
      <c r="W114" s="22" t="n"/>
      <c r="X114" s="26">
        <f>IF(W114="","",IF(AND(LEFT(W114,4)&lt;&gt;"http",set_RMSBase=""),"",HYPERLINK(IF(LEFT(W114,4)="http",W114,set_RMSBase&amp;W114),"Open opportunity")))</f>
        <v/>
      </c>
      <c r="Y114" s="22" t="n"/>
      <c r="Z114" s="26">
        <f>IF(Y114="","",HYPERLINK(IF(LEFT(Y114,4)="http",Y114,set_QwilrBase&amp;Y114),"Open quote"))</f>
        <v/>
      </c>
      <c r="AA114" s="26">
        <f>IF(C114="","",C114)</f>
        <v/>
      </c>
      <c r="AB114" s="22" t="n"/>
      <c r="AC114" s="24" t="n"/>
      <c r="AD114" s="27">
        <f>IF(C114="","",L114+N(AC114))</f>
        <v/>
      </c>
      <c r="AE114" s="29">
        <f>IFERROR(AC114/AD114,"")</f>
        <v/>
      </c>
      <c r="AF114" s="24" t="n"/>
      <c r="AG114" s="24" t="n"/>
      <c r="AH114" s="24" t="n"/>
      <c r="AI114" s="24" t="n"/>
      <c r="AJ114" s="27">
        <f>IF(C114="","",SUMIFS(tbl_Finance[Ex GST],tbl_Finance[Job Number],C114&amp;"",tbl_Finance[Cost Centre],"VIDEO"))</f>
        <v/>
      </c>
      <c r="AK114" s="29">
        <f>IFERROR(AJ114/L114,"")</f>
        <v/>
      </c>
      <c r="AL114" s="27">
        <f>IF(C114="","",N(AF114)+N(AG114)+N(AH114)+N(AI114))</f>
        <v/>
      </c>
      <c r="AM114" s="27" t="n"/>
      <c r="AN114" s="29" t="n"/>
      <c r="AO114" s="71" t="n"/>
      <c r="AP114" s="71" t="n"/>
      <c r="AQ114" s="71" t="n"/>
      <c r="AR114" s="71" t="n"/>
      <c r="AS114" s="71" t="n"/>
      <c r="AT114" s="22" t="n"/>
    </row>
    <row r="115" ht="15" customHeight="1">
      <c r="A115" s="70">
        <f>IF(C115="","",IFERROR(IF(SUMPRODUCT(MAX((tbl_Finance[Job Number]&amp;""=C115&amp;"")*(tbl_Finance[Xero Invoice No]&lt;&gt;"")*tbl_Finance[Date]))=0,"",SUMPRODUCT(MAX((tbl_Finance[Job Number]&amp;""=C115&amp;"")*(tbl_Finance[Xero Invoice No]&lt;&gt;"")*tbl_Finance[Date]))),""))</f>
        <v/>
      </c>
      <c r="B115" s="26">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2" t="n"/>
      <c r="D115" s="26">
        <f>IF(C115="","",IF(COUNTIF(lst_Jobs,C115&amp;"")&gt;0,"OK","CHECK"))</f>
        <v/>
      </c>
      <c r="E115" s="26">
        <f>IF(C115="","",IFERROR(INDEX(lst_JobName,MATCH(C115&amp;"",lst_Jobs,0)),""))</f>
        <v/>
      </c>
      <c r="F115" s="22" t="n"/>
      <c r="G115" s="22" t="n"/>
      <c r="H115" s="22" t="n"/>
      <c r="I115" s="22" t="n"/>
      <c r="J115" s="22" t="n"/>
      <c r="K115" s="28">
        <f>IF(C115="","",COUNTIFS(tbl_Finance[Job Number],C115&amp;"",tbl_Finance[Ex GST],"&lt;&gt;"))</f>
        <v/>
      </c>
      <c r="L115" s="27">
        <f>IF(C115="","",SUMIFS(tbl_Finance[Ex GST],tbl_Finance[Job Number],C115&amp;""))</f>
        <v/>
      </c>
      <c r="M115" s="27">
        <f>IF(C115="","",SUMIFS(tbl_Finance[Ex GST],tbl_Finance[Job Number],C115&amp;"",tbl_Finance[Xero Invoice No],"&lt;&gt;"))</f>
        <v/>
      </c>
      <c r="N115" s="27">
        <f>IF(C115="","",L115-M115)</f>
        <v/>
      </c>
      <c r="O115" s="24" t="n"/>
      <c r="P115" s="27">
        <f>IF(C115="","",IF(O115="",0,MAX(0,O115-L115)))</f>
        <v/>
      </c>
      <c r="Q115" s="26">
        <f>IF(C115="","",IF(K115=0,"not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R115" s="27">
        <f>IF(C115="","",SUMIFS(tbl_Finance[Inc GST],tbl_Finance[Job Number],C115&amp;""))</f>
        <v/>
      </c>
      <c r="S115" s="22" t="n"/>
      <c r="T115" s="22" t="n"/>
      <c r="U115" s="22" t="n"/>
      <c r="V115" s="23" t="n"/>
      <c r="W115" s="22" t="n"/>
      <c r="X115" s="26">
        <f>IF(W115="","",IF(AND(LEFT(W115,4)&lt;&gt;"http",set_RMSBase=""),"",HYPERLINK(IF(LEFT(W115,4)="http",W115,set_RMSBase&amp;W115),"Open opportunity")))</f>
        <v/>
      </c>
      <c r="Y115" s="22" t="n"/>
      <c r="Z115" s="26">
        <f>IF(Y115="","",HYPERLINK(IF(LEFT(Y115,4)="http",Y115,set_QwilrBase&amp;Y115),"Open quote"))</f>
        <v/>
      </c>
      <c r="AA115" s="26">
        <f>IF(C115="","",C115)</f>
        <v/>
      </c>
      <c r="AB115" s="22" t="n"/>
      <c r="AC115" s="24" t="n"/>
      <c r="AD115" s="27">
        <f>IF(C115="","",L115+N(AC115))</f>
        <v/>
      </c>
      <c r="AE115" s="29">
        <f>IFERROR(AC115/AD115,"")</f>
        <v/>
      </c>
      <c r="AF115" s="24" t="n"/>
      <c r="AG115" s="24" t="n"/>
      <c r="AH115" s="24" t="n"/>
      <c r="AI115" s="24" t="n"/>
      <c r="AJ115" s="27">
        <f>IF(C115="","",SUMIFS(tbl_Finance[Ex GST],tbl_Finance[Job Number],C115&amp;"",tbl_Finance[Cost Centre],"VIDEO"))</f>
        <v/>
      </c>
      <c r="AK115" s="29">
        <f>IFERROR(AJ115/L115,"")</f>
        <v/>
      </c>
      <c r="AL115" s="27">
        <f>IF(C115="","",N(AF115)+N(AG115)+N(AH115)+N(AI115))</f>
        <v/>
      </c>
      <c r="AM115" s="27" t="n"/>
      <c r="AN115" s="29" t="n"/>
      <c r="AO115" s="71" t="n"/>
      <c r="AP115" s="71" t="n"/>
      <c r="AQ115" s="71" t="n"/>
      <c r="AR115" s="71" t="n"/>
      <c r="AS115" s="71" t="n"/>
      <c r="AT115" s="22" t="n"/>
    </row>
    <row r="116" ht="15" customHeight="1">
      <c r="A116" s="70">
        <f>IF(C116="","",IFERROR(IF(SUMPRODUCT(MAX((tbl_Finance[Job Number]&amp;""=C116&amp;"")*(tbl_Finance[Xero Invoice No]&lt;&gt;"")*tbl_Finance[Date]))=0,"",SUMPRODUCT(MAX((tbl_Finance[Job Number]&amp;""=C116&amp;"")*(tbl_Finance[Xero Invoice No]&lt;&gt;"")*tbl_Finance[Date]))),""))</f>
        <v/>
      </c>
      <c r="B116" s="26">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2" t="n"/>
      <c r="D116" s="26">
        <f>IF(C116="","",IF(COUNTIF(lst_Jobs,C116&amp;"")&gt;0,"OK","CHECK"))</f>
        <v/>
      </c>
      <c r="E116" s="26">
        <f>IF(C116="","",IFERROR(INDEX(lst_JobName,MATCH(C116&amp;"",lst_Jobs,0)),""))</f>
        <v/>
      </c>
      <c r="F116" s="22" t="n"/>
      <c r="G116" s="22" t="n"/>
      <c r="H116" s="22" t="n"/>
      <c r="I116" s="22" t="n"/>
      <c r="J116" s="22" t="n"/>
      <c r="K116" s="28">
        <f>IF(C116="","",COUNTIFS(tbl_Finance[Job Number],C116&amp;"",tbl_Finance[Ex GST],"&lt;&gt;"))</f>
        <v/>
      </c>
      <c r="L116" s="27">
        <f>IF(C116="","",SUMIFS(tbl_Finance[Ex GST],tbl_Finance[Job Number],C116&amp;""))</f>
        <v/>
      </c>
      <c r="M116" s="27">
        <f>IF(C116="","",SUMIFS(tbl_Finance[Ex GST],tbl_Finance[Job Number],C116&amp;"",tbl_Finance[Xero Invoice No],"&lt;&gt;"))</f>
        <v/>
      </c>
      <c r="N116" s="27">
        <f>IF(C116="","",L116-M116)</f>
        <v/>
      </c>
      <c r="O116" s="24" t="n"/>
      <c r="P116" s="27">
        <f>IF(C116="","",IF(O116="",0,MAX(0,O116-L116)))</f>
        <v/>
      </c>
      <c r="Q116" s="26">
        <f>IF(C116="","",IF(K116=0,"not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R116" s="27">
        <f>IF(C116="","",SUMIFS(tbl_Finance[Inc GST],tbl_Finance[Job Number],C116&amp;""))</f>
        <v/>
      </c>
      <c r="S116" s="22" t="n"/>
      <c r="T116" s="22" t="n"/>
      <c r="U116" s="22" t="n"/>
      <c r="V116" s="23" t="n"/>
      <c r="W116" s="22" t="n"/>
      <c r="X116" s="26">
        <f>IF(W116="","",IF(AND(LEFT(W116,4)&lt;&gt;"http",set_RMSBase=""),"",HYPERLINK(IF(LEFT(W116,4)="http",W116,set_RMSBase&amp;W116),"Open opportunity")))</f>
        <v/>
      </c>
      <c r="Y116" s="22" t="n"/>
      <c r="Z116" s="26">
        <f>IF(Y116="","",HYPERLINK(IF(LEFT(Y116,4)="http",Y116,set_QwilrBase&amp;Y116),"Open quote"))</f>
        <v/>
      </c>
      <c r="AA116" s="26">
        <f>IF(C116="","",C116)</f>
        <v/>
      </c>
      <c r="AB116" s="22" t="n"/>
      <c r="AC116" s="24" t="n"/>
      <c r="AD116" s="27">
        <f>IF(C116="","",L116+N(AC116))</f>
        <v/>
      </c>
      <c r="AE116" s="29">
        <f>IFERROR(AC116/AD116,"")</f>
        <v/>
      </c>
      <c r="AF116" s="24" t="n"/>
      <c r="AG116" s="24" t="n"/>
      <c r="AH116" s="24" t="n"/>
      <c r="AI116" s="24" t="n"/>
      <c r="AJ116" s="27">
        <f>IF(C116="","",SUMIFS(tbl_Finance[Ex GST],tbl_Finance[Job Number],C116&amp;"",tbl_Finance[Cost Centre],"VIDEO"))</f>
        <v/>
      </c>
      <c r="AK116" s="29">
        <f>IFERROR(AJ116/L116,"")</f>
        <v/>
      </c>
      <c r="AL116" s="27">
        <f>IF(C116="","",N(AF116)+N(AG116)+N(AH116)+N(AI116))</f>
        <v/>
      </c>
      <c r="AM116" s="27" t="n"/>
      <c r="AN116" s="29" t="n"/>
      <c r="AO116" s="71" t="n"/>
      <c r="AP116" s="71" t="n"/>
      <c r="AQ116" s="71" t="n"/>
      <c r="AR116" s="71" t="n"/>
      <c r="AS116" s="71" t="n"/>
      <c r="AT116" s="22" t="n"/>
    </row>
    <row r="117" ht="15" customHeight="1">
      <c r="A117" s="70">
        <f>IF(C117="","",IFERROR(IF(SUMPRODUCT(MAX((tbl_Finance[Job Number]&amp;""=C117&amp;"")*(tbl_Finance[Xero Invoice No]&lt;&gt;"")*tbl_Finance[Date]))=0,"",SUMPRODUCT(MAX((tbl_Finance[Job Number]&amp;""=C117&amp;"")*(tbl_Finance[Xero Invoice No]&lt;&gt;"")*tbl_Finance[Date]))),""))</f>
        <v/>
      </c>
      <c r="B117" s="26">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2" t="n"/>
      <c r="D117" s="26">
        <f>IF(C117="","",IF(COUNTIF(lst_Jobs,C117&amp;"")&gt;0,"OK","CHECK"))</f>
        <v/>
      </c>
      <c r="E117" s="26">
        <f>IF(C117="","",IFERROR(INDEX(lst_JobName,MATCH(C117&amp;"",lst_Jobs,0)),""))</f>
        <v/>
      </c>
      <c r="F117" s="22" t="n"/>
      <c r="G117" s="22" t="n"/>
      <c r="H117" s="22" t="n"/>
      <c r="I117" s="22" t="n"/>
      <c r="J117" s="22" t="n"/>
      <c r="K117" s="28">
        <f>IF(C117="","",COUNTIFS(tbl_Finance[Job Number],C117&amp;"",tbl_Finance[Ex GST],"&lt;&gt;"))</f>
        <v/>
      </c>
      <c r="L117" s="27">
        <f>IF(C117="","",SUMIFS(tbl_Finance[Ex GST],tbl_Finance[Job Number],C117&amp;""))</f>
        <v/>
      </c>
      <c r="M117" s="27">
        <f>IF(C117="","",SUMIFS(tbl_Finance[Ex GST],tbl_Finance[Job Number],C117&amp;"",tbl_Finance[Xero Invoice No],"&lt;&gt;"))</f>
        <v/>
      </c>
      <c r="N117" s="27">
        <f>IF(C117="","",L117-M117)</f>
        <v/>
      </c>
      <c r="O117" s="24" t="n"/>
      <c r="P117" s="27">
        <f>IF(C117="","",IF(O117="",0,MAX(0,O117-L117)))</f>
        <v/>
      </c>
      <c r="Q117" s="26">
        <f>IF(C117="","",IF(K117=0,"not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R117" s="27">
        <f>IF(C117="","",SUMIFS(tbl_Finance[Inc GST],tbl_Finance[Job Number],C117&amp;""))</f>
        <v/>
      </c>
      <c r="S117" s="22" t="n"/>
      <c r="T117" s="22" t="n"/>
      <c r="U117" s="22" t="n"/>
      <c r="V117" s="23" t="n"/>
      <c r="W117" s="22" t="n"/>
      <c r="X117" s="26">
        <f>IF(W117="","",IF(AND(LEFT(W117,4)&lt;&gt;"http",set_RMSBase=""),"",HYPERLINK(IF(LEFT(W117,4)="http",W117,set_RMSBase&amp;W117),"Open opportunity")))</f>
        <v/>
      </c>
      <c r="Y117" s="22" t="n"/>
      <c r="Z117" s="26">
        <f>IF(Y117="","",HYPERLINK(IF(LEFT(Y117,4)="http",Y117,set_QwilrBase&amp;Y117),"Open quote"))</f>
        <v/>
      </c>
      <c r="AA117" s="26">
        <f>IF(C117="","",C117)</f>
        <v/>
      </c>
      <c r="AB117" s="22" t="n"/>
      <c r="AC117" s="24" t="n"/>
      <c r="AD117" s="27">
        <f>IF(C117="","",L117+N(AC117))</f>
        <v/>
      </c>
      <c r="AE117" s="29">
        <f>IFERROR(AC117/AD117,"")</f>
        <v/>
      </c>
      <c r="AF117" s="24" t="n"/>
      <c r="AG117" s="24" t="n"/>
      <c r="AH117" s="24" t="n"/>
      <c r="AI117" s="24" t="n"/>
      <c r="AJ117" s="27">
        <f>IF(C117="","",SUMIFS(tbl_Finance[Ex GST],tbl_Finance[Job Number],C117&amp;"",tbl_Finance[Cost Centre],"VIDEO"))</f>
        <v/>
      </c>
      <c r="AK117" s="29">
        <f>IFERROR(AJ117/L117,"")</f>
        <v/>
      </c>
      <c r="AL117" s="27">
        <f>IF(C117="","",N(AF117)+N(AG117)+N(AH117)+N(AI117))</f>
        <v/>
      </c>
      <c r="AM117" s="27" t="n"/>
      <c r="AN117" s="29" t="n"/>
      <c r="AO117" s="71" t="n"/>
      <c r="AP117" s="71" t="n"/>
      <c r="AQ117" s="71" t="n"/>
      <c r="AR117" s="71" t="n"/>
      <c r="AS117" s="71" t="n"/>
      <c r="AT117" s="22" t="n"/>
    </row>
    <row r="118" ht="15" customHeight="1">
      <c r="A118" s="70">
        <f>IF(C118="","",IFERROR(IF(SUMPRODUCT(MAX((tbl_Finance[Job Number]&amp;""=C118&amp;"")*(tbl_Finance[Xero Invoice No]&lt;&gt;"")*tbl_Finance[Date]))=0,"",SUMPRODUCT(MAX((tbl_Finance[Job Number]&amp;""=C118&amp;"")*(tbl_Finance[Xero Invoice No]&lt;&gt;"")*tbl_Finance[Date]))),""))</f>
        <v/>
      </c>
      <c r="B118" s="26">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2" t="n"/>
      <c r="D118" s="26">
        <f>IF(C118="","",IF(COUNTIF(lst_Jobs,C118&amp;"")&gt;0,"OK","CHECK"))</f>
        <v/>
      </c>
      <c r="E118" s="26">
        <f>IF(C118="","",IFERROR(INDEX(lst_JobName,MATCH(C118&amp;"",lst_Jobs,0)),""))</f>
        <v/>
      </c>
      <c r="F118" s="22" t="n"/>
      <c r="G118" s="22" t="n"/>
      <c r="H118" s="22" t="n"/>
      <c r="I118" s="22" t="n"/>
      <c r="J118" s="22" t="n"/>
      <c r="K118" s="28">
        <f>IF(C118="","",COUNTIFS(tbl_Finance[Job Number],C118&amp;"",tbl_Finance[Ex GST],"&lt;&gt;"))</f>
        <v/>
      </c>
      <c r="L118" s="27">
        <f>IF(C118="","",SUMIFS(tbl_Finance[Ex GST],tbl_Finance[Job Number],C118&amp;""))</f>
        <v/>
      </c>
      <c r="M118" s="27">
        <f>IF(C118="","",SUMIFS(tbl_Finance[Ex GST],tbl_Finance[Job Number],C118&amp;"",tbl_Finance[Xero Invoice No],"&lt;&gt;"))</f>
        <v/>
      </c>
      <c r="N118" s="27">
        <f>IF(C118="","",L118-M118)</f>
        <v/>
      </c>
      <c r="O118" s="24" t="n"/>
      <c r="P118" s="27">
        <f>IF(C118="","",IF(O118="",0,MAX(0,O118-L118)))</f>
        <v/>
      </c>
      <c r="Q118" s="26">
        <f>IF(C118="","",IF(K118=0,"not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R118" s="27">
        <f>IF(C118="","",SUMIFS(tbl_Finance[Inc GST],tbl_Finance[Job Number],C118&amp;""))</f>
        <v/>
      </c>
      <c r="S118" s="22" t="n"/>
      <c r="T118" s="22" t="n"/>
      <c r="U118" s="22" t="n"/>
      <c r="V118" s="23" t="n"/>
      <c r="W118" s="22" t="n"/>
      <c r="X118" s="26">
        <f>IF(W118="","",IF(AND(LEFT(W118,4)&lt;&gt;"http",set_RMSBase=""),"",HYPERLINK(IF(LEFT(W118,4)="http",W118,set_RMSBase&amp;W118),"Open opportunity")))</f>
        <v/>
      </c>
      <c r="Y118" s="22" t="n"/>
      <c r="Z118" s="26">
        <f>IF(Y118="","",HYPERLINK(IF(LEFT(Y118,4)="http",Y118,set_QwilrBase&amp;Y118),"Open quote"))</f>
        <v/>
      </c>
      <c r="AA118" s="26">
        <f>IF(C118="","",C118)</f>
        <v/>
      </c>
      <c r="AB118" s="22" t="n"/>
      <c r="AC118" s="24" t="n"/>
      <c r="AD118" s="27">
        <f>IF(C118="","",L118+N(AC118))</f>
        <v/>
      </c>
      <c r="AE118" s="29">
        <f>IFERROR(AC118/AD118,"")</f>
        <v/>
      </c>
      <c r="AF118" s="24" t="n"/>
      <c r="AG118" s="24" t="n"/>
      <c r="AH118" s="24" t="n"/>
      <c r="AI118" s="24" t="n"/>
      <c r="AJ118" s="27">
        <f>IF(C118="","",SUMIFS(tbl_Finance[Ex GST],tbl_Finance[Job Number],C118&amp;"",tbl_Finance[Cost Centre],"VIDEO"))</f>
        <v/>
      </c>
      <c r="AK118" s="29">
        <f>IFERROR(AJ118/L118,"")</f>
        <v/>
      </c>
      <c r="AL118" s="27">
        <f>IF(C118="","",N(AF118)+N(AG118)+N(AH118)+N(AI118))</f>
        <v/>
      </c>
      <c r="AM118" s="27" t="n"/>
      <c r="AN118" s="29" t="n"/>
      <c r="AO118" s="71" t="n"/>
      <c r="AP118" s="71" t="n"/>
      <c r="AQ118" s="71" t="n"/>
      <c r="AR118" s="71" t="n"/>
      <c r="AS118" s="71" t="n"/>
      <c r="AT118" s="22" t="n"/>
    </row>
    <row r="119" ht="15" customHeight="1">
      <c r="A119" s="70">
        <f>IF(C119="","",IFERROR(IF(SUMPRODUCT(MAX((tbl_Finance[Job Number]&amp;""=C119&amp;"")*(tbl_Finance[Xero Invoice No]&lt;&gt;"")*tbl_Finance[Date]))=0,"",SUMPRODUCT(MAX((tbl_Finance[Job Number]&amp;""=C119&amp;"")*(tbl_Finance[Xero Invoice No]&lt;&gt;"")*tbl_Finance[Date]))),""))</f>
        <v/>
      </c>
      <c r="B119" s="26">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2" t="n"/>
      <c r="D119" s="26">
        <f>IF(C119="","",IF(COUNTIF(lst_Jobs,C119&amp;"")&gt;0,"OK","CHECK"))</f>
        <v/>
      </c>
      <c r="E119" s="26">
        <f>IF(C119="","",IFERROR(INDEX(lst_JobName,MATCH(C119&amp;"",lst_Jobs,0)),""))</f>
        <v/>
      </c>
      <c r="F119" s="22" t="n"/>
      <c r="G119" s="22" t="n"/>
      <c r="H119" s="22" t="n"/>
      <c r="I119" s="22" t="n"/>
      <c r="J119" s="22" t="n"/>
      <c r="K119" s="28">
        <f>IF(C119="","",COUNTIFS(tbl_Finance[Job Number],C119&amp;"",tbl_Finance[Ex GST],"&lt;&gt;"))</f>
        <v/>
      </c>
      <c r="L119" s="27">
        <f>IF(C119="","",SUMIFS(tbl_Finance[Ex GST],tbl_Finance[Job Number],C119&amp;""))</f>
        <v/>
      </c>
      <c r="M119" s="27">
        <f>IF(C119="","",SUMIFS(tbl_Finance[Ex GST],tbl_Finance[Job Number],C119&amp;"",tbl_Finance[Xero Invoice No],"&lt;&gt;"))</f>
        <v/>
      </c>
      <c r="N119" s="27">
        <f>IF(C119="","",L119-M119)</f>
        <v/>
      </c>
      <c r="O119" s="24" t="n"/>
      <c r="P119" s="27">
        <f>IF(C119="","",IF(O119="",0,MAX(0,O119-L119)))</f>
        <v/>
      </c>
      <c r="Q119" s="26">
        <f>IF(C119="","",IF(K119=0,"not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R119" s="27">
        <f>IF(C119="","",SUMIFS(tbl_Finance[Inc GST],tbl_Finance[Job Number],C119&amp;""))</f>
        <v/>
      </c>
      <c r="S119" s="22" t="n"/>
      <c r="T119" s="22" t="n"/>
      <c r="U119" s="22" t="n"/>
      <c r="V119" s="23" t="n"/>
      <c r="W119" s="22" t="n"/>
      <c r="X119" s="26">
        <f>IF(W119="","",IF(AND(LEFT(W119,4)&lt;&gt;"http",set_RMSBase=""),"",HYPERLINK(IF(LEFT(W119,4)="http",W119,set_RMSBase&amp;W119),"Open opportunity")))</f>
        <v/>
      </c>
      <c r="Y119" s="22" t="n"/>
      <c r="Z119" s="26">
        <f>IF(Y119="","",HYPERLINK(IF(LEFT(Y119,4)="http",Y119,set_QwilrBase&amp;Y119),"Open quote"))</f>
        <v/>
      </c>
      <c r="AA119" s="26">
        <f>IF(C119="","",C119)</f>
        <v/>
      </c>
      <c r="AB119" s="22" t="n"/>
      <c r="AC119" s="24" t="n"/>
      <c r="AD119" s="27">
        <f>IF(C119="","",L119+N(AC119))</f>
        <v/>
      </c>
      <c r="AE119" s="29">
        <f>IFERROR(AC119/AD119,"")</f>
        <v/>
      </c>
      <c r="AF119" s="24" t="n"/>
      <c r="AG119" s="24" t="n"/>
      <c r="AH119" s="24" t="n"/>
      <c r="AI119" s="24" t="n"/>
      <c r="AJ119" s="27">
        <f>IF(C119="","",SUMIFS(tbl_Finance[Ex GST],tbl_Finance[Job Number],C119&amp;"",tbl_Finance[Cost Centre],"VIDEO"))</f>
        <v/>
      </c>
      <c r="AK119" s="29">
        <f>IFERROR(AJ119/L119,"")</f>
        <v/>
      </c>
      <c r="AL119" s="27">
        <f>IF(C119="","",N(AF119)+N(AG119)+N(AH119)+N(AI119))</f>
        <v/>
      </c>
      <c r="AM119" s="27" t="n"/>
      <c r="AN119" s="29" t="n"/>
      <c r="AO119" s="71" t="n"/>
      <c r="AP119" s="71" t="n"/>
      <c r="AQ119" s="71" t="n"/>
      <c r="AR119" s="71" t="n"/>
      <c r="AS119" s="71" t="n"/>
      <c r="AT119" s="22" t="n"/>
    </row>
    <row r="120" ht="15" customHeight="1">
      <c r="A120" s="70">
        <f>IF(C120="","",IFERROR(IF(SUMPRODUCT(MAX((tbl_Finance[Job Number]&amp;""=C120&amp;"")*(tbl_Finance[Xero Invoice No]&lt;&gt;"")*tbl_Finance[Date]))=0,"",SUMPRODUCT(MAX((tbl_Finance[Job Number]&amp;""=C120&amp;"")*(tbl_Finance[Xero Invoice No]&lt;&gt;"")*tbl_Finance[Date]))),""))</f>
        <v/>
      </c>
      <c r="B120" s="26">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2" t="n"/>
      <c r="D120" s="26">
        <f>IF(C120="","",IF(COUNTIF(lst_Jobs,C120&amp;"")&gt;0,"OK","CHECK"))</f>
        <v/>
      </c>
      <c r="E120" s="26">
        <f>IF(C120="","",IFERROR(INDEX(lst_JobName,MATCH(C120&amp;"",lst_Jobs,0)),""))</f>
        <v/>
      </c>
      <c r="F120" s="22" t="n"/>
      <c r="G120" s="22" t="n"/>
      <c r="H120" s="22" t="n"/>
      <c r="I120" s="22" t="n"/>
      <c r="J120" s="22" t="n"/>
      <c r="K120" s="28">
        <f>IF(C120="","",COUNTIFS(tbl_Finance[Job Number],C120&amp;"",tbl_Finance[Ex GST],"&lt;&gt;"))</f>
        <v/>
      </c>
      <c r="L120" s="27">
        <f>IF(C120="","",SUMIFS(tbl_Finance[Ex GST],tbl_Finance[Job Number],C120&amp;""))</f>
        <v/>
      </c>
      <c r="M120" s="27">
        <f>IF(C120="","",SUMIFS(tbl_Finance[Ex GST],tbl_Finance[Job Number],C120&amp;"",tbl_Finance[Xero Invoice No],"&lt;&gt;"))</f>
        <v/>
      </c>
      <c r="N120" s="27">
        <f>IF(C120="","",L120-M120)</f>
        <v/>
      </c>
      <c r="O120" s="24" t="n"/>
      <c r="P120" s="27">
        <f>IF(C120="","",IF(O120="",0,MAX(0,O120-L120)))</f>
        <v/>
      </c>
      <c r="Q120" s="26">
        <f>IF(C120="","",IF(K120=0,"not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R120" s="27">
        <f>IF(C120="","",SUMIFS(tbl_Finance[Inc GST],tbl_Finance[Job Number],C120&amp;""))</f>
        <v/>
      </c>
      <c r="S120" s="22" t="n"/>
      <c r="T120" s="22" t="n"/>
      <c r="U120" s="22" t="n"/>
      <c r="V120" s="23" t="n"/>
      <c r="W120" s="22" t="n"/>
      <c r="X120" s="26">
        <f>IF(W120="","",IF(AND(LEFT(W120,4)&lt;&gt;"http",set_RMSBase=""),"",HYPERLINK(IF(LEFT(W120,4)="http",W120,set_RMSBase&amp;W120),"Open opportunity")))</f>
        <v/>
      </c>
      <c r="Y120" s="22" t="n"/>
      <c r="Z120" s="26">
        <f>IF(Y120="","",HYPERLINK(IF(LEFT(Y120,4)="http",Y120,set_QwilrBase&amp;Y120),"Open quote"))</f>
        <v/>
      </c>
      <c r="AA120" s="26">
        <f>IF(C120="","",C120)</f>
        <v/>
      </c>
      <c r="AB120" s="22" t="n"/>
      <c r="AC120" s="24" t="n"/>
      <c r="AD120" s="27">
        <f>IF(C120="","",L120+N(AC120))</f>
        <v/>
      </c>
      <c r="AE120" s="29">
        <f>IFERROR(AC120/AD120,"")</f>
        <v/>
      </c>
      <c r="AF120" s="24" t="n"/>
      <c r="AG120" s="24" t="n"/>
      <c r="AH120" s="24" t="n"/>
      <c r="AI120" s="24" t="n"/>
      <c r="AJ120" s="27">
        <f>IF(C120="","",SUMIFS(tbl_Finance[Ex GST],tbl_Finance[Job Number],C120&amp;"",tbl_Finance[Cost Centre],"VIDEO"))</f>
        <v/>
      </c>
      <c r="AK120" s="29">
        <f>IFERROR(AJ120/L120,"")</f>
        <v/>
      </c>
      <c r="AL120" s="27">
        <f>IF(C120="","",N(AF120)+N(AG120)+N(AH120)+N(AI120))</f>
        <v/>
      </c>
      <c r="AM120" s="27" t="n"/>
      <c r="AN120" s="29" t="n"/>
      <c r="AO120" s="71" t="n"/>
      <c r="AP120" s="71" t="n"/>
      <c r="AQ120" s="71" t="n"/>
      <c r="AR120" s="71" t="n"/>
      <c r="AS120" s="71" t="n"/>
      <c r="AT120" s="22" t="n"/>
    </row>
    <row r="121" ht="15" customHeight="1">
      <c r="A121" s="70">
        <f>IF(C121="","",IFERROR(IF(SUMPRODUCT(MAX((tbl_Finance[Job Number]&amp;""=C121&amp;"")*(tbl_Finance[Xero Invoice No]&lt;&gt;"")*tbl_Finance[Date]))=0,"",SUMPRODUCT(MAX((tbl_Finance[Job Number]&amp;""=C121&amp;"")*(tbl_Finance[Xero Invoice No]&lt;&gt;"")*tbl_Finance[Date]))),""))</f>
        <v/>
      </c>
      <c r="B121" s="26">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2" t="n"/>
      <c r="D121" s="26">
        <f>IF(C121="","",IF(COUNTIF(lst_Jobs,C121&amp;"")&gt;0,"OK","CHECK"))</f>
        <v/>
      </c>
      <c r="E121" s="26">
        <f>IF(C121="","",IFERROR(INDEX(lst_JobName,MATCH(C121&amp;"",lst_Jobs,0)),""))</f>
        <v/>
      </c>
      <c r="F121" s="22" t="n"/>
      <c r="G121" s="22" t="n"/>
      <c r="H121" s="22" t="n"/>
      <c r="I121" s="22" t="n"/>
      <c r="J121" s="22" t="n"/>
      <c r="K121" s="28">
        <f>IF(C121="","",COUNTIFS(tbl_Finance[Job Number],C121&amp;"",tbl_Finance[Ex GST],"&lt;&gt;"))</f>
        <v/>
      </c>
      <c r="L121" s="27">
        <f>IF(C121="","",SUMIFS(tbl_Finance[Ex GST],tbl_Finance[Job Number],C121&amp;""))</f>
        <v/>
      </c>
      <c r="M121" s="27">
        <f>IF(C121="","",SUMIFS(tbl_Finance[Ex GST],tbl_Finance[Job Number],C121&amp;"",tbl_Finance[Xero Invoice No],"&lt;&gt;"))</f>
        <v/>
      </c>
      <c r="N121" s="27">
        <f>IF(C121="","",L121-M121)</f>
        <v/>
      </c>
      <c r="O121" s="24" t="n"/>
      <c r="P121" s="27">
        <f>IF(C121="","",IF(O121="",0,MAX(0,O121-L121)))</f>
        <v/>
      </c>
      <c r="Q121" s="26">
        <f>IF(C121="","",IF(K121=0,"not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R121" s="27">
        <f>IF(C121="","",SUMIFS(tbl_Finance[Inc GST],tbl_Finance[Job Number],C121&amp;""))</f>
        <v/>
      </c>
      <c r="S121" s="22" t="n"/>
      <c r="T121" s="22" t="n"/>
      <c r="U121" s="22" t="n"/>
      <c r="V121" s="23" t="n"/>
      <c r="W121" s="22" t="n"/>
      <c r="X121" s="26">
        <f>IF(W121="","",IF(AND(LEFT(W121,4)&lt;&gt;"http",set_RMSBase=""),"",HYPERLINK(IF(LEFT(W121,4)="http",W121,set_RMSBase&amp;W121),"Open opportunity")))</f>
        <v/>
      </c>
      <c r="Y121" s="22" t="n"/>
      <c r="Z121" s="26">
        <f>IF(Y121="","",HYPERLINK(IF(LEFT(Y121,4)="http",Y121,set_QwilrBase&amp;Y121),"Open quote"))</f>
        <v/>
      </c>
      <c r="AA121" s="26">
        <f>IF(C121="","",C121)</f>
        <v/>
      </c>
      <c r="AB121" s="22" t="n"/>
      <c r="AC121" s="24" t="n"/>
      <c r="AD121" s="27">
        <f>IF(C121="","",L121+N(AC121))</f>
        <v/>
      </c>
      <c r="AE121" s="29">
        <f>IFERROR(AC121/AD121,"")</f>
        <v/>
      </c>
      <c r="AF121" s="24" t="n"/>
      <c r="AG121" s="24" t="n"/>
      <c r="AH121" s="24" t="n"/>
      <c r="AI121" s="24" t="n"/>
      <c r="AJ121" s="27">
        <f>IF(C121="","",SUMIFS(tbl_Finance[Ex GST],tbl_Finance[Job Number],C121&amp;"",tbl_Finance[Cost Centre],"VIDEO"))</f>
        <v/>
      </c>
      <c r="AK121" s="29">
        <f>IFERROR(AJ121/L121,"")</f>
        <v/>
      </c>
      <c r="AL121" s="27">
        <f>IF(C121="","",N(AF121)+N(AG121)+N(AH121)+N(AI121))</f>
        <v/>
      </c>
      <c r="AM121" s="27" t="n"/>
      <c r="AN121" s="29" t="n"/>
      <c r="AO121" s="71" t="n"/>
      <c r="AP121" s="71" t="n"/>
      <c r="AQ121" s="71" t="n"/>
      <c r="AR121" s="71" t="n"/>
      <c r="AS121" s="71" t="n"/>
      <c r="AT121" s="22" t="n"/>
    </row>
    <row r="122" ht="15" customHeight="1">
      <c r="A122" s="70">
        <f>IF(C122="","",IFERROR(IF(SUMPRODUCT(MAX((tbl_Finance[Job Number]&amp;""=C122&amp;"")*(tbl_Finance[Xero Invoice No]&lt;&gt;"")*tbl_Finance[Date]))=0,"",SUMPRODUCT(MAX((tbl_Finance[Job Number]&amp;""=C122&amp;"")*(tbl_Finance[Xero Invoice No]&lt;&gt;"")*tbl_Finance[Date]))),""))</f>
        <v/>
      </c>
      <c r="B122" s="26">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2" t="n"/>
      <c r="D122" s="26">
        <f>IF(C122="","",IF(COUNTIF(lst_Jobs,C122&amp;"")&gt;0,"OK","CHECK"))</f>
        <v/>
      </c>
      <c r="E122" s="26">
        <f>IF(C122="","",IFERROR(INDEX(lst_JobName,MATCH(C122&amp;"",lst_Jobs,0)),""))</f>
        <v/>
      </c>
      <c r="F122" s="22" t="n"/>
      <c r="G122" s="22" t="n"/>
      <c r="H122" s="22" t="n"/>
      <c r="I122" s="22" t="n"/>
      <c r="J122" s="22" t="n"/>
      <c r="K122" s="28">
        <f>IF(C122="","",COUNTIFS(tbl_Finance[Job Number],C122&amp;"",tbl_Finance[Ex GST],"&lt;&gt;"))</f>
        <v/>
      </c>
      <c r="L122" s="27">
        <f>IF(C122="","",SUMIFS(tbl_Finance[Ex GST],tbl_Finance[Job Number],C122&amp;""))</f>
        <v/>
      </c>
      <c r="M122" s="27">
        <f>IF(C122="","",SUMIFS(tbl_Finance[Ex GST],tbl_Finance[Job Number],C122&amp;"",tbl_Finance[Xero Invoice No],"&lt;&gt;"))</f>
        <v/>
      </c>
      <c r="N122" s="27">
        <f>IF(C122="","",L122-M122)</f>
        <v/>
      </c>
      <c r="O122" s="24" t="n"/>
      <c r="P122" s="27">
        <f>IF(C122="","",IF(O122="",0,MAX(0,O122-L122)))</f>
        <v/>
      </c>
      <c r="Q122" s="26">
        <f>IF(C122="","",IF(K122=0,"not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R122" s="27">
        <f>IF(C122="","",SUMIFS(tbl_Finance[Inc GST],tbl_Finance[Job Number],C122&amp;""))</f>
        <v/>
      </c>
      <c r="S122" s="22" t="n"/>
      <c r="T122" s="22" t="n"/>
      <c r="U122" s="22" t="n"/>
      <c r="V122" s="23" t="n"/>
      <c r="W122" s="22" t="n"/>
      <c r="X122" s="26">
        <f>IF(W122="","",IF(AND(LEFT(W122,4)&lt;&gt;"http",set_RMSBase=""),"",HYPERLINK(IF(LEFT(W122,4)="http",W122,set_RMSBase&amp;W122),"Open opportunity")))</f>
        <v/>
      </c>
      <c r="Y122" s="22" t="n"/>
      <c r="Z122" s="26">
        <f>IF(Y122="","",HYPERLINK(IF(LEFT(Y122,4)="http",Y122,set_QwilrBase&amp;Y122),"Open quote"))</f>
        <v/>
      </c>
      <c r="AA122" s="26">
        <f>IF(C122="","",C122)</f>
        <v/>
      </c>
      <c r="AB122" s="22" t="n"/>
      <c r="AC122" s="24" t="n"/>
      <c r="AD122" s="27">
        <f>IF(C122="","",L122+N(AC122))</f>
        <v/>
      </c>
      <c r="AE122" s="29">
        <f>IFERROR(AC122/AD122,"")</f>
        <v/>
      </c>
      <c r="AF122" s="24" t="n"/>
      <c r="AG122" s="24" t="n"/>
      <c r="AH122" s="24" t="n"/>
      <c r="AI122" s="24" t="n"/>
      <c r="AJ122" s="27">
        <f>IF(C122="","",SUMIFS(tbl_Finance[Ex GST],tbl_Finance[Job Number],C122&amp;"",tbl_Finance[Cost Centre],"VIDEO"))</f>
        <v/>
      </c>
      <c r="AK122" s="29">
        <f>IFERROR(AJ122/L122,"")</f>
        <v/>
      </c>
      <c r="AL122" s="27">
        <f>IF(C122="","",N(AF122)+N(AG122)+N(AH122)+N(AI122))</f>
        <v/>
      </c>
      <c r="AM122" s="27" t="n"/>
      <c r="AN122" s="29" t="n"/>
      <c r="AO122" s="71" t="n"/>
      <c r="AP122" s="71" t="n"/>
      <c r="AQ122" s="71" t="n"/>
      <c r="AR122" s="71" t="n"/>
      <c r="AS122" s="71" t="n"/>
      <c r="AT122" s="22" t="n"/>
    </row>
    <row r="123" ht="15" customHeight="1">
      <c r="A123" s="70">
        <f>IF(C123="","",IFERROR(IF(SUMPRODUCT(MAX((tbl_Finance[Job Number]&amp;""=C123&amp;"")*(tbl_Finance[Xero Invoice No]&lt;&gt;"")*tbl_Finance[Date]))=0,"",SUMPRODUCT(MAX((tbl_Finance[Job Number]&amp;""=C123&amp;"")*(tbl_Finance[Xero Invoice No]&lt;&gt;"")*tbl_Finance[Date]))),""))</f>
        <v/>
      </c>
      <c r="B123" s="26">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2" t="n"/>
      <c r="D123" s="26">
        <f>IF(C123="","",IF(COUNTIF(lst_Jobs,C123&amp;"")&gt;0,"OK","CHECK"))</f>
        <v/>
      </c>
      <c r="E123" s="26">
        <f>IF(C123="","",IFERROR(INDEX(lst_JobName,MATCH(C123&amp;"",lst_Jobs,0)),""))</f>
        <v/>
      </c>
      <c r="F123" s="22" t="n"/>
      <c r="G123" s="22" t="n"/>
      <c r="H123" s="22" t="n"/>
      <c r="I123" s="22" t="n"/>
      <c r="J123" s="22" t="n"/>
      <c r="K123" s="28">
        <f>IF(C123="","",COUNTIFS(tbl_Finance[Job Number],C123&amp;"",tbl_Finance[Ex GST],"&lt;&gt;"))</f>
        <v/>
      </c>
      <c r="L123" s="27">
        <f>IF(C123="","",SUMIFS(tbl_Finance[Ex GST],tbl_Finance[Job Number],C123&amp;""))</f>
        <v/>
      </c>
      <c r="M123" s="27">
        <f>IF(C123="","",SUMIFS(tbl_Finance[Ex GST],tbl_Finance[Job Number],C123&amp;"",tbl_Finance[Xero Invoice No],"&lt;&gt;"))</f>
        <v/>
      </c>
      <c r="N123" s="27">
        <f>IF(C123="","",L123-M123)</f>
        <v/>
      </c>
      <c r="O123" s="24" t="n"/>
      <c r="P123" s="27">
        <f>IF(C123="","",IF(O123="",0,MAX(0,O123-L123)))</f>
        <v/>
      </c>
      <c r="Q123" s="26">
        <f>IF(C123="","",IF(K123=0,"not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R123" s="27">
        <f>IF(C123="","",SUMIFS(tbl_Finance[Inc GST],tbl_Finance[Job Number],C123&amp;""))</f>
        <v/>
      </c>
      <c r="S123" s="22" t="n"/>
      <c r="T123" s="22" t="n"/>
      <c r="U123" s="22" t="n"/>
      <c r="V123" s="23" t="n"/>
      <c r="W123" s="22" t="n"/>
      <c r="X123" s="26">
        <f>IF(W123="","",IF(AND(LEFT(W123,4)&lt;&gt;"http",set_RMSBase=""),"",HYPERLINK(IF(LEFT(W123,4)="http",W123,set_RMSBase&amp;W123),"Open opportunity")))</f>
        <v/>
      </c>
      <c r="Y123" s="22" t="n"/>
      <c r="Z123" s="26">
        <f>IF(Y123="","",HYPERLINK(IF(LEFT(Y123,4)="http",Y123,set_QwilrBase&amp;Y123),"Open quote"))</f>
        <v/>
      </c>
      <c r="AA123" s="26">
        <f>IF(C123="","",C123)</f>
        <v/>
      </c>
      <c r="AB123" s="22" t="n"/>
      <c r="AC123" s="24" t="n"/>
      <c r="AD123" s="27">
        <f>IF(C123="","",L123+N(AC123))</f>
        <v/>
      </c>
      <c r="AE123" s="29">
        <f>IFERROR(AC123/AD123,"")</f>
        <v/>
      </c>
      <c r="AF123" s="24" t="n"/>
      <c r="AG123" s="24" t="n"/>
      <c r="AH123" s="24" t="n"/>
      <c r="AI123" s="24" t="n"/>
      <c r="AJ123" s="27">
        <f>IF(C123="","",SUMIFS(tbl_Finance[Ex GST],tbl_Finance[Job Number],C123&amp;"",tbl_Finance[Cost Centre],"VIDEO"))</f>
        <v/>
      </c>
      <c r="AK123" s="29">
        <f>IFERROR(AJ123/L123,"")</f>
        <v/>
      </c>
      <c r="AL123" s="27">
        <f>IF(C123="","",N(AF123)+N(AG123)+N(AH123)+N(AI123))</f>
        <v/>
      </c>
      <c r="AM123" s="27" t="n"/>
      <c r="AN123" s="29" t="n"/>
      <c r="AO123" s="71" t="n"/>
      <c r="AP123" s="71" t="n"/>
      <c r="AQ123" s="71" t="n"/>
      <c r="AR123" s="71" t="n"/>
      <c r="AS123" s="71" t="n"/>
      <c r="AT123" s="22" t="n"/>
    </row>
    <row r="124" ht="15" customHeight="1">
      <c r="A124" s="70">
        <f>IF(C124="","",IFERROR(IF(SUMPRODUCT(MAX((tbl_Finance[Job Number]&amp;""=C124&amp;"")*(tbl_Finance[Xero Invoice No]&lt;&gt;"")*tbl_Finance[Date]))=0,"",SUMPRODUCT(MAX((tbl_Finance[Job Number]&amp;""=C124&amp;"")*(tbl_Finance[Xero Invoice No]&lt;&gt;"")*tbl_Finance[Date]))),""))</f>
        <v/>
      </c>
      <c r="B124" s="26">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2" t="n"/>
      <c r="D124" s="26">
        <f>IF(C124="","",IF(COUNTIF(lst_Jobs,C124&amp;"")&gt;0,"OK","CHECK"))</f>
        <v/>
      </c>
      <c r="E124" s="26">
        <f>IF(C124="","",IFERROR(INDEX(lst_JobName,MATCH(C124&amp;"",lst_Jobs,0)),""))</f>
        <v/>
      </c>
      <c r="F124" s="22" t="n"/>
      <c r="G124" s="22" t="n"/>
      <c r="H124" s="22" t="n"/>
      <c r="I124" s="22" t="n"/>
      <c r="J124" s="22" t="n"/>
      <c r="K124" s="28">
        <f>IF(C124="","",COUNTIFS(tbl_Finance[Job Number],C124&amp;"",tbl_Finance[Ex GST],"&lt;&gt;"))</f>
        <v/>
      </c>
      <c r="L124" s="27">
        <f>IF(C124="","",SUMIFS(tbl_Finance[Ex GST],tbl_Finance[Job Number],C124&amp;""))</f>
        <v/>
      </c>
      <c r="M124" s="27">
        <f>IF(C124="","",SUMIFS(tbl_Finance[Ex GST],tbl_Finance[Job Number],C124&amp;"",tbl_Finance[Xero Invoice No],"&lt;&gt;"))</f>
        <v/>
      </c>
      <c r="N124" s="27">
        <f>IF(C124="","",L124-M124)</f>
        <v/>
      </c>
      <c r="O124" s="24" t="n"/>
      <c r="P124" s="27">
        <f>IF(C124="","",IF(O124="",0,MAX(0,O124-L124)))</f>
        <v/>
      </c>
      <c r="Q124" s="26">
        <f>IF(C124="","",IF(K124=0,"not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R124" s="27">
        <f>IF(C124="","",SUMIFS(tbl_Finance[Inc GST],tbl_Finance[Job Number],C124&amp;""))</f>
        <v/>
      </c>
      <c r="S124" s="22" t="n"/>
      <c r="T124" s="22" t="n"/>
      <c r="U124" s="22" t="n"/>
      <c r="V124" s="23" t="n"/>
      <c r="W124" s="22" t="n"/>
      <c r="X124" s="26">
        <f>IF(W124="","",IF(AND(LEFT(W124,4)&lt;&gt;"http",set_RMSBase=""),"",HYPERLINK(IF(LEFT(W124,4)="http",W124,set_RMSBase&amp;W124),"Open opportunity")))</f>
        <v/>
      </c>
      <c r="Y124" s="22" t="n"/>
      <c r="Z124" s="26">
        <f>IF(Y124="","",HYPERLINK(IF(LEFT(Y124,4)="http",Y124,set_QwilrBase&amp;Y124),"Open quote"))</f>
        <v/>
      </c>
      <c r="AA124" s="26">
        <f>IF(C124="","",C124)</f>
        <v/>
      </c>
      <c r="AB124" s="22" t="n"/>
      <c r="AC124" s="24" t="n"/>
      <c r="AD124" s="27">
        <f>IF(C124="","",L124+N(AC124))</f>
        <v/>
      </c>
      <c r="AE124" s="29">
        <f>IFERROR(AC124/AD124,"")</f>
        <v/>
      </c>
      <c r="AF124" s="24" t="n"/>
      <c r="AG124" s="24" t="n"/>
      <c r="AH124" s="24" t="n"/>
      <c r="AI124" s="24" t="n"/>
      <c r="AJ124" s="27">
        <f>IF(C124="","",SUMIFS(tbl_Finance[Ex GST],tbl_Finance[Job Number],C124&amp;"",tbl_Finance[Cost Centre],"VIDEO"))</f>
        <v/>
      </c>
      <c r="AK124" s="29">
        <f>IFERROR(AJ124/L124,"")</f>
        <v/>
      </c>
      <c r="AL124" s="27">
        <f>IF(C124="","",N(AF124)+N(AG124)+N(AH124)+N(AI124))</f>
        <v/>
      </c>
      <c r="AM124" s="27" t="n"/>
      <c r="AN124" s="29" t="n"/>
      <c r="AO124" s="71" t="n"/>
      <c r="AP124" s="71" t="n"/>
      <c r="AQ124" s="71" t="n"/>
      <c r="AR124" s="71" t="n"/>
      <c r="AS124" s="71" t="n"/>
      <c r="AT124" s="22" t="n"/>
    </row>
    <row r="125" ht="15" customHeight="1">
      <c r="A125" s="70">
        <f>IF(C125="","",IFERROR(IF(SUMPRODUCT(MAX((tbl_Finance[Job Number]&amp;""=C125&amp;"")*(tbl_Finance[Xero Invoice No]&lt;&gt;"")*tbl_Finance[Date]))=0,"",SUMPRODUCT(MAX((tbl_Finance[Job Number]&amp;""=C125&amp;"")*(tbl_Finance[Xero Invoice No]&lt;&gt;"")*tbl_Finance[Date]))),""))</f>
        <v/>
      </c>
      <c r="B125" s="26">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2" t="n"/>
      <c r="D125" s="26">
        <f>IF(C125="","",IF(COUNTIF(lst_Jobs,C125&amp;"")&gt;0,"OK","CHECK"))</f>
        <v/>
      </c>
      <c r="E125" s="26">
        <f>IF(C125="","",IFERROR(INDEX(lst_JobName,MATCH(C125&amp;"",lst_Jobs,0)),""))</f>
        <v/>
      </c>
      <c r="F125" s="22" t="n"/>
      <c r="G125" s="22" t="n"/>
      <c r="H125" s="22" t="n"/>
      <c r="I125" s="22" t="n"/>
      <c r="J125" s="22" t="n"/>
      <c r="K125" s="28">
        <f>IF(C125="","",COUNTIFS(tbl_Finance[Job Number],C125&amp;"",tbl_Finance[Ex GST],"&lt;&gt;"))</f>
        <v/>
      </c>
      <c r="L125" s="27">
        <f>IF(C125="","",SUMIFS(tbl_Finance[Ex GST],tbl_Finance[Job Number],C125&amp;""))</f>
        <v/>
      </c>
      <c r="M125" s="27">
        <f>IF(C125="","",SUMIFS(tbl_Finance[Ex GST],tbl_Finance[Job Number],C125&amp;"",tbl_Finance[Xero Invoice No],"&lt;&gt;"))</f>
        <v/>
      </c>
      <c r="N125" s="27">
        <f>IF(C125="","",L125-M125)</f>
        <v/>
      </c>
      <c r="O125" s="24" t="n"/>
      <c r="P125" s="27">
        <f>IF(C125="","",IF(O125="",0,MAX(0,O125-L125)))</f>
        <v/>
      </c>
      <c r="Q125" s="26">
        <f>IF(C125="","",IF(K125=0,"not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R125" s="27">
        <f>IF(C125="","",SUMIFS(tbl_Finance[Inc GST],tbl_Finance[Job Number],C125&amp;""))</f>
        <v/>
      </c>
      <c r="S125" s="22" t="n"/>
      <c r="T125" s="22" t="n"/>
      <c r="U125" s="22" t="n"/>
      <c r="V125" s="23" t="n"/>
      <c r="W125" s="22" t="n"/>
      <c r="X125" s="26">
        <f>IF(W125="","",IF(AND(LEFT(W125,4)&lt;&gt;"http",set_RMSBase=""),"",HYPERLINK(IF(LEFT(W125,4)="http",W125,set_RMSBase&amp;W125),"Open opportunity")))</f>
        <v/>
      </c>
      <c r="Y125" s="22" t="n"/>
      <c r="Z125" s="26">
        <f>IF(Y125="","",HYPERLINK(IF(LEFT(Y125,4)="http",Y125,set_QwilrBase&amp;Y125),"Open quote"))</f>
        <v/>
      </c>
      <c r="AA125" s="26">
        <f>IF(C125="","",C125)</f>
        <v/>
      </c>
      <c r="AB125" s="22" t="n"/>
      <c r="AC125" s="24" t="n"/>
      <c r="AD125" s="27">
        <f>IF(C125="","",L125+N(AC125))</f>
        <v/>
      </c>
      <c r="AE125" s="29">
        <f>IFERROR(AC125/AD125,"")</f>
        <v/>
      </c>
      <c r="AF125" s="24" t="n"/>
      <c r="AG125" s="24" t="n"/>
      <c r="AH125" s="24" t="n"/>
      <c r="AI125" s="24" t="n"/>
      <c r="AJ125" s="27">
        <f>IF(C125="","",SUMIFS(tbl_Finance[Ex GST],tbl_Finance[Job Number],C125&amp;"",tbl_Finance[Cost Centre],"VIDEO"))</f>
        <v/>
      </c>
      <c r="AK125" s="29">
        <f>IFERROR(AJ125/L125,"")</f>
        <v/>
      </c>
      <c r="AL125" s="27">
        <f>IF(C125="","",N(AF125)+N(AG125)+N(AH125)+N(AI125))</f>
        <v/>
      </c>
      <c r="AM125" s="27" t="n"/>
      <c r="AN125" s="29" t="n"/>
      <c r="AO125" s="71" t="n"/>
      <c r="AP125" s="71" t="n"/>
      <c r="AQ125" s="71" t="n"/>
      <c r="AR125" s="71" t="n"/>
      <c r="AS125" s="71" t="n"/>
      <c r="AT125" s="22" t="n"/>
    </row>
    <row r="126" ht="15" customHeight="1">
      <c r="A126" s="70">
        <f>IF(C126="","",IFERROR(IF(SUMPRODUCT(MAX((tbl_Finance[Job Number]&amp;""=C126&amp;"")*(tbl_Finance[Xero Invoice No]&lt;&gt;"")*tbl_Finance[Date]))=0,"",SUMPRODUCT(MAX((tbl_Finance[Job Number]&amp;""=C126&amp;"")*(tbl_Finance[Xero Invoice No]&lt;&gt;"")*tbl_Finance[Date]))),""))</f>
        <v/>
      </c>
      <c r="B126" s="26">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2" t="n"/>
      <c r="D126" s="26">
        <f>IF(C126="","",IF(COUNTIF(lst_Jobs,C126&amp;"")&gt;0,"OK","CHECK"))</f>
        <v/>
      </c>
      <c r="E126" s="26">
        <f>IF(C126="","",IFERROR(INDEX(lst_JobName,MATCH(C126&amp;"",lst_Jobs,0)),""))</f>
        <v/>
      </c>
      <c r="F126" s="22" t="n"/>
      <c r="G126" s="22" t="n"/>
      <c r="H126" s="22" t="n"/>
      <c r="I126" s="22" t="n"/>
      <c r="J126" s="22" t="n"/>
      <c r="K126" s="28">
        <f>IF(C126="","",COUNTIFS(tbl_Finance[Job Number],C126&amp;"",tbl_Finance[Ex GST],"&lt;&gt;"))</f>
        <v/>
      </c>
      <c r="L126" s="27">
        <f>IF(C126="","",SUMIFS(tbl_Finance[Ex GST],tbl_Finance[Job Number],C126&amp;""))</f>
        <v/>
      </c>
      <c r="M126" s="27">
        <f>IF(C126="","",SUMIFS(tbl_Finance[Ex GST],tbl_Finance[Job Number],C126&amp;"",tbl_Finance[Xero Invoice No],"&lt;&gt;"))</f>
        <v/>
      </c>
      <c r="N126" s="27">
        <f>IF(C126="","",L126-M126)</f>
        <v/>
      </c>
      <c r="O126" s="24" t="n"/>
      <c r="P126" s="27">
        <f>IF(C126="","",IF(O126="",0,MAX(0,O126-L126)))</f>
        <v/>
      </c>
      <c r="Q126" s="26">
        <f>IF(C126="","",IF(K126=0,"not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R126" s="27">
        <f>IF(C126="","",SUMIFS(tbl_Finance[Inc GST],tbl_Finance[Job Number],C126&amp;""))</f>
        <v/>
      </c>
      <c r="S126" s="22" t="n"/>
      <c r="T126" s="22" t="n"/>
      <c r="U126" s="22" t="n"/>
      <c r="V126" s="23" t="n"/>
      <c r="W126" s="22" t="n"/>
      <c r="X126" s="26">
        <f>IF(W126="","",IF(AND(LEFT(W126,4)&lt;&gt;"http",set_RMSBase=""),"",HYPERLINK(IF(LEFT(W126,4)="http",W126,set_RMSBase&amp;W126),"Open opportunity")))</f>
        <v/>
      </c>
      <c r="Y126" s="22" t="n"/>
      <c r="Z126" s="26">
        <f>IF(Y126="","",HYPERLINK(IF(LEFT(Y126,4)="http",Y126,set_QwilrBase&amp;Y126),"Open quote"))</f>
        <v/>
      </c>
      <c r="AA126" s="26">
        <f>IF(C126="","",C126)</f>
        <v/>
      </c>
      <c r="AB126" s="22" t="n"/>
      <c r="AC126" s="24" t="n"/>
      <c r="AD126" s="27">
        <f>IF(C126="","",L126+N(AC126))</f>
        <v/>
      </c>
      <c r="AE126" s="29">
        <f>IFERROR(AC126/AD126,"")</f>
        <v/>
      </c>
      <c r="AF126" s="24" t="n"/>
      <c r="AG126" s="24" t="n"/>
      <c r="AH126" s="24" t="n"/>
      <c r="AI126" s="24" t="n"/>
      <c r="AJ126" s="27">
        <f>IF(C126="","",SUMIFS(tbl_Finance[Ex GST],tbl_Finance[Job Number],C126&amp;"",tbl_Finance[Cost Centre],"VIDEO"))</f>
        <v/>
      </c>
      <c r="AK126" s="29">
        <f>IFERROR(AJ126/L126,"")</f>
        <v/>
      </c>
      <c r="AL126" s="27">
        <f>IF(C126="","",N(AF126)+N(AG126)+N(AH126)+N(AI126))</f>
        <v/>
      </c>
      <c r="AM126" s="27" t="n"/>
      <c r="AN126" s="29" t="n"/>
      <c r="AO126" s="71" t="n"/>
      <c r="AP126" s="71" t="n"/>
      <c r="AQ126" s="71" t="n"/>
      <c r="AR126" s="71" t="n"/>
      <c r="AS126" s="71" t="n"/>
      <c r="AT126" s="22" t="n"/>
    </row>
    <row r="127" ht="15" customHeight="1">
      <c r="A127" s="70">
        <f>IF(C127="","",IFERROR(IF(SUMPRODUCT(MAX((tbl_Finance[Job Number]&amp;""=C127&amp;"")*(tbl_Finance[Xero Invoice No]&lt;&gt;"")*tbl_Finance[Date]))=0,"",SUMPRODUCT(MAX((tbl_Finance[Job Number]&amp;""=C127&amp;"")*(tbl_Finance[Xero Invoice No]&lt;&gt;"")*tbl_Finance[Date]))),""))</f>
        <v/>
      </c>
      <c r="B127" s="26">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2" t="n"/>
      <c r="D127" s="26">
        <f>IF(C127="","",IF(COUNTIF(lst_Jobs,C127&amp;"")&gt;0,"OK","CHECK"))</f>
        <v/>
      </c>
      <c r="E127" s="26">
        <f>IF(C127="","",IFERROR(INDEX(lst_JobName,MATCH(C127&amp;"",lst_Jobs,0)),""))</f>
        <v/>
      </c>
      <c r="F127" s="22" t="n"/>
      <c r="G127" s="22" t="n"/>
      <c r="H127" s="22" t="n"/>
      <c r="I127" s="22" t="n"/>
      <c r="J127" s="22" t="n"/>
      <c r="K127" s="28">
        <f>IF(C127="","",COUNTIFS(tbl_Finance[Job Number],C127&amp;"",tbl_Finance[Ex GST],"&lt;&gt;"))</f>
        <v/>
      </c>
      <c r="L127" s="27">
        <f>IF(C127="","",SUMIFS(tbl_Finance[Ex GST],tbl_Finance[Job Number],C127&amp;""))</f>
        <v/>
      </c>
      <c r="M127" s="27">
        <f>IF(C127="","",SUMIFS(tbl_Finance[Ex GST],tbl_Finance[Job Number],C127&amp;"",tbl_Finance[Xero Invoice No],"&lt;&gt;"))</f>
        <v/>
      </c>
      <c r="N127" s="27">
        <f>IF(C127="","",L127-M127)</f>
        <v/>
      </c>
      <c r="O127" s="24" t="n"/>
      <c r="P127" s="27">
        <f>IF(C127="","",IF(O127="",0,MAX(0,O127-L127)))</f>
        <v/>
      </c>
      <c r="Q127" s="26">
        <f>IF(C127="","",IF(K127=0,"not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R127" s="27">
        <f>IF(C127="","",SUMIFS(tbl_Finance[Inc GST],tbl_Finance[Job Number],C127&amp;""))</f>
        <v/>
      </c>
      <c r="S127" s="22" t="n"/>
      <c r="T127" s="22" t="n"/>
      <c r="U127" s="22" t="n"/>
      <c r="V127" s="23" t="n"/>
      <c r="W127" s="22" t="n"/>
      <c r="X127" s="26">
        <f>IF(W127="","",IF(AND(LEFT(W127,4)&lt;&gt;"http",set_RMSBase=""),"",HYPERLINK(IF(LEFT(W127,4)="http",W127,set_RMSBase&amp;W127),"Open opportunity")))</f>
        <v/>
      </c>
      <c r="Y127" s="22" t="n"/>
      <c r="Z127" s="26">
        <f>IF(Y127="","",HYPERLINK(IF(LEFT(Y127,4)="http",Y127,set_QwilrBase&amp;Y127),"Open quote"))</f>
        <v/>
      </c>
      <c r="AA127" s="26">
        <f>IF(C127="","",C127)</f>
        <v/>
      </c>
      <c r="AB127" s="22" t="n"/>
      <c r="AC127" s="24" t="n"/>
      <c r="AD127" s="27">
        <f>IF(C127="","",L127+N(AC127))</f>
        <v/>
      </c>
      <c r="AE127" s="29">
        <f>IFERROR(AC127/AD127,"")</f>
        <v/>
      </c>
      <c r="AF127" s="24" t="n"/>
      <c r="AG127" s="24" t="n"/>
      <c r="AH127" s="24" t="n"/>
      <c r="AI127" s="24" t="n"/>
      <c r="AJ127" s="27">
        <f>IF(C127="","",SUMIFS(tbl_Finance[Ex GST],tbl_Finance[Job Number],C127&amp;"",tbl_Finance[Cost Centre],"VIDEO"))</f>
        <v/>
      </c>
      <c r="AK127" s="29">
        <f>IFERROR(AJ127/L127,"")</f>
        <v/>
      </c>
      <c r="AL127" s="27">
        <f>IF(C127="","",N(AF127)+N(AG127)+N(AH127)+N(AI127))</f>
        <v/>
      </c>
      <c r="AM127" s="27" t="n"/>
      <c r="AN127" s="29" t="n"/>
      <c r="AO127" s="71" t="n"/>
      <c r="AP127" s="71" t="n"/>
      <c r="AQ127" s="71" t="n"/>
      <c r="AR127" s="71" t="n"/>
      <c r="AS127" s="71" t="n"/>
      <c r="AT127" s="22" t="n"/>
    </row>
    <row r="128" ht="15" customHeight="1">
      <c r="A128" s="70">
        <f>IF(C128="","",IFERROR(IF(SUMPRODUCT(MAX((tbl_Finance[Job Number]&amp;""=C128&amp;"")*(tbl_Finance[Xero Invoice No]&lt;&gt;"")*tbl_Finance[Date]))=0,"",SUMPRODUCT(MAX((tbl_Finance[Job Number]&amp;""=C128&amp;"")*(tbl_Finance[Xero Invoice No]&lt;&gt;"")*tbl_Finance[Date]))),""))</f>
        <v/>
      </c>
      <c r="B128" s="26">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2" t="n"/>
      <c r="D128" s="26">
        <f>IF(C128="","",IF(COUNTIF(lst_Jobs,C128&amp;"")&gt;0,"OK","CHECK"))</f>
        <v/>
      </c>
      <c r="E128" s="26">
        <f>IF(C128="","",IFERROR(INDEX(lst_JobName,MATCH(C128&amp;"",lst_Jobs,0)),""))</f>
        <v/>
      </c>
      <c r="F128" s="22" t="n"/>
      <c r="G128" s="22" t="n"/>
      <c r="H128" s="22" t="n"/>
      <c r="I128" s="22" t="n"/>
      <c r="J128" s="22" t="n"/>
      <c r="K128" s="28">
        <f>IF(C128="","",COUNTIFS(tbl_Finance[Job Number],C128&amp;"",tbl_Finance[Ex GST],"&lt;&gt;"))</f>
        <v/>
      </c>
      <c r="L128" s="27">
        <f>IF(C128="","",SUMIFS(tbl_Finance[Ex GST],tbl_Finance[Job Number],C128&amp;""))</f>
        <v/>
      </c>
      <c r="M128" s="27">
        <f>IF(C128="","",SUMIFS(tbl_Finance[Ex GST],tbl_Finance[Job Number],C128&amp;"",tbl_Finance[Xero Invoice No],"&lt;&gt;"))</f>
        <v/>
      </c>
      <c r="N128" s="27">
        <f>IF(C128="","",L128-M128)</f>
        <v/>
      </c>
      <c r="O128" s="24" t="n"/>
      <c r="P128" s="27">
        <f>IF(C128="","",IF(O128="",0,MAX(0,O128-L128)))</f>
        <v/>
      </c>
      <c r="Q128" s="26">
        <f>IF(C128="","",IF(K128=0,"not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R128" s="27">
        <f>IF(C128="","",SUMIFS(tbl_Finance[Inc GST],tbl_Finance[Job Number],C128&amp;""))</f>
        <v/>
      </c>
      <c r="S128" s="22" t="n"/>
      <c r="T128" s="22" t="n"/>
      <c r="U128" s="22" t="n"/>
      <c r="V128" s="23" t="n"/>
      <c r="W128" s="22" t="n"/>
      <c r="X128" s="26">
        <f>IF(W128="","",IF(AND(LEFT(W128,4)&lt;&gt;"http",set_RMSBase=""),"",HYPERLINK(IF(LEFT(W128,4)="http",W128,set_RMSBase&amp;W128),"Open opportunity")))</f>
        <v/>
      </c>
      <c r="Y128" s="22" t="n"/>
      <c r="Z128" s="26">
        <f>IF(Y128="","",HYPERLINK(IF(LEFT(Y128,4)="http",Y128,set_QwilrBase&amp;Y128),"Open quote"))</f>
        <v/>
      </c>
      <c r="AA128" s="26">
        <f>IF(C128="","",C128)</f>
        <v/>
      </c>
      <c r="AB128" s="22" t="n"/>
      <c r="AC128" s="24" t="n"/>
      <c r="AD128" s="27">
        <f>IF(C128="","",L128+N(AC128))</f>
        <v/>
      </c>
      <c r="AE128" s="29">
        <f>IFERROR(AC128/AD128,"")</f>
        <v/>
      </c>
      <c r="AF128" s="24" t="n"/>
      <c r="AG128" s="24" t="n"/>
      <c r="AH128" s="24" t="n"/>
      <c r="AI128" s="24" t="n"/>
      <c r="AJ128" s="27">
        <f>IF(C128="","",SUMIFS(tbl_Finance[Ex GST],tbl_Finance[Job Number],C128&amp;"",tbl_Finance[Cost Centre],"VIDEO"))</f>
        <v/>
      </c>
      <c r="AK128" s="29">
        <f>IFERROR(AJ128/L128,"")</f>
        <v/>
      </c>
      <c r="AL128" s="27">
        <f>IF(C128="","",N(AF128)+N(AG128)+N(AH128)+N(AI128))</f>
        <v/>
      </c>
      <c r="AM128" s="27" t="n"/>
      <c r="AN128" s="29" t="n"/>
      <c r="AO128" s="71" t="n"/>
      <c r="AP128" s="71" t="n"/>
      <c r="AQ128" s="71" t="n"/>
      <c r="AR128" s="71" t="n"/>
      <c r="AS128" s="71" t="n"/>
      <c r="AT128" s="22" t="n"/>
    </row>
    <row r="129" ht="15" customHeight="1">
      <c r="A129" s="70">
        <f>IF(C129="","",IFERROR(IF(SUMPRODUCT(MAX((tbl_Finance[Job Number]&amp;""=C129&amp;"")*(tbl_Finance[Xero Invoice No]&lt;&gt;"")*tbl_Finance[Date]))=0,"",SUMPRODUCT(MAX((tbl_Finance[Job Number]&amp;""=C129&amp;"")*(tbl_Finance[Xero Invoice No]&lt;&gt;"")*tbl_Finance[Date]))),""))</f>
        <v/>
      </c>
      <c r="B129" s="26">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2" t="n"/>
      <c r="D129" s="26">
        <f>IF(C129="","",IF(COUNTIF(lst_Jobs,C129&amp;"")&gt;0,"OK","CHECK"))</f>
        <v/>
      </c>
      <c r="E129" s="26">
        <f>IF(C129="","",IFERROR(INDEX(lst_JobName,MATCH(C129&amp;"",lst_Jobs,0)),""))</f>
        <v/>
      </c>
      <c r="F129" s="22" t="n"/>
      <c r="G129" s="22" t="n"/>
      <c r="H129" s="22" t="n"/>
      <c r="I129" s="22" t="n"/>
      <c r="J129" s="22" t="n"/>
      <c r="K129" s="28">
        <f>IF(C129="","",COUNTIFS(tbl_Finance[Job Number],C129&amp;"",tbl_Finance[Ex GST],"&lt;&gt;"))</f>
        <v/>
      </c>
      <c r="L129" s="27">
        <f>IF(C129="","",SUMIFS(tbl_Finance[Ex GST],tbl_Finance[Job Number],C129&amp;""))</f>
        <v/>
      </c>
      <c r="M129" s="27">
        <f>IF(C129="","",SUMIFS(tbl_Finance[Ex GST],tbl_Finance[Job Number],C129&amp;"",tbl_Finance[Xero Invoice No],"&lt;&gt;"))</f>
        <v/>
      </c>
      <c r="N129" s="27">
        <f>IF(C129="","",L129-M129)</f>
        <v/>
      </c>
      <c r="O129" s="24" t="n"/>
      <c r="P129" s="27">
        <f>IF(C129="","",IF(O129="",0,MAX(0,O129-L129)))</f>
        <v/>
      </c>
      <c r="Q129" s="26">
        <f>IF(C129="","",IF(K129=0,"not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R129" s="27">
        <f>IF(C129="","",SUMIFS(tbl_Finance[Inc GST],tbl_Finance[Job Number],C129&amp;""))</f>
        <v/>
      </c>
      <c r="S129" s="22" t="n"/>
      <c r="T129" s="22" t="n"/>
      <c r="U129" s="22" t="n"/>
      <c r="V129" s="23" t="n"/>
      <c r="W129" s="22" t="n"/>
      <c r="X129" s="26">
        <f>IF(W129="","",IF(AND(LEFT(W129,4)&lt;&gt;"http",set_RMSBase=""),"",HYPERLINK(IF(LEFT(W129,4)="http",W129,set_RMSBase&amp;W129),"Open opportunity")))</f>
        <v/>
      </c>
      <c r="Y129" s="22" t="n"/>
      <c r="Z129" s="26">
        <f>IF(Y129="","",HYPERLINK(IF(LEFT(Y129,4)="http",Y129,set_QwilrBase&amp;Y129),"Open quote"))</f>
        <v/>
      </c>
      <c r="AA129" s="26">
        <f>IF(C129="","",C129)</f>
        <v/>
      </c>
      <c r="AB129" s="22" t="n"/>
      <c r="AC129" s="24" t="n"/>
      <c r="AD129" s="27">
        <f>IF(C129="","",L129+N(AC129))</f>
        <v/>
      </c>
      <c r="AE129" s="29">
        <f>IFERROR(AC129/AD129,"")</f>
        <v/>
      </c>
      <c r="AF129" s="24" t="n"/>
      <c r="AG129" s="24" t="n"/>
      <c r="AH129" s="24" t="n"/>
      <c r="AI129" s="24" t="n"/>
      <c r="AJ129" s="27">
        <f>IF(C129="","",SUMIFS(tbl_Finance[Ex GST],tbl_Finance[Job Number],C129&amp;"",tbl_Finance[Cost Centre],"VIDEO"))</f>
        <v/>
      </c>
      <c r="AK129" s="29">
        <f>IFERROR(AJ129/L129,"")</f>
        <v/>
      </c>
      <c r="AL129" s="27">
        <f>IF(C129="","",N(AF129)+N(AG129)+N(AH129)+N(AI129))</f>
        <v/>
      </c>
      <c r="AM129" s="27" t="n"/>
      <c r="AN129" s="29" t="n"/>
      <c r="AO129" s="71" t="n"/>
      <c r="AP129" s="71" t="n"/>
      <c r="AQ129" s="71" t="n"/>
      <c r="AR129" s="71" t="n"/>
      <c r="AS129" s="71" t="n"/>
      <c r="AT129" s="22" t="n"/>
    </row>
    <row r="130" ht="15" customHeight="1">
      <c r="A130" s="70">
        <f>IF(C130="","",IFERROR(IF(SUMPRODUCT(MAX((tbl_Finance[Job Number]&amp;""=C130&amp;"")*(tbl_Finance[Xero Invoice No]&lt;&gt;"")*tbl_Finance[Date]))=0,"",SUMPRODUCT(MAX((tbl_Finance[Job Number]&amp;""=C130&amp;"")*(tbl_Finance[Xero Invoice No]&lt;&gt;"")*tbl_Finance[Date]))),""))</f>
        <v/>
      </c>
      <c r="B130" s="26">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2" t="n"/>
      <c r="D130" s="26">
        <f>IF(C130="","",IF(COUNTIF(lst_Jobs,C130&amp;"")&gt;0,"OK","CHECK"))</f>
        <v/>
      </c>
      <c r="E130" s="26">
        <f>IF(C130="","",IFERROR(INDEX(lst_JobName,MATCH(C130&amp;"",lst_Jobs,0)),""))</f>
        <v/>
      </c>
      <c r="F130" s="22" t="n"/>
      <c r="G130" s="22" t="n"/>
      <c r="H130" s="22" t="n"/>
      <c r="I130" s="22" t="n"/>
      <c r="J130" s="22" t="n"/>
      <c r="K130" s="28">
        <f>IF(C130="","",COUNTIFS(tbl_Finance[Job Number],C130&amp;"",tbl_Finance[Ex GST],"&lt;&gt;"))</f>
        <v/>
      </c>
      <c r="L130" s="27">
        <f>IF(C130="","",SUMIFS(tbl_Finance[Ex GST],tbl_Finance[Job Number],C130&amp;""))</f>
        <v/>
      </c>
      <c r="M130" s="27">
        <f>IF(C130="","",SUMIFS(tbl_Finance[Ex GST],tbl_Finance[Job Number],C130&amp;"",tbl_Finance[Xero Invoice No],"&lt;&gt;"))</f>
        <v/>
      </c>
      <c r="N130" s="27">
        <f>IF(C130="","",L130-M130)</f>
        <v/>
      </c>
      <c r="O130" s="24" t="n"/>
      <c r="P130" s="27">
        <f>IF(C130="","",IF(O130="",0,MAX(0,O130-L130)))</f>
        <v/>
      </c>
      <c r="Q130" s="26">
        <f>IF(C130="","",IF(K130=0,"not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R130" s="27">
        <f>IF(C130="","",SUMIFS(tbl_Finance[Inc GST],tbl_Finance[Job Number],C130&amp;""))</f>
        <v/>
      </c>
      <c r="S130" s="22" t="n"/>
      <c r="T130" s="22" t="n"/>
      <c r="U130" s="22" t="n"/>
      <c r="V130" s="23" t="n"/>
      <c r="W130" s="22" t="n"/>
      <c r="X130" s="26">
        <f>IF(W130="","",IF(AND(LEFT(W130,4)&lt;&gt;"http",set_RMSBase=""),"",HYPERLINK(IF(LEFT(W130,4)="http",W130,set_RMSBase&amp;W130),"Open opportunity")))</f>
        <v/>
      </c>
      <c r="Y130" s="22" t="n"/>
      <c r="Z130" s="26">
        <f>IF(Y130="","",HYPERLINK(IF(LEFT(Y130,4)="http",Y130,set_QwilrBase&amp;Y130),"Open quote"))</f>
        <v/>
      </c>
      <c r="AA130" s="26">
        <f>IF(C130="","",C130)</f>
        <v/>
      </c>
      <c r="AB130" s="22" t="n"/>
      <c r="AC130" s="24" t="n"/>
      <c r="AD130" s="27">
        <f>IF(C130="","",L130+N(AC130))</f>
        <v/>
      </c>
      <c r="AE130" s="29">
        <f>IFERROR(AC130/AD130,"")</f>
        <v/>
      </c>
      <c r="AF130" s="24" t="n"/>
      <c r="AG130" s="24" t="n"/>
      <c r="AH130" s="24" t="n"/>
      <c r="AI130" s="24" t="n"/>
      <c r="AJ130" s="27">
        <f>IF(C130="","",SUMIFS(tbl_Finance[Ex GST],tbl_Finance[Job Number],C130&amp;"",tbl_Finance[Cost Centre],"VIDEO"))</f>
        <v/>
      </c>
      <c r="AK130" s="29">
        <f>IFERROR(AJ130/L130,"")</f>
        <v/>
      </c>
      <c r="AL130" s="27">
        <f>IF(C130="","",N(AF130)+N(AG130)+N(AH130)+N(AI130))</f>
        <v/>
      </c>
      <c r="AM130" s="27" t="n"/>
      <c r="AN130" s="29" t="n"/>
      <c r="AO130" s="71" t="n"/>
      <c r="AP130" s="71" t="n"/>
      <c r="AQ130" s="71" t="n"/>
      <c r="AR130" s="71" t="n"/>
      <c r="AS130" s="71" t="n"/>
      <c r="AT130" s="22" t="n"/>
    </row>
    <row r="131" ht="15" customHeight="1">
      <c r="A131" s="70">
        <f>IF(C131="","",IFERROR(IF(SUMPRODUCT(MAX((tbl_Finance[Job Number]&amp;""=C131&amp;"")*(tbl_Finance[Xero Invoice No]&lt;&gt;"")*tbl_Finance[Date]))=0,"",SUMPRODUCT(MAX((tbl_Finance[Job Number]&amp;""=C131&amp;"")*(tbl_Finance[Xero Invoice No]&lt;&gt;"")*tbl_Finance[Date]))),""))</f>
        <v/>
      </c>
      <c r="B131" s="26">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2" t="n"/>
      <c r="D131" s="26">
        <f>IF(C131="","",IF(COUNTIF(lst_Jobs,C131&amp;"")&gt;0,"OK","CHECK"))</f>
        <v/>
      </c>
      <c r="E131" s="26">
        <f>IF(C131="","",IFERROR(INDEX(lst_JobName,MATCH(C131&amp;"",lst_Jobs,0)),""))</f>
        <v/>
      </c>
      <c r="F131" s="22" t="n"/>
      <c r="G131" s="22" t="n"/>
      <c r="H131" s="22" t="n"/>
      <c r="I131" s="22" t="n"/>
      <c r="J131" s="22" t="n"/>
      <c r="K131" s="28">
        <f>IF(C131="","",COUNTIFS(tbl_Finance[Job Number],C131&amp;"",tbl_Finance[Ex GST],"&lt;&gt;"))</f>
        <v/>
      </c>
      <c r="L131" s="27">
        <f>IF(C131="","",SUMIFS(tbl_Finance[Ex GST],tbl_Finance[Job Number],C131&amp;""))</f>
        <v/>
      </c>
      <c r="M131" s="27">
        <f>IF(C131="","",SUMIFS(tbl_Finance[Ex GST],tbl_Finance[Job Number],C131&amp;"",tbl_Finance[Xero Invoice No],"&lt;&gt;"))</f>
        <v/>
      </c>
      <c r="N131" s="27">
        <f>IF(C131="","",L131-M131)</f>
        <v/>
      </c>
      <c r="O131" s="24" t="n"/>
      <c r="P131" s="27">
        <f>IF(C131="","",IF(O131="",0,MAX(0,O131-L131)))</f>
        <v/>
      </c>
      <c r="Q131" s="26">
        <f>IF(C131="","",IF(K131=0,"not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R131" s="27">
        <f>IF(C131="","",SUMIFS(tbl_Finance[Inc GST],tbl_Finance[Job Number],C131&amp;""))</f>
        <v/>
      </c>
      <c r="S131" s="22" t="n"/>
      <c r="T131" s="22" t="n"/>
      <c r="U131" s="22" t="n"/>
      <c r="V131" s="23" t="n"/>
      <c r="W131" s="22" t="n"/>
      <c r="X131" s="26">
        <f>IF(W131="","",IF(AND(LEFT(W131,4)&lt;&gt;"http",set_RMSBase=""),"",HYPERLINK(IF(LEFT(W131,4)="http",W131,set_RMSBase&amp;W131),"Open opportunity")))</f>
        <v/>
      </c>
      <c r="Y131" s="22" t="n"/>
      <c r="Z131" s="26">
        <f>IF(Y131="","",HYPERLINK(IF(LEFT(Y131,4)="http",Y131,set_QwilrBase&amp;Y131),"Open quote"))</f>
        <v/>
      </c>
      <c r="AA131" s="26">
        <f>IF(C131="","",C131)</f>
        <v/>
      </c>
      <c r="AB131" s="22" t="n"/>
      <c r="AC131" s="24" t="n"/>
      <c r="AD131" s="27">
        <f>IF(C131="","",L131+N(AC131))</f>
        <v/>
      </c>
      <c r="AE131" s="29">
        <f>IFERROR(AC131/AD131,"")</f>
        <v/>
      </c>
      <c r="AF131" s="24" t="n"/>
      <c r="AG131" s="24" t="n"/>
      <c r="AH131" s="24" t="n"/>
      <c r="AI131" s="24" t="n"/>
      <c r="AJ131" s="27">
        <f>IF(C131="","",SUMIFS(tbl_Finance[Ex GST],tbl_Finance[Job Number],C131&amp;"",tbl_Finance[Cost Centre],"VIDEO"))</f>
        <v/>
      </c>
      <c r="AK131" s="29">
        <f>IFERROR(AJ131/L131,"")</f>
        <v/>
      </c>
      <c r="AL131" s="27">
        <f>IF(C131="","",N(AF131)+N(AG131)+N(AH131)+N(AI131))</f>
        <v/>
      </c>
      <c r="AM131" s="27" t="n"/>
      <c r="AN131" s="29" t="n"/>
      <c r="AO131" s="71" t="n"/>
      <c r="AP131" s="71" t="n"/>
      <c r="AQ131" s="71" t="n"/>
      <c r="AR131" s="71" t="n"/>
      <c r="AS131" s="71" t="n"/>
      <c r="AT131" s="22" t="n"/>
    </row>
    <row r="132" ht="15" customHeight="1">
      <c r="A132" s="70">
        <f>IF(C132="","",IFERROR(IF(SUMPRODUCT(MAX((tbl_Finance[Job Number]&amp;""=C132&amp;"")*(tbl_Finance[Xero Invoice No]&lt;&gt;"")*tbl_Finance[Date]))=0,"",SUMPRODUCT(MAX((tbl_Finance[Job Number]&amp;""=C132&amp;"")*(tbl_Finance[Xero Invoice No]&lt;&gt;"")*tbl_Finance[Date]))),""))</f>
        <v/>
      </c>
      <c r="B132" s="26">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2" t="n"/>
      <c r="D132" s="26">
        <f>IF(C132="","",IF(COUNTIF(lst_Jobs,C132&amp;"")&gt;0,"OK","CHECK"))</f>
        <v/>
      </c>
      <c r="E132" s="26">
        <f>IF(C132="","",IFERROR(INDEX(lst_JobName,MATCH(C132&amp;"",lst_Jobs,0)),""))</f>
        <v/>
      </c>
      <c r="F132" s="22" t="n"/>
      <c r="G132" s="22" t="n"/>
      <c r="H132" s="22" t="n"/>
      <c r="I132" s="22" t="n"/>
      <c r="J132" s="22" t="n"/>
      <c r="K132" s="28">
        <f>IF(C132="","",COUNTIFS(tbl_Finance[Job Number],C132&amp;"",tbl_Finance[Ex GST],"&lt;&gt;"))</f>
        <v/>
      </c>
      <c r="L132" s="27">
        <f>IF(C132="","",SUMIFS(tbl_Finance[Ex GST],tbl_Finance[Job Number],C132&amp;""))</f>
        <v/>
      </c>
      <c r="M132" s="27">
        <f>IF(C132="","",SUMIFS(tbl_Finance[Ex GST],tbl_Finance[Job Number],C132&amp;"",tbl_Finance[Xero Invoice No],"&lt;&gt;"))</f>
        <v/>
      </c>
      <c r="N132" s="27">
        <f>IF(C132="","",L132-M132)</f>
        <v/>
      </c>
      <c r="O132" s="24" t="n"/>
      <c r="P132" s="27">
        <f>IF(C132="","",IF(O132="",0,MAX(0,O132-L132)))</f>
        <v/>
      </c>
      <c r="Q132" s="26">
        <f>IF(C132="","",IF(K132=0,"not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R132" s="27">
        <f>IF(C132="","",SUMIFS(tbl_Finance[Inc GST],tbl_Finance[Job Number],C132&amp;""))</f>
        <v/>
      </c>
      <c r="S132" s="22" t="n"/>
      <c r="T132" s="22" t="n"/>
      <c r="U132" s="22" t="n"/>
      <c r="V132" s="23" t="n"/>
      <c r="W132" s="22" t="n"/>
      <c r="X132" s="26">
        <f>IF(W132="","",IF(AND(LEFT(W132,4)&lt;&gt;"http",set_RMSBase=""),"",HYPERLINK(IF(LEFT(W132,4)="http",W132,set_RMSBase&amp;W132),"Open opportunity")))</f>
        <v/>
      </c>
      <c r="Y132" s="22" t="n"/>
      <c r="Z132" s="26">
        <f>IF(Y132="","",HYPERLINK(IF(LEFT(Y132,4)="http",Y132,set_QwilrBase&amp;Y132),"Open quote"))</f>
        <v/>
      </c>
      <c r="AA132" s="26">
        <f>IF(C132="","",C132)</f>
        <v/>
      </c>
      <c r="AB132" s="22" t="n"/>
      <c r="AC132" s="24" t="n"/>
      <c r="AD132" s="27">
        <f>IF(C132="","",L132+N(AC132))</f>
        <v/>
      </c>
      <c r="AE132" s="29">
        <f>IFERROR(AC132/AD132,"")</f>
        <v/>
      </c>
      <c r="AF132" s="24" t="n"/>
      <c r="AG132" s="24" t="n"/>
      <c r="AH132" s="24" t="n"/>
      <c r="AI132" s="24" t="n"/>
      <c r="AJ132" s="27">
        <f>IF(C132="","",SUMIFS(tbl_Finance[Ex GST],tbl_Finance[Job Number],C132&amp;"",tbl_Finance[Cost Centre],"VIDEO"))</f>
        <v/>
      </c>
      <c r="AK132" s="29">
        <f>IFERROR(AJ132/L132,"")</f>
        <v/>
      </c>
      <c r="AL132" s="27">
        <f>IF(C132="","",N(AF132)+N(AG132)+N(AH132)+N(AI132))</f>
        <v/>
      </c>
      <c r="AM132" s="27" t="n"/>
      <c r="AN132" s="29" t="n"/>
      <c r="AO132" s="71" t="n"/>
      <c r="AP132" s="71" t="n"/>
      <c r="AQ132" s="71" t="n"/>
      <c r="AR132" s="71" t="n"/>
      <c r="AS132" s="71" t="n"/>
      <c r="AT132" s="22" t="n"/>
    </row>
    <row r="133" ht="15" customHeight="1">
      <c r="A133" s="70">
        <f>IF(C133="","",IFERROR(IF(SUMPRODUCT(MAX((tbl_Finance[Job Number]&amp;""=C133&amp;"")*(tbl_Finance[Xero Invoice No]&lt;&gt;"")*tbl_Finance[Date]))=0,"",SUMPRODUCT(MAX((tbl_Finance[Job Number]&amp;""=C133&amp;"")*(tbl_Finance[Xero Invoice No]&lt;&gt;"")*tbl_Finance[Date]))),""))</f>
        <v/>
      </c>
      <c r="B133" s="26">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2" t="n"/>
      <c r="D133" s="26">
        <f>IF(C133="","",IF(COUNTIF(lst_Jobs,C133&amp;"")&gt;0,"OK","CHECK"))</f>
        <v/>
      </c>
      <c r="E133" s="26">
        <f>IF(C133="","",IFERROR(INDEX(lst_JobName,MATCH(C133&amp;"",lst_Jobs,0)),""))</f>
        <v/>
      </c>
      <c r="F133" s="22" t="n"/>
      <c r="G133" s="22" t="n"/>
      <c r="H133" s="22" t="n"/>
      <c r="I133" s="22" t="n"/>
      <c r="J133" s="22" t="n"/>
      <c r="K133" s="28">
        <f>IF(C133="","",COUNTIFS(tbl_Finance[Job Number],C133&amp;"",tbl_Finance[Ex GST],"&lt;&gt;"))</f>
        <v/>
      </c>
      <c r="L133" s="27">
        <f>IF(C133="","",SUMIFS(tbl_Finance[Ex GST],tbl_Finance[Job Number],C133&amp;""))</f>
        <v/>
      </c>
      <c r="M133" s="27">
        <f>IF(C133="","",SUMIFS(tbl_Finance[Ex GST],tbl_Finance[Job Number],C133&amp;"",tbl_Finance[Xero Invoice No],"&lt;&gt;"))</f>
        <v/>
      </c>
      <c r="N133" s="27">
        <f>IF(C133="","",L133-M133)</f>
        <v/>
      </c>
      <c r="O133" s="24" t="n"/>
      <c r="P133" s="27">
        <f>IF(C133="","",IF(O133="",0,MAX(0,O133-L133)))</f>
        <v/>
      </c>
      <c r="Q133" s="26">
        <f>IF(C133="","",IF(K133=0,"not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R133" s="27">
        <f>IF(C133="","",SUMIFS(tbl_Finance[Inc GST],tbl_Finance[Job Number],C133&amp;""))</f>
        <v/>
      </c>
      <c r="S133" s="22" t="n"/>
      <c r="T133" s="22" t="n"/>
      <c r="U133" s="22" t="n"/>
      <c r="V133" s="23" t="n"/>
      <c r="W133" s="22" t="n"/>
      <c r="X133" s="26">
        <f>IF(W133="","",IF(AND(LEFT(W133,4)&lt;&gt;"http",set_RMSBase=""),"",HYPERLINK(IF(LEFT(W133,4)="http",W133,set_RMSBase&amp;W133),"Open opportunity")))</f>
        <v/>
      </c>
      <c r="Y133" s="22" t="n"/>
      <c r="Z133" s="26">
        <f>IF(Y133="","",HYPERLINK(IF(LEFT(Y133,4)="http",Y133,set_QwilrBase&amp;Y133),"Open quote"))</f>
        <v/>
      </c>
      <c r="AA133" s="26">
        <f>IF(C133="","",C133)</f>
        <v/>
      </c>
      <c r="AB133" s="22" t="n"/>
      <c r="AC133" s="24" t="n"/>
      <c r="AD133" s="27">
        <f>IF(C133="","",L133+N(AC133))</f>
        <v/>
      </c>
      <c r="AE133" s="29">
        <f>IFERROR(AC133/AD133,"")</f>
        <v/>
      </c>
      <c r="AF133" s="24" t="n"/>
      <c r="AG133" s="24" t="n"/>
      <c r="AH133" s="24" t="n"/>
      <c r="AI133" s="24" t="n"/>
      <c r="AJ133" s="27">
        <f>IF(C133="","",SUMIFS(tbl_Finance[Ex GST],tbl_Finance[Job Number],C133&amp;"",tbl_Finance[Cost Centre],"VIDEO"))</f>
        <v/>
      </c>
      <c r="AK133" s="29">
        <f>IFERROR(AJ133/L133,"")</f>
        <v/>
      </c>
      <c r="AL133" s="27">
        <f>IF(C133="","",N(AF133)+N(AG133)+N(AH133)+N(AI133))</f>
        <v/>
      </c>
      <c r="AM133" s="27" t="n"/>
      <c r="AN133" s="29" t="n"/>
      <c r="AO133" s="71" t="n"/>
      <c r="AP133" s="71" t="n"/>
      <c r="AQ133" s="71" t="n"/>
      <c r="AR133" s="71" t="n"/>
      <c r="AS133" s="71" t="n"/>
      <c r="AT133" s="22" t="n"/>
    </row>
    <row r="134" ht="15" customHeight="1">
      <c r="A134" s="70">
        <f>IF(C134="","",IFERROR(IF(SUMPRODUCT(MAX((tbl_Finance[Job Number]&amp;""=C134&amp;"")*(tbl_Finance[Xero Invoice No]&lt;&gt;"")*tbl_Finance[Date]))=0,"",SUMPRODUCT(MAX((tbl_Finance[Job Number]&amp;""=C134&amp;"")*(tbl_Finance[Xero Invoice No]&lt;&gt;"")*tbl_Finance[Date]))),""))</f>
        <v/>
      </c>
      <c r="B134" s="26">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2" t="n"/>
      <c r="D134" s="26">
        <f>IF(C134="","",IF(COUNTIF(lst_Jobs,C134&amp;"")&gt;0,"OK","CHECK"))</f>
        <v/>
      </c>
      <c r="E134" s="26">
        <f>IF(C134="","",IFERROR(INDEX(lst_JobName,MATCH(C134&amp;"",lst_Jobs,0)),""))</f>
        <v/>
      </c>
      <c r="F134" s="22" t="n"/>
      <c r="G134" s="22" t="n"/>
      <c r="H134" s="22" t="n"/>
      <c r="I134" s="22" t="n"/>
      <c r="J134" s="22" t="n"/>
      <c r="K134" s="28">
        <f>IF(C134="","",COUNTIFS(tbl_Finance[Job Number],C134&amp;"",tbl_Finance[Ex GST],"&lt;&gt;"))</f>
        <v/>
      </c>
      <c r="L134" s="27">
        <f>IF(C134="","",SUMIFS(tbl_Finance[Ex GST],tbl_Finance[Job Number],C134&amp;""))</f>
        <v/>
      </c>
      <c r="M134" s="27">
        <f>IF(C134="","",SUMIFS(tbl_Finance[Ex GST],tbl_Finance[Job Number],C134&amp;"",tbl_Finance[Xero Invoice No],"&lt;&gt;"))</f>
        <v/>
      </c>
      <c r="N134" s="27">
        <f>IF(C134="","",L134-M134)</f>
        <v/>
      </c>
      <c r="O134" s="24" t="n"/>
      <c r="P134" s="27">
        <f>IF(C134="","",IF(O134="",0,MAX(0,O134-L134)))</f>
        <v/>
      </c>
      <c r="Q134" s="26">
        <f>IF(C134="","",IF(K134=0,"not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R134" s="27">
        <f>IF(C134="","",SUMIFS(tbl_Finance[Inc GST],tbl_Finance[Job Number],C134&amp;""))</f>
        <v/>
      </c>
      <c r="S134" s="22" t="n"/>
      <c r="T134" s="22" t="n"/>
      <c r="U134" s="22" t="n"/>
      <c r="V134" s="23" t="n"/>
      <c r="W134" s="22" t="n"/>
      <c r="X134" s="26">
        <f>IF(W134="","",IF(AND(LEFT(W134,4)&lt;&gt;"http",set_RMSBase=""),"",HYPERLINK(IF(LEFT(W134,4)="http",W134,set_RMSBase&amp;W134),"Open opportunity")))</f>
        <v/>
      </c>
      <c r="Y134" s="22" t="n"/>
      <c r="Z134" s="26">
        <f>IF(Y134="","",HYPERLINK(IF(LEFT(Y134,4)="http",Y134,set_QwilrBase&amp;Y134),"Open quote"))</f>
        <v/>
      </c>
      <c r="AA134" s="26">
        <f>IF(C134="","",C134)</f>
        <v/>
      </c>
      <c r="AB134" s="22" t="n"/>
      <c r="AC134" s="24" t="n"/>
      <c r="AD134" s="27">
        <f>IF(C134="","",L134+N(AC134))</f>
        <v/>
      </c>
      <c r="AE134" s="29">
        <f>IFERROR(AC134/AD134,"")</f>
        <v/>
      </c>
      <c r="AF134" s="24" t="n"/>
      <c r="AG134" s="24" t="n"/>
      <c r="AH134" s="24" t="n"/>
      <c r="AI134" s="24" t="n"/>
      <c r="AJ134" s="27">
        <f>IF(C134="","",SUMIFS(tbl_Finance[Ex GST],tbl_Finance[Job Number],C134&amp;"",tbl_Finance[Cost Centre],"VIDEO"))</f>
        <v/>
      </c>
      <c r="AK134" s="29">
        <f>IFERROR(AJ134/L134,"")</f>
        <v/>
      </c>
      <c r="AL134" s="27">
        <f>IF(C134="","",N(AF134)+N(AG134)+N(AH134)+N(AI134))</f>
        <v/>
      </c>
      <c r="AM134" s="27" t="n"/>
      <c r="AN134" s="29" t="n"/>
      <c r="AO134" s="71" t="n"/>
      <c r="AP134" s="71" t="n"/>
      <c r="AQ134" s="71" t="n"/>
      <c r="AR134" s="71" t="n"/>
      <c r="AS134" s="71" t="n"/>
      <c r="AT134" s="22" t="n"/>
    </row>
    <row r="135" ht="15" customHeight="1">
      <c r="A135" s="70">
        <f>IF(C135="","",IFERROR(IF(SUMPRODUCT(MAX((tbl_Finance[Job Number]&amp;""=C135&amp;"")*(tbl_Finance[Xero Invoice No]&lt;&gt;"")*tbl_Finance[Date]))=0,"",SUMPRODUCT(MAX((tbl_Finance[Job Number]&amp;""=C135&amp;"")*(tbl_Finance[Xero Invoice No]&lt;&gt;"")*tbl_Finance[Date]))),""))</f>
        <v/>
      </c>
      <c r="B135" s="26">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2" t="n"/>
      <c r="D135" s="26">
        <f>IF(C135="","",IF(COUNTIF(lst_Jobs,C135&amp;"")&gt;0,"OK","CHECK"))</f>
        <v/>
      </c>
      <c r="E135" s="26">
        <f>IF(C135="","",IFERROR(INDEX(lst_JobName,MATCH(C135&amp;"",lst_Jobs,0)),""))</f>
        <v/>
      </c>
      <c r="F135" s="22" t="n"/>
      <c r="G135" s="22" t="n"/>
      <c r="H135" s="22" t="n"/>
      <c r="I135" s="22" t="n"/>
      <c r="J135" s="22" t="n"/>
      <c r="K135" s="28">
        <f>IF(C135="","",COUNTIFS(tbl_Finance[Job Number],C135&amp;"",tbl_Finance[Ex GST],"&lt;&gt;"))</f>
        <v/>
      </c>
      <c r="L135" s="27">
        <f>IF(C135="","",SUMIFS(tbl_Finance[Ex GST],tbl_Finance[Job Number],C135&amp;""))</f>
        <v/>
      </c>
      <c r="M135" s="27">
        <f>IF(C135="","",SUMIFS(tbl_Finance[Ex GST],tbl_Finance[Job Number],C135&amp;"",tbl_Finance[Xero Invoice No],"&lt;&gt;"))</f>
        <v/>
      </c>
      <c r="N135" s="27">
        <f>IF(C135="","",L135-M135)</f>
        <v/>
      </c>
      <c r="O135" s="24" t="n"/>
      <c r="P135" s="27">
        <f>IF(C135="","",IF(O135="",0,MAX(0,O135-L135)))</f>
        <v/>
      </c>
      <c r="Q135" s="26">
        <f>IF(C135="","",IF(K135=0,"not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R135" s="27">
        <f>IF(C135="","",SUMIFS(tbl_Finance[Inc GST],tbl_Finance[Job Number],C135&amp;""))</f>
        <v/>
      </c>
      <c r="S135" s="22" t="n"/>
      <c r="T135" s="22" t="n"/>
      <c r="U135" s="22" t="n"/>
      <c r="V135" s="23" t="n"/>
      <c r="W135" s="22" t="n"/>
      <c r="X135" s="26">
        <f>IF(W135="","",IF(AND(LEFT(W135,4)&lt;&gt;"http",set_RMSBase=""),"",HYPERLINK(IF(LEFT(W135,4)="http",W135,set_RMSBase&amp;W135),"Open opportunity")))</f>
        <v/>
      </c>
      <c r="Y135" s="22" t="n"/>
      <c r="Z135" s="26">
        <f>IF(Y135="","",HYPERLINK(IF(LEFT(Y135,4)="http",Y135,set_QwilrBase&amp;Y135),"Open quote"))</f>
        <v/>
      </c>
      <c r="AA135" s="26">
        <f>IF(C135="","",C135)</f>
        <v/>
      </c>
      <c r="AB135" s="22" t="n"/>
      <c r="AC135" s="24" t="n"/>
      <c r="AD135" s="27">
        <f>IF(C135="","",L135+N(AC135))</f>
        <v/>
      </c>
      <c r="AE135" s="29">
        <f>IFERROR(AC135/AD135,"")</f>
        <v/>
      </c>
      <c r="AF135" s="24" t="n"/>
      <c r="AG135" s="24" t="n"/>
      <c r="AH135" s="24" t="n"/>
      <c r="AI135" s="24" t="n"/>
      <c r="AJ135" s="27">
        <f>IF(C135="","",SUMIFS(tbl_Finance[Ex GST],tbl_Finance[Job Number],C135&amp;"",tbl_Finance[Cost Centre],"VIDEO"))</f>
        <v/>
      </c>
      <c r="AK135" s="29">
        <f>IFERROR(AJ135/L135,"")</f>
        <v/>
      </c>
      <c r="AL135" s="27">
        <f>IF(C135="","",N(AF135)+N(AG135)+N(AH135)+N(AI135))</f>
        <v/>
      </c>
      <c r="AM135" s="27" t="n"/>
      <c r="AN135" s="29" t="n"/>
      <c r="AO135" s="71" t="n"/>
      <c r="AP135" s="71" t="n"/>
      <c r="AQ135" s="71" t="n"/>
      <c r="AR135" s="71" t="n"/>
      <c r="AS135" s="71" t="n"/>
      <c r="AT135" s="22" t="n"/>
    </row>
    <row r="136" ht="15" customHeight="1">
      <c r="A136" s="70">
        <f>IF(C136="","",IFERROR(IF(SUMPRODUCT(MAX((tbl_Finance[Job Number]&amp;""=C136&amp;"")*(tbl_Finance[Xero Invoice No]&lt;&gt;"")*tbl_Finance[Date]))=0,"",SUMPRODUCT(MAX((tbl_Finance[Job Number]&amp;""=C136&amp;"")*(tbl_Finance[Xero Invoice No]&lt;&gt;"")*tbl_Finance[Date]))),""))</f>
        <v/>
      </c>
      <c r="B136" s="26">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2" t="n"/>
      <c r="D136" s="26">
        <f>IF(C136="","",IF(COUNTIF(lst_Jobs,C136&amp;"")&gt;0,"OK","CHECK"))</f>
        <v/>
      </c>
      <c r="E136" s="26">
        <f>IF(C136="","",IFERROR(INDEX(lst_JobName,MATCH(C136&amp;"",lst_Jobs,0)),""))</f>
        <v/>
      </c>
      <c r="F136" s="22" t="n"/>
      <c r="G136" s="22" t="n"/>
      <c r="H136" s="22" t="n"/>
      <c r="I136" s="22" t="n"/>
      <c r="J136" s="22" t="n"/>
      <c r="K136" s="28">
        <f>IF(C136="","",COUNTIFS(tbl_Finance[Job Number],C136&amp;"",tbl_Finance[Ex GST],"&lt;&gt;"))</f>
        <v/>
      </c>
      <c r="L136" s="27">
        <f>IF(C136="","",SUMIFS(tbl_Finance[Ex GST],tbl_Finance[Job Number],C136&amp;""))</f>
        <v/>
      </c>
      <c r="M136" s="27">
        <f>IF(C136="","",SUMIFS(tbl_Finance[Ex GST],tbl_Finance[Job Number],C136&amp;"",tbl_Finance[Xero Invoice No],"&lt;&gt;"))</f>
        <v/>
      </c>
      <c r="N136" s="27">
        <f>IF(C136="","",L136-M136)</f>
        <v/>
      </c>
      <c r="O136" s="24" t="n"/>
      <c r="P136" s="27">
        <f>IF(C136="","",IF(O136="",0,MAX(0,O136-L136)))</f>
        <v/>
      </c>
      <c r="Q136" s="26">
        <f>IF(C136="","",IF(K136=0,"not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R136" s="27">
        <f>IF(C136="","",SUMIFS(tbl_Finance[Inc GST],tbl_Finance[Job Number],C136&amp;""))</f>
        <v/>
      </c>
      <c r="S136" s="22" t="n"/>
      <c r="T136" s="22" t="n"/>
      <c r="U136" s="22" t="n"/>
      <c r="V136" s="23" t="n"/>
      <c r="W136" s="22" t="n"/>
      <c r="X136" s="26">
        <f>IF(W136="","",IF(AND(LEFT(W136,4)&lt;&gt;"http",set_RMSBase=""),"",HYPERLINK(IF(LEFT(W136,4)="http",W136,set_RMSBase&amp;W136),"Open opportunity")))</f>
        <v/>
      </c>
      <c r="Y136" s="22" t="n"/>
      <c r="Z136" s="26">
        <f>IF(Y136="","",HYPERLINK(IF(LEFT(Y136,4)="http",Y136,set_QwilrBase&amp;Y136),"Open quote"))</f>
        <v/>
      </c>
      <c r="AA136" s="26">
        <f>IF(C136="","",C136)</f>
        <v/>
      </c>
      <c r="AB136" s="22" t="n"/>
      <c r="AC136" s="24" t="n"/>
      <c r="AD136" s="27">
        <f>IF(C136="","",L136+N(AC136))</f>
        <v/>
      </c>
      <c r="AE136" s="29">
        <f>IFERROR(AC136/AD136,"")</f>
        <v/>
      </c>
      <c r="AF136" s="24" t="n"/>
      <c r="AG136" s="24" t="n"/>
      <c r="AH136" s="24" t="n"/>
      <c r="AI136" s="24" t="n"/>
      <c r="AJ136" s="27">
        <f>IF(C136="","",SUMIFS(tbl_Finance[Ex GST],tbl_Finance[Job Number],C136&amp;"",tbl_Finance[Cost Centre],"VIDEO"))</f>
        <v/>
      </c>
      <c r="AK136" s="29">
        <f>IFERROR(AJ136/L136,"")</f>
        <v/>
      </c>
      <c r="AL136" s="27">
        <f>IF(C136="","",N(AF136)+N(AG136)+N(AH136)+N(AI136))</f>
        <v/>
      </c>
      <c r="AM136" s="27" t="n"/>
      <c r="AN136" s="29" t="n"/>
      <c r="AO136" s="71" t="n"/>
      <c r="AP136" s="71" t="n"/>
      <c r="AQ136" s="71" t="n"/>
      <c r="AR136" s="71" t="n"/>
      <c r="AS136" s="71" t="n"/>
      <c r="AT136" s="22" t="n"/>
    </row>
    <row r="137" ht="15" customHeight="1">
      <c r="A137" s="70">
        <f>IF(C137="","",IFERROR(IF(SUMPRODUCT(MAX((tbl_Finance[Job Number]&amp;""=C137&amp;"")*(tbl_Finance[Xero Invoice No]&lt;&gt;"")*tbl_Finance[Date]))=0,"",SUMPRODUCT(MAX((tbl_Finance[Job Number]&amp;""=C137&amp;"")*(tbl_Finance[Xero Invoice No]&lt;&gt;"")*tbl_Finance[Date]))),""))</f>
        <v/>
      </c>
      <c r="B137" s="26">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2" t="n"/>
      <c r="D137" s="26">
        <f>IF(C137="","",IF(COUNTIF(lst_Jobs,C137&amp;"")&gt;0,"OK","CHECK"))</f>
        <v/>
      </c>
      <c r="E137" s="26">
        <f>IF(C137="","",IFERROR(INDEX(lst_JobName,MATCH(C137&amp;"",lst_Jobs,0)),""))</f>
        <v/>
      </c>
      <c r="F137" s="22" t="n"/>
      <c r="G137" s="22" t="n"/>
      <c r="H137" s="22" t="n"/>
      <c r="I137" s="22" t="n"/>
      <c r="J137" s="22" t="n"/>
      <c r="K137" s="28">
        <f>IF(C137="","",COUNTIFS(tbl_Finance[Job Number],C137&amp;"",tbl_Finance[Ex GST],"&lt;&gt;"))</f>
        <v/>
      </c>
      <c r="L137" s="27">
        <f>IF(C137="","",SUMIFS(tbl_Finance[Ex GST],tbl_Finance[Job Number],C137&amp;""))</f>
        <v/>
      </c>
      <c r="M137" s="27">
        <f>IF(C137="","",SUMIFS(tbl_Finance[Ex GST],tbl_Finance[Job Number],C137&amp;"",tbl_Finance[Xero Invoice No],"&lt;&gt;"))</f>
        <v/>
      </c>
      <c r="N137" s="27">
        <f>IF(C137="","",L137-M137)</f>
        <v/>
      </c>
      <c r="O137" s="24" t="n"/>
      <c r="P137" s="27">
        <f>IF(C137="","",IF(O137="",0,MAX(0,O137-L137)))</f>
        <v/>
      </c>
      <c r="Q137" s="26">
        <f>IF(C137="","",IF(K137=0,"not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R137" s="27">
        <f>IF(C137="","",SUMIFS(tbl_Finance[Inc GST],tbl_Finance[Job Number],C137&amp;""))</f>
        <v/>
      </c>
      <c r="S137" s="22" t="n"/>
      <c r="T137" s="22" t="n"/>
      <c r="U137" s="22" t="n"/>
      <c r="V137" s="23" t="n"/>
      <c r="W137" s="22" t="n"/>
      <c r="X137" s="26">
        <f>IF(W137="","",IF(AND(LEFT(W137,4)&lt;&gt;"http",set_RMSBase=""),"",HYPERLINK(IF(LEFT(W137,4)="http",W137,set_RMSBase&amp;W137),"Open opportunity")))</f>
        <v/>
      </c>
      <c r="Y137" s="22" t="n"/>
      <c r="Z137" s="26">
        <f>IF(Y137="","",HYPERLINK(IF(LEFT(Y137,4)="http",Y137,set_QwilrBase&amp;Y137),"Open quote"))</f>
        <v/>
      </c>
      <c r="AA137" s="26">
        <f>IF(C137="","",C137)</f>
        <v/>
      </c>
      <c r="AB137" s="22" t="n"/>
      <c r="AC137" s="24" t="n"/>
      <c r="AD137" s="27">
        <f>IF(C137="","",L137+N(AC137))</f>
        <v/>
      </c>
      <c r="AE137" s="29">
        <f>IFERROR(AC137/AD137,"")</f>
        <v/>
      </c>
      <c r="AF137" s="24" t="n"/>
      <c r="AG137" s="24" t="n"/>
      <c r="AH137" s="24" t="n"/>
      <c r="AI137" s="24" t="n"/>
      <c r="AJ137" s="27">
        <f>IF(C137="","",SUMIFS(tbl_Finance[Ex GST],tbl_Finance[Job Number],C137&amp;"",tbl_Finance[Cost Centre],"VIDEO"))</f>
        <v/>
      </c>
      <c r="AK137" s="29">
        <f>IFERROR(AJ137/L137,"")</f>
        <v/>
      </c>
      <c r="AL137" s="27">
        <f>IF(C137="","",N(AF137)+N(AG137)+N(AH137)+N(AI137))</f>
        <v/>
      </c>
      <c r="AM137" s="27" t="n"/>
      <c r="AN137" s="29" t="n"/>
      <c r="AO137" s="71" t="n"/>
      <c r="AP137" s="71" t="n"/>
      <c r="AQ137" s="71" t="n"/>
      <c r="AR137" s="71" t="n"/>
      <c r="AS137" s="71" t="n"/>
      <c r="AT137" s="22" t="n"/>
    </row>
    <row r="138" ht="15" customHeight="1">
      <c r="A138" s="70">
        <f>IF(C138="","",IFERROR(IF(SUMPRODUCT(MAX((tbl_Finance[Job Number]&amp;""=C138&amp;"")*(tbl_Finance[Xero Invoice No]&lt;&gt;"")*tbl_Finance[Date]))=0,"",SUMPRODUCT(MAX((tbl_Finance[Job Number]&amp;""=C138&amp;"")*(tbl_Finance[Xero Invoice No]&lt;&gt;"")*tbl_Finance[Date]))),""))</f>
        <v/>
      </c>
      <c r="B138" s="26">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2" t="n"/>
      <c r="D138" s="26">
        <f>IF(C138="","",IF(COUNTIF(lst_Jobs,C138&amp;"")&gt;0,"OK","CHECK"))</f>
        <v/>
      </c>
      <c r="E138" s="26">
        <f>IF(C138="","",IFERROR(INDEX(lst_JobName,MATCH(C138&amp;"",lst_Jobs,0)),""))</f>
        <v/>
      </c>
      <c r="F138" s="22" t="n"/>
      <c r="G138" s="22" t="n"/>
      <c r="H138" s="22" t="n"/>
      <c r="I138" s="22" t="n"/>
      <c r="J138" s="22" t="n"/>
      <c r="K138" s="28">
        <f>IF(C138="","",COUNTIFS(tbl_Finance[Job Number],C138&amp;"",tbl_Finance[Ex GST],"&lt;&gt;"))</f>
        <v/>
      </c>
      <c r="L138" s="27">
        <f>IF(C138="","",SUMIFS(tbl_Finance[Ex GST],tbl_Finance[Job Number],C138&amp;""))</f>
        <v/>
      </c>
      <c r="M138" s="27">
        <f>IF(C138="","",SUMIFS(tbl_Finance[Ex GST],tbl_Finance[Job Number],C138&amp;"",tbl_Finance[Xero Invoice No],"&lt;&gt;"))</f>
        <v/>
      </c>
      <c r="N138" s="27">
        <f>IF(C138="","",L138-M138)</f>
        <v/>
      </c>
      <c r="O138" s="24" t="n"/>
      <c r="P138" s="27">
        <f>IF(C138="","",IF(O138="",0,MAX(0,O138-L138)))</f>
        <v/>
      </c>
      <c r="Q138" s="26">
        <f>IF(C138="","",IF(K138=0,"not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R138" s="27">
        <f>IF(C138="","",SUMIFS(tbl_Finance[Inc GST],tbl_Finance[Job Number],C138&amp;""))</f>
        <v/>
      </c>
      <c r="S138" s="22" t="n"/>
      <c r="T138" s="22" t="n"/>
      <c r="U138" s="22" t="n"/>
      <c r="V138" s="23" t="n"/>
      <c r="W138" s="22" t="n"/>
      <c r="X138" s="26">
        <f>IF(W138="","",IF(AND(LEFT(W138,4)&lt;&gt;"http",set_RMSBase=""),"",HYPERLINK(IF(LEFT(W138,4)="http",W138,set_RMSBase&amp;W138),"Open opportunity")))</f>
        <v/>
      </c>
      <c r="Y138" s="22" t="n"/>
      <c r="Z138" s="26">
        <f>IF(Y138="","",HYPERLINK(IF(LEFT(Y138,4)="http",Y138,set_QwilrBase&amp;Y138),"Open quote"))</f>
        <v/>
      </c>
      <c r="AA138" s="26">
        <f>IF(C138="","",C138)</f>
        <v/>
      </c>
      <c r="AB138" s="22" t="n"/>
      <c r="AC138" s="24" t="n"/>
      <c r="AD138" s="27">
        <f>IF(C138="","",L138+N(AC138))</f>
        <v/>
      </c>
      <c r="AE138" s="29">
        <f>IFERROR(AC138/AD138,"")</f>
        <v/>
      </c>
      <c r="AF138" s="24" t="n"/>
      <c r="AG138" s="24" t="n"/>
      <c r="AH138" s="24" t="n"/>
      <c r="AI138" s="24" t="n"/>
      <c r="AJ138" s="27">
        <f>IF(C138="","",SUMIFS(tbl_Finance[Ex GST],tbl_Finance[Job Number],C138&amp;"",tbl_Finance[Cost Centre],"VIDEO"))</f>
        <v/>
      </c>
      <c r="AK138" s="29">
        <f>IFERROR(AJ138/L138,"")</f>
        <v/>
      </c>
      <c r="AL138" s="27">
        <f>IF(C138="","",N(AF138)+N(AG138)+N(AH138)+N(AI138))</f>
        <v/>
      </c>
      <c r="AM138" s="27" t="n"/>
      <c r="AN138" s="29" t="n"/>
      <c r="AO138" s="71" t="n"/>
      <c r="AP138" s="71" t="n"/>
      <c r="AQ138" s="71" t="n"/>
      <c r="AR138" s="71" t="n"/>
      <c r="AS138" s="71" t="n"/>
      <c r="AT138" s="22" t="n"/>
    </row>
    <row r="139" ht="15" customHeight="1">
      <c r="A139" s="70">
        <f>IF(C139="","",IFERROR(IF(SUMPRODUCT(MAX((tbl_Finance[Job Number]&amp;""=C139&amp;"")*(tbl_Finance[Xero Invoice No]&lt;&gt;"")*tbl_Finance[Date]))=0,"",SUMPRODUCT(MAX((tbl_Finance[Job Number]&amp;""=C139&amp;"")*(tbl_Finance[Xero Invoice No]&lt;&gt;"")*tbl_Finance[Date]))),""))</f>
        <v/>
      </c>
      <c r="B139" s="26">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2" t="n"/>
      <c r="D139" s="26">
        <f>IF(C139="","",IF(COUNTIF(lst_Jobs,C139&amp;"")&gt;0,"OK","CHECK"))</f>
        <v/>
      </c>
      <c r="E139" s="26">
        <f>IF(C139="","",IFERROR(INDEX(lst_JobName,MATCH(C139&amp;"",lst_Jobs,0)),""))</f>
        <v/>
      </c>
      <c r="F139" s="22" t="n"/>
      <c r="G139" s="22" t="n"/>
      <c r="H139" s="22" t="n"/>
      <c r="I139" s="22" t="n"/>
      <c r="J139" s="22" t="n"/>
      <c r="K139" s="28">
        <f>IF(C139="","",COUNTIFS(tbl_Finance[Job Number],C139&amp;"",tbl_Finance[Ex GST],"&lt;&gt;"))</f>
        <v/>
      </c>
      <c r="L139" s="27">
        <f>IF(C139="","",SUMIFS(tbl_Finance[Ex GST],tbl_Finance[Job Number],C139&amp;""))</f>
        <v/>
      </c>
      <c r="M139" s="27">
        <f>IF(C139="","",SUMIFS(tbl_Finance[Ex GST],tbl_Finance[Job Number],C139&amp;"",tbl_Finance[Xero Invoice No],"&lt;&gt;"))</f>
        <v/>
      </c>
      <c r="N139" s="27">
        <f>IF(C139="","",L139-M139)</f>
        <v/>
      </c>
      <c r="O139" s="24" t="n"/>
      <c r="P139" s="27">
        <f>IF(C139="","",IF(O139="",0,MAX(0,O139-L139)))</f>
        <v/>
      </c>
      <c r="Q139" s="26">
        <f>IF(C139="","",IF(K139=0,"not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R139" s="27">
        <f>IF(C139="","",SUMIFS(tbl_Finance[Inc GST],tbl_Finance[Job Number],C139&amp;""))</f>
        <v/>
      </c>
      <c r="S139" s="22" t="n"/>
      <c r="T139" s="22" t="n"/>
      <c r="U139" s="22" t="n"/>
      <c r="V139" s="23" t="n"/>
      <c r="W139" s="22" t="n"/>
      <c r="X139" s="26">
        <f>IF(W139="","",IF(AND(LEFT(W139,4)&lt;&gt;"http",set_RMSBase=""),"",HYPERLINK(IF(LEFT(W139,4)="http",W139,set_RMSBase&amp;W139),"Open opportunity")))</f>
        <v/>
      </c>
      <c r="Y139" s="22" t="n"/>
      <c r="Z139" s="26">
        <f>IF(Y139="","",HYPERLINK(IF(LEFT(Y139,4)="http",Y139,set_QwilrBase&amp;Y139),"Open quote"))</f>
        <v/>
      </c>
      <c r="AA139" s="26">
        <f>IF(C139="","",C139)</f>
        <v/>
      </c>
      <c r="AB139" s="22" t="n"/>
      <c r="AC139" s="24" t="n"/>
      <c r="AD139" s="27">
        <f>IF(C139="","",L139+N(AC139))</f>
        <v/>
      </c>
      <c r="AE139" s="29">
        <f>IFERROR(AC139/AD139,"")</f>
        <v/>
      </c>
      <c r="AF139" s="24" t="n"/>
      <c r="AG139" s="24" t="n"/>
      <c r="AH139" s="24" t="n"/>
      <c r="AI139" s="24" t="n"/>
      <c r="AJ139" s="27">
        <f>IF(C139="","",SUMIFS(tbl_Finance[Ex GST],tbl_Finance[Job Number],C139&amp;"",tbl_Finance[Cost Centre],"VIDEO"))</f>
        <v/>
      </c>
      <c r="AK139" s="29">
        <f>IFERROR(AJ139/L139,"")</f>
        <v/>
      </c>
      <c r="AL139" s="27">
        <f>IF(C139="","",N(AF139)+N(AG139)+N(AH139)+N(AI139))</f>
        <v/>
      </c>
      <c r="AM139" s="27" t="n"/>
      <c r="AN139" s="29" t="n"/>
      <c r="AO139" s="71" t="n"/>
      <c r="AP139" s="71" t="n"/>
      <c r="AQ139" s="71" t="n"/>
      <c r="AR139" s="71" t="n"/>
      <c r="AS139" s="71" t="n"/>
      <c r="AT139" s="22" t="n"/>
    </row>
    <row r="140" ht="15" customHeight="1">
      <c r="A140" s="70">
        <f>IF(C140="","",IFERROR(IF(SUMPRODUCT(MAX((tbl_Finance[Job Number]&amp;""=C140&amp;"")*(tbl_Finance[Xero Invoice No]&lt;&gt;"")*tbl_Finance[Date]))=0,"",SUMPRODUCT(MAX((tbl_Finance[Job Number]&amp;""=C140&amp;"")*(tbl_Finance[Xero Invoice No]&lt;&gt;"")*tbl_Finance[Date]))),""))</f>
        <v/>
      </c>
      <c r="B140" s="26">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2" t="n"/>
      <c r="D140" s="26">
        <f>IF(C140="","",IF(COUNTIF(lst_Jobs,C140&amp;"")&gt;0,"OK","CHECK"))</f>
        <v/>
      </c>
      <c r="E140" s="26">
        <f>IF(C140="","",IFERROR(INDEX(lst_JobName,MATCH(C140&amp;"",lst_Jobs,0)),""))</f>
        <v/>
      </c>
      <c r="F140" s="22" t="n"/>
      <c r="G140" s="22" t="n"/>
      <c r="H140" s="22" t="n"/>
      <c r="I140" s="22" t="n"/>
      <c r="J140" s="22" t="n"/>
      <c r="K140" s="28">
        <f>IF(C140="","",COUNTIFS(tbl_Finance[Job Number],C140&amp;"",tbl_Finance[Ex GST],"&lt;&gt;"))</f>
        <v/>
      </c>
      <c r="L140" s="27">
        <f>IF(C140="","",SUMIFS(tbl_Finance[Ex GST],tbl_Finance[Job Number],C140&amp;""))</f>
        <v/>
      </c>
      <c r="M140" s="27">
        <f>IF(C140="","",SUMIFS(tbl_Finance[Ex GST],tbl_Finance[Job Number],C140&amp;"",tbl_Finance[Xero Invoice No],"&lt;&gt;"))</f>
        <v/>
      </c>
      <c r="N140" s="27">
        <f>IF(C140="","",L140-M140)</f>
        <v/>
      </c>
      <c r="O140" s="24" t="n"/>
      <c r="P140" s="27">
        <f>IF(C140="","",IF(O140="",0,MAX(0,O140-L140)))</f>
        <v/>
      </c>
      <c r="Q140" s="26">
        <f>IF(C140="","",IF(K140=0,"not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R140" s="27">
        <f>IF(C140="","",SUMIFS(tbl_Finance[Inc GST],tbl_Finance[Job Number],C140&amp;""))</f>
        <v/>
      </c>
      <c r="S140" s="22" t="n"/>
      <c r="T140" s="22" t="n"/>
      <c r="U140" s="22" t="n"/>
      <c r="V140" s="23" t="n"/>
      <c r="W140" s="22" t="n"/>
      <c r="X140" s="26">
        <f>IF(W140="","",IF(AND(LEFT(W140,4)&lt;&gt;"http",set_RMSBase=""),"",HYPERLINK(IF(LEFT(W140,4)="http",W140,set_RMSBase&amp;W140),"Open opportunity")))</f>
        <v/>
      </c>
      <c r="Y140" s="22" t="n"/>
      <c r="Z140" s="26">
        <f>IF(Y140="","",HYPERLINK(IF(LEFT(Y140,4)="http",Y140,set_QwilrBase&amp;Y140),"Open quote"))</f>
        <v/>
      </c>
      <c r="AA140" s="26">
        <f>IF(C140="","",C140)</f>
        <v/>
      </c>
      <c r="AB140" s="22" t="n"/>
      <c r="AC140" s="24" t="n"/>
      <c r="AD140" s="27">
        <f>IF(C140="","",L140+N(AC140))</f>
        <v/>
      </c>
      <c r="AE140" s="29">
        <f>IFERROR(AC140/AD140,"")</f>
        <v/>
      </c>
      <c r="AF140" s="24" t="n"/>
      <c r="AG140" s="24" t="n"/>
      <c r="AH140" s="24" t="n"/>
      <c r="AI140" s="24" t="n"/>
      <c r="AJ140" s="27">
        <f>IF(C140="","",SUMIFS(tbl_Finance[Ex GST],tbl_Finance[Job Number],C140&amp;"",tbl_Finance[Cost Centre],"VIDEO"))</f>
        <v/>
      </c>
      <c r="AK140" s="29">
        <f>IFERROR(AJ140/L140,"")</f>
        <v/>
      </c>
      <c r="AL140" s="27">
        <f>IF(C140="","",N(AF140)+N(AG140)+N(AH140)+N(AI140))</f>
        <v/>
      </c>
      <c r="AM140" s="27" t="n"/>
      <c r="AN140" s="29" t="n"/>
      <c r="AO140" s="71" t="n"/>
      <c r="AP140" s="71" t="n"/>
      <c r="AQ140" s="71" t="n"/>
      <c r="AR140" s="71" t="n"/>
      <c r="AS140" s="71" t="n"/>
      <c r="AT140" s="22" t="n"/>
    </row>
    <row r="141" ht="15" customHeight="1">
      <c r="A141" s="70">
        <f>IF(C141="","",IFERROR(IF(SUMPRODUCT(MAX((tbl_Finance[Job Number]&amp;""=C141&amp;"")*(tbl_Finance[Xero Invoice No]&lt;&gt;"")*tbl_Finance[Date]))=0,"",SUMPRODUCT(MAX((tbl_Finance[Job Number]&amp;""=C141&amp;"")*(tbl_Finance[Xero Invoice No]&lt;&gt;"")*tbl_Finance[Date]))),""))</f>
        <v/>
      </c>
      <c r="B141" s="26">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2" t="n"/>
      <c r="D141" s="26">
        <f>IF(C141="","",IF(COUNTIF(lst_Jobs,C141&amp;"")&gt;0,"OK","CHECK"))</f>
        <v/>
      </c>
      <c r="E141" s="26">
        <f>IF(C141="","",IFERROR(INDEX(lst_JobName,MATCH(C141&amp;"",lst_Jobs,0)),""))</f>
        <v/>
      </c>
      <c r="F141" s="22" t="n"/>
      <c r="G141" s="22" t="n"/>
      <c r="H141" s="22" t="n"/>
      <c r="I141" s="22" t="n"/>
      <c r="J141" s="22" t="n"/>
      <c r="K141" s="28">
        <f>IF(C141="","",COUNTIFS(tbl_Finance[Job Number],C141&amp;"",tbl_Finance[Ex GST],"&lt;&gt;"))</f>
        <v/>
      </c>
      <c r="L141" s="27">
        <f>IF(C141="","",SUMIFS(tbl_Finance[Ex GST],tbl_Finance[Job Number],C141&amp;""))</f>
        <v/>
      </c>
      <c r="M141" s="27">
        <f>IF(C141="","",SUMIFS(tbl_Finance[Ex GST],tbl_Finance[Job Number],C141&amp;"",tbl_Finance[Xero Invoice No],"&lt;&gt;"))</f>
        <v/>
      </c>
      <c r="N141" s="27">
        <f>IF(C141="","",L141-M141)</f>
        <v/>
      </c>
      <c r="O141" s="24" t="n"/>
      <c r="P141" s="27">
        <f>IF(C141="","",IF(O141="",0,MAX(0,O141-L141)))</f>
        <v/>
      </c>
      <c r="Q141" s="26">
        <f>IF(C141="","",IF(K141=0,"not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R141" s="27">
        <f>IF(C141="","",SUMIFS(tbl_Finance[Inc GST],tbl_Finance[Job Number],C141&amp;""))</f>
        <v/>
      </c>
      <c r="S141" s="22" t="n"/>
      <c r="T141" s="22" t="n"/>
      <c r="U141" s="22" t="n"/>
      <c r="V141" s="23" t="n"/>
      <c r="W141" s="22" t="n"/>
      <c r="X141" s="26">
        <f>IF(W141="","",IF(AND(LEFT(W141,4)&lt;&gt;"http",set_RMSBase=""),"",HYPERLINK(IF(LEFT(W141,4)="http",W141,set_RMSBase&amp;W141),"Open opportunity")))</f>
        <v/>
      </c>
      <c r="Y141" s="22" t="n"/>
      <c r="Z141" s="26">
        <f>IF(Y141="","",HYPERLINK(IF(LEFT(Y141,4)="http",Y141,set_QwilrBase&amp;Y141),"Open quote"))</f>
        <v/>
      </c>
      <c r="AA141" s="26">
        <f>IF(C141="","",C141)</f>
        <v/>
      </c>
      <c r="AB141" s="22" t="n"/>
      <c r="AC141" s="24" t="n"/>
      <c r="AD141" s="27">
        <f>IF(C141="","",L141+N(AC141))</f>
        <v/>
      </c>
      <c r="AE141" s="29">
        <f>IFERROR(AC141/AD141,"")</f>
        <v/>
      </c>
      <c r="AF141" s="24" t="n"/>
      <c r="AG141" s="24" t="n"/>
      <c r="AH141" s="24" t="n"/>
      <c r="AI141" s="24" t="n"/>
      <c r="AJ141" s="27">
        <f>IF(C141="","",SUMIFS(tbl_Finance[Ex GST],tbl_Finance[Job Number],C141&amp;"",tbl_Finance[Cost Centre],"VIDEO"))</f>
        <v/>
      </c>
      <c r="AK141" s="29">
        <f>IFERROR(AJ141/L141,"")</f>
        <v/>
      </c>
      <c r="AL141" s="27">
        <f>IF(C141="","",N(AF141)+N(AG141)+N(AH141)+N(AI141))</f>
        <v/>
      </c>
      <c r="AM141" s="27" t="n"/>
      <c r="AN141" s="29" t="n"/>
      <c r="AO141" s="71" t="n"/>
      <c r="AP141" s="71" t="n"/>
      <c r="AQ141" s="71" t="n"/>
      <c r="AR141" s="71" t="n"/>
      <c r="AS141" s="71" t="n"/>
      <c r="AT141" s="22" t="n"/>
    </row>
    <row r="142" ht="15" customHeight="1">
      <c r="A142" s="70">
        <f>IF(C142="","",IFERROR(IF(SUMPRODUCT(MAX((tbl_Finance[Job Number]&amp;""=C142&amp;"")*(tbl_Finance[Xero Invoice No]&lt;&gt;"")*tbl_Finance[Date]))=0,"",SUMPRODUCT(MAX((tbl_Finance[Job Number]&amp;""=C142&amp;"")*(tbl_Finance[Xero Invoice No]&lt;&gt;"")*tbl_Finance[Date]))),""))</f>
        <v/>
      </c>
      <c r="B142" s="26">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2" t="n"/>
      <c r="D142" s="26">
        <f>IF(C142="","",IF(COUNTIF(lst_Jobs,C142&amp;"")&gt;0,"OK","CHECK"))</f>
        <v/>
      </c>
      <c r="E142" s="26">
        <f>IF(C142="","",IFERROR(INDEX(lst_JobName,MATCH(C142&amp;"",lst_Jobs,0)),""))</f>
        <v/>
      </c>
      <c r="F142" s="22" t="n"/>
      <c r="G142" s="22" t="n"/>
      <c r="H142" s="22" t="n"/>
      <c r="I142" s="22" t="n"/>
      <c r="J142" s="22" t="n"/>
      <c r="K142" s="28">
        <f>IF(C142="","",COUNTIFS(tbl_Finance[Job Number],C142&amp;"",tbl_Finance[Ex GST],"&lt;&gt;"))</f>
        <v/>
      </c>
      <c r="L142" s="27">
        <f>IF(C142="","",SUMIFS(tbl_Finance[Ex GST],tbl_Finance[Job Number],C142&amp;""))</f>
        <v/>
      </c>
      <c r="M142" s="27">
        <f>IF(C142="","",SUMIFS(tbl_Finance[Ex GST],tbl_Finance[Job Number],C142&amp;"",tbl_Finance[Xero Invoice No],"&lt;&gt;"))</f>
        <v/>
      </c>
      <c r="N142" s="27">
        <f>IF(C142="","",L142-M142)</f>
        <v/>
      </c>
      <c r="O142" s="24" t="n"/>
      <c r="P142" s="27">
        <f>IF(C142="","",IF(O142="",0,MAX(0,O142-L142)))</f>
        <v/>
      </c>
      <c r="Q142" s="26">
        <f>IF(C142="","",IF(K142=0,"not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R142" s="27">
        <f>IF(C142="","",SUMIFS(tbl_Finance[Inc GST],tbl_Finance[Job Number],C142&amp;""))</f>
        <v/>
      </c>
      <c r="S142" s="22" t="n"/>
      <c r="T142" s="22" t="n"/>
      <c r="U142" s="22" t="n"/>
      <c r="V142" s="23" t="n"/>
      <c r="W142" s="22" t="n"/>
      <c r="X142" s="26">
        <f>IF(W142="","",IF(AND(LEFT(W142,4)&lt;&gt;"http",set_RMSBase=""),"",HYPERLINK(IF(LEFT(W142,4)="http",W142,set_RMSBase&amp;W142),"Open opportunity")))</f>
        <v/>
      </c>
      <c r="Y142" s="22" t="n"/>
      <c r="Z142" s="26">
        <f>IF(Y142="","",HYPERLINK(IF(LEFT(Y142,4)="http",Y142,set_QwilrBase&amp;Y142),"Open quote"))</f>
        <v/>
      </c>
      <c r="AA142" s="26">
        <f>IF(C142="","",C142)</f>
        <v/>
      </c>
      <c r="AB142" s="22" t="n"/>
      <c r="AC142" s="24" t="n"/>
      <c r="AD142" s="27">
        <f>IF(C142="","",L142+N(AC142))</f>
        <v/>
      </c>
      <c r="AE142" s="29">
        <f>IFERROR(AC142/AD142,"")</f>
        <v/>
      </c>
      <c r="AF142" s="24" t="n"/>
      <c r="AG142" s="24" t="n"/>
      <c r="AH142" s="24" t="n"/>
      <c r="AI142" s="24" t="n"/>
      <c r="AJ142" s="27">
        <f>IF(C142="","",SUMIFS(tbl_Finance[Ex GST],tbl_Finance[Job Number],C142&amp;"",tbl_Finance[Cost Centre],"VIDEO"))</f>
        <v/>
      </c>
      <c r="AK142" s="29">
        <f>IFERROR(AJ142/L142,"")</f>
        <v/>
      </c>
      <c r="AL142" s="27">
        <f>IF(C142="","",N(AF142)+N(AG142)+N(AH142)+N(AI142))</f>
        <v/>
      </c>
      <c r="AM142" s="27" t="n"/>
      <c r="AN142" s="29" t="n"/>
      <c r="AO142" s="71" t="n"/>
      <c r="AP142" s="71" t="n"/>
      <c r="AQ142" s="71" t="n"/>
      <c r="AR142" s="71" t="n"/>
      <c r="AS142" s="71" t="n"/>
      <c r="AT142" s="22" t="n"/>
    </row>
    <row r="143" ht="15" customHeight="1">
      <c r="A143" s="70">
        <f>IF(C143="","",IFERROR(IF(SUMPRODUCT(MAX((tbl_Finance[Job Number]&amp;""=C143&amp;"")*(tbl_Finance[Xero Invoice No]&lt;&gt;"")*tbl_Finance[Date]))=0,"",SUMPRODUCT(MAX((tbl_Finance[Job Number]&amp;""=C143&amp;"")*(tbl_Finance[Xero Invoice No]&lt;&gt;"")*tbl_Finance[Date]))),""))</f>
        <v/>
      </c>
      <c r="B143" s="26">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2" t="n"/>
      <c r="D143" s="26">
        <f>IF(C143="","",IF(COUNTIF(lst_Jobs,C143&amp;"")&gt;0,"OK","CHECK"))</f>
        <v/>
      </c>
      <c r="E143" s="26">
        <f>IF(C143="","",IFERROR(INDEX(lst_JobName,MATCH(C143&amp;"",lst_Jobs,0)),""))</f>
        <v/>
      </c>
      <c r="F143" s="22" t="n"/>
      <c r="G143" s="22" t="n"/>
      <c r="H143" s="22" t="n"/>
      <c r="I143" s="22" t="n"/>
      <c r="J143" s="22" t="n"/>
      <c r="K143" s="28">
        <f>IF(C143="","",COUNTIFS(tbl_Finance[Job Number],C143&amp;"",tbl_Finance[Ex GST],"&lt;&gt;"))</f>
        <v/>
      </c>
      <c r="L143" s="27">
        <f>IF(C143="","",SUMIFS(tbl_Finance[Ex GST],tbl_Finance[Job Number],C143&amp;""))</f>
        <v/>
      </c>
      <c r="M143" s="27">
        <f>IF(C143="","",SUMIFS(tbl_Finance[Ex GST],tbl_Finance[Job Number],C143&amp;"",tbl_Finance[Xero Invoice No],"&lt;&gt;"))</f>
        <v/>
      </c>
      <c r="N143" s="27">
        <f>IF(C143="","",L143-M143)</f>
        <v/>
      </c>
      <c r="O143" s="24" t="n"/>
      <c r="P143" s="27">
        <f>IF(C143="","",IF(O143="",0,MAX(0,O143-L143)))</f>
        <v/>
      </c>
      <c r="Q143" s="26">
        <f>IF(C143="","",IF(K143=0,"not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R143" s="27">
        <f>IF(C143="","",SUMIFS(tbl_Finance[Inc GST],tbl_Finance[Job Number],C143&amp;""))</f>
        <v/>
      </c>
      <c r="S143" s="22" t="n"/>
      <c r="T143" s="22" t="n"/>
      <c r="U143" s="22" t="n"/>
      <c r="V143" s="23" t="n"/>
      <c r="W143" s="22" t="n"/>
      <c r="X143" s="26">
        <f>IF(W143="","",IF(AND(LEFT(W143,4)&lt;&gt;"http",set_RMSBase=""),"",HYPERLINK(IF(LEFT(W143,4)="http",W143,set_RMSBase&amp;W143),"Open opportunity")))</f>
        <v/>
      </c>
      <c r="Y143" s="22" t="n"/>
      <c r="Z143" s="26">
        <f>IF(Y143="","",HYPERLINK(IF(LEFT(Y143,4)="http",Y143,set_QwilrBase&amp;Y143),"Open quote"))</f>
        <v/>
      </c>
      <c r="AA143" s="26">
        <f>IF(C143="","",C143)</f>
        <v/>
      </c>
      <c r="AB143" s="22" t="n"/>
      <c r="AC143" s="24" t="n"/>
      <c r="AD143" s="27">
        <f>IF(C143="","",L143+N(AC143))</f>
        <v/>
      </c>
      <c r="AE143" s="29">
        <f>IFERROR(AC143/AD143,"")</f>
        <v/>
      </c>
      <c r="AF143" s="24" t="n"/>
      <c r="AG143" s="24" t="n"/>
      <c r="AH143" s="24" t="n"/>
      <c r="AI143" s="24" t="n"/>
      <c r="AJ143" s="27">
        <f>IF(C143="","",SUMIFS(tbl_Finance[Ex GST],tbl_Finance[Job Number],C143&amp;"",tbl_Finance[Cost Centre],"VIDEO"))</f>
        <v/>
      </c>
      <c r="AK143" s="29">
        <f>IFERROR(AJ143/L143,"")</f>
        <v/>
      </c>
      <c r="AL143" s="27">
        <f>IF(C143="","",N(AF143)+N(AG143)+N(AH143)+N(AI143))</f>
        <v/>
      </c>
      <c r="AM143" s="27" t="n"/>
      <c r="AN143" s="29" t="n"/>
      <c r="AO143" s="71" t="n"/>
      <c r="AP143" s="71" t="n"/>
      <c r="AQ143" s="71" t="n"/>
      <c r="AR143" s="71" t="n"/>
      <c r="AS143" s="71" t="n"/>
      <c r="AT143" s="22" t="n"/>
    </row>
    <row r="144" ht="15" customHeight="1">
      <c r="A144" s="70">
        <f>IF(C144="","",IFERROR(IF(SUMPRODUCT(MAX((tbl_Finance[Job Number]&amp;""=C144&amp;"")*(tbl_Finance[Xero Invoice No]&lt;&gt;"")*tbl_Finance[Date]))=0,"",SUMPRODUCT(MAX((tbl_Finance[Job Number]&amp;""=C144&amp;"")*(tbl_Finance[Xero Invoice No]&lt;&gt;"")*tbl_Finance[Date]))),""))</f>
        <v/>
      </c>
      <c r="B144" s="26">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2" t="n"/>
      <c r="D144" s="26">
        <f>IF(C144="","",IF(COUNTIF(lst_Jobs,C144&amp;"")&gt;0,"OK","CHECK"))</f>
        <v/>
      </c>
      <c r="E144" s="26">
        <f>IF(C144="","",IFERROR(INDEX(lst_JobName,MATCH(C144&amp;"",lst_Jobs,0)),""))</f>
        <v/>
      </c>
      <c r="F144" s="22" t="n"/>
      <c r="G144" s="22" t="n"/>
      <c r="H144" s="22" t="n"/>
      <c r="I144" s="22" t="n"/>
      <c r="J144" s="22" t="n"/>
      <c r="K144" s="28">
        <f>IF(C144="","",COUNTIFS(tbl_Finance[Job Number],C144&amp;"",tbl_Finance[Ex GST],"&lt;&gt;"))</f>
        <v/>
      </c>
      <c r="L144" s="27">
        <f>IF(C144="","",SUMIFS(tbl_Finance[Ex GST],tbl_Finance[Job Number],C144&amp;""))</f>
        <v/>
      </c>
      <c r="M144" s="27">
        <f>IF(C144="","",SUMIFS(tbl_Finance[Ex GST],tbl_Finance[Job Number],C144&amp;"",tbl_Finance[Xero Invoice No],"&lt;&gt;"))</f>
        <v/>
      </c>
      <c r="N144" s="27">
        <f>IF(C144="","",L144-M144)</f>
        <v/>
      </c>
      <c r="O144" s="24" t="n"/>
      <c r="P144" s="27">
        <f>IF(C144="","",IF(O144="",0,MAX(0,O144-L144)))</f>
        <v/>
      </c>
      <c r="Q144" s="26">
        <f>IF(C144="","",IF(K144=0,"not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R144" s="27">
        <f>IF(C144="","",SUMIFS(tbl_Finance[Inc GST],tbl_Finance[Job Number],C144&amp;""))</f>
        <v/>
      </c>
      <c r="S144" s="22" t="n"/>
      <c r="T144" s="22" t="n"/>
      <c r="U144" s="22" t="n"/>
      <c r="V144" s="23" t="n"/>
      <c r="W144" s="22" t="n"/>
      <c r="X144" s="26">
        <f>IF(W144="","",IF(AND(LEFT(W144,4)&lt;&gt;"http",set_RMSBase=""),"",HYPERLINK(IF(LEFT(W144,4)="http",W144,set_RMSBase&amp;W144),"Open opportunity")))</f>
        <v/>
      </c>
      <c r="Y144" s="22" t="n"/>
      <c r="Z144" s="26">
        <f>IF(Y144="","",HYPERLINK(IF(LEFT(Y144,4)="http",Y144,set_QwilrBase&amp;Y144),"Open quote"))</f>
        <v/>
      </c>
      <c r="AA144" s="26">
        <f>IF(C144="","",C144)</f>
        <v/>
      </c>
      <c r="AB144" s="22" t="n"/>
      <c r="AC144" s="24" t="n"/>
      <c r="AD144" s="27">
        <f>IF(C144="","",L144+N(AC144))</f>
        <v/>
      </c>
      <c r="AE144" s="29">
        <f>IFERROR(AC144/AD144,"")</f>
        <v/>
      </c>
      <c r="AF144" s="24" t="n"/>
      <c r="AG144" s="24" t="n"/>
      <c r="AH144" s="24" t="n"/>
      <c r="AI144" s="24" t="n"/>
      <c r="AJ144" s="27">
        <f>IF(C144="","",SUMIFS(tbl_Finance[Ex GST],tbl_Finance[Job Number],C144&amp;"",tbl_Finance[Cost Centre],"VIDEO"))</f>
        <v/>
      </c>
      <c r="AK144" s="29">
        <f>IFERROR(AJ144/L144,"")</f>
        <v/>
      </c>
      <c r="AL144" s="27">
        <f>IF(C144="","",N(AF144)+N(AG144)+N(AH144)+N(AI144))</f>
        <v/>
      </c>
      <c r="AM144" s="27" t="n"/>
      <c r="AN144" s="29" t="n"/>
      <c r="AO144" s="71" t="n"/>
      <c r="AP144" s="71" t="n"/>
      <c r="AQ144" s="71" t="n"/>
      <c r="AR144" s="71" t="n"/>
      <c r="AS144" s="71" t="n"/>
      <c r="AT144" s="22" t="n"/>
    </row>
    <row r="145" ht="15" customHeight="1">
      <c r="A145" s="70">
        <f>IF(C145="","",IFERROR(IF(SUMPRODUCT(MAX((tbl_Finance[Job Number]&amp;""=C145&amp;"")*(tbl_Finance[Xero Invoice No]&lt;&gt;"")*tbl_Finance[Date]))=0,"",SUMPRODUCT(MAX((tbl_Finance[Job Number]&amp;""=C145&amp;"")*(tbl_Finance[Xero Invoice No]&lt;&gt;"")*tbl_Finance[Date]))),""))</f>
        <v/>
      </c>
      <c r="B145" s="26">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2" t="n"/>
      <c r="D145" s="26">
        <f>IF(C145="","",IF(COUNTIF(lst_Jobs,C145&amp;"")&gt;0,"OK","CHECK"))</f>
        <v/>
      </c>
      <c r="E145" s="26">
        <f>IF(C145="","",IFERROR(INDEX(lst_JobName,MATCH(C145&amp;"",lst_Jobs,0)),""))</f>
        <v/>
      </c>
      <c r="F145" s="22" t="n"/>
      <c r="G145" s="22" t="n"/>
      <c r="H145" s="22" t="n"/>
      <c r="I145" s="22" t="n"/>
      <c r="J145" s="22" t="n"/>
      <c r="K145" s="28">
        <f>IF(C145="","",COUNTIFS(tbl_Finance[Job Number],C145&amp;"",tbl_Finance[Ex GST],"&lt;&gt;"))</f>
        <v/>
      </c>
      <c r="L145" s="27">
        <f>IF(C145="","",SUMIFS(tbl_Finance[Ex GST],tbl_Finance[Job Number],C145&amp;""))</f>
        <v/>
      </c>
      <c r="M145" s="27">
        <f>IF(C145="","",SUMIFS(tbl_Finance[Ex GST],tbl_Finance[Job Number],C145&amp;"",tbl_Finance[Xero Invoice No],"&lt;&gt;"))</f>
        <v/>
      </c>
      <c r="N145" s="27">
        <f>IF(C145="","",L145-M145)</f>
        <v/>
      </c>
      <c r="O145" s="24" t="n"/>
      <c r="P145" s="27">
        <f>IF(C145="","",IF(O145="",0,MAX(0,O145-L145)))</f>
        <v/>
      </c>
      <c r="Q145" s="26">
        <f>IF(C145="","",IF(K145=0,"not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R145" s="27">
        <f>IF(C145="","",SUMIFS(tbl_Finance[Inc GST],tbl_Finance[Job Number],C145&amp;""))</f>
        <v/>
      </c>
      <c r="S145" s="22" t="n"/>
      <c r="T145" s="22" t="n"/>
      <c r="U145" s="22" t="n"/>
      <c r="V145" s="23" t="n"/>
      <c r="W145" s="22" t="n"/>
      <c r="X145" s="26">
        <f>IF(W145="","",IF(AND(LEFT(W145,4)&lt;&gt;"http",set_RMSBase=""),"",HYPERLINK(IF(LEFT(W145,4)="http",W145,set_RMSBase&amp;W145),"Open opportunity")))</f>
        <v/>
      </c>
      <c r="Y145" s="22" t="n"/>
      <c r="Z145" s="26">
        <f>IF(Y145="","",HYPERLINK(IF(LEFT(Y145,4)="http",Y145,set_QwilrBase&amp;Y145),"Open quote"))</f>
        <v/>
      </c>
      <c r="AA145" s="26">
        <f>IF(C145="","",C145)</f>
        <v/>
      </c>
      <c r="AB145" s="22" t="n"/>
      <c r="AC145" s="24" t="n"/>
      <c r="AD145" s="27">
        <f>IF(C145="","",L145+N(AC145))</f>
        <v/>
      </c>
      <c r="AE145" s="29">
        <f>IFERROR(AC145/AD145,"")</f>
        <v/>
      </c>
      <c r="AF145" s="24" t="n"/>
      <c r="AG145" s="24" t="n"/>
      <c r="AH145" s="24" t="n"/>
      <c r="AI145" s="24" t="n"/>
      <c r="AJ145" s="27">
        <f>IF(C145="","",SUMIFS(tbl_Finance[Ex GST],tbl_Finance[Job Number],C145&amp;"",tbl_Finance[Cost Centre],"VIDEO"))</f>
        <v/>
      </c>
      <c r="AK145" s="29">
        <f>IFERROR(AJ145/L145,"")</f>
        <v/>
      </c>
      <c r="AL145" s="27">
        <f>IF(C145="","",N(AF145)+N(AG145)+N(AH145)+N(AI145))</f>
        <v/>
      </c>
      <c r="AM145" s="27" t="n"/>
      <c r="AN145" s="29" t="n"/>
      <c r="AO145" s="71" t="n"/>
      <c r="AP145" s="71" t="n"/>
      <c r="AQ145" s="71" t="n"/>
      <c r="AR145" s="71" t="n"/>
      <c r="AS145" s="71" t="n"/>
      <c r="AT145" s="22" t="n"/>
    </row>
    <row r="146" ht="15" customHeight="1">
      <c r="A146" s="70">
        <f>IF(C146="","",IFERROR(IF(SUMPRODUCT(MAX((tbl_Finance[Job Number]&amp;""=C146&amp;"")*(tbl_Finance[Xero Invoice No]&lt;&gt;"")*tbl_Finance[Date]))=0,"",SUMPRODUCT(MAX((tbl_Finance[Job Number]&amp;""=C146&amp;"")*(tbl_Finance[Xero Invoice No]&lt;&gt;"")*tbl_Finance[Date]))),""))</f>
        <v/>
      </c>
      <c r="B146" s="26">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2" t="n"/>
      <c r="D146" s="26">
        <f>IF(C146="","",IF(COUNTIF(lst_Jobs,C146&amp;"")&gt;0,"OK","CHECK"))</f>
        <v/>
      </c>
      <c r="E146" s="26">
        <f>IF(C146="","",IFERROR(INDEX(lst_JobName,MATCH(C146&amp;"",lst_Jobs,0)),""))</f>
        <v/>
      </c>
      <c r="F146" s="22" t="n"/>
      <c r="G146" s="22" t="n"/>
      <c r="H146" s="22" t="n"/>
      <c r="I146" s="22" t="n"/>
      <c r="J146" s="22" t="n"/>
      <c r="K146" s="28">
        <f>IF(C146="","",COUNTIFS(tbl_Finance[Job Number],C146&amp;"",tbl_Finance[Ex GST],"&lt;&gt;"))</f>
        <v/>
      </c>
      <c r="L146" s="27">
        <f>IF(C146="","",SUMIFS(tbl_Finance[Ex GST],tbl_Finance[Job Number],C146&amp;""))</f>
        <v/>
      </c>
      <c r="M146" s="27">
        <f>IF(C146="","",SUMIFS(tbl_Finance[Ex GST],tbl_Finance[Job Number],C146&amp;"",tbl_Finance[Xero Invoice No],"&lt;&gt;"))</f>
        <v/>
      </c>
      <c r="N146" s="27">
        <f>IF(C146="","",L146-M146)</f>
        <v/>
      </c>
      <c r="O146" s="24" t="n"/>
      <c r="P146" s="27">
        <f>IF(C146="","",IF(O146="",0,MAX(0,O146-L146)))</f>
        <v/>
      </c>
      <c r="Q146" s="26">
        <f>IF(C146="","",IF(K146=0,"not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R146" s="27">
        <f>IF(C146="","",SUMIFS(tbl_Finance[Inc GST],tbl_Finance[Job Number],C146&amp;""))</f>
        <v/>
      </c>
      <c r="S146" s="22" t="n"/>
      <c r="T146" s="22" t="n"/>
      <c r="U146" s="22" t="n"/>
      <c r="V146" s="23" t="n"/>
      <c r="W146" s="22" t="n"/>
      <c r="X146" s="26">
        <f>IF(W146="","",IF(AND(LEFT(W146,4)&lt;&gt;"http",set_RMSBase=""),"",HYPERLINK(IF(LEFT(W146,4)="http",W146,set_RMSBase&amp;W146),"Open opportunity")))</f>
        <v/>
      </c>
      <c r="Y146" s="22" t="n"/>
      <c r="Z146" s="26">
        <f>IF(Y146="","",HYPERLINK(IF(LEFT(Y146,4)="http",Y146,set_QwilrBase&amp;Y146),"Open quote"))</f>
        <v/>
      </c>
      <c r="AA146" s="26">
        <f>IF(C146="","",C146)</f>
        <v/>
      </c>
      <c r="AB146" s="22" t="n"/>
      <c r="AC146" s="24" t="n"/>
      <c r="AD146" s="27">
        <f>IF(C146="","",L146+N(AC146))</f>
        <v/>
      </c>
      <c r="AE146" s="29">
        <f>IFERROR(AC146/AD146,"")</f>
        <v/>
      </c>
      <c r="AF146" s="24" t="n"/>
      <c r="AG146" s="24" t="n"/>
      <c r="AH146" s="24" t="n"/>
      <c r="AI146" s="24" t="n"/>
      <c r="AJ146" s="27">
        <f>IF(C146="","",SUMIFS(tbl_Finance[Ex GST],tbl_Finance[Job Number],C146&amp;"",tbl_Finance[Cost Centre],"VIDEO"))</f>
        <v/>
      </c>
      <c r="AK146" s="29">
        <f>IFERROR(AJ146/L146,"")</f>
        <v/>
      </c>
      <c r="AL146" s="27">
        <f>IF(C146="","",N(AF146)+N(AG146)+N(AH146)+N(AI146))</f>
        <v/>
      </c>
      <c r="AM146" s="27" t="n"/>
      <c r="AN146" s="29" t="n"/>
      <c r="AO146" s="71" t="n"/>
      <c r="AP146" s="71" t="n"/>
      <c r="AQ146" s="71" t="n"/>
      <c r="AR146" s="71" t="n"/>
      <c r="AS146" s="71" t="n"/>
      <c r="AT146" s="22" t="n"/>
    </row>
    <row r="147" ht="15" customHeight="1">
      <c r="A147" s="70">
        <f>IF(C147="","",IFERROR(IF(SUMPRODUCT(MAX((tbl_Finance[Job Number]&amp;""=C147&amp;"")*(tbl_Finance[Xero Invoice No]&lt;&gt;"")*tbl_Finance[Date]))=0,"",SUMPRODUCT(MAX((tbl_Finance[Job Number]&amp;""=C147&amp;"")*(tbl_Finance[Xero Invoice No]&lt;&gt;"")*tbl_Finance[Date]))),""))</f>
        <v/>
      </c>
      <c r="B147" s="26">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2" t="n"/>
      <c r="D147" s="26">
        <f>IF(C147="","",IF(COUNTIF(lst_Jobs,C147&amp;"")&gt;0,"OK","CHECK"))</f>
        <v/>
      </c>
      <c r="E147" s="26">
        <f>IF(C147="","",IFERROR(INDEX(lst_JobName,MATCH(C147&amp;"",lst_Jobs,0)),""))</f>
        <v/>
      </c>
      <c r="F147" s="22" t="n"/>
      <c r="G147" s="22" t="n"/>
      <c r="H147" s="22" t="n"/>
      <c r="I147" s="22" t="n"/>
      <c r="J147" s="22" t="n"/>
      <c r="K147" s="28">
        <f>IF(C147="","",COUNTIFS(tbl_Finance[Job Number],C147&amp;"",tbl_Finance[Ex GST],"&lt;&gt;"))</f>
        <v/>
      </c>
      <c r="L147" s="27">
        <f>IF(C147="","",SUMIFS(tbl_Finance[Ex GST],tbl_Finance[Job Number],C147&amp;""))</f>
        <v/>
      </c>
      <c r="M147" s="27">
        <f>IF(C147="","",SUMIFS(tbl_Finance[Ex GST],tbl_Finance[Job Number],C147&amp;"",tbl_Finance[Xero Invoice No],"&lt;&gt;"))</f>
        <v/>
      </c>
      <c r="N147" s="27">
        <f>IF(C147="","",L147-M147)</f>
        <v/>
      </c>
      <c r="O147" s="24" t="n"/>
      <c r="P147" s="27">
        <f>IF(C147="","",IF(O147="",0,MAX(0,O147-L147)))</f>
        <v/>
      </c>
      <c r="Q147" s="26">
        <f>IF(C147="","",IF(K147=0,"not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R147" s="27">
        <f>IF(C147="","",SUMIFS(tbl_Finance[Inc GST],tbl_Finance[Job Number],C147&amp;""))</f>
        <v/>
      </c>
      <c r="S147" s="22" t="n"/>
      <c r="T147" s="22" t="n"/>
      <c r="U147" s="22" t="n"/>
      <c r="V147" s="23" t="n"/>
      <c r="W147" s="22" t="n"/>
      <c r="X147" s="26">
        <f>IF(W147="","",IF(AND(LEFT(W147,4)&lt;&gt;"http",set_RMSBase=""),"",HYPERLINK(IF(LEFT(W147,4)="http",W147,set_RMSBase&amp;W147),"Open opportunity")))</f>
        <v/>
      </c>
      <c r="Y147" s="22" t="n"/>
      <c r="Z147" s="26">
        <f>IF(Y147="","",HYPERLINK(IF(LEFT(Y147,4)="http",Y147,set_QwilrBase&amp;Y147),"Open quote"))</f>
        <v/>
      </c>
      <c r="AA147" s="26">
        <f>IF(C147="","",C147)</f>
        <v/>
      </c>
      <c r="AB147" s="22" t="n"/>
      <c r="AC147" s="24" t="n"/>
      <c r="AD147" s="27">
        <f>IF(C147="","",L147+N(AC147))</f>
        <v/>
      </c>
      <c r="AE147" s="29">
        <f>IFERROR(AC147/AD147,"")</f>
        <v/>
      </c>
      <c r="AF147" s="24" t="n"/>
      <c r="AG147" s="24" t="n"/>
      <c r="AH147" s="24" t="n"/>
      <c r="AI147" s="24" t="n"/>
      <c r="AJ147" s="27">
        <f>IF(C147="","",SUMIFS(tbl_Finance[Ex GST],tbl_Finance[Job Number],C147&amp;"",tbl_Finance[Cost Centre],"VIDEO"))</f>
        <v/>
      </c>
      <c r="AK147" s="29">
        <f>IFERROR(AJ147/L147,"")</f>
        <v/>
      </c>
      <c r="AL147" s="27">
        <f>IF(C147="","",N(AF147)+N(AG147)+N(AH147)+N(AI147))</f>
        <v/>
      </c>
      <c r="AM147" s="27" t="n"/>
      <c r="AN147" s="29" t="n"/>
      <c r="AO147" s="71" t="n"/>
      <c r="AP147" s="71" t="n"/>
      <c r="AQ147" s="71" t="n"/>
      <c r="AR147" s="71" t="n"/>
      <c r="AS147" s="71" t="n"/>
      <c r="AT147" s="22" t="n"/>
    </row>
    <row r="148" ht="15" customHeight="1">
      <c r="A148" s="70">
        <f>IF(C148="","",IFERROR(IF(SUMPRODUCT(MAX((tbl_Finance[Job Number]&amp;""=C148&amp;"")*(tbl_Finance[Xero Invoice No]&lt;&gt;"")*tbl_Finance[Date]))=0,"",SUMPRODUCT(MAX((tbl_Finance[Job Number]&amp;""=C148&amp;"")*(tbl_Finance[Xero Invoice No]&lt;&gt;"")*tbl_Finance[Date]))),""))</f>
        <v/>
      </c>
      <c r="B148" s="26">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2" t="n"/>
      <c r="D148" s="26">
        <f>IF(C148="","",IF(COUNTIF(lst_Jobs,C148&amp;"")&gt;0,"OK","CHECK"))</f>
        <v/>
      </c>
      <c r="E148" s="26">
        <f>IF(C148="","",IFERROR(INDEX(lst_JobName,MATCH(C148&amp;"",lst_Jobs,0)),""))</f>
        <v/>
      </c>
      <c r="F148" s="22" t="n"/>
      <c r="G148" s="22" t="n"/>
      <c r="H148" s="22" t="n"/>
      <c r="I148" s="22" t="n"/>
      <c r="J148" s="22" t="n"/>
      <c r="K148" s="28">
        <f>IF(C148="","",COUNTIFS(tbl_Finance[Job Number],C148&amp;"",tbl_Finance[Ex GST],"&lt;&gt;"))</f>
        <v/>
      </c>
      <c r="L148" s="27">
        <f>IF(C148="","",SUMIFS(tbl_Finance[Ex GST],tbl_Finance[Job Number],C148&amp;""))</f>
        <v/>
      </c>
      <c r="M148" s="27">
        <f>IF(C148="","",SUMIFS(tbl_Finance[Ex GST],tbl_Finance[Job Number],C148&amp;"",tbl_Finance[Xero Invoice No],"&lt;&gt;"))</f>
        <v/>
      </c>
      <c r="N148" s="27">
        <f>IF(C148="","",L148-M148)</f>
        <v/>
      </c>
      <c r="O148" s="24" t="n"/>
      <c r="P148" s="27">
        <f>IF(C148="","",IF(O148="",0,MAX(0,O148-L148)))</f>
        <v/>
      </c>
      <c r="Q148" s="26">
        <f>IF(C148="","",IF(K148=0,"not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R148" s="27">
        <f>IF(C148="","",SUMIFS(tbl_Finance[Inc GST],tbl_Finance[Job Number],C148&amp;""))</f>
        <v/>
      </c>
      <c r="S148" s="22" t="n"/>
      <c r="T148" s="22" t="n"/>
      <c r="U148" s="22" t="n"/>
      <c r="V148" s="23" t="n"/>
      <c r="W148" s="22" t="n"/>
      <c r="X148" s="26">
        <f>IF(W148="","",IF(AND(LEFT(W148,4)&lt;&gt;"http",set_RMSBase=""),"",HYPERLINK(IF(LEFT(W148,4)="http",W148,set_RMSBase&amp;W148),"Open opportunity")))</f>
        <v/>
      </c>
      <c r="Y148" s="22" t="n"/>
      <c r="Z148" s="26">
        <f>IF(Y148="","",HYPERLINK(IF(LEFT(Y148,4)="http",Y148,set_QwilrBase&amp;Y148),"Open quote"))</f>
        <v/>
      </c>
      <c r="AA148" s="26">
        <f>IF(C148="","",C148)</f>
        <v/>
      </c>
      <c r="AB148" s="22" t="n"/>
      <c r="AC148" s="24" t="n"/>
      <c r="AD148" s="27">
        <f>IF(C148="","",L148+N(AC148))</f>
        <v/>
      </c>
      <c r="AE148" s="29">
        <f>IFERROR(AC148/AD148,"")</f>
        <v/>
      </c>
      <c r="AF148" s="24" t="n"/>
      <c r="AG148" s="24" t="n"/>
      <c r="AH148" s="24" t="n"/>
      <c r="AI148" s="24" t="n"/>
      <c r="AJ148" s="27">
        <f>IF(C148="","",SUMIFS(tbl_Finance[Ex GST],tbl_Finance[Job Number],C148&amp;"",tbl_Finance[Cost Centre],"VIDEO"))</f>
        <v/>
      </c>
      <c r="AK148" s="29">
        <f>IFERROR(AJ148/L148,"")</f>
        <v/>
      </c>
      <c r="AL148" s="27">
        <f>IF(C148="","",N(AF148)+N(AG148)+N(AH148)+N(AI148))</f>
        <v/>
      </c>
      <c r="AM148" s="27" t="n"/>
      <c r="AN148" s="29" t="n"/>
      <c r="AO148" s="71" t="n"/>
      <c r="AP148" s="71" t="n"/>
      <c r="AQ148" s="71" t="n"/>
      <c r="AR148" s="71" t="n"/>
      <c r="AS148" s="71" t="n"/>
      <c r="AT148" s="22" t="n"/>
    </row>
    <row r="149" ht="15" customHeight="1">
      <c r="A149" s="70">
        <f>IF(C149="","",IFERROR(IF(SUMPRODUCT(MAX((tbl_Finance[Job Number]&amp;""=C149&amp;"")*(tbl_Finance[Xero Invoice No]&lt;&gt;"")*tbl_Finance[Date]))=0,"",SUMPRODUCT(MAX((tbl_Finance[Job Number]&amp;""=C149&amp;"")*(tbl_Finance[Xero Invoice No]&lt;&gt;"")*tbl_Finance[Date]))),""))</f>
        <v/>
      </c>
      <c r="B149" s="26">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2" t="n"/>
      <c r="D149" s="26">
        <f>IF(C149="","",IF(COUNTIF(lst_Jobs,C149&amp;"")&gt;0,"OK","CHECK"))</f>
        <v/>
      </c>
      <c r="E149" s="26">
        <f>IF(C149="","",IFERROR(INDEX(lst_JobName,MATCH(C149&amp;"",lst_Jobs,0)),""))</f>
        <v/>
      </c>
      <c r="F149" s="22" t="n"/>
      <c r="G149" s="22" t="n"/>
      <c r="H149" s="22" t="n"/>
      <c r="I149" s="22" t="n"/>
      <c r="J149" s="22" t="n"/>
      <c r="K149" s="28">
        <f>IF(C149="","",COUNTIFS(tbl_Finance[Job Number],C149&amp;"",tbl_Finance[Ex GST],"&lt;&gt;"))</f>
        <v/>
      </c>
      <c r="L149" s="27">
        <f>IF(C149="","",SUMIFS(tbl_Finance[Ex GST],tbl_Finance[Job Number],C149&amp;""))</f>
        <v/>
      </c>
      <c r="M149" s="27">
        <f>IF(C149="","",SUMIFS(tbl_Finance[Ex GST],tbl_Finance[Job Number],C149&amp;"",tbl_Finance[Xero Invoice No],"&lt;&gt;"))</f>
        <v/>
      </c>
      <c r="N149" s="27">
        <f>IF(C149="","",L149-M149)</f>
        <v/>
      </c>
      <c r="O149" s="24" t="n"/>
      <c r="P149" s="27">
        <f>IF(C149="","",IF(O149="",0,MAX(0,O149-L149)))</f>
        <v/>
      </c>
      <c r="Q149" s="26">
        <f>IF(C149="","",IF(K149=0,"not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R149" s="27">
        <f>IF(C149="","",SUMIFS(tbl_Finance[Inc GST],tbl_Finance[Job Number],C149&amp;""))</f>
        <v/>
      </c>
      <c r="S149" s="22" t="n"/>
      <c r="T149" s="22" t="n"/>
      <c r="U149" s="22" t="n"/>
      <c r="V149" s="23" t="n"/>
      <c r="W149" s="22" t="n"/>
      <c r="X149" s="26">
        <f>IF(W149="","",IF(AND(LEFT(W149,4)&lt;&gt;"http",set_RMSBase=""),"",HYPERLINK(IF(LEFT(W149,4)="http",W149,set_RMSBase&amp;W149),"Open opportunity")))</f>
        <v/>
      </c>
      <c r="Y149" s="22" t="n"/>
      <c r="Z149" s="26">
        <f>IF(Y149="","",HYPERLINK(IF(LEFT(Y149,4)="http",Y149,set_QwilrBase&amp;Y149),"Open quote"))</f>
        <v/>
      </c>
      <c r="AA149" s="26">
        <f>IF(C149="","",C149)</f>
        <v/>
      </c>
      <c r="AB149" s="22" t="n"/>
      <c r="AC149" s="24" t="n"/>
      <c r="AD149" s="27">
        <f>IF(C149="","",L149+N(AC149))</f>
        <v/>
      </c>
      <c r="AE149" s="29">
        <f>IFERROR(AC149/AD149,"")</f>
        <v/>
      </c>
      <c r="AF149" s="24" t="n"/>
      <c r="AG149" s="24" t="n"/>
      <c r="AH149" s="24" t="n"/>
      <c r="AI149" s="24" t="n"/>
      <c r="AJ149" s="27">
        <f>IF(C149="","",SUMIFS(tbl_Finance[Ex GST],tbl_Finance[Job Number],C149&amp;"",tbl_Finance[Cost Centre],"VIDEO"))</f>
        <v/>
      </c>
      <c r="AK149" s="29">
        <f>IFERROR(AJ149/L149,"")</f>
        <v/>
      </c>
      <c r="AL149" s="27">
        <f>IF(C149="","",N(AF149)+N(AG149)+N(AH149)+N(AI149))</f>
        <v/>
      </c>
      <c r="AM149" s="27" t="n"/>
      <c r="AN149" s="29" t="n"/>
      <c r="AO149" s="71" t="n"/>
      <c r="AP149" s="71" t="n"/>
      <c r="AQ149" s="71" t="n"/>
      <c r="AR149" s="71" t="n"/>
      <c r="AS149" s="71" t="n"/>
      <c r="AT149" s="22" t="n"/>
    </row>
    <row r="150" ht="15" customHeight="1">
      <c r="A150" s="70">
        <f>IF(C150="","",IFERROR(IF(SUMPRODUCT(MAX((tbl_Finance[Job Number]&amp;""=C150&amp;"")*(tbl_Finance[Xero Invoice No]&lt;&gt;"")*tbl_Finance[Date]))=0,"",SUMPRODUCT(MAX((tbl_Finance[Job Number]&amp;""=C150&amp;"")*(tbl_Finance[Xero Invoice No]&lt;&gt;"")*tbl_Finance[Date]))),""))</f>
        <v/>
      </c>
      <c r="B150" s="26">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2" t="n"/>
      <c r="D150" s="26">
        <f>IF(C150="","",IF(COUNTIF(lst_Jobs,C150&amp;"")&gt;0,"OK","CHECK"))</f>
        <v/>
      </c>
      <c r="E150" s="26">
        <f>IF(C150="","",IFERROR(INDEX(lst_JobName,MATCH(C150&amp;"",lst_Jobs,0)),""))</f>
        <v/>
      </c>
      <c r="F150" s="22" t="n"/>
      <c r="G150" s="22" t="n"/>
      <c r="H150" s="22" t="n"/>
      <c r="I150" s="22" t="n"/>
      <c r="J150" s="22" t="n"/>
      <c r="K150" s="28">
        <f>IF(C150="","",COUNTIFS(tbl_Finance[Job Number],C150&amp;"",tbl_Finance[Ex GST],"&lt;&gt;"))</f>
        <v/>
      </c>
      <c r="L150" s="27">
        <f>IF(C150="","",SUMIFS(tbl_Finance[Ex GST],tbl_Finance[Job Number],C150&amp;""))</f>
        <v/>
      </c>
      <c r="M150" s="27">
        <f>IF(C150="","",SUMIFS(tbl_Finance[Ex GST],tbl_Finance[Job Number],C150&amp;"",tbl_Finance[Xero Invoice No],"&lt;&gt;"))</f>
        <v/>
      </c>
      <c r="N150" s="27">
        <f>IF(C150="","",L150-M150)</f>
        <v/>
      </c>
      <c r="O150" s="24" t="n"/>
      <c r="P150" s="27">
        <f>IF(C150="","",IF(O150="",0,MAX(0,O150-L150)))</f>
        <v/>
      </c>
      <c r="Q150" s="26">
        <f>IF(C150="","",IF(K150=0,"not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R150" s="27">
        <f>IF(C150="","",SUMIFS(tbl_Finance[Inc GST],tbl_Finance[Job Number],C150&amp;""))</f>
        <v/>
      </c>
      <c r="S150" s="22" t="n"/>
      <c r="T150" s="22" t="n"/>
      <c r="U150" s="22" t="n"/>
      <c r="V150" s="23" t="n"/>
      <c r="W150" s="22" t="n"/>
      <c r="X150" s="26">
        <f>IF(W150="","",IF(AND(LEFT(W150,4)&lt;&gt;"http",set_RMSBase=""),"",HYPERLINK(IF(LEFT(W150,4)="http",W150,set_RMSBase&amp;W150),"Open opportunity")))</f>
        <v/>
      </c>
      <c r="Y150" s="22" t="n"/>
      <c r="Z150" s="26">
        <f>IF(Y150="","",HYPERLINK(IF(LEFT(Y150,4)="http",Y150,set_QwilrBase&amp;Y150),"Open quote"))</f>
        <v/>
      </c>
      <c r="AA150" s="26">
        <f>IF(C150="","",C150)</f>
        <v/>
      </c>
      <c r="AB150" s="22" t="n"/>
      <c r="AC150" s="24" t="n"/>
      <c r="AD150" s="27">
        <f>IF(C150="","",L150+N(AC150))</f>
        <v/>
      </c>
      <c r="AE150" s="29">
        <f>IFERROR(AC150/AD150,"")</f>
        <v/>
      </c>
      <c r="AF150" s="24" t="n"/>
      <c r="AG150" s="24" t="n"/>
      <c r="AH150" s="24" t="n"/>
      <c r="AI150" s="24" t="n"/>
      <c r="AJ150" s="27">
        <f>IF(C150="","",SUMIFS(tbl_Finance[Ex GST],tbl_Finance[Job Number],C150&amp;"",tbl_Finance[Cost Centre],"VIDEO"))</f>
        <v/>
      </c>
      <c r="AK150" s="29">
        <f>IFERROR(AJ150/L150,"")</f>
        <v/>
      </c>
      <c r="AL150" s="27">
        <f>IF(C150="","",N(AF150)+N(AG150)+N(AH150)+N(AI150))</f>
        <v/>
      </c>
      <c r="AM150" s="27" t="n"/>
      <c r="AN150" s="29" t="n"/>
      <c r="AO150" s="71" t="n"/>
      <c r="AP150" s="71" t="n"/>
      <c r="AQ150" s="71" t="n"/>
      <c r="AR150" s="71" t="n"/>
      <c r="AS150" s="71" t="n"/>
      <c r="AT150" s="22" t="n"/>
    </row>
    <row r="151" ht="15" customHeight="1">
      <c r="A151" s="70">
        <f>IF(C151="","",IFERROR(IF(SUMPRODUCT(MAX((tbl_Finance[Job Number]&amp;""=C151&amp;"")*(tbl_Finance[Xero Invoice No]&lt;&gt;"")*tbl_Finance[Date]))=0,"",SUMPRODUCT(MAX((tbl_Finance[Job Number]&amp;""=C151&amp;"")*(tbl_Finance[Xero Invoice No]&lt;&gt;"")*tbl_Finance[Date]))),""))</f>
        <v/>
      </c>
      <c r="B151" s="26">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2" t="n"/>
      <c r="D151" s="26">
        <f>IF(C151="","",IF(COUNTIF(lst_Jobs,C151&amp;"")&gt;0,"OK","CHECK"))</f>
        <v/>
      </c>
      <c r="E151" s="26">
        <f>IF(C151="","",IFERROR(INDEX(lst_JobName,MATCH(C151&amp;"",lst_Jobs,0)),""))</f>
        <v/>
      </c>
      <c r="F151" s="22" t="n"/>
      <c r="G151" s="22" t="n"/>
      <c r="H151" s="22" t="n"/>
      <c r="I151" s="22" t="n"/>
      <c r="J151" s="22" t="n"/>
      <c r="K151" s="28">
        <f>IF(C151="","",COUNTIFS(tbl_Finance[Job Number],C151&amp;"",tbl_Finance[Ex GST],"&lt;&gt;"))</f>
        <v/>
      </c>
      <c r="L151" s="27">
        <f>IF(C151="","",SUMIFS(tbl_Finance[Ex GST],tbl_Finance[Job Number],C151&amp;""))</f>
        <v/>
      </c>
      <c r="M151" s="27">
        <f>IF(C151="","",SUMIFS(tbl_Finance[Ex GST],tbl_Finance[Job Number],C151&amp;"",tbl_Finance[Xero Invoice No],"&lt;&gt;"))</f>
        <v/>
      </c>
      <c r="N151" s="27">
        <f>IF(C151="","",L151-M151)</f>
        <v/>
      </c>
      <c r="O151" s="24" t="n"/>
      <c r="P151" s="27">
        <f>IF(C151="","",IF(O151="",0,MAX(0,O151-L151)))</f>
        <v/>
      </c>
      <c r="Q151" s="26">
        <f>IF(C151="","",IF(K151=0,"not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R151" s="27">
        <f>IF(C151="","",SUMIFS(tbl_Finance[Inc GST],tbl_Finance[Job Number],C151&amp;""))</f>
        <v/>
      </c>
      <c r="S151" s="22" t="n"/>
      <c r="T151" s="22" t="n"/>
      <c r="U151" s="22" t="n"/>
      <c r="V151" s="23" t="n"/>
      <c r="W151" s="22" t="n"/>
      <c r="X151" s="26">
        <f>IF(W151="","",IF(AND(LEFT(W151,4)&lt;&gt;"http",set_RMSBase=""),"",HYPERLINK(IF(LEFT(W151,4)="http",W151,set_RMSBase&amp;W151),"Open opportunity")))</f>
        <v/>
      </c>
      <c r="Y151" s="22" t="n"/>
      <c r="Z151" s="26">
        <f>IF(Y151="","",HYPERLINK(IF(LEFT(Y151,4)="http",Y151,set_QwilrBase&amp;Y151),"Open quote"))</f>
        <v/>
      </c>
      <c r="AA151" s="26">
        <f>IF(C151="","",C151)</f>
        <v/>
      </c>
      <c r="AB151" s="22" t="n"/>
      <c r="AC151" s="24" t="n"/>
      <c r="AD151" s="27">
        <f>IF(C151="","",L151+N(AC151))</f>
        <v/>
      </c>
      <c r="AE151" s="29">
        <f>IFERROR(AC151/AD151,"")</f>
        <v/>
      </c>
      <c r="AF151" s="24" t="n"/>
      <c r="AG151" s="24" t="n"/>
      <c r="AH151" s="24" t="n"/>
      <c r="AI151" s="24" t="n"/>
      <c r="AJ151" s="27">
        <f>IF(C151="","",SUMIFS(tbl_Finance[Ex GST],tbl_Finance[Job Number],C151&amp;"",tbl_Finance[Cost Centre],"VIDEO"))</f>
        <v/>
      </c>
      <c r="AK151" s="29">
        <f>IFERROR(AJ151/L151,"")</f>
        <v/>
      </c>
      <c r="AL151" s="27">
        <f>IF(C151="","",N(AF151)+N(AG151)+N(AH151)+N(AI151))</f>
        <v/>
      </c>
      <c r="AM151" s="27" t="n"/>
      <c r="AN151" s="29" t="n"/>
      <c r="AO151" s="71" t="n"/>
      <c r="AP151" s="71" t="n"/>
      <c r="AQ151" s="71" t="n"/>
      <c r="AR151" s="71" t="n"/>
      <c r="AS151" s="71" t="n"/>
      <c r="AT151" s="22" t="n"/>
    </row>
    <row r="152" ht="15" customHeight="1">
      <c r="A152" s="70">
        <f>IF(C152="","",IFERROR(IF(SUMPRODUCT(MAX((tbl_Finance[Job Number]&amp;""=C152&amp;"")*(tbl_Finance[Xero Invoice No]&lt;&gt;"")*tbl_Finance[Date]))=0,"",SUMPRODUCT(MAX((tbl_Finance[Job Number]&amp;""=C152&amp;"")*(tbl_Finance[Xero Invoice No]&lt;&gt;"")*tbl_Finance[Date]))),""))</f>
        <v/>
      </c>
      <c r="B152" s="26">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2" t="n"/>
      <c r="D152" s="26">
        <f>IF(C152="","",IF(COUNTIF(lst_Jobs,C152&amp;"")&gt;0,"OK","CHECK"))</f>
        <v/>
      </c>
      <c r="E152" s="26">
        <f>IF(C152="","",IFERROR(INDEX(lst_JobName,MATCH(C152&amp;"",lst_Jobs,0)),""))</f>
        <v/>
      </c>
      <c r="F152" s="22" t="n"/>
      <c r="G152" s="22" t="n"/>
      <c r="H152" s="22" t="n"/>
      <c r="I152" s="22" t="n"/>
      <c r="J152" s="22" t="n"/>
      <c r="K152" s="28">
        <f>IF(C152="","",COUNTIFS(tbl_Finance[Job Number],C152&amp;"",tbl_Finance[Ex GST],"&lt;&gt;"))</f>
        <v/>
      </c>
      <c r="L152" s="27">
        <f>IF(C152="","",SUMIFS(tbl_Finance[Ex GST],tbl_Finance[Job Number],C152&amp;""))</f>
        <v/>
      </c>
      <c r="M152" s="27">
        <f>IF(C152="","",SUMIFS(tbl_Finance[Ex GST],tbl_Finance[Job Number],C152&amp;"",tbl_Finance[Xero Invoice No],"&lt;&gt;"))</f>
        <v/>
      </c>
      <c r="N152" s="27">
        <f>IF(C152="","",L152-M152)</f>
        <v/>
      </c>
      <c r="O152" s="24" t="n"/>
      <c r="P152" s="27">
        <f>IF(C152="","",IF(O152="",0,MAX(0,O152-L152)))</f>
        <v/>
      </c>
      <c r="Q152" s="26">
        <f>IF(C152="","",IF(K152=0,"not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R152" s="27">
        <f>IF(C152="","",SUMIFS(tbl_Finance[Inc GST],tbl_Finance[Job Number],C152&amp;""))</f>
        <v/>
      </c>
      <c r="S152" s="22" t="n"/>
      <c r="T152" s="22" t="n"/>
      <c r="U152" s="22" t="n"/>
      <c r="V152" s="23" t="n"/>
      <c r="W152" s="22" t="n"/>
      <c r="X152" s="26">
        <f>IF(W152="","",IF(AND(LEFT(W152,4)&lt;&gt;"http",set_RMSBase=""),"",HYPERLINK(IF(LEFT(W152,4)="http",W152,set_RMSBase&amp;W152),"Open opportunity")))</f>
        <v/>
      </c>
      <c r="Y152" s="22" t="n"/>
      <c r="Z152" s="26">
        <f>IF(Y152="","",HYPERLINK(IF(LEFT(Y152,4)="http",Y152,set_QwilrBase&amp;Y152),"Open quote"))</f>
        <v/>
      </c>
      <c r="AA152" s="26">
        <f>IF(C152="","",C152)</f>
        <v/>
      </c>
      <c r="AB152" s="22" t="n"/>
      <c r="AC152" s="24" t="n"/>
      <c r="AD152" s="27">
        <f>IF(C152="","",L152+N(AC152))</f>
        <v/>
      </c>
      <c r="AE152" s="29">
        <f>IFERROR(AC152/AD152,"")</f>
        <v/>
      </c>
      <c r="AF152" s="24" t="n"/>
      <c r="AG152" s="24" t="n"/>
      <c r="AH152" s="24" t="n"/>
      <c r="AI152" s="24" t="n"/>
      <c r="AJ152" s="27">
        <f>IF(C152="","",SUMIFS(tbl_Finance[Ex GST],tbl_Finance[Job Number],C152&amp;"",tbl_Finance[Cost Centre],"VIDEO"))</f>
        <v/>
      </c>
      <c r="AK152" s="29">
        <f>IFERROR(AJ152/L152,"")</f>
        <v/>
      </c>
      <c r="AL152" s="27">
        <f>IF(C152="","",N(AF152)+N(AG152)+N(AH152)+N(AI152))</f>
        <v/>
      </c>
      <c r="AM152" s="27" t="n"/>
      <c r="AN152" s="29" t="n"/>
      <c r="AO152" s="71" t="n"/>
      <c r="AP152" s="71" t="n"/>
      <c r="AQ152" s="71" t="n"/>
      <c r="AR152" s="71" t="n"/>
      <c r="AS152" s="71" t="n"/>
      <c r="AT152" s="22" t="n"/>
    </row>
    <row r="153" ht="15" customHeight="1">
      <c r="A153" s="70">
        <f>IF(C153="","",IFERROR(IF(SUMPRODUCT(MAX((tbl_Finance[Job Number]&amp;""=C153&amp;"")*(tbl_Finance[Xero Invoice No]&lt;&gt;"")*tbl_Finance[Date]))=0,"",SUMPRODUCT(MAX((tbl_Finance[Job Number]&amp;""=C153&amp;"")*(tbl_Finance[Xero Invoice No]&lt;&gt;"")*tbl_Finance[Date]))),""))</f>
        <v/>
      </c>
      <c r="B153" s="26">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2" t="n"/>
      <c r="D153" s="26">
        <f>IF(C153="","",IF(COUNTIF(lst_Jobs,C153&amp;"")&gt;0,"OK","CHECK"))</f>
        <v/>
      </c>
      <c r="E153" s="26">
        <f>IF(C153="","",IFERROR(INDEX(lst_JobName,MATCH(C153&amp;"",lst_Jobs,0)),""))</f>
        <v/>
      </c>
      <c r="F153" s="22" t="n"/>
      <c r="G153" s="22" t="n"/>
      <c r="H153" s="22" t="n"/>
      <c r="I153" s="22" t="n"/>
      <c r="J153" s="22" t="n"/>
      <c r="K153" s="28">
        <f>IF(C153="","",COUNTIFS(tbl_Finance[Job Number],C153&amp;"",tbl_Finance[Ex GST],"&lt;&gt;"))</f>
        <v/>
      </c>
      <c r="L153" s="27">
        <f>IF(C153="","",SUMIFS(tbl_Finance[Ex GST],tbl_Finance[Job Number],C153&amp;""))</f>
        <v/>
      </c>
      <c r="M153" s="27">
        <f>IF(C153="","",SUMIFS(tbl_Finance[Ex GST],tbl_Finance[Job Number],C153&amp;"",tbl_Finance[Xero Invoice No],"&lt;&gt;"))</f>
        <v/>
      </c>
      <c r="N153" s="27">
        <f>IF(C153="","",L153-M153)</f>
        <v/>
      </c>
      <c r="O153" s="24" t="n"/>
      <c r="P153" s="27">
        <f>IF(C153="","",IF(O153="",0,MAX(0,O153-L153)))</f>
        <v/>
      </c>
      <c r="Q153" s="26">
        <f>IF(C153="","",IF(K153=0,"not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R153" s="27">
        <f>IF(C153="","",SUMIFS(tbl_Finance[Inc GST],tbl_Finance[Job Number],C153&amp;""))</f>
        <v/>
      </c>
      <c r="S153" s="22" t="n"/>
      <c r="T153" s="22" t="n"/>
      <c r="U153" s="22" t="n"/>
      <c r="V153" s="23" t="n"/>
      <c r="W153" s="22" t="n"/>
      <c r="X153" s="26">
        <f>IF(W153="","",IF(AND(LEFT(W153,4)&lt;&gt;"http",set_RMSBase=""),"",HYPERLINK(IF(LEFT(W153,4)="http",W153,set_RMSBase&amp;W153),"Open opportunity")))</f>
        <v/>
      </c>
      <c r="Y153" s="22" t="n"/>
      <c r="Z153" s="26">
        <f>IF(Y153="","",HYPERLINK(IF(LEFT(Y153,4)="http",Y153,set_QwilrBase&amp;Y153),"Open quote"))</f>
        <v/>
      </c>
      <c r="AA153" s="26">
        <f>IF(C153="","",C153)</f>
        <v/>
      </c>
      <c r="AB153" s="22" t="n"/>
      <c r="AC153" s="24" t="n"/>
      <c r="AD153" s="27">
        <f>IF(C153="","",L153+N(AC153))</f>
        <v/>
      </c>
      <c r="AE153" s="29">
        <f>IFERROR(AC153/AD153,"")</f>
        <v/>
      </c>
      <c r="AF153" s="24" t="n"/>
      <c r="AG153" s="24" t="n"/>
      <c r="AH153" s="24" t="n"/>
      <c r="AI153" s="24" t="n"/>
      <c r="AJ153" s="27">
        <f>IF(C153="","",SUMIFS(tbl_Finance[Ex GST],tbl_Finance[Job Number],C153&amp;"",tbl_Finance[Cost Centre],"VIDEO"))</f>
        <v/>
      </c>
      <c r="AK153" s="29">
        <f>IFERROR(AJ153/L153,"")</f>
        <v/>
      </c>
      <c r="AL153" s="27">
        <f>IF(C153="","",N(AF153)+N(AG153)+N(AH153)+N(AI153))</f>
        <v/>
      </c>
      <c r="AM153" s="27" t="n"/>
      <c r="AN153" s="29" t="n"/>
      <c r="AO153" s="71" t="n"/>
      <c r="AP153" s="71" t="n"/>
      <c r="AQ153" s="71" t="n"/>
      <c r="AR153" s="71" t="n"/>
      <c r="AS153" s="71" t="n"/>
      <c r="AT153" s="22" t="n"/>
    </row>
    <row r="154" ht="15" customHeight="1">
      <c r="A154" s="70">
        <f>IF(C154="","",IFERROR(IF(SUMPRODUCT(MAX((tbl_Finance[Job Number]&amp;""=C154&amp;"")*(tbl_Finance[Xero Invoice No]&lt;&gt;"")*tbl_Finance[Date]))=0,"",SUMPRODUCT(MAX((tbl_Finance[Job Number]&amp;""=C154&amp;"")*(tbl_Finance[Xero Invoice No]&lt;&gt;"")*tbl_Finance[Date]))),""))</f>
        <v/>
      </c>
      <c r="B154" s="26">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2" t="n"/>
      <c r="D154" s="26">
        <f>IF(C154="","",IF(COUNTIF(lst_Jobs,C154&amp;"")&gt;0,"OK","CHECK"))</f>
        <v/>
      </c>
      <c r="E154" s="26">
        <f>IF(C154="","",IFERROR(INDEX(lst_JobName,MATCH(C154&amp;"",lst_Jobs,0)),""))</f>
        <v/>
      </c>
      <c r="F154" s="22" t="n"/>
      <c r="G154" s="22" t="n"/>
      <c r="H154" s="22" t="n"/>
      <c r="I154" s="22" t="n"/>
      <c r="J154" s="22" t="n"/>
      <c r="K154" s="28">
        <f>IF(C154="","",COUNTIFS(tbl_Finance[Job Number],C154&amp;"",tbl_Finance[Ex GST],"&lt;&gt;"))</f>
        <v/>
      </c>
      <c r="L154" s="27">
        <f>IF(C154="","",SUMIFS(tbl_Finance[Ex GST],tbl_Finance[Job Number],C154&amp;""))</f>
        <v/>
      </c>
      <c r="M154" s="27">
        <f>IF(C154="","",SUMIFS(tbl_Finance[Ex GST],tbl_Finance[Job Number],C154&amp;"",tbl_Finance[Xero Invoice No],"&lt;&gt;"))</f>
        <v/>
      </c>
      <c r="N154" s="27">
        <f>IF(C154="","",L154-M154)</f>
        <v/>
      </c>
      <c r="O154" s="24" t="n"/>
      <c r="P154" s="27">
        <f>IF(C154="","",IF(O154="",0,MAX(0,O154-L154)))</f>
        <v/>
      </c>
      <c r="Q154" s="26">
        <f>IF(C154="","",IF(K154=0,"not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R154" s="27">
        <f>IF(C154="","",SUMIFS(tbl_Finance[Inc GST],tbl_Finance[Job Number],C154&amp;""))</f>
        <v/>
      </c>
      <c r="S154" s="22" t="n"/>
      <c r="T154" s="22" t="n"/>
      <c r="U154" s="22" t="n"/>
      <c r="V154" s="23" t="n"/>
      <c r="W154" s="22" t="n"/>
      <c r="X154" s="26">
        <f>IF(W154="","",IF(AND(LEFT(W154,4)&lt;&gt;"http",set_RMSBase=""),"",HYPERLINK(IF(LEFT(W154,4)="http",W154,set_RMSBase&amp;W154),"Open opportunity")))</f>
        <v/>
      </c>
      <c r="Y154" s="22" t="n"/>
      <c r="Z154" s="26">
        <f>IF(Y154="","",HYPERLINK(IF(LEFT(Y154,4)="http",Y154,set_QwilrBase&amp;Y154),"Open quote"))</f>
        <v/>
      </c>
      <c r="AA154" s="26">
        <f>IF(C154="","",C154)</f>
        <v/>
      </c>
      <c r="AB154" s="22" t="n"/>
      <c r="AC154" s="24" t="n"/>
      <c r="AD154" s="27">
        <f>IF(C154="","",L154+N(AC154))</f>
        <v/>
      </c>
      <c r="AE154" s="29">
        <f>IFERROR(AC154/AD154,"")</f>
        <v/>
      </c>
      <c r="AF154" s="24" t="n"/>
      <c r="AG154" s="24" t="n"/>
      <c r="AH154" s="24" t="n"/>
      <c r="AI154" s="24" t="n"/>
      <c r="AJ154" s="27">
        <f>IF(C154="","",SUMIFS(tbl_Finance[Ex GST],tbl_Finance[Job Number],C154&amp;"",tbl_Finance[Cost Centre],"VIDEO"))</f>
        <v/>
      </c>
      <c r="AK154" s="29">
        <f>IFERROR(AJ154/L154,"")</f>
        <v/>
      </c>
      <c r="AL154" s="27">
        <f>IF(C154="","",N(AF154)+N(AG154)+N(AH154)+N(AI154))</f>
        <v/>
      </c>
      <c r="AM154" s="27" t="n"/>
      <c r="AN154" s="29" t="n"/>
      <c r="AO154" s="71" t="n"/>
      <c r="AP154" s="71" t="n"/>
      <c r="AQ154" s="71" t="n"/>
      <c r="AR154" s="71" t="n"/>
      <c r="AS154" s="71" t="n"/>
      <c r="AT154" s="22" t="n"/>
    </row>
    <row r="155" ht="15" customHeight="1">
      <c r="A155" s="70">
        <f>IF(C155="","",IFERROR(IF(SUMPRODUCT(MAX((tbl_Finance[Job Number]&amp;""=C155&amp;"")*(tbl_Finance[Xero Invoice No]&lt;&gt;"")*tbl_Finance[Date]))=0,"",SUMPRODUCT(MAX((tbl_Finance[Job Number]&amp;""=C155&amp;"")*(tbl_Finance[Xero Invoice No]&lt;&gt;"")*tbl_Finance[Date]))),""))</f>
        <v/>
      </c>
      <c r="B155" s="26">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2" t="n"/>
      <c r="D155" s="26">
        <f>IF(C155="","",IF(COUNTIF(lst_Jobs,C155&amp;"")&gt;0,"OK","CHECK"))</f>
        <v/>
      </c>
      <c r="E155" s="26">
        <f>IF(C155="","",IFERROR(INDEX(lst_JobName,MATCH(C155&amp;"",lst_Jobs,0)),""))</f>
        <v/>
      </c>
      <c r="F155" s="22" t="n"/>
      <c r="G155" s="22" t="n"/>
      <c r="H155" s="22" t="n"/>
      <c r="I155" s="22" t="n"/>
      <c r="J155" s="22" t="n"/>
      <c r="K155" s="28">
        <f>IF(C155="","",COUNTIFS(tbl_Finance[Job Number],C155&amp;"",tbl_Finance[Ex GST],"&lt;&gt;"))</f>
        <v/>
      </c>
      <c r="L155" s="27">
        <f>IF(C155="","",SUMIFS(tbl_Finance[Ex GST],tbl_Finance[Job Number],C155&amp;""))</f>
        <v/>
      </c>
      <c r="M155" s="27">
        <f>IF(C155="","",SUMIFS(tbl_Finance[Ex GST],tbl_Finance[Job Number],C155&amp;"",tbl_Finance[Xero Invoice No],"&lt;&gt;"))</f>
        <v/>
      </c>
      <c r="N155" s="27">
        <f>IF(C155="","",L155-M155)</f>
        <v/>
      </c>
      <c r="O155" s="24" t="n"/>
      <c r="P155" s="27">
        <f>IF(C155="","",IF(O155="",0,MAX(0,O155-L155)))</f>
        <v/>
      </c>
      <c r="Q155" s="26">
        <f>IF(C155="","",IF(K155=0,"not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R155" s="27">
        <f>IF(C155="","",SUMIFS(tbl_Finance[Inc GST],tbl_Finance[Job Number],C155&amp;""))</f>
        <v/>
      </c>
      <c r="S155" s="22" t="n"/>
      <c r="T155" s="22" t="n"/>
      <c r="U155" s="22" t="n"/>
      <c r="V155" s="23" t="n"/>
      <c r="W155" s="22" t="n"/>
      <c r="X155" s="26">
        <f>IF(W155="","",IF(AND(LEFT(W155,4)&lt;&gt;"http",set_RMSBase=""),"",HYPERLINK(IF(LEFT(W155,4)="http",W155,set_RMSBase&amp;W155),"Open opportunity")))</f>
        <v/>
      </c>
      <c r="Y155" s="22" t="n"/>
      <c r="Z155" s="26">
        <f>IF(Y155="","",HYPERLINK(IF(LEFT(Y155,4)="http",Y155,set_QwilrBase&amp;Y155),"Open quote"))</f>
        <v/>
      </c>
      <c r="AA155" s="26">
        <f>IF(C155="","",C155)</f>
        <v/>
      </c>
      <c r="AB155" s="22" t="n"/>
      <c r="AC155" s="24" t="n"/>
      <c r="AD155" s="27">
        <f>IF(C155="","",L155+N(AC155))</f>
        <v/>
      </c>
      <c r="AE155" s="29">
        <f>IFERROR(AC155/AD155,"")</f>
        <v/>
      </c>
      <c r="AF155" s="24" t="n"/>
      <c r="AG155" s="24" t="n"/>
      <c r="AH155" s="24" t="n"/>
      <c r="AI155" s="24" t="n"/>
      <c r="AJ155" s="27">
        <f>IF(C155="","",SUMIFS(tbl_Finance[Ex GST],tbl_Finance[Job Number],C155&amp;"",tbl_Finance[Cost Centre],"VIDEO"))</f>
        <v/>
      </c>
      <c r="AK155" s="29">
        <f>IFERROR(AJ155/L155,"")</f>
        <v/>
      </c>
      <c r="AL155" s="27">
        <f>IF(C155="","",N(AF155)+N(AG155)+N(AH155)+N(AI155))</f>
        <v/>
      </c>
      <c r="AM155" s="27" t="n"/>
      <c r="AN155" s="29" t="n"/>
      <c r="AO155" s="71" t="n"/>
      <c r="AP155" s="71" t="n"/>
      <c r="AQ155" s="71" t="n"/>
      <c r="AR155" s="71" t="n"/>
      <c r="AS155" s="71" t="n"/>
      <c r="AT155" s="22" t="n"/>
    </row>
    <row r="156" ht="15" customHeight="1">
      <c r="A156" s="70">
        <f>IF(C156="","",IFERROR(IF(SUMPRODUCT(MAX((tbl_Finance[Job Number]&amp;""=C156&amp;"")*(tbl_Finance[Xero Invoice No]&lt;&gt;"")*tbl_Finance[Date]))=0,"",SUMPRODUCT(MAX((tbl_Finance[Job Number]&amp;""=C156&amp;"")*(tbl_Finance[Xero Invoice No]&lt;&gt;"")*tbl_Finance[Date]))),""))</f>
        <v/>
      </c>
      <c r="B156" s="26">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2" t="n"/>
      <c r="D156" s="26">
        <f>IF(C156="","",IF(COUNTIF(lst_Jobs,C156&amp;"")&gt;0,"OK","CHECK"))</f>
        <v/>
      </c>
      <c r="E156" s="26">
        <f>IF(C156="","",IFERROR(INDEX(lst_JobName,MATCH(C156&amp;"",lst_Jobs,0)),""))</f>
        <v/>
      </c>
      <c r="F156" s="22" t="n"/>
      <c r="G156" s="22" t="n"/>
      <c r="H156" s="22" t="n"/>
      <c r="I156" s="22" t="n"/>
      <c r="J156" s="22" t="n"/>
      <c r="K156" s="28">
        <f>IF(C156="","",COUNTIFS(tbl_Finance[Job Number],C156&amp;"",tbl_Finance[Ex GST],"&lt;&gt;"))</f>
        <v/>
      </c>
      <c r="L156" s="27">
        <f>IF(C156="","",SUMIFS(tbl_Finance[Ex GST],tbl_Finance[Job Number],C156&amp;""))</f>
        <v/>
      </c>
      <c r="M156" s="27">
        <f>IF(C156="","",SUMIFS(tbl_Finance[Ex GST],tbl_Finance[Job Number],C156&amp;"",tbl_Finance[Xero Invoice No],"&lt;&gt;"))</f>
        <v/>
      </c>
      <c r="N156" s="27">
        <f>IF(C156="","",L156-M156)</f>
        <v/>
      </c>
      <c r="O156" s="24" t="n"/>
      <c r="P156" s="27">
        <f>IF(C156="","",IF(O156="",0,MAX(0,O156-L156)))</f>
        <v/>
      </c>
      <c r="Q156" s="26">
        <f>IF(C156="","",IF(K156=0,"not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R156" s="27">
        <f>IF(C156="","",SUMIFS(tbl_Finance[Inc GST],tbl_Finance[Job Number],C156&amp;""))</f>
        <v/>
      </c>
      <c r="S156" s="22" t="n"/>
      <c r="T156" s="22" t="n"/>
      <c r="U156" s="22" t="n"/>
      <c r="V156" s="23" t="n"/>
      <c r="W156" s="22" t="n"/>
      <c r="X156" s="26">
        <f>IF(W156="","",IF(AND(LEFT(W156,4)&lt;&gt;"http",set_RMSBase=""),"",HYPERLINK(IF(LEFT(W156,4)="http",W156,set_RMSBase&amp;W156),"Open opportunity")))</f>
        <v/>
      </c>
      <c r="Y156" s="22" t="n"/>
      <c r="Z156" s="26">
        <f>IF(Y156="","",HYPERLINK(IF(LEFT(Y156,4)="http",Y156,set_QwilrBase&amp;Y156),"Open quote"))</f>
        <v/>
      </c>
      <c r="AA156" s="26">
        <f>IF(C156="","",C156)</f>
        <v/>
      </c>
      <c r="AB156" s="22" t="n"/>
      <c r="AC156" s="24" t="n"/>
      <c r="AD156" s="27">
        <f>IF(C156="","",L156+N(AC156))</f>
        <v/>
      </c>
      <c r="AE156" s="29">
        <f>IFERROR(AC156/AD156,"")</f>
        <v/>
      </c>
      <c r="AF156" s="24" t="n"/>
      <c r="AG156" s="24" t="n"/>
      <c r="AH156" s="24" t="n"/>
      <c r="AI156" s="24" t="n"/>
      <c r="AJ156" s="27">
        <f>IF(C156="","",SUMIFS(tbl_Finance[Ex GST],tbl_Finance[Job Number],C156&amp;"",tbl_Finance[Cost Centre],"VIDEO"))</f>
        <v/>
      </c>
      <c r="AK156" s="29">
        <f>IFERROR(AJ156/L156,"")</f>
        <v/>
      </c>
      <c r="AL156" s="27">
        <f>IF(C156="","",N(AF156)+N(AG156)+N(AH156)+N(AI156))</f>
        <v/>
      </c>
      <c r="AM156" s="27" t="n"/>
      <c r="AN156" s="29" t="n"/>
      <c r="AO156" s="71" t="n"/>
      <c r="AP156" s="71" t="n"/>
      <c r="AQ156" s="71" t="n"/>
      <c r="AR156" s="71" t="n"/>
      <c r="AS156" s="71" t="n"/>
      <c r="AT156" s="22" t="n"/>
    </row>
    <row r="157" ht="15" customHeight="1">
      <c r="A157" s="70">
        <f>IF(C157="","",IFERROR(IF(SUMPRODUCT(MAX((tbl_Finance[Job Number]&amp;""=C157&amp;"")*(tbl_Finance[Xero Invoice No]&lt;&gt;"")*tbl_Finance[Date]))=0,"",SUMPRODUCT(MAX((tbl_Finance[Job Number]&amp;""=C157&amp;"")*(tbl_Finance[Xero Invoice No]&lt;&gt;"")*tbl_Finance[Date]))),""))</f>
        <v/>
      </c>
      <c r="B157" s="26">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2" t="n"/>
      <c r="D157" s="26">
        <f>IF(C157="","",IF(COUNTIF(lst_Jobs,C157&amp;"")&gt;0,"OK","CHECK"))</f>
        <v/>
      </c>
      <c r="E157" s="26">
        <f>IF(C157="","",IFERROR(INDEX(lst_JobName,MATCH(C157&amp;"",lst_Jobs,0)),""))</f>
        <v/>
      </c>
      <c r="F157" s="22" t="n"/>
      <c r="G157" s="22" t="n"/>
      <c r="H157" s="22" t="n"/>
      <c r="I157" s="22" t="n"/>
      <c r="J157" s="22" t="n"/>
      <c r="K157" s="28">
        <f>IF(C157="","",COUNTIFS(tbl_Finance[Job Number],C157&amp;"",tbl_Finance[Ex GST],"&lt;&gt;"))</f>
        <v/>
      </c>
      <c r="L157" s="27">
        <f>IF(C157="","",SUMIFS(tbl_Finance[Ex GST],tbl_Finance[Job Number],C157&amp;""))</f>
        <v/>
      </c>
      <c r="M157" s="27">
        <f>IF(C157="","",SUMIFS(tbl_Finance[Ex GST],tbl_Finance[Job Number],C157&amp;"",tbl_Finance[Xero Invoice No],"&lt;&gt;"))</f>
        <v/>
      </c>
      <c r="N157" s="27">
        <f>IF(C157="","",L157-M157)</f>
        <v/>
      </c>
      <c r="O157" s="24" t="n"/>
      <c r="P157" s="27">
        <f>IF(C157="","",IF(O157="",0,MAX(0,O157-L157)))</f>
        <v/>
      </c>
      <c r="Q157" s="26">
        <f>IF(C157="","",IF(K157=0,"not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R157" s="27">
        <f>IF(C157="","",SUMIFS(tbl_Finance[Inc GST],tbl_Finance[Job Number],C157&amp;""))</f>
        <v/>
      </c>
      <c r="S157" s="22" t="n"/>
      <c r="T157" s="22" t="n"/>
      <c r="U157" s="22" t="n"/>
      <c r="V157" s="23" t="n"/>
      <c r="W157" s="22" t="n"/>
      <c r="X157" s="26">
        <f>IF(W157="","",IF(AND(LEFT(W157,4)&lt;&gt;"http",set_RMSBase=""),"",HYPERLINK(IF(LEFT(W157,4)="http",W157,set_RMSBase&amp;W157),"Open opportunity")))</f>
        <v/>
      </c>
      <c r="Y157" s="22" t="n"/>
      <c r="Z157" s="26">
        <f>IF(Y157="","",HYPERLINK(IF(LEFT(Y157,4)="http",Y157,set_QwilrBase&amp;Y157),"Open quote"))</f>
        <v/>
      </c>
      <c r="AA157" s="26">
        <f>IF(C157="","",C157)</f>
        <v/>
      </c>
      <c r="AB157" s="22" t="n"/>
      <c r="AC157" s="24" t="n"/>
      <c r="AD157" s="27">
        <f>IF(C157="","",L157+N(AC157))</f>
        <v/>
      </c>
      <c r="AE157" s="29">
        <f>IFERROR(AC157/AD157,"")</f>
        <v/>
      </c>
      <c r="AF157" s="24" t="n"/>
      <c r="AG157" s="24" t="n"/>
      <c r="AH157" s="24" t="n"/>
      <c r="AI157" s="24" t="n"/>
      <c r="AJ157" s="27">
        <f>IF(C157="","",SUMIFS(tbl_Finance[Ex GST],tbl_Finance[Job Number],C157&amp;"",tbl_Finance[Cost Centre],"VIDEO"))</f>
        <v/>
      </c>
      <c r="AK157" s="29">
        <f>IFERROR(AJ157/L157,"")</f>
        <v/>
      </c>
      <c r="AL157" s="27">
        <f>IF(C157="","",N(AF157)+N(AG157)+N(AH157)+N(AI157))</f>
        <v/>
      </c>
      <c r="AM157" s="27" t="n"/>
      <c r="AN157" s="29" t="n"/>
      <c r="AO157" s="71" t="n"/>
      <c r="AP157" s="71" t="n"/>
      <c r="AQ157" s="71" t="n"/>
      <c r="AR157" s="71" t="n"/>
      <c r="AS157" s="71" t="n"/>
      <c r="AT157" s="22" t="n"/>
    </row>
    <row r="158" ht="15" customHeight="1">
      <c r="A158" s="70">
        <f>IF(C158="","",IFERROR(IF(SUMPRODUCT(MAX((tbl_Finance[Job Number]&amp;""=C158&amp;"")*(tbl_Finance[Xero Invoice No]&lt;&gt;"")*tbl_Finance[Date]))=0,"",SUMPRODUCT(MAX((tbl_Finance[Job Number]&amp;""=C158&amp;"")*(tbl_Finance[Xero Invoice No]&lt;&gt;"")*tbl_Finance[Date]))),""))</f>
        <v/>
      </c>
      <c r="B158" s="26">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2" t="n"/>
      <c r="D158" s="26">
        <f>IF(C158="","",IF(COUNTIF(lst_Jobs,C158&amp;"")&gt;0,"OK","CHECK"))</f>
        <v/>
      </c>
      <c r="E158" s="26">
        <f>IF(C158="","",IFERROR(INDEX(lst_JobName,MATCH(C158&amp;"",lst_Jobs,0)),""))</f>
        <v/>
      </c>
      <c r="F158" s="22" t="n"/>
      <c r="G158" s="22" t="n"/>
      <c r="H158" s="22" t="n"/>
      <c r="I158" s="22" t="n"/>
      <c r="J158" s="22" t="n"/>
      <c r="K158" s="28">
        <f>IF(C158="","",COUNTIFS(tbl_Finance[Job Number],C158&amp;"",tbl_Finance[Ex GST],"&lt;&gt;"))</f>
        <v/>
      </c>
      <c r="L158" s="27">
        <f>IF(C158="","",SUMIFS(tbl_Finance[Ex GST],tbl_Finance[Job Number],C158&amp;""))</f>
        <v/>
      </c>
      <c r="M158" s="27">
        <f>IF(C158="","",SUMIFS(tbl_Finance[Ex GST],tbl_Finance[Job Number],C158&amp;"",tbl_Finance[Xero Invoice No],"&lt;&gt;"))</f>
        <v/>
      </c>
      <c r="N158" s="27">
        <f>IF(C158="","",L158-M158)</f>
        <v/>
      </c>
      <c r="O158" s="24" t="n"/>
      <c r="P158" s="27">
        <f>IF(C158="","",IF(O158="",0,MAX(0,O158-L158)))</f>
        <v/>
      </c>
      <c r="Q158" s="26">
        <f>IF(C158="","",IF(K158=0,"not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R158" s="27">
        <f>IF(C158="","",SUMIFS(tbl_Finance[Inc GST],tbl_Finance[Job Number],C158&amp;""))</f>
        <v/>
      </c>
      <c r="S158" s="22" t="n"/>
      <c r="T158" s="22" t="n"/>
      <c r="U158" s="22" t="n"/>
      <c r="V158" s="23" t="n"/>
      <c r="W158" s="22" t="n"/>
      <c r="X158" s="26">
        <f>IF(W158="","",IF(AND(LEFT(W158,4)&lt;&gt;"http",set_RMSBase=""),"",HYPERLINK(IF(LEFT(W158,4)="http",W158,set_RMSBase&amp;W158),"Open opportunity")))</f>
        <v/>
      </c>
      <c r="Y158" s="22" t="n"/>
      <c r="Z158" s="26">
        <f>IF(Y158="","",HYPERLINK(IF(LEFT(Y158,4)="http",Y158,set_QwilrBase&amp;Y158),"Open quote"))</f>
        <v/>
      </c>
      <c r="AA158" s="26">
        <f>IF(C158="","",C158)</f>
        <v/>
      </c>
      <c r="AB158" s="22" t="n"/>
      <c r="AC158" s="24" t="n"/>
      <c r="AD158" s="27">
        <f>IF(C158="","",L158+N(AC158))</f>
        <v/>
      </c>
      <c r="AE158" s="29">
        <f>IFERROR(AC158/AD158,"")</f>
        <v/>
      </c>
      <c r="AF158" s="24" t="n"/>
      <c r="AG158" s="24" t="n"/>
      <c r="AH158" s="24" t="n"/>
      <c r="AI158" s="24" t="n"/>
      <c r="AJ158" s="27">
        <f>IF(C158="","",SUMIFS(tbl_Finance[Ex GST],tbl_Finance[Job Number],C158&amp;"",tbl_Finance[Cost Centre],"VIDEO"))</f>
        <v/>
      </c>
      <c r="AK158" s="29">
        <f>IFERROR(AJ158/L158,"")</f>
        <v/>
      </c>
      <c r="AL158" s="27">
        <f>IF(C158="","",N(AF158)+N(AG158)+N(AH158)+N(AI158))</f>
        <v/>
      </c>
      <c r="AM158" s="27" t="n"/>
      <c r="AN158" s="29" t="n"/>
      <c r="AO158" s="71" t="n"/>
      <c r="AP158" s="71" t="n"/>
      <c r="AQ158" s="71" t="n"/>
      <c r="AR158" s="71" t="n"/>
      <c r="AS158" s="71" t="n"/>
      <c r="AT158" s="22" t="n"/>
    </row>
    <row r="159" ht="15" customHeight="1">
      <c r="A159" s="70">
        <f>IF(C159="","",IFERROR(IF(SUMPRODUCT(MAX((tbl_Finance[Job Number]&amp;""=C159&amp;"")*(tbl_Finance[Xero Invoice No]&lt;&gt;"")*tbl_Finance[Date]))=0,"",SUMPRODUCT(MAX((tbl_Finance[Job Number]&amp;""=C159&amp;"")*(tbl_Finance[Xero Invoice No]&lt;&gt;"")*tbl_Finance[Date]))),""))</f>
        <v/>
      </c>
      <c r="B159" s="26">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2" t="n"/>
      <c r="D159" s="26">
        <f>IF(C159="","",IF(COUNTIF(lst_Jobs,C159&amp;"")&gt;0,"OK","CHECK"))</f>
        <v/>
      </c>
      <c r="E159" s="26">
        <f>IF(C159="","",IFERROR(INDEX(lst_JobName,MATCH(C159&amp;"",lst_Jobs,0)),""))</f>
        <v/>
      </c>
      <c r="F159" s="22" t="n"/>
      <c r="G159" s="22" t="n"/>
      <c r="H159" s="22" t="n"/>
      <c r="I159" s="22" t="n"/>
      <c r="J159" s="22" t="n"/>
      <c r="K159" s="28">
        <f>IF(C159="","",COUNTIFS(tbl_Finance[Job Number],C159&amp;"",tbl_Finance[Ex GST],"&lt;&gt;"))</f>
        <v/>
      </c>
      <c r="L159" s="27">
        <f>IF(C159="","",SUMIFS(tbl_Finance[Ex GST],tbl_Finance[Job Number],C159&amp;""))</f>
        <v/>
      </c>
      <c r="M159" s="27">
        <f>IF(C159="","",SUMIFS(tbl_Finance[Ex GST],tbl_Finance[Job Number],C159&amp;"",tbl_Finance[Xero Invoice No],"&lt;&gt;"))</f>
        <v/>
      </c>
      <c r="N159" s="27">
        <f>IF(C159="","",L159-M159)</f>
        <v/>
      </c>
      <c r="O159" s="24" t="n"/>
      <c r="P159" s="27">
        <f>IF(C159="","",IF(O159="",0,MAX(0,O159-L159)))</f>
        <v/>
      </c>
      <c r="Q159" s="26">
        <f>IF(C159="","",IF(K159=0,"not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R159" s="27">
        <f>IF(C159="","",SUMIFS(tbl_Finance[Inc GST],tbl_Finance[Job Number],C159&amp;""))</f>
        <v/>
      </c>
      <c r="S159" s="22" t="n"/>
      <c r="T159" s="22" t="n"/>
      <c r="U159" s="22" t="n"/>
      <c r="V159" s="23" t="n"/>
      <c r="W159" s="22" t="n"/>
      <c r="X159" s="26">
        <f>IF(W159="","",IF(AND(LEFT(W159,4)&lt;&gt;"http",set_RMSBase=""),"",HYPERLINK(IF(LEFT(W159,4)="http",W159,set_RMSBase&amp;W159),"Open opportunity")))</f>
        <v/>
      </c>
      <c r="Y159" s="22" t="n"/>
      <c r="Z159" s="26">
        <f>IF(Y159="","",HYPERLINK(IF(LEFT(Y159,4)="http",Y159,set_QwilrBase&amp;Y159),"Open quote"))</f>
        <v/>
      </c>
      <c r="AA159" s="26">
        <f>IF(C159="","",C159)</f>
        <v/>
      </c>
      <c r="AB159" s="22" t="n"/>
      <c r="AC159" s="24" t="n"/>
      <c r="AD159" s="27">
        <f>IF(C159="","",L159+N(AC159))</f>
        <v/>
      </c>
      <c r="AE159" s="29">
        <f>IFERROR(AC159/AD159,"")</f>
        <v/>
      </c>
      <c r="AF159" s="24" t="n"/>
      <c r="AG159" s="24" t="n"/>
      <c r="AH159" s="24" t="n"/>
      <c r="AI159" s="24" t="n"/>
      <c r="AJ159" s="27">
        <f>IF(C159="","",SUMIFS(tbl_Finance[Ex GST],tbl_Finance[Job Number],C159&amp;"",tbl_Finance[Cost Centre],"VIDEO"))</f>
        <v/>
      </c>
      <c r="AK159" s="29">
        <f>IFERROR(AJ159/L159,"")</f>
        <v/>
      </c>
      <c r="AL159" s="27">
        <f>IF(C159="","",N(AF159)+N(AG159)+N(AH159)+N(AI159))</f>
        <v/>
      </c>
      <c r="AM159" s="27" t="n"/>
      <c r="AN159" s="29" t="n"/>
      <c r="AO159" s="71" t="n"/>
      <c r="AP159" s="71" t="n"/>
      <c r="AQ159" s="71" t="n"/>
      <c r="AR159" s="71" t="n"/>
      <c r="AS159" s="71" t="n"/>
      <c r="AT159" s="22" t="n"/>
    </row>
    <row r="160" ht="15" customHeight="1">
      <c r="A160" s="70">
        <f>IF(C160="","",IFERROR(IF(SUMPRODUCT(MAX((tbl_Finance[Job Number]&amp;""=C160&amp;"")*(tbl_Finance[Xero Invoice No]&lt;&gt;"")*tbl_Finance[Date]))=0,"",SUMPRODUCT(MAX((tbl_Finance[Job Number]&amp;""=C160&amp;"")*(tbl_Finance[Xero Invoice No]&lt;&gt;"")*tbl_Finance[Date]))),""))</f>
        <v/>
      </c>
      <c r="B160" s="26">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2" t="n"/>
      <c r="D160" s="26">
        <f>IF(C160="","",IF(COUNTIF(lst_Jobs,C160&amp;"")&gt;0,"OK","CHECK"))</f>
        <v/>
      </c>
      <c r="E160" s="26">
        <f>IF(C160="","",IFERROR(INDEX(lst_JobName,MATCH(C160&amp;"",lst_Jobs,0)),""))</f>
        <v/>
      </c>
      <c r="F160" s="22" t="n"/>
      <c r="G160" s="22" t="n"/>
      <c r="H160" s="22" t="n"/>
      <c r="I160" s="22" t="n"/>
      <c r="J160" s="22" t="n"/>
      <c r="K160" s="28">
        <f>IF(C160="","",COUNTIFS(tbl_Finance[Job Number],C160&amp;"",tbl_Finance[Ex GST],"&lt;&gt;"))</f>
        <v/>
      </c>
      <c r="L160" s="27">
        <f>IF(C160="","",SUMIFS(tbl_Finance[Ex GST],tbl_Finance[Job Number],C160&amp;""))</f>
        <v/>
      </c>
      <c r="M160" s="27">
        <f>IF(C160="","",SUMIFS(tbl_Finance[Ex GST],tbl_Finance[Job Number],C160&amp;"",tbl_Finance[Xero Invoice No],"&lt;&gt;"))</f>
        <v/>
      </c>
      <c r="N160" s="27">
        <f>IF(C160="","",L160-M160)</f>
        <v/>
      </c>
      <c r="O160" s="24" t="n"/>
      <c r="P160" s="27">
        <f>IF(C160="","",IF(O160="",0,MAX(0,O160-L160)))</f>
        <v/>
      </c>
      <c r="Q160" s="26">
        <f>IF(C160="","",IF(K160=0,"not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R160" s="27">
        <f>IF(C160="","",SUMIFS(tbl_Finance[Inc GST],tbl_Finance[Job Number],C160&amp;""))</f>
        <v/>
      </c>
      <c r="S160" s="22" t="n"/>
      <c r="T160" s="22" t="n"/>
      <c r="U160" s="22" t="n"/>
      <c r="V160" s="23" t="n"/>
      <c r="W160" s="22" t="n"/>
      <c r="X160" s="26">
        <f>IF(W160="","",IF(AND(LEFT(W160,4)&lt;&gt;"http",set_RMSBase=""),"",HYPERLINK(IF(LEFT(W160,4)="http",W160,set_RMSBase&amp;W160),"Open opportunity")))</f>
        <v/>
      </c>
      <c r="Y160" s="22" t="n"/>
      <c r="Z160" s="26">
        <f>IF(Y160="","",HYPERLINK(IF(LEFT(Y160,4)="http",Y160,set_QwilrBase&amp;Y160),"Open quote"))</f>
        <v/>
      </c>
      <c r="AA160" s="26">
        <f>IF(C160="","",C160)</f>
        <v/>
      </c>
      <c r="AB160" s="22" t="n"/>
      <c r="AC160" s="24" t="n"/>
      <c r="AD160" s="27">
        <f>IF(C160="","",L160+N(AC160))</f>
        <v/>
      </c>
      <c r="AE160" s="29">
        <f>IFERROR(AC160/AD160,"")</f>
        <v/>
      </c>
      <c r="AF160" s="24" t="n"/>
      <c r="AG160" s="24" t="n"/>
      <c r="AH160" s="24" t="n"/>
      <c r="AI160" s="24" t="n"/>
      <c r="AJ160" s="27">
        <f>IF(C160="","",SUMIFS(tbl_Finance[Ex GST],tbl_Finance[Job Number],C160&amp;"",tbl_Finance[Cost Centre],"VIDEO"))</f>
        <v/>
      </c>
      <c r="AK160" s="29">
        <f>IFERROR(AJ160/L160,"")</f>
        <v/>
      </c>
      <c r="AL160" s="27">
        <f>IF(C160="","",N(AF160)+N(AG160)+N(AH160)+N(AI160))</f>
        <v/>
      </c>
      <c r="AM160" s="27" t="n"/>
      <c r="AN160" s="29" t="n"/>
      <c r="AO160" s="71" t="n"/>
      <c r="AP160" s="71" t="n"/>
      <c r="AQ160" s="71" t="n"/>
      <c r="AR160" s="71" t="n"/>
      <c r="AS160" s="71" t="n"/>
      <c r="AT160" s="22" t="n"/>
    </row>
    <row r="161" ht="15" customHeight="1">
      <c r="A161" s="70">
        <f>IF(C161="","",IFERROR(IF(SUMPRODUCT(MAX((tbl_Finance[Job Number]&amp;""=C161&amp;"")*(tbl_Finance[Xero Invoice No]&lt;&gt;"")*tbl_Finance[Date]))=0,"",SUMPRODUCT(MAX((tbl_Finance[Job Number]&amp;""=C161&amp;"")*(tbl_Finance[Xero Invoice No]&lt;&gt;"")*tbl_Finance[Date]))),""))</f>
        <v/>
      </c>
      <c r="B161" s="26">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2" t="n"/>
      <c r="D161" s="26">
        <f>IF(C161="","",IF(COUNTIF(lst_Jobs,C161&amp;"")&gt;0,"OK","CHECK"))</f>
        <v/>
      </c>
      <c r="E161" s="26">
        <f>IF(C161="","",IFERROR(INDEX(lst_JobName,MATCH(C161&amp;"",lst_Jobs,0)),""))</f>
        <v/>
      </c>
      <c r="F161" s="22" t="n"/>
      <c r="G161" s="22" t="n"/>
      <c r="H161" s="22" t="n"/>
      <c r="I161" s="22" t="n"/>
      <c r="J161" s="22" t="n"/>
      <c r="K161" s="28">
        <f>IF(C161="","",COUNTIFS(tbl_Finance[Job Number],C161&amp;"",tbl_Finance[Ex GST],"&lt;&gt;"))</f>
        <v/>
      </c>
      <c r="L161" s="27">
        <f>IF(C161="","",SUMIFS(tbl_Finance[Ex GST],tbl_Finance[Job Number],C161&amp;""))</f>
        <v/>
      </c>
      <c r="M161" s="27">
        <f>IF(C161="","",SUMIFS(tbl_Finance[Ex GST],tbl_Finance[Job Number],C161&amp;"",tbl_Finance[Xero Invoice No],"&lt;&gt;"))</f>
        <v/>
      </c>
      <c r="N161" s="27">
        <f>IF(C161="","",L161-M161)</f>
        <v/>
      </c>
      <c r="O161" s="24" t="n"/>
      <c r="P161" s="27">
        <f>IF(C161="","",IF(O161="",0,MAX(0,O161-L161)))</f>
        <v/>
      </c>
      <c r="Q161" s="26">
        <f>IF(C161="","",IF(K161=0,"not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R161" s="27">
        <f>IF(C161="","",SUMIFS(tbl_Finance[Inc GST],tbl_Finance[Job Number],C161&amp;""))</f>
        <v/>
      </c>
      <c r="S161" s="22" t="n"/>
      <c r="T161" s="22" t="n"/>
      <c r="U161" s="22" t="n"/>
      <c r="V161" s="23" t="n"/>
      <c r="W161" s="22" t="n"/>
      <c r="X161" s="26">
        <f>IF(W161="","",IF(AND(LEFT(W161,4)&lt;&gt;"http",set_RMSBase=""),"",HYPERLINK(IF(LEFT(W161,4)="http",W161,set_RMSBase&amp;W161),"Open opportunity")))</f>
        <v/>
      </c>
      <c r="Y161" s="22" t="n"/>
      <c r="Z161" s="26">
        <f>IF(Y161="","",HYPERLINK(IF(LEFT(Y161,4)="http",Y161,set_QwilrBase&amp;Y161),"Open quote"))</f>
        <v/>
      </c>
      <c r="AA161" s="26">
        <f>IF(C161="","",C161)</f>
        <v/>
      </c>
      <c r="AB161" s="22" t="n"/>
      <c r="AC161" s="24" t="n"/>
      <c r="AD161" s="27">
        <f>IF(C161="","",L161+N(AC161))</f>
        <v/>
      </c>
      <c r="AE161" s="29">
        <f>IFERROR(AC161/AD161,"")</f>
        <v/>
      </c>
      <c r="AF161" s="24" t="n"/>
      <c r="AG161" s="24" t="n"/>
      <c r="AH161" s="24" t="n"/>
      <c r="AI161" s="24" t="n"/>
      <c r="AJ161" s="27">
        <f>IF(C161="","",SUMIFS(tbl_Finance[Ex GST],tbl_Finance[Job Number],C161&amp;"",tbl_Finance[Cost Centre],"VIDEO"))</f>
        <v/>
      </c>
      <c r="AK161" s="29">
        <f>IFERROR(AJ161/L161,"")</f>
        <v/>
      </c>
      <c r="AL161" s="27">
        <f>IF(C161="","",N(AF161)+N(AG161)+N(AH161)+N(AI161))</f>
        <v/>
      </c>
      <c r="AM161" s="27" t="n"/>
      <c r="AN161" s="29" t="n"/>
      <c r="AO161" s="71" t="n"/>
      <c r="AP161" s="71" t="n"/>
      <c r="AQ161" s="71" t="n"/>
      <c r="AR161" s="71" t="n"/>
      <c r="AS161" s="71" t="n"/>
      <c r="AT161" s="22" t="n"/>
    </row>
    <row r="162" ht="15" customHeight="1">
      <c r="A162" s="70">
        <f>IF(C162="","",IFERROR(IF(SUMPRODUCT(MAX((tbl_Finance[Job Number]&amp;""=C162&amp;"")*(tbl_Finance[Xero Invoice No]&lt;&gt;"")*tbl_Finance[Date]))=0,"",SUMPRODUCT(MAX((tbl_Finance[Job Number]&amp;""=C162&amp;"")*(tbl_Finance[Xero Invoice No]&lt;&gt;"")*tbl_Finance[Date]))),""))</f>
        <v/>
      </c>
      <c r="B162" s="26">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2" t="n"/>
      <c r="D162" s="26">
        <f>IF(C162="","",IF(COUNTIF(lst_Jobs,C162&amp;"")&gt;0,"OK","CHECK"))</f>
        <v/>
      </c>
      <c r="E162" s="26">
        <f>IF(C162="","",IFERROR(INDEX(lst_JobName,MATCH(C162&amp;"",lst_Jobs,0)),""))</f>
        <v/>
      </c>
      <c r="F162" s="22" t="n"/>
      <c r="G162" s="22" t="n"/>
      <c r="H162" s="22" t="n"/>
      <c r="I162" s="22" t="n"/>
      <c r="J162" s="22" t="n"/>
      <c r="K162" s="28">
        <f>IF(C162="","",COUNTIFS(tbl_Finance[Job Number],C162&amp;"",tbl_Finance[Ex GST],"&lt;&gt;"))</f>
        <v/>
      </c>
      <c r="L162" s="27">
        <f>IF(C162="","",SUMIFS(tbl_Finance[Ex GST],tbl_Finance[Job Number],C162&amp;""))</f>
        <v/>
      </c>
      <c r="M162" s="27">
        <f>IF(C162="","",SUMIFS(tbl_Finance[Ex GST],tbl_Finance[Job Number],C162&amp;"",tbl_Finance[Xero Invoice No],"&lt;&gt;"))</f>
        <v/>
      </c>
      <c r="N162" s="27">
        <f>IF(C162="","",L162-M162)</f>
        <v/>
      </c>
      <c r="O162" s="24" t="n"/>
      <c r="P162" s="27">
        <f>IF(C162="","",IF(O162="",0,MAX(0,O162-L162)))</f>
        <v/>
      </c>
      <c r="Q162" s="26">
        <f>IF(C162="","",IF(K162=0,"not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R162" s="27">
        <f>IF(C162="","",SUMIFS(tbl_Finance[Inc GST],tbl_Finance[Job Number],C162&amp;""))</f>
        <v/>
      </c>
      <c r="S162" s="22" t="n"/>
      <c r="T162" s="22" t="n"/>
      <c r="U162" s="22" t="n"/>
      <c r="V162" s="23" t="n"/>
      <c r="W162" s="22" t="n"/>
      <c r="X162" s="26">
        <f>IF(W162="","",IF(AND(LEFT(W162,4)&lt;&gt;"http",set_RMSBase=""),"",HYPERLINK(IF(LEFT(W162,4)="http",W162,set_RMSBase&amp;W162),"Open opportunity")))</f>
        <v/>
      </c>
      <c r="Y162" s="22" t="n"/>
      <c r="Z162" s="26">
        <f>IF(Y162="","",HYPERLINK(IF(LEFT(Y162,4)="http",Y162,set_QwilrBase&amp;Y162),"Open quote"))</f>
        <v/>
      </c>
      <c r="AA162" s="26">
        <f>IF(C162="","",C162)</f>
        <v/>
      </c>
      <c r="AB162" s="22" t="n"/>
      <c r="AC162" s="24" t="n"/>
      <c r="AD162" s="27">
        <f>IF(C162="","",L162+N(AC162))</f>
        <v/>
      </c>
      <c r="AE162" s="29">
        <f>IFERROR(AC162/AD162,"")</f>
        <v/>
      </c>
      <c r="AF162" s="24" t="n"/>
      <c r="AG162" s="24" t="n"/>
      <c r="AH162" s="24" t="n"/>
      <c r="AI162" s="24" t="n"/>
      <c r="AJ162" s="27">
        <f>IF(C162="","",SUMIFS(tbl_Finance[Ex GST],tbl_Finance[Job Number],C162&amp;"",tbl_Finance[Cost Centre],"VIDEO"))</f>
        <v/>
      </c>
      <c r="AK162" s="29">
        <f>IFERROR(AJ162/L162,"")</f>
        <v/>
      </c>
      <c r="AL162" s="27">
        <f>IF(C162="","",N(AF162)+N(AG162)+N(AH162)+N(AI162))</f>
        <v/>
      </c>
      <c r="AM162" s="27" t="n"/>
      <c r="AN162" s="29" t="n"/>
      <c r="AO162" s="71" t="n"/>
      <c r="AP162" s="71" t="n"/>
      <c r="AQ162" s="71" t="n"/>
      <c r="AR162" s="71" t="n"/>
      <c r="AS162" s="71" t="n"/>
      <c r="AT162" s="22" t="n"/>
    </row>
    <row r="163" ht="15" customHeight="1">
      <c r="A163" s="70">
        <f>IF(C163="","",IFERROR(IF(SUMPRODUCT(MAX((tbl_Finance[Job Number]&amp;""=C163&amp;"")*(tbl_Finance[Xero Invoice No]&lt;&gt;"")*tbl_Finance[Date]))=0,"",SUMPRODUCT(MAX((tbl_Finance[Job Number]&amp;""=C163&amp;"")*(tbl_Finance[Xero Invoice No]&lt;&gt;"")*tbl_Finance[Date]))),""))</f>
        <v/>
      </c>
      <c r="B163" s="26">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2" t="n"/>
      <c r="D163" s="26">
        <f>IF(C163="","",IF(COUNTIF(lst_Jobs,C163&amp;"")&gt;0,"OK","CHECK"))</f>
        <v/>
      </c>
      <c r="E163" s="26">
        <f>IF(C163="","",IFERROR(INDEX(lst_JobName,MATCH(C163&amp;"",lst_Jobs,0)),""))</f>
        <v/>
      </c>
      <c r="F163" s="22" t="n"/>
      <c r="G163" s="22" t="n"/>
      <c r="H163" s="22" t="n"/>
      <c r="I163" s="22" t="n"/>
      <c r="J163" s="22" t="n"/>
      <c r="K163" s="28">
        <f>IF(C163="","",COUNTIFS(tbl_Finance[Job Number],C163&amp;"",tbl_Finance[Ex GST],"&lt;&gt;"))</f>
        <v/>
      </c>
      <c r="L163" s="27">
        <f>IF(C163="","",SUMIFS(tbl_Finance[Ex GST],tbl_Finance[Job Number],C163&amp;""))</f>
        <v/>
      </c>
      <c r="M163" s="27">
        <f>IF(C163="","",SUMIFS(tbl_Finance[Ex GST],tbl_Finance[Job Number],C163&amp;"",tbl_Finance[Xero Invoice No],"&lt;&gt;"))</f>
        <v/>
      </c>
      <c r="N163" s="27">
        <f>IF(C163="","",L163-M163)</f>
        <v/>
      </c>
      <c r="O163" s="24" t="n"/>
      <c r="P163" s="27">
        <f>IF(C163="","",IF(O163="",0,MAX(0,O163-L163)))</f>
        <v/>
      </c>
      <c r="Q163" s="26">
        <f>IF(C163="","",IF(K163=0,"not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R163" s="27">
        <f>IF(C163="","",SUMIFS(tbl_Finance[Inc GST],tbl_Finance[Job Number],C163&amp;""))</f>
        <v/>
      </c>
      <c r="S163" s="22" t="n"/>
      <c r="T163" s="22" t="n"/>
      <c r="U163" s="22" t="n"/>
      <c r="V163" s="23" t="n"/>
      <c r="W163" s="22" t="n"/>
      <c r="X163" s="26">
        <f>IF(W163="","",IF(AND(LEFT(W163,4)&lt;&gt;"http",set_RMSBase=""),"",HYPERLINK(IF(LEFT(W163,4)="http",W163,set_RMSBase&amp;W163),"Open opportunity")))</f>
        <v/>
      </c>
      <c r="Y163" s="22" t="n"/>
      <c r="Z163" s="26">
        <f>IF(Y163="","",HYPERLINK(IF(LEFT(Y163,4)="http",Y163,set_QwilrBase&amp;Y163),"Open quote"))</f>
        <v/>
      </c>
      <c r="AA163" s="26">
        <f>IF(C163="","",C163)</f>
        <v/>
      </c>
      <c r="AB163" s="22" t="n"/>
      <c r="AC163" s="24" t="n"/>
      <c r="AD163" s="27">
        <f>IF(C163="","",L163+N(AC163))</f>
        <v/>
      </c>
      <c r="AE163" s="29">
        <f>IFERROR(AC163/AD163,"")</f>
        <v/>
      </c>
      <c r="AF163" s="24" t="n"/>
      <c r="AG163" s="24" t="n"/>
      <c r="AH163" s="24" t="n"/>
      <c r="AI163" s="24" t="n"/>
      <c r="AJ163" s="27">
        <f>IF(C163="","",SUMIFS(tbl_Finance[Ex GST],tbl_Finance[Job Number],C163&amp;"",tbl_Finance[Cost Centre],"VIDEO"))</f>
        <v/>
      </c>
      <c r="AK163" s="29">
        <f>IFERROR(AJ163/L163,"")</f>
        <v/>
      </c>
      <c r="AL163" s="27">
        <f>IF(C163="","",N(AF163)+N(AG163)+N(AH163)+N(AI163))</f>
        <v/>
      </c>
      <c r="AM163" s="27" t="n"/>
      <c r="AN163" s="29" t="n"/>
      <c r="AO163" s="71" t="n"/>
      <c r="AP163" s="71" t="n"/>
      <c r="AQ163" s="71" t="n"/>
      <c r="AR163" s="71" t="n"/>
      <c r="AS163" s="71" t="n"/>
      <c r="AT163" s="22" t="n"/>
    </row>
    <row r="164" ht="15" customHeight="1">
      <c r="A164" s="70">
        <f>IF(C164="","",IFERROR(IF(SUMPRODUCT(MAX((tbl_Finance[Job Number]&amp;""=C164&amp;"")*(tbl_Finance[Xero Invoice No]&lt;&gt;"")*tbl_Finance[Date]))=0,"",SUMPRODUCT(MAX((tbl_Finance[Job Number]&amp;""=C164&amp;"")*(tbl_Finance[Xero Invoice No]&lt;&gt;"")*tbl_Finance[Date]))),""))</f>
        <v/>
      </c>
      <c r="B164" s="26">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2" t="n"/>
      <c r="D164" s="26">
        <f>IF(C164="","",IF(COUNTIF(lst_Jobs,C164&amp;"")&gt;0,"OK","CHECK"))</f>
        <v/>
      </c>
      <c r="E164" s="26">
        <f>IF(C164="","",IFERROR(INDEX(lst_JobName,MATCH(C164&amp;"",lst_Jobs,0)),""))</f>
        <v/>
      </c>
      <c r="F164" s="22" t="n"/>
      <c r="G164" s="22" t="n"/>
      <c r="H164" s="22" t="n"/>
      <c r="I164" s="22" t="n"/>
      <c r="J164" s="22" t="n"/>
      <c r="K164" s="28">
        <f>IF(C164="","",COUNTIFS(tbl_Finance[Job Number],C164&amp;"",tbl_Finance[Ex GST],"&lt;&gt;"))</f>
        <v/>
      </c>
      <c r="L164" s="27">
        <f>IF(C164="","",SUMIFS(tbl_Finance[Ex GST],tbl_Finance[Job Number],C164&amp;""))</f>
        <v/>
      </c>
      <c r="M164" s="27">
        <f>IF(C164="","",SUMIFS(tbl_Finance[Ex GST],tbl_Finance[Job Number],C164&amp;"",tbl_Finance[Xero Invoice No],"&lt;&gt;"))</f>
        <v/>
      </c>
      <c r="N164" s="27">
        <f>IF(C164="","",L164-M164)</f>
        <v/>
      </c>
      <c r="O164" s="24" t="n"/>
      <c r="P164" s="27">
        <f>IF(C164="","",IF(O164="",0,MAX(0,O164-L164)))</f>
        <v/>
      </c>
      <c r="Q164" s="26">
        <f>IF(C164="","",IF(K164=0,"not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R164" s="27">
        <f>IF(C164="","",SUMIFS(tbl_Finance[Inc GST],tbl_Finance[Job Number],C164&amp;""))</f>
        <v/>
      </c>
      <c r="S164" s="22" t="n"/>
      <c r="T164" s="22" t="n"/>
      <c r="U164" s="22" t="n"/>
      <c r="V164" s="23" t="n"/>
      <c r="W164" s="22" t="n"/>
      <c r="X164" s="26">
        <f>IF(W164="","",IF(AND(LEFT(W164,4)&lt;&gt;"http",set_RMSBase=""),"",HYPERLINK(IF(LEFT(W164,4)="http",W164,set_RMSBase&amp;W164),"Open opportunity")))</f>
        <v/>
      </c>
      <c r="Y164" s="22" t="n"/>
      <c r="Z164" s="26">
        <f>IF(Y164="","",HYPERLINK(IF(LEFT(Y164,4)="http",Y164,set_QwilrBase&amp;Y164),"Open quote"))</f>
        <v/>
      </c>
      <c r="AA164" s="26">
        <f>IF(C164="","",C164)</f>
        <v/>
      </c>
      <c r="AB164" s="22" t="n"/>
      <c r="AC164" s="24" t="n"/>
      <c r="AD164" s="27">
        <f>IF(C164="","",L164+N(AC164))</f>
        <v/>
      </c>
      <c r="AE164" s="29">
        <f>IFERROR(AC164/AD164,"")</f>
        <v/>
      </c>
      <c r="AF164" s="24" t="n"/>
      <c r="AG164" s="24" t="n"/>
      <c r="AH164" s="24" t="n"/>
      <c r="AI164" s="24" t="n"/>
      <c r="AJ164" s="27">
        <f>IF(C164="","",SUMIFS(tbl_Finance[Ex GST],tbl_Finance[Job Number],C164&amp;"",tbl_Finance[Cost Centre],"VIDEO"))</f>
        <v/>
      </c>
      <c r="AK164" s="29">
        <f>IFERROR(AJ164/L164,"")</f>
        <v/>
      </c>
      <c r="AL164" s="27">
        <f>IF(C164="","",N(AF164)+N(AG164)+N(AH164)+N(AI164))</f>
        <v/>
      </c>
      <c r="AM164" s="27" t="n"/>
      <c r="AN164" s="29" t="n"/>
      <c r="AO164" s="71" t="n"/>
      <c r="AP164" s="71" t="n"/>
      <c r="AQ164" s="71" t="n"/>
      <c r="AR164" s="71" t="n"/>
      <c r="AS164" s="71" t="n"/>
      <c r="AT164" s="22" t="n"/>
    </row>
    <row r="165" ht="15" customHeight="1">
      <c r="A165" s="70">
        <f>IF(C165="","",IFERROR(IF(SUMPRODUCT(MAX((tbl_Finance[Job Number]&amp;""=C165&amp;"")*(tbl_Finance[Xero Invoice No]&lt;&gt;"")*tbl_Finance[Date]))=0,"",SUMPRODUCT(MAX((tbl_Finance[Job Number]&amp;""=C165&amp;"")*(tbl_Finance[Xero Invoice No]&lt;&gt;"")*tbl_Finance[Date]))),""))</f>
        <v/>
      </c>
      <c r="B165" s="26">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2" t="n"/>
      <c r="D165" s="26">
        <f>IF(C165="","",IF(COUNTIF(lst_Jobs,C165&amp;"")&gt;0,"OK","CHECK"))</f>
        <v/>
      </c>
      <c r="E165" s="26">
        <f>IF(C165="","",IFERROR(INDEX(lst_JobName,MATCH(C165&amp;"",lst_Jobs,0)),""))</f>
        <v/>
      </c>
      <c r="F165" s="22" t="n"/>
      <c r="G165" s="22" t="n"/>
      <c r="H165" s="22" t="n"/>
      <c r="I165" s="22" t="n"/>
      <c r="J165" s="22" t="n"/>
      <c r="K165" s="28">
        <f>IF(C165="","",COUNTIFS(tbl_Finance[Job Number],C165&amp;"",tbl_Finance[Ex GST],"&lt;&gt;"))</f>
        <v/>
      </c>
      <c r="L165" s="27">
        <f>IF(C165="","",SUMIFS(tbl_Finance[Ex GST],tbl_Finance[Job Number],C165&amp;""))</f>
        <v/>
      </c>
      <c r="M165" s="27">
        <f>IF(C165="","",SUMIFS(tbl_Finance[Ex GST],tbl_Finance[Job Number],C165&amp;"",tbl_Finance[Xero Invoice No],"&lt;&gt;"))</f>
        <v/>
      </c>
      <c r="N165" s="27">
        <f>IF(C165="","",L165-M165)</f>
        <v/>
      </c>
      <c r="O165" s="24" t="n"/>
      <c r="P165" s="27">
        <f>IF(C165="","",IF(O165="",0,MAX(0,O165-L165)))</f>
        <v/>
      </c>
      <c r="Q165" s="26">
        <f>IF(C165="","",IF(K165=0,"not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R165" s="27">
        <f>IF(C165="","",SUMIFS(tbl_Finance[Inc GST],tbl_Finance[Job Number],C165&amp;""))</f>
        <v/>
      </c>
      <c r="S165" s="22" t="n"/>
      <c r="T165" s="22" t="n"/>
      <c r="U165" s="22" t="n"/>
      <c r="V165" s="23" t="n"/>
      <c r="W165" s="22" t="n"/>
      <c r="X165" s="26">
        <f>IF(W165="","",IF(AND(LEFT(W165,4)&lt;&gt;"http",set_RMSBase=""),"",HYPERLINK(IF(LEFT(W165,4)="http",W165,set_RMSBase&amp;W165),"Open opportunity")))</f>
        <v/>
      </c>
      <c r="Y165" s="22" t="n"/>
      <c r="Z165" s="26">
        <f>IF(Y165="","",HYPERLINK(IF(LEFT(Y165,4)="http",Y165,set_QwilrBase&amp;Y165),"Open quote"))</f>
        <v/>
      </c>
      <c r="AA165" s="26">
        <f>IF(C165="","",C165)</f>
        <v/>
      </c>
      <c r="AB165" s="22" t="n"/>
      <c r="AC165" s="24" t="n"/>
      <c r="AD165" s="27">
        <f>IF(C165="","",L165+N(AC165))</f>
        <v/>
      </c>
      <c r="AE165" s="29">
        <f>IFERROR(AC165/AD165,"")</f>
        <v/>
      </c>
      <c r="AF165" s="24" t="n"/>
      <c r="AG165" s="24" t="n"/>
      <c r="AH165" s="24" t="n"/>
      <c r="AI165" s="24" t="n"/>
      <c r="AJ165" s="27">
        <f>IF(C165="","",SUMIFS(tbl_Finance[Ex GST],tbl_Finance[Job Number],C165&amp;"",tbl_Finance[Cost Centre],"VIDEO"))</f>
        <v/>
      </c>
      <c r="AK165" s="29">
        <f>IFERROR(AJ165/L165,"")</f>
        <v/>
      </c>
      <c r="AL165" s="27">
        <f>IF(C165="","",N(AF165)+N(AG165)+N(AH165)+N(AI165))</f>
        <v/>
      </c>
      <c r="AM165" s="27" t="n"/>
      <c r="AN165" s="29" t="n"/>
      <c r="AO165" s="71" t="n"/>
      <c r="AP165" s="71" t="n"/>
      <c r="AQ165" s="71" t="n"/>
      <c r="AR165" s="71" t="n"/>
      <c r="AS165" s="71" t="n"/>
      <c r="AT165" s="22" t="n"/>
    </row>
    <row r="166" ht="15" customHeight="1">
      <c r="A166" s="70">
        <f>IF(C166="","",IFERROR(IF(SUMPRODUCT(MAX((tbl_Finance[Job Number]&amp;""=C166&amp;"")*(tbl_Finance[Xero Invoice No]&lt;&gt;"")*tbl_Finance[Date]))=0,"",SUMPRODUCT(MAX((tbl_Finance[Job Number]&amp;""=C166&amp;"")*(tbl_Finance[Xero Invoice No]&lt;&gt;"")*tbl_Finance[Date]))),""))</f>
        <v/>
      </c>
      <c r="B166" s="26">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2" t="n"/>
      <c r="D166" s="26">
        <f>IF(C166="","",IF(COUNTIF(lst_Jobs,C166&amp;"")&gt;0,"OK","CHECK"))</f>
        <v/>
      </c>
      <c r="E166" s="26">
        <f>IF(C166="","",IFERROR(INDEX(lst_JobName,MATCH(C166&amp;"",lst_Jobs,0)),""))</f>
        <v/>
      </c>
      <c r="F166" s="22" t="n"/>
      <c r="G166" s="22" t="n"/>
      <c r="H166" s="22" t="n"/>
      <c r="I166" s="22" t="n"/>
      <c r="J166" s="22" t="n"/>
      <c r="K166" s="28">
        <f>IF(C166="","",COUNTIFS(tbl_Finance[Job Number],C166&amp;"",tbl_Finance[Ex GST],"&lt;&gt;"))</f>
        <v/>
      </c>
      <c r="L166" s="27">
        <f>IF(C166="","",SUMIFS(tbl_Finance[Ex GST],tbl_Finance[Job Number],C166&amp;""))</f>
        <v/>
      </c>
      <c r="M166" s="27">
        <f>IF(C166="","",SUMIFS(tbl_Finance[Ex GST],tbl_Finance[Job Number],C166&amp;"",tbl_Finance[Xero Invoice No],"&lt;&gt;"))</f>
        <v/>
      </c>
      <c r="N166" s="27">
        <f>IF(C166="","",L166-M166)</f>
        <v/>
      </c>
      <c r="O166" s="24" t="n"/>
      <c r="P166" s="27">
        <f>IF(C166="","",IF(O166="",0,MAX(0,O166-L166)))</f>
        <v/>
      </c>
      <c r="Q166" s="26">
        <f>IF(C166="","",IF(K166=0,"not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R166" s="27">
        <f>IF(C166="","",SUMIFS(tbl_Finance[Inc GST],tbl_Finance[Job Number],C166&amp;""))</f>
        <v/>
      </c>
      <c r="S166" s="22" t="n"/>
      <c r="T166" s="22" t="n"/>
      <c r="U166" s="22" t="n"/>
      <c r="V166" s="23" t="n"/>
      <c r="W166" s="22" t="n"/>
      <c r="X166" s="26">
        <f>IF(W166="","",IF(AND(LEFT(W166,4)&lt;&gt;"http",set_RMSBase=""),"",HYPERLINK(IF(LEFT(W166,4)="http",W166,set_RMSBase&amp;W166),"Open opportunity")))</f>
        <v/>
      </c>
      <c r="Y166" s="22" t="n"/>
      <c r="Z166" s="26">
        <f>IF(Y166="","",HYPERLINK(IF(LEFT(Y166,4)="http",Y166,set_QwilrBase&amp;Y166),"Open quote"))</f>
        <v/>
      </c>
      <c r="AA166" s="26">
        <f>IF(C166="","",C166)</f>
        <v/>
      </c>
      <c r="AB166" s="22" t="n"/>
      <c r="AC166" s="24" t="n"/>
      <c r="AD166" s="27">
        <f>IF(C166="","",L166+N(AC166))</f>
        <v/>
      </c>
      <c r="AE166" s="29">
        <f>IFERROR(AC166/AD166,"")</f>
        <v/>
      </c>
      <c r="AF166" s="24" t="n"/>
      <c r="AG166" s="24" t="n"/>
      <c r="AH166" s="24" t="n"/>
      <c r="AI166" s="24" t="n"/>
      <c r="AJ166" s="27">
        <f>IF(C166="","",SUMIFS(tbl_Finance[Ex GST],tbl_Finance[Job Number],C166&amp;"",tbl_Finance[Cost Centre],"VIDEO"))</f>
        <v/>
      </c>
      <c r="AK166" s="29">
        <f>IFERROR(AJ166/L166,"")</f>
        <v/>
      </c>
      <c r="AL166" s="27">
        <f>IF(C166="","",N(AF166)+N(AG166)+N(AH166)+N(AI166))</f>
        <v/>
      </c>
      <c r="AM166" s="27" t="n"/>
      <c r="AN166" s="29" t="n"/>
      <c r="AO166" s="71" t="n"/>
      <c r="AP166" s="71" t="n"/>
      <c r="AQ166" s="71" t="n"/>
      <c r="AR166" s="71" t="n"/>
      <c r="AS166" s="71" t="n"/>
      <c r="AT166" s="22" t="n"/>
    </row>
    <row r="167" ht="15" customHeight="1">
      <c r="A167" s="70">
        <f>IF(C167="","",IFERROR(IF(SUMPRODUCT(MAX((tbl_Finance[Job Number]&amp;""=C167&amp;"")*(tbl_Finance[Xero Invoice No]&lt;&gt;"")*tbl_Finance[Date]))=0,"",SUMPRODUCT(MAX((tbl_Finance[Job Number]&amp;""=C167&amp;"")*(tbl_Finance[Xero Invoice No]&lt;&gt;"")*tbl_Finance[Date]))),""))</f>
        <v/>
      </c>
      <c r="B167" s="26">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2" t="n"/>
      <c r="D167" s="26">
        <f>IF(C167="","",IF(COUNTIF(lst_Jobs,C167&amp;"")&gt;0,"OK","CHECK"))</f>
        <v/>
      </c>
      <c r="E167" s="26">
        <f>IF(C167="","",IFERROR(INDEX(lst_JobName,MATCH(C167&amp;"",lst_Jobs,0)),""))</f>
        <v/>
      </c>
      <c r="F167" s="22" t="n"/>
      <c r="G167" s="22" t="n"/>
      <c r="H167" s="22" t="n"/>
      <c r="I167" s="22" t="n"/>
      <c r="J167" s="22" t="n"/>
      <c r="K167" s="28">
        <f>IF(C167="","",COUNTIFS(tbl_Finance[Job Number],C167&amp;"",tbl_Finance[Ex GST],"&lt;&gt;"))</f>
        <v/>
      </c>
      <c r="L167" s="27">
        <f>IF(C167="","",SUMIFS(tbl_Finance[Ex GST],tbl_Finance[Job Number],C167&amp;""))</f>
        <v/>
      </c>
      <c r="M167" s="27">
        <f>IF(C167="","",SUMIFS(tbl_Finance[Ex GST],tbl_Finance[Job Number],C167&amp;"",tbl_Finance[Xero Invoice No],"&lt;&gt;"))</f>
        <v/>
      </c>
      <c r="N167" s="27">
        <f>IF(C167="","",L167-M167)</f>
        <v/>
      </c>
      <c r="O167" s="24" t="n"/>
      <c r="P167" s="27">
        <f>IF(C167="","",IF(O167="",0,MAX(0,O167-L167)))</f>
        <v/>
      </c>
      <c r="Q167" s="26">
        <f>IF(C167="","",IF(K167=0,"not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R167" s="27">
        <f>IF(C167="","",SUMIFS(tbl_Finance[Inc GST],tbl_Finance[Job Number],C167&amp;""))</f>
        <v/>
      </c>
      <c r="S167" s="22" t="n"/>
      <c r="T167" s="22" t="n"/>
      <c r="U167" s="22" t="n"/>
      <c r="V167" s="23" t="n"/>
      <c r="W167" s="22" t="n"/>
      <c r="X167" s="26">
        <f>IF(W167="","",IF(AND(LEFT(W167,4)&lt;&gt;"http",set_RMSBase=""),"",HYPERLINK(IF(LEFT(W167,4)="http",W167,set_RMSBase&amp;W167),"Open opportunity")))</f>
        <v/>
      </c>
      <c r="Y167" s="22" t="n"/>
      <c r="Z167" s="26">
        <f>IF(Y167="","",HYPERLINK(IF(LEFT(Y167,4)="http",Y167,set_QwilrBase&amp;Y167),"Open quote"))</f>
        <v/>
      </c>
      <c r="AA167" s="26">
        <f>IF(C167="","",C167)</f>
        <v/>
      </c>
      <c r="AB167" s="22" t="n"/>
      <c r="AC167" s="24" t="n"/>
      <c r="AD167" s="27">
        <f>IF(C167="","",L167+N(AC167))</f>
        <v/>
      </c>
      <c r="AE167" s="29">
        <f>IFERROR(AC167/AD167,"")</f>
        <v/>
      </c>
      <c r="AF167" s="24" t="n"/>
      <c r="AG167" s="24" t="n"/>
      <c r="AH167" s="24" t="n"/>
      <c r="AI167" s="24" t="n"/>
      <c r="AJ167" s="27">
        <f>IF(C167="","",SUMIFS(tbl_Finance[Ex GST],tbl_Finance[Job Number],C167&amp;"",tbl_Finance[Cost Centre],"VIDEO"))</f>
        <v/>
      </c>
      <c r="AK167" s="29">
        <f>IFERROR(AJ167/L167,"")</f>
        <v/>
      </c>
      <c r="AL167" s="27">
        <f>IF(C167="","",N(AF167)+N(AG167)+N(AH167)+N(AI167))</f>
        <v/>
      </c>
      <c r="AM167" s="27" t="n"/>
      <c r="AN167" s="29" t="n"/>
      <c r="AO167" s="71" t="n"/>
      <c r="AP167" s="71" t="n"/>
      <c r="AQ167" s="71" t="n"/>
      <c r="AR167" s="71" t="n"/>
      <c r="AS167" s="71" t="n"/>
      <c r="AT167" s="22" t="n"/>
    </row>
    <row r="168" ht="15" customHeight="1">
      <c r="A168" s="70">
        <f>IF(C168="","",IFERROR(IF(SUMPRODUCT(MAX((tbl_Finance[Job Number]&amp;""=C168&amp;"")*(tbl_Finance[Xero Invoice No]&lt;&gt;"")*tbl_Finance[Date]))=0,"",SUMPRODUCT(MAX((tbl_Finance[Job Number]&amp;""=C168&amp;"")*(tbl_Finance[Xero Invoice No]&lt;&gt;"")*tbl_Finance[Date]))),""))</f>
        <v/>
      </c>
      <c r="B168" s="26">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2" t="n"/>
      <c r="D168" s="26">
        <f>IF(C168="","",IF(COUNTIF(lst_Jobs,C168&amp;"")&gt;0,"OK","CHECK"))</f>
        <v/>
      </c>
      <c r="E168" s="26">
        <f>IF(C168="","",IFERROR(INDEX(lst_JobName,MATCH(C168&amp;"",lst_Jobs,0)),""))</f>
        <v/>
      </c>
      <c r="F168" s="22" t="n"/>
      <c r="G168" s="22" t="n"/>
      <c r="H168" s="22" t="n"/>
      <c r="I168" s="22" t="n"/>
      <c r="J168" s="22" t="n"/>
      <c r="K168" s="28">
        <f>IF(C168="","",COUNTIFS(tbl_Finance[Job Number],C168&amp;"",tbl_Finance[Ex GST],"&lt;&gt;"))</f>
        <v/>
      </c>
      <c r="L168" s="27">
        <f>IF(C168="","",SUMIFS(tbl_Finance[Ex GST],tbl_Finance[Job Number],C168&amp;""))</f>
        <v/>
      </c>
      <c r="M168" s="27">
        <f>IF(C168="","",SUMIFS(tbl_Finance[Ex GST],tbl_Finance[Job Number],C168&amp;"",tbl_Finance[Xero Invoice No],"&lt;&gt;"))</f>
        <v/>
      </c>
      <c r="N168" s="27">
        <f>IF(C168="","",L168-M168)</f>
        <v/>
      </c>
      <c r="O168" s="24" t="n"/>
      <c r="P168" s="27">
        <f>IF(C168="","",IF(O168="",0,MAX(0,O168-L168)))</f>
        <v/>
      </c>
      <c r="Q168" s="26">
        <f>IF(C168="","",IF(K168=0,"not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R168" s="27">
        <f>IF(C168="","",SUMIFS(tbl_Finance[Inc GST],tbl_Finance[Job Number],C168&amp;""))</f>
        <v/>
      </c>
      <c r="S168" s="22" t="n"/>
      <c r="T168" s="22" t="n"/>
      <c r="U168" s="22" t="n"/>
      <c r="V168" s="23" t="n"/>
      <c r="W168" s="22" t="n"/>
      <c r="X168" s="26">
        <f>IF(W168="","",IF(AND(LEFT(W168,4)&lt;&gt;"http",set_RMSBase=""),"",HYPERLINK(IF(LEFT(W168,4)="http",W168,set_RMSBase&amp;W168),"Open opportunity")))</f>
        <v/>
      </c>
      <c r="Y168" s="22" t="n"/>
      <c r="Z168" s="26">
        <f>IF(Y168="","",HYPERLINK(IF(LEFT(Y168,4)="http",Y168,set_QwilrBase&amp;Y168),"Open quote"))</f>
        <v/>
      </c>
      <c r="AA168" s="26">
        <f>IF(C168="","",C168)</f>
        <v/>
      </c>
      <c r="AB168" s="22" t="n"/>
      <c r="AC168" s="24" t="n"/>
      <c r="AD168" s="27">
        <f>IF(C168="","",L168+N(AC168))</f>
        <v/>
      </c>
      <c r="AE168" s="29">
        <f>IFERROR(AC168/AD168,"")</f>
        <v/>
      </c>
      <c r="AF168" s="24" t="n"/>
      <c r="AG168" s="24" t="n"/>
      <c r="AH168" s="24" t="n"/>
      <c r="AI168" s="24" t="n"/>
      <c r="AJ168" s="27">
        <f>IF(C168="","",SUMIFS(tbl_Finance[Ex GST],tbl_Finance[Job Number],C168&amp;"",tbl_Finance[Cost Centre],"VIDEO"))</f>
        <v/>
      </c>
      <c r="AK168" s="29">
        <f>IFERROR(AJ168/L168,"")</f>
        <v/>
      </c>
      <c r="AL168" s="27">
        <f>IF(C168="","",N(AF168)+N(AG168)+N(AH168)+N(AI168))</f>
        <v/>
      </c>
      <c r="AM168" s="27" t="n"/>
      <c r="AN168" s="29" t="n"/>
      <c r="AO168" s="71" t="n"/>
      <c r="AP168" s="71" t="n"/>
      <c r="AQ168" s="71" t="n"/>
      <c r="AR168" s="71" t="n"/>
      <c r="AS168" s="71" t="n"/>
      <c r="AT168" s="22" t="n"/>
    </row>
    <row r="169" ht="15" customHeight="1">
      <c r="A169" s="70">
        <f>IF(C169="","",IFERROR(IF(SUMPRODUCT(MAX((tbl_Finance[Job Number]&amp;""=C169&amp;"")*(tbl_Finance[Xero Invoice No]&lt;&gt;"")*tbl_Finance[Date]))=0,"",SUMPRODUCT(MAX((tbl_Finance[Job Number]&amp;""=C169&amp;"")*(tbl_Finance[Xero Invoice No]&lt;&gt;"")*tbl_Finance[Date]))),""))</f>
        <v/>
      </c>
      <c r="B169" s="26">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2" t="n"/>
      <c r="D169" s="26">
        <f>IF(C169="","",IF(COUNTIF(lst_Jobs,C169&amp;"")&gt;0,"OK","CHECK"))</f>
        <v/>
      </c>
      <c r="E169" s="26">
        <f>IF(C169="","",IFERROR(INDEX(lst_JobName,MATCH(C169&amp;"",lst_Jobs,0)),""))</f>
        <v/>
      </c>
      <c r="F169" s="22" t="n"/>
      <c r="G169" s="22" t="n"/>
      <c r="H169" s="22" t="n"/>
      <c r="I169" s="22" t="n"/>
      <c r="J169" s="22" t="n"/>
      <c r="K169" s="28">
        <f>IF(C169="","",COUNTIFS(tbl_Finance[Job Number],C169&amp;"",tbl_Finance[Ex GST],"&lt;&gt;"))</f>
        <v/>
      </c>
      <c r="L169" s="27">
        <f>IF(C169="","",SUMIFS(tbl_Finance[Ex GST],tbl_Finance[Job Number],C169&amp;""))</f>
        <v/>
      </c>
      <c r="M169" s="27">
        <f>IF(C169="","",SUMIFS(tbl_Finance[Ex GST],tbl_Finance[Job Number],C169&amp;"",tbl_Finance[Xero Invoice No],"&lt;&gt;"))</f>
        <v/>
      </c>
      <c r="N169" s="27">
        <f>IF(C169="","",L169-M169)</f>
        <v/>
      </c>
      <c r="O169" s="24" t="n"/>
      <c r="P169" s="27">
        <f>IF(C169="","",IF(O169="",0,MAX(0,O169-L169)))</f>
        <v/>
      </c>
      <c r="Q169" s="26">
        <f>IF(C169="","",IF(K169=0,"not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R169" s="27">
        <f>IF(C169="","",SUMIFS(tbl_Finance[Inc GST],tbl_Finance[Job Number],C169&amp;""))</f>
        <v/>
      </c>
      <c r="S169" s="22" t="n"/>
      <c r="T169" s="22" t="n"/>
      <c r="U169" s="22" t="n"/>
      <c r="V169" s="23" t="n"/>
      <c r="W169" s="22" t="n"/>
      <c r="X169" s="26">
        <f>IF(W169="","",IF(AND(LEFT(W169,4)&lt;&gt;"http",set_RMSBase=""),"",HYPERLINK(IF(LEFT(W169,4)="http",W169,set_RMSBase&amp;W169),"Open opportunity")))</f>
        <v/>
      </c>
      <c r="Y169" s="22" t="n"/>
      <c r="Z169" s="26">
        <f>IF(Y169="","",HYPERLINK(IF(LEFT(Y169,4)="http",Y169,set_QwilrBase&amp;Y169),"Open quote"))</f>
        <v/>
      </c>
      <c r="AA169" s="26">
        <f>IF(C169="","",C169)</f>
        <v/>
      </c>
      <c r="AB169" s="22" t="n"/>
      <c r="AC169" s="24" t="n"/>
      <c r="AD169" s="27">
        <f>IF(C169="","",L169+N(AC169))</f>
        <v/>
      </c>
      <c r="AE169" s="29">
        <f>IFERROR(AC169/AD169,"")</f>
        <v/>
      </c>
      <c r="AF169" s="24" t="n"/>
      <c r="AG169" s="24" t="n"/>
      <c r="AH169" s="24" t="n"/>
      <c r="AI169" s="24" t="n"/>
      <c r="AJ169" s="27">
        <f>IF(C169="","",SUMIFS(tbl_Finance[Ex GST],tbl_Finance[Job Number],C169&amp;"",tbl_Finance[Cost Centre],"VIDEO"))</f>
        <v/>
      </c>
      <c r="AK169" s="29">
        <f>IFERROR(AJ169/L169,"")</f>
        <v/>
      </c>
      <c r="AL169" s="27">
        <f>IF(C169="","",N(AF169)+N(AG169)+N(AH169)+N(AI169))</f>
        <v/>
      </c>
      <c r="AM169" s="27" t="n"/>
      <c r="AN169" s="29" t="n"/>
      <c r="AO169" s="71" t="n"/>
      <c r="AP169" s="71" t="n"/>
      <c r="AQ169" s="71" t="n"/>
      <c r="AR169" s="71" t="n"/>
      <c r="AS169" s="71" t="n"/>
      <c r="AT169" s="22" t="n"/>
    </row>
    <row r="170" ht="15" customHeight="1">
      <c r="A170" s="70">
        <f>IF(C170="","",IFERROR(IF(SUMPRODUCT(MAX((tbl_Finance[Job Number]&amp;""=C170&amp;"")*(tbl_Finance[Xero Invoice No]&lt;&gt;"")*tbl_Finance[Date]))=0,"",SUMPRODUCT(MAX((tbl_Finance[Job Number]&amp;""=C170&amp;"")*(tbl_Finance[Xero Invoice No]&lt;&gt;"")*tbl_Finance[Date]))),""))</f>
        <v/>
      </c>
      <c r="B170" s="26">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2" t="n"/>
      <c r="D170" s="26">
        <f>IF(C170="","",IF(COUNTIF(lst_Jobs,C170&amp;"")&gt;0,"OK","CHECK"))</f>
        <v/>
      </c>
      <c r="E170" s="26">
        <f>IF(C170="","",IFERROR(INDEX(lst_JobName,MATCH(C170&amp;"",lst_Jobs,0)),""))</f>
        <v/>
      </c>
      <c r="F170" s="22" t="n"/>
      <c r="G170" s="22" t="n"/>
      <c r="H170" s="22" t="n"/>
      <c r="I170" s="22" t="n"/>
      <c r="J170" s="22" t="n"/>
      <c r="K170" s="28">
        <f>IF(C170="","",COUNTIFS(tbl_Finance[Job Number],C170&amp;"",tbl_Finance[Ex GST],"&lt;&gt;"))</f>
        <v/>
      </c>
      <c r="L170" s="27">
        <f>IF(C170="","",SUMIFS(tbl_Finance[Ex GST],tbl_Finance[Job Number],C170&amp;""))</f>
        <v/>
      </c>
      <c r="M170" s="27">
        <f>IF(C170="","",SUMIFS(tbl_Finance[Ex GST],tbl_Finance[Job Number],C170&amp;"",tbl_Finance[Xero Invoice No],"&lt;&gt;"))</f>
        <v/>
      </c>
      <c r="N170" s="27">
        <f>IF(C170="","",L170-M170)</f>
        <v/>
      </c>
      <c r="O170" s="24" t="n"/>
      <c r="P170" s="27">
        <f>IF(C170="","",IF(O170="",0,MAX(0,O170-L170)))</f>
        <v/>
      </c>
      <c r="Q170" s="26">
        <f>IF(C170="","",IF(K170=0,"not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R170" s="27">
        <f>IF(C170="","",SUMIFS(tbl_Finance[Inc GST],tbl_Finance[Job Number],C170&amp;""))</f>
        <v/>
      </c>
      <c r="S170" s="22" t="n"/>
      <c r="T170" s="22" t="n"/>
      <c r="U170" s="22" t="n"/>
      <c r="V170" s="23" t="n"/>
      <c r="W170" s="22" t="n"/>
      <c r="X170" s="26">
        <f>IF(W170="","",IF(AND(LEFT(W170,4)&lt;&gt;"http",set_RMSBase=""),"",HYPERLINK(IF(LEFT(W170,4)="http",W170,set_RMSBase&amp;W170),"Open opportunity")))</f>
        <v/>
      </c>
      <c r="Y170" s="22" t="n"/>
      <c r="Z170" s="26">
        <f>IF(Y170="","",HYPERLINK(IF(LEFT(Y170,4)="http",Y170,set_QwilrBase&amp;Y170),"Open quote"))</f>
        <v/>
      </c>
      <c r="AA170" s="26">
        <f>IF(C170="","",C170)</f>
        <v/>
      </c>
      <c r="AB170" s="22" t="n"/>
      <c r="AC170" s="24" t="n"/>
      <c r="AD170" s="27">
        <f>IF(C170="","",L170+N(AC170))</f>
        <v/>
      </c>
      <c r="AE170" s="29">
        <f>IFERROR(AC170/AD170,"")</f>
        <v/>
      </c>
      <c r="AF170" s="24" t="n"/>
      <c r="AG170" s="24" t="n"/>
      <c r="AH170" s="24" t="n"/>
      <c r="AI170" s="24" t="n"/>
      <c r="AJ170" s="27">
        <f>IF(C170="","",SUMIFS(tbl_Finance[Ex GST],tbl_Finance[Job Number],C170&amp;"",tbl_Finance[Cost Centre],"VIDEO"))</f>
        <v/>
      </c>
      <c r="AK170" s="29">
        <f>IFERROR(AJ170/L170,"")</f>
        <v/>
      </c>
      <c r="AL170" s="27">
        <f>IF(C170="","",N(AF170)+N(AG170)+N(AH170)+N(AI170))</f>
        <v/>
      </c>
      <c r="AM170" s="27" t="n"/>
      <c r="AN170" s="29" t="n"/>
      <c r="AO170" s="71" t="n"/>
      <c r="AP170" s="71" t="n"/>
      <c r="AQ170" s="71" t="n"/>
      <c r="AR170" s="71" t="n"/>
      <c r="AS170" s="71" t="n"/>
      <c r="AT170" s="22" t="n"/>
    </row>
    <row r="171" ht="15" customHeight="1">
      <c r="A171" s="70">
        <f>IF(C171="","",IFERROR(IF(SUMPRODUCT(MAX((tbl_Finance[Job Number]&amp;""=C171&amp;"")*(tbl_Finance[Xero Invoice No]&lt;&gt;"")*tbl_Finance[Date]))=0,"",SUMPRODUCT(MAX((tbl_Finance[Job Number]&amp;""=C171&amp;"")*(tbl_Finance[Xero Invoice No]&lt;&gt;"")*tbl_Finance[Date]))),""))</f>
        <v/>
      </c>
      <c r="B171" s="26">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2" t="n"/>
      <c r="D171" s="26">
        <f>IF(C171="","",IF(COUNTIF(lst_Jobs,C171&amp;"")&gt;0,"OK","CHECK"))</f>
        <v/>
      </c>
      <c r="E171" s="26">
        <f>IF(C171="","",IFERROR(INDEX(lst_JobName,MATCH(C171&amp;"",lst_Jobs,0)),""))</f>
        <v/>
      </c>
      <c r="F171" s="22" t="n"/>
      <c r="G171" s="22" t="n"/>
      <c r="H171" s="22" t="n"/>
      <c r="I171" s="22" t="n"/>
      <c r="J171" s="22" t="n"/>
      <c r="K171" s="28">
        <f>IF(C171="","",COUNTIFS(tbl_Finance[Job Number],C171&amp;"",tbl_Finance[Ex GST],"&lt;&gt;"))</f>
        <v/>
      </c>
      <c r="L171" s="27">
        <f>IF(C171="","",SUMIFS(tbl_Finance[Ex GST],tbl_Finance[Job Number],C171&amp;""))</f>
        <v/>
      </c>
      <c r="M171" s="27">
        <f>IF(C171="","",SUMIFS(tbl_Finance[Ex GST],tbl_Finance[Job Number],C171&amp;"",tbl_Finance[Xero Invoice No],"&lt;&gt;"))</f>
        <v/>
      </c>
      <c r="N171" s="27">
        <f>IF(C171="","",L171-M171)</f>
        <v/>
      </c>
      <c r="O171" s="24" t="n"/>
      <c r="P171" s="27">
        <f>IF(C171="","",IF(O171="",0,MAX(0,O171-L171)))</f>
        <v/>
      </c>
      <c r="Q171" s="26">
        <f>IF(C171="","",IF(K171=0,"not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R171" s="27">
        <f>IF(C171="","",SUMIFS(tbl_Finance[Inc GST],tbl_Finance[Job Number],C171&amp;""))</f>
        <v/>
      </c>
      <c r="S171" s="22" t="n"/>
      <c r="T171" s="22" t="n"/>
      <c r="U171" s="22" t="n"/>
      <c r="V171" s="23" t="n"/>
      <c r="W171" s="22" t="n"/>
      <c r="X171" s="26">
        <f>IF(W171="","",IF(AND(LEFT(W171,4)&lt;&gt;"http",set_RMSBase=""),"",HYPERLINK(IF(LEFT(W171,4)="http",W171,set_RMSBase&amp;W171),"Open opportunity")))</f>
        <v/>
      </c>
      <c r="Y171" s="22" t="n"/>
      <c r="Z171" s="26">
        <f>IF(Y171="","",HYPERLINK(IF(LEFT(Y171,4)="http",Y171,set_QwilrBase&amp;Y171),"Open quote"))</f>
        <v/>
      </c>
      <c r="AA171" s="26">
        <f>IF(C171="","",C171)</f>
        <v/>
      </c>
      <c r="AB171" s="22" t="n"/>
      <c r="AC171" s="24" t="n"/>
      <c r="AD171" s="27">
        <f>IF(C171="","",L171+N(AC171))</f>
        <v/>
      </c>
      <c r="AE171" s="29">
        <f>IFERROR(AC171/AD171,"")</f>
        <v/>
      </c>
      <c r="AF171" s="24" t="n"/>
      <c r="AG171" s="24" t="n"/>
      <c r="AH171" s="24" t="n"/>
      <c r="AI171" s="24" t="n"/>
      <c r="AJ171" s="27">
        <f>IF(C171="","",SUMIFS(tbl_Finance[Ex GST],tbl_Finance[Job Number],C171&amp;"",tbl_Finance[Cost Centre],"VIDEO"))</f>
        <v/>
      </c>
      <c r="AK171" s="29">
        <f>IFERROR(AJ171/L171,"")</f>
        <v/>
      </c>
      <c r="AL171" s="27">
        <f>IF(C171="","",N(AF171)+N(AG171)+N(AH171)+N(AI171))</f>
        <v/>
      </c>
      <c r="AM171" s="27" t="n"/>
      <c r="AN171" s="29" t="n"/>
      <c r="AO171" s="71" t="n"/>
      <c r="AP171" s="71" t="n"/>
      <c r="AQ171" s="71" t="n"/>
      <c r="AR171" s="71" t="n"/>
      <c r="AS171" s="71" t="n"/>
      <c r="AT171" s="22" t="n"/>
    </row>
    <row r="172" ht="15" customHeight="1">
      <c r="A172" s="70">
        <f>IF(C172="","",IFERROR(IF(SUMPRODUCT(MAX((tbl_Finance[Job Number]&amp;""=C172&amp;"")*(tbl_Finance[Xero Invoice No]&lt;&gt;"")*tbl_Finance[Date]))=0,"",SUMPRODUCT(MAX((tbl_Finance[Job Number]&amp;""=C172&amp;"")*(tbl_Finance[Xero Invoice No]&lt;&gt;"")*tbl_Finance[Date]))),""))</f>
        <v/>
      </c>
      <c r="B172" s="26">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2" t="n"/>
      <c r="D172" s="26">
        <f>IF(C172="","",IF(COUNTIF(lst_Jobs,C172&amp;"")&gt;0,"OK","CHECK"))</f>
        <v/>
      </c>
      <c r="E172" s="26">
        <f>IF(C172="","",IFERROR(INDEX(lst_JobName,MATCH(C172&amp;"",lst_Jobs,0)),""))</f>
        <v/>
      </c>
      <c r="F172" s="22" t="n"/>
      <c r="G172" s="22" t="n"/>
      <c r="H172" s="22" t="n"/>
      <c r="I172" s="22" t="n"/>
      <c r="J172" s="22" t="n"/>
      <c r="K172" s="28">
        <f>IF(C172="","",COUNTIFS(tbl_Finance[Job Number],C172&amp;"",tbl_Finance[Ex GST],"&lt;&gt;"))</f>
        <v/>
      </c>
      <c r="L172" s="27">
        <f>IF(C172="","",SUMIFS(tbl_Finance[Ex GST],tbl_Finance[Job Number],C172&amp;""))</f>
        <v/>
      </c>
      <c r="M172" s="27">
        <f>IF(C172="","",SUMIFS(tbl_Finance[Ex GST],tbl_Finance[Job Number],C172&amp;"",tbl_Finance[Xero Invoice No],"&lt;&gt;"))</f>
        <v/>
      </c>
      <c r="N172" s="27">
        <f>IF(C172="","",L172-M172)</f>
        <v/>
      </c>
      <c r="O172" s="24" t="n"/>
      <c r="P172" s="27">
        <f>IF(C172="","",IF(O172="",0,MAX(0,O172-L172)))</f>
        <v/>
      </c>
      <c r="Q172" s="26">
        <f>IF(C172="","",IF(K172=0,"not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R172" s="27">
        <f>IF(C172="","",SUMIFS(tbl_Finance[Inc GST],tbl_Finance[Job Number],C172&amp;""))</f>
        <v/>
      </c>
      <c r="S172" s="22" t="n"/>
      <c r="T172" s="22" t="n"/>
      <c r="U172" s="22" t="n"/>
      <c r="V172" s="23" t="n"/>
      <c r="W172" s="22" t="n"/>
      <c r="X172" s="26">
        <f>IF(W172="","",IF(AND(LEFT(W172,4)&lt;&gt;"http",set_RMSBase=""),"",HYPERLINK(IF(LEFT(W172,4)="http",W172,set_RMSBase&amp;W172),"Open opportunity")))</f>
        <v/>
      </c>
      <c r="Y172" s="22" t="n"/>
      <c r="Z172" s="26">
        <f>IF(Y172="","",HYPERLINK(IF(LEFT(Y172,4)="http",Y172,set_QwilrBase&amp;Y172),"Open quote"))</f>
        <v/>
      </c>
      <c r="AA172" s="26">
        <f>IF(C172="","",C172)</f>
        <v/>
      </c>
      <c r="AB172" s="22" t="n"/>
      <c r="AC172" s="24" t="n"/>
      <c r="AD172" s="27">
        <f>IF(C172="","",L172+N(AC172))</f>
        <v/>
      </c>
      <c r="AE172" s="29">
        <f>IFERROR(AC172/AD172,"")</f>
        <v/>
      </c>
      <c r="AF172" s="24" t="n"/>
      <c r="AG172" s="24" t="n"/>
      <c r="AH172" s="24" t="n"/>
      <c r="AI172" s="24" t="n"/>
      <c r="AJ172" s="27">
        <f>IF(C172="","",SUMIFS(tbl_Finance[Ex GST],tbl_Finance[Job Number],C172&amp;"",tbl_Finance[Cost Centre],"VIDEO"))</f>
        <v/>
      </c>
      <c r="AK172" s="29">
        <f>IFERROR(AJ172/L172,"")</f>
        <v/>
      </c>
      <c r="AL172" s="27">
        <f>IF(C172="","",N(AF172)+N(AG172)+N(AH172)+N(AI172))</f>
        <v/>
      </c>
      <c r="AM172" s="27" t="n"/>
      <c r="AN172" s="29" t="n"/>
      <c r="AO172" s="71" t="n"/>
      <c r="AP172" s="71" t="n"/>
      <c r="AQ172" s="71" t="n"/>
      <c r="AR172" s="71" t="n"/>
      <c r="AS172" s="71" t="n"/>
      <c r="AT172" s="22" t="n"/>
    </row>
    <row r="173" ht="15" customHeight="1">
      <c r="A173" s="70">
        <f>IF(C173="","",IFERROR(IF(SUMPRODUCT(MAX((tbl_Finance[Job Number]&amp;""=C173&amp;"")*(tbl_Finance[Xero Invoice No]&lt;&gt;"")*tbl_Finance[Date]))=0,"",SUMPRODUCT(MAX((tbl_Finance[Job Number]&amp;""=C173&amp;"")*(tbl_Finance[Xero Invoice No]&lt;&gt;"")*tbl_Finance[Date]))),""))</f>
        <v/>
      </c>
      <c r="B173" s="26">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2" t="n"/>
      <c r="D173" s="26">
        <f>IF(C173="","",IF(COUNTIF(lst_Jobs,C173&amp;"")&gt;0,"OK","CHECK"))</f>
        <v/>
      </c>
      <c r="E173" s="26">
        <f>IF(C173="","",IFERROR(INDEX(lst_JobName,MATCH(C173&amp;"",lst_Jobs,0)),""))</f>
        <v/>
      </c>
      <c r="F173" s="22" t="n"/>
      <c r="G173" s="22" t="n"/>
      <c r="H173" s="22" t="n"/>
      <c r="I173" s="22" t="n"/>
      <c r="J173" s="22" t="n"/>
      <c r="K173" s="28">
        <f>IF(C173="","",COUNTIFS(tbl_Finance[Job Number],C173&amp;"",tbl_Finance[Ex GST],"&lt;&gt;"))</f>
        <v/>
      </c>
      <c r="L173" s="27">
        <f>IF(C173="","",SUMIFS(tbl_Finance[Ex GST],tbl_Finance[Job Number],C173&amp;""))</f>
        <v/>
      </c>
      <c r="M173" s="27">
        <f>IF(C173="","",SUMIFS(tbl_Finance[Ex GST],tbl_Finance[Job Number],C173&amp;"",tbl_Finance[Xero Invoice No],"&lt;&gt;"))</f>
        <v/>
      </c>
      <c r="N173" s="27">
        <f>IF(C173="","",L173-M173)</f>
        <v/>
      </c>
      <c r="O173" s="24" t="n"/>
      <c r="P173" s="27">
        <f>IF(C173="","",IF(O173="",0,MAX(0,O173-L173)))</f>
        <v/>
      </c>
      <c r="Q173" s="26">
        <f>IF(C173="","",IF(K173=0,"not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R173" s="27">
        <f>IF(C173="","",SUMIFS(tbl_Finance[Inc GST],tbl_Finance[Job Number],C173&amp;""))</f>
        <v/>
      </c>
      <c r="S173" s="22" t="n"/>
      <c r="T173" s="22" t="n"/>
      <c r="U173" s="22" t="n"/>
      <c r="V173" s="23" t="n"/>
      <c r="W173" s="22" t="n"/>
      <c r="X173" s="26">
        <f>IF(W173="","",IF(AND(LEFT(W173,4)&lt;&gt;"http",set_RMSBase=""),"",HYPERLINK(IF(LEFT(W173,4)="http",W173,set_RMSBase&amp;W173),"Open opportunity")))</f>
        <v/>
      </c>
      <c r="Y173" s="22" t="n"/>
      <c r="Z173" s="26">
        <f>IF(Y173="","",HYPERLINK(IF(LEFT(Y173,4)="http",Y173,set_QwilrBase&amp;Y173),"Open quote"))</f>
        <v/>
      </c>
      <c r="AA173" s="26">
        <f>IF(C173="","",C173)</f>
        <v/>
      </c>
      <c r="AB173" s="22" t="n"/>
      <c r="AC173" s="24" t="n"/>
      <c r="AD173" s="27">
        <f>IF(C173="","",L173+N(AC173))</f>
        <v/>
      </c>
      <c r="AE173" s="29">
        <f>IFERROR(AC173/AD173,"")</f>
        <v/>
      </c>
      <c r="AF173" s="24" t="n"/>
      <c r="AG173" s="24" t="n"/>
      <c r="AH173" s="24" t="n"/>
      <c r="AI173" s="24" t="n"/>
      <c r="AJ173" s="27">
        <f>IF(C173="","",SUMIFS(tbl_Finance[Ex GST],tbl_Finance[Job Number],C173&amp;"",tbl_Finance[Cost Centre],"VIDEO"))</f>
        <v/>
      </c>
      <c r="AK173" s="29">
        <f>IFERROR(AJ173/L173,"")</f>
        <v/>
      </c>
      <c r="AL173" s="27">
        <f>IF(C173="","",N(AF173)+N(AG173)+N(AH173)+N(AI173))</f>
        <v/>
      </c>
      <c r="AM173" s="27" t="n"/>
      <c r="AN173" s="29" t="n"/>
      <c r="AO173" s="71" t="n"/>
      <c r="AP173" s="71" t="n"/>
      <c r="AQ173" s="71" t="n"/>
      <c r="AR173" s="71" t="n"/>
      <c r="AS173" s="71" t="n"/>
      <c r="AT173" s="22" t="n"/>
    </row>
    <row r="174" ht="15" customHeight="1">
      <c r="A174" s="70">
        <f>IF(C174="","",IFERROR(IF(SUMPRODUCT(MAX((tbl_Finance[Job Number]&amp;""=C174&amp;"")*(tbl_Finance[Xero Invoice No]&lt;&gt;"")*tbl_Finance[Date]))=0,"",SUMPRODUCT(MAX((tbl_Finance[Job Number]&amp;""=C174&amp;"")*(tbl_Finance[Xero Invoice No]&lt;&gt;"")*tbl_Finance[Date]))),""))</f>
        <v/>
      </c>
      <c r="B174" s="26">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2" t="n"/>
      <c r="D174" s="26">
        <f>IF(C174="","",IF(COUNTIF(lst_Jobs,C174&amp;"")&gt;0,"OK","CHECK"))</f>
        <v/>
      </c>
      <c r="E174" s="26">
        <f>IF(C174="","",IFERROR(INDEX(lst_JobName,MATCH(C174&amp;"",lst_Jobs,0)),""))</f>
        <v/>
      </c>
      <c r="F174" s="22" t="n"/>
      <c r="G174" s="22" t="n"/>
      <c r="H174" s="22" t="n"/>
      <c r="I174" s="22" t="n"/>
      <c r="J174" s="22" t="n"/>
      <c r="K174" s="28">
        <f>IF(C174="","",COUNTIFS(tbl_Finance[Job Number],C174&amp;"",tbl_Finance[Ex GST],"&lt;&gt;"))</f>
        <v/>
      </c>
      <c r="L174" s="27">
        <f>IF(C174="","",SUMIFS(tbl_Finance[Ex GST],tbl_Finance[Job Number],C174&amp;""))</f>
        <v/>
      </c>
      <c r="M174" s="27">
        <f>IF(C174="","",SUMIFS(tbl_Finance[Ex GST],tbl_Finance[Job Number],C174&amp;"",tbl_Finance[Xero Invoice No],"&lt;&gt;"))</f>
        <v/>
      </c>
      <c r="N174" s="27">
        <f>IF(C174="","",L174-M174)</f>
        <v/>
      </c>
      <c r="O174" s="24" t="n"/>
      <c r="P174" s="27">
        <f>IF(C174="","",IF(O174="",0,MAX(0,O174-L174)))</f>
        <v/>
      </c>
      <c r="Q174" s="26">
        <f>IF(C174="","",IF(K174=0,"not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R174" s="27">
        <f>IF(C174="","",SUMIFS(tbl_Finance[Inc GST],tbl_Finance[Job Number],C174&amp;""))</f>
        <v/>
      </c>
      <c r="S174" s="22" t="n"/>
      <c r="T174" s="22" t="n"/>
      <c r="U174" s="22" t="n"/>
      <c r="V174" s="23" t="n"/>
      <c r="W174" s="22" t="n"/>
      <c r="X174" s="26">
        <f>IF(W174="","",IF(AND(LEFT(W174,4)&lt;&gt;"http",set_RMSBase=""),"",HYPERLINK(IF(LEFT(W174,4)="http",W174,set_RMSBase&amp;W174),"Open opportunity")))</f>
        <v/>
      </c>
      <c r="Y174" s="22" t="n"/>
      <c r="Z174" s="26">
        <f>IF(Y174="","",HYPERLINK(IF(LEFT(Y174,4)="http",Y174,set_QwilrBase&amp;Y174),"Open quote"))</f>
        <v/>
      </c>
      <c r="AA174" s="26">
        <f>IF(C174="","",C174)</f>
        <v/>
      </c>
      <c r="AB174" s="22" t="n"/>
      <c r="AC174" s="24" t="n"/>
      <c r="AD174" s="27">
        <f>IF(C174="","",L174+N(AC174))</f>
        <v/>
      </c>
      <c r="AE174" s="29">
        <f>IFERROR(AC174/AD174,"")</f>
        <v/>
      </c>
      <c r="AF174" s="24" t="n"/>
      <c r="AG174" s="24" t="n"/>
      <c r="AH174" s="24" t="n"/>
      <c r="AI174" s="24" t="n"/>
      <c r="AJ174" s="27">
        <f>IF(C174="","",SUMIFS(tbl_Finance[Ex GST],tbl_Finance[Job Number],C174&amp;"",tbl_Finance[Cost Centre],"VIDEO"))</f>
        <v/>
      </c>
      <c r="AK174" s="29">
        <f>IFERROR(AJ174/L174,"")</f>
        <v/>
      </c>
      <c r="AL174" s="27">
        <f>IF(C174="","",N(AF174)+N(AG174)+N(AH174)+N(AI174))</f>
        <v/>
      </c>
      <c r="AM174" s="27" t="n"/>
      <c r="AN174" s="29" t="n"/>
      <c r="AO174" s="71" t="n"/>
      <c r="AP174" s="71" t="n"/>
      <c r="AQ174" s="71" t="n"/>
      <c r="AR174" s="71" t="n"/>
      <c r="AS174" s="71" t="n"/>
      <c r="AT174" s="22" t="n"/>
    </row>
    <row r="175" ht="15" customHeight="1">
      <c r="A175" s="70">
        <f>IF(C175="","",IFERROR(IF(SUMPRODUCT(MAX((tbl_Finance[Job Number]&amp;""=C175&amp;"")*(tbl_Finance[Xero Invoice No]&lt;&gt;"")*tbl_Finance[Date]))=0,"",SUMPRODUCT(MAX((tbl_Finance[Job Number]&amp;""=C175&amp;"")*(tbl_Finance[Xero Invoice No]&lt;&gt;"")*tbl_Finance[Date]))),""))</f>
        <v/>
      </c>
      <c r="B175" s="26">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2" t="n"/>
      <c r="D175" s="26">
        <f>IF(C175="","",IF(COUNTIF(lst_Jobs,C175&amp;"")&gt;0,"OK","CHECK"))</f>
        <v/>
      </c>
      <c r="E175" s="26">
        <f>IF(C175="","",IFERROR(INDEX(lst_JobName,MATCH(C175&amp;"",lst_Jobs,0)),""))</f>
        <v/>
      </c>
      <c r="F175" s="22" t="n"/>
      <c r="G175" s="22" t="n"/>
      <c r="H175" s="22" t="n"/>
      <c r="I175" s="22" t="n"/>
      <c r="J175" s="22" t="n"/>
      <c r="K175" s="28">
        <f>IF(C175="","",COUNTIFS(tbl_Finance[Job Number],C175&amp;"",tbl_Finance[Ex GST],"&lt;&gt;"))</f>
        <v/>
      </c>
      <c r="L175" s="27">
        <f>IF(C175="","",SUMIFS(tbl_Finance[Ex GST],tbl_Finance[Job Number],C175&amp;""))</f>
        <v/>
      </c>
      <c r="M175" s="27">
        <f>IF(C175="","",SUMIFS(tbl_Finance[Ex GST],tbl_Finance[Job Number],C175&amp;"",tbl_Finance[Xero Invoice No],"&lt;&gt;"))</f>
        <v/>
      </c>
      <c r="N175" s="27">
        <f>IF(C175="","",L175-M175)</f>
        <v/>
      </c>
      <c r="O175" s="24" t="n"/>
      <c r="P175" s="27">
        <f>IF(C175="","",IF(O175="",0,MAX(0,O175-L175)))</f>
        <v/>
      </c>
      <c r="Q175" s="26">
        <f>IF(C175="","",IF(K175=0,"not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R175" s="27">
        <f>IF(C175="","",SUMIFS(tbl_Finance[Inc GST],tbl_Finance[Job Number],C175&amp;""))</f>
        <v/>
      </c>
      <c r="S175" s="22" t="n"/>
      <c r="T175" s="22" t="n"/>
      <c r="U175" s="22" t="n"/>
      <c r="V175" s="23" t="n"/>
      <c r="W175" s="22" t="n"/>
      <c r="X175" s="26">
        <f>IF(W175="","",IF(AND(LEFT(W175,4)&lt;&gt;"http",set_RMSBase=""),"",HYPERLINK(IF(LEFT(W175,4)="http",W175,set_RMSBase&amp;W175),"Open opportunity")))</f>
        <v/>
      </c>
      <c r="Y175" s="22" t="n"/>
      <c r="Z175" s="26">
        <f>IF(Y175="","",HYPERLINK(IF(LEFT(Y175,4)="http",Y175,set_QwilrBase&amp;Y175),"Open quote"))</f>
        <v/>
      </c>
      <c r="AA175" s="26">
        <f>IF(C175="","",C175)</f>
        <v/>
      </c>
      <c r="AB175" s="22" t="n"/>
      <c r="AC175" s="24" t="n"/>
      <c r="AD175" s="27">
        <f>IF(C175="","",L175+N(AC175))</f>
        <v/>
      </c>
      <c r="AE175" s="29">
        <f>IFERROR(AC175/AD175,"")</f>
        <v/>
      </c>
      <c r="AF175" s="24" t="n"/>
      <c r="AG175" s="24" t="n"/>
      <c r="AH175" s="24" t="n"/>
      <c r="AI175" s="24" t="n"/>
      <c r="AJ175" s="27">
        <f>IF(C175="","",SUMIFS(tbl_Finance[Ex GST],tbl_Finance[Job Number],C175&amp;"",tbl_Finance[Cost Centre],"VIDEO"))</f>
        <v/>
      </c>
      <c r="AK175" s="29">
        <f>IFERROR(AJ175/L175,"")</f>
        <v/>
      </c>
      <c r="AL175" s="27">
        <f>IF(C175="","",N(AF175)+N(AG175)+N(AH175)+N(AI175))</f>
        <v/>
      </c>
      <c r="AM175" s="27" t="n"/>
      <c r="AN175" s="29" t="n"/>
      <c r="AO175" s="71" t="n"/>
      <c r="AP175" s="71" t="n"/>
      <c r="AQ175" s="71" t="n"/>
      <c r="AR175" s="71" t="n"/>
      <c r="AS175" s="71" t="n"/>
      <c r="AT175" s="22" t="n"/>
    </row>
    <row r="176" ht="15" customHeight="1">
      <c r="A176" s="70">
        <f>IF(C176="","",IFERROR(IF(SUMPRODUCT(MAX((tbl_Finance[Job Number]&amp;""=C176&amp;"")*(tbl_Finance[Xero Invoice No]&lt;&gt;"")*tbl_Finance[Date]))=0,"",SUMPRODUCT(MAX((tbl_Finance[Job Number]&amp;""=C176&amp;"")*(tbl_Finance[Xero Invoice No]&lt;&gt;"")*tbl_Finance[Date]))),""))</f>
        <v/>
      </c>
      <c r="B176" s="26">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2" t="n"/>
      <c r="D176" s="26">
        <f>IF(C176="","",IF(COUNTIF(lst_Jobs,C176&amp;"")&gt;0,"OK","CHECK"))</f>
        <v/>
      </c>
      <c r="E176" s="26">
        <f>IF(C176="","",IFERROR(INDEX(lst_JobName,MATCH(C176&amp;"",lst_Jobs,0)),""))</f>
        <v/>
      </c>
      <c r="F176" s="22" t="n"/>
      <c r="G176" s="22" t="n"/>
      <c r="H176" s="22" t="n"/>
      <c r="I176" s="22" t="n"/>
      <c r="J176" s="22" t="n"/>
      <c r="K176" s="28">
        <f>IF(C176="","",COUNTIFS(tbl_Finance[Job Number],C176&amp;"",tbl_Finance[Ex GST],"&lt;&gt;"))</f>
        <v/>
      </c>
      <c r="L176" s="27">
        <f>IF(C176="","",SUMIFS(tbl_Finance[Ex GST],tbl_Finance[Job Number],C176&amp;""))</f>
        <v/>
      </c>
      <c r="M176" s="27">
        <f>IF(C176="","",SUMIFS(tbl_Finance[Ex GST],tbl_Finance[Job Number],C176&amp;"",tbl_Finance[Xero Invoice No],"&lt;&gt;"))</f>
        <v/>
      </c>
      <c r="N176" s="27">
        <f>IF(C176="","",L176-M176)</f>
        <v/>
      </c>
      <c r="O176" s="24" t="n"/>
      <c r="P176" s="27">
        <f>IF(C176="","",IF(O176="",0,MAX(0,O176-L176)))</f>
        <v/>
      </c>
      <c r="Q176" s="26">
        <f>IF(C176="","",IF(K176=0,"not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R176" s="27">
        <f>IF(C176="","",SUMIFS(tbl_Finance[Inc GST],tbl_Finance[Job Number],C176&amp;""))</f>
        <v/>
      </c>
      <c r="S176" s="22" t="n"/>
      <c r="T176" s="22" t="n"/>
      <c r="U176" s="22" t="n"/>
      <c r="V176" s="23" t="n"/>
      <c r="W176" s="22" t="n"/>
      <c r="X176" s="26">
        <f>IF(W176="","",IF(AND(LEFT(W176,4)&lt;&gt;"http",set_RMSBase=""),"",HYPERLINK(IF(LEFT(W176,4)="http",W176,set_RMSBase&amp;W176),"Open opportunity")))</f>
        <v/>
      </c>
      <c r="Y176" s="22" t="n"/>
      <c r="Z176" s="26">
        <f>IF(Y176="","",HYPERLINK(IF(LEFT(Y176,4)="http",Y176,set_QwilrBase&amp;Y176),"Open quote"))</f>
        <v/>
      </c>
      <c r="AA176" s="26">
        <f>IF(C176="","",C176)</f>
        <v/>
      </c>
      <c r="AB176" s="22" t="n"/>
      <c r="AC176" s="24" t="n"/>
      <c r="AD176" s="27">
        <f>IF(C176="","",L176+N(AC176))</f>
        <v/>
      </c>
      <c r="AE176" s="29">
        <f>IFERROR(AC176/AD176,"")</f>
        <v/>
      </c>
      <c r="AF176" s="24" t="n"/>
      <c r="AG176" s="24" t="n"/>
      <c r="AH176" s="24" t="n"/>
      <c r="AI176" s="24" t="n"/>
      <c r="AJ176" s="27">
        <f>IF(C176="","",SUMIFS(tbl_Finance[Ex GST],tbl_Finance[Job Number],C176&amp;"",tbl_Finance[Cost Centre],"VIDEO"))</f>
        <v/>
      </c>
      <c r="AK176" s="29">
        <f>IFERROR(AJ176/L176,"")</f>
        <v/>
      </c>
      <c r="AL176" s="27">
        <f>IF(C176="","",N(AF176)+N(AG176)+N(AH176)+N(AI176))</f>
        <v/>
      </c>
      <c r="AM176" s="27" t="n"/>
      <c r="AN176" s="29" t="n"/>
      <c r="AO176" s="71" t="n"/>
      <c r="AP176" s="71" t="n"/>
      <c r="AQ176" s="71" t="n"/>
      <c r="AR176" s="71" t="n"/>
      <c r="AS176" s="71" t="n"/>
      <c r="AT176" s="22" t="n"/>
    </row>
    <row r="177" ht="15" customHeight="1">
      <c r="A177" s="70">
        <f>IF(C177="","",IFERROR(IF(SUMPRODUCT(MAX((tbl_Finance[Job Number]&amp;""=C177&amp;"")*(tbl_Finance[Xero Invoice No]&lt;&gt;"")*tbl_Finance[Date]))=0,"",SUMPRODUCT(MAX((tbl_Finance[Job Number]&amp;""=C177&amp;"")*(tbl_Finance[Xero Invoice No]&lt;&gt;"")*tbl_Finance[Date]))),""))</f>
        <v/>
      </c>
      <c r="B177" s="26">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2" t="n"/>
      <c r="D177" s="26">
        <f>IF(C177="","",IF(COUNTIF(lst_Jobs,C177&amp;"")&gt;0,"OK","CHECK"))</f>
        <v/>
      </c>
      <c r="E177" s="26">
        <f>IF(C177="","",IFERROR(INDEX(lst_JobName,MATCH(C177&amp;"",lst_Jobs,0)),""))</f>
        <v/>
      </c>
      <c r="F177" s="22" t="n"/>
      <c r="G177" s="22" t="n"/>
      <c r="H177" s="22" t="n"/>
      <c r="I177" s="22" t="n"/>
      <c r="J177" s="22" t="n"/>
      <c r="K177" s="28">
        <f>IF(C177="","",COUNTIFS(tbl_Finance[Job Number],C177&amp;"",tbl_Finance[Ex GST],"&lt;&gt;"))</f>
        <v/>
      </c>
      <c r="L177" s="27">
        <f>IF(C177="","",SUMIFS(tbl_Finance[Ex GST],tbl_Finance[Job Number],C177&amp;""))</f>
        <v/>
      </c>
      <c r="M177" s="27">
        <f>IF(C177="","",SUMIFS(tbl_Finance[Ex GST],tbl_Finance[Job Number],C177&amp;"",tbl_Finance[Xero Invoice No],"&lt;&gt;"))</f>
        <v/>
      </c>
      <c r="N177" s="27">
        <f>IF(C177="","",L177-M177)</f>
        <v/>
      </c>
      <c r="O177" s="24" t="n"/>
      <c r="P177" s="27">
        <f>IF(C177="","",IF(O177="",0,MAX(0,O177-L177)))</f>
        <v/>
      </c>
      <c r="Q177" s="26">
        <f>IF(C177="","",IF(K177=0,"not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R177" s="27">
        <f>IF(C177="","",SUMIFS(tbl_Finance[Inc GST],tbl_Finance[Job Number],C177&amp;""))</f>
        <v/>
      </c>
      <c r="S177" s="22" t="n"/>
      <c r="T177" s="22" t="n"/>
      <c r="U177" s="22" t="n"/>
      <c r="V177" s="23" t="n"/>
      <c r="W177" s="22" t="n"/>
      <c r="X177" s="26">
        <f>IF(W177="","",IF(AND(LEFT(W177,4)&lt;&gt;"http",set_RMSBase=""),"",HYPERLINK(IF(LEFT(W177,4)="http",W177,set_RMSBase&amp;W177),"Open opportunity")))</f>
        <v/>
      </c>
      <c r="Y177" s="22" t="n"/>
      <c r="Z177" s="26">
        <f>IF(Y177="","",HYPERLINK(IF(LEFT(Y177,4)="http",Y177,set_QwilrBase&amp;Y177),"Open quote"))</f>
        <v/>
      </c>
      <c r="AA177" s="26">
        <f>IF(C177="","",C177)</f>
        <v/>
      </c>
      <c r="AB177" s="22" t="n"/>
      <c r="AC177" s="24" t="n"/>
      <c r="AD177" s="27">
        <f>IF(C177="","",L177+N(AC177))</f>
        <v/>
      </c>
      <c r="AE177" s="29">
        <f>IFERROR(AC177/AD177,"")</f>
        <v/>
      </c>
      <c r="AF177" s="24" t="n"/>
      <c r="AG177" s="24" t="n"/>
      <c r="AH177" s="24" t="n"/>
      <c r="AI177" s="24" t="n"/>
      <c r="AJ177" s="27">
        <f>IF(C177="","",SUMIFS(tbl_Finance[Ex GST],tbl_Finance[Job Number],C177&amp;"",tbl_Finance[Cost Centre],"VIDEO"))</f>
        <v/>
      </c>
      <c r="AK177" s="29">
        <f>IFERROR(AJ177/L177,"")</f>
        <v/>
      </c>
      <c r="AL177" s="27">
        <f>IF(C177="","",N(AF177)+N(AG177)+N(AH177)+N(AI177))</f>
        <v/>
      </c>
      <c r="AM177" s="27" t="n"/>
      <c r="AN177" s="29" t="n"/>
      <c r="AO177" s="71" t="n"/>
      <c r="AP177" s="71" t="n"/>
      <c r="AQ177" s="71" t="n"/>
      <c r="AR177" s="71" t="n"/>
      <c r="AS177" s="71" t="n"/>
      <c r="AT177" s="22" t="n"/>
    </row>
    <row r="178" ht="15" customHeight="1">
      <c r="A178" s="70">
        <f>IF(C178="","",IFERROR(IF(SUMPRODUCT(MAX((tbl_Finance[Job Number]&amp;""=C178&amp;"")*(tbl_Finance[Xero Invoice No]&lt;&gt;"")*tbl_Finance[Date]))=0,"",SUMPRODUCT(MAX((tbl_Finance[Job Number]&amp;""=C178&amp;"")*(tbl_Finance[Xero Invoice No]&lt;&gt;"")*tbl_Finance[Date]))),""))</f>
        <v/>
      </c>
      <c r="B178" s="26">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2" t="n"/>
      <c r="D178" s="26">
        <f>IF(C178="","",IF(COUNTIF(lst_Jobs,C178&amp;"")&gt;0,"OK","CHECK"))</f>
        <v/>
      </c>
      <c r="E178" s="26">
        <f>IF(C178="","",IFERROR(INDEX(lst_JobName,MATCH(C178&amp;"",lst_Jobs,0)),""))</f>
        <v/>
      </c>
      <c r="F178" s="22" t="n"/>
      <c r="G178" s="22" t="n"/>
      <c r="H178" s="22" t="n"/>
      <c r="I178" s="22" t="n"/>
      <c r="J178" s="22" t="n"/>
      <c r="K178" s="28">
        <f>IF(C178="","",COUNTIFS(tbl_Finance[Job Number],C178&amp;"",tbl_Finance[Ex GST],"&lt;&gt;"))</f>
        <v/>
      </c>
      <c r="L178" s="27">
        <f>IF(C178="","",SUMIFS(tbl_Finance[Ex GST],tbl_Finance[Job Number],C178&amp;""))</f>
        <v/>
      </c>
      <c r="M178" s="27">
        <f>IF(C178="","",SUMIFS(tbl_Finance[Ex GST],tbl_Finance[Job Number],C178&amp;"",tbl_Finance[Xero Invoice No],"&lt;&gt;"))</f>
        <v/>
      </c>
      <c r="N178" s="27">
        <f>IF(C178="","",L178-M178)</f>
        <v/>
      </c>
      <c r="O178" s="24" t="n"/>
      <c r="P178" s="27">
        <f>IF(C178="","",IF(O178="",0,MAX(0,O178-L178)))</f>
        <v/>
      </c>
      <c r="Q178" s="26">
        <f>IF(C178="","",IF(K178=0,"not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R178" s="27">
        <f>IF(C178="","",SUMIFS(tbl_Finance[Inc GST],tbl_Finance[Job Number],C178&amp;""))</f>
        <v/>
      </c>
      <c r="S178" s="22" t="n"/>
      <c r="T178" s="22" t="n"/>
      <c r="U178" s="22" t="n"/>
      <c r="V178" s="23" t="n"/>
      <c r="W178" s="22" t="n"/>
      <c r="X178" s="26">
        <f>IF(W178="","",IF(AND(LEFT(W178,4)&lt;&gt;"http",set_RMSBase=""),"",HYPERLINK(IF(LEFT(W178,4)="http",W178,set_RMSBase&amp;W178),"Open opportunity")))</f>
        <v/>
      </c>
      <c r="Y178" s="22" t="n"/>
      <c r="Z178" s="26">
        <f>IF(Y178="","",HYPERLINK(IF(LEFT(Y178,4)="http",Y178,set_QwilrBase&amp;Y178),"Open quote"))</f>
        <v/>
      </c>
      <c r="AA178" s="26">
        <f>IF(C178="","",C178)</f>
        <v/>
      </c>
      <c r="AB178" s="22" t="n"/>
      <c r="AC178" s="24" t="n"/>
      <c r="AD178" s="27">
        <f>IF(C178="","",L178+N(AC178))</f>
        <v/>
      </c>
      <c r="AE178" s="29">
        <f>IFERROR(AC178/AD178,"")</f>
        <v/>
      </c>
      <c r="AF178" s="24" t="n"/>
      <c r="AG178" s="24" t="n"/>
      <c r="AH178" s="24" t="n"/>
      <c r="AI178" s="24" t="n"/>
      <c r="AJ178" s="27">
        <f>IF(C178="","",SUMIFS(tbl_Finance[Ex GST],tbl_Finance[Job Number],C178&amp;"",tbl_Finance[Cost Centre],"VIDEO"))</f>
        <v/>
      </c>
      <c r="AK178" s="29">
        <f>IFERROR(AJ178/L178,"")</f>
        <v/>
      </c>
      <c r="AL178" s="27">
        <f>IF(C178="","",N(AF178)+N(AG178)+N(AH178)+N(AI178))</f>
        <v/>
      </c>
      <c r="AM178" s="27" t="n"/>
      <c r="AN178" s="29" t="n"/>
      <c r="AO178" s="71" t="n"/>
      <c r="AP178" s="71" t="n"/>
      <c r="AQ178" s="71" t="n"/>
      <c r="AR178" s="71" t="n"/>
      <c r="AS178" s="71" t="n"/>
      <c r="AT178" s="22" t="n"/>
    </row>
    <row r="179" ht="15" customHeight="1">
      <c r="A179" s="70">
        <f>IF(C179="","",IFERROR(IF(SUMPRODUCT(MAX((tbl_Finance[Job Number]&amp;""=C179&amp;"")*(tbl_Finance[Xero Invoice No]&lt;&gt;"")*tbl_Finance[Date]))=0,"",SUMPRODUCT(MAX((tbl_Finance[Job Number]&amp;""=C179&amp;"")*(tbl_Finance[Xero Invoice No]&lt;&gt;"")*tbl_Finance[Date]))),""))</f>
        <v/>
      </c>
      <c r="B179" s="26">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2" t="n"/>
      <c r="D179" s="26">
        <f>IF(C179="","",IF(COUNTIF(lst_Jobs,C179&amp;"")&gt;0,"OK","CHECK"))</f>
        <v/>
      </c>
      <c r="E179" s="26">
        <f>IF(C179="","",IFERROR(INDEX(lst_JobName,MATCH(C179&amp;"",lst_Jobs,0)),""))</f>
        <v/>
      </c>
      <c r="F179" s="22" t="n"/>
      <c r="G179" s="22" t="n"/>
      <c r="H179" s="22" t="n"/>
      <c r="I179" s="22" t="n"/>
      <c r="J179" s="22" t="n"/>
      <c r="K179" s="28">
        <f>IF(C179="","",COUNTIFS(tbl_Finance[Job Number],C179&amp;"",tbl_Finance[Ex GST],"&lt;&gt;"))</f>
        <v/>
      </c>
      <c r="L179" s="27">
        <f>IF(C179="","",SUMIFS(tbl_Finance[Ex GST],tbl_Finance[Job Number],C179&amp;""))</f>
        <v/>
      </c>
      <c r="M179" s="27">
        <f>IF(C179="","",SUMIFS(tbl_Finance[Ex GST],tbl_Finance[Job Number],C179&amp;"",tbl_Finance[Xero Invoice No],"&lt;&gt;"))</f>
        <v/>
      </c>
      <c r="N179" s="27">
        <f>IF(C179="","",L179-M179)</f>
        <v/>
      </c>
      <c r="O179" s="24" t="n"/>
      <c r="P179" s="27">
        <f>IF(C179="","",IF(O179="",0,MAX(0,O179-L179)))</f>
        <v/>
      </c>
      <c r="Q179" s="26">
        <f>IF(C179="","",IF(K179=0,"not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R179" s="27">
        <f>IF(C179="","",SUMIFS(tbl_Finance[Inc GST],tbl_Finance[Job Number],C179&amp;""))</f>
        <v/>
      </c>
      <c r="S179" s="22" t="n"/>
      <c r="T179" s="22" t="n"/>
      <c r="U179" s="22" t="n"/>
      <c r="V179" s="23" t="n"/>
      <c r="W179" s="22" t="n"/>
      <c r="X179" s="26">
        <f>IF(W179="","",IF(AND(LEFT(W179,4)&lt;&gt;"http",set_RMSBase=""),"",HYPERLINK(IF(LEFT(W179,4)="http",W179,set_RMSBase&amp;W179),"Open opportunity")))</f>
        <v/>
      </c>
      <c r="Y179" s="22" t="n"/>
      <c r="Z179" s="26">
        <f>IF(Y179="","",HYPERLINK(IF(LEFT(Y179,4)="http",Y179,set_QwilrBase&amp;Y179),"Open quote"))</f>
        <v/>
      </c>
      <c r="AA179" s="26">
        <f>IF(C179="","",C179)</f>
        <v/>
      </c>
      <c r="AB179" s="22" t="n"/>
      <c r="AC179" s="24" t="n"/>
      <c r="AD179" s="27">
        <f>IF(C179="","",L179+N(AC179))</f>
        <v/>
      </c>
      <c r="AE179" s="29">
        <f>IFERROR(AC179/AD179,"")</f>
        <v/>
      </c>
      <c r="AF179" s="24" t="n"/>
      <c r="AG179" s="24" t="n"/>
      <c r="AH179" s="24" t="n"/>
      <c r="AI179" s="24" t="n"/>
      <c r="AJ179" s="27">
        <f>IF(C179="","",SUMIFS(tbl_Finance[Ex GST],tbl_Finance[Job Number],C179&amp;"",tbl_Finance[Cost Centre],"VIDEO"))</f>
        <v/>
      </c>
      <c r="AK179" s="29">
        <f>IFERROR(AJ179/L179,"")</f>
        <v/>
      </c>
      <c r="AL179" s="27">
        <f>IF(C179="","",N(AF179)+N(AG179)+N(AH179)+N(AI179))</f>
        <v/>
      </c>
      <c r="AM179" s="27" t="n"/>
      <c r="AN179" s="29" t="n"/>
      <c r="AO179" s="71" t="n"/>
      <c r="AP179" s="71" t="n"/>
      <c r="AQ179" s="71" t="n"/>
      <c r="AR179" s="71" t="n"/>
      <c r="AS179" s="71" t="n"/>
      <c r="AT179" s="22" t="n"/>
    </row>
    <row r="180" ht="15" customHeight="1">
      <c r="A180" s="70">
        <f>IF(C180="","",IFERROR(IF(SUMPRODUCT(MAX((tbl_Finance[Job Number]&amp;""=C180&amp;"")*(tbl_Finance[Xero Invoice No]&lt;&gt;"")*tbl_Finance[Date]))=0,"",SUMPRODUCT(MAX((tbl_Finance[Job Number]&amp;""=C180&amp;"")*(tbl_Finance[Xero Invoice No]&lt;&gt;"")*tbl_Finance[Date]))),""))</f>
        <v/>
      </c>
      <c r="B180" s="26">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2" t="n"/>
      <c r="D180" s="26">
        <f>IF(C180="","",IF(COUNTIF(lst_Jobs,C180&amp;"")&gt;0,"OK","CHECK"))</f>
        <v/>
      </c>
      <c r="E180" s="26">
        <f>IF(C180="","",IFERROR(INDEX(lst_JobName,MATCH(C180&amp;"",lst_Jobs,0)),""))</f>
        <v/>
      </c>
      <c r="F180" s="22" t="n"/>
      <c r="G180" s="22" t="n"/>
      <c r="H180" s="22" t="n"/>
      <c r="I180" s="22" t="n"/>
      <c r="J180" s="22" t="n"/>
      <c r="K180" s="28">
        <f>IF(C180="","",COUNTIFS(tbl_Finance[Job Number],C180&amp;"",tbl_Finance[Ex GST],"&lt;&gt;"))</f>
        <v/>
      </c>
      <c r="L180" s="27">
        <f>IF(C180="","",SUMIFS(tbl_Finance[Ex GST],tbl_Finance[Job Number],C180&amp;""))</f>
        <v/>
      </c>
      <c r="M180" s="27">
        <f>IF(C180="","",SUMIFS(tbl_Finance[Ex GST],tbl_Finance[Job Number],C180&amp;"",tbl_Finance[Xero Invoice No],"&lt;&gt;"))</f>
        <v/>
      </c>
      <c r="N180" s="27">
        <f>IF(C180="","",L180-M180)</f>
        <v/>
      </c>
      <c r="O180" s="24" t="n"/>
      <c r="P180" s="27">
        <f>IF(C180="","",IF(O180="",0,MAX(0,O180-L180)))</f>
        <v/>
      </c>
      <c r="Q180" s="26">
        <f>IF(C180="","",IF(K180=0,"not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R180" s="27">
        <f>IF(C180="","",SUMIFS(tbl_Finance[Inc GST],tbl_Finance[Job Number],C180&amp;""))</f>
        <v/>
      </c>
      <c r="S180" s="22" t="n"/>
      <c r="T180" s="22" t="n"/>
      <c r="U180" s="22" t="n"/>
      <c r="V180" s="23" t="n"/>
      <c r="W180" s="22" t="n"/>
      <c r="X180" s="26">
        <f>IF(W180="","",IF(AND(LEFT(W180,4)&lt;&gt;"http",set_RMSBase=""),"",HYPERLINK(IF(LEFT(W180,4)="http",W180,set_RMSBase&amp;W180),"Open opportunity")))</f>
        <v/>
      </c>
      <c r="Y180" s="22" t="n"/>
      <c r="Z180" s="26">
        <f>IF(Y180="","",HYPERLINK(IF(LEFT(Y180,4)="http",Y180,set_QwilrBase&amp;Y180),"Open quote"))</f>
        <v/>
      </c>
      <c r="AA180" s="26">
        <f>IF(C180="","",C180)</f>
        <v/>
      </c>
      <c r="AB180" s="22" t="n"/>
      <c r="AC180" s="24" t="n"/>
      <c r="AD180" s="27">
        <f>IF(C180="","",L180+N(AC180))</f>
        <v/>
      </c>
      <c r="AE180" s="29">
        <f>IFERROR(AC180/AD180,"")</f>
        <v/>
      </c>
      <c r="AF180" s="24" t="n"/>
      <c r="AG180" s="24" t="n"/>
      <c r="AH180" s="24" t="n"/>
      <c r="AI180" s="24" t="n"/>
      <c r="AJ180" s="27">
        <f>IF(C180="","",SUMIFS(tbl_Finance[Ex GST],tbl_Finance[Job Number],C180&amp;"",tbl_Finance[Cost Centre],"VIDEO"))</f>
        <v/>
      </c>
      <c r="AK180" s="29">
        <f>IFERROR(AJ180/L180,"")</f>
        <v/>
      </c>
      <c r="AL180" s="27">
        <f>IF(C180="","",N(AF180)+N(AG180)+N(AH180)+N(AI180))</f>
        <v/>
      </c>
      <c r="AM180" s="27" t="n"/>
      <c r="AN180" s="29" t="n"/>
      <c r="AO180" s="71" t="n"/>
      <c r="AP180" s="71" t="n"/>
      <c r="AQ180" s="71" t="n"/>
      <c r="AR180" s="71" t="n"/>
      <c r="AS180" s="71" t="n"/>
      <c r="AT180" s="22" t="n"/>
    </row>
    <row r="181" ht="15" customHeight="1">
      <c r="A181" s="70">
        <f>IF(C181="","",IFERROR(IF(SUMPRODUCT(MAX((tbl_Finance[Job Number]&amp;""=C181&amp;"")*(tbl_Finance[Xero Invoice No]&lt;&gt;"")*tbl_Finance[Date]))=0,"",SUMPRODUCT(MAX((tbl_Finance[Job Number]&amp;""=C181&amp;"")*(tbl_Finance[Xero Invoice No]&lt;&gt;"")*tbl_Finance[Date]))),""))</f>
        <v/>
      </c>
      <c r="B181" s="26">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2" t="n"/>
      <c r="D181" s="26">
        <f>IF(C181="","",IF(COUNTIF(lst_Jobs,C181&amp;"")&gt;0,"OK","CHECK"))</f>
        <v/>
      </c>
      <c r="E181" s="26">
        <f>IF(C181="","",IFERROR(INDEX(lst_JobName,MATCH(C181&amp;"",lst_Jobs,0)),""))</f>
        <v/>
      </c>
      <c r="F181" s="22" t="n"/>
      <c r="G181" s="22" t="n"/>
      <c r="H181" s="22" t="n"/>
      <c r="I181" s="22" t="n"/>
      <c r="J181" s="22" t="n"/>
      <c r="K181" s="28">
        <f>IF(C181="","",COUNTIFS(tbl_Finance[Job Number],C181&amp;"",tbl_Finance[Ex GST],"&lt;&gt;"))</f>
        <v/>
      </c>
      <c r="L181" s="27">
        <f>IF(C181="","",SUMIFS(tbl_Finance[Ex GST],tbl_Finance[Job Number],C181&amp;""))</f>
        <v/>
      </c>
      <c r="M181" s="27">
        <f>IF(C181="","",SUMIFS(tbl_Finance[Ex GST],tbl_Finance[Job Number],C181&amp;"",tbl_Finance[Xero Invoice No],"&lt;&gt;"))</f>
        <v/>
      </c>
      <c r="N181" s="27">
        <f>IF(C181="","",L181-M181)</f>
        <v/>
      </c>
      <c r="O181" s="24" t="n"/>
      <c r="P181" s="27">
        <f>IF(C181="","",IF(O181="",0,MAX(0,O181-L181)))</f>
        <v/>
      </c>
      <c r="Q181" s="26">
        <f>IF(C181="","",IF(K181=0,"not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R181" s="27">
        <f>IF(C181="","",SUMIFS(tbl_Finance[Inc GST],tbl_Finance[Job Number],C181&amp;""))</f>
        <v/>
      </c>
      <c r="S181" s="22" t="n"/>
      <c r="T181" s="22" t="n"/>
      <c r="U181" s="22" t="n"/>
      <c r="V181" s="23" t="n"/>
      <c r="W181" s="22" t="n"/>
      <c r="X181" s="26">
        <f>IF(W181="","",IF(AND(LEFT(W181,4)&lt;&gt;"http",set_RMSBase=""),"",HYPERLINK(IF(LEFT(W181,4)="http",W181,set_RMSBase&amp;W181),"Open opportunity")))</f>
        <v/>
      </c>
      <c r="Y181" s="22" t="n"/>
      <c r="Z181" s="26">
        <f>IF(Y181="","",HYPERLINK(IF(LEFT(Y181,4)="http",Y181,set_QwilrBase&amp;Y181),"Open quote"))</f>
        <v/>
      </c>
      <c r="AA181" s="26">
        <f>IF(C181="","",C181)</f>
        <v/>
      </c>
      <c r="AB181" s="22" t="n"/>
      <c r="AC181" s="24" t="n"/>
      <c r="AD181" s="27">
        <f>IF(C181="","",L181+N(AC181))</f>
        <v/>
      </c>
      <c r="AE181" s="29">
        <f>IFERROR(AC181/AD181,"")</f>
        <v/>
      </c>
      <c r="AF181" s="24" t="n"/>
      <c r="AG181" s="24" t="n"/>
      <c r="AH181" s="24" t="n"/>
      <c r="AI181" s="24" t="n"/>
      <c r="AJ181" s="27">
        <f>IF(C181="","",SUMIFS(tbl_Finance[Ex GST],tbl_Finance[Job Number],C181&amp;"",tbl_Finance[Cost Centre],"VIDEO"))</f>
        <v/>
      </c>
      <c r="AK181" s="29">
        <f>IFERROR(AJ181/L181,"")</f>
        <v/>
      </c>
      <c r="AL181" s="27">
        <f>IF(C181="","",N(AF181)+N(AG181)+N(AH181)+N(AI181))</f>
        <v/>
      </c>
      <c r="AM181" s="27" t="n"/>
      <c r="AN181" s="29" t="n"/>
      <c r="AO181" s="71" t="n"/>
      <c r="AP181" s="71" t="n"/>
      <c r="AQ181" s="71" t="n"/>
      <c r="AR181" s="71" t="n"/>
      <c r="AS181" s="71" t="n"/>
      <c r="AT181" s="22" t="n"/>
    </row>
    <row r="182" ht="15" customHeight="1">
      <c r="A182" s="70">
        <f>IF(C182="","",IFERROR(IF(SUMPRODUCT(MAX((tbl_Finance[Job Number]&amp;""=C182&amp;"")*(tbl_Finance[Xero Invoice No]&lt;&gt;"")*tbl_Finance[Date]))=0,"",SUMPRODUCT(MAX((tbl_Finance[Job Number]&amp;""=C182&amp;"")*(tbl_Finance[Xero Invoice No]&lt;&gt;"")*tbl_Finance[Date]))),""))</f>
        <v/>
      </c>
      <c r="B182" s="26">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2" t="n"/>
      <c r="D182" s="26">
        <f>IF(C182="","",IF(COUNTIF(lst_Jobs,C182&amp;"")&gt;0,"OK","CHECK"))</f>
        <v/>
      </c>
      <c r="E182" s="26">
        <f>IF(C182="","",IFERROR(INDEX(lst_JobName,MATCH(C182&amp;"",lst_Jobs,0)),""))</f>
        <v/>
      </c>
      <c r="F182" s="22" t="n"/>
      <c r="G182" s="22" t="n"/>
      <c r="H182" s="22" t="n"/>
      <c r="I182" s="22" t="n"/>
      <c r="J182" s="22" t="n"/>
      <c r="K182" s="28">
        <f>IF(C182="","",COUNTIFS(tbl_Finance[Job Number],C182&amp;"",tbl_Finance[Ex GST],"&lt;&gt;"))</f>
        <v/>
      </c>
      <c r="L182" s="27">
        <f>IF(C182="","",SUMIFS(tbl_Finance[Ex GST],tbl_Finance[Job Number],C182&amp;""))</f>
        <v/>
      </c>
      <c r="M182" s="27">
        <f>IF(C182="","",SUMIFS(tbl_Finance[Ex GST],tbl_Finance[Job Number],C182&amp;"",tbl_Finance[Xero Invoice No],"&lt;&gt;"))</f>
        <v/>
      </c>
      <c r="N182" s="27">
        <f>IF(C182="","",L182-M182)</f>
        <v/>
      </c>
      <c r="O182" s="24" t="n"/>
      <c r="P182" s="27">
        <f>IF(C182="","",IF(O182="",0,MAX(0,O182-L182)))</f>
        <v/>
      </c>
      <c r="Q182" s="26">
        <f>IF(C182="","",IF(K182=0,"not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R182" s="27">
        <f>IF(C182="","",SUMIFS(tbl_Finance[Inc GST],tbl_Finance[Job Number],C182&amp;""))</f>
        <v/>
      </c>
      <c r="S182" s="22" t="n"/>
      <c r="T182" s="22" t="n"/>
      <c r="U182" s="22" t="n"/>
      <c r="V182" s="23" t="n"/>
      <c r="W182" s="22" t="n"/>
      <c r="X182" s="26">
        <f>IF(W182="","",IF(AND(LEFT(W182,4)&lt;&gt;"http",set_RMSBase=""),"",HYPERLINK(IF(LEFT(W182,4)="http",W182,set_RMSBase&amp;W182),"Open opportunity")))</f>
        <v/>
      </c>
      <c r="Y182" s="22" t="n"/>
      <c r="Z182" s="26">
        <f>IF(Y182="","",HYPERLINK(IF(LEFT(Y182,4)="http",Y182,set_QwilrBase&amp;Y182),"Open quote"))</f>
        <v/>
      </c>
      <c r="AA182" s="26">
        <f>IF(C182="","",C182)</f>
        <v/>
      </c>
      <c r="AB182" s="22" t="n"/>
      <c r="AC182" s="24" t="n"/>
      <c r="AD182" s="27">
        <f>IF(C182="","",L182+N(AC182))</f>
        <v/>
      </c>
      <c r="AE182" s="29">
        <f>IFERROR(AC182/AD182,"")</f>
        <v/>
      </c>
      <c r="AF182" s="24" t="n"/>
      <c r="AG182" s="24" t="n"/>
      <c r="AH182" s="24" t="n"/>
      <c r="AI182" s="24" t="n"/>
      <c r="AJ182" s="27">
        <f>IF(C182="","",SUMIFS(tbl_Finance[Ex GST],tbl_Finance[Job Number],C182&amp;"",tbl_Finance[Cost Centre],"VIDEO"))</f>
        <v/>
      </c>
      <c r="AK182" s="29">
        <f>IFERROR(AJ182/L182,"")</f>
        <v/>
      </c>
      <c r="AL182" s="27">
        <f>IF(C182="","",N(AF182)+N(AG182)+N(AH182)+N(AI182))</f>
        <v/>
      </c>
      <c r="AM182" s="27" t="n"/>
      <c r="AN182" s="29" t="n"/>
      <c r="AO182" s="71" t="n"/>
      <c r="AP182" s="71" t="n"/>
      <c r="AQ182" s="71" t="n"/>
      <c r="AR182" s="71" t="n"/>
      <c r="AS182" s="71" t="n"/>
      <c r="AT182" s="22" t="n"/>
    </row>
    <row r="183" ht="15" customHeight="1">
      <c r="A183" s="70">
        <f>IF(C183="","",IFERROR(IF(SUMPRODUCT(MAX((tbl_Finance[Job Number]&amp;""=C183&amp;"")*(tbl_Finance[Xero Invoice No]&lt;&gt;"")*tbl_Finance[Date]))=0,"",SUMPRODUCT(MAX((tbl_Finance[Job Number]&amp;""=C183&amp;"")*(tbl_Finance[Xero Invoice No]&lt;&gt;"")*tbl_Finance[Date]))),""))</f>
        <v/>
      </c>
      <c r="B183" s="26">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2" t="n"/>
      <c r="D183" s="26">
        <f>IF(C183="","",IF(COUNTIF(lst_Jobs,C183&amp;"")&gt;0,"OK","CHECK"))</f>
        <v/>
      </c>
      <c r="E183" s="26">
        <f>IF(C183="","",IFERROR(INDEX(lst_JobName,MATCH(C183&amp;"",lst_Jobs,0)),""))</f>
        <v/>
      </c>
      <c r="F183" s="22" t="n"/>
      <c r="G183" s="22" t="n"/>
      <c r="H183" s="22" t="n"/>
      <c r="I183" s="22" t="n"/>
      <c r="J183" s="22" t="n"/>
      <c r="K183" s="28">
        <f>IF(C183="","",COUNTIFS(tbl_Finance[Job Number],C183&amp;"",tbl_Finance[Ex GST],"&lt;&gt;"))</f>
        <v/>
      </c>
      <c r="L183" s="27">
        <f>IF(C183="","",SUMIFS(tbl_Finance[Ex GST],tbl_Finance[Job Number],C183&amp;""))</f>
        <v/>
      </c>
      <c r="M183" s="27">
        <f>IF(C183="","",SUMIFS(tbl_Finance[Ex GST],tbl_Finance[Job Number],C183&amp;"",tbl_Finance[Xero Invoice No],"&lt;&gt;"))</f>
        <v/>
      </c>
      <c r="N183" s="27">
        <f>IF(C183="","",L183-M183)</f>
        <v/>
      </c>
      <c r="O183" s="24" t="n"/>
      <c r="P183" s="27">
        <f>IF(C183="","",IF(O183="",0,MAX(0,O183-L183)))</f>
        <v/>
      </c>
      <c r="Q183" s="26">
        <f>IF(C183="","",IF(K183=0,"not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R183" s="27">
        <f>IF(C183="","",SUMIFS(tbl_Finance[Inc GST],tbl_Finance[Job Number],C183&amp;""))</f>
        <v/>
      </c>
      <c r="S183" s="22" t="n"/>
      <c r="T183" s="22" t="n"/>
      <c r="U183" s="22" t="n"/>
      <c r="V183" s="23" t="n"/>
      <c r="W183" s="22" t="n"/>
      <c r="X183" s="26">
        <f>IF(W183="","",IF(AND(LEFT(W183,4)&lt;&gt;"http",set_RMSBase=""),"",HYPERLINK(IF(LEFT(W183,4)="http",W183,set_RMSBase&amp;W183),"Open opportunity")))</f>
        <v/>
      </c>
      <c r="Y183" s="22" t="n"/>
      <c r="Z183" s="26">
        <f>IF(Y183="","",HYPERLINK(IF(LEFT(Y183,4)="http",Y183,set_QwilrBase&amp;Y183),"Open quote"))</f>
        <v/>
      </c>
      <c r="AA183" s="26">
        <f>IF(C183="","",C183)</f>
        <v/>
      </c>
      <c r="AB183" s="22" t="n"/>
      <c r="AC183" s="24" t="n"/>
      <c r="AD183" s="27">
        <f>IF(C183="","",L183+N(AC183))</f>
        <v/>
      </c>
      <c r="AE183" s="29">
        <f>IFERROR(AC183/AD183,"")</f>
        <v/>
      </c>
      <c r="AF183" s="24" t="n"/>
      <c r="AG183" s="24" t="n"/>
      <c r="AH183" s="24" t="n"/>
      <c r="AI183" s="24" t="n"/>
      <c r="AJ183" s="27">
        <f>IF(C183="","",SUMIFS(tbl_Finance[Ex GST],tbl_Finance[Job Number],C183&amp;"",tbl_Finance[Cost Centre],"VIDEO"))</f>
        <v/>
      </c>
      <c r="AK183" s="29">
        <f>IFERROR(AJ183/L183,"")</f>
        <v/>
      </c>
      <c r="AL183" s="27">
        <f>IF(C183="","",N(AF183)+N(AG183)+N(AH183)+N(AI183))</f>
        <v/>
      </c>
      <c r="AM183" s="27" t="n"/>
      <c r="AN183" s="29" t="n"/>
      <c r="AO183" s="71" t="n"/>
      <c r="AP183" s="71" t="n"/>
      <c r="AQ183" s="71" t="n"/>
      <c r="AR183" s="71" t="n"/>
      <c r="AS183" s="71" t="n"/>
      <c r="AT183" s="22" t="n"/>
    </row>
    <row r="184" ht="15" customHeight="1">
      <c r="A184" s="70">
        <f>IF(C184="","",IFERROR(IF(SUMPRODUCT(MAX((tbl_Finance[Job Number]&amp;""=C184&amp;"")*(tbl_Finance[Xero Invoice No]&lt;&gt;"")*tbl_Finance[Date]))=0,"",SUMPRODUCT(MAX((tbl_Finance[Job Number]&amp;""=C184&amp;"")*(tbl_Finance[Xero Invoice No]&lt;&gt;"")*tbl_Finance[Date]))),""))</f>
        <v/>
      </c>
      <c r="B184" s="26">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2" t="n"/>
      <c r="D184" s="26">
        <f>IF(C184="","",IF(COUNTIF(lst_Jobs,C184&amp;"")&gt;0,"OK","CHECK"))</f>
        <v/>
      </c>
      <c r="E184" s="26">
        <f>IF(C184="","",IFERROR(INDEX(lst_JobName,MATCH(C184&amp;"",lst_Jobs,0)),""))</f>
        <v/>
      </c>
      <c r="F184" s="22" t="n"/>
      <c r="G184" s="22" t="n"/>
      <c r="H184" s="22" t="n"/>
      <c r="I184" s="22" t="n"/>
      <c r="J184" s="22" t="n"/>
      <c r="K184" s="28">
        <f>IF(C184="","",COUNTIFS(tbl_Finance[Job Number],C184&amp;"",tbl_Finance[Ex GST],"&lt;&gt;"))</f>
        <v/>
      </c>
      <c r="L184" s="27">
        <f>IF(C184="","",SUMIFS(tbl_Finance[Ex GST],tbl_Finance[Job Number],C184&amp;""))</f>
        <v/>
      </c>
      <c r="M184" s="27">
        <f>IF(C184="","",SUMIFS(tbl_Finance[Ex GST],tbl_Finance[Job Number],C184&amp;"",tbl_Finance[Xero Invoice No],"&lt;&gt;"))</f>
        <v/>
      </c>
      <c r="N184" s="27">
        <f>IF(C184="","",L184-M184)</f>
        <v/>
      </c>
      <c r="O184" s="24" t="n"/>
      <c r="P184" s="27">
        <f>IF(C184="","",IF(O184="",0,MAX(0,O184-L184)))</f>
        <v/>
      </c>
      <c r="Q184" s="26">
        <f>IF(C184="","",IF(K184=0,"not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R184" s="27">
        <f>IF(C184="","",SUMIFS(tbl_Finance[Inc GST],tbl_Finance[Job Number],C184&amp;""))</f>
        <v/>
      </c>
      <c r="S184" s="22" t="n"/>
      <c r="T184" s="22" t="n"/>
      <c r="U184" s="22" t="n"/>
      <c r="V184" s="23" t="n"/>
      <c r="W184" s="22" t="n"/>
      <c r="X184" s="26">
        <f>IF(W184="","",IF(AND(LEFT(W184,4)&lt;&gt;"http",set_RMSBase=""),"",HYPERLINK(IF(LEFT(W184,4)="http",W184,set_RMSBase&amp;W184),"Open opportunity")))</f>
        <v/>
      </c>
      <c r="Y184" s="22" t="n"/>
      <c r="Z184" s="26">
        <f>IF(Y184="","",HYPERLINK(IF(LEFT(Y184,4)="http",Y184,set_QwilrBase&amp;Y184),"Open quote"))</f>
        <v/>
      </c>
      <c r="AA184" s="26">
        <f>IF(C184="","",C184)</f>
        <v/>
      </c>
      <c r="AB184" s="22" t="n"/>
      <c r="AC184" s="24" t="n"/>
      <c r="AD184" s="27">
        <f>IF(C184="","",L184+N(AC184))</f>
        <v/>
      </c>
      <c r="AE184" s="29">
        <f>IFERROR(AC184/AD184,"")</f>
        <v/>
      </c>
      <c r="AF184" s="24" t="n"/>
      <c r="AG184" s="24" t="n"/>
      <c r="AH184" s="24" t="n"/>
      <c r="AI184" s="24" t="n"/>
      <c r="AJ184" s="27">
        <f>IF(C184="","",SUMIFS(tbl_Finance[Ex GST],tbl_Finance[Job Number],C184&amp;"",tbl_Finance[Cost Centre],"VIDEO"))</f>
        <v/>
      </c>
      <c r="AK184" s="29">
        <f>IFERROR(AJ184/L184,"")</f>
        <v/>
      </c>
      <c r="AL184" s="27">
        <f>IF(C184="","",N(AF184)+N(AG184)+N(AH184)+N(AI184))</f>
        <v/>
      </c>
      <c r="AM184" s="27" t="n"/>
      <c r="AN184" s="29" t="n"/>
      <c r="AO184" s="71" t="n"/>
      <c r="AP184" s="71" t="n"/>
      <c r="AQ184" s="71" t="n"/>
      <c r="AR184" s="71" t="n"/>
      <c r="AS184" s="71" t="n"/>
      <c r="AT184" s="22" t="n"/>
    </row>
    <row r="185" ht="15" customHeight="1">
      <c r="A185" s="70">
        <f>IF(C185="","",IFERROR(IF(SUMPRODUCT(MAX((tbl_Finance[Job Number]&amp;""=C185&amp;"")*(tbl_Finance[Xero Invoice No]&lt;&gt;"")*tbl_Finance[Date]))=0,"",SUMPRODUCT(MAX((tbl_Finance[Job Number]&amp;""=C185&amp;"")*(tbl_Finance[Xero Invoice No]&lt;&gt;"")*tbl_Finance[Date]))),""))</f>
        <v/>
      </c>
      <c r="B185" s="26">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2" t="n"/>
      <c r="D185" s="26">
        <f>IF(C185="","",IF(COUNTIF(lst_Jobs,C185&amp;"")&gt;0,"OK","CHECK"))</f>
        <v/>
      </c>
      <c r="E185" s="26">
        <f>IF(C185="","",IFERROR(INDEX(lst_JobName,MATCH(C185&amp;"",lst_Jobs,0)),""))</f>
        <v/>
      </c>
      <c r="F185" s="22" t="n"/>
      <c r="G185" s="22" t="n"/>
      <c r="H185" s="22" t="n"/>
      <c r="I185" s="22" t="n"/>
      <c r="J185" s="22" t="n"/>
      <c r="K185" s="28">
        <f>IF(C185="","",COUNTIFS(tbl_Finance[Job Number],C185&amp;"",tbl_Finance[Ex GST],"&lt;&gt;"))</f>
        <v/>
      </c>
      <c r="L185" s="27">
        <f>IF(C185="","",SUMIFS(tbl_Finance[Ex GST],tbl_Finance[Job Number],C185&amp;""))</f>
        <v/>
      </c>
      <c r="M185" s="27">
        <f>IF(C185="","",SUMIFS(tbl_Finance[Ex GST],tbl_Finance[Job Number],C185&amp;"",tbl_Finance[Xero Invoice No],"&lt;&gt;"))</f>
        <v/>
      </c>
      <c r="N185" s="27">
        <f>IF(C185="","",L185-M185)</f>
        <v/>
      </c>
      <c r="O185" s="24" t="n"/>
      <c r="P185" s="27">
        <f>IF(C185="","",IF(O185="",0,MAX(0,O185-L185)))</f>
        <v/>
      </c>
      <c r="Q185" s="26">
        <f>IF(C185="","",IF(K185=0,"not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R185" s="27">
        <f>IF(C185="","",SUMIFS(tbl_Finance[Inc GST],tbl_Finance[Job Number],C185&amp;""))</f>
        <v/>
      </c>
      <c r="S185" s="22" t="n"/>
      <c r="T185" s="22" t="n"/>
      <c r="U185" s="22" t="n"/>
      <c r="V185" s="23" t="n"/>
      <c r="W185" s="22" t="n"/>
      <c r="X185" s="26">
        <f>IF(W185="","",IF(AND(LEFT(W185,4)&lt;&gt;"http",set_RMSBase=""),"",HYPERLINK(IF(LEFT(W185,4)="http",W185,set_RMSBase&amp;W185),"Open opportunity")))</f>
        <v/>
      </c>
      <c r="Y185" s="22" t="n"/>
      <c r="Z185" s="26">
        <f>IF(Y185="","",HYPERLINK(IF(LEFT(Y185,4)="http",Y185,set_QwilrBase&amp;Y185),"Open quote"))</f>
        <v/>
      </c>
      <c r="AA185" s="26">
        <f>IF(C185="","",C185)</f>
        <v/>
      </c>
      <c r="AB185" s="22" t="n"/>
      <c r="AC185" s="24" t="n"/>
      <c r="AD185" s="27">
        <f>IF(C185="","",L185+N(AC185))</f>
        <v/>
      </c>
      <c r="AE185" s="29">
        <f>IFERROR(AC185/AD185,"")</f>
        <v/>
      </c>
      <c r="AF185" s="24" t="n"/>
      <c r="AG185" s="24" t="n"/>
      <c r="AH185" s="24" t="n"/>
      <c r="AI185" s="24" t="n"/>
      <c r="AJ185" s="27">
        <f>IF(C185="","",SUMIFS(tbl_Finance[Ex GST],tbl_Finance[Job Number],C185&amp;"",tbl_Finance[Cost Centre],"VIDEO"))</f>
        <v/>
      </c>
      <c r="AK185" s="29">
        <f>IFERROR(AJ185/L185,"")</f>
        <v/>
      </c>
      <c r="AL185" s="27">
        <f>IF(C185="","",N(AF185)+N(AG185)+N(AH185)+N(AI185))</f>
        <v/>
      </c>
      <c r="AM185" s="27" t="n"/>
      <c r="AN185" s="29" t="n"/>
      <c r="AO185" s="71" t="n"/>
      <c r="AP185" s="71" t="n"/>
      <c r="AQ185" s="71" t="n"/>
      <c r="AR185" s="71" t="n"/>
      <c r="AS185" s="71" t="n"/>
      <c r="AT185" s="22" t="n"/>
    </row>
    <row r="186" ht="15" customHeight="1">
      <c r="A186" s="70">
        <f>IF(C186="","",IFERROR(IF(SUMPRODUCT(MAX((tbl_Finance[Job Number]&amp;""=C186&amp;"")*(tbl_Finance[Xero Invoice No]&lt;&gt;"")*tbl_Finance[Date]))=0,"",SUMPRODUCT(MAX((tbl_Finance[Job Number]&amp;""=C186&amp;"")*(tbl_Finance[Xero Invoice No]&lt;&gt;"")*tbl_Finance[Date]))),""))</f>
        <v/>
      </c>
      <c r="B186" s="26">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2" t="n"/>
      <c r="D186" s="26">
        <f>IF(C186="","",IF(COUNTIF(lst_Jobs,C186&amp;"")&gt;0,"OK","CHECK"))</f>
        <v/>
      </c>
      <c r="E186" s="26">
        <f>IF(C186="","",IFERROR(INDEX(lst_JobName,MATCH(C186&amp;"",lst_Jobs,0)),""))</f>
        <v/>
      </c>
      <c r="F186" s="22" t="n"/>
      <c r="G186" s="22" t="n"/>
      <c r="H186" s="22" t="n"/>
      <c r="I186" s="22" t="n"/>
      <c r="J186" s="22" t="n"/>
      <c r="K186" s="28">
        <f>IF(C186="","",COUNTIFS(tbl_Finance[Job Number],C186&amp;"",tbl_Finance[Ex GST],"&lt;&gt;"))</f>
        <v/>
      </c>
      <c r="L186" s="27">
        <f>IF(C186="","",SUMIFS(tbl_Finance[Ex GST],tbl_Finance[Job Number],C186&amp;""))</f>
        <v/>
      </c>
      <c r="M186" s="27">
        <f>IF(C186="","",SUMIFS(tbl_Finance[Ex GST],tbl_Finance[Job Number],C186&amp;"",tbl_Finance[Xero Invoice No],"&lt;&gt;"))</f>
        <v/>
      </c>
      <c r="N186" s="27">
        <f>IF(C186="","",L186-M186)</f>
        <v/>
      </c>
      <c r="O186" s="24" t="n"/>
      <c r="P186" s="27">
        <f>IF(C186="","",IF(O186="",0,MAX(0,O186-L186)))</f>
        <v/>
      </c>
      <c r="Q186" s="26">
        <f>IF(C186="","",IF(K186=0,"not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R186" s="27">
        <f>IF(C186="","",SUMIFS(tbl_Finance[Inc GST],tbl_Finance[Job Number],C186&amp;""))</f>
        <v/>
      </c>
      <c r="S186" s="22" t="n"/>
      <c r="T186" s="22" t="n"/>
      <c r="U186" s="22" t="n"/>
      <c r="V186" s="23" t="n"/>
      <c r="W186" s="22" t="n"/>
      <c r="X186" s="26">
        <f>IF(W186="","",IF(AND(LEFT(W186,4)&lt;&gt;"http",set_RMSBase=""),"",HYPERLINK(IF(LEFT(W186,4)="http",W186,set_RMSBase&amp;W186),"Open opportunity")))</f>
        <v/>
      </c>
      <c r="Y186" s="22" t="n"/>
      <c r="Z186" s="26">
        <f>IF(Y186="","",HYPERLINK(IF(LEFT(Y186,4)="http",Y186,set_QwilrBase&amp;Y186),"Open quote"))</f>
        <v/>
      </c>
      <c r="AA186" s="26">
        <f>IF(C186="","",C186)</f>
        <v/>
      </c>
      <c r="AB186" s="22" t="n"/>
      <c r="AC186" s="24" t="n"/>
      <c r="AD186" s="27">
        <f>IF(C186="","",L186+N(AC186))</f>
        <v/>
      </c>
      <c r="AE186" s="29">
        <f>IFERROR(AC186/AD186,"")</f>
        <v/>
      </c>
      <c r="AF186" s="24" t="n"/>
      <c r="AG186" s="24" t="n"/>
      <c r="AH186" s="24" t="n"/>
      <c r="AI186" s="24" t="n"/>
      <c r="AJ186" s="27">
        <f>IF(C186="","",SUMIFS(tbl_Finance[Ex GST],tbl_Finance[Job Number],C186&amp;"",tbl_Finance[Cost Centre],"VIDEO"))</f>
        <v/>
      </c>
      <c r="AK186" s="29">
        <f>IFERROR(AJ186/L186,"")</f>
        <v/>
      </c>
      <c r="AL186" s="27">
        <f>IF(C186="","",N(AF186)+N(AG186)+N(AH186)+N(AI186))</f>
        <v/>
      </c>
      <c r="AM186" s="27" t="n"/>
      <c r="AN186" s="29" t="n"/>
      <c r="AO186" s="71" t="n"/>
      <c r="AP186" s="71" t="n"/>
      <c r="AQ186" s="71" t="n"/>
      <c r="AR186" s="71" t="n"/>
      <c r="AS186" s="71" t="n"/>
      <c r="AT186" s="22" t="n"/>
    </row>
    <row r="187" ht="15" customHeight="1">
      <c r="A187" s="70">
        <f>IF(C187="","",IFERROR(IF(SUMPRODUCT(MAX((tbl_Finance[Job Number]&amp;""=C187&amp;"")*(tbl_Finance[Xero Invoice No]&lt;&gt;"")*tbl_Finance[Date]))=0,"",SUMPRODUCT(MAX((tbl_Finance[Job Number]&amp;""=C187&amp;"")*(tbl_Finance[Xero Invoice No]&lt;&gt;"")*tbl_Finance[Date]))),""))</f>
        <v/>
      </c>
      <c r="B187" s="26">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2" t="n"/>
      <c r="D187" s="26">
        <f>IF(C187="","",IF(COUNTIF(lst_Jobs,C187&amp;"")&gt;0,"OK","CHECK"))</f>
        <v/>
      </c>
      <c r="E187" s="26">
        <f>IF(C187="","",IFERROR(INDEX(lst_JobName,MATCH(C187&amp;"",lst_Jobs,0)),""))</f>
        <v/>
      </c>
      <c r="F187" s="22" t="n"/>
      <c r="G187" s="22" t="n"/>
      <c r="H187" s="22" t="n"/>
      <c r="I187" s="22" t="n"/>
      <c r="J187" s="22" t="n"/>
      <c r="K187" s="28">
        <f>IF(C187="","",COUNTIFS(tbl_Finance[Job Number],C187&amp;"",tbl_Finance[Ex GST],"&lt;&gt;"))</f>
        <v/>
      </c>
      <c r="L187" s="27">
        <f>IF(C187="","",SUMIFS(tbl_Finance[Ex GST],tbl_Finance[Job Number],C187&amp;""))</f>
        <v/>
      </c>
      <c r="M187" s="27">
        <f>IF(C187="","",SUMIFS(tbl_Finance[Ex GST],tbl_Finance[Job Number],C187&amp;"",tbl_Finance[Xero Invoice No],"&lt;&gt;"))</f>
        <v/>
      </c>
      <c r="N187" s="27">
        <f>IF(C187="","",L187-M187)</f>
        <v/>
      </c>
      <c r="O187" s="24" t="n"/>
      <c r="P187" s="27">
        <f>IF(C187="","",IF(O187="",0,MAX(0,O187-L187)))</f>
        <v/>
      </c>
      <c r="Q187" s="26">
        <f>IF(C187="","",IF(K187=0,"not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R187" s="27">
        <f>IF(C187="","",SUMIFS(tbl_Finance[Inc GST],tbl_Finance[Job Number],C187&amp;""))</f>
        <v/>
      </c>
      <c r="S187" s="22" t="n"/>
      <c r="T187" s="22" t="n"/>
      <c r="U187" s="22" t="n"/>
      <c r="V187" s="23" t="n"/>
      <c r="W187" s="22" t="n"/>
      <c r="X187" s="26">
        <f>IF(W187="","",IF(AND(LEFT(W187,4)&lt;&gt;"http",set_RMSBase=""),"",HYPERLINK(IF(LEFT(W187,4)="http",W187,set_RMSBase&amp;W187),"Open opportunity")))</f>
        <v/>
      </c>
      <c r="Y187" s="22" t="n"/>
      <c r="Z187" s="26">
        <f>IF(Y187="","",HYPERLINK(IF(LEFT(Y187,4)="http",Y187,set_QwilrBase&amp;Y187),"Open quote"))</f>
        <v/>
      </c>
      <c r="AA187" s="26">
        <f>IF(C187="","",C187)</f>
        <v/>
      </c>
      <c r="AB187" s="22" t="n"/>
      <c r="AC187" s="24" t="n"/>
      <c r="AD187" s="27">
        <f>IF(C187="","",L187+N(AC187))</f>
        <v/>
      </c>
      <c r="AE187" s="29">
        <f>IFERROR(AC187/AD187,"")</f>
        <v/>
      </c>
      <c r="AF187" s="24" t="n"/>
      <c r="AG187" s="24" t="n"/>
      <c r="AH187" s="24" t="n"/>
      <c r="AI187" s="24" t="n"/>
      <c r="AJ187" s="27">
        <f>IF(C187="","",SUMIFS(tbl_Finance[Ex GST],tbl_Finance[Job Number],C187&amp;"",tbl_Finance[Cost Centre],"VIDEO"))</f>
        <v/>
      </c>
      <c r="AK187" s="29">
        <f>IFERROR(AJ187/L187,"")</f>
        <v/>
      </c>
      <c r="AL187" s="27">
        <f>IF(C187="","",N(AF187)+N(AG187)+N(AH187)+N(AI187))</f>
        <v/>
      </c>
      <c r="AM187" s="27" t="n"/>
      <c r="AN187" s="29" t="n"/>
      <c r="AO187" s="71" t="n"/>
      <c r="AP187" s="71" t="n"/>
      <c r="AQ187" s="71" t="n"/>
      <c r="AR187" s="71" t="n"/>
      <c r="AS187" s="71" t="n"/>
      <c r="AT187" s="22" t="n"/>
    </row>
    <row r="188" ht="15" customHeight="1">
      <c r="A188" s="70">
        <f>IF(C188="","",IFERROR(IF(SUMPRODUCT(MAX((tbl_Finance[Job Number]&amp;""=C188&amp;"")*(tbl_Finance[Xero Invoice No]&lt;&gt;"")*tbl_Finance[Date]))=0,"",SUMPRODUCT(MAX((tbl_Finance[Job Number]&amp;""=C188&amp;"")*(tbl_Finance[Xero Invoice No]&lt;&gt;"")*tbl_Finance[Date]))),""))</f>
        <v/>
      </c>
      <c r="B188" s="26">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2" t="n"/>
      <c r="D188" s="26">
        <f>IF(C188="","",IF(COUNTIF(lst_Jobs,C188&amp;"")&gt;0,"OK","CHECK"))</f>
        <v/>
      </c>
      <c r="E188" s="26">
        <f>IF(C188="","",IFERROR(INDEX(lst_JobName,MATCH(C188&amp;"",lst_Jobs,0)),""))</f>
        <v/>
      </c>
      <c r="F188" s="22" t="n"/>
      <c r="G188" s="22" t="n"/>
      <c r="H188" s="22" t="n"/>
      <c r="I188" s="22" t="n"/>
      <c r="J188" s="22" t="n"/>
      <c r="K188" s="28">
        <f>IF(C188="","",COUNTIFS(tbl_Finance[Job Number],C188&amp;"",tbl_Finance[Ex GST],"&lt;&gt;"))</f>
        <v/>
      </c>
      <c r="L188" s="27">
        <f>IF(C188="","",SUMIFS(tbl_Finance[Ex GST],tbl_Finance[Job Number],C188&amp;""))</f>
        <v/>
      </c>
      <c r="M188" s="27">
        <f>IF(C188="","",SUMIFS(tbl_Finance[Ex GST],tbl_Finance[Job Number],C188&amp;"",tbl_Finance[Xero Invoice No],"&lt;&gt;"))</f>
        <v/>
      </c>
      <c r="N188" s="27">
        <f>IF(C188="","",L188-M188)</f>
        <v/>
      </c>
      <c r="O188" s="24" t="n"/>
      <c r="P188" s="27">
        <f>IF(C188="","",IF(O188="",0,MAX(0,O188-L188)))</f>
        <v/>
      </c>
      <c r="Q188" s="26">
        <f>IF(C188="","",IF(K188=0,"not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R188" s="27">
        <f>IF(C188="","",SUMIFS(tbl_Finance[Inc GST],tbl_Finance[Job Number],C188&amp;""))</f>
        <v/>
      </c>
      <c r="S188" s="22" t="n"/>
      <c r="T188" s="22" t="n"/>
      <c r="U188" s="22" t="n"/>
      <c r="V188" s="23" t="n"/>
      <c r="W188" s="22" t="n"/>
      <c r="X188" s="26">
        <f>IF(W188="","",IF(AND(LEFT(W188,4)&lt;&gt;"http",set_RMSBase=""),"",HYPERLINK(IF(LEFT(W188,4)="http",W188,set_RMSBase&amp;W188),"Open opportunity")))</f>
        <v/>
      </c>
      <c r="Y188" s="22" t="n"/>
      <c r="Z188" s="26">
        <f>IF(Y188="","",HYPERLINK(IF(LEFT(Y188,4)="http",Y188,set_QwilrBase&amp;Y188),"Open quote"))</f>
        <v/>
      </c>
      <c r="AA188" s="26">
        <f>IF(C188="","",C188)</f>
        <v/>
      </c>
      <c r="AB188" s="22" t="n"/>
      <c r="AC188" s="24" t="n"/>
      <c r="AD188" s="27">
        <f>IF(C188="","",L188+N(AC188))</f>
        <v/>
      </c>
      <c r="AE188" s="29">
        <f>IFERROR(AC188/AD188,"")</f>
        <v/>
      </c>
      <c r="AF188" s="24" t="n"/>
      <c r="AG188" s="24" t="n"/>
      <c r="AH188" s="24" t="n"/>
      <c r="AI188" s="24" t="n"/>
      <c r="AJ188" s="27">
        <f>IF(C188="","",SUMIFS(tbl_Finance[Ex GST],tbl_Finance[Job Number],C188&amp;"",tbl_Finance[Cost Centre],"VIDEO"))</f>
        <v/>
      </c>
      <c r="AK188" s="29">
        <f>IFERROR(AJ188/L188,"")</f>
        <v/>
      </c>
      <c r="AL188" s="27">
        <f>IF(C188="","",N(AF188)+N(AG188)+N(AH188)+N(AI188))</f>
        <v/>
      </c>
      <c r="AM188" s="27" t="n"/>
      <c r="AN188" s="29" t="n"/>
      <c r="AO188" s="71" t="n"/>
      <c r="AP188" s="71" t="n"/>
      <c r="AQ188" s="71" t="n"/>
      <c r="AR188" s="71" t="n"/>
      <c r="AS188" s="71" t="n"/>
      <c r="AT188" s="22" t="n"/>
    </row>
    <row r="189" ht="15" customHeight="1">
      <c r="A189" s="70">
        <f>IF(C189="","",IFERROR(IF(SUMPRODUCT(MAX((tbl_Finance[Job Number]&amp;""=C189&amp;"")*(tbl_Finance[Xero Invoice No]&lt;&gt;"")*tbl_Finance[Date]))=0,"",SUMPRODUCT(MAX((tbl_Finance[Job Number]&amp;""=C189&amp;"")*(tbl_Finance[Xero Invoice No]&lt;&gt;"")*tbl_Finance[Date]))),""))</f>
        <v/>
      </c>
      <c r="B189" s="26">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2" t="n"/>
      <c r="D189" s="26">
        <f>IF(C189="","",IF(COUNTIF(lst_Jobs,C189&amp;"")&gt;0,"OK","CHECK"))</f>
        <v/>
      </c>
      <c r="E189" s="26">
        <f>IF(C189="","",IFERROR(INDEX(lst_JobName,MATCH(C189&amp;"",lst_Jobs,0)),""))</f>
        <v/>
      </c>
      <c r="F189" s="22" t="n"/>
      <c r="G189" s="22" t="n"/>
      <c r="H189" s="22" t="n"/>
      <c r="I189" s="22" t="n"/>
      <c r="J189" s="22" t="n"/>
      <c r="K189" s="28">
        <f>IF(C189="","",COUNTIFS(tbl_Finance[Job Number],C189&amp;"",tbl_Finance[Ex GST],"&lt;&gt;"))</f>
        <v/>
      </c>
      <c r="L189" s="27">
        <f>IF(C189="","",SUMIFS(tbl_Finance[Ex GST],tbl_Finance[Job Number],C189&amp;""))</f>
        <v/>
      </c>
      <c r="M189" s="27">
        <f>IF(C189="","",SUMIFS(tbl_Finance[Ex GST],tbl_Finance[Job Number],C189&amp;"",tbl_Finance[Xero Invoice No],"&lt;&gt;"))</f>
        <v/>
      </c>
      <c r="N189" s="27">
        <f>IF(C189="","",L189-M189)</f>
        <v/>
      </c>
      <c r="O189" s="24" t="n"/>
      <c r="P189" s="27">
        <f>IF(C189="","",IF(O189="",0,MAX(0,O189-L189)))</f>
        <v/>
      </c>
      <c r="Q189" s="26">
        <f>IF(C189="","",IF(K189=0,"not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R189" s="27">
        <f>IF(C189="","",SUMIFS(tbl_Finance[Inc GST],tbl_Finance[Job Number],C189&amp;""))</f>
        <v/>
      </c>
      <c r="S189" s="22" t="n"/>
      <c r="T189" s="22" t="n"/>
      <c r="U189" s="22" t="n"/>
      <c r="V189" s="23" t="n"/>
      <c r="W189" s="22" t="n"/>
      <c r="X189" s="26">
        <f>IF(W189="","",IF(AND(LEFT(W189,4)&lt;&gt;"http",set_RMSBase=""),"",HYPERLINK(IF(LEFT(W189,4)="http",W189,set_RMSBase&amp;W189),"Open opportunity")))</f>
        <v/>
      </c>
      <c r="Y189" s="22" t="n"/>
      <c r="Z189" s="26">
        <f>IF(Y189="","",HYPERLINK(IF(LEFT(Y189,4)="http",Y189,set_QwilrBase&amp;Y189),"Open quote"))</f>
        <v/>
      </c>
      <c r="AA189" s="26">
        <f>IF(C189="","",C189)</f>
        <v/>
      </c>
      <c r="AB189" s="22" t="n"/>
      <c r="AC189" s="24" t="n"/>
      <c r="AD189" s="27">
        <f>IF(C189="","",L189+N(AC189))</f>
        <v/>
      </c>
      <c r="AE189" s="29">
        <f>IFERROR(AC189/AD189,"")</f>
        <v/>
      </c>
      <c r="AF189" s="24" t="n"/>
      <c r="AG189" s="24" t="n"/>
      <c r="AH189" s="24" t="n"/>
      <c r="AI189" s="24" t="n"/>
      <c r="AJ189" s="27">
        <f>IF(C189="","",SUMIFS(tbl_Finance[Ex GST],tbl_Finance[Job Number],C189&amp;"",tbl_Finance[Cost Centre],"VIDEO"))</f>
        <v/>
      </c>
      <c r="AK189" s="29">
        <f>IFERROR(AJ189/L189,"")</f>
        <v/>
      </c>
      <c r="AL189" s="27">
        <f>IF(C189="","",N(AF189)+N(AG189)+N(AH189)+N(AI189))</f>
        <v/>
      </c>
      <c r="AM189" s="27" t="n"/>
      <c r="AN189" s="29" t="n"/>
      <c r="AO189" s="71" t="n"/>
      <c r="AP189" s="71" t="n"/>
      <c r="AQ189" s="71" t="n"/>
      <c r="AR189" s="71" t="n"/>
      <c r="AS189" s="71" t="n"/>
      <c r="AT189" s="22" t="n"/>
    </row>
    <row r="190" ht="15" customHeight="1">
      <c r="A190" s="70">
        <f>IF(C190="","",IFERROR(IF(SUMPRODUCT(MAX((tbl_Finance[Job Number]&amp;""=C190&amp;"")*(tbl_Finance[Xero Invoice No]&lt;&gt;"")*tbl_Finance[Date]))=0,"",SUMPRODUCT(MAX((tbl_Finance[Job Number]&amp;""=C190&amp;"")*(tbl_Finance[Xero Invoice No]&lt;&gt;"")*tbl_Finance[Date]))),""))</f>
        <v/>
      </c>
      <c r="B190" s="26">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2" t="n"/>
      <c r="D190" s="26">
        <f>IF(C190="","",IF(COUNTIF(lst_Jobs,C190&amp;"")&gt;0,"OK","CHECK"))</f>
        <v/>
      </c>
      <c r="E190" s="26">
        <f>IF(C190="","",IFERROR(INDEX(lst_JobName,MATCH(C190&amp;"",lst_Jobs,0)),""))</f>
        <v/>
      </c>
      <c r="F190" s="22" t="n"/>
      <c r="G190" s="22" t="n"/>
      <c r="H190" s="22" t="n"/>
      <c r="I190" s="22" t="n"/>
      <c r="J190" s="22" t="n"/>
      <c r="K190" s="28">
        <f>IF(C190="","",COUNTIFS(tbl_Finance[Job Number],C190&amp;"",tbl_Finance[Ex GST],"&lt;&gt;"))</f>
        <v/>
      </c>
      <c r="L190" s="27">
        <f>IF(C190="","",SUMIFS(tbl_Finance[Ex GST],tbl_Finance[Job Number],C190&amp;""))</f>
        <v/>
      </c>
      <c r="M190" s="27">
        <f>IF(C190="","",SUMIFS(tbl_Finance[Ex GST],tbl_Finance[Job Number],C190&amp;"",tbl_Finance[Xero Invoice No],"&lt;&gt;"))</f>
        <v/>
      </c>
      <c r="N190" s="27">
        <f>IF(C190="","",L190-M190)</f>
        <v/>
      </c>
      <c r="O190" s="24" t="n"/>
      <c r="P190" s="27">
        <f>IF(C190="","",IF(O190="",0,MAX(0,O190-L190)))</f>
        <v/>
      </c>
      <c r="Q190" s="26">
        <f>IF(C190="","",IF(K190=0,"not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R190" s="27">
        <f>IF(C190="","",SUMIFS(tbl_Finance[Inc GST],tbl_Finance[Job Number],C190&amp;""))</f>
        <v/>
      </c>
      <c r="S190" s="22" t="n"/>
      <c r="T190" s="22" t="n"/>
      <c r="U190" s="22" t="n"/>
      <c r="V190" s="23" t="n"/>
      <c r="W190" s="22" t="n"/>
      <c r="X190" s="26">
        <f>IF(W190="","",IF(AND(LEFT(W190,4)&lt;&gt;"http",set_RMSBase=""),"",HYPERLINK(IF(LEFT(W190,4)="http",W190,set_RMSBase&amp;W190),"Open opportunity")))</f>
        <v/>
      </c>
      <c r="Y190" s="22" t="n"/>
      <c r="Z190" s="26">
        <f>IF(Y190="","",HYPERLINK(IF(LEFT(Y190,4)="http",Y190,set_QwilrBase&amp;Y190),"Open quote"))</f>
        <v/>
      </c>
      <c r="AA190" s="26">
        <f>IF(C190="","",C190)</f>
        <v/>
      </c>
      <c r="AB190" s="22" t="n"/>
      <c r="AC190" s="24" t="n"/>
      <c r="AD190" s="27">
        <f>IF(C190="","",L190+N(AC190))</f>
        <v/>
      </c>
      <c r="AE190" s="29">
        <f>IFERROR(AC190/AD190,"")</f>
        <v/>
      </c>
      <c r="AF190" s="24" t="n"/>
      <c r="AG190" s="24" t="n"/>
      <c r="AH190" s="24" t="n"/>
      <c r="AI190" s="24" t="n"/>
      <c r="AJ190" s="27">
        <f>IF(C190="","",SUMIFS(tbl_Finance[Ex GST],tbl_Finance[Job Number],C190&amp;"",tbl_Finance[Cost Centre],"VIDEO"))</f>
        <v/>
      </c>
      <c r="AK190" s="29">
        <f>IFERROR(AJ190/L190,"")</f>
        <v/>
      </c>
      <c r="AL190" s="27">
        <f>IF(C190="","",N(AF190)+N(AG190)+N(AH190)+N(AI190))</f>
        <v/>
      </c>
      <c r="AM190" s="27" t="n"/>
      <c r="AN190" s="29" t="n"/>
      <c r="AO190" s="71" t="n"/>
      <c r="AP190" s="71" t="n"/>
      <c r="AQ190" s="71" t="n"/>
      <c r="AR190" s="71" t="n"/>
      <c r="AS190" s="71" t="n"/>
      <c r="AT190" s="22" t="n"/>
    </row>
    <row r="191" ht="15" customHeight="1">
      <c r="A191" s="70">
        <f>IF(C191="","",IFERROR(IF(SUMPRODUCT(MAX((tbl_Finance[Job Number]&amp;""=C191&amp;"")*(tbl_Finance[Xero Invoice No]&lt;&gt;"")*tbl_Finance[Date]))=0,"",SUMPRODUCT(MAX((tbl_Finance[Job Number]&amp;""=C191&amp;"")*(tbl_Finance[Xero Invoice No]&lt;&gt;"")*tbl_Finance[Date]))),""))</f>
        <v/>
      </c>
      <c r="B191" s="26">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2" t="n"/>
      <c r="D191" s="26">
        <f>IF(C191="","",IF(COUNTIF(lst_Jobs,C191&amp;"")&gt;0,"OK","CHECK"))</f>
        <v/>
      </c>
      <c r="E191" s="26">
        <f>IF(C191="","",IFERROR(INDEX(lst_JobName,MATCH(C191&amp;"",lst_Jobs,0)),""))</f>
        <v/>
      </c>
      <c r="F191" s="22" t="n"/>
      <c r="G191" s="22" t="n"/>
      <c r="H191" s="22" t="n"/>
      <c r="I191" s="22" t="n"/>
      <c r="J191" s="22" t="n"/>
      <c r="K191" s="28">
        <f>IF(C191="","",COUNTIFS(tbl_Finance[Job Number],C191&amp;"",tbl_Finance[Ex GST],"&lt;&gt;"))</f>
        <v/>
      </c>
      <c r="L191" s="27">
        <f>IF(C191="","",SUMIFS(tbl_Finance[Ex GST],tbl_Finance[Job Number],C191&amp;""))</f>
        <v/>
      </c>
      <c r="M191" s="27">
        <f>IF(C191="","",SUMIFS(tbl_Finance[Ex GST],tbl_Finance[Job Number],C191&amp;"",tbl_Finance[Xero Invoice No],"&lt;&gt;"))</f>
        <v/>
      </c>
      <c r="N191" s="27">
        <f>IF(C191="","",L191-M191)</f>
        <v/>
      </c>
      <c r="O191" s="24" t="n"/>
      <c r="P191" s="27">
        <f>IF(C191="","",IF(O191="",0,MAX(0,O191-L191)))</f>
        <v/>
      </c>
      <c r="Q191" s="26">
        <f>IF(C191="","",IF(K191=0,"not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R191" s="27">
        <f>IF(C191="","",SUMIFS(tbl_Finance[Inc GST],tbl_Finance[Job Number],C191&amp;""))</f>
        <v/>
      </c>
      <c r="S191" s="22" t="n"/>
      <c r="T191" s="22" t="n"/>
      <c r="U191" s="22" t="n"/>
      <c r="V191" s="23" t="n"/>
      <c r="W191" s="22" t="n"/>
      <c r="X191" s="26">
        <f>IF(W191="","",IF(AND(LEFT(W191,4)&lt;&gt;"http",set_RMSBase=""),"",HYPERLINK(IF(LEFT(W191,4)="http",W191,set_RMSBase&amp;W191),"Open opportunity")))</f>
        <v/>
      </c>
      <c r="Y191" s="22" t="n"/>
      <c r="Z191" s="26">
        <f>IF(Y191="","",HYPERLINK(IF(LEFT(Y191,4)="http",Y191,set_QwilrBase&amp;Y191),"Open quote"))</f>
        <v/>
      </c>
      <c r="AA191" s="26">
        <f>IF(C191="","",C191)</f>
        <v/>
      </c>
      <c r="AB191" s="22" t="n"/>
      <c r="AC191" s="24" t="n"/>
      <c r="AD191" s="27">
        <f>IF(C191="","",L191+N(AC191))</f>
        <v/>
      </c>
      <c r="AE191" s="29">
        <f>IFERROR(AC191/AD191,"")</f>
        <v/>
      </c>
      <c r="AF191" s="24" t="n"/>
      <c r="AG191" s="24" t="n"/>
      <c r="AH191" s="24" t="n"/>
      <c r="AI191" s="24" t="n"/>
      <c r="AJ191" s="27">
        <f>IF(C191="","",SUMIFS(tbl_Finance[Ex GST],tbl_Finance[Job Number],C191&amp;"",tbl_Finance[Cost Centre],"VIDEO"))</f>
        <v/>
      </c>
      <c r="AK191" s="29">
        <f>IFERROR(AJ191/L191,"")</f>
        <v/>
      </c>
      <c r="AL191" s="27">
        <f>IF(C191="","",N(AF191)+N(AG191)+N(AH191)+N(AI191))</f>
        <v/>
      </c>
      <c r="AM191" s="27" t="n"/>
      <c r="AN191" s="29" t="n"/>
      <c r="AO191" s="71" t="n"/>
      <c r="AP191" s="71" t="n"/>
      <c r="AQ191" s="71" t="n"/>
      <c r="AR191" s="71" t="n"/>
      <c r="AS191" s="71" t="n"/>
      <c r="AT191" s="22" t="n"/>
    </row>
    <row r="192" ht="15" customHeight="1">
      <c r="A192" s="70">
        <f>IF(C192="","",IFERROR(IF(SUMPRODUCT(MAX((tbl_Finance[Job Number]&amp;""=C192&amp;"")*(tbl_Finance[Xero Invoice No]&lt;&gt;"")*tbl_Finance[Date]))=0,"",SUMPRODUCT(MAX((tbl_Finance[Job Number]&amp;""=C192&amp;"")*(tbl_Finance[Xero Invoice No]&lt;&gt;"")*tbl_Finance[Date]))),""))</f>
        <v/>
      </c>
      <c r="B192" s="26">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2" t="n"/>
      <c r="D192" s="26">
        <f>IF(C192="","",IF(COUNTIF(lst_Jobs,C192&amp;"")&gt;0,"OK","CHECK"))</f>
        <v/>
      </c>
      <c r="E192" s="26">
        <f>IF(C192="","",IFERROR(INDEX(lst_JobName,MATCH(C192&amp;"",lst_Jobs,0)),""))</f>
        <v/>
      </c>
      <c r="F192" s="22" t="n"/>
      <c r="G192" s="22" t="n"/>
      <c r="H192" s="22" t="n"/>
      <c r="I192" s="22" t="n"/>
      <c r="J192" s="22" t="n"/>
      <c r="K192" s="28">
        <f>IF(C192="","",COUNTIFS(tbl_Finance[Job Number],C192&amp;"",tbl_Finance[Ex GST],"&lt;&gt;"))</f>
        <v/>
      </c>
      <c r="L192" s="27">
        <f>IF(C192="","",SUMIFS(tbl_Finance[Ex GST],tbl_Finance[Job Number],C192&amp;""))</f>
        <v/>
      </c>
      <c r="M192" s="27">
        <f>IF(C192="","",SUMIFS(tbl_Finance[Ex GST],tbl_Finance[Job Number],C192&amp;"",tbl_Finance[Xero Invoice No],"&lt;&gt;"))</f>
        <v/>
      </c>
      <c r="N192" s="27">
        <f>IF(C192="","",L192-M192)</f>
        <v/>
      </c>
      <c r="O192" s="24" t="n"/>
      <c r="P192" s="27">
        <f>IF(C192="","",IF(O192="",0,MAX(0,O192-L192)))</f>
        <v/>
      </c>
      <c r="Q192" s="26">
        <f>IF(C192="","",IF(K192=0,"not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R192" s="27">
        <f>IF(C192="","",SUMIFS(tbl_Finance[Inc GST],tbl_Finance[Job Number],C192&amp;""))</f>
        <v/>
      </c>
      <c r="S192" s="22" t="n"/>
      <c r="T192" s="22" t="n"/>
      <c r="U192" s="22" t="n"/>
      <c r="V192" s="23" t="n"/>
      <c r="W192" s="22" t="n"/>
      <c r="X192" s="26">
        <f>IF(W192="","",IF(AND(LEFT(W192,4)&lt;&gt;"http",set_RMSBase=""),"",HYPERLINK(IF(LEFT(W192,4)="http",W192,set_RMSBase&amp;W192),"Open opportunity")))</f>
        <v/>
      </c>
      <c r="Y192" s="22" t="n"/>
      <c r="Z192" s="26">
        <f>IF(Y192="","",HYPERLINK(IF(LEFT(Y192,4)="http",Y192,set_QwilrBase&amp;Y192),"Open quote"))</f>
        <v/>
      </c>
      <c r="AA192" s="26">
        <f>IF(C192="","",C192)</f>
        <v/>
      </c>
      <c r="AB192" s="22" t="n"/>
      <c r="AC192" s="24" t="n"/>
      <c r="AD192" s="27">
        <f>IF(C192="","",L192+N(AC192))</f>
        <v/>
      </c>
      <c r="AE192" s="29">
        <f>IFERROR(AC192/AD192,"")</f>
        <v/>
      </c>
      <c r="AF192" s="24" t="n"/>
      <c r="AG192" s="24" t="n"/>
      <c r="AH192" s="24" t="n"/>
      <c r="AI192" s="24" t="n"/>
      <c r="AJ192" s="27">
        <f>IF(C192="","",SUMIFS(tbl_Finance[Ex GST],tbl_Finance[Job Number],C192&amp;"",tbl_Finance[Cost Centre],"VIDEO"))</f>
        <v/>
      </c>
      <c r="AK192" s="29">
        <f>IFERROR(AJ192/L192,"")</f>
        <v/>
      </c>
      <c r="AL192" s="27">
        <f>IF(C192="","",N(AF192)+N(AG192)+N(AH192)+N(AI192))</f>
        <v/>
      </c>
      <c r="AM192" s="27" t="n"/>
      <c r="AN192" s="29" t="n"/>
      <c r="AO192" s="71" t="n"/>
      <c r="AP192" s="71" t="n"/>
      <c r="AQ192" s="71" t="n"/>
      <c r="AR192" s="71" t="n"/>
      <c r="AS192" s="71" t="n"/>
      <c r="AT192" s="22" t="n"/>
    </row>
    <row r="193" ht="15" customHeight="1">
      <c r="A193" s="70">
        <f>IF(C193="","",IFERROR(IF(SUMPRODUCT(MAX((tbl_Finance[Job Number]&amp;""=C193&amp;"")*(tbl_Finance[Xero Invoice No]&lt;&gt;"")*tbl_Finance[Date]))=0,"",SUMPRODUCT(MAX((tbl_Finance[Job Number]&amp;""=C193&amp;"")*(tbl_Finance[Xero Invoice No]&lt;&gt;"")*tbl_Finance[Date]))),""))</f>
        <v/>
      </c>
      <c r="B193" s="26">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2" t="n"/>
      <c r="D193" s="26">
        <f>IF(C193="","",IF(COUNTIF(lst_Jobs,C193&amp;"")&gt;0,"OK","CHECK"))</f>
        <v/>
      </c>
      <c r="E193" s="26">
        <f>IF(C193="","",IFERROR(INDEX(lst_JobName,MATCH(C193&amp;"",lst_Jobs,0)),""))</f>
        <v/>
      </c>
      <c r="F193" s="22" t="n"/>
      <c r="G193" s="22" t="n"/>
      <c r="H193" s="22" t="n"/>
      <c r="I193" s="22" t="n"/>
      <c r="J193" s="22" t="n"/>
      <c r="K193" s="28">
        <f>IF(C193="","",COUNTIFS(tbl_Finance[Job Number],C193&amp;"",tbl_Finance[Ex GST],"&lt;&gt;"))</f>
        <v/>
      </c>
      <c r="L193" s="27">
        <f>IF(C193="","",SUMIFS(tbl_Finance[Ex GST],tbl_Finance[Job Number],C193&amp;""))</f>
        <v/>
      </c>
      <c r="M193" s="27">
        <f>IF(C193="","",SUMIFS(tbl_Finance[Ex GST],tbl_Finance[Job Number],C193&amp;"",tbl_Finance[Xero Invoice No],"&lt;&gt;"))</f>
        <v/>
      </c>
      <c r="N193" s="27">
        <f>IF(C193="","",L193-M193)</f>
        <v/>
      </c>
      <c r="O193" s="24" t="n"/>
      <c r="P193" s="27">
        <f>IF(C193="","",IF(O193="",0,MAX(0,O193-L193)))</f>
        <v/>
      </c>
      <c r="Q193" s="26">
        <f>IF(C193="","",IF(K193=0,"not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R193" s="27">
        <f>IF(C193="","",SUMIFS(tbl_Finance[Inc GST],tbl_Finance[Job Number],C193&amp;""))</f>
        <v/>
      </c>
      <c r="S193" s="22" t="n"/>
      <c r="T193" s="22" t="n"/>
      <c r="U193" s="22" t="n"/>
      <c r="V193" s="23" t="n"/>
      <c r="W193" s="22" t="n"/>
      <c r="X193" s="26">
        <f>IF(W193="","",IF(AND(LEFT(W193,4)&lt;&gt;"http",set_RMSBase=""),"",HYPERLINK(IF(LEFT(W193,4)="http",W193,set_RMSBase&amp;W193),"Open opportunity")))</f>
        <v/>
      </c>
      <c r="Y193" s="22" t="n"/>
      <c r="Z193" s="26">
        <f>IF(Y193="","",HYPERLINK(IF(LEFT(Y193,4)="http",Y193,set_QwilrBase&amp;Y193),"Open quote"))</f>
        <v/>
      </c>
      <c r="AA193" s="26">
        <f>IF(C193="","",C193)</f>
        <v/>
      </c>
      <c r="AB193" s="22" t="n"/>
      <c r="AC193" s="24" t="n"/>
      <c r="AD193" s="27">
        <f>IF(C193="","",L193+N(AC193))</f>
        <v/>
      </c>
      <c r="AE193" s="29">
        <f>IFERROR(AC193/AD193,"")</f>
        <v/>
      </c>
      <c r="AF193" s="24" t="n"/>
      <c r="AG193" s="24" t="n"/>
      <c r="AH193" s="24" t="n"/>
      <c r="AI193" s="24" t="n"/>
      <c r="AJ193" s="27">
        <f>IF(C193="","",SUMIFS(tbl_Finance[Ex GST],tbl_Finance[Job Number],C193&amp;"",tbl_Finance[Cost Centre],"VIDEO"))</f>
        <v/>
      </c>
      <c r="AK193" s="29">
        <f>IFERROR(AJ193/L193,"")</f>
        <v/>
      </c>
      <c r="AL193" s="27">
        <f>IF(C193="","",N(AF193)+N(AG193)+N(AH193)+N(AI193))</f>
        <v/>
      </c>
      <c r="AM193" s="27" t="n"/>
      <c r="AN193" s="29" t="n"/>
      <c r="AO193" s="71" t="n"/>
      <c r="AP193" s="71" t="n"/>
      <c r="AQ193" s="71" t="n"/>
      <c r="AR193" s="71" t="n"/>
      <c r="AS193" s="71" t="n"/>
      <c r="AT193" s="22" t="n"/>
    </row>
    <row r="194" ht="15" customHeight="1">
      <c r="A194" s="70">
        <f>IF(C194="","",IFERROR(IF(SUMPRODUCT(MAX((tbl_Finance[Job Number]&amp;""=C194&amp;"")*(tbl_Finance[Xero Invoice No]&lt;&gt;"")*tbl_Finance[Date]))=0,"",SUMPRODUCT(MAX((tbl_Finance[Job Number]&amp;""=C194&amp;"")*(tbl_Finance[Xero Invoice No]&lt;&gt;"")*tbl_Finance[Date]))),""))</f>
        <v/>
      </c>
      <c r="B194" s="26">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2" t="n"/>
      <c r="D194" s="26">
        <f>IF(C194="","",IF(COUNTIF(lst_Jobs,C194&amp;"")&gt;0,"OK","CHECK"))</f>
        <v/>
      </c>
      <c r="E194" s="26">
        <f>IF(C194="","",IFERROR(INDEX(lst_JobName,MATCH(C194&amp;"",lst_Jobs,0)),""))</f>
        <v/>
      </c>
      <c r="F194" s="22" t="n"/>
      <c r="G194" s="22" t="n"/>
      <c r="H194" s="22" t="n"/>
      <c r="I194" s="22" t="n"/>
      <c r="J194" s="22" t="n"/>
      <c r="K194" s="28">
        <f>IF(C194="","",COUNTIFS(tbl_Finance[Job Number],C194&amp;"",tbl_Finance[Ex GST],"&lt;&gt;"))</f>
        <v/>
      </c>
      <c r="L194" s="27">
        <f>IF(C194="","",SUMIFS(tbl_Finance[Ex GST],tbl_Finance[Job Number],C194&amp;""))</f>
        <v/>
      </c>
      <c r="M194" s="27">
        <f>IF(C194="","",SUMIFS(tbl_Finance[Ex GST],tbl_Finance[Job Number],C194&amp;"",tbl_Finance[Xero Invoice No],"&lt;&gt;"))</f>
        <v/>
      </c>
      <c r="N194" s="27">
        <f>IF(C194="","",L194-M194)</f>
        <v/>
      </c>
      <c r="O194" s="24" t="n"/>
      <c r="P194" s="27">
        <f>IF(C194="","",IF(O194="",0,MAX(0,O194-L194)))</f>
        <v/>
      </c>
      <c r="Q194" s="26">
        <f>IF(C194="","",IF(K194=0,"not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R194" s="27">
        <f>IF(C194="","",SUMIFS(tbl_Finance[Inc GST],tbl_Finance[Job Number],C194&amp;""))</f>
        <v/>
      </c>
      <c r="S194" s="22" t="n"/>
      <c r="T194" s="22" t="n"/>
      <c r="U194" s="22" t="n"/>
      <c r="V194" s="23" t="n"/>
      <c r="W194" s="22" t="n"/>
      <c r="X194" s="26">
        <f>IF(W194="","",IF(AND(LEFT(W194,4)&lt;&gt;"http",set_RMSBase=""),"",HYPERLINK(IF(LEFT(W194,4)="http",W194,set_RMSBase&amp;W194),"Open opportunity")))</f>
        <v/>
      </c>
      <c r="Y194" s="22" t="n"/>
      <c r="Z194" s="26">
        <f>IF(Y194="","",HYPERLINK(IF(LEFT(Y194,4)="http",Y194,set_QwilrBase&amp;Y194),"Open quote"))</f>
        <v/>
      </c>
      <c r="AA194" s="26">
        <f>IF(C194="","",C194)</f>
        <v/>
      </c>
      <c r="AB194" s="22" t="n"/>
      <c r="AC194" s="24" t="n"/>
      <c r="AD194" s="27">
        <f>IF(C194="","",L194+N(AC194))</f>
        <v/>
      </c>
      <c r="AE194" s="29">
        <f>IFERROR(AC194/AD194,"")</f>
        <v/>
      </c>
      <c r="AF194" s="24" t="n"/>
      <c r="AG194" s="24" t="n"/>
      <c r="AH194" s="24" t="n"/>
      <c r="AI194" s="24" t="n"/>
      <c r="AJ194" s="27">
        <f>IF(C194="","",SUMIFS(tbl_Finance[Ex GST],tbl_Finance[Job Number],C194&amp;"",tbl_Finance[Cost Centre],"VIDEO"))</f>
        <v/>
      </c>
      <c r="AK194" s="29">
        <f>IFERROR(AJ194/L194,"")</f>
        <v/>
      </c>
      <c r="AL194" s="27">
        <f>IF(C194="","",N(AF194)+N(AG194)+N(AH194)+N(AI194))</f>
        <v/>
      </c>
      <c r="AM194" s="27" t="n"/>
      <c r="AN194" s="29" t="n"/>
      <c r="AO194" s="71" t="n"/>
      <c r="AP194" s="71" t="n"/>
      <c r="AQ194" s="71" t="n"/>
      <c r="AR194" s="71" t="n"/>
      <c r="AS194" s="71" t="n"/>
      <c r="AT194" s="22" t="n"/>
    </row>
    <row r="195" ht="15" customHeight="1">
      <c r="A195" s="70">
        <f>IF(C195="","",IFERROR(IF(SUMPRODUCT(MAX((tbl_Finance[Job Number]&amp;""=C195&amp;"")*(tbl_Finance[Xero Invoice No]&lt;&gt;"")*tbl_Finance[Date]))=0,"",SUMPRODUCT(MAX((tbl_Finance[Job Number]&amp;""=C195&amp;"")*(tbl_Finance[Xero Invoice No]&lt;&gt;"")*tbl_Finance[Date]))),""))</f>
        <v/>
      </c>
      <c r="B195" s="26">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2" t="n"/>
      <c r="D195" s="26">
        <f>IF(C195="","",IF(COUNTIF(lst_Jobs,C195&amp;"")&gt;0,"OK","CHECK"))</f>
        <v/>
      </c>
      <c r="E195" s="26">
        <f>IF(C195="","",IFERROR(INDEX(lst_JobName,MATCH(C195&amp;"",lst_Jobs,0)),""))</f>
        <v/>
      </c>
      <c r="F195" s="22" t="n"/>
      <c r="G195" s="22" t="n"/>
      <c r="H195" s="22" t="n"/>
      <c r="I195" s="22" t="n"/>
      <c r="J195" s="22" t="n"/>
      <c r="K195" s="28">
        <f>IF(C195="","",COUNTIFS(tbl_Finance[Job Number],C195&amp;"",tbl_Finance[Ex GST],"&lt;&gt;"))</f>
        <v/>
      </c>
      <c r="L195" s="27">
        <f>IF(C195="","",SUMIFS(tbl_Finance[Ex GST],tbl_Finance[Job Number],C195&amp;""))</f>
        <v/>
      </c>
      <c r="M195" s="27">
        <f>IF(C195="","",SUMIFS(tbl_Finance[Ex GST],tbl_Finance[Job Number],C195&amp;"",tbl_Finance[Xero Invoice No],"&lt;&gt;"))</f>
        <v/>
      </c>
      <c r="N195" s="27">
        <f>IF(C195="","",L195-M195)</f>
        <v/>
      </c>
      <c r="O195" s="24" t="n"/>
      <c r="P195" s="27">
        <f>IF(C195="","",IF(O195="",0,MAX(0,O195-L195)))</f>
        <v/>
      </c>
      <c r="Q195" s="26">
        <f>IF(C195="","",IF(K195=0,"not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R195" s="27">
        <f>IF(C195="","",SUMIFS(tbl_Finance[Inc GST],tbl_Finance[Job Number],C195&amp;""))</f>
        <v/>
      </c>
      <c r="S195" s="22" t="n"/>
      <c r="T195" s="22" t="n"/>
      <c r="U195" s="22" t="n"/>
      <c r="V195" s="23" t="n"/>
      <c r="W195" s="22" t="n"/>
      <c r="X195" s="26">
        <f>IF(W195="","",IF(AND(LEFT(W195,4)&lt;&gt;"http",set_RMSBase=""),"",HYPERLINK(IF(LEFT(W195,4)="http",W195,set_RMSBase&amp;W195),"Open opportunity")))</f>
        <v/>
      </c>
      <c r="Y195" s="22" t="n"/>
      <c r="Z195" s="26">
        <f>IF(Y195="","",HYPERLINK(IF(LEFT(Y195,4)="http",Y195,set_QwilrBase&amp;Y195),"Open quote"))</f>
        <v/>
      </c>
      <c r="AA195" s="26">
        <f>IF(C195="","",C195)</f>
        <v/>
      </c>
      <c r="AB195" s="22" t="n"/>
      <c r="AC195" s="24" t="n"/>
      <c r="AD195" s="27">
        <f>IF(C195="","",L195+N(AC195))</f>
        <v/>
      </c>
      <c r="AE195" s="29">
        <f>IFERROR(AC195/AD195,"")</f>
        <v/>
      </c>
      <c r="AF195" s="24" t="n"/>
      <c r="AG195" s="24" t="n"/>
      <c r="AH195" s="24" t="n"/>
      <c r="AI195" s="24" t="n"/>
      <c r="AJ195" s="27">
        <f>IF(C195="","",SUMIFS(tbl_Finance[Ex GST],tbl_Finance[Job Number],C195&amp;"",tbl_Finance[Cost Centre],"VIDEO"))</f>
        <v/>
      </c>
      <c r="AK195" s="29">
        <f>IFERROR(AJ195/L195,"")</f>
        <v/>
      </c>
      <c r="AL195" s="27">
        <f>IF(C195="","",N(AF195)+N(AG195)+N(AH195)+N(AI195))</f>
        <v/>
      </c>
      <c r="AM195" s="27" t="n"/>
      <c r="AN195" s="29" t="n"/>
      <c r="AO195" s="71" t="n"/>
      <c r="AP195" s="71" t="n"/>
      <c r="AQ195" s="71" t="n"/>
      <c r="AR195" s="71" t="n"/>
      <c r="AS195" s="71" t="n"/>
      <c r="AT195" s="22" t="n"/>
    </row>
    <row r="196" ht="15" customHeight="1">
      <c r="A196" s="70">
        <f>IF(C196="","",IFERROR(IF(SUMPRODUCT(MAX((tbl_Finance[Job Number]&amp;""=C196&amp;"")*(tbl_Finance[Xero Invoice No]&lt;&gt;"")*tbl_Finance[Date]))=0,"",SUMPRODUCT(MAX((tbl_Finance[Job Number]&amp;""=C196&amp;"")*(tbl_Finance[Xero Invoice No]&lt;&gt;"")*tbl_Finance[Date]))),""))</f>
        <v/>
      </c>
      <c r="B196" s="26">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2" t="n"/>
      <c r="D196" s="26">
        <f>IF(C196="","",IF(COUNTIF(lst_Jobs,C196&amp;"")&gt;0,"OK","CHECK"))</f>
        <v/>
      </c>
      <c r="E196" s="26">
        <f>IF(C196="","",IFERROR(INDEX(lst_JobName,MATCH(C196&amp;"",lst_Jobs,0)),""))</f>
        <v/>
      </c>
      <c r="F196" s="22" t="n"/>
      <c r="G196" s="22" t="n"/>
      <c r="H196" s="22" t="n"/>
      <c r="I196" s="22" t="n"/>
      <c r="J196" s="22" t="n"/>
      <c r="K196" s="28">
        <f>IF(C196="","",COUNTIFS(tbl_Finance[Job Number],C196&amp;"",tbl_Finance[Ex GST],"&lt;&gt;"))</f>
        <v/>
      </c>
      <c r="L196" s="27">
        <f>IF(C196="","",SUMIFS(tbl_Finance[Ex GST],tbl_Finance[Job Number],C196&amp;""))</f>
        <v/>
      </c>
      <c r="M196" s="27">
        <f>IF(C196="","",SUMIFS(tbl_Finance[Ex GST],tbl_Finance[Job Number],C196&amp;"",tbl_Finance[Xero Invoice No],"&lt;&gt;"))</f>
        <v/>
      </c>
      <c r="N196" s="27">
        <f>IF(C196="","",L196-M196)</f>
        <v/>
      </c>
      <c r="O196" s="24" t="n"/>
      <c r="P196" s="27">
        <f>IF(C196="","",IF(O196="",0,MAX(0,O196-L196)))</f>
        <v/>
      </c>
      <c r="Q196" s="26">
        <f>IF(C196="","",IF(K196=0,"not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R196" s="27">
        <f>IF(C196="","",SUMIFS(tbl_Finance[Inc GST],tbl_Finance[Job Number],C196&amp;""))</f>
        <v/>
      </c>
      <c r="S196" s="22" t="n"/>
      <c r="T196" s="22" t="n"/>
      <c r="U196" s="22" t="n"/>
      <c r="V196" s="23" t="n"/>
      <c r="W196" s="22" t="n"/>
      <c r="X196" s="26">
        <f>IF(W196="","",IF(AND(LEFT(W196,4)&lt;&gt;"http",set_RMSBase=""),"",HYPERLINK(IF(LEFT(W196,4)="http",W196,set_RMSBase&amp;W196),"Open opportunity")))</f>
        <v/>
      </c>
      <c r="Y196" s="22" t="n"/>
      <c r="Z196" s="26">
        <f>IF(Y196="","",HYPERLINK(IF(LEFT(Y196,4)="http",Y196,set_QwilrBase&amp;Y196),"Open quote"))</f>
        <v/>
      </c>
      <c r="AA196" s="26">
        <f>IF(C196="","",C196)</f>
        <v/>
      </c>
      <c r="AB196" s="22" t="n"/>
      <c r="AC196" s="24" t="n"/>
      <c r="AD196" s="27">
        <f>IF(C196="","",L196+N(AC196))</f>
        <v/>
      </c>
      <c r="AE196" s="29">
        <f>IFERROR(AC196/AD196,"")</f>
        <v/>
      </c>
      <c r="AF196" s="24" t="n"/>
      <c r="AG196" s="24" t="n"/>
      <c r="AH196" s="24" t="n"/>
      <c r="AI196" s="24" t="n"/>
      <c r="AJ196" s="27">
        <f>IF(C196="","",SUMIFS(tbl_Finance[Ex GST],tbl_Finance[Job Number],C196&amp;"",tbl_Finance[Cost Centre],"VIDEO"))</f>
        <v/>
      </c>
      <c r="AK196" s="29">
        <f>IFERROR(AJ196/L196,"")</f>
        <v/>
      </c>
      <c r="AL196" s="27">
        <f>IF(C196="","",N(AF196)+N(AG196)+N(AH196)+N(AI196))</f>
        <v/>
      </c>
      <c r="AM196" s="27" t="n"/>
      <c r="AN196" s="29" t="n"/>
      <c r="AO196" s="71" t="n"/>
      <c r="AP196" s="71" t="n"/>
      <c r="AQ196" s="71" t="n"/>
      <c r="AR196" s="71" t="n"/>
      <c r="AS196" s="71" t="n"/>
      <c r="AT196" s="22" t="n"/>
    </row>
    <row r="197" ht="15" customHeight="1">
      <c r="A197" s="70">
        <f>IF(C197="","",IFERROR(IF(SUMPRODUCT(MAX((tbl_Finance[Job Number]&amp;""=C197&amp;"")*(tbl_Finance[Xero Invoice No]&lt;&gt;"")*tbl_Finance[Date]))=0,"",SUMPRODUCT(MAX((tbl_Finance[Job Number]&amp;""=C197&amp;"")*(tbl_Finance[Xero Invoice No]&lt;&gt;"")*tbl_Finance[Date]))),""))</f>
        <v/>
      </c>
      <c r="B197" s="26">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2" t="n"/>
      <c r="D197" s="26">
        <f>IF(C197="","",IF(COUNTIF(lst_Jobs,C197&amp;"")&gt;0,"OK","CHECK"))</f>
        <v/>
      </c>
      <c r="E197" s="26">
        <f>IF(C197="","",IFERROR(INDEX(lst_JobName,MATCH(C197&amp;"",lst_Jobs,0)),""))</f>
        <v/>
      </c>
      <c r="F197" s="22" t="n"/>
      <c r="G197" s="22" t="n"/>
      <c r="H197" s="22" t="n"/>
      <c r="I197" s="22" t="n"/>
      <c r="J197" s="22" t="n"/>
      <c r="K197" s="28">
        <f>IF(C197="","",COUNTIFS(tbl_Finance[Job Number],C197&amp;"",tbl_Finance[Ex GST],"&lt;&gt;"))</f>
        <v/>
      </c>
      <c r="L197" s="27">
        <f>IF(C197="","",SUMIFS(tbl_Finance[Ex GST],tbl_Finance[Job Number],C197&amp;""))</f>
        <v/>
      </c>
      <c r="M197" s="27">
        <f>IF(C197="","",SUMIFS(tbl_Finance[Ex GST],tbl_Finance[Job Number],C197&amp;"",tbl_Finance[Xero Invoice No],"&lt;&gt;"))</f>
        <v/>
      </c>
      <c r="N197" s="27">
        <f>IF(C197="","",L197-M197)</f>
        <v/>
      </c>
      <c r="O197" s="24" t="n"/>
      <c r="P197" s="27">
        <f>IF(C197="","",IF(O197="",0,MAX(0,O197-L197)))</f>
        <v/>
      </c>
      <c r="Q197" s="26">
        <f>IF(C197="","",IF(K197=0,"not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R197" s="27">
        <f>IF(C197="","",SUMIFS(tbl_Finance[Inc GST],tbl_Finance[Job Number],C197&amp;""))</f>
        <v/>
      </c>
      <c r="S197" s="22" t="n"/>
      <c r="T197" s="22" t="n"/>
      <c r="U197" s="22" t="n"/>
      <c r="V197" s="23" t="n"/>
      <c r="W197" s="22" t="n"/>
      <c r="X197" s="26">
        <f>IF(W197="","",IF(AND(LEFT(W197,4)&lt;&gt;"http",set_RMSBase=""),"",HYPERLINK(IF(LEFT(W197,4)="http",W197,set_RMSBase&amp;W197),"Open opportunity")))</f>
        <v/>
      </c>
      <c r="Y197" s="22" t="n"/>
      <c r="Z197" s="26">
        <f>IF(Y197="","",HYPERLINK(IF(LEFT(Y197,4)="http",Y197,set_QwilrBase&amp;Y197),"Open quote"))</f>
        <v/>
      </c>
      <c r="AA197" s="26">
        <f>IF(C197="","",C197)</f>
        <v/>
      </c>
      <c r="AB197" s="22" t="n"/>
      <c r="AC197" s="24" t="n"/>
      <c r="AD197" s="27">
        <f>IF(C197="","",L197+N(AC197))</f>
        <v/>
      </c>
      <c r="AE197" s="29">
        <f>IFERROR(AC197/AD197,"")</f>
        <v/>
      </c>
      <c r="AF197" s="24" t="n"/>
      <c r="AG197" s="24" t="n"/>
      <c r="AH197" s="24" t="n"/>
      <c r="AI197" s="24" t="n"/>
      <c r="AJ197" s="27">
        <f>IF(C197="","",SUMIFS(tbl_Finance[Ex GST],tbl_Finance[Job Number],C197&amp;"",tbl_Finance[Cost Centre],"VIDEO"))</f>
        <v/>
      </c>
      <c r="AK197" s="29">
        <f>IFERROR(AJ197/L197,"")</f>
        <v/>
      </c>
      <c r="AL197" s="27">
        <f>IF(C197="","",N(AF197)+N(AG197)+N(AH197)+N(AI197))</f>
        <v/>
      </c>
      <c r="AM197" s="27" t="n"/>
      <c r="AN197" s="29" t="n"/>
      <c r="AO197" s="71" t="n"/>
      <c r="AP197" s="71" t="n"/>
      <c r="AQ197" s="71" t="n"/>
      <c r="AR197" s="71" t="n"/>
      <c r="AS197" s="71" t="n"/>
      <c r="AT197" s="22" t="n"/>
    </row>
    <row r="198" ht="15" customHeight="1">
      <c r="A198" s="70">
        <f>IF(C198="","",IFERROR(IF(SUMPRODUCT(MAX((tbl_Finance[Job Number]&amp;""=C198&amp;"")*(tbl_Finance[Xero Invoice No]&lt;&gt;"")*tbl_Finance[Date]))=0,"",SUMPRODUCT(MAX((tbl_Finance[Job Number]&amp;""=C198&amp;"")*(tbl_Finance[Xero Invoice No]&lt;&gt;"")*tbl_Finance[Date]))),""))</f>
        <v/>
      </c>
      <c r="B198" s="26">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2" t="n"/>
      <c r="D198" s="26">
        <f>IF(C198="","",IF(COUNTIF(lst_Jobs,C198&amp;"")&gt;0,"OK","CHECK"))</f>
        <v/>
      </c>
      <c r="E198" s="26">
        <f>IF(C198="","",IFERROR(INDEX(lst_JobName,MATCH(C198&amp;"",lst_Jobs,0)),""))</f>
        <v/>
      </c>
      <c r="F198" s="22" t="n"/>
      <c r="G198" s="22" t="n"/>
      <c r="H198" s="22" t="n"/>
      <c r="I198" s="22" t="n"/>
      <c r="J198" s="22" t="n"/>
      <c r="K198" s="28">
        <f>IF(C198="","",COUNTIFS(tbl_Finance[Job Number],C198&amp;"",tbl_Finance[Ex GST],"&lt;&gt;"))</f>
        <v/>
      </c>
      <c r="L198" s="27">
        <f>IF(C198="","",SUMIFS(tbl_Finance[Ex GST],tbl_Finance[Job Number],C198&amp;""))</f>
        <v/>
      </c>
      <c r="M198" s="27">
        <f>IF(C198="","",SUMIFS(tbl_Finance[Ex GST],tbl_Finance[Job Number],C198&amp;"",tbl_Finance[Xero Invoice No],"&lt;&gt;"))</f>
        <v/>
      </c>
      <c r="N198" s="27">
        <f>IF(C198="","",L198-M198)</f>
        <v/>
      </c>
      <c r="O198" s="24" t="n"/>
      <c r="P198" s="27">
        <f>IF(C198="","",IF(O198="",0,MAX(0,O198-L198)))</f>
        <v/>
      </c>
      <c r="Q198" s="26">
        <f>IF(C198="","",IF(K198=0,"not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R198" s="27">
        <f>IF(C198="","",SUMIFS(tbl_Finance[Inc GST],tbl_Finance[Job Number],C198&amp;""))</f>
        <v/>
      </c>
      <c r="S198" s="22" t="n"/>
      <c r="T198" s="22" t="n"/>
      <c r="U198" s="22" t="n"/>
      <c r="V198" s="23" t="n"/>
      <c r="W198" s="22" t="n"/>
      <c r="X198" s="26">
        <f>IF(W198="","",IF(AND(LEFT(W198,4)&lt;&gt;"http",set_RMSBase=""),"",HYPERLINK(IF(LEFT(W198,4)="http",W198,set_RMSBase&amp;W198),"Open opportunity")))</f>
        <v/>
      </c>
      <c r="Y198" s="22" t="n"/>
      <c r="Z198" s="26">
        <f>IF(Y198="","",HYPERLINK(IF(LEFT(Y198,4)="http",Y198,set_QwilrBase&amp;Y198),"Open quote"))</f>
        <v/>
      </c>
      <c r="AA198" s="26">
        <f>IF(C198="","",C198)</f>
        <v/>
      </c>
      <c r="AB198" s="22" t="n"/>
      <c r="AC198" s="24" t="n"/>
      <c r="AD198" s="27">
        <f>IF(C198="","",L198+N(AC198))</f>
        <v/>
      </c>
      <c r="AE198" s="29">
        <f>IFERROR(AC198/AD198,"")</f>
        <v/>
      </c>
      <c r="AF198" s="24" t="n"/>
      <c r="AG198" s="24" t="n"/>
      <c r="AH198" s="24" t="n"/>
      <c r="AI198" s="24" t="n"/>
      <c r="AJ198" s="27">
        <f>IF(C198="","",SUMIFS(tbl_Finance[Ex GST],tbl_Finance[Job Number],C198&amp;"",tbl_Finance[Cost Centre],"VIDEO"))</f>
        <v/>
      </c>
      <c r="AK198" s="29">
        <f>IFERROR(AJ198/L198,"")</f>
        <v/>
      </c>
      <c r="AL198" s="27">
        <f>IF(C198="","",N(AF198)+N(AG198)+N(AH198)+N(AI198))</f>
        <v/>
      </c>
      <c r="AM198" s="27" t="n"/>
      <c r="AN198" s="29" t="n"/>
      <c r="AO198" s="71" t="n"/>
      <c r="AP198" s="71" t="n"/>
      <c r="AQ198" s="71" t="n"/>
      <c r="AR198" s="71" t="n"/>
      <c r="AS198" s="71" t="n"/>
      <c r="AT198" s="22" t="n"/>
    </row>
    <row r="199" ht="15" customHeight="1">
      <c r="A199" s="70">
        <f>IF(C199="","",IFERROR(IF(SUMPRODUCT(MAX((tbl_Finance[Job Number]&amp;""=C199&amp;"")*(tbl_Finance[Xero Invoice No]&lt;&gt;"")*tbl_Finance[Date]))=0,"",SUMPRODUCT(MAX((tbl_Finance[Job Number]&amp;""=C199&amp;"")*(tbl_Finance[Xero Invoice No]&lt;&gt;"")*tbl_Finance[Date]))),""))</f>
        <v/>
      </c>
      <c r="B199" s="26">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2" t="n"/>
      <c r="D199" s="26">
        <f>IF(C199="","",IF(COUNTIF(lst_Jobs,C199&amp;"")&gt;0,"OK","CHECK"))</f>
        <v/>
      </c>
      <c r="E199" s="26">
        <f>IF(C199="","",IFERROR(INDEX(lst_JobName,MATCH(C199&amp;"",lst_Jobs,0)),""))</f>
        <v/>
      </c>
      <c r="F199" s="22" t="n"/>
      <c r="G199" s="22" t="n"/>
      <c r="H199" s="22" t="n"/>
      <c r="I199" s="22" t="n"/>
      <c r="J199" s="22" t="n"/>
      <c r="K199" s="28">
        <f>IF(C199="","",COUNTIFS(tbl_Finance[Job Number],C199&amp;"",tbl_Finance[Ex GST],"&lt;&gt;"))</f>
        <v/>
      </c>
      <c r="L199" s="27">
        <f>IF(C199="","",SUMIFS(tbl_Finance[Ex GST],tbl_Finance[Job Number],C199&amp;""))</f>
        <v/>
      </c>
      <c r="M199" s="27">
        <f>IF(C199="","",SUMIFS(tbl_Finance[Ex GST],tbl_Finance[Job Number],C199&amp;"",tbl_Finance[Xero Invoice No],"&lt;&gt;"))</f>
        <v/>
      </c>
      <c r="N199" s="27">
        <f>IF(C199="","",L199-M199)</f>
        <v/>
      </c>
      <c r="O199" s="24" t="n"/>
      <c r="P199" s="27">
        <f>IF(C199="","",IF(O199="",0,MAX(0,O199-L199)))</f>
        <v/>
      </c>
      <c r="Q199" s="26">
        <f>IF(C199="","",IF(K199=0,"not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R199" s="27">
        <f>IF(C199="","",SUMIFS(tbl_Finance[Inc GST],tbl_Finance[Job Number],C199&amp;""))</f>
        <v/>
      </c>
      <c r="S199" s="22" t="n"/>
      <c r="T199" s="22" t="n"/>
      <c r="U199" s="22" t="n"/>
      <c r="V199" s="23" t="n"/>
      <c r="W199" s="22" t="n"/>
      <c r="X199" s="26">
        <f>IF(W199="","",IF(AND(LEFT(W199,4)&lt;&gt;"http",set_RMSBase=""),"",HYPERLINK(IF(LEFT(W199,4)="http",W199,set_RMSBase&amp;W199),"Open opportunity")))</f>
        <v/>
      </c>
      <c r="Y199" s="22" t="n"/>
      <c r="Z199" s="26">
        <f>IF(Y199="","",HYPERLINK(IF(LEFT(Y199,4)="http",Y199,set_QwilrBase&amp;Y199),"Open quote"))</f>
        <v/>
      </c>
      <c r="AA199" s="26">
        <f>IF(C199="","",C199)</f>
        <v/>
      </c>
      <c r="AB199" s="22" t="n"/>
      <c r="AC199" s="24" t="n"/>
      <c r="AD199" s="27">
        <f>IF(C199="","",L199+N(AC199))</f>
        <v/>
      </c>
      <c r="AE199" s="29">
        <f>IFERROR(AC199/AD199,"")</f>
        <v/>
      </c>
      <c r="AF199" s="24" t="n"/>
      <c r="AG199" s="24" t="n"/>
      <c r="AH199" s="24" t="n"/>
      <c r="AI199" s="24" t="n"/>
      <c r="AJ199" s="27">
        <f>IF(C199="","",SUMIFS(tbl_Finance[Ex GST],tbl_Finance[Job Number],C199&amp;"",tbl_Finance[Cost Centre],"VIDEO"))</f>
        <v/>
      </c>
      <c r="AK199" s="29">
        <f>IFERROR(AJ199/L199,"")</f>
        <v/>
      </c>
      <c r="AL199" s="27">
        <f>IF(C199="","",N(AF199)+N(AG199)+N(AH199)+N(AI199))</f>
        <v/>
      </c>
      <c r="AM199" s="27" t="n"/>
      <c r="AN199" s="29" t="n"/>
      <c r="AO199" s="71" t="n"/>
      <c r="AP199" s="71" t="n"/>
      <c r="AQ199" s="71" t="n"/>
      <c r="AR199" s="71" t="n"/>
      <c r="AS199" s="71" t="n"/>
      <c r="AT199" s="22" t="n"/>
    </row>
    <row r="200" ht="15" customHeight="1">
      <c r="A200" s="70">
        <f>IF(C200="","",IFERROR(IF(SUMPRODUCT(MAX((tbl_Finance[Job Number]&amp;""=C200&amp;"")*(tbl_Finance[Xero Invoice No]&lt;&gt;"")*tbl_Finance[Date]))=0,"",SUMPRODUCT(MAX((tbl_Finance[Job Number]&amp;""=C200&amp;"")*(tbl_Finance[Xero Invoice No]&lt;&gt;"")*tbl_Finance[Date]))),""))</f>
        <v/>
      </c>
      <c r="B200" s="26">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2" t="n"/>
      <c r="D200" s="26">
        <f>IF(C200="","",IF(COUNTIF(lst_Jobs,C200&amp;"")&gt;0,"OK","CHECK"))</f>
        <v/>
      </c>
      <c r="E200" s="26">
        <f>IF(C200="","",IFERROR(INDEX(lst_JobName,MATCH(C200&amp;"",lst_Jobs,0)),""))</f>
        <v/>
      </c>
      <c r="F200" s="22" t="n"/>
      <c r="G200" s="22" t="n"/>
      <c r="H200" s="22" t="n"/>
      <c r="I200" s="22" t="n"/>
      <c r="J200" s="22" t="n"/>
      <c r="K200" s="28">
        <f>IF(C200="","",COUNTIFS(tbl_Finance[Job Number],C200&amp;"",tbl_Finance[Ex GST],"&lt;&gt;"))</f>
        <v/>
      </c>
      <c r="L200" s="27">
        <f>IF(C200="","",SUMIFS(tbl_Finance[Ex GST],tbl_Finance[Job Number],C200&amp;""))</f>
        <v/>
      </c>
      <c r="M200" s="27">
        <f>IF(C200="","",SUMIFS(tbl_Finance[Ex GST],tbl_Finance[Job Number],C200&amp;"",tbl_Finance[Xero Invoice No],"&lt;&gt;"))</f>
        <v/>
      </c>
      <c r="N200" s="27">
        <f>IF(C200="","",L200-M200)</f>
        <v/>
      </c>
      <c r="O200" s="24" t="n"/>
      <c r="P200" s="27">
        <f>IF(C200="","",IF(O200="",0,MAX(0,O200-L200)))</f>
        <v/>
      </c>
      <c r="Q200" s="26">
        <f>IF(C200="","",IF(K200=0,"not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R200" s="27">
        <f>IF(C200="","",SUMIFS(tbl_Finance[Inc GST],tbl_Finance[Job Number],C200&amp;""))</f>
        <v/>
      </c>
      <c r="S200" s="22" t="n"/>
      <c r="T200" s="22" t="n"/>
      <c r="U200" s="22" t="n"/>
      <c r="V200" s="23" t="n"/>
      <c r="W200" s="22" t="n"/>
      <c r="X200" s="26">
        <f>IF(W200="","",IF(AND(LEFT(W200,4)&lt;&gt;"http",set_RMSBase=""),"",HYPERLINK(IF(LEFT(W200,4)="http",W200,set_RMSBase&amp;W200),"Open opportunity")))</f>
        <v/>
      </c>
      <c r="Y200" s="22" t="n"/>
      <c r="Z200" s="26">
        <f>IF(Y200="","",HYPERLINK(IF(LEFT(Y200,4)="http",Y200,set_QwilrBase&amp;Y200),"Open quote"))</f>
        <v/>
      </c>
      <c r="AA200" s="26">
        <f>IF(C200="","",C200)</f>
        <v/>
      </c>
      <c r="AB200" s="22" t="n"/>
      <c r="AC200" s="24" t="n"/>
      <c r="AD200" s="27">
        <f>IF(C200="","",L200+N(AC200))</f>
        <v/>
      </c>
      <c r="AE200" s="29">
        <f>IFERROR(AC200/AD200,"")</f>
        <v/>
      </c>
      <c r="AF200" s="24" t="n"/>
      <c r="AG200" s="24" t="n"/>
      <c r="AH200" s="24" t="n"/>
      <c r="AI200" s="24" t="n"/>
      <c r="AJ200" s="27">
        <f>IF(C200="","",SUMIFS(tbl_Finance[Ex GST],tbl_Finance[Job Number],C200&amp;"",tbl_Finance[Cost Centre],"VIDEO"))</f>
        <v/>
      </c>
      <c r="AK200" s="29">
        <f>IFERROR(AJ200/L200,"")</f>
        <v/>
      </c>
      <c r="AL200" s="27">
        <f>IF(C200="","",N(AF200)+N(AG200)+N(AH200)+N(AI200))</f>
        <v/>
      </c>
      <c r="AM200" s="27" t="n"/>
      <c r="AN200" s="29" t="n"/>
      <c r="AO200" s="71" t="n"/>
      <c r="AP200" s="71" t="n"/>
      <c r="AQ200" s="71" t="n"/>
      <c r="AR200" s="71" t="n"/>
      <c r="AS200" s="71" t="n"/>
      <c r="AT200" s="22" t="n"/>
    </row>
    <row r="201" ht="15" customHeight="1">
      <c r="A201" s="70">
        <f>IF(C201="","",IFERROR(IF(SUMPRODUCT(MAX((tbl_Finance[Job Number]&amp;""=C201&amp;"")*(tbl_Finance[Xero Invoice No]&lt;&gt;"")*tbl_Finance[Date]))=0,"",SUMPRODUCT(MAX((tbl_Finance[Job Number]&amp;""=C201&amp;"")*(tbl_Finance[Xero Invoice No]&lt;&gt;"")*tbl_Finance[Date]))),""))</f>
        <v/>
      </c>
      <c r="B201" s="26">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2" t="n"/>
      <c r="D201" s="26">
        <f>IF(C201="","",IF(COUNTIF(lst_Jobs,C201&amp;"")&gt;0,"OK","CHECK"))</f>
        <v/>
      </c>
      <c r="E201" s="26">
        <f>IF(C201="","",IFERROR(INDEX(lst_JobName,MATCH(C201&amp;"",lst_Jobs,0)),""))</f>
        <v/>
      </c>
      <c r="F201" s="22" t="n"/>
      <c r="G201" s="22" t="n"/>
      <c r="H201" s="22" t="n"/>
      <c r="I201" s="22" t="n"/>
      <c r="J201" s="22" t="n"/>
      <c r="K201" s="28">
        <f>IF(C201="","",COUNTIFS(tbl_Finance[Job Number],C201&amp;"",tbl_Finance[Ex GST],"&lt;&gt;"))</f>
        <v/>
      </c>
      <c r="L201" s="27">
        <f>IF(C201="","",SUMIFS(tbl_Finance[Ex GST],tbl_Finance[Job Number],C201&amp;""))</f>
        <v/>
      </c>
      <c r="M201" s="27">
        <f>IF(C201="","",SUMIFS(tbl_Finance[Ex GST],tbl_Finance[Job Number],C201&amp;"",tbl_Finance[Xero Invoice No],"&lt;&gt;"))</f>
        <v/>
      </c>
      <c r="N201" s="27">
        <f>IF(C201="","",L201-M201)</f>
        <v/>
      </c>
      <c r="O201" s="24" t="n"/>
      <c r="P201" s="27">
        <f>IF(C201="","",IF(O201="",0,MAX(0,O201-L201)))</f>
        <v/>
      </c>
      <c r="Q201" s="26">
        <f>IF(C201="","",IF(K201=0,"not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R201" s="27">
        <f>IF(C201="","",SUMIFS(tbl_Finance[Inc GST],tbl_Finance[Job Number],C201&amp;""))</f>
        <v/>
      </c>
      <c r="S201" s="22" t="n"/>
      <c r="T201" s="22" t="n"/>
      <c r="U201" s="22" t="n"/>
      <c r="V201" s="23" t="n"/>
      <c r="W201" s="22" t="n"/>
      <c r="X201" s="26">
        <f>IF(W201="","",IF(AND(LEFT(W201,4)&lt;&gt;"http",set_RMSBase=""),"",HYPERLINK(IF(LEFT(W201,4)="http",W201,set_RMSBase&amp;W201),"Open opportunity")))</f>
        <v/>
      </c>
      <c r="Y201" s="22" t="n"/>
      <c r="Z201" s="26">
        <f>IF(Y201="","",HYPERLINK(IF(LEFT(Y201,4)="http",Y201,set_QwilrBase&amp;Y201),"Open quote"))</f>
        <v/>
      </c>
      <c r="AA201" s="26">
        <f>IF(C201="","",C201)</f>
        <v/>
      </c>
      <c r="AB201" s="22" t="n"/>
      <c r="AC201" s="24" t="n"/>
      <c r="AD201" s="27">
        <f>IF(C201="","",L201+N(AC201))</f>
        <v/>
      </c>
      <c r="AE201" s="29">
        <f>IFERROR(AC201/AD201,"")</f>
        <v/>
      </c>
      <c r="AF201" s="24" t="n"/>
      <c r="AG201" s="24" t="n"/>
      <c r="AH201" s="24" t="n"/>
      <c r="AI201" s="24" t="n"/>
      <c r="AJ201" s="27">
        <f>IF(C201="","",SUMIFS(tbl_Finance[Ex GST],tbl_Finance[Job Number],C201&amp;"",tbl_Finance[Cost Centre],"VIDEO"))</f>
        <v/>
      </c>
      <c r="AK201" s="29">
        <f>IFERROR(AJ201/L201,"")</f>
        <v/>
      </c>
      <c r="AL201" s="27">
        <f>IF(C201="","",N(AF201)+N(AG201)+N(AH201)+N(AI201))</f>
        <v/>
      </c>
      <c r="AM201" s="27" t="n"/>
      <c r="AN201" s="29" t="n"/>
      <c r="AO201" s="71" t="n"/>
      <c r="AP201" s="71" t="n"/>
      <c r="AQ201" s="71" t="n"/>
      <c r="AR201" s="71" t="n"/>
      <c r="AS201" s="71" t="n"/>
      <c r="AT201" s="22" t="n"/>
    </row>
    <row r="202" ht="15" customHeight="1">
      <c r="A202" s="70">
        <f>IF(C202="","",IFERROR(IF(SUMPRODUCT(MAX((tbl_Finance[Job Number]&amp;""=C202&amp;"")*(tbl_Finance[Xero Invoice No]&lt;&gt;"")*tbl_Finance[Date]))=0,"",SUMPRODUCT(MAX((tbl_Finance[Job Number]&amp;""=C202&amp;"")*(tbl_Finance[Xero Invoice No]&lt;&gt;"")*tbl_Finance[Date]))),""))</f>
        <v/>
      </c>
      <c r="B202" s="26">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2" t="n"/>
      <c r="D202" s="26">
        <f>IF(C202="","",IF(COUNTIF(lst_Jobs,C202&amp;"")&gt;0,"OK","CHECK"))</f>
        <v/>
      </c>
      <c r="E202" s="26">
        <f>IF(C202="","",IFERROR(INDEX(lst_JobName,MATCH(C202&amp;"",lst_Jobs,0)),""))</f>
        <v/>
      </c>
      <c r="F202" s="22" t="n"/>
      <c r="G202" s="22" t="n"/>
      <c r="H202" s="22" t="n"/>
      <c r="I202" s="22" t="n"/>
      <c r="J202" s="22" t="n"/>
      <c r="K202" s="28">
        <f>IF(C202="","",COUNTIFS(tbl_Finance[Job Number],C202&amp;"",tbl_Finance[Ex GST],"&lt;&gt;"))</f>
        <v/>
      </c>
      <c r="L202" s="27">
        <f>IF(C202="","",SUMIFS(tbl_Finance[Ex GST],tbl_Finance[Job Number],C202&amp;""))</f>
        <v/>
      </c>
      <c r="M202" s="27">
        <f>IF(C202="","",SUMIFS(tbl_Finance[Ex GST],tbl_Finance[Job Number],C202&amp;"",tbl_Finance[Xero Invoice No],"&lt;&gt;"))</f>
        <v/>
      </c>
      <c r="N202" s="27">
        <f>IF(C202="","",L202-M202)</f>
        <v/>
      </c>
      <c r="O202" s="24" t="n"/>
      <c r="P202" s="27">
        <f>IF(C202="","",IF(O202="",0,MAX(0,O202-L202)))</f>
        <v/>
      </c>
      <c r="Q202" s="26">
        <f>IF(C202="","",IF(K202=0,"not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R202" s="27">
        <f>IF(C202="","",SUMIFS(tbl_Finance[Inc GST],tbl_Finance[Job Number],C202&amp;""))</f>
        <v/>
      </c>
      <c r="S202" s="22" t="n"/>
      <c r="T202" s="22" t="n"/>
      <c r="U202" s="22" t="n"/>
      <c r="V202" s="23" t="n"/>
      <c r="W202" s="22" t="n"/>
      <c r="X202" s="26">
        <f>IF(W202="","",IF(AND(LEFT(W202,4)&lt;&gt;"http",set_RMSBase=""),"",HYPERLINK(IF(LEFT(W202,4)="http",W202,set_RMSBase&amp;W202),"Open opportunity")))</f>
        <v/>
      </c>
      <c r="Y202" s="22" t="n"/>
      <c r="Z202" s="26">
        <f>IF(Y202="","",HYPERLINK(IF(LEFT(Y202,4)="http",Y202,set_QwilrBase&amp;Y202),"Open quote"))</f>
        <v/>
      </c>
      <c r="AA202" s="26">
        <f>IF(C202="","",C202)</f>
        <v/>
      </c>
      <c r="AB202" s="22" t="n"/>
      <c r="AC202" s="24" t="n"/>
      <c r="AD202" s="27">
        <f>IF(C202="","",L202+N(AC202))</f>
        <v/>
      </c>
      <c r="AE202" s="29">
        <f>IFERROR(AC202/AD202,"")</f>
        <v/>
      </c>
      <c r="AF202" s="24" t="n"/>
      <c r="AG202" s="24" t="n"/>
      <c r="AH202" s="24" t="n"/>
      <c r="AI202" s="24" t="n"/>
      <c r="AJ202" s="27">
        <f>IF(C202="","",SUMIFS(tbl_Finance[Ex GST],tbl_Finance[Job Number],C202&amp;"",tbl_Finance[Cost Centre],"VIDEO"))</f>
        <v/>
      </c>
      <c r="AK202" s="29">
        <f>IFERROR(AJ202/L202,"")</f>
        <v/>
      </c>
      <c r="AL202" s="27">
        <f>IF(C202="","",N(AF202)+N(AG202)+N(AH202)+N(AI202))</f>
        <v/>
      </c>
      <c r="AM202" s="27" t="n"/>
      <c r="AN202" s="29" t="n"/>
      <c r="AO202" s="71" t="n"/>
      <c r="AP202" s="71" t="n"/>
      <c r="AQ202" s="71" t="n"/>
      <c r="AR202" s="71" t="n"/>
      <c r="AS202" s="71" t="n"/>
      <c r="AT202" s="22" t="n"/>
    </row>
    <row r="203" ht="15" customHeight="1">
      <c r="A203" s="70">
        <f>IF(C203="","",IFERROR(IF(SUMPRODUCT(MAX((tbl_Finance[Job Number]&amp;""=C203&amp;"")*(tbl_Finance[Xero Invoice No]&lt;&gt;"")*tbl_Finance[Date]))=0,"",SUMPRODUCT(MAX((tbl_Finance[Job Number]&amp;""=C203&amp;"")*(tbl_Finance[Xero Invoice No]&lt;&gt;"")*tbl_Finance[Date]))),""))</f>
        <v/>
      </c>
      <c r="B203" s="26">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2" t="n"/>
      <c r="D203" s="26">
        <f>IF(C203="","",IF(COUNTIF(lst_Jobs,C203&amp;"")&gt;0,"OK","CHECK"))</f>
        <v/>
      </c>
      <c r="E203" s="26">
        <f>IF(C203="","",IFERROR(INDEX(lst_JobName,MATCH(C203&amp;"",lst_Jobs,0)),""))</f>
        <v/>
      </c>
      <c r="F203" s="22" t="n"/>
      <c r="G203" s="22" t="n"/>
      <c r="H203" s="22" t="n"/>
      <c r="I203" s="22" t="n"/>
      <c r="J203" s="22" t="n"/>
      <c r="K203" s="28">
        <f>IF(C203="","",COUNTIFS(tbl_Finance[Job Number],C203&amp;"",tbl_Finance[Ex GST],"&lt;&gt;"))</f>
        <v/>
      </c>
      <c r="L203" s="27">
        <f>IF(C203="","",SUMIFS(tbl_Finance[Ex GST],tbl_Finance[Job Number],C203&amp;""))</f>
        <v/>
      </c>
      <c r="M203" s="27">
        <f>IF(C203="","",SUMIFS(tbl_Finance[Ex GST],tbl_Finance[Job Number],C203&amp;"",tbl_Finance[Xero Invoice No],"&lt;&gt;"))</f>
        <v/>
      </c>
      <c r="N203" s="27">
        <f>IF(C203="","",L203-M203)</f>
        <v/>
      </c>
      <c r="O203" s="24" t="n"/>
      <c r="P203" s="27">
        <f>IF(C203="","",IF(O203="",0,MAX(0,O203-L203)))</f>
        <v/>
      </c>
      <c r="Q203" s="26">
        <f>IF(C203="","",IF(K203=0,"not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R203" s="27">
        <f>IF(C203="","",SUMIFS(tbl_Finance[Inc GST],tbl_Finance[Job Number],C203&amp;""))</f>
        <v/>
      </c>
      <c r="S203" s="22" t="n"/>
      <c r="T203" s="22" t="n"/>
      <c r="U203" s="22" t="n"/>
      <c r="V203" s="23" t="n"/>
      <c r="W203" s="22" t="n"/>
      <c r="X203" s="26">
        <f>IF(W203="","",IF(AND(LEFT(W203,4)&lt;&gt;"http",set_RMSBase=""),"",HYPERLINK(IF(LEFT(W203,4)="http",W203,set_RMSBase&amp;W203),"Open opportunity")))</f>
        <v/>
      </c>
      <c r="Y203" s="22" t="n"/>
      <c r="Z203" s="26">
        <f>IF(Y203="","",HYPERLINK(IF(LEFT(Y203,4)="http",Y203,set_QwilrBase&amp;Y203),"Open quote"))</f>
        <v/>
      </c>
      <c r="AA203" s="26">
        <f>IF(C203="","",C203)</f>
        <v/>
      </c>
      <c r="AB203" s="22" t="n"/>
      <c r="AC203" s="24" t="n"/>
      <c r="AD203" s="27">
        <f>IF(C203="","",L203+N(AC203))</f>
        <v/>
      </c>
      <c r="AE203" s="29">
        <f>IFERROR(AC203/AD203,"")</f>
        <v/>
      </c>
      <c r="AF203" s="24" t="n"/>
      <c r="AG203" s="24" t="n"/>
      <c r="AH203" s="24" t="n"/>
      <c r="AI203" s="24" t="n"/>
      <c r="AJ203" s="27">
        <f>IF(C203="","",SUMIFS(tbl_Finance[Ex GST],tbl_Finance[Job Number],C203&amp;"",tbl_Finance[Cost Centre],"VIDEO"))</f>
        <v/>
      </c>
      <c r="AK203" s="29">
        <f>IFERROR(AJ203/L203,"")</f>
        <v/>
      </c>
      <c r="AL203" s="27">
        <f>IF(C203="","",N(AF203)+N(AG203)+N(AH203)+N(AI203))</f>
        <v/>
      </c>
      <c r="AM203" s="27" t="n"/>
      <c r="AN203" s="29" t="n"/>
      <c r="AO203" s="71" t="n"/>
      <c r="AP203" s="71" t="n"/>
      <c r="AQ203" s="71" t="n"/>
      <c r="AR203" s="71" t="n"/>
      <c r="AS203" s="71" t="n"/>
      <c r="AT203" s="22" t="n"/>
    </row>
    <row r="204" ht="15" customHeight="1">
      <c r="A204" s="70">
        <f>IF(C204="","",IFERROR(IF(SUMPRODUCT(MAX((tbl_Finance[Job Number]&amp;""=C204&amp;"")*(tbl_Finance[Xero Invoice No]&lt;&gt;"")*tbl_Finance[Date]))=0,"",SUMPRODUCT(MAX((tbl_Finance[Job Number]&amp;""=C204&amp;"")*(tbl_Finance[Xero Invoice No]&lt;&gt;"")*tbl_Finance[Date]))),""))</f>
        <v/>
      </c>
      <c r="B204" s="26">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2" t="n"/>
      <c r="D204" s="26">
        <f>IF(C204="","",IF(COUNTIF(lst_Jobs,C204&amp;"")&gt;0,"OK","CHECK"))</f>
        <v/>
      </c>
      <c r="E204" s="26">
        <f>IF(C204="","",IFERROR(INDEX(lst_JobName,MATCH(C204&amp;"",lst_Jobs,0)),""))</f>
        <v/>
      </c>
      <c r="F204" s="22" t="n"/>
      <c r="G204" s="22" t="n"/>
      <c r="H204" s="22" t="n"/>
      <c r="I204" s="22" t="n"/>
      <c r="J204" s="22" t="n"/>
      <c r="K204" s="28">
        <f>IF(C204="","",COUNTIFS(tbl_Finance[Job Number],C204&amp;"",tbl_Finance[Ex GST],"&lt;&gt;"))</f>
        <v/>
      </c>
      <c r="L204" s="27">
        <f>IF(C204="","",SUMIFS(tbl_Finance[Ex GST],tbl_Finance[Job Number],C204&amp;""))</f>
        <v/>
      </c>
      <c r="M204" s="27">
        <f>IF(C204="","",SUMIFS(tbl_Finance[Ex GST],tbl_Finance[Job Number],C204&amp;"",tbl_Finance[Xero Invoice No],"&lt;&gt;"))</f>
        <v/>
      </c>
      <c r="N204" s="27">
        <f>IF(C204="","",L204-M204)</f>
        <v/>
      </c>
      <c r="O204" s="24" t="n"/>
      <c r="P204" s="27">
        <f>IF(C204="","",IF(O204="",0,MAX(0,O204-L204)))</f>
        <v/>
      </c>
      <c r="Q204" s="26">
        <f>IF(C204="","",IF(K204=0,"not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R204" s="27">
        <f>IF(C204="","",SUMIFS(tbl_Finance[Inc GST],tbl_Finance[Job Number],C204&amp;""))</f>
        <v/>
      </c>
      <c r="S204" s="22" t="n"/>
      <c r="T204" s="22" t="n"/>
      <c r="U204" s="22" t="n"/>
      <c r="V204" s="23" t="n"/>
      <c r="W204" s="22" t="n"/>
      <c r="X204" s="26">
        <f>IF(W204="","",IF(AND(LEFT(W204,4)&lt;&gt;"http",set_RMSBase=""),"",HYPERLINK(IF(LEFT(W204,4)="http",W204,set_RMSBase&amp;W204),"Open opportunity")))</f>
        <v/>
      </c>
      <c r="Y204" s="22" t="n"/>
      <c r="Z204" s="26">
        <f>IF(Y204="","",HYPERLINK(IF(LEFT(Y204,4)="http",Y204,set_QwilrBase&amp;Y204),"Open quote"))</f>
        <v/>
      </c>
      <c r="AA204" s="26">
        <f>IF(C204="","",C204)</f>
        <v/>
      </c>
      <c r="AB204" s="22" t="n"/>
      <c r="AC204" s="24" t="n"/>
      <c r="AD204" s="27">
        <f>IF(C204="","",L204+N(AC204))</f>
        <v/>
      </c>
      <c r="AE204" s="29">
        <f>IFERROR(AC204/AD204,"")</f>
        <v/>
      </c>
      <c r="AF204" s="24" t="n"/>
      <c r="AG204" s="24" t="n"/>
      <c r="AH204" s="24" t="n"/>
      <c r="AI204" s="24" t="n"/>
      <c r="AJ204" s="27">
        <f>IF(C204="","",SUMIFS(tbl_Finance[Ex GST],tbl_Finance[Job Number],C204&amp;"",tbl_Finance[Cost Centre],"VIDEO"))</f>
        <v/>
      </c>
      <c r="AK204" s="29">
        <f>IFERROR(AJ204/L204,"")</f>
        <v/>
      </c>
      <c r="AL204" s="27">
        <f>IF(C204="","",N(AF204)+N(AG204)+N(AH204)+N(AI204))</f>
        <v/>
      </c>
      <c r="AM204" s="27" t="n"/>
      <c r="AN204" s="29" t="n"/>
      <c r="AO204" s="71" t="n"/>
      <c r="AP204" s="71" t="n"/>
      <c r="AQ204" s="71" t="n"/>
      <c r="AR204" s="71" t="n"/>
      <c r="AS204" s="71" t="n"/>
      <c r="AT204" s="22" t="n"/>
    </row>
    <row r="205" ht="15" customHeight="1">
      <c r="A205" s="70">
        <f>IF(C205="","",IFERROR(IF(SUMPRODUCT(MAX((tbl_Finance[Job Number]&amp;""=C205&amp;"")*(tbl_Finance[Xero Invoice No]&lt;&gt;"")*tbl_Finance[Date]))=0,"",SUMPRODUCT(MAX((tbl_Finance[Job Number]&amp;""=C205&amp;"")*(tbl_Finance[Xero Invoice No]&lt;&gt;"")*tbl_Finance[Date]))),""))</f>
        <v/>
      </c>
      <c r="B205" s="26">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2" t="n"/>
      <c r="D205" s="26">
        <f>IF(C205="","",IF(COUNTIF(lst_Jobs,C205&amp;"")&gt;0,"OK","CHECK"))</f>
        <v/>
      </c>
      <c r="E205" s="26">
        <f>IF(C205="","",IFERROR(INDEX(lst_JobName,MATCH(C205&amp;"",lst_Jobs,0)),""))</f>
        <v/>
      </c>
      <c r="F205" s="22" t="n"/>
      <c r="G205" s="22" t="n"/>
      <c r="H205" s="22" t="n"/>
      <c r="I205" s="22" t="n"/>
      <c r="J205" s="22" t="n"/>
      <c r="K205" s="28">
        <f>IF(C205="","",COUNTIFS(tbl_Finance[Job Number],C205&amp;"",tbl_Finance[Ex GST],"&lt;&gt;"))</f>
        <v/>
      </c>
      <c r="L205" s="27">
        <f>IF(C205="","",SUMIFS(tbl_Finance[Ex GST],tbl_Finance[Job Number],C205&amp;""))</f>
        <v/>
      </c>
      <c r="M205" s="27">
        <f>IF(C205="","",SUMIFS(tbl_Finance[Ex GST],tbl_Finance[Job Number],C205&amp;"",tbl_Finance[Xero Invoice No],"&lt;&gt;"))</f>
        <v/>
      </c>
      <c r="N205" s="27">
        <f>IF(C205="","",L205-M205)</f>
        <v/>
      </c>
      <c r="O205" s="24" t="n"/>
      <c r="P205" s="27">
        <f>IF(C205="","",IF(O205="",0,MAX(0,O205-L205)))</f>
        <v/>
      </c>
      <c r="Q205" s="26">
        <f>IF(C205="","",IF(K205=0,"not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R205" s="27">
        <f>IF(C205="","",SUMIFS(tbl_Finance[Inc GST],tbl_Finance[Job Number],C205&amp;""))</f>
        <v/>
      </c>
      <c r="S205" s="22" t="n"/>
      <c r="T205" s="22" t="n"/>
      <c r="U205" s="22" t="n"/>
      <c r="V205" s="23" t="n"/>
      <c r="W205" s="22" t="n"/>
      <c r="X205" s="26">
        <f>IF(W205="","",IF(AND(LEFT(W205,4)&lt;&gt;"http",set_RMSBase=""),"",HYPERLINK(IF(LEFT(W205,4)="http",W205,set_RMSBase&amp;W205),"Open opportunity")))</f>
        <v/>
      </c>
      <c r="Y205" s="22" t="n"/>
      <c r="Z205" s="26">
        <f>IF(Y205="","",HYPERLINK(IF(LEFT(Y205,4)="http",Y205,set_QwilrBase&amp;Y205),"Open quote"))</f>
        <v/>
      </c>
      <c r="AA205" s="26">
        <f>IF(C205="","",C205)</f>
        <v/>
      </c>
      <c r="AB205" s="22" t="n"/>
      <c r="AC205" s="24" t="n"/>
      <c r="AD205" s="27">
        <f>IF(C205="","",L205+N(AC205))</f>
        <v/>
      </c>
      <c r="AE205" s="29">
        <f>IFERROR(AC205/AD205,"")</f>
        <v/>
      </c>
      <c r="AF205" s="24" t="n"/>
      <c r="AG205" s="24" t="n"/>
      <c r="AH205" s="24" t="n"/>
      <c r="AI205" s="24" t="n"/>
      <c r="AJ205" s="27">
        <f>IF(C205="","",SUMIFS(tbl_Finance[Ex GST],tbl_Finance[Job Number],C205&amp;"",tbl_Finance[Cost Centre],"VIDEO"))</f>
        <v/>
      </c>
      <c r="AK205" s="29">
        <f>IFERROR(AJ205/L205,"")</f>
        <v/>
      </c>
      <c r="AL205" s="27">
        <f>IF(C205="","",N(AF205)+N(AG205)+N(AH205)+N(AI205))</f>
        <v/>
      </c>
      <c r="AM205" s="27" t="n"/>
      <c r="AN205" s="29" t="n"/>
      <c r="AO205" s="71" t="n"/>
      <c r="AP205" s="71" t="n"/>
      <c r="AQ205" s="71" t="n"/>
      <c r="AR205" s="71" t="n"/>
      <c r="AS205" s="71" t="n"/>
      <c r="AT205" s="22" t="n"/>
    </row>
    <row r="206" ht="15" customHeight="1">
      <c r="A206" s="70">
        <f>IF(C206="","",IFERROR(IF(SUMPRODUCT(MAX((tbl_Finance[Job Number]&amp;""=C206&amp;"")*(tbl_Finance[Xero Invoice No]&lt;&gt;"")*tbl_Finance[Date]))=0,"",SUMPRODUCT(MAX((tbl_Finance[Job Number]&amp;""=C206&amp;"")*(tbl_Finance[Xero Invoice No]&lt;&gt;"")*tbl_Finance[Date]))),""))</f>
        <v/>
      </c>
      <c r="B206" s="26">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2" t="n"/>
      <c r="D206" s="26">
        <f>IF(C206="","",IF(COUNTIF(lst_Jobs,C206&amp;"")&gt;0,"OK","CHECK"))</f>
        <v/>
      </c>
      <c r="E206" s="26">
        <f>IF(C206="","",IFERROR(INDEX(lst_JobName,MATCH(C206&amp;"",lst_Jobs,0)),""))</f>
        <v/>
      </c>
      <c r="F206" s="22" t="n"/>
      <c r="G206" s="22" t="n"/>
      <c r="H206" s="22" t="n"/>
      <c r="I206" s="22" t="n"/>
      <c r="J206" s="22" t="n"/>
      <c r="K206" s="28">
        <f>IF(C206="","",COUNTIFS(tbl_Finance[Job Number],C206&amp;"",tbl_Finance[Ex GST],"&lt;&gt;"))</f>
        <v/>
      </c>
      <c r="L206" s="27">
        <f>IF(C206="","",SUMIFS(tbl_Finance[Ex GST],tbl_Finance[Job Number],C206&amp;""))</f>
        <v/>
      </c>
      <c r="M206" s="27">
        <f>IF(C206="","",SUMIFS(tbl_Finance[Ex GST],tbl_Finance[Job Number],C206&amp;"",tbl_Finance[Xero Invoice No],"&lt;&gt;"))</f>
        <v/>
      </c>
      <c r="N206" s="27">
        <f>IF(C206="","",L206-M206)</f>
        <v/>
      </c>
      <c r="O206" s="24" t="n"/>
      <c r="P206" s="27">
        <f>IF(C206="","",IF(O206="",0,MAX(0,O206-L206)))</f>
        <v/>
      </c>
      <c r="Q206" s="26">
        <f>IF(C206="","",IF(K206=0,"not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R206" s="27">
        <f>IF(C206="","",SUMIFS(tbl_Finance[Inc GST],tbl_Finance[Job Number],C206&amp;""))</f>
        <v/>
      </c>
      <c r="S206" s="22" t="n"/>
      <c r="T206" s="22" t="n"/>
      <c r="U206" s="22" t="n"/>
      <c r="V206" s="23" t="n"/>
      <c r="W206" s="22" t="n"/>
      <c r="X206" s="26">
        <f>IF(W206="","",IF(AND(LEFT(W206,4)&lt;&gt;"http",set_RMSBase=""),"",HYPERLINK(IF(LEFT(W206,4)="http",W206,set_RMSBase&amp;W206),"Open opportunity")))</f>
        <v/>
      </c>
      <c r="Y206" s="22" t="n"/>
      <c r="Z206" s="26">
        <f>IF(Y206="","",HYPERLINK(IF(LEFT(Y206,4)="http",Y206,set_QwilrBase&amp;Y206),"Open quote"))</f>
        <v/>
      </c>
      <c r="AA206" s="26">
        <f>IF(C206="","",C206)</f>
        <v/>
      </c>
      <c r="AB206" s="22" t="n"/>
      <c r="AC206" s="24" t="n"/>
      <c r="AD206" s="27">
        <f>IF(C206="","",L206+N(AC206))</f>
        <v/>
      </c>
      <c r="AE206" s="29">
        <f>IFERROR(AC206/AD206,"")</f>
        <v/>
      </c>
      <c r="AF206" s="24" t="n"/>
      <c r="AG206" s="24" t="n"/>
      <c r="AH206" s="24" t="n"/>
      <c r="AI206" s="24" t="n"/>
      <c r="AJ206" s="27">
        <f>IF(C206="","",SUMIFS(tbl_Finance[Ex GST],tbl_Finance[Job Number],C206&amp;"",tbl_Finance[Cost Centre],"VIDEO"))</f>
        <v/>
      </c>
      <c r="AK206" s="29">
        <f>IFERROR(AJ206/L206,"")</f>
        <v/>
      </c>
      <c r="AL206" s="27">
        <f>IF(C206="","",N(AF206)+N(AG206)+N(AH206)+N(AI206))</f>
        <v/>
      </c>
      <c r="AM206" s="27" t="n"/>
      <c r="AN206" s="29" t="n"/>
      <c r="AO206" s="71" t="n"/>
      <c r="AP206" s="71" t="n"/>
      <c r="AQ206" s="71" t="n"/>
      <c r="AR206" s="71" t="n"/>
      <c r="AS206" s="71" t="n"/>
      <c r="AT206" s="22" t="n"/>
    </row>
    <row r="207" ht="15" customHeight="1">
      <c r="A207" s="70">
        <f>IF(C207="","",IFERROR(IF(SUMPRODUCT(MAX((tbl_Finance[Job Number]&amp;""=C207&amp;"")*(tbl_Finance[Xero Invoice No]&lt;&gt;"")*tbl_Finance[Date]))=0,"",SUMPRODUCT(MAX((tbl_Finance[Job Number]&amp;""=C207&amp;"")*(tbl_Finance[Xero Invoice No]&lt;&gt;"")*tbl_Finance[Date]))),""))</f>
        <v/>
      </c>
      <c r="B207" s="26">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2" t="n"/>
      <c r="D207" s="26">
        <f>IF(C207="","",IF(COUNTIF(lst_Jobs,C207&amp;"")&gt;0,"OK","CHECK"))</f>
        <v/>
      </c>
      <c r="E207" s="26">
        <f>IF(C207="","",IFERROR(INDEX(lst_JobName,MATCH(C207&amp;"",lst_Jobs,0)),""))</f>
        <v/>
      </c>
      <c r="F207" s="22" t="n"/>
      <c r="G207" s="22" t="n"/>
      <c r="H207" s="22" t="n"/>
      <c r="I207" s="22" t="n"/>
      <c r="J207" s="22" t="n"/>
      <c r="K207" s="28">
        <f>IF(C207="","",COUNTIFS(tbl_Finance[Job Number],C207&amp;"",tbl_Finance[Ex GST],"&lt;&gt;"))</f>
        <v/>
      </c>
      <c r="L207" s="27">
        <f>IF(C207="","",SUMIFS(tbl_Finance[Ex GST],tbl_Finance[Job Number],C207&amp;""))</f>
        <v/>
      </c>
      <c r="M207" s="27">
        <f>IF(C207="","",SUMIFS(tbl_Finance[Ex GST],tbl_Finance[Job Number],C207&amp;"",tbl_Finance[Xero Invoice No],"&lt;&gt;"))</f>
        <v/>
      </c>
      <c r="N207" s="27">
        <f>IF(C207="","",L207-M207)</f>
        <v/>
      </c>
      <c r="O207" s="24" t="n"/>
      <c r="P207" s="27">
        <f>IF(C207="","",IF(O207="",0,MAX(0,O207-L207)))</f>
        <v/>
      </c>
      <c r="Q207" s="26">
        <f>IF(C207="","",IF(K207=0,"not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R207" s="27">
        <f>IF(C207="","",SUMIFS(tbl_Finance[Inc GST],tbl_Finance[Job Number],C207&amp;""))</f>
        <v/>
      </c>
      <c r="S207" s="22" t="n"/>
      <c r="T207" s="22" t="n"/>
      <c r="U207" s="22" t="n"/>
      <c r="V207" s="23" t="n"/>
      <c r="W207" s="22" t="n"/>
      <c r="X207" s="26">
        <f>IF(W207="","",IF(AND(LEFT(W207,4)&lt;&gt;"http",set_RMSBase=""),"",HYPERLINK(IF(LEFT(W207,4)="http",W207,set_RMSBase&amp;W207),"Open opportunity")))</f>
        <v/>
      </c>
      <c r="Y207" s="22" t="n"/>
      <c r="Z207" s="26">
        <f>IF(Y207="","",HYPERLINK(IF(LEFT(Y207,4)="http",Y207,set_QwilrBase&amp;Y207),"Open quote"))</f>
        <v/>
      </c>
      <c r="AA207" s="26">
        <f>IF(C207="","",C207)</f>
        <v/>
      </c>
      <c r="AB207" s="22" t="n"/>
      <c r="AC207" s="24" t="n"/>
      <c r="AD207" s="27">
        <f>IF(C207="","",L207+N(AC207))</f>
        <v/>
      </c>
      <c r="AE207" s="29">
        <f>IFERROR(AC207/AD207,"")</f>
        <v/>
      </c>
      <c r="AF207" s="24" t="n"/>
      <c r="AG207" s="24" t="n"/>
      <c r="AH207" s="24" t="n"/>
      <c r="AI207" s="24" t="n"/>
      <c r="AJ207" s="27">
        <f>IF(C207="","",SUMIFS(tbl_Finance[Ex GST],tbl_Finance[Job Number],C207&amp;"",tbl_Finance[Cost Centre],"VIDEO"))</f>
        <v/>
      </c>
      <c r="AK207" s="29">
        <f>IFERROR(AJ207/L207,"")</f>
        <v/>
      </c>
      <c r="AL207" s="27">
        <f>IF(C207="","",N(AF207)+N(AG207)+N(AH207)+N(AI207))</f>
        <v/>
      </c>
      <c r="AM207" s="27" t="n"/>
      <c r="AN207" s="29" t="n"/>
      <c r="AO207" s="71" t="n"/>
      <c r="AP207" s="71" t="n"/>
      <c r="AQ207" s="71" t="n"/>
      <c r="AR207" s="71" t="n"/>
      <c r="AS207" s="71" t="n"/>
      <c r="AT207" s="22" t="n"/>
    </row>
    <row r="208" ht="15" customHeight="1">
      <c r="A208" s="70">
        <f>IF(C208="","",IFERROR(IF(SUMPRODUCT(MAX((tbl_Finance[Job Number]&amp;""=C208&amp;"")*(tbl_Finance[Xero Invoice No]&lt;&gt;"")*tbl_Finance[Date]))=0,"",SUMPRODUCT(MAX((tbl_Finance[Job Number]&amp;""=C208&amp;"")*(tbl_Finance[Xero Invoice No]&lt;&gt;"")*tbl_Finance[Date]))),""))</f>
        <v/>
      </c>
      <c r="B208" s="26">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2" t="n"/>
      <c r="D208" s="26">
        <f>IF(C208="","",IF(COUNTIF(lst_Jobs,C208&amp;"")&gt;0,"OK","CHECK"))</f>
        <v/>
      </c>
      <c r="E208" s="26">
        <f>IF(C208="","",IFERROR(INDEX(lst_JobName,MATCH(C208&amp;"",lst_Jobs,0)),""))</f>
        <v/>
      </c>
      <c r="F208" s="22" t="n"/>
      <c r="G208" s="22" t="n"/>
      <c r="H208" s="22" t="n"/>
      <c r="I208" s="22" t="n"/>
      <c r="J208" s="22" t="n"/>
      <c r="K208" s="28">
        <f>IF(C208="","",COUNTIFS(tbl_Finance[Job Number],C208&amp;"",tbl_Finance[Ex GST],"&lt;&gt;"))</f>
        <v/>
      </c>
      <c r="L208" s="27">
        <f>IF(C208="","",SUMIFS(tbl_Finance[Ex GST],tbl_Finance[Job Number],C208&amp;""))</f>
        <v/>
      </c>
      <c r="M208" s="27">
        <f>IF(C208="","",SUMIFS(tbl_Finance[Ex GST],tbl_Finance[Job Number],C208&amp;"",tbl_Finance[Xero Invoice No],"&lt;&gt;"))</f>
        <v/>
      </c>
      <c r="N208" s="27">
        <f>IF(C208="","",L208-M208)</f>
        <v/>
      </c>
      <c r="O208" s="24" t="n"/>
      <c r="P208" s="27">
        <f>IF(C208="","",IF(O208="",0,MAX(0,O208-L208)))</f>
        <v/>
      </c>
      <c r="Q208" s="26">
        <f>IF(C208="","",IF(K208=0,"not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R208" s="27">
        <f>IF(C208="","",SUMIFS(tbl_Finance[Inc GST],tbl_Finance[Job Number],C208&amp;""))</f>
        <v/>
      </c>
      <c r="S208" s="22" t="n"/>
      <c r="T208" s="22" t="n"/>
      <c r="U208" s="22" t="n"/>
      <c r="V208" s="23" t="n"/>
      <c r="W208" s="22" t="n"/>
      <c r="X208" s="26">
        <f>IF(W208="","",IF(AND(LEFT(W208,4)&lt;&gt;"http",set_RMSBase=""),"",HYPERLINK(IF(LEFT(W208,4)="http",W208,set_RMSBase&amp;W208),"Open opportunity")))</f>
        <v/>
      </c>
      <c r="Y208" s="22" t="n"/>
      <c r="Z208" s="26">
        <f>IF(Y208="","",HYPERLINK(IF(LEFT(Y208,4)="http",Y208,set_QwilrBase&amp;Y208),"Open quote"))</f>
        <v/>
      </c>
      <c r="AA208" s="26">
        <f>IF(C208="","",C208)</f>
        <v/>
      </c>
      <c r="AB208" s="22" t="n"/>
      <c r="AC208" s="24" t="n"/>
      <c r="AD208" s="27">
        <f>IF(C208="","",L208+N(AC208))</f>
        <v/>
      </c>
      <c r="AE208" s="29">
        <f>IFERROR(AC208/AD208,"")</f>
        <v/>
      </c>
      <c r="AF208" s="24" t="n"/>
      <c r="AG208" s="24" t="n"/>
      <c r="AH208" s="24" t="n"/>
      <c r="AI208" s="24" t="n"/>
      <c r="AJ208" s="27">
        <f>IF(C208="","",SUMIFS(tbl_Finance[Ex GST],tbl_Finance[Job Number],C208&amp;"",tbl_Finance[Cost Centre],"VIDEO"))</f>
        <v/>
      </c>
      <c r="AK208" s="29">
        <f>IFERROR(AJ208/L208,"")</f>
        <v/>
      </c>
      <c r="AL208" s="27">
        <f>IF(C208="","",N(AF208)+N(AG208)+N(AH208)+N(AI208))</f>
        <v/>
      </c>
      <c r="AM208" s="27" t="n"/>
      <c r="AN208" s="29" t="n"/>
      <c r="AO208" s="71" t="n"/>
      <c r="AP208" s="71" t="n"/>
      <c r="AQ208" s="71" t="n"/>
      <c r="AR208" s="71" t="n"/>
      <c r="AS208" s="71" t="n"/>
      <c r="AT208" s="22" t="n"/>
    </row>
    <row r="209" ht="15" customHeight="1">
      <c r="A209" s="70">
        <f>IF(C209="","",IFERROR(IF(SUMPRODUCT(MAX((tbl_Finance[Job Number]&amp;""=C209&amp;"")*(tbl_Finance[Xero Invoice No]&lt;&gt;"")*tbl_Finance[Date]))=0,"",SUMPRODUCT(MAX((tbl_Finance[Job Number]&amp;""=C209&amp;"")*(tbl_Finance[Xero Invoice No]&lt;&gt;"")*tbl_Finance[Date]))),""))</f>
        <v/>
      </c>
      <c r="B209" s="26">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2" t="n"/>
      <c r="D209" s="26">
        <f>IF(C209="","",IF(COUNTIF(lst_Jobs,C209&amp;"")&gt;0,"OK","CHECK"))</f>
        <v/>
      </c>
      <c r="E209" s="26">
        <f>IF(C209="","",IFERROR(INDEX(lst_JobName,MATCH(C209&amp;"",lst_Jobs,0)),""))</f>
        <v/>
      </c>
      <c r="F209" s="22" t="n"/>
      <c r="G209" s="22" t="n"/>
      <c r="H209" s="22" t="n"/>
      <c r="I209" s="22" t="n"/>
      <c r="J209" s="22" t="n"/>
      <c r="K209" s="28">
        <f>IF(C209="","",COUNTIFS(tbl_Finance[Job Number],C209&amp;"",tbl_Finance[Ex GST],"&lt;&gt;"))</f>
        <v/>
      </c>
      <c r="L209" s="27">
        <f>IF(C209="","",SUMIFS(tbl_Finance[Ex GST],tbl_Finance[Job Number],C209&amp;""))</f>
        <v/>
      </c>
      <c r="M209" s="27">
        <f>IF(C209="","",SUMIFS(tbl_Finance[Ex GST],tbl_Finance[Job Number],C209&amp;"",tbl_Finance[Xero Invoice No],"&lt;&gt;"))</f>
        <v/>
      </c>
      <c r="N209" s="27">
        <f>IF(C209="","",L209-M209)</f>
        <v/>
      </c>
      <c r="O209" s="24" t="n"/>
      <c r="P209" s="27">
        <f>IF(C209="","",IF(O209="",0,MAX(0,O209-L209)))</f>
        <v/>
      </c>
      <c r="Q209" s="26">
        <f>IF(C209="","",IF(K209=0,"not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R209" s="27">
        <f>IF(C209="","",SUMIFS(tbl_Finance[Inc GST],tbl_Finance[Job Number],C209&amp;""))</f>
        <v/>
      </c>
      <c r="S209" s="22" t="n"/>
      <c r="T209" s="22" t="n"/>
      <c r="U209" s="22" t="n"/>
      <c r="V209" s="23" t="n"/>
      <c r="W209" s="22" t="n"/>
      <c r="X209" s="26">
        <f>IF(W209="","",IF(AND(LEFT(W209,4)&lt;&gt;"http",set_RMSBase=""),"",HYPERLINK(IF(LEFT(W209,4)="http",W209,set_RMSBase&amp;W209),"Open opportunity")))</f>
        <v/>
      </c>
      <c r="Y209" s="22" t="n"/>
      <c r="Z209" s="26">
        <f>IF(Y209="","",HYPERLINK(IF(LEFT(Y209,4)="http",Y209,set_QwilrBase&amp;Y209),"Open quote"))</f>
        <v/>
      </c>
      <c r="AA209" s="26">
        <f>IF(C209="","",C209)</f>
        <v/>
      </c>
      <c r="AB209" s="22" t="n"/>
      <c r="AC209" s="24" t="n"/>
      <c r="AD209" s="27">
        <f>IF(C209="","",L209+N(AC209))</f>
        <v/>
      </c>
      <c r="AE209" s="29">
        <f>IFERROR(AC209/AD209,"")</f>
        <v/>
      </c>
      <c r="AF209" s="24" t="n"/>
      <c r="AG209" s="24" t="n"/>
      <c r="AH209" s="24" t="n"/>
      <c r="AI209" s="24" t="n"/>
      <c r="AJ209" s="27">
        <f>IF(C209="","",SUMIFS(tbl_Finance[Ex GST],tbl_Finance[Job Number],C209&amp;"",tbl_Finance[Cost Centre],"VIDEO"))</f>
        <v/>
      </c>
      <c r="AK209" s="29">
        <f>IFERROR(AJ209/L209,"")</f>
        <v/>
      </c>
      <c r="AL209" s="27">
        <f>IF(C209="","",N(AF209)+N(AG209)+N(AH209)+N(AI209))</f>
        <v/>
      </c>
      <c r="AM209" s="27" t="n"/>
      <c r="AN209" s="29" t="n"/>
      <c r="AO209" s="71" t="n"/>
      <c r="AP209" s="71" t="n"/>
      <c r="AQ209" s="71" t="n"/>
      <c r="AR209" s="71" t="n"/>
      <c r="AS209" s="71" t="n"/>
      <c r="AT209" s="22" t="n"/>
    </row>
    <row r="210" ht="15" customHeight="1">
      <c r="A210" s="70">
        <f>IF(C210="","",IFERROR(IF(SUMPRODUCT(MAX((tbl_Finance[Job Number]&amp;""=C210&amp;"")*(tbl_Finance[Xero Invoice No]&lt;&gt;"")*tbl_Finance[Date]))=0,"",SUMPRODUCT(MAX((tbl_Finance[Job Number]&amp;""=C210&amp;"")*(tbl_Finance[Xero Invoice No]&lt;&gt;"")*tbl_Finance[Date]))),""))</f>
        <v/>
      </c>
      <c r="B210" s="26">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2" t="n"/>
      <c r="D210" s="26">
        <f>IF(C210="","",IF(COUNTIF(lst_Jobs,C210&amp;"")&gt;0,"OK","CHECK"))</f>
        <v/>
      </c>
      <c r="E210" s="26">
        <f>IF(C210="","",IFERROR(INDEX(lst_JobName,MATCH(C210&amp;"",lst_Jobs,0)),""))</f>
        <v/>
      </c>
      <c r="F210" s="22" t="n"/>
      <c r="G210" s="22" t="n"/>
      <c r="H210" s="22" t="n"/>
      <c r="I210" s="22" t="n"/>
      <c r="J210" s="22" t="n"/>
      <c r="K210" s="28">
        <f>IF(C210="","",COUNTIFS(tbl_Finance[Job Number],C210&amp;"",tbl_Finance[Ex GST],"&lt;&gt;"))</f>
        <v/>
      </c>
      <c r="L210" s="27">
        <f>IF(C210="","",SUMIFS(tbl_Finance[Ex GST],tbl_Finance[Job Number],C210&amp;""))</f>
        <v/>
      </c>
      <c r="M210" s="27">
        <f>IF(C210="","",SUMIFS(tbl_Finance[Ex GST],tbl_Finance[Job Number],C210&amp;"",tbl_Finance[Xero Invoice No],"&lt;&gt;"))</f>
        <v/>
      </c>
      <c r="N210" s="27">
        <f>IF(C210="","",L210-M210)</f>
        <v/>
      </c>
      <c r="O210" s="24" t="n"/>
      <c r="P210" s="27">
        <f>IF(C210="","",IF(O210="",0,MAX(0,O210-L210)))</f>
        <v/>
      </c>
      <c r="Q210" s="26">
        <f>IF(C210="","",IF(K210=0,"not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R210" s="27">
        <f>IF(C210="","",SUMIFS(tbl_Finance[Inc GST],tbl_Finance[Job Number],C210&amp;""))</f>
        <v/>
      </c>
      <c r="S210" s="22" t="n"/>
      <c r="T210" s="22" t="n"/>
      <c r="U210" s="22" t="n"/>
      <c r="V210" s="23" t="n"/>
      <c r="W210" s="22" t="n"/>
      <c r="X210" s="26">
        <f>IF(W210="","",IF(AND(LEFT(W210,4)&lt;&gt;"http",set_RMSBase=""),"",HYPERLINK(IF(LEFT(W210,4)="http",W210,set_RMSBase&amp;W210),"Open opportunity")))</f>
        <v/>
      </c>
      <c r="Y210" s="22" t="n"/>
      <c r="Z210" s="26">
        <f>IF(Y210="","",HYPERLINK(IF(LEFT(Y210,4)="http",Y210,set_QwilrBase&amp;Y210),"Open quote"))</f>
        <v/>
      </c>
      <c r="AA210" s="26">
        <f>IF(C210="","",C210)</f>
        <v/>
      </c>
      <c r="AB210" s="22" t="n"/>
      <c r="AC210" s="24" t="n"/>
      <c r="AD210" s="27">
        <f>IF(C210="","",L210+N(AC210))</f>
        <v/>
      </c>
      <c r="AE210" s="29">
        <f>IFERROR(AC210/AD210,"")</f>
        <v/>
      </c>
      <c r="AF210" s="24" t="n"/>
      <c r="AG210" s="24" t="n"/>
      <c r="AH210" s="24" t="n"/>
      <c r="AI210" s="24" t="n"/>
      <c r="AJ210" s="27">
        <f>IF(C210="","",SUMIFS(tbl_Finance[Ex GST],tbl_Finance[Job Number],C210&amp;"",tbl_Finance[Cost Centre],"VIDEO"))</f>
        <v/>
      </c>
      <c r="AK210" s="29">
        <f>IFERROR(AJ210/L210,"")</f>
        <v/>
      </c>
      <c r="AL210" s="27">
        <f>IF(C210="","",N(AF210)+N(AG210)+N(AH210)+N(AI210))</f>
        <v/>
      </c>
      <c r="AM210" s="27" t="n"/>
      <c r="AN210" s="29" t="n"/>
      <c r="AO210" s="71" t="n"/>
      <c r="AP210" s="71" t="n"/>
      <c r="AQ210" s="71" t="n"/>
      <c r="AR210" s="71" t="n"/>
      <c r="AS210" s="71" t="n"/>
      <c r="AT210" s="22" t="n"/>
    </row>
    <row r="211" ht="15" customHeight="1">
      <c r="A211" s="70">
        <f>IF(C211="","",IFERROR(IF(SUMPRODUCT(MAX((tbl_Finance[Job Number]&amp;""=C211&amp;"")*(tbl_Finance[Xero Invoice No]&lt;&gt;"")*tbl_Finance[Date]))=0,"",SUMPRODUCT(MAX((tbl_Finance[Job Number]&amp;""=C211&amp;"")*(tbl_Finance[Xero Invoice No]&lt;&gt;"")*tbl_Finance[Date]))),""))</f>
        <v/>
      </c>
      <c r="B211" s="26">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2" t="n"/>
      <c r="D211" s="26">
        <f>IF(C211="","",IF(COUNTIF(lst_Jobs,C211&amp;"")&gt;0,"OK","CHECK"))</f>
        <v/>
      </c>
      <c r="E211" s="26">
        <f>IF(C211="","",IFERROR(INDEX(lst_JobName,MATCH(C211&amp;"",lst_Jobs,0)),""))</f>
        <v/>
      </c>
      <c r="F211" s="22" t="n"/>
      <c r="G211" s="22" t="n"/>
      <c r="H211" s="22" t="n"/>
      <c r="I211" s="22" t="n"/>
      <c r="J211" s="22" t="n"/>
      <c r="K211" s="28">
        <f>IF(C211="","",COUNTIFS(tbl_Finance[Job Number],C211&amp;"",tbl_Finance[Ex GST],"&lt;&gt;"))</f>
        <v/>
      </c>
      <c r="L211" s="27">
        <f>IF(C211="","",SUMIFS(tbl_Finance[Ex GST],tbl_Finance[Job Number],C211&amp;""))</f>
        <v/>
      </c>
      <c r="M211" s="27">
        <f>IF(C211="","",SUMIFS(tbl_Finance[Ex GST],tbl_Finance[Job Number],C211&amp;"",tbl_Finance[Xero Invoice No],"&lt;&gt;"))</f>
        <v/>
      </c>
      <c r="N211" s="27">
        <f>IF(C211="","",L211-M211)</f>
        <v/>
      </c>
      <c r="O211" s="24" t="n"/>
      <c r="P211" s="27">
        <f>IF(C211="","",IF(O211="",0,MAX(0,O211-L211)))</f>
        <v/>
      </c>
      <c r="Q211" s="26">
        <f>IF(C211="","",IF(K211=0,"not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R211" s="27">
        <f>IF(C211="","",SUMIFS(tbl_Finance[Inc GST],tbl_Finance[Job Number],C211&amp;""))</f>
        <v/>
      </c>
      <c r="S211" s="22" t="n"/>
      <c r="T211" s="22" t="n"/>
      <c r="U211" s="22" t="n"/>
      <c r="V211" s="23" t="n"/>
      <c r="W211" s="22" t="n"/>
      <c r="X211" s="26">
        <f>IF(W211="","",IF(AND(LEFT(W211,4)&lt;&gt;"http",set_RMSBase=""),"",HYPERLINK(IF(LEFT(W211,4)="http",W211,set_RMSBase&amp;W211),"Open opportunity")))</f>
        <v/>
      </c>
      <c r="Y211" s="22" t="n"/>
      <c r="Z211" s="26">
        <f>IF(Y211="","",HYPERLINK(IF(LEFT(Y211,4)="http",Y211,set_QwilrBase&amp;Y211),"Open quote"))</f>
        <v/>
      </c>
      <c r="AA211" s="26">
        <f>IF(C211="","",C211)</f>
        <v/>
      </c>
      <c r="AB211" s="22" t="n"/>
      <c r="AC211" s="24" t="n"/>
      <c r="AD211" s="27">
        <f>IF(C211="","",L211+N(AC211))</f>
        <v/>
      </c>
      <c r="AE211" s="29">
        <f>IFERROR(AC211/AD211,"")</f>
        <v/>
      </c>
      <c r="AF211" s="24" t="n"/>
      <c r="AG211" s="24" t="n"/>
      <c r="AH211" s="24" t="n"/>
      <c r="AI211" s="24" t="n"/>
      <c r="AJ211" s="27">
        <f>IF(C211="","",SUMIFS(tbl_Finance[Ex GST],tbl_Finance[Job Number],C211&amp;"",tbl_Finance[Cost Centre],"VIDEO"))</f>
        <v/>
      </c>
      <c r="AK211" s="29">
        <f>IFERROR(AJ211/L211,"")</f>
        <v/>
      </c>
      <c r="AL211" s="27">
        <f>IF(C211="","",N(AF211)+N(AG211)+N(AH211)+N(AI211))</f>
        <v/>
      </c>
      <c r="AM211" s="27" t="n"/>
      <c r="AN211" s="29" t="n"/>
      <c r="AO211" s="71" t="n"/>
      <c r="AP211" s="71" t="n"/>
      <c r="AQ211" s="71" t="n"/>
      <c r="AR211" s="71" t="n"/>
      <c r="AS211" s="71" t="n"/>
      <c r="AT211" s="22" t="n"/>
    </row>
    <row r="212" ht="15" customHeight="1">
      <c r="A212" s="70">
        <f>IF(C212="","",IFERROR(IF(SUMPRODUCT(MAX((tbl_Finance[Job Number]&amp;""=C212&amp;"")*(tbl_Finance[Xero Invoice No]&lt;&gt;"")*tbl_Finance[Date]))=0,"",SUMPRODUCT(MAX((tbl_Finance[Job Number]&amp;""=C212&amp;"")*(tbl_Finance[Xero Invoice No]&lt;&gt;"")*tbl_Finance[Date]))),""))</f>
        <v/>
      </c>
      <c r="B212" s="26">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2" t="n"/>
      <c r="D212" s="26">
        <f>IF(C212="","",IF(COUNTIF(lst_Jobs,C212&amp;"")&gt;0,"OK","CHECK"))</f>
        <v/>
      </c>
      <c r="E212" s="26">
        <f>IF(C212="","",IFERROR(INDEX(lst_JobName,MATCH(C212&amp;"",lst_Jobs,0)),""))</f>
        <v/>
      </c>
      <c r="F212" s="22" t="n"/>
      <c r="G212" s="22" t="n"/>
      <c r="H212" s="22" t="n"/>
      <c r="I212" s="22" t="n"/>
      <c r="J212" s="22" t="n"/>
      <c r="K212" s="28">
        <f>IF(C212="","",COUNTIFS(tbl_Finance[Job Number],C212&amp;"",tbl_Finance[Ex GST],"&lt;&gt;"))</f>
        <v/>
      </c>
      <c r="L212" s="27">
        <f>IF(C212="","",SUMIFS(tbl_Finance[Ex GST],tbl_Finance[Job Number],C212&amp;""))</f>
        <v/>
      </c>
      <c r="M212" s="27">
        <f>IF(C212="","",SUMIFS(tbl_Finance[Ex GST],tbl_Finance[Job Number],C212&amp;"",tbl_Finance[Xero Invoice No],"&lt;&gt;"))</f>
        <v/>
      </c>
      <c r="N212" s="27">
        <f>IF(C212="","",L212-M212)</f>
        <v/>
      </c>
      <c r="O212" s="24" t="n"/>
      <c r="P212" s="27">
        <f>IF(C212="","",IF(O212="",0,MAX(0,O212-L212)))</f>
        <v/>
      </c>
      <c r="Q212" s="26">
        <f>IF(C212="","",IF(K212=0,"not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R212" s="27">
        <f>IF(C212="","",SUMIFS(tbl_Finance[Inc GST],tbl_Finance[Job Number],C212&amp;""))</f>
        <v/>
      </c>
      <c r="S212" s="22" t="n"/>
      <c r="T212" s="22" t="n"/>
      <c r="U212" s="22" t="n"/>
      <c r="V212" s="23" t="n"/>
      <c r="W212" s="22" t="n"/>
      <c r="X212" s="26">
        <f>IF(W212="","",IF(AND(LEFT(W212,4)&lt;&gt;"http",set_RMSBase=""),"",HYPERLINK(IF(LEFT(W212,4)="http",W212,set_RMSBase&amp;W212),"Open opportunity")))</f>
        <v/>
      </c>
      <c r="Y212" s="22" t="n"/>
      <c r="Z212" s="26">
        <f>IF(Y212="","",HYPERLINK(IF(LEFT(Y212,4)="http",Y212,set_QwilrBase&amp;Y212),"Open quote"))</f>
        <v/>
      </c>
      <c r="AA212" s="26">
        <f>IF(C212="","",C212)</f>
        <v/>
      </c>
      <c r="AB212" s="22" t="n"/>
      <c r="AC212" s="24" t="n"/>
      <c r="AD212" s="27">
        <f>IF(C212="","",L212+N(AC212))</f>
        <v/>
      </c>
      <c r="AE212" s="29">
        <f>IFERROR(AC212/AD212,"")</f>
        <v/>
      </c>
      <c r="AF212" s="24" t="n"/>
      <c r="AG212" s="24" t="n"/>
      <c r="AH212" s="24" t="n"/>
      <c r="AI212" s="24" t="n"/>
      <c r="AJ212" s="27">
        <f>IF(C212="","",SUMIFS(tbl_Finance[Ex GST],tbl_Finance[Job Number],C212&amp;"",tbl_Finance[Cost Centre],"VIDEO"))</f>
        <v/>
      </c>
      <c r="AK212" s="29">
        <f>IFERROR(AJ212/L212,"")</f>
        <v/>
      </c>
      <c r="AL212" s="27">
        <f>IF(C212="","",N(AF212)+N(AG212)+N(AH212)+N(AI212))</f>
        <v/>
      </c>
      <c r="AM212" s="27" t="n"/>
      <c r="AN212" s="29" t="n"/>
      <c r="AO212" s="71" t="n"/>
      <c r="AP212" s="71" t="n"/>
      <c r="AQ212" s="71" t="n"/>
      <c r="AR212" s="71" t="n"/>
      <c r="AS212" s="71" t="n"/>
      <c r="AT212" s="22" t="n"/>
    </row>
    <row r="213" ht="15" customHeight="1">
      <c r="A213" s="70">
        <f>IF(C213="","",IFERROR(IF(SUMPRODUCT(MAX((tbl_Finance[Job Number]&amp;""=C213&amp;"")*(tbl_Finance[Xero Invoice No]&lt;&gt;"")*tbl_Finance[Date]))=0,"",SUMPRODUCT(MAX((tbl_Finance[Job Number]&amp;""=C213&amp;"")*(tbl_Finance[Xero Invoice No]&lt;&gt;"")*tbl_Finance[Date]))),""))</f>
        <v/>
      </c>
      <c r="B213" s="26">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2" t="n"/>
      <c r="D213" s="26">
        <f>IF(C213="","",IF(COUNTIF(lst_Jobs,C213&amp;"")&gt;0,"OK","CHECK"))</f>
        <v/>
      </c>
      <c r="E213" s="26">
        <f>IF(C213="","",IFERROR(INDEX(lst_JobName,MATCH(C213&amp;"",lst_Jobs,0)),""))</f>
        <v/>
      </c>
      <c r="F213" s="22" t="n"/>
      <c r="G213" s="22" t="n"/>
      <c r="H213" s="22" t="n"/>
      <c r="I213" s="22" t="n"/>
      <c r="J213" s="22" t="n"/>
      <c r="K213" s="28">
        <f>IF(C213="","",COUNTIFS(tbl_Finance[Job Number],C213&amp;"",tbl_Finance[Ex GST],"&lt;&gt;"))</f>
        <v/>
      </c>
      <c r="L213" s="27">
        <f>IF(C213="","",SUMIFS(tbl_Finance[Ex GST],tbl_Finance[Job Number],C213&amp;""))</f>
        <v/>
      </c>
      <c r="M213" s="27">
        <f>IF(C213="","",SUMIFS(tbl_Finance[Ex GST],tbl_Finance[Job Number],C213&amp;"",tbl_Finance[Xero Invoice No],"&lt;&gt;"))</f>
        <v/>
      </c>
      <c r="N213" s="27">
        <f>IF(C213="","",L213-M213)</f>
        <v/>
      </c>
      <c r="O213" s="24" t="n"/>
      <c r="P213" s="27">
        <f>IF(C213="","",IF(O213="",0,MAX(0,O213-L213)))</f>
        <v/>
      </c>
      <c r="Q213" s="26">
        <f>IF(C213="","",IF(K213=0,"not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R213" s="27">
        <f>IF(C213="","",SUMIFS(tbl_Finance[Inc GST],tbl_Finance[Job Number],C213&amp;""))</f>
        <v/>
      </c>
      <c r="S213" s="22" t="n"/>
      <c r="T213" s="22" t="n"/>
      <c r="U213" s="22" t="n"/>
      <c r="V213" s="23" t="n"/>
      <c r="W213" s="22" t="n"/>
      <c r="X213" s="26">
        <f>IF(W213="","",IF(AND(LEFT(W213,4)&lt;&gt;"http",set_RMSBase=""),"",HYPERLINK(IF(LEFT(W213,4)="http",W213,set_RMSBase&amp;W213),"Open opportunity")))</f>
        <v/>
      </c>
      <c r="Y213" s="22" t="n"/>
      <c r="Z213" s="26">
        <f>IF(Y213="","",HYPERLINK(IF(LEFT(Y213,4)="http",Y213,set_QwilrBase&amp;Y213),"Open quote"))</f>
        <v/>
      </c>
      <c r="AA213" s="26">
        <f>IF(C213="","",C213)</f>
        <v/>
      </c>
      <c r="AB213" s="22" t="n"/>
      <c r="AC213" s="24" t="n"/>
      <c r="AD213" s="27">
        <f>IF(C213="","",L213+N(AC213))</f>
        <v/>
      </c>
      <c r="AE213" s="29">
        <f>IFERROR(AC213/AD213,"")</f>
        <v/>
      </c>
      <c r="AF213" s="24" t="n"/>
      <c r="AG213" s="24" t="n"/>
      <c r="AH213" s="24" t="n"/>
      <c r="AI213" s="24" t="n"/>
      <c r="AJ213" s="27">
        <f>IF(C213="","",SUMIFS(tbl_Finance[Ex GST],tbl_Finance[Job Number],C213&amp;"",tbl_Finance[Cost Centre],"VIDEO"))</f>
        <v/>
      </c>
      <c r="AK213" s="29">
        <f>IFERROR(AJ213/L213,"")</f>
        <v/>
      </c>
      <c r="AL213" s="27">
        <f>IF(C213="","",N(AF213)+N(AG213)+N(AH213)+N(AI213))</f>
        <v/>
      </c>
      <c r="AM213" s="27" t="n"/>
      <c r="AN213" s="29" t="n"/>
      <c r="AO213" s="71" t="n"/>
      <c r="AP213" s="71" t="n"/>
      <c r="AQ213" s="71" t="n"/>
      <c r="AR213" s="71" t="n"/>
      <c r="AS213" s="71" t="n"/>
      <c r="AT213" s="22" t="n"/>
    </row>
    <row r="214" ht="15" customHeight="1">
      <c r="A214" s="70">
        <f>IF(C214="","",IFERROR(IF(SUMPRODUCT(MAX((tbl_Finance[Job Number]&amp;""=C214&amp;"")*(tbl_Finance[Xero Invoice No]&lt;&gt;"")*tbl_Finance[Date]))=0,"",SUMPRODUCT(MAX((tbl_Finance[Job Number]&amp;""=C214&amp;"")*(tbl_Finance[Xero Invoice No]&lt;&gt;"")*tbl_Finance[Date]))),""))</f>
        <v/>
      </c>
      <c r="B214" s="26">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2" t="n"/>
      <c r="D214" s="26">
        <f>IF(C214="","",IF(COUNTIF(lst_Jobs,C214&amp;"")&gt;0,"OK","CHECK"))</f>
        <v/>
      </c>
      <c r="E214" s="26">
        <f>IF(C214="","",IFERROR(INDEX(lst_JobName,MATCH(C214&amp;"",lst_Jobs,0)),""))</f>
        <v/>
      </c>
      <c r="F214" s="22" t="n"/>
      <c r="G214" s="22" t="n"/>
      <c r="H214" s="22" t="n"/>
      <c r="I214" s="22" t="n"/>
      <c r="J214" s="22" t="n"/>
      <c r="K214" s="28">
        <f>IF(C214="","",COUNTIFS(tbl_Finance[Job Number],C214&amp;"",tbl_Finance[Ex GST],"&lt;&gt;"))</f>
        <v/>
      </c>
      <c r="L214" s="27">
        <f>IF(C214="","",SUMIFS(tbl_Finance[Ex GST],tbl_Finance[Job Number],C214&amp;""))</f>
        <v/>
      </c>
      <c r="M214" s="27">
        <f>IF(C214="","",SUMIFS(tbl_Finance[Ex GST],tbl_Finance[Job Number],C214&amp;"",tbl_Finance[Xero Invoice No],"&lt;&gt;"))</f>
        <v/>
      </c>
      <c r="N214" s="27">
        <f>IF(C214="","",L214-M214)</f>
        <v/>
      </c>
      <c r="O214" s="24" t="n"/>
      <c r="P214" s="27">
        <f>IF(C214="","",IF(O214="",0,MAX(0,O214-L214)))</f>
        <v/>
      </c>
      <c r="Q214" s="26">
        <f>IF(C214="","",IF(K214=0,"not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R214" s="27">
        <f>IF(C214="","",SUMIFS(tbl_Finance[Inc GST],tbl_Finance[Job Number],C214&amp;""))</f>
        <v/>
      </c>
      <c r="S214" s="22" t="n"/>
      <c r="T214" s="22" t="n"/>
      <c r="U214" s="22" t="n"/>
      <c r="V214" s="23" t="n"/>
      <c r="W214" s="22" t="n"/>
      <c r="X214" s="26">
        <f>IF(W214="","",IF(AND(LEFT(W214,4)&lt;&gt;"http",set_RMSBase=""),"",HYPERLINK(IF(LEFT(W214,4)="http",W214,set_RMSBase&amp;W214),"Open opportunity")))</f>
        <v/>
      </c>
      <c r="Y214" s="22" t="n"/>
      <c r="Z214" s="26">
        <f>IF(Y214="","",HYPERLINK(IF(LEFT(Y214,4)="http",Y214,set_QwilrBase&amp;Y214),"Open quote"))</f>
        <v/>
      </c>
      <c r="AA214" s="26">
        <f>IF(C214="","",C214)</f>
        <v/>
      </c>
      <c r="AB214" s="22" t="n"/>
      <c r="AC214" s="24" t="n"/>
      <c r="AD214" s="27">
        <f>IF(C214="","",L214+N(AC214))</f>
        <v/>
      </c>
      <c r="AE214" s="29">
        <f>IFERROR(AC214/AD214,"")</f>
        <v/>
      </c>
      <c r="AF214" s="24" t="n"/>
      <c r="AG214" s="24" t="n"/>
      <c r="AH214" s="24" t="n"/>
      <c r="AI214" s="24" t="n"/>
      <c r="AJ214" s="27">
        <f>IF(C214="","",SUMIFS(tbl_Finance[Ex GST],tbl_Finance[Job Number],C214&amp;"",tbl_Finance[Cost Centre],"VIDEO"))</f>
        <v/>
      </c>
      <c r="AK214" s="29">
        <f>IFERROR(AJ214/L214,"")</f>
        <v/>
      </c>
      <c r="AL214" s="27">
        <f>IF(C214="","",N(AF214)+N(AG214)+N(AH214)+N(AI214))</f>
        <v/>
      </c>
      <c r="AM214" s="27" t="n"/>
      <c r="AN214" s="29" t="n"/>
      <c r="AO214" s="71" t="n"/>
      <c r="AP214" s="71" t="n"/>
      <c r="AQ214" s="71" t="n"/>
      <c r="AR214" s="71" t="n"/>
      <c r="AS214" s="71" t="n"/>
      <c r="AT214" s="22" t="n"/>
    </row>
    <row r="215" ht="15" customHeight="1">
      <c r="A215" s="70">
        <f>IF(C215="","",IFERROR(IF(SUMPRODUCT(MAX((tbl_Finance[Job Number]&amp;""=C215&amp;"")*(tbl_Finance[Xero Invoice No]&lt;&gt;"")*tbl_Finance[Date]))=0,"",SUMPRODUCT(MAX((tbl_Finance[Job Number]&amp;""=C215&amp;"")*(tbl_Finance[Xero Invoice No]&lt;&gt;"")*tbl_Finance[Date]))),""))</f>
        <v/>
      </c>
      <c r="B215" s="26">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2" t="n"/>
      <c r="D215" s="26">
        <f>IF(C215="","",IF(COUNTIF(lst_Jobs,C215&amp;"")&gt;0,"OK","CHECK"))</f>
        <v/>
      </c>
      <c r="E215" s="26">
        <f>IF(C215="","",IFERROR(INDEX(lst_JobName,MATCH(C215&amp;"",lst_Jobs,0)),""))</f>
        <v/>
      </c>
      <c r="F215" s="22" t="n"/>
      <c r="G215" s="22" t="n"/>
      <c r="H215" s="22" t="n"/>
      <c r="I215" s="22" t="n"/>
      <c r="J215" s="22" t="n"/>
      <c r="K215" s="28">
        <f>IF(C215="","",COUNTIFS(tbl_Finance[Job Number],C215&amp;"",tbl_Finance[Ex GST],"&lt;&gt;"))</f>
        <v/>
      </c>
      <c r="L215" s="27">
        <f>IF(C215="","",SUMIFS(tbl_Finance[Ex GST],tbl_Finance[Job Number],C215&amp;""))</f>
        <v/>
      </c>
      <c r="M215" s="27">
        <f>IF(C215="","",SUMIFS(tbl_Finance[Ex GST],tbl_Finance[Job Number],C215&amp;"",tbl_Finance[Xero Invoice No],"&lt;&gt;"))</f>
        <v/>
      </c>
      <c r="N215" s="27">
        <f>IF(C215="","",L215-M215)</f>
        <v/>
      </c>
      <c r="O215" s="24" t="n"/>
      <c r="P215" s="27">
        <f>IF(C215="","",IF(O215="",0,MAX(0,O215-L215)))</f>
        <v/>
      </c>
      <c r="Q215" s="26">
        <f>IF(C215="","",IF(K215=0,"not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R215" s="27">
        <f>IF(C215="","",SUMIFS(tbl_Finance[Inc GST],tbl_Finance[Job Number],C215&amp;""))</f>
        <v/>
      </c>
      <c r="S215" s="22" t="n"/>
      <c r="T215" s="22" t="n"/>
      <c r="U215" s="22" t="n"/>
      <c r="V215" s="23" t="n"/>
      <c r="W215" s="22" t="n"/>
      <c r="X215" s="26">
        <f>IF(W215="","",IF(AND(LEFT(W215,4)&lt;&gt;"http",set_RMSBase=""),"",HYPERLINK(IF(LEFT(W215,4)="http",W215,set_RMSBase&amp;W215),"Open opportunity")))</f>
        <v/>
      </c>
      <c r="Y215" s="22" t="n"/>
      <c r="Z215" s="26">
        <f>IF(Y215="","",HYPERLINK(IF(LEFT(Y215,4)="http",Y215,set_QwilrBase&amp;Y215),"Open quote"))</f>
        <v/>
      </c>
      <c r="AA215" s="26">
        <f>IF(C215="","",C215)</f>
        <v/>
      </c>
      <c r="AB215" s="22" t="n"/>
      <c r="AC215" s="24" t="n"/>
      <c r="AD215" s="27">
        <f>IF(C215="","",L215+N(AC215))</f>
        <v/>
      </c>
      <c r="AE215" s="29">
        <f>IFERROR(AC215/AD215,"")</f>
        <v/>
      </c>
      <c r="AF215" s="24" t="n"/>
      <c r="AG215" s="24" t="n"/>
      <c r="AH215" s="24" t="n"/>
      <c r="AI215" s="24" t="n"/>
      <c r="AJ215" s="27">
        <f>IF(C215="","",SUMIFS(tbl_Finance[Ex GST],tbl_Finance[Job Number],C215&amp;"",tbl_Finance[Cost Centre],"VIDEO"))</f>
        <v/>
      </c>
      <c r="AK215" s="29">
        <f>IFERROR(AJ215/L215,"")</f>
        <v/>
      </c>
      <c r="AL215" s="27">
        <f>IF(C215="","",N(AF215)+N(AG215)+N(AH215)+N(AI215))</f>
        <v/>
      </c>
      <c r="AM215" s="27" t="n"/>
      <c r="AN215" s="29" t="n"/>
      <c r="AO215" s="71" t="n"/>
      <c r="AP215" s="71" t="n"/>
      <c r="AQ215" s="71" t="n"/>
      <c r="AR215" s="71" t="n"/>
      <c r="AS215" s="71" t="n"/>
      <c r="AT215" s="22" t="n"/>
    </row>
    <row r="216" ht="15" customHeight="1">
      <c r="A216" s="70">
        <f>IF(C216="","",IFERROR(IF(SUMPRODUCT(MAX((tbl_Finance[Job Number]&amp;""=C216&amp;"")*(tbl_Finance[Xero Invoice No]&lt;&gt;"")*tbl_Finance[Date]))=0,"",SUMPRODUCT(MAX((tbl_Finance[Job Number]&amp;""=C216&amp;"")*(tbl_Finance[Xero Invoice No]&lt;&gt;"")*tbl_Finance[Date]))),""))</f>
        <v/>
      </c>
      <c r="B216" s="26">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2" t="n"/>
      <c r="D216" s="26">
        <f>IF(C216="","",IF(COUNTIF(lst_Jobs,C216&amp;"")&gt;0,"OK","CHECK"))</f>
        <v/>
      </c>
      <c r="E216" s="26">
        <f>IF(C216="","",IFERROR(INDEX(lst_JobName,MATCH(C216&amp;"",lst_Jobs,0)),""))</f>
        <v/>
      </c>
      <c r="F216" s="22" t="n"/>
      <c r="G216" s="22" t="n"/>
      <c r="H216" s="22" t="n"/>
      <c r="I216" s="22" t="n"/>
      <c r="J216" s="22" t="n"/>
      <c r="K216" s="28">
        <f>IF(C216="","",COUNTIFS(tbl_Finance[Job Number],C216&amp;"",tbl_Finance[Ex GST],"&lt;&gt;"))</f>
        <v/>
      </c>
      <c r="L216" s="27">
        <f>IF(C216="","",SUMIFS(tbl_Finance[Ex GST],tbl_Finance[Job Number],C216&amp;""))</f>
        <v/>
      </c>
      <c r="M216" s="27">
        <f>IF(C216="","",SUMIFS(tbl_Finance[Ex GST],tbl_Finance[Job Number],C216&amp;"",tbl_Finance[Xero Invoice No],"&lt;&gt;"))</f>
        <v/>
      </c>
      <c r="N216" s="27">
        <f>IF(C216="","",L216-M216)</f>
        <v/>
      </c>
      <c r="O216" s="24" t="n"/>
      <c r="P216" s="27">
        <f>IF(C216="","",IF(O216="",0,MAX(0,O216-L216)))</f>
        <v/>
      </c>
      <c r="Q216" s="26">
        <f>IF(C216="","",IF(K216=0,"not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R216" s="27">
        <f>IF(C216="","",SUMIFS(tbl_Finance[Inc GST],tbl_Finance[Job Number],C216&amp;""))</f>
        <v/>
      </c>
      <c r="S216" s="22" t="n"/>
      <c r="T216" s="22" t="n"/>
      <c r="U216" s="22" t="n"/>
      <c r="V216" s="23" t="n"/>
      <c r="W216" s="22" t="n"/>
      <c r="X216" s="26">
        <f>IF(W216="","",IF(AND(LEFT(W216,4)&lt;&gt;"http",set_RMSBase=""),"",HYPERLINK(IF(LEFT(W216,4)="http",W216,set_RMSBase&amp;W216),"Open opportunity")))</f>
        <v/>
      </c>
      <c r="Y216" s="22" t="n"/>
      <c r="Z216" s="26">
        <f>IF(Y216="","",HYPERLINK(IF(LEFT(Y216,4)="http",Y216,set_QwilrBase&amp;Y216),"Open quote"))</f>
        <v/>
      </c>
      <c r="AA216" s="26">
        <f>IF(C216="","",C216)</f>
        <v/>
      </c>
      <c r="AB216" s="22" t="n"/>
      <c r="AC216" s="24" t="n"/>
      <c r="AD216" s="27">
        <f>IF(C216="","",L216+N(AC216))</f>
        <v/>
      </c>
      <c r="AE216" s="29">
        <f>IFERROR(AC216/AD216,"")</f>
        <v/>
      </c>
      <c r="AF216" s="24" t="n"/>
      <c r="AG216" s="24" t="n"/>
      <c r="AH216" s="24" t="n"/>
      <c r="AI216" s="24" t="n"/>
      <c r="AJ216" s="27">
        <f>IF(C216="","",SUMIFS(tbl_Finance[Ex GST],tbl_Finance[Job Number],C216&amp;"",tbl_Finance[Cost Centre],"VIDEO"))</f>
        <v/>
      </c>
      <c r="AK216" s="29">
        <f>IFERROR(AJ216/L216,"")</f>
        <v/>
      </c>
      <c r="AL216" s="27">
        <f>IF(C216="","",N(AF216)+N(AG216)+N(AH216)+N(AI216))</f>
        <v/>
      </c>
      <c r="AM216" s="27" t="n"/>
      <c r="AN216" s="29" t="n"/>
      <c r="AO216" s="71" t="n"/>
      <c r="AP216" s="71" t="n"/>
      <c r="AQ216" s="71" t="n"/>
      <c r="AR216" s="71" t="n"/>
      <c r="AS216" s="71" t="n"/>
      <c r="AT216" s="22" t="n"/>
    </row>
    <row r="217" ht="15" customHeight="1">
      <c r="A217" s="70">
        <f>IF(C217="","",IFERROR(IF(SUMPRODUCT(MAX((tbl_Finance[Job Number]&amp;""=C217&amp;"")*(tbl_Finance[Xero Invoice No]&lt;&gt;"")*tbl_Finance[Date]))=0,"",SUMPRODUCT(MAX((tbl_Finance[Job Number]&amp;""=C217&amp;"")*(tbl_Finance[Xero Invoice No]&lt;&gt;"")*tbl_Finance[Date]))),""))</f>
        <v/>
      </c>
      <c r="B217" s="26">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2" t="n"/>
      <c r="D217" s="26">
        <f>IF(C217="","",IF(COUNTIF(lst_Jobs,C217&amp;"")&gt;0,"OK","CHECK"))</f>
        <v/>
      </c>
      <c r="E217" s="26">
        <f>IF(C217="","",IFERROR(INDEX(lst_JobName,MATCH(C217&amp;"",lst_Jobs,0)),""))</f>
        <v/>
      </c>
      <c r="F217" s="22" t="n"/>
      <c r="G217" s="22" t="n"/>
      <c r="H217" s="22" t="n"/>
      <c r="I217" s="22" t="n"/>
      <c r="J217" s="22" t="n"/>
      <c r="K217" s="28">
        <f>IF(C217="","",COUNTIFS(tbl_Finance[Job Number],C217&amp;"",tbl_Finance[Ex GST],"&lt;&gt;"))</f>
        <v/>
      </c>
      <c r="L217" s="27">
        <f>IF(C217="","",SUMIFS(tbl_Finance[Ex GST],tbl_Finance[Job Number],C217&amp;""))</f>
        <v/>
      </c>
      <c r="M217" s="27">
        <f>IF(C217="","",SUMIFS(tbl_Finance[Ex GST],tbl_Finance[Job Number],C217&amp;"",tbl_Finance[Xero Invoice No],"&lt;&gt;"))</f>
        <v/>
      </c>
      <c r="N217" s="27">
        <f>IF(C217="","",L217-M217)</f>
        <v/>
      </c>
      <c r="O217" s="24" t="n"/>
      <c r="P217" s="27">
        <f>IF(C217="","",IF(O217="",0,MAX(0,O217-L217)))</f>
        <v/>
      </c>
      <c r="Q217" s="26">
        <f>IF(C217="","",IF(K217=0,"not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R217" s="27">
        <f>IF(C217="","",SUMIFS(tbl_Finance[Inc GST],tbl_Finance[Job Number],C217&amp;""))</f>
        <v/>
      </c>
      <c r="S217" s="22" t="n"/>
      <c r="T217" s="22" t="n"/>
      <c r="U217" s="22" t="n"/>
      <c r="V217" s="23" t="n"/>
      <c r="W217" s="22" t="n"/>
      <c r="X217" s="26">
        <f>IF(W217="","",IF(AND(LEFT(W217,4)&lt;&gt;"http",set_RMSBase=""),"",HYPERLINK(IF(LEFT(W217,4)="http",W217,set_RMSBase&amp;W217),"Open opportunity")))</f>
        <v/>
      </c>
      <c r="Y217" s="22" t="n"/>
      <c r="Z217" s="26">
        <f>IF(Y217="","",HYPERLINK(IF(LEFT(Y217,4)="http",Y217,set_QwilrBase&amp;Y217),"Open quote"))</f>
        <v/>
      </c>
      <c r="AA217" s="26">
        <f>IF(C217="","",C217)</f>
        <v/>
      </c>
      <c r="AB217" s="22" t="n"/>
      <c r="AC217" s="24" t="n"/>
      <c r="AD217" s="27">
        <f>IF(C217="","",L217+N(AC217))</f>
        <v/>
      </c>
      <c r="AE217" s="29">
        <f>IFERROR(AC217/AD217,"")</f>
        <v/>
      </c>
      <c r="AF217" s="24" t="n"/>
      <c r="AG217" s="24" t="n"/>
      <c r="AH217" s="24" t="n"/>
      <c r="AI217" s="24" t="n"/>
      <c r="AJ217" s="27">
        <f>IF(C217="","",SUMIFS(tbl_Finance[Ex GST],tbl_Finance[Job Number],C217&amp;"",tbl_Finance[Cost Centre],"VIDEO"))</f>
        <v/>
      </c>
      <c r="AK217" s="29">
        <f>IFERROR(AJ217/L217,"")</f>
        <v/>
      </c>
      <c r="AL217" s="27">
        <f>IF(C217="","",N(AF217)+N(AG217)+N(AH217)+N(AI217))</f>
        <v/>
      </c>
      <c r="AM217" s="27" t="n"/>
      <c r="AN217" s="29" t="n"/>
      <c r="AO217" s="71" t="n"/>
      <c r="AP217" s="71" t="n"/>
      <c r="AQ217" s="71" t="n"/>
      <c r="AR217" s="71" t="n"/>
      <c r="AS217" s="71" t="n"/>
      <c r="AT217" s="22" t="n"/>
    </row>
    <row r="218" ht="15" customHeight="1">
      <c r="A218" s="70">
        <f>IF(C218="","",IFERROR(IF(SUMPRODUCT(MAX((tbl_Finance[Job Number]&amp;""=C218&amp;"")*(tbl_Finance[Xero Invoice No]&lt;&gt;"")*tbl_Finance[Date]))=0,"",SUMPRODUCT(MAX((tbl_Finance[Job Number]&amp;""=C218&amp;"")*(tbl_Finance[Xero Invoice No]&lt;&gt;"")*tbl_Finance[Date]))),""))</f>
        <v/>
      </c>
      <c r="B218" s="26">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2" t="n"/>
      <c r="D218" s="26">
        <f>IF(C218="","",IF(COUNTIF(lst_Jobs,C218&amp;"")&gt;0,"OK","CHECK"))</f>
        <v/>
      </c>
      <c r="E218" s="26">
        <f>IF(C218="","",IFERROR(INDEX(lst_JobName,MATCH(C218&amp;"",lst_Jobs,0)),""))</f>
        <v/>
      </c>
      <c r="F218" s="22" t="n"/>
      <c r="G218" s="22" t="n"/>
      <c r="H218" s="22" t="n"/>
      <c r="I218" s="22" t="n"/>
      <c r="J218" s="22" t="n"/>
      <c r="K218" s="28">
        <f>IF(C218="","",COUNTIFS(tbl_Finance[Job Number],C218&amp;"",tbl_Finance[Ex GST],"&lt;&gt;"))</f>
        <v/>
      </c>
      <c r="L218" s="27">
        <f>IF(C218="","",SUMIFS(tbl_Finance[Ex GST],tbl_Finance[Job Number],C218&amp;""))</f>
        <v/>
      </c>
      <c r="M218" s="27">
        <f>IF(C218="","",SUMIFS(tbl_Finance[Ex GST],tbl_Finance[Job Number],C218&amp;"",tbl_Finance[Xero Invoice No],"&lt;&gt;"))</f>
        <v/>
      </c>
      <c r="N218" s="27">
        <f>IF(C218="","",L218-M218)</f>
        <v/>
      </c>
      <c r="O218" s="24" t="n"/>
      <c r="P218" s="27">
        <f>IF(C218="","",IF(O218="",0,MAX(0,O218-L218)))</f>
        <v/>
      </c>
      <c r="Q218" s="26">
        <f>IF(C218="","",IF(K218=0,"not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R218" s="27">
        <f>IF(C218="","",SUMIFS(tbl_Finance[Inc GST],tbl_Finance[Job Number],C218&amp;""))</f>
        <v/>
      </c>
      <c r="S218" s="22" t="n"/>
      <c r="T218" s="22" t="n"/>
      <c r="U218" s="22" t="n"/>
      <c r="V218" s="23" t="n"/>
      <c r="W218" s="22" t="n"/>
      <c r="X218" s="26">
        <f>IF(W218="","",IF(AND(LEFT(W218,4)&lt;&gt;"http",set_RMSBase=""),"",HYPERLINK(IF(LEFT(W218,4)="http",W218,set_RMSBase&amp;W218),"Open opportunity")))</f>
        <v/>
      </c>
      <c r="Y218" s="22" t="n"/>
      <c r="Z218" s="26">
        <f>IF(Y218="","",HYPERLINK(IF(LEFT(Y218,4)="http",Y218,set_QwilrBase&amp;Y218),"Open quote"))</f>
        <v/>
      </c>
      <c r="AA218" s="26">
        <f>IF(C218="","",C218)</f>
        <v/>
      </c>
      <c r="AB218" s="22" t="n"/>
      <c r="AC218" s="24" t="n"/>
      <c r="AD218" s="27">
        <f>IF(C218="","",L218+N(AC218))</f>
        <v/>
      </c>
      <c r="AE218" s="29">
        <f>IFERROR(AC218/AD218,"")</f>
        <v/>
      </c>
      <c r="AF218" s="24" t="n"/>
      <c r="AG218" s="24" t="n"/>
      <c r="AH218" s="24" t="n"/>
      <c r="AI218" s="24" t="n"/>
      <c r="AJ218" s="27">
        <f>IF(C218="","",SUMIFS(tbl_Finance[Ex GST],tbl_Finance[Job Number],C218&amp;"",tbl_Finance[Cost Centre],"VIDEO"))</f>
        <v/>
      </c>
      <c r="AK218" s="29">
        <f>IFERROR(AJ218/L218,"")</f>
        <v/>
      </c>
      <c r="AL218" s="27">
        <f>IF(C218="","",N(AF218)+N(AG218)+N(AH218)+N(AI218))</f>
        <v/>
      </c>
      <c r="AM218" s="27" t="n"/>
      <c r="AN218" s="29" t="n"/>
      <c r="AO218" s="71" t="n"/>
      <c r="AP218" s="71" t="n"/>
      <c r="AQ218" s="71" t="n"/>
      <c r="AR218" s="71" t="n"/>
      <c r="AS218" s="71" t="n"/>
      <c r="AT218" s="22" t="n"/>
    </row>
    <row r="219" ht="15" customHeight="1">
      <c r="A219" s="70">
        <f>IF(C219="","",IFERROR(IF(SUMPRODUCT(MAX((tbl_Finance[Job Number]&amp;""=C219&amp;"")*(tbl_Finance[Xero Invoice No]&lt;&gt;"")*tbl_Finance[Date]))=0,"",SUMPRODUCT(MAX((tbl_Finance[Job Number]&amp;""=C219&amp;"")*(tbl_Finance[Xero Invoice No]&lt;&gt;"")*tbl_Finance[Date]))),""))</f>
        <v/>
      </c>
      <c r="B219" s="26">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2" t="n"/>
      <c r="D219" s="26">
        <f>IF(C219="","",IF(COUNTIF(lst_Jobs,C219&amp;"")&gt;0,"OK","CHECK"))</f>
        <v/>
      </c>
      <c r="E219" s="26">
        <f>IF(C219="","",IFERROR(INDEX(lst_JobName,MATCH(C219&amp;"",lst_Jobs,0)),""))</f>
        <v/>
      </c>
      <c r="F219" s="22" t="n"/>
      <c r="G219" s="22" t="n"/>
      <c r="H219" s="22" t="n"/>
      <c r="I219" s="22" t="n"/>
      <c r="J219" s="22" t="n"/>
      <c r="K219" s="28">
        <f>IF(C219="","",COUNTIFS(tbl_Finance[Job Number],C219&amp;"",tbl_Finance[Ex GST],"&lt;&gt;"))</f>
        <v/>
      </c>
      <c r="L219" s="27">
        <f>IF(C219="","",SUMIFS(tbl_Finance[Ex GST],tbl_Finance[Job Number],C219&amp;""))</f>
        <v/>
      </c>
      <c r="M219" s="27">
        <f>IF(C219="","",SUMIFS(tbl_Finance[Ex GST],tbl_Finance[Job Number],C219&amp;"",tbl_Finance[Xero Invoice No],"&lt;&gt;"))</f>
        <v/>
      </c>
      <c r="N219" s="27">
        <f>IF(C219="","",L219-M219)</f>
        <v/>
      </c>
      <c r="O219" s="24" t="n"/>
      <c r="P219" s="27">
        <f>IF(C219="","",IF(O219="",0,MAX(0,O219-L219)))</f>
        <v/>
      </c>
      <c r="Q219" s="26">
        <f>IF(C219="","",IF(K219=0,"not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R219" s="27">
        <f>IF(C219="","",SUMIFS(tbl_Finance[Inc GST],tbl_Finance[Job Number],C219&amp;""))</f>
        <v/>
      </c>
      <c r="S219" s="22" t="n"/>
      <c r="T219" s="22" t="n"/>
      <c r="U219" s="22" t="n"/>
      <c r="V219" s="23" t="n"/>
      <c r="W219" s="22" t="n"/>
      <c r="X219" s="26">
        <f>IF(W219="","",IF(AND(LEFT(W219,4)&lt;&gt;"http",set_RMSBase=""),"",HYPERLINK(IF(LEFT(W219,4)="http",W219,set_RMSBase&amp;W219),"Open opportunity")))</f>
        <v/>
      </c>
      <c r="Y219" s="22" t="n"/>
      <c r="Z219" s="26">
        <f>IF(Y219="","",HYPERLINK(IF(LEFT(Y219,4)="http",Y219,set_QwilrBase&amp;Y219),"Open quote"))</f>
        <v/>
      </c>
      <c r="AA219" s="26">
        <f>IF(C219="","",C219)</f>
        <v/>
      </c>
      <c r="AB219" s="22" t="n"/>
      <c r="AC219" s="24" t="n"/>
      <c r="AD219" s="27">
        <f>IF(C219="","",L219+N(AC219))</f>
        <v/>
      </c>
      <c r="AE219" s="29">
        <f>IFERROR(AC219/AD219,"")</f>
        <v/>
      </c>
      <c r="AF219" s="24" t="n"/>
      <c r="AG219" s="24" t="n"/>
      <c r="AH219" s="24" t="n"/>
      <c r="AI219" s="24" t="n"/>
      <c r="AJ219" s="27">
        <f>IF(C219="","",SUMIFS(tbl_Finance[Ex GST],tbl_Finance[Job Number],C219&amp;"",tbl_Finance[Cost Centre],"VIDEO"))</f>
        <v/>
      </c>
      <c r="AK219" s="29">
        <f>IFERROR(AJ219/L219,"")</f>
        <v/>
      </c>
      <c r="AL219" s="27">
        <f>IF(C219="","",N(AF219)+N(AG219)+N(AH219)+N(AI219))</f>
        <v/>
      </c>
      <c r="AM219" s="27" t="n"/>
      <c r="AN219" s="29" t="n"/>
      <c r="AO219" s="71" t="n"/>
      <c r="AP219" s="71" t="n"/>
      <c r="AQ219" s="71" t="n"/>
      <c r="AR219" s="71" t="n"/>
      <c r="AS219" s="71" t="n"/>
      <c r="AT219" s="22" t="n"/>
    </row>
    <row r="220" ht="15" customHeight="1">
      <c r="A220" s="70">
        <f>IF(C220="","",IFERROR(IF(SUMPRODUCT(MAX((tbl_Finance[Job Number]&amp;""=C220&amp;"")*(tbl_Finance[Xero Invoice No]&lt;&gt;"")*tbl_Finance[Date]))=0,"",SUMPRODUCT(MAX((tbl_Finance[Job Number]&amp;""=C220&amp;"")*(tbl_Finance[Xero Invoice No]&lt;&gt;"")*tbl_Finance[Date]))),""))</f>
        <v/>
      </c>
      <c r="B220" s="26">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2" t="n"/>
      <c r="D220" s="26">
        <f>IF(C220="","",IF(COUNTIF(lst_Jobs,C220&amp;"")&gt;0,"OK","CHECK"))</f>
        <v/>
      </c>
      <c r="E220" s="26">
        <f>IF(C220="","",IFERROR(INDEX(lst_JobName,MATCH(C220&amp;"",lst_Jobs,0)),""))</f>
        <v/>
      </c>
      <c r="F220" s="22" t="n"/>
      <c r="G220" s="22" t="n"/>
      <c r="H220" s="22" t="n"/>
      <c r="I220" s="22" t="n"/>
      <c r="J220" s="22" t="n"/>
      <c r="K220" s="28">
        <f>IF(C220="","",COUNTIFS(tbl_Finance[Job Number],C220&amp;"",tbl_Finance[Ex GST],"&lt;&gt;"))</f>
        <v/>
      </c>
      <c r="L220" s="27">
        <f>IF(C220="","",SUMIFS(tbl_Finance[Ex GST],tbl_Finance[Job Number],C220&amp;""))</f>
        <v/>
      </c>
      <c r="M220" s="27">
        <f>IF(C220="","",SUMIFS(tbl_Finance[Ex GST],tbl_Finance[Job Number],C220&amp;"",tbl_Finance[Xero Invoice No],"&lt;&gt;"))</f>
        <v/>
      </c>
      <c r="N220" s="27">
        <f>IF(C220="","",L220-M220)</f>
        <v/>
      </c>
      <c r="O220" s="24" t="n"/>
      <c r="P220" s="27">
        <f>IF(C220="","",IF(O220="",0,MAX(0,O220-L220)))</f>
        <v/>
      </c>
      <c r="Q220" s="26">
        <f>IF(C220="","",IF(K220=0,"not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R220" s="27">
        <f>IF(C220="","",SUMIFS(tbl_Finance[Inc GST],tbl_Finance[Job Number],C220&amp;""))</f>
        <v/>
      </c>
      <c r="S220" s="22" t="n"/>
      <c r="T220" s="22" t="n"/>
      <c r="U220" s="22" t="n"/>
      <c r="V220" s="23" t="n"/>
      <c r="W220" s="22" t="n"/>
      <c r="X220" s="26">
        <f>IF(W220="","",IF(AND(LEFT(W220,4)&lt;&gt;"http",set_RMSBase=""),"",HYPERLINK(IF(LEFT(W220,4)="http",W220,set_RMSBase&amp;W220),"Open opportunity")))</f>
        <v/>
      </c>
      <c r="Y220" s="22" t="n"/>
      <c r="Z220" s="26">
        <f>IF(Y220="","",HYPERLINK(IF(LEFT(Y220,4)="http",Y220,set_QwilrBase&amp;Y220),"Open quote"))</f>
        <v/>
      </c>
      <c r="AA220" s="26">
        <f>IF(C220="","",C220)</f>
        <v/>
      </c>
      <c r="AB220" s="22" t="n"/>
      <c r="AC220" s="24" t="n"/>
      <c r="AD220" s="27">
        <f>IF(C220="","",L220+N(AC220))</f>
        <v/>
      </c>
      <c r="AE220" s="29">
        <f>IFERROR(AC220/AD220,"")</f>
        <v/>
      </c>
      <c r="AF220" s="24" t="n"/>
      <c r="AG220" s="24" t="n"/>
      <c r="AH220" s="24" t="n"/>
      <c r="AI220" s="24" t="n"/>
      <c r="AJ220" s="27">
        <f>IF(C220="","",SUMIFS(tbl_Finance[Ex GST],tbl_Finance[Job Number],C220&amp;"",tbl_Finance[Cost Centre],"VIDEO"))</f>
        <v/>
      </c>
      <c r="AK220" s="29">
        <f>IFERROR(AJ220/L220,"")</f>
        <v/>
      </c>
      <c r="AL220" s="27">
        <f>IF(C220="","",N(AF220)+N(AG220)+N(AH220)+N(AI220))</f>
        <v/>
      </c>
      <c r="AM220" s="27" t="n"/>
      <c r="AN220" s="29" t="n"/>
      <c r="AO220" s="71" t="n"/>
      <c r="AP220" s="71" t="n"/>
      <c r="AQ220" s="71" t="n"/>
      <c r="AR220" s="71" t="n"/>
      <c r="AS220" s="71" t="n"/>
      <c r="AT220" s="22" t="n"/>
    </row>
    <row r="221" ht="15" customHeight="1">
      <c r="A221" s="70">
        <f>IF(C221="","",IFERROR(IF(SUMPRODUCT(MAX((tbl_Finance[Job Number]&amp;""=C221&amp;"")*(tbl_Finance[Xero Invoice No]&lt;&gt;"")*tbl_Finance[Date]))=0,"",SUMPRODUCT(MAX((tbl_Finance[Job Number]&amp;""=C221&amp;"")*(tbl_Finance[Xero Invoice No]&lt;&gt;"")*tbl_Finance[Date]))),""))</f>
        <v/>
      </c>
      <c r="B221" s="26">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2" t="n"/>
      <c r="D221" s="26">
        <f>IF(C221="","",IF(COUNTIF(lst_Jobs,C221&amp;"")&gt;0,"OK","CHECK"))</f>
        <v/>
      </c>
      <c r="E221" s="26">
        <f>IF(C221="","",IFERROR(INDEX(lst_JobName,MATCH(C221&amp;"",lst_Jobs,0)),""))</f>
        <v/>
      </c>
      <c r="F221" s="22" t="n"/>
      <c r="G221" s="22" t="n"/>
      <c r="H221" s="22" t="n"/>
      <c r="I221" s="22" t="n"/>
      <c r="J221" s="22" t="n"/>
      <c r="K221" s="28">
        <f>IF(C221="","",COUNTIFS(tbl_Finance[Job Number],C221&amp;"",tbl_Finance[Ex GST],"&lt;&gt;"))</f>
        <v/>
      </c>
      <c r="L221" s="27">
        <f>IF(C221="","",SUMIFS(tbl_Finance[Ex GST],tbl_Finance[Job Number],C221&amp;""))</f>
        <v/>
      </c>
      <c r="M221" s="27">
        <f>IF(C221="","",SUMIFS(tbl_Finance[Ex GST],tbl_Finance[Job Number],C221&amp;"",tbl_Finance[Xero Invoice No],"&lt;&gt;"))</f>
        <v/>
      </c>
      <c r="N221" s="27">
        <f>IF(C221="","",L221-M221)</f>
        <v/>
      </c>
      <c r="O221" s="24" t="n"/>
      <c r="P221" s="27">
        <f>IF(C221="","",IF(O221="",0,MAX(0,O221-L221)))</f>
        <v/>
      </c>
      <c r="Q221" s="26">
        <f>IF(C221="","",IF(K221=0,"not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R221" s="27">
        <f>IF(C221="","",SUMIFS(tbl_Finance[Inc GST],tbl_Finance[Job Number],C221&amp;""))</f>
        <v/>
      </c>
      <c r="S221" s="22" t="n"/>
      <c r="T221" s="22" t="n"/>
      <c r="U221" s="22" t="n"/>
      <c r="V221" s="23" t="n"/>
      <c r="W221" s="22" t="n"/>
      <c r="X221" s="26">
        <f>IF(W221="","",IF(AND(LEFT(W221,4)&lt;&gt;"http",set_RMSBase=""),"",HYPERLINK(IF(LEFT(W221,4)="http",W221,set_RMSBase&amp;W221),"Open opportunity")))</f>
        <v/>
      </c>
      <c r="Y221" s="22" t="n"/>
      <c r="Z221" s="26">
        <f>IF(Y221="","",HYPERLINK(IF(LEFT(Y221,4)="http",Y221,set_QwilrBase&amp;Y221),"Open quote"))</f>
        <v/>
      </c>
      <c r="AA221" s="26">
        <f>IF(C221="","",C221)</f>
        <v/>
      </c>
      <c r="AB221" s="22" t="n"/>
      <c r="AC221" s="24" t="n"/>
      <c r="AD221" s="27">
        <f>IF(C221="","",L221+N(AC221))</f>
        <v/>
      </c>
      <c r="AE221" s="29">
        <f>IFERROR(AC221/AD221,"")</f>
        <v/>
      </c>
      <c r="AF221" s="24" t="n"/>
      <c r="AG221" s="24" t="n"/>
      <c r="AH221" s="24" t="n"/>
      <c r="AI221" s="24" t="n"/>
      <c r="AJ221" s="27">
        <f>IF(C221="","",SUMIFS(tbl_Finance[Ex GST],tbl_Finance[Job Number],C221&amp;"",tbl_Finance[Cost Centre],"VIDEO"))</f>
        <v/>
      </c>
      <c r="AK221" s="29">
        <f>IFERROR(AJ221/L221,"")</f>
        <v/>
      </c>
      <c r="AL221" s="27">
        <f>IF(C221="","",N(AF221)+N(AG221)+N(AH221)+N(AI221))</f>
        <v/>
      </c>
      <c r="AM221" s="27" t="n"/>
      <c r="AN221" s="29" t="n"/>
      <c r="AO221" s="71" t="n"/>
      <c r="AP221" s="71" t="n"/>
      <c r="AQ221" s="71" t="n"/>
      <c r="AR221" s="71" t="n"/>
      <c r="AS221" s="71" t="n"/>
      <c r="AT221" s="22" t="n"/>
    </row>
    <row r="222" ht="15" customHeight="1">
      <c r="A222" s="70">
        <f>IF(C222="","",IFERROR(IF(SUMPRODUCT(MAX((tbl_Finance[Job Number]&amp;""=C222&amp;"")*(tbl_Finance[Xero Invoice No]&lt;&gt;"")*tbl_Finance[Date]))=0,"",SUMPRODUCT(MAX((tbl_Finance[Job Number]&amp;""=C222&amp;"")*(tbl_Finance[Xero Invoice No]&lt;&gt;"")*tbl_Finance[Date]))),""))</f>
        <v/>
      </c>
      <c r="B222" s="26">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2" t="n"/>
      <c r="D222" s="26">
        <f>IF(C222="","",IF(COUNTIF(lst_Jobs,C222&amp;"")&gt;0,"OK","CHECK"))</f>
        <v/>
      </c>
      <c r="E222" s="26">
        <f>IF(C222="","",IFERROR(INDEX(lst_JobName,MATCH(C222&amp;"",lst_Jobs,0)),""))</f>
        <v/>
      </c>
      <c r="F222" s="22" t="n"/>
      <c r="G222" s="22" t="n"/>
      <c r="H222" s="22" t="n"/>
      <c r="I222" s="22" t="n"/>
      <c r="J222" s="22" t="n"/>
      <c r="K222" s="28">
        <f>IF(C222="","",COUNTIFS(tbl_Finance[Job Number],C222&amp;"",tbl_Finance[Ex GST],"&lt;&gt;"))</f>
        <v/>
      </c>
      <c r="L222" s="27">
        <f>IF(C222="","",SUMIFS(tbl_Finance[Ex GST],tbl_Finance[Job Number],C222&amp;""))</f>
        <v/>
      </c>
      <c r="M222" s="27">
        <f>IF(C222="","",SUMIFS(tbl_Finance[Ex GST],tbl_Finance[Job Number],C222&amp;"",tbl_Finance[Xero Invoice No],"&lt;&gt;"))</f>
        <v/>
      </c>
      <c r="N222" s="27">
        <f>IF(C222="","",L222-M222)</f>
        <v/>
      </c>
      <c r="O222" s="24" t="n"/>
      <c r="P222" s="27">
        <f>IF(C222="","",IF(O222="",0,MAX(0,O222-L222)))</f>
        <v/>
      </c>
      <c r="Q222" s="26">
        <f>IF(C222="","",IF(K222=0,"not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R222" s="27">
        <f>IF(C222="","",SUMIFS(tbl_Finance[Inc GST],tbl_Finance[Job Number],C222&amp;""))</f>
        <v/>
      </c>
      <c r="S222" s="22" t="n"/>
      <c r="T222" s="22" t="n"/>
      <c r="U222" s="22" t="n"/>
      <c r="V222" s="23" t="n"/>
      <c r="W222" s="22" t="n"/>
      <c r="X222" s="26">
        <f>IF(W222="","",IF(AND(LEFT(W222,4)&lt;&gt;"http",set_RMSBase=""),"",HYPERLINK(IF(LEFT(W222,4)="http",W222,set_RMSBase&amp;W222),"Open opportunity")))</f>
        <v/>
      </c>
      <c r="Y222" s="22" t="n"/>
      <c r="Z222" s="26">
        <f>IF(Y222="","",HYPERLINK(IF(LEFT(Y222,4)="http",Y222,set_QwilrBase&amp;Y222),"Open quote"))</f>
        <v/>
      </c>
      <c r="AA222" s="26">
        <f>IF(C222="","",C222)</f>
        <v/>
      </c>
      <c r="AB222" s="22" t="n"/>
      <c r="AC222" s="24" t="n"/>
      <c r="AD222" s="27">
        <f>IF(C222="","",L222+N(AC222))</f>
        <v/>
      </c>
      <c r="AE222" s="29">
        <f>IFERROR(AC222/AD222,"")</f>
        <v/>
      </c>
      <c r="AF222" s="24" t="n"/>
      <c r="AG222" s="24" t="n"/>
      <c r="AH222" s="24" t="n"/>
      <c r="AI222" s="24" t="n"/>
      <c r="AJ222" s="27">
        <f>IF(C222="","",SUMIFS(tbl_Finance[Ex GST],tbl_Finance[Job Number],C222&amp;"",tbl_Finance[Cost Centre],"VIDEO"))</f>
        <v/>
      </c>
      <c r="AK222" s="29">
        <f>IFERROR(AJ222/L222,"")</f>
        <v/>
      </c>
      <c r="AL222" s="27">
        <f>IF(C222="","",N(AF222)+N(AG222)+N(AH222)+N(AI222))</f>
        <v/>
      </c>
      <c r="AM222" s="27" t="n"/>
      <c r="AN222" s="29" t="n"/>
      <c r="AO222" s="71" t="n"/>
      <c r="AP222" s="71" t="n"/>
      <c r="AQ222" s="71" t="n"/>
      <c r="AR222" s="71" t="n"/>
      <c r="AS222" s="71" t="n"/>
      <c r="AT222" s="22" t="n"/>
    </row>
    <row r="223" ht="15" customHeight="1">
      <c r="A223" s="70">
        <f>IF(C223="","",IFERROR(IF(SUMPRODUCT(MAX((tbl_Finance[Job Number]&amp;""=C223&amp;"")*(tbl_Finance[Xero Invoice No]&lt;&gt;"")*tbl_Finance[Date]))=0,"",SUMPRODUCT(MAX((tbl_Finance[Job Number]&amp;""=C223&amp;"")*(tbl_Finance[Xero Invoice No]&lt;&gt;"")*tbl_Finance[Date]))),""))</f>
        <v/>
      </c>
      <c r="B223" s="26">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2" t="n"/>
      <c r="D223" s="26">
        <f>IF(C223="","",IF(COUNTIF(lst_Jobs,C223&amp;"")&gt;0,"OK","CHECK"))</f>
        <v/>
      </c>
      <c r="E223" s="26">
        <f>IF(C223="","",IFERROR(INDEX(lst_JobName,MATCH(C223&amp;"",lst_Jobs,0)),""))</f>
        <v/>
      </c>
      <c r="F223" s="22" t="n"/>
      <c r="G223" s="22" t="n"/>
      <c r="H223" s="22" t="n"/>
      <c r="I223" s="22" t="n"/>
      <c r="J223" s="22" t="n"/>
      <c r="K223" s="28">
        <f>IF(C223="","",COUNTIFS(tbl_Finance[Job Number],C223&amp;"",tbl_Finance[Ex GST],"&lt;&gt;"))</f>
        <v/>
      </c>
      <c r="L223" s="27">
        <f>IF(C223="","",SUMIFS(tbl_Finance[Ex GST],tbl_Finance[Job Number],C223&amp;""))</f>
        <v/>
      </c>
      <c r="M223" s="27">
        <f>IF(C223="","",SUMIFS(tbl_Finance[Ex GST],tbl_Finance[Job Number],C223&amp;"",tbl_Finance[Xero Invoice No],"&lt;&gt;"))</f>
        <v/>
      </c>
      <c r="N223" s="27">
        <f>IF(C223="","",L223-M223)</f>
        <v/>
      </c>
      <c r="O223" s="24" t="n"/>
      <c r="P223" s="27">
        <f>IF(C223="","",IF(O223="",0,MAX(0,O223-L223)))</f>
        <v/>
      </c>
      <c r="Q223" s="26">
        <f>IF(C223="","",IF(K223=0,"not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R223" s="27">
        <f>IF(C223="","",SUMIFS(tbl_Finance[Inc GST],tbl_Finance[Job Number],C223&amp;""))</f>
        <v/>
      </c>
      <c r="S223" s="22" t="n"/>
      <c r="T223" s="22" t="n"/>
      <c r="U223" s="22" t="n"/>
      <c r="V223" s="23" t="n"/>
      <c r="W223" s="22" t="n"/>
      <c r="X223" s="26">
        <f>IF(W223="","",IF(AND(LEFT(W223,4)&lt;&gt;"http",set_RMSBase=""),"",HYPERLINK(IF(LEFT(W223,4)="http",W223,set_RMSBase&amp;W223),"Open opportunity")))</f>
        <v/>
      </c>
      <c r="Y223" s="22" t="n"/>
      <c r="Z223" s="26">
        <f>IF(Y223="","",HYPERLINK(IF(LEFT(Y223,4)="http",Y223,set_QwilrBase&amp;Y223),"Open quote"))</f>
        <v/>
      </c>
      <c r="AA223" s="26">
        <f>IF(C223="","",C223)</f>
        <v/>
      </c>
      <c r="AB223" s="22" t="n"/>
      <c r="AC223" s="24" t="n"/>
      <c r="AD223" s="27">
        <f>IF(C223="","",L223+N(AC223))</f>
        <v/>
      </c>
      <c r="AE223" s="29">
        <f>IFERROR(AC223/AD223,"")</f>
        <v/>
      </c>
      <c r="AF223" s="24" t="n"/>
      <c r="AG223" s="24" t="n"/>
      <c r="AH223" s="24" t="n"/>
      <c r="AI223" s="24" t="n"/>
      <c r="AJ223" s="27">
        <f>IF(C223="","",SUMIFS(tbl_Finance[Ex GST],tbl_Finance[Job Number],C223&amp;"",tbl_Finance[Cost Centre],"VIDEO"))</f>
        <v/>
      </c>
      <c r="AK223" s="29">
        <f>IFERROR(AJ223/L223,"")</f>
        <v/>
      </c>
      <c r="AL223" s="27">
        <f>IF(C223="","",N(AF223)+N(AG223)+N(AH223)+N(AI223))</f>
        <v/>
      </c>
      <c r="AM223" s="27" t="n"/>
      <c r="AN223" s="29" t="n"/>
      <c r="AO223" s="71" t="n"/>
      <c r="AP223" s="71" t="n"/>
      <c r="AQ223" s="71" t="n"/>
      <c r="AR223" s="71" t="n"/>
      <c r="AS223" s="71" t="n"/>
      <c r="AT223" s="22" t="n"/>
    </row>
    <row r="224" ht="15" customHeight="1">
      <c r="A224" s="70">
        <f>IF(C224="","",IFERROR(IF(SUMPRODUCT(MAX((tbl_Finance[Job Number]&amp;""=C224&amp;"")*(tbl_Finance[Xero Invoice No]&lt;&gt;"")*tbl_Finance[Date]))=0,"",SUMPRODUCT(MAX((tbl_Finance[Job Number]&amp;""=C224&amp;"")*(tbl_Finance[Xero Invoice No]&lt;&gt;"")*tbl_Finance[Date]))),""))</f>
        <v/>
      </c>
      <c r="B224" s="26">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2" t="n"/>
      <c r="D224" s="26">
        <f>IF(C224="","",IF(COUNTIF(lst_Jobs,C224&amp;"")&gt;0,"OK","CHECK"))</f>
        <v/>
      </c>
      <c r="E224" s="26">
        <f>IF(C224="","",IFERROR(INDEX(lst_JobName,MATCH(C224&amp;"",lst_Jobs,0)),""))</f>
        <v/>
      </c>
      <c r="F224" s="22" t="n"/>
      <c r="G224" s="22" t="n"/>
      <c r="H224" s="22" t="n"/>
      <c r="I224" s="22" t="n"/>
      <c r="J224" s="22" t="n"/>
      <c r="K224" s="28">
        <f>IF(C224="","",COUNTIFS(tbl_Finance[Job Number],C224&amp;"",tbl_Finance[Ex GST],"&lt;&gt;"))</f>
        <v/>
      </c>
      <c r="L224" s="27">
        <f>IF(C224="","",SUMIFS(tbl_Finance[Ex GST],tbl_Finance[Job Number],C224&amp;""))</f>
        <v/>
      </c>
      <c r="M224" s="27">
        <f>IF(C224="","",SUMIFS(tbl_Finance[Ex GST],tbl_Finance[Job Number],C224&amp;"",tbl_Finance[Xero Invoice No],"&lt;&gt;"))</f>
        <v/>
      </c>
      <c r="N224" s="27">
        <f>IF(C224="","",L224-M224)</f>
        <v/>
      </c>
      <c r="O224" s="24" t="n"/>
      <c r="P224" s="27">
        <f>IF(C224="","",IF(O224="",0,MAX(0,O224-L224)))</f>
        <v/>
      </c>
      <c r="Q224" s="26">
        <f>IF(C224="","",IF(K224=0,"not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R224" s="27">
        <f>IF(C224="","",SUMIFS(tbl_Finance[Inc GST],tbl_Finance[Job Number],C224&amp;""))</f>
        <v/>
      </c>
      <c r="S224" s="22" t="n"/>
      <c r="T224" s="22" t="n"/>
      <c r="U224" s="22" t="n"/>
      <c r="V224" s="23" t="n"/>
      <c r="W224" s="22" t="n"/>
      <c r="X224" s="26">
        <f>IF(W224="","",IF(AND(LEFT(W224,4)&lt;&gt;"http",set_RMSBase=""),"",HYPERLINK(IF(LEFT(W224,4)="http",W224,set_RMSBase&amp;W224),"Open opportunity")))</f>
        <v/>
      </c>
      <c r="Y224" s="22" t="n"/>
      <c r="Z224" s="26">
        <f>IF(Y224="","",HYPERLINK(IF(LEFT(Y224,4)="http",Y224,set_QwilrBase&amp;Y224),"Open quote"))</f>
        <v/>
      </c>
      <c r="AA224" s="26">
        <f>IF(C224="","",C224)</f>
        <v/>
      </c>
      <c r="AB224" s="22" t="n"/>
      <c r="AC224" s="24" t="n"/>
      <c r="AD224" s="27">
        <f>IF(C224="","",L224+N(AC224))</f>
        <v/>
      </c>
      <c r="AE224" s="29">
        <f>IFERROR(AC224/AD224,"")</f>
        <v/>
      </c>
      <c r="AF224" s="24" t="n"/>
      <c r="AG224" s="24" t="n"/>
      <c r="AH224" s="24" t="n"/>
      <c r="AI224" s="24" t="n"/>
      <c r="AJ224" s="27">
        <f>IF(C224="","",SUMIFS(tbl_Finance[Ex GST],tbl_Finance[Job Number],C224&amp;"",tbl_Finance[Cost Centre],"VIDEO"))</f>
        <v/>
      </c>
      <c r="AK224" s="29">
        <f>IFERROR(AJ224/L224,"")</f>
        <v/>
      </c>
      <c r="AL224" s="27">
        <f>IF(C224="","",N(AF224)+N(AG224)+N(AH224)+N(AI224))</f>
        <v/>
      </c>
      <c r="AM224" s="27" t="n"/>
      <c r="AN224" s="29" t="n"/>
      <c r="AO224" s="71" t="n"/>
      <c r="AP224" s="71" t="n"/>
      <c r="AQ224" s="71" t="n"/>
      <c r="AR224" s="71" t="n"/>
      <c r="AS224" s="71" t="n"/>
      <c r="AT224" s="22" t="n"/>
    </row>
    <row r="225" ht="15" customHeight="1">
      <c r="A225" s="70">
        <f>IF(C225="","",IFERROR(IF(SUMPRODUCT(MAX((tbl_Finance[Job Number]&amp;""=C225&amp;"")*(tbl_Finance[Xero Invoice No]&lt;&gt;"")*tbl_Finance[Date]))=0,"",SUMPRODUCT(MAX((tbl_Finance[Job Number]&amp;""=C225&amp;"")*(tbl_Finance[Xero Invoice No]&lt;&gt;"")*tbl_Finance[Date]))),""))</f>
        <v/>
      </c>
      <c r="B225" s="26">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2" t="n"/>
      <c r="D225" s="26">
        <f>IF(C225="","",IF(COUNTIF(lst_Jobs,C225&amp;"")&gt;0,"OK","CHECK"))</f>
        <v/>
      </c>
      <c r="E225" s="26">
        <f>IF(C225="","",IFERROR(INDEX(lst_JobName,MATCH(C225&amp;"",lst_Jobs,0)),""))</f>
        <v/>
      </c>
      <c r="F225" s="22" t="n"/>
      <c r="G225" s="22" t="n"/>
      <c r="H225" s="22" t="n"/>
      <c r="I225" s="22" t="n"/>
      <c r="J225" s="22" t="n"/>
      <c r="K225" s="28">
        <f>IF(C225="","",COUNTIFS(tbl_Finance[Job Number],C225&amp;"",tbl_Finance[Ex GST],"&lt;&gt;"))</f>
        <v/>
      </c>
      <c r="L225" s="27">
        <f>IF(C225="","",SUMIFS(tbl_Finance[Ex GST],tbl_Finance[Job Number],C225&amp;""))</f>
        <v/>
      </c>
      <c r="M225" s="27">
        <f>IF(C225="","",SUMIFS(tbl_Finance[Ex GST],tbl_Finance[Job Number],C225&amp;"",tbl_Finance[Xero Invoice No],"&lt;&gt;"))</f>
        <v/>
      </c>
      <c r="N225" s="27">
        <f>IF(C225="","",L225-M225)</f>
        <v/>
      </c>
      <c r="O225" s="24" t="n"/>
      <c r="P225" s="27">
        <f>IF(C225="","",IF(O225="",0,MAX(0,O225-L225)))</f>
        <v/>
      </c>
      <c r="Q225" s="26">
        <f>IF(C225="","",IF(K225=0,"not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R225" s="27">
        <f>IF(C225="","",SUMIFS(tbl_Finance[Inc GST],tbl_Finance[Job Number],C225&amp;""))</f>
        <v/>
      </c>
      <c r="S225" s="22" t="n"/>
      <c r="T225" s="22" t="n"/>
      <c r="U225" s="22" t="n"/>
      <c r="V225" s="23" t="n"/>
      <c r="W225" s="22" t="n"/>
      <c r="X225" s="26">
        <f>IF(W225="","",IF(AND(LEFT(W225,4)&lt;&gt;"http",set_RMSBase=""),"",HYPERLINK(IF(LEFT(W225,4)="http",W225,set_RMSBase&amp;W225),"Open opportunity")))</f>
        <v/>
      </c>
      <c r="Y225" s="22" t="n"/>
      <c r="Z225" s="26">
        <f>IF(Y225="","",HYPERLINK(IF(LEFT(Y225,4)="http",Y225,set_QwilrBase&amp;Y225),"Open quote"))</f>
        <v/>
      </c>
      <c r="AA225" s="26">
        <f>IF(C225="","",C225)</f>
        <v/>
      </c>
      <c r="AB225" s="22" t="n"/>
      <c r="AC225" s="24" t="n"/>
      <c r="AD225" s="27">
        <f>IF(C225="","",L225+N(AC225))</f>
        <v/>
      </c>
      <c r="AE225" s="29">
        <f>IFERROR(AC225/AD225,"")</f>
        <v/>
      </c>
      <c r="AF225" s="24" t="n"/>
      <c r="AG225" s="24" t="n"/>
      <c r="AH225" s="24" t="n"/>
      <c r="AI225" s="24" t="n"/>
      <c r="AJ225" s="27">
        <f>IF(C225="","",SUMIFS(tbl_Finance[Ex GST],tbl_Finance[Job Number],C225&amp;"",tbl_Finance[Cost Centre],"VIDEO"))</f>
        <v/>
      </c>
      <c r="AK225" s="29">
        <f>IFERROR(AJ225/L225,"")</f>
        <v/>
      </c>
      <c r="AL225" s="27">
        <f>IF(C225="","",N(AF225)+N(AG225)+N(AH225)+N(AI225))</f>
        <v/>
      </c>
      <c r="AM225" s="27" t="n"/>
      <c r="AN225" s="29" t="n"/>
      <c r="AO225" s="71" t="n"/>
      <c r="AP225" s="71" t="n"/>
      <c r="AQ225" s="71" t="n"/>
      <c r="AR225" s="71" t="n"/>
      <c r="AS225" s="71" t="n"/>
      <c r="AT225" s="22" t="n"/>
    </row>
    <row r="226" ht="15" customHeight="1">
      <c r="A226" s="70">
        <f>IF(C226="","",IFERROR(IF(SUMPRODUCT(MAX((tbl_Finance[Job Number]&amp;""=C226&amp;"")*(tbl_Finance[Xero Invoice No]&lt;&gt;"")*tbl_Finance[Date]))=0,"",SUMPRODUCT(MAX((tbl_Finance[Job Number]&amp;""=C226&amp;"")*(tbl_Finance[Xero Invoice No]&lt;&gt;"")*tbl_Finance[Date]))),""))</f>
        <v/>
      </c>
      <c r="B226" s="26">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2" t="n"/>
      <c r="D226" s="26">
        <f>IF(C226="","",IF(COUNTIF(lst_Jobs,C226&amp;"")&gt;0,"OK","CHECK"))</f>
        <v/>
      </c>
      <c r="E226" s="26">
        <f>IF(C226="","",IFERROR(INDEX(lst_JobName,MATCH(C226&amp;"",lst_Jobs,0)),""))</f>
        <v/>
      </c>
      <c r="F226" s="22" t="n"/>
      <c r="G226" s="22" t="n"/>
      <c r="H226" s="22" t="n"/>
      <c r="I226" s="22" t="n"/>
      <c r="J226" s="22" t="n"/>
      <c r="K226" s="28">
        <f>IF(C226="","",COUNTIFS(tbl_Finance[Job Number],C226&amp;"",tbl_Finance[Ex GST],"&lt;&gt;"))</f>
        <v/>
      </c>
      <c r="L226" s="27">
        <f>IF(C226="","",SUMIFS(tbl_Finance[Ex GST],tbl_Finance[Job Number],C226&amp;""))</f>
        <v/>
      </c>
      <c r="M226" s="27">
        <f>IF(C226="","",SUMIFS(tbl_Finance[Ex GST],tbl_Finance[Job Number],C226&amp;"",tbl_Finance[Xero Invoice No],"&lt;&gt;"))</f>
        <v/>
      </c>
      <c r="N226" s="27">
        <f>IF(C226="","",L226-M226)</f>
        <v/>
      </c>
      <c r="O226" s="24" t="n"/>
      <c r="P226" s="27">
        <f>IF(C226="","",IF(O226="",0,MAX(0,O226-L226)))</f>
        <v/>
      </c>
      <c r="Q226" s="26">
        <f>IF(C226="","",IF(K226=0,"not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R226" s="27">
        <f>IF(C226="","",SUMIFS(tbl_Finance[Inc GST],tbl_Finance[Job Number],C226&amp;""))</f>
        <v/>
      </c>
      <c r="S226" s="22" t="n"/>
      <c r="T226" s="22" t="n"/>
      <c r="U226" s="22" t="n"/>
      <c r="V226" s="23" t="n"/>
      <c r="W226" s="22" t="n"/>
      <c r="X226" s="26">
        <f>IF(W226="","",IF(AND(LEFT(W226,4)&lt;&gt;"http",set_RMSBase=""),"",HYPERLINK(IF(LEFT(W226,4)="http",W226,set_RMSBase&amp;W226),"Open opportunity")))</f>
        <v/>
      </c>
      <c r="Y226" s="22" t="n"/>
      <c r="Z226" s="26">
        <f>IF(Y226="","",HYPERLINK(IF(LEFT(Y226,4)="http",Y226,set_QwilrBase&amp;Y226),"Open quote"))</f>
        <v/>
      </c>
      <c r="AA226" s="26">
        <f>IF(C226="","",C226)</f>
        <v/>
      </c>
      <c r="AB226" s="22" t="n"/>
      <c r="AC226" s="24" t="n"/>
      <c r="AD226" s="27">
        <f>IF(C226="","",L226+N(AC226))</f>
        <v/>
      </c>
      <c r="AE226" s="29">
        <f>IFERROR(AC226/AD226,"")</f>
        <v/>
      </c>
      <c r="AF226" s="24" t="n"/>
      <c r="AG226" s="24" t="n"/>
      <c r="AH226" s="24" t="n"/>
      <c r="AI226" s="24" t="n"/>
      <c r="AJ226" s="27">
        <f>IF(C226="","",SUMIFS(tbl_Finance[Ex GST],tbl_Finance[Job Number],C226&amp;"",tbl_Finance[Cost Centre],"VIDEO"))</f>
        <v/>
      </c>
      <c r="AK226" s="29">
        <f>IFERROR(AJ226/L226,"")</f>
        <v/>
      </c>
      <c r="AL226" s="27">
        <f>IF(C226="","",N(AF226)+N(AG226)+N(AH226)+N(AI226))</f>
        <v/>
      </c>
      <c r="AM226" s="27" t="n"/>
      <c r="AN226" s="29" t="n"/>
      <c r="AO226" s="71" t="n"/>
      <c r="AP226" s="71" t="n"/>
      <c r="AQ226" s="71" t="n"/>
      <c r="AR226" s="71" t="n"/>
      <c r="AS226" s="71" t="n"/>
      <c r="AT226" s="22" t="n"/>
    </row>
    <row r="227" ht="15" customHeight="1">
      <c r="A227" s="70">
        <f>IF(C227="","",IFERROR(IF(SUMPRODUCT(MAX((tbl_Finance[Job Number]&amp;""=C227&amp;"")*(tbl_Finance[Xero Invoice No]&lt;&gt;"")*tbl_Finance[Date]))=0,"",SUMPRODUCT(MAX((tbl_Finance[Job Number]&amp;""=C227&amp;"")*(tbl_Finance[Xero Invoice No]&lt;&gt;"")*tbl_Finance[Date]))),""))</f>
        <v/>
      </c>
      <c r="B227" s="26">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2" t="n"/>
      <c r="D227" s="26">
        <f>IF(C227="","",IF(COUNTIF(lst_Jobs,C227&amp;"")&gt;0,"OK","CHECK"))</f>
        <v/>
      </c>
      <c r="E227" s="26">
        <f>IF(C227="","",IFERROR(INDEX(lst_JobName,MATCH(C227&amp;"",lst_Jobs,0)),""))</f>
        <v/>
      </c>
      <c r="F227" s="22" t="n"/>
      <c r="G227" s="22" t="n"/>
      <c r="H227" s="22" t="n"/>
      <c r="I227" s="22" t="n"/>
      <c r="J227" s="22" t="n"/>
      <c r="K227" s="28">
        <f>IF(C227="","",COUNTIFS(tbl_Finance[Job Number],C227&amp;"",tbl_Finance[Ex GST],"&lt;&gt;"))</f>
        <v/>
      </c>
      <c r="L227" s="27">
        <f>IF(C227="","",SUMIFS(tbl_Finance[Ex GST],tbl_Finance[Job Number],C227&amp;""))</f>
        <v/>
      </c>
      <c r="M227" s="27">
        <f>IF(C227="","",SUMIFS(tbl_Finance[Ex GST],tbl_Finance[Job Number],C227&amp;"",tbl_Finance[Xero Invoice No],"&lt;&gt;"))</f>
        <v/>
      </c>
      <c r="N227" s="27">
        <f>IF(C227="","",L227-M227)</f>
        <v/>
      </c>
      <c r="O227" s="24" t="n"/>
      <c r="P227" s="27">
        <f>IF(C227="","",IF(O227="",0,MAX(0,O227-L227)))</f>
        <v/>
      </c>
      <c r="Q227" s="26">
        <f>IF(C227="","",IF(K227=0,"not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R227" s="27">
        <f>IF(C227="","",SUMIFS(tbl_Finance[Inc GST],tbl_Finance[Job Number],C227&amp;""))</f>
        <v/>
      </c>
      <c r="S227" s="22" t="n"/>
      <c r="T227" s="22" t="n"/>
      <c r="U227" s="22" t="n"/>
      <c r="V227" s="23" t="n"/>
      <c r="W227" s="22" t="n"/>
      <c r="X227" s="26">
        <f>IF(W227="","",IF(AND(LEFT(W227,4)&lt;&gt;"http",set_RMSBase=""),"",HYPERLINK(IF(LEFT(W227,4)="http",W227,set_RMSBase&amp;W227),"Open opportunity")))</f>
        <v/>
      </c>
      <c r="Y227" s="22" t="n"/>
      <c r="Z227" s="26">
        <f>IF(Y227="","",HYPERLINK(IF(LEFT(Y227,4)="http",Y227,set_QwilrBase&amp;Y227),"Open quote"))</f>
        <v/>
      </c>
      <c r="AA227" s="26">
        <f>IF(C227="","",C227)</f>
        <v/>
      </c>
      <c r="AB227" s="22" t="n"/>
      <c r="AC227" s="24" t="n"/>
      <c r="AD227" s="27">
        <f>IF(C227="","",L227+N(AC227))</f>
        <v/>
      </c>
      <c r="AE227" s="29">
        <f>IFERROR(AC227/AD227,"")</f>
        <v/>
      </c>
      <c r="AF227" s="24" t="n"/>
      <c r="AG227" s="24" t="n"/>
      <c r="AH227" s="24" t="n"/>
      <c r="AI227" s="24" t="n"/>
      <c r="AJ227" s="27">
        <f>IF(C227="","",SUMIFS(tbl_Finance[Ex GST],tbl_Finance[Job Number],C227&amp;"",tbl_Finance[Cost Centre],"VIDEO"))</f>
        <v/>
      </c>
      <c r="AK227" s="29">
        <f>IFERROR(AJ227/L227,"")</f>
        <v/>
      </c>
      <c r="AL227" s="27">
        <f>IF(C227="","",N(AF227)+N(AG227)+N(AH227)+N(AI227))</f>
        <v/>
      </c>
      <c r="AM227" s="27" t="n"/>
      <c r="AN227" s="29" t="n"/>
      <c r="AO227" s="71" t="n"/>
      <c r="AP227" s="71" t="n"/>
      <c r="AQ227" s="71" t="n"/>
      <c r="AR227" s="71" t="n"/>
      <c r="AS227" s="71" t="n"/>
      <c r="AT227" s="22" t="n"/>
    </row>
    <row r="228" ht="15" customHeight="1">
      <c r="A228" s="70">
        <f>IF(C228="","",IFERROR(IF(SUMPRODUCT(MAX((tbl_Finance[Job Number]&amp;""=C228&amp;"")*(tbl_Finance[Xero Invoice No]&lt;&gt;"")*tbl_Finance[Date]))=0,"",SUMPRODUCT(MAX((tbl_Finance[Job Number]&amp;""=C228&amp;"")*(tbl_Finance[Xero Invoice No]&lt;&gt;"")*tbl_Finance[Date]))),""))</f>
        <v/>
      </c>
      <c r="B228" s="26">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2" t="n"/>
      <c r="D228" s="26">
        <f>IF(C228="","",IF(COUNTIF(lst_Jobs,C228&amp;"")&gt;0,"OK","CHECK"))</f>
        <v/>
      </c>
      <c r="E228" s="26">
        <f>IF(C228="","",IFERROR(INDEX(lst_JobName,MATCH(C228&amp;"",lst_Jobs,0)),""))</f>
        <v/>
      </c>
      <c r="F228" s="22" t="n"/>
      <c r="G228" s="22" t="n"/>
      <c r="H228" s="22" t="n"/>
      <c r="I228" s="22" t="n"/>
      <c r="J228" s="22" t="n"/>
      <c r="K228" s="28">
        <f>IF(C228="","",COUNTIFS(tbl_Finance[Job Number],C228&amp;"",tbl_Finance[Ex GST],"&lt;&gt;"))</f>
        <v/>
      </c>
      <c r="L228" s="27">
        <f>IF(C228="","",SUMIFS(tbl_Finance[Ex GST],tbl_Finance[Job Number],C228&amp;""))</f>
        <v/>
      </c>
      <c r="M228" s="27">
        <f>IF(C228="","",SUMIFS(tbl_Finance[Ex GST],tbl_Finance[Job Number],C228&amp;"",tbl_Finance[Xero Invoice No],"&lt;&gt;"))</f>
        <v/>
      </c>
      <c r="N228" s="27">
        <f>IF(C228="","",L228-M228)</f>
        <v/>
      </c>
      <c r="O228" s="24" t="n"/>
      <c r="P228" s="27">
        <f>IF(C228="","",IF(O228="",0,MAX(0,O228-L228)))</f>
        <v/>
      </c>
      <c r="Q228" s="26">
        <f>IF(C228="","",IF(K228=0,"not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R228" s="27">
        <f>IF(C228="","",SUMIFS(tbl_Finance[Inc GST],tbl_Finance[Job Number],C228&amp;""))</f>
        <v/>
      </c>
      <c r="S228" s="22" t="n"/>
      <c r="T228" s="22" t="n"/>
      <c r="U228" s="22" t="n"/>
      <c r="V228" s="23" t="n"/>
      <c r="W228" s="22" t="n"/>
      <c r="X228" s="26">
        <f>IF(W228="","",IF(AND(LEFT(W228,4)&lt;&gt;"http",set_RMSBase=""),"",HYPERLINK(IF(LEFT(W228,4)="http",W228,set_RMSBase&amp;W228),"Open opportunity")))</f>
        <v/>
      </c>
      <c r="Y228" s="22" t="n"/>
      <c r="Z228" s="26">
        <f>IF(Y228="","",HYPERLINK(IF(LEFT(Y228,4)="http",Y228,set_QwilrBase&amp;Y228),"Open quote"))</f>
        <v/>
      </c>
      <c r="AA228" s="26">
        <f>IF(C228="","",C228)</f>
        <v/>
      </c>
      <c r="AB228" s="22" t="n"/>
      <c r="AC228" s="24" t="n"/>
      <c r="AD228" s="27">
        <f>IF(C228="","",L228+N(AC228))</f>
        <v/>
      </c>
      <c r="AE228" s="29">
        <f>IFERROR(AC228/AD228,"")</f>
        <v/>
      </c>
      <c r="AF228" s="24" t="n"/>
      <c r="AG228" s="24" t="n"/>
      <c r="AH228" s="24" t="n"/>
      <c r="AI228" s="24" t="n"/>
      <c r="AJ228" s="27">
        <f>IF(C228="","",SUMIFS(tbl_Finance[Ex GST],tbl_Finance[Job Number],C228&amp;"",tbl_Finance[Cost Centre],"VIDEO"))</f>
        <v/>
      </c>
      <c r="AK228" s="29">
        <f>IFERROR(AJ228/L228,"")</f>
        <v/>
      </c>
      <c r="AL228" s="27">
        <f>IF(C228="","",N(AF228)+N(AG228)+N(AH228)+N(AI228))</f>
        <v/>
      </c>
      <c r="AM228" s="27" t="n"/>
      <c r="AN228" s="29" t="n"/>
      <c r="AO228" s="71" t="n"/>
      <c r="AP228" s="71" t="n"/>
      <c r="AQ228" s="71" t="n"/>
      <c r="AR228" s="71" t="n"/>
      <c r="AS228" s="71" t="n"/>
      <c r="AT228" s="22" t="n"/>
    </row>
    <row r="229" ht="15" customHeight="1">
      <c r="A229" s="70">
        <f>IF(C229="","",IFERROR(IF(SUMPRODUCT(MAX((tbl_Finance[Job Number]&amp;""=C229&amp;"")*(tbl_Finance[Xero Invoice No]&lt;&gt;"")*tbl_Finance[Date]))=0,"",SUMPRODUCT(MAX((tbl_Finance[Job Number]&amp;""=C229&amp;"")*(tbl_Finance[Xero Invoice No]&lt;&gt;"")*tbl_Finance[Date]))),""))</f>
        <v/>
      </c>
      <c r="B229" s="26">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2" t="n"/>
      <c r="D229" s="26">
        <f>IF(C229="","",IF(COUNTIF(lst_Jobs,C229&amp;"")&gt;0,"OK","CHECK"))</f>
        <v/>
      </c>
      <c r="E229" s="26">
        <f>IF(C229="","",IFERROR(INDEX(lst_JobName,MATCH(C229&amp;"",lst_Jobs,0)),""))</f>
        <v/>
      </c>
      <c r="F229" s="22" t="n"/>
      <c r="G229" s="22" t="n"/>
      <c r="H229" s="22" t="n"/>
      <c r="I229" s="22" t="n"/>
      <c r="J229" s="22" t="n"/>
      <c r="K229" s="28">
        <f>IF(C229="","",COUNTIFS(tbl_Finance[Job Number],C229&amp;"",tbl_Finance[Ex GST],"&lt;&gt;"))</f>
        <v/>
      </c>
      <c r="L229" s="27">
        <f>IF(C229="","",SUMIFS(tbl_Finance[Ex GST],tbl_Finance[Job Number],C229&amp;""))</f>
        <v/>
      </c>
      <c r="M229" s="27">
        <f>IF(C229="","",SUMIFS(tbl_Finance[Ex GST],tbl_Finance[Job Number],C229&amp;"",tbl_Finance[Xero Invoice No],"&lt;&gt;"))</f>
        <v/>
      </c>
      <c r="N229" s="27">
        <f>IF(C229="","",L229-M229)</f>
        <v/>
      </c>
      <c r="O229" s="24" t="n"/>
      <c r="P229" s="27">
        <f>IF(C229="","",IF(O229="",0,MAX(0,O229-L229)))</f>
        <v/>
      </c>
      <c r="Q229" s="26">
        <f>IF(C229="","",IF(K229=0,"not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R229" s="27">
        <f>IF(C229="","",SUMIFS(tbl_Finance[Inc GST],tbl_Finance[Job Number],C229&amp;""))</f>
        <v/>
      </c>
      <c r="S229" s="22" t="n"/>
      <c r="T229" s="22" t="n"/>
      <c r="U229" s="22" t="n"/>
      <c r="V229" s="23" t="n"/>
      <c r="W229" s="22" t="n"/>
      <c r="X229" s="26">
        <f>IF(W229="","",IF(AND(LEFT(W229,4)&lt;&gt;"http",set_RMSBase=""),"",HYPERLINK(IF(LEFT(W229,4)="http",W229,set_RMSBase&amp;W229),"Open opportunity")))</f>
        <v/>
      </c>
      <c r="Y229" s="22" t="n"/>
      <c r="Z229" s="26">
        <f>IF(Y229="","",HYPERLINK(IF(LEFT(Y229,4)="http",Y229,set_QwilrBase&amp;Y229),"Open quote"))</f>
        <v/>
      </c>
      <c r="AA229" s="26">
        <f>IF(C229="","",C229)</f>
        <v/>
      </c>
      <c r="AB229" s="22" t="n"/>
      <c r="AC229" s="24" t="n"/>
      <c r="AD229" s="27">
        <f>IF(C229="","",L229+N(AC229))</f>
        <v/>
      </c>
      <c r="AE229" s="29">
        <f>IFERROR(AC229/AD229,"")</f>
        <v/>
      </c>
      <c r="AF229" s="24" t="n"/>
      <c r="AG229" s="24" t="n"/>
      <c r="AH229" s="24" t="n"/>
      <c r="AI229" s="24" t="n"/>
      <c r="AJ229" s="27">
        <f>IF(C229="","",SUMIFS(tbl_Finance[Ex GST],tbl_Finance[Job Number],C229&amp;"",tbl_Finance[Cost Centre],"VIDEO"))</f>
        <v/>
      </c>
      <c r="AK229" s="29">
        <f>IFERROR(AJ229/L229,"")</f>
        <v/>
      </c>
      <c r="AL229" s="27">
        <f>IF(C229="","",N(AF229)+N(AG229)+N(AH229)+N(AI229))</f>
        <v/>
      </c>
      <c r="AM229" s="27" t="n"/>
      <c r="AN229" s="29" t="n"/>
      <c r="AO229" s="71" t="n"/>
      <c r="AP229" s="71" t="n"/>
      <c r="AQ229" s="71" t="n"/>
      <c r="AR229" s="71" t="n"/>
      <c r="AS229" s="71" t="n"/>
      <c r="AT229" s="22" t="n"/>
    </row>
    <row r="230" ht="15" customHeight="1">
      <c r="A230" s="70">
        <f>IF(C230="","",IFERROR(IF(SUMPRODUCT(MAX((tbl_Finance[Job Number]&amp;""=C230&amp;"")*(tbl_Finance[Xero Invoice No]&lt;&gt;"")*tbl_Finance[Date]))=0,"",SUMPRODUCT(MAX((tbl_Finance[Job Number]&amp;""=C230&amp;"")*(tbl_Finance[Xero Invoice No]&lt;&gt;"")*tbl_Finance[Date]))),""))</f>
        <v/>
      </c>
      <c r="B230" s="26">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2" t="n"/>
      <c r="D230" s="26">
        <f>IF(C230="","",IF(COUNTIF(lst_Jobs,C230&amp;"")&gt;0,"OK","CHECK"))</f>
        <v/>
      </c>
      <c r="E230" s="26">
        <f>IF(C230="","",IFERROR(INDEX(lst_JobName,MATCH(C230&amp;"",lst_Jobs,0)),""))</f>
        <v/>
      </c>
      <c r="F230" s="22" t="n"/>
      <c r="G230" s="22" t="n"/>
      <c r="H230" s="22" t="n"/>
      <c r="I230" s="22" t="n"/>
      <c r="J230" s="22" t="n"/>
      <c r="K230" s="28">
        <f>IF(C230="","",COUNTIFS(tbl_Finance[Job Number],C230&amp;"",tbl_Finance[Ex GST],"&lt;&gt;"))</f>
        <v/>
      </c>
      <c r="L230" s="27">
        <f>IF(C230="","",SUMIFS(tbl_Finance[Ex GST],tbl_Finance[Job Number],C230&amp;""))</f>
        <v/>
      </c>
      <c r="M230" s="27">
        <f>IF(C230="","",SUMIFS(tbl_Finance[Ex GST],tbl_Finance[Job Number],C230&amp;"",tbl_Finance[Xero Invoice No],"&lt;&gt;"))</f>
        <v/>
      </c>
      <c r="N230" s="27">
        <f>IF(C230="","",L230-M230)</f>
        <v/>
      </c>
      <c r="O230" s="24" t="n"/>
      <c r="P230" s="27">
        <f>IF(C230="","",IF(O230="",0,MAX(0,O230-L230)))</f>
        <v/>
      </c>
      <c r="Q230" s="26">
        <f>IF(C230="","",IF(K230=0,"not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R230" s="27">
        <f>IF(C230="","",SUMIFS(tbl_Finance[Inc GST],tbl_Finance[Job Number],C230&amp;""))</f>
        <v/>
      </c>
      <c r="S230" s="22" t="n"/>
      <c r="T230" s="22" t="n"/>
      <c r="U230" s="22" t="n"/>
      <c r="V230" s="23" t="n"/>
      <c r="W230" s="22" t="n"/>
      <c r="X230" s="26">
        <f>IF(W230="","",IF(AND(LEFT(W230,4)&lt;&gt;"http",set_RMSBase=""),"",HYPERLINK(IF(LEFT(W230,4)="http",W230,set_RMSBase&amp;W230),"Open opportunity")))</f>
        <v/>
      </c>
      <c r="Y230" s="22" t="n"/>
      <c r="Z230" s="26">
        <f>IF(Y230="","",HYPERLINK(IF(LEFT(Y230,4)="http",Y230,set_QwilrBase&amp;Y230),"Open quote"))</f>
        <v/>
      </c>
      <c r="AA230" s="26">
        <f>IF(C230="","",C230)</f>
        <v/>
      </c>
      <c r="AB230" s="22" t="n"/>
      <c r="AC230" s="24" t="n"/>
      <c r="AD230" s="27">
        <f>IF(C230="","",L230+N(AC230))</f>
        <v/>
      </c>
      <c r="AE230" s="29">
        <f>IFERROR(AC230/AD230,"")</f>
        <v/>
      </c>
      <c r="AF230" s="24" t="n"/>
      <c r="AG230" s="24" t="n"/>
      <c r="AH230" s="24" t="n"/>
      <c r="AI230" s="24" t="n"/>
      <c r="AJ230" s="27">
        <f>IF(C230="","",SUMIFS(tbl_Finance[Ex GST],tbl_Finance[Job Number],C230&amp;"",tbl_Finance[Cost Centre],"VIDEO"))</f>
        <v/>
      </c>
      <c r="AK230" s="29">
        <f>IFERROR(AJ230/L230,"")</f>
        <v/>
      </c>
      <c r="AL230" s="27">
        <f>IF(C230="","",N(AF230)+N(AG230)+N(AH230)+N(AI230))</f>
        <v/>
      </c>
      <c r="AM230" s="27" t="n"/>
      <c r="AN230" s="29" t="n"/>
      <c r="AO230" s="71" t="n"/>
      <c r="AP230" s="71" t="n"/>
      <c r="AQ230" s="71" t="n"/>
      <c r="AR230" s="71" t="n"/>
      <c r="AS230" s="71" t="n"/>
      <c r="AT230" s="22" t="n"/>
    </row>
    <row r="231" ht="15" customHeight="1">
      <c r="A231" s="70">
        <f>IF(C231="","",IFERROR(IF(SUMPRODUCT(MAX((tbl_Finance[Job Number]&amp;""=C231&amp;"")*(tbl_Finance[Xero Invoice No]&lt;&gt;"")*tbl_Finance[Date]))=0,"",SUMPRODUCT(MAX((tbl_Finance[Job Number]&amp;""=C231&amp;"")*(tbl_Finance[Xero Invoice No]&lt;&gt;"")*tbl_Finance[Date]))),""))</f>
        <v/>
      </c>
      <c r="B231" s="26">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2" t="n"/>
      <c r="D231" s="26">
        <f>IF(C231="","",IF(COUNTIF(lst_Jobs,C231&amp;"")&gt;0,"OK","CHECK"))</f>
        <v/>
      </c>
      <c r="E231" s="26">
        <f>IF(C231="","",IFERROR(INDEX(lst_JobName,MATCH(C231&amp;"",lst_Jobs,0)),""))</f>
        <v/>
      </c>
      <c r="F231" s="22" t="n"/>
      <c r="G231" s="22" t="n"/>
      <c r="H231" s="22" t="n"/>
      <c r="I231" s="22" t="n"/>
      <c r="J231" s="22" t="n"/>
      <c r="K231" s="28">
        <f>IF(C231="","",COUNTIFS(tbl_Finance[Job Number],C231&amp;"",tbl_Finance[Ex GST],"&lt;&gt;"))</f>
        <v/>
      </c>
      <c r="L231" s="27">
        <f>IF(C231="","",SUMIFS(tbl_Finance[Ex GST],tbl_Finance[Job Number],C231&amp;""))</f>
        <v/>
      </c>
      <c r="M231" s="27">
        <f>IF(C231="","",SUMIFS(tbl_Finance[Ex GST],tbl_Finance[Job Number],C231&amp;"",tbl_Finance[Xero Invoice No],"&lt;&gt;"))</f>
        <v/>
      </c>
      <c r="N231" s="27">
        <f>IF(C231="","",L231-M231)</f>
        <v/>
      </c>
      <c r="O231" s="24" t="n"/>
      <c r="P231" s="27">
        <f>IF(C231="","",IF(O231="",0,MAX(0,O231-L231)))</f>
        <v/>
      </c>
      <c r="Q231" s="26">
        <f>IF(C231="","",IF(K231=0,"not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R231" s="27">
        <f>IF(C231="","",SUMIFS(tbl_Finance[Inc GST],tbl_Finance[Job Number],C231&amp;""))</f>
        <v/>
      </c>
      <c r="S231" s="22" t="n"/>
      <c r="T231" s="22" t="n"/>
      <c r="U231" s="22" t="n"/>
      <c r="V231" s="23" t="n"/>
      <c r="W231" s="22" t="n"/>
      <c r="X231" s="26">
        <f>IF(W231="","",IF(AND(LEFT(W231,4)&lt;&gt;"http",set_RMSBase=""),"",HYPERLINK(IF(LEFT(W231,4)="http",W231,set_RMSBase&amp;W231),"Open opportunity")))</f>
        <v/>
      </c>
      <c r="Y231" s="22" t="n"/>
      <c r="Z231" s="26">
        <f>IF(Y231="","",HYPERLINK(IF(LEFT(Y231,4)="http",Y231,set_QwilrBase&amp;Y231),"Open quote"))</f>
        <v/>
      </c>
      <c r="AA231" s="26">
        <f>IF(C231="","",C231)</f>
        <v/>
      </c>
      <c r="AB231" s="22" t="n"/>
      <c r="AC231" s="24" t="n"/>
      <c r="AD231" s="27">
        <f>IF(C231="","",L231+N(AC231))</f>
        <v/>
      </c>
      <c r="AE231" s="29">
        <f>IFERROR(AC231/AD231,"")</f>
        <v/>
      </c>
      <c r="AF231" s="24" t="n"/>
      <c r="AG231" s="24" t="n"/>
      <c r="AH231" s="24" t="n"/>
      <c r="AI231" s="24" t="n"/>
      <c r="AJ231" s="27">
        <f>IF(C231="","",SUMIFS(tbl_Finance[Ex GST],tbl_Finance[Job Number],C231&amp;"",tbl_Finance[Cost Centre],"VIDEO"))</f>
        <v/>
      </c>
      <c r="AK231" s="29">
        <f>IFERROR(AJ231/L231,"")</f>
        <v/>
      </c>
      <c r="AL231" s="27">
        <f>IF(C231="","",N(AF231)+N(AG231)+N(AH231)+N(AI231))</f>
        <v/>
      </c>
      <c r="AM231" s="27" t="n"/>
      <c r="AN231" s="29" t="n"/>
      <c r="AO231" s="71" t="n"/>
      <c r="AP231" s="71" t="n"/>
      <c r="AQ231" s="71" t="n"/>
      <c r="AR231" s="71" t="n"/>
      <c r="AS231" s="71" t="n"/>
      <c r="AT231" s="22" t="n"/>
    </row>
    <row r="232" ht="15" customHeight="1">
      <c r="A232" s="70">
        <f>IF(C232="","",IFERROR(IF(SUMPRODUCT(MAX((tbl_Finance[Job Number]&amp;""=C232&amp;"")*(tbl_Finance[Xero Invoice No]&lt;&gt;"")*tbl_Finance[Date]))=0,"",SUMPRODUCT(MAX((tbl_Finance[Job Number]&amp;""=C232&amp;"")*(tbl_Finance[Xero Invoice No]&lt;&gt;"")*tbl_Finance[Date]))),""))</f>
        <v/>
      </c>
      <c r="B232" s="26">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2" t="n"/>
      <c r="D232" s="26">
        <f>IF(C232="","",IF(COUNTIF(lst_Jobs,C232&amp;"")&gt;0,"OK","CHECK"))</f>
        <v/>
      </c>
      <c r="E232" s="26">
        <f>IF(C232="","",IFERROR(INDEX(lst_JobName,MATCH(C232&amp;"",lst_Jobs,0)),""))</f>
        <v/>
      </c>
      <c r="F232" s="22" t="n"/>
      <c r="G232" s="22" t="n"/>
      <c r="H232" s="22" t="n"/>
      <c r="I232" s="22" t="n"/>
      <c r="J232" s="22" t="n"/>
      <c r="K232" s="28">
        <f>IF(C232="","",COUNTIFS(tbl_Finance[Job Number],C232&amp;"",tbl_Finance[Ex GST],"&lt;&gt;"))</f>
        <v/>
      </c>
      <c r="L232" s="27">
        <f>IF(C232="","",SUMIFS(tbl_Finance[Ex GST],tbl_Finance[Job Number],C232&amp;""))</f>
        <v/>
      </c>
      <c r="M232" s="27">
        <f>IF(C232="","",SUMIFS(tbl_Finance[Ex GST],tbl_Finance[Job Number],C232&amp;"",tbl_Finance[Xero Invoice No],"&lt;&gt;"))</f>
        <v/>
      </c>
      <c r="N232" s="27">
        <f>IF(C232="","",L232-M232)</f>
        <v/>
      </c>
      <c r="O232" s="24" t="n"/>
      <c r="P232" s="27">
        <f>IF(C232="","",IF(O232="",0,MAX(0,O232-L232)))</f>
        <v/>
      </c>
      <c r="Q232" s="26">
        <f>IF(C232="","",IF(K232=0,"not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R232" s="27">
        <f>IF(C232="","",SUMIFS(tbl_Finance[Inc GST],tbl_Finance[Job Number],C232&amp;""))</f>
        <v/>
      </c>
      <c r="S232" s="22" t="n"/>
      <c r="T232" s="22" t="n"/>
      <c r="U232" s="22" t="n"/>
      <c r="V232" s="23" t="n"/>
      <c r="W232" s="22" t="n"/>
      <c r="X232" s="26">
        <f>IF(W232="","",IF(AND(LEFT(W232,4)&lt;&gt;"http",set_RMSBase=""),"",HYPERLINK(IF(LEFT(W232,4)="http",W232,set_RMSBase&amp;W232),"Open opportunity")))</f>
        <v/>
      </c>
      <c r="Y232" s="22" t="n"/>
      <c r="Z232" s="26">
        <f>IF(Y232="","",HYPERLINK(IF(LEFT(Y232,4)="http",Y232,set_QwilrBase&amp;Y232),"Open quote"))</f>
        <v/>
      </c>
      <c r="AA232" s="26">
        <f>IF(C232="","",C232)</f>
        <v/>
      </c>
      <c r="AB232" s="22" t="n"/>
      <c r="AC232" s="24" t="n"/>
      <c r="AD232" s="27">
        <f>IF(C232="","",L232+N(AC232))</f>
        <v/>
      </c>
      <c r="AE232" s="29">
        <f>IFERROR(AC232/AD232,"")</f>
        <v/>
      </c>
      <c r="AF232" s="24" t="n"/>
      <c r="AG232" s="24" t="n"/>
      <c r="AH232" s="24" t="n"/>
      <c r="AI232" s="24" t="n"/>
      <c r="AJ232" s="27">
        <f>IF(C232="","",SUMIFS(tbl_Finance[Ex GST],tbl_Finance[Job Number],C232&amp;"",tbl_Finance[Cost Centre],"VIDEO"))</f>
        <v/>
      </c>
      <c r="AK232" s="29">
        <f>IFERROR(AJ232/L232,"")</f>
        <v/>
      </c>
      <c r="AL232" s="27">
        <f>IF(C232="","",N(AF232)+N(AG232)+N(AH232)+N(AI232))</f>
        <v/>
      </c>
      <c r="AM232" s="27" t="n"/>
      <c r="AN232" s="29" t="n"/>
      <c r="AO232" s="71" t="n"/>
      <c r="AP232" s="71" t="n"/>
      <c r="AQ232" s="71" t="n"/>
      <c r="AR232" s="71" t="n"/>
      <c r="AS232" s="71" t="n"/>
      <c r="AT232" s="22" t="n"/>
    </row>
    <row r="233" ht="15" customHeight="1">
      <c r="A233" s="70">
        <f>IF(C233="","",IFERROR(IF(SUMPRODUCT(MAX((tbl_Finance[Job Number]&amp;""=C233&amp;"")*(tbl_Finance[Xero Invoice No]&lt;&gt;"")*tbl_Finance[Date]))=0,"",SUMPRODUCT(MAX((tbl_Finance[Job Number]&amp;""=C233&amp;"")*(tbl_Finance[Xero Invoice No]&lt;&gt;"")*tbl_Finance[Date]))),""))</f>
        <v/>
      </c>
      <c r="B233" s="26">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2" t="n"/>
      <c r="D233" s="26">
        <f>IF(C233="","",IF(COUNTIF(lst_Jobs,C233&amp;"")&gt;0,"OK","CHECK"))</f>
        <v/>
      </c>
      <c r="E233" s="26">
        <f>IF(C233="","",IFERROR(INDEX(lst_JobName,MATCH(C233&amp;"",lst_Jobs,0)),""))</f>
        <v/>
      </c>
      <c r="F233" s="22" t="n"/>
      <c r="G233" s="22" t="n"/>
      <c r="H233" s="22" t="n"/>
      <c r="I233" s="22" t="n"/>
      <c r="J233" s="22" t="n"/>
      <c r="K233" s="28">
        <f>IF(C233="","",COUNTIFS(tbl_Finance[Job Number],C233&amp;"",tbl_Finance[Ex GST],"&lt;&gt;"))</f>
        <v/>
      </c>
      <c r="L233" s="27">
        <f>IF(C233="","",SUMIFS(tbl_Finance[Ex GST],tbl_Finance[Job Number],C233&amp;""))</f>
        <v/>
      </c>
      <c r="M233" s="27">
        <f>IF(C233="","",SUMIFS(tbl_Finance[Ex GST],tbl_Finance[Job Number],C233&amp;"",tbl_Finance[Xero Invoice No],"&lt;&gt;"))</f>
        <v/>
      </c>
      <c r="N233" s="27">
        <f>IF(C233="","",L233-M233)</f>
        <v/>
      </c>
      <c r="O233" s="24" t="n"/>
      <c r="P233" s="27">
        <f>IF(C233="","",IF(O233="",0,MAX(0,O233-L233)))</f>
        <v/>
      </c>
      <c r="Q233" s="26">
        <f>IF(C233="","",IF(K233=0,"not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R233" s="27">
        <f>IF(C233="","",SUMIFS(tbl_Finance[Inc GST],tbl_Finance[Job Number],C233&amp;""))</f>
        <v/>
      </c>
      <c r="S233" s="22" t="n"/>
      <c r="T233" s="22" t="n"/>
      <c r="U233" s="22" t="n"/>
      <c r="V233" s="23" t="n"/>
      <c r="W233" s="22" t="n"/>
      <c r="X233" s="26">
        <f>IF(W233="","",IF(AND(LEFT(W233,4)&lt;&gt;"http",set_RMSBase=""),"",HYPERLINK(IF(LEFT(W233,4)="http",W233,set_RMSBase&amp;W233),"Open opportunity")))</f>
        <v/>
      </c>
      <c r="Y233" s="22" t="n"/>
      <c r="Z233" s="26">
        <f>IF(Y233="","",HYPERLINK(IF(LEFT(Y233,4)="http",Y233,set_QwilrBase&amp;Y233),"Open quote"))</f>
        <v/>
      </c>
      <c r="AA233" s="26">
        <f>IF(C233="","",C233)</f>
        <v/>
      </c>
      <c r="AB233" s="22" t="n"/>
      <c r="AC233" s="24" t="n"/>
      <c r="AD233" s="27">
        <f>IF(C233="","",L233+N(AC233))</f>
        <v/>
      </c>
      <c r="AE233" s="29">
        <f>IFERROR(AC233/AD233,"")</f>
        <v/>
      </c>
      <c r="AF233" s="24" t="n"/>
      <c r="AG233" s="24" t="n"/>
      <c r="AH233" s="24" t="n"/>
      <c r="AI233" s="24" t="n"/>
      <c r="AJ233" s="27">
        <f>IF(C233="","",SUMIFS(tbl_Finance[Ex GST],tbl_Finance[Job Number],C233&amp;"",tbl_Finance[Cost Centre],"VIDEO"))</f>
        <v/>
      </c>
      <c r="AK233" s="29">
        <f>IFERROR(AJ233/L233,"")</f>
        <v/>
      </c>
      <c r="AL233" s="27">
        <f>IF(C233="","",N(AF233)+N(AG233)+N(AH233)+N(AI233))</f>
        <v/>
      </c>
      <c r="AM233" s="27" t="n"/>
      <c r="AN233" s="29" t="n"/>
      <c r="AO233" s="71" t="n"/>
      <c r="AP233" s="71" t="n"/>
      <c r="AQ233" s="71" t="n"/>
      <c r="AR233" s="71" t="n"/>
      <c r="AS233" s="71" t="n"/>
      <c r="AT233" s="22" t="n"/>
    </row>
    <row r="234" ht="15" customHeight="1">
      <c r="A234" s="70">
        <f>IF(C234="","",IFERROR(IF(SUMPRODUCT(MAX((tbl_Finance[Job Number]&amp;""=C234&amp;"")*(tbl_Finance[Xero Invoice No]&lt;&gt;"")*tbl_Finance[Date]))=0,"",SUMPRODUCT(MAX((tbl_Finance[Job Number]&amp;""=C234&amp;"")*(tbl_Finance[Xero Invoice No]&lt;&gt;"")*tbl_Finance[Date]))),""))</f>
        <v/>
      </c>
      <c r="B234" s="26">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2" t="n"/>
      <c r="D234" s="26">
        <f>IF(C234="","",IF(COUNTIF(lst_Jobs,C234&amp;"")&gt;0,"OK","CHECK"))</f>
        <v/>
      </c>
      <c r="E234" s="26">
        <f>IF(C234="","",IFERROR(INDEX(lst_JobName,MATCH(C234&amp;"",lst_Jobs,0)),""))</f>
        <v/>
      </c>
      <c r="F234" s="22" t="n"/>
      <c r="G234" s="22" t="n"/>
      <c r="H234" s="22" t="n"/>
      <c r="I234" s="22" t="n"/>
      <c r="J234" s="22" t="n"/>
      <c r="K234" s="28">
        <f>IF(C234="","",COUNTIFS(tbl_Finance[Job Number],C234&amp;"",tbl_Finance[Ex GST],"&lt;&gt;"))</f>
        <v/>
      </c>
      <c r="L234" s="27">
        <f>IF(C234="","",SUMIFS(tbl_Finance[Ex GST],tbl_Finance[Job Number],C234&amp;""))</f>
        <v/>
      </c>
      <c r="M234" s="27">
        <f>IF(C234="","",SUMIFS(tbl_Finance[Ex GST],tbl_Finance[Job Number],C234&amp;"",tbl_Finance[Xero Invoice No],"&lt;&gt;"))</f>
        <v/>
      </c>
      <c r="N234" s="27">
        <f>IF(C234="","",L234-M234)</f>
        <v/>
      </c>
      <c r="O234" s="24" t="n"/>
      <c r="P234" s="27">
        <f>IF(C234="","",IF(O234="",0,MAX(0,O234-L234)))</f>
        <v/>
      </c>
      <c r="Q234" s="26">
        <f>IF(C234="","",IF(K234=0,"not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R234" s="27">
        <f>IF(C234="","",SUMIFS(tbl_Finance[Inc GST],tbl_Finance[Job Number],C234&amp;""))</f>
        <v/>
      </c>
      <c r="S234" s="22" t="n"/>
      <c r="T234" s="22" t="n"/>
      <c r="U234" s="22" t="n"/>
      <c r="V234" s="23" t="n"/>
      <c r="W234" s="22" t="n"/>
      <c r="X234" s="26">
        <f>IF(W234="","",IF(AND(LEFT(W234,4)&lt;&gt;"http",set_RMSBase=""),"",HYPERLINK(IF(LEFT(W234,4)="http",W234,set_RMSBase&amp;W234),"Open opportunity")))</f>
        <v/>
      </c>
      <c r="Y234" s="22" t="n"/>
      <c r="Z234" s="26">
        <f>IF(Y234="","",HYPERLINK(IF(LEFT(Y234,4)="http",Y234,set_QwilrBase&amp;Y234),"Open quote"))</f>
        <v/>
      </c>
      <c r="AA234" s="26">
        <f>IF(C234="","",C234)</f>
        <v/>
      </c>
      <c r="AB234" s="22" t="n"/>
      <c r="AC234" s="24" t="n"/>
      <c r="AD234" s="27">
        <f>IF(C234="","",L234+N(AC234))</f>
        <v/>
      </c>
      <c r="AE234" s="29">
        <f>IFERROR(AC234/AD234,"")</f>
        <v/>
      </c>
      <c r="AF234" s="24" t="n"/>
      <c r="AG234" s="24" t="n"/>
      <c r="AH234" s="24" t="n"/>
      <c r="AI234" s="24" t="n"/>
      <c r="AJ234" s="27">
        <f>IF(C234="","",SUMIFS(tbl_Finance[Ex GST],tbl_Finance[Job Number],C234&amp;"",tbl_Finance[Cost Centre],"VIDEO"))</f>
        <v/>
      </c>
      <c r="AK234" s="29">
        <f>IFERROR(AJ234/L234,"")</f>
        <v/>
      </c>
      <c r="AL234" s="27">
        <f>IF(C234="","",N(AF234)+N(AG234)+N(AH234)+N(AI234))</f>
        <v/>
      </c>
      <c r="AM234" s="27" t="n"/>
      <c r="AN234" s="29" t="n"/>
      <c r="AO234" s="71" t="n"/>
      <c r="AP234" s="71" t="n"/>
      <c r="AQ234" s="71" t="n"/>
      <c r="AR234" s="71" t="n"/>
      <c r="AS234" s="71" t="n"/>
      <c r="AT234" s="22" t="n"/>
    </row>
    <row r="235" ht="15" customHeight="1">
      <c r="A235" s="70">
        <f>IF(C235="","",IFERROR(IF(SUMPRODUCT(MAX((tbl_Finance[Job Number]&amp;""=C235&amp;"")*(tbl_Finance[Xero Invoice No]&lt;&gt;"")*tbl_Finance[Date]))=0,"",SUMPRODUCT(MAX((tbl_Finance[Job Number]&amp;""=C235&amp;"")*(tbl_Finance[Xero Invoice No]&lt;&gt;"")*tbl_Finance[Date]))),""))</f>
        <v/>
      </c>
      <c r="B235" s="26">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2" t="n"/>
      <c r="D235" s="26">
        <f>IF(C235="","",IF(COUNTIF(lst_Jobs,C235&amp;"")&gt;0,"OK","CHECK"))</f>
        <v/>
      </c>
      <c r="E235" s="26">
        <f>IF(C235="","",IFERROR(INDEX(lst_JobName,MATCH(C235&amp;"",lst_Jobs,0)),""))</f>
        <v/>
      </c>
      <c r="F235" s="22" t="n"/>
      <c r="G235" s="22" t="n"/>
      <c r="H235" s="22" t="n"/>
      <c r="I235" s="22" t="n"/>
      <c r="J235" s="22" t="n"/>
      <c r="K235" s="28">
        <f>IF(C235="","",COUNTIFS(tbl_Finance[Job Number],C235&amp;"",tbl_Finance[Ex GST],"&lt;&gt;"))</f>
        <v/>
      </c>
      <c r="L235" s="27">
        <f>IF(C235="","",SUMIFS(tbl_Finance[Ex GST],tbl_Finance[Job Number],C235&amp;""))</f>
        <v/>
      </c>
      <c r="M235" s="27">
        <f>IF(C235="","",SUMIFS(tbl_Finance[Ex GST],tbl_Finance[Job Number],C235&amp;"",tbl_Finance[Xero Invoice No],"&lt;&gt;"))</f>
        <v/>
      </c>
      <c r="N235" s="27">
        <f>IF(C235="","",L235-M235)</f>
        <v/>
      </c>
      <c r="O235" s="24" t="n"/>
      <c r="P235" s="27">
        <f>IF(C235="","",IF(O235="",0,MAX(0,O235-L235)))</f>
        <v/>
      </c>
      <c r="Q235" s="26">
        <f>IF(C235="","",IF(K235=0,"not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R235" s="27">
        <f>IF(C235="","",SUMIFS(tbl_Finance[Inc GST],tbl_Finance[Job Number],C235&amp;""))</f>
        <v/>
      </c>
      <c r="S235" s="22" t="n"/>
      <c r="T235" s="22" t="n"/>
      <c r="U235" s="22" t="n"/>
      <c r="V235" s="23" t="n"/>
      <c r="W235" s="22" t="n"/>
      <c r="X235" s="26">
        <f>IF(W235="","",IF(AND(LEFT(W235,4)&lt;&gt;"http",set_RMSBase=""),"",HYPERLINK(IF(LEFT(W235,4)="http",W235,set_RMSBase&amp;W235),"Open opportunity")))</f>
        <v/>
      </c>
      <c r="Y235" s="22" t="n"/>
      <c r="Z235" s="26">
        <f>IF(Y235="","",HYPERLINK(IF(LEFT(Y235,4)="http",Y235,set_QwilrBase&amp;Y235),"Open quote"))</f>
        <v/>
      </c>
      <c r="AA235" s="26">
        <f>IF(C235="","",C235)</f>
        <v/>
      </c>
      <c r="AB235" s="22" t="n"/>
      <c r="AC235" s="24" t="n"/>
      <c r="AD235" s="27">
        <f>IF(C235="","",L235+N(AC235))</f>
        <v/>
      </c>
      <c r="AE235" s="29">
        <f>IFERROR(AC235/AD235,"")</f>
        <v/>
      </c>
      <c r="AF235" s="24" t="n"/>
      <c r="AG235" s="24" t="n"/>
      <c r="AH235" s="24" t="n"/>
      <c r="AI235" s="24" t="n"/>
      <c r="AJ235" s="27">
        <f>IF(C235="","",SUMIFS(tbl_Finance[Ex GST],tbl_Finance[Job Number],C235&amp;"",tbl_Finance[Cost Centre],"VIDEO"))</f>
        <v/>
      </c>
      <c r="AK235" s="29">
        <f>IFERROR(AJ235/L235,"")</f>
        <v/>
      </c>
      <c r="AL235" s="27">
        <f>IF(C235="","",N(AF235)+N(AG235)+N(AH235)+N(AI235))</f>
        <v/>
      </c>
      <c r="AM235" s="27" t="n"/>
      <c r="AN235" s="29" t="n"/>
      <c r="AO235" s="71" t="n"/>
      <c r="AP235" s="71" t="n"/>
      <c r="AQ235" s="71" t="n"/>
      <c r="AR235" s="71" t="n"/>
      <c r="AS235" s="71" t="n"/>
      <c r="AT235" s="22" t="n"/>
    </row>
    <row r="236" ht="15" customHeight="1">
      <c r="A236" s="70">
        <f>IF(C236="","",IFERROR(IF(SUMPRODUCT(MAX((tbl_Finance[Job Number]&amp;""=C236&amp;"")*(tbl_Finance[Xero Invoice No]&lt;&gt;"")*tbl_Finance[Date]))=0,"",SUMPRODUCT(MAX((tbl_Finance[Job Number]&amp;""=C236&amp;"")*(tbl_Finance[Xero Invoice No]&lt;&gt;"")*tbl_Finance[Date]))),""))</f>
        <v/>
      </c>
      <c r="B236" s="26">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2" t="n"/>
      <c r="D236" s="26">
        <f>IF(C236="","",IF(COUNTIF(lst_Jobs,C236&amp;"")&gt;0,"OK","CHECK"))</f>
        <v/>
      </c>
      <c r="E236" s="26">
        <f>IF(C236="","",IFERROR(INDEX(lst_JobName,MATCH(C236&amp;"",lst_Jobs,0)),""))</f>
        <v/>
      </c>
      <c r="F236" s="22" t="n"/>
      <c r="G236" s="22" t="n"/>
      <c r="H236" s="22" t="n"/>
      <c r="I236" s="22" t="n"/>
      <c r="J236" s="22" t="n"/>
      <c r="K236" s="28">
        <f>IF(C236="","",COUNTIFS(tbl_Finance[Job Number],C236&amp;"",tbl_Finance[Ex GST],"&lt;&gt;"))</f>
        <v/>
      </c>
      <c r="L236" s="27">
        <f>IF(C236="","",SUMIFS(tbl_Finance[Ex GST],tbl_Finance[Job Number],C236&amp;""))</f>
        <v/>
      </c>
      <c r="M236" s="27">
        <f>IF(C236="","",SUMIFS(tbl_Finance[Ex GST],tbl_Finance[Job Number],C236&amp;"",tbl_Finance[Xero Invoice No],"&lt;&gt;"))</f>
        <v/>
      </c>
      <c r="N236" s="27">
        <f>IF(C236="","",L236-M236)</f>
        <v/>
      </c>
      <c r="O236" s="24" t="n"/>
      <c r="P236" s="27">
        <f>IF(C236="","",IF(O236="",0,MAX(0,O236-L236)))</f>
        <v/>
      </c>
      <c r="Q236" s="26">
        <f>IF(C236="","",IF(K236=0,"not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R236" s="27">
        <f>IF(C236="","",SUMIFS(tbl_Finance[Inc GST],tbl_Finance[Job Number],C236&amp;""))</f>
        <v/>
      </c>
      <c r="S236" s="22" t="n"/>
      <c r="T236" s="22" t="n"/>
      <c r="U236" s="22" t="n"/>
      <c r="V236" s="23" t="n"/>
      <c r="W236" s="22" t="n"/>
      <c r="X236" s="26">
        <f>IF(W236="","",IF(AND(LEFT(W236,4)&lt;&gt;"http",set_RMSBase=""),"",HYPERLINK(IF(LEFT(W236,4)="http",W236,set_RMSBase&amp;W236),"Open opportunity")))</f>
        <v/>
      </c>
      <c r="Y236" s="22" t="n"/>
      <c r="Z236" s="26">
        <f>IF(Y236="","",HYPERLINK(IF(LEFT(Y236,4)="http",Y236,set_QwilrBase&amp;Y236),"Open quote"))</f>
        <v/>
      </c>
      <c r="AA236" s="26">
        <f>IF(C236="","",C236)</f>
        <v/>
      </c>
      <c r="AB236" s="22" t="n"/>
      <c r="AC236" s="24" t="n"/>
      <c r="AD236" s="27">
        <f>IF(C236="","",L236+N(AC236))</f>
        <v/>
      </c>
      <c r="AE236" s="29">
        <f>IFERROR(AC236/AD236,"")</f>
        <v/>
      </c>
      <c r="AF236" s="24" t="n"/>
      <c r="AG236" s="24" t="n"/>
      <c r="AH236" s="24" t="n"/>
      <c r="AI236" s="24" t="n"/>
      <c r="AJ236" s="27">
        <f>IF(C236="","",SUMIFS(tbl_Finance[Ex GST],tbl_Finance[Job Number],C236&amp;"",tbl_Finance[Cost Centre],"VIDEO"))</f>
        <v/>
      </c>
      <c r="AK236" s="29">
        <f>IFERROR(AJ236/L236,"")</f>
        <v/>
      </c>
      <c r="AL236" s="27">
        <f>IF(C236="","",N(AF236)+N(AG236)+N(AH236)+N(AI236))</f>
        <v/>
      </c>
      <c r="AM236" s="27" t="n"/>
      <c r="AN236" s="29" t="n"/>
      <c r="AO236" s="71" t="n"/>
      <c r="AP236" s="71" t="n"/>
      <c r="AQ236" s="71" t="n"/>
      <c r="AR236" s="71" t="n"/>
      <c r="AS236" s="71" t="n"/>
      <c r="AT236" s="22" t="n"/>
    </row>
    <row r="237" ht="15" customHeight="1">
      <c r="A237" s="70">
        <f>IF(C237="","",IFERROR(IF(SUMPRODUCT(MAX((tbl_Finance[Job Number]&amp;""=C237&amp;"")*(tbl_Finance[Xero Invoice No]&lt;&gt;"")*tbl_Finance[Date]))=0,"",SUMPRODUCT(MAX((tbl_Finance[Job Number]&amp;""=C237&amp;"")*(tbl_Finance[Xero Invoice No]&lt;&gt;"")*tbl_Finance[Date]))),""))</f>
        <v/>
      </c>
      <c r="B237" s="26">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2" t="n"/>
      <c r="D237" s="26">
        <f>IF(C237="","",IF(COUNTIF(lst_Jobs,C237&amp;"")&gt;0,"OK","CHECK"))</f>
        <v/>
      </c>
      <c r="E237" s="26">
        <f>IF(C237="","",IFERROR(INDEX(lst_JobName,MATCH(C237&amp;"",lst_Jobs,0)),""))</f>
        <v/>
      </c>
      <c r="F237" s="22" t="n"/>
      <c r="G237" s="22" t="n"/>
      <c r="H237" s="22" t="n"/>
      <c r="I237" s="22" t="n"/>
      <c r="J237" s="22" t="n"/>
      <c r="K237" s="28">
        <f>IF(C237="","",COUNTIFS(tbl_Finance[Job Number],C237&amp;"",tbl_Finance[Ex GST],"&lt;&gt;"))</f>
        <v/>
      </c>
      <c r="L237" s="27">
        <f>IF(C237="","",SUMIFS(tbl_Finance[Ex GST],tbl_Finance[Job Number],C237&amp;""))</f>
        <v/>
      </c>
      <c r="M237" s="27">
        <f>IF(C237="","",SUMIFS(tbl_Finance[Ex GST],tbl_Finance[Job Number],C237&amp;"",tbl_Finance[Xero Invoice No],"&lt;&gt;"))</f>
        <v/>
      </c>
      <c r="N237" s="27">
        <f>IF(C237="","",L237-M237)</f>
        <v/>
      </c>
      <c r="O237" s="24" t="n"/>
      <c r="P237" s="27">
        <f>IF(C237="","",IF(O237="",0,MAX(0,O237-L237)))</f>
        <v/>
      </c>
      <c r="Q237" s="26">
        <f>IF(C237="","",IF(K237=0,"not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R237" s="27">
        <f>IF(C237="","",SUMIFS(tbl_Finance[Inc GST],tbl_Finance[Job Number],C237&amp;""))</f>
        <v/>
      </c>
      <c r="S237" s="22" t="n"/>
      <c r="T237" s="22" t="n"/>
      <c r="U237" s="22" t="n"/>
      <c r="V237" s="23" t="n"/>
      <c r="W237" s="22" t="n"/>
      <c r="X237" s="26">
        <f>IF(W237="","",IF(AND(LEFT(W237,4)&lt;&gt;"http",set_RMSBase=""),"",HYPERLINK(IF(LEFT(W237,4)="http",W237,set_RMSBase&amp;W237),"Open opportunity")))</f>
        <v/>
      </c>
      <c r="Y237" s="22" t="n"/>
      <c r="Z237" s="26">
        <f>IF(Y237="","",HYPERLINK(IF(LEFT(Y237,4)="http",Y237,set_QwilrBase&amp;Y237),"Open quote"))</f>
        <v/>
      </c>
      <c r="AA237" s="26">
        <f>IF(C237="","",C237)</f>
        <v/>
      </c>
      <c r="AB237" s="22" t="n"/>
      <c r="AC237" s="24" t="n"/>
      <c r="AD237" s="27">
        <f>IF(C237="","",L237+N(AC237))</f>
        <v/>
      </c>
      <c r="AE237" s="29">
        <f>IFERROR(AC237/AD237,"")</f>
        <v/>
      </c>
      <c r="AF237" s="24" t="n"/>
      <c r="AG237" s="24" t="n"/>
      <c r="AH237" s="24" t="n"/>
      <c r="AI237" s="24" t="n"/>
      <c r="AJ237" s="27">
        <f>IF(C237="","",SUMIFS(tbl_Finance[Ex GST],tbl_Finance[Job Number],C237&amp;"",tbl_Finance[Cost Centre],"VIDEO"))</f>
        <v/>
      </c>
      <c r="AK237" s="29">
        <f>IFERROR(AJ237/L237,"")</f>
        <v/>
      </c>
      <c r="AL237" s="27">
        <f>IF(C237="","",N(AF237)+N(AG237)+N(AH237)+N(AI237))</f>
        <v/>
      </c>
      <c r="AM237" s="27" t="n"/>
      <c r="AN237" s="29" t="n"/>
      <c r="AO237" s="71" t="n"/>
      <c r="AP237" s="71" t="n"/>
      <c r="AQ237" s="71" t="n"/>
      <c r="AR237" s="71" t="n"/>
      <c r="AS237" s="71" t="n"/>
      <c r="AT237" s="22" t="n"/>
    </row>
    <row r="238" ht="15" customHeight="1">
      <c r="A238" s="70">
        <f>IF(C238="","",IFERROR(IF(SUMPRODUCT(MAX((tbl_Finance[Job Number]&amp;""=C238&amp;"")*(tbl_Finance[Xero Invoice No]&lt;&gt;"")*tbl_Finance[Date]))=0,"",SUMPRODUCT(MAX((tbl_Finance[Job Number]&amp;""=C238&amp;"")*(tbl_Finance[Xero Invoice No]&lt;&gt;"")*tbl_Finance[Date]))),""))</f>
        <v/>
      </c>
      <c r="B238" s="26">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2" t="n"/>
      <c r="D238" s="26">
        <f>IF(C238="","",IF(COUNTIF(lst_Jobs,C238&amp;"")&gt;0,"OK","CHECK"))</f>
        <v/>
      </c>
      <c r="E238" s="26">
        <f>IF(C238="","",IFERROR(INDEX(lst_JobName,MATCH(C238&amp;"",lst_Jobs,0)),""))</f>
        <v/>
      </c>
      <c r="F238" s="22" t="n"/>
      <c r="G238" s="22" t="n"/>
      <c r="H238" s="22" t="n"/>
      <c r="I238" s="22" t="n"/>
      <c r="J238" s="22" t="n"/>
      <c r="K238" s="28">
        <f>IF(C238="","",COUNTIFS(tbl_Finance[Job Number],C238&amp;"",tbl_Finance[Ex GST],"&lt;&gt;"))</f>
        <v/>
      </c>
      <c r="L238" s="27">
        <f>IF(C238="","",SUMIFS(tbl_Finance[Ex GST],tbl_Finance[Job Number],C238&amp;""))</f>
        <v/>
      </c>
      <c r="M238" s="27">
        <f>IF(C238="","",SUMIFS(tbl_Finance[Ex GST],tbl_Finance[Job Number],C238&amp;"",tbl_Finance[Xero Invoice No],"&lt;&gt;"))</f>
        <v/>
      </c>
      <c r="N238" s="27">
        <f>IF(C238="","",L238-M238)</f>
        <v/>
      </c>
      <c r="O238" s="24" t="n"/>
      <c r="P238" s="27">
        <f>IF(C238="","",IF(O238="",0,MAX(0,O238-L238)))</f>
        <v/>
      </c>
      <c r="Q238" s="26">
        <f>IF(C238="","",IF(K238=0,"not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R238" s="27">
        <f>IF(C238="","",SUMIFS(tbl_Finance[Inc GST],tbl_Finance[Job Number],C238&amp;""))</f>
        <v/>
      </c>
      <c r="S238" s="22" t="n"/>
      <c r="T238" s="22" t="n"/>
      <c r="U238" s="22" t="n"/>
      <c r="V238" s="23" t="n"/>
      <c r="W238" s="22" t="n"/>
      <c r="X238" s="26">
        <f>IF(W238="","",IF(AND(LEFT(W238,4)&lt;&gt;"http",set_RMSBase=""),"",HYPERLINK(IF(LEFT(W238,4)="http",W238,set_RMSBase&amp;W238),"Open opportunity")))</f>
        <v/>
      </c>
      <c r="Y238" s="22" t="n"/>
      <c r="Z238" s="26">
        <f>IF(Y238="","",HYPERLINK(IF(LEFT(Y238,4)="http",Y238,set_QwilrBase&amp;Y238),"Open quote"))</f>
        <v/>
      </c>
      <c r="AA238" s="26">
        <f>IF(C238="","",C238)</f>
        <v/>
      </c>
      <c r="AB238" s="22" t="n"/>
      <c r="AC238" s="24" t="n"/>
      <c r="AD238" s="27">
        <f>IF(C238="","",L238+N(AC238))</f>
        <v/>
      </c>
      <c r="AE238" s="29">
        <f>IFERROR(AC238/AD238,"")</f>
        <v/>
      </c>
      <c r="AF238" s="24" t="n"/>
      <c r="AG238" s="24" t="n"/>
      <c r="AH238" s="24" t="n"/>
      <c r="AI238" s="24" t="n"/>
      <c r="AJ238" s="27">
        <f>IF(C238="","",SUMIFS(tbl_Finance[Ex GST],tbl_Finance[Job Number],C238&amp;"",tbl_Finance[Cost Centre],"VIDEO"))</f>
        <v/>
      </c>
      <c r="AK238" s="29">
        <f>IFERROR(AJ238/L238,"")</f>
        <v/>
      </c>
      <c r="AL238" s="27">
        <f>IF(C238="","",N(AF238)+N(AG238)+N(AH238)+N(AI238))</f>
        <v/>
      </c>
      <c r="AM238" s="27" t="n"/>
      <c r="AN238" s="29" t="n"/>
      <c r="AO238" s="71" t="n"/>
      <c r="AP238" s="71" t="n"/>
      <c r="AQ238" s="71" t="n"/>
      <c r="AR238" s="71" t="n"/>
      <c r="AS238" s="71" t="n"/>
      <c r="AT238" s="22" t="n"/>
    </row>
    <row r="239" ht="15" customHeight="1">
      <c r="A239" s="70">
        <f>IF(C239="","",IFERROR(IF(SUMPRODUCT(MAX((tbl_Finance[Job Number]&amp;""=C239&amp;"")*(tbl_Finance[Xero Invoice No]&lt;&gt;"")*tbl_Finance[Date]))=0,"",SUMPRODUCT(MAX((tbl_Finance[Job Number]&amp;""=C239&amp;"")*(tbl_Finance[Xero Invoice No]&lt;&gt;"")*tbl_Finance[Date]))),""))</f>
        <v/>
      </c>
      <c r="B239" s="26">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2" t="n"/>
      <c r="D239" s="26">
        <f>IF(C239="","",IF(COUNTIF(lst_Jobs,C239&amp;"")&gt;0,"OK","CHECK"))</f>
        <v/>
      </c>
      <c r="E239" s="26">
        <f>IF(C239="","",IFERROR(INDEX(lst_JobName,MATCH(C239&amp;"",lst_Jobs,0)),""))</f>
        <v/>
      </c>
      <c r="F239" s="22" t="n"/>
      <c r="G239" s="22" t="n"/>
      <c r="H239" s="22" t="n"/>
      <c r="I239" s="22" t="n"/>
      <c r="J239" s="22" t="n"/>
      <c r="K239" s="28">
        <f>IF(C239="","",COUNTIFS(tbl_Finance[Job Number],C239&amp;"",tbl_Finance[Ex GST],"&lt;&gt;"))</f>
        <v/>
      </c>
      <c r="L239" s="27">
        <f>IF(C239="","",SUMIFS(tbl_Finance[Ex GST],tbl_Finance[Job Number],C239&amp;""))</f>
        <v/>
      </c>
      <c r="M239" s="27">
        <f>IF(C239="","",SUMIFS(tbl_Finance[Ex GST],tbl_Finance[Job Number],C239&amp;"",tbl_Finance[Xero Invoice No],"&lt;&gt;"))</f>
        <v/>
      </c>
      <c r="N239" s="27">
        <f>IF(C239="","",L239-M239)</f>
        <v/>
      </c>
      <c r="O239" s="24" t="n"/>
      <c r="P239" s="27">
        <f>IF(C239="","",IF(O239="",0,MAX(0,O239-L239)))</f>
        <v/>
      </c>
      <c r="Q239" s="26">
        <f>IF(C239="","",IF(K239=0,"not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R239" s="27">
        <f>IF(C239="","",SUMIFS(tbl_Finance[Inc GST],tbl_Finance[Job Number],C239&amp;""))</f>
        <v/>
      </c>
      <c r="S239" s="22" t="n"/>
      <c r="T239" s="22" t="n"/>
      <c r="U239" s="22" t="n"/>
      <c r="V239" s="23" t="n"/>
      <c r="W239" s="22" t="n"/>
      <c r="X239" s="26">
        <f>IF(W239="","",IF(AND(LEFT(W239,4)&lt;&gt;"http",set_RMSBase=""),"",HYPERLINK(IF(LEFT(W239,4)="http",W239,set_RMSBase&amp;W239),"Open opportunity")))</f>
        <v/>
      </c>
      <c r="Y239" s="22" t="n"/>
      <c r="Z239" s="26">
        <f>IF(Y239="","",HYPERLINK(IF(LEFT(Y239,4)="http",Y239,set_QwilrBase&amp;Y239),"Open quote"))</f>
        <v/>
      </c>
      <c r="AA239" s="26">
        <f>IF(C239="","",C239)</f>
        <v/>
      </c>
      <c r="AB239" s="22" t="n"/>
      <c r="AC239" s="24" t="n"/>
      <c r="AD239" s="27">
        <f>IF(C239="","",L239+N(AC239))</f>
        <v/>
      </c>
      <c r="AE239" s="29">
        <f>IFERROR(AC239/AD239,"")</f>
        <v/>
      </c>
      <c r="AF239" s="24" t="n"/>
      <c r="AG239" s="24" t="n"/>
      <c r="AH239" s="24" t="n"/>
      <c r="AI239" s="24" t="n"/>
      <c r="AJ239" s="27">
        <f>IF(C239="","",SUMIFS(tbl_Finance[Ex GST],tbl_Finance[Job Number],C239&amp;"",tbl_Finance[Cost Centre],"VIDEO"))</f>
        <v/>
      </c>
      <c r="AK239" s="29">
        <f>IFERROR(AJ239/L239,"")</f>
        <v/>
      </c>
      <c r="AL239" s="27">
        <f>IF(C239="","",N(AF239)+N(AG239)+N(AH239)+N(AI239))</f>
        <v/>
      </c>
      <c r="AM239" s="27" t="n"/>
      <c r="AN239" s="29" t="n"/>
      <c r="AO239" s="71" t="n"/>
      <c r="AP239" s="71" t="n"/>
      <c r="AQ239" s="71" t="n"/>
      <c r="AR239" s="71" t="n"/>
      <c r="AS239" s="71" t="n"/>
      <c r="AT239" s="22" t="n"/>
    </row>
    <row r="240" ht="15" customHeight="1">
      <c r="A240" s="70">
        <f>IF(C240="","",IFERROR(IF(SUMPRODUCT(MAX((tbl_Finance[Job Number]&amp;""=C240&amp;"")*(tbl_Finance[Xero Invoice No]&lt;&gt;"")*tbl_Finance[Date]))=0,"",SUMPRODUCT(MAX((tbl_Finance[Job Number]&amp;""=C240&amp;"")*(tbl_Finance[Xero Invoice No]&lt;&gt;"")*tbl_Finance[Date]))),""))</f>
        <v/>
      </c>
      <c r="B240" s="26">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2" t="n"/>
      <c r="D240" s="26">
        <f>IF(C240="","",IF(COUNTIF(lst_Jobs,C240&amp;"")&gt;0,"OK","CHECK"))</f>
        <v/>
      </c>
      <c r="E240" s="26">
        <f>IF(C240="","",IFERROR(INDEX(lst_JobName,MATCH(C240&amp;"",lst_Jobs,0)),""))</f>
        <v/>
      </c>
      <c r="F240" s="22" t="n"/>
      <c r="G240" s="22" t="n"/>
      <c r="H240" s="22" t="n"/>
      <c r="I240" s="22" t="n"/>
      <c r="J240" s="22" t="n"/>
      <c r="K240" s="28">
        <f>IF(C240="","",COUNTIFS(tbl_Finance[Job Number],C240&amp;"",tbl_Finance[Ex GST],"&lt;&gt;"))</f>
        <v/>
      </c>
      <c r="L240" s="27">
        <f>IF(C240="","",SUMIFS(tbl_Finance[Ex GST],tbl_Finance[Job Number],C240&amp;""))</f>
        <v/>
      </c>
      <c r="M240" s="27">
        <f>IF(C240="","",SUMIFS(tbl_Finance[Ex GST],tbl_Finance[Job Number],C240&amp;"",tbl_Finance[Xero Invoice No],"&lt;&gt;"))</f>
        <v/>
      </c>
      <c r="N240" s="27">
        <f>IF(C240="","",L240-M240)</f>
        <v/>
      </c>
      <c r="O240" s="24" t="n"/>
      <c r="P240" s="27">
        <f>IF(C240="","",IF(O240="",0,MAX(0,O240-L240)))</f>
        <v/>
      </c>
      <c r="Q240" s="26">
        <f>IF(C240="","",IF(K240=0,"not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R240" s="27">
        <f>IF(C240="","",SUMIFS(tbl_Finance[Inc GST],tbl_Finance[Job Number],C240&amp;""))</f>
        <v/>
      </c>
      <c r="S240" s="22" t="n"/>
      <c r="T240" s="22" t="n"/>
      <c r="U240" s="22" t="n"/>
      <c r="V240" s="23" t="n"/>
      <c r="W240" s="22" t="n"/>
      <c r="X240" s="26">
        <f>IF(W240="","",IF(AND(LEFT(W240,4)&lt;&gt;"http",set_RMSBase=""),"",HYPERLINK(IF(LEFT(W240,4)="http",W240,set_RMSBase&amp;W240),"Open opportunity")))</f>
        <v/>
      </c>
      <c r="Y240" s="22" t="n"/>
      <c r="Z240" s="26">
        <f>IF(Y240="","",HYPERLINK(IF(LEFT(Y240,4)="http",Y240,set_QwilrBase&amp;Y240),"Open quote"))</f>
        <v/>
      </c>
      <c r="AA240" s="26">
        <f>IF(C240="","",C240)</f>
        <v/>
      </c>
      <c r="AB240" s="22" t="n"/>
      <c r="AC240" s="24" t="n"/>
      <c r="AD240" s="27">
        <f>IF(C240="","",L240+N(AC240))</f>
        <v/>
      </c>
      <c r="AE240" s="29">
        <f>IFERROR(AC240/AD240,"")</f>
        <v/>
      </c>
      <c r="AF240" s="24" t="n"/>
      <c r="AG240" s="24" t="n"/>
      <c r="AH240" s="24" t="n"/>
      <c r="AI240" s="24" t="n"/>
      <c r="AJ240" s="27">
        <f>IF(C240="","",SUMIFS(tbl_Finance[Ex GST],tbl_Finance[Job Number],C240&amp;"",tbl_Finance[Cost Centre],"VIDEO"))</f>
        <v/>
      </c>
      <c r="AK240" s="29">
        <f>IFERROR(AJ240/L240,"")</f>
        <v/>
      </c>
      <c r="AL240" s="27">
        <f>IF(C240="","",N(AF240)+N(AG240)+N(AH240)+N(AI240))</f>
        <v/>
      </c>
      <c r="AM240" s="27" t="n"/>
      <c r="AN240" s="29" t="n"/>
      <c r="AO240" s="71" t="n"/>
      <c r="AP240" s="71" t="n"/>
      <c r="AQ240" s="71" t="n"/>
      <c r="AR240" s="71" t="n"/>
      <c r="AS240" s="71" t="n"/>
      <c r="AT240" s="22" t="n"/>
    </row>
    <row r="241" ht="15" customHeight="1">
      <c r="A241" s="70">
        <f>IF(C241="","",IFERROR(IF(SUMPRODUCT(MAX((tbl_Finance[Job Number]&amp;""=C241&amp;"")*(tbl_Finance[Xero Invoice No]&lt;&gt;"")*tbl_Finance[Date]))=0,"",SUMPRODUCT(MAX((tbl_Finance[Job Number]&amp;""=C241&amp;"")*(tbl_Finance[Xero Invoice No]&lt;&gt;"")*tbl_Finance[Date]))),""))</f>
        <v/>
      </c>
      <c r="B241" s="26">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2" t="n"/>
      <c r="D241" s="26">
        <f>IF(C241="","",IF(COUNTIF(lst_Jobs,C241&amp;"")&gt;0,"OK","CHECK"))</f>
        <v/>
      </c>
      <c r="E241" s="26">
        <f>IF(C241="","",IFERROR(INDEX(lst_JobName,MATCH(C241&amp;"",lst_Jobs,0)),""))</f>
        <v/>
      </c>
      <c r="F241" s="22" t="n"/>
      <c r="G241" s="22" t="n"/>
      <c r="H241" s="22" t="n"/>
      <c r="I241" s="22" t="n"/>
      <c r="J241" s="22" t="n"/>
      <c r="K241" s="28">
        <f>IF(C241="","",COUNTIFS(tbl_Finance[Job Number],C241&amp;"",tbl_Finance[Ex GST],"&lt;&gt;"))</f>
        <v/>
      </c>
      <c r="L241" s="27">
        <f>IF(C241="","",SUMIFS(tbl_Finance[Ex GST],tbl_Finance[Job Number],C241&amp;""))</f>
        <v/>
      </c>
      <c r="M241" s="27">
        <f>IF(C241="","",SUMIFS(tbl_Finance[Ex GST],tbl_Finance[Job Number],C241&amp;"",tbl_Finance[Xero Invoice No],"&lt;&gt;"))</f>
        <v/>
      </c>
      <c r="N241" s="27">
        <f>IF(C241="","",L241-M241)</f>
        <v/>
      </c>
      <c r="O241" s="24" t="n"/>
      <c r="P241" s="27">
        <f>IF(C241="","",IF(O241="",0,MAX(0,O241-L241)))</f>
        <v/>
      </c>
      <c r="Q241" s="26">
        <f>IF(C241="","",IF(K241=0,"not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R241" s="27">
        <f>IF(C241="","",SUMIFS(tbl_Finance[Inc GST],tbl_Finance[Job Number],C241&amp;""))</f>
        <v/>
      </c>
      <c r="S241" s="22" t="n"/>
      <c r="T241" s="22" t="n"/>
      <c r="U241" s="22" t="n"/>
      <c r="V241" s="23" t="n"/>
      <c r="W241" s="22" t="n"/>
      <c r="X241" s="26">
        <f>IF(W241="","",IF(AND(LEFT(W241,4)&lt;&gt;"http",set_RMSBase=""),"",HYPERLINK(IF(LEFT(W241,4)="http",W241,set_RMSBase&amp;W241),"Open opportunity")))</f>
        <v/>
      </c>
      <c r="Y241" s="22" t="n"/>
      <c r="Z241" s="26">
        <f>IF(Y241="","",HYPERLINK(IF(LEFT(Y241,4)="http",Y241,set_QwilrBase&amp;Y241),"Open quote"))</f>
        <v/>
      </c>
      <c r="AA241" s="26">
        <f>IF(C241="","",C241)</f>
        <v/>
      </c>
      <c r="AB241" s="22" t="n"/>
      <c r="AC241" s="24" t="n"/>
      <c r="AD241" s="27">
        <f>IF(C241="","",L241+N(AC241))</f>
        <v/>
      </c>
      <c r="AE241" s="29">
        <f>IFERROR(AC241/AD241,"")</f>
        <v/>
      </c>
      <c r="AF241" s="24" t="n"/>
      <c r="AG241" s="24" t="n"/>
      <c r="AH241" s="24" t="n"/>
      <c r="AI241" s="24" t="n"/>
      <c r="AJ241" s="27">
        <f>IF(C241="","",SUMIFS(tbl_Finance[Ex GST],tbl_Finance[Job Number],C241&amp;"",tbl_Finance[Cost Centre],"VIDEO"))</f>
        <v/>
      </c>
      <c r="AK241" s="29">
        <f>IFERROR(AJ241/L241,"")</f>
        <v/>
      </c>
      <c r="AL241" s="27">
        <f>IF(C241="","",N(AF241)+N(AG241)+N(AH241)+N(AI241))</f>
        <v/>
      </c>
      <c r="AM241" s="27" t="n"/>
      <c r="AN241" s="29" t="n"/>
      <c r="AO241" s="71" t="n"/>
      <c r="AP241" s="71" t="n"/>
      <c r="AQ241" s="71" t="n"/>
      <c r="AR241" s="71" t="n"/>
      <c r="AS241" s="71" t="n"/>
      <c r="AT241" s="22" t="n"/>
    </row>
    <row r="242" ht="15" customHeight="1">
      <c r="A242" s="70">
        <f>IF(C242="","",IFERROR(IF(SUMPRODUCT(MAX((tbl_Finance[Job Number]&amp;""=C242&amp;"")*(tbl_Finance[Xero Invoice No]&lt;&gt;"")*tbl_Finance[Date]))=0,"",SUMPRODUCT(MAX((tbl_Finance[Job Number]&amp;""=C242&amp;"")*(tbl_Finance[Xero Invoice No]&lt;&gt;"")*tbl_Finance[Date]))),""))</f>
        <v/>
      </c>
      <c r="B242" s="26">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2" t="n"/>
      <c r="D242" s="26">
        <f>IF(C242="","",IF(COUNTIF(lst_Jobs,C242&amp;"")&gt;0,"OK","CHECK"))</f>
        <v/>
      </c>
      <c r="E242" s="26">
        <f>IF(C242="","",IFERROR(INDEX(lst_JobName,MATCH(C242&amp;"",lst_Jobs,0)),""))</f>
        <v/>
      </c>
      <c r="F242" s="22" t="n"/>
      <c r="G242" s="22" t="n"/>
      <c r="H242" s="22" t="n"/>
      <c r="I242" s="22" t="n"/>
      <c r="J242" s="22" t="n"/>
      <c r="K242" s="28">
        <f>IF(C242="","",COUNTIFS(tbl_Finance[Job Number],C242&amp;"",tbl_Finance[Ex GST],"&lt;&gt;"))</f>
        <v/>
      </c>
      <c r="L242" s="27">
        <f>IF(C242="","",SUMIFS(tbl_Finance[Ex GST],tbl_Finance[Job Number],C242&amp;""))</f>
        <v/>
      </c>
      <c r="M242" s="27">
        <f>IF(C242="","",SUMIFS(tbl_Finance[Ex GST],tbl_Finance[Job Number],C242&amp;"",tbl_Finance[Xero Invoice No],"&lt;&gt;"))</f>
        <v/>
      </c>
      <c r="N242" s="27">
        <f>IF(C242="","",L242-M242)</f>
        <v/>
      </c>
      <c r="O242" s="24" t="n"/>
      <c r="P242" s="27">
        <f>IF(C242="","",IF(O242="",0,MAX(0,O242-L242)))</f>
        <v/>
      </c>
      <c r="Q242" s="26">
        <f>IF(C242="","",IF(K242=0,"not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R242" s="27">
        <f>IF(C242="","",SUMIFS(tbl_Finance[Inc GST],tbl_Finance[Job Number],C242&amp;""))</f>
        <v/>
      </c>
      <c r="S242" s="22" t="n"/>
      <c r="T242" s="22" t="n"/>
      <c r="U242" s="22" t="n"/>
      <c r="V242" s="23" t="n"/>
      <c r="W242" s="22" t="n"/>
      <c r="X242" s="26">
        <f>IF(W242="","",IF(AND(LEFT(W242,4)&lt;&gt;"http",set_RMSBase=""),"",HYPERLINK(IF(LEFT(W242,4)="http",W242,set_RMSBase&amp;W242),"Open opportunity")))</f>
        <v/>
      </c>
      <c r="Y242" s="22" t="n"/>
      <c r="Z242" s="26">
        <f>IF(Y242="","",HYPERLINK(IF(LEFT(Y242,4)="http",Y242,set_QwilrBase&amp;Y242),"Open quote"))</f>
        <v/>
      </c>
      <c r="AA242" s="26">
        <f>IF(C242="","",C242)</f>
        <v/>
      </c>
      <c r="AB242" s="22" t="n"/>
      <c r="AC242" s="24" t="n"/>
      <c r="AD242" s="27">
        <f>IF(C242="","",L242+N(AC242))</f>
        <v/>
      </c>
      <c r="AE242" s="29">
        <f>IFERROR(AC242/AD242,"")</f>
        <v/>
      </c>
      <c r="AF242" s="24" t="n"/>
      <c r="AG242" s="24" t="n"/>
      <c r="AH242" s="24" t="n"/>
      <c r="AI242" s="24" t="n"/>
      <c r="AJ242" s="27">
        <f>IF(C242="","",SUMIFS(tbl_Finance[Ex GST],tbl_Finance[Job Number],C242&amp;"",tbl_Finance[Cost Centre],"VIDEO"))</f>
        <v/>
      </c>
      <c r="AK242" s="29">
        <f>IFERROR(AJ242/L242,"")</f>
        <v/>
      </c>
      <c r="AL242" s="27">
        <f>IF(C242="","",N(AF242)+N(AG242)+N(AH242)+N(AI242))</f>
        <v/>
      </c>
      <c r="AM242" s="27" t="n"/>
      <c r="AN242" s="29" t="n"/>
      <c r="AO242" s="71" t="n"/>
      <c r="AP242" s="71" t="n"/>
      <c r="AQ242" s="71" t="n"/>
      <c r="AR242" s="71" t="n"/>
      <c r="AS242" s="71" t="n"/>
      <c r="AT242" s="22" t="n"/>
    </row>
    <row r="243" ht="15" customHeight="1">
      <c r="A243" s="70">
        <f>IF(C243="","",IFERROR(IF(SUMPRODUCT(MAX((tbl_Finance[Job Number]&amp;""=C243&amp;"")*(tbl_Finance[Xero Invoice No]&lt;&gt;"")*tbl_Finance[Date]))=0,"",SUMPRODUCT(MAX((tbl_Finance[Job Number]&amp;""=C243&amp;"")*(tbl_Finance[Xero Invoice No]&lt;&gt;"")*tbl_Finance[Date]))),""))</f>
        <v/>
      </c>
      <c r="B243" s="26">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2" t="n"/>
      <c r="D243" s="26">
        <f>IF(C243="","",IF(COUNTIF(lst_Jobs,C243&amp;"")&gt;0,"OK","CHECK"))</f>
        <v/>
      </c>
      <c r="E243" s="26">
        <f>IF(C243="","",IFERROR(INDEX(lst_JobName,MATCH(C243&amp;"",lst_Jobs,0)),""))</f>
        <v/>
      </c>
      <c r="F243" s="22" t="n"/>
      <c r="G243" s="22" t="n"/>
      <c r="H243" s="22" t="n"/>
      <c r="I243" s="22" t="n"/>
      <c r="J243" s="22" t="n"/>
      <c r="K243" s="28">
        <f>IF(C243="","",COUNTIFS(tbl_Finance[Job Number],C243&amp;"",tbl_Finance[Ex GST],"&lt;&gt;"))</f>
        <v/>
      </c>
      <c r="L243" s="27">
        <f>IF(C243="","",SUMIFS(tbl_Finance[Ex GST],tbl_Finance[Job Number],C243&amp;""))</f>
        <v/>
      </c>
      <c r="M243" s="27">
        <f>IF(C243="","",SUMIFS(tbl_Finance[Ex GST],tbl_Finance[Job Number],C243&amp;"",tbl_Finance[Xero Invoice No],"&lt;&gt;"))</f>
        <v/>
      </c>
      <c r="N243" s="27">
        <f>IF(C243="","",L243-M243)</f>
        <v/>
      </c>
      <c r="O243" s="24" t="n"/>
      <c r="P243" s="27">
        <f>IF(C243="","",IF(O243="",0,MAX(0,O243-L243)))</f>
        <v/>
      </c>
      <c r="Q243" s="26">
        <f>IF(C243="","",IF(K243=0,"not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R243" s="27">
        <f>IF(C243="","",SUMIFS(tbl_Finance[Inc GST],tbl_Finance[Job Number],C243&amp;""))</f>
        <v/>
      </c>
      <c r="S243" s="22" t="n"/>
      <c r="T243" s="22" t="n"/>
      <c r="U243" s="22" t="n"/>
      <c r="V243" s="23" t="n"/>
      <c r="W243" s="22" t="n"/>
      <c r="X243" s="26">
        <f>IF(W243="","",IF(AND(LEFT(W243,4)&lt;&gt;"http",set_RMSBase=""),"",HYPERLINK(IF(LEFT(W243,4)="http",W243,set_RMSBase&amp;W243),"Open opportunity")))</f>
        <v/>
      </c>
      <c r="Y243" s="22" t="n"/>
      <c r="Z243" s="26">
        <f>IF(Y243="","",HYPERLINK(IF(LEFT(Y243,4)="http",Y243,set_QwilrBase&amp;Y243),"Open quote"))</f>
        <v/>
      </c>
      <c r="AA243" s="26">
        <f>IF(C243="","",C243)</f>
        <v/>
      </c>
      <c r="AB243" s="22" t="n"/>
      <c r="AC243" s="24" t="n"/>
      <c r="AD243" s="27">
        <f>IF(C243="","",L243+N(AC243))</f>
        <v/>
      </c>
      <c r="AE243" s="29">
        <f>IFERROR(AC243/AD243,"")</f>
        <v/>
      </c>
      <c r="AF243" s="24" t="n"/>
      <c r="AG243" s="24" t="n"/>
      <c r="AH243" s="24" t="n"/>
      <c r="AI243" s="24" t="n"/>
      <c r="AJ243" s="27">
        <f>IF(C243="","",SUMIFS(tbl_Finance[Ex GST],tbl_Finance[Job Number],C243&amp;"",tbl_Finance[Cost Centre],"VIDEO"))</f>
        <v/>
      </c>
      <c r="AK243" s="29">
        <f>IFERROR(AJ243/L243,"")</f>
        <v/>
      </c>
      <c r="AL243" s="27">
        <f>IF(C243="","",N(AF243)+N(AG243)+N(AH243)+N(AI243))</f>
        <v/>
      </c>
      <c r="AM243" s="27" t="n"/>
      <c r="AN243" s="29" t="n"/>
      <c r="AO243" s="71" t="n"/>
      <c r="AP243" s="71" t="n"/>
      <c r="AQ243" s="71" t="n"/>
      <c r="AR243" s="71" t="n"/>
      <c r="AS243" s="71" t="n"/>
      <c r="AT243" s="22" t="n"/>
    </row>
    <row r="244" ht="15" customHeight="1">
      <c r="A244" s="70">
        <f>IF(C244="","",IFERROR(IF(SUMPRODUCT(MAX((tbl_Finance[Job Number]&amp;""=C244&amp;"")*(tbl_Finance[Xero Invoice No]&lt;&gt;"")*tbl_Finance[Date]))=0,"",SUMPRODUCT(MAX((tbl_Finance[Job Number]&amp;""=C244&amp;"")*(tbl_Finance[Xero Invoice No]&lt;&gt;"")*tbl_Finance[Date]))),""))</f>
        <v/>
      </c>
      <c r="B244" s="26">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2" t="n"/>
      <c r="D244" s="26">
        <f>IF(C244="","",IF(COUNTIF(lst_Jobs,C244&amp;"")&gt;0,"OK","CHECK"))</f>
        <v/>
      </c>
      <c r="E244" s="26">
        <f>IF(C244="","",IFERROR(INDEX(lst_JobName,MATCH(C244&amp;"",lst_Jobs,0)),""))</f>
        <v/>
      </c>
      <c r="F244" s="22" t="n"/>
      <c r="G244" s="22" t="n"/>
      <c r="H244" s="22" t="n"/>
      <c r="I244" s="22" t="n"/>
      <c r="J244" s="22" t="n"/>
      <c r="K244" s="28">
        <f>IF(C244="","",COUNTIFS(tbl_Finance[Job Number],C244&amp;"",tbl_Finance[Ex GST],"&lt;&gt;"))</f>
        <v/>
      </c>
      <c r="L244" s="27">
        <f>IF(C244="","",SUMIFS(tbl_Finance[Ex GST],tbl_Finance[Job Number],C244&amp;""))</f>
        <v/>
      </c>
      <c r="M244" s="27">
        <f>IF(C244="","",SUMIFS(tbl_Finance[Ex GST],tbl_Finance[Job Number],C244&amp;"",tbl_Finance[Xero Invoice No],"&lt;&gt;"))</f>
        <v/>
      </c>
      <c r="N244" s="27">
        <f>IF(C244="","",L244-M244)</f>
        <v/>
      </c>
      <c r="O244" s="24" t="n"/>
      <c r="P244" s="27">
        <f>IF(C244="","",IF(O244="",0,MAX(0,O244-L244)))</f>
        <v/>
      </c>
      <c r="Q244" s="26">
        <f>IF(C244="","",IF(K244=0,"not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R244" s="27">
        <f>IF(C244="","",SUMIFS(tbl_Finance[Inc GST],tbl_Finance[Job Number],C244&amp;""))</f>
        <v/>
      </c>
      <c r="S244" s="22" t="n"/>
      <c r="T244" s="22" t="n"/>
      <c r="U244" s="22" t="n"/>
      <c r="V244" s="23" t="n"/>
      <c r="W244" s="22" t="n"/>
      <c r="X244" s="26">
        <f>IF(W244="","",IF(AND(LEFT(W244,4)&lt;&gt;"http",set_RMSBase=""),"",HYPERLINK(IF(LEFT(W244,4)="http",W244,set_RMSBase&amp;W244),"Open opportunity")))</f>
        <v/>
      </c>
      <c r="Y244" s="22" t="n"/>
      <c r="Z244" s="26">
        <f>IF(Y244="","",HYPERLINK(IF(LEFT(Y244,4)="http",Y244,set_QwilrBase&amp;Y244),"Open quote"))</f>
        <v/>
      </c>
      <c r="AA244" s="26">
        <f>IF(C244="","",C244)</f>
        <v/>
      </c>
      <c r="AB244" s="22" t="n"/>
      <c r="AC244" s="24" t="n"/>
      <c r="AD244" s="27">
        <f>IF(C244="","",L244+N(AC244))</f>
        <v/>
      </c>
      <c r="AE244" s="29">
        <f>IFERROR(AC244/AD244,"")</f>
        <v/>
      </c>
      <c r="AF244" s="24" t="n"/>
      <c r="AG244" s="24" t="n"/>
      <c r="AH244" s="24" t="n"/>
      <c r="AI244" s="24" t="n"/>
      <c r="AJ244" s="27">
        <f>IF(C244="","",SUMIFS(tbl_Finance[Ex GST],tbl_Finance[Job Number],C244&amp;"",tbl_Finance[Cost Centre],"VIDEO"))</f>
        <v/>
      </c>
      <c r="AK244" s="29">
        <f>IFERROR(AJ244/L244,"")</f>
        <v/>
      </c>
      <c r="AL244" s="27">
        <f>IF(C244="","",N(AF244)+N(AG244)+N(AH244)+N(AI244))</f>
        <v/>
      </c>
      <c r="AM244" s="27" t="n"/>
      <c r="AN244" s="29" t="n"/>
      <c r="AO244" s="71" t="n"/>
      <c r="AP244" s="71" t="n"/>
      <c r="AQ244" s="71" t="n"/>
      <c r="AR244" s="71" t="n"/>
      <c r="AS244" s="71" t="n"/>
      <c r="AT244" s="22" t="n"/>
    </row>
    <row r="245" ht="15" customHeight="1">
      <c r="A245" s="70">
        <f>IF(C245="","",IFERROR(IF(SUMPRODUCT(MAX((tbl_Finance[Job Number]&amp;""=C245&amp;"")*(tbl_Finance[Xero Invoice No]&lt;&gt;"")*tbl_Finance[Date]))=0,"",SUMPRODUCT(MAX((tbl_Finance[Job Number]&amp;""=C245&amp;"")*(tbl_Finance[Xero Invoice No]&lt;&gt;"")*tbl_Finance[Date]))),""))</f>
        <v/>
      </c>
      <c r="B245" s="26">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2" t="n"/>
      <c r="D245" s="26">
        <f>IF(C245="","",IF(COUNTIF(lst_Jobs,C245&amp;"")&gt;0,"OK","CHECK"))</f>
        <v/>
      </c>
      <c r="E245" s="26">
        <f>IF(C245="","",IFERROR(INDEX(lst_JobName,MATCH(C245&amp;"",lst_Jobs,0)),""))</f>
        <v/>
      </c>
      <c r="F245" s="22" t="n"/>
      <c r="G245" s="22" t="n"/>
      <c r="H245" s="22" t="n"/>
      <c r="I245" s="22" t="n"/>
      <c r="J245" s="22" t="n"/>
      <c r="K245" s="28">
        <f>IF(C245="","",COUNTIFS(tbl_Finance[Job Number],C245&amp;"",tbl_Finance[Ex GST],"&lt;&gt;"))</f>
        <v/>
      </c>
      <c r="L245" s="27">
        <f>IF(C245="","",SUMIFS(tbl_Finance[Ex GST],tbl_Finance[Job Number],C245&amp;""))</f>
        <v/>
      </c>
      <c r="M245" s="27">
        <f>IF(C245="","",SUMIFS(tbl_Finance[Ex GST],tbl_Finance[Job Number],C245&amp;"",tbl_Finance[Xero Invoice No],"&lt;&gt;"))</f>
        <v/>
      </c>
      <c r="N245" s="27">
        <f>IF(C245="","",L245-M245)</f>
        <v/>
      </c>
      <c r="O245" s="24" t="n"/>
      <c r="P245" s="27">
        <f>IF(C245="","",IF(O245="",0,MAX(0,O245-L245)))</f>
        <v/>
      </c>
      <c r="Q245" s="26">
        <f>IF(C245="","",IF(K245=0,"not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R245" s="27">
        <f>IF(C245="","",SUMIFS(tbl_Finance[Inc GST],tbl_Finance[Job Number],C245&amp;""))</f>
        <v/>
      </c>
      <c r="S245" s="22" t="n"/>
      <c r="T245" s="22" t="n"/>
      <c r="U245" s="22" t="n"/>
      <c r="V245" s="23" t="n"/>
      <c r="W245" s="22" t="n"/>
      <c r="X245" s="26">
        <f>IF(W245="","",IF(AND(LEFT(W245,4)&lt;&gt;"http",set_RMSBase=""),"",HYPERLINK(IF(LEFT(W245,4)="http",W245,set_RMSBase&amp;W245),"Open opportunity")))</f>
        <v/>
      </c>
      <c r="Y245" s="22" t="n"/>
      <c r="Z245" s="26">
        <f>IF(Y245="","",HYPERLINK(IF(LEFT(Y245,4)="http",Y245,set_QwilrBase&amp;Y245),"Open quote"))</f>
        <v/>
      </c>
      <c r="AA245" s="26">
        <f>IF(C245="","",C245)</f>
        <v/>
      </c>
      <c r="AB245" s="22" t="n"/>
      <c r="AC245" s="24" t="n"/>
      <c r="AD245" s="27">
        <f>IF(C245="","",L245+N(AC245))</f>
        <v/>
      </c>
      <c r="AE245" s="29">
        <f>IFERROR(AC245/AD245,"")</f>
        <v/>
      </c>
      <c r="AF245" s="24" t="n"/>
      <c r="AG245" s="24" t="n"/>
      <c r="AH245" s="24" t="n"/>
      <c r="AI245" s="24" t="n"/>
      <c r="AJ245" s="27">
        <f>IF(C245="","",SUMIFS(tbl_Finance[Ex GST],tbl_Finance[Job Number],C245&amp;"",tbl_Finance[Cost Centre],"VIDEO"))</f>
        <v/>
      </c>
      <c r="AK245" s="29">
        <f>IFERROR(AJ245/L245,"")</f>
        <v/>
      </c>
      <c r="AL245" s="27">
        <f>IF(C245="","",N(AF245)+N(AG245)+N(AH245)+N(AI245))</f>
        <v/>
      </c>
      <c r="AM245" s="27" t="n"/>
      <c r="AN245" s="29" t="n"/>
      <c r="AO245" s="71" t="n"/>
      <c r="AP245" s="71" t="n"/>
      <c r="AQ245" s="71" t="n"/>
      <c r="AR245" s="71" t="n"/>
      <c r="AS245" s="71" t="n"/>
      <c r="AT245" s="22" t="n"/>
    </row>
    <row r="246" ht="15" customHeight="1">
      <c r="A246" s="70">
        <f>IF(C246="","",IFERROR(IF(SUMPRODUCT(MAX((tbl_Finance[Job Number]&amp;""=C246&amp;"")*(tbl_Finance[Xero Invoice No]&lt;&gt;"")*tbl_Finance[Date]))=0,"",SUMPRODUCT(MAX((tbl_Finance[Job Number]&amp;""=C246&amp;"")*(tbl_Finance[Xero Invoice No]&lt;&gt;"")*tbl_Finance[Date]))),""))</f>
        <v/>
      </c>
      <c r="B246" s="26">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2" t="n"/>
      <c r="D246" s="26">
        <f>IF(C246="","",IF(COUNTIF(lst_Jobs,C246&amp;"")&gt;0,"OK","CHECK"))</f>
        <v/>
      </c>
      <c r="E246" s="26">
        <f>IF(C246="","",IFERROR(INDEX(lst_JobName,MATCH(C246&amp;"",lst_Jobs,0)),""))</f>
        <v/>
      </c>
      <c r="F246" s="22" t="n"/>
      <c r="G246" s="22" t="n"/>
      <c r="H246" s="22" t="n"/>
      <c r="I246" s="22" t="n"/>
      <c r="J246" s="22" t="n"/>
      <c r="K246" s="28">
        <f>IF(C246="","",COUNTIFS(tbl_Finance[Job Number],C246&amp;"",tbl_Finance[Ex GST],"&lt;&gt;"))</f>
        <v/>
      </c>
      <c r="L246" s="27">
        <f>IF(C246="","",SUMIFS(tbl_Finance[Ex GST],tbl_Finance[Job Number],C246&amp;""))</f>
        <v/>
      </c>
      <c r="M246" s="27">
        <f>IF(C246="","",SUMIFS(tbl_Finance[Ex GST],tbl_Finance[Job Number],C246&amp;"",tbl_Finance[Xero Invoice No],"&lt;&gt;"))</f>
        <v/>
      </c>
      <c r="N246" s="27">
        <f>IF(C246="","",L246-M246)</f>
        <v/>
      </c>
      <c r="O246" s="24" t="n"/>
      <c r="P246" s="27">
        <f>IF(C246="","",IF(O246="",0,MAX(0,O246-L246)))</f>
        <v/>
      </c>
      <c r="Q246" s="26">
        <f>IF(C246="","",IF(K246=0,"not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R246" s="27">
        <f>IF(C246="","",SUMIFS(tbl_Finance[Inc GST],tbl_Finance[Job Number],C246&amp;""))</f>
        <v/>
      </c>
      <c r="S246" s="22" t="n"/>
      <c r="T246" s="22" t="n"/>
      <c r="U246" s="22" t="n"/>
      <c r="V246" s="23" t="n"/>
      <c r="W246" s="22" t="n"/>
      <c r="X246" s="26">
        <f>IF(W246="","",IF(AND(LEFT(W246,4)&lt;&gt;"http",set_RMSBase=""),"",HYPERLINK(IF(LEFT(W246,4)="http",W246,set_RMSBase&amp;W246),"Open opportunity")))</f>
        <v/>
      </c>
      <c r="Y246" s="22" t="n"/>
      <c r="Z246" s="26">
        <f>IF(Y246="","",HYPERLINK(IF(LEFT(Y246,4)="http",Y246,set_QwilrBase&amp;Y246),"Open quote"))</f>
        <v/>
      </c>
      <c r="AA246" s="26">
        <f>IF(C246="","",C246)</f>
        <v/>
      </c>
      <c r="AB246" s="22" t="n"/>
      <c r="AC246" s="24" t="n"/>
      <c r="AD246" s="27">
        <f>IF(C246="","",L246+N(AC246))</f>
        <v/>
      </c>
      <c r="AE246" s="29">
        <f>IFERROR(AC246/AD246,"")</f>
        <v/>
      </c>
      <c r="AF246" s="24" t="n"/>
      <c r="AG246" s="24" t="n"/>
      <c r="AH246" s="24" t="n"/>
      <c r="AI246" s="24" t="n"/>
      <c r="AJ246" s="27">
        <f>IF(C246="","",SUMIFS(tbl_Finance[Ex GST],tbl_Finance[Job Number],C246&amp;"",tbl_Finance[Cost Centre],"VIDEO"))</f>
        <v/>
      </c>
      <c r="AK246" s="29">
        <f>IFERROR(AJ246/L246,"")</f>
        <v/>
      </c>
      <c r="AL246" s="27">
        <f>IF(C246="","",N(AF246)+N(AG246)+N(AH246)+N(AI246))</f>
        <v/>
      </c>
      <c r="AM246" s="27" t="n"/>
      <c r="AN246" s="29" t="n"/>
      <c r="AO246" s="71" t="n"/>
      <c r="AP246" s="71" t="n"/>
      <c r="AQ246" s="71" t="n"/>
      <c r="AR246" s="71" t="n"/>
      <c r="AS246" s="71" t="n"/>
      <c r="AT246" s="22" t="n"/>
    </row>
    <row r="247" ht="15" customHeight="1">
      <c r="A247" s="70">
        <f>IF(C247="","",IFERROR(IF(SUMPRODUCT(MAX((tbl_Finance[Job Number]&amp;""=C247&amp;"")*(tbl_Finance[Xero Invoice No]&lt;&gt;"")*tbl_Finance[Date]))=0,"",SUMPRODUCT(MAX((tbl_Finance[Job Number]&amp;""=C247&amp;"")*(tbl_Finance[Xero Invoice No]&lt;&gt;"")*tbl_Finance[Date]))),""))</f>
        <v/>
      </c>
      <c r="B247" s="26">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2" t="n"/>
      <c r="D247" s="26">
        <f>IF(C247="","",IF(COUNTIF(lst_Jobs,C247&amp;"")&gt;0,"OK","CHECK"))</f>
        <v/>
      </c>
      <c r="E247" s="26">
        <f>IF(C247="","",IFERROR(INDEX(lst_JobName,MATCH(C247&amp;"",lst_Jobs,0)),""))</f>
        <v/>
      </c>
      <c r="F247" s="22" t="n"/>
      <c r="G247" s="22" t="n"/>
      <c r="H247" s="22" t="n"/>
      <c r="I247" s="22" t="n"/>
      <c r="J247" s="22" t="n"/>
      <c r="K247" s="28">
        <f>IF(C247="","",COUNTIFS(tbl_Finance[Job Number],C247&amp;"",tbl_Finance[Ex GST],"&lt;&gt;"))</f>
        <v/>
      </c>
      <c r="L247" s="27">
        <f>IF(C247="","",SUMIFS(tbl_Finance[Ex GST],tbl_Finance[Job Number],C247&amp;""))</f>
        <v/>
      </c>
      <c r="M247" s="27">
        <f>IF(C247="","",SUMIFS(tbl_Finance[Ex GST],tbl_Finance[Job Number],C247&amp;"",tbl_Finance[Xero Invoice No],"&lt;&gt;"))</f>
        <v/>
      </c>
      <c r="N247" s="27">
        <f>IF(C247="","",L247-M247)</f>
        <v/>
      </c>
      <c r="O247" s="24" t="n"/>
      <c r="P247" s="27">
        <f>IF(C247="","",IF(O247="",0,MAX(0,O247-L247)))</f>
        <v/>
      </c>
      <c r="Q247" s="26">
        <f>IF(C247="","",IF(K247=0,"not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R247" s="27">
        <f>IF(C247="","",SUMIFS(tbl_Finance[Inc GST],tbl_Finance[Job Number],C247&amp;""))</f>
        <v/>
      </c>
      <c r="S247" s="22" t="n"/>
      <c r="T247" s="22" t="n"/>
      <c r="U247" s="22" t="n"/>
      <c r="V247" s="23" t="n"/>
      <c r="W247" s="22" t="n"/>
      <c r="X247" s="26">
        <f>IF(W247="","",IF(AND(LEFT(W247,4)&lt;&gt;"http",set_RMSBase=""),"",HYPERLINK(IF(LEFT(W247,4)="http",W247,set_RMSBase&amp;W247),"Open opportunity")))</f>
        <v/>
      </c>
      <c r="Y247" s="22" t="n"/>
      <c r="Z247" s="26">
        <f>IF(Y247="","",HYPERLINK(IF(LEFT(Y247,4)="http",Y247,set_QwilrBase&amp;Y247),"Open quote"))</f>
        <v/>
      </c>
      <c r="AA247" s="26">
        <f>IF(C247="","",C247)</f>
        <v/>
      </c>
      <c r="AB247" s="22" t="n"/>
      <c r="AC247" s="24" t="n"/>
      <c r="AD247" s="27">
        <f>IF(C247="","",L247+N(AC247))</f>
        <v/>
      </c>
      <c r="AE247" s="29">
        <f>IFERROR(AC247/AD247,"")</f>
        <v/>
      </c>
      <c r="AF247" s="24" t="n"/>
      <c r="AG247" s="24" t="n"/>
      <c r="AH247" s="24" t="n"/>
      <c r="AI247" s="24" t="n"/>
      <c r="AJ247" s="27">
        <f>IF(C247="","",SUMIFS(tbl_Finance[Ex GST],tbl_Finance[Job Number],C247&amp;"",tbl_Finance[Cost Centre],"VIDEO"))</f>
        <v/>
      </c>
      <c r="AK247" s="29">
        <f>IFERROR(AJ247/L247,"")</f>
        <v/>
      </c>
      <c r="AL247" s="27">
        <f>IF(C247="","",N(AF247)+N(AG247)+N(AH247)+N(AI247))</f>
        <v/>
      </c>
      <c r="AM247" s="27" t="n"/>
      <c r="AN247" s="29" t="n"/>
      <c r="AO247" s="71" t="n"/>
      <c r="AP247" s="71" t="n"/>
      <c r="AQ247" s="71" t="n"/>
      <c r="AR247" s="71" t="n"/>
      <c r="AS247" s="71" t="n"/>
      <c r="AT247" s="22" t="n"/>
    </row>
    <row r="248" ht="15" customHeight="1">
      <c r="A248" s="70">
        <f>IF(C248="","",IFERROR(IF(SUMPRODUCT(MAX((tbl_Finance[Job Number]&amp;""=C248&amp;"")*(tbl_Finance[Xero Invoice No]&lt;&gt;"")*tbl_Finance[Date]))=0,"",SUMPRODUCT(MAX((tbl_Finance[Job Number]&amp;""=C248&amp;"")*(tbl_Finance[Xero Invoice No]&lt;&gt;"")*tbl_Finance[Date]))),""))</f>
        <v/>
      </c>
      <c r="B248" s="26">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2" t="n"/>
      <c r="D248" s="26">
        <f>IF(C248="","",IF(COUNTIF(lst_Jobs,C248&amp;"")&gt;0,"OK","CHECK"))</f>
        <v/>
      </c>
      <c r="E248" s="26">
        <f>IF(C248="","",IFERROR(INDEX(lst_JobName,MATCH(C248&amp;"",lst_Jobs,0)),""))</f>
        <v/>
      </c>
      <c r="F248" s="22" t="n"/>
      <c r="G248" s="22" t="n"/>
      <c r="H248" s="22" t="n"/>
      <c r="I248" s="22" t="n"/>
      <c r="J248" s="22" t="n"/>
      <c r="K248" s="28">
        <f>IF(C248="","",COUNTIFS(tbl_Finance[Job Number],C248&amp;"",tbl_Finance[Ex GST],"&lt;&gt;"))</f>
        <v/>
      </c>
      <c r="L248" s="27">
        <f>IF(C248="","",SUMIFS(tbl_Finance[Ex GST],tbl_Finance[Job Number],C248&amp;""))</f>
        <v/>
      </c>
      <c r="M248" s="27">
        <f>IF(C248="","",SUMIFS(tbl_Finance[Ex GST],tbl_Finance[Job Number],C248&amp;"",tbl_Finance[Xero Invoice No],"&lt;&gt;"))</f>
        <v/>
      </c>
      <c r="N248" s="27">
        <f>IF(C248="","",L248-M248)</f>
        <v/>
      </c>
      <c r="O248" s="24" t="n"/>
      <c r="P248" s="27">
        <f>IF(C248="","",IF(O248="",0,MAX(0,O248-L248)))</f>
        <v/>
      </c>
      <c r="Q248" s="26">
        <f>IF(C248="","",IF(K248=0,"not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R248" s="27">
        <f>IF(C248="","",SUMIFS(tbl_Finance[Inc GST],tbl_Finance[Job Number],C248&amp;""))</f>
        <v/>
      </c>
      <c r="S248" s="22" t="n"/>
      <c r="T248" s="22" t="n"/>
      <c r="U248" s="22" t="n"/>
      <c r="V248" s="23" t="n"/>
      <c r="W248" s="22" t="n"/>
      <c r="X248" s="26">
        <f>IF(W248="","",IF(AND(LEFT(W248,4)&lt;&gt;"http",set_RMSBase=""),"",HYPERLINK(IF(LEFT(W248,4)="http",W248,set_RMSBase&amp;W248),"Open opportunity")))</f>
        <v/>
      </c>
      <c r="Y248" s="22" t="n"/>
      <c r="Z248" s="26">
        <f>IF(Y248="","",HYPERLINK(IF(LEFT(Y248,4)="http",Y248,set_QwilrBase&amp;Y248),"Open quote"))</f>
        <v/>
      </c>
      <c r="AA248" s="26">
        <f>IF(C248="","",C248)</f>
        <v/>
      </c>
      <c r="AB248" s="22" t="n"/>
      <c r="AC248" s="24" t="n"/>
      <c r="AD248" s="27">
        <f>IF(C248="","",L248+N(AC248))</f>
        <v/>
      </c>
      <c r="AE248" s="29">
        <f>IFERROR(AC248/AD248,"")</f>
        <v/>
      </c>
      <c r="AF248" s="24" t="n"/>
      <c r="AG248" s="24" t="n"/>
      <c r="AH248" s="24" t="n"/>
      <c r="AI248" s="24" t="n"/>
      <c r="AJ248" s="27">
        <f>IF(C248="","",SUMIFS(tbl_Finance[Ex GST],tbl_Finance[Job Number],C248&amp;"",tbl_Finance[Cost Centre],"VIDEO"))</f>
        <v/>
      </c>
      <c r="AK248" s="29">
        <f>IFERROR(AJ248/L248,"")</f>
        <v/>
      </c>
      <c r="AL248" s="27">
        <f>IF(C248="","",N(AF248)+N(AG248)+N(AH248)+N(AI248))</f>
        <v/>
      </c>
      <c r="AM248" s="27" t="n"/>
      <c r="AN248" s="29" t="n"/>
      <c r="AO248" s="71" t="n"/>
      <c r="AP248" s="71" t="n"/>
      <c r="AQ248" s="71" t="n"/>
      <c r="AR248" s="71" t="n"/>
      <c r="AS248" s="71" t="n"/>
      <c r="AT248" s="22" t="n"/>
    </row>
    <row r="249" ht="15" customHeight="1">
      <c r="A249" s="70">
        <f>IF(C249="","",IFERROR(IF(SUMPRODUCT(MAX((tbl_Finance[Job Number]&amp;""=C249&amp;"")*(tbl_Finance[Xero Invoice No]&lt;&gt;"")*tbl_Finance[Date]))=0,"",SUMPRODUCT(MAX((tbl_Finance[Job Number]&amp;""=C249&amp;"")*(tbl_Finance[Xero Invoice No]&lt;&gt;"")*tbl_Finance[Date]))),""))</f>
        <v/>
      </c>
      <c r="B249" s="26">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2" t="n"/>
      <c r="D249" s="26">
        <f>IF(C249="","",IF(COUNTIF(lst_Jobs,C249&amp;"")&gt;0,"OK","CHECK"))</f>
        <v/>
      </c>
      <c r="E249" s="26">
        <f>IF(C249="","",IFERROR(INDEX(lst_JobName,MATCH(C249&amp;"",lst_Jobs,0)),""))</f>
        <v/>
      </c>
      <c r="F249" s="22" t="n"/>
      <c r="G249" s="22" t="n"/>
      <c r="H249" s="22" t="n"/>
      <c r="I249" s="22" t="n"/>
      <c r="J249" s="22" t="n"/>
      <c r="K249" s="28">
        <f>IF(C249="","",COUNTIFS(tbl_Finance[Job Number],C249&amp;"",tbl_Finance[Ex GST],"&lt;&gt;"))</f>
        <v/>
      </c>
      <c r="L249" s="27">
        <f>IF(C249="","",SUMIFS(tbl_Finance[Ex GST],tbl_Finance[Job Number],C249&amp;""))</f>
        <v/>
      </c>
      <c r="M249" s="27">
        <f>IF(C249="","",SUMIFS(tbl_Finance[Ex GST],tbl_Finance[Job Number],C249&amp;"",tbl_Finance[Xero Invoice No],"&lt;&gt;"))</f>
        <v/>
      </c>
      <c r="N249" s="27">
        <f>IF(C249="","",L249-M249)</f>
        <v/>
      </c>
      <c r="O249" s="24" t="n"/>
      <c r="P249" s="27">
        <f>IF(C249="","",IF(O249="",0,MAX(0,O249-L249)))</f>
        <v/>
      </c>
      <c r="Q249" s="26">
        <f>IF(C249="","",IF(K249=0,"not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R249" s="27">
        <f>IF(C249="","",SUMIFS(tbl_Finance[Inc GST],tbl_Finance[Job Number],C249&amp;""))</f>
        <v/>
      </c>
      <c r="S249" s="22" t="n"/>
      <c r="T249" s="22" t="n"/>
      <c r="U249" s="22" t="n"/>
      <c r="V249" s="23" t="n"/>
      <c r="W249" s="22" t="n"/>
      <c r="X249" s="26">
        <f>IF(W249="","",IF(AND(LEFT(W249,4)&lt;&gt;"http",set_RMSBase=""),"",HYPERLINK(IF(LEFT(W249,4)="http",W249,set_RMSBase&amp;W249),"Open opportunity")))</f>
        <v/>
      </c>
      <c r="Y249" s="22" t="n"/>
      <c r="Z249" s="26">
        <f>IF(Y249="","",HYPERLINK(IF(LEFT(Y249,4)="http",Y249,set_QwilrBase&amp;Y249),"Open quote"))</f>
        <v/>
      </c>
      <c r="AA249" s="26">
        <f>IF(C249="","",C249)</f>
        <v/>
      </c>
      <c r="AB249" s="22" t="n"/>
      <c r="AC249" s="24" t="n"/>
      <c r="AD249" s="27">
        <f>IF(C249="","",L249+N(AC249))</f>
        <v/>
      </c>
      <c r="AE249" s="29">
        <f>IFERROR(AC249/AD249,"")</f>
        <v/>
      </c>
      <c r="AF249" s="24" t="n"/>
      <c r="AG249" s="24" t="n"/>
      <c r="AH249" s="24" t="n"/>
      <c r="AI249" s="24" t="n"/>
      <c r="AJ249" s="27">
        <f>IF(C249="","",SUMIFS(tbl_Finance[Ex GST],tbl_Finance[Job Number],C249&amp;"",tbl_Finance[Cost Centre],"VIDEO"))</f>
        <v/>
      </c>
      <c r="AK249" s="29">
        <f>IFERROR(AJ249/L249,"")</f>
        <v/>
      </c>
      <c r="AL249" s="27">
        <f>IF(C249="","",N(AF249)+N(AG249)+N(AH249)+N(AI249))</f>
        <v/>
      </c>
      <c r="AM249" s="27" t="n"/>
      <c r="AN249" s="29" t="n"/>
      <c r="AO249" s="71" t="n"/>
      <c r="AP249" s="71" t="n"/>
      <c r="AQ249" s="71" t="n"/>
      <c r="AR249" s="71" t="n"/>
      <c r="AS249" s="71" t="n"/>
      <c r="AT249" s="22" t="n"/>
    </row>
    <row r="250" ht="15" customHeight="1">
      <c r="A250" s="70">
        <f>IF(C250="","",IFERROR(IF(SUMPRODUCT(MAX((tbl_Finance[Job Number]&amp;""=C250&amp;"")*(tbl_Finance[Xero Invoice No]&lt;&gt;"")*tbl_Finance[Date]))=0,"",SUMPRODUCT(MAX((tbl_Finance[Job Number]&amp;""=C250&amp;"")*(tbl_Finance[Xero Invoice No]&lt;&gt;"")*tbl_Finance[Date]))),""))</f>
        <v/>
      </c>
      <c r="B250" s="26">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2" t="n"/>
      <c r="D250" s="26">
        <f>IF(C250="","",IF(COUNTIF(lst_Jobs,C250&amp;"")&gt;0,"OK","CHECK"))</f>
        <v/>
      </c>
      <c r="E250" s="26">
        <f>IF(C250="","",IFERROR(INDEX(lst_JobName,MATCH(C250&amp;"",lst_Jobs,0)),""))</f>
        <v/>
      </c>
      <c r="F250" s="22" t="n"/>
      <c r="G250" s="22" t="n"/>
      <c r="H250" s="22" t="n"/>
      <c r="I250" s="22" t="n"/>
      <c r="J250" s="22" t="n"/>
      <c r="K250" s="28">
        <f>IF(C250="","",COUNTIFS(tbl_Finance[Job Number],C250&amp;"",tbl_Finance[Ex GST],"&lt;&gt;"))</f>
        <v/>
      </c>
      <c r="L250" s="27">
        <f>IF(C250="","",SUMIFS(tbl_Finance[Ex GST],tbl_Finance[Job Number],C250&amp;""))</f>
        <v/>
      </c>
      <c r="M250" s="27">
        <f>IF(C250="","",SUMIFS(tbl_Finance[Ex GST],tbl_Finance[Job Number],C250&amp;"",tbl_Finance[Xero Invoice No],"&lt;&gt;"))</f>
        <v/>
      </c>
      <c r="N250" s="27">
        <f>IF(C250="","",L250-M250)</f>
        <v/>
      </c>
      <c r="O250" s="24" t="n"/>
      <c r="P250" s="27">
        <f>IF(C250="","",IF(O250="",0,MAX(0,O250-L250)))</f>
        <v/>
      </c>
      <c r="Q250" s="26">
        <f>IF(C250="","",IF(K250=0,"not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R250" s="27">
        <f>IF(C250="","",SUMIFS(tbl_Finance[Inc GST],tbl_Finance[Job Number],C250&amp;""))</f>
        <v/>
      </c>
      <c r="S250" s="22" t="n"/>
      <c r="T250" s="22" t="n"/>
      <c r="U250" s="22" t="n"/>
      <c r="V250" s="23" t="n"/>
      <c r="W250" s="22" t="n"/>
      <c r="X250" s="26">
        <f>IF(W250="","",IF(AND(LEFT(W250,4)&lt;&gt;"http",set_RMSBase=""),"",HYPERLINK(IF(LEFT(W250,4)="http",W250,set_RMSBase&amp;W250),"Open opportunity")))</f>
        <v/>
      </c>
      <c r="Y250" s="22" t="n"/>
      <c r="Z250" s="26">
        <f>IF(Y250="","",HYPERLINK(IF(LEFT(Y250,4)="http",Y250,set_QwilrBase&amp;Y250),"Open quote"))</f>
        <v/>
      </c>
      <c r="AA250" s="26">
        <f>IF(C250="","",C250)</f>
        <v/>
      </c>
      <c r="AB250" s="22" t="n"/>
      <c r="AC250" s="24" t="n"/>
      <c r="AD250" s="27">
        <f>IF(C250="","",L250+N(AC250))</f>
        <v/>
      </c>
      <c r="AE250" s="29">
        <f>IFERROR(AC250/AD250,"")</f>
        <v/>
      </c>
      <c r="AF250" s="24" t="n"/>
      <c r="AG250" s="24" t="n"/>
      <c r="AH250" s="24" t="n"/>
      <c r="AI250" s="24" t="n"/>
      <c r="AJ250" s="27">
        <f>IF(C250="","",SUMIFS(tbl_Finance[Ex GST],tbl_Finance[Job Number],C250&amp;"",tbl_Finance[Cost Centre],"VIDEO"))</f>
        <v/>
      </c>
      <c r="AK250" s="29">
        <f>IFERROR(AJ250/L250,"")</f>
        <v/>
      </c>
      <c r="AL250" s="27">
        <f>IF(C250="","",N(AF250)+N(AG250)+N(AH250)+N(AI250))</f>
        <v/>
      </c>
      <c r="AM250" s="27" t="n"/>
      <c r="AN250" s="29" t="n"/>
      <c r="AO250" s="71" t="n"/>
      <c r="AP250" s="71" t="n"/>
      <c r="AQ250" s="71" t="n"/>
      <c r="AR250" s="71" t="n"/>
      <c r="AS250" s="71" t="n"/>
      <c r="AT250" s="22" t="n"/>
    </row>
    <row r="251" ht="15" customHeight="1">
      <c r="A251" s="70">
        <f>IF(C251="","",IFERROR(IF(SUMPRODUCT(MAX((tbl_Finance[Job Number]&amp;""=C251&amp;"")*(tbl_Finance[Xero Invoice No]&lt;&gt;"")*tbl_Finance[Date]))=0,"",SUMPRODUCT(MAX((tbl_Finance[Job Number]&amp;""=C251&amp;"")*(tbl_Finance[Xero Invoice No]&lt;&gt;"")*tbl_Finance[Date]))),""))</f>
        <v/>
      </c>
      <c r="B251" s="26">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2" t="n"/>
      <c r="D251" s="26">
        <f>IF(C251="","",IF(COUNTIF(lst_Jobs,C251&amp;"")&gt;0,"OK","CHECK"))</f>
        <v/>
      </c>
      <c r="E251" s="26">
        <f>IF(C251="","",IFERROR(INDEX(lst_JobName,MATCH(C251&amp;"",lst_Jobs,0)),""))</f>
        <v/>
      </c>
      <c r="F251" s="22" t="n"/>
      <c r="G251" s="22" t="n"/>
      <c r="H251" s="22" t="n"/>
      <c r="I251" s="22" t="n"/>
      <c r="J251" s="22" t="n"/>
      <c r="K251" s="28">
        <f>IF(C251="","",COUNTIFS(tbl_Finance[Job Number],C251&amp;"",tbl_Finance[Ex GST],"&lt;&gt;"))</f>
        <v/>
      </c>
      <c r="L251" s="27">
        <f>IF(C251="","",SUMIFS(tbl_Finance[Ex GST],tbl_Finance[Job Number],C251&amp;""))</f>
        <v/>
      </c>
      <c r="M251" s="27">
        <f>IF(C251="","",SUMIFS(tbl_Finance[Ex GST],tbl_Finance[Job Number],C251&amp;"",tbl_Finance[Xero Invoice No],"&lt;&gt;"))</f>
        <v/>
      </c>
      <c r="N251" s="27">
        <f>IF(C251="","",L251-M251)</f>
        <v/>
      </c>
      <c r="O251" s="24" t="n"/>
      <c r="P251" s="27">
        <f>IF(C251="","",IF(O251="",0,MAX(0,O251-L251)))</f>
        <v/>
      </c>
      <c r="Q251" s="26">
        <f>IF(C251="","",IF(K251=0,"not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R251" s="27">
        <f>IF(C251="","",SUMIFS(tbl_Finance[Inc GST],tbl_Finance[Job Number],C251&amp;""))</f>
        <v/>
      </c>
      <c r="S251" s="22" t="n"/>
      <c r="T251" s="22" t="n"/>
      <c r="U251" s="22" t="n"/>
      <c r="V251" s="23" t="n"/>
      <c r="W251" s="22" t="n"/>
      <c r="X251" s="26">
        <f>IF(W251="","",IF(AND(LEFT(W251,4)&lt;&gt;"http",set_RMSBase=""),"",HYPERLINK(IF(LEFT(W251,4)="http",W251,set_RMSBase&amp;W251),"Open opportunity")))</f>
        <v/>
      </c>
      <c r="Y251" s="22" t="n"/>
      <c r="Z251" s="26">
        <f>IF(Y251="","",HYPERLINK(IF(LEFT(Y251,4)="http",Y251,set_QwilrBase&amp;Y251),"Open quote"))</f>
        <v/>
      </c>
      <c r="AA251" s="26">
        <f>IF(C251="","",C251)</f>
        <v/>
      </c>
      <c r="AB251" s="22" t="n"/>
      <c r="AC251" s="24" t="n"/>
      <c r="AD251" s="27">
        <f>IF(C251="","",L251+N(AC251))</f>
        <v/>
      </c>
      <c r="AE251" s="29">
        <f>IFERROR(AC251/AD251,"")</f>
        <v/>
      </c>
      <c r="AF251" s="24" t="n"/>
      <c r="AG251" s="24" t="n"/>
      <c r="AH251" s="24" t="n"/>
      <c r="AI251" s="24" t="n"/>
      <c r="AJ251" s="27">
        <f>IF(C251="","",SUMIFS(tbl_Finance[Ex GST],tbl_Finance[Job Number],C251&amp;"",tbl_Finance[Cost Centre],"VIDEO"))</f>
        <v/>
      </c>
      <c r="AK251" s="29">
        <f>IFERROR(AJ251/L251,"")</f>
        <v/>
      </c>
      <c r="AL251" s="27">
        <f>IF(C251="","",N(AF251)+N(AG251)+N(AH251)+N(AI251))</f>
        <v/>
      </c>
      <c r="AM251" s="27" t="n"/>
      <c r="AN251" s="29" t="n"/>
      <c r="AO251" s="71" t="n"/>
      <c r="AP251" s="71" t="n"/>
      <c r="AQ251" s="71" t="n"/>
      <c r="AR251" s="71" t="n"/>
      <c r="AS251" s="71" t="n"/>
      <c r="AT251" s="22" t="n"/>
    </row>
    <row r="252" ht="15" customHeight="1">
      <c r="A252" s="70">
        <f>IF(C252="","",IFERROR(IF(SUMPRODUCT(MAX((tbl_Finance[Job Number]&amp;""=C252&amp;"")*(tbl_Finance[Xero Invoice No]&lt;&gt;"")*tbl_Finance[Date]))=0,"",SUMPRODUCT(MAX((tbl_Finance[Job Number]&amp;""=C252&amp;"")*(tbl_Finance[Xero Invoice No]&lt;&gt;"")*tbl_Finance[Date]))),""))</f>
        <v/>
      </c>
      <c r="B252" s="26">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2" t="n"/>
      <c r="D252" s="26">
        <f>IF(C252="","",IF(COUNTIF(lst_Jobs,C252&amp;"")&gt;0,"OK","CHECK"))</f>
        <v/>
      </c>
      <c r="E252" s="26">
        <f>IF(C252="","",IFERROR(INDEX(lst_JobName,MATCH(C252&amp;"",lst_Jobs,0)),""))</f>
        <v/>
      </c>
      <c r="F252" s="22" t="n"/>
      <c r="G252" s="22" t="n"/>
      <c r="H252" s="22" t="n"/>
      <c r="I252" s="22" t="n"/>
      <c r="J252" s="22" t="n"/>
      <c r="K252" s="28">
        <f>IF(C252="","",COUNTIFS(tbl_Finance[Job Number],C252&amp;"",tbl_Finance[Ex GST],"&lt;&gt;"))</f>
        <v/>
      </c>
      <c r="L252" s="27">
        <f>IF(C252="","",SUMIFS(tbl_Finance[Ex GST],tbl_Finance[Job Number],C252&amp;""))</f>
        <v/>
      </c>
      <c r="M252" s="27">
        <f>IF(C252="","",SUMIFS(tbl_Finance[Ex GST],tbl_Finance[Job Number],C252&amp;"",tbl_Finance[Xero Invoice No],"&lt;&gt;"))</f>
        <v/>
      </c>
      <c r="N252" s="27">
        <f>IF(C252="","",L252-M252)</f>
        <v/>
      </c>
      <c r="O252" s="24" t="n"/>
      <c r="P252" s="27">
        <f>IF(C252="","",IF(O252="",0,MAX(0,O252-L252)))</f>
        <v/>
      </c>
      <c r="Q252" s="26">
        <f>IF(C252="","",IF(K252=0,"not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R252" s="27">
        <f>IF(C252="","",SUMIFS(tbl_Finance[Inc GST],tbl_Finance[Job Number],C252&amp;""))</f>
        <v/>
      </c>
      <c r="S252" s="22" t="n"/>
      <c r="T252" s="22" t="n"/>
      <c r="U252" s="22" t="n"/>
      <c r="V252" s="23" t="n"/>
      <c r="W252" s="22" t="n"/>
      <c r="X252" s="26">
        <f>IF(W252="","",IF(AND(LEFT(W252,4)&lt;&gt;"http",set_RMSBase=""),"",HYPERLINK(IF(LEFT(W252,4)="http",W252,set_RMSBase&amp;W252),"Open opportunity")))</f>
        <v/>
      </c>
      <c r="Y252" s="22" t="n"/>
      <c r="Z252" s="26">
        <f>IF(Y252="","",HYPERLINK(IF(LEFT(Y252,4)="http",Y252,set_QwilrBase&amp;Y252),"Open quote"))</f>
        <v/>
      </c>
      <c r="AA252" s="26">
        <f>IF(C252="","",C252)</f>
        <v/>
      </c>
      <c r="AB252" s="22" t="n"/>
      <c r="AC252" s="24" t="n"/>
      <c r="AD252" s="27">
        <f>IF(C252="","",L252+N(AC252))</f>
        <v/>
      </c>
      <c r="AE252" s="29">
        <f>IFERROR(AC252/AD252,"")</f>
        <v/>
      </c>
      <c r="AF252" s="24" t="n"/>
      <c r="AG252" s="24" t="n"/>
      <c r="AH252" s="24" t="n"/>
      <c r="AI252" s="24" t="n"/>
      <c r="AJ252" s="27">
        <f>IF(C252="","",SUMIFS(tbl_Finance[Ex GST],tbl_Finance[Job Number],C252&amp;"",tbl_Finance[Cost Centre],"VIDEO"))</f>
        <v/>
      </c>
      <c r="AK252" s="29">
        <f>IFERROR(AJ252/L252,"")</f>
        <v/>
      </c>
      <c r="AL252" s="27">
        <f>IF(C252="","",N(AF252)+N(AG252)+N(AH252)+N(AI252))</f>
        <v/>
      </c>
      <c r="AM252" s="27" t="n"/>
      <c r="AN252" s="29" t="n"/>
      <c r="AO252" s="71" t="n"/>
      <c r="AP252" s="71" t="n"/>
      <c r="AQ252" s="71" t="n"/>
      <c r="AR252" s="71" t="n"/>
      <c r="AS252" s="71" t="n"/>
      <c r="AT252" s="22" t="n"/>
    </row>
    <row r="253" ht="15" customHeight="1">
      <c r="A253" s="70">
        <f>IF(C253="","",IFERROR(IF(SUMPRODUCT(MAX((tbl_Finance[Job Number]&amp;""=C253&amp;"")*(tbl_Finance[Xero Invoice No]&lt;&gt;"")*tbl_Finance[Date]))=0,"",SUMPRODUCT(MAX((tbl_Finance[Job Number]&amp;""=C253&amp;"")*(tbl_Finance[Xero Invoice No]&lt;&gt;"")*tbl_Finance[Date]))),""))</f>
        <v/>
      </c>
      <c r="B253" s="26">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2" t="n"/>
      <c r="D253" s="26">
        <f>IF(C253="","",IF(COUNTIF(lst_Jobs,C253&amp;"")&gt;0,"OK","CHECK"))</f>
        <v/>
      </c>
      <c r="E253" s="26">
        <f>IF(C253="","",IFERROR(INDEX(lst_JobName,MATCH(C253&amp;"",lst_Jobs,0)),""))</f>
        <v/>
      </c>
      <c r="F253" s="22" t="n"/>
      <c r="G253" s="22" t="n"/>
      <c r="H253" s="22" t="n"/>
      <c r="I253" s="22" t="n"/>
      <c r="J253" s="22" t="n"/>
      <c r="K253" s="28">
        <f>IF(C253="","",COUNTIFS(tbl_Finance[Job Number],C253&amp;"",tbl_Finance[Ex GST],"&lt;&gt;"))</f>
        <v/>
      </c>
      <c r="L253" s="27">
        <f>IF(C253="","",SUMIFS(tbl_Finance[Ex GST],tbl_Finance[Job Number],C253&amp;""))</f>
        <v/>
      </c>
      <c r="M253" s="27">
        <f>IF(C253="","",SUMIFS(tbl_Finance[Ex GST],tbl_Finance[Job Number],C253&amp;"",tbl_Finance[Xero Invoice No],"&lt;&gt;"))</f>
        <v/>
      </c>
      <c r="N253" s="27">
        <f>IF(C253="","",L253-M253)</f>
        <v/>
      </c>
      <c r="O253" s="24" t="n"/>
      <c r="P253" s="27">
        <f>IF(C253="","",IF(O253="",0,MAX(0,O253-L253)))</f>
        <v/>
      </c>
      <c r="Q253" s="26">
        <f>IF(C253="","",IF(K253=0,"not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R253" s="27">
        <f>IF(C253="","",SUMIFS(tbl_Finance[Inc GST],tbl_Finance[Job Number],C253&amp;""))</f>
        <v/>
      </c>
      <c r="S253" s="22" t="n"/>
      <c r="T253" s="22" t="n"/>
      <c r="U253" s="22" t="n"/>
      <c r="V253" s="23" t="n"/>
      <c r="W253" s="22" t="n"/>
      <c r="X253" s="26">
        <f>IF(W253="","",IF(AND(LEFT(W253,4)&lt;&gt;"http",set_RMSBase=""),"",HYPERLINK(IF(LEFT(W253,4)="http",W253,set_RMSBase&amp;W253),"Open opportunity")))</f>
        <v/>
      </c>
      <c r="Y253" s="22" t="n"/>
      <c r="Z253" s="26">
        <f>IF(Y253="","",HYPERLINK(IF(LEFT(Y253,4)="http",Y253,set_QwilrBase&amp;Y253),"Open quote"))</f>
        <v/>
      </c>
      <c r="AA253" s="26">
        <f>IF(C253="","",C253)</f>
        <v/>
      </c>
      <c r="AB253" s="22" t="n"/>
      <c r="AC253" s="24" t="n"/>
      <c r="AD253" s="27">
        <f>IF(C253="","",L253+N(AC253))</f>
        <v/>
      </c>
      <c r="AE253" s="29">
        <f>IFERROR(AC253/AD253,"")</f>
        <v/>
      </c>
      <c r="AF253" s="24" t="n"/>
      <c r="AG253" s="24" t="n"/>
      <c r="AH253" s="24" t="n"/>
      <c r="AI253" s="24" t="n"/>
      <c r="AJ253" s="27">
        <f>IF(C253="","",SUMIFS(tbl_Finance[Ex GST],tbl_Finance[Job Number],C253&amp;"",tbl_Finance[Cost Centre],"VIDEO"))</f>
        <v/>
      </c>
      <c r="AK253" s="29">
        <f>IFERROR(AJ253/L253,"")</f>
        <v/>
      </c>
      <c r="AL253" s="27">
        <f>IF(C253="","",N(AF253)+N(AG253)+N(AH253)+N(AI253))</f>
        <v/>
      </c>
      <c r="AM253" s="27" t="n"/>
      <c r="AN253" s="29" t="n"/>
      <c r="AO253" s="71" t="n"/>
      <c r="AP253" s="71" t="n"/>
      <c r="AQ253" s="71" t="n"/>
      <c r="AR253" s="71" t="n"/>
      <c r="AS253" s="71" t="n"/>
      <c r="AT253" s="22" t="n"/>
    </row>
    <row r="254" ht="15" customHeight="1">
      <c r="A254" s="70">
        <f>IF(C254="","",IFERROR(IF(SUMPRODUCT(MAX((tbl_Finance[Job Number]&amp;""=C254&amp;"")*(tbl_Finance[Xero Invoice No]&lt;&gt;"")*tbl_Finance[Date]))=0,"",SUMPRODUCT(MAX((tbl_Finance[Job Number]&amp;""=C254&amp;"")*(tbl_Finance[Xero Invoice No]&lt;&gt;"")*tbl_Finance[Date]))),""))</f>
        <v/>
      </c>
      <c r="B254" s="26">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2" t="n"/>
      <c r="D254" s="26">
        <f>IF(C254="","",IF(COUNTIF(lst_Jobs,C254&amp;"")&gt;0,"OK","CHECK"))</f>
        <v/>
      </c>
      <c r="E254" s="26">
        <f>IF(C254="","",IFERROR(INDEX(lst_JobName,MATCH(C254&amp;"",lst_Jobs,0)),""))</f>
        <v/>
      </c>
      <c r="F254" s="22" t="n"/>
      <c r="G254" s="22" t="n"/>
      <c r="H254" s="22" t="n"/>
      <c r="I254" s="22" t="n"/>
      <c r="J254" s="22" t="n"/>
      <c r="K254" s="28">
        <f>IF(C254="","",COUNTIFS(tbl_Finance[Job Number],C254&amp;"",tbl_Finance[Ex GST],"&lt;&gt;"))</f>
        <v/>
      </c>
      <c r="L254" s="27">
        <f>IF(C254="","",SUMIFS(tbl_Finance[Ex GST],tbl_Finance[Job Number],C254&amp;""))</f>
        <v/>
      </c>
      <c r="M254" s="27">
        <f>IF(C254="","",SUMIFS(tbl_Finance[Ex GST],tbl_Finance[Job Number],C254&amp;"",tbl_Finance[Xero Invoice No],"&lt;&gt;"))</f>
        <v/>
      </c>
      <c r="N254" s="27">
        <f>IF(C254="","",L254-M254)</f>
        <v/>
      </c>
      <c r="O254" s="24" t="n"/>
      <c r="P254" s="27">
        <f>IF(C254="","",IF(O254="",0,MAX(0,O254-L254)))</f>
        <v/>
      </c>
      <c r="Q254" s="26">
        <f>IF(C254="","",IF(K254=0,"not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R254" s="27">
        <f>IF(C254="","",SUMIFS(tbl_Finance[Inc GST],tbl_Finance[Job Number],C254&amp;""))</f>
        <v/>
      </c>
      <c r="S254" s="22" t="n"/>
      <c r="T254" s="22" t="n"/>
      <c r="U254" s="22" t="n"/>
      <c r="V254" s="23" t="n"/>
      <c r="W254" s="22" t="n"/>
      <c r="X254" s="26">
        <f>IF(W254="","",IF(AND(LEFT(W254,4)&lt;&gt;"http",set_RMSBase=""),"",HYPERLINK(IF(LEFT(W254,4)="http",W254,set_RMSBase&amp;W254),"Open opportunity")))</f>
        <v/>
      </c>
      <c r="Y254" s="22" t="n"/>
      <c r="Z254" s="26">
        <f>IF(Y254="","",HYPERLINK(IF(LEFT(Y254,4)="http",Y254,set_QwilrBase&amp;Y254),"Open quote"))</f>
        <v/>
      </c>
      <c r="AA254" s="26">
        <f>IF(C254="","",C254)</f>
        <v/>
      </c>
      <c r="AB254" s="22" t="n"/>
      <c r="AC254" s="24" t="n"/>
      <c r="AD254" s="27">
        <f>IF(C254="","",L254+N(AC254))</f>
        <v/>
      </c>
      <c r="AE254" s="29">
        <f>IFERROR(AC254/AD254,"")</f>
        <v/>
      </c>
      <c r="AF254" s="24" t="n"/>
      <c r="AG254" s="24" t="n"/>
      <c r="AH254" s="24" t="n"/>
      <c r="AI254" s="24" t="n"/>
      <c r="AJ254" s="27">
        <f>IF(C254="","",SUMIFS(tbl_Finance[Ex GST],tbl_Finance[Job Number],C254&amp;"",tbl_Finance[Cost Centre],"VIDEO"))</f>
        <v/>
      </c>
      <c r="AK254" s="29">
        <f>IFERROR(AJ254/L254,"")</f>
        <v/>
      </c>
      <c r="AL254" s="27">
        <f>IF(C254="","",N(AF254)+N(AG254)+N(AH254)+N(AI254))</f>
        <v/>
      </c>
      <c r="AM254" s="27" t="n"/>
      <c r="AN254" s="29" t="n"/>
      <c r="AO254" s="71" t="n"/>
      <c r="AP254" s="71" t="n"/>
      <c r="AQ254" s="71" t="n"/>
      <c r="AR254" s="71" t="n"/>
      <c r="AS254" s="71" t="n"/>
      <c r="AT254" s="22" t="n"/>
    </row>
    <row r="255" ht="15" customHeight="1">
      <c r="A255" s="70">
        <f>IF(C255="","",IFERROR(IF(SUMPRODUCT(MAX((tbl_Finance[Job Number]&amp;""=C255&amp;"")*(tbl_Finance[Xero Invoice No]&lt;&gt;"")*tbl_Finance[Date]))=0,"",SUMPRODUCT(MAX((tbl_Finance[Job Number]&amp;""=C255&amp;"")*(tbl_Finance[Xero Invoice No]&lt;&gt;"")*tbl_Finance[Date]))),""))</f>
        <v/>
      </c>
      <c r="B255" s="26">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2" t="n"/>
      <c r="D255" s="26">
        <f>IF(C255="","",IF(COUNTIF(lst_Jobs,C255&amp;"")&gt;0,"OK","CHECK"))</f>
        <v/>
      </c>
      <c r="E255" s="26">
        <f>IF(C255="","",IFERROR(INDEX(lst_JobName,MATCH(C255&amp;"",lst_Jobs,0)),""))</f>
        <v/>
      </c>
      <c r="F255" s="22" t="n"/>
      <c r="G255" s="22" t="n"/>
      <c r="H255" s="22" t="n"/>
      <c r="I255" s="22" t="n"/>
      <c r="J255" s="22" t="n"/>
      <c r="K255" s="28">
        <f>IF(C255="","",COUNTIFS(tbl_Finance[Job Number],C255&amp;"",tbl_Finance[Ex GST],"&lt;&gt;"))</f>
        <v/>
      </c>
      <c r="L255" s="27">
        <f>IF(C255="","",SUMIFS(tbl_Finance[Ex GST],tbl_Finance[Job Number],C255&amp;""))</f>
        <v/>
      </c>
      <c r="M255" s="27">
        <f>IF(C255="","",SUMIFS(tbl_Finance[Ex GST],tbl_Finance[Job Number],C255&amp;"",tbl_Finance[Xero Invoice No],"&lt;&gt;"))</f>
        <v/>
      </c>
      <c r="N255" s="27">
        <f>IF(C255="","",L255-M255)</f>
        <v/>
      </c>
      <c r="O255" s="24" t="n"/>
      <c r="P255" s="27">
        <f>IF(C255="","",IF(O255="",0,MAX(0,O255-L255)))</f>
        <v/>
      </c>
      <c r="Q255" s="26">
        <f>IF(C255="","",IF(K255=0,"not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R255" s="27">
        <f>IF(C255="","",SUMIFS(tbl_Finance[Inc GST],tbl_Finance[Job Number],C255&amp;""))</f>
        <v/>
      </c>
      <c r="S255" s="22" t="n"/>
      <c r="T255" s="22" t="n"/>
      <c r="U255" s="22" t="n"/>
      <c r="V255" s="23" t="n"/>
      <c r="W255" s="22" t="n"/>
      <c r="X255" s="26">
        <f>IF(W255="","",IF(AND(LEFT(W255,4)&lt;&gt;"http",set_RMSBase=""),"",HYPERLINK(IF(LEFT(W255,4)="http",W255,set_RMSBase&amp;W255),"Open opportunity")))</f>
        <v/>
      </c>
      <c r="Y255" s="22" t="n"/>
      <c r="Z255" s="26">
        <f>IF(Y255="","",HYPERLINK(IF(LEFT(Y255,4)="http",Y255,set_QwilrBase&amp;Y255),"Open quote"))</f>
        <v/>
      </c>
      <c r="AA255" s="26">
        <f>IF(C255="","",C255)</f>
        <v/>
      </c>
      <c r="AB255" s="22" t="n"/>
      <c r="AC255" s="24" t="n"/>
      <c r="AD255" s="27">
        <f>IF(C255="","",L255+N(AC255))</f>
        <v/>
      </c>
      <c r="AE255" s="29">
        <f>IFERROR(AC255/AD255,"")</f>
        <v/>
      </c>
      <c r="AF255" s="24" t="n"/>
      <c r="AG255" s="24" t="n"/>
      <c r="AH255" s="24" t="n"/>
      <c r="AI255" s="24" t="n"/>
      <c r="AJ255" s="27">
        <f>IF(C255="","",SUMIFS(tbl_Finance[Ex GST],tbl_Finance[Job Number],C255&amp;"",tbl_Finance[Cost Centre],"VIDEO"))</f>
        <v/>
      </c>
      <c r="AK255" s="29">
        <f>IFERROR(AJ255/L255,"")</f>
        <v/>
      </c>
      <c r="AL255" s="27">
        <f>IF(C255="","",N(AF255)+N(AG255)+N(AH255)+N(AI255))</f>
        <v/>
      </c>
      <c r="AM255" s="27" t="n"/>
      <c r="AN255" s="29" t="n"/>
      <c r="AO255" s="71" t="n"/>
      <c r="AP255" s="71" t="n"/>
      <c r="AQ255" s="71" t="n"/>
      <c r="AR255" s="71" t="n"/>
      <c r="AS255" s="71" t="n"/>
      <c r="AT255" s="22" t="n"/>
    </row>
    <row r="256" ht="15" customHeight="1">
      <c r="A256" s="70">
        <f>IF(C256="","",IFERROR(IF(SUMPRODUCT(MAX((tbl_Finance[Job Number]&amp;""=C256&amp;"")*(tbl_Finance[Xero Invoice No]&lt;&gt;"")*tbl_Finance[Date]))=0,"",SUMPRODUCT(MAX((tbl_Finance[Job Number]&amp;""=C256&amp;"")*(tbl_Finance[Xero Invoice No]&lt;&gt;"")*tbl_Finance[Date]))),""))</f>
        <v/>
      </c>
      <c r="B256" s="26">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2" t="n"/>
      <c r="D256" s="26">
        <f>IF(C256="","",IF(COUNTIF(lst_Jobs,C256&amp;"")&gt;0,"OK","CHECK"))</f>
        <v/>
      </c>
      <c r="E256" s="26">
        <f>IF(C256="","",IFERROR(INDEX(lst_JobName,MATCH(C256&amp;"",lst_Jobs,0)),""))</f>
        <v/>
      </c>
      <c r="F256" s="22" t="n"/>
      <c r="G256" s="22" t="n"/>
      <c r="H256" s="22" t="n"/>
      <c r="I256" s="22" t="n"/>
      <c r="J256" s="22" t="n"/>
      <c r="K256" s="28">
        <f>IF(C256="","",COUNTIFS(tbl_Finance[Job Number],C256&amp;"",tbl_Finance[Ex GST],"&lt;&gt;"))</f>
        <v/>
      </c>
      <c r="L256" s="27">
        <f>IF(C256="","",SUMIFS(tbl_Finance[Ex GST],tbl_Finance[Job Number],C256&amp;""))</f>
        <v/>
      </c>
      <c r="M256" s="27">
        <f>IF(C256="","",SUMIFS(tbl_Finance[Ex GST],tbl_Finance[Job Number],C256&amp;"",tbl_Finance[Xero Invoice No],"&lt;&gt;"))</f>
        <v/>
      </c>
      <c r="N256" s="27">
        <f>IF(C256="","",L256-M256)</f>
        <v/>
      </c>
      <c r="O256" s="24" t="n"/>
      <c r="P256" s="27">
        <f>IF(C256="","",IF(O256="",0,MAX(0,O256-L256)))</f>
        <v/>
      </c>
      <c r="Q256" s="26">
        <f>IF(C256="","",IF(K256=0,"not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R256" s="27">
        <f>IF(C256="","",SUMIFS(tbl_Finance[Inc GST],tbl_Finance[Job Number],C256&amp;""))</f>
        <v/>
      </c>
      <c r="S256" s="22" t="n"/>
      <c r="T256" s="22" t="n"/>
      <c r="U256" s="22" t="n"/>
      <c r="V256" s="23" t="n"/>
      <c r="W256" s="22" t="n"/>
      <c r="X256" s="26">
        <f>IF(W256="","",IF(AND(LEFT(W256,4)&lt;&gt;"http",set_RMSBase=""),"",HYPERLINK(IF(LEFT(W256,4)="http",W256,set_RMSBase&amp;W256),"Open opportunity")))</f>
        <v/>
      </c>
      <c r="Y256" s="22" t="n"/>
      <c r="Z256" s="26">
        <f>IF(Y256="","",HYPERLINK(IF(LEFT(Y256,4)="http",Y256,set_QwilrBase&amp;Y256),"Open quote"))</f>
        <v/>
      </c>
      <c r="AA256" s="26">
        <f>IF(C256="","",C256)</f>
        <v/>
      </c>
      <c r="AB256" s="22" t="n"/>
      <c r="AC256" s="24" t="n"/>
      <c r="AD256" s="27">
        <f>IF(C256="","",L256+N(AC256))</f>
        <v/>
      </c>
      <c r="AE256" s="29">
        <f>IFERROR(AC256/AD256,"")</f>
        <v/>
      </c>
      <c r="AF256" s="24" t="n"/>
      <c r="AG256" s="24" t="n"/>
      <c r="AH256" s="24" t="n"/>
      <c r="AI256" s="24" t="n"/>
      <c r="AJ256" s="27">
        <f>IF(C256="","",SUMIFS(tbl_Finance[Ex GST],tbl_Finance[Job Number],C256&amp;"",tbl_Finance[Cost Centre],"VIDEO"))</f>
        <v/>
      </c>
      <c r="AK256" s="29">
        <f>IFERROR(AJ256/L256,"")</f>
        <v/>
      </c>
      <c r="AL256" s="27">
        <f>IF(C256="","",N(AF256)+N(AG256)+N(AH256)+N(AI256))</f>
        <v/>
      </c>
      <c r="AM256" s="27" t="n"/>
      <c r="AN256" s="29" t="n"/>
      <c r="AO256" s="71" t="n"/>
      <c r="AP256" s="71" t="n"/>
      <c r="AQ256" s="71" t="n"/>
      <c r="AR256" s="71" t="n"/>
      <c r="AS256" s="71" t="n"/>
      <c r="AT256" s="22" t="n"/>
    </row>
    <row r="257" ht="15" customHeight="1">
      <c r="A257" s="70">
        <f>IF(C257="","",IFERROR(IF(SUMPRODUCT(MAX((tbl_Finance[Job Number]&amp;""=C257&amp;"")*(tbl_Finance[Xero Invoice No]&lt;&gt;"")*tbl_Finance[Date]))=0,"",SUMPRODUCT(MAX((tbl_Finance[Job Number]&amp;""=C257&amp;"")*(tbl_Finance[Xero Invoice No]&lt;&gt;"")*tbl_Finance[Date]))),""))</f>
        <v/>
      </c>
      <c r="B257" s="26">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2" t="n"/>
      <c r="D257" s="26">
        <f>IF(C257="","",IF(COUNTIF(lst_Jobs,C257&amp;"")&gt;0,"OK","CHECK"))</f>
        <v/>
      </c>
      <c r="E257" s="26">
        <f>IF(C257="","",IFERROR(INDEX(lst_JobName,MATCH(C257&amp;"",lst_Jobs,0)),""))</f>
        <v/>
      </c>
      <c r="F257" s="22" t="n"/>
      <c r="G257" s="22" t="n"/>
      <c r="H257" s="22" t="n"/>
      <c r="I257" s="22" t="n"/>
      <c r="J257" s="22" t="n"/>
      <c r="K257" s="28">
        <f>IF(C257="","",COUNTIFS(tbl_Finance[Job Number],C257&amp;"",tbl_Finance[Ex GST],"&lt;&gt;"))</f>
        <v/>
      </c>
      <c r="L257" s="27">
        <f>IF(C257="","",SUMIFS(tbl_Finance[Ex GST],tbl_Finance[Job Number],C257&amp;""))</f>
        <v/>
      </c>
      <c r="M257" s="27">
        <f>IF(C257="","",SUMIFS(tbl_Finance[Ex GST],tbl_Finance[Job Number],C257&amp;"",tbl_Finance[Xero Invoice No],"&lt;&gt;"))</f>
        <v/>
      </c>
      <c r="N257" s="27">
        <f>IF(C257="","",L257-M257)</f>
        <v/>
      </c>
      <c r="O257" s="24" t="n"/>
      <c r="P257" s="27">
        <f>IF(C257="","",IF(O257="",0,MAX(0,O257-L257)))</f>
        <v/>
      </c>
      <c r="Q257" s="26">
        <f>IF(C257="","",IF(K257=0,"not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R257" s="27">
        <f>IF(C257="","",SUMIFS(tbl_Finance[Inc GST],tbl_Finance[Job Number],C257&amp;""))</f>
        <v/>
      </c>
      <c r="S257" s="22" t="n"/>
      <c r="T257" s="22" t="n"/>
      <c r="U257" s="22" t="n"/>
      <c r="V257" s="23" t="n"/>
      <c r="W257" s="22" t="n"/>
      <c r="X257" s="26">
        <f>IF(W257="","",IF(AND(LEFT(W257,4)&lt;&gt;"http",set_RMSBase=""),"",HYPERLINK(IF(LEFT(W257,4)="http",W257,set_RMSBase&amp;W257),"Open opportunity")))</f>
        <v/>
      </c>
      <c r="Y257" s="22" t="n"/>
      <c r="Z257" s="26">
        <f>IF(Y257="","",HYPERLINK(IF(LEFT(Y257,4)="http",Y257,set_QwilrBase&amp;Y257),"Open quote"))</f>
        <v/>
      </c>
      <c r="AA257" s="26">
        <f>IF(C257="","",C257)</f>
        <v/>
      </c>
      <c r="AB257" s="22" t="n"/>
      <c r="AC257" s="24" t="n"/>
      <c r="AD257" s="27">
        <f>IF(C257="","",L257+N(AC257))</f>
        <v/>
      </c>
      <c r="AE257" s="29">
        <f>IFERROR(AC257/AD257,"")</f>
        <v/>
      </c>
      <c r="AF257" s="24" t="n"/>
      <c r="AG257" s="24" t="n"/>
      <c r="AH257" s="24" t="n"/>
      <c r="AI257" s="24" t="n"/>
      <c r="AJ257" s="27">
        <f>IF(C257="","",SUMIFS(tbl_Finance[Ex GST],tbl_Finance[Job Number],C257&amp;"",tbl_Finance[Cost Centre],"VIDEO"))</f>
        <v/>
      </c>
      <c r="AK257" s="29">
        <f>IFERROR(AJ257/L257,"")</f>
        <v/>
      </c>
      <c r="AL257" s="27">
        <f>IF(C257="","",N(AF257)+N(AG257)+N(AH257)+N(AI257))</f>
        <v/>
      </c>
      <c r="AM257" s="27" t="n"/>
      <c r="AN257" s="29" t="n"/>
      <c r="AO257" s="71" t="n"/>
      <c r="AP257" s="71" t="n"/>
      <c r="AQ257" s="71" t="n"/>
      <c r="AR257" s="71" t="n"/>
      <c r="AS257" s="71" t="n"/>
      <c r="AT257" s="22" t="n"/>
    </row>
    <row r="258" ht="15" customHeight="1">
      <c r="A258" s="70">
        <f>IF(C258="","",IFERROR(IF(SUMPRODUCT(MAX((tbl_Finance[Job Number]&amp;""=C258&amp;"")*(tbl_Finance[Xero Invoice No]&lt;&gt;"")*tbl_Finance[Date]))=0,"",SUMPRODUCT(MAX((tbl_Finance[Job Number]&amp;""=C258&amp;"")*(tbl_Finance[Xero Invoice No]&lt;&gt;"")*tbl_Finance[Date]))),""))</f>
        <v/>
      </c>
      <c r="B258" s="26">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2" t="n"/>
      <c r="D258" s="26">
        <f>IF(C258="","",IF(COUNTIF(lst_Jobs,C258&amp;"")&gt;0,"OK","CHECK"))</f>
        <v/>
      </c>
      <c r="E258" s="26">
        <f>IF(C258="","",IFERROR(INDEX(lst_JobName,MATCH(C258&amp;"",lst_Jobs,0)),""))</f>
        <v/>
      </c>
      <c r="F258" s="22" t="n"/>
      <c r="G258" s="22" t="n"/>
      <c r="H258" s="22" t="n"/>
      <c r="I258" s="22" t="n"/>
      <c r="J258" s="22" t="n"/>
      <c r="K258" s="28">
        <f>IF(C258="","",COUNTIFS(tbl_Finance[Job Number],C258&amp;"",tbl_Finance[Ex GST],"&lt;&gt;"))</f>
        <v/>
      </c>
      <c r="L258" s="27">
        <f>IF(C258="","",SUMIFS(tbl_Finance[Ex GST],tbl_Finance[Job Number],C258&amp;""))</f>
        <v/>
      </c>
      <c r="M258" s="27">
        <f>IF(C258="","",SUMIFS(tbl_Finance[Ex GST],tbl_Finance[Job Number],C258&amp;"",tbl_Finance[Xero Invoice No],"&lt;&gt;"))</f>
        <v/>
      </c>
      <c r="N258" s="27">
        <f>IF(C258="","",L258-M258)</f>
        <v/>
      </c>
      <c r="O258" s="24" t="n"/>
      <c r="P258" s="27">
        <f>IF(C258="","",IF(O258="",0,MAX(0,O258-L258)))</f>
        <v/>
      </c>
      <c r="Q258" s="26">
        <f>IF(C258="","",IF(K258=0,"not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R258" s="27">
        <f>IF(C258="","",SUMIFS(tbl_Finance[Inc GST],tbl_Finance[Job Number],C258&amp;""))</f>
        <v/>
      </c>
      <c r="S258" s="22" t="n"/>
      <c r="T258" s="22" t="n"/>
      <c r="U258" s="22" t="n"/>
      <c r="V258" s="23" t="n"/>
      <c r="W258" s="22" t="n"/>
      <c r="X258" s="26">
        <f>IF(W258="","",IF(AND(LEFT(W258,4)&lt;&gt;"http",set_RMSBase=""),"",HYPERLINK(IF(LEFT(W258,4)="http",W258,set_RMSBase&amp;W258),"Open opportunity")))</f>
        <v/>
      </c>
      <c r="Y258" s="22" t="n"/>
      <c r="Z258" s="26">
        <f>IF(Y258="","",HYPERLINK(IF(LEFT(Y258,4)="http",Y258,set_QwilrBase&amp;Y258),"Open quote"))</f>
        <v/>
      </c>
      <c r="AA258" s="26">
        <f>IF(C258="","",C258)</f>
        <v/>
      </c>
      <c r="AB258" s="22" t="n"/>
      <c r="AC258" s="24" t="n"/>
      <c r="AD258" s="27">
        <f>IF(C258="","",L258+N(AC258))</f>
        <v/>
      </c>
      <c r="AE258" s="29">
        <f>IFERROR(AC258/AD258,"")</f>
        <v/>
      </c>
      <c r="AF258" s="24" t="n"/>
      <c r="AG258" s="24" t="n"/>
      <c r="AH258" s="24" t="n"/>
      <c r="AI258" s="24" t="n"/>
      <c r="AJ258" s="27">
        <f>IF(C258="","",SUMIFS(tbl_Finance[Ex GST],tbl_Finance[Job Number],C258&amp;"",tbl_Finance[Cost Centre],"VIDEO"))</f>
        <v/>
      </c>
      <c r="AK258" s="29">
        <f>IFERROR(AJ258/L258,"")</f>
        <v/>
      </c>
      <c r="AL258" s="27">
        <f>IF(C258="","",N(AF258)+N(AG258)+N(AH258)+N(AI258))</f>
        <v/>
      </c>
      <c r="AM258" s="27" t="n"/>
      <c r="AN258" s="29" t="n"/>
      <c r="AO258" s="71" t="n"/>
      <c r="AP258" s="71" t="n"/>
      <c r="AQ258" s="71" t="n"/>
      <c r="AR258" s="71" t="n"/>
      <c r="AS258" s="71" t="n"/>
      <c r="AT258" s="22" t="n"/>
    </row>
    <row r="259" ht="15" customHeight="1">
      <c r="A259" s="70">
        <f>IF(C259="","",IFERROR(IF(SUMPRODUCT(MAX((tbl_Finance[Job Number]&amp;""=C259&amp;"")*(tbl_Finance[Xero Invoice No]&lt;&gt;"")*tbl_Finance[Date]))=0,"",SUMPRODUCT(MAX((tbl_Finance[Job Number]&amp;""=C259&amp;"")*(tbl_Finance[Xero Invoice No]&lt;&gt;"")*tbl_Finance[Date]))),""))</f>
        <v/>
      </c>
      <c r="B259" s="26">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2" t="n"/>
      <c r="D259" s="26">
        <f>IF(C259="","",IF(COUNTIF(lst_Jobs,C259&amp;"")&gt;0,"OK","CHECK"))</f>
        <v/>
      </c>
      <c r="E259" s="26">
        <f>IF(C259="","",IFERROR(INDEX(lst_JobName,MATCH(C259&amp;"",lst_Jobs,0)),""))</f>
        <v/>
      </c>
      <c r="F259" s="22" t="n"/>
      <c r="G259" s="22" t="n"/>
      <c r="H259" s="22" t="n"/>
      <c r="I259" s="22" t="n"/>
      <c r="J259" s="22" t="n"/>
      <c r="K259" s="28">
        <f>IF(C259="","",COUNTIFS(tbl_Finance[Job Number],C259&amp;"",tbl_Finance[Ex GST],"&lt;&gt;"))</f>
        <v/>
      </c>
      <c r="L259" s="27">
        <f>IF(C259="","",SUMIFS(tbl_Finance[Ex GST],tbl_Finance[Job Number],C259&amp;""))</f>
        <v/>
      </c>
      <c r="M259" s="27">
        <f>IF(C259="","",SUMIFS(tbl_Finance[Ex GST],tbl_Finance[Job Number],C259&amp;"",tbl_Finance[Xero Invoice No],"&lt;&gt;"))</f>
        <v/>
      </c>
      <c r="N259" s="27">
        <f>IF(C259="","",L259-M259)</f>
        <v/>
      </c>
      <c r="O259" s="24" t="n"/>
      <c r="P259" s="27">
        <f>IF(C259="","",IF(O259="",0,MAX(0,O259-L259)))</f>
        <v/>
      </c>
      <c r="Q259" s="26">
        <f>IF(C259="","",IF(K259=0,"not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R259" s="27">
        <f>IF(C259="","",SUMIFS(tbl_Finance[Inc GST],tbl_Finance[Job Number],C259&amp;""))</f>
        <v/>
      </c>
      <c r="S259" s="22" t="n"/>
      <c r="T259" s="22" t="n"/>
      <c r="U259" s="22" t="n"/>
      <c r="V259" s="23" t="n"/>
      <c r="W259" s="22" t="n"/>
      <c r="X259" s="26">
        <f>IF(W259="","",IF(AND(LEFT(W259,4)&lt;&gt;"http",set_RMSBase=""),"",HYPERLINK(IF(LEFT(W259,4)="http",W259,set_RMSBase&amp;W259),"Open opportunity")))</f>
        <v/>
      </c>
      <c r="Y259" s="22" t="n"/>
      <c r="Z259" s="26">
        <f>IF(Y259="","",HYPERLINK(IF(LEFT(Y259,4)="http",Y259,set_QwilrBase&amp;Y259),"Open quote"))</f>
        <v/>
      </c>
      <c r="AA259" s="26">
        <f>IF(C259="","",C259)</f>
        <v/>
      </c>
      <c r="AB259" s="22" t="n"/>
      <c r="AC259" s="24" t="n"/>
      <c r="AD259" s="27">
        <f>IF(C259="","",L259+N(AC259))</f>
        <v/>
      </c>
      <c r="AE259" s="29">
        <f>IFERROR(AC259/AD259,"")</f>
        <v/>
      </c>
      <c r="AF259" s="24" t="n"/>
      <c r="AG259" s="24" t="n"/>
      <c r="AH259" s="24" t="n"/>
      <c r="AI259" s="24" t="n"/>
      <c r="AJ259" s="27">
        <f>IF(C259="","",SUMIFS(tbl_Finance[Ex GST],tbl_Finance[Job Number],C259&amp;"",tbl_Finance[Cost Centre],"VIDEO"))</f>
        <v/>
      </c>
      <c r="AK259" s="29">
        <f>IFERROR(AJ259/L259,"")</f>
        <v/>
      </c>
      <c r="AL259" s="27">
        <f>IF(C259="","",N(AF259)+N(AG259)+N(AH259)+N(AI259))</f>
        <v/>
      </c>
      <c r="AM259" s="27" t="n"/>
      <c r="AN259" s="29" t="n"/>
      <c r="AO259" s="71" t="n"/>
      <c r="AP259" s="71" t="n"/>
      <c r="AQ259" s="71" t="n"/>
      <c r="AR259" s="71" t="n"/>
      <c r="AS259" s="71" t="n"/>
      <c r="AT259" s="22" t="n"/>
    </row>
    <row r="260" ht="15" customHeight="1">
      <c r="A260" s="70">
        <f>IF(C260="","",IFERROR(IF(SUMPRODUCT(MAX((tbl_Finance[Job Number]&amp;""=C260&amp;"")*(tbl_Finance[Xero Invoice No]&lt;&gt;"")*tbl_Finance[Date]))=0,"",SUMPRODUCT(MAX((tbl_Finance[Job Number]&amp;""=C260&amp;"")*(tbl_Finance[Xero Invoice No]&lt;&gt;"")*tbl_Finance[Date]))),""))</f>
        <v/>
      </c>
      <c r="B260" s="26">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2" t="n"/>
      <c r="D260" s="26">
        <f>IF(C260="","",IF(COUNTIF(lst_Jobs,C260&amp;"")&gt;0,"OK","CHECK"))</f>
        <v/>
      </c>
      <c r="E260" s="26">
        <f>IF(C260="","",IFERROR(INDEX(lst_JobName,MATCH(C260&amp;"",lst_Jobs,0)),""))</f>
        <v/>
      </c>
      <c r="F260" s="22" t="n"/>
      <c r="G260" s="22" t="n"/>
      <c r="H260" s="22" t="n"/>
      <c r="I260" s="22" t="n"/>
      <c r="J260" s="22" t="n"/>
      <c r="K260" s="28">
        <f>IF(C260="","",COUNTIFS(tbl_Finance[Job Number],C260&amp;"",tbl_Finance[Ex GST],"&lt;&gt;"))</f>
        <v/>
      </c>
      <c r="L260" s="27">
        <f>IF(C260="","",SUMIFS(tbl_Finance[Ex GST],tbl_Finance[Job Number],C260&amp;""))</f>
        <v/>
      </c>
      <c r="M260" s="27">
        <f>IF(C260="","",SUMIFS(tbl_Finance[Ex GST],tbl_Finance[Job Number],C260&amp;"",tbl_Finance[Xero Invoice No],"&lt;&gt;"))</f>
        <v/>
      </c>
      <c r="N260" s="27">
        <f>IF(C260="","",L260-M260)</f>
        <v/>
      </c>
      <c r="O260" s="24" t="n"/>
      <c r="P260" s="27">
        <f>IF(C260="","",IF(O260="",0,MAX(0,O260-L260)))</f>
        <v/>
      </c>
      <c r="Q260" s="26">
        <f>IF(C260="","",IF(K260=0,"not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R260" s="27">
        <f>IF(C260="","",SUMIFS(tbl_Finance[Inc GST],tbl_Finance[Job Number],C260&amp;""))</f>
        <v/>
      </c>
      <c r="S260" s="22" t="n"/>
      <c r="T260" s="22" t="n"/>
      <c r="U260" s="22" t="n"/>
      <c r="V260" s="23" t="n"/>
      <c r="W260" s="22" t="n"/>
      <c r="X260" s="26">
        <f>IF(W260="","",IF(AND(LEFT(W260,4)&lt;&gt;"http",set_RMSBase=""),"",HYPERLINK(IF(LEFT(W260,4)="http",W260,set_RMSBase&amp;W260),"Open opportunity")))</f>
        <v/>
      </c>
      <c r="Y260" s="22" t="n"/>
      <c r="Z260" s="26">
        <f>IF(Y260="","",HYPERLINK(IF(LEFT(Y260,4)="http",Y260,set_QwilrBase&amp;Y260),"Open quote"))</f>
        <v/>
      </c>
      <c r="AA260" s="26">
        <f>IF(C260="","",C260)</f>
        <v/>
      </c>
      <c r="AB260" s="22" t="n"/>
      <c r="AC260" s="24" t="n"/>
      <c r="AD260" s="27">
        <f>IF(C260="","",L260+N(AC260))</f>
        <v/>
      </c>
      <c r="AE260" s="29">
        <f>IFERROR(AC260/AD260,"")</f>
        <v/>
      </c>
      <c r="AF260" s="24" t="n"/>
      <c r="AG260" s="24" t="n"/>
      <c r="AH260" s="24" t="n"/>
      <c r="AI260" s="24" t="n"/>
      <c r="AJ260" s="27">
        <f>IF(C260="","",SUMIFS(tbl_Finance[Ex GST],tbl_Finance[Job Number],C260&amp;"",tbl_Finance[Cost Centre],"VIDEO"))</f>
        <v/>
      </c>
      <c r="AK260" s="29">
        <f>IFERROR(AJ260/L260,"")</f>
        <v/>
      </c>
      <c r="AL260" s="27">
        <f>IF(C260="","",N(AF260)+N(AG260)+N(AH260)+N(AI260))</f>
        <v/>
      </c>
      <c r="AM260" s="27" t="n"/>
      <c r="AN260" s="29" t="n"/>
      <c r="AO260" s="71" t="n"/>
      <c r="AP260" s="71" t="n"/>
      <c r="AQ260" s="71" t="n"/>
      <c r="AR260" s="71" t="n"/>
      <c r="AS260" s="71" t="n"/>
      <c r="AT260" s="22" t="n"/>
    </row>
    <row r="261" ht="15" customHeight="1">
      <c r="A261" s="70">
        <f>IF(C261="","",IFERROR(IF(SUMPRODUCT(MAX((tbl_Finance[Job Number]&amp;""=C261&amp;"")*(tbl_Finance[Xero Invoice No]&lt;&gt;"")*tbl_Finance[Date]))=0,"",SUMPRODUCT(MAX((tbl_Finance[Job Number]&amp;""=C261&amp;"")*(tbl_Finance[Xero Invoice No]&lt;&gt;"")*tbl_Finance[Date]))),""))</f>
        <v/>
      </c>
      <c r="B261" s="26">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2" t="n"/>
      <c r="D261" s="26">
        <f>IF(C261="","",IF(COUNTIF(lst_Jobs,C261&amp;"")&gt;0,"OK","CHECK"))</f>
        <v/>
      </c>
      <c r="E261" s="26">
        <f>IF(C261="","",IFERROR(INDEX(lst_JobName,MATCH(C261&amp;"",lst_Jobs,0)),""))</f>
        <v/>
      </c>
      <c r="F261" s="22" t="n"/>
      <c r="G261" s="22" t="n"/>
      <c r="H261" s="22" t="n"/>
      <c r="I261" s="22" t="n"/>
      <c r="J261" s="22" t="n"/>
      <c r="K261" s="28">
        <f>IF(C261="","",COUNTIFS(tbl_Finance[Job Number],C261&amp;"",tbl_Finance[Ex GST],"&lt;&gt;"))</f>
        <v/>
      </c>
      <c r="L261" s="27">
        <f>IF(C261="","",SUMIFS(tbl_Finance[Ex GST],tbl_Finance[Job Number],C261&amp;""))</f>
        <v/>
      </c>
      <c r="M261" s="27">
        <f>IF(C261="","",SUMIFS(tbl_Finance[Ex GST],tbl_Finance[Job Number],C261&amp;"",tbl_Finance[Xero Invoice No],"&lt;&gt;"))</f>
        <v/>
      </c>
      <c r="N261" s="27">
        <f>IF(C261="","",L261-M261)</f>
        <v/>
      </c>
      <c r="O261" s="24" t="n"/>
      <c r="P261" s="27">
        <f>IF(C261="","",IF(O261="",0,MAX(0,O261-L261)))</f>
        <v/>
      </c>
      <c r="Q261" s="26">
        <f>IF(C261="","",IF(K261=0,"not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R261" s="27">
        <f>IF(C261="","",SUMIFS(tbl_Finance[Inc GST],tbl_Finance[Job Number],C261&amp;""))</f>
        <v/>
      </c>
      <c r="S261" s="22" t="n"/>
      <c r="T261" s="22" t="n"/>
      <c r="U261" s="22" t="n"/>
      <c r="V261" s="23" t="n"/>
      <c r="W261" s="22" t="n"/>
      <c r="X261" s="26">
        <f>IF(W261="","",IF(AND(LEFT(W261,4)&lt;&gt;"http",set_RMSBase=""),"",HYPERLINK(IF(LEFT(W261,4)="http",W261,set_RMSBase&amp;W261),"Open opportunity")))</f>
        <v/>
      </c>
      <c r="Y261" s="22" t="n"/>
      <c r="Z261" s="26">
        <f>IF(Y261="","",HYPERLINK(IF(LEFT(Y261,4)="http",Y261,set_QwilrBase&amp;Y261),"Open quote"))</f>
        <v/>
      </c>
      <c r="AA261" s="26">
        <f>IF(C261="","",C261)</f>
        <v/>
      </c>
      <c r="AB261" s="22" t="n"/>
      <c r="AC261" s="24" t="n"/>
      <c r="AD261" s="27">
        <f>IF(C261="","",L261+N(AC261))</f>
        <v/>
      </c>
      <c r="AE261" s="29">
        <f>IFERROR(AC261/AD261,"")</f>
        <v/>
      </c>
      <c r="AF261" s="24" t="n"/>
      <c r="AG261" s="24" t="n"/>
      <c r="AH261" s="24" t="n"/>
      <c r="AI261" s="24" t="n"/>
      <c r="AJ261" s="27">
        <f>IF(C261="","",SUMIFS(tbl_Finance[Ex GST],tbl_Finance[Job Number],C261&amp;"",tbl_Finance[Cost Centre],"VIDEO"))</f>
        <v/>
      </c>
      <c r="AK261" s="29">
        <f>IFERROR(AJ261/L261,"")</f>
        <v/>
      </c>
      <c r="AL261" s="27">
        <f>IF(C261="","",N(AF261)+N(AG261)+N(AH261)+N(AI261))</f>
        <v/>
      </c>
      <c r="AM261" s="27" t="n"/>
      <c r="AN261" s="29" t="n"/>
      <c r="AO261" s="71" t="n"/>
      <c r="AP261" s="71" t="n"/>
      <c r="AQ261" s="71" t="n"/>
      <c r="AR261" s="71" t="n"/>
      <c r="AS261" s="71" t="n"/>
      <c r="AT261" s="22" t="n"/>
    </row>
    <row r="262" ht="15" customHeight="1">
      <c r="A262" s="70">
        <f>IF(C262="","",IFERROR(IF(SUMPRODUCT(MAX((tbl_Finance[Job Number]&amp;""=C262&amp;"")*(tbl_Finance[Xero Invoice No]&lt;&gt;"")*tbl_Finance[Date]))=0,"",SUMPRODUCT(MAX((tbl_Finance[Job Number]&amp;""=C262&amp;"")*(tbl_Finance[Xero Invoice No]&lt;&gt;"")*tbl_Finance[Date]))),""))</f>
        <v/>
      </c>
      <c r="B262" s="26">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2" t="n"/>
      <c r="D262" s="26">
        <f>IF(C262="","",IF(COUNTIF(lst_Jobs,C262&amp;"")&gt;0,"OK","CHECK"))</f>
        <v/>
      </c>
      <c r="E262" s="26">
        <f>IF(C262="","",IFERROR(INDEX(lst_JobName,MATCH(C262&amp;"",lst_Jobs,0)),""))</f>
        <v/>
      </c>
      <c r="F262" s="22" t="n"/>
      <c r="G262" s="22" t="n"/>
      <c r="H262" s="22" t="n"/>
      <c r="I262" s="22" t="n"/>
      <c r="J262" s="22" t="n"/>
      <c r="K262" s="28">
        <f>IF(C262="","",COUNTIFS(tbl_Finance[Job Number],C262&amp;"",tbl_Finance[Ex GST],"&lt;&gt;"))</f>
        <v/>
      </c>
      <c r="L262" s="27">
        <f>IF(C262="","",SUMIFS(tbl_Finance[Ex GST],tbl_Finance[Job Number],C262&amp;""))</f>
        <v/>
      </c>
      <c r="M262" s="27">
        <f>IF(C262="","",SUMIFS(tbl_Finance[Ex GST],tbl_Finance[Job Number],C262&amp;"",tbl_Finance[Xero Invoice No],"&lt;&gt;"))</f>
        <v/>
      </c>
      <c r="N262" s="27">
        <f>IF(C262="","",L262-M262)</f>
        <v/>
      </c>
      <c r="O262" s="24" t="n"/>
      <c r="P262" s="27">
        <f>IF(C262="","",IF(O262="",0,MAX(0,O262-L262)))</f>
        <v/>
      </c>
      <c r="Q262" s="26">
        <f>IF(C262="","",IF(K262=0,"not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R262" s="27">
        <f>IF(C262="","",SUMIFS(tbl_Finance[Inc GST],tbl_Finance[Job Number],C262&amp;""))</f>
        <v/>
      </c>
      <c r="S262" s="22" t="n"/>
      <c r="T262" s="22" t="n"/>
      <c r="U262" s="22" t="n"/>
      <c r="V262" s="23" t="n"/>
      <c r="W262" s="22" t="n"/>
      <c r="X262" s="26">
        <f>IF(W262="","",IF(AND(LEFT(W262,4)&lt;&gt;"http",set_RMSBase=""),"",HYPERLINK(IF(LEFT(W262,4)="http",W262,set_RMSBase&amp;W262),"Open opportunity")))</f>
        <v/>
      </c>
      <c r="Y262" s="22" t="n"/>
      <c r="Z262" s="26">
        <f>IF(Y262="","",HYPERLINK(IF(LEFT(Y262,4)="http",Y262,set_QwilrBase&amp;Y262),"Open quote"))</f>
        <v/>
      </c>
      <c r="AA262" s="26">
        <f>IF(C262="","",C262)</f>
        <v/>
      </c>
      <c r="AB262" s="22" t="n"/>
      <c r="AC262" s="24" t="n"/>
      <c r="AD262" s="27">
        <f>IF(C262="","",L262+N(AC262))</f>
        <v/>
      </c>
      <c r="AE262" s="29">
        <f>IFERROR(AC262/AD262,"")</f>
        <v/>
      </c>
      <c r="AF262" s="24" t="n"/>
      <c r="AG262" s="24" t="n"/>
      <c r="AH262" s="24" t="n"/>
      <c r="AI262" s="24" t="n"/>
      <c r="AJ262" s="27">
        <f>IF(C262="","",SUMIFS(tbl_Finance[Ex GST],tbl_Finance[Job Number],C262&amp;"",tbl_Finance[Cost Centre],"VIDEO"))</f>
        <v/>
      </c>
      <c r="AK262" s="29">
        <f>IFERROR(AJ262/L262,"")</f>
        <v/>
      </c>
      <c r="AL262" s="27">
        <f>IF(C262="","",N(AF262)+N(AG262)+N(AH262)+N(AI262))</f>
        <v/>
      </c>
      <c r="AM262" s="27" t="n"/>
      <c r="AN262" s="29" t="n"/>
      <c r="AO262" s="71" t="n"/>
      <c r="AP262" s="71" t="n"/>
      <c r="AQ262" s="71" t="n"/>
      <c r="AR262" s="71" t="n"/>
      <c r="AS262" s="71" t="n"/>
      <c r="AT262" s="22" t="n"/>
    </row>
    <row r="263" ht="15" customHeight="1">
      <c r="A263" s="70">
        <f>IF(C263="","",IFERROR(IF(SUMPRODUCT(MAX((tbl_Finance[Job Number]&amp;""=C263&amp;"")*(tbl_Finance[Xero Invoice No]&lt;&gt;"")*tbl_Finance[Date]))=0,"",SUMPRODUCT(MAX((tbl_Finance[Job Number]&amp;""=C263&amp;"")*(tbl_Finance[Xero Invoice No]&lt;&gt;"")*tbl_Finance[Date]))),""))</f>
        <v/>
      </c>
      <c r="B263" s="26">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2" t="n"/>
      <c r="D263" s="26">
        <f>IF(C263="","",IF(COUNTIF(lst_Jobs,C263&amp;"")&gt;0,"OK","CHECK"))</f>
        <v/>
      </c>
      <c r="E263" s="26">
        <f>IF(C263="","",IFERROR(INDEX(lst_JobName,MATCH(C263&amp;"",lst_Jobs,0)),""))</f>
        <v/>
      </c>
      <c r="F263" s="22" t="n"/>
      <c r="G263" s="22" t="n"/>
      <c r="H263" s="22" t="n"/>
      <c r="I263" s="22" t="n"/>
      <c r="J263" s="22" t="n"/>
      <c r="K263" s="28">
        <f>IF(C263="","",COUNTIFS(tbl_Finance[Job Number],C263&amp;"",tbl_Finance[Ex GST],"&lt;&gt;"))</f>
        <v/>
      </c>
      <c r="L263" s="27">
        <f>IF(C263="","",SUMIFS(tbl_Finance[Ex GST],tbl_Finance[Job Number],C263&amp;""))</f>
        <v/>
      </c>
      <c r="M263" s="27">
        <f>IF(C263="","",SUMIFS(tbl_Finance[Ex GST],tbl_Finance[Job Number],C263&amp;"",tbl_Finance[Xero Invoice No],"&lt;&gt;"))</f>
        <v/>
      </c>
      <c r="N263" s="27">
        <f>IF(C263="","",L263-M263)</f>
        <v/>
      </c>
      <c r="O263" s="24" t="n"/>
      <c r="P263" s="27">
        <f>IF(C263="","",IF(O263="",0,MAX(0,O263-L263)))</f>
        <v/>
      </c>
      <c r="Q263" s="26">
        <f>IF(C263="","",IF(K263=0,"not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R263" s="27">
        <f>IF(C263="","",SUMIFS(tbl_Finance[Inc GST],tbl_Finance[Job Number],C263&amp;""))</f>
        <v/>
      </c>
      <c r="S263" s="22" t="n"/>
      <c r="T263" s="22" t="n"/>
      <c r="U263" s="22" t="n"/>
      <c r="V263" s="23" t="n"/>
      <c r="W263" s="22" t="n"/>
      <c r="X263" s="26">
        <f>IF(W263="","",IF(AND(LEFT(W263,4)&lt;&gt;"http",set_RMSBase=""),"",HYPERLINK(IF(LEFT(W263,4)="http",W263,set_RMSBase&amp;W263),"Open opportunity")))</f>
        <v/>
      </c>
      <c r="Y263" s="22" t="n"/>
      <c r="Z263" s="26">
        <f>IF(Y263="","",HYPERLINK(IF(LEFT(Y263,4)="http",Y263,set_QwilrBase&amp;Y263),"Open quote"))</f>
        <v/>
      </c>
      <c r="AA263" s="26">
        <f>IF(C263="","",C263)</f>
        <v/>
      </c>
      <c r="AB263" s="22" t="n"/>
      <c r="AC263" s="24" t="n"/>
      <c r="AD263" s="27">
        <f>IF(C263="","",L263+N(AC263))</f>
        <v/>
      </c>
      <c r="AE263" s="29">
        <f>IFERROR(AC263/AD263,"")</f>
        <v/>
      </c>
      <c r="AF263" s="24" t="n"/>
      <c r="AG263" s="24" t="n"/>
      <c r="AH263" s="24" t="n"/>
      <c r="AI263" s="24" t="n"/>
      <c r="AJ263" s="27">
        <f>IF(C263="","",SUMIFS(tbl_Finance[Ex GST],tbl_Finance[Job Number],C263&amp;"",tbl_Finance[Cost Centre],"VIDEO"))</f>
        <v/>
      </c>
      <c r="AK263" s="29">
        <f>IFERROR(AJ263/L263,"")</f>
        <v/>
      </c>
      <c r="AL263" s="27">
        <f>IF(C263="","",N(AF263)+N(AG263)+N(AH263)+N(AI263))</f>
        <v/>
      </c>
      <c r="AM263" s="27" t="n"/>
      <c r="AN263" s="29" t="n"/>
      <c r="AO263" s="71" t="n"/>
      <c r="AP263" s="71" t="n"/>
      <c r="AQ263" s="71" t="n"/>
      <c r="AR263" s="71" t="n"/>
      <c r="AS263" s="71" t="n"/>
      <c r="AT263" s="22" t="n"/>
    </row>
    <row r="264" ht="15" customHeight="1">
      <c r="A264" s="70">
        <f>IF(C264="","",IFERROR(IF(SUMPRODUCT(MAX((tbl_Finance[Job Number]&amp;""=C264&amp;"")*(tbl_Finance[Xero Invoice No]&lt;&gt;"")*tbl_Finance[Date]))=0,"",SUMPRODUCT(MAX((tbl_Finance[Job Number]&amp;""=C264&amp;"")*(tbl_Finance[Xero Invoice No]&lt;&gt;"")*tbl_Finance[Date]))),""))</f>
        <v/>
      </c>
      <c r="B264" s="26">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2" t="n"/>
      <c r="D264" s="26">
        <f>IF(C264="","",IF(COUNTIF(lst_Jobs,C264&amp;"")&gt;0,"OK","CHECK"))</f>
        <v/>
      </c>
      <c r="E264" s="26">
        <f>IF(C264="","",IFERROR(INDEX(lst_JobName,MATCH(C264&amp;"",lst_Jobs,0)),""))</f>
        <v/>
      </c>
      <c r="F264" s="22" t="n"/>
      <c r="G264" s="22" t="n"/>
      <c r="H264" s="22" t="n"/>
      <c r="I264" s="22" t="n"/>
      <c r="J264" s="22" t="n"/>
      <c r="K264" s="28">
        <f>IF(C264="","",COUNTIFS(tbl_Finance[Job Number],C264&amp;"",tbl_Finance[Ex GST],"&lt;&gt;"))</f>
        <v/>
      </c>
      <c r="L264" s="27">
        <f>IF(C264="","",SUMIFS(tbl_Finance[Ex GST],tbl_Finance[Job Number],C264&amp;""))</f>
        <v/>
      </c>
      <c r="M264" s="27">
        <f>IF(C264="","",SUMIFS(tbl_Finance[Ex GST],tbl_Finance[Job Number],C264&amp;"",tbl_Finance[Xero Invoice No],"&lt;&gt;"))</f>
        <v/>
      </c>
      <c r="N264" s="27">
        <f>IF(C264="","",L264-M264)</f>
        <v/>
      </c>
      <c r="O264" s="24" t="n"/>
      <c r="P264" s="27">
        <f>IF(C264="","",IF(O264="",0,MAX(0,O264-L264)))</f>
        <v/>
      </c>
      <c r="Q264" s="26">
        <f>IF(C264="","",IF(K264=0,"not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R264" s="27">
        <f>IF(C264="","",SUMIFS(tbl_Finance[Inc GST],tbl_Finance[Job Number],C264&amp;""))</f>
        <v/>
      </c>
      <c r="S264" s="22" t="n"/>
      <c r="T264" s="22" t="n"/>
      <c r="U264" s="22" t="n"/>
      <c r="V264" s="23" t="n"/>
      <c r="W264" s="22" t="n"/>
      <c r="X264" s="26">
        <f>IF(W264="","",IF(AND(LEFT(W264,4)&lt;&gt;"http",set_RMSBase=""),"",HYPERLINK(IF(LEFT(W264,4)="http",W264,set_RMSBase&amp;W264),"Open opportunity")))</f>
        <v/>
      </c>
      <c r="Y264" s="22" t="n"/>
      <c r="Z264" s="26">
        <f>IF(Y264="","",HYPERLINK(IF(LEFT(Y264,4)="http",Y264,set_QwilrBase&amp;Y264),"Open quote"))</f>
        <v/>
      </c>
      <c r="AA264" s="26">
        <f>IF(C264="","",C264)</f>
        <v/>
      </c>
      <c r="AB264" s="22" t="n"/>
      <c r="AC264" s="24" t="n"/>
      <c r="AD264" s="27">
        <f>IF(C264="","",L264+N(AC264))</f>
        <v/>
      </c>
      <c r="AE264" s="29">
        <f>IFERROR(AC264/AD264,"")</f>
        <v/>
      </c>
      <c r="AF264" s="24" t="n"/>
      <c r="AG264" s="24" t="n"/>
      <c r="AH264" s="24" t="n"/>
      <c r="AI264" s="24" t="n"/>
      <c r="AJ264" s="27">
        <f>IF(C264="","",SUMIFS(tbl_Finance[Ex GST],tbl_Finance[Job Number],C264&amp;"",tbl_Finance[Cost Centre],"VIDEO"))</f>
        <v/>
      </c>
      <c r="AK264" s="29">
        <f>IFERROR(AJ264/L264,"")</f>
        <v/>
      </c>
      <c r="AL264" s="27">
        <f>IF(C264="","",N(AF264)+N(AG264)+N(AH264)+N(AI264))</f>
        <v/>
      </c>
      <c r="AM264" s="27" t="n"/>
      <c r="AN264" s="29" t="n"/>
      <c r="AO264" s="71" t="n"/>
      <c r="AP264" s="71" t="n"/>
      <c r="AQ264" s="71" t="n"/>
      <c r="AR264" s="71" t="n"/>
      <c r="AS264" s="71" t="n"/>
      <c r="AT264" s="22" t="n"/>
    </row>
    <row r="265" ht="15" customHeight="1">
      <c r="A265" s="70">
        <f>IF(C265="","",IFERROR(IF(SUMPRODUCT(MAX((tbl_Finance[Job Number]&amp;""=C265&amp;"")*(tbl_Finance[Xero Invoice No]&lt;&gt;"")*tbl_Finance[Date]))=0,"",SUMPRODUCT(MAX((tbl_Finance[Job Number]&amp;""=C265&amp;"")*(tbl_Finance[Xero Invoice No]&lt;&gt;"")*tbl_Finance[Date]))),""))</f>
        <v/>
      </c>
      <c r="B265" s="26">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2" t="n"/>
      <c r="D265" s="26">
        <f>IF(C265="","",IF(COUNTIF(lst_Jobs,C265&amp;"")&gt;0,"OK","CHECK"))</f>
        <v/>
      </c>
      <c r="E265" s="26">
        <f>IF(C265="","",IFERROR(INDEX(lst_JobName,MATCH(C265&amp;"",lst_Jobs,0)),""))</f>
        <v/>
      </c>
      <c r="F265" s="22" t="n"/>
      <c r="G265" s="22" t="n"/>
      <c r="H265" s="22" t="n"/>
      <c r="I265" s="22" t="n"/>
      <c r="J265" s="22" t="n"/>
      <c r="K265" s="28">
        <f>IF(C265="","",COUNTIFS(tbl_Finance[Job Number],C265&amp;"",tbl_Finance[Ex GST],"&lt;&gt;"))</f>
        <v/>
      </c>
      <c r="L265" s="27">
        <f>IF(C265="","",SUMIFS(tbl_Finance[Ex GST],tbl_Finance[Job Number],C265&amp;""))</f>
        <v/>
      </c>
      <c r="M265" s="27">
        <f>IF(C265="","",SUMIFS(tbl_Finance[Ex GST],tbl_Finance[Job Number],C265&amp;"",tbl_Finance[Xero Invoice No],"&lt;&gt;"))</f>
        <v/>
      </c>
      <c r="N265" s="27">
        <f>IF(C265="","",L265-M265)</f>
        <v/>
      </c>
      <c r="O265" s="24" t="n"/>
      <c r="P265" s="27">
        <f>IF(C265="","",IF(O265="",0,MAX(0,O265-L265)))</f>
        <v/>
      </c>
      <c r="Q265" s="26">
        <f>IF(C265="","",IF(K265=0,"not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R265" s="27">
        <f>IF(C265="","",SUMIFS(tbl_Finance[Inc GST],tbl_Finance[Job Number],C265&amp;""))</f>
        <v/>
      </c>
      <c r="S265" s="22" t="n"/>
      <c r="T265" s="22" t="n"/>
      <c r="U265" s="22" t="n"/>
      <c r="V265" s="23" t="n"/>
      <c r="W265" s="22" t="n"/>
      <c r="X265" s="26">
        <f>IF(W265="","",IF(AND(LEFT(W265,4)&lt;&gt;"http",set_RMSBase=""),"",HYPERLINK(IF(LEFT(W265,4)="http",W265,set_RMSBase&amp;W265),"Open opportunity")))</f>
        <v/>
      </c>
      <c r="Y265" s="22" t="n"/>
      <c r="Z265" s="26">
        <f>IF(Y265="","",HYPERLINK(IF(LEFT(Y265,4)="http",Y265,set_QwilrBase&amp;Y265),"Open quote"))</f>
        <v/>
      </c>
      <c r="AA265" s="26">
        <f>IF(C265="","",C265)</f>
        <v/>
      </c>
      <c r="AB265" s="22" t="n"/>
      <c r="AC265" s="24" t="n"/>
      <c r="AD265" s="27">
        <f>IF(C265="","",L265+N(AC265))</f>
        <v/>
      </c>
      <c r="AE265" s="29">
        <f>IFERROR(AC265/AD265,"")</f>
        <v/>
      </c>
      <c r="AF265" s="24" t="n"/>
      <c r="AG265" s="24" t="n"/>
      <c r="AH265" s="24" t="n"/>
      <c r="AI265" s="24" t="n"/>
      <c r="AJ265" s="27">
        <f>IF(C265="","",SUMIFS(tbl_Finance[Ex GST],tbl_Finance[Job Number],C265&amp;"",tbl_Finance[Cost Centre],"VIDEO"))</f>
        <v/>
      </c>
      <c r="AK265" s="29">
        <f>IFERROR(AJ265/L265,"")</f>
        <v/>
      </c>
      <c r="AL265" s="27">
        <f>IF(C265="","",N(AF265)+N(AG265)+N(AH265)+N(AI265))</f>
        <v/>
      </c>
      <c r="AM265" s="27" t="n"/>
      <c r="AN265" s="29" t="n"/>
      <c r="AO265" s="71" t="n"/>
      <c r="AP265" s="71" t="n"/>
      <c r="AQ265" s="71" t="n"/>
      <c r="AR265" s="71" t="n"/>
      <c r="AS265" s="71" t="n"/>
      <c r="AT265" s="22" t="n"/>
    </row>
    <row r="266" ht="15" customHeight="1">
      <c r="A266" s="70">
        <f>IF(C266="","",IFERROR(IF(SUMPRODUCT(MAX((tbl_Finance[Job Number]&amp;""=C266&amp;"")*(tbl_Finance[Xero Invoice No]&lt;&gt;"")*tbl_Finance[Date]))=0,"",SUMPRODUCT(MAX((tbl_Finance[Job Number]&amp;""=C266&amp;"")*(tbl_Finance[Xero Invoice No]&lt;&gt;"")*tbl_Finance[Date]))),""))</f>
        <v/>
      </c>
      <c r="B266" s="26">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2" t="n"/>
      <c r="D266" s="26">
        <f>IF(C266="","",IF(COUNTIF(lst_Jobs,C266&amp;"")&gt;0,"OK","CHECK"))</f>
        <v/>
      </c>
      <c r="E266" s="26">
        <f>IF(C266="","",IFERROR(INDEX(lst_JobName,MATCH(C266&amp;"",lst_Jobs,0)),""))</f>
        <v/>
      </c>
      <c r="F266" s="22" t="n"/>
      <c r="G266" s="22" t="n"/>
      <c r="H266" s="22" t="n"/>
      <c r="I266" s="22" t="n"/>
      <c r="J266" s="22" t="n"/>
      <c r="K266" s="28">
        <f>IF(C266="","",COUNTIFS(tbl_Finance[Job Number],C266&amp;"",tbl_Finance[Ex GST],"&lt;&gt;"))</f>
        <v/>
      </c>
      <c r="L266" s="27">
        <f>IF(C266="","",SUMIFS(tbl_Finance[Ex GST],tbl_Finance[Job Number],C266&amp;""))</f>
        <v/>
      </c>
      <c r="M266" s="27">
        <f>IF(C266="","",SUMIFS(tbl_Finance[Ex GST],tbl_Finance[Job Number],C266&amp;"",tbl_Finance[Xero Invoice No],"&lt;&gt;"))</f>
        <v/>
      </c>
      <c r="N266" s="27">
        <f>IF(C266="","",L266-M266)</f>
        <v/>
      </c>
      <c r="O266" s="24" t="n"/>
      <c r="P266" s="27">
        <f>IF(C266="","",IF(O266="",0,MAX(0,O266-L266)))</f>
        <v/>
      </c>
      <c r="Q266" s="26">
        <f>IF(C266="","",IF(K266=0,"not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R266" s="27">
        <f>IF(C266="","",SUMIFS(tbl_Finance[Inc GST],tbl_Finance[Job Number],C266&amp;""))</f>
        <v/>
      </c>
      <c r="S266" s="22" t="n"/>
      <c r="T266" s="22" t="n"/>
      <c r="U266" s="22" t="n"/>
      <c r="V266" s="23" t="n"/>
      <c r="W266" s="22" t="n"/>
      <c r="X266" s="26">
        <f>IF(W266="","",IF(AND(LEFT(W266,4)&lt;&gt;"http",set_RMSBase=""),"",HYPERLINK(IF(LEFT(W266,4)="http",W266,set_RMSBase&amp;W266),"Open opportunity")))</f>
        <v/>
      </c>
      <c r="Y266" s="22" t="n"/>
      <c r="Z266" s="26">
        <f>IF(Y266="","",HYPERLINK(IF(LEFT(Y266,4)="http",Y266,set_QwilrBase&amp;Y266),"Open quote"))</f>
        <v/>
      </c>
      <c r="AA266" s="26">
        <f>IF(C266="","",C266)</f>
        <v/>
      </c>
      <c r="AB266" s="22" t="n"/>
      <c r="AC266" s="24" t="n"/>
      <c r="AD266" s="27">
        <f>IF(C266="","",L266+N(AC266))</f>
        <v/>
      </c>
      <c r="AE266" s="29">
        <f>IFERROR(AC266/AD266,"")</f>
        <v/>
      </c>
      <c r="AF266" s="24" t="n"/>
      <c r="AG266" s="24" t="n"/>
      <c r="AH266" s="24" t="n"/>
      <c r="AI266" s="24" t="n"/>
      <c r="AJ266" s="27">
        <f>IF(C266="","",SUMIFS(tbl_Finance[Ex GST],tbl_Finance[Job Number],C266&amp;"",tbl_Finance[Cost Centre],"VIDEO"))</f>
        <v/>
      </c>
      <c r="AK266" s="29">
        <f>IFERROR(AJ266/L266,"")</f>
        <v/>
      </c>
      <c r="AL266" s="27">
        <f>IF(C266="","",N(AF266)+N(AG266)+N(AH266)+N(AI266))</f>
        <v/>
      </c>
      <c r="AM266" s="27" t="n"/>
      <c r="AN266" s="29" t="n"/>
      <c r="AO266" s="71" t="n"/>
      <c r="AP266" s="71" t="n"/>
      <c r="AQ266" s="71" t="n"/>
      <c r="AR266" s="71" t="n"/>
      <c r="AS266" s="71" t="n"/>
      <c r="AT266" s="22" t="n"/>
    </row>
    <row r="267" ht="15" customHeight="1">
      <c r="A267" s="70">
        <f>IF(C267="","",IFERROR(IF(SUMPRODUCT(MAX((tbl_Finance[Job Number]&amp;""=C267&amp;"")*(tbl_Finance[Xero Invoice No]&lt;&gt;"")*tbl_Finance[Date]))=0,"",SUMPRODUCT(MAX((tbl_Finance[Job Number]&amp;""=C267&amp;"")*(tbl_Finance[Xero Invoice No]&lt;&gt;"")*tbl_Finance[Date]))),""))</f>
        <v/>
      </c>
      <c r="B267" s="26">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2" t="n"/>
      <c r="D267" s="26">
        <f>IF(C267="","",IF(COUNTIF(lst_Jobs,C267&amp;"")&gt;0,"OK","CHECK"))</f>
        <v/>
      </c>
      <c r="E267" s="26">
        <f>IF(C267="","",IFERROR(INDEX(lst_JobName,MATCH(C267&amp;"",lst_Jobs,0)),""))</f>
        <v/>
      </c>
      <c r="F267" s="22" t="n"/>
      <c r="G267" s="22" t="n"/>
      <c r="H267" s="22" t="n"/>
      <c r="I267" s="22" t="n"/>
      <c r="J267" s="22" t="n"/>
      <c r="K267" s="28">
        <f>IF(C267="","",COUNTIFS(tbl_Finance[Job Number],C267&amp;"",tbl_Finance[Ex GST],"&lt;&gt;"))</f>
        <v/>
      </c>
      <c r="L267" s="27">
        <f>IF(C267="","",SUMIFS(tbl_Finance[Ex GST],tbl_Finance[Job Number],C267&amp;""))</f>
        <v/>
      </c>
      <c r="M267" s="27">
        <f>IF(C267="","",SUMIFS(tbl_Finance[Ex GST],tbl_Finance[Job Number],C267&amp;"",tbl_Finance[Xero Invoice No],"&lt;&gt;"))</f>
        <v/>
      </c>
      <c r="N267" s="27">
        <f>IF(C267="","",L267-M267)</f>
        <v/>
      </c>
      <c r="O267" s="24" t="n"/>
      <c r="P267" s="27">
        <f>IF(C267="","",IF(O267="",0,MAX(0,O267-L267)))</f>
        <v/>
      </c>
      <c r="Q267" s="26">
        <f>IF(C267="","",IF(K267=0,"not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R267" s="27">
        <f>IF(C267="","",SUMIFS(tbl_Finance[Inc GST],tbl_Finance[Job Number],C267&amp;""))</f>
        <v/>
      </c>
      <c r="S267" s="22" t="n"/>
      <c r="T267" s="22" t="n"/>
      <c r="U267" s="22" t="n"/>
      <c r="V267" s="23" t="n"/>
      <c r="W267" s="22" t="n"/>
      <c r="X267" s="26">
        <f>IF(W267="","",IF(AND(LEFT(W267,4)&lt;&gt;"http",set_RMSBase=""),"",HYPERLINK(IF(LEFT(W267,4)="http",W267,set_RMSBase&amp;W267),"Open opportunity")))</f>
        <v/>
      </c>
      <c r="Y267" s="22" t="n"/>
      <c r="Z267" s="26">
        <f>IF(Y267="","",HYPERLINK(IF(LEFT(Y267,4)="http",Y267,set_QwilrBase&amp;Y267),"Open quote"))</f>
        <v/>
      </c>
      <c r="AA267" s="26">
        <f>IF(C267="","",C267)</f>
        <v/>
      </c>
      <c r="AB267" s="22" t="n"/>
      <c r="AC267" s="24" t="n"/>
      <c r="AD267" s="27">
        <f>IF(C267="","",L267+N(AC267))</f>
        <v/>
      </c>
      <c r="AE267" s="29">
        <f>IFERROR(AC267/AD267,"")</f>
        <v/>
      </c>
      <c r="AF267" s="24" t="n"/>
      <c r="AG267" s="24" t="n"/>
      <c r="AH267" s="24" t="n"/>
      <c r="AI267" s="24" t="n"/>
      <c r="AJ267" s="27">
        <f>IF(C267="","",SUMIFS(tbl_Finance[Ex GST],tbl_Finance[Job Number],C267&amp;"",tbl_Finance[Cost Centre],"VIDEO"))</f>
        <v/>
      </c>
      <c r="AK267" s="29">
        <f>IFERROR(AJ267/L267,"")</f>
        <v/>
      </c>
      <c r="AL267" s="27">
        <f>IF(C267="","",N(AF267)+N(AG267)+N(AH267)+N(AI267))</f>
        <v/>
      </c>
      <c r="AM267" s="27" t="n"/>
      <c r="AN267" s="29" t="n"/>
      <c r="AO267" s="71" t="n"/>
      <c r="AP267" s="71" t="n"/>
      <c r="AQ267" s="71" t="n"/>
      <c r="AR267" s="71" t="n"/>
      <c r="AS267" s="71" t="n"/>
      <c r="AT267" s="22" t="n"/>
    </row>
    <row r="268" ht="15" customHeight="1">
      <c r="A268" s="70">
        <f>IF(C268="","",IFERROR(IF(SUMPRODUCT(MAX((tbl_Finance[Job Number]&amp;""=C268&amp;"")*(tbl_Finance[Xero Invoice No]&lt;&gt;"")*tbl_Finance[Date]))=0,"",SUMPRODUCT(MAX((tbl_Finance[Job Number]&amp;""=C268&amp;"")*(tbl_Finance[Xero Invoice No]&lt;&gt;"")*tbl_Finance[Date]))),""))</f>
        <v/>
      </c>
      <c r="B268" s="26">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2" t="n"/>
      <c r="D268" s="26">
        <f>IF(C268="","",IF(COUNTIF(lst_Jobs,C268&amp;"")&gt;0,"OK","CHECK"))</f>
        <v/>
      </c>
      <c r="E268" s="26">
        <f>IF(C268="","",IFERROR(INDEX(lst_JobName,MATCH(C268&amp;"",lst_Jobs,0)),""))</f>
        <v/>
      </c>
      <c r="F268" s="22" t="n"/>
      <c r="G268" s="22" t="n"/>
      <c r="H268" s="22" t="n"/>
      <c r="I268" s="22" t="n"/>
      <c r="J268" s="22" t="n"/>
      <c r="K268" s="28">
        <f>IF(C268="","",COUNTIFS(tbl_Finance[Job Number],C268&amp;"",tbl_Finance[Ex GST],"&lt;&gt;"))</f>
        <v/>
      </c>
      <c r="L268" s="27">
        <f>IF(C268="","",SUMIFS(tbl_Finance[Ex GST],tbl_Finance[Job Number],C268&amp;""))</f>
        <v/>
      </c>
      <c r="M268" s="27">
        <f>IF(C268="","",SUMIFS(tbl_Finance[Ex GST],tbl_Finance[Job Number],C268&amp;"",tbl_Finance[Xero Invoice No],"&lt;&gt;"))</f>
        <v/>
      </c>
      <c r="N268" s="27">
        <f>IF(C268="","",L268-M268)</f>
        <v/>
      </c>
      <c r="O268" s="24" t="n"/>
      <c r="P268" s="27">
        <f>IF(C268="","",IF(O268="",0,MAX(0,O268-L268)))</f>
        <v/>
      </c>
      <c r="Q268" s="26">
        <f>IF(C268="","",IF(K268=0,"not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R268" s="27">
        <f>IF(C268="","",SUMIFS(tbl_Finance[Inc GST],tbl_Finance[Job Number],C268&amp;""))</f>
        <v/>
      </c>
      <c r="S268" s="22" t="n"/>
      <c r="T268" s="22" t="n"/>
      <c r="U268" s="22" t="n"/>
      <c r="V268" s="23" t="n"/>
      <c r="W268" s="22" t="n"/>
      <c r="X268" s="26">
        <f>IF(W268="","",IF(AND(LEFT(W268,4)&lt;&gt;"http",set_RMSBase=""),"",HYPERLINK(IF(LEFT(W268,4)="http",W268,set_RMSBase&amp;W268),"Open opportunity")))</f>
        <v/>
      </c>
      <c r="Y268" s="22" t="n"/>
      <c r="Z268" s="26">
        <f>IF(Y268="","",HYPERLINK(IF(LEFT(Y268,4)="http",Y268,set_QwilrBase&amp;Y268),"Open quote"))</f>
        <v/>
      </c>
      <c r="AA268" s="26">
        <f>IF(C268="","",C268)</f>
        <v/>
      </c>
      <c r="AB268" s="22" t="n"/>
      <c r="AC268" s="24" t="n"/>
      <c r="AD268" s="27">
        <f>IF(C268="","",L268+N(AC268))</f>
        <v/>
      </c>
      <c r="AE268" s="29">
        <f>IFERROR(AC268/AD268,"")</f>
        <v/>
      </c>
      <c r="AF268" s="24" t="n"/>
      <c r="AG268" s="24" t="n"/>
      <c r="AH268" s="24" t="n"/>
      <c r="AI268" s="24" t="n"/>
      <c r="AJ268" s="27">
        <f>IF(C268="","",SUMIFS(tbl_Finance[Ex GST],tbl_Finance[Job Number],C268&amp;"",tbl_Finance[Cost Centre],"VIDEO"))</f>
        <v/>
      </c>
      <c r="AK268" s="29">
        <f>IFERROR(AJ268/L268,"")</f>
        <v/>
      </c>
      <c r="AL268" s="27">
        <f>IF(C268="","",N(AF268)+N(AG268)+N(AH268)+N(AI268))</f>
        <v/>
      </c>
      <c r="AM268" s="27" t="n"/>
      <c r="AN268" s="29" t="n"/>
      <c r="AO268" s="71" t="n"/>
      <c r="AP268" s="71" t="n"/>
      <c r="AQ268" s="71" t="n"/>
      <c r="AR268" s="71" t="n"/>
      <c r="AS268" s="71" t="n"/>
      <c r="AT268" s="22" t="n"/>
    </row>
    <row r="269" ht="15" customHeight="1">
      <c r="A269" s="70">
        <f>IF(C269="","",IFERROR(IF(SUMPRODUCT(MAX((tbl_Finance[Job Number]&amp;""=C269&amp;"")*(tbl_Finance[Xero Invoice No]&lt;&gt;"")*tbl_Finance[Date]))=0,"",SUMPRODUCT(MAX((tbl_Finance[Job Number]&amp;""=C269&amp;"")*(tbl_Finance[Xero Invoice No]&lt;&gt;"")*tbl_Finance[Date]))),""))</f>
        <v/>
      </c>
      <c r="B269" s="26">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2" t="n"/>
      <c r="D269" s="26">
        <f>IF(C269="","",IF(COUNTIF(lst_Jobs,C269&amp;"")&gt;0,"OK","CHECK"))</f>
        <v/>
      </c>
      <c r="E269" s="26">
        <f>IF(C269="","",IFERROR(INDEX(lst_JobName,MATCH(C269&amp;"",lst_Jobs,0)),""))</f>
        <v/>
      </c>
      <c r="F269" s="22" t="n"/>
      <c r="G269" s="22" t="n"/>
      <c r="H269" s="22" t="n"/>
      <c r="I269" s="22" t="n"/>
      <c r="J269" s="22" t="n"/>
      <c r="K269" s="28">
        <f>IF(C269="","",COUNTIFS(tbl_Finance[Job Number],C269&amp;"",tbl_Finance[Ex GST],"&lt;&gt;"))</f>
        <v/>
      </c>
      <c r="L269" s="27">
        <f>IF(C269="","",SUMIFS(tbl_Finance[Ex GST],tbl_Finance[Job Number],C269&amp;""))</f>
        <v/>
      </c>
      <c r="M269" s="27">
        <f>IF(C269="","",SUMIFS(tbl_Finance[Ex GST],tbl_Finance[Job Number],C269&amp;"",tbl_Finance[Xero Invoice No],"&lt;&gt;"))</f>
        <v/>
      </c>
      <c r="N269" s="27">
        <f>IF(C269="","",L269-M269)</f>
        <v/>
      </c>
      <c r="O269" s="24" t="n"/>
      <c r="P269" s="27">
        <f>IF(C269="","",IF(O269="",0,MAX(0,O269-L269)))</f>
        <v/>
      </c>
      <c r="Q269" s="26">
        <f>IF(C269="","",IF(K269=0,"not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R269" s="27">
        <f>IF(C269="","",SUMIFS(tbl_Finance[Inc GST],tbl_Finance[Job Number],C269&amp;""))</f>
        <v/>
      </c>
      <c r="S269" s="22" t="n"/>
      <c r="T269" s="22" t="n"/>
      <c r="U269" s="22" t="n"/>
      <c r="V269" s="23" t="n"/>
      <c r="W269" s="22" t="n"/>
      <c r="X269" s="26">
        <f>IF(W269="","",IF(AND(LEFT(W269,4)&lt;&gt;"http",set_RMSBase=""),"",HYPERLINK(IF(LEFT(W269,4)="http",W269,set_RMSBase&amp;W269),"Open opportunity")))</f>
        <v/>
      </c>
      <c r="Y269" s="22" t="n"/>
      <c r="Z269" s="26">
        <f>IF(Y269="","",HYPERLINK(IF(LEFT(Y269,4)="http",Y269,set_QwilrBase&amp;Y269),"Open quote"))</f>
        <v/>
      </c>
      <c r="AA269" s="26">
        <f>IF(C269="","",C269)</f>
        <v/>
      </c>
      <c r="AB269" s="22" t="n"/>
      <c r="AC269" s="24" t="n"/>
      <c r="AD269" s="27">
        <f>IF(C269="","",L269+N(AC269))</f>
        <v/>
      </c>
      <c r="AE269" s="29">
        <f>IFERROR(AC269/AD269,"")</f>
        <v/>
      </c>
      <c r="AF269" s="24" t="n"/>
      <c r="AG269" s="24" t="n"/>
      <c r="AH269" s="24" t="n"/>
      <c r="AI269" s="24" t="n"/>
      <c r="AJ269" s="27">
        <f>IF(C269="","",SUMIFS(tbl_Finance[Ex GST],tbl_Finance[Job Number],C269&amp;"",tbl_Finance[Cost Centre],"VIDEO"))</f>
        <v/>
      </c>
      <c r="AK269" s="29">
        <f>IFERROR(AJ269/L269,"")</f>
        <v/>
      </c>
      <c r="AL269" s="27">
        <f>IF(C269="","",N(AF269)+N(AG269)+N(AH269)+N(AI269))</f>
        <v/>
      </c>
      <c r="AM269" s="27" t="n"/>
      <c r="AN269" s="29" t="n"/>
      <c r="AO269" s="71" t="n"/>
      <c r="AP269" s="71" t="n"/>
      <c r="AQ269" s="71" t="n"/>
      <c r="AR269" s="71" t="n"/>
      <c r="AS269" s="71" t="n"/>
      <c r="AT269" s="22" t="n"/>
    </row>
    <row r="270" ht="15" customHeight="1">
      <c r="A270" s="70">
        <f>IF(C270="","",IFERROR(IF(SUMPRODUCT(MAX((tbl_Finance[Job Number]&amp;""=C270&amp;"")*(tbl_Finance[Xero Invoice No]&lt;&gt;"")*tbl_Finance[Date]))=0,"",SUMPRODUCT(MAX((tbl_Finance[Job Number]&amp;""=C270&amp;"")*(tbl_Finance[Xero Invoice No]&lt;&gt;"")*tbl_Finance[Date]))),""))</f>
        <v/>
      </c>
      <c r="B270" s="26">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2" t="n"/>
      <c r="D270" s="26">
        <f>IF(C270="","",IF(COUNTIF(lst_Jobs,C270&amp;"")&gt;0,"OK","CHECK"))</f>
        <v/>
      </c>
      <c r="E270" s="26">
        <f>IF(C270="","",IFERROR(INDEX(lst_JobName,MATCH(C270&amp;"",lst_Jobs,0)),""))</f>
        <v/>
      </c>
      <c r="F270" s="22" t="n"/>
      <c r="G270" s="22" t="n"/>
      <c r="H270" s="22" t="n"/>
      <c r="I270" s="22" t="n"/>
      <c r="J270" s="22" t="n"/>
      <c r="K270" s="28">
        <f>IF(C270="","",COUNTIFS(tbl_Finance[Job Number],C270&amp;"",tbl_Finance[Ex GST],"&lt;&gt;"))</f>
        <v/>
      </c>
      <c r="L270" s="27">
        <f>IF(C270="","",SUMIFS(tbl_Finance[Ex GST],tbl_Finance[Job Number],C270&amp;""))</f>
        <v/>
      </c>
      <c r="M270" s="27">
        <f>IF(C270="","",SUMIFS(tbl_Finance[Ex GST],tbl_Finance[Job Number],C270&amp;"",tbl_Finance[Xero Invoice No],"&lt;&gt;"))</f>
        <v/>
      </c>
      <c r="N270" s="27">
        <f>IF(C270="","",L270-M270)</f>
        <v/>
      </c>
      <c r="O270" s="24" t="n"/>
      <c r="P270" s="27">
        <f>IF(C270="","",IF(O270="",0,MAX(0,O270-L270)))</f>
        <v/>
      </c>
      <c r="Q270" s="26">
        <f>IF(C270="","",IF(K270=0,"not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R270" s="27">
        <f>IF(C270="","",SUMIFS(tbl_Finance[Inc GST],tbl_Finance[Job Number],C270&amp;""))</f>
        <v/>
      </c>
      <c r="S270" s="22" t="n"/>
      <c r="T270" s="22" t="n"/>
      <c r="U270" s="22" t="n"/>
      <c r="V270" s="23" t="n"/>
      <c r="W270" s="22" t="n"/>
      <c r="X270" s="26">
        <f>IF(W270="","",IF(AND(LEFT(W270,4)&lt;&gt;"http",set_RMSBase=""),"",HYPERLINK(IF(LEFT(W270,4)="http",W270,set_RMSBase&amp;W270),"Open opportunity")))</f>
        <v/>
      </c>
      <c r="Y270" s="22" t="n"/>
      <c r="Z270" s="26">
        <f>IF(Y270="","",HYPERLINK(IF(LEFT(Y270,4)="http",Y270,set_QwilrBase&amp;Y270),"Open quote"))</f>
        <v/>
      </c>
      <c r="AA270" s="26">
        <f>IF(C270="","",C270)</f>
        <v/>
      </c>
      <c r="AB270" s="22" t="n"/>
      <c r="AC270" s="24" t="n"/>
      <c r="AD270" s="27">
        <f>IF(C270="","",L270+N(AC270))</f>
        <v/>
      </c>
      <c r="AE270" s="29">
        <f>IFERROR(AC270/AD270,"")</f>
        <v/>
      </c>
      <c r="AF270" s="24" t="n"/>
      <c r="AG270" s="24" t="n"/>
      <c r="AH270" s="24" t="n"/>
      <c r="AI270" s="24" t="n"/>
      <c r="AJ270" s="27">
        <f>IF(C270="","",SUMIFS(tbl_Finance[Ex GST],tbl_Finance[Job Number],C270&amp;"",tbl_Finance[Cost Centre],"VIDEO"))</f>
        <v/>
      </c>
      <c r="AK270" s="29">
        <f>IFERROR(AJ270/L270,"")</f>
        <v/>
      </c>
      <c r="AL270" s="27">
        <f>IF(C270="","",N(AF270)+N(AG270)+N(AH270)+N(AI270))</f>
        <v/>
      </c>
      <c r="AM270" s="27" t="n"/>
      <c r="AN270" s="29" t="n"/>
      <c r="AO270" s="71" t="n"/>
      <c r="AP270" s="71" t="n"/>
      <c r="AQ270" s="71" t="n"/>
      <c r="AR270" s="71" t="n"/>
      <c r="AS270" s="71" t="n"/>
      <c r="AT270" s="22" t="n"/>
    </row>
    <row r="271" ht="15" customHeight="1">
      <c r="A271" s="70">
        <f>IF(C271="","",IFERROR(IF(SUMPRODUCT(MAX((tbl_Finance[Job Number]&amp;""=C271&amp;"")*(tbl_Finance[Xero Invoice No]&lt;&gt;"")*tbl_Finance[Date]))=0,"",SUMPRODUCT(MAX((tbl_Finance[Job Number]&amp;""=C271&amp;"")*(tbl_Finance[Xero Invoice No]&lt;&gt;"")*tbl_Finance[Date]))),""))</f>
        <v/>
      </c>
      <c r="B271" s="26">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2" t="n"/>
      <c r="D271" s="26">
        <f>IF(C271="","",IF(COUNTIF(lst_Jobs,C271&amp;"")&gt;0,"OK","CHECK"))</f>
        <v/>
      </c>
      <c r="E271" s="26">
        <f>IF(C271="","",IFERROR(INDEX(lst_JobName,MATCH(C271&amp;"",lst_Jobs,0)),""))</f>
        <v/>
      </c>
      <c r="F271" s="22" t="n"/>
      <c r="G271" s="22" t="n"/>
      <c r="H271" s="22" t="n"/>
      <c r="I271" s="22" t="n"/>
      <c r="J271" s="22" t="n"/>
      <c r="K271" s="28">
        <f>IF(C271="","",COUNTIFS(tbl_Finance[Job Number],C271&amp;"",tbl_Finance[Ex GST],"&lt;&gt;"))</f>
        <v/>
      </c>
      <c r="L271" s="27">
        <f>IF(C271="","",SUMIFS(tbl_Finance[Ex GST],tbl_Finance[Job Number],C271&amp;""))</f>
        <v/>
      </c>
      <c r="M271" s="27">
        <f>IF(C271="","",SUMIFS(tbl_Finance[Ex GST],tbl_Finance[Job Number],C271&amp;"",tbl_Finance[Xero Invoice No],"&lt;&gt;"))</f>
        <v/>
      </c>
      <c r="N271" s="27">
        <f>IF(C271="","",L271-M271)</f>
        <v/>
      </c>
      <c r="O271" s="24" t="n"/>
      <c r="P271" s="27">
        <f>IF(C271="","",IF(O271="",0,MAX(0,O271-L271)))</f>
        <v/>
      </c>
      <c r="Q271" s="26">
        <f>IF(C271="","",IF(K271=0,"not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R271" s="27">
        <f>IF(C271="","",SUMIFS(tbl_Finance[Inc GST],tbl_Finance[Job Number],C271&amp;""))</f>
        <v/>
      </c>
      <c r="S271" s="22" t="n"/>
      <c r="T271" s="22" t="n"/>
      <c r="U271" s="22" t="n"/>
      <c r="V271" s="23" t="n"/>
      <c r="W271" s="22" t="n"/>
      <c r="X271" s="26">
        <f>IF(W271="","",IF(AND(LEFT(W271,4)&lt;&gt;"http",set_RMSBase=""),"",HYPERLINK(IF(LEFT(W271,4)="http",W271,set_RMSBase&amp;W271),"Open opportunity")))</f>
        <v/>
      </c>
      <c r="Y271" s="22" t="n"/>
      <c r="Z271" s="26">
        <f>IF(Y271="","",HYPERLINK(IF(LEFT(Y271,4)="http",Y271,set_QwilrBase&amp;Y271),"Open quote"))</f>
        <v/>
      </c>
      <c r="AA271" s="26">
        <f>IF(C271="","",C271)</f>
        <v/>
      </c>
      <c r="AB271" s="22" t="n"/>
      <c r="AC271" s="24" t="n"/>
      <c r="AD271" s="27">
        <f>IF(C271="","",L271+N(AC271))</f>
        <v/>
      </c>
      <c r="AE271" s="29">
        <f>IFERROR(AC271/AD271,"")</f>
        <v/>
      </c>
      <c r="AF271" s="24" t="n"/>
      <c r="AG271" s="24" t="n"/>
      <c r="AH271" s="24" t="n"/>
      <c r="AI271" s="24" t="n"/>
      <c r="AJ271" s="27">
        <f>IF(C271="","",SUMIFS(tbl_Finance[Ex GST],tbl_Finance[Job Number],C271&amp;"",tbl_Finance[Cost Centre],"VIDEO"))</f>
        <v/>
      </c>
      <c r="AK271" s="29">
        <f>IFERROR(AJ271/L271,"")</f>
        <v/>
      </c>
      <c r="AL271" s="27">
        <f>IF(C271="","",N(AF271)+N(AG271)+N(AH271)+N(AI271))</f>
        <v/>
      </c>
      <c r="AM271" s="27" t="n"/>
      <c r="AN271" s="29" t="n"/>
      <c r="AO271" s="71" t="n"/>
      <c r="AP271" s="71" t="n"/>
      <c r="AQ271" s="71" t="n"/>
      <c r="AR271" s="71" t="n"/>
      <c r="AS271" s="71" t="n"/>
      <c r="AT271" s="22" t="n"/>
    </row>
    <row r="272" ht="15" customHeight="1">
      <c r="A272" s="70">
        <f>IF(C272="","",IFERROR(IF(SUMPRODUCT(MAX((tbl_Finance[Job Number]&amp;""=C272&amp;"")*(tbl_Finance[Xero Invoice No]&lt;&gt;"")*tbl_Finance[Date]))=0,"",SUMPRODUCT(MAX((tbl_Finance[Job Number]&amp;""=C272&amp;"")*(tbl_Finance[Xero Invoice No]&lt;&gt;"")*tbl_Finance[Date]))),""))</f>
        <v/>
      </c>
      <c r="B272" s="26">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2" t="n"/>
      <c r="D272" s="26">
        <f>IF(C272="","",IF(COUNTIF(lst_Jobs,C272&amp;"")&gt;0,"OK","CHECK"))</f>
        <v/>
      </c>
      <c r="E272" s="26">
        <f>IF(C272="","",IFERROR(INDEX(lst_JobName,MATCH(C272&amp;"",lst_Jobs,0)),""))</f>
        <v/>
      </c>
      <c r="F272" s="22" t="n"/>
      <c r="G272" s="22" t="n"/>
      <c r="H272" s="22" t="n"/>
      <c r="I272" s="22" t="n"/>
      <c r="J272" s="22" t="n"/>
      <c r="K272" s="28">
        <f>IF(C272="","",COUNTIFS(tbl_Finance[Job Number],C272&amp;"",tbl_Finance[Ex GST],"&lt;&gt;"))</f>
        <v/>
      </c>
      <c r="L272" s="27">
        <f>IF(C272="","",SUMIFS(tbl_Finance[Ex GST],tbl_Finance[Job Number],C272&amp;""))</f>
        <v/>
      </c>
      <c r="M272" s="27">
        <f>IF(C272="","",SUMIFS(tbl_Finance[Ex GST],tbl_Finance[Job Number],C272&amp;"",tbl_Finance[Xero Invoice No],"&lt;&gt;"))</f>
        <v/>
      </c>
      <c r="N272" s="27">
        <f>IF(C272="","",L272-M272)</f>
        <v/>
      </c>
      <c r="O272" s="24" t="n"/>
      <c r="P272" s="27">
        <f>IF(C272="","",IF(O272="",0,MAX(0,O272-L272)))</f>
        <v/>
      </c>
      <c r="Q272" s="26">
        <f>IF(C272="","",IF(K272=0,"not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R272" s="27">
        <f>IF(C272="","",SUMIFS(tbl_Finance[Inc GST],tbl_Finance[Job Number],C272&amp;""))</f>
        <v/>
      </c>
      <c r="S272" s="22" t="n"/>
      <c r="T272" s="22" t="n"/>
      <c r="U272" s="22" t="n"/>
      <c r="V272" s="23" t="n"/>
      <c r="W272" s="22" t="n"/>
      <c r="X272" s="26">
        <f>IF(W272="","",IF(AND(LEFT(W272,4)&lt;&gt;"http",set_RMSBase=""),"",HYPERLINK(IF(LEFT(W272,4)="http",W272,set_RMSBase&amp;W272),"Open opportunity")))</f>
        <v/>
      </c>
      <c r="Y272" s="22" t="n"/>
      <c r="Z272" s="26">
        <f>IF(Y272="","",HYPERLINK(IF(LEFT(Y272,4)="http",Y272,set_QwilrBase&amp;Y272),"Open quote"))</f>
        <v/>
      </c>
      <c r="AA272" s="26">
        <f>IF(C272="","",C272)</f>
        <v/>
      </c>
      <c r="AB272" s="22" t="n"/>
      <c r="AC272" s="24" t="n"/>
      <c r="AD272" s="27">
        <f>IF(C272="","",L272+N(AC272))</f>
        <v/>
      </c>
      <c r="AE272" s="29">
        <f>IFERROR(AC272/AD272,"")</f>
        <v/>
      </c>
      <c r="AF272" s="24" t="n"/>
      <c r="AG272" s="24" t="n"/>
      <c r="AH272" s="24" t="n"/>
      <c r="AI272" s="24" t="n"/>
      <c r="AJ272" s="27">
        <f>IF(C272="","",SUMIFS(tbl_Finance[Ex GST],tbl_Finance[Job Number],C272&amp;"",tbl_Finance[Cost Centre],"VIDEO"))</f>
        <v/>
      </c>
      <c r="AK272" s="29">
        <f>IFERROR(AJ272/L272,"")</f>
        <v/>
      </c>
      <c r="AL272" s="27">
        <f>IF(C272="","",N(AF272)+N(AG272)+N(AH272)+N(AI272))</f>
        <v/>
      </c>
      <c r="AM272" s="27" t="n"/>
      <c r="AN272" s="29" t="n"/>
      <c r="AO272" s="71" t="n"/>
      <c r="AP272" s="71" t="n"/>
      <c r="AQ272" s="71" t="n"/>
      <c r="AR272" s="71" t="n"/>
      <c r="AS272" s="71" t="n"/>
      <c r="AT272" s="22" t="n"/>
    </row>
    <row r="273" ht="15" customHeight="1">
      <c r="A273" s="70">
        <f>IF(C273="","",IFERROR(IF(SUMPRODUCT(MAX((tbl_Finance[Job Number]&amp;""=C273&amp;"")*(tbl_Finance[Xero Invoice No]&lt;&gt;"")*tbl_Finance[Date]))=0,"",SUMPRODUCT(MAX((tbl_Finance[Job Number]&amp;""=C273&amp;"")*(tbl_Finance[Xero Invoice No]&lt;&gt;"")*tbl_Finance[Date]))),""))</f>
        <v/>
      </c>
      <c r="B273" s="26">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2" t="n"/>
      <c r="D273" s="26">
        <f>IF(C273="","",IF(COUNTIF(lst_Jobs,C273&amp;"")&gt;0,"OK","CHECK"))</f>
        <v/>
      </c>
      <c r="E273" s="26">
        <f>IF(C273="","",IFERROR(INDEX(lst_JobName,MATCH(C273&amp;"",lst_Jobs,0)),""))</f>
        <v/>
      </c>
      <c r="F273" s="22" t="n"/>
      <c r="G273" s="22" t="n"/>
      <c r="H273" s="22" t="n"/>
      <c r="I273" s="22" t="n"/>
      <c r="J273" s="22" t="n"/>
      <c r="K273" s="28">
        <f>IF(C273="","",COUNTIFS(tbl_Finance[Job Number],C273&amp;"",tbl_Finance[Ex GST],"&lt;&gt;"))</f>
        <v/>
      </c>
      <c r="L273" s="27">
        <f>IF(C273="","",SUMIFS(tbl_Finance[Ex GST],tbl_Finance[Job Number],C273&amp;""))</f>
        <v/>
      </c>
      <c r="M273" s="27">
        <f>IF(C273="","",SUMIFS(tbl_Finance[Ex GST],tbl_Finance[Job Number],C273&amp;"",tbl_Finance[Xero Invoice No],"&lt;&gt;"))</f>
        <v/>
      </c>
      <c r="N273" s="27">
        <f>IF(C273="","",L273-M273)</f>
        <v/>
      </c>
      <c r="O273" s="24" t="n"/>
      <c r="P273" s="27">
        <f>IF(C273="","",IF(O273="",0,MAX(0,O273-L273)))</f>
        <v/>
      </c>
      <c r="Q273" s="26">
        <f>IF(C273="","",IF(K273=0,"not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R273" s="27">
        <f>IF(C273="","",SUMIFS(tbl_Finance[Inc GST],tbl_Finance[Job Number],C273&amp;""))</f>
        <v/>
      </c>
      <c r="S273" s="22" t="n"/>
      <c r="T273" s="22" t="n"/>
      <c r="U273" s="22" t="n"/>
      <c r="V273" s="23" t="n"/>
      <c r="W273" s="22" t="n"/>
      <c r="X273" s="26">
        <f>IF(W273="","",IF(AND(LEFT(W273,4)&lt;&gt;"http",set_RMSBase=""),"",HYPERLINK(IF(LEFT(W273,4)="http",W273,set_RMSBase&amp;W273),"Open opportunity")))</f>
        <v/>
      </c>
      <c r="Y273" s="22" t="n"/>
      <c r="Z273" s="26">
        <f>IF(Y273="","",HYPERLINK(IF(LEFT(Y273,4)="http",Y273,set_QwilrBase&amp;Y273),"Open quote"))</f>
        <v/>
      </c>
      <c r="AA273" s="26">
        <f>IF(C273="","",C273)</f>
        <v/>
      </c>
      <c r="AB273" s="22" t="n"/>
      <c r="AC273" s="24" t="n"/>
      <c r="AD273" s="27">
        <f>IF(C273="","",L273+N(AC273))</f>
        <v/>
      </c>
      <c r="AE273" s="29">
        <f>IFERROR(AC273/AD273,"")</f>
        <v/>
      </c>
      <c r="AF273" s="24" t="n"/>
      <c r="AG273" s="24" t="n"/>
      <c r="AH273" s="24" t="n"/>
      <c r="AI273" s="24" t="n"/>
      <c r="AJ273" s="27">
        <f>IF(C273="","",SUMIFS(tbl_Finance[Ex GST],tbl_Finance[Job Number],C273&amp;"",tbl_Finance[Cost Centre],"VIDEO"))</f>
        <v/>
      </c>
      <c r="AK273" s="29">
        <f>IFERROR(AJ273/L273,"")</f>
        <v/>
      </c>
      <c r="AL273" s="27">
        <f>IF(C273="","",N(AF273)+N(AG273)+N(AH273)+N(AI273))</f>
        <v/>
      </c>
      <c r="AM273" s="27" t="n"/>
      <c r="AN273" s="29" t="n"/>
      <c r="AO273" s="71" t="n"/>
      <c r="AP273" s="71" t="n"/>
      <c r="AQ273" s="71" t="n"/>
      <c r="AR273" s="71" t="n"/>
      <c r="AS273" s="71" t="n"/>
      <c r="AT273" s="22" t="n"/>
    </row>
    <row r="274" ht="15" customHeight="1">
      <c r="A274" s="70">
        <f>IF(C274="","",IFERROR(IF(SUMPRODUCT(MAX((tbl_Finance[Job Number]&amp;""=C274&amp;"")*(tbl_Finance[Xero Invoice No]&lt;&gt;"")*tbl_Finance[Date]))=0,"",SUMPRODUCT(MAX((tbl_Finance[Job Number]&amp;""=C274&amp;"")*(tbl_Finance[Xero Invoice No]&lt;&gt;"")*tbl_Finance[Date]))),""))</f>
        <v/>
      </c>
      <c r="B274" s="26">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2" t="n"/>
      <c r="D274" s="26">
        <f>IF(C274="","",IF(COUNTIF(lst_Jobs,C274&amp;"")&gt;0,"OK","CHECK"))</f>
        <v/>
      </c>
      <c r="E274" s="26">
        <f>IF(C274="","",IFERROR(INDEX(lst_JobName,MATCH(C274&amp;"",lst_Jobs,0)),""))</f>
        <v/>
      </c>
      <c r="F274" s="22" t="n"/>
      <c r="G274" s="22" t="n"/>
      <c r="H274" s="22" t="n"/>
      <c r="I274" s="22" t="n"/>
      <c r="J274" s="22" t="n"/>
      <c r="K274" s="28">
        <f>IF(C274="","",COUNTIFS(tbl_Finance[Job Number],C274&amp;"",tbl_Finance[Ex GST],"&lt;&gt;"))</f>
        <v/>
      </c>
      <c r="L274" s="27">
        <f>IF(C274="","",SUMIFS(tbl_Finance[Ex GST],tbl_Finance[Job Number],C274&amp;""))</f>
        <v/>
      </c>
      <c r="M274" s="27">
        <f>IF(C274="","",SUMIFS(tbl_Finance[Ex GST],tbl_Finance[Job Number],C274&amp;"",tbl_Finance[Xero Invoice No],"&lt;&gt;"))</f>
        <v/>
      </c>
      <c r="N274" s="27">
        <f>IF(C274="","",L274-M274)</f>
        <v/>
      </c>
      <c r="O274" s="24" t="n"/>
      <c r="P274" s="27">
        <f>IF(C274="","",IF(O274="",0,MAX(0,O274-L274)))</f>
        <v/>
      </c>
      <c r="Q274" s="26">
        <f>IF(C274="","",IF(K274=0,"not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R274" s="27">
        <f>IF(C274="","",SUMIFS(tbl_Finance[Inc GST],tbl_Finance[Job Number],C274&amp;""))</f>
        <v/>
      </c>
      <c r="S274" s="22" t="n"/>
      <c r="T274" s="22" t="n"/>
      <c r="U274" s="22" t="n"/>
      <c r="V274" s="23" t="n"/>
      <c r="W274" s="22" t="n"/>
      <c r="X274" s="26">
        <f>IF(W274="","",IF(AND(LEFT(W274,4)&lt;&gt;"http",set_RMSBase=""),"",HYPERLINK(IF(LEFT(W274,4)="http",W274,set_RMSBase&amp;W274),"Open opportunity")))</f>
        <v/>
      </c>
      <c r="Y274" s="22" t="n"/>
      <c r="Z274" s="26">
        <f>IF(Y274="","",HYPERLINK(IF(LEFT(Y274,4)="http",Y274,set_QwilrBase&amp;Y274),"Open quote"))</f>
        <v/>
      </c>
      <c r="AA274" s="26">
        <f>IF(C274="","",C274)</f>
        <v/>
      </c>
      <c r="AB274" s="22" t="n"/>
      <c r="AC274" s="24" t="n"/>
      <c r="AD274" s="27">
        <f>IF(C274="","",L274+N(AC274))</f>
        <v/>
      </c>
      <c r="AE274" s="29">
        <f>IFERROR(AC274/AD274,"")</f>
        <v/>
      </c>
      <c r="AF274" s="24" t="n"/>
      <c r="AG274" s="24" t="n"/>
      <c r="AH274" s="24" t="n"/>
      <c r="AI274" s="24" t="n"/>
      <c r="AJ274" s="27">
        <f>IF(C274="","",SUMIFS(tbl_Finance[Ex GST],tbl_Finance[Job Number],C274&amp;"",tbl_Finance[Cost Centre],"VIDEO"))</f>
        <v/>
      </c>
      <c r="AK274" s="29">
        <f>IFERROR(AJ274/L274,"")</f>
        <v/>
      </c>
      <c r="AL274" s="27">
        <f>IF(C274="","",N(AF274)+N(AG274)+N(AH274)+N(AI274))</f>
        <v/>
      </c>
      <c r="AM274" s="27" t="n"/>
      <c r="AN274" s="29" t="n"/>
      <c r="AO274" s="71" t="n"/>
      <c r="AP274" s="71" t="n"/>
      <c r="AQ274" s="71" t="n"/>
      <c r="AR274" s="71" t="n"/>
      <c r="AS274" s="71" t="n"/>
      <c r="AT274" s="22" t="n"/>
    </row>
    <row r="275" ht="15" customHeight="1">
      <c r="A275" s="70">
        <f>IF(C275="","",IFERROR(IF(SUMPRODUCT(MAX((tbl_Finance[Job Number]&amp;""=C275&amp;"")*(tbl_Finance[Xero Invoice No]&lt;&gt;"")*tbl_Finance[Date]))=0,"",SUMPRODUCT(MAX((tbl_Finance[Job Number]&amp;""=C275&amp;"")*(tbl_Finance[Xero Invoice No]&lt;&gt;"")*tbl_Finance[Date]))),""))</f>
        <v/>
      </c>
      <c r="B275" s="26">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2" t="n"/>
      <c r="D275" s="26">
        <f>IF(C275="","",IF(COUNTIF(lst_Jobs,C275&amp;"")&gt;0,"OK","CHECK"))</f>
        <v/>
      </c>
      <c r="E275" s="26">
        <f>IF(C275="","",IFERROR(INDEX(lst_JobName,MATCH(C275&amp;"",lst_Jobs,0)),""))</f>
        <v/>
      </c>
      <c r="F275" s="22" t="n"/>
      <c r="G275" s="22" t="n"/>
      <c r="H275" s="22" t="n"/>
      <c r="I275" s="22" t="n"/>
      <c r="J275" s="22" t="n"/>
      <c r="K275" s="28">
        <f>IF(C275="","",COUNTIFS(tbl_Finance[Job Number],C275&amp;"",tbl_Finance[Ex GST],"&lt;&gt;"))</f>
        <v/>
      </c>
      <c r="L275" s="27">
        <f>IF(C275="","",SUMIFS(tbl_Finance[Ex GST],tbl_Finance[Job Number],C275&amp;""))</f>
        <v/>
      </c>
      <c r="M275" s="27">
        <f>IF(C275="","",SUMIFS(tbl_Finance[Ex GST],tbl_Finance[Job Number],C275&amp;"",tbl_Finance[Xero Invoice No],"&lt;&gt;"))</f>
        <v/>
      </c>
      <c r="N275" s="27">
        <f>IF(C275="","",L275-M275)</f>
        <v/>
      </c>
      <c r="O275" s="24" t="n"/>
      <c r="P275" s="27">
        <f>IF(C275="","",IF(O275="",0,MAX(0,O275-L275)))</f>
        <v/>
      </c>
      <c r="Q275" s="26">
        <f>IF(C275="","",IF(K275=0,"not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R275" s="27">
        <f>IF(C275="","",SUMIFS(tbl_Finance[Inc GST],tbl_Finance[Job Number],C275&amp;""))</f>
        <v/>
      </c>
      <c r="S275" s="22" t="n"/>
      <c r="T275" s="22" t="n"/>
      <c r="U275" s="22" t="n"/>
      <c r="V275" s="23" t="n"/>
      <c r="W275" s="22" t="n"/>
      <c r="X275" s="26">
        <f>IF(W275="","",IF(AND(LEFT(W275,4)&lt;&gt;"http",set_RMSBase=""),"",HYPERLINK(IF(LEFT(W275,4)="http",W275,set_RMSBase&amp;W275),"Open opportunity")))</f>
        <v/>
      </c>
      <c r="Y275" s="22" t="n"/>
      <c r="Z275" s="26">
        <f>IF(Y275="","",HYPERLINK(IF(LEFT(Y275,4)="http",Y275,set_QwilrBase&amp;Y275),"Open quote"))</f>
        <v/>
      </c>
      <c r="AA275" s="26">
        <f>IF(C275="","",C275)</f>
        <v/>
      </c>
      <c r="AB275" s="22" t="n"/>
      <c r="AC275" s="24" t="n"/>
      <c r="AD275" s="27">
        <f>IF(C275="","",L275+N(AC275))</f>
        <v/>
      </c>
      <c r="AE275" s="29">
        <f>IFERROR(AC275/AD275,"")</f>
        <v/>
      </c>
      <c r="AF275" s="24" t="n"/>
      <c r="AG275" s="24" t="n"/>
      <c r="AH275" s="24" t="n"/>
      <c r="AI275" s="24" t="n"/>
      <c r="AJ275" s="27">
        <f>IF(C275="","",SUMIFS(tbl_Finance[Ex GST],tbl_Finance[Job Number],C275&amp;"",tbl_Finance[Cost Centre],"VIDEO"))</f>
        <v/>
      </c>
      <c r="AK275" s="29">
        <f>IFERROR(AJ275/L275,"")</f>
        <v/>
      </c>
      <c r="AL275" s="27">
        <f>IF(C275="","",N(AF275)+N(AG275)+N(AH275)+N(AI275))</f>
        <v/>
      </c>
      <c r="AM275" s="27" t="n"/>
      <c r="AN275" s="29" t="n"/>
      <c r="AO275" s="71" t="n"/>
      <c r="AP275" s="71" t="n"/>
      <c r="AQ275" s="71" t="n"/>
      <c r="AR275" s="71" t="n"/>
      <c r="AS275" s="71" t="n"/>
      <c r="AT275" s="22" t="n"/>
    </row>
    <row r="276" ht="15" customHeight="1">
      <c r="A276" s="70">
        <f>IF(C276="","",IFERROR(IF(SUMPRODUCT(MAX((tbl_Finance[Job Number]&amp;""=C276&amp;"")*(tbl_Finance[Xero Invoice No]&lt;&gt;"")*tbl_Finance[Date]))=0,"",SUMPRODUCT(MAX((tbl_Finance[Job Number]&amp;""=C276&amp;"")*(tbl_Finance[Xero Invoice No]&lt;&gt;"")*tbl_Finance[Date]))),""))</f>
        <v/>
      </c>
      <c r="B276" s="26">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2" t="n"/>
      <c r="D276" s="26">
        <f>IF(C276="","",IF(COUNTIF(lst_Jobs,C276&amp;"")&gt;0,"OK","CHECK"))</f>
        <v/>
      </c>
      <c r="E276" s="26">
        <f>IF(C276="","",IFERROR(INDEX(lst_JobName,MATCH(C276&amp;"",lst_Jobs,0)),""))</f>
        <v/>
      </c>
      <c r="F276" s="22" t="n"/>
      <c r="G276" s="22" t="n"/>
      <c r="H276" s="22" t="n"/>
      <c r="I276" s="22" t="n"/>
      <c r="J276" s="22" t="n"/>
      <c r="K276" s="28">
        <f>IF(C276="","",COUNTIFS(tbl_Finance[Job Number],C276&amp;"",tbl_Finance[Ex GST],"&lt;&gt;"))</f>
        <v/>
      </c>
      <c r="L276" s="27">
        <f>IF(C276="","",SUMIFS(tbl_Finance[Ex GST],tbl_Finance[Job Number],C276&amp;""))</f>
        <v/>
      </c>
      <c r="M276" s="27">
        <f>IF(C276="","",SUMIFS(tbl_Finance[Ex GST],tbl_Finance[Job Number],C276&amp;"",tbl_Finance[Xero Invoice No],"&lt;&gt;"))</f>
        <v/>
      </c>
      <c r="N276" s="27">
        <f>IF(C276="","",L276-M276)</f>
        <v/>
      </c>
      <c r="O276" s="24" t="n"/>
      <c r="P276" s="27">
        <f>IF(C276="","",IF(O276="",0,MAX(0,O276-L276)))</f>
        <v/>
      </c>
      <c r="Q276" s="26">
        <f>IF(C276="","",IF(K276=0,"not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R276" s="27">
        <f>IF(C276="","",SUMIFS(tbl_Finance[Inc GST],tbl_Finance[Job Number],C276&amp;""))</f>
        <v/>
      </c>
      <c r="S276" s="22" t="n"/>
      <c r="T276" s="22" t="n"/>
      <c r="U276" s="22" t="n"/>
      <c r="V276" s="23" t="n"/>
      <c r="W276" s="22" t="n"/>
      <c r="X276" s="26">
        <f>IF(W276="","",IF(AND(LEFT(W276,4)&lt;&gt;"http",set_RMSBase=""),"",HYPERLINK(IF(LEFT(W276,4)="http",W276,set_RMSBase&amp;W276),"Open opportunity")))</f>
        <v/>
      </c>
      <c r="Y276" s="22" t="n"/>
      <c r="Z276" s="26">
        <f>IF(Y276="","",HYPERLINK(IF(LEFT(Y276,4)="http",Y276,set_QwilrBase&amp;Y276),"Open quote"))</f>
        <v/>
      </c>
      <c r="AA276" s="26">
        <f>IF(C276="","",C276)</f>
        <v/>
      </c>
      <c r="AB276" s="22" t="n"/>
      <c r="AC276" s="24" t="n"/>
      <c r="AD276" s="27">
        <f>IF(C276="","",L276+N(AC276))</f>
        <v/>
      </c>
      <c r="AE276" s="29">
        <f>IFERROR(AC276/AD276,"")</f>
        <v/>
      </c>
      <c r="AF276" s="24" t="n"/>
      <c r="AG276" s="24" t="n"/>
      <c r="AH276" s="24" t="n"/>
      <c r="AI276" s="24" t="n"/>
      <c r="AJ276" s="27">
        <f>IF(C276="","",SUMIFS(tbl_Finance[Ex GST],tbl_Finance[Job Number],C276&amp;"",tbl_Finance[Cost Centre],"VIDEO"))</f>
        <v/>
      </c>
      <c r="AK276" s="29">
        <f>IFERROR(AJ276/L276,"")</f>
        <v/>
      </c>
      <c r="AL276" s="27">
        <f>IF(C276="","",N(AF276)+N(AG276)+N(AH276)+N(AI276))</f>
        <v/>
      </c>
      <c r="AM276" s="27" t="n"/>
      <c r="AN276" s="29" t="n"/>
      <c r="AO276" s="71" t="n"/>
      <c r="AP276" s="71" t="n"/>
      <c r="AQ276" s="71" t="n"/>
      <c r="AR276" s="71" t="n"/>
      <c r="AS276" s="71" t="n"/>
      <c r="AT276" s="22" t="n"/>
    </row>
    <row r="277" ht="15" customHeight="1">
      <c r="A277" s="70">
        <f>IF(C277="","",IFERROR(IF(SUMPRODUCT(MAX((tbl_Finance[Job Number]&amp;""=C277&amp;"")*(tbl_Finance[Xero Invoice No]&lt;&gt;"")*tbl_Finance[Date]))=0,"",SUMPRODUCT(MAX((tbl_Finance[Job Number]&amp;""=C277&amp;"")*(tbl_Finance[Xero Invoice No]&lt;&gt;"")*tbl_Finance[Date]))),""))</f>
        <v/>
      </c>
      <c r="B277" s="26">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2" t="n"/>
      <c r="D277" s="26">
        <f>IF(C277="","",IF(COUNTIF(lst_Jobs,C277&amp;"")&gt;0,"OK","CHECK"))</f>
        <v/>
      </c>
      <c r="E277" s="26">
        <f>IF(C277="","",IFERROR(INDEX(lst_JobName,MATCH(C277&amp;"",lst_Jobs,0)),""))</f>
        <v/>
      </c>
      <c r="F277" s="22" t="n"/>
      <c r="G277" s="22" t="n"/>
      <c r="H277" s="22" t="n"/>
      <c r="I277" s="22" t="n"/>
      <c r="J277" s="22" t="n"/>
      <c r="K277" s="28">
        <f>IF(C277="","",COUNTIFS(tbl_Finance[Job Number],C277&amp;"",tbl_Finance[Ex GST],"&lt;&gt;"))</f>
        <v/>
      </c>
      <c r="L277" s="27">
        <f>IF(C277="","",SUMIFS(tbl_Finance[Ex GST],tbl_Finance[Job Number],C277&amp;""))</f>
        <v/>
      </c>
      <c r="M277" s="27">
        <f>IF(C277="","",SUMIFS(tbl_Finance[Ex GST],tbl_Finance[Job Number],C277&amp;"",tbl_Finance[Xero Invoice No],"&lt;&gt;"))</f>
        <v/>
      </c>
      <c r="N277" s="27">
        <f>IF(C277="","",L277-M277)</f>
        <v/>
      </c>
      <c r="O277" s="24" t="n"/>
      <c r="P277" s="27">
        <f>IF(C277="","",IF(O277="",0,MAX(0,O277-L277)))</f>
        <v/>
      </c>
      <c r="Q277" s="26">
        <f>IF(C277="","",IF(K277=0,"not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R277" s="27">
        <f>IF(C277="","",SUMIFS(tbl_Finance[Inc GST],tbl_Finance[Job Number],C277&amp;""))</f>
        <v/>
      </c>
      <c r="S277" s="22" t="n"/>
      <c r="T277" s="22" t="n"/>
      <c r="U277" s="22" t="n"/>
      <c r="V277" s="23" t="n"/>
      <c r="W277" s="22" t="n"/>
      <c r="X277" s="26">
        <f>IF(W277="","",IF(AND(LEFT(W277,4)&lt;&gt;"http",set_RMSBase=""),"",HYPERLINK(IF(LEFT(W277,4)="http",W277,set_RMSBase&amp;W277),"Open opportunity")))</f>
        <v/>
      </c>
      <c r="Y277" s="22" t="n"/>
      <c r="Z277" s="26">
        <f>IF(Y277="","",HYPERLINK(IF(LEFT(Y277,4)="http",Y277,set_QwilrBase&amp;Y277),"Open quote"))</f>
        <v/>
      </c>
      <c r="AA277" s="26">
        <f>IF(C277="","",C277)</f>
        <v/>
      </c>
      <c r="AB277" s="22" t="n"/>
      <c r="AC277" s="24" t="n"/>
      <c r="AD277" s="27">
        <f>IF(C277="","",L277+N(AC277))</f>
        <v/>
      </c>
      <c r="AE277" s="29">
        <f>IFERROR(AC277/AD277,"")</f>
        <v/>
      </c>
      <c r="AF277" s="24" t="n"/>
      <c r="AG277" s="24" t="n"/>
      <c r="AH277" s="24" t="n"/>
      <c r="AI277" s="24" t="n"/>
      <c r="AJ277" s="27">
        <f>IF(C277="","",SUMIFS(tbl_Finance[Ex GST],tbl_Finance[Job Number],C277&amp;"",tbl_Finance[Cost Centre],"VIDEO"))</f>
        <v/>
      </c>
      <c r="AK277" s="29">
        <f>IFERROR(AJ277/L277,"")</f>
        <v/>
      </c>
      <c r="AL277" s="27">
        <f>IF(C277="","",N(AF277)+N(AG277)+N(AH277)+N(AI277))</f>
        <v/>
      </c>
      <c r="AM277" s="27" t="n"/>
      <c r="AN277" s="29" t="n"/>
      <c r="AO277" s="71" t="n"/>
      <c r="AP277" s="71" t="n"/>
      <c r="AQ277" s="71" t="n"/>
      <c r="AR277" s="71" t="n"/>
      <c r="AS277" s="71" t="n"/>
      <c r="AT277" s="22" t="n"/>
    </row>
    <row r="278" ht="15" customHeight="1">
      <c r="A278" s="70">
        <f>IF(C278="","",IFERROR(IF(SUMPRODUCT(MAX((tbl_Finance[Job Number]&amp;""=C278&amp;"")*(tbl_Finance[Xero Invoice No]&lt;&gt;"")*tbl_Finance[Date]))=0,"",SUMPRODUCT(MAX((tbl_Finance[Job Number]&amp;""=C278&amp;"")*(tbl_Finance[Xero Invoice No]&lt;&gt;"")*tbl_Finance[Date]))),""))</f>
        <v/>
      </c>
      <c r="B278" s="26">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2" t="n"/>
      <c r="D278" s="26">
        <f>IF(C278="","",IF(COUNTIF(lst_Jobs,C278&amp;"")&gt;0,"OK","CHECK"))</f>
        <v/>
      </c>
      <c r="E278" s="26">
        <f>IF(C278="","",IFERROR(INDEX(lst_JobName,MATCH(C278&amp;"",lst_Jobs,0)),""))</f>
        <v/>
      </c>
      <c r="F278" s="22" t="n"/>
      <c r="G278" s="22" t="n"/>
      <c r="H278" s="22" t="n"/>
      <c r="I278" s="22" t="n"/>
      <c r="J278" s="22" t="n"/>
      <c r="K278" s="28">
        <f>IF(C278="","",COUNTIFS(tbl_Finance[Job Number],C278&amp;"",tbl_Finance[Ex GST],"&lt;&gt;"))</f>
        <v/>
      </c>
      <c r="L278" s="27">
        <f>IF(C278="","",SUMIFS(tbl_Finance[Ex GST],tbl_Finance[Job Number],C278&amp;""))</f>
        <v/>
      </c>
      <c r="M278" s="27">
        <f>IF(C278="","",SUMIFS(tbl_Finance[Ex GST],tbl_Finance[Job Number],C278&amp;"",tbl_Finance[Xero Invoice No],"&lt;&gt;"))</f>
        <v/>
      </c>
      <c r="N278" s="27">
        <f>IF(C278="","",L278-M278)</f>
        <v/>
      </c>
      <c r="O278" s="24" t="n"/>
      <c r="P278" s="27">
        <f>IF(C278="","",IF(O278="",0,MAX(0,O278-L278)))</f>
        <v/>
      </c>
      <c r="Q278" s="26">
        <f>IF(C278="","",IF(K278=0,"not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R278" s="27">
        <f>IF(C278="","",SUMIFS(tbl_Finance[Inc GST],tbl_Finance[Job Number],C278&amp;""))</f>
        <v/>
      </c>
      <c r="S278" s="22" t="n"/>
      <c r="T278" s="22" t="n"/>
      <c r="U278" s="22" t="n"/>
      <c r="V278" s="23" t="n"/>
      <c r="W278" s="22" t="n"/>
      <c r="X278" s="26">
        <f>IF(W278="","",IF(AND(LEFT(W278,4)&lt;&gt;"http",set_RMSBase=""),"",HYPERLINK(IF(LEFT(W278,4)="http",W278,set_RMSBase&amp;W278),"Open opportunity")))</f>
        <v/>
      </c>
      <c r="Y278" s="22" t="n"/>
      <c r="Z278" s="26">
        <f>IF(Y278="","",HYPERLINK(IF(LEFT(Y278,4)="http",Y278,set_QwilrBase&amp;Y278),"Open quote"))</f>
        <v/>
      </c>
      <c r="AA278" s="26">
        <f>IF(C278="","",C278)</f>
        <v/>
      </c>
      <c r="AB278" s="22" t="n"/>
      <c r="AC278" s="24" t="n"/>
      <c r="AD278" s="27">
        <f>IF(C278="","",L278+N(AC278))</f>
        <v/>
      </c>
      <c r="AE278" s="29">
        <f>IFERROR(AC278/AD278,"")</f>
        <v/>
      </c>
      <c r="AF278" s="24" t="n"/>
      <c r="AG278" s="24" t="n"/>
      <c r="AH278" s="24" t="n"/>
      <c r="AI278" s="24" t="n"/>
      <c r="AJ278" s="27">
        <f>IF(C278="","",SUMIFS(tbl_Finance[Ex GST],tbl_Finance[Job Number],C278&amp;"",tbl_Finance[Cost Centre],"VIDEO"))</f>
        <v/>
      </c>
      <c r="AK278" s="29">
        <f>IFERROR(AJ278/L278,"")</f>
        <v/>
      </c>
      <c r="AL278" s="27">
        <f>IF(C278="","",N(AF278)+N(AG278)+N(AH278)+N(AI278))</f>
        <v/>
      </c>
      <c r="AM278" s="27" t="n"/>
      <c r="AN278" s="29" t="n"/>
      <c r="AO278" s="71" t="n"/>
      <c r="AP278" s="71" t="n"/>
      <c r="AQ278" s="71" t="n"/>
      <c r="AR278" s="71" t="n"/>
      <c r="AS278" s="71" t="n"/>
      <c r="AT278" s="22" t="n"/>
    </row>
    <row r="279" ht="15" customHeight="1">
      <c r="A279" s="70">
        <f>IF(C279="","",IFERROR(IF(SUMPRODUCT(MAX((tbl_Finance[Job Number]&amp;""=C279&amp;"")*(tbl_Finance[Xero Invoice No]&lt;&gt;"")*tbl_Finance[Date]))=0,"",SUMPRODUCT(MAX((tbl_Finance[Job Number]&amp;""=C279&amp;"")*(tbl_Finance[Xero Invoice No]&lt;&gt;"")*tbl_Finance[Date]))),""))</f>
        <v/>
      </c>
      <c r="B279" s="26">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2" t="n"/>
      <c r="D279" s="26">
        <f>IF(C279="","",IF(COUNTIF(lst_Jobs,C279&amp;"")&gt;0,"OK","CHECK"))</f>
        <v/>
      </c>
      <c r="E279" s="26">
        <f>IF(C279="","",IFERROR(INDEX(lst_JobName,MATCH(C279&amp;"",lst_Jobs,0)),""))</f>
        <v/>
      </c>
      <c r="F279" s="22" t="n"/>
      <c r="G279" s="22" t="n"/>
      <c r="H279" s="22" t="n"/>
      <c r="I279" s="22" t="n"/>
      <c r="J279" s="22" t="n"/>
      <c r="K279" s="28">
        <f>IF(C279="","",COUNTIFS(tbl_Finance[Job Number],C279&amp;"",tbl_Finance[Ex GST],"&lt;&gt;"))</f>
        <v/>
      </c>
      <c r="L279" s="27">
        <f>IF(C279="","",SUMIFS(tbl_Finance[Ex GST],tbl_Finance[Job Number],C279&amp;""))</f>
        <v/>
      </c>
      <c r="M279" s="27">
        <f>IF(C279="","",SUMIFS(tbl_Finance[Ex GST],tbl_Finance[Job Number],C279&amp;"",tbl_Finance[Xero Invoice No],"&lt;&gt;"))</f>
        <v/>
      </c>
      <c r="N279" s="27">
        <f>IF(C279="","",L279-M279)</f>
        <v/>
      </c>
      <c r="O279" s="24" t="n"/>
      <c r="P279" s="27">
        <f>IF(C279="","",IF(O279="",0,MAX(0,O279-L279)))</f>
        <v/>
      </c>
      <c r="Q279" s="26">
        <f>IF(C279="","",IF(K279=0,"not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R279" s="27">
        <f>IF(C279="","",SUMIFS(tbl_Finance[Inc GST],tbl_Finance[Job Number],C279&amp;""))</f>
        <v/>
      </c>
      <c r="S279" s="22" t="n"/>
      <c r="T279" s="22" t="n"/>
      <c r="U279" s="22" t="n"/>
      <c r="V279" s="23" t="n"/>
      <c r="W279" s="22" t="n"/>
      <c r="X279" s="26">
        <f>IF(W279="","",IF(AND(LEFT(W279,4)&lt;&gt;"http",set_RMSBase=""),"",HYPERLINK(IF(LEFT(W279,4)="http",W279,set_RMSBase&amp;W279),"Open opportunity")))</f>
        <v/>
      </c>
      <c r="Y279" s="22" t="n"/>
      <c r="Z279" s="26">
        <f>IF(Y279="","",HYPERLINK(IF(LEFT(Y279,4)="http",Y279,set_QwilrBase&amp;Y279),"Open quote"))</f>
        <v/>
      </c>
      <c r="AA279" s="26">
        <f>IF(C279="","",C279)</f>
        <v/>
      </c>
      <c r="AB279" s="22" t="n"/>
      <c r="AC279" s="24" t="n"/>
      <c r="AD279" s="27">
        <f>IF(C279="","",L279+N(AC279))</f>
        <v/>
      </c>
      <c r="AE279" s="29">
        <f>IFERROR(AC279/AD279,"")</f>
        <v/>
      </c>
      <c r="AF279" s="24" t="n"/>
      <c r="AG279" s="24" t="n"/>
      <c r="AH279" s="24" t="n"/>
      <c r="AI279" s="24" t="n"/>
      <c r="AJ279" s="27">
        <f>IF(C279="","",SUMIFS(tbl_Finance[Ex GST],tbl_Finance[Job Number],C279&amp;"",tbl_Finance[Cost Centre],"VIDEO"))</f>
        <v/>
      </c>
      <c r="AK279" s="29">
        <f>IFERROR(AJ279/L279,"")</f>
        <v/>
      </c>
      <c r="AL279" s="27">
        <f>IF(C279="","",N(AF279)+N(AG279)+N(AH279)+N(AI279))</f>
        <v/>
      </c>
      <c r="AM279" s="27" t="n"/>
      <c r="AN279" s="29" t="n"/>
      <c r="AO279" s="71" t="n"/>
      <c r="AP279" s="71" t="n"/>
      <c r="AQ279" s="71" t="n"/>
      <c r="AR279" s="71" t="n"/>
      <c r="AS279" s="71" t="n"/>
      <c r="AT279" s="22" t="n"/>
    </row>
    <row r="280" ht="15" customHeight="1">
      <c r="A280" s="70">
        <f>IF(C280="","",IFERROR(IF(SUMPRODUCT(MAX((tbl_Finance[Job Number]&amp;""=C280&amp;"")*(tbl_Finance[Xero Invoice No]&lt;&gt;"")*tbl_Finance[Date]))=0,"",SUMPRODUCT(MAX((tbl_Finance[Job Number]&amp;""=C280&amp;"")*(tbl_Finance[Xero Invoice No]&lt;&gt;"")*tbl_Finance[Date]))),""))</f>
        <v/>
      </c>
      <c r="B280" s="26">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2" t="n"/>
      <c r="D280" s="26">
        <f>IF(C280="","",IF(COUNTIF(lst_Jobs,C280&amp;"")&gt;0,"OK","CHECK"))</f>
        <v/>
      </c>
      <c r="E280" s="26">
        <f>IF(C280="","",IFERROR(INDEX(lst_JobName,MATCH(C280&amp;"",lst_Jobs,0)),""))</f>
        <v/>
      </c>
      <c r="F280" s="22" t="n"/>
      <c r="G280" s="22" t="n"/>
      <c r="H280" s="22" t="n"/>
      <c r="I280" s="22" t="n"/>
      <c r="J280" s="22" t="n"/>
      <c r="K280" s="28">
        <f>IF(C280="","",COUNTIFS(tbl_Finance[Job Number],C280&amp;"",tbl_Finance[Ex GST],"&lt;&gt;"))</f>
        <v/>
      </c>
      <c r="L280" s="27">
        <f>IF(C280="","",SUMIFS(tbl_Finance[Ex GST],tbl_Finance[Job Number],C280&amp;""))</f>
        <v/>
      </c>
      <c r="M280" s="27">
        <f>IF(C280="","",SUMIFS(tbl_Finance[Ex GST],tbl_Finance[Job Number],C280&amp;"",tbl_Finance[Xero Invoice No],"&lt;&gt;"))</f>
        <v/>
      </c>
      <c r="N280" s="27">
        <f>IF(C280="","",L280-M280)</f>
        <v/>
      </c>
      <c r="O280" s="24" t="n"/>
      <c r="P280" s="27">
        <f>IF(C280="","",IF(O280="",0,MAX(0,O280-L280)))</f>
        <v/>
      </c>
      <c r="Q280" s="26">
        <f>IF(C280="","",IF(K280=0,"not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R280" s="27">
        <f>IF(C280="","",SUMIFS(tbl_Finance[Inc GST],tbl_Finance[Job Number],C280&amp;""))</f>
        <v/>
      </c>
      <c r="S280" s="22" t="n"/>
      <c r="T280" s="22" t="n"/>
      <c r="U280" s="22" t="n"/>
      <c r="V280" s="23" t="n"/>
      <c r="W280" s="22" t="n"/>
      <c r="X280" s="26">
        <f>IF(W280="","",IF(AND(LEFT(W280,4)&lt;&gt;"http",set_RMSBase=""),"",HYPERLINK(IF(LEFT(W280,4)="http",W280,set_RMSBase&amp;W280),"Open opportunity")))</f>
        <v/>
      </c>
      <c r="Y280" s="22" t="n"/>
      <c r="Z280" s="26">
        <f>IF(Y280="","",HYPERLINK(IF(LEFT(Y280,4)="http",Y280,set_QwilrBase&amp;Y280),"Open quote"))</f>
        <v/>
      </c>
      <c r="AA280" s="26">
        <f>IF(C280="","",C280)</f>
        <v/>
      </c>
      <c r="AB280" s="22" t="n"/>
      <c r="AC280" s="24" t="n"/>
      <c r="AD280" s="27">
        <f>IF(C280="","",L280+N(AC280))</f>
        <v/>
      </c>
      <c r="AE280" s="29">
        <f>IFERROR(AC280/AD280,"")</f>
        <v/>
      </c>
      <c r="AF280" s="24" t="n"/>
      <c r="AG280" s="24" t="n"/>
      <c r="AH280" s="24" t="n"/>
      <c r="AI280" s="24" t="n"/>
      <c r="AJ280" s="27">
        <f>IF(C280="","",SUMIFS(tbl_Finance[Ex GST],tbl_Finance[Job Number],C280&amp;"",tbl_Finance[Cost Centre],"VIDEO"))</f>
        <v/>
      </c>
      <c r="AK280" s="29">
        <f>IFERROR(AJ280/L280,"")</f>
        <v/>
      </c>
      <c r="AL280" s="27">
        <f>IF(C280="","",N(AF280)+N(AG280)+N(AH280)+N(AI280))</f>
        <v/>
      </c>
      <c r="AM280" s="27" t="n"/>
      <c r="AN280" s="29" t="n"/>
      <c r="AO280" s="71" t="n"/>
      <c r="AP280" s="71" t="n"/>
      <c r="AQ280" s="71" t="n"/>
      <c r="AR280" s="71" t="n"/>
      <c r="AS280" s="71" t="n"/>
      <c r="AT280" s="22" t="n"/>
    </row>
    <row r="281" ht="15" customHeight="1">
      <c r="A281" s="70">
        <f>IF(C281="","",IFERROR(IF(SUMPRODUCT(MAX((tbl_Finance[Job Number]&amp;""=C281&amp;"")*(tbl_Finance[Xero Invoice No]&lt;&gt;"")*tbl_Finance[Date]))=0,"",SUMPRODUCT(MAX((tbl_Finance[Job Number]&amp;""=C281&amp;"")*(tbl_Finance[Xero Invoice No]&lt;&gt;"")*tbl_Finance[Date]))),""))</f>
        <v/>
      </c>
      <c r="B281" s="26">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2" t="n"/>
      <c r="D281" s="26">
        <f>IF(C281="","",IF(COUNTIF(lst_Jobs,C281&amp;"")&gt;0,"OK","CHECK"))</f>
        <v/>
      </c>
      <c r="E281" s="26">
        <f>IF(C281="","",IFERROR(INDEX(lst_JobName,MATCH(C281&amp;"",lst_Jobs,0)),""))</f>
        <v/>
      </c>
      <c r="F281" s="22" t="n"/>
      <c r="G281" s="22" t="n"/>
      <c r="H281" s="22" t="n"/>
      <c r="I281" s="22" t="n"/>
      <c r="J281" s="22" t="n"/>
      <c r="K281" s="28">
        <f>IF(C281="","",COUNTIFS(tbl_Finance[Job Number],C281&amp;"",tbl_Finance[Ex GST],"&lt;&gt;"))</f>
        <v/>
      </c>
      <c r="L281" s="27">
        <f>IF(C281="","",SUMIFS(tbl_Finance[Ex GST],tbl_Finance[Job Number],C281&amp;""))</f>
        <v/>
      </c>
      <c r="M281" s="27">
        <f>IF(C281="","",SUMIFS(tbl_Finance[Ex GST],tbl_Finance[Job Number],C281&amp;"",tbl_Finance[Xero Invoice No],"&lt;&gt;"))</f>
        <v/>
      </c>
      <c r="N281" s="27">
        <f>IF(C281="","",L281-M281)</f>
        <v/>
      </c>
      <c r="O281" s="24" t="n"/>
      <c r="P281" s="27">
        <f>IF(C281="","",IF(O281="",0,MAX(0,O281-L281)))</f>
        <v/>
      </c>
      <c r="Q281" s="26">
        <f>IF(C281="","",IF(K281=0,"not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R281" s="27">
        <f>IF(C281="","",SUMIFS(tbl_Finance[Inc GST],tbl_Finance[Job Number],C281&amp;""))</f>
        <v/>
      </c>
      <c r="S281" s="22" t="n"/>
      <c r="T281" s="22" t="n"/>
      <c r="U281" s="22" t="n"/>
      <c r="V281" s="23" t="n"/>
      <c r="W281" s="22" t="n"/>
      <c r="X281" s="26">
        <f>IF(W281="","",IF(AND(LEFT(W281,4)&lt;&gt;"http",set_RMSBase=""),"",HYPERLINK(IF(LEFT(W281,4)="http",W281,set_RMSBase&amp;W281),"Open opportunity")))</f>
        <v/>
      </c>
      <c r="Y281" s="22" t="n"/>
      <c r="Z281" s="26">
        <f>IF(Y281="","",HYPERLINK(IF(LEFT(Y281,4)="http",Y281,set_QwilrBase&amp;Y281),"Open quote"))</f>
        <v/>
      </c>
      <c r="AA281" s="26">
        <f>IF(C281="","",C281)</f>
        <v/>
      </c>
      <c r="AB281" s="22" t="n"/>
      <c r="AC281" s="24" t="n"/>
      <c r="AD281" s="27">
        <f>IF(C281="","",L281+N(AC281))</f>
        <v/>
      </c>
      <c r="AE281" s="29">
        <f>IFERROR(AC281/AD281,"")</f>
        <v/>
      </c>
      <c r="AF281" s="24" t="n"/>
      <c r="AG281" s="24" t="n"/>
      <c r="AH281" s="24" t="n"/>
      <c r="AI281" s="24" t="n"/>
      <c r="AJ281" s="27">
        <f>IF(C281="","",SUMIFS(tbl_Finance[Ex GST],tbl_Finance[Job Number],C281&amp;"",tbl_Finance[Cost Centre],"VIDEO"))</f>
        <v/>
      </c>
      <c r="AK281" s="29">
        <f>IFERROR(AJ281/L281,"")</f>
        <v/>
      </c>
      <c r="AL281" s="27">
        <f>IF(C281="","",N(AF281)+N(AG281)+N(AH281)+N(AI281))</f>
        <v/>
      </c>
      <c r="AM281" s="27" t="n"/>
      <c r="AN281" s="29" t="n"/>
      <c r="AO281" s="71" t="n"/>
      <c r="AP281" s="71" t="n"/>
      <c r="AQ281" s="71" t="n"/>
      <c r="AR281" s="71" t="n"/>
      <c r="AS281" s="71" t="n"/>
      <c r="AT281" s="22" t="n"/>
    </row>
    <row r="282" ht="15" customHeight="1">
      <c r="A282" s="70">
        <f>IF(C282="","",IFERROR(IF(SUMPRODUCT(MAX((tbl_Finance[Job Number]&amp;""=C282&amp;"")*(tbl_Finance[Xero Invoice No]&lt;&gt;"")*tbl_Finance[Date]))=0,"",SUMPRODUCT(MAX((tbl_Finance[Job Number]&amp;""=C282&amp;"")*(tbl_Finance[Xero Invoice No]&lt;&gt;"")*tbl_Finance[Date]))),""))</f>
        <v/>
      </c>
      <c r="B282" s="26">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2" t="n"/>
      <c r="D282" s="26">
        <f>IF(C282="","",IF(COUNTIF(lst_Jobs,C282&amp;"")&gt;0,"OK","CHECK"))</f>
        <v/>
      </c>
      <c r="E282" s="26">
        <f>IF(C282="","",IFERROR(INDEX(lst_JobName,MATCH(C282&amp;"",lst_Jobs,0)),""))</f>
        <v/>
      </c>
      <c r="F282" s="22" t="n"/>
      <c r="G282" s="22" t="n"/>
      <c r="H282" s="22" t="n"/>
      <c r="I282" s="22" t="n"/>
      <c r="J282" s="22" t="n"/>
      <c r="K282" s="28">
        <f>IF(C282="","",COUNTIFS(tbl_Finance[Job Number],C282&amp;"",tbl_Finance[Ex GST],"&lt;&gt;"))</f>
        <v/>
      </c>
      <c r="L282" s="27">
        <f>IF(C282="","",SUMIFS(tbl_Finance[Ex GST],tbl_Finance[Job Number],C282&amp;""))</f>
        <v/>
      </c>
      <c r="M282" s="27">
        <f>IF(C282="","",SUMIFS(tbl_Finance[Ex GST],tbl_Finance[Job Number],C282&amp;"",tbl_Finance[Xero Invoice No],"&lt;&gt;"))</f>
        <v/>
      </c>
      <c r="N282" s="27">
        <f>IF(C282="","",L282-M282)</f>
        <v/>
      </c>
      <c r="O282" s="24" t="n"/>
      <c r="P282" s="27">
        <f>IF(C282="","",IF(O282="",0,MAX(0,O282-L282)))</f>
        <v/>
      </c>
      <c r="Q282" s="26">
        <f>IF(C282="","",IF(K282=0,"not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R282" s="27">
        <f>IF(C282="","",SUMIFS(tbl_Finance[Inc GST],tbl_Finance[Job Number],C282&amp;""))</f>
        <v/>
      </c>
      <c r="S282" s="22" t="n"/>
      <c r="T282" s="22" t="n"/>
      <c r="U282" s="22" t="n"/>
      <c r="V282" s="23" t="n"/>
      <c r="W282" s="22" t="n"/>
      <c r="X282" s="26">
        <f>IF(W282="","",IF(AND(LEFT(W282,4)&lt;&gt;"http",set_RMSBase=""),"",HYPERLINK(IF(LEFT(W282,4)="http",W282,set_RMSBase&amp;W282),"Open opportunity")))</f>
        <v/>
      </c>
      <c r="Y282" s="22" t="n"/>
      <c r="Z282" s="26">
        <f>IF(Y282="","",HYPERLINK(IF(LEFT(Y282,4)="http",Y282,set_QwilrBase&amp;Y282),"Open quote"))</f>
        <v/>
      </c>
      <c r="AA282" s="26">
        <f>IF(C282="","",C282)</f>
        <v/>
      </c>
      <c r="AB282" s="22" t="n"/>
      <c r="AC282" s="24" t="n"/>
      <c r="AD282" s="27">
        <f>IF(C282="","",L282+N(AC282))</f>
        <v/>
      </c>
      <c r="AE282" s="29">
        <f>IFERROR(AC282/AD282,"")</f>
        <v/>
      </c>
      <c r="AF282" s="24" t="n"/>
      <c r="AG282" s="24" t="n"/>
      <c r="AH282" s="24" t="n"/>
      <c r="AI282" s="24" t="n"/>
      <c r="AJ282" s="27">
        <f>IF(C282="","",SUMIFS(tbl_Finance[Ex GST],tbl_Finance[Job Number],C282&amp;"",tbl_Finance[Cost Centre],"VIDEO"))</f>
        <v/>
      </c>
      <c r="AK282" s="29">
        <f>IFERROR(AJ282/L282,"")</f>
        <v/>
      </c>
      <c r="AL282" s="27">
        <f>IF(C282="","",N(AF282)+N(AG282)+N(AH282)+N(AI282))</f>
        <v/>
      </c>
      <c r="AM282" s="27" t="n"/>
      <c r="AN282" s="29" t="n"/>
      <c r="AO282" s="71" t="n"/>
      <c r="AP282" s="71" t="n"/>
      <c r="AQ282" s="71" t="n"/>
      <c r="AR282" s="71" t="n"/>
      <c r="AS282" s="71" t="n"/>
      <c r="AT282" s="22" t="n"/>
    </row>
    <row r="283" ht="15" customHeight="1">
      <c r="A283" s="70">
        <f>IF(C283="","",IFERROR(IF(SUMPRODUCT(MAX((tbl_Finance[Job Number]&amp;""=C283&amp;"")*(tbl_Finance[Xero Invoice No]&lt;&gt;"")*tbl_Finance[Date]))=0,"",SUMPRODUCT(MAX((tbl_Finance[Job Number]&amp;""=C283&amp;"")*(tbl_Finance[Xero Invoice No]&lt;&gt;"")*tbl_Finance[Date]))),""))</f>
        <v/>
      </c>
      <c r="B283" s="26">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2" t="n"/>
      <c r="D283" s="26">
        <f>IF(C283="","",IF(COUNTIF(lst_Jobs,C283&amp;"")&gt;0,"OK","CHECK"))</f>
        <v/>
      </c>
      <c r="E283" s="26">
        <f>IF(C283="","",IFERROR(INDEX(lst_JobName,MATCH(C283&amp;"",lst_Jobs,0)),""))</f>
        <v/>
      </c>
      <c r="F283" s="22" t="n"/>
      <c r="G283" s="22" t="n"/>
      <c r="H283" s="22" t="n"/>
      <c r="I283" s="22" t="n"/>
      <c r="J283" s="22" t="n"/>
      <c r="K283" s="28">
        <f>IF(C283="","",COUNTIFS(tbl_Finance[Job Number],C283&amp;"",tbl_Finance[Ex GST],"&lt;&gt;"))</f>
        <v/>
      </c>
      <c r="L283" s="27">
        <f>IF(C283="","",SUMIFS(tbl_Finance[Ex GST],tbl_Finance[Job Number],C283&amp;""))</f>
        <v/>
      </c>
      <c r="M283" s="27">
        <f>IF(C283="","",SUMIFS(tbl_Finance[Ex GST],tbl_Finance[Job Number],C283&amp;"",tbl_Finance[Xero Invoice No],"&lt;&gt;"))</f>
        <v/>
      </c>
      <c r="N283" s="27">
        <f>IF(C283="","",L283-M283)</f>
        <v/>
      </c>
      <c r="O283" s="24" t="n"/>
      <c r="P283" s="27">
        <f>IF(C283="","",IF(O283="",0,MAX(0,O283-L283)))</f>
        <v/>
      </c>
      <c r="Q283" s="26">
        <f>IF(C283="","",IF(K283=0,"not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R283" s="27">
        <f>IF(C283="","",SUMIFS(tbl_Finance[Inc GST],tbl_Finance[Job Number],C283&amp;""))</f>
        <v/>
      </c>
      <c r="S283" s="22" t="n"/>
      <c r="T283" s="22" t="n"/>
      <c r="U283" s="22" t="n"/>
      <c r="V283" s="23" t="n"/>
      <c r="W283" s="22" t="n"/>
      <c r="X283" s="26">
        <f>IF(W283="","",IF(AND(LEFT(W283,4)&lt;&gt;"http",set_RMSBase=""),"",HYPERLINK(IF(LEFT(W283,4)="http",W283,set_RMSBase&amp;W283),"Open opportunity")))</f>
        <v/>
      </c>
      <c r="Y283" s="22" t="n"/>
      <c r="Z283" s="26">
        <f>IF(Y283="","",HYPERLINK(IF(LEFT(Y283,4)="http",Y283,set_QwilrBase&amp;Y283),"Open quote"))</f>
        <v/>
      </c>
      <c r="AA283" s="26">
        <f>IF(C283="","",C283)</f>
        <v/>
      </c>
      <c r="AB283" s="22" t="n"/>
      <c r="AC283" s="24" t="n"/>
      <c r="AD283" s="27">
        <f>IF(C283="","",L283+N(AC283))</f>
        <v/>
      </c>
      <c r="AE283" s="29">
        <f>IFERROR(AC283/AD283,"")</f>
        <v/>
      </c>
      <c r="AF283" s="24" t="n"/>
      <c r="AG283" s="24" t="n"/>
      <c r="AH283" s="24" t="n"/>
      <c r="AI283" s="24" t="n"/>
      <c r="AJ283" s="27">
        <f>IF(C283="","",SUMIFS(tbl_Finance[Ex GST],tbl_Finance[Job Number],C283&amp;"",tbl_Finance[Cost Centre],"VIDEO"))</f>
        <v/>
      </c>
      <c r="AK283" s="29">
        <f>IFERROR(AJ283/L283,"")</f>
        <v/>
      </c>
      <c r="AL283" s="27">
        <f>IF(C283="","",N(AF283)+N(AG283)+N(AH283)+N(AI283))</f>
        <v/>
      </c>
      <c r="AM283" s="27" t="n"/>
      <c r="AN283" s="29" t="n"/>
      <c r="AO283" s="71" t="n"/>
      <c r="AP283" s="71" t="n"/>
      <c r="AQ283" s="71" t="n"/>
      <c r="AR283" s="71" t="n"/>
      <c r="AS283" s="71" t="n"/>
      <c r="AT283" s="22" t="n"/>
    </row>
    <row r="284" ht="15" customHeight="1">
      <c r="A284" s="70">
        <f>IF(C284="","",IFERROR(IF(SUMPRODUCT(MAX((tbl_Finance[Job Number]&amp;""=C284&amp;"")*(tbl_Finance[Xero Invoice No]&lt;&gt;"")*tbl_Finance[Date]))=0,"",SUMPRODUCT(MAX((tbl_Finance[Job Number]&amp;""=C284&amp;"")*(tbl_Finance[Xero Invoice No]&lt;&gt;"")*tbl_Finance[Date]))),""))</f>
        <v/>
      </c>
      <c r="B284" s="26">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2" t="n"/>
      <c r="D284" s="26">
        <f>IF(C284="","",IF(COUNTIF(lst_Jobs,C284&amp;"")&gt;0,"OK","CHECK"))</f>
        <v/>
      </c>
      <c r="E284" s="26">
        <f>IF(C284="","",IFERROR(INDEX(lst_JobName,MATCH(C284&amp;"",lst_Jobs,0)),""))</f>
        <v/>
      </c>
      <c r="F284" s="22" t="n"/>
      <c r="G284" s="22" t="n"/>
      <c r="H284" s="22" t="n"/>
      <c r="I284" s="22" t="n"/>
      <c r="J284" s="22" t="n"/>
      <c r="K284" s="28">
        <f>IF(C284="","",COUNTIFS(tbl_Finance[Job Number],C284&amp;"",tbl_Finance[Ex GST],"&lt;&gt;"))</f>
        <v/>
      </c>
      <c r="L284" s="27">
        <f>IF(C284="","",SUMIFS(tbl_Finance[Ex GST],tbl_Finance[Job Number],C284&amp;""))</f>
        <v/>
      </c>
      <c r="M284" s="27">
        <f>IF(C284="","",SUMIFS(tbl_Finance[Ex GST],tbl_Finance[Job Number],C284&amp;"",tbl_Finance[Xero Invoice No],"&lt;&gt;"))</f>
        <v/>
      </c>
      <c r="N284" s="27">
        <f>IF(C284="","",L284-M284)</f>
        <v/>
      </c>
      <c r="O284" s="24" t="n"/>
      <c r="P284" s="27">
        <f>IF(C284="","",IF(O284="",0,MAX(0,O284-L284)))</f>
        <v/>
      </c>
      <c r="Q284" s="26">
        <f>IF(C284="","",IF(K284=0,"not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R284" s="27">
        <f>IF(C284="","",SUMIFS(tbl_Finance[Inc GST],tbl_Finance[Job Number],C284&amp;""))</f>
        <v/>
      </c>
      <c r="S284" s="22" t="n"/>
      <c r="T284" s="22" t="n"/>
      <c r="U284" s="22" t="n"/>
      <c r="V284" s="23" t="n"/>
      <c r="W284" s="22" t="n"/>
      <c r="X284" s="26">
        <f>IF(W284="","",IF(AND(LEFT(W284,4)&lt;&gt;"http",set_RMSBase=""),"",HYPERLINK(IF(LEFT(W284,4)="http",W284,set_RMSBase&amp;W284),"Open opportunity")))</f>
        <v/>
      </c>
      <c r="Y284" s="22" t="n"/>
      <c r="Z284" s="26">
        <f>IF(Y284="","",HYPERLINK(IF(LEFT(Y284,4)="http",Y284,set_QwilrBase&amp;Y284),"Open quote"))</f>
        <v/>
      </c>
      <c r="AA284" s="26">
        <f>IF(C284="","",C284)</f>
        <v/>
      </c>
      <c r="AB284" s="22" t="n"/>
      <c r="AC284" s="24" t="n"/>
      <c r="AD284" s="27">
        <f>IF(C284="","",L284+N(AC284))</f>
        <v/>
      </c>
      <c r="AE284" s="29">
        <f>IFERROR(AC284/AD284,"")</f>
        <v/>
      </c>
      <c r="AF284" s="24" t="n"/>
      <c r="AG284" s="24" t="n"/>
      <c r="AH284" s="24" t="n"/>
      <c r="AI284" s="24" t="n"/>
      <c r="AJ284" s="27">
        <f>IF(C284="","",SUMIFS(tbl_Finance[Ex GST],tbl_Finance[Job Number],C284&amp;"",tbl_Finance[Cost Centre],"VIDEO"))</f>
        <v/>
      </c>
      <c r="AK284" s="29">
        <f>IFERROR(AJ284/L284,"")</f>
        <v/>
      </c>
      <c r="AL284" s="27">
        <f>IF(C284="","",N(AF284)+N(AG284)+N(AH284)+N(AI284))</f>
        <v/>
      </c>
      <c r="AM284" s="27" t="n"/>
      <c r="AN284" s="29" t="n"/>
      <c r="AO284" s="71" t="n"/>
      <c r="AP284" s="71" t="n"/>
      <c r="AQ284" s="71" t="n"/>
      <c r="AR284" s="71" t="n"/>
      <c r="AS284" s="71" t="n"/>
      <c r="AT284" s="22" t="n"/>
    </row>
    <row r="285" ht="15" customHeight="1">
      <c r="A285" s="70">
        <f>IF(C285="","",IFERROR(IF(SUMPRODUCT(MAX((tbl_Finance[Job Number]&amp;""=C285&amp;"")*(tbl_Finance[Xero Invoice No]&lt;&gt;"")*tbl_Finance[Date]))=0,"",SUMPRODUCT(MAX((tbl_Finance[Job Number]&amp;""=C285&amp;"")*(tbl_Finance[Xero Invoice No]&lt;&gt;"")*tbl_Finance[Date]))),""))</f>
        <v/>
      </c>
      <c r="B285" s="26">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2" t="n"/>
      <c r="D285" s="26">
        <f>IF(C285="","",IF(COUNTIF(lst_Jobs,C285&amp;"")&gt;0,"OK","CHECK"))</f>
        <v/>
      </c>
      <c r="E285" s="26">
        <f>IF(C285="","",IFERROR(INDEX(lst_JobName,MATCH(C285&amp;"",lst_Jobs,0)),""))</f>
        <v/>
      </c>
      <c r="F285" s="22" t="n"/>
      <c r="G285" s="22" t="n"/>
      <c r="H285" s="22" t="n"/>
      <c r="I285" s="22" t="n"/>
      <c r="J285" s="22" t="n"/>
      <c r="K285" s="28">
        <f>IF(C285="","",COUNTIFS(tbl_Finance[Job Number],C285&amp;"",tbl_Finance[Ex GST],"&lt;&gt;"))</f>
        <v/>
      </c>
      <c r="L285" s="27">
        <f>IF(C285="","",SUMIFS(tbl_Finance[Ex GST],tbl_Finance[Job Number],C285&amp;""))</f>
        <v/>
      </c>
      <c r="M285" s="27">
        <f>IF(C285="","",SUMIFS(tbl_Finance[Ex GST],tbl_Finance[Job Number],C285&amp;"",tbl_Finance[Xero Invoice No],"&lt;&gt;"))</f>
        <v/>
      </c>
      <c r="N285" s="27">
        <f>IF(C285="","",L285-M285)</f>
        <v/>
      </c>
      <c r="O285" s="24" t="n"/>
      <c r="P285" s="27">
        <f>IF(C285="","",IF(O285="",0,MAX(0,O285-L285)))</f>
        <v/>
      </c>
      <c r="Q285" s="26">
        <f>IF(C285="","",IF(K285=0,"not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R285" s="27">
        <f>IF(C285="","",SUMIFS(tbl_Finance[Inc GST],tbl_Finance[Job Number],C285&amp;""))</f>
        <v/>
      </c>
      <c r="S285" s="22" t="n"/>
      <c r="T285" s="22" t="n"/>
      <c r="U285" s="22" t="n"/>
      <c r="V285" s="23" t="n"/>
      <c r="W285" s="22" t="n"/>
      <c r="X285" s="26">
        <f>IF(W285="","",IF(AND(LEFT(W285,4)&lt;&gt;"http",set_RMSBase=""),"",HYPERLINK(IF(LEFT(W285,4)="http",W285,set_RMSBase&amp;W285),"Open opportunity")))</f>
        <v/>
      </c>
      <c r="Y285" s="22" t="n"/>
      <c r="Z285" s="26">
        <f>IF(Y285="","",HYPERLINK(IF(LEFT(Y285,4)="http",Y285,set_QwilrBase&amp;Y285),"Open quote"))</f>
        <v/>
      </c>
      <c r="AA285" s="26">
        <f>IF(C285="","",C285)</f>
        <v/>
      </c>
      <c r="AB285" s="22" t="n"/>
      <c r="AC285" s="24" t="n"/>
      <c r="AD285" s="27">
        <f>IF(C285="","",L285+N(AC285))</f>
        <v/>
      </c>
      <c r="AE285" s="29">
        <f>IFERROR(AC285/AD285,"")</f>
        <v/>
      </c>
      <c r="AF285" s="24" t="n"/>
      <c r="AG285" s="24" t="n"/>
      <c r="AH285" s="24" t="n"/>
      <c r="AI285" s="24" t="n"/>
      <c r="AJ285" s="27">
        <f>IF(C285="","",SUMIFS(tbl_Finance[Ex GST],tbl_Finance[Job Number],C285&amp;"",tbl_Finance[Cost Centre],"VIDEO"))</f>
        <v/>
      </c>
      <c r="AK285" s="29">
        <f>IFERROR(AJ285/L285,"")</f>
        <v/>
      </c>
      <c r="AL285" s="27">
        <f>IF(C285="","",N(AF285)+N(AG285)+N(AH285)+N(AI285))</f>
        <v/>
      </c>
      <c r="AM285" s="27" t="n"/>
      <c r="AN285" s="29" t="n"/>
      <c r="AO285" s="71" t="n"/>
      <c r="AP285" s="71" t="n"/>
      <c r="AQ285" s="71" t="n"/>
      <c r="AR285" s="71" t="n"/>
      <c r="AS285" s="71" t="n"/>
      <c r="AT285" s="22" t="n"/>
    </row>
    <row r="286" ht="15" customHeight="1">
      <c r="A286" s="70">
        <f>IF(C286="","",IFERROR(IF(SUMPRODUCT(MAX((tbl_Finance[Job Number]&amp;""=C286&amp;"")*(tbl_Finance[Xero Invoice No]&lt;&gt;"")*tbl_Finance[Date]))=0,"",SUMPRODUCT(MAX((tbl_Finance[Job Number]&amp;""=C286&amp;"")*(tbl_Finance[Xero Invoice No]&lt;&gt;"")*tbl_Finance[Date]))),""))</f>
        <v/>
      </c>
      <c r="B286" s="26">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2" t="n"/>
      <c r="D286" s="26">
        <f>IF(C286="","",IF(COUNTIF(lst_Jobs,C286&amp;"")&gt;0,"OK","CHECK"))</f>
        <v/>
      </c>
      <c r="E286" s="26">
        <f>IF(C286="","",IFERROR(INDEX(lst_JobName,MATCH(C286&amp;"",lst_Jobs,0)),""))</f>
        <v/>
      </c>
      <c r="F286" s="22" t="n"/>
      <c r="G286" s="22" t="n"/>
      <c r="H286" s="22" t="n"/>
      <c r="I286" s="22" t="n"/>
      <c r="J286" s="22" t="n"/>
      <c r="K286" s="28">
        <f>IF(C286="","",COUNTIFS(tbl_Finance[Job Number],C286&amp;"",tbl_Finance[Ex GST],"&lt;&gt;"))</f>
        <v/>
      </c>
      <c r="L286" s="27">
        <f>IF(C286="","",SUMIFS(tbl_Finance[Ex GST],tbl_Finance[Job Number],C286&amp;""))</f>
        <v/>
      </c>
      <c r="M286" s="27">
        <f>IF(C286="","",SUMIFS(tbl_Finance[Ex GST],tbl_Finance[Job Number],C286&amp;"",tbl_Finance[Xero Invoice No],"&lt;&gt;"))</f>
        <v/>
      </c>
      <c r="N286" s="27">
        <f>IF(C286="","",L286-M286)</f>
        <v/>
      </c>
      <c r="O286" s="24" t="n"/>
      <c r="P286" s="27">
        <f>IF(C286="","",IF(O286="",0,MAX(0,O286-L286)))</f>
        <v/>
      </c>
      <c r="Q286" s="26">
        <f>IF(C286="","",IF(K286=0,"not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R286" s="27">
        <f>IF(C286="","",SUMIFS(tbl_Finance[Inc GST],tbl_Finance[Job Number],C286&amp;""))</f>
        <v/>
      </c>
      <c r="S286" s="22" t="n"/>
      <c r="T286" s="22" t="n"/>
      <c r="U286" s="22" t="n"/>
      <c r="V286" s="23" t="n"/>
      <c r="W286" s="22" t="n"/>
      <c r="X286" s="26">
        <f>IF(W286="","",IF(AND(LEFT(W286,4)&lt;&gt;"http",set_RMSBase=""),"",HYPERLINK(IF(LEFT(W286,4)="http",W286,set_RMSBase&amp;W286),"Open opportunity")))</f>
        <v/>
      </c>
      <c r="Y286" s="22" t="n"/>
      <c r="Z286" s="26">
        <f>IF(Y286="","",HYPERLINK(IF(LEFT(Y286,4)="http",Y286,set_QwilrBase&amp;Y286),"Open quote"))</f>
        <v/>
      </c>
      <c r="AA286" s="26">
        <f>IF(C286="","",C286)</f>
        <v/>
      </c>
      <c r="AB286" s="22" t="n"/>
      <c r="AC286" s="24" t="n"/>
      <c r="AD286" s="27">
        <f>IF(C286="","",L286+N(AC286))</f>
        <v/>
      </c>
      <c r="AE286" s="29">
        <f>IFERROR(AC286/AD286,"")</f>
        <v/>
      </c>
      <c r="AF286" s="24" t="n"/>
      <c r="AG286" s="24" t="n"/>
      <c r="AH286" s="24" t="n"/>
      <c r="AI286" s="24" t="n"/>
      <c r="AJ286" s="27">
        <f>IF(C286="","",SUMIFS(tbl_Finance[Ex GST],tbl_Finance[Job Number],C286&amp;"",tbl_Finance[Cost Centre],"VIDEO"))</f>
        <v/>
      </c>
      <c r="AK286" s="29">
        <f>IFERROR(AJ286/L286,"")</f>
        <v/>
      </c>
      <c r="AL286" s="27">
        <f>IF(C286="","",N(AF286)+N(AG286)+N(AH286)+N(AI286))</f>
        <v/>
      </c>
      <c r="AM286" s="27" t="n"/>
      <c r="AN286" s="29" t="n"/>
      <c r="AO286" s="71" t="n"/>
      <c r="AP286" s="71" t="n"/>
      <c r="AQ286" s="71" t="n"/>
      <c r="AR286" s="71" t="n"/>
      <c r="AS286" s="71" t="n"/>
      <c r="AT286" s="22" t="n"/>
    </row>
    <row r="287" ht="15" customHeight="1">
      <c r="A287" s="70">
        <f>IF(C287="","",IFERROR(IF(SUMPRODUCT(MAX((tbl_Finance[Job Number]&amp;""=C287&amp;"")*(tbl_Finance[Xero Invoice No]&lt;&gt;"")*tbl_Finance[Date]))=0,"",SUMPRODUCT(MAX((tbl_Finance[Job Number]&amp;""=C287&amp;"")*(tbl_Finance[Xero Invoice No]&lt;&gt;"")*tbl_Finance[Date]))),""))</f>
        <v/>
      </c>
      <c r="B287" s="26">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2" t="n"/>
      <c r="D287" s="26">
        <f>IF(C287="","",IF(COUNTIF(lst_Jobs,C287&amp;"")&gt;0,"OK","CHECK"))</f>
        <v/>
      </c>
      <c r="E287" s="26">
        <f>IF(C287="","",IFERROR(INDEX(lst_JobName,MATCH(C287&amp;"",lst_Jobs,0)),""))</f>
        <v/>
      </c>
      <c r="F287" s="22" t="n"/>
      <c r="G287" s="22" t="n"/>
      <c r="H287" s="22" t="n"/>
      <c r="I287" s="22" t="n"/>
      <c r="J287" s="22" t="n"/>
      <c r="K287" s="28">
        <f>IF(C287="","",COUNTIFS(tbl_Finance[Job Number],C287&amp;"",tbl_Finance[Ex GST],"&lt;&gt;"))</f>
        <v/>
      </c>
      <c r="L287" s="27">
        <f>IF(C287="","",SUMIFS(tbl_Finance[Ex GST],tbl_Finance[Job Number],C287&amp;""))</f>
        <v/>
      </c>
      <c r="M287" s="27">
        <f>IF(C287="","",SUMIFS(tbl_Finance[Ex GST],tbl_Finance[Job Number],C287&amp;"",tbl_Finance[Xero Invoice No],"&lt;&gt;"))</f>
        <v/>
      </c>
      <c r="N287" s="27">
        <f>IF(C287="","",L287-M287)</f>
        <v/>
      </c>
      <c r="O287" s="24" t="n"/>
      <c r="P287" s="27">
        <f>IF(C287="","",IF(O287="",0,MAX(0,O287-L287)))</f>
        <v/>
      </c>
      <c r="Q287" s="26">
        <f>IF(C287="","",IF(K287=0,"not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R287" s="27">
        <f>IF(C287="","",SUMIFS(tbl_Finance[Inc GST],tbl_Finance[Job Number],C287&amp;""))</f>
        <v/>
      </c>
      <c r="S287" s="22" t="n"/>
      <c r="T287" s="22" t="n"/>
      <c r="U287" s="22" t="n"/>
      <c r="V287" s="23" t="n"/>
      <c r="W287" s="22" t="n"/>
      <c r="X287" s="26">
        <f>IF(W287="","",IF(AND(LEFT(W287,4)&lt;&gt;"http",set_RMSBase=""),"",HYPERLINK(IF(LEFT(W287,4)="http",W287,set_RMSBase&amp;W287),"Open opportunity")))</f>
        <v/>
      </c>
      <c r="Y287" s="22" t="n"/>
      <c r="Z287" s="26">
        <f>IF(Y287="","",HYPERLINK(IF(LEFT(Y287,4)="http",Y287,set_QwilrBase&amp;Y287),"Open quote"))</f>
        <v/>
      </c>
      <c r="AA287" s="26">
        <f>IF(C287="","",C287)</f>
        <v/>
      </c>
      <c r="AB287" s="22" t="n"/>
      <c r="AC287" s="24" t="n"/>
      <c r="AD287" s="27">
        <f>IF(C287="","",L287+N(AC287))</f>
        <v/>
      </c>
      <c r="AE287" s="29">
        <f>IFERROR(AC287/AD287,"")</f>
        <v/>
      </c>
      <c r="AF287" s="24" t="n"/>
      <c r="AG287" s="24" t="n"/>
      <c r="AH287" s="24" t="n"/>
      <c r="AI287" s="24" t="n"/>
      <c r="AJ287" s="27">
        <f>IF(C287="","",SUMIFS(tbl_Finance[Ex GST],tbl_Finance[Job Number],C287&amp;"",tbl_Finance[Cost Centre],"VIDEO"))</f>
        <v/>
      </c>
      <c r="AK287" s="29">
        <f>IFERROR(AJ287/L287,"")</f>
        <v/>
      </c>
      <c r="AL287" s="27">
        <f>IF(C287="","",N(AF287)+N(AG287)+N(AH287)+N(AI287))</f>
        <v/>
      </c>
      <c r="AM287" s="27" t="n"/>
      <c r="AN287" s="29" t="n"/>
      <c r="AO287" s="71" t="n"/>
      <c r="AP287" s="71" t="n"/>
      <c r="AQ287" s="71" t="n"/>
      <c r="AR287" s="71" t="n"/>
      <c r="AS287" s="71" t="n"/>
      <c r="AT287" s="22" t="n"/>
    </row>
    <row r="288" ht="15" customHeight="1">
      <c r="A288" s="70">
        <f>IF(C288="","",IFERROR(IF(SUMPRODUCT(MAX((tbl_Finance[Job Number]&amp;""=C288&amp;"")*(tbl_Finance[Xero Invoice No]&lt;&gt;"")*tbl_Finance[Date]))=0,"",SUMPRODUCT(MAX((tbl_Finance[Job Number]&amp;""=C288&amp;"")*(tbl_Finance[Xero Invoice No]&lt;&gt;"")*tbl_Finance[Date]))),""))</f>
        <v/>
      </c>
      <c r="B288" s="26">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2" t="n"/>
      <c r="D288" s="26">
        <f>IF(C288="","",IF(COUNTIF(lst_Jobs,C288&amp;"")&gt;0,"OK","CHECK"))</f>
        <v/>
      </c>
      <c r="E288" s="26">
        <f>IF(C288="","",IFERROR(INDEX(lst_JobName,MATCH(C288&amp;"",lst_Jobs,0)),""))</f>
        <v/>
      </c>
      <c r="F288" s="22" t="n"/>
      <c r="G288" s="22" t="n"/>
      <c r="H288" s="22" t="n"/>
      <c r="I288" s="22" t="n"/>
      <c r="J288" s="22" t="n"/>
      <c r="K288" s="28">
        <f>IF(C288="","",COUNTIFS(tbl_Finance[Job Number],C288&amp;"",tbl_Finance[Ex GST],"&lt;&gt;"))</f>
        <v/>
      </c>
      <c r="L288" s="27">
        <f>IF(C288="","",SUMIFS(tbl_Finance[Ex GST],tbl_Finance[Job Number],C288&amp;""))</f>
        <v/>
      </c>
      <c r="M288" s="27">
        <f>IF(C288="","",SUMIFS(tbl_Finance[Ex GST],tbl_Finance[Job Number],C288&amp;"",tbl_Finance[Xero Invoice No],"&lt;&gt;"))</f>
        <v/>
      </c>
      <c r="N288" s="27">
        <f>IF(C288="","",L288-M288)</f>
        <v/>
      </c>
      <c r="O288" s="24" t="n"/>
      <c r="P288" s="27">
        <f>IF(C288="","",IF(O288="",0,MAX(0,O288-L288)))</f>
        <v/>
      </c>
      <c r="Q288" s="26">
        <f>IF(C288="","",IF(K288=0,"not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R288" s="27">
        <f>IF(C288="","",SUMIFS(tbl_Finance[Inc GST],tbl_Finance[Job Number],C288&amp;""))</f>
        <v/>
      </c>
      <c r="S288" s="22" t="n"/>
      <c r="T288" s="22" t="n"/>
      <c r="U288" s="22" t="n"/>
      <c r="V288" s="23" t="n"/>
      <c r="W288" s="22" t="n"/>
      <c r="X288" s="26">
        <f>IF(W288="","",IF(AND(LEFT(W288,4)&lt;&gt;"http",set_RMSBase=""),"",HYPERLINK(IF(LEFT(W288,4)="http",W288,set_RMSBase&amp;W288),"Open opportunity")))</f>
        <v/>
      </c>
      <c r="Y288" s="22" t="n"/>
      <c r="Z288" s="26">
        <f>IF(Y288="","",HYPERLINK(IF(LEFT(Y288,4)="http",Y288,set_QwilrBase&amp;Y288),"Open quote"))</f>
        <v/>
      </c>
      <c r="AA288" s="26">
        <f>IF(C288="","",C288)</f>
        <v/>
      </c>
      <c r="AB288" s="22" t="n"/>
      <c r="AC288" s="24" t="n"/>
      <c r="AD288" s="27">
        <f>IF(C288="","",L288+N(AC288))</f>
        <v/>
      </c>
      <c r="AE288" s="29">
        <f>IFERROR(AC288/AD288,"")</f>
        <v/>
      </c>
      <c r="AF288" s="24" t="n"/>
      <c r="AG288" s="24" t="n"/>
      <c r="AH288" s="24" t="n"/>
      <c r="AI288" s="24" t="n"/>
      <c r="AJ288" s="27">
        <f>IF(C288="","",SUMIFS(tbl_Finance[Ex GST],tbl_Finance[Job Number],C288&amp;"",tbl_Finance[Cost Centre],"VIDEO"))</f>
        <v/>
      </c>
      <c r="AK288" s="29">
        <f>IFERROR(AJ288/L288,"")</f>
        <v/>
      </c>
      <c r="AL288" s="27">
        <f>IF(C288="","",N(AF288)+N(AG288)+N(AH288)+N(AI288))</f>
        <v/>
      </c>
      <c r="AM288" s="27" t="n"/>
      <c r="AN288" s="29" t="n"/>
      <c r="AO288" s="71" t="n"/>
      <c r="AP288" s="71" t="n"/>
      <c r="AQ288" s="71" t="n"/>
      <c r="AR288" s="71" t="n"/>
      <c r="AS288" s="71" t="n"/>
      <c r="AT288" s="22" t="n"/>
    </row>
    <row r="289" ht="15" customHeight="1">
      <c r="A289" s="70">
        <f>IF(C289="","",IFERROR(IF(SUMPRODUCT(MAX((tbl_Finance[Job Number]&amp;""=C289&amp;"")*(tbl_Finance[Xero Invoice No]&lt;&gt;"")*tbl_Finance[Date]))=0,"",SUMPRODUCT(MAX((tbl_Finance[Job Number]&amp;""=C289&amp;"")*(tbl_Finance[Xero Invoice No]&lt;&gt;"")*tbl_Finance[Date]))),""))</f>
        <v/>
      </c>
      <c r="B289" s="26">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2" t="n"/>
      <c r="D289" s="26">
        <f>IF(C289="","",IF(COUNTIF(lst_Jobs,C289&amp;"")&gt;0,"OK","CHECK"))</f>
        <v/>
      </c>
      <c r="E289" s="26">
        <f>IF(C289="","",IFERROR(INDEX(lst_JobName,MATCH(C289&amp;"",lst_Jobs,0)),""))</f>
        <v/>
      </c>
      <c r="F289" s="22" t="n"/>
      <c r="G289" s="22" t="n"/>
      <c r="H289" s="22" t="n"/>
      <c r="I289" s="22" t="n"/>
      <c r="J289" s="22" t="n"/>
      <c r="K289" s="28">
        <f>IF(C289="","",COUNTIFS(tbl_Finance[Job Number],C289&amp;"",tbl_Finance[Ex GST],"&lt;&gt;"))</f>
        <v/>
      </c>
      <c r="L289" s="27">
        <f>IF(C289="","",SUMIFS(tbl_Finance[Ex GST],tbl_Finance[Job Number],C289&amp;""))</f>
        <v/>
      </c>
      <c r="M289" s="27">
        <f>IF(C289="","",SUMIFS(tbl_Finance[Ex GST],tbl_Finance[Job Number],C289&amp;"",tbl_Finance[Xero Invoice No],"&lt;&gt;"))</f>
        <v/>
      </c>
      <c r="N289" s="27">
        <f>IF(C289="","",L289-M289)</f>
        <v/>
      </c>
      <c r="O289" s="24" t="n"/>
      <c r="P289" s="27">
        <f>IF(C289="","",IF(O289="",0,MAX(0,O289-L289)))</f>
        <v/>
      </c>
      <c r="Q289" s="26">
        <f>IF(C289="","",IF(K289=0,"not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R289" s="27">
        <f>IF(C289="","",SUMIFS(tbl_Finance[Inc GST],tbl_Finance[Job Number],C289&amp;""))</f>
        <v/>
      </c>
      <c r="S289" s="22" t="n"/>
      <c r="T289" s="22" t="n"/>
      <c r="U289" s="22" t="n"/>
      <c r="V289" s="23" t="n"/>
      <c r="W289" s="22" t="n"/>
      <c r="X289" s="26">
        <f>IF(W289="","",IF(AND(LEFT(W289,4)&lt;&gt;"http",set_RMSBase=""),"",HYPERLINK(IF(LEFT(W289,4)="http",W289,set_RMSBase&amp;W289),"Open opportunity")))</f>
        <v/>
      </c>
      <c r="Y289" s="22" t="n"/>
      <c r="Z289" s="26">
        <f>IF(Y289="","",HYPERLINK(IF(LEFT(Y289,4)="http",Y289,set_QwilrBase&amp;Y289),"Open quote"))</f>
        <v/>
      </c>
      <c r="AA289" s="26">
        <f>IF(C289="","",C289)</f>
        <v/>
      </c>
      <c r="AB289" s="22" t="n"/>
      <c r="AC289" s="24" t="n"/>
      <c r="AD289" s="27">
        <f>IF(C289="","",L289+N(AC289))</f>
        <v/>
      </c>
      <c r="AE289" s="29">
        <f>IFERROR(AC289/AD289,"")</f>
        <v/>
      </c>
      <c r="AF289" s="24" t="n"/>
      <c r="AG289" s="24" t="n"/>
      <c r="AH289" s="24" t="n"/>
      <c r="AI289" s="24" t="n"/>
      <c r="AJ289" s="27">
        <f>IF(C289="","",SUMIFS(tbl_Finance[Ex GST],tbl_Finance[Job Number],C289&amp;"",tbl_Finance[Cost Centre],"VIDEO"))</f>
        <v/>
      </c>
      <c r="AK289" s="29">
        <f>IFERROR(AJ289/L289,"")</f>
        <v/>
      </c>
      <c r="AL289" s="27">
        <f>IF(C289="","",N(AF289)+N(AG289)+N(AH289)+N(AI289))</f>
        <v/>
      </c>
      <c r="AM289" s="27" t="n"/>
      <c r="AN289" s="29" t="n"/>
      <c r="AO289" s="71" t="n"/>
      <c r="AP289" s="71" t="n"/>
      <c r="AQ289" s="71" t="n"/>
      <c r="AR289" s="71" t="n"/>
      <c r="AS289" s="71" t="n"/>
      <c r="AT289" s="22" t="n"/>
    </row>
    <row r="290" ht="15" customHeight="1">
      <c r="A290" s="70">
        <f>IF(C290="","",IFERROR(IF(SUMPRODUCT(MAX((tbl_Finance[Job Number]&amp;""=C290&amp;"")*(tbl_Finance[Xero Invoice No]&lt;&gt;"")*tbl_Finance[Date]))=0,"",SUMPRODUCT(MAX((tbl_Finance[Job Number]&amp;""=C290&amp;"")*(tbl_Finance[Xero Invoice No]&lt;&gt;"")*tbl_Finance[Date]))),""))</f>
        <v/>
      </c>
      <c r="B290" s="26">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2" t="n"/>
      <c r="D290" s="26">
        <f>IF(C290="","",IF(COUNTIF(lst_Jobs,C290&amp;"")&gt;0,"OK","CHECK"))</f>
        <v/>
      </c>
      <c r="E290" s="26">
        <f>IF(C290="","",IFERROR(INDEX(lst_JobName,MATCH(C290&amp;"",lst_Jobs,0)),""))</f>
        <v/>
      </c>
      <c r="F290" s="22" t="n"/>
      <c r="G290" s="22" t="n"/>
      <c r="H290" s="22" t="n"/>
      <c r="I290" s="22" t="n"/>
      <c r="J290" s="22" t="n"/>
      <c r="K290" s="28">
        <f>IF(C290="","",COUNTIFS(tbl_Finance[Job Number],C290&amp;"",tbl_Finance[Ex GST],"&lt;&gt;"))</f>
        <v/>
      </c>
      <c r="L290" s="27">
        <f>IF(C290="","",SUMIFS(tbl_Finance[Ex GST],tbl_Finance[Job Number],C290&amp;""))</f>
        <v/>
      </c>
      <c r="M290" s="27">
        <f>IF(C290="","",SUMIFS(tbl_Finance[Ex GST],tbl_Finance[Job Number],C290&amp;"",tbl_Finance[Xero Invoice No],"&lt;&gt;"))</f>
        <v/>
      </c>
      <c r="N290" s="27">
        <f>IF(C290="","",L290-M290)</f>
        <v/>
      </c>
      <c r="O290" s="24" t="n"/>
      <c r="P290" s="27">
        <f>IF(C290="","",IF(O290="",0,MAX(0,O290-L290)))</f>
        <v/>
      </c>
      <c r="Q290" s="26">
        <f>IF(C290="","",IF(K290=0,"not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R290" s="27">
        <f>IF(C290="","",SUMIFS(tbl_Finance[Inc GST],tbl_Finance[Job Number],C290&amp;""))</f>
        <v/>
      </c>
      <c r="S290" s="22" t="n"/>
      <c r="T290" s="22" t="n"/>
      <c r="U290" s="22" t="n"/>
      <c r="V290" s="23" t="n"/>
      <c r="W290" s="22" t="n"/>
      <c r="X290" s="26">
        <f>IF(W290="","",IF(AND(LEFT(W290,4)&lt;&gt;"http",set_RMSBase=""),"",HYPERLINK(IF(LEFT(W290,4)="http",W290,set_RMSBase&amp;W290),"Open opportunity")))</f>
        <v/>
      </c>
      <c r="Y290" s="22" t="n"/>
      <c r="Z290" s="26">
        <f>IF(Y290="","",HYPERLINK(IF(LEFT(Y290,4)="http",Y290,set_QwilrBase&amp;Y290),"Open quote"))</f>
        <v/>
      </c>
      <c r="AA290" s="26">
        <f>IF(C290="","",C290)</f>
        <v/>
      </c>
      <c r="AB290" s="22" t="n"/>
      <c r="AC290" s="24" t="n"/>
      <c r="AD290" s="27">
        <f>IF(C290="","",L290+N(AC290))</f>
        <v/>
      </c>
      <c r="AE290" s="29">
        <f>IFERROR(AC290/AD290,"")</f>
        <v/>
      </c>
      <c r="AF290" s="24" t="n"/>
      <c r="AG290" s="24" t="n"/>
      <c r="AH290" s="24" t="n"/>
      <c r="AI290" s="24" t="n"/>
      <c r="AJ290" s="27">
        <f>IF(C290="","",SUMIFS(tbl_Finance[Ex GST],tbl_Finance[Job Number],C290&amp;"",tbl_Finance[Cost Centre],"VIDEO"))</f>
        <v/>
      </c>
      <c r="AK290" s="29">
        <f>IFERROR(AJ290/L290,"")</f>
        <v/>
      </c>
      <c r="AL290" s="27">
        <f>IF(C290="","",N(AF290)+N(AG290)+N(AH290)+N(AI290))</f>
        <v/>
      </c>
      <c r="AM290" s="27" t="n"/>
      <c r="AN290" s="29" t="n"/>
      <c r="AO290" s="71" t="n"/>
      <c r="AP290" s="71" t="n"/>
      <c r="AQ290" s="71" t="n"/>
      <c r="AR290" s="71" t="n"/>
      <c r="AS290" s="71" t="n"/>
      <c r="AT290" s="22" t="n"/>
    </row>
    <row r="291" ht="15" customHeight="1">
      <c r="A291" s="70">
        <f>IF(C291="","",IFERROR(IF(SUMPRODUCT(MAX((tbl_Finance[Job Number]&amp;""=C291&amp;"")*(tbl_Finance[Xero Invoice No]&lt;&gt;"")*tbl_Finance[Date]))=0,"",SUMPRODUCT(MAX((tbl_Finance[Job Number]&amp;""=C291&amp;"")*(tbl_Finance[Xero Invoice No]&lt;&gt;"")*tbl_Finance[Date]))),""))</f>
        <v/>
      </c>
      <c r="B291" s="26">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2" t="n"/>
      <c r="D291" s="26">
        <f>IF(C291="","",IF(COUNTIF(lst_Jobs,C291&amp;"")&gt;0,"OK","CHECK"))</f>
        <v/>
      </c>
      <c r="E291" s="26">
        <f>IF(C291="","",IFERROR(INDEX(lst_JobName,MATCH(C291&amp;"",lst_Jobs,0)),""))</f>
        <v/>
      </c>
      <c r="F291" s="22" t="n"/>
      <c r="G291" s="22" t="n"/>
      <c r="H291" s="22" t="n"/>
      <c r="I291" s="22" t="n"/>
      <c r="J291" s="22" t="n"/>
      <c r="K291" s="28">
        <f>IF(C291="","",COUNTIFS(tbl_Finance[Job Number],C291&amp;"",tbl_Finance[Ex GST],"&lt;&gt;"))</f>
        <v/>
      </c>
      <c r="L291" s="27">
        <f>IF(C291="","",SUMIFS(tbl_Finance[Ex GST],tbl_Finance[Job Number],C291&amp;""))</f>
        <v/>
      </c>
      <c r="M291" s="27">
        <f>IF(C291="","",SUMIFS(tbl_Finance[Ex GST],tbl_Finance[Job Number],C291&amp;"",tbl_Finance[Xero Invoice No],"&lt;&gt;"))</f>
        <v/>
      </c>
      <c r="N291" s="27">
        <f>IF(C291="","",L291-M291)</f>
        <v/>
      </c>
      <c r="O291" s="24" t="n"/>
      <c r="P291" s="27">
        <f>IF(C291="","",IF(O291="",0,MAX(0,O291-L291)))</f>
        <v/>
      </c>
      <c r="Q291" s="26">
        <f>IF(C291="","",IF(K291=0,"not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R291" s="27">
        <f>IF(C291="","",SUMIFS(tbl_Finance[Inc GST],tbl_Finance[Job Number],C291&amp;""))</f>
        <v/>
      </c>
      <c r="S291" s="22" t="n"/>
      <c r="T291" s="22" t="n"/>
      <c r="U291" s="22" t="n"/>
      <c r="V291" s="23" t="n"/>
      <c r="W291" s="22" t="n"/>
      <c r="X291" s="26">
        <f>IF(W291="","",IF(AND(LEFT(W291,4)&lt;&gt;"http",set_RMSBase=""),"",HYPERLINK(IF(LEFT(W291,4)="http",W291,set_RMSBase&amp;W291),"Open opportunity")))</f>
        <v/>
      </c>
      <c r="Y291" s="22" t="n"/>
      <c r="Z291" s="26">
        <f>IF(Y291="","",HYPERLINK(IF(LEFT(Y291,4)="http",Y291,set_QwilrBase&amp;Y291),"Open quote"))</f>
        <v/>
      </c>
      <c r="AA291" s="26">
        <f>IF(C291="","",C291)</f>
        <v/>
      </c>
      <c r="AB291" s="22" t="n"/>
      <c r="AC291" s="24" t="n"/>
      <c r="AD291" s="27">
        <f>IF(C291="","",L291+N(AC291))</f>
        <v/>
      </c>
      <c r="AE291" s="29">
        <f>IFERROR(AC291/AD291,"")</f>
        <v/>
      </c>
      <c r="AF291" s="24" t="n"/>
      <c r="AG291" s="24" t="n"/>
      <c r="AH291" s="24" t="n"/>
      <c r="AI291" s="24" t="n"/>
      <c r="AJ291" s="27">
        <f>IF(C291="","",SUMIFS(tbl_Finance[Ex GST],tbl_Finance[Job Number],C291&amp;"",tbl_Finance[Cost Centre],"VIDEO"))</f>
        <v/>
      </c>
      <c r="AK291" s="29">
        <f>IFERROR(AJ291/L291,"")</f>
        <v/>
      </c>
      <c r="AL291" s="27">
        <f>IF(C291="","",N(AF291)+N(AG291)+N(AH291)+N(AI291))</f>
        <v/>
      </c>
      <c r="AM291" s="27" t="n"/>
      <c r="AN291" s="29" t="n"/>
      <c r="AO291" s="71" t="n"/>
      <c r="AP291" s="71" t="n"/>
      <c r="AQ291" s="71" t="n"/>
      <c r="AR291" s="71" t="n"/>
      <c r="AS291" s="71" t="n"/>
      <c r="AT291" s="22" t="n"/>
    </row>
    <row r="292" ht="15" customHeight="1">
      <c r="A292" s="70">
        <f>IF(C292="","",IFERROR(IF(SUMPRODUCT(MAX((tbl_Finance[Job Number]&amp;""=C292&amp;"")*(tbl_Finance[Xero Invoice No]&lt;&gt;"")*tbl_Finance[Date]))=0,"",SUMPRODUCT(MAX((tbl_Finance[Job Number]&amp;""=C292&amp;"")*(tbl_Finance[Xero Invoice No]&lt;&gt;"")*tbl_Finance[Date]))),""))</f>
        <v/>
      </c>
      <c r="B292" s="26">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2" t="n"/>
      <c r="D292" s="26">
        <f>IF(C292="","",IF(COUNTIF(lst_Jobs,C292&amp;"")&gt;0,"OK","CHECK"))</f>
        <v/>
      </c>
      <c r="E292" s="26">
        <f>IF(C292="","",IFERROR(INDEX(lst_JobName,MATCH(C292&amp;"",lst_Jobs,0)),""))</f>
        <v/>
      </c>
      <c r="F292" s="22" t="n"/>
      <c r="G292" s="22" t="n"/>
      <c r="H292" s="22" t="n"/>
      <c r="I292" s="22" t="n"/>
      <c r="J292" s="22" t="n"/>
      <c r="K292" s="28">
        <f>IF(C292="","",COUNTIFS(tbl_Finance[Job Number],C292&amp;"",tbl_Finance[Ex GST],"&lt;&gt;"))</f>
        <v/>
      </c>
      <c r="L292" s="27">
        <f>IF(C292="","",SUMIFS(tbl_Finance[Ex GST],tbl_Finance[Job Number],C292&amp;""))</f>
        <v/>
      </c>
      <c r="M292" s="27">
        <f>IF(C292="","",SUMIFS(tbl_Finance[Ex GST],tbl_Finance[Job Number],C292&amp;"",tbl_Finance[Xero Invoice No],"&lt;&gt;"))</f>
        <v/>
      </c>
      <c r="N292" s="27">
        <f>IF(C292="","",L292-M292)</f>
        <v/>
      </c>
      <c r="O292" s="24" t="n"/>
      <c r="P292" s="27">
        <f>IF(C292="","",IF(O292="",0,MAX(0,O292-L292)))</f>
        <v/>
      </c>
      <c r="Q292" s="26">
        <f>IF(C292="","",IF(K292=0,"not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R292" s="27">
        <f>IF(C292="","",SUMIFS(tbl_Finance[Inc GST],tbl_Finance[Job Number],C292&amp;""))</f>
        <v/>
      </c>
      <c r="S292" s="22" t="n"/>
      <c r="T292" s="22" t="n"/>
      <c r="U292" s="22" t="n"/>
      <c r="V292" s="23" t="n"/>
      <c r="W292" s="22" t="n"/>
      <c r="X292" s="26">
        <f>IF(W292="","",IF(AND(LEFT(W292,4)&lt;&gt;"http",set_RMSBase=""),"",HYPERLINK(IF(LEFT(W292,4)="http",W292,set_RMSBase&amp;W292),"Open opportunity")))</f>
        <v/>
      </c>
      <c r="Y292" s="22" t="n"/>
      <c r="Z292" s="26">
        <f>IF(Y292="","",HYPERLINK(IF(LEFT(Y292,4)="http",Y292,set_QwilrBase&amp;Y292),"Open quote"))</f>
        <v/>
      </c>
      <c r="AA292" s="26">
        <f>IF(C292="","",C292)</f>
        <v/>
      </c>
      <c r="AB292" s="22" t="n"/>
      <c r="AC292" s="24" t="n"/>
      <c r="AD292" s="27">
        <f>IF(C292="","",L292+N(AC292))</f>
        <v/>
      </c>
      <c r="AE292" s="29">
        <f>IFERROR(AC292/AD292,"")</f>
        <v/>
      </c>
      <c r="AF292" s="24" t="n"/>
      <c r="AG292" s="24" t="n"/>
      <c r="AH292" s="24" t="n"/>
      <c r="AI292" s="24" t="n"/>
      <c r="AJ292" s="27">
        <f>IF(C292="","",SUMIFS(tbl_Finance[Ex GST],tbl_Finance[Job Number],C292&amp;"",tbl_Finance[Cost Centre],"VIDEO"))</f>
        <v/>
      </c>
      <c r="AK292" s="29">
        <f>IFERROR(AJ292/L292,"")</f>
        <v/>
      </c>
      <c r="AL292" s="27">
        <f>IF(C292="","",N(AF292)+N(AG292)+N(AH292)+N(AI292))</f>
        <v/>
      </c>
      <c r="AM292" s="27" t="n"/>
      <c r="AN292" s="29" t="n"/>
      <c r="AO292" s="71" t="n"/>
      <c r="AP292" s="71" t="n"/>
      <c r="AQ292" s="71" t="n"/>
      <c r="AR292" s="71" t="n"/>
      <c r="AS292" s="71" t="n"/>
      <c r="AT292" s="22" t="n"/>
    </row>
    <row r="293" ht="15" customHeight="1">
      <c r="A293" s="70">
        <f>IF(C293="","",IFERROR(IF(SUMPRODUCT(MAX((tbl_Finance[Job Number]&amp;""=C293&amp;"")*(tbl_Finance[Xero Invoice No]&lt;&gt;"")*tbl_Finance[Date]))=0,"",SUMPRODUCT(MAX((tbl_Finance[Job Number]&amp;""=C293&amp;"")*(tbl_Finance[Xero Invoice No]&lt;&gt;"")*tbl_Finance[Date]))),""))</f>
        <v/>
      </c>
      <c r="B293" s="26">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2" t="n"/>
      <c r="D293" s="26">
        <f>IF(C293="","",IF(COUNTIF(lst_Jobs,C293&amp;"")&gt;0,"OK","CHECK"))</f>
        <v/>
      </c>
      <c r="E293" s="26">
        <f>IF(C293="","",IFERROR(INDEX(lst_JobName,MATCH(C293&amp;"",lst_Jobs,0)),""))</f>
        <v/>
      </c>
      <c r="F293" s="22" t="n"/>
      <c r="G293" s="22" t="n"/>
      <c r="H293" s="22" t="n"/>
      <c r="I293" s="22" t="n"/>
      <c r="J293" s="22" t="n"/>
      <c r="K293" s="28">
        <f>IF(C293="","",COUNTIFS(tbl_Finance[Job Number],C293&amp;"",tbl_Finance[Ex GST],"&lt;&gt;"))</f>
        <v/>
      </c>
      <c r="L293" s="27">
        <f>IF(C293="","",SUMIFS(tbl_Finance[Ex GST],tbl_Finance[Job Number],C293&amp;""))</f>
        <v/>
      </c>
      <c r="M293" s="27">
        <f>IF(C293="","",SUMIFS(tbl_Finance[Ex GST],tbl_Finance[Job Number],C293&amp;"",tbl_Finance[Xero Invoice No],"&lt;&gt;"))</f>
        <v/>
      </c>
      <c r="N293" s="27">
        <f>IF(C293="","",L293-M293)</f>
        <v/>
      </c>
      <c r="O293" s="24" t="n"/>
      <c r="P293" s="27">
        <f>IF(C293="","",IF(O293="",0,MAX(0,O293-L293)))</f>
        <v/>
      </c>
      <c r="Q293" s="26">
        <f>IF(C293="","",IF(K293=0,"not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R293" s="27">
        <f>IF(C293="","",SUMIFS(tbl_Finance[Inc GST],tbl_Finance[Job Number],C293&amp;""))</f>
        <v/>
      </c>
      <c r="S293" s="22" t="n"/>
      <c r="T293" s="22" t="n"/>
      <c r="U293" s="22" t="n"/>
      <c r="V293" s="23" t="n"/>
      <c r="W293" s="22" t="n"/>
      <c r="X293" s="26">
        <f>IF(W293="","",IF(AND(LEFT(W293,4)&lt;&gt;"http",set_RMSBase=""),"",HYPERLINK(IF(LEFT(W293,4)="http",W293,set_RMSBase&amp;W293),"Open opportunity")))</f>
        <v/>
      </c>
      <c r="Y293" s="22" t="n"/>
      <c r="Z293" s="26">
        <f>IF(Y293="","",HYPERLINK(IF(LEFT(Y293,4)="http",Y293,set_QwilrBase&amp;Y293),"Open quote"))</f>
        <v/>
      </c>
      <c r="AA293" s="26">
        <f>IF(C293="","",C293)</f>
        <v/>
      </c>
      <c r="AB293" s="22" t="n"/>
      <c r="AC293" s="24" t="n"/>
      <c r="AD293" s="27">
        <f>IF(C293="","",L293+N(AC293))</f>
        <v/>
      </c>
      <c r="AE293" s="29">
        <f>IFERROR(AC293/AD293,"")</f>
        <v/>
      </c>
      <c r="AF293" s="24" t="n"/>
      <c r="AG293" s="24" t="n"/>
      <c r="AH293" s="24" t="n"/>
      <c r="AI293" s="24" t="n"/>
      <c r="AJ293" s="27">
        <f>IF(C293="","",SUMIFS(tbl_Finance[Ex GST],tbl_Finance[Job Number],C293&amp;"",tbl_Finance[Cost Centre],"VIDEO"))</f>
        <v/>
      </c>
      <c r="AK293" s="29">
        <f>IFERROR(AJ293/L293,"")</f>
        <v/>
      </c>
      <c r="AL293" s="27">
        <f>IF(C293="","",N(AF293)+N(AG293)+N(AH293)+N(AI293))</f>
        <v/>
      </c>
      <c r="AM293" s="27" t="n"/>
      <c r="AN293" s="29" t="n"/>
      <c r="AO293" s="71" t="n"/>
      <c r="AP293" s="71" t="n"/>
      <c r="AQ293" s="71" t="n"/>
      <c r="AR293" s="71" t="n"/>
      <c r="AS293" s="71" t="n"/>
      <c r="AT293" s="22" t="n"/>
    </row>
    <row r="294" ht="15" customHeight="1">
      <c r="A294" s="70">
        <f>IF(C294="","",IFERROR(IF(SUMPRODUCT(MAX((tbl_Finance[Job Number]&amp;""=C294&amp;"")*(tbl_Finance[Xero Invoice No]&lt;&gt;"")*tbl_Finance[Date]))=0,"",SUMPRODUCT(MAX((tbl_Finance[Job Number]&amp;""=C294&amp;"")*(tbl_Finance[Xero Invoice No]&lt;&gt;"")*tbl_Finance[Date]))),""))</f>
        <v/>
      </c>
      <c r="B294" s="26">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2" t="n"/>
      <c r="D294" s="26">
        <f>IF(C294="","",IF(COUNTIF(lst_Jobs,C294&amp;"")&gt;0,"OK","CHECK"))</f>
        <v/>
      </c>
      <c r="E294" s="26">
        <f>IF(C294="","",IFERROR(INDEX(lst_JobName,MATCH(C294&amp;"",lst_Jobs,0)),""))</f>
        <v/>
      </c>
      <c r="F294" s="22" t="n"/>
      <c r="G294" s="22" t="n"/>
      <c r="H294" s="22" t="n"/>
      <c r="I294" s="22" t="n"/>
      <c r="J294" s="22" t="n"/>
      <c r="K294" s="28">
        <f>IF(C294="","",COUNTIFS(tbl_Finance[Job Number],C294&amp;"",tbl_Finance[Ex GST],"&lt;&gt;"))</f>
        <v/>
      </c>
      <c r="L294" s="27">
        <f>IF(C294="","",SUMIFS(tbl_Finance[Ex GST],tbl_Finance[Job Number],C294&amp;""))</f>
        <v/>
      </c>
      <c r="M294" s="27">
        <f>IF(C294="","",SUMIFS(tbl_Finance[Ex GST],tbl_Finance[Job Number],C294&amp;"",tbl_Finance[Xero Invoice No],"&lt;&gt;"))</f>
        <v/>
      </c>
      <c r="N294" s="27">
        <f>IF(C294="","",L294-M294)</f>
        <v/>
      </c>
      <c r="O294" s="24" t="n"/>
      <c r="P294" s="27">
        <f>IF(C294="","",IF(O294="",0,MAX(0,O294-L294)))</f>
        <v/>
      </c>
      <c r="Q294" s="26">
        <f>IF(C294="","",IF(K294=0,"not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R294" s="27">
        <f>IF(C294="","",SUMIFS(tbl_Finance[Inc GST],tbl_Finance[Job Number],C294&amp;""))</f>
        <v/>
      </c>
      <c r="S294" s="22" t="n"/>
      <c r="T294" s="22" t="n"/>
      <c r="U294" s="22" t="n"/>
      <c r="V294" s="23" t="n"/>
      <c r="W294" s="22" t="n"/>
      <c r="X294" s="26">
        <f>IF(W294="","",IF(AND(LEFT(W294,4)&lt;&gt;"http",set_RMSBase=""),"",HYPERLINK(IF(LEFT(W294,4)="http",W294,set_RMSBase&amp;W294),"Open opportunity")))</f>
        <v/>
      </c>
      <c r="Y294" s="22" t="n"/>
      <c r="Z294" s="26">
        <f>IF(Y294="","",HYPERLINK(IF(LEFT(Y294,4)="http",Y294,set_QwilrBase&amp;Y294),"Open quote"))</f>
        <v/>
      </c>
      <c r="AA294" s="26">
        <f>IF(C294="","",C294)</f>
        <v/>
      </c>
      <c r="AB294" s="22" t="n"/>
      <c r="AC294" s="24" t="n"/>
      <c r="AD294" s="27">
        <f>IF(C294="","",L294+N(AC294))</f>
        <v/>
      </c>
      <c r="AE294" s="29">
        <f>IFERROR(AC294/AD294,"")</f>
        <v/>
      </c>
      <c r="AF294" s="24" t="n"/>
      <c r="AG294" s="24" t="n"/>
      <c r="AH294" s="24" t="n"/>
      <c r="AI294" s="24" t="n"/>
      <c r="AJ294" s="27">
        <f>IF(C294="","",SUMIFS(tbl_Finance[Ex GST],tbl_Finance[Job Number],C294&amp;"",tbl_Finance[Cost Centre],"VIDEO"))</f>
        <v/>
      </c>
      <c r="AK294" s="29">
        <f>IFERROR(AJ294/L294,"")</f>
        <v/>
      </c>
      <c r="AL294" s="27">
        <f>IF(C294="","",N(AF294)+N(AG294)+N(AH294)+N(AI294))</f>
        <v/>
      </c>
      <c r="AM294" s="27" t="n"/>
      <c r="AN294" s="29" t="n"/>
      <c r="AO294" s="71" t="n"/>
      <c r="AP294" s="71" t="n"/>
      <c r="AQ294" s="71" t="n"/>
      <c r="AR294" s="71" t="n"/>
      <c r="AS294" s="71" t="n"/>
      <c r="AT294" s="22" t="n"/>
    </row>
    <row r="295" ht="15" customHeight="1">
      <c r="A295" s="70">
        <f>IF(C295="","",IFERROR(IF(SUMPRODUCT(MAX((tbl_Finance[Job Number]&amp;""=C295&amp;"")*(tbl_Finance[Xero Invoice No]&lt;&gt;"")*tbl_Finance[Date]))=0,"",SUMPRODUCT(MAX((tbl_Finance[Job Number]&amp;""=C295&amp;"")*(tbl_Finance[Xero Invoice No]&lt;&gt;"")*tbl_Finance[Date]))),""))</f>
        <v/>
      </c>
      <c r="B295" s="26">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2" t="n"/>
      <c r="D295" s="26">
        <f>IF(C295="","",IF(COUNTIF(lst_Jobs,C295&amp;"")&gt;0,"OK","CHECK"))</f>
        <v/>
      </c>
      <c r="E295" s="26">
        <f>IF(C295="","",IFERROR(INDEX(lst_JobName,MATCH(C295&amp;"",lst_Jobs,0)),""))</f>
        <v/>
      </c>
      <c r="F295" s="22" t="n"/>
      <c r="G295" s="22" t="n"/>
      <c r="H295" s="22" t="n"/>
      <c r="I295" s="22" t="n"/>
      <c r="J295" s="22" t="n"/>
      <c r="K295" s="28">
        <f>IF(C295="","",COUNTIFS(tbl_Finance[Job Number],C295&amp;"",tbl_Finance[Ex GST],"&lt;&gt;"))</f>
        <v/>
      </c>
      <c r="L295" s="27">
        <f>IF(C295="","",SUMIFS(tbl_Finance[Ex GST],tbl_Finance[Job Number],C295&amp;""))</f>
        <v/>
      </c>
      <c r="M295" s="27">
        <f>IF(C295="","",SUMIFS(tbl_Finance[Ex GST],tbl_Finance[Job Number],C295&amp;"",tbl_Finance[Xero Invoice No],"&lt;&gt;"))</f>
        <v/>
      </c>
      <c r="N295" s="27">
        <f>IF(C295="","",L295-M295)</f>
        <v/>
      </c>
      <c r="O295" s="24" t="n"/>
      <c r="P295" s="27">
        <f>IF(C295="","",IF(O295="",0,MAX(0,O295-L295)))</f>
        <v/>
      </c>
      <c r="Q295" s="26">
        <f>IF(C295="","",IF(K295=0,"not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R295" s="27">
        <f>IF(C295="","",SUMIFS(tbl_Finance[Inc GST],tbl_Finance[Job Number],C295&amp;""))</f>
        <v/>
      </c>
      <c r="S295" s="22" t="n"/>
      <c r="T295" s="22" t="n"/>
      <c r="U295" s="22" t="n"/>
      <c r="V295" s="23" t="n"/>
      <c r="W295" s="22" t="n"/>
      <c r="X295" s="26">
        <f>IF(W295="","",IF(AND(LEFT(W295,4)&lt;&gt;"http",set_RMSBase=""),"",HYPERLINK(IF(LEFT(W295,4)="http",W295,set_RMSBase&amp;W295),"Open opportunity")))</f>
        <v/>
      </c>
      <c r="Y295" s="22" t="n"/>
      <c r="Z295" s="26">
        <f>IF(Y295="","",HYPERLINK(IF(LEFT(Y295,4)="http",Y295,set_QwilrBase&amp;Y295),"Open quote"))</f>
        <v/>
      </c>
      <c r="AA295" s="26">
        <f>IF(C295="","",C295)</f>
        <v/>
      </c>
      <c r="AB295" s="22" t="n"/>
      <c r="AC295" s="24" t="n"/>
      <c r="AD295" s="27">
        <f>IF(C295="","",L295+N(AC295))</f>
        <v/>
      </c>
      <c r="AE295" s="29">
        <f>IFERROR(AC295/AD295,"")</f>
        <v/>
      </c>
      <c r="AF295" s="24" t="n"/>
      <c r="AG295" s="24" t="n"/>
      <c r="AH295" s="24" t="n"/>
      <c r="AI295" s="24" t="n"/>
      <c r="AJ295" s="27">
        <f>IF(C295="","",SUMIFS(tbl_Finance[Ex GST],tbl_Finance[Job Number],C295&amp;"",tbl_Finance[Cost Centre],"VIDEO"))</f>
        <v/>
      </c>
      <c r="AK295" s="29">
        <f>IFERROR(AJ295/L295,"")</f>
        <v/>
      </c>
      <c r="AL295" s="27">
        <f>IF(C295="","",N(AF295)+N(AG295)+N(AH295)+N(AI295))</f>
        <v/>
      </c>
      <c r="AM295" s="27" t="n"/>
      <c r="AN295" s="29" t="n"/>
      <c r="AO295" s="71" t="n"/>
      <c r="AP295" s="71" t="n"/>
      <c r="AQ295" s="71" t="n"/>
      <c r="AR295" s="71" t="n"/>
      <c r="AS295" s="71" t="n"/>
      <c r="AT295" s="22" t="n"/>
    </row>
    <row r="296" ht="15" customHeight="1">
      <c r="A296" s="70">
        <f>IF(C296="","",IFERROR(IF(SUMPRODUCT(MAX((tbl_Finance[Job Number]&amp;""=C296&amp;"")*(tbl_Finance[Xero Invoice No]&lt;&gt;"")*tbl_Finance[Date]))=0,"",SUMPRODUCT(MAX((tbl_Finance[Job Number]&amp;""=C296&amp;"")*(tbl_Finance[Xero Invoice No]&lt;&gt;"")*tbl_Finance[Date]))),""))</f>
        <v/>
      </c>
      <c r="B296" s="26">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2" t="n"/>
      <c r="D296" s="26">
        <f>IF(C296="","",IF(COUNTIF(lst_Jobs,C296&amp;"")&gt;0,"OK","CHECK"))</f>
        <v/>
      </c>
      <c r="E296" s="26">
        <f>IF(C296="","",IFERROR(INDEX(lst_JobName,MATCH(C296&amp;"",lst_Jobs,0)),""))</f>
        <v/>
      </c>
      <c r="F296" s="22" t="n"/>
      <c r="G296" s="22" t="n"/>
      <c r="H296" s="22" t="n"/>
      <c r="I296" s="22" t="n"/>
      <c r="J296" s="22" t="n"/>
      <c r="K296" s="28">
        <f>IF(C296="","",COUNTIFS(tbl_Finance[Job Number],C296&amp;"",tbl_Finance[Ex GST],"&lt;&gt;"))</f>
        <v/>
      </c>
      <c r="L296" s="27">
        <f>IF(C296="","",SUMIFS(tbl_Finance[Ex GST],tbl_Finance[Job Number],C296&amp;""))</f>
        <v/>
      </c>
      <c r="M296" s="27">
        <f>IF(C296="","",SUMIFS(tbl_Finance[Ex GST],tbl_Finance[Job Number],C296&amp;"",tbl_Finance[Xero Invoice No],"&lt;&gt;"))</f>
        <v/>
      </c>
      <c r="N296" s="27">
        <f>IF(C296="","",L296-M296)</f>
        <v/>
      </c>
      <c r="O296" s="24" t="n"/>
      <c r="P296" s="27">
        <f>IF(C296="","",IF(O296="",0,MAX(0,O296-L296)))</f>
        <v/>
      </c>
      <c r="Q296" s="26">
        <f>IF(C296="","",IF(K296=0,"not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R296" s="27">
        <f>IF(C296="","",SUMIFS(tbl_Finance[Inc GST],tbl_Finance[Job Number],C296&amp;""))</f>
        <v/>
      </c>
      <c r="S296" s="22" t="n"/>
      <c r="T296" s="22" t="n"/>
      <c r="U296" s="22" t="n"/>
      <c r="V296" s="23" t="n"/>
      <c r="W296" s="22" t="n"/>
      <c r="X296" s="26">
        <f>IF(W296="","",IF(AND(LEFT(W296,4)&lt;&gt;"http",set_RMSBase=""),"",HYPERLINK(IF(LEFT(W296,4)="http",W296,set_RMSBase&amp;W296),"Open opportunity")))</f>
        <v/>
      </c>
      <c r="Y296" s="22" t="n"/>
      <c r="Z296" s="26">
        <f>IF(Y296="","",HYPERLINK(IF(LEFT(Y296,4)="http",Y296,set_QwilrBase&amp;Y296),"Open quote"))</f>
        <v/>
      </c>
      <c r="AA296" s="26">
        <f>IF(C296="","",C296)</f>
        <v/>
      </c>
      <c r="AB296" s="22" t="n"/>
      <c r="AC296" s="24" t="n"/>
      <c r="AD296" s="27">
        <f>IF(C296="","",L296+N(AC296))</f>
        <v/>
      </c>
      <c r="AE296" s="29">
        <f>IFERROR(AC296/AD296,"")</f>
        <v/>
      </c>
      <c r="AF296" s="24" t="n"/>
      <c r="AG296" s="24" t="n"/>
      <c r="AH296" s="24" t="n"/>
      <c r="AI296" s="24" t="n"/>
      <c r="AJ296" s="27">
        <f>IF(C296="","",SUMIFS(tbl_Finance[Ex GST],tbl_Finance[Job Number],C296&amp;"",tbl_Finance[Cost Centre],"VIDEO"))</f>
        <v/>
      </c>
      <c r="AK296" s="29">
        <f>IFERROR(AJ296/L296,"")</f>
        <v/>
      </c>
      <c r="AL296" s="27">
        <f>IF(C296="","",N(AF296)+N(AG296)+N(AH296)+N(AI296))</f>
        <v/>
      </c>
      <c r="AM296" s="27" t="n"/>
      <c r="AN296" s="29" t="n"/>
      <c r="AO296" s="71" t="n"/>
      <c r="AP296" s="71" t="n"/>
      <c r="AQ296" s="71" t="n"/>
      <c r="AR296" s="71" t="n"/>
      <c r="AS296" s="71" t="n"/>
      <c r="AT296" s="22" t="n"/>
    </row>
    <row r="297" ht="15" customHeight="1">
      <c r="A297" s="70">
        <f>IF(C297="","",IFERROR(IF(SUMPRODUCT(MAX((tbl_Finance[Job Number]&amp;""=C297&amp;"")*(tbl_Finance[Xero Invoice No]&lt;&gt;"")*tbl_Finance[Date]))=0,"",SUMPRODUCT(MAX((tbl_Finance[Job Number]&amp;""=C297&amp;"")*(tbl_Finance[Xero Invoice No]&lt;&gt;"")*tbl_Finance[Date]))),""))</f>
        <v/>
      </c>
      <c r="B297" s="26">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2" t="n"/>
      <c r="D297" s="26">
        <f>IF(C297="","",IF(COUNTIF(lst_Jobs,C297&amp;"")&gt;0,"OK","CHECK"))</f>
        <v/>
      </c>
      <c r="E297" s="26">
        <f>IF(C297="","",IFERROR(INDEX(lst_JobName,MATCH(C297&amp;"",lst_Jobs,0)),""))</f>
        <v/>
      </c>
      <c r="F297" s="22" t="n"/>
      <c r="G297" s="22" t="n"/>
      <c r="H297" s="22" t="n"/>
      <c r="I297" s="22" t="n"/>
      <c r="J297" s="22" t="n"/>
      <c r="K297" s="28">
        <f>IF(C297="","",COUNTIFS(tbl_Finance[Job Number],C297&amp;"",tbl_Finance[Ex GST],"&lt;&gt;"))</f>
        <v/>
      </c>
      <c r="L297" s="27">
        <f>IF(C297="","",SUMIFS(tbl_Finance[Ex GST],tbl_Finance[Job Number],C297&amp;""))</f>
        <v/>
      </c>
      <c r="M297" s="27">
        <f>IF(C297="","",SUMIFS(tbl_Finance[Ex GST],tbl_Finance[Job Number],C297&amp;"",tbl_Finance[Xero Invoice No],"&lt;&gt;"))</f>
        <v/>
      </c>
      <c r="N297" s="27">
        <f>IF(C297="","",L297-M297)</f>
        <v/>
      </c>
      <c r="O297" s="24" t="n"/>
      <c r="P297" s="27">
        <f>IF(C297="","",IF(O297="",0,MAX(0,O297-L297)))</f>
        <v/>
      </c>
      <c r="Q297" s="26">
        <f>IF(C297="","",IF(K297=0,"not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R297" s="27">
        <f>IF(C297="","",SUMIFS(tbl_Finance[Inc GST],tbl_Finance[Job Number],C297&amp;""))</f>
        <v/>
      </c>
      <c r="S297" s="22" t="n"/>
      <c r="T297" s="22" t="n"/>
      <c r="U297" s="22" t="n"/>
      <c r="V297" s="23" t="n"/>
      <c r="W297" s="22" t="n"/>
      <c r="X297" s="26">
        <f>IF(W297="","",IF(AND(LEFT(W297,4)&lt;&gt;"http",set_RMSBase=""),"",HYPERLINK(IF(LEFT(W297,4)="http",W297,set_RMSBase&amp;W297),"Open opportunity")))</f>
        <v/>
      </c>
      <c r="Y297" s="22" t="n"/>
      <c r="Z297" s="26">
        <f>IF(Y297="","",HYPERLINK(IF(LEFT(Y297,4)="http",Y297,set_QwilrBase&amp;Y297),"Open quote"))</f>
        <v/>
      </c>
      <c r="AA297" s="26">
        <f>IF(C297="","",C297)</f>
        <v/>
      </c>
      <c r="AB297" s="22" t="n"/>
      <c r="AC297" s="24" t="n"/>
      <c r="AD297" s="27">
        <f>IF(C297="","",L297+N(AC297))</f>
        <v/>
      </c>
      <c r="AE297" s="29">
        <f>IFERROR(AC297/AD297,"")</f>
        <v/>
      </c>
      <c r="AF297" s="24" t="n"/>
      <c r="AG297" s="24" t="n"/>
      <c r="AH297" s="24" t="n"/>
      <c r="AI297" s="24" t="n"/>
      <c r="AJ297" s="27">
        <f>IF(C297="","",SUMIFS(tbl_Finance[Ex GST],tbl_Finance[Job Number],C297&amp;"",tbl_Finance[Cost Centre],"VIDEO"))</f>
        <v/>
      </c>
      <c r="AK297" s="29">
        <f>IFERROR(AJ297/L297,"")</f>
        <v/>
      </c>
      <c r="AL297" s="27">
        <f>IF(C297="","",N(AF297)+N(AG297)+N(AH297)+N(AI297))</f>
        <v/>
      </c>
      <c r="AM297" s="27" t="n"/>
      <c r="AN297" s="29" t="n"/>
      <c r="AO297" s="71" t="n"/>
      <c r="AP297" s="71" t="n"/>
      <c r="AQ297" s="71" t="n"/>
      <c r="AR297" s="71" t="n"/>
      <c r="AS297" s="71" t="n"/>
      <c r="AT297" s="22" t="n"/>
    </row>
    <row r="298" ht="15" customHeight="1">
      <c r="A298" s="70">
        <f>IF(C298="","",IFERROR(IF(SUMPRODUCT(MAX((tbl_Finance[Job Number]&amp;""=C298&amp;"")*(tbl_Finance[Xero Invoice No]&lt;&gt;"")*tbl_Finance[Date]))=0,"",SUMPRODUCT(MAX((tbl_Finance[Job Number]&amp;""=C298&amp;"")*(tbl_Finance[Xero Invoice No]&lt;&gt;"")*tbl_Finance[Date]))),""))</f>
        <v/>
      </c>
      <c r="B298" s="26">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2" t="n"/>
      <c r="D298" s="26">
        <f>IF(C298="","",IF(COUNTIF(lst_Jobs,C298&amp;"")&gt;0,"OK","CHECK"))</f>
        <v/>
      </c>
      <c r="E298" s="26">
        <f>IF(C298="","",IFERROR(INDEX(lst_JobName,MATCH(C298&amp;"",lst_Jobs,0)),""))</f>
        <v/>
      </c>
      <c r="F298" s="22" t="n"/>
      <c r="G298" s="22" t="n"/>
      <c r="H298" s="22" t="n"/>
      <c r="I298" s="22" t="n"/>
      <c r="J298" s="22" t="n"/>
      <c r="K298" s="28">
        <f>IF(C298="","",COUNTIFS(tbl_Finance[Job Number],C298&amp;"",tbl_Finance[Ex GST],"&lt;&gt;"))</f>
        <v/>
      </c>
      <c r="L298" s="27">
        <f>IF(C298="","",SUMIFS(tbl_Finance[Ex GST],tbl_Finance[Job Number],C298&amp;""))</f>
        <v/>
      </c>
      <c r="M298" s="27">
        <f>IF(C298="","",SUMIFS(tbl_Finance[Ex GST],tbl_Finance[Job Number],C298&amp;"",tbl_Finance[Xero Invoice No],"&lt;&gt;"))</f>
        <v/>
      </c>
      <c r="N298" s="27">
        <f>IF(C298="","",L298-M298)</f>
        <v/>
      </c>
      <c r="O298" s="24" t="n"/>
      <c r="P298" s="27">
        <f>IF(C298="","",IF(O298="",0,MAX(0,O298-L298)))</f>
        <v/>
      </c>
      <c r="Q298" s="26">
        <f>IF(C298="","",IF(K298=0,"not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R298" s="27">
        <f>IF(C298="","",SUMIFS(tbl_Finance[Inc GST],tbl_Finance[Job Number],C298&amp;""))</f>
        <v/>
      </c>
      <c r="S298" s="22" t="n"/>
      <c r="T298" s="22" t="n"/>
      <c r="U298" s="22" t="n"/>
      <c r="V298" s="23" t="n"/>
      <c r="W298" s="22" t="n"/>
      <c r="X298" s="26">
        <f>IF(W298="","",IF(AND(LEFT(W298,4)&lt;&gt;"http",set_RMSBase=""),"",HYPERLINK(IF(LEFT(W298,4)="http",W298,set_RMSBase&amp;W298),"Open opportunity")))</f>
        <v/>
      </c>
      <c r="Y298" s="22" t="n"/>
      <c r="Z298" s="26">
        <f>IF(Y298="","",HYPERLINK(IF(LEFT(Y298,4)="http",Y298,set_QwilrBase&amp;Y298),"Open quote"))</f>
        <v/>
      </c>
      <c r="AA298" s="26">
        <f>IF(C298="","",C298)</f>
        <v/>
      </c>
      <c r="AB298" s="22" t="n"/>
      <c r="AC298" s="24" t="n"/>
      <c r="AD298" s="27">
        <f>IF(C298="","",L298+N(AC298))</f>
        <v/>
      </c>
      <c r="AE298" s="29">
        <f>IFERROR(AC298/AD298,"")</f>
        <v/>
      </c>
      <c r="AF298" s="24" t="n"/>
      <c r="AG298" s="24" t="n"/>
      <c r="AH298" s="24" t="n"/>
      <c r="AI298" s="24" t="n"/>
      <c r="AJ298" s="27">
        <f>IF(C298="","",SUMIFS(tbl_Finance[Ex GST],tbl_Finance[Job Number],C298&amp;"",tbl_Finance[Cost Centre],"VIDEO"))</f>
        <v/>
      </c>
      <c r="AK298" s="29">
        <f>IFERROR(AJ298/L298,"")</f>
        <v/>
      </c>
      <c r="AL298" s="27">
        <f>IF(C298="","",N(AF298)+N(AG298)+N(AH298)+N(AI298))</f>
        <v/>
      </c>
      <c r="AM298" s="27" t="n"/>
      <c r="AN298" s="29" t="n"/>
      <c r="AO298" s="71" t="n"/>
      <c r="AP298" s="71" t="n"/>
      <c r="AQ298" s="71" t="n"/>
      <c r="AR298" s="71" t="n"/>
      <c r="AS298" s="71" t="n"/>
      <c r="AT298" s="22" t="n"/>
    </row>
    <row r="299" ht="15" customHeight="1">
      <c r="A299" s="70">
        <f>IF(C299="","",IFERROR(IF(SUMPRODUCT(MAX((tbl_Finance[Job Number]&amp;""=C299&amp;"")*(tbl_Finance[Xero Invoice No]&lt;&gt;"")*tbl_Finance[Date]))=0,"",SUMPRODUCT(MAX((tbl_Finance[Job Number]&amp;""=C299&amp;"")*(tbl_Finance[Xero Invoice No]&lt;&gt;"")*tbl_Finance[Date]))),""))</f>
        <v/>
      </c>
      <c r="B299" s="26">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2" t="n"/>
      <c r="D299" s="26">
        <f>IF(C299="","",IF(COUNTIF(lst_Jobs,C299&amp;"")&gt;0,"OK","CHECK"))</f>
        <v/>
      </c>
      <c r="E299" s="26">
        <f>IF(C299="","",IFERROR(INDEX(lst_JobName,MATCH(C299&amp;"",lst_Jobs,0)),""))</f>
        <v/>
      </c>
      <c r="F299" s="22" t="n"/>
      <c r="G299" s="22" t="n"/>
      <c r="H299" s="22" t="n"/>
      <c r="I299" s="22" t="n"/>
      <c r="J299" s="22" t="n"/>
      <c r="K299" s="28">
        <f>IF(C299="","",COUNTIFS(tbl_Finance[Job Number],C299&amp;"",tbl_Finance[Ex GST],"&lt;&gt;"))</f>
        <v/>
      </c>
      <c r="L299" s="27">
        <f>IF(C299="","",SUMIFS(tbl_Finance[Ex GST],tbl_Finance[Job Number],C299&amp;""))</f>
        <v/>
      </c>
      <c r="M299" s="27">
        <f>IF(C299="","",SUMIFS(tbl_Finance[Ex GST],tbl_Finance[Job Number],C299&amp;"",tbl_Finance[Xero Invoice No],"&lt;&gt;"))</f>
        <v/>
      </c>
      <c r="N299" s="27">
        <f>IF(C299="","",L299-M299)</f>
        <v/>
      </c>
      <c r="O299" s="24" t="n"/>
      <c r="P299" s="27">
        <f>IF(C299="","",IF(O299="",0,MAX(0,O299-L299)))</f>
        <v/>
      </c>
      <c r="Q299" s="26">
        <f>IF(C299="","",IF(K299=0,"not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R299" s="27">
        <f>IF(C299="","",SUMIFS(tbl_Finance[Inc GST],tbl_Finance[Job Number],C299&amp;""))</f>
        <v/>
      </c>
      <c r="S299" s="22" t="n"/>
      <c r="T299" s="22" t="n"/>
      <c r="U299" s="22" t="n"/>
      <c r="V299" s="23" t="n"/>
      <c r="W299" s="22" t="n"/>
      <c r="X299" s="26">
        <f>IF(W299="","",IF(AND(LEFT(W299,4)&lt;&gt;"http",set_RMSBase=""),"",HYPERLINK(IF(LEFT(W299,4)="http",W299,set_RMSBase&amp;W299),"Open opportunity")))</f>
        <v/>
      </c>
      <c r="Y299" s="22" t="n"/>
      <c r="Z299" s="26">
        <f>IF(Y299="","",HYPERLINK(IF(LEFT(Y299,4)="http",Y299,set_QwilrBase&amp;Y299),"Open quote"))</f>
        <v/>
      </c>
      <c r="AA299" s="26">
        <f>IF(C299="","",C299)</f>
        <v/>
      </c>
      <c r="AB299" s="22" t="n"/>
      <c r="AC299" s="24" t="n"/>
      <c r="AD299" s="27">
        <f>IF(C299="","",L299+N(AC299))</f>
        <v/>
      </c>
      <c r="AE299" s="29">
        <f>IFERROR(AC299/AD299,"")</f>
        <v/>
      </c>
      <c r="AF299" s="24" t="n"/>
      <c r="AG299" s="24" t="n"/>
      <c r="AH299" s="24" t="n"/>
      <c r="AI299" s="24" t="n"/>
      <c r="AJ299" s="27">
        <f>IF(C299="","",SUMIFS(tbl_Finance[Ex GST],tbl_Finance[Job Number],C299&amp;"",tbl_Finance[Cost Centre],"VIDEO"))</f>
        <v/>
      </c>
      <c r="AK299" s="29">
        <f>IFERROR(AJ299/L299,"")</f>
        <v/>
      </c>
      <c r="AL299" s="27">
        <f>IF(C299="","",N(AF299)+N(AG299)+N(AH299)+N(AI299))</f>
        <v/>
      </c>
      <c r="AM299" s="27" t="n"/>
      <c r="AN299" s="29" t="n"/>
      <c r="AO299" s="71" t="n"/>
      <c r="AP299" s="71" t="n"/>
      <c r="AQ299" s="71" t="n"/>
      <c r="AR299" s="71" t="n"/>
      <c r="AS299" s="71" t="n"/>
      <c r="AT299" s="22" t="n"/>
    </row>
    <row r="300" ht="15" customHeight="1">
      <c r="A300" s="70">
        <f>IF(C300="","",IFERROR(IF(SUMPRODUCT(MAX((tbl_Finance[Job Number]&amp;""=C300&amp;"")*(tbl_Finance[Xero Invoice No]&lt;&gt;"")*tbl_Finance[Date]))=0,"",SUMPRODUCT(MAX((tbl_Finance[Job Number]&amp;""=C300&amp;"")*(tbl_Finance[Xero Invoice No]&lt;&gt;"")*tbl_Finance[Date]))),""))</f>
        <v/>
      </c>
      <c r="B300" s="26">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2" t="n"/>
      <c r="D300" s="26">
        <f>IF(C300="","",IF(COUNTIF(lst_Jobs,C300&amp;"")&gt;0,"OK","CHECK"))</f>
        <v/>
      </c>
      <c r="E300" s="26">
        <f>IF(C300="","",IFERROR(INDEX(lst_JobName,MATCH(C300&amp;"",lst_Jobs,0)),""))</f>
        <v/>
      </c>
      <c r="F300" s="22" t="n"/>
      <c r="G300" s="22" t="n"/>
      <c r="H300" s="22" t="n"/>
      <c r="I300" s="22" t="n"/>
      <c r="J300" s="22" t="n"/>
      <c r="K300" s="28">
        <f>IF(C300="","",COUNTIFS(tbl_Finance[Job Number],C300&amp;"",tbl_Finance[Ex GST],"&lt;&gt;"))</f>
        <v/>
      </c>
      <c r="L300" s="27">
        <f>IF(C300="","",SUMIFS(tbl_Finance[Ex GST],tbl_Finance[Job Number],C300&amp;""))</f>
        <v/>
      </c>
      <c r="M300" s="27">
        <f>IF(C300="","",SUMIFS(tbl_Finance[Ex GST],tbl_Finance[Job Number],C300&amp;"",tbl_Finance[Xero Invoice No],"&lt;&gt;"))</f>
        <v/>
      </c>
      <c r="N300" s="27">
        <f>IF(C300="","",L300-M300)</f>
        <v/>
      </c>
      <c r="O300" s="24" t="n"/>
      <c r="P300" s="27">
        <f>IF(C300="","",IF(O300="",0,MAX(0,O300-L300)))</f>
        <v/>
      </c>
      <c r="Q300" s="26">
        <f>IF(C300="","",IF(K300=0,"not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R300" s="27">
        <f>IF(C300="","",SUMIFS(tbl_Finance[Inc GST],tbl_Finance[Job Number],C300&amp;""))</f>
        <v/>
      </c>
      <c r="S300" s="22" t="n"/>
      <c r="T300" s="22" t="n"/>
      <c r="U300" s="22" t="n"/>
      <c r="V300" s="23" t="n"/>
      <c r="W300" s="22" t="n"/>
      <c r="X300" s="26">
        <f>IF(W300="","",IF(AND(LEFT(W300,4)&lt;&gt;"http",set_RMSBase=""),"",HYPERLINK(IF(LEFT(W300,4)="http",W300,set_RMSBase&amp;W300),"Open opportunity")))</f>
        <v/>
      </c>
      <c r="Y300" s="22" t="n"/>
      <c r="Z300" s="26">
        <f>IF(Y300="","",HYPERLINK(IF(LEFT(Y300,4)="http",Y300,set_QwilrBase&amp;Y300),"Open quote"))</f>
        <v/>
      </c>
      <c r="AA300" s="26">
        <f>IF(C300="","",C300)</f>
        <v/>
      </c>
      <c r="AB300" s="22" t="n"/>
      <c r="AC300" s="24" t="n"/>
      <c r="AD300" s="27">
        <f>IF(C300="","",L300+N(AC300))</f>
        <v/>
      </c>
      <c r="AE300" s="29">
        <f>IFERROR(AC300/AD300,"")</f>
        <v/>
      </c>
      <c r="AF300" s="24" t="n"/>
      <c r="AG300" s="24" t="n"/>
      <c r="AH300" s="24" t="n"/>
      <c r="AI300" s="24" t="n"/>
      <c r="AJ300" s="27">
        <f>IF(C300="","",SUMIFS(tbl_Finance[Ex GST],tbl_Finance[Job Number],C300&amp;"",tbl_Finance[Cost Centre],"VIDEO"))</f>
        <v/>
      </c>
      <c r="AK300" s="29">
        <f>IFERROR(AJ300/L300,"")</f>
        <v/>
      </c>
      <c r="AL300" s="27">
        <f>IF(C300="","",N(AF300)+N(AG300)+N(AH300)+N(AI300))</f>
        <v/>
      </c>
      <c r="AM300" s="27" t="n"/>
      <c r="AN300" s="29" t="n"/>
      <c r="AO300" s="71" t="n"/>
      <c r="AP300" s="71" t="n"/>
      <c r="AQ300" s="71" t="n"/>
      <c r="AR300" s="71" t="n"/>
      <c r="AS300" s="71" t="n"/>
      <c r="AT300" s="22" t="n"/>
    </row>
    <row r="301" ht="15" customHeight="1">
      <c r="A301" s="70">
        <f>IF(C301="","",IFERROR(IF(SUMPRODUCT(MAX((tbl_Finance[Job Number]&amp;""=C301&amp;"")*(tbl_Finance[Xero Invoice No]&lt;&gt;"")*tbl_Finance[Date]))=0,"",SUMPRODUCT(MAX((tbl_Finance[Job Number]&amp;""=C301&amp;"")*(tbl_Finance[Xero Invoice No]&lt;&gt;"")*tbl_Finance[Date]))),""))</f>
        <v/>
      </c>
      <c r="B301" s="26">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2" t="n"/>
      <c r="D301" s="26">
        <f>IF(C301="","",IF(COUNTIF(lst_Jobs,C301&amp;"")&gt;0,"OK","CHECK"))</f>
        <v/>
      </c>
      <c r="E301" s="26">
        <f>IF(C301="","",IFERROR(INDEX(lst_JobName,MATCH(C301&amp;"",lst_Jobs,0)),""))</f>
        <v/>
      </c>
      <c r="F301" s="22" t="n"/>
      <c r="G301" s="22" t="n"/>
      <c r="H301" s="22" t="n"/>
      <c r="I301" s="22" t="n"/>
      <c r="J301" s="22" t="n"/>
      <c r="K301" s="28">
        <f>IF(C301="","",COUNTIFS(tbl_Finance[Job Number],C301&amp;"",tbl_Finance[Ex GST],"&lt;&gt;"))</f>
        <v/>
      </c>
      <c r="L301" s="27">
        <f>IF(C301="","",SUMIFS(tbl_Finance[Ex GST],tbl_Finance[Job Number],C301&amp;""))</f>
        <v/>
      </c>
      <c r="M301" s="27">
        <f>IF(C301="","",SUMIFS(tbl_Finance[Ex GST],tbl_Finance[Job Number],C301&amp;"",tbl_Finance[Xero Invoice No],"&lt;&gt;"))</f>
        <v/>
      </c>
      <c r="N301" s="27">
        <f>IF(C301="","",L301-M301)</f>
        <v/>
      </c>
      <c r="O301" s="24" t="n"/>
      <c r="P301" s="27">
        <f>IF(C301="","",IF(O301="",0,MAX(0,O301-L301)))</f>
        <v/>
      </c>
      <c r="Q301" s="26">
        <f>IF(C301="","",IF(K301=0,"not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R301" s="27">
        <f>IF(C301="","",SUMIFS(tbl_Finance[Inc GST],tbl_Finance[Job Number],C301&amp;""))</f>
        <v/>
      </c>
      <c r="S301" s="22" t="n"/>
      <c r="T301" s="22" t="n"/>
      <c r="U301" s="22" t="n"/>
      <c r="V301" s="23" t="n"/>
      <c r="W301" s="22" t="n"/>
      <c r="X301" s="26">
        <f>IF(W301="","",IF(AND(LEFT(W301,4)&lt;&gt;"http",set_RMSBase=""),"",HYPERLINK(IF(LEFT(W301,4)="http",W301,set_RMSBase&amp;W301),"Open opportunity")))</f>
        <v/>
      </c>
      <c r="Y301" s="22" t="n"/>
      <c r="Z301" s="26">
        <f>IF(Y301="","",HYPERLINK(IF(LEFT(Y301,4)="http",Y301,set_QwilrBase&amp;Y301),"Open quote"))</f>
        <v/>
      </c>
      <c r="AA301" s="26">
        <f>IF(C301="","",C301)</f>
        <v/>
      </c>
      <c r="AB301" s="22" t="n"/>
      <c r="AC301" s="24" t="n"/>
      <c r="AD301" s="27">
        <f>IF(C301="","",L301+N(AC301))</f>
        <v/>
      </c>
      <c r="AE301" s="29">
        <f>IFERROR(AC301/AD301,"")</f>
        <v/>
      </c>
      <c r="AF301" s="24" t="n"/>
      <c r="AG301" s="24" t="n"/>
      <c r="AH301" s="24" t="n"/>
      <c r="AI301" s="24" t="n"/>
      <c r="AJ301" s="27">
        <f>IF(C301="","",SUMIFS(tbl_Finance[Ex GST],tbl_Finance[Job Number],C301&amp;"",tbl_Finance[Cost Centre],"VIDEO"))</f>
        <v/>
      </c>
      <c r="AK301" s="29">
        <f>IFERROR(AJ301/L301,"")</f>
        <v/>
      </c>
      <c r="AL301" s="27">
        <f>IF(C301="","",N(AF301)+N(AG301)+N(AH301)+N(AI301))</f>
        <v/>
      </c>
      <c r="AM301" s="27" t="n"/>
      <c r="AN301" s="29" t="n"/>
      <c r="AO301" s="71" t="n"/>
      <c r="AP301" s="71" t="n"/>
      <c r="AQ301" s="71" t="n"/>
      <c r="AR301" s="71" t="n"/>
      <c r="AS301" s="71" t="n"/>
      <c r="AT301" s="22" t="n"/>
    </row>
    <row r="302" ht="15" customHeight="1">
      <c r="A302" s="70">
        <f>IF(C302="","",IFERROR(IF(SUMPRODUCT(MAX((tbl_Finance[Job Number]&amp;""=C302&amp;"")*(tbl_Finance[Xero Invoice No]&lt;&gt;"")*tbl_Finance[Date]))=0,"",SUMPRODUCT(MAX((tbl_Finance[Job Number]&amp;""=C302&amp;"")*(tbl_Finance[Xero Invoice No]&lt;&gt;"")*tbl_Finance[Date]))),""))</f>
        <v/>
      </c>
      <c r="B302" s="26">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2" t="n"/>
      <c r="D302" s="26">
        <f>IF(C302="","",IF(COUNTIF(lst_Jobs,C302&amp;"")&gt;0,"OK","CHECK"))</f>
        <v/>
      </c>
      <c r="E302" s="26">
        <f>IF(C302="","",IFERROR(INDEX(lst_JobName,MATCH(C302&amp;"",lst_Jobs,0)),""))</f>
        <v/>
      </c>
      <c r="F302" s="22" t="n"/>
      <c r="G302" s="22" t="n"/>
      <c r="H302" s="22" t="n"/>
      <c r="I302" s="22" t="n"/>
      <c r="J302" s="22" t="n"/>
      <c r="K302" s="28">
        <f>IF(C302="","",COUNTIFS(tbl_Finance[Job Number],C302&amp;"",tbl_Finance[Ex GST],"&lt;&gt;"))</f>
        <v/>
      </c>
      <c r="L302" s="27">
        <f>IF(C302="","",SUMIFS(tbl_Finance[Ex GST],tbl_Finance[Job Number],C302&amp;""))</f>
        <v/>
      </c>
      <c r="M302" s="27">
        <f>IF(C302="","",SUMIFS(tbl_Finance[Ex GST],tbl_Finance[Job Number],C302&amp;"",tbl_Finance[Xero Invoice No],"&lt;&gt;"))</f>
        <v/>
      </c>
      <c r="N302" s="27">
        <f>IF(C302="","",L302-M302)</f>
        <v/>
      </c>
      <c r="O302" s="24" t="n"/>
      <c r="P302" s="27">
        <f>IF(C302="","",IF(O302="",0,MAX(0,O302-L302)))</f>
        <v/>
      </c>
      <c r="Q302" s="26">
        <f>IF(C302="","",IF(K302=0,"not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R302" s="27">
        <f>IF(C302="","",SUMIFS(tbl_Finance[Inc GST],tbl_Finance[Job Number],C302&amp;""))</f>
        <v/>
      </c>
      <c r="S302" s="22" t="n"/>
      <c r="T302" s="22" t="n"/>
      <c r="U302" s="22" t="n"/>
      <c r="V302" s="23" t="n"/>
      <c r="W302" s="22" t="n"/>
      <c r="X302" s="26">
        <f>IF(W302="","",IF(AND(LEFT(W302,4)&lt;&gt;"http",set_RMSBase=""),"",HYPERLINK(IF(LEFT(W302,4)="http",W302,set_RMSBase&amp;W302),"Open opportunity")))</f>
        <v/>
      </c>
      <c r="Y302" s="22" t="n"/>
      <c r="Z302" s="26">
        <f>IF(Y302="","",HYPERLINK(IF(LEFT(Y302,4)="http",Y302,set_QwilrBase&amp;Y302),"Open quote"))</f>
        <v/>
      </c>
      <c r="AA302" s="26">
        <f>IF(C302="","",C302)</f>
        <v/>
      </c>
      <c r="AB302" s="22" t="n"/>
      <c r="AC302" s="24" t="n"/>
      <c r="AD302" s="27">
        <f>IF(C302="","",L302+N(AC302))</f>
        <v/>
      </c>
      <c r="AE302" s="29">
        <f>IFERROR(AC302/AD302,"")</f>
        <v/>
      </c>
      <c r="AF302" s="24" t="n"/>
      <c r="AG302" s="24" t="n"/>
      <c r="AH302" s="24" t="n"/>
      <c r="AI302" s="24" t="n"/>
      <c r="AJ302" s="27">
        <f>IF(C302="","",SUMIFS(tbl_Finance[Ex GST],tbl_Finance[Job Number],C302&amp;"",tbl_Finance[Cost Centre],"VIDEO"))</f>
        <v/>
      </c>
      <c r="AK302" s="29">
        <f>IFERROR(AJ302/L302,"")</f>
        <v/>
      </c>
      <c r="AL302" s="27">
        <f>IF(C302="","",N(AF302)+N(AG302)+N(AH302)+N(AI302))</f>
        <v/>
      </c>
      <c r="AM302" s="27" t="n"/>
      <c r="AN302" s="29" t="n"/>
      <c r="AO302" s="71" t="n"/>
      <c r="AP302" s="71" t="n"/>
      <c r="AQ302" s="71" t="n"/>
      <c r="AR302" s="71" t="n"/>
      <c r="AS302" s="71" t="n"/>
      <c r="AT302" s="22" t="n"/>
    </row>
    <row r="303" ht="15" customHeight="1">
      <c r="A303" s="70">
        <f>IF(C303="","",IFERROR(IF(SUMPRODUCT(MAX((tbl_Finance[Job Number]&amp;""=C303&amp;"")*(tbl_Finance[Xero Invoice No]&lt;&gt;"")*tbl_Finance[Date]))=0,"",SUMPRODUCT(MAX((tbl_Finance[Job Number]&amp;""=C303&amp;"")*(tbl_Finance[Xero Invoice No]&lt;&gt;"")*tbl_Finance[Date]))),""))</f>
        <v/>
      </c>
      <c r="B303" s="26">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2" t="n"/>
      <c r="D303" s="26">
        <f>IF(C303="","",IF(COUNTIF(lst_Jobs,C303&amp;"")&gt;0,"OK","CHECK"))</f>
        <v/>
      </c>
      <c r="E303" s="26">
        <f>IF(C303="","",IFERROR(INDEX(lst_JobName,MATCH(C303&amp;"",lst_Jobs,0)),""))</f>
        <v/>
      </c>
      <c r="F303" s="22" t="n"/>
      <c r="G303" s="22" t="n"/>
      <c r="H303" s="22" t="n"/>
      <c r="I303" s="22" t="n"/>
      <c r="J303" s="22" t="n"/>
      <c r="K303" s="28">
        <f>IF(C303="","",COUNTIFS(tbl_Finance[Job Number],C303&amp;"",tbl_Finance[Ex GST],"&lt;&gt;"))</f>
        <v/>
      </c>
      <c r="L303" s="27">
        <f>IF(C303="","",SUMIFS(tbl_Finance[Ex GST],tbl_Finance[Job Number],C303&amp;""))</f>
        <v/>
      </c>
      <c r="M303" s="27">
        <f>IF(C303="","",SUMIFS(tbl_Finance[Ex GST],tbl_Finance[Job Number],C303&amp;"",tbl_Finance[Xero Invoice No],"&lt;&gt;"))</f>
        <v/>
      </c>
      <c r="N303" s="27">
        <f>IF(C303="","",L303-M303)</f>
        <v/>
      </c>
      <c r="O303" s="24" t="n"/>
      <c r="P303" s="27">
        <f>IF(C303="","",IF(O303="",0,MAX(0,O303-L303)))</f>
        <v/>
      </c>
      <c r="Q303" s="26">
        <f>IF(C303="","",IF(K303=0,"not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R303" s="27">
        <f>IF(C303="","",SUMIFS(tbl_Finance[Inc GST],tbl_Finance[Job Number],C303&amp;""))</f>
        <v/>
      </c>
      <c r="S303" s="22" t="n"/>
      <c r="T303" s="22" t="n"/>
      <c r="U303" s="22" t="n"/>
      <c r="V303" s="23" t="n"/>
      <c r="W303" s="22" t="n"/>
      <c r="X303" s="26">
        <f>IF(W303="","",IF(AND(LEFT(W303,4)&lt;&gt;"http",set_RMSBase=""),"",HYPERLINK(IF(LEFT(W303,4)="http",W303,set_RMSBase&amp;W303),"Open opportunity")))</f>
        <v/>
      </c>
      <c r="Y303" s="22" t="n"/>
      <c r="Z303" s="26">
        <f>IF(Y303="","",HYPERLINK(IF(LEFT(Y303,4)="http",Y303,set_QwilrBase&amp;Y303),"Open quote"))</f>
        <v/>
      </c>
      <c r="AA303" s="26">
        <f>IF(C303="","",C303)</f>
        <v/>
      </c>
      <c r="AB303" s="22" t="n"/>
      <c r="AC303" s="24" t="n"/>
      <c r="AD303" s="27">
        <f>IF(C303="","",L303+N(AC303))</f>
        <v/>
      </c>
      <c r="AE303" s="29">
        <f>IFERROR(AC303/AD303,"")</f>
        <v/>
      </c>
      <c r="AF303" s="24" t="n"/>
      <c r="AG303" s="24" t="n"/>
      <c r="AH303" s="24" t="n"/>
      <c r="AI303" s="24" t="n"/>
      <c r="AJ303" s="27">
        <f>IF(C303="","",SUMIFS(tbl_Finance[Ex GST],tbl_Finance[Job Number],C303&amp;"",tbl_Finance[Cost Centre],"VIDEO"))</f>
        <v/>
      </c>
      <c r="AK303" s="29">
        <f>IFERROR(AJ303/L303,"")</f>
        <v/>
      </c>
      <c r="AL303" s="27">
        <f>IF(C303="","",N(AF303)+N(AG303)+N(AH303)+N(AI303))</f>
        <v/>
      </c>
      <c r="AM303" s="27" t="n"/>
      <c r="AN303" s="29" t="n"/>
      <c r="AO303" s="71" t="n"/>
      <c r="AP303" s="71" t="n"/>
      <c r="AQ303" s="71" t="n"/>
      <c r="AR303" s="71" t="n"/>
      <c r="AS303" s="71" t="n"/>
      <c r="AT303" s="22" t="n"/>
    </row>
    <row r="304" ht="15" customHeight="1">
      <c r="A304" s="70">
        <f>IF(C304="","",IFERROR(IF(SUMPRODUCT(MAX((tbl_Finance[Job Number]&amp;""=C304&amp;"")*(tbl_Finance[Xero Invoice No]&lt;&gt;"")*tbl_Finance[Date]))=0,"",SUMPRODUCT(MAX((tbl_Finance[Job Number]&amp;""=C304&amp;"")*(tbl_Finance[Xero Invoice No]&lt;&gt;"")*tbl_Finance[Date]))),""))</f>
        <v/>
      </c>
      <c r="B304" s="26">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2" t="n"/>
      <c r="D304" s="26">
        <f>IF(C304="","",IF(COUNTIF(lst_Jobs,C304&amp;"")&gt;0,"OK","CHECK"))</f>
        <v/>
      </c>
      <c r="E304" s="26">
        <f>IF(C304="","",IFERROR(INDEX(lst_JobName,MATCH(C304&amp;"",lst_Jobs,0)),""))</f>
        <v/>
      </c>
      <c r="F304" s="22" t="n"/>
      <c r="G304" s="22" t="n"/>
      <c r="H304" s="22" t="n"/>
      <c r="I304" s="22" t="n"/>
      <c r="J304" s="22" t="n"/>
      <c r="K304" s="28">
        <f>IF(C304="","",COUNTIFS(tbl_Finance[Job Number],C304&amp;"",tbl_Finance[Ex GST],"&lt;&gt;"))</f>
        <v/>
      </c>
      <c r="L304" s="27">
        <f>IF(C304="","",SUMIFS(tbl_Finance[Ex GST],tbl_Finance[Job Number],C304&amp;""))</f>
        <v/>
      </c>
      <c r="M304" s="27">
        <f>IF(C304="","",SUMIFS(tbl_Finance[Ex GST],tbl_Finance[Job Number],C304&amp;"",tbl_Finance[Xero Invoice No],"&lt;&gt;"))</f>
        <v/>
      </c>
      <c r="N304" s="27">
        <f>IF(C304="","",L304-M304)</f>
        <v/>
      </c>
      <c r="O304" s="24" t="n"/>
      <c r="P304" s="27">
        <f>IF(C304="","",IF(O304="",0,MAX(0,O304-L304)))</f>
        <v/>
      </c>
      <c r="Q304" s="26">
        <f>IF(C304="","",IF(K304=0,"not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R304" s="27">
        <f>IF(C304="","",SUMIFS(tbl_Finance[Inc GST],tbl_Finance[Job Number],C304&amp;""))</f>
        <v/>
      </c>
      <c r="S304" s="22" t="n"/>
      <c r="T304" s="22" t="n"/>
      <c r="U304" s="22" t="n"/>
      <c r="V304" s="23" t="n"/>
      <c r="W304" s="22" t="n"/>
      <c r="X304" s="26">
        <f>IF(W304="","",IF(AND(LEFT(W304,4)&lt;&gt;"http",set_RMSBase=""),"",HYPERLINK(IF(LEFT(W304,4)="http",W304,set_RMSBase&amp;W304),"Open opportunity")))</f>
        <v/>
      </c>
      <c r="Y304" s="22" t="n"/>
      <c r="Z304" s="26">
        <f>IF(Y304="","",HYPERLINK(IF(LEFT(Y304,4)="http",Y304,set_QwilrBase&amp;Y304),"Open quote"))</f>
        <v/>
      </c>
      <c r="AA304" s="26">
        <f>IF(C304="","",C304)</f>
        <v/>
      </c>
      <c r="AB304" s="22" t="n"/>
      <c r="AC304" s="24" t="n"/>
      <c r="AD304" s="27">
        <f>IF(C304="","",L304+N(AC304))</f>
        <v/>
      </c>
      <c r="AE304" s="29">
        <f>IFERROR(AC304/AD304,"")</f>
        <v/>
      </c>
      <c r="AF304" s="24" t="n"/>
      <c r="AG304" s="24" t="n"/>
      <c r="AH304" s="24" t="n"/>
      <c r="AI304" s="24" t="n"/>
      <c r="AJ304" s="27">
        <f>IF(C304="","",SUMIFS(tbl_Finance[Ex GST],tbl_Finance[Job Number],C304&amp;"",tbl_Finance[Cost Centre],"VIDEO"))</f>
        <v/>
      </c>
      <c r="AK304" s="29">
        <f>IFERROR(AJ304/L304,"")</f>
        <v/>
      </c>
      <c r="AL304" s="27">
        <f>IF(C304="","",N(AF304)+N(AG304)+N(AH304)+N(AI304))</f>
        <v/>
      </c>
      <c r="AM304" s="27" t="n"/>
      <c r="AN304" s="29" t="n"/>
      <c r="AO304" s="71" t="n"/>
      <c r="AP304" s="71" t="n"/>
      <c r="AQ304" s="71" t="n"/>
      <c r="AR304" s="71" t="n"/>
      <c r="AS304" s="71" t="n"/>
      <c r="AT304" s="22" t="n"/>
    </row>
    <row r="305" ht="15" customHeight="1">
      <c r="A305" s="70">
        <f>IF(C305="","",IFERROR(IF(SUMPRODUCT(MAX((tbl_Finance[Job Number]&amp;""=C305&amp;"")*(tbl_Finance[Xero Invoice No]&lt;&gt;"")*tbl_Finance[Date]))=0,"",SUMPRODUCT(MAX((tbl_Finance[Job Number]&amp;""=C305&amp;"")*(tbl_Finance[Xero Invoice No]&lt;&gt;"")*tbl_Finance[Date]))),""))</f>
        <v/>
      </c>
      <c r="B305" s="26">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2" t="n"/>
      <c r="D305" s="26">
        <f>IF(C305="","",IF(COUNTIF(lst_Jobs,C305&amp;"")&gt;0,"OK","CHECK"))</f>
        <v/>
      </c>
      <c r="E305" s="26">
        <f>IF(C305="","",IFERROR(INDEX(lst_JobName,MATCH(C305&amp;"",lst_Jobs,0)),""))</f>
        <v/>
      </c>
      <c r="F305" s="22" t="n"/>
      <c r="G305" s="22" t="n"/>
      <c r="H305" s="22" t="n"/>
      <c r="I305" s="22" t="n"/>
      <c r="J305" s="22" t="n"/>
      <c r="K305" s="28">
        <f>IF(C305="","",COUNTIFS(tbl_Finance[Job Number],C305&amp;"",tbl_Finance[Ex GST],"&lt;&gt;"))</f>
        <v/>
      </c>
      <c r="L305" s="27">
        <f>IF(C305="","",SUMIFS(tbl_Finance[Ex GST],tbl_Finance[Job Number],C305&amp;""))</f>
        <v/>
      </c>
      <c r="M305" s="27">
        <f>IF(C305="","",SUMIFS(tbl_Finance[Ex GST],tbl_Finance[Job Number],C305&amp;"",tbl_Finance[Xero Invoice No],"&lt;&gt;"))</f>
        <v/>
      </c>
      <c r="N305" s="27">
        <f>IF(C305="","",L305-M305)</f>
        <v/>
      </c>
      <c r="O305" s="24" t="n"/>
      <c r="P305" s="27">
        <f>IF(C305="","",IF(O305="",0,MAX(0,O305-L305)))</f>
        <v/>
      </c>
      <c r="Q305" s="26">
        <f>IF(C305="","",IF(K305=0,"not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R305" s="27">
        <f>IF(C305="","",SUMIFS(tbl_Finance[Inc GST],tbl_Finance[Job Number],C305&amp;""))</f>
        <v/>
      </c>
      <c r="S305" s="22" t="n"/>
      <c r="T305" s="22" t="n"/>
      <c r="U305" s="22" t="n"/>
      <c r="V305" s="23" t="n"/>
      <c r="W305" s="22" t="n"/>
      <c r="X305" s="26">
        <f>IF(W305="","",IF(AND(LEFT(W305,4)&lt;&gt;"http",set_RMSBase=""),"",HYPERLINK(IF(LEFT(W305,4)="http",W305,set_RMSBase&amp;W305),"Open opportunity")))</f>
        <v/>
      </c>
      <c r="Y305" s="22" t="n"/>
      <c r="Z305" s="26">
        <f>IF(Y305="","",HYPERLINK(IF(LEFT(Y305,4)="http",Y305,set_QwilrBase&amp;Y305),"Open quote"))</f>
        <v/>
      </c>
      <c r="AA305" s="26">
        <f>IF(C305="","",C305)</f>
        <v/>
      </c>
      <c r="AB305" s="22" t="n"/>
      <c r="AC305" s="24" t="n"/>
      <c r="AD305" s="27">
        <f>IF(C305="","",L305+N(AC305))</f>
        <v/>
      </c>
      <c r="AE305" s="29">
        <f>IFERROR(AC305/AD305,"")</f>
        <v/>
      </c>
      <c r="AF305" s="24" t="n"/>
      <c r="AG305" s="24" t="n"/>
      <c r="AH305" s="24" t="n"/>
      <c r="AI305" s="24" t="n"/>
      <c r="AJ305" s="27">
        <f>IF(C305="","",SUMIFS(tbl_Finance[Ex GST],tbl_Finance[Job Number],C305&amp;"",tbl_Finance[Cost Centre],"VIDEO"))</f>
        <v/>
      </c>
      <c r="AK305" s="29">
        <f>IFERROR(AJ305/L305,"")</f>
        <v/>
      </c>
      <c r="AL305" s="27">
        <f>IF(C305="","",N(AF305)+N(AG305)+N(AH305)+N(AI305))</f>
        <v/>
      </c>
      <c r="AM305" s="27" t="n"/>
      <c r="AN305" s="29" t="n"/>
      <c r="AO305" s="71" t="n"/>
      <c r="AP305" s="71" t="n"/>
      <c r="AQ305" s="71" t="n"/>
      <c r="AR305" s="71" t="n"/>
      <c r="AS305" s="71" t="n"/>
      <c r="AT305" s="22" t="n"/>
    </row>
    <row r="306" ht="15" customHeight="1">
      <c r="A306" s="70">
        <f>IF(C306="","",IFERROR(IF(SUMPRODUCT(MAX((tbl_Finance[Job Number]&amp;""=C306&amp;"")*(tbl_Finance[Xero Invoice No]&lt;&gt;"")*tbl_Finance[Date]))=0,"",SUMPRODUCT(MAX((tbl_Finance[Job Number]&amp;""=C306&amp;"")*(tbl_Finance[Xero Invoice No]&lt;&gt;"")*tbl_Finance[Date]))),""))</f>
        <v/>
      </c>
      <c r="B306" s="26">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2" t="n"/>
      <c r="D306" s="26">
        <f>IF(C306="","",IF(COUNTIF(lst_Jobs,C306&amp;"")&gt;0,"OK","CHECK"))</f>
        <v/>
      </c>
      <c r="E306" s="26">
        <f>IF(C306="","",IFERROR(INDEX(lst_JobName,MATCH(C306&amp;"",lst_Jobs,0)),""))</f>
        <v/>
      </c>
      <c r="F306" s="22" t="n"/>
      <c r="G306" s="22" t="n"/>
      <c r="H306" s="22" t="n"/>
      <c r="I306" s="22" t="n"/>
      <c r="J306" s="22" t="n"/>
      <c r="K306" s="28">
        <f>IF(C306="","",COUNTIFS(tbl_Finance[Job Number],C306&amp;"",tbl_Finance[Ex GST],"&lt;&gt;"))</f>
        <v/>
      </c>
      <c r="L306" s="27">
        <f>IF(C306="","",SUMIFS(tbl_Finance[Ex GST],tbl_Finance[Job Number],C306&amp;""))</f>
        <v/>
      </c>
      <c r="M306" s="27">
        <f>IF(C306="","",SUMIFS(tbl_Finance[Ex GST],tbl_Finance[Job Number],C306&amp;"",tbl_Finance[Xero Invoice No],"&lt;&gt;"))</f>
        <v/>
      </c>
      <c r="N306" s="27">
        <f>IF(C306="","",L306-M306)</f>
        <v/>
      </c>
      <c r="O306" s="24" t="n"/>
      <c r="P306" s="27">
        <f>IF(C306="","",IF(O306="",0,MAX(0,O306-L306)))</f>
        <v/>
      </c>
      <c r="Q306" s="26">
        <f>IF(C306="","",IF(K306=0,"not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R306" s="27">
        <f>IF(C306="","",SUMIFS(tbl_Finance[Inc GST],tbl_Finance[Job Number],C306&amp;""))</f>
        <v/>
      </c>
      <c r="S306" s="22" t="n"/>
      <c r="T306" s="22" t="n"/>
      <c r="U306" s="22" t="n"/>
      <c r="V306" s="23" t="n"/>
      <c r="W306" s="22" t="n"/>
      <c r="X306" s="26">
        <f>IF(W306="","",IF(AND(LEFT(W306,4)&lt;&gt;"http",set_RMSBase=""),"",HYPERLINK(IF(LEFT(W306,4)="http",W306,set_RMSBase&amp;W306),"Open opportunity")))</f>
        <v/>
      </c>
      <c r="Y306" s="22" t="n"/>
      <c r="Z306" s="26">
        <f>IF(Y306="","",HYPERLINK(IF(LEFT(Y306,4)="http",Y306,set_QwilrBase&amp;Y306),"Open quote"))</f>
        <v/>
      </c>
      <c r="AA306" s="26">
        <f>IF(C306="","",C306)</f>
        <v/>
      </c>
      <c r="AB306" s="22" t="n"/>
      <c r="AC306" s="24" t="n"/>
      <c r="AD306" s="27">
        <f>IF(C306="","",L306+N(AC306))</f>
        <v/>
      </c>
      <c r="AE306" s="29">
        <f>IFERROR(AC306/AD306,"")</f>
        <v/>
      </c>
      <c r="AF306" s="24" t="n"/>
      <c r="AG306" s="24" t="n"/>
      <c r="AH306" s="24" t="n"/>
      <c r="AI306" s="24" t="n"/>
      <c r="AJ306" s="27">
        <f>IF(C306="","",SUMIFS(tbl_Finance[Ex GST],tbl_Finance[Job Number],C306&amp;"",tbl_Finance[Cost Centre],"VIDEO"))</f>
        <v/>
      </c>
      <c r="AK306" s="29">
        <f>IFERROR(AJ306/L306,"")</f>
        <v/>
      </c>
      <c r="AL306" s="27">
        <f>IF(C306="","",N(AF306)+N(AG306)+N(AH306)+N(AI306))</f>
        <v/>
      </c>
      <c r="AM306" s="27" t="n"/>
      <c r="AN306" s="29" t="n"/>
      <c r="AO306" s="71" t="n"/>
      <c r="AP306" s="71" t="n"/>
      <c r="AQ306" s="71" t="n"/>
      <c r="AR306" s="71" t="n"/>
      <c r="AS306" s="71" t="n"/>
      <c r="AT306" s="22" t="n"/>
    </row>
    <row r="307" ht="15" customHeight="1">
      <c r="A307" s="70">
        <f>IF(C307="","",IFERROR(IF(SUMPRODUCT(MAX((tbl_Finance[Job Number]&amp;""=C307&amp;"")*(tbl_Finance[Xero Invoice No]&lt;&gt;"")*tbl_Finance[Date]))=0,"",SUMPRODUCT(MAX((tbl_Finance[Job Number]&amp;""=C307&amp;"")*(tbl_Finance[Xero Invoice No]&lt;&gt;"")*tbl_Finance[Date]))),""))</f>
        <v/>
      </c>
      <c r="B307" s="26">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2" t="n"/>
      <c r="D307" s="26">
        <f>IF(C307="","",IF(COUNTIF(lst_Jobs,C307&amp;"")&gt;0,"OK","CHECK"))</f>
        <v/>
      </c>
      <c r="E307" s="26">
        <f>IF(C307="","",IFERROR(INDEX(lst_JobName,MATCH(C307&amp;"",lst_Jobs,0)),""))</f>
        <v/>
      </c>
      <c r="F307" s="22" t="n"/>
      <c r="G307" s="22" t="n"/>
      <c r="H307" s="22" t="n"/>
      <c r="I307" s="22" t="n"/>
      <c r="J307" s="22" t="n"/>
      <c r="K307" s="28">
        <f>IF(C307="","",COUNTIFS(tbl_Finance[Job Number],C307&amp;"",tbl_Finance[Ex GST],"&lt;&gt;"))</f>
        <v/>
      </c>
      <c r="L307" s="27">
        <f>IF(C307="","",SUMIFS(tbl_Finance[Ex GST],tbl_Finance[Job Number],C307&amp;""))</f>
        <v/>
      </c>
      <c r="M307" s="27">
        <f>IF(C307="","",SUMIFS(tbl_Finance[Ex GST],tbl_Finance[Job Number],C307&amp;"",tbl_Finance[Xero Invoice No],"&lt;&gt;"))</f>
        <v/>
      </c>
      <c r="N307" s="27">
        <f>IF(C307="","",L307-M307)</f>
        <v/>
      </c>
      <c r="O307" s="24" t="n"/>
      <c r="P307" s="27">
        <f>IF(C307="","",IF(O307="",0,MAX(0,O307-L307)))</f>
        <v/>
      </c>
      <c r="Q307" s="26">
        <f>IF(C307="","",IF(K307=0,"not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R307" s="27">
        <f>IF(C307="","",SUMIFS(tbl_Finance[Inc GST],tbl_Finance[Job Number],C307&amp;""))</f>
        <v/>
      </c>
      <c r="S307" s="22" t="n"/>
      <c r="T307" s="22" t="n"/>
      <c r="U307" s="22" t="n"/>
      <c r="V307" s="23" t="n"/>
      <c r="W307" s="22" t="n"/>
      <c r="X307" s="26">
        <f>IF(W307="","",IF(AND(LEFT(W307,4)&lt;&gt;"http",set_RMSBase=""),"",HYPERLINK(IF(LEFT(W307,4)="http",W307,set_RMSBase&amp;W307),"Open opportunity")))</f>
        <v/>
      </c>
      <c r="Y307" s="22" t="n"/>
      <c r="Z307" s="26">
        <f>IF(Y307="","",HYPERLINK(IF(LEFT(Y307,4)="http",Y307,set_QwilrBase&amp;Y307),"Open quote"))</f>
        <v/>
      </c>
      <c r="AA307" s="26">
        <f>IF(C307="","",C307)</f>
        <v/>
      </c>
      <c r="AB307" s="22" t="n"/>
      <c r="AC307" s="24" t="n"/>
      <c r="AD307" s="27">
        <f>IF(C307="","",L307+N(AC307))</f>
        <v/>
      </c>
      <c r="AE307" s="29">
        <f>IFERROR(AC307/AD307,"")</f>
        <v/>
      </c>
      <c r="AF307" s="24" t="n"/>
      <c r="AG307" s="24" t="n"/>
      <c r="AH307" s="24" t="n"/>
      <c r="AI307" s="24" t="n"/>
      <c r="AJ307" s="27">
        <f>IF(C307="","",SUMIFS(tbl_Finance[Ex GST],tbl_Finance[Job Number],C307&amp;"",tbl_Finance[Cost Centre],"VIDEO"))</f>
        <v/>
      </c>
      <c r="AK307" s="29">
        <f>IFERROR(AJ307/L307,"")</f>
        <v/>
      </c>
      <c r="AL307" s="27">
        <f>IF(C307="","",N(AF307)+N(AG307)+N(AH307)+N(AI307))</f>
        <v/>
      </c>
      <c r="AM307" s="27" t="n"/>
      <c r="AN307" s="29" t="n"/>
      <c r="AO307" s="71" t="n"/>
      <c r="AP307" s="71" t="n"/>
      <c r="AQ307" s="71" t="n"/>
      <c r="AR307" s="71" t="n"/>
      <c r="AS307" s="71" t="n"/>
      <c r="AT307" s="22" t="n"/>
    </row>
    <row r="308" ht="15" customHeight="1">
      <c r="A308" s="70">
        <f>IF(C308="","",IFERROR(IF(SUMPRODUCT(MAX((tbl_Finance[Job Number]&amp;""=C308&amp;"")*(tbl_Finance[Xero Invoice No]&lt;&gt;"")*tbl_Finance[Date]))=0,"",SUMPRODUCT(MAX((tbl_Finance[Job Number]&amp;""=C308&amp;"")*(tbl_Finance[Xero Invoice No]&lt;&gt;"")*tbl_Finance[Date]))),""))</f>
        <v/>
      </c>
      <c r="B308" s="26">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2" t="n"/>
      <c r="D308" s="26">
        <f>IF(C308="","",IF(COUNTIF(lst_Jobs,C308&amp;"")&gt;0,"OK","CHECK"))</f>
        <v/>
      </c>
      <c r="E308" s="26">
        <f>IF(C308="","",IFERROR(INDEX(lst_JobName,MATCH(C308&amp;"",lst_Jobs,0)),""))</f>
        <v/>
      </c>
      <c r="F308" s="22" t="n"/>
      <c r="G308" s="22" t="n"/>
      <c r="H308" s="22" t="n"/>
      <c r="I308" s="22" t="n"/>
      <c r="J308" s="22" t="n"/>
      <c r="K308" s="28">
        <f>IF(C308="","",COUNTIFS(tbl_Finance[Job Number],C308&amp;"",tbl_Finance[Ex GST],"&lt;&gt;"))</f>
        <v/>
      </c>
      <c r="L308" s="27">
        <f>IF(C308="","",SUMIFS(tbl_Finance[Ex GST],tbl_Finance[Job Number],C308&amp;""))</f>
        <v/>
      </c>
      <c r="M308" s="27">
        <f>IF(C308="","",SUMIFS(tbl_Finance[Ex GST],tbl_Finance[Job Number],C308&amp;"",tbl_Finance[Xero Invoice No],"&lt;&gt;"))</f>
        <v/>
      </c>
      <c r="N308" s="27">
        <f>IF(C308="","",L308-M308)</f>
        <v/>
      </c>
      <c r="O308" s="24" t="n"/>
      <c r="P308" s="27">
        <f>IF(C308="","",IF(O308="",0,MAX(0,O308-L308)))</f>
        <v/>
      </c>
      <c r="Q308" s="26">
        <f>IF(C308="","",IF(K308=0,"not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R308" s="27">
        <f>IF(C308="","",SUMIFS(tbl_Finance[Inc GST],tbl_Finance[Job Number],C308&amp;""))</f>
        <v/>
      </c>
      <c r="S308" s="22" t="n"/>
      <c r="T308" s="22" t="n"/>
      <c r="U308" s="22" t="n"/>
      <c r="V308" s="23" t="n"/>
      <c r="W308" s="22" t="n"/>
      <c r="X308" s="26">
        <f>IF(W308="","",IF(AND(LEFT(W308,4)&lt;&gt;"http",set_RMSBase=""),"",HYPERLINK(IF(LEFT(W308,4)="http",W308,set_RMSBase&amp;W308),"Open opportunity")))</f>
        <v/>
      </c>
      <c r="Y308" s="22" t="n"/>
      <c r="Z308" s="26">
        <f>IF(Y308="","",HYPERLINK(IF(LEFT(Y308,4)="http",Y308,set_QwilrBase&amp;Y308),"Open quote"))</f>
        <v/>
      </c>
      <c r="AA308" s="26">
        <f>IF(C308="","",C308)</f>
        <v/>
      </c>
      <c r="AB308" s="22" t="n"/>
      <c r="AC308" s="24" t="n"/>
      <c r="AD308" s="27">
        <f>IF(C308="","",L308+N(AC308))</f>
        <v/>
      </c>
      <c r="AE308" s="29">
        <f>IFERROR(AC308/AD308,"")</f>
        <v/>
      </c>
      <c r="AF308" s="24" t="n"/>
      <c r="AG308" s="24" t="n"/>
      <c r="AH308" s="24" t="n"/>
      <c r="AI308" s="24" t="n"/>
      <c r="AJ308" s="27">
        <f>IF(C308="","",SUMIFS(tbl_Finance[Ex GST],tbl_Finance[Job Number],C308&amp;"",tbl_Finance[Cost Centre],"VIDEO"))</f>
        <v/>
      </c>
      <c r="AK308" s="29">
        <f>IFERROR(AJ308/L308,"")</f>
        <v/>
      </c>
      <c r="AL308" s="27">
        <f>IF(C308="","",N(AF308)+N(AG308)+N(AH308)+N(AI308))</f>
        <v/>
      </c>
      <c r="AM308" s="27" t="n"/>
      <c r="AN308" s="29" t="n"/>
      <c r="AO308" s="71" t="n"/>
      <c r="AP308" s="71" t="n"/>
      <c r="AQ308" s="71" t="n"/>
      <c r="AR308" s="71" t="n"/>
      <c r="AS308" s="71" t="n"/>
      <c r="AT308" s="22" t="n"/>
    </row>
    <row r="309" ht="15" customHeight="1">
      <c r="A309" s="70">
        <f>IF(C309="","",IFERROR(IF(SUMPRODUCT(MAX((tbl_Finance[Job Number]&amp;""=C309&amp;"")*(tbl_Finance[Xero Invoice No]&lt;&gt;"")*tbl_Finance[Date]))=0,"",SUMPRODUCT(MAX((tbl_Finance[Job Number]&amp;""=C309&amp;"")*(tbl_Finance[Xero Invoice No]&lt;&gt;"")*tbl_Finance[Date]))),""))</f>
        <v/>
      </c>
      <c r="B309" s="26">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2" t="n"/>
      <c r="D309" s="26">
        <f>IF(C309="","",IF(COUNTIF(lst_Jobs,C309&amp;"")&gt;0,"OK","CHECK"))</f>
        <v/>
      </c>
      <c r="E309" s="26">
        <f>IF(C309="","",IFERROR(INDEX(lst_JobName,MATCH(C309&amp;"",lst_Jobs,0)),""))</f>
        <v/>
      </c>
      <c r="F309" s="22" t="n"/>
      <c r="G309" s="22" t="n"/>
      <c r="H309" s="22" t="n"/>
      <c r="I309" s="22" t="n"/>
      <c r="J309" s="22" t="n"/>
      <c r="K309" s="28">
        <f>IF(C309="","",COUNTIFS(tbl_Finance[Job Number],C309&amp;"",tbl_Finance[Ex GST],"&lt;&gt;"))</f>
        <v/>
      </c>
      <c r="L309" s="27">
        <f>IF(C309="","",SUMIFS(tbl_Finance[Ex GST],tbl_Finance[Job Number],C309&amp;""))</f>
        <v/>
      </c>
      <c r="M309" s="27">
        <f>IF(C309="","",SUMIFS(tbl_Finance[Ex GST],tbl_Finance[Job Number],C309&amp;"",tbl_Finance[Xero Invoice No],"&lt;&gt;"))</f>
        <v/>
      </c>
      <c r="N309" s="27">
        <f>IF(C309="","",L309-M309)</f>
        <v/>
      </c>
      <c r="O309" s="24" t="n"/>
      <c r="P309" s="27">
        <f>IF(C309="","",IF(O309="",0,MAX(0,O309-L309)))</f>
        <v/>
      </c>
      <c r="Q309" s="26">
        <f>IF(C309="","",IF(K309=0,"not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R309" s="27">
        <f>IF(C309="","",SUMIFS(tbl_Finance[Inc GST],tbl_Finance[Job Number],C309&amp;""))</f>
        <v/>
      </c>
      <c r="S309" s="22" t="n"/>
      <c r="T309" s="22" t="n"/>
      <c r="U309" s="22" t="n"/>
      <c r="V309" s="23" t="n"/>
      <c r="W309" s="22" t="n"/>
      <c r="X309" s="26">
        <f>IF(W309="","",IF(AND(LEFT(W309,4)&lt;&gt;"http",set_RMSBase=""),"",HYPERLINK(IF(LEFT(W309,4)="http",W309,set_RMSBase&amp;W309),"Open opportunity")))</f>
        <v/>
      </c>
      <c r="Y309" s="22" t="n"/>
      <c r="Z309" s="26">
        <f>IF(Y309="","",HYPERLINK(IF(LEFT(Y309,4)="http",Y309,set_QwilrBase&amp;Y309),"Open quote"))</f>
        <v/>
      </c>
      <c r="AA309" s="26">
        <f>IF(C309="","",C309)</f>
        <v/>
      </c>
      <c r="AB309" s="22" t="n"/>
      <c r="AC309" s="24" t="n"/>
      <c r="AD309" s="27">
        <f>IF(C309="","",L309+N(AC309))</f>
        <v/>
      </c>
      <c r="AE309" s="29">
        <f>IFERROR(AC309/AD309,"")</f>
        <v/>
      </c>
      <c r="AF309" s="24" t="n"/>
      <c r="AG309" s="24" t="n"/>
      <c r="AH309" s="24" t="n"/>
      <c r="AI309" s="24" t="n"/>
      <c r="AJ309" s="27">
        <f>IF(C309="","",SUMIFS(tbl_Finance[Ex GST],tbl_Finance[Job Number],C309&amp;"",tbl_Finance[Cost Centre],"VIDEO"))</f>
        <v/>
      </c>
      <c r="AK309" s="29">
        <f>IFERROR(AJ309/L309,"")</f>
        <v/>
      </c>
      <c r="AL309" s="27">
        <f>IF(C309="","",N(AF309)+N(AG309)+N(AH309)+N(AI309))</f>
        <v/>
      </c>
      <c r="AM309" s="27" t="n"/>
      <c r="AN309" s="29" t="n"/>
      <c r="AO309" s="71" t="n"/>
      <c r="AP309" s="71" t="n"/>
      <c r="AQ309" s="71" t="n"/>
      <c r="AR309" s="71" t="n"/>
      <c r="AS309" s="71" t="n"/>
      <c r="AT309" s="22" t="n"/>
    </row>
    <row r="310" ht="15" customHeight="1">
      <c r="A310" s="70">
        <f>IF(C310="","",IFERROR(IF(SUMPRODUCT(MAX((tbl_Finance[Job Number]&amp;""=C310&amp;"")*(tbl_Finance[Xero Invoice No]&lt;&gt;"")*tbl_Finance[Date]))=0,"",SUMPRODUCT(MAX((tbl_Finance[Job Number]&amp;""=C310&amp;"")*(tbl_Finance[Xero Invoice No]&lt;&gt;"")*tbl_Finance[Date]))),""))</f>
        <v/>
      </c>
      <c r="B310" s="26">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2" t="n"/>
      <c r="D310" s="26">
        <f>IF(C310="","",IF(COUNTIF(lst_Jobs,C310&amp;"")&gt;0,"OK","CHECK"))</f>
        <v/>
      </c>
      <c r="E310" s="26">
        <f>IF(C310="","",IFERROR(INDEX(lst_JobName,MATCH(C310&amp;"",lst_Jobs,0)),""))</f>
        <v/>
      </c>
      <c r="F310" s="22" t="n"/>
      <c r="G310" s="22" t="n"/>
      <c r="H310" s="22" t="n"/>
      <c r="I310" s="22" t="n"/>
      <c r="J310" s="22" t="n"/>
      <c r="K310" s="28">
        <f>IF(C310="","",COUNTIFS(tbl_Finance[Job Number],C310&amp;"",tbl_Finance[Ex GST],"&lt;&gt;"))</f>
        <v/>
      </c>
      <c r="L310" s="27">
        <f>IF(C310="","",SUMIFS(tbl_Finance[Ex GST],tbl_Finance[Job Number],C310&amp;""))</f>
        <v/>
      </c>
      <c r="M310" s="27">
        <f>IF(C310="","",SUMIFS(tbl_Finance[Ex GST],tbl_Finance[Job Number],C310&amp;"",tbl_Finance[Xero Invoice No],"&lt;&gt;"))</f>
        <v/>
      </c>
      <c r="N310" s="27">
        <f>IF(C310="","",L310-M310)</f>
        <v/>
      </c>
      <c r="O310" s="24" t="n"/>
      <c r="P310" s="27">
        <f>IF(C310="","",IF(O310="",0,MAX(0,O310-L310)))</f>
        <v/>
      </c>
      <c r="Q310" s="26">
        <f>IF(C310="","",IF(K310=0,"not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R310" s="27">
        <f>IF(C310="","",SUMIFS(tbl_Finance[Inc GST],tbl_Finance[Job Number],C310&amp;""))</f>
        <v/>
      </c>
      <c r="S310" s="22" t="n"/>
      <c r="T310" s="22" t="n"/>
      <c r="U310" s="22" t="n"/>
      <c r="V310" s="23" t="n"/>
      <c r="W310" s="22" t="n"/>
      <c r="X310" s="26">
        <f>IF(W310="","",IF(AND(LEFT(W310,4)&lt;&gt;"http",set_RMSBase=""),"",HYPERLINK(IF(LEFT(W310,4)="http",W310,set_RMSBase&amp;W310),"Open opportunity")))</f>
        <v/>
      </c>
      <c r="Y310" s="22" t="n"/>
      <c r="Z310" s="26">
        <f>IF(Y310="","",HYPERLINK(IF(LEFT(Y310,4)="http",Y310,set_QwilrBase&amp;Y310),"Open quote"))</f>
        <v/>
      </c>
      <c r="AA310" s="26">
        <f>IF(C310="","",C310)</f>
        <v/>
      </c>
      <c r="AB310" s="22" t="n"/>
      <c r="AC310" s="24" t="n"/>
      <c r="AD310" s="27">
        <f>IF(C310="","",L310+N(AC310))</f>
        <v/>
      </c>
      <c r="AE310" s="29">
        <f>IFERROR(AC310/AD310,"")</f>
        <v/>
      </c>
      <c r="AF310" s="24" t="n"/>
      <c r="AG310" s="24" t="n"/>
      <c r="AH310" s="24" t="n"/>
      <c r="AI310" s="24" t="n"/>
      <c r="AJ310" s="27">
        <f>IF(C310="","",SUMIFS(tbl_Finance[Ex GST],tbl_Finance[Job Number],C310&amp;"",tbl_Finance[Cost Centre],"VIDEO"))</f>
        <v/>
      </c>
      <c r="AK310" s="29">
        <f>IFERROR(AJ310/L310,"")</f>
        <v/>
      </c>
      <c r="AL310" s="27">
        <f>IF(C310="","",N(AF310)+N(AG310)+N(AH310)+N(AI310))</f>
        <v/>
      </c>
      <c r="AM310" s="27" t="n"/>
      <c r="AN310" s="29" t="n"/>
      <c r="AO310" s="71" t="n"/>
      <c r="AP310" s="71" t="n"/>
      <c r="AQ310" s="71" t="n"/>
      <c r="AR310" s="71" t="n"/>
      <c r="AS310" s="71" t="n"/>
      <c r="AT310" s="22" t="n"/>
    </row>
    <row r="311" ht="15" customHeight="1">
      <c r="A311" s="70">
        <f>IF(C311="","",IFERROR(IF(SUMPRODUCT(MAX((tbl_Finance[Job Number]&amp;""=C311&amp;"")*(tbl_Finance[Xero Invoice No]&lt;&gt;"")*tbl_Finance[Date]))=0,"",SUMPRODUCT(MAX((tbl_Finance[Job Number]&amp;""=C311&amp;"")*(tbl_Finance[Xero Invoice No]&lt;&gt;"")*tbl_Finance[Date]))),""))</f>
        <v/>
      </c>
      <c r="B311" s="26">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2" t="n"/>
      <c r="D311" s="26">
        <f>IF(C311="","",IF(COUNTIF(lst_Jobs,C311&amp;"")&gt;0,"OK","CHECK"))</f>
        <v/>
      </c>
      <c r="E311" s="26">
        <f>IF(C311="","",IFERROR(INDEX(lst_JobName,MATCH(C311&amp;"",lst_Jobs,0)),""))</f>
        <v/>
      </c>
      <c r="F311" s="22" t="n"/>
      <c r="G311" s="22" t="n"/>
      <c r="H311" s="22" t="n"/>
      <c r="I311" s="22" t="n"/>
      <c r="J311" s="22" t="n"/>
      <c r="K311" s="28">
        <f>IF(C311="","",COUNTIFS(tbl_Finance[Job Number],C311&amp;"",tbl_Finance[Ex GST],"&lt;&gt;"))</f>
        <v/>
      </c>
      <c r="L311" s="27">
        <f>IF(C311="","",SUMIFS(tbl_Finance[Ex GST],tbl_Finance[Job Number],C311&amp;""))</f>
        <v/>
      </c>
      <c r="M311" s="27">
        <f>IF(C311="","",SUMIFS(tbl_Finance[Ex GST],tbl_Finance[Job Number],C311&amp;"",tbl_Finance[Xero Invoice No],"&lt;&gt;"))</f>
        <v/>
      </c>
      <c r="N311" s="27">
        <f>IF(C311="","",L311-M311)</f>
        <v/>
      </c>
      <c r="O311" s="24" t="n"/>
      <c r="P311" s="27">
        <f>IF(C311="","",IF(O311="",0,MAX(0,O311-L311)))</f>
        <v/>
      </c>
      <c r="Q311" s="26">
        <f>IF(C311="","",IF(K311=0,"not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R311" s="27">
        <f>IF(C311="","",SUMIFS(tbl_Finance[Inc GST],tbl_Finance[Job Number],C311&amp;""))</f>
        <v/>
      </c>
      <c r="S311" s="22" t="n"/>
      <c r="T311" s="22" t="n"/>
      <c r="U311" s="22" t="n"/>
      <c r="V311" s="23" t="n"/>
      <c r="W311" s="22" t="n"/>
      <c r="X311" s="26">
        <f>IF(W311="","",IF(AND(LEFT(W311,4)&lt;&gt;"http",set_RMSBase=""),"",HYPERLINK(IF(LEFT(W311,4)="http",W311,set_RMSBase&amp;W311),"Open opportunity")))</f>
        <v/>
      </c>
      <c r="Y311" s="22" t="n"/>
      <c r="Z311" s="26">
        <f>IF(Y311="","",HYPERLINK(IF(LEFT(Y311,4)="http",Y311,set_QwilrBase&amp;Y311),"Open quote"))</f>
        <v/>
      </c>
      <c r="AA311" s="26">
        <f>IF(C311="","",C311)</f>
        <v/>
      </c>
      <c r="AB311" s="22" t="n"/>
      <c r="AC311" s="24" t="n"/>
      <c r="AD311" s="27">
        <f>IF(C311="","",L311+N(AC311))</f>
        <v/>
      </c>
      <c r="AE311" s="29">
        <f>IFERROR(AC311/AD311,"")</f>
        <v/>
      </c>
      <c r="AF311" s="24" t="n"/>
      <c r="AG311" s="24" t="n"/>
      <c r="AH311" s="24" t="n"/>
      <c r="AI311" s="24" t="n"/>
      <c r="AJ311" s="27">
        <f>IF(C311="","",SUMIFS(tbl_Finance[Ex GST],tbl_Finance[Job Number],C311&amp;"",tbl_Finance[Cost Centre],"VIDEO"))</f>
        <v/>
      </c>
      <c r="AK311" s="29">
        <f>IFERROR(AJ311/L311,"")</f>
        <v/>
      </c>
      <c r="AL311" s="27">
        <f>IF(C311="","",N(AF311)+N(AG311)+N(AH311)+N(AI311))</f>
        <v/>
      </c>
      <c r="AM311" s="27" t="n"/>
      <c r="AN311" s="29" t="n"/>
      <c r="AO311" s="71" t="n"/>
      <c r="AP311" s="71" t="n"/>
      <c r="AQ311" s="71" t="n"/>
      <c r="AR311" s="71" t="n"/>
      <c r="AS311" s="71" t="n"/>
      <c r="AT311" s="22" t="n"/>
    </row>
    <row r="312" ht="15" customHeight="1">
      <c r="A312" s="70">
        <f>IF(C312="","",IFERROR(IF(SUMPRODUCT(MAX((tbl_Finance[Job Number]&amp;""=C312&amp;"")*(tbl_Finance[Xero Invoice No]&lt;&gt;"")*tbl_Finance[Date]))=0,"",SUMPRODUCT(MAX((tbl_Finance[Job Number]&amp;""=C312&amp;"")*(tbl_Finance[Xero Invoice No]&lt;&gt;"")*tbl_Finance[Date]))),""))</f>
        <v/>
      </c>
      <c r="B312" s="26">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2" t="n"/>
      <c r="D312" s="26">
        <f>IF(C312="","",IF(COUNTIF(lst_Jobs,C312&amp;"")&gt;0,"OK","CHECK"))</f>
        <v/>
      </c>
      <c r="E312" s="26">
        <f>IF(C312="","",IFERROR(INDEX(lst_JobName,MATCH(C312&amp;"",lst_Jobs,0)),""))</f>
        <v/>
      </c>
      <c r="F312" s="22" t="n"/>
      <c r="G312" s="22" t="n"/>
      <c r="H312" s="22" t="n"/>
      <c r="I312" s="22" t="n"/>
      <c r="J312" s="22" t="n"/>
      <c r="K312" s="28">
        <f>IF(C312="","",COUNTIFS(tbl_Finance[Job Number],C312&amp;"",tbl_Finance[Ex GST],"&lt;&gt;"))</f>
        <v/>
      </c>
      <c r="L312" s="27">
        <f>IF(C312="","",SUMIFS(tbl_Finance[Ex GST],tbl_Finance[Job Number],C312&amp;""))</f>
        <v/>
      </c>
      <c r="M312" s="27">
        <f>IF(C312="","",SUMIFS(tbl_Finance[Ex GST],tbl_Finance[Job Number],C312&amp;"",tbl_Finance[Xero Invoice No],"&lt;&gt;"))</f>
        <v/>
      </c>
      <c r="N312" s="27">
        <f>IF(C312="","",L312-M312)</f>
        <v/>
      </c>
      <c r="O312" s="24" t="n"/>
      <c r="P312" s="27">
        <f>IF(C312="","",IF(O312="",0,MAX(0,O312-L312)))</f>
        <v/>
      </c>
      <c r="Q312" s="26">
        <f>IF(C312="","",IF(K312=0,"not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R312" s="27">
        <f>IF(C312="","",SUMIFS(tbl_Finance[Inc GST],tbl_Finance[Job Number],C312&amp;""))</f>
        <v/>
      </c>
      <c r="S312" s="22" t="n"/>
      <c r="T312" s="22" t="n"/>
      <c r="U312" s="22" t="n"/>
      <c r="V312" s="23" t="n"/>
      <c r="W312" s="22" t="n"/>
      <c r="X312" s="26">
        <f>IF(W312="","",IF(AND(LEFT(W312,4)&lt;&gt;"http",set_RMSBase=""),"",HYPERLINK(IF(LEFT(W312,4)="http",W312,set_RMSBase&amp;W312),"Open opportunity")))</f>
        <v/>
      </c>
      <c r="Y312" s="22" t="n"/>
      <c r="Z312" s="26">
        <f>IF(Y312="","",HYPERLINK(IF(LEFT(Y312,4)="http",Y312,set_QwilrBase&amp;Y312),"Open quote"))</f>
        <v/>
      </c>
      <c r="AA312" s="26">
        <f>IF(C312="","",C312)</f>
        <v/>
      </c>
      <c r="AB312" s="22" t="n"/>
      <c r="AC312" s="24" t="n"/>
      <c r="AD312" s="27">
        <f>IF(C312="","",L312+N(AC312))</f>
        <v/>
      </c>
      <c r="AE312" s="29">
        <f>IFERROR(AC312/AD312,"")</f>
        <v/>
      </c>
      <c r="AF312" s="24" t="n"/>
      <c r="AG312" s="24" t="n"/>
      <c r="AH312" s="24" t="n"/>
      <c r="AI312" s="24" t="n"/>
      <c r="AJ312" s="27">
        <f>IF(C312="","",SUMIFS(tbl_Finance[Ex GST],tbl_Finance[Job Number],C312&amp;"",tbl_Finance[Cost Centre],"VIDEO"))</f>
        <v/>
      </c>
      <c r="AK312" s="29">
        <f>IFERROR(AJ312/L312,"")</f>
        <v/>
      </c>
      <c r="AL312" s="27">
        <f>IF(C312="","",N(AF312)+N(AG312)+N(AH312)+N(AI312))</f>
        <v/>
      </c>
      <c r="AM312" s="27" t="n"/>
      <c r="AN312" s="29" t="n"/>
      <c r="AO312" s="71" t="n"/>
      <c r="AP312" s="71" t="n"/>
      <c r="AQ312" s="71" t="n"/>
      <c r="AR312" s="71" t="n"/>
      <c r="AS312" s="71" t="n"/>
      <c r="AT312" s="22" t="n"/>
    </row>
    <row r="313" ht="15" customHeight="1">
      <c r="A313" s="70">
        <f>IF(C313="","",IFERROR(IF(SUMPRODUCT(MAX((tbl_Finance[Job Number]&amp;""=C313&amp;"")*(tbl_Finance[Xero Invoice No]&lt;&gt;"")*tbl_Finance[Date]))=0,"",SUMPRODUCT(MAX((tbl_Finance[Job Number]&amp;""=C313&amp;"")*(tbl_Finance[Xero Invoice No]&lt;&gt;"")*tbl_Finance[Date]))),""))</f>
        <v/>
      </c>
      <c r="B313" s="26">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2" t="n"/>
      <c r="D313" s="26">
        <f>IF(C313="","",IF(COUNTIF(lst_Jobs,C313&amp;"")&gt;0,"OK","CHECK"))</f>
        <v/>
      </c>
      <c r="E313" s="26">
        <f>IF(C313="","",IFERROR(INDEX(lst_JobName,MATCH(C313&amp;"",lst_Jobs,0)),""))</f>
        <v/>
      </c>
      <c r="F313" s="22" t="n"/>
      <c r="G313" s="22" t="n"/>
      <c r="H313" s="22" t="n"/>
      <c r="I313" s="22" t="n"/>
      <c r="J313" s="22" t="n"/>
      <c r="K313" s="28">
        <f>IF(C313="","",COUNTIFS(tbl_Finance[Job Number],C313&amp;"",tbl_Finance[Ex GST],"&lt;&gt;"))</f>
        <v/>
      </c>
      <c r="L313" s="27">
        <f>IF(C313="","",SUMIFS(tbl_Finance[Ex GST],tbl_Finance[Job Number],C313&amp;""))</f>
        <v/>
      </c>
      <c r="M313" s="27">
        <f>IF(C313="","",SUMIFS(tbl_Finance[Ex GST],tbl_Finance[Job Number],C313&amp;"",tbl_Finance[Xero Invoice No],"&lt;&gt;"))</f>
        <v/>
      </c>
      <c r="N313" s="27">
        <f>IF(C313="","",L313-M313)</f>
        <v/>
      </c>
      <c r="O313" s="24" t="n"/>
      <c r="P313" s="27">
        <f>IF(C313="","",IF(O313="",0,MAX(0,O313-L313)))</f>
        <v/>
      </c>
      <c r="Q313" s="26">
        <f>IF(C313="","",IF(K313=0,"not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R313" s="27">
        <f>IF(C313="","",SUMIFS(tbl_Finance[Inc GST],tbl_Finance[Job Number],C313&amp;""))</f>
        <v/>
      </c>
      <c r="S313" s="22" t="n"/>
      <c r="T313" s="22" t="n"/>
      <c r="U313" s="22" t="n"/>
      <c r="V313" s="23" t="n"/>
      <c r="W313" s="22" t="n"/>
      <c r="X313" s="26">
        <f>IF(W313="","",IF(AND(LEFT(W313,4)&lt;&gt;"http",set_RMSBase=""),"",HYPERLINK(IF(LEFT(W313,4)="http",W313,set_RMSBase&amp;W313),"Open opportunity")))</f>
        <v/>
      </c>
      <c r="Y313" s="22" t="n"/>
      <c r="Z313" s="26">
        <f>IF(Y313="","",HYPERLINK(IF(LEFT(Y313,4)="http",Y313,set_QwilrBase&amp;Y313),"Open quote"))</f>
        <v/>
      </c>
      <c r="AA313" s="26">
        <f>IF(C313="","",C313)</f>
        <v/>
      </c>
      <c r="AB313" s="22" t="n"/>
      <c r="AC313" s="24" t="n"/>
      <c r="AD313" s="27">
        <f>IF(C313="","",L313+N(AC313))</f>
        <v/>
      </c>
      <c r="AE313" s="29">
        <f>IFERROR(AC313/AD313,"")</f>
        <v/>
      </c>
      <c r="AF313" s="24" t="n"/>
      <c r="AG313" s="24" t="n"/>
      <c r="AH313" s="24" t="n"/>
      <c r="AI313" s="24" t="n"/>
      <c r="AJ313" s="27">
        <f>IF(C313="","",SUMIFS(tbl_Finance[Ex GST],tbl_Finance[Job Number],C313&amp;"",tbl_Finance[Cost Centre],"VIDEO"))</f>
        <v/>
      </c>
      <c r="AK313" s="29">
        <f>IFERROR(AJ313/L313,"")</f>
        <v/>
      </c>
      <c r="AL313" s="27">
        <f>IF(C313="","",N(AF313)+N(AG313)+N(AH313)+N(AI313))</f>
        <v/>
      </c>
      <c r="AM313" s="27" t="n"/>
      <c r="AN313" s="29" t="n"/>
      <c r="AO313" s="71" t="n"/>
      <c r="AP313" s="71" t="n"/>
      <c r="AQ313" s="71" t="n"/>
      <c r="AR313" s="71" t="n"/>
      <c r="AS313" s="71" t="n"/>
      <c r="AT313" s="22" t="n"/>
    </row>
    <row r="314" ht="15" customHeight="1">
      <c r="A314" s="70">
        <f>IF(C314="","",IFERROR(IF(SUMPRODUCT(MAX((tbl_Finance[Job Number]&amp;""=C314&amp;"")*(tbl_Finance[Xero Invoice No]&lt;&gt;"")*tbl_Finance[Date]))=0,"",SUMPRODUCT(MAX((tbl_Finance[Job Number]&amp;""=C314&amp;"")*(tbl_Finance[Xero Invoice No]&lt;&gt;"")*tbl_Finance[Date]))),""))</f>
        <v/>
      </c>
      <c r="B314" s="26">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2" t="n"/>
      <c r="D314" s="26">
        <f>IF(C314="","",IF(COUNTIF(lst_Jobs,C314&amp;"")&gt;0,"OK","CHECK"))</f>
        <v/>
      </c>
      <c r="E314" s="26">
        <f>IF(C314="","",IFERROR(INDEX(lst_JobName,MATCH(C314&amp;"",lst_Jobs,0)),""))</f>
        <v/>
      </c>
      <c r="F314" s="22" t="n"/>
      <c r="G314" s="22" t="n"/>
      <c r="H314" s="22" t="n"/>
      <c r="I314" s="22" t="n"/>
      <c r="J314" s="22" t="n"/>
      <c r="K314" s="28">
        <f>IF(C314="","",COUNTIFS(tbl_Finance[Job Number],C314&amp;"",tbl_Finance[Ex GST],"&lt;&gt;"))</f>
        <v/>
      </c>
      <c r="L314" s="27">
        <f>IF(C314="","",SUMIFS(tbl_Finance[Ex GST],tbl_Finance[Job Number],C314&amp;""))</f>
        <v/>
      </c>
      <c r="M314" s="27">
        <f>IF(C314="","",SUMIFS(tbl_Finance[Ex GST],tbl_Finance[Job Number],C314&amp;"",tbl_Finance[Xero Invoice No],"&lt;&gt;"))</f>
        <v/>
      </c>
      <c r="N314" s="27">
        <f>IF(C314="","",L314-M314)</f>
        <v/>
      </c>
      <c r="O314" s="24" t="n"/>
      <c r="P314" s="27">
        <f>IF(C314="","",IF(O314="",0,MAX(0,O314-L314)))</f>
        <v/>
      </c>
      <c r="Q314" s="26">
        <f>IF(C314="","",IF(K314=0,"not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R314" s="27">
        <f>IF(C314="","",SUMIFS(tbl_Finance[Inc GST],tbl_Finance[Job Number],C314&amp;""))</f>
        <v/>
      </c>
      <c r="S314" s="22" t="n"/>
      <c r="T314" s="22" t="n"/>
      <c r="U314" s="22" t="n"/>
      <c r="V314" s="23" t="n"/>
      <c r="W314" s="22" t="n"/>
      <c r="X314" s="26">
        <f>IF(W314="","",IF(AND(LEFT(W314,4)&lt;&gt;"http",set_RMSBase=""),"",HYPERLINK(IF(LEFT(W314,4)="http",W314,set_RMSBase&amp;W314),"Open opportunity")))</f>
        <v/>
      </c>
      <c r="Y314" s="22" t="n"/>
      <c r="Z314" s="26">
        <f>IF(Y314="","",HYPERLINK(IF(LEFT(Y314,4)="http",Y314,set_QwilrBase&amp;Y314),"Open quote"))</f>
        <v/>
      </c>
      <c r="AA314" s="26">
        <f>IF(C314="","",C314)</f>
        <v/>
      </c>
      <c r="AB314" s="22" t="n"/>
      <c r="AC314" s="24" t="n"/>
      <c r="AD314" s="27">
        <f>IF(C314="","",L314+N(AC314))</f>
        <v/>
      </c>
      <c r="AE314" s="29">
        <f>IFERROR(AC314/AD314,"")</f>
        <v/>
      </c>
      <c r="AF314" s="24" t="n"/>
      <c r="AG314" s="24" t="n"/>
      <c r="AH314" s="24" t="n"/>
      <c r="AI314" s="24" t="n"/>
      <c r="AJ314" s="27">
        <f>IF(C314="","",SUMIFS(tbl_Finance[Ex GST],tbl_Finance[Job Number],C314&amp;"",tbl_Finance[Cost Centre],"VIDEO"))</f>
        <v/>
      </c>
      <c r="AK314" s="29">
        <f>IFERROR(AJ314/L314,"")</f>
        <v/>
      </c>
      <c r="AL314" s="27">
        <f>IF(C314="","",N(AF314)+N(AG314)+N(AH314)+N(AI314))</f>
        <v/>
      </c>
      <c r="AM314" s="27" t="n"/>
      <c r="AN314" s="29" t="n"/>
      <c r="AO314" s="71" t="n"/>
      <c r="AP314" s="71" t="n"/>
      <c r="AQ314" s="71" t="n"/>
      <c r="AR314" s="71" t="n"/>
      <c r="AS314" s="71" t="n"/>
      <c r="AT314" s="22" t="n"/>
    </row>
    <row r="315" ht="15" customHeight="1">
      <c r="A315" s="70">
        <f>IF(C315="","",IFERROR(IF(SUMPRODUCT(MAX((tbl_Finance[Job Number]&amp;""=C315&amp;"")*(tbl_Finance[Xero Invoice No]&lt;&gt;"")*tbl_Finance[Date]))=0,"",SUMPRODUCT(MAX((tbl_Finance[Job Number]&amp;""=C315&amp;"")*(tbl_Finance[Xero Invoice No]&lt;&gt;"")*tbl_Finance[Date]))),""))</f>
        <v/>
      </c>
      <c r="B315" s="26">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2" t="n"/>
      <c r="D315" s="26">
        <f>IF(C315="","",IF(COUNTIF(lst_Jobs,C315&amp;"")&gt;0,"OK","CHECK"))</f>
        <v/>
      </c>
      <c r="E315" s="26">
        <f>IF(C315="","",IFERROR(INDEX(lst_JobName,MATCH(C315&amp;"",lst_Jobs,0)),""))</f>
        <v/>
      </c>
      <c r="F315" s="22" t="n"/>
      <c r="G315" s="22" t="n"/>
      <c r="H315" s="22" t="n"/>
      <c r="I315" s="22" t="n"/>
      <c r="J315" s="22" t="n"/>
      <c r="K315" s="28">
        <f>IF(C315="","",COUNTIFS(tbl_Finance[Job Number],C315&amp;"",tbl_Finance[Ex GST],"&lt;&gt;"))</f>
        <v/>
      </c>
      <c r="L315" s="27">
        <f>IF(C315="","",SUMIFS(tbl_Finance[Ex GST],tbl_Finance[Job Number],C315&amp;""))</f>
        <v/>
      </c>
      <c r="M315" s="27">
        <f>IF(C315="","",SUMIFS(tbl_Finance[Ex GST],tbl_Finance[Job Number],C315&amp;"",tbl_Finance[Xero Invoice No],"&lt;&gt;"))</f>
        <v/>
      </c>
      <c r="N315" s="27">
        <f>IF(C315="","",L315-M315)</f>
        <v/>
      </c>
      <c r="O315" s="24" t="n"/>
      <c r="P315" s="27">
        <f>IF(C315="","",IF(O315="",0,MAX(0,O315-L315)))</f>
        <v/>
      </c>
      <c r="Q315" s="26">
        <f>IF(C315="","",IF(K315=0,"not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R315" s="27">
        <f>IF(C315="","",SUMIFS(tbl_Finance[Inc GST],tbl_Finance[Job Number],C315&amp;""))</f>
        <v/>
      </c>
      <c r="S315" s="22" t="n"/>
      <c r="T315" s="22" t="n"/>
      <c r="U315" s="22" t="n"/>
      <c r="V315" s="23" t="n"/>
      <c r="W315" s="22" t="n"/>
      <c r="X315" s="26">
        <f>IF(W315="","",IF(AND(LEFT(W315,4)&lt;&gt;"http",set_RMSBase=""),"",HYPERLINK(IF(LEFT(W315,4)="http",W315,set_RMSBase&amp;W315),"Open opportunity")))</f>
        <v/>
      </c>
      <c r="Y315" s="22" t="n"/>
      <c r="Z315" s="26">
        <f>IF(Y315="","",HYPERLINK(IF(LEFT(Y315,4)="http",Y315,set_QwilrBase&amp;Y315),"Open quote"))</f>
        <v/>
      </c>
      <c r="AA315" s="26">
        <f>IF(C315="","",C315)</f>
        <v/>
      </c>
      <c r="AB315" s="22" t="n"/>
      <c r="AC315" s="24" t="n"/>
      <c r="AD315" s="27">
        <f>IF(C315="","",L315+N(AC315))</f>
        <v/>
      </c>
      <c r="AE315" s="29">
        <f>IFERROR(AC315/AD315,"")</f>
        <v/>
      </c>
      <c r="AF315" s="24" t="n"/>
      <c r="AG315" s="24" t="n"/>
      <c r="AH315" s="24" t="n"/>
      <c r="AI315" s="24" t="n"/>
      <c r="AJ315" s="27">
        <f>IF(C315="","",SUMIFS(tbl_Finance[Ex GST],tbl_Finance[Job Number],C315&amp;"",tbl_Finance[Cost Centre],"VIDEO"))</f>
        <v/>
      </c>
      <c r="AK315" s="29">
        <f>IFERROR(AJ315/L315,"")</f>
        <v/>
      </c>
      <c r="AL315" s="27">
        <f>IF(C315="","",N(AF315)+N(AG315)+N(AH315)+N(AI315))</f>
        <v/>
      </c>
      <c r="AM315" s="27" t="n"/>
      <c r="AN315" s="29" t="n"/>
      <c r="AO315" s="71" t="n"/>
      <c r="AP315" s="71" t="n"/>
      <c r="AQ315" s="71" t="n"/>
      <c r="AR315" s="71" t="n"/>
      <c r="AS315" s="71" t="n"/>
      <c r="AT315" s="22" t="n"/>
    </row>
    <row r="316" ht="15" customHeight="1">
      <c r="A316" s="70">
        <f>IF(C316="","",IFERROR(IF(SUMPRODUCT(MAX((tbl_Finance[Job Number]&amp;""=C316&amp;"")*(tbl_Finance[Xero Invoice No]&lt;&gt;"")*tbl_Finance[Date]))=0,"",SUMPRODUCT(MAX((tbl_Finance[Job Number]&amp;""=C316&amp;"")*(tbl_Finance[Xero Invoice No]&lt;&gt;"")*tbl_Finance[Date]))),""))</f>
        <v/>
      </c>
      <c r="B316" s="26">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2" t="n"/>
      <c r="D316" s="26">
        <f>IF(C316="","",IF(COUNTIF(lst_Jobs,C316&amp;"")&gt;0,"OK","CHECK"))</f>
        <v/>
      </c>
      <c r="E316" s="26">
        <f>IF(C316="","",IFERROR(INDEX(lst_JobName,MATCH(C316&amp;"",lst_Jobs,0)),""))</f>
        <v/>
      </c>
      <c r="F316" s="22" t="n"/>
      <c r="G316" s="22" t="n"/>
      <c r="H316" s="22" t="n"/>
      <c r="I316" s="22" t="n"/>
      <c r="J316" s="22" t="n"/>
      <c r="K316" s="28">
        <f>IF(C316="","",COUNTIFS(tbl_Finance[Job Number],C316&amp;"",tbl_Finance[Ex GST],"&lt;&gt;"))</f>
        <v/>
      </c>
      <c r="L316" s="27">
        <f>IF(C316="","",SUMIFS(tbl_Finance[Ex GST],tbl_Finance[Job Number],C316&amp;""))</f>
        <v/>
      </c>
      <c r="M316" s="27">
        <f>IF(C316="","",SUMIFS(tbl_Finance[Ex GST],tbl_Finance[Job Number],C316&amp;"",tbl_Finance[Xero Invoice No],"&lt;&gt;"))</f>
        <v/>
      </c>
      <c r="N316" s="27">
        <f>IF(C316="","",L316-M316)</f>
        <v/>
      </c>
      <c r="O316" s="24" t="n"/>
      <c r="P316" s="27">
        <f>IF(C316="","",IF(O316="",0,MAX(0,O316-L316)))</f>
        <v/>
      </c>
      <c r="Q316" s="26">
        <f>IF(C316="","",IF(K316=0,"not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R316" s="27">
        <f>IF(C316="","",SUMIFS(tbl_Finance[Inc GST],tbl_Finance[Job Number],C316&amp;""))</f>
        <v/>
      </c>
      <c r="S316" s="22" t="n"/>
      <c r="T316" s="22" t="n"/>
      <c r="U316" s="22" t="n"/>
      <c r="V316" s="23" t="n"/>
      <c r="W316" s="22" t="n"/>
      <c r="X316" s="26">
        <f>IF(W316="","",IF(AND(LEFT(W316,4)&lt;&gt;"http",set_RMSBase=""),"",HYPERLINK(IF(LEFT(W316,4)="http",W316,set_RMSBase&amp;W316),"Open opportunity")))</f>
        <v/>
      </c>
      <c r="Y316" s="22" t="n"/>
      <c r="Z316" s="26">
        <f>IF(Y316="","",HYPERLINK(IF(LEFT(Y316,4)="http",Y316,set_QwilrBase&amp;Y316),"Open quote"))</f>
        <v/>
      </c>
      <c r="AA316" s="26">
        <f>IF(C316="","",C316)</f>
        <v/>
      </c>
      <c r="AB316" s="22" t="n"/>
      <c r="AC316" s="24" t="n"/>
      <c r="AD316" s="27">
        <f>IF(C316="","",L316+N(AC316))</f>
        <v/>
      </c>
      <c r="AE316" s="29">
        <f>IFERROR(AC316/AD316,"")</f>
        <v/>
      </c>
      <c r="AF316" s="24" t="n"/>
      <c r="AG316" s="24" t="n"/>
      <c r="AH316" s="24" t="n"/>
      <c r="AI316" s="24" t="n"/>
      <c r="AJ316" s="27">
        <f>IF(C316="","",SUMIFS(tbl_Finance[Ex GST],tbl_Finance[Job Number],C316&amp;"",tbl_Finance[Cost Centre],"VIDEO"))</f>
        <v/>
      </c>
      <c r="AK316" s="29">
        <f>IFERROR(AJ316/L316,"")</f>
        <v/>
      </c>
      <c r="AL316" s="27">
        <f>IF(C316="","",N(AF316)+N(AG316)+N(AH316)+N(AI316))</f>
        <v/>
      </c>
      <c r="AM316" s="27" t="n"/>
      <c r="AN316" s="29" t="n"/>
      <c r="AO316" s="71" t="n"/>
      <c r="AP316" s="71" t="n"/>
      <c r="AQ316" s="71" t="n"/>
      <c r="AR316" s="71" t="n"/>
      <c r="AS316" s="71" t="n"/>
      <c r="AT316" s="22" t="n"/>
    </row>
    <row r="317" ht="15" customHeight="1">
      <c r="A317" s="70">
        <f>IF(C317="","",IFERROR(IF(SUMPRODUCT(MAX((tbl_Finance[Job Number]&amp;""=C317&amp;"")*(tbl_Finance[Xero Invoice No]&lt;&gt;"")*tbl_Finance[Date]))=0,"",SUMPRODUCT(MAX((tbl_Finance[Job Number]&amp;""=C317&amp;"")*(tbl_Finance[Xero Invoice No]&lt;&gt;"")*tbl_Finance[Date]))),""))</f>
        <v/>
      </c>
      <c r="B317" s="26">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2" t="n"/>
      <c r="D317" s="26">
        <f>IF(C317="","",IF(COUNTIF(lst_Jobs,C317&amp;"")&gt;0,"OK","CHECK"))</f>
        <v/>
      </c>
      <c r="E317" s="26">
        <f>IF(C317="","",IFERROR(INDEX(lst_JobName,MATCH(C317&amp;"",lst_Jobs,0)),""))</f>
        <v/>
      </c>
      <c r="F317" s="22" t="n"/>
      <c r="G317" s="22" t="n"/>
      <c r="H317" s="22" t="n"/>
      <c r="I317" s="22" t="n"/>
      <c r="J317" s="22" t="n"/>
      <c r="K317" s="28">
        <f>IF(C317="","",COUNTIFS(tbl_Finance[Job Number],C317&amp;"",tbl_Finance[Ex GST],"&lt;&gt;"))</f>
        <v/>
      </c>
      <c r="L317" s="27">
        <f>IF(C317="","",SUMIFS(tbl_Finance[Ex GST],tbl_Finance[Job Number],C317&amp;""))</f>
        <v/>
      </c>
      <c r="M317" s="27">
        <f>IF(C317="","",SUMIFS(tbl_Finance[Ex GST],tbl_Finance[Job Number],C317&amp;"",tbl_Finance[Xero Invoice No],"&lt;&gt;"))</f>
        <v/>
      </c>
      <c r="N317" s="27">
        <f>IF(C317="","",L317-M317)</f>
        <v/>
      </c>
      <c r="O317" s="24" t="n"/>
      <c r="P317" s="27">
        <f>IF(C317="","",IF(O317="",0,MAX(0,O317-L317)))</f>
        <v/>
      </c>
      <c r="Q317" s="26">
        <f>IF(C317="","",IF(K317=0,"not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R317" s="27">
        <f>IF(C317="","",SUMIFS(tbl_Finance[Inc GST],tbl_Finance[Job Number],C317&amp;""))</f>
        <v/>
      </c>
      <c r="S317" s="22" t="n"/>
      <c r="T317" s="22" t="n"/>
      <c r="U317" s="22" t="n"/>
      <c r="V317" s="23" t="n"/>
      <c r="W317" s="22" t="n"/>
      <c r="X317" s="26">
        <f>IF(W317="","",IF(AND(LEFT(W317,4)&lt;&gt;"http",set_RMSBase=""),"",HYPERLINK(IF(LEFT(W317,4)="http",W317,set_RMSBase&amp;W317),"Open opportunity")))</f>
        <v/>
      </c>
      <c r="Y317" s="22" t="n"/>
      <c r="Z317" s="26">
        <f>IF(Y317="","",HYPERLINK(IF(LEFT(Y317,4)="http",Y317,set_QwilrBase&amp;Y317),"Open quote"))</f>
        <v/>
      </c>
      <c r="AA317" s="26">
        <f>IF(C317="","",C317)</f>
        <v/>
      </c>
      <c r="AB317" s="22" t="n"/>
      <c r="AC317" s="24" t="n"/>
      <c r="AD317" s="27">
        <f>IF(C317="","",L317+N(AC317))</f>
        <v/>
      </c>
      <c r="AE317" s="29">
        <f>IFERROR(AC317/AD317,"")</f>
        <v/>
      </c>
      <c r="AF317" s="24" t="n"/>
      <c r="AG317" s="24" t="n"/>
      <c r="AH317" s="24" t="n"/>
      <c r="AI317" s="24" t="n"/>
      <c r="AJ317" s="27">
        <f>IF(C317="","",SUMIFS(tbl_Finance[Ex GST],tbl_Finance[Job Number],C317&amp;"",tbl_Finance[Cost Centre],"VIDEO"))</f>
        <v/>
      </c>
      <c r="AK317" s="29">
        <f>IFERROR(AJ317/L317,"")</f>
        <v/>
      </c>
      <c r="AL317" s="27">
        <f>IF(C317="","",N(AF317)+N(AG317)+N(AH317)+N(AI317))</f>
        <v/>
      </c>
      <c r="AM317" s="27" t="n"/>
      <c r="AN317" s="29" t="n"/>
      <c r="AO317" s="71" t="n"/>
      <c r="AP317" s="71" t="n"/>
      <c r="AQ317" s="71" t="n"/>
      <c r="AR317" s="71" t="n"/>
      <c r="AS317" s="71" t="n"/>
      <c r="AT317" s="22" t="n"/>
    </row>
    <row r="318" ht="15" customHeight="1">
      <c r="A318" s="70">
        <f>IF(C318="","",IFERROR(IF(SUMPRODUCT(MAX((tbl_Finance[Job Number]&amp;""=C318&amp;"")*(tbl_Finance[Xero Invoice No]&lt;&gt;"")*tbl_Finance[Date]))=0,"",SUMPRODUCT(MAX((tbl_Finance[Job Number]&amp;""=C318&amp;"")*(tbl_Finance[Xero Invoice No]&lt;&gt;"")*tbl_Finance[Date]))),""))</f>
        <v/>
      </c>
      <c r="B318" s="26">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2" t="n"/>
      <c r="D318" s="26">
        <f>IF(C318="","",IF(COUNTIF(lst_Jobs,C318&amp;"")&gt;0,"OK","CHECK"))</f>
        <v/>
      </c>
      <c r="E318" s="26">
        <f>IF(C318="","",IFERROR(INDEX(lst_JobName,MATCH(C318&amp;"",lst_Jobs,0)),""))</f>
        <v/>
      </c>
      <c r="F318" s="22" t="n"/>
      <c r="G318" s="22" t="n"/>
      <c r="H318" s="22" t="n"/>
      <c r="I318" s="22" t="n"/>
      <c r="J318" s="22" t="n"/>
      <c r="K318" s="28">
        <f>IF(C318="","",COUNTIFS(tbl_Finance[Job Number],C318&amp;"",tbl_Finance[Ex GST],"&lt;&gt;"))</f>
        <v/>
      </c>
      <c r="L318" s="27">
        <f>IF(C318="","",SUMIFS(tbl_Finance[Ex GST],tbl_Finance[Job Number],C318&amp;""))</f>
        <v/>
      </c>
      <c r="M318" s="27">
        <f>IF(C318="","",SUMIFS(tbl_Finance[Ex GST],tbl_Finance[Job Number],C318&amp;"",tbl_Finance[Xero Invoice No],"&lt;&gt;"))</f>
        <v/>
      </c>
      <c r="N318" s="27">
        <f>IF(C318="","",L318-M318)</f>
        <v/>
      </c>
      <c r="O318" s="24" t="n"/>
      <c r="P318" s="27">
        <f>IF(C318="","",IF(O318="",0,MAX(0,O318-L318)))</f>
        <v/>
      </c>
      <c r="Q318" s="26">
        <f>IF(C318="","",IF(K318=0,"not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R318" s="27">
        <f>IF(C318="","",SUMIFS(tbl_Finance[Inc GST],tbl_Finance[Job Number],C318&amp;""))</f>
        <v/>
      </c>
      <c r="S318" s="22" t="n"/>
      <c r="T318" s="22" t="n"/>
      <c r="U318" s="22" t="n"/>
      <c r="V318" s="23" t="n"/>
      <c r="W318" s="22" t="n"/>
      <c r="X318" s="26">
        <f>IF(W318="","",IF(AND(LEFT(W318,4)&lt;&gt;"http",set_RMSBase=""),"",HYPERLINK(IF(LEFT(W318,4)="http",W318,set_RMSBase&amp;W318),"Open opportunity")))</f>
        <v/>
      </c>
      <c r="Y318" s="22" t="n"/>
      <c r="Z318" s="26">
        <f>IF(Y318="","",HYPERLINK(IF(LEFT(Y318,4)="http",Y318,set_QwilrBase&amp;Y318),"Open quote"))</f>
        <v/>
      </c>
      <c r="AA318" s="26">
        <f>IF(C318="","",C318)</f>
        <v/>
      </c>
      <c r="AB318" s="22" t="n"/>
      <c r="AC318" s="24" t="n"/>
      <c r="AD318" s="27">
        <f>IF(C318="","",L318+N(AC318))</f>
        <v/>
      </c>
      <c r="AE318" s="29">
        <f>IFERROR(AC318/AD318,"")</f>
        <v/>
      </c>
      <c r="AF318" s="24" t="n"/>
      <c r="AG318" s="24" t="n"/>
      <c r="AH318" s="24" t="n"/>
      <c r="AI318" s="24" t="n"/>
      <c r="AJ318" s="27">
        <f>IF(C318="","",SUMIFS(tbl_Finance[Ex GST],tbl_Finance[Job Number],C318&amp;"",tbl_Finance[Cost Centre],"VIDEO"))</f>
        <v/>
      </c>
      <c r="AK318" s="29">
        <f>IFERROR(AJ318/L318,"")</f>
        <v/>
      </c>
      <c r="AL318" s="27">
        <f>IF(C318="","",N(AF318)+N(AG318)+N(AH318)+N(AI318))</f>
        <v/>
      </c>
      <c r="AM318" s="27" t="n"/>
      <c r="AN318" s="29" t="n"/>
      <c r="AO318" s="71" t="n"/>
      <c r="AP318" s="71" t="n"/>
      <c r="AQ318" s="71" t="n"/>
      <c r="AR318" s="71" t="n"/>
      <c r="AS318" s="71" t="n"/>
      <c r="AT318" s="22" t="n"/>
    </row>
    <row r="319" ht="15" customHeight="1">
      <c r="A319" s="70">
        <f>IF(C319="","",IFERROR(IF(SUMPRODUCT(MAX((tbl_Finance[Job Number]&amp;""=C319&amp;"")*(tbl_Finance[Xero Invoice No]&lt;&gt;"")*tbl_Finance[Date]))=0,"",SUMPRODUCT(MAX((tbl_Finance[Job Number]&amp;""=C319&amp;"")*(tbl_Finance[Xero Invoice No]&lt;&gt;"")*tbl_Finance[Date]))),""))</f>
        <v/>
      </c>
      <c r="B319" s="26">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2" t="n"/>
      <c r="D319" s="26">
        <f>IF(C319="","",IF(COUNTIF(lst_Jobs,C319&amp;"")&gt;0,"OK","CHECK"))</f>
        <v/>
      </c>
      <c r="E319" s="26">
        <f>IF(C319="","",IFERROR(INDEX(lst_JobName,MATCH(C319&amp;"",lst_Jobs,0)),""))</f>
        <v/>
      </c>
      <c r="F319" s="22" t="n"/>
      <c r="G319" s="22" t="n"/>
      <c r="H319" s="22" t="n"/>
      <c r="I319" s="22" t="n"/>
      <c r="J319" s="22" t="n"/>
      <c r="K319" s="28">
        <f>IF(C319="","",COUNTIFS(tbl_Finance[Job Number],C319&amp;"",tbl_Finance[Ex GST],"&lt;&gt;"))</f>
        <v/>
      </c>
      <c r="L319" s="27">
        <f>IF(C319="","",SUMIFS(tbl_Finance[Ex GST],tbl_Finance[Job Number],C319&amp;""))</f>
        <v/>
      </c>
      <c r="M319" s="27">
        <f>IF(C319="","",SUMIFS(tbl_Finance[Ex GST],tbl_Finance[Job Number],C319&amp;"",tbl_Finance[Xero Invoice No],"&lt;&gt;"))</f>
        <v/>
      </c>
      <c r="N319" s="27">
        <f>IF(C319="","",L319-M319)</f>
        <v/>
      </c>
      <c r="O319" s="24" t="n"/>
      <c r="P319" s="27">
        <f>IF(C319="","",IF(O319="",0,MAX(0,O319-L319)))</f>
        <v/>
      </c>
      <c r="Q319" s="26">
        <f>IF(C319="","",IF(K319=0,"not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R319" s="27">
        <f>IF(C319="","",SUMIFS(tbl_Finance[Inc GST],tbl_Finance[Job Number],C319&amp;""))</f>
        <v/>
      </c>
      <c r="S319" s="22" t="n"/>
      <c r="T319" s="22" t="n"/>
      <c r="U319" s="22" t="n"/>
      <c r="V319" s="23" t="n"/>
      <c r="W319" s="22" t="n"/>
      <c r="X319" s="26">
        <f>IF(W319="","",IF(AND(LEFT(W319,4)&lt;&gt;"http",set_RMSBase=""),"",HYPERLINK(IF(LEFT(W319,4)="http",W319,set_RMSBase&amp;W319),"Open opportunity")))</f>
        <v/>
      </c>
      <c r="Y319" s="22" t="n"/>
      <c r="Z319" s="26">
        <f>IF(Y319="","",HYPERLINK(IF(LEFT(Y319,4)="http",Y319,set_QwilrBase&amp;Y319),"Open quote"))</f>
        <v/>
      </c>
      <c r="AA319" s="26">
        <f>IF(C319="","",C319)</f>
        <v/>
      </c>
      <c r="AB319" s="22" t="n"/>
      <c r="AC319" s="24" t="n"/>
      <c r="AD319" s="27">
        <f>IF(C319="","",L319+N(AC319))</f>
        <v/>
      </c>
      <c r="AE319" s="29">
        <f>IFERROR(AC319/AD319,"")</f>
        <v/>
      </c>
      <c r="AF319" s="24" t="n"/>
      <c r="AG319" s="24" t="n"/>
      <c r="AH319" s="24" t="n"/>
      <c r="AI319" s="24" t="n"/>
      <c r="AJ319" s="27">
        <f>IF(C319="","",SUMIFS(tbl_Finance[Ex GST],tbl_Finance[Job Number],C319&amp;"",tbl_Finance[Cost Centre],"VIDEO"))</f>
        <v/>
      </c>
      <c r="AK319" s="29">
        <f>IFERROR(AJ319/L319,"")</f>
        <v/>
      </c>
      <c r="AL319" s="27">
        <f>IF(C319="","",N(AF319)+N(AG319)+N(AH319)+N(AI319))</f>
        <v/>
      </c>
      <c r="AM319" s="27" t="n"/>
      <c r="AN319" s="29" t="n"/>
      <c r="AO319" s="71" t="n"/>
      <c r="AP319" s="71" t="n"/>
      <c r="AQ319" s="71" t="n"/>
      <c r="AR319" s="71" t="n"/>
      <c r="AS319" s="71" t="n"/>
      <c r="AT319" s="22" t="n"/>
    </row>
    <row r="320" ht="15" customHeight="1">
      <c r="A320" s="70">
        <f>IF(C320="","",IFERROR(IF(SUMPRODUCT(MAX((tbl_Finance[Job Number]&amp;""=C320&amp;"")*(tbl_Finance[Xero Invoice No]&lt;&gt;"")*tbl_Finance[Date]))=0,"",SUMPRODUCT(MAX((tbl_Finance[Job Number]&amp;""=C320&amp;"")*(tbl_Finance[Xero Invoice No]&lt;&gt;"")*tbl_Finance[Date]))),""))</f>
        <v/>
      </c>
      <c r="B320" s="26">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2" t="n"/>
      <c r="D320" s="26">
        <f>IF(C320="","",IF(COUNTIF(lst_Jobs,C320&amp;"")&gt;0,"OK","CHECK"))</f>
        <v/>
      </c>
      <c r="E320" s="26">
        <f>IF(C320="","",IFERROR(INDEX(lst_JobName,MATCH(C320&amp;"",lst_Jobs,0)),""))</f>
        <v/>
      </c>
      <c r="F320" s="22" t="n"/>
      <c r="G320" s="22" t="n"/>
      <c r="H320" s="22" t="n"/>
      <c r="I320" s="22" t="n"/>
      <c r="J320" s="22" t="n"/>
      <c r="K320" s="28">
        <f>IF(C320="","",COUNTIFS(tbl_Finance[Job Number],C320&amp;"",tbl_Finance[Ex GST],"&lt;&gt;"))</f>
        <v/>
      </c>
      <c r="L320" s="27">
        <f>IF(C320="","",SUMIFS(tbl_Finance[Ex GST],tbl_Finance[Job Number],C320&amp;""))</f>
        <v/>
      </c>
      <c r="M320" s="27">
        <f>IF(C320="","",SUMIFS(tbl_Finance[Ex GST],tbl_Finance[Job Number],C320&amp;"",tbl_Finance[Xero Invoice No],"&lt;&gt;"))</f>
        <v/>
      </c>
      <c r="N320" s="27">
        <f>IF(C320="","",L320-M320)</f>
        <v/>
      </c>
      <c r="O320" s="24" t="n"/>
      <c r="P320" s="27">
        <f>IF(C320="","",IF(O320="",0,MAX(0,O320-L320)))</f>
        <v/>
      </c>
      <c r="Q320" s="26">
        <f>IF(C320="","",IF(K320=0,"not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R320" s="27">
        <f>IF(C320="","",SUMIFS(tbl_Finance[Inc GST],tbl_Finance[Job Number],C320&amp;""))</f>
        <v/>
      </c>
      <c r="S320" s="22" t="n"/>
      <c r="T320" s="22" t="n"/>
      <c r="U320" s="22" t="n"/>
      <c r="V320" s="23" t="n"/>
      <c r="W320" s="22" t="n"/>
      <c r="X320" s="26">
        <f>IF(W320="","",IF(AND(LEFT(W320,4)&lt;&gt;"http",set_RMSBase=""),"",HYPERLINK(IF(LEFT(W320,4)="http",W320,set_RMSBase&amp;W320),"Open opportunity")))</f>
        <v/>
      </c>
      <c r="Y320" s="22" t="n"/>
      <c r="Z320" s="26">
        <f>IF(Y320="","",HYPERLINK(IF(LEFT(Y320,4)="http",Y320,set_QwilrBase&amp;Y320),"Open quote"))</f>
        <v/>
      </c>
      <c r="AA320" s="26">
        <f>IF(C320="","",C320)</f>
        <v/>
      </c>
      <c r="AB320" s="22" t="n"/>
      <c r="AC320" s="24" t="n"/>
      <c r="AD320" s="27">
        <f>IF(C320="","",L320+N(AC320))</f>
        <v/>
      </c>
      <c r="AE320" s="29">
        <f>IFERROR(AC320/AD320,"")</f>
        <v/>
      </c>
      <c r="AF320" s="24" t="n"/>
      <c r="AG320" s="24" t="n"/>
      <c r="AH320" s="24" t="n"/>
      <c r="AI320" s="24" t="n"/>
      <c r="AJ320" s="27">
        <f>IF(C320="","",SUMIFS(tbl_Finance[Ex GST],tbl_Finance[Job Number],C320&amp;"",tbl_Finance[Cost Centre],"VIDEO"))</f>
        <v/>
      </c>
      <c r="AK320" s="29">
        <f>IFERROR(AJ320/L320,"")</f>
        <v/>
      </c>
      <c r="AL320" s="27">
        <f>IF(C320="","",N(AF320)+N(AG320)+N(AH320)+N(AI320))</f>
        <v/>
      </c>
      <c r="AM320" s="27" t="n"/>
      <c r="AN320" s="29" t="n"/>
      <c r="AO320" s="71" t="n"/>
      <c r="AP320" s="71" t="n"/>
      <c r="AQ320" s="71" t="n"/>
      <c r="AR320" s="71" t="n"/>
      <c r="AS320" s="71" t="n"/>
      <c r="AT320" s="22" t="n"/>
    </row>
    <row r="321" ht="15" customHeight="1">
      <c r="A321" s="70">
        <f>IF(C321="","",IFERROR(IF(SUMPRODUCT(MAX((tbl_Finance[Job Number]&amp;""=C321&amp;"")*(tbl_Finance[Xero Invoice No]&lt;&gt;"")*tbl_Finance[Date]))=0,"",SUMPRODUCT(MAX((tbl_Finance[Job Number]&amp;""=C321&amp;"")*(tbl_Finance[Xero Invoice No]&lt;&gt;"")*tbl_Finance[Date]))),""))</f>
        <v/>
      </c>
      <c r="B321" s="26">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2" t="n"/>
      <c r="D321" s="26">
        <f>IF(C321="","",IF(COUNTIF(lst_Jobs,C321&amp;"")&gt;0,"OK","CHECK"))</f>
        <v/>
      </c>
      <c r="E321" s="26">
        <f>IF(C321="","",IFERROR(INDEX(lst_JobName,MATCH(C321&amp;"",lst_Jobs,0)),""))</f>
        <v/>
      </c>
      <c r="F321" s="22" t="n"/>
      <c r="G321" s="22" t="n"/>
      <c r="H321" s="22" t="n"/>
      <c r="I321" s="22" t="n"/>
      <c r="J321" s="22" t="n"/>
      <c r="K321" s="28">
        <f>IF(C321="","",COUNTIFS(tbl_Finance[Job Number],C321&amp;"",tbl_Finance[Ex GST],"&lt;&gt;"))</f>
        <v/>
      </c>
      <c r="L321" s="27">
        <f>IF(C321="","",SUMIFS(tbl_Finance[Ex GST],tbl_Finance[Job Number],C321&amp;""))</f>
        <v/>
      </c>
      <c r="M321" s="27">
        <f>IF(C321="","",SUMIFS(tbl_Finance[Ex GST],tbl_Finance[Job Number],C321&amp;"",tbl_Finance[Xero Invoice No],"&lt;&gt;"))</f>
        <v/>
      </c>
      <c r="N321" s="27">
        <f>IF(C321="","",L321-M321)</f>
        <v/>
      </c>
      <c r="O321" s="24" t="n"/>
      <c r="P321" s="27">
        <f>IF(C321="","",IF(O321="",0,MAX(0,O321-L321)))</f>
        <v/>
      </c>
      <c r="Q321" s="26">
        <f>IF(C321="","",IF(K321=0,"not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R321" s="27">
        <f>IF(C321="","",SUMIFS(tbl_Finance[Inc GST],tbl_Finance[Job Number],C321&amp;""))</f>
        <v/>
      </c>
      <c r="S321" s="22" t="n"/>
      <c r="T321" s="22" t="n"/>
      <c r="U321" s="22" t="n"/>
      <c r="V321" s="23" t="n"/>
      <c r="W321" s="22" t="n"/>
      <c r="X321" s="26">
        <f>IF(W321="","",IF(AND(LEFT(W321,4)&lt;&gt;"http",set_RMSBase=""),"",HYPERLINK(IF(LEFT(W321,4)="http",W321,set_RMSBase&amp;W321),"Open opportunity")))</f>
        <v/>
      </c>
      <c r="Y321" s="22" t="n"/>
      <c r="Z321" s="26">
        <f>IF(Y321="","",HYPERLINK(IF(LEFT(Y321,4)="http",Y321,set_QwilrBase&amp;Y321),"Open quote"))</f>
        <v/>
      </c>
      <c r="AA321" s="26">
        <f>IF(C321="","",C321)</f>
        <v/>
      </c>
      <c r="AB321" s="22" t="n"/>
      <c r="AC321" s="24" t="n"/>
      <c r="AD321" s="27">
        <f>IF(C321="","",L321+N(AC321))</f>
        <v/>
      </c>
      <c r="AE321" s="29">
        <f>IFERROR(AC321/AD321,"")</f>
        <v/>
      </c>
      <c r="AF321" s="24" t="n"/>
      <c r="AG321" s="24" t="n"/>
      <c r="AH321" s="24" t="n"/>
      <c r="AI321" s="24" t="n"/>
      <c r="AJ321" s="27">
        <f>IF(C321="","",SUMIFS(tbl_Finance[Ex GST],tbl_Finance[Job Number],C321&amp;"",tbl_Finance[Cost Centre],"VIDEO"))</f>
        <v/>
      </c>
      <c r="AK321" s="29">
        <f>IFERROR(AJ321/L321,"")</f>
        <v/>
      </c>
      <c r="AL321" s="27">
        <f>IF(C321="","",N(AF321)+N(AG321)+N(AH321)+N(AI321))</f>
        <v/>
      </c>
      <c r="AM321" s="27" t="n"/>
      <c r="AN321" s="29" t="n"/>
      <c r="AO321" s="71" t="n"/>
      <c r="AP321" s="71" t="n"/>
      <c r="AQ321" s="71" t="n"/>
      <c r="AR321" s="71" t="n"/>
      <c r="AS321" s="71" t="n"/>
      <c r="AT321" s="22" t="n"/>
    </row>
    <row r="322" ht="15" customHeight="1">
      <c r="A322" s="70">
        <f>IF(C322="","",IFERROR(IF(SUMPRODUCT(MAX((tbl_Finance[Job Number]&amp;""=C322&amp;"")*(tbl_Finance[Xero Invoice No]&lt;&gt;"")*tbl_Finance[Date]))=0,"",SUMPRODUCT(MAX((tbl_Finance[Job Number]&amp;""=C322&amp;"")*(tbl_Finance[Xero Invoice No]&lt;&gt;"")*tbl_Finance[Date]))),""))</f>
        <v/>
      </c>
      <c r="B322" s="26">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2" t="n"/>
      <c r="D322" s="26">
        <f>IF(C322="","",IF(COUNTIF(lst_Jobs,C322&amp;"")&gt;0,"OK","CHECK"))</f>
        <v/>
      </c>
      <c r="E322" s="26">
        <f>IF(C322="","",IFERROR(INDEX(lst_JobName,MATCH(C322&amp;"",lst_Jobs,0)),""))</f>
        <v/>
      </c>
      <c r="F322" s="22" t="n"/>
      <c r="G322" s="22" t="n"/>
      <c r="H322" s="22" t="n"/>
      <c r="I322" s="22" t="n"/>
      <c r="J322" s="22" t="n"/>
      <c r="K322" s="28">
        <f>IF(C322="","",COUNTIFS(tbl_Finance[Job Number],C322&amp;"",tbl_Finance[Ex GST],"&lt;&gt;"))</f>
        <v/>
      </c>
      <c r="L322" s="27">
        <f>IF(C322="","",SUMIFS(tbl_Finance[Ex GST],tbl_Finance[Job Number],C322&amp;""))</f>
        <v/>
      </c>
      <c r="M322" s="27">
        <f>IF(C322="","",SUMIFS(tbl_Finance[Ex GST],tbl_Finance[Job Number],C322&amp;"",tbl_Finance[Xero Invoice No],"&lt;&gt;"))</f>
        <v/>
      </c>
      <c r="N322" s="27">
        <f>IF(C322="","",L322-M322)</f>
        <v/>
      </c>
      <c r="O322" s="24" t="n"/>
      <c r="P322" s="27">
        <f>IF(C322="","",IF(O322="",0,MAX(0,O322-L322)))</f>
        <v/>
      </c>
      <c r="Q322" s="26">
        <f>IF(C322="","",IF(K322=0,"not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R322" s="27">
        <f>IF(C322="","",SUMIFS(tbl_Finance[Inc GST],tbl_Finance[Job Number],C322&amp;""))</f>
        <v/>
      </c>
      <c r="S322" s="22" t="n"/>
      <c r="T322" s="22" t="n"/>
      <c r="U322" s="22" t="n"/>
      <c r="V322" s="23" t="n"/>
      <c r="W322" s="22" t="n"/>
      <c r="X322" s="26">
        <f>IF(W322="","",IF(AND(LEFT(W322,4)&lt;&gt;"http",set_RMSBase=""),"",HYPERLINK(IF(LEFT(W322,4)="http",W322,set_RMSBase&amp;W322),"Open opportunity")))</f>
        <v/>
      </c>
      <c r="Y322" s="22" t="n"/>
      <c r="Z322" s="26">
        <f>IF(Y322="","",HYPERLINK(IF(LEFT(Y322,4)="http",Y322,set_QwilrBase&amp;Y322),"Open quote"))</f>
        <v/>
      </c>
      <c r="AA322" s="26">
        <f>IF(C322="","",C322)</f>
        <v/>
      </c>
      <c r="AB322" s="22" t="n"/>
      <c r="AC322" s="24" t="n"/>
      <c r="AD322" s="27">
        <f>IF(C322="","",L322+N(AC322))</f>
        <v/>
      </c>
      <c r="AE322" s="29">
        <f>IFERROR(AC322/AD322,"")</f>
        <v/>
      </c>
      <c r="AF322" s="24" t="n"/>
      <c r="AG322" s="24" t="n"/>
      <c r="AH322" s="24" t="n"/>
      <c r="AI322" s="24" t="n"/>
      <c r="AJ322" s="27">
        <f>IF(C322="","",SUMIFS(tbl_Finance[Ex GST],tbl_Finance[Job Number],C322&amp;"",tbl_Finance[Cost Centre],"VIDEO"))</f>
        <v/>
      </c>
      <c r="AK322" s="29">
        <f>IFERROR(AJ322/L322,"")</f>
        <v/>
      </c>
      <c r="AL322" s="27">
        <f>IF(C322="","",N(AF322)+N(AG322)+N(AH322)+N(AI322))</f>
        <v/>
      </c>
      <c r="AM322" s="27" t="n"/>
      <c r="AN322" s="29" t="n"/>
      <c r="AO322" s="71" t="n"/>
      <c r="AP322" s="71" t="n"/>
      <c r="AQ322" s="71" t="n"/>
      <c r="AR322" s="71" t="n"/>
      <c r="AS322" s="71" t="n"/>
      <c r="AT322" s="22" t="n"/>
    </row>
    <row r="323" ht="15" customHeight="1">
      <c r="A323" s="70">
        <f>IF(C323="","",IFERROR(IF(SUMPRODUCT(MAX((tbl_Finance[Job Number]&amp;""=C323&amp;"")*(tbl_Finance[Xero Invoice No]&lt;&gt;"")*tbl_Finance[Date]))=0,"",SUMPRODUCT(MAX((tbl_Finance[Job Number]&amp;""=C323&amp;"")*(tbl_Finance[Xero Invoice No]&lt;&gt;"")*tbl_Finance[Date]))),""))</f>
        <v/>
      </c>
      <c r="B323" s="26">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2" t="n"/>
      <c r="D323" s="26">
        <f>IF(C323="","",IF(COUNTIF(lst_Jobs,C323&amp;"")&gt;0,"OK","CHECK"))</f>
        <v/>
      </c>
      <c r="E323" s="26">
        <f>IF(C323="","",IFERROR(INDEX(lst_JobName,MATCH(C323&amp;"",lst_Jobs,0)),""))</f>
        <v/>
      </c>
      <c r="F323" s="22" t="n"/>
      <c r="G323" s="22" t="n"/>
      <c r="H323" s="22" t="n"/>
      <c r="I323" s="22" t="n"/>
      <c r="J323" s="22" t="n"/>
      <c r="K323" s="28">
        <f>IF(C323="","",COUNTIFS(tbl_Finance[Job Number],C323&amp;"",tbl_Finance[Ex GST],"&lt;&gt;"))</f>
        <v/>
      </c>
      <c r="L323" s="27">
        <f>IF(C323="","",SUMIFS(tbl_Finance[Ex GST],tbl_Finance[Job Number],C323&amp;""))</f>
        <v/>
      </c>
      <c r="M323" s="27">
        <f>IF(C323="","",SUMIFS(tbl_Finance[Ex GST],tbl_Finance[Job Number],C323&amp;"",tbl_Finance[Xero Invoice No],"&lt;&gt;"))</f>
        <v/>
      </c>
      <c r="N323" s="27">
        <f>IF(C323="","",L323-M323)</f>
        <v/>
      </c>
      <c r="O323" s="24" t="n"/>
      <c r="P323" s="27">
        <f>IF(C323="","",IF(O323="",0,MAX(0,O323-L323)))</f>
        <v/>
      </c>
      <c r="Q323" s="26">
        <f>IF(C323="","",IF(K323=0,"not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R323" s="27">
        <f>IF(C323="","",SUMIFS(tbl_Finance[Inc GST],tbl_Finance[Job Number],C323&amp;""))</f>
        <v/>
      </c>
      <c r="S323" s="22" t="n"/>
      <c r="T323" s="22" t="n"/>
      <c r="U323" s="22" t="n"/>
      <c r="V323" s="23" t="n"/>
      <c r="W323" s="22" t="n"/>
      <c r="X323" s="26">
        <f>IF(W323="","",IF(AND(LEFT(W323,4)&lt;&gt;"http",set_RMSBase=""),"",HYPERLINK(IF(LEFT(W323,4)="http",W323,set_RMSBase&amp;W323),"Open opportunity")))</f>
        <v/>
      </c>
      <c r="Y323" s="22" t="n"/>
      <c r="Z323" s="26">
        <f>IF(Y323="","",HYPERLINK(IF(LEFT(Y323,4)="http",Y323,set_QwilrBase&amp;Y323),"Open quote"))</f>
        <v/>
      </c>
      <c r="AA323" s="26">
        <f>IF(C323="","",C323)</f>
        <v/>
      </c>
      <c r="AB323" s="22" t="n"/>
      <c r="AC323" s="24" t="n"/>
      <c r="AD323" s="27">
        <f>IF(C323="","",L323+N(AC323))</f>
        <v/>
      </c>
      <c r="AE323" s="29">
        <f>IFERROR(AC323/AD323,"")</f>
        <v/>
      </c>
      <c r="AF323" s="24" t="n"/>
      <c r="AG323" s="24" t="n"/>
      <c r="AH323" s="24" t="n"/>
      <c r="AI323" s="24" t="n"/>
      <c r="AJ323" s="27">
        <f>IF(C323="","",SUMIFS(tbl_Finance[Ex GST],tbl_Finance[Job Number],C323&amp;"",tbl_Finance[Cost Centre],"VIDEO"))</f>
        <v/>
      </c>
      <c r="AK323" s="29">
        <f>IFERROR(AJ323/L323,"")</f>
        <v/>
      </c>
      <c r="AL323" s="27">
        <f>IF(C323="","",N(AF323)+N(AG323)+N(AH323)+N(AI323))</f>
        <v/>
      </c>
      <c r="AM323" s="27" t="n"/>
      <c r="AN323" s="29" t="n"/>
      <c r="AO323" s="71" t="n"/>
      <c r="AP323" s="71" t="n"/>
      <c r="AQ323" s="71" t="n"/>
      <c r="AR323" s="71" t="n"/>
      <c r="AS323" s="71" t="n"/>
      <c r="AT323" s="22" t="n"/>
    </row>
    <row r="324" ht="15" customHeight="1">
      <c r="A324" s="70">
        <f>IF(C324="","",IFERROR(IF(SUMPRODUCT(MAX((tbl_Finance[Job Number]&amp;""=C324&amp;"")*(tbl_Finance[Xero Invoice No]&lt;&gt;"")*tbl_Finance[Date]))=0,"",SUMPRODUCT(MAX((tbl_Finance[Job Number]&amp;""=C324&amp;"")*(tbl_Finance[Xero Invoice No]&lt;&gt;"")*tbl_Finance[Date]))),""))</f>
        <v/>
      </c>
      <c r="B324" s="26">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2" t="n"/>
      <c r="D324" s="26">
        <f>IF(C324="","",IF(COUNTIF(lst_Jobs,C324&amp;"")&gt;0,"OK","CHECK"))</f>
        <v/>
      </c>
      <c r="E324" s="26">
        <f>IF(C324="","",IFERROR(INDEX(lst_JobName,MATCH(C324&amp;"",lst_Jobs,0)),""))</f>
        <v/>
      </c>
      <c r="F324" s="22" t="n"/>
      <c r="G324" s="22" t="n"/>
      <c r="H324" s="22" t="n"/>
      <c r="I324" s="22" t="n"/>
      <c r="J324" s="22" t="n"/>
      <c r="K324" s="28">
        <f>IF(C324="","",COUNTIFS(tbl_Finance[Job Number],C324&amp;"",tbl_Finance[Ex GST],"&lt;&gt;"))</f>
        <v/>
      </c>
      <c r="L324" s="27">
        <f>IF(C324="","",SUMIFS(tbl_Finance[Ex GST],tbl_Finance[Job Number],C324&amp;""))</f>
        <v/>
      </c>
      <c r="M324" s="27">
        <f>IF(C324="","",SUMIFS(tbl_Finance[Ex GST],tbl_Finance[Job Number],C324&amp;"",tbl_Finance[Xero Invoice No],"&lt;&gt;"))</f>
        <v/>
      </c>
      <c r="N324" s="27">
        <f>IF(C324="","",L324-M324)</f>
        <v/>
      </c>
      <c r="O324" s="24" t="n"/>
      <c r="P324" s="27">
        <f>IF(C324="","",IF(O324="",0,MAX(0,O324-L324)))</f>
        <v/>
      </c>
      <c r="Q324" s="26">
        <f>IF(C324="","",IF(K324=0,"not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R324" s="27">
        <f>IF(C324="","",SUMIFS(tbl_Finance[Inc GST],tbl_Finance[Job Number],C324&amp;""))</f>
        <v/>
      </c>
      <c r="S324" s="22" t="n"/>
      <c r="T324" s="22" t="n"/>
      <c r="U324" s="22" t="n"/>
      <c r="V324" s="23" t="n"/>
      <c r="W324" s="22" t="n"/>
      <c r="X324" s="26">
        <f>IF(W324="","",IF(AND(LEFT(W324,4)&lt;&gt;"http",set_RMSBase=""),"",HYPERLINK(IF(LEFT(W324,4)="http",W324,set_RMSBase&amp;W324),"Open opportunity")))</f>
        <v/>
      </c>
      <c r="Y324" s="22" t="n"/>
      <c r="Z324" s="26">
        <f>IF(Y324="","",HYPERLINK(IF(LEFT(Y324,4)="http",Y324,set_QwilrBase&amp;Y324),"Open quote"))</f>
        <v/>
      </c>
      <c r="AA324" s="26">
        <f>IF(C324="","",C324)</f>
        <v/>
      </c>
      <c r="AB324" s="22" t="n"/>
      <c r="AC324" s="24" t="n"/>
      <c r="AD324" s="27">
        <f>IF(C324="","",L324+N(AC324))</f>
        <v/>
      </c>
      <c r="AE324" s="29">
        <f>IFERROR(AC324/AD324,"")</f>
        <v/>
      </c>
      <c r="AF324" s="24" t="n"/>
      <c r="AG324" s="24" t="n"/>
      <c r="AH324" s="24" t="n"/>
      <c r="AI324" s="24" t="n"/>
      <c r="AJ324" s="27">
        <f>IF(C324="","",SUMIFS(tbl_Finance[Ex GST],tbl_Finance[Job Number],C324&amp;"",tbl_Finance[Cost Centre],"VIDEO"))</f>
        <v/>
      </c>
      <c r="AK324" s="29">
        <f>IFERROR(AJ324/L324,"")</f>
        <v/>
      </c>
      <c r="AL324" s="27">
        <f>IF(C324="","",N(AF324)+N(AG324)+N(AH324)+N(AI324))</f>
        <v/>
      </c>
      <c r="AM324" s="27" t="n"/>
      <c r="AN324" s="29" t="n"/>
      <c r="AO324" s="71" t="n"/>
      <c r="AP324" s="71" t="n"/>
      <c r="AQ324" s="71" t="n"/>
      <c r="AR324" s="71" t="n"/>
      <c r="AS324" s="71" t="n"/>
      <c r="AT324" s="22" t="n"/>
    </row>
    <row r="325" ht="15" customHeight="1">
      <c r="A325" s="70">
        <f>IF(C325="","",IFERROR(IF(SUMPRODUCT(MAX((tbl_Finance[Job Number]&amp;""=C325&amp;"")*(tbl_Finance[Xero Invoice No]&lt;&gt;"")*tbl_Finance[Date]))=0,"",SUMPRODUCT(MAX((tbl_Finance[Job Number]&amp;""=C325&amp;"")*(tbl_Finance[Xero Invoice No]&lt;&gt;"")*tbl_Finance[Date]))),""))</f>
        <v/>
      </c>
      <c r="B325" s="26">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2" t="n"/>
      <c r="D325" s="26">
        <f>IF(C325="","",IF(COUNTIF(lst_Jobs,C325&amp;"")&gt;0,"OK","CHECK"))</f>
        <v/>
      </c>
      <c r="E325" s="26">
        <f>IF(C325="","",IFERROR(INDEX(lst_JobName,MATCH(C325&amp;"",lst_Jobs,0)),""))</f>
        <v/>
      </c>
      <c r="F325" s="22" t="n"/>
      <c r="G325" s="22" t="n"/>
      <c r="H325" s="22" t="n"/>
      <c r="I325" s="22" t="n"/>
      <c r="J325" s="22" t="n"/>
      <c r="K325" s="28">
        <f>IF(C325="","",COUNTIFS(tbl_Finance[Job Number],C325&amp;"",tbl_Finance[Ex GST],"&lt;&gt;"))</f>
        <v/>
      </c>
      <c r="L325" s="27">
        <f>IF(C325="","",SUMIFS(tbl_Finance[Ex GST],tbl_Finance[Job Number],C325&amp;""))</f>
        <v/>
      </c>
      <c r="M325" s="27">
        <f>IF(C325="","",SUMIFS(tbl_Finance[Ex GST],tbl_Finance[Job Number],C325&amp;"",tbl_Finance[Xero Invoice No],"&lt;&gt;"))</f>
        <v/>
      </c>
      <c r="N325" s="27">
        <f>IF(C325="","",L325-M325)</f>
        <v/>
      </c>
      <c r="O325" s="24" t="n"/>
      <c r="P325" s="27">
        <f>IF(C325="","",IF(O325="",0,MAX(0,O325-L325)))</f>
        <v/>
      </c>
      <c r="Q325" s="26">
        <f>IF(C325="","",IF(K325=0,"not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R325" s="27">
        <f>IF(C325="","",SUMIFS(tbl_Finance[Inc GST],tbl_Finance[Job Number],C325&amp;""))</f>
        <v/>
      </c>
      <c r="S325" s="22" t="n"/>
      <c r="T325" s="22" t="n"/>
      <c r="U325" s="22" t="n"/>
      <c r="V325" s="23" t="n"/>
      <c r="W325" s="22" t="n"/>
      <c r="X325" s="26">
        <f>IF(W325="","",IF(AND(LEFT(W325,4)&lt;&gt;"http",set_RMSBase=""),"",HYPERLINK(IF(LEFT(W325,4)="http",W325,set_RMSBase&amp;W325),"Open opportunity")))</f>
        <v/>
      </c>
      <c r="Y325" s="22" t="n"/>
      <c r="Z325" s="26">
        <f>IF(Y325="","",HYPERLINK(IF(LEFT(Y325,4)="http",Y325,set_QwilrBase&amp;Y325),"Open quote"))</f>
        <v/>
      </c>
      <c r="AA325" s="26">
        <f>IF(C325="","",C325)</f>
        <v/>
      </c>
      <c r="AB325" s="22" t="n"/>
      <c r="AC325" s="24" t="n"/>
      <c r="AD325" s="27">
        <f>IF(C325="","",L325+N(AC325))</f>
        <v/>
      </c>
      <c r="AE325" s="29">
        <f>IFERROR(AC325/AD325,"")</f>
        <v/>
      </c>
      <c r="AF325" s="24" t="n"/>
      <c r="AG325" s="24" t="n"/>
      <c r="AH325" s="24" t="n"/>
      <c r="AI325" s="24" t="n"/>
      <c r="AJ325" s="27">
        <f>IF(C325="","",SUMIFS(tbl_Finance[Ex GST],tbl_Finance[Job Number],C325&amp;"",tbl_Finance[Cost Centre],"VIDEO"))</f>
        <v/>
      </c>
      <c r="AK325" s="29">
        <f>IFERROR(AJ325/L325,"")</f>
        <v/>
      </c>
      <c r="AL325" s="27">
        <f>IF(C325="","",N(AF325)+N(AG325)+N(AH325)+N(AI325))</f>
        <v/>
      </c>
      <c r="AM325" s="27" t="n"/>
      <c r="AN325" s="29" t="n"/>
      <c r="AO325" s="71" t="n"/>
      <c r="AP325" s="71" t="n"/>
      <c r="AQ325" s="71" t="n"/>
      <c r="AR325" s="71" t="n"/>
      <c r="AS325" s="71" t="n"/>
      <c r="AT325" s="22" t="n"/>
    </row>
    <row r="326" ht="15" customHeight="1">
      <c r="A326" s="70">
        <f>IF(C326="","",IFERROR(IF(SUMPRODUCT(MAX((tbl_Finance[Job Number]&amp;""=C326&amp;"")*(tbl_Finance[Xero Invoice No]&lt;&gt;"")*tbl_Finance[Date]))=0,"",SUMPRODUCT(MAX((tbl_Finance[Job Number]&amp;""=C326&amp;"")*(tbl_Finance[Xero Invoice No]&lt;&gt;"")*tbl_Finance[Date]))),""))</f>
        <v/>
      </c>
      <c r="B326" s="26">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2" t="n"/>
      <c r="D326" s="26">
        <f>IF(C326="","",IF(COUNTIF(lst_Jobs,C326&amp;"")&gt;0,"OK","CHECK"))</f>
        <v/>
      </c>
      <c r="E326" s="26">
        <f>IF(C326="","",IFERROR(INDEX(lst_JobName,MATCH(C326&amp;"",lst_Jobs,0)),""))</f>
        <v/>
      </c>
      <c r="F326" s="22" t="n"/>
      <c r="G326" s="22" t="n"/>
      <c r="H326" s="22" t="n"/>
      <c r="I326" s="22" t="n"/>
      <c r="J326" s="22" t="n"/>
      <c r="K326" s="28">
        <f>IF(C326="","",COUNTIFS(tbl_Finance[Job Number],C326&amp;"",tbl_Finance[Ex GST],"&lt;&gt;"))</f>
        <v/>
      </c>
      <c r="L326" s="27">
        <f>IF(C326="","",SUMIFS(tbl_Finance[Ex GST],tbl_Finance[Job Number],C326&amp;""))</f>
        <v/>
      </c>
      <c r="M326" s="27">
        <f>IF(C326="","",SUMIFS(tbl_Finance[Ex GST],tbl_Finance[Job Number],C326&amp;"",tbl_Finance[Xero Invoice No],"&lt;&gt;"))</f>
        <v/>
      </c>
      <c r="N326" s="27">
        <f>IF(C326="","",L326-M326)</f>
        <v/>
      </c>
      <c r="O326" s="24" t="n"/>
      <c r="P326" s="27">
        <f>IF(C326="","",IF(O326="",0,MAX(0,O326-L326)))</f>
        <v/>
      </c>
      <c r="Q326" s="26">
        <f>IF(C326="","",IF(K326=0,"not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R326" s="27">
        <f>IF(C326="","",SUMIFS(tbl_Finance[Inc GST],tbl_Finance[Job Number],C326&amp;""))</f>
        <v/>
      </c>
      <c r="S326" s="22" t="n"/>
      <c r="T326" s="22" t="n"/>
      <c r="U326" s="22" t="n"/>
      <c r="V326" s="23" t="n"/>
      <c r="W326" s="22" t="n"/>
      <c r="X326" s="26">
        <f>IF(W326="","",IF(AND(LEFT(W326,4)&lt;&gt;"http",set_RMSBase=""),"",HYPERLINK(IF(LEFT(W326,4)="http",W326,set_RMSBase&amp;W326),"Open opportunity")))</f>
        <v/>
      </c>
      <c r="Y326" s="22" t="n"/>
      <c r="Z326" s="26">
        <f>IF(Y326="","",HYPERLINK(IF(LEFT(Y326,4)="http",Y326,set_QwilrBase&amp;Y326),"Open quote"))</f>
        <v/>
      </c>
      <c r="AA326" s="26">
        <f>IF(C326="","",C326)</f>
        <v/>
      </c>
      <c r="AB326" s="22" t="n"/>
      <c r="AC326" s="24" t="n"/>
      <c r="AD326" s="27">
        <f>IF(C326="","",L326+N(AC326))</f>
        <v/>
      </c>
      <c r="AE326" s="29">
        <f>IFERROR(AC326/AD326,"")</f>
        <v/>
      </c>
      <c r="AF326" s="24" t="n"/>
      <c r="AG326" s="24" t="n"/>
      <c r="AH326" s="24" t="n"/>
      <c r="AI326" s="24" t="n"/>
      <c r="AJ326" s="27">
        <f>IF(C326="","",SUMIFS(tbl_Finance[Ex GST],tbl_Finance[Job Number],C326&amp;"",tbl_Finance[Cost Centre],"VIDEO"))</f>
        <v/>
      </c>
      <c r="AK326" s="29">
        <f>IFERROR(AJ326/L326,"")</f>
        <v/>
      </c>
      <c r="AL326" s="27">
        <f>IF(C326="","",N(AF326)+N(AG326)+N(AH326)+N(AI326))</f>
        <v/>
      </c>
      <c r="AM326" s="27" t="n"/>
      <c r="AN326" s="29" t="n"/>
      <c r="AO326" s="71" t="n"/>
      <c r="AP326" s="71" t="n"/>
      <c r="AQ326" s="71" t="n"/>
      <c r="AR326" s="71" t="n"/>
      <c r="AS326" s="71" t="n"/>
      <c r="AT326" s="22" t="n"/>
    </row>
    <row r="327" ht="15" customHeight="1">
      <c r="A327" s="70">
        <f>IF(C327="","",IFERROR(IF(SUMPRODUCT(MAX((tbl_Finance[Job Number]&amp;""=C327&amp;"")*(tbl_Finance[Xero Invoice No]&lt;&gt;"")*tbl_Finance[Date]))=0,"",SUMPRODUCT(MAX((tbl_Finance[Job Number]&amp;""=C327&amp;"")*(tbl_Finance[Xero Invoice No]&lt;&gt;"")*tbl_Finance[Date]))),""))</f>
        <v/>
      </c>
      <c r="B327" s="26">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2" t="n"/>
      <c r="D327" s="26">
        <f>IF(C327="","",IF(COUNTIF(lst_Jobs,C327&amp;"")&gt;0,"OK","CHECK"))</f>
        <v/>
      </c>
      <c r="E327" s="26">
        <f>IF(C327="","",IFERROR(INDEX(lst_JobName,MATCH(C327&amp;"",lst_Jobs,0)),""))</f>
        <v/>
      </c>
      <c r="F327" s="22" t="n"/>
      <c r="G327" s="22" t="n"/>
      <c r="H327" s="22" t="n"/>
      <c r="I327" s="22" t="n"/>
      <c r="J327" s="22" t="n"/>
      <c r="K327" s="28">
        <f>IF(C327="","",COUNTIFS(tbl_Finance[Job Number],C327&amp;"",tbl_Finance[Ex GST],"&lt;&gt;"))</f>
        <v/>
      </c>
      <c r="L327" s="27">
        <f>IF(C327="","",SUMIFS(tbl_Finance[Ex GST],tbl_Finance[Job Number],C327&amp;""))</f>
        <v/>
      </c>
      <c r="M327" s="27">
        <f>IF(C327="","",SUMIFS(tbl_Finance[Ex GST],tbl_Finance[Job Number],C327&amp;"",tbl_Finance[Xero Invoice No],"&lt;&gt;"))</f>
        <v/>
      </c>
      <c r="N327" s="27">
        <f>IF(C327="","",L327-M327)</f>
        <v/>
      </c>
      <c r="O327" s="24" t="n"/>
      <c r="P327" s="27">
        <f>IF(C327="","",IF(O327="",0,MAX(0,O327-L327)))</f>
        <v/>
      </c>
      <c r="Q327" s="26">
        <f>IF(C327="","",IF(K327=0,"not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R327" s="27">
        <f>IF(C327="","",SUMIFS(tbl_Finance[Inc GST],tbl_Finance[Job Number],C327&amp;""))</f>
        <v/>
      </c>
      <c r="S327" s="22" t="n"/>
      <c r="T327" s="22" t="n"/>
      <c r="U327" s="22" t="n"/>
      <c r="V327" s="23" t="n"/>
      <c r="W327" s="22" t="n"/>
      <c r="X327" s="26">
        <f>IF(W327="","",IF(AND(LEFT(W327,4)&lt;&gt;"http",set_RMSBase=""),"",HYPERLINK(IF(LEFT(W327,4)="http",W327,set_RMSBase&amp;W327),"Open opportunity")))</f>
        <v/>
      </c>
      <c r="Y327" s="22" t="n"/>
      <c r="Z327" s="26">
        <f>IF(Y327="","",HYPERLINK(IF(LEFT(Y327,4)="http",Y327,set_QwilrBase&amp;Y327),"Open quote"))</f>
        <v/>
      </c>
      <c r="AA327" s="26">
        <f>IF(C327="","",C327)</f>
        <v/>
      </c>
      <c r="AB327" s="22" t="n"/>
      <c r="AC327" s="24" t="n"/>
      <c r="AD327" s="27">
        <f>IF(C327="","",L327+N(AC327))</f>
        <v/>
      </c>
      <c r="AE327" s="29">
        <f>IFERROR(AC327/AD327,"")</f>
        <v/>
      </c>
      <c r="AF327" s="24" t="n"/>
      <c r="AG327" s="24" t="n"/>
      <c r="AH327" s="24" t="n"/>
      <c r="AI327" s="24" t="n"/>
      <c r="AJ327" s="27">
        <f>IF(C327="","",SUMIFS(tbl_Finance[Ex GST],tbl_Finance[Job Number],C327&amp;"",tbl_Finance[Cost Centre],"VIDEO"))</f>
        <v/>
      </c>
      <c r="AK327" s="29">
        <f>IFERROR(AJ327/L327,"")</f>
        <v/>
      </c>
      <c r="AL327" s="27">
        <f>IF(C327="","",N(AF327)+N(AG327)+N(AH327)+N(AI327))</f>
        <v/>
      </c>
      <c r="AM327" s="27" t="n"/>
      <c r="AN327" s="29" t="n"/>
      <c r="AO327" s="71" t="n"/>
      <c r="AP327" s="71" t="n"/>
      <c r="AQ327" s="71" t="n"/>
      <c r="AR327" s="71" t="n"/>
      <c r="AS327" s="71" t="n"/>
      <c r="AT327" s="22" t="n"/>
    </row>
    <row r="328" ht="15" customHeight="1">
      <c r="A328" s="70">
        <f>IF(C328="","",IFERROR(IF(SUMPRODUCT(MAX((tbl_Finance[Job Number]&amp;""=C328&amp;"")*(tbl_Finance[Xero Invoice No]&lt;&gt;"")*tbl_Finance[Date]))=0,"",SUMPRODUCT(MAX((tbl_Finance[Job Number]&amp;""=C328&amp;"")*(tbl_Finance[Xero Invoice No]&lt;&gt;"")*tbl_Finance[Date]))),""))</f>
        <v/>
      </c>
      <c r="B328" s="26">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2" t="n"/>
      <c r="D328" s="26">
        <f>IF(C328="","",IF(COUNTIF(lst_Jobs,C328&amp;"")&gt;0,"OK","CHECK"))</f>
        <v/>
      </c>
      <c r="E328" s="26">
        <f>IF(C328="","",IFERROR(INDEX(lst_JobName,MATCH(C328&amp;"",lst_Jobs,0)),""))</f>
        <v/>
      </c>
      <c r="F328" s="22" t="n"/>
      <c r="G328" s="22" t="n"/>
      <c r="H328" s="22" t="n"/>
      <c r="I328" s="22" t="n"/>
      <c r="J328" s="22" t="n"/>
      <c r="K328" s="28">
        <f>IF(C328="","",COUNTIFS(tbl_Finance[Job Number],C328&amp;"",tbl_Finance[Ex GST],"&lt;&gt;"))</f>
        <v/>
      </c>
      <c r="L328" s="27">
        <f>IF(C328="","",SUMIFS(tbl_Finance[Ex GST],tbl_Finance[Job Number],C328&amp;""))</f>
        <v/>
      </c>
      <c r="M328" s="27">
        <f>IF(C328="","",SUMIFS(tbl_Finance[Ex GST],tbl_Finance[Job Number],C328&amp;"",tbl_Finance[Xero Invoice No],"&lt;&gt;"))</f>
        <v/>
      </c>
      <c r="N328" s="27">
        <f>IF(C328="","",L328-M328)</f>
        <v/>
      </c>
      <c r="O328" s="24" t="n"/>
      <c r="P328" s="27">
        <f>IF(C328="","",IF(O328="",0,MAX(0,O328-L328)))</f>
        <v/>
      </c>
      <c r="Q328" s="26">
        <f>IF(C328="","",IF(K328=0,"not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R328" s="27">
        <f>IF(C328="","",SUMIFS(tbl_Finance[Inc GST],tbl_Finance[Job Number],C328&amp;""))</f>
        <v/>
      </c>
      <c r="S328" s="22" t="n"/>
      <c r="T328" s="22" t="n"/>
      <c r="U328" s="22" t="n"/>
      <c r="V328" s="23" t="n"/>
      <c r="W328" s="22" t="n"/>
      <c r="X328" s="26">
        <f>IF(W328="","",IF(AND(LEFT(W328,4)&lt;&gt;"http",set_RMSBase=""),"",HYPERLINK(IF(LEFT(W328,4)="http",W328,set_RMSBase&amp;W328),"Open opportunity")))</f>
        <v/>
      </c>
      <c r="Y328" s="22" t="n"/>
      <c r="Z328" s="26">
        <f>IF(Y328="","",HYPERLINK(IF(LEFT(Y328,4)="http",Y328,set_QwilrBase&amp;Y328),"Open quote"))</f>
        <v/>
      </c>
      <c r="AA328" s="26">
        <f>IF(C328="","",C328)</f>
        <v/>
      </c>
      <c r="AB328" s="22" t="n"/>
      <c r="AC328" s="24" t="n"/>
      <c r="AD328" s="27">
        <f>IF(C328="","",L328+N(AC328))</f>
        <v/>
      </c>
      <c r="AE328" s="29">
        <f>IFERROR(AC328/AD328,"")</f>
        <v/>
      </c>
      <c r="AF328" s="24" t="n"/>
      <c r="AG328" s="24" t="n"/>
      <c r="AH328" s="24" t="n"/>
      <c r="AI328" s="24" t="n"/>
      <c r="AJ328" s="27">
        <f>IF(C328="","",SUMIFS(tbl_Finance[Ex GST],tbl_Finance[Job Number],C328&amp;"",tbl_Finance[Cost Centre],"VIDEO"))</f>
        <v/>
      </c>
      <c r="AK328" s="29">
        <f>IFERROR(AJ328/L328,"")</f>
        <v/>
      </c>
      <c r="AL328" s="27">
        <f>IF(C328="","",N(AF328)+N(AG328)+N(AH328)+N(AI328))</f>
        <v/>
      </c>
      <c r="AM328" s="27" t="n"/>
      <c r="AN328" s="29" t="n"/>
      <c r="AO328" s="71" t="n"/>
      <c r="AP328" s="71" t="n"/>
      <c r="AQ328" s="71" t="n"/>
      <c r="AR328" s="71" t="n"/>
      <c r="AS328" s="71" t="n"/>
      <c r="AT328" s="22" t="n"/>
    </row>
    <row r="329" ht="15" customHeight="1">
      <c r="A329" s="70">
        <f>IF(C329="","",IFERROR(IF(SUMPRODUCT(MAX((tbl_Finance[Job Number]&amp;""=C329&amp;"")*(tbl_Finance[Xero Invoice No]&lt;&gt;"")*tbl_Finance[Date]))=0,"",SUMPRODUCT(MAX((tbl_Finance[Job Number]&amp;""=C329&amp;"")*(tbl_Finance[Xero Invoice No]&lt;&gt;"")*tbl_Finance[Date]))),""))</f>
        <v/>
      </c>
      <c r="B329" s="26">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2" t="n"/>
      <c r="D329" s="26">
        <f>IF(C329="","",IF(COUNTIF(lst_Jobs,C329&amp;"")&gt;0,"OK","CHECK"))</f>
        <v/>
      </c>
      <c r="E329" s="26">
        <f>IF(C329="","",IFERROR(INDEX(lst_JobName,MATCH(C329&amp;"",lst_Jobs,0)),""))</f>
        <v/>
      </c>
      <c r="F329" s="22" t="n"/>
      <c r="G329" s="22" t="n"/>
      <c r="H329" s="22" t="n"/>
      <c r="I329" s="22" t="n"/>
      <c r="J329" s="22" t="n"/>
      <c r="K329" s="28">
        <f>IF(C329="","",COUNTIFS(tbl_Finance[Job Number],C329&amp;"",tbl_Finance[Ex GST],"&lt;&gt;"))</f>
        <v/>
      </c>
      <c r="L329" s="27">
        <f>IF(C329="","",SUMIFS(tbl_Finance[Ex GST],tbl_Finance[Job Number],C329&amp;""))</f>
        <v/>
      </c>
      <c r="M329" s="27">
        <f>IF(C329="","",SUMIFS(tbl_Finance[Ex GST],tbl_Finance[Job Number],C329&amp;"",tbl_Finance[Xero Invoice No],"&lt;&gt;"))</f>
        <v/>
      </c>
      <c r="N329" s="27">
        <f>IF(C329="","",L329-M329)</f>
        <v/>
      </c>
      <c r="O329" s="24" t="n"/>
      <c r="P329" s="27">
        <f>IF(C329="","",IF(O329="",0,MAX(0,O329-L329)))</f>
        <v/>
      </c>
      <c r="Q329" s="26">
        <f>IF(C329="","",IF(K329=0,"not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R329" s="27">
        <f>IF(C329="","",SUMIFS(tbl_Finance[Inc GST],tbl_Finance[Job Number],C329&amp;""))</f>
        <v/>
      </c>
      <c r="S329" s="22" t="n"/>
      <c r="T329" s="22" t="n"/>
      <c r="U329" s="22" t="n"/>
      <c r="V329" s="23" t="n"/>
      <c r="W329" s="22" t="n"/>
      <c r="X329" s="26">
        <f>IF(W329="","",IF(AND(LEFT(W329,4)&lt;&gt;"http",set_RMSBase=""),"",HYPERLINK(IF(LEFT(W329,4)="http",W329,set_RMSBase&amp;W329),"Open opportunity")))</f>
        <v/>
      </c>
      <c r="Y329" s="22" t="n"/>
      <c r="Z329" s="26">
        <f>IF(Y329="","",HYPERLINK(IF(LEFT(Y329,4)="http",Y329,set_QwilrBase&amp;Y329),"Open quote"))</f>
        <v/>
      </c>
      <c r="AA329" s="26">
        <f>IF(C329="","",C329)</f>
        <v/>
      </c>
      <c r="AB329" s="22" t="n"/>
      <c r="AC329" s="24" t="n"/>
      <c r="AD329" s="27">
        <f>IF(C329="","",L329+N(AC329))</f>
        <v/>
      </c>
      <c r="AE329" s="29">
        <f>IFERROR(AC329/AD329,"")</f>
        <v/>
      </c>
      <c r="AF329" s="24" t="n"/>
      <c r="AG329" s="24" t="n"/>
      <c r="AH329" s="24" t="n"/>
      <c r="AI329" s="24" t="n"/>
      <c r="AJ329" s="27">
        <f>IF(C329="","",SUMIFS(tbl_Finance[Ex GST],tbl_Finance[Job Number],C329&amp;"",tbl_Finance[Cost Centre],"VIDEO"))</f>
        <v/>
      </c>
      <c r="AK329" s="29">
        <f>IFERROR(AJ329/L329,"")</f>
        <v/>
      </c>
      <c r="AL329" s="27">
        <f>IF(C329="","",N(AF329)+N(AG329)+N(AH329)+N(AI329))</f>
        <v/>
      </c>
      <c r="AM329" s="27" t="n"/>
      <c r="AN329" s="29" t="n"/>
      <c r="AO329" s="71" t="n"/>
      <c r="AP329" s="71" t="n"/>
      <c r="AQ329" s="71" t="n"/>
      <c r="AR329" s="71" t="n"/>
      <c r="AS329" s="71" t="n"/>
      <c r="AT329" s="22" t="n"/>
    </row>
    <row r="330" ht="15" customHeight="1">
      <c r="A330" s="70">
        <f>IF(C330="","",IFERROR(IF(SUMPRODUCT(MAX((tbl_Finance[Job Number]&amp;""=C330&amp;"")*(tbl_Finance[Xero Invoice No]&lt;&gt;"")*tbl_Finance[Date]))=0,"",SUMPRODUCT(MAX((tbl_Finance[Job Number]&amp;""=C330&amp;"")*(tbl_Finance[Xero Invoice No]&lt;&gt;"")*tbl_Finance[Date]))),""))</f>
        <v/>
      </c>
      <c r="B330" s="26">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2" t="n"/>
      <c r="D330" s="26">
        <f>IF(C330="","",IF(COUNTIF(lst_Jobs,C330&amp;"")&gt;0,"OK","CHECK"))</f>
        <v/>
      </c>
      <c r="E330" s="26">
        <f>IF(C330="","",IFERROR(INDEX(lst_JobName,MATCH(C330&amp;"",lst_Jobs,0)),""))</f>
        <v/>
      </c>
      <c r="F330" s="22" t="n"/>
      <c r="G330" s="22" t="n"/>
      <c r="H330" s="22" t="n"/>
      <c r="I330" s="22" t="n"/>
      <c r="J330" s="22" t="n"/>
      <c r="K330" s="28">
        <f>IF(C330="","",COUNTIFS(tbl_Finance[Job Number],C330&amp;"",tbl_Finance[Ex GST],"&lt;&gt;"))</f>
        <v/>
      </c>
      <c r="L330" s="27">
        <f>IF(C330="","",SUMIFS(tbl_Finance[Ex GST],tbl_Finance[Job Number],C330&amp;""))</f>
        <v/>
      </c>
      <c r="M330" s="27">
        <f>IF(C330="","",SUMIFS(tbl_Finance[Ex GST],tbl_Finance[Job Number],C330&amp;"",tbl_Finance[Xero Invoice No],"&lt;&gt;"))</f>
        <v/>
      </c>
      <c r="N330" s="27">
        <f>IF(C330="","",L330-M330)</f>
        <v/>
      </c>
      <c r="O330" s="24" t="n"/>
      <c r="P330" s="27">
        <f>IF(C330="","",IF(O330="",0,MAX(0,O330-L330)))</f>
        <v/>
      </c>
      <c r="Q330" s="26">
        <f>IF(C330="","",IF(K330=0,"not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R330" s="27">
        <f>IF(C330="","",SUMIFS(tbl_Finance[Inc GST],tbl_Finance[Job Number],C330&amp;""))</f>
        <v/>
      </c>
      <c r="S330" s="22" t="n"/>
      <c r="T330" s="22" t="n"/>
      <c r="U330" s="22" t="n"/>
      <c r="V330" s="23" t="n"/>
      <c r="W330" s="22" t="n"/>
      <c r="X330" s="26">
        <f>IF(W330="","",IF(AND(LEFT(W330,4)&lt;&gt;"http",set_RMSBase=""),"",HYPERLINK(IF(LEFT(W330,4)="http",W330,set_RMSBase&amp;W330),"Open opportunity")))</f>
        <v/>
      </c>
      <c r="Y330" s="22" t="n"/>
      <c r="Z330" s="26">
        <f>IF(Y330="","",HYPERLINK(IF(LEFT(Y330,4)="http",Y330,set_QwilrBase&amp;Y330),"Open quote"))</f>
        <v/>
      </c>
      <c r="AA330" s="26">
        <f>IF(C330="","",C330)</f>
        <v/>
      </c>
      <c r="AB330" s="22" t="n"/>
      <c r="AC330" s="24" t="n"/>
      <c r="AD330" s="27">
        <f>IF(C330="","",L330+N(AC330))</f>
        <v/>
      </c>
      <c r="AE330" s="29">
        <f>IFERROR(AC330/AD330,"")</f>
        <v/>
      </c>
      <c r="AF330" s="24" t="n"/>
      <c r="AG330" s="24" t="n"/>
      <c r="AH330" s="24" t="n"/>
      <c r="AI330" s="24" t="n"/>
      <c r="AJ330" s="27">
        <f>IF(C330="","",SUMIFS(tbl_Finance[Ex GST],tbl_Finance[Job Number],C330&amp;"",tbl_Finance[Cost Centre],"VIDEO"))</f>
        <v/>
      </c>
      <c r="AK330" s="29">
        <f>IFERROR(AJ330/L330,"")</f>
        <v/>
      </c>
      <c r="AL330" s="27">
        <f>IF(C330="","",N(AF330)+N(AG330)+N(AH330)+N(AI330))</f>
        <v/>
      </c>
      <c r="AM330" s="27" t="n"/>
      <c r="AN330" s="29" t="n"/>
      <c r="AO330" s="71" t="n"/>
      <c r="AP330" s="71" t="n"/>
      <c r="AQ330" s="71" t="n"/>
      <c r="AR330" s="71" t="n"/>
      <c r="AS330" s="71" t="n"/>
      <c r="AT330" s="22" t="n"/>
    </row>
    <row r="331" ht="15" customHeight="1">
      <c r="A331" s="70">
        <f>IF(C331="","",IFERROR(IF(SUMPRODUCT(MAX((tbl_Finance[Job Number]&amp;""=C331&amp;"")*(tbl_Finance[Xero Invoice No]&lt;&gt;"")*tbl_Finance[Date]))=0,"",SUMPRODUCT(MAX((tbl_Finance[Job Number]&amp;""=C331&amp;"")*(tbl_Finance[Xero Invoice No]&lt;&gt;"")*tbl_Finance[Date]))),""))</f>
        <v/>
      </c>
      <c r="B331" s="26">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2" t="n"/>
      <c r="D331" s="26">
        <f>IF(C331="","",IF(COUNTIF(lst_Jobs,C331&amp;"")&gt;0,"OK","CHECK"))</f>
        <v/>
      </c>
      <c r="E331" s="26">
        <f>IF(C331="","",IFERROR(INDEX(lst_JobName,MATCH(C331&amp;"",lst_Jobs,0)),""))</f>
        <v/>
      </c>
      <c r="F331" s="22" t="n"/>
      <c r="G331" s="22" t="n"/>
      <c r="H331" s="22" t="n"/>
      <c r="I331" s="22" t="n"/>
      <c r="J331" s="22" t="n"/>
      <c r="K331" s="28">
        <f>IF(C331="","",COUNTIFS(tbl_Finance[Job Number],C331&amp;"",tbl_Finance[Ex GST],"&lt;&gt;"))</f>
        <v/>
      </c>
      <c r="L331" s="27">
        <f>IF(C331="","",SUMIFS(tbl_Finance[Ex GST],tbl_Finance[Job Number],C331&amp;""))</f>
        <v/>
      </c>
      <c r="M331" s="27">
        <f>IF(C331="","",SUMIFS(tbl_Finance[Ex GST],tbl_Finance[Job Number],C331&amp;"",tbl_Finance[Xero Invoice No],"&lt;&gt;"))</f>
        <v/>
      </c>
      <c r="N331" s="27">
        <f>IF(C331="","",L331-M331)</f>
        <v/>
      </c>
      <c r="O331" s="24" t="n"/>
      <c r="P331" s="27">
        <f>IF(C331="","",IF(O331="",0,MAX(0,O331-L331)))</f>
        <v/>
      </c>
      <c r="Q331" s="26">
        <f>IF(C331="","",IF(K331=0,"not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R331" s="27">
        <f>IF(C331="","",SUMIFS(tbl_Finance[Inc GST],tbl_Finance[Job Number],C331&amp;""))</f>
        <v/>
      </c>
      <c r="S331" s="22" t="n"/>
      <c r="T331" s="22" t="n"/>
      <c r="U331" s="22" t="n"/>
      <c r="V331" s="23" t="n"/>
      <c r="W331" s="22" t="n"/>
      <c r="X331" s="26">
        <f>IF(W331="","",IF(AND(LEFT(W331,4)&lt;&gt;"http",set_RMSBase=""),"",HYPERLINK(IF(LEFT(W331,4)="http",W331,set_RMSBase&amp;W331),"Open opportunity")))</f>
        <v/>
      </c>
      <c r="Y331" s="22" t="n"/>
      <c r="Z331" s="26">
        <f>IF(Y331="","",HYPERLINK(IF(LEFT(Y331,4)="http",Y331,set_QwilrBase&amp;Y331),"Open quote"))</f>
        <v/>
      </c>
      <c r="AA331" s="26">
        <f>IF(C331="","",C331)</f>
        <v/>
      </c>
      <c r="AB331" s="22" t="n"/>
      <c r="AC331" s="24" t="n"/>
      <c r="AD331" s="27">
        <f>IF(C331="","",L331+N(AC331))</f>
        <v/>
      </c>
      <c r="AE331" s="29">
        <f>IFERROR(AC331/AD331,"")</f>
        <v/>
      </c>
      <c r="AF331" s="24" t="n"/>
      <c r="AG331" s="24" t="n"/>
      <c r="AH331" s="24" t="n"/>
      <c r="AI331" s="24" t="n"/>
      <c r="AJ331" s="27">
        <f>IF(C331="","",SUMIFS(tbl_Finance[Ex GST],tbl_Finance[Job Number],C331&amp;"",tbl_Finance[Cost Centre],"VIDEO"))</f>
        <v/>
      </c>
      <c r="AK331" s="29">
        <f>IFERROR(AJ331/L331,"")</f>
        <v/>
      </c>
      <c r="AL331" s="27">
        <f>IF(C331="","",N(AF331)+N(AG331)+N(AH331)+N(AI331))</f>
        <v/>
      </c>
      <c r="AM331" s="27" t="n"/>
      <c r="AN331" s="29" t="n"/>
      <c r="AO331" s="71" t="n"/>
      <c r="AP331" s="71" t="n"/>
      <c r="AQ331" s="71" t="n"/>
      <c r="AR331" s="71" t="n"/>
      <c r="AS331" s="71" t="n"/>
      <c r="AT331" s="22" t="n"/>
    </row>
    <row r="332" ht="15" customHeight="1">
      <c r="A332" s="70">
        <f>IF(C332="","",IFERROR(IF(SUMPRODUCT(MAX((tbl_Finance[Job Number]&amp;""=C332&amp;"")*(tbl_Finance[Xero Invoice No]&lt;&gt;"")*tbl_Finance[Date]))=0,"",SUMPRODUCT(MAX((tbl_Finance[Job Number]&amp;""=C332&amp;"")*(tbl_Finance[Xero Invoice No]&lt;&gt;"")*tbl_Finance[Date]))),""))</f>
        <v/>
      </c>
      <c r="B332" s="26">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2" t="n"/>
      <c r="D332" s="26">
        <f>IF(C332="","",IF(COUNTIF(lst_Jobs,C332&amp;"")&gt;0,"OK","CHECK"))</f>
        <v/>
      </c>
      <c r="E332" s="26">
        <f>IF(C332="","",IFERROR(INDEX(lst_JobName,MATCH(C332&amp;"",lst_Jobs,0)),""))</f>
        <v/>
      </c>
      <c r="F332" s="22" t="n"/>
      <c r="G332" s="22" t="n"/>
      <c r="H332" s="22" t="n"/>
      <c r="I332" s="22" t="n"/>
      <c r="J332" s="22" t="n"/>
      <c r="K332" s="28">
        <f>IF(C332="","",COUNTIFS(tbl_Finance[Job Number],C332&amp;"",tbl_Finance[Ex GST],"&lt;&gt;"))</f>
        <v/>
      </c>
      <c r="L332" s="27">
        <f>IF(C332="","",SUMIFS(tbl_Finance[Ex GST],tbl_Finance[Job Number],C332&amp;""))</f>
        <v/>
      </c>
      <c r="M332" s="27">
        <f>IF(C332="","",SUMIFS(tbl_Finance[Ex GST],tbl_Finance[Job Number],C332&amp;"",tbl_Finance[Xero Invoice No],"&lt;&gt;"))</f>
        <v/>
      </c>
      <c r="N332" s="27">
        <f>IF(C332="","",L332-M332)</f>
        <v/>
      </c>
      <c r="O332" s="24" t="n"/>
      <c r="P332" s="27">
        <f>IF(C332="","",IF(O332="",0,MAX(0,O332-L332)))</f>
        <v/>
      </c>
      <c r="Q332" s="26">
        <f>IF(C332="","",IF(K332=0,"not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R332" s="27">
        <f>IF(C332="","",SUMIFS(tbl_Finance[Inc GST],tbl_Finance[Job Number],C332&amp;""))</f>
        <v/>
      </c>
      <c r="S332" s="22" t="n"/>
      <c r="T332" s="22" t="n"/>
      <c r="U332" s="22" t="n"/>
      <c r="V332" s="23" t="n"/>
      <c r="W332" s="22" t="n"/>
      <c r="X332" s="26">
        <f>IF(W332="","",IF(AND(LEFT(W332,4)&lt;&gt;"http",set_RMSBase=""),"",HYPERLINK(IF(LEFT(W332,4)="http",W332,set_RMSBase&amp;W332),"Open opportunity")))</f>
        <v/>
      </c>
      <c r="Y332" s="22" t="n"/>
      <c r="Z332" s="26">
        <f>IF(Y332="","",HYPERLINK(IF(LEFT(Y332,4)="http",Y332,set_QwilrBase&amp;Y332),"Open quote"))</f>
        <v/>
      </c>
      <c r="AA332" s="26">
        <f>IF(C332="","",C332)</f>
        <v/>
      </c>
      <c r="AB332" s="22" t="n"/>
      <c r="AC332" s="24" t="n"/>
      <c r="AD332" s="27">
        <f>IF(C332="","",L332+N(AC332))</f>
        <v/>
      </c>
      <c r="AE332" s="29">
        <f>IFERROR(AC332/AD332,"")</f>
        <v/>
      </c>
      <c r="AF332" s="24" t="n"/>
      <c r="AG332" s="24" t="n"/>
      <c r="AH332" s="24" t="n"/>
      <c r="AI332" s="24" t="n"/>
      <c r="AJ332" s="27">
        <f>IF(C332="","",SUMIFS(tbl_Finance[Ex GST],tbl_Finance[Job Number],C332&amp;"",tbl_Finance[Cost Centre],"VIDEO"))</f>
        <v/>
      </c>
      <c r="AK332" s="29">
        <f>IFERROR(AJ332/L332,"")</f>
        <v/>
      </c>
      <c r="AL332" s="27">
        <f>IF(C332="","",N(AF332)+N(AG332)+N(AH332)+N(AI332))</f>
        <v/>
      </c>
      <c r="AM332" s="27" t="n"/>
      <c r="AN332" s="29" t="n"/>
      <c r="AO332" s="71" t="n"/>
      <c r="AP332" s="71" t="n"/>
      <c r="AQ332" s="71" t="n"/>
      <c r="AR332" s="71" t="n"/>
      <c r="AS332" s="71" t="n"/>
      <c r="AT332" s="22" t="n"/>
    </row>
    <row r="333" ht="15" customHeight="1">
      <c r="A333" s="70">
        <f>IF(C333="","",IFERROR(IF(SUMPRODUCT(MAX((tbl_Finance[Job Number]&amp;""=C333&amp;"")*(tbl_Finance[Xero Invoice No]&lt;&gt;"")*tbl_Finance[Date]))=0,"",SUMPRODUCT(MAX((tbl_Finance[Job Number]&amp;""=C333&amp;"")*(tbl_Finance[Xero Invoice No]&lt;&gt;"")*tbl_Finance[Date]))),""))</f>
        <v/>
      </c>
      <c r="B333" s="26">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2" t="n"/>
      <c r="D333" s="26">
        <f>IF(C333="","",IF(COUNTIF(lst_Jobs,C333&amp;"")&gt;0,"OK","CHECK"))</f>
        <v/>
      </c>
      <c r="E333" s="26">
        <f>IF(C333="","",IFERROR(INDEX(lst_JobName,MATCH(C333&amp;"",lst_Jobs,0)),""))</f>
        <v/>
      </c>
      <c r="F333" s="22" t="n"/>
      <c r="G333" s="22" t="n"/>
      <c r="H333" s="22" t="n"/>
      <c r="I333" s="22" t="n"/>
      <c r="J333" s="22" t="n"/>
      <c r="K333" s="28">
        <f>IF(C333="","",COUNTIFS(tbl_Finance[Job Number],C333&amp;"",tbl_Finance[Ex GST],"&lt;&gt;"))</f>
        <v/>
      </c>
      <c r="L333" s="27">
        <f>IF(C333="","",SUMIFS(tbl_Finance[Ex GST],tbl_Finance[Job Number],C333&amp;""))</f>
        <v/>
      </c>
      <c r="M333" s="27">
        <f>IF(C333="","",SUMIFS(tbl_Finance[Ex GST],tbl_Finance[Job Number],C333&amp;"",tbl_Finance[Xero Invoice No],"&lt;&gt;"))</f>
        <v/>
      </c>
      <c r="N333" s="27">
        <f>IF(C333="","",L333-M333)</f>
        <v/>
      </c>
      <c r="O333" s="24" t="n"/>
      <c r="P333" s="27">
        <f>IF(C333="","",IF(O333="",0,MAX(0,O333-L333)))</f>
        <v/>
      </c>
      <c r="Q333" s="26">
        <f>IF(C333="","",IF(K333=0,"not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R333" s="27">
        <f>IF(C333="","",SUMIFS(tbl_Finance[Inc GST],tbl_Finance[Job Number],C333&amp;""))</f>
        <v/>
      </c>
      <c r="S333" s="22" t="n"/>
      <c r="T333" s="22" t="n"/>
      <c r="U333" s="22" t="n"/>
      <c r="V333" s="23" t="n"/>
      <c r="W333" s="22" t="n"/>
      <c r="X333" s="26">
        <f>IF(W333="","",IF(AND(LEFT(W333,4)&lt;&gt;"http",set_RMSBase=""),"",HYPERLINK(IF(LEFT(W333,4)="http",W333,set_RMSBase&amp;W333),"Open opportunity")))</f>
        <v/>
      </c>
      <c r="Y333" s="22" t="n"/>
      <c r="Z333" s="26">
        <f>IF(Y333="","",HYPERLINK(IF(LEFT(Y333,4)="http",Y333,set_QwilrBase&amp;Y333),"Open quote"))</f>
        <v/>
      </c>
      <c r="AA333" s="26">
        <f>IF(C333="","",C333)</f>
        <v/>
      </c>
      <c r="AB333" s="22" t="n"/>
      <c r="AC333" s="24" t="n"/>
      <c r="AD333" s="27">
        <f>IF(C333="","",L333+N(AC333))</f>
        <v/>
      </c>
      <c r="AE333" s="29">
        <f>IFERROR(AC333/AD333,"")</f>
        <v/>
      </c>
      <c r="AF333" s="24" t="n"/>
      <c r="AG333" s="24" t="n"/>
      <c r="AH333" s="24" t="n"/>
      <c r="AI333" s="24" t="n"/>
      <c r="AJ333" s="27">
        <f>IF(C333="","",SUMIFS(tbl_Finance[Ex GST],tbl_Finance[Job Number],C333&amp;"",tbl_Finance[Cost Centre],"VIDEO"))</f>
        <v/>
      </c>
      <c r="AK333" s="29">
        <f>IFERROR(AJ333/L333,"")</f>
        <v/>
      </c>
      <c r="AL333" s="27">
        <f>IF(C333="","",N(AF333)+N(AG333)+N(AH333)+N(AI333))</f>
        <v/>
      </c>
      <c r="AM333" s="27" t="n"/>
      <c r="AN333" s="29" t="n"/>
      <c r="AO333" s="71" t="n"/>
      <c r="AP333" s="71" t="n"/>
      <c r="AQ333" s="71" t="n"/>
      <c r="AR333" s="71" t="n"/>
      <c r="AS333" s="71" t="n"/>
      <c r="AT333" s="22" t="n"/>
    </row>
    <row r="334" ht="15" customHeight="1">
      <c r="A334" s="70">
        <f>IF(C334="","",IFERROR(IF(SUMPRODUCT(MAX((tbl_Finance[Job Number]&amp;""=C334&amp;"")*(tbl_Finance[Xero Invoice No]&lt;&gt;"")*tbl_Finance[Date]))=0,"",SUMPRODUCT(MAX((tbl_Finance[Job Number]&amp;""=C334&amp;"")*(tbl_Finance[Xero Invoice No]&lt;&gt;"")*tbl_Finance[Date]))),""))</f>
        <v/>
      </c>
      <c r="B334" s="26">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2" t="n"/>
      <c r="D334" s="26">
        <f>IF(C334="","",IF(COUNTIF(lst_Jobs,C334&amp;"")&gt;0,"OK","CHECK"))</f>
        <v/>
      </c>
      <c r="E334" s="26">
        <f>IF(C334="","",IFERROR(INDEX(lst_JobName,MATCH(C334&amp;"",lst_Jobs,0)),""))</f>
        <v/>
      </c>
      <c r="F334" s="22" t="n"/>
      <c r="G334" s="22" t="n"/>
      <c r="H334" s="22" t="n"/>
      <c r="I334" s="22" t="n"/>
      <c r="J334" s="22" t="n"/>
      <c r="K334" s="28">
        <f>IF(C334="","",COUNTIFS(tbl_Finance[Job Number],C334&amp;"",tbl_Finance[Ex GST],"&lt;&gt;"))</f>
        <v/>
      </c>
      <c r="L334" s="27">
        <f>IF(C334="","",SUMIFS(tbl_Finance[Ex GST],tbl_Finance[Job Number],C334&amp;""))</f>
        <v/>
      </c>
      <c r="M334" s="27">
        <f>IF(C334="","",SUMIFS(tbl_Finance[Ex GST],tbl_Finance[Job Number],C334&amp;"",tbl_Finance[Xero Invoice No],"&lt;&gt;"))</f>
        <v/>
      </c>
      <c r="N334" s="27">
        <f>IF(C334="","",L334-M334)</f>
        <v/>
      </c>
      <c r="O334" s="24" t="n"/>
      <c r="P334" s="27">
        <f>IF(C334="","",IF(O334="",0,MAX(0,O334-L334)))</f>
        <v/>
      </c>
      <c r="Q334" s="26">
        <f>IF(C334="","",IF(K334=0,"not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R334" s="27">
        <f>IF(C334="","",SUMIFS(tbl_Finance[Inc GST],tbl_Finance[Job Number],C334&amp;""))</f>
        <v/>
      </c>
      <c r="S334" s="22" t="n"/>
      <c r="T334" s="22" t="n"/>
      <c r="U334" s="22" t="n"/>
      <c r="V334" s="23" t="n"/>
      <c r="W334" s="22" t="n"/>
      <c r="X334" s="26">
        <f>IF(W334="","",IF(AND(LEFT(W334,4)&lt;&gt;"http",set_RMSBase=""),"",HYPERLINK(IF(LEFT(W334,4)="http",W334,set_RMSBase&amp;W334),"Open opportunity")))</f>
        <v/>
      </c>
      <c r="Y334" s="22" t="n"/>
      <c r="Z334" s="26">
        <f>IF(Y334="","",HYPERLINK(IF(LEFT(Y334,4)="http",Y334,set_QwilrBase&amp;Y334),"Open quote"))</f>
        <v/>
      </c>
      <c r="AA334" s="26">
        <f>IF(C334="","",C334)</f>
        <v/>
      </c>
      <c r="AB334" s="22" t="n"/>
      <c r="AC334" s="24" t="n"/>
      <c r="AD334" s="27">
        <f>IF(C334="","",L334+N(AC334))</f>
        <v/>
      </c>
      <c r="AE334" s="29">
        <f>IFERROR(AC334/AD334,"")</f>
        <v/>
      </c>
      <c r="AF334" s="24" t="n"/>
      <c r="AG334" s="24" t="n"/>
      <c r="AH334" s="24" t="n"/>
      <c r="AI334" s="24" t="n"/>
      <c r="AJ334" s="27">
        <f>IF(C334="","",SUMIFS(tbl_Finance[Ex GST],tbl_Finance[Job Number],C334&amp;"",tbl_Finance[Cost Centre],"VIDEO"))</f>
        <v/>
      </c>
      <c r="AK334" s="29">
        <f>IFERROR(AJ334/L334,"")</f>
        <v/>
      </c>
      <c r="AL334" s="27">
        <f>IF(C334="","",N(AF334)+N(AG334)+N(AH334)+N(AI334))</f>
        <v/>
      </c>
      <c r="AM334" s="27" t="n"/>
      <c r="AN334" s="29" t="n"/>
      <c r="AO334" s="71" t="n"/>
      <c r="AP334" s="71" t="n"/>
      <c r="AQ334" s="71" t="n"/>
      <c r="AR334" s="71" t="n"/>
      <c r="AS334" s="71" t="n"/>
      <c r="AT334" s="22" t="n"/>
    </row>
    <row r="335" ht="15" customHeight="1">
      <c r="A335" s="70">
        <f>IF(C335="","",IFERROR(IF(SUMPRODUCT(MAX((tbl_Finance[Job Number]&amp;""=C335&amp;"")*(tbl_Finance[Xero Invoice No]&lt;&gt;"")*tbl_Finance[Date]))=0,"",SUMPRODUCT(MAX((tbl_Finance[Job Number]&amp;""=C335&amp;"")*(tbl_Finance[Xero Invoice No]&lt;&gt;"")*tbl_Finance[Date]))),""))</f>
        <v/>
      </c>
      <c r="B335" s="26">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2" t="n"/>
      <c r="D335" s="26">
        <f>IF(C335="","",IF(COUNTIF(lst_Jobs,C335&amp;"")&gt;0,"OK","CHECK"))</f>
        <v/>
      </c>
      <c r="E335" s="26">
        <f>IF(C335="","",IFERROR(INDEX(lst_JobName,MATCH(C335&amp;"",lst_Jobs,0)),""))</f>
        <v/>
      </c>
      <c r="F335" s="22" t="n"/>
      <c r="G335" s="22" t="n"/>
      <c r="H335" s="22" t="n"/>
      <c r="I335" s="22" t="n"/>
      <c r="J335" s="22" t="n"/>
      <c r="K335" s="28">
        <f>IF(C335="","",COUNTIFS(tbl_Finance[Job Number],C335&amp;"",tbl_Finance[Ex GST],"&lt;&gt;"))</f>
        <v/>
      </c>
      <c r="L335" s="27">
        <f>IF(C335="","",SUMIFS(tbl_Finance[Ex GST],tbl_Finance[Job Number],C335&amp;""))</f>
        <v/>
      </c>
      <c r="M335" s="27">
        <f>IF(C335="","",SUMIFS(tbl_Finance[Ex GST],tbl_Finance[Job Number],C335&amp;"",tbl_Finance[Xero Invoice No],"&lt;&gt;"))</f>
        <v/>
      </c>
      <c r="N335" s="27">
        <f>IF(C335="","",L335-M335)</f>
        <v/>
      </c>
      <c r="O335" s="24" t="n"/>
      <c r="P335" s="27">
        <f>IF(C335="","",IF(O335="",0,MAX(0,O335-L335)))</f>
        <v/>
      </c>
      <c r="Q335" s="26">
        <f>IF(C335="","",IF(K335=0,"not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R335" s="27">
        <f>IF(C335="","",SUMIFS(tbl_Finance[Inc GST],tbl_Finance[Job Number],C335&amp;""))</f>
        <v/>
      </c>
      <c r="S335" s="22" t="n"/>
      <c r="T335" s="22" t="n"/>
      <c r="U335" s="22" t="n"/>
      <c r="V335" s="23" t="n"/>
      <c r="W335" s="22" t="n"/>
      <c r="X335" s="26">
        <f>IF(W335="","",IF(AND(LEFT(W335,4)&lt;&gt;"http",set_RMSBase=""),"",HYPERLINK(IF(LEFT(W335,4)="http",W335,set_RMSBase&amp;W335),"Open opportunity")))</f>
        <v/>
      </c>
      <c r="Y335" s="22" t="n"/>
      <c r="Z335" s="26">
        <f>IF(Y335="","",HYPERLINK(IF(LEFT(Y335,4)="http",Y335,set_QwilrBase&amp;Y335),"Open quote"))</f>
        <v/>
      </c>
      <c r="AA335" s="26">
        <f>IF(C335="","",C335)</f>
        <v/>
      </c>
      <c r="AB335" s="22" t="n"/>
      <c r="AC335" s="24" t="n"/>
      <c r="AD335" s="27">
        <f>IF(C335="","",L335+N(AC335))</f>
        <v/>
      </c>
      <c r="AE335" s="29">
        <f>IFERROR(AC335/AD335,"")</f>
        <v/>
      </c>
      <c r="AF335" s="24" t="n"/>
      <c r="AG335" s="24" t="n"/>
      <c r="AH335" s="24" t="n"/>
      <c r="AI335" s="24" t="n"/>
      <c r="AJ335" s="27">
        <f>IF(C335="","",SUMIFS(tbl_Finance[Ex GST],tbl_Finance[Job Number],C335&amp;"",tbl_Finance[Cost Centre],"VIDEO"))</f>
        <v/>
      </c>
      <c r="AK335" s="29">
        <f>IFERROR(AJ335/L335,"")</f>
        <v/>
      </c>
      <c r="AL335" s="27">
        <f>IF(C335="","",N(AF335)+N(AG335)+N(AH335)+N(AI335))</f>
        <v/>
      </c>
      <c r="AM335" s="27" t="n"/>
      <c r="AN335" s="29" t="n"/>
      <c r="AO335" s="71" t="n"/>
      <c r="AP335" s="71" t="n"/>
      <c r="AQ335" s="71" t="n"/>
      <c r="AR335" s="71" t="n"/>
      <c r="AS335" s="71" t="n"/>
      <c r="AT335" s="22" t="n"/>
    </row>
    <row r="336" ht="15" customHeight="1">
      <c r="A336" s="70">
        <f>IF(C336="","",IFERROR(IF(SUMPRODUCT(MAX((tbl_Finance[Job Number]&amp;""=C336&amp;"")*(tbl_Finance[Xero Invoice No]&lt;&gt;"")*tbl_Finance[Date]))=0,"",SUMPRODUCT(MAX((tbl_Finance[Job Number]&amp;""=C336&amp;"")*(tbl_Finance[Xero Invoice No]&lt;&gt;"")*tbl_Finance[Date]))),""))</f>
        <v/>
      </c>
      <c r="B336" s="26">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2" t="n"/>
      <c r="D336" s="26">
        <f>IF(C336="","",IF(COUNTIF(lst_Jobs,C336&amp;"")&gt;0,"OK","CHECK"))</f>
        <v/>
      </c>
      <c r="E336" s="26">
        <f>IF(C336="","",IFERROR(INDEX(lst_JobName,MATCH(C336&amp;"",lst_Jobs,0)),""))</f>
        <v/>
      </c>
      <c r="F336" s="22" t="n"/>
      <c r="G336" s="22" t="n"/>
      <c r="H336" s="22" t="n"/>
      <c r="I336" s="22" t="n"/>
      <c r="J336" s="22" t="n"/>
      <c r="K336" s="28">
        <f>IF(C336="","",COUNTIFS(tbl_Finance[Job Number],C336&amp;"",tbl_Finance[Ex GST],"&lt;&gt;"))</f>
        <v/>
      </c>
      <c r="L336" s="27">
        <f>IF(C336="","",SUMIFS(tbl_Finance[Ex GST],tbl_Finance[Job Number],C336&amp;""))</f>
        <v/>
      </c>
      <c r="M336" s="27">
        <f>IF(C336="","",SUMIFS(tbl_Finance[Ex GST],tbl_Finance[Job Number],C336&amp;"",tbl_Finance[Xero Invoice No],"&lt;&gt;"))</f>
        <v/>
      </c>
      <c r="N336" s="27">
        <f>IF(C336="","",L336-M336)</f>
        <v/>
      </c>
      <c r="O336" s="24" t="n"/>
      <c r="P336" s="27">
        <f>IF(C336="","",IF(O336="",0,MAX(0,O336-L336)))</f>
        <v/>
      </c>
      <c r="Q336" s="26">
        <f>IF(C336="","",IF(K336=0,"not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R336" s="27">
        <f>IF(C336="","",SUMIFS(tbl_Finance[Inc GST],tbl_Finance[Job Number],C336&amp;""))</f>
        <v/>
      </c>
      <c r="S336" s="22" t="n"/>
      <c r="T336" s="22" t="n"/>
      <c r="U336" s="22" t="n"/>
      <c r="V336" s="23" t="n"/>
      <c r="W336" s="22" t="n"/>
      <c r="X336" s="26">
        <f>IF(W336="","",IF(AND(LEFT(W336,4)&lt;&gt;"http",set_RMSBase=""),"",HYPERLINK(IF(LEFT(W336,4)="http",W336,set_RMSBase&amp;W336),"Open opportunity")))</f>
        <v/>
      </c>
      <c r="Y336" s="22" t="n"/>
      <c r="Z336" s="26">
        <f>IF(Y336="","",HYPERLINK(IF(LEFT(Y336,4)="http",Y336,set_QwilrBase&amp;Y336),"Open quote"))</f>
        <v/>
      </c>
      <c r="AA336" s="26">
        <f>IF(C336="","",C336)</f>
        <v/>
      </c>
      <c r="AB336" s="22" t="n"/>
      <c r="AC336" s="24" t="n"/>
      <c r="AD336" s="27">
        <f>IF(C336="","",L336+N(AC336))</f>
        <v/>
      </c>
      <c r="AE336" s="29">
        <f>IFERROR(AC336/AD336,"")</f>
        <v/>
      </c>
      <c r="AF336" s="24" t="n"/>
      <c r="AG336" s="24" t="n"/>
      <c r="AH336" s="24" t="n"/>
      <c r="AI336" s="24" t="n"/>
      <c r="AJ336" s="27">
        <f>IF(C336="","",SUMIFS(tbl_Finance[Ex GST],tbl_Finance[Job Number],C336&amp;"",tbl_Finance[Cost Centre],"VIDEO"))</f>
        <v/>
      </c>
      <c r="AK336" s="29">
        <f>IFERROR(AJ336/L336,"")</f>
        <v/>
      </c>
      <c r="AL336" s="27">
        <f>IF(C336="","",N(AF336)+N(AG336)+N(AH336)+N(AI336))</f>
        <v/>
      </c>
      <c r="AM336" s="27" t="n"/>
      <c r="AN336" s="29" t="n"/>
      <c r="AO336" s="71" t="n"/>
      <c r="AP336" s="71" t="n"/>
      <c r="AQ336" s="71" t="n"/>
      <c r="AR336" s="71" t="n"/>
      <c r="AS336" s="71" t="n"/>
      <c r="AT336" s="22" t="n"/>
    </row>
    <row r="337" ht="15" customHeight="1">
      <c r="A337" s="70">
        <f>IF(C337="","",IFERROR(IF(SUMPRODUCT(MAX((tbl_Finance[Job Number]&amp;""=C337&amp;"")*(tbl_Finance[Xero Invoice No]&lt;&gt;"")*tbl_Finance[Date]))=0,"",SUMPRODUCT(MAX((tbl_Finance[Job Number]&amp;""=C337&amp;"")*(tbl_Finance[Xero Invoice No]&lt;&gt;"")*tbl_Finance[Date]))),""))</f>
        <v/>
      </c>
      <c r="B337" s="26">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2" t="n"/>
      <c r="D337" s="26">
        <f>IF(C337="","",IF(COUNTIF(lst_Jobs,C337&amp;"")&gt;0,"OK","CHECK"))</f>
        <v/>
      </c>
      <c r="E337" s="26">
        <f>IF(C337="","",IFERROR(INDEX(lst_JobName,MATCH(C337&amp;"",lst_Jobs,0)),""))</f>
        <v/>
      </c>
      <c r="F337" s="22" t="n"/>
      <c r="G337" s="22" t="n"/>
      <c r="H337" s="22" t="n"/>
      <c r="I337" s="22" t="n"/>
      <c r="J337" s="22" t="n"/>
      <c r="K337" s="28">
        <f>IF(C337="","",COUNTIFS(tbl_Finance[Job Number],C337&amp;"",tbl_Finance[Ex GST],"&lt;&gt;"))</f>
        <v/>
      </c>
      <c r="L337" s="27">
        <f>IF(C337="","",SUMIFS(tbl_Finance[Ex GST],tbl_Finance[Job Number],C337&amp;""))</f>
        <v/>
      </c>
      <c r="M337" s="27">
        <f>IF(C337="","",SUMIFS(tbl_Finance[Ex GST],tbl_Finance[Job Number],C337&amp;"",tbl_Finance[Xero Invoice No],"&lt;&gt;"))</f>
        <v/>
      </c>
      <c r="N337" s="27">
        <f>IF(C337="","",L337-M337)</f>
        <v/>
      </c>
      <c r="O337" s="24" t="n"/>
      <c r="P337" s="27">
        <f>IF(C337="","",IF(O337="",0,MAX(0,O337-L337)))</f>
        <v/>
      </c>
      <c r="Q337" s="26">
        <f>IF(C337="","",IF(K337=0,"not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R337" s="27">
        <f>IF(C337="","",SUMIFS(tbl_Finance[Inc GST],tbl_Finance[Job Number],C337&amp;""))</f>
        <v/>
      </c>
      <c r="S337" s="22" t="n"/>
      <c r="T337" s="22" t="n"/>
      <c r="U337" s="22" t="n"/>
      <c r="V337" s="23" t="n"/>
      <c r="W337" s="22" t="n"/>
      <c r="X337" s="26">
        <f>IF(W337="","",IF(AND(LEFT(W337,4)&lt;&gt;"http",set_RMSBase=""),"",HYPERLINK(IF(LEFT(W337,4)="http",W337,set_RMSBase&amp;W337),"Open opportunity")))</f>
        <v/>
      </c>
      <c r="Y337" s="22" t="n"/>
      <c r="Z337" s="26">
        <f>IF(Y337="","",HYPERLINK(IF(LEFT(Y337,4)="http",Y337,set_QwilrBase&amp;Y337),"Open quote"))</f>
        <v/>
      </c>
      <c r="AA337" s="26">
        <f>IF(C337="","",C337)</f>
        <v/>
      </c>
      <c r="AB337" s="22" t="n"/>
      <c r="AC337" s="24" t="n"/>
      <c r="AD337" s="27">
        <f>IF(C337="","",L337+N(AC337))</f>
        <v/>
      </c>
      <c r="AE337" s="29">
        <f>IFERROR(AC337/AD337,"")</f>
        <v/>
      </c>
      <c r="AF337" s="24" t="n"/>
      <c r="AG337" s="24" t="n"/>
      <c r="AH337" s="24" t="n"/>
      <c r="AI337" s="24" t="n"/>
      <c r="AJ337" s="27">
        <f>IF(C337="","",SUMIFS(tbl_Finance[Ex GST],tbl_Finance[Job Number],C337&amp;"",tbl_Finance[Cost Centre],"VIDEO"))</f>
        <v/>
      </c>
      <c r="AK337" s="29">
        <f>IFERROR(AJ337/L337,"")</f>
        <v/>
      </c>
      <c r="AL337" s="27">
        <f>IF(C337="","",N(AF337)+N(AG337)+N(AH337)+N(AI337))</f>
        <v/>
      </c>
      <c r="AM337" s="27" t="n"/>
      <c r="AN337" s="29" t="n"/>
      <c r="AO337" s="71" t="n"/>
      <c r="AP337" s="71" t="n"/>
      <c r="AQ337" s="71" t="n"/>
      <c r="AR337" s="71" t="n"/>
      <c r="AS337" s="71" t="n"/>
      <c r="AT337" s="22" t="n"/>
    </row>
    <row r="338" ht="15" customHeight="1">
      <c r="A338" s="70">
        <f>IF(C338="","",IFERROR(IF(SUMPRODUCT(MAX((tbl_Finance[Job Number]&amp;""=C338&amp;"")*(tbl_Finance[Xero Invoice No]&lt;&gt;"")*tbl_Finance[Date]))=0,"",SUMPRODUCT(MAX((tbl_Finance[Job Number]&amp;""=C338&amp;"")*(tbl_Finance[Xero Invoice No]&lt;&gt;"")*tbl_Finance[Date]))),""))</f>
        <v/>
      </c>
      <c r="B338" s="26">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2" t="n"/>
      <c r="D338" s="26">
        <f>IF(C338="","",IF(COUNTIF(lst_Jobs,C338&amp;"")&gt;0,"OK","CHECK"))</f>
        <v/>
      </c>
      <c r="E338" s="26">
        <f>IF(C338="","",IFERROR(INDEX(lst_JobName,MATCH(C338&amp;"",lst_Jobs,0)),""))</f>
        <v/>
      </c>
      <c r="F338" s="22" t="n"/>
      <c r="G338" s="22" t="n"/>
      <c r="H338" s="22" t="n"/>
      <c r="I338" s="22" t="n"/>
      <c r="J338" s="22" t="n"/>
      <c r="K338" s="28">
        <f>IF(C338="","",COUNTIFS(tbl_Finance[Job Number],C338&amp;"",tbl_Finance[Ex GST],"&lt;&gt;"))</f>
        <v/>
      </c>
      <c r="L338" s="27">
        <f>IF(C338="","",SUMIFS(tbl_Finance[Ex GST],tbl_Finance[Job Number],C338&amp;""))</f>
        <v/>
      </c>
      <c r="M338" s="27">
        <f>IF(C338="","",SUMIFS(tbl_Finance[Ex GST],tbl_Finance[Job Number],C338&amp;"",tbl_Finance[Xero Invoice No],"&lt;&gt;"))</f>
        <v/>
      </c>
      <c r="N338" s="27">
        <f>IF(C338="","",L338-M338)</f>
        <v/>
      </c>
      <c r="O338" s="24" t="n"/>
      <c r="P338" s="27">
        <f>IF(C338="","",IF(O338="",0,MAX(0,O338-L338)))</f>
        <v/>
      </c>
      <c r="Q338" s="26">
        <f>IF(C338="","",IF(K338=0,"not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R338" s="27">
        <f>IF(C338="","",SUMIFS(tbl_Finance[Inc GST],tbl_Finance[Job Number],C338&amp;""))</f>
        <v/>
      </c>
      <c r="S338" s="22" t="n"/>
      <c r="T338" s="22" t="n"/>
      <c r="U338" s="22" t="n"/>
      <c r="V338" s="23" t="n"/>
      <c r="W338" s="22" t="n"/>
      <c r="X338" s="26">
        <f>IF(W338="","",IF(AND(LEFT(W338,4)&lt;&gt;"http",set_RMSBase=""),"",HYPERLINK(IF(LEFT(W338,4)="http",W338,set_RMSBase&amp;W338),"Open opportunity")))</f>
        <v/>
      </c>
      <c r="Y338" s="22" t="n"/>
      <c r="Z338" s="26">
        <f>IF(Y338="","",HYPERLINK(IF(LEFT(Y338,4)="http",Y338,set_QwilrBase&amp;Y338),"Open quote"))</f>
        <v/>
      </c>
      <c r="AA338" s="26">
        <f>IF(C338="","",C338)</f>
        <v/>
      </c>
      <c r="AB338" s="22" t="n"/>
      <c r="AC338" s="24" t="n"/>
      <c r="AD338" s="27">
        <f>IF(C338="","",L338+N(AC338))</f>
        <v/>
      </c>
      <c r="AE338" s="29">
        <f>IFERROR(AC338/AD338,"")</f>
        <v/>
      </c>
      <c r="AF338" s="24" t="n"/>
      <c r="AG338" s="24" t="n"/>
      <c r="AH338" s="24" t="n"/>
      <c r="AI338" s="24" t="n"/>
      <c r="AJ338" s="27">
        <f>IF(C338="","",SUMIFS(tbl_Finance[Ex GST],tbl_Finance[Job Number],C338&amp;"",tbl_Finance[Cost Centre],"VIDEO"))</f>
        <v/>
      </c>
      <c r="AK338" s="29">
        <f>IFERROR(AJ338/L338,"")</f>
        <v/>
      </c>
      <c r="AL338" s="27">
        <f>IF(C338="","",N(AF338)+N(AG338)+N(AH338)+N(AI338))</f>
        <v/>
      </c>
      <c r="AM338" s="27" t="n"/>
      <c r="AN338" s="29" t="n"/>
      <c r="AO338" s="71" t="n"/>
      <c r="AP338" s="71" t="n"/>
      <c r="AQ338" s="71" t="n"/>
      <c r="AR338" s="71" t="n"/>
      <c r="AS338" s="71" t="n"/>
      <c r="AT338" s="22" t="n"/>
    </row>
    <row r="339" ht="15" customHeight="1">
      <c r="A339" s="70">
        <f>IF(C339="","",IFERROR(IF(SUMPRODUCT(MAX((tbl_Finance[Job Number]&amp;""=C339&amp;"")*(tbl_Finance[Xero Invoice No]&lt;&gt;"")*tbl_Finance[Date]))=0,"",SUMPRODUCT(MAX((tbl_Finance[Job Number]&amp;""=C339&amp;"")*(tbl_Finance[Xero Invoice No]&lt;&gt;"")*tbl_Finance[Date]))),""))</f>
        <v/>
      </c>
      <c r="B339" s="26">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2" t="n"/>
      <c r="D339" s="26">
        <f>IF(C339="","",IF(COUNTIF(lst_Jobs,C339&amp;"")&gt;0,"OK","CHECK"))</f>
        <v/>
      </c>
      <c r="E339" s="26">
        <f>IF(C339="","",IFERROR(INDEX(lst_JobName,MATCH(C339&amp;"",lst_Jobs,0)),""))</f>
        <v/>
      </c>
      <c r="F339" s="22" t="n"/>
      <c r="G339" s="22" t="n"/>
      <c r="H339" s="22" t="n"/>
      <c r="I339" s="22" t="n"/>
      <c r="J339" s="22" t="n"/>
      <c r="K339" s="28">
        <f>IF(C339="","",COUNTIFS(tbl_Finance[Job Number],C339&amp;"",tbl_Finance[Ex GST],"&lt;&gt;"))</f>
        <v/>
      </c>
      <c r="L339" s="27">
        <f>IF(C339="","",SUMIFS(tbl_Finance[Ex GST],tbl_Finance[Job Number],C339&amp;""))</f>
        <v/>
      </c>
      <c r="M339" s="27">
        <f>IF(C339="","",SUMIFS(tbl_Finance[Ex GST],tbl_Finance[Job Number],C339&amp;"",tbl_Finance[Xero Invoice No],"&lt;&gt;"))</f>
        <v/>
      </c>
      <c r="N339" s="27">
        <f>IF(C339="","",L339-M339)</f>
        <v/>
      </c>
      <c r="O339" s="24" t="n"/>
      <c r="P339" s="27">
        <f>IF(C339="","",IF(O339="",0,MAX(0,O339-L339)))</f>
        <v/>
      </c>
      <c r="Q339" s="26">
        <f>IF(C339="","",IF(K339=0,"not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R339" s="27">
        <f>IF(C339="","",SUMIFS(tbl_Finance[Inc GST],tbl_Finance[Job Number],C339&amp;""))</f>
        <v/>
      </c>
      <c r="S339" s="22" t="n"/>
      <c r="T339" s="22" t="n"/>
      <c r="U339" s="22" t="n"/>
      <c r="V339" s="23" t="n"/>
      <c r="W339" s="22" t="n"/>
      <c r="X339" s="26">
        <f>IF(W339="","",IF(AND(LEFT(W339,4)&lt;&gt;"http",set_RMSBase=""),"",HYPERLINK(IF(LEFT(W339,4)="http",W339,set_RMSBase&amp;W339),"Open opportunity")))</f>
        <v/>
      </c>
      <c r="Y339" s="22" t="n"/>
      <c r="Z339" s="26">
        <f>IF(Y339="","",HYPERLINK(IF(LEFT(Y339,4)="http",Y339,set_QwilrBase&amp;Y339),"Open quote"))</f>
        <v/>
      </c>
      <c r="AA339" s="26">
        <f>IF(C339="","",C339)</f>
        <v/>
      </c>
      <c r="AB339" s="22" t="n"/>
      <c r="AC339" s="24" t="n"/>
      <c r="AD339" s="27">
        <f>IF(C339="","",L339+N(AC339))</f>
        <v/>
      </c>
      <c r="AE339" s="29">
        <f>IFERROR(AC339/AD339,"")</f>
        <v/>
      </c>
      <c r="AF339" s="24" t="n"/>
      <c r="AG339" s="24" t="n"/>
      <c r="AH339" s="24" t="n"/>
      <c r="AI339" s="24" t="n"/>
      <c r="AJ339" s="27">
        <f>IF(C339="","",SUMIFS(tbl_Finance[Ex GST],tbl_Finance[Job Number],C339&amp;"",tbl_Finance[Cost Centre],"VIDEO"))</f>
        <v/>
      </c>
      <c r="AK339" s="29">
        <f>IFERROR(AJ339/L339,"")</f>
        <v/>
      </c>
      <c r="AL339" s="27">
        <f>IF(C339="","",N(AF339)+N(AG339)+N(AH339)+N(AI339))</f>
        <v/>
      </c>
      <c r="AM339" s="27" t="n"/>
      <c r="AN339" s="29" t="n"/>
      <c r="AO339" s="71" t="n"/>
      <c r="AP339" s="71" t="n"/>
      <c r="AQ339" s="71" t="n"/>
      <c r="AR339" s="71" t="n"/>
      <c r="AS339" s="71" t="n"/>
      <c r="AT339" s="22" t="n"/>
    </row>
    <row r="340" ht="15" customHeight="1">
      <c r="A340" s="70">
        <f>IF(C340="","",IFERROR(IF(SUMPRODUCT(MAX((tbl_Finance[Job Number]&amp;""=C340&amp;"")*(tbl_Finance[Xero Invoice No]&lt;&gt;"")*tbl_Finance[Date]))=0,"",SUMPRODUCT(MAX((tbl_Finance[Job Number]&amp;""=C340&amp;"")*(tbl_Finance[Xero Invoice No]&lt;&gt;"")*tbl_Finance[Date]))),""))</f>
        <v/>
      </c>
      <c r="B340" s="26">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2" t="n"/>
      <c r="D340" s="26">
        <f>IF(C340="","",IF(COUNTIF(lst_Jobs,C340&amp;"")&gt;0,"OK","CHECK"))</f>
        <v/>
      </c>
      <c r="E340" s="26">
        <f>IF(C340="","",IFERROR(INDEX(lst_JobName,MATCH(C340&amp;"",lst_Jobs,0)),""))</f>
        <v/>
      </c>
      <c r="F340" s="22" t="n"/>
      <c r="G340" s="22" t="n"/>
      <c r="H340" s="22" t="n"/>
      <c r="I340" s="22" t="n"/>
      <c r="J340" s="22" t="n"/>
      <c r="K340" s="28">
        <f>IF(C340="","",COUNTIFS(tbl_Finance[Job Number],C340&amp;"",tbl_Finance[Ex GST],"&lt;&gt;"))</f>
        <v/>
      </c>
      <c r="L340" s="27">
        <f>IF(C340="","",SUMIFS(tbl_Finance[Ex GST],tbl_Finance[Job Number],C340&amp;""))</f>
        <v/>
      </c>
      <c r="M340" s="27">
        <f>IF(C340="","",SUMIFS(tbl_Finance[Ex GST],tbl_Finance[Job Number],C340&amp;"",tbl_Finance[Xero Invoice No],"&lt;&gt;"))</f>
        <v/>
      </c>
      <c r="N340" s="27">
        <f>IF(C340="","",L340-M340)</f>
        <v/>
      </c>
      <c r="O340" s="24" t="n"/>
      <c r="P340" s="27">
        <f>IF(C340="","",IF(O340="",0,MAX(0,O340-L340)))</f>
        <v/>
      </c>
      <c r="Q340" s="26">
        <f>IF(C340="","",IF(K340=0,"not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R340" s="27">
        <f>IF(C340="","",SUMIFS(tbl_Finance[Inc GST],tbl_Finance[Job Number],C340&amp;""))</f>
        <v/>
      </c>
      <c r="S340" s="22" t="n"/>
      <c r="T340" s="22" t="n"/>
      <c r="U340" s="22" t="n"/>
      <c r="V340" s="23" t="n"/>
      <c r="W340" s="22" t="n"/>
      <c r="X340" s="26">
        <f>IF(W340="","",IF(AND(LEFT(W340,4)&lt;&gt;"http",set_RMSBase=""),"",HYPERLINK(IF(LEFT(W340,4)="http",W340,set_RMSBase&amp;W340),"Open opportunity")))</f>
        <v/>
      </c>
      <c r="Y340" s="22" t="n"/>
      <c r="Z340" s="26">
        <f>IF(Y340="","",HYPERLINK(IF(LEFT(Y340,4)="http",Y340,set_QwilrBase&amp;Y340),"Open quote"))</f>
        <v/>
      </c>
      <c r="AA340" s="26">
        <f>IF(C340="","",C340)</f>
        <v/>
      </c>
      <c r="AB340" s="22" t="n"/>
      <c r="AC340" s="24" t="n"/>
      <c r="AD340" s="27">
        <f>IF(C340="","",L340+N(AC340))</f>
        <v/>
      </c>
      <c r="AE340" s="29">
        <f>IFERROR(AC340/AD340,"")</f>
        <v/>
      </c>
      <c r="AF340" s="24" t="n"/>
      <c r="AG340" s="24" t="n"/>
      <c r="AH340" s="24" t="n"/>
      <c r="AI340" s="24" t="n"/>
      <c r="AJ340" s="27">
        <f>IF(C340="","",SUMIFS(tbl_Finance[Ex GST],tbl_Finance[Job Number],C340&amp;"",tbl_Finance[Cost Centre],"VIDEO"))</f>
        <v/>
      </c>
      <c r="AK340" s="29">
        <f>IFERROR(AJ340/L340,"")</f>
        <v/>
      </c>
      <c r="AL340" s="27">
        <f>IF(C340="","",N(AF340)+N(AG340)+N(AH340)+N(AI340))</f>
        <v/>
      </c>
      <c r="AM340" s="27" t="n"/>
      <c r="AN340" s="29" t="n"/>
      <c r="AO340" s="71" t="n"/>
      <c r="AP340" s="71" t="n"/>
      <c r="AQ340" s="71" t="n"/>
      <c r="AR340" s="71" t="n"/>
      <c r="AS340" s="71" t="n"/>
      <c r="AT340" s="22" t="n"/>
    </row>
    <row r="341" ht="15" customHeight="1">
      <c r="A341" s="70">
        <f>IF(C341="","",IFERROR(IF(SUMPRODUCT(MAX((tbl_Finance[Job Number]&amp;""=C341&amp;"")*(tbl_Finance[Xero Invoice No]&lt;&gt;"")*tbl_Finance[Date]))=0,"",SUMPRODUCT(MAX((tbl_Finance[Job Number]&amp;""=C341&amp;"")*(tbl_Finance[Xero Invoice No]&lt;&gt;"")*tbl_Finance[Date]))),""))</f>
        <v/>
      </c>
      <c r="B341" s="26">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2" t="n"/>
      <c r="D341" s="26">
        <f>IF(C341="","",IF(COUNTIF(lst_Jobs,C341&amp;"")&gt;0,"OK","CHECK"))</f>
        <v/>
      </c>
      <c r="E341" s="26">
        <f>IF(C341="","",IFERROR(INDEX(lst_JobName,MATCH(C341&amp;"",lst_Jobs,0)),""))</f>
        <v/>
      </c>
      <c r="F341" s="22" t="n"/>
      <c r="G341" s="22" t="n"/>
      <c r="H341" s="22" t="n"/>
      <c r="I341" s="22" t="n"/>
      <c r="J341" s="22" t="n"/>
      <c r="K341" s="28">
        <f>IF(C341="","",COUNTIFS(tbl_Finance[Job Number],C341&amp;"",tbl_Finance[Ex GST],"&lt;&gt;"))</f>
        <v/>
      </c>
      <c r="L341" s="27">
        <f>IF(C341="","",SUMIFS(tbl_Finance[Ex GST],tbl_Finance[Job Number],C341&amp;""))</f>
        <v/>
      </c>
      <c r="M341" s="27">
        <f>IF(C341="","",SUMIFS(tbl_Finance[Ex GST],tbl_Finance[Job Number],C341&amp;"",tbl_Finance[Xero Invoice No],"&lt;&gt;"))</f>
        <v/>
      </c>
      <c r="N341" s="27">
        <f>IF(C341="","",L341-M341)</f>
        <v/>
      </c>
      <c r="O341" s="24" t="n"/>
      <c r="P341" s="27">
        <f>IF(C341="","",IF(O341="",0,MAX(0,O341-L341)))</f>
        <v/>
      </c>
      <c r="Q341" s="26">
        <f>IF(C341="","",IF(K341=0,"not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R341" s="27">
        <f>IF(C341="","",SUMIFS(tbl_Finance[Inc GST],tbl_Finance[Job Number],C341&amp;""))</f>
        <v/>
      </c>
      <c r="S341" s="22" t="n"/>
      <c r="T341" s="22" t="n"/>
      <c r="U341" s="22" t="n"/>
      <c r="V341" s="23" t="n"/>
      <c r="W341" s="22" t="n"/>
      <c r="X341" s="26">
        <f>IF(W341="","",IF(AND(LEFT(W341,4)&lt;&gt;"http",set_RMSBase=""),"",HYPERLINK(IF(LEFT(W341,4)="http",W341,set_RMSBase&amp;W341),"Open opportunity")))</f>
        <v/>
      </c>
      <c r="Y341" s="22" t="n"/>
      <c r="Z341" s="26">
        <f>IF(Y341="","",HYPERLINK(IF(LEFT(Y341,4)="http",Y341,set_QwilrBase&amp;Y341),"Open quote"))</f>
        <v/>
      </c>
      <c r="AA341" s="26">
        <f>IF(C341="","",C341)</f>
        <v/>
      </c>
      <c r="AB341" s="22" t="n"/>
      <c r="AC341" s="24" t="n"/>
      <c r="AD341" s="27">
        <f>IF(C341="","",L341+N(AC341))</f>
        <v/>
      </c>
      <c r="AE341" s="29">
        <f>IFERROR(AC341/AD341,"")</f>
        <v/>
      </c>
      <c r="AF341" s="24" t="n"/>
      <c r="AG341" s="24" t="n"/>
      <c r="AH341" s="24" t="n"/>
      <c r="AI341" s="24" t="n"/>
      <c r="AJ341" s="27">
        <f>IF(C341="","",SUMIFS(tbl_Finance[Ex GST],tbl_Finance[Job Number],C341&amp;"",tbl_Finance[Cost Centre],"VIDEO"))</f>
        <v/>
      </c>
      <c r="AK341" s="29">
        <f>IFERROR(AJ341/L341,"")</f>
        <v/>
      </c>
      <c r="AL341" s="27">
        <f>IF(C341="","",N(AF341)+N(AG341)+N(AH341)+N(AI341))</f>
        <v/>
      </c>
      <c r="AM341" s="27" t="n"/>
      <c r="AN341" s="29" t="n"/>
      <c r="AO341" s="71" t="n"/>
      <c r="AP341" s="71" t="n"/>
      <c r="AQ341" s="71" t="n"/>
      <c r="AR341" s="71" t="n"/>
      <c r="AS341" s="71" t="n"/>
      <c r="AT341" s="22" t="n"/>
    </row>
    <row r="342" ht="15" customHeight="1">
      <c r="A342" s="70">
        <f>IF(C342="","",IFERROR(IF(SUMPRODUCT(MAX((tbl_Finance[Job Number]&amp;""=C342&amp;"")*(tbl_Finance[Xero Invoice No]&lt;&gt;"")*tbl_Finance[Date]))=0,"",SUMPRODUCT(MAX((tbl_Finance[Job Number]&amp;""=C342&amp;"")*(tbl_Finance[Xero Invoice No]&lt;&gt;"")*tbl_Finance[Date]))),""))</f>
        <v/>
      </c>
      <c r="B342" s="26">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2" t="n"/>
      <c r="D342" s="26">
        <f>IF(C342="","",IF(COUNTIF(lst_Jobs,C342&amp;"")&gt;0,"OK","CHECK"))</f>
        <v/>
      </c>
      <c r="E342" s="26">
        <f>IF(C342="","",IFERROR(INDEX(lst_JobName,MATCH(C342&amp;"",lst_Jobs,0)),""))</f>
        <v/>
      </c>
      <c r="F342" s="22" t="n"/>
      <c r="G342" s="22" t="n"/>
      <c r="H342" s="22" t="n"/>
      <c r="I342" s="22" t="n"/>
      <c r="J342" s="22" t="n"/>
      <c r="K342" s="28">
        <f>IF(C342="","",COUNTIFS(tbl_Finance[Job Number],C342&amp;"",tbl_Finance[Ex GST],"&lt;&gt;"))</f>
        <v/>
      </c>
      <c r="L342" s="27">
        <f>IF(C342="","",SUMIFS(tbl_Finance[Ex GST],tbl_Finance[Job Number],C342&amp;""))</f>
        <v/>
      </c>
      <c r="M342" s="27">
        <f>IF(C342="","",SUMIFS(tbl_Finance[Ex GST],tbl_Finance[Job Number],C342&amp;"",tbl_Finance[Xero Invoice No],"&lt;&gt;"))</f>
        <v/>
      </c>
      <c r="N342" s="27">
        <f>IF(C342="","",L342-M342)</f>
        <v/>
      </c>
      <c r="O342" s="24" t="n"/>
      <c r="P342" s="27">
        <f>IF(C342="","",IF(O342="",0,MAX(0,O342-L342)))</f>
        <v/>
      </c>
      <c r="Q342" s="26">
        <f>IF(C342="","",IF(K342=0,"not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R342" s="27">
        <f>IF(C342="","",SUMIFS(tbl_Finance[Inc GST],tbl_Finance[Job Number],C342&amp;""))</f>
        <v/>
      </c>
      <c r="S342" s="22" t="n"/>
      <c r="T342" s="22" t="n"/>
      <c r="U342" s="22" t="n"/>
      <c r="V342" s="23" t="n"/>
      <c r="W342" s="22" t="n"/>
      <c r="X342" s="26">
        <f>IF(W342="","",IF(AND(LEFT(W342,4)&lt;&gt;"http",set_RMSBase=""),"",HYPERLINK(IF(LEFT(W342,4)="http",W342,set_RMSBase&amp;W342),"Open opportunity")))</f>
        <v/>
      </c>
      <c r="Y342" s="22" t="n"/>
      <c r="Z342" s="26">
        <f>IF(Y342="","",HYPERLINK(IF(LEFT(Y342,4)="http",Y342,set_QwilrBase&amp;Y342),"Open quote"))</f>
        <v/>
      </c>
      <c r="AA342" s="26">
        <f>IF(C342="","",C342)</f>
        <v/>
      </c>
      <c r="AB342" s="22" t="n"/>
      <c r="AC342" s="24" t="n"/>
      <c r="AD342" s="27">
        <f>IF(C342="","",L342+N(AC342))</f>
        <v/>
      </c>
      <c r="AE342" s="29">
        <f>IFERROR(AC342/AD342,"")</f>
        <v/>
      </c>
      <c r="AF342" s="24" t="n"/>
      <c r="AG342" s="24" t="n"/>
      <c r="AH342" s="24" t="n"/>
      <c r="AI342" s="24" t="n"/>
      <c r="AJ342" s="27">
        <f>IF(C342="","",SUMIFS(tbl_Finance[Ex GST],tbl_Finance[Job Number],C342&amp;"",tbl_Finance[Cost Centre],"VIDEO"))</f>
        <v/>
      </c>
      <c r="AK342" s="29">
        <f>IFERROR(AJ342/L342,"")</f>
        <v/>
      </c>
      <c r="AL342" s="27">
        <f>IF(C342="","",N(AF342)+N(AG342)+N(AH342)+N(AI342))</f>
        <v/>
      </c>
      <c r="AM342" s="27" t="n"/>
      <c r="AN342" s="29" t="n"/>
      <c r="AO342" s="71" t="n"/>
      <c r="AP342" s="71" t="n"/>
      <c r="AQ342" s="71" t="n"/>
      <c r="AR342" s="71" t="n"/>
      <c r="AS342" s="71" t="n"/>
      <c r="AT342" s="22" t="n"/>
    </row>
    <row r="343" ht="15" customHeight="1">
      <c r="A343" s="70">
        <f>IF(C343="","",IFERROR(IF(SUMPRODUCT(MAX((tbl_Finance[Job Number]&amp;""=C343&amp;"")*(tbl_Finance[Xero Invoice No]&lt;&gt;"")*tbl_Finance[Date]))=0,"",SUMPRODUCT(MAX((tbl_Finance[Job Number]&amp;""=C343&amp;"")*(tbl_Finance[Xero Invoice No]&lt;&gt;"")*tbl_Finance[Date]))),""))</f>
        <v/>
      </c>
      <c r="B343" s="26">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2" t="n"/>
      <c r="D343" s="26">
        <f>IF(C343="","",IF(COUNTIF(lst_Jobs,C343&amp;"")&gt;0,"OK","CHECK"))</f>
        <v/>
      </c>
      <c r="E343" s="26">
        <f>IF(C343="","",IFERROR(INDEX(lst_JobName,MATCH(C343&amp;"",lst_Jobs,0)),""))</f>
        <v/>
      </c>
      <c r="F343" s="22" t="n"/>
      <c r="G343" s="22" t="n"/>
      <c r="H343" s="22" t="n"/>
      <c r="I343" s="22" t="n"/>
      <c r="J343" s="22" t="n"/>
      <c r="K343" s="28">
        <f>IF(C343="","",COUNTIFS(tbl_Finance[Job Number],C343&amp;"",tbl_Finance[Ex GST],"&lt;&gt;"))</f>
        <v/>
      </c>
      <c r="L343" s="27">
        <f>IF(C343="","",SUMIFS(tbl_Finance[Ex GST],tbl_Finance[Job Number],C343&amp;""))</f>
        <v/>
      </c>
      <c r="M343" s="27">
        <f>IF(C343="","",SUMIFS(tbl_Finance[Ex GST],tbl_Finance[Job Number],C343&amp;"",tbl_Finance[Xero Invoice No],"&lt;&gt;"))</f>
        <v/>
      </c>
      <c r="N343" s="27">
        <f>IF(C343="","",L343-M343)</f>
        <v/>
      </c>
      <c r="O343" s="24" t="n"/>
      <c r="P343" s="27">
        <f>IF(C343="","",IF(O343="",0,MAX(0,O343-L343)))</f>
        <v/>
      </c>
      <c r="Q343" s="26">
        <f>IF(C343="","",IF(K343=0,"not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R343" s="27">
        <f>IF(C343="","",SUMIFS(tbl_Finance[Inc GST],tbl_Finance[Job Number],C343&amp;""))</f>
        <v/>
      </c>
      <c r="S343" s="22" t="n"/>
      <c r="T343" s="22" t="n"/>
      <c r="U343" s="22" t="n"/>
      <c r="V343" s="23" t="n"/>
      <c r="W343" s="22" t="n"/>
      <c r="X343" s="26">
        <f>IF(W343="","",IF(AND(LEFT(W343,4)&lt;&gt;"http",set_RMSBase=""),"",HYPERLINK(IF(LEFT(W343,4)="http",W343,set_RMSBase&amp;W343),"Open opportunity")))</f>
        <v/>
      </c>
      <c r="Y343" s="22" t="n"/>
      <c r="Z343" s="26">
        <f>IF(Y343="","",HYPERLINK(IF(LEFT(Y343,4)="http",Y343,set_QwilrBase&amp;Y343),"Open quote"))</f>
        <v/>
      </c>
      <c r="AA343" s="26">
        <f>IF(C343="","",C343)</f>
        <v/>
      </c>
      <c r="AB343" s="22" t="n"/>
      <c r="AC343" s="24" t="n"/>
      <c r="AD343" s="27">
        <f>IF(C343="","",L343+N(AC343))</f>
        <v/>
      </c>
      <c r="AE343" s="29">
        <f>IFERROR(AC343/AD343,"")</f>
        <v/>
      </c>
      <c r="AF343" s="24" t="n"/>
      <c r="AG343" s="24" t="n"/>
      <c r="AH343" s="24" t="n"/>
      <c r="AI343" s="24" t="n"/>
      <c r="AJ343" s="27">
        <f>IF(C343="","",SUMIFS(tbl_Finance[Ex GST],tbl_Finance[Job Number],C343&amp;"",tbl_Finance[Cost Centre],"VIDEO"))</f>
        <v/>
      </c>
      <c r="AK343" s="29">
        <f>IFERROR(AJ343/L343,"")</f>
        <v/>
      </c>
      <c r="AL343" s="27">
        <f>IF(C343="","",N(AF343)+N(AG343)+N(AH343)+N(AI343))</f>
        <v/>
      </c>
      <c r="AM343" s="27" t="n"/>
      <c r="AN343" s="29" t="n"/>
      <c r="AO343" s="71" t="n"/>
      <c r="AP343" s="71" t="n"/>
      <c r="AQ343" s="71" t="n"/>
      <c r="AR343" s="71" t="n"/>
      <c r="AS343" s="71" t="n"/>
      <c r="AT343" s="22" t="n"/>
    </row>
    <row r="344" ht="15" customHeight="1">
      <c r="A344" s="70">
        <f>IF(C344="","",IFERROR(IF(SUMPRODUCT(MAX((tbl_Finance[Job Number]&amp;""=C344&amp;"")*(tbl_Finance[Xero Invoice No]&lt;&gt;"")*tbl_Finance[Date]))=0,"",SUMPRODUCT(MAX((tbl_Finance[Job Number]&amp;""=C344&amp;"")*(tbl_Finance[Xero Invoice No]&lt;&gt;"")*tbl_Finance[Date]))),""))</f>
        <v/>
      </c>
      <c r="B344" s="26">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2" t="n"/>
      <c r="D344" s="26">
        <f>IF(C344="","",IF(COUNTIF(lst_Jobs,C344&amp;"")&gt;0,"OK","CHECK"))</f>
        <v/>
      </c>
      <c r="E344" s="26">
        <f>IF(C344="","",IFERROR(INDEX(lst_JobName,MATCH(C344&amp;"",lst_Jobs,0)),""))</f>
        <v/>
      </c>
      <c r="F344" s="22" t="n"/>
      <c r="G344" s="22" t="n"/>
      <c r="H344" s="22" t="n"/>
      <c r="I344" s="22" t="n"/>
      <c r="J344" s="22" t="n"/>
      <c r="K344" s="28">
        <f>IF(C344="","",COUNTIFS(tbl_Finance[Job Number],C344&amp;"",tbl_Finance[Ex GST],"&lt;&gt;"))</f>
        <v/>
      </c>
      <c r="L344" s="27">
        <f>IF(C344="","",SUMIFS(tbl_Finance[Ex GST],tbl_Finance[Job Number],C344&amp;""))</f>
        <v/>
      </c>
      <c r="M344" s="27">
        <f>IF(C344="","",SUMIFS(tbl_Finance[Ex GST],tbl_Finance[Job Number],C344&amp;"",tbl_Finance[Xero Invoice No],"&lt;&gt;"))</f>
        <v/>
      </c>
      <c r="N344" s="27">
        <f>IF(C344="","",L344-M344)</f>
        <v/>
      </c>
      <c r="O344" s="24" t="n"/>
      <c r="P344" s="27">
        <f>IF(C344="","",IF(O344="",0,MAX(0,O344-L344)))</f>
        <v/>
      </c>
      <c r="Q344" s="26">
        <f>IF(C344="","",IF(K344=0,"not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R344" s="27">
        <f>IF(C344="","",SUMIFS(tbl_Finance[Inc GST],tbl_Finance[Job Number],C344&amp;""))</f>
        <v/>
      </c>
      <c r="S344" s="22" t="n"/>
      <c r="T344" s="22" t="n"/>
      <c r="U344" s="22" t="n"/>
      <c r="V344" s="23" t="n"/>
      <c r="W344" s="22" t="n"/>
      <c r="X344" s="26">
        <f>IF(W344="","",IF(AND(LEFT(W344,4)&lt;&gt;"http",set_RMSBase=""),"",HYPERLINK(IF(LEFT(W344,4)="http",W344,set_RMSBase&amp;W344),"Open opportunity")))</f>
        <v/>
      </c>
      <c r="Y344" s="22" t="n"/>
      <c r="Z344" s="26">
        <f>IF(Y344="","",HYPERLINK(IF(LEFT(Y344,4)="http",Y344,set_QwilrBase&amp;Y344),"Open quote"))</f>
        <v/>
      </c>
      <c r="AA344" s="26">
        <f>IF(C344="","",C344)</f>
        <v/>
      </c>
      <c r="AB344" s="22" t="n"/>
      <c r="AC344" s="24" t="n"/>
      <c r="AD344" s="27">
        <f>IF(C344="","",L344+N(AC344))</f>
        <v/>
      </c>
      <c r="AE344" s="29">
        <f>IFERROR(AC344/AD344,"")</f>
        <v/>
      </c>
      <c r="AF344" s="24" t="n"/>
      <c r="AG344" s="24" t="n"/>
      <c r="AH344" s="24" t="n"/>
      <c r="AI344" s="24" t="n"/>
      <c r="AJ344" s="27">
        <f>IF(C344="","",SUMIFS(tbl_Finance[Ex GST],tbl_Finance[Job Number],C344&amp;"",tbl_Finance[Cost Centre],"VIDEO"))</f>
        <v/>
      </c>
      <c r="AK344" s="29">
        <f>IFERROR(AJ344/L344,"")</f>
        <v/>
      </c>
      <c r="AL344" s="27">
        <f>IF(C344="","",N(AF344)+N(AG344)+N(AH344)+N(AI344))</f>
        <v/>
      </c>
      <c r="AM344" s="27" t="n"/>
      <c r="AN344" s="29" t="n"/>
      <c r="AO344" s="71" t="n"/>
      <c r="AP344" s="71" t="n"/>
      <c r="AQ344" s="71" t="n"/>
      <c r="AR344" s="71" t="n"/>
      <c r="AS344" s="71" t="n"/>
      <c r="AT344" s="22" t="n"/>
    </row>
    <row r="345" ht="15" customHeight="1">
      <c r="A345" s="70">
        <f>IF(C345="","",IFERROR(IF(SUMPRODUCT(MAX((tbl_Finance[Job Number]&amp;""=C345&amp;"")*(tbl_Finance[Xero Invoice No]&lt;&gt;"")*tbl_Finance[Date]))=0,"",SUMPRODUCT(MAX((tbl_Finance[Job Number]&amp;""=C345&amp;"")*(tbl_Finance[Xero Invoice No]&lt;&gt;"")*tbl_Finance[Date]))),""))</f>
        <v/>
      </c>
      <c r="B345" s="26">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2" t="n"/>
      <c r="D345" s="26">
        <f>IF(C345="","",IF(COUNTIF(lst_Jobs,C345&amp;"")&gt;0,"OK","CHECK"))</f>
        <v/>
      </c>
      <c r="E345" s="26">
        <f>IF(C345="","",IFERROR(INDEX(lst_JobName,MATCH(C345&amp;"",lst_Jobs,0)),""))</f>
        <v/>
      </c>
      <c r="F345" s="22" t="n"/>
      <c r="G345" s="22" t="n"/>
      <c r="H345" s="22" t="n"/>
      <c r="I345" s="22" t="n"/>
      <c r="J345" s="22" t="n"/>
      <c r="K345" s="28">
        <f>IF(C345="","",COUNTIFS(tbl_Finance[Job Number],C345&amp;"",tbl_Finance[Ex GST],"&lt;&gt;"))</f>
        <v/>
      </c>
      <c r="L345" s="27">
        <f>IF(C345="","",SUMIFS(tbl_Finance[Ex GST],tbl_Finance[Job Number],C345&amp;""))</f>
        <v/>
      </c>
      <c r="M345" s="27">
        <f>IF(C345="","",SUMIFS(tbl_Finance[Ex GST],tbl_Finance[Job Number],C345&amp;"",tbl_Finance[Xero Invoice No],"&lt;&gt;"))</f>
        <v/>
      </c>
      <c r="N345" s="27">
        <f>IF(C345="","",L345-M345)</f>
        <v/>
      </c>
      <c r="O345" s="24" t="n"/>
      <c r="P345" s="27">
        <f>IF(C345="","",IF(O345="",0,MAX(0,O345-L345)))</f>
        <v/>
      </c>
      <c r="Q345" s="26">
        <f>IF(C345="","",IF(K345=0,"not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R345" s="27">
        <f>IF(C345="","",SUMIFS(tbl_Finance[Inc GST],tbl_Finance[Job Number],C345&amp;""))</f>
        <v/>
      </c>
      <c r="S345" s="22" t="n"/>
      <c r="T345" s="22" t="n"/>
      <c r="U345" s="22" t="n"/>
      <c r="V345" s="23" t="n"/>
      <c r="W345" s="22" t="n"/>
      <c r="X345" s="26">
        <f>IF(W345="","",IF(AND(LEFT(W345,4)&lt;&gt;"http",set_RMSBase=""),"",HYPERLINK(IF(LEFT(W345,4)="http",W345,set_RMSBase&amp;W345),"Open opportunity")))</f>
        <v/>
      </c>
      <c r="Y345" s="22" t="n"/>
      <c r="Z345" s="26">
        <f>IF(Y345="","",HYPERLINK(IF(LEFT(Y345,4)="http",Y345,set_QwilrBase&amp;Y345),"Open quote"))</f>
        <v/>
      </c>
      <c r="AA345" s="26">
        <f>IF(C345="","",C345)</f>
        <v/>
      </c>
      <c r="AB345" s="22" t="n"/>
      <c r="AC345" s="24" t="n"/>
      <c r="AD345" s="27">
        <f>IF(C345="","",L345+N(AC345))</f>
        <v/>
      </c>
      <c r="AE345" s="29">
        <f>IFERROR(AC345/AD345,"")</f>
        <v/>
      </c>
      <c r="AF345" s="24" t="n"/>
      <c r="AG345" s="24" t="n"/>
      <c r="AH345" s="24" t="n"/>
      <c r="AI345" s="24" t="n"/>
      <c r="AJ345" s="27">
        <f>IF(C345="","",SUMIFS(tbl_Finance[Ex GST],tbl_Finance[Job Number],C345&amp;"",tbl_Finance[Cost Centre],"VIDEO"))</f>
        <v/>
      </c>
      <c r="AK345" s="29">
        <f>IFERROR(AJ345/L345,"")</f>
        <v/>
      </c>
      <c r="AL345" s="27">
        <f>IF(C345="","",N(AF345)+N(AG345)+N(AH345)+N(AI345))</f>
        <v/>
      </c>
      <c r="AM345" s="27" t="n"/>
      <c r="AN345" s="29" t="n"/>
      <c r="AO345" s="71" t="n"/>
      <c r="AP345" s="71" t="n"/>
      <c r="AQ345" s="71" t="n"/>
      <c r="AR345" s="71" t="n"/>
      <c r="AS345" s="71" t="n"/>
      <c r="AT345" s="22" t="n"/>
    </row>
    <row r="346" ht="15" customHeight="1">
      <c r="A346" s="70">
        <f>IF(C346="","",IFERROR(IF(SUMPRODUCT(MAX((tbl_Finance[Job Number]&amp;""=C346&amp;"")*(tbl_Finance[Xero Invoice No]&lt;&gt;"")*tbl_Finance[Date]))=0,"",SUMPRODUCT(MAX((tbl_Finance[Job Number]&amp;""=C346&amp;"")*(tbl_Finance[Xero Invoice No]&lt;&gt;"")*tbl_Finance[Date]))),""))</f>
        <v/>
      </c>
      <c r="B346" s="26">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2" t="n"/>
      <c r="D346" s="26">
        <f>IF(C346="","",IF(COUNTIF(lst_Jobs,C346&amp;"")&gt;0,"OK","CHECK"))</f>
        <v/>
      </c>
      <c r="E346" s="26">
        <f>IF(C346="","",IFERROR(INDEX(lst_JobName,MATCH(C346&amp;"",lst_Jobs,0)),""))</f>
        <v/>
      </c>
      <c r="F346" s="22" t="n"/>
      <c r="G346" s="22" t="n"/>
      <c r="H346" s="22" t="n"/>
      <c r="I346" s="22" t="n"/>
      <c r="J346" s="22" t="n"/>
      <c r="K346" s="28">
        <f>IF(C346="","",COUNTIFS(tbl_Finance[Job Number],C346&amp;"",tbl_Finance[Ex GST],"&lt;&gt;"))</f>
        <v/>
      </c>
      <c r="L346" s="27">
        <f>IF(C346="","",SUMIFS(tbl_Finance[Ex GST],tbl_Finance[Job Number],C346&amp;""))</f>
        <v/>
      </c>
      <c r="M346" s="27">
        <f>IF(C346="","",SUMIFS(tbl_Finance[Ex GST],tbl_Finance[Job Number],C346&amp;"",tbl_Finance[Xero Invoice No],"&lt;&gt;"))</f>
        <v/>
      </c>
      <c r="N346" s="27">
        <f>IF(C346="","",L346-M346)</f>
        <v/>
      </c>
      <c r="O346" s="24" t="n"/>
      <c r="P346" s="27">
        <f>IF(C346="","",IF(O346="",0,MAX(0,O346-L346)))</f>
        <v/>
      </c>
      <c r="Q346" s="26">
        <f>IF(C346="","",IF(K346=0,"not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R346" s="27">
        <f>IF(C346="","",SUMIFS(tbl_Finance[Inc GST],tbl_Finance[Job Number],C346&amp;""))</f>
        <v/>
      </c>
      <c r="S346" s="22" t="n"/>
      <c r="T346" s="22" t="n"/>
      <c r="U346" s="22" t="n"/>
      <c r="V346" s="23" t="n"/>
      <c r="W346" s="22" t="n"/>
      <c r="X346" s="26">
        <f>IF(W346="","",IF(AND(LEFT(W346,4)&lt;&gt;"http",set_RMSBase=""),"",HYPERLINK(IF(LEFT(W346,4)="http",W346,set_RMSBase&amp;W346),"Open opportunity")))</f>
        <v/>
      </c>
      <c r="Y346" s="22" t="n"/>
      <c r="Z346" s="26">
        <f>IF(Y346="","",HYPERLINK(IF(LEFT(Y346,4)="http",Y346,set_QwilrBase&amp;Y346),"Open quote"))</f>
        <v/>
      </c>
      <c r="AA346" s="26">
        <f>IF(C346="","",C346)</f>
        <v/>
      </c>
      <c r="AB346" s="22" t="n"/>
      <c r="AC346" s="24" t="n"/>
      <c r="AD346" s="27">
        <f>IF(C346="","",L346+N(AC346))</f>
        <v/>
      </c>
      <c r="AE346" s="29">
        <f>IFERROR(AC346/AD346,"")</f>
        <v/>
      </c>
      <c r="AF346" s="24" t="n"/>
      <c r="AG346" s="24" t="n"/>
      <c r="AH346" s="24" t="n"/>
      <c r="AI346" s="24" t="n"/>
      <c r="AJ346" s="27">
        <f>IF(C346="","",SUMIFS(tbl_Finance[Ex GST],tbl_Finance[Job Number],C346&amp;"",tbl_Finance[Cost Centre],"VIDEO"))</f>
        <v/>
      </c>
      <c r="AK346" s="29">
        <f>IFERROR(AJ346/L346,"")</f>
        <v/>
      </c>
      <c r="AL346" s="27">
        <f>IF(C346="","",N(AF346)+N(AG346)+N(AH346)+N(AI346))</f>
        <v/>
      </c>
      <c r="AM346" s="27" t="n"/>
      <c r="AN346" s="29" t="n"/>
      <c r="AO346" s="71" t="n"/>
      <c r="AP346" s="71" t="n"/>
      <c r="AQ346" s="71" t="n"/>
      <c r="AR346" s="71" t="n"/>
      <c r="AS346" s="71" t="n"/>
      <c r="AT346" s="22" t="n"/>
    </row>
    <row r="347" ht="15" customHeight="1">
      <c r="A347" s="70">
        <f>IF(C347="","",IFERROR(IF(SUMPRODUCT(MAX((tbl_Finance[Job Number]&amp;""=C347&amp;"")*(tbl_Finance[Xero Invoice No]&lt;&gt;"")*tbl_Finance[Date]))=0,"",SUMPRODUCT(MAX((tbl_Finance[Job Number]&amp;""=C347&amp;"")*(tbl_Finance[Xero Invoice No]&lt;&gt;"")*tbl_Finance[Date]))),""))</f>
        <v/>
      </c>
      <c r="B347" s="26">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2" t="n"/>
      <c r="D347" s="26">
        <f>IF(C347="","",IF(COUNTIF(lst_Jobs,C347&amp;"")&gt;0,"OK","CHECK"))</f>
        <v/>
      </c>
      <c r="E347" s="26">
        <f>IF(C347="","",IFERROR(INDEX(lst_JobName,MATCH(C347&amp;"",lst_Jobs,0)),""))</f>
        <v/>
      </c>
      <c r="F347" s="22" t="n"/>
      <c r="G347" s="22" t="n"/>
      <c r="H347" s="22" t="n"/>
      <c r="I347" s="22" t="n"/>
      <c r="J347" s="22" t="n"/>
      <c r="K347" s="28">
        <f>IF(C347="","",COUNTIFS(tbl_Finance[Job Number],C347&amp;"",tbl_Finance[Ex GST],"&lt;&gt;"))</f>
        <v/>
      </c>
      <c r="L347" s="27">
        <f>IF(C347="","",SUMIFS(tbl_Finance[Ex GST],tbl_Finance[Job Number],C347&amp;""))</f>
        <v/>
      </c>
      <c r="M347" s="27">
        <f>IF(C347="","",SUMIFS(tbl_Finance[Ex GST],tbl_Finance[Job Number],C347&amp;"",tbl_Finance[Xero Invoice No],"&lt;&gt;"))</f>
        <v/>
      </c>
      <c r="N347" s="27">
        <f>IF(C347="","",L347-M347)</f>
        <v/>
      </c>
      <c r="O347" s="24" t="n"/>
      <c r="P347" s="27">
        <f>IF(C347="","",IF(O347="",0,MAX(0,O347-L347)))</f>
        <v/>
      </c>
      <c r="Q347" s="26">
        <f>IF(C347="","",IF(K347=0,"not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R347" s="27">
        <f>IF(C347="","",SUMIFS(tbl_Finance[Inc GST],tbl_Finance[Job Number],C347&amp;""))</f>
        <v/>
      </c>
      <c r="S347" s="22" t="n"/>
      <c r="T347" s="22" t="n"/>
      <c r="U347" s="22" t="n"/>
      <c r="V347" s="23" t="n"/>
      <c r="W347" s="22" t="n"/>
      <c r="X347" s="26">
        <f>IF(W347="","",IF(AND(LEFT(W347,4)&lt;&gt;"http",set_RMSBase=""),"",HYPERLINK(IF(LEFT(W347,4)="http",W347,set_RMSBase&amp;W347),"Open opportunity")))</f>
        <v/>
      </c>
      <c r="Y347" s="22" t="n"/>
      <c r="Z347" s="26">
        <f>IF(Y347="","",HYPERLINK(IF(LEFT(Y347,4)="http",Y347,set_QwilrBase&amp;Y347),"Open quote"))</f>
        <v/>
      </c>
      <c r="AA347" s="26">
        <f>IF(C347="","",C347)</f>
        <v/>
      </c>
      <c r="AB347" s="22" t="n"/>
      <c r="AC347" s="24" t="n"/>
      <c r="AD347" s="27">
        <f>IF(C347="","",L347+N(AC347))</f>
        <v/>
      </c>
      <c r="AE347" s="29">
        <f>IFERROR(AC347/AD347,"")</f>
        <v/>
      </c>
      <c r="AF347" s="24" t="n"/>
      <c r="AG347" s="24" t="n"/>
      <c r="AH347" s="24" t="n"/>
      <c r="AI347" s="24" t="n"/>
      <c r="AJ347" s="27">
        <f>IF(C347="","",SUMIFS(tbl_Finance[Ex GST],tbl_Finance[Job Number],C347&amp;"",tbl_Finance[Cost Centre],"VIDEO"))</f>
        <v/>
      </c>
      <c r="AK347" s="29">
        <f>IFERROR(AJ347/L347,"")</f>
        <v/>
      </c>
      <c r="AL347" s="27">
        <f>IF(C347="","",N(AF347)+N(AG347)+N(AH347)+N(AI347))</f>
        <v/>
      </c>
      <c r="AM347" s="27" t="n"/>
      <c r="AN347" s="29" t="n"/>
      <c r="AO347" s="71" t="n"/>
      <c r="AP347" s="71" t="n"/>
      <c r="AQ347" s="71" t="n"/>
      <c r="AR347" s="71" t="n"/>
      <c r="AS347" s="71" t="n"/>
      <c r="AT347" s="22" t="n"/>
    </row>
    <row r="348" ht="15" customHeight="1">
      <c r="A348" s="70">
        <f>IF(C348="","",IFERROR(IF(SUMPRODUCT(MAX((tbl_Finance[Job Number]&amp;""=C348&amp;"")*(tbl_Finance[Xero Invoice No]&lt;&gt;"")*tbl_Finance[Date]))=0,"",SUMPRODUCT(MAX((tbl_Finance[Job Number]&amp;""=C348&amp;"")*(tbl_Finance[Xero Invoice No]&lt;&gt;"")*tbl_Finance[Date]))),""))</f>
        <v/>
      </c>
      <c r="B348" s="26">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2" t="n"/>
      <c r="D348" s="26">
        <f>IF(C348="","",IF(COUNTIF(lst_Jobs,C348&amp;"")&gt;0,"OK","CHECK"))</f>
        <v/>
      </c>
      <c r="E348" s="26">
        <f>IF(C348="","",IFERROR(INDEX(lst_JobName,MATCH(C348&amp;"",lst_Jobs,0)),""))</f>
        <v/>
      </c>
      <c r="F348" s="22" t="n"/>
      <c r="G348" s="22" t="n"/>
      <c r="H348" s="22" t="n"/>
      <c r="I348" s="22" t="n"/>
      <c r="J348" s="22" t="n"/>
      <c r="K348" s="28">
        <f>IF(C348="","",COUNTIFS(tbl_Finance[Job Number],C348&amp;"",tbl_Finance[Ex GST],"&lt;&gt;"))</f>
        <v/>
      </c>
      <c r="L348" s="27">
        <f>IF(C348="","",SUMIFS(tbl_Finance[Ex GST],tbl_Finance[Job Number],C348&amp;""))</f>
        <v/>
      </c>
      <c r="M348" s="27">
        <f>IF(C348="","",SUMIFS(tbl_Finance[Ex GST],tbl_Finance[Job Number],C348&amp;"",tbl_Finance[Xero Invoice No],"&lt;&gt;"))</f>
        <v/>
      </c>
      <c r="N348" s="27">
        <f>IF(C348="","",L348-M348)</f>
        <v/>
      </c>
      <c r="O348" s="24" t="n"/>
      <c r="P348" s="27">
        <f>IF(C348="","",IF(O348="",0,MAX(0,O348-L348)))</f>
        <v/>
      </c>
      <c r="Q348" s="26">
        <f>IF(C348="","",IF(K348=0,"not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R348" s="27">
        <f>IF(C348="","",SUMIFS(tbl_Finance[Inc GST],tbl_Finance[Job Number],C348&amp;""))</f>
        <v/>
      </c>
      <c r="S348" s="22" t="n"/>
      <c r="T348" s="22" t="n"/>
      <c r="U348" s="22" t="n"/>
      <c r="V348" s="23" t="n"/>
      <c r="W348" s="22" t="n"/>
      <c r="X348" s="26">
        <f>IF(W348="","",IF(AND(LEFT(W348,4)&lt;&gt;"http",set_RMSBase=""),"",HYPERLINK(IF(LEFT(W348,4)="http",W348,set_RMSBase&amp;W348),"Open opportunity")))</f>
        <v/>
      </c>
      <c r="Y348" s="22" t="n"/>
      <c r="Z348" s="26">
        <f>IF(Y348="","",HYPERLINK(IF(LEFT(Y348,4)="http",Y348,set_QwilrBase&amp;Y348),"Open quote"))</f>
        <v/>
      </c>
      <c r="AA348" s="26">
        <f>IF(C348="","",C348)</f>
        <v/>
      </c>
      <c r="AB348" s="22" t="n"/>
      <c r="AC348" s="24" t="n"/>
      <c r="AD348" s="27">
        <f>IF(C348="","",L348+N(AC348))</f>
        <v/>
      </c>
      <c r="AE348" s="29">
        <f>IFERROR(AC348/AD348,"")</f>
        <v/>
      </c>
      <c r="AF348" s="24" t="n"/>
      <c r="AG348" s="24" t="n"/>
      <c r="AH348" s="24" t="n"/>
      <c r="AI348" s="24" t="n"/>
      <c r="AJ348" s="27">
        <f>IF(C348="","",SUMIFS(tbl_Finance[Ex GST],tbl_Finance[Job Number],C348&amp;"",tbl_Finance[Cost Centre],"VIDEO"))</f>
        <v/>
      </c>
      <c r="AK348" s="29">
        <f>IFERROR(AJ348/L348,"")</f>
        <v/>
      </c>
      <c r="AL348" s="27">
        <f>IF(C348="","",N(AF348)+N(AG348)+N(AH348)+N(AI348))</f>
        <v/>
      </c>
      <c r="AM348" s="27" t="n"/>
      <c r="AN348" s="29" t="n"/>
      <c r="AO348" s="71" t="n"/>
      <c r="AP348" s="71" t="n"/>
      <c r="AQ348" s="71" t="n"/>
      <c r="AR348" s="71" t="n"/>
      <c r="AS348" s="71" t="n"/>
      <c r="AT348" s="22" t="n"/>
    </row>
    <row r="349" ht="15" customHeight="1">
      <c r="A349" s="70">
        <f>IF(C349="","",IFERROR(IF(SUMPRODUCT(MAX((tbl_Finance[Job Number]&amp;""=C349&amp;"")*(tbl_Finance[Xero Invoice No]&lt;&gt;"")*tbl_Finance[Date]))=0,"",SUMPRODUCT(MAX((tbl_Finance[Job Number]&amp;""=C349&amp;"")*(tbl_Finance[Xero Invoice No]&lt;&gt;"")*tbl_Finance[Date]))),""))</f>
        <v/>
      </c>
      <c r="B349" s="26">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2" t="n"/>
      <c r="D349" s="26">
        <f>IF(C349="","",IF(COUNTIF(lst_Jobs,C349&amp;"")&gt;0,"OK","CHECK"))</f>
        <v/>
      </c>
      <c r="E349" s="26">
        <f>IF(C349="","",IFERROR(INDEX(lst_JobName,MATCH(C349&amp;"",lst_Jobs,0)),""))</f>
        <v/>
      </c>
      <c r="F349" s="22" t="n"/>
      <c r="G349" s="22" t="n"/>
      <c r="H349" s="22" t="n"/>
      <c r="I349" s="22" t="n"/>
      <c r="J349" s="22" t="n"/>
      <c r="K349" s="28">
        <f>IF(C349="","",COUNTIFS(tbl_Finance[Job Number],C349&amp;"",tbl_Finance[Ex GST],"&lt;&gt;"))</f>
        <v/>
      </c>
      <c r="L349" s="27">
        <f>IF(C349="","",SUMIFS(tbl_Finance[Ex GST],tbl_Finance[Job Number],C349&amp;""))</f>
        <v/>
      </c>
      <c r="M349" s="27">
        <f>IF(C349="","",SUMIFS(tbl_Finance[Ex GST],tbl_Finance[Job Number],C349&amp;"",tbl_Finance[Xero Invoice No],"&lt;&gt;"))</f>
        <v/>
      </c>
      <c r="N349" s="27">
        <f>IF(C349="","",L349-M349)</f>
        <v/>
      </c>
      <c r="O349" s="24" t="n"/>
      <c r="P349" s="27">
        <f>IF(C349="","",IF(O349="",0,MAX(0,O349-L349)))</f>
        <v/>
      </c>
      <c r="Q349" s="26">
        <f>IF(C349="","",IF(K349=0,"not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R349" s="27">
        <f>IF(C349="","",SUMIFS(tbl_Finance[Inc GST],tbl_Finance[Job Number],C349&amp;""))</f>
        <v/>
      </c>
      <c r="S349" s="22" t="n"/>
      <c r="T349" s="22" t="n"/>
      <c r="U349" s="22" t="n"/>
      <c r="V349" s="23" t="n"/>
      <c r="W349" s="22" t="n"/>
      <c r="X349" s="26">
        <f>IF(W349="","",IF(AND(LEFT(W349,4)&lt;&gt;"http",set_RMSBase=""),"",HYPERLINK(IF(LEFT(W349,4)="http",W349,set_RMSBase&amp;W349),"Open opportunity")))</f>
        <v/>
      </c>
      <c r="Y349" s="22" t="n"/>
      <c r="Z349" s="26">
        <f>IF(Y349="","",HYPERLINK(IF(LEFT(Y349,4)="http",Y349,set_QwilrBase&amp;Y349),"Open quote"))</f>
        <v/>
      </c>
      <c r="AA349" s="26">
        <f>IF(C349="","",C349)</f>
        <v/>
      </c>
      <c r="AB349" s="22" t="n"/>
      <c r="AC349" s="24" t="n"/>
      <c r="AD349" s="27">
        <f>IF(C349="","",L349+N(AC349))</f>
        <v/>
      </c>
      <c r="AE349" s="29">
        <f>IFERROR(AC349/AD349,"")</f>
        <v/>
      </c>
      <c r="AF349" s="24" t="n"/>
      <c r="AG349" s="24" t="n"/>
      <c r="AH349" s="24" t="n"/>
      <c r="AI349" s="24" t="n"/>
      <c r="AJ349" s="27">
        <f>IF(C349="","",SUMIFS(tbl_Finance[Ex GST],tbl_Finance[Job Number],C349&amp;"",tbl_Finance[Cost Centre],"VIDEO"))</f>
        <v/>
      </c>
      <c r="AK349" s="29">
        <f>IFERROR(AJ349/L349,"")</f>
        <v/>
      </c>
      <c r="AL349" s="27">
        <f>IF(C349="","",N(AF349)+N(AG349)+N(AH349)+N(AI349))</f>
        <v/>
      </c>
      <c r="AM349" s="27" t="n"/>
      <c r="AN349" s="29" t="n"/>
      <c r="AO349" s="71" t="n"/>
      <c r="AP349" s="71" t="n"/>
      <c r="AQ349" s="71" t="n"/>
      <c r="AR349" s="71" t="n"/>
      <c r="AS349" s="71" t="n"/>
      <c r="AT349" s="22" t="n"/>
    </row>
    <row r="350" ht="15" customHeight="1">
      <c r="A350" s="70">
        <f>IF(C350="","",IFERROR(IF(SUMPRODUCT(MAX((tbl_Finance[Job Number]&amp;""=C350&amp;"")*(tbl_Finance[Xero Invoice No]&lt;&gt;"")*tbl_Finance[Date]))=0,"",SUMPRODUCT(MAX((tbl_Finance[Job Number]&amp;""=C350&amp;"")*(tbl_Finance[Xero Invoice No]&lt;&gt;"")*tbl_Finance[Date]))),""))</f>
        <v/>
      </c>
      <c r="B350" s="26">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2" t="n"/>
      <c r="D350" s="26">
        <f>IF(C350="","",IF(COUNTIF(lst_Jobs,C350&amp;"")&gt;0,"OK","CHECK"))</f>
        <v/>
      </c>
      <c r="E350" s="26">
        <f>IF(C350="","",IFERROR(INDEX(lst_JobName,MATCH(C350&amp;"",lst_Jobs,0)),""))</f>
        <v/>
      </c>
      <c r="F350" s="22" t="n"/>
      <c r="G350" s="22" t="n"/>
      <c r="H350" s="22" t="n"/>
      <c r="I350" s="22" t="n"/>
      <c r="J350" s="22" t="n"/>
      <c r="K350" s="28">
        <f>IF(C350="","",COUNTIFS(tbl_Finance[Job Number],C350&amp;"",tbl_Finance[Ex GST],"&lt;&gt;"))</f>
        <v/>
      </c>
      <c r="L350" s="27">
        <f>IF(C350="","",SUMIFS(tbl_Finance[Ex GST],tbl_Finance[Job Number],C350&amp;""))</f>
        <v/>
      </c>
      <c r="M350" s="27">
        <f>IF(C350="","",SUMIFS(tbl_Finance[Ex GST],tbl_Finance[Job Number],C350&amp;"",tbl_Finance[Xero Invoice No],"&lt;&gt;"))</f>
        <v/>
      </c>
      <c r="N350" s="27">
        <f>IF(C350="","",L350-M350)</f>
        <v/>
      </c>
      <c r="O350" s="24" t="n"/>
      <c r="P350" s="27">
        <f>IF(C350="","",IF(O350="",0,MAX(0,O350-L350)))</f>
        <v/>
      </c>
      <c r="Q350" s="26">
        <f>IF(C350="","",IF(K350=0,"not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R350" s="27">
        <f>IF(C350="","",SUMIFS(tbl_Finance[Inc GST],tbl_Finance[Job Number],C350&amp;""))</f>
        <v/>
      </c>
      <c r="S350" s="22" t="n"/>
      <c r="T350" s="22" t="n"/>
      <c r="U350" s="22" t="n"/>
      <c r="V350" s="23" t="n"/>
      <c r="W350" s="22" t="n"/>
      <c r="X350" s="26">
        <f>IF(W350="","",IF(AND(LEFT(W350,4)&lt;&gt;"http",set_RMSBase=""),"",HYPERLINK(IF(LEFT(W350,4)="http",W350,set_RMSBase&amp;W350),"Open opportunity")))</f>
        <v/>
      </c>
      <c r="Y350" s="22" t="n"/>
      <c r="Z350" s="26">
        <f>IF(Y350="","",HYPERLINK(IF(LEFT(Y350,4)="http",Y350,set_QwilrBase&amp;Y350),"Open quote"))</f>
        <v/>
      </c>
      <c r="AA350" s="26">
        <f>IF(C350="","",C350)</f>
        <v/>
      </c>
      <c r="AB350" s="22" t="n"/>
      <c r="AC350" s="24" t="n"/>
      <c r="AD350" s="27">
        <f>IF(C350="","",L350+N(AC350))</f>
        <v/>
      </c>
      <c r="AE350" s="29">
        <f>IFERROR(AC350/AD350,"")</f>
        <v/>
      </c>
      <c r="AF350" s="24" t="n"/>
      <c r="AG350" s="24" t="n"/>
      <c r="AH350" s="24" t="n"/>
      <c r="AI350" s="24" t="n"/>
      <c r="AJ350" s="27">
        <f>IF(C350="","",SUMIFS(tbl_Finance[Ex GST],tbl_Finance[Job Number],C350&amp;"",tbl_Finance[Cost Centre],"VIDEO"))</f>
        <v/>
      </c>
      <c r="AK350" s="29">
        <f>IFERROR(AJ350/L350,"")</f>
        <v/>
      </c>
      <c r="AL350" s="27">
        <f>IF(C350="","",N(AF350)+N(AG350)+N(AH350)+N(AI350))</f>
        <v/>
      </c>
      <c r="AM350" s="27" t="n"/>
      <c r="AN350" s="29" t="n"/>
      <c r="AO350" s="71" t="n"/>
      <c r="AP350" s="71" t="n"/>
      <c r="AQ350" s="71" t="n"/>
      <c r="AR350" s="71" t="n"/>
      <c r="AS350" s="71" t="n"/>
      <c r="AT350" s="22" t="n"/>
    </row>
    <row r="351" ht="15" customHeight="1">
      <c r="A351" s="70">
        <f>IF(C351="","",IFERROR(IF(SUMPRODUCT(MAX((tbl_Finance[Job Number]&amp;""=C351&amp;"")*(tbl_Finance[Xero Invoice No]&lt;&gt;"")*tbl_Finance[Date]))=0,"",SUMPRODUCT(MAX((tbl_Finance[Job Number]&amp;""=C351&amp;"")*(tbl_Finance[Xero Invoice No]&lt;&gt;"")*tbl_Finance[Date]))),""))</f>
        <v/>
      </c>
      <c r="B351" s="26">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2" t="n"/>
      <c r="D351" s="26">
        <f>IF(C351="","",IF(COUNTIF(lst_Jobs,C351&amp;"")&gt;0,"OK","CHECK"))</f>
        <v/>
      </c>
      <c r="E351" s="26">
        <f>IF(C351="","",IFERROR(INDEX(lst_JobName,MATCH(C351&amp;"",lst_Jobs,0)),""))</f>
        <v/>
      </c>
      <c r="F351" s="22" t="n"/>
      <c r="G351" s="22" t="n"/>
      <c r="H351" s="22" t="n"/>
      <c r="I351" s="22" t="n"/>
      <c r="J351" s="22" t="n"/>
      <c r="K351" s="28">
        <f>IF(C351="","",COUNTIFS(tbl_Finance[Job Number],C351&amp;"",tbl_Finance[Ex GST],"&lt;&gt;"))</f>
        <v/>
      </c>
      <c r="L351" s="27">
        <f>IF(C351="","",SUMIFS(tbl_Finance[Ex GST],tbl_Finance[Job Number],C351&amp;""))</f>
        <v/>
      </c>
      <c r="M351" s="27">
        <f>IF(C351="","",SUMIFS(tbl_Finance[Ex GST],tbl_Finance[Job Number],C351&amp;"",tbl_Finance[Xero Invoice No],"&lt;&gt;"))</f>
        <v/>
      </c>
      <c r="N351" s="27">
        <f>IF(C351="","",L351-M351)</f>
        <v/>
      </c>
      <c r="O351" s="24" t="n"/>
      <c r="P351" s="27">
        <f>IF(C351="","",IF(O351="",0,MAX(0,O351-L351)))</f>
        <v/>
      </c>
      <c r="Q351" s="26">
        <f>IF(C351="","",IF(K351=0,"not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R351" s="27">
        <f>IF(C351="","",SUMIFS(tbl_Finance[Inc GST],tbl_Finance[Job Number],C351&amp;""))</f>
        <v/>
      </c>
      <c r="S351" s="22" t="n"/>
      <c r="T351" s="22" t="n"/>
      <c r="U351" s="22" t="n"/>
      <c r="V351" s="23" t="n"/>
      <c r="W351" s="22" t="n"/>
      <c r="X351" s="26">
        <f>IF(W351="","",IF(AND(LEFT(W351,4)&lt;&gt;"http",set_RMSBase=""),"",HYPERLINK(IF(LEFT(W351,4)="http",W351,set_RMSBase&amp;W351),"Open opportunity")))</f>
        <v/>
      </c>
      <c r="Y351" s="22" t="n"/>
      <c r="Z351" s="26">
        <f>IF(Y351="","",HYPERLINK(IF(LEFT(Y351,4)="http",Y351,set_QwilrBase&amp;Y351),"Open quote"))</f>
        <v/>
      </c>
      <c r="AA351" s="26">
        <f>IF(C351="","",C351)</f>
        <v/>
      </c>
      <c r="AB351" s="22" t="n"/>
      <c r="AC351" s="24" t="n"/>
      <c r="AD351" s="27">
        <f>IF(C351="","",L351+N(AC351))</f>
        <v/>
      </c>
      <c r="AE351" s="29">
        <f>IFERROR(AC351/AD351,"")</f>
        <v/>
      </c>
      <c r="AF351" s="24" t="n"/>
      <c r="AG351" s="24" t="n"/>
      <c r="AH351" s="24" t="n"/>
      <c r="AI351" s="24" t="n"/>
      <c r="AJ351" s="27">
        <f>IF(C351="","",SUMIFS(tbl_Finance[Ex GST],tbl_Finance[Job Number],C351&amp;"",tbl_Finance[Cost Centre],"VIDEO"))</f>
        <v/>
      </c>
      <c r="AK351" s="29">
        <f>IFERROR(AJ351/L351,"")</f>
        <v/>
      </c>
      <c r="AL351" s="27">
        <f>IF(C351="","",N(AF351)+N(AG351)+N(AH351)+N(AI351))</f>
        <v/>
      </c>
      <c r="AM351" s="27" t="n"/>
      <c r="AN351" s="29" t="n"/>
      <c r="AO351" s="71" t="n"/>
      <c r="AP351" s="71" t="n"/>
      <c r="AQ351" s="71" t="n"/>
      <c r="AR351" s="71" t="n"/>
      <c r="AS351" s="71" t="n"/>
      <c r="AT351" s="22" t="n"/>
    </row>
    <row r="352" ht="15" customHeight="1">
      <c r="A352" s="70">
        <f>IF(C352="","",IFERROR(IF(SUMPRODUCT(MAX((tbl_Finance[Job Number]&amp;""=C352&amp;"")*(tbl_Finance[Xero Invoice No]&lt;&gt;"")*tbl_Finance[Date]))=0,"",SUMPRODUCT(MAX((tbl_Finance[Job Number]&amp;""=C352&amp;"")*(tbl_Finance[Xero Invoice No]&lt;&gt;"")*tbl_Finance[Date]))),""))</f>
        <v/>
      </c>
      <c r="B352" s="26">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2" t="n"/>
      <c r="D352" s="26">
        <f>IF(C352="","",IF(COUNTIF(lst_Jobs,C352&amp;"")&gt;0,"OK","CHECK"))</f>
        <v/>
      </c>
      <c r="E352" s="26">
        <f>IF(C352="","",IFERROR(INDEX(lst_JobName,MATCH(C352&amp;"",lst_Jobs,0)),""))</f>
        <v/>
      </c>
      <c r="F352" s="22" t="n"/>
      <c r="G352" s="22" t="n"/>
      <c r="H352" s="22" t="n"/>
      <c r="I352" s="22" t="n"/>
      <c r="J352" s="22" t="n"/>
      <c r="K352" s="28">
        <f>IF(C352="","",COUNTIFS(tbl_Finance[Job Number],C352&amp;"",tbl_Finance[Ex GST],"&lt;&gt;"))</f>
        <v/>
      </c>
      <c r="L352" s="27">
        <f>IF(C352="","",SUMIFS(tbl_Finance[Ex GST],tbl_Finance[Job Number],C352&amp;""))</f>
        <v/>
      </c>
      <c r="M352" s="27">
        <f>IF(C352="","",SUMIFS(tbl_Finance[Ex GST],tbl_Finance[Job Number],C352&amp;"",tbl_Finance[Xero Invoice No],"&lt;&gt;"))</f>
        <v/>
      </c>
      <c r="N352" s="27">
        <f>IF(C352="","",L352-M352)</f>
        <v/>
      </c>
      <c r="O352" s="24" t="n"/>
      <c r="P352" s="27">
        <f>IF(C352="","",IF(O352="",0,MAX(0,O352-L352)))</f>
        <v/>
      </c>
      <c r="Q352" s="26">
        <f>IF(C352="","",IF(K352=0,"not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R352" s="27">
        <f>IF(C352="","",SUMIFS(tbl_Finance[Inc GST],tbl_Finance[Job Number],C352&amp;""))</f>
        <v/>
      </c>
      <c r="S352" s="22" t="n"/>
      <c r="T352" s="22" t="n"/>
      <c r="U352" s="22" t="n"/>
      <c r="V352" s="23" t="n"/>
      <c r="W352" s="22" t="n"/>
      <c r="X352" s="26">
        <f>IF(W352="","",IF(AND(LEFT(W352,4)&lt;&gt;"http",set_RMSBase=""),"",HYPERLINK(IF(LEFT(W352,4)="http",W352,set_RMSBase&amp;W352),"Open opportunity")))</f>
        <v/>
      </c>
      <c r="Y352" s="22" t="n"/>
      <c r="Z352" s="26">
        <f>IF(Y352="","",HYPERLINK(IF(LEFT(Y352,4)="http",Y352,set_QwilrBase&amp;Y352),"Open quote"))</f>
        <v/>
      </c>
      <c r="AA352" s="26">
        <f>IF(C352="","",C352)</f>
        <v/>
      </c>
      <c r="AB352" s="22" t="n"/>
      <c r="AC352" s="24" t="n"/>
      <c r="AD352" s="27">
        <f>IF(C352="","",L352+N(AC352))</f>
        <v/>
      </c>
      <c r="AE352" s="29">
        <f>IFERROR(AC352/AD352,"")</f>
        <v/>
      </c>
      <c r="AF352" s="24" t="n"/>
      <c r="AG352" s="24" t="n"/>
      <c r="AH352" s="24" t="n"/>
      <c r="AI352" s="24" t="n"/>
      <c r="AJ352" s="27">
        <f>IF(C352="","",SUMIFS(tbl_Finance[Ex GST],tbl_Finance[Job Number],C352&amp;"",tbl_Finance[Cost Centre],"VIDEO"))</f>
        <v/>
      </c>
      <c r="AK352" s="29">
        <f>IFERROR(AJ352/L352,"")</f>
        <v/>
      </c>
      <c r="AL352" s="27">
        <f>IF(C352="","",N(AF352)+N(AG352)+N(AH352)+N(AI352))</f>
        <v/>
      </c>
      <c r="AM352" s="27" t="n"/>
      <c r="AN352" s="29" t="n"/>
      <c r="AO352" s="71" t="n"/>
      <c r="AP352" s="71" t="n"/>
      <c r="AQ352" s="71" t="n"/>
      <c r="AR352" s="71" t="n"/>
      <c r="AS352" s="71" t="n"/>
      <c r="AT352" s="22" t="n"/>
    </row>
    <row r="353" ht="15" customHeight="1">
      <c r="A353" s="70">
        <f>IF(C353="","",IFERROR(IF(SUMPRODUCT(MAX((tbl_Finance[Job Number]&amp;""=C353&amp;"")*(tbl_Finance[Xero Invoice No]&lt;&gt;"")*tbl_Finance[Date]))=0,"",SUMPRODUCT(MAX((tbl_Finance[Job Number]&amp;""=C353&amp;"")*(tbl_Finance[Xero Invoice No]&lt;&gt;"")*tbl_Finance[Date]))),""))</f>
        <v/>
      </c>
      <c r="B353" s="26">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2" t="n"/>
      <c r="D353" s="26">
        <f>IF(C353="","",IF(COUNTIF(lst_Jobs,C353&amp;"")&gt;0,"OK","CHECK"))</f>
        <v/>
      </c>
      <c r="E353" s="26">
        <f>IF(C353="","",IFERROR(INDEX(lst_JobName,MATCH(C353&amp;"",lst_Jobs,0)),""))</f>
        <v/>
      </c>
      <c r="F353" s="22" t="n"/>
      <c r="G353" s="22" t="n"/>
      <c r="H353" s="22" t="n"/>
      <c r="I353" s="22" t="n"/>
      <c r="J353" s="22" t="n"/>
      <c r="K353" s="28">
        <f>IF(C353="","",COUNTIFS(tbl_Finance[Job Number],C353&amp;"",tbl_Finance[Ex GST],"&lt;&gt;"))</f>
        <v/>
      </c>
      <c r="L353" s="27">
        <f>IF(C353="","",SUMIFS(tbl_Finance[Ex GST],tbl_Finance[Job Number],C353&amp;""))</f>
        <v/>
      </c>
      <c r="M353" s="27">
        <f>IF(C353="","",SUMIFS(tbl_Finance[Ex GST],tbl_Finance[Job Number],C353&amp;"",tbl_Finance[Xero Invoice No],"&lt;&gt;"))</f>
        <v/>
      </c>
      <c r="N353" s="27">
        <f>IF(C353="","",L353-M353)</f>
        <v/>
      </c>
      <c r="O353" s="24" t="n"/>
      <c r="P353" s="27">
        <f>IF(C353="","",IF(O353="",0,MAX(0,O353-L353)))</f>
        <v/>
      </c>
      <c r="Q353" s="26">
        <f>IF(C353="","",IF(K353=0,"not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R353" s="27">
        <f>IF(C353="","",SUMIFS(tbl_Finance[Inc GST],tbl_Finance[Job Number],C353&amp;""))</f>
        <v/>
      </c>
      <c r="S353" s="22" t="n"/>
      <c r="T353" s="22" t="n"/>
      <c r="U353" s="22" t="n"/>
      <c r="V353" s="23" t="n"/>
      <c r="W353" s="22" t="n"/>
      <c r="X353" s="26">
        <f>IF(W353="","",IF(AND(LEFT(W353,4)&lt;&gt;"http",set_RMSBase=""),"",HYPERLINK(IF(LEFT(W353,4)="http",W353,set_RMSBase&amp;W353),"Open opportunity")))</f>
        <v/>
      </c>
      <c r="Y353" s="22" t="n"/>
      <c r="Z353" s="26">
        <f>IF(Y353="","",HYPERLINK(IF(LEFT(Y353,4)="http",Y353,set_QwilrBase&amp;Y353),"Open quote"))</f>
        <v/>
      </c>
      <c r="AA353" s="26">
        <f>IF(C353="","",C353)</f>
        <v/>
      </c>
      <c r="AB353" s="22" t="n"/>
      <c r="AC353" s="24" t="n"/>
      <c r="AD353" s="27">
        <f>IF(C353="","",L353+N(AC353))</f>
        <v/>
      </c>
      <c r="AE353" s="29">
        <f>IFERROR(AC353/AD353,"")</f>
        <v/>
      </c>
      <c r="AF353" s="24" t="n"/>
      <c r="AG353" s="24" t="n"/>
      <c r="AH353" s="24" t="n"/>
      <c r="AI353" s="24" t="n"/>
      <c r="AJ353" s="27">
        <f>IF(C353="","",SUMIFS(tbl_Finance[Ex GST],tbl_Finance[Job Number],C353&amp;"",tbl_Finance[Cost Centre],"VIDEO"))</f>
        <v/>
      </c>
      <c r="AK353" s="29">
        <f>IFERROR(AJ353/L353,"")</f>
        <v/>
      </c>
      <c r="AL353" s="27">
        <f>IF(C353="","",N(AF353)+N(AG353)+N(AH353)+N(AI353))</f>
        <v/>
      </c>
      <c r="AM353" s="27" t="n"/>
      <c r="AN353" s="29" t="n"/>
      <c r="AO353" s="71" t="n"/>
      <c r="AP353" s="71" t="n"/>
      <c r="AQ353" s="71" t="n"/>
      <c r="AR353" s="71" t="n"/>
      <c r="AS353" s="71" t="n"/>
      <c r="AT353" s="22" t="n"/>
    </row>
    <row r="354" ht="15" customHeight="1">
      <c r="A354" s="70">
        <f>IF(C354="","",IFERROR(IF(SUMPRODUCT(MAX((tbl_Finance[Job Number]&amp;""=C354&amp;"")*(tbl_Finance[Xero Invoice No]&lt;&gt;"")*tbl_Finance[Date]))=0,"",SUMPRODUCT(MAX((tbl_Finance[Job Number]&amp;""=C354&amp;"")*(tbl_Finance[Xero Invoice No]&lt;&gt;"")*tbl_Finance[Date]))),""))</f>
        <v/>
      </c>
      <c r="B354" s="26">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2" t="n"/>
      <c r="D354" s="26">
        <f>IF(C354="","",IF(COUNTIF(lst_Jobs,C354&amp;"")&gt;0,"OK","CHECK"))</f>
        <v/>
      </c>
      <c r="E354" s="26">
        <f>IF(C354="","",IFERROR(INDEX(lst_JobName,MATCH(C354&amp;"",lst_Jobs,0)),""))</f>
        <v/>
      </c>
      <c r="F354" s="22" t="n"/>
      <c r="G354" s="22" t="n"/>
      <c r="H354" s="22" t="n"/>
      <c r="I354" s="22" t="n"/>
      <c r="J354" s="22" t="n"/>
      <c r="K354" s="28">
        <f>IF(C354="","",COUNTIFS(tbl_Finance[Job Number],C354&amp;"",tbl_Finance[Ex GST],"&lt;&gt;"))</f>
        <v/>
      </c>
      <c r="L354" s="27">
        <f>IF(C354="","",SUMIFS(tbl_Finance[Ex GST],tbl_Finance[Job Number],C354&amp;""))</f>
        <v/>
      </c>
      <c r="M354" s="27">
        <f>IF(C354="","",SUMIFS(tbl_Finance[Ex GST],tbl_Finance[Job Number],C354&amp;"",tbl_Finance[Xero Invoice No],"&lt;&gt;"))</f>
        <v/>
      </c>
      <c r="N354" s="27">
        <f>IF(C354="","",L354-M354)</f>
        <v/>
      </c>
      <c r="O354" s="24" t="n"/>
      <c r="P354" s="27">
        <f>IF(C354="","",IF(O354="",0,MAX(0,O354-L354)))</f>
        <v/>
      </c>
      <c r="Q354" s="26">
        <f>IF(C354="","",IF(K354=0,"not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R354" s="27">
        <f>IF(C354="","",SUMIFS(tbl_Finance[Inc GST],tbl_Finance[Job Number],C354&amp;""))</f>
        <v/>
      </c>
      <c r="S354" s="22" t="n"/>
      <c r="T354" s="22" t="n"/>
      <c r="U354" s="22" t="n"/>
      <c r="V354" s="23" t="n"/>
      <c r="W354" s="22" t="n"/>
      <c r="X354" s="26">
        <f>IF(W354="","",IF(AND(LEFT(W354,4)&lt;&gt;"http",set_RMSBase=""),"",HYPERLINK(IF(LEFT(W354,4)="http",W354,set_RMSBase&amp;W354),"Open opportunity")))</f>
        <v/>
      </c>
      <c r="Y354" s="22" t="n"/>
      <c r="Z354" s="26">
        <f>IF(Y354="","",HYPERLINK(IF(LEFT(Y354,4)="http",Y354,set_QwilrBase&amp;Y354),"Open quote"))</f>
        <v/>
      </c>
      <c r="AA354" s="26">
        <f>IF(C354="","",C354)</f>
        <v/>
      </c>
      <c r="AB354" s="22" t="n"/>
      <c r="AC354" s="24" t="n"/>
      <c r="AD354" s="27">
        <f>IF(C354="","",L354+N(AC354))</f>
        <v/>
      </c>
      <c r="AE354" s="29">
        <f>IFERROR(AC354/AD354,"")</f>
        <v/>
      </c>
      <c r="AF354" s="24" t="n"/>
      <c r="AG354" s="24" t="n"/>
      <c r="AH354" s="24" t="n"/>
      <c r="AI354" s="24" t="n"/>
      <c r="AJ354" s="27">
        <f>IF(C354="","",SUMIFS(tbl_Finance[Ex GST],tbl_Finance[Job Number],C354&amp;"",tbl_Finance[Cost Centre],"VIDEO"))</f>
        <v/>
      </c>
      <c r="AK354" s="29">
        <f>IFERROR(AJ354/L354,"")</f>
        <v/>
      </c>
      <c r="AL354" s="27">
        <f>IF(C354="","",N(AF354)+N(AG354)+N(AH354)+N(AI354))</f>
        <v/>
      </c>
      <c r="AM354" s="27" t="n"/>
      <c r="AN354" s="29" t="n"/>
      <c r="AO354" s="71" t="n"/>
      <c r="AP354" s="71" t="n"/>
      <c r="AQ354" s="71" t="n"/>
      <c r="AR354" s="71" t="n"/>
      <c r="AS354" s="71" t="n"/>
      <c r="AT354" s="22" t="n"/>
    </row>
    <row r="355" ht="15" customHeight="1">
      <c r="A355" s="70">
        <f>IF(C355="","",IFERROR(IF(SUMPRODUCT(MAX((tbl_Finance[Job Number]&amp;""=C355&amp;"")*(tbl_Finance[Xero Invoice No]&lt;&gt;"")*tbl_Finance[Date]))=0,"",SUMPRODUCT(MAX((tbl_Finance[Job Number]&amp;""=C355&amp;"")*(tbl_Finance[Xero Invoice No]&lt;&gt;"")*tbl_Finance[Date]))),""))</f>
        <v/>
      </c>
      <c r="B355" s="26">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2" t="n"/>
      <c r="D355" s="26">
        <f>IF(C355="","",IF(COUNTIF(lst_Jobs,C355&amp;"")&gt;0,"OK","CHECK"))</f>
        <v/>
      </c>
      <c r="E355" s="26">
        <f>IF(C355="","",IFERROR(INDEX(lst_JobName,MATCH(C355&amp;"",lst_Jobs,0)),""))</f>
        <v/>
      </c>
      <c r="F355" s="22" t="n"/>
      <c r="G355" s="22" t="n"/>
      <c r="H355" s="22" t="n"/>
      <c r="I355" s="22" t="n"/>
      <c r="J355" s="22" t="n"/>
      <c r="K355" s="28">
        <f>IF(C355="","",COUNTIFS(tbl_Finance[Job Number],C355&amp;"",tbl_Finance[Ex GST],"&lt;&gt;"))</f>
        <v/>
      </c>
      <c r="L355" s="27">
        <f>IF(C355="","",SUMIFS(tbl_Finance[Ex GST],tbl_Finance[Job Number],C355&amp;""))</f>
        <v/>
      </c>
      <c r="M355" s="27">
        <f>IF(C355="","",SUMIFS(tbl_Finance[Ex GST],tbl_Finance[Job Number],C355&amp;"",tbl_Finance[Xero Invoice No],"&lt;&gt;"))</f>
        <v/>
      </c>
      <c r="N355" s="27">
        <f>IF(C355="","",L355-M355)</f>
        <v/>
      </c>
      <c r="O355" s="24" t="n"/>
      <c r="P355" s="27">
        <f>IF(C355="","",IF(O355="",0,MAX(0,O355-L355)))</f>
        <v/>
      </c>
      <c r="Q355" s="26">
        <f>IF(C355="","",IF(K355=0,"not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R355" s="27">
        <f>IF(C355="","",SUMIFS(tbl_Finance[Inc GST],tbl_Finance[Job Number],C355&amp;""))</f>
        <v/>
      </c>
      <c r="S355" s="22" t="n"/>
      <c r="T355" s="22" t="n"/>
      <c r="U355" s="22" t="n"/>
      <c r="V355" s="23" t="n"/>
      <c r="W355" s="22" t="n"/>
      <c r="X355" s="26">
        <f>IF(W355="","",IF(AND(LEFT(W355,4)&lt;&gt;"http",set_RMSBase=""),"",HYPERLINK(IF(LEFT(W355,4)="http",W355,set_RMSBase&amp;W355),"Open opportunity")))</f>
        <v/>
      </c>
      <c r="Y355" s="22" t="n"/>
      <c r="Z355" s="26">
        <f>IF(Y355="","",HYPERLINK(IF(LEFT(Y355,4)="http",Y355,set_QwilrBase&amp;Y355),"Open quote"))</f>
        <v/>
      </c>
      <c r="AA355" s="26">
        <f>IF(C355="","",C355)</f>
        <v/>
      </c>
      <c r="AB355" s="22" t="n"/>
      <c r="AC355" s="24" t="n"/>
      <c r="AD355" s="27">
        <f>IF(C355="","",L355+N(AC355))</f>
        <v/>
      </c>
      <c r="AE355" s="29">
        <f>IFERROR(AC355/AD355,"")</f>
        <v/>
      </c>
      <c r="AF355" s="24" t="n"/>
      <c r="AG355" s="24" t="n"/>
      <c r="AH355" s="24" t="n"/>
      <c r="AI355" s="24" t="n"/>
      <c r="AJ355" s="27">
        <f>IF(C355="","",SUMIFS(tbl_Finance[Ex GST],tbl_Finance[Job Number],C355&amp;"",tbl_Finance[Cost Centre],"VIDEO"))</f>
        <v/>
      </c>
      <c r="AK355" s="29">
        <f>IFERROR(AJ355/L355,"")</f>
        <v/>
      </c>
      <c r="AL355" s="27">
        <f>IF(C355="","",N(AF355)+N(AG355)+N(AH355)+N(AI355))</f>
        <v/>
      </c>
      <c r="AM355" s="27" t="n"/>
      <c r="AN355" s="29" t="n"/>
      <c r="AO355" s="71" t="n"/>
      <c r="AP355" s="71" t="n"/>
      <c r="AQ355" s="71" t="n"/>
      <c r="AR355" s="71" t="n"/>
      <c r="AS355" s="71" t="n"/>
      <c r="AT355" s="22" t="n"/>
    </row>
    <row r="356" ht="15" customHeight="1">
      <c r="A356" s="70">
        <f>IF(C356="","",IFERROR(IF(SUMPRODUCT(MAX((tbl_Finance[Job Number]&amp;""=C356&amp;"")*(tbl_Finance[Xero Invoice No]&lt;&gt;"")*tbl_Finance[Date]))=0,"",SUMPRODUCT(MAX((tbl_Finance[Job Number]&amp;""=C356&amp;"")*(tbl_Finance[Xero Invoice No]&lt;&gt;"")*tbl_Finance[Date]))),""))</f>
        <v/>
      </c>
      <c r="B356" s="26">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2" t="n"/>
      <c r="D356" s="26">
        <f>IF(C356="","",IF(COUNTIF(lst_Jobs,C356&amp;"")&gt;0,"OK","CHECK"))</f>
        <v/>
      </c>
      <c r="E356" s="26">
        <f>IF(C356="","",IFERROR(INDEX(lst_JobName,MATCH(C356&amp;"",lst_Jobs,0)),""))</f>
        <v/>
      </c>
      <c r="F356" s="22" t="n"/>
      <c r="G356" s="22" t="n"/>
      <c r="H356" s="22" t="n"/>
      <c r="I356" s="22" t="n"/>
      <c r="J356" s="22" t="n"/>
      <c r="K356" s="28">
        <f>IF(C356="","",COUNTIFS(tbl_Finance[Job Number],C356&amp;"",tbl_Finance[Ex GST],"&lt;&gt;"))</f>
        <v/>
      </c>
      <c r="L356" s="27">
        <f>IF(C356="","",SUMIFS(tbl_Finance[Ex GST],tbl_Finance[Job Number],C356&amp;""))</f>
        <v/>
      </c>
      <c r="M356" s="27">
        <f>IF(C356="","",SUMIFS(tbl_Finance[Ex GST],tbl_Finance[Job Number],C356&amp;"",tbl_Finance[Xero Invoice No],"&lt;&gt;"))</f>
        <v/>
      </c>
      <c r="N356" s="27">
        <f>IF(C356="","",L356-M356)</f>
        <v/>
      </c>
      <c r="O356" s="24" t="n"/>
      <c r="P356" s="27">
        <f>IF(C356="","",IF(O356="",0,MAX(0,O356-L356)))</f>
        <v/>
      </c>
      <c r="Q356" s="26">
        <f>IF(C356="","",IF(K356=0,"not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R356" s="27">
        <f>IF(C356="","",SUMIFS(tbl_Finance[Inc GST],tbl_Finance[Job Number],C356&amp;""))</f>
        <v/>
      </c>
      <c r="S356" s="22" t="n"/>
      <c r="T356" s="22" t="n"/>
      <c r="U356" s="22" t="n"/>
      <c r="V356" s="23" t="n"/>
      <c r="W356" s="22" t="n"/>
      <c r="X356" s="26">
        <f>IF(W356="","",IF(AND(LEFT(W356,4)&lt;&gt;"http",set_RMSBase=""),"",HYPERLINK(IF(LEFT(W356,4)="http",W356,set_RMSBase&amp;W356),"Open opportunity")))</f>
        <v/>
      </c>
      <c r="Y356" s="22" t="n"/>
      <c r="Z356" s="26">
        <f>IF(Y356="","",HYPERLINK(IF(LEFT(Y356,4)="http",Y356,set_QwilrBase&amp;Y356),"Open quote"))</f>
        <v/>
      </c>
      <c r="AA356" s="26">
        <f>IF(C356="","",C356)</f>
        <v/>
      </c>
      <c r="AB356" s="22" t="n"/>
      <c r="AC356" s="24" t="n"/>
      <c r="AD356" s="27">
        <f>IF(C356="","",L356+N(AC356))</f>
        <v/>
      </c>
      <c r="AE356" s="29">
        <f>IFERROR(AC356/AD356,"")</f>
        <v/>
      </c>
      <c r="AF356" s="24" t="n"/>
      <c r="AG356" s="24" t="n"/>
      <c r="AH356" s="24" t="n"/>
      <c r="AI356" s="24" t="n"/>
      <c r="AJ356" s="27">
        <f>IF(C356="","",SUMIFS(tbl_Finance[Ex GST],tbl_Finance[Job Number],C356&amp;"",tbl_Finance[Cost Centre],"VIDEO"))</f>
        <v/>
      </c>
      <c r="AK356" s="29">
        <f>IFERROR(AJ356/L356,"")</f>
        <v/>
      </c>
      <c r="AL356" s="27">
        <f>IF(C356="","",N(AF356)+N(AG356)+N(AH356)+N(AI356))</f>
        <v/>
      </c>
      <c r="AM356" s="27" t="n"/>
      <c r="AN356" s="29" t="n"/>
      <c r="AO356" s="71" t="n"/>
      <c r="AP356" s="71" t="n"/>
      <c r="AQ356" s="71" t="n"/>
      <c r="AR356" s="71" t="n"/>
      <c r="AS356" s="71" t="n"/>
      <c r="AT356" s="22" t="n"/>
    </row>
    <row r="357" ht="15" customHeight="1">
      <c r="A357" s="70">
        <f>IF(C357="","",IFERROR(IF(SUMPRODUCT(MAX((tbl_Finance[Job Number]&amp;""=C357&amp;"")*(tbl_Finance[Xero Invoice No]&lt;&gt;"")*tbl_Finance[Date]))=0,"",SUMPRODUCT(MAX((tbl_Finance[Job Number]&amp;""=C357&amp;"")*(tbl_Finance[Xero Invoice No]&lt;&gt;"")*tbl_Finance[Date]))),""))</f>
        <v/>
      </c>
      <c r="B357" s="26">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2" t="n"/>
      <c r="D357" s="26">
        <f>IF(C357="","",IF(COUNTIF(lst_Jobs,C357&amp;"")&gt;0,"OK","CHECK"))</f>
        <v/>
      </c>
      <c r="E357" s="26">
        <f>IF(C357="","",IFERROR(INDEX(lst_JobName,MATCH(C357&amp;"",lst_Jobs,0)),""))</f>
        <v/>
      </c>
      <c r="F357" s="22" t="n"/>
      <c r="G357" s="22" t="n"/>
      <c r="H357" s="22" t="n"/>
      <c r="I357" s="22" t="n"/>
      <c r="J357" s="22" t="n"/>
      <c r="K357" s="28">
        <f>IF(C357="","",COUNTIFS(tbl_Finance[Job Number],C357&amp;"",tbl_Finance[Ex GST],"&lt;&gt;"))</f>
        <v/>
      </c>
      <c r="L357" s="27">
        <f>IF(C357="","",SUMIFS(tbl_Finance[Ex GST],tbl_Finance[Job Number],C357&amp;""))</f>
        <v/>
      </c>
      <c r="M357" s="27">
        <f>IF(C357="","",SUMIFS(tbl_Finance[Ex GST],tbl_Finance[Job Number],C357&amp;"",tbl_Finance[Xero Invoice No],"&lt;&gt;"))</f>
        <v/>
      </c>
      <c r="N357" s="27">
        <f>IF(C357="","",L357-M357)</f>
        <v/>
      </c>
      <c r="O357" s="24" t="n"/>
      <c r="P357" s="27">
        <f>IF(C357="","",IF(O357="",0,MAX(0,O357-L357)))</f>
        <v/>
      </c>
      <c r="Q357" s="26">
        <f>IF(C357="","",IF(K357=0,"not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R357" s="27">
        <f>IF(C357="","",SUMIFS(tbl_Finance[Inc GST],tbl_Finance[Job Number],C357&amp;""))</f>
        <v/>
      </c>
      <c r="S357" s="22" t="n"/>
      <c r="T357" s="22" t="n"/>
      <c r="U357" s="22" t="n"/>
      <c r="V357" s="23" t="n"/>
      <c r="W357" s="22" t="n"/>
      <c r="X357" s="26">
        <f>IF(W357="","",IF(AND(LEFT(W357,4)&lt;&gt;"http",set_RMSBase=""),"",HYPERLINK(IF(LEFT(W357,4)="http",W357,set_RMSBase&amp;W357),"Open opportunity")))</f>
        <v/>
      </c>
      <c r="Y357" s="22" t="n"/>
      <c r="Z357" s="26">
        <f>IF(Y357="","",HYPERLINK(IF(LEFT(Y357,4)="http",Y357,set_QwilrBase&amp;Y357),"Open quote"))</f>
        <v/>
      </c>
      <c r="AA357" s="26">
        <f>IF(C357="","",C357)</f>
        <v/>
      </c>
      <c r="AB357" s="22" t="n"/>
      <c r="AC357" s="24" t="n"/>
      <c r="AD357" s="27">
        <f>IF(C357="","",L357+N(AC357))</f>
        <v/>
      </c>
      <c r="AE357" s="29">
        <f>IFERROR(AC357/AD357,"")</f>
        <v/>
      </c>
      <c r="AF357" s="24" t="n"/>
      <c r="AG357" s="24" t="n"/>
      <c r="AH357" s="24" t="n"/>
      <c r="AI357" s="24" t="n"/>
      <c r="AJ357" s="27">
        <f>IF(C357="","",SUMIFS(tbl_Finance[Ex GST],tbl_Finance[Job Number],C357&amp;"",tbl_Finance[Cost Centre],"VIDEO"))</f>
        <v/>
      </c>
      <c r="AK357" s="29">
        <f>IFERROR(AJ357/L357,"")</f>
        <v/>
      </c>
      <c r="AL357" s="27">
        <f>IF(C357="","",N(AF357)+N(AG357)+N(AH357)+N(AI357))</f>
        <v/>
      </c>
      <c r="AM357" s="27" t="n"/>
      <c r="AN357" s="29" t="n"/>
      <c r="AO357" s="71" t="n"/>
      <c r="AP357" s="71" t="n"/>
      <c r="AQ357" s="71" t="n"/>
      <c r="AR357" s="71" t="n"/>
      <c r="AS357" s="71" t="n"/>
      <c r="AT357" s="22" t="n"/>
    </row>
    <row r="358" ht="15" customHeight="1">
      <c r="A358" s="70">
        <f>IF(C358="","",IFERROR(IF(SUMPRODUCT(MAX((tbl_Finance[Job Number]&amp;""=C358&amp;"")*(tbl_Finance[Xero Invoice No]&lt;&gt;"")*tbl_Finance[Date]))=0,"",SUMPRODUCT(MAX((tbl_Finance[Job Number]&amp;""=C358&amp;"")*(tbl_Finance[Xero Invoice No]&lt;&gt;"")*tbl_Finance[Date]))),""))</f>
        <v/>
      </c>
      <c r="B358" s="26">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2" t="n"/>
      <c r="D358" s="26">
        <f>IF(C358="","",IF(COUNTIF(lst_Jobs,C358&amp;"")&gt;0,"OK","CHECK"))</f>
        <v/>
      </c>
      <c r="E358" s="26">
        <f>IF(C358="","",IFERROR(INDEX(lst_JobName,MATCH(C358&amp;"",lst_Jobs,0)),""))</f>
        <v/>
      </c>
      <c r="F358" s="22" t="n"/>
      <c r="G358" s="22" t="n"/>
      <c r="H358" s="22" t="n"/>
      <c r="I358" s="22" t="n"/>
      <c r="J358" s="22" t="n"/>
      <c r="K358" s="28">
        <f>IF(C358="","",COUNTIFS(tbl_Finance[Job Number],C358&amp;"",tbl_Finance[Ex GST],"&lt;&gt;"))</f>
        <v/>
      </c>
      <c r="L358" s="27">
        <f>IF(C358="","",SUMIFS(tbl_Finance[Ex GST],tbl_Finance[Job Number],C358&amp;""))</f>
        <v/>
      </c>
      <c r="M358" s="27">
        <f>IF(C358="","",SUMIFS(tbl_Finance[Ex GST],tbl_Finance[Job Number],C358&amp;"",tbl_Finance[Xero Invoice No],"&lt;&gt;"))</f>
        <v/>
      </c>
      <c r="N358" s="27">
        <f>IF(C358="","",L358-M358)</f>
        <v/>
      </c>
      <c r="O358" s="24" t="n"/>
      <c r="P358" s="27">
        <f>IF(C358="","",IF(O358="",0,MAX(0,O358-L358)))</f>
        <v/>
      </c>
      <c r="Q358" s="26">
        <f>IF(C358="","",IF(K358=0,"not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R358" s="27">
        <f>IF(C358="","",SUMIFS(tbl_Finance[Inc GST],tbl_Finance[Job Number],C358&amp;""))</f>
        <v/>
      </c>
      <c r="S358" s="22" t="n"/>
      <c r="T358" s="22" t="n"/>
      <c r="U358" s="22" t="n"/>
      <c r="V358" s="23" t="n"/>
      <c r="W358" s="22" t="n"/>
      <c r="X358" s="26">
        <f>IF(W358="","",IF(AND(LEFT(W358,4)&lt;&gt;"http",set_RMSBase=""),"",HYPERLINK(IF(LEFT(W358,4)="http",W358,set_RMSBase&amp;W358),"Open opportunity")))</f>
        <v/>
      </c>
      <c r="Y358" s="22" t="n"/>
      <c r="Z358" s="26">
        <f>IF(Y358="","",HYPERLINK(IF(LEFT(Y358,4)="http",Y358,set_QwilrBase&amp;Y358),"Open quote"))</f>
        <v/>
      </c>
      <c r="AA358" s="26">
        <f>IF(C358="","",C358)</f>
        <v/>
      </c>
      <c r="AB358" s="22" t="n"/>
      <c r="AC358" s="24" t="n"/>
      <c r="AD358" s="27">
        <f>IF(C358="","",L358+N(AC358))</f>
        <v/>
      </c>
      <c r="AE358" s="29">
        <f>IFERROR(AC358/AD358,"")</f>
        <v/>
      </c>
      <c r="AF358" s="24" t="n"/>
      <c r="AG358" s="24" t="n"/>
      <c r="AH358" s="24" t="n"/>
      <c r="AI358" s="24" t="n"/>
      <c r="AJ358" s="27">
        <f>IF(C358="","",SUMIFS(tbl_Finance[Ex GST],tbl_Finance[Job Number],C358&amp;"",tbl_Finance[Cost Centre],"VIDEO"))</f>
        <v/>
      </c>
      <c r="AK358" s="29">
        <f>IFERROR(AJ358/L358,"")</f>
        <v/>
      </c>
      <c r="AL358" s="27">
        <f>IF(C358="","",N(AF358)+N(AG358)+N(AH358)+N(AI358))</f>
        <v/>
      </c>
      <c r="AM358" s="27" t="n"/>
      <c r="AN358" s="29" t="n"/>
      <c r="AO358" s="71" t="n"/>
      <c r="AP358" s="71" t="n"/>
      <c r="AQ358" s="71" t="n"/>
      <c r="AR358" s="71" t="n"/>
      <c r="AS358" s="71" t="n"/>
      <c r="AT358" s="22" t="n"/>
    </row>
    <row r="359" ht="15" customHeight="1">
      <c r="A359" s="70">
        <f>IF(C359="","",IFERROR(IF(SUMPRODUCT(MAX((tbl_Finance[Job Number]&amp;""=C359&amp;"")*(tbl_Finance[Xero Invoice No]&lt;&gt;"")*tbl_Finance[Date]))=0,"",SUMPRODUCT(MAX((tbl_Finance[Job Number]&amp;""=C359&amp;"")*(tbl_Finance[Xero Invoice No]&lt;&gt;"")*tbl_Finance[Date]))),""))</f>
        <v/>
      </c>
      <c r="B359" s="26">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2" t="n"/>
      <c r="D359" s="26">
        <f>IF(C359="","",IF(COUNTIF(lst_Jobs,C359&amp;"")&gt;0,"OK","CHECK"))</f>
        <v/>
      </c>
      <c r="E359" s="26">
        <f>IF(C359="","",IFERROR(INDEX(lst_JobName,MATCH(C359&amp;"",lst_Jobs,0)),""))</f>
        <v/>
      </c>
      <c r="F359" s="22" t="n"/>
      <c r="G359" s="22" t="n"/>
      <c r="H359" s="22" t="n"/>
      <c r="I359" s="22" t="n"/>
      <c r="J359" s="22" t="n"/>
      <c r="K359" s="28">
        <f>IF(C359="","",COUNTIFS(tbl_Finance[Job Number],C359&amp;"",tbl_Finance[Ex GST],"&lt;&gt;"))</f>
        <v/>
      </c>
      <c r="L359" s="27">
        <f>IF(C359="","",SUMIFS(tbl_Finance[Ex GST],tbl_Finance[Job Number],C359&amp;""))</f>
        <v/>
      </c>
      <c r="M359" s="27">
        <f>IF(C359="","",SUMIFS(tbl_Finance[Ex GST],tbl_Finance[Job Number],C359&amp;"",tbl_Finance[Xero Invoice No],"&lt;&gt;"))</f>
        <v/>
      </c>
      <c r="N359" s="27">
        <f>IF(C359="","",L359-M359)</f>
        <v/>
      </c>
      <c r="O359" s="24" t="n"/>
      <c r="P359" s="27">
        <f>IF(C359="","",IF(O359="",0,MAX(0,O359-L359)))</f>
        <v/>
      </c>
      <c r="Q359" s="26">
        <f>IF(C359="","",IF(K359=0,"not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R359" s="27">
        <f>IF(C359="","",SUMIFS(tbl_Finance[Inc GST],tbl_Finance[Job Number],C359&amp;""))</f>
        <v/>
      </c>
      <c r="S359" s="22" t="n"/>
      <c r="T359" s="22" t="n"/>
      <c r="U359" s="22" t="n"/>
      <c r="V359" s="23" t="n"/>
      <c r="W359" s="22" t="n"/>
      <c r="X359" s="26">
        <f>IF(W359="","",IF(AND(LEFT(W359,4)&lt;&gt;"http",set_RMSBase=""),"",HYPERLINK(IF(LEFT(W359,4)="http",W359,set_RMSBase&amp;W359),"Open opportunity")))</f>
        <v/>
      </c>
      <c r="Y359" s="22" t="n"/>
      <c r="Z359" s="26">
        <f>IF(Y359="","",HYPERLINK(IF(LEFT(Y359,4)="http",Y359,set_QwilrBase&amp;Y359),"Open quote"))</f>
        <v/>
      </c>
      <c r="AA359" s="26">
        <f>IF(C359="","",C359)</f>
        <v/>
      </c>
      <c r="AB359" s="22" t="n"/>
      <c r="AC359" s="24" t="n"/>
      <c r="AD359" s="27">
        <f>IF(C359="","",L359+N(AC359))</f>
        <v/>
      </c>
      <c r="AE359" s="29">
        <f>IFERROR(AC359/AD359,"")</f>
        <v/>
      </c>
      <c r="AF359" s="24" t="n"/>
      <c r="AG359" s="24" t="n"/>
      <c r="AH359" s="24" t="n"/>
      <c r="AI359" s="24" t="n"/>
      <c r="AJ359" s="27">
        <f>IF(C359="","",SUMIFS(tbl_Finance[Ex GST],tbl_Finance[Job Number],C359&amp;"",tbl_Finance[Cost Centre],"VIDEO"))</f>
        <v/>
      </c>
      <c r="AK359" s="29">
        <f>IFERROR(AJ359/L359,"")</f>
        <v/>
      </c>
      <c r="AL359" s="27">
        <f>IF(C359="","",N(AF359)+N(AG359)+N(AH359)+N(AI359))</f>
        <v/>
      </c>
      <c r="AM359" s="27" t="n"/>
      <c r="AN359" s="29" t="n"/>
      <c r="AO359" s="71" t="n"/>
      <c r="AP359" s="71" t="n"/>
      <c r="AQ359" s="71" t="n"/>
      <c r="AR359" s="71" t="n"/>
      <c r="AS359" s="71" t="n"/>
      <c r="AT359" s="22" t="n"/>
    </row>
    <row r="360" ht="15" customHeight="1">
      <c r="A360" s="70">
        <f>IF(C360="","",IFERROR(IF(SUMPRODUCT(MAX((tbl_Finance[Job Number]&amp;""=C360&amp;"")*(tbl_Finance[Xero Invoice No]&lt;&gt;"")*tbl_Finance[Date]))=0,"",SUMPRODUCT(MAX((tbl_Finance[Job Number]&amp;""=C360&amp;"")*(tbl_Finance[Xero Invoice No]&lt;&gt;"")*tbl_Finance[Date]))),""))</f>
        <v/>
      </c>
      <c r="B360" s="26">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2" t="n"/>
      <c r="D360" s="26">
        <f>IF(C360="","",IF(COUNTIF(lst_Jobs,C360&amp;"")&gt;0,"OK","CHECK"))</f>
        <v/>
      </c>
      <c r="E360" s="26">
        <f>IF(C360="","",IFERROR(INDEX(lst_JobName,MATCH(C360&amp;"",lst_Jobs,0)),""))</f>
        <v/>
      </c>
      <c r="F360" s="22" t="n"/>
      <c r="G360" s="22" t="n"/>
      <c r="H360" s="22" t="n"/>
      <c r="I360" s="22" t="n"/>
      <c r="J360" s="22" t="n"/>
      <c r="K360" s="28">
        <f>IF(C360="","",COUNTIFS(tbl_Finance[Job Number],C360&amp;"",tbl_Finance[Ex GST],"&lt;&gt;"))</f>
        <v/>
      </c>
      <c r="L360" s="27">
        <f>IF(C360="","",SUMIFS(tbl_Finance[Ex GST],tbl_Finance[Job Number],C360&amp;""))</f>
        <v/>
      </c>
      <c r="M360" s="27">
        <f>IF(C360="","",SUMIFS(tbl_Finance[Ex GST],tbl_Finance[Job Number],C360&amp;"",tbl_Finance[Xero Invoice No],"&lt;&gt;"))</f>
        <v/>
      </c>
      <c r="N360" s="27">
        <f>IF(C360="","",L360-M360)</f>
        <v/>
      </c>
      <c r="O360" s="24" t="n"/>
      <c r="P360" s="27">
        <f>IF(C360="","",IF(O360="",0,MAX(0,O360-L360)))</f>
        <v/>
      </c>
      <c r="Q360" s="26">
        <f>IF(C360="","",IF(K360=0,"not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R360" s="27">
        <f>IF(C360="","",SUMIFS(tbl_Finance[Inc GST],tbl_Finance[Job Number],C360&amp;""))</f>
        <v/>
      </c>
      <c r="S360" s="22" t="n"/>
      <c r="T360" s="22" t="n"/>
      <c r="U360" s="22" t="n"/>
      <c r="V360" s="23" t="n"/>
      <c r="W360" s="22" t="n"/>
      <c r="X360" s="26">
        <f>IF(W360="","",IF(AND(LEFT(W360,4)&lt;&gt;"http",set_RMSBase=""),"",HYPERLINK(IF(LEFT(W360,4)="http",W360,set_RMSBase&amp;W360),"Open opportunity")))</f>
        <v/>
      </c>
      <c r="Y360" s="22" t="n"/>
      <c r="Z360" s="26">
        <f>IF(Y360="","",HYPERLINK(IF(LEFT(Y360,4)="http",Y360,set_QwilrBase&amp;Y360),"Open quote"))</f>
        <v/>
      </c>
      <c r="AA360" s="26">
        <f>IF(C360="","",C360)</f>
        <v/>
      </c>
      <c r="AB360" s="22" t="n"/>
      <c r="AC360" s="24" t="n"/>
      <c r="AD360" s="27">
        <f>IF(C360="","",L360+N(AC360))</f>
        <v/>
      </c>
      <c r="AE360" s="29">
        <f>IFERROR(AC360/AD360,"")</f>
        <v/>
      </c>
      <c r="AF360" s="24" t="n"/>
      <c r="AG360" s="24" t="n"/>
      <c r="AH360" s="24" t="n"/>
      <c r="AI360" s="24" t="n"/>
      <c r="AJ360" s="27">
        <f>IF(C360="","",SUMIFS(tbl_Finance[Ex GST],tbl_Finance[Job Number],C360&amp;"",tbl_Finance[Cost Centre],"VIDEO"))</f>
        <v/>
      </c>
      <c r="AK360" s="29">
        <f>IFERROR(AJ360/L360,"")</f>
        <v/>
      </c>
      <c r="AL360" s="27">
        <f>IF(C360="","",N(AF360)+N(AG360)+N(AH360)+N(AI360))</f>
        <v/>
      </c>
      <c r="AM360" s="27" t="n"/>
      <c r="AN360" s="29" t="n"/>
      <c r="AO360" s="71" t="n"/>
      <c r="AP360" s="71" t="n"/>
      <c r="AQ360" s="71" t="n"/>
      <c r="AR360" s="71" t="n"/>
      <c r="AS360" s="71" t="n"/>
      <c r="AT360" s="22" t="n"/>
    </row>
    <row r="361" ht="15" customHeight="1">
      <c r="A361" s="70">
        <f>IF(C361="","",IFERROR(IF(SUMPRODUCT(MAX((tbl_Finance[Job Number]&amp;""=C361&amp;"")*(tbl_Finance[Xero Invoice No]&lt;&gt;"")*tbl_Finance[Date]))=0,"",SUMPRODUCT(MAX((tbl_Finance[Job Number]&amp;""=C361&amp;"")*(tbl_Finance[Xero Invoice No]&lt;&gt;"")*tbl_Finance[Date]))),""))</f>
        <v/>
      </c>
      <c r="B361" s="26">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2" t="n"/>
      <c r="D361" s="26">
        <f>IF(C361="","",IF(COUNTIF(lst_Jobs,C361&amp;"")&gt;0,"OK","CHECK"))</f>
        <v/>
      </c>
      <c r="E361" s="26">
        <f>IF(C361="","",IFERROR(INDEX(lst_JobName,MATCH(C361&amp;"",lst_Jobs,0)),""))</f>
        <v/>
      </c>
      <c r="F361" s="22" t="n"/>
      <c r="G361" s="22" t="n"/>
      <c r="H361" s="22" t="n"/>
      <c r="I361" s="22" t="n"/>
      <c r="J361" s="22" t="n"/>
      <c r="K361" s="28">
        <f>IF(C361="","",COUNTIFS(tbl_Finance[Job Number],C361&amp;"",tbl_Finance[Ex GST],"&lt;&gt;"))</f>
        <v/>
      </c>
      <c r="L361" s="27">
        <f>IF(C361="","",SUMIFS(tbl_Finance[Ex GST],tbl_Finance[Job Number],C361&amp;""))</f>
        <v/>
      </c>
      <c r="M361" s="27">
        <f>IF(C361="","",SUMIFS(tbl_Finance[Ex GST],tbl_Finance[Job Number],C361&amp;"",tbl_Finance[Xero Invoice No],"&lt;&gt;"))</f>
        <v/>
      </c>
      <c r="N361" s="27">
        <f>IF(C361="","",L361-M361)</f>
        <v/>
      </c>
      <c r="O361" s="24" t="n"/>
      <c r="P361" s="27">
        <f>IF(C361="","",IF(O361="",0,MAX(0,O361-L361)))</f>
        <v/>
      </c>
      <c r="Q361" s="26">
        <f>IF(C361="","",IF(K361=0,"not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R361" s="27">
        <f>IF(C361="","",SUMIFS(tbl_Finance[Inc GST],tbl_Finance[Job Number],C361&amp;""))</f>
        <v/>
      </c>
      <c r="S361" s="22" t="n"/>
      <c r="T361" s="22" t="n"/>
      <c r="U361" s="22" t="n"/>
      <c r="V361" s="23" t="n"/>
      <c r="W361" s="22" t="n"/>
      <c r="X361" s="26">
        <f>IF(W361="","",IF(AND(LEFT(W361,4)&lt;&gt;"http",set_RMSBase=""),"",HYPERLINK(IF(LEFT(W361,4)="http",W361,set_RMSBase&amp;W361),"Open opportunity")))</f>
        <v/>
      </c>
      <c r="Y361" s="22" t="n"/>
      <c r="Z361" s="26">
        <f>IF(Y361="","",HYPERLINK(IF(LEFT(Y361,4)="http",Y361,set_QwilrBase&amp;Y361),"Open quote"))</f>
        <v/>
      </c>
      <c r="AA361" s="26">
        <f>IF(C361="","",C361)</f>
        <v/>
      </c>
      <c r="AB361" s="22" t="n"/>
      <c r="AC361" s="24" t="n"/>
      <c r="AD361" s="27">
        <f>IF(C361="","",L361+N(AC361))</f>
        <v/>
      </c>
      <c r="AE361" s="29">
        <f>IFERROR(AC361/AD361,"")</f>
        <v/>
      </c>
      <c r="AF361" s="24" t="n"/>
      <c r="AG361" s="24" t="n"/>
      <c r="AH361" s="24" t="n"/>
      <c r="AI361" s="24" t="n"/>
      <c r="AJ361" s="27">
        <f>IF(C361="","",SUMIFS(tbl_Finance[Ex GST],tbl_Finance[Job Number],C361&amp;"",tbl_Finance[Cost Centre],"VIDEO"))</f>
        <v/>
      </c>
      <c r="AK361" s="29">
        <f>IFERROR(AJ361/L361,"")</f>
        <v/>
      </c>
      <c r="AL361" s="27">
        <f>IF(C361="","",N(AF361)+N(AG361)+N(AH361)+N(AI361))</f>
        <v/>
      </c>
      <c r="AM361" s="27" t="n"/>
      <c r="AN361" s="29" t="n"/>
      <c r="AO361" s="71" t="n"/>
      <c r="AP361" s="71" t="n"/>
      <c r="AQ361" s="71" t="n"/>
      <c r="AR361" s="71" t="n"/>
      <c r="AS361" s="71" t="n"/>
      <c r="AT361" s="22" t="n"/>
    </row>
    <row r="362" ht="15" customHeight="1">
      <c r="A362" s="70">
        <f>IF(C362="","",IFERROR(IF(SUMPRODUCT(MAX((tbl_Finance[Job Number]&amp;""=C362&amp;"")*(tbl_Finance[Xero Invoice No]&lt;&gt;"")*tbl_Finance[Date]))=0,"",SUMPRODUCT(MAX((tbl_Finance[Job Number]&amp;""=C362&amp;"")*(tbl_Finance[Xero Invoice No]&lt;&gt;"")*tbl_Finance[Date]))),""))</f>
        <v/>
      </c>
      <c r="B362" s="26">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2" t="n"/>
      <c r="D362" s="26">
        <f>IF(C362="","",IF(COUNTIF(lst_Jobs,C362&amp;"")&gt;0,"OK","CHECK"))</f>
        <v/>
      </c>
      <c r="E362" s="26">
        <f>IF(C362="","",IFERROR(INDEX(lst_JobName,MATCH(C362&amp;"",lst_Jobs,0)),""))</f>
        <v/>
      </c>
      <c r="F362" s="22" t="n"/>
      <c r="G362" s="22" t="n"/>
      <c r="H362" s="22" t="n"/>
      <c r="I362" s="22" t="n"/>
      <c r="J362" s="22" t="n"/>
      <c r="K362" s="28">
        <f>IF(C362="","",COUNTIFS(tbl_Finance[Job Number],C362&amp;"",tbl_Finance[Ex GST],"&lt;&gt;"))</f>
        <v/>
      </c>
      <c r="L362" s="27">
        <f>IF(C362="","",SUMIFS(tbl_Finance[Ex GST],tbl_Finance[Job Number],C362&amp;""))</f>
        <v/>
      </c>
      <c r="M362" s="27">
        <f>IF(C362="","",SUMIFS(tbl_Finance[Ex GST],tbl_Finance[Job Number],C362&amp;"",tbl_Finance[Xero Invoice No],"&lt;&gt;"))</f>
        <v/>
      </c>
      <c r="N362" s="27">
        <f>IF(C362="","",L362-M362)</f>
        <v/>
      </c>
      <c r="O362" s="24" t="n"/>
      <c r="P362" s="27">
        <f>IF(C362="","",IF(O362="",0,MAX(0,O362-L362)))</f>
        <v/>
      </c>
      <c r="Q362" s="26">
        <f>IF(C362="","",IF(K362=0,"not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R362" s="27">
        <f>IF(C362="","",SUMIFS(tbl_Finance[Inc GST],tbl_Finance[Job Number],C362&amp;""))</f>
        <v/>
      </c>
      <c r="S362" s="22" t="n"/>
      <c r="T362" s="22" t="n"/>
      <c r="U362" s="22" t="n"/>
      <c r="V362" s="23" t="n"/>
      <c r="W362" s="22" t="n"/>
      <c r="X362" s="26">
        <f>IF(W362="","",IF(AND(LEFT(W362,4)&lt;&gt;"http",set_RMSBase=""),"",HYPERLINK(IF(LEFT(W362,4)="http",W362,set_RMSBase&amp;W362),"Open opportunity")))</f>
        <v/>
      </c>
      <c r="Y362" s="22" t="n"/>
      <c r="Z362" s="26">
        <f>IF(Y362="","",HYPERLINK(IF(LEFT(Y362,4)="http",Y362,set_QwilrBase&amp;Y362),"Open quote"))</f>
        <v/>
      </c>
      <c r="AA362" s="26">
        <f>IF(C362="","",C362)</f>
        <v/>
      </c>
      <c r="AB362" s="22" t="n"/>
      <c r="AC362" s="24" t="n"/>
      <c r="AD362" s="27">
        <f>IF(C362="","",L362+N(AC362))</f>
        <v/>
      </c>
      <c r="AE362" s="29">
        <f>IFERROR(AC362/AD362,"")</f>
        <v/>
      </c>
      <c r="AF362" s="24" t="n"/>
      <c r="AG362" s="24" t="n"/>
      <c r="AH362" s="24" t="n"/>
      <c r="AI362" s="24" t="n"/>
      <c r="AJ362" s="27">
        <f>IF(C362="","",SUMIFS(tbl_Finance[Ex GST],tbl_Finance[Job Number],C362&amp;"",tbl_Finance[Cost Centre],"VIDEO"))</f>
        <v/>
      </c>
      <c r="AK362" s="29">
        <f>IFERROR(AJ362/L362,"")</f>
        <v/>
      </c>
      <c r="AL362" s="27">
        <f>IF(C362="","",N(AF362)+N(AG362)+N(AH362)+N(AI362))</f>
        <v/>
      </c>
      <c r="AM362" s="27" t="n"/>
      <c r="AN362" s="29" t="n"/>
      <c r="AO362" s="71" t="n"/>
      <c r="AP362" s="71" t="n"/>
      <c r="AQ362" s="71" t="n"/>
      <c r="AR362" s="71" t="n"/>
      <c r="AS362" s="71" t="n"/>
      <c r="AT362" s="22" t="n"/>
    </row>
    <row r="363" ht="15" customHeight="1">
      <c r="A363" s="70">
        <f>IF(C363="","",IFERROR(IF(SUMPRODUCT(MAX((tbl_Finance[Job Number]&amp;""=C363&amp;"")*(tbl_Finance[Xero Invoice No]&lt;&gt;"")*tbl_Finance[Date]))=0,"",SUMPRODUCT(MAX((tbl_Finance[Job Number]&amp;""=C363&amp;"")*(tbl_Finance[Xero Invoice No]&lt;&gt;"")*tbl_Finance[Date]))),""))</f>
        <v/>
      </c>
      <c r="B363" s="26">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2" t="n"/>
      <c r="D363" s="26">
        <f>IF(C363="","",IF(COUNTIF(lst_Jobs,C363&amp;"")&gt;0,"OK","CHECK"))</f>
        <v/>
      </c>
      <c r="E363" s="26">
        <f>IF(C363="","",IFERROR(INDEX(lst_JobName,MATCH(C363&amp;"",lst_Jobs,0)),""))</f>
        <v/>
      </c>
      <c r="F363" s="22" t="n"/>
      <c r="G363" s="22" t="n"/>
      <c r="H363" s="22" t="n"/>
      <c r="I363" s="22" t="n"/>
      <c r="J363" s="22" t="n"/>
      <c r="K363" s="28">
        <f>IF(C363="","",COUNTIFS(tbl_Finance[Job Number],C363&amp;"",tbl_Finance[Ex GST],"&lt;&gt;"))</f>
        <v/>
      </c>
      <c r="L363" s="27">
        <f>IF(C363="","",SUMIFS(tbl_Finance[Ex GST],tbl_Finance[Job Number],C363&amp;""))</f>
        <v/>
      </c>
      <c r="M363" s="27">
        <f>IF(C363="","",SUMIFS(tbl_Finance[Ex GST],tbl_Finance[Job Number],C363&amp;"",tbl_Finance[Xero Invoice No],"&lt;&gt;"))</f>
        <v/>
      </c>
      <c r="N363" s="27">
        <f>IF(C363="","",L363-M363)</f>
        <v/>
      </c>
      <c r="O363" s="24" t="n"/>
      <c r="P363" s="27">
        <f>IF(C363="","",IF(O363="",0,MAX(0,O363-L363)))</f>
        <v/>
      </c>
      <c r="Q363" s="26">
        <f>IF(C363="","",IF(K363=0,"not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R363" s="27">
        <f>IF(C363="","",SUMIFS(tbl_Finance[Inc GST],tbl_Finance[Job Number],C363&amp;""))</f>
        <v/>
      </c>
      <c r="S363" s="22" t="n"/>
      <c r="T363" s="22" t="n"/>
      <c r="U363" s="22" t="n"/>
      <c r="V363" s="23" t="n"/>
      <c r="W363" s="22" t="n"/>
      <c r="X363" s="26">
        <f>IF(W363="","",IF(AND(LEFT(W363,4)&lt;&gt;"http",set_RMSBase=""),"",HYPERLINK(IF(LEFT(W363,4)="http",W363,set_RMSBase&amp;W363),"Open opportunity")))</f>
        <v/>
      </c>
      <c r="Y363" s="22" t="n"/>
      <c r="Z363" s="26">
        <f>IF(Y363="","",HYPERLINK(IF(LEFT(Y363,4)="http",Y363,set_QwilrBase&amp;Y363),"Open quote"))</f>
        <v/>
      </c>
      <c r="AA363" s="26">
        <f>IF(C363="","",C363)</f>
        <v/>
      </c>
      <c r="AB363" s="22" t="n"/>
      <c r="AC363" s="24" t="n"/>
      <c r="AD363" s="27">
        <f>IF(C363="","",L363+N(AC363))</f>
        <v/>
      </c>
      <c r="AE363" s="29">
        <f>IFERROR(AC363/AD363,"")</f>
        <v/>
      </c>
      <c r="AF363" s="24" t="n"/>
      <c r="AG363" s="24" t="n"/>
      <c r="AH363" s="24" t="n"/>
      <c r="AI363" s="24" t="n"/>
      <c r="AJ363" s="27">
        <f>IF(C363="","",SUMIFS(tbl_Finance[Ex GST],tbl_Finance[Job Number],C363&amp;"",tbl_Finance[Cost Centre],"VIDEO"))</f>
        <v/>
      </c>
      <c r="AK363" s="29">
        <f>IFERROR(AJ363/L363,"")</f>
        <v/>
      </c>
      <c r="AL363" s="27">
        <f>IF(C363="","",N(AF363)+N(AG363)+N(AH363)+N(AI363))</f>
        <v/>
      </c>
      <c r="AM363" s="27" t="n"/>
      <c r="AN363" s="29" t="n"/>
      <c r="AO363" s="71" t="n"/>
      <c r="AP363" s="71" t="n"/>
      <c r="AQ363" s="71" t="n"/>
      <c r="AR363" s="71" t="n"/>
      <c r="AS363" s="71" t="n"/>
      <c r="AT363" s="22" t="n"/>
    </row>
    <row r="364" ht="15" customHeight="1">
      <c r="A364" s="70">
        <f>IF(C364="","",IFERROR(IF(SUMPRODUCT(MAX((tbl_Finance[Job Number]&amp;""=C364&amp;"")*(tbl_Finance[Xero Invoice No]&lt;&gt;"")*tbl_Finance[Date]))=0,"",SUMPRODUCT(MAX((tbl_Finance[Job Number]&amp;""=C364&amp;"")*(tbl_Finance[Xero Invoice No]&lt;&gt;"")*tbl_Finance[Date]))),""))</f>
        <v/>
      </c>
      <c r="B364" s="26">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2" t="n"/>
      <c r="D364" s="26">
        <f>IF(C364="","",IF(COUNTIF(lst_Jobs,C364&amp;"")&gt;0,"OK","CHECK"))</f>
        <v/>
      </c>
      <c r="E364" s="26">
        <f>IF(C364="","",IFERROR(INDEX(lst_JobName,MATCH(C364&amp;"",lst_Jobs,0)),""))</f>
        <v/>
      </c>
      <c r="F364" s="22" t="n"/>
      <c r="G364" s="22" t="n"/>
      <c r="H364" s="22" t="n"/>
      <c r="I364" s="22" t="n"/>
      <c r="J364" s="22" t="n"/>
      <c r="K364" s="28">
        <f>IF(C364="","",COUNTIFS(tbl_Finance[Job Number],C364&amp;"",tbl_Finance[Ex GST],"&lt;&gt;"))</f>
        <v/>
      </c>
      <c r="L364" s="27">
        <f>IF(C364="","",SUMIFS(tbl_Finance[Ex GST],tbl_Finance[Job Number],C364&amp;""))</f>
        <v/>
      </c>
      <c r="M364" s="27">
        <f>IF(C364="","",SUMIFS(tbl_Finance[Ex GST],tbl_Finance[Job Number],C364&amp;"",tbl_Finance[Xero Invoice No],"&lt;&gt;"))</f>
        <v/>
      </c>
      <c r="N364" s="27">
        <f>IF(C364="","",L364-M364)</f>
        <v/>
      </c>
      <c r="O364" s="24" t="n"/>
      <c r="P364" s="27">
        <f>IF(C364="","",IF(O364="",0,MAX(0,O364-L364)))</f>
        <v/>
      </c>
      <c r="Q364" s="26">
        <f>IF(C364="","",IF(K364=0,"not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R364" s="27">
        <f>IF(C364="","",SUMIFS(tbl_Finance[Inc GST],tbl_Finance[Job Number],C364&amp;""))</f>
        <v/>
      </c>
      <c r="S364" s="22" t="n"/>
      <c r="T364" s="22" t="n"/>
      <c r="U364" s="22" t="n"/>
      <c r="V364" s="23" t="n"/>
      <c r="W364" s="22" t="n"/>
      <c r="X364" s="26">
        <f>IF(W364="","",IF(AND(LEFT(W364,4)&lt;&gt;"http",set_RMSBase=""),"",HYPERLINK(IF(LEFT(W364,4)="http",W364,set_RMSBase&amp;W364),"Open opportunity")))</f>
        <v/>
      </c>
      <c r="Y364" s="22" t="n"/>
      <c r="Z364" s="26">
        <f>IF(Y364="","",HYPERLINK(IF(LEFT(Y364,4)="http",Y364,set_QwilrBase&amp;Y364),"Open quote"))</f>
        <v/>
      </c>
      <c r="AA364" s="26">
        <f>IF(C364="","",C364)</f>
        <v/>
      </c>
      <c r="AB364" s="22" t="n"/>
      <c r="AC364" s="24" t="n"/>
      <c r="AD364" s="27">
        <f>IF(C364="","",L364+N(AC364))</f>
        <v/>
      </c>
      <c r="AE364" s="29">
        <f>IFERROR(AC364/AD364,"")</f>
        <v/>
      </c>
      <c r="AF364" s="24" t="n"/>
      <c r="AG364" s="24" t="n"/>
      <c r="AH364" s="24" t="n"/>
      <c r="AI364" s="24" t="n"/>
      <c r="AJ364" s="27">
        <f>IF(C364="","",SUMIFS(tbl_Finance[Ex GST],tbl_Finance[Job Number],C364&amp;"",tbl_Finance[Cost Centre],"VIDEO"))</f>
        <v/>
      </c>
      <c r="AK364" s="29">
        <f>IFERROR(AJ364/L364,"")</f>
        <v/>
      </c>
      <c r="AL364" s="27">
        <f>IF(C364="","",N(AF364)+N(AG364)+N(AH364)+N(AI364))</f>
        <v/>
      </c>
      <c r="AM364" s="27" t="n"/>
      <c r="AN364" s="29" t="n"/>
      <c r="AO364" s="71" t="n"/>
      <c r="AP364" s="71" t="n"/>
      <c r="AQ364" s="71" t="n"/>
      <c r="AR364" s="71" t="n"/>
      <c r="AS364" s="71" t="n"/>
      <c r="AT364" s="22" t="n"/>
    </row>
    <row r="365" ht="15" customHeight="1">
      <c r="A365" s="70">
        <f>IF(C365="","",IFERROR(IF(SUMPRODUCT(MAX((tbl_Finance[Job Number]&amp;""=C365&amp;"")*(tbl_Finance[Xero Invoice No]&lt;&gt;"")*tbl_Finance[Date]))=0,"",SUMPRODUCT(MAX((tbl_Finance[Job Number]&amp;""=C365&amp;"")*(tbl_Finance[Xero Invoice No]&lt;&gt;"")*tbl_Finance[Date]))),""))</f>
        <v/>
      </c>
      <c r="B365" s="26">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2" t="n"/>
      <c r="D365" s="26">
        <f>IF(C365="","",IF(COUNTIF(lst_Jobs,C365&amp;"")&gt;0,"OK","CHECK"))</f>
        <v/>
      </c>
      <c r="E365" s="26">
        <f>IF(C365="","",IFERROR(INDEX(lst_JobName,MATCH(C365&amp;"",lst_Jobs,0)),""))</f>
        <v/>
      </c>
      <c r="F365" s="22" t="n"/>
      <c r="G365" s="22" t="n"/>
      <c r="H365" s="22" t="n"/>
      <c r="I365" s="22" t="n"/>
      <c r="J365" s="22" t="n"/>
      <c r="K365" s="28">
        <f>IF(C365="","",COUNTIFS(tbl_Finance[Job Number],C365&amp;"",tbl_Finance[Ex GST],"&lt;&gt;"))</f>
        <v/>
      </c>
      <c r="L365" s="27">
        <f>IF(C365="","",SUMIFS(tbl_Finance[Ex GST],tbl_Finance[Job Number],C365&amp;""))</f>
        <v/>
      </c>
      <c r="M365" s="27">
        <f>IF(C365="","",SUMIFS(tbl_Finance[Ex GST],tbl_Finance[Job Number],C365&amp;"",tbl_Finance[Xero Invoice No],"&lt;&gt;"))</f>
        <v/>
      </c>
      <c r="N365" s="27">
        <f>IF(C365="","",L365-M365)</f>
        <v/>
      </c>
      <c r="O365" s="24" t="n"/>
      <c r="P365" s="27">
        <f>IF(C365="","",IF(O365="",0,MAX(0,O365-L365)))</f>
        <v/>
      </c>
      <c r="Q365" s="26">
        <f>IF(C365="","",IF(K365=0,"not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R365" s="27">
        <f>IF(C365="","",SUMIFS(tbl_Finance[Inc GST],tbl_Finance[Job Number],C365&amp;""))</f>
        <v/>
      </c>
      <c r="S365" s="22" t="n"/>
      <c r="T365" s="22" t="n"/>
      <c r="U365" s="22" t="n"/>
      <c r="V365" s="23" t="n"/>
      <c r="W365" s="22" t="n"/>
      <c r="X365" s="26">
        <f>IF(W365="","",IF(AND(LEFT(W365,4)&lt;&gt;"http",set_RMSBase=""),"",HYPERLINK(IF(LEFT(W365,4)="http",W365,set_RMSBase&amp;W365),"Open opportunity")))</f>
        <v/>
      </c>
      <c r="Y365" s="22" t="n"/>
      <c r="Z365" s="26">
        <f>IF(Y365="","",HYPERLINK(IF(LEFT(Y365,4)="http",Y365,set_QwilrBase&amp;Y365),"Open quote"))</f>
        <v/>
      </c>
      <c r="AA365" s="26">
        <f>IF(C365="","",C365)</f>
        <v/>
      </c>
      <c r="AB365" s="22" t="n"/>
      <c r="AC365" s="24" t="n"/>
      <c r="AD365" s="27">
        <f>IF(C365="","",L365+N(AC365))</f>
        <v/>
      </c>
      <c r="AE365" s="29">
        <f>IFERROR(AC365/AD365,"")</f>
        <v/>
      </c>
      <c r="AF365" s="24" t="n"/>
      <c r="AG365" s="24" t="n"/>
      <c r="AH365" s="24" t="n"/>
      <c r="AI365" s="24" t="n"/>
      <c r="AJ365" s="27">
        <f>IF(C365="","",SUMIFS(tbl_Finance[Ex GST],tbl_Finance[Job Number],C365&amp;"",tbl_Finance[Cost Centre],"VIDEO"))</f>
        <v/>
      </c>
      <c r="AK365" s="29">
        <f>IFERROR(AJ365/L365,"")</f>
        <v/>
      </c>
      <c r="AL365" s="27">
        <f>IF(C365="","",N(AF365)+N(AG365)+N(AH365)+N(AI365))</f>
        <v/>
      </c>
      <c r="AM365" s="27" t="n"/>
      <c r="AN365" s="29" t="n"/>
      <c r="AO365" s="71" t="n"/>
      <c r="AP365" s="71" t="n"/>
      <c r="AQ365" s="71" t="n"/>
      <c r="AR365" s="71" t="n"/>
      <c r="AS365" s="71" t="n"/>
      <c r="AT365" s="22" t="n"/>
    </row>
    <row r="366" ht="15" customHeight="1">
      <c r="A366" s="70">
        <f>IF(C366="","",IFERROR(IF(SUMPRODUCT(MAX((tbl_Finance[Job Number]&amp;""=C366&amp;"")*(tbl_Finance[Xero Invoice No]&lt;&gt;"")*tbl_Finance[Date]))=0,"",SUMPRODUCT(MAX((tbl_Finance[Job Number]&amp;""=C366&amp;"")*(tbl_Finance[Xero Invoice No]&lt;&gt;"")*tbl_Finance[Date]))),""))</f>
        <v/>
      </c>
      <c r="B366" s="26">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2" t="n"/>
      <c r="D366" s="26">
        <f>IF(C366="","",IF(COUNTIF(lst_Jobs,C366&amp;"")&gt;0,"OK","CHECK"))</f>
        <v/>
      </c>
      <c r="E366" s="26">
        <f>IF(C366="","",IFERROR(INDEX(lst_JobName,MATCH(C366&amp;"",lst_Jobs,0)),""))</f>
        <v/>
      </c>
      <c r="F366" s="22" t="n"/>
      <c r="G366" s="22" t="n"/>
      <c r="H366" s="22" t="n"/>
      <c r="I366" s="22" t="n"/>
      <c r="J366" s="22" t="n"/>
      <c r="K366" s="28">
        <f>IF(C366="","",COUNTIFS(tbl_Finance[Job Number],C366&amp;"",tbl_Finance[Ex GST],"&lt;&gt;"))</f>
        <v/>
      </c>
      <c r="L366" s="27">
        <f>IF(C366="","",SUMIFS(tbl_Finance[Ex GST],tbl_Finance[Job Number],C366&amp;""))</f>
        <v/>
      </c>
      <c r="M366" s="27">
        <f>IF(C366="","",SUMIFS(tbl_Finance[Ex GST],tbl_Finance[Job Number],C366&amp;"",tbl_Finance[Xero Invoice No],"&lt;&gt;"))</f>
        <v/>
      </c>
      <c r="N366" s="27">
        <f>IF(C366="","",L366-M366)</f>
        <v/>
      </c>
      <c r="O366" s="24" t="n"/>
      <c r="P366" s="27">
        <f>IF(C366="","",IF(O366="",0,MAX(0,O366-L366)))</f>
        <v/>
      </c>
      <c r="Q366" s="26">
        <f>IF(C366="","",IF(K366=0,"not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R366" s="27">
        <f>IF(C366="","",SUMIFS(tbl_Finance[Inc GST],tbl_Finance[Job Number],C366&amp;""))</f>
        <v/>
      </c>
      <c r="S366" s="22" t="n"/>
      <c r="T366" s="22" t="n"/>
      <c r="U366" s="22" t="n"/>
      <c r="V366" s="23" t="n"/>
      <c r="W366" s="22" t="n"/>
      <c r="X366" s="26">
        <f>IF(W366="","",IF(AND(LEFT(W366,4)&lt;&gt;"http",set_RMSBase=""),"",HYPERLINK(IF(LEFT(W366,4)="http",W366,set_RMSBase&amp;W366),"Open opportunity")))</f>
        <v/>
      </c>
      <c r="Y366" s="22" t="n"/>
      <c r="Z366" s="26">
        <f>IF(Y366="","",HYPERLINK(IF(LEFT(Y366,4)="http",Y366,set_QwilrBase&amp;Y366),"Open quote"))</f>
        <v/>
      </c>
      <c r="AA366" s="26">
        <f>IF(C366="","",C366)</f>
        <v/>
      </c>
      <c r="AB366" s="22" t="n"/>
      <c r="AC366" s="24" t="n"/>
      <c r="AD366" s="27">
        <f>IF(C366="","",L366+N(AC366))</f>
        <v/>
      </c>
      <c r="AE366" s="29">
        <f>IFERROR(AC366/AD366,"")</f>
        <v/>
      </c>
      <c r="AF366" s="24" t="n"/>
      <c r="AG366" s="24" t="n"/>
      <c r="AH366" s="24" t="n"/>
      <c r="AI366" s="24" t="n"/>
      <c r="AJ366" s="27">
        <f>IF(C366="","",SUMIFS(tbl_Finance[Ex GST],tbl_Finance[Job Number],C366&amp;"",tbl_Finance[Cost Centre],"VIDEO"))</f>
        <v/>
      </c>
      <c r="AK366" s="29">
        <f>IFERROR(AJ366/L366,"")</f>
        <v/>
      </c>
      <c r="AL366" s="27">
        <f>IF(C366="","",N(AF366)+N(AG366)+N(AH366)+N(AI366))</f>
        <v/>
      </c>
      <c r="AM366" s="27" t="n"/>
      <c r="AN366" s="29" t="n"/>
      <c r="AO366" s="71" t="n"/>
      <c r="AP366" s="71" t="n"/>
      <c r="AQ366" s="71" t="n"/>
      <c r="AR366" s="71" t="n"/>
      <c r="AS366" s="71" t="n"/>
      <c r="AT366" s="22" t="n"/>
    </row>
    <row r="367" ht="15" customHeight="1">
      <c r="A367" s="70">
        <f>IF(C367="","",IFERROR(IF(SUMPRODUCT(MAX((tbl_Finance[Job Number]&amp;""=C367&amp;"")*(tbl_Finance[Xero Invoice No]&lt;&gt;"")*tbl_Finance[Date]))=0,"",SUMPRODUCT(MAX((tbl_Finance[Job Number]&amp;""=C367&amp;"")*(tbl_Finance[Xero Invoice No]&lt;&gt;"")*tbl_Finance[Date]))),""))</f>
        <v/>
      </c>
      <c r="B367" s="26">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2" t="n"/>
      <c r="D367" s="26">
        <f>IF(C367="","",IF(COUNTIF(lst_Jobs,C367&amp;"")&gt;0,"OK","CHECK"))</f>
        <v/>
      </c>
      <c r="E367" s="26">
        <f>IF(C367="","",IFERROR(INDEX(lst_JobName,MATCH(C367&amp;"",lst_Jobs,0)),""))</f>
        <v/>
      </c>
      <c r="F367" s="22" t="n"/>
      <c r="G367" s="22" t="n"/>
      <c r="H367" s="22" t="n"/>
      <c r="I367" s="22" t="n"/>
      <c r="J367" s="22" t="n"/>
      <c r="K367" s="28">
        <f>IF(C367="","",COUNTIFS(tbl_Finance[Job Number],C367&amp;"",tbl_Finance[Ex GST],"&lt;&gt;"))</f>
        <v/>
      </c>
      <c r="L367" s="27">
        <f>IF(C367="","",SUMIFS(tbl_Finance[Ex GST],tbl_Finance[Job Number],C367&amp;""))</f>
        <v/>
      </c>
      <c r="M367" s="27">
        <f>IF(C367="","",SUMIFS(tbl_Finance[Ex GST],tbl_Finance[Job Number],C367&amp;"",tbl_Finance[Xero Invoice No],"&lt;&gt;"))</f>
        <v/>
      </c>
      <c r="N367" s="27">
        <f>IF(C367="","",L367-M367)</f>
        <v/>
      </c>
      <c r="O367" s="24" t="n"/>
      <c r="P367" s="27">
        <f>IF(C367="","",IF(O367="",0,MAX(0,O367-L367)))</f>
        <v/>
      </c>
      <c r="Q367" s="26">
        <f>IF(C367="","",IF(K367=0,"not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R367" s="27">
        <f>IF(C367="","",SUMIFS(tbl_Finance[Inc GST],tbl_Finance[Job Number],C367&amp;""))</f>
        <v/>
      </c>
      <c r="S367" s="22" t="n"/>
      <c r="T367" s="22" t="n"/>
      <c r="U367" s="22" t="n"/>
      <c r="V367" s="23" t="n"/>
      <c r="W367" s="22" t="n"/>
      <c r="X367" s="26">
        <f>IF(W367="","",IF(AND(LEFT(W367,4)&lt;&gt;"http",set_RMSBase=""),"",HYPERLINK(IF(LEFT(W367,4)="http",W367,set_RMSBase&amp;W367),"Open opportunity")))</f>
        <v/>
      </c>
      <c r="Y367" s="22" t="n"/>
      <c r="Z367" s="26">
        <f>IF(Y367="","",HYPERLINK(IF(LEFT(Y367,4)="http",Y367,set_QwilrBase&amp;Y367),"Open quote"))</f>
        <v/>
      </c>
      <c r="AA367" s="26">
        <f>IF(C367="","",C367)</f>
        <v/>
      </c>
      <c r="AB367" s="22" t="n"/>
      <c r="AC367" s="24" t="n"/>
      <c r="AD367" s="27">
        <f>IF(C367="","",L367+N(AC367))</f>
        <v/>
      </c>
      <c r="AE367" s="29">
        <f>IFERROR(AC367/AD367,"")</f>
        <v/>
      </c>
      <c r="AF367" s="24" t="n"/>
      <c r="AG367" s="24" t="n"/>
      <c r="AH367" s="24" t="n"/>
      <c r="AI367" s="24" t="n"/>
      <c r="AJ367" s="27">
        <f>IF(C367="","",SUMIFS(tbl_Finance[Ex GST],tbl_Finance[Job Number],C367&amp;"",tbl_Finance[Cost Centre],"VIDEO"))</f>
        <v/>
      </c>
      <c r="AK367" s="29">
        <f>IFERROR(AJ367/L367,"")</f>
        <v/>
      </c>
      <c r="AL367" s="27">
        <f>IF(C367="","",N(AF367)+N(AG367)+N(AH367)+N(AI367))</f>
        <v/>
      </c>
      <c r="AM367" s="27" t="n"/>
      <c r="AN367" s="29" t="n"/>
      <c r="AO367" s="71" t="n"/>
      <c r="AP367" s="71" t="n"/>
      <c r="AQ367" s="71" t="n"/>
      <c r="AR367" s="71" t="n"/>
      <c r="AS367" s="71" t="n"/>
      <c r="AT367" s="22" t="n"/>
    </row>
    <row r="368" ht="15" customHeight="1">
      <c r="A368" s="70">
        <f>IF(C368="","",IFERROR(IF(SUMPRODUCT(MAX((tbl_Finance[Job Number]&amp;""=C368&amp;"")*(tbl_Finance[Xero Invoice No]&lt;&gt;"")*tbl_Finance[Date]))=0,"",SUMPRODUCT(MAX((tbl_Finance[Job Number]&amp;""=C368&amp;"")*(tbl_Finance[Xero Invoice No]&lt;&gt;"")*tbl_Finance[Date]))),""))</f>
        <v/>
      </c>
      <c r="B368" s="26">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2" t="n"/>
      <c r="D368" s="26">
        <f>IF(C368="","",IF(COUNTIF(lst_Jobs,C368&amp;"")&gt;0,"OK","CHECK"))</f>
        <v/>
      </c>
      <c r="E368" s="26">
        <f>IF(C368="","",IFERROR(INDEX(lst_JobName,MATCH(C368&amp;"",lst_Jobs,0)),""))</f>
        <v/>
      </c>
      <c r="F368" s="22" t="n"/>
      <c r="G368" s="22" t="n"/>
      <c r="H368" s="22" t="n"/>
      <c r="I368" s="22" t="n"/>
      <c r="J368" s="22" t="n"/>
      <c r="K368" s="28">
        <f>IF(C368="","",COUNTIFS(tbl_Finance[Job Number],C368&amp;"",tbl_Finance[Ex GST],"&lt;&gt;"))</f>
        <v/>
      </c>
      <c r="L368" s="27">
        <f>IF(C368="","",SUMIFS(tbl_Finance[Ex GST],tbl_Finance[Job Number],C368&amp;""))</f>
        <v/>
      </c>
      <c r="M368" s="27">
        <f>IF(C368="","",SUMIFS(tbl_Finance[Ex GST],tbl_Finance[Job Number],C368&amp;"",tbl_Finance[Xero Invoice No],"&lt;&gt;"))</f>
        <v/>
      </c>
      <c r="N368" s="27">
        <f>IF(C368="","",L368-M368)</f>
        <v/>
      </c>
      <c r="O368" s="24" t="n"/>
      <c r="P368" s="27">
        <f>IF(C368="","",IF(O368="",0,MAX(0,O368-L368)))</f>
        <v/>
      </c>
      <c r="Q368" s="26">
        <f>IF(C368="","",IF(K368=0,"not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R368" s="27">
        <f>IF(C368="","",SUMIFS(tbl_Finance[Inc GST],tbl_Finance[Job Number],C368&amp;""))</f>
        <v/>
      </c>
      <c r="S368" s="22" t="n"/>
      <c r="T368" s="22" t="n"/>
      <c r="U368" s="22" t="n"/>
      <c r="V368" s="23" t="n"/>
      <c r="W368" s="22" t="n"/>
      <c r="X368" s="26">
        <f>IF(W368="","",IF(AND(LEFT(W368,4)&lt;&gt;"http",set_RMSBase=""),"",HYPERLINK(IF(LEFT(W368,4)="http",W368,set_RMSBase&amp;W368),"Open opportunity")))</f>
        <v/>
      </c>
      <c r="Y368" s="22" t="n"/>
      <c r="Z368" s="26">
        <f>IF(Y368="","",HYPERLINK(IF(LEFT(Y368,4)="http",Y368,set_QwilrBase&amp;Y368),"Open quote"))</f>
        <v/>
      </c>
      <c r="AA368" s="26">
        <f>IF(C368="","",C368)</f>
        <v/>
      </c>
      <c r="AB368" s="22" t="n"/>
      <c r="AC368" s="24" t="n"/>
      <c r="AD368" s="27">
        <f>IF(C368="","",L368+N(AC368))</f>
        <v/>
      </c>
      <c r="AE368" s="29">
        <f>IFERROR(AC368/AD368,"")</f>
        <v/>
      </c>
      <c r="AF368" s="24" t="n"/>
      <c r="AG368" s="24" t="n"/>
      <c r="AH368" s="24" t="n"/>
      <c r="AI368" s="24" t="n"/>
      <c r="AJ368" s="27">
        <f>IF(C368="","",SUMIFS(tbl_Finance[Ex GST],tbl_Finance[Job Number],C368&amp;"",tbl_Finance[Cost Centre],"VIDEO"))</f>
        <v/>
      </c>
      <c r="AK368" s="29">
        <f>IFERROR(AJ368/L368,"")</f>
        <v/>
      </c>
      <c r="AL368" s="27">
        <f>IF(C368="","",N(AF368)+N(AG368)+N(AH368)+N(AI368))</f>
        <v/>
      </c>
      <c r="AM368" s="27" t="n"/>
      <c r="AN368" s="29" t="n"/>
      <c r="AO368" s="71" t="n"/>
      <c r="AP368" s="71" t="n"/>
      <c r="AQ368" s="71" t="n"/>
      <c r="AR368" s="71" t="n"/>
      <c r="AS368" s="71" t="n"/>
      <c r="AT368" s="22" t="n"/>
    </row>
    <row r="369" ht="15" customHeight="1">
      <c r="A369" s="70">
        <f>IF(C369="","",IFERROR(IF(SUMPRODUCT(MAX((tbl_Finance[Job Number]&amp;""=C369&amp;"")*(tbl_Finance[Xero Invoice No]&lt;&gt;"")*tbl_Finance[Date]))=0,"",SUMPRODUCT(MAX((tbl_Finance[Job Number]&amp;""=C369&amp;"")*(tbl_Finance[Xero Invoice No]&lt;&gt;"")*tbl_Finance[Date]))),""))</f>
        <v/>
      </c>
      <c r="B369" s="26">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2" t="n"/>
      <c r="D369" s="26">
        <f>IF(C369="","",IF(COUNTIF(lst_Jobs,C369&amp;"")&gt;0,"OK","CHECK"))</f>
        <v/>
      </c>
      <c r="E369" s="26">
        <f>IF(C369="","",IFERROR(INDEX(lst_JobName,MATCH(C369&amp;"",lst_Jobs,0)),""))</f>
        <v/>
      </c>
      <c r="F369" s="22" t="n"/>
      <c r="G369" s="22" t="n"/>
      <c r="H369" s="22" t="n"/>
      <c r="I369" s="22" t="n"/>
      <c r="J369" s="22" t="n"/>
      <c r="K369" s="28">
        <f>IF(C369="","",COUNTIFS(tbl_Finance[Job Number],C369&amp;"",tbl_Finance[Ex GST],"&lt;&gt;"))</f>
        <v/>
      </c>
      <c r="L369" s="27">
        <f>IF(C369="","",SUMIFS(tbl_Finance[Ex GST],tbl_Finance[Job Number],C369&amp;""))</f>
        <v/>
      </c>
      <c r="M369" s="27">
        <f>IF(C369="","",SUMIFS(tbl_Finance[Ex GST],tbl_Finance[Job Number],C369&amp;"",tbl_Finance[Xero Invoice No],"&lt;&gt;"))</f>
        <v/>
      </c>
      <c r="N369" s="27">
        <f>IF(C369="","",L369-M369)</f>
        <v/>
      </c>
      <c r="O369" s="24" t="n"/>
      <c r="P369" s="27">
        <f>IF(C369="","",IF(O369="",0,MAX(0,O369-L369)))</f>
        <v/>
      </c>
      <c r="Q369" s="26">
        <f>IF(C369="","",IF(K369=0,"not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R369" s="27">
        <f>IF(C369="","",SUMIFS(tbl_Finance[Inc GST],tbl_Finance[Job Number],C369&amp;""))</f>
        <v/>
      </c>
      <c r="S369" s="22" t="n"/>
      <c r="T369" s="22" t="n"/>
      <c r="U369" s="22" t="n"/>
      <c r="V369" s="23" t="n"/>
      <c r="W369" s="22" t="n"/>
      <c r="X369" s="26">
        <f>IF(W369="","",IF(AND(LEFT(W369,4)&lt;&gt;"http",set_RMSBase=""),"",HYPERLINK(IF(LEFT(W369,4)="http",W369,set_RMSBase&amp;W369),"Open opportunity")))</f>
        <v/>
      </c>
      <c r="Y369" s="22" t="n"/>
      <c r="Z369" s="26">
        <f>IF(Y369="","",HYPERLINK(IF(LEFT(Y369,4)="http",Y369,set_QwilrBase&amp;Y369),"Open quote"))</f>
        <v/>
      </c>
      <c r="AA369" s="26">
        <f>IF(C369="","",C369)</f>
        <v/>
      </c>
      <c r="AB369" s="22" t="n"/>
      <c r="AC369" s="24" t="n"/>
      <c r="AD369" s="27">
        <f>IF(C369="","",L369+N(AC369))</f>
        <v/>
      </c>
      <c r="AE369" s="29">
        <f>IFERROR(AC369/AD369,"")</f>
        <v/>
      </c>
      <c r="AF369" s="24" t="n"/>
      <c r="AG369" s="24" t="n"/>
      <c r="AH369" s="24" t="n"/>
      <c r="AI369" s="24" t="n"/>
      <c r="AJ369" s="27">
        <f>IF(C369="","",SUMIFS(tbl_Finance[Ex GST],tbl_Finance[Job Number],C369&amp;"",tbl_Finance[Cost Centre],"VIDEO"))</f>
        <v/>
      </c>
      <c r="AK369" s="29">
        <f>IFERROR(AJ369/L369,"")</f>
        <v/>
      </c>
      <c r="AL369" s="27">
        <f>IF(C369="","",N(AF369)+N(AG369)+N(AH369)+N(AI369))</f>
        <v/>
      </c>
      <c r="AM369" s="27" t="n"/>
      <c r="AN369" s="29" t="n"/>
      <c r="AO369" s="71" t="n"/>
      <c r="AP369" s="71" t="n"/>
      <c r="AQ369" s="71" t="n"/>
      <c r="AR369" s="71" t="n"/>
      <c r="AS369" s="71" t="n"/>
      <c r="AT369" s="22" t="n"/>
    </row>
    <row r="370" ht="15" customHeight="1">
      <c r="A370" s="70">
        <f>IF(C370="","",IFERROR(IF(SUMPRODUCT(MAX((tbl_Finance[Job Number]&amp;""=C370&amp;"")*(tbl_Finance[Xero Invoice No]&lt;&gt;"")*tbl_Finance[Date]))=0,"",SUMPRODUCT(MAX((tbl_Finance[Job Number]&amp;""=C370&amp;"")*(tbl_Finance[Xero Invoice No]&lt;&gt;"")*tbl_Finance[Date]))),""))</f>
        <v/>
      </c>
      <c r="B370" s="26">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2" t="n"/>
      <c r="D370" s="26">
        <f>IF(C370="","",IF(COUNTIF(lst_Jobs,C370&amp;"")&gt;0,"OK","CHECK"))</f>
        <v/>
      </c>
      <c r="E370" s="26">
        <f>IF(C370="","",IFERROR(INDEX(lst_JobName,MATCH(C370&amp;"",lst_Jobs,0)),""))</f>
        <v/>
      </c>
      <c r="F370" s="22" t="n"/>
      <c r="G370" s="22" t="n"/>
      <c r="H370" s="22" t="n"/>
      <c r="I370" s="22" t="n"/>
      <c r="J370" s="22" t="n"/>
      <c r="K370" s="28">
        <f>IF(C370="","",COUNTIFS(tbl_Finance[Job Number],C370&amp;"",tbl_Finance[Ex GST],"&lt;&gt;"))</f>
        <v/>
      </c>
      <c r="L370" s="27">
        <f>IF(C370="","",SUMIFS(tbl_Finance[Ex GST],tbl_Finance[Job Number],C370&amp;""))</f>
        <v/>
      </c>
      <c r="M370" s="27">
        <f>IF(C370="","",SUMIFS(tbl_Finance[Ex GST],tbl_Finance[Job Number],C370&amp;"",tbl_Finance[Xero Invoice No],"&lt;&gt;"))</f>
        <v/>
      </c>
      <c r="N370" s="27">
        <f>IF(C370="","",L370-M370)</f>
        <v/>
      </c>
      <c r="O370" s="24" t="n"/>
      <c r="P370" s="27">
        <f>IF(C370="","",IF(O370="",0,MAX(0,O370-L370)))</f>
        <v/>
      </c>
      <c r="Q370" s="26">
        <f>IF(C370="","",IF(K370=0,"not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R370" s="27">
        <f>IF(C370="","",SUMIFS(tbl_Finance[Inc GST],tbl_Finance[Job Number],C370&amp;""))</f>
        <v/>
      </c>
      <c r="S370" s="22" t="n"/>
      <c r="T370" s="22" t="n"/>
      <c r="U370" s="22" t="n"/>
      <c r="V370" s="23" t="n"/>
      <c r="W370" s="22" t="n"/>
      <c r="X370" s="26">
        <f>IF(W370="","",IF(AND(LEFT(W370,4)&lt;&gt;"http",set_RMSBase=""),"",HYPERLINK(IF(LEFT(W370,4)="http",W370,set_RMSBase&amp;W370),"Open opportunity")))</f>
        <v/>
      </c>
      <c r="Y370" s="22" t="n"/>
      <c r="Z370" s="26">
        <f>IF(Y370="","",HYPERLINK(IF(LEFT(Y370,4)="http",Y370,set_QwilrBase&amp;Y370),"Open quote"))</f>
        <v/>
      </c>
      <c r="AA370" s="26">
        <f>IF(C370="","",C370)</f>
        <v/>
      </c>
      <c r="AB370" s="22" t="n"/>
      <c r="AC370" s="24" t="n"/>
      <c r="AD370" s="27">
        <f>IF(C370="","",L370+N(AC370))</f>
        <v/>
      </c>
      <c r="AE370" s="29">
        <f>IFERROR(AC370/AD370,"")</f>
        <v/>
      </c>
      <c r="AF370" s="24" t="n"/>
      <c r="AG370" s="24" t="n"/>
      <c r="AH370" s="24" t="n"/>
      <c r="AI370" s="24" t="n"/>
      <c r="AJ370" s="27">
        <f>IF(C370="","",SUMIFS(tbl_Finance[Ex GST],tbl_Finance[Job Number],C370&amp;"",tbl_Finance[Cost Centre],"VIDEO"))</f>
        <v/>
      </c>
      <c r="AK370" s="29">
        <f>IFERROR(AJ370/L370,"")</f>
        <v/>
      </c>
      <c r="AL370" s="27">
        <f>IF(C370="","",N(AF370)+N(AG370)+N(AH370)+N(AI370))</f>
        <v/>
      </c>
      <c r="AM370" s="27" t="n"/>
      <c r="AN370" s="29" t="n"/>
      <c r="AO370" s="71" t="n"/>
      <c r="AP370" s="71" t="n"/>
      <c r="AQ370" s="71" t="n"/>
      <c r="AR370" s="71" t="n"/>
      <c r="AS370" s="71" t="n"/>
      <c r="AT370" s="22" t="n"/>
    </row>
    <row r="371" ht="15" customHeight="1">
      <c r="A371" s="70">
        <f>IF(C371="","",IFERROR(IF(SUMPRODUCT(MAX((tbl_Finance[Job Number]&amp;""=C371&amp;"")*(tbl_Finance[Xero Invoice No]&lt;&gt;"")*tbl_Finance[Date]))=0,"",SUMPRODUCT(MAX((tbl_Finance[Job Number]&amp;""=C371&amp;"")*(tbl_Finance[Xero Invoice No]&lt;&gt;"")*tbl_Finance[Date]))),""))</f>
        <v/>
      </c>
      <c r="B371" s="26">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2" t="n"/>
      <c r="D371" s="26">
        <f>IF(C371="","",IF(COUNTIF(lst_Jobs,C371&amp;"")&gt;0,"OK","CHECK"))</f>
        <v/>
      </c>
      <c r="E371" s="26">
        <f>IF(C371="","",IFERROR(INDEX(lst_JobName,MATCH(C371&amp;"",lst_Jobs,0)),""))</f>
        <v/>
      </c>
      <c r="F371" s="22" t="n"/>
      <c r="G371" s="22" t="n"/>
      <c r="H371" s="22" t="n"/>
      <c r="I371" s="22" t="n"/>
      <c r="J371" s="22" t="n"/>
      <c r="K371" s="28">
        <f>IF(C371="","",COUNTIFS(tbl_Finance[Job Number],C371&amp;"",tbl_Finance[Ex GST],"&lt;&gt;"))</f>
        <v/>
      </c>
      <c r="L371" s="27">
        <f>IF(C371="","",SUMIFS(tbl_Finance[Ex GST],tbl_Finance[Job Number],C371&amp;""))</f>
        <v/>
      </c>
      <c r="M371" s="27">
        <f>IF(C371="","",SUMIFS(tbl_Finance[Ex GST],tbl_Finance[Job Number],C371&amp;"",tbl_Finance[Xero Invoice No],"&lt;&gt;"))</f>
        <v/>
      </c>
      <c r="N371" s="27">
        <f>IF(C371="","",L371-M371)</f>
        <v/>
      </c>
      <c r="O371" s="24" t="n"/>
      <c r="P371" s="27">
        <f>IF(C371="","",IF(O371="",0,MAX(0,O371-L371)))</f>
        <v/>
      </c>
      <c r="Q371" s="26">
        <f>IF(C371="","",IF(K371=0,"not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R371" s="27">
        <f>IF(C371="","",SUMIFS(tbl_Finance[Inc GST],tbl_Finance[Job Number],C371&amp;""))</f>
        <v/>
      </c>
      <c r="S371" s="22" t="n"/>
      <c r="T371" s="22" t="n"/>
      <c r="U371" s="22" t="n"/>
      <c r="V371" s="23" t="n"/>
      <c r="W371" s="22" t="n"/>
      <c r="X371" s="26">
        <f>IF(W371="","",IF(AND(LEFT(W371,4)&lt;&gt;"http",set_RMSBase=""),"",HYPERLINK(IF(LEFT(W371,4)="http",W371,set_RMSBase&amp;W371),"Open opportunity")))</f>
        <v/>
      </c>
      <c r="Y371" s="22" t="n"/>
      <c r="Z371" s="26">
        <f>IF(Y371="","",HYPERLINK(IF(LEFT(Y371,4)="http",Y371,set_QwilrBase&amp;Y371),"Open quote"))</f>
        <v/>
      </c>
      <c r="AA371" s="26">
        <f>IF(C371="","",C371)</f>
        <v/>
      </c>
      <c r="AB371" s="22" t="n"/>
      <c r="AC371" s="24" t="n"/>
      <c r="AD371" s="27">
        <f>IF(C371="","",L371+N(AC371))</f>
        <v/>
      </c>
      <c r="AE371" s="29">
        <f>IFERROR(AC371/AD371,"")</f>
        <v/>
      </c>
      <c r="AF371" s="24" t="n"/>
      <c r="AG371" s="24" t="n"/>
      <c r="AH371" s="24" t="n"/>
      <c r="AI371" s="24" t="n"/>
      <c r="AJ371" s="27">
        <f>IF(C371="","",SUMIFS(tbl_Finance[Ex GST],tbl_Finance[Job Number],C371&amp;"",tbl_Finance[Cost Centre],"VIDEO"))</f>
        <v/>
      </c>
      <c r="AK371" s="29">
        <f>IFERROR(AJ371/L371,"")</f>
        <v/>
      </c>
      <c r="AL371" s="27">
        <f>IF(C371="","",N(AF371)+N(AG371)+N(AH371)+N(AI371))</f>
        <v/>
      </c>
      <c r="AM371" s="27" t="n"/>
      <c r="AN371" s="29" t="n"/>
      <c r="AO371" s="71" t="n"/>
      <c r="AP371" s="71" t="n"/>
      <c r="AQ371" s="71" t="n"/>
      <c r="AR371" s="71" t="n"/>
      <c r="AS371" s="71" t="n"/>
      <c r="AT371" s="22" t="n"/>
    </row>
    <row r="372" ht="15" customHeight="1">
      <c r="A372" s="70">
        <f>IF(C372="","",IFERROR(IF(SUMPRODUCT(MAX((tbl_Finance[Job Number]&amp;""=C372&amp;"")*(tbl_Finance[Xero Invoice No]&lt;&gt;"")*tbl_Finance[Date]))=0,"",SUMPRODUCT(MAX((tbl_Finance[Job Number]&amp;""=C372&amp;"")*(tbl_Finance[Xero Invoice No]&lt;&gt;"")*tbl_Finance[Date]))),""))</f>
        <v/>
      </c>
      <c r="B372" s="26">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2" t="n"/>
      <c r="D372" s="26">
        <f>IF(C372="","",IF(COUNTIF(lst_Jobs,C372&amp;"")&gt;0,"OK","CHECK"))</f>
        <v/>
      </c>
      <c r="E372" s="26">
        <f>IF(C372="","",IFERROR(INDEX(lst_JobName,MATCH(C372&amp;"",lst_Jobs,0)),""))</f>
        <v/>
      </c>
      <c r="F372" s="22" t="n"/>
      <c r="G372" s="22" t="n"/>
      <c r="H372" s="22" t="n"/>
      <c r="I372" s="22" t="n"/>
      <c r="J372" s="22" t="n"/>
      <c r="K372" s="28">
        <f>IF(C372="","",COUNTIFS(tbl_Finance[Job Number],C372&amp;"",tbl_Finance[Ex GST],"&lt;&gt;"))</f>
        <v/>
      </c>
      <c r="L372" s="27">
        <f>IF(C372="","",SUMIFS(tbl_Finance[Ex GST],tbl_Finance[Job Number],C372&amp;""))</f>
        <v/>
      </c>
      <c r="M372" s="27">
        <f>IF(C372="","",SUMIFS(tbl_Finance[Ex GST],tbl_Finance[Job Number],C372&amp;"",tbl_Finance[Xero Invoice No],"&lt;&gt;"))</f>
        <v/>
      </c>
      <c r="N372" s="27">
        <f>IF(C372="","",L372-M372)</f>
        <v/>
      </c>
      <c r="O372" s="24" t="n"/>
      <c r="P372" s="27">
        <f>IF(C372="","",IF(O372="",0,MAX(0,O372-L372)))</f>
        <v/>
      </c>
      <c r="Q372" s="26">
        <f>IF(C372="","",IF(K372=0,"not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R372" s="27">
        <f>IF(C372="","",SUMIFS(tbl_Finance[Inc GST],tbl_Finance[Job Number],C372&amp;""))</f>
        <v/>
      </c>
      <c r="S372" s="22" t="n"/>
      <c r="T372" s="22" t="n"/>
      <c r="U372" s="22" t="n"/>
      <c r="V372" s="23" t="n"/>
      <c r="W372" s="22" t="n"/>
      <c r="X372" s="26">
        <f>IF(W372="","",IF(AND(LEFT(W372,4)&lt;&gt;"http",set_RMSBase=""),"",HYPERLINK(IF(LEFT(W372,4)="http",W372,set_RMSBase&amp;W372),"Open opportunity")))</f>
        <v/>
      </c>
      <c r="Y372" s="22" t="n"/>
      <c r="Z372" s="26">
        <f>IF(Y372="","",HYPERLINK(IF(LEFT(Y372,4)="http",Y372,set_QwilrBase&amp;Y372),"Open quote"))</f>
        <v/>
      </c>
      <c r="AA372" s="26">
        <f>IF(C372="","",C372)</f>
        <v/>
      </c>
      <c r="AB372" s="22" t="n"/>
      <c r="AC372" s="24" t="n"/>
      <c r="AD372" s="27">
        <f>IF(C372="","",L372+N(AC372))</f>
        <v/>
      </c>
      <c r="AE372" s="29">
        <f>IFERROR(AC372/AD372,"")</f>
        <v/>
      </c>
      <c r="AF372" s="24" t="n"/>
      <c r="AG372" s="24" t="n"/>
      <c r="AH372" s="24" t="n"/>
      <c r="AI372" s="24" t="n"/>
      <c r="AJ372" s="27">
        <f>IF(C372="","",SUMIFS(tbl_Finance[Ex GST],tbl_Finance[Job Number],C372&amp;"",tbl_Finance[Cost Centre],"VIDEO"))</f>
        <v/>
      </c>
      <c r="AK372" s="29">
        <f>IFERROR(AJ372/L372,"")</f>
        <v/>
      </c>
      <c r="AL372" s="27">
        <f>IF(C372="","",N(AF372)+N(AG372)+N(AH372)+N(AI372))</f>
        <v/>
      </c>
      <c r="AM372" s="27" t="n"/>
      <c r="AN372" s="29" t="n"/>
      <c r="AO372" s="71" t="n"/>
      <c r="AP372" s="71" t="n"/>
      <c r="AQ372" s="71" t="n"/>
      <c r="AR372" s="71" t="n"/>
      <c r="AS372" s="71" t="n"/>
      <c r="AT372" s="22" t="n"/>
    </row>
    <row r="373" ht="15" customHeight="1">
      <c r="A373" s="70">
        <f>IF(C373="","",IFERROR(IF(SUMPRODUCT(MAX((tbl_Finance[Job Number]&amp;""=C373&amp;"")*(tbl_Finance[Xero Invoice No]&lt;&gt;"")*tbl_Finance[Date]))=0,"",SUMPRODUCT(MAX((tbl_Finance[Job Number]&amp;""=C373&amp;"")*(tbl_Finance[Xero Invoice No]&lt;&gt;"")*tbl_Finance[Date]))),""))</f>
        <v/>
      </c>
      <c r="B373" s="26">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2" t="n"/>
      <c r="D373" s="26">
        <f>IF(C373="","",IF(COUNTIF(lst_Jobs,C373&amp;"")&gt;0,"OK","CHECK"))</f>
        <v/>
      </c>
      <c r="E373" s="26">
        <f>IF(C373="","",IFERROR(INDEX(lst_JobName,MATCH(C373&amp;"",lst_Jobs,0)),""))</f>
        <v/>
      </c>
      <c r="F373" s="22" t="n"/>
      <c r="G373" s="22" t="n"/>
      <c r="H373" s="22" t="n"/>
      <c r="I373" s="22" t="n"/>
      <c r="J373" s="22" t="n"/>
      <c r="K373" s="28">
        <f>IF(C373="","",COUNTIFS(tbl_Finance[Job Number],C373&amp;"",tbl_Finance[Ex GST],"&lt;&gt;"))</f>
        <v/>
      </c>
      <c r="L373" s="27">
        <f>IF(C373="","",SUMIFS(tbl_Finance[Ex GST],tbl_Finance[Job Number],C373&amp;""))</f>
        <v/>
      </c>
      <c r="M373" s="27">
        <f>IF(C373="","",SUMIFS(tbl_Finance[Ex GST],tbl_Finance[Job Number],C373&amp;"",tbl_Finance[Xero Invoice No],"&lt;&gt;"))</f>
        <v/>
      </c>
      <c r="N373" s="27">
        <f>IF(C373="","",L373-M373)</f>
        <v/>
      </c>
      <c r="O373" s="24" t="n"/>
      <c r="P373" s="27">
        <f>IF(C373="","",IF(O373="",0,MAX(0,O373-L373)))</f>
        <v/>
      </c>
      <c r="Q373" s="26">
        <f>IF(C373="","",IF(K373=0,"not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R373" s="27">
        <f>IF(C373="","",SUMIFS(tbl_Finance[Inc GST],tbl_Finance[Job Number],C373&amp;""))</f>
        <v/>
      </c>
      <c r="S373" s="22" t="n"/>
      <c r="T373" s="22" t="n"/>
      <c r="U373" s="22" t="n"/>
      <c r="V373" s="23" t="n"/>
      <c r="W373" s="22" t="n"/>
      <c r="X373" s="26">
        <f>IF(W373="","",IF(AND(LEFT(W373,4)&lt;&gt;"http",set_RMSBase=""),"",HYPERLINK(IF(LEFT(W373,4)="http",W373,set_RMSBase&amp;W373),"Open opportunity")))</f>
        <v/>
      </c>
      <c r="Y373" s="22" t="n"/>
      <c r="Z373" s="26">
        <f>IF(Y373="","",HYPERLINK(IF(LEFT(Y373,4)="http",Y373,set_QwilrBase&amp;Y373),"Open quote"))</f>
        <v/>
      </c>
      <c r="AA373" s="26">
        <f>IF(C373="","",C373)</f>
        <v/>
      </c>
      <c r="AB373" s="22" t="n"/>
      <c r="AC373" s="24" t="n"/>
      <c r="AD373" s="27">
        <f>IF(C373="","",L373+N(AC373))</f>
        <v/>
      </c>
      <c r="AE373" s="29">
        <f>IFERROR(AC373/AD373,"")</f>
        <v/>
      </c>
      <c r="AF373" s="24" t="n"/>
      <c r="AG373" s="24" t="n"/>
      <c r="AH373" s="24" t="n"/>
      <c r="AI373" s="24" t="n"/>
      <c r="AJ373" s="27">
        <f>IF(C373="","",SUMIFS(tbl_Finance[Ex GST],tbl_Finance[Job Number],C373&amp;"",tbl_Finance[Cost Centre],"VIDEO"))</f>
        <v/>
      </c>
      <c r="AK373" s="29">
        <f>IFERROR(AJ373/L373,"")</f>
        <v/>
      </c>
      <c r="AL373" s="27">
        <f>IF(C373="","",N(AF373)+N(AG373)+N(AH373)+N(AI373))</f>
        <v/>
      </c>
      <c r="AM373" s="27" t="n"/>
      <c r="AN373" s="29" t="n"/>
      <c r="AO373" s="71" t="n"/>
      <c r="AP373" s="71" t="n"/>
      <c r="AQ373" s="71" t="n"/>
      <c r="AR373" s="71" t="n"/>
      <c r="AS373" s="71" t="n"/>
      <c r="AT373" s="22" t="n"/>
    </row>
    <row r="374" ht="15" customHeight="1">
      <c r="A374" s="70">
        <f>IF(C374="","",IFERROR(IF(SUMPRODUCT(MAX((tbl_Finance[Job Number]&amp;""=C374&amp;"")*(tbl_Finance[Xero Invoice No]&lt;&gt;"")*tbl_Finance[Date]))=0,"",SUMPRODUCT(MAX((tbl_Finance[Job Number]&amp;""=C374&amp;"")*(tbl_Finance[Xero Invoice No]&lt;&gt;"")*tbl_Finance[Date]))),""))</f>
        <v/>
      </c>
      <c r="B374" s="26">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2" t="n"/>
      <c r="D374" s="26">
        <f>IF(C374="","",IF(COUNTIF(lst_Jobs,C374&amp;"")&gt;0,"OK","CHECK"))</f>
        <v/>
      </c>
      <c r="E374" s="26">
        <f>IF(C374="","",IFERROR(INDEX(lst_JobName,MATCH(C374&amp;"",lst_Jobs,0)),""))</f>
        <v/>
      </c>
      <c r="F374" s="22" t="n"/>
      <c r="G374" s="22" t="n"/>
      <c r="H374" s="22" t="n"/>
      <c r="I374" s="22" t="n"/>
      <c r="J374" s="22" t="n"/>
      <c r="K374" s="28">
        <f>IF(C374="","",COUNTIFS(tbl_Finance[Job Number],C374&amp;"",tbl_Finance[Ex GST],"&lt;&gt;"))</f>
        <v/>
      </c>
      <c r="L374" s="27">
        <f>IF(C374="","",SUMIFS(tbl_Finance[Ex GST],tbl_Finance[Job Number],C374&amp;""))</f>
        <v/>
      </c>
      <c r="M374" s="27">
        <f>IF(C374="","",SUMIFS(tbl_Finance[Ex GST],tbl_Finance[Job Number],C374&amp;"",tbl_Finance[Xero Invoice No],"&lt;&gt;"))</f>
        <v/>
      </c>
      <c r="N374" s="27">
        <f>IF(C374="","",L374-M374)</f>
        <v/>
      </c>
      <c r="O374" s="24" t="n"/>
      <c r="P374" s="27">
        <f>IF(C374="","",IF(O374="",0,MAX(0,O374-L374)))</f>
        <v/>
      </c>
      <c r="Q374" s="26">
        <f>IF(C374="","",IF(K374=0,"not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R374" s="27">
        <f>IF(C374="","",SUMIFS(tbl_Finance[Inc GST],tbl_Finance[Job Number],C374&amp;""))</f>
        <v/>
      </c>
      <c r="S374" s="22" t="n"/>
      <c r="T374" s="22" t="n"/>
      <c r="U374" s="22" t="n"/>
      <c r="V374" s="23" t="n"/>
      <c r="W374" s="22" t="n"/>
      <c r="X374" s="26">
        <f>IF(W374="","",IF(AND(LEFT(W374,4)&lt;&gt;"http",set_RMSBase=""),"",HYPERLINK(IF(LEFT(W374,4)="http",W374,set_RMSBase&amp;W374),"Open opportunity")))</f>
        <v/>
      </c>
      <c r="Y374" s="22" t="n"/>
      <c r="Z374" s="26">
        <f>IF(Y374="","",HYPERLINK(IF(LEFT(Y374,4)="http",Y374,set_QwilrBase&amp;Y374),"Open quote"))</f>
        <v/>
      </c>
      <c r="AA374" s="26">
        <f>IF(C374="","",C374)</f>
        <v/>
      </c>
      <c r="AB374" s="22" t="n"/>
      <c r="AC374" s="24" t="n"/>
      <c r="AD374" s="27">
        <f>IF(C374="","",L374+N(AC374))</f>
        <v/>
      </c>
      <c r="AE374" s="29">
        <f>IFERROR(AC374/AD374,"")</f>
        <v/>
      </c>
      <c r="AF374" s="24" t="n"/>
      <c r="AG374" s="24" t="n"/>
      <c r="AH374" s="24" t="n"/>
      <c r="AI374" s="24" t="n"/>
      <c r="AJ374" s="27">
        <f>IF(C374="","",SUMIFS(tbl_Finance[Ex GST],tbl_Finance[Job Number],C374&amp;"",tbl_Finance[Cost Centre],"VIDEO"))</f>
        <v/>
      </c>
      <c r="AK374" s="29">
        <f>IFERROR(AJ374/L374,"")</f>
        <v/>
      </c>
      <c r="AL374" s="27">
        <f>IF(C374="","",N(AF374)+N(AG374)+N(AH374)+N(AI374))</f>
        <v/>
      </c>
      <c r="AM374" s="27" t="n"/>
      <c r="AN374" s="29" t="n"/>
      <c r="AO374" s="71" t="n"/>
      <c r="AP374" s="71" t="n"/>
      <c r="AQ374" s="71" t="n"/>
      <c r="AR374" s="71" t="n"/>
      <c r="AS374" s="71" t="n"/>
      <c r="AT374" s="22" t="n"/>
    </row>
    <row r="375" ht="15" customHeight="1">
      <c r="A375" s="70">
        <f>IF(C375="","",IFERROR(IF(SUMPRODUCT(MAX((tbl_Finance[Job Number]&amp;""=C375&amp;"")*(tbl_Finance[Xero Invoice No]&lt;&gt;"")*tbl_Finance[Date]))=0,"",SUMPRODUCT(MAX((tbl_Finance[Job Number]&amp;""=C375&amp;"")*(tbl_Finance[Xero Invoice No]&lt;&gt;"")*tbl_Finance[Date]))),""))</f>
        <v/>
      </c>
      <c r="B375" s="26">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2" t="n"/>
      <c r="D375" s="26">
        <f>IF(C375="","",IF(COUNTIF(lst_Jobs,C375&amp;"")&gt;0,"OK","CHECK"))</f>
        <v/>
      </c>
      <c r="E375" s="26">
        <f>IF(C375="","",IFERROR(INDEX(lst_JobName,MATCH(C375&amp;"",lst_Jobs,0)),""))</f>
        <v/>
      </c>
      <c r="F375" s="22" t="n"/>
      <c r="G375" s="22" t="n"/>
      <c r="H375" s="22" t="n"/>
      <c r="I375" s="22" t="n"/>
      <c r="J375" s="22" t="n"/>
      <c r="K375" s="28">
        <f>IF(C375="","",COUNTIFS(tbl_Finance[Job Number],C375&amp;"",tbl_Finance[Ex GST],"&lt;&gt;"))</f>
        <v/>
      </c>
      <c r="L375" s="27">
        <f>IF(C375="","",SUMIFS(tbl_Finance[Ex GST],tbl_Finance[Job Number],C375&amp;""))</f>
        <v/>
      </c>
      <c r="M375" s="27">
        <f>IF(C375="","",SUMIFS(tbl_Finance[Ex GST],tbl_Finance[Job Number],C375&amp;"",tbl_Finance[Xero Invoice No],"&lt;&gt;"))</f>
        <v/>
      </c>
      <c r="N375" s="27">
        <f>IF(C375="","",L375-M375)</f>
        <v/>
      </c>
      <c r="O375" s="24" t="n"/>
      <c r="P375" s="27">
        <f>IF(C375="","",IF(O375="",0,MAX(0,O375-L375)))</f>
        <v/>
      </c>
      <c r="Q375" s="26">
        <f>IF(C375="","",IF(K375=0,"not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R375" s="27">
        <f>IF(C375="","",SUMIFS(tbl_Finance[Inc GST],tbl_Finance[Job Number],C375&amp;""))</f>
        <v/>
      </c>
      <c r="S375" s="22" t="n"/>
      <c r="T375" s="22" t="n"/>
      <c r="U375" s="22" t="n"/>
      <c r="V375" s="23" t="n"/>
      <c r="W375" s="22" t="n"/>
      <c r="X375" s="26">
        <f>IF(W375="","",IF(AND(LEFT(W375,4)&lt;&gt;"http",set_RMSBase=""),"",HYPERLINK(IF(LEFT(W375,4)="http",W375,set_RMSBase&amp;W375),"Open opportunity")))</f>
        <v/>
      </c>
      <c r="Y375" s="22" t="n"/>
      <c r="Z375" s="26">
        <f>IF(Y375="","",HYPERLINK(IF(LEFT(Y375,4)="http",Y375,set_QwilrBase&amp;Y375),"Open quote"))</f>
        <v/>
      </c>
      <c r="AA375" s="26">
        <f>IF(C375="","",C375)</f>
        <v/>
      </c>
      <c r="AB375" s="22" t="n"/>
      <c r="AC375" s="24" t="n"/>
      <c r="AD375" s="27">
        <f>IF(C375="","",L375+N(AC375))</f>
        <v/>
      </c>
      <c r="AE375" s="29">
        <f>IFERROR(AC375/AD375,"")</f>
        <v/>
      </c>
      <c r="AF375" s="24" t="n"/>
      <c r="AG375" s="24" t="n"/>
      <c r="AH375" s="24" t="n"/>
      <c r="AI375" s="24" t="n"/>
      <c r="AJ375" s="27">
        <f>IF(C375="","",SUMIFS(tbl_Finance[Ex GST],tbl_Finance[Job Number],C375&amp;"",tbl_Finance[Cost Centre],"VIDEO"))</f>
        <v/>
      </c>
      <c r="AK375" s="29">
        <f>IFERROR(AJ375/L375,"")</f>
        <v/>
      </c>
      <c r="AL375" s="27">
        <f>IF(C375="","",N(AF375)+N(AG375)+N(AH375)+N(AI375))</f>
        <v/>
      </c>
      <c r="AM375" s="27" t="n"/>
      <c r="AN375" s="29" t="n"/>
      <c r="AO375" s="71" t="n"/>
      <c r="AP375" s="71" t="n"/>
      <c r="AQ375" s="71" t="n"/>
      <c r="AR375" s="71" t="n"/>
      <c r="AS375" s="71" t="n"/>
      <c r="AT375" s="22" t="n"/>
    </row>
    <row r="376" ht="15" customHeight="1">
      <c r="A376" s="70">
        <f>IF(C376="","",IFERROR(IF(SUMPRODUCT(MAX((tbl_Finance[Job Number]&amp;""=C376&amp;"")*(tbl_Finance[Xero Invoice No]&lt;&gt;"")*tbl_Finance[Date]))=0,"",SUMPRODUCT(MAX((tbl_Finance[Job Number]&amp;""=C376&amp;"")*(tbl_Finance[Xero Invoice No]&lt;&gt;"")*tbl_Finance[Date]))),""))</f>
        <v/>
      </c>
      <c r="B376" s="26">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2" t="n"/>
      <c r="D376" s="26">
        <f>IF(C376="","",IF(COUNTIF(lst_Jobs,C376&amp;"")&gt;0,"OK","CHECK"))</f>
        <v/>
      </c>
      <c r="E376" s="26">
        <f>IF(C376="","",IFERROR(INDEX(lst_JobName,MATCH(C376&amp;"",lst_Jobs,0)),""))</f>
        <v/>
      </c>
      <c r="F376" s="22" t="n"/>
      <c r="G376" s="22" t="n"/>
      <c r="H376" s="22" t="n"/>
      <c r="I376" s="22" t="n"/>
      <c r="J376" s="22" t="n"/>
      <c r="K376" s="28">
        <f>IF(C376="","",COUNTIFS(tbl_Finance[Job Number],C376&amp;"",tbl_Finance[Ex GST],"&lt;&gt;"))</f>
        <v/>
      </c>
      <c r="L376" s="27">
        <f>IF(C376="","",SUMIFS(tbl_Finance[Ex GST],tbl_Finance[Job Number],C376&amp;""))</f>
        <v/>
      </c>
      <c r="M376" s="27">
        <f>IF(C376="","",SUMIFS(tbl_Finance[Ex GST],tbl_Finance[Job Number],C376&amp;"",tbl_Finance[Xero Invoice No],"&lt;&gt;"))</f>
        <v/>
      </c>
      <c r="N376" s="27">
        <f>IF(C376="","",L376-M376)</f>
        <v/>
      </c>
      <c r="O376" s="24" t="n"/>
      <c r="P376" s="27">
        <f>IF(C376="","",IF(O376="",0,MAX(0,O376-L376)))</f>
        <v/>
      </c>
      <c r="Q376" s="26">
        <f>IF(C376="","",IF(K376=0,"not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R376" s="27">
        <f>IF(C376="","",SUMIFS(tbl_Finance[Inc GST],tbl_Finance[Job Number],C376&amp;""))</f>
        <v/>
      </c>
      <c r="S376" s="22" t="n"/>
      <c r="T376" s="22" t="n"/>
      <c r="U376" s="22" t="n"/>
      <c r="V376" s="23" t="n"/>
      <c r="W376" s="22" t="n"/>
      <c r="X376" s="26">
        <f>IF(W376="","",IF(AND(LEFT(W376,4)&lt;&gt;"http",set_RMSBase=""),"",HYPERLINK(IF(LEFT(W376,4)="http",W376,set_RMSBase&amp;W376),"Open opportunity")))</f>
        <v/>
      </c>
      <c r="Y376" s="22" t="n"/>
      <c r="Z376" s="26">
        <f>IF(Y376="","",HYPERLINK(IF(LEFT(Y376,4)="http",Y376,set_QwilrBase&amp;Y376),"Open quote"))</f>
        <v/>
      </c>
      <c r="AA376" s="26">
        <f>IF(C376="","",C376)</f>
        <v/>
      </c>
      <c r="AB376" s="22" t="n"/>
      <c r="AC376" s="24" t="n"/>
      <c r="AD376" s="27">
        <f>IF(C376="","",L376+N(AC376))</f>
        <v/>
      </c>
      <c r="AE376" s="29">
        <f>IFERROR(AC376/AD376,"")</f>
        <v/>
      </c>
      <c r="AF376" s="24" t="n"/>
      <c r="AG376" s="24" t="n"/>
      <c r="AH376" s="24" t="n"/>
      <c r="AI376" s="24" t="n"/>
      <c r="AJ376" s="27">
        <f>IF(C376="","",SUMIFS(tbl_Finance[Ex GST],tbl_Finance[Job Number],C376&amp;"",tbl_Finance[Cost Centre],"VIDEO"))</f>
        <v/>
      </c>
      <c r="AK376" s="29">
        <f>IFERROR(AJ376/L376,"")</f>
        <v/>
      </c>
      <c r="AL376" s="27">
        <f>IF(C376="","",N(AF376)+N(AG376)+N(AH376)+N(AI376))</f>
        <v/>
      </c>
      <c r="AM376" s="27" t="n"/>
      <c r="AN376" s="29" t="n"/>
      <c r="AO376" s="71" t="n"/>
      <c r="AP376" s="71" t="n"/>
      <c r="AQ376" s="71" t="n"/>
      <c r="AR376" s="71" t="n"/>
      <c r="AS376" s="71" t="n"/>
      <c r="AT376" s="22" t="n"/>
    </row>
    <row r="377" ht="15" customHeight="1">
      <c r="A377" s="70">
        <f>IF(C377="","",IFERROR(IF(SUMPRODUCT(MAX((tbl_Finance[Job Number]&amp;""=C377&amp;"")*(tbl_Finance[Xero Invoice No]&lt;&gt;"")*tbl_Finance[Date]))=0,"",SUMPRODUCT(MAX((tbl_Finance[Job Number]&amp;""=C377&amp;"")*(tbl_Finance[Xero Invoice No]&lt;&gt;"")*tbl_Finance[Date]))),""))</f>
        <v/>
      </c>
      <c r="B377" s="26">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2" t="n"/>
      <c r="D377" s="26">
        <f>IF(C377="","",IF(COUNTIF(lst_Jobs,C377&amp;"")&gt;0,"OK","CHECK"))</f>
        <v/>
      </c>
      <c r="E377" s="26">
        <f>IF(C377="","",IFERROR(INDEX(lst_JobName,MATCH(C377&amp;"",lst_Jobs,0)),""))</f>
        <v/>
      </c>
      <c r="F377" s="22" t="n"/>
      <c r="G377" s="22" t="n"/>
      <c r="H377" s="22" t="n"/>
      <c r="I377" s="22" t="n"/>
      <c r="J377" s="22" t="n"/>
      <c r="K377" s="28">
        <f>IF(C377="","",COUNTIFS(tbl_Finance[Job Number],C377&amp;"",tbl_Finance[Ex GST],"&lt;&gt;"))</f>
        <v/>
      </c>
      <c r="L377" s="27">
        <f>IF(C377="","",SUMIFS(tbl_Finance[Ex GST],tbl_Finance[Job Number],C377&amp;""))</f>
        <v/>
      </c>
      <c r="M377" s="27">
        <f>IF(C377="","",SUMIFS(tbl_Finance[Ex GST],tbl_Finance[Job Number],C377&amp;"",tbl_Finance[Xero Invoice No],"&lt;&gt;"))</f>
        <v/>
      </c>
      <c r="N377" s="27">
        <f>IF(C377="","",L377-M377)</f>
        <v/>
      </c>
      <c r="O377" s="24" t="n"/>
      <c r="P377" s="27">
        <f>IF(C377="","",IF(O377="",0,MAX(0,O377-L377)))</f>
        <v/>
      </c>
      <c r="Q377" s="26">
        <f>IF(C377="","",IF(K377=0,"not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R377" s="27">
        <f>IF(C377="","",SUMIFS(tbl_Finance[Inc GST],tbl_Finance[Job Number],C377&amp;""))</f>
        <v/>
      </c>
      <c r="S377" s="22" t="n"/>
      <c r="T377" s="22" t="n"/>
      <c r="U377" s="22" t="n"/>
      <c r="V377" s="23" t="n"/>
      <c r="W377" s="22" t="n"/>
      <c r="X377" s="26">
        <f>IF(W377="","",IF(AND(LEFT(W377,4)&lt;&gt;"http",set_RMSBase=""),"",HYPERLINK(IF(LEFT(W377,4)="http",W377,set_RMSBase&amp;W377),"Open opportunity")))</f>
        <v/>
      </c>
      <c r="Y377" s="22" t="n"/>
      <c r="Z377" s="26">
        <f>IF(Y377="","",HYPERLINK(IF(LEFT(Y377,4)="http",Y377,set_QwilrBase&amp;Y377),"Open quote"))</f>
        <v/>
      </c>
      <c r="AA377" s="26">
        <f>IF(C377="","",C377)</f>
        <v/>
      </c>
      <c r="AB377" s="22" t="n"/>
      <c r="AC377" s="24" t="n"/>
      <c r="AD377" s="27">
        <f>IF(C377="","",L377+N(AC377))</f>
        <v/>
      </c>
      <c r="AE377" s="29">
        <f>IFERROR(AC377/AD377,"")</f>
        <v/>
      </c>
      <c r="AF377" s="24" t="n"/>
      <c r="AG377" s="24" t="n"/>
      <c r="AH377" s="24" t="n"/>
      <c r="AI377" s="24" t="n"/>
      <c r="AJ377" s="27">
        <f>IF(C377="","",SUMIFS(tbl_Finance[Ex GST],tbl_Finance[Job Number],C377&amp;"",tbl_Finance[Cost Centre],"VIDEO"))</f>
        <v/>
      </c>
      <c r="AK377" s="29">
        <f>IFERROR(AJ377/L377,"")</f>
        <v/>
      </c>
      <c r="AL377" s="27">
        <f>IF(C377="","",N(AF377)+N(AG377)+N(AH377)+N(AI377))</f>
        <v/>
      </c>
      <c r="AM377" s="27" t="n"/>
      <c r="AN377" s="29" t="n"/>
      <c r="AO377" s="71" t="n"/>
      <c r="AP377" s="71" t="n"/>
      <c r="AQ377" s="71" t="n"/>
      <c r="AR377" s="71" t="n"/>
      <c r="AS377" s="71" t="n"/>
      <c r="AT377" s="22" t="n"/>
    </row>
    <row r="378" ht="15" customHeight="1">
      <c r="A378" s="70">
        <f>IF(C378="","",IFERROR(IF(SUMPRODUCT(MAX((tbl_Finance[Job Number]&amp;""=C378&amp;"")*(tbl_Finance[Xero Invoice No]&lt;&gt;"")*tbl_Finance[Date]))=0,"",SUMPRODUCT(MAX((tbl_Finance[Job Number]&amp;""=C378&amp;"")*(tbl_Finance[Xero Invoice No]&lt;&gt;"")*tbl_Finance[Date]))),""))</f>
        <v/>
      </c>
      <c r="B378" s="26">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2" t="n"/>
      <c r="D378" s="26">
        <f>IF(C378="","",IF(COUNTIF(lst_Jobs,C378&amp;"")&gt;0,"OK","CHECK"))</f>
        <v/>
      </c>
      <c r="E378" s="26">
        <f>IF(C378="","",IFERROR(INDEX(lst_JobName,MATCH(C378&amp;"",lst_Jobs,0)),""))</f>
        <v/>
      </c>
      <c r="F378" s="22" t="n"/>
      <c r="G378" s="22" t="n"/>
      <c r="H378" s="22" t="n"/>
      <c r="I378" s="22" t="n"/>
      <c r="J378" s="22" t="n"/>
      <c r="K378" s="28">
        <f>IF(C378="","",COUNTIFS(tbl_Finance[Job Number],C378&amp;"",tbl_Finance[Ex GST],"&lt;&gt;"))</f>
        <v/>
      </c>
      <c r="L378" s="27">
        <f>IF(C378="","",SUMIFS(tbl_Finance[Ex GST],tbl_Finance[Job Number],C378&amp;""))</f>
        <v/>
      </c>
      <c r="M378" s="27">
        <f>IF(C378="","",SUMIFS(tbl_Finance[Ex GST],tbl_Finance[Job Number],C378&amp;"",tbl_Finance[Xero Invoice No],"&lt;&gt;"))</f>
        <v/>
      </c>
      <c r="N378" s="27">
        <f>IF(C378="","",L378-M378)</f>
        <v/>
      </c>
      <c r="O378" s="24" t="n"/>
      <c r="P378" s="27">
        <f>IF(C378="","",IF(O378="",0,MAX(0,O378-L378)))</f>
        <v/>
      </c>
      <c r="Q378" s="26">
        <f>IF(C378="","",IF(K378=0,"not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R378" s="27">
        <f>IF(C378="","",SUMIFS(tbl_Finance[Inc GST],tbl_Finance[Job Number],C378&amp;""))</f>
        <v/>
      </c>
      <c r="S378" s="22" t="n"/>
      <c r="T378" s="22" t="n"/>
      <c r="U378" s="22" t="n"/>
      <c r="V378" s="23" t="n"/>
      <c r="W378" s="22" t="n"/>
      <c r="X378" s="26">
        <f>IF(W378="","",IF(AND(LEFT(W378,4)&lt;&gt;"http",set_RMSBase=""),"",HYPERLINK(IF(LEFT(W378,4)="http",W378,set_RMSBase&amp;W378),"Open opportunity")))</f>
        <v/>
      </c>
      <c r="Y378" s="22" t="n"/>
      <c r="Z378" s="26">
        <f>IF(Y378="","",HYPERLINK(IF(LEFT(Y378,4)="http",Y378,set_QwilrBase&amp;Y378),"Open quote"))</f>
        <v/>
      </c>
      <c r="AA378" s="26">
        <f>IF(C378="","",C378)</f>
        <v/>
      </c>
      <c r="AB378" s="22" t="n"/>
      <c r="AC378" s="24" t="n"/>
      <c r="AD378" s="27">
        <f>IF(C378="","",L378+N(AC378))</f>
        <v/>
      </c>
      <c r="AE378" s="29">
        <f>IFERROR(AC378/AD378,"")</f>
        <v/>
      </c>
      <c r="AF378" s="24" t="n"/>
      <c r="AG378" s="24" t="n"/>
      <c r="AH378" s="24" t="n"/>
      <c r="AI378" s="24" t="n"/>
      <c r="AJ378" s="27">
        <f>IF(C378="","",SUMIFS(tbl_Finance[Ex GST],tbl_Finance[Job Number],C378&amp;"",tbl_Finance[Cost Centre],"VIDEO"))</f>
        <v/>
      </c>
      <c r="AK378" s="29">
        <f>IFERROR(AJ378/L378,"")</f>
        <v/>
      </c>
      <c r="AL378" s="27">
        <f>IF(C378="","",N(AF378)+N(AG378)+N(AH378)+N(AI378))</f>
        <v/>
      </c>
      <c r="AM378" s="27" t="n"/>
      <c r="AN378" s="29" t="n"/>
      <c r="AO378" s="71" t="n"/>
      <c r="AP378" s="71" t="n"/>
      <c r="AQ378" s="71" t="n"/>
      <c r="AR378" s="71" t="n"/>
      <c r="AS378" s="71" t="n"/>
      <c r="AT378" s="22" t="n"/>
    </row>
    <row r="379" ht="15" customHeight="1">
      <c r="A379" s="70">
        <f>IF(C379="","",IFERROR(IF(SUMPRODUCT(MAX((tbl_Finance[Job Number]&amp;""=C379&amp;"")*(tbl_Finance[Xero Invoice No]&lt;&gt;"")*tbl_Finance[Date]))=0,"",SUMPRODUCT(MAX((tbl_Finance[Job Number]&amp;""=C379&amp;"")*(tbl_Finance[Xero Invoice No]&lt;&gt;"")*tbl_Finance[Date]))),""))</f>
        <v/>
      </c>
      <c r="B379" s="26">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2" t="n"/>
      <c r="D379" s="26">
        <f>IF(C379="","",IF(COUNTIF(lst_Jobs,C379&amp;"")&gt;0,"OK","CHECK"))</f>
        <v/>
      </c>
      <c r="E379" s="26">
        <f>IF(C379="","",IFERROR(INDEX(lst_JobName,MATCH(C379&amp;"",lst_Jobs,0)),""))</f>
        <v/>
      </c>
      <c r="F379" s="22" t="n"/>
      <c r="G379" s="22" t="n"/>
      <c r="H379" s="22" t="n"/>
      <c r="I379" s="22" t="n"/>
      <c r="J379" s="22" t="n"/>
      <c r="K379" s="28">
        <f>IF(C379="","",COUNTIFS(tbl_Finance[Job Number],C379&amp;"",tbl_Finance[Ex GST],"&lt;&gt;"))</f>
        <v/>
      </c>
      <c r="L379" s="27">
        <f>IF(C379="","",SUMIFS(tbl_Finance[Ex GST],tbl_Finance[Job Number],C379&amp;""))</f>
        <v/>
      </c>
      <c r="M379" s="27">
        <f>IF(C379="","",SUMIFS(tbl_Finance[Ex GST],tbl_Finance[Job Number],C379&amp;"",tbl_Finance[Xero Invoice No],"&lt;&gt;"))</f>
        <v/>
      </c>
      <c r="N379" s="27">
        <f>IF(C379="","",L379-M379)</f>
        <v/>
      </c>
      <c r="O379" s="24" t="n"/>
      <c r="P379" s="27">
        <f>IF(C379="","",IF(O379="",0,MAX(0,O379-L379)))</f>
        <v/>
      </c>
      <c r="Q379" s="26">
        <f>IF(C379="","",IF(K379=0,"not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R379" s="27">
        <f>IF(C379="","",SUMIFS(tbl_Finance[Inc GST],tbl_Finance[Job Number],C379&amp;""))</f>
        <v/>
      </c>
      <c r="S379" s="22" t="n"/>
      <c r="T379" s="22" t="n"/>
      <c r="U379" s="22" t="n"/>
      <c r="V379" s="23" t="n"/>
      <c r="W379" s="22" t="n"/>
      <c r="X379" s="26">
        <f>IF(W379="","",IF(AND(LEFT(W379,4)&lt;&gt;"http",set_RMSBase=""),"",HYPERLINK(IF(LEFT(W379,4)="http",W379,set_RMSBase&amp;W379),"Open opportunity")))</f>
        <v/>
      </c>
      <c r="Y379" s="22" t="n"/>
      <c r="Z379" s="26">
        <f>IF(Y379="","",HYPERLINK(IF(LEFT(Y379,4)="http",Y379,set_QwilrBase&amp;Y379),"Open quote"))</f>
        <v/>
      </c>
      <c r="AA379" s="26">
        <f>IF(C379="","",C379)</f>
        <v/>
      </c>
      <c r="AB379" s="22" t="n"/>
      <c r="AC379" s="24" t="n"/>
      <c r="AD379" s="27">
        <f>IF(C379="","",L379+N(AC379))</f>
        <v/>
      </c>
      <c r="AE379" s="29">
        <f>IFERROR(AC379/AD379,"")</f>
        <v/>
      </c>
      <c r="AF379" s="24" t="n"/>
      <c r="AG379" s="24" t="n"/>
      <c r="AH379" s="24" t="n"/>
      <c r="AI379" s="24" t="n"/>
      <c r="AJ379" s="27">
        <f>IF(C379="","",SUMIFS(tbl_Finance[Ex GST],tbl_Finance[Job Number],C379&amp;"",tbl_Finance[Cost Centre],"VIDEO"))</f>
        <v/>
      </c>
      <c r="AK379" s="29">
        <f>IFERROR(AJ379/L379,"")</f>
        <v/>
      </c>
      <c r="AL379" s="27">
        <f>IF(C379="","",N(AF379)+N(AG379)+N(AH379)+N(AI379))</f>
        <v/>
      </c>
      <c r="AM379" s="27" t="n"/>
      <c r="AN379" s="29" t="n"/>
      <c r="AO379" s="71" t="n"/>
      <c r="AP379" s="71" t="n"/>
      <c r="AQ379" s="71" t="n"/>
      <c r="AR379" s="71" t="n"/>
      <c r="AS379" s="71" t="n"/>
      <c r="AT379" s="22" t="n"/>
    </row>
    <row r="380" ht="15" customHeight="1">
      <c r="A380" s="70">
        <f>IF(C380="","",IFERROR(IF(SUMPRODUCT(MAX((tbl_Finance[Job Number]&amp;""=C380&amp;"")*(tbl_Finance[Xero Invoice No]&lt;&gt;"")*tbl_Finance[Date]))=0,"",SUMPRODUCT(MAX((tbl_Finance[Job Number]&amp;""=C380&amp;"")*(tbl_Finance[Xero Invoice No]&lt;&gt;"")*tbl_Finance[Date]))),""))</f>
        <v/>
      </c>
      <c r="B380" s="26">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2" t="n"/>
      <c r="D380" s="26">
        <f>IF(C380="","",IF(COUNTIF(lst_Jobs,C380&amp;"")&gt;0,"OK","CHECK"))</f>
        <v/>
      </c>
      <c r="E380" s="26">
        <f>IF(C380="","",IFERROR(INDEX(lst_JobName,MATCH(C380&amp;"",lst_Jobs,0)),""))</f>
        <v/>
      </c>
      <c r="F380" s="22" t="n"/>
      <c r="G380" s="22" t="n"/>
      <c r="H380" s="22" t="n"/>
      <c r="I380" s="22" t="n"/>
      <c r="J380" s="22" t="n"/>
      <c r="K380" s="28">
        <f>IF(C380="","",COUNTIFS(tbl_Finance[Job Number],C380&amp;"",tbl_Finance[Ex GST],"&lt;&gt;"))</f>
        <v/>
      </c>
      <c r="L380" s="27">
        <f>IF(C380="","",SUMIFS(tbl_Finance[Ex GST],tbl_Finance[Job Number],C380&amp;""))</f>
        <v/>
      </c>
      <c r="M380" s="27">
        <f>IF(C380="","",SUMIFS(tbl_Finance[Ex GST],tbl_Finance[Job Number],C380&amp;"",tbl_Finance[Xero Invoice No],"&lt;&gt;"))</f>
        <v/>
      </c>
      <c r="N380" s="27">
        <f>IF(C380="","",L380-M380)</f>
        <v/>
      </c>
      <c r="O380" s="24" t="n"/>
      <c r="P380" s="27">
        <f>IF(C380="","",IF(O380="",0,MAX(0,O380-L380)))</f>
        <v/>
      </c>
      <c r="Q380" s="26">
        <f>IF(C380="","",IF(K380=0,"not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R380" s="27">
        <f>IF(C380="","",SUMIFS(tbl_Finance[Inc GST],tbl_Finance[Job Number],C380&amp;""))</f>
        <v/>
      </c>
      <c r="S380" s="22" t="n"/>
      <c r="T380" s="22" t="n"/>
      <c r="U380" s="22" t="n"/>
      <c r="V380" s="23" t="n"/>
      <c r="W380" s="22" t="n"/>
      <c r="X380" s="26">
        <f>IF(W380="","",IF(AND(LEFT(W380,4)&lt;&gt;"http",set_RMSBase=""),"",HYPERLINK(IF(LEFT(W380,4)="http",W380,set_RMSBase&amp;W380),"Open opportunity")))</f>
        <v/>
      </c>
      <c r="Y380" s="22" t="n"/>
      <c r="Z380" s="26">
        <f>IF(Y380="","",HYPERLINK(IF(LEFT(Y380,4)="http",Y380,set_QwilrBase&amp;Y380),"Open quote"))</f>
        <v/>
      </c>
      <c r="AA380" s="26">
        <f>IF(C380="","",C380)</f>
        <v/>
      </c>
      <c r="AB380" s="22" t="n"/>
      <c r="AC380" s="24" t="n"/>
      <c r="AD380" s="27">
        <f>IF(C380="","",L380+N(AC380))</f>
        <v/>
      </c>
      <c r="AE380" s="29">
        <f>IFERROR(AC380/AD380,"")</f>
        <v/>
      </c>
      <c r="AF380" s="24" t="n"/>
      <c r="AG380" s="24" t="n"/>
      <c r="AH380" s="24" t="n"/>
      <c r="AI380" s="24" t="n"/>
      <c r="AJ380" s="27">
        <f>IF(C380="","",SUMIFS(tbl_Finance[Ex GST],tbl_Finance[Job Number],C380&amp;"",tbl_Finance[Cost Centre],"VIDEO"))</f>
        <v/>
      </c>
      <c r="AK380" s="29">
        <f>IFERROR(AJ380/L380,"")</f>
        <v/>
      </c>
      <c r="AL380" s="27">
        <f>IF(C380="","",N(AF380)+N(AG380)+N(AH380)+N(AI380))</f>
        <v/>
      </c>
      <c r="AM380" s="27" t="n"/>
      <c r="AN380" s="29" t="n"/>
      <c r="AO380" s="71" t="n"/>
      <c r="AP380" s="71" t="n"/>
      <c r="AQ380" s="71" t="n"/>
      <c r="AR380" s="71" t="n"/>
      <c r="AS380" s="71" t="n"/>
      <c r="AT380" s="22" t="n"/>
    </row>
    <row r="381" ht="15" customHeight="1">
      <c r="A381" s="70">
        <f>IF(C381="","",IFERROR(IF(SUMPRODUCT(MAX((tbl_Finance[Job Number]&amp;""=C381&amp;"")*(tbl_Finance[Xero Invoice No]&lt;&gt;"")*tbl_Finance[Date]))=0,"",SUMPRODUCT(MAX((tbl_Finance[Job Number]&amp;""=C381&amp;"")*(tbl_Finance[Xero Invoice No]&lt;&gt;"")*tbl_Finance[Date]))),""))</f>
        <v/>
      </c>
      <c r="B381" s="26">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2" t="n"/>
      <c r="D381" s="26">
        <f>IF(C381="","",IF(COUNTIF(lst_Jobs,C381&amp;"")&gt;0,"OK","CHECK"))</f>
        <v/>
      </c>
      <c r="E381" s="26">
        <f>IF(C381="","",IFERROR(INDEX(lst_JobName,MATCH(C381&amp;"",lst_Jobs,0)),""))</f>
        <v/>
      </c>
      <c r="F381" s="22" t="n"/>
      <c r="G381" s="22" t="n"/>
      <c r="H381" s="22" t="n"/>
      <c r="I381" s="22" t="n"/>
      <c r="J381" s="22" t="n"/>
      <c r="K381" s="28">
        <f>IF(C381="","",COUNTIFS(tbl_Finance[Job Number],C381&amp;"",tbl_Finance[Ex GST],"&lt;&gt;"))</f>
        <v/>
      </c>
      <c r="L381" s="27">
        <f>IF(C381="","",SUMIFS(tbl_Finance[Ex GST],tbl_Finance[Job Number],C381&amp;""))</f>
        <v/>
      </c>
      <c r="M381" s="27">
        <f>IF(C381="","",SUMIFS(tbl_Finance[Ex GST],tbl_Finance[Job Number],C381&amp;"",tbl_Finance[Xero Invoice No],"&lt;&gt;"))</f>
        <v/>
      </c>
      <c r="N381" s="27">
        <f>IF(C381="","",L381-M381)</f>
        <v/>
      </c>
      <c r="O381" s="24" t="n"/>
      <c r="P381" s="27">
        <f>IF(C381="","",IF(O381="",0,MAX(0,O381-L381)))</f>
        <v/>
      </c>
      <c r="Q381" s="26">
        <f>IF(C381="","",IF(K381=0,"not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R381" s="27">
        <f>IF(C381="","",SUMIFS(tbl_Finance[Inc GST],tbl_Finance[Job Number],C381&amp;""))</f>
        <v/>
      </c>
      <c r="S381" s="22" t="n"/>
      <c r="T381" s="22" t="n"/>
      <c r="U381" s="22" t="n"/>
      <c r="V381" s="23" t="n"/>
      <c r="W381" s="22" t="n"/>
      <c r="X381" s="26">
        <f>IF(W381="","",IF(AND(LEFT(W381,4)&lt;&gt;"http",set_RMSBase=""),"",HYPERLINK(IF(LEFT(W381,4)="http",W381,set_RMSBase&amp;W381),"Open opportunity")))</f>
        <v/>
      </c>
      <c r="Y381" s="22" t="n"/>
      <c r="Z381" s="26">
        <f>IF(Y381="","",HYPERLINK(IF(LEFT(Y381,4)="http",Y381,set_QwilrBase&amp;Y381),"Open quote"))</f>
        <v/>
      </c>
      <c r="AA381" s="26">
        <f>IF(C381="","",C381)</f>
        <v/>
      </c>
      <c r="AB381" s="22" t="n"/>
      <c r="AC381" s="24" t="n"/>
      <c r="AD381" s="27">
        <f>IF(C381="","",L381+N(AC381))</f>
        <v/>
      </c>
      <c r="AE381" s="29">
        <f>IFERROR(AC381/AD381,"")</f>
        <v/>
      </c>
      <c r="AF381" s="24" t="n"/>
      <c r="AG381" s="24" t="n"/>
      <c r="AH381" s="24" t="n"/>
      <c r="AI381" s="24" t="n"/>
      <c r="AJ381" s="27">
        <f>IF(C381="","",SUMIFS(tbl_Finance[Ex GST],tbl_Finance[Job Number],C381&amp;"",tbl_Finance[Cost Centre],"VIDEO"))</f>
        <v/>
      </c>
      <c r="AK381" s="29">
        <f>IFERROR(AJ381/L381,"")</f>
        <v/>
      </c>
      <c r="AL381" s="27">
        <f>IF(C381="","",N(AF381)+N(AG381)+N(AH381)+N(AI381))</f>
        <v/>
      </c>
      <c r="AM381" s="27" t="n"/>
      <c r="AN381" s="29" t="n"/>
      <c r="AO381" s="71" t="n"/>
      <c r="AP381" s="71" t="n"/>
      <c r="AQ381" s="71" t="n"/>
      <c r="AR381" s="71" t="n"/>
      <c r="AS381" s="71" t="n"/>
      <c r="AT381" s="22" t="n"/>
    </row>
    <row r="382" ht="15" customHeight="1">
      <c r="A382" s="70">
        <f>IF(C382="","",IFERROR(IF(SUMPRODUCT(MAX((tbl_Finance[Job Number]&amp;""=C382&amp;"")*(tbl_Finance[Xero Invoice No]&lt;&gt;"")*tbl_Finance[Date]))=0,"",SUMPRODUCT(MAX((tbl_Finance[Job Number]&amp;""=C382&amp;"")*(tbl_Finance[Xero Invoice No]&lt;&gt;"")*tbl_Finance[Date]))),""))</f>
        <v/>
      </c>
      <c r="B382" s="26">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2" t="n"/>
      <c r="D382" s="26">
        <f>IF(C382="","",IF(COUNTIF(lst_Jobs,C382&amp;"")&gt;0,"OK","CHECK"))</f>
        <v/>
      </c>
      <c r="E382" s="26">
        <f>IF(C382="","",IFERROR(INDEX(lst_JobName,MATCH(C382&amp;"",lst_Jobs,0)),""))</f>
        <v/>
      </c>
      <c r="F382" s="22" t="n"/>
      <c r="G382" s="22" t="n"/>
      <c r="H382" s="22" t="n"/>
      <c r="I382" s="22" t="n"/>
      <c r="J382" s="22" t="n"/>
      <c r="K382" s="28">
        <f>IF(C382="","",COUNTIFS(tbl_Finance[Job Number],C382&amp;"",tbl_Finance[Ex GST],"&lt;&gt;"))</f>
        <v/>
      </c>
      <c r="L382" s="27">
        <f>IF(C382="","",SUMIFS(tbl_Finance[Ex GST],tbl_Finance[Job Number],C382&amp;""))</f>
        <v/>
      </c>
      <c r="M382" s="27">
        <f>IF(C382="","",SUMIFS(tbl_Finance[Ex GST],tbl_Finance[Job Number],C382&amp;"",tbl_Finance[Xero Invoice No],"&lt;&gt;"))</f>
        <v/>
      </c>
      <c r="N382" s="27">
        <f>IF(C382="","",L382-M382)</f>
        <v/>
      </c>
      <c r="O382" s="24" t="n"/>
      <c r="P382" s="27">
        <f>IF(C382="","",IF(O382="",0,MAX(0,O382-L382)))</f>
        <v/>
      </c>
      <c r="Q382" s="26">
        <f>IF(C382="","",IF(K382=0,"not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R382" s="27">
        <f>IF(C382="","",SUMIFS(tbl_Finance[Inc GST],tbl_Finance[Job Number],C382&amp;""))</f>
        <v/>
      </c>
      <c r="S382" s="22" t="n"/>
      <c r="T382" s="22" t="n"/>
      <c r="U382" s="22" t="n"/>
      <c r="V382" s="23" t="n"/>
      <c r="W382" s="22" t="n"/>
      <c r="X382" s="26">
        <f>IF(W382="","",IF(AND(LEFT(W382,4)&lt;&gt;"http",set_RMSBase=""),"",HYPERLINK(IF(LEFT(W382,4)="http",W382,set_RMSBase&amp;W382),"Open opportunity")))</f>
        <v/>
      </c>
      <c r="Y382" s="22" t="n"/>
      <c r="Z382" s="26">
        <f>IF(Y382="","",HYPERLINK(IF(LEFT(Y382,4)="http",Y382,set_QwilrBase&amp;Y382),"Open quote"))</f>
        <v/>
      </c>
      <c r="AA382" s="26">
        <f>IF(C382="","",C382)</f>
        <v/>
      </c>
      <c r="AB382" s="22" t="n"/>
      <c r="AC382" s="24" t="n"/>
      <c r="AD382" s="27">
        <f>IF(C382="","",L382+N(AC382))</f>
        <v/>
      </c>
      <c r="AE382" s="29">
        <f>IFERROR(AC382/AD382,"")</f>
        <v/>
      </c>
      <c r="AF382" s="24" t="n"/>
      <c r="AG382" s="24" t="n"/>
      <c r="AH382" s="24" t="n"/>
      <c r="AI382" s="24" t="n"/>
      <c r="AJ382" s="27">
        <f>IF(C382="","",SUMIFS(tbl_Finance[Ex GST],tbl_Finance[Job Number],C382&amp;"",tbl_Finance[Cost Centre],"VIDEO"))</f>
        <v/>
      </c>
      <c r="AK382" s="29">
        <f>IFERROR(AJ382/L382,"")</f>
        <v/>
      </c>
      <c r="AL382" s="27">
        <f>IF(C382="","",N(AF382)+N(AG382)+N(AH382)+N(AI382))</f>
        <v/>
      </c>
      <c r="AM382" s="27" t="n"/>
      <c r="AN382" s="29" t="n"/>
      <c r="AO382" s="71" t="n"/>
      <c r="AP382" s="71" t="n"/>
      <c r="AQ382" s="71" t="n"/>
      <c r="AR382" s="71" t="n"/>
      <c r="AS382" s="71" t="n"/>
      <c r="AT382" s="22" t="n"/>
    </row>
    <row r="383" ht="15" customHeight="1">
      <c r="A383" s="70">
        <f>IF(C383="","",IFERROR(IF(SUMPRODUCT(MAX((tbl_Finance[Job Number]&amp;""=C383&amp;"")*(tbl_Finance[Xero Invoice No]&lt;&gt;"")*tbl_Finance[Date]))=0,"",SUMPRODUCT(MAX((tbl_Finance[Job Number]&amp;""=C383&amp;"")*(tbl_Finance[Xero Invoice No]&lt;&gt;"")*tbl_Finance[Date]))),""))</f>
        <v/>
      </c>
      <c r="B383" s="26">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2" t="n"/>
      <c r="D383" s="26">
        <f>IF(C383="","",IF(COUNTIF(lst_Jobs,C383&amp;"")&gt;0,"OK","CHECK"))</f>
        <v/>
      </c>
      <c r="E383" s="26">
        <f>IF(C383="","",IFERROR(INDEX(lst_JobName,MATCH(C383&amp;"",lst_Jobs,0)),""))</f>
        <v/>
      </c>
      <c r="F383" s="22" t="n"/>
      <c r="G383" s="22" t="n"/>
      <c r="H383" s="22" t="n"/>
      <c r="I383" s="22" t="n"/>
      <c r="J383" s="22" t="n"/>
      <c r="K383" s="28">
        <f>IF(C383="","",COUNTIFS(tbl_Finance[Job Number],C383&amp;"",tbl_Finance[Ex GST],"&lt;&gt;"))</f>
        <v/>
      </c>
      <c r="L383" s="27">
        <f>IF(C383="","",SUMIFS(tbl_Finance[Ex GST],tbl_Finance[Job Number],C383&amp;""))</f>
        <v/>
      </c>
      <c r="M383" s="27">
        <f>IF(C383="","",SUMIFS(tbl_Finance[Ex GST],tbl_Finance[Job Number],C383&amp;"",tbl_Finance[Xero Invoice No],"&lt;&gt;"))</f>
        <v/>
      </c>
      <c r="N383" s="27">
        <f>IF(C383="","",L383-M383)</f>
        <v/>
      </c>
      <c r="O383" s="24" t="n"/>
      <c r="P383" s="27">
        <f>IF(C383="","",IF(O383="",0,MAX(0,O383-L383)))</f>
        <v/>
      </c>
      <c r="Q383" s="26">
        <f>IF(C383="","",IF(K383=0,"not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R383" s="27">
        <f>IF(C383="","",SUMIFS(tbl_Finance[Inc GST],tbl_Finance[Job Number],C383&amp;""))</f>
        <v/>
      </c>
      <c r="S383" s="22" t="n"/>
      <c r="T383" s="22" t="n"/>
      <c r="U383" s="22" t="n"/>
      <c r="V383" s="23" t="n"/>
      <c r="W383" s="22" t="n"/>
      <c r="X383" s="26">
        <f>IF(W383="","",IF(AND(LEFT(W383,4)&lt;&gt;"http",set_RMSBase=""),"",HYPERLINK(IF(LEFT(W383,4)="http",W383,set_RMSBase&amp;W383),"Open opportunity")))</f>
        <v/>
      </c>
      <c r="Y383" s="22" t="n"/>
      <c r="Z383" s="26">
        <f>IF(Y383="","",HYPERLINK(IF(LEFT(Y383,4)="http",Y383,set_QwilrBase&amp;Y383),"Open quote"))</f>
        <v/>
      </c>
      <c r="AA383" s="26">
        <f>IF(C383="","",C383)</f>
        <v/>
      </c>
      <c r="AB383" s="22" t="n"/>
      <c r="AC383" s="24" t="n"/>
      <c r="AD383" s="27">
        <f>IF(C383="","",L383+N(AC383))</f>
        <v/>
      </c>
      <c r="AE383" s="29">
        <f>IFERROR(AC383/AD383,"")</f>
        <v/>
      </c>
      <c r="AF383" s="24" t="n"/>
      <c r="AG383" s="24" t="n"/>
      <c r="AH383" s="24" t="n"/>
      <c r="AI383" s="24" t="n"/>
      <c r="AJ383" s="27">
        <f>IF(C383="","",SUMIFS(tbl_Finance[Ex GST],tbl_Finance[Job Number],C383&amp;"",tbl_Finance[Cost Centre],"VIDEO"))</f>
        <v/>
      </c>
      <c r="AK383" s="29">
        <f>IFERROR(AJ383/L383,"")</f>
        <v/>
      </c>
      <c r="AL383" s="27">
        <f>IF(C383="","",N(AF383)+N(AG383)+N(AH383)+N(AI383))</f>
        <v/>
      </c>
      <c r="AM383" s="27" t="n"/>
      <c r="AN383" s="29" t="n"/>
      <c r="AO383" s="71" t="n"/>
      <c r="AP383" s="71" t="n"/>
      <c r="AQ383" s="71" t="n"/>
      <c r="AR383" s="71" t="n"/>
      <c r="AS383" s="71" t="n"/>
      <c r="AT383" s="22" t="n"/>
    </row>
    <row r="384" ht="15" customHeight="1">
      <c r="A384" s="70">
        <f>IF(C384="","",IFERROR(IF(SUMPRODUCT(MAX((tbl_Finance[Job Number]&amp;""=C384&amp;"")*(tbl_Finance[Xero Invoice No]&lt;&gt;"")*tbl_Finance[Date]))=0,"",SUMPRODUCT(MAX((tbl_Finance[Job Number]&amp;""=C384&amp;"")*(tbl_Finance[Xero Invoice No]&lt;&gt;"")*tbl_Finance[Date]))),""))</f>
        <v/>
      </c>
      <c r="B384" s="26">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2" t="n"/>
      <c r="D384" s="26">
        <f>IF(C384="","",IF(COUNTIF(lst_Jobs,C384&amp;"")&gt;0,"OK","CHECK"))</f>
        <v/>
      </c>
      <c r="E384" s="26">
        <f>IF(C384="","",IFERROR(INDEX(lst_JobName,MATCH(C384&amp;"",lst_Jobs,0)),""))</f>
        <v/>
      </c>
      <c r="F384" s="22" t="n"/>
      <c r="G384" s="22" t="n"/>
      <c r="H384" s="22" t="n"/>
      <c r="I384" s="22" t="n"/>
      <c r="J384" s="22" t="n"/>
      <c r="K384" s="28">
        <f>IF(C384="","",COUNTIFS(tbl_Finance[Job Number],C384&amp;"",tbl_Finance[Ex GST],"&lt;&gt;"))</f>
        <v/>
      </c>
      <c r="L384" s="27">
        <f>IF(C384="","",SUMIFS(tbl_Finance[Ex GST],tbl_Finance[Job Number],C384&amp;""))</f>
        <v/>
      </c>
      <c r="M384" s="27">
        <f>IF(C384="","",SUMIFS(tbl_Finance[Ex GST],tbl_Finance[Job Number],C384&amp;"",tbl_Finance[Xero Invoice No],"&lt;&gt;"))</f>
        <v/>
      </c>
      <c r="N384" s="27">
        <f>IF(C384="","",L384-M384)</f>
        <v/>
      </c>
      <c r="O384" s="24" t="n"/>
      <c r="P384" s="27">
        <f>IF(C384="","",IF(O384="",0,MAX(0,O384-L384)))</f>
        <v/>
      </c>
      <c r="Q384" s="26">
        <f>IF(C384="","",IF(K384=0,"not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R384" s="27">
        <f>IF(C384="","",SUMIFS(tbl_Finance[Inc GST],tbl_Finance[Job Number],C384&amp;""))</f>
        <v/>
      </c>
      <c r="S384" s="22" t="n"/>
      <c r="T384" s="22" t="n"/>
      <c r="U384" s="22" t="n"/>
      <c r="V384" s="23" t="n"/>
      <c r="W384" s="22" t="n"/>
      <c r="X384" s="26">
        <f>IF(W384="","",IF(AND(LEFT(W384,4)&lt;&gt;"http",set_RMSBase=""),"",HYPERLINK(IF(LEFT(W384,4)="http",W384,set_RMSBase&amp;W384),"Open opportunity")))</f>
        <v/>
      </c>
      <c r="Y384" s="22" t="n"/>
      <c r="Z384" s="26">
        <f>IF(Y384="","",HYPERLINK(IF(LEFT(Y384,4)="http",Y384,set_QwilrBase&amp;Y384),"Open quote"))</f>
        <v/>
      </c>
      <c r="AA384" s="26">
        <f>IF(C384="","",C384)</f>
        <v/>
      </c>
      <c r="AB384" s="22" t="n"/>
      <c r="AC384" s="24" t="n"/>
      <c r="AD384" s="27">
        <f>IF(C384="","",L384+N(AC384))</f>
        <v/>
      </c>
      <c r="AE384" s="29">
        <f>IFERROR(AC384/AD384,"")</f>
        <v/>
      </c>
      <c r="AF384" s="24" t="n"/>
      <c r="AG384" s="24" t="n"/>
      <c r="AH384" s="24" t="n"/>
      <c r="AI384" s="24" t="n"/>
      <c r="AJ384" s="27">
        <f>IF(C384="","",SUMIFS(tbl_Finance[Ex GST],tbl_Finance[Job Number],C384&amp;"",tbl_Finance[Cost Centre],"VIDEO"))</f>
        <v/>
      </c>
      <c r="AK384" s="29">
        <f>IFERROR(AJ384/L384,"")</f>
        <v/>
      </c>
      <c r="AL384" s="27">
        <f>IF(C384="","",N(AF384)+N(AG384)+N(AH384)+N(AI384))</f>
        <v/>
      </c>
      <c r="AM384" s="27" t="n"/>
      <c r="AN384" s="29" t="n"/>
      <c r="AO384" s="71" t="n"/>
      <c r="AP384" s="71" t="n"/>
      <c r="AQ384" s="71" t="n"/>
      <c r="AR384" s="71" t="n"/>
      <c r="AS384" s="71" t="n"/>
      <c r="AT384" s="22" t="n"/>
    </row>
    <row r="385" ht="15" customHeight="1">
      <c r="A385" s="70">
        <f>IF(C385="","",IFERROR(IF(SUMPRODUCT(MAX((tbl_Finance[Job Number]&amp;""=C385&amp;"")*(tbl_Finance[Xero Invoice No]&lt;&gt;"")*tbl_Finance[Date]))=0,"",SUMPRODUCT(MAX((tbl_Finance[Job Number]&amp;""=C385&amp;"")*(tbl_Finance[Xero Invoice No]&lt;&gt;"")*tbl_Finance[Date]))),""))</f>
        <v/>
      </c>
      <c r="B385" s="26">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2" t="n"/>
      <c r="D385" s="26">
        <f>IF(C385="","",IF(COUNTIF(lst_Jobs,C385&amp;"")&gt;0,"OK","CHECK"))</f>
        <v/>
      </c>
      <c r="E385" s="26">
        <f>IF(C385="","",IFERROR(INDEX(lst_JobName,MATCH(C385&amp;"",lst_Jobs,0)),""))</f>
        <v/>
      </c>
      <c r="F385" s="22" t="n"/>
      <c r="G385" s="22" t="n"/>
      <c r="H385" s="22" t="n"/>
      <c r="I385" s="22" t="n"/>
      <c r="J385" s="22" t="n"/>
      <c r="K385" s="28">
        <f>IF(C385="","",COUNTIFS(tbl_Finance[Job Number],C385&amp;"",tbl_Finance[Ex GST],"&lt;&gt;"))</f>
        <v/>
      </c>
      <c r="L385" s="27">
        <f>IF(C385="","",SUMIFS(tbl_Finance[Ex GST],tbl_Finance[Job Number],C385&amp;""))</f>
        <v/>
      </c>
      <c r="M385" s="27">
        <f>IF(C385="","",SUMIFS(tbl_Finance[Ex GST],tbl_Finance[Job Number],C385&amp;"",tbl_Finance[Xero Invoice No],"&lt;&gt;"))</f>
        <v/>
      </c>
      <c r="N385" s="27">
        <f>IF(C385="","",L385-M385)</f>
        <v/>
      </c>
      <c r="O385" s="24" t="n"/>
      <c r="P385" s="27">
        <f>IF(C385="","",IF(O385="",0,MAX(0,O385-L385)))</f>
        <v/>
      </c>
      <c r="Q385" s="26">
        <f>IF(C385="","",IF(K385=0,"not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R385" s="27">
        <f>IF(C385="","",SUMIFS(tbl_Finance[Inc GST],tbl_Finance[Job Number],C385&amp;""))</f>
        <v/>
      </c>
      <c r="S385" s="22" t="n"/>
      <c r="T385" s="22" t="n"/>
      <c r="U385" s="22" t="n"/>
      <c r="V385" s="23" t="n"/>
      <c r="W385" s="22" t="n"/>
      <c r="X385" s="26">
        <f>IF(W385="","",IF(AND(LEFT(W385,4)&lt;&gt;"http",set_RMSBase=""),"",HYPERLINK(IF(LEFT(W385,4)="http",W385,set_RMSBase&amp;W385),"Open opportunity")))</f>
        <v/>
      </c>
      <c r="Y385" s="22" t="n"/>
      <c r="Z385" s="26">
        <f>IF(Y385="","",HYPERLINK(IF(LEFT(Y385,4)="http",Y385,set_QwilrBase&amp;Y385),"Open quote"))</f>
        <v/>
      </c>
      <c r="AA385" s="26">
        <f>IF(C385="","",C385)</f>
        <v/>
      </c>
      <c r="AB385" s="22" t="n"/>
      <c r="AC385" s="24" t="n"/>
      <c r="AD385" s="27">
        <f>IF(C385="","",L385+N(AC385))</f>
        <v/>
      </c>
      <c r="AE385" s="29">
        <f>IFERROR(AC385/AD385,"")</f>
        <v/>
      </c>
      <c r="AF385" s="24" t="n"/>
      <c r="AG385" s="24" t="n"/>
      <c r="AH385" s="24" t="n"/>
      <c r="AI385" s="24" t="n"/>
      <c r="AJ385" s="27">
        <f>IF(C385="","",SUMIFS(tbl_Finance[Ex GST],tbl_Finance[Job Number],C385&amp;"",tbl_Finance[Cost Centre],"VIDEO"))</f>
        <v/>
      </c>
      <c r="AK385" s="29">
        <f>IFERROR(AJ385/L385,"")</f>
        <v/>
      </c>
      <c r="AL385" s="27">
        <f>IF(C385="","",N(AF385)+N(AG385)+N(AH385)+N(AI385))</f>
        <v/>
      </c>
      <c r="AM385" s="27" t="n"/>
      <c r="AN385" s="29" t="n"/>
      <c r="AO385" s="71" t="n"/>
      <c r="AP385" s="71" t="n"/>
      <c r="AQ385" s="71" t="n"/>
      <c r="AR385" s="71" t="n"/>
      <c r="AS385" s="71" t="n"/>
      <c r="AT385" s="22" t="n"/>
    </row>
    <row r="386" ht="15" customHeight="1">
      <c r="A386" s="70">
        <f>IF(C386="","",IFERROR(IF(SUMPRODUCT(MAX((tbl_Finance[Job Number]&amp;""=C386&amp;"")*(tbl_Finance[Xero Invoice No]&lt;&gt;"")*tbl_Finance[Date]))=0,"",SUMPRODUCT(MAX((tbl_Finance[Job Number]&amp;""=C386&amp;"")*(tbl_Finance[Xero Invoice No]&lt;&gt;"")*tbl_Finance[Date]))),""))</f>
        <v/>
      </c>
      <c r="B386" s="26">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2" t="n"/>
      <c r="D386" s="26">
        <f>IF(C386="","",IF(COUNTIF(lst_Jobs,C386&amp;"")&gt;0,"OK","CHECK"))</f>
        <v/>
      </c>
      <c r="E386" s="26">
        <f>IF(C386="","",IFERROR(INDEX(lst_JobName,MATCH(C386&amp;"",lst_Jobs,0)),""))</f>
        <v/>
      </c>
      <c r="F386" s="22" t="n"/>
      <c r="G386" s="22" t="n"/>
      <c r="H386" s="22" t="n"/>
      <c r="I386" s="22" t="n"/>
      <c r="J386" s="22" t="n"/>
      <c r="K386" s="28">
        <f>IF(C386="","",COUNTIFS(tbl_Finance[Job Number],C386&amp;"",tbl_Finance[Ex GST],"&lt;&gt;"))</f>
        <v/>
      </c>
      <c r="L386" s="27">
        <f>IF(C386="","",SUMIFS(tbl_Finance[Ex GST],tbl_Finance[Job Number],C386&amp;""))</f>
        <v/>
      </c>
      <c r="M386" s="27">
        <f>IF(C386="","",SUMIFS(tbl_Finance[Ex GST],tbl_Finance[Job Number],C386&amp;"",tbl_Finance[Xero Invoice No],"&lt;&gt;"))</f>
        <v/>
      </c>
      <c r="N386" s="27">
        <f>IF(C386="","",L386-M386)</f>
        <v/>
      </c>
      <c r="O386" s="24" t="n"/>
      <c r="P386" s="27">
        <f>IF(C386="","",IF(O386="",0,MAX(0,O386-L386)))</f>
        <v/>
      </c>
      <c r="Q386" s="26">
        <f>IF(C386="","",IF(K386=0,"not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R386" s="27">
        <f>IF(C386="","",SUMIFS(tbl_Finance[Inc GST],tbl_Finance[Job Number],C386&amp;""))</f>
        <v/>
      </c>
      <c r="S386" s="22" t="n"/>
      <c r="T386" s="22" t="n"/>
      <c r="U386" s="22" t="n"/>
      <c r="V386" s="23" t="n"/>
      <c r="W386" s="22" t="n"/>
      <c r="X386" s="26">
        <f>IF(W386="","",IF(AND(LEFT(W386,4)&lt;&gt;"http",set_RMSBase=""),"",HYPERLINK(IF(LEFT(W386,4)="http",W386,set_RMSBase&amp;W386),"Open opportunity")))</f>
        <v/>
      </c>
      <c r="Y386" s="22" t="n"/>
      <c r="Z386" s="26">
        <f>IF(Y386="","",HYPERLINK(IF(LEFT(Y386,4)="http",Y386,set_QwilrBase&amp;Y386),"Open quote"))</f>
        <v/>
      </c>
      <c r="AA386" s="26">
        <f>IF(C386="","",C386)</f>
        <v/>
      </c>
      <c r="AB386" s="22" t="n"/>
      <c r="AC386" s="24" t="n"/>
      <c r="AD386" s="27">
        <f>IF(C386="","",L386+N(AC386))</f>
        <v/>
      </c>
      <c r="AE386" s="29">
        <f>IFERROR(AC386/AD386,"")</f>
        <v/>
      </c>
      <c r="AF386" s="24" t="n"/>
      <c r="AG386" s="24" t="n"/>
      <c r="AH386" s="24" t="n"/>
      <c r="AI386" s="24" t="n"/>
      <c r="AJ386" s="27">
        <f>IF(C386="","",SUMIFS(tbl_Finance[Ex GST],tbl_Finance[Job Number],C386&amp;"",tbl_Finance[Cost Centre],"VIDEO"))</f>
        <v/>
      </c>
      <c r="AK386" s="29">
        <f>IFERROR(AJ386/L386,"")</f>
        <v/>
      </c>
      <c r="AL386" s="27">
        <f>IF(C386="","",N(AF386)+N(AG386)+N(AH386)+N(AI386))</f>
        <v/>
      </c>
      <c r="AM386" s="27" t="n"/>
      <c r="AN386" s="29" t="n"/>
      <c r="AO386" s="71" t="n"/>
      <c r="AP386" s="71" t="n"/>
      <c r="AQ386" s="71" t="n"/>
      <c r="AR386" s="71" t="n"/>
      <c r="AS386" s="71" t="n"/>
      <c r="AT386" s="22" t="n"/>
    </row>
    <row r="387" ht="15" customHeight="1">
      <c r="A387" s="70">
        <f>IF(C387="","",IFERROR(IF(SUMPRODUCT(MAX((tbl_Finance[Job Number]&amp;""=C387&amp;"")*(tbl_Finance[Xero Invoice No]&lt;&gt;"")*tbl_Finance[Date]))=0,"",SUMPRODUCT(MAX((tbl_Finance[Job Number]&amp;""=C387&amp;"")*(tbl_Finance[Xero Invoice No]&lt;&gt;"")*tbl_Finance[Date]))),""))</f>
        <v/>
      </c>
      <c r="B387" s="26">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2" t="n"/>
      <c r="D387" s="26">
        <f>IF(C387="","",IF(COUNTIF(lst_Jobs,C387&amp;"")&gt;0,"OK","CHECK"))</f>
        <v/>
      </c>
      <c r="E387" s="26">
        <f>IF(C387="","",IFERROR(INDEX(lst_JobName,MATCH(C387&amp;"",lst_Jobs,0)),""))</f>
        <v/>
      </c>
      <c r="F387" s="22" t="n"/>
      <c r="G387" s="22" t="n"/>
      <c r="H387" s="22" t="n"/>
      <c r="I387" s="22" t="n"/>
      <c r="J387" s="22" t="n"/>
      <c r="K387" s="28">
        <f>IF(C387="","",COUNTIFS(tbl_Finance[Job Number],C387&amp;"",tbl_Finance[Ex GST],"&lt;&gt;"))</f>
        <v/>
      </c>
      <c r="L387" s="27">
        <f>IF(C387="","",SUMIFS(tbl_Finance[Ex GST],tbl_Finance[Job Number],C387&amp;""))</f>
        <v/>
      </c>
      <c r="M387" s="27">
        <f>IF(C387="","",SUMIFS(tbl_Finance[Ex GST],tbl_Finance[Job Number],C387&amp;"",tbl_Finance[Xero Invoice No],"&lt;&gt;"))</f>
        <v/>
      </c>
      <c r="N387" s="27">
        <f>IF(C387="","",L387-M387)</f>
        <v/>
      </c>
      <c r="O387" s="24" t="n"/>
      <c r="P387" s="27">
        <f>IF(C387="","",IF(O387="",0,MAX(0,O387-L387)))</f>
        <v/>
      </c>
      <c r="Q387" s="26">
        <f>IF(C387="","",IF(K387=0,"not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R387" s="27">
        <f>IF(C387="","",SUMIFS(tbl_Finance[Inc GST],tbl_Finance[Job Number],C387&amp;""))</f>
        <v/>
      </c>
      <c r="S387" s="22" t="n"/>
      <c r="T387" s="22" t="n"/>
      <c r="U387" s="22" t="n"/>
      <c r="V387" s="23" t="n"/>
      <c r="W387" s="22" t="n"/>
      <c r="X387" s="26">
        <f>IF(W387="","",IF(AND(LEFT(W387,4)&lt;&gt;"http",set_RMSBase=""),"",HYPERLINK(IF(LEFT(W387,4)="http",W387,set_RMSBase&amp;W387),"Open opportunity")))</f>
        <v/>
      </c>
      <c r="Y387" s="22" t="n"/>
      <c r="Z387" s="26">
        <f>IF(Y387="","",HYPERLINK(IF(LEFT(Y387,4)="http",Y387,set_QwilrBase&amp;Y387),"Open quote"))</f>
        <v/>
      </c>
      <c r="AA387" s="26">
        <f>IF(C387="","",C387)</f>
        <v/>
      </c>
      <c r="AB387" s="22" t="n"/>
      <c r="AC387" s="24" t="n"/>
      <c r="AD387" s="27">
        <f>IF(C387="","",L387+N(AC387))</f>
        <v/>
      </c>
      <c r="AE387" s="29">
        <f>IFERROR(AC387/AD387,"")</f>
        <v/>
      </c>
      <c r="AF387" s="24" t="n"/>
      <c r="AG387" s="24" t="n"/>
      <c r="AH387" s="24" t="n"/>
      <c r="AI387" s="24" t="n"/>
      <c r="AJ387" s="27">
        <f>IF(C387="","",SUMIFS(tbl_Finance[Ex GST],tbl_Finance[Job Number],C387&amp;"",tbl_Finance[Cost Centre],"VIDEO"))</f>
        <v/>
      </c>
      <c r="AK387" s="29">
        <f>IFERROR(AJ387/L387,"")</f>
        <v/>
      </c>
      <c r="AL387" s="27">
        <f>IF(C387="","",N(AF387)+N(AG387)+N(AH387)+N(AI387))</f>
        <v/>
      </c>
      <c r="AM387" s="27" t="n"/>
      <c r="AN387" s="29" t="n"/>
      <c r="AO387" s="71" t="n"/>
      <c r="AP387" s="71" t="n"/>
      <c r="AQ387" s="71" t="n"/>
      <c r="AR387" s="71" t="n"/>
      <c r="AS387" s="71" t="n"/>
      <c r="AT387" s="22" t="n"/>
    </row>
    <row r="388" ht="15" customHeight="1">
      <c r="A388" s="70">
        <f>IF(C388="","",IFERROR(IF(SUMPRODUCT(MAX((tbl_Finance[Job Number]&amp;""=C388&amp;"")*(tbl_Finance[Xero Invoice No]&lt;&gt;"")*tbl_Finance[Date]))=0,"",SUMPRODUCT(MAX((tbl_Finance[Job Number]&amp;""=C388&amp;"")*(tbl_Finance[Xero Invoice No]&lt;&gt;"")*tbl_Finance[Date]))),""))</f>
        <v/>
      </c>
      <c r="B388" s="26">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2" t="n"/>
      <c r="D388" s="26">
        <f>IF(C388="","",IF(COUNTIF(lst_Jobs,C388&amp;"")&gt;0,"OK","CHECK"))</f>
        <v/>
      </c>
      <c r="E388" s="26">
        <f>IF(C388="","",IFERROR(INDEX(lst_JobName,MATCH(C388&amp;"",lst_Jobs,0)),""))</f>
        <v/>
      </c>
      <c r="F388" s="22" t="n"/>
      <c r="G388" s="22" t="n"/>
      <c r="H388" s="22" t="n"/>
      <c r="I388" s="22" t="n"/>
      <c r="J388" s="22" t="n"/>
      <c r="K388" s="28">
        <f>IF(C388="","",COUNTIFS(tbl_Finance[Job Number],C388&amp;"",tbl_Finance[Ex GST],"&lt;&gt;"))</f>
        <v/>
      </c>
      <c r="L388" s="27">
        <f>IF(C388="","",SUMIFS(tbl_Finance[Ex GST],tbl_Finance[Job Number],C388&amp;""))</f>
        <v/>
      </c>
      <c r="M388" s="27">
        <f>IF(C388="","",SUMIFS(tbl_Finance[Ex GST],tbl_Finance[Job Number],C388&amp;"",tbl_Finance[Xero Invoice No],"&lt;&gt;"))</f>
        <v/>
      </c>
      <c r="N388" s="27">
        <f>IF(C388="","",L388-M388)</f>
        <v/>
      </c>
      <c r="O388" s="24" t="n"/>
      <c r="P388" s="27">
        <f>IF(C388="","",IF(O388="",0,MAX(0,O388-L388)))</f>
        <v/>
      </c>
      <c r="Q388" s="26">
        <f>IF(C388="","",IF(K388=0,"not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R388" s="27">
        <f>IF(C388="","",SUMIFS(tbl_Finance[Inc GST],tbl_Finance[Job Number],C388&amp;""))</f>
        <v/>
      </c>
      <c r="S388" s="22" t="n"/>
      <c r="T388" s="22" t="n"/>
      <c r="U388" s="22" t="n"/>
      <c r="V388" s="23" t="n"/>
      <c r="W388" s="22" t="n"/>
      <c r="X388" s="26">
        <f>IF(W388="","",IF(AND(LEFT(W388,4)&lt;&gt;"http",set_RMSBase=""),"",HYPERLINK(IF(LEFT(W388,4)="http",W388,set_RMSBase&amp;W388),"Open opportunity")))</f>
        <v/>
      </c>
      <c r="Y388" s="22" t="n"/>
      <c r="Z388" s="26">
        <f>IF(Y388="","",HYPERLINK(IF(LEFT(Y388,4)="http",Y388,set_QwilrBase&amp;Y388),"Open quote"))</f>
        <v/>
      </c>
      <c r="AA388" s="26">
        <f>IF(C388="","",C388)</f>
        <v/>
      </c>
      <c r="AB388" s="22" t="n"/>
      <c r="AC388" s="24" t="n"/>
      <c r="AD388" s="27">
        <f>IF(C388="","",L388+N(AC388))</f>
        <v/>
      </c>
      <c r="AE388" s="29">
        <f>IFERROR(AC388/AD388,"")</f>
        <v/>
      </c>
      <c r="AF388" s="24" t="n"/>
      <c r="AG388" s="24" t="n"/>
      <c r="AH388" s="24" t="n"/>
      <c r="AI388" s="24" t="n"/>
      <c r="AJ388" s="27">
        <f>IF(C388="","",SUMIFS(tbl_Finance[Ex GST],tbl_Finance[Job Number],C388&amp;"",tbl_Finance[Cost Centre],"VIDEO"))</f>
        <v/>
      </c>
      <c r="AK388" s="29">
        <f>IFERROR(AJ388/L388,"")</f>
        <v/>
      </c>
      <c r="AL388" s="27">
        <f>IF(C388="","",N(AF388)+N(AG388)+N(AH388)+N(AI388))</f>
        <v/>
      </c>
      <c r="AM388" s="27" t="n"/>
      <c r="AN388" s="29" t="n"/>
      <c r="AO388" s="71" t="n"/>
      <c r="AP388" s="71" t="n"/>
      <c r="AQ388" s="71" t="n"/>
      <c r="AR388" s="71" t="n"/>
      <c r="AS388" s="71" t="n"/>
      <c r="AT388" s="22" t="n"/>
    </row>
    <row r="389" ht="15" customHeight="1">
      <c r="A389" s="70">
        <f>IF(C389="","",IFERROR(IF(SUMPRODUCT(MAX((tbl_Finance[Job Number]&amp;""=C389&amp;"")*(tbl_Finance[Xero Invoice No]&lt;&gt;"")*tbl_Finance[Date]))=0,"",SUMPRODUCT(MAX((tbl_Finance[Job Number]&amp;""=C389&amp;"")*(tbl_Finance[Xero Invoice No]&lt;&gt;"")*tbl_Finance[Date]))),""))</f>
        <v/>
      </c>
      <c r="B389" s="26">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2" t="n"/>
      <c r="D389" s="26">
        <f>IF(C389="","",IF(COUNTIF(lst_Jobs,C389&amp;"")&gt;0,"OK","CHECK"))</f>
        <v/>
      </c>
      <c r="E389" s="26">
        <f>IF(C389="","",IFERROR(INDEX(lst_JobName,MATCH(C389&amp;"",lst_Jobs,0)),""))</f>
        <v/>
      </c>
      <c r="F389" s="22" t="n"/>
      <c r="G389" s="22" t="n"/>
      <c r="H389" s="22" t="n"/>
      <c r="I389" s="22" t="n"/>
      <c r="J389" s="22" t="n"/>
      <c r="K389" s="28">
        <f>IF(C389="","",COUNTIFS(tbl_Finance[Job Number],C389&amp;"",tbl_Finance[Ex GST],"&lt;&gt;"))</f>
        <v/>
      </c>
      <c r="L389" s="27">
        <f>IF(C389="","",SUMIFS(tbl_Finance[Ex GST],tbl_Finance[Job Number],C389&amp;""))</f>
        <v/>
      </c>
      <c r="M389" s="27">
        <f>IF(C389="","",SUMIFS(tbl_Finance[Ex GST],tbl_Finance[Job Number],C389&amp;"",tbl_Finance[Xero Invoice No],"&lt;&gt;"))</f>
        <v/>
      </c>
      <c r="N389" s="27">
        <f>IF(C389="","",L389-M389)</f>
        <v/>
      </c>
      <c r="O389" s="24" t="n"/>
      <c r="P389" s="27">
        <f>IF(C389="","",IF(O389="",0,MAX(0,O389-L389)))</f>
        <v/>
      </c>
      <c r="Q389" s="26">
        <f>IF(C389="","",IF(K389=0,"not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R389" s="27">
        <f>IF(C389="","",SUMIFS(tbl_Finance[Inc GST],tbl_Finance[Job Number],C389&amp;""))</f>
        <v/>
      </c>
      <c r="S389" s="22" t="n"/>
      <c r="T389" s="22" t="n"/>
      <c r="U389" s="22" t="n"/>
      <c r="V389" s="23" t="n"/>
      <c r="W389" s="22" t="n"/>
      <c r="X389" s="26">
        <f>IF(W389="","",IF(AND(LEFT(W389,4)&lt;&gt;"http",set_RMSBase=""),"",HYPERLINK(IF(LEFT(W389,4)="http",W389,set_RMSBase&amp;W389),"Open opportunity")))</f>
        <v/>
      </c>
      <c r="Y389" s="22" t="n"/>
      <c r="Z389" s="26">
        <f>IF(Y389="","",HYPERLINK(IF(LEFT(Y389,4)="http",Y389,set_QwilrBase&amp;Y389),"Open quote"))</f>
        <v/>
      </c>
      <c r="AA389" s="26">
        <f>IF(C389="","",C389)</f>
        <v/>
      </c>
      <c r="AB389" s="22" t="n"/>
      <c r="AC389" s="24" t="n"/>
      <c r="AD389" s="27">
        <f>IF(C389="","",L389+N(AC389))</f>
        <v/>
      </c>
      <c r="AE389" s="29">
        <f>IFERROR(AC389/AD389,"")</f>
        <v/>
      </c>
      <c r="AF389" s="24" t="n"/>
      <c r="AG389" s="24" t="n"/>
      <c r="AH389" s="24" t="n"/>
      <c r="AI389" s="24" t="n"/>
      <c r="AJ389" s="27">
        <f>IF(C389="","",SUMIFS(tbl_Finance[Ex GST],tbl_Finance[Job Number],C389&amp;"",tbl_Finance[Cost Centre],"VIDEO"))</f>
        <v/>
      </c>
      <c r="AK389" s="29">
        <f>IFERROR(AJ389/L389,"")</f>
        <v/>
      </c>
      <c r="AL389" s="27">
        <f>IF(C389="","",N(AF389)+N(AG389)+N(AH389)+N(AI389))</f>
        <v/>
      </c>
      <c r="AM389" s="27" t="n"/>
      <c r="AN389" s="29" t="n"/>
      <c r="AO389" s="71" t="n"/>
      <c r="AP389" s="71" t="n"/>
      <c r="AQ389" s="71" t="n"/>
      <c r="AR389" s="71" t="n"/>
      <c r="AS389" s="71" t="n"/>
      <c r="AT389" s="22" t="n"/>
    </row>
    <row r="390" ht="15" customHeight="1">
      <c r="A390" s="70">
        <f>IF(C390="","",IFERROR(IF(SUMPRODUCT(MAX((tbl_Finance[Job Number]&amp;""=C390&amp;"")*(tbl_Finance[Xero Invoice No]&lt;&gt;"")*tbl_Finance[Date]))=0,"",SUMPRODUCT(MAX((tbl_Finance[Job Number]&amp;""=C390&amp;"")*(tbl_Finance[Xero Invoice No]&lt;&gt;"")*tbl_Finance[Date]))),""))</f>
        <v/>
      </c>
      <c r="B390" s="26">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2" t="n"/>
      <c r="D390" s="26">
        <f>IF(C390="","",IF(COUNTIF(lst_Jobs,C390&amp;"")&gt;0,"OK","CHECK"))</f>
        <v/>
      </c>
      <c r="E390" s="26">
        <f>IF(C390="","",IFERROR(INDEX(lst_JobName,MATCH(C390&amp;"",lst_Jobs,0)),""))</f>
        <v/>
      </c>
      <c r="F390" s="22" t="n"/>
      <c r="G390" s="22" t="n"/>
      <c r="H390" s="22" t="n"/>
      <c r="I390" s="22" t="n"/>
      <c r="J390" s="22" t="n"/>
      <c r="K390" s="28">
        <f>IF(C390="","",COUNTIFS(tbl_Finance[Job Number],C390&amp;"",tbl_Finance[Ex GST],"&lt;&gt;"))</f>
        <v/>
      </c>
      <c r="L390" s="27">
        <f>IF(C390="","",SUMIFS(tbl_Finance[Ex GST],tbl_Finance[Job Number],C390&amp;""))</f>
        <v/>
      </c>
      <c r="M390" s="27">
        <f>IF(C390="","",SUMIFS(tbl_Finance[Ex GST],tbl_Finance[Job Number],C390&amp;"",tbl_Finance[Xero Invoice No],"&lt;&gt;"))</f>
        <v/>
      </c>
      <c r="N390" s="27">
        <f>IF(C390="","",L390-M390)</f>
        <v/>
      </c>
      <c r="O390" s="24" t="n"/>
      <c r="P390" s="27">
        <f>IF(C390="","",IF(O390="",0,MAX(0,O390-L390)))</f>
        <v/>
      </c>
      <c r="Q390" s="26">
        <f>IF(C390="","",IF(K390=0,"not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R390" s="27">
        <f>IF(C390="","",SUMIFS(tbl_Finance[Inc GST],tbl_Finance[Job Number],C390&amp;""))</f>
        <v/>
      </c>
      <c r="S390" s="22" t="n"/>
      <c r="T390" s="22" t="n"/>
      <c r="U390" s="22" t="n"/>
      <c r="V390" s="23" t="n"/>
      <c r="W390" s="22" t="n"/>
      <c r="X390" s="26">
        <f>IF(W390="","",IF(AND(LEFT(W390,4)&lt;&gt;"http",set_RMSBase=""),"",HYPERLINK(IF(LEFT(W390,4)="http",W390,set_RMSBase&amp;W390),"Open opportunity")))</f>
        <v/>
      </c>
      <c r="Y390" s="22" t="n"/>
      <c r="Z390" s="26">
        <f>IF(Y390="","",HYPERLINK(IF(LEFT(Y390,4)="http",Y390,set_QwilrBase&amp;Y390),"Open quote"))</f>
        <v/>
      </c>
      <c r="AA390" s="26">
        <f>IF(C390="","",C390)</f>
        <v/>
      </c>
      <c r="AB390" s="22" t="n"/>
      <c r="AC390" s="24" t="n"/>
      <c r="AD390" s="27">
        <f>IF(C390="","",L390+N(AC390))</f>
        <v/>
      </c>
      <c r="AE390" s="29">
        <f>IFERROR(AC390/AD390,"")</f>
        <v/>
      </c>
      <c r="AF390" s="24" t="n"/>
      <c r="AG390" s="24" t="n"/>
      <c r="AH390" s="24" t="n"/>
      <c r="AI390" s="24" t="n"/>
      <c r="AJ390" s="27">
        <f>IF(C390="","",SUMIFS(tbl_Finance[Ex GST],tbl_Finance[Job Number],C390&amp;"",tbl_Finance[Cost Centre],"VIDEO"))</f>
        <v/>
      </c>
      <c r="AK390" s="29">
        <f>IFERROR(AJ390/L390,"")</f>
        <v/>
      </c>
      <c r="AL390" s="27">
        <f>IF(C390="","",N(AF390)+N(AG390)+N(AH390)+N(AI390))</f>
        <v/>
      </c>
      <c r="AM390" s="27" t="n"/>
      <c r="AN390" s="29" t="n"/>
      <c r="AO390" s="71" t="n"/>
      <c r="AP390" s="71" t="n"/>
      <c r="AQ390" s="71" t="n"/>
      <c r="AR390" s="71" t="n"/>
      <c r="AS390" s="71" t="n"/>
      <c r="AT390" s="22" t="n"/>
    </row>
    <row r="391" ht="15" customHeight="1">
      <c r="A391" s="70">
        <f>IF(C391="","",IFERROR(IF(SUMPRODUCT(MAX((tbl_Finance[Job Number]&amp;""=C391&amp;"")*(tbl_Finance[Xero Invoice No]&lt;&gt;"")*tbl_Finance[Date]))=0,"",SUMPRODUCT(MAX((tbl_Finance[Job Number]&amp;""=C391&amp;"")*(tbl_Finance[Xero Invoice No]&lt;&gt;"")*tbl_Finance[Date]))),""))</f>
        <v/>
      </c>
      <c r="B391" s="26">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2" t="n"/>
      <c r="D391" s="26">
        <f>IF(C391="","",IF(COUNTIF(lst_Jobs,C391&amp;"")&gt;0,"OK","CHECK"))</f>
        <v/>
      </c>
      <c r="E391" s="26">
        <f>IF(C391="","",IFERROR(INDEX(lst_JobName,MATCH(C391&amp;"",lst_Jobs,0)),""))</f>
        <v/>
      </c>
      <c r="F391" s="22" t="n"/>
      <c r="G391" s="22" t="n"/>
      <c r="H391" s="22" t="n"/>
      <c r="I391" s="22" t="n"/>
      <c r="J391" s="22" t="n"/>
      <c r="K391" s="28">
        <f>IF(C391="","",COUNTIFS(tbl_Finance[Job Number],C391&amp;"",tbl_Finance[Ex GST],"&lt;&gt;"))</f>
        <v/>
      </c>
      <c r="L391" s="27">
        <f>IF(C391="","",SUMIFS(tbl_Finance[Ex GST],tbl_Finance[Job Number],C391&amp;""))</f>
        <v/>
      </c>
      <c r="M391" s="27">
        <f>IF(C391="","",SUMIFS(tbl_Finance[Ex GST],tbl_Finance[Job Number],C391&amp;"",tbl_Finance[Xero Invoice No],"&lt;&gt;"))</f>
        <v/>
      </c>
      <c r="N391" s="27">
        <f>IF(C391="","",L391-M391)</f>
        <v/>
      </c>
      <c r="O391" s="24" t="n"/>
      <c r="P391" s="27">
        <f>IF(C391="","",IF(O391="",0,MAX(0,O391-L391)))</f>
        <v/>
      </c>
      <c r="Q391" s="26">
        <f>IF(C391="","",IF(K391=0,"not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R391" s="27">
        <f>IF(C391="","",SUMIFS(tbl_Finance[Inc GST],tbl_Finance[Job Number],C391&amp;""))</f>
        <v/>
      </c>
      <c r="S391" s="22" t="n"/>
      <c r="T391" s="22" t="n"/>
      <c r="U391" s="22" t="n"/>
      <c r="V391" s="23" t="n"/>
      <c r="W391" s="22" t="n"/>
      <c r="X391" s="26">
        <f>IF(W391="","",IF(AND(LEFT(W391,4)&lt;&gt;"http",set_RMSBase=""),"",HYPERLINK(IF(LEFT(W391,4)="http",W391,set_RMSBase&amp;W391),"Open opportunity")))</f>
        <v/>
      </c>
      <c r="Y391" s="22" t="n"/>
      <c r="Z391" s="26">
        <f>IF(Y391="","",HYPERLINK(IF(LEFT(Y391,4)="http",Y391,set_QwilrBase&amp;Y391),"Open quote"))</f>
        <v/>
      </c>
      <c r="AA391" s="26">
        <f>IF(C391="","",C391)</f>
        <v/>
      </c>
      <c r="AB391" s="22" t="n"/>
      <c r="AC391" s="24" t="n"/>
      <c r="AD391" s="27">
        <f>IF(C391="","",L391+N(AC391))</f>
        <v/>
      </c>
      <c r="AE391" s="29">
        <f>IFERROR(AC391/AD391,"")</f>
        <v/>
      </c>
      <c r="AF391" s="24" t="n"/>
      <c r="AG391" s="24" t="n"/>
      <c r="AH391" s="24" t="n"/>
      <c r="AI391" s="24" t="n"/>
      <c r="AJ391" s="27">
        <f>IF(C391="","",SUMIFS(tbl_Finance[Ex GST],tbl_Finance[Job Number],C391&amp;"",tbl_Finance[Cost Centre],"VIDEO"))</f>
        <v/>
      </c>
      <c r="AK391" s="29">
        <f>IFERROR(AJ391/L391,"")</f>
        <v/>
      </c>
      <c r="AL391" s="27">
        <f>IF(C391="","",N(AF391)+N(AG391)+N(AH391)+N(AI391))</f>
        <v/>
      </c>
      <c r="AM391" s="27" t="n"/>
      <c r="AN391" s="29" t="n"/>
      <c r="AO391" s="71" t="n"/>
      <c r="AP391" s="71" t="n"/>
      <c r="AQ391" s="71" t="n"/>
      <c r="AR391" s="71" t="n"/>
      <c r="AS391" s="71" t="n"/>
      <c r="AT391" s="22" t="n"/>
    </row>
    <row r="392" ht="15" customHeight="1">
      <c r="A392" s="70">
        <f>IF(C392="","",IFERROR(IF(SUMPRODUCT(MAX((tbl_Finance[Job Number]&amp;""=C392&amp;"")*(tbl_Finance[Xero Invoice No]&lt;&gt;"")*tbl_Finance[Date]))=0,"",SUMPRODUCT(MAX((tbl_Finance[Job Number]&amp;""=C392&amp;"")*(tbl_Finance[Xero Invoice No]&lt;&gt;"")*tbl_Finance[Date]))),""))</f>
        <v/>
      </c>
      <c r="B392" s="26">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2" t="n"/>
      <c r="D392" s="26">
        <f>IF(C392="","",IF(COUNTIF(lst_Jobs,C392&amp;"")&gt;0,"OK","CHECK"))</f>
        <v/>
      </c>
      <c r="E392" s="26">
        <f>IF(C392="","",IFERROR(INDEX(lst_JobName,MATCH(C392&amp;"",lst_Jobs,0)),""))</f>
        <v/>
      </c>
      <c r="F392" s="22" t="n"/>
      <c r="G392" s="22" t="n"/>
      <c r="H392" s="22" t="n"/>
      <c r="I392" s="22" t="n"/>
      <c r="J392" s="22" t="n"/>
      <c r="K392" s="28">
        <f>IF(C392="","",COUNTIFS(tbl_Finance[Job Number],C392&amp;"",tbl_Finance[Ex GST],"&lt;&gt;"))</f>
        <v/>
      </c>
      <c r="L392" s="27">
        <f>IF(C392="","",SUMIFS(tbl_Finance[Ex GST],tbl_Finance[Job Number],C392&amp;""))</f>
        <v/>
      </c>
      <c r="M392" s="27">
        <f>IF(C392="","",SUMIFS(tbl_Finance[Ex GST],tbl_Finance[Job Number],C392&amp;"",tbl_Finance[Xero Invoice No],"&lt;&gt;"))</f>
        <v/>
      </c>
      <c r="N392" s="27">
        <f>IF(C392="","",L392-M392)</f>
        <v/>
      </c>
      <c r="O392" s="24" t="n"/>
      <c r="P392" s="27">
        <f>IF(C392="","",IF(O392="",0,MAX(0,O392-L392)))</f>
        <v/>
      </c>
      <c r="Q392" s="26">
        <f>IF(C392="","",IF(K392=0,"not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R392" s="27">
        <f>IF(C392="","",SUMIFS(tbl_Finance[Inc GST],tbl_Finance[Job Number],C392&amp;""))</f>
        <v/>
      </c>
      <c r="S392" s="22" t="n"/>
      <c r="T392" s="22" t="n"/>
      <c r="U392" s="22" t="n"/>
      <c r="V392" s="23" t="n"/>
      <c r="W392" s="22" t="n"/>
      <c r="X392" s="26">
        <f>IF(W392="","",IF(AND(LEFT(W392,4)&lt;&gt;"http",set_RMSBase=""),"",HYPERLINK(IF(LEFT(W392,4)="http",W392,set_RMSBase&amp;W392),"Open opportunity")))</f>
        <v/>
      </c>
      <c r="Y392" s="22" t="n"/>
      <c r="Z392" s="26">
        <f>IF(Y392="","",HYPERLINK(IF(LEFT(Y392,4)="http",Y392,set_QwilrBase&amp;Y392),"Open quote"))</f>
        <v/>
      </c>
      <c r="AA392" s="26">
        <f>IF(C392="","",C392)</f>
        <v/>
      </c>
      <c r="AB392" s="22" t="n"/>
      <c r="AC392" s="24" t="n"/>
      <c r="AD392" s="27">
        <f>IF(C392="","",L392+N(AC392))</f>
        <v/>
      </c>
      <c r="AE392" s="29">
        <f>IFERROR(AC392/AD392,"")</f>
        <v/>
      </c>
      <c r="AF392" s="24" t="n"/>
      <c r="AG392" s="24" t="n"/>
      <c r="AH392" s="24" t="n"/>
      <c r="AI392" s="24" t="n"/>
      <c r="AJ392" s="27">
        <f>IF(C392="","",SUMIFS(tbl_Finance[Ex GST],tbl_Finance[Job Number],C392&amp;"",tbl_Finance[Cost Centre],"VIDEO"))</f>
        <v/>
      </c>
      <c r="AK392" s="29">
        <f>IFERROR(AJ392/L392,"")</f>
        <v/>
      </c>
      <c r="AL392" s="27">
        <f>IF(C392="","",N(AF392)+N(AG392)+N(AH392)+N(AI392))</f>
        <v/>
      </c>
      <c r="AM392" s="27" t="n"/>
      <c r="AN392" s="29" t="n"/>
      <c r="AO392" s="71" t="n"/>
      <c r="AP392" s="71" t="n"/>
      <c r="AQ392" s="71" t="n"/>
      <c r="AR392" s="71" t="n"/>
      <c r="AS392" s="71" t="n"/>
      <c r="AT392" s="22" t="n"/>
    </row>
    <row r="393" ht="15" customHeight="1">
      <c r="A393" s="70">
        <f>IF(C393="","",IFERROR(IF(SUMPRODUCT(MAX((tbl_Finance[Job Number]&amp;""=C393&amp;"")*(tbl_Finance[Xero Invoice No]&lt;&gt;"")*tbl_Finance[Date]))=0,"",SUMPRODUCT(MAX((tbl_Finance[Job Number]&amp;""=C393&amp;"")*(tbl_Finance[Xero Invoice No]&lt;&gt;"")*tbl_Finance[Date]))),""))</f>
        <v/>
      </c>
      <c r="B393" s="26">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2" t="n"/>
      <c r="D393" s="26">
        <f>IF(C393="","",IF(COUNTIF(lst_Jobs,C393&amp;"")&gt;0,"OK","CHECK"))</f>
        <v/>
      </c>
      <c r="E393" s="26">
        <f>IF(C393="","",IFERROR(INDEX(lst_JobName,MATCH(C393&amp;"",lst_Jobs,0)),""))</f>
        <v/>
      </c>
      <c r="F393" s="22" t="n"/>
      <c r="G393" s="22" t="n"/>
      <c r="H393" s="22" t="n"/>
      <c r="I393" s="22" t="n"/>
      <c r="J393" s="22" t="n"/>
      <c r="K393" s="28">
        <f>IF(C393="","",COUNTIFS(tbl_Finance[Job Number],C393&amp;"",tbl_Finance[Ex GST],"&lt;&gt;"))</f>
        <v/>
      </c>
      <c r="L393" s="27">
        <f>IF(C393="","",SUMIFS(tbl_Finance[Ex GST],tbl_Finance[Job Number],C393&amp;""))</f>
        <v/>
      </c>
      <c r="M393" s="27">
        <f>IF(C393="","",SUMIFS(tbl_Finance[Ex GST],tbl_Finance[Job Number],C393&amp;"",tbl_Finance[Xero Invoice No],"&lt;&gt;"))</f>
        <v/>
      </c>
      <c r="N393" s="27">
        <f>IF(C393="","",L393-M393)</f>
        <v/>
      </c>
      <c r="O393" s="24" t="n"/>
      <c r="P393" s="27">
        <f>IF(C393="","",IF(O393="",0,MAX(0,O393-L393)))</f>
        <v/>
      </c>
      <c r="Q393" s="26">
        <f>IF(C393="","",IF(K393=0,"not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R393" s="27">
        <f>IF(C393="","",SUMIFS(tbl_Finance[Inc GST],tbl_Finance[Job Number],C393&amp;""))</f>
        <v/>
      </c>
      <c r="S393" s="22" t="n"/>
      <c r="T393" s="22" t="n"/>
      <c r="U393" s="22" t="n"/>
      <c r="V393" s="23" t="n"/>
      <c r="W393" s="22" t="n"/>
      <c r="X393" s="26">
        <f>IF(W393="","",IF(AND(LEFT(W393,4)&lt;&gt;"http",set_RMSBase=""),"",HYPERLINK(IF(LEFT(W393,4)="http",W393,set_RMSBase&amp;W393),"Open opportunity")))</f>
        <v/>
      </c>
      <c r="Y393" s="22" t="n"/>
      <c r="Z393" s="26">
        <f>IF(Y393="","",HYPERLINK(IF(LEFT(Y393,4)="http",Y393,set_QwilrBase&amp;Y393),"Open quote"))</f>
        <v/>
      </c>
      <c r="AA393" s="26">
        <f>IF(C393="","",C393)</f>
        <v/>
      </c>
      <c r="AB393" s="22" t="n"/>
      <c r="AC393" s="24" t="n"/>
      <c r="AD393" s="27">
        <f>IF(C393="","",L393+N(AC393))</f>
        <v/>
      </c>
      <c r="AE393" s="29">
        <f>IFERROR(AC393/AD393,"")</f>
        <v/>
      </c>
      <c r="AF393" s="24" t="n"/>
      <c r="AG393" s="24" t="n"/>
      <c r="AH393" s="24" t="n"/>
      <c r="AI393" s="24" t="n"/>
      <c r="AJ393" s="27">
        <f>IF(C393="","",SUMIFS(tbl_Finance[Ex GST],tbl_Finance[Job Number],C393&amp;"",tbl_Finance[Cost Centre],"VIDEO"))</f>
        <v/>
      </c>
      <c r="AK393" s="29">
        <f>IFERROR(AJ393/L393,"")</f>
        <v/>
      </c>
      <c r="AL393" s="27">
        <f>IF(C393="","",N(AF393)+N(AG393)+N(AH393)+N(AI393))</f>
        <v/>
      </c>
      <c r="AM393" s="27" t="n"/>
      <c r="AN393" s="29" t="n"/>
      <c r="AO393" s="71" t="n"/>
      <c r="AP393" s="71" t="n"/>
      <c r="AQ393" s="71" t="n"/>
      <c r="AR393" s="71" t="n"/>
      <c r="AS393" s="71" t="n"/>
      <c r="AT393" s="22" t="n"/>
    </row>
    <row r="394" ht="15" customHeight="1">
      <c r="A394" s="70">
        <f>IF(C394="","",IFERROR(IF(SUMPRODUCT(MAX((tbl_Finance[Job Number]&amp;""=C394&amp;"")*(tbl_Finance[Xero Invoice No]&lt;&gt;"")*tbl_Finance[Date]))=0,"",SUMPRODUCT(MAX((tbl_Finance[Job Number]&amp;""=C394&amp;"")*(tbl_Finance[Xero Invoice No]&lt;&gt;"")*tbl_Finance[Date]))),""))</f>
        <v/>
      </c>
      <c r="B394" s="26">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2" t="n"/>
      <c r="D394" s="26">
        <f>IF(C394="","",IF(COUNTIF(lst_Jobs,C394&amp;"")&gt;0,"OK","CHECK"))</f>
        <v/>
      </c>
      <c r="E394" s="26">
        <f>IF(C394="","",IFERROR(INDEX(lst_JobName,MATCH(C394&amp;"",lst_Jobs,0)),""))</f>
        <v/>
      </c>
      <c r="F394" s="22" t="n"/>
      <c r="G394" s="22" t="n"/>
      <c r="H394" s="22" t="n"/>
      <c r="I394" s="22" t="n"/>
      <c r="J394" s="22" t="n"/>
      <c r="K394" s="28">
        <f>IF(C394="","",COUNTIFS(tbl_Finance[Job Number],C394&amp;"",tbl_Finance[Ex GST],"&lt;&gt;"))</f>
        <v/>
      </c>
      <c r="L394" s="27">
        <f>IF(C394="","",SUMIFS(tbl_Finance[Ex GST],tbl_Finance[Job Number],C394&amp;""))</f>
        <v/>
      </c>
      <c r="M394" s="27">
        <f>IF(C394="","",SUMIFS(tbl_Finance[Ex GST],tbl_Finance[Job Number],C394&amp;"",tbl_Finance[Xero Invoice No],"&lt;&gt;"))</f>
        <v/>
      </c>
      <c r="N394" s="27">
        <f>IF(C394="","",L394-M394)</f>
        <v/>
      </c>
      <c r="O394" s="24" t="n"/>
      <c r="P394" s="27">
        <f>IF(C394="","",IF(O394="",0,MAX(0,O394-L394)))</f>
        <v/>
      </c>
      <c r="Q394" s="26">
        <f>IF(C394="","",IF(K394=0,"not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R394" s="27">
        <f>IF(C394="","",SUMIFS(tbl_Finance[Inc GST],tbl_Finance[Job Number],C394&amp;""))</f>
        <v/>
      </c>
      <c r="S394" s="22" t="n"/>
      <c r="T394" s="22" t="n"/>
      <c r="U394" s="22" t="n"/>
      <c r="V394" s="23" t="n"/>
      <c r="W394" s="22" t="n"/>
      <c r="X394" s="26">
        <f>IF(W394="","",IF(AND(LEFT(W394,4)&lt;&gt;"http",set_RMSBase=""),"",HYPERLINK(IF(LEFT(W394,4)="http",W394,set_RMSBase&amp;W394),"Open opportunity")))</f>
        <v/>
      </c>
      <c r="Y394" s="22" t="n"/>
      <c r="Z394" s="26">
        <f>IF(Y394="","",HYPERLINK(IF(LEFT(Y394,4)="http",Y394,set_QwilrBase&amp;Y394),"Open quote"))</f>
        <v/>
      </c>
      <c r="AA394" s="26">
        <f>IF(C394="","",C394)</f>
        <v/>
      </c>
      <c r="AB394" s="22" t="n"/>
      <c r="AC394" s="24" t="n"/>
      <c r="AD394" s="27">
        <f>IF(C394="","",L394+N(AC394))</f>
        <v/>
      </c>
      <c r="AE394" s="29">
        <f>IFERROR(AC394/AD394,"")</f>
        <v/>
      </c>
      <c r="AF394" s="24" t="n"/>
      <c r="AG394" s="24" t="n"/>
      <c r="AH394" s="24" t="n"/>
      <c r="AI394" s="24" t="n"/>
      <c r="AJ394" s="27">
        <f>IF(C394="","",SUMIFS(tbl_Finance[Ex GST],tbl_Finance[Job Number],C394&amp;"",tbl_Finance[Cost Centre],"VIDEO"))</f>
        <v/>
      </c>
      <c r="AK394" s="29">
        <f>IFERROR(AJ394/L394,"")</f>
        <v/>
      </c>
      <c r="AL394" s="27">
        <f>IF(C394="","",N(AF394)+N(AG394)+N(AH394)+N(AI394))</f>
        <v/>
      </c>
      <c r="AM394" s="27" t="n"/>
      <c r="AN394" s="29" t="n"/>
      <c r="AO394" s="71" t="n"/>
      <c r="AP394" s="71" t="n"/>
      <c r="AQ394" s="71" t="n"/>
      <c r="AR394" s="71" t="n"/>
      <c r="AS394" s="71" t="n"/>
      <c r="AT394" s="22" t="n"/>
    </row>
    <row r="395" ht="15" customHeight="1">
      <c r="A395" s="70">
        <f>IF(C395="","",IFERROR(IF(SUMPRODUCT(MAX((tbl_Finance[Job Number]&amp;""=C395&amp;"")*(tbl_Finance[Xero Invoice No]&lt;&gt;"")*tbl_Finance[Date]))=0,"",SUMPRODUCT(MAX((tbl_Finance[Job Number]&amp;""=C395&amp;"")*(tbl_Finance[Xero Invoice No]&lt;&gt;"")*tbl_Finance[Date]))),""))</f>
        <v/>
      </c>
      <c r="B395" s="26">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2" t="n"/>
      <c r="D395" s="26">
        <f>IF(C395="","",IF(COUNTIF(lst_Jobs,C395&amp;"")&gt;0,"OK","CHECK"))</f>
        <v/>
      </c>
      <c r="E395" s="26">
        <f>IF(C395="","",IFERROR(INDEX(lst_JobName,MATCH(C395&amp;"",lst_Jobs,0)),""))</f>
        <v/>
      </c>
      <c r="F395" s="22" t="n"/>
      <c r="G395" s="22" t="n"/>
      <c r="H395" s="22" t="n"/>
      <c r="I395" s="22" t="n"/>
      <c r="J395" s="22" t="n"/>
      <c r="K395" s="28">
        <f>IF(C395="","",COUNTIFS(tbl_Finance[Job Number],C395&amp;"",tbl_Finance[Ex GST],"&lt;&gt;"))</f>
        <v/>
      </c>
      <c r="L395" s="27">
        <f>IF(C395="","",SUMIFS(tbl_Finance[Ex GST],tbl_Finance[Job Number],C395&amp;""))</f>
        <v/>
      </c>
      <c r="M395" s="27">
        <f>IF(C395="","",SUMIFS(tbl_Finance[Ex GST],tbl_Finance[Job Number],C395&amp;"",tbl_Finance[Xero Invoice No],"&lt;&gt;"))</f>
        <v/>
      </c>
      <c r="N395" s="27">
        <f>IF(C395="","",L395-M395)</f>
        <v/>
      </c>
      <c r="O395" s="24" t="n"/>
      <c r="P395" s="27">
        <f>IF(C395="","",IF(O395="",0,MAX(0,O395-L395)))</f>
        <v/>
      </c>
      <c r="Q395" s="26">
        <f>IF(C395="","",IF(K395=0,"not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R395" s="27">
        <f>IF(C395="","",SUMIFS(tbl_Finance[Inc GST],tbl_Finance[Job Number],C395&amp;""))</f>
        <v/>
      </c>
      <c r="S395" s="22" t="n"/>
      <c r="T395" s="22" t="n"/>
      <c r="U395" s="22" t="n"/>
      <c r="V395" s="23" t="n"/>
      <c r="W395" s="22" t="n"/>
      <c r="X395" s="26">
        <f>IF(W395="","",IF(AND(LEFT(W395,4)&lt;&gt;"http",set_RMSBase=""),"",HYPERLINK(IF(LEFT(W395,4)="http",W395,set_RMSBase&amp;W395),"Open opportunity")))</f>
        <v/>
      </c>
      <c r="Y395" s="22" t="n"/>
      <c r="Z395" s="26">
        <f>IF(Y395="","",HYPERLINK(IF(LEFT(Y395,4)="http",Y395,set_QwilrBase&amp;Y395),"Open quote"))</f>
        <v/>
      </c>
      <c r="AA395" s="26">
        <f>IF(C395="","",C395)</f>
        <v/>
      </c>
      <c r="AB395" s="22" t="n"/>
      <c r="AC395" s="24" t="n"/>
      <c r="AD395" s="27">
        <f>IF(C395="","",L395+N(AC395))</f>
        <v/>
      </c>
      <c r="AE395" s="29">
        <f>IFERROR(AC395/AD395,"")</f>
        <v/>
      </c>
      <c r="AF395" s="24" t="n"/>
      <c r="AG395" s="24" t="n"/>
      <c r="AH395" s="24" t="n"/>
      <c r="AI395" s="24" t="n"/>
      <c r="AJ395" s="27">
        <f>IF(C395="","",SUMIFS(tbl_Finance[Ex GST],tbl_Finance[Job Number],C395&amp;"",tbl_Finance[Cost Centre],"VIDEO"))</f>
        <v/>
      </c>
      <c r="AK395" s="29">
        <f>IFERROR(AJ395/L395,"")</f>
        <v/>
      </c>
      <c r="AL395" s="27">
        <f>IF(C395="","",N(AF395)+N(AG395)+N(AH395)+N(AI395))</f>
        <v/>
      </c>
      <c r="AM395" s="27" t="n"/>
      <c r="AN395" s="29" t="n"/>
      <c r="AO395" s="71" t="n"/>
      <c r="AP395" s="71" t="n"/>
      <c r="AQ395" s="71" t="n"/>
      <c r="AR395" s="71" t="n"/>
      <c r="AS395" s="71" t="n"/>
      <c r="AT395" s="22" t="n"/>
    </row>
    <row r="396" ht="15" customHeight="1">
      <c r="A396" s="70">
        <f>IF(C396="","",IFERROR(IF(SUMPRODUCT(MAX((tbl_Finance[Job Number]&amp;""=C396&amp;"")*(tbl_Finance[Xero Invoice No]&lt;&gt;"")*tbl_Finance[Date]))=0,"",SUMPRODUCT(MAX((tbl_Finance[Job Number]&amp;""=C396&amp;"")*(tbl_Finance[Xero Invoice No]&lt;&gt;"")*tbl_Finance[Date]))),""))</f>
        <v/>
      </c>
      <c r="B396" s="26">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2" t="n"/>
      <c r="D396" s="26">
        <f>IF(C396="","",IF(COUNTIF(lst_Jobs,C396&amp;"")&gt;0,"OK","CHECK"))</f>
        <v/>
      </c>
      <c r="E396" s="26">
        <f>IF(C396="","",IFERROR(INDEX(lst_JobName,MATCH(C396&amp;"",lst_Jobs,0)),""))</f>
        <v/>
      </c>
      <c r="F396" s="22" t="n"/>
      <c r="G396" s="22" t="n"/>
      <c r="H396" s="22" t="n"/>
      <c r="I396" s="22" t="n"/>
      <c r="J396" s="22" t="n"/>
      <c r="K396" s="28">
        <f>IF(C396="","",COUNTIFS(tbl_Finance[Job Number],C396&amp;"",tbl_Finance[Ex GST],"&lt;&gt;"))</f>
        <v/>
      </c>
      <c r="L396" s="27">
        <f>IF(C396="","",SUMIFS(tbl_Finance[Ex GST],tbl_Finance[Job Number],C396&amp;""))</f>
        <v/>
      </c>
      <c r="M396" s="27">
        <f>IF(C396="","",SUMIFS(tbl_Finance[Ex GST],tbl_Finance[Job Number],C396&amp;"",tbl_Finance[Xero Invoice No],"&lt;&gt;"))</f>
        <v/>
      </c>
      <c r="N396" s="27">
        <f>IF(C396="","",L396-M396)</f>
        <v/>
      </c>
      <c r="O396" s="24" t="n"/>
      <c r="P396" s="27">
        <f>IF(C396="","",IF(O396="",0,MAX(0,O396-L396)))</f>
        <v/>
      </c>
      <c r="Q396" s="26">
        <f>IF(C396="","",IF(K396=0,"not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R396" s="27">
        <f>IF(C396="","",SUMIFS(tbl_Finance[Inc GST],tbl_Finance[Job Number],C396&amp;""))</f>
        <v/>
      </c>
      <c r="S396" s="22" t="n"/>
      <c r="T396" s="22" t="n"/>
      <c r="U396" s="22" t="n"/>
      <c r="V396" s="23" t="n"/>
      <c r="W396" s="22" t="n"/>
      <c r="X396" s="26">
        <f>IF(W396="","",IF(AND(LEFT(W396,4)&lt;&gt;"http",set_RMSBase=""),"",HYPERLINK(IF(LEFT(W396,4)="http",W396,set_RMSBase&amp;W396),"Open opportunity")))</f>
        <v/>
      </c>
      <c r="Y396" s="22" t="n"/>
      <c r="Z396" s="26">
        <f>IF(Y396="","",HYPERLINK(IF(LEFT(Y396,4)="http",Y396,set_QwilrBase&amp;Y396),"Open quote"))</f>
        <v/>
      </c>
      <c r="AA396" s="26">
        <f>IF(C396="","",C396)</f>
        <v/>
      </c>
      <c r="AB396" s="22" t="n"/>
      <c r="AC396" s="24" t="n"/>
      <c r="AD396" s="27">
        <f>IF(C396="","",L396+N(AC396))</f>
        <v/>
      </c>
      <c r="AE396" s="29">
        <f>IFERROR(AC396/AD396,"")</f>
        <v/>
      </c>
      <c r="AF396" s="24" t="n"/>
      <c r="AG396" s="24" t="n"/>
      <c r="AH396" s="24" t="n"/>
      <c r="AI396" s="24" t="n"/>
      <c r="AJ396" s="27">
        <f>IF(C396="","",SUMIFS(tbl_Finance[Ex GST],tbl_Finance[Job Number],C396&amp;"",tbl_Finance[Cost Centre],"VIDEO"))</f>
        <v/>
      </c>
      <c r="AK396" s="29">
        <f>IFERROR(AJ396/L396,"")</f>
        <v/>
      </c>
      <c r="AL396" s="27">
        <f>IF(C396="","",N(AF396)+N(AG396)+N(AH396)+N(AI396))</f>
        <v/>
      </c>
      <c r="AM396" s="27" t="n"/>
      <c r="AN396" s="29" t="n"/>
      <c r="AO396" s="71" t="n"/>
      <c r="AP396" s="71" t="n"/>
      <c r="AQ396" s="71" t="n"/>
      <c r="AR396" s="71" t="n"/>
      <c r="AS396" s="71" t="n"/>
      <c r="AT396" s="22" t="n"/>
    </row>
    <row r="397" ht="15" customHeight="1">
      <c r="A397" s="70">
        <f>IF(C397="","",IFERROR(IF(SUMPRODUCT(MAX((tbl_Finance[Job Number]&amp;""=C397&amp;"")*(tbl_Finance[Xero Invoice No]&lt;&gt;"")*tbl_Finance[Date]))=0,"",SUMPRODUCT(MAX((tbl_Finance[Job Number]&amp;""=C397&amp;"")*(tbl_Finance[Xero Invoice No]&lt;&gt;"")*tbl_Finance[Date]))),""))</f>
        <v/>
      </c>
      <c r="B397" s="26">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2" t="n"/>
      <c r="D397" s="26">
        <f>IF(C397="","",IF(COUNTIF(lst_Jobs,C397&amp;"")&gt;0,"OK","CHECK"))</f>
        <v/>
      </c>
      <c r="E397" s="26">
        <f>IF(C397="","",IFERROR(INDEX(lst_JobName,MATCH(C397&amp;"",lst_Jobs,0)),""))</f>
        <v/>
      </c>
      <c r="F397" s="22" t="n"/>
      <c r="G397" s="22" t="n"/>
      <c r="H397" s="22" t="n"/>
      <c r="I397" s="22" t="n"/>
      <c r="J397" s="22" t="n"/>
      <c r="K397" s="28">
        <f>IF(C397="","",COUNTIFS(tbl_Finance[Job Number],C397&amp;"",tbl_Finance[Ex GST],"&lt;&gt;"))</f>
        <v/>
      </c>
      <c r="L397" s="27">
        <f>IF(C397="","",SUMIFS(tbl_Finance[Ex GST],tbl_Finance[Job Number],C397&amp;""))</f>
        <v/>
      </c>
      <c r="M397" s="27">
        <f>IF(C397="","",SUMIFS(tbl_Finance[Ex GST],tbl_Finance[Job Number],C397&amp;"",tbl_Finance[Xero Invoice No],"&lt;&gt;"))</f>
        <v/>
      </c>
      <c r="N397" s="27">
        <f>IF(C397="","",L397-M397)</f>
        <v/>
      </c>
      <c r="O397" s="24" t="n"/>
      <c r="P397" s="27">
        <f>IF(C397="","",IF(O397="",0,MAX(0,O397-L397)))</f>
        <v/>
      </c>
      <c r="Q397" s="26">
        <f>IF(C397="","",IF(K397=0,"not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R397" s="27">
        <f>IF(C397="","",SUMIFS(tbl_Finance[Inc GST],tbl_Finance[Job Number],C397&amp;""))</f>
        <v/>
      </c>
      <c r="S397" s="22" t="n"/>
      <c r="T397" s="22" t="n"/>
      <c r="U397" s="22" t="n"/>
      <c r="V397" s="23" t="n"/>
      <c r="W397" s="22" t="n"/>
      <c r="X397" s="26">
        <f>IF(W397="","",IF(AND(LEFT(W397,4)&lt;&gt;"http",set_RMSBase=""),"",HYPERLINK(IF(LEFT(W397,4)="http",W397,set_RMSBase&amp;W397),"Open opportunity")))</f>
        <v/>
      </c>
      <c r="Y397" s="22" t="n"/>
      <c r="Z397" s="26">
        <f>IF(Y397="","",HYPERLINK(IF(LEFT(Y397,4)="http",Y397,set_QwilrBase&amp;Y397),"Open quote"))</f>
        <v/>
      </c>
      <c r="AA397" s="26">
        <f>IF(C397="","",C397)</f>
        <v/>
      </c>
      <c r="AB397" s="22" t="n"/>
      <c r="AC397" s="24" t="n"/>
      <c r="AD397" s="27">
        <f>IF(C397="","",L397+N(AC397))</f>
        <v/>
      </c>
      <c r="AE397" s="29">
        <f>IFERROR(AC397/AD397,"")</f>
        <v/>
      </c>
      <c r="AF397" s="24" t="n"/>
      <c r="AG397" s="24" t="n"/>
      <c r="AH397" s="24" t="n"/>
      <c r="AI397" s="24" t="n"/>
      <c r="AJ397" s="27">
        <f>IF(C397="","",SUMIFS(tbl_Finance[Ex GST],tbl_Finance[Job Number],C397&amp;"",tbl_Finance[Cost Centre],"VIDEO"))</f>
        <v/>
      </c>
      <c r="AK397" s="29">
        <f>IFERROR(AJ397/L397,"")</f>
        <v/>
      </c>
      <c r="AL397" s="27">
        <f>IF(C397="","",N(AF397)+N(AG397)+N(AH397)+N(AI397))</f>
        <v/>
      </c>
      <c r="AM397" s="27" t="n"/>
      <c r="AN397" s="29" t="n"/>
      <c r="AO397" s="71" t="n"/>
      <c r="AP397" s="71" t="n"/>
      <c r="AQ397" s="71" t="n"/>
      <c r="AR397" s="71" t="n"/>
      <c r="AS397" s="71" t="n"/>
      <c r="AT397" s="22" t="n"/>
    </row>
    <row r="398" ht="15" customHeight="1">
      <c r="A398" s="70">
        <f>IF(C398="","",IFERROR(IF(SUMPRODUCT(MAX((tbl_Finance[Job Number]&amp;""=C398&amp;"")*(tbl_Finance[Xero Invoice No]&lt;&gt;"")*tbl_Finance[Date]))=0,"",SUMPRODUCT(MAX((tbl_Finance[Job Number]&amp;""=C398&amp;"")*(tbl_Finance[Xero Invoice No]&lt;&gt;"")*tbl_Finance[Date]))),""))</f>
        <v/>
      </c>
      <c r="B398" s="26">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2" t="n"/>
      <c r="D398" s="26">
        <f>IF(C398="","",IF(COUNTIF(lst_Jobs,C398&amp;"")&gt;0,"OK","CHECK"))</f>
        <v/>
      </c>
      <c r="E398" s="26">
        <f>IF(C398="","",IFERROR(INDEX(lst_JobName,MATCH(C398&amp;"",lst_Jobs,0)),""))</f>
        <v/>
      </c>
      <c r="F398" s="22" t="n"/>
      <c r="G398" s="22" t="n"/>
      <c r="H398" s="22" t="n"/>
      <c r="I398" s="22" t="n"/>
      <c r="J398" s="22" t="n"/>
      <c r="K398" s="28">
        <f>IF(C398="","",COUNTIFS(tbl_Finance[Job Number],C398&amp;"",tbl_Finance[Ex GST],"&lt;&gt;"))</f>
        <v/>
      </c>
      <c r="L398" s="27">
        <f>IF(C398="","",SUMIFS(tbl_Finance[Ex GST],tbl_Finance[Job Number],C398&amp;""))</f>
        <v/>
      </c>
      <c r="M398" s="27">
        <f>IF(C398="","",SUMIFS(tbl_Finance[Ex GST],tbl_Finance[Job Number],C398&amp;"",tbl_Finance[Xero Invoice No],"&lt;&gt;"))</f>
        <v/>
      </c>
      <c r="N398" s="27">
        <f>IF(C398="","",L398-M398)</f>
        <v/>
      </c>
      <c r="O398" s="24" t="n"/>
      <c r="P398" s="27">
        <f>IF(C398="","",IF(O398="",0,MAX(0,O398-L398)))</f>
        <v/>
      </c>
      <c r="Q398" s="26">
        <f>IF(C398="","",IF(K398=0,"not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R398" s="27">
        <f>IF(C398="","",SUMIFS(tbl_Finance[Inc GST],tbl_Finance[Job Number],C398&amp;""))</f>
        <v/>
      </c>
      <c r="S398" s="22" t="n"/>
      <c r="T398" s="22" t="n"/>
      <c r="U398" s="22" t="n"/>
      <c r="V398" s="23" t="n"/>
      <c r="W398" s="22" t="n"/>
      <c r="X398" s="26">
        <f>IF(W398="","",IF(AND(LEFT(W398,4)&lt;&gt;"http",set_RMSBase=""),"",HYPERLINK(IF(LEFT(W398,4)="http",W398,set_RMSBase&amp;W398),"Open opportunity")))</f>
        <v/>
      </c>
      <c r="Y398" s="22" t="n"/>
      <c r="Z398" s="26">
        <f>IF(Y398="","",HYPERLINK(IF(LEFT(Y398,4)="http",Y398,set_QwilrBase&amp;Y398),"Open quote"))</f>
        <v/>
      </c>
      <c r="AA398" s="26">
        <f>IF(C398="","",C398)</f>
        <v/>
      </c>
      <c r="AB398" s="22" t="n"/>
      <c r="AC398" s="24" t="n"/>
      <c r="AD398" s="27">
        <f>IF(C398="","",L398+N(AC398))</f>
        <v/>
      </c>
      <c r="AE398" s="29">
        <f>IFERROR(AC398/AD398,"")</f>
        <v/>
      </c>
      <c r="AF398" s="24" t="n"/>
      <c r="AG398" s="24" t="n"/>
      <c r="AH398" s="24" t="n"/>
      <c r="AI398" s="24" t="n"/>
      <c r="AJ398" s="27">
        <f>IF(C398="","",SUMIFS(tbl_Finance[Ex GST],tbl_Finance[Job Number],C398&amp;"",tbl_Finance[Cost Centre],"VIDEO"))</f>
        <v/>
      </c>
      <c r="AK398" s="29">
        <f>IFERROR(AJ398/L398,"")</f>
        <v/>
      </c>
      <c r="AL398" s="27">
        <f>IF(C398="","",N(AF398)+N(AG398)+N(AH398)+N(AI398))</f>
        <v/>
      </c>
      <c r="AM398" s="27" t="n"/>
      <c r="AN398" s="29" t="n"/>
      <c r="AO398" s="71" t="n"/>
      <c r="AP398" s="71" t="n"/>
      <c r="AQ398" s="71" t="n"/>
      <c r="AR398" s="71" t="n"/>
      <c r="AS398" s="71" t="n"/>
      <c r="AT398" s="22" t="n"/>
    </row>
    <row r="399" ht="15" customHeight="1">
      <c r="A399" s="70">
        <f>IF(C399="","",IFERROR(IF(SUMPRODUCT(MAX((tbl_Finance[Job Number]&amp;""=C399&amp;"")*(tbl_Finance[Xero Invoice No]&lt;&gt;"")*tbl_Finance[Date]))=0,"",SUMPRODUCT(MAX((tbl_Finance[Job Number]&amp;""=C399&amp;"")*(tbl_Finance[Xero Invoice No]&lt;&gt;"")*tbl_Finance[Date]))),""))</f>
        <v/>
      </c>
      <c r="B399" s="26">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2" t="n"/>
      <c r="D399" s="26">
        <f>IF(C399="","",IF(COUNTIF(lst_Jobs,C399&amp;"")&gt;0,"OK","CHECK"))</f>
        <v/>
      </c>
      <c r="E399" s="26">
        <f>IF(C399="","",IFERROR(INDEX(lst_JobName,MATCH(C399&amp;"",lst_Jobs,0)),""))</f>
        <v/>
      </c>
      <c r="F399" s="22" t="n"/>
      <c r="G399" s="22" t="n"/>
      <c r="H399" s="22" t="n"/>
      <c r="I399" s="22" t="n"/>
      <c r="J399" s="22" t="n"/>
      <c r="K399" s="28">
        <f>IF(C399="","",COUNTIFS(tbl_Finance[Job Number],C399&amp;"",tbl_Finance[Ex GST],"&lt;&gt;"))</f>
        <v/>
      </c>
      <c r="L399" s="27">
        <f>IF(C399="","",SUMIFS(tbl_Finance[Ex GST],tbl_Finance[Job Number],C399&amp;""))</f>
        <v/>
      </c>
      <c r="M399" s="27">
        <f>IF(C399="","",SUMIFS(tbl_Finance[Ex GST],tbl_Finance[Job Number],C399&amp;"",tbl_Finance[Xero Invoice No],"&lt;&gt;"))</f>
        <v/>
      </c>
      <c r="N399" s="27">
        <f>IF(C399="","",L399-M399)</f>
        <v/>
      </c>
      <c r="O399" s="24" t="n"/>
      <c r="P399" s="27">
        <f>IF(C399="","",IF(O399="",0,MAX(0,O399-L399)))</f>
        <v/>
      </c>
      <c r="Q399" s="26">
        <f>IF(C399="","",IF(K399=0,"not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R399" s="27">
        <f>IF(C399="","",SUMIFS(tbl_Finance[Inc GST],tbl_Finance[Job Number],C399&amp;""))</f>
        <v/>
      </c>
      <c r="S399" s="22" t="n"/>
      <c r="T399" s="22" t="n"/>
      <c r="U399" s="22" t="n"/>
      <c r="V399" s="23" t="n"/>
      <c r="W399" s="22" t="n"/>
      <c r="X399" s="26">
        <f>IF(W399="","",IF(AND(LEFT(W399,4)&lt;&gt;"http",set_RMSBase=""),"",HYPERLINK(IF(LEFT(W399,4)="http",W399,set_RMSBase&amp;W399),"Open opportunity")))</f>
        <v/>
      </c>
      <c r="Y399" s="22" t="n"/>
      <c r="Z399" s="26">
        <f>IF(Y399="","",HYPERLINK(IF(LEFT(Y399,4)="http",Y399,set_QwilrBase&amp;Y399),"Open quote"))</f>
        <v/>
      </c>
      <c r="AA399" s="26">
        <f>IF(C399="","",C399)</f>
        <v/>
      </c>
      <c r="AB399" s="22" t="n"/>
      <c r="AC399" s="24" t="n"/>
      <c r="AD399" s="27">
        <f>IF(C399="","",L399+N(AC399))</f>
        <v/>
      </c>
      <c r="AE399" s="29">
        <f>IFERROR(AC399/AD399,"")</f>
        <v/>
      </c>
      <c r="AF399" s="24" t="n"/>
      <c r="AG399" s="24" t="n"/>
      <c r="AH399" s="24" t="n"/>
      <c r="AI399" s="24" t="n"/>
      <c r="AJ399" s="27">
        <f>IF(C399="","",SUMIFS(tbl_Finance[Ex GST],tbl_Finance[Job Number],C399&amp;"",tbl_Finance[Cost Centre],"VIDEO"))</f>
        <v/>
      </c>
      <c r="AK399" s="29">
        <f>IFERROR(AJ399/L399,"")</f>
        <v/>
      </c>
      <c r="AL399" s="27">
        <f>IF(C399="","",N(AF399)+N(AG399)+N(AH399)+N(AI399))</f>
        <v/>
      </c>
      <c r="AM399" s="27" t="n"/>
      <c r="AN399" s="29" t="n"/>
      <c r="AO399" s="71" t="n"/>
      <c r="AP399" s="71" t="n"/>
      <c r="AQ399" s="71" t="n"/>
      <c r="AR399" s="71" t="n"/>
      <c r="AS399" s="71" t="n"/>
      <c r="AT399" s="22" t="n"/>
    </row>
    <row r="400" ht="15" customHeight="1">
      <c r="A400" s="70">
        <f>IF(C400="","",IFERROR(IF(SUMPRODUCT(MAX((tbl_Finance[Job Number]&amp;""=C400&amp;"")*(tbl_Finance[Xero Invoice No]&lt;&gt;"")*tbl_Finance[Date]))=0,"",SUMPRODUCT(MAX((tbl_Finance[Job Number]&amp;""=C400&amp;"")*(tbl_Finance[Xero Invoice No]&lt;&gt;"")*tbl_Finance[Date]))),""))</f>
        <v/>
      </c>
      <c r="B400" s="26">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2" t="n"/>
      <c r="D400" s="26">
        <f>IF(C400="","",IF(COUNTIF(lst_Jobs,C400&amp;"")&gt;0,"OK","CHECK"))</f>
        <v/>
      </c>
      <c r="E400" s="26">
        <f>IF(C400="","",IFERROR(INDEX(lst_JobName,MATCH(C400&amp;"",lst_Jobs,0)),""))</f>
        <v/>
      </c>
      <c r="F400" s="22" t="n"/>
      <c r="G400" s="22" t="n"/>
      <c r="H400" s="22" t="n"/>
      <c r="I400" s="22" t="n"/>
      <c r="J400" s="22" t="n"/>
      <c r="K400" s="28">
        <f>IF(C400="","",COUNTIFS(tbl_Finance[Job Number],C400&amp;"",tbl_Finance[Ex GST],"&lt;&gt;"))</f>
        <v/>
      </c>
      <c r="L400" s="27">
        <f>IF(C400="","",SUMIFS(tbl_Finance[Ex GST],tbl_Finance[Job Number],C400&amp;""))</f>
        <v/>
      </c>
      <c r="M400" s="27">
        <f>IF(C400="","",SUMIFS(tbl_Finance[Ex GST],tbl_Finance[Job Number],C400&amp;"",tbl_Finance[Xero Invoice No],"&lt;&gt;"))</f>
        <v/>
      </c>
      <c r="N400" s="27">
        <f>IF(C400="","",L400-M400)</f>
        <v/>
      </c>
      <c r="O400" s="24" t="n"/>
      <c r="P400" s="27">
        <f>IF(C400="","",IF(O400="",0,MAX(0,O400-L400)))</f>
        <v/>
      </c>
      <c r="Q400" s="26">
        <f>IF(C400="","",IF(K400=0,"not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R400" s="27">
        <f>IF(C400="","",SUMIFS(tbl_Finance[Inc GST],tbl_Finance[Job Number],C400&amp;""))</f>
        <v/>
      </c>
      <c r="S400" s="22" t="n"/>
      <c r="T400" s="22" t="n"/>
      <c r="U400" s="22" t="n"/>
      <c r="V400" s="23" t="n"/>
      <c r="W400" s="22" t="n"/>
      <c r="X400" s="26">
        <f>IF(W400="","",IF(AND(LEFT(W400,4)&lt;&gt;"http",set_RMSBase=""),"",HYPERLINK(IF(LEFT(W400,4)="http",W400,set_RMSBase&amp;W400),"Open opportunity")))</f>
        <v/>
      </c>
      <c r="Y400" s="22" t="n"/>
      <c r="Z400" s="26">
        <f>IF(Y400="","",HYPERLINK(IF(LEFT(Y400,4)="http",Y400,set_QwilrBase&amp;Y400),"Open quote"))</f>
        <v/>
      </c>
      <c r="AA400" s="26">
        <f>IF(C400="","",C400)</f>
        <v/>
      </c>
      <c r="AB400" s="22" t="n"/>
      <c r="AC400" s="24" t="n"/>
      <c r="AD400" s="27">
        <f>IF(C400="","",L400+N(AC400))</f>
        <v/>
      </c>
      <c r="AE400" s="29">
        <f>IFERROR(AC400/AD400,"")</f>
        <v/>
      </c>
      <c r="AF400" s="24" t="n"/>
      <c r="AG400" s="24" t="n"/>
      <c r="AH400" s="24" t="n"/>
      <c r="AI400" s="24" t="n"/>
      <c r="AJ400" s="27">
        <f>IF(C400="","",SUMIFS(tbl_Finance[Ex GST],tbl_Finance[Job Number],C400&amp;"",tbl_Finance[Cost Centre],"VIDEO"))</f>
        <v/>
      </c>
      <c r="AK400" s="29">
        <f>IFERROR(AJ400/L400,"")</f>
        <v/>
      </c>
      <c r="AL400" s="27">
        <f>IF(C400="","",N(AF400)+N(AG400)+N(AH400)+N(AI400))</f>
        <v/>
      </c>
      <c r="AM400" s="27" t="n"/>
      <c r="AN400" s="29" t="n"/>
      <c r="AO400" s="71" t="n"/>
      <c r="AP400" s="71" t="n"/>
      <c r="AQ400" s="71" t="n"/>
      <c r="AR400" s="71" t="n"/>
      <c r="AS400" s="71" t="n"/>
      <c r="AT400" s="22" t="n"/>
    </row>
    <row r="401" ht="15" customHeight="1">
      <c r="A401" s="70">
        <f>IF(C401="","",IFERROR(IF(SUMPRODUCT(MAX((tbl_Finance[Job Number]&amp;""=C401&amp;"")*(tbl_Finance[Xero Invoice No]&lt;&gt;"")*tbl_Finance[Date]))=0,"",SUMPRODUCT(MAX((tbl_Finance[Job Number]&amp;""=C401&amp;"")*(tbl_Finance[Xero Invoice No]&lt;&gt;"")*tbl_Finance[Date]))),""))</f>
        <v/>
      </c>
      <c r="B401" s="26">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2" t="n"/>
      <c r="D401" s="26">
        <f>IF(C401="","",IF(COUNTIF(lst_Jobs,C401&amp;"")&gt;0,"OK","CHECK"))</f>
        <v/>
      </c>
      <c r="E401" s="26">
        <f>IF(C401="","",IFERROR(INDEX(lst_JobName,MATCH(C401&amp;"",lst_Jobs,0)),""))</f>
        <v/>
      </c>
      <c r="F401" s="22" t="n"/>
      <c r="G401" s="22" t="n"/>
      <c r="H401" s="22" t="n"/>
      <c r="I401" s="22" t="n"/>
      <c r="J401" s="22" t="n"/>
      <c r="K401" s="28">
        <f>IF(C401="","",COUNTIFS(tbl_Finance[Job Number],C401&amp;"",tbl_Finance[Ex GST],"&lt;&gt;"))</f>
        <v/>
      </c>
      <c r="L401" s="27">
        <f>IF(C401="","",SUMIFS(tbl_Finance[Ex GST],tbl_Finance[Job Number],C401&amp;""))</f>
        <v/>
      </c>
      <c r="M401" s="27">
        <f>IF(C401="","",SUMIFS(tbl_Finance[Ex GST],tbl_Finance[Job Number],C401&amp;"",tbl_Finance[Xero Invoice No],"&lt;&gt;"))</f>
        <v/>
      </c>
      <c r="N401" s="27">
        <f>IF(C401="","",L401-M401)</f>
        <v/>
      </c>
      <c r="O401" s="24" t="n"/>
      <c r="P401" s="27">
        <f>IF(C401="","",IF(O401="",0,MAX(0,O401-L401)))</f>
        <v/>
      </c>
      <c r="Q401" s="26">
        <f>IF(C401="","",IF(K401=0,"not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R401" s="27">
        <f>IF(C401="","",SUMIFS(tbl_Finance[Inc GST],tbl_Finance[Job Number],C401&amp;""))</f>
        <v/>
      </c>
      <c r="S401" s="22" t="n"/>
      <c r="T401" s="22" t="n"/>
      <c r="U401" s="22" t="n"/>
      <c r="V401" s="23" t="n"/>
      <c r="W401" s="22" t="n"/>
      <c r="X401" s="26">
        <f>IF(W401="","",IF(AND(LEFT(W401,4)&lt;&gt;"http",set_RMSBase=""),"",HYPERLINK(IF(LEFT(W401,4)="http",W401,set_RMSBase&amp;W401),"Open opportunity")))</f>
        <v/>
      </c>
      <c r="Y401" s="22" t="n"/>
      <c r="Z401" s="26">
        <f>IF(Y401="","",HYPERLINK(IF(LEFT(Y401,4)="http",Y401,set_QwilrBase&amp;Y401),"Open quote"))</f>
        <v/>
      </c>
      <c r="AA401" s="26">
        <f>IF(C401="","",C401)</f>
        <v/>
      </c>
      <c r="AB401" s="22" t="n"/>
      <c r="AC401" s="24" t="n"/>
      <c r="AD401" s="27">
        <f>IF(C401="","",L401+N(AC401))</f>
        <v/>
      </c>
      <c r="AE401" s="29">
        <f>IFERROR(AC401/AD401,"")</f>
        <v/>
      </c>
      <c r="AF401" s="24" t="n"/>
      <c r="AG401" s="24" t="n"/>
      <c r="AH401" s="24" t="n"/>
      <c r="AI401" s="24" t="n"/>
      <c r="AJ401" s="27">
        <f>IF(C401="","",SUMIFS(tbl_Finance[Ex GST],tbl_Finance[Job Number],C401&amp;"",tbl_Finance[Cost Centre],"VIDEO"))</f>
        <v/>
      </c>
      <c r="AK401" s="29">
        <f>IFERROR(AJ401/L401,"")</f>
        <v/>
      </c>
      <c r="AL401" s="27">
        <f>IF(C401="","",N(AF401)+N(AG401)+N(AH401)+N(AI401))</f>
        <v/>
      </c>
      <c r="AM401" s="27" t="n"/>
      <c r="AN401" s="29" t="n"/>
      <c r="AO401" s="71" t="n"/>
      <c r="AP401" s="71" t="n"/>
      <c r="AQ401" s="71" t="n"/>
      <c r="AR401" s="71" t="n"/>
      <c r="AS401" s="71" t="n"/>
      <c r="AT401" s="22" t="n"/>
    </row>
    <row r="402" ht="15" customHeight="1">
      <c r="A402" s="70">
        <f>IF(C402="","",IFERROR(IF(SUMPRODUCT(MAX((tbl_Finance[Job Number]&amp;""=C402&amp;"")*(tbl_Finance[Xero Invoice No]&lt;&gt;"")*tbl_Finance[Date]))=0,"",SUMPRODUCT(MAX((tbl_Finance[Job Number]&amp;""=C402&amp;"")*(tbl_Finance[Xero Invoice No]&lt;&gt;"")*tbl_Finance[Date]))),""))</f>
        <v/>
      </c>
      <c r="B402" s="26">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2" t="n"/>
      <c r="D402" s="26">
        <f>IF(C402="","",IF(COUNTIF(lst_Jobs,C402&amp;"")&gt;0,"OK","CHECK"))</f>
        <v/>
      </c>
      <c r="E402" s="26">
        <f>IF(C402="","",IFERROR(INDEX(lst_JobName,MATCH(C402&amp;"",lst_Jobs,0)),""))</f>
        <v/>
      </c>
      <c r="F402" s="22" t="n"/>
      <c r="G402" s="22" t="n"/>
      <c r="H402" s="22" t="n"/>
      <c r="I402" s="22" t="n"/>
      <c r="J402" s="22" t="n"/>
      <c r="K402" s="28">
        <f>IF(C402="","",COUNTIFS(tbl_Finance[Job Number],C402&amp;"",tbl_Finance[Ex GST],"&lt;&gt;"))</f>
        <v/>
      </c>
      <c r="L402" s="27">
        <f>IF(C402="","",SUMIFS(tbl_Finance[Ex GST],tbl_Finance[Job Number],C402&amp;""))</f>
        <v/>
      </c>
      <c r="M402" s="27">
        <f>IF(C402="","",SUMIFS(tbl_Finance[Ex GST],tbl_Finance[Job Number],C402&amp;"",tbl_Finance[Xero Invoice No],"&lt;&gt;"))</f>
        <v/>
      </c>
      <c r="N402" s="27">
        <f>IF(C402="","",L402-M402)</f>
        <v/>
      </c>
      <c r="O402" s="24" t="n"/>
      <c r="P402" s="27">
        <f>IF(C402="","",IF(O402="",0,MAX(0,O402-L402)))</f>
        <v/>
      </c>
      <c r="Q402" s="26">
        <f>IF(C402="","",IF(K402=0,"not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R402" s="27">
        <f>IF(C402="","",SUMIFS(tbl_Finance[Inc GST],tbl_Finance[Job Number],C402&amp;""))</f>
        <v/>
      </c>
      <c r="S402" s="22" t="n"/>
      <c r="T402" s="22" t="n"/>
      <c r="U402" s="22" t="n"/>
      <c r="V402" s="23" t="n"/>
      <c r="W402" s="22" t="n"/>
      <c r="X402" s="26">
        <f>IF(W402="","",IF(AND(LEFT(W402,4)&lt;&gt;"http",set_RMSBase=""),"",HYPERLINK(IF(LEFT(W402,4)="http",W402,set_RMSBase&amp;W402),"Open opportunity")))</f>
        <v/>
      </c>
      <c r="Y402" s="22" t="n"/>
      <c r="Z402" s="26">
        <f>IF(Y402="","",HYPERLINK(IF(LEFT(Y402,4)="http",Y402,set_QwilrBase&amp;Y402),"Open quote"))</f>
        <v/>
      </c>
      <c r="AA402" s="26">
        <f>IF(C402="","",C402)</f>
        <v/>
      </c>
      <c r="AB402" s="22" t="n"/>
      <c r="AC402" s="24" t="n"/>
      <c r="AD402" s="27">
        <f>IF(C402="","",L402+N(AC402))</f>
        <v/>
      </c>
      <c r="AE402" s="29">
        <f>IFERROR(AC402/AD402,"")</f>
        <v/>
      </c>
      <c r="AF402" s="24" t="n"/>
      <c r="AG402" s="24" t="n"/>
      <c r="AH402" s="24" t="n"/>
      <c r="AI402" s="24" t="n"/>
      <c r="AJ402" s="27">
        <f>IF(C402="","",SUMIFS(tbl_Finance[Ex GST],tbl_Finance[Job Number],C402&amp;"",tbl_Finance[Cost Centre],"VIDEO"))</f>
        <v/>
      </c>
      <c r="AK402" s="29">
        <f>IFERROR(AJ402/L402,"")</f>
        <v/>
      </c>
      <c r="AL402" s="27">
        <f>IF(C402="","",N(AF402)+N(AG402)+N(AH402)+N(AI402))</f>
        <v/>
      </c>
      <c r="AM402" s="27" t="n"/>
      <c r="AN402" s="29" t="n"/>
      <c r="AO402" s="71" t="n"/>
      <c r="AP402" s="71" t="n"/>
      <c r="AQ402" s="71" t="n"/>
      <c r="AR402" s="71" t="n"/>
      <c r="AS402" s="71" t="n"/>
      <c r="AT402" s="22" t="n"/>
    </row>
    <row r="403" ht="15" customHeight="1">
      <c r="A403" s="70">
        <f>IF(C403="","",IFERROR(IF(SUMPRODUCT(MAX((tbl_Finance[Job Number]&amp;""=C403&amp;"")*(tbl_Finance[Xero Invoice No]&lt;&gt;"")*tbl_Finance[Date]))=0,"",SUMPRODUCT(MAX((tbl_Finance[Job Number]&amp;""=C403&amp;"")*(tbl_Finance[Xero Invoice No]&lt;&gt;"")*tbl_Finance[Date]))),""))</f>
        <v/>
      </c>
      <c r="B403" s="26">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2" t="n"/>
      <c r="D403" s="26">
        <f>IF(C403="","",IF(COUNTIF(lst_Jobs,C403&amp;"")&gt;0,"OK","CHECK"))</f>
        <v/>
      </c>
      <c r="E403" s="26">
        <f>IF(C403="","",IFERROR(INDEX(lst_JobName,MATCH(C403&amp;"",lst_Jobs,0)),""))</f>
        <v/>
      </c>
      <c r="F403" s="22" t="n"/>
      <c r="G403" s="22" t="n"/>
      <c r="H403" s="22" t="n"/>
      <c r="I403" s="22" t="n"/>
      <c r="J403" s="22" t="n"/>
      <c r="K403" s="28">
        <f>IF(C403="","",COUNTIFS(tbl_Finance[Job Number],C403&amp;"",tbl_Finance[Ex GST],"&lt;&gt;"))</f>
        <v/>
      </c>
      <c r="L403" s="27">
        <f>IF(C403="","",SUMIFS(tbl_Finance[Ex GST],tbl_Finance[Job Number],C403&amp;""))</f>
        <v/>
      </c>
      <c r="M403" s="27">
        <f>IF(C403="","",SUMIFS(tbl_Finance[Ex GST],tbl_Finance[Job Number],C403&amp;"",tbl_Finance[Xero Invoice No],"&lt;&gt;"))</f>
        <v/>
      </c>
      <c r="N403" s="27">
        <f>IF(C403="","",L403-M403)</f>
        <v/>
      </c>
      <c r="O403" s="24" t="n"/>
      <c r="P403" s="27">
        <f>IF(C403="","",IF(O403="",0,MAX(0,O403-L403)))</f>
        <v/>
      </c>
      <c r="Q403" s="26">
        <f>IF(C403="","",IF(K403=0,"not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R403" s="27">
        <f>IF(C403="","",SUMIFS(tbl_Finance[Inc GST],tbl_Finance[Job Number],C403&amp;""))</f>
        <v/>
      </c>
      <c r="S403" s="22" t="n"/>
      <c r="T403" s="22" t="n"/>
      <c r="U403" s="22" t="n"/>
      <c r="V403" s="23" t="n"/>
      <c r="W403" s="22" t="n"/>
      <c r="X403" s="26">
        <f>IF(W403="","",IF(AND(LEFT(W403,4)&lt;&gt;"http",set_RMSBase=""),"",HYPERLINK(IF(LEFT(W403,4)="http",W403,set_RMSBase&amp;W403),"Open opportunity")))</f>
        <v/>
      </c>
      <c r="Y403" s="22" t="n"/>
      <c r="Z403" s="26">
        <f>IF(Y403="","",HYPERLINK(IF(LEFT(Y403,4)="http",Y403,set_QwilrBase&amp;Y403),"Open quote"))</f>
        <v/>
      </c>
      <c r="AA403" s="26">
        <f>IF(C403="","",C403)</f>
        <v/>
      </c>
      <c r="AB403" s="22" t="n"/>
      <c r="AC403" s="24" t="n"/>
      <c r="AD403" s="27">
        <f>IF(C403="","",L403+N(AC403))</f>
        <v/>
      </c>
      <c r="AE403" s="29">
        <f>IFERROR(AC403/AD403,"")</f>
        <v/>
      </c>
      <c r="AF403" s="24" t="n"/>
      <c r="AG403" s="24" t="n"/>
      <c r="AH403" s="24" t="n"/>
      <c r="AI403" s="24" t="n"/>
      <c r="AJ403" s="27">
        <f>IF(C403="","",SUMIFS(tbl_Finance[Ex GST],tbl_Finance[Job Number],C403&amp;"",tbl_Finance[Cost Centre],"VIDEO"))</f>
        <v/>
      </c>
      <c r="AK403" s="29">
        <f>IFERROR(AJ403/L403,"")</f>
        <v/>
      </c>
      <c r="AL403" s="27">
        <f>IF(C403="","",N(AF403)+N(AG403)+N(AH403)+N(AI403))</f>
        <v/>
      </c>
      <c r="AM403" s="27" t="n"/>
      <c r="AN403" s="29" t="n"/>
      <c r="AO403" s="71" t="n"/>
      <c r="AP403" s="71" t="n"/>
      <c r="AQ403" s="71" t="n"/>
      <c r="AR403" s="71" t="n"/>
      <c r="AS403" s="71" t="n"/>
      <c r="AT403" s="22" t="n"/>
    </row>
    <row r="404" ht="15" customHeight="1">
      <c r="A404" s="70">
        <f>IF(C404="","",IFERROR(IF(SUMPRODUCT(MAX((tbl_Finance[Job Number]&amp;""=C404&amp;"")*(tbl_Finance[Xero Invoice No]&lt;&gt;"")*tbl_Finance[Date]))=0,"",SUMPRODUCT(MAX((tbl_Finance[Job Number]&amp;""=C404&amp;"")*(tbl_Finance[Xero Invoice No]&lt;&gt;"")*tbl_Finance[Date]))),""))</f>
        <v/>
      </c>
      <c r="B404" s="26">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2" t="n"/>
      <c r="D404" s="26">
        <f>IF(C404="","",IF(COUNTIF(lst_Jobs,C404&amp;"")&gt;0,"OK","CHECK"))</f>
        <v/>
      </c>
      <c r="E404" s="26">
        <f>IF(C404="","",IFERROR(INDEX(lst_JobName,MATCH(C404&amp;"",lst_Jobs,0)),""))</f>
        <v/>
      </c>
      <c r="F404" s="22" t="n"/>
      <c r="G404" s="22" t="n"/>
      <c r="H404" s="22" t="n"/>
      <c r="I404" s="22" t="n"/>
      <c r="J404" s="22" t="n"/>
      <c r="K404" s="28">
        <f>IF(C404="","",COUNTIFS(tbl_Finance[Job Number],C404&amp;"",tbl_Finance[Ex GST],"&lt;&gt;"))</f>
        <v/>
      </c>
      <c r="L404" s="27">
        <f>IF(C404="","",SUMIFS(tbl_Finance[Ex GST],tbl_Finance[Job Number],C404&amp;""))</f>
        <v/>
      </c>
      <c r="M404" s="27">
        <f>IF(C404="","",SUMIFS(tbl_Finance[Ex GST],tbl_Finance[Job Number],C404&amp;"",tbl_Finance[Xero Invoice No],"&lt;&gt;"))</f>
        <v/>
      </c>
      <c r="N404" s="27">
        <f>IF(C404="","",L404-M404)</f>
        <v/>
      </c>
      <c r="O404" s="24" t="n"/>
      <c r="P404" s="27">
        <f>IF(C404="","",IF(O404="",0,MAX(0,O404-L404)))</f>
        <v/>
      </c>
      <c r="Q404" s="26">
        <f>IF(C404="","",IF(K404=0,"not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R404" s="27">
        <f>IF(C404="","",SUMIFS(tbl_Finance[Inc GST],tbl_Finance[Job Number],C404&amp;""))</f>
        <v/>
      </c>
      <c r="S404" s="22" t="n"/>
      <c r="T404" s="22" t="n"/>
      <c r="U404" s="22" t="n"/>
      <c r="V404" s="23" t="n"/>
      <c r="W404" s="22" t="n"/>
      <c r="X404" s="26">
        <f>IF(W404="","",IF(AND(LEFT(W404,4)&lt;&gt;"http",set_RMSBase=""),"",HYPERLINK(IF(LEFT(W404,4)="http",W404,set_RMSBase&amp;W404),"Open opportunity")))</f>
        <v/>
      </c>
      <c r="Y404" s="22" t="n"/>
      <c r="Z404" s="26">
        <f>IF(Y404="","",HYPERLINK(IF(LEFT(Y404,4)="http",Y404,set_QwilrBase&amp;Y404),"Open quote"))</f>
        <v/>
      </c>
      <c r="AA404" s="26">
        <f>IF(C404="","",C404)</f>
        <v/>
      </c>
      <c r="AB404" s="22" t="n"/>
      <c r="AC404" s="24" t="n"/>
      <c r="AD404" s="27">
        <f>IF(C404="","",L404+N(AC404))</f>
        <v/>
      </c>
      <c r="AE404" s="29">
        <f>IFERROR(AC404/AD404,"")</f>
        <v/>
      </c>
      <c r="AF404" s="24" t="n"/>
      <c r="AG404" s="24" t="n"/>
      <c r="AH404" s="24" t="n"/>
      <c r="AI404" s="24" t="n"/>
      <c r="AJ404" s="27">
        <f>IF(C404="","",SUMIFS(tbl_Finance[Ex GST],tbl_Finance[Job Number],C404&amp;"",tbl_Finance[Cost Centre],"VIDEO"))</f>
        <v/>
      </c>
      <c r="AK404" s="29">
        <f>IFERROR(AJ404/L404,"")</f>
        <v/>
      </c>
      <c r="AL404" s="27">
        <f>IF(C404="","",N(AF404)+N(AG404)+N(AH404)+N(AI404))</f>
        <v/>
      </c>
      <c r="AM404" s="27" t="n"/>
      <c r="AN404" s="29" t="n"/>
      <c r="AO404" s="71" t="n"/>
      <c r="AP404" s="71" t="n"/>
      <c r="AQ404" s="71" t="n"/>
      <c r="AR404" s="71" t="n"/>
      <c r="AS404" s="71" t="n"/>
      <c r="AT404" s="22"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dataValidations count="4">
    <dataValidation sqref="H5:H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J5:J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AB5:AB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AD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14" customWidth="1" min="13" max="13"/>
    <col width="14" customWidth="1" min="14" max="14"/>
    <col width="21" customWidth="1" min="15" max="15"/>
    <col width="17" customWidth="1" min="16" max="16"/>
    <col width="16" customWidth="1" min="17" max="17"/>
    <col width="40" customWidth="1" min="18" max="18"/>
    <col width="14" customWidth="1" min="19" max="19"/>
    <col width="15" customWidth="1" min="20" max="20"/>
    <col width="17" customWidth="1" min="21" max="21"/>
    <col width="19" customWidth="1" min="22" max="22"/>
    <col width="18" customWidth="1" min="23" max="23"/>
    <col width="22" customWidth="1" min="24" max="24"/>
    <col width="26" customWidth="1" min="25" max="25"/>
    <col width="28" customWidth="1" min="26" max="26"/>
    <col width="14" customWidth="1" min="27" max="27"/>
    <col width="14" customWidth="1" min="28" max="28"/>
    <col width="10" customWidth="1" min="29" max="29"/>
    <col width="38" customWidth="1" min="30" max="30"/>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0" t="inlineStr">
        <is>
          <t>Client</t>
        </is>
      </c>
      <c r="G4" s="20" t="inlineStr">
        <is>
          <t>Job Description</t>
        </is>
      </c>
      <c r="H4" s="20" t="inlineStr">
        <is>
          <t>Cost Centre</t>
        </is>
      </c>
      <c r="I4" s="20" t="inlineStr">
        <is>
          <t>Invoice Type</t>
        </is>
      </c>
      <c r="J4" s="20" t="inlineStr">
        <is>
          <t>Tax Code</t>
        </is>
      </c>
      <c r="K4" s="21" t="inlineStr">
        <is>
          <t>Lines on Job</t>
        </is>
      </c>
      <c r="L4" s="21" t="inlineStr">
        <is>
          <t>Revenue Ex GST</t>
        </is>
      </c>
      <c r="M4" s="21" t="inlineStr">
        <is>
          <t>Invoiced</t>
        </is>
      </c>
      <c r="N4" s="21" t="inlineStr">
        <is>
          <t>To Invoice</t>
        </is>
      </c>
      <c r="O4" s="20" t="inlineStr">
        <is>
          <t>Expected Revenue Ex GST</t>
        </is>
      </c>
      <c r="P4" s="21" t="inlineStr">
        <is>
          <t>Not Yet on Finance</t>
        </is>
      </c>
      <c r="Q4" s="21" t="inlineStr">
        <is>
          <t>Cost Centres</t>
        </is>
      </c>
      <c r="R4" s="20" t="inlineStr">
        <is>
          <t>Qwilr Quote</t>
        </is>
      </c>
      <c r="S4" s="21" t="inlineStr">
        <is>
          <t>Open Qwilr</t>
        </is>
      </c>
      <c r="T4" s="20" t="inlineStr">
        <is>
          <t>Labour Revenue</t>
        </is>
      </c>
      <c r="U4" s="20" t="inlineStr">
        <is>
          <t>Equipment Revenue</t>
        </is>
      </c>
      <c r="V4" s="20" t="inlineStr">
        <is>
          <t>Subscription Revenue</t>
        </is>
      </c>
      <c r="W4" s="21" t="inlineStr">
        <is>
          <t>Revenue Split Check</t>
        </is>
      </c>
      <c r="X4" s="20" t="inlineStr">
        <is>
          <t>Labour Expense (External)</t>
        </is>
      </c>
      <c r="Y4" s="20" t="inlineStr">
        <is>
          <t>Equipment Expense (Internal)</t>
        </is>
      </c>
      <c r="Z4" s="20" t="inlineStr">
        <is>
          <t>Subscription &amp; Licences Expense</t>
        </is>
      </c>
      <c r="AA4" s="21" t="inlineStr">
        <is>
          <t>Total Expense</t>
        </is>
      </c>
      <c r="AB4" s="21" t="inlineStr">
        <is>
          <t>Margin</t>
        </is>
      </c>
      <c r="AC4" s="21" t="inlineStr">
        <is>
          <t>Margin %</t>
        </is>
      </c>
      <c r="AD4" s="20" t="inlineStr">
        <is>
          <t>Notes</t>
        </is>
      </c>
    </row>
    <row r="5" ht="15" customHeight="1">
      <c r="A5" s="70">
        <f>IF(C5="","",IFERROR(IF(SUMPRODUCT(MAX((tbl_Finance[Job Number]&amp;""=C5&amp;"")*(tbl_Finance[Xero Invoice No]&lt;&gt;"")*tbl_Finance[Date]))=0,"",SUMPRODUCT(MAX((tbl_Finance[Job Number]&amp;""=C5&amp;"")*(tbl_Finance[Xero Invoice No]&lt;&gt;"")*tbl_Finance[Date]))),""))</f>
        <v/>
      </c>
      <c r="B5" s="26">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2" t="n"/>
      <c r="D5" s="26">
        <f>IF(C5="","",IF(COUNTIF(lst_Jobs,C5&amp;"")&gt;0,"OK","CHECK"))</f>
        <v/>
      </c>
      <c r="E5" s="26">
        <f>IF(C5="","",IFERROR(INDEX(lst_JobName,MATCH(C5&amp;"",lst_Jobs,0)),""))</f>
        <v/>
      </c>
      <c r="F5" s="22" t="n"/>
      <c r="G5" s="22" t="n"/>
      <c r="H5" s="22" t="n"/>
      <c r="I5" s="22" t="n"/>
      <c r="J5" s="22" t="n"/>
      <c r="K5" s="28">
        <f>IF(C5="","",COUNTIFS(tbl_Finance[Job Number],C5&amp;"",tbl_Finance[Ex GST],"&lt;&gt;"))</f>
        <v/>
      </c>
      <c r="L5" s="27">
        <f>IF(C5="","",SUMIFS(tbl_Finance[Ex GST],tbl_Finance[Job Number],C5&amp;""))</f>
        <v/>
      </c>
      <c r="M5" s="27">
        <f>IF(C5="","",SUMIFS(tbl_Finance[Ex GST],tbl_Finance[Job Number],C5&amp;"",tbl_Finance[Xero Invoice No],"&lt;&gt;"))</f>
        <v/>
      </c>
      <c r="N5" s="27">
        <f>IF(C5="","",L5-M5)</f>
        <v/>
      </c>
      <c r="O5" s="24" t="n"/>
      <c r="P5" s="27">
        <f>IF(C5="","",IF(O5="",0,MAX(0,O5-L5)))</f>
        <v/>
      </c>
      <c r="Q5" s="26">
        <f>IF(C5="","",IF(K5=0,"not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R5" s="22" t="n"/>
      <c r="S5" s="26">
        <f>IF(R5="","",HYPERLINK(IF(LEFT(R5,4)="http",R5,set_QwilrBase&amp;R5),"Open quote"))</f>
        <v/>
      </c>
      <c r="T5" s="24" t="n"/>
      <c r="U5" s="24" t="n"/>
      <c r="V5" s="24" t="n"/>
      <c r="W5" s="26">
        <f>IF(C5="","",IF(N(T5)+N(U5)+N(V5)=0,"Not split",IF(ROUND(N(T5)+N(U5)+N(V5),2)=ROUND(L5+P5,2),"OK",IF(K5=0,"Not invoiced yet","MISMATCH"))))</f>
        <v/>
      </c>
      <c r="X5" s="24" t="n"/>
      <c r="Y5" s="24" t="n"/>
      <c r="Z5" s="24" t="n"/>
      <c r="AA5" s="27">
        <f>IF(C5="","",N(X5)+N(Y5)+N(Z5))</f>
        <v/>
      </c>
      <c r="AB5" s="27">
        <f>IF(C5="","",L5+P5-AA5)</f>
        <v/>
      </c>
      <c r="AC5" s="29">
        <f>IFERROR(AB5/(L5+P5),"")</f>
        <v/>
      </c>
      <c r="AD5" s="22" t="n"/>
    </row>
    <row r="6" ht="15" customHeight="1">
      <c r="A6" s="70">
        <f>IF(C6="","",IFERROR(IF(SUMPRODUCT(MAX((tbl_Finance[Job Number]&amp;""=C6&amp;"")*(tbl_Finance[Xero Invoice No]&lt;&gt;"")*tbl_Finance[Date]))=0,"",SUMPRODUCT(MAX((tbl_Finance[Job Number]&amp;""=C6&amp;"")*(tbl_Finance[Xero Invoice No]&lt;&gt;"")*tbl_Finance[Date]))),""))</f>
        <v/>
      </c>
      <c r="B6" s="26">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2" t="n"/>
      <c r="D6" s="26">
        <f>IF(C6="","",IF(COUNTIF(lst_Jobs,C6&amp;"")&gt;0,"OK","CHECK"))</f>
        <v/>
      </c>
      <c r="E6" s="26">
        <f>IF(C6="","",IFERROR(INDEX(lst_JobName,MATCH(C6&amp;"",lst_Jobs,0)),""))</f>
        <v/>
      </c>
      <c r="F6" s="22" t="n"/>
      <c r="G6" s="22" t="n"/>
      <c r="H6" s="22" t="n"/>
      <c r="I6" s="22" t="n"/>
      <c r="J6" s="22" t="n"/>
      <c r="K6" s="28">
        <f>IF(C6="","",COUNTIFS(tbl_Finance[Job Number],C6&amp;"",tbl_Finance[Ex GST],"&lt;&gt;"))</f>
        <v/>
      </c>
      <c r="L6" s="27">
        <f>IF(C6="","",SUMIFS(tbl_Finance[Ex GST],tbl_Finance[Job Number],C6&amp;""))</f>
        <v/>
      </c>
      <c r="M6" s="27">
        <f>IF(C6="","",SUMIFS(tbl_Finance[Ex GST],tbl_Finance[Job Number],C6&amp;"",tbl_Finance[Xero Invoice No],"&lt;&gt;"))</f>
        <v/>
      </c>
      <c r="N6" s="27">
        <f>IF(C6="","",L6-M6)</f>
        <v/>
      </c>
      <c r="O6" s="24" t="n"/>
      <c r="P6" s="27">
        <f>IF(C6="","",IF(O6="",0,MAX(0,O6-L6)))</f>
        <v/>
      </c>
      <c r="Q6" s="26">
        <f>IF(C6="","",IF(K6=0,"not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R6" s="22" t="n"/>
      <c r="S6" s="26">
        <f>IF(R6="","",HYPERLINK(IF(LEFT(R6,4)="http",R6,set_QwilrBase&amp;R6),"Open quote"))</f>
        <v/>
      </c>
      <c r="T6" s="24" t="n"/>
      <c r="U6" s="24" t="n"/>
      <c r="V6" s="24" t="n"/>
      <c r="W6" s="26">
        <f>IF(C6="","",IF(N(T6)+N(U6)+N(V6)=0,"Not split",IF(ROUND(N(T6)+N(U6)+N(V6),2)=ROUND(L6+P6,2),"OK",IF(K6=0,"Not invoiced yet","MISMATCH"))))</f>
        <v/>
      </c>
      <c r="X6" s="24" t="n"/>
      <c r="Y6" s="24" t="n"/>
      <c r="Z6" s="24" t="n"/>
      <c r="AA6" s="27">
        <f>IF(C6="","",N(X6)+N(Y6)+N(Z6))</f>
        <v/>
      </c>
      <c r="AB6" s="27">
        <f>IF(C6="","",L6+P6-AA6)</f>
        <v/>
      </c>
      <c r="AC6" s="29">
        <f>IFERROR(AB6/(L6+P6),"")</f>
        <v/>
      </c>
      <c r="AD6" s="22" t="n"/>
    </row>
    <row r="7" ht="15" customHeight="1">
      <c r="A7" s="70">
        <f>IF(C7="","",IFERROR(IF(SUMPRODUCT(MAX((tbl_Finance[Job Number]&amp;""=C7&amp;"")*(tbl_Finance[Xero Invoice No]&lt;&gt;"")*tbl_Finance[Date]))=0,"",SUMPRODUCT(MAX((tbl_Finance[Job Number]&amp;""=C7&amp;"")*(tbl_Finance[Xero Invoice No]&lt;&gt;"")*tbl_Finance[Date]))),""))</f>
        <v/>
      </c>
      <c r="B7" s="26">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2" t="n"/>
      <c r="D7" s="26">
        <f>IF(C7="","",IF(COUNTIF(lst_Jobs,C7&amp;"")&gt;0,"OK","CHECK"))</f>
        <v/>
      </c>
      <c r="E7" s="26">
        <f>IF(C7="","",IFERROR(INDEX(lst_JobName,MATCH(C7&amp;"",lst_Jobs,0)),""))</f>
        <v/>
      </c>
      <c r="F7" s="22" t="n"/>
      <c r="G7" s="22" t="n"/>
      <c r="H7" s="22" t="n"/>
      <c r="I7" s="22" t="n"/>
      <c r="J7" s="22" t="n"/>
      <c r="K7" s="28">
        <f>IF(C7="","",COUNTIFS(tbl_Finance[Job Number],C7&amp;"",tbl_Finance[Ex GST],"&lt;&gt;"))</f>
        <v/>
      </c>
      <c r="L7" s="27">
        <f>IF(C7="","",SUMIFS(tbl_Finance[Ex GST],tbl_Finance[Job Number],C7&amp;""))</f>
        <v/>
      </c>
      <c r="M7" s="27">
        <f>IF(C7="","",SUMIFS(tbl_Finance[Ex GST],tbl_Finance[Job Number],C7&amp;"",tbl_Finance[Xero Invoice No],"&lt;&gt;"))</f>
        <v/>
      </c>
      <c r="N7" s="27">
        <f>IF(C7="","",L7-M7)</f>
        <v/>
      </c>
      <c r="O7" s="24" t="n"/>
      <c r="P7" s="27">
        <f>IF(C7="","",IF(O7="",0,MAX(0,O7-L7)))</f>
        <v/>
      </c>
      <c r="Q7" s="26">
        <f>IF(C7="","",IF(K7=0,"not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R7" s="22" t="n"/>
      <c r="S7" s="26">
        <f>IF(R7="","",HYPERLINK(IF(LEFT(R7,4)="http",R7,set_QwilrBase&amp;R7),"Open quote"))</f>
        <v/>
      </c>
      <c r="T7" s="24" t="n"/>
      <c r="U7" s="24" t="n"/>
      <c r="V7" s="24" t="n"/>
      <c r="W7" s="26">
        <f>IF(C7="","",IF(N(T7)+N(U7)+N(V7)=0,"Not split",IF(ROUND(N(T7)+N(U7)+N(V7),2)=ROUND(L7+P7,2),"OK",IF(K7=0,"Not invoiced yet","MISMATCH"))))</f>
        <v/>
      </c>
      <c r="X7" s="24" t="n"/>
      <c r="Y7" s="24" t="n"/>
      <c r="Z7" s="24" t="n"/>
      <c r="AA7" s="27">
        <f>IF(C7="","",N(X7)+N(Y7)+N(Z7))</f>
        <v/>
      </c>
      <c r="AB7" s="27">
        <f>IF(C7="","",L7+P7-AA7)</f>
        <v/>
      </c>
      <c r="AC7" s="29">
        <f>IFERROR(AB7/(L7+P7),"")</f>
        <v/>
      </c>
      <c r="AD7" s="22" t="n"/>
    </row>
    <row r="8" ht="15" customHeight="1">
      <c r="A8" s="70">
        <f>IF(C8="","",IFERROR(IF(SUMPRODUCT(MAX((tbl_Finance[Job Number]&amp;""=C8&amp;"")*(tbl_Finance[Xero Invoice No]&lt;&gt;"")*tbl_Finance[Date]))=0,"",SUMPRODUCT(MAX((tbl_Finance[Job Number]&amp;""=C8&amp;"")*(tbl_Finance[Xero Invoice No]&lt;&gt;"")*tbl_Finance[Date]))),""))</f>
        <v/>
      </c>
      <c r="B8" s="26">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2" t="n"/>
      <c r="D8" s="26">
        <f>IF(C8="","",IF(COUNTIF(lst_Jobs,C8&amp;"")&gt;0,"OK","CHECK"))</f>
        <v/>
      </c>
      <c r="E8" s="26">
        <f>IF(C8="","",IFERROR(INDEX(lst_JobName,MATCH(C8&amp;"",lst_Jobs,0)),""))</f>
        <v/>
      </c>
      <c r="F8" s="22" t="n"/>
      <c r="G8" s="22" t="n"/>
      <c r="H8" s="22" t="n"/>
      <c r="I8" s="22" t="n"/>
      <c r="J8" s="22" t="n"/>
      <c r="K8" s="28">
        <f>IF(C8="","",COUNTIFS(tbl_Finance[Job Number],C8&amp;"",tbl_Finance[Ex GST],"&lt;&gt;"))</f>
        <v/>
      </c>
      <c r="L8" s="27">
        <f>IF(C8="","",SUMIFS(tbl_Finance[Ex GST],tbl_Finance[Job Number],C8&amp;""))</f>
        <v/>
      </c>
      <c r="M8" s="27">
        <f>IF(C8="","",SUMIFS(tbl_Finance[Ex GST],tbl_Finance[Job Number],C8&amp;"",tbl_Finance[Xero Invoice No],"&lt;&gt;"))</f>
        <v/>
      </c>
      <c r="N8" s="27">
        <f>IF(C8="","",L8-M8)</f>
        <v/>
      </c>
      <c r="O8" s="24" t="n"/>
      <c r="P8" s="27">
        <f>IF(C8="","",IF(O8="",0,MAX(0,O8-L8)))</f>
        <v/>
      </c>
      <c r="Q8" s="26">
        <f>IF(C8="","",IF(K8=0,"not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R8" s="22" t="n"/>
      <c r="S8" s="26">
        <f>IF(R8="","",HYPERLINK(IF(LEFT(R8,4)="http",R8,set_QwilrBase&amp;R8),"Open quote"))</f>
        <v/>
      </c>
      <c r="T8" s="24" t="n"/>
      <c r="U8" s="24" t="n"/>
      <c r="V8" s="24" t="n"/>
      <c r="W8" s="26">
        <f>IF(C8="","",IF(N(T8)+N(U8)+N(V8)=0,"Not split",IF(ROUND(N(T8)+N(U8)+N(V8),2)=ROUND(L8+P8,2),"OK",IF(K8=0,"Not invoiced yet","MISMATCH"))))</f>
        <v/>
      </c>
      <c r="X8" s="24" t="n"/>
      <c r="Y8" s="24" t="n"/>
      <c r="Z8" s="24" t="n"/>
      <c r="AA8" s="27">
        <f>IF(C8="","",N(X8)+N(Y8)+N(Z8))</f>
        <v/>
      </c>
      <c r="AB8" s="27">
        <f>IF(C8="","",L8+P8-AA8)</f>
        <v/>
      </c>
      <c r="AC8" s="29">
        <f>IFERROR(AB8/(L8+P8),"")</f>
        <v/>
      </c>
      <c r="AD8" s="22" t="n"/>
    </row>
    <row r="9" ht="15" customHeight="1">
      <c r="A9" s="70">
        <f>IF(C9="","",IFERROR(IF(SUMPRODUCT(MAX((tbl_Finance[Job Number]&amp;""=C9&amp;"")*(tbl_Finance[Xero Invoice No]&lt;&gt;"")*tbl_Finance[Date]))=0,"",SUMPRODUCT(MAX((tbl_Finance[Job Number]&amp;""=C9&amp;"")*(tbl_Finance[Xero Invoice No]&lt;&gt;"")*tbl_Finance[Date]))),""))</f>
        <v/>
      </c>
      <c r="B9" s="26">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2" t="n"/>
      <c r="D9" s="26">
        <f>IF(C9="","",IF(COUNTIF(lst_Jobs,C9&amp;"")&gt;0,"OK","CHECK"))</f>
        <v/>
      </c>
      <c r="E9" s="26">
        <f>IF(C9="","",IFERROR(INDEX(lst_JobName,MATCH(C9&amp;"",lst_Jobs,0)),""))</f>
        <v/>
      </c>
      <c r="F9" s="22" t="n"/>
      <c r="G9" s="22" t="n"/>
      <c r="H9" s="22" t="n"/>
      <c r="I9" s="22" t="n"/>
      <c r="J9" s="22" t="n"/>
      <c r="K9" s="28">
        <f>IF(C9="","",COUNTIFS(tbl_Finance[Job Number],C9&amp;"",tbl_Finance[Ex GST],"&lt;&gt;"))</f>
        <v/>
      </c>
      <c r="L9" s="27">
        <f>IF(C9="","",SUMIFS(tbl_Finance[Ex GST],tbl_Finance[Job Number],C9&amp;""))</f>
        <v/>
      </c>
      <c r="M9" s="27">
        <f>IF(C9="","",SUMIFS(tbl_Finance[Ex GST],tbl_Finance[Job Number],C9&amp;"",tbl_Finance[Xero Invoice No],"&lt;&gt;"))</f>
        <v/>
      </c>
      <c r="N9" s="27">
        <f>IF(C9="","",L9-M9)</f>
        <v/>
      </c>
      <c r="O9" s="24" t="n"/>
      <c r="P9" s="27">
        <f>IF(C9="","",IF(O9="",0,MAX(0,O9-L9)))</f>
        <v/>
      </c>
      <c r="Q9" s="26">
        <f>IF(C9="","",IF(K9=0,"not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R9" s="22" t="n"/>
      <c r="S9" s="26">
        <f>IF(R9="","",HYPERLINK(IF(LEFT(R9,4)="http",R9,set_QwilrBase&amp;R9),"Open quote"))</f>
        <v/>
      </c>
      <c r="T9" s="24" t="n"/>
      <c r="U9" s="24" t="n"/>
      <c r="V9" s="24" t="n"/>
      <c r="W9" s="26">
        <f>IF(C9="","",IF(N(T9)+N(U9)+N(V9)=0,"Not split",IF(ROUND(N(T9)+N(U9)+N(V9),2)=ROUND(L9+P9,2),"OK",IF(K9=0,"Not invoiced yet","MISMATCH"))))</f>
        <v/>
      </c>
      <c r="X9" s="24" t="n"/>
      <c r="Y9" s="24" t="n"/>
      <c r="Z9" s="24" t="n"/>
      <c r="AA9" s="27">
        <f>IF(C9="","",N(X9)+N(Y9)+N(Z9))</f>
        <v/>
      </c>
      <c r="AB9" s="27">
        <f>IF(C9="","",L9+P9-AA9)</f>
        <v/>
      </c>
      <c r="AC9" s="29">
        <f>IFERROR(AB9/(L9+P9),"")</f>
        <v/>
      </c>
      <c r="AD9" s="22" t="n"/>
    </row>
    <row r="10" ht="15" customHeight="1">
      <c r="A10" s="70">
        <f>IF(C10="","",IFERROR(IF(SUMPRODUCT(MAX((tbl_Finance[Job Number]&amp;""=C10&amp;"")*(tbl_Finance[Xero Invoice No]&lt;&gt;"")*tbl_Finance[Date]))=0,"",SUMPRODUCT(MAX((tbl_Finance[Job Number]&amp;""=C10&amp;"")*(tbl_Finance[Xero Invoice No]&lt;&gt;"")*tbl_Finance[Date]))),""))</f>
        <v/>
      </c>
      <c r="B10" s="26">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2" t="n"/>
      <c r="D10" s="26">
        <f>IF(C10="","",IF(COUNTIF(lst_Jobs,C10&amp;"")&gt;0,"OK","CHECK"))</f>
        <v/>
      </c>
      <c r="E10" s="26">
        <f>IF(C10="","",IFERROR(INDEX(lst_JobName,MATCH(C10&amp;"",lst_Jobs,0)),""))</f>
        <v/>
      </c>
      <c r="F10" s="22" t="n"/>
      <c r="G10" s="22" t="n"/>
      <c r="H10" s="22" t="n"/>
      <c r="I10" s="22" t="n"/>
      <c r="J10" s="22" t="n"/>
      <c r="K10" s="28">
        <f>IF(C10="","",COUNTIFS(tbl_Finance[Job Number],C10&amp;"",tbl_Finance[Ex GST],"&lt;&gt;"))</f>
        <v/>
      </c>
      <c r="L10" s="27">
        <f>IF(C10="","",SUMIFS(tbl_Finance[Ex GST],tbl_Finance[Job Number],C10&amp;""))</f>
        <v/>
      </c>
      <c r="M10" s="27">
        <f>IF(C10="","",SUMIFS(tbl_Finance[Ex GST],tbl_Finance[Job Number],C10&amp;"",tbl_Finance[Xero Invoice No],"&lt;&gt;"))</f>
        <v/>
      </c>
      <c r="N10" s="27">
        <f>IF(C10="","",L10-M10)</f>
        <v/>
      </c>
      <c r="O10" s="24" t="n"/>
      <c r="P10" s="27">
        <f>IF(C10="","",IF(O10="",0,MAX(0,O10-L10)))</f>
        <v/>
      </c>
      <c r="Q10" s="26">
        <f>IF(C10="","",IF(K10=0,"not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R10" s="22" t="n"/>
      <c r="S10" s="26">
        <f>IF(R10="","",HYPERLINK(IF(LEFT(R10,4)="http",R10,set_QwilrBase&amp;R10),"Open quote"))</f>
        <v/>
      </c>
      <c r="T10" s="24" t="n"/>
      <c r="U10" s="24" t="n"/>
      <c r="V10" s="24" t="n"/>
      <c r="W10" s="26">
        <f>IF(C10="","",IF(N(T10)+N(U10)+N(V10)=0,"Not split",IF(ROUND(N(T10)+N(U10)+N(V10),2)=ROUND(L10+P10,2),"OK",IF(K10=0,"Not invoiced yet","MISMATCH"))))</f>
        <v/>
      </c>
      <c r="X10" s="24" t="n"/>
      <c r="Y10" s="24" t="n"/>
      <c r="Z10" s="24" t="n"/>
      <c r="AA10" s="27">
        <f>IF(C10="","",N(X10)+N(Y10)+N(Z10))</f>
        <v/>
      </c>
      <c r="AB10" s="27">
        <f>IF(C10="","",L10+P10-AA10)</f>
        <v/>
      </c>
      <c r="AC10" s="29">
        <f>IFERROR(AB10/(L10+P10),"")</f>
        <v/>
      </c>
      <c r="AD10" s="22" t="n"/>
    </row>
    <row r="11" ht="15" customHeight="1">
      <c r="A11" s="70">
        <f>IF(C11="","",IFERROR(IF(SUMPRODUCT(MAX((tbl_Finance[Job Number]&amp;""=C11&amp;"")*(tbl_Finance[Xero Invoice No]&lt;&gt;"")*tbl_Finance[Date]))=0,"",SUMPRODUCT(MAX((tbl_Finance[Job Number]&amp;""=C11&amp;"")*(tbl_Finance[Xero Invoice No]&lt;&gt;"")*tbl_Finance[Date]))),""))</f>
        <v/>
      </c>
      <c r="B11" s="26">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2" t="n"/>
      <c r="D11" s="26">
        <f>IF(C11="","",IF(COUNTIF(lst_Jobs,C11&amp;"")&gt;0,"OK","CHECK"))</f>
        <v/>
      </c>
      <c r="E11" s="26">
        <f>IF(C11="","",IFERROR(INDEX(lst_JobName,MATCH(C11&amp;"",lst_Jobs,0)),""))</f>
        <v/>
      </c>
      <c r="F11" s="22" t="n"/>
      <c r="G11" s="22" t="n"/>
      <c r="H11" s="22" t="n"/>
      <c r="I11" s="22" t="n"/>
      <c r="J11" s="22" t="n"/>
      <c r="K11" s="28">
        <f>IF(C11="","",COUNTIFS(tbl_Finance[Job Number],C11&amp;"",tbl_Finance[Ex GST],"&lt;&gt;"))</f>
        <v/>
      </c>
      <c r="L11" s="27">
        <f>IF(C11="","",SUMIFS(tbl_Finance[Ex GST],tbl_Finance[Job Number],C11&amp;""))</f>
        <v/>
      </c>
      <c r="M11" s="27">
        <f>IF(C11="","",SUMIFS(tbl_Finance[Ex GST],tbl_Finance[Job Number],C11&amp;"",tbl_Finance[Xero Invoice No],"&lt;&gt;"))</f>
        <v/>
      </c>
      <c r="N11" s="27">
        <f>IF(C11="","",L11-M11)</f>
        <v/>
      </c>
      <c r="O11" s="24" t="n"/>
      <c r="P11" s="27">
        <f>IF(C11="","",IF(O11="",0,MAX(0,O11-L11)))</f>
        <v/>
      </c>
      <c r="Q11" s="26">
        <f>IF(C11="","",IF(K11=0,"not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R11" s="22" t="n"/>
      <c r="S11" s="26">
        <f>IF(R11="","",HYPERLINK(IF(LEFT(R11,4)="http",R11,set_QwilrBase&amp;R11),"Open quote"))</f>
        <v/>
      </c>
      <c r="T11" s="24" t="n"/>
      <c r="U11" s="24" t="n"/>
      <c r="V11" s="24" t="n"/>
      <c r="W11" s="26">
        <f>IF(C11="","",IF(N(T11)+N(U11)+N(V11)=0,"Not split",IF(ROUND(N(T11)+N(U11)+N(V11),2)=ROUND(L11+P11,2),"OK",IF(K11=0,"Not invoiced yet","MISMATCH"))))</f>
        <v/>
      </c>
      <c r="X11" s="24" t="n"/>
      <c r="Y11" s="24" t="n"/>
      <c r="Z11" s="24" t="n"/>
      <c r="AA11" s="27">
        <f>IF(C11="","",N(X11)+N(Y11)+N(Z11))</f>
        <v/>
      </c>
      <c r="AB11" s="27">
        <f>IF(C11="","",L11+P11-AA11)</f>
        <v/>
      </c>
      <c r="AC11" s="29">
        <f>IFERROR(AB11/(L11+P11),"")</f>
        <v/>
      </c>
      <c r="AD11" s="22" t="n"/>
    </row>
    <row r="12" ht="15" customHeight="1">
      <c r="A12" s="70">
        <f>IF(C12="","",IFERROR(IF(SUMPRODUCT(MAX((tbl_Finance[Job Number]&amp;""=C12&amp;"")*(tbl_Finance[Xero Invoice No]&lt;&gt;"")*tbl_Finance[Date]))=0,"",SUMPRODUCT(MAX((tbl_Finance[Job Number]&amp;""=C12&amp;"")*(tbl_Finance[Xero Invoice No]&lt;&gt;"")*tbl_Finance[Date]))),""))</f>
        <v/>
      </c>
      <c r="B12" s="26">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2" t="n"/>
      <c r="D12" s="26">
        <f>IF(C12="","",IF(COUNTIF(lst_Jobs,C12&amp;"")&gt;0,"OK","CHECK"))</f>
        <v/>
      </c>
      <c r="E12" s="26">
        <f>IF(C12="","",IFERROR(INDEX(lst_JobName,MATCH(C12&amp;"",lst_Jobs,0)),""))</f>
        <v/>
      </c>
      <c r="F12" s="22" t="n"/>
      <c r="G12" s="22" t="n"/>
      <c r="H12" s="22" t="n"/>
      <c r="I12" s="22" t="n"/>
      <c r="J12" s="22" t="n"/>
      <c r="K12" s="28">
        <f>IF(C12="","",COUNTIFS(tbl_Finance[Job Number],C12&amp;"",tbl_Finance[Ex GST],"&lt;&gt;"))</f>
        <v/>
      </c>
      <c r="L12" s="27">
        <f>IF(C12="","",SUMIFS(tbl_Finance[Ex GST],tbl_Finance[Job Number],C12&amp;""))</f>
        <v/>
      </c>
      <c r="M12" s="27">
        <f>IF(C12="","",SUMIFS(tbl_Finance[Ex GST],tbl_Finance[Job Number],C12&amp;"",tbl_Finance[Xero Invoice No],"&lt;&gt;"))</f>
        <v/>
      </c>
      <c r="N12" s="27">
        <f>IF(C12="","",L12-M12)</f>
        <v/>
      </c>
      <c r="O12" s="24" t="n"/>
      <c r="P12" s="27">
        <f>IF(C12="","",IF(O12="",0,MAX(0,O12-L12)))</f>
        <v/>
      </c>
      <c r="Q12" s="26">
        <f>IF(C12="","",IF(K12=0,"not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R12" s="22" t="n"/>
      <c r="S12" s="26">
        <f>IF(R12="","",HYPERLINK(IF(LEFT(R12,4)="http",R12,set_QwilrBase&amp;R12),"Open quote"))</f>
        <v/>
      </c>
      <c r="T12" s="24" t="n"/>
      <c r="U12" s="24" t="n"/>
      <c r="V12" s="24" t="n"/>
      <c r="W12" s="26">
        <f>IF(C12="","",IF(N(T12)+N(U12)+N(V12)=0,"Not split",IF(ROUND(N(T12)+N(U12)+N(V12),2)=ROUND(L12+P12,2),"OK",IF(K12=0,"Not invoiced yet","MISMATCH"))))</f>
        <v/>
      </c>
      <c r="X12" s="24" t="n"/>
      <c r="Y12" s="24" t="n"/>
      <c r="Z12" s="24" t="n"/>
      <c r="AA12" s="27">
        <f>IF(C12="","",N(X12)+N(Y12)+N(Z12))</f>
        <v/>
      </c>
      <c r="AB12" s="27">
        <f>IF(C12="","",L12+P12-AA12)</f>
        <v/>
      </c>
      <c r="AC12" s="29">
        <f>IFERROR(AB12/(L12+P12),"")</f>
        <v/>
      </c>
      <c r="AD12" s="22" t="n"/>
    </row>
    <row r="13" ht="15" customHeight="1">
      <c r="A13" s="70">
        <f>IF(C13="","",IFERROR(IF(SUMPRODUCT(MAX((tbl_Finance[Job Number]&amp;""=C13&amp;"")*(tbl_Finance[Xero Invoice No]&lt;&gt;"")*tbl_Finance[Date]))=0,"",SUMPRODUCT(MAX((tbl_Finance[Job Number]&amp;""=C13&amp;"")*(tbl_Finance[Xero Invoice No]&lt;&gt;"")*tbl_Finance[Date]))),""))</f>
        <v/>
      </c>
      <c r="B13" s="26">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2" t="n"/>
      <c r="D13" s="26">
        <f>IF(C13="","",IF(COUNTIF(lst_Jobs,C13&amp;"")&gt;0,"OK","CHECK"))</f>
        <v/>
      </c>
      <c r="E13" s="26">
        <f>IF(C13="","",IFERROR(INDEX(lst_JobName,MATCH(C13&amp;"",lst_Jobs,0)),""))</f>
        <v/>
      </c>
      <c r="F13" s="22" t="n"/>
      <c r="G13" s="22" t="n"/>
      <c r="H13" s="22" t="n"/>
      <c r="I13" s="22" t="n"/>
      <c r="J13" s="22" t="n"/>
      <c r="K13" s="28">
        <f>IF(C13="","",COUNTIFS(tbl_Finance[Job Number],C13&amp;"",tbl_Finance[Ex GST],"&lt;&gt;"))</f>
        <v/>
      </c>
      <c r="L13" s="27">
        <f>IF(C13="","",SUMIFS(tbl_Finance[Ex GST],tbl_Finance[Job Number],C13&amp;""))</f>
        <v/>
      </c>
      <c r="M13" s="27">
        <f>IF(C13="","",SUMIFS(tbl_Finance[Ex GST],tbl_Finance[Job Number],C13&amp;"",tbl_Finance[Xero Invoice No],"&lt;&gt;"))</f>
        <v/>
      </c>
      <c r="N13" s="27">
        <f>IF(C13="","",L13-M13)</f>
        <v/>
      </c>
      <c r="O13" s="24" t="n"/>
      <c r="P13" s="27">
        <f>IF(C13="","",IF(O13="",0,MAX(0,O13-L13)))</f>
        <v/>
      </c>
      <c r="Q13" s="26">
        <f>IF(C13="","",IF(K13=0,"not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R13" s="22" t="n"/>
      <c r="S13" s="26">
        <f>IF(R13="","",HYPERLINK(IF(LEFT(R13,4)="http",R13,set_QwilrBase&amp;R13),"Open quote"))</f>
        <v/>
      </c>
      <c r="T13" s="24" t="n"/>
      <c r="U13" s="24" t="n"/>
      <c r="V13" s="24" t="n"/>
      <c r="W13" s="26">
        <f>IF(C13="","",IF(N(T13)+N(U13)+N(V13)=0,"Not split",IF(ROUND(N(T13)+N(U13)+N(V13),2)=ROUND(L13+P13,2),"OK",IF(K13=0,"Not invoiced yet","MISMATCH"))))</f>
        <v/>
      </c>
      <c r="X13" s="24" t="n"/>
      <c r="Y13" s="24" t="n"/>
      <c r="Z13" s="24" t="n"/>
      <c r="AA13" s="27">
        <f>IF(C13="","",N(X13)+N(Y13)+N(Z13))</f>
        <v/>
      </c>
      <c r="AB13" s="27">
        <f>IF(C13="","",L13+P13-AA13)</f>
        <v/>
      </c>
      <c r="AC13" s="29">
        <f>IFERROR(AB13/(L13+P13),"")</f>
        <v/>
      </c>
      <c r="AD13" s="22" t="n"/>
    </row>
    <row r="14" ht="15" customHeight="1">
      <c r="A14" s="70">
        <f>IF(C14="","",IFERROR(IF(SUMPRODUCT(MAX((tbl_Finance[Job Number]&amp;""=C14&amp;"")*(tbl_Finance[Xero Invoice No]&lt;&gt;"")*tbl_Finance[Date]))=0,"",SUMPRODUCT(MAX((tbl_Finance[Job Number]&amp;""=C14&amp;"")*(tbl_Finance[Xero Invoice No]&lt;&gt;"")*tbl_Finance[Date]))),""))</f>
        <v/>
      </c>
      <c r="B14" s="26">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2" t="n"/>
      <c r="D14" s="26">
        <f>IF(C14="","",IF(COUNTIF(lst_Jobs,C14&amp;"")&gt;0,"OK","CHECK"))</f>
        <v/>
      </c>
      <c r="E14" s="26">
        <f>IF(C14="","",IFERROR(INDEX(lst_JobName,MATCH(C14&amp;"",lst_Jobs,0)),""))</f>
        <v/>
      </c>
      <c r="F14" s="22" t="n"/>
      <c r="G14" s="22" t="n"/>
      <c r="H14" s="22" t="n"/>
      <c r="I14" s="22" t="n"/>
      <c r="J14" s="22" t="n"/>
      <c r="K14" s="28">
        <f>IF(C14="","",COUNTIFS(tbl_Finance[Job Number],C14&amp;"",tbl_Finance[Ex GST],"&lt;&gt;"))</f>
        <v/>
      </c>
      <c r="L14" s="27">
        <f>IF(C14="","",SUMIFS(tbl_Finance[Ex GST],tbl_Finance[Job Number],C14&amp;""))</f>
        <v/>
      </c>
      <c r="M14" s="27">
        <f>IF(C14="","",SUMIFS(tbl_Finance[Ex GST],tbl_Finance[Job Number],C14&amp;"",tbl_Finance[Xero Invoice No],"&lt;&gt;"))</f>
        <v/>
      </c>
      <c r="N14" s="27">
        <f>IF(C14="","",L14-M14)</f>
        <v/>
      </c>
      <c r="O14" s="24" t="n"/>
      <c r="P14" s="27">
        <f>IF(C14="","",IF(O14="",0,MAX(0,O14-L14)))</f>
        <v/>
      </c>
      <c r="Q14" s="26">
        <f>IF(C14="","",IF(K14=0,"not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R14" s="22" t="n"/>
      <c r="S14" s="26">
        <f>IF(R14="","",HYPERLINK(IF(LEFT(R14,4)="http",R14,set_QwilrBase&amp;R14),"Open quote"))</f>
        <v/>
      </c>
      <c r="T14" s="24" t="n"/>
      <c r="U14" s="24" t="n"/>
      <c r="V14" s="24" t="n"/>
      <c r="W14" s="26">
        <f>IF(C14="","",IF(N(T14)+N(U14)+N(V14)=0,"Not split",IF(ROUND(N(T14)+N(U14)+N(V14),2)=ROUND(L14+P14,2),"OK",IF(K14=0,"Not invoiced yet","MISMATCH"))))</f>
        <v/>
      </c>
      <c r="X14" s="24" t="n"/>
      <c r="Y14" s="24" t="n"/>
      <c r="Z14" s="24" t="n"/>
      <c r="AA14" s="27">
        <f>IF(C14="","",N(X14)+N(Y14)+N(Z14))</f>
        <v/>
      </c>
      <c r="AB14" s="27">
        <f>IF(C14="","",L14+P14-AA14)</f>
        <v/>
      </c>
      <c r="AC14" s="29">
        <f>IFERROR(AB14/(L14+P14),"")</f>
        <v/>
      </c>
      <c r="AD14" s="22" t="n"/>
    </row>
    <row r="15" ht="15" customHeight="1">
      <c r="A15" s="70">
        <f>IF(C15="","",IFERROR(IF(SUMPRODUCT(MAX((tbl_Finance[Job Number]&amp;""=C15&amp;"")*(tbl_Finance[Xero Invoice No]&lt;&gt;"")*tbl_Finance[Date]))=0,"",SUMPRODUCT(MAX((tbl_Finance[Job Number]&amp;""=C15&amp;"")*(tbl_Finance[Xero Invoice No]&lt;&gt;"")*tbl_Finance[Date]))),""))</f>
        <v/>
      </c>
      <c r="B15" s="26">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2" t="n"/>
      <c r="D15" s="26">
        <f>IF(C15="","",IF(COUNTIF(lst_Jobs,C15&amp;"")&gt;0,"OK","CHECK"))</f>
        <v/>
      </c>
      <c r="E15" s="26">
        <f>IF(C15="","",IFERROR(INDEX(lst_JobName,MATCH(C15&amp;"",lst_Jobs,0)),""))</f>
        <v/>
      </c>
      <c r="F15" s="22" t="n"/>
      <c r="G15" s="22" t="n"/>
      <c r="H15" s="22" t="n"/>
      <c r="I15" s="22" t="n"/>
      <c r="J15" s="22" t="n"/>
      <c r="K15" s="28">
        <f>IF(C15="","",COUNTIFS(tbl_Finance[Job Number],C15&amp;"",tbl_Finance[Ex GST],"&lt;&gt;"))</f>
        <v/>
      </c>
      <c r="L15" s="27">
        <f>IF(C15="","",SUMIFS(tbl_Finance[Ex GST],tbl_Finance[Job Number],C15&amp;""))</f>
        <v/>
      </c>
      <c r="M15" s="27">
        <f>IF(C15="","",SUMIFS(tbl_Finance[Ex GST],tbl_Finance[Job Number],C15&amp;"",tbl_Finance[Xero Invoice No],"&lt;&gt;"))</f>
        <v/>
      </c>
      <c r="N15" s="27">
        <f>IF(C15="","",L15-M15)</f>
        <v/>
      </c>
      <c r="O15" s="24" t="n"/>
      <c r="P15" s="27">
        <f>IF(C15="","",IF(O15="",0,MAX(0,O15-L15)))</f>
        <v/>
      </c>
      <c r="Q15" s="26">
        <f>IF(C15="","",IF(K15=0,"not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R15" s="22" t="n"/>
      <c r="S15" s="26">
        <f>IF(R15="","",HYPERLINK(IF(LEFT(R15,4)="http",R15,set_QwilrBase&amp;R15),"Open quote"))</f>
        <v/>
      </c>
      <c r="T15" s="24" t="n"/>
      <c r="U15" s="24" t="n"/>
      <c r="V15" s="24" t="n"/>
      <c r="W15" s="26">
        <f>IF(C15="","",IF(N(T15)+N(U15)+N(V15)=0,"Not split",IF(ROUND(N(T15)+N(U15)+N(V15),2)=ROUND(L15+P15,2),"OK",IF(K15=0,"Not invoiced yet","MISMATCH"))))</f>
        <v/>
      </c>
      <c r="X15" s="24" t="n"/>
      <c r="Y15" s="24" t="n"/>
      <c r="Z15" s="24" t="n"/>
      <c r="AA15" s="27">
        <f>IF(C15="","",N(X15)+N(Y15)+N(Z15))</f>
        <v/>
      </c>
      <c r="AB15" s="27">
        <f>IF(C15="","",L15+P15-AA15)</f>
        <v/>
      </c>
      <c r="AC15" s="29">
        <f>IFERROR(AB15/(L15+P15),"")</f>
        <v/>
      </c>
      <c r="AD15" s="22" t="n"/>
    </row>
    <row r="16" ht="15" customHeight="1">
      <c r="A16" s="70">
        <f>IF(C16="","",IFERROR(IF(SUMPRODUCT(MAX((tbl_Finance[Job Number]&amp;""=C16&amp;"")*(tbl_Finance[Xero Invoice No]&lt;&gt;"")*tbl_Finance[Date]))=0,"",SUMPRODUCT(MAX((tbl_Finance[Job Number]&amp;""=C16&amp;"")*(tbl_Finance[Xero Invoice No]&lt;&gt;"")*tbl_Finance[Date]))),""))</f>
        <v/>
      </c>
      <c r="B16" s="26">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2" t="n"/>
      <c r="D16" s="26">
        <f>IF(C16="","",IF(COUNTIF(lst_Jobs,C16&amp;"")&gt;0,"OK","CHECK"))</f>
        <v/>
      </c>
      <c r="E16" s="26">
        <f>IF(C16="","",IFERROR(INDEX(lst_JobName,MATCH(C16&amp;"",lst_Jobs,0)),""))</f>
        <v/>
      </c>
      <c r="F16" s="22" t="n"/>
      <c r="G16" s="22" t="n"/>
      <c r="H16" s="22" t="n"/>
      <c r="I16" s="22" t="n"/>
      <c r="J16" s="22" t="n"/>
      <c r="K16" s="28">
        <f>IF(C16="","",COUNTIFS(tbl_Finance[Job Number],C16&amp;"",tbl_Finance[Ex GST],"&lt;&gt;"))</f>
        <v/>
      </c>
      <c r="L16" s="27">
        <f>IF(C16="","",SUMIFS(tbl_Finance[Ex GST],tbl_Finance[Job Number],C16&amp;""))</f>
        <v/>
      </c>
      <c r="M16" s="27">
        <f>IF(C16="","",SUMIFS(tbl_Finance[Ex GST],tbl_Finance[Job Number],C16&amp;"",tbl_Finance[Xero Invoice No],"&lt;&gt;"))</f>
        <v/>
      </c>
      <c r="N16" s="27">
        <f>IF(C16="","",L16-M16)</f>
        <v/>
      </c>
      <c r="O16" s="24" t="n"/>
      <c r="P16" s="27">
        <f>IF(C16="","",IF(O16="",0,MAX(0,O16-L16)))</f>
        <v/>
      </c>
      <c r="Q16" s="26">
        <f>IF(C16="","",IF(K16=0,"not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R16" s="22" t="n"/>
      <c r="S16" s="26">
        <f>IF(R16="","",HYPERLINK(IF(LEFT(R16,4)="http",R16,set_QwilrBase&amp;R16),"Open quote"))</f>
        <v/>
      </c>
      <c r="T16" s="24" t="n"/>
      <c r="U16" s="24" t="n"/>
      <c r="V16" s="24" t="n"/>
      <c r="W16" s="26">
        <f>IF(C16="","",IF(N(T16)+N(U16)+N(V16)=0,"Not split",IF(ROUND(N(T16)+N(U16)+N(V16),2)=ROUND(L16+P16,2),"OK",IF(K16=0,"Not invoiced yet","MISMATCH"))))</f>
        <v/>
      </c>
      <c r="X16" s="24" t="n"/>
      <c r="Y16" s="24" t="n"/>
      <c r="Z16" s="24" t="n"/>
      <c r="AA16" s="27">
        <f>IF(C16="","",N(X16)+N(Y16)+N(Z16))</f>
        <v/>
      </c>
      <c r="AB16" s="27">
        <f>IF(C16="","",L16+P16-AA16)</f>
        <v/>
      </c>
      <c r="AC16" s="29">
        <f>IFERROR(AB16/(L16+P16),"")</f>
        <v/>
      </c>
      <c r="AD16" s="22" t="n"/>
    </row>
    <row r="17" ht="15" customHeight="1">
      <c r="A17" s="70">
        <f>IF(C17="","",IFERROR(IF(SUMPRODUCT(MAX((tbl_Finance[Job Number]&amp;""=C17&amp;"")*(tbl_Finance[Xero Invoice No]&lt;&gt;"")*tbl_Finance[Date]))=0,"",SUMPRODUCT(MAX((tbl_Finance[Job Number]&amp;""=C17&amp;"")*(tbl_Finance[Xero Invoice No]&lt;&gt;"")*tbl_Finance[Date]))),""))</f>
        <v/>
      </c>
      <c r="B17" s="26">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2" t="n"/>
      <c r="D17" s="26">
        <f>IF(C17="","",IF(COUNTIF(lst_Jobs,C17&amp;"")&gt;0,"OK","CHECK"))</f>
        <v/>
      </c>
      <c r="E17" s="26">
        <f>IF(C17="","",IFERROR(INDEX(lst_JobName,MATCH(C17&amp;"",lst_Jobs,0)),""))</f>
        <v/>
      </c>
      <c r="F17" s="22" t="n"/>
      <c r="G17" s="22" t="n"/>
      <c r="H17" s="22" t="n"/>
      <c r="I17" s="22" t="n"/>
      <c r="J17" s="22" t="n"/>
      <c r="K17" s="28">
        <f>IF(C17="","",COUNTIFS(tbl_Finance[Job Number],C17&amp;"",tbl_Finance[Ex GST],"&lt;&gt;"))</f>
        <v/>
      </c>
      <c r="L17" s="27">
        <f>IF(C17="","",SUMIFS(tbl_Finance[Ex GST],tbl_Finance[Job Number],C17&amp;""))</f>
        <v/>
      </c>
      <c r="M17" s="27">
        <f>IF(C17="","",SUMIFS(tbl_Finance[Ex GST],tbl_Finance[Job Number],C17&amp;"",tbl_Finance[Xero Invoice No],"&lt;&gt;"))</f>
        <v/>
      </c>
      <c r="N17" s="27">
        <f>IF(C17="","",L17-M17)</f>
        <v/>
      </c>
      <c r="O17" s="24" t="n"/>
      <c r="P17" s="27">
        <f>IF(C17="","",IF(O17="",0,MAX(0,O17-L17)))</f>
        <v/>
      </c>
      <c r="Q17" s="26">
        <f>IF(C17="","",IF(K17=0,"not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R17" s="22" t="n"/>
      <c r="S17" s="26">
        <f>IF(R17="","",HYPERLINK(IF(LEFT(R17,4)="http",R17,set_QwilrBase&amp;R17),"Open quote"))</f>
        <v/>
      </c>
      <c r="T17" s="24" t="n"/>
      <c r="U17" s="24" t="n"/>
      <c r="V17" s="24" t="n"/>
      <c r="W17" s="26">
        <f>IF(C17="","",IF(N(T17)+N(U17)+N(V17)=0,"Not split",IF(ROUND(N(T17)+N(U17)+N(V17),2)=ROUND(L17+P17,2),"OK",IF(K17=0,"Not invoiced yet","MISMATCH"))))</f>
        <v/>
      </c>
      <c r="X17" s="24" t="n"/>
      <c r="Y17" s="24" t="n"/>
      <c r="Z17" s="24" t="n"/>
      <c r="AA17" s="27">
        <f>IF(C17="","",N(X17)+N(Y17)+N(Z17))</f>
        <v/>
      </c>
      <c r="AB17" s="27">
        <f>IF(C17="","",L17+P17-AA17)</f>
        <v/>
      </c>
      <c r="AC17" s="29">
        <f>IFERROR(AB17/(L17+P17),"")</f>
        <v/>
      </c>
      <c r="AD17" s="22" t="n"/>
    </row>
    <row r="18" ht="15" customHeight="1">
      <c r="A18" s="70">
        <f>IF(C18="","",IFERROR(IF(SUMPRODUCT(MAX((tbl_Finance[Job Number]&amp;""=C18&amp;"")*(tbl_Finance[Xero Invoice No]&lt;&gt;"")*tbl_Finance[Date]))=0,"",SUMPRODUCT(MAX((tbl_Finance[Job Number]&amp;""=C18&amp;"")*(tbl_Finance[Xero Invoice No]&lt;&gt;"")*tbl_Finance[Date]))),""))</f>
        <v/>
      </c>
      <c r="B18" s="26">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2" t="n"/>
      <c r="D18" s="26">
        <f>IF(C18="","",IF(COUNTIF(lst_Jobs,C18&amp;"")&gt;0,"OK","CHECK"))</f>
        <v/>
      </c>
      <c r="E18" s="26">
        <f>IF(C18="","",IFERROR(INDEX(lst_JobName,MATCH(C18&amp;"",lst_Jobs,0)),""))</f>
        <v/>
      </c>
      <c r="F18" s="22" t="n"/>
      <c r="G18" s="22" t="n"/>
      <c r="H18" s="22" t="n"/>
      <c r="I18" s="22" t="n"/>
      <c r="J18" s="22" t="n"/>
      <c r="K18" s="28">
        <f>IF(C18="","",COUNTIFS(tbl_Finance[Job Number],C18&amp;"",tbl_Finance[Ex GST],"&lt;&gt;"))</f>
        <v/>
      </c>
      <c r="L18" s="27">
        <f>IF(C18="","",SUMIFS(tbl_Finance[Ex GST],tbl_Finance[Job Number],C18&amp;""))</f>
        <v/>
      </c>
      <c r="M18" s="27">
        <f>IF(C18="","",SUMIFS(tbl_Finance[Ex GST],tbl_Finance[Job Number],C18&amp;"",tbl_Finance[Xero Invoice No],"&lt;&gt;"))</f>
        <v/>
      </c>
      <c r="N18" s="27">
        <f>IF(C18="","",L18-M18)</f>
        <v/>
      </c>
      <c r="O18" s="24" t="n"/>
      <c r="P18" s="27">
        <f>IF(C18="","",IF(O18="",0,MAX(0,O18-L18)))</f>
        <v/>
      </c>
      <c r="Q18" s="26">
        <f>IF(C18="","",IF(K18=0,"not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R18" s="22" t="n"/>
      <c r="S18" s="26">
        <f>IF(R18="","",HYPERLINK(IF(LEFT(R18,4)="http",R18,set_QwilrBase&amp;R18),"Open quote"))</f>
        <v/>
      </c>
      <c r="T18" s="24" t="n"/>
      <c r="U18" s="24" t="n"/>
      <c r="V18" s="24" t="n"/>
      <c r="W18" s="26">
        <f>IF(C18="","",IF(N(T18)+N(U18)+N(V18)=0,"Not split",IF(ROUND(N(T18)+N(U18)+N(V18),2)=ROUND(L18+P18,2),"OK",IF(K18=0,"Not invoiced yet","MISMATCH"))))</f>
        <v/>
      </c>
      <c r="X18" s="24" t="n"/>
      <c r="Y18" s="24" t="n"/>
      <c r="Z18" s="24" t="n"/>
      <c r="AA18" s="27">
        <f>IF(C18="","",N(X18)+N(Y18)+N(Z18))</f>
        <v/>
      </c>
      <c r="AB18" s="27">
        <f>IF(C18="","",L18+P18-AA18)</f>
        <v/>
      </c>
      <c r="AC18" s="29">
        <f>IFERROR(AB18/(L18+P18),"")</f>
        <v/>
      </c>
      <c r="AD18" s="22" t="n"/>
    </row>
    <row r="19" ht="15" customHeight="1">
      <c r="A19" s="70">
        <f>IF(C19="","",IFERROR(IF(SUMPRODUCT(MAX((tbl_Finance[Job Number]&amp;""=C19&amp;"")*(tbl_Finance[Xero Invoice No]&lt;&gt;"")*tbl_Finance[Date]))=0,"",SUMPRODUCT(MAX((tbl_Finance[Job Number]&amp;""=C19&amp;"")*(tbl_Finance[Xero Invoice No]&lt;&gt;"")*tbl_Finance[Date]))),""))</f>
        <v/>
      </c>
      <c r="B19" s="26">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2" t="n"/>
      <c r="D19" s="26">
        <f>IF(C19="","",IF(COUNTIF(lst_Jobs,C19&amp;"")&gt;0,"OK","CHECK"))</f>
        <v/>
      </c>
      <c r="E19" s="26">
        <f>IF(C19="","",IFERROR(INDEX(lst_JobName,MATCH(C19&amp;"",lst_Jobs,0)),""))</f>
        <v/>
      </c>
      <c r="F19" s="22" t="n"/>
      <c r="G19" s="22" t="n"/>
      <c r="H19" s="22" t="n"/>
      <c r="I19" s="22" t="n"/>
      <c r="J19" s="22" t="n"/>
      <c r="K19" s="28">
        <f>IF(C19="","",COUNTIFS(tbl_Finance[Job Number],C19&amp;"",tbl_Finance[Ex GST],"&lt;&gt;"))</f>
        <v/>
      </c>
      <c r="L19" s="27">
        <f>IF(C19="","",SUMIFS(tbl_Finance[Ex GST],tbl_Finance[Job Number],C19&amp;""))</f>
        <v/>
      </c>
      <c r="M19" s="27">
        <f>IF(C19="","",SUMIFS(tbl_Finance[Ex GST],tbl_Finance[Job Number],C19&amp;"",tbl_Finance[Xero Invoice No],"&lt;&gt;"))</f>
        <v/>
      </c>
      <c r="N19" s="27">
        <f>IF(C19="","",L19-M19)</f>
        <v/>
      </c>
      <c r="O19" s="24" t="n"/>
      <c r="P19" s="27">
        <f>IF(C19="","",IF(O19="",0,MAX(0,O19-L19)))</f>
        <v/>
      </c>
      <c r="Q19" s="26">
        <f>IF(C19="","",IF(K19=0,"not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R19" s="22" t="n"/>
      <c r="S19" s="26">
        <f>IF(R19="","",HYPERLINK(IF(LEFT(R19,4)="http",R19,set_QwilrBase&amp;R19),"Open quote"))</f>
        <v/>
      </c>
      <c r="T19" s="24" t="n"/>
      <c r="U19" s="24" t="n"/>
      <c r="V19" s="24" t="n"/>
      <c r="W19" s="26">
        <f>IF(C19="","",IF(N(T19)+N(U19)+N(V19)=0,"Not split",IF(ROUND(N(T19)+N(U19)+N(V19),2)=ROUND(L19+P19,2),"OK",IF(K19=0,"Not invoiced yet","MISMATCH"))))</f>
        <v/>
      </c>
      <c r="X19" s="24" t="n"/>
      <c r="Y19" s="24" t="n"/>
      <c r="Z19" s="24" t="n"/>
      <c r="AA19" s="27">
        <f>IF(C19="","",N(X19)+N(Y19)+N(Z19))</f>
        <v/>
      </c>
      <c r="AB19" s="27">
        <f>IF(C19="","",L19+P19-AA19)</f>
        <v/>
      </c>
      <c r="AC19" s="29">
        <f>IFERROR(AB19/(L19+P19),"")</f>
        <v/>
      </c>
      <c r="AD19" s="22" t="n"/>
    </row>
    <row r="20" ht="15" customHeight="1">
      <c r="A20" s="70">
        <f>IF(C20="","",IFERROR(IF(SUMPRODUCT(MAX((tbl_Finance[Job Number]&amp;""=C20&amp;"")*(tbl_Finance[Xero Invoice No]&lt;&gt;"")*tbl_Finance[Date]))=0,"",SUMPRODUCT(MAX((tbl_Finance[Job Number]&amp;""=C20&amp;"")*(tbl_Finance[Xero Invoice No]&lt;&gt;"")*tbl_Finance[Date]))),""))</f>
        <v/>
      </c>
      <c r="B20" s="26">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2" t="n"/>
      <c r="D20" s="26">
        <f>IF(C20="","",IF(COUNTIF(lst_Jobs,C20&amp;"")&gt;0,"OK","CHECK"))</f>
        <v/>
      </c>
      <c r="E20" s="26">
        <f>IF(C20="","",IFERROR(INDEX(lst_JobName,MATCH(C20&amp;"",lst_Jobs,0)),""))</f>
        <v/>
      </c>
      <c r="F20" s="22" t="n"/>
      <c r="G20" s="22" t="n"/>
      <c r="H20" s="22" t="n"/>
      <c r="I20" s="22" t="n"/>
      <c r="J20" s="22" t="n"/>
      <c r="K20" s="28">
        <f>IF(C20="","",COUNTIFS(tbl_Finance[Job Number],C20&amp;"",tbl_Finance[Ex GST],"&lt;&gt;"))</f>
        <v/>
      </c>
      <c r="L20" s="27">
        <f>IF(C20="","",SUMIFS(tbl_Finance[Ex GST],tbl_Finance[Job Number],C20&amp;""))</f>
        <v/>
      </c>
      <c r="M20" s="27">
        <f>IF(C20="","",SUMIFS(tbl_Finance[Ex GST],tbl_Finance[Job Number],C20&amp;"",tbl_Finance[Xero Invoice No],"&lt;&gt;"))</f>
        <v/>
      </c>
      <c r="N20" s="27">
        <f>IF(C20="","",L20-M20)</f>
        <v/>
      </c>
      <c r="O20" s="24" t="n"/>
      <c r="P20" s="27">
        <f>IF(C20="","",IF(O20="",0,MAX(0,O20-L20)))</f>
        <v/>
      </c>
      <c r="Q20" s="26">
        <f>IF(C20="","",IF(K20=0,"not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R20" s="22" t="n"/>
      <c r="S20" s="26">
        <f>IF(R20="","",HYPERLINK(IF(LEFT(R20,4)="http",R20,set_QwilrBase&amp;R20),"Open quote"))</f>
        <v/>
      </c>
      <c r="T20" s="24" t="n"/>
      <c r="U20" s="24" t="n"/>
      <c r="V20" s="24" t="n"/>
      <c r="W20" s="26">
        <f>IF(C20="","",IF(N(T20)+N(U20)+N(V20)=0,"Not split",IF(ROUND(N(T20)+N(U20)+N(V20),2)=ROUND(L20+P20,2),"OK",IF(K20=0,"Not invoiced yet","MISMATCH"))))</f>
        <v/>
      </c>
      <c r="X20" s="24" t="n"/>
      <c r="Y20" s="24" t="n"/>
      <c r="Z20" s="24" t="n"/>
      <c r="AA20" s="27">
        <f>IF(C20="","",N(X20)+N(Y20)+N(Z20))</f>
        <v/>
      </c>
      <c r="AB20" s="27">
        <f>IF(C20="","",L20+P20-AA20)</f>
        <v/>
      </c>
      <c r="AC20" s="29">
        <f>IFERROR(AB20/(L20+P20),"")</f>
        <v/>
      </c>
      <c r="AD20" s="22" t="n"/>
    </row>
    <row r="21" ht="15" customHeight="1">
      <c r="A21" s="70">
        <f>IF(C21="","",IFERROR(IF(SUMPRODUCT(MAX((tbl_Finance[Job Number]&amp;""=C21&amp;"")*(tbl_Finance[Xero Invoice No]&lt;&gt;"")*tbl_Finance[Date]))=0,"",SUMPRODUCT(MAX((tbl_Finance[Job Number]&amp;""=C21&amp;"")*(tbl_Finance[Xero Invoice No]&lt;&gt;"")*tbl_Finance[Date]))),""))</f>
        <v/>
      </c>
      <c r="B21" s="26">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2" t="n"/>
      <c r="D21" s="26">
        <f>IF(C21="","",IF(COUNTIF(lst_Jobs,C21&amp;"")&gt;0,"OK","CHECK"))</f>
        <v/>
      </c>
      <c r="E21" s="26">
        <f>IF(C21="","",IFERROR(INDEX(lst_JobName,MATCH(C21&amp;"",lst_Jobs,0)),""))</f>
        <v/>
      </c>
      <c r="F21" s="22" t="n"/>
      <c r="G21" s="22" t="n"/>
      <c r="H21" s="22" t="n"/>
      <c r="I21" s="22" t="n"/>
      <c r="J21" s="22" t="n"/>
      <c r="K21" s="28">
        <f>IF(C21="","",COUNTIFS(tbl_Finance[Job Number],C21&amp;"",tbl_Finance[Ex GST],"&lt;&gt;"))</f>
        <v/>
      </c>
      <c r="L21" s="27">
        <f>IF(C21="","",SUMIFS(tbl_Finance[Ex GST],tbl_Finance[Job Number],C21&amp;""))</f>
        <v/>
      </c>
      <c r="M21" s="27">
        <f>IF(C21="","",SUMIFS(tbl_Finance[Ex GST],tbl_Finance[Job Number],C21&amp;"",tbl_Finance[Xero Invoice No],"&lt;&gt;"))</f>
        <v/>
      </c>
      <c r="N21" s="27">
        <f>IF(C21="","",L21-M21)</f>
        <v/>
      </c>
      <c r="O21" s="24" t="n"/>
      <c r="P21" s="27">
        <f>IF(C21="","",IF(O21="",0,MAX(0,O21-L21)))</f>
        <v/>
      </c>
      <c r="Q21" s="26">
        <f>IF(C21="","",IF(K21=0,"not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R21" s="22" t="n"/>
      <c r="S21" s="26">
        <f>IF(R21="","",HYPERLINK(IF(LEFT(R21,4)="http",R21,set_QwilrBase&amp;R21),"Open quote"))</f>
        <v/>
      </c>
      <c r="T21" s="24" t="n"/>
      <c r="U21" s="24" t="n"/>
      <c r="V21" s="24" t="n"/>
      <c r="W21" s="26">
        <f>IF(C21="","",IF(N(T21)+N(U21)+N(V21)=0,"Not split",IF(ROUND(N(T21)+N(U21)+N(V21),2)=ROUND(L21+P21,2),"OK",IF(K21=0,"Not invoiced yet","MISMATCH"))))</f>
        <v/>
      </c>
      <c r="X21" s="24" t="n"/>
      <c r="Y21" s="24" t="n"/>
      <c r="Z21" s="24" t="n"/>
      <c r="AA21" s="27">
        <f>IF(C21="","",N(X21)+N(Y21)+N(Z21))</f>
        <v/>
      </c>
      <c r="AB21" s="27">
        <f>IF(C21="","",L21+P21-AA21)</f>
        <v/>
      </c>
      <c r="AC21" s="29">
        <f>IFERROR(AB21/(L21+P21),"")</f>
        <v/>
      </c>
      <c r="AD21" s="22" t="n"/>
    </row>
    <row r="22" ht="15" customHeight="1">
      <c r="A22" s="70">
        <f>IF(C22="","",IFERROR(IF(SUMPRODUCT(MAX((tbl_Finance[Job Number]&amp;""=C22&amp;"")*(tbl_Finance[Xero Invoice No]&lt;&gt;"")*tbl_Finance[Date]))=0,"",SUMPRODUCT(MAX((tbl_Finance[Job Number]&amp;""=C22&amp;"")*(tbl_Finance[Xero Invoice No]&lt;&gt;"")*tbl_Finance[Date]))),""))</f>
        <v/>
      </c>
      <c r="B22" s="26">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2" t="n"/>
      <c r="D22" s="26">
        <f>IF(C22="","",IF(COUNTIF(lst_Jobs,C22&amp;"")&gt;0,"OK","CHECK"))</f>
        <v/>
      </c>
      <c r="E22" s="26">
        <f>IF(C22="","",IFERROR(INDEX(lst_JobName,MATCH(C22&amp;"",lst_Jobs,0)),""))</f>
        <v/>
      </c>
      <c r="F22" s="22" t="n"/>
      <c r="G22" s="22" t="n"/>
      <c r="H22" s="22" t="n"/>
      <c r="I22" s="22" t="n"/>
      <c r="J22" s="22" t="n"/>
      <c r="K22" s="28">
        <f>IF(C22="","",COUNTIFS(tbl_Finance[Job Number],C22&amp;"",tbl_Finance[Ex GST],"&lt;&gt;"))</f>
        <v/>
      </c>
      <c r="L22" s="27">
        <f>IF(C22="","",SUMIFS(tbl_Finance[Ex GST],tbl_Finance[Job Number],C22&amp;""))</f>
        <v/>
      </c>
      <c r="M22" s="27">
        <f>IF(C22="","",SUMIFS(tbl_Finance[Ex GST],tbl_Finance[Job Number],C22&amp;"",tbl_Finance[Xero Invoice No],"&lt;&gt;"))</f>
        <v/>
      </c>
      <c r="N22" s="27">
        <f>IF(C22="","",L22-M22)</f>
        <v/>
      </c>
      <c r="O22" s="24" t="n"/>
      <c r="P22" s="27">
        <f>IF(C22="","",IF(O22="",0,MAX(0,O22-L22)))</f>
        <v/>
      </c>
      <c r="Q22" s="26">
        <f>IF(C22="","",IF(K22=0,"not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R22" s="22" t="n"/>
      <c r="S22" s="26">
        <f>IF(R22="","",HYPERLINK(IF(LEFT(R22,4)="http",R22,set_QwilrBase&amp;R22),"Open quote"))</f>
        <v/>
      </c>
      <c r="T22" s="24" t="n"/>
      <c r="U22" s="24" t="n"/>
      <c r="V22" s="24" t="n"/>
      <c r="W22" s="26">
        <f>IF(C22="","",IF(N(T22)+N(U22)+N(V22)=0,"Not split",IF(ROUND(N(T22)+N(U22)+N(V22),2)=ROUND(L22+P22,2),"OK",IF(K22=0,"Not invoiced yet","MISMATCH"))))</f>
        <v/>
      </c>
      <c r="X22" s="24" t="n"/>
      <c r="Y22" s="24" t="n"/>
      <c r="Z22" s="24" t="n"/>
      <c r="AA22" s="27">
        <f>IF(C22="","",N(X22)+N(Y22)+N(Z22))</f>
        <v/>
      </c>
      <c r="AB22" s="27">
        <f>IF(C22="","",L22+P22-AA22)</f>
        <v/>
      </c>
      <c r="AC22" s="29">
        <f>IFERROR(AB22/(L22+P22),"")</f>
        <v/>
      </c>
      <c r="AD22" s="22" t="n"/>
    </row>
    <row r="23" ht="15" customHeight="1">
      <c r="A23" s="70">
        <f>IF(C23="","",IFERROR(IF(SUMPRODUCT(MAX((tbl_Finance[Job Number]&amp;""=C23&amp;"")*(tbl_Finance[Xero Invoice No]&lt;&gt;"")*tbl_Finance[Date]))=0,"",SUMPRODUCT(MAX((tbl_Finance[Job Number]&amp;""=C23&amp;"")*(tbl_Finance[Xero Invoice No]&lt;&gt;"")*tbl_Finance[Date]))),""))</f>
        <v/>
      </c>
      <c r="B23" s="26">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2" t="n"/>
      <c r="D23" s="26">
        <f>IF(C23="","",IF(COUNTIF(lst_Jobs,C23&amp;"")&gt;0,"OK","CHECK"))</f>
        <v/>
      </c>
      <c r="E23" s="26">
        <f>IF(C23="","",IFERROR(INDEX(lst_JobName,MATCH(C23&amp;"",lst_Jobs,0)),""))</f>
        <v/>
      </c>
      <c r="F23" s="22" t="n"/>
      <c r="G23" s="22" t="n"/>
      <c r="H23" s="22" t="n"/>
      <c r="I23" s="22" t="n"/>
      <c r="J23" s="22" t="n"/>
      <c r="K23" s="28">
        <f>IF(C23="","",COUNTIFS(tbl_Finance[Job Number],C23&amp;"",tbl_Finance[Ex GST],"&lt;&gt;"))</f>
        <v/>
      </c>
      <c r="L23" s="27">
        <f>IF(C23="","",SUMIFS(tbl_Finance[Ex GST],tbl_Finance[Job Number],C23&amp;""))</f>
        <v/>
      </c>
      <c r="M23" s="27">
        <f>IF(C23="","",SUMIFS(tbl_Finance[Ex GST],tbl_Finance[Job Number],C23&amp;"",tbl_Finance[Xero Invoice No],"&lt;&gt;"))</f>
        <v/>
      </c>
      <c r="N23" s="27">
        <f>IF(C23="","",L23-M23)</f>
        <v/>
      </c>
      <c r="O23" s="24" t="n"/>
      <c r="P23" s="27">
        <f>IF(C23="","",IF(O23="",0,MAX(0,O23-L23)))</f>
        <v/>
      </c>
      <c r="Q23" s="26">
        <f>IF(C23="","",IF(K23=0,"not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R23" s="22" t="n"/>
      <c r="S23" s="26">
        <f>IF(R23="","",HYPERLINK(IF(LEFT(R23,4)="http",R23,set_QwilrBase&amp;R23),"Open quote"))</f>
        <v/>
      </c>
      <c r="T23" s="24" t="n"/>
      <c r="U23" s="24" t="n"/>
      <c r="V23" s="24" t="n"/>
      <c r="W23" s="26">
        <f>IF(C23="","",IF(N(T23)+N(U23)+N(V23)=0,"Not split",IF(ROUND(N(T23)+N(U23)+N(V23),2)=ROUND(L23+P23,2),"OK",IF(K23=0,"Not invoiced yet","MISMATCH"))))</f>
        <v/>
      </c>
      <c r="X23" s="24" t="n"/>
      <c r="Y23" s="24" t="n"/>
      <c r="Z23" s="24" t="n"/>
      <c r="AA23" s="27">
        <f>IF(C23="","",N(X23)+N(Y23)+N(Z23))</f>
        <v/>
      </c>
      <c r="AB23" s="27">
        <f>IF(C23="","",L23+P23-AA23)</f>
        <v/>
      </c>
      <c r="AC23" s="29">
        <f>IFERROR(AB23/(L23+P23),"")</f>
        <v/>
      </c>
      <c r="AD23" s="22" t="n"/>
    </row>
    <row r="24" ht="15" customHeight="1">
      <c r="A24" s="70">
        <f>IF(C24="","",IFERROR(IF(SUMPRODUCT(MAX((tbl_Finance[Job Number]&amp;""=C24&amp;"")*(tbl_Finance[Xero Invoice No]&lt;&gt;"")*tbl_Finance[Date]))=0,"",SUMPRODUCT(MAX((tbl_Finance[Job Number]&amp;""=C24&amp;"")*(tbl_Finance[Xero Invoice No]&lt;&gt;"")*tbl_Finance[Date]))),""))</f>
        <v/>
      </c>
      <c r="B24" s="26">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2" t="n"/>
      <c r="D24" s="26">
        <f>IF(C24="","",IF(COUNTIF(lst_Jobs,C24&amp;"")&gt;0,"OK","CHECK"))</f>
        <v/>
      </c>
      <c r="E24" s="26">
        <f>IF(C24="","",IFERROR(INDEX(lst_JobName,MATCH(C24&amp;"",lst_Jobs,0)),""))</f>
        <v/>
      </c>
      <c r="F24" s="22" t="n"/>
      <c r="G24" s="22" t="n"/>
      <c r="H24" s="22" t="n"/>
      <c r="I24" s="22" t="n"/>
      <c r="J24" s="22" t="n"/>
      <c r="K24" s="28">
        <f>IF(C24="","",COUNTIFS(tbl_Finance[Job Number],C24&amp;"",tbl_Finance[Ex GST],"&lt;&gt;"))</f>
        <v/>
      </c>
      <c r="L24" s="27">
        <f>IF(C24="","",SUMIFS(tbl_Finance[Ex GST],tbl_Finance[Job Number],C24&amp;""))</f>
        <v/>
      </c>
      <c r="M24" s="27">
        <f>IF(C24="","",SUMIFS(tbl_Finance[Ex GST],tbl_Finance[Job Number],C24&amp;"",tbl_Finance[Xero Invoice No],"&lt;&gt;"))</f>
        <v/>
      </c>
      <c r="N24" s="27">
        <f>IF(C24="","",L24-M24)</f>
        <v/>
      </c>
      <c r="O24" s="24" t="n"/>
      <c r="P24" s="27">
        <f>IF(C24="","",IF(O24="",0,MAX(0,O24-L24)))</f>
        <v/>
      </c>
      <c r="Q24" s="26">
        <f>IF(C24="","",IF(K24=0,"not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R24" s="22" t="n"/>
      <c r="S24" s="26">
        <f>IF(R24="","",HYPERLINK(IF(LEFT(R24,4)="http",R24,set_QwilrBase&amp;R24),"Open quote"))</f>
        <v/>
      </c>
      <c r="T24" s="24" t="n"/>
      <c r="U24" s="24" t="n"/>
      <c r="V24" s="24" t="n"/>
      <c r="W24" s="26">
        <f>IF(C24="","",IF(N(T24)+N(U24)+N(V24)=0,"Not split",IF(ROUND(N(T24)+N(U24)+N(V24),2)=ROUND(L24+P24,2),"OK",IF(K24=0,"Not invoiced yet","MISMATCH"))))</f>
        <v/>
      </c>
      <c r="X24" s="24" t="n"/>
      <c r="Y24" s="24" t="n"/>
      <c r="Z24" s="24" t="n"/>
      <c r="AA24" s="27">
        <f>IF(C24="","",N(X24)+N(Y24)+N(Z24))</f>
        <v/>
      </c>
      <c r="AB24" s="27">
        <f>IF(C24="","",L24+P24-AA24)</f>
        <v/>
      </c>
      <c r="AC24" s="29">
        <f>IFERROR(AB24/(L24+P24),"")</f>
        <v/>
      </c>
      <c r="AD24" s="22" t="n"/>
    </row>
    <row r="25" ht="15" customHeight="1">
      <c r="A25" s="70">
        <f>IF(C25="","",IFERROR(IF(SUMPRODUCT(MAX((tbl_Finance[Job Number]&amp;""=C25&amp;"")*(tbl_Finance[Xero Invoice No]&lt;&gt;"")*tbl_Finance[Date]))=0,"",SUMPRODUCT(MAX((tbl_Finance[Job Number]&amp;""=C25&amp;"")*(tbl_Finance[Xero Invoice No]&lt;&gt;"")*tbl_Finance[Date]))),""))</f>
        <v/>
      </c>
      <c r="B25" s="26">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2" t="n"/>
      <c r="D25" s="26">
        <f>IF(C25="","",IF(COUNTIF(lst_Jobs,C25&amp;"")&gt;0,"OK","CHECK"))</f>
        <v/>
      </c>
      <c r="E25" s="26">
        <f>IF(C25="","",IFERROR(INDEX(lst_JobName,MATCH(C25&amp;"",lst_Jobs,0)),""))</f>
        <v/>
      </c>
      <c r="F25" s="22" t="n"/>
      <c r="G25" s="22" t="n"/>
      <c r="H25" s="22" t="n"/>
      <c r="I25" s="22" t="n"/>
      <c r="J25" s="22" t="n"/>
      <c r="K25" s="28">
        <f>IF(C25="","",COUNTIFS(tbl_Finance[Job Number],C25&amp;"",tbl_Finance[Ex GST],"&lt;&gt;"))</f>
        <v/>
      </c>
      <c r="L25" s="27">
        <f>IF(C25="","",SUMIFS(tbl_Finance[Ex GST],tbl_Finance[Job Number],C25&amp;""))</f>
        <v/>
      </c>
      <c r="M25" s="27">
        <f>IF(C25="","",SUMIFS(tbl_Finance[Ex GST],tbl_Finance[Job Number],C25&amp;"",tbl_Finance[Xero Invoice No],"&lt;&gt;"))</f>
        <v/>
      </c>
      <c r="N25" s="27">
        <f>IF(C25="","",L25-M25)</f>
        <v/>
      </c>
      <c r="O25" s="24" t="n"/>
      <c r="P25" s="27">
        <f>IF(C25="","",IF(O25="",0,MAX(0,O25-L25)))</f>
        <v/>
      </c>
      <c r="Q25" s="26">
        <f>IF(C25="","",IF(K25=0,"not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R25" s="22" t="n"/>
      <c r="S25" s="26">
        <f>IF(R25="","",HYPERLINK(IF(LEFT(R25,4)="http",R25,set_QwilrBase&amp;R25),"Open quote"))</f>
        <v/>
      </c>
      <c r="T25" s="24" t="n"/>
      <c r="U25" s="24" t="n"/>
      <c r="V25" s="24" t="n"/>
      <c r="W25" s="26">
        <f>IF(C25="","",IF(N(T25)+N(U25)+N(V25)=0,"Not split",IF(ROUND(N(T25)+N(U25)+N(V25),2)=ROUND(L25+P25,2),"OK",IF(K25=0,"Not invoiced yet","MISMATCH"))))</f>
        <v/>
      </c>
      <c r="X25" s="24" t="n"/>
      <c r="Y25" s="24" t="n"/>
      <c r="Z25" s="24" t="n"/>
      <c r="AA25" s="27">
        <f>IF(C25="","",N(X25)+N(Y25)+N(Z25))</f>
        <v/>
      </c>
      <c r="AB25" s="27">
        <f>IF(C25="","",L25+P25-AA25)</f>
        <v/>
      </c>
      <c r="AC25" s="29">
        <f>IFERROR(AB25/(L25+P25),"")</f>
        <v/>
      </c>
      <c r="AD25" s="22" t="n"/>
    </row>
    <row r="26" ht="15" customHeight="1">
      <c r="A26" s="70">
        <f>IF(C26="","",IFERROR(IF(SUMPRODUCT(MAX((tbl_Finance[Job Number]&amp;""=C26&amp;"")*(tbl_Finance[Xero Invoice No]&lt;&gt;"")*tbl_Finance[Date]))=0,"",SUMPRODUCT(MAX((tbl_Finance[Job Number]&amp;""=C26&amp;"")*(tbl_Finance[Xero Invoice No]&lt;&gt;"")*tbl_Finance[Date]))),""))</f>
        <v/>
      </c>
      <c r="B26" s="26">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2" t="n"/>
      <c r="D26" s="26">
        <f>IF(C26="","",IF(COUNTIF(lst_Jobs,C26&amp;"")&gt;0,"OK","CHECK"))</f>
        <v/>
      </c>
      <c r="E26" s="26">
        <f>IF(C26="","",IFERROR(INDEX(lst_JobName,MATCH(C26&amp;"",lst_Jobs,0)),""))</f>
        <v/>
      </c>
      <c r="F26" s="22" t="n"/>
      <c r="G26" s="22" t="n"/>
      <c r="H26" s="22" t="n"/>
      <c r="I26" s="22" t="n"/>
      <c r="J26" s="22" t="n"/>
      <c r="K26" s="28">
        <f>IF(C26="","",COUNTIFS(tbl_Finance[Job Number],C26&amp;"",tbl_Finance[Ex GST],"&lt;&gt;"))</f>
        <v/>
      </c>
      <c r="L26" s="27">
        <f>IF(C26="","",SUMIFS(tbl_Finance[Ex GST],tbl_Finance[Job Number],C26&amp;""))</f>
        <v/>
      </c>
      <c r="M26" s="27">
        <f>IF(C26="","",SUMIFS(tbl_Finance[Ex GST],tbl_Finance[Job Number],C26&amp;"",tbl_Finance[Xero Invoice No],"&lt;&gt;"))</f>
        <v/>
      </c>
      <c r="N26" s="27">
        <f>IF(C26="","",L26-M26)</f>
        <v/>
      </c>
      <c r="O26" s="24" t="n"/>
      <c r="P26" s="27">
        <f>IF(C26="","",IF(O26="",0,MAX(0,O26-L26)))</f>
        <v/>
      </c>
      <c r="Q26" s="26">
        <f>IF(C26="","",IF(K26=0,"not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R26" s="22" t="n"/>
      <c r="S26" s="26">
        <f>IF(R26="","",HYPERLINK(IF(LEFT(R26,4)="http",R26,set_QwilrBase&amp;R26),"Open quote"))</f>
        <v/>
      </c>
      <c r="T26" s="24" t="n"/>
      <c r="U26" s="24" t="n"/>
      <c r="V26" s="24" t="n"/>
      <c r="W26" s="26">
        <f>IF(C26="","",IF(N(T26)+N(U26)+N(V26)=0,"Not split",IF(ROUND(N(T26)+N(U26)+N(V26),2)=ROUND(L26+P26,2),"OK",IF(K26=0,"Not invoiced yet","MISMATCH"))))</f>
        <v/>
      </c>
      <c r="X26" s="24" t="n"/>
      <c r="Y26" s="24" t="n"/>
      <c r="Z26" s="24" t="n"/>
      <c r="AA26" s="27">
        <f>IF(C26="","",N(X26)+N(Y26)+N(Z26))</f>
        <v/>
      </c>
      <c r="AB26" s="27">
        <f>IF(C26="","",L26+P26-AA26)</f>
        <v/>
      </c>
      <c r="AC26" s="29">
        <f>IFERROR(AB26/(L26+P26),"")</f>
        <v/>
      </c>
      <c r="AD26" s="22" t="n"/>
    </row>
    <row r="27" ht="15" customHeight="1">
      <c r="A27" s="70">
        <f>IF(C27="","",IFERROR(IF(SUMPRODUCT(MAX((tbl_Finance[Job Number]&amp;""=C27&amp;"")*(tbl_Finance[Xero Invoice No]&lt;&gt;"")*tbl_Finance[Date]))=0,"",SUMPRODUCT(MAX((tbl_Finance[Job Number]&amp;""=C27&amp;"")*(tbl_Finance[Xero Invoice No]&lt;&gt;"")*tbl_Finance[Date]))),""))</f>
        <v/>
      </c>
      <c r="B27" s="26">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2" t="n"/>
      <c r="D27" s="26">
        <f>IF(C27="","",IF(COUNTIF(lst_Jobs,C27&amp;"")&gt;0,"OK","CHECK"))</f>
        <v/>
      </c>
      <c r="E27" s="26">
        <f>IF(C27="","",IFERROR(INDEX(lst_JobName,MATCH(C27&amp;"",lst_Jobs,0)),""))</f>
        <v/>
      </c>
      <c r="F27" s="22" t="n"/>
      <c r="G27" s="22" t="n"/>
      <c r="H27" s="22" t="n"/>
      <c r="I27" s="22" t="n"/>
      <c r="J27" s="22" t="n"/>
      <c r="K27" s="28">
        <f>IF(C27="","",COUNTIFS(tbl_Finance[Job Number],C27&amp;"",tbl_Finance[Ex GST],"&lt;&gt;"))</f>
        <v/>
      </c>
      <c r="L27" s="27">
        <f>IF(C27="","",SUMIFS(tbl_Finance[Ex GST],tbl_Finance[Job Number],C27&amp;""))</f>
        <v/>
      </c>
      <c r="M27" s="27">
        <f>IF(C27="","",SUMIFS(tbl_Finance[Ex GST],tbl_Finance[Job Number],C27&amp;"",tbl_Finance[Xero Invoice No],"&lt;&gt;"))</f>
        <v/>
      </c>
      <c r="N27" s="27">
        <f>IF(C27="","",L27-M27)</f>
        <v/>
      </c>
      <c r="O27" s="24" t="n"/>
      <c r="P27" s="27">
        <f>IF(C27="","",IF(O27="",0,MAX(0,O27-L27)))</f>
        <v/>
      </c>
      <c r="Q27" s="26">
        <f>IF(C27="","",IF(K27=0,"not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R27" s="22" t="n"/>
      <c r="S27" s="26">
        <f>IF(R27="","",HYPERLINK(IF(LEFT(R27,4)="http",R27,set_QwilrBase&amp;R27),"Open quote"))</f>
        <v/>
      </c>
      <c r="T27" s="24" t="n"/>
      <c r="U27" s="24" t="n"/>
      <c r="V27" s="24" t="n"/>
      <c r="W27" s="26">
        <f>IF(C27="","",IF(N(T27)+N(U27)+N(V27)=0,"Not split",IF(ROUND(N(T27)+N(U27)+N(V27),2)=ROUND(L27+P27,2),"OK",IF(K27=0,"Not invoiced yet","MISMATCH"))))</f>
        <v/>
      </c>
      <c r="X27" s="24" t="n"/>
      <c r="Y27" s="24" t="n"/>
      <c r="Z27" s="24" t="n"/>
      <c r="AA27" s="27">
        <f>IF(C27="","",N(X27)+N(Y27)+N(Z27))</f>
        <v/>
      </c>
      <c r="AB27" s="27">
        <f>IF(C27="","",L27+P27-AA27)</f>
        <v/>
      </c>
      <c r="AC27" s="29">
        <f>IFERROR(AB27/(L27+P27),"")</f>
        <v/>
      </c>
      <c r="AD27" s="22" t="n"/>
    </row>
    <row r="28" ht="15" customHeight="1">
      <c r="A28" s="70">
        <f>IF(C28="","",IFERROR(IF(SUMPRODUCT(MAX((tbl_Finance[Job Number]&amp;""=C28&amp;"")*(tbl_Finance[Xero Invoice No]&lt;&gt;"")*tbl_Finance[Date]))=0,"",SUMPRODUCT(MAX((tbl_Finance[Job Number]&amp;""=C28&amp;"")*(tbl_Finance[Xero Invoice No]&lt;&gt;"")*tbl_Finance[Date]))),""))</f>
        <v/>
      </c>
      <c r="B28" s="26">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2" t="n"/>
      <c r="D28" s="26">
        <f>IF(C28="","",IF(COUNTIF(lst_Jobs,C28&amp;"")&gt;0,"OK","CHECK"))</f>
        <v/>
      </c>
      <c r="E28" s="26">
        <f>IF(C28="","",IFERROR(INDEX(lst_JobName,MATCH(C28&amp;"",lst_Jobs,0)),""))</f>
        <v/>
      </c>
      <c r="F28" s="22" t="n"/>
      <c r="G28" s="22" t="n"/>
      <c r="H28" s="22" t="n"/>
      <c r="I28" s="22" t="n"/>
      <c r="J28" s="22" t="n"/>
      <c r="K28" s="28">
        <f>IF(C28="","",COUNTIFS(tbl_Finance[Job Number],C28&amp;"",tbl_Finance[Ex GST],"&lt;&gt;"))</f>
        <v/>
      </c>
      <c r="L28" s="27">
        <f>IF(C28="","",SUMIFS(tbl_Finance[Ex GST],tbl_Finance[Job Number],C28&amp;""))</f>
        <v/>
      </c>
      <c r="M28" s="27">
        <f>IF(C28="","",SUMIFS(tbl_Finance[Ex GST],tbl_Finance[Job Number],C28&amp;"",tbl_Finance[Xero Invoice No],"&lt;&gt;"))</f>
        <v/>
      </c>
      <c r="N28" s="27">
        <f>IF(C28="","",L28-M28)</f>
        <v/>
      </c>
      <c r="O28" s="24" t="n"/>
      <c r="P28" s="27">
        <f>IF(C28="","",IF(O28="",0,MAX(0,O28-L28)))</f>
        <v/>
      </c>
      <c r="Q28" s="26">
        <f>IF(C28="","",IF(K28=0,"not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R28" s="22" t="n"/>
      <c r="S28" s="26">
        <f>IF(R28="","",HYPERLINK(IF(LEFT(R28,4)="http",R28,set_QwilrBase&amp;R28),"Open quote"))</f>
        <v/>
      </c>
      <c r="T28" s="24" t="n"/>
      <c r="U28" s="24" t="n"/>
      <c r="V28" s="24" t="n"/>
      <c r="W28" s="26">
        <f>IF(C28="","",IF(N(T28)+N(U28)+N(V28)=0,"Not split",IF(ROUND(N(T28)+N(U28)+N(V28),2)=ROUND(L28+P28,2),"OK",IF(K28=0,"Not invoiced yet","MISMATCH"))))</f>
        <v/>
      </c>
      <c r="X28" s="24" t="n"/>
      <c r="Y28" s="24" t="n"/>
      <c r="Z28" s="24" t="n"/>
      <c r="AA28" s="27">
        <f>IF(C28="","",N(X28)+N(Y28)+N(Z28))</f>
        <v/>
      </c>
      <c r="AB28" s="27">
        <f>IF(C28="","",L28+P28-AA28)</f>
        <v/>
      </c>
      <c r="AC28" s="29">
        <f>IFERROR(AB28/(L28+P28),"")</f>
        <v/>
      </c>
      <c r="AD28" s="22" t="n"/>
    </row>
    <row r="29" ht="15" customHeight="1">
      <c r="A29" s="70">
        <f>IF(C29="","",IFERROR(IF(SUMPRODUCT(MAX((tbl_Finance[Job Number]&amp;""=C29&amp;"")*(tbl_Finance[Xero Invoice No]&lt;&gt;"")*tbl_Finance[Date]))=0,"",SUMPRODUCT(MAX((tbl_Finance[Job Number]&amp;""=C29&amp;"")*(tbl_Finance[Xero Invoice No]&lt;&gt;"")*tbl_Finance[Date]))),""))</f>
        <v/>
      </c>
      <c r="B29" s="26">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2" t="n"/>
      <c r="D29" s="26">
        <f>IF(C29="","",IF(COUNTIF(lst_Jobs,C29&amp;"")&gt;0,"OK","CHECK"))</f>
        <v/>
      </c>
      <c r="E29" s="26">
        <f>IF(C29="","",IFERROR(INDEX(lst_JobName,MATCH(C29&amp;"",lst_Jobs,0)),""))</f>
        <v/>
      </c>
      <c r="F29" s="22" t="n"/>
      <c r="G29" s="22" t="n"/>
      <c r="H29" s="22" t="n"/>
      <c r="I29" s="22" t="n"/>
      <c r="J29" s="22" t="n"/>
      <c r="K29" s="28">
        <f>IF(C29="","",COUNTIFS(tbl_Finance[Job Number],C29&amp;"",tbl_Finance[Ex GST],"&lt;&gt;"))</f>
        <v/>
      </c>
      <c r="L29" s="27">
        <f>IF(C29="","",SUMIFS(tbl_Finance[Ex GST],tbl_Finance[Job Number],C29&amp;""))</f>
        <v/>
      </c>
      <c r="M29" s="27">
        <f>IF(C29="","",SUMIFS(tbl_Finance[Ex GST],tbl_Finance[Job Number],C29&amp;"",tbl_Finance[Xero Invoice No],"&lt;&gt;"))</f>
        <v/>
      </c>
      <c r="N29" s="27">
        <f>IF(C29="","",L29-M29)</f>
        <v/>
      </c>
      <c r="O29" s="24" t="n"/>
      <c r="P29" s="27">
        <f>IF(C29="","",IF(O29="",0,MAX(0,O29-L29)))</f>
        <v/>
      </c>
      <c r="Q29" s="26">
        <f>IF(C29="","",IF(K29=0,"not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R29" s="22" t="n"/>
      <c r="S29" s="26">
        <f>IF(R29="","",HYPERLINK(IF(LEFT(R29,4)="http",R29,set_QwilrBase&amp;R29),"Open quote"))</f>
        <v/>
      </c>
      <c r="T29" s="24" t="n"/>
      <c r="U29" s="24" t="n"/>
      <c r="V29" s="24" t="n"/>
      <c r="W29" s="26">
        <f>IF(C29="","",IF(N(T29)+N(U29)+N(V29)=0,"Not split",IF(ROUND(N(T29)+N(U29)+N(V29),2)=ROUND(L29+P29,2),"OK",IF(K29=0,"Not invoiced yet","MISMATCH"))))</f>
        <v/>
      </c>
      <c r="X29" s="24" t="n"/>
      <c r="Y29" s="24" t="n"/>
      <c r="Z29" s="24" t="n"/>
      <c r="AA29" s="27">
        <f>IF(C29="","",N(X29)+N(Y29)+N(Z29))</f>
        <v/>
      </c>
      <c r="AB29" s="27">
        <f>IF(C29="","",L29+P29-AA29)</f>
        <v/>
      </c>
      <c r="AC29" s="29">
        <f>IFERROR(AB29/(L29+P29),"")</f>
        <v/>
      </c>
      <c r="AD29" s="22" t="n"/>
    </row>
    <row r="30" ht="15" customHeight="1">
      <c r="A30" s="70">
        <f>IF(C30="","",IFERROR(IF(SUMPRODUCT(MAX((tbl_Finance[Job Number]&amp;""=C30&amp;"")*(tbl_Finance[Xero Invoice No]&lt;&gt;"")*tbl_Finance[Date]))=0,"",SUMPRODUCT(MAX((tbl_Finance[Job Number]&amp;""=C30&amp;"")*(tbl_Finance[Xero Invoice No]&lt;&gt;"")*tbl_Finance[Date]))),""))</f>
        <v/>
      </c>
      <c r="B30" s="26">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2" t="n"/>
      <c r="D30" s="26">
        <f>IF(C30="","",IF(COUNTIF(lst_Jobs,C30&amp;"")&gt;0,"OK","CHECK"))</f>
        <v/>
      </c>
      <c r="E30" s="26">
        <f>IF(C30="","",IFERROR(INDEX(lst_JobName,MATCH(C30&amp;"",lst_Jobs,0)),""))</f>
        <v/>
      </c>
      <c r="F30" s="22" t="n"/>
      <c r="G30" s="22" t="n"/>
      <c r="H30" s="22" t="n"/>
      <c r="I30" s="22" t="n"/>
      <c r="J30" s="22" t="n"/>
      <c r="K30" s="28">
        <f>IF(C30="","",COUNTIFS(tbl_Finance[Job Number],C30&amp;"",tbl_Finance[Ex GST],"&lt;&gt;"))</f>
        <v/>
      </c>
      <c r="L30" s="27">
        <f>IF(C30="","",SUMIFS(tbl_Finance[Ex GST],tbl_Finance[Job Number],C30&amp;""))</f>
        <v/>
      </c>
      <c r="M30" s="27">
        <f>IF(C30="","",SUMIFS(tbl_Finance[Ex GST],tbl_Finance[Job Number],C30&amp;"",tbl_Finance[Xero Invoice No],"&lt;&gt;"))</f>
        <v/>
      </c>
      <c r="N30" s="27">
        <f>IF(C30="","",L30-M30)</f>
        <v/>
      </c>
      <c r="O30" s="24" t="n"/>
      <c r="P30" s="27">
        <f>IF(C30="","",IF(O30="",0,MAX(0,O30-L30)))</f>
        <v/>
      </c>
      <c r="Q30" s="26">
        <f>IF(C30="","",IF(K30=0,"not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R30" s="22" t="n"/>
      <c r="S30" s="26">
        <f>IF(R30="","",HYPERLINK(IF(LEFT(R30,4)="http",R30,set_QwilrBase&amp;R30),"Open quote"))</f>
        <v/>
      </c>
      <c r="T30" s="24" t="n"/>
      <c r="U30" s="24" t="n"/>
      <c r="V30" s="24" t="n"/>
      <c r="W30" s="26">
        <f>IF(C30="","",IF(N(T30)+N(U30)+N(V30)=0,"Not split",IF(ROUND(N(T30)+N(U30)+N(V30),2)=ROUND(L30+P30,2),"OK",IF(K30=0,"Not invoiced yet","MISMATCH"))))</f>
        <v/>
      </c>
      <c r="X30" s="24" t="n"/>
      <c r="Y30" s="24" t="n"/>
      <c r="Z30" s="24" t="n"/>
      <c r="AA30" s="27">
        <f>IF(C30="","",N(X30)+N(Y30)+N(Z30))</f>
        <v/>
      </c>
      <c r="AB30" s="27">
        <f>IF(C30="","",L30+P30-AA30)</f>
        <v/>
      </c>
      <c r="AC30" s="29">
        <f>IFERROR(AB30/(L30+P30),"")</f>
        <v/>
      </c>
      <c r="AD30" s="22" t="n"/>
    </row>
    <row r="31" ht="15" customHeight="1">
      <c r="A31" s="70">
        <f>IF(C31="","",IFERROR(IF(SUMPRODUCT(MAX((tbl_Finance[Job Number]&amp;""=C31&amp;"")*(tbl_Finance[Xero Invoice No]&lt;&gt;"")*tbl_Finance[Date]))=0,"",SUMPRODUCT(MAX((tbl_Finance[Job Number]&amp;""=C31&amp;"")*(tbl_Finance[Xero Invoice No]&lt;&gt;"")*tbl_Finance[Date]))),""))</f>
        <v/>
      </c>
      <c r="B31" s="26">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2" t="n"/>
      <c r="D31" s="26">
        <f>IF(C31="","",IF(COUNTIF(lst_Jobs,C31&amp;"")&gt;0,"OK","CHECK"))</f>
        <v/>
      </c>
      <c r="E31" s="26">
        <f>IF(C31="","",IFERROR(INDEX(lst_JobName,MATCH(C31&amp;"",lst_Jobs,0)),""))</f>
        <v/>
      </c>
      <c r="F31" s="22" t="n"/>
      <c r="G31" s="22" t="n"/>
      <c r="H31" s="22" t="n"/>
      <c r="I31" s="22" t="n"/>
      <c r="J31" s="22" t="n"/>
      <c r="K31" s="28">
        <f>IF(C31="","",COUNTIFS(tbl_Finance[Job Number],C31&amp;"",tbl_Finance[Ex GST],"&lt;&gt;"))</f>
        <v/>
      </c>
      <c r="L31" s="27">
        <f>IF(C31="","",SUMIFS(tbl_Finance[Ex GST],tbl_Finance[Job Number],C31&amp;""))</f>
        <v/>
      </c>
      <c r="M31" s="27">
        <f>IF(C31="","",SUMIFS(tbl_Finance[Ex GST],tbl_Finance[Job Number],C31&amp;"",tbl_Finance[Xero Invoice No],"&lt;&gt;"))</f>
        <v/>
      </c>
      <c r="N31" s="27">
        <f>IF(C31="","",L31-M31)</f>
        <v/>
      </c>
      <c r="O31" s="24" t="n"/>
      <c r="P31" s="27">
        <f>IF(C31="","",IF(O31="",0,MAX(0,O31-L31)))</f>
        <v/>
      </c>
      <c r="Q31" s="26">
        <f>IF(C31="","",IF(K31=0,"not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R31" s="22" t="n"/>
      <c r="S31" s="26">
        <f>IF(R31="","",HYPERLINK(IF(LEFT(R31,4)="http",R31,set_QwilrBase&amp;R31),"Open quote"))</f>
        <v/>
      </c>
      <c r="T31" s="24" t="n"/>
      <c r="U31" s="24" t="n"/>
      <c r="V31" s="24" t="n"/>
      <c r="W31" s="26">
        <f>IF(C31="","",IF(N(T31)+N(U31)+N(V31)=0,"Not split",IF(ROUND(N(T31)+N(U31)+N(V31),2)=ROUND(L31+P31,2),"OK",IF(K31=0,"Not invoiced yet","MISMATCH"))))</f>
        <v/>
      </c>
      <c r="X31" s="24" t="n"/>
      <c r="Y31" s="24" t="n"/>
      <c r="Z31" s="24" t="n"/>
      <c r="AA31" s="27">
        <f>IF(C31="","",N(X31)+N(Y31)+N(Z31))</f>
        <v/>
      </c>
      <c r="AB31" s="27">
        <f>IF(C31="","",L31+P31-AA31)</f>
        <v/>
      </c>
      <c r="AC31" s="29">
        <f>IFERROR(AB31/(L31+P31),"")</f>
        <v/>
      </c>
      <c r="AD31" s="22" t="n"/>
    </row>
    <row r="32" ht="15" customHeight="1">
      <c r="A32" s="70">
        <f>IF(C32="","",IFERROR(IF(SUMPRODUCT(MAX((tbl_Finance[Job Number]&amp;""=C32&amp;"")*(tbl_Finance[Xero Invoice No]&lt;&gt;"")*tbl_Finance[Date]))=0,"",SUMPRODUCT(MAX((tbl_Finance[Job Number]&amp;""=C32&amp;"")*(tbl_Finance[Xero Invoice No]&lt;&gt;"")*tbl_Finance[Date]))),""))</f>
        <v/>
      </c>
      <c r="B32" s="26">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2" t="n"/>
      <c r="D32" s="26">
        <f>IF(C32="","",IF(COUNTIF(lst_Jobs,C32&amp;"")&gt;0,"OK","CHECK"))</f>
        <v/>
      </c>
      <c r="E32" s="26">
        <f>IF(C32="","",IFERROR(INDEX(lst_JobName,MATCH(C32&amp;"",lst_Jobs,0)),""))</f>
        <v/>
      </c>
      <c r="F32" s="22" t="n"/>
      <c r="G32" s="22" t="n"/>
      <c r="H32" s="22" t="n"/>
      <c r="I32" s="22" t="n"/>
      <c r="J32" s="22" t="n"/>
      <c r="K32" s="28">
        <f>IF(C32="","",COUNTIFS(tbl_Finance[Job Number],C32&amp;"",tbl_Finance[Ex GST],"&lt;&gt;"))</f>
        <v/>
      </c>
      <c r="L32" s="27">
        <f>IF(C32="","",SUMIFS(tbl_Finance[Ex GST],tbl_Finance[Job Number],C32&amp;""))</f>
        <v/>
      </c>
      <c r="M32" s="27">
        <f>IF(C32="","",SUMIFS(tbl_Finance[Ex GST],tbl_Finance[Job Number],C32&amp;"",tbl_Finance[Xero Invoice No],"&lt;&gt;"))</f>
        <v/>
      </c>
      <c r="N32" s="27">
        <f>IF(C32="","",L32-M32)</f>
        <v/>
      </c>
      <c r="O32" s="24" t="n"/>
      <c r="P32" s="27">
        <f>IF(C32="","",IF(O32="",0,MAX(0,O32-L32)))</f>
        <v/>
      </c>
      <c r="Q32" s="26">
        <f>IF(C32="","",IF(K32=0,"not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R32" s="22" t="n"/>
      <c r="S32" s="26">
        <f>IF(R32="","",HYPERLINK(IF(LEFT(R32,4)="http",R32,set_QwilrBase&amp;R32),"Open quote"))</f>
        <v/>
      </c>
      <c r="T32" s="24" t="n"/>
      <c r="U32" s="24" t="n"/>
      <c r="V32" s="24" t="n"/>
      <c r="W32" s="26">
        <f>IF(C32="","",IF(N(T32)+N(U32)+N(V32)=0,"Not split",IF(ROUND(N(T32)+N(U32)+N(V32),2)=ROUND(L32+P32,2),"OK",IF(K32=0,"Not invoiced yet","MISMATCH"))))</f>
        <v/>
      </c>
      <c r="X32" s="24" t="n"/>
      <c r="Y32" s="24" t="n"/>
      <c r="Z32" s="24" t="n"/>
      <c r="AA32" s="27">
        <f>IF(C32="","",N(X32)+N(Y32)+N(Z32))</f>
        <v/>
      </c>
      <c r="AB32" s="27">
        <f>IF(C32="","",L32+P32-AA32)</f>
        <v/>
      </c>
      <c r="AC32" s="29">
        <f>IFERROR(AB32/(L32+P32),"")</f>
        <v/>
      </c>
      <c r="AD32" s="22" t="n"/>
    </row>
    <row r="33" ht="15" customHeight="1">
      <c r="A33" s="70">
        <f>IF(C33="","",IFERROR(IF(SUMPRODUCT(MAX((tbl_Finance[Job Number]&amp;""=C33&amp;"")*(tbl_Finance[Xero Invoice No]&lt;&gt;"")*tbl_Finance[Date]))=0,"",SUMPRODUCT(MAX((tbl_Finance[Job Number]&amp;""=C33&amp;"")*(tbl_Finance[Xero Invoice No]&lt;&gt;"")*tbl_Finance[Date]))),""))</f>
        <v/>
      </c>
      <c r="B33" s="26">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2" t="n"/>
      <c r="D33" s="26">
        <f>IF(C33="","",IF(COUNTIF(lst_Jobs,C33&amp;"")&gt;0,"OK","CHECK"))</f>
        <v/>
      </c>
      <c r="E33" s="26">
        <f>IF(C33="","",IFERROR(INDEX(lst_JobName,MATCH(C33&amp;"",lst_Jobs,0)),""))</f>
        <v/>
      </c>
      <c r="F33" s="22" t="n"/>
      <c r="G33" s="22" t="n"/>
      <c r="H33" s="22" t="n"/>
      <c r="I33" s="22" t="n"/>
      <c r="J33" s="22" t="n"/>
      <c r="K33" s="28">
        <f>IF(C33="","",COUNTIFS(tbl_Finance[Job Number],C33&amp;"",tbl_Finance[Ex GST],"&lt;&gt;"))</f>
        <v/>
      </c>
      <c r="L33" s="27">
        <f>IF(C33="","",SUMIFS(tbl_Finance[Ex GST],tbl_Finance[Job Number],C33&amp;""))</f>
        <v/>
      </c>
      <c r="M33" s="27">
        <f>IF(C33="","",SUMIFS(tbl_Finance[Ex GST],tbl_Finance[Job Number],C33&amp;"",tbl_Finance[Xero Invoice No],"&lt;&gt;"))</f>
        <v/>
      </c>
      <c r="N33" s="27">
        <f>IF(C33="","",L33-M33)</f>
        <v/>
      </c>
      <c r="O33" s="24" t="n"/>
      <c r="P33" s="27">
        <f>IF(C33="","",IF(O33="",0,MAX(0,O33-L33)))</f>
        <v/>
      </c>
      <c r="Q33" s="26">
        <f>IF(C33="","",IF(K33=0,"not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R33" s="22" t="n"/>
      <c r="S33" s="26">
        <f>IF(R33="","",HYPERLINK(IF(LEFT(R33,4)="http",R33,set_QwilrBase&amp;R33),"Open quote"))</f>
        <v/>
      </c>
      <c r="T33" s="24" t="n"/>
      <c r="U33" s="24" t="n"/>
      <c r="V33" s="24" t="n"/>
      <c r="W33" s="26">
        <f>IF(C33="","",IF(N(T33)+N(U33)+N(V33)=0,"Not split",IF(ROUND(N(T33)+N(U33)+N(V33),2)=ROUND(L33+P33,2),"OK",IF(K33=0,"Not invoiced yet","MISMATCH"))))</f>
        <v/>
      </c>
      <c r="X33" s="24" t="n"/>
      <c r="Y33" s="24" t="n"/>
      <c r="Z33" s="24" t="n"/>
      <c r="AA33" s="27">
        <f>IF(C33="","",N(X33)+N(Y33)+N(Z33))</f>
        <v/>
      </c>
      <c r="AB33" s="27">
        <f>IF(C33="","",L33+P33-AA33)</f>
        <v/>
      </c>
      <c r="AC33" s="29">
        <f>IFERROR(AB33/(L33+P33),"")</f>
        <v/>
      </c>
      <c r="AD33" s="22" t="n"/>
    </row>
    <row r="34" ht="15" customHeight="1">
      <c r="A34" s="70">
        <f>IF(C34="","",IFERROR(IF(SUMPRODUCT(MAX((tbl_Finance[Job Number]&amp;""=C34&amp;"")*(tbl_Finance[Xero Invoice No]&lt;&gt;"")*tbl_Finance[Date]))=0,"",SUMPRODUCT(MAX((tbl_Finance[Job Number]&amp;""=C34&amp;"")*(tbl_Finance[Xero Invoice No]&lt;&gt;"")*tbl_Finance[Date]))),""))</f>
        <v/>
      </c>
      <c r="B34" s="26">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2" t="n"/>
      <c r="D34" s="26">
        <f>IF(C34="","",IF(COUNTIF(lst_Jobs,C34&amp;"")&gt;0,"OK","CHECK"))</f>
        <v/>
      </c>
      <c r="E34" s="26">
        <f>IF(C34="","",IFERROR(INDEX(lst_JobName,MATCH(C34&amp;"",lst_Jobs,0)),""))</f>
        <v/>
      </c>
      <c r="F34" s="22" t="n"/>
      <c r="G34" s="22" t="n"/>
      <c r="H34" s="22" t="n"/>
      <c r="I34" s="22" t="n"/>
      <c r="J34" s="22" t="n"/>
      <c r="K34" s="28">
        <f>IF(C34="","",COUNTIFS(tbl_Finance[Job Number],C34&amp;"",tbl_Finance[Ex GST],"&lt;&gt;"))</f>
        <v/>
      </c>
      <c r="L34" s="27">
        <f>IF(C34="","",SUMIFS(tbl_Finance[Ex GST],tbl_Finance[Job Number],C34&amp;""))</f>
        <v/>
      </c>
      <c r="M34" s="27">
        <f>IF(C34="","",SUMIFS(tbl_Finance[Ex GST],tbl_Finance[Job Number],C34&amp;"",tbl_Finance[Xero Invoice No],"&lt;&gt;"))</f>
        <v/>
      </c>
      <c r="N34" s="27">
        <f>IF(C34="","",L34-M34)</f>
        <v/>
      </c>
      <c r="O34" s="24" t="n"/>
      <c r="P34" s="27">
        <f>IF(C34="","",IF(O34="",0,MAX(0,O34-L34)))</f>
        <v/>
      </c>
      <c r="Q34" s="26">
        <f>IF(C34="","",IF(K34=0,"not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R34" s="22" t="n"/>
      <c r="S34" s="26">
        <f>IF(R34="","",HYPERLINK(IF(LEFT(R34,4)="http",R34,set_QwilrBase&amp;R34),"Open quote"))</f>
        <v/>
      </c>
      <c r="T34" s="24" t="n"/>
      <c r="U34" s="24" t="n"/>
      <c r="V34" s="24" t="n"/>
      <c r="W34" s="26">
        <f>IF(C34="","",IF(N(T34)+N(U34)+N(V34)=0,"Not split",IF(ROUND(N(T34)+N(U34)+N(V34),2)=ROUND(L34+P34,2),"OK",IF(K34=0,"Not invoiced yet","MISMATCH"))))</f>
        <v/>
      </c>
      <c r="X34" s="24" t="n"/>
      <c r="Y34" s="24" t="n"/>
      <c r="Z34" s="24" t="n"/>
      <c r="AA34" s="27">
        <f>IF(C34="","",N(X34)+N(Y34)+N(Z34))</f>
        <v/>
      </c>
      <c r="AB34" s="27">
        <f>IF(C34="","",L34+P34-AA34)</f>
        <v/>
      </c>
      <c r="AC34" s="29">
        <f>IFERROR(AB34/(L34+P34),"")</f>
        <v/>
      </c>
      <c r="AD34" s="22" t="n"/>
    </row>
    <row r="35" ht="15" customHeight="1">
      <c r="A35" s="70">
        <f>IF(C35="","",IFERROR(IF(SUMPRODUCT(MAX((tbl_Finance[Job Number]&amp;""=C35&amp;"")*(tbl_Finance[Xero Invoice No]&lt;&gt;"")*tbl_Finance[Date]))=0,"",SUMPRODUCT(MAX((tbl_Finance[Job Number]&amp;""=C35&amp;"")*(tbl_Finance[Xero Invoice No]&lt;&gt;"")*tbl_Finance[Date]))),""))</f>
        <v/>
      </c>
      <c r="B35" s="26">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2" t="n"/>
      <c r="D35" s="26">
        <f>IF(C35="","",IF(COUNTIF(lst_Jobs,C35&amp;"")&gt;0,"OK","CHECK"))</f>
        <v/>
      </c>
      <c r="E35" s="26">
        <f>IF(C35="","",IFERROR(INDEX(lst_JobName,MATCH(C35&amp;"",lst_Jobs,0)),""))</f>
        <v/>
      </c>
      <c r="F35" s="22" t="n"/>
      <c r="G35" s="22" t="n"/>
      <c r="H35" s="22" t="n"/>
      <c r="I35" s="22" t="n"/>
      <c r="J35" s="22" t="n"/>
      <c r="K35" s="28">
        <f>IF(C35="","",COUNTIFS(tbl_Finance[Job Number],C35&amp;"",tbl_Finance[Ex GST],"&lt;&gt;"))</f>
        <v/>
      </c>
      <c r="L35" s="27">
        <f>IF(C35="","",SUMIFS(tbl_Finance[Ex GST],tbl_Finance[Job Number],C35&amp;""))</f>
        <v/>
      </c>
      <c r="M35" s="27">
        <f>IF(C35="","",SUMIFS(tbl_Finance[Ex GST],tbl_Finance[Job Number],C35&amp;"",tbl_Finance[Xero Invoice No],"&lt;&gt;"))</f>
        <v/>
      </c>
      <c r="N35" s="27">
        <f>IF(C35="","",L35-M35)</f>
        <v/>
      </c>
      <c r="O35" s="24" t="n"/>
      <c r="P35" s="27">
        <f>IF(C35="","",IF(O35="",0,MAX(0,O35-L35)))</f>
        <v/>
      </c>
      <c r="Q35" s="26">
        <f>IF(C35="","",IF(K35=0,"not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R35" s="22" t="n"/>
      <c r="S35" s="26">
        <f>IF(R35="","",HYPERLINK(IF(LEFT(R35,4)="http",R35,set_QwilrBase&amp;R35),"Open quote"))</f>
        <v/>
      </c>
      <c r="T35" s="24" t="n"/>
      <c r="U35" s="24" t="n"/>
      <c r="V35" s="24" t="n"/>
      <c r="W35" s="26">
        <f>IF(C35="","",IF(N(T35)+N(U35)+N(V35)=0,"Not split",IF(ROUND(N(T35)+N(U35)+N(V35),2)=ROUND(L35+P35,2),"OK",IF(K35=0,"Not invoiced yet","MISMATCH"))))</f>
        <v/>
      </c>
      <c r="X35" s="24" t="n"/>
      <c r="Y35" s="24" t="n"/>
      <c r="Z35" s="24" t="n"/>
      <c r="AA35" s="27">
        <f>IF(C35="","",N(X35)+N(Y35)+N(Z35))</f>
        <v/>
      </c>
      <c r="AB35" s="27">
        <f>IF(C35="","",L35+P35-AA35)</f>
        <v/>
      </c>
      <c r="AC35" s="29">
        <f>IFERROR(AB35/(L35+P35),"")</f>
        <v/>
      </c>
      <c r="AD35" s="22" t="n"/>
    </row>
    <row r="36" ht="15" customHeight="1">
      <c r="A36" s="70">
        <f>IF(C36="","",IFERROR(IF(SUMPRODUCT(MAX((tbl_Finance[Job Number]&amp;""=C36&amp;"")*(tbl_Finance[Xero Invoice No]&lt;&gt;"")*tbl_Finance[Date]))=0,"",SUMPRODUCT(MAX((tbl_Finance[Job Number]&amp;""=C36&amp;"")*(tbl_Finance[Xero Invoice No]&lt;&gt;"")*tbl_Finance[Date]))),""))</f>
        <v/>
      </c>
      <c r="B36" s="26">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2" t="n"/>
      <c r="D36" s="26">
        <f>IF(C36="","",IF(COUNTIF(lst_Jobs,C36&amp;"")&gt;0,"OK","CHECK"))</f>
        <v/>
      </c>
      <c r="E36" s="26">
        <f>IF(C36="","",IFERROR(INDEX(lst_JobName,MATCH(C36&amp;"",lst_Jobs,0)),""))</f>
        <v/>
      </c>
      <c r="F36" s="22" t="n"/>
      <c r="G36" s="22" t="n"/>
      <c r="H36" s="22" t="n"/>
      <c r="I36" s="22" t="n"/>
      <c r="J36" s="22" t="n"/>
      <c r="K36" s="28">
        <f>IF(C36="","",COUNTIFS(tbl_Finance[Job Number],C36&amp;"",tbl_Finance[Ex GST],"&lt;&gt;"))</f>
        <v/>
      </c>
      <c r="L36" s="27">
        <f>IF(C36="","",SUMIFS(tbl_Finance[Ex GST],tbl_Finance[Job Number],C36&amp;""))</f>
        <v/>
      </c>
      <c r="M36" s="27">
        <f>IF(C36="","",SUMIFS(tbl_Finance[Ex GST],tbl_Finance[Job Number],C36&amp;"",tbl_Finance[Xero Invoice No],"&lt;&gt;"))</f>
        <v/>
      </c>
      <c r="N36" s="27">
        <f>IF(C36="","",L36-M36)</f>
        <v/>
      </c>
      <c r="O36" s="24" t="n"/>
      <c r="P36" s="27">
        <f>IF(C36="","",IF(O36="",0,MAX(0,O36-L36)))</f>
        <v/>
      </c>
      <c r="Q36" s="26">
        <f>IF(C36="","",IF(K36=0,"not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R36" s="22" t="n"/>
      <c r="S36" s="26">
        <f>IF(R36="","",HYPERLINK(IF(LEFT(R36,4)="http",R36,set_QwilrBase&amp;R36),"Open quote"))</f>
        <v/>
      </c>
      <c r="T36" s="24" t="n"/>
      <c r="U36" s="24" t="n"/>
      <c r="V36" s="24" t="n"/>
      <c r="W36" s="26">
        <f>IF(C36="","",IF(N(T36)+N(U36)+N(V36)=0,"Not split",IF(ROUND(N(T36)+N(U36)+N(V36),2)=ROUND(L36+P36,2),"OK",IF(K36=0,"Not invoiced yet","MISMATCH"))))</f>
        <v/>
      </c>
      <c r="X36" s="24" t="n"/>
      <c r="Y36" s="24" t="n"/>
      <c r="Z36" s="24" t="n"/>
      <c r="AA36" s="27">
        <f>IF(C36="","",N(X36)+N(Y36)+N(Z36))</f>
        <v/>
      </c>
      <c r="AB36" s="27">
        <f>IF(C36="","",L36+P36-AA36)</f>
        <v/>
      </c>
      <c r="AC36" s="29">
        <f>IFERROR(AB36/(L36+P36),"")</f>
        <v/>
      </c>
      <c r="AD36" s="22" t="n"/>
    </row>
    <row r="37" ht="15" customHeight="1">
      <c r="A37" s="70">
        <f>IF(C37="","",IFERROR(IF(SUMPRODUCT(MAX((tbl_Finance[Job Number]&amp;""=C37&amp;"")*(tbl_Finance[Xero Invoice No]&lt;&gt;"")*tbl_Finance[Date]))=0,"",SUMPRODUCT(MAX((tbl_Finance[Job Number]&amp;""=C37&amp;"")*(tbl_Finance[Xero Invoice No]&lt;&gt;"")*tbl_Finance[Date]))),""))</f>
        <v/>
      </c>
      <c r="B37" s="26">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2" t="n"/>
      <c r="D37" s="26">
        <f>IF(C37="","",IF(COUNTIF(lst_Jobs,C37&amp;"")&gt;0,"OK","CHECK"))</f>
        <v/>
      </c>
      <c r="E37" s="26">
        <f>IF(C37="","",IFERROR(INDEX(lst_JobName,MATCH(C37&amp;"",lst_Jobs,0)),""))</f>
        <v/>
      </c>
      <c r="F37" s="22" t="n"/>
      <c r="G37" s="22" t="n"/>
      <c r="H37" s="22" t="n"/>
      <c r="I37" s="22" t="n"/>
      <c r="J37" s="22" t="n"/>
      <c r="K37" s="28">
        <f>IF(C37="","",COUNTIFS(tbl_Finance[Job Number],C37&amp;"",tbl_Finance[Ex GST],"&lt;&gt;"))</f>
        <v/>
      </c>
      <c r="L37" s="27">
        <f>IF(C37="","",SUMIFS(tbl_Finance[Ex GST],tbl_Finance[Job Number],C37&amp;""))</f>
        <v/>
      </c>
      <c r="M37" s="27">
        <f>IF(C37="","",SUMIFS(tbl_Finance[Ex GST],tbl_Finance[Job Number],C37&amp;"",tbl_Finance[Xero Invoice No],"&lt;&gt;"))</f>
        <v/>
      </c>
      <c r="N37" s="27">
        <f>IF(C37="","",L37-M37)</f>
        <v/>
      </c>
      <c r="O37" s="24" t="n"/>
      <c r="P37" s="27">
        <f>IF(C37="","",IF(O37="",0,MAX(0,O37-L37)))</f>
        <v/>
      </c>
      <c r="Q37" s="26">
        <f>IF(C37="","",IF(K37=0,"not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R37" s="22" t="n"/>
      <c r="S37" s="26">
        <f>IF(R37="","",HYPERLINK(IF(LEFT(R37,4)="http",R37,set_QwilrBase&amp;R37),"Open quote"))</f>
        <v/>
      </c>
      <c r="T37" s="24" t="n"/>
      <c r="U37" s="24" t="n"/>
      <c r="V37" s="24" t="n"/>
      <c r="W37" s="26">
        <f>IF(C37="","",IF(N(T37)+N(U37)+N(V37)=0,"Not split",IF(ROUND(N(T37)+N(U37)+N(V37),2)=ROUND(L37+P37,2),"OK",IF(K37=0,"Not invoiced yet","MISMATCH"))))</f>
        <v/>
      </c>
      <c r="X37" s="24" t="n"/>
      <c r="Y37" s="24" t="n"/>
      <c r="Z37" s="24" t="n"/>
      <c r="AA37" s="27">
        <f>IF(C37="","",N(X37)+N(Y37)+N(Z37))</f>
        <v/>
      </c>
      <c r="AB37" s="27">
        <f>IF(C37="","",L37+P37-AA37)</f>
        <v/>
      </c>
      <c r="AC37" s="29">
        <f>IFERROR(AB37/(L37+P37),"")</f>
        <v/>
      </c>
      <c r="AD37" s="22" t="n"/>
    </row>
    <row r="38" ht="15" customHeight="1">
      <c r="A38" s="70">
        <f>IF(C38="","",IFERROR(IF(SUMPRODUCT(MAX((tbl_Finance[Job Number]&amp;""=C38&amp;"")*(tbl_Finance[Xero Invoice No]&lt;&gt;"")*tbl_Finance[Date]))=0,"",SUMPRODUCT(MAX((tbl_Finance[Job Number]&amp;""=C38&amp;"")*(tbl_Finance[Xero Invoice No]&lt;&gt;"")*tbl_Finance[Date]))),""))</f>
        <v/>
      </c>
      <c r="B38" s="26">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2" t="n"/>
      <c r="D38" s="26">
        <f>IF(C38="","",IF(COUNTIF(lst_Jobs,C38&amp;"")&gt;0,"OK","CHECK"))</f>
        <v/>
      </c>
      <c r="E38" s="26">
        <f>IF(C38="","",IFERROR(INDEX(lst_JobName,MATCH(C38&amp;"",lst_Jobs,0)),""))</f>
        <v/>
      </c>
      <c r="F38" s="22" t="n"/>
      <c r="G38" s="22" t="n"/>
      <c r="H38" s="22" t="n"/>
      <c r="I38" s="22" t="n"/>
      <c r="J38" s="22" t="n"/>
      <c r="K38" s="28">
        <f>IF(C38="","",COUNTIFS(tbl_Finance[Job Number],C38&amp;"",tbl_Finance[Ex GST],"&lt;&gt;"))</f>
        <v/>
      </c>
      <c r="L38" s="27">
        <f>IF(C38="","",SUMIFS(tbl_Finance[Ex GST],tbl_Finance[Job Number],C38&amp;""))</f>
        <v/>
      </c>
      <c r="M38" s="27">
        <f>IF(C38="","",SUMIFS(tbl_Finance[Ex GST],tbl_Finance[Job Number],C38&amp;"",tbl_Finance[Xero Invoice No],"&lt;&gt;"))</f>
        <v/>
      </c>
      <c r="N38" s="27">
        <f>IF(C38="","",L38-M38)</f>
        <v/>
      </c>
      <c r="O38" s="24" t="n"/>
      <c r="P38" s="27">
        <f>IF(C38="","",IF(O38="",0,MAX(0,O38-L38)))</f>
        <v/>
      </c>
      <c r="Q38" s="26">
        <f>IF(C38="","",IF(K38=0,"not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R38" s="22" t="n"/>
      <c r="S38" s="26">
        <f>IF(R38="","",HYPERLINK(IF(LEFT(R38,4)="http",R38,set_QwilrBase&amp;R38),"Open quote"))</f>
        <v/>
      </c>
      <c r="T38" s="24" t="n"/>
      <c r="U38" s="24" t="n"/>
      <c r="V38" s="24" t="n"/>
      <c r="W38" s="26">
        <f>IF(C38="","",IF(N(T38)+N(U38)+N(V38)=0,"Not split",IF(ROUND(N(T38)+N(U38)+N(V38),2)=ROUND(L38+P38,2),"OK",IF(K38=0,"Not invoiced yet","MISMATCH"))))</f>
        <v/>
      </c>
      <c r="X38" s="24" t="n"/>
      <c r="Y38" s="24" t="n"/>
      <c r="Z38" s="24" t="n"/>
      <c r="AA38" s="27">
        <f>IF(C38="","",N(X38)+N(Y38)+N(Z38))</f>
        <v/>
      </c>
      <c r="AB38" s="27">
        <f>IF(C38="","",L38+P38-AA38)</f>
        <v/>
      </c>
      <c r="AC38" s="29">
        <f>IFERROR(AB38/(L38+P38),"")</f>
        <v/>
      </c>
      <c r="AD38" s="22" t="n"/>
    </row>
    <row r="39" ht="15" customHeight="1">
      <c r="A39" s="70">
        <f>IF(C39="","",IFERROR(IF(SUMPRODUCT(MAX((tbl_Finance[Job Number]&amp;""=C39&amp;"")*(tbl_Finance[Xero Invoice No]&lt;&gt;"")*tbl_Finance[Date]))=0,"",SUMPRODUCT(MAX((tbl_Finance[Job Number]&amp;""=C39&amp;"")*(tbl_Finance[Xero Invoice No]&lt;&gt;"")*tbl_Finance[Date]))),""))</f>
        <v/>
      </c>
      <c r="B39" s="26">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2" t="n"/>
      <c r="D39" s="26">
        <f>IF(C39="","",IF(COUNTIF(lst_Jobs,C39&amp;"")&gt;0,"OK","CHECK"))</f>
        <v/>
      </c>
      <c r="E39" s="26">
        <f>IF(C39="","",IFERROR(INDEX(lst_JobName,MATCH(C39&amp;"",lst_Jobs,0)),""))</f>
        <v/>
      </c>
      <c r="F39" s="22" t="n"/>
      <c r="G39" s="22" t="n"/>
      <c r="H39" s="22" t="n"/>
      <c r="I39" s="22" t="n"/>
      <c r="J39" s="22" t="n"/>
      <c r="K39" s="28">
        <f>IF(C39="","",COUNTIFS(tbl_Finance[Job Number],C39&amp;"",tbl_Finance[Ex GST],"&lt;&gt;"))</f>
        <v/>
      </c>
      <c r="L39" s="27">
        <f>IF(C39="","",SUMIFS(tbl_Finance[Ex GST],tbl_Finance[Job Number],C39&amp;""))</f>
        <v/>
      </c>
      <c r="M39" s="27">
        <f>IF(C39="","",SUMIFS(tbl_Finance[Ex GST],tbl_Finance[Job Number],C39&amp;"",tbl_Finance[Xero Invoice No],"&lt;&gt;"))</f>
        <v/>
      </c>
      <c r="N39" s="27">
        <f>IF(C39="","",L39-M39)</f>
        <v/>
      </c>
      <c r="O39" s="24" t="n"/>
      <c r="P39" s="27">
        <f>IF(C39="","",IF(O39="",0,MAX(0,O39-L39)))</f>
        <v/>
      </c>
      <c r="Q39" s="26">
        <f>IF(C39="","",IF(K39=0,"not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R39" s="22" t="n"/>
      <c r="S39" s="26">
        <f>IF(R39="","",HYPERLINK(IF(LEFT(R39,4)="http",R39,set_QwilrBase&amp;R39),"Open quote"))</f>
        <v/>
      </c>
      <c r="T39" s="24" t="n"/>
      <c r="U39" s="24" t="n"/>
      <c r="V39" s="24" t="n"/>
      <c r="W39" s="26">
        <f>IF(C39="","",IF(N(T39)+N(U39)+N(V39)=0,"Not split",IF(ROUND(N(T39)+N(U39)+N(V39),2)=ROUND(L39+P39,2),"OK",IF(K39=0,"Not invoiced yet","MISMATCH"))))</f>
        <v/>
      </c>
      <c r="X39" s="24" t="n"/>
      <c r="Y39" s="24" t="n"/>
      <c r="Z39" s="24" t="n"/>
      <c r="AA39" s="27">
        <f>IF(C39="","",N(X39)+N(Y39)+N(Z39))</f>
        <v/>
      </c>
      <c r="AB39" s="27">
        <f>IF(C39="","",L39+P39-AA39)</f>
        <v/>
      </c>
      <c r="AC39" s="29">
        <f>IFERROR(AB39/(L39+P39),"")</f>
        <v/>
      </c>
      <c r="AD39" s="22" t="n"/>
    </row>
    <row r="40" ht="15" customHeight="1">
      <c r="A40" s="70">
        <f>IF(C40="","",IFERROR(IF(SUMPRODUCT(MAX((tbl_Finance[Job Number]&amp;""=C40&amp;"")*(tbl_Finance[Xero Invoice No]&lt;&gt;"")*tbl_Finance[Date]))=0,"",SUMPRODUCT(MAX((tbl_Finance[Job Number]&amp;""=C40&amp;"")*(tbl_Finance[Xero Invoice No]&lt;&gt;"")*tbl_Finance[Date]))),""))</f>
        <v/>
      </c>
      <c r="B40" s="26">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2" t="n"/>
      <c r="D40" s="26">
        <f>IF(C40="","",IF(COUNTIF(lst_Jobs,C40&amp;"")&gt;0,"OK","CHECK"))</f>
        <v/>
      </c>
      <c r="E40" s="26">
        <f>IF(C40="","",IFERROR(INDEX(lst_JobName,MATCH(C40&amp;"",lst_Jobs,0)),""))</f>
        <v/>
      </c>
      <c r="F40" s="22" t="n"/>
      <c r="G40" s="22" t="n"/>
      <c r="H40" s="22" t="n"/>
      <c r="I40" s="22" t="n"/>
      <c r="J40" s="22" t="n"/>
      <c r="K40" s="28">
        <f>IF(C40="","",COUNTIFS(tbl_Finance[Job Number],C40&amp;"",tbl_Finance[Ex GST],"&lt;&gt;"))</f>
        <v/>
      </c>
      <c r="L40" s="27">
        <f>IF(C40="","",SUMIFS(tbl_Finance[Ex GST],tbl_Finance[Job Number],C40&amp;""))</f>
        <v/>
      </c>
      <c r="M40" s="27">
        <f>IF(C40="","",SUMIFS(tbl_Finance[Ex GST],tbl_Finance[Job Number],C40&amp;"",tbl_Finance[Xero Invoice No],"&lt;&gt;"))</f>
        <v/>
      </c>
      <c r="N40" s="27">
        <f>IF(C40="","",L40-M40)</f>
        <v/>
      </c>
      <c r="O40" s="24" t="n"/>
      <c r="P40" s="27">
        <f>IF(C40="","",IF(O40="",0,MAX(0,O40-L40)))</f>
        <v/>
      </c>
      <c r="Q40" s="26">
        <f>IF(C40="","",IF(K40=0,"not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R40" s="22" t="n"/>
      <c r="S40" s="26">
        <f>IF(R40="","",HYPERLINK(IF(LEFT(R40,4)="http",R40,set_QwilrBase&amp;R40),"Open quote"))</f>
        <v/>
      </c>
      <c r="T40" s="24" t="n"/>
      <c r="U40" s="24" t="n"/>
      <c r="V40" s="24" t="n"/>
      <c r="W40" s="26">
        <f>IF(C40="","",IF(N(T40)+N(U40)+N(V40)=0,"Not split",IF(ROUND(N(T40)+N(U40)+N(V40),2)=ROUND(L40+P40,2),"OK",IF(K40=0,"Not invoiced yet","MISMATCH"))))</f>
        <v/>
      </c>
      <c r="X40" s="24" t="n"/>
      <c r="Y40" s="24" t="n"/>
      <c r="Z40" s="24" t="n"/>
      <c r="AA40" s="27">
        <f>IF(C40="","",N(X40)+N(Y40)+N(Z40))</f>
        <v/>
      </c>
      <c r="AB40" s="27">
        <f>IF(C40="","",L40+P40-AA40)</f>
        <v/>
      </c>
      <c r="AC40" s="29">
        <f>IFERROR(AB40/(L40+P40),"")</f>
        <v/>
      </c>
      <c r="AD40" s="22" t="n"/>
    </row>
    <row r="41" ht="15" customHeight="1">
      <c r="A41" s="70">
        <f>IF(C41="","",IFERROR(IF(SUMPRODUCT(MAX((tbl_Finance[Job Number]&amp;""=C41&amp;"")*(tbl_Finance[Xero Invoice No]&lt;&gt;"")*tbl_Finance[Date]))=0,"",SUMPRODUCT(MAX((tbl_Finance[Job Number]&amp;""=C41&amp;"")*(tbl_Finance[Xero Invoice No]&lt;&gt;"")*tbl_Finance[Date]))),""))</f>
        <v/>
      </c>
      <c r="B41" s="26">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2" t="n"/>
      <c r="D41" s="26">
        <f>IF(C41="","",IF(COUNTIF(lst_Jobs,C41&amp;"")&gt;0,"OK","CHECK"))</f>
        <v/>
      </c>
      <c r="E41" s="26">
        <f>IF(C41="","",IFERROR(INDEX(lst_JobName,MATCH(C41&amp;"",lst_Jobs,0)),""))</f>
        <v/>
      </c>
      <c r="F41" s="22" t="n"/>
      <c r="G41" s="22" t="n"/>
      <c r="H41" s="22" t="n"/>
      <c r="I41" s="22" t="n"/>
      <c r="J41" s="22" t="n"/>
      <c r="K41" s="28">
        <f>IF(C41="","",COUNTIFS(tbl_Finance[Job Number],C41&amp;"",tbl_Finance[Ex GST],"&lt;&gt;"))</f>
        <v/>
      </c>
      <c r="L41" s="27">
        <f>IF(C41="","",SUMIFS(tbl_Finance[Ex GST],tbl_Finance[Job Number],C41&amp;""))</f>
        <v/>
      </c>
      <c r="M41" s="27">
        <f>IF(C41="","",SUMIFS(tbl_Finance[Ex GST],tbl_Finance[Job Number],C41&amp;"",tbl_Finance[Xero Invoice No],"&lt;&gt;"))</f>
        <v/>
      </c>
      <c r="N41" s="27">
        <f>IF(C41="","",L41-M41)</f>
        <v/>
      </c>
      <c r="O41" s="24" t="n"/>
      <c r="P41" s="27">
        <f>IF(C41="","",IF(O41="",0,MAX(0,O41-L41)))</f>
        <v/>
      </c>
      <c r="Q41" s="26">
        <f>IF(C41="","",IF(K41=0,"not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R41" s="22" t="n"/>
      <c r="S41" s="26">
        <f>IF(R41="","",HYPERLINK(IF(LEFT(R41,4)="http",R41,set_QwilrBase&amp;R41),"Open quote"))</f>
        <v/>
      </c>
      <c r="T41" s="24" t="n"/>
      <c r="U41" s="24" t="n"/>
      <c r="V41" s="24" t="n"/>
      <c r="W41" s="26">
        <f>IF(C41="","",IF(N(T41)+N(U41)+N(V41)=0,"Not split",IF(ROUND(N(T41)+N(U41)+N(V41),2)=ROUND(L41+P41,2),"OK",IF(K41=0,"Not invoiced yet","MISMATCH"))))</f>
        <v/>
      </c>
      <c r="X41" s="24" t="n"/>
      <c r="Y41" s="24" t="n"/>
      <c r="Z41" s="24" t="n"/>
      <c r="AA41" s="27">
        <f>IF(C41="","",N(X41)+N(Y41)+N(Z41))</f>
        <v/>
      </c>
      <c r="AB41" s="27">
        <f>IF(C41="","",L41+P41-AA41)</f>
        <v/>
      </c>
      <c r="AC41" s="29">
        <f>IFERROR(AB41/(L41+P41),"")</f>
        <v/>
      </c>
      <c r="AD41" s="22" t="n"/>
    </row>
    <row r="42" ht="15" customHeight="1">
      <c r="A42" s="70">
        <f>IF(C42="","",IFERROR(IF(SUMPRODUCT(MAX((tbl_Finance[Job Number]&amp;""=C42&amp;"")*(tbl_Finance[Xero Invoice No]&lt;&gt;"")*tbl_Finance[Date]))=0,"",SUMPRODUCT(MAX((tbl_Finance[Job Number]&amp;""=C42&amp;"")*(tbl_Finance[Xero Invoice No]&lt;&gt;"")*tbl_Finance[Date]))),""))</f>
        <v/>
      </c>
      <c r="B42" s="26">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2" t="n"/>
      <c r="D42" s="26">
        <f>IF(C42="","",IF(COUNTIF(lst_Jobs,C42&amp;"")&gt;0,"OK","CHECK"))</f>
        <v/>
      </c>
      <c r="E42" s="26">
        <f>IF(C42="","",IFERROR(INDEX(lst_JobName,MATCH(C42&amp;"",lst_Jobs,0)),""))</f>
        <v/>
      </c>
      <c r="F42" s="22" t="n"/>
      <c r="G42" s="22" t="n"/>
      <c r="H42" s="22" t="n"/>
      <c r="I42" s="22" t="n"/>
      <c r="J42" s="22" t="n"/>
      <c r="K42" s="28">
        <f>IF(C42="","",COUNTIFS(tbl_Finance[Job Number],C42&amp;"",tbl_Finance[Ex GST],"&lt;&gt;"))</f>
        <v/>
      </c>
      <c r="L42" s="27">
        <f>IF(C42="","",SUMIFS(tbl_Finance[Ex GST],tbl_Finance[Job Number],C42&amp;""))</f>
        <v/>
      </c>
      <c r="M42" s="27">
        <f>IF(C42="","",SUMIFS(tbl_Finance[Ex GST],tbl_Finance[Job Number],C42&amp;"",tbl_Finance[Xero Invoice No],"&lt;&gt;"))</f>
        <v/>
      </c>
      <c r="N42" s="27">
        <f>IF(C42="","",L42-M42)</f>
        <v/>
      </c>
      <c r="O42" s="24" t="n"/>
      <c r="P42" s="27">
        <f>IF(C42="","",IF(O42="",0,MAX(0,O42-L42)))</f>
        <v/>
      </c>
      <c r="Q42" s="26">
        <f>IF(C42="","",IF(K42=0,"not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R42" s="22" t="n"/>
      <c r="S42" s="26">
        <f>IF(R42="","",HYPERLINK(IF(LEFT(R42,4)="http",R42,set_QwilrBase&amp;R42),"Open quote"))</f>
        <v/>
      </c>
      <c r="T42" s="24" t="n"/>
      <c r="U42" s="24" t="n"/>
      <c r="V42" s="24" t="n"/>
      <c r="W42" s="26">
        <f>IF(C42="","",IF(N(T42)+N(U42)+N(V42)=0,"Not split",IF(ROUND(N(T42)+N(U42)+N(V42),2)=ROUND(L42+P42,2),"OK",IF(K42=0,"Not invoiced yet","MISMATCH"))))</f>
        <v/>
      </c>
      <c r="X42" s="24" t="n"/>
      <c r="Y42" s="24" t="n"/>
      <c r="Z42" s="24" t="n"/>
      <c r="AA42" s="27">
        <f>IF(C42="","",N(X42)+N(Y42)+N(Z42))</f>
        <v/>
      </c>
      <c r="AB42" s="27">
        <f>IF(C42="","",L42+P42-AA42)</f>
        <v/>
      </c>
      <c r="AC42" s="29">
        <f>IFERROR(AB42/(L42+P42),"")</f>
        <v/>
      </c>
      <c r="AD42" s="22" t="n"/>
    </row>
    <row r="43" ht="15" customHeight="1">
      <c r="A43" s="70">
        <f>IF(C43="","",IFERROR(IF(SUMPRODUCT(MAX((tbl_Finance[Job Number]&amp;""=C43&amp;"")*(tbl_Finance[Xero Invoice No]&lt;&gt;"")*tbl_Finance[Date]))=0,"",SUMPRODUCT(MAX((tbl_Finance[Job Number]&amp;""=C43&amp;"")*(tbl_Finance[Xero Invoice No]&lt;&gt;"")*tbl_Finance[Date]))),""))</f>
        <v/>
      </c>
      <c r="B43" s="26">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2" t="n"/>
      <c r="D43" s="26">
        <f>IF(C43="","",IF(COUNTIF(lst_Jobs,C43&amp;"")&gt;0,"OK","CHECK"))</f>
        <v/>
      </c>
      <c r="E43" s="26">
        <f>IF(C43="","",IFERROR(INDEX(lst_JobName,MATCH(C43&amp;"",lst_Jobs,0)),""))</f>
        <v/>
      </c>
      <c r="F43" s="22" t="n"/>
      <c r="G43" s="22" t="n"/>
      <c r="H43" s="22" t="n"/>
      <c r="I43" s="22" t="n"/>
      <c r="J43" s="22" t="n"/>
      <c r="K43" s="28">
        <f>IF(C43="","",COUNTIFS(tbl_Finance[Job Number],C43&amp;"",tbl_Finance[Ex GST],"&lt;&gt;"))</f>
        <v/>
      </c>
      <c r="L43" s="27">
        <f>IF(C43="","",SUMIFS(tbl_Finance[Ex GST],tbl_Finance[Job Number],C43&amp;""))</f>
        <v/>
      </c>
      <c r="M43" s="27">
        <f>IF(C43="","",SUMIFS(tbl_Finance[Ex GST],tbl_Finance[Job Number],C43&amp;"",tbl_Finance[Xero Invoice No],"&lt;&gt;"))</f>
        <v/>
      </c>
      <c r="N43" s="27">
        <f>IF(C43="","",L43-M43)</f>
        <v/>
      </c>
      <c r="O43" s="24" t="n"/>
      <c r="P43" s="27">
        <f>IF(C43="","",IF(O43="",0,MAX(0,O43-L43)))</f>
        <v/>
      </c>
      <c r="Q43" s="26">
        <f>IF(C43="","",IF(K43=0,"not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R43" s="22" t="n"/>
      <c r="S43" s="26">
        <f>IF(R43="","",HYPERLINK(IF(LEFT(R43,4)="http",R43,set_QwilrBase&amp;R43),"Open quote"))</f>
        <v/>
      </c>
      <c r="T43" s="24" t="n"/>
      <c r="U43" s="24" t="n"/>
      <c r="V43" s="24" t="n"/>
      <c r="W43" s="26">
        <f>IF(C43="","",IF(N(T43)+N(U43)+N(V43)=0,"Not split",IF(ROUND(N(T43)+N(U43)+N(V43),2)=ROUND(L43+P43,2),"OK",IF(K43=0,"Not invoiced yet","MISMATCH"))))</f>
        <v/>
      </c>
      <c r="X43" s="24" t="n"/>
      <c r="Y43" s="24" t="n"/>
      <c r="Z43" s="24" t="n"/>
      <c r="AA43" s="27">
        <f>IF(C43="","",N(X43)+N(Y43)+N(Z43))</f>
        <v/>
      </c>
      <c r="AB43" s="27">
        <f>IF(C43="","",L43+P43-AA43)</f>
        <v/>
      </c>
      <c r="AC43" s="29">
        <f>IFERROR(AB43/(L43+P43),"")</f>
        <v/>
      </c>
      <c r="AD43" s="22" t="n"/>
    </row>
    <row r="44" ht="15" customHeight="1">
      <c r="A44" s="70">
        <f>IF(C44="","",IFERROR(IF(SUMPRODUCT(MAX((tbl_Finance[Job Number]&amp;""=C44&amp;"")*(tbl_Finance[Xero Invoice No]&lt;&gt;"")*tbl_Finance[Date]))=0,"",SUMPRODUCT(MAX((tbl_Finance[Job Number]&amp;""=C44&amp;"")*(tbl_Finance[Xero Invoice No]&lt;&gt;"")*tbl_Finance[Date]))),""))</f>
        <v/>
      </c>
      <c r="B44" s="26">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2" t="n"/>
      <c r="D44" s="26">
        <f>IF(C44="","",IF(COUNTIF(lst_Jobs,C44&amp;"")&gt;0,"OK","CHECK"))</f>
        <v/>
      </c>
      <c r="E44" s="26">
        <f>IF(C44="","",IFERROR(INDEX(lst_JobName,MATCH(C44&amp;"",lst_Jobs,0)),""))</f>
        <v/>
      </c>
      <c r="F44" s="22" t="n"/>
      <c r="G44" s="22" t="n"/>
      <c r="H44" s="22" t="n"/>
      <c r="I44" s="22" t="n"/>
      <c r="J44" s="22" t="n"/>
      <c r="K44" s="28">
        <f>IF(C44="","",COUNTIFS(tbl_Finance[Job Number],C44&amp;"",tbl_Finance[Ex GST],"&lt;&gt;"))</f>
        <v/>
      </c>
      <c r="L44" s="27">
        <f>IF(C44="","",SUMIFS(tbl_Finance[Ex GST],tbl_Finance[Job Number],C44&amp;""))</f>
        <v/>
      </c>
      <c r="M44" s="27">
        <f>IF(C44="","",SUMIFS(tbl_Finance[Ex GST],tbl_Finance[Job Number],C44&amp;"",tbl_Finance[Xero Invoice No],"&lt;&gt;"))</f>
        <v/>
      </c>
      <c r="N44" s="27">
        <f>IF(C44="","",L44-M44)</f>
        <v/>
      </c>
      <c r="O44" s="24" t="n"/>
      <c r="P44" s="27">
        <f>IF(C44="","",IF(O44="",0,MAX(0,O44-L44)))</f>
        <v/>
      </c>
      <c r="Q44" s="26">
        <f>IF(C44="","",IF(K44=0,"not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R44" s="22" t="n"/>
      <c r="S44" s="26">
        <f>IF(R44="","",HYPERLINK(IF(LEFT(R44,4)="http",R44,set_QwilrBase&amp;R44),"Open quote"))</f>
        <v/>
      </c>
      <c r="T44" s="24" t="n"/>
      <c r="U44" s="24" t="n"/>
      <c r="V44" s="24" t="n"/>
      <c r="W44" s="26">
        <f>IF(C44="","",IF(N(T44)+N(U44)+N(V44)=0,"Not split",IF(ROUND(N(T44)+N(U44)+N(V44),2)=ROUND(L44+P44,2),"OK",IF(K44=0,"Not invoiced yet","MISMATCH"))))</f>
        <v/>
      </c>
      <c r="X44" s="24" t="n"/>
      <c r="Y44" s="24" t="n"/>
      <c r="Z44" s="24" t="n"/>
      <c r="AA44" s="27">
        <f>IF(C44="","",N(X44)+N(Y44)+N(Z44))</f>
        <v/>
      </c>
      <c r="AB44" s="27">
        <f>IF(C44="","",L44+P44-AA44)</f>
        <v/>
      </c>
      <c r="AC44" s="29">
        <f>IFERROR(AB44/(L44+P44),"")</f>
        <v/>
      </c>
      <c r="AD44" s="22" t="n"/>
    </row>
    <row r="45" ht="15" customHeight="1">
      <c r="A45" s="70">
        <f>IF(C45="","",IFERROR(IF(SUMPRODUCT(MAX((tbl_Finance[Job Number]&amp;""=C45&amp;"")*(tbl_Finance[Xero Invoice No]&lt;&gt;"")*tbl_Finance[Date]))=0,"",SUMPRODUCT(MAX((tbl_Finance[Job Number]&amp;""=C45&amp;"")*(tbl_Finance[Xero Invoice No]&lt;&gt;"")*tbl_Finance[Date]))),""))</f>
        <v/>
      </c>
      <c r="B45" s="26">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2" t="n"/>
      <c r="D45" s="26">
        <f>IF(C45="","",IF(COUNTIF(lst_Jobs,C45&amp;"")&gt;0,"OK","CHECK"))</f>
        <v/>
      </c>
      <c r="E45" s="26">
        <f>IF(C45="","",IFERROR(INDEX(lst_JobName,MATCH(C45&amp;"",lst_Jobs,0)),""))</f>
        <v/>
      </c>
      <c r="F45" s="22" t="n"/>
      <c r="G45" s="22" t="n"/>
      <c r="H45" s="22" t="n"/>
      <c r="I45" s="22" t="n"/>
      <c r="J45" s="22" t="n"/>
      <c r="K45" s="28">
        <f>IF(C45="","",COUNTIFS(tbl_Finance[Job Number],C45&amp;"",tbl_Finance[Ex GST],"&lt;&gt;"))</f>
        <v/>
      </c>
      <c r="L45" s="27">
        <f>IF(C45="","",SUMIFS(tbl_Finance[Ex GST],tbl_Finance[Job Number],C45&amp;""))</f>
        <v/>
      </c>
      <c r="M45" s="27">
        <f>IF(C45="","",SUMIFS(tbl_Finance[Ex GST],tbl_Finance[Job Number],C45&amp;"",tbl_Finance[Xero Invoice No],"&lt;&gt;"))</f>
        <v/>
      </c>
      <c r="N45" s="27">
        <f>IF(C45="","",L45-M45)</f>
        <v/>
      </c>
      <c r="O45" s="24" t="n"/>
      <c r="P45" s="27">
        <f>IF(C45="","",IF(O45="",0,MAX(0,O45-L45)))</f>
        <v/>
      </c>
      <c r="Q45" s="26">
        <f>IF(C45="","",IF(K45=0,"not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R45" s="22" t="n"/>
      <c r="S45" s="26">
        <f>IF(R45="","",HYPERLINK(IF(LEFT(R45,4)="http",R45,set_QwilrBase&amp;R45),"Open quote"))</f>
        <v/>
      </c>
      <c r="T45" s="24" t="n"/>
      <c r="U45" s="24" t="n"/>
      <c r="V45" s="24" t="n"/>
      <c r="W45" s="26">
        <f>IF(C45="","",IF(N(T45)+N(U45)+N(V45)=0,"Not split",IF(ROUND(N(T45)+N(U45)+N(V45),2)=ROUND(L45+P45,2),"OK",IF(K45=0,"Not invoiced yet","MISMATCH"))))</f>
        <v/>
      </c>
      <c r="X45" s="24" t="n"/>
      <c r="Y45" s="24" t="n"/>
      <c r="Z45" s="24" t="n"/>
      <c r="AA45" s="27">
        <f>IF(C45="","",N(X45)+N(Y45)+N(Z45))</f>
        <v/>
      </c>
      <c r="AB45" s="27">
        <f>IF(C45="","",L45+P45-AA45)</f>
        <v/>
      </c>
      <c r="AC45" s="29">
        <f>IFERROR(AB45/(L45+P45),"")</f>
        <v/>
      </c>
      <c r="AD45" s="22" t="n"/>
    </row>
    <row r="46" ht="15" customHeight="1">
      <c r="A46" s="70">
        <f>IF(C46="","",IFERROR(IF(SUMPRODUCT(MAX((tbl_Finance[Job Number]&amp;""=C46&amp;"")*(tbl_Finance[Xero Invoice No]&lt;&gt;"")*tbl_Finance[Date]))=0,"",SUMPRODUCT(MAX((tbl_Finance[Job Number]&amp;""=C46&amp;"")*(tbl_Finance[Xero Invoice No]&lt;&gt;"")*tbl_Finance[Date]))),""))</f>
        <v/>
      </c>
      <c r="B46" s="26">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2" t="n"/>
      <c r="D46" s="26">
        <f>IF(C46="","",IF(COUNTIF(lst_Jobs,C46&amp;"")&gt;0,"OK","CHECK"))</f>
        <v/>
      </c>
      <c r="E46" s="26">
        <f>IF(C46="","",IFERROR(INDEX(lst_JobName,MATCH(C46&amp;"",lst_Jobs,0)),""))</f>
        <v/>
      </c>
      <c r="F46" s="22" t="n"/>
      <c r="G46" s="22" t="n"/>
      <c r="H46" s="22" t="n"/>
      <c r="I46" s="22" t="n"/>
      <c r="J46" s="22" t="n"/>
      <c r="K46" s="28">
        <f>IF(C46="","",COUNTIFS(tbl_Finance[Job Number],C46&amp;"",tbl_Finance[Ex GST],"&lt;&gt;"))</f>
        <v/>
      </c>
      <c r="L46" s="27">
        <f>IF(C46="","",SUMIFS(tbl_Finance[Ex GST],tbl_Finance[Job Number],C46&amp;""))</f>
        <v/>
      </c>
      <c r="M46" s="27">
        <f>IF(C46="","",SUMIFS(tbl_Finance[Ex GST],tbl_Finance[Job Number],C46&amp;"",tbl_Finance[Xero Invoice No],"&lt;&gt;"))</f>
        <v/>
      </c>
      <c r="N46" s="27">
        <f>IF(C46="","",L46-M46)</f>
        <v/>
      </c>
      <c r="O46" s="24" t="n"/>
      <c r="P46" s="27">
        <f>IF(C46="","",IF(O46="",0,MAX(0,O46-L46)))</f>
        <v/>
      </c>
      <c r="Q46" s="26">
        <f>IF(C46="","",IF(K46=0,"not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R46" s="22" t="n"/>
      <c r="S46" s="26">
        <f>IF(R46="","",HYPERLINK(IF(LEFT(R46,4)="http",R46,set_QwilrBase&amp;R46),"Open quote"))</f>
        <v/>
      </c>
      <c r="T46" s="24" t="n"/>
      <c r="U46" s="24" t="n"/>
      <c r="V46" s="24" t="n"/>
      <c r="W46" s="26">
        <f>IF(C46="","",IF(N(T46)+N(U46)+N(V46)=0,"Not split",IF(ROUND(N(T46)+N(U46)+N(V46),2)=ROUND(L46+P46,2),"OK",IF(K46=0,"Not invoiced yet","MISMATCH"))))</f>
        <v/>
      </c>
      <c r="X46" s="24" t="n"/>
      <c r="Y46" s="24" t="n"/>
      <c r="Z46" s="24" t="n"/>
      <c r="AA46" s="27">
        <f>IF(C46="","",N(X46)+N(Y46)+N(Z46))</f>
        <v/>
      </c>
      <c r="AB46" s="27">
        <f>IF(C46="","",L46+P46-AA46)</f>
        <v/>
      </c>
      <c r="AC46" s="29">
        <f>IFERROR(AB46/(L46+P46),"")</f>
        <v/>
      </c>
      <c r="AD46" s="22" t="n"/>
    </row>
    <row r="47" ht="15" customHeight="1">
      <c r="A47" s="70">
        <f>IF(C47="","",IFERROR(IF(SUMPRODUCT(MAX((tbl_Finance[Job Number]&amp;""=C47&amp;"")*(tbl_Finance[Xero Invoice No]&lt;&gt;"")*tbl_Finance[Date]))=0,"",SUMPRODUCT(MAX((tbl_Finance[Job Number]&amp;""=C47&amp;"")*(tbl_Finance[Xero Invoice No]&lt;&gt;"")*tbl_Finance[Date]))),""))</f>
        <v/>
      </c>
      <c r="B47" s="26">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2" t="n"/>
      <c r="D47" s="26">
        <f>IF(C47="","",IF(COUNTIF(lst_Jobs,C47&amp;"")&gt;0,"OK","CHECK"))</f>
        <v/>
      </c>
      <c r="E47" s="26">
        <f>IF(C47="","",IFERROR(INDEX(lst_JobName,MATCH(C47&amp;"",lst_Jobs,0)),""))</f>
        <v/>
      </c>
      <c r="F47" s="22" t="n"/>
      <c r="G47" s="22" t="n"/>
      <c r="H47" s="22" t="n"/>
      <c r="I47" s="22" t="n"/>
      <c r="J47" s="22" t="n"/>
      <c r="K47" s="28">
        <f>IF(C47="","",COUNTIFS(tbl_Finance[Job Number],C47&amp;"",tbl_Finance[Ex GST],"&lt;&gt;"))</f>
        <v/>
      </c>
      <c r="L47" s="27">
        <f>IF(C47="","",SUMIFS(tbl_Finance[Ex GST],tbl_Finance[Job Number],C47&amp;""))</f>
        <v/>
      </c>
      <c r="M47" s="27">
        <f>IF(C47="","",SUMIFS(tbl_Finance[Ex GST],tbl_Finance[Job Number],C47&amp;"",tbl_Finance[Xero Invoice No],"&lt;&gt;"))</f>
        <v/>
      </c>
      <c r="N47" s="27">
        <f>IF(C47="","",L47-M47)</f>
        <v/>
      </c>
      <c r="O47" s="24" t="n"/>
      <c r="P47" s="27">
        <f>IF(C47="","",IF(O47="",0,MAX(0,O47-L47)))</f>
        <v/>
      </c>
      <c r="Q47" s="26">
        <f>IF(C47="","",IF(K47=0,"not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R47" s="22" t="n"/>
      <c r="S47" s="26">
        <f>IF(R47="","",HYPERLINK(IF(LEFT(R47,4)="http",R47,set_QwilrBase&amp;R47),"Open quote"))</f>
        <v/>
      </c>
      <c r="T47" s="24" t="n"/>
      <c r="U47" s="24" t="n"/>
      <c r="V47" s="24" t="n"/>
      <c r="W47" s="26">
        <f>IF(C47="","",IF(N(T47)+N(U47)+N(V47)=0,"Not split",IF(ROUND(N(T47)+N(U47)+N(V47),2)=ROUND(L47+P47,2),"OK",IF(K47=0,"Not invoiced yet","MISMATCH"))))</f>
        <v/>
      </c>
      <c r="X47" s="24" t="n"/>
      <c r="Y47" s="24" t="n"/>
      <c r="Z47" s="24" t="n"/>
      <c r="AA47" s="27">
        <f>IF(C47="","",N(X47)+N(Y47)+N(Z47))</f>
        <v/>
      </c>
      <c r="AB47" s="27">
        <f>IF(C47="","",L47+P47-AA47)</f>
        <v/>
      </c>
      <c r="AC47" s="29">
        <f>IFERROR(AB47/(L47+P47),"")</f>
        <v/>
      </c>
      <c r="AD47" s="22" t="n"/>
    </row>
    <row r="48" ht="15" customHeight="1">
      <c r="A48" s="70">
        <f>IF(C48="","",IFERROR(IF(SUMPRODUCT(MAX((tbl_Finance[Job Number]&amp;""=C48&amp;"")*(tbl_Finance[Xero Invoice No]&lt;&gt;"")*tbl_Finance[Date]))=0,"",SUMPRODUCT(MAX((tbl_Finance[Job Number]&amp;""=C48&amp;"")*(tbl_Finance[Xero Invoice No]&lt;&gt;"")*tbl_Finance[Date]))),""))</f>
        <v/>
      </c>
      <c r="B48" s="26">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2" t="n"/>
      <c r="D48" s="26">
        <f>IF(C48="","",IF(COUNTIF(lst_Jobs,C48&amp;"")&gt;0,"OK","CHECK"))</f>
        <v/>
      </c>
      <c r="E48" s="26">
        <f>IF(C48="","",IFERROR(INDEX(lst_JobName,MATCH(C48&amp;"",lst_Jobs,0)),""))</f>
        <v/>
      </c>
      <c r="F48" s="22" t="n"/>
      <c r="G48" s="22" t="n"/>
      <c r="H48" s="22" t="n"/>
      <c r="I48" s="22" t="n"/>
      <c r="J48" s="22" t="n"/>
      <c r="K48" s="28">
        <f>IF(C48="","",COUNTIFS(tbl_Finance[Job Number],C48&amp;"",tbl_Finance[Ex GST],"&lt;&gt;"))</f>
        <v/>
      </c>
      <c r="L48" s="27">
        <f>IF(C48="","",SUMIFS(tbl_Finance[Ex GST],tbl_Finance[Job Number],C48&amp;""))</f>
        <v/>
      </c>
      <c r="M48" s="27">
        <f>IF(C48="","",SUMIFS(tbl_Finance[Ex GST],tbl_Finance[Job Number],C48&amp;"",tbl_Finance[Xero Invoice No],"&lt;&gt;"))</f>
        <v/>
      </c>
      <c r="N48" s="27">
        <f>IF(C48="","",L48-M48)</f>
        <v/>
      </c>
      <c r="O48" s="24" t="n"/>
      <c r="P48" s="27">
        <f>IF(C48="","",IF(O48="",0,MAX(0,O48-L48)))</f>
        <v/>
      </c>
      <c r="Q48" s="26">
        <f>IF(C48="","",IF(K48=0,"not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R48" s="22" t="n"/>
      <c r="S48" s="26">
        <f>IF(R48="","",HYPERLINK(IF(LEFT(R48,4)="http",R48,set_QwilrBase&amp;R48),"Open quote"))</f>
        <v/>
      </c>
      <c r="T48" s="24" t="n"/>
      <c r="U48" s="24" t="n"/>
      <c r="V48" s="24" t="n"/>
      <c r="W48" s="26">
        <f>IF(C48="","",IF(N(T48)+N(U48)+N(V48)=0,"Not split",IF(ROUND(N(T48)+N(U48)+N(V48),2)=ROUND(L48+P48,2),"OK",IF(K48=0,"Not invoiced yet","MISMATCH"))))</f>
        <v/>
      </c>
      <c r="X48" s="24" t="n"/>
      <c r="Y48" s="24" t="n"/>
      <c r="Z48" s="24" t="n"/>
      <c r="AA48" s="27">
        <f>IF(C48="","",N(X48)+N(Y48)+N(Z48))</f>
        <v/>
      </c>
      <c r="AB48" s="27">
        <f>IF(C48="","",L48+P48-AA48)</f>
        <v/>
      </c>
      <c r="AC48" s="29">
        <f>IFERROR(AB48/(L48+P48),"")</f>
        <v/>
      </c>
      <c r="AD48" s="22" t="n"/>
    </row>
    <row r="49" ht="15" customHeight="1">
      <c r="A49" s="70">
        <f>IF(C49="","",IFERROR(IF(SUMPRODUCT(MAX((tbl_Finance[Job Number]&amp;""=C49&amp;"")*(tbl_Finance[Xero Invoice No]&lt;&gt;"")*tbl_Finance[Date]))=0,"",SUMPRODUCT(MAX((tbl_Finance[Job Number]&amp;""=C49&amp;"")*(tbl_Finance[Xero Invoice No]&lt;&gt;"")*tbl_Finance[Date]))),""))</f>
        <v/>
      </c>
      <c r="B49" s="26">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2" t="n"/>
      <c r="D49" s="26">
        <f>IF(C49="","",IF(COUNTIF(lst_Jobs,C49&amp;"")&gt;0,"OK","CHECK"))</f>
        <v/>
      </c>
      <c r="E49" s="26">
        <f>IF(C49="","",IFERROR(INDEX(lst_JobName,MATCH(C49&amp;"",lst_Jobs,0)),""))</f>
        <v/>
      </c>
      <c r="F49" s="22" t="n"/>
      <c r="G49" s="22" t="n"/>
      <c r="H49" s="22" t="n"/>
      <c r="I49" s="22" t="n"/>
      <c r="J49" s="22" t="n"/>
      <c r="K49" s="28">
        <f>IF(C49="","",COUNTIFS(tbl_Finance[Job Number],C49&amp;"",tbl_Finance[Ex GST],"&lt;&gt;"))</f>
        <v/>
      </c>
      <c r="L49" s="27">
        <f>IF(C49="","",SUMIFS(tbl_Finance[Ex GST],tbl_Finance[Job Number],C49&amp;""))</f>
        <v/>
      </c>
      <c r="M49" s="27">
        <f>IF(C49="","",SUMIFS(tbl_Finance[Ex GST],tbl_Finance[Job Number],C49&amp;"",tbl_Finance[Xero Invoice No],"&lt;&gt;"))</f>
        <v/>
      </c>
      <c r="N49" s="27">
        <f>IF(C49="","",L49-M49)</f>
        <v/>
      </c>
      <c r="O49" s="24" t="n"/>
      <c r="P49" s="27">
        <f>IF(C49="","",IF(O49="",0,MAX(0,O49-L49)))</f>
        <v/>
      </c>
      <c r="Q49" s="26">
        <f>IF(C49="","",IF(K49=0,"not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R49" s="22" t="n"/>
      <c r="S49" s="26">
        <f>IF(R49="","",HYPERLINK(IF(LEFT(R49,4)="http",R49,set_QwilrBase&amp;R49),"Open quote"))</f>
        <v/>
      </c>
      <c r="T49" s="24" t="n"/>
      <c r="U49" s="24" t="n"/>
      <c r="V49" s="24" t="n"/>
      <c r="W49" s="26">
        <f>IF(C49="","",IF(N(T49)+N(U49)+N(V49)=0,"Not split",IF(ROUND(N(T49)+N(U49)+N(V49),2)=ROUND(L49+P49,2),"OK",IF(K49=0,"Not invoiced yet","MISMATCH"))))</f>
        <v/>
      </c>
      <c r="X49" s="24" t="n"/>
      <c r="Y49" s="24" t="n"/>
      <c r="Z49" s="24" t="n"/>
      <c r="AA49" s="27">
        <f>IF(C49="","",N(X49)+N(Y49)+N(Z49))</f>
        <v/>
      </c>
      <c r="AB49" s="27">
        <f>IF(C49="","",L49+P49-AA49)</f>
        <v/>
      </c>
      <c r="AC49" s="29">
        <f>IFERROR(AB49/(L49+P49),"")</f>
        <v/>
      </c>
      <c r="AD49" s="22" t="n"/>
    </row>
    <row r="50" ht="15" customHeight="1">
      <c r="A50" s="70">
        <f>IF(C50="","",IFERROR(IF(SUMPRODUCT(MAX((tbl_Finance[Job Number]&amp;""=C50&amp;"")*(tbl_Finance[Xero Invoice No]&lt;&gt;"")*tbl_Finance[Date]))=0,"",SUMPRODUCT(MAX((tbl_Finance[Job Number]&amp;""=C50&amp;"")*(tbl_Finance[Xero Invoice No]&lt;&gt;"")*tbl_Finance[Date]))),""))</f>
        <v/>
      </c>
      <c r="B50" s="26">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2" t="n"/>
      <c r="D50" s="26">
        <f>IF(C50="","",IF(COUNTIF(lst_Jobs,C50&amp;"")&gt;0,"OK","CHECK"))</f>
        <v/>
      </c>
      <c r="E50" s="26">
        <f>IF(C50="","",IFERROR(INDEX(lst_JobName,MATCH(C50&amp;"",lst_Jobs,0)),""))</f>
        <v/>
      </c>
      <c r="F50" s="22" t="n"/>
      <c r="G50" s="22" t="n"/>
      <c r="H50" s="22" t="n"/>
      <c r="I50" s="22" t="n"/>
      <c r="J50" s="22" t="n"/>
      <c r="K50" s="28">
        <f>IF(C50="","",COUNTIFS(tbl_Finance[Job Number],C50&amp;"",tbl_Finance[Ex GST],"&lt;&gt;"))</f>
        <v/>
      </c>
      <c r="L50" s="27">
        <f>IF(C50="","",SUMIFS(tbl_Finance[Ex GST],tbl_Finance[Job Number],C50&amp;""))</f>
        <v/>
      </c>
      <c r="M50" s="27">
        <f>IF(C50="","",SUMIFS(tbl_Finance[Ex GST],tbl_Finance[Job Number],C50&amp;"",tbl_Finance[Xero Invoice No],"&lt;&gt;"))</f>
        <v/>
      </c>
      <c r="N50" s="27">
        <f>IF(C50="","",L50-M50)</f>
        <v/>
      </c>
      <c r="O50" s="24" t="n"/>
      <c r="P50" s="27">
        <f>IF(C50="","",IF(O50="",0,MAX(0,O50-L50)))</f>
        <v/>
      </c>
      <c r="Q50" s="26">
        <f>IF(C50="","",IF(K50=0,"not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R50" s="22" t="n"/>
      <c r="S50" s="26">
        <f>IF(R50="","",HYPERLINK(IF(LEFT(R50,4)="http",R50,set_QwilrBase&amp;R50),"Open quote"))</f>
        <v/>
      </c>
      <c r="T50" s="24" t="n"/>
      <c r="U50" s="24" t="n"/>
      <c r="V50" s="24" t="n"/>
      <c r="W50" s="26">
        <f>IF(C50="","",IF(N(T50)+N(U50)+N(V50)=0,"Not split",IF(ROUND(N(T50)+N(U50)+N(V50),2)=ROUND(L50+P50,2),"OK",IF(K50=0,"Not invoiced yet","MISMATCH"))))</f>
        <v/>
      </c>
      <c r="X50" s="24" t="n"/>
      <c r="Y50" s="24" t="n"/>
      <c r="Z50" s="24" t="n"/>
      <c r="AA50" s="27">
        <f>IF(C50="","",N(X50)+N(Y50)+N(Z50))</f>
        <v/>
      </c>
      <c r="AB50" s="27">
        <f>IF(C50="","",L50+P50-AA50)</f>
        <v/>
      </c>
      <c r="AC50" s="29">
        <f>IFERROR(AB50/(L50+P50),"")</f>
        <v/>
      </c>
      <c r="AD50" s="22" t="n"/>
    </row>
    <row r="51" ht="15" customHeight="1">
      <c r="A51" s="70">
        <f>IF(C51="","",IFERROR(IF(SUMPRODUCT(MAX((tbl_Finance[Job Number]&amp;""=C51&amp;"")*(tbl_Finance[Xero Invoice No]&lt;&gt;"")*tbl_Finance[Date]))=0,"",SUMPRODUCT(MAX((tbl_Finance[Job Number]&amp;""=C51&amp;"")*(tbl_Finance[Xero Invoice No]&lt;&gt;"")*tbl_Finance[Date]))),""))</f>
        <v/>
      </c>
      <c r="B51" s="26">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2" t="n"/>
      <c r="D51" s="26">
        <f>IF(C51="","",IF(COUNTIF(lst_Jobs,C51&amp;"")&gt;0,"OK","CHECK"))</f>
        <v/>
      </c>
      <c r="E51" s="26">
        <f>IF(C51="","",IFERROR(INDEX(lst_JobName,MATCH(C51&amp;"",lst_Jobs,0)),""))</f>
        <v/>
      </c>
      <c r="F51" s="22" t="n"/>
      <c r="G51" s="22" t="n"/>
      <c r="H51" s="22" t="n"/>
      <c r="I51" s="22" t="n"/>
      <c r="J51" s="22" t="n"/>
      <c r="K51" s="28">
        <f>IF(C51="","",COUNTIFS(tbl_Finance[Job Number],C51&amp;"",tbl_Finance[Ex GST],"&lt;&gt;"))</f>
        <v/>
      </c>
      <c r="L51" s="27">
        <f>IF(C51="","",SUMIFS(tbl_Finance[Ex GST],tbl_Finance[Job Number],C51&amp;""))</f>
        <v/>
      </c>
      <c r="M51" s="27">
        <f>IF(C51="","",SUMIFS(tbl_Finance[Ex GST],tbl_Finance[Job Number],C51&amp;"",tbl_Finance[Xero Invoice No],"&lt;&gt;"))</f>
        <v/>
      </c>
      <c r="N51" s="27">
        <f>IF(C51="","",L51-M51)</f>
        <v/>
      </c>
      <c r="O51" s="24" t="n"/>
      <c r="P51" s="27">
        <f>IF(C51="","",IF(O51="",0,MAX(0,O51-L51)))</f>
        <v/>
      </c>
      <c r="Q51" s="26">
        <f>IF(C51="","",IF(K51=0,"not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R51" s="22" t="n"/>
      <c r="S51" s="26">
        <f>IF(R51="","",HYPERLINK(IF(LEFT(R51,4)="http",R51,set_QwilrBase&amp;R51),"Open quote"))</f>
        <v/>
      </c>
      <c r="T51" s="24" t="n"/>
      <c r="U51" s="24" t="n"/>
      <c r="V51" s="24" t="n"/>
      <c r="W51" s="26">
        <f>IF(C51="","",IF(N(T51)+N(U51)+N(V51)=0,"Not split",IF(ROUND(N(T51)+N(U51)+N(V51),2)=ROUND(L51+P51,2),"OK",IF(K51=0,"Not invoiced yet","MISMATCH"))))</f>
        <v/>
      </c>
      <c r="X51" s="24" t="n"/>
      <c r="Y51" s="24" t="n"/>
      <c r="Z51" s="24" t="n"/>
      <c r="AA51" s="27">
        <f>IF(C51="","",N(X51)+N(Y51)+N(Z51))</f>
        <v/>
      </c>
      <c r="AB51" s="27">
        <f>IF(C51="","",L51+P51-AA51)</f>
        <v/>
      </c>
      <c r="AC51" s="29">
        <f>IFERROR(AB51/(L51+P51),"")</f>
        <v/>
      </c>
      <c r="AD51" s="22" t="n"/>
    </row>
    <row r="52" ht="15" customHeight="1">
      <c r="A52" s="70">
        <f>IF(C52="","",IFERROR(IF(SUMPRODUCT(MAX((tbl_Finance[Job Number]&amp;""=C52&amp;"")*(tbl_Finance[Xero Invoice No]&lt;&gt;"")*tbl_Finance[Date]))=0,"",SUMPRODUCT(MAX((tbl_Finance[Job Number]&amp;""=C52&amp;"")*(tbl_Finance[Xero Invoice No]&lt;&gt;"")*tbl_Finance[Date]))),""))</f>
        <v/>
      </c>
      <c r="B52" s="26">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2" t="n"/>
      <c r="D52" s="26">
        <f>IF(C52="","",IF(COUNTIF(lst_Jobs,C52&amp;"")&gt;0,"OK","CHECK"))</f>
        <v/>
      </c>
      <c r="E52" s="26">
        <f>IF(C52="","",IFERROR(INDEX(lst_JobName,MATCH(C52&amp;"",lst_Jobs,0)),""))</f>
        <v/>
      </c>
      <c r="F52" s="22" t="n"/>
      <c r="G52" s="22" t="n"/>
      <c r="H52" s="22" t="n"/>
      <c r="I52" s="22" t="n"/>
      <c r="J52" s="22" t="n"/>
      <c r="K52" s="28">
        <f>IF(C52="","",COUNTIFS(tbl_Finance[Job Number],C52&amp;"",tbl_Finance[Ex GST],"&lt;&gt;"))</f>
        <v/>
      </c>
      <c r="L52" s="27">
        <f>IF(C52="","",SUMIFS(tbl_Finance[Ex GST],tbl_Finance[Job Number],C52&amp;""))</f>
        <v/>
      </c>
      <c r="M52" s="27">
        <f>IF(C52="","",SUMIFS(tbl_Finance[Ex GST],tbl_Finance[Job Number],C52&amp;"",tbl_Finance[Xero Invoice No],"&lt;&gt;"))</f>
        <v/>
      </c>
      <c r="N52" s="27">
        <f>IF(C52="","",L52-M52)</f>
        <v/>
      </c>
      <c r="O52" s="24" t="n"/>
      <c r="P52" s="27">
        <f>IF(C52="","",IF(O52="",0,MAX(0,O52-L52)))</f>
        <v/>
      </c>
      <c r="Q52" s="26">
        <f>IF(C52="","",IF(K52=0,"not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R52" s="22" t="n"/>
      <c r="S52" s="26">
        <f>IF(R52="","",HYPERLINK(IF(LEFT(R52,4)="http",R52,set_QwilrBase&amp;R52),"Open quote"))</f>
        <v/>
      </c>
      <c r="T52" s="24" t="n"/>
      <c r="U52" s="24" t="n"/>
      <c r="V52" s="24" t="n"/>
      <c r="W52" s="26">
        <f>IF(C52="","",IF(N(T52)+N(U52)+N(V52)=0,"Not split",IF(ROUND(N(T52)+N(U52)+N(V52),2)=ROUND(L52+P52,2),"OK",IF(K52=0,"Not invoiced yet","MISMATCH"))))</f>
        <v/>
      </c>
      <c r="X52" s="24" t="n"/>
      <c r="Y52" s="24" t="n"/>
      <c r="Z52" s="24" t="n"/>
      <c r="AA52" s="27">
        <f>IF(C52="","",N(X52)+N(Y52)+N(Z52))</f>
        <v/>
      </c>
      <c r="AB52" s="27">
        <f>IF(C52="","",L52+P52-AA52)</f>
        <v/>
      </c>
      <c r="AC52" s="29">
        <f>IFERROR(AB52/(L52+P52),"")</f>
        <v/>
      </c>
      <c r="AD52" s="22" t="n"/>
    </row>
    <row r="53" ht="15" customHeight="1">
      <c r="A53" s="70">
        <f>IF(C53="","",IFERROR(IF(SUMPRODUCT(MAX((tbl_Finance[Job Number]&amp;""=C53&amp;"")*(tbl_Finance[Xero Invoice No]&lt;&gt;"")*tbl_Finance[Date]))=0,"",SUMPRODUCT(MAX((tbl_Finance[Job Number]&amp;""=C53&amp;"")*(tbl_Finance[Xero Invoice No]&lt;&gt;"")*tbl_Finance[Date]))),""))</f>
        <v/>
      </c>
      <c r="B53" s="26">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2" t="n"/>
      <c r="D53" s="26">
        <f>IF(C53="","",IF(COUNTIF(lst_Jobs,C53&amp;"")&gt;0,"OK","CHECK"))</f>
        <v/>
      </c>
      <c r="E53" s="26">
        <f>IF(C53="","",IFERROR(INDEX(lst_JobName,MATCH(C53&amp;"",lst_Jobs,0)),""))</f>
        <v/>
      </c>
      <c r="F53" s="22" t="n"/>
      <c r="G53" s="22" t="n"/>
      <c r="H53" s="22" t="n"/>
      <c r="I53" s="22" t="n"/>
      <c r="J53" s="22" t="n"/>
      <c r="K53" s="28">
        <f>IF(C53="","",COUNTIFS(tbl_Finance[Job Number],C53&amp;"",tbl_Finance[Ex GST],"&lt;&gt;"))</f>
        <v/>
      </c>
      <c r="L53" s="27">
        <f>IF(C53="","",SUMIFS(tbl_Finance[Ex GST],tbl_Finance[Job Number],C53&amp;""))</f>
        <v/>
      </c>
      <c r="M53" s="27">
        <f>IF(C53="","",SUMIFS(tbl_Finance[Ex GST],tbl_Finance[Job Number],C53&amp;"",tbl_Finance[Xero Invoice No],"&lt;&gt;"))</f>
        <v/>
      </c>
      <c r="N53" s="27">
        <f>IF(C53="","",L53-M53)</f>
        <v/>
      </c>
      <c r="O53" s="24" t="n"/>
      <c r="P53" s="27">
        <f>IF(C53="","",IF(O53="",0,MAX(0,O53-L53)))</f>
        <v/>
      </c>
      <c r="Q53" s="26">
        <f>IF(C53="","",IF(K53=0,"not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R53" s="22" t="n"/>
      <c r="S53" s="26">
        <f>IF(R53="","",HYPERLINK(IF(LEFT(R53,4)="http",R53,set_QwilrBase&amp;R53),"Open quote"))</f>
        <v/>
      </c>
      <c r="T53" s="24" t="n"/>
      <c r="U53" s="24" t="n"/>
      <c r="V53" s="24" t="n"/>
      <c r="W53" s="26">
        <f>IF(C53="","",IF(N(T53)+N(U53)+N(V53)=0,"Not split",IF(ROUND(N(T53)+N(U53)+N(V53),2)=ROUND(L53+P53,2),"OK",IF(K53=0,"Not invoiced yet","MISMATCH"))))</f>
        <v/>
      </c>
      <c r="X53" s="24" t="n"/>
      <c r="Y53" s="24" t="n"/>
      <c r="Z53" s="24" t="n"/>
      <c r="AA53" s="27">
        <f>IF(C53="","",N(X53)+N(Y53)+N(Z53))</f>
        <v/>
      </c>
      <c r="AB53" s="27">
        <f>IF(C53="","",L53+P53-AA53)</f>
        <v/>
      </c>
      <c r="AC53" s="29">
        <f>IFERROR(AB53/(L53+P53),"")</f>
        <v/>
      </c>
      <c r="AD53" s="22" t="n"/>
    </row>
    <row r="54" ht="15" customHeight="1">
      <c r="A54" s="70">
        <f>IF(C54="","",IFERROR(IF(SUMPRODUCT(MAX((tbl_Finance[Job Number]&amp;""=C54&amp;"")*(tbl_Finance[Xero Invoice No]&lt;&gt;"")*tbl_Finance[Date]))=0,"",SUMPRODUCT(MAX((tbl_Finance[Job Number]&amp;""=C54&amp;"")*(tbl_Finance[Xero Invoice No]&lt;&gt;"")*tbl_Finance[Date]))),""))</f>
        <v/>
      </c>
      <c r="B54" s="26">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2" t="n"/>
      <c r="D54" s="26">
        <f>IF(C54="","",IF(COUNTIF(lst_Jobs,C54&amp;"")&gt;0,"OK","CHECK"))</f>
        <v/>
      </c>
      <c r="E54" s="26">
        <f>IF(C54="","",IFERROR(INDEX(lst_JobName,MATCH(C54&amp;"",lst_Jobs,0)),""))</f>
        <v/>
      </c>
      <c r="F54" s="22" t="n"/>
      <c r="G54" s="22" t="n"/>
      <c r="H54" s="22" t="n"/>
      <c r="I54" s="22" t="n"/>
      <c r="J54" s="22" t="n"/>
      <c r="K54" s="28">
        <f>IF(C54="","",COUNTIFS(tbl_Finance[Job Number],C54&amp;"",tbl_Finance[Ex GST],"&lt;&gt;"))</f>
        <v/>
      </c>
      <c r="L54" s="27">
        <f>IF(C54="","",SUMIFS(tbl_Finance[Ex GST],tbl_Finance[Job Number],C54&amp;""))</f>
        <v/>
      </c>
      <c r="M54" s="27">
        <f>IF(C54="","",SUMIFS(tbl_Finance[Ex GST],tbl_Finance[Job Number],C54&amp;"",tbl_Finance[Xero Invoice No],"&lt;&gt;"))</f>
        <v/>
      </c>
      <c r="N54" s="27">
        <f>IF(C54="","",L54-M54)</f>
        <v/>
      </c>
      <c r="O54" s="24" t="n"/>
      <c r="P54" s="27">
        <f>IF(C54="","",IF(O54="",0,MAX(0,O54-L54)))</f>
        <v/>
      </c>
      <c r="Q54" s="26">
        <f>IF(C54="","",IF(K54=0,"not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R54" s="22" t="n"/>
      <c r="S54" s="26">
        <f>IF(R54="","",HYPERLINK(IF(LEFT(R54,4)="http",R54,set_QwilrBase&amp;R54),"Open quote"))</f>
        <v/>
      </c>
      <c r="T54" s="24" t="n"/>
      <c r="U54" s="24" t="n"/>
      <c r="V54" s="24" t="n"/>
      <c r="W54" s="26">
        <f>IF(C54="","",IF(N(T54)+N(U54)+N(V54)=0,"Not split",IF(ROUND(N(T54)+N(U54)+N(V54),2)=ROUND(L54+P54,2),"OK",IF(K54=0,"Not invoiced yet","MISMATCH"))))</f>
        <v/>
      </c>
      <c r="X54" s="24" t="n"/>
      <c r="Y54" s="24" t="n"/>
      <c r="Z54" s="24" t="n"/>
      <c r="AA54" s="27">
        <f>IF(C54="","",N(X54)+N(Y54)+N(Z54))</f>
        <v/>
      </c>
      <c r="AB54" s="27">
        <f>IF(C54="","",L54+P54-AA54)</f>
        <v/>
      </c>
      <c r="AC54" s="29">
        <f>IFERROR(AB54/(L54+P54),"")</f>
        <v/>
      </c>
      <c r="AD54" s="22" t="n"/>
    </row>
    <row r="55" ht="15" customHeight="1">
      <c r="A55" s="70">
        <f>IF(C55="","",IFERROR(IF(SUMPRODUCT(MAX((tbl_Finance[Job Number]&amp;""=C55&amp;"")*(tbl_Finance[Xero Invoice No]&lt;&gt;"")*tbl_Finance[Date]))=0,"",SUMPRODUCT(MAX((tbl_Finance[Job Number]&amp;""=C55&amp;"")*(tbl_Finance[Xero Invoice No]&lt;&gt;"")*tbl_Finance[Date]))),""))</f>
        <v/>
      </c>
      <c r="B55" s="26">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2" t="n"/>
      <c r="D55" s="26">
        <f>IF(C55="","",IF(COUNTIF(lst_Jobs,C55&amp;"")&gt;0,"OK","CHECK"))</f>
        <v/>
      </c>
      <c r="E55" s="26">
        <f>IF(C55="","",IFERROR(INDEX(lst_JobName,MATCH(C55&amp;"",lst_Jobs,0)),""))</f>
        <v/>
      </c>
      <c r="F55" s="22" t="n"/>
      <c r="G55" s="22" t="n"/>
      <c r="H55" s="22" t="n"/>
      <c r="I55" s="22" t="n"/>
      <c r="J55" s="22" t="n"/>
      <c r="K55" s="28">
        <f>IF(C55="","",COUNTIFS(tbl_Finance[Job Number],C55&amp;"",tbl_Finance[Ex GST],"&lt;&gt;"))</f>
        <v/>
      </c>
      <c r="L55" s="27">
        <f>IF(C55="","",SUMIFS(tbl_Finance[Ex GST],tbl_Finance[Job Number],C55&amp;""))</f>
        <v/>
      </c>
      <c r="M55" s="27">
        <f>IF(C55="","",SUMIFS(tbl_Finance[Ex GST],tbl_Finance[Job Number],C55&amp;"",tbl_Finance[Xero Invoice No],"&lt;&gt;"))</f>
        <v/>
      </c>
      <c r="N55" s="27">
        <f>IF(C55="","",L55-M55)</f>
        <v/>
      </c>
      <c r="O55" s="24" t="n"/>
      <c r="P55" s="27">
        <f>IF(C55="","",IF(O55="",0,MAX(0,O55-L55)))</f>
        <v/>
      </c>
      <c r="Q55" s="26">
        <f>IF(C55="","",IF(K55=0,"not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R55" s="22" t="n"/>
      <c r="S55" s="26">
        <f>IF(R55="","",HYPERLINK(IF(LEFT(R55,4)="http",R55,set_QwilrBase&amp;R55),"Open quote"))</f>
        <v/>
      </c>
      <c r="T55" s="24" t="n"/>
      <c r="U55" s="24" t="n"/>
      <c r="V55" s="24" t="n"/>
      <c r="W55" s="26">
        <f>IF(C55="","",IF(N(T55)+N(U55)+N(V55)=0,"Not split",IF(ROUND(N(T55)+N(U55)+N(V55),2)=ROUND(L55+P55,2),"OK",IF(K55=0,"Not invoiced yet","MISMATCH"))))</f>
        <v/>
      </c>
      <c r="X55" s="24" t="n"/>
      <c r="Y55" s="24" t="n"/>
      <c r="Z55" s="24" t="n"/>
      <c r="AA55" s="27">
        <f>IF(C55="","",N(X55)+N(Y55)+N(Z55))</f>
        <v/>
      </c>
      <c r="AB55" s="27">
        <f>IF(C55="","",L55+P55-AA55)</f>
        <v/>
      </c>
      <c r="AC55" s="29">
        <f>IFERROR(AB55/(L55+P55),"")</f>
        <v/>
      </c>
      <c r="AD55" s="22" t="n"/>
    </row>
    <row r="56" ht="15" customHeight="1">
      <c r="A56" s="70">
        <f>IF(C56="","",IFERROR(IF(SUMPRODUCT(MAX((tbl_Finance[Job Number]&amp;""=C56&amp;"")*(tbl_Finance[Xero Invoice No]&lt;&gt;"")*tbl_Finance[Date]))=0,"",SUMPRODUCT(MAX((tbl_Finance[Job Number]&amp;""=C56&amp;"")*(tbl_Finance[Xero Invoice No]&lt;&gt;"")*tbl_Finance[Date]))),""))</f>
        <v/>
      </c>
      <c r="B56" s="26">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2" t="n"/>
      <c r="D56" s="26">
        <f>IF(C56="","",IF(COUNTIF(lst_Jobs,C56&amp;"")&gt;0,"OK","CHECK"))</f>
        <v/>
      </c>
      <c r="E56" s="26">
        <f>IF(C56="","",IFERROR(INDEX(lst_JobName,MATCH(C56&amp;"",lst_Jobs,0)),""))</f>
        <v/>
      </c>
      <c r="F56" s="22" t="n"/>
      <c r="G56" s="22" t="n"/>
      <c r="H56" s="22" t="n"/>
      <c r="I56" s="22" t="n"/>
      <c r="J56" s="22" t="n"/>
      <c r="K56" s="28">
        <f>IF(C56="","",COUNTIFS(tbl_Finance[Job Number],C56&amp;"",tbl_Finance[Ex GST],"&lt;&gt;"))</f>
        <v/>
      </c>
      <c r="L56" s="27">
        <f>IF(C56="","",SUMIFS(tbl_Finance[Ex GST],tbl_Finance[Job Number],C56&amp;""))</f>
        <v/>
      </c>
      <c r="M56" s="27">
        <f>IF(C56="","",SUMIFS(tbl_Finance[Ex GST],tbl_Finance[Job Number],C56&amp;"",tbl_Finance[Xero Invoice No],"&lt;&gt;"))</f>
        <v/>
      </c>
      <c r="N56" s="27">
        <f>IF(C56="","",L56-M56)</f>
        <v/>
      </c>
      <c r="O56" s="24" t="n"/>
      <c r="P56" s="27">
        <f>IF(C56="","",IF(O56="",0,MAX(0,O56-L56)))</f>
        <v/>
      </c>
      <c r="Q56" s="26">
        <f>IF(C56="","",IF(K56=0,"not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R56" s="22" t="n"/>
      <c r="S56" s="26">
        <f>IF(R56="","",HYPERLINK(IF(LEFT(R56,4)="http",R56,set_QwilrBase&amp;R56),"Open quote"))</f>
        <v/>
      </c>
      <c r="T56" s="24" t="n"/>
      <c r="U56" s="24" t="n"/>
      <c r="V56" s="24" t="n"/>
      <c r="W56" s="26">
        <f>IF(C56="","",IF(N(T56)+N(U56)+N(V56)=0,"Not split",IF(ROUND(N(T56)+N(U56)+N(V56),2)=ROUND(L56+P56,2),"OK",IF(K56=0,"Not invoiced yet","MISMATCH"))))</f>
        <v/>
      </c>
      <c r="X56" s="24" t="n"/>
      <c r="Y56" s="24" t="n"/>
      <c r="Z56" s="24" t="n"/>
      <c r="AA56" s="27">
        <f>IF(C56="","",N(X56)+N(Y56)+N(Z56))</f>
        <v/>
      </c>
      <c r="AB56" s="27">
        <f>IF(C56="","",L56+P56-AA56)</f>
        <v/>
      </c>
      <c r="AC56" s="29">
        <f>IFERROR(AB56/(L56+P56),"")</f>
        <v/>
      </c>
      <c r="AD56" s="22" t="n"/>
    </row>
    <row r="57" ht="15" customHeight="1">
      <c r="A57" s="70">
        <f>IF(C57="","",IFERROR(IF(SUMPRODUCT(MAX((tbl_Finance[Job Number]&amp;""=C57&amp;"")*(tbl_Finance[Xero Invoice No]&lt;&gt;"")*tbl_Finance[Date]))=0,"",SUMPRODUCT(MAX((tbl_Finance[Job Number]&amp;""=C57&amp;"")*(tbl_Finance[Xero Invoice No]&lt;&gt;"")*tbl_Finance[Date]))),""))</f>
        <v/>
      </c>
      <c r="B57" s="26">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2" t="n"/>
      <c r="D57" s="26">
        <f>IF(C57="","",IF(COUNTIF(lst_Jobs,C57&amp;"")&gt;0,"OK","CHECK"))</f>
        <v/>
      </c>
      <c r="E57" s="26">
        <f>IF(C57="","",IFERROR(INDEX(lst_JobName,MATCH(C57&amp;"",lst_Jobs,0)),""))</f>
        <v/>
      </c>
      <c r="F57" s="22" t="n"/>
      <c r="G57" s="22" t="n"/>
      <c r="H57" s="22" t="n"/>
      <c r="I57" s="22" t="n"/>
      <c r="J57" s="22" t="n"/>
      <c r="K57" s="28">
        <f>IF(C57="","",COUNTIFS(tbl_Finance[Job Number],C57&amp;"",tbl_Finance[Ex GST],"&lt;&gt;"))</f>
        <v/>
      </c>
      <c r="L57" s="27">
        <f>IF(C57="","",SUMIFS(tbl_Finance[Ex GST],tbl_Finance[Job Number],C57&amp;""))</f>
        <v/>
      </c>
      <c r="M57" s="27">
        <f>IF(C57="","",SUMIFS(tbl_Finance[Ex GST],tbl_Finance[Job Number],C57&amp;"",tbl_Finance[Xero Invoice No],"&lt;&gt;"))</f>
        <v/>
      </c>
      <c r="N57" s="27">
        <f>IF(C57="","",L57-M57)</f>
        <v/>
      </c>
      <c r="O57" s="24" t="n"/>
      <c r="P57" s="27">
        <f>IF(C57="","",IF(O57="",0,MAX(0,O57-L57)))</f>
        <v/>
      </c>
      <c r="Q57" s="26">
        <f>IF(C57="","",IF(K57=0,"not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R57" s="22" t="n"/>
      <c r="S57" s="26">
        <f>IF(R57="","",HYPERLINK(IF(LEFT(R57,4)="http",R57,set_QwilrBase&amp;R57),"Open quote"))</f>
        <v/>
      </c>
      <c r="T57" s="24" t="n"/>
      <c r="U57" s="24" t="n"/>
      <c r="V57" s="24" t="n"/>
      <c r="W57" s="26">
        <f>IF(C57="","",IF(N(T57)+N(U57)+N(V57)=0,"Not split",IF(ROUND(N(T57)+N(U57)+N(V57),2)=ROUND(L57+P57,2),"OK",IF(K57=0,"Not invoiced yet","MISMATCH"))))</f>
        <v/>
      </c>
      <c r="X57" s="24" t="n"/>
      <c r="Y57" s="24" t="n"/>
      <c r="Z57" s="24" t="n"/>
      <c r="AA57" s="27">
        <f>IF(C57="","",N(X57)+N(Y57)+N(Z57))</f>
        <v/>
      </c>
      <c r="AB57" s="27">
        <f>IF(C57="","",L57+P57-AA57)</f>
        <v/>
      </c>
      <c r="AC57" s="29">
        <f>IFERROR(AB57/(L57+P57),"")</f>
        <v/>
      </c>
      <c r="AD57" s="22" t="n"/>
    </row>
    <row r="58" ht="15" customHeight="1">
      <c r="A58" s="70">
        <f>IF(C58="","",IFERROR(IF(SUMPRODUCT(MAX((tbl_Finance[Job Number]&amp;""=C58&amp;"")*(tbl_Finance[Xero Invoice No]&lt;&gt;"")*tbl_Finance[Date]))=0,"",SUMPRODUCT(MAX((tbl_Finance[Job Number]&amp;""=C58&amp;"")*(tbl_Finance[Xero Invoice No]&lt;&gt;"")*tbl_Finance[Date]))),""))</f>
        <v/>
      </c>
      <c r="B58" s="26">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2" t="n"/>
      <c r="D58" s="26">
        <f>IF(C58="","",IF(COUNTIF(lst_Jobs,C58&amp;"")&gt;0,"OK","CHECK"))</f>
        <v/>
      </c>
      <c r="E58" s="26">
        <f>IF(C58="","",IFERROR(INDEX(lst_JobName,MATCH(C58&amp;"",lst_Jobs,0)),""))</f>
        <v/>
      </c>
      <c r="F58" s="22" t="n"/>
      <c r="G58" s="22" t="n"/>
      <c r="H58" s="22" t="n"/>
      <c r="I58" s="22" t="n"/>
      <c r="J58" s="22" t="n"/>
      <c r="K58" s="28">
        <f>IF(C58="","",COUNTIFS(tbl_Finance[Job Number],C58&amp;"",tbl_Finance[Ex GST],"&lt;&gt;"))</f>
        <v/>
      </c>
      <c r="L58" s="27">
        <f>IF(C58="","",SUMIFS(tbl_Finance[Ex GST],tbl_Finance[Job Number],C58&amp;""))</f>
        <v/>
      </c>
      <c r="M58" s="27">
        <f>IF(C58="","",SUMIFS(tbl_Finance[Ex GST],tbl_Finance[Job Number],C58&amp;"",tbl_Finance[Xero Invoice No],"&lt;&gt;"))</f>
        <v/>
      </c>
      <c r="N58" s="27">
        <f>IF(C58="","",L58-M58)</f>
        <v/>
      </c>
      <c r="O58" s="24" t="n"/>
      <c r="P58" s="27">
        <f>IF(C58="","",IF(O58="",0,MAX(0,O58-L58)))</f>
        <v/>
      </c>
      <c r="Q58" s="26">
        <f>IF(C58="","",IF(K58=0,"not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R58" s="22" t="n"/>
      <c r="S58" s="26">
        <f>IF(R58="","",HYPERLINK(IF(LEFT(R58,4)="http",R58,set_QwilrBase&amp;R58),"Open quote"))</f>
        <v/>
      </c>
      <c r="T58" s="24" t="n"/>
      <c r="U58" s="24" t="n"/>
      <c r="V58" s="24" t="n"/>
      <c r="W58" s="26">
        <f>IF(C58="","",IF(N(T58)+N(U58)+N(V58)=0,"Not split",IF(ROUND(N(T58)+N(U58)+N(V58),2)=ROUND(L58+P58,2),"OK",IF(K58=0,"Not invoiced yet","MISMATCH"))))</f>
        <v/>
      </c>
      <c r="X58" s="24" t="n"/>
      <c r="Y58" s="24" t="n"/>
      <c r="Z58" s="24" t="n"/>
      <c r="AA58" s="27">
        <f>IF(C58="","",N(X58)+N(Y58)+N(Z58))</f>
        <v/>
      </c>
      <c r="AB58" s="27">
        <f>IF(C58="","",L58+P58-AA58)</f>
        <v/>
      </c>
      <c r="AC58" s="29">
        <f>IFERROR(AB58/(L58+P58),"")</f>
        <v/>
      </c>
      <c r="AD58" s="22" t="n"/>
    </row>
    <row r="59" ht="15" customHeight="1">
      <c r="A59" s="70">
        <f>IF(C59="","",IFERROR(IF(SUMPRODUCT(MAX((tbl_Finance[Job Number]&amp;""=C59&amp;"")*(tbl_Finance[Xero Invoice No]&lt;&gt;"")*tbl_Finance[Date]))=0,"",SUMPRODUCT(MAX((tbl_Finance[Job Number]&amp;""=C59&amp;"")*(tbl_Finance[Xero Invoice No]&lt;&gt;"")*tbl_Finance[Date]))),""))</f>
        <v/>
      </c>
      <c r="B59" s="26">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2" t="n"/>
      <c r="D59" s="26">
        <f>IF(C59="","",IF(COUNTIF(lst_Jobs,C59&amp;"")&gt;0,"OK","CHECK"))</f>
        <v/>
      </c>
      <c r="E59" s="26">
        <f>IF(C59="","",IFERROR(INDEX(lst_JobName,MATCH(C59&amp;"",lst_Jobs,0)),""))</f>
        <v/>
      </c>
      <c r="F59" s="22" t="n"/>
      <c r="G59" s="22" t="n"/>
      <c r="H59" s="22" t="n"/>
      <c r="I59" s="22" t="n"/>
      <c r="J59" s="22" t="n"/>
      <c r="K59" s="28">
        <f>IF(C59="","",COUNTIFS(tbl_Finance[Job Number],C59&amp;"",tbl_Finance[Ex GST],"&lt;&gt;"))</f>
        <v/>
      </c>
      <c r="L59" s="27">
        <f>IF(C59="","",SUMIFS(tbl_Finance[Ex GST],tbl_Finance[Job Number],C59&amp;""))</f>
        <v/>
      </c>
      <c r="M59" s="27">
        <f>IF(C59="","",SUMIFS(tbl_Finance[Ex GST],tbl_Finance[Job Number],C59&amp;"",tbl_Finance[Xero Invoice No],"&lt;&gt;"))</f>
        <v/>
      </c>
      <c r="N59" s="27">
        <f>IF(C59="","",L59-M59)</f>
        <v/>
      </c>
      <c r="O59" s="24" t="n"/>
      <c r="P59" s="27">
        <f>IF(C59="","",IF(O59="",0,MAX(0,O59-L59)))</f>
        <v/>
      </c>
      <c r="Q59" s="26">
        <f>IF(C59="","",IF(K59=0,"not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R59" s="22" t="n"/>
      <c r="S59" s="26">
        <f>IF(R59="","",HYPERLINK(IF(LEFT(R59,4)="http",R59,set_QwilrBase&amp;R59),"Open quote"))</f>
        <v/>
      </c>
      <c r="T59" s="24" t="n"/>
      <c r="U59" s="24" t="n"/>
      <c r="V59" s="24" t="n"/>
      <c r="W59" s="26">
        <f>IF(C59="","",IF(N(T59)+N(U59)+N(V59)=0,"Not split",IF(ROUND(N(T59)+N(U59)+N(V59),2)=ROUND(L59+P59,2),"OK",IF(K59=0,"Not invoiced yet","MISMATCH"))))</f>
        <v/>
      </c>
      <c r="X59" s="24" t="n"/>
      <c r="Y59" s="24" t="n"/>
      <c r="Z59" s="24" t="n"/>
      <c r="AA59" s="27">
        <f>IF(C59="","",N(X59)+N(Y59)+N(Z59))</f>
        <v/>
      </c>
      <c r="AB59" s="27">
        <f>IF(C59="","",L59+P59-AA59)</f>
        <v/>
      </c>
      <c r="AC59" s="29">
        <f>IFERROR(AB59/(L59+P59),"")</f>
        <v/>
      </c>
      <c r="AD59" s="22" t="n"/>
    </row>
    <row r="60" ht="15" customHeight="1">
      <c r="A60" s="70">
        <f>IF(C60="","",IFERROR(IF(SUMPRODUCT(MAX((tbl_Finance[Job Number]&amp;""=C60&amp;"")*(tbl_Finance[Xero Invoice No]&lt;&gt;"")*tbl_Finance[Date]))=0,"",SUMPRODUCT(MAX((tbl_Finance[Job Number]&amp;""=C60&amp;"")*(tbl_Finance[Xero Invoice No]&lt;&gt;"")*tbl_Finance[Date]))),""))</f>
        <v/>
      </c>
      <c r="B60" s="26">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2" t="n"/>
      <c r="D60" s="26">
        <f>IF(C60="","",IF(COUNTIF(lst_Jobs,C60&amp;"")&gt;0,"OK","CHECK"))</f>
        <v/>
      </c>
      <c r="E60" s="26">
        <f>IF(C60="","",IFERROR(INDEX(lst_JobName,MATCH(C60&amp;"",lst_Jobs,0)),""))</f>
        <v/>
      </c>
      <c r="F60" s="22" t="n"/>
      <c r="G60" s="22" t="n"/>
      <c r="H60" s="22" t="n"/>
      <c r="I60" s="22" t="n"/>
      <c r="J60" s="22" t="n"/>
      <c r="K60" s="28">
        <f>IF(C60="","",COUNTIFS(tbl_Finance[Job Number],C60&amp;"",tbl_Finance[Ex GST],"&lt;&gt;"))</f>
        <v/>
      </c>
      <c r="L60" s="27">
        <f>IF(C60="","",SUMIFS(tbl_Finance[Ex GST],tbl_Finance[Job Number],C60&amp;""))</f>
        <v/>
      </c>
      <c r="M60" s="27">
        <f>IF(C60="","",SUMIFS(tbl_Finance[Ex GST],tbl_Finance[Job Number],C60&amp;"",tbl_Finance[Xero Invoice No],"&lt;&gt;"))</f>
        <v/>
      </c>
      <c r="N60" s="27">
        <f>IF(C60="","",L60-M60)</f>
        <v/>
      </c>
      <c r="O60" s="24" t="n"/>
      <c r="P60" s="27">
        <f>IF(C60="","",IF(O60="",0,MAX(0,O60-L60)))</f>
        <v/>
      </c>
      <c r="Q60" s="26">
        <f>IF(C60="","",IF(K60=0,"not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R60" s="22" t="n"/>
      <c r="S60" s="26">
        <f>IF(R60="","",HYPERLINK(IF(LEFT(R60,4)="http",R60,set_QwilrBase&amp;R60),"Open quote"))</f>
        <v/>
      </c>
      <c r="T60" s="24" t="n"/>
      <c r="U60" s="24" t="n"/>
      <c r="V60" s="24" t="n"/>
      <c r="W60" s="26">
        <f>IF(C60="","",IF(N(T60)+N(U60)+N(V60)=0,"Not split",IF(ROUND(N(T60)+N(U60)+N(V60),2)=ROUND(L60+P60,2),"OK",IF(K60=0,"Not invoiced yet","MISMATCH"))))</f>
        <v/>
      </c>
      <c r="X60" s="24" t="n"/>
      <c r="Y60" s="24" t="n"/>
      <c r="Z60" s="24" t="n"/>
      <c r="AA60" s="27">
        <f>IF(C60="","",N(X60)+N(Y60)+N(Z60))</f>
        <v/>
      </c>
      <c r="AB60" s="27">
        <f>IF(C60="","",L60+P60-AA60)</f>
        <v/>
      </c>
      <c r="AC60" s="29">
        <f>IFERROR(AB60/(L60+P60),"")</f>
        <v/>
      </c>
      <c r="AD60" s="22" t="n"/>
    </row>
    <row r="61" ht="15" customHeight="1">
      <c r="A61" s="70">
        <f>IF(C61="","",IFERROR(IF(SUMPRODUCT(MAX((tbl_Finance[Job Number]&amp;""=C61&amp;"")*(tbl_Finance[Xero Invoice No]&lt;&gt;"")*tbl_Finance[Date]))=0,"",SUMPRODUCT(MAX((tbl_Finance[Job Number]&amp;""=C61&amp;"")*(tbl_Finance[Xero Invoice No]&lt;&gt;"")*tbl_Finance[Date]))),""))</f>
        <v/>
      </c>
      <c r="B61" s="26">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2" t="n"/>
      <c r="D61" s="26">
        <f>IF(C61="","",IF(COUNTIF(lst_Jobs,C61&amp;"")&gt;0,"OK","CHECK"))</f>
        <v/>
      </c>
      <c r="E61" s="26">
        <f>IF(C61="","",IFERROR(INDEX(lst_JobName,MATCH(C61&amp;"",lst_Jobs,0)),""))</f>
        <v/>
      </c>
      <c r="F61" s="22" t="n"/>
      <c r="G61" s="22" t="n"/>
      <c r="H61" s="22" t="n"/>
      <c r="I61" s="22" t="n"/>
      <c r="J61" s="22" t="n"/>
      <c r="K61" s="28">
        <f>IF(C61="","",COUNTIFS(tbl_Finance[Job Number],C61&amp;"",tbl_Finance[Ex GST],"&lt;&gt;"))</f>
        <v/>
      </c>
      <c r="L61" s="27">
        <f>IF(C61="","",SUMIFS(tbl_Finance[Ex GST],tbl_Finance[Job Number],C61&amp;""))</f>
        <v/>
      </c>
      <c r="M61" s="27">
        <f>IF(C61="","",SUMIFS(tbl_Finance[Ex GST],tbl_Finance[Job Number],C61&amp;"",tbl_Finance[Xero Invoice No],"&lt;&gt;"))</f>
        <v/>
      </c>
      <c r="N61" s="27">
        <f>IF(C61="","",L61-M61)</f>
        <v/>
      </c>
      <c r="O61" s="24" t="n"/>
      <c r="P61" s="27">
        <f>IF(C61="","",IF(O61="",0,MAX(0,O61-L61)))</f>
        <v/>
      </c>
      <c r="Q61" s="26">
        <f>IF(C61="","",IF(K61=0,"not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R61" s="22" t="n"/>
      <c r="S61" s="26">
        <f>IF(R61="","",HYPERLINK(IF(LEFT(R61,4)="http",R61,set_QwilrBase&amp;R61),"Open quote"))</f>
        <v/>
      </c>
      <c r="T61" s="24" t="n"/>
      <c r="U61" s="24" t="n"/>
      <c r="V61" s="24" t="n"/>
      <c r="W61" s="26">
        <f>IF(C61="","",IF(N(T61)+N(U61)+N(V61)=0,"Not split",IF(ROUND(N(T61)+N(U61)+N(V61),2)=ROUND(L61+P61,2),"OK",IF(K61=0,"Not invoiced yet","MISMATCH"))))</f>
        <v/>
      </c>
      <c r="X61" s="24" t="n"/>
      <c r="Y61" s="24" t="n"/>
      <c r="Z61" s="24" t="n"/>
      <c r="AA61" s="27">
        <f>IF(C61="","",N(X61)+N(Y61)+N(Z61))</f>
        <v/>
      </c>
      <c r="AB61" s="27">
        <f>IF(C61="","",L61+P61-AA61)</f>
        <v/>
      </c>
      <c r="AC61" s="29">
        <f>IFERROR(AB61/(L61+P61),"")</f>
        <v/>
      </c>
      <c r="AD61" s="22" t="n"/>
    </row>
    <row r="62" ht="15" customHeight="1">
      <c r="A62" s="70">
        <f>IF(C62="","",IFERROR(IF(SUMPRODUCT(MAX((tbl_Finance[Job Number]&amp;""=C62&amp;"")*(tbl_Finance[Xero Invoice No]&lt;&gt;"")*tbl_Finance[Date]))=0,"",SUMPRODUCT(MAX((tbl_Finance[Job Number]&amp;""=C62&amp;"")*(tbl_Finance[Xero Invoice No]&lt;&gt;"")*tbl_Finance[Date]))),""))</f>
        <v/>
      </c>
      <c r="B62" s="26">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2" t="n"/>
      <c r="D62" s="26">
        <f>IF(C62="","",IF(COUNTIF(lst_Jobs,C62&amp;"")&gt;0,"OK","CHECK"))</f>
        <v/>
      </c>
      <c r="E62" s="26">
        <f>IF(C62="","",IFERROR(INDEX(lst_JobName,MATCH(C62&amp;"",lst_Jobs,0)),""))</f>
        <v/>
      </c>
      <c r="F62" s="22" t="n"/>
      <c r="G62" s="22" t="n"/>
      <c r="H62" s="22" t="n"/>
      <c r="I62" s="22" t="n"/>
      <c r="J62" s="22" t="n"/>
      <c r="K62" s="28">
        <f>IF(C62="","",COUNTIFS(tbl_Finance[Job Number],C62&amp;"",tbl_Finance[Ex GST],"&lt;&gt;"))</f>
        <v/>
      </c>
      <c r="L62" s="27">
        <f>IF(C62="","",SUMIFS(tbl_Finance[Ex GST],tbl_Finance[Job Number],C62&amp;""))</f>
        <v/>
      </c>
      <c r="M62" s="27">
        <f>IF(C62="","",SUMIFS(tbl_Finance[Ex GST],tbl_Finance[Job Number],C62&amp;"",tbl_Finance[Xero Invoice No],"&lt;&gt;"))</f>
        <v/>
      </c>
      <c r="N62" s="27">
        <f>IF(C62="","",L62-M62)</f>
        <v/>
      </c>
      <c r="O62" s="24" t="n"/>
      <c r="P62" s="27">
        <f>IF(C62="","",IF(O62="",0,MAX(0,O62-L62)))</f>
        <v/>
      </c>
      <c r="Q62" s="26">
        <f>IF(C62="","",IF(K62=0,"not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R62" s="22" t="n"/>
      <c r="S62" s="26">
        <f>IF(R62="","",HYPERLINK(IF(LEFT(R62,4)="http",R62,set_QwilrBase&amp;R62),"Open quote"))</f>
        <v/>
      </c>
      <c r="T62" s="24" t="n"/>
      <c r="U62" s="24" t="n"/>
      <c r="V62" s="24" t="n"/>
      <c r="W62" s="26">
        <f>IF(C62="","",IF(N(T62)+N(U62)+N(V62)=0,"Not split",IF(ROUND(N(T62)+N(U62)+N(V62),2)=ROUND(L62+P62,2),"OK",IF(K62=0,"Not invoiced yet","MISMATCH"))))</f>
        <v/>
      </c>
      <c r="X62" s="24" t="n"/>
      <c r="Y62" s="24" t="n"/>
      <c r="Z62" s="24" t="n"/>
      <c r="AA62" s="27">
        <f>IF(C62="","",N(X62)+N(Y62)+N(Z62))</f>
        <v/>
      </c>
      <c r="AB62" s="27">
        <f>IF(C62="","",L62+P62-AA62)</f>
        <v/>
      </c>
      <c r="AC62" s="29">
        <f>IFERROR(AB62/(L62+P62),"")</f>
        <v/>
      </c>
      <c r="AD62" s="22" t="n"/>
    </row>
    <row r="63" ht="15" customHeight="1">
      <c r="A63" s="70">
        <f>IF(C63="","",IFERROR(IF(SUMPRODUCT(MAX((tbl_Finance[Job Number]&amp;""=C63&amp;"")*(tbl_Finance[Xero Invoice No]&lt;&gt;"")*tbl_Finance[Date]))=0,"",SUMPRODUCT(MAX((tbl_Finance[Job Number]&amp;""=C63&amp;"")*(tbl_Finance[Xero Invoice No]&lt;&gt;"")*tbl_Finance[Date]))),""))</f>
        <v/>
      </c>
      <c r="B63" s="26">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2" t="n"/>
      <c r="D63" s="26">
        <f>IF(C63="","",IF(COUNTIF(lst_Jobs,C63&amp;"")&gt;0,"OK","CHECK"))</f>
        <v/>
      </c>
      <c r="E63" s="26">
        <f>IF(C63="","",IFERROR(INDEX(lst_JobName,MATCH(C63&amp;"",lst_Jobs,0)),""))</f>
        <v/>
      </c>
      <c r="F63" s="22" t="n"/>
      <c r="G63" s="22" t="n"/>
      <c r="H63" s="22" t="n"/>
      <c r="I63" s="22" t="n"/>
      <c r="J63" s="22" t="n"/>
      <c r="K63" s="28">
        <f>IF(C63="","",COUNTIFS(tbl_Finance[Job Number],C63&amp;"",tbl_Finance[Ex GST],"&lt;&gt;"))</f>
        <v/>
      </c>
      <c r="L63" s="27">
        <f>IF(C63="","",SUMIFS(tbl_Finance[Ex GST],tbl_Finance[Job Number],C63&amp;""))</f>
        <v/>
      </c>
      <c r="M63" s="27">
        <f>IF(C63="","",SUMIFS(tbl_Finance[Ex GST],tbl_Finance[Job Number],C63&amp;"",tbl_Finance[Xero Invoice No],"&lt;&gt;"))</f>
        <v/>
      </c>
      <c r="N63" s="27">
        <f>IF(C63="","",L63-M63)</f>
        <v/>
      </c>
      <c r="O63" s="24" t="n"/>
      <c r="P63" s="27">
        <f>IF(C63="","",IF(O63="",0,MAX(0,O63-L63)))</f>
        <v/>
      </c>
      <c r="Q63" s="26">
        <f>IF(C63="","",IF(K63=0,"not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R63" s="22" t="n"/>
      <c r="S63" s="26">
        <f>IF(R63="","",HYPERLINK(IF(LEFT(R63,4)="http",R63,set_QwilrBase&amp;R63),"Open quote"))</f>
        <v/>
      </c>
      <c r="T63" s="24" t="n"/>
      <c r="U63" s="24" t="n"/>
      <c r="V63" s="24" t="n"/>
      <c r="W63" s="26">
        <f>IF(C63="","",IF(N(T63)+N(U63)+N(V63)=0,"Not split",IF(ROUND(N(T63)+N(U63)+N(V63),2)=ROUND(L63+P63,2),"OK",IF(K63=0,"Not invoiced yet","MISMATCH"))))</f>
        <v/>
      </c>
      <c r="X63" s="24" t="n"/>
      <c r="Y63" s="24" t="n"/>
      <c r="Z63" s="24" t="n"/>
      <c r="AA63" s="27">
        <f>IF(C63="","",N(X63)+N(Y63)+N(Z63))</f>
        <v/>
      </c>
      <c r="AB63" s="27">
        <f>IF(C63="","",L63+P63-AA63)</f>
        <v/>
      </c>
      <c r="AC63" s="29">
        <f>IFERROR(AB63/(L63+P63),"")</f>
        <v/>
      </c>
      <c r="AD63" s="22" t="n"/>
    </row>
    <row r="64" ht="15" customHeight="1">
      <c r="A64" s="70">
        <f>IF(C64="","",IFERROR(IF(SUMPRODUCT(MAX((tbl_Finance[Job Number]&amp;""=C64&amp;"")*(tbl_Finance[Xero Invoice No]&lt;&gt;"")*tbl_Finance[Date]))=0,"",SUMPRODUCT(MAX((tbl_Finance[Job Number]&amp;""=C64&amp;"")*(tbl_Finance[Xero Invoice No]&lt;&gt;"")*tbl_Finance[Date]))),""))</f>
        <v/>
      </c>
      <c r="B64" s="26">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2" t="n"/>
      <c r="D64" s="26">
        <f>IF(C64="","",IF(COUNTIF(lst_Jobs,C64&amp;"")&gt;0,"OK","CHECK"))</f>
        <v/>
      </c>
      <c r="E64" s="26">
        <f>IF(C64="","",IFERROR(INDEX(lst_JobName,MATCH(C64&amp;"",lst_Jobs,0)),""))</f>
        <v/>
      </c>
      <c r="F64" s="22" t="n"/>
      <c r="G64" s="22" t="n"/>
      <c r="H64" s="22" t="n"/>
      <c r="I64" s="22" t="n"/>
      <c r="J64" s="22" t="n"/>
      <c r="K64" s="28">
        <f>IF(C64="","",COUNTIFS(tbl_Finance[Job Number],C64&amp;"",tbl_Finance[Ex GST],"&lt;&gt;"))</f>
        <v/>
      </c>
      <c r="L64" s="27">
        <f>IF(C64="","",SUMIFS(tbl_Finance[Ex GST],tbl_Finance[Job Number],C64&amp;""))</f>
        <v/>
      </c>
      <c r="M64" s="27">
        <f>IF(C64="","",SUMIFS(tbl_Finance[Ex GST],tbl_Finance[Job Number],C64&amp;"",tbl_Finance[Xero Invoice No],"&lt;&gt;"))</f>
        <v/>
      </c>
      <c r="N64" s="27">
        <f>IF(C64="","",L64-M64)</f>
        <v/>
      </c>
      <c r="O64" s="24" t="n"/>
      <c r="P64" s="27">
        <f>IF(C64="","",IF(O64="",0,MAX(0,O64-L64)))</f>
        <v/>
      </c>
      <c r="Q64" s="26">
        <f>IF(C64="","",IF(K64=0,"not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R64" s="22" t="n"/>
      <c r="S64" s="26">
        <f>IF(R64="","",HYPERLINK(IF(LEFT(R64,4)="http",R64,set_QwilrBase&amp;R64),"Open quote"))</f>
        <v/>
      </c>
      <c r="T64" s="24" t="n"/>
      <c r="U64" s="24" t="n"/>
      <c r="V64" s="24" t="n"/>
      <c r="W64" s="26">
        <f>IF(C64="","",IF(N(T64)+N(U64)+N(V64)=0,"Not split",IF(ROUND(N(T64)+N(U64)+N(V64),2)=ROUND(L64+P64,2),"OK",IF(K64=0,"Not invoiced yet","MISMATCH"))))</f>
        <v/>
      </c>
      <c r="X64" s="24" t="n"/>
      <c r="Y64" s="24" t="n"/>
      <c r="Z64" s="24" t="n"/>
      <c r="AA64" s="27">
        <f>IF(C64="","",N(X64)+N(Y64)+N(Z64))</f>
        <v/>
      </c>
      <c r="AB64" s="27">
        <f>IF(C64="","",L64+P64-AA64)</f>
        <v/>
      </c>
      <c r="AC64" s="29">
        <f>IFERROR(AB64/(L64+P64),"")</f>
        <v/>
      </c>
      <c r="AD64" s="22" t="n"/>
    </row>
    <row r="65" ht="15" customHeight="1">
      <c r="A65" s="70">
        <f>IF(C65="","",IFERROR(IF(SUMPRODUCT(MAX((tbl_Finance[Job Number]&amp;""=C65&amp;"")*(tbl_Finance[Xero Invoice No]&lt;&gt;"")*tbl_Finance[Date]))=0,"",SUMPRODUCT(MAX((tbl_Finance[Job Number]&amp;""=C65&amp;"")*(tbl_Finance[Xero Invoice No]&lt;&gt;"")*tbl_Finance[Date]))),""))</f>
        <v/>
      </c>
      <c r="B65" s="26">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2" t="n"/>
      <c r="D65" s="26">
        <f>IF(C65="","",IF(COUNTIF(lst_Jobs,C65&amp;"")&gt;0,"OK","CHECK"))</f>
        <v/>
      </c>
      <c r="E65" s="26">
        <f>IF(C65="","",IFERROR(INDEX(lst_JobName,MATCH(C65&amp;"",lst_Jobs,0)),""))</f>
        <v/>
      </c>
      <c r="F65" s="22" t="n"/>
      <c r="G65" s="22" t="n"/>
      <c r="H65" s="22" t="n"/>
      <c r="I65" s="22" t="n"/>
      <c r="J65" s="22" t="n"/>
      <c r="K65" s="28">
        <f>IF(C65="","",COUNTIFS(tbl_Finance[Job Number],C65&amp;"",tbl_Finance[Ex GST],"&lt;&gt;"))</f>
        <v/>
      </c>
      <c r="L65" s="27">
        <f>IF(C65="","",SUMIFS(tbl_Finance[Ex GST],tbl_Finance[Job Number],C65&amp;""))</f>
        <v/>
      </c>
      <c r="M65" s="27">
        <f>IF(C65="","",SUMIFS(tbl_Finance[Ex GST],tbl_Finance[Job Number],C65&amp;"",tbl_Finance[Xero Invoice No],"&lt;&gt;"))</f>
        <v/>
      </c>
      <c r="N65" s="27">
        <f>IF(C65="","",L65-M65)</f>
        <v/>
      </c>
      <c r="O65" s="24" t="n"/>
      <c r="P65" s="27">
        <f>IF(C65="","",IF(O65="",0,MAX(0,O65-L65)))</f>
        <v/>
      </c>
      <c r="Q65" s="26">
        <f>IF(C65="","",IF(K65=0,"not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R65" s="22" t="n"/>
      <c r="S65" s="26">
        <f>IF(R65="","",HYPERLINK(IF(LEFT(R65,4)="http",R65,set_QwilrBase&amp;R65),"Open quote"))</f>
        <v/>
      </c>
      <c r="T65" s="24" t="n"/>
      <c r="U65" s="24" t="n"/>
      <c r="V65" s="24" t="n"/>
      <c r="W65" s="26">
        <f>IF(C65="","",IF(N(T65)+N(U65)+N(V65)=0,"Not split",IF(ROUND(N(T65)+N(U65)+N(V65),2)=ROUND(L65+P65,2),"OK",IF(K65=0,"Not invoiced yet","MISMATCH"))))</f>
        <v/>
      </c>
      <c r="X65" s="24" t="n"/>
      <c r="Y65" s="24" t="n"/>
      <c r="Z65" s="24" t="n"/>
      <c r="AA65" s="27">
        <f>IF(C65="","",N(X65)+N(Y65)+N(Z65))</f>
        <v/>
      </c>
      <c r="AB65" s="27">
        <f>IF(C65="","",L65+P65-AA65)</f>
        <v/>
      </c>
      <c r="AC65" s="29">
        <f>IFERROR(AB65/(L65+P65),"")</f>
        <v/>
      </c>
      <c r="AD65" s="22" t="n"/>
    </row>
    <row r="66" ht="15" customHeight="1">
      <c r="A66" s="70">
        <f>IF(C66="","",IFERROR(IF(SUMPRODUCT(MAX((tbl_Finance[Job Number]&amp;""=C66&amp;"")*(tbl_Finance[Xero Invoice No]&lt;&gt;"")*tbl_Finance[Date]))=0,"",SUMPRODUCT(MAX((tbl_Finance[Job Number]&amp;""=C66&amp;"")*(tbl_Finance[Xero Invoice No]&lt;&gt;"")*tbl_Finance[Date]))),""))</f>
        <v/>
      </c>
      <c r="B66" s="26">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2" t="n"/>
      <c r="D66" s="26">
        <f>IF(C66="","",IF(COUNTIF(lst_Jobs,C66&amp;"")&gt;0,"OK","CHECK"))</f>
        <v/>
      </c>
      <c r="E66" s="26">
        <f>IF(C66="","",IFERROR(INDEX(lst_JobName,MATCH(C66&amp;"",lst_Jobs,0)),""))</f>
        <v/>
      </c>
      <c r="F66" s="22" t="n"/>
      <c r="G66" s="22" t="n"/>
      <c r="H66" s="22" t="n"/>
      <c r="I66" s="22" t="n"/>
      <c r="J66" s="22" t="n"/>
      <c r="K66" s="28">
        <f>IF(C66="","",COUNTIFS(tbl_Finance[Job Number],C66&amp;"",tbl_Finance[Ex GST],"&lt;&gt;"))</f>
        <v/>
      </c>
      <c r="L66" s="27">
        <f>IF(C66="","",SUMIFS(tbl_Finance[Ex GST],tbl_Finance[Job Number],C66&amp;""))</f>
        <v/>
      </c>
      <c r="M66" s="27">
        <f>IF(C66="","",SUMIFS(tbl_Finance[Ex GST],tbl_Finance[Job Number],C66&amp;"",tbl_Finance[Xero Invoice No],"&lt;&gt;"))</f>
        <v/>
      </c>
      <c r="N66" s="27">
        <f>IF(C66="","",L66-M66)</f>
        <v/>
      </c>
      <c r="O66" s="24" t="n"/>
      <c r="P66" s="27">
        <f>IF(C66="","",IF(O66="",0,MAX(0,O66-L66)))</f>
        <v/>
      </c>
      <c r="Q66" s="26">
        <f>IF(C66="","",IF(K66=0,"not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R66" s="22" t="n"/>
      <c r="S66" s="26">
        <f>IF(R66="","",HYPERLINK(IF(LEFT(R66,4)="http",R66,set_QwilrBase&amp;R66),"Open quote"))</f>
        <v/>
      </c>
      <c r="T66" s="24" t="n"/>
      <c r="U66" s="24" t="n"/>
      <c r="V66" s="24" t="n"/>
      <c r="W66" s="26">
        <f>IF(C66="","",IF(N(T66)+N(U66)+N(V66)=0,"Not split",IF(ROUND(N(T66)+N(U66)+N(V66),2)=ROUND(L66+P66,2),"OK",IF(K66=0,"Not invoiced yet","MISMATCH"))))</f>
        <v/>
      </c>
      <c r="X66" s="24" t="n"/>
      <c r="Y66" s="24" t="n"/>
      <c r="Z66" s="24" t="n"/>
      <c r="AA66" s="27">
        <f>IF(C66="","",N(X66)+N(Y66)+N(Z66))</f>
        <v/>
      </c>
      <c r="AB66" s="27">
        <f>IF(C66="","",L66+P66-AA66)</f>
        <v/>
      </c>
      <c r="AC66" s="29">
        <f>IFERROR(AB66/(L66+P66),"")</f>
        <v/>
      </c>
      <c r="AD66" s="22" t="n"/>
    </row>
    <row r="67" ht="15" customHeight="1">
      <c r="A67" s="70">
        <f>IF(C67="","",IFERROR(IF(SUMPRODUCT(MAX((tbl_Finance[Job Number]&amp;""=C67&amp;"")*(tbl_Finance[Xero Invoice No]&lt;&gt;"")*tbl_Finance[Date]))=0,"",SUMPRODUCT(MAX((tbl_Finance[Job Number]&amp;""=C67&amp;"")*(tbl_Finance[Xero Invoice No]&lt;&gt;"")*tbl_Finance[Date]))),""))</f>
        <v/>
      </c>
      <c r="B67" s="26">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2" t="n"/>
      <c r="D67" s="26">
        <f>IF(C67="","",IF(COUNTIF(lst_Jobs,C67&amp;"")&gt;0,"OK","CHECK"))</f>
        <v/>
      </c>
      <c r="E67" s="26">
        <f>IF(C67="","",IFERROR(INDEX(lst_JobName,MATCH(C67&amp;"",lst_Jobs,0)),""))</f>
        <v/>
      </c>
      <c r="F67" s="22" t="n"/>
      <c r="G67" s="22" t="n"/>
      <c r="H67" s="22" t="n"/>
      <c r="I67" s="22" t="n"/>
      <c r="J67" s="22" t="n"/>
      <c r="K67" s="28">
        <f>IF(C67="","",COUNTIFS(tbl_Finance[Job Number],C67&amp;"",tbl_Finance[Ex GST],"&lt;&gt;"))</f>
        <v/>
      </c>
      <c r="L67" s="27">
        <f>IF(C67="","",SUMIFS(tbl_Finance[Ex GST],tbl_Finance[Job Number],C67&amp;""))</f>
        <v/>
      </c>
      <c r="M67" s="27">
        <f>IF(C67="","",SUMIFS(tbl_Finance[Ex GST],tbl_Finance[Job Number],C67&amp;"",tbl_Finance[Xero Invoice No],"&lt;&gt;"))</f>
        <v/>
      </c>
      <c r="N67" s="27">
        <f>IF(C67="","",L67-M67)</f>
        <v/>
      </c>
      <c r="O67" s="24" t="n"/>
      <c r="P67" s="27">
        <f>IF(C67="","",IF(O67="",0,MAX(0,O67-L67)))</f>
        <v/>
      </c>
      <c r="Q67" s="26">
        <f>IF(C67="","",IF(K67=0,"not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R67" s="22" t="n"/>
      <c r="S67" s="26">
        <f>IF(R67="","",HYPERLINK(IF(LEFT(R67,4)="http",R67,set_QwilrBase&amp;R67),"Open quote"))</f>
        <v/>
      </c>
      <c r="T67" s="24" t="n"/>
      <c r="U67" s="24" t="n"/>
      <c r="V67" s="24" t="n"/>
      <c r="W67" s="26">
        <f>IF(C67="","",IF(N(T67)+N(U67)+N(V67)=0,"Not split",IF(ROUND(N(T67)+N(U67)+N(V67),2)=ROUND(L67+P67,2),"OK",IF(K67=0,"Not invoiced yet","MISMATCH"))))</f>
        <v/>
      </c>
      <c r="X67" s="24" t="n"/>
      <c r="Y67" s="24" t="n"/>
      <c r="Z67" s="24" t="n"/>
      <c r="AA67" s="27">
        <f>IF(C67="","",N(X67)+N(Y67)+N(Z67))</f>
        <v/>
      </c>
      <c r="AB67" s="27">
        <f>IF(C67="","",L67+P67-AA67)</f>
        <v/>
      </c>
      <c r="AC67" s="29">
        <f>IFERROR(AB67/(L67+P67),"")</f>
        <v/>
      </c>
      <c r="AD67" s="22" t="n"/>
    </row>
    <row r="68" ht="15" customHeight="1">
      <c r="A68" s="70">
        <f>IF(C68="","",IFERROR(IF(SUMPRODUCT(MAX((tbl_Finance[Job Number]&amp;""=C68&amp;"")*(tbl_Finance[Xero Invoice No]&lt;&gt;"")*tbl_Finance[Date]))=0,"",SUMPRODUCT(MAX((tbl_Finance[Job Number]&amp;""=C68&amp;"")*(tbl_Finance[Xero Invoice No]&lt;&gt;"")*tbl_Finance[Date]))),""))</f>
        <v/>
      </c>
      <c r="B68" s="26">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2" t="n"/>
      <c r="D68" s="26">
        <f>IF(C68="","",IF(COUNTIF(lst_Jobs,C68&amp;"")&gt;0,"OK","CHECK"))</f>
        <v/>
      </c>
      <c r="E68" s="26">
        <f>IF(C68="","",IFERROR(INDEX(lst_JobName,MATCH(C68&amp;"",lst_Jobs,0)),""))</f>
        <v/>
      </c>
      <c r="F68" s="22" t="n"/>
      <c r="G68" s="22" t="n"/>
      <c r="H68" s="22" t="n"/>
      <c r="I68" s="22" t="n"/>
      <c r="J68" s="22" t="n"/>
      <c r="K68" s="28">
        <f>IF(C68="","",COUNTIFS(tbl_Finance[Job Number],C68&amp;"",tbl_Finance[Ex GST],"&lt;&gt;"))</f>
        <v/>
      </c>
      <c r="L68" s="27">
        <f>IF(C68="","",SUMIFS(tbl_Finance[Ex GST],tbl_Finance[Job Number],C68&amp;""))</f>
        <v/>
      </c>
      <c r="M68" s="27">
        <f>IF(C68="","",SUMIFS(tbl_Finance[Ex GST],tbl_Finance[Job Number],C68&amp;"",tbl_Finance[Xero Invoice No],"&lt;&gt;"))</f>
        <v/>
      </c>
      <c r="N68" s="27">
        <f>IF(C68="","",L68-M68)</f>
        <v/>
      </c>
      <c r="O68" s="24" t="n"/>
      <c r="P68" s="27">
        <f>IF(C68="","",IF(O68="",0,MAX(0,O68-L68)))</f>
        <v/>
      </c>
      <c r="Q68" s="26">
        <f>IF(C68="","",IF(K68=0,"not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R68" s="22" t="n"/>
      <c r="S68" s="26">
        <f>IF(R68="","",HYPERLINK(IF(LEFT(R68,4)="http",R68,set_QwilrBase&amp;R68),"Open quote"))</f>
        <v/>
      </c>
      <c r="T68" s="24" t="n"/>
      <c r="U68" s="24" t="n"/>
      <c r="V68" s="24" t="n"/>
      <c r="W68" s="26">
        <f>IF(C68="","",IF(N(T68)+N(U68)+N(V68)=0,"Not split",IF(ROUND(N(T68)+N(U68)+N(V68),2)=ROUND(L68+P68,2),"OK",IF(K68=0,"Not invoiced yet","MISMATCH"))))</f>
        <v/>
      </c>
      <c r="X68" s="24" t="n"/>
      <c r="Y68" s="24" t="n"/>
      <c r="Z68" s="24" t="n"/>
      <c r="AA68" s="27">
        <f>IF(C68="","",N(X68)+N(Y68)+N(Z68))</f>
        <v/>
      </c>
      <c r="AB68" s="27">
        <f>IF(C68="","",L68+P68-AA68)</f>
        <v/>
      </c>
      <c r="AC68" s="29">
        <f>IFERROR(AB68/(L68+P68),"")</f>
        <v/>
      </c>
      <c r="AD68" s="22" t="n"/>
    </row>
    <row r="69" ht="15" customHeight="1">
      <c r="A69" s="70">
        <f>IF(C69="","",IFERROR(IF(SUMPRODUCT(MAX((tbl_Finance[Job Number]&amp;""=C69&amp;"")*(tbl_Finance[Xero Invoice No]&lt;&gt;"")*tbl_Finance[Date]))=0,"",SUMPRODUCT(MAX((tbl_Finance[Job Number]&amp;""=C69&amp;"")*(tbl_Finance[Xero Invoice No]&lt;&gt;"")*tbl_Finance[Date]))),""))</f>
        <v/>
      </c>
      <c r="B69" s="26">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2" t="n"/>
      <c r="D69" s="26">
        <f>IF(C69="","",IF(COUNTIF(lst_Jobs,C69&amp;"")&gt;0,"OK","CHECK"))</f>
        <v/>
      </c>
      <c r="E69" s="26">
        <f>IF(C69="","",IFERROR(INDEX(lst_JobName,MATCH(C69&amp;"",lst_Jobs,0)),""))</f>
        <v/>
      </c>
      <c r="F69" s="22" t="n"/>
      <c r="G69" s="22" t="n"/>
      <c r="H69" s="22" t="n"/>
      <c r="I69" s="22" t="n"/>
      <c r="J69" s="22" t="n"/>
      <c r="K69" s="28">
        <f>IF(C69="","",COUNTIFS(tbl_Finance[Job Number],C69&amp;"",tbl_Finance[Ex GST],"&lt;&gt;"))</f>
        <v/>
      </c>
      <c r="L69" s="27">
        <f>IF(C69="","",SUMIFS(tbl_Finance[Ex GST],tbl_Finance[Job Number],C69&amp;""))</f>
        <v/>
      </c>
      <c r="M69" s="27">
        <f>IF(C69="","",SUMIFS(tbl_Finance[Ex GST],tbl_Finance[Job Number],C69&amp;"",tbl_Finance[Xero Invoice No],"&lt;&gt;"))</f>
        <v/>
      </c>
      <c r="N69" s="27">
        <f>IF(C69="","",L69-M69)</f>
        <v/>
      </c>
      <c r="O69" s="24" t="n"/>
      <c r="P69" s="27">
        <f>IF(C69="","",IF(O69="",0,MAX(0,O69-L69)))</f>
        <v/>
      </c>
      <c r="Q69" s="26">
        <f>IF(C69="","",IF(K69=0,"not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R69" s="22" t="n"/>
      <c r="S69" s="26">
        <f>IF(R69="","",HYPERLINK(IF(LEFT(R69,4)="http",R69,set_QwilrBase&amp;R69),"Open quote"))</f>
        <v/>
      </c>
      <c r="T69" s="24" t="n"/>
      <c r="U69" s="24" t="n"/>
      <c r="V69" s="24" t="n"/>
      <c r="W69" s="26">
        <f>IF(C69="","",IF(N(T69)+N(U69)+N(V69)=0,"Not split",IF(ROUND(N(T69)+N(U69)+N(V69),2)=ROUND(L69+P69,2),"OK",IF(K69=0,"Not invoiced yet","MISMATCH"))))</f>
        <v/>
      </c>
      <c r="X69" s="24" t="n"/>
      <c r="Y69" s="24" t="n"/>
      <c r="Z69" s="24" t="n"/>
      <c r="AA69" s="27">
        <f>IF(C69="","",N(X69)+N(Y69)+N(Z69))</f>
        <v/>
      </c>
      <c r="AB69" s="27">
        <f>IF(C69="","",L69+P69-AA69)</f>
        <v/>
      </c>
      <c r="AC69" s="29">
        <f>IFERROR(AB69/(L69+P69),"")</f>
        <v/>
      </c>
      <c r="AD69" s="22" t="n"/>
    </row>
    <row r="70" ht="15" customHeight="1">
      <c r="A70" s="70">
        <f>IF(C70="","",IFERROR(IF(SUMPRODUCT(MAX((tbl_Finance[Job Number]&amp;""=C70&amp;"")*(tbl_Finance[Xero Invoice No]&lt;&gt;"")*tbl_Finance[Date]))=0,"",SUMPRODUCT(MAX((tbl_Finance[Job Number]&amp;""=C70&amp;"")*(tbl_Finance[Xero Invoice No]&lt;&gt;"")*tbl_Finance[Date]))),""))</f>
        <v/>
      </c>
      <c r="B70" s="26">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2" t="n"/>
      <c r="D70" s="26">
        <f>IF(C70="","",IF(COUNTIF(lst_Jobs,C70&amp;"")&gt;0,"OK","CHECK"))</f>
        <v/>
      </c>
      <c r="E70" s="26">
        <f>IF(C70="","",IFERROR(INDEX(lst_JobName,MATCH(C70&amp;"",lst_Jobs,0)),""))</f>
        <v/>
      </c>
      <c r="F70" s="22" t="n"/>
      <c r="G70" s="22" t="n"/>
      <c r="H70" s="22" t="n"/>
      <c r="I70" s="22" t="n"/>
      <c r="J70" s="22" t="n"/>
      <c r="K70" s="28">
        <f>IF(C70="","",COUNTIFS(tbl_Finance[Job Number],C70&amp;"",tbl_Finance[Ex GST],"&lt;&gt;"))</f>
        <v/>
      </c>
      <c r="L70" s="27">
        <f>IF(C70="","",SUMIFS(tbl_Finance[Ex GST],tbl_Finance[Job Number],C70&amp;""))</f>
        <v/>
      </c>
      <c r="M70" s="27">
        <f>IF(C70="","",SUMIFS(tbl_Finance[Ex GST],tbl_Finance[Job Number],C70&amp;"",tbl_Finance[Xero Invoice No],"&lt;&gt;"))</f>
        <v/>
      </c>
      <c r="N70" s="27">
        <f>IF(C70="","",L70-M70)</f>
        <v/>
      </c>
      <c r="O70" s="24" t="n"/>
      <c r="P70" s="27">
        <f>IF(C70="","",IF(O70="",0,MAX(0,O70-L70)))</f>
        <v/>
      </c>
      <c r="Q70" s="26">
        <f>IF(C70="","",IF(K70=0,"not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R70" s="22" t="n"/>
      <c r="S70" s="26">
        <f>IF(R70="","",HYPERLINK(IF(LEFT(R70,4)="http",R70,set_QwilrBase&amp;R70),"Open quote"))</f>
        <v/>
      </c>
      <c r="T70" s="24" t="n"/>
      <c r="U70" s="24" t="n"/>
      <c r="V70" s="24" t="n"/>
      <c r="W70" s="26">
        <f>IF(C70="","",IF(N(T70)+N(U70)+N(V70)=0,"Not split",IF(ROUND(N(T70)+N(U70)+N(V70),2)=ROUND(L70+P70,2),"OK",IF(K70=0,"Not invoiced yet","MISMATCH"))))</f>
        <v/>
      </c>
      <c r="X70" s="24" t="n"/>
      <c r="Y70" s="24" t="n"/>
      <c r="Z70" s="24" t="n"/>
      <c r="AA70" s="27">
        <f>IF(C70="","",N(X70)+N(Y70)+N(Z70))</f>
        <v/>
      </c>
      <c r="AB70" s="27">
        <f>IF(C70="","",L70+P70-AA70)</f>
        <v/>
      </c>
      <c r="AC70" s="29">
        <f>IFERROR(AB70/(L70+P70),"")</f>
        <v/>
      </c>
      <c r="AD70" s="22" t="n"/>
    </row>
    <row r="71" ht="15" customHeight="1">
      <c r="A71" s="70">
        <f>IF(C71="","",IFERROR(IF(SUMPRODUCT(MAX((tbl_Finance[Job Number]&amp;""=C71&amp;"")*(tbl_Finance[Xero Invoice No]&lt;&gt;"")*tbl_Finance[Date]))=0,"",SUMPRODUCT(MAX((tbl_Finance[Job Number]&amp;""=C71&amp;"")*(tbl_Finance[Xero Invoice No]&lt;&gt;"")*tbl_Finance[Date]))),""))</f>
        <v/>
      </c>
      <c r="B71" s="26">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2" t="n"/>
      <c r="D71" s="26">
        <f>IF(C71="","",IF(COUNTIF(lst_Jobs,C71&amp;"")&gt;0,"OK","CHECK"))</f>
        <v/>
      </c>
      <c r="E71" s="26">
        <f>IF(C71="","",IFERROR(INDEX(lst_JobName,MATCH(C71&amp;"",lst_Jobs,0)),""))</f>
        <v/>
      </c>
      <c r="F71" s="22" t="n"/>
      <c r="G71" s="22" t="n"/>
      <c r="H71" s="22" t="n"/>
      <c r="I71" s="22" t="n"/>
      <c r="J71" s="22" t="n"/>
      <c r="K71" s="28">
        <f>IF(C71="","",COUNTIFS(tbl_Finance[Job Number],C71&amp;"",tbl_Finance[Ex GST],"&lt;&gt;"))</f>
        <v/>
      </c>
      <c r="L71" s="27">
        <f>IF(C71="","",SUMIFS(tbl_Finance[Ex GST],tbl_Finance[Job Number],C71&amp;""))</f>
        <v/>
      </c>
      <c r="M71" s="27">
        <f>IF(C71="","",SUMIFS(tbl_Finance[Ex GST],tbl_Finance[Job Number],C71&amp;"",tbl_Finance[Xero Invoice No],"&lt;&gt;"))</f>
        <v/>
      </c>
      <c r="N71" s="27">
        <f>IF(C71="","",L71-M71)</f>
        <v/>
      </c>
      <c r="O71" s="24" t="n"/>
      <c r="P71" s="27">
        <f>IF(C71="","",IF(O71="",0,MAX(0,O71-L71)))</f>
        <v/>
      </c>
      <c r="Q71" s="26">
        <f>IF(C71="","",IF(K71=0,"not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R71" s="22" t="n"/>
      <c r="S71" s="26">
        <f>IF(R71="","",HYPERLINK(IF(LEFT(R71,4)="http",R71,set_QwilrBase&amp;R71),"Open quote"))</f>
        <v/>
      </c>
      <c r="T71" s="24" t="n"/>
      <c r="U71" s="24" t="n"/>
      <c r="V71" s="24" t="n"/>
      <c r="W71" s="26">
        <f>IF(C71="","",IF(N(T71)+N(U71)+N(V71)=0,"Not split",IF(ROUND(N(T71)+N(U71)+N(V71),2)=ROUND(L71+P71,2),"OK",IF(K71=0,"Not invoiced yet","MISMATCH"))))</f>
        <v/>
      </c>
      <c r="X71" s="24" t="n"/>
      <c r="Y71" s="24" t="n"/>
      <c r="Z71" s="24" t="n"/>
      <c r="AA71" s="27">
        <f>IF(C71="","",N(X71)+N(Y71)+N(Z71))</f>
        <v/>
      </c>
      <c r="AB71" s="27">
        <f>IF(C71="","",L71+P71-AA71)</f>
        <v/>
      </c>
      <c r="AC71" s="29">
        <f>IFERROR(AB71/(L71+P71),"")</f>
        <v/>
      </c>
      <c r="AD71" s="22" t="n"/>
    </row>
    <row r="72" ht="15" customHeight="1">
      <c r="A72" s="70">
        <f>IF(C72="","",IFERROR(IF(SUMPRODUCT(MAX((tbl_Finance[Job Number]&amp;""=C72&amp;"")*(tbl_Finance[Xero Invoice No]&lt;&gt;"")*tbl_Finance[Date]))=0,"",SUMPRODUCT(MAX((tbl_Finance[Job Number]&amp;""=C72&amp;"")*(tbl_Finance[Xero Invoice No]&lt;&gt;"")*tbl_Finance[Date]))),""))</f>
        <v/>
      </c>
      <c r="B72" s="26">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2" t="n"/>
      <c r="D72" s="26">
        <f>IF(C72="","",IF(COUNTIF(lst_Jobs,C72&amp;"")&gt;0,"OK","CHECK"))</f>
        <v/>
      </c>
      <c r="E72" s="26">
        <f>IF(C72="","",IFERROR(INDEX(lst_JobName,MATCH(C72&amp;"",lst_Jobs,0)),""))</f>
        <v/>
      </c>
      <c r="F72" s="22" t="n"/>
      <c r="G72" s="22" t="n"/>
      <c r="H72" s="22" t="n"/>
      <c r="I72" s="22" t="n"/>
      <c r="J72" s="22" t="n"/>
      <c r="K72" s="28">
        <f>IF(C72="","",COUNTIFS(tbl_Finance[Job Number],C72&amp;"",tbl_Finance[Ex GST],"&lt;&gt;"))</f>
        <v/>
      </c>
      <c r="L72" s="27">
        <f>IF(C72="","",SUMIFS(tbl_Finance[Ex GST],tbl_Finance[Job Number],C72&amp;""))</f>
        <v/>
      </c>
      <c r="M72" s="27">
        <f>IF(C72="","",SUMIFS(tbl_Finance[Ex GST],tbl_Finance[Job Number],C72&amp;"",tbl_Finance[Xero Invoice No],"&lt;&gt;"))</f>
        <v/>
      </c>
      <c r="N72" s="27">
        <f>IF(C72="","",L72-M72)</f>
        <v/>
      </c>
      <c r="O72" s="24" t="n"/>
      <c r="P72" s="27">
        <f>IF(C72="","",IF(O72="",0,MAX(0,O72-L72)))</f>
        <v/>
      </c>
      <c r="Q72" s="26">
        <f>IF(C72="","",IF(K72=0,"not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R72" s="22" t="n"/>
      <c r="S72" s="26">
        <f>IF(R72="","",HYPERLINK(IF(LEFT(R72,4)="http",R72,set_QwilrBase&amp;R72),"Open quote"))</f>
        <v/>
      </c>
      <c r="T72" s="24" t="n"/>
      <c r="U72" s="24" t="n"/>
      <c r="V72" s="24" t="n"/>
      <c r="W72" s="26">
        <f>IF(C72="","",IF(N(T72)+N(U72)+N(V72)=0,"Not split",IF(ROUND(N(T72)+N(U72)+N(V72),2)=ROUND(L72+P72,2),"OK",IF(K72=0,"Not invoiced yet","MISMATCH"))))</f>
        <v/>
      </c>
      <c r="X72" s="24" t="n"/>
      <c r="Y72" s="24" t="n"/>
      <c r="Z72" s="24" t="n"/>
      <c r="AA72" s="27">
        <f>IF(C72="","",N(X72)+N(Y72)+N(Z72))</f>
        <v/>
      </c>
      <c r="AB72" s="27">
        <f>IF(C72="","",L72+P72-AA72)</f>
        <v/>
      </c>
      <c r="AC72" s="29">
        <f>IFERROR(AB72/(L72+P72),"")</f>
        <v/>
      </c>
      <c r="AD72" s="22" t="n"/>
    </row>
    <row r="73" ht="15" customHeight="1">
      <c r="A73" s="70">
        <f>IF(C73="","",IFERROR(IF(SUMPRODUCT(MAX((tbl_Finance[Job Number]&amp;""=C73&amp;"")*(tbl_Finance[Xero Invoice No]&lt;&gt;"")*tbl_Finance[Date]))=0,"",SUMPRODUCT(MAX((tbl_Finance[Job Number]&amp;""=C73&amp;"")*(tbl_Finance[Xero Invoice No]&lt;&gt;"")*tbl_Finance[Date]))),""))</f>
        <v/>
      </c>
      <c r="B73" s="26">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2" t="n"/>
      <c r="D73" s="26">
        <f>IF(C73="","",IF(COUNTIF(lst_Jobs,C73&amp;"")&gt;0,"OK","CHECK"))</f>
        <v/>
      </c>
      <c r="E73" s="26">
        <f>IF(C73="","",IFERROR(INDEX(lst_JobName,MATCH(C73&amp;"",lst_Jobs,0)),""))</f>
        <v/>
      </c>
      <c r="F73" s="22" t="n"/>
      <c r="G73" s="22" t="n"/>
      <c r="H73" s="22" t="n"/>
      <c r="I73" s="22" t="n"/>
      <c r="J73" s="22" t="n"/>
      <c r="K73" s="28">
        <f>IF(C73="","",COUNTIFS(tbl_Finance[Job Number],C73&amp;"",tbl_Finance[Ex GST],"&lt;&gt;"))</f>
        <v/>
      </c>
      <c r="L73" s="27">
        <f>IF(C73="","",SUMIFS(tbl_Finance[Ex GST],tbl_Finance[Job Number],C73&amp;""))</f>
        <v/>
      </c>
      <c r="M73" s="27">
        <f>IF(C73="","",SUMIFS(tbl_Finance[Ex GST],tbl_Finance[Job Number],C73&amp;"",tbl_Finance[Xero Invoice No],"&lt;&gt;"))</f>
        <v/>
      </c>
      <c r="N73" s="27">
        <f>IF(C73="","",L73-M73)</f>
        <v/>
      </c>
      <c r="O73" s="24" t="n"/>
      <c r="P73" s="27">
        <f>IF(C73="","",IF(O73="",0,MAX(0,O73-L73)))</f>
        <v/>
      </c>
      <c r="Q73" s="26">
        <f>IF(C73="","",IF(K73=0,"not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R73" s="22" t="n"/>
      <c r="S73" s="26">
        <f>IF(R73="","",HYPERLINK(IF(LEFT(R73,4)="http",R73,set_QwilrBase&amp;R73),"Open quote"))</f>
        <v/>
      </c>
      <c r="T73" s="24" t="n"/>
      <c r="U73" s="24" t="n"/>
      <c r="V73" s="24" t="n"/>
      <c r="W73" s="26">
        <f>IF(C73="","",IF(N(T73)+N(U73)+N(V73)=0,"Not split",IF(ROUND(N(T73)+N(U73)+N(V73),2)=ROUND(L73+P73,2),"OK",IF(K73=0,"Not invoiced yet","MISMATCH"))))</f>
        <v/>
      </c>
      <c r="X73" s="24" t="n"/>
      <c r="Y73" s="24" t="n"/>
      <c r="Z73" s="24" t="n"/>
      <c r="AA73" s="27">
        <f>IF(C73="","",N(X73)+N(Y73)+N(Z73))</f>
        <v/>
      </c>
      <c r="AB73" s="27">
        <f>IF(C73="","",L73+P73-AA73)</f>
        <v/>
      </c>
      <c r="AC73" s="29">
        <f>IFERROR(AB73/(L73+P73),"")</f>
        <v/>
      </c>
      <c r="AD73" s="22" t="n"/>
    </row>
    <row r="74" ht="15" customHeight="1">
      <c r="A74" s="70">
        <f>IF(C74="","",IFERROR(IF(SUMPRODUCT(MAX((tbl_Finance[Job Number]&amp;""=C74&amp;"")*(tbl_Finance[Xero Invoice No]&lt;&gt;"")*tbl_Finance[Date]))=0,"",SUMPRODUCT(MAX((tbl_Finance[Job Number]&amp;""=C74&amp;"")*(tbl_Finance[Xero Invoice No]&lt;&gt;"")*tbl_Finance[Date]))),""))</f>
        <v/>
      </c>
      <c r="B74" s="26">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2" t="n"/>
      <c r="D74" s="26">
        <f>IF(C74="","",IF(COUNTIF(lst_Jobs,C74&amp;"")&gt;0,"OK","CHECK"))</f>
        <v/>
      </c>
      <c r="E74" s="26">
        <f>IF(C74="","",IFERROR(INDEX(lst_JobName,MATCH(C74&amp;"",lst_Jobs,0)),""))</f>
        <v/>
      </c>
      <c r="F74" s="22" t="n"/>
      <c r="G74" s="22" t="n"/>
      <c r="H74" s="22" t="n"/>
      <c r="I74" s="22" t="n"/>
      <c r="J74" s="22" t="n"/>
      <c r="K74" s="28">
        <f>IF(C74="","",COUNTIFS(tbl_Finance[Job Number],C74&amp;"",tbl_Finance[Ex GST],"&lt;&gt;"))</f>
        <v/>
      </c>
      <c r="L74" s="27">
        <f>IF(C74="","",SUMIFS(tbl_Finance[Ex GST],tbl_Finance[Job Number],C74&amp;""))</f>
        <v/>
      </c>
      <c r="M74" s="27">
        <f>IF(C74="","",SUMIFS(tbl_Finance[Ex GST],tbl_Finance[Job Number],C74&amp;"",tbl_Finance[Xero Invoice No],"&lt;&gt;"))</f>
        <v/>
      </c>
      <c r="N74" s="27">
        <f>IF(C74="","",L74-M74)</f>
        <v/>
      </c>
      <c r="O74" s="24" t="n"/>
      <c r="P74" s="27">
        <f>IF(C74="","",IF(O74="",0,MAX(0,O74-L74)))</f>
        <v/>
      </c>
      <c r="Q74" s="26">
        <f>IF(C74="","",IF(K74=0,"not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R74" s="22" t="n"/>
      <c r="S74" s="26">
        <f>IF(R74="","",HYPERLINK(IF(LEFT(R74,4)="http",R74,set_QwilrBase&amp;R74),"Open quote"))</f>
        <v/>
      </c>
      <c r="T74" s="24" t="n"/>
      <c r="U74" s="24" t="n"/>
      <c r="V74" s="24" t="n"/>
      <c r="W74" s="26">
        <f>IF(C74="","",IF(N(T74)+N(U74)+N(V74)=0,"Not split",IF(ROUND(N(T74)+N(U74)+N(V74),2)=ROUND(L74+P74,2),"OK",IF(K74=0,"Not invoiced yet","MISMATCH"))))</f>
        <v/>
      </c>
      <c r="X74" s="24" t="n"/>
      <c r="Y74" s="24" t="n"/>
      <c r="Z74" s="24" t="n"/>
      <c r="AA74" s="27">
        <f>IF(C74="","",N(X74)+N(Y74)+N(Z74))</f>
        <v/>
      </c>
      <c r="AB74" s="27">
        <f>IF(C74="","",L74+P74-AA74)</f>
        <v/>
      </c>
      <c r="AC74" s="29">
        <f>IFERROR(AB74/(L74+P74),"")</f>
        <v/>
      </c>
      <c r="AD74" s="22" t="n"/>
    </row>
    <row r="75" ht="15" customHeight="1">
      <c r="A75" s="70">
        <f>IF(C75="","",IFERROR(IF(SUMPRODUCT(MAX((tbl_Finance[Job Number]&amp;""=C75&amp;"")*(tbl_Finance[Xero Invoice No]&lt;&gt;"")*tbl_Finance[Date]))=0,"",SUMPRODUCT(MAX((tbl_Finance[Job Number]&amp;""=C75&amp;"")*(tbl_Finance[Xero Invoice No]&lt;&gt;"")*tbl_Finance[Date]))),""))</f>
        <v/>
      </c>
      <c r="B75" s="26">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2" t="n"/>
      <c r="D75" s="26">
        <f>IF(C75="","",IF(COUNTIF(lst_Jobs,C75&amp;"")&gt;0,"OK","CHECK"))</f>
        <v/>
      </c>
      <c r="E75" s="26">
        <f>IF(C75="","",IFERROR(INDEX(lst_JobName,MATCH(C75&amp;"",lst_Jobs,0)),""))</f>
        <v/>
      </c>
      <c r="F75" s="22" t="n"/>
      <c r="G75" s="22" t="n"/>
      <c r="H75" s="22" t="n"/>
      <c r="I75" s="22" t="n"/>
      <c r="J75" s="22" t="n"/>
      <c r="K75" s="28">
        <f>IF(C75="","",COUNTIFS(tbl_Finance[Job Number],C75&amp;"",tbl_Finance[Ex GST],"&lt;&gt;"))</f>
        <v/>
      </c>
      <c r="L75" s="27">
        <f>IF(C75="","",SUMIFS(tbl_Finance[Ex GST],tbl_Finance[Job Number],C75&amp;""))</f>
        <v/>
      </c>
      <c r="M75" s="27">
        <f>IF(C75="","",SUMIFS(tbl_Finance[Ex GST],tbl_Finance[Job Number],C75&amp;"",tbl_Finance[Xero Invoice No],"&lt;&gt;"))</f>
        <v/>
      </c>
      <c r="N75" s="27">
        <f>IF(C75="","",L75-M75)</f>
        <v/>
      </c>
      <c r="O75" s="24" t="n"/>
      <c r="P75" s="27">
        <f>IF(C75="","",IF(O75="",0,MAX(0,O75-L75)))</f>
        <v/>
      </c>
      <c r="Q75" s="26">
        <f>IF(C75="","",IF(K75=0,"not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R75" s="22" t="n"/>
      <c r="S75" s="26">
        <f>IF(R75="","",HYPERLINK(IF(LEFT(R75,4)="http",R75,set_QwilrBase&amp;R75),"Open quote"))</f>
        <v/>
      </c>
      <c r="T75" s="24" t="n"/>
      <c r="U75" s="24" t="n"/>
      <c r="V75" s="24" t="n"/>
      <c r="W75" s="26">
        <f>IF(C75="","",IF(N(T75)+N(U75)+N(V75)=0,"Not split",IF(ROUND(N(T75)+N(U75)+N(V75),2)=ROUND(L75+P75,2),"OK",IF(K75=0,"Not invoiced yet","MISMATCH"))))</f>
        <v/>
      </c>
      <c r="X75" s="24" t="n"/>
      <c r="Y75" s="24" t="n"/>
      <c r="Z75" s="24" t="n"/>
      <c r="AA75" s="27">
        <f>IF(C75="","",N(X75)+N(Y75)+N(Z75))</f>
        <v/>
      </c>
      <c r="AB75" s="27">
        <f>IF(C75="","",L75+P75-AA75)</f>
        <v/>
      </c>
      <c r="AC75" s="29">
        <f>IFERROR(AB75/(L75+P75),"")</f>
        <v/>
      </c>
      <c r="AD75" s="22" t="n"/>
    </row>
    <row r="76" ht="15" customHeight="1">
      <c r="A76" s="70">
        <f>IF(C76="","",IFERROR(IF(SUMPRODUCT(MAX((tbl_Finance[Job Number]&amp;""=C76&amp;"")*(tbl_Finance[Xero Invoice No]&lt;&gt;"")*tbl_Finance[Date]))=0,"",SUMPRODUCT(MAX((tbl_Finance[Job Number]&amp;""=C76&amp;"")*(tbl_Finance[Xero Invoice No]&lt;&gt;"")*tbl_Finance[Date]))),""))</f>
        <v/>
      </c>
      <c r="B76" s="26">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2" t="n"/>
      <c r="D76" s="26">
        <f>IF(C76="","",IF(COUNTIF(lst_Jobs,C76&amp;"")&gt;0,"OK","CHECK"))</f>
        <v/>
      </c>
      <c r="E76" s="26">
        <f>IF(C76="","",IFERROR(INDEX(lst_JobName,MATCH(C76&amp;"",lst_Jobs,0)),""))</f>
        <v/>
      </c>
      <c r="F76" s="22" t="n"/>
      <c r="G76" s="22" t="n"/>
      <c r="H76" s="22" t="n"/>
      <c r="I76" s="22" t="n"/>
      <c r="J76" s="22" t="n"/>
      <c r="K76" s="28">
        <f>IF(C76="","",COUNTIFS(tbl_Finance[Job Number],C76&amp;"",tbl_Finance[Ex GST],"&lt;&gt;"))</f>
        <v/>
      </c>
      <c r="L76" s="27">
        <f>IF(C76="","",SUMIFS(tbl_Finance[Ex GST],tbl_Finance[Job Number],C76&amp;""))</f>
        <v/>
      </c>
      <c r="M76" s="27">
        <f>IF(C76="","",SUMIFS(tbl_Finance[Ex GST],tbl_Finance[Job Number],C76&amp;"",tbl_Finance[Xero Invoice No],"&lt;&gt;"))</f>
        <v/>
      </c>
      <c r="N76" s="27">
        <f>IF(C76="","",L76-M76)</f>
        <v/>
      </c>
      <c r="O76" s="24" t="n"/>
      <c r="P76" s="27">
        <f>IF(C76="","",IF(O76="",0,MAX(0,O76-L76)))</f>
        <v/>
      </c>
      <c r="Q76" s="26">
        <f>IF(C76="","",IF(K76=0,"not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R76" s="22" t="n"/>
      <c r="S76" s="26">
        <f>IF(R76="","",HYPERLINK(IF(LEFT(R76,4)="http",R76,set_QwilrBase&amp;R76),"Open quote"))</f>
        <v/>
      </c>
      <c r="T76" s="24" t="n"/>
      <c r="U76" s="24" t="n"/>
      <c r="V76" s="24" t="n"/>
      <c r="W76" s="26">
        <f>IF(C76="","",IF(N(T76)+N(U76)+N(V76)=0,"Not split",IF(ROUND(N(T76)+N(U76)+N(V76),2)=ROUND(L76+P76,2),"OK",IF(K76=0,"Not invoiced yet","MISMATCH"))))</f>
        <v/>
      </c>
      <c r="X76" s="24" t="n"/>
      <c r="Y76" s="24" t="n"/>
      <c r="Z76" s="24" t="n"/>
      <c r="AA76" s="27">
        <f>IF(C76="","",N(X76)+N(Y76)+N(Z76))</f>
        <v/>
      </c>
      <c r="AB76" s="27">
        <f>IF(C76="","",L76+P76-AA76)</f>
        <v/>
      </c>
      <c r="AC76" s="29">
        <f>IFERROR(AB76/(L76+P76),"")</f>
        <v/>
      </c>
      <c r="AD76" s="22" t="n"/>
    </row>
    <row r="77" ht="15" customHeight="1">
      <c r="A77" s="70">
        <f>IF(C77="","",IFERROR(IF(SUMPRODUCT(MAX((tbl_Finance[Job Number]&amp;""=C77&amp;"")*(tbl_Finance[Xero Invoice No]&lt;&gt;"")*tbl_Finance[Date]))=0,"",SUMPRODUCT(MAX((tbl_Finance[Job Number]&amp;""=C77&amp;"")*(tbl_Finance[Xero Invoice No]&lt;&gt;"")*tbl_Finance[Date]))),""))</f>
        <v/>
      </c>
      <c r="B77" s="26">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2" t="n"/>
      <c r="D77" s="26">
        <f>IF(C77="","",IF(COUNTIF(lst_Jobs,C77&amp;"")&gt;0,"OK","CHECK"))</f>
        <v/>
      </c>
      <c r="E77" s="26">
        <f>IF(C77="","",IFERROR(INDEX(lst_JobName,MATCH(C77&amp;"",lst_Jobs,0)),""))</f>
        <v/>
      </c>
      <c r="F77" s="22" t="n"/>
      <c r="G77" s="22" t="n"/>
      <c r="H77" s="22" t="n"/>
      <c r="I77" s="22" t="n"/>
      <c r="J77" s="22" t="n"/>
      <c r="K77" s="28">
        <f>IF(C77="","",COUNTIFS(tbl_Finance[Job Number],C77&amp;"",tbl_Finance[Ex GST],"&lt;&gt;"))</f>
        <v/>
      </c>
      <c r="L77" s="27">
        <f>IF(C77="","",SUMIFS(tbl_Finance[Ex GST],tbl_Finance[Job Number],C77&amp;""))</f>
        <v/>
      </c>
      <c r="M77" s="27">
        <f>IF(C77="","",SUMIFS(tbl_Finance[Ex GST],tbl_Finance[Job Number],C77&amp;"",tbl_Finance[Xero Invoice No],"&lt;&gt;"))</f>
        <v/>
      </c>
      <c r="N77" s="27">
        <f>IF(C77="","",L77-M77)</f>
        <v/>
      </c>
      <c r="O77" s="24" t="n"/>
      <c r="P77" s="27">
        <f>IF(C77="","",IF(O77="",0,MAX(0,O77-L77)))</f>
        <v/>
      </c>
      <c r="Q77" s="26">
        <f>IF(C77="","",IF(K77=0,"not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R77" s="22" t="n"/>
      <c r="S77" s="26">
        <f>IF(R77="","",HYPERLINK(IF(LEFT(R77,4)="http",R77,set_QwilrBase&amp;R77),"Open quote"))</f>
        <v/>
      </c>
      <c r="T77" s="24" t="n"/>
      <c r="U77" s="24" t="n"/>
      <c r="V77" s="24" t="n"/>
      <c r="W77" s="26">
        <f>IF(C77="","",IF(N(T77)+N(U77)+N(V77)=0,"Not split",IF(ROUND(N(T77)+N(U77)+N(V77),2)=ROUND(L77+P77,2),"OK",IF(K77=0,"Not invoiced yet","MISMATCH"))))</f>
        <v/>
      </c>
      <c r="X77" s="24" t="n"/>
      <c r="Y77" s="24" t="n"/>
      <c r="Z77" s="24" t="n"/>
      <c r="AA77" s="27">
        <f>IF(C77="","",N(X77)+N(Y77)+N(Z77))</f>
        <v/>
      </c>
      <c r="AB77" s="27">
        <f>IF(C77="","",L77+P77-AA77)</f>
        <v/>
      </c>
      <c r="AC77" s="29">
        <f>IFERROR(AB77/(L77+P77),"")</f>
        <v/>
      </c>
      <c r="AD77" s="22" t="n"/>
    </row>
    <row r="78" ht="15" customHeight="1">
      <c r="A78" s="70">
        <f>IF(C78="","",IFERROR(IF(SUMPRODUCT(MAX((tbl_Finance[Job Number]&amp;""=C78&amp;"")*(tbl_Finance[Xero Invoice No]&lt;&gt;"")*tbl_Finance[Date]))=0,"",SUMPRODUCT(MAX((tbl_Finance[Job Number]&amp;""=C78&amp;"")*(tbl_Finance[Xero Invoice No]&lt;&gt;"")*tbl_Finance[Date]))),""))</f>
        <v/>
      </c>
      <c r="B78" s="26">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2" t="n"/>
      <c r="D78" s="26">
        <f>IF(C78="","",IF(COUNTIF(lst_Jobs,C78&amp;"")&gt;0,"OK","CHECK"))</f>
        <v/>
      </c>
      <c r="E78" s="26">
        <f>IF(C78="","",IFERROR(INDEX(lst_JobName,MATCH(C78&amp;"",lst_Jobs,0)),""))</f>
        <v/>
      </c>
      <c r="F78" s="22" t="n"/>
      <c r="G78" s="22" t="n"/>
      <c r="H78" s="22" t="n"/>
      <c r="I78" s="22" t="n"/>
      <c r="J78" s="22" t="n"/>
      <c r="K78" s="28">
        <f>IF(C78="","",COUNTIFS(tbl_Finance[Job Number],C78&amp;"",tbl_Finance[Ex GST],"&lt;&gt;"))</f>
        <v/>
      </c>
      <c r="L78" s="27">
        <f>IF(C78="","",SUMIFS(tbl_Finance[Ex GST],tbl_Finance[Job Number],C78&amp;""))</f>
        <v/>
      </c>
      <c r="M78" s="27">
        <f>IF(C78="","",SUMIFS(tbl_Finance[Ex GST],tbl_Finance[Job Number],C78&amp;"",tbl_Finance[Xero Invoice No],"&lt;&gt;"))</f>
        <v/>
      </c>
      <c r="N78" s="27">
        <f>IF(C78="","",L78-M78)</f>
        <v/>
      </c>
      <c r="O78" s="24" t="n"/>
      <c r="P78" s="27">
        <f>IF(C78="","",IF(O78="",0,MAX(0,O78-L78)))</f>
        <v/>
      </c>
      <c r="Q78" s="26">
        <f>IF(C78="","",IF(K78=0,"not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R78" s="22" t="n"/>
      <c r="S78" s="26">
        <f>IF(R78="","",HYPERLINK(IF(LEFT(R78,4)="http",R78,set_QwilrBase&amp;R78),"Open quote"))</f>
        <v/>
      </c>
      <c r="T78" s="24" t="n"/>
      <c r="U78" s="24" t="n"/>
      <c r="V78" s="24" t="n"/>
      <c r="W78" s="26">
        <f>IF(C78="","",IF(N(T78)+N(U78)+N(V78)=0,"Not split",IF(ROUND(N(T78)+N(U78)+N(V78),2)=ROUND(L78+P78,2),"OK",IF(K78=0,"Not invoiced yet","MISMATCH"))))</f>
        <v/>
      </c>
      <c r="X78" s="24" t="n"/>
      <c r="Y78" s="24" t="n"/>
      <c r="Z78" s="24" t="n"/>
      <c r="AA78" s="27">
        <f>IF(C78="","",N(X78)+N(Y78)+N(Z78))</f>
        <v/>
      </c>
      <c r="AB78" s="27">
        <f>IF(C78="","",L78+P78-AA78)</f>
        <v/>
      </c>
      <c r="AC78" s="29">
        <f>IFERROR(AB78/(L78+P78),"")</f>
        <v/>
      </c>
      <c r="AD78" s="22" t="n"/>
    </row>
    <row r="79" ht="15" customHeight="1">
      <c r="A79" s="70">
        <f>IF(C79="","",IFERROR(IF(SUMPRODUCT(MAX((tbl_Finance[Job Number]&amp;""=C79&amp;"")*(tbl_Finance[Xero Invoice No]&lt;&gt;"")*tbl_Finance[Date]))=0,"",SUMPRODUCT(MAX((tbl_Finance[Job Number]&amp;""=C79&amp;"")*(tbl_Finance[Xero Invoice No]&lt;&gt;"")*tbl_Finance[Date]))),""))</f>
        <v/>
      </c>
      <c r="B79" s="26">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2" t="n"/>
      <c r="D79" s="26">
        <f>IF(C79="","",IF(COUNTIF(lst_Jobs,C79&amp;"")&gt;0,"OK","CHECK"))</f>
        <v/>
      </c>
      <c r="E79" s="26">
        <f>IF(C79="","",IFERROR(INDEX(lst_JobName,MATCH(C79&amp;"",lst_Jobs,0)),""))</f>
        <v/>
      </c>
      <c r="F79" s="22" t="n"/>
      <c r="G79" s="22" t="n"/>
      <c r="H79" s="22" t="n"/>
      <c r="I79" s="22" t="n"/>
      <c r="J79" s="22" t="n"/>
      <c r="K79" s="28">
        <f>IF(C79="","",COUNTIFS(tbl_Finance[Job Number],C79&amp;"",tbl_Finance[Ex GST],"&lt;&gt;"))</f>
        <v/>
      </c>
      <c r="L79" s="27">
        <f>IF(C79="","",SUMIFS(tbl_Finance[Ex GST],tbl_Finance[Job Number],C79&amp;""))</f>
        <v/>
      </c>
      <c r="M79" s="27">
        <f>IF(C79="","",SUMIFS(tbl_Finance[Ex GST],tbl_Finance[Job Number],C79&amp;"",tbl_Finance[Xero Invoice No],"&lt;&gt;"))</f>
        <v/>
      </c>
      <c r="N79" s="27">
        <f>IF(C79="","",L79-M79)</f>
        <v/>
      </c>
      <c r="O79" s="24" t="n"/>
      <c r="P79" s="27">
        <f>IF(C79="","",IF(O79="",0,MAX(0,O79-L79)))</f>
        <v/>
      </c>
      <c r="Q79" s="26">
        <f>IF(C79="","",IF(K79=0,"not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R79" s="22" t="n"/>
      <c r="S79" s="26">
        <f>IF(R79="","",HYPERLINK(IF(LEFT(R79,4)="http",R79,set_QwilrBase&amp;R79),"Open quote"))</f>
        <v/>
      </c>
      <c r="T79" s="24" t="n"/>
      <c r="U79" s="24" t="n"/>
      <c r="V79" s="24" t="n"/>
      <c r="W79" s="26">
        <f>IF(C79="","",IF(N(T79)+N(U79)+N(V79)=0,"Not split",IF(ROUND(N(T79)+N(U79)+N(V79),2)=ROUND(L79+P79,2),"OK",IF(K79=0,"Not invoiced yet","MISMATCH"))))</f>
        <v/>
      </c>
      <c r="X79" s="24" t="n"/>
      <c r="Y79" s="24" t="n"/>
      <c r="Z79" s="24" t="n"/>
      <c r="AA79" s="27">
        <f>IF(C79="","",N(X79)+N(Y79)+N(Z79))</f>
        <v/>
      </c>
      <c r="AB79" s="27">
        <f>IF(C79="","",L79+P79-AA79)</f>
        <v/>
      </c>
      <c r="AC79" s="29">
        <f>IFERROR(AB79/(L79+P79),"")</f>
        <v/>
      </c>
      <c r="AD79" s="22" t="n"/>
    </row>
    <row r="80" ht="15" customHeight="1">
      <c r="A80" s="70">
        <f>IF(C80="","",IFERROR(IF(SUMPRODUCT(MAX((tbl_Finance[Job Number]&amp;""=C80&amp;"")*(tbl_Finance[Xero Invoice No]&lt;&gt;"")*tbl_Finance[Date]))=0,"",SUMPRODUCT(MAX((tbl_Finance[Job Number]&amp;""=C80&amp;"")*(tbl_Finance[Xero Invoice No]&lt;&gt;"")*tbl_Finance[Date]))),""))</f>
        <v/>
      </c>
      <c r="B80" s="26">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2" t="n"/>
      <c r="D80" s="26">
        <f>IF(C80="","",IF(COUNTIF(lst_Jobs,C80&amp;"")&gt;0,"OK","CHECK"))</f>
        <v/>
      </c>
      <c r="E80" s="26">
        <f>IF(C80="","",IFERROR(INDEX(lst_JobName,MATCH(C80&amp;"",lst_Jobs,0)),""))</f>
        <v/>
      </c>
      <c r="F80" s="22" t="n"/>
      <c r="G80" s="22" t="n"/>
      <c r="H80" s="22" t="n"/>
      <c r="I80" s="22" t="n"/>
      <c r="J80" s="22" t="n"/>
      <c r="K80" s="28">
        <f>IF(C80="","",COUNTIFS(tbl_Finance[Job Number],C80&amp;"",tbl_Finance[Ex GST],"&lt;&gt;"))</f>
        <v/>
      </c>
      <c r="L80" s="27">
        <f>IF(C80="","",SUMIFS(tbl_Finance[Ex GST],tbl_Finance[Job Number],C80&amp;""))</f>
        <v/>
      </c>
      <c r="M80" s="27">
        <f>IF(C80="","",SUMIFS(tbl_Finance[Ex GST],tbl_Finance[Job Number],C80&amp;"",tbl_Finance[Xero Invoice No],"&lt;&gt;"))</f>
        <v/>
      </c>
      <c r="N80" s="27">
        <f>IF(C80="","",L80-M80)</f>
        <v/>
      </c>
      <c r="O80" s="24" t="n"/>
      <c r="P80" s="27">
        <f>IF(C80="","",IF(O80="",0,MAX(0,O80-L80)))</f>
        <v/>
      </c>
      <c r="Q80" s="26">
        <f>IF(C80="","",IF(K80=0,"not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R80" s="22" t="n"/>
      <c r="S80" s="26">
        <f>IF(R80="","",HYPERLINK(IF(LEFT(R80,4)="http",R80,set_QwilrBase&amp;R80),"Open quote"))</f>
        <v/>
      </c>
      <c r="T80" s="24" t="n"/>
      <c r="U80" s="24" t="n"/>
      <c r="V80" s="24" t="n"/>
      <c r="W80" s="26">
        <f>IF(C80="","",IF(N(T80)+N(U80)+N(V80)=0,"Not split",IF(ROUND(N(T80)+N(U80)+N(V80),2)=ROUND(L80+P80,2),"OK",IF(K80=0,"Not invoiced yet","MISMATCH"))))</f>
        <v/>
      </c>
      <c r="X80" s="24" t="n"/>
      <c r="Y80" s="24" t="n"/>
      <c r="Z80" s="24" t="n"/>
      <c r="AA80" s="27">
        <f>IF(C80="","",N(X80)+N(Y80)+N(Z80))</f>
        <v/>
      </c>
      <c r="AB80" s="27">
        <f>IF(C80="","",L80+P80-AA80)</f>
        <v/>
      </c>
      <c r="AC80" s="29">
        <f>IFERROR(AB80/(L80+P80),"")</f>
        <v/>
      </c>
      <c r="AD80" s="22" t="n"/>
    </row>
    <row r="81" ht="15" customHeight="1">
      <c r="A81" s="70">
        <f>IF(C81="","",IFERROR(IF(SUMPRODUCT(MAX((tbl_Finance[Job Number]&amp;""=C81&amp;"")*(tbl_Finance[Xero Invoice No]&lt;&gt;"")*tbl_Finance[Date]))=0,"",SUMPRODUCT(MAX((tbl_Finance[Job Number]&amp;""=C81&amp;"")*(tbl_Finance[Xero Invoice No]&lt;&gt;"")*tbl_Finance[Date]))),""))</f>
        <v/>
      </c>
      <c r="B81" s="26">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2" t="n"/>
      <c r="D81" s="26">
        <f>IF(C81="","",IF(COUNTIF(lst_Jobs,C81&amp;"")&gt;0,"OK","CHECK"))</f>
        <v/>
      </c>
      <c r="E81" s="26">
        <f>IF(C81="","",IFERROR(INDEX(lst_JobName,MATCH(C81&amp;"",lst_Jobs,0)),""))</f>
        <v/>
      </c>
      <c r="F81" s="22" t="n"/>
      <c r="G81" s="22" t="n"/>
      <c r="H81" s="22" t="n"/>
      <c r="I81" s="22" t="n"/>
      <c r="J81" s="22" t="n"/>
      <c r="K81" s="28">
        <f>IF(C81="","",COUNTIFS(tbl_Finance[Job Number],C81&amp;"",tbl_Finance[Ex GST],"&lt;&gt;"))</f>
        <v/>
      </c>
      <c r="L81" s="27">
        <f>IF(C81="","",SUMIFS(tbl_Finance[Ex GST],tbl_Finance[Job Number],C81&amp;""))</f>
        <v/>
      </c>
      <c r="M81" s="27">
        <f>IF(C81="","",SUMIFS(tbl_Finance[Ex GST],tbl_Finance[Job Number],C81&amp;"",tbl_Finance[Xero Invoice No],"&lt;&gt;"))</f>
        <v/>
      </c>
      <c r="N81" s="27">
        <f>IF(C81="","",L81-M81)</f>
        <v/>
      </c>
      <c r="O81" s="24" t="n"/>
      <c r="P81" s="27">
        <f>IF(C81="","",IF(O81="",0,MAX(0,O81-L81)))</f>
        <v/>
      </c>
      <c r="Q81" s="26">
        <f>IF(C81="","",IF(K81=0,"not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R81" s="22" t="n"/>
      <c r="S81" s="26">
        <f>IF(R81="","",HYPERLINK(IF(LEFT(R81,4)="http",R81,set_QwilrBase&amp;R81),"Open quote"))</f>
        <v/>
      </c>
      <c r="T81" s="24" t="n"/>
      <c r="U81" s="24" t="n"/>
      <c r="V81" s="24" t="n"/>
      <c r="W81" s="26">
        <f>IF(C81="","",IF(N(T81)+N(U81)+N(V81)=0,"Not split",IF(ROUND(N(T81)+N(U81)+N(V81),2)=ROUND(L81+P81,2),"OK",IF(K81=0,"Not invoiced yet","MISMATCH"))))</f>
        <v/>
      </c>
      <c r="X81" s="24" t="n"/>
      <c r="Y81" s="24" t="n"/>
      <c r="Z81" s="24" t="n"/>
      <c r="AA81" s="27">
        <f>IF(C81="","",N(X81)+N(Y81)+N(Z81))</f>
        <v/>
      </c>
      <c r="AB81" s="27">
        <f>IF(C81="","",L81+P81-AA81)</f>
        <v/>
      </c>
      <c r="AC81" s="29">
        <f>IFERROR(AB81/(L81+P81),"")</f>
        <v/>
      </c>
      <c r="AD81" s="22" t="n"/>
    </row>
    <row r="82" ht="15" customHeight="1">
      <c r="A82" s="70">
        <f>IF(C82="","",IFERROR(IF(SUMPRODUCT(MAX((tbl_Finance[Job Number]&amp;""=C82&amp;"")*(tbl_Finance[Xero Invoice No]&lt;&gt;"")*tbl_Finance[Date]))=0,"",SUMPRODUCT(MAX((tbl_Finance[Job Number]&amp;""=C82&amp;"")*(tbl_Finance[Xero Invoice No]&lt;&gt;"")*tbl_Finance[Date]))),""))</f>
        <v/>
      </c>
      <c r="B82" s="26">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2" t="n"/>
      <c r="D82" s="26">
        <f>IF(C82="","",IF(COUNTIF(lst_Jobs,C82&amp;"")&gt;0,"OK","CHECK"))</f>
        <v/>
      </c>
      <c r="E82" s="26">
        <f>IF(C82="","",IFERROR(INDEX(lst_JobName,MATCH(C82&amp;"",lst_Jobs,0)),""))</f>
        <v/>
      </c>
      <c r="F82" s="22" t="n"/>
      <c r="G82" s="22" t="n"/>
      <c r="H82" s="22" t="n"/>
      <c r="I82" s="22" t="n"/>
      <c r="J82" s="22" t="n"/>
      <c r="K82" s="28">
        <f>IF(C82="","",COUNTIFS(tbl_Finance[Job Number],C82&amp;"",tbl_Finance[Ex GST],"&lt;&gt;"))</f>
        <v/>
      </c>
      <c r="L82" s="27">
        <f>IF(C82="","",SUMIFS(tbl_Finance[Ex GST],tbl_Finance[Job Number],C82&amp;""))</f>
        <v/>
      </c>
      <c r="M82" s="27">
        <f>IF(C82="","",SUMIFS(tbl_Finance[Ex GST],tbl_Finance[Job Number],C82&amp;"",tbl_Finance[Xero Invoice No],"&lt;&gt;"))</f>
        <v/>
      </c>
      <c r="N82" s="27">
        <f>IF(C82="","",L82-M82)</f>
        <v/>
      </c>
      <c r="O82" s="24" t="n"/>
      <c r="P82" s="27">
        <f>IF(C82="","",IF(O82="",0,MAX(0,O82-L82)))</f>
        <v/>
      </c>
      <c r="Q82" s="26">
        <f>IF(C82="","",IF(K82=0,"not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R82" s="22" t="n"/>
      <c r="S82" s="26">
        <f>IF(R82="","",HYPERLINK(IF(LEFT(R82,4)="http",R82,set_QwilrBase&amp;R82),"Open quote"))</f>
        <v/>
      </c>
      <c r="T82" s="24" t="n"/>
      <c r="U82" s="24" t="n"/>
      <c r="V82" s="24" t="n"/>
      <c r="W82" s="26">
        <f>IF(C82="","",IF(N(T82)+N(U82)+N(V82)=0,"Not split",IF(ROUND(N(T82)+N(U82)+N(V82),2)=ROUND(L82+P82,2),"OK",IF(K82=0,"Not invoiced yet","MISMATCH"))))</f>
        <v/>
      </c>
      <c r="X82" s="24" t="n"/>
      <c r="Y82" s="24" t="n"/>
      <c r="Z82" s="24" t="n"/>
      <c r="AA82" s="27">
        <f>IF(C82="","",N(X82)+N(Y82)+N(Z82))</f>
        <v/>
      </c>
      <c r="AB82" s="27">
        <f>IF(C82="","",L82+P82-AA82)</f>
        <v/>
      </c>
      <c r="AC82" s="29">
        <f>IFERROR(AB82/(L82+P82),"")</f>
        <v/>
      </c>
      <c r="AD82" s="22" t="n"/>
    </row>
    <row r="83" ht="15" customHeight="1">
      <c r="A83" s="70">
        <f>IF(C83="","",IFERROR(IF(SUMPRODUCT(MAX((tbl_Finance[Job Number]&amp;""=C83&amp;"")*(tbl_Finance[Xero Invoice No]&lt;&gt;"")*tbl_Finance[Date]))=0,"",SUMPRODUCT(MAX((tbl_Finance[Job Number]&amp;""=C83&amp;"")*(tbl_Finance[Xero Invoice No]&lt;&gt;"")*tbl_Finance[Date]))),""))</f>
        <v/>
      </c>
      <c r="B83" s="26">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2" t="n"/>
      <c r="D83" s="26">
        <f>IF(C83="","",IF(COUNTIF(lst_Jobs,C83&amp;"")&gt;0,"OK","CHECK"))</f>
        <v/>
      </c>
      <c r="E83" s="26">
        <f>IF(C83="","",IFERROR(INDEX(lst_JobName,MATCH(C83&amp;"",lst_Jobs,0)),""))</f>
        <v/>
      </c>
      <c r="F83" s="22" t="n"/>
      <c r="G83" s="22" t="n"/>
      <c r="H83" s="22" t="n"/>
      <c r="I83" s="22" t="n"/>
      <c r="J83" s="22" t="n"/>
      <c r="K83" s="28">
        <f>IF(C83="","",COUNTIFS(tbl_Finance[Job Number],C83&amp;"",tbl_Finance[Ex GST],"&lt;&gt;"))</f>
        <v/>
      </c>
      <c r="L83" s="27">
        <f>IF(C83="","",SUMIFS(tbl_Finance[Ex GST],tbl_Finance[Job Number],C83&amp;""))</f>
        <v/>
      </c>
      <c r="M83" s="27">
        <f>IF(C83="","",SUMIFS(tbl_Finance[Ex GST],tbl_Finance[Job Number],C83&amp;"",tbl_Finance[Xero Invoice No],"&lt;&gt;"))</f>
        <v/>
      </c>
      <c r="N83" s="27">
        <f>IF(C83="","",L83-M83)</f>
        <v/>
      </c>
      <c r="O83" s="24" t="n"/>
      <c r="P83" s="27">
        <f>IF(C83="","",IF(O83="",0,MAX(0,O83-L83)))</f>
        <v/>
      </c>
      <c r="Q83" s="26">
        <f>IF(C83="","",IF(K83=0,"not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R83" s="22" t="n"/>
      <c r="S83" s="26">
        <f>IF(R83="","",HYPERLINK(IF(LEFT(R83,4)="http",R83,set_QwilrBase&amp;R83),"Open quote"))</f>
        <v/>
      </c>
      <c r="T83" s="24" t="n"/>
      <c r="U83" s="24" t="n"/>
      <c r="V83" s="24" t="n"/>
      <c r="W83" s="26">
        <f>IF(C83="","",IF(N(T83)+N(U83)+N(V83)=0,"Not split",IF(ROUND(N(T83)+N(U83)+N(V83),2)=ROUND(L83+P83,2),"OK",IF(K83=0,"Not invoiced yet","MISMATCH"))))</f>
        <v/>
      </c>
      <c r="X83" s="24" t="n"/>
      <c r="Y83" s="24" t="n"/>
      <c r="Z83" s="24" t="n"/>
      <c r="AA83" s="27">
        <f>IF(C83="","",N(X83)+N(Y83)+N(Z83))</f>
        <v/>
      </c>
      <c r="AB83" s="27">
        <f>IF(C83="","",L83+P83-AA83)</f>
        <v/>
      </c>
      <c r="AC83" s="29">
        <f>IFERROR(AB83/(L83+P83),"")</f>
        <v/>
      </c>
      <c r="AD83" s="22" t="n"/>
    </row>
    <row r="84" ht="15" customHeight="1">
      <c r="A84" s="70">
        <f>IF(C84="","",IFERROR(IF(SUMPRODUCT(MAX((tbl_Finance[Job Number]&amp;""=C84&amp;"")*(tbl_Finance[Xero Invoice No]&lt;&gt;"")*tbl_Finance[Date]))=0,"",SUMPRODUCT(MAX((tbl_Finance[Job Number]&amp;""=C84&amp;"")*(tbl_Finance[Xero Invoice No]&lt;&gt;"")*tbl_Finance[Date]))),""))</f>
        <v/>
      </c>
      <c r="B84" s="26">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2" t="n"/>
      <c r="D84" s="26">
        <f>IF(C84="","",IF(COUNTIF(lst_Jobs,C84&amp;"")&gt;0,"OK","CHECK"))</f>
        <v/>
      </c>
      <c r="E84" s="26">
        <f>IF(C84="","",IFERROR(INDEX(lst_JobName,MATCH(C84&amp;"",lst_Jobs,0)),""))</f>
        <v/>
      </c>
      <c r="F84" s="22" t="n"/>
      <c r="G84" s="22" t="n"/>
      <c r="H84" s="22" t="n"/>
      <c r="I84" s="22" t="n"/>
      <c r="J84" s="22" t="n"/>
      <c r="K84" s="28">
        <f>IF(C84="","",COUNTIFS(tbl_Finance[Job Number],C84&amp;"",tbl_Finance[Ex GST],"&lt;&gt;"))</f>
        <v/>
      </c>
      <c r="L84" s="27">
        <f>IF(C84="","",SUMIFS(tbl_Finance[Ex GST],tbl_Finance[Job Number],C84&amp;""))</f>
        <v/>
      </c>
      <c r="M84" s="27">
        <f>IF(C84="","",SUMIFS(tbl_Finance[Ex GST],tbl_Finance[Job Number],C84&amp;"",tbl_Finance[Xero Invoice No],"&lt;&gt;"))</f>
        <v/>
      </c>
      <c r="N84" s="27">
        <f>IF(C84="","",L84-M84)</f>
        <v/>
      </c>
      <c r="O84" s="24" t="n"/>
      <c r="P84" s="27">
        <f>IF(C84="","",IF(O84="",0,MAX(0,O84-L84)))</f>
        <v/>
      </c>
      <c r="Q84" s="26">
        <f>IF(C84="","",IF(K84=0,"not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R84" s="22" t="n"/>
      <c r="S84" s="26">
        <f>IF(R84="","",HYPERLINK(IF(LEFT(R84,4)="http",R84,set_QwilrBase&amp;R84),"Open quote"))</f>
        <v/>
      </c>
      <c r="T84" s="24" t="n"/>
      <c r="U84" s="24" t="n"/>
      <c r="V84" s="24" t="n"/>
      <c r="W84" s="26">
        <f>IF(C84="","",IF(N(T84)+N(U84)+N(V84)=0,"Not split",IF(ROUND(N(T84)+N(U84)+N(V84),2)=ROUND(L84+P84,2),"OK",IF(K84=0,"Not invoiced yet","MISMATCH"))))</f>
        <v/>
      </c>
      <c r="X84" s="24" t="n"/>
      <c r="Y84" s="24" t="n"/>
      <c r="Z84" s="24" t="n"/>
      <c r="AA84" s="27">
        <f>IF(C84="","",N(X84)+N(Y84)+N(Z84))</f>
        <v/>
      </c>
      <c r="AB84" s="27">
        <f>IF(C84="","",L84+P84-AA84)</f>
        <v/>
      </c>
      <c r="AC84" s="29">
        <f>IFERROR(AB84/(L84+P84),"")</f>
        <v/>
      </c>
      <c r="AD84" s="22" t="n"/>
    </row>
    <row r="85" ht="15" customHeight="1">
      <c r="A85" s="70">
        <f>IF(C85="","",IFERROR(IF(SUMPRODUCT(MAX((tbl_Finance[Job Number]&amp;""=C85&amp;"")*(tbl_Finance[Xero Invoice No]&lt;&gt;"")*tbl_Finance[Date]))=0,"",SUMPRODUCT(MAX((tbl_Finance[Job Number]&amp;""=C85&amp;"")*(tbl_Finance[Xero Invoice No]&lt;&gt;"")*tbl_Finance[Date]))),""))</f>
        <v/>
      </c>
      <c r="B85" s="26">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2" t="n"/>
      <c r="D85" s="26">
        <f>IF(C85="","",IF(COUNTIF(lst_Jobs,C85&amp;"")&gt;0,"OK","CHECK"))</f>
        <v/>
      </c>
      <c r="E85" s="26">
        <f>IF(C85="","",IFERROR(INDEX(lst_JobName,MATCH(C85&amp;"",lst_Jobs,0)),""))</f>
        <v/>
      </c>
      <c r="F85" s="22" t="n"/>
      <c r="G85" s="22" t="n"/>
      <c r="H85" s="22" t="n"/>
      <c r="I85" s="22" t="n"/>
      <c r="J85" s="22" t="n"/>
      <c r="K85" s="28">
        <f>IF(C85="","",COUNTIFS(tbl_Finance[Job Number],C85&amp;"",tbl_Finance[Ex GST],"&lt;&gt;"))</f>
        <v/>
      </c>
      <c r="L85" s="27">
        <f>IF(C85="","",SUMIFS(tbl_Finance[Ex GST],tbl_Finance[Job Number],C85&amp;""))</f>
        <v/>
      </c>
      <c r="M85" s="27">
        <f>IF(C85="","",SUMIFS(tbl_Finance[Ex GST],tbl_Finance[Job Number],C85&amp;"",tbl_Finance[Xero Invoice No],"&lt;&gt;"))</f>
        <v/>
      </c>
      <c r="N85" s="27">
        <f>IF(C85="","",L85-M85)</f>
        <v/>
      </c>
      <c r="O85" s="24" t="n"/>
      <c r="P85" s="27">
        <f>IF(C85="","",IF(O85="",0,MAX(0,O85-L85)))</f>
        <v/>
      </c>
      <c r="Q85" s="26">
        <f>IF(C85="","",IF(K85=0,"not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R85" s="22" t="n"/>
      <c r="S85" s="26">
        <f>IF(R85="","",HYPERLINK(IF(LEFT(R85,4)="http",R85,set_QwilrBase&amp;R85),"Open quote"))</f>
        <v/>
      </c>
      <c r="T85" s="24" t="n"/>
      <c r="U85" s="24" t="n"/>
      <c r="V85" s="24" t="n"/>
      <c r="W85" s="26">
        <f>IF(C85="","",IF(N(T85)+N(U85)+N(V85)=0,"Not split",IF(ROUND(N(T85)+N(U85)+N(V85),2)=ROUND(L85+P85,2),"OK",IF(K85=0,"Not invoiced yet","MISMATCH"))))</f>
        <v/>
      </c>
      <c r="X85" s="24" t="n"/>
      <c r="Y85" s="24" t="n"/>
      <c r="Z85" s="24" t="n"/>
      <c r="AA85" s="27">
        <f>IF(C85="","",N(X85)+N(Y85)+N(Z85))</f>
        <v/>
      </c>
      <c r="AB85" s="27">
        <f>IF(C85="","",L85+P85-AA85)</f>
        <v/>
      </c>
      <c r="AC85" s="29">
        <f>IFERROR(AB85/(L85+P85),"")</f>
        <v/>
      </c>
      <c r="AD85" s="22" t="n"/>
    </row>
    <row r="86" ht="15" customHeight="1">
      <c r="A86" s="70">
        <f>IF(C86="","",IFERROR(IF(SUMPRODUCT(MAX((tbl_Finance[Job Number]&amp;""=C86&amp;"")*(tbl_Finance[Xero Invoice No]&lt;&gt;"")*tbl_Finance[Date]))=0,"",SUMPRODUCT(MAX((tbl_Finance[Job Number]&amp;""=C86&amp;"")*(tbl_Finance[Xero Invoice No]&lt;&gt;"")*tbl_Finance[Date]))),""))</f>
        <v/>
      </c>
      <c r="B86" s="26">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2" t="n"/>
      <c r="D86" s="26">
        <f>IF(C86="","",IF(COUNTIF(lst_Jobs,C86&amp;"")&gt;0,"OK","CHECK"))</f>
        <v/>
      </c>
      <c r="E86" s="26">
        <f>IF(C86="","",IFERROR(INDEX(lst_JobName,MATCH(C86&amp;"",lst_Jobs,0)),""))</f>
        <v/>
      </c>
      <c r="F86" s="22" t="n"/>
      <c r="G86" s="22" t="n"/>
      <c r="H86" s="22" t="n"/>
      <c r="I86" s="22" t="n"/>
      <c r="J86" s="22" t="n"/>
      <c r="K86" s="28">
        <f>IF(C86="","",COUNTIFS(tbl_Finance[Job Number],C86&amp;"",tbl_Finance[Ex GST],"&lt;&gt;"))</f>
        <v/>
      </c>
      <c r="L86" s="27">
        <f>IF(C86="","",SUMIFS(tbl_Finance[Ex GST],tbl_Finance[Job Number],C86&amp;""))</f>
        <v/>
      </c>
      <c r="M86" s="27">
        <f>IF(C86="","",SUMIFS(tbl_Finance[Ex GST],tbl_Finance[Job Number],C86&amp;"",tbl_Finance[Xero Invoice No],"&lt;&gt;"))</f>
        <v/>
      </c>
      <c r="N86" s="27">
        <f>IF(C86="","",L86-M86)</f>
        <v/>
      </c>
      <c r="O86" s="24" t="n"/>
      <c r="P86" s="27">
        <f>IF(C86="","",IF(O86="",0,MAX(0,O86-L86)))</f>
        <v/>
      </c>
      <c r="Q86" s="26">
        <f>IF(C86="","",IF(K86=0,"not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R86" s="22" t="n"/>
      <c r="S86" s="26">
        <f>IF(R86="","",HYPERLINK(IF(LEFT(R86,4)="http",R86,set_QwilrBase&amp;R86),"Open quote"))</f>
        <v/>
      </c>
      <c r="T86" s="24" t="n"/>
      <c r="U86" s="24" t="n"/>
      <c r="V86" s="24" t="n"/>
      <c r="W86" s="26">
        <f>IF(C86="","",IF(N(T86)+N(U86)+N(V86)=0,"Not split",IF(ROUND(N(T86)+N(U86)+N(V86),2)=ROUND(L86+P86,2),"OK",IF(K86=0,"Not invoiced yet","MISMATCH"))))</f>
        <v/>
      </c>
      <c r="X86" s="24" t="n"/>
      <c r="Y86" s="24" t="n"/>
      <c r="Z86" s="24" t="n"/>
      <c r="AA86" s="27">
        <f>IF(C86="","",N(X86)+N(Y86)+N(Z86))</f>
        <v/>
      </c>
      <c r="AB86" s="27">
        <f>IF(C86="","",L86+P86-AA86)</f>
        <v/>
      </c>
      <c r="AC86" s="29">
        <f>IFERROR(AB86/(L86+P86),"")</f>
        <v/>
      </c>
      <c r="AD86" s="22" t="n"/>
    </row>
    <row r="87" ht="15" customHeight="1">
      <c r="A87" s="70">
        <f>IF(C87="","",IFERROR(IF(SUMPRODUCT(MAX((tbl_Finance[Job Number]&amp;""=C87&amp;"")*(tbl_Finance[Xero Invoice No]&lt;&gt;"")*tbl_Finance[Date]))=0,"",SUMPRODUCT(MAX((tbl_Finance[Job Number]&amp;""=C87&amp;"")*(tbl_Finance[Xero Invoice No]&lt;&gt;"")*tbl_Finance[Date]))),""))</f>
        <v/>
      </c>
      <c r="B87" s="26">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2" t="n"/>
      <c r="D87" s="26">
        <f>IF(C87="","",IF(COUNTIF(lst_Jobs,C87&amp;"")&gt;0,"OK","CHECK"))</f>
        <v/>
      </c>
      <c r="E87" s="26">
        <f>IF(C87="","",IFERROR(INDEX(lst_JobName,MATCH(C87&amp;"",lst_Jobs,0)),""))</f>
        <v/>
      </c>
      <c r="F87" s="22" t="n"/>
      <c r="G87" s="22" t="n"/>
      <c r="H87" s="22" t="n"/>
      <c r="I87" s="22" t="n"/>
      <c r="J87" s="22" t="n"/>
      <c r="K87" s="28">
        <f>IF(C87="","",COUNTIFS(tbl_Finance[Job Number],C87&amp;"",tbl_Finance[Ex GST],"&lt;&gt;"))</f>
        <v/>
      </c>
      <c r="L87" s="27">
        <f>IF(C87="","",SUMIFS(tbl_Finance[Ex GST],tbl_Finance[Job Number],C87&amp;""))</f>
        <v/>
      </c>
      <c r="M87" s="27">
        <f>IF(C87="","",SUMIFS(tbl_Finance[Ex GST],tbl_Finance[Job Number],C87&amp;"",tbl_Finance[Xero Invoice No],"&lt;&gt;"))</f>
        <v/>
      </c>
      <c r="N87" s="27">
        <f>IF(C87="","",L87-M87)</f>
        <v/>
      </c>
      <c r="O87" s="24" t="n"/>
      <c r="P87" s="27">
        <f>IF(C87="","",IF(O87="",0,MAX(0,O87-L87)))</f>
        <v/>
      </c>
      <c r="Q87" s="26">
        <f>IF(C87="","",IF(K87=0,"not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R87" s="22" t="n"/>
      <c r="S87" s="26">
        <f>IF(R87="","",HYPERLINK(IF(LEFT(R87,4)="http",R87,set_QwilrBase&amp;R87),"Open quote"))</f>
        <v/>
      </c>
      <c r="T87" s="24" t="n"/>
      <c r="U87" s="24" t="n"/>
      <c r="V87" s="24" t="n"/>
      <c r="W87" s="26">
        <f>IF(C87="","",IF(N(T87)+N(U87)+N(V87)=0,"Not split",IF(ROUND(N(T87)+N(U87)+N(V87),2)=ROUND(L87+P87,2),"OK",IF(K87=0,"Not invoiced yet","MISMATCH"))))</f>
        <v/>
      </c>
      <c r="X87" s="24" t="n"/>
      <c r="Y87" s="24" t="n"/>
      <c r="Z87" s="24" t="n"/>
      <c r="AA87" s="27">
        <f>IF(C87="","",N(X87)+N(Y87)+N(Z87))</f>
        <v/>
      </c>
      <c r="AB87" s="27">
        <f>IF(C87="","",L87+P87-AA87)</f>
        <v/>
      </c>
      <c r="AC87" s="29">
        <f>IFERROR(AB87/(L87+P87),"")</f>
        <v/>
      </c>
      <c r="AD87" s="22" t="n"/>
    </row>
    <row r="88" ht="15" customHeight="1">
      <c r="A88" s="70">
        <f>IF(C88="","",IFERROR(IF(SUMPRODUCT(MAX((tbl_Finance[Job Number]&amp;""=C88&amp;"")*(tbl_Finance[Xero Invoice No]&lt;&gt;"")*tbl_Finance[Date]))=0,"",SUMPRODUCT(MAX((tbl_Finance[Job Number]&amp;""=C88&amp;"")*(tbl_Finance[Xero Invoice No]&lt;&gt;"")*tbl_Finance[Date]))),""))</f>
        <v/>
      </c>
      <c r="B88" s="26">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2" t="n"/>
      <c r="D88" s="26">
        <f>IF(C88="","",IF(COUNTIF(lst_Jobs,C88&amp;"")&gt;0,"OK","CHECK"))</f>
        <v/>
      </c>
      <c r="E88" s="26">
        <f>IF(C88="","",IFERROR(INDEX(lst_JobName,MATCH(C88&amp;"",lst_Jobs,0)),""))</f>
        <v/>
      </c>
      <c r="F88" s="22" t="n"/>
      <c r="G88" s="22" t="n"/>
      <c r="H88" s="22" t="n"/>
      <c r="I88" s="22" t="n"/>
      <c r="J88" s="22" t="n"/>
      <c r="K88" s="28">
        <f>IF(C88="","",COUNTIFS(tbl_Finance[Job Number],C88&amp;"",tbl_Finance[Ex GST],"&lt;&gt;"))</f>
        <v/>
      </c>
      <c r="L88" s="27">
        <f>IF(C88="","",SUMIFS(tbl_Finance[Ex GST],tbl_Finance[Job Number],C88&amp;""))</f>
        <v/>
      </c>
      <c r="M88" s="27">
        <f>IF(C88="","",SUMIFS(tbl_Finance[Ex GST],tbl_Finance[Job Number],C88&amp;"",tbl_Finance[Xero Invoice No],"&lt;&gt;"))</f>
        <v/>
      </c>
      <c r="N88" s="27">
        <f>IF(C88="","",L88-M88)</f>
        <v/>
      </c>
      <c r="O88" s="24" t="n"/>
      <c r="P88" s="27">
        <f>IF(C88="","",IF(O88="",0,MAX(0,O88-L88)))</f>
        <v/>
      </c>
      <c r="Q88" s="26">
        <f>IF(C88="","",IF(K88=0,"not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R88" s="22" t="n"/>
      <c r="S88" s="26">
        <f>IF(R88="","",HYPERLINK(IF(LEFT(R88,4)="http",R88,set_QwilrBase&amp;R88),"Open quote"))</f>
        <v/>
      </c>
      <c r="T88" s="24" t="n"/>
      <c r="U88" s="24" t="n"/>
      <c r="V88" s="24" t="n"/>
      <c r="W88" s="26">
        <f>IF(C88="","",IF(N(T88)+N(U88)+N(V88)=0,"Not split",IF(ROUND(N(T88)+N(U88)+N(V88),2)=ROUND(L88+P88,2),"OK",IF(K88=0,"Not invoiced yet","MISMATCH"))))</f>
        <v/>
      </c>
      <c r="X88" s="24" t="n"/>
      <c r="Y88" s="24" t="n"/>
      <c r="Z88" s="24" t="n"/>
      <c r="AA88" s="27">
        <f>IF(C88="","",N(X88)+N(Y88)+N(Z88))</f>
        <v/>
      </c>
      <c r="AB88" s="27">
        <f>IF(C88="","",L88+P88-AA88)</f>
        <v/>
      </c>
      <c r="AC88" s="29">
        <f>IFERROR(AB88/(L88+P88),"")</f>
        <v/>
      </c>
      <c r="AD88" s="22" t="n"/>
    </row>
    <row r="89" ht="15" customHeight="1">
      <c r="A89" s="70">
        <f>IF(C89="","",IFERROR(IF(SUMPRODUCT(MAX((tbl_Finance[Job Number]&amp;""=C89&amp;"")*(tbl_Finance[Xero Invoice No]&lt;&gt;"")*tbl_Finance[Date]))=0,"",SUMPRODUCT(MAX((tbl_Finance[Job Number]&amp;""=C89&amp;"")*(tbl_Finance[Xero Invoice No]&lt;&gt;"")*tbl_Finance[Date]))),""))</f>
        <v/>
      </c>
      <c r="B89" s="26">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2" t="n"/>
      <c r="D89" s="26">
        <f>IF(C89="","",IF(COUNTIF(lst_Jobs,C89&amp;"")&gt;0,"OK","CHECK"))</f>
        <v/>
      </c>
      <c r="E89" s="26">
        <f>IF(C89="","",IFERROR(INDEX(lst_JobName,MATCH(C89&amp;"",lst_Jobs,0)),""))</f>
        <v/>
      </c>
      <c r="F89" s="22" t="n"/>
      <c r="G89" s="22" t="n"/>
      <c r="H89" s="22" t="n"/>
      <c r="I89" s="22" t="n"/>
      <c r="J89" s="22" t="n"/>
      <c r="K89" s="28">
        <f>IF(C89="","",COUNTIFS(tbl_Finance[Job Number],C89&amp;"",tbl_Finance[Ex GST],"&lt;&gt;"))</f>
        <v/>
      </c>
      <c r="L89" s="27">
        <f>IF(C89="","",SUMIFS(tbl_Finance[Ex GST],tbl_Finance[Job Number],C89&amp;""))</f>
        <v/>
      </c>
      <c r="M89" s="27">
        <f>IF(C89="","",SUMIFS(tbl_Finance[Ex GST],tbl_Finance[Job Number],C89&amp;"",tbl_Finance[Xero Invoice No],"&lt;&gt;"))</f>
        <v/>
      </c>
      <c r="N89" s="27">
        <f>IF(C89="","",L89-M89)</f>
        <v/>
      </c>
      <c r="O89" s="24" t="n"/>
      <c r="P89" s="27">
        <f>IF(C89="","",IF(O89="",0,MAX(0,O89-L89)))</f>
        <v/>
      </c>
      <c r="Q89" s="26">
        <f>IF(C89="","",IF(K89=0,"not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R89" s="22" t="n"/>
      <c r="S89" s="26">
        <f>IF(R89="","",HYPERLINK(IF(LEFT(R89,4)="http",R89,set_QwilrBase&amp;R89),"Open quote"))</f>
        <v/>
      </c>
      <c r="T89" s="24" t="n"/>
      <c r="U89" s="24" t="n"/>
      <c r="V89" s="24" t="n"/>
      <c r="W89" s="26">
        <f>IF(C89="","",IF(N(T89)+N(U89)+N(V89)=0,"Not split",IF(ROUND(N(T89)+N(U89)+N(V89),2)=ROUND(L89+P89,2),"OK",IF(K89=0,"Not invoiced yet","MISMATCH"))))</f>
        <v/>
      </c>
      <c r="X89" s="24" t="n"/>
      <c r="Y89" s="24" t="n"/>
      <c r="Z89" s="24" t="n"/>
      <c r="AA89" s="27">
        <f>IF(C89="","",N(X89)+N(Y89)+N(Z89))</f>
        <v/>
      </c>
      <c r="AB89" s="27">
        <f>IF(C89="","",L89+P89-AA89)</f>
        <v/>
      </c>
      <c r="AC89" s="29">
        <f>IFERROR(AB89/(L89+P89),"")</f>
        <v/>
      </c>
      <c r="AD89" s="22" t="n"/>
    </row>
    <row r="90" ht="15" customHeight="1">
      <c r="A90" s="70">
        <f>IF(C90="","",IFERROR(IF(SUMPRODUCT(MAX((tbl_Finance[Job Number]&amp;""=C90&amp;"")*(tbl_Finance[Xero Invoice No]&lt;&gt;"")*tbl_Finance[Date]))=0,"",SUMPRODUCT(MAX((tbl_Finance[Job Number]&amp;""=C90&amp;"")*(tbl_Finance[Xero Invoice No]&lt;&gt;"")*tbl_Finance[Date]))),""))</f>
        <v/>
      </c>
      <c r="B90" s="26">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2" t="n"/>
      <c r="D90" s="26">
        <f>IF(C90="","",IF(COUNTIF(lst_Jobs,C90&amp;"")&gt;0,"OK","CHECK"))</f>
        <v/>
      </c>
      <c r="E90" s="26">
        <f>IF(C90="","",IFERROR(INDEX(lst_JobName,MATCH(C90&amp;"",lst_Jobs,0)),""))</f>
        <v/>
      </c>
      <c r="F90" s="22" t="n"/>
      <c r="G90" s="22" t="n"/>
      <c r="H90" s="22" t="n"/>
      <c r="I90" s="22" t="n"/>
      <c r="J90" s="22" t="n"/>
      <c r="K90" s="28">
        <f>IF(C90="","",COUNTIFS(tbl_Finance[Job Number],C90&amp;"",tbl_Finance[Ex GST],"&lt;&gt;"))</f>
        <v/>
      </c>
      <c r="L90" s="27">
        <f>IF(C90="","",SUMIFS(tbl_Finance[Ex GST],tbl_Finance[Job Number],C90&amp;""))</f>
        <v/>
      </c>
      <c r="M90" s="27">
        <f>IF(C90="","",SUMIFS(tbl_Finance[Ex GST],tbl_Finance[Job Number],C90&amp;"",tbl_Finance[Xero Invoice No],"&lt;&gt;"))</f>
        <v/>
      </c>
      <c r="N90" s="27">
        <f>IF(C90="","",L90-M90)</f>
        <v/>
      </c>
      <c r="O90" s="24" t="n"/>
      <c r="P90" s="27">
        <f>IF(C90="","",IF(O90="",0,MAX(0,O90-L90)))</f>
        <v/>
      </c>
      <c r="Q90" s="26">
        <f>IF(C90="","",IF(K90=0,"not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R90" s="22" t="n"/>
      <c r="S90" s="26">
        <f>IF(R90="","",HYPERLINK(IF(LEFT(R90,4)="http",R90,set_QwilrBase&amp;R90),"Open quote"))</f>
        <v/>
      </c>
      <c r="T90" s="24" t="n"/>
      <c r="U90" s="24" t="n"/>
      <c r="V90" s="24" t="n"/>
      <c r="W90" s="26">
        <f>IF(C90="","",IF(N(T90)+N(U90)+N(V90)=0,"Not split",IF(ROUND(N(T90)+N(U90)+N(V90),2)=ROUND(L90+P90,2),"OK",IF(K90=0,"Not invoiced yet","MISMATCH"))))</f>
        <v/>
      </c>
      <c r="X90" s="24" t="n"/>
      <c r="Y90" s="24" t="n"/>
      <c r="Z90" s="24" t="n"/>
      <c r="AA90" s="27">
        <f>IF(C90="","",N(X90)+N(Y90)+N(Z90))</f>
        <v/>
      </c>
      <c r="AB90" s="27">
        <f>IF(C90="","",L90+P90-AA90)</f>
        <v/>
      </c>
      <c r="AC90" s="29">
        <f>IFERROR(AB90/(L90+P90),"")</f>
        <v/>
      </c>
      <c r="AD90" s="22" t="n"/>
    </row>
    <row r="91" ht="15" customHeight="1">
      <c r="A91" s="70">
        <f>IF(C91="","",IFERROR(IF(SUMPRODUCT(MAX((tbl_Finance[Job Number]&amp;""=C91&amp;"")*(tbl_Finance[Xero Invoice No]&lt;&gt;"")*tbl_Finance[Date]))=0,"",SUMPRODUCT(MAX((tbl_Finance[Job Number]&amp;""=C91&amp;"")*(tbl_Finance[Xero Invoice No]&lt;&gt;"")*tbl_Finance[Date]))),""))</f>
        <v/>
      </c>
      <c r="B91" s="26">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2" t="n"/>
      <c r="D91" s="26">
        <f>IF(C91="","",IF(COUNTIF(lst_Jobs,C91&amp;"")&gt;0,"OK","CHECK"))</f>
        <v/>
      </c>
      <c r="E91" s="26">
        <f>IF(C91="","",IFERROR(INDEX(lst_JobName,MATCH(C91&amp;"",lst_Jobs,0)),""))</f>
        <v/>
      </c>
      <c r="F91" s="22" t="n"/>
      <c r="G91" s="22" t="n"/>
      <c r="H91" s="22" t="n"/>
      <c r="I91" s="22" t="n"/>
      <c r="J91" s="22" t="n"/>
      <c r="K91" s="28">
        <f>IF(C91="","",COUNTIFS(tbl_Finance[Job Number],C91&amp;"",tbl_Finance[Ex GST],"&lt;&gt;"))</f>
        <v/>
      </c>
      <c r="L91" s="27">
        <f>IF(C91="","",SUMIFS(tbl_Finance[Ex GST],tbl_Finance[Job Number],C91&amp;""))</f>
        <v/>
      </c>
      <c r="M91" s="27">
        <f>IF(C91="","",SUMIFS(tbl_Finance[Ex GST],tbl_Finance[Job Number],C91&amp;"",tbl_Finance[Xero Invoice No],"&lt;&gt;"))</f>
        <v/>
      </c>
      <c r="N91" s="27">
        <f>IF(C91="","",L91-M91)</f>
        <v/>
      </c>
      <c r="O91" s="24" t="n"/>
      <c r="P91" s="27">
        <f>IF(C91="","",IF(O91="",0,MAX(0,O91-L91)))</f>
        <v/>
      </c>
      <c r="Q91" s="26">
        <f>IF(C91="","",IF(K91=0,"not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R91" s="22" t="n"/>
      <c r="S91" s="26">
        <f>IF(R91="","",HYPERLINK(IF(LEFT(R91,4)="http",R91,set_QwilrBase&amp;R91),"Open quote"))</f>
        <v/>
      </c>
      <c r="T91" s="24" t="n"/>
      <c r="U91" s="24" t="n"/>
      <c r="V91" s="24" t="n"/>
      <c r="W91" s="26">
        <f>IF(C91="","",IF(N(T91)+N(U91)+N(V91)=0,"Not split",IF(ROUND(N(T91)+N(U91)+N(V91),2)=ROUND(L91+P91,2),"OK",IF(K91=0,"Not invoiced yet","MISMATCH"))))</f>
        <v/>
      </c>
      <c r="X91" s="24" t="n"/>
      <c r="Y91" s="24" t="n"/>
      <c r="Z91" s="24" t="n"/>
      <c r="AA91" s="27">
        <f>IF(C91="","",N(X91)+N(Y91)+N(Z91))</f>
        <v/>
      </c>
      <c r="AB91" s="27">
        <f>IF(C91="","",L91+P91-AA91)</f>
        <v/>
      </c>
      <c r="AC91" s="29">
        <f>IFERROR(AB91/(L91+P91),"")</f>
        <v/>
      </c>
      <c r="AD91" s="22" t="n"/>
    </row>
    <row r="92" ht="15" customHeight="1">
      <c r="A92" s="70">
        <f>IF(C92="","",IFERROR(IF(SUMPRODUCT(MAX((tbl_Finance[Job Number]&amp;""=C92&amp;"")*(tbl_Finance[Xero Invoice No]&lt;&gt;"")*tbl_Finance[Date]))=0,"",SUMPRODUCT(MAX((tbl_Finance[Job Number]&amp;""=C92&amp;"")*(tbl_Finance[Xero Invoice No]&lt;&gt;"")*tbl_Finance[Date]))),""))</f>
        <v/>
      </c>
      <c r="B92" s="26">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2" t="n"/>
      <c r="D92" s="26">
        <f>IF(C92="","",IF(COUNTIF(lst_Jobs,C92&amp;"")&gt;0,"OK","CHECK"))</f>
        <v/>
      </c>
      <c r="E92" s="26">
        <f>IF(C92="","",IFERROR(INDEX(lst_JobName,MATCH(C92&amp;"",lst_Jobs,0)),""))</f>
        <v/>
      </c>
      <c r="F92" s="22" t="n"/>
      <c r="G92" s="22" t="n"/>
      <c r="H92" s="22" t="n"/>
      <c r="I92" s="22" t="n"/>
      <c r="J92" s="22" t="n"/>
      <c r="K92" s="28">
        <f>IF(C92="","",COUNTIFS(tbl_Finance[Job Number],C92&amp;"",tbl_Finance[Ex GST],"&lt;&gt;"))</f>
        <v/>
      </c>
      <c r="L92" s="27">
        <f>IF(C92="","",SUMIFS(tbl_Finance[Ex GST],tbl_Finance[Job Number],C92&amp;""))</f>
        <v/>
      </c>
      <c r="M92" s="27">
        <f>IF(C92="","",SUMIFS(tbl_Finance[Ex GST],tbl_Finance[Job Number],C92&amp;"",tbl_Finance[Xero Invoice No],"&lt;&gt;"))</f>
        <v/>
      </c>
      <c r="N92" s="27">
        <f>IF(C92="","",L92-M92)</f>
        <v/>
      </c>
      <c r="O92" s="24" t="n"/>
      <c r="P92" s="27">
        <f>IF(C92="","",IF(O92="",0,MAX(0,O92-L92)))</f>
        <v/>
      </c>
      <c r="Q92" s="26">
        <f>IF(C92="","",IF(K92=0,"not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R92" s="22" t="n"/>
      <c r="S92" s="26">
        <f>IF(R92="","",HYPERLINK(IF(LEFT(R92,4)="http",R92,set_QwilrBase&amp;R92),"Open quote"))</f>
        <v/>
      </c>
      <c r="T92" s="24" t="n"/>
      <c r="U92" s="24" t="n"/>
      <c r="V92" s="24" t="n"/>
      <c r="W92" s="26">
        <f>IF(C92="","",IF(N(T92)+N(U92)+N(V92)=0,"Not split",IF(ROUND(N(T92)+N(U92)+N(V92),2)=ROUND(L92+P92,2),"OK",IF(K92=0,"Not invoiced yet","MISMATCH"))))</f>
        <v/>
      </c>
      <c r="X92" s="24" t="n"/>
      <c r="Y92" s="24" t="n"/>
      <c r="Z92" s="24" t="n"/>
      <c r="AA92" s="27">
        <f>IF(C92="","",N(X92)+N(Y92)+N(Z92))</f>
        <v/>
      </c>
      <c r="AB92" s="27">
        <f>IF(C92="","",L92+P92-AA92)</f>
        <v/>
      </c>
      <c r="AC92" s="29">
        <f>IFERROR(AB92/(L92+P92),"")</f>
        <v/>
      </c>
      <c r="AD92" s="22" t="n"/>
    </row>
    <row r="93" ht="15" customHeight="1">
      <c r="A93" s="70">
        <f>IF(C93="","",IFERROR(IF(SUMPRODUCT(MAX((tbl_Finance[Job Number]&amp;""=C93&amp;"")*(tbl_Finance[Xero Invoice No]&lt;&gt;"")*tbl_Finance[Date]))=0,"",SUMPRODUCT(MAX((tbl_Finance[Job Number]&amp;""=C93&amp;"")*(tbl_Finance[Xero Invoice No]&lt;&gt;"")*tbl_Finance[Date]))),""))</f>
        <v/>
      </c>
      <c r="B93" s="26">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2" t="n"/>
      <c r="D93" s="26">
        <f>IF(C93="","",IF(COUNTIF(lst_Jobs,C93&amp;"")&gt;0,"OK","CHECK"))</f>
        <v/>
      </c>
      <c r="E93" s="26">
        <f>IF(C93="","",IFERROR(INDEX(lst_JobName,MATCH(C93&amp;"",lst_Jobs,0)),""))</f>
        <v/>
      </c>
      <c r="F93" s="22" t="n"/>
      <c r="G93" s="22" t="n"/>
      <c r="H93" s="22" t="n"/>
      <c r="I93" s="22" t="n"/>
      <c r="J93" s="22" t="n"/>
      <c r="K93" s="28">
        <f>IF(C93="","",COUNTIFS(tbl_Finance[Job Number],C93&amp;"",tbl_Finance[Ex GST],"&lt;&gt;"))</f>
        <v/>
      </c>
      <c r="L93" s="27">
        <f>IF(C93="","",SUMIFS(tbl_Finance[Ex GST],tbl_Finance[Job Number],C93&amp;""))</f>
        <v/>
      </c>
      <c r="M93" s="27">
        <f>IF(C93="","",SUMIFS(tbl_Finance[Ex GST],tbl_Finance[Job Number],C93&amp;"",tbl_Finance[Xero Invoice No],"&lt;&gt;"))</f>
        <v/>
      </c>
      <c r="N93" s="27">
        <f>IF(C93="","",L93-M93)</f>
        <v/>
      </c>
      <c r="O93" s="24" t="n"/>
      <c r="P93" s="27">
        <f>IF(C93="","",IF(O93="",0,MAX(0,O93-L93)))</f>
        <v/>
      </c>
      <c r="Q93" s="26">
        <f>IF(C93="","",IF(K93=0,"not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R93" s="22" t="n"/>
      <c r="S93" s="26">
        <f>IF(R93="","",HYPERLINK(IF(LEFT(R93,4)="http",R93,set_QwilrBase&amp;R93),"Open quote"))</f>
        <v/>
      </c>
      <c r="T93" s="24" t="n"/>
      <c r="U93" s="24" t="n"/>
      <c r="V93" s="24" t="n"/>
      <c r="W93" s="26">
        <f>IF(C93="","",IF(N(T93)+N(U93)+N(V93)=0,"Not split",IF(ROUND(N(T93)+N(U93)+N(V93),2)=ROUND(L93+P93,2),"OK",IF(K93=0,"Not invoiced yet","MISMATCH"))))</f>
        <v/>
      </c>
      <c r="X93" s="24" t="n"/>
      <c r="Y93" s="24" t="n"/>
      <c r="Z93" s="24" t="n"/>
      <c r="AA93" s="27">
        <f>IF(C93="","",N(X93)+N(Y93)+N(Z93))</f>
        <v/>
      </c>
      <c r="AB93" s="27">
        <f>IF(C93="","",L93+P93-AA93)</f>
        <v/>
      </c>
      <c r="AC93" s="29">
        <f>IFERROR(AB93/(L93+P93),"")</f>
        <v/>
      </c>
      <c r="AD93" s="22" t="n"/>
    </row>
    <row r="94" ht="15" customHeight="1">
      <c r="A94" s="70">
        <f>IF(C94="","",IFERROR(IF(SUMPRODUCT(MAX((tbl_Finance[Job Number]&amp;""=C94&amp;"")*(tbl_Finance[Xero Invoice No]&lt;&gt;"")*tbl_Finance[Date]))=0,"",SUMPRODUCT(MAX((tbl_Finance[Job Number]&amp;""=C94&amp;"")*(tbl_Finance[Xero Invoice No]&lt;&gt;"")*tbl_Finance[Date]))),""))</f>
        <v/>
      </c>
      <c r="B94" s="26">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2" t="n"/>
      <c r="D94" s="26">
        <f>IF(C94="","",IF(COUNTIF(lst_Jobs,C94&amp;"")&gt;0,"OK","CHECK"))</f>
        <v/>
      </c>
      <c r="E94" s="26">
        <f>IF(C94="","",IFERROR(INDEX(lst_JobName,MATCH(C94&amp;"",lst_Jobs,0)),""))</f>
        <v/>
      </c>
      <c r="F94" s="22" t="n"/>
      <c r="G94" s="22" t="n"/>
      <c r="H94" s="22" t="n"/>
      <c r="I94" s="22" t="n"/>
      <c r="J94" s="22" t="n"/>
      <c r="K94" s="28">
        <f>IF(C94="","",COUNTIFS(tbl_Finance[Job Number],C94&amp;"",tbl_Finance[Ex GST],"&lt;&gt;"))</f>
        <v/>
      </c>
      <c r="L94" s="27">
        <f>IF(C94="","",SUMIFS(tbl_Finance[Ex GST],tbl_Finance[Job Number],C94&amp;""))</f>
        <v/>
      </c>
      <c r="M94" s="27">
        <f>IF(C94="","",SUMIFS(tbl_Finance[Ex GST],tbl_Finance[Job Number],C94&amp;"",tbl_Finance[Xero Invoice No],"&lt;&gt;"))</f>
        <v/>
      </c>
      <c r="N94" s="27">
        <f>IF(C94="","",L94-M94)</f>
        <v/>
      </c>
      <c r="O94" s="24" t="n"/>
      <c r="P94" s="27">
        <f>IF(C94="","",IF(O94="",0,MAX(0,O94-L94)))</f>
        <v/>
      </c>
      <c r="Q94" s="26">
        <f>IF(C94="","",IF(K94=0,"not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R94" s="22" t="n"/>
      <c r="S94" s="26">
        <f>IF(R94="","",HYPERLINK(IF(LEFT(R94,4)="http",R94,set_QwilrBase&amp;R94),"Open quote"))</f>
        <v/>
      </c>
      <c r="T94" s="24" t="n"/>
      <c r="U94" s="24" t="n"/>
      <c r="V94" s="24" t="n"/>
      <c r="W94" s="26">
        <f>IF(C94="","",IF(N(T94)+N(U94)+N(V94)=0,"Not split",IF(ROUND(N(T94)+N(U94)+N(V94),2)=ROUND(L94+P94,2),"OK",IF(K94=0,"Not invoiced yet","MISMATCH"))))</f>
        <v/>
      </c>
      <c r="X94" s="24" t="n"/>
      <c r="Y94" s="24" t="n"/>
      <c r="Z94" s="24" t="n"/>
      <c r="AA94" s="27">
        <f>IF(C94="","",N(X94)+N(Y94)+N(Z94))</f>
        <v/>
      </c>
      <c r="AB94" s="27">
        <f>IF(C94="","",L94+P94-AA94)</f>
        <v/>
      </c>
      <c r="AC94" s="29">
        <f>IFERROR(AB94/(L94+P94),"")</f>
        <v/>
      </c>
      <c r="AD94" s="22" t="n"/>
    </row>
    <row r="95" ht="15" customHeight="1">
      <c r="A95" s="70">
        <f>IF(C95="","",IFERROR(IF(SUMPRODUCT(MAX((tbl_Finance[Job Number]&amp;""=C95&amp;"")*(tbl_Finance[Xero Invoice No]&lt;&gt;"")*tbl_Finance[Date]))=0,"",SUMPRODUCT(MAX((tbl_Finance[Job Number]&amp;""=C95&amp;"")*(tbl_Finance[Xero Invoice No]&lt;&gt;"")*tbl_Finance[Date]))),""))</f>
        <v/>
      </c>
      <c r="B95" s="26">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2" t="n"/>
      <c r="D95" s="26">
        <f>IF(C95="","",IF(COUNTIF(lst_Jobs,C95&amp;"")&gt;0,"OK","CHECK"))</f>
        <v/>
      </c>
      <c r="E95" s="26">
        <f>IF(C95="","",IFERROR(INDEX(lst_JobName,MATCH(C95&amp;"",lst_Jobs,0)),""))</f>
        <v/>
      </c>
      <c r="F95" s="22" t="n"/>
      <c r="G95" s="22" t="n"/>
      <c r="H95" s="22" t="n"/>
      <c r="I95" s="22" t="n"/>
      <c r="J95" s="22" t="n"/>
      <c r="K95" s="28">
        <f>IF(C95="","",COUNTIFS(tbl_Finance[Job Number],C95&amp;"",tbl_Finance[Ex GST],"&lt;&gt;"))</f>
        <v/>
      </c>
      <c r="L95" s="27">
        <f>IF(C95="","",SUMIFS(tbl_Finance[Ex GST],tbl_Finance[Job Number],C95&amp;""))</f>
        <v/>
      </c>
      <c r="M95" s="27">
        <f>IF(C95="","",SUMIFS(tbl_Finance[Ex GST],tbl_Finance[Job Number],C95&amp;"",tbl_Finance[Xero Invoice No],"&lt;&gt;"))</f>
        <v/>
      </c>
      <c r="N95" s="27">
        <f>IF(C95="","",L95-M95)</f>
        <v/>
      </c>
      <c r="O95" s="24" t="n"/>
      <c r="P95" s="27">
        <f>IF(C95="","",IF(O95="",0,MAX(0,O95-L95)))</f>
        <v/>
      </c>
      <c r="Q95" s="26">
        <f>IF(C95="","",IF(K95=0,"not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R95" s="22" t="n"/>
      <c r="S95" s="26">
        <f>IF(R95="","",HYPERLINK(IF(LEFT(R95,4)="http",R95,set_QwilrBase&amp;R95),"Open quote"))</f>
        <v/>
      </c>
      <c r="T95" s="24" t="n"/>
      <c r="U95" s="24" t="n"/>
      <c r="V95" s="24" t="n"/>
      <c r="W95" s="26">
        <f>IF(C95="","",IF(N(T95)+N(U95)+N(V95)=0,"Not split",IF(ROUND(N(T95)+N(U95)+N(V95),2)=ROUND(L95+P95,2),"OK",IF(K95=0,"Not invoiced yet","MISMATCH"))))</f>
        <v/>
      </c>
      <c r="X95" s="24" t="n"/>
      <c r="Y95" s="24" t="n"/>
      <c r="Z95" s="24" t="n"/>
      <c r="AA95" s="27">
        <f>IF(C95="","",N(X95)+N(Y95)+N(Z95))</f>
        <v/>
      </c>
      <c r="AB95" s="27">
        <f>IF(C95="","",L95+P95-AA95)</f>
        <v/>
      </c>
      <c r="AC95" s="29">
        <f>IFERROR(AB95/(L95+P95),"")</f>
        <v/>
      </c>
      <c r="AD95" s="22" t="n"/>
    </row>
    <row r="96" ht="15" customHeight="1">
      <c r="A96" s="70">
        <f>IF(C96="","",IFERROR(IF(SUMPRODUCT(MAX((tbl_Finance[Job Number]&amp;""=C96&amp;"")*(tbl_Finance[Xero Invoice No]&lt;&gt;"")*tbl_Finance[Date]))=0,"",SUMPRODUCT(MAX((tbl_Finance[Job Number]&amp;""=C96&amp;"")*(tbl_Finance[Xero Invoice No]&lt;&gt;"")*tbl_Finance[Date]))),""))</f>
        <v/>
      </c>
      <c r="B96" s="26">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2" t="n"/>
      <c r="D96" s="26">
        <f>IF(C96="","",IF(COUNTIF(lst_Jobs,C96&amp;"")&gt;0,"OK","CHECK"))</f>
        <v/>
      </c>
      <c r="E96" s="26">
        <f>IF(C96="","",IFERROR(INDEX(lst_JobName,MATCH(C96&amp;"",lst_Jobs,0)),""))</f>
        <v/>
      </c>
      <c r="F96" s="22" t="n"/>
      <c r="G96" s="22" t="n"/>
      <c r="H96" s="22" t="n"/>
      <c r="I96" s="22" t="n"/>
      <c r="J96" s="22" t="n"/>
      <c r="K96" s="28">
        <f>IF(C96="","",COUNTIFS(tbl_Finance[Job Number],C96&amp;"",tbl_Finance[Ex GST],"&lt;&gt;"))</f>
        <v/>
      </c>
      <c r="L96" s="27">
        <f>IF(C96="","",SUMIFS(tbl_Finance[Ex GST],tbl_Finance[Job Number],C96&amp;""))</f>
        <v/>
      </c>
      <c r="M96" s="27">
        <f>IF(C96="","",SUMIFS(tbl_Finance[Ex GST],tbl_Finance[Job Number],C96&amp;"",tbl_Finance[Xero Invoice No],"&lt;&gt;"))</f>
        <v/>
      </c>
      <c r="N96" s="27">
        <f>IF(C96="","",L96-M96)</f>
        <v/>
      </c>
      <c r="O96" s="24" t="n"/>
      <c r="P96" s="27">
        <f>IF(C96="","",IF(O96="",0,MAX(0,O96-L96)))</f>
        <v/>
      </c>
      <c r="Q96" s="26">
        <f>IF(C96="","",IF(K96=0,"not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R96" s="22" t="n"/>
      <c r="S96" s="26">
        <f>IF(R96="","",HYPERLINK(IF(LEFT(R96,4)="http",R96,set_QwilrBase&amp;R96),"Open quote"))</f>
        <v/>
      </c>
      <c r="T96" s="24" t="n"/>
      <c r="U96" s="24" t="n"/>
      <c r="V96" s="24" t="n"/>
      <c r="W96" s="26">
        <f>IF(C96="","",IF(N(T96)+N(U96)+N(V96)=0,"Not split",IF(ROUND(N(T96)+N(U96)+N(V96),2)=ROUND(L96+P96,2),"OK",IF(K96=0,"Not invoiced yet","MISMATCH"))))</f>
        <v/>
      </c>
      <c r="X96" s="24" t="n"/>
      <c r="Y96" s="24" t="n"/>
      <c r="Z96" s="24" t="n"/>
      <c r="AA96" s="27">
        <f>IF(C96="","",N(X96)+N(Y96)+N(Z96))</f>
        <v/>
      </c>
      <c r="AB96" s="27">
        <f>IF(C96="","",L96+P96-AA96)</f>
        <v/>
      </c>
      <c r="AC96" s="29">
        <f>IFERROR(AB96/(L96+P96),"")</f>
        <v/>
      </c>
      <c r="AD96" s="22" t="n"/>
    </row>
    <row r="97" ht="15" customHeight="1">
      <c r="A97" s="70">
        <f>IF(C97="","",IFERROR(IF(SUMPRODUCT(MAX((tbl_Finance[Job Number]&amp;""=C97&amp;"")*(tbl_Finance[Xero Invoice No]&lt;&gt;"")*tbl_Finance[Date]))=0,"",SUMPRODUCT(MAX((tbl_Finance[Job Number]&amp;""=C97&amp;"")*(tbl_Finance[Xero Invoice No]&lt;&gt;"")*tbl_Finance[Date]))),""))</f>
        <v/>
      </c>
      <c r="B97" s="26">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2" t="n"/>
      <c r="D97" s="26">
        <f>IF(C97="","",IF(COUNTIF(lst_Jobs,C97&amp;"")&gt;0,"OK","CHECK"))</f>
        <v/>
      </c>
      <c r="E97" s="26">
        <f>IF(C97="","",IFERROR(INDEX(lst_JobName,MATCH(C97&amp;"",lst_Jobs,0)),""))</f>
        <v/>
      </c>
      <c r="F97" s="22" t="n"/>
      <c r="G97" s="22" t="n"/>
      <c r="H97" s="22" t="n"/>
      <c r="I97" s="22" t="n"/>
      <c r="J97" s="22" t="n"/>
      <c r="K97" s="28">
        <f>IF(C97="","",COUNTIFS(tbl_Finance[Job Number],C97&amp;"",tbl_Finance[Ex GST],"&lt;&gt;"))</f>
        <v/>
      </c>
      <c r="L97" s="27">
        <f>IF(C97="","",SUMIFS(tbl_Finance[Ex GST],tbl_Finance[Job Number],C97&amp;""))</f>
        <v/>
      </c>
      <c r="M97" s="27">
        <f>IF(C97="","",SUMIFS(tbl_Finance[Ex GST],tbl_Finance[Job Number],C97&amp;"",tbl_Finance[Xero Invoice No],"&lt;&gt;"))</f>
        <v/>
      </c>
      <c r="N97" s="27">
        <f>IF(C97="","",L97-M97)</f>
        <v/>
      </c>
      <c r="O97" s="24" t="n"/>
      <c r="P97" s="27">
        <f>IF(C97="","",IF(O97="",0,MAX(0,O97-L97)))</f>
        <v/>
      </c>
      <c r="Q97" s="26">
        <f>IF(C97="","",IF(K97=0,"not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R97" s="22" t="n"/>
      <c r="S97" s="26">
        <f>IF(R97="","",HYPERLINK(IF(LEFT(R97,4)="http",R97,set_QwilrBase&amp;R97),"Open quote"))</f>
        <v/>
      </c>
      <c r="T97" s="24" t="n"/>
      <c r="U97" s="24" t="n"/>
      <c r="V97" s="24" t="n"/>
      <c r="W97" s="26">
        <f>IF(C97="","",IF(N(T97)+N(U97)+N(V97)=0,"Not split",IF(ROUND(N(T97)+N(U97)+N(V97),2)=ROUND(L97+P97,2),"OK",IF(K97=0,"Not invoiced yet","MISMATCH"))))</f>
        <v/>
      </c>
      <c r="X97" s="24" t="n"/>
      <c r="Y97" s="24" t="n"/>
      <c r="Z97" s="24" t="n"/>
      <c r="AA97" s="27">
        <f>IF(C97="","",N(X97)+N(Y97)+N(Z97))</f>
        <v/>
      </c>
      <c r="AB97" s="27">
        <f>IF(C97="","",L97+P97-AA97)</f>
        <v/>
      </c>
      <c r="AC97" s="29">
        <f>IFERROR(AB97/(L97+P97),"")</f>
        <v/>
      </c>
      <c r="AD97" s="22" t="n"/>
    </row>
    <row r="98" ht="15" customHeight="1">
      <c r="A98" s="70">
        <f>IF(C98="","",IFERROR(IF(SUMPRODUCT(MAX((tbl_Finance[Job Number]&amp;""=C98&amp;"")*(tbl_Finance[Xero Invoice No]&lt;&gt;"")*tbl_Finance[Date]))=0,"",SUMPRODUCT(MAX((tbl_Finance[Job Number]&amp;""=C98&amp;"")*(tbl_Finance[Xero Invoice No]&lt;&gt;"")*tbl_Finance[Date]))),""))</f>
        <v/>
      </c>
      <c r="B98" s="26">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2" t="n"/>
      <c r="D98" s="26">
        <f>IF(C98="","",IF(COUNTIF(lst_Jobs,C98&amp;"")&gt;0,"OK","CHECK"))</f>
        <v/>
      </c>
      <c r="E98" s="26">
        <f>IF(C98="","",IFERROR(INDEX(lst_JobName,MATCH(C98&amp;"",lst_Jobs,0)),""))</f>
        <v/>
      </c>
      <c r="F98" s="22" t="n"/>
      <c r="G98" s="22" t="n"/>
      <c r="H98" s="22" t="n"/>
      <c r="I98" s="22" t="n"/>
      <c r="J98" s="22" t="n"/>
      <c r="K98" s="28">
        <f>IF(C98="","",COUNTIFS(tbl_Finance[Job Number],C98&amp;"",tbl_Finance[Ex GST],"&lt;&gt;"))</f>
        <v/>
      </c>
      <c r="L98" s="27">
        <f>IF(C98="","",SUMIFS(tbl_Finance[Ex GST],tbl_Finance[Job Number],C98&amp;""))</f>
        <v/>
      </c>
      <c r="M98" s="27">
        <f>IF(C98="","",SUMIFS(tbl_Finance[Ex GST],tbl_Finance[Job Number],C98&amp;"",tbl_Finance[Xero Invoice No],"&lt;&gt;"))</f>
        <v/>
      </c>
      <c r="N98" s="27">
        <f>IF(C98="","",L98-M98)</f>
        <v/>
      </c>
      <c r="O98" s="24" t="n"/>
      <c r="P98" s="27">
        <f>IF(C98="","",IF(O98="",0,MAX(0,O98-L98)))</f>
        <v/>
      </c>
      <c r="Q98" s="26">
        <f>IF(C98="","",IF(K98=0,"not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R98" s="22" t="n"/>
      <c r="S98" s="26">
        <f>IF(R98="","",HYPERLINK(IF(LEFT(R98,4)="http",R98,set_QwilrBase&amp;R98),"Open quote"))</f>
        <v/>
      </c>
      <c r="T98" s="24" t="n"/>
      <c r="U98" s="24" t="n"/>
      <c r="V98" s="24" t="n"/>
      <c r="W98" s="26">
        <f>IF(C98="","",IF(N(T98)+N(U98)+N(V98)=0,"Not split",IF(ROUND(N(T98)+N(U98)+N(V98),2)=ROUND(L98+P98,2),"OK",IF(K98=0,"Not invoiced yet","MISMATCH"))))</f>
        <v/>
      </c>
      <c r="X98" s="24" t="n"/>
      <c r="Y98" s="24" t="n"/>
      <c r="Z98" s="24" t="n"/>
      <c r="AA98" s="27">
        <f>IF(C98="","",N(X98)+N(Y98)+N(Z98))</f>
        <v/>
      </c>
      <c r="AB98" s="27">
        <f>IF(C98="","",L98+P98-AA98)</f>
        <v/>
      </c>
      <c r="AC98" s="29">
        <f>IFERROR(AB98/(L98+P98),"")</f>
        <v/>
      </c>
      <c r="AD98" s="22" t="n"/>
    </row>
    <row r="99" ht="15" customHeight="1">
      <c r="A99" s="70">
        <f>IF(C99="","",IFERROR(IF(SUMPRODUCT(MAX((tbl_Finance[Job Number]&amp;""=C99&amp;"")*(tbl_Finance[Xero Invoice No]&lt;&gt;"")*tbl_Finance[Date]))=0,"",SUMPRODUCT(MAX((tbl_Finance[Job Number]&amp;""=C99&amp;"")*(tbl_Finance[Xero Invoice No]&lt;&gt;"")*tbl_Finance[Date]))),""))</f>
        <v/>
      </c>
      <c r="B99" s="26">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2" t="n"/>
      <c r="D99" s="26">
        <f>IF(C99="","",IF(COUNTIF(lst_Jobs,C99&amp;"")&gt;0,"OK","CHECK"))</f>
        <v/>
      </c>
      <c r="E99" s="26">
        <f>IF(C99="","",IFERROR(INDEX(lst_JobName,MATCH(C99&amp;"",lst_Jobs,0)),""))</f>
        <v/>
      </c>
      <c r="F99" s="22" t="n"/>
      <c r="G99" s="22" t="n"/>
      <c r="H99" s="22" t="n"/>
      <c r="I99" s="22" t="n"/>
      <c r="J99" s="22" t="n"/>
      <c r="K99" s="28">
        <f>IF(C99="","",COUNTIFS(tbl_Finance[Job Number],C99&amp;"",tbl_Finance[Ex GST],"&lt;&gt;"))</f>
        <v/>
      </c>
      <c r="L99" s="27">
        <f>IF(C99="","",SUMIFS(tbl_Finance[Ex GST],tbl_Finance[Job Number],C99&amp;""))</f>
        <v/>
      </c>
      <c r="M99" s="27">
        <f>IF(C99="","",SUMIFS(tbl_Finance[Ex GST],tbl_Finance[Job Number],C99&amp;"",tbl_Finance[Xero Invoice No],"&lt;&gt;"))</f>
        <v/>
      </c>
      <c r="N99" s="27">
        <f>IF(C99="","",L99-M99)</f>
        <v/>
      </c>
      <c r="O99" s="24" t="n"/>
      <c r="P99" s="27">
        <f>IF(C99="","",IF(O99="",0,MAX(0,O99-L99)))</f>
        <v/>
      </c>
      <c r="Q99" s="26">
        <f>IF(C99="","",IF(K99=0,"not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R99" s="22" t="n"/>
      <c r="S99" s="26">
        <f>IF(R99="","",HYPERLINK(IF(LEFT(R99,4)="http",R99,set_QwilrBase&amp;R99),"Open quote"))</f>
        <v/>
      </c>
      <c r="T99" s="24" t="n"/>
      <c r="U99" s="24" t="n"/>
      <c r="V99" s="24" t="n"/>
      <c r="W99" s="26">
        <f>IF(C99="","",IF(N(T99)+N(U99)+N(V99)=0,"Not split",IF(ROUND(N(T99)+N(U99)+N(V99),2)=ROUND(L99+P99,2),"OK",IF(K99=0,"Not invoiced yet","MISMATCH"))))</f>
        <v/>
      </c>
      <c r="X99" s="24" t="n"/>
      <c r="Y99" s="24" t="n"/>
      <c r="Z99" s="24" t="n"/>
      <c r="AA99" s="27">
        <f>IF(C99="","",N(X99)+N(Y99)+N(Z99))</f>
        <v/>
      </c>
      <c r="AB99" s="27">
        <f>IF(C99="","",L99+P99-AA99)</f>
        <v/>
      </c>
      <c r="AC99" s="29">
        <f>IFERROR(AB99/(L99+P99),"")</f>
        <v/>
      </c>
      <c r="AD99" s="22" t="n"/>
    </row>
    <row r="100" ht="15" customHeight="1">
      <c r="A100" s="70">
        <f>IF(C100="","",IFERROR(IF(SUMPRODUCT(MAX((tbl_Finance[Job Number]&amp;""=C100&amp;"")*(tbl_Finance[Xero Invoice No]&lt;&gt;"")*tbl_Finance[Date]))=0,"",SUMPRODUCT(MAX((tbl_Finance[Job Number]&amp;""=C100&amp;"")*(tbl_Finance[Xero Invoice No]&lt;&gt;"")*tbl_Finance[Date]))),""))</f>
        <v/>
      </c>
      <c r="B100" s="26">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2" t="n"/>
      <c r="D100" s="26">
        <f>IF(C100="","",IF(COUNTIF(lst_Jobs,C100&amp;"")&gt;0,"OK","CHECK"))</f>
        <v/>
      </c>
      <c r="E100" s="26">
        <f>IF(C100="","",IFERROR(INDEX(lst_JobName,MATCH(C100&amp;"",lst_Jobs,0)),""))</f>
        <v/>
      </c>
      <c r="F100" s="22" t="n"/>
      <c r="G100" s="22" t="n"/>
      <c r="H100" s="22" t="n"/>
      <c r="I100" s="22" t="n"/>
      <c r="J100" s="22" t="n"/>
      <c r="K100" s="28">
        <f>IF(C100="","",COUNTIFS(tbl_Finance[Job Number],C100&amp;"",tbl_Finance[Ex GST],"&lt;&gt;"))</f>
        <v/>
      </c>
      <c r="L100" s="27">
        <f>IF(C100="","",SUMIFS(tbl_Finance[Ex GST],tbl_Finance[Job Number],C100&amp;""))</f>
        <v/>
      </c>
      <c r="M100" s="27">
        <f>IF(C100="","",SUMIFS(tbl_Finance[Ex GST],tbl_Finance[Job Number],C100&amp;"",tbl_Finance[Xero Invoice No],"&lt;&gt;"))</f>
        <v/>
      </c>
      <c r="N100" s="27">
        <f>IF(C100="","",L100-M100)</f>
        <v/>
      </c>
      <c r="O100" s="24" t="n"/>
      <c r="P100" s="27">
        <f>IF(C100="","",IF(O100="",0,MAX(0,O100-L100)))</f>
        <v/>
      </c>
      <c r="Q100" s="26">
        <f>IF(C100="","",IF(K100=0,"not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R100" s="22" t="n"/>
      <c r="S100" s="26">
        <f>IF(R100="","",HYPERLINK(IF(LEFT(R100,4)="http",R100,set_QwilrBase&amp;R100),"Open quote"))</f>
        <v/>
      </c>
      <c r="T100" s="24" t="n"/>
      <c r="U100" s="24" t="n"/>
      <c r="V100" s="24" t="n"/>
      <c r="W100" s="26">
        <f>IF(C100="","",IF(N(T100)+N(U100)+N(V100)=0,"Not split",IF(ROUND(N(T100)+N(U100)+N(V100),2)=ROUND(L100+P100,2),"OK",IF(K100=0,"Not invoiced yet","MISMATCH"))))</f>
        <v/>
      </c>
      <c r="X100" s="24" t="n"/>
      <c r="Y100" s="24" t="n"/>
      <c r="Z100" s="24" t="n"/>
      <c r="AA100" s="27">
        <f>IF(C100="","",N(X100)+N(Y100)+N(Z100))</f>
        <v/>
      </c>
      <c r="AB100" s="27">
        <f>IF(C100="","",L100+P100-AA100)</f>
        <v/>
      </c>
      <c r="AC100" s="29">
        <f>IFERROR(AB100/(L100+P100),"")</f>
        <v/>
      </c>
      <c r="AD100" s="22" t="n"/>
    </row>
    <row r="101" ht="15" customHeight="1">
      <c r="A101" s="70">
        <f>IF(C101="","",IFERROR(IF(SUMPRODUCT(MAX((tbl_Finance[Job Number]&amp;""=C101&amp;"")*(tbl_Finance[Xero Invoice No]&lt;&gt;"")*tbl_Finance[Date]))=0,"",SUMPRODUCT(MAX((tbl_Finance[Job Number]&amp;""=C101&amp;"")*(tbl_Finance[Xero Invoice No]&lt;&gt;"")*tbl_Finance[Date]))),""))</f>
        <v/>
      </c>
      <c r="B101" s="26">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2" t="n"/>
      <c r="D101" s="26">
        <f>IF(C101="","",IF(COUNTIF(lst_Jobs,C101&amp;"")&gt;0,"OK","CHECK"))</f>
        <v/>
      </c>
      <c r="E101" s="26">
        <f>IF(C101="","",IFERROR(INDEX(lst_JobName,MATCH(C101&amp;"",lst_Jobs,0)),""))</f>
        <v/>
      </c>
      <c r="F101" s="22" t="n"/>
      <c r="G101" s="22" t="n"/>
      <c r="H101" s="22" t="n"/>
      <c r="I101" s="22" t="n"/>
      <c r="J101" s="22" t="n"/>
      <c r="K101" s="28">
        <f>IF(C101="","",COUNTIFS(tbl_Finance[Job Number],C101&amp;"",tbl_Finance[Ex GST],"&lt;&gt;"))</f>
        <v/>
      </c>
      <c r="L101" s="27">
        <f>IF(C101="","",SUMIFS(tbl_Finance[Ex GST],tbl_Finance[Job Number],C101&amp;""))</f>
        <v/>
      </c>
      <c r="M101" s="27">
        <f>IF(C101="","",SUMIFS(tbl_Finance[Ex GST],tbl_Finance[Job Number],C101&amp;"",tbl_Finance[Xero Invoice No],"&lt;&gt;"))</f>
        <v/>
      </c>
      <c r="N101" s="27">
        <f>IF(C101="","",L101-M101)</f>
        <v/>
      </c>
      <c r="O101" s="24" t="n"/>
      <c r="P101" s="27">
        <f>IF(C101="","",IF(O101="",0,MAX(0,O101-L101)))</f>
        <v/>
      </c>
      <c r="Q101" s="26">
        <f>IF(C101="","",IF(K101=0,"not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R101" s="22" t="n"/>
      <c r="S101" s="26">
        <f>IF(R101="","",HYPERLINK(IF(LEFT(R101,4)="http",R101,set_QwilrBase&amp;R101),"Open quote"))</f>
        <v/>
      </c>
      <c r="T101" s="24" t="n"/>
      <c r="U101" s="24" t="n"/>
      <c r="V101" s="24" t="n"/>
      <c r="W101" s="26">
        <f>IF(C101="","",IF(N(T101)+N(U101)+N(V101)=0,"Not split",IF(ROUND(N(T101)+N(U101)+N(V101),2)=ROUND(L101+P101,2),"OK",IF(K101=0,"Not invoiced yet","MISMATCH"))))</f>
        <v/>
      </c>
      <c r="X101" s="24" t="n"/>
      <c r="Y101" s="24" t="n"/>
      <c r="Z101" s="24" t="n"/>
      <c r="AA101" s="27">
        <f>IF(C101="","",N(X101)+N(Y101)+N(Z101))</f>
        <v/>
      </c>
      <c r="AB101" s="27">
        <f>IF(C101="","",L101+P101-AA101)</f>
        <v/>
      </c>
      <c r="AC101" s="29">
        <f>IFERROR(AB101/(L101+P101),"")</f>
        <v/>
      </c>
      <c r="AD101" s="22" t="n"/>
    </row>
    <row r="102" ht="15" customHeight="1">
      <c r="A102" s="70">
        <f>IF(C102="","",IFERROR(IF(SUMPRODUCT(MAX((tbl_Finance[Job Number]&amp;""=C102&amp;"")*(tbl_Finance[Xero Invoice No]&lt;&gt;"")*tbl_Finance[Date]))=0,"",SUMPRODUCT(MAX((tbl_Finance[Job Number]&amp;""=C102&amp;"")*(tbl_Finance[Xero Invoice No]&lt;&gt;"")*tbl_Finance[Date]))),""))</f>
        <v/>
      </c>
      <c r="B102" s="26">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2" t="n"/>
      <c r="D102" s="26">
        <f>IF(C102="","",IF(COUNTIF(lst_Jobs,C102&amp;"")&gt;0,"OK","CHECK"))</f>
        <v/>
      </c>
      <c r="E102" s="26">
        <f>IF(C102="","",IFERROR(INDEX(lst_JobName,MATCH(C102&amp;"",lst_Jobs,0)),""))</f>
        <v/>
      </c>
      <c r="F102" s="22" t="n"/>
      <c r="G102" s="22" t="n"/>
      <c r="H102" s="22" t="n"/>
      <c r="I102" s="22" t="n"/>
      <c r="J102" s="22" t="n"/>
      <c r="K102" s="28">
        <f>IF(C102="","",COUNTIFS(tbl_Finance[Job Number],C102&amp;"",tbl_Finance[Ex GST],"&lt;&gt;"))</f>
        <v/>
      </c>
      <c r="L102" s="27">
        <f>IF(C102="","",SUMIFS(tbl_Finance[Ex GST],tbl_Finance[Job Number],C102&amp;""))</f>
        <v/>
      </c>
      <c r="M102" s="27">
        <f>IF(C102="","",SUMIFS(tbl_Finance[Ex GST],tbl_Finance[Job Number],C102&amp;"",tbl_Finance[Xero Invoice No],"&lt;&gt;"))</f>
        <v/>
      </c>
      <c r="N102" s="27">
        <f>IF(C102="","",L102-M102)</f>
        <v/>
      </c>
      <c r="O102" s="24" t="n"/>
      <c r="P102" s="27">
        <f>IF(C102="","",IF(O102="",0,MAX(0,O102-L102)))</f>
        <v/>
      </c>
      <c r="Q102" s="26">
        <f>IF(C102="","",IF(K102=0,"not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R102" s="22" t="n"/>
      <c r="S102" s="26">
        <f>IF(R102="","",HYPERLINK(IF(LEFT(R102,4)="http",R102,set_QwilrBase&amp;R102),"Open quote"))</f>
        <v/>
      </c>
      <c r="T102" s="24" t="n"/>
      <c r="U102" s="24" t="n"/>
      <c r="V102" s="24" t="n"/>
      <c r="W102" s="26">
        <f>IF(C102="","",IF(N(T102)+N(U102)+N(V102)=0,"Not split",IF(ROUND(N(T102)+N(U102)+N(V102),2)=ROUND(L102+P102,2),"OK",IF(K102=0,"Not invoiced yet","MISMATCH"))))</f>
        <v/>
      </c>
      <c r="X102" s="24" t="n"/>
      <c r="Y102" s="24" t="n"/>
      <c r="Z102" s="24" t="n"/>
      <c r="AA102" s="27">
        <f>IF(C102="","",N(X102)+N(Y102)+N(Z102))</f>
        <v/>
      </c>
      <c r="AB102" s="27">
        <f>IF(C102="","",L102+P102-AA102)</f>
        <v/>
      </c>
      <c r="AC102" s="29">
        <f>IFERROR(AB102/(L102+P102),"")</f>
        <v/>
      </c>
      <c r="AD102" s="22" t="n"/>
    </row>
    <row r="103" ht="15" customHeight="1">
      <c r="A103" s="70">
        <f>IF(C103="","",IFERROR(IF(SUMPRODUCT(MAX((tbl_Finance[Job Number]&amp;""=C103&amp;"")*(tbl_Finance[Xero Invoice No]&lt;&gt;"")*tbl_Finance[Date]))=0,"",SUMPRODUCT(MAX((tbl_Finance[Job Number]&amp;""=C103&amp;"")*(tbl_Finance[Xero Invoice No]&lt;&gt;"")*tbl_Finance[Date]))),""))</f>
        <v/>
      </c>
      <c r="B103" s="26">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2" t="n"/>
      <c r="D103" s="26">
        <f>IF(C103="","",IF(COUNTIF(lst_Jobs,C103&amp;"")&gt;0,"OK","CHECK"))</f>
        <v/>
      </c>
      <c r="E103" s="26">
        <f>IF(C103="","",IFERROR(INDEX(lst_JobName,MATCH(C103&amp;"",lst_Jobs,0)),""))</f>
        <v/>
      </c>
      <c r="F103" s="22" t="n"/>
      <c r="G103" s="22" t="n"/>
      <c r="H103" s="22" t="n"/>
      <c r="I103" s="22" t="n"/>
      <c r="J103" s="22" t="n"/>
      <c r="K103" s="28">
        <f>IF(C103="","",COUNTIFS(tbl_Finance[Job Number],C103&amp;"",tbl_Finance[Ex GST],"&lt;&gt;"))</f>
        <v/>
      </c>
      <c r="L103" s="27">
        <f>IF(C103="","",SUMIFS(tbl_Finance[Ex GST],tbl_Finance[Job Number],C103&amp;""))</f>
        <v/>
      </c>
      <c r="M103" s="27">
        <f>IF(C103="","",SUMIFS(tbl_Finance[Ex GST],tbl_Finance[Job Number],C103&amp;"",tbl_Finance[Xero Invoice No],"&lt;&gt;"))</f>
        <v/>
      </c>
      <c r="N103" s="27">
        <f>IF(C103="","",L103-M103)</f>
        <v/>
      </c>
      <c r="O103" s="24" t="n"/>
      <c r="P103" s="27">
        <f>IF(C103="","",IF(O103="",0,MAX(0,O103-L103)))</f>
        <v/>
      </c>
      <c r="Q103" s="26">
        <f>IF(C103="","",IF(K103=0,"not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R103" s="22" t="n"/>
      <c r="S103" s="26">
        <f>IF(R103="","",HYPERLINK(IF(LEFT(R103,4)="http",R103,set_QwilrBase&amp;R103),"Open quote"))</f>
        <v/>
      </c>
      <c r="T103" s="24" t="n"/>
      <c r="U103" s="24" t="n"/>
      <c r="V103" s="24" t="n"/>
      <c r="W103" s="26">
        <f>IF(C103="","",IF(N(T103)+N(U103)+N(V103)=0,"Not split",IF(ROUND(N(T103)+N(U103)+N(V103),2)=ROUND(L103+P103,2),"OK",IF(K103=0,"Not invoiced yet","MISMATCH"))))</f>
        <v/>
      </c>
      <c r="X103" s="24" t="n"/>
      <c r="Y103" s="24" t="n"/>
      <c r="Z103" s="24" t="n"/>
      <c r="AA103" s="27">
        <f>IF(C103="","",N(X103)+N(Y103)+N(Z103))</f>
        <v/>
      </c>
      <c r="AB103" s="27">
        <f>IF(C103="","",L103+P103-AA103)</f>
        <v/>
      </c>
      <c r="AC103" s="29">
        <f>IFERROR(AB103/(L103+P103),"")</f>
        <v/>
      </c>
      <c r="AD103" s="22" t="n"/>
    </row>
    <row r="104" ht="15" customHeight="1">
      <c r="A104" s="70">
        <f>IF(C104="","",IFERROR(IF(SUMPRODUCT(MAX((tbl_Finance[Job Number]&amp;""=C104&amp;"")*(tbl_Finance[Xero Invoice No]&lt;&gt;"")*tbl_Finance[Date]))=0,"",SUMPRODUCT(MAX((tbl_Finance[Job Number]&amp;""=C104&amp;"")*(tbl_Finance[Xero Invoice No]&lt;&gt;"")*tbl_Finance[Date]))),""))</f>
        <v/>
      </c>
      <c r="B104" s="26">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2" t="n"/>
      <c r="D104" s="26">
        <f>IF(C104="","",IF(COUNTIF(lst_Jobs,C104&amp;"")&gt;0,"OK","CHECK"))</f>
        <v/>
      </c>
      <c r="E104" s="26">
        <f>IF(C104="","",IFERROR(INDEX(lst_JobName,MATCH(C104&amp;"",lst_Jobs,0)),""))</f>
        <v/>
      </c>
      <c r="F104" s="22" t="n"/>
      <c r="G104" s="22" t="n"/>
      <c r="H104" s="22" t="n"/>
      <c r="I104" s="22" t="n"/>
      <c r="J104" s="22" t="n"/>
      <c r="K104" s="28">
        <f>IF(C104="","",COUNTIFS(tbl_Finance[Job Number],C104&amp;"",tbl_Finance[Ex GST],"&lt;&gt;"))</f>
        <v/>
      </c>
      <c r="L104" s="27">
        <f>IF(C104="","",SUMIFS(tbl_Finance[Ex GST],tbl_Finance[Job Number],C104&amp;""))</f>
        <v/>
      </c>
      <c r="M104" s="27">
        <f>IF(C104="","",SUMIFS(tbl_Finance[Ex GST],tbl_Finance[Job Number],C104&amp;"",tbl_Finance[Xero Invoice No],"&lt;&gt;"))</f>
        <v/>
      </c>
      <c r="N104" s="27">
        <f>IF(C104="","",L104-M104)</f>
        <v/>
      </c>
      <c r="O104" s="24" t="n"/>
      <c r="P104" s="27">
        <f>IF(C104="","",IF(O104="",0,MAX(0,O104-L104)))</f>
        <v/>
      </c>
      <c r="Q104" s="26">
        <f>IF(C104="","",IF(K104=0,"not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R104" s="22" t="n"/>
      <c r="S104" s="26">
        <f>IF(R104="","",HYPERLINK(IF(LEFT(R104,4)="http",R104,set_QwilrBase&amp;R104),"Open quote"))</f>
        <v/>
      </c>
      <c r="T104" s="24" t="n"/>
      <c r="U104" s="24" t="n"/>
      <c r="V104" s="24" t="n"/>
      <c r="W104" s="26">
        <f>IF(C104="","",IF(N(T104)+N(U104)+N(V104)=0,"Not split",IF(ROUND(N(T104)+N(U104)+N(V104),2)=ROUND(L104+P104,2),"OK",IF(K104=0,"Not invoiced yet","MISMATCH"))))</f>
        <v/>
      </c>
      <c r="X104" s="24" t="n"/>
      <c r="Y104" s="24" t="n"/>
      <c r="Z104" s="24" t="n"/>
      <c r="AA104" s="27">
        <f>IF(C104="","",N(X104)+N(Y104)+N(Z104))</f>
        <v/>
      </c>
      <c r="AB104" s="27">
        <f>IF(C104="","",L104+P104-AA104)</f>
        <v/>
      </c>
      <c r="AC104" s="29">
        <f>IFERROR(AB104/(L104+P104),"")</f>
        <v/>
      </c>
      <c r="AD104" s="22" t="n"/>
    </row>
    <row r="105" ht="15" customHeight="1">
      <c r="A105" s="70">
        <f>IF(C105="","",IFERROR(IF(SUMPRODUCT(MAX((tbl_Finance[Job Number]&amp;""=C105&amp;"")*(tbl_Finance[Xero Invoice No]&lt;&gt;"")*tbl_Finance[Date]))=0,"",SUMPRODUCT(MAX((tbl_Finance[Job Number]&amp;""=C105&amp;"")*(tbl_Finance[Xero Invoice No]&lt;&gt;"")*tbl_Finance[Date]))),""))</f>
        <v/>
      </c>
      <c r="B105" s="26">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2" t="n"/>
      <c r="D105" s="26">
        <f>IF(C105="","",IF(COUNTIF(lst_Jobs,C105&amp;"")&gt;0,"OK","CHECK"))</f>
        <v/>
      </c>
      <c r="E105" s="26">
        <f>IF(C105="","",IFERROR(INDEX(lst_JobName,MATCH(C105&amp;"",lst_Jobs,0)),""))</f>
        <v/>
      </c>
      <c r="F105" s="22" t="n"/>
      <c r="G105" s="22" t="n"/>
      <c r="H105" s="22" t="n"/>
      <c r="I105" s="22" t="n"/>
      <c r="J105" s="22" t="n"/>
      <c r="K105" s="28">
        <f>IF(C105="","",COUNTIFS(tbl_Finance[Job Number],C105&amp;"",tbl_Finance[Ex GST],"&lt;&gt;"))</f>
        <v/>
      </c>
      <c r="L105" s="27">
        <f>IF(C105="","",SUMIFS(tbl_Finance[Ex GST],tbl_Finance[Job Number],C105&amp;""))</f>
        <v/>
      </c>
      <c r="M105" s="27">
        <f>IF(C105="","",SUMIFS(tbl_Finance[Ex GST],tbl_Finance[Job Number],C105&amp;"",tbl_Finance[Xero Invoice No],"&lt;&gt;"))</f>
        <v/>
      </c>
      <c r="N105" s="27">
        <f>IF(C105="","",L105-M105)</f>
        <v/>
      </c>
      <c r="O105" s="24" t="n"/>
      <c r="P105" s="27">
        <f>IF(C105="","",IF(O105="",0,MAX(0,O105-L105)))</f>
        <v/>
      </c>
      <c r="Q105" s="26">
        <f>IF(C105="","",IF(K105=0,"not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R105" s="22" t="n"/>
      <c r="S105" s="26">
        <f>IF(R105="","",HYPERLINK(IF(LEFT(R105,4)="http",R105,set_QwilrBase&amp;R105),"Open quote"))</f>
        <v/>
      </c>
      <c r="T105" s="24" t="n"/>
      <c r="U105" s="24" t="n"/>
      <c r="V105" s="24" t="n"/>
      <c r="W105" s="26">
        <f>IF(C105="","",IF(N(T105)+N(U105)+N(V105)=0,"Not split",IF(ROUND(N(T105)+N(U105)+N(V105),2)=ROUND(L105+P105,2),"OK",IF(K105=0,"Not invoiced yet","MISMATCH"))))</f>
        <v/>
      </c>
      <c r="X105" s="24" t="n"/>
      <c r="Y105" s="24" t="n"/>
      <c r="Z105" s="24" t="n"/>
      <c r="AA105" s="27">
        <f>IF(C105="","",N(X105)+N(Y105)+N(Z105))</f>
        <v/>
      </c>
      <c r="AB105" s="27">
        <f>IF(C105="","",L105+P105-AA105)</f>
        <v/>
      </c>
      <c r="AC105" s="29">
        <f>IFERROR(AB105/(L105+P105),"")</f>
        <v/>
      </c>
      <c r="AD105" s="22" t="n"/>
    </row>
    <row r="106" ht="15" customHeight="1">
      <c r="A106" s="70">
        <f>IF(C106="","",IFERROR(IF(SUMPRODUCT(MAX((tbl_Finance[Job Number]&amp;""=C106&amp;"")*(tbl_Finance[Xero Invoice No]&lt;&gt;"")*tbl_Finance[Date]))=0,"",SUMPRODUCT(MAX((tbl_Finance[Job Number]&amp;""=C106&amp;"")*(tbl_Finance[Xero Invoice No]&lt;&gt;"")*tbl_Finance[Date]))),""))</f>
        <v/>
      </c>
      <c r="B106" s="26">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2" t="n"/>
      <c r="D106" s="26">
        <f>IF(C106="","",IF(COUNTIF(lst_Jobs,C106&amp;"")&gt;0,"OK","CHECK"))</f>
        <v/>
      </c>
      <c r="E106" s="26">
        <f>IF(C106="","",IFERROR(INDEX(lst_JobName,MATCH(C106&amp;"",lst_Jobs,0)),""))</f>
        <v/>
      </c>
      <c r="F106" s="22" t="n"/>
      <c r="G106" s="22" t="n"/>
      <c r="H106" s="22" t="n"/>
      <c r="I106" s="22" t="n"/>
      <c r="J106" s="22" t="n"/>
      <c r="K106" s="28">
        <f>IF(C106="","",COUNTIFS(tbl_Finance[Job Number],C106&amp;"",tbl_Finance[Ex GST],"&lt;&gt;"))</f>
        <v/>
      </c>
      <c r="L106" s="27">
        <f>IF(C106="","",SUMIFS(tbl_Finance[Ex GST],tbl_Finance[Job Number],C106&amp;""))</f>
        <v/>
      </c>
      <c r="M106" s="27">
        <f>IF(C106="","",SUMIFS(tbl_Finance[Ex GST],tbl_Finance[Job Number],C106&amp;"",tbl_Finance[Xero Invoice No],"&lt;&gt;"))</f>
        <v/>
      </c>
      <c r="N106" s="27">
        <f>IF(C106="","",L106-M106)</f>
        <v/>
      </c>
      <c r="O106" s="24" t="n"/>
      <c r="P106" s="27">
        <f>IF(C106="","",IF(O106="",0,MAX(0,O106-L106)))</f>
        <v/>
      </c>
      <c r="Q106" s="26">
        <f>IF(C106="","",IF(K106=0,"not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R106" s="22" t="n"/>
      <c r="S106" s="26">
        <f>IF(R106="","",HYPERLINK(IF(LEFT(R106,4)="http",R106,set_QwilrBase&amp;R106),"Open quote"))</f>
        <v/>
      </c>
      <c r="T106" s="24" t="n"/>
      <c r="U106" s="24" t="n"/>
      <c r="V106" s="24" t="n"/>
      <c r="W106" s="26">
        <f>IF(C106="","",IF(N(T106)+N(U106)+N(V106)=0,"Not split",IF(ROUND(N(T106)+N(U106)+N(V106),2)=ROUND(L106+P106,2),"OK",IF(K106=0,"Not invoiced yet","MISMATCH"))))</f>
        <v/>
      </c>
      <c r="X106" s="24" t="n"/>
      <c r="Y106" s="24" t="n"/>
      <c r="Z106" s="24" t="n"/>
      <c r="AA106" s="27">
        <f>IF(C106="","",N(X106)+N(Y106)+N(Z106))</f>
        <v/>
      </c>
      <c r="AB106" s="27">
        <f>IF(C106="","",L106+P106-AA106)</f>
        <v/>
      </c>
      <c r="AC106" s="29">
        <f>IFERROR(AB106/(L106+P106),"")</f>
        <v/>
      </c>
      <c r="AD106" s="22" t="n"/>
    </row>
    <row r="107" ht="15" customHeight="1">
      <c r="A107" s="70">
        <f>IF(C107="","",IFERROR(IF(SUMPRODUCT(MAX((tbl_Finance[Job Number]&amp;""=C107&amp;"")*(tbl_Finance[Xero Invoice No]&lt;&gt;"")*tbl_Finance[Date]))=0,"",SUMPRODUCT(MAX((tbl_Finance[Job Number]&amp;""=C107&amp;"")*(tbl_Finance[Xero Invoice No]&lt;&gt;"")*tbl_Finance[Date]))),""))</f>
        <v/>
      </c>
      <c r="B107" s="26">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2" t="n"/>
      <c r="D107" s="26">
        <f>IF(C107="","",IF(COUNTIF(lst_Jobs,C107&amp;"")&gt;0,"OK","CHECK"))</f>
        <v/>
      </c>
      <c r="E107" s="26">
        <f>IF(C107="","",IFERROR(INDEX(lst_JobName,MATCH(C107&amp;"",lst_Jobs,0)),""))</f>
        <v/>
      </c>
      <c r="F107" s="22" t="n"/>
      <c r="G107" s="22" t="n"/>
      <c r="H107" s="22" t="n"/>
      <c r="I107" s="22" t="n"/>
      <c r="J107" s="22" t="n"/>
      <c r="K107" s="28">
        <f>IF(C107="","",COUNTIFS(tbl_Finance[Job Number],C107&amp;"",tbl_Finance[Ex GST],"&lt;&gt;"))</f>
        <v/>
      </c>
      <c r="L107" s="27">
        <f>IF(C107="","",SUMIFS(tbl_Finance[Ex GST],tbl_Finance[Job Number],C107&amp;""))</f>
        <v/>
      </c>
      <c r="M107" s="27">
        <f>IF(C107="","",SUMIFS(tbl_Finance[Ex GST],tbl_Finance[Job Number],C107&amp;"",tbl_Finance[Xero Invoice No],"&lt;&gt;"))</f>
        <v/>
      </c>
      <c r="N107" s="27">
        <f>IF(C107="","",L107-M107)</f>
        <v/>
      </c>
      <c r="O107" s="24" t="n"/>
      <c r="P107" s="27">
        <f>IF(C107="","",IF(O107="",0,MAX(0,O107-L107)))</f>
        <v/>
      </c>
      <c r="Q107" s="26">
        <f>IF(C107="","",IF(K107=0,"not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R107" s="22" t="n"/>
      <c r="S107" s="26">
        <f>IF(R107="","",HYPERLINK(IF(LEFT(R107,4)="http",R107,set_QwilrBase&amp;R107),"Open quote"))</f>
        <v/>
      </c>
      <c r="T107" s="24" t="n"/>
      <c r="U107" s="24" t="n"/>
      <c r="V107" s="24" t="n"/>
      <c r="W107" s="26">
        <f>IF(C107="","",IF(N(T107)+N(U107)+N(V107)=0,"Not split",IF(ROUND(N(T107)+N(U107)+N(V107),2)=ROUND(L107+P107,2),"OK",IF(K107=0,"Not invoiced yet","MISMATCH"))))</f>
        <v/>
      </c>
      <c r="X107" s="24" t="n"/>
      <c r="Y107" s="24" t="n"/>
      <c r="Z107" s="24" t="n"/>
      <c r="AA107" s="27">
        <f>IF(C107="","",N(X107)+N(Y107)+N(Z107))</f>
        <v/>
      </c>
      <c r="AB107" s="27">
        <f>IF(C107="","",L107+P107-AA107)</f>
        <v/>
      </c>
      <c r="AC107" s="29">
        <f>IFERROR(AB107/(L107+P107),"")</f>
        <v/>
      </c>
      <c r="AD107" s="22" t="n"/>
    </row>
    <row r="108" ht="15" customHeight="1">
      <c r="A108" s="70">
        <f>IF(C108="","",IFERROR(IF(SUMPRODUCT(MAX((tbl_Finance[Job Number]&amp;""=C108&amp;"")*(tbl_Finance[Xero Invoice No]&lt;&gt;"")*tbl_Finance[Date]))=0,"",SUMPRODUCT(MAX((tbl_Finance[Job Number]&amp;""=C108&amp;"")*(tbl_Finance[Xero Invoice No]&lt;&gt;"")*tbl_Finance[Date]))),""))</f>
        <v/>
      </c>
      <c r="B108" s="26">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2" t="n"/>
      <c r="D108" s="26">
        <f>IF(C108="","",IF(COUNTIF(lst_Jobs,C108&amp;"")&gt;0,"OK","CHECK"))</f>
        <v/>
      </c>
      <c r="E108" s="26">
        <f>IF(C108="","",IFERROR(INDEX(lst_JobName,MATCH(C108&amp;"",lst_Jobs,0)),""))</f>
        <v/>
      </c>
      <c r="F108" s="22" t="n"/>
      <c r="G108" s="22" t="n"/>
      <c r="H108" s="22" t="n"/>
      <c r="I108" s="22" t="n"/>
      <c r="J108" s="22" t="n"/>
      <c r="K108" s="28">
        <f>IF(C108="","",COUNTIFS(tbl_Finance[Job Number],C108&amp;"",tbl_Finance[Ex GST],"&lt;&gt;"))</f>
        <v/>
      </c>
      <c r="L108" s="27">
        <f>IF(C108="","",SUMIFS(tbl_Finance[Ex GST],tbl_Finance[Job Number],C108&amp;""))</f>
        <v/>
      </c>
      <c r="M108" s="27">
        <f>IF(C108="","",SUMIFS(tbl_Finance[Ex GST],tbl_Finance[Job Number],C108&amp;"",tbl_Finance[Xero Invoice No],"&lt;&gt;"))</f>
        <v/>
      </c>
      <c r="N108" s="27">
        <f>IF(C108="","",L108-M108)</f>
        <v/>
      </c>
      <c r="O108" s="24" t="n"/>
      <c r="P108" s="27">
        <f>IF(C108="","",IF(O108="",0,MAX(0,O108-L108)))</f>
        <v/>
      </c>
      <c r="Q108" s="26">
        <f>IF(C108="","",IF(K108=0,"not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R108" s="22" t="n"/>
      <c r="S108" s="26">
        <f>IF(R108="","",HYPERLINK(IF(LEFT(R108,4)="http",R108,set_QwilrBase&amp;R108),"Open quote"))</f>
        <v/>
      </c>
      <c r="T108" s="24" t="n"/>
      <c r="U108" s="24" t="n"/>
      <c r="V108" s="24" t="n"/>
      <c r="W108" s="26">
        <f>IF(C108="","",IF(N(T108)+N(U108)+N(V108)=0,"Not split",IF(ROUND(N(T108)+N(U108)+N(V108),2)=ROUND(L108+P108,2),"OK",IF(K108=0,"Not invoiced yet","MISMATCH"))))</f>
        <v/>
      </c>
      <c r="X108" s="24" t="n"/>
      <c r="Y108" s="24" t="n"/>
      <c r="Z108" s="24" t="n"/>
      <c r="AA108" s="27">
        <f>IF(C108="","",N(X108)+N(Y108)+N(Z108))</f>
        <v/>
      </c>
      <c r="AB108" s="27">
        <f>IF(C108="","",L108+P108-AA108)</f>
        <v/>
      </c>
      <c r="AC108" s="29">
        <f>IFERROR(AB108/(L108+P108),"")</f>
        <v/>
      </c>
      <c r="AD108" s="22" t="n"/>
    </row>
    <row r="109" ht="15" customHeight="1">
      <c r="A109" s="70">
        <f>IF(C109="","",IFERROR(IF(SUMPRODUCT(MAX((tbl_Finance[Job Number]&amp;""=C109&amp;"")*(tbl_Finance[Xero Invoice No]&lt;&gt;"")*tbl_Finance[Date]))=0,"",SUMPRODUCT(MAX((tbl_Finance[Job Number]&amp;""=C109&amp;"")*(tbl_Finance[Xero Invoice No]&lt;&gt;"")*tbl_Finance[Date]))),""))</f>
        <v/>
      </c>
      <c r="B109" s="26">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2" t="n"/>
      <c r="D109" s="26">
        <f>IF(C109="","",IF(COUNTIF(lst_Jobs,C109&amp;"")&gt;0,"OK","CHECK"))</f>
        <v/>
      </c>
      <c r="E109" s="26">
        <f>IF(C109="","",IFERROR(INDEX(lst_JobName,MATCH(C109&amp;"",lst_Jobs,0)),""))</f>
        <v/>
      </c>
      <c r="F109" s="22" t="n"/>
      <c r="G109" s="22" t="n"/>
      <c r="H109" s="22" t="n"/>
      <c r="I109" s="22" t="n"/>
      <c r="J109" s="22" t="n"/>
      <c r="K109" s="28">
        <f>IF(C109="","",COUNTIFS(tbl_Finance[Job Number],C109&amp;"",tbl_Finance[Ex GST],"&lt;&gt;"))</f>
        <v/>
      </c>
      <c r="L109" s="27">
        <f>IF(C109="","",SUMIFS(tbl_Finance[Ex GST],tbl_Finance[Job Number],C109&amp;""))</f>
        <v/>
      </c>
      <c r="M109" s="27">
        <f>IF(C109="","",SUMIFS(tbl_Finance[Ex GST],tbl_Finance[Job Number],C109&amp;"",tbl_Finance[Xero Invoice No],"&lt;&gt;"))</f>
        <v/>
      </c>
      <c r="N109" s="27">
        <f>IF(C109="","",L109-M109)</f>
        <v/>
      </c>
      <c r="O109" s="24" t="n"/>
      <c r="P109" s="27">
        <f>IF(C109="","",IF(O109="",0,MAX(0,O109-L109)))</f>
        <v/>
      </c>
      <c r="Q109" s="26">
        <f>IF(C109="","",IF(K109=0,"not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R109" s="22" t="n"/>
      <c r="S109" s="26">
        <f>IF(R109="","",HYPERLINK(IF(LEFT(R109,4)="http",R109,set_QwilrBase&amp;R109),"Open quote"))</f>
        <v/>
      </c>
      <c r="T109" s="24" t="n"/>
      <c r="U109" s="24" t="n"/>
      <c r="V109" s="24" t="n"/>
      <c r="W109" s="26">
        <f>IF(C109="","",IF(N(T109)+N(U109)+N(V109)=0,"Not split",IF(ROUND(N(T109)+N(U109)+N(V109),2)=ROUND(L109+P109,2),"OK",IF(K109=0,"Not invoiced yet","MISMATCH"))))</f>
        <v/>
      </c>
      <c r="X109" s="24" t="n"/>
      <c r="Y109" s="24" t="n"/>
      <c r="Z109" s="24" t="n"/>
      <c r="AA109" s="27">
        <f>IF(C109="","",N(X109)+N(Y109)+N(Z109))</f>
        <v/>
      </c>
      <c r="AB109" s="27">
        <f>IF(C109="","",L109+P109-AA109)</f>
        <v/>
      </c>
      <c r="AC109" s="29">
        <f>IFERROR(AB109/(L109+P109),"")</f>
        <v/>
      </c>
      <c r="AD109" s="22" t="n"/>
    </row>
    <row r="110" ht="15" customHeight="1">
      <c r="A110" s="70">
        <f>IF(C110="","",IFERROR(IF(SUMPRODUCT(MAX((tbl_Finance[Job Number]&amp;""=C110&amp;"")*(tbl_Finance[Xero Invoice No]&lt;&gt;"")*tbl_Finance[Date]))=0,"",SUMPRODUCT(MAX((tbl_Finance[Job Number]&amp;""=C110&amp;"")*(tbl_Finance[Xero Invoice No]&lt;&gt;"")*tbl_Finance[Date]))),""))</f>
        <v/>
      </c>
      <c r="B110" s="26">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2" t="n"/>
      <c r="D110" s="26">
        <f>IF(C110="","",IF(COUNTIF(lst_Jobs,C110&amp;"")&gt;0,"OK","CHECK"))</f>
        <v/>
      </c>
      <c r="E110" s="26">
        <f>IF(C110="","",IFERROR(INDEX(lst_JobName,MATCH(C110&amp;"",lst_Jobs,0)),""))</f>
        <v/>
      </c>
      <c r="F110" s="22" t="n"/>
      <c r="G110" s="22" t="n"/>
      <c r="H110" s="22" t="n"/>
      <c r="I110" s="22" t="n"/>
      <c r="J110" s="22" t="n"/>
      <c r="K110" s="28">
        <f>IF(C110="","",COUNTIFS(tbl_Finance[Job Number],C110&amp;"",tbl_Finance[Ex GST],"&lt;&gt;"))</f>
        <v/>
      </c>
      <c r="L110" s="27">
        <f>IF(C110="","",SUMIFS(tbl_Finance[Ex GST],tbl_Finance[Job Number],C110&amp;""))</f>
        <v/>
      </c>
      <c r="M110" s="27">
        <f>IF(C110="","",SUMIFS(tbl_Finance[Ex GST],tbl_Finance[Job Number],C110&amp;"",tbl_Finance[Xero Invoice No],"&lt;&gt;"))</f>
        <v/>
      </c>
      <c r="N110" s="27">
        <f>IF(C110="","",L110-M110)</f>
        <v/>
      </c>
      <c r="O110" s="24" t="n"/>
      <c r="P110" s="27">
        <f>IF(C110="","",IF(O110="",0,MAX(0,O110-L110)))</f>
        <v/>
      </c>
      <c r="Q110" s="26">
        <f>IF(C110="","",IF(K110=0,"not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R110" s="22" t="n"/>
      <c r="S110" s="26">
        <f>IF(R110="","",HYPERLINK(IF(LEFT(R110,4)="http",R110,set_QwilrBase&amp;R110),"Open quote"))</f>
        <v/>
      </c>
      <c r="T110" s="24" t="n"/>
      <c r="U110" s="24" t="n"/>
      <c r="V110" s="24" t="n"/>
      <c r="W110" s="26">
        <f>IF(C110="","",IF(N(T110)+N(U110)+N(V110)=0,"Not split",IF(ROUND(N(T110)+N(U110)+N(V110),2)=ROUND(L110+P110,2),"OK",IF(K110=0,"Not invoiced yet","MISMATCH"))))</f>
        <v/>
      </c>
      <c r="X110" s="24" t="n"/>
      <c r="Y110" s="24" t="n"/>
      <c r="Z110" s="24" t="n"/>
      <c r="AA110" s="27">
        <f>IF(C110="","",N(X110)+N(Y110)+N(Z110))</f>
        <v/>
      </c>
      <c r="AB110" s="27">
        <f>IF(C110="","",L110+P110-AA110)</f>
        <v/>
      </c>
      <c r="AC110" s="29">
        <f>IFERROR(AB110/(L110+P110),"")</f>
        <v/>
      </c>
      <c r="AD110" s="22" t="n"/>
    </row>
    <row r="111" ht="15" customHeight="1">
      <c r="A111" s="70">
        <f>IF(C111="","",IFERROR(IF(SUMPRODUCT(MAX((tbl_Finance[Job Number]&amp;""=C111&amp;"")*(tbl_Finance[Xero Invoice No]&lt;&gt;"")*tbl_Finance[Date]))=0,"",SUMPRODUCT(MAX((tbl_Finance[Job Number]&amp;""=C111&amp;"")*(tbl_Finance[Xero Invoice No]&lt;&gt;"")*tbl_Finance[Date]))),""))</f>
        <v/>
      </c>
      <c r="B111" s="26">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2" t="n"/>
      <c r="D111" s="26">
        <f>IF(C111="","",IF(COUNTIF(lst_Jobs,C111&amp;"")&gt;0,"OK","CHECK"))</f>
        <v/>
      </c>
      <c r="E111" s="26">
        <f>IF(C111="","",IFERROR(INDEX(lst_JobName,MATCH(C111&amp;"",lst_Jobs,0)),""))</f>
        <v/>
      </c>
      <c r="F111" s="22" t="n"/>
      <c r="G111" s="22" t="n"/>
      <c r="H111" s="22" t="n"/>
      <c r="I111" s="22" t="n"/>
      <c r="J111" s="22" t="n"/>
      <c r="K111" s="28">
        <f>IF(C111="","",COUNTIFS(tbl_Finance[Job Number],C111&amp;"",tbl_Finance[Ex GST],"&lt;&gt;"))</f>
        <v/>
      </c>
      <c r="L111" s="27">
        <f>IF(C111="","",SUMIFS(tbl_Finance[Ex GST],tbl_Finance[Job Number],C111&amp;""))</f>
        <v/>
      </c>
      <c r="M111" s="27">
        <f>IF(C111="","",SUMIFS(tbl_Finance[Ex GST],tbl_Finance[Job Number],C111&amp;"",tbl_Finance[Xero Invoice No],"&lt;&gt;"))</f>
        <v/>
      </c>
      <c r="N111" s="27">
        <f>IF(C111="","",L111-M111)</f>
        <v/>
      </c>
      <c r="O111" s="24" t="n"/>
      <c r="P111" s="27">
        <f>IF(C111="","",IF(O111="",0,MAX(0,O111-L111)))</f>
        <v/>
      </c>
      <c r="Q111" s="26">
        <f>IF(C111="","",IF(K111=0,"not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R111" s="22" t="n"/>
      <c r="S111" s="26">
        <f>IF(R111="","",HYPERLINK(IF(LEFT(R111,4)="http",R111,set_QwilrBase&amp;R111),"Open quote"))</f>
        <v/>
      </c>
      <c r="T111" s="24" t="n"/>
      <c r="U111" s="24" t="n"/>
      <c r="V111" s="24" t="n"/>
      <c r="W111" s="26">
        <f>IF(C111="","",IF(N(T111)+N(U111)+N(V111)=0,"Not split",IF(ROUND(N(T111)+N(U111)+N(V111),2)=ROUND(L111+P111,2),"OK",IF(K111=0,"Not invoiced yet","MISMATCH"))))</f>
        <v/>
      </c>
      <c r="X111" s="24" t="n"/>
      <c r="Y111" s="24" t="n"/>
      <c r="Z111" s="24" t="n"/>
      <c r="AA111" s="27">
        <f>IF(C111="","",N(X111)+N(Y111)+N(Z111))</f>
        <v/>
      </c>
      <c r="AB111" s="27">
        <f>IF(C111="","",L111+P111-AA111)</f>
        <v/>
      </c>
      <c r="AC111" s="29">
        <f>IFERROR(AB111/(L111+P111),"")</f>
        <v/>
      </c>
      <c r="AD111" s="22" t="n"/>
    </row>
    <row r="112" ht="15" customHeight="1">
      <c r="A112" s="70">
        <f>IF(C112="","",IFERROR(IF(SUMPRODUCT(MAX((tbl_Finance[Job Number]&amp;""=C112&amp;"")*(tbl_Finance[Xero Invoice No]&lt;&gt;"")*tbl_Finance[Date]))=0,"",SUMPRODUCT(MAX((tbl_Finance[Job Number]&amp;""=C112&amp;"")*(tbl_Finance[Xero Invoice No]&lt;&gt;"")*tbl_Finance[Date]))),""))</f>
        <v/>
      </c>
      <c r="B112" s="26">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2" t="n"/>
      <c r="D112" s="26">
        <f>IF(C112="","",IF(COUNTIF(lst_Jobs,C112&amp;"")&gt;0,"OK","CHECK"))</f>
        <v/>
      </c>
      <c r="E112" s="26">
        <f>IF(C112="","",IFERROR(INDEX(lst_JobName,MATCH(C112&amp;"",lst_Jobs,0)),""))</f>
        <v/>
      </c>
      <c r="F112" s="22" t="n"/>
      <c r="G112" s="22" t="n"/>
      <c r="H112" s="22" t="n"/>
      <c r="I112" s="22" t="n"/>
      <c r="J112" s="22" t="n"/>
      <c r="K112" s="28">
        <f>IF(C112="","",COUNTIFS(tbl_Finance[Job Number],C112&amp;"",tbl_Finance[Ex GST],"&lt;&gt;"))</f>
        <v/>
      </c>
      <c r="L112" s="27">
        <f>IF(C112="","",SUMIFS(tbl_Finance[Ex GST],tbl_Finance[Job Number],C112&amp;""))</f>
        <v/>
      </c>
      <c r="M112" s="27">
        <f>IF(C112="","",SUMIFS(tbl_Finance[Ex GST],tbl_Finance[Job Number],C112&amp;"",tbl_Finance[Xero Invoice No],"&lt;&gt;"))</f>
        <v/>
      </c>
      <c r="N112" s="27">
        <f>IF(C112="","",L112-M112)</f>
        <v/>
      </c>
      <c r="O112" s="24" t="n"/>
      <c r="P112" s="27">
        <f>IF(C112="","",IF(O112="",0,MAX(0,O112-L112)))</f>
        <v/>
      </c>
      <c r="Q112" s="26">
        <f>IF(C112="","",IF(K112=0,"not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R112" s="22" t="n"/>
      <c r="S112" s="26">
        <f>IF(R112="","",HYPERLINK(IF(LEFT(R112,4)="http",R112,set_QwilrBase&amp;R112),"Open quote"))</f>
        <v/>
      </c>
      <c r="T112" s="24" t="n"/>
      <c r="U112" s="24" t="n"/>
      <c r="V112" s="24" t="n"/>
      <c r="W112" s="26">
        <f>IF(C112="","",IF(N(T112)+N(U112)+N(V112)=0,"Not split",IF(ROUND(N(T112)+N(U112)+N(V112),2)=ROUND(L112+P112,2),"OK",IF(K112=0,"Not invoiced yet","MISMATCH"))))</f>
        <v/>
      </c>
      <c r="X112" s="24" t="n"/>
      <c r="Y112" s="24" t="n"/>
      <c r="Z112" s="24" t="n"/>
      <c r="AA112" s="27">
        <f>IF(C112="","",N(X112)+N(Y112)+N(Z112))</f>
        <v/>
      </c>
      <c r="AB112" s="27">
        <f>IF(C112="","",L112+P112-AA112)</f>
        <v/>
      </c>
      <c r="AC112" s="29">
        <f>IFERROR(AB112/(L112+P112),"")</f>
        <v/>
      </c>
      <c r="AD112" s="22" t="n"/>
    </row>
    <row r="113" ht="15" customHeight="1">
      <c r="A113" s="70">
        <f>IF(C113="","",IFERROR(IF(SUMPRODUCT(MAX((tbl_Finance[Job Number]&amp;""=C113&amp;"")*(tbl_Finance[Xero Invoice No]&lt;&gt;"")*tbl_Finance[Date]))=0,"",SUMPRODUCT(MAX((tbl_Finance[Job Number]&amp;""=C113&amp;"")*(tbl_Finance[Xero Invoice No]&lt;&gt;"")*tbl_Finance[Date]))),""))</f>
        <v/>
      </c>
      <c r="B113" s="26">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2" t="n"/>
      <c r="D113" s="26">
        <f>IF(C113="","",IF(COUNTIF(lst_Jobs,C113&amp;"")&gt;0,"OK","CHECK"))</f>
        <v/>
      </c>
      <c r="E113" s="26">
        <f>IF(C113="","",IFERROR(INDEX(lst_JobName,MATCH(C113&amp;"",lst_Jobs,0)),""))</f>
        <v/>
      </c>
      <c r="F113" s="22" t="n"/>
      <c r="G113" s="22" t="n"/>
      <c r="H113" s="22" t="n"/>
      <c r="I113" s="22" t="n"/>
      <c r="J113" s="22" t="n"/>
      <c r="K113" s="28">
        <f>IF(C113="","",COUNTIFS(tbl_Finance[Job Number],C113&amp;"",tbl_Finance[Ex GST],"&lt;&gt;"))</f>
        <v/>
      </c>
      <c r="L113" s="27">
        <f>IF(C113="","",SUMIFS(tbl_Finance[Ex GST],tbl_Finance[Job Number],C113&amp;""))</f>
        <v/>
      </c>
      <c r="M113" s="27">
        <f>IF(C113="","",SUMIFS(tbl_Finance[Ex GST],tbl_Finance[Job Number],C113&amp;"",tbl_Finance[Xero Invoice No],"&lt;&gt;"))</f>
        <v/>
      </c>
      <c r="N113" s="27">
        <f>IF(C113="","",L113-M113)</f>
        <v/>
      </c>
      <c r="O113" s="24" t="n"/>
      <c r="P113" s="27">
        <f>IF(C113="","",IF(O113="",0,MAX(0,O113-L113)))</f>
        <v/>
      </c>
      <c r="Q113" s="26">
        <f>IF(C113="","",IF(K113=0,"not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R113" s="22" t="n"/>
      <c r="S113" s="26">
        <f>IF(R113="","",HYPERLINK(IF(LEFT(R113,4)="http",R113,set_QwilrBase&amp;R113),"Open quote"))</f>
        <v/>
      </c>
      <c r="T113" s="24" t="n"/>
      <c r="U113" s="24" t="n"/>
      <c r="V113" s="24" t="n"/>
      <c r="W113" s="26">
        <f>IF(C113="","",IF(N(T113)+N(U113)+N(V113)=0,"Not split",IF(ROUND(N(T113)+N(U113)+N(V113),2)=ROUND(L113+P113,2),"OK",IF(K113=0,"Not invoiced yet","MISMATCH"))))</f>
        <v/>
      </c>
      <c r="X113" s="24" t="n"/>
      <c r="Y113" s="24" t="n"/>
      <c r="Z113" s="24" t="n"/>
      <c r="AA113" s="27">
        <f>IF(C113="","",N(X113)+N(Y113)+N(Z113))</f>
        <v/>
      </c>
      <c r="AB113" s="27">
        <f>IF(C113="","",L113+P113-AA113)</f>
        <v/>
      </c>
      <c r="AC113" s="29">
        <f>IFERROR(AB113/(L113+P113),"")</f>
        <v/>
      </c>
      <c r="AD113" s="22" t="n"/>
    </row>
    <row r="114" ht="15" customHeight="1">
      <c r="A114" s="70">
        <f>IF(C114="","",IFERROR(IF(SUMPRODUCT(MAX((tbl_Finance[Job Number]&amp;""=C114&amp;"")*(tbl_Finance[Xero Invoice No]&lt;&gt;"")*tbl_Finance[Date]))=0,"",SUMPRODUCT(MAX((tbl_Finance[Job Number]&amp;""=C114&amp;"")*(tbl_Finance[Xero Invoice No]&lt;&gt;"")*tbl_Finance[Date]))),""))</f>
        <v/>
      </c>
      <c r="B114" s="26">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2" t="n"/>
      <c r="D114" s="26">
        <f>IF(C114="","",IF(COUNTIF(lst_Jobs,C114&amp;"")&gt;0,"OK","CHECK"))</f>
        <v/>
      </c>
      <c r="E114" s="26">
        <f>IF(C114="","",IFERROR(INDEX(lst_JobName,MATCH(C114&amp;"",lst_Jobs,0)),""))</f>
        <v/>
      </c>
      <c r="F114" s="22" t="n"/>
      <c r="G114" s="22" t="n"/>
      <c r="H114" s="22" t="n"/>
      <c r="I114" s="22" t="n"/>
      <c r="J114" s="22" t="n"/>
      <c r="K114" s="28">
        <f>IF(C114="","",COUNTIFS(tbl_Finance[Job Number],C114&amp;"",tbl_Finance[Ex GST],"&lt;&gt;"))</f>
        <v/>
      </c>
      <c r="L114" s="27">
        <f>IF(C114="","",SUMIFS(tbl_Finance[Ex GST],tbl_Finance[Job Number],C114&amp;""))</f>
        <v/>
      </c>
      <c r="M114" s="27">
        <f>IF(C114="","",SUMIFS(tbl_Finance[Ex GST],tbl_Finance[Job Number],C114&amp;"",tbl_Finance[Xero Invoice No],"&lt;&gt;"))</f>
        <v/>
      </c>
      <c r="N114" s="27">
        <f>IF(C114="","",L114-M114)</f>
        <v/>
      </c>
      <c r="O114" s="24" t="n"/>
      <c r="P114" s="27">
        <f>IF(C114="","",IF(O114="",0,MAX(0,O114-L114)))</f>
        <v/>
      </c>
      <c r="Q114" s="26">
        <f>IF(C114="","",IF(K114=0,"not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R114" s="22" t="n"/>
      <c r="S114" s="26">
        <f>IF(R114="","",HYPERLINK(IF(LEFT(R114,4)="http",R114,set_QwilrBase&amp;R114),"Open quote"))</f>
        <v/>
      </c>
      <c r="T114" s="24" t="n"/>
      <c r="U114" s="24" t="n"/>
      <c r="V114" s="24" t="n"/>
      <c r="W114" s="26">
        <f>IF(C114="","",IF(N(T114)+N(U114)+N(V114)=0,"Not split",IF(ROUND(N(T114)+N(U114)+N(V114),2)=ROUND(L114+P114,2),"OK",IF(K114=0,"Not invoiced yet","MISMATCH"))))</f>
        <v/>
      </c>
      <c r="X114" s="24" t="n"/>
      <c r="Y114" s="24" t="n"/>
      <c r="Z114" s="24" t="n"/>
      <c r="AA114" s="27">
        <f>IF(C114="","",N(X114)+N(Y114)+N(Z114))</f>
        <v/>
      </c>
      <c r="AB114" s="27">
        <f>IF(C114="","",L114+P114-AA114)</f>
        <v/>
      </c>
      <c r="AC114" s="29">
        <f>IFERROR(AB114/(L114+P114),"")</f>
        <v/>
      </c>
      <c r="AD114" s="22" t="n"/>
    </row>
    <row r="115" ht="15" customHeight="1">
      <c r="A115" s="70">
        <f>IF(C115="","",IFERROR(IF(SUMPRODUCT(MAX((tbl_Finance[Job Number]&amp;""=C115&amp;"")*(tbl_Finance[Xero Invoice No]&lt;&gt;"")*tbl_Finance[Date]))=0,"",SUMPRODUCT(MAX((tbl_Finance[Job Number]&amp;""=C115&amp;"")*(tbl_Finance[Xero Invoice No]&lt;&gt;"")*tbl_Finance[Date]))),""))</f>
        <v/>
      </c>
      <c r="B115" s="26">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2" t="n"/>
      <c r="D115" s="26">
        <f>IF(C115="","",IF(COUNTIF(lst_Jobs,C115&amp;"")&gt;0,"OK","CHECK"))</f>
        <v/>
      </c>
      <c r="E115" s="26">
        <f>IF(C115="","",IFERROR(INDEX(lst_JobName,MATCH(C115&amp;"",lst_Jobs,0)),""))</f>
        <v/>
      </c>
      <c r="F115" s="22" t="n"/>
      <c r="G115" s="22" t="n"/>
      <c r="H115" s="22" t="n"/>
      <c r="I115" s="22" t="n"/>
      <c r="J115" s="22" t="n"/>
      <c r="K115" s="28">
        <f>IF(C115="","",COUNTIFS(tbl_Finance[Job Number],C115&amp;"",tbl_Finance[Ex GST],"&lt;&gt;"))</f>
        <v/>
      </c>
      <c r="L115" s="27">
        <f>IF(C115="","",SUMIFS(tbl_Finance[Ex GST],tbl_Finance[Job Number],C115&amp;""))</f>
        <v/>
      </c>
      <c r="M115" s="27">
        <f>IF(C115="","",SUMIFS(tbl_Finance[Ex GST],tbl_Finance[Job Number],C115&amp;"",tbl_Finance[Xero Invoice No],"&lt;&gt;"))</f>
        <v/>
      </c>
      <c r="N115" s="27">
        <f>IF(C115="","",L115-M115)</f>
        <v/>
      </c>
      <c r="O115" s="24" t="n"/>
      <c r="P115" s="27">
        <f>IF(C115="","",IF(O115="",0,MAX(0,O115-L115)))</f>
        <v/>
      </c>
      <c r="Q115" s="26">
        <f>IF(C115="","",IF(K115=0,"not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R115" s="22" t="n"/>
      <c r="S115" s="26">
        <f>IF(R115="","",HYPERLINK(IF(LEFT(R115,4)="http",R115,set_QwilrBase&amp;R115),"Open quote"))</f>
        <v/>
      </c>
      <c r="T115" s="24" t="n"/>
      <c r="U115" s="24" t="n"/>
      <c r="V115" s="24" t="n"/>
      <c r="W115" s="26">
        <f>IF(C115="","",IF(N(T115)+N(U115)+N(V115)=0,"Not split",IF(ROUND(N(T115)+N(U115)+N(V115),2)=ROUND(L115+P115,2),"OK",IF(K115=0,"Not invoiced yet","MISMATCH"))))</f>
        <v/>
      </c>
      <c r="X115" s="24" t="n"/>
      <c r="Y115" s="24" t="n"/>
      <c r="Z115" s="24" t="n"/>
      <c r="AA115" s="27">
        <f>IF(C115="","",N(X115)+N(Y115)+N(Z115))</f>
        <v/>
      </c>
      <c r="AB115" s="27">
        <f>IF(C115="","",L115+P115-AA115)</f>
        <v/>
      </c>
      <c r="AC115" s="29">
        <f>IFERROR(AB115/(L115+P115),"")</f>
        <v/>
      </c>
      <c r="AD115" s="22" t="n"/>
    </row>
    <row r="116" ht="15" customHeight="1">
      <c r="A116" s="70">
        <f>IF(C116="","",IFERROR(IF(SUMPRODUCT(MAX((tbl_Finance[Job Number]&amp;""=C116&amp;"")*(tbl_Finance[Xero Invoice No]&lt;&gt;"")*tbl_Finance[Date]))=0,"",SUMPRODUCT(MAX((tbl_Finance[Job Number]&amp;""=C116&amp;"")*(tbl_Finance[Xero Invoice No]&lt;&gt;"")*tbl_Finance[Date]))),""))</f>
        <v/>
      </c>
      <c r="B116" s="26">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2" t="n"/>
      <c r="D116" s="26">
        <f>IF(C116="","",IF(COUNTIF(lst_Jobs,C116&amp;"")&gt;0,"OK","CHECK"))</f>
        <v/>
      </c>
      <c r="E116" s="26">
        <f>IF(C116="","",IFERROR(INDEX(lst_JobName,MATCH(C116&amp;"",lst_Jobs,0)),""))</f>
        <v/>
      </c>
      <c r="F116" s="22" t="n"/>
      <c r="G116" s="22" t="n"/>
      <c r="H116" s="22" t="n"/>
      <c r="I116" s="22" t="n"/>
      <c r="J116" s="22" t="n"/>
      <c r="K116" s="28">
        <f>IF(C116="","",COUNTIFS(tbl_Finance[Job Number],C116&amp;"",tbl_Finance[Ex GST],"&lt;&gt;"))</f>
        <v/>
      </c>
      <c r="L116" s="27">
        <f>IF(C116="","",SUMIFS(tbl_Finance[Ex GST],tbl_Finance[Job Number],C116&amp;""))</f>
        <v/>
      </c>
      <c r="M116" s="27">
        <f>IF(C116="","",SUMIFS(tbl_Finance[Ex GST],tbl_Finance[Job Number],C116&amp;"",tbl_Finance[Xero Invoice No],"&lt;&gt;"))</f>
        <v/>
      </c>
      <c r="N116" s="27">
        <f>IF(C116="","",L116-M116)</f>
        <v/>
      </c>
      <c r="O116" s="24" t="n"/>
      <c r="P116" s="27">
        <f>IF(C116="","",IF(O116="",0,MAX(0,O116-L116)))</f>
        <v/>
      </c>
      <c r="Q116" s="26">
        <f>IF(C116="","",IF(K116=0,"not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R116" s="22" t="n"/>
      <c r="S116" s="26">
        <f>IF(R116="","",HYPERLINK(IF(LEFT(R116,4)="http",R116,set_QwilrBase&amp;R116),"Open quote"))</f>
        <v/>
      </c>
      <c r="T116" s="24" t="n"/>
      <c r="U116" s="24" t="n"/>
      <c r="V116" s="24" t="n"/>
      <c r="W116" s="26">
        <f>IF(C116="","",IF(N(T116)+N(U116)+N(V116)=0,"Not split",IF(ROUND(N(T116)+N(U116)+N(V116),2)=ROUND(L116+P116,2),"OK",IF(K116=0,"Not invoiced yet","MISMATCH"))))</f>
        <v/>
      </c>
      <c r="X116" s="24" t="n"/>
      <c r="Y116" s="24" t="n"/>
      <c r="Z116" s="24" t="n"/>
      <c r="AA116" s="27">
        <f>IF(C116="","",N(X116)+N(Y116)+N(Z116))</f>
        <v/>
      </c>
      <c r="AB116" s="27">
        <f>IF(C116="","",L116+P116-AA116)</f>
        <v/>
      </c>
      <c r="AC116" s="29">
        <f>IFERROR(AB116/(L116+P116),"")</f>
        <v/>
      </c>
      <c r="AD116" s="22" t="n"/>
    </row>
    <row r="117" ht="15" customHeight="1">
      <c r="A117" s="70">
        <f>IF(C117="","",IFERROR(IF(SUMPRODUCT(MAX((tbl_Finance[Job Number]&amp;""=C117&amp;"")*(tbl_Finance[Xero Invoice No]&lt;&gt;"")*tbl_Finance[Date]))=0,"",SUMPRODUCT(MAX((tbl_Finance[Job Number]&amp;""=C117&amp;"")*(tbl_Finance[Xero Invoice No]&lt;&gt;"")*tbl_Finance[Date]))),""))</f>
        <v/>
      </c>
      <c r="B117" s="26">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2" t="n"/>
      <c r="D117" s="26">
        <f>IF(C117="","",IF(COUNTIF(lst_Jobs,C117&amp;"")&gt;0,"OK","CHECK"))</f>
        <v/>
      </c>
      <c r="E117" s="26">
        <f>IF(C117="","",IFERROR(INDEX(lst_JobName,MATCH(C117&amp;"",lst_Jobs,0)),""))</f>
        <v/>
      </c>
      <c r="F117" s="22" t="n"/>
      <c r="G117" s="22" t="n"/>
      <c r="H117" s="22" t="n"/>
      <c r="I117" s="22" t="n"/>
      <c r="J117" s="22" t="n"/>
      <c r="K117" s="28">
        <f>IF(C117="","",COUNTIFS(tbl_Finance[Job Number],C117&amp;"",tbl_Finance[Ex GST],"&lt;&gt;"))</f>
        <v/>
      </c>
      <c r="L117" s="27">
        <f>IF(C117="","",SUMIFS(tbl_Finance[Ex GST],tbl_Finance[Job Number],C117&amp;""))</f>
        <v/>
      </c>
      <c r="M117" s="27">
        <f>IF(C117="","",SUMIFS(tbl_Finance[Ex GST],tbl_Finance[Job Number],C117&amp;"",tbl_Finance[Xero Invoice No],"&lt;&gt;"))</f>
        <v/>
      </c>
      <c r="N117" s="27">
        <f>IF(C117="","",L117-M117)</f>
        <v/>
      </c>
      <c r="O117" s="24" t="n"/>
      <c r="P117" s="27">
        <f>IF(C117="","",IF(O117="",0,MAX(0,O117-L117)))</f>
        <v/>
      </c>
      <c r="Q117" s="26">
        <f>IF(C117="","",IF(K117=0,"not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R117" s="22" t="n"/>
      <c r="S117" s="26">
        <f>IF(R117="","",HYPERLINK(IF(LEFT(R117,4)="http",R117,set_QwilrBase&amp;R117),"Open quote"))</f>
        <v/>
      </c>
      <c r="T117" s="24" t="n"/>
      <c r="U117" s="24" t="n"/>
      <c r="V117" s="24" t="n"/>
      <c r="W117" s="26">
        <f>IF(C117="","",IF(N(T117)+N(U117)+N(V117)=0,"Not split",IF(ROUND(N(T117)+N(U117)+N(V117),2)=ROUND(L117+P117,2),"OK",IF(K117=0,"Not invoiced yet","MISMATCH"))))</f>
        <v/>
      </c>
      <c r="X117" s="24" t="n"/>
      <c r="Y117" s="24" t="n"/>
      <c r="Z117" s="24" t="n"/>
      <c r="AA117" s="27">
        <f>IF(C117="","",N(X117)+N(Y117)+N(Z117))</f>
        <v/>
      </c>
      <c r="AB117" s="27">
        <f>IF(C117="","",L117+P117-AA117)</f>
        <v/>
      </c>
      <c r="AC117" s="29">
        <f>IFERROR(AB117/(L117+P117),"")</f>
        <v/>
      </c>
      <c r="AD117" s="22" t="n"/>
    </row>
    <row r="118" ht="15" customHeight="1">
      <c r="A118" s="70">
        <f>IF(C118="","",IFERROR(IF(SUMPRODUCT(MAX((tbl_Finance[Job Number]&amp;""=C118&amp;"")*(tbl_Finance[Xero Invoice No]&lt;&gt;"")*tbl_Finance[Date]))=0,"",SUMPRODUCT(MAX((tbl_Finance[Job Number]&amp;""=C118&amp;"")*(tbl_Finance[Xero Invoice No]&lt;&gt;"")*tbl_Finance[Date]))),""))</f>
        <v/>
      </c>
      <c r="B118" s="26">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2" t="n"/>
      <c r="D118" s="26">
        <f>IF(C118="","",IF(COUNTIF(lst_Jobs,C118&amp;"")&gt;0,"OK","CHECK"))</f>
        <v/>
      </c>
      <c r="E118" s="26">
        <f>IF(C118="","",IFERROR(INDEX(lst_JobName,MATCH(C118&amp;"",lst_Jobs,0)),""))</f>
        <v/>
      </c>
      <c r="F118" s="22" t="n"/>
      <c r="G118" s="22" t="n"/>
      <c r="H118" s="22" t="n"/>
      <c r="I118" s="22" t="n"/>
      <c r="J118" s="22" t="n"/>
      <c r="K118" s="28">
        <f>IF(C118="","",COUNTIFS(tbl_Finance[Job Number],C118&amp;"",tbl_Finance[Ex GST],"&lt;&gt;"))</f>
        <v/>
      </c>
      <c r="L118" s="27">
        <f>IF(C118="","",SUMIFS(tbl_Finance[Ex GST],tbl_Finance[Job Number],C118&amp;""))</f>
        <v/>
      </c>
      <c r="M118" s="27">
        <f>IF(C118="","",SUMIFS(tbl_Finance[Ex GST],tbl_Finance[Job Number],C118&amp;"",tbl_Finance[Xero Invoice No],"&lt;&gt;"))</f>
        <v/>
      </c>
      <c r="N118" s="27">
        <f>IF(C118="","",L118-M118)</f>
        <v/>
      </c>
      <c r="O118" s="24" t="n"/>
      <c r="P118" s="27">
        <f>IF(C118="","",IF(O118="",0,MAX(0,O118-L118)))</f>
        <v/>
      </c>
      <c r="Q118" s="26">
        <f>IF(C118="","",IF(K118=0,"not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R118" s="22" t="n"/>
      <c r="S118" s="26">
        <f>IF(R118="","",HYPERLINK(IF(LEFT(R118,4)="http",R118,set_QwilrBase&amp;R118),"Open quote"))</f>
        <v/>
      </c>
      <c r="T118" s="24" t="n"/>
      <c r="U118" s="24" t="n"/>
      <c r="V118" s="24" t="n"/>
      <c r="W118" s="26">
        <f>IF(C118="","",IF(N(T118)+N(U118)+N(V118)=0,"Not split",IF(ROUND(N(T118)+N(U118)+N(V118),2)=ROUND(L118+P118,2),"OK",IF(K118=0,"Not invoiced yet","MISMATCH"))))</f>
        <v/>
      </c>
      <c r="X118" s="24" t="n"/>
      <c r="Y118" s="24" t="n"/>
      <c r="Z118" s="24" t="n"/>
      <c r="AA118" s="27">
        <f>IF(C118="","",N(X118)+N(Y118)+N(Z118))</f>
        <v/>
      </c>
      <c r="AB118" s="27">
        <f>IF(C118="","",L118+P118-AA118)</f>
        <v/>
      </c>
      <c r="AC118" s="29">
        <f>IFERROR(AB118/(L118+P118),"")</f>
        <v/>
      </c>
      <c r="AD118" s="22" t="n"/>
    </row>
    <row r="119" ht="15" customHeight="1">
      <c r="A119" s="70">
        <f>IF(C119="","",IFERROR(IF(SUMPRODUCT(MAX((tbl_Finance[Job Number]&amp;""=C119&amp;"")*(tbl_Finance[Xero Invoice No]&lt;&gt;"")*tbl_Finance[Date]))=0,"",SUMPRODUCT(MAX((tbl_Finance[Job Number]&amp;""=C119&amp;"")*(tbl_Finance[Xero Invoice No]&lt;&gt;"")*tbl_Finance[Date]))),""))</f>
        <v/>
      </c>
      <c r="B119" s="26">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2" t="n"/>
      <c r="D119" s="26">
        <f>IF(C119="","",IF(COUNTIF(lst_Jobs,C119&amp;"")&gt;0,"OK","CHECK"))</f>
        <v/>
      </c>
      <c r="E119" s="26">
        <f>IF(C119="","",IFERROR(INDEX(lst_JobName,MATCH(C119&amp;"",lst_Jobs,0)),""))</f>
        <v/>
      </c>
      <c r="F119" s="22" t="n"/>
      <c r="G119" s="22" t="n"/>
      <c r="H119" s="22" t="n"/>
      <c r="I119" s="22" t="n"/>
      <c r="J119" s="22" t="n"/>
      <c r="K119" s="28">
        <f>IF(C119="","",COUNTIFS(tbl_Finance[Job Number],C119&amp;"",tbl_Finance[Ex GST],"&lt;&gt;"))</f>
        <v/>
      </c>
      <c r="L119" s="27">
        <f>IF(C119="","",SUMIFS(tbl_Finance[Ex GST],tbl_Finance[Job Number],C119&amp;""))</f>
        <v/>
      </c>
      <c r="M119" s="27">
        <f>IF(C119="","",SUMIFS(tbl_Finance[Ex GST],tbl_Finance[Job Number],C119&amp;"",tbl_Finance[Xero Invoice No],"&lt;&gt;"))</f>
        <v/>
      </c>
      <c r="N119" s="27">
        <f>IF(C119="","",L119-M119)</f>
        <v/>
      </c>
      <c r="O119" s="24" t="n"/>
      <c r="P119" s="27">
        <f>IF(C119="","",IF(O119="",0,MAX(0,O119-L119)))</f>
        <v/>
      </c>
      <c r="Q119" s="26">
        <f>IF(C119="","",IF(K119=0,"not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R119" s="22" t="n"/>
      <c r="S119" s="26">
        <f>IF(R119="","",HYPERLINK(IF(LEFT(R119,4)="http",R119,set_QwilrBase&amp;R119),"Open quote"))</f>
        <v/>
      </c>
      <c r="T119" s="24" t="n"/>
      <c r="U119" s="24" t="n"/>
      <c r="V119" s="24" t="n"/>
      <c r="W119" s="26">
        <f>IF(C119="","",IF(N(T119)+N(U119)+N(V119)=0,"Not split",IF(ROUND(N(T119)+N(U119)+N(V119),2)=ROUND(L119+P119,2),"OK",IF(K119=0,"Not invoiced yet","MISMATCH"))))</f>
        <v/>
      </c>
      <c r="X119" s="24" t="n"/>
      <c r="Y119" s="24" t="n"/>
      <c r="Z119" s="24" t="n"/>
      <c r="AA119" s="27">
        <f>IF(C119="","",N(X119)+N(Y119)+N(Z119))</f>
        <v/>
      </c>
      <c r="AB119" s="27">
        <f>IF(C119="","",L119+P119-AA119)</f>
        <v/>
      </c>
      <c r="AC119" s="29">
        <f>IFERROR(AB119/(L119+P119),"")</f>
        <v/>
      </c>
      <c r="AD119" s="22" t="n"/>
    </row>
    <row r="120" ht="15" customHeight="1">
      <c r="A120" s="70">
        <f>IF(C120="","",IFERROR(IF(SUMPRODUCT(MAX((tbl_Finance[Job Number]&amp;""=C120&amp;"")*(tbl_Finance[Xero Invoice No]&lt;&gt;"")*tbl_Finance[Date]))=0,"",SUMPRODUCT(MAX((tbl_Finance[Job Number]&amp;""=C120&amp;"")*(tbl_Finance[Xero Invoice No]&lt;&gt;"")*tbl_Finance[Date]))),""))</f>
        <v/>
      </c>
      <c r="B120" s="26">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2" t="n"/>
      <c r="D120" s="26">
        <f>IF(C120="","",IF(COUNTIF(lst_Jobs,C120&amp;"")&gt;0,"OK","CHECK"))</f>
        <v/>
      </c>
      <c r="E120" s="26">
        <f>IF(C120="","",IFERROR(INDEX(lst_JobName,MATCH(C120&amp;"",lst_Jobs,0)),""))</f>
        <v/>
      </c>
      <c r="F120" s="22" t="n"/>
      <c r="G120" s="22" t="n"/>
      <c r="H120" s="22" t="n"/>
      <c r="I120" s="22" t="n"/>
      <c r="J120" s="22" t="n"/>
      <c r="K120" s="28">
        <f>IF(C120="","",COUNTIFS(tbl_Finance[Job Number],C120&amp;"",tbl_Finance[Ex GST],"&lt;&gt;"))</f>
        <v/>
      </c>
      <c r="L120" s="27">
        <f>IF(C120="","",SUMIFS(tbl_Finance[Ex GST],tbl_Finance[Job Number],C120&amp;""))</f>
        <v/>
      </c>
      <c r="M120" s="27">
        <f>IF(C120="","",SUMIFS(tbl_Finance[Ex GST],tbl_Finance[Job Number],C120&amp;"",tbl_Finance[Xero Invoice No],"&lt;&gt;"))</f>
        <v/>
      </c>
      <c r="N120" s="27">
        <f>IF(C120="","",L120-M120)</f>
        <v/>
      </c>
      <c r="O120" s="24" t="n"/>
      <c r="P120" s="27">
        <f>IF(C120="","",IF(O120="",0,MAX(0,O120-L120)))</f>
        <v/>
      </c>
      <c r="Q120" s="26">
        <f>IF(C120="","",IF(K120=0,"not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R120" s="22" t="n"/>
      <c r="S120" s="26">
        <f>IF(R120="","",HYPERLINK(IF(LEFT(R120,4)="http",R120,set_QwilrBase&amp;R120),"Open quote"))</f>
        <v/>
      </c>
      <c r="T120" s="24" t="n"/>
      <c r="U120" s="24" t="n"/>
      <c r="V120" s="24" t="n"/>
      <c r="W120" s="26">
        <f>IF(C120="","",IF(N(T120)+N(U120)+N(V120)=0,"Not split",IF(ROUND(N(T120)+N(U120)+N(V120),2)=ROUND(L120+P120,2),"OK",IF(K120=0,"Not invoiced yet","MISMATCH"))))</f>
        <v/>
      </c>
      <c r="X120" s="24" t="n"/>
      <c r="Y120" s="24" t="n"/>
      <c r="Z120" s="24" t="n"/>
      <c r="AA120" s="27">
        <f>IF(C120="","",N(X120)+N(Y120)+N(Z120))</f>
        <v/>
      </c>
      <c r="AB120" s="27">
        <f>IF(C120="","",L120+P120-AA120)</f>
        <v/>
      </c>
      <c r="AC120" s="29">
        <f>IFERROR(AB120/(L120+P120),"")</f>
        <v/>
      </c>
      <c r="AD120" s="22" t="n"/>
    </row>
    <row r="121" ht="15" customHeight="1">
      <c r="A121" s="70">
        <f>IF(C121="","",IFERROR(IF(SUMPRODUCT(MAX((tbl_Finance[Job Number]&amp;""=C121&amp;"")*(tbl_Finance[Xero Invoice No]&lt;&gt;"")*tbl_Finance[Date]))=0,"",SUMPRODUCT(MAX((tbl_Finance[Job Number]&amp;""=C121&amp;"")*(tbl_Finance[Xero Invoice No]&lt;&gt;"")*tbl_Finance[Date]))),""))</f>
        <v/>
      </c>
      <c r="B121" s="26">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2" t="n"/>
      <c r="D121" s="26">
        <f>IF(C121="","",IF(COUNTIF(lst_Jobs,C121&amp;"")&gt;0,"OK","CHECK"))</f>
        <v/>
      </c>
      <c r="E121" s="26">
        <f>IF(C121="","",IFERROR(INDEX(lst_JobName,MATCH(C121&amp;"",lst_Jobs,0)),""))</f>
        <v/>
      </c>
      <c r="F121" s="22" t="n"/>
      <c r="G121" s="22" t="n"/>
      <c r="H121" s="22" t="n"/>
      <c r="I121" s="22" t="n"/>
      <c r="J121" s="22" t="n"/>
      <c r="K121" s="28">
        <f>IF(C121="","",COUNTIFS(tbl_Finance[Job Number],C121&amp;"",tbl_Finance[Ex GST],"&lt;&gt;"))</f>
        <v/>
      </c>
      <c r="L121" s="27">
        <f>IF(C121="","",SUMIFS(tbl_Finance[Ex GST],tbl_Finance[Job Number],C121&amp;""))</f>
        <v/>
      </c>
      <c r="M121" s="27">
        <f>IF(C121="","",SUMIFS(tbl_Finance[Ex GST],tbl_Finance[Job Number],C121&amp;"",tbl_Finance[Xero Invoice No],"&lt;&gt;"))</f>
        <v/>
      </c>
      <c r="N121" s="27">
        <f>IF(C121="","",L121-M121)</f>
        <v/>
      </c>
      <c r="O121" s="24" t="n"/>
      <c r="P121" s="27">
        <f>IF(C121="","",IF(O121="",0,MAX(0,O121-L121)))</f>
        <v/>
      </c>
      <c r="Q121" s="26">
        <f>IF(C121="","",IF(K121=0,"not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R121" s="22" t="n"/>
      <c r="S121" s="26">
        <f>IF(R121="","",HYPERLINK(IF(LEFT(R121,4)="http",R121,set_QwilrBase&amp;R121),"Open quote"))</f>
        <v/>
      </c>
      <c r="T121" s="24" t="n"/>
      <c r="U121" s="24" t="n"/>
      <c r="V121" s="24" t="n"/>
      <c r="W121" s="26">
        <f>IF(C121="","",IF(N(T121)+N(U121)+N(V121)=0,"Not split",IF(ROUND(N(T121)+N(U121)+N(V121),2)=ROUND(L121+P121,2),"OK",IF(K121=0,"Not invoiced yet","MISMATCH"))))</f>
        <v/>
      </c>
      <c r="X121" s="24" t="n"/>
      <c r="Y121" s="24" t="n"/>
      <c r="Z121" s="24" t="n"/>
      <c r="AA121" s="27">
        <f>IF(C121="","",N(X121)+N(Y121)+N(Z121))</f>
        <v/>
      </c>
      <c r="AB121" s="27">
        <f>IF(C121="","",L121+P121-AA121)</f>
        <v/>
      </c>
      <c r="AC121" s="29">
        <f>IFERROR(AB121/(L121+P121),"")</f>
        <v/>
      </c>
      <c r="AD121" s="22" t="n"/>
    </row>
    <row r="122" ht="15" customHeight="1">
      <c r="A122" s="70">
        <f>IF(C122="","",IFERROR(IF(SUMPRODUCT(MAX((tbl_Finance[Job Number]&amp;""=C122&amp;"")*(tbl_Finance[Xero Invoice No]&lt;&gt;"")*tbl_Finance[Date]))=0,"",SUMPRODUCT(MAX((tbl_Finance[Job Number]&amp;""=C122&amp;"")*(tbl_Finance[Xero Invoice No]&lt;&gt;"")*tbl_Finance[Date]))),""))</f>
        <v/>
      </c>
      <c r="B122" s="26">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2" t="n"/>
      <c r="D122" s="26">
        <f>IF(C122="","",IF(COUNTIF(lst_Jobs,C122&amp;"")&gt;0,"OK","CHECK"))</f>
        <v/>
      </c>
      <c r="E122" s="26">
        <f>IF(C122="","",IFERROR(INDEX(lst_JobName,MATCH(C122&amp;"",lst_Jobs,0)),""))</f>
        <v/>
      </c>
      <c r="F122" s="22" t="n"/>
      <c r="G122" s="22" t="n"/>
      <c r="H122" s="22" t="n"/>
      <c r="I122" s="22" t="n"/>
      <c r="J122" s="22" t="n"/>
      <c r="K122" s="28">
        <f>IF(C122="","",COUNTIFS(tbl_Finance[Job Number],C122&amp;"",tbl_Finance[Ex GST],"&lt;&gt;"))</f>
        <v/>
      </c>
      <c r="L122" s="27">
        <f>IF(C122="","",SUMIFS(tbl_Finance[Ex GST],tbl_Finance[Job Number],C122&amp;""))</f>
        <v/>
      </c>
      <c r="M122" s="27">
        <f>IF(C122="","",SUMIFS(tbl_Finance[Ex GST],tbl_Finance[Job Number],C122&amp;"",tbl_Finance[Xero Invoice No],"&lt;&gt;"))</f>
        <v/>
      </c>
      <c r="N122" s="27">
        <f>IF(C122="","",L122-M122)</f>
        <v/>
      </c>
      <c r="O122" s="24" t="n"/>
      <c r="P122" s="27">
        <f>IF(C122="","",IF(O122="",0,MAX(0,O122-L122)))</f>
        <v/>
      </c>
      <c r="Q122" s="26">
        <f>IF(C122="","",IF(K122=0,"not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R122" s="22" t="n"/>
      <c r="S122" s="26">
        <f>IF(R122="","",HYPERLINK(IF(LEFT(R122,4)="http",R122,set_QwilrBase&amp;R122),"Open quote"))</f>
        <v/>
      </c>
      <c r="T122" s="24" t="n"/>
      <c r="U122" s="24" t="n"/>
      <c r="V122" s="24" t="n"/>
      <c r="W122" s="26">
        <f>IF(C122="","",IF(N(T122)+N(U122)+N(V122)=0,"Not split",IF(ROUND(N(T122)+N(U122)+N(V122),2)=ROUND(L122+P122,2),"OK",IF(K122=0,"Not invoiced yet","MISMATCH"))))</f>
        <v/>
      </c>
      <c r="X122" s="24" t="n"/>
      <c r="Y122" s="24" t="n"/>
      <c r="Z122" s="24" t="n"/>
      <c r="AA122" s="27">
        <f>IF(C122="","",N(X122)+N(Y122)+N(Z122))</f>
        <v/>
      </c>
      <c r="AB122" s="27">
        <f>IF(C122="","",L122+P122-AA122)</f>
        <v/>
      </c>
      <c r="AC122" s="29">
        <f>IFERROR(AB122/(L122+P122),"")</f>
        <v/>
      </c>
      <c r="AD122" s="22" t="n"/>
    </row>
    <row r="123" ht="15" customHeight="1">
      <c r="A123" s="70">
        <f>IF(C123="","",IFERROR(IF(SUMPRODUCT(MAX((tbl_Finance[Job Number]&amp;""=C123&amp;"")*(tbl_Finance[Xero Invoice No]&lt;&gt;"")*tbl_Finance[Date]))=0,"",SUMPRODUCT(MAX((tbl_Finance[Job Number]&amp;""=C123&amp;"")*(tbl_Finance[Xero Invoice No]&lt;&gt;"")*tbl_Finance[Date]))),""))</f>
        <v/>
      </c>
      <c r="B123" s="26">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2" t="n"/>
      <c r="D123" s="26">
        <f>IF(C123="","",IF(COUNTIF(lst_Jobs,C123&amp;"")&gt;0,"OK","CHECK"))</f>
        <v/>
      </c>
      <c r="E123" s="26">
        <f>IF(C123="","",IFERROR(INDEX(lst_JobName,MATCH(C123&amp;"",lst_Jobs,0)),""))</f>
        <v/>
      </c>
      <c r="F123" s="22" t="n"/>
      <c r="G123" s="22" t="n"/>
      <c r="H123" s="22" t="n"/>
      <c r="I123" s="22" t="n"/>
      <c r="J123" s="22" t="n"/>
      <c r="K123" s="28">
        <f>IF(C123="","",COUNTIFS(tbl_Finance[Job Number],C123&amp;"",tbl_Finance[Ex GST],"&lt;&gt;"))</f>
        <v/>
      </c>
      <c r="L123" s="27">
        <f>IF(C123="","",SUMIFS(tbl_Finance[Ex GST],tbl_Finance[Job Number],C123&amp;""))</f>
        <v/>
      </c>
      <c r="M123" s="27">
        <f>IF(C123="","",SUMIFS(tbl_Finance[Ex GST],tbl_Finance[Job Number],C123&amp;"",tbl_Finance[Xero Invoice No],"&lt;&gt;"))</f>
        <v/>
      </c>
      <c r="N123" s="27">
        <f>IF(C123="","",L123-M123)</f>
        <v/>
      </c>
      <c r="O123" s="24" t="n"/>
      <c r="P123" s="27">
        <f>IF(C123="","",IF(O123="",0,MAX(0,O123-L123)))</f>
        <v/>
      </c>
      <c r="Q123" s="26">
        <f>IF(C123="","",IF(K123=0,"not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R123" s="22" t="n"/>
      <c r="S123" s="26">
        <f>IF(R123="","",HYPERLINK(IF(LEFT(R123,4)="http",R123,set_QwilrBase&amp;R123),"Open quote"))</f>
        <v/>
      </c>
      <c r="T123" s="24" t="n"/>
      <c r="U123" s="24" t="n"/>
      <c r="V123" s="24" t="n"/>
      <c r="W123" s="26">
        <f>IF(C123="","",IF(N(T123)+N(U123)+N(V123)=0,"Not split",IF(ROUND(N(T123)+N(U123)+N(V123),2)=ROUND(L123+P123,2),"OK",IF(K123=0,"Not invoiced yet","MISMATCH"))))</f>
        <v/>
      </c>
      <c r="X123" s="24" t="n"/>
      <c r="Y123" s="24" t="n"/>
      <c r="Z123" s="24" t="n"/>
      <c r="AA123" s="27">
        <f>IF(C123="","",N(X123)+N(Y123)+N(Z123))</f>
        <v/>
      </c>
      <c r="AB123" s="27">
        <f>IF(C123="","",L123+P123-AA123)</f>
        <v/>
      </c>
      <c r="AC123" s="29">
        <f>IFERROR(AB123/(L123+P123),"")</f>
        <v/>
      </c>
      <c r="AD123" s="22" t="n"/>
    </row>
    <row r="124" ht="15" customHeight="1">
      <c r="A124" s="70">
        <f>IF(C124="","",IFERROR(IF(SUMPRODUCT(MAX((tbl_Finance[Job Number]&amp;""=C124&amp;"")*(tbl_Finance[Xero Invoice No]&lt;&gt;"")*tbl_Finance[Date]))=0,"",SUMPRODUCT(MAX((tbl_Finance[Job Number]&amp;""=C124&amp;"")*(tbl_Finance[Xero Invoice No]&lt;&gt;"")*tbl_Finance[Date]))),""))</f>
        <v/>
      </c>
      <c r="B124" s="26">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2" t="n"/>
      <c r="D124" s="26">
        <f>IF(C124="","",IF(COUNTIF(lst_Jobs,C124&amp;"")&gt;0,"OK","CHECK"))</f>
        <v/>
      </c>
      <c r="E124" s="26">
        <f>IF(C124="","",IFERROR(INDEX(lst_JobName,MATCH(C124&amp;"",lst_Jobs,0)),""))</f>
        <v/>
      </c>
      <c r="F124" s="22" t="n"/>
      <c r="G124" s="22" t="n"/>
      <c r="H124" s="22" t="n"/>
      <c r="I124" s="22" t="n"/>
      <c r="J124" s="22" t="n"/>
      <c r="K124" s="28">
        <f>IF(C124="","",COUNTIFS(tbl_Finance[Job Number],C124&amp;"",tbl_Finance[Ex GST],"&lt;&gt;"))</f>
        <v/>
      </c>
      <c r="L124" s="27">
        <f>IF(C124="","",SUMIFS(tbl_Finance[Ex GST],tbl_Finance[Job Number],C124&amp;""))</f>
        <v/>
      </c>
      <c r="M124" s="27">
        <f>IF(C124="","",SUMIFS(tbl_Finance[Ex GST],tbl_Finance[Job Number],C124&amp;"",tbl_Finance[Xero Invoice No],"&lt;&gt;"))</f>
        <v/>
      </c>
      <c r="N124" s="27">
        <f>IF(C124="","",L124-M124)</f>
        <v/>
      </c>
      <c r="O124" s="24" t="n"/>
      <c r="P124" s="27">
        <f>IF(C124="","",IF(O124="",0,MAX(0,O124-L124)))</f>
        <v/>
      </c>
      <c r="Q124" s="26">
        <f>IF(C124="","",IF(K124=0,"not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R124" s="22" t="n"/>
      <c r="S124" s="26">
        <f>IF(R124="","",HYPERLINK(IF(LEFT(R124,4)="http",R124,set_QwilrBase&amp;R124),"Open quote"))</f>
        <v/>
      </c>
      <c r="T124" s="24" t="n"/>
      <c r="U124" s="24" t="n"/>
      <c r="V124" s="24" t="n"/>
      <c r="W124" s="26">
        <f>IF(C124="","",IF(N(T124)+N(U124)+N(V124)=0,"Not split",IF(ROUND(N(T124)+N(U124)+N(V124),2)=ROUND(L124+P124,2),"OK",IF(K124=0,"Not invoiced yet","MISMATCH"))))</f>
        <v/>
      </c>
      <c r="X124" s="24" t="n"/>
      <c r="Y124" s="24" t="n"/>
      <c r="Z124" s="24" t="n"/>
      <c r="AA124" s="27">
        <f>IF(C124="","",N(X124)+N(Y124)+N(Z124))</f>
        <v/>
      </c>
      <c r="AB124" s="27">
        <f>IF(C124="","",L124+P124-AA124)</f>
        <v/>
      </c>
      <c r="AC124" s="29">
        <f>IFERROR(AB124/(L124+P124),"")</f>
        <v/>
      </c>
      <c r="AD124" s="22" t="n"/>
    </row>
    <row r="125" ht="15" customHeight="1">
      <c r="A125" s="70">
        <f>IF(C125="","",IFERROR(IF(SUMPRODUCT(MAX((tbl_Finance[Job Number]&amp;""=C125&amp;"")*(tbl_Finance[Xero Invoice No]&lt;&gt;"")*tbl_Finance[Date]))=0,"",SUMPRODUCT(MAX((tbl_Finance[Job Number]&amp;""=C125&amp;"")*(tbl_Finance[Xero Invoice No]&lt;&gt;"")*tbl_Finance[Date]))),""))</f>
        <v/>
      </c>
      <c r="B125" s="26">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2" t="n"/>
      <c r="D125" s="26">
        <f>IF(C125="","",IF(COUNTIF(lst_Jobs,C125&amp;"")&gt;0,"OK","CHECK"))</f>
        <v/>
      </c>
      <c r="E125" s="26">
        <f>IF(C125="","",IFERROR(INDEX(lst_JobName,MATCH(C125&amp;"",lst_Jobs,0)),""))</f>
        <v/>
      </c>
      <c r="F125" s="22" t="n"/>
      <c r="G125" s="22" t="n"/>
      <c r="H125" s="22" t="n"/>
      <c r="I125" s="22" t="n"/>
      <c r="J125" s="22" t="n"/>
      <c r="K125" s="28">
        <f>IF(C125="","",COUNTIFS(tbl_Finance[Job Number],C125&amp;"",tbl_Finance[Ex GST],"&lt;&gt;"))</f>
        <v/>
      </c>
      <c r="L125" s="27">
        <f>IF(C125="","",SUMIFS(tbl_Finance[Ex GST],tbl_Finance[Job Number],C125&amp;""))</f>
        <v/>
      </c>
      <c r="M125" s="27">
        <f>IF(C125="","",SUMIFS(tbl_Finance[Ex GST],tbl_Finance[Job Number],C125&amp;"",tbl_Finance[Xero Invoice No],"&lt;&gt;"))</f>
        <v/>
      </c>
      <c r="N125" s="27">
        <f>IF(C125="","",L125-M125)</f>
        <v/>
      </c>
      <c r="O125" s="24" t="n"/>
      <c r="P125" s="27">
        <f>IF(C125="","",IF(O125="",0,MAX(0,O125-L125)))</f>
        <v/>
      </c>
      <c r="Q125" s="26">
        <f>IF(C125="","",IF(K125=0,"not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R125" s="22" t="n"/>
      <c r="S125" s="26">
        <f>IF(R125="","",HYPERLINK(IF(LEFT(R125,4)="http",R125,set_QwilrBase&amp;R125),"Open quote"))</f>
        <v/>
      </c>
      <c r="T125" s="24" t="n"/>
      <c r="U125" s="24" t="n"/>
      <c r="V125" s="24" t="n"/>
      <c r="W125" s="26">
        <f>IF(C125="","",IF(N(T125)+N(U125)+N(V125)=0,"Not split",IF(ROUND(N(T125)+N(U125)+N(V125),2)=ROUND(L125+P125,2),"OK",IF(K125=0,"Not invoiced yet","MISMATCH"))))</f>
        <v/>
      </c>
      <c r="X125" s="24" t="n"/>
      <c r="Y125" s="24" t="n"/>
      <c r="Z125" s="24" t="n"/>
      <c r="AA125" s="27">
        <f>IF(C125="","",N(X125)+N(Y125)+N(Z125))</f>
        <v/>
      </c>
      <c r="AB125" s="27">
        <f>IF(C125="","",L125+P125-AA125)</f>
        <v/>
      </c>
      <c r="AC125" s="29">
        <f>IFERROR(AB125/(L125+P125),"")</f>
        <v/>
      </c>
      <c r="AD125" s="22" t="n"/>
    </row>
    <row r="126" ht="15" customHeight="1">
      <c r="A126" s="70">
        <f>IF(C126="","",IFERROR(IF(SUMPRODUCT(MAX((tbl_Finance[Job Number]&amp;""=C126&amp;"")*(tbl_Finance[Xero Invoice No]&lt;&gt;"")*tbl_Finance[Date]))=0,"",SUMPRODUCT(MAX((tbl_Finance[Job Number]&amp;""=C126&amp;"")*(tbl_Finance[Xero Invoice No]&lt;&gt;"")*tbl_Finance[Date]))),""))</f>
        <v/>
      </c>
      <c r="B126" s="26">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2" t="n"/>
      <c r="D126" s="26">
        <f>IF(C126="","",IF(COUNTIF(lst_Jobs,C126&amp;"")&gt;0,"OK","CHECK"))</f>
        <v/>
      </c>
      <c r="E126" s="26">
        <f>IF(C126="","",IFERROR(INDEX(lst_JobName,MATCH(C126&amp;"",lst_Jobs,0)),""))</f>
        <v/>
      </c>
      <c r="F126" s="22" t="n"/>
      <c r="G126" s="22" t="n"/>
      <c r="H126" s="22" t="n"/>
      <c r="I126" s="22" t="n"/>
      <c r="J126" s="22" t="n"/>
      <c r="K126" s="28">
        <f>IF(C126="","",COUNTIFS(tbl_Finance[Job Number],C126&amp;"",tbl_Finance[Ex GST],"&lt;&gt;"))</f>
        <v/>
      </c>
      <c r="L126" s="27">
        <f>IF(C126="","",SUMIFS(tbl_Finance[Ex GST],tbl_Finance[Job Number],C126&amp;""))</f>
        <v/>
      </c>
      <c r="M126" s="27">
        <f>IF(C126="","",SUMIFS(tbl_Finance[Ex GST],tbl_Finance[Job Number],C126&amp;"",tbl_Finance[Xero Invoice No],"&lt;&gt;"))</f>
        <v/>
      </c>
      <c r="N126" s="27">
        <f>IF(C126="","",L126-M126)</f>
        <v/>
      </c>
      <c r="O126" s="24" t="n"/>
      <c r="P126" s="27">
        <f>IF(C126="","",IF(O126="",0,MAX(0,O126-L126)))</f>
        <v/>
      </c>
      <c r="Q126" s="26">
        <f>IF(C126="","",IF(K126=0,"not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R126" s="22" t="n"/>
      <c r="S126" s="26">
        <f>IF(R126="","",HYPERLINK(IF(LEFT(R126,4)="http",R126,set_QwilrBase&amp;R126),"Open quote"))</f>
        <v/>
      </c>
      <c r="T126" s="24" t="n"/>
      <c r="U126" s="24" t="n"/>
      <c r="V126" s="24" t="n"/>
      <c r="W126" s="26">
        <f>IF(C126="","",IF(N(T126)+N(U126)+N(V126)=0,"Not split",IF(ROUND(N(T126)+N(U126)+N(V126),2)=ROUND(L126+P126,2),"OK",IF(K126=0,"Not invoiced yet","MISMATCH"))))</f>
        <v/>
      </c>
      <c r="X126" s="24" t="n"/>
      <c r="Y126" s="24" t="n"/>
      <c r="Z126" s="24" t="n"/>
      <c r="AA126" s="27">
        <f>IF(C126="","",N(X126)+N(Y126)+N(Z126))</f>
        <v/>
      </c>
      <c r="AB126" s="27">
        <f>IF(C126="","",L126+P126-AA126)</f>
        <v/>
      </c>
      <c r="AC126" s="29">
        <f>IFERROR(AB126/(L126+P126),"")</f>
        <v/>
      </c>
      <c r="AD126" s="22" t="n"/>
    </row>
    <row r="127" ht="15" customHeight="1">
      <c r="A127" s="70">
        <f>IF(C127="","",IFERROR(IF(SUMPRODUCT(MAX((tbl_Finance[Job Number]&amp;""=C127&amp;"")*(tbl_Finance[Xero Invoice No]&lt;&gt;"")*tbl_Finance[Date]))=0,"",SUMPRODUCT(MAX((tbl_Finance[Job Number]&amp;""=C127&amp;"")*(tbl_Finance[Xero Invoice No]&lt;&gt;"")*tbl_Finance[Date]))),""))</f>
        <v/>
      </c>
      <c r="B127" s="26">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2" t="n"/>
      <c r="D127" s="26">
        <f>IF(C127="","",IF(COUNTIF(lst_Jobs,C127&amp;"")&gt;0,"OK","CHECK"))</f>
        <v/>
      </c>
      <c r="E127" s="26">
        <f>IF(C127="","",IFERROR(INDEX(lst_JobName,MATCH(C127&amp;"",lst_Jobs,0)),""))</f>
        <v/>
      </c>
      <c r="F127" s="22" t="n"/>
      <c r="G127" s="22" t="n"/>
      <c r="H127" s="22" t="n"/>
      <c r="I127" s="22" t="n"/>
      <c r="J127" s="22" t="n"/>
      <c r="K127" s="28">
        <f>IF(C127="","",COUNTIFS(tbl_Finance[Job Number],C127&amp;"",tbl_Finance[Ex GST],"&lt;&gt;"))</f>
        <v/>
      </c>
      <c r="L127" s="27">
        <f>IF(C127="","",SUMIFS(tbl_Finance[Ex GST],tbl_Finance[Job Number],C127&amp;""))</f>
        <v/>
      </c>
      <c r="M127" s="27">
        <f>IF(C127="","",SUMIFS(tbl_Finance[Ex GST],tbl_Finance[Job Number],C127&amp;"",tbl_Finance[Xero Invoice No],"&lt;&gt;"))</f>
        <v/>
      </c>
      <c r="N127" s="27">
        <f>IF(C127="","",L127-M127)</f>
        <v/>
      </c>
      <c r="O127" s="24" t="n"/>
      <c r="P127" s="27">
        <f>IF(C127="","",IF(O127="",0,MAX(0,O127-L127)))</f>
        <v/>
      </c>
      <c r="Q127" s="26">
        <f>IF(C127="","",IF(K127=0,"not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R127" s="22" t="n"/>
      <c r="S127" s="26">
        <f>IF(R127="","",HYPERLINK(IF(LEFT(R127,4)="http",R127,set_QwilrBase&amp;R127),"Open quote"))</f>
        <v/>
      </c>
      <c r="T127" s="24" t="n"/>
      <c r="U127" s="24" t="n"/>
      <c r="V127" s="24" t="n"/>
      <c r="W127" s="26">
        <f>IF(C127="","",IF(N(T127)+N(U127)+N(V127)=0,"Not split",IF(ROUND(N(T127)+N(U127)+N(V127),2)=ROUND(L127+P127,2),"OK",IF(K127=0,"Not invoiced yet","MISMATCH"))))</f>
        <v/>
      </c>
      <c r="X127" s="24" t="n"/>
      <c r="Y127" s="24" t="n"/>
      <c r="Z127" s="24" t="n"/>
      <c r="AA127" s="27">
        <f>IF(C127="","",N(X127)+N(Y127)+N(Z127))</f>
        <v/>
      </c>
      <c r="AB127" s="27">
        <f>IF(C127="","",L127+P127-AA127)</f>
        <v/>
      </c>
      <c r="AC127" s="29">
        <f>IFERROR(AB127/(L127+P127),"")</f>
        <v/>
      </c>
      <c r="AD127" s="22" t="n"/>
    </row>
    <row r="128" ht="15" customHeight="1">
      <c r="A128" s="70">
        <f>IF(C128="","",IFERROR(IF(SUMPRODUCT(MAX((tbl_Finance[Job Number]&amp;""=C128&amp;"")*(tbl_Finance[Xero Invoice No]&lt;&gt;"")*tbl_Finance[Date]))=0,"",SUMPRODUCT(MAX((tbl_Finance[Job Number]&amp;""=C128&amp;"")*(tbl_Finance[Xero Invoice No]&lt;&gt;"")*tbl_Finance[Date]))),""))</f>
        <v/>
      </c>
      <c r="B128" s="26">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2" t="n"/>
      <c r="D128" s="26">
        <f>IF(C128="","",IF(COUNTIF(lst_Jobs,C128&amp;"")&gt;0,"OK","CHECK"))</f>
        <v/>
      </c>
      <c r="E128" s="26">
        <f>IF(C128="","",IFERROR(INDEX(lst_JobName,MATCH(C128&amp;"",lst_Jobs,0)),""))</f>
        <v/>
      </c>
      <c r="F128" s="22" t="n"/>
      <c r="G128" s="22" t="n"/>
      <c r="H128" s="22" t="n"/>
      <c r="I128" s="22" t="n"/>
      <c r="J128" s="22" t="n"/>
      <c r="K128" s="28">
        <f>IF(C128="","",COUNTIFS(tbl_Finance[Job Number],C128&amp;"",tbl_Finance[Ex GST],"&lt;&gt;"))</f>
        <v/>
      </c>
      <c r="L128" s="27">
        <f>IF(C128="","",SUMIFS(tbl_Finance[Ex GST],tbl_Finance[Job Number],C128&amp;""))</f>
        <v/>
      </c>
      <c r="M128" s="27">
        <f>IF(C128="","",SUMIFS(tbl_Finance[Ex GST],tbl_Finance[Job Number],C128&amp;"",tbl_Finance[Xero Invoice No],"&lt;&gt;"))</f>
        <v/>
      </c>
      <c r="N128" s="27">
        <f>IF(C128="","",L128-M128)</f>
        <v/>
      </c>
      <c r="O128" s="24" t="n"/>
      <c r="P128" s="27">
        <f>IF(C128="","",IF(O128="",0,MAX(0,O128-L128)))</f>
        <v/>
      </c>
      <c r="Q128" s="26">
        <f>IF(C128="","",IF(K128=0,"not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R128" s="22" t="n"/>
      <c r="S128" s="26">
        <f>IF(R128="","",HYPERLINK(IF(LEFT(R128,4)="http",R128,set_QwilrBase&amp;R128),"Open quote"))</f>
        <v/>
      </c>
      <c r="T128" s="24" t="n"/>
      <c r="U128" s="24" t="n"/>
      <c r="V128" s="24" t="n"/>
      <c r="W128" s="26">
        <f>IF(C128="","",IF(N(T128)+N(U128)+N(V128)=0,"Not split",IF(ROUND(N(T128)+N(U128)+N(V128),2)=ROUND(L128+P128,2),"OK",IF(K128=0,"Not invoiced yet","MISMATCH"))))</f>
        <v/>
      </c>
      <c r="X128" s="24" t="n"/>
      <c r="Y128" s="24" t="n"/>
      <c r="Z128" s="24" t="n"/>
      <c r="AA128" s="27">
        <f>IF(C128="","",N(X128)+N(Y128)+N(Z128))</f>
        <v/>
      </c>
      <c r="AB128" s="27">
        <f>IF(C128="","",L128+P128-AA128)</f>
        <v/>
      </c>
      <c r="AC128" s="29">
        <f>IFERROR(AB128/(L128+P128),"")</f>
        <v/>
      </c>
      <c r="AD128" s="22" t="n"/>
    </row>
    <row r="129" ht="15" customHeight="1">
      <c r="A129" s="70">
        <f>IF(C129="","",IFERROR(IF(SUMPRODUCT(MAX((tbl_Finance[Job Number]&amp;""=C129&amp;"")*(tbl_Finance[Xero Invoice No]&lt;&gt;"")*tbl_Finance[Date]))=0,"",SUMPRODUCT(MAX((tbl_Finance[Job Number]&amp;""=C129&amp;"")*(tbl_Finance[Xero Invoice No]&lt;&gt;"")*tbl_Finance[Date]))),""))</f>
        <v/>
      </c>
      <c r="B129" s="26">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2" t="n"/>
      <c r="D129" s="26">
        <f>IF(C129="","",IF(COUNTIF(lst_Jobs,C129&amp;"")&gt;0,"OK","CHECK"))</f>
        <v/>
      </c>
      <c r="E129" s="26">
        <f>IF(C129="","",IFERROR(INDEX(lst_JobName,MATCH(C129&amp;"",lst_Jobs,0)),""))</f>
        <v/>
      </c>
      <c r="F129" s="22" t="n"/>
      <c r="G129" s="22" t="n"/>
      <c r="H129" s="22" t="n"/>
      <c r="I129" s="22" t="n"/>
      <c r="J129" s="22" t="n"/>
      <c r="K129" s="28">
        <f>IF(C129="","",COUNTIFS(tbl_Finance[Job Number],C129&amp;"",tbl_Finance[Ex GST],"&lt;&gt;"))</f>
        <v/>
      </c>
      <c r="L129" s="27">
        <f>IF(C129="","",SUMIFS(tbl_Finance[Ex GST],tbl_Finance[Job Number],C129&amp;""))</f>
        <v/>
      </c>
      <c r="M129" s="27">
        <f>IF(C129="","",SUMIFS(tbl_Finance[Ex GST],tbl_Finance[Job Number],C129&amp;"",tbl_Finance[Xero Invoice No],"&lt;&gt;"))</f>
        <v/>
      </c>
      <c r="N129" s="27">
        <f>IF(C129="","",L129-M129)</f>
        <v/>
      </c>
      <c r="O129" s="24" t="n"/>
      <c r="P129" s="27">
        <f>IF(C129="","",IF(O129="",0,MAX(0,O129-L129)))</f>
        <v/>
      </c>
      <c r="Q129" s="26">
        <f>IF(C129="","",IF(K129=0,"not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R129" s="22" t="n"/>
      <c r="S129" s="26">
        <f>IF(R129="","",HYPERLINK(IF(LEFT(R129,4)="http",R129,set_QwilrBase&amp;R129),"Open quote"))</f>
        <v/>
      </c>
      <c r="T129" s="24" t="n"/>
      <c r="U129" s="24" t="n"/>
      <c r="V129" s="24" t="n"/>
      <c r="W129" s="26">
        <f>IF(C129="","",IF(N(T129)+N(U129)+N(V129)=0,"Not split",IF(ROUND(N(T129)+N(U129)+N(V129),2)=ROUND(L129+P129,2),"OK",IF(K129=0,"Not invoiced yet","MISMATCH"))))</f>
        <v/>
      </c>
      <c r="X129" s="24" t="n"/>
      <c r="Y129" s="24" t="n"/>
      <c r="Z129" s="24" t="n"/>
      <c r="AA129" s="27">
        <f>IF(C129="","",N(X129)+N(Y129)+N(Z129))</f>
        <v/>
      </c>
      <c r="AB129" s="27">
        <f>IF(C129="","",L129+P129-AA129)</f>
        <v/>
      </c>
      <c r="AC129" s="29">
        <f>IFERROR(AB129/(L129+P129),"")</f>
        <v/>
      </c>
      <c r="AD129" s="22" t="n"/>
    </row>
    <row r="130" ht="15" customHeight="1">
      <c r="A130" s="70">
        <f>IF(C130="","",IFERROR(IF(SUMPRODUCT(MAX((tbl_Finance[Job Number]&amp;""=C130&amp;"")*(tbl_Finance[Xero Invoice No]&lt;&gt;"")*tbl_Finance[Date]))=0,"",SUMPRODUCT(MAX((tbl_Finance[Job Number]&amp;""=C130&amp;"")*(tbl_Finance[Xero Invoice No]&lt;&gt;"")*tbl_Finance[Date]))),""))</f>
        <v/>
      </c>
      <c r="B130" s="26">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2" t="n"/>
      <c r="D130" s="26">
        <f>IF(C130="","",IF(COUNTIF(lst_Jobs,C130&amp;"")&gt;0,"OK","CHECK"))</f>
        <v/>
      </c>
      <c r="E130" s="26">
        <f>IF(C130="","",IFERROR(INDEX(lst_JobName,MATCH(C130&amp;"",lst_Jobs,0)),""))</f>
        <v/>
      </c>
      <c r="F130" s="22" t="n"/>
      <c r="G130" s="22" t="n"/>
      <c r="H130" s="22" t="n"/>
      <c r="I130" s="22" t="n"/>
      <c r="J130" s="22" t="n"/>
      <c r="K130" s="28">
        <f>IF(C130="","",COUNTIFS(tbl_Finance[Job Number],C130&amp;"",tbl_Finance[Ex GST],"&lt;&gt;"))</f>
        <v/>
      </c>
      <c r="L130" s="27">
        <f>IF(C130="","",SUMIFS(tbl_Finance[Ex GST],tbl_Finance[Job Number],C130&amp;""))</f>
        <v/>
      </c>
      <c r="M130" s="27">
        <f>IF(C130="","",SUMIFS(tbl_Finance[Ex GST],tbl_Finance[Job Number],C130&amp;"",tbl_Finance[Xero Invoice No],"&lt;&gt;"))</f>
        <v/>
      </c>
      <c r="N130" s="27">
        <f>IF(C130="","",L130-M130)</f>
        <v/>
      </c>
      <c r="O130" s="24" t="n"/>
      <c r="P130" s="27">
        <f>IF(C130="","",IF(O130="",0,MAX(0,O130-L130)))</f>
        <v/>
      </c>
      <c r="Q130" s="26">
        <f>IF(C130="","",IF(K130=0,"not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R130" s="22" t="n"/>
      <c r="S130" s="26">
        <f>IF(R130="","",HYPERLINK(IF(LEFT(R130,4)="http",R130,set_QwilrBase&amp;R130),"Open quote"))</f>
        <v/>
      </c>
      <c r="T130" s="24" t="n"/>
      <c r="U130" s="24" t="n"/>
      <c r="V130" s="24" t="n"/>
      <c r="W130" s="26">
        <f>IF(C130="","",IF(N(T130)+N(U130)+N(V130)=0,"Not split",IF(ROUND(N(T130)+N(U130)+N(V130),2)=ROUND(L130+P130,2),"OK",IF(K130=0,"Not invoiced yet","MISMATCH"))))</f>
        <v/>
      </c>
      <c r="X130" s="24" t="n"/>
      <c r="Y130" s="24" t="n"/>
      <c r="Z130" s="24" t="n"/>
      <c r="AA130" s="27">
        <f>IF(C130="","",N(X130)+N(Y130)+N(Z130))</f>
        <v/>
      </c>
      <c r="AB130" s="27">
        <f>IF(C130="","",L130+P130-AA130)</f>
        <v/>
      </c>
      <c r="AC130" s="29">
        <f>IFERROR(AB130/(L130+P130),"")</f>
        <v/>
      </c>
      <c r="AD130" s="22" t="n"/>
    </row>
    <row r="131" ht="15" customHeight="1">
      <c r="A131" s="70">
        <f>IF(C131="","",IFERROR(IF(SUMPRODUCT(MAX((tbl_Finance[Job Number]&amp;""=C131&amp;"")*(tbl_Finance[Xero Invoice No]&lt;&gt;"")*tbl_Finance[Date]))=0,"",SUMPRODUCT(MAX((tbl_Finance[Job Number]&amp;""=C131&amp;"")*(tbl_Finance[Xero Invoice No]&lt;&gt;"")*tbl_Finance[Date]))),""))</f>
        <v/>
      </c>
      <c r="B131" s="26">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2" t="n"/>
      <c r="D131" s="26">
        <f>IF(C131="","",IF(COUNTIF(lst_Jobs,C131&amp;"")&gt;0,"OK","CHECK"))</f>
        <v/>
      </c>
      <c r="E131" s="26">
        <f>IF(C131="","",IFERROR(INDEX(lst_JobName,MATCH(C131&amp;"",lst_Jobs,0)),""))</f>
        <v/>
      </c>
      <c r="F131" s="22" t="n"/>
      <c r="G131" s="22" t="n"/>
      <c r="H131" s="22" t="n"/>
      <c r="I131" s="22" t="n"/>
      <c r="J131" s="22" t="n"/>
      <c r="K131" s="28">
        <f>IF(C131="","",COUNTIFS(tbl_Finance[Job Number],C131&amp;"",tbl_Finance[Ex GST],"&lt;&gt;"))</f>
        <v/>
      </c>
      <c r="L131" s="27">
        <f>IF(C131="","",SUMIFS(tbl_Finance[Ex GST],tbl_Finance[Job Number],C131&amp;""))</f>
        <v/>
      </c>
      <c r="M131" s="27">
        <f>IF(C131="","",SUMIFS(tbl_Finance[Ex GST],tbl_Finance[Job Number],C131&amp;"",tbl_Finance[Xero Invoice No],"&lt;&gt;"))</f>
        <v/>
      </c>
      <c r="N131" s="27">
        <f>IF(C131="","",L131-M131)</f>
        <v/>
      </c>
      <c r="O131" s="24" t="n"/>
      <c r="P131" s="27">
        <f>IF(C131="","",IF(O131="",0,MAX(0,O131-L131)))</f>
        <v/>
      </c>
      <c r="Q131" s="26">
        <f>IF(C131="","",IF(K131=0,"not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R131" s="22" t="n"/>
      <c r="S131" s="26">
        <f>IF(R131="","",HYPERLINK(IF(LEFT(R131,4)="http",R131,set_QwilrBase&amp;R131),"Open quote"))</f>
        <v/>
      </c>
      <c r="T131" s="24" t="n"/>
      <c r="U131" s="24" t="n"/>
      <c r="V131" s="24" t="n"/>
      <c r="W131" s="26">
        <f>IF(C131="","",IF(N(T131)+N(U131)+N(V131)=0,"Not split",IF(ROUND(N(T131)+N(U131)+N(V131),2)=ROUND(L131+P131,2),"OK",IF(K131=0,"Not invoiced yet","MISMATCH"))))</f>
        <v/>
      </c>
      <c r="X131" s="24" t="n"/>
      <c r="Y131" s="24" t="n"/>
      <c r="Z131" s="24" t="n"/>
      <c r="AA131" s="27">
        <f>IF(C131="","",N(X131)+N(Y131)+N(Z131))</f>
        <v/>
      </c>
      <c r="AB131" s="27">
        <f>IF(C131="","",L131+P131-AA131)</f>
        <v/>
      </c>
      <c r="AC131" s="29">
        <f>IFERROR(AB131/(L131+P131),"")</f>
        <v/>
      </c>
      <c r="AD131" s="22" t="n"/>
    </row>
    <row r="132" ht="15" customHeight="1">
      <c r="A132" s="70">
        <f>IF(C132="","",IFERROR(IF(SUMPRODUCT(MAX((tbl_Finance[Job Number]&amp;""=C132&amp;"")*(tbl_Finance[Xero Invoice No]&lt;&gt;"")*tbl_Finance[Date]))=0,"",SUMPRODUCT(MAX((tbl_Finance[Job Number]&amp;""=C132&amp;"")*(tbl_Finance[Xero Invoice No]&lt;&gt;"")*tbl_Finance[Date]))),""))</f>
        <v/>
      </c>
      <c r="B132" s="26">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2" t="n"/>
      <c r="D132" s="26">
        <f>IF(C132="","",IF(COUNTIF(lst_Jobs,C132&amp;"")&gt;0,"OK","CHECK"))</f>
        <v/>
      </c>
      <c r="E132" s="26">
        <f>IF(C132="","",IFERROR(INDEX(lst_JobName,MATCH(C132&amp;"",lst_Jobs,0)),""))</f>
        <v/>
      </c>
      <c r="F132" s="22" t="n"/>
      <c r="G132" s="22" t="n"/>
      <c r="H132" s="22" t="n"/>
      <c r="I132" s="22" t="n"/>
      <c r="J132" s="22" t="n"/>
      <c r="K132" s="28">
        <f>IF(C132="","",COUNTIFS(tbl_Finance[Job Number],C132&amp;"",tbl_Finance[Ex GST],"&lt;&gt;"))</f>
        <v/>
      </c>
      <c r="L132" s="27">
        <f>IF(C132="","",SUMIFS(tbl_Finance[Ex GST],tbl_Finance[Job Number],C132&amp;""))</f>
        <v/>
      </c>
      <c r="M132" s="27">
        <f>IF(C132="","",SUMIFS(tbl_Finance[Ex GST],tbl_Finance[Job Number],C132&amp;"",tbl_Finance[Xero Invoice No],"&lt;&gt;"))</f>
        <v/>
      </c>
      <c r="N132" s="27">
        <f>IF(C132="","",L132-M132)</f>
        <v/>
      </c>
      <c r="O132" s="24" t="n"/>
      <c r="P132" s="27">
        <f>IF(C132="","",IF(O132="",0,MAX(0,O132-L132)))</f>
        <v/>
      </c>
      <c r="Q132" s="26">
        <f>IF(C132="","",IF(K132=0,"not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R132" s="22" t="n"/>
      <c r="S132" s="26">
        <f>IF(R132="","",HYPERLINK(IF(LEFT(R132,4)="http",R132,set_QwilrBase&amp;R132),"Open quote"))</f>
        <v/>
      </c>
      <c r="T132" s="24" t="n"/>
      <c r="U132" s="24" t="n"/>
      <c r="V132" s="24" t="n"/>
      <c r="W132" s="26">
        <f>IF(C132="","",IF(N(T132)+N(U132)+N(V132)=0,"Not split",IF(ROUND(N(T132)+N(U132)+N(V132),2)=ROUND(L132+P132,2),"OK",IF(K132=0,"Not invoiced yet","MISMATCH"))))</f>
        <v/>
      </c>
      <c r="X132" s="24" t="n"/>
      <c r="Y132" s="24" t="n"/>
      <c r="Z132" s="24" t="n"/>
      <c r="AA132" s="27">
        <f>IF(C132="","",N(X132)+N(Y132)+N(Z132))</f>
        <v/>
      </c>
      <c r="AB132" s="27">
        <f>IF(C132="","",L132+P132-AA132)</f>
        <v/>
      </c>
      <c r="AC132" s="29">
        <f>IFERROR(AB132/(L132+P132),"")</f>
        <v/>
      </c>
      <c r="AD132" s="22" t="n"/>
    </row>
    <row r="133" ht="15" customHeight="1">
      <c r="A133" s="70">
        <f>IF(C133="","",IFERROR(IF(SUMPRODUCT(MAX((tbl_Finance[Job Number]&amp;""=C133&amp;"")*(tbl_Finance[Xero Invoice No]&lt;&gt;"")*tbl_Finance[Date]))=0,"",SUMPRODUCT(MAX((tbl_Finance[Job Number]&amp;""=C133&amp;"")*(tbl_Finance[Xero Invoice No]&lt;&gt;"")*tbl_Finance[Date]))),""))</f>
        <v/>
      </c>
      <c r="B133" s="26">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2" t="n"/>
      <c r="D133" s="26">
        <f>IF(C133="","",IF(COUNTIF(lst_Jobs,C133&amp;"")&gt;0,"OK","CHECK"))</f>
        <v/>
      </c>
      <c r="E133" s="26">
        <f>IF(C133="","",IFERROR(INDEX(lst_JobName,MATCH(C133&amp;"",lst_Jobs,0)),""))</f>
        <v/>
      </c>
      <c r="F133" s="22" t="n"/>
      <c r="G133" s="22" t="n"/>
      <c r="H133" s="22" t="n"/>
      <c r="I133" s="22" t="n"/>
      <c r="J133" s="22" t="n"/>
      <c r="K133" s="28">
        <f>IF(C133="","",COUNTIFS(tbl_Finance[Job Number],C133&amp;"",tbl_Finance[Ex GST],"&lt;&gt;"))</f>
        <v/>
      </c>
      <c r="L133" s="27">
        <f>IF(C133="","",SUMIFS(tbl_Finance[Ex GST],tbl_Finance[Job Number],C133&amp;""))</f>
        <v/>
      </c>
      <c r="M133" s="27">
        <f>IF(C133="","",SUMIFS(tbl_Finance[Ex GST],tbl_Finance[Job Number],C133&amp;"",tbl_Finance[Xero Invoice No],"&lt;&gt;"))</f>
        <v/>
      </c>
      <c r="N133" s="27">
        <f>IF(C133="","",L133-M133)</f>
        <v/>
      </c>
      <c r="O133" s="24" t="n"/>
      <c r="P133" s="27">
        <f>IF(C133="","",IF(O133="",0,MAX(0,O133-L133)))</f>
        <v/>
      </c>
      <c r="Q133" s="26">
        <f>IF(C133="","",IF(K133=0,"not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R133" s="22" t="n"/>
      <c r="S133" s="26">
        <f>IF(R133="","",HYPERLINK(IF(LEFT(R133,4)="http",R133,set_QwilrBase&amp;R133),"Open quote"))</f>
        <v/>
      </c>
      <c r="T133" s="24" t="n"/>
      <c r="U133" s="24" t="n"/>
      <c r="V133" s="24" t="n"/>
      <c r="W133" s="26">
        <f>IF(C133="","",IF(N(T133)+N(U133)+N(V133)=0,"Not split",IF(ROUND(N(T133)+N(U133)+N(V133),2)=ROUND(L133+P133,2),"OK",IF(K133=0,"Not invoiced yet","MISMATCH"))))</f>
        <v/>
      </c>
      <c r="X133" s="24" t="n"/>
      <c r="Y133" s="24" t="n"/>
      <c r="Z133" s="24" t="n"/>
      <c r="AA133" s="27">
        <f>IF(C133="","",N(X133)+N(Y133)+N(Z133))</f>
        <v/>
      </c>
      <c r="AB133" s="27">
        <f>IF(C133="","",L133+P133-AA133)</f>
        <v/>
      </c>
      <c r="AC133" s="29">
        <f>IFERROR(AB133/(L133+P133),"")</f>
        <v/>
      </c>
      <c r="AD133" s="22" t="n"/>
    </row>
    <row r="134" ht="15" customHeight="1">
      <c r="A134" s="70">
        <f>IF(C134="","",IFERROR(IF(SUMPRODUCT(MAX((tbl_Finance[Job Number]&amp;""=C134&amp;"")*(tbl_Finance[Xero Invoice No]&lt;&gt;"")*tbl_Finance[Date]))=0,"",SUMPRODUCT(MAX((tbl_Finance[Job Number]&amp;""=C134&amp;"")*(tbl_Finance[Xero Invoice No]&lt;&gt;"")*tbl_Finance[Date]))),""))</f>
        <v/>
      </c>
      <c r="B134" s="26">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2" t="n"/>
      <c r="D134" s="26">
        <f>IF(C134="","",IF(COUNTIF(lst_Jobs,C134&amp;"")&gt;0,"OK","CHECK"))</f>
        <v/>
      </c>
      <c r="E134" s="26">
        <f>IF(C134="","",IFERROR(INDEX(lst_JobName,MATCH(C134&amp;"",lst_Jobs,0)),""))</f>
        <v/>
      </c>
      <c r="F134" s="22" t="n"/>
      <c r="G134" s="22" t="n"/>
      <c r="H134" s="22" t="n"/>
      <c r="I134" s="22" t="n"/>
      <c r="J134" s="22" t="n"/>
      <c r="K134" s="28">
        <f>IF(C134="","",COUNTIFS(tbl_Finance[Job Number],C134&amp;"",tbl_Finance[Ex GST],"&lt;&gt;"))</f>
        <v/>
      </c>
      <c r="L134" s="27">
        <f>IF(C134="","",SUMIFS(tbl_Finance[Ex GST],tbl_Finance[Job Number],C134&amp;""))</f>
        <v/>
      </c>
      <c r="M134" s="27">
        <f>IF(C134="","",SUMIFS(tbl_Finance[Ex GST],tbl_Finance[Job Number],C134&amp;"",tbl_Finance[Xero Invoice No],"&lt;&gt;"))</f>
        <v/>
      </c>
      <c r="N134" s="27">
        <f>IF(C134="","",L134-M134)</f>
        <v/>
      </c>
      <c r="O134" s="24" t="n"/>
      <c r="P134" s="27">
        <f>IF(C134="","",IF(O134="",0,MAX(0,O134-L134)))</f>
        <v/>
      </c>
      <c r="Q134" s="26">
        <f>IF(C134="","",IF(K134=0,"not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R134" s="22" t="n"/>
      <c r="S134" s="26">
        <f>IF(R134="","",HYPERLINK(IF(LEFT(R134,4)="http",R134,set_QwilrBase&amp;R134),"Open quote"))</f>
        <v/>
      </c>
      <c r="T134" s="24" t="n"/>
      <c r="U134" s="24" t="n"/>
      <c r="V134" s="24" t="n"/>
      <c r="W134" s="26">
        <f>IF(C134="","",IF(N(T134)+N(U134)+N(V134)=0,"Not split",IF(ROUND(N(T134)+N(U134)+N(V134),2)=ROUND(L134+P134,2),"OK",IF(K134=0,"Not invoiced yet","MISMATCH"))))</f>
        <v/>
      </c>
      <c r="X134" s="24" t="n"/>
      <c r="Y134" s="24" t="n"/>
      <c r="Z134" s="24" t="n"/>
      <c r="AA134" s="27">
        <f>IF(C134="","",N(X134)+N(Y134)+N(Z134))</f>
        <v/>
      </c>
      <c r="AB134" s="27">
        <f>IF(C134="","",L134+P134-AA134)</f>
        <v/>
      </c>
      <c r="AC134" s="29">
        <f>IFERROR(AB134/(L134+P134),"")</f>
        <v/>
      </c>
      <c r="AD134" s="22" t="n"/>
    </row>
    <row r="135" ht="15" customHeight="1">
      <c r="A135" s="70">
        <f>IF(C135="","",IFERROR(IF(SUMPRODUCT(MAX((tbl_Finance[Job Number]&amp;""=C135&amp;"")*(tbl_Finance[Xero Invoice No]&lt;&gt;"")*tbl_Finance[Date]))=0,"",SUMPRODUCT(MAX((tbl_Finance[Job Number]&amp;""=C135&amp;"")*(tbl_Finance[Xero Invoice No]&lt;&gt;"")*tbl_Finance[Date]))),""))</f>
        <v/>
      </c>
      <c r="B135" s="26">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2" t="n"/>
      <c r="D135" s="26">
        <f>IF(C135="","",IF(COUNTIF(lst_Jobs,C135&amp;"")&gt;0,"OK","CHECK"))</f>
        <v/>
      </c>
      <c r="E135" s="26">
        <f>IF(C135="","",IFERROR(INDEX(lst_JobName,MATCH(C135&amp;"",lst_Jobs,0)),""))</f>
        <v/>
      </c>
      <c r="F135" s="22" t="n"/>
      <c r="G135" s="22" t="n"/>
      <c r="H135" s="22" t="n"/>
      <c r="I135" s="22" t="n"/>
      <c r="J135" s="22" t="n"/>
      <c r="K135" s="28">
        <f>IF(C135="","",COUNTIFS(tbl_Finance[Job Number],C135&amp;"",tbl_Finance[Ex GST],"&lt;&gt;"))</f>
        <v/>
      </c>
      <c r="L135" s="27">
        <f>IF(C135="","",SUMIFS(tbl_Finance[Ex GST],tbl_Finance[Job Number],C135&amp;""))</f>
        <v/>
      </c>
      <c r="M135" s="27">
        <f>IF(C135="","",SUMIFS(tbl_Finance[Ex GST],tbl_Finance[Job Number],C135&amp;"",tbl_Finance[Xero Invoice No],"&lt;&gt;"))</f>
        <v/>
      </c>
      <c r="N135" s="27">
        <f>IF(C135="","",L135-M135)</f>
        <v/>
      </c>
      <c r="O135" s="24" t="n"/>
      <c r="P135" s="27">
        <f>IF(C135="","",IF(O135="",0,MAX(0,O135-L135)))</f>
        <v/>
      </c>
      <c r="Q135" s="26">
        <f>IF(C135="","",IF(K135=0,"not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R135" s="22" t="n"/>
      <c r="S135" s="26">
        <f>IF(R135="","",HYPERLINK(IF(LEFT(R135,4)="http",R135,set_QwilrBase&amp;R135),"Open quote"))</f>
        <v/>
      </c>
      <c r="T135" s="24" t="n"/>
      <c r="U135" s="24" t="n"/>
      <c r="V135" s="24" t="n"/>
      <c r="W135" s="26">
        <f>IF(C135="","",IF(N(T135)+N(U135)+N(V135)=0,"Not split",IF(ROUND(N(T135)+N(U135)+N(V135),2)=ROUND(L135+P135,2),"OK",IF(K135=0,"Not invoiced yet","MISMATCH"))))</f>
        <v/>
      </c>
      <c r="X135" s="24" t="n"/>
      <c r="Y135" s="24" t="n"/>
      <c r="Z135" s="24" t="n"/>
      <c r="AA135" s="27">
        <f>IF(C135="","",N(X135)+N(Y135)+N(Z135))</f>
        <v/>
      </c>
      <c r="AB135" s="27">
        <f>IF(C135="","",L135+P135-AA135)</f>
        <v/>
      </c>
      <c r="AC135" s="29">
        <f>IFERROR(AB135/(L135+P135),"")</f>
        <v/>
      </c>
      <c r="AD135" s="22" t="n"/>
    </row>
    <row r="136" ht="15" customHeight="1">
      <c r="A136" s="70">
        <f>IF(C136="","",IFERROR(IF(SUMPRODUCT(MAX((tbl_Finance[Job Number]&amp;""=C136&amp;"")*(tbl_Finance[Xero Invoice No]&lt;&gt;"")*tbl_Finance[Date]))=0,"",SUMPRODUCT(MAX((tbl_Finance[Job Number]&amp;""=C136&amp;"")*(tbl_Finance[Xero Invoice No]&lt;&gt;"")*tbl_Finance[Date]))),""))</f>
        <v/>
      </c>
      <c r="B136" s="26">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2" t="n"/>
      <c r="D136" s="26">
        <f>IF(C136="","",IF(COUNTIF(lst_Jobs,C136&amp;"")&gt;0,"OK","CHECK"))</f>
        <v/>
      </c>
      <c r="E136" s="26">
        <f>IF(C136="","",IFERROR(INDEX(lst_JobName,MATCH(C136&amp;"",lst_Jobs,0)),""))</f>
        <v/>
      </c>
      <c r="F136" s="22" t="n"/>
      <c r="G136" s="22" t="n"/>
      <c r="H136" s="22" t="n"/>
      <c r="I136" s="22" t="n"/>
      <c r="J136" s="22" t="n"/>
      <c r="K136" s="28">
        <f>IF(C136="","",COUNTIFS(tbl_Finance[Job Number],C136&amp;"",tbl_Finance[Ex GST],"&lt;&gt;"))</f>
        <v/>
      </c>
      <c r="L136" s="27">
        <f>IF(C136="","",SUMIFS(tbl_Finance[Ex GST],tbl_Finance[Job Number],C136&amp;""))</f>
        <v/>
      </c>
      <c r="M136" s="27">
        <f>IF(C136="","",SUMIFS(tbl_Finance[Ex GST],tbl_Finance[Job Number],C136&amp;"",tbl_Finance[Xero Invoice No],"&lt;&gt;"))</f>
        <v/>
      </c>
      <c r="N136" s="27">
        <f>IF(C136="","",L136-M136)</f>
        <v/>
      </c>
      <c r="O136" s="24" t="n"/>
      <c r="P136" s="27">
        <f>IF(C136="","",IF(O136="",0,MAX(0,O136-L136)))</f>
        <v/>
      </c>
      <c r="Q136" s="26">
        <f>IF(C136="","",IF(K136=0,"not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R136" s="22" t="n"/>
      <c r="S136" s="26">
        <f>IF(R136="","",HYPERLINK(IF(LEFT(R136,4)="http",R136,set_QwilrBase&amp;R136),"Open quote"))</f>
        <v/>
      </c>
      <c r="T136" s="24" t="n"/>
      <c r="U136" s="24" t="n"/>
      <c r="V136" s="24" t="n"/>
      <c r="W136" s="26">
        <f>IF(C136="","",IF(N(T136)+N(U136)+N(V136)=0,"Not split",IF(ROUND(N(T136)+N(U136)+N(V136),2)=ROUND(L136+P136,2),"OK",IF(K136=0,"Not invoiced yet","MISMATCH"))))</f>
        <v/>
      </c>
      <c r="X136" s="24" t="n"/>
      <c r="Y136" s="24" t="n"/>
      <c r="Z136" s="24" t="n"/>
      <c r="AA136" s="27">
        <f>IF(C136="","",N(X136)+N(Y136)+N(Z136))</f>
        <v/>
      </c>
      <c r="AB136" s="27">
        <f>IF(C136="","",L136+P136-AA136)</f>
        <v/>
      </c>
      <c r="AC136" s="29">
        <f>IFERROR(AB136/(L136+P136),"")</f>
        <v/>
      </c>
      <c r="AD136" s="22" t="n"/>
    </row>
    <row r="137" ht="15" customHeight="1">
      <c r="A137" s="70">
        <f>IF(C137="","",IFERROR(IF(SUMPRODUCT(MAX((tbl_Finance[Job Number]&amp;""=C137&amp;"")*(tbl_Finance[Xero Invoice No]&lt;&gt;"")*tbl_Finance[Date]))=0,"",SUMPRODUCT(MAX((tbl_Finance[Job Number]&amp;""=C137&amp;"")*(tbl_Finance[Xero Invoice No]&lt;&gt;"")*tbl_Finance[Date]))),""))</f>
        <v/>
      </c>
      <c r="B137" s="26">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2" t="n"/>
      <c r="D137" s="26">
        <f>IF(C137="","",IF(COUNTIF(lst_Jobs,C137&amp;"")&gt;0,"OK","CHECK"))</f>
        <v/>
      </c>
      <c r="E137" s="26">
        <f>IF(C137="","",IFERROR(INDEX(lst_JobName,MATCH(C137&amp;"",lst_Jobs,0)),""))</f>
        <v/>
      </c>
      <c r="F137" s="22" t="n"/>
      <c r="G137" s="22" t="n"/>
      <c r="H137" s="22" t="n"/>
      <c r="I137" s="22" t="n"/>
      <c r="J137" s="22" t="n"/>
      <c r="K137" s="28">
        <f>IF(C137="","",COUNTIFS(tbl_Finance[Job Number],C137&amp;"",tbl_Finance[Ex GST],"&lt;&gt;"))</f>
        <v/>
      </c>
      <c r="L137" s="27">
        <f>IF(C137="","",SUMIFS(tbl_Finance[Ex GST],tbl_Finance[Job Number],C137&amp;""))</f>
        <v/>
      </c>
      <c r="M137" s="27">
        <f>IF(C137="","",SUMIFS(tbl_Finance[Ex GST],tbl_Finance[Job Number],C137&amp;"",tbl_Finance[Xero Invoice No],"&lt;&gt;"))</f>
        <v/>
      </c>
      <c r="N137" s="27">
        <f>IF(C137="","",L137-M137)</f>
        <v/>
      </c>
      <c r="O137" s="24" t="n"/>
      <c r="P137" s="27">
        <f>IF(C137="","",IF(O137="",0,MAX(0,O137-L137)))</f>
        <v/>
      </c>
      <c r="Q137" s="26">
        <f>IF(C137="","",IF(K137=0,"not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R137" s="22" t="n"/>
      <c r="S137" s="26">
        <f>IF(R137="","",HYPERLINK(IF(LEFT(R137,4)="http",R137,set_QwilrBase&amp;R137),"Open quote"))</f>
        <v/>
      </c>
      <c r="T137" s="24" t="n"/>
      <c r="U137" s="24" t="n"/>
      <c r="V137" s="24" t="n"/>
      <c r="W137" s="26">
        <f>IF(C137="","",IF(N(T137)+N(U137)+N(V137)=0,"Not split",IF(ROUND(N(T137)+N(U137)+N(V137),2)=ROUND(L137+P137,2),"OK",IF(K137=0,"Not invoiced yet","MISMATCH"))))</f>
        <v/>
      </c>
      <c r="X137" s="24" t="n"/>
      <c r="Y137" s="24" t="n"/>
      <c r="Z137" s="24" t="n"/>
      <c r="AA137" s="27">
        <f>IF(C137="","",N(X137)+N(Y137)+N(Z137))</f>
        <v/>
      </c>
      <c r="AB137" s="27">
        <f>IF(C137="","",L137+P137-AA137)</f>
        <v/>
      </c>
      <c r="AC137" s="29">
        <f>IFERROR(AB137/(L137+P137),"")</f>
        <v/>
      </c>
      <c r="AD137" s="22" t="n"/>
    </row>
    <row r="138" ht="15" customHeight="1">
      <c r="A138" s="70">
        <f>IF(C138="","",IFERROR(IF(SUMPRODUCT(MAX((tbl_Finance[Job Number]&amp;""=C138&amp;"")*(tbl_Finance[Xero Invoice No]&lt;&gt;"")*tbl_Finance[Date]))=0,"",SUMPRODUCT(MAX((tbl_Finance[Job Number]&amp;""=C138&amp;"")*(tbl_Finance[Xero Invoice No]&lt;&gt;"")*tbl_Finance[Date]))),""))</f>
        <v/>
      </c>
      <c r="B138" s="26">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2" t="n"/>
      <c r="D138" s="26">
        <f>IF(C138="","",IF(COUNTIF(lst_Jobs,C138&amp;"")&gt;0,"OK","CHECK"))</f>
        <v/>
      </c>
      <c r="E138" s="26">
        <f>IF(C138="","",IFERROR(INDEX(lst_JobName,MATCH(C138&amp;"",lst_Jobs,0)),""))</f>
        <v/>
      </c>
      <c r="F138" s="22" t="n"/>
      <c r="G138" s="22" t="n"/>
      <c r="H138" s="22" t="n"/>
      <c r="I138" s="22" t="n"/>
      <c r="J138" s="22" t="n"/>
      <c r="K138" s="28">
        <f>IF(C138="","",COUNTIFS(tbl_Finance[Job Number],C138&amp;"",tbl_Finance[Ex GST],"&lt;&gt;"))</f>
        <v/>
      </c>
      <c r="L138" s="27">
        <f>IF(C138="","",SUMIFS(tbl_Finance[Ex GST],tbl_Finance[Job Number],C138&amp;""))</f>
        <v/>
      </c>
      <c r="M138" s="27">
        <f>IF(C138="","",SUMIFS(tbl_Finance[Ex GST],tbl_Finance[Job Number],C138&amp;"",tbl_Finance[Xero Invoice No],"&lt;&gt;"))</f>
        <v/>
      </c>
      <c r="N138" s="27">
        <f>IF(C138="","",L138-M138)</f>
        <v/>
      </c>
      <c r="O138" s="24" t="n"/>
      <c r="P138" s="27">
        <f>IF(C138="","",IF(O138="",0,MAX(0,O138-L138)))</f>
        <v/>
      </c>
      <c r="Q138" s="26">
        <f>IF(C138="","",IF(K138=0,"not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R138" s="22" t="n"/>
      <c r="S138" s="26">
        <f>IF(R138="","",HYPERLINK(IF(LEFT(R138,4)="http",R138,set_QwilrBase&amp;R138),"Open quote"))</f>
        <v/>
      </c>
      <c r="T138" s="24" t="n"/>
      <c r="U138" s="24" t="n"/>
      <c r="V138" s="24" t="n"/>
      <c r="W138" s="26">
        <f>IF(C138="","",IF(N(T138)+N(U138)+N(V138)=0,"Not split",IF(ROUND(N(T138)+N(U138)+N(V138),2)=ROUND(L138+P138,2),"OK",IF(K138=0,"Not invoiced yet","MISMATCH"))))</f>
        <v/>
      </c>
      <c r="X138" s="24" t="n"/>
      <c r="Y138" s="24" t="n"/>
      <c r="Z138" s="24" t="n"/>
      <c r="AA138" s="27">
        <f>IF(C138="","",N(X138)+N(Y138)+N(Z138))</f>
        <v/>
      </c>
      <c r="AB138" s="27">
        <f>IF(C138="","",L138+P138-AA138)</f>
        <v/>
      </c>
      <c r="AC138" s="29">
        <f>IFERROR(AB138/(L138+P138),"")</f>
        <v/>
      </c>
      <c r="AD138" s="22" t="n"/>
    </row>
    <row r="139" ht="15" customHeight="1">
      <c r="A139" s="70">
        <f>IF(C139="","",IFERROR(IF(SUMPRODUCT(MAX((tbl_Finance[Job Number]&amp;""=C139&amp;"")*(tbl_Finance[Xero Invoice No]&lt;&gt;"")*tbl_Finance[Date]))=0,"",SUMPRODUCT(MAX((tbl_Finance[Job Number]&amp;""=C139&amp;"")*(tbl_Finance[Xero Invoice No]&lt;&gt;"")*tbl_Finance[Date]))),""))</f>
        <v/>
      </c>
      <c r="B139" s="26">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2" t="n"/>
      <c r="D139" s="26">
        <f>IF(C139="","",IF(COUNTIF(lst_Jobs,C139&amp;"")&gt;0,"OK","CHECK"))</f>
        <v/>
      </c>
      <c r="E139" s="26">
        <f>IF(C139="","",IFERROR(INDEX(lst_JobName,MATCH(C139&amp;"",lst_Jobs,0)),""))</f>
        <v/>
      </c>
      <c r="F139" s="22" t="n"/>
      <c r="G139" s="22" t="n"/>
      <c r="H139" s="22" t="n"/>
      <c r="I139" s="22" t="n"/>
      <c r="J139" s="22" t="n"/>
      <c r="K139" s="28">
        <f>IF(C139="","",COUNTIFS(tbl_Finance[Job Number],C139&amp;"",tbl_Finance[Ex GST],"&lt;&gt;"))</f>
        <v/>
      </c>
      <c r="L139" s="27">
        <f>IF(C139="","",SUMIFS(tbl_Finance[Ex GST],tbl_Finance[Job Number],C139&amp;""))</f>
        <v/>
      </c>
      <c r="M139" s="27">
        <f>IF(C139="","",SUMIFS(tbl_Finance[Ex GST],tbl_Finance[Job Number],C139&amp;"",tbl_Finance[Xero Invoice No],"&lt;&gt;"))</f>
        <v/>
      </c>
      <c r="N139" s="27">
        <f>IF(C139="","",L139-M139)</f>
        <v/>
      </c>
      <c r="O139" s="24" t="n"/>
      <c r="P139" s="27">
        <f>IF(C139="","",IF(O139="",0,MAX(0,O139-L139)))</f>
        <v/>
      </c>
      <c r="Q139" s="26">
        <f>IF(C139="","",IF(K139=0,"not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R139" s="22" t="n"/>
      <c r="S139" s="26">
        <f>IF(R139="","",HYPERLINK(IF(LEFT(R139,4)="http",R139,set_QwilrBase&amp;R139),"Open quote"))</f>
        <v/>
      </c>
      <c r="T139" s="24" t="n"/>
      <c r="U139" s="24" t="n"/>
      <c r="V139" s="24" t="n"/>
      <c r="W139" s="26">
        <f>IF(C139="","",IF(N(T139)+N(U139)+N(V139)=0,"Not split",IF(ROUND(N(T139)+N(U139)+N(V139),2)=ROUND(L139+P139,2),"OK",IF(K139=0,"Not invoiced yet","MISMATCH"))))</f>
        <v/>
      </c>
      <c r="X139" s="24" t="n"/>
      <c r="Y139" s="24" t="n"/>
      <c r="Z139" s="24" t="n"/>
      <c r="AA139" s="27">
        <f>IF(C139="","",N(X139)+N(Y139)+N(Z139))</f>
        <v/>
      </c>
      <c r="AB139" s="27">
        <f>IF(C139="","",L139+P139-AA139)</f>
        <v/>
      </c>
      <c r="AC139" s="29">
        <f>IFERROR(AB139/(L139+P139),"")</f>
        <v/>
      </c>
      <c r="AD139" s="22" t="n"/>
    </row>
    <row r="140" ht="15" customHeight="1">
      <c r="A140" s="70">
        <f>IF(C140="","",IFERROR(IF(SUMPRODUCT(MAX((tbl_Finance[Job Number]&amp;""=C140&amp;"")*(tbl_Finance[Xero Invoice No]&lt;&gt;"")*tbl_Finance[Date]))=0,"",SUMPRODUCT(MAX((tbl_Finance[Job Number]&amp;""=C140&amp;"")*(tbl_Finance[Xero Invoice No]&lt;&gt;"")*tbl_Finance[Date]))),""))</f>
        <v/>
      </c>
      <c r="B140" s="26">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2" t="n"/>
      <c r="D140" s="26">
        <f>IF(C140="","",IF(COUNTIF(lst_Jobs,C140&amp;"")&gt;0,"OK","CHECK"))</f>
        <v/>
      </c>
      <c r="E140" s="26">
        <f>IF(C140="","",IFERROR(INDEX(lst_JobName,MATCH(C140&amp;"",lst_Jobs,0)),""))</f>
        <v/>
      </c>
      <c r="F140" s="22" t="n"/>
      <c r="G140" s="22" t="n"/>
      <c r="H140" s="22" t="n"/>
      <c r="I140" s="22" t="n"/>
      <c r="J140" s="22" t="n"/>
      <c r="K140" s="28">
        <f>IF(C140="","",COUNTIFS(tbl_Finance[Job Number],C140&amp;"",tbl_Finance[Ex GST],"&lt;&gt;"))</f>
        <v/>
      </c>
      <c r="L140" s="27">
        <f>IF(C140="","",SUMIFS(tbl_Finance[Ex GST],tbl_Finance[Job Number],C140&amp;""))</f>
        <v/>
      </c>
      <c r="M140" s="27">
        <f>IF(C140="","",SUMIFS(tbl_Finance[Ex GST],tbl_Finance[Job Number],C140&amp;"",tbl_Finance[Xero Invoice No],"&lt;&gt;"))</f>
        <v/>
      </c>
      <c r="N140" s="27">
        <f>IF(C140="","",L140-M140)</f>
        <v/>
      </c>
      <c r="O140" s="24" t="n"/>
      <c r="P140" s="27">
        <f>IF(C140="","",IF(O140="",0,MAX(0,O140-L140)))</f>
        <v/>
      </c>
      <c r="Q140" s="26">
        <f>IF(C140="","",IF(K140=0,"not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R140" s="22" t="n"/>
      <c r="S140" s="26">
        <f>IF(R140="","",HYPERLINK(IF(LEFT(R140,4)="http",R140,set_QwilrBase&amp;R140),"Open quote"))</f>
        <v/>
      </c>
      <c r="T140" s="24" t="n"/>
      <c r="U140" s="24" t="n"/>
      <c r="V140" s="24" t="n"/>
      <c r="W140" s="26">
        <f>IF(C140="","",IF(N(T140)+N(U140)+N(V140)=0,"Not split",IF(ROUND(N(T140)+N(U140)+N(V140),2)=ROUND(L140+P140,2),"OK",IF(K140=0,"Not invoiced yet","MISMATCH"))))</f>
        <v/>
      </c>
      <c r="X140" s="24" t="n"/>
      <c r="Y140" s="24" t="n"/>
      <c r="Z140" s="24" t="n"/>
      <c r="AA140" s="27">
        <f>IF(C140="","",N(X140)+N(Y140)+N(Z140))</f>
        <v/>
      </c>
      <c r="AB140" s="27">
        <f>IF(C140="","",L140+P140-AA140)</f>
        <v/>
      </c>
      <c r="AC140" s="29">
        <f>IFERROR(AB140/(L140+P140),"")</f>
        <v/>
      </c>
      <c r="AD140" s="22" t="n"/>
    </row>
    <row r="141" ht="15" customHeight="1">
      <c r="A141" s="70">
        <f>IF(C141="","",IFERROR(IF(SUMPRODUCT(MAX((tbl_Finance[Job Number]&amp;""=C141&amp;"")*(tbl_Finance[Xero Invoice No]&lt;&gt;"")*tbl_Finance[Date]))=0,"",SUMPRODUCT(MAX((tbl_Finance[Job Number]&amp;""=C141&amp;"")*(tbl_Finance[Xero Invoice No]&lt;&gt;"")*tbl_Finance[Date]))),""))</f>
        <v/>
      </c>
      <c r="B141" s="26">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2" t="n"/>
      <c r="D141" s="26">
        <f>IF(C141="","",IF(COUNTIF(lst_Jobs,C141&amp;"")&gt;0,"OK","CHECK"))</f>
        <v/>
      </c>
      <c r="E141" s="26">
        <f>IF(C141="","",IFERROR(INDEX(lst_JobName,MATCH(C141&amp;"",lst_Jobs,0)),""))</f>
        <v/>
      </c>
      <c r="F141" s="22" t="n"/>
      <c r="G141" s="22" t="n"/>
      <c r="H141" s="22" t="n"/>
      <c r="I141" s="22" t="n"/>
      <c r="J141" s="22" t="n"/>
      <c r="K141" s="28">
        <f>IF(C141="","",COUNTIFS(tbl_Finance[Job Number],C141&amp;"",tbl_Finance[Ex GST],"&lt;&gt;"))</f>
        <v/>
      </c>
      <c r="L141" s="27">
        <f>IF(C141="","",SUMIFS(tbl_Finance[Ex GST],tbl_Finance[Job Number],C141&amp;""))</f>
        <v/>
      </c>
      <c r="M141" s="27">
        <f>IF(C141="","",SUMIFS(tbl_Finance[Ex GST],tbl_Finance[Job Number],C141&amp;"",tbl_Finance[Xero Invoice No],"&lt;&gt;"))</f>
        <v/>
      </c>
      <c r="N141" s="27">
        <f>IF(C141="","",L141-M141)</f>
        <v/>
      </c>
      <c r="O141" s="24" t="n"/>
      <c r="P141" s="27">
        <f>IF(C141="","",IF(O141="",0,MAX(0,O141-L141)))</f>
        <v/>
      </c>
      <c r="Q141" s="26">
        <f>IF(C141="","",IF(K141=0,"not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R141" s="22" t="n"/>
      <c r="S141" s="26">
        <f>IF(R141="","",HYPERLINK(IF(LEFT(R141,4)="http",R141,set_QwilrBase&amp;R141),"Open quote"))</f>
        <v/>
      </c>
      <c r="T141" s="24" t="n"/>
      <c r="U141" s="24" t="n"/>
      <c r="V141" s="24" t="n"/>
      <c r="W141" s="26">
        <f>IF(C141="","",IF(N(T141)+N(U141)+N(V141)=0,"Not split",IF(ROUND(N(T141)+N(U141)+N(V141),2)=ROUND(L141+P141,2),"OK",IF(K141=0,"Not invoiced yet","MISMATCH"))))</f>
        <v/>
      </c>
      <c r="X141" s="24" t="n"/>
      <c r="Y141" s="24" t="n"/>
      <c r="Z141" s="24" t="n"/>
      <c r="AA141" s="27">
        <f>IF(C141="","",N(X141)+N(Y141)+N(Z141))</f>
        <v/>
      </c>
      <c r="AB141" s="27">
        <f>IF(C141="","",L141+P141-AA141)</f>
        <v/>
      </c>
      <c r="AC141" s="29">
        <f>IFERROR(AB141/(L141+P141),"")</f>
        <v/>
      </c>
      <c r="AD141" s="22" t="n"/>
    </row>
    <row r="142" ht="15" customHeight="1">
      <c r="A142" s="70">
        <f>IF(C142="","",IFERROR(IF(SUMPRODUCT(MAX((tbl_Finance[Job Number]&amp;""=C142&amp;"")*(tbl_Finance[Xero Invoice No]&lt;&gt;"")*tbl_Finance[Date]))=0,"",SUMPRODUCT(MAX((tbl_Finance[Job Number]&amp;""=C142&amp;"")*(tbl_Finance[Xero Invoice No]&lt;&gt;"")*tbl_Finance[Date]))),""))</f>
        <v/>
      </c>
      <c r="B142" s="26">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2" t="n"/>
      <c r="D142" s="26">
        <f>IF(C142="","",IF(COUNTIF(lst_Jobs,C142&amp;"")&gt;0,"OK","CHECK"))</f>
        <v/>
      </c>
      <c r="E142" s="26">
        <f>IF(C142="","",IFERROR(INDEX(lst_JobName,MATCH(C142&amp;"",lst_Jobs,0)),""))</f>
        <v/>
      </c>
      <c r="F142" s="22" t="n"/>
      <c r="G142" s="22" t="n"/>
      <c r="H142" s="22" t="n"/>
      <c r="I142" s="22" t="n"/>
      <c r="J142" s="22" t="n"/>
      <c r="K142" s="28">
        <f>IF(C142="","",COUNTIFS(tbl_Finance[Job Number],C142&amp;"",tbl_Finance[Ex GST],"&lt;&gt;"))</f>
        <v/>
      </c>
      <c r="L142" s="27">
        <f>IF(C142="","",SUMIFS(tbl_Finance[Ex GST],tbl_Finance[Job Number],C142&amp;""))</f>
        <v/>
      </c>
      <c r="M142" s="27">
        <f>IF(C142="","",SUMIFS(tbl_Finance[Ex GST],tbl_Finance[Job Number],C142&amp;"",tbl_Finance[Xero Invoice No],"&lt;&gt;"))</f>
        <v/>
      </c>
      <c r="N142" s="27">
        <f>IF(C142="","",L142-M142)</f>
        <v/>
      </c>
      <c r="O142" s="24" t="n"/>
      <c r="P142" s="27">
        <f>IF(C142="","",IF(O142="",0,MAX(0,O142-L142)))</f>
        <v/>
      </c>
      <c r="Q142" s="26">
        <f>IF(C142="","",IF(K142=0,"not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R142" s="22" t="n"/>
      <c r="S142" s="26">
        <f>IF(R142="","",HYPERLINK(IF(LEFT(R142,4)="http",R142,set_QwilrBase&amp;R142),"Open quote"))</f>
        <v/>
      </c>
      <c r="T142" s="24" t="n"/>
      <c r="U142" s="24" t="n"/>
      <c r="V142" s="24" t="n"/>
      <c r="W142" s="26">
        <f>IF(C142="","",IF(N(T142)+N(U142)+N(V142)=0,"Not split",IF(ROUND(N(T142)+N(U142)+N(V142),2)=ROUND(L142+P142,2),"OK",IF(K142=0,"Not invoiced yet","MISMATCH"))))</f>
        <v/>
      </c>
      <c r="X142" s="24" t="n"/>
      <c r="Y142" s="24" t="n"/>
      <c r="Z142" s="24" t="n"/>
      <c r="AA142" s="27">
        <f>IF(C142="","",N(X142)+N(Y142)+N(Z142))</f>
        <v/>
      </c>
      <c r="AB142" s="27">
        <f>IF(C142="","",L142+P142-AA142)</f>
        <v/>
      </c>
      <c r="AC142" s="29">
        <f>IFERROR(AB142/(L142+P142),"")</f>
        <v/>
      </c>
      <c r="AD142" s="22" t="n"/>
    </row>
    <row r="143" ht="15" customHeight="1">
      <c r="A143" s="70">
        <f>IF(C143="","",IFERROR(IF(SUMPRODUCT(MAX((tbl_Finance[Job Number]&amp;""=C143&amp;"")*(tbl_Finance[Xero Invoice No]&lt;&gt;"")*tbl_Finance[Date]))=0,"",SUMPRODUCT(MAX((tbl_Finance[Job Number]&amp;""=C143&amp;"")*(tbl_Finance[Xero Invoice No]&lt;&gt;"")*tbl_Finance[Date]))),""))</f>
        <v/>
      </c>
      <c r="B143" s="26">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2" t="n"/>
      <c r="D143" s="26">
        <f>IF(C143="","",IF(COUNTIF(lst_Jobs,C143&amp;"")&gt;0,"OK","CHECK"))</f>
        <v/>
      </c>
      <c r="E143" s="26">
        <f>IF(C143="","",IFERROR(INDEX(lst_JobName,MATCH(C143&amp;"",lst_Jobs,0)),""))</f>
        <v/>
      </c>
      <c r="F143" s="22" t="n"/>
      <c r="G143" s="22" t="n"/>
      <c r="H143" s="22" t="n"/>
      <c r="I143" s="22" t="n"/>
      <c r="J143" s="22" t="n"/>
      <c r="K143" s="28">
        <f>IF(C143="","",COUNTIFS(tbl_Finance[Job Number],C143&amp;"",tbl_Finance[Ex GST],"&lt;&gt;"))</f>
        <v/>
      </c>
      <c r="L143" s="27">
        <f>IF(C143="","",SUMIFS(tbl_Finance[Ex GST],tbl_Finance[Job Number],C143&amp;""))</f>
        <v/>
      </c>
      <c r="M143" s="27">
        <f>IF(C143="","",SUMIFS(tbl_Finance[Ex GST],tbl_Finance[Job Number],C143&amp;"",tbl_Finance[Xero Invoice No],"&lt;&gt;"))</f>
        <v/>
      </c>
      <c r="N143" s="27">
        <f>IF(C143="","",L143-M143)</f>
        <v/>
      </c>
      <c r="O143" s="24" t="n"/>
      <c r="P143" s="27">
        <f>IF(C143="","",IF(O143="",0,MAX(0,O143-L143)))</f>
        <v/>
      </c>
      <c r="Q143" s="26">
        <f>IF(C143="","",IF(K143=0,"not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R143" s="22" t="n"/>
      <c r="S143" s="26">
        <f>IF(R143="","",HYPERLINK(IF(LEFT(R143,4)="http",R143,set_QwilrBase&amp;R143),"Open quote"))</f>
        <v/>
      </c>
      <c r="T143" s="24" t="n"/>
      <c r="U143" s="24" t="n"/>
      <c r="V143" s="24" t="n"/>
      <c r="W143" s="26">
        <f>IF(C143="","",IF(N(T143)+N(U143)+N(V143)=0,"Not split",IF(ROUND(N(T143)+N(U143)+N(V143),2)=ROUND(L143+P143,2),"OK",IF(K143=0,"Not invoiced yet","MISMATCH"))))</f>
        <v/>
      </c>
      <c r="X143" s="24" t="n"/>
      <c r="Y143" s="24" t="n"/>
      <c r="Z143" s="24" t="n"/>
      <c r="AA143" s="27">
        <f>IF(C143="","",N(X143)+N(Y143)+N(Z143))</f>
        <v/>
      </c>
      <c r="AB143" s="27">
        <f>IF(C143="","",L143+P143-AA143)</f>
        <v/>
      </c>
      <c r="AC143" s="29">
        <f>IFERROR(AB143/(L143+P143),"")</f>
        <v/>
      </c>
      <c r="AD143" s="22" t="n"/>
    </row>
    <row r="144" ht="15" customHeight="1">
      <c r="A144" s="70">
        <f>IF(C144="","",IFERROR(IF(SUMPRODUCT(MAX((tbl_Finance[Job Number]&amp;""=C144&amp;"")*(tbl_Finance[Xero Invoice No]&lt;&gt;"")*tbl_Finance[Date]))=0,"",SUMPRODUCT(MAX((tbl_Finance[Job Number]&amp;""=C144&amp;"")*(tbl_Finance[Xero Invoice No]&lt;&gt;"")*tbl_Finance[Date]))),""))</f>
        <v/>
      </c>
      <c r="B144" s="26">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2" t="n"/>
      <c r="D144" s="26">
        <f>IF(C144="","",IF(COUNTIF(lst_Jobs,C144&amp;"")&gt;0,"OK","CHECK"))</f>
        <v/>
      </c>
      <c r="E144" s="26">
        <f>IF(C144="","",IFERROR(INDEX(lst_JobName,MATCH(C144&amp;"",lst_Jobs,0)),""))</f>
        <v/>
      </c>
      <c r="F144" s="22" t="n"/>
      <c r="G144" s="22" t="n"/>
      <c r="H144" s="22" t="n"/>
      <c r="I144" s="22" t="n"/>
      <c r="J144" s="22" t="n"/>
      <c r="K144" s="28">
        <f>IF(C144="","",COUNTIFS(tbl_Finance[Job Number],C144&amp;"",tbl_Finance[Ex GST],"&lt;&gt;"))</f>
        <v/>
      </c>
      <c r="L144" s="27">
        <f>IF(C144="","",SUMIFS(tbl_Finance[Ex GST],tbl_Finance[Job Number],C144&amp;""))</f>
        <v/>
      </c>
      <c r="M144" s="27">
        <f>IF(C144="","",SUMIFS(tbl_Finance[Ex GST],tbl_Finance[Job Number],C144&amp;"",tbl_Finance[Xero Invoice No],"&lt;&gt;"))</f>
        <v/>
      </c>
      <c r="N144" s="27">
        <f>IF(C144="","",L144-M144)</f>
        <v/>
      </c>
      <c r="O144" s="24" t="n"/>
      <c r="P144" s="27">
        <f>IF(C144="","",IF(O144="",0,MAX(0,O144-L144)))</f>
        <v/>
      </c>
      <c r="Q144" s="26">
        <f>IF(C144="","",IF(K144=0,"not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R144" s="22" t="n"/>
      <c r="S144" s="26">
        <f>IF(R144="","",HYPERLINK(IF(LEFT(R144,4)="http",R144,set_QwilrBase&amp;R144),"Open quote"))</f>
        <v/>
      </c>
      <c r="T144" s="24" t="n"/>
      <c r="U144" s="24" t="n"/>
      <c r="V144" s="24" t="n"/>
      <c r="W144" s="26">
        <f>IF(C144="","",IF(N(T144)+N(U144)+N(V144)=0,"Not split",IF(ROUND(N(T144)+N(U144)+N(V144),2)=ROUND(L144+P144,2),"OK",IF(K144=0,"Not invoiced yet","MISMATCH"))))</f>
        <v/>
      </c>
      <c r="X144" s="24" t="n"/>
      <c r="Y144" s="24" t="n"/>
      <c r="Z144" s="24" t="n"/>
      <c r="AA144" s="27">
        <f>IF(C144="","",N(X144)+N(Y144)+N(Z144))</f>
        <v/>
      </c>
      <c r="AB144" s="27">
        <f>IF(C144="","",L144+P144-AA144)</f>
        <v/>
      </c>
      <c r="AC144" s="29">
        <f>IFERROR(AB144/(L144+P144),"")</f>
        <v/>
      </c>
      <c r="AD144" s="22" t="n"/>
    </row>
    <row r="145" ht="15" customHeight="1">
      <c r="A145" s="70">
        <f>IF(C145="","",IFERROR(IF(SUMPRODUCT(MAX((tbl_Finance[Job Number]&amp;""=C145&amp;"")*(tbl_Finance[Xero Invoice No]&lt;&gt;"")*tbl_Finance[Date]))=0,"",SUMPRODUCT(MAX((tbl_Finance[Job Number]&amp;""=C145&amp;"")*(tbl_Finance[Xero Invoice No]&lt;&gt;"")*tbl_Finance[Date]))),""))</f>
        <v/>
      </c>
      <c r="B145" s="26">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2" t="n"/>
      <c r="D145" s="26">
        <f>IF(C145="","",IF(COUNTIF(lst_Jobs,C145&amp;"")&gt;0,"OK","CHECK"))</f>
        <v/>
      </c>
      <c r="E145" s="26">
        <f>IF(C145="","",IFERROR(INDEX(lst_JobName,MATCH(C145&amp;"",lst_Jobs,0)),""))</f>
        <v/>
      </c>
      <c r="F145" s="22" t="n"/>
      <c r="G145" s="22" t="n"/>
      <c r="H145" s="22" t="n"/>
      <c r="I145" s="22" t="n"/>
      <c r="J145" s="22" t="n"/>
      <c r="K145" s="28">
        <f>IF(C145="","",COUNTIFS(tbl_Finance[Job Number],C145&amp;"",tbl_Finance[Ex GST],"&lt;&gt;"))</f>
        <v/>
      </c>
      <c r="L145" s="27">
        <f>IF(C145="","",SUMIFS(tbl_Finance[Ex GST],tbl_Finance[Job Number],C145&amp;""))</f>
        <v/>
      </c>
      <c r="M145" s="27">
        <f>IF(C145="","",SUMIFS(tbl_Finance[Ex GST],tbl_Finance[Job Number],C145&amp;"",tbl_Finance[Xero Invoice No],"&lt;&gt;"))</f>
        <v/>
      </c>
      <c r="N145" s="27">
        <f>IF(C145="","",L145-M145)</f>
        <v/>
      </c>
      <c r="O145" s="24" t="n"/>
      <c r="P145" s="27">
        <f>IF(C145="","",IF(O145="",0,MAX(0,O145-L145)))</f>
        <v/>
      </c>
      <c r="Q145" s="26">
        <f>IF(C145="","",IF(K145=0,"not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R145" s="22" t="n"/>
      <c r="S145" s="26">
        <f>IF(R145="","",HYPERLINK(IF(LEFT(R145,4)="http",R145,set_QwilrBase&amp;R145),"Open quote"))</f>
        <v/>
      </c>
      <c r="T145" s="24" t="n"/>
      <c r="U145" s="24" t="n"/>
      <c r="V145" s="24" t="n"/>
      <c r="W145" s="26">
        <f>IF(C145="","",IF(N(T145)+N(U145)+N(V145)=0,"Not split",IF(ROUND(N(T145)+N(U145)+N(V145),2)=ROUND(L145+P145,2),"OK",IF(K145=0,"Not invoiced yet","MISMATCH"))))</f>
        <v/>
      </c>
      <c r="X145" s="24" t="n"/>
      <c r="Y145" s="24" t="n"/>
      <c r="Z145" s="24" t="n"/>
      <c r="AA145" s="27">
        <f>IF(C145="","",N(X145)+N(Y145)+N(Z145))</f>
        <v/>
      </c>
      <c r="AB145" s="27">
        <f>IF(C145="","",L145+P145-AA145)</f>
        <v/>
      </c>
      <c r="AC145" s="29">
        <f>IFERROR(AB145/(L145+P145),"")</f>
        <v/>
      </c>
      <c r="AD145" s="22" t="n"/>
    </row>
    <row r="146" ht="15" customHeight="1">
      <c r="A146" s="70">
        <f>IF(C146="","",IFERROR(IF(SUMPRODUCT(MAX((tbl_Finance[Job Number]&amp;""=C146&amp;"")*(tbl_Finance[Xero Invoice No]&lt;&gt;"")*tbl_Finance[Date]))=0,"",SUMPRODUCT(MAX((tbl_Finance[Job Number]&amp;""=C146&amp;"")*(tbl_Finance[Xero Invoice No]&lt;&gt;"")*tbl_Finance[Date]))),""))</f>
        <v/>
      </c>
      <c r="B146" s="26">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2" t="n"/>
      <c r="D146" s="26">
        <f>IF(C146="","",IF(COUNTIF(lst_Jobs,C146&amp;"")&gt;0,"OK","CHECK"))</f>
        <v/>
      </c>
      <c r="E146" s="26">
        <f>IF(C146="","",IFERROR(INDEX(lst_JobName,MATCH(C146&amp;"",lst_Jobs,0)),""))</f>
        <v/>
      </c>
      <c r="F146" s="22" t="n"/>
      <c r="G146" s="22" t="n"/>
      <c r="H146" s="22" t="n"/>
      <c r="I146" s="22" t="n"/>
      <c r="J146" s="22" t="n"/>
      <c r="K146" s="28">
        <f>IF(C146="","",COUNTIFS(tbl_Finance[Job Number],C146&amp;"",tbl_Finance[Ex GST],"&lt;&gt;"))</f>
        <v/>
      </c>
      <c r="L146" s="27">
        <f>IF(C146="","",SUMIFS(tbl_Finance[Ex GST],tbl_Finance[Job Number],C146&amp;""))</f>
        <v/>
      </c>
      <c r="M146" s="27">
        <f>IF(C146="","",SUMIFS(tbl_Finance[Ex GST],tbl_Finance[Job Number],C146&amp;"",tbl_Finance[Xero Invoice No],"&lt;&gt;"))</f>
        <v/>
      </c>
      <c r="N146" s="27">
        <f>IF(C146="","",L146-M146)</f>
        <v/>
      </c>
      <c r="O146" s="24" t="n"/>
      <c r="P146" s="27">
        <f>IF(C146="","",IF(O146="",0,MAX(0,O146-L146)))</f>
        <v/>
      </c>
      <c r="Q146" s="26">
        <f>IF(C146="","",IF(K146=0,"not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R146" s="22" t="n"/>
      <c r="S146" s="26">
        <f>IF(R146="","",HYPERLINK(IF(LEFT(R146,4)="http",R146,set_QwilrBase&amp;R146),"Open quote"))</f>
        <v/>
      </c>
      <c r="T146" s="24" t="n"/>
      <c r="U146" s="24" t="n"/>
      <c r="V146" s="24" t="n"/>
      <c r="W146" s="26">
        <f>IF(C146="","",IF(N(T146)+N(U146)+N(V146)=0,"Not split",IF(ROUND(N(T146)+N(U146)+N(V146),2)=ROUND(L146+P146,2),"OK",IF(K146=0,"Not invoiced yet","MISMATCH"))))</f>
        <v/>
      </c>
      <c r="X146" s="24" t="n"/>
      <c r="Y146" s="24" t="n"/>
      <c r="Z146" s="24" t="n"/>
      <c r="AA146" s="27">
        <f>IF(C146="","",N(X146)+N(Y146)+N(Z146))</f>
        <v/>
      </c>
      <c r="AB146" s="27">
        <f>IF(C146="","",L146+P146-AA146)</f>
        <v/>
      </c>
      <c r="AC146" s="29">
        <f>IFERROR(AB146/(L146+P146),"")</f>
        <v/>
      </c>
      <c r="AD146" s="22" t="n"/>
    </row>
    <row r="147" ht="15" customHeight="1">
      <c r="A147" s="70">
        <f>IF(C147="","",IFERROR(IF(SUMPRODUCT(MAX((tbl_Finance[Job Number]&amp;""=C147&amp;"")*(tbl_Finance[Xero Invoice No]&lt;&gt;"")*tbl_Finance[Date]))=0,"",SUMPRODUCT(MAX((tbl_Finance[Job Number]&amp;""=C147&amp;"")*(tbl_Finance[Xero Invoice No]&lt;&gt;"")*tbl_Finance[Date]))),""))</f>
        <v/>
      </c>
      <c r="B147" s="26">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2" t="n"/>
      <c r="D147" s="26">
        <f>IF(C147="","",IF(COUNTIF(lst_Jobs,C147&amp;"")&gt;0,"OK","CHECK"))</f>
        <v/>
      </c>
      <c r="E147" s="26">
        <f>IF(C147="","",IFERROR(INDEX(lst_JobName,MATCH(C147&amp;"",lst_Jobs,0)),""))</f>
        <v/>
      </c>
      <c r="F147" s="22" t="n"/>
      <c r="G147" s="22" t="n"/>
      <c r="H147" s="22" t="n"/>
      <c r="I147" s="22" t="n"/>
      <c r="J147" s="22" t="n"/>
      <c r="K147" s="28">
        <f>IF(C147="","",COUNTIFS(tbl_Finance[Job Number],C147&amp;"",tbl_Finance[Ex GST],"&lt;&gt;"))</f>
        <v/>
      </c>
      <c r="L147" s="27">
        <f>IF(C147="","",SUMIFS(tbl_Finance[Ex GST],tbl_Finance[Job Number],C147&amp;""))</f>
        <v/>
      </c>
      <c r="M147" s="27">
        <f>IF(C147="","",SUMIFS(tbl_Finance[Ex GST],tbl_Finance[Job Number],C147&amp;"",tbl_Finance[Xero Invoice No],"&lt;&gt;"))</f>
        <v/>
      </c>
      <c r="N147" s="27">
        <f>IF(C147="","",L147-M147)</f>
        <v/>
      </c>
      <c r="O147" s="24" t="n"/>
      <c r="P147" s="27">
        <f>IF(C147="","",IF(O147="",0,MAX(0,O147-L147)))</f>
        <v/>
      </c>
      <c r="Q147" s="26">
        <f>IF(C147="","",IF(K147=0,"not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R147" s="22" t="n"/>
      <c r="S147" s="26">
        <f>IF(R147="","",HYPERLINK(IF(LEFT(R147,4)="http",R147,set_QwilrBase&amp;R147),"Open quote"))</f>
        <v/>
      </c>
      <c r="T147" s="24" t="n"/>
      <c r="U147" s="24" t="n"/>
      <c r="V147" s="24" t="n"/>
      <c r="W147" s="26">
        <f>IF(C147="","",IF(N(T147)+N(U147)+N(V147)=0,"Not split",IF(ROUND(N(T147)+N(U147)+N(V147),2)=ROUND(L147+P147,2),"OK",IF(K147=0,"Not invoiced yet","MISMATCH"))))</f>
        <v/>
      </c>
      <c r="X147" s="24" t="n"/>
      <c r="Y147" s="24" t="n"/>
      <c r="Z147" s="24" t="n"/>
      <c r="AA147" s="27">
        <f>IF(C147="","",N(X147)+N(Y147)+N(Z147))</f>
        <v/>
      </c>
      <c r="AB147" s="27">
        <f>IF(C147="","",L147+P147-AA147)</f>
        <v/>
      </c>
      <c r="AC147" s="29">
        <f>IFERROR(AB147/(L147+P147),"")</f>
        <v/>
      </c>
      <c r="AD147" s="22" t="n"/>
    </row>
    <row r="148" ht="15" customHeight="1">
      <c r="A148" s="70">
        <f>IF(C148="","",IFERROR(IF(SUMPRODUCT(MAX((tbl_Finance[Job Number]&amp;""=C148&amp;"")*(tbl_Finance[Xero Invoice No]&lt;&gt;"")*tbl_Finance[Date]))=0,"",SUMPRODUCT(MAX((tbl_Finance[Job Number]&amp;""=C148&amp;"")*(tbl_Finance[Xero Invoice No]&lt;&gt;"")*tbl_Finance[Date]))),""))</f>
        <v/>
      </c>
      <c r="B148" s="26">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2" t="n"/>
      <c r="D148" s="26">
        <f>IF(C148="","",IF(COUNTIF(lst_Jobs,C148&amp;"")&gt;0,"OK","CHECK"))</f>
        <v/>
      </c>
      <c r="E148" s="26">
        <f>IF(C148="","",IFERROR(INDEX(lst_JobName,MATCH(C148&amp;"",lst_Jobs,0)),""))</f>
        <v/>
      </c>
      <c r="F148" s="22" t="n"/>
      <c r="G148" s="22" t="n"/>
      <c r="H148" s="22" t="n"/>
      <c r="I148" s="22" t="n"/>
      <c r="J148" s="22" t="n"/>
      <c r="K148" s="28">
        <f>IF(C148="","",COUNTIFS(tbl_Finance[Job Number],C148&amp;"",tbl_Finance[Ex GST],"&lt;&gt;"))</f>
        <v/>
      </c>
      <c r="L148" s="27">
        <f>IF(C148="","",SUMIFS(tbl_Finance[Ex GST],tbl_Finance[Job Number],C148&amp;""))</f>
        <v/>
      </c>
      <c r="M148" s="27">
        <f>IF(C148="","",SUMIFS(tbl_Finance[Ex GST],tbl_Finance[Job Number],C148&amp;"",tbl_Finance[Xero Invoice No],"&lt;&gt;"))</f>
        <v/>
      </c>
      <c r="N148" s="27">
        <f>IF(C148="","",L148-M148)</f>
        <v/>
      </c>
      <c r="O148" s="24" t="n"/>
      <c r="P148" s="27">
        <f>IF(C148="","",IF(O148="",0,MAX(0,O148-L148)))</f>
        <v/>
      </c>
      <c r="Q148" s="26">
        <f>IF(C148="","",IF(K148=0,"not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R148" s="22" t="n"/>
      <c r="S148" s="26">
        <f>IF(R148="","",HYPERLINK(IF(LEFT(R148,4)="http",R148,set_QwilrBase&amp;R148),"Open quote"))</f>
        <v/>
      </c>
      <c r="T148" s="24" t="n"/>
      <c r="U148" s="24" t="n"/>
      <c r="V148" s="24" t="n"/>
      <c r="W148" s="26">
        <f>IF(C148="","",IF(N(T148)+N(U148)+N(V148)=0,"Not split",IF(ROUND(N(T148)+N(U148)+N(V148),2)=ROUND(L148+P148,2),"OK",IF(K148=0,"Not invoiced yet","MISMATCH"))))</f>
        <v/>
      </c>
      <c r="X148" s="24" t="n"/>
      <c r="Y148" s="24" t="n"/>
      <c r="Z148" s="24" t="n"/>
      <c r="AA148" s="27">
        <f>IF(C148="","",N(X148)+N(Y148)+N(Z148))</f>
        <v/>
      </c>
      <c r="AB148" s="27">
        <f>IF(C148="","",L148+P148-AA148)</f>
        <v/>
      </c>
      <c r="AC148" s="29">
        <f>IFERROR(AB148/(L148+P148),"")</f>
        <v/>
      </c>
      <c r="AD148" s="22" t="n"/>
    </row>
    <row r="149" ht="15" customHeight="1">
      <c r="A149" s="70">
        <f>IF(C149="","",IFERROR(IF(SUMPRODUCT(MAX((tbl_Finance[Job Number]&amp;""=C149&amp;"")*(tbl_Finance[Xero Invoice No]&lt;&gt;"")*tbl_Finance[Date]))=0,"",SUMPRODUCT(MAX((tbl_Finance[Job Number]&amp;""=C149&amp;"")*(tbl_Finance[Xero Invoice No]&lt;&gt;"")*tbl_Finance[Date]))),""))</f>
        <v/>
      </c>
      <c r="B149" s="26">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2" t="n"/>
      <c r="D149" s="26">
        <f>IF(C149="","",IF(COUNTIF(lst_Jobs,C149&amp;"")&gt;0,"OK","CHECK"))</f>
        <v/>
      </c>
      <c r="E149" s="26">
        <f>IF(C149="","",IFERROR(INDEX(lst_JobName,MATCH(C149&amp;"",lst_Jobs,0)),""))</f>
        <v/>
      </c>
      <c r="F149" s="22" t="n"/>
      <c r="G149" s="22" t="n"/>
      <c r="H149" s="22" t="n"/>
      <c r="I149" s="22" t="n"/>
      <c r="J149" s="22" t="n"/>
      <c r="K149" s="28">
        <f>IF(C149="","",COUNTIFS(tbl_Finance[Job Number],C149&amp;"",tbl_Finance[Ex GST],"&lt;&gt;"))</f>
        <v/>
      </c>
      <c r="L149" s="27">
        <f>IF(C149="","",SUMIFS(tbl_Finance[Ex GST],tbl_Finance[Job Number],C149&amp;""))</f>
        <v/>
      </c>
      <c r="M149" s="27">
        <f>IF(C149="","",SUMIFS(tbl_Finance[Ex GST],tbl_Finance[Job Number],C149&amp;"",tbl_Finance[Xero Invoice No],"&lt;&gt;"))</f>
        <v/>
      </c>
      <c r="N149" s="27">
        <f>IF(C149="","",L149-M149)</f>
        <v/>
      </c>
      <c r="O149" s="24" t="n"/>
      <c r="P149" s="27">
        <f>IF(C149="","",IF(O149="",0,MAX(0,O149-L149)))</f>
        <v/>
      </c>
      <c r="Q149" s="26">
        <f>IF(C149="","",IF(K149=0,"not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R149" s="22" t="n"/>
      <c r="S149" s="26">
        <f>IF(R149="","",HYPERLINK(IF(LEFT(R149,4)="http",R149,set_QwilrBase&amp;R149),"Open quote"))</f>
        <v/>
      </c>
      <c r="T149" s="24" t="n"/>
      <c r="U149" s="24" t="n"/>
      <c r="V149" s="24" t="n"/>
      <c r="W149" s="26">
        <f>IF(C149="","",IF(N(T149)+N(U149)+N(V149)=0,"Not split",IF(ROUND(N(T149)+N(U149)+N(V149),2)=ROUND(L149+P149,2),"OK",IF(K149=0,"Not invoiced yet","MISMATCH"))))</f>
        <v/>
      </c>
      <c r="X149" s="24" t="n"/>
      <c r="Y149" s="24" t="n"/>
      <c r="Z149" s="24" t="n"/>
      <c r="AA149" s="27">
        <f>IF(C149="","",N(X149)+N(Y149)+N(Z149))</f>
        <v/>
      </c>
      <c r="AB149" s="27">
        <f>IF(C149="","",L149+P149-AA149)</f>
        <v/>
      </c>
      <c r="AC149" s="29">
        <f>IFERROR(AB149/(L149+P149),"")</f>
        <v/>
      </c>
      <c r="AD149" s="22" t="n"/>
    </row>
    <row r="150" ht="15" customHeight="1">
      <c r="A150" s="70">
        <f>IF(C150="","",IFERROR(IF(SUMPRODUCT(MAX((tbl_Finance[Job Number]&amp;""=C150&amp;"")*(tbl_Finance[Xero Invoice No]&lt;&gt;"")*tbl_Finance[Date]))=0,"",SUMPRODUCT(MAX((tbl_Finance[Job Number]&amp;""=C150&amp;"")*(tbl_Finance[Xero Invoice No]&lt;&gt;"")*tbl_Finance[Date]))),""))</f>
        <v/>
      </c>
      <c r="B150" s="26">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2" t="n"/>
      <c r="D150" s="26">
        <f>IF(C150="","",IF(COUNTIF(lst_Jobs,C150&amp;"")&gt;0,"OK","CHECK"))</f>
        <v/>
      </c>
      <c r="E150" s="26">
        <f>IF(C150="","",IFERROR(INDEX(lst_JobName,MATCH(C150&amp;"",lst_Jobs,0)),""))</f>
        <v/>
      </c>
      <c r="F150" s="22" t="n"/>
      <c r="G150" s="22" t="n"/>
      <c r="H150" s="22" t="n"/>
      <c r="I150" s="22" t="n"/>
      <c r="J150" s="22" t="n"/>
      <c r="K150" s="28">
        <f>IF(C150="","",COUNTIFS(tbl_Finance[Job Number],C150&amp;"",tbl_Finance[Ex GST],"&lt;&gt;"))</f>
        <v/>
      </c>
      <c r="L150" s="27">
        <f>IF(C150="","",SUMIFS(tbl_Finance[Ex GST],tbl_Finance[Job Number],C150&amp;""))</f>
        <v/>
      </c>
      <c r="M150" s="27">
        <f>IF(C150="","",SUMIFS(tbl_Finance[Ex GST],tbl_Finance[Job Number],C150&amp;"",tbl_Finance[Xero Invoice No],"&lt;&gt;"))</f>
        <v/>
      </c>
      <c r="N150" s="27">
        <f>IF(C150="","",L150-M150)</f>
        <v/>
      </c>
      <c r="O150" s="24" t="n"/>
      <c r="P150" s="27">
        <f>IF(C150="","",IF(O150="",0,MAX(0,O150-L150)))</f>
        <v/>
      </c>
      <c r="Q150" s="26">
        <f>IF(C150="","",IF(K150=0,"not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R150" s="22" t="n"/>
      <c r="S150" s="26">
        <f>IF(R150="","",HYPERLINK(IF(LEFT(R150,4)="http",R150,set_QwilrBase&amp;R150),"Open quote"))</f>
        <v/>
      </c>
      <c r="T150" s="24" t="n"/>
      <c r="U150" s="24" t="n"/>
      <c r="V150" s="24" t="n"/>
      <c r="W150" s="26">
        <f>IF(C150="","",IF(N(T150)+N(U150)+N(V150)=0,"Not split",IF(ROUND(N(T150)+N(U150)+N(V150),2)=ROUND(L150+P150,2),"OK",IF(K150=0,"Not invoiced yet","MISMATCH"))))</f>
        <v/>
      </c>
      <c r="X150" s="24" t="n"/>
      <c r="Y150" s="24" t="n"/>
      <c r="Z150" s="24" t="n"/>
      <c r="AA150" s="27">
        <f>IF(C150="","",N(X150)+N(Y150)+N(Z150))</f>
        <v/>
      </c>
      <c r="AB150" s="27">
        <f>IF(C150="","",L150+P150-AA150)</f>
        <v/>
      </c>
      <c r="AC150" s="29">
        <f>IFERROR(AB150/(L150+P150),"")</f>
        <v/>
      </c>
      <c r="AD150" s="22" t="n"/>
    </row>
    <row r="151" ht="15" customHeight="1">
      <c r="A151" s="70">
        <f>IF(C151="","",IFERROR(IF(SUMPRODUCT(MAX((tbl_Finance[Job Number]&amp;""=C151&amp;"")*(tbl_Finance[Xero Invoice No]&lt;&gt;"")*tbl_Finance[Date]))=0,"",SUMPRODUCT(MAX((tbl_Finance[Job Number]&amp;""=C151&amp;"")*(tbl_Finance[Xero Invoice No]&lt;&gt;"")*tbl_Finance[Date]))),""))</f>
        <v/>
      </c>
      <c r="B151" s="26">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2" t="n"/>
      <c r="D151" s="26">
        <f>IF(C151="","",IF(COUNTIF(lst_Jobs,C151&amp;"")&gt;0,"OK","CHECK"))</f>
        <v/>
      </c>
      <c r="E151" s="26">
        <f>IF(C151="","",IFERROR(INDEX(lst_JobName,MATCH(C151&amp;"",lst_Jobs,0)),""))</f>
        <v/>
      </c>
      <c r="F151" s="22" t="n"/>
      <c r="G151" s="22" t="n"/>
      <c r="H151" s="22" t="n"/>
      <c r="I151" s="22" t="n"/>
      <c r="J151" s="22" t="n"/>
      <c r="K151" s="28">
        <f>IF(C151="","",COUNTIFS(tbl_Finance[Job Number],C151&amp;"",tbl_Finance[Ex GST],"&lt;&gt;"))</f>
        <v/>
      </c>
      <c r="L151" s="27">
        <f>IF(C151="","",SUMIFS(tbl_Finance[Ex GST],tbl_Finance[Job Number],C151&amp;""))</f>
        <v/>
      </c>
      <c r="M151" s="27">
        <f>IF(C151="","",SUMIFS(tbl_Finance[Ex GST],tbl_Finance[Job Number],C151&amp;"",tbl_Finance[Xero Invoice No],"&lt;&gt;"))</f>
        <v/>
      </c>
      <c r="N151" s="27">
        <f>IF(C151="","",L151-M151)</f>
        <v/>
      </c>
      <c r="O151" s="24" t="n"/>
      <c r="P151" s="27">
        <f>IF(C151="","",IF(O151="",0,MAX(0,O151-L151)))</f>
        <v/>
      </c>
      <c r="Q151" s="26">
        <f>IF(C151="","",IF(K151=0,"not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R151" s="22" t="n"/>
      <c r="S151" s="26">
        <f>IF(R151="","",HYPERLINK(IF(LEFT(R151,4)="http",R151,set_QwilrBase&amp;R151),"Open quote"))</f>
        <v/>
      </c>
      <c r="T151" s="24" t="n"/>
      <c r="U151" s="24" t="n"/>
      <c r="V151" s="24" t="n"/>
      <c r="W151" s="26">
        <f>IF(C151="","",IF(N(T151)+N(U151)+N(V151)=0,"Not split",IF(ROUND(N(T151)+N(U151)+N(V151),2)=ROUND(L151+P151,2),"OK",IF(K151=0,"Not invoiced yet","MISMATCH"))))</f>
        <v/>
      </c>
      <c r="X151" s="24" t="n"/>
      <c r="Y151" s="24" t="n"/>
      <c r="Z151" s="24" t="n"/>
      <c r="AA151" s="27">
        <f>IF(C151="","",N(X151)+N(Y151)+N(Z151))</f>
        <v/>
      </c>
      <c r="AB151" s="27">
        <f>IF(C151="","",L151+P151-AA151)</f>
        <v/>
      </c>
      <c r="AC151" s="29">
        <f>IFERROR(AB151/(L151+P151),"")</f>
        <v/>
      </c>
      <c r="AD151" s="22" t="n"/>
    </row>
    <row r="152" ht="15" customHeight="1">
      <c r="A152" s="70">
        <f>IF(C152="","",IFERROR(IF(SUMPRODUCT(MAX((tbl_Finance[Job Number]&amp;""=C152&amp;"")*(tbl_Finance[Xero Invoice No]&lt;&gt;"")*tbl_Finance[Date]))=0,"",SUMPRODUCT(MAX((tbl_Finance[Job Number]&amp;""=C152&amp;"")*(tbl_Finance[Xero Invoice No]&lt;&gt;"")*tbl_Finance[Date]))),""))</f>
        <v/>
      </c>
      <c r="B152" s="26">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2" t="n"/>
      <c r="D152" s="26">
        <f>IF(C152="","",IF(COUNTIF(lst_Jobs,C152&amp;"")&gt;0,"OK","CHECK"))</f>
        <v/>
      </c>
      <c r="E152" s="26">
        <f>IF(C152="","",IFERROR(INDEX(lst_JobName,MATCH(C152&amp;"",lst_Jobs,0)),""))</f>
        <v/>
      </c>
      <c r="F152" s="22" t="n"/>
      <c r="G152" s="22" t="n"/>
      <c r="H152" s="22" t="n"/>
      <c r="I152" s="22" t="n"/>
      <c r="J152" s="22" t="n"/>
      <c r="K152" s="28">
        <f>IF(C152="","",COUNTIFS(tbl_Finance[Job Number],C152&amp;"",tbl_Finance[Ex GST],"&lt;&gt;"))</f>
        <v/>
      </c>
      <c r="L152" s="27">
        <f>IF(C152="","",SUMIFS(tbl_Finance[Ex GST],tbl_Finance[Job Number],C152&amp;""))</f>
        <v/>
      </c>
      <c r="M152" s="27">
        <f>IF(C152="","",SUMIFS(tbl_Finance[Ex GST],tbl_Finance[Job Number],C152&amp;"",tbl_Finance[Xero Invoice No],"&lt;&gt;"))</f>
        <v/>
      </c>
      <c r="N152" s="27">
        <f>IF(C152="","",L152-M152)</f>
        <v/>
      </c>
      <c r="O152" s="24" t="n"/>
      <c r="P152" s="27">
        <f>IF(C152="","",IF(O152="",0,MAX(0,O152-L152)))</f>
        <v/>
      </c>
      <c r="Q152" s="26">
        <f>IF(C152="","",IF(K152=0,"not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R152" s="22" t="n"/>
      <c r="S152" s="26">
        <f>IF(R152="","",HYPERLINK(IF(LEFT(R152,4)="http",R152,set_QwilrBase&amp;R152),"Open quote"))</f>
        <v/>
      </c>
      <c r="T152" s="24" t="n"/>
      <c r="U152" s="24" t="n"/>
      <c r="V152" s="24" t="n"/>
      <c r="W152" s="26">
        <f>IF(C152="","",IF(N(T152)+N(U152)+N(V152)=0,"Not split",IF(ROUND(N(T152)+N(U152)+N(V152),2)=ROUND(L152+P152,2),"OK",IF(K152=0,"Not invoiced yet","MISMATCH"))))</f>
        <v/>
      </c>
      <c r="X152" s="24" t="n"/>
      <c r="Y152" s="24" t="n"/>
      <c r="Z152" s="24" t="n"/>
      <c r="AA152" s="27">
        <f>IF(C152="","",N(X152)+N(Y152)+N(Z152))</f>
        <v/>
      </c>
      <c r="AB152" s="27">
        <f>IF(C152="","",L152+P152-AA152)</f>
        <v/>
      </c>
      <c r="AC152" s="29">
        <f>IFERROR(AB152/(L152+P152),"")</f>
        <v/>
      </c>
      <c r="AD152" s="22" t="n"/>
    </row>
    <row r="153" ht="15" customHeight="1">
      <c r="A153" s="70">
        <f>IF(C153="","",IFERROR(IF(SUMPRODUCT(MAX((tbl_Finance[Job Number]&amp;""=C153&amp;"")*(tbl_Finance[Xero Invoice No]&lt;&gt;"")*tbl_Finance[Date]))=0,"",SUMPRODUCT(MAX((tbl_Finance[Job Number]&amp;""=C153&amp;"")*(tbl_Finance[Xero Invoice No]&lt;&gt;"")*tbl_Finance[Date]))),""))</f>
        <v/>
      </c>
      <c r="B153" s="26">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2" t="n"/>
      <c r="D153" s="26">
        <f>IF(C153="","",IF(COUNTIF(lst_Jobs,C153&amp;"")&gt;0,"OK","CHECK"))</f>
        <v/>
      </c>
      <c r="E153" s="26">
        <f>IF(C153="","",IFERROR(INDEX(lst_JobName,MATCH(C153&amp;"",lst_Jobs,0)),""))</f>
        <v/>
      </c>
      <c r="F153" s="22" t="n"/>
      <c r="G153" s="22" t="n"/>
      <c r="H153" s="22" t="n"/>
      <c r="I153" s="22" t="n"/>
      <c r="J153" s="22" t="n"/>
      <c r="K153" s="28">
        <f>IF(C153="","",COUNTIFS(tbl_Finance[Job Number],C153&amp;"",tbl_Finance[Ex GST],"&lt;&gt;"))</f>
        <v/>
      </c>
      <c r="L153" s="27">
        <f>IF(C153="","",SUMIFS(tbl_Finance[Ex GST],tbl_Finance[Job Number],C153&amp;""))</f>
        <v/>
      </c>
      <c r="M153" s="27">
        <f>IF(C153="","",SUMIFS(tbl_Finance[Ex GST],tbl_Finance[Job Number],C153&amp;"",tbl_Finance[Xero Invoice No],"&lt;&gt;"))</f>
        <v/>
      </c>
      <c r="N153" s="27">
        <f>IF(C153="","",L153-M153)</f>
        <v/>
      </c>
      <c r="O153" s="24" t="n"/>
      <c r="P153" s="27">
        <f>IF(C153="","",IF(O153="",0,MAX(0,O153-L153)))</f>
        <v/>
      </c>
      <c r="Q153" s="26">
        <f>IF(C153="","",IF(K153=0,"not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R153" s="22" t="n"/>
      <c r="S153" s="26">
        <f>IF(R153="","",HYPERLINK(IF(LEFT(R153,4)="http",R153,set_QwilrBase&amp;R153),"Open quote"))</f>
        <v/>
      </c>
      <c r="T153" s="24" t="n"/>
      <c r="U153" s="24" t="n"/>
      <c r="V153" s="24" t="n"/>
      <c r="W153" s="26">
        <f>IF(C153="","",IF(N(T153)+N(U153)+N(V153)=0,"Not split",IF(ROUND(N(T153)+N(U153)+N(V153),2)=ROUND(L153+P153,2),"OK",IF(K153=0,"Not invoiced yet","MISMATCH"))))</f>
        <v/>
      </c>
      <c r="X153" s="24" t="n"/>
      <c r="Y153" s="24" t="n"/>
      <c r="Z153" s="24" t="n"/>
      <c r="AA153" s="27">
        <f>IF(C153="","",N(X153)+N(Y153)+N(Z153))</f>
        <v/>
      </c>
      <c r="AB153" s="27">
        <f>IF(C153="","",L153+P153-AA153)</f>
        <v/>
      </c>
      <c r="AC153" s="29">
        <f>IFERROR(AB153/(L153+P153),"")</f>
        <v/>
      </c>
      <c r="AD153" s="22" t="n"/>
    </row>
    <row r="154" ht="15" customHeight="1">
      <c r="A154" s="70">
        <f>IF(C154="","",IFERROR(IF(SUMPRODUCT(MAX((tbl_Finance[Job Number]&amp;""=C154&amp;"")*(tbl_Finance[Xero Invoice No]&lt;&gt;"")*tbl_Finance[Date]))=0,"",SUMPRODUCT(MAX((tbl_Finance[Job Number]&amp;""=C154&amp;"")*(tbl_Finance[Xero Invoice No]&lt;&gt;"")*tbl_Finance[Date]))),""))</f>
        <v/>
      </c>
      <c r="B154" s="26">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2" t="n"/>
      <c r="D154" s="26">
        <f>IF(C154="","",IF(COUNTIF(lst_Jobs,C154&amp;"")&gt;0,"OK","CHECK"))</f>
        <v/>
      </c>
      <c r="E154" s="26">
        <f>IF(C154="","",IFERROR(INDEX(lst_JobName,MATCH(C154&amp;"",lst_Jobs,0)),""))</f>
        <v/>
      </c>
      <c r="F154" s="22" t="n"/>
      <c r="G154" s="22" t="n"/>
      <c r="H154" s="22" t="n"/>
      <c r="I154" s="22" t="n"/>
      <c r="J154" s="22" t="n"/>
      <c r="K154" s="28">
        <f>IF(C154="","",COUNTIFS(tbl_Finance[Job Number],C154&amp;"",tbl_Finance[Ex GST],"&lt;&gt;"))</f>
        <v/>
      </c>
      <c r="L154" s="27">
        <f>IF(C154="","",SUMIFS(tbl_Finance[Ex GST],tbl_Finance[Job Number],C154&amp;""))</f>
        <v/>
      </c>
      <c r="M154" s="27">
        <f>IF(C154="","",SUMIFS(tbl_Finance[Ex GST],tbl_Finance[Job Number],C154&amp;"",tbl_Finance[Xero Invoice No],"&lt;&gt;"))</f>
        <v/>
      </c>
      <c r="N154" s="27">
        <f>IF(C154="","",L154-M154)</f>
        <v/>
      </c>
      <c r="O154" s="24" t="n"/>
      <c r="P154" s="27">
        <f>IF(C154="","",IF(O154="",0,MAX(0,O154-L154)))</f>
        <v/>
      </c>
      <c r="Q154" s="26">
        <f>IF(C154="","",IF(K154=0,"not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R154" s="22" t="n"/>
      <c r="S154" s="26">
        <f>IF(R154="","",HYPERLINK(IF(LEFT(R154,4)="http",R154,set_QwilrBase&amp;R154),"Open quote"))</f>
        <v/>
      </c>
      <c r="T154" s="24" t="n"/>
      <c r="U154" s="24" t="n"/>
      <c r="V154" s="24" t="n"/>
      <c r="W154" s="26">
        <f>IF(C154="","",IF(N(T154)+N(U154)+N(V154)=0,"Not split",IF(ROUND(N(T154)+N(U154)+N(V154),2)=ROUND(L154+P154,2),"OK",IF(K154=0,"Not invoiced yet","MISMATCH"))))</f>
        <v/>
      </c>
      <c r="X154" s="24" t="n"/>
      <c r="Y154" s="24" t="n"/>
      <c r="Z154" s="24" t="n"/>
      <c r="AA154" s="27">
        <f>IF(C154="","",N(X154)+N(Y154)+N(Z154))</f>
        <v/>
      </c>
      <c r="AB154" s="27">
        <f>IF(C154="","",L154+P154-AA154)</f>
        <v/>
      </c>
      <c r="AC154" s="29">
        <f>IFERROR(AB154/(L154+P154),"")</f>
        <v/>
      </c>
      <c r="AD154" s="22" t="n"/>
    </row>
    <row r="155" ht="15" customHeight="1">
      <c r="A155" s="70">
        <f>IF(C155="","",IFERROR(IF(SUMPRODUCT(MAX((tbl_Finance[Job Number]&amp;""=C155&amp;"")*(tbl_Finance[Xero Invoice No]&lt;&gt;"")*tbl_Finance[Date]))=0,"",SUMPRODUCT(MAX((tbl_Finance[Job Number]&amp;""=C155&amp;"")*(tbl_Finance[Xero Invoice No]&lt;&gt;"")*tbl_Finance[Date]))),""))</f>
        <v/>
      </c>
      <c r="B155" s="26">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2" t="n"/>
      <c r="D155" s="26">
        <f>IF(C155="","",IF(COUNTIF(lst_Jobs,C155&amp;"")&gt;0,"OK","CHECK"))</f>
        <v/>
      </c>
      <c r="E155" s="26">
        <f>IF(C155="","",IFERROR(INDEX(lst_JobName,MATCH(C155&amp;"",lst_Jobs,0)),""))</f>
        <v/>
      </c>
      <c r="F155" s="22" t="n"/>
      <c r="G155" s="22" t="n"/>
      <c r="H155" s="22" t="n"/>
      <c r="I155" s="22" t="n"/>
      <c r="J155" s="22" t="n"/>
      <c r="K155" s="28">
        <f>IF(C155="","",COUNTIFS(tbl_Finance[Job Number],C155&amp;"",tbl_Finance[Ex GST],"&lt;&gt;"))</f>
        <v/>
      </c>
      <c r="L155" s="27">
        <f>IF(C155="","",SUMIFS(tbl_Finance[Ex GST],tbl_Finance[Job Number],C155&amp;""))</f>
        <v/>
      </c>
      <c r="M155" s="27">
        <f>IF(C155="","",SUMIFS(tbl_Finance[Ex GST],tbl_Finance[Job Number],C155&amp;"",tbl_Finance[Xero Invoice No],"&lt;&gt;"))</f>
        <v/>
      </c>
      <c r="N155" s="27">
        <f>IF(C155="","",L155-M155)</f>
        <v/>
      </c>
      <c r="O155" s="24" t="n"/>
      <c r="P155" s="27">
        <f>IF(C155="","",IF(O155="",0,MAX(0,O155-L155)))</f>
        <v/>
      </c>
      <c r="Q155" s="26">
        <f>IF(C155="","",IF(K155=0,"not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R155" s="22" t="n"/>
      <c r="S155" s="26">
        <f>IF(R155="","",HYPERLINK(IF(LEFT(R155,4)="http",R155,set_QwilrBase&amp;R155),"Open quote"))</f>
        <v/>
      </c>
      <c r="T155" s="24" t="n"/>
      <c r="U155" s="24" t="n"/>
      <c r="V155" s="24" t="n"/>
      <c r="W155" s="26">
        <f>IF(C155="","",IF(N(T155)+N(U155)+N(V155)=0,"Not split",IF(ROUND(N(T155)+N(U155)+N(V155),2)=ROUND(L155+P155,2),"OK",IF(K155=0,"Not invoiced yet","MISMATCH"))))</f>
        <v/>
      </c>
      <c r="X155" s="24" t="n"/>
      <c r="Y155" s="24" t="n"/>
      <c r="Z155" s="24" t="n"/>
      <c r="AA155" s="27">
        <f>IF(C155="","",N(X155)+N(Y155)+N(Z155))</f>
        <v/>
      </c>
      <c r="AB155" s="27">
        <f>IF(C155="","",L155+P155-AA155)</f>
        <v/>
      </c>
      <c r="AC155" s="29">
        <f>IFERROR(AB155/(L155+P155),"")</f>
        <v/>
      </c>
      <c r="AD155" s="22" t="n"/>
    </row>
    <row r="156" ht="15" customHeight="1">
      <c r="A156" s="70">
        <f>IF(C156="","",IFERROR(IF(SUMPRODUCT(MAX((tbl_Finance[Job Number]&amp;""=C156&amp;"")*(tbl_Finance[Xero Invoice No]&lt;&gt;"")*tbl_Finance[Date]))=0,"",SUMPRODUCT(MAX((tbl_Finance[Job Number]&amp;""=C156&amp;"")*(tbl_Finance[Xero Invoice No]&lt;&gt;"")*tbl_Finance[Date]))),""))</f>
        <v/>
      </c>
      <c r="B156" s="26">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2" t="n"/>
      <c r="D156" s="26">
        <f>IF(C156="","",IF(COUNTIF(lst_Jobs,C156&amp;"")&gt;0,"OK","CHECK"))</f>
        <v/>
      </c>
      <c r="E156" s="26">
        <f>IF(C156="","",IFERROR(INDEX(lst_JobName,MATCH(C156&amp;"",lst_Jobs,0)),""))</f>
        <v/>
      </c>
      <c r="F156" s="22" t="n"/>
      <c r="G156" s="22" t="n"/>
      <c r="H156" s="22" t="n"/>
      <c r="I156" s="22" t="n"/>
      <c r="J156" s="22" t="n"/>
      <c r="K156" s="28">
        <f>IF(C156="","",COUNTIFS(tbl_Finance[Job Number],C156&amp;"",tbl_Finance[Ex GST],"&lt;&gt;"))</f>
        <v/>
      </c>
      <c r="L156" s="27">
        <f>IF(C156="","",SUMIFS(tbl_Finance[Ex GST],tbl_Finance[Job Number],C156&amp;""))</f>
        <v/>
      </c>
      <c r="M156" s="27">
        <f>IF(C156="","",SUMIFS(tbl_Finance[Ex GST],tbl_Finance[Job Number],C156&amp;"",tbl_Finance[Xero Invoice No],"&lt;&gt;"))</f>
        <v/>
      </c>
      <c r="N156" s="27">
        <f>IF(C156="","",L156-M156)</f>
        <v/>
      </c>
      <c r="O156" s="24" t="n"/>
      <c r="P156" s="27">
        <f>IF(C156="","",IF(O156="",0,MAX(0,O156-L156)))</f>
        <v/>
      </c>
      <c r="Q156" s="26">
        <f>IF(C156="","",IF(K156=0,"not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R156" s="22" t="n"/>
      <c r="S156" s="26">
        <f>IF(R156="","",HYPERLINK(IF(LEFT(R156,4)="http",R156,set_QwilrBase&amp;R156),"Open quote"))</f>
        <v/>
      </c>
      <c r="T156" s="24" t="n"/>
      <c r="U156" s="24" t="n"/>
      <c r="V156" s="24" t="n"/>
      <c r="W156" s="26">
        <f>IF(C156="","",IF(N(T156)+N(U156)+N(V156)=0,"Not split",IF(ROUND(N(T156)+N(U156)+N(V156),2)=ROUND(L156+P156,2),"OK",IF(K156=0,"Not invoiced yet","MISMATCH"))))</f>
        <v/>
      </c>
      <c r="X156" s="24" t="n"/>
      <c r="Y156" s="24" t="n"/>
      <c r="Z156" s="24" t="n"/>
      <c r="AA156" s="27">
        <f>IF(C156="","",N(X156)+N(Y156)+N(Z156))</f>
        <v/>
      </c>
      <c r="AB156" s="27">
        <f>IF(C156="","",L156+P156-AA156)</f>
        <v/>
      </c>
      <c r="AC156" s="29">
        <f>IFERROR(AB156/(L156+P156),"")</f>
        <v/>
      </c>
      <c r="AD156" s="22" t="n"/>
    </row>
    <row r="157" ht="15" customHeight="1">
      <c r="A157" s="70">
        <f>IF(C157="","",IFERROR(IF(SUMPRODUCT(MAX((tbl_Finance[Job Number]&amp;""=C157&amp;"")*(tbl_Finance[Xero Invoice No]&lt;&gt;"")*tbl_Finance[Date]))=0,"",SUMPRODUCT(MAX((tbl_Finance[Job Number]&amp;""=C157&amp;"")*(tbl_Finance[Xero Invoice No]&lt;&gt;"")*tbl_Finance[Date]))),""))</f>
        <v/>
      </c>
      <c r="B157" s="26">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2" t="n"/>
      <c r="D157" s="26">
        <f>IF(C157="","",IF(COUNTIF(lst_Jobs,C157&amp;"")&gt;0,"OK","CHECK"))</f>
        <v/>
      </c>
      <c r="E157" s="26">
        <f>IF(C157="","",IFERROR(INDEX(lst_JobName,MATCH(C157&amp;"",lst_Jobs,0)),""))</f>
        <v/>
      </c>
      <c r="F157" s="22" t="n"/>
      <c r="G157" s="22" t="n"/>
      <c r="H157" s="22" t="n"/>
      <c r="I157" s="22" t="n"/>
      <c r="J157" s="22" t="n"/>
      <c r="K157" s="28">
        <f>IF(C157="","",COUNTIFS(tbl_Finance[Job Number],C157&amp;"",tbl_Finance[Ex GST],"&lt;&gt;"))</f>
        <v/>
      </c>
      <c r="L157" s="27">
        <f>IF(C157="","",SUMIFS(tbl_Finance[Ex GST],tbl_Finance[Job Number],C157&amp;""))</f>
        <v/>
      </c>
      <c r="M157" s="27">
        <f>IF(C157="","",SUMIFS(tbl_Finance[Ex GST],tbl_Finance[Job Number],C157&amp;"",tbl_Finance[Xero Invoice No],"&lt;&gt;"))</f>
        <v/>
      </c>
      <c r="N157" s="27">
        <f>IF(C157="","",L157-M157)</f>
        <v/>
      </c>
      <c r="O157" s="24" t="n"/>
      <c r="P157" s="27">
        <f>IF(C157="","",IF(O157="",0,MAX(0,O157-L157)))</f>
        <v/>
      </c>
      <c r="Q157" s="26">
        <f>IF(C157="","",IF(K157=0,"not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R157" s="22" t="n"/>
      <c r="S157" s="26">
        <f>IF(R157="","",HYPERLINK(IF(LEFT(R157,4)="http",R157,set_QwilrBase&amp;R157),"Open quote"))</f>
        <v/>
      </c>
      <c r="T157" s="24" t="n"/>
      <c r="U157" s="24" t="n"/>
      <c r="V157" s="24" t="n"/>
      <c r="W157" s="26">
        <f>IF(C157="","",IF(N(T157)+N(U157)+N(V157)=0,"Not split",IF(ROUND(N(T157)+N(U157)+N(V157),2)=ROUND(L157+P157,2),"OK",IF(K157=0,"Not invoiced yet","MISMATCH"))))</f>
        <v/>
      </c>
      <c r="X157" s="24" t="n"/>
      <c r="Y157" s="24" t="n"/>
      <c r="Z157" s="24" t="n"/>
      <c r="AA157" s="27">
        <f>IF(C157="","",N(X157)+N(Y157)+N(Z157))</f>
        <v/>
      </c>
      <c r="AB157" s="27">
        <f>IF(C157="","",L157+P157-AA157)</f>
        <v/>
      </c>
      <c r="AC157" s="29">
        <f>IFERROR(AB157/(L157+P157),"")</f>
        <v/>
      </c>
      <c r="AD157" s="22" t="n"/>
    </row>
    <row r="158" ht="15" customHeight="1">
      <c r="A158" s="70">
        <f>IF(C158="","",IFERROR(IF(SUMPRODUCT(MAX((tbl_Finance[Job Number]&amp;""=C158&amp;"")*(tbl_Finance[Xero Invoice No]&lt;&gt;"")*tbl_Finance[Date]))=0,"",SUMPRODUCT(MAX((tbl_Finance[Job Number]&amp;""=C158&amp;"")*(tbl_Finance[Xero Invoice No]&lt;&gt;"")*tbl_Finance[Date]))),""))</f>
        <v/>
      </c>
      <c r="B158" s="26">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2" t="n"/>
      <c r="D158" s="26">
        <f>IF(C158="","",IF(COUNTIF(lst_Jobs,C158&amp;"")&gt;0,"OK","CHECK"))</f>
        <v/>
      </c>
      <c r="E158" s="26">
        <f>IF(C158="","",IFERROR(INDEX(lst_JobName,MATCH(C158&amp;"",lst_Jobs,0)),""))</f>
        <v/>
      </c>
      <c r="F158" s="22" t="n"/>
      <c r="G158" s="22" t="n"/>
      <c r="H158" s="22" t="n"/>
      <c r="I158" s="22" t="n"/>
      <c r="J158" s="22" t="n"/>
      <c r="K158" s="28">
        <f>IF(C158="","",COUNTIFS(tbl_Finance[Job Number],C158&amp;"",tbl_Finance[Ex GST],"&lt;&gt;"))</f>
        <v/>
      </c>
      <c r="L158" s="27">
        <f>IF(C158="","",SUMIFS(tbl_Finance[Ex GST],tbl_Finance[Job Number],C158&amp;""))</f>
        <v/>
      </c>
      <c r="M158" s="27">
        <f>IF(C158="","",SUMIFS(tbl_Finance[Ex GST],tbl_Finance[Job Number],C158&amp;"",tbl_Finance[Xero Invoice No],"&lt;&gt;"))</f>
        <v/>
      </c>
      <c r="N158" s="27">
        <f>IF(C158="","",L158-M158)</f>
        <v/>
      </c>
      <c r="O158" s="24" t="n"/>
      <c r="P158" s="27">
        <f>IF(C158="","",IF(O158="",0,MAX(0,O158-L158)))</f>
        <v/>
      </c>
      <c r="Q158" s="26">
        <f>IF(C158="","",IF(K158=0,"not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R158" s="22" t="n"/>
      <c r="S158" s="26">
        <f>IF(R158="","",HYPERLINK(IF(LEFT(R158,4)="http",R158,set_QwilrBase&amp;R158),"Open quote"))</f>
        <v/>
      </c>
      <c r="T158" s="24" t="n"/>
      <c r="U158" s="24" t="n"/>
      <c r="V158" s="24" t="n"/>
      <c r="W158" s="26">
        <f>IF(C158="","",IF(N(T158)+N(U158)+N(V158)=0,"Not split",IF(ROUND(N(T158)+N(U158)+N(V158),2)=ROUND(L158+P158,2),"OK",IF(K158=0,"Not invoiced yet","MISMATCH"))))</f>
        <v/>
      </c>
      <c r="X158" s="24" t="n"/>
      <c r="Y158" s="24" t="n"/>
      <c r="Z158" s="24" t="n"/>
      <c r="AA158" s="27">
        <f>IF(C158="","",N(X158)+N(Y158)+N(Z158))</f>
        <v/>
      </c>
      <c r="AB158" s="27">
        <f>IF(C158="","",L158+P158-AA158)</f>
        <v/>
      </c>
      <c r="AC158" s="29">
        <f>IFERROR(AB158/(L158+P158),"")</f>
        <v/>
      </c>
      <c r="AD158" s="22" t="n"/>
    </row>
    <row r="159" ht="15" customHeight="1">
      <c r="A159" s="70">
        <f>IF(C159="","",IFERROR(IF(SUMPRODUCT(MAX((tbl_Finance[Job Number]&amp;""=C159&amp;"")*(tbl_Finance[Xero Invoice No]&lt;&gt;"")*tbl_Finance[Date]))=0,"",SUMPRODUCT(MAX((tbl_Finance[Job Number]&amp;""=C159&amp;"")*(tbl_Finance[Xero Invoice No]&lt;&gt;"")*tbl_Finance[Date]))),""))</f>
        <v/>
      </c>
      <c r="B159" s="26">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2" t="n"/>
      <c r="D159" s="26">
        <f>IF(C159="","",IF(COUNTIF(lst_Jobs,C159&amp;"")&gt;0,"OK","CHECK"))</f>
        <v/>
      </c>
      <c r="E159" s="26">
        <f>IF(C159="","",IFERROR(INDEX(lst_JobName,MATCH(C159&amp;"",lst_Jobs,0)),""))</f>
        <v/>
      </c>
      <c r="F159" s="22" t="n"/>
      <c r="G159" s="22" t="n"/>
      <c r="H159" s="22" t="n"/>
      <c r="I159" s="22" t="n"/>
      <c r="J159" s="22" t="n"/>
      <c r="K159" s="28">
        <f>IF(C159="","",COUNTIFS(tbl_Finance[Job Number],C159&amp;"",tbl_Finance[Ex GST],"&lt;&gt;"))</f>
        <v/>
      </c>
      <c r="L159" s="27">
        <f>IF(C159="","",SUMIFS(tbl_Finance[Ex GST],tbl_Finance[Job Number],C159&amp;""))</f>
        <v/>
      </c>
      <c r="M159" s="27">
        <f>IF(C159="","",SUMIFS(tbl_Finance[Ex GST],tbl_Finance[Job Number],C159&amp;"",tbl_Finance[Xero Invoice No],"&lt;&gt;"))</f>
        <v/>
      </c>
      <c r="N159" s="27">
        <f>IF(C159="","",L159-M159)</f>
        <v/>
      </c>
      <c r="O159" s="24" t="n"/>
      <c r="P159" s="27">
        <f>IF(C159="","",IF(O159="",0,MAX(0,O159-L159)))</f>
        <v/>
      </c>
      <c r="Q159" s="26">
        <f>IF(C159="","",IF(K159=0,"not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R159" s="22" t="n"/>
      <c r="S159" s="26">
        <f>IF(R159="","",HYPERLINK(IF(LEFT(R159,4)="http",R159,set_QwilrBase&amp;R159),"Open quote"))</f>
        <v/>
      </c>
      <c r="T159" s="24" t="n"/>
      <c r="U159" s="24" t="n"/>
      <c r="V159" s="24" t="n"/>
      <c r="W159" s="26">
        <f>IF(C159="","",IF(N(T159)+N(U159)+N(V159)=0,"Not split",IF(ROUND(N(T159)+N(U159)+N(V159),2)=ROUND(L159+P159,2),"OK",IF(K159=0,"Not invoiced yet","MISMATCH"))))</f>
        <v/>
      </c>
      <c r="X159" s="24" t="n"/>
      <c r="Y159" s="24" t="n"/>
      <c r="Z159" s="24" t="n"/>
      <c r="AA159" s="27">
        <f>IF(C159="","",N(X159)+N(Y159)+N(Z159))</f>
        <v/>
      </c>
      <c r="AB159" s="27">
        <f>IF(C159="","",L159+P159-AA159)</f>
        <v/>
      </c>
      <c r="AC159" s="29">
        <f>IFERROR(AB159/(L159+P159),"")</f>
        <v/>
      </c>
      <c r="AD159" s="22" t="n"/>
    </row>
    <row r="160" ht="15" customHeight="1">
      <c r="A160" s="70">
        <f>IF(C160="","",IFERROR(IF(SUMPRODUCT(MAX((tbl_Finance[Job Number]&amp;""=C160&amp;"")*(tbl_Finance[Xero Invoice No]&lt;&gt;"")*tbl_Finance[Date]))=0,"",SUMPRODUCT(MAX((tbl_Finance[Job Number]&amp;""=C160&amp;"")*(tbl_Finance[Xero Invoice No]&lt;&gt;"")*tbl_Finance[Date]))),""))</f>
        <v/>
      </c>
      <c r="B160" s="26">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2" t="n"/>
      <c r="D160" s="26">
        <f>IF(C160="","",IF(COUNTIF(lst_Jobs,C160&amp;"")&gt;0,"OK","CHECK"))</f>
        <v/>
      </c>
      <c r="E160" s="26">
        <f>IF(C160="","",IFERROR(INDEX(lst_JobName,MATCH(C160&amp;"",lst_Jobs,0)),""))</f>
        <v/>
      </c>
      <c r="F160" s="22" t="n"/>
      <c r="G160" s="22" t="n"/>
      <c r="H160" s="22" t="n"/>
      <c r="I160" s="22" t="n"/>
      <c r="J160" s="22" t="n"/>
      <c r="K160" s="28">
        <f>IF(C160="","",COUNTIFS(tbl_Finance[Job Number],C160&amp;"",tbl_Finance[Ex GST],"&lt;&gt;"))</f>
        <v/>
      </c>
      <c r="L160" s="27">
        <f>IF(C160="","",SUMIFS(tbl_Finance[Ex GST],tbl_Finance[Job Number],C160&amp;""))</f>
        <v/>
      </c>
      <c r="M160" s="27">
        <f>IF(C160="","",SUMIFS(tbl_Finance[Ex GST],tbl_Finance[Job Number],C160&amp;"",tbl_Finance[Xero Invoice No],"&lt;&gt;"))</f>
        <v/>
      </c>
      <c r="N160" s="27">
        <f>IF(C160="","",L160-M160)</f>
        <v/>
      </c>
      <c r="O160" s="24" t="n"/>
      <c r="P160" s="27">
        <f>IF(C160="","",IF(O160="",0,MAX(0,O160-L160)))</f>
        <v/>
      </c>
      <c r="Q160" s="26">
        <f>IF(C160="","",IF(K160=0,"not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R160" s="22" t="n"/>
      <c r="S160" s="26">
        <f>IF(R160="","",HYPERLINK(IF(LEFT(R160,4)="http",R160,set_QwilrBase&amp;R160),"Open quote"))</f>
        <v/>
      </c>
      <c r="T160" s="24" t="n"/>
      <c r="U160" s="24" t="n"/>
      <c r="V160" s="24" t="n"/>
      <c r="W160" s="26">
        <f>IF(C160="","",IF(N(T160)+N(U160)+N(V160)=0,"Not split",IF(ROUND(N(T160)+N(U160)+N(V160),2)=ROUND(L160+P160,2),"OK",IF(K160=0,"Not invoiced yet","MISMATCH"))))</f>
        <v/>
      </c>
      <c r="X160" s="24" t="n"/>
      <c r="Y160" s="24" t="n"/>
      <c r="Z160" s="24" t="n"/>
      <c r="AA160" s="27">
        <f>IF(C160="","",N(X160)+N(Y160)+N(Z160))</f>
        <v/>
      </c>
      <c r="AB160" s="27">
        <f>IF(C160="","",L160+P160-AA160)</f>
        <v/>
      </c>
      <c r="AC160" s="29">
        <f>IFERROR(AB160/(L160+P160),"")</f>
        <v/>
      </c>
      <c r="AD160" s="22" t="n"/>
    </row>
    <row r="161" ht="15" customHeight="1">
      <c r="A161" s="70">
        <f>IF(C161="","",IFERROR(IF(SUMPRODUCT(MAX((tbl_Finance[Job Number]&amp;""=C161&amp;"")*(tbl_Finance[Xero Invoice No]&lt;&gt;"")*tbl_Finance[Date]))=0,"",SUMPRODUCT(MAX((tbl_Finance[Job Number]&amp;""=C161&amp;"")*(tbl_Finance[Xero Invoice No]&lt;&gt;"")*tbl_Finance[Date]))),""))</f>
        <v/>
      </c>
      <c r="B161" s="26">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2" t="n"/>
      <c r="D161" s="26">
        <f>IF(C161="","",IF(COUNTIF(lst_Jobs,C161&amp;"")&gt;0,"OK","CHECK"))</f>
        <v/>
      </c>
      <c r="E161" s="26">
        <f>IF(C161="","",IFERROR(INDEX(lst_JobName,MATCH(C161&amp;"",lst_Jobs,0)),""))</f>
        <v/>
      </c>
      <c r="F161" s="22" t="n"/>
      <c r="G161" s="22" t="n"/>
      <c r="H161" s="22" t="n"/>
      <c r="I161" s="22" t="n"/>
      <c r="J161" s="22" t="n"/>
      <c r="K161" s="28">
        <f>IF(C161="","",COUNTIFS(tbl_Finance[Job Number],C161&amp;"",tbl_Finance[Ex GST],"&lt;&gt;"))</f>
        <v/>
      </c>
      <c r="L161" s="27">
        <f>IF(C161="","",SUMIFS(tbl_Finance[Ex GST],tbl_Finance[Job Number],C161&amp;""))</f>
        <v/>
      </c>
      <c r="M161" s="27">
        <f>IF(C161="","",SUMIFS(tbl_Finance[Ex GST],tbl_Finance[Job Number],C161&amp;"",tbl_Finance[Xero Invoice No],"&lt;&gt;"))</f>
        <v/>
      </c>
      <c r="N161" s="27">
        <f>IF(C161="","",L161-M161)</f>
        <v/>
      </c>
      <c r="O161" s="24" t="n"/>
      <c r="P161" s="27">
        <f>IF(C161="","",IF(O161="",0,MAX(0,O161-L161)))</f>
        <v/>
      </c>
      <c r="Q161" s="26">
        <f>IF(C161="","",IF(K161=0,"not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R161" s="22" t="n"/>
      <c r="S161" s="26">
        <f>IF(R161="","",HYPERLINK(IF(LEFT(R161,4)="http",R161,set_QwilrBase&amp;R161),"Open quote"))</f>
        <v/>
      </c>
      <c r="T161" s="24" t="n"/>
      <c r="U161" s="24" t="n"/>
      <c r="V161" s="24" t="n"/>
      <c r="W161" s="26">
        <f>IF(C161="","",IF(N(T161)+N(U161)+N(V161)=0,"Not split",IF(ROUND(N(T161)+N(U161)+N(V161),2)=ROUND(L161+P161,2),"OK",IF(K161=0,"Not invoiced yet","MISMATCH"))))</f>
        <v/>
      </c>
      <c r="X161" s="24" t="n"/>
      <c r="Y161" s="24" t="n"/>
      <c r="Z161" s="24" t="n"/>
      <c r="AA161" s="27">
        <f>IF(C161="","",N(X161)+N(Y161)+N(Z161))</f>
        <v/>
      </c>
      <c r="AB161" s="27">
        <f>IF(C161="","",L161+P161-AA161)</f>
        <v/>
      </c>
      <c r="AC161" s="29">
        <f>IFERROR(AB161/(L161+P161),"")</f>
        <v/>
      </c>
      <c r="AD161" s="22" t="n"/>
    </row>
    <row r="162" ht="15" customHeight="1">
      <c r="A162" s="70">
        <f>IF(C162="","",IFERROR(IF(SUMPRODUCT(MAX((tbl_Finance[Job Number]&amp;""=C162&amp;"")*(tbl_Finance[Xero Invoice No]&lt;&gt;"")*tbl_Finance[Date]))=0,"",SUMPRODUCT(MAX((tbl_Finance[Job Number]&amp;""=C162&amp;"")*(tbl_Finance[Xero Invoice No]&lt;&gt;"")*tbl_Finance[Date]))),""))</f>
        <v/>
      </c>
      <c r="B162" s="26">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2" t="n"/>
      <c r="D162" s="26">
        <f>IF(C162="","",IF(COUNTIF(lst_Jobs,C162&amp;"")&gt;0,"OK","CHECK"))</f>
        <v/>
      </c>
      <c r="E162" s="26">
        <f>IF(C162="","",IFERROR(INDEX(lst_JobName,MATCH(C162&amp;"",lst_Jobs,0)),""))</f>
        <v/>
      </c>
      <c r="F162" s="22" t="n"/>
      <c r="G162" s="22" t="n"/>
      <c r="H162" s="22" t="n"/>
      <c r="I162" s="22" t="n"/>
      <c r="J162" s="22" t="n"/>
      <c r="K162" s="28">
        <f>IF(C162="","",COUNTIFS(tbl_Finance[Job Number],C162&amp;"",tbl_Finance[Ex GST],"&lt;&gt;"))</f>
        <v/>
      </c>
      <c r="L162" s="27">
        <f>IF(C162="","",SUMIFS(tbl_Finance[Ex GST],tbl_Finance[Job Number],C162&amp;""))</f>
        <v/>
      </c>
      <c r="M162" s="27">
        <f>IF(C162="","",SUMIFS(tbl_Finance[Ex GST],tbl_Finance[Job Number],C162&amp;"",tbl_Finance[Xero Invoice No],"&lt;&gt;"))</f>
        <v/>
      </c>
      <c r="N162" s="27">
        <f>IF(C162="","",L162-M162)</f>
        <v/>
      </c>
      <c r="O162" s="24" t="n"/>
      <c r="P162" s="27">
        <f>IF(C162="","",IF(O162="",0,MAX(0,O162-L162)))</f>
        <v/>
      </c>
      <c r="Q162" s="26">
        <f>IF(C162="","",IF(K162=0,"not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R162" s="22" t="n"/>
      <c r="S162" s="26">
        <f>IF(R162="","",HYPERLINK(IF(LEFT(R162,4)="http",R162,set_QwilrBase&amp;R162),"Open quote"))</f>
        <v/>
      </c>
      <c r="T162" s="24" t="n"/>
      <c r="U162" s="24" t="n"/>
      <c r="V162" s="24" t="n"/>
      <c r="W162" s="26">
        <f>IF(C162="","",IF(N(T162)+N(U162)+N(V162)=0,"Not split",IF(ROUND(N(T162)+N(U162)+N(V162),2)=ROUND(L162+P162,2),"OK",IF(K162=0,"Not invoiced yet","MISMATCH"))))</f>
        <v/>
      </c>
      <c r="X162" s="24" t="n"/>
      <c r="Y162" s="24" t="n"/>
      <c r="Z162" s="24" t="n"/>
      <c r="AA162" s="27">
        <f>IF(C162="","",N(X162)+N(Y162)+N(Z162))</f>
        <v/>
      </c>
      <c r="AB162" s="27">
        <f>IF(C162="","",L162+P162-AA162)</f>
        <v/>
      </c>
      <c r="AC162" s="29">
        <f>IFERROR(AB162/(L162+P162),"")</f>
        <v/>
      </c>
      <c r="AD162" s="22" t="n"/>
    </row>
    <row r="163" ht="15" customHeight="1">
      <c r="A163" s="70">
        <f>IF(C163="","",IFERROR(IF(SUMPRODUCT(MAX((tbl_Finance[Job Number]&amp;""=C163&amp;"")*(tbl_Finance[Xero Invoice No]&lt;&gt;"")*tbl_Finance[Date]))=0,"",SUMPRODUCT(MAX((tbl_Finance[Job Number]&amp;""=C163&amp;"")*(tbl_Finance[Xero Invoice No]&lt;&gt;"")*tbl_Finance[Date]))),""))</f>
        <v/>
      </c>
      <c r="B163" s="26">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2" t="n"/>
      <c r="D163" s="26">
        <f>IF(C163="","",IF(COUNTIF(lst_Jobs,C163&amp;"")&gt;0,"OK","CHECK"))</f>
        <v/>
      </c>
      <c r="E163" s="26">
        <f>IF(C163="","",IFERROR(INDEX(lst_JobName,MATCH(C163&amp;"",lst_Jobs,0)),""))</f>
        <v/>
      </c>
      <c r="F163" s="22" t="n"/>
      <c r="G163" s="22" t="n"/>
      <c r="H163" s="22" t="n"/>
      <c r="I163" s="22" t="n"/>
      <c r="J163" s="22" t="n"/>
      <c r="K163" s="28">
        <f>IF(C163="","",COUNTIFS(tbl_Finance[Job Number],C163&amp;"",tbl_Finance[Ex GST],"&lt;&gt;"))</f>
        <v/>
      </c>
      <c r="L163" s="27">
        <f>IF(C163="","",SUMIFS(tbl_Finance[Ex GST],tbl_Finance[Job Number],C163&amp;""))</f>
        <v/>
      </c>
      <c r="M163" s="27">
        <f>IF(C163="","",SUMIFS(tbl_Finance[Ex GST],tbl_Finance[Job Number],C163&amp;"",tbl_Finance[Xero Invoice No],"&lt;&gt;"))</f>
        <v/>
      </c>
      <c r="N163" s="27">
        <f>IF(C163="","",L163-M163)</f>
        <v/>
      </c>
      <c r="O163" s="24" t="n"/>
      <c r="P163" s="27">
        <f>IF(C163="","",IF(O163="",0,MAX(0,O163-L163)))</f>
        <v/>
      </c>
      <c r="Q163" s="26">
        <f>IF(C163="","",IF(K163=0,"not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R163" s="22" t="n"/>
      <c r="S163" s="26">
        <f>IF(R163="","",HYPERLINK(IF(LEFT(R163,4)="http",R163,set_QwilrBase&amp;R163),"Open quote"))</f>
        <v/>
      </c>
      <c r="T163" s="24" t="n"/>
      <c r="U163" s="24" t="n"/>
      <c r="V163" s="24" t="n"/>
      <c r="W163" s="26">
        <f>IF(C163="","",IF(N(T163)+N(U163)+N(V163)=0,"Not split",IF(ROUND(N(T163)+N(U163)+N(V163),2)=ROUND(L163+P163,2),"OK",IF(K163=0,"Not invoiced yet","MISMATCH"))))</f>
        <v/>
      </c>
      <c r="X163" s="24" t="n"/>
      <c r="Y163" s="24" t="n"/>
      <c r="Z163" s="24" t="n"/>
      <c r="AA163" s="27">
        <f>IF(C163="","",N(X163)+N(Y163)+N(Z163))</f>
        <v/>
      </c>
      <c r="AB163" s="27">
        <f>IF(C163="","",L163+P163-AA163)</f>
        <v/>
      </c>
      <c r="AC163" s="29">
        <f>IFERROR(AB163/(L163+P163),"")</f>
        <v/>
      </c>
      <c r="AD163" s="22" t="n"/>
    </row>
    <row r="164" ht="15" customHeight="1">
      <c r="A164" s="70">
        <f>IF(C164="","",IFERROR(IF(SUMPRODUCT(MAX((tbl_Finance[Job Number]&amp;""=C164&amp;"")*(tbl_Finance[Xero Invoice No]&lt;&gt;"")*tbl_Finance[Date]))=0,"",SUMPRODUCT(MAX((tbl_Finance[Job Number]&amp;""=C164&amp;"")*(tbl_Finance[Xero Invoice No]&lt;&gt;"")*tbl_Finance[Date]))),""))</f>
        <v/>
      </c>
      <c r="B164" s="26">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2" t="n"/>
      <c r="D164" s="26">
        <f>IF(C164="","",IF(COUNTIF(lst_Jobs,C164&amp;"")&gt;0,"OK","CHECK"))</f>
        <v/>
      </c>
      <c r="E164" s="26">
        <f>IF(C164="","",IFERROR(INDEX(lst_JobName,MATCH(C164&amp;"",lst_Jobs,0)),""))</f>
        <v/>
      </c>
      <c r="F164" s="22" t="n"/>
      <c r="G164" s="22" t="n"/>
      <c r="H164" s="22" t="n"/>
      <c r="I164" s="22" t="n"/>
      <c r="J164" s="22" t="n"/>
      <c r="K164" s="28">
        <f>IF(C164="","",COUNTIFS(tbl_Finance[Job Number],C164&amp;"",tbl_Finance[Ex GST],"&lt;&gt;"))</f>
        <v/>
      </c>
      <c r="L164" s="27">
        <f>IF(C164="","",SUMIFS(tbl_Finance[Ex GST],tbl_Finance[Job Number],C164&amp;""))</f>
        <v/>
      </c>
      <c r="M164" s="27">
        <f>IF(C164="","",SUMIFS(tbl_Finance[Ex GST],tbl_Finance[Job Number],C164&amp;"",tbl_Finance[Xero Invoice No],"&lt;&gt;"))</f>
        <v/>
      </c>
      <c r="N164" s="27">
        <f>IF(C164="","",L164-M164)</f>
        <v/>
      </c>
      <c r="O164" s="24" t="n"/>
      <c r="P164" s="27">
        <f>IF(C164="","",IF(O164="",0,MAX(0,O164-L164)))</f>
        <v/>
      </c>
      <c r="Q164" s="26">
        <f>IF(C164="","",IF(K164=0,"not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R164" s="22" t="n"/>
      <c r="S164" s="26">
        <f>IF(R164="","",HYPERLINK(IF(LEFT(R164,4)="http",R164,set_QwilrBase&amp;R164),"Open quote"))</f>
        <v/>
      </c>
      <c r="T164" s="24" t="n"/>
      <c r="U164" s="24" t="n"/>
      <c r="V164" s="24" t="n"/>
      <c r="W164" s="26">
        <f>IF(C164="","",IF(N(T164)+N(U164)+N(V164)=0,"Not split",IF(ROUND(N(T164)+N(U164)+N(V164),2)=ROUND(L164+P164,2),"OK",IF(K164=0,"Not invoiced yet","MISMATCH"))))</f>
        <v/>
      </c>
      <c r="X164" s="24" t="n"/>
      <c r="Y164" s="24" t="n"/>
      <c r="Z164" s="24" t="n"/>
      <c r="AA164" s="27">
        <f>IF(C164="","",N(X164)+N(Y164)+N(Z164))</f>
        <v/>
      </c>
      <c r="AB164" s="27">
        <f>IF(C164="","",L164+P164-AA164)</f>
        <v/>
      </c>
      <c r="AC164" s="29">
        <f>IFERROR(AB164/(L164+P164),"")</f>
        <v/>
      </c>
      <c r="AD164" s="22" t="n"/>
    </row>
    <row r="165" ht="15" customHeight="1">
      <c r="A165" s="70">
        <f>IF(C165="","",IFERROR(IF(SUMPRODUCT(MAX((tbl_Finance[Job Number]&amp;""=C165&amp;"")*(tbl_Finance[Xero Invoice No]&lt;&gt;"")*tbl_Finance[Date]))=0,"",SUMPRODUCT(MAX((tbl_Finance[Job Number]&amp;""=C165&amp;"")*(tbl_Finance[Xero Invoice No]&lt;&gt;"")*tbl_Finance[Date]))),""))</f>
        <v/>
      </c>
      <c r="B165" s="26">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2" t="n"/>
      <c r="D165" s="26">
        <f>IF(C165="","",IF(COUNTIF(lst_Jobs,C165&amp;"")&gt;0,"OK","CHECK"))</f>
        <v/>
      </c>
      <c r="E165" s="26">
        <f>IF(C165="","",IFERROR(INDEX(lst_JobName,MATCH(C165&amp;"",lst_Jobs,0)),""))</f>
        <v/>
      </c>
      <c r="F165" s="22" t="n"/>
      <c r="G165" s="22" t="n"/>
      <c r="H165" s="22" t="n"/>
      <c r="I165" s="22" t="n"/>
      <c r="J165" s="22" t="n"/>
      <c r="K165" s="28">
        <f>IF(C165="","",COUNTIFS(tbl_Finance[Job Number],C165&amp;"",tbl_Finance[Ex GST],"&lt;&gt;"))</f>
        <v/>
      </c>
      <c r="L165" s="27">
        <f>IF(C165="","",SUMIFS(tbl_Finance[Ex GST],tbl_Finance[Job Number],C165&amp;""))</f>
        <v/>
      </c>
      <c r="M165" s="27">
        <f>IF(C165="","",SUMIFS(tbl_Finance[Ex GST],tbl_Finance[Job Number],C165&amp;"",tbl_Finance[Xero Invoice No],"&lt;&gt;"))</f>
        <v/>
      </c>
      <c r="N165" s="27">
        <f>IF(C165="","",L165-M165)</f>
        <v/>
      </c>
      <c r="O165" s="24" t="n"/>
      <c r="P165" s="27">
        <f>IF(C165="","",IF(O165="",0,MAX(0,O165-L165)))</f>
        <v/>
      </c>
      <c r="Q165" s="26">
        <f>IF(C165="","",IF(K165=0,"not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R165" s="22" t="n"/>
      <c r="S165" s="26">
        <f>IF(R165="","",HYPERLINK(IF(LEFT(R165,4)="http",R165,set_QwilrBase&amp;R165),"Open quote"))</f>
        <v/>
      </c>
      <c r="T165" s="24" t="n"/>
      <c r="U165" s="24" t="n"/>
      <c r="V165" s="24" t="n"/>
      <c r="W165" s="26">
        <f>IF(C165="","",IF(N(T165)+N(U165)+N(V165)=0,"Not split",IF(ROUND(N(T165)+N(U165)+N(V165),2)=ROUND(L165+P165,2),"OK",IF(K165=0,"Not invoiced yet","MISMATCH"))))</f>
        <v/>
      </c>
      <c r="X165" s="24" t="n"/>
      <c r="Y165" s="24" t="n"/>
      <c r="Z165" s="24" t="n"/>
      <c r="AA165" s="27">
        <f>IF(C165="","",N(X165)+N(Y165)+N(Z165))</f>
        <v/>
      </c>
      <c r="AB165" s="27">
        <f>IF(C165="","",L165+P165-AA165)</f>
        <v/>
      </c>
      <c r="AC165" s="29">
        <f>IFERROR(AB165/(L165+P165),"")</f>
        <v/>
      </c>
      <c r="AD165" s="22" t="n"/>
    </row>
    <row r="166" ht="15" customHeight="1">
      <c r="A166" s="70">
        <f>IF(C166="","",IFERROR(IF(SUMPRODUCT(MAX((tbl_Finance[Job Number]&amp;""=C166&amp;"")*(tbl_Finance[Xero Invoice No]&lt;&gt;"")*tbl_Finance[Date]))=0,"",SUMPRODUCT(MAX((tbl_Finance[Job Number]&amp;""=C166&amp;"")*(tbl_Finance[Xero Invoice No]&lt;&gt;"")*tbl_Finance[Date]))),""))</f>
        <v/>
      </c>
      <c r="B166" s="26">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2" t="n"/>
      <c r="D166" s="26">
        <f>IF(C166="","",IF(COUNTIF(lst_Jobs,C166&amp;"")&gt;0,"OK","CHECK"))</f>
        <v/>
      </c>
      <c r="E166" s="26">
        <f>IF(C166="","",IFERROR(INDEX(lst_JobName,MATCH(C166&amp;"",lst_Jobs,0)),""))</f>
        <v/>
      </c>
      <c r="F166" s="22" t="n"/>
      <c r="G166" s="22" t="n"/>
      <c r="H166" s="22" t="n"/>
      <c r="I166" s="22" t="n"/>
      <c r="J166" s="22" t="n"/>
      <c r="K166" s="28">
        <f>IF(C166="","",COUNTIFS(tbl_Finance[Job Number],C166&amp;"",tbl_Finance[Ex GST],"&lt;&gt;"))</f>
        <v/>
      </c>
      <c r="L166" s="27">
        <f>IF(C166="","",SUMIFS(tbl_Finance[Ex GST],tbl_Finance[Job Number],C166&amp;""))</f>
        <v/>
      </c>
      <c r="M166" s="27">
        <f>IF(C166="","",SUMIFS(tbl_Finance[Ex GST],tbl_Finance[Job Number],C166&amp;"",tbl_Finance[Xero Invoice No],"&lt;&gt;"))</f>
        <v/>
      </c>
      <c r="N166" s="27">
        <f>IF(C166="","",L166-M166)</f>
        <v/>
      </c>
      <c r="O166" s="24" t="n"/>
      <c r="P166" s="27">
        <f>IF(C166="","",IF(O166="",0,MAX(0,O166-L166)))</f>
        <v/>
      </c>
      <c r="Q166" s="26">
        <f>IF(C166="","",IF(K166=0,"not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R166" s="22" t="n"/>
      <c r="S166" s="26">
        <f>IF(R166="","",HYPERLINK(IF(LEFT(R166,4)="http",R166,set_QwilrBase&amp;R166),"Open quote"))</f>
        <v/>
      </c>
      <c r="T166" s="24" t="n"/>
      <c r="U166" s="24" t="n"/>
      <c r="V166" s="24" t="n"/>
      <c r="W166" s="26">
        <f>IF(C166="","",IF(N(T166)+N(U166)+N(V166)=0,"Not split",IF(ROUND(N(T166)+N(U166)+N(V166),2)=ROUND(L166+P166,2),"OK",IF(K166=0,"Not invoiced yet","MISMATCH"))))</f>
        <v/>
      </c>
      <c r="X166" s="24" t="n"/>
      <c r="Y166" s="24" t="n"/>
      <c r="Z166" s="24" t="n"/>
      <c r="AA166" s="27">
        <f>IF(C166="","",N(X166)+N(Y166)+N(Z166))</f>
        <v/>
      </c>
      <c r="AB166" s="27">
        <f>IF(C166="","",L166+P166-AA166)</f>
        <v/>
      </c>
      <c r="AC166" s="29">
        <f>IFERROR(AB166/(L166+P166),"")</f>
        <v/>
      </c>
      <c r="AD166" s="22" t="n"/>
    </row>
    <row r="167" ht="15" customHeight="1">
      <c r="A167" s="70">
        <f>IF(C167="","",IFERROR(IF(SUMPRODUCT(MAX((tbl_Finance[Job Number]&amp;""=C167&amp;"")*(tbl_Finance[Xero Invoice No]&lt;&gt;"")*tbl_Finance[Date]))=0,"",SUMPRODUCT(MAX((tbl_Finance[Job Number]&amp;""=C167&amp;"")*(tbl_Finance[Xero Invoice No]&lt;&gt;"")*tbl_Finance[Date]))),""))</f>
        <v/>
      </c>
      <c r="B167" s="26">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2" t="n"/>
      <c r="D167" s="26">
        <f>IF(C167="","",IF(COUNTIF(lst_Jobs,C167&amp;"")&gt;0,"OK","CHECK"))</f>
        <v/>
      </c>
      <c r="E167" s="26">
        <f>IF(C167="","",IFERROR(INDEX(lst_JobName,MATCH(C167&amp;"",lst_Jobs,0)),""))</f>
        <v/>
      </c>
      <c r="F167" s="22" t="n"/>
      <c r="G167" s="22" t="n"/>
      <c r="H167" s="22" t="n"/>
      <c r="I167" s="22" t="n"/>
      <c r="J167" s="22" t="n"/>
      <c r="K167" s="28">
        <f>IF(C167="","",COUNTIFS(tbl_Finance[Job Number],C167&amp;"",tbl_Finance[Ex GST],"&lt;&gt;"))</f>
        <v/>
      </c>
      <c r="L167" s="27">
        <f>IF(C167="","",SUMIFS(tbl_Finance[Ex GST],tbl_Finance[Job Number],C167&amp;""))</f>
        <v/>
      </c>
      <c r="M167" s="27">
        <f>IF(C167="","",SUMIFS(tbl_Finance[Ex GST],tbl_Finance[Job Number],C167&amp;"",tbl_Finance[Xero Invoice No],"&lt;&gt;"))</f>
        <v/>
      </c>
      <c r="N167" s="27">
        <f>IF(C167="","",L167-M167)</f>
        <v/>
      </c>
      <c r="O167" s="24" t="n"/>
      <c r="P167" s="27">
        <f>IF(C167="","",IF(O167="",0,MAX(0,O167-L167)))</f>
        <v/>
      </c>
      <c r="Q167" s="26">
        <f>IF(C167="","",IF(K167=0,"not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R167" s="22" t="n"/>
      <c r="S167" s="26">
        <f>IF(R167="","",HYPERLINK(IF(LEFT(R167,4)="http",R167,set_QwilrBase&amp;R167),"Open quote"))</f>
        <v/>
      </c>
      <c r="T167" s="24" t="n"/>
      <c r="U167" s="24" t="n"/>
      <c r="V167" s="24" t="n"/>
      <c r="W167" s="26">
        <f>IF(C167="","",IF(N(T167)+N(U167)+N(V167)=0,"Not split",IF(ROUND(N(T167)+N(U167)+N(V167),2)=ROUND(L167+P167,2),"OK",IF(K167=0,"Not invoiced yet","MISMATCH"))))</f>
        <v/>
      </c>
      <c r="X167" s="24" t="n"/>
      <c r="Y167" s="24" t="n"/>
      <c r="Z167" s="24" t="n"/>
      <c r="AA167" s="27">
        <f>IF(C167="","",N(X167)+N(Y167)+N(Z167))</f>
        <v/>
      </c>
      <c r="AB167" s="27">
        <f>IF(C167="","",L167+P167-AA167)</f>
        <v/>
      </c>
      <c r="AC167" s="29">
        <f>IFERROR(AB167/(L167+P167),"")</f>
        <v/>
      </c>
      <c r="AD167" s="22" t="n"/>
    </row>
    <row r="168" ht="15" customHeight="1">
      <c r="A168" s="70">
        <f>IF(C168="","",IFERROR(IF(SUMPRODUCT(MAX((tbl_Finance[Job Number]&amp;""=C168&amp;"")*(tbl_Finance[Xero Invoice No]&lt;&gt;"")*tbl_Finance[Date]))=0,"",SUMPRODUCT(MAX((tbl_Finance[Job Number]&amp;""=C168&amp;"")*(tbl_Finance[Xero Invoice No]&lt;&gt;"")*tbl_Finance[Date]))),""))</f>
        <v/>
      </c>
      <c r="B168" s="26">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2" t="n"/>
      <c r="D168" s="26">
        <f>IF(C168="","",IF(COUNTIF(lst_Jobs,C168&amp;"")&gt;0,"OK","CHECK"))</f>
        <v/>
      </c>
      <c r="E168" s="26">
        <f>IF(C168="","",IFERROR(INDEX(lst_JobName,MATCH(C168&amp;"",lst_Jobs,0)),""))</f>
        <v/>
      </c>
      <c r="F168" s="22" t="n"/>
      <c r="G168" s="22" t="n"/>
      <c r="H168" s="22" t="n"/>
      <c r="I168" s="22" t="n"/>
      <c r="J168" s="22" t="n"/>
      <c r="K168" s="28">
        <f>IF(C168="","",COUNTIFS(tbl_Finance[Job Number],C168&amp;"",tbl_Finance[Ex GST],"&lt;&gt;"))</f>
        <v/>
      </c>
      <c r="L168" s="27">
        <f>IF(C168="","",SUMIFS(tbl_Finance[Ex GST],tbl_Finance[Job Number],C168&amp;""))</f>
        <v/>
      </c>
      <c r="M168" s="27">
        <f>IF(C168="","",SUMIFS(tbl_Finance[Ex GST],tbl_Finance[Job Number],C168&amp;"",tbl_Finance[Xero Invoice No],"&lt;&gt;"))</f>
        <v/>
      </c>
      <c r="N168" s="27">
        <f>IF(C168="","",L168-M168)</f>
        <v/>
      </c>
      <c r="O168" s="24" t="n"/>
      <c r="P168" s="27">
        <f>IF(C168="","",IF(O168="",0,MAX(0,O168-L168)))</f>
        <v/>
      </c>
      <c r="Q168" s="26">
        <f>IF(C168="","",IF(K168=0,"not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R168" s="22" t="n"/>
      <c r="S168" s="26">
        <f>IF(R168="","",HYPERLINK(IF(LEFT(R168,4)="http",R168,set_QwilrBase&amp;R168),"Open quote"))</f>
        <v/>
      </c>
      <c r="T168" s="24" t="n"/>
      <c r="U168" s="24" t="n"/>
      <c r="V168" s="24" t="n"/>
      <c r="W168" s="26">
        <f>IF(C168="","",IF(N(T168)+N(U168)+N(V168)=0,"Not split",IF(ROUND(N(T168)+N(U168)+N(V168),2)=ROUND(L168+P168,2),"OK",IF(K168=0,"Not invoiced yet","MISMATCH"))))</f>
        <v/>
      </c>
      <c r="X168" s="24" t="n"/>
      <c r="Y168" s="24" t="n"/>
      <c r="Z168" s="24" t="n"/>
      <c r="AA168" s="27">
        <f>IF(C168="","",N(X168)+N(Y168)+N(Z168))</f>
        <v/>
      </c>
      <c r="AB168" s="27">
        <f>IF(C168="","",L168+P168-AA168)</f>
        <v/>
      </c>
      <c r="AC168" s="29">
        <f>IFERROR(AB168/(L168+P168),"")</f>
        <v/>
      </c>
      <c r="AD168" s="22" t="n"/>
    </row>
    <row r="169" ht="15" customHeight="1">
      <c r="A169" s="70">
        <f>IF(C169="","",IFERROR(IF(SUMPRODUCT(MAX((tbl_Finance[Job Number]&amp;""=C169&amp;"")*(tbl_Finance[Xero Invoice No]&lt;&gt;"")*tbl_Finance[Date]))=0,"",SUMPRODUCT(MAX((tbl_Finance[Job Number]&amp;""=C169&amp;"")*(tbl_Finance[Xero Invoice No]&lt;&gt;"")*tbl_Finance[Date]))),""))</f>
        <v/>
      </c>
      <c r="B169" s="26">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2" t="n"/>
      <c r="D169" s="26">
        <f>IF(C169="","",IF(COUNTIF(lst_Jobs,C169&amp;"")&gt;0,"OK","CHECK"))</f>
        <v/>
      </c>
      <c r="E169" s="26">
        <f>IF(C169="","",IFERROR(INDEX(lst_JobName,MATCH(C169&amp;"",lst_Jobs,0)),""))</f>
        <v/>
      </c>
      <c r="F169" s="22" t="n"/>
      <c r="G169" s="22" t="n"/>
      <c r="H169" s="22" t="n"/>
      <c r="I169" s="22" t="n"/>
      <c r="J169" s="22" t="n"/>
      <c r="K169" s="28">
        <f>IF(C169="","",COUNTIFS(tbl_Finance[Job Number],C169&amp;"",tbl_Finance[Ex GST],"&lt;&gt;"))</f>
        <v/>
      </c>
      <c r="L169" s="27">
        <f>IF(C169="","",SUMIFS(tbl_Finance[Ex GST],tbl_Finance[Job Number],C169&amp;""))</f>
        <v/>
      </c>
      <c r="M169" s="27">
        <f>IF(C169="","",SUMIFS(tbl_Finance[Ex GST],tbl_Finance[Job Number],C169&amp;"",tbl_Finance[Xero Invoice No],"&lt;&gt;"))</f>
        <v/>
      </c>
      <c r="N169" s="27">
        <f>IF(C169="","",L169-M169)</f>
        <v/>
      </c>
      <c r="O169" s="24" t="n"/>
      <c r="P169" s="27">
        <f>IF(C169="","",IF(O169="",0,MAX(0,O169-L169)))</f>
        <v/>
      </c>
      <c r="Q169" s="26">
        <f>IF(C169="","",IF(K169=0,"not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R169" s="22" t="n"/>
      <c r="S169" s="26">
        <f>IF(R169="","",HYPERLINK(IF(LEFT(R169,4)="http",R169,set_QwilrBase&amp;R169),"Open quote"))</f>
        <v/>
      </c>
      <c r="T169" s="24" t="n"/>
      <c r="U169" s="24" t="n"/>
      <c r="V169" s="24" t="n"/>
      <c r="W169" s="26">
        <f>IF(C169="","",IF(N(T169)+N(U169)+N(V169)=0,"Not split",IF(ROUND(N(T169)+N(U169)+N(V169),2)=ROUND(L169+P169,2),"OK",IF(K169=0,"Not invoiced yet","MISMATCH"))))</f>
        <v/>
      </c>
      <c r="X169" s="24" t="n"/>
      <c r="Y169" s="24" t="n"/>
      <c r="Z169" s="24" t="n"/>
      <c r="AA169" s="27">
        <f>IF(C169="","",N(X169)+N(Y169)+N(Z169))</f>
        <v/>
      </c>
      <c r="AB169" s="27">
        <f>IF(C169="","",L169+P169-AA169)</f>
        <v/>
      </c>
      <c r="AC169" s="29">
        <f>IFERROR(AB169/(L169+P169),"")</f>
        <v/>
      </c>
      <c r="AD169" s="22" t="n"/>
    </row>
    <row r="170" ht="15" customHeight="1">
      <c r="A170" s="70">
        <f>IF(C170="","",IFERROR(IF(SUMPRODUCT(MAX((tbl_Finance[Job Number]&amp;""=C170&amp;"")*(tbl_Finance[Xero Invoice No]&lt;&gt;"")*tbl_Finance[Date]))=0,"",SUMPRODUCT(MAX((tbl_Finance[Job Number]&amp;""=C170&amp;"")*(tbl_Finance[Xero Invoice No]&lt;&gt;"")*tbl_Finance[Date]))),""))</f>
        <v/>
      </c>
      <c r="B170" s="26">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2" t="n"/>
      <c r="D170" s="26">
        <f>IF(C170="","",IF(COUNTIF(lst_Jobs,C170&amp;"")&gt;0,"OK","CHECK"))</f>
        <v/>
      </c>
      <c r="E170" s="26">
        <f>IF(C170="","",IFERROR(INDEX(lst_JobName,MATCH(C170&amp;"",lst_Jobs,0)),""))</f>
        <v/>
      </c>
      <c r="F170" s="22" t="n"/>
      <c r="G170" s="22" t="n"/>
      <c r="H170" s="22" t="n"/>
      <c r="I170" s="22" t="n"/>
      <c r="J170" s="22" t="n"/>
      <c r="K170" s="28">
        <f>IF(C170="","",COUNTIFS(tbl_Finance[Job Number],C170&amp;"",tbl_Finance[Ex GST],"&lt;&gt;"))</f>
        <v/>
      </c>
      <c r="L170" s="27">
        <f>IF(C170="","",SUMIFS(tbl_Finance[Ex GST],tbl_Finance[Job Number],C170&amp;""))</f>
        <v/>
      </c>
      <c r="M170" s="27">
        <f>IF(C170="","",SUMIFS(tbl_Finance[Ex GST],tbl_Finance[Job Number],C170&amp;"",tbl_Finance[Xero Invoice No],"&lt;&gt;"))</f>
        <v/>
      </c>
      <c r="N170" s="27">
        <f>IF(C170="","",L170-M170)</f>
        <v/>
      </c>
      <c r="O170" s="24" t="n"/>
      <c r="P170" s="27">
        <f>IF(C170="","",IF(O170="",0,MAX(0,O170-L170)))</f>
        <v/>
      </c>
      <c r="Q170" s="26">
        <f>IF(C170="","",IF(K170=0,"not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R170" s="22" t="n"/>
      <c r="S170" s="26">
        <f>IF(R170="","",HYPERLINK(IF(LEFT(R170,4)="http",R170,set_QwilrBase&amp;R170),"Open quote"))</f>
        <v/>
      </c>
      <c r="T170" s="24" t="n"/>
      <c r="U170" s="24" t="n"/>
      <c r="V170" s="24" t="n"/>
      <c r="W170" s="26">
        <f>IF(C170="","",IF(N(T170)+N(U170)+N(V170)=0,"Not split",IF(ROUND(N(T170)+N(U170)+N(V170),2)=ROUND(L170+P170,2),"OK",IF(K170=0,"Not invoiced yet","MISMATCH"))))</f>
        <v/>
      </c>
      <c r="X170" s="24" t="n"/>
      <c r="Y170" s="24" t="n"/>
      <c r="Z170" s="24" t="n"/>
      <c r="AA170" s="27">
        <f>IF(C170="","",N(X170)+N(Y170)+N(Z170))</f>
        <v/>
      </c>
      <c r="AB170" s="27">
        <f>IF(C170="","",L170+P170-AA170)</f>
        <v/>
      </c>
      <c r="AC170" s="29">
        <f>IFERROR(AB170/(L170+P170),"")</f>
        <v/>
      </c>
      <c r="AD170" s="22" t="n"/>
    </row>
    <row r="171" ht="15" customHeight="1">
      <c r="A171" s="70">
        <f>IF(C171="","",IFERROR(IF(SUMPRODUCT(MAX((tbl_Finance[Job Number]&amp;""=C171&amp;"")*(tbl_Finance[Xero Invoice No]&lt;&gt;"")*tbl_Finance[Date]))=0,"",SUMPRODUCT(MAX((tbl_Finance[Job Number]&amp;""=C171&amp;"")*(tbl_Finance[Xero Invoice No]&lt;&gt;"")*tbl_Finance[Date]))),""))</f>
        <v/>
      </c>
      <c r="B171" s="26">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2" t="n"/>
      <c r="D171" s="26">
        <f>IF(C171="","",IF(COUNTIF(lst_Jobs,C171&amp;"")&gt;0,"OK","CHECK"))</f>
        <v/>
      </c>
      <c r="E171" s="26">
        <f>IF(C171="","",IFERROR(INDEX(lst_JobName,MATCH(C171&amp;"",lst_Jobs,0)),""))</f>
        <v/>
      </c>
      <c r="F171" s="22" t="n"/>
      <c r="G171" s="22" t="n"/>
      <c r="H171" s="22" t="n"/>
      <c r="I171" s="22" t="n"/>
      <c r="J171" s="22" t="n"/>
      <c r="K171" s="28">
        <f>IF(C171="","",COUNTIFS(tbl_Finance[Job Number],C171&amp;"",tbl_Finance[Ex GST],"&lt;&gt;"))</f>
        <v/>
      </c>
      <c r="L171" s="27">
        <f>IF(C171="","",SUMIFS(tbl_Finance[Ex GST],tbl_Finance[Job Number],C171&amp;""))</f>
        <v/>
      </c>
      <c r="M171" s="27">
        <f>IF(C171="","",SUMIFS(tbl_Finance[Ex GST],tbl_Finance[Job Number],C171&amp;"",tbl_Finance[Xero Invoice No],"&lt;&gt;"))</f>
        <v/>
      </c>
      <c r="N171" s="27">
        <f>IF(C171="","",L171-M171)</f>
        <v/>
      </c>
      <c r="O171" s="24" t="n"/>
      <c r="P171" s="27">
        <f>IF(C171="","",IF(O171="",0,MAX(0,O171-L171)))</f>
        <v/>
      </c>
      <c r="Q171" s="26">
        <f>IF(C171="","",IF(K171=0,"not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R171" s="22" t="n"/>
      <c r="S171" s="26">
        <f>IF(R171="","",HYPERLINK(IF(LEFT(R171,4)="http",R171,set_QwilrBase&amp;R171),"Open quote"))</f>
        <v/>
      </c>
      <c r="T171" s="24" t="n"/>
      <c r="U171" s="24" t="n"/>
      <c r="V171" s="24" t="n"/>
      <c r="W171" s="26">
        <f>IF(C171="","",IF(N(T171)+N(U171)+N(V171)=0,"Not split",IF(ROUND(N(T171)+N(U171)+N(V171),2)=ROUND(L171+P171,2),"OK",IF(K171=0,"Not invoiced yet","MISMATCH"))))</f>
        <v/>
      </c>
      <c r="X171" s="24" t="n"/>
      <c r="Y171" s="24" t="n"/>
      <c r="Z171" s="24" t="n"/>
      <c r="AA171" s="27">
        <f>IF(C171="","",N(X171)+N(Y171)+N(Z171))</f>
        <v/>
      </c>
      <c r="AB171" s="27">
        <f>IF(C171="","",L171+P171-AA171)</f>
        <v/>
      </c>
      <c r="AC171" s="29">
        <f>IFERROR(AB171/(L171+P171),"")</f>
        <v/>
      </c>
      <c r="AD171" s="22" t="n"/>
    </row>
    <row r="172" ht="15" customHeight="1">
      <c r="A172" s="70">
        <f>IF(C172="","",IFERROR(IF(SUMPRODUCT(MAX((tbl_Finance[Job Number]&amp;""=C172&amp;"")*(tbl_Finance[Xero Invoice No]&lt;&gt;"")*tbl_Finance[Date]))=0,"",SUMPRODUCT(MAX((tbl_Finance[Job Number]&amp;""=C172&amp;"")*(tbl_Finance[Xero Invoice No]&lt;&gt;"")*tbl_Finance[Date]))),""))</f>
        <v/>
      </c>
      <c r="B172" s="26">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2" t="n"/>
      <c r="D172" s="26">
        <f>IF(C172="","",IF(COUNTIF(lst_Jobs,C172&amp;"")&gt;0,"OK","CHECK"))</f>
        <v/>
      </c>
      <c r="E172" s="26">
        <f>IF(C172="","",IFERROR(INDEX(lst_JobName,MATCH(C172&amp;"",lst_Jobs,0)),""))</f>
        <v/>
      </c>
      <c r="F172" s="22" t="n"/>
      <c r="G172" s="22" t="n"/>
      <c r="H172" s="22" t="n"/>
      <c r="I172" s="22" t="n"/>
      <c r="J172" s="22" t="n"/>
      <c r="K172" s="28">
        <f>IF(C172="","",COUNTIFS(tbl_Finance[Job Number],C172&amp;"",tbl_Finance[Ex GST],"&lt;&gt;"))</f>
        <v/>
      </c>
      <c r="L172" s="27">
        <f>IF(C172="","",SUMIFS(tbl_Finance[Ex GST],tbl_Finance[Job Number],C172&amp;""))</f>
        <v/>
      </c>
      <c r="M172" s="27">
        <f>IF(C172="","",SUMIFS(tbl_Finance[Ex GST],tbl_Finance[Job Number],C172&amp;"",tbl_Finance[Xero Invoice No],"&lt;&gt;"))</f>
        <v/>
      </c>
      <c r="N172" s="27">
        <f>IF(C172="","",L172-M172)</f>
        <v/>
      </c>
      <c r="O172" s="24" t="n"/>
      <c r="P172" s="27">
        <f>IF(C172="","",IF(O172="",0,MAX(0,O172-L172)))</f>
        <v/>
      </c>
      <c r="Q172" s="26">
        <f>IF(C172="","",IF(K172=0,"not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R172" s="22" t="n"/>
      <c r="S172" s="26">
        <f>IF(R172="","",HYPERLINK(IF(LEFT(R172,4)="http",R172,set_QwilrBase&amp;R172),"Open quote"))</f>
        <v/>
      </c>
      <c r="T172" s="24" t="n"/>
      <c r="U172" s="24" t="n"/>
      <c r="V172" s="24" t="n"/>
      <c r="W172" s="26">
        <f>IF(C172="","",IF(N(T172)+N(U172)+N(V172)=0,"Not split",IF(ROUND(N(T172)+N(U172)+N(V172),2)=ROUND(L172+P172,2),"OK",IF(K172=0,"Not invoiced yet","MISMATCH"))))</f>
        <v/>
      </c>
      <c r="X172" s="24" t="n"/>
      <c r="Y172" s="24" t="n"/>
      <c r="Z172" s="24" t="n"/>
      <c r="AA172" s="27">
        <f>IF(C172="","",N(X172)+N(Y172)+N(Z172))</f>
        <v/>
      </c>
      <c r="AB172" s="27">
        <f>IF(C172="","",L172+P172-AA172)</f>
        <v/>
      </c>
      <c r="AC172" s="29">
        <f>IFERROR(AB172/(L172+P172),"")</f>
        <v/>
      </c>
      <c r="AD172" s="22" t="n"/>
    </row>
    <row r="173" ht="15" customHeight="1">
      <c r="A173" s="70">
        <f>IF(C173="","",IFERROR(IF(SUMPRODUCT(MAX((tbl_Finance[Job Number]&amp;""=C173&amp;"")*(tbl_Finance[Xero Invoice No]&lt;&gt;"")*tbl_Finance[Date]))=0,"",SUMPRODUCT(MAX((tbl_Finance[Job Number]&amp;""=C173&amp;"")*(tbl_Finance[Xero Invoice No]&lt;&gt;"")*tbl_Finance[Date]))),""))</f>
        <v/>
      </c>
      <c r="B173" s="26">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2" t="n"/>
      <c r="D173" s="26">
        <f>IF(C173="","",IF(COUNTIF(lst_Jobs,C173&amp;"")&gt;0,"OK","CHECK"))</f>
        <v/>
      </c>
      <c r="E173" s="26">
        <f>IF(C173="","",IFERROR(INDEX(lst_JobName,MATCH(C173&amp;"",lst_Jobs,0)),""))</f>
        <v/>
      </c>
      <c r="F173" s="22" t="n"/>
      <c r="G173" s="22" t="n"/>
      <c r="H173" s="22" t="n"/>
      <c r="I173" s="22" t="n"/>
      <c r="J173" s="22" t="n"/>
      <c r="K173" s="28">
        <f>IF(C173="","",COUNTIFS(tbl_Finance[Job Number],C173&amp;"",tbl_Finance[Ex GST],"&lt;&gt;"))</f>
        <v/>
      </c>
      <c r="L173" s="27">
        <f>IF(C173="","",SUMIFS(tbl_Finance[Ex GST],tbl_Finance[Job Number],C173&amp;""))</f>
        <v/>
      </c>
      <c r="M173" s="27">
        <f>IF(C173="","",SUMIFS(tbl_Finance[Ex GST],tbl_Finance[Job Number],C173&amp;"",tbl_Finance[Xero Invoice No],"&lt;&gt;"))</f>
        <v/>
      </c>
      <c r="N173" s="27">
        <f>IF(C173="","",L173-M173)</f>
        <v/>
      </c>
      <c r="O173" s="24" t="n"/>
      <c r="P173" s="27">
        <f>IF(C173="","",IF(O173="",0,MAX(0,O173-L173)))</f>
        <v/>
      </c>
      <c r="Q173" s="26">
        <f>IF(C173="","",IF(K173=0,"not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R173" s="22" t="n"/>
      <c r="S173" s="26">
        <f>IF(R173="","",HYPERLINK(IF(LEFT(R173,4)="http",R173,set_QwilrBase&amp;R173),"Open quote"))</f>
        <v/>
      </c>
      <c r="T173" s="24" t="n"/>
      <c r="U173" s="24" t="n"/>
      <c r="V173" s="24" t="n"/>
      <c r="W173" s="26">
        <f>IF(C173="","",IF(N(T173)+N(U173)+N(V173)=0,"Not split",IF(ROUND(N(T173)+N(U173)+N(V173),2)=ROUND(L173+P173,2),"OK",IF(K173=0,"Not invoiced yet","MISMATCH"))))</f>
        <v/>
      </c>
      <c r="X173" s="24" t="n"/>
      <c r="Y173" s="24" t="n"/>
      <c r="Z173" s="24" t="n"/>
      <c r="AA173" s="27">
        <f>IF(C173="","",N(X173)+N(Y173)+N(Z173))</f>
        <v/>
      </c>
      <c r="AB173" s="27">
        <f>IF(C173="","",L173+P173-AA173)</f>
        <v/>
      </c>
      <c r="AC173" s="29">
        <f>IFERROR(AB173/(L173+P173),"")</f>
        <v/>
      </c>
      <c r="AD173" s="22" t="n"/>
    </row>
    <row r="174" ht="15" customHeight="1">
      <c r="A174" s="70">
        <f>IF(C174="","",IFERROR(IF(SUMPRODUCT(MAX((tbl_Finance[Job Number]&amp;""=C174&amp;"")*(tbl_Finance[Xero Invoice No]&lt;&gt;"")*tbl_Finance[Date]))=0,"",SUMPRODUCT(MAX((tbl_Finance[Job Number]&amp;""=C174&amp;"")*(tbl_Finance[Xero Invoice No]&lt;&gt;"")*tbl_Finance[Date]))),""))</f>
        <v/>
      </c>
      <c r="B174" s="26">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2" t="n"/>
      <c r="D174" s="26">
        <f>IF(C174="","",IF(COUNTIF(lst_Jobs,C174&amp;"")&gt;0,"OK","CHECK"))</f>
        <v/>
      </c>
      <c r="E174" s="26">
        <f>IF(C174="","",IFERROR(INDEX(lst_JobName,MATCH(C174&amp;"",lst_Jobs,0)),""))</f>
        <v/>
      </c>
      <c r="F174" s="22" t="n"/>
      <c r="G174" s="22" t="n"/>
      <c r="H174" s="22" t="n"/>
      <c r="I174" s="22" t="n"/>
      <c r="J174" s="22" t="n"/>
      <c r="K174" s="28">
        <f>IF(C174="","",COUNTIFS(tbl_Finance[Job Number],C174&amp;"",tbl_Finance[Ex GST],"&lt;&gt;"))</f>
        <v/>
      </c>
      <c r="L174" s="27">
        <f>IF(C174="","",SUMIFS(tbl_Finance[Ex GST],tbl_Finance[Job Number],C174&amp;""))</f>
        <v/>
      </c>
      <c r="M174" s="27">
        <f>IF(C174="","",SUMIFS(tbl_Finance[Ex GST],tbl_Finance[Job Number],C174&amp;"",tbl_Finance[Xero Invoice No],"&lt;&gt;"))</f>
        <v/>
      </c>
      <c r="N174" s="27">
        <f>IF(C174="","",L174-M174)</f>
        <v/>
      </c>
      <c r="O174" s="24" t="n"/>
      <c r="P174" s="27">
        <f>IF(C174="","",IF(O174="",0,MAX(0,O174-L174)))</f>
        <v/>
      </c>
      <c r="Q174" s="26">
        <f>IF(C174="","",IF(K174=0,"not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R174" s="22" t="n"/>
      <c r="S174" s="26">
        <f>IF(R174="","",HYPERLINK(IF(LEFT(R174,4)="http",R174,set_QwilrBase&amp;R174),"Open quote"))</f>
        <v/>
      </c>
      <c r="T174" s="24" t="n"/>
      <c r="U174" s="24" t="n"/>
      <c r="V174" s="24" t="n"/>
      <c r="W174" s="26">
        <f>IF(C174="","",IF(N(T174)+N(U174)+N(V174)=0,"Not split",IF(ROUND(N(T174)+N(U174)+N(V174),2)=ROUND(L174+P174,2),"OK",IF(K174=0,"Not invoiced yet","MISMATCH"))))</f>
        <v/>
      </c>
      <c r="X174" s="24" t="n"/>
      <c r="Y174" s="24" t="n"/>
      <c r="Z174" s="24" t="n"/>
      <c r="AA174" s="27">
        <f>IF(C174="","",N(X174)+N(Y174)+N(Z174))</f>
        <v/>
      </c>
      <c r="AB174" s="27">
        <f>IF(C174="","",L174+P174-AA174)</f>
        <v/>
      </c>
      <c r="AC174" s="29">
        <f>IFERROR(AB174/(L174+P174),"")</f>
        <v/>
      </c>
      <c r="AD174" s="22" t="n"/>
    </row>
    <row r="175" ht="15" customHeight="1">
      <c r="A175" s="70">
        <f>IF(C175="","",IFERROR(IF(SUMPRODUCT(MAX((tbl_Finance[Job Number]&amp;""=C175&amp;"")*(tbl_Finance[Xero Invoice No]&lt;&gt;"")*tbl_Finance[Date]))=0,"",SUMPRODUCT(MAX((tbl_Finance[Job Number]&amp;""=C175&amp;"")*(tbl_Finance[Xero Invoice No]&lt;&gt;"")*tbl_Finance[Date]))),""))</f>
        <v/>
      </c>
      <c r="B175" s="26">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2" t="n"/>
      <c r="D175" s="26">
        <f>IF(C175="","",IF(COUNTIF(lst_Jobs,C175&amp;"")&gt;0,"OK","CHECK"))</f>
        <v/>
      </c>
      <c r="E175" s="26">
        <f>IF(C175="","",IFERROR(INDEX(lst_JobName,MATCH(C175&amp;"",lst_Jobs,0)),""))</f>
        <v/>
      </c>
      <c r="F175" s="22" t="n"/>
      <c r="G175" s="22" t="n"/>
      <c r="H175" s="22" t="n"/>
      <c r="I175" s="22" t="n"/>
      <c r="J175" s="22" t="n"/>
      <c r="K175" s="28">
        <f>IF(C175="","",COUNTIFS(tbl_Finance[Job Number],C175&amp;"",tbl_Finance[Ex GST],"&lt;&gt;"))</f>
        <v/>
      </c>
      <c r="L175" s="27">
        <f>IF(C175="","",SUMIFS(tbl_Finance[Ex GST],tbl_Finance[Job Number],C175&amp;""))</f>
        <v/>
      </c>
      <c r="M175" s="27">
        <f>IF(C175="","",SUMIFS(tbl_Finance[Ex GST],tbl_Finance[Job Number],C175&amp;"",tbl_Finance[Xero Invoice No],"&lt;&gt;"))</f>
        <v/>
      </c>
      <c r="N175" s="27">
        <f>IF(C175="","",L175-M175)</f>
        <v/>
      </c>
      <c r="O175" s="24" t="n"/>
      <c r="P175" s="27">
        <f>IF(C175="","",IF(O175="",0,MAX(0,O175-L175)))</f>
        <v/>
      </c>
      <c r="Q175" s="26">
        <f>IF(C175="","",IF(K175=0,"not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R175" s="22" t="n"/>
      <c r="S175" s="26">
        <f>IF(R175="","",HYPERLINK(IF(LEFT(R175,4)="http",R175,set_QwilrBase&amp;R175),"Open quote"))</f>
        <v/>
      </c>
      <c r="T175" s="24" t="n"/>
      <c r="U175" s="24" t="n"/>
      <c r="V175" s="24" t="n"/>
      <c r="W175" s="26">
        <f>IF(C175="","",IF(N(T175)+N(U175)+N(V175)=0,"Not split",IF(ROUND(N(T175)+N(U175)+N(V175),2)=ROUND(L175+P175,2),"OK",IF(K175=0,"Not invoiced yet","MISMATCH"))))</f>
        <v/>
      </c>
      <c r="X175" s="24" t="n"/>
      <c r="Y175" s="24" t="n"/>
      <c r="Z175" s="24" t="n"/>
      <c r="AA175" s="27">
        <f>IF(C175="","",N(X175)+N(Y175)+N(Z175))</f>
        <v/>
      </c>
      <c r="AB175" s="27">
        <f>IF(C175="","",L175+P175-AA175)</f>
        <v/>
      </c>
      <c r="AC175" s="29">
        <f>IFERROR(AB175/(L175+P175),"")</f>
        <v/>
      </c>
      <c r="AD175" s="22" t="n"/>
    </row>
    <row r="176" ht="15" customHeight="1">
      <c r="A176" s="70">
        <f>IF(C176="","",IFERROR(IF(SUMPRODUCT(MAX((tbl_Finance[Job Number]&amp;""=C176&amp;"")*(tbl_Finance[Xero Invoice No]&lt;&gt;"")*tbl_Finance[Date]))=0,"",SUMPRODUCT(MAX((tbl_Finance[Job Number]&amp;""=C176&amp;"")*(tbl_Finance[Xero Invoice No]&lt;&gt;"")*tbl_Finance[Date]))),""))</f>
        <v/>
      </c>
      <c r="B176" s="26">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2" t="n"/>
      <c r="D176" s="26">
        <f>IF(C176="","",IF(COUNTIF(lst_Jobs,C176&amp;"")&gt;0,"OK","CHECK"))</f>
        <v/>
      </c>
      <c r="E176" s="26">
        <f>IF(C176="","",IFERROR(INDEX(lst_JobName,MATCH(C176&amp;"",lst_Jobs,0)),""))</f>
        <v/>
      </c>
      <c r="F176" s="22" t="n"/>
      <c r="G176" s="22" t="n"/>
      <c r="H176" s="22" t="n"/>
      <c r="I176" s="22" t="n"/>
      <c r="J176" s="22" t="n"/>
      <c r="K176" s="28">
        <f>IF(C176="","",COUNTIFS(tbl_Finance[Job Number],C176&amp;"",tbl_Finance[Ex GST],"&lt;&gt;"))</f>
        <v/>
      </c>
      <c r="L176" s="27">
        <f>IF(C176="","",SUMIFS(tbl_Finance[Ex GST],tbl_Finance[Job Number],C176&amp;""))</f>
        <v/>
      </c>
      <c r="M176" s="27">
        <f>IF(C176="","",SUMIFS(tbl_Finance[Ex GST],tbl_Finance[Job Number],C176&amp;"",tbl_Finance[Xero Invoice No],"&lt;&gt;"))</f>
        <v/>
      </c>
      <c r="N176" s="27">
        <f>IF(C176="","",L176-M176)</f>
        <v/>
      </c>
      <c r="O176" s="24" t="n"/>
      <c r="P176" s="27">
        <f>IF(C176="","",IF(O176="",0,MAX(0,O176-L176)))</f>
        <v/>
      </c>
      <c r="Q176" s="26">
        <f>IF(C176="","",IF(K176=0,"not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R176" s="22" t="n"/>
      <c r="S176" s="26">
        <f>IF(R176="","",HYPERLINK(IF(LEFT(R176,4)="http",R176,set_QwilrBase&amp;R176),"Open quote"))</f>
        <v/>
      </c>
      <c r="T176" s="24" t="n"/>
      <c r="U176" s="24" t="n"/>
      <c r="V176" s="24" t="n"/>
      <c r="W176" s="26">
        <f>IF(C176="","",IF(N(T176)+N(U176)+N(V176)=0,"Not split",IF(ROUND(N(T176)+N(U176)+N(V176),2)=ROUND(L176+P176,2),"OK",IF(K176=0,"Not invoiced yet","MISMATCH"))))</f>
        <v/>
      </c>
      <c r="X176" s="24" t="n"/>
      <c r="Y176" s="24" t="n"/>
      <c r="Z176" s="24" t="n"/>
      <c r="AA176" s="27">
        <f>IF(C176="","",N(X176)+N(Y176)+N(Z176))</f>
        <v/>
      </c>
      <c r="AB176" s="27">
        <f>IF(C176="","",L176+P176-AA176)</f>
        <v/>
      </c>
      <c r="AC176" s="29">
        <f>IFERROR(AB176/(L176+P176),"")</f>
        <v/>
      </c>
      <c r="AD176" s="22" t="n"/>
    </row>
    <row r="177" ht="15" customHeight="1">
      <c r="A177" s="70">
        <f>IF(C177="","",IFERROR(IF(SUMPRODUCT(MAX((tbl_Finance[Job Number]&amp;""=C177&amp;"")*(tbl_Finance[Xero Invoice No]&lt;&gt;"")*tbl_Finance[Date]))=0,"",SUMPRODUCT(MAX((tbl_Finance[Job Number]&amp;""=C177&amp;"")*(tbl_Finance[Xero Invoice No]&lt;&gt;"")*tbl_Finance[Date]))),""))</f>
        <v/>
      </c>
      <c r="B177" s="26">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2" t="n"/>
      <c r="D177" s="26">
        <f>IF(C177="","",IF(COUNTIF(lst_Jobs,C177&amp;"")&gt;0,"OK","CHECK"))</f>
        <v/>
      </c>
      <c r="E177" s="26">
        <f>IF(C177="","",IFERROR(INDEX(lst_JobName,MATCH(C177&amp;"",lst_Jobs,0)),""))</f>
        <v/>
      </c>
      <c r="F177" s="22" t="n"/>
      <c r="G177" s="22" t="n"/>
      <c r="H177" s="22" t="n"/>
      <c r="I177" s="22" t="n"/>
      <c r="J177" s="22" t="n"/>
      <c r="K177" s="28">
        <f>IF(C177="","",COUNTIFS(tbl_Finance[Job Number],C177&amp;"",tbl_Finance[Ex GST],"&lt;&gt;"))</f>
        <v/>
      </c>
      <c r="L177" s="27">
        <f>IF(C177="","",SUMIFS(tbl_Finance[Ex GST],tbl_Finance[Job Number],C177&amp;""))</f>
        <v/>
      </c>
      <c r="M177" s="27">
        <f>IF(C177="","",SUMIFS(tbl_Finance[Ex GST],tbl_Finance[Job Number],C177&amp;"",tbl_Finance[Xero Invoice No],"&lt;&gt;"))</f>
        <v/>
      </c>
      <c r="N177" s="27">
        <f>IF(C177="","",L177-M177)</f>
        <v/>
      </c>
      <c r="O177" s="24" t="n"/>
      <c r="P177" s="27">
        <f>IF(C177="","",IF(O177="",0,MAX(0,O177-L177)))</f>
        <v/>
      </c>
      <c r="Q177" s="26">
        <f>IF(C177="","",IF(K177=0,"not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R177" s="22" t="n"/>
      <c r="S177" s="26">
        <f>IF(R177="","",HYPERLINK(IF(LEFT(R177,4)="http",R177,set_QwilrBase&amp;R177),"Open quote"))</f>
        <v/>
      </c>
      <c r="T177" s="24" t="n"/>
      <c r="U177" s="24" t="n"/>
      <c r="V177" s="24" t="n"/>
      <c r="W177" s="26">
        <f>IF(C177="","",IF(N(T177)+N(U177)+N(V177)=0,"Not split",IF(ROUND(N(T177)+N(U177)+N(V177),2)=ROUND(L177+P177,2),"OK",IF(K177=0,"Not invoiced yet","MISMATCH"))))</f>
        <v/>
      </c>
      <c r="X177" s="24" t="n"/>
      <c r="Y177" s="24" t="n"/>
      <c r="Z177" s="24" t="n"/>
      <c r="AA177" s="27">
        <f>IF(C177="","",N(X177)+N(Y177)+N(Z177))</f>
        <v/>
      </c>
      <c r="AB177" s="27">
        <f>IF(C177="","",L177+P177-AA177)</f>
        <v/>
      </c>
      <c r="AC177" s="29">
        <f>IFERROR(AB177/(L177+P177),"")</f>
        <v/>
      </c>
      <c r="AD177" s="22" t="n"/>
    </row>
    <row r="178" ht="15" customHeight="1">
      <c r="A178" s="70">
        <f>IF(C178="","",IFERROR(IF(SUMPRODUCT(MAX((tbl_Finance[Job Number]&amp;""=C178&amp;"")*(tbl_Finance[Xero Invoice No]&lt;&gt;"")*tbl_Finance[Date]))=0,"",SUMPRODUCT(MAX((tbl_Finance[Job Number]&amp;""=C178&amp;"")*(tbl_Finance[Xero Invoice No]&lt;&gt;"")*tbl_Finance[Date]))),""))</f>
        <v/>
      </c>
      <c r="B178" s="26">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2" t="n"/>
      <c r="D178" s="26">
        <f>IF(C178="","",IF(COUNTIF(lst_Jobs,C178&amp;"")&gt;0,"OK","CHECK"))</f>
        <v/>
      </c>
      <c r="E178" s="26">
        <f>IF(C178="","",IFERROR(INDEX(lst_JobName,MATCH(C178&amp;"",lst_Jobs,0)),""))</f>
        <v/>
      </c>
      <c r="F178" s="22" t="n"/>
      <c r="G178" s="22" t="n"/>
      <c r="H178" s="22" t="n"/>
      <c r="I178" s="22" t="n"/>
      <c r="J178" s="22" t="n"/>
      <c r="K178" s="28">
        <f>IF(C178="","",COUNTIFS(tbl_Finance[Job Number],C178&amp;"",tbl_Finance[Ex GST],"&lt;&gt;"))</f>
        <v/>
      </c>
      <c r="L178" s="27">
        <f>IF(C178="","",SUMIFS(tbl_Finance[Ex GST],tbl_Finance[Job Number],C178&amp;""))</f>
        <v/>
      </c>
      <c r="M178" s="27">
        <f>IF(C178="","",SUMIFS(tbl_Finance[Ex GST],tbl_Finance[Job Number],C178&amp;"",tbl_Finance[Xero Invoice No],"&lt;&gt;"))</f>
        <v/>
      </c>
      <c r="N178" s="27">
        <f>IF(C178="","",L178-M178)</f>
        <v/>
      </c>
      <c r="O178" s="24" t="n"/>
      <c r="P178" s="27">
        <f>IF(C178="","",IF(O178="",0,MAX(0,O178-L178)))</f>
        <v/>
      </c>
      <c r="Q178" s="26">
        <f>IF(C178="","",IF(K178=0,"not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R178" s="22" t="n"/>
      <c r="S178" s="26">
        <f>IF(R178="","",HYPERLINK(IF(LEFT(R178,4)="http",R178,set_QwilrBase&amp;R178),"Open quote"))</f>
        <v/>
      </c>
      <c r="T178" s="24" t="n"/>
      <c r="U178" s="24" t="n"/>
      <c r="V178" s="24" t="n"/>
      <c r="W178" s="26">
        <f>IF(C178="","",IF(N(T178)+N(U178)+N(V178)=0,"Not split",IF(ROUND(N(T178)+N(U178)+N(V178),2)=ROUND(L178+P178,2),"OK",IF(K178=0,"Not invoiced yet","MISMATCH"))))</f>
        <v/>
      </c>
      <c r="X178" s="24" t="n"/>
      <c r="Y178" s="24" t="n"/>
      <c r="Z178" s="24" t="n"/>
      <c r="AA178" s="27">
        <f>IF(C178="","",N(X178)+N(Y178)+N(Z178))</f>
        <v/>
      </c>
      <c r="AB178" s="27">
        <f>IF(C178="","",L178+P178-AA178)</f>
        <v/>
      </c>
      <c r="AC178" s="29">
        <f>IFERROR(AB178/(L178+P178),"")</f>
        <v/>
      </c>
      <c r="AD178" s="22" t="n"/>
    </row>
    <row r="179" ht="15" customHeight="1">
      <c r="A179" s="70">
        <f>IF(C179="","",IFERROR(IF(SUMPRODUCT(MAX((tbl_Finance[Job Number]&amp;""=C179&amp;"")*(tbl_Finance[Xero Invoice No]&lt;&gt;"")*tbl_Finance[Date]))=0,"",SUMPRODUCT(MAX((tbl_Finance[Job Number]&amp;""=C179&amp;"")*(tbl_Finance[Xero Invoice No]&lt;&gt;"")*tbl_Finance[Date]))),""))</f>
        <v/>
      </c>
      <c r="B179" s="26">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2" t="n"/>
      <c r="D179" s="26">
        <f>IF(C179="","",IF(COUNTIF(lst_Jobs,C179&amp;"")&gt;0,"OK","CHECK"))</f>
        <v/>
      </c>
      <c r="E179" s="26">
        <f>IF(C179="","",IFERROR(INDEX(lst_JobName,MATCH(C179&amp;"",lst_Jobs,0)),""))</f>
        <v/>
      </c>
      <c r="F179" s="22" t="n"/>
      <c r="G179" s="22" t="n"/>
      <c r="H179" s="22" t="n"/>
      <c r="I179" s="22" t="n"/>
      <c r="J179" s="22" t="n"/>
      <c r="K179" s="28">
        <f>IF(C179="","",COUNTIFS(tbl_Finance[Job Number],C179&amp;"",tbl_Finance[Ex GST],"&lt;&gt;"))</f>
        <v/>
      </c>
      <c r="L179" s="27">
        <f>IF(C179="","",SUMIFS(tbl_Finance[Ex GST],tbl_Finance[Job Number],C179&amp;""))</f>
        <v/>
      </c>
      <c r="M179" s="27">
        <f>IF(C179="","",SUMIFS(tbl_Finance[Ex GST],tbl_Finance[Job Number],C179&amp;"",tbl_Finance[Xero Invoice No],"&lt;&gt;"))</f>
        <v/>
      </c>
      <c r="N179" s="27">
        <f>IF(C179="","",L179-M179)</f>
        <v/>
      </c>
      <c r="O179" s="24" t="n"/>
      <c r="P179" s="27">
        <f>IF(C179="","",IF(O179="",0,MAX(0,O179-L179)))</f>
        <v/>
      </c>
      <c r="Q179" s="26">
        <f>IF(C179="","",IF(K179=0,"not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R179" s="22" t="n"/>
      <c r="S179" s="26">
        <f>IF(R179="","",HYPERLINK(IF(LEFT(R179,4)="http",R179,set_QwilrBase&amp;R179),"Open quote"))</f>
        <v/>
      </c>
      <c r="T179" s="24" t="n"/>
      <c r="U179" s="24" t="n"/>
      <c r="V179" s="24" t="n"/>
      <c r="W179" s="26">
        <f>IF(C179="","",IF(N(T179)+N(U179)+N(V179)=0,"Not split",IF(ROUND(N(T179)+N(U179)+N(V179),2)=ROUND(L179+P179,2),"OK",IF(K179=0,"Not invoiced yet","MISMATCH"))))</f>
        <v/>
      </c>
      <c r="X179" s="24" t="n"/>
      <c r="Y179" s="24" t="n"/>
      <c r="Z179" s="24" t="n"/>
      <c r="AA179" s="27">
        <f>IF(C179="","",N(X179)+N(Y179)+N(Z179))</f>
        <v/>
      </c>
      <c r="AB179" s="27">
        <f>IF(C179="","",L179+P179-AA179)</f>
        <v/>
      </c>
      <c r="AC179" s="29">
        <f>IFERROR(AB179/(L179+P179),"")</f>
        <v/>
      </c>
      <c r="AD179" s="22" t="n"/>
    </row>
    <row r="180" ht="15" customHeight="1">
      <c r="A180" s="70">
        <f>IF(C180="","",IFERROR(IF(SUMPRODUCT(MAX((tbl_Finance[Job Number]&amp;""=C180&amp;"")*(tbl_Finance[Xero Invoice No]&lt;&gt;"")*tbl_Finance[Date]))=0,"",SUMPRODUCT(MAX((tbl_Finance[Job Number]&amp;""=C180&amp;"")*(tbl_Finance[Xero Invoice No]&lt;&gt;"")*tbl_Finance[Date]))),""))</f>
        <v/>
      </c>
      <c r="B180" s="26">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2" t="n"/>
      <c r="D180" s="26">
        <f>IF(C180="","",IF(COUNTIF(lst_Jobs,C180&amp;"")&gt;0,"OK","CHECK"))</f>
        <v/>
      </c>
      <c r="E180" s="26">
        <f>IF(C180="","",IFERROR(INDEX(lst_JobName,MATCH(C180&amp;"",lst_Jobs,0)),""))</f>
        <v/>
      </c>
      <c r="F180" s="22" t="n"/>
      <c r="G180" s="22" t="n"/>
      <c r="H180" s="22" t="n"/>
      <c r="I180" s="22" t="n"/>
      <c r="J180" s="22" t="n"/>
      <c r="K180" s="28">
        <f>IF(C180="","",COUNTIFS(tbl_Finance[Job Number],C180&amp;"",tbl_Finance[Ex GST],"&lt;&gt;"))</f>
        <v/>
      </c>
      <c r="L180" s="27">
        <f>IF(C180="","",SUMIFS(tbl_Finance[Ex GST],tbl_Finance[Job Number],C180&amp;""))</f>
        <v/>
      </c>
      <c r="M180" s="27">
        <f>IF(C180="","",SUMIFS(tbl_Finance[Ex GST],tbl_Finance[Job Number],C180&amp;"",tbl_Finance[Xero Invoice No],"&lt;&gt;"))</f>
        <v/>
      </c>
      <c r="N180" s="27">
        <f>IF(C180="","",L180-M180)</f>
        <v/>
      </c>
      <c r="O180" s="24" t="n"/>
      <c r="P180" s="27">
        <f>IF(C180="","",IF(O180="",0,MAX(0,O180-L180)))</f>
        <v/>
      </c>
      <c r="Q180" s="26">
        <f>IF(C180="","",IF(K180=0,"not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R180" s="22" t="n"/>
      <c r="S180" s="26">
        <f>IF(R180="","",HYPERLINK(IF(LEFT(R180,4)="http",R180,set_QwilrBase&amp;R180),"Open quote"))</f>
        <v/>
      </c>
      <c r="T180" s="24" t="n"/>
      <c r="U180" s="24" t="n"/>
      <c r="V180" s="24" t="n"/>
      <c r="W180" s="26">
        <f>IF(C180="","",IF(N(T180)+N(U180)+N(V180)=0,"Not split",IF(ROUND(N(T180)+N(U180)+N(V180),2)=ROUND(L180+P180,2),"OK",IF(K180=0,"Not invoiced yet","MISMATCH"))))</f>
        <v/>
      </c>
      <c r="X180" s="24" t="n"/>
      <c r="Y180" s="24" t="n"/>
      <c r="Z180" s="24" t="n"/>
      <c r="AA180" s="27">
        <f>IF(C180="","",N(X180)+N(Y180)+N(Z180))</f>
        <v/>
      </c>
      <c r="AB180" s="27">
        <f>IF(C180="","",L180+P180-AA180)</f>
        <v/>
      </c>
      <c r="AC180" s="29">
        <f>IFERROR(AB180/(L180+P180),"")</f>
        <v/>
      </c>
      <c r="AD180" s="22" t="n"/>
    </row>
    <row r="181" ht="15" customHeight="1">
      <c r="A181" s="70">
        <f>IF(C181="","",IFERROR(IF(SUMPRODUCT(MAX((tbl_Finance[Job Number]&amp;""=C181&amp;"")*(tbl_Finance[Xero Invoice No]&lt;&gt;"")*tbl_Finance[Date]))=0,"",SUMPRODUCT(MAX((tbl_Finance[Job Number]&amp;""=C181&amp;"")*(tbl_Finance[Xero Invoice No]&lt;&gt;"")*tbl_Finance[Date]))),""))</f>
        <v/>
      </c>
      <c r="B181" s="26">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2" t="n"/>
      <c r="D181" s="26">
        <f>IF(C181="","",IF(COUNTIF(lst_Jobs,C181&amp;"")&gt;0,"OK","CHECK"))</f>
        <v/>
      </c>
      <c r="E181" s="26">
        <f>IF(C181="","",IFERROR(INDEX(lst_JobName,MATCH(C181&amp;"",lst_Jobs,0)),""))</f>
        <v/>
      </c>
      <c r="F181" s="22" t="n"/>
      <c r="G181" s="22" t="n"/>
      <c r="H181" s="22" t="n"/>
      <c r="I181" s="22" t="n"/>
      <c r="J181" s="22" t="n"/>
      <c r="K181" s="28">
        <f>IF(C181="","",COUNTIFS(tbl_Finance[Job Number],C181&amp;"",tbl_Finance[Ex GST],"&lt;&gt;"))</f>
        <v/>
      </c>
      <c r="L181" s="27">
        <f>IF(C181="","",SUMIFS(tbl_Finance[Ex GST],tbl_Finance[Job Number],C181&amp;""))</f>
        <v/>
      </c>
      <c r="M181" s="27">
        <f>IF(C181="","",SUMIFS(tbl_Finance[Ex GST],tbl_Finance[Job Number],C181&amp;"",tbl_Finance[Xero Invoice No],"&lt;&gt;"))</f>
        <v/>
      </c>
      <c r="N181" s="27">
        <f>IF(C181="","",L181-M181)</f>
        <v/>
      </c>
      <c r="O181" s="24" t="n"/>
      <c r="P181" s="27">
        <f>IF(C181="","",IF(O181="",0,MAX(0,O181-L181)))</f>
        <v/>
      </c>
      <c r="Q181" s="26">
        <f>IF(C181="","",IF(K181=0,"not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R181" s="22" t="n"/>
      <c r="S181" s="26">
        <f>IF(R181="","",HYPERLINK(IF(LEFT(R181,4)="http",R181,set_QwilrBase&amp;R181),"Open quote"))</f>
        <v/>
      </c>
      <c r="T181" s="24" t="n"/>
      <c r="U181" s="24" t="n"/>
      <c r="V181" s="24" t="n"/>
      <c r="W181" s="26">
        <f>IF(C181="","",IF(N(T181)+N(U181)+N(V181)=0,"Not split",IF(ROUND(N(T181)+N(U181)+N(V181),2)=ROUND(L181+P181,2),"OK",IF(K181=0,"Not invoiced yet","MISMATCH"))))</f>
        <v/>
      </c>
      <c r="X181" s="24" t="n"/>
      <c r="Y181" s="24" t="n"/>
      <c r="Z181" s="24" t="n"/>
      <c r="AA181" s="27">
        <f>IF(C181="","",N(X181)+N(Y181)+N(Z181))</f>
        <v/>
      </c>
      <c r="AB181" s="27">
        <f>IF(C181="","",L181+P181-AA181)</f>
        <v/>
      </c>
      <c r="AC181" s="29">
        <f>IFERROR(AB181/(L181+P181),"")</f>
        <v/>
      </c>
      <c r="AD181" s="22" t="n"/>
    </row>
    <row r="182" ht="15" customHeight="1">
      <c r="A182" s="70">
        <f>IF(C182="","",IFERROR(IF(SUMPRODUCT(MAX((tbl_Finance[Job Number]&amp;""=C182&amp;"")*(tbl_Finance[Xero Invoice No]&lt;&gt;"")*tbl_Finance[Date]))=0,"",SUMPRODUCT(MAX((tbl_Finance[Job Number]&amp;""=C182&amp;"")*(tbl_Finance[Xero Invoice No]&lt;&gt;"")*tbl_Finance[Date]))),""))</f>
        <v/>
      </c>
      <c r="B182" s="26">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2" t="n"/>
      <c r="D182" s="26">
        <f>IF(C182="","",IF(COUNTIF(lst_Jobs,C182&amp;"")&gt;0,"OK","CHECK"))</f>
        <v/>
      </c>
      <c r="E182" s="26">
        <f>IF(C182="","",IFERROR(INDEX(lst_JobName,MATCH(C182&amp;"",lst_Jobs,0)),""))</f>
        <v/>
      </c>
      <c r="F182" s="22" t="n"/>
      <c r="G182" s="22" t="n"/>
      <c r="H182" s="22" t="n"/>
      <c r="I182" s="22" t="n"/>
      <c r="J182" s="22" t="n"/>
      <c r="K182" s="28">
        <f>IF(C182="","",COUNTIFS(tbl_Finance[Job Number],C182&amp;"",tbl_Finance[Ex GST],"&lt;&gt;"))</f>
        <v/>
      </c>
      <c r="L182" s="27">
        <f>IF(C182="","",SUMIFS(tbl_Finance[Ex GST],tbl_Finance[Job Number],C182&amp;""))</f>
        <v/>
      </c>
      <c r="M182" s="27">
        <f>IF(C182="","",SUMIFS(tbl_Finance[Ex GST],tbl_Finance[Job Number],C182&amp;"",tbl_Finance[Xero Invoice No],"&lt;&gt;"))</f>
        <v/>
      </c>
      <c r="N182" s="27">
        <f>IF(C182="","",L182-M182)</f>
        <v/>
      </c>
      <c r="O182" s="24" t="n"/>
      <c r="P182" s="27">
        <f>IF(C182="","",IF(O182="",0,MAX(0,O182-L182)))</f>
        <v/>
      </c>
      <c r="Q182" s="26">
        <f>IF(C182="","",IF(K182=0,"not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R182" s="22" t="n"/>
      <c r="S182" s="26">
        <f>IF(R182="","",HYPERLINK(IF(LEFT(R182,4)="http",R182,set_QwilrBase&amp;R182),"Open quote"))</f>
        <v/>
      </c>
      <c r="T182" s="24" t="n"/>
      <c r="U182" s="24" t="n"/>
      <c r="V182" s="24" t="n"/>
      <c r="W182" s="26">
        <f>IF(C182="","",IF(N(T182)+N(U182)+N(V182)=0,"Not split",IF(ROUND(N(T182)+N(U182)+N(V182),2)=ROUND(L182+P182,2),"OK",IF(K182=0,"Not invoiced yet","MISMATCH"))))</f>
        <v/>
      </c>
      <c r="X182" s="24" t="n"/>
      <c r="Y182" s="24" t="n"/>
      <c r="Z182" s="24" t="n"/>
      <c r="AA182" s="27">
        <f>IF(C182="","",N(X182)+N(Y182)+N(Z182))</f>
        <v/>
      </c>
      <c r="AB182" s="27">
        <f>IF(C182="","",L182+P182-AA182)</f>
        <v/>
      </c>
      <c r="AC182" s="29">
        <f>IFERROR(AB182/(L182+P182),"")</f>
        <v/>
      </c>
      <c r="AD182" s="22" t="n"/>
    </row>
    <row r="183" ht="15" customHeight="1">
      <c r="A183" s="70">
        <f>IF(C183="","",IFERROR(IF(SUMPRODUCT(MAX((tbl_Finance[Job Number]&amp;""=C183&amp;"")*(tbl_Finance[Xero Invoice No]&lt;&gt;"")*tbl_Finance[Date]))=0,"",SUMPRODUCT(MAX((tbl_Finance[Job Number]&amp;""=C183&amp;"")*(tbl_Finance[Xero Invoice No]&lt;&gt;"")*tbl_Finance[Date]))),""))</f>
        <v/>
      </c>
      <c r="B183" s="26">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2" t="n"/>
      <c r="D183" s="26">
        <f>IF(C183="","",IF(COUNTIF(lst_Jobs,C183&amp;"")&gt;0,"OK","CHECK"))</f>
        <v/>
      </c>
      <c r="E183" s="26">
        <f>IF(C183="","",IFERROR(INDEX(lst_JobName,MATCH(C183&amp;"",lst_Jobs,0)),""))</f>
        <v/>
      </c>
      <c r="F183" s="22" t="n"/>
      <c r="G183" s="22" t="n"/>
      <c r="H183" s="22" t="n"/>
      <c r="I183" s="22" t="n"/>
      <c r="J183" s="22" t="n"/>
      <c r="K183" s="28">
        <f>IF(C183="","",COUNTIFS(tbl_Finance[Job Number],C183&amp;"",tbl_Finance[Ex GST],"&lt;&gt;"))</f>
        <v/>
      </c>
      <c r="L183" s="27">
        <f>IF(C183="","",SUMIFS(tbl_Finance[Ex GST],tbl_Finance[Job Number],C183&amp;""))</f>
        <v/>
      </c>
      <c r="M183" s="27">
        <f>IF(C183="","",SUMIFS(tbl_Finance[Ex GST],tbl_Finance[Job Number],C183&amp;"",tbl_Finance[Xero Invoice No],"&lt;&gt;"))</f>
        <v/>
      </c>
      <c r="N183" s="27">
        <f>IF(C183="","",L183-M183)</f>
        <v/>
      </c>
      <c r="O183" s="24" t="n"/>
      <c r="P183" s="27">
        <f>IF(C183="","",IF(O183="",0,MAX(0,O183-L183)))</f>
        <v/>
      </c>
      <c r="Q183" s="26">
        <f>IF(C183="","",IF(K183=0,"not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R183" s="22" t="n"/>
      <c r="S183" s="26">
        <f>IF(R183="","",HYPERLINK(IF(LEFT(R183,4)="http",R183,set_QwilrBase&amp;R183),"Open quote"))</f>
        <v/>
      </c>
      <c r="T183" s="24" t="n"/>
      <c r="U183" s="24" t="n"/>
      <c r="V183" s="24" t="n"/>
      <c r="W183" s="26">
        <f>IF(C183="","",IF(N(T183)+N(U183)+N(V183)=0,"Not split",IF(ROUND(N(T183)+N(U183)+N(V183),2)=ROUND(L183+P183,2),"OK",IF(K183=0,"Not invoiced yet","MISMATCH"))))</f>
        <v/>
      </c>
      <c r="X183" s="24" t="n"/>
      <c r="Y183" s="24" t="n"/>
      <c r="Z183" s="24" t="n"/>
      <c r="AA183" s="27">
        <f>IF(C183="","",N(X183)+N(Y183)+N(Z183))</f>
        <v/>
      </c>
      <c r="AB183" s="27">
        <f>IF(C183="","",L183+P183-AA183)</f>
        <v/>
      </c>
      <c r="AC183" s="29">
        <f>IFERROR(AB183/(L183+P183),"")</f>
        <v/>
      </c>
      <c r="AD183" s="22" t="n"/>
    </row>
    <row r="184" ht="15" customHeight="1">
      <c r="A184" s="70">
        <f>IF(C184="","",IFERROR(IF(SUMPRODUCT(MAX((tbl_Finance[Job Number]&amp;""=C184&amp;"")*(tbl_Finance[Xero Invoice No]&lt;&gt;"")*tbl_Finance[Date]))=0,"",SUMPRODUCT(MAX((tbl_Finance[Job Number]&amp;""=C184&amp;"")*(tbl_Finance[Xero Invoice No]&lt;&gt;"")*tbl_Finance[Date]))),""))</f>
        <v/>
      </c>
      <c r="B184" s="26">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2" t="n"/>
      <c r="D184" s="26">
        <f>IF(C184="","",IF(COUNTIF(lst_Jobs,C184&amp;"")&gt;0,"OK","CHECK"))</f>
        <v/>
      </c>
      <c r="E184" s="26">
        <f>IF(C184="","",IFERROR(INDEX(lst_JobName,MATCH(C184&amp;"",lst_Jobs,0)),""))</f>
        <v/>
      </c>
      <c r="F184" s="22" t="n"/>
      <c r="G184" s="22" t="n"/>
      <c r="H184" s="22" t="n"/>
      <c r="I184" s="22" t="n"/>
      <c r="J184" s="22" t="n"/>
      <c r="K184" s="28">
        <f>IF(C184="","",COUNTIFS(tbl_Finance[Job Number],C184&amp;"",tbl_Finance[Ex GST],"&lt;&gt;"))</f>
        <v/>
      </c>
      <c r="L184" s="27">
        <f>IF(C184="","",SUMIFS(tbl_Finance[Ex GST],tbl_Finance[Job Number],C184&amp;""))</f>
        <v/>
      </c>
      <c r="M184" s="27">
        <f>IF(C184="","",SUMIFS(tbl_Finance[Ex GST],tbl_Finance[Job Number],C184&amp;"",tbl_Finance[Xero Invoice No],"&lt;&gt;"))</f>
        <v/>
      </c>
      <c r="N184" s="27">
        <f>IF(C184="","",L184-M184)</f>
        <v/>
      </c>
      <c r="O184" s="24" t="n"/>
      <c r="P184" s="27">
        <f>IF(C184="","",IF(O184="",0,MAX(0,O184-L184)))</f>
        <v/>
      </c>
      <c r="Q184" s="26">
        <f>IF(C184="","",IF(K184=0,"not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R184" s="22" t="n"/>
      <c r="S184" s="26">
        <f>IF(R184="","",HYPERLINK(IF(LEFT(R184,4)="http",R184,set_QwilrBase&amp;R184),"Open quote"))</f>
        <v/>
      </c>
      <c r="T184" s="24" t="n"/>
      <c r="U184" s="24" t="n"/>
      <c r="V184" s="24" t="n"/>
      <c r="W184" s="26">
        <f>IF(C184="","",IF(N(T184)+N(U184)+N(V184)=0,"Not split",IF(ROUND(N(T184)+N(U184)+N(V184),2)=ROUND(L184+P184,2),"OK",IF(K184=0,"Not invoiced yet","MISMATCH"))))</f>
        <v/>
      </c>
      <c r="X184" s="24" t="n"/>
      <c r="Y184" s="24" t="n"/>
      <c r="Z184" s="24" t="n"/>
      <c r="AA184" s="27">
        <f>IF(C184="","",N(X184)+N(Y184)+N(Z184))</f>
        <v/>
      </c>
      <c r="AB184" s="27">
        <f>IF(C184="","",L184+P184-AA184)</f>
        <v/>
      </c>
      <c r="AC184" s="29">
        <f>IFERROR(AB184/(L184+P184),"")</f>
        <v/>
      </c>
      <c r="AD184" s="22" t="n"/>
    </row>
    <row r="185" ht="15" customHeight="1">
      <c r="A185" s="70">
        <f>IF(C185="","",IFERROR(IF(SUMPRODUCT(MAX((tbl_Finance[Job Number]&amp;""=C185&amp;"")*(tbl_Finance[Xero Invoice No]&lt;&gt;"")*tbl_Finance[Date]))=0,"",SUMPRODUCT(MAX((tbl_Finance[Job Number]&amp;""=C185&amp;"")*(tbl_Finance[Xero Invoice No]&lt;&gt;"")*tbl_Finance[Date]))),""))</f>
        <v/>
      </c>
      <c r="B185" s="26">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2" t="n"/>
      <c r="D185" s="26">
        <f>IF(C185="","",IF(COUNTIF(lst_Jobs,C185&amp;"")&gt;0,"OK","CHECK"))</f>
        <v/>
      </c>
      <c r="E185" s="26">
        <f>IF(C185="","",IFERROR(INDEX(lst_JobName,MATCH(C185&amp;"",lst_Jobs,0)),""))</f>
        <v/>
      </c>
      <c r="F185" s="22" t="n"/>
      <c r="G185" s="22" t="n"/>
      <c r="H185" s="22" t="n"/>
      <c r="I185" s="22" t="n"/>
      <c r="J185" s="22" t="n"/>
      <c r="K185" s="28">
        <f>IF(C185="","",COUNTIFS(tbl_Finance[Job Number],C185&amp;"",tbl_Finance[Ex GST],"&lt;&gt;"))</f>
        <v/>
      </c>
      <c r="L185" s="27">
        <f>IF(C185="","",SUMIFS(tbl_Finance[Ex GST],tbl_Finance[Job Number],C185&amp;""))</f>
        <v/>
      </c>
      <c r="M185" s="27">
        <f>IF(C185="","",SUMIFS(tbl_Finance[Ex GST],tbl_Finance[Job Number],C185&amp;"",tbl_Finance[Xero Invoice No],"&lt;&gt;"))</f>
        <v/>
      </c>
      <c r="N185" s="27">
        <f>IF(C185="","",L185-M185)</f>
        <v/>
      </c>
      <c r="O185" s="24" t="n"/>
      <c r="P185" s="27">
        <f>IF(C185="","",IF(O185="",0,MAX(0,O185-L185)))</f>
        <v/>
      </c>
      <c r="Q185" s="26">
        <f>IF(C185="","",IF(K185=0,"not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R185" s="22" t="n"/>
      <c r="S185" s="26">
        <f>IF(R185="","",HYPERLINK(IF(LEFT(R185,4)="http",R185,set_QwilrBase&amp;R185),"Open quote"))</f>
        <v/>
      </c>
      <c r="T185" s="24" t="n"/>
      <c r="U185" s="24" t="n"/>
      <c r="V185" s="24" t="n"/>
      <c r="W185" s="26">
        <f>IF(C185="","",IF(N(T185)+N(U185)+N(V185)=0,"Not split",IF(ROUND(N(T185)+N(U185)+N(V185),2)=ROUND(L185+P185,2),"OK",IF(K185=0,"Not invoiced yet","MISMATCH"))))</f>
        <v/>
      </c>
      <c r="X185" s="24" t="n"/>
      <c r="Y185" s="24" t="n"/>
      <c r="Z185" s="24" t="n"/>
      <c r="AA185" s="27">
        <f>IF(C185="","",N(X185)+N(Y185)+N(Z185))</f>
        <v/>
      </c>
      <c r="AB185" s="27">
        <f>IF(C185="","",L185+P185-AA185)</f>
        <v/>
      </c>
      <c r="AC185" s="29">
        <f>IFERROR(AB185/(L185+P185),"")</f>
        <v/>
      </c>
      <c r="AD185" s="22" t="n"/>
    </row>
    <row r="186" ht="15" customHeight="1">
      <c r="A186" s="70">
        <f>IF(C186="","",IFERROR(IF(SUMPRODUCT(MAX((tbl_Finance[Job Number]&amp;""=C186&amp;"")*(tbl_Finance[Xero Invoice No]&lt;&gt;"")*tbl_Finance[Date]))=0,"",SUMPRODUCT(MAX((tbl_Finance[Job Number]&amp;""=C186&amp;"")*(tbl_Finance[Xero Invoice No]&lt;&gt;"")*tbl_Finance[Date]))),""))</f>
        <v/>
      </c>
      <c r="B186" s="26">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2" t="n"/>
      <c r="D186" s="26">
        <f>IF(C186="","",IF(COUNTIF(lst_Jobs,C186&amp;"")&gt;0,"OK","CHECK"))</f>
        <v/>
      </c>
      <c r="E186" s="26">
        <f>IF(C186="","",IFERROR(INDEX(lst_JobName,MATCH(C186&amp;"",lst_Jobs,0)),""))</f>
        <v/>
      </c>
      <c r="F186" s="22" t="n"/>
      <c r="G186" s="22" t="n"/>
      <c r="H186" s="22" t="n"/>
      <c r="I186" s="22" t="n"/>
      <c r="J186" s="22" t="n"/>
      <c r="K186" s="28">
        <f>IF(C186="","",COUNTIFS(tbl_Finance[Job Number],C186&amp;"",tbl_Finance[Ex GST],"&lt;&gt;"))</f>
        <v/>
      </c>
      <c r="L186" s="27">
        <f>IF(C186="","",SUMIFS(tbl_Finance[Ex GST],tbl_Finance[Job Number],C186&amp;""))</f>
        <v/>
      </c>
      <c r="M186" s="27">
        <f>IF(C186="","",SUMIFS(tbl_Finance[Ex GST],tbl_Finance[Job Number],C186&amp;"",tbl_Finance[Xero Invoice No],"&lt;&gt;"))</f>
        <v/>
      </c>
      <c r="N186" s="27">
        <f>IF(C186="","",L186-M186)</f>
        <v/>
      </c>
      <c r="O186" s="24" t="n"/>
      <c r="P186" s="27">
        <f>IF(C186="","",IF(O186="",0,MAX(0,O186-L186)))</f>
        <v/>
      </c>
      <c r="Q186" s="26">
        <f>IF(C186="","",IF(K186=0,"not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R186" s="22" t="n"/>
      <c r="S186" s="26">
        <f>IF(R186="","",HYPERLINK(IF(LEFT(R186,4)="http",R186,set_QwilrBase&amp;R186),"Open quote"))</f>
        <v/>
      </c>
      <c r="T186" s="24" t="n"/>
      <c r="U186" s="24" t="n"/>
      <c r="V186" s="24" t="n"/>
      <c r="W186" s="26">
        <f>IF(C186="","",IF(N(T186)+N(U186)+N(V186)=0,"Not split",IF(ROUND(N(T186)+N(U186)+N(V186),2)=ROUND(L186+P186,2),"OK",IF(K186=0,"Not invoiced yet","MISMATCH"))))</f>
        <v/>
      </c>
      <c r="X186" s="24" t="n"/>
      <c r="Y186" s="24" t="n"/>
      <c r="Z186" s="24" t="n"/>
      <c r="AA186" s="27">
        <f>IF(C186="","",N(X186)+N(Y186)+N(Z186))</f>
        <v/>
      </c>
      <c r="AB186" s="27">
        <f>IF(C186="","",L186+P186-AA186)</f>
        <v/>
      </c>
      <c r="AC186" s="29">
        <f>IFERROR(AB186/(L186+P186),"")</f>
        <v/>
      </c>
      <c r="AD186" s="22" t="n"/>
    </row>
    <row r="187" ht="15" customHeight="1">
      <c r="A187" s="70">
        <f>IF(C187="","",IFERROR(IF(SUMPRODUCT(MAX((tbl_Finance[Job Number]&amp;""=C187&amp;"")*(tbl_Finance[Xero Invoice No]&lt;&gt;"")*tbl_Finance[Date]))=0,"",SUMPRODUCT(MAX((tbl_Finance[Job Number]&amp;""=C187&amp;"")*(tbl_Finance[Xero Invoice No]&lt;&gt;"")*tbl_Finance[Date]))),""))</f>
        <v/>
      </c>
      <c r="B187" s="26">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2" t="n"/>
      <c r="D187" s="26">
        <f>IF(C187="","",IF(COUNTIF(lst_Jobs,C187&amp;"")&gt;0,"OK","CHECK"))</f>
        <v/>
      </c>
      <c r="E187" s="26">
        <f>IF(C187="","",IFERROR(INDEX(lst_JobName,MATCH(C187&amp;"",lst_Jobs,0)),""))</f>
        <v/>
      </c>
      <c r="F187" s="22" t="n"/>
      <c r="G187" s="22" t="n"/>
      <c r="H187" s="22" t="n"/>
      <c r="I187" s="22" t="n"/>
      <c r="J187" s="22" t="n"/>
      <c r="K187" s="28">
        <f>IF(C187="","",COUNTIFS(tbl_Finance[Job Number],C187&amp;"",tbl_Finance[Ex GST],"&lt;&gt;"))</f>
        <v/>
      </c>
      <c r="L187" s="27">
        <f>IF(C187="","",SUMIFS(tbl_Finance[Ex GST],tbl_Finance[Job Number],C187&amp;""))</f>
        <v/>
      </c>
      <c r="M187" s="27">
        <f>IF(C187="","",SUMIFS(tbl_Finance[Ex GST],tbl_Finance[Job Number],C187&amp;"",tbl_Finance[Xero Invoice No],"&lt;&gt;"))</f>
        <v/>
      </c>
      <c r="N187" s="27">
        <f>IF(C187="","",L187-M187)</f>
        <v/>
      </c>
      <c r="O187" s="24" t="n"/>
      <c r="P187" s="27">
        <f>IF(C187="","",IF(O187="",0,MAX(0,O187-L187)))</f>
        <v/>
      </c>
      <c r="Q187" s="26">
        <f>IF(C187="","",IF(K187=0,"not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R187" s="22" t="n"/>
      <c r="S187" s="26">
        <f>IF(R187="","",HYPERLINK(IF(LEFT(R187,4)="http",R187,set_QwilrBase&amp;R187),"Open quote"))</f>
        <v/>
      </c>
      <c r="T187" s="24" t="n"/>
      <c r="U187" s="24" t="n"/>
      <c r="V187" s="24" t="n"/>
      <c r="W187" s="26">
        <f>IF(C187="","",IF(N(T187)+N(U187)+N(V187)=0,"Not split",IF(ROUND(N(T187)+N(U187)+N(V187),2)=ROUND(L187+P187,2),"OK",IF(K187=0,"Not invoiced yet","MISMATCH"))))</f>
        <v/>
      </c>
      <c r="X187" s="24" t="n"/>
      <c r="Y187" s="24" t="n"/>
      <c r="Z187" s="24" t="n"/>
      <c r="AA187" s="27">
        <f>IF(C187="","",N(X187)+N(Y187)+N(Z187))</f>
        <v/>
      </c>
      <c r="AB187" s="27">
        <f>IF(C187="","",L187+P187-AA187)</f>
        <v/>
      </c>
      <c r="AC187" s="29">
        <f>IFERROR(AB187/(L187+P187),"")</f>
        <v/>
      </c>
      <c r="AD187" s="22" t="n"/>
    </row>
    <row r="188" ht="15" customHeight="1">
      <c r="A188" s="70">
        <f>IF(C188="","",IFERROR(IF(SUMPRODUCT(MAX((tbl_Finance[Job Number]&amp;""=C188&amp;"")*(tbl_Finance[Xero Invoice No]&lt;&gt;"")*tbl_Finance[Date]))=0,"",SUMPRODUCT(MAX((tbl_Finance[Job Number]&amp;""=C188&amp;"")*(tbl_Finance[Xero Invoice No]&lt;&gt;"")*tbl_Finance[Date]))),""))</f>
        <v/>
      </c>
      <c r="B188" s="26">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2" t="n"/>
      <c r="D188" s="26">
        <f>IF(C188="","",IF(COUNTIF(lst_Jobs,C188&amp;"")&gt;0,"OK","CHECK"))</f>
        <v/>
      </c>
      <c r="E188" s="26">
        <f>IF(C188="","",IFERROR(INDEX(lst_JobName,MATCH(C188&amp;"",lst_Jobs,0)),""))</f>
        <v/>
      </c>
      <c r="F188" s="22" t="n"/>
      <c r="G188" s="22" t="n"/>
      <c r="H188" s="22" t="n"/>
      <c r="I188" s="22" t="n"/>
      <c r="J188" s="22" t="n"/>
      <c r="K188" s="28">
        <f>IF(C188="","",COUNTIFS(tbl_Finance[Job Number],C188&amp;"",tbl_Finance[Ex GST],"&lt;&gt;"))</f>
        <v/>
      </c>
      <c r="L188" s="27">
        <f>IF(C188="","",SUMIFS(tbl_Finance[Ex GST],tbl_Finance[Job Number],C188&amp;""))</f>
        <v/>
      </c>
      <c r="M188" s="27">
        <f>IF(C188="","",SUMIFS(tbl_Finance[Ex GST],tbl_Finance[Job Number],C188&amp;"",tbl_Finance[Xero Invoice No],"&lt;&gt;"))</f>
        <v/>
      </c>
      <c r="N188" s="27">
        <f>IF(C188="","",L188-M188)</f>
        <v/>
      </c>
      <c r="O188" s="24" t="n"/>
      <c r="P188" s="27">
        <f>IF(C188="","",IF(O188="",0,MAX(0,O188-L188)))</f>
        <v/>
      </c>
      <c r="Q188" s="26">
        <f>IF(C188="","",IF(K188=0,"not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R188" s="22" t="n"/>
      <c r="S188" s="26">
        <f>IF(R188="","",HYPERLINK(IF(LEFT(R188,4)="http",R188,set_QwilrBase&amp;R188),"Open quote"))</f>
        <v/>
      </c>
      <c r="T188" s="24" t="n"/>
      <c r="U188" s="24" t="n"/>
      <c r="V188" s="24" t="n"/>
      <c r="W188" s="26">
        <f>IF(C188="","",IF(N(T188)+N(U188)+N(V188)=0,"Not split",IF(ROUND(N(T188)+N(U188)+N(V188),2)=ROUND(L188+P188,2),"OK",IF(K188=0,"Not invoiced yet","MISMATCH"))))</f>
        <v/>
      </c>
      <c r="X188" s="24" t="n"/>
      <c r="Y188" s="24" t="n"/>
      <c r="Z188" s="24" t="n"/>
      <c r="AA188" s="27">
        <f>IF(C188="","",N(X188)+N(Y188)+N(Z188))</f>
        <v/>
      </c>
      <c r="AB188" s="27">
        <f>IF(C188="","",L188+P188-AA188)</f>
        <v/>
      </c>
      <c r="AC188" s="29">
        <f>IFERROR(AB188/(L188+P188),"")</f>
        <v/>
      </c>
      <c r="AD188" s="22" t="n"/>
    </row>
    <row r="189" ht="15" customHeight="1">
      <c r="A189" s="70">
        <f>IF(C189="","",IFERROR(IF(SUMPRODUCT(MAX((tbl_Finance[Job Number]&amp;""=C189&amp;"")*(tbl_Finance[Xero Invoice No]&lt;&gt;"")*tbl_Finance[Date]))=0,"",SUMPRODUCT(MAX((tbl_Finance[Job Number]&amp;""=C189&amp;"")*(tbl_Finance[Xero Invoice No]&lt;&gt;"")*tbl_Finance[Date]))),""))</f>
        <v/>
      </c>
      <c r="B189" s="26">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2" t="n"/>
      <c r="D189" s="26">
        <f>IF(C189="","",IF(COUNTIF(lst_Jobs,C189&amp;"")&gt;0,"OK","CHECK"))</f>
        <v/>
      </c>
      <c r="E189" s="26">
        <f>IF(C189="","",IFERROR(INDEX(lst_JobName,MATCH(C189&amp;"",lst_Jobs,0)),""))</f>
        <v/>
      </c>
      <c r="F189" s="22" t="n"/>
      <c r="G189" s="22" t="n"/>
      <c r="H189" s="22" t="n"/>
      <c r="I189" s="22" t="n"/>
      <c r="J189" s="22" t="n"/>
      <c r="K189" s="28">
        <f>IF(C189="","",COUNTIFS(tbl_Finance[Job Number],C189&amp;"",tbl_Finance[Ex GST],"&lt;&gt;"))</f>
        <v/>
      </c>
      <c r="L189" s="27">
        <f>IF(C189="","",SUMIFS(tbl_Finance[Ex GST],tbl_Finance[Job Number],C189&amp;""))</f>
        <v/>
      </c>
      <c r="M189" s="27">
        <f>IF(C189="","",SUMIFS(tbl_Finance[Ex GST],tbl_Finance[Job Number],C189&amp;"",tbl_Finance[Xero Invoice No],"&lt;&gt;"))</f>
        <v/>
      </c>
      <c r="N189" s="27">
        <f>IF(C189="","",L189-M189)</f>
        <v/>
      </c>
      <c r="O189" s="24" t="n"/>
      <c r="P189" s="27">
        <f>IF(C189="","",IF(O189="",0,MAX(0,O189-L189)))</f>
        <v/>
      </c>
      <c r="Q189" s="26">
        <f>IF(C189="","",IF(K189=0,"not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R189" s="22" t="n"/>
      <c r="S189" s="26">
        <f>IF(R189="","",HYPERLINK(IF(LEFT(R189,4)="http",R189,set_QwilrBase&amp;R189),"Open quote"))</f>
        <v/>
      </c>
      <c r="T189" s="24" t="n"/>
      <c r="U189" s="24" t="n"/>
      <c r="V189" s="24" t="n"/>
      <c r="W189" s="26">
        <f>IF(C189="","",IF(N(T189)+N(U189)+N(V189)=0,"Not split",IF(ROUND(N(T189)+N(U189)+N(V189),2)=ROUND(L189+P189,2),"OK",IF(K189=0,"Not invoiced yet","MISMATCH"))))</f>
        <v/>
      </c>
      <c r="X189" s="24" t="n"/>
      <c r="Y189" s="24" t="n"/>
      <c r="Z189" s="24" t="n"/>
      <c r="AA189" s="27">
        <f>IF(C189="","",N(X189)+N(Y189)+N(Z189))</f>
        <v/>
      </c>
      <c r="AB189" s="27">
        <f>IF(C189="","",L189+P189-AA189)</f>
        <v/>
      </c>
      <c r="AC189" s="29">
        <f>IFERROR(AB189/(L189+P189),"")</f>
        <v/>
      </c>
      <c r="AD189" s="22" t="n"/>
    </row>
    <row r="190" ht="15" customHeight="1">
      <c r="A190" s="70">
        <f>IF(C190="","",IFERROR(IF(SUMPRODUCT(MAX((tbl_Finance[Job Number]&amp;""=C190&amp;"")*(tbl_Finance[Xero Invoice No]&lt;&gt;"")*tbl_Finance[Date]))=0,"",SUMPRODUCT(MAX((tbl_Finance[Job Number]&amp;""=C190&amp;"")*(tbl_Finance[Xero Invoice No]&lt;&gt;"")*tbl_Finance[Date]))),""))</f>
        <v/>
      </c>
      <c r="B190" s="26">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2" t="n"/>
      <c r="D190" s="26">
        <f>IF(C190="","",IF(COUNTIF(lst_Jobs,C190&amp;"")&gt;0,"OK","CHECK"))</f>
        <v/>
      </c>
      <c r="E190" s="26">
        <f>IF(C190="","",IFERROR(INDEX(lst_JobName,MATCH(C190&amp;"",lst_Jobs,0)),""))</f>
        <v/>
      </c>
      <c r="F190" s="22" t="n"/>
      <c r="G190" s="22" t="n"/>
      <c r="H190" s="22" t="n"/>
      <c r="I190" s="22" t="n"/>
      <c r="J190" s="22" t="n"/>
      <c r="K190" s="28">
        <f>IF(C190="","",COUNTIFS(tbl_Finance[Job Number],C190&amp;"",tbl_Finance[Ex GST],"&lt;&gt;"))</f>
        <v/>
      </c>
      <c r="L190" s="27">
        <f>IF(C190="","",SUMIFS(tbl_Finance[Ex GST],tbl_Finance[Job Number],C190&amp;""))</f>
        <v/>
      </c>
      <c r="M190" s="27">
        <f>IF(C190="","",SUMIFS(tbl_Finance[Ex GST],tbl_Finance[Job Number],C190&amp;"",tbl_Finance[Xero Invoice No],"&lt;&gt;"))</f>
        <v/>
      </c>
      <c r="N190" s="27">
        <f>IF(C190="","",L190-M190)</f>
        <v/>
      </c>
      <c r="O190" s="24" t="n"/>
      <c r="P190" s="27">
        <f>IF(C190="","",IF(O190="",0,MAX(0,O190-L190)))</f>
        <v/>
      </c>
      <c r="Q190" s="26">
        <f>IF(C190="","",IF(K190=0,"not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R190" s="22" t="n"/>
      <c r="S190" s="26">
        <f>IF(R190="","",HYPERLINK(IF(LEFT(R190,4)="http",R190,set_QwilrBase&amp;R190),"Open quote"))</f>
        <v/>
      </c>
      <c r="T190" s="24" t="n"/>
      <c r="U190" s="24" t="n"/>
      <c r="V190" s="24" t="n"/>
      <c r="W190" s="26">
        <f>IF(C190="","",IF(N(T190)+N(U190)+N(V190)=0,"Not split",IF(ROUND(N(T190)+N(U190)+N(V190),2)=ROUND(L190+P190,2),"OK",IF(K190=0,"Not invoiced yet","MISMATCH"))))</f>
        <v/>
      </c>
      <c r="X190" s="24" t="n"/>
      <c r="Y190" s="24" t="n"/>
      <c r="Z190" s="24" t="n"/>
      <c r="AA190" s="27">
        <f>IF(C190="","",N(X190)+N(Y190)+N(Z190))</f>
        <v/>
      </c>
      <c r="AB190" s="27">
        <f>IF(C190="","",L190+P190-AA190)</f>
        <v/>
      </c>
      <c r="AC190" s="29">
        <f>IFERROR(AB190/(L190+P190),"")</f>
        <v/>
      </c>
      <c r="AD190" s="22" t="n"/>
    </row>
    <row r="191" ht="15" customHeight="1">
      <c r="A191" s="70">
        <f>IF(C191="","",IFERROR(IF(SUMPRODUCT(MAX((tbl_Finance[Job Number]&amp;""=C191&amp;"")*(tbl_Finance[Xero Invoice No]&lt;&gt;"")*tbl_Finance[Date]))=0,"",SUMPRODUCT(MAX((tbl_Finance[Job Number]&amp;""=C191&amp;"")*(tbl_Finance[Xero Invoice No]&lt;&gt;"")*tbl_Finance[Date]))),""))</f>
        <v/>
      </c>
      <c r="B191" s="26">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2" t="n"/>
      <c r="D191" s="26">
        <f>IF(C191="","",IF(COUNTIF(lst_Jobs,C191&amp;"")&gt;0,"OK","CHECK"))</f>
        <v/>
      </c>
      <c r="E191" s="26">
        <f>IF(C191="","",IFERROR(INDEX(lst_JobName,MATCH(C191&amp;"",lst_Jobs,0)),""))</f>
        <v/>
      </c>
      <c r="F191" s="22" t="n"/>
      <c r="G191" s="22" t="n"/>
      <c r="H191" s="22" t="n"/>
      <c r="I191" s="22" t="n"/>
      <c r="J191" s="22" t="n"/>
      <c r="K191" s="28">
        <f>IF(C191="","",COUNTIFS(tbl_Finance[Job Number],C191&amp;"",tbl_Finance[Ex GST],"&lt;&gt;"))</f>
        <v/>
      </c>
      <c r="L191" s="27">
        <f>IF(C191="","",SUMIFS(tbl_Finance[Ex GST],tbl_Finance[Job Number],C191&amp;""))</f>
        <v/>
      </c>
      <c r="M191" s="27">
        <f>IF(C191="","",SUMIFS(tbl_Finance[Ex GST],tbl_Finance[Job Number],C191&amp;"",tbl_Finance[Xero Invoice No],"&lt;&gt;"))</f>
        <v/>
      </c>
      <c r="N191" s="27">
        <f>IF(C191="","",L191-M191)</f>
        <v/>
      </c>
      <c r="O191" s="24" t="n"/>
      <c r="P191" s="27">
        <f>IF(C191="","",IF(O191="",0,MAX(0,O191-L191)))</f>
        <v/>
      </c>
      <c r="Q191" s="26">
        <f>IF(C191="","",IF(K191=0,"not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R191" s="22" t="n"/>
      <c r="S191" s="26">
        <f>IF(R191="","",HYPERLINK(IF(LEFT(R191,4)="http",R191,set_QwilrBase&amp;R191),"Open quote"))</f>
        <v/>
      </c>
      <c r="T191" s="24" t="n"/>
      <c r="U191" s="24" t="n"/>
      <c r="V191" s="24" t="n"/>
      <c r="W191" s="26">
        <f>IF(C191="","",IF(N(T191)+N(U191)+N(V191)=0,"Not split",IF(ROUND(N(T191)+N(U191)+N(V191),2)=ROUND(L191+P191,2),"OK",IF(K191=0,"Not invoiced yet","MISMATCH"))))</f>
        <v/>
      </c>
      <c r="X191" s="24" t="n"/>
      <c r="Y191" s="24" t="n"/>
      <c r="Z191" s="24" t="n"/>
      <c r="AA191" s="27">
        <f>IF(C191="","",N(X191)+N(Y191)+N(Z191))</f>
        <v/>
      </c>
      <c r="AB191" s="27">
        <f>IF(C191="","",L191+P191-AA191)</f>
        <v/>
      </c>
      <c r="AC191" s="29">
        <f>IFERROR(AB191/(L191+P191),"")</f>
        <v/>
      </c>
      <c r="AD191" s="22" t="n"/>
    </row>
    <row r="192" ht="15" customHeight="1">
      <c r="A192" s="70">
        <f>IF(C192="","",IFERROR(IF(SUMPRODUCT(MAX((tbl_Finance[Job Number]&amp;""=C192&amp;"")*(tbl_Finance[Xero Invoice No]&lt;&gt;"")*tbl_Finance[Date]))=0,"",SUMPRODUCT(MAX((tbl_Finance[Job Number]&amp;""=C192&amp;"")*(tbl_Finance[Xero Invoice No]&lt;&gt;"")*tbl_Finance[Date]))),""))</f>
        <v/>
      </c>
      <c r="B192" s="26">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2" t="n"/>
      <c r="D192" s="26">
        <f>IF(C192="","",IF(COUNTIF(lst_Jobs,C192&amp;"")&gt;0,"OK","CHECK"))</f>
        <v/>
      </c>
      <c r="E192" s="26">
        <f>IF(C192="","",IFERROR(INDEX(lst_JobName,MATCH(C192&amp;"",lst_Jobs,0)),""))</f>
        <v/>
      </c>
      <c r="F192" s="22" t="n"/>
      <c r="G192" s="22" t="n"/>
      <c r="H192" s="22" t="n"/>
      <c r="I192" s="22" t="n"/>
      <c r="J192" s="22" t="n"/>
      <c r="K192" s="28">
        <f>IF(C192="","",COUNTIFS(tbl_Finance[Job Number],C192&amp;"",tbl_Finance[Ex GST],"&lt;&gt;"))</f>
        <v/>
      </c>
      <c r="L192" s="27">
        <f>IF(C192="","",SUMIFS(tbl_Finance[Ex GST],tbl_Finance[Job Number],C192&amp;""))</f>
        <v/>
      </c>
      <c r="M192" s="27">
        <f>IF(C192="","",SUMIFS(tbl_Finance[Ex GST],tbl_Finance[Job Number],C192&amp;"",tbl_Finance[Xero Invoice No],"&lt;&gt;"))</f>
        <v/>
      </c>
      <c r="N192" s="27">
        <f>IF(C192="","",L192-M192)</f>
        <v/>
      </c>
      <c r="O192" s="24" t="n"/>
      <c r="P192" s="27">
        <f>IF(C192="","",IF(O192="",0,MAX(0,O192-L192)))</f>
        <v/>
      </c>
      <c r="Q192" s="26">
        <f>IF(C192="","",IF(K192=0,"not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R192" s="22" t="n"/>
      <c r="S192" s="26">
        <f>IF(R192="","",HYPERLINK(IF(LEFT(R192,4)="http",R192,set_QwilrBase&amp;R192),"Open quote"))</f>
        <v/>
      </c>
      <c r="T192" s="24" t="n"/>
      <c r="U192" s="24" t="n"/>
      <c r="V192" s="24" t="n"/>
      <c r="W192" s="26">
        <f>IF(C192="","",IF(N(T192)+N(U192)+N(V192)=0,"Not split",IF(ROUND(N(T192)+N(U192)+N(V192),2)=ROUND(L192+P192,2),"OK",IF(K192=0,"Not invoiced yet","MISMATCH"))))</f>
        <v/>
      </c>
      <c r="X192" s="24" t="n"/>
      <c r="Y192" s="24" t="n"/>
      <c r="Z192" s="24" t="n"/>
      <c r="AA192" s="27">
        <f>IF(C192="","",N(X192)+N(Y192)+N(Z192))</f>
        <v/>
      </c>
      <c r="AB192" s="27">
        <f>IF(C192="","",L192+P192-AA192)</f>
        <v/>
      </c>
      <c r="AC192" s="29">
        <f>IFERROR(AB192/(L192+P192),"")</f>
        <v/>
      </c>
      <c r="AD192" s="22" t="n"/>
    </row>
    <row r="193" ht="15" customHeight="1">
      <c r="A193" s="70">
        <f>IF(C193="","",IFERROR(IF(SUMPRODUCT(MAX((tbl_Finance[Job Number]&amp;""=C193&amp;"")*(tbl_Finance[Xero Invoice No]&lt;&gt;"")*tbl_Finance[Date]))=0,"",SUMPRODUCT(MAX((tbl_Finance[Job Number]&amp;""=C193&amp;"")*(tbl_Finance[Xero Invoice No]&lt;&gt;"")*tbl_Finance[Date]))),""))</f>
        <v/>
      </c>
      <c r="B193" s="26">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2" t="n"/>
      <c r="D193" s="26">
        <f>IF(C193="","",IF(COUNTIF(lst_Jobs,C193&amp;"")&gt;0,"OK","CHECK"))</f>
        <v/>
      </c>
      <c r="E193" s="26">
        <f>IF(C193="","",IFERROR(INDEX(lst_JobName,MATCH(C193&amp;"",lst_Jobs,0)),""))</f>
        <v/>
      </c>
      <c r="F193" s="22" t="n"/>
      <c r="G193" s="22" t="n"/>
      <c r="H193" s="22" t="n"/>
      <c r="I193" s="22" t="n"/>
      <c r="J193" s="22" t="n"/>
      <c r="K193" s="28">
        <f>IF(C193="","",COUNTIFS(tbl_Finance[Job Number],C193&amp;"",tbl_Finance[Ex GST],"&lt;&gt;"))</f>
        <v/>
      </c>
      <c r="L193" s="27">
        <f>IF(C193="","",SUMIFS(tbl_Finance[Ex GST],tbl_Finance[Job Number],C193&amp;""))</f>
        <v/>
      </c>
      <c r="M193" s="27">
        <f>IF(C193="","",SUMIFS(tbl_Finance[Ex GST],tbl_Finance[Job Number],C193&amp;"",tbl_Finance[Xero Invoice No],"&lt;&gt;"))</f>
        <v/>
      </c>
      <c r="N193" s="27">
        <f>IF(C193="","",L193-M193)</f>
        <v/>
      </c>
      <c r="O193" s="24" t="n"/>
      <c r="P193" s="27">
        <f>IF(C193="","",IF(O193="",0,MAX(0,O193-L193)))</f>
        <v/>
      </c>
      <c r="Q193" s="26">
        <f>IF(C193="","",IF(K193=0,"not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R193" s="22" t="n"/>
      <c r="S193" s="26">
        <f>IF(R193="","",HYPERLINK(IF(LEFT(R193,4)="http",R193,set_QwilrBase&amp;R193),"Open quote"))</f>
        <v/>
      </c>
      <c r="T193" s="24" t="n"/>
      <c r="U193" s="24" t="n"/>
      <c r="V193" s="24" t="n"/>
      <c r="W193" s="26">
        <f>IF(C193="","",IF(N(T193)+N(U193)+N(V193)=0,"Not split",IF(ROUND(N(T193)+N(U193)+N(V193),2)=ROUND(L193+P193,2),"OK",IF(K193=0,"Not invoiced yet","MISMATCH"))))</f>
        <v/>
      </c>
      <c r="X193" s="24" t="n"/>
      <c r="Y193" s="24" t="n"/>
      <c r="Z193" s="24" t="n"/>
      <c r="AA193" s="27">
        <f>IF(C193="","",N(X193)+N(Y193)+N(Z193))</f>
        <v/>
      </c>
      <c r="AB193" s="27">
        <f>IF(C193="","",L193+P193-AA193)</f>
        <v/>
      </c>
      <c r="AC193" s="29">
        <f>IFERROR(AB193/(L193+P193),"")</f>
        <v/>
      </c>
      <c r="AD193" s="22" t="n"/>
    </row>
    <row r="194" ht="15" customHeight="1">
      <c r="A194" s="70">
        <f>IF(C194="","",IFERROR(IF(SUMPRODUCT(MAX((tbl_Finance[Job Number]&amp;""=C194&amp;"")*(tbl_Finance[Xero Invoice No]&lt;&gt;"")*tbl_Finance[Date]))=0,"",SUMPRODUCT(MAX((tbl_Finance[Job Number]&amp;""=C194&amp;"")*(tbl_Finance[Xero Invoice No]&lt;&gt;"")*tbl_Finance[Date]))),""))</f>
        <v/>
      </c>
      <c r="B194" s="26">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2" t="n"/>
      <c r="D194" s="26">
        <f>IF(C194="","",IF(COUNTIF(lst_Jobs,C194&amp;"")&gt;0,"OK","CHECK"))</f>
        <v/>
      </c>
      <c r="E194" s="26">
        <f>IF(C194="","",IFERROR(INDEX(lst_JobName,MATCH(C194&amp;"",lst_Jobs,0)),""))</f>
        <v/>
      </c>
      <c r="F194" s="22" t="n"/>
      <c r="G194" s="22" t="n"/>
      <c r="H194" s="22" t="n"/>
      <c r="I194" s="22" t="n"/>
      <c r="J194" s="22" t="n"/>
      <c r="K194" s="28">
        <f>IF(C194="","",COUNTIFS(tbl_Finance[Job Number],C194&amp;"",tbl_Finance[Ex GST],"&lt;&gt;"))</f>
        <v/>
      </c>
      <c r="L194" s="27">
        <f>IF(C194="","",SUMIFS(tbl_Finance[Ex GST],tbl_Finance[Job Number],C194&amp;""))</f>
        <v/>
      </c>
      <c r="M194" s="27">
        <f>IF(C194="","",SUMIFS(tbl_Finance[Ex GST],tbl_Finance[Job Number],C194&amp;"",tbl_Finance[Xero Invoice No],"&lt;&gt;"))</f>
        <v/>
      </c>
      <c r="N194" s="27">
        <f>IF(C194="","",L194-M194)</f>
        <v/>
      </c>
      <c r="O194" s="24" t="n"/>
      <c r="P194" s="27">
        <f>IF(C194="","",IF(O194="",0,MAX(0,O194-L194)))</f>
        <v/>
      </c>
      <c r="Q194" s="26">
        <f>IF(C194="","",IF(K194=0,"not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R194" s="22" t="n"/>
      <c r="S194" s="26">
        <f>IF(R194="","",HYPERLINK(IF(LEFT(R194,4)="http",R194,set_QwilrBase&amp;R194),"Open quote"))</f>
        <v/>
      </c>
      <c r="T194" s="24" t="n"/>
      <c r="U194" s="24" t="n"/>
      <c r="V194" s="24" t="n"/>
      <c r="W194" s="26">
        <f>IF(C194="","",IF(N(T194)+N(U194)+N(V194)=0,"Not split",IF(ROUND(N(T194)+N(U194)+N(V194),2)=ROUND(L194+P194,2),"OK",IF(K194=0,"Not invoiced yet","MISMATCH"))))</f>
        <v/>
      </c>
      <c r="X194" s="24" t="n"/>
      <c r="Y194" s="24" t="n"/>
      <c r="Z194" s="24" t="n"/>
      <c r="AA194" s="27">
        <f>IF(C194="","",N(X194)+N(Y194)+N(Z194))</f>
        <v/>
      </c>
      <c r="AB194" s="27">
        <f>IF(C194="","",L194+P194-AA194)</f>
        <v/>
      </c>
      <c r="AC194" s="29">
        <f>IFERROR(AB194/(L194+P194),"")</f>
        <v/>
      </c>
      <c r="AD194" s="22" t="n"/>
    </row>
    <row r="195" ht="15" customHeight="1">
      <c r="A195" s="70">
        <f>IF(C195="","",IFERROR(IF(SUMPRODUCT(MAX((tbl_Finance[Job Number]&amp;""=C195&amp;"")*(tbl_Finance[Xero Invoice No]&lt;&gt;"")*tbl_Finance[Date]))=0,"",SUMPRODUCT(MAX((tbl_Finance[Job Number]&amp;""=C195&amp;"")*(tbl_Finance[Xero Invoice No]&lt;&gt;"")*tbl_Finance[Date]))),""))</f>
        <v/>
      </c>
      <c r="B195" s="26">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2" t="n"/>
      <c r="D195" s="26">
        <f>IF(C195="","",IF(COUNTIF(lst_Jobs,C195&amp;"")&gt;0,"OK","CHECK"))</f>
        <v/>
      </c>
      <c r="E195" s="26">
        <f>IF(C195="","",IFERROR(INDEX(lst_JobName,MATCH(C195&amp;"",lst_Jobs,0)),""))</f>
        <v/>
      </c>
      <c r="F195" s="22" t="n"/>
      <c r="G195" s="22" t="n"/>
      <c r="H195" s="22" t="n"/>
      <c r="I195" s="22" t="n"/>
      <c r="J195" s="22" t="n"/>
      <c r="K195" s="28">
        <f>IF(C195="","",COUNTIFS(tbl_Finance[Job Number],C195&amp;"",tbl_Finance[Ex GST],"&lt;&gt;"))</f>
        <v/>
      </c>
      <c r="L195" s="27">
        <f>IF(C195="","",SUMIFS(tbl_Finance[Ex GST],tbl_Finance[Job Number],C195&amp;""))</f>
        <v/>
      </c>
      <c r="M195" s="27">
        <f>IF(C195="","",SUMIFS(tbl_Finance[Ex GST],tbl_Finance[Job Number],C195&amp;"",tbl_Finance[Xero Invoice No],"&lt;&gt;"))</f>
        <v/>
      </c>
      <c r="N195" s="27">
        <f>IF(C195="","",L195-M195)</f>
        <v/>
      </c>
      <c r="O195" s="24" t="n"/>
      <c r="P195" s="27">
        <f>IF(C195="","",IF(O195="",0,MAX(0,O195-L195)))</f>
        <v/>
      </c>
      <c r="Q195" s="26">
        <f>IF(C195="","",IF(K195=0,"not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R195" s="22" t="n"/>
      <c r="S195" s="26">
        <f>IF(R195="","",HYPERLINK(IF(LEFT(R195,4)="http",R195,set_QwilrBase&amp;R195),"Open quote"))</f>
        <v/>
      </c>
      <c r="T195" s="24" t="n"/>
      <c r="U195" s="24" t="n"/>
      <c r="V195" s="24" t="n"/>
      <c r="W195" s="26">
        <f>IF(C195="","",IF(N(T195)+N(U195)+N(V195)=0,"Not split",IF(ROUND(N(T195)+N(U195)+N(V195),2)=ROUND(L195+P195,2),"OK",IF(K195=0,"Not invoiced yet","MISMATCH"))))</f>
        <v/>
      </c>
      <c r="X195" s="24" t="n"/>
      <c r="Y195" s="24" t="n"/>
      <c r="Z195" s="24" t="n"/>
      <c r="AA195" s="27">
        <f>IF(C195="","",N(X195)+N(Y195)+N(Z195))</f>
        <v/>
      </c>
      <c r="AB195" s="27">
        <f>IF(C195="","",L195+P195-AA195)</f>
        <v/>
      </c>
      <c r="AC195" s="29">
        <f>IFERROR(AB195/(L195+P195),"")</f>
        <v/>
      </c>
      <c r="AD195" s="22" t="n"/>
    </row>
    <row r="196" ht="15" customHeight="1">
      <c r="A196" s="70">
        <f>IF(C196="","",IFERROR(IF(SUMPRODUCT(MAX((tbl_Finance[Job Number]&amp;""=C196&amp;"")*(tbl_Finance[Xero Invoice No]&lt;&gt;"")*tbl_Finance[Date]))=0,"",SUMPRODUCT(MAX((tbl_Finance[Job Number]&amp;""=C196&amp;"")*(tbl_Finance[Xero Invoice No]&lt;&gt;"")*tbl_Finance[Date]))),""))</f>
        <v/>
      </c>
      <c r="B196" s="26">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2" t="n"/>
      <c r="D196" s="26">
        <f>IF(C196="","",IF(COUNTIF(lst_Jobs,C196&amp;"")&gt;0,"OK","CHECK"))</f>
        <v/>
      </c>
      <c r="E196" s="26">
        <f>IF(C196="","",IFERROR(INDEX(lst_JobName,MATCH(C196&amp;"",lst_Jobs,0)),""))</f>
        <v/>
      </c>
      <c r="F196" s="22" t="n"/>
      <c r="G196" s="22" t="n"/>
      <c r="H196" s="22" t="n"/>
      <c r="I196" s="22" t="n"/>
      <c r="J196" s="22" t="n"/>
      <c r="K196" s="28">
        <f>IF(C196="","",COUNTIFS(tbl_Finance[Job Number],C196&amp;"",tbl_Finance[Ex GST],"&lt;&gt;"))</f>
        <v/>
      </c>
      <c r="L196" s="27">
        <f>IF(C196="","",SUMIFS(tbl_Finance[Ex GST],tbl_Finance[Job Number],C196&amp;""))</f>
        <v/>
      </c>
      <c r="M196" s="27">
        <f>IF(C196="","",SUMIFS(tbl_Finance[Ex GST],tbl_Finance[Job Number],C196&amp;"",tbl_Finance[Xero Invoice No],"&lt;&gt;"))</f>
        <v/>
      </c>
      <c r="N196" s="27">
        <f>IF(C196="","",L196-M196)</f>
        <v/>
      </c>
      <c r="O196" s="24" t="n"/>
      <c r="P196" s="27">
        <f>IF(C196="","",IF(O196="",0,MAX(0,O196-L196)))</f>
        <v/>
      </c>
      <c r="Q196" s="26">
        <f>IF(C196="","",IF(K196=0,"not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R196" s="22" t="n"/>
      <c r="S196" s="26">
        <f>IF(R196="","",HYPERLINK(IF(LEFT(R196,4)="http",R196,set_QwilrBase&amp;R196),"Open quote"))</f>
        <v/>
      </c>
      <c r="T196" s="24" t="n"/>
      <c r="U196" s="24" t="n"/>
      <c r="V196" s="24" t="n"/>
      <c r="W196" s="26">
        <f>IF(C196="","",IF(N(T196)+N(U196)+N(V196)=0,"Not split",IF(ROUND(N(T196)+N(U196)+N(V196),2)=ROUND(L196+P196,2),"OK",IF(K196=0,"Not invoiced yet","MISMATCH"))))</f>
        <v/>
      </c>
      <c r="X196" s="24" t="n"/>
      <c r="Y196" s="24" t="n"/>
      <c r="Z196" s="24" t="n"/>
      <c r="AA196" s="27">
        <f>IF(C196="","",N(X196)+N(Y196)+N(Z196))</f>
        <v/>
      </c>
      <c r="AB196" s="27">
        <f>IF(C196="","",L196+P196-AA196)</f>
        <v/>
      </c>
      <c r="AC196" s="29">
        <f>IFERROR(AB196/(L196+P196),"")</f>
        <v/>
      </c>
      <c r="AD196" s="22" t="n"/>
    </row>
    <row r="197" ht="15" customHeight="1">
      <c r="A197" s="70">
        <f>IF(C197="","",IFERROR(IF(SUMPRODUCT(MAX((tbl_Finance[Job Number]&amp;""=C197&amp;"")*(tbl_Finance[Xero Invoice No]&lt;&gt;"")*tbl_Finance[Date]))=0,"",SUMPRODUCT(MAX((tbl_Finance[Job Number]&amp;""=C197&amp;"")*(tbl_Finance[Xero Invoice No]&lt;&gt;"")*tbl_Finance[Date]))),""))</f>
        <v/>
      </c>
      <c r="B197" s="26">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2" t="n"/>
      <c r="D197" s="26">
        <f>IF(C197="","",IF(COUNTIF(lst_Jobs,C197&amp;"")&gt;0,"OK","CHECK"))</f>
        <v/>
      </c>
      <c r="E197" s="26">
        <f>IF(C197="","",IFERROR(INDEX(lst_JobName,MATCH(C197&amp;"",lst_Jobs,0)),""))</f>
        <v/>
      </c>
      <c r="F197" s="22" t="n"/>
      <c r="G197" s="22" t="n"/>
      <c r="H197" s="22" t="n"/>
      <c r="I197" s="22" t="n"/>
      <c r="J197" s="22" t="n"/>
      <c r="K197" s="28">
        <f>IF(C197="","",COUNTIFS(tbl_Finance[Job Number],C197&amp;"",tbl_Finance[Ex GST],"&lt;&gt;"))</f>
        <v/>
      </c>
      <c r="L197" s="27">
        <f>IF(C197="","",SUMIFS(tbl_Finance[Ex GST],tbl_Finance[Job Number],C197&amp;""))</f>
        <v/>
      </c>
      <c r="M197" s="27">
        <f>IF(C197="","",SUMIFS(tbl_Finance[Ex GST],tbl_Finance[Job Number],C197&amp;"",tbl_Finance[Xero Invoice No],"&lt;&gt;"))</f>
        <v/>
      </c>
      <c r="N197" s="27">
        <f>IF(C197="","",L197-M197)</f>
        <v/>
      </c>
      <c r="O197" s="24" t="n"/>
      <c r="P197" s="27">
        <f>IF(C197="","",IF(O197="",0,MAX(0,O197-L197)))</f>
        <v/>
      </c>
      <c r="Q197" s="26">
        <f>IF(C197="","",IF(K197=0,"not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R197" s="22" t="n"/>
      <c r="S197" s="26">
        <f>IF(R197="","",HYPERLINK(IF(LEFT(R197,4)="http",R197,set_QwilrBase&amp;R197),"Open quote"))</f>
        <v/>
      </c>
      <c r="T197" s="24" t="n"/>
      <c r="U197" s="24" t="n"/>
      <c r="V197" s="24" t="n"/>
      <c r="W197" s="26">
        <f>IF(C197="","",IF(N(T197)+N(U197)+N(V197)=0,"Not split",IF(ROUND(N(T197)+N(U197)+N(V197),2)=ROUND(L197+P197,2),"OK",IF(K197=0,"Not invoiced yet","MISMATCH"))))</f>
        <v/>
      </c>
      <c r="X197" s="24" t="n"/>
      <c r="Y197" s="24" t="n"/>
      <c r="Z197" s="24" t="n"/>
      <c r="AA197" s="27">
        <f>IF(C197="","",N(X197)+N(Y197)+N(Z197))</f>
        <v/>
      </c>
      <c r="AB197" s="27">
        <f>IF(C197="","",L197+P197-AA197)</f>
        <v/>
      </c>
      <c r="AC197" s="29">
        <f>IFERROR(AB197/(L197+P197),"")</f>
        <v/>
      </c>
      <c r="AD197" s="22" t="n"/>
    </row>
    <row r="198" ht="15" customHeight="1">
      <c r="A198" s="70">
        <f>IF(C198="","",IFERROR(IF(SUMPRODUCT(MAX((tbl_Finance[Job Number]&amp;""=C198&amp;"")*(tbl_Finance[Xero Invoice No]&lt;&gt;"")*tbl_Finance[Date]))=0,"",SUMPRODUCT(MAX((tbl_Finance[Job Number]&amp;""=C198&amp;"")*(tbl_Finance[Xero Invoice No]&lt;&gt;"")*tbl_Finance[Date]))),""))</f>
        <v/>
      </c>
      <c r="B198" s="26">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2" t="n"/>
      <c r="D198" s="26">
        <f>IF(C198="","",IF(COUNTIF(lst_Jobs,C198&amp;"")&gt;0,"OK","CHECK"))</f>
        <v/>
      </c>
      <c r="E198" s="26">
        <f>IF(C198="","",IFERROR(INDEX(lst_JobName,MATCH(C198&amp;"",lst_Jobs,0)),""))</f>
        <v/>
      </c>
      <c r="F198" s="22" t="n"/>
      <c r="G198" s="22" t="n"/>
      <c r="H198" s="22" t="n"/>
      <c r="I198" s="22" t="n"/>
      <c r="J198" s="22" t="n"/>
      <c r="K198" s="28">
        <f>IF(C198="","",COUNTIFS(tbl_Finance[Job Number],C198&amp;"",tbl_Finance[Ex GST],"&lt;&gt;"))</f>
        <v/>
      </c>
      <c r="L198" s="27">
        <f>IF(C198="","",SUMIFS(tbl_Finance[Ex GST],tbl_Finance[Job Number],C198&amp;""))</f>
        <v/>
      </c>
      <c r="M198" s="27">
        <f>IF(C198="","",SUMIFS(tbl_Finance[Ex GST],tbl_Finance[Job Number],C198&amp;"",tbl_Finance[Xero Invoice No],"&lt;&gt;"))</f>
        <v/>
      </c>
      <c r="N198" s="27">
        <f>IF(C198="","",L198-M198)</f>
        <v/>
      </c>
      <c r="O198" s="24" t="n"/>
      <c r="P198" s="27">
        <f>IF(C198="","",IF(O198="",0,MAX(0,O198-L198)))</f>
        <v/>
      </c>
      <c r="Q198" s="26">
        <f>IF(C198="","",IF(K198=0,"not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R198" s="22" t="n"/>
      <c r="S198" s="26">
        <f>IF(R198="","",HYPERLINK(IF(LEFT(R198,4)="http",R198,set_QwilrBase&amp;R198),"Open quote"))</f>
        <v/>
      </c>
      <c r="T198" s="24" t="n"/>
      <c r="U198" s="24" t="n"/>
      <c r="V198" s="24" t="n"/>
      <c r="W198" s="26">
        <f>IF(C198="","",IF(N(T198)+N(U198)+N(V198)=0,"Not split",IF(ROUND(N(T198)+N(U198)+N(V198),2)=ROUND(L198+P198,2),"OK",IF(K198=0,"Not invoiced yet","MISMATCH"))))</f>
        <v/>
      </c>
      <c r="X198" s="24" t="n"/>
      <c r="Y198" s="24" t="n"/>
      <c r="Z198" s="24" t="n"/>
      <c r="AA198" s="27">
        <f>IF(C198="","",N(X198)+N(Y198)+N(Z198))</f>
        <v/>
      </c>
      <c r="AB198" s="27">
        <f>IF(C198="","",L198+P198-AA198)</f>
        <v/>
      </c>
      <c r="AC198" s="29">
        <f>IFERROR(AB198/(L198+P198),"")</f>
        <v/>
      </c>
      <c r="AD198" s="22" t="n"/>
    </row>
    <row r="199" ht="15" customHeight="1">
      <c r="A199" s="70">
        <f>IF(C199="","",IFERROR(IF(SUMPRODUCT(MAX((tbl_Finance[Job Number]&amp;""=C199&amp;"")*(tbl_Finance[Xero Invoice No]&lt;&gt;"")*tbl_Finance[Date]))=0,"",SUMPRODUCT(MAX((tbl_Finance[Job Number]&amp;""=C199&amp;"")*(tbl_Finance[Xero Invoice No]&lt;&gt;"")*tbl_Finance[Date]))),""))</f>
        <v/>
      </c>
      <c r="B199" s="26">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2" t="n"/>
      <c r="D199" s="26">
        <f>IF(C199="","",IF(COUNTIF(lst_Jobs,C199&amp;"")&gt;0,"OK","CHECK"))</f>
        <v/>
      </c>
      <c r="E199" s="26">
        <f>IF(C199="","",IFERROR(INDEX(lst_JobName,MATCH(C199&amp;"",lst_Jobs,0)),""))</f>
        <v/>
      </c>
      <c r="F199" s="22" t="n"/>
      <c r="G199" s="22" t="n"/>
      <c r="H199" s="22" t="n"/>
      <c r="I199" s="22" t="n"/>
      <c r="J199" s="22" t="n"/>
      <c r="K199" s="28">
        <f>IF(C199="","",COUNTIFS(tbl_Finance[Job Number],C199&amp;"",tbl_Finance[Ex GST],"&lt;&gt;"))</f>
        <v/>
      </c>
      <c r="L199" s="27">
        <f>IF(C199="","",SUMIFS(tbl_Finance[Ex GST],tbl_Finance[Job Number],C199&amp;""))</f>
        <v/>
      </c>
      <c r="M199" s="27">
        <f>IF(C199="","",SUMIFS(tbl_Finance[Ex GST],tbl_Finance[Job Number],C199&amp;"",tbl_Finance[Xero Invoice No],"&lt;&gt;"))</f>
        <v/>
      </c>
      <c r="N199" s="27">
        <f>IF(C199="","",L199-M199)</f>
        <v/>
      </c>
      <c r="O199" s="24" t="n"/>
      <c r="P199" s="27">
        <f>IF(C199="","",IF(O199="",0,MAX(0,O199-L199)))</f>
        <v/>
      </c>
      <c r="Q199" s="26">
        <f>IF(C199="","",IF(K199=0,"not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R199" s="22" t="n"/>
      <c r="S199" s="26">
        <f>IF(R199="","",HYPERLINK(IF(LEFT(R199,4)="http",R199,set_QwilrBase&amp;R199),"Open quote"))</f>
        <v/>
      </c>
      <c r="T199" s="24" t="n"/>
      <c r="U199" s="24" t="n"/>
      <c r="V199" s="24" t="n"/>
      <c r="W199" s="26">
        <f>IF(C199="","",IF(N(T199)+N(U199)+N(V199)=0,"Not split",IF(ROUND(N(T199)+N(U199)+N(V199),2)=ROUND(L199+P199,2),"OK",IF(K199=0,"Not invoiced yet","MISMATCH"))))</f>
        <v/>
      </c>
      <c r="X199" s="24" t="n"/>
      <c r="Y199" s="24" t="n"/>
      <c r="Z199" s="24" t="n"/>
      <c r="AA199" s="27">
        <f>IF(C199="","",N(X199)+N(Y199)+N(Z199))</f>
        <v/>
      </c>
      <c r="AB199" s="27">
        <f>IF(C199="","",L199+P199-AA199)</f>
        <v/>
      </c>
      <c r="AC199" s="29">
        <f>IFERROR(AB199/(L199+P199),"")</f>
        <v/>
      </c>
      <c r="AD199" s="22" t="n"/>
    </row>
    <row r="200" ht="15" customHeight="1">
      <c r="A200" s="70">
        <f>IF(C200="","",IFERROR(IF(SUMPRODUCT(MAX((tbl_Finance[Job Number]&amp;""=C200&amp;"")*(tbl_Finance[Xero Invoice No]&lt;&gt;"")*tbl_Finance[Date]))=0,"",SUMPRODUCT(MAX((tbl_Finance[Job Number]&amp;""=C200&amp;"")*(tbl_Finance[Xero Invoice No]&lt;&gt;"")*tbl_Finance[Date]))),""))</f>
        <v/>
      </c>
      <c r="B200" s="26">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2" t="n"/>
      <c r="D200" s="26">
        <f>IF(C200="","",IF(COUNTIF(lst_Jobs,C200&amp;"")&gt;0,"OK","CHECK"))</f>
        <v/>
      </c>
      <c r="E200" s="26">
        <f>IF(C200="","",IFERROR(INDEX(lst_JobName,MATCH(C200&amp;"",lst_Jobs,0)),""))</f>
        <v/>
      </c>
      <c r="F200" s="22" t="n"/>
      <c r="G200" s="22" t="n"/>
      <c r="H200" s="22" t="n"/>
      <c r="I200" s="22" t="n"/>
      <c r="J200" s="22" t="n"/>
      <c r="K200" s="28">
        <f>IF(C200="","",COUNTIFS(tbl_Finance[Job Number],C200&amp;"",tbl_Finance[Ex GST],"&lt;&gt;"))</f>
        <v/>
      </c>
      <c r="L200" s="27">
        <f>IF(C200="","",SUMIFS(tbl_Finance[Ex GST],tbl_Finance[Job Number],C200&amp;""))</f>
        <v/>
      </c>
      <c r="M200" s="27">
        <f>IF(C200="","",SUMIFS(tbl_Finance[Ex GST],tbl_Finance[Job Number],C200&amp;"",tbl_Finance[Xero Invoice No],"&lt;&gt;"))</f>
        <v/>
      </c>
      <c r="N200" s="27">
        <f>IF(C200="","",L200-M200)</f>
        <v/>
      </c>
      <c r="O200" s="24" t="n"/>
      <c r="P200" s="27">
        <f>IF(C200="","",IF(O200="",0,MAX(0,O200-L200)))</f>
        <v/>
      </c>
      <c r="Q200" s="26">
        <f>IF(C200="","",IF(K200=0,"not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R200" s="22" t="n"/>
      <c r="S200" s="26">
        <f>IF(R200="","",HYPERLINK(IF(LEFT(R200,4)="http",R200,set_QwilrBase&amp;R200),"Open quote"))</f>
        <v/>
      </c>
      <c r="T200" s="24" t="n"/>
      <c r="U200" s="24" t="n"/>
      <c r="V200" s="24" t="n"/>
      <c r="W200" s="26">
        <f>IF(C200="","",IF(N(T200)+N(U200)+N(V200)=0,"Not split",IF(ROUND(N(T200)+N(U200)+N(V200),2)=ROUND(L200+P200,2),"OK",IF(K200=0,"Not invoiced yet","MISMATCH"))))</f>
        <v/>
      </c>
      <c r="X200" s="24" t="n"/>
      <c r="Y200" s="24" t="n"/>
      <c r="Z200" s="24" t="n"/>
      <c r="AA200" s="27">
        <f>IF(C200="","",N(X200)+N(Y200)+N(Z200))</f>
        <v/>
      </c>
      <c r="AB200" s="27">
        <f>IF(C200="","",L200+P200-AA200)</f>
        <v/>
      </c>
      <c r="AC200" s="29">
        <f>IFERROR(AB200/(L200+P200),"")</f>
        <v/>
      </c>
      <c r="AD200" s="22" t="n"/>
    </row>
    <row r="201" ht="15" customHeight="1">
      <c r="A201" s="70">
        <f>IF(C201="","",IFERROR(IF(SUMPRODUCT(MAX((tbl_Finance[Job Number]&amp;""=C201&amp;"")*(tbl_Finance[Xero Invoice No]&lt;&gt;"")*tbl_Finance[Date]))=0,"",SUMPRODUCT(MAX((tbl_Finance[Job Number]&amp;""=C201&amp;"")*(tbl_Finance[Xero Invoice No]&lt;&gt;"")*tbl_Finance[Date]))),""))</f>
        <v/>
      </c>
      <c r="B201" s="26">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2" t="n"/>
      <c r="D201" s="26">
        <f>IF(C201="","",IF(COUNTIF(lst_Jobs,C201&amp;"")&gt;0,"OK","CHECK"))</f>
        <v/>
      </c>
      <c r="E201" s="26">
        <f>IF(C201="","",IFERROR(INDEX(lst_JobName,MATCH(C201&amp;"",lst_Jobs,0)),""))</f>
        <v/>
      </c>
      <c r="F201" s="22" t="n"/>
      <c r="G201" s="22" t="n"/>
      <c r="H201" s="22" t="n"/>
      <c r="I201" s="22" t="n"/>
      <c r="J201" s="22" t="n"/>
      <c r="K201" s="28">
        <f>IF(C201="","",COUNTIFS(tbl_Finance[Job Number],C201&amp;"",tbl_Finance[Ex GST],"&lt;&gt;"))</f>
        <v/>
      </c>
      <c r="L201" s="27">
        <f>IF(C201="","",SUMIFS(tbl_Finance[Ex GST],tbl_Finance[Job Number],C201&amp;""))</f>
        <v/>
      </c>
      <c r="M201" s="27">
        <f>IF(C201="","",SUMIFS(tbl_Finance[Ex GST],tbl_Finance[Job Number],C201&amp;"",tbl_Finance[Xero Invoice No],"&lt;&gt;"))</f>
        <v/>
      </c>
      <c r="N201" s="27">
        <f>IF(C201="","",L201-M201)</f>
        <v/>
      </c>
      <c r="O201" s="24" t="n"/>
      <c r="P201" s="27">
        <f>IF(C201="","",IF(O201="",0,MAX(0,O201-L201)))</f>
        <v/>
      </c>
      <c r="Q201" s="26">
        <f>IF(C201="","",IF(K201=0,"not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R201" s="22" t="n"/>
      <c r="S201" s="26">
        <f>IF(R201="","",HYPERLINK(IF(LEFT(R201,4)="http",R201,set_QwilrBase&amp;R201),"Open quote"))</f>
        <v/>
      </c>
      <c r="T201" s="24" t="n"/>
      <c r="U201" s="24" t="n"/>
      <c r="V201" s="24" t="n"/>
      <c r="W201" s="26">
        <f>IF(C201="","",IF(N(T201)+N(U201)+N(V201)=0,"Not split",IF(ROUND(N(T201)+N(U201)+N(V201),2)=ROUND(L201+P201,2),"OK",IF(K201=0,"Not invoiced yet","MISMATCH"))))</f>
        <v/>
      </c>
      <c r="X201" s="24" t="n"/>
      <c r="Y201" s="24" t="n"/>
      <c r="Z201" s="24" t="n"/>
      <c r="AA201" s="27">
        <f>IF(C201="","",N(X201)+N(Y201)+N(Z201))</f>
        <v/>
      </c>
      <c r="AB201" s="27">
        <f>IF(C201="","",L201+P201-AA201)</f>
        <v/>
      </c>
      <c r="AC201" s="29">
        <f>IFERROR(AB201/(L201+P201),"")</f>
        <v/>
      </c>
      <c r="AD201" s="22" t="n"/>
    </row>
    <row r="202" ht="15" customHeight="1">
      <c r="A202" s="70">
        <f>IF(C202="","",IFERROR(IF(SUMPRODUCT(MAX((tbl_Finance[Job Number]&amp;""=C202&amp;"")*(tbl_Finance[Xero Invoice No]&lt;&gt;"")*tbl_Finance[Date]))=0,"",SUMPRODUCT(MAX((tbl_Finance[Job Number]&amp;""=C202&amp;"")*(tbl_Finance[Xero Invoice No]&lt;&gt;"")*tbl_Finance[Date]))),""))</f>
        <v/>
      </c>
      <c r="B202" s="26">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2" t="n"/>
      <c r="D202" s="26">
        <f>IF(C202="","",IF(COUNTIF(lst_Jobs,C202&amp;"")&gt;0,"OK","CHECK"))</f>
        <v/>
      </c>
      <c r="E202" s="26">
        <f>IF(C202="","",IFERROR(INDEX(lst_JobName,MATCH(C202&amp;"",lst_Jobs,0)),""))</f>
        <v/>
      </c>
      <c r="F202" s="22" t="n"/>
      <c r="G202" s="22" t="n"/>
      <c r="H202" s="22" t="n"/>
      <c r="I202" s="22" t="n"/>
      <c r="J202" s="22" t="n"/>
      <c r="K202" s="28">
        <f>IF(C202="","",COUNTIFS(tbl_Finance[Job Number],C202&amp;"",tbl_Finance[Ex GST],"&lt;&gt;"))</f>
        <v/>
      </c>
      <c r="L202" s="27">
        <f>IF(C202="","",SUMIFS(tbl_Finance[Ex GST],tbl_Finance[Job Number],C202&amp;""))</f>
        <v/>
      </c>
      <c r="M202" s="27">
        <f>IF(C202="","",SUMIFS(tbl_Finance[Ex GST],tbl_Finance[Job Number],C202&amp;"",tbl_Finance[Xero Invoice No],"&lt;&gt;"))</f>
        <v/>
      </c>
      <c r="N202" s="27">
        <f>IF(C202="","",L202-M202)</f>
        <v/>
      </c>
      <c r="O202" s="24" t="n"/>
      <c r="P202" s="27">
        <f>IF(C202="","",IF(O202="",0,MAX(0,O202-L202)))</f>
        <v/>
      </c>
      <c r="Q202" s="26">
        <f>IF(C202="","",IF(K202=0,"not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R202" s="22" t="n"/>
      <c r="S202" s="26">
        <f>IF(R202="","",HYPERLINK(IF(LEFT(R202,4)="http",R202,set_QwilrBase&amp;R202),"Open quote"))</f>
        <v/>
      </c>
      <c r="T202" s="24" t="n"/>
      <c r="U202" s="24" t="n"/>
      <c r="V202" s="24" t="n"/>
      <c r="W202" s="26">
        <f>IF(C202="","",IF(N(T202)+N(U202)+N(V202)=0,"Not split",IF(ROUND(N(T202)+N(U202)+N(V202),2)=ROUND(L202+P202,2),"OK",IF(K202=0,"Not invoiced yet","MISMATCH"))))</f>
        <v/>
      </c>
      <c r="X202" s="24" t="n"/>
      <c r="Y202" s="24" t="n"/>
      <c r="Z202" s="24" t="n"/>
      <c r="AA202" s="27">
        <f>IF(C202="","",N(X202)+N(Y202)+N(Z202))</f>
        <v/>
      </c>
      <c r="AB202" s="27">
        <f>IF(C202="","",L202+P202-AA202)</f>
        <v/>
      </c>
      <c r="AC202" s="29">
        <f>IFERROR(AB202/(L202+P202),"")</f>
        <v/>
      </c>
      <c r="AD202" s="22" t="n"/>
    </row>
    <row r="203" ht="15" customHeight="1">
      <c r="A203" s="70">
        <f>IF(C203="","",IFERROR(IF(SUMPRODUCT(MAX((tbl_Finance[Job Number]&amp;""=C203&amp;"")*(tbl_Finance[Xero Invoice No]&lt;&gt;"")*tbl_Finance[Date]))=0,"",SUMPRODUCT(MAX((tbl_Finance[Job Number]&amp;""=C203&amp;"")*(tbl_Finance[Xero Invoice No]&lt;&gt;"")*tbl_Finance[Date]))),""))</f>
        <v/>
      </c>
      <c r="B203" s="26">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2" t="n"/>
      <c r="D203" s="26">
        <f>IF(C203="","",IF(COUNTIF(lst_Jobs,C203&amp;"")&gt;0,"OK","CHECK"))</f>
        <v/>
      </c>
      <c r="E203" s="26">
        <f>IF(C203="","",IFERROR(INDEX(lst_JobName,MATCH(C203&amp;"",lst_Jobs,0)),""))</f>
        <v/>
      </c>
      <c r="F203" s="22" t="n"/>
      <c r="G203" s="22" t="n"/>
      <c r="H203" s="22" t="n"/>
      <c r="I203" s="22" t="n"/>
      <c r="J203" s="22" t="n"/>
      <c r="K203" s="28">
        <f>IF(C203="","",COUNTIFS(tbl_Finance[Job Number],C203&amp;"",tbl_Finance[Ex GST],"&lt;&gt;"))</f>
        <v/>
      </c>
      <c r="L203" s="27">
        <f>IF(C203="","",SUMIFS(tbl_Finance[Ex GST],tbl_Finance[Job Number],C203&amp;""))</f>
        <v/>
      </c>
      <c r="M203" s="27">
        <f>IF(C203="","",SUMIFS(tbl_Finance[Ex GST],tbl_Finance[Job Number],C203&amp;"",tbl_Finance[Xero Invoice No],"&lt;&gt;"))</f>
        <v/>
      </c>
      <c r="N203" s="27">
        <f>IF(C203="","",L203-M203)</f>
        <v/>
      </c>
      <c r="O203" s="24" t="n"/>
      <c r="P203" s="27">
        <f>IF(C203="","",IF(O203="",0,MAX(0,O203-L203)))</f>
        <v/>
      </c>
      <c r="Q203" s="26">
        <f>IF(C203="","",IF(K203=0,"not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R203" s="22" t="n"/>
      <c r="S203" s="26">
        <f>IF(R203="","",HYPERLINK(IF(LEFT(R203,4)="http",R203,set_QwilrBase&amp;R203),"Open quote"))</f>
        <v/>
      </c>
      <c r="T203" s="24" t="n"/>
      <c r="U203" s="24" t="n"/>
      <c r="V203" s="24" t="n"/>
      <c r="W203" s="26">
        <f>IF(C203="","",IF(N(T203)+N(U203)+N(V203)=0,"Not split",IF(ROUND(N(T203)+N(U203)+N(V203),2)=ROUND(L203+P203,2),"OK",IF(K203=0,"Not invoiced yet","MISMATCH"))))</f>
        <v/>
      </c>
      <c r="X203" s="24" t="n"/>
      <c r="Y203" s="24" t="n"/>
      <c r="Z203" s="24" t="n"/>
      <c r="AA203" s="27">
        <f>IF(C203="","",N(X203)+N(Y203)+N(Z203))</f>
        <v/>
      </c>
      <c r="AB203" s="27">
        <f>IF(C203="","",L203+P203-AA203)</f>
        <v/>
      </c>
      <c r="AC203" s="29">
        <f>IFERROR(AB203/(L203+P203),"")</f>
        <v/>
      </c>
      <c r="AD203" s="22" t="n"/>
    </row>
    <row r="204" ht="15" customHeight="1">
      <c r="A204" s="70">
        <f>IF(C204="","",IFERROR(IF(SUMPRODUCT(MAX((tbl_Finance[Job Number]&amp;""=C204&amp;"")*(tbl_Finance[Xero Invoice No]&lt;&gt;"")*tbl_Finance[Date]))=0,"",SUMPRODUCT(MAX((tbl_Finance[Job Number]&amp;""=C204&amp;"")*(tbl_Finance[Xero Invoice No]&lt;&gt;"")*tbl_Finance[Date]))),""))</f>
        <v/>
      </c>
      <c r="B204" s="26">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2" t="n"/>
      <c r="D204" s="26">
        <f>IF(C204="","",IF(COUNTIF(lst_Jobs,C204&amp;"")&gt;0,"OK","CHECK"))</f>
        <v/>
      </c>
      <c r="E204" s="26">
        <f>IF(C204="","",IFERROR(INDEX(lst_JobName,MATCH(C204&amp;"",lst_Jobs,0)),""))</f>
        <v/>
      </c>
      <c r="F204" s="22" t="n"/>
      <c r="G204" s="22" t="n"/>
      <c r="H204" s="22" t="n"/>
      <c r="I204" s="22" t="n"/>
      <c r="J204" s="22" t="n"/>
      <c r="K204" s="28">
        <f>IF(C204="","",COUNTIFS(tbl_Finance[Job Number],C204&amp;"",tbl_Finance[Ex GST],"&lt;&gt;"))</f>
        <v/>
      </c>
      <c r="L204" s="27">
        <f>IF(C204="","",SUMIFS(tbl_Finance[Ex GST],tbl_Finance[Job Number],C204&amp;""))</f>
        <v/>
      </c>
      <c r="M204" s="27">
        <f>IF(C204="","",SUMIFS(tbl_Finance[Ex GST],tbl_Finance[Job Number],C204&amp;"",tbl_Finance[Xero Invoice No],"&lt;&gt;"))</f>
        <v/>
      </c>
      <c r="N204" s="27">
        <f>IF(C204="","",L204-M204)</f>
        <v/>
      </c>
      <c r="O204" s="24" t="n"/>
      <c r="P204" s="27">
        <f>IF(C204="","",IF(O204="",0,MAX(0,O204-L204)))</f>
        <v/>
      </c>
      <c r="Q204" s="26">
        <f>IF(C204="","",IF(K204=0,"not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R204" s="22" t="n"/>
      <c r="S204" s="26">
        <f>IF(R204="","",HYPERLINK(IF(LEFT(R204,4)="http",R204,set_QwilrBase&amp;R204),"Open quote"))</f>
        <v/>
      </c>
      <c r="T204" s="24" t="n"/>
      <c r="U204" s="24" t="n"/>
      <c r="V204" s="24" t="n"/>
      <c r="W204" s="26">
        <f>IF(C204="","",IF(N(T204)+N(U204)+N(V204)=0,"Not split",IF(ROUND(N(T204)+N(U204)+N(V204),2)=ROUND(L204+P204,2),"OK",IF(K204=0,"Not invoiced yet","MISMATCH"))))</f>
        <v/>
      </c>
      <c r="X204" s="24" t="n"/>
      <c r="Y204" s="24" t="n"/>
      <c r="Z204" s="24" t="n"/>
      <c r="AA204" s="27">
        <f>IF(C204="","",N(X204)+N(Y204)+N(Z204))</f>
        <v/>
      </c>
      <c r="AB204" s="27">
        <f>IF(C204="","",L204+P204-AA204)</f>
        <v/>
      </c>
      <c r="AC204" s="29">
        <f>IFERROR(AB204/(L204+P204),"")</f>
        <v/>
      </c>
      <c r="AD204" s="22" t="n"/>
    </row>
    <row r="205" ht="15" customHeight="1">
      <c r="A205" s="70">
        <f>IF(C205="","",IFERROR(IF(SUMPRODUCT(MAX((tbl_Finance[Job Number]&amp;""=C205&amp;"")*(tbl_Finance[Xero Invoice No]&lt;&gt;"")*tbl_Finance[Date]))=0,"",SUMPRODUCT(MAX((tbl_Finance[Job Number]&amp;""=C205&amp;"")*(tbl_Finance[Xero Invoice No]&lt;&gt;"")*tbl_Finance[Date]))),""))</f>
        <v/>
      </c>
      <c r="B205" s="26">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2" t="n"/>
      <c r="D205" s="26">
        <f>IF(C205="","",IF(COUNTIF(lst_Jobs,C205&amp;"")&gt;0,"OK","CHECK"))</f>
        <v/>
      </c>
      <c r="E205" s="26">
        <f>IF(C205="","",IFERROR(INDEX(lst_JobName,MATCH(C205&amp;"",lst_Jobs,0)),""))</f>
        <v/>
      </c>
      <c r="F205" s="22" t="n"/>
      <c r="G205" s="22" t="n"/>
      <c r="H205" s="22" t="n"/>
      <c r="I205" s="22" t="n"/>
      <c r="J205" s="22" t="n"/>
      <c r="K205" s="28">
        <f>IF(C205="","",COUNTIFS(tbl_Finance[Job Number],C205&amp;"",tbl_Finance[Ex GST],"&lt;&gt;"))</f>
        <v/>
      </c>
      <c r="L205" s="27">
        <f>IF(C205="","",SUMIFS(tbl_Finance[Ex GST],tbl_Finance[Job Number],C205&amp;""))</f>
        <v/>
      </c>
      <c r="M205" s="27">
        <f>IF(C205="","",SUMIFS(tbl_Finance[Ex GST],tbl_Finance[Job Number],C205&amp;"",tbl_Finance[Xero Invoice No],"&lt;&gt;"))</f>
        <v/>
      </c>
      <c r="N205" s="27">
        <f>IF(C205="","",L205-M205)</f>
        <v/>
      </c>
      <c r="O205" s="24" t="n"/>
      <c r="P205" s="27">
        <f>IF(C205="","",IF(O205="",0,MAX(0,O205-L205)))</f>
        <v/>
      </c>
      <c r="Q205" s="26">
        <f>IF(C205="","",IF(K205=0,"not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R205" s="22" t="n"/>
      <c r="S205" s="26">
        <f>IF(R205="","",HYPERLINK(IF(LEFT(R205,4)="http",R205,set_QwilrBase&amp;R205),"Open quote"))</f>
        <v/>
      </c>
      <c r="T205" s="24" t="n"/>
      <c r="U205" s="24" t="n"/>
      <c r="V205" s="24" t="n"/>
      <c r="W205" s="26">
        <f>IF(C205="","",IF(N(T205)+N(U205)+N(V205)=0,"Not split",IF(ROUND(N(T205)+N(U205)+N(V205),2)=ROUND(L205+P205,2),"OK",IF(K205=0,"Not invoiced yet","MISMATCH"))))</f>
        <v/>
      </c>
      <c r="X205" s="24" t="n"/>
      <c r="Y205" s="24" t="n"/>
      <c r="Z205" s="24" t="n"/>
      <c r="AA205" s="27">
        <f>IF(C205="","",N(X205)+N(Y205)+N(Z205))</f>
        <v/>
      </c>
      <c r="AB205" s="27">
        <f>IF(C205="","",L205+P205-AA205)</f>
        <v/>
      </c>
      <c r="AC205" s="29">
        <f>IFERROR(AB205/(L205+P205),"")</f>
        <v/>
      </c>
      <c r="AD205" s="22" t="n"/>
    </row>
    <row r="206" ht="15" customHeight="1">
      <c r="A206" s="70">
        <f>IF(C206="","",IFERROR(IF(SUMPRODUCT(MAX((tbl_Finance[Job Number]&amp;""=C206&amp;"")*(tbl_Finance[Xero Invoice No]&lt;&gt;"")*tbl_Finance[Date]))=0,"",SUMPRODUCT(MAX((tbl_Finance[Job Number]&amp;""=C206&amp;"")*(tbl_Finance[Xero Invoice No]&lt;&gt;"")*tbl_Finance[Date]))),""))</f>
        <v/>
      </c>
      <c r="B206" s="26">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2" t="n"/>
      <c r="D206" s="26">
        <f>IF(C206="","",IF(COUNTIF(lst_Jobs,C206&amp;"")&gt;0,"OK","CHECK"))</f>
        <v/>
      </c>
      <c r="E206" s="26">
        <f>IF(C206="","",IFERROR(INDEX(lst_JobName,MATCH(C206&amp;"",lst_Jobs,0)),""))</f>
        <v/>
      </c>
      <c r="F206" s="22" t="n"/>
      <c r="G206" s="22" t="n"/>
      <c r="H206" s="22" t="n"/>
      <c r="I206" s="22" t="n"/>
      <c r="J206" s="22" t="n"/>
      <c r="K206" s="28">
        <f>IF(C206="","",COUNTIFS(tbl_Finance[Job Number],C206&amp;"",tbl_Finance[Ex GST],"&lt;&gt;"))</f>
        <v/>
      </c>
      <c r="L206" s="27">
        <f>IF(C206="","",SUMIFS(tbl_Finance[Ex GST],tbl_Finance[Job Number],C206&amp;""))</f>
        <v/>
      </c>
      <c r="M206" s="27">
        <f>IF(C206="","",SUMIFS(tbl_Finance[Ex GST],tbl_Finance[Job Number],C206&amp;"",tbl_Finance[Xero Invoice No],"&lt;&gt;"))</f>
        <v/>
      </c>
      <c r="N206" s="27">
        <f>IF(C206="","",L206-M206)</f>
        <v/>
      </c>
      <c r="O206" s="24" t="n"/>
      <c r="P206" s="27">
        <f>IF(C206="","",IF(O206="",0,MAX(0,O206-L206)))</f>
        <v/>
      </c>
      <c r="Q206" s="26">
        <f>IF(C206="","",IF(K206=0,"not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R206" s="22" t="n"/>
      <c r="S206" s="26">
        <f>IF(R206="","",HYPERLINK(IF(LEFT(R206,4)="http",R206,set_QwilrBase&amp;R206),"Open quote"))</f>
        <v/>
      </c>
      <c r="T206" s="24" t="n"/>
      <c r="U206" s="24" t="n"/>
      <c r="V206" s="24" t="n"/>
      <c r="W206" s="26">
        <f>IF(C206="","",IF(N(T206)+N(U206)+N(V206)=0,"Not split",IF(ROUND(N(T206)+N(U206)+N(V206),2)=ROUND(L206+P206,2),"OK",IF(K206=0,"Not invoiced yet","MISMATCH"))))</f>
        <v/>
      </c>
      <c r="X206" s="24" t="n"/>
      <c r="Y206" s="24" t="n"/>
      <c r="Z206" s="24" t="n"/>
      <c r="AA206" s="27">
        <f>IF(C206="","",N(X206)+N(Y206)+N(Z206))</f>
        <v/>
      </c>
      <c r="AB206" s="27">
        <f>IF(C206="","",L206+P206-AA206)</f>
        <v/>
      </c>
      <c r="AC206" s="29">
        <f>IFERROR(AB206/(L206+P206),"")</f>
        <v/>
      </c>
      <c r="AD206" s="22" t="n"/>
    </row>
    <row r="207" ht="15" customHeight="1">
      <c r="A207" s="70">
        <f>IF(C207="","",IFERROR(IF(SUMPRODUCT(MAX((tbl_Finance[Job Number]&amp;""=C207&amp;"")*(tbl_Finance[Xero Invoice No]&lt;&gt;"")*tbl_Finance[Date]))=0,"",SUMPRODUCT(MAX((tbl_Finance[Job Number]&amp;""=C207&amp;"")*(tbl_Finance[Xero Invoice No]&lt;&gt;"")*tbl_Finance[Date]))),""))</f>
        <v/>
      </c>
      <c r="B207" s="26">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2" t="n"/>
      <c r="D207" s="26">
        <f>IF(C207="","",IF(COUNTIF(lst_Jobs,C207&amp;"")&gt;0,"OK","CHECK"))</f>
        <v/>
      </c>
      <c r="E207" s="26">
        <f>IF(C207="","",IFERROR(INDEX(lst_JobName,MATCH(C207&amp;"",lst_Jobs,0)),""))</f>
        <v/>
      </c>
      <c r="F207" s="22" t="n"/>
      <c r="G207" s="22" t="n"/>
      <c r="H207" s="22" t="n"/>
      <c r="I207" s="22" t="n"/>
      <c r="J207" s="22" t="n"/>
      <c r="K207" s="28">
        <f>IF(C207="","",COUNTIFS(tbl_Finance[Job Number],C207&amp;"",tbl_Finance[Ex GST],"&lt;&gt;"))</f>
        <v/>
      </c>
      <c r="L207" s="27">
        <f>IF(C207="","",SUMIFS(tbl_Finance[Ex GST],tbl_Finance[Job Number],C207&amp;""))</f>
        <v/>
      </c>
      <c r="M207" s="27">
        <f>IF(C207="","",SUMIFS(tbl_Finance[Ex GST],tbl_Finance[Job Number],C207&amp;"",tbl_Finance[Xero Invoice No],"&lt;&gt;"))</f>
        <v/>
      </c>
      <c r="N207" s="27">
        <f>IF(C207="","",L207-M207)</f>
        <v/>
      </c>
      <c r="O207" s="24" t="n"/>
      <c r="P207" s="27">
        <f>IF(C207="","",IF(O207="",0,MAX(0,O207-L207)))</f>
        <v/>
      </c>
      <c r="Q207" s="26">
        <f>IF(C207="","",IF(K207=0,"not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R207" s="22" t="n"/>
      <c r="S207" s="26">
        <f>IF(R207="","",HYPERLINK(IF(LEFT(R207,4)="http",R207,set_QwilrBase&amp;R207),"Open quote"))</f>
        <v/>
      </c>
      <c r="T207" s="24" t="n"/>
      <c r="U207" s="24" t="n"/>
      <c r="V207" s="24" t="n"/>
      <c r="W207" s="26">
        <f>IF(C207="","",IF(N(T207)+N(U207)+N(V207)=0,"Not split",IF(ROUND(N(T207)+N(U207)+N(V207),2)=ROUND(L207+P207,2),"OK",IF(K207=0,"Not invoiced yet","MISMATCH"))))</f>
        <v/>
      </c>
      <c r="X207" s="24" t="n"/>
      <c r="Y207" s="24" t="n"/>
      <c r="Z207" s="24" t="n"/>
      <c r="AA207" s="27">
        <f>IF(C207="","",N(X207)+N(Y207)+N(Z207))</f>
        <v/>
      </c>
      <c r="AB207" s="27">
        <f>IF(C207="","",L207+P207-AA207)</f>
        <v/>
      </c>
      <c r="AC207" s="29">
        <f>IFERROR(AB207/(L207+P207),"")</f>
        <v/>
      </c>
      <c r="AD207" s="22" t="n"/>
    </row>
    <row r="208" ht="15" customHeight="1">
      <c r="A208" s="70">
        <f>IF(C208="","",IFERROR(IF(SUMPRODUCT(MAX((tbl_Finance[Job Number]&amp;""=C208&amp;"")*(tbl_Finance[Xero Invoice No]&lt;&gt;"")*tbl_Finance[Date]))=0,"",SUMPRODUCT(MAX((tbl_Finance[Job Number]&amp;""=C208&amp;"")*(tbl_Finance[Xero Invoice No]&lt;&gt;"")*tbl_Finance[Date]))),""))</f>
        <v/>
      </c>
      <c r="B208" s="26">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2" t="n"/>
      <c r="D208" s="26">
        <f>IF(C208="","",IF(COUNTIF(lst_Jobs,C208&amp;"")&gt;0,"OK","CHECK"))</f>
        <v/>
      </c>
      <c r="E208" s="26">
        <f>IF(C208="","",IFERROR(INDEX(lst_JobName,MATCH(C208&amp;"",lst_Jobs,0)),""))</f>
        <v/>
      </c>
      <c r="F208" s="22" t="n"/>
      <c r="G208" s="22" t="n"/>
      <c r="H208" s="22" t="n"/>
      <c r="I208" s="22" t="n"/>
      <c r="J208" s="22" t="n"/>
      <c r="K208" s="28">
        <f>IF(C208="","",COUNTIFS(tbl_Finance[Job Number],C208&amp;"",tbl_Finance[Ex GST],"&lt;&gt;"))</f>
        <v/>
      </c>
      <c r="L208" s="27">
        <f>IF(C208="","",SUMIFS(tbl_Finance[Ex GST],tbl_Finance[Job Number],C208&amp;""))</f>
        <v/>
      </c>
      <c r="M208" s="27">
        <f>IF(C208="","",SUMIFS(tbl_Finance[Ex GST],tbl_Finance[Job Number],C208&amp;"",tbl_Finance[Xero Invoice No],"&lt;&gt;"))</f>
        <v/>
      </c>
      <c r="N208" s="27">
        <f>IF(C208="","",L208-M208)</f>
        <v/>
      </c>
      <c r="O208" s="24" t="n"/>
      <c r="P208" s="27">
        <f>IF(C208="","",IF(O208="",0,MAX(0,O208-L208)))</f>
        <v/>
      </c>
      <c r="Q208" s="26">
        <f>IF(C208="","",IF(K208=0,"not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R208" s="22" t="n"/>
      <c r="S208" s="26">
        <f>IF(R208="","",HYPERLINK(IF(LEFT(R208,4)="http",R208,set_QwilrBase&amp;R208),"Open quote"))</f>
        <v/>
      </c>
      <c r="T208" s="24" t="n"/>
      <c r="U208" s="24" t="n"/>
      <c r="V208" s="24" t="n"/>
      <c r="W208" s="26">
        <f>IF(C208="","",IF(N(T208)+N(U208)+N(V208)=0,"Not split",IF(ROUND(N(T208)+N(U208)+N(V208),2)=ROUND(L208+P208,2),"OK",IF(K208=0,"Not invoiced yet","MISMATCH"))))</f>
        <v/>
      </c>
      <c r="X208" s="24" t="n"/>
      <c r="Y208" s="24" t="n"/>
      <c r="Z208" s="24" t="n"/>
      <c r="AA208" s="27">
        <f>IF(C208="","",N(X208)+N(Y208)+N(Z208))</f>
        <v/>
      </c>
      <c r="AB208" s="27">
        <f>IF(C208="","",L208+P208-AA208)</f>
        <v/>
      </c>
      <c r="AC208" s="29">
        <f>IFERROR(AB208/(L208+P208),"")</f>
        <v/>
      </c>
      <c r="AD208" s="22" t="n"/>
    </row>
    <row r="209" ht="15" customHeight="1">
      <c r="A209" s="70">
        <f>IF(C209="","",IFERROR(IF(SUMPRODUCT(MAX((tbl_Finance[Job Number]&amp;""=C209&amp;"")*(tbl_Finance[Xero Invoice No]&lt;&gt;"")*tbl_Finance[Date]))=0,"",SUMPRODUCT(MAX((tbl_Finance[Job Number]&amp;""=C209&amp;"")*(tbl_Finance[Xero Invoice No]&lt;&gt;"")*tbl_Finance[Date]))),""))</f>
        <v/>
      </c>
      <c r="B209" s="26">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2" t="n"/>
      <c r="D209" s="26">
        <f>IF(C209="","",IF(COUNTIF(lst_Jobs,C209&amp;"")&gt;0,"OK","CHECK"))</f>
        <v/>
      </c>
      <c r="E209" s="26">
        <f>IF(C209="","",IFERROR(INDEX(lst_JobName,MATCH(C209&amp;"",lst_Jobs,0)),""))</f>
        <v/>
      </c>
      <c r="F209" s="22" t="n"/>
      <c r="G209" s="22" t="n"/>
      <c r="H209" s="22" t="n"/>
      <c r="I209" s="22" t="n"/>
      <c r="J209" s="22" t="n"/>
      <c r="K209" s="28">
        <f>IF(C209="","",COUNTIFS(tbl_Finance[Job Number],C209&amp;"",tbl_Finance[Ex GST],"&lt;&gt;"))</f>
        <v/>
      </c>
      <c r="L209" s="27">
        <f>IF(C209="","",SUMIFS(tbl_Finance[Ex GST],tbl_Finance[Job Number],C209&amp;""))</f>
        <v/>
      </c>
      <c r="M209" s="27">
        <f>IF(C209="","",SUMIFS(tbl_Finance[Ex GST],tbl_Finance[Job Number],C209&amp;"",tbl_Finance[Xero Invoice No],"&lt;&gt;"))</f>
        <v/>
      </c>
      <c r="N209" s="27">
        <f>IF(C209="","",L209-M209)</f>
        <v/>
      </c>
      <c r="O209" s="24" t="n"/>
      <c r="P209" s="27">
        <f>IF(C209="","",IF(O209="",0,MAX(0,O209-L209)))</f>
        <v/>
      </c>
      <c r="Q209" s="26">
        <f>IF(C209="","",IF(K209=0,"not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R209" s="22" t="n"/>
      <c r="S209" s="26">
        <f>IF(R209="","",HYPERLINK(IF(LEFT(R209,4)="http",R209,set_QwilrBase&amp;R209),"Open quote"))</f>
        <v/>
      </c>
      <c r="T209" s="24" t="n"/>
      <c r="U209" s="24" t="n"/>
      <c r="V209" s="24" t="n"/>
      <c r="W209" s="26">
        <f>IF(C209="","",IF(N(T209)+N(U209)+N(V209)=0,"Not split",IF(ROUND(N(T209)+N(U209)+N(V209),2)=ROUND(L209+P209,2),"OK",IF(K209=0,"Not invoiced yet","MISMATCH"))))</f>
        <v/>
      </c>
      <c r="X209" s="24" t="n"/>
      <c r="Y209" s="24" t="n"/>
      <c r="Z209" s="24" t="n"/>
      <c r="AA209" s="27">
        <f>IF(C209="","",N(X209)+N(Y209)+N(Z209))</f>
        <v/>
      </c>
      <c r="AB209" s="27">
        <f>IF(C209="","",L209+P209-AA209)</f>
        <v/>
      </c>
      <c r="AC209" s="29">
        <f>IFERROR(AB209/(L209+P209),"")</f>
        <v/>
      </c>
      <c r="AD209" s="22" t="n"/>
    </row>
    <row r="210" ht="15" customHeight="1">
      <c r="A210" s="70">
        <f>IF(C210="","",IFERROR(IF(SUMPRODUCT(MAX((tbl_Finance[Job Number]&amp;""=C210&amp;"")*(tbl_Finance[Xero Invoice No]&lt;&gt;"")*tbl_Finance[Date]))=0,"",SUMPRODUCT(MAX((tbl_Finance[Job Number]&amp;""=C210&amp;"")*(tbl_Finance[Xero Invoice No]&lt;&gt;"")*tbl_Finance[Date]))),""))</f>
        <v/>
      </c>
      <c r="B210" s="26">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2" t="n"/>
      <c r="D210" s="26">
        <f>IF(C210="","",IF(COUNTIF(lst_Jobs,C210&amp;"")&gt;0,"OK","CHECK"))</f>
        <v/>
      </c>
      <c r="E210" s="26">
        <f>IF(C210="","",IFERROR(INDEX(lst_JobName,MATCH(C210&amp;"",lst_Jobs,0)),""))</f>
        <v/>
      </c>
      <c r="F210" s="22" t="n"/>
      <c r="G210" s="22" t="n"/>
      <c r="H210" s="22" t="n"/>
      <c r="I210" s="22" t="n"/>
      <c r="J210" s="22" t="n"/>
      <c r="K210" s="28">
        <f>IF(C210="","",COUNTIFS(tbl_Finance[Job Number],C210&amp;"",tbl_Finance[Ex GST],"&lt;&gt;"))</f>
        <v/>
      </c>
      <c r="L210" s="27">
        <f>IF(C210="","",SUMIFS(tbl_Finance[Ex GST],tbl_Finance[Job Number],C210&amp;""))</f>
        <v/>
      </c>
      <c r="M210" s="27">
        <f>IF(C210="","",SUMIFS(tbl_Finance[Ex GST],tbl_Finance[Job Number],C210&amp;"",tbl_Finance[Xero Invoice No],"&lt;&gt;"))</f>
        <v/>
      </c>
      <c r="N210" s="27">
        <f>IF(C210="","",L210-M210)</f>
        <v/>
      </c>
      <c r="O210" s="24" t="n"/>
      <c r="P210" s="27">
        <f>IF(C210="","",IF(O210="",0,MAX(0,O210-L210)))</f>
        <v/>
      </c>
      <c r="Q210" s="26">
        <f>IF(C210="","",IF(K210=0,"not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R210" s="22" t="n"/>
      <c r="S210" s="26">
        <f>IF(R210="","",HYPERLINK(IF(LEFT(R210,4)="http",R210,set_QwilrBase&amp;R210),"Open quote"))</f>
        <v/>
      </c>
      <c r="T210" s="24" t="n"/>
      <c r="U210" s="24" t="n"/>
      <c r="V210" s="24" t="n"/>
      <c r="W210" s="26">
        <f>IF(C210="","",IF(N(T210)+N(U210)+N(V210)=0,"Not split",IF(ROUND(N(T210)+N(U210)+N(V210),2)=ROUND(L210+P210,2),"OK",IF(K210=0,"Not invoiced yet","MISMATCH"))))</f>
        <v/>
      </c>
      <c r="X210" s="24" t="n"/>
      <c r="Y210" s="24" t="n"/>
      <c r="Z210" s="24" t="n"/>
      <c r="AA210" s="27">
        <f>IF(C210="","",N(X210)+N(Y210)+N(Z210))</f>
        <v/>
      </c>
      <c r="AB210" s="27">
        <f>IF(C210="","",L210+P210-AA210)</f>
        <v/>
      </c>
      <c r="AC210" s="29">
        <f>IFERROR(AB210/(L210+P210),"")</f>
        <v/>
      </c>
      <c r="AD210" s="22" t="n"/>
    </row>
    <row r="211" ht="15" customHeight="1">
      <c r="A211" s="70">
        <f>IF(C211="","",IFERROR(IF(SUMPRODUCT(MAX((tbl_Finance[Job Number]&amp;""=C211&amp;"")*(tbl_Finance[Xero Invoice No]&lt;&gt;"")*tbl_Finance[Date]))=0,"",SUMPRODUCT(MAX((tbl_Finance[Job Number]&amp;""=C211&amp;"")*(tbl_Finance[Xero Invoice No]&lt;&gt;"")*tbl_Finance[Date]))),""))</f>
        <v/>
      </c>
      <c r="B211" s="26">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2" t="n"/>
      <c r="D211" s="26">
        <f>IF(C211="","",IF(COUNTIF(lst_Jobs,C211&amp;"")&gt;0,"OK","CHECK"))</f>
        <v/>
      </c>
      <c r="E211" s="26">
        <f>IF(C211="","",IFERROR(INDEX(lst_JobName,MATCH(C211&amp;"",lst_Jobs,0)),""))</f>
        <v/>
      </c>
      <c r="F211" s="22" t="n"/>
      <c r="G211" s="22" t="n"/>
      <c r="H211" s="22" t="n"/>
      <c r="I211" s="22" t="n"/>
      <c r="J211" s="22" t="n"/>
      <c r="K211" s="28">
        <f>IF(C211="","",COUNTIFS(tbl_Finance[Job Number],C211&amp;"",tbl_Finance[Ex GST],"&lt;&gt;"))</f>
        <v/>
      </c>
      <c r="L211" s="27">
        <f>IF(C211="","",SUMIFS(tbl_Finance[Ex GST],tbl_Finance[Job Number],C211&amp;""))</f>
        <v/>
      </c>
      <c r="M211" s="27">
        <f>IF(C211="","",SUMIFS(tbl_Finance[Ex GST],tbl_Finance[Job Number],C211&amp;"",tbl_Finance[Xero Invoice No],"&lt;&gt;"))</f>
        <v/>
      </c>
      <c r="N211" s="27">
        <f>IF(C211="","",L211-M211)</f>
        <v/>
      </c>
      <c r="O211" s="24" t="n"/>
      <c r="P211" s="27">
        <f>IF(C211="","",IF(O211="",0,MAX(0,O211-L211)))</f>
        <v/>
      </c>
      <c r="Q211" s="26">
        <f>IF(C211="","",IF(K211=0,"not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R211" s="22" t="n"/>
      <c r="S211" s="26">
        <f>IF(R211="","",HYPERLINK(IF(LEFT(R211,4)="http",R211,set_QwilrBase&amp;R211),"Open quote"))</f>
        <v/>
      </c>
      <c r="T211" s="24" t="n"/>
      <c r="U211" s="24" t="n"/>
      <c r="V211" s="24" t="n"/>
      <c r="W211" s="26">
        <f>IF(C211="","",IF(N(T211)+N(U211)+N(V211)=0,"Not split",IF(ROUND(N(T211)+N(U211)+N(V211),2)=ROUND(L211+P211,2),"OK",IF(K211=0,"Not invoiced yet","MISMATCH"))))</f>
        <v/>
      </c>
      <c r="X211" s="24" t="n"/>
      <c r="Y211" s="24" t="n"/>
      <c r="Z211" s="24" t="n"/>
      <c r="AA211" s="27">
        <f>IF(C211="","",N(X211)+N(Y211)+N(Z211))</f>
        <v/>
      </c>
      <c r="AB211" s="27">
        <f>IF(C211="","",L211+P211-AA211)</f>
        <v/>
      </c>
      <c r="AC211" s="29">
        <f>IFERROR(AB211/(L211+P211),"")</f>
        <v/>
      </c>
      <c r="AD211" s="22" t="n"/>
    </row>
    <row r="212" ht="15" customHeight="1">
      <c r="A212" s="70">
        <f>IF(C212="","",IFERROR(IF(SUMPRODUCT(MAX((tbl_Finance[Job Number]&amp;""=C212&amp;"")*(tbl_Finance[Xero Invoice No]&lt;&gt;"")*tbl_Finance[Date]))=0,"",SUMPRODUCT(MAX((tbl_Finance[Job Number]&amp;""=C212&amp;"")*(tbl_Finance[Xero Invoice No]&lt;&gt;"")*tbl_Finance[Date]))),""))</f>
        <v/>
      </c>
      <c r="B212" s="26">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2" t="n"/>
      <c r="D212" s="26">
        <f>IF(C212="","",IF(COUNTIF(lst_Jobs,C212&amp;"")&gt;0,"OK","CHECK"))</f>
        <v/>
      </c>
      <c r="E212" s="26">
        <f>IF(C212="","",IFERROR(INDEX(lst_JobName,MATCH(C212&amp;"",lst_Jobs,0)),""))</f>
        <v/>
      </c>
      <c r="F212" s="22" t="n"/>
      <c r="G212" s="22" t="n"/>
      <c r="H212" s="22" t="n"/>
      <c r="I212" s="22" t="n"/>
      <c r="J212" s="22" t="n"/>
      <c r="K212" s="28">
        <f>IF(C212="","",COUNTIFS(tbl_Finance[Job Number],C212&amp;"",tbl_Finance[Ex GST],"&lt;&gt;"))</f>
        <v/>
      </c>
      <c r="L212" s="27">
        <f>IF(C212="","",SUMIFS(tbl_Finance[Ex GST],tbl_Finance[Job Number],C212&amp;""))</f>
        <v/>
      </c>
      <c r="M212" s="27">
        <f>IF(C212="","",SUMIFS(tbl_Finance[Ex GST],tbl_Finance[Job Number],C212&amp;"",tbl_Finance[Xero Invoice No],"&lt;&gt;"))</f>
        <v/>
      </c>
      <c r="N212" s="27">
        <f>IF(C212="","",L212-M212)</f>
        <v/>
      </c>
      <c r="O212" s="24" t="n"/>
      <c r="P212" s="27">
        <f>IF(C212="","",IF(O212="",0,MAX(0,O212-L212)))</f>
        <v/>
      </c>
      <c r="Q212" s="26">
        <f>IF(C212="","",IF(K212=0,"not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R212" s="22" t="n"/>
      <c r="S212" s="26">
        <f>IF(R212="","",HYPERLINK(IF(LEFT(R212,4)="http",R212,set_QwilrBase&amp;R212),"Open quote"))</f>
        <v/>
      </c>
      <c r="T212" s="24" t="n"/>
      <c r="U212" s="24" t="n"/>
      <c r="V212" s="24" t="n"/>
      <c r="W212" s="26">
        <f>IF(C212="","",IF(N(T212)+N(U212)+N(V212)=0,"Not split",IF(ROUND(N(T212)+N(U212)+N(V212),2)=ROUND(L212+P212,2),"OK",IF(K212=0,"Not invoiced yet","MISMATCH"))))</f>
        <v/>
      </c>
      <c r="X212" s="24" t="n"/>
      <c r="Y212" s="24" t="n"/>
      <c r="Z212" s="24" t="n"/>
      <c r="AA212" s="27">
        <f>IF(C212="","",N(X212)+N(Y212)+N(Z212))</f>
        <v/>
      </c>
      <c r="AB212" s="27">
        <f>IF(C212="","",L212+P212-AA212)</f>
        <v/>
      </c>
      <c r="AC212" s="29">
        <f>IFERROR(AB212/(L212+P212),"")</f>
        <v/>
      </c>
      <c r="AD212" s="22" t="n"/>
    </row>
    <row r="213" ht="15" customHeight="1">
      <c r="A213" s="70">
        <f>IF(C213="","",IFERROR(IF(SUMPRODUCT(MAX((tbl_Finance[Job Number]&amp;""=C213&amp;"")*(tbl_Finance[Xero Invoice No]&lt;&gt;"")*tbl_Finance[Date]))=0,"",SUMPRODUCT(MAX((tbl_Finance[Job Number]&amp;""=C213&amp;"")*(tbl_Finance[Xero Invoice No]&lt;&gt;"")*tbl_Finance[Date]))),""))</f>
        <v/>
      </c>
      <c r="B213" s="26">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2" t="n"/>
      <c r="D213" s="26">
        <f>IF(C213="","",IF(COUNTIF(lst_Jobs,C213&amp;"")&gt;0,"OK","CHECK"))</f>
        <v/>
      </c>
      <c r="E213" s="26">
        <f>IF(C213="","",IFERROR(INDEX(lst_JobName,MATCH(C213&amp;"",lst_Jobs,0)),""))</f>
        <v/>
      </c>
      <c r="F213" s="22" t="n"/>
      <c r="G213" s="22" t="n"/>
      <c r="H213" s="22" t="n"/>
      <c r="I213" s="22" t="n"/>
      <c r="J213" s="22" t="n"/>
      <c r="K213" s="28">
        <f>IF(C213="","",COUNTIFS(tbl_Finance[Job Number],C213&amp;"",tbl_Finance[Ex GST],"&lt;&gt;"))</f>
        <v/>
      </c>
      <c r="L213" s="27">
        <f>IF(C213="","",SUMIFS(tbl_Finance[Ex GST],tbl_Finance[Job Number],C213&amp;""))</f>
        <v/>
      </c>
      <c r="M213" s="27">
        <f>IF(C213="","",SUMIFS(tbl_Finance[Ex GST],tbl_Finance[Job Number],C213&amp;"",tbl_Finance[Xero Invoice No],"&lt;&gt;"))</f>
        <v/>
      </c>
      <c r="N213" s="27">
        <f>IF(C213="","",L213-M213)</f>
        <v/>
      </c>
      <c r="O213" s="24" t="n"/>
      <c r="P213" s="27">
        <f>IF(C213="","",IF(O213="",0,MAX(0,O213-L213)))</f>
        <v/>
      </c>
      <c r="Q213" s="26">
        <f>IF(C213="","",IF(K213=0,"not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R213" s="22" t="n"/>
      <c r="S213" s="26">
        <f>IF(R213="","",HYPERLINK(IF(LEFT(R213,4)="http",R213,set_QwilrBase&amp;R213),"Open quote"))</f>
        <v/>
      </c>
      <c r="T213" s="24" t="n"/>
      <c r="U213" s="24" t="n"/>
      <c r="V213" s="24" t="n"/>
      <c r="W213" s="26">
        <f>IF(C213="","",IF(N(T213)+N(U213)+N(V213)=0,"Not split",IF(ROUND(N(T213)+N(U213)+N(V213),2)=ROUND(L213+P213,2),"OK",IF(K213=0,"Not invoiced yet","MISMATCH"))))</f>
        <v/>
      </c>
      <c r="X213" s="24" t="n"/>
      <c r="Y213" s="24" t="n"/>
      <c r="Z213" s="24" t="n"/>
      <c r="AA213" s="27">
        <f>IF(C213="","",N(X213)+N(Y213)+N(Z213))</f>
        <v/>
      </c>
      <c r="AB213" s="27">
        <f>IF(C213="","",L213+P213-AA213)</f>
        <v/>
      </c>
      <c r="AC213" s="29">
        <f>IFERROR(AB213/(L213+P213),"")</f>
        <v/>
      </c>
      <c r="AD213" s="22" t="n"/>
    </row>
    <row r="214" ht="15" customHeight="1">
      <c r="A214" s="70">
        <f>IF(C214="","",IFERROR(IF(SUMPRODUCT(MAX((tbl_Finance[Job Number]&amp;""=C214&amp;"")*(tbl_Finance[Xero Invoice No]&lt;&gt;"")*tbl_Finance[Date]))=0,"",SUMPRODUCT(MAX((tbl_Finance[Job Number]&amp;""=C214&amp;"")*(tbl_Finance[Xero Invoice No]&lt;&gt;"")*tbl_Finance[Date]))),""))</f>
        <v/>
      </c>
      <c r="B214" s="26">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2" t="n"/>
      <c r="D214" s="26">
        <f>IF(C214="","",IF(COUNTIF(lst_Jobs,C214&amp;"")&gt;0,"OK","CHECK"))</f>
        <v/>
      </c>
      <c r="E214" s="26">
        <f>IF(C214="","",IFERROR(INDEX(lst_JobName,MATCH(C214&amp;"",lst_Jobs,0)),""))</f>
        <v/>
      </c>
      <c r="F214" s="22" t="n"/>
      <c r="G214" s="22" t="n"/>
      <c r="H214" s="22" t="n"/>
      <c r="I214" s="22" t="n"/>
      <c r="J214" s="22" t="n"/>
      <c r="K214" s="28">
        <f>IF(C214="","",COUNTIFS(tbl_Finance[Job Number],C214&amp;"",tbl_Finance[Ex GST],"&lt;&gt;"))</f>
        <v/>
      </c>
      <c r="L214" s="27">
        <f>IF(C214="","",SUMIFS(tbl_Finance[Ex GST],tbl_Finance[Job Number],C214&amp;""))</f>
        <v/>
      </c>
      <c r="M214" s="27">
        <f>IF(C214="","",SUMIFS(tbl_Finance[Ex GST],tbl_Finance[Job Number],C214&amp;"",tbl_Finance[Xero Invoice No],"&lt;&gt;"))</f>
        <v/>
      </c>
      <c r="N214" s="27">
        <f>IF(C214="","",L214-M214)</f>
        <v/>
      </c>
      <c r="O214" s="24" t="n"/>
      <c r="P214" s="27">
        <f>IF(C214="","",IF(O214="",0,MAX(0,O214-L214)))</f>
        <v/>
      </c>
      <c r="Q214" s="26">
        <f>IF(C214="","",IF(K214=0,"not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R214" s="22" t="n"/>
      <c r="S214" s="26">
        <f>IF(R214="","",HYPERLINK(IF(LEFT(R214,4)="http",R214,set_QwilrBase&amp;R214),"Open quote"))</f>
        <v/>
      </c>
      <c r="T214" s="24" t="n"/>
      <c r="U214" s="24" t="n"/>
      <c r="V214" s="24" t="n"/>
      <c r="W214" s="26">
        <f>IF(C214="","",IF(N(T214)+N(U214)+N(V214)=0,"Not split",IF(ROUND(N(T214)+N(U214)+N(V214),2)=ROUND(L214+P214,2),"OK",IF(K214=0,"Not invoiced yet","MISMATCH"))))</f>
        <v/>
      </c>
      <c r="X214" s="24" t="n"/>
      <c r="Y214" s="24" t="n"/>
      <c r="Z214" s="24" t="n"/>
      <c r="AA214" s="27">
        <f>IF(C214="","",N(X214)+N(Y214)+N(Z214))</f>
        <v/>
      </c>
      <c r="AB214" s="27">
        <f>IF(C214="","",L214+P214-AA214)</f>
        <v/>
      </c>
      <c r="AC214" s="29">
        <f>IFERROR(AB214/(L214+P214),"")</f>
        <v/>
      </c>
      <c r="AD214" s="22" t="n"/>
    </row>
    <row r="215" ht="15" customHeight="1">
      <c r="A215" s="70">
        <f>IF(C215="","",IFERROR(IF(SUMPRODUCT(MAX((tbl_Finance[Job Number]&amp;""=C215&amp;"")*(tbl_Finance[Xero Invoice No]&lt;&gt;"")*tbl_Finance[Date]))=0,"",SUMPRODUCT(MAX((tbl_Finance[Job Number]&amp;""=C215&amp;"")*(tbl_Finance[Xero Invoice No]&lt;&gt;"")*tbl_Finance[Date]))),""))</f>
        <v/>
      </c>
      <c r="B215" s="26">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2" t="n"/>
      <c r="D215" s="26">
        <f>IF(C215="","",IF(COUNTIF(lst_Jobs,C215&amp;"")&gt;0,"OK","CHECK"))</f>
        <v/>
      </c>
      <c r="E215" s="26">
        <f>IF(C215="","",IFERROR(INDEX(lst_JobName,MATCH(C215&amp;"",lst_Jobs,0)),""))</f>
        <v/>
      </c>
      <c r="F215" s="22" t="n"/>
      <c r="G215" s="22" t="n"/>
      <c r="H215" s="22" t="n"/>
      <c r="I215" s="22" t="n"/>
      <c r="J215" s="22" t="n"/>
      <c r="K215" s="28">
        <f>IF(C215="","",COUNTIFS(tbl_Finance[Job Number],C215&amp;"",tbl_Finance[Ex GST],"&lt;&gt;"))</f>
        <v/>
      </c>
      <c r="L215" s="27">
        <f>IF(C215="","",SUMIFS(tbl_Finance[Ex GST],tbl_Finance[Job Number],C215&amp;""))</f>
        <v/>
      </c>
      <c r="M215" s="27">
        <f>IF(C215="","",SUMIFS(tbl_Finance[Ex GST],tbl_Finance[Job Number],C215&amp;"",tbl_Finance[Xero Invoice No],"&lt;&gt;"))</f>
        <v/>
      </c>
      <c r="N215" s="27">
        <f>IF(C215="","",L215-M215)</f>
        <v/>
      </c>
      <c r="O215" s="24" t="n"/>
      <c r="P215" s="27">
        <f>IF(C215="","",IF(O215="",0,MAX(0,O215-L215)))</f>
        <v/>
      </c>
      <c r="Q215" s="26">
        <f>IF(C215="","",IF(K215=0,"not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R215" s="22" t="n"/>
      <c r="S215" s="26">
        <f>IF(R215="","",HYPERLINK(IF(LEFT(R215,4)="http",R215,set_QwilrBase&amp;R215),"Open quote"))</f>
        <v/>
      </c>
      <c r="T215" s="24" t="n"/>
      <c r="U215" s="24" t="n"/>
      <c r="V215" s="24" t="n"/>
      <c r="W215" s="26">
        <f>IF(C215="","",IF(N(T215)+N(U215)+N(V215)=0,"Not split",IF(ROUND(N(T215)+N(U215)+N(V215),2)=ROUND(L215+P215,2),"OK",IF(K215=0,"Not invoiced yet","MISMATCH"))))</f>
        <v/>
      </c>
      <c r="X215" s="24" t="n"/>
      <c r="Y215" s="24" t="n"/>
      <c r="Z215" s="24" t="n"/>
      <c r="AA215" s="27">
        <f>IF(C215="","",N(X215)+N(Y215)+N(Z215))</f>
        <v/>
      </c>
      <c r="AB215" s="27">
        <f>IF(C215="","",L215+P215-AA215)</f>
        <v/>
      </c>
      <c r="AC215" s="29">
        <f>IFERROR(AB215/(L215+P215),"")</f>
        <v/>
      </c>
      <c r="AD215" s="22" t="n"/>
    </row>
    <row r="216" ht="15" customHeight="1">
      <c r="A216" s="70">
        <f>IF(C216="","",IFERROR(IF(SUMPRODUCT(MAX((tbl_Finance[Job Number]&amp;""=C216&amp;"")*(tbl_Finance[Xero Invoice No]&lt;&gt;"")*tbl_Finance[Date]))=0,"",SUMPRODUCT(MAX((tbl_Finance[Job Number]&amp;""=C216&amp;"")*(tbl_Finance[Xero Invoice No]&lt;&gt;"")*tbl_Finance[Date]))),""))</f>
        <v/>
      </c>
      <c r="B216" s="26">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2" t="n"/>
      <c r="D216" s="26">
        <f>IF(C216="","",IF(COUNTIF(lst_Jobs,C216&amp;"")&gt;0,"OK","CHECK"))</f>
        <v/>
      </c>
      <c r="E216" s="26">
        <f>IF(C216="","",IFERROR(INDEX(lst_JobName,MATCH(C216&amp;"",lst_Jobs,0)),""))</f>
        <v/>
      </c>
      <c r="F216" s="22" t="n"/>
      <c r="G216" s="22" t="n"/>
      <c r="H216" s="22" t="n"/>
      <c r="I216" s="22" t="n"/>
      <c r="J216" s="22" t="n"/>
      <c r="K216" s="28">
        <f>IF(C216="","",COUNTIFS(tbl_Finance[Job Number],C216&amp;"",tbl_Finance[Ex GST],"&lt;&gt;"))</f>
        <v/>
      </c>
      <c r="L216" s="27">
        <f>IF(C216="","",SUMIFS(tbl_Finance[Ex GST],tbl_Finance[Job Number],C216&amp;""))</f>
        <v/>
      </c>
      <c r="M216" s="27">
        <f>IF(C216="","",SUMIFS(tbl_Finance[Ex GST],tbl_Finance[Job Number],C216&amp;"",tbl_Finance[Xero Invoice No],"&lt;&gt;"))</f>
        <v/>
      </c>
      <c r="N216" s="27">
        <f>IF(C216="","",L216-M216)</f>
        <v/>
      </c>
      <c r="O216" s="24" t="n"/>
      <c r="P216" s="27">
        <f>IF(C216="","",IF(O216="",0,MAX(0,O216-L216)))</f>
        <v/>
      </c>
      <c r="Q216" s="26">
        <f>IF(C216="","",IF(K216=0,"not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R216" s="22" t="n"/>
      <c r="S216" s="26">
        <f>IF(R216="","",HYPERLINK(IF(LEFT(R216,4)="http",R216,set_QwilrBase&amp;R216),"Open quote"))</f>
        <v/>
      </c>
      <c r="T216" s="24" t="n"/>
      <c r="U216" s="24" t="n"/>
      <c r="V216" s="24" t="n"/>
      <c r="W216" s="26">
        <f>IF(C216="","",IF(N(T216)+N(U216)+N(V216)=0,"Not split",IF(ROUND(N(T216)+N(U216)+N(V216),2)=ROUND(L216+P216,2),"OK",IF(K216=0,"Not invoiced yet","MISMATCH"))))</f>
        <v/>
      </c>
      <c r="X216" s="24" t="n"/>
      <c r="Y216" s="24" t="n"/>
      <c r="Z216" s="24" t="n"/>
      <c r="AA216" s="27">
        <f>IF(C216="","",N(X216)+N(Y216)+N(Z216))</f>
        <v/>
      </c>
      <c r="AB216" s="27">
        <f>IF(C216="","",L216+P216-AA216)</f>
        <v/>
      </c>
      <c r="AC216" s="29">
        <f>IFERROR(AB216/(L216+P216),"")</f>
        <v/>
      </c>
      <c r="AD216" s="22" t="n"/>
    </row>
    <row r="217" ht="15" customHeight="1">
      <c r="A217" s="70">
        <f>IF(C217="","",IFERROR(IF(SUMPRODUCT(MAX((tbl_Finance[Job Number]&amp;""=C217&amp;"")*(tbl_Finance[Xero Invoice No]&lt;&gt;"")*tbl_Finance[Date]))=0,"",SUMPRODUCT(MAX((tbl_Finance[Job Number]&amp;""=C217&amp;"")*(tbl_Finance[Xero Invoice No]&lt;&gt;"")*tbl_Finance[Date]))),""))</f>
        <v/>
      </c>
      <c r="B217" s="26">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2" t="n"/>
      <c r="D217" s="26">
        <f>IF(C217="","",IF(COUNTIF(lst_Jobs,C217&amp;"")&gt;0,"OK","CHECK"))</f>
        <v/>
      </c>
      <c r="E217" s="26">
        <f>IF(C217="","",IFERROR(INDEX(lst_JobName,MATCH(C217&amp;"",lst_Jobs,0)),""))</f>
        <v/>
      </c>
      <c r="F217" s="22" t="n"/>
      <c r="G217" s="22" t="n"/>
      <c r="H217" s="22" t="n"/>
      <c r="I217" s="22" t="n"/>
      <c r="J217" s="22" t="n"/>
      <c r="K217" s="28">
        <f>IF(C217="","",COUNTIFS(tbl_Finance[Job Number],C217&amp;"",tbl_Finance[Ex GST],"&lt;&gt;"))</f>
        <v/>
      </c>
      <c r="L217" s="27">
        <f>IF(C217="","",SUMIFS(tbl_Finance[Ex GST],tbl_Finance[Job Number],C217&amp;""))</f>
        <v/>
      </c>
      <c r="M217" s="27">
        <f>IF(C217="","",SUMIFS(tbl_Finance[Ex GST],tbl_Finance[Job Number],C217&amp;"",tbl_Finance[Xero Invoice No],"&lt;&gt;"))</f>
        <v/>
      </c>
      <c r="N217" s="27">
        <f>IF(C217="","",L217-M217)</f>
        <v/>
      </c>
      <c r="O217" s="24" t="n"/>
      <c r="P217" s="27">
        <f>IF(C217="","",IF(O217="",0,MAX(0,O217-L217)))</f>
        <v/>
      </c>
      <c r="Q217" s="26">
        <f>IF(C217="","",IF(K217=0,"not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R217" s="22" t="n"/>
      <c r="S217" s="26">
        <f>IF(R217="","",HYPERLINK(IF(LEFT(R217,4)="http",R217,set_QwilrBase&amp;R217),"Open quote"))</f>
        <v/>
      </c>
      <c r="T217" s="24" t="n"/>
      <c r="U217" s="24" t="n"/>
      <c r="V217" s="24" t="n"/>
      <c r="W217" s="26">
        <f>IF(C217="","",IF(N(T217)+N(U217)+N(V217)=0,"Not split",IF(ROUND(N(T217)+N(U217)+N(V217),2)=ROUND(L217+P217,2),"OK",IF(K217=0,"Not invoiced yet","MISMATCH"))))</f>
        <v/>
      </c>
      <c r="X217" s="24" t="n"/>
      <c r="Y217" s="24" t="n"/>
      <c r="Z217" s="24" t="n"/>
      <c r="AA217" s="27">
        <f>IF(C217="","",N(X217)+N(Y217)+N(Z217))</f>
        <v/>
      </c>
      <c r="AB217" s="27">
        <f>IF(C217="","",L217+P217-AA217)</f>
        <v/>
      </c>
      <c r="AC217" s="29">
        <f>IFERROR(AB217/(L217+P217),"")</f>
        <v/>
      </c>
      <c r="AD217" s="22" t="n"/>
    </row>
    <row r="218" ht="15" customHeight="1">
      <c r="A218" s="70">
        <f>IF(C218="","",IFERROR(IF(SUMPRODUCT(MAX((tbl_Finance[Job Number]&amp;""=C218&amp;"")*(tbl_Finance[Xero Invoice No]&lt;&gt;"")*tbl_Finance[Date]))=0,"",SUMPRODUCT(MAX((tbl_Finance[Job Number]&amp;""=C218&amp;"")*(tbl_Finance[Xero Invoice No]&lt;&gt;"")*tbl_Finance[Date]))),""))</f>
        <v/>
      </c>
      <c r="B218" s="26">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2" t="n"/>
      <c r="D218" s="26">
        <f>IF(C218="","",IF(COUNTIF(lst_Jobs,C218&amp;"")&gt;0,"OK","CHECK"))</f>
        <v/>
      </c>
      <c r="E218" s="26">
        <f>IF(C218="","",IFERROR(INDEX(lst_JobName,MATCH(C218&amp;"",lst_Jobs,0)),""))</f>
        <v/>
      </c>
      <c r="F218" s="22" t="n"/>
      <c r="G218" s="22" t="n"/>
      <c r="H218" s="22" t="n"/>
      <c r="I218" s="22" t="n"/>
      <c r="J218" s="22" t="n"/>
      <c r="K218" s="28">
        <f>IF(C218="","",COUNTIFS(tbl_Finance[Job Number],C218&amp;"",tbl_Finance[Ex GST],"&lt;&gt;"))</f>
        <v/>
      </c>
      <c r="L218" s="27">
        <f>IF(C218="","",SUMIFS(tbl_Finance[Ex GST],tbl_Finance[Job Number],C218&amp;""))</f>
        <v/>
      </c>
      <c r="M218" s="27">
        <f>IF(C218="","",SUMIFS(tbl_Finance[Ex GST],tbl_Finance[Job Number],C218&amp;"",tbl_Finance[Xero Invoice No],"&lt;&gt;"))</f>
        <v/>
      </c>
      <c r="N218" s="27">
        <f>IF(C218="","",L218-M218)</f>
        <v/>
      </c>
      <c r="O218" s="24" t="n"/>
      <c r="P218" s="27">
        <f>IF(C218="","",IF(O218="",0,MAX(0,O218-L218)))</f>
        <v/>
      </c>
      <c r="Q218" s="26">
        <f>IF(C218="","",IF(K218=0,"not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R218" s="22" t="n"/>
      <c r="S218" s="26">
        <f>IF(R218="","",HYPERLINK(IF(LEFT(R218,4)="http",R218,set_QwilrBase&amp;R218),"Open quote"))</f>
        <v/>
      </c>
      <c r="T218" s="24" t="n"/>
      <c r="U218" s="24" t="n"/>
      <c r="V218" s="24" t="n"/>
      <c r="W218" s="26">
        <f>IF(C218="","",IF(N(T218)+N(U218)+N(V218)=0,"Not split",IF(ROUND(N(T218)+N(U218)+N(V218),2)=ROUND(L218+P218,2),"OK",IF(K218=0,"Not invoiced yet","MISMATCH"))))</f>
        <v/>
      </c>
      <c r="X218" s="24" t="n"/>
      <c r="Y218" s="24" t="n"/>
      <c r="Z218" s="24" t="n"/>
      <c r="AA218" s="27">
        <f>IF(C218="","",N(X218)+N(Y218)+N(Z218))</f>
        <v/>
      </c>
      <c r="AB218" s="27">
        <f>IF(C218="","",L218+P218-AA218)</f>
        <v/>
      </c>
      <c r="AC218" s="29">
        <f>IFERROR(AB218/(L218+P218),"")</f>
        <v/>
      </c>
      <c r="AD218" s="22" t="n"/>
    </row>
    <row r="219" ht="15" customHeight="1">
      <c r="A219" s="70">
        <f>IF(C219="","",IFERROR(IF(SUMPRODUCT(MAX((tbl_Finance[Job Number]&amp;""=C219&amp;"")*(tbl_Finance[Xero Invoice No]&lt;&gt;"")*tbl_Finance[Date]))=0,"",SUMPRODUCT(MAX((tbl_Finance[Job Number]&amp;""=C219&amp;"")*(tbl_Finance[Xero Invoice No]&lt;&gt;"")*tbl_Finance[Date]))),""))</f>
        <v/>
      </c>
      <c r="B219" s="26">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2" t="n"/>
      <c r="D219" s="26">
        <f>IF(C219="","",IF(COUNTIF(lst_Jobs,C219&amp;"")&gt;0,"OK","CHECK"))</f>
        <v/>
      </c>
      <c r="E219" s="26">
        <f>IF(C219="","",IFERROR(INDEX(lst_JobName,MATCH(C219&amp;"",lst_Jobs,0)),""))</f>
        <v/>
      </c>
      <c r="F219" s="22" t="n"/>
      <c r="G219" s="22" t="n"/>
      <c r="H219" s="22" t="n"/>
      <c r="I219" s="22" t="n"/>
      <c r="J219" s="22" t="n"/>
      <c r="K219" s="28">
        <f>IF(C219="","",COUNTIFS(tbl_Finance[Job Number],C219&amp;"",tbl_Finance[Ex GST],"&lt;&gt;"))</f>
        <v/>
      </c>
      <c r="L219" s="27">
        <f>IF(C219="","",SUMIFS(tbl_Finance[Ex GST],tbl_Finance[Job Number],C219&amp;""))</f>
        <v/>
      </c>
      <c r="M219" s="27">
        <f>IF(C219="","",SUMIFS(tbl_Finance[Ex GST],tbl_Finance[Job Number],C219&amp;"",tbl_Finance[Xero Invoice No],"&lt;&gt;"))</f>
        <v/>
      </c>
      <c r="N219" s="27">
        <f>IF(C219="","",L219-M219)</f>
        <v/>
      </c>
      <c r="O219" s="24" t="n"/>
      <c r="P219" s="27">
        <f>IF(C219="","",IF(O219="",0,MAX(0,O219-L219)))</f>
        <v/>
      </c>
      <c r="Q219" s="26">
        <f>IF(C219="","",IF(K219=0,"not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R219" s="22" t="n"/>
      <c r="S219" s="26">
        <f>IF(R219="","",HYPERLINK(IF(LEFT(R219,4)="http",R219,set_QwilrBase&amp;R219),"Open quote"))</f>
        <v/>
      </c>
      <c r="T219" s="24" t="n"/>
      <c r="U219" s="24" t="n"/>
      <c r="V219" s="24" t="n"/>
      <c r="W219" s="26">
        <f>IF(C219="","",IF(N(T219)+N(U219)+N(V219)=0,"Not split",IF(ROUND(N(T219)+N(U219)+N(V219),2)=ROUND(L219+P219,2),"OK",IF(K219=0,"Not invoiced yet","MISMATCH"))))</f>
        <v/>
      </c>
      <c r="X219" s="24" t="n"/>
      <c r="Y219" s="24" t="n"/>
      <c r="Z219" s="24" t="n"/>
      <c r="AA219" s="27">
        <f>IF(C219="","",N(X219)+N(Y219)+N(Z219))</f>
        <v/>
      </c>
      <c r="AB219" s="27">
        <f>IF(C219="","",L219+P219-AA219)</f>
        <v/>
      </c>
      <c r="AC219" s="29">
        <f>IFERROR(AB219/(L219+P219),"")</f>
        <v/>
      </c>
      <c r="AD219" s="22" t="n"/>
    </row>
    <row r="220" ht="15" customHeight="1">
      <c r="A220" s="70">
        <f>IF(C220="","",IFERROR(IF(SUMPRODUCT(MAX((tbl_Finance[Job Number]&amp;""=C220&amp;"")*(tbl_Finance[Xero Invoice No]&lt;&gt;"")*tbl_Finance[Date]))=0,"",SUMPRODUCT(MAX((tbl_Finance[Job Number]&amp;""=C220&amp;"")*(tbl_Finance[Xero Invoice No]&lt;&gt;"")*tbl_Finance[Date]))),""))</f>
        <v/>
      </c>
      <c r="B220" s="26">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2" t="n"/>
      <c r="D220" s="26">
        <f>IF(C220="","",IF(COUNTIF(lst_Jobs,C220&amp;"")&gt;0,"OK","CHECK"))</f>
        <v/>
      </c>
      <c r="E220" s="26">
        <f>IF(C220="","",IFERROR(INDEX(lst_JobName,MATCH(C220&amp;"",lst_Jobs,0)),""))</f>
        <v/>
      </c>
      <c r="F220" s="22" t="n"/>
      <c r="G220" s="22" t="n"/>
      <c r="H220" s="22" t="n"/>
      <c r="I220" s="22" t="n"/>
      <c r="J220" s="22" t="n"/>
      <c r="K220" s="28">
        <f>IF(C220="","",COUNTIFS(tbl_Finance[Job Number],C220&amp;"",tbl_Finance[Ex GST],"&lt;&gt;"))</f>
        <v/>
      </c>
      <c r="L220" s="27">
        <f>IF(C220="","",SUMIFS(tbl_Finance[Ex GST],tbl_Finance[Job Number],C220&amp;""))</f>
        <v/>
      </c>
      <c r="M220" s="27">
        <f>IF(C220="","",SUMIFS(tbl_Finance[Ex GST],tbl_Finance[Job Number],C220&amp;"",tbl_Finance[Xero Invoice No],"&lt;&gt;"))</f>
        <v/>
      </c>
      <c r="N220" s="27">
        <f>IF(C220="","",L220-M220)</f>
        <v/>
      </c>
      <c r="O220" s="24" t="n"/>
      <c r="P220" s="27">
        <f>IF(C220="","",IF(O220="",0,MAX(0,O220-L220)))</f>
        <v/>
      </c>
      <c r="Q220" s="26">
        <f>IF(C220="","",IF(K220=0,"not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R220" s="22" t="n"/>
      <c r="S220" s="26">
        <f>IF(R220="","",HYPERLINK(IF(LEFT(R220,4)="http",R220,set_QwilrBase&amp;R220),"Open quote"))</f>
        <v/>
      </c>
      <c r="T220" s="24" t="n"/>
      <c r="U220" s="24" t="n"/>
      <c r="V220" s="24" t="n"/>
      <c r="W220" s="26">
        <f>IF(C220="","",IF(N(T220)+N(U220)+N(V220)=0,"Not split",IF(ROUND(N(T220)+N(U220)+N(V220),2)=ROUND(L220+P220,2),"OK",IF(K220=0,"Not invoiced yet","MISMATCH"))))</f>
        <v/>
      </c>
      <c r="X220" s="24" t="n"/>
      <c r="Y220" s="24" t="n"/>
      <c r="Z220" s="24" t="n"/>
      <c r="AA220" s="27">
        <f>IF(C220="","",N(X220)+N(Y220)+N(Z220))</f>
        <v/>
      </c>
      <c r="AB220" s="27">
        <f>IF(C220="","",L220+P220-AA220)</f>
        <v/>
      </c>
      <c r="AC220" s="29">
        <f>IFERROR(AB220/(L220+P220),"")</f>
        <v/>
      </c>
      <c r="AD220" s="22" t="n"/>
    </row>
    <row r="221" ht="15" customHeight="1">
      <c r="A221" s="70">
        <f>IF(C221="","",IFERROR(IF(SUMPRODUCT(MAX((tbl_Finance[Job Number]&amp;""=C221&amp;"")*(tbl_Finance[Xero Invoice No]&lt;&gt;"")*tbl_Finance[Date]))=0,"",SUMPRODUCT(MAX((tbl_Finance[Job Number]&amp;""=C221&amp;"")*(tbl_Finance[Xero Invoice No]&lt;&gt;"")*tbl_Finance[Date]))),""))</f>
        <v/>
      </c>
      <c r="B221" s="26">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2" t="n"/>
      <c r="D221" s="26">
        <f>IF(C221="","",IF(COUNTIF(lst_Jobs,C221&amp;"")&gt;0,"OK","CHECK"))</f>
        <v/>
      </c>
      <c r="E221" s="26">
        <f>IF(C221="","",IFERROR(INDEX(lst_JobName,MATCH(C221&amp;"",lst_Jobs,0)),""))</f>
        <v/>
      </c>
      <c r="F221" s="22" t="n"/>
      <c r="G221" s="22" t="n"/>
      <c r="H221" s="22" t="n"/>
      <c r="I221" s="22" t="n"/>
      <c r="J221" s="22" t="n"/>
      <c r="K221" s="28">
        <f>IF(C221="","",COUNTIFS(tbl_Finance[Job Number],C221&amp;"",tbl_Finance[Ex GST],"&lt;&gt;"))</f>
        <v/>
      </c>
      <c r="L221" s="27">
        <f>IF(C221="","",SUMIFS(tbl_Finance[Ex GST],tbl_Finance[Job Number],C221&amp;""))</f>
        <v/>
      </c>
      <c r="M221" s="27">
        <f>IF(C221="","",SUMIFS(tbl_Finance[Ex GST],tbl_Finance[Job Number],C221&amp;"",tbl_Finance[Xero Invoice No],"&lt;&gt;"))</f>
        <v/>
      </c>
      <c r="N221" s="27">
        <f>IF(C221="","",L221-M221)</f>
        <v/>
      </c>
      <c r="O221" s="24" t="n"/>
      <c r="P221" s="27">
        <f>IF(C221="","",IF(O221="",0,MAX(0,O221-L221)))</f>
        <v/>
      </c>
      <c r="Q221" s="26">
        <f>IF(C221="","",IF(K221=0,"not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R221" s="22" t="n"/>
      <c r="S221" s="26">
        <f>IF(R221="","",HYPERLINK(IF(LEFT(R221,4)="http",R221,set_QwilrBase&amp;R221),"Open quote"))</f>
        <v/>
      </c>
      <c r="T221" s="24" t="n"/>
      <c r="U221" s="24" t="n"/>
      <c r="V221" s="24" t="n"/>
      <c r="W221" s="26">
        <f>IF(C221="","",IF(N(T221)+N(U221)+N(V221)=0,"Not split",IF(ROUND(N(T221)+N(U221)+N(V221),2)=ROUND(L221+P221,2),"OK",IF(K221=0,"Not invoiced yet","MISMATCH"))))</f>
        <v/>
      </c>
      <c r="X221" s="24" t="n"/>
      <c r="Y221" s="24" t="n"/>
      <c r="Z221" s="24" t="n"/>
      <c r="AA221" s="27">
        <f>IF(C221="","",N(X221)+N(Y221)+N(Z221))</f>
        <v/>
      </c>
      <c r="AB221" s="27">
        <f>IF(C221="","",L221+P221-AA221)</f>
        <v/>
      </c>
      <c r="AC221" s="29">
        <f>IFERROR(AB221/(L221+P221),"")</f>
        <v/>
      </c>
      <c r="AD221" s="22" t="n"/>
    </row>
    <row r="222" ht="15" customHeight="1">
      <c r="A222" s="70">
        <f>IF(C222="","",IFERROR(IF(SUMPRODUCT(MAX((tbl_Finance[Job Number]&amp;""=C222&amp;"")*(tbl_Finance[Xero Invoice No]&lt;&gt;"")*tbl_Finance[Date]))=0,"",SUMPRODUCT(MAX((tbl_Finance[Job Number]&amp;""=C222&amp;"")*(tbl_Finance[Xero Invoice No]&lt;&gt;"")*tbl_Finance[Date]))),""))</f>
        <v/>
      </c>
      <c r="B222" s="26">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2" t="n"/>
      <c r="D222" s="26">
        <f>IF(C222="","",IF(COUNTIF(lst_Jobs,C222&amp;"")&gt;0,"OK","CHECK"))</f>
        <v/>
      </c>
      <c r="E222" s="26">
        <f>IF(C222="","",IFERROR(INDEX(lst_JobName,MATCH(C222&amp;"",lst_Jobs,0)),""))</f>
        <v/>
      </c>
      <c r="F222" s="22" t="n"/>
      <c r="G222" s="22" t="n"/>
      <c r="H222" s="22" t="n"/>
      <c r="I222" s="22" t="n"/>
      <c r="J222" s="22" t="n"/>
      <c r="K222" s="28">
        <f>IF(C222="","",COUNTIFS(tbl_Finance[Job Number],C222&amp;"",tbl_Finance[Ex GST],"&lt;&gt;"))</f>
        <v/>
      </c>
      <c r="L222" s="27">
        <f>IF(C222="","",SUMIFS(tbl_Finance[Ex GST],tbl_Finance[Job Number],C222&amp;""))</f>
        <v/>
      </c>
      <c r="M222" s="27">
        <f>IF(C222="","",SUMIFS(tbl_Finance[Ex GST],tbl_Finance[Job Number],C222&amp;"",tbl_Finance[Xero Invoice No],"&lt;&gt;"))</f>
        <v/>
      </c>
      <c r="N222" s="27">
        <f>IF(C222="","",L222-M222)</f>
        <v/>
      </c>
      <c r="O222" s="24" t="n"/>
      <c r="P222" s="27">
        <f>IF(C222="","",IF(O222="",0,MAX(0,O222-L222)))</f>
        <v/>
      </c>
      <c r="Q222" s="26">
        <f>IF(C222="","",IF(K222=0,"not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R222" s="22" t="n"/>
      <c r="S222" s="26">
        <f>IF(R222="","",HYPERLINK(IF(LEFT(R222,4)="http",R222,set_QwilrBase&amp;R222),"Open quote"))</f>
        <v/>
      </c>
      <c r="T222" s="24" t="n"/>
      <c r="U222" s="24" t="n"/>
      <c r="V222" s="24" t="n"/>
      <c r="W222" s="26">
        <f>IF(C222="","",IF(N(T222)+N(U222)+N(V222)=0,"Not split",IF(ROUND(N(T222)+N(U222)+N(V222),2)=ROUND(L222+P222,2),"OK",IF(K222=0,"Not invoiced yet","MISMATCH"))))</f>
        <v/>
      </c>
      <c r="X222" s="24" t="n"/>
      <c r="Y222" s="24" t="n"/>
      <c r="Z222" s="24" t="n"/>
      <c r="AA222" s="27">
        <f>IF(C222="","",N(X222)+N(Y222)+N(Z222))</f>
        <v/>
      </c>
      <c r="AB222" s="27">
        <f>IF(C222="","",L222+P222-AA222)</f>
        <v/>
      </c>
      <c r="AC222" s="29">
        <f>IFERROR(AB222/(L222+P222),"")</f>
        <v/>
      </c>
      <c r="AD222" s="22" t="n"/>
    </row>
    <row r="223" ht="15" customHeight="1">
      <c r="A223" s="70">
        <f>IF(C223="","",IFERROR(IF(SUMPRODUCT(MAX((tbl_Finance[Job Number]&amp;""=C223&amp;"")*(tbl_Finance[Xero Invoice No]&lt;&gt;"")*tbl_Finance[Date]))=0,"",SUMPRODUCT(MAX((tbl_Finance[Job Number]&amp;""=C223&amp;"")*(tbl_Finance[Xero Invoice No]&lt;&gt;"")*tbl_Finance[Date]))),""))</f>
        <v/>
      </c>
      <c r="B223" s="26">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2" t="n"/>
      <c r="D223" s="26">
        <f>IF(C223="","",IF(COUNTIF(lst_Jobs,C223&amp;"")&gt;0,"OK","CHECK"))</f>
        <v/>
      </c>
      <c r="E223" s="26">
        <f>IF(C223="","",IFERROR(INDEX(lst_JobName,MATCH(C223&amp;"",lst_Jobs,0)),""))</f>
        <v/>
      </c>
      <c r="F223" s="22" t="n"/>
      <c r="G223" s="22" t="n"/>
      <c r="H223" s="22" t="n"/>
      <c r="I223" s="22" t="n"/>
      <c r="J223" s="22" t="n"/>
      <c r="K223" s="28">
        <f>IF(C223="","",COUNTIFS(tbl_Finance[Job Number],C223&amp;"",tbl_Finance[Ex GST],"&lt;&gt;"))</f>
        <v/>
      </c>
      <c r="L223" s="27">
        <f>IF(C223="","",SUMIFS(tbl_Finance[Ex GST],tbl_Finance[Job Number],C223&amp;""))</f>
        <v/>
      </c>
      <c r="M223" s="27">
        <f>IF(C223="","",SUMIFS(tbl_Finance[Ex GST],tbl_Finance[Job Number],C223&amp;"",tbl_Finance[Xero Invoice No],"&lt;&gt;"))</f>
        <v/>
      </c>
      <c r="N223" s="27">
        <f>IF(C223="","",L223-M223)</f>
        <v/>
      </c>
      <c r="O223" s="24" t="n"/>
      <c r="P223" s="27">
        <f>IF(C223="","",IF(O223="",0,MAX(0,O223-L223)))</f>
        <v/>
      </c>
      <c r="Q223" s="26">
        <f>IF(C223="","",IF(K223=0,"not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R223" s="22" t="n"/>
      <c r="S223" s="26">
        <f>IF(R223="","",HYPERLINK(IF(LEFT(R223,4)="http",R223,set_QwilrBase&amp;R223),"Open quote"))</f>
        <v/>
      </c>
      <c r="T223" s="24" t="n"/>
      <c r="U223" s="24" t="n"/>
      <c r="V223" s="24" t="n"/>
      <c r="W223" s="26">
        <f>IF(C223="","",IF(N(T223)+N(U223)+N(V223)=0,"Not split",IF(ROUND(N(T223)+N(U223)+N(V223),2)=ROUND(L223+P223,2),"OK",IF(K223=0,"Not invoiced yet","MISMATCH"))))</f>
        <v/>
      </c>
      <c r="X223" s="24" t="n"/>
      <c r="Y223" s="24" t="n"/>
      <c r="Z223" s="24" t="n"/>
      <c r="AA223" s="27">
        <f>IF(C223="","",N(X223)+N(Y223)+N(Z223))</f>
        <v/>
      </c>
      <c r="AB223" s="27">
        <f>IF(C223="","",L223+P223-AA223)</f>
        <v/>
      </c>
      <c r="AC223" s="29">
        <f>IFERROR(AB223/(L223+P223),"")</f>
        <v/>
      </c>
      <c r="AD223" s="22" t="n"/>
    </row>
    <row r="224" ht="15" customHeight="1">
      <c r="A224" s="70">
        <f>IF(C224="","",IFERROR(IF(SUMPRODUCT(MAX((tbl_Finance[Job Number]&amp;""=C224&amp;"")*(tbl_Finance[Xero Invoice No]&lt;&gt;"")*tbl_Finance[Date]))=0,"",SUMPRODUCT(MAX((tbl_Finance[Job Number]&amp;""=C224&amp;"")*(tbl_Finance[Xero Invoice No]&lt;&gt;"")*tbl_Finance[Date]))),""))</f>
        <v/>
      </c>
      <c r="B224" s="26">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2" t="n"/>
      <c r="D224" s="26">
        <f>IF(C224="","",IF(COUNTIF(lst_Jobs,C224&amp;"")&gt;0,"OK","CHECK"))</f>
        <v/>
      </c>
      <c r="E224" s="26">
        <f>IF(C224="","",IFERROR(INDEX(lst_JobName,MATCH(C224&amp;"",lst_Jobs,0)),""))</f>
        <v/>
      </c>
      <c r="F224" s="22" t="n"/>
      <c r="G224" s="22" t="n"/>
      <c r="H224" s="22" t="n"/>
      <c r="I224" s="22" t="n"/>
      <c r="J224" s="22" t="n"/>
      <c r="K224" s="28">
        <f>IF(C224="","",COUNTIFS(tbl_Finance[Job Number],C224&amp;"",tbl_Finance[Ex GST],"&lt;&gt;"))</f>
        <v/>
      </c>
      <c r="L224" s="27">
        <f>IF(C224="","",SUMIFS(tbl_Finance[Ex GST],tbl_Finance[Job Number],C224&amp;""))</f>
        <v/>
      </c>
      <c r="M224" s="27">
        <f>IF(C224="","",SUMIFS(tbl_Finance[Ex GST],tbl_Finance[Job Number],C224&amp;"",tbl_Finance[Xero Invoice No],"&lt;&gt;"))</f>
        <v/>
      </c>
      <c r="N224" s="27">
        <f>IF(C224="","",L224-M224)</f>
        <v/>
      </c>
      <c r="O224" s="24" t="n"/>
      <c r="P224" s="27">
        <f>IF(C224="","",IF(O224="",0,MAX(0,O224-L224)))</f>
        <v/>
      </c>
      <c r="Q224" s="26">
        <f>IF(C224="","",IF(K224=0,"not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R224" s="22" t="n"/>
      <c r="S224" s="26">
        <f>IF(R224="","",HYPERLINK(IF(LEFT(R224,4)="http",R224,set_QwilrBase&amp;R224),"Open quote"))</f>
        <v/>
      </c>
      <c r="T224" s="24" t="n"/>
      <c r="U224" s="24" t="n"/>
      <c r="V224" s="24" t="n"/>
      <c r="W224" s="26">
        <f>IF(C224="","",IF(N(T224)+N(U224)+N(V224)=0,"Not split",IF(ROUND(N(T224)+N(U224)+N(V224),2)=ROUND(L224+P224,2),"OK",IF(K224=0,"Not invoiced yet","MISMATCH"))))</f>
        <v/>
      </c>
      <c r="X224" s="24" t="n"/>
      <c r="Y224" s="24" t="n"/>
      <c r="Z224" s="24" t="n"/>
      <c r="AA224" s="27">
        <f>IF(C224="","",N(X224)+N(Y224)+N(Z224))</f>
        <v/>
      </c>
      <c r="AB224" s="27">
        <f>IF(C224="","",L224+P224-AA224)</f>
        <v/>
      </c>
      <c r="AC224" s="29">
        <f>IFERROR(AB224/(L224+P224),"")</f>
        <v/>
      </c>
      <c r="AD224" s="22" t="n"/>
    </row>
    <row r="225" ht="15" customHeight="1">
      <c r="A225" s="70">
        <f>IF(C225="","",IFERROR(IF(SUMPRODUCT(MAX((tbl_Finance[Job Number]&amp;""=C225&amp;"")*(tbl_Finance[Xero Invoice No]&lt;&gt;"")*tbl_Finance[Date]))=0,"",SUMPRODUCT(MAX((tbl_Finance[Job Number]&amp;""=C225&amp;"")*(tbl_Finance[Xero Invoice No]&lt;&gt;"")*tbl_Finance[Date]))),""))</f>
        <v/>
      </c>
      <c r="B225" s="26">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2" t="n"/>
      <c r="D225" s="26">
        <f>IF(C225="","",IF(COUNTIF(lst_Jobs,C225&amp;"")&gt;0,"OK","CHECK"))</f>
        <v/>
      </c>
      <c r="E225" s="26">
        <f>IF(C225="","",IFERROR(INDEX(lst_JobName,MATCH(C225&amp;"",lst_Jobs,0)),""))</f>
        <v/>
      </c>
      <c r="F225" s="22" t="n"/>
      <c r="G225" s="22" t="n"/>
      <c r="H225" s="22" t="n"/>
      <c r="I225" s="22" t="n"/>
      <c r="J225" s="22" t="n"/>
      <c r="K225" s="28">
        <f>IF(C225="","",COUNTIFS(tbl_Finance[Job Number],C225&amp;"",tbl_Finance[Ex GST],"&lt;&gt;"))</f>
        <v/>
      </c>
      <c r="L225" s="27">
        <f>IF(C225="","",SUMIFS(tbl_Finance[Ex GST],tbl_Finance[Job Number],C225&amp;""))</f>
        <v/>
      </c>
      <c r="M225" s="27">
        <f>IF(C225="","",SUMIFS(tbl_Finance[Ex GST],tbl_Finance[Job Number],C225&amp;"",tbl_Finance[Xero Invoice No],"&lt;&gt;"))</f>
        <v/>
      </c>
      <c r="N225" s="27">
        <f>IF(C225="","",L225-M225)</f>
        <v/>
      </c>
      <c r="O225" s="24" t="n"/>
      <c r="P225" s="27">
        <f>IF(C225="","",IF(O225="",0,MAX(0,O225-L225)))</f>
        <v/>
      </c>
      <c r="Q225" s="26">
        <f>IF(C225="","",IF(K225=0,"not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R225" s="22" t="n"/>
      <c r="S225" s="26">
        <f>IF(R225="","",HYPERLINK(IF(LEFT(R225,4)="http",R225,set_QwilrBase&amp;R225),"Open quote"))</f>
        <v/>
      </c>
      <c r="T225" s="24" t="n"/>
      <c r="U225" s="24" t="n"/>
      <c r="V225" s="24" t="n"/>
      <c r="W225" s="26">
        <f>IF(C225="","",IF(N(T225)+N(U225)+N(V225)=0,"Not split",IF(ROUND(N(T225)+N(U225)+N(V225),2)=ROUND(L225+P225,2),"OK",IF(K225=0,"Not invoiced yet","MISMATCH"))))</f>
        <v/>
      </c>
      <c r="X225" s="24" t="n"/>
      <c r="Y225" s="24" t="n"/>
      <c r="Z225" s="24" t="n"/>
      <c r="AA225" s="27">
        <f>IF(C225="","",N(X225)+N(Y225)+N(Z225))</f>
        <v/>
      </c>
      <c r="AB225" s="27">
        <f>IF(C225="","",L225+P225-AA225)</f>
        <v/>
      </c>
      <c r="AC225" s="29">
        <f>IFERROR(AB225/(L225+P225),"")</f>
        <v/>
      </c>
      <c r="AD225" s="22" t="n"/>
    </row>
    <row r="226" ht="15" customHeight="1">
      <c r="A226" s="70">
        <f>IF(C226="","",IFERROR(IF(SUMPRODUCT(MAX((tbl_Finance[Job Number]&amp;""=C226&amp;"")*(tbl_Finance[Xero Invoice No]&lt;&gt;"")*tbl_Finance[Date]))=0,"",SUMPRODUCT(MAX((tbl_Finance[Job Number]&amp;""=C226&amp;"")*(tbl_Finance[Xero Invoice No]&lt;&gt;"")*tbl_Finance[Date]))),""))</f>
        <v/>
      </c>
      <c r="B226" s="26">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2" t="n"/>
      <c r="D226" s="26">
        <f>IF(C226="","",IF(COUNTIF(lst_Jobs,C226&amp;"")&gt;0,"OK","CHECK"))</f>
        <v/>
      </c>
      <c r="E226" s="26">
        <f>IF(C226="","",IFERROR(INDEX(lst_JobName,MATCH(C226&amp;"",lst_Jobs,0)),""))</f>
        <v/>
      </c>
      <c r="F226" s="22" t="n"/>
      <c r="G226" s="22" t="n"/>
      <c r="H226" s="22" t="n"/>
      <c r="I226" s="22" t="n"/>
      <c r="J226" s="22" t="n"/>
      <c r="K226" s="28">
        <f>IF(C226="","",COUNTIFS(tbl_Finance[Job Number],C226&amp;"",tbl_Finance[Ex GST],"&lt;&gt;"))</f>
        <v/>
      </c>
      <c r="L226" s="27">
        <f>IF(C226="","",SUMIFS(tbl_Finance[Ex GST],tbl_Finance[Job Number],C226&amp;""))</f>
        <v/>
      </c>
      <c r="M226" s="27">
        <f>IF(C226="","",SUMIFS(tbl_Finance[Ex GST],tbl_Finance[Job Number],C226&amp;"",tbl_Finance[Xero Invoice No],"&lt;&gt;"))</f>
        <v/>
      </c>
      <c r="N226" s="27">
        <f>IF(C226="","",L226-M226)</f>
        <v/>
      </c>
      <c r="O226" s="24" t="n"/>
      <c r="P226" s="27">
        <f>IF(C226="","",IF(O226="",0,MAX(0,O226-L226)))</f>
        <v/>
      </c>
      <c r="Q226" s="26">
        <f>IF(C226="","",IF(K226=0,"not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R226" s="22" t="n"/>
      <c r="S226" s="26">
        <f>IF(R226="","",HYPERLINK(IF(LEFT(R226,4)="http",R226,set_QwilrBase&amp;R226),"Open quote"))</f>
        <v/>
      </c>
      <c r="T226" s="24" t="n"/>
      <c r="U226" s="24" t="n"/>
      <c r="V226" s="24" t="n"/>
      <c r="W226" s="26">
        <f>IF(C226="","",IF(N(T226)+N(U226)+N(V226)=0,"Not split",IF(ROUND(N(T226)+N(U226)+N(V226),2)=ROUND(L226+P226,2),"OK",IF(K226=0,"Not invoiced yet","MISMATCH"))))</f>
        <v/>
      </c>
      <c r="X226" s="24" t="n"/>
      <c r="Y226" s="24" t="n"/>
      <c r="Z226" s="24" t="n"/>
      <c r="AA226" s="27">
        <f>IF(C226="","",N(X226)+N(Y226)+N(Z226))</f>
        <v/>
      </c>
      <c r="AB226" s="27">
        <f>IF(C226="","",L226+P226-AA226)</f>
        <v/>
      </c>
      <c r="AC226" s="29">
        <f>IFERROR(AB226/(L226+P226),"")</f>
        <v/>
      </c>
      <c r="AD226" s="22" t="n"/>
    </row>
    <row r="227" ht="15" customHeight="1">
      <c r="A227" s="70">
        <f>IF(C227="","",IFERROR(IF(SUMPRODUCT(MAX((tbl_Finance[Job Number]&amp;""=C227&amp;"")*(tbl_Finance[Xero Invoice No]&lt;&gt;"")*tbl_Finance[Date]))=0,"",SUMPRODUCT(MAX((tbl_Finance[Job Number]&amp;""=C227&amp;"")*(tbl_Finance[Xero Invoice No]&lt;&gt;"")*tbl_Finance[Date]))),""))</f>
        <v/>
      </c>
      <c r="B227" s="26">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2" t="n"/>
      <c r="D227" s="26">
        <f>IF(C227="","",IF(COUNTIF(lst_Jobs,C227&amp;"")&gt;0,"OK","CHECK"))</f>
        <v/>
      </c>
      <c r="E227" s="26">
        <f>IF(C227="","",IFERROR(INDEX(lst_JobName,MATCH(C227&amp;"",lst_Jobs,0)),""))</f>
        <v/>
      </c>
      <c r="F227" s="22" t="n"/>
      <c r="G227" s="22" t="n"/>
      <c r="H227" s="22" t="n"/>
      <c r="I227" s="22" t="n"/>
      <c r="J227" s="22" t="n"/>
      <c r="K227" s="28">
        <f>IF(C227="","",COUNTIFS(tbl_Finance[Job Number],C227&amp;"",tbl_Finance[Ex GST],"&lt;&gt;"))</f>
        <v/>
      </c>
      <c r="L227" s="27">
        <f>IF(C227="","",SUMIFS(tbl_Finance[Ex GST],tbl_Finance[Job Number],C227&amp;""))</f>
        <v/>
      </c>
      <c r="M227" s="27">
        <f>IF(C227="","",SUMIFS(tbl_Finance[Ex GST],tbl_Finance[Job Number],C227&amp;"",tbl_Finance[Xero Invoice No],"&lt;&gt;"))</f>
        <v/>
      </c>
      <c r="N227" s="27">
        <f>IF(C227="","",L227-M227)</f>
        <v/>
      </c>
      <c r="O227" s="24" t="n"/>
      <c r="P227" s="27">
        <f>IF(C227="","",IF(O227="",0,MAX(0,O227-L227)))</f>
        <v/>
      </c>
      <c r="Q227" s="26">
        <f>IF(C227="","",IF(K227=0,"not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R227" s="22" t="n"/>
      <c r="S227" s="26">
        <f>IF(R227="","",HYPERLINK(IF(LEFT(R227,4)="http",R227,set_QwilrBase&amp;R227),"Open quote"))</f>
        <v/>
      </c>
      <c r="T227" s="24" t="n"/>
      <c r="U227" s="24" t="n"/>
      <c r="V227" s="24" t="n"/>
      <c r="W227" s="26">
        <f>IF(C227="","",IF(N(T227)+N(U227)+N(V227)=0,"Not split",IF(ROUND(N(T227)+N(U227)+N(V227),2)=ROUND(L227+P227,2),"OK",IF(K227=0,"Not invoiced yet","MISMATCH"))))</f>
        <v/>
      </c>
      <c r="X227" s="24" t="n"/>
      <c r="Y227" s="24" t="n"/>
      <c r="Z227" s="24" t="n"/>
      <c r="AA227" s="27">
        <f>IF(C227="","",N(X227)+N(Y227)+N(Z227))</f>
        <v/>
      </c>
      <c r="AB227" s="27">
        <f>IF(C227="","",L227+P227-AA227)</f>
        <v/>
      </c>
      <c r="AC227" s="29">
        <f>IFERROR(AB227/(L227+P227),"")</f>
        <v/>
      </c>
      <c r="AD227" s="22" t="n"/>
    </row>
    <row r="228" ht="15" customHeight="1">
      <c r="A228" s="70">
        <f>IF(C228="","",IFERROR(IF(SUMPRODUCT(MAX((tbl_Finance[Job Number]&amp;""=C228&amp;"")*(tbl_Finance[Xero Invoice No]&lt;&gt;"")*tbl_Finance[Date]))=0,"",SUMPRODUCT(MAX((tbl_Finance[Job Number]&amp;""=C228&amp;"")*(tbl_Finance[Xero Invoice No]&lt;&gt;"")*tbl_Finance[Date]))),""))</f>
        <v/>
      </c>
      <c r="B228" s="26">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2" t="n"/>
      <c r="D228" s="26">
        <f>IF(C228="","",IF(COUNTIF(lst_Jobs,C228&amp;"")&gt;0,"OK","CHECK"))</f>
        <v/>
      </c>
      <c r="E228" s="26">
        <f>IF(C228="","",IFERROR(INDEX(lst_JobName,MATCH(C228&amp;"",lst_Jobs,0)),""))</f>
        <v/>
      </c>
      <c r="F228" s="22" t="n"/>
      <c r="G228" s="22" t="n"/>
      <c r="H228" s="22" t="n"/>
      <c r="I228" s="22" t="n"/>
      <c r="J228" s="22" t="n"/>
      <c r="K228" s="28">
        <f>IF(C228="","",COUNTIFS(tbl_Finance[Job Number],C228&amp;"",tbl_Finance[Ex GST],"&lt;&gt;"))</f>
        <v/>
      </c>
      <c r="L228" s="27">
        <f>IF(C228="","",SUMIFS(tbl_Finance[Ex GST],tbl_Finance[Job Number],C228&amp;""))</f>
        <v/>
      </c>
      <c r="M228" s="27">
        <f>IF(C228="","",SUMIFS(tbl_Finance[Ex GST],tbl_Finance[Job Number],C228&amp;"",tbl_Finance[Xero Invoice No],"&lt;&gt;"))</f>
        <v/>
      </c>
      <c r="N228" s="27">
        <f>IF(C228="","",L228-M228)</f>
        <v/>
      </c>
      <c r="O228" s="24" t="n"/>
      <c r="P228" s="27">
        <f>IF(C228="","",IF(O228="",0,MAX(0,O228-L228)))</f>
        <v/>
      </c>
      <c r="Q228" s="26">
        <f>IF(C228="","",IF(K228=0,"not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R228" s="22" t="n"/>
      <c r="S228" s="26">
        <f>IF(R228="","",HYPERLINK(IF(LEFT(R228,4)="http",R228,set_QwilrBase&amp;R228),"Open quote"))</f>
        <v/>
      </c>
      <c r="T228" s="24" t="n"/>
      <c r="U228" s="24" t="n"/>
      <c r="V228" s="24" t="n"/>
      <c r="W228" s="26">
        <f>IF(C228="","",IF(N(T228)+N(U228)+N(V228)=0,"Not split",IF(ROUND(N(T228)+N(U228)+N(V228),2)=ROUND(L228+P228,2),"OK",IF(K228=0,"Not invoiced yet","MISMATCH"))))</f>
        <v/>
      </c>
      <c r="X228" s="24" t="n"/>
      <c r="Y228" s="24" t="n"/>
      <c r="Z228" s="24" t="n"/>
      <c r="AA228" s="27">
        <f>IF(C228="","",N(X228)+N(Y228)+N(Z228))</f>
        <v/>
      </c>
      <c r="AB228" s="27">
        <f>IF(C228="","",L228+P228-AA228)</f>
        <v/>
      </c>
      <c r="AC228" s="29">
        <f>IFERROR(AB228/(L228+P228),"")</f>
        <v/>
      </c>
      <c r="AD228" s="22" t="n"/>
    </row>
    <row r="229" ht="15" customHeight="1">
      <c r="A229" s="70">
        <f>IF(C229="","",IFERROR(IF(SUMPRODUCT(MAX((tbl_Finance[Job Number]&amp;""=C229&amp;"")*(tbl_Finance[Xero Invoice No]&lt;&gt;"")*tbl_Finance[Date]))=0,"",SUMPRODUCT(MAX((tbl_Finance[Job Number]&amp;""=C229&amp;"")*(tbl_Finance[Xero Invoice No]&lt;&gt;"")*tbl_Finance[Date]))),""))</f>
        <v/>
      </c>
      <c r="B229" s="26">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2" t="n"/>
      <c r="D229" s="26">
        <f>IF(C229="","",IF(COUNTIF(lst_Jobs,C229&amp;"")&gt;0,"OK","CHECK"))</f>
        <v/>
      </c>
      <c r="E229" s="26">
        <f>IF(C229="","",IFERROR(INDEX(lst_JobName,MATCH(C229&amp;"",lst_Jobs,0)),""))</f>
        <v/>
      </c>
      <c r="F229" s="22" t="n"/>
      <c r="G229" s="22" t="n"/>
      <c r="H229" s="22" t="n"/>
      <c r="I229" s="22" t="n"/>
      <c r="J229" s="22" t="n"/>
      <c r="K229" s="28">
        <f>IF(C229="","",COUNTIFS(tbl_Finance[Job Number],C229&amp;"",tbl_Finance[Ex GST],"&lt;&gt;"))</f>
        <v/>
      </c>
      <c r="L229" s="27">
        <f>IF(C229="","",SUMIFS(tbl_Finance[Ex GST],tbl_Finance[Job Number],C229&amp;""))</f>
        <v/>
      </c>
      <c r="M229" s="27">
        <f>IF(C229="","",SUMIFS(tbl_Finance[Ex GST],tbl_Finance[Job Number],C229&amp;"",tbl_Finance[Xero Invoice No],"&lt;&gt;"))</f>
        <v/>
      </c>
      <c r="N229" s="27">
        <f>IF(C229="","",L229-M229)</f>
        <v/>
      </c>
      <c r="O229" s="24" t="n"/>
      <c r="P229" s="27">
        <f>IF(C229="","",IF(O229="",0,MAX(0,O229-L229)))</f>
        <v/>
      </c>
      <c r="Q229" s="26">
        <f>IF(C229="","",IF(K229=0,"not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R229" s="22" t="n"/>
      <c r="S229" s="26">
        <f>IF(R229="","",HYPERLINK(IF(LEFT(R229,4)="http",R229,set_QwilrBase&amp;R229),"Open quote"))</f>
        <v/>
      </c>
      <c r="T229" s="24" t="n"/>
      <c r="U229" s="24" t="n"/>
      <c r="V229" s="24" t="n"/>
      <c r="W229" s="26">
        <f>IF(C229="","",IF(N(T229)+N(U229)+N(V229)=0,"Not split",IF(ROUND(N(T229)+N(U229)+N(V229),2)=ROUND(L229+P229,2),"OK",IF(K229=0,"Not invoiced yet","MISMATCH"))))</f>
        <v/>
      </c>
      <c r="X229" s="24" t="n"/>
      <c r="Y229" s="24" t="n"/>
      <c r="Z229" s="24" t="n"/>
      <c r="AA229" s="27">
        <f>IF(C229="","",N(X229)+N(Y229)+N(Z229))</f>
        <v/>
      </c>
      <c r="AB229" s="27">
        <f>IF(C229="","",L229+P229-AA229)</f>
        <v/>
      </c>
      <c r="AC229" s="29">
        <f>IFERROR(AB229/(L229+P229),"")</f>
        <v/>
      </c>
      <c r="AD229" s="22" t="n"/>
    </row>
    <row r="230" ht="15" customHeight="1">
      <c r="A230" s="70">
        <f>IF(C230="","",IFERROR(IF(SUMPRODUCT(MAX((tbl_Finance[Job Number]&amp;""=C230&amp;"")*(tbl_Finance[Xero Invoice No]&lt;&gt;"")*tbl_Finance[Date]))=0,"",SUMPRODUCT(MAX((tbl_Finance[Job Number]&amp;""=C230&amp;"")*(tbl_Finance[Xero Invoice No]&lt;&gt;"")*tbl_Finance[Date]))),""))</f>
        <v/>
      </c>
      <c r="B230" s="26">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2" t="n"/>
      <c r="D230" s="26">
        <f>IF(C230="","",IF(COUNTIF(lst_Jobs,C230&amp;"")&gt;0,"OK","CHECK"))</f>
        <v/>
      </c>
      <c r="E230" s="26">
        <f>IF(C230="","",IFERROR(INDEX(lst_JobName,MATCH(C230&amp;"",lst_Jobs,0)),""))</f>
        <v/>
      </c>
      <c r="F230" s="22" t="n"/>
      <c r="G230" s="22" t="n"/>
      <c r="H230" s="22" t="n"/>
      <c r="I230" s="22" t="n"/>
      <c r="J230" s="22" t="n"/>
      <c r="K230" s="28">
        <f>IF(C230="","",COUNTIFS(tbl_Finance[Job Number],C230&amp;"",tbl_Finance[Ex GST],"&lt;&gt;"))</f>
        <v/>
      </c>
      <c r="L230" s="27">
        <f>IF(C230="","",SUMIFS(tbl_Finance[Ex GST],tbl_Finance[Job Number],C230&amp;""))</f>
        <v/>
      </c>
      <c r="M230" s="27">
        <f>IF(C230="","",SUMIFS(tbl_Finance[Ex GST],tbl_Finance[Job Number],C230&amp;"",tbl_Finance[Xero Invoice No],"&lt;&gt;"))</f>
        <v/>
      </c>
      <c r="N230" s="27">
        <f>IF(C230="","",L230-M230)</f>
        <v/>
      </c>
      <c r="O230" s="24" t="n"/>
      <c r="P230" s="27">
        <f>IF(C230="","",IF(O230="",0,MAX(0,O230-L230)))</f>
        <v/>
      </c>
      <c r="Q230" s="26">
        <f>IF(C230="","",IF(K230=0,"not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R230" s="22" t="n"/>
      <c r="S230" s="26">
        <f>IF(R230="","",HYPERLINK(IF(LEFT(R230,4)="http",R230,set_QwilrBase&amp;R230),"Open quote"))</f>
        <v/>
      </c>
      <c r="T230" s="24" t="n"/>
      <c r="U230" s="24" t="n"/>
      <c r="V230" s="24" t="n"/>
      <c r="W230" s="26">
        <f>IF(C230="","",IF(N(T230)+N(U230)+N(V230)=0,"Not split",IF(ROUND(N(T230)+N(U230)+N(V230),2)=ROUND(L230+P230,2),"OK",IF(K230=0,"Not invoiced yet","MISMATCH"))))</f>
        <v/>
      </c>
      <c r="X230" s="24" t="n"/>
      <c r="Y230" s="24" t="n"/>
      <c r="Z230" s="24" t="n"/>
      <c r="AA230" s="27">
        <f>IF(C230="","",N(X230)+N(Y230)+N(Z230))</f>
        <v/>
      </c>
      <c r="AB230" s="27">
        <f>IF(C230="","",L230+P230-AA230)</f>
        <v/>
      </c>
      <c r="AC230" s="29">
        <f>IFERROR(AB230/(L230+P230),"")</f>
        <v/>
      </c>
      <c r="AD230" s="22" t="n"/>
    </row>
    <row r="231" ht="15" customHeight="1">
      <c r="A231" s="70">
        <f>IF(C231="","",IFERROR(IF(SUMPRODUCT(MAX((tbl_Finance[Job Number]&amp;""=C231&amp;"")*(tbl_Finance[Xero Invoice No]&lt;&gt;"")*tbl_Finance[Date]))=0,"",SUMPRODUCT(MAX((tbl_Finance[Job Number]&amp;""=C231&amp;"")*(tbl_Finance[Xero Invoice No]&lt;&gt;"")*tbl_Finance[Date]))),""))</f>
        <v/>
      </c>
      <c r="B231" s="26">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2" t="n"/>
      <c r="D231" s="26">
        <f>IF(C231="","",IF(COUNTIF(lst_Jobs,C231&amp;"")&gt;0,"OK","CHECK"))</f>
        <v/>
      </c>
      <c r="E231" s="26">
        <f>IF(C231="","",IFERROR(INDEX(lst_JobName,MATCH(C231&amp;"",lst_Jobs,0)),""))</f>
        <v/>
      </c>
      <c r="F231" s="22" t="n"/>
      <c r="G231" s="22" t="n"/>
      <c r="H231" s="22" t="n"/>
      <c r="I231" s="22" t="n"/>
      <c r="J231" s="22" t="n"/>
      <c r="K231" s="28">
        <f>IF(C231="","",COUNTIFS(tbl_Finance[Job Number],C231&amp;"",tbl_Finance[Ex GST],"&lt;&gt;"))</f>
        <v/>
      </c>
      <c r="L231" s="27">
        <f>IF(C231="","",SUMIFS(tbl_Finance[Ex GST],tbl_Finance[Job Number],C231&amp;""))</f>
        <v/>
      </c>
      <c r="M231" s="27">
        <f>IF(C231="","",SUMIFS(tbl_Finance[Ex GST],tbl_Finance[Job Number],C231&amp;"",tbl_Finance[Xero Invoice No],"&lt;&gt;"))</f>
        <v/>
      </c>
      <c r="N231" s="27">
        <f>IF(C231="","",L231-M231)</f>
        <v/>
      </c>
      <c r="O231" s="24" t="n"/>
      <c r="P231" s="27">
        <f>IF(C231="","",IF(O231="",0,MAX(0,O231-L231)))</f>
        <v/>
      </c>
      <c r="Q231" s="26">
        <f>IF(C231="","",IF(K231=0,"not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R231" s="22" t="n"/>
      <c r="S231" s="26">
        <f>IF(R231="","",HYPERLINK(IF(LEFT(R231,4)="http",R231,set_QwilrBase&amp;R231),"Open quote"))</f>
        <v/>
      </c>
      <c r="T231" s="24" t="n"/>
      <c r="U231" s="24" t="n"/>
      <c r="V231" s="24" t="n"/>
      <c r="W231" s="26">
        <f>IF(C231="","",IF(N(T231)+N(U231)+N(V231)=0,"Not split",IF(ROUND(N(T231)+N(U231)+N(V231),2)=ROUND(L231+P231,2),"OK",IF(K231=0,"Not invoiced yet","MISMATCH"))))</f>
        <v/>
      </c>
      <c r="X231" s="24" t="n"/>
      <c r="Y231" s="24" t="n"/>
      <c r="Z231" s="24" t="n"/>
      <c r="AA231" s="27">
        <f>IF(C231="","",N(X231)+N(Y231)+N(Z231))</f>
        <v/>
      </c>
      <c r="AB231" s="27">
        <f>IF(C231="","",L231+P231-AA231)</f>
        <v/>
      </c>
      <c r="AC231" s="29">
        <f>IFERROR(AB231/(L231+P231),"")</f>
        <v/>
      </c>
      <c r="AD231" s="22" t="n"/>
    </row>
    <row r="232" ht="15" customHeight="1">
      <c r="A232" s="70">
        <f>IF(C232="","",IFERROR(IF(SUMPRODUCT(MAX((tbl_Finance[Job Number]&amp;""=C232&amp;"")*(tbl_Finance[Xero Invoice No]&lt;&gt;"")*tbl_Finance[Date]))=0,"",SUMPRODUCT(MAX((tbl_Finance[Job Number]&amp;""=C232&amp;"")*(tbl_Finance[Xero Invoice No]&lt;&gt;"")*tbl_Finance[Date]))),""))</f>
        <v/>
      </c>
      <c r="B232" s="26">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2" t="n"/>
      <c r="D232" s="26">
        <f>IF(C232="","",IF(COUNTIF(lst_Jobs,C232&amp;"")&gt;0,"OK","CHECK"))</f>
        <v/>
      </c>
      <c r="E232" s="26">
        <f>IF(C232="","",IFERROR(INDEX(lst_JobName,MATCH(C232&amp;"",lst_Jobs,0)),""))</f>
        <v/>
      </c>
      <c r="F232" s="22" t="n"/>
      <c r="G232" s="22" t="n"/>
      <c r="H232" s="22" t="n"/>
      <c r="I232" s="22" t="n"/>
      <c r="J232" s="22" t="n"/>
      <c r="K232" s="28">
        <f>IF(C232="","",COUNTIFS(tbl_Finance[Job Number],C232&amp;"",tbl_Finance[Ex GST],"&lt;&gt;"))</f>
        <v/>
      </c>
      <c r="L232" s="27">
        <f>IF(C232="","",SUMIFS(tbl_Finance[Ex GST],tbl_Finance[Job Number],C232&amp;""))</f>
        <v/>
      </c>
      <c r="M232" s="27">
        <f>IF(C232="","",SUMIFS(tbl_Finance[Ex GST],tbl_Finance[Job Number],C232&amp;"",tbl_Finance[Xero Invoice No],"&lt;&gt;"))</f>
        <v/>
      </c>
      <c r="N232" s="27">
        <f>IF(C232="","",L232-M232)</f>
        <v/>
      </c>
      <c r="O232" s="24" t="n"/>
      <c r="P232" s="27">
        <f>IF(C232="","",IF(O232="",0,MAX(0,O232-L232)))</f>
        <v/>
      </c>
      <c r="Q232" s="26">
        <f>IF(C232="","",IF(K232=0,"not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R232" s="22" t="n"/>
      <c r="S232" s="26">
        <f>IF(R232="","",HYPERLINK(IF(LEFT(R232,4)="http",R232,set_QwilrBase&amp;R232),"Open quote"))</f>
        <v/>
      </c>
      <c r="T232" s="24" t="n"/>
      <c r="U232" s="24" t="n"/>
      <c r="V232" s="24" t="n"/>
      <c r="W232" s="26">
        <f>IF(C232="","",IF(N(T232)+N(U232)+N(V232)=0,"Not split",IF(ROUND(N(T232)+N(U232)+N(V232),2)=ROUND(L232+P232,2),"OK",IF(K232=0,"Not invoiced yet","MISMATCH"))))</f>
        <v/>
      </c>
      <c r="X232" s="24" t="n"/>
      <c r="Y232" s="24" t="n"/>
      <c r="Z232" s="24" t="n"/>
      <c r="AA232" s="27">
        <f>IF(C232="","",N(X232)+N(Y232)+N(Z232))</f>
        <v/>
      </c>
      <c r="AB232" s="27">
        <f>IF(C232="","",L232+P232-AA232)</f>
        <v/>
      </c>
      <c r="AC232" s="29">
        <f>IFERROR(AB232/(L232+P232),"")</f>
        <v/>
      </c>
      <c r="AD232" s="22" t="n"/>
    </row>
    <row r="233" ht="15" customHeight="1">
      <c r="A233" s="70">
        <f>IF(C233="","",IFERROR(IF(SUMPRODUCT(MAX((tbl_Finance[Job Number]&amp;""=C233&amp;"")*(tbl_Finance[Xero Invoice No]&lt;&gt;"")*tbl_Finance[Date]))=0,"",SUMPRODUCT(MAX((tbl_Finance[Job Number]&amp;""=C233&amp;"")*(tbl_Finance[Xero Invoice No]&lt;&gt;"")*tbl_Finance[Date]))),""))</f>
        <v/>
      </c>
      <c r="B233" s="26">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2" t="n"/>
      <c r="D233" s="26">
        <f>IF(C233="","",IF(COUNTIF(lst_Jobs,C233&amp;"")&gt;0,"OK","CHECK"))</f>
        <v/>
      </c>
      <c r="E233" s="26">
        <f>IF(C233="","",IFERROR(INDEX(lst_JobName,MATCH(C233&amp;"",lst_Jobs,0)),""))</f>
        <v/>
      </c>
      <c r="F233" s="22" t="n"/>
      <c r="G233" s="22" t="n"/>
      <c r="H233" s="22" t="n"/>
      <c r="I233" s="22" t="n"/>
      <c r="J233" s="22" t="n"/>
      <c r="K233" s="28">
        <f>IF(C233="","",COUNTIFS(tbl_Finance[Job Number],C233&amp;"",tbl_Finance[Ex GST],"&lt;&gt;"))</f>
        <v/>
      </c>
      <c r="L233" s="27">
        <f>IF(C233="","",SUMIFS(tbl_Finance[Ex GST],tbl_Finance[Job Number],C233&amp;""))</f>
        <v/>
      </c>
      <c r="M233" s="27">
        <f>IF(C233="","",SUMIFS(tbl_Finance[Ex GST],tbl_Finance[Job Number],C233&amp;"",tbl_Finance[Xero Invoice No],"&lt;&gt;"))</f>
        <v/>
      </c>
      <c r="N233" s="27">
        <f>IF(C233="","",L233-M233)</f>
        <v/>
      </c>
      <c r="O233" s="24" t="n"/>
      <c r="P233" s="27">
        <f>IF(C233="","",IF(O233="",0,MAX(0,O233-L233)))</f>
        <v/>
      </c>
      <c r="Q233" s="26">
        <f>IF(C233="","",IF(K233=0,"not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R233" s="22" t="n"/>
      <c r="S233" s="26">
        <f>IF(R233="","",HYPERLINK(IF(LEFT(R233,4)="http",R233,set_QwilrBase&amp;R233),"Open quote"))</f>
        <v/>
      </c>
      <c r="T233" s="24" t="n"/>
      <c r="U233" s="24" t="n"/>
      <c r="V233" s="24" t="n"/>
      <c r="W233" s="26">
        <f>IF(C233="","",IF(N(T233)+N(U233)+N(V233)=0,"Not split",IF(ROUND(N(T233)+N(U233)+N(V233),2)=ROUND(L233+P233,2),"OK",IF(K233=0,"Not invoiced yet","MISMATCH"))))</f>
        <v/>
      </c>
      <c r="X233" s="24" t="n"/>
      <c r="Y233" s="24" t="n"/>
      <c r="Z233" s="24" t="n"/>
      <c r="AA233" s="27">
        <f>IF(C233="","",N(X233)+N(Y233)+N(Z233))</f>
        <v/>
      </c>
      <c r="AB233" s="27">
        <f>IF(C233="","",L233+P233-AA233)</f>
        <v/>
      </c>
      <c r="AC233" s="29">
        <f>IFERROR(AB233/(L233+P233),"")</f>
        <v/>
      </c>
      <c r="AD233" s="22" t="n"/>
    </row>
    <row r="234" ht="15" customHeight="1">
      <c r="A234" s="70">
        <f>IF(C234="","",IFERROR(IF(SUMPRODUCT(MAX((tbl_Finance[Job Number]&amp;""=C234&amp;"")*(tbl_Finance[Xero Invoice No]&lt;&gt;"")*tbl_Finance[Date]))=0,"",SUMPRODUCT(MAX((tbl_Finance[Job Number]&amp;""=C234&amp;"")*(tbl_Finance[Xero Invoice No]&lt;&gt;"")*tbl_Finance[Date]))),""))</f>
        <v/>
      </c>
      <c r="B234" s="26">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2" t="n"/>
      <c r="D234" s="26">
        <f>IF(C234="","",IF(COUNTIF(lst_Jobs,C234&amp;"")&gt;0,"OK","CHECK"))</f>
        <v/>
      </c>
      <c r="E234" s="26">
        <f>IF(C234="","",IFERROR(INDEX(lst_JobName,MATCH(C234&amp;"",lst_Jobs,0)),""))</f>
        <v/>
      </c>
      <c r="F234" s="22" t="n"/>
      <c r="G234" s="22" t="n"/>
      <c r="H234" s="22" t="n"/>
      <c r="I234" s="22" t="n"/>
      <c r="J234" s="22" t="n"/>
      <c r="K234" s="28">
        <f>IF(C234="","",COUNTIFS(tbl_Finance[Job Number],C234&amp;"",tbl_Finance[Ex GST],"&lt;&gt;"))</f>
        <v/>
      </c>
      <c r="L234" s="27">
        <f>IF(C234="","",SUMIFS(tbl_Finance[Ex GST],tbl_Finance[Job Number],C234&amp;""))</f>
        <v/>
      </c>
      <c r="M234" s="27">
        <f>IF(C234="","",SUMIFS(tbl_Finance[Ex GST],tbl_Finance[Job Number],C234&amp;"",tbl_Finance[Xero Invoice No],"&lt;&gt;"))</f>
        <v/>
      </c>
      <c r="N234" s="27">
        <f>IF(C234="","",L234-M234)</f>
        <v/>
      </c>
      <c r="O234" s="24" t="n"/>
      <c r="P234" s="27">
        <f>IF(C234="","",IF(O234="",0,MAX(0,O234-L234)))</f>
        <v/>
      </c>
      <c r="Q234" s="26">
        <f>IF(C234="","",IF(K234=0,"not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R234" s="22" t="n"/>
      <c r="S234" s="26">
        <f>IF(R234="","",HYPERLINK(IF(LEFT(R234,4)="http",R234,set_QwilrBase&amp;R234),"Open quote"))</f>
        <v/>
      </c>
      <c r="T234" s="24" t="n"/>
      <c r="U234" s="24" t="n"/>
      <c r="V234" s="24" t="n"/>
      <c r="W234" s="26">
        <f>IF(C234="","",IF(N(T234)+N(U234)+N(V234)=0,"Not split",IF(ROUND(N(T234)+N(U234)+N(V234),2)=ROUND(L234+P234,2),"OK",IF(K234=0,"Not invoiced yet","MISMATCH"))))</f>
        <v/>
      </c>
      <c r="X234" s="24" t="n"/>
      <c r="Y234" s="24" t="n"/>
      <c r="Z234" s="24" t="n"/>
      <c r="AA234" s="27">
        <f>IF(C234="","",N(X234)+N(Y234)+N(Z234))</f>
        <v/>
      </c>
      <c r="AB234" s="27">
        <f>IF(C234="","",L234+P234-AA234)</f>
        <v/>
      </c>
      <c r="AC234" s="29">
        <f>IFERROR(AB234/(L234+P234),"")</f>
        <v/>
      </c>
      <c r="AD234" s="22" t="n"/>
    </row>
    <row r="235" ht="15" customHeight="1">
      <c r="A235" s="70">
        <f>IF(C235="","",IFERROR(IF(SUMPRODUCT(MAX((tbl_Finance[Job Number]&amp;""=C235&amp;"")*(tbl_Finance[Xero Invoice No]&lt;&gt;"")*tbl_Finance[Date]))=0,"",SUMPRODUCT(MAX((tbl_Finance[Job Number]&amp;""=C235&amp;"")*(tbl_Finance[Xero Invoice No]&lt;&gt;"")*tbl_Finance[Date]))),""))</f>
        <v/>
      </c>
      <c r="B235" s="26">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2" t="n"/>
      <c r="D235" s="26">
        <f>IF(C235="","",IF(COUNTIF(lst_Jobs,C235&amp;"")&gt;0,"OK","CHECK"))</f>
        <v/>
      </c>
      <c r="E235" s="26">
        <f>IF(C235="","",IFERROR(INDEX(lst_JobName,MATCH(C235&amp;"",lst_Jobs,0)),""))</f>
        <v/>
      </c>
      <c r="F235" s="22" t="n"/>
      <c r="G235" s="22" t="n"/>
      <c r="H235" s="22" t="n"/>
      <c r="I235" s="22" t="n"/>
      <c r="J235" s="22" t="n"/>
      <c r="K235" s="28">
        <f>IF(C235="","",COUNTIFS(tbl_Finance[Job Number],C235&amp;"",tbl_Finance[Ex GST],"&lt;&gt;"))</f>
        <v/>
      </c>
      <c r="L235" s="27">
        <f>IF(C235="","",SUMIFS(tbl_Finance[Ex GST],tbl_Finance[Job Number],C235&amp;""))</f>
        <v/>
      </c>
      <c r="M235" s="27">
        <f>IF(C235="","",SUMIFS(tbl_Finance[Ex GST],tbl_Finance[Job Number],C235&amp;"",tbl_Finance[Xero Invoice No],"&lt;&gt;"))</f>
        <v/>
      </c>
      <c r="N235" s="27">
        <f>IF(C235="","",L235-M235)</f>
        <v/>
      </c>
      <c r="O235" s="24" t="n"/>
      <c r="P235" s="27">
        <f>IF(C235="","",IF(O235="",0,MAX(0,O235-L235)))</f>
        <v/>
      </c>
      <c r="Q235" s="26">
        <f>IF(C235="","",IF(K235=0,"not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R235" s="22" t="n"/>
      <c r="S235" s="26">
        <f>IF(R235="","",HYPERLINK(IF(LEFT(R235,4)="http",R235,set_QwilrBase&amp;R235),"Open quote"))</f>
        <v/>
      </c>
      <c r="T235" s="24" t="n"/>
      <c r="U235" s="24" t="n"/>
      <c r="V235" s="24" t="n"/>
      <c r="W235" s="26">
        <f>IF(C235="","",IF(N(T235)+N(U235)+N(V235)=0,"Not split",IF(ROUND(N(T235)+N(U235)+N(V235),2)=ROUND(L235+P235,2),"OK",IF(K235=0,"Not invoiced yet","MISMATCH"))))</f>
        <v/>
      </c>
      <c r="X235" s="24" t="n"/>
      <c r="Y235" s="24" t="n"/>
      <c r="Z235" s="24" t="n"/>
      <c r="AA235" s="27">
        <f>IF(C235="","",N(X235)+N(Y235)+N(Z235))</f>
        <v/>
      </c>
      <c r="AB235" s="27">
        <f>IF(C235="","",L235+P235-AA235)</f>
        <v/>
      </c>
      <c r="AC235" s="29">
        <f>IFERROR(AB235/(L235+P235),"")</f>
        <v/>
      </c>
      <c r="AD235" s="22" t="n"/>
    </row>
    <row r="236" ht="15" customHeight="1">
      <c r="A236" s="70">
        <f>IF(C236="","",IFERROR(IF(SUMPRODUCT(MAX((tbl_Finance[Job Number]&amp;""=C236&amp;"")*(tbl_Finance[Xero Invoice No]&lt;&gt;"")*tbl_Finance[Date]))=0,"",SUMPRODUCT(MAX((tbl_Finance[Job Number]&amp;""=C236&amp;"")*(tbl_Finance[Xero Invoice No]&lt;&gt;"")*tbl_Finance[Date]))),""))</f>
        <v/>
      </c>
      <c r="B236" s="26">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2" t="n"/>
      <c r="D236" s="26">
        <f>IF(C236="","",IF(COUNTIF(lst_Jobs,C236&amp;"")&gt;0,"OK","CHECK"))</f>
        <v/>
      </c>
      <c r="E236" s="26">
        <f>IF(C236="","",IFERROR(INDEX(lst_JobName,MATCH(C236&amp;"",lst_Jobs,0)),""))</f>
        <v/>
      </c>
      <c r="F236" s="22" t="n"/>
      <c r="G236" s="22" t="n"/>
      <c r="H236" s="22" t="n"/>
      <c r="I236" s="22" t="n"/>
      <c r="J236" s="22" t="n"/>
      <c r="K236" s="28">
        <f>IF(C236="","",COUNTIFS(tbl_Finance[Job Number],C236&amp;"",tbl_Finance[Ex GST],"&lt;&gt;"))</f>
        <v/>
      </c>
      <c r="L236" s="27">
        <f>IF(C236="","",SUMIFS(tbl_Finance[Ex GST],tbl_Finance[Job Number],C236&amp;""))</f>
        <v/>
      </c>
      <c r="M236" s="27">
        <f>IF(C236="","",SUMIFS(tbl_Finance[Ex GST],tbl_Finance[Job Number],C236&amp;"",tbl_Finance[Xero Invoice No],"&lt;&gt;"))</f>
        <v/>
      </c>
      <c r="N236" s="27">
        <f>IF(C236="","",L236-M236)</f>
        <v/>
      </c>
      <c r="O236" s="24" t="n"/>
      <c r="P236" s="27">
        <f>IF(C236="","",IF(O236="",0,MAX(0,O236-L236)))</f>
        <v/>
      </c>
      <c r="Q236" s="26">
        <f>IF(C236="","",IF(K236=0,"not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R236" s="22" t="n"/>
      <c r="S236" s="26">
        <f>IF(R236="","",HYPERLINK(IF(LEFT(R236,4)="http",R236,set_QwilrBase&amp;R236),"Open quote"))</f>
        <v/>
      </c>
      <c r="T236" s="24" t="n"/>
      <c r="U236" s="24" t="n"/>
      <c r="V236" s="24" t="n"/>
      <c r="W236" s="26">
        <f>IF(C236="","",IF(N(T236)+N(U236)+N(V236)=0,"Not split",IF(ROUND(N(T236)+N(U236)+N(V236),2)=ROUND(L236+P236,2),"OK",IF(K236=0,"Not invoiced yet","MISMATCH"))))</f>
        <v/>
      </c>
      <c r="X236" s="24" t="n"/>
      <c r="Y236" s="24" t="n"/>
      <c r="Z236" s="24" t="n"/>
      <c r="AA236" s="27">
        <f>IF(C236="","",N(X236)+N(Y236)+N(Z236))</f>
        <v/>
      </c>
      <c r="AB236" s="27">
        <f>IF(C236="","",L236+P236-AA236)</f>
        <v/>
      </c>
      <c r="AC236" s="29">
        <f>IFERROR(AB236/(L236+P236),"")</f>
        <v/>
      </c>
      <c r="AD236" s="22" t="n"/>
    </row>
    <row r="237" ht="15" customHeight="1">
      <c r="A237" s="70">
        <f>IF(C237="","",IFERROR(IF(SUMPRODUCT(MAX((tbl_Finance[Job Number]&amp;""=C237&amp;"")*(tbl_Finance[Xero Invoice No]&lt;&gt;"")*tbl_Finance[Date]))=0,"",SUMPRODUCT(MAX((tbl_Finance[Job Number]&amp;""=C237&amp;"")*(tbl_Finance[Xero Invoice No]&lt;&gt;"")*tbl_Finance[Date]))),""))</f>
        <v/>
      </c>
      <c r="B237" s="26">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2" t="n"/>
      <c r="D237" s="26">
        <f>IF(C237="","",IF(COUNTIF(lst_Jobs,C237&amp;"")&gt;0,"OK","CHECK"))</f>
        <v/>
      </c>
      <c r="E237" s="26">
        <f>IF(C237="","",IFERROR(INDEX(lst_JobName,MATCH(C237&amp;"",lst_Jobs,0)),""))</f>
        <v/>
      </c>
      <c r="F237" s="22" t="n"/>
      <c r="G237" s="22" t="n"/>
      <c r="H237" s="22" t="n"/>
      <c r="I237" s="22" t="n"/>
      <c r="J237" s="22" t="n"/>
      <c r="K237" s="28">
        <f>IF(C237="","",COUNTIFS(tbl_Finance[Job Number],C237&amp;"",tbl_Finance[Ex GST],"&lt;&gt;"))</f>
        <v/>
      </c>
      <c r="L237" s="27">
        <f>IF(C237="","",SUMIFS(tbl_Finance[Ex GST],tbl_Finance[Job Number],C237&amp;""))</f>
        <v/>
      </c>
      <c r="M237" s="27">
        <f>IF(C237="","",SUMIFS(tbl_Finance[Ex GST],tbl_Finance[Job Number],C237&amp;"",tbl_Finance[Xero Invoice No],"&lt;&gt;"))</f>
        <v/>
      </c>
      <c r="N237" s="27">
        <f>IF(C237="","",L237-M237)</f>
        <v/>
      </c>
      <c r="O237" s="24" t="n"/>
      <c r="P237" s="27">
        <f>IF(C237="","",IF(O237="",0,MAX(0,O237-L237)))</f>
        <v/>
      </c>
      <c r="Q237" s="26">
        <f>IF(C237="","",IF(K237=0,"not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R237" s="22" t="n"/>
      <c r="S237" s="26">
        <f>IF(R237="","",HYPERLINK(IF(LEFT(R237,4)="http",R237,set_QwilrBase&amp;R237),"Open quote"))</f>
        <v/>
      </c>
      <c r="T237" s="24" t="n"/>
      <c r="U237" s="24" t="n"/>
      <c r="V237" s="24" t="n"/>
      <c r="W237" s="26">
        <f>IF(C237="","",IF(N(T237)+N(U237)+N(V237)=0,"Not split",IF(ROUND(N(T237)+N(U237)+N(V237),2)=ROUND(L237+P237,2),"OK",IF(K237=0,"Not invoiced yet","MISMATCH"))))</f>
        <v/>
      </c>
      <c r="X237" s="24" t="n"/>
      <c r="Y237" s="24" t="n"/>
      <c r="Z237" s="24" t="n"/>
      <c r="AA237" s="27">
        <f>IF(C237="","",N(X237)+N(Y237)+N(Z237))</f>
        <v/>
      </c>
      <c r="AB237" s="27">
        <f>IF(C237="","",L237+P237-AA237)</f>
        <v/>
      </c>
      <c r="AC237" s="29">
        <f>IFERROR(AB237/(L237+P237),"")</f>
        <v/>
      </c>
      <c r="AD237" s="22" t="n"/>
    </row>
    <row r="238" ht="15" customHeight="1">
      <c r="A238" s="70">
        <f>IF(C238="","",IFERROR(IF(SUMPRODUCT(MAX((tbl_Finance[Job Number]&amp;""=C238&amp;"")*(tbl_Finance[Xero Invoice No]&lt;&gt;"")*tbl_Finance[Date]))=0,"",SUMPRODUCT(MAX((tbl_Finance[Job Number]&amp;""=C238&amp;"")*(tbl_Finance[Xero Invoice No]&lt;&gt;"")*tbl_Finance[Date]))),""))</f>
        <v/>
      </c>
      <c r="B238" s="26">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2" t="n"/>
      <c r="D238" s="26">
        <f>IF(C238="","",IF(COUNTIF(lst_Jobs,C238&amp;"")&gt;0,"OK","CHECK"))</f>
        <v/>
      </c>
      <c r="E238" s="26">
        <f>IF(C238="","",IFERROR(INDEX(lst_JobName,MATCH(C238&amp;"",lst_Jobs,0)),""))</f>
        <v/>
      </c>
      <c r="F238" s="22" t="n"/>
      <c r="G238" s="22" t="n"/>
      <c r="H238" s="22" t="n"/>
      <c r="I238" s="22" t="n"/>
      <c r="J238" s="22" t="n"/>
      <c r="K238" s="28">
        <f>IF(C238="","",COUNTIFS(tbl_Finance[Job Number],C238&amp;"",tbl_Finance[Ex GST],"&lt;&gt;"))</f>
        <v/>
      </c>
      <c r="L238" s="27">
        <f>IF(C238="","",SUMIFS(tbl_Finance[Ex GST],tbl_Finance[Job Number],C238&amp;""))</f>
        <v/>
      </c>
      <c r="M238" s="27">
        <f>IF(C238="","",SUMIFS(tbl_Finance[Ex GST],tbl_Finance[Job Number],C238&amp;"",tbl_Finance[Xero Invoice No],"&lt;&gt;"))</f>
        <v/>
      </c>
      <c r="N238" s="27">
        <f>IF(C238="","",L238-M238)</f>
        <v/>
      </c>
      <c r="O238" s="24" t="n"/>
      <c r="P238" s="27">
        <f>IF(C238="","",IF(O238="",0,MAX(0,O238-L238)))</f>
        <v/>
      </c>
      <c r="Q238" s="26">
        <f>IF(C238="","",IF(K238=0,"not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R238" s="22" t="n"/>
      <c r="S238" s="26">
        <f>IF(R238="","",HYPERLINK(IF(LEFT(R238,4)="http",R238,set_QwilrBase&amp;R238),"Open quote"))</f>
        <v/>
      </c>
      <c r="T238" s="24" t="n"/>
      <c r="U238" s="24" t="n"/>
      <c r="V238" s="24" t="n"/>
      <c r="W238" s="26">
        <f>IF(C238="","",IF(N(T238)+N(U238)+N(V238)=0,"Not split",IF(ROUND(N(T238)+N(U238)+N(V238),2)=ROUND(L238+P238,2),"OK",IF(K238=0,"Not invoiced yet","MISMATCH"))))</f>
        <v/>
      </c>
      <c r="X238" s="24" t="n"/>
      <c r="Y238" s="24" t="n"/>
      <c r="Z238" s="24" t="n"/>
      <c r="AA238" s="27">
        <f>IF(C238="","",N(X238)+N(Y238)+N(Z238))</f>
        <v/>
      </c>
      <c r="AB238" s="27">
        <f>IF(C238="","",L238+P238-AA238)</f>
        <v/>
      </c>
      <c r="AC238" s="29">
        <f>IFERROR(AB238/(L238+P238),"")</f>
        <v/>
      </c>
      <c r="AD238" s="22" t="n"/>
    </row>
    <row r="239" ht="15" customHeight="1">
      <c r="A239" s="70">
        <f>IF(C239="","",IFERROR(IF(SUMPRODUCT(MAX((tbl_Finance[Job Number]&amp;""=C239&amp;"")*(tbl_Finance[Xero Invoice No]&lt;&gt;"")*tbl_Finance[Date]))=0,"",SUMPRODUCT(MAX((tbl_Finance[Job Number]&amp;""=C239&amp;"")*(tbl_Finance[Xero Invoice No]&lt;&gt;"")*tbl_Finance[Date]))),""))</f>
        <v/>
      </c>
      <c r="B239" s="26">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2" t="n"/>
      <c r="D239" s="26">
        <f>IF(C239="","",IF(COUNTIF(lst_Jobs,C239&amp;"")&gt;0,"OK","CHECK"))</f>
        <v/>
      </c>
      <c r="E239" s="26">
        <f>IF(C239="","",IFERROR(INDEX(lst_JobName,MATCH(C239&amp;"",lst_Jobs,0)),""))</f>
        <v/>
      </c>
      <c r="F239" s="22" t="n"/>
      <c r="G239" s="22" t="n"/>
      <c r="H239" s="22" t="n"/>
      <c r="I239" s="22" t="n"/>
      <c r="J239" s="22" t="n"/>
      <c r="K239" s="28">
        <f>IF(C239="","",COUNTIFS(tbl_Finance[Job Number],C239&amp;"",tbl_Finance[Ex GST],"&lt;&gt;"))</f>
        <v/>
      </c>
      <c r="L239" s="27">
        <f>IF(C239="","",SUMIFS(tbl_Finance[Ex GST],tbl_Finance[Job Number],C239&amp;""))</f>
        <v/>
      </c>
      <c r="M239" s="27">
        <f>IF(C239="","",SUMIFS(tbl_Finance[Ex GST],tbl_Finance[Job Number],C239&amp;"",tbl_Finance[Xero Invoice No],"&lt;&gt;"))</f>
        <v/>
      </c>
      <c r="N239" s="27">
        <f>IF(C239="","",L239-M239)</f>
        <v/>
      </c>
      <c r="O239" s="24" t="n"/>
      <c r="P239" s="27">
        <f>IF(C239="","",IF(O239="",0,MAX(0,O239-L239)))</f>
        <v/>
      </c>
      <c r="Q239" s="26">
        <f>IF(C239="","",IF(K239=0,"not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R239" s="22" t="n"/>
      <c r="S239" s="26">
        <f>IF(R239="","",HYPERLINK(IF(LEFT(R239,4)="http",R239,set_QwilrBase&amp;R239),"Open quote"))</f>
        <v/>
      </c>
      <c r="T239" s="24" t="n"/>
      <c r="U239" s="24" t="n"/>
      <c r="V239" s="24" t="n"/>
      <c r="W239" s="26">
        <f>IF(C239="","",IF(N(T239)+N(U239)+N(V239)=0,"Not split",IF(ROUND(N(T239)+N(U239)+N(V239),2)=ROUND(L239+P239,2),"OK",IF(K239=0,"Not invoiced yet","MISMATCH"))))</f>
        <v/>
      </c>
      <c r="X239" s="24" t="n"/>
      <c r="Y239" s="24" t="n"/>
      <c r="Z239" s="24" t="n"/>
      <c r="AA239" s="27">
        <f>IF(C239="","",N(X239)+N(Y239)+N(Z239))</f>
        <v/>
      </c>
      <c r="AB239" s="27">
        <f>IF(C239="","",L239+P239-AA239)</f>
        <v/>
      </c>
      <c r="AC239" s="29">
        <f>IFERROR(AB239/(L239+P239),"")</f>
        <v/>
      </c>
      <c r="AD239" s="22" t="n"/>
    </row>
    <row r="240" ht="15" customHeight="1">
      <c r="A240" s="70">
        <f>IF(C240="","",IFERROR(IF(SUMPRODUCT(MAX((tbl_Finance[Job Number]&amp;""=C240&amp;"")*(tbl_Finance[Xero Invoice No]&lt;&gt;"")*tbl_Finance[Date]))=0,"",SUMPRODUCT(MAX((tbl_Finance[Job Number]&amp;""=C240&amp;"")*(tbl_Finance[Xero Invoice No]&lt;&gt;"")*tbl_Finance[Date]))),""))</f>
        <v/>
      </c>
      <c r="B240" s="26">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2" t="n"/>
      <c r="D240" s="26">
        <f>IF(C240="","",IF(COUNTIF(lst_Jobs,C240&amp;"")&gt;0,"OK","CHECK"))</f>
        <v/>
      </c>
      <c r="E240" s="26">
        <f>IF(C240="","",IFERROR(INDEX(lst_JobName,MATCH(C240&amp;"",lst_Jobs,0)),""))</f>
        <v/>
      </c>
      <c r="F240" s="22" t="n"/>
      <c r="G240" s="22" t="n"/>
      <c r="H240" s="22" t="n"/>
      <c r="I240" s="22" t="n"/>
      <c r="J240" s="22" t="n"/>
      <c r="K240" s="28">
        <f>IF(C240="","",COUNTIFS(tbl_Finance[Job Number],C240&amp;"",tbl_Finance[Ex GST],"&lt;&gt;"))</f>
        <v/>
      </c>
      <c r="L240" s="27">
        <f>IF(C240="","",SUMIFS(tbl_Finance[Ex GST],tbl_Finance[Job Number],C240&amp;""))</f>
        <v/>
      </c>
      <c r="M240" s="27">
        <f>IF(C240="","",SUMIFS(tbl_Finance[Ex GST],tbl_Finance[Job Number],C240&amp;"",tbl_Finance[Xero Invoice No],"&lt;&gt;"))</f>
        <v/>
      </c>
      <c r="N240" s="27">
        <f>IF(C240="","",L240-M240)</f>
        <v/>
      </c>
      <c r="O240" s="24" t="n"/>
      <c r="P240" s="27">
        <f>IF(C240="","",IF(O240="",0,MAX(0,O240-L240)))</f>
        <v/>
      </c>
      <c r="Q240" s="26">
        <f>IF(C240="","",IF(K240=0,"not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R240" s="22" t="n"/>
      <c r="S240" s="26">
        <f>IF(R240="","",HYPERLINK(IF(LEFT(R240,4)="http",R240,set_QwilrBase&amp;R240),"Open quote"))</f>
        <v/>
      </c>
      <c r="T240" s="24" t="n"/>
      <c r="U240" s="24" t="n"/>
      <c r="V240" s="24" t="n"/>
      <c r="W240" s="26">
        <f>IF(C240="","",IF(N(T240)+N(U240)+N(V240)=0,"Not split",IF(ROUND(N(T240)+N(U240)+N(V240),2)=ROUND(L240+P240,2),"OK",IF(K240=0,"Not invoiced yet","MISMATCH"))))</f>
        <v/>
      </c>
      <c r="X240" s="24" t="n"/>
      <c r="Y240" s="24" t="n"/>
      <c r="Z240" s="24" t="n"/>
      <c r="AA240" s="27">
        <f>IF(C240="","",N(X240)+N(Y240)+N(Z240))</f>
        <v/>
      </c>
      <c r="AB240" s="27">
        <f>IF(C240="","",L240+P240-AA240)</f>
        <v/>
      </c>
      <c r="AC240" s="29">
        <f>IFERROR(AB240/(L240+P240),"")</f>
        <v/>
      </c>
      <c r="AD240" s="22" t="n"/>
    </row>
    <row r="241" ht="15" customHeight="1">
      <c r="A241" s="70">
        <f>IF(C241="","",IFERROR(IF(SUMPRODUCT(MAX((tbl_Finance[Job Number]&amp;""=C241&amp;"")*(tbl_Finance[Xero Invoice No]&lt;&gt;"")*tbl_Finance[Date]))=0,"",SUMPRODUCT(MAX((tbl_Finance[Job Number]&amp;""=C241&amp;"")*(tbl_Finance[Xero Invoice No]&lt;&gt;"")*tbl_Finance[Date]))),""))</f>
        <v/>
      </c>
      <c r="B241" s="26">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2" t="n"/>
      <c r="D241" s="26">
        <f>IF(C241="","",IF(COUNTIF(lst_Jobs,C241&amp;"")&gt;0,"OK","CHECK"))</f>
        <v/>
      </c>
      <c r="E241" s="26">
        <f>IF(C241="","",IFERROR(INDEX(lst_JobName,MATCH(C241&amp;"",lst_Jobs,0)),""))</f>
        <v/>
      </c>
      <c r="F241" s="22" t="n"/>
      <c r="G241" s="22" t="n"/>
      <c r="H241" s="22" t="n"/>
      <c r="I241" s="22" t="n"/>
      <c r="J241" s="22" t="n"/>
      <c r="K241" s="28">
        <f>IF(C241="","",COUNTIFS(tbl_Finance[Job Number],C241&amp;"",tbl_Finance[Ex GST],"&lt;&gt;"))</f>
        <v/>
      </c>
      <c r="L241" s="27">
        <f>IF(C241="","",SUMIFS(tbl_Finance[Ex GST],tbl_Finance[Job Number],C241&amp;""))</f>
        <v/>
      </c>
      <c r="M241" s="27">
        <f>IF(C241="","",SUMIFS(tbl_Finance[Ex GST],tbl_Finance[Job Number],C241&amp;"",tbl_Finance[Xero Invoice No],"&lt;&gt;"))</f>
        <v/>
      </c>
      <c r="N241" s="27">
        <f>IF(C241="","",L241-M241)</f>
        <v/>
      </c>
      <c r="O241" s="24" t="n"/>
      <c r="P241" s="27">
        <f>IF(C241="","",IF(O241="",0,MAX(0,O241-L241)))</f>
        <v/>
      </c>
      <c r="Q241" s="26">
        <f>IF(C241="","",IF(K241=0,"not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R241" s="22" t="n"/>
      <c r="S241" s="26">
        <f>IF(R241="","",HYPERLINK(IF(LEFT(R241,4)="http",R241,set_QwilrBase&amp;R241),"Open quote"))</f>
        <v/>
      </c>
      <c r="T241" s="24" t="n"/>
      <c r="U241" s="24" t="n"/>
      <c r="V241" s="24" t="n"/>
      <c r="W241" s="26">
        <f>IF(C241="","",IF(N(T241)+N(U241)+N(V241)=0,"Not split",IF(ROUND(N(T241)+N(U241)+N(V241),2)=ROUND(L241+P241,2),"OK",IF(K241=0,"Not invoiced yet","MISMATCH"))))</f>
        <v/>
      </c>
      <c r="X241" s="24" t="n"/>
      <c r="Y241" s="24" t="n"/>
      <c r="Z241" s="24" t="n"/>
      <c r="AA241" s="27">
        <f>IF(C241="","",N(X241)+N(Y241)+N(Z241))</f>
        <v/>
      </c>
      <c r="AB241" s="27">
        <f>IF(C241="","",L241+P241-AA241)</f>
        <v/>
      </c>
      <c r="AC241" s="29">
        <f>IFERROR(AB241/(L241+P241),"")</f>
        <v/>
      </c>
      <c r="AD241" s="22" t="n"/>
    </row>
    <row r="242" ht="15" customHeight="1">
      <c r="A242" s="70">
        <f>IF(C242="","",IFERROR(IF(SUMPRODUCT(MAX((tbl_Finance[Job Number]&amp;""=C242&amp;"")*(tbl_Finance[Xero Invoice No]&lt;&gt;"")*tbl_Finance[Date]))=0,"",SUMPRODUCT(MAX((tbl_Finance[Job Number]&amp;""=C242&amp;"")*(tbl_Finance[Xero Invoice No]&lt;&gt;"")*tbl_Finance[Date]))),""))</f>
        <v/>
      </c>
      <c r="B242" s="26">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2" t="n"/>
      <c r="D242" s="26">
        <f>IF(C242="","",IF(COUNTIF(lst_Jobs,C242&amp;"")&gt;0,"OK","CHECK"))</f>
        <v/>
      </c>
      <c r="E242" s="26">
        <f>IF(C242="","",IFERROR(INDEX(lst_JobName,MATCH(C242&amp;"",lst_Jobs,0)),""))</f>
        <v/>
      </c>
      <c r="F242" s="22" t="n"/>
      <c r="G242" s="22" t="n"/>
      <c r="H242" s="22" t="n"/>
      <c r="I242" s="22" t="n"/>
      <c r="J242" s="22" t="n"/>
      <c r="K242" s="28">
        <f>IF(C242="","",COUNTIFS(tbl_Finance[Job Number],C242&amp;"",tbl_Finance[Ex GST],"&lt;&gt;"))</f>
        <v/>
      </c>
      <c r="L242" s="27">
        <f>IF(C242="","",SUMIFS(tbl_Finance[Ex GST],tbl_Finance[Job Number],C242&amp;""))</f>
        <v/>
      </c>
      <c r="M242" s="27">
        <f>IF(C242="","",SUMIFS(tbl_Finance[Ex GST],tbl_Finance[Job Number],C242&amp;"",tbl_Finance[Xero Invoice No],"&lt;&gt;"))</f>
        <v/>
      </c>
      <c r="N242" s="27">
        <f>IF(C242="","",L242-M242)</f>
        <v/>
      </c>
      <c r="O242" s="24" t="n"/>
      <c r="P242" s="27">
        <f>IF(C242="","",IF(O242="",0,MAX(0,O242-L242)))</f>
        <v/>
      </c>
      <c r="Q242" s="26">
        <f>IF(C242="","",IF(K242=0,"not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R242" s="22" t="n"/>
      <c r="S242" s="26">
        <f>IF(R242="","",HYPERLINK(IF(LEFT(R242,4)="http",R242,set_QwilrBase&amp;R242),"Open quote"))</f>
        <v/>
      </c>
      <c r="T242" s="24" t="n"/>
      <c r="U242" s="24" t="n"/>
      <c r="V242" s="24" t="n"/>
      <c r="W242" s="26">
        <f>IF(C242="","",IF(N(T242)+N(U242)+N(V242)=0,"Not split",IF(ROUND(N(T242)+N(U242)+N(V242),2)=ROUND(L242+P242,2),"OK",IF(K242=0,"Not invoiced yet","MISMATCH"))))</f>
        <v/>
      </c>
      <c r="X242" s="24" t="n"/>
      <c r="Y242" s="24" t="n"/>
      <c r="Z242" s="24" t="n"/>
      <c r="AA242" s="27">
        <f>IF(C242="","",N(X242)+N(Y242)+N(Z242))</f>
        <v/>
      </c>
      <c r="AB242" s="27">
        <f>IF(C242="","",L242+P242-AA242)</f>
        <v/>
      </c>
      <c r="AC242" s="29">
        <f>IFERROR(AB242/(L242+P242),"")</f>
        <v/>
      </c>
      <c r="AD242" s="22" t="n"/>
    </row>
    <row r="243" ht="15" customHeight="1">
      <c r="A243" s="70">
        <f>IF(C243="","",IFERROR(IF(SUMPRODUCT(MAX((tbl_Finance[Job Number]&amp;""=C243&amp;"")*(tbl_Finance[Xero Invoice No]&lt;&gt;"")*tbl_Finance[Date]))=0,"",SUMPRODUCT(MAX((tbl_Finance[Job Number]&amp;""=C243&amp;"")*(tbl_Finance[Xero Invoice No]&lt;&gt;"")*tbl_Finance[Date]))),""))</f>
        <v/>
      </c>
      <c r="B243" s="26">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2" t="n"/>
      <c r="D243" s="26">
        <f>IF(C243="","",IF(COUNTIF(lst_Jobs,C243&amp;"")&gt;0,"OK","CHECK"))</f>
        <v/>
      </c>
      <c r="E243" s="26">
        <f>IF(C243="","",IFERROR(INDEX(lst_JobName,MATCH(C243&amp;"",lst_Jobs,0)),""))</f>
        <v/>
      </c>
      <c r="F243" s="22" t="n"/>
      <c r="G243" s="22" t="n"/>
      <c r="H243" s="22" t="n"/>
      <c r="I243" s="22" t="n"/>
      <c r="J243" s="22" t="n"/>
      <c r="K243" s="28">
        <f>IF(C243="","",COUNTIFS(tbl_Finance[Job Number],C243&amp;"",tbl_Finance[Ex GST],"&lt;&gt;"))</f>
        <v/>
      </c>
      <c r="L243" s="27">
        <f>IF(C243="","",SUMIFS(tbl_Finance[Ex GST],tbl_Finance[Job Number],C243&amp;""))</f>
        <v/>
      </c>
      <c r="M243" s="27">
        <f>IF(C243="","",SUMIFS(tbl_Finance[Ex GST],tbl_Finance[Job Number],C243&amp;"",tbl_Finance[Xero Invoice No],"&lt;&gt;"))</f>
        <v/>
      </c>
      <c r="N243" s="27">
        <f>IF(C243="","",L243-M243)</f>
        <v/>
      </c>
      <c r="O243" s="24" t="n"/>
      <c r="P243" s="27">
        <f>IF(C243="","",IF(O243="",0,MAX(0,O243-L243)))</f>
        <v/>
      </c>
      <c r="Q243" s="26">
        <f>IF(C243="","",IF(K243=0,"not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R243" s="22" t="n"/>
      <c r="S243" s="26">
        <f>IF(R243="","",HYPERLINK(IF(LEFT(R243,4)="http",R243,set_QwilrBase&amp;R243),"Open quote"))</f>
        <v/>
      </c>
      <c r="T243" s="24" t="n"/>
      <c r="U243" s="24" t="n"/>
      <c r="V243" s="24" t="n"/>
      <c r="W243" s="26">
        <f>IF(C243="","",IF(N(T243)+N(U243)+N(V243)=0,"Not split",IF(ROUND(N(T243)+N(U243)+N(V243),2)=ROUND(L243+P243,2),"OK",IF(K243=0,"Not invoiced yet","MISMATCH"))))</f>
        <v/>
      </c>
      <c r="X243" s="24" t="n"/>
      <c r="Y243" s="24" t="n"/>
      <c r="Z243" s="24" t="n"/>
      <c r="AA243" s="27">
        <f>IF(C243="","",N(X243)+N(Y243)+N(Z243))</f>
        <v/>
      </c>
      <c r="AB243" s="27">
        <f>IF(C243="","",L243+P243-AA243)</f>
        <v/>
      </c>
      <c r="AC243" s="29">
        <f>IFERROR(AB243/(L243+P243),"")</f>
        <v/>
      </c>
      <c r="AD243" s="22" t="n"/>
    </row>
    <row r="244" ht="15" customHeight="1">
      <c r="A244" s="70">
        <f>IF(C244="","",IFERROR(IF(SUMPRODUCT(MAX((tbl_Finance[Job Number]&amp;""=C244&amp;"")*(tbl_Finance[Xero Invoice No]&lt;&gt;"")*tbl_Finance[Date]))=0,"",SUMPRODUCT(MAX((tbl_Finance[Job Number]&amp;""=C244&amp;"")*(tbl_Finance[Xero Invoice No]&lt;&gt;"")*tbl_Finance[Date]))),""))</f>
        <v/>
      </c>
      <c r="B244" s="26">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2" t="n"/>
      <c r="D244" s="26">
        <f>IF(C244="","",IF(COUNTIF(lst_Jobs,C244&amp;"")&gt;0,"OK","CHECK"))</f>
        <v/>
      </c>
      <c r="E244" s="26">
        <f>IF(C244="","",IFERROR(INDEX(lst_JobName,MATCH(C244&amp;"",lst_Jobs,0)),""))</f>
        <v/>
      </c>
      <c r="F244" s="22" t="n"/>
      <c r="G244" s="22" t="n"/>
      <c r="H244" s="22" t="n"/>
      <c r="I244" s="22" t="n"/>
      <c r="J244" s="22" t="n"/>
      <c r="K244" s="28">
        <f>IF(C244="","",COUNTIFS(tbl_Finance[Job Number],C244&amp;"",tbl_Finance[Ex GST],"&lt;&gt;"))</f>
        <v/>
      </c>
      <c r="L244" s="27">
        <f>IF(C244="","",SUMIFS(tbl_Finance[Ex GST],tbl_Finance[Job Number],C244&amp;""))</f>
        <v/>
      </c>
      <c r="M244" s="27">
        <f>IF(C244="","",SUMIFS(tbl_Finance[Ex GST],tbl_Finance[Job Number],C244&amp;"",tbl_Finance[Xero Invoice No],"&lt;&gt;"))</f>
        <v/>
      </c>
      <c r="N244" s="27">
        <f>IF(C244="","",L244-M244)</f>
        <v/>
      </c>
      <c r="O244" s="24" t="n"/>
      <c r="P244" s="27">
        <f>IF(C244="","",IF(O244="",0,MAX(0,O244-L244)))</f>
        <v/>
      </c>
      <c r="Q244" s="26">
        <f>IF(C244="","",IF(K244=0,"not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R244" s="22" t="n"/>
      <c r="S244" s="26">
        <f>IF(R244="","",HYPERLINK(IF(LEFT(R244,4)="http",R244,set_QwilrBase&amp;R244),"Open quote"))</f>
        <v/>
      </c>
      <c r="T244" s="24" t="n"/>
      <c r="U244" s="24" t="n"/>
      <c r="V244" s="24" t="n"/>
      <c r="W244" s="26">
        <f>IF(C244="","",IF(N(T244)+N(U244)+N(V244)=0,"Not split",IF(ROUND(N(T244)+N(U244)+N(V244),2)=ROUND(L244+P244,2),"OK",IF(K244=0,"Not invoiced yet","MISMATCH"))))</f>
        <v/>
      </c>
      <c r="X244" s="24" t="n"/>
      <c r="Y244" s="24" t="n"/>
      <c r="Z244" s="24" t="n"/>
      <c r="AA244" s="27">
        <f>IF(C244="","",N(X244)+N(Y244)+N(Z244))</f>
        <v/>
      </c>
      <c r="AB244" s="27">
        <f>IF(C244="","",L244+P244-AA244)</f>
        <v/>
      </c>
      <c r="AC244" s="29">
        <f>IFERROR(AB244/(L244+P244),"")</f>
        <v/>
      </c>
      <c r="AD244" s="22" t="n"/>
    </row>
    <row r="245" ht="15" customHeight="1">
      <c r="A245" s="70">
        <f>IF(C245="","",IFERROR(IF(SUMPRODUCT(MAX((tbl_Finance[Job Number]&amp;""=C245&amp;"")*(tbl_Finance[Xero Invoice No]&lt;&gt;"")*tbl_Finance[Date]))=0,"",SUMPRODUCT(MAX((tbl_Finance[Job Number]&amp;""=C245&amp;"")*(tbl_Finance[Xero Invoice No]&lt;&gt;"")*tbl_Finance[Date]))),""))</f>
        <v/>
      </c>
      <c r="B245" s="26">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2" t="n"/>
      <c r="D245" s="26">
        <f>IF(C245="","",IF(COUNTIF(lst_Jobs,C245&amp;"")&gt;0,"OK","CHECK"))</f>
        <v/>
      </c>
      <c r="E245" s="26">
        <f>IF(C245="","",IFERROR(INDEX(lst_JobName,MATCH(C245&amp;"",lst_Jobs,0)),""))</f>
        <v/>
      </c>
      <c r="F245" s="22" t="n"/>
      <c r="G245" s="22" t="n"/>
      <c r="H245" s="22" t="n"/>
      <c r="I245" s="22" t="n"/>
      <c r="J245" s="22" t="n"/>
      <c r="K245" s="28">
        <f>IF(C245="","",COUNTIFS(tbl_Finance[Job Number],C245&amp;"",tbl_Finance[Ex GST],"&lt;&gt;"))</f>
        <v/>
      </c>
      <c r="L245" s="27">
        <f>IF(C245="","",SUMIFS(tbl_Finance[Ex GST],tbl_Finance[Job Number],C245&amp;""))</f>
        <v/>
      </c>
      <c r="M245" s="27">
        <f>IF(C245="","",SUMIFS(tbl_Finance[Ex GST],tbl_Finance[Job Number],C245&amp;"",tbl_Finance[Xero Invoice No],"&lt;&gt;"))</f>
        <v/>
      </c>
      <c r="N245" s="27">
        <f>IF(C245="","",L245-M245)</f>
        <v/>
      </c>
      <c r="O245" s="24" t="n"/>
      <c r="P245" s="27">
        <f>IF(C245="","",IF(O245="",0,MAX(0,O245-L245)))</f>
        <v/>
      </c>
      <c r="Q245" s="26">
        <f>IF(C245="","",IF(K245=0,"not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R245" s="22" t="n"/>
      <c r="S245" s="26">
        <f>IF(R245="","",HYPERLINK(IF(LEFT(R245,4)="http",R245,set_QwilrBase&amp;R245),"Open quote"))</f>
        <v/>
      </c>
      <c r="T245" s="24" t="n"/>
      <c r="U245" s="24" t="n"/>
      <c r="V245" s="24" t="n"/>
      <c r="W245" s="26">
        <f>IF(C245="","",IF(N(T245)+N(U245)+N(V245)=0,"Not split",IF(ROUND(N(T245)+N(U245)+N(V245),2)=ROUND(L245+P245,2),"OK",IF(K245=0,"Not invoiced yet","MISMATCH"))))</f>
        <v/>
      </c>
      <c r="X245" s="24" t="n"/>
      <c r="Y245" s="24" t="n"/>
      <c r="Z245" s="24" t="n"/>
      <c r="AA245" s="27">
        <f>IF(C245="","",N(X245)+N(Y245)+N(Z245))</f>
        <v/>
      </c>
      <c r="AB245" s="27">
        <f>IF(C245="","",L245+P245-AA245)</f>
        <v/>
      </c>
      <c r="AC245" s="29">
        <f>IFERROR(AB245/(L245+P245),"")</f>
        <v/>
      </c>
      <c r="AD245" s="22" t="n"/>
    </row>
    <row r="246" ht="15" customHeight="1">
      <c r="A246" s="70">
        <f>IF(C246="","",IFERROR(IF(SUMPRODUCT(MAX((tbl_Finance[Job Number]&amp;""=C246&amp;"")*(tbl_Finance[Xero Invoice No]&lt;&gt;"")*tbl_Finance[Date]))=0,"",SUMPRODUCT(MAX((tbl_Finance[Job Number]&amp;""=C246&amp;"")*(tbl_Finance[Xero Invoice No]&lt;&gt;"")*tbl_Finance[Date]))),""))</f>
        <v/>
      </c>
      <c r="B246" s="26">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2" t="n"/>
      <c r="D246" s="26">
        <f>IF(C246="","",IF(COUNTIF(lst_Jobs,C246&amp;"")&gt;0,"OK","CHECK"))</f>
        <v/>
      </c>
      <c r="E246" s="26">
        <f>IF(C246="","",IFERROR(INDEX(lst_JobName,MATCH(C246&amp;"",lst_Jobs,0)),""))</f>
        <v/>
      </c>
      <c r="F246" s="22" t="n"/>
      <c r="G246" s="22" t="n"/>
      <c r="H246" s="22" t="n"/>
      <c r="I246" s="22" t="n"/>
      <c r="J246" s="22" t="n"/>
      <c r="K246" s="28">
        <f>IF(C246="","",COUNTIFS(tbl_Finance[Job Number],C246&amp;"",tbl_Finance[Ex GST],"&lt;&gt;"))</f>
        <v/>
      </c>
      <c r="L246" s="27">
        <f>IF(C246="","",SUMIFS(tbl_Finance[Ex GST],tbl_Finance[Job Number],C246&amp;""))</f>
        <v/>
      </c>
      <c r="M246" s="27">
        <f>IF(C246="","",SUMIFS(tbl_Finance[Ex GST],tbl_Finance[Job Number],C246&amp;"",tbl_Finance[Xero Invoice No],"&lt;&gt;"))</f>
        <v/>
      </c>
      <c r="N246" s="27">
        <f>IF(C246="","",L246-M246)</f>
        <v/>
      </c>
      <c r="O246" s="24" t="n"/>
      <c r="P246" s="27">
        <f>IF(C246="","",IF(O246="",0,MAX(0,O246-L246)))</f>
        <v/>
      </c>
      <c r="Q246" s="26">
        <f>IF(C246="","",IF(K246=0,"not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R246" s="22" t="n"/>
      <c r="S246" s="26">
        <f>IF(R246="","",HYPERLINK(IF(LEFT(R246,4)="http",R246,set_QwilrBase&amp;R246),"Open quote"))</f>
        <v/>
      </c>
      <c r="T246" s="24" t="n"/>
      <c r="U246" s="24" t="n"/>
      <c r="V246" s="24" t="n"/>
      <c r="W246" s="26">
        <f>IF(C246="","",IF(N(T246)+N(U246)+N(V246)=0,"Not split",IF(ROUND(N(T246)+N(U246)+N(V246),2)=ROUND(L246+P246,2),"OK",IF(K246=0,"Not invoiced yet","MISMATCH"))))</f>
        <v/>
      </c>
      <c r="X246" s="24" t="n"/>
      <c r="Y246" s="24" t="n"/>
      <c r="Z246" s="24" t="n"/>
      <c r="AA246" s="27">
        <f>IF(C246="","",N(X246)+N(Y246)+N(Z246))</f>
        <v/>
      </c>
      <c r="AB246" s="27">
        <f>IF(C246="","",L246+P246-AA246)</f>
        <v/>
      </c>
      <c r="AC246" s="29">
        <f>IFERROR(AB246/(L246+P246),"")</f>
        <v/>
      </c>
      <c r="AD246" s="22" t="n"/>
    </row>
    <row r="247" ht="15" customHeight="1">
      <c r="A247" s="70">
        <f>IF(C247="","",IFERROR(IF(SUMPRODUCT(MAX((tbl_Finance[Job Number]&amp;""=C247&amp;"")*(tbl_Finance[Xero Invoice No]&lt;&gt;"")*tbl_Finance[Date]))=0,"",SUMPRODUCT(MAX((tbl_Finance[Job Number]&amp;""=C247&amp;"")*(tbl_Finance[Xero Invoice No]&lt;&gt;"")*tbl_Finance[Date]))),""))</f>
        <v/>
      </c>
      <c r="B247" s="26">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2" t="n"/>
      <c r="D247" s="26">
        <f>IF(C247="","",IF(COUNTIF(lst_Jobs,C247&amp;"")&gt;0,"OK","CHECK"))</f>
        <v/>
      </c>
      <c r="E247" s="26">
        <f>IF(C247="","",IFERROR(INDEX(lst_JobName,MATCH(C247&amp;"",lst_Jobs,0)),""))</f>
        <v/>
      </c>
      <c r="F247" s="22" t="n"/>
      <c r="G247" s="22" t="n"/>
      <c r="H247" s="22" t="n"/>
      <c r="I247" s="22" t="n"/>
      <c r="J247" s="22" t="n"/>
      <c r="K247" s="28">
        <f>IF(C247="","",COUNTIFS(tbl_Finance[Job Number],C247&amp;"",tbl_Finance[Ex GST],"&lt;&gt;"))</f>
        <v/>
      </c>
      <c r="L247" s="27">
        <f>IF(C247="","",SUMIFS(tbl_Finance[Ex GST],tbl_Finance[Job Number],C247&amp;""))</f>
        <v/>
      </c>
      <c r="M247" s="27">
        <f>IF(C247="","",SUMIFS(tbl_Finance[Ex GST],tbl_Finance[Job Number],C247&amp;"",tbl_Finance[Xero Invoice No],"&lt;&gt;"))</f>
        <v/>
      </c>
      <c r="N247" s="27">
        <f>IF(C247="","",L247-M247)</f>
        <v/>
      </c>
      <c r="O247" s="24" t="n"/>
      <c r="P247" s="27">
        <f>IF(C247="","",IF(O247="",0,MAX(0,O247-L247)))</f>
        <v/>
      </c>
      <c r="Q247" s="26">
        <f>IF(C247="","",IF(K247=0,"not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R247" s="22" t="n"/>
      <c r="S247" s="26">
        <f>IF(R247="","",HYPERLINK(IF(LEFT(R247,4)="http",R247,set_QwilrBase&amp;R247),"Open quote"))</f>
        <v/>
      </c>
      <c r="T247" s="24" t="n"/>
      <c r="U247" s="24" t="n"/>
      <c r="V247" s="24" t="n"/>
      <c r="W247" s="26">
        <f>IF(C247="","",IF(N(T247)+N(U247)+N(V247)=0,"Not split",IF(ROUND(N(T247)+N(U247)+N(V247),2)=ROUND(L247+P247,2),"OK",IF(K247=0,"Not invoiced yet","MISMATCH"))))</f>
        <v/>
      </c>
      <c r="X247" s="24" t="n"/>
      <c r="Y247" s="24" t="n"/>
      <c r="Z247" s="24" t="n"/>
      <c r="AA247" s="27">
        <f>IF(C247="","",N(X247)+N(Y247)+N(Z247))</f>
        <v/>
      </c>
      <c r="AB247" s="27">
        <f>IF(C247="","",L247+P247-AA247)</f>
        <v/>
      </c>
      <c r="AC247" s="29">
        <f>IFERROR(AB247/(L247+P247),"")</f>
        <v/>
      </c>
      <c r="AD247" s="22" t="n"/>
    </row>
    <row r="248" ht="15" customHeight="1">
      <c r="A248" s="70">
        <f>IF(C248="","",IFERROR(IF(SUMPRODUCT(MAX((tbl_Finance[Job Number]&amp;""=C248&amp;"")*(tbl_Finance[Xero Invoice No]&lt;&gt;"")*tbl_Finance[Date]))=0,"",SUMPRODUCT(MAX((tbl_Finance[Job Number]&amp;""=C248&amp;"")*(tbl_Finance[Xero Invoice No]&lt;&gt;"")*tbl_Finance[Date]))),""))</f>
        <v/>
      </c>
      <c r="B248" s="26">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2" t="n"/>
      <c r="D248" s="26">
        <f>IF(C248="","",IF(COUNTIF(lst_Jobs,C248&amp;"")&gt;0,"OK","CHECK"))</f>
        <v/>
      </c>
      <c r="E248" s="26">
        <f>IF(C248="","",IFERROR(INDEX(lst_JobName,MATCH(C248&amp;"",lst_Jobs,0)),""))</f>
        <v/>
      </c>
      <c r="F248" s="22" t="n"/>
      <c r="G248" s="22" t="n"/>
      <c r="H248" s="22" t="n"/>
      <c r="I248" s="22" t="n"/>
      <c r="J248" s="22" t="n"/>
      <c r="K248" s="28">
        <f>IF(C248="","",COUNTIFS(tbl_Finance[Job Number],C248&amp;"",tbl_Finance[Ex GST],"&lt;&gt;"))</f>
        <v/>
      </c>
      <c r="L248" s="27">
        <f>IF(C248="","",SUMIFS(tbl_Finance[Ex GST],tbl_Finance[Job Number],C248&amp;""))</f>
        <v/>
      </c>
      <c r="M248" s="27">
        <f>IF(C248="","",SUMIFS(tbl_Finance[Ex GST],tbl_Finance[Job Number],C248&amp;"",tbl_Finance[Xero Invoice No],"&lt;&gt;"))</f>
        <v/>
      </c>
      <c r="N248" s="27">
        <f>IF(C248="","",L248-M248)</f>
        <v/>
      </c>
      <c r="O248" s="24" t="n"/>
      <c r="P248" s="27">
        <f>IF(C248="","",IF(O248="",0,MAX(0,O248-L248)))</f>
        <v/>
      </c>
      <c r="Q248" s="26">
        <f>IF(C248="","",IF(K248=0,"not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R248" s="22" t="n"/>
      <c r="S248" s="26">
        <f>IF(R248="","",HYPERLINK(IF(LEFT(R248,4)="http",R248,set_QwilrBase&amp;R248),"Open quote"))</f>
        <v/>
      </c>
      <c r="T248" s="24" t="n"/>
      <c r="U248" s="24" t="n"/>
      <c r="V248" s="24" t="n"/>
      <c r="W248" s="26">
        <f>IF(C248="","",IF(N(T248)+N(U248)+N(V248)=0,"Not split",IF(ROUND(N(T248)+N(U248)+N(V248),2)=ROUND(L248+P248,2),"OK",IF(K248=0,"Not invoiced yet","MISMATCH"))))</f>
        <v/>
      </c>
      <c r="X248" s="24" t="n"/>
      <c r="Y248" s="24" t="n"/>
      <c r="Z248" s="24" t="n"/>
      <c r="AA248" s="27">
        <f>IF(C248="","",N(X248)+N(Y248)+N(Z248))</f>
        <v/>
      </c>
      <c r="AB248" s="27">
        <f>IF(C248="","",L248+P248-AA248)</f>
        <v/>
      </c>
      <c r="AC248" s="29">
        <f>IFERROR(AB248/(L248+P248),"")</f>
        <v/>
      </c>
      <c r="AD248" s="22" t="n"/>
    </row>
    <row r="249" ht="15" customHeight="1">
      <c r="A249" s="70">
        <f>IF(C249="","",IFERROR(IF(SUMPRODUCT(MAX((tbl_Finance[Job Number]&amp;""=C249&amp;"")*(tbl_Finance[Xero Invoice No]&lt;&gt;"")*tbl_Finance[Date]))=0,"",SUMPRODUCT(MAX((tbl_Finance[Job Number]&amp;""=C249&amp;"")*(tbl_Finance[Xero Invoice No]&lt;&gt;"")*tbl_Finance[Date]))),""))</f>
        <v/>
      </c>
      <c r="B249" s="26">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2" t="n"/>
      <c r="D249" s="26">
        <f>IF(C249="","",IF(COUNTIF(lst_Jobs,C249&amp;"")&gt;0,"OK","CHECK"))</f>
        <v/>
      </c>
      <c r="E249" s="26">
        <f>IF(C249="","",IFERROR(INDEX(lst_JobName,MATCH(C249&amp;"",lst_Jobs,0)),""))</f>
        <v/>
      </c>
      <c r="F249" s="22" t="n"/>
      <c r="G249" s="22" t="n"/>
      <c r="H249" s="22" t="n"/>
      <c r="I249" s="22" t="n"/>
      <c r="J249" s="22" t="n"/>
      <c r="K249" s="28">
        <f>IF(C249="","",COUNTIFS(tbl_Finance[Job Number],C249&amp;"",tbl_Finance[Ex GST],"&lt;&gt;"))</f>
        <v/>
      </c>
      <c r="L249" s="27">
        <f>IF(C249="","",SUMIFS(tbl_Finance[Ex GST],tbl_Finance[Job Number],C249&amp;""))</f>
        <v/>
      </c>
      <c r="M249" s="27">
        <f>IF(C249="","",SUMIFS(tbl_Finance[Ex GST],tbl_Finance[Job Number],C249&amp;"",tbl_Finance[Xero Invoice No],"&lt;&gt;"))</f>
        <v/>
      </c>
      <c r="N249" s="27">
        <f>IF(C249="","",L249-M249)</f>
        <v/>
      </c>
      <c r="O249" s="24" t="n"/>
      <c r="P249" s="27">
        <f>IF(C249="","",IF(O249="",0,MAX(0,O249-L249)))</f>
        <v/>
      </c>
      <c r="Q249" s="26">
        <f>IF(C249="","",IF(K249=0,"not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R249" s="22" t="n"/>
      <c r="S249" s="26">
        <f>IF(R249="","",HYPERLINK(IF(LEFT(R249,4)="http",R249,set_QwilrBase&amp;R249),"Open quote"))</f>
        <v/>
      </c>
      <c r="T249" s="24" t="n"/>
      <c r="U249" s="24" t="n"/>
      <c r="V249" s="24" t="n"/>
      <c r="W249" s="26">
        <f>IF(C249="","",IF(N(T249)+N(U249)+N(V249)=0,"Not split",IF(ROUND(N(T249)+N(U249)+N(V249),2)=ROUND(L249+P249,2),"OK",IF(K249=0,"Not invoiced yet","MISMATCH"))))</f>
        <v/>
      </c>
      <c r="X249" s="24" t="n"/>
      <c r="Y249" s="24" t="n"/>
      <c r="Z249" s="24" t="n"/>
      <c r="AA249" s="27">
        <f>IF(C249="","",N(X249)+N(Y249)+N(Z249))</f>
        <v/>
      </c>
      <c r="AB249" s="27">
        <f>IF(C249="","",L249+P249-AA249)</f>
        <v/>
      </c>
      <c r="AC249" s="29">
        <f>IFERROR(AB249/(L249+P249),"")</f>
        <v/>
      </c>
      <c r="AD249" s="22" t="n"/>
    </row>
    <row r="250" ht="15" customHeight="1">
      <c r="A250" s="70">
        <f>IF(C250="","",IFERROR(IF(SUMPRODUCT(MAX((tbl_Finance[Job Number]&amp;""=C250&amp;"")*(tbl_Finance[Xero Invoice No]&lt;&gt;"")*tbl_Finance[Date]))=0,"",SUMPRODUCT(MAX((tbl_Finance[Job Number]&amp;""=C250&amp;"")*(tbl_Finance[Xero Invoice No]&lt;&gt;"")*tbl_Finance[Date]))),""))</f>
        <v/>
      </c>
      <c r="B250" s="26">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2" t="n"/>
      <c r="D250" s="26">
        <f>IF(C250="","",IF(COUNTIF(lst_Jobs,C250&amp;"")&gt;0,"OK","CHECK"))</f>
        <v/>
      </c>
      <c r="E250" s="26">
        <f>IF(C250="","",IFERROR(INDEX(lst_JobName,MATCH(C250&amp;"",lst_Jobs,0)),""))</f>
        <v/>
      </c>
      <c r="F250" s="22" t="n"/>
      <c r="G250" s="22" t="n"/>
      <c r="H250" s="22" t="n"/>
      <c r="I250" s="22" t="n"/>
      <c r="J250" s="22" t="n"/>
      <c r="K250" s="28">
        <f>IF(C250="","",COUNTIFS(tbl_Finance[Job Number],C250&amp;"",tbl_Finance[Ex GST],"&lt;&gt;"))</f>
        <v/>
      </c>
      <c r="L250" s="27">
        <f>IF(C250="","",SUMIFS(tbl_Finance[Ex GST],tbl_Finance[Job Number],C250&amp;""))</f>
        <v/>
      </c>
      <c r="M250" s="27">
        <f>IF(C250="","",SUMIFS(tbl_Finance[Ex GST],tbl_Finance[Job Number],C250&amp;"",tbl_Finance[Xero Invoice No],"&lt;&gt;"))</f>
        <v/>
      </c>
      <c r="N250" s="27">
        <f>IF(C250="","",L250-M250)</f>
        <v/>
      </c>
      <c r="O250" s="24" t="n"/>
      <c r="P250" s="27">
        <f>IF(C250="","",IF(O250="",0,MAX(0,O250-L250)))</f>
        <v/>
      </c>
      <c r="Q250" s="26">
        <f>IF(C250="","",IF(K250=0,"not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R250" s="22" t="n"/>
      <c r="S250" s="26">
        <f>IF(R250="","",HYPERLINK(IF(LEFT(R250,4)="http",R250,set_QwilrBase&amp;R250),"Open quote"))</f>
        <v/>
      </c>
      <c r="T250" s="24" t="n"/>
      <c r="U250" s="24" t="n"/>
      <c r="V250" s="24" t="n"/>
      <c r="W250" s="26">
        <f>IF(C250="","",IF(N(T250)+N(U250)+N(V250)=0,"Not split",IF(ROUND(N(T250)+N(U250)+N(V250),2)=ROUND(L250+P250,2),"OK",IF(K250=0,"Not invoiced yet","MISMATCH"))))</f>
        <v/>
      </c>
      <c r="X250" s="24" t="n"/>
      <c r="Y250" s="24" t="n"/>
      <c r="Z250" s="24" t="n"/>
      <c r="AA250" s="27">
        <f>IF(C250="","",N(X250)+N(Y250)+N(Z250))</f>
        <v/>
      </c>
      <c r="AB250" s="27">
        <f>IF(C250="","",L250+P250-AA250)</f>
        <v/>
      </c>
      <c r="AC250" s="29">
        <f>IFERROR(AB250/(L250+P250),"")</f>
        <v/>
      </c>
      <c r="AD250" s="22" t="n"/>
    </row>
    <row r="251" ht="15" customHeight="1">
      <c r="A251" s="70">
        <f>IF(C251="","",IFERROR(IF(SUMPRODUCT(MAX((tbl_Finance[Job Number]&amp;""=C251&amp;"")*(tbl_Finance[Xero Invoice No]&lt;&gt;"")*tbl_Finance[Date]))=0,"",SUMPRODUCT(MAX((tbl_Finance[Job Number]&amp;""=C251&amp;"")*(tbl_Finance[Xero Invoice No]&lt;&gt;"")*tbl_Finance[Date]))),""))</f>
        <v/>
      </c>
      <c r="B251" s="26">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2" t="n"/>
      <c r="D251" s="26">
        <f>IF(C251="","",IF(COUNTIF(lst_Jobs,C251&amp;"")&gt;0,"OK","CHECK"))</f>
        <v/>
      </c>
      <c r="E251" s="26">
        <f>IF(C251="","",IFERROR(INDEX(lst_JobName,MATCH(C251&amp;"",lst_Jobs,0)),""))</f>
        <v/>
      </c>
      <c r="F251" s="22" t="n"/>
      <c r="G251" s="22" t="n"/>
      <c r="H251" s="22" t="n"/>
      <c r="I251" s="22" t="n"/>
      <c r="J251" s="22" t="n"/>
      <c r="K251" s="28">
        <f>IF(C251="","",COUNTIFS(tbl_Finance[Job Number],C251&amp;"",tbl_Finance[Ex GST],"&lt;&gt;"))</f>
        <v/>
      </c>
      <c r="L251" s="27">
        <f>IF(C251="","",SUMIFS(tbl_Finance[Ex GST],tbl_Finance[Job Number],C251&amp;""))</f>
        <v/>
      </c>
      <c r="M251" s="27">
        <f>IF(C251="","",SUMIFS(tbl_Finance[Ex GST],tbl_Finance[Job Number],C251&amp;"",tbl_Finance[Xero Invoice No],"&lt;&gt;"))</f>
        <v/>
      </c>
      <c r="N251" s="27">
        <f>IF(C251="","",L251-M251)</f>
        <v/>
      </c>
      <c r="O251" s="24" t="n"/>
      <c r="P251" s="27">
        <f>IF(C251="","",IF(O251="",0,MAX(0,O251-L251)))</f>
        <v/>
      </c>
      <c r="Q251" s="26">
        <f>IF(C251="","",IF(K251=0,"not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R251" s="22" t="n"/>
      <c r="S251" s="26">
        <f>IF(R251="","",HYPERLINK(IF(LEFT(R251,4)="http",R251,set_QwilrBase&amp;R251),"Open quote"))</f>
        <v/>
      </c>
      <c r="T251" s="24" t="n"/>
      <c r="U251" s="24" t="n"/>
      <c r="V251" s="24" t="n"/>
      <c r="W251" s="26">
        <f>IF(C251="","",IF(N(T251)+N(U251)+N(V251)=0,"Not split",IF(ROUND(N(T251)+N(U251)+N(V251),2)=ROUND(L251+P251,2),"OK",IF(K251=0,"Not invoiced yet","MISMATCH"))))</f>
        <v/>
      </c>
      <c r="X251" s="24" t="n"/>
      <c r="Y251" s="24" t="n"/>
      <c r="Z251" s="24" t="n"/>
      <c r="AA251" s="27">
        <f>IF(C251="","",N(X251)+N(Y251)+N(Z251))</f>
        <v/>
      </c>
      <c r="AB251" s="27">
        <f>IF(C251="","",L251+P251-AA251)</f>
        <v/>
      </c>
      <c r="AC251" s="29">
        <f>IFERROR(AB251/(L251+P251),"")</f>
        <v/>
      </c>
      <c r="AD251" s="22" t="n"/>
    </row>
    <row r="252" ht="15" customHeight="1">
      <c r="A252" s="70">
        <f>IF(C252="","",IFERROR(IF(SUMPRODUCT(MAX((tbl_Finance[Job Number]&amp;""=C252&amp;"")*(tbl_Finance[Xero Invoice No]&lt;&gt;"")*tbl_Finance[Date]))=0,"",SUMPRODUCT(MAX((tbl_Finance[Job Number]&amp;""=C252&amp;"")*(tbl_Finance[Xero Invoice No]&lt;&gt;"")*tbl_Finance[Date]))),""))</f>
        <v/>
      </c>
      <c r="B252" s="26">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2" t="n"/>
      <c r="D252" s="26">
        <f>IF(C252="","",IF(COUNTIF(lst_Jobs,C252&amp;"")&gt;0,"OK","CHECK"))</f>
        <v/>
      </c>
      <c r="E252" s="26">
        <f>IF(C252="","",IFERROR(INDEX(lst_JobName,MATCH(C252&amp;"",lst_Jobs,0)),""))</f>
        <v/>
      </c>
      <c r="F252" s="22" t="n"/>
      <c r="G252" s="22" t="n"/>
      <c r="H252" s="22" t="n"/>
      <c r="I252" s="22" t="n"/>
      <c r="J252" s="22" t="n"/>
      <c r="K252" s="28">
        <f>IF(C252="","",COUNTIFS(tbl_Finance[Job Number],C252&amp;"",tbl_Finance[Ex GST],"&lt;&gt;"))</f>
        <v/>
      </c>
      <c r="L252" s="27">
        <f>IF(C252="","",SUMIFS(tbl_Finance[Ex GST],tbl_Finance[Job Number],C252&amp;""))</f>
        <v/>
      </c>
      <c r="M252" s="27">
        <f>IF(C252="","",SUMIFS(tbl_Finance[Ex GST],tbl_Finance[Job Number],C252&amp;"",tbl_Finance[Xero Invoice No],"&lt;&gt;"))</f>
        <v/>
      </c>
      <c r="N252" s="27">
        <f>IF(C252="","",L252-M252)</f>
        <v/>
      </c>
      <c r="O252" s="24" t="n"/>
      <c r="P252" s="27">
        <f>IF(C252="","",IF(O252="",0,MAX(0,O252-L252)))</f>
        <v/>
      </c>
      <c r="Q252" s="26">
        <f>IF(C252="","",IF(K252=0,"not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R252" s="22" t="n"/>
      <c r="S252" s="26">
        <f>IF(R252="","",HYPERLINK(IF(LEFT(R252,4)="http",R252,set_QwilrBase&amp;R252),"Open quote"))</f>
        <v/>
      </c>
      <c r="T252" s="24" t="n"/>
      <c r="U252" s="24" t="n"/>
      <c r="V252" s="24" t="n"/>
      <c r="W252" s="26">
        <f>IF(C252="","",IF(N(T252)+N(U252)+N(V252)=0,"Not split",IF(ROUND(N(T252)+N(U252)+N(V252),2)=ROUND(L252+P252,2),"OK",IF(K252=0,"Not invoiced yet","MISMATCH"))))</f>
        <v/>
      </c>
      <c r="X252" s="24" t="n"/>
      <c r="Y252" s="24" t="n"/>
      <c r="Z252" s="24" t="n"/>
      <c r="AA252" s="27">
        <f>IF(C252="","",N(X252)+N(Y252)+N(Z252))</f>
        <v/>
      </c>
      <c r="AB252" s="27">
        <f>IF(C252="","",L252+P252-AA252)</f>
        <v/>
      </c>
      <c r="AC252" s="29">
        <f>IFERROR(AB252/(L252+P252),"")</f>
        <v/>
      </c>
      <c r="AD252" s="22" t="n"/>
    </row>
    <row r="253" ht="15" customHeight="1">
      <c r="A253" s="70">
        <f>IF(C253="","",IFERROR(IF(SUMPRODUCT(MAX((tbl_Finance[Job Number]&amp;""=C253&amp;"")*(tbl_Finance[Xero Invoice No]&lt;&gt;"")*tbl_Finance[Date]))=0,"",SUMPRODUCT(MAX((tbl_Finance[Job Number]&amp;""=C253&amp;"")*(tbl_Finance[Xero Invoice No]&lt;&gt;"")*tbl_Finance[Date]))),""))</f>
        <v/>
      </c>
      <c r="B253" s="26">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2" t="n"/>
      <c r="D253" s="26">
        <f>IF(C253="","",IF(COUNTIF(lst_Jobs,C253&amp;"")&gt;0,"OK","CHECK"))</f>
        <v/>
      </c>
      <c r="E253" s="26">
        <f>IF(C253="","",IFERROR(INDEX(lst_JobName,MATCH(C253&amp;"",lst_Jobs,0)),""))</f>
        <v/>
      </c>
      <c r="F253" s="22" t="n"/>
      <c r="G253" s="22" t="n"/>
      <c r="H253" s="22" t="n"/>
      <c r="I253" s="22" t="n"/>
      <c r="J253" s="22" t="n"/>
      <c r="K253" s="28">
        <f>IF(C253="","",COUNTIFS(tbl_Finance[Job Number],C253&amp;"",tbl_Finance[Ex GST],"&lt;&gt;"))</f>
        <v/>
      </c>
      <c r="L253" s="27">
        <f>IF(C253="","",SUMIFS(tbl_Finance[Ex GST],tbl_Finance[Job Number],C253&amp;""))</f>
        <v/>
      </c>
      <c r="M253" s="27">
        <f>IF(C253="","",SUMIFS(tbl_Finance[Ex GST],tbl_Finance[Job Number],C253&amp;"",tbl_Finance[Xero Invoice No],"&lt;&gt;"))</f>
        <v/>
      </c>
      <c r="N253" s="27">
        <f>IF(C253="","",L253-M253)</f>
        <v/>
      </c>
      <c r="O253" s="24" t="n"/>
      <c r="P253" s="27">
        <f>IF(C253="","",IF(O253="",0,MAX(0,O253-L253)))</f>
        <v/>
      </c>
      <c r="Q253" s="26">
        <f>IF(C253="","",IF(K253=0,"not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R253" s="22" t="n"/>
      <c r="S253" s="26">
        <f>IF(R253="","",HYPERLINK(IF(LEFT(R253,4)="http",R253,set_QwilrBase&amp;R253),"Open quote"))</f>
        <v/>
      </c>
      <c r="T253" s="24" t="n"/>
      <c r="U253" s="24" t="n"/>
      <c r="V253" s="24" t="n"/>
      <c r="W253" s="26">
        <f>IF(C253="","",IF(N(T253)+N(U253)+N(V253)=0,"Not split",IF(ROUND(N(T253)+N(U253)+N(V253),2)=ROUND(L253+P253,2),"OK",IF(K253=0,"Not invoiced yet","MISMATCH"))))</f>
        <v/>
      </c>
      <c r="X253" s="24" t="n"/>
      <c r="Y253" s="24" t="n"/>
      <c r="Z253" s="24" t="n"/>
      <c r="AA253" s="27">
        <f>IF(C253="","",N(X253)+N(Y253)+N(Z253))</f>
        <v/>
      </c>
      <c r="AB253" s="27">
        <f>IF(C253="","",L253+P253-AA253)</f>
        <v/>
      </c>
      <c r="AC253" s="29">
        <f>IFERROR(AB253/(L253+P253),"")</f>
        <v/>
      </c>
      <c r="AD253" s="22" t="n"/>
    </row>
    <row r="254" ht="15" customHeight="1">
      <c r="A254" s="70">
        <f>IF(C254="","",IFERROR(IF(SUMPRODUCT(MAX((tbl_Finance[Job Number]&amp;""=C254&amp;"")*(tbl_Finance[Xero Invoice No]&lt;&gt;"")*tbl_Finance[Date]))=0,"",SUMPRODUCT(MAX((tbl_Finance[Job Number]&amp;""=C254&amp;"")*(tbl_Finance[Xero Invoice No]&lt;&gt;"")*tbl_Finance[Date]))),""))</f>
        <v/>
      </c>
      <c r="B254" s="26">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2" t="n"/>
      <c r="D254" s="26">
        <f>IF(C254="","",IF(COUNTIF(lst_Jobs,C254&amp;"")&gt;0,"OK","CHECK"))</f>
        <v/>
      </c>
      <c r="E254" s="26">
        <f>IF(C254="","",IFERROR(INDEX(lst_JobName,MATCH(C254&amp;"",lst_Jobs,0)),""))</f>
        <v/>
      </c>
      <c r="F254" s="22" t="n"/>
      <c r="G254" s="22" t="n"/>
      <c r="H254" s="22" t="n"/>
      <c r="I254" s="22" t="n"/>
      <c r="J254" s="22" t="n"/>
      <c r="K254" s="28">
        <f>IF(C254="","",COUNTIFS(tbl_Finance[Job Number],C254&amp;"",tbl_Finance[Ex GST],"&lt;&gt;"))</f>
        <v/>
      </c>
      <c r="L254" s="27">
        <f>IF(C254="","",SUMIFS(tbl_Finance[Ex GST],tbl_Finance[Job Number],C254&amp;""))</f>
        <v/>
      </c>
      <c r="M254" s="27">
        <f>IF(C254="","",SUMIFS(tbl_Finance[Ex GST],tbl_Finance[Job Number],C254&amp;"",tbl_Finance[Xero Invoice No],"&lt;&gt;"))</f>
        <v/>
      </c>
      <c r="N254" s="27">
        <f>IF(C254="","",L254-M254)</f>
        <v/>
      </c>
      <c r="O254" s="24" t="n"/>
      <c r="P254" s="27">
        <f>IF(C254="","",IF(O254="",0,MAX(0,O254-L254)))</f>
        <v/>
      </c>
      <c r="Q254" s="26">
        <f>IF(C254="","",IF(K254=0,"not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R254" s="22" t="n"/>
      <c r="S254" s="26">
        <f>IF(R254="","",HYPERLINK(IF(LEFT(R254,4)="http",R254,set_QwilrBase&amp;R254),"Open quote"))</f>
        <v/>
      </c>
      <c r="T254" s="24" t="n"/>
      <c r="U254" s="24" t="n"/>
      <c r="V254" s="24" t="n"/>
      <c r="W254" s="26">
        <f>IF(C254="","",IF(N(T254)+N(U254)+N(V254)=0,"Not split",IF(ROUND(N(T254)+N(U254)+N(V254),2)=ROUND(L254+P254,2),"OK",IF(K254=0,"Not invoiced yet","MISMATCH"))))</f>
        <v/>
      </c>
      <c r="X254" s="24" t="n"/>
      <c r="Y254" s="24" t="n"/>
      <c r="Z254" s="24" t="n"/>
      <c r="AA254" s="27">
        <f>IF(C254="","",N(X254)+N(Y254)+N(Z254))</f>
        <v/>
      </c>
      <c r="AB254" s="27">
        <f>IF(C254="","",L254+P254-AA254)</f>
        <v/>
      </c>
      <c r="AC254" s="29">
        <f>IFERROR(AB254/(L254+P254),"")</f>
        <v/>
      </c>
      <c r="AD254" s="22" t="n"/>
    </row>
    <row r="255" ht="15" customHeight="1">
      <c r="A255" s="70">
        <f>IF(C255="","",IFERROR(IF(SUMPRODUCT(MAX((tbl_Finance[Job Number]&amp;""=C255&amp;"")*(tbl_Finance[Xero Invoice No]&lt;&gt;"")*tbl_Finance[Date]))=0,"",SUMPRODUCT(MAX((tbl_Finance[Job Number]&amp;""=C255&amp;"")*(tbl_Finance[Xero Invoice No]&lt;&gt;"")*tbl_Finance[Date]))),""))</f>
        <v/>
      </c>
      <c r="B255" s="26">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2" t="n"/>
      <c r="D255" s="26">
        <f>IF(C255="","",IF(COUNTIF(lst_Jobs,C255&amp;"")&gt;0,"OK","CHECK"))</f>
        <v/>
      </c>
      <c r="E255" s="26">
        <f>IF(C255="","",IFERROR(INDEX(lst_JobName,MATCH(C255&amp;"",lst_Jobs,0)),""))</f>
        <v/>
      </c>
      <c r="F255" s="22" t="n"/>
      <c r="G255" s="22" t="n"/>
      <c r="H255" s="22" t="n"/>
      <c r="I255" s="22" t="n"/>
      <c r="J255" s="22" t="n"/>
      <c r="K255" s="28">
        <f>IF(C255="","",COUNTIFS(tbl_Finance[Job Number],C255&amp;"",tbl_Finance[Ex GST],"&lt;&gt;"))</f>
        <v/>
      </c>
      <c r="L255" s="27">
        <f>IF(C255="","",SUMIFS(tbl_Finance[Ex GST],tbl_Finance[Job Number],C255&amp;""))</f>
        <v/>
      </c>
      <c r="M255" s="27">
        <f>IF(C255="","",SUMIFS(tbl_Finance[Ex GST],tbl_Finance[Job Number],C255&amp;"",tbl_Finance[Xero Invoice No],"&lt;&gt;"))</f>
        <v/>
      </c>
      <c r="N255" s="27">
        <f>IF(C255="","",L255-M255)</f>
        <v/>
      </c>
      <c r="O255" s="24" t="n"/>
      <c r="P255" s="27">
        <f>IF(C255="","",IF(O255="",0,MAX(0,O255-L255)))</f>
        <v/>
      </c>
      <c r="Q255" s="26">
        <f>IF(C255="","",IF(K255=0,"not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R255" s="22" t="n"/>
      <c r="S255" s="26">
        <f>IF(R255="","",HYPERLINK(IF(LEFT(R255,4)="http",R255,set_QwilrBase&amp;R255),"Open quote"))</f>
        <v/>
      </c>
      <c r="T255" s="24" t="n"/>
      <c r="U255" s="24" t="n"/>
      <c r="V255" s="24" t="n"/>
      <c r="W255" s="26">
        <f>IF(C255="","",IF(N(T255)+N(U255)+N(V255)=0,"Not split",IF(ROUND(N(T255)+N(U255)+N(V255),2)=ROUND(L255+P255,2),"OK",IF(K255=0,"Not invoiced yet","MISMATCH"))))</f>
        <v/>
      </c>
      <c r="X255" s="24" t="n"/>
      <c r="Y255" s="24" t="n"/>
      <c r="Z255" s="24" t="n"/>
      <c r="AA255" s="27">
        <f>IF(C255="","",N(X255)+N(Y255)+N(Z255))</f>
        <v/>
      </c>
      <c r="AB255" s="27">
        <f>IF(C255="","",L255+P255-AA255)</f>
        <v/>
      </c>
      <c r="AC255" s="29">
        <f>IFERROR(AB255/(L255+P255),"")</f>
        <v/>
      </c>
      <c r="AD255" s="22" t="n"/>
    </row>
    <row r="256" ht="15" customHeight="1">
      <c r="A256" s="70">
        <f>IF(C256="","",IFERROR(IF(SUMPRODUCT(MAX((tbl_Finance[Job Number]&amp;""=C256&amp;"")*(tbl_Finance[Xero Invoice No]&lt;&gt;"")*tbl_Finance[Date]))=0,"",SUMPRODUCT(MAX((tbl_Finance[Job Number]&amp;""=C256&amp;"")*(tbl_Finance[Xero Invoice No]&lt;&gt;"")*tbl_Finance[Date]))),""))</f>
        <v/>
      </c>
      <c r="B256" s="26">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2" t="n"/>
      <c r="D256" s="26">
        <f>IF(C256="","",IF(COUNTIF(lst_Jobs,C256&amp;"")&gt;0,"OK","CHECK"))</f>
        <v/>
      </c>
      <c r="E256" s="26">
        <f>IF(C256="","",IFERROR(INDEX(lst_JobName,MATCH(C256&amp;"",lst_Jobs,0)),""))</f>
        <v/>
      </c>
      <c r="F256" s="22" t="n"/>
      <c r="G256" s="22" t="n"/>
      <c r="H256" s="22" t="n"/>
      <c r="I256" s="22" t="n"/>
      <c r="J256" s="22" t="n"/>
      <c r="K256" s="28">
        <f>IF(C256="","",COUNTIFS(tbl_Finance[Job Number],C256&amp;"",tbl_Finance[Ex GST],"&lt;&gt;"))</f>
        <v/>
      </c>
      <c r="L256" s="27">
        <f>IF(C256="","",SUMIFS(tbl_Finance[Ex GST],tbl_Finance[Job Number],C256&amp;""))</f>
        <v/>
      </c>
      <c r="M256" s="27">
        <f>IF(C256="","",SUMIFS(tbl_Finance[Ex GST],tbl_Finance[Job Number],C256&amp;"",tbl_Finance[Xero Invoice No],"&lt;&gt;"))</f>
        <v/>
      </c>
      <c r="N256" s="27">
        <f>IF(C256="","",L256-M256)</f>
        <v/>
      </c>
      <c r="O256" s="24" t="n"/>
      <c r="P256" s="27">
        <f>IF(C256="","",IF(O256="",0,MAX(0,O256-L256)))</f>
        <v/>
      </c>
      <c r="Q256" s="26">
        <f>IF(C256="","",IF(K256=0,"not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R256" s="22" t="n"/>
      <c r="S256" s="26">
        <f>IF(R256="","",HYPERLINK(IF(LEFT(R256,4)="http",R256,set_QwilrBase&amp;R256),"Open quote"))</f>
        <v/>
      </c>
      <c r="T256" s="24" t="n"/>
      <c r="U256" s="24" t="n"/>
      <c r="V256" s="24" t="n"/>
      <c r="W256" s="26">
        <f>IF(C256="","",IF(N(T256)+N(U256)+N(V256)=0,"Not split",IF(ROUND(N(T256)+N(U256)+N(V256),2)=ROUND(L256+P256,2),"OK",IF(K256=0,"Not invoiced yet","MISMATCH"))))</f>
        <v/>
      </c>
      <c r="X256" s="24" t="n"/>
      <c r="Y256" s="24" t="n"/>
      <c r="Z256" s="24" t="n"/>
      <c r="AA256" s="27">
        <f>IF(C256="","",N(X256)+N(Y256)+N(Z256))</f>
        <v/>
      </c>
      <c r="AB256" s="27">
        <f>IF(C256="","",L256+P256-AA256)</f>
        <v/>
      </c>
      <c r="AC256" s="29">
        <f>IFERROR(AB256/(L256+P256),"")</f>
        <v/>
      </c>
      <c r="AD256" s="22" t="n"/>
    </row>
    <row r="257" ht="15" customHeight="1">
      <c r="A257" s="70">
        <f>IF(C257="","",IFERROR(IF(SUMPRODUCT(MAX((tbl_Finance[Job Number]&amp;""=C257&amp;"")*(tbl_Finance[Xero Invoice No]&lt;&gt;"")*tbl_Finance[Date]))=0,"",SUMPRODUCT(MAX((tbl_Finance[Job Number]&amp;""=C257&amp;"")*(tbl_Finance[Xero Invoice No]&lt;&gt;"")*tbl_Finance[Date]))),""))</f>
        <v/>
      </c>
      <c r="B257" s="26">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2" t="n"/>
      <c r="D257" s="26">
        <f>IF(C257="","",IF(COUNTIF(lst_Jobs,C257&amp;"")&gt;0,"OK","CHECK"))</f>
        <v/>
      </c>
      <c r="E257" s="26">
        <f>IF(C257="","",IFERROR(INDEX(lst_JobName,MATCH(C257&amp;"",lst_Jobs,0)),""))</f>
        <v/>
      </c>
      <c r="F257" s="22" t="n"/>
      <c r="G257" s="22" t="n"/>
      <c r="H257" s="22" t="n"/>
      <c r="I257" s="22" t="n"/>
      <c r="J257" s="22" t="n"/>
      <c r="K257" s="28">
        <f>IF(C257="","",COUNTIFS(tbl_Finance[Job Number],C257&amp;"",tbl_Finance[Ex GST],"&lt;&gt;"))</f>
        <v/>
      </c>
      <c r="L257" s="27">
        <f>IF(C257="","",SUMIFS(tbl_Finance[Ex GST],tbl_Finance[Job Number],C257&amp;""))</f>
        <v/>
      </c>
      <c r="M257" s="27">
        <f>IF(C257="","",SUMIFS(tbl_Finance[Ex GST],tbl_Finance[Job Number],C257&amp;"",tbl_Finance[Xero Invoice No],"&lt;&gt;"))</f>
        <v/>
      </c>
      <c r="N257" s="27">
        <f>IF(C257="","",L257-M257)</f>
        <v/>
      </c>
      <c r="O257" s="24" t="n"/>
      <c r="P257" s="27">
        <f>IF(C257="","",IF(O257="",0,MAX(0,O257-L257)))</f>
        <v/>
      </c>
      <c r="Q257" s="26">
        <f>IF(C257="","",IF(K257=0,"not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R257" s="22" t="n"/>
      <c r="S257" s="26">
        <f>IF(R257="","",HYPERLINK(IF(LEFT(R257,4)="http",R257,set_QwilrBase&amp;R257),"Open quote"))</f>
        <v/>
      </c>
      <c r="T257" s="24" t="n"/>
      <c r="U257" s="24" t="n"/>
      <c r="V257" s="24" t="n"/>
      <c r="W257" s="26">
        <f>IF(C257="","",IF(N(T257)+N(U257)+N(V257)=0,"Not split",IF(ROUND(N(T257)+N(U257)+N(V257),2)=ROUND(L257+P257,2),"OK",IF(K257=0,"Not invoiced yet","MISMATCH"))))</f>
        <v/>
      </c>
      <c r="X257" s="24" t="n"/>
      <c r="Y257" s="24" t="n"/>
      <c r="Z257" s="24" t="n"/>
      <c r="AA257" s="27">
        <f>IF(C257="","",N(X257)+N(Y257)+N(Z257))</f>
        <v/>
      </c>
      <c r="AB257" s="27">
        <f>IF(C257="","",L257+P257-AA257)</f>
        <v/>
      </c>
      <c r="AC257" s="29">
        <f>IFERROR(AB257/(L257+P257),"")</f>
        <v/>
      </c>
      <c r="AD257" s="22" t="n"/>
    </row>
    <row r="258" ht="15" customHeight="1">
      <c r="A258" s="70">
        <f>IF(C258="","",IFERROR(IF(SUMPRODUCT(MAX((tbl_Finance[Job Number]&amp;""=C258&amp;"")*(tbl_Finance[Xero Invoice No]&lt;&gt;"")*tbl_Finance[Date]))=0,"",SUMPRODUCT(MAX((tbl_Finance[Job Number]&amp;""=C258&amp;"")*(tbl_Finance[Xero Invoice No]&lt;&gt;"")*tbl_Finance[Date]))),""))</f>
        <v/>
      </c>
      <c r="B258" s="26">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2" t="n"/>
      <c r="D258" s="26">
        <f>IF(C258="","",IF(COUNTIF(lst_Jobs,C258&amp;"")&gt;0,"OK","CHECK"))</f>
        <v/>
      </c>
      <c r="E258" s="26">
        <f>IF(C258="","",IFERROR(INDEX(lst_JobName,MATCH(C258&amp;"",lst_Jobs,0)),""))</f>
        <v/>
      </c>
      <c r="F258" s="22" t="n"/>
      <c r="G258" s="22" t="n"/>
      <c r="H258" s="22" t="n"/>
      <c r="I258" s="22" t="n"/>
      <c r="J258" s="22" t="n"/>
      <c r="K258" s="28">
        <f>IF(C258="","",COUNTIFS(tbl_Finance[Job Number],C258&amp;"",tbl_Finance[Ex GST],"&lt;&gt;"))</f>
        <v/>
      </c>
      <c r="L258" s="27">
        <f>IF(C258="","",SUMIFS(tbl_Finance[Ex GST],tbl_Finance[Job Number],C258&amp;""))</f>
        <v/>
      </c>
      <c r="M258" s="27">
        <f>IF(C258="","",SUMIFS(tbl_Finance[Ex GST],tbl_Finance[Job Number],C258&amp;"",tbl_Finance[Xero Invoice No],"&lt;&gt;"))</f>
        <v/>
      </c>
      <c r="N258" s="27">
        <f>IF(C258="","",L258-M258)</f>
        <v/>
      </c>
      <c r="O258" s="24" t="n"/>
      <c r="P258" s="27">
        <f>IF(C258="","",IF(O258="",0,MAX(0,O258-L258)))</f>
        <v/>
      </c>
      <c r="Q258" s="26">
        <f>IF(C258="","",IF(K258=0,"not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R258" s="22" t="n"/>
      <c r="S258" s="26">
        <f>IF(R258="","",HYPERLINK(IF(LEFT(R258,4)="http",R258,set_QwilrBase&amp;R258),"Open quote"))</f>
        <v/>
      </c>
      <c r="T258" s="24" t="n"/>
      <c r="U258" s="24" t="n"/>
      <c r="V258" s="24" t="n"/>
      <c r="W258" s="26">
        <f>IF(C258="","",IF(N(T258)+N(U258)+N(V258)=0,"Not split",IF(ROUND(N(T258)+N(U258)+N(V258),2)=ROUND(L258+P258,2),"OK",IF(K258=0,"Not invoiced yet","MISMATCH"))))</f>
        <v/>
      </c>
      <c r="X258" s="24" t="n"/>
      <c r="Y258" s="24" t="n"/>
      <c r="Z258" s="24" t="n"/>
      <c r="AA258" s="27">
        <f>IF(C258="","",N(X258)+N(Y258)+N(Z258))</f>
        <v/>
      </c>
      <c r="AB258" s="27">
        <f>IF(C258="","",L258+P258-AA258)</f>
        <v/>
      </c>
      <c r="AC258" s="29">
        <f>IFERROR(AB258/(L258+P258),"")</f>
        <v/>
      </c>
      <c r="AD258" s="22" t="n"/>
    </row>
    <row r="259" ht="15" customHeight="1">
      <c r="A259" s="70">
        <f>IF(C259="","",IFERROR(IF(SUMPRODUCT(MAX((tbl_Finance[Job Number]&amp;""=C259&amp;"")*(tbl_Finance[Xero Invoice No]&lt;&gt;"")*tbl_Finance[Date]))=0,"",SUMPRODUCT(MAX((tbl_Finance[Job Number]&amp;""=C259&amp;"")*(tbl_Finance[Xero Invoice No]&lt;&gt;"")*tbl_Finance[Date]))),""))</f>
        <v/>
      </c>
      <c r="B259" s="26">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2" t="n"/>
      <c r="D259" s="26">
        <f>IF(C259="","",IF(COUNTIF(lst_Jobs,C259&amp;"")&gt;0,"OK","CHECK"))</f>
        <v/>
      </c>
      <c r="E259" s="26">
        <f>IF(C259="","",IFERROR(INDEX(lst_JobName,MATCH(C259&amp;"",lst_Jobs,0)),""))</f>
        <v/>
      </c>
      <c r="F259" s="22" t="n"/>
      <c r="G259" s="22" t="n"/>
      <c r="H259" s="22" t="n"/>
      <c r="I259" s="22" t="n"/>
      <c r="J259" s="22" t="n"/>
      <c r="K259" s="28">
        <f>IF(C259="","",COUNTIFS(tbl_Finance[Job Number],C259&amp;"",tbl_Finance[Ex GST],"&lt;&gt;"))</f>
        <v/>
      </c>
      <c r="L259" s="27">
        <f>IF(C259="","",SUMIFS(tbl_Finance[Ex GST],tbl_Finance[Job Number],C259&amp;""))</f>
        <v/>
      </c>
      <c r="M259" s="27">
        <f>IF(C259="","",SUMIFS(tbl_Finance[Ex GST],tbl_Finance[Job Number],C259&amp;"",tbl_Finance[Xero Invoice No],"&lt;&gt;"))</f>
        <v/>
      </c>
      <c r="N259" s="27">
        <f>IF(C259="","",L259-M259)</f>
        <v/>
      </c>
      <c r="O259" s="24" t="n"/>
      <c r="P259" s="27">
        <f>IF(C259="","",IF(O259="",0,MAX(0,O259-L259)))</f>
        <v/>
      </c>
      <c r="Q259" s="26">
        <f>IF(C259="","",IF(K259=0,"not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R259" s="22" t="n"/>
      <c r="S259" s="26">
        <f>IF(R259="","",HYPERLINK(IF(LEFT(R259,4)="http",R259,set_QwilrBase&amp;R259),"Open quote"))</f>
        <v/>
      </c>
      <c r="T259" s="24" t="n"/>
      <c r="U259" s="24" t="n"/>
      <c r="V259" s="24" t="n"/>
      <c r="W259" s="26">
        <f>IF(C259="","",IF(N(T259)+N(U259)+N(V259)=0,"Not split",IF(ROUND(N(T259)+N(U259)+N(V259),2)=ROUND(L259+P259,2),"OK",IF(K259=0,"Not invoiced yet","MISMATCH"))))</f>
        <v/>
      </c>
      <c r="X259" s="24" t="n"/>
      <c r="Y259" s="24" t="n"/>
      <c r="Z259" s="24" t="n"/>
      <c r="AA259" s="27">
        <f>IF(C259="","",N(X259)+N(Y259)+N(Z259))</f>
        <v/>
      </c>
      <c r="AB259" s="27">
        <f>IF(C259="","",L259+P259-AA259)</f>
        <v/>
      </c>
      <c r="AC259" s="29">
        <f>IFERROR(AB259/(L259+P259),"")</f>
        <v/>
      </c>
      <c r="AD259" s="22" t="n"/>
    </row>
    <row r="260" ht="15" customHeight="1">
      <c r="A260" s="70">
        <f>IF(C260="","",IFERROR(IF(SUMPRODUCT(MAX((tbl_Finance[Job Number]&amp;""=C260&amp;"")*(tbl_Finance[Xero Invoice No]&lt;&gt;"")*tbl_Finance[Date]))=0,"",SUMPRODUCT(MAX((tbl_Finance[Job Number]&amp;""=C260&amp;"")*(tbl_Finance[Xero Invoice No]&lt;&gt;"")*tbl_Finance[Date]))),""))</f>
        <v/>
      </c>
      <c r="B260" s="26">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2" t="n"/>
      <c r="D260" s="26">
        <f>IF(C260="","",IF(COUNTIF(lst_Jobs,C260&amp;"")&gt;0,"OK","CHECK"))</f>
        <v/>
      </c>
      <c r="E260" s="26">
        <f>IF(C260="","",IFERROR(INDEX(lst_JobName,MATCH(C260&amp;"",lst_Jobs,0)),""))</f>
        <v/>
      </c>
      <c r="F260" s="22" t="n"/>
      <c r="G260" s="22" t="n"/>
      <c r="H260" s="22" t="n"/>
      <c r="I260" s="22" t="n"/>
      <c r="J260" s="22" t="n"/>
      <c r="K260" s="28">
        <f>IF(C260="","",COUNTIFS(tbl_Finance[Job Number],C260&amp;"",tbl_Finance[Ex GST],"&lt;&gt;"))</f>
        <v/>
      </c>
      <c r="L260" s="27">
        <f>IF(C260="","",SUMIFS(tbl_Finance[Ex GST],tbl_Finance[Job Number],C260&amp;""))</f>
        <v/>
      </c>
      <c r="M260" s="27">
        <f>IF(C260="","",SUMIFS(tbl_Finance[Ex GST],tbl_Finance[Job Number],C260&amp;"",tbl_Finance[Xero Invoice No],"&lt;&gt;"))</f>
        <v/>
      </c>
      <c r="N260" s="27">
        <f>IF(C260="","",L260-M260)</f>
        <v/>
      </c>
      <c r="O260" s="24" t="n"/>
      <c r="P260" s="27">
        <f>IF(C260="","",IF(O260="",0,MAX(0,O260-L260)))</f>
        <v/>
      </c>
      <c r="Q260" s="26">
        <f>IF(C260="","",IF(K260=0,"not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R260" s="22" t="n"/>
      <c r="S260" s="26">
        <f>IF(R260="","",HYPERLINK(IF(LEFT(R260,4)="http",R260,set_QwilrBase&amp;R260),"Open quote"))</f>
        <v/>
      </c>
      <c r="T260" s="24" t="n"/>
      <c r="U260" s="24" t="n"/>
      <c r="V260" s="24" t="n"/>
      <c r="W260" s="26">
        <f>IF(C260="","",IF(N(T260)+N(U260)+N(V260)=0,"Not split",IF(ROUND(N(T260)+N(U260)+N(V260),2)=ROUND(L260+P260,2),"OK",IF(K260=0,"Not invoiced yet","MISMATCH"))))</f>
        <v/>
      </c>
      <c r="X260" s="24" t="n"/>
      <c r="Y260" s="24" t="n"/>
      <c r="Z260" s="24" t="n"/>
      <c r="AA260" s="27">
        <f>IF(C260="","",N(X260)+N(Y260)+N(Z260))</f>
        <v/>
      </c>
      <c r="AB260" s="27">
        <f>IF(C260="","",L260+P260-AA260)</f>
        <v/>
      </c>
      <c r="AC260" s="29">
        <f>IFERROR(AB260/(L260+P260),"")</f>
        <v/>
      </c>
      <c r="AD260" s="22" t="n"/>
    </row>
    <row r="261" ht="15" customHeight="1">
      <c r="A261" s="70">
        <f>IF(C261="","",IFERROR(IF(SUMPRODUCT(MAX((tbl_Finance[Job Number]&amp;""=C261&amp;"")*(tbl_Finance[Xero Invoice No]&lt;&gt;"")*tbl_Finance[Date]))=0,"",SUMPRODUCT(MAX((tbl_Finance[Job Number]&amp;""=C261&amp;"")*(tbl_Finance[Xero Invoice No]&lt;&gt;"")*tbl_Finance[Date]))),""))</f>
        <v/>
      </c>
      <c r="B261" s="26">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2" t="n"/>
      <c r="D261" s="26">
        <f>IF(C261="","",IF(COUNTIF(lst_Jobs,C261&amp;"")&gt;0,"OK","CHECK"))</f>
        <v/>
      </c>
      <c r="E261" s="26">
        <f>IF(C261="","",IFERROR(INDEX(lst_JobName,MATCH(C261&amp;"",lst_Jobs,0)),""))</f>
        <v/>
      </c>
      <c r="F261" s="22" t="n"/>
      <c r="G261" s="22" t="n"/>
      <c r="H261" s="22" t="n"/>
      <c r="I261" s="22" t="n"/>
      <c r="J261" s="22" t="n"/>
      <c r="K261" s="28">
        <f>IF(C261="","",COUNTIFS(tbl_Finance[Job Number],C261&amp;"",tbl_Finance[Ex GST],"&lt;&gt;"))</f>
        <v/>
      </c>
      <c r="L261" s="27">
        <f>IF(C261="","",SUMIFS(tbl_Finance[Ex GST],tbl_Finance[Job Number],C261&amp;""))</f>
        <v/>
      </c>
      <c r="M261" s="27">
        <f>IF(C261="","",SUMIFS(tbl_Finance[Ex GST],tbl_Finance[Job Number],C261&amp;"",tbl_Finance[Xero Invoice No],"&lt;&gt;"))</f>
        <v/>
      </c>
      <c r="N261" s="27">
        <f>IF(C261="","",L261-M261)</f>
        <v/>
      </c>
      <c r="O261" s="24" t="n"/>
      <c r="P261" s="27">
        <f>IF(C261="","",IF(O261="",0,MAX(0,O261-L261)))</f>
        <v/>
      </c>
      <c r="Q261" s="26">
        <f>IF(C261="","",IF(K261=0,"not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R261" s="22" t="n"/>
      <c r="S261" s="26">
        <f>IF(R261="","",HYPERLINK(IF(LEFT(R261,4)="http",R261,set_QwilrBase&amp;R261),"Open quote"))</f>
        <v/>
      </c>
      <c r="T261" s="24" t="n"/>
      <c r="U261" s="24" t="n"/>
      <c r="V261" s="24" t="n"/>
      <c r="W261" s="26">
        <f>IF(C261="","",IF(N(T261)+N(U261)+N(V261)=0,"Not split",IF(ROUND(N(T261)+N(U261)+N(V261),2)=ROUND(L261+P261,2),"OK",IF(K261=0,"Not invoiced yet","MISMATCH"))))</f>
        <v/>
      </c>
      <c r="X261" s="24" t="n"/>
      <c r="Y261" s="24" t="n"/>
      <c r="Z261" s="24" t="n"/>
      <c r="AA261" s="27">
        <f>IF(C261="","",N(X261)+N(Y261)+N(Z261))</f>
        <v/>
      </c>
      <c r="AB261" s="27">
        <f>IF(C261="","",L261+P261-AA261)</f>
        <v/>
      </c>
      <c r="AC261" s="29">
        <f>IFERROR(AB261/(L261+P261),"")</f>
        <v/>
      </c>
      <c r="AD261" s="22" t="n"/>
    </row>
    <row r="262" ht="15" customHeight="1">
      <c r="A262" s="70">
        <f>IF(C262="","",IFERROR(IF(SUMPRODUCT(MAX((tbl_Finance[Job Number]&amp;""=C262&amp;"")*(tbl_Finance[Xero Invoice No]&lt;&gt;"")*tbl_Finance[Date]))=0,"",SUMPRODUCT(MAX((tbl_Finance[Job Number]&amp;""=C262&amp;"")*(tbl_Finance[Xero Invoice No]&lt;&gt;"")*tbl_Finance[Date]))),""))</f>
        <v/>
      </c>
      <c r="B262" s="26">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2" t="n"/>
      <c r="D262" s="26">
        <f>IF(C262="","",IF(COUNTIF(lst_Jobs,C262&amp;"")&gt;0,"OK","CHECK"))</f>
        <v/>
      </c>
      <c r="E262" s="26">
        <f>IF(C262="","",IFERROR(INDEX(lst_JobName,MATCH(C262&amp;"",lst_Jobs,0)),""))</f>
        <v/>
      </c>
      <c r="F262" s="22" t="n"/>
      <c r="G262" s="22" t="n"/>
      <c r="H262" s="22" t="n"/>
      <c r="I262" s="22" t="n"/>
      <c r="J262" s="22" t="n"/>
      <c r="K262" s="28">
        <f>IF(C262="","",COUNTIFS(tbl_Finance[Job Number],C262&amp;"",tbl_Finance[Ex GST],"&lt;&gt;"))</f>
        <v/>
      </c>
      <c r="L262" s="27">
        <f>IF(C262="","",SUMIFS(tbl_Finance[Ex GST],tbl_Finance[Job Number],C262&amp;""))</f>
        <v/>
      </c>
      <c r="M262" s="27">
        <f>IF(C262="","",SUMIFS(tbl_Finance[Ex GST],tbl_Finance[Job Number],C262&amp;"",tbl_Finance[Xero Invoice No],"&lt;&gt;"))</f>
        <v/>
      </c>
      <c r="N262" s="27">
        <f>IF(C262="","",L262-M262)</f>
        <v/>
      </c>
      <c r="O262" s="24" t="n"/>
      <c r="P262" s="27">
        <f>IF(C262="","",IF(O262="",0,MAX(0,O262-L262)))</f>
        <v/>
      </c>
      <c r="Q262" s="26">
        <f>IF(C262="","",IF(K262=0,"not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R262" s="22" t="n"/>
      <c r="S262" s="26">
        <f>IF(R262="","",HYPERLINK(IF(LEFT(R262,4)="http",R262,set_QwilrBase&amp;R262),"Open quote"))</f>
        <v/>
      </c>
      <c r="T262" s="24" t="n"/>
      <c r="U262" s="24" t="n"/>
      <c r="V262" s="24" t="n"/>
      <c r="W262" s="26">
        <f>IF(C262="","",IF(N(T262)+N(U262)+N(V262)=0,"Not split",IF(ROUND(N(T262)+N(U262)+N(V262),2)=ROUND(L262+P262,2),"OK",IF(K262=0,"Not invoiced yet","MISMATCH"))))</f>
        <v/>
      </c>
      <c r="X262" s="24" t="n"/>
      <c r="Y262" s="24" t="n"/>
      <c r="Z262" s="24" t="n"/>
      <c r="AA262" s="27">
        <f>IF(C262="","",N(X262)+N(Y262)+N(Z262))</f>
        <v/>
      </c>
      <c r="AB262" s="27">
        <f>IF(C262="","",L262+P262-AA262)</f>
        <v/>
      </c>
      <c r="AC262" s="29">
        <f>IFERROR(AB262/(L262+P262),"")</f>
        <v/>
      </c>
      <c r="AD262" s="22" t="n"/>
    </row>
    <row r="263" ht="15" customHeight="1">
      <c r="A263" s="70">
        <f>IF(C263="","",IFERROR(IF(SUMPRODUCT(MAX((tbl_Finance[Job Number]&amp;""=C263&amp;"")*(tbl_Finance[Xero Invoice No]&lt;&gt;"")*tbl_Finance[Date]))=0,"",SUMPRODUCT(MAX((tbl_Finance[Job Number]&amp;""=C263&amp;"")*(tbl_Finance[Xero Invoice No]&lt;&gt;"")*tbl_Finance[Date]))),""))</f>
        <v/>
      </c>
      <c r="B263" s="26">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2" t="n"/>
      <c r="D263" s="26">
        <f>IF(C263="","",IF(COUNTIF(lst_Jobs,C263&amp;"")&gt;0,"OK","CHECK"))</f>
        <v/>
      </c>
      <c r="E263" s="26">
        <f>IF(C263="","",IFERROR(INDEX(lst_JobName,MATCH(C263&amp;"",lst_Jobs,0)),""))</f>
        <v/>
      </c>
      <c r="F263" s="22" t="n"/>
      <c r="G263" s="22" t="n"/>
      <c r="H263" s="22" t="n"/>
      <c r="I263" s="22" t="n"/>
      <c r="J263" s="22" t="n"/>
      <c r="K263" s="28">
        <f>IF(C263="","",COUNTIFS(tbl_Finance[Job Number],C263&amp;"",tbl_Finance[Ex GST],"&lt;&gt;"))</f>
        <v/>
      </c>
      <c r="L263" s="27">
        <f>IF(C263="","",SUMIFS(tbl_Finance[Ex GST],tbl_Finance[Job Number],C263&amp;""))</f>
        <v/>
      </c>
      <c r="M263" s="27">
        <f>IF(C263="","",SUMIFS(tbl_Finance[Ex GST],tbl_Finance[Job Number],C263&amp;"",tbl_Finance[Xero Invoice No],"&lt;&gt;"))</f>
        <v/>
      </c>
      <c r="N263" s="27">
        <f>IF(C263="","",L263-M263)</f>
        <v/>
      </c>
      <c r="O263" s="24" t="n"/>
      <c r="P263" s="27">
        <f>IF(C263="","",IF(O263="",0,MAX(0,O263-L263)))</f>
        <v/>
      </c>
      <c r="Q263" s="26">
        <f>IF(C263="","",IF(K263=0,"not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R263" s="22" t="n"/>
      <c r="S263" s="26">
        <f>IF(R263="","",HYPERLINK(IF(LEFT(R263,4)="http",R263,set_QwilrBase&amp;R263),"Open quote"))</f>
        <v/>
      </c>
      <c r="T263" s="24" t="n"/>
      <c r="U263" s="24" t="n"/>
      <c r="V263" s="24" t="n"/>
      <c r="W263" s="26">
        <f>IF(C263="","",IF(N(T263)+N(U263)+N(V263)=0,"Not split",IF(ROUND(N(T263)+N(U263)+N(V263),2)=ROUND(L263+P263,2),"OK",IF(K263=0,"Not invoiced yet","MISMATCH"))))</f>
        <v/>
      </c>
      <c r="X263" s="24" t="n"/>
      <c r="Y263" s="24" t="n"/>
      <c r="Z263" s="24" t="n"/>
      <c r="AA263" s="27">
        <f>IF(C263="","",N(X263)+N(Y263)+N(Z263))</f>
        <v/>
      </c>
      <c r="AB263" s="27">
        <f>IF(C263="","",L263+P263-AA263)</f>
        <v/>
      </c>
      <c r="AC263" s="29">
        <f>IFERROR(AB263/(L263+P263),"")</f>
        <v/>
      </c>
      <c r="AD263" s="22" t="n"/>
    </row>
    <row r="264" ht="15" customHeight="1">
      <c r="A264" s="70">
        <f>IF(C264="","",IFERROR(IF(SUMPRODUCT(MAX((tbl_Finance[Job Number]&amp;""=C264&amp;"")*(tbl_Finance[Xero Invoice No]&lt;&gt;"")*tbl_Finance[Date]))=0,"",SUMPRODUCT(MAX((tbl_Finance[Job Number]&amp;""=C264&amp;"")*(tbl_Finance[Xero Invoice No]&lt;&gt;"")*tbl_Finance[Date]))),""))</f>
        <v/>
      </c>
      <c r="B264" s="26">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2" t="n"/>
      <c r="D264" s="26">
        <f>IF(C264="","",IF(COUNTIF(lst_Jobs,C264&amp;"")&gt;0,"OK","CHECK"))</f>
        <v/>
      </c>
      <c r="E264" s="26">
        <f>IF(C264="","",IFERROR(INDEX(lst_JobName,MATCH(C264&amp;"",lst_Jobs,0)),""))</f>
        <v/>
      </c>
      <c r="F264" s="22" t="n"/>
      <c r="G264" s="22" t="n"/>
      <c r="H264" s="22" t="n"/>
      <c r="I264" s="22" t="n"/>
      <c r="J264" s="22" t="n"/>
      <c r="K264" s="28">
        <f>IF(C264="","",COUNTIFS(tbl_Finance[Job Number],C264&amp;"",tbl_Finance[Ex GST],"&lt;&gt;"))</f>
        <v/>
      </c>
      <c r="L264" s="27">
        <f>IF(C264="","",SUMIFS(tbl_Finance[Ex GST],tbl_Finance[Job Number],C264&amp;""))</f>
        <v/>
      </c>
      <c r="M264" s="27">
        <f>IF(C264="","",SUMIFS(tbl_Finance[Ex GST],tbl_Finance[Job Number],C264&amp;"",tbl_Finance[Xero Invoice No],"&lt;&gt;"))</f>
        <v/>
      </c>
      <c r="N264" s="27">
        <f>IF(C264="","",L264-M264)</f>
        <v/>
      </c>
      <c r="O264" s="24" t="n"/>
      <c r="P264" s="27">
        <f>IF(C264="","",IF(O264="",0,MAX(0,O264-L264)))</f>
        <v/>
      </c>
      <c r="Q264" s="26">
        <f>IF(C264="","",IF(K264=0,"not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R264" s="22" t="n"/>
      <c r="S264" s="26">
        <f>IF(R264="","",HYPERLINK(IF(LEFT(R264,4)="http",R264,set_QwilrBase&amp;R264),"Open quote"))</f>
        <v/>
      </c>
      <c r="T264" s="24" t="n"/>
      <c r="U264" s="24" t="n"/>
      <c r="V264" s="24" t="n"/>
      <c r="W264" s="26">
        <f>IF(C264="","",IF(N(T264)+N(U264)+N(V264)=0,"Not split",IF(ROUND(N(T264)+N(U264)+N(V264),2)=ROUND(L264+P264,2),"OK",IF(K264=0,"Not invoiced yet","MISMATCH"))))</f>
        <v/>
      </c>
      <c r="X264" s="24" t="n"/>
      <c r="Y264" s="24" t="n"/>
      <c r="Z264" s="24" t="n"/>
      <c r="AA264" s="27">
        <f>IF(C264="","",N(X264)+N(Y264)+N(Z264))</f>
        <v/>
      </c>
      <c r="AB264" s="27">
        <f>IF(C264="","",L264+P264-AA264)</f>
        <v/>
      </c>
      <c r="AC264" s="29">
        <f>IFERROR(AB264/(L264+P264),"")</f>
        <v/>
      </c>
      <c r="AD264" s="22" t="n"/>
    </row>
    <row r="265" ht="15" customHeight="1">
      <c r="A265" s="70">
        <f>IF(C265="","",IFERROR(IF(SUMPRODUCT(MAX((tbl_Finance[Job Number]&amp;""=C265&amp;"")*(tbl_Finance[Xero Invoice No]&lt;&gt;"")*tbl_Finance[Date]))=0,"",SUMPRODUCT(MAX((tbl_Finance[Job Number]&amp;""=C265&amp;"")*(tbl_Finance[Xero Invoice No]&lt;&gt;"")*tbl_Finance[Date]))),""))</f>
        <v/>
      </c>
      <c r="B265" s="26">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2" t="n"/>
      <c r="D265" s="26">
        <f>IF(C265="","",IF(COUNTIF(lst_Jobs,C265&amp;"")&gt;0,"OK","CHECK"))</f>
        <v/>
      </c>
      <c r="E265" s="26">
        <f>IF(C265="","",IFERROR(INDEX(lst_JobName,MATCH(C265&amp;"",lst_Jobs,0)),""))</f>
        <v/>
      </c>
      <c r="F265" s="22" t="n"/>
      <c r="G265" s="22" t="n"/>
      <c r="H265" s="22" t="n"/>
      <c r="I265" s="22" t="n"/>
      <c r="J265" s="22" t="n"/>
      <c r="K265" s="28">
        <f>IF(C265="","",COUNTIFS(tbl_Finance[Job Number],C265&amp;"",tbl_Finance[Ex GST],"&lt;&gt;"))</f>
        <v/>
      </c>
      <c r="L265" s="27">
        <f>IF(C265="","",SUMIFS(tbl_Finance[Ex GST],tbl_Finance[Job Number],C265&amp;""))</f>
        <v/>
      </c>
      <c r="M265" s="27">
        <f>IF(C265="","",SUMIFS(tbl_Finance[Ex GST],tbl_Finance[Job Number],C265&amp;"",tbl_Finance[Xero Invoice No],"&lt;&gt;"))</f>
        <v/>
      </c>
      <c r="N265" s="27">
        <f>IF(C265="","",L265-M265)</f>
        <v/>
      </c>
      <c r="O265" s="24" t="n"/>
      <c r="P265" s="27">
        <f>IF(C265="","",IF(O265="",0,MAX(0,O265-L265)))</f>
        <v/>
      </c>
      <c r="Q265" s="26">
        <f>IF(C265="","",IF(K265=0,"not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R265" s="22" t="n"/>
      <c r="S265" s="26">
        <f>IF(R265="","",HYPERLINK(IF(LEFT(R265,4)="http",R265,set_QwilrBase&amp;R265),"Open quote"))</f>
        <v/>
      </c>
      <c r="T265" s="24" t="n"/>
      <c r="U265" s="24" t="n"/>
      <c r="V265" s="24" t="n"/>
      <c r="W265" s="26">
        <f>IF(C265="","",IF(N(T265)+N(U265)+N(V265)=0,"Not split",IF(ROUND(N(T265)+N(U265)+N(V265),2)=ROUND(L265+P265,2),"OK",IF(K265=0,"Not invoiced yet","MISMATCH"))))</f>
        <v/>
      </c>
      <c r="X265" s="24" t="n"/>
      <c r="Y265" s="24" t="n"/>
      <c r="Z265" s="24" t="n"/>
      <c r="AA265" s="27">
        <f>IF(C265="","",N(X265)+N(Y265)+N(Z265))</f>
        <v/>
      </c>
      <c r="AB265" s="27">
        <f>IF(C265="","",L265+P265-AA265)</f>
        <v/>
      </c>
      <c r="AC265" s="29">
        <f>IFERROR(AB265/(L265+P265),"")</f>
        <v/>
      </c>
      <c r="AD265" s="22" t="n"/>
    </row>
    <row r="266" ht="15" customHeight="1">
      <c r="A266" s="70">
        <f>IF(C266="","",IFERROR(IF(SUMPRODUCT(MAX((tbl_Finance[Job Number]&amp;""=C266&amp;"")*(tbl_Finance[Xero Invoice No]&lt;&gt;"")*tbl_Finance[Date]))=0,"",SUMPRODUCT(MAX((tbl_Finance[Job Number]&amp;""=C266&amp;"")*(tbl_Finance[Xero Invoice No]&lt;&gt;"")*tbl_Finance[Date]))),""))</f>
        <v/>
      </c>
      <c r="B266" s="26">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2" t="n"/>
      <c r="D266" s="26">
        <f>IF(C266="","",IF(COUNTIF(lst_Jobs,C266&amp;"")&gt;0,"OK","CHECK"))</f>
        <v/>
      </c>
      <c r="E266" s="26">
        <f>IF(C266="","",IFERROR(INDEX(lst_JobName,MATCH(C266&amp;"",lst_Jobs,0)),""))</f>
        <v/>
      </c>
      <c r="F266" s="22" t="n"/>
      <c r="G266" s="22" t="n"/>
      <c r="H266" s="22" t="n"/>
      <c r="I266" s="22" t="n"/>
      <c r="J266" s="22" t="n"/>
      <c r="K266" s="28">
        <f>IF(C266="","",COUNTIFS(tbl_Finance[Job Number],C266&amp;"",tbl_Finance[Ex GST],"&lt;&gt;"))</f>
        <v/>
      </c>
      <c r="L266" s="27">
        <f>IF(C266="","",SUMIFS(tbl_Finance[Ex GST],tbl_Finance[Job Number],C266&amp;""))</f>
        <v/>
      </c>
      <c r="M266" s="27">
        <f>IF(C266="","",SUMIFS(tbl_Finance[Ex GST],tbl_Finance[Job Number],C266&amp;"",tbl_Finance[Xero Invoice No],"&lt;&gt;"))</f>
        <v/>
      </c>
      <c r="N266" s="27">
        <f>IF(C266="","",L266-M266)</f>
        <v/>
      </c>
      <c r="O266" s="24" t="n"/>
      <c r="P266" s="27">
        <f>IF(C266="","",IF(O266="",0,MAX(0,O266-L266)))</f>
        <v/>
      </c>
      <c r="Q266" s="26">
        <f>IF(C266="","",IF(K266=0,"not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R266" s="22" t="n"/>
      <c r="S266" s="26">
        <f>IF(R266="","",HYPERLINK(IF(LEFT(R266,4)="http",R266,set_QwilrBase&amp;R266),"Open quote"))</f>
        <v/>
      </c>
      <c r="T266" s="24" t="n"/>
      <c r="U266" s="24" t="n"/>
      <c r="V266" s="24" t="n"/>
      <c r="W266" s="26">
        <f>IF(C266="","",IF(N(T266)+N(U266)+N(V266)=0,"Not split",IF(ROUND(N(T266)+N(U266)+N(V266),2)=ROUND(L266+P266,2),"OK",IF(K266=0,"Not invoiced yet","MISMATCH"))))</f>
        <v/>
      </c>
      <c r="X266" s="24" t="n"/>
      <c r="Y266" s="24" t="n"/>
      <c r="Z266" s="24" t="n"/>
      <c r="AA266" s="27">
        <f>IF(C266="","",N(X266)+N(Y266)+N(Z266))</f>
        <v/>
      </c>
      <c r="AB266" s="27">
        <f>IF(C266="","",L266+P266-AA266)</f>
        <v/>
      </c>
      <c r="AC266" s="29">
        <f>IFERROR(AB266/(L266+P266),"")</f>
        <v/>
      </c>
      <c r="AD266" s="22" t="n"/>
    </row>
    <row r="267" ht="15" customHeight="1">
      <c r="A267" s="70">
        <f>IF(C267="","",IFERROR(IF(SUMPRODUCT(MAX((tbl_Finance[Job Number]&amp;""=C267&amp;"")*(tbl_Finance[Xero Invoice No]&lt;&gt;"")*tbl_Finance[Date]))=0,"",SUMPRODUCT(MAX((tbl_Finance[Job Number]&amp;""=C267&amp;"")*(tbl_Finance[Xero Invoice No]&lt;&gt;"")*tbl_Finance[Date]))),""))</f>
        <v/>
      </c>
      <c r="B267" s="26">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2" t="n"/>
      <c r="D267" s="26">
        <f>IF(C267="","",IF(COUNTIF(lst_Jobs,C267&amp;"")&gt;0,"OK","CHECK"))</f>
        <v/>
      </c>
      <c r="E267" s="26">
        <f>IF(C267="","",IFERROR(INDEX(lst_JobName,MATCH(C267&amp;"",lst_Jobs,0)),""))</f>
        <v/>
      </c>
      <c r="F267" s="22" t="n"/>
      <c r="G267" s="22" t="n"/>
      <c r="H267" s="22" t="n"/>
      <c r="I267" s="22" t="n"/>
      <c r="J267" s="22" t="n"/>
      <c r="K267" s="28">
        <f>IF(C267="","",COUNTIFS(tbl_Finance[Job Number],C267&amp;"",tbl_Finance[Ex GST],"&lt;&gt;"))</f>
        <v/>
      </c>
      <c r="L267" s="27">
        <f>IF(C267="","",SUMIFS(tbl_Finance[Ex GST],tbl_Finance[Job Number],C267&amp;""))</f>
        <v/>
      </c>
      <c r="M267" s="27">
        <f>IF(C267="","",SUMIFS(tbl_Finance[Ex GST],tbl_Finance[Job Number],C267&amp;"",tbl_Finance[Xero Invoice No],"&lt;&gt;"))</f>
        <v/>
      </c>
      <c r="N267" s="27">
        <f>IF(C267="","",L267-M267)</f>
        <v/>
      </c>
      <c r="O267" s="24" t="n"/>
      <c r="P267" s="27">
        <f>IF(C267="","",IF(O267="",0,MAX(0,O267-L267)))</f>
        <v/>
      </c>
      <c r="Q267" s="26">
        <f>IF(C267="","",IF(K267=0,"not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R267" s="22" t="n"/>
      <c r="S267" s="26">
        <f>IF(R267="","",HYPERLINK(IF(LEFT(R267,4)="http",R267,set_QwilrBase&amp;R267),"Open quote"))</f>
        <v/>
      </c>
      <c r="T267" s="24" t="n"/>
      <c r="U267" s="24" t="n"/>
      <c r="V267" s="24" t="n"/>
      <c r="W267" s="26">
        <f>IF(C267="","",IF(N(T267)+N(U267)+N(V267)=0,"Not split",IF(ROUND(N(T267)+N(U267)+N(V267),2)=ROUND(L267+P267,2),"OK",IF(K267=0,"Not invoiced yet","MISMATCH"))))</f>
        <v/>
      </c>
      <c r="X267" s="24" t="n"/>
      <c r="Y267" s="24" t="n"/>
      <c r="Z267" s="24" t="n"/>
      <c r="AA267" s="27">
        <f>IF(C267="","",N(X267)+N(Y267)+N(Z267))</f>
        <v/>
      </c>
      <c r="AB267" s="27">
        <f>IF(C267="","",L267+P267-AA267)</f>
        <v/>
      </c>
      <c r="AC267" s="29">
        <f>IFERROR(AB267/(L267+P267),"")</f>
        <v/>
      </c>
      <c r="AD267" s="22" t="n"/>
    </row>
    <row r="268" ht="15" customHeight="1">
      <c r="A268" s="70">
        <f>IF(C268="","",IFERROR(IF(SUMPRODUCT(MAX((tbl_Finance[Job Number]&amp;""=C268&amp;"")*(tbl_Finance[Xero Invoice No]&lt;&gt;"")*tbl_Finance[Date]))=0,"",SUMPRODUCT(MAX((tbl_Finance[Job Number]&amp;""=C268&amp;"")*(tbl_Finance[Xero Invoice No]&lt;&gt;"")*tbl_Finance[Date]))),""))</f>
        <v/>
      </c>
      <c r="B268" s="26">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2" t="n"/>
      <c r="D268" s="26">
        <f>IF(C268="","",IF(COUNTIF(lst_Jobs,C268&amp;"")&gt;0,"OK","CHECK"))</f>
        <v/>
      </c>
      <c r="E268" s="26">
        <f>IF(C268="","",IFERROR(INDEX(lst_JobName,MATCH(C268&amp;"",lst_Jobs,0)),""))</f>
        <v/>
      </c>
      <c r="F268" s="22" t="n"/>
      <c r="G268" s="22" t="n"/>
      <c r="H268" s="22" t="n"/>
      <c r="I268" s="22" t="n"/>
      <c r="J268" s="22" t="n"/>
      <c r="K268" s="28">
        <f>IF(C268="","",COUNTIFS(tbl_Finance[Job Number],C268&amp;"",tbl_Finance[Ex GST],"&lt;&gt;"))</f>
        <v/>
      </c>
      <c r="L268" s="27">
        <f>IF(C268="","",SUMIFS(tbl_Finance[Ex GST],tbl_Finance[Job Number],C268&amp;""))</f>
        <v/>
      </c>
      <c r="M268" s="27">
        <f>IF(C268="","",SUMIFS(tbl_Finance[Ex GST],tbl_Finance[Job Number],C268&amp;"",tbl_Finance[Xero Invoice No],"&lt;&gt;"))</f>
        <v/>
      </c>
      <c r="N268" s="27">
        <f>IF(C268="","",L268-M268)</f>
        <v/>
      </c>
      <c r="O268" s="24" t="n"/>
      <c r="P268" s="27">
        <f>IF(C268="","",IF(O268="",0,MAX(0,O268-L268)))</f>
        <v/>
      </c>
      <c r="Q268" s="26">
        <f>IF(C268="","",IF(K268=0,"not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R268" s="22" t="n"/>
      <c r="S268" s="26">
        <f>IF(R268="","",HYPERLINK(IF(LEFT(R268,4)="http",R268,set_QwilrBase&amp;R268),"Open quote"))</f>
        <v/>
      </c>
      <c r="T268" s="24" t="n"/>
      <c r="U268" s="24" t="n"/>
      <c r="V268" s="24" t="n"/>
      <c r="W268" s="26">
        <f>IF(C268="","",IF(N(T268)+N(U268)+N(V268)=0,"Not split",IF(ROUND(N(T268)+N(U268)+N(V268),2)=ROUND(L268+P268,2),"OK",IF(K268=0,"Not invoiced yet","MISMATCH"))))</f>
        <v/>
      </c>
      <c r="X268" s="24" t="n"/>
      <c r="Y268" s="24" t="n"/>
      <c r="Z268" s="24" t="n"/>
      <c r="AA268" s="27">
        <f>IF(C268="","",N(X268)+N(Y268)+N(Z268))</f>
        <v/>
      </c>
      <c r="AB268" s="27">
        <f>IF(C268="","",L268+P268-AA268)</f>
        <v/>
      </c>
      <c r="AC268" s="29">
        <f>IFERROR(AB268/(L268+P268),"")</f>
        <v/>
      </c>
      <c r="AD268" s="22" t="n"/>
    </row>
    <row r="269" ht="15" customHeight="1">
      <c r="A269" s="70">
        <f>IF(C269="","",IFERROR(IF(SUMPRODUCT(MAX((tbl_Finance[Job Number]&amp;""=C269&amp;"")*(tbl_Finance[Xero Invoice No]&lt;&gt;"")*tbl_Finance[Date]))=0,"",SUMPRODUCT(MAX((tbl_Finance[Job Number]&amp;""=C269&amp;"")*(tbl_Finance[Xero Invoice No]&lt;&gt;"")*tbl_Finance[Date]))),""))</f>
        <v/>
      </c>
      <c r="B269" s="26">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2" t="n"/>
      <c r="D269" s="26">
        <f>IF(C269="","",IF(COUNTIF(lst_Jobs,C269&amp;"")&gt;0,"OK","CHECK"))</f>
        <v/>
      </c>
      <c r="E269" s="26">
        <f>IF(C269="","",IFERROR(INDEX(lst_JobName,MATCH(C269&amp;"",lst_Jobs,0)),""))</f>
        <v/>
      </c>
      <c r="F269" s="22" t="n"/>
      <c r="G269" s="22" t="n"/>
      <c r="H269" s="22" t="n"/>
      <c r="I269" s="22" t="n"/>
      <c r="J269" s="22" t="n"/>
      <c r="K269" s="28">
        <f>IF(C269="","",COUNTIFS(tbl_Finance[Job Number],C269&amp;"",tbl_Finance[Ex GST],"&lt;&gt;"))</f>
        <v/>
      </c>
      <c r="L269" s="27">
        <f>IF(C269="","",SUMIFS(tbl_Finance[Ex GST],tbl_Finance[Job Number],C269&amp;""))</f>
        <v/>
      </c>
      <c r="M269" s="27">
        <f>IF(C269="","",SUMIFS(tbl_Finance[Ex GST],tbl_Finance[Job Number],C269&amp;"",tbl_Finance[Xero Invoice No],"&lt;&gt;"))</f>
        <v/>
      </c>
      <c r="N269" s="27">
        <f>IF(C269="","",L269-M269)</f>
        <v/>
      </c>
      <c r="O269" s="24" t="n"/>
      <c r="P269" s="27">
        <f>IF(C269="","",IF(O269="",0,MAX(0,O269-L269)))</f>
        <v/>
      </c>
      <c r="Q269" s="26">
        <f>IF(C269="","",IF(K269=0,"not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R269" s="22" t="n"/>
      <c r="S269" s="26">
        <f>IF(R269="","",HYPERLINK(IF(LEFT(R269,4)="http",R269,set_QwilrBase&amp;R269),"Open quote"))</f>
        <v/>
      </c>
      <c r="T269" s="24" t="n"/>
      <c r="U269" s="24" t="n"/>
      <c r="V269" s="24" t="n"/>
      <c r="W269" s="26">
        <f>IF(C269="","",IF(N(T269)+N(U269)+N(V269)=0,"Not split",IF(ROUND(N(T269)+N(U269)+N(V269),2)=ROUND(L269+P269,2),"OK",IF(K269=0,"Not invoiced yet","MISMATCH"))))</f>
        <v/>
      </c>
      <c r="X269" s="24" t="n"/>
      <c r="Y269" s="24" t="n"/>
      <c r="Z269" s="24" t="n"/>
      <c r="AA269" s="27">
        <f>IF(C269="","",N(X269)+N(Y269)+N(Z269))</f>
        <v/>
      </c>
      <c r="AB269" s="27">
        <f>IF(C269="","",L269+P269-AA269)</f>
        <v/>
      </c>
      <c r="AC269" s="29">
        <f>IFERROR(AB269/(L269+P269),"")</f>
        <v/>
      </c>
      <c r="AD269" s="22" t="n"/>
    </row>
    <row r="270" ht="15" customHeight="1">
      <c r="A270" s="70">
        <f>IF(C270="","",IFERROR(IF(SUMPRODUCT(MAX((tbl_Finance[Job Number]&amp;""=C270&amp;"")*(tbl_Finance[Xero Invoice No]&lt;&gt;"")*tbl_Finance[Date]))=0,"",SUMPRODUCT(MAX((tbl_Finance[Job Number]&amp;""=C270&amp;"")*(tbl_Finance[Xero Invoice No]&lt;&gt;"")*tbl_Finance[Date]))),""))</f>
        <v/>
      </c>
      <c r="B270" s="26">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2" t="n"/>
      <c r="D270" s="26">
        <f>IF(C270="","",IF(COUNTIF(lst_Jobs,C270&amp;"")&gt;0,"OK","CHECK"))</f>
        <v/>
      </c>
      <c r="E270" s="26">
        <f>IF(C270="","",IFERROR(INDEX(lst_JobName,MATCH(C270&amp;"",lst_Jobs,0)),""))</f>
        <v/>
      </c>
      <c r="F270" s="22" t="n"/>
      <c r="G270" s="22" t="n"/>
      <c r="H270" s="22" t="n"/>
      <c r="I270" s="22" t="n"/>
      <c r="J270" s="22" t="n"/>
      <c r="K270" s="28">
        <f>IF(C270="","",COUNTIFS(tbl_Finance[Job Number],C270&amp;"",tbl_Finance[Ex GST],"&lt;&gt;"))</f>
        <v/>
      </c>
      <c r="L270" s="27">
        <f>IF(C270="","",SUMIFS(tbl_Finance[Ex GST],tbl_Finance[Job Number],C270&amp;""))</f>
        <v/>
      </c>
      <c r="M270" s="27">
        <f>IF(C270="","",SUMIFS(tbl_Finance[Ex GST],tbl_Finance[Job Number],C270&amp;"",tbl_Finance[Xero Invoice No],"&lt;&gt;"))</f>
        <v/>
      </c>
      <c r="N270" s="27">
        <f>IF(C270="","",L270-M270)</f>
        <v/>
      </c>
      <c r="O270" s="24" t="n"/>
      <c r="P270" s="27">
        <f>IF(C270="","",IF(O270="",0,MAX(0,O270-L270)))</f>
        <v/>
      </c>
      <c r="Q270" s="26">
        <f>IF(C270="","",IF(K270=0,"not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R270" s="22" t="n"/>
      <c r="S270" s="26">
        <f>IF(R270="","",HYPERLINK(IF(LEFT(R270,4)="http",R270,set_QwilrBase&amp;R270),"Open quote"))</f>
        <v/>
      </c>
      <c r="T270" s="24" t="n"/>
      <c r="U270" s="24" t="n"/>
      <c r="V270" s="24" t="n"/>
      <c r="W270" s="26">
        <f>IF(C270="","",IF(N(T270)+N(U270)+N(V270)=0,"Not split",IF(ROUND(N(T270)+N(U270)+N(V270),2)=ROUND(L270+P270,2),"OK",IF(K270=0,"Not invoiced yet","MISMATCH"))))</f>
        <v/>
      </c>
      <c r="X270" s="24" t="n"/>
      <c r="Y270" s="24" t="n"/>
      <c r="Z270" s="24" t="n"/>
      <c r="AA270" s="27">
        <f>IF(C270="","",N(X270)+N(Y270)+N(Z270))</f>
        <v/>
      </c>
      <c r="AB270" s="27">
        <f>IF(C270="","",L270+P270-AA270)</f>
        <v/>
      </c>
      <c r="AC270" s="29">
        <f>IFERROR(AB270/(L270+P270),"")</f>
        <v/>
      </c>
      <c r="AD270" s="22" t="n"/>
    </row>
    <row r="271" ht="15" customHeight="1">
      <c r="A271" s="70">
        <f>IF(C271="","",IFERROR(IF(SUMPRODUCT(MAX((tbl_Finance[Job Number]&amp;""=C271&amp;"")*(tbl_Finance[Xero Invoice No]&lt;&gt;"")*tbl_Finance[Date]))=0,"",SUMPRODUCT(MAX((tbl_Finance[Job Number]&amp;""=C271&amp;"")*(tbl_Finance[Xero Invoice No]&lt;&gt;"")*tbl_Finance[Date]))),""))</f>
        <v/>
      </c>
      <c r="B271" s="26">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2" t="n"/>
      <c r="D271" s="26">
        <f>IF(C271="","",IF(COUNTIF(lst_Jobs,C271&amp;"")&gt;0,"OK","CHECK"))</f>
        <v/>
      </c>
      <c r="E271" s="26">
        <f>IF(C271="","",IFERROR(INDEX(lst_JobName,MATCH(C271&amp;"",lst_Jobs,0)),""))</f>
        <v/>
      </c>
      <c r="F271" s="22" t="n"/>
      <c r="G271" s="22" t="n"/>
      <c r="H271" s="22" t="n"/>
      <c r="I271" s="22" t="n"/>
      <c r="J271" s="22" t="n"/>
      <c r="K271" s="28">
        <f>IF(C271="","",COUNTIFS(tbl_Finance[Job Number],C271&amp;"",tbl_Finance[Ex GST],"&lt;&gt;"))</f>
        <v/>
      </c>
      <c r="L271" s="27">
        <f>IF(C271="","",SUMIFS(tbl_Finance[Ex GST],tbl_Finance[Job Number],C271&amp;""))</f>
        <v/>
      </c>
      <c r="M271" s="27">
        <f>IF(C271="","",SUMIFS(tbl_Finance[Ex GST],tbl_Finance[Job Number],C271&amp;"",tbl_Finance[Xero Invoice No],"&lt;&gt;"))</f>
        <v/>
      </c>
      <c r="N271" s="27">
        <f>IF(C271="","",L271-M271)</f>
        <v/>
      </c>
      <c r="O271" s="24" t="n"/>
      <c r="P271" s="27">
        <f>IF(C271="","",IF(O271="",0,MAX(0,O271-L271)))</f>
        <v/>
      </c>
      <c r="Q271" s="26">
        <f>IF(C271="","",IF(K271=0,"not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R271" s="22" t="n"/>
      <c r="S271" s="26">
        <f>IF(R271="","",HYPERLINK(IF(LEFT(R271,4)="http",R271,set_QwilrBase&amp;R271),"Open quote"))</f>
        <v/>
      </c>
      <c r="T271" s="24" t="n"/>
      <c r="U271" s="24" t="n"/>
      <c r="V271" s="24" t="n"/>
      <c r="W271" s="26">
        <f>IF(C271="","",IF(N(T271)+N(U271)+N(V271)=0,"Not split",IF(ROUND(N(T271)+N(U271)+N(V271),2)=ROUND(L271+P271,2),"OK",IF(K271=0,"Not invoiced yet","MISMATCH"))))</f>
        <v/>
      </c>
      <c r="X271" s="24" t="n"/>
      <c r="Y271" s="24" t="n"/>
      <c r="Z271" s="24" t="n"/>
      <c r="AA271" s="27">
        <f>IF(C271="","",N(X271)+N(Y271)+N(Z271))</f>
        <v/>
      </c>
      <c r="AB271" s="27">
        <f>IF(C271="","",L271+P271-AA271)</f>
        <v/>
      </c>
      <c r="AC271" s="29">
        <f>IFERROR(AB271/(L271+P271),"")</f>
        <v/>
      </c>
      <c r="AD271" s="22" t="n"/>
    </row>
    <row r="272" ht="15" customHeight="1">
      <c r="A272" s="70">
        <f>IF(C272="","",IFERROR(IF(SUMPRODUCT(MAX((tbl_Finance[Job Number]&amp;""=C272&amp;"")*(tbl_Finance[Xero Invoice No]&lt;&gt;"")*tbl_Finance[Date]))=0,"",SUMPRODUCT(MAX((tbl_Finance[Job Number]&amp;""=C272&amp;"")*(tbl_Finance[Xero Invoice No]&lt;&gt;"")*tbl_Finance[Date]))),""))</f>
        <v/>
      </c>
      <c r="B272" s="26">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2" t="n"/>
      <c r="D272" s="26">
        <f>IF(C272="","",IF(COUNTIF(lst_Jobs,C272&amp;"")&gt;0,"OK","CHECK"))</f>
        <v/>
      </c>
      <c r="E272" s="26">
        <f>IF(C272="","",IFERROR(INDEX(lst_JobName,MATCH(C272&amp;"",lst_Jobs,0)),""))</f>
        <v/>
      </c>
      <c r="F272" s="22" t="n"/>
      <c r="G272" s="22" t="n"/>
      <c r="H272" s="22" t="n"/>
      <c r="I272" s="22" t="n"/>
      <c r="J272" s="22" t="n"/>
      <c r="K272" s="28">
        <f>IF(C272="","",COUNTIFS(tbl_Finance[Job Number],C272&amp;"",tbl_Finance[Ex GST],"&lt;&gt;"))</f>
        <v/>
      </c>
      <c r="L272" s="27">
        <f>IF(C272="","",SUMIFS(tbl_Finance[Ex GST],tbl_Finance[Job Number],C272&amp;""))</f>
        <v/>
      </c>
      <c r="M272" s="27">
        <f>IF(C272="","",SUMIFS(tbl_Finance[Ex GST],tbl_Finance[Job Number],C272&amp;"",tbl_Finance[Xero Invoice No],"&lt;&gt;"))</f>
        <v/>
      </c>
      <c r="N272" s="27">
        <f>IF(C272="","",L272-M272)</f>
        <v/>
      </c>
      <c r="O272" s="24" t="n"/>
      <c r="P272" s="27">
        <f>IF(C272="","",IF(O272="",0,MAX(0,O272-L272)))</f>
        <v/>
      </c>
      <c r="Q272" s="26">
        <f>IF(C272="","",IF(K272=0,"not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R272" s="22" t="n"/>
      <c r="S272" s="26">
        <f>IF(R272="","",HYPERLINK(IF(LEFT(R272,4)="http",R272,set_QwilrBase&amp;R272),"Open quote"))</f>
        <v/>
      </c>
      <c r="T272" s="24" t="n"/>
      <c r="U272" s="24" t="n"/>
      <c r="V272" s="24" t="n"/>
      <c r="W272" s="26">
        <f>IF(C272="","",IF(N(T272)+N(U272)+N(V272)=0,"Not split",IF(ROUND(N(T272)+N(U272)+N(V272),2)=ROUND(L272+P272,2),"OK",IF(K272=0,"Not invoiced yet","MISMATCH"))))</f>
        <v/>
      </c>
      <c r="X272" s="24" t="n"/>
      <c r="Y272" s="24" t="n"/>
      <c r="Z272" s="24" t="n"/>
      <c r="AA272" s="27">
        <f>IF(C272="","",N(X272)+N(Y272)+N(Z272))</f>
        <v/>
      </c>
      <c r="AB272" s="27">
        <f>IF(C272="","",L272+P272-AA272)</f>
        <v/>
      </c>
      <c r="AC272" s="29">
        <f>IFERROR(AB272/(L272+P272),"")</f>
        <v/>
      </c>
      <c r="AD272" s="22" t="n"/>
    </row>
    <row r="273" ht="15" customHeight="1">
      <c r="A273" s="70">
        <f>IF(C273="","",IFERROR(IF(SUMPRODUCT(MAX((tbl_Finance[Job Number]&amp;""=C273&amp;"")*(tbl_Finance[Xero Invoice No]&lt;&gt;"")*tbl_Finance[Date]))=0,"",SUMPRODUCT(MAX((tbl_Finance[Job Number]&amp;""=C273&amp;"")*(tbl_Finance[Xero Invoice No]&lt;&gt;"")*tbl_Finance[Date]))),""))</f>
        <v/>
      </c>
      <c r="B273" s="26">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2" t="n"/>
      <c r="D273" s="26">
        <f>IF(C273="","",IF(COUNTIF(lst_Jobs,C273&amp;"")&gt;0,"OK","CHECK"))</f>
        <v/>
      </c>
      <c r="E273" s="26">
        <f>IF(C273="","",IFERROR(INDEX(lst_JobName,MATCH(C273&amp;"",lst_Jobs,0)),""))</f>
        <v/>
      </c>
      <c r="F273" s="22" t="n"/>
      <c r="G273" s="22" t="n"/>
      <c r="H273" s="22" t="n"/>
      <c r="I273" s="22" t="n"/>
      <c r="J273" s="22" t="n"/>
      <c r="K273" s="28">
        <f>IF(C273="","",COUNTIFS(tbl_Finance[Job Number],C273&amp;"",tbl_Finance[Ex GST],"&lt;&gt;"))</f>
        <v/>
      </c>
      <c r="L273" s="27">
        <f>IF(C273="","",SUMIFS(tbl_Finance[Ex GST],tbl_Finance[Job Number],C273&amp;""))</f>
        <v/>
      </c>
      <c r="M273" s="27">
        <f>IF(C273="","",SUMIFS(tbl_Finance[Ex GST],tbl_Finance[Job Number],C273&amp;"",tbl_Finance[Xero Invoice No],"&lt;&gt;"))</f>
        <v/>
      </c>
      <c r="N273" s="27">
        <f>IF(C273="","",L273-M273)</f>
        <v/>
      </c>
      <c r="O273" s="24" t="n"/>
      <c r="P273" s="27">
        <f>IF(C273="","",IF(O273="",0,MAX(0,O273-L273)))</f>
        <v/>
      </c>
      <c r="Q273" s="26">
        <f>IF(C273="","",IF(K273=0,"not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R273" s="22" t="n"/>
      <c r="S273" s="26">
        <f>IF(R273="","",HYPERLINK(IF(LEFT(R273,4)="http",R273,set_QwilrBase&amp;R273),"Open quote"))</f>
        <v/>
      </c>
      <c r="T273" s="24" t="n"/>
      <c r="U273" s="24" t="n"/>
      <c r="V273" s="24" t="n"/>
      <c r="W273" s="26">
        <f>IF(C273="","",IF(N(T273)+N(U273)+N(V273)=0,"Not split",IF(ROUND(N(T273)+N(U273)+N(V273),2)=ROUND(L273+P273,2),"OK",IF(K273=0,"Not invoiced yet","MISMATCH"))))</f>
        <v/>
      </c>
      <c r="X273" s="24" t="n"/>
      <c r="Y273" s="24" t="n"/>
      <c r="Z273" s="24" t="n"/>
      <c r="AA273" s="27">
        <f>IF(C273="","",N(X273)+N(Y273)+N(Z273))</f>
        <v/>
      </c>
      <c r="AB273" s="27">
        <f>IF(C273="","",L273+P273-AA273)</f>
        <v/>
      </c>
      <c r="AC273" s="29">
        <f>IFERROR(AB273/(L273+P273),"")</f>
        <v/>
      </c>
      <c r="AD273" s="22" t="n"/>
    </row>
    <row r="274" ht="15" customHeight="1">
      <c r="A274" s="70">
        <f>IF(C274="","",IFERROR(IF(SUMPRODUCT(MAX((tbl_Finance[Job Number]&amp;""=C274&amp;"")*(tbl_Finance[Xero Invoice No]&lt;&gt;"")*tbl_Finance[Date]))=0,"",SUMPRODUCT(MAX((tbl_Finance[Job Number]&amp;""=C274&amp;"")*(tbl_Finance[Xero Invoice No]&lt;&gt;"")*tbl_Finance[Date]))),""))</f>
        <v/>
      </c>
      <c r="B274" s="26">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2" t="n"/>
      <c r="D274" s="26">
        <f>IF(C274="","",IF(COUNTIF(lst_Jobs,C274&amp;"")&gt;0,"OK","CHECK"))</f>
        <v/>
      </c>
      <c r="E274" s="26">
        <f>IF(C274="","",IFERROR(INDEX(lst_JobName,MATCH(C274&amp;"",lst_Jobs,0)),""))</f>
        <v/>
      </c>
      <c r="F274" s="22" t="n"/>
      <c r="G274" s="22" t="n"/>
      <c r="H274" s="22" t="n"/>
      <c r="I274" s="22" t="n"/>
      <c r="J274" s="22" t="n"/>
      <c r="K274" s="28">
        <f>IF(C274="","",COUNTIFS(tbl_Finance[Job Number],C274&amp;"",tbl_Finance[Ex GST],"&lt;&gt;"))</f>
        <v/>
      </c>
      <c r="L274" s="27">
        <f>IF(C274="","",SUMIFS(tbl_Finance[Ex GST],tbl_Finance[Job Number],C274&amp;""))</f>
        <v/>
      </c>
      <c r="M274" s="27">
        <f>IF(C274="","",SUMIFS(tbl_Finance[Ex GST],tbl_Finance[Job Number],C274&amp;"",tbl_Finance[Xero Invoice No],"&lt;&gt;"))</f>
        <v/>
      </c>
      <c r="N274" s="27">
        <f>IF(C274="","",L274-M274)</f>
        <v/>
      </c>
      <c r="O274" s="24" t="n"/>
      <c r="P274" s="27">
        <f>IF(C274="","",IF(O274="",0,MAX(0,O274-L274)))</f>
        <v/>
      </c>
      <c r="Q274" s="26">
        <f>IF(C274="","",IF(K274=0,"not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R274" s="22" t="n"/>
      <c r="S274" s="26">
        <f>IF(R274="","",HYPERLINK(IF(LEFT(R274,4)="http",R274,set_QwilrBase&amp;R274),"Open quote"))</f>
        <v/>
      </c>
      <c r="T274" s="24" t="n"/>
      <c r="U274" s="24" t="n"/>
      <c r="V274" s="24" t="n"/>
      <c r="W274" s="26">
        <f>IF(C274="","",IF(N(T274)+N(U274)+N(V274)=0,"Not split",IF(ROUND(N(T274)+N(U274)+N(V274),2)=ROUND(L274+P274,2),"OK",IF(K274=0,"Not invoiced yet","MISMATCH"))))</f>
        <v/>
      </c>
      <c r="X274" s="24" t="n"/>
      <c r="Y274" s="24" t="n"/>
      <c r="Z274" s="24" t="n"/>
      <c r="AA274" s="27">
        <f>IF(C274="","",N(X274)+N(Y274)+N(Z274))</f>
        <v/>
      </c>
      <c r="AB274" s="27">
        <f>IF(C274="","",L274+P274-AA274)</f>
        <v/>
      </c>
      <c r="AC274" s="29">
        <f>IFERROR(AB274/(L274+P274),"")</f>
        <v/>
      </c>
      <c r="AD274" s="22" t="n"/>
    </row>
    <row r="275" ht="15" customHeight="1">
      <c r="A275" s="70">
        <f>IF(C275="","",IFERROR(IF(SUMPRODUCT(MAX((tbl_Finance[Job Number]&amp;""=C275&amp;"")*(tbl_Finance[Xero Invoice No]&lt;&gt;"")*tbl_Finance[Date]))=0,"",SUMPRODUCT(MAX((tbl_Finance[Job Number]&amp;""=C275&amp;"")*(tbl_Finance[Xero Invoice No]&lt;&gt;"")*tbl_Finance[Date]))),""))</f>
        <v/>
      </c>
      <c r="B275" s="26">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2" t="n"/>
      <c r="D275" s="26">
        <f>IF(C275="","",IF(COUNTIF(lst_Jobs,C275&amp;"")&gt;0,"OK","CHECK"))</f>
        <v/>
      </c>
      <c r="E275" s="26">
        <f>IF(C275="","",IFERROR(INDEX(lst_JobName,MATCH(C275&amp;"",lst_Jobs,0)),""))</f>
        <v/>
      </c>
      <c r="F275" s="22" t="n"/>
      <c r="G275" s="22" t="n"/>
      <c r="H275" s="22" t="n"/>
      <c r="I275" s="22" t="n"/>
      <c r="J275" s="22" t="n"/>
      <c r="K275" s="28">
        <f>IF(C275="","",COUNTIFS(tbl_Finance[Job Number],C275&amp;"",tbl_Finance[Ex GST],"&lt;&gt;"))</f>
        <v/>
      </c>
      <c r="L275" s="27">
        <f>IF(C275="","",SUMIFS(tbl_Finance[Ex GST],tbl_Finance[Job Number],C275&amp;""))</f>
        <v/>
      </c>
      <c r="M275" s="27">
        <f>IF(C275="","",SUMIFS(tbl_Finance[Ex GST],tbl_Finance[Job Number],C275&amp;"",tbl_Finance[Xero Invoice No],"&lt;&gt;"))</f>
        <v/>
      </c>
      <c r="N275" s="27">
        <f>IF(C275="","",L275-M275)</f>
        <v/>
      </c>
      <c r="O275" s="24" t="n"/>
      <c r="P275" s="27">
        <f>IF(C275="","",IF(O275="",0,MAX(0,O275-L275)))</f>
        <v/>
      </c>
      <c r="Q275" s="26">
        <f>IF(C275="","",IF(K275=0,"not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R275" s="22" t="n"/>
      <c r="S275" s="26">
        <f>IF(R275="","",HYPERLINK(IF(LEFT(R275,4)="http",R275,set_QwilrBase&amp;R275),"Open quote"))</f>
        <v/>
      </c>
      <c r="T275" s="24" t="n"/>
      <c r="U275" s="24" t="n"/>
      <c r="V275" s="24" t="n"/>
      <c r="W275" s="26">
        <f>IF(C275="","",IF(N(T275)+N(U275)+N(V275)=0,"Not split",IF(ROUND(N(T275)+N(U275)+N(V275),2)=ROUND(L275+P275,2),"OK",IF(K275=0,"Not invoiced yet","MISMATCH"))))</f>
        <v/>
      </c>
      <c r="X275" s="24" t="n"/>
      <c r="Y275" s="24" t="n"/>
      <c r="Z275" s="24" t="n"/>
      <c r="AA275" s="27">
        <f>IF(C275="","",N(X275)+N(Y275)+N(Z275))</f>
        <v/>
      </c>
      <c r="AB275" s="27">
        <f>IF(C275="","",L275+P275-AA275)</f>
        <v/>
      </c>
      <c r="AC275" s="29">
        <f>IFERROR(AB275/(L275+P275),"")</f>
        <v/>
      </c>
      <c r="AD275" s="22" t="n"/>
    </row>
    <row r="276" ht="15" customHeight="1">
      <c r="A276" s="70">
        <f>IF(C276="","",IFERROR(IF(SUMPRODUCT(MAX((tbl_Finance[Job Number]&amp;""=C276&amp;"")*(tbl_Finance[Xero Invoice No]&lt;&gt;"")*tbl_Finance[Date]))=0,"",SUMPRODUCT(MAX((tbl_Finance[Job Number]&amp;""=C276&amp;"")*(tbl_Finance[Xero Invoice No]&lt;&gt;"")*tbl_Finance[Date]))),""))</f>
        <v/>
      </c>
      <c r="B276" s="26">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2" t="n"/>
      <c r="D276" s="26">
        <f>IF(C276="","",IF(COUNTIF(lst_Jobs,C276&amp;"")&gt;0,"OK","CHECK"))</f>
        <v/>
      </c>
      <c r="E276" s="26">
        <f>IF(C276="","",IFERROR(INDEX(lst_JobName,MATCH(C276&amp;"",lst_Jobs,0)),""))</f>
        <v/>
      </c>
      <c r="F276" s="22" t="n"/>
      <c r="G276" s="22" t="n"/>
      <c r="H276" s="22" t="n"/>
      <c r="I276" s="22" t="n"/>
      <c r="J276" s="22" t="n"/>
      <c r="K276" s="28">
        <f>IF(C276="","",COUNTIFS(tbl_Finance[Job Number],C276&amp;"",tbl_Finance[Ex GST],"&lt;&gt;"))</f>
        <v/>
      </c>
      <c r="L276" s="27">
        <f>IF(C276="","",SUMIFS(tbl_Finance[Ex GST],tbl_Finance[Job Number],C276&amp;""))</f>
        <v/>
      </c>
      <c r="M276" s="27">
        <f>IF(C276="","",SUMIFS(tbl_Finance[Ex GST],tbl_Finance[Job Number],C276&amp;"",tbl_Finance[Xero Invoice No],"&lt;&gt;"))</f>
        <v/>
      </c>
      <c r="N276" s="27">
        <f>IF(C276="","",L276-M276)</f>
        <v/>
      </c>
      <c r="O276" s="24" t="n"/>
      <c r="P276" s="27">
        <f>IF(C276="","",IF(O276="",0,MAX(0,O276-L276)))</f>
        <v/>
      </c>
      <c r="Q276" s="26">
        <f>IF(C276="","",IF(K276=0,"not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R276" s="22" t="n"/>
      <c r="S276" s="26">
        <f>IF(R276="","",HYPERLINK(IF(LEFT(R276,4)="http",R276,set_QwilrBase&amp;R276),"Open quote"))</f>
        <v/>
      </c>
      <c r="T276" s="24" t="n"/>
      <c r="U276" s="24" t="n"/>
      <c r="V276" s="24" t="n"/>
      <c r="W276" s="26">
        <f>IF(C276="","",IF(N(T276)+N(U276)+N(V276)=0,"Not split",IF(ROUND(N(T276)+N(U276)+N(V276),2)=ROUND(L276+P276,2),"OK",IF(K276=0,"Not invoiced yet","MISMATCH"))))</f>
        <v/>
      </c>
      <c r="X276" s="24" t="n"/>
      <c r="Y276" s="24" t="n"/>
      <c r="Z276" s="24" t="n"/>
      <c r="AA276" s="27">
        <f>IF(C276="","",N(X276)+N(Y276)+N(Z276))</f>
        <v/>
      </c>
      <c r="AB276" s="27">
        <f>IF(C276="","",L276+P276-AA276)</f>
        <v/>
      </c>
      <c r="AC276" s="29">
        <f>IFERROR(AB276/(L276+P276),"")</f>
        <v/>
      </c>
      <c r="AD276" s="22" t="n"/>
    </row>
    <row r="277" ht="15" customHeight="1">
      <c r="A277" s="70">
        <f>IF(C277="","",IFERROR(IF(SUMPRODUCT(MAX((tbl_Finance[Job Number]&amp;""=C277&amp;"")*(tbl_Finance[Xero Invoice No]&lt;&gt;"")*tbl_Finance[Date]))=0,"",SUMPRODUCT(MAX((tbl_Finance[Job Number]&amp;""=C277&amp;"")*(tbl_Finance[Xero Invoice No]&lt;&gt;"")*tbl_Finance[Date]))),""))</f>
        <v/>
      </c>
      <c r="B277" s="26">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2" t="n"/>
      <c r="D277" s="26">
        <f>IF(C277="","",IF(COUNTIF(lst_Jobs,C277&amp;"")&gt;0,"OK","CHECK"))</f>
        <v/>
      </c>
      <c r="E277" s="26">
        <f>IF(C277="","",IFERROR(INDEX(lst_JobName,MATCH(C277&amp;"",lst_Jobs,0)),""))</f>
        <v/>
      </c>
      <c r="F277" s="22" t="n"/>
      <c r="G277" s="22" t="n"/>
      <c r="H277" s="22" t="n"/>
      <c r="I277" s="22" t="n"/>
      <c r="J277" s="22" t="n"/>
      <c r="K277" s="28">
        <f>IF(C277="","",COUNTIFS(tbl_Finance[Job Number],C277&amp;"",tbl_Finance[Ex GST],"&lt;&gt;"))</f>
        <v/>
      </c>
      <c r="L277" s="27">
        <f>IF(C277="","",SUMIFS(tbl_Finance[Ex GST],tbl_Finance[Job Number],C277&amp;""))</f>
        <v/>
      </c>
      <c r="M277" s="27">
        <f>IF(C277="","",SUMIFS(tbl_Finance[Ex GST],tbl_Finance[Job Number],C277&amp;"",tbl_Finance[Xero Invoice No],"&lt;&gt;"))</f>
        <v/>
      </c>
      <c r="N277" s="27">
        <f>IF(C277="","",L277-M277)</f>
        <v/>
      </c>
      <c r="O277" s="24" t="n"/>
      <c r="P277" s="27">
        <f>IF(C277="","",IF(O277="",0,MAX(0,O277-L277)))</f>
        <v/>
      </c>
      <c r="Q277" s="26">
        <f>IF(C277="","",IF(K277=0,"not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R277" s="22" t="n"/>
      <c r="S277" s="26">
        <f>IF(R277="","",HYPERLINK(IF(LEFT(R277,4)="http",R277,set_QwilrBase&amp;R277),"Open quote"))</f>
        <v/>
      </c>
      <c r="T277" s="24" t="n"/>
      <c r="U277" s="24" t="n"/>
      <c r="V277" s="24" t="n"/>
      <c r="W277" s="26">
        <f>IF(C277="","",IF(N(T277)+N(U277)+N(V277)=0,"Not split",IF(ROUND(N(T277)+N(U277)+N(V277),2)=ROUND(L277+P277,2),"OK",IF(K277=0,"Not invoiced yet","MISMATCH"))))</f>
        <v/>
      </c>
      <c r="X277" s="24" t="n"/>
      <c r="Y277" s="24" t="n"/>
      <c r="Z277" s="24" t="n"/>
      <c r="AA277" s="27">
        <f>IF(C277="","",N(X277)+N(Y277)+N(Z277))</f>
        <v/>
      </c>
      <c r="AB277" s="27">
        <f>IF(C277="","",L277+P277-AA277)</f>
        <v/>
      </c>
      <c r="AC277" s="29">
        <f>IFERROR(AB277/(L277+P277),"")</f>
        <v/>
      </c>
      <c r="AD277" s="22" t="n"/>
    </row>
    <row r="278" ht="15" customHeight="1">
      <c r="A278" s="70">
        <f>IF(C278="","",IFERROR(IF(SUMPRODUCT(MAX((tbl_Finance[Job Number]&amp;""=C278&amp;"")*(tbl_Finance[Xero Invoice No]&lt;&gt;"")*tbl_Finance[Date]))=0,"",SUMPRODUCT(MAX((tbl_Finance[Job Number]&amp;""=C278&amp;"")*(tbl_Finance[Xero Invoice No]&lt;&gt;"")*tbl_Finance[Date]))),""))</f>
        <v/>
      </c>
      <c r="B278" s="26">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2" t="n"/>
      <c r="D278" s="26">
        <f>IF(C278="","",IF(COUNTIF(lst_Jobs,C278&amp;"")&gt;0,"OK","CHECK"))</f>
        <v/>
      </c>
      <c r="E278" s="26">
        <f>IF(C278="","",IFERROR(INDEX(lst_JobName,MATCH(C278&amp;"",lst_Jobs,0)),""))</f>
        <v/>
      </c>
      <c r="F278" s="22" t="n"/>
      <c r="G278" s="22" t="n"/>
      <c r="H278" s="22" t="n"/>
      <c r="I278" s="22" t="n"/>
      <c r="J278" s="22" t="n"/>
      <c r="K278" s="28">
        <f>IF(C278="","",COUNTIFS(tbl_Finance[Job Number],C278&amp;"",tbl_Finance[Ex GST],"&lt;&gt;"))</f>
        <v/>
      </c>
      <c r="L278" s="27">
        <f>IF(C278="","",SUMIFS(tbl_Finance[Ex GST],tbl_Finance[Job Number],C278&amp;""))</f>
        <v/>
      </c>
      <c r="M278" s="27">
        <f>IF(C278="","",SUMIFS(tbl_Finance[Ex GST],tbl_Finance[Job Number],C278&amp;"",tbl_Finance[Xero Invoice No],"&lt;&gt;"))</f>
        <v/>
      </c>
      <c r="N278" s="27">
        <f>IF(C278="","",L278-M278)</f>
        <v/>
      </c>
      <c r="O278" s="24" t="n"/>
      <c r="P278" s="27">
        <f>IF(C278="","",IF(O278="",0,MAX(0,O278-L278)))</f>
        <v/>
      </c>
      <c r="Q278" s="26">
        <f>IF(C278="","",IF(K278=0,"not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R278" s="22" t="n"/>
      <c r="S278" s="26">
        <f>IF(R278="","",HYPERLINK(IF(LEFT(R278,4)="http",R278,set_QwilrBase&amp;R278),"Open quote"))</f>
        <v/>
      </c>
      <c r="T278" s="24" t="n"/>
      <c r="U278" s="24" t="n"/>
      <c r="V278" s="24" t="n"/>
      <c r="W278" s="26">
        <f>IF(C278="","",IF(N(T278)+N(U278)+N(V278)=0,"Not split",IF(ROUND(N(T278)+N(U278)+N(V278),2)=ROUND(L278+P278,2),"OK",IF(K278=0,"Not invoiced yet","MISMATCH"))))</f>
        <v/>
      </c>
      <c r="X278" s="24" t="n"/>
      <c r="Y278" s="24" t="n"/>
      <c r="Z278" s="24" t="n"/>
      <c r="AA278" s="27">
        <f>IF(C278="","",N(X278)+N(Y278)+N(Z278))</f>
        <v/>
      </c>
      <c r="AB278" s="27">
        <f>IF(C278="","",L278+P278-AA278)</f>
        <v/>
      </c>
      <c r="AC278" s="29">
        <f>IFERROR(AB278/(L278+P278),"")</f>
        <v/>
      </c>
      <c r="AD278" s="22" t="n"/>
    </row>
    <row r="279" ht="15" customHeight="1">
      <c r="A279" s="70">
        <f>IF(C279="","",IFERROR(IF(SUMPRODUCT(MAX((tbl_Finance[Job Number]&amp;""=C279&amp;"")*(tbl_Finance[Xero Invoice No]&lt;&gt;"")*tbl_Finance[Date]))=0,"",SUMPRODUCT(MAX((tbl_Finance[Job Number]&amp;""=C279&amp;"")*(tbl_Finance[Xero Invoice No]&lt;&gt;"")*tbl_Finance[Date]))),""))</f>
        <v/>
      </c>
      <c r="B279" s="26">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2" t="n"/>
      <c r="D279" s="26">
        <f>IF(C279="","",IF(COUNTIF(lst_Jobs,C279&amp;"")&gt;0,"OK","CHECK"))</f>
        <v/>
      </c>
      <c r="E279" s="26">
        <f>IF(C279="","",IFERROR(INDEX(lst_JobName,MATCH(C279&amp;"",lst_Jobs,0)),""))</f>
        <v/>
      </c>
      <c r="F279" s="22" t="n"/>
      <c r="G279" s="22" t="n"/>
      <c r="H279" s="22" t="n"/>
      <c r="I279" s="22" t="n"/>
      <c r="J279" s="22" t="n"/>
      <c r="K279" s="28">
        <f>IF(C279="","",COUNTIFS(tbl_Finance[Job Number],C279&amp;"",tbl_Finance[Ex GST],"&lt;&gt;"))</f>
        <v/>
      </c>
      <c r="L279" s="27">
        <f>IF(C279="","",SUMIFS(tbl_Finance[Ex GST],tbl_Finance[Job Number],C279&amp;""))</f>
        <v/>
      </c>
      <c r="M279" s="27">
        <f>IF(C279="","",SUMIFS(tbl_Finance[Ex GST],tbl_Finance[Job Number],C279&amp;"",tbl_Finance[Xero Invoice No],"&lt;&gt;"))</f>
        <v/>
      </c>
      <c r="N279" s="27">
        <f>IF(C279="","",L279-M279)</f>
        <v/>
      </c>
      <c r="O279" s="24" t="n"/>
      <c r="P279" s="27">
        <f>IF(C279="","",IF(O279="",0,MAX(0,O279-L279)))</f>
        <v/>
      </c>
      <c r="Q279" s="26">
        <f>IF(C279="","",IF(K279=0,"not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R279" s="22" t="n"/>
      <c r="S279" s="26">
        <f>IF(R279="","",HYPERLINK(IF(LEFT(R279,4)="http",R279,set_QwilrBase&amp;R279),"Open quote"))</f>
        <v/>
      </c>
      <c r="T279" s="24" t="n"/>
      <c r="U279" s="24" t="n"/>
      <c r="V279" s="24" t="n"/>
      <c r="W279" s="26">
        <f>IF(C279="","",IF(N(T279)+N(U279)+N(V279)=0,"Not split",IF(ROUND(N(T279)+N(U279)+N(V279),2)=ROUND(L279+P279,2),"OK",IF(K279=0,"Not invoiced yet","MISMATCH"))))</f>
        <v/>
      </c>
      <c r="X279" s="24" t="n"/>
      <c r="Y279" s="24" t="n"/>
      <c r="Z279" s="24" t="n"/>
      <c r="AA279" s="27">
        <f>IF(C279="","",N(X279)+N(Y279)+N(Z279))</f>
        <v/>
      </c>
      <c r="AB279" s="27">
        <f>IF(C279="","",L279+P279-AA279)</f>
        <v/>
      </c>
      <c r="AC279" s="29">
        <f>IFERROR(AB279/(L279+P279),"")</f>
        <v/>
      </c>
      <c r="AD279" s="22" t="n"/>
    </row>
    <row r="280" ht="15" customHeight="1">
      <c r="A280" s="70">
        <f>IF(C280="","",IFERROR(IF(SUMPRODUCT(MAX((tbl_Finance[Job Number]&amp;""=C280&amp;"")*(tbl_Finance[Xero Invoice No]&lt;&gt;"")*tbl_Finance[Date]))=0,"",SUMPRODUCT(MAX((tbl_Finance[Job Number]&amp;""=C280&amp;"")*(tbl_Finance[Xero Invoice No]&lt;&gt;"")*tbl_Finance[Date]))),""))</f>
        <v/>
      </c>
      <c r="B280" s="26">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2" t="n"/>
      <c r="D280" s="26">
        <f>IF(C280="","",IF(COUNTIF(lst_Jobs,C280&amp;"")&gt;0,"OK","CHECK"))</f>
        <v/>
      </c>
      <c r="E280" s="26">
        <f>IF(C280="","",IFERROR(INDEX(lst_JobName,MATCH(C280&amp;"",lst_Jobs,0)),""))</f>
        <v/>
      </c>
      <c r="F280" s="22" t="n"/>
      <c r="G280" s="22" t="n"/>
      <c r="H280" s="22" t="n"/>
      <c r="I280" s="22" t="n"/>
      <c r="J280" s="22" t="n"/>
      <c r="K280" s="28">
        <f>IF(C280="","",COUNTIFS(tbl_Finance[Job Number],C280&amp;"",tbl_Finance[Ex GST],"&lt;&gt;"))</f>
        <v/>
      </c>
      <c r="L280" s="27">
        <f>IF(C280="","",SUMIFS(tbl_Finance[Ex GST],tbl_Finance[Job Number],C280&amp;""))</f>
        <v/>
      </c>
      <c r="M280" s="27">
        <f>IF(C280="","",SUMIFS(tbl_Finance[Ex GST],tbl_Finance[Job Number],C280&amp;"",tbl_Finance[Xero Invoice No],"&lt;&gt;"))</f>
        <v/>
      </c>
      <c r="N280" s="27">
        <f>IF(C280="","",L280-M280)</f>
        <v/>
      </c>
      <c r="O280" s="24" t="n"/>
      <c r="P280" s="27">
        <f>IF(C280="","",IF(O280="",0,MAX(0,O280-L280)))</f>
        <v/>
      </c>
      <c r="Q280" s="26">
        <f>IF(C280="","",IF(K280=0,"not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R280" s="22" t="n"/>
      <c r="S280" s="26">
        <f>IF(R280="","",HYPERLINK(IF(LEFT(R280,4)="http",R280,set_QwilrBase&amp;R280),"Open quote"))</f>
        <v/>
      </c>
      <c r="T280" s="24" t="n"/>
      <c r="U280" s="24" t="n"/>
      <c r="V280" s="24" t="n"/>
      <c r="W280" s="26">
        <f>IF(C280="","",IF(N(T280)+N(U280)+N(V280)=0,"Not split",IF(ROUND(N(T280)+N(U280)+N(V280),2)=ROUND(L280+P280,2),"OK",IF(K280=0,"Not invoiced yet","MISMATCH"))))</f>
        <v/>
      </c>
      <c r="X280" s="24" t="n"/>
      <c r="Y280" s="24" t="n"/>
      <c r="Z280" s="24" t="n"/>
      <c r="AA280" s="27">
        <f>IF(C280="","",N(X280)+N(Y280)+N(Z280))</f>
        <v/>
      </c>
      <c r="AB280" s="27">
        <f>IF(C280="","",L280+P280-AA280)</f>
        <v/>
      </c>
      <c r="AC280" s="29">
        <f>IFERROR(AB280/(L280+P280),"")</f>
        <v/>
      </c>
      <c r="AD280" s="22" t="n"/>
    </row>
    <row r="281" ht="15" customHeight="1">
      <c r="A281" s="70">
        <f>IF(C281="","",IFERROR(IF(SUMPRODUCT(MAX((tbl_Finance[Job Number]&amp;""=C281&amp;"")*(tbl_Finance[Xero Invoice No]&lt;&gt;"")*tbl_Finance[Date]))=0,"",SUMPRODUCT(MAX((tbl_Finance[Job Number]&amp;""=C281&amp;"")*(tbl_Finance[Xero Invoice No]&lt;&gt;"")*tbl_Finance[Date]))),""))</f>
        <v/>
      </c>
      <c r="B281" s="26">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2" t="n"/>
      <c r="D281" s="26">
        <f>IF(C281="","",IF(COUNTIF(lst_Jobs,C281&amp;"")&gt;0,"OK","CHECK"))</f>
        <v/>
      </c>
      <c r="E281" s="26">
        <f>IF(C281="","",IFERROR(INDEX(lst_JobName,MATCH(C281&amp;"",lst_Jobs,0)),""))</f>
        <v/>
      </c>
      <c r="F281" s="22" t="n"/>
      <c r="G281" s="22" t="n"/>
      <c r="H281" s="22" t="n"/>
      <c r="I281" s="22" t="n"/>
      <c r="J281" s="22" t="n"/>
      <c r="K281" s="28">
        <f>IF(C281="","",COUNTIFS(tbl_Finance[Job Number],C281&amp;"",tbl_Finance[Ex GST],"&lt;&gt;"))</f>
        <v/>
      </c>
      <c r="L281" s="27">
        <f>IF(C281="","",SUMIFS(tbl_Finance[Ex GST],tbl_Finance[Job Number],C281&amp;""))</f>
        <v/>
      </c>
      <c r="M281" s="27">
        <f>IF(C281="","",SUMIFS(tbl_Finance[Ex GST],tbl_Finance[Job Number],C281&amp;"",tbl_Finance[Xero Invoice No],"&lt;&gt;"))</f>
        <v/>
      </c>
      <c r="N281" s="27">
        <f>IF(C281="","",L281-M281)</f>
        <v/>
      </c>
      <c r="O281" s="24" t="n"/>
      <c r="P281" s="27">
        <f>IF(C281="","",IF(O281="",0,MAX(0,O281-L281)))</f>
        <v/>
      </c>
      <c r="Q281" s="26">
        <f>IF(C281="","",IF(K281=0,"not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R281" s="22" t="n"/>
      <c r="S281" s="26">
        <f>IF(R281="","",HYPERLINK(IF(LEFT(R281,4)="http",R281,set_QwilrBase&amp;R281),"Open quote"))</f>
        <v/>
      </c>
      <c r="T281" s="24" t="n"/>
      <c r="U281" s="24" t="n"/>
      <c r="V281" s="24" t="n"/>
      <c r="W281" s="26">
        <f>IF(C281="","",IF(N(T281)+N(U281)+N(V281)=0,"Not split",IF(ROUND(N(T281)+N(U281)+N(V281),2)=ROUND(L281+P281,2),"OK",IF(K281=0,"Not invoiced yet","MISMATCH"))))</f>
        <v/>
      </c>
      <c r="X281" s="24" t="n"/>
      <c r="Y281" s="24" t="n"/>
      <c r="Z281" s="24" t="n"/>
      <c r="AA281" s="27">
        <f>IF(C281="","",N(X281)+N(Y281)+N(Z281))</f>
        <v/>
      </c>
      <c r="AB281" s="27">
        <f>IF(C281="","",L281+P281-AA281)</f>
        <v/>
      </c>
      <c r="AC281" s="29">
        <f>IFERROR(AB281/(L281+P281),"")</f>
        <v/>
      </c>
      <c r="AD281" s="22" t="n"/>
    </row>
    <row r="282" ht="15" customHeight="1">
      <c r="A282" s="70">
        <f>IF(C282="","",IFERROR(IF(SUMPRODUCT(MAX((tbl_Finance[Job Number]&amp;""=C282&amp;"")*(tbl_Finance[Xero Invoice No]&lt;&gt;"")*tbl_Finance[Date]))=0,"",SUMPRODUCT(MAX((tbl_Finance[Job Number]&amp;""=C282&amp;"")*(tbl_Finance[Xero Invoice No]&lt;&gt;"")*tbl_Finance[Date]))),""))</f>
        <v/>
      </c>
      <c r="B282" s="26">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2" t="n"/>
      <c r="D282" s="26">
        <f>IF(C282="","",IF(COUNTIF(lst_Jobs,C282&amp;"")&gt;0,"OK","CHECK"))</f>
        <v/>
      </c>
      <c r="E282" s="26">
        <f>IF(C282="","",IFERROR(INDEX(lst_JobName,MATCH(C282&amp;"",lst_Jobs,0)),""))</f>
        <v/>
      </c>
      <c r="F282" s="22" t="n"/>
      <c r="G282" s="22" t="n"/>
      <c r="H282" s="22" t="n"/>
      <c r="I282" s="22" t="n"/>
      <c r="J282" s="22" t="n"/>
      <c r="K282" s="28">
        <f>IF(C282="","",COUNTIFS(tbl_Finance[Job Number],C282&amp;"",tbl_Finance[Ex GST],"&lt;&gt;"))</f>
        <v/>
      </c>
      <c r="L282" s="27">
        <f>IF(C282="","",SUMIFS(tbl_Finance[Ex GST],tbl_Finance[Job Number],C282&amp;""))</f>
        <v/>
      </c>
      <c r="M282" s="27">
        <f>IF(C282="","",SUMIFS(tbl_Finance[Ex GST],tbl_Finance[Job Number],C282&amp;"",tbl_Finance[Xero Invoice No],"&lt;&gt;"))</f>
        <v/>
      </c>
      <c r="N282" s="27">
        <f>IF(C282="","",L282-M282)</f>
        <v/>
      </c>
      <c r="O282" s="24" t="n"/>
      <c r="P282" s="27">
        <f>IF(C282="","",IF(O282="",0,MAX(0,O282-L282)))</f>
        <v/>
      </c>
      <c r="Q282" s="26">
        <f>IF(C282="","",IF(K282=0,"not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R282" s="22" t="n"/>
      <c r="S282" s="26">
        <f>IF(R282="","",HYPERLINK(IF(LEFT(R282,4)="http",R282,set_QwilrBase&amp;R282),"Open quote"))</f>
        <v/>
      </c>
      <c r="T282" s="24" t="n"/>
      <c r="U282" s="24" t="n"/>
      <c r="V282" s="24" t="n"/>
      <c r="W282" s="26">
        <f>IF(C282="","",IF(N(T282)+N(U282)+N(V282)=0,"Not split",IF(ROUND(N(T282)+N(U282)+N(V282),2)=ROUND(L282+P282,2),"OK",IF(K282=0,"Not invoiced yet","MISMATCH"))))</f>
        <v/>
      </c>
      <c r="X282" s="24" t="n"/>
      <c r="Y282" s="24" t="n"/>
      <c r="Z282" s="24" t="n"/>
      <c r="AA282" s="27">
        <f>IF(C282="","",N(X282)+N(Y282)+N(Z282))</f>
        <v/>
      </c>
      <c r="AB282" s="27">
        <f>IF(C282="","",L282+P282-AA282)</f>
        <v/>
      </c>
      <c r="AC282" s="29">
        <f>IFERROR(AB282/(L282+P282),"")</f>
        <v/>
      </c>
      <c r="AD282" s="22" t="n"/>
    </row>
    <row r="283" ht="15" customHeight="1">
      <c r="A283" s="70">
        <f>IF(C283="","",IFERROR(IF(SUMPRODUCT(MAX((tbl_Finance[Job Number]&amp;""=C283&amp;"")*(tbl_Finance[Xero Invoice No]&lt;&gt;"")*tbl_Finance[Date]))=0,"",SUMPRODUCT(MAX((tbl_Finance[Job Number]&amp;""=C283&amp;"")*(tbl_Finance[Xero Invoice No]&lt;&gt;"")*tbl_Finance[Date]))),""))</f>
        <v/>
      </c>
      <c r="B283" s="26">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2" t="n"/>
      <c r="D283" s="26">
        <f>IF(C283="","",IF(COUNTIF(lst_Jobs,C283&amp;"")&gt;0,"OK","CHECK"))</f>
        <v/>
      </c>
      <c r="E283" s="26">
        <f>IF(C283="","",IFERROR(INDEX(lst_JobName,MATCH(C283&amp;"",lst_Jobs,0)),""))</f>
        <v/>
      </c>
      <c r="F283" s="22" t="n"/>
      <c r="G283" s="22" t="n"/>
      <c r="H283" s="22" t="n"/>
      <c r="I283" s="22" t="n"/>
      <c r="J283" s="22" t="n"/>
      <c r="K283" s="28">
        <f>IF(C283="","",COUNTIFS(tbl_Finance[Job Number],C283&amp;"",tbl_Finance[Ex GST],"&lt;&gt;"))</f>
        <v/>
      </c>
      <c r="L283" s="27">
        <f>IF(C283="","",SUMIFS(tbl_Finance[Ex GST],tbl_Finance[Job Number],C283&amp;""))</f>
        <v/>
      </c>
      <c r="M283" s="27">
        <f>IF(C283="","",SUMIFS(tbl_Finance[Ex GST],tbl_Finance[Job Number],C283&amp;"",tbl_Finance[Xero Invoice No],"&lt;&gt;"))</f>
        <v/>
      </c>
      <c r="N283" s="27">
        <f>IF(C283="","",L283-M283)</f>
        <v/>
      </c>
      <c r="O283" s="24" t="n"/>
      <c r="P283" s="27">
        <f>IF(C283="","",IF(O283="",0,MAX(0,O283-L283)))</f>
        <v/>
      </c>
      <c r="Q283" s="26">
        <f>IF(C283="","",IF(K283=0,"not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R283" s="22" t="n"/>
      <c r="S283" s="26">
        <f>IF(R283="","",HYPERLINK(IF(LEFT(R283,4)="http",R283,set_QwilrBase&amp;R283),"Open quote"))</f>
        <v/>
      </c>
      <c r="T283" s="24" t="n"/>
      <c r="U283" s="24" t="n"/>
      <c r="V283" s="24" t="n"/>
      <c r="W283" s="26">
        <f>IF(C283="","",IF(N(T283)+N(U283)+N(V283)=0,"Not split",IF(ROUND(N(T283)+N(U283)+N(V283),2)=ROUND(L283+P283,2),"OK",IF(K283=0,"Not invoiced yet","MISMATCH"))))</f>
        <v/>
      </c>
      <c r="X283" s="24" t="n"/>
      <c r="Y283" s="24" t="n"/>
      <c r="Z283" s="24" t="n"/>
      <c r="AA283" s="27">
        <f>IF(C283="","",N(X283)+N(Y283)+N(Z283))</f>
        <v/>
      </c>
      <c r="AB283" s="27">
        <f>IF(C283="","",L283+P283-AA283)</f>
        <v/>
      </c>
      <c r="AC283" s="29">
        <f>IFERROR(AB283/(L283+P283),"")</f>
        <v/>
      </c>
      <c r="AD283" s="22" t="n"/>
    </row>
    <row r="284" ht="15" customHeight="1">
      <c r="A284" s="70">
        <f>IF(C284="","",IFERROR(IF(SUMPRODUCT(MAX((tbl_Finance[Job Number]&amp;""=C284&amp;"")*(tbl_Finance[Xero Invoice No]&lt;&gt;"")*tbl_Finance[Date]))=0,"",SUMPRODUCT(MAX((tbl_Finance[Job Number]&amp;""=C284&amp;"")*(tbl_Finance[Xero Invoice No]&lt;&gt;"")*tbl_Finance[Date]))),""))</f>
        <v/>
      </c>
      <c r="B284" s="26">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2" t="n"/>
      <c r="D284" s="26">
        <f>IF(C284="","",IF(COUNTIF(lst_Jobs,C284&amp;"")&gt;0,"OK","CHECK"))</f>
        <v/>
      </c>
      <c r="E284" s="26">
        <f>IF(C284="","",IFERROR(INDEX(lst_JobName,MATCH(C284&amp;"",lst_Jobs,0)),""))</f>
        <v/>
      </c>
      <c r="F284" s="22" t="n"/>
      <c r="G284" s="22" t="n"/>
      <c r="H284" s="22" t="n"/>
      <c r="I284" s="22" t="n"/>
      <c r="J284" s="22" t="n"/>
      <c r="K284" s="28">
        <f>IF(C284="","",COUNTIFS(tbl_Finance[Job Number],C284&amp;"",tbl_Finance[Ex GST],"&lt;&gt;"))</f>
        <v/>
      </c>
      <c r="L284" s="27">
        <f>IF(C284="","",SUMIFS(tbl_Finance[Ex GST],tbl_Finance[Job Number],C284&amp;""))</f>
        <v/>
      </c>
      <c r="M284" s="27">
        <f>IF(C284="","",SUMIFS(tbl_Finance[Ex GST],tbl_Finance[Job Number],C284&amp;"",tbl_Finance[Xero Invoice No],"&lt;&gt;"))</f>
        <v/>
      </c>
      <c r="N284" s="27">
        <f>IF(C284="","",L284-M284)</f>
        <v/>
      </c>
      <c r="O284" s="24" t="n"/>
      <c r="P284" s="27">
        <f>IF(C284="","",IF(O284="",0,MAX(0,O284-L284)))</f>
        <v/>
      </c>
      <c r="Q284" s="26">
        <f>IF(C284="","",IF(K284=0,"not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R284" s="22" t="n"/>
      <c r="S284" s="26">
        <f>IF(R284="","",HYPERLINK(IF(LEFT(R284,4)="http",R284,set_QwilrBase&amp;R284),"Open quote"))</f>
        <v/>
      </c>
      <c r="T284" s="24" t="n"/>
      <c r="U284" s="24" t="n"/>
      <c r="V284" s="24" t="n"/>
      <c r="W284" s="26">
        <f>IF(C284="","",IF(N(T284)+N(U284)+N(V284)=0,"Not split",IF(ROUND(N(T284)+N(U284)+N(V284),2)=ROUND(L284+P284,2),"OK",IF(K284=0,"Not invoiced yet","MISMATCH"))))</f>
        <v/>
      </c>
      <c r="X284" s="24" t="n"/>
      <c r="Y284" s="24" t="n"/>
      <c r="Z284" s="24" t="n"/>
      <c r="AA284" s="27">
        <f>IF(C284="","",N(X284)+N(Y284)+N(Z284))</f>
        <v/>
      </c>
      <c r="AB284" s="27">
        <f>IF(C284="","",L284+P284-AA284)</f>
        <v/>
      </c>
      <c r="AC284" s="29">
        <f>IFERROR(AB284/(L284+P284),"")</f>
        <v/>
      </c>
      <c r="AD284" s="22" t="n"/>
    </row>
    <row r="285" ht="15" customHeight="1">
      <c r="A285" s="70">
        <f>IF(C285="","",IFERROR(IF(SUMPRODUCT(MAX((tbl_Finance[Job Number]&amp;""=C285&amp;"")*(tbl_Finance[Xero Invoice No]&lt;&gt;"")*tbl_Finance[Date]))=0,"",SUMPRODUCT(MAX((tbl_Finance[Job Number]&amp;""=C285&amp;"")*(tbl_Finance[Xero Invoice No]&lt;&gt;"")*tbl_Finance[Date]))),""))</f>
        <v/>
      </c>
      <c r="B285" s="26">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2" t="n"/>
      <c r="D285" s="26">
        <f>IF(C285="","",IF(COUNTIF(lst_Jobs,C285&amp;"")&gt;0,"OK","CHECK"))</f>
        <v/>
      </c>
      <c r="E285" s="26">
        <f>IF(C285="","",IFERROR(INDEX(lst_JobName,MATCH(C285&amp;"",lst_Jobs,0)),""))</f>
        <v/>
      </c>
      <c r="F285" s="22" t="n"/>
      <c r="G285" s="22" t="n"/>
      <c r="H285" s="22" t="n"/>
      <c r="I285" s="22" t="n"/>
      <c r="J285" s="22" t="n"/>
      <c r="K285" s="28">
        <f>IF(C285="","",COUNTIFS(tbl_Finance[Job Number],C285&amp;"",tbl_Finance[Ex GST],"&lt;&gt;"))</f>
        <v/>
      </c>
      <c r="L285" s="27">
        <f>IF(C285="","",SUMIFS(tbl_Finance[Ex GST],tbl_Finance[Job Number],C285&amp;""))</f>
        <v/>
      </c>
      <c r="M285" s="27">
        <f>IF(C285="","",SUMIFS(tbl_Finance[Ex GST],tbl_Finance[Job Number],C285&amp;"",tbl_Finance[Xero Invoice No],"&lt;&gt;"))</f>
        <v/>
      </c>
      <c r="N285" s="27">
        <f>IF(C285="","",L285-M285)</f>
        <v/>
      </c>
      <c r="O285" s="24" t="n"/>
      <c r="P285" s="27">
        <f>IF(C285="","",IF(O285="",0,MAX(0,O285-L285)))</f>
        <v/>
      </c>
      <c r="Q285" s="26">
        <f>IF(C285="","",IF(K285=0,"not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R285" s="22" t="n"/>
      <c r="S285" s="26">
        <f>IF(R285="","",HYPERLINK(IF(LEFT(R285,4)="http",R285,set_QwilrBase&amp;R285),"Open quote"))</f>
        <v/>
      </c>
      <c r="T285" s="24" t="n"/>
      <c r="U285" s="24" t="n"/>
      <c r="V285" s="24" t="n"/>
      <c r="W285" s="26">
        <f>IF(C285="","",IF(N(T285)+N(U285)+N(V285)=0,"Not split",IF(ROUND(N(T285)+N(U285)+N(V285),2)=ROUND(L285+P285,2),"OK",IF(K285=0,"Not invoiced yet","MISMATCH"))))</f>
        <v/>
      </c>
      <c r="X285" s="24" t="n"/>
      <c r="Y285" s="24" t="n"/>
      <c r="Z285" s="24" t="n"/>
      <c r="AA285" s="27">
        <f>IF(C285="","",N(X285)+N(Y285)+N(Z285))</f>
        <v/>
      </c>
      <c r="AB285" s="27">
        <f>IF(C285="","",L285+P285-AA285)</f>
        <v/>
      </c>
      <c r="AC285" s="29">
        <f>IFERROR(AB285/(L285+P285),"")</f>
        <v/>
      </c>
      <c r="AD285" s="22" t="n"/>
    </row>
    <row r="286" ht="15" customHeight="1">
      <c r="A286" s="70">
        <f>IF(C286="","",IFERROR(IF(SUMPRODUCT(MAX((tbl_Finance[Job Number]&amp;""=C286&amp;"")*(tbl_Finance[Xero Invoice No]&lt;&gt;"")*tbl_Finance[Date]))=0,"",SUMPRODUCT(MAX((tbl_Finance[Job Number]&amp;""=C286&amp;"")*(tbl_Finance[Xero Invoice No]&lt;&gt;"")*tbl_Finance[Date]))),""))</f>
        <v/>
      </c>
      <c r="B286" s="26">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2" t="n"/>
      <c r="D286" s="26">
        <f>IF(C286="","",IF(COUNTIF(lst_Jobs,C286&amp;"")&gt;0,"OK","CHECK"))</f>
        <v/>
      </c>
      <c r="E286" s="26">
        <f>IF(C286="","",IFERROR(INDEX(lst_JobName,MATCH(C286&amp;"",lst_Jobs,0)),""))</f>
        <v/>
      </c>
      <c r="F286" s="22" t="n"/>
      <c r="G286" s="22" t="n"/>
      <c r="H286" s="22" t="n"/>
      <c r="I286" s="22" t="n"/>
      <c r="J286" s="22" t="n"/>
      <c r="K286" s="28">
        <f>IF(C286="","",COUNTIFS(tbl_Finance[Job Number],C286&amp;"",tbl_Finance[Ex GST],"&lt;&gt;"))</f>
        <v/>
      </c>
      <c r="L286" s="27">
        <f>IF(C286="","",SUMIFS(tbl_Finance[Ex GST],tbl_Finance[Job Number],C286&amp;""))</f>
        <v/>
      </c>
      <c r="M286" s="27">
        <f>IF(C286="","",SUMIFS(tbl_Finance[Ex GST],tbl_Finance[Job Number],C286&amp;"",tbl_Finance[Xero Invoice No],"&lt;&gt;"))</f>
        <v/>
      </c>
      <c r="N286" s="27">
        <f>IF(C286="","",L286-M286)</f>
        <v/>
      </c>
      <c r="O286" s="24" t="n"/>
      <c r="P286" s="27">
        <f>IF(C286="","",IF(O286="",0,MAX(0,O286-L286)))</f>
        <v/>
      </c>
      <c r="Q286" s="26">
        <f>IF(C286="","",IF(K286=0,"not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R286" s="22" t="n"/>
      <c r="S286" s="26">
        <f>IF(R286="","",HYPERLINK(IF(LEFT(R286,4)="http",R286,set_QwilrBase&amp;R286),"Open quote"))</f>
        <v/>
      </c>
      <c r="T286" s="24" t="n"/>
      <c r="U286" s="24" t="n"/>
      <c r="V286" s="24" t="n"/>
      <c r="W286" s="26">
        <f>IF(C286="","",IF(N(T286)+N(U286)+N(V286)=0,"Not split",IF(ROUND(N(T286)+N(U286)+N(V286),2)=ROUND(L286+P286,2),"OK",IF(K286=0,"Not invoiced yet","MISMATCH"))))</f>
        <v/>
      </c>
      <c r="X286" s="24" t="n"/>
      <c r="Y286" s="24" t="n"/>
      <c r="Z286" s="24" t="n"/>
      <c r="AA286" s="27">
        <f>IF(C286="","",N(X286)+N(Y286)+N(Z286))</f>
        <v/>
      </c>
      <c r="AB286" s="27">
        <f>IF(C286="","",L286+P286-AA286)</f>
        <v/>
      </c>
      <c r="AC286" s="29">
        <f>IFERROR(AB286/(L286+P286),"")</f>
        <v/>
      </c>
      <c r="AD286" s="22" t="n"/>
    </row>
    <row r="287" ht="15" customHeight="1">
      <c r="A287" s="70">
        <f>IF(C287="","",IFERROR(IF(SUMPRODUCT(MAX((tbl_Finance[Job Number]&amp;""=C287&amp;"")*(tbl_Finance[Xero Invoice No]&lt;&gt;"")*tbl_Finance[Date]))=0,"",SUMPRODUCT(MAX((tbl_Finance[Job Number]&amp;""=C287&amp;"")*(tbl_Finance[Xero Invoice No]&lt;&gt;"")*tbl_Finance[Date]))),""))</f>
        <v/>
      </c>
      <c r="B287" s="26">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2" t="n"/>
      <c r="D287" s="26">
        <f>IF(C287="","",IF(COUNTIF(lst_Jobs,C287&amp;"")&gt;0,"OK","CHECK"))</f>
        <v/>
      </c>
      <c r="E287" s="26">
        <f>IF(C287="","",IFERROR(INDEX(lst_JobName,MATCH(C287&amp;"",lst_Jobs,0)),""))</f>
        <v/>
      </c>
      <c r="F287" s="22" t="n"/>
      <c r="G287" s="22" t="n"/>
      <c r="H287" s="22" t="n"/>
      <c r="I287" s="22" t="n"/>
      <c r="J287" s="22" t="n"/>
      <c r="K287" s="28">
        <f>IF(C287="","",COUNTIFS(tbl_Finance[Job Number],C287&amp;"",tbl_Finance[Ex GST],"&lt;&gt;"))</f>
        <v/>
      </c>
      <c r="L287" s="27">
        <f>IF(C287="","",SUMIFS(tbl_Finance[Ex GST],tbl_Finance[Job Number],C287&amp;""))</f>
        <v/>
      </c>
      <c r="M287" s="27">
        <f>IF(C287="","",SUMIFS(tbl_Finance[Ex GST],tbl_Finance[Job Number],C287&amp;"",tbl_Finance[Xero Invoice No],"&lt;&gt;"))</f>
        <v/>
      </c>
      <c r="N287" s="27">
        <f>IF(C287="","",L287-M287)</f>
        <v/>
      </c>
      <c r="O287" s="24" t="n"/>
      <c r="P287" s="27">
        <f>IF(C287="","",IF(O287="",0,MAX(0,O287-L287)))</f>
        <v/>
      </c>
      <c r="Q287" s="26">
        <f>IF(C287="","",IF(K287=0,"not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R287" s="22" t="n"/>
      <c r="S287" s="26">
        <f>IF(R287="","",HYPERLINK(IF(LEFT(R287,4)="http",R287,set_QwilrBase&amp;R287),"Open quote"))</f>
        <v/>
      </c>
      <c r="T287" s="24" t="n"/>
      <c r="U287" s="24" t="n"/>
      <c r="V287" s="24" t="n"/>
      <c r="W287" s="26">
        <f>IF(C287="","",IF(N(T287)+N(U287)+N(V287)=0,"Not split",IF(ROUND(N(T287)+N(U287)+N(V287),2)=ROUND(L287+P287,2),"OK",IF(K287=0,"Not invoiced yet","MISMATCH"))))</f>
        <v/>
      </c>
      <c r="X287" s="24" t="n"/>
      <c r="Y287" s="24" t="n"/>
      <c r="Z287" s="24" t="n"/>
      <c r="AA287" s="27">
        <f>IF(C287="","",N(X287)+N(Y287)+N(Z287))</f>
        <v/>
      </c>
      <c r="AB287" s="27">
        <f>IF(C287="","",L287+P287-AA287)</f>
        <v/>
      </c>
      <c r="AC287" s="29">
        <f>IFERROR(AB287/(L287+P287),"")</f>
        <v/>
      </c>
      <c r="AD287" s="22" t="n"/>
    </row>
    <row r="288" ht="15" customHeight="1">
      <c r="A288" s="70">
        <f>IF(C288="","",IFERROR(IF(SUMPRODUCT(MAX((tbl_Finance[Job Number]&amp;""=C288&amp;"")*(tbl_Finance[Xero Invoice No]&lt;&gt;"")*tbl_Finance[Date]))=0,"",SUMPRODUCT(MAX((tbl_Finance[Job Number]&amp;""=C288&amp;"")*(tbl_Finance[Xero Invoice No]&lt;&gt;"")*tbl_Finance[Date]))),""))</f>
        <v/>
      </c>
      <c r="B288" s="26">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2" t="n"/>
      <c r="D288" s="26">
        <f>IF(C288="","",IF(COUNTIF(lst_Jobs,C288&amp;"")&gt;0,"OK","CHECK"))</f>
        <v/>
      </c>
      <c r="E288" s="26">
        <f>IF(C288="","",IFERROR(INDEX(lst_JobName,MATCH(C288&amp;"",lst_Jobs,0)),""))</f>
        <v/>
      </c>
      <c r="F288" s="22" t="n"/>
      <c r="G288" s="22" t="n"/>
      <c r="H288" s="22" t="n"/>
      <c r="I288" s="22" t="n"/>
      <c r="J288" s="22" t="n"/>
      <c r="K288" s="28">
        <f>IF(C288="","",COUNTIFS(tbl_Finance[Job Number],C288&amp;"",tbl_Finance[Ex GST],"&lt;&gt;"))</f>
        <v/>
      </c>
      <c r="L288" s="27">
        <f>IF(C288="","",SUMIFS(tbl_Finance[Ex GST],tbl_Finance[Job Number],C288&amp;""))</f>
        <v/>
      </c>
      <c r="M288" s="27">
        <f>IF(C288="","",SUMIFS(tbl_Finance[Ex GST],tbl_Finance[Job Number],C288&amp;"",tbl_Finance[Xero Invoice No],"&lt;&gt;"))</f>
        <v/>
      </c>
      <c r="N288" s="27">
        <f>IF(C288="","",L288-M288)</f>
        <v/>
      </c>
      <c r="O288" s="24" t="n"/>
      <c r="P288" s="27">
        <f>IF(C288="","",IF(O288="",0,MAX(0,O288-L288)))</f>
        <v/>
      </c>
      <c r="Q288" s="26">
        <f>IF(C288="","",IF(K288=0,"not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R288" s="22" t="n"/>
      <c r="S288" s="26">
        <f>IF(R288="","",HYPERLINK(IF(LEFT(R288,4)="http",R288,set_QwilrBase&amp;R288),"Open quote"))</f>
        <v/>
      </c>
      <c r="T288" s="24" t="n"/>
      <c r="U288" s="24" t="n"/>
      <c r="V288" s="24" t="n"/>
      <c r="W288" s="26">
        <f>IF(C288="","",IF(N(T288)+N(U288)+N(V288)=0,"Not split",IF(ROUND(N(T288)+N(U288)+N(V288),2)=ROUND(L288+P288,2),"OK",IF(K288=0,"Not invoiced yet","MISMATCH"))))</f>
        <v/>
      </c>
      <c r="X288" s="24" t="n"/>
      <c r="Y288" s="24" t="n"/>
      <c r="Z288" s="24" t="n"/>
      <c r="AA288" s="27">
        <f>IF(C288="","",N(X288)+N(Y288)+N(Z288))</f>
        <v/>
      </c>
      <c r="AB288" s="27">
        <f>IF(C288="","",L288+P288-AA288)</f>
        <v/>
      </c>
      <c r="AC288" s="29">
        <f>IFERROR(AB288/(L288+P288),"")</f>
        <v/>
      </c>
      <c r="AD288" s="22" t="n"/>
    </row>
    <row r="289" ht="15" customHeight="1">
      <c r="A289" s="70">
        <f>IF(C289="","",IFERROR(IF(SUMPRODUCT(MAX((tbl_Finance[Job Number]&amp;""=C289&amp;"")*(tbl_Finance[Xero Invoice No]&lt;&gt;"")*tbl_Finance[Date]))=0,"",SUMPRODUCT(MAX((tbl_Finance[Job Number]&amp;""=C289&amp;"")*(tbl_Finance[Xero Invoice No]&lt;&gt;"")*tbl_Finance[Date]))),""))</f>
        <v/>
      </c>
      <c r="B289" s="26">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2" t="n"/>
      <c r="D289" s="26">
        <f>IF(C289="","",IF(COUNTIF(lst_Jobs,C289&amp;"")&gt;0,"OK","CHECK"))</f>
        <v/>
      </c>
      <c r="E289" s="26">
        <f>IF(C289="","",IFERROR(INDEX(lst_JobName,MATCH(C289&amp;"",lst_Jobs,0)),""))</f>
        <v/>
      </c>
      <c r="F289" s="22" t="n"/>
      <c r="G289" s="22" t="n"/>
      <c r="H289" s="22" t="n"/>
      <c r="I289" s="22" t="n"/>
      <c r="J289" s="22" t="n"/>
      <c r="K289" s="28">
        <f>IF(C289="","",COUNTIFS(tbl_Finance[Job Number],C289&amp;"",tbl_Finance[Ex GST],"&lt;&gt;"))</f>
        <v/>
      </c>
      <c r="L289" s="27">
        <f>IF(C289="","",SUMIFS(tbl_Finance[Ex GST],tbl_Finance[Job Number],C289&amp;""))</f>
        <v/>
      </c>
      <c r="M289" s="27">
        <f>IF(C289="","",SUMIFS(tbl_Finance[Ex GST],tbl_Finance[Job Number],C289&amp;"",tbl_Finance[Xero Invoice No],"&lt;&gt;"))</f>
        <v/>
      </c>
      <c r="N289" s="27">
        <f>IF(C289="","",L289-M289)</f>
        <v/>
      </c>
      <c r="O289" s="24" t="n"/>
      <c r="P289" s="27">
        <f>IF(C289="","",IF(O289="",0,MAX(0,O289-L289)))</f>
        <v/>
      </c>
      <c r="Q289" s="26">
        <f>IF(C289="","",IF(K289=0,"not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R289" s="22" t="n"/>
      <c r="S289" s="26">
        <f>IF(R289="","",HYPERLINK(IF(LEFT(R289,4)="http",R289,set_QwilrBase&amp;R289),"Open quote"))</f>
        <v/>
      </c>
      <c r="T289" s="24" t="n"/>
      <c r="U289" s="24" t="n"/>
      <c r="V289" s="24" t="n"/>
      <c r="W289" s="26">
        <f>IF(C289="","",IF(N(T289)+N(U289)+N(V289)=0,"Not split",IF(ROUND(N(T289)+N(U289)+N(V289),2)=ROUND(L289+P289,2),"OK",IF(K289=0,"Not invoiced yet","MISMATCH"))))</f>
        <v/>
      </c>
      <c r="X289" s="24" t="n"/>
      <c r="Y289" s="24" t="n"/>
      <c r="Z289" s="24" t="n"/>
      <c r="AA289" s="27">
        <f>IF(C289="","",N(X289)+N(Y289)+N(Z289))</f>
        <v/>
      </c>
      <c r="AB289" s="27">
        <f>IF(C289="","",L289+P289-AA289)</f>
        <v/>
      </c>
      <c r="AC289" s="29">
        <f>IFERROR(AB289/(L289+P289),"")</f>
        <v/>
      </c>
      <c r="AD289" s="22" t="n"/>
    </row>
    <row r="290" ht="15" customHeight="1">
      <c r="A290" s="70">
        <f>IF(C290="","",IFERROR(IF(SUMPRODUCT(MAX((tbl_Finance[Job Number]&amp;""=C290&amp;"")*(tbl_Finance[Xero Invoice No]&lt;&gt;"")*tbl_Finance[Date]))=0,"",SUMPRODUCT(MAX((tbl_Finance[Job Number]&amp;""=C290&amp;"")*(tbl_Finance[Xero Invoice No]&lt;&gt;"")*tbl_Finance[Date]))),""))</f>
        <v/>
      </c>
      <c r="B290" s="26">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2" t="n"/>
      <c r="D290" s="26">
        <f>IF(C290="","",IF(COUNTIF(lst_Jobs,C290&amp;"")&gt;0,"OK","CHECK"))</f>
        <v/>
      </c>
      <c r="E290" s="26">
        <f>IF(C290="","",IFERROR(INDEX(lst_JobName,MATCH(C290&amp;"",lst_Jobs,0)),""))</f>
        <v/>
      </c>
      <c r="F290" s="22" t="n"/>
      <c r="G290" s="22" t="n"/>
      <c r="H290" s="22" t="n"/>
      <c r="I290" s="22" t="n"/>
      <c r="J290" s="22" t="n"/>
      <c r="K290" s="28">
        <f>IF(C290="","",COUNTIFS(tbl_Finance[Job Number],C290&amp;"",tbl_Finance[Ex GST],"&lt;&gt;"))</f>
        <v/>
      </c>
      <c r="L290" s="27">
        <f>IF(C290="","",SUMIFS(tbl_Finance[Ex GST],tbl_Finance[Job Number],C290&amp;""))</f>
        <v/>
      </c>
      <c r="M290" s="27">
        <f>IF(C290="","",SUMIFS(tbl_Finance[Ex GST],tbl_Finance[Job Number],C290&amp;"",tbl_Finance[Xero Invoice No],"&lt;&gt;"))</f>
        <v/>
      </c>
      <c r="N290" s="27">
        <f>IF(C290="","",L290-M290)</f>
        <v/>
      </c>
      <c r="O290" s="24" t="n"/>
      <c r="P290" s="27">
        <f>IF(C290="","",IF(O290="",0,MAX(0,O290-L290)))</f>
        <v/>
      </c>
      <c r="Q290" s="26">
        <f>IF(C290="","",IF(K290=0,"not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R290" s="22" t="n"/>
      <c r="S290" s="26">
        <f>IF(R290="","",HYPERLINK(IF(LEFT(R290,4)="http",R290,set_QwilrBase&amp;R290),"Open quote"))</f>
        <v/>
      </c>
      <c r="T290" s="24" t="n"/>
      <c r="U290" s="24" t="n"/>
      <c r="V290" s="24" t="n"/>
      <c r="W290" s="26">
        <f>IF(C290="","",IF(N(T290)+N(U290)+N(V290)=0,"Not split",IF(ROUND(N(T290)+N(U290)+N(V290),2)=ROUND(L290+P290,2),"OK",IF(K290=0,"Not invoiced yet","MISMATCH"))))</f>
        <v/>
      </c>
      <c r="X290" s="24" t="n"/>
      <c r="Y290" s="24" t="n"/>
      <c r="Z290" s="24" t="n"/>
      <c r="AA290" s="27">
        <f>IF(C290="","",N(X290)+N(Y290)+N(Z290))</f>
        <v/>
      </c>
      <c r="AB290" s="27">
        <f>IF(C290="","",L290+P290-AA290)</f>
        <v/>
      </c>
      <c r="AC290" s="29">
        <f>IFERROR(AB290/(L290+P290),"")</f>
        <v/>
      </c>
      <c r="AD290" s="22" t="n"/>
    </row>
    <row r="291" ht="15" customHeight="1">
      <c r="A291" s="70">
        <f>IF(C291="","",IFERROR(IF(SUMPRODUCT(MAX((tbl_Finance[Job Number]&amp;""=C291&amp;"")*(tbl_Finance[Xero Invoice No]&lt;&gt;"")*tbl_Finance[Date]))=0,"",SUMPRODUCT(MAX((tbl_Finance[Job Number]&amp;""=C291&amp;"")*(tbl_Finance[Xero Invoice No]&lt;&gt;"")*tbl_Finance[Date]))),""))</f>
        <v/>
      </c>
      <c r="B291" s="26">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2" t="n"/>
      <c r="D291" s="26">
        <f>IF(C291="","",IF(COUNTIF(lst_Jobs,C291&amp;"")&gt;0,"OK","CHECK"))</f>
        <v/>
      </c>
      <c r="E291" s="26">
        <f>IF(C291="","",IFERROR(INDEX(lst_JobName,MATCH(C291&amp;"",lst_Jobs,0)),""))</f>
        <v/>
      </c>
      <c r="F291" s="22" t="n"/>
      <c r="G291" s="22" t="n"/>
      <c r="H291" s="22" t="n"/>
      <c r="I291" s="22" t="n"/>
      <c r="J291" s="22" t="n"/>
      <c r="K291" s="28">
        <f>IF(C291="","",COUNTIFS(tbl_Finance[Job Number],C291&amp;"",tbl_Finance[Ex GST],"&lt;&gt;"))</f>
        <v/>
      </c>
      <c r="L291" s="27">
        <f>IF(C291="","",SUMIFS(tbl_Finance[Ex GST],tbl_Finance[Job Number],C291&amp;""))</f>
        <v/>
      </c>
      <c r="M291" s="27">
        <f>IF(C291="","",SUMIFS(tbl_Finance[Ex GST],tbl_Finance[Job Number],C291&amp;"",tbl_Finance[Xero Invoice No],"&lt;&gt;"))</f>
        <v/>
      </c>
      <c r="N291" s="27">
        <f>IF(C291="","",L291-M291)</f>
        <v/>
      </c>
      <c r="O291" s="24" t="n"/>
      <c r="P291" s="27">
        <f>IF(C291="","",IF(O291="",0,MAX(0,O291-L291)))</f>
        <v/>
      </c>
      <c r="Q291" s="26">
        <f>IF(C291="","",IF(K291=0,"not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R291" s="22" t="n"/>
      <c r="S291" s="26">
        <f>IF(R291="","",HYPERLINK(IF(LEFT(R291,4)="http",R291,set_QwilrBase&amp;R291),"Open quote"))</f>
        <v/>
      </c>
      <c r="T291" s="24" t="n"/>
      <c r="U291" s="24" t="n"/>
      <c r="V291" s="24" t="n"/>
      <c r="W291" s="26">
        <f>IF(C291="","",IF(N(T291)+N(U291)+N(V291)=0,"Not split",IF(ROUND(N(T291)+N(U291)+N(V291),2)=ROUND(L291+P291,2),"OK",IF(K291=0,"Not invoiced yet","MISMATCH"))))</f>
        <v/>
      </c>
      <c r="X291" s="24" t="n"/>
      <c r="Y291" s="24" t="n"/>
      <c r="Z291" s="24" t="n"/>
      <c r="AA291" s="27">
        <f>IF(C291="","",N(X291)+N(Y291)+N(Z291))</f>
        <v/>
      </c>
      <c r="AB291" s="27">
        <f>IF(C291="","",L291+P291-AA291)</f>
        <v/>
      </c>
      <c r="AC291" s="29">
        <f>IFERROR(AB291/(L291+P291),"")</f>
        <v/>
      </c>
      <c r="AD291" s="22" t="n"/>
    </row>
    <row r="292" ht="15" customHeight="1">
      <c r="A292" s="70">
        <f>IF(C292="","",IFERROR(IF(SUMPRODUCT(MAX((tbl_Finance[Job Number]&amp;""=C292&amp;"")*(tbl_Finance[Xero Invoice No]&lt;&gt;"")*tbl_Finance[Date]))=0,"",SUMPRODUCT(MAX((tbl_Finance[Job Number]&amp;""=C292&amp;"")*(tbl_Finance[Xero Invoice No]&lt;&gt;"")*tbl_Finance[Date]))),""))</f>
        <v/>
      </c>
      <c r="B292" s="26">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2" t="n"/>
      <c r="D292" s="26">
        <f>IF(C292="","",IF(COUNTIF(lst_Jobs,C292&amp;"")&gt;0,"OK","CHECK"))</f>
        <v/>
      </c>
      <c r="E292" s="26">
        <f>IF(C292="","",IFERROR(INDEX(lst_JobName,MATCH(C292&amp;"",lst_Jobs,0)),""))</f>
        <v/>
      </c>
      <c r="F292" s="22" t="n"/>
      <c r="G292" s="22" t="n"/>
      <c r="H292" s="22" t="n"/>
      <c r="I292" s="22" t="n"/>
      <c r="J292" s="22" t="n"/>
      <c r="K292" s="28">
        <f>IF(C292="","",COUNTIFS(tbl_Finance[Job Number],C292&amp;"",tbl_Finance[Ex GST],"&lt;&gt;"))</f>
        <v/>
      </c>
      <c r="L292" s="27">
        <f>IF(C292="","",SUMIFS(tbl_Finance[Ex GST],tbl_Finance[Job Number],C292&amp;""))</f>
        <v/>
      </c>
      <c r="M292" s="27">
        <f>IF(C292="","",SUMIFS(tbl_Finance[Ex GST],tbl_Finance[Job Number],C292&amp;"",tbl_Finance[Xero Invoice No],"&lt;&gt;"))</f>
        <v/>
      </c>
      <c r="N292" s="27">
        <f>IF(C292="","",L292-M292)</f>
        <v/>
      </c>
      <c r="O292" s="24" t="n"/>
      <c r="P292" s="27">
        <f>IF(C292="","",IF(O292="",0,MAX(0,O292-L292)))</f>
        <v/>
      </c>
      <c r="Q292" s="26">
        <f>IF(C292="","",IF(K292=0,"not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R292" s="22" t="n"/>
      <c r="S292" s="26">
        <f>IF(R292="","",HYPERLINK(IF(LEFT(R292,4)="http",R292,set_QwilrBase&amp;R292),"Open quote"))</f>
        <v/>
      </c>
      <c r="T292" s="24" t="n"/>
      <c r="U292" s="24" t="n"/>
      <c r="V292" s="24" t="n"/>
      <c r="W292" s="26">
        <f>IF(C292="","",IF(N(T292)+N(U292)+N(V292)=0,"Not split",IF(ROUND(N(T292)+N(U292)+N(V292),2)=ROUND(L292+P292,2),"OK",IF(K292=0,"Not invoiced yet","MISMATCH"))))</f>
        <v/>
      </c>
      <c r="X292" s="24" t="n"/>
      <c r="Y292" s="24" t="n"/>
      <c r="Z292" s="24" t="n"/>
      <c r="AA292" s="27">
        <f>IF(C292="","",N(X292)+N(Y292)+N(Z292))</f>
        <v/>
      </c>
      <c r="AB292" s="27">
        <f>IF(C292="","",L292+P292-AA292)</f>
        <v/>
      </c>
      <c r="AC292" s="29">
        <f>IFERROR(AB292/(L292+P292),"")</f>
        <v/>
      </c>
      <c r="AD292" s="22" t="n"/>
    </row>
    <row r="293" ht="15" customHeight="1">
      <c r="A293" s="70">
        <f>IF(C293="","",IFERROR(IF(SUMPRODUCT(MAX((tbl_Finance[Job Number]&amp;""=C293&amp;"")*(tbl_Finance[Xero Invoice No]&lt;&gt;"")*tbl_Finance[Date]))=0,"",SUMPRODUCT(MAX((tbl_Finance[Job Number]&amp;""=C293&amp;"")*(tbl_Finance[Xero Invoice No]&lt;&gt;"")*tbl_Finance[Date]))),""))</f>
        <v/>
      </c>
      <c r="B293" s="26">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2" t="n"/>
      <c r="D293" s="26">
        <f>IF(C293="","",IF(COUNTIF(lst_Jobs,C293&amp;"")&gt;0,"OK","CHECK"))</f>
        <v/>
      </c>
      <c r="E293" s="26">
        <f>IF(C293="","",IFERROR(INDEX(lst_JobName,MATCH(C293&amp;"",lst_Jobs,0)),""))</f>
        <v/>
      </c>
      <c r="F293" s="22" t="n"/>
      <c r="G293" s="22" t="n"/>
      <c r="H293" s="22" t="n"/>
      <c r="I293" s="22" t="n"/>
      <c r="J293" s="22" t="n"/>
      <c r="K293" s="28">
        <f>IF(C293="","",COUNTIFS(tbl_Finance[Job Number],C293&amp;"",tbl_Finance[Ex GST],"&lt;&gt;"))</f>
        <v/>
      </c>
      <c r="L293" s="27">
        <f>IF(C293="","",SUMIFS(tbl_Finance[Ex GST],tbl_Finance[Job Number],C293&amp;""))</f>
        <v/>
      </c>
      <c r="M293" s="27">
        <f>IF(C293="","",SUMIFS(tbl_Finance[Ex GST],tbl_Finance[Job Number],C293&amp;"",tbl_Finance[Xero Invoice No],"&lt;&gt;"))</f>
        <v/>
      </c>
      <c r="N293" s="27">
        <f>IF(C293="","",L293-M293)</f>
        <v/>
      </c>
      <c r="O293" s="24" t="n"/>
      <c r="P293" s="27">
        <f>IF(C293="","",IF(O293="",0,MAX(0,O293-L293)))</f>
        <v/>
      </c>
      <c r="Q293" s="26">
        <f>IF(C293="","",IF(K293=0,"not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R293" s="22" t="n"/>
      <c r="S293" s="26">
        <f>IF(R293="","",HYPERLINK(IF(LEFT(R293,4)="http",R293,set_QwilrBase&amp;R293),"Open quote"))</f>
        <v/>
      </c>
      <c r="T293" s="24" t="n"/>
      <c r="U293" s="24" t="n"/>
      <c r="V293" s="24" t="n"/>
      <c r="W293" s="26">
        <f>IF(C293="","",IF(N(T293)+N(U293)+N(V293)=0,"Not split",IF(ROUND(N(T293)+N(U293)+N(V293),2)=ROUND(L293+P293,2),"OK",IF(K293=0,"Not invoiced yet","MISMATCH"))))</f>
        <v/>
      </c>
      <c r="X293" s="24" t="n"/>
      <c r="Y293" s="24" t="n"/>
      <c r="Z293" s="24" t="n"/>
      <c r="AA293" s="27">
        <f>IF(C293="","",N(X293)+N(Y293)+N(Z293))</f>
        <v/>
      </c>
      <c r="AB293" s="27">
        <f>IF(C293="","",L293+P293-AA293)</f>
        <v/>
      </c>
      <c r="AC293" s="29">
        <f>IFERROR(AB293/(L293+P293),"")</f>
        <v/>
      </c>
      <c r="AD293" s="22" t="n"/>
    </row>
    <row r="294" ht="15" customHeight="1">
      <c r="A294" s="70">
        <f>IF(C294="","",IFERROR(IF(SUMPRODUCT(MAX((tbl_Finance[Job Number]&amp;""=C294&amp;"")*(tbl_Finance[Xero Invoice No]&lt;&gt;"")*tbl_Finance[Date]))=0,"",SUMPRODUCT(MAX((tbl_Finance[Job Number]&amp;""=C294&amp;"")*(tbl_Finance[Xero Invoice No]&lt;&gt;"")*tbl_Finance[Date]))),""))</f>
        <v/>
      </c>
      <c r="B294" s="26">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2" t="n"/>
      <c r="D294" s="26">
        <f>IF(C294="","",IF(COUNTIF(lst_Jobs,C294&amp;"")&gt;0,"OK","CHECK"))</f>
        <v/>
      </c>
      <c r="E294" s="26">
        <f>IF(C294="","",IFERROR(INDEX(lst_JobName,MATCH(C294&amp;"",lst_Jobs,0)),""))</f>
        <v/>
      </c>
      <c r="F294" s="22" t="n"/>
      <c r="G294" s="22" t="n"/>
      <c r="H294" s="22" t="n"/>
      <c r="I294" s="22" t="n"/>
      <c r="J294" s="22" t="n"/>
      <c r="K294" s="28">
        <f>IF(C294="","",COUNTIFS(tbl_Finance[Job Number],C294&amp;"",tbl_Finance[Ex GST],"&lt;&gt;"))</f>
        <v/>
      </c>
      <c r="L294" s="27">
        <f>IF(C294="","",SUMIFS(tbl_Finance[Ex GST],tbl_Finance[Job Number],C294&amp;""))</f>
        <v/>
      </c>
      <c r="M294" s="27">
        <f>IF(C294="","",SUMIFS(tbl_Finance[Ex GST],tbl_Finance[Job Number],C294&amp;"",tbl_Finance[Xero Invoice No],"&lt;&gt;"))</f>
        <v/>
      </c>
      <c r="N294" s="27">
        <f>IF(C294="","",L294-M294)</f>
        <v/>
      </c>
      <c r="O294" s="24" t="n"/>
      <c r="P294" s="27">
        <f>IF(C294="","",IF(O294="",0,MAX(0,O294-L294)))</f>
        <v/>
      </c>
      <c r="Q294" s="26">
        <f>IF(C294="","",IF(K294=0,"not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R294" s="22" t="n"/>
      <c r="S294" s="26">
        <f>IF(R294="","",HYPERLINK(IF(LEFT(R294,4)="http",R294,set_QwilrBase&amp;R294),"Open quote"))</f>
        <v/>
      </c>
      <c r="T294" s="24" t="n"/>
      <c r="U294" s="24" t="n"/>
      <c r="V294" s="24" t="n"/>
      <c r="W294" s="26">
        <f>IF(C294="","",IF(N(T294)+N(U294)+N(V294)=0,"Not split",IF(ROUND(N(T294)+N(U294)+N(V294),2)=ROUND(L294+P294,2),"OK",IF(K294=0,"Not invoiced yet","MISMATCH"))))</f>
        <v/>
      </c>
      <c r="X294" s="24" t="n"/>
      <c r="Y294" s="24" t="n"/>
      <c r="Z294" s="24" t="n"/>
      <c r="AA294" s="27">
        <f>IF(C294="","",N(X294)+N(Y294)+N(Z294))</f>
        <v/>
      </c>
      <c r="AB294" s="27">
        <f>IF(C294="","",L294+P294-AA294)</f>
        <v/>
      </c>
      <c r="AC294" s="29">
        <f>IFERROR(AB294/(L294+P294),"")</f>
        <v/>
      </c>
      <c r="AD294" s="22" t="n"/>
    </row>
    <row r="295" ht="15" customHeight="1">
      <c r="A295" s="70">
        <f>IF(C295="","",IFERROR(IF(SUMPRODUCT(MAX((tbl_Finance[Job Number]&amp;""=C295&amp;"")*(tbl_Finance[Xero Invoice No]&lt;&gt;"")*tbl_Finance[Date]))=0,"",SUMPRODUCT(MAX((tbl_Finance[Job Number]&amp;""=C295&amp;"")*(tbl_Finance[Xero Invoice No]&lt;&gt;"")*tbl_Finance[Date]))),""))</f>
        <v/>
      </c>
      <c r="B295" s="26">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2" t="n"/>
      <c r="D295" s="26">
        <f>IF(C295="","",IF(COUNTIF(lst_Jobs,C295&amp;"")&gt;0,"OK","CHECK"))</f>
        <v/>
      </c>
      <c r="E295" s="26">
        <f>IF(C295="","",IFERROR(INDEX(lst_JobName,MATCH(C295&amp;"",lst_Jobs,0)),""))</f>
        <v/>
      </c>
      <c r="F295" s="22" t="n"/>
      <c r="G295" s="22" t="n"/>
      <c r="H295" s="22" t="n"/>
      <c r="I295" s="22" t="n"/>
      <c r="J295" s="22" t="n"/>
      <c r="K295" s="28">
        <f>IF(C295="","",COUNTIFS(tbl_Finance[Job Number],C295&amp;"",tbl_Finance[Ex GST],"&lt;&gt;"))</f>
        <v/>
      </c>
      <c r="L295" s="27">
        <f>IF(C295="","",SUMIFS(tbl_Finance[Ex GST],tbl_Finance[Job Number],C295&amp;""))</f>
        <v/>
      </c>
      <c r="M295" s="27">
        <f>IF(C295="","",SUMIFS(tbl_Finance[Ex GST],tbl_Finance[Job Number],C295&amp;"",tbl_Finance[Xero Invoice No],"&lt;&gt;"))</f>
        <v/>
      </c>
      <c r="N295" s="27">
        <f>IF(C295="","",L295-M295)</f>
        <v/>
      </c>
      <c r="O295" s="24" t="n"/>
      <c r="P295" s="27">
        <f>IF(C295="","",IF(O295="",0,MAX(0,O295-L295)))</f>
        <v/>
      </c>
      <c r="Q295" s="26">
        <f>IF(C295="","",IF(K295=0,"not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R295" s="22" t="n"/>
      <c r="S295" s="26">
        <f>IF(R295="","",HYPERLINK(IF(LEFT(R295,4)="http",R295,set_QwilrBase&amp;R295),"Open quote"))</f>
        <v/>
      </c>
      <c r="T295" s="24" t="n"/>
      <c r="U295" s="24" t="n"/>
      <c r="V295" s="24" t="n"/>
      <c r="W295" s="26">
        <f>IF(C295="","",IF(N(T295)+N(U295)+N(V295)=0,"Not split",IF(ROUND(N(T295)+N(U295)+N(V295),2)=ROUND(L295+P295,2),"OK",IF(K295=0,"Not invoiced yet","MISMATCH"))))</f>
        <v/>
      </c>
      <c r="X295" s="24" t="n"/>
      <c r="Y295" s="24" t="n"/>
      <c r="Z295" s="24" t="n"/>
      <c r="AA295" s="27">
        <f>IF(C295="","",N(X295)+N(Y295)+N(Z295))</f>
        <v/>
      </c>
      <c r="AB295" s="27">
        <f>IF(C295="","",L295+P295-AA295)</f>
        <v/>
      </c>
      <c r="AC295" s="29">
        <f>IFERROR(AB295/(L295+P295),"")</f>
        <v/>
      </c>
      <c r="AD295" s="22" t="n"/>
    </row>
    <row r="296" ht="15" customHeight="1">
      <c r="A296" s="70">
        <f>IF(C296="","",IFERROR(IF(SUMPRODUCT(MAX((tbl_Finance[Job Number]&amp;""=C296&amp;"")*(tbl_Finance[Xero Invoice No]&lt;&gt;"")*tbl_Finance[Date]))=0,"",SUMPRODUCT(MAX((tbl_Finance[Job Number]&amp;""=C296&amp;"")*(tbl_Finance[Xero Invoice No]&lt;&gt;"")*tbl_Finance[Date]))),""))</f>
        <v/>
      </c>
      <c r="B296" s="26">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2" t="n"/>
      <c r="D296" s="26">
        <f>IF(C296="","",IF(COUNTIF(lst_Jobs,C296&amp;"")&gt;0,"OK","CHECK"))</f>
        <v/>
      </c>
      <c r="E296" s="26">
        <f>IF(C296="","",IFERROR(INDEX(lst_JobName,MATCH(C296&amp;"",lst_Jobs,0)),""))</f>
        <v/>
      </c>
      <c r="F296" s="22" t="n"/>
      <c r="G296" s="22" t="n"/>
      <c r="H296" s="22" t="n"/>
      <c r="I296" s="22" t="n"/>
      <c r="J296" s="22" t="n"/>
      <c r="K296" s="28">
        <f>IF(C296="","",COUNTIFS(tbl_Finance[Job Number],C296&amp;"",tbl_Finance[Ex GST],"&lt;&gt;"))</f>
        <v/>
      </c>
      <c r="L296" s="27">
        <f>IF(C296="","",SUMIFS(tbl_Finance[Ex GST],tbl_Finance[Job Number],C296&amp;""))</f>
        <v/>
      </c>
      <c r="M296" s="27">
        <f>IF(C296="","",SUMIFS(tbl_Finance[Ex GST],tbl_Finance[Job Number],C296&amp;"",tbl_Finance[Xero Invoice No],"&lt;&gt;"))</f>
        <v/>
      </c>
      <c r="N296" s="27">
        <f>IF(C296="","",L296-M296)</f>
        <v/>
      </c>
      <c r="O296" s="24" t="n"/>
      <c r="P296" s="27">
        <f>IF(C296="","",IF(O296="",0,MAX(0,O296-L296)))</f>
        <v/>
      </c>
      <c r="Q296" s="26">
        <f>IF(C296="","",IF(K296=0,"not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R296" s="22" t="n"/>
      <c r="S296" s="26">
        <f>IF(R296="","",HYPERLINK(IF(LEFT(R296,4)="http",R296,set_QwilrBase&amp;R296),"Open quote"))</f>
        <v/>
      </c>
      <c r="T296" s="24" t="n"/>
      <c r="U296" s="24" t="n"/>
      <c r="V296" s="24" t="n"/>
      <c r="W296" s="26">
        <f>IF(C296="","",IF(N(T296)+N(U296)+N(V296)=0,"Not split",IF(ROUND(N(T296)+N(U296)+N(V296),2)=ROUND(L296+P296,2),"OK",IF(K296=0,"Not invoiced yet","MISMATCH"))))</f>
        <v/>
      </c>
      <c r="X296" s="24" t="n"/>
      <c r="Y296" s="24" t="n"/>
      <c r="Z296" s="24" t="n"/>
      <c r="AA296" s="27">
        <f>IF(C296="","",N(X296)+N(Y296)+N(Z296))</f>
        <v/>
      </c>
      <c r="AB296" s="27">
        <f>IF(C296="","",L296+P296-AA296)</f>
        <v/>
      </c>
      <c r="AC296" s="29">
        <f>IFERROR(AB296/(L296+P296),"")</f>
        <v/>
      </c>
      <c r="AD296" s="22" t="n"/>
    </row>
    <row r="297" ht="15" customHeight="1">
      <c r="A297" s="70">
        <f>IF(C297="","",IFERROR(IF(SUMPRODUCT(MAX((tbl_Finance[Job Number]&amp;""=C297&amp;"")*(tbl_Finance[Xero Invoice No]&lt;&gt;"")*tbl_Finance[Date]))=0,"",SUMPRODUCT(MAX((tbl_Finance[Job Number]&amp;""=C297&amp;"")*(tbl_Finance[Xero Invoice No]&lt;&gt;"")*tbl_Finance[Date]))),""))</f>
        <v/>
      </c>
      <c r="B297" s="26">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2" t="n"/>
      <c r="D297" s="26">
        <f>IF(C297="","",IF(COUNTIF(lst_Jobs,C297&amp;"")&gt;0,"OK","CHECK"))</f>
        <v/>
      </c>
      <c r="E297" s="26">
        <f>IF(C297="","",IFERROR(INDEX(lst_JobName,MATCH(C297&amp;"",lst_Jobs,0)),""))</f>
        <v/>
      </c>
      <c r="F297" s="22" t="n"/>
      <c r="G297" s="22" t="n"/>
      <c r="H297" s="22" t="n"/>
      <c r="I297" s="22" t="n"/>
      <c r="J297" s="22" t="n"/>
      <c r="K297" s="28">
        <f>IF(C297="","",COUNTIFS(tbl_Finance[Job Number],C297&amp;"",tbl_Finance[Ex GST],"&lt;&gt;"))</f>
        <v/>
      </c>
      <c r="L297" s="27">
        <f>IF(C297="","",SUMIFS(tbl_Finance[Ex GST],tbl_Finance[Job Number],C297&amp;""))</f>
        <v/>
      </c>
      <c r="M297" s="27">
        <f>IF(C297="","",SUMIFS(tbl_Finance[Ex GST],tbl_Finance[Job Number],C297&amp;"",tbl_Finance[Xero Invoice No],"&lt;&gt;"))</f>
        <v/>
      </c>
      <c r="N297" s="27">
        <f>IF(C297="","",L297-M297)</f>
        <v/>
      </c>
      <c r="O297" s="24" t="n"/>
      <c r="P297" s="27">
        <f>IF(C297="","",IF(O297="",0,MAX(0,O297-L297)))</f>
        <v/>
      </c>
      <c r="Q297" s="26">
        <f>IF(C297="","",IF(K297=0,"not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R297" s="22" t="n"/>
      <c r="S297" s="26">
        <f>IF(R297="","",HYPERLINK(IF(LEFT(R297,4)="http",R297,set_QwilrBase&amp;R297),"Open quote"))</f>
        <v/>
      </c>
      <c r="T297" s="24" t="n"/>
      <c r="U297" s="24" t="n"/>
      <c r="V297" s="24" t="n"/>
      <c r="W297" s="26">
        <f>IF(C297="","",IF(N(T297)+N(U297)+N(V297)=0,"Not split",IF(ROUND(N(T297)+N(U297)+N(V297),2)=ROUND(L297+P297,2),"OK",IF(K297=0,"Not invoiced yet","MISMATCH"))))</f>
        <v/>
      </c>
      <c r="X297" s="24" t="n"/>
      <c r="Y297" s="24" t="n"/>
      <c r="Z297" s="24" t="n"/>
      <c r="AA297" s="27">
        <f>IF(C297="","",N(X297)+N(Y297)+N(Z297))</f>
        <v/>
      </c>
      <c r="AB297" s="27">
        <f>IF(C297="","",L297+P297-AA297)</f>
        <v/>
      </c>
      <c r="AC297" s="29">
        <f>IFERROR(AB297/(L297+P297),"")</f>
        <v/>
      </c>
      <c r="AD297" s="22" t="n"/>
    </row>
    <row r="298" ht="15" customHeight="1">
      <c r="A298" s="70">
        <f>IF(C298="","",IFERROR(IF(SUMPRODUCT(MAX((tbl_Finance[Job Number]&amp;""=C298&amp;"")*(tbl_Finance[Xero Invoice No]&lt;&gt;"")*tbl_Finance[Date]))=0,"",SUMPRODUCT(MAX((tbl_Finance[Job Number]&amp;""=C298&amp;"")*(tbl_Finance[Xero Invoice No]&lt;&gt;"")*tbl_Finance[Date]))),""))</f>
        <v/>
      </c>
      <c r="B298" s="26">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2" t="n"/>
      <c r="D298" s="26">
        <f>IF(C298="","",IF(COUNTIF(lst_Jobs,C298&amp;"")&gt;0,"OK","CHECK"))</f>
        <v/>
      </c>
      <c r="E298" s="26">
        <f>IF(C298="","",IFERROR(INDEX(lst_JobName,MATCH(C298&amp;"",lst_Jobs,0)),""))</f>
        <v/>
      </c>
      <c r="F298" s="22" t="n"/>
      <c r="G298" s="22" t="n"/>
      <c r="H298" s="22" t="n"/>
      <c r="I298" s="22" t="n"/>
      <c r="J298" s="22" t="n"/>
      <c r="K298" s="28">
        <f>IF(C298="","",COUNTIFS(tbl_Finance[Job Number],C298&amp;"",tbl_Finance[Ex GST],"&lt;&gt;"))</f>
        <v/>
      </c>
      <c r="L298" s="27">
        <f>IF(C298="","",SUMIFS(tbl_Finance[Ex GST],tbl_Finance[Job Number],C298&amp;""))</f>
        <v/>
      </c>
      <c r="M298" s="27">
        <f>IF(C298="","",SUMIFS(tbl_Finance[Ex GST],tbl_Finance[Job Number],C298&amp;"",tbl_Finance[Xero Invoice No],"&lt;&gt;"))</f>
        <v/>
      </c>
      <c r="N298" s="27">
        <f>IF(C298="","",L298-M298)</f>
        <v/>
      </c>
      <c r="O298" s="24" t="n"/>
      <c r="P298" s="27">
        <f>IF(C298="","",IF(O298="",0,MAX(0,O298-L298)))</f>
        <v/>
      </c>
      <c r="Q298" s="26">
        <f>IF(C298="","",IF(K298=0,"not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R298" s="22" t="n"/>
      <c r="S298" s="26">
        <f>IF(R298="","",HYPERLINK(IF(LEFT(R298,4)="http",R298,set_QwilrBase&amp;R298),"Open quote"))</f>
        <v/>
      </c>
      <c r="T298" s="24" t="n"/>
      <c r="U298" s="24" t="n"/>
      <c r="V298" s="24" t="n"/>
      <c r="W298" s="26">
        <f>IF(C298="","",IF(N(T298)+N(U298)+N(V298)=0,"Not split",IF(ROUND(N(T298)+N(U298)+N(V298),2)=ROUND(L298+P298,2),"OK",IF(K298=0,"Not invoiced yet","MISMATCH"))))</f>
        <v/>
      </c>
      <c r="X298" s="24" t="n"/>
      <c r="Y298" s="24" t="n"/>
      <c r="Z298" s="24" t="n"/>
      <c r="AA298" s="27">
        <f>IF(C298="","",N(X298)+N(Y298)+N(Z298))</f>
        <v/>
      </c>
      <c r="AB298" s="27">
        <f>IF(C298="","",L298+P298-AA298)</f>
        <v/>
      </c>
      <c r="AC298" s="29">
        <f>IFERROR(AB298/(L298+P298),"")</f>
        <v/>
      </c>
      <c r="AD298" s="22" t="n"/>
    </row>
    <row r="299" ht="15" customHeight="1">
      <c r="A299" s="70">
        <f>IF(C299="","",IFERROR(IF(SUMPRODUCT(MAX((tbl_Finance[Job Number]&amp;""=C299&amp;"")*(tbl_Finance[Xero Invoice No]&lt;&gt;"")*tbl_Finance[Date]))=0,"",SUMPRODUCT(MAX((tbl_Finance[Job Number]&amp;""=C299&amp;"")*(tbl_Finance[Xero Invoice No]&lt;&gt;"")*tbl_Finance[Date]))),""))</f>
        <v/>
      </c>
      <c r="B299" s="26">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2" t="n"/>
      <c r="D299" s="26">
        <f>IF(C299="","",IF(COUNTIF(lst_Jobs,C299&amp;"")&gt;0,"OK","CHECK"))</f>
        <v/>
      </c>
      <c r="E299" s="26">
        <f>IF(C299="","",IFERROR(INDEX(lst_JobName,MATCH(C299&amp;"",lst_Jobs,0)),""))</f>
        <v/>
      </c>
      <c r="F299" s="22" t="n"/>
      <c r="G299" s="22" t="n"/>
      <c r="H299" s="22" t="n"/>
      <c r="I299" s="22" t="n"/>
      <c r="J299" s="22" t="n"/>
      <c r="K299" s="28">
        <f>IF(C299="","",COUNTIFS(tbl_Finance[Job Number],C299&amp;"",tbl_Finance[Ex GST],"&lt;&gt;"))</f>
        <v/>
      </c>
      <c r="L299" s="27">
        <f>IF(C299="","",SUMIFS(tbl_Finance[Ex GST],tbl_Finance[Job Number],C299&amp;""))</f>
        <v/>
      </c>
      <c r="M299" s="27">
        <f>IF(C299="","",SUMIFS(tbl_Finance[Ex GST],tbl_Finance[Job Number],C299&amp;"",tbl_Finance[Xero Invoice No],"&lt;&gt;"))</f>
        <v/>
      </c>
      <c r="N299" s="27">
        <f>IF(C299="","",L299-M299)</f>
        <v/>
      </c>
      <c r="O299" s="24" t="n"/>
      <c r="P299" s="27">
        <f>IF(C299="","",IF(O299="",0,MAX(0,O299-L299)))</f>
        <v/>
      </c>
      <c r="Q299" s="26">
        <f>IF(C299="","",IF(K299=0,"not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R299" s="22" t="n"/>
      <c r="S299" s="26">
        <f>IF(R299="","",HYPERLINK(IF(LEFT(R299,4)="http",R299,set_QwilrBase&amp;R299),"Open quote"))</f>
        <v/>
      </c>
      <c r="T299" s="24" t="n"/>
      <c r="U299" s="24" t="n"/>
      <c r="V299" s="24" t="n"/>
      <c r="W299" s="26">
        <f>IF(C299="","",IF(N(T299)+N(U299)+N(V299)=0,"Not split",IF(ROUND(N(T299)+N(U299)+N(V299),2)=ROUND(L299+P299,2),"OK",IF(K299=0,"Not invoiced yet","MISMATCH"))))</f>
        <v/>
      </c>
      <c r="X299" s="24" t="n"/>
      <c r="Y299" s="24" t="n"/>
      <c r="Z299" s="24" t="n"/>
      <c r="AA299" s="27">
        <f>IF(C299="","",N(X299)+N(Y299)+N(Z299))</f>
        <v/>
      </c>
      <c r="AB299" s="27">
        <f>IF(C299="","",L299+P299-AA299)</f>
        <v/>
      </c>
      <c r="AC299" s="29">
        <f>IFERROR(AB299/(L299+P299),"")</f>
        <v/>
      </c>
      <c r="AD299" s="22" t="n"/>
    </row>
    <row r="300" ht="15" customHeight="1">
      <c r="A300" s="70">
        <f>IF(C300="","",IFERROR(IF(SUMPRODUCT(MAX((tbl_Finance[Job Number]&amp;""=C300&amp;"")*(tbl_Finance[Xero Invoice No]&lt;&gt;"")*tbl_Finance[Date]))=0,"",SUMPRODUCT(MAX((tbl_Finance[Job Number]&amp;""=C300&amp;"")*(tbl_Finance[Xero Invoice No]&lt;&gt;"")*tbl_Finance[Date]))),""))</f>
        <v/>
      </c>
      <c r="B300" s="26">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2" t="n"/>
      <c r="D300" s="26">
        <f>IF(C300="","",IF(COUNTIF(lst_Jobs,C300&amp;"")&gt;0,"OK","CHECK"))</f>
        <v/>
      </c>
      <c r="E300" s="26">
        <f>IF(C300="","",IFERROR(INDEX(lst_JobName,MATCH(C300&amp;"",lst_Jobs,0)),""))</f>
        <v/>
      </c>
      <c r="F300" s="22" t="n"/>
      <c r="G300" s="22" t="n"/>
      <c r="H300" s="22" t="n"/>
      <c r="I300" s="22" t="n"/>
      <c r="J300" s="22" t="n"/>
      <c r="K300" s="28">
        <f>IF(C300="","",COUNTIFS(tbl_Finance[Job Number],C300&amp;"",tbl_Finance[Ex GST],"&lt;&gt;"))</f>
        <v/>
      </c>
      <c r="L300" s="27">
        <f>IF(C300="","",SUMIFS(tbl_Finance[Ex GST],tbl_Finance[Job Number],C300&amp;""))</f>
        <v/>
      </c>
      <c r="M300" s="27">
        <f>IF(C300="","",SUMIFS(tbl_Finance[Ex GST],tbl_Finance[Job Number],C300&amp;"",tbl_Finance[Xero Invoice No],"&lt;&gt;"))</f>
        <v/>
      </c>
      <c r="N300" s="27">
        <f>IF(C300="","",L300-M300)</f>
        <v/>
      </c>
      <c r="O300" s="24" t="n"/>
      <c r="P300" s="27">
        <f>IF(C300="","",IF(O300="",0,MAX(0,O300-L300)))</f>
        <v/>
      </c>
      <c r="Q300" s="26">
        <f>IF(C300="","",IF(K300=0,"not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R300" s="22" t="n"/>
      <c r="S300" s="26">
        <f>IF(R300="","",HYPERLINK(IF(LEFT(R300,4)="http",R300,set_QwilrBase&amp;R300),"Open quote"))</f>
        <v/>
      </c>
      <c r="T300" s="24" t="n"/>
      <c r="U300" s="24" t="n"/>
      <c r="V300" s="24" t="n"/>
      <c r="W300" s="26">
        <f>IF(C300="","",IF(N(T300)+N(U300)+N(V300)=0,"Not split",IF(ROUND(N(T300)+N(U300)+N(V300),2)=ROUND(L300+P300,2),"OK",IF(K300=0,"Not invoiced yet","MISMATCH"))))</f>
        <v/>
      </c>
      <c r="X300" s="24" t="n"/>
      <c r="Y300" s="24" t="n"/>
      <c r="Z300" s="24" t="n"/>
      <c r="AA300" s="27">
        <f>IF(C300="","",N(X300)+N(Y300)+N(Z300))</f>
        <v/>
      </c>
      <c r="AB300" s="27">
        <f>IF(C300="","",L300+P300-AA300)</f>
        <v/>
      </c>
      <c r="AC300" s="29">
        <f>IFERROR(AB300/(L300+P300),"")</f>
        <v/>
      </c>
      <c r="AD300" s="22" t="n"/>
    </row>
    <row r="301" ht="15" customHeight="1">
      <c r="A301" s="70">
        <f>IF(C301="","",IFERROR(IF(SUMPRODUCT(MAX((tbl_Finance[Job Number]&amp;""=C301&amp;"")*(tbl_Finance[Xero Invoice No]&lt;&gt;"")*tbl_Finance[Date]))=0,"",SUMPRODUCT(MAX((tbl_Finance[Job Number]&amp;""=C301&amp;"")*(tbl_Finance[Xero Invoice No]&lt;&gt;"")*tbl_Finance[Date]))),""))</f>
        <v/>
      </c>
      <c r="B301" s="26">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2" t="n"/>
      <c r="D301" s="26">
        <f>IF(C301="","",IF(COUNTIF(lst_Jobs,C301&amp;"")&gt;0,"OK","CHECK"))</f>
        <v/>
      </c>
      <c r="E301" s="26">
        <f>IF(C301="","",IFERROR(INDEX(lst_JobName,MATCH(C301&amp;"",lst_Jobs,0)),""))</f>
        <v/>
      </c>
      <c r="F301" s="22" t="n"/>
      <c r="G301" s="22" t="n"/>
      <c r="H301" s="22" t="n"/>
      <c r="I301" s="22" t="n"/>
      <c r="J301" s="22" t="n"/>
      <c r="K301" s="28">
        <f>IF(C301="","",COUNTIFS(tbl_Finance[Job Number],C301&amp;"",tbl_Finance[Ex GST],"&lt;&gt;"))</f>
        <v/>
      </c>
      <c r="L301" s="27">
        <f>IF(C301="","",SUMIFS(tbl_Finance[Ex GST],tbl_Finance[Job Number],C301&amp;""))</f>
        <v/>
      </c>
      <c r="M301" s="27">
        <f>IF(C301="","",SUMIFS(tbl_Finance[Ex GST],tbl_Finance[Job Number],C301&amp;"",tbl_Finance[Xero Invoice No],"&lt;&gt;"))</f>
        <v/>
      </c>
      <c r="N301" s="27">
        <f>IF(C301="","",L301-M301)</f>
        <v/>
      </c>
      <c r="O301" s="24" t="n"/>
      <c r="P301" s="27">
        <f>IF(C301="","",IF(O301="",0,MAX(0,O301-L301)))</f>
        <v/>
      </c>
      <c r="Q301" s="26">
        <f>IF(C301="","",IF(K301=0,"not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R301" s="22" t="n"/>
      <c r="S301" s="26">
        <f>IF(R301="","",HYPERLINK(IF(LEFT(R301,4)="http",R301,set_QwilrBase&amp;R301),"Open quote"))</f>
        <v/>
      </c>
      <c r="T301" s="24" t="n"/>
      <c r="U301" s="24" t="n"/>
      <c r="V301" s="24" t="n"/>
      <c r="W301" s="26">
        <f>IF(C301="","",IF(N(T301)+N(U301)+N(V301)=0,"Not split",IF(ROUND(N(T301)+N(U301)+N(V301),2)=ROUND(L301+P301,2),"OK",IF(K301=0,"Not invoiced yet","MISMATCH"))))</f>
        <v/>
      </c>
      <c r="X301" s="24" t="n"/>
      <c r="Y301" s="24" t="n"/>
      <c r="Z301" s="24" t="n"/>
      <c r="AA301" s="27">
        <f>IF(C301="","",N(X301)+N(Y301)+N(Z301))</f>
        <v/>
      </c>
      <c r="AB301" s="27">
        <f>IF(C301="","",L301+P301-AA301)</f>
        <v/>
      </c>
      <c r="AC301" s="29">
        <f>IFERROR(AB301/(L301+P301),"")</f>
        <v/>
      </c>
      <c r="AD301" s="22" t="n"/>
    </row>
    <row r="302" ht="15" customHeight="1">
      <c r="A302" s="70">
        <f>IF(C302="","",IFERROR(IF(SUMPRODUCT(MAX((tbl_Finance[Job Number]&amp;""=C302&amp;"")*(tbl_Finance[Xero Invoice No]&lt;&gt;"")*tbl_Finance[Date]))=0,"",SUMPRODUCT(MAX((tbl_Finance[Job Number]&amp;""=C302&amp;"")*(tbl_Finance[Xero Invoice No]&lt;&gt;"")*tbl_Finance[Date]))),""))</f>
        <v/>
      </c>
      <c r="B302" s="26">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2" t="n"/>
      <c r="D302" s="26">
        <f>IF(C302="","",IF(COUNTIF(lst_Jobs,C302&amp;"")&gt;0,"OK","CHECK"))</f>
        <v/>
      </c>
      <c r="E302" s="26">
        <f>IF(C302="","",IFERROR(INDEX(lst_JobName,MATCH(C302&amp;"",lst_Jobs,0)),""))</f>
        <v/>
      </c>
      <c r="F302" s="22" t="n"/>
      <c r="G302" s="22" t="n"/>
      <c r="H302" s="22" t="n"/>
      <c r="I302" s="22" t="n"/>
      <c r="J302" s="22" t="n"/>
      <c r="K302" s="28">
        <f>IF(C302="","",COUNTIFS(tbl_Finance[Job Number],C302&amp;"",tbl_Finance[Ex GST],"&lt;&gt;"))</f>
        <v/>
      </c>
      <c r="L302" s="27">
        <f>IF(C302="","",SUMIFS(tbl_Finance[Ex GST],tbl_Finance[Job Number],C302&amp;""))</f>
        <v/>
      </c>
      <c r="M302" s="27">
        <f>IF(C302="","",SUMIFS(tbl_Finance[Ex GST],tbl_Finance[Job Number],C302&amp;"",tbl_Finance[Xero Invoice No],"&lt;&gt;"))</f>
        <v/>
      </c>
      <c r="N302" s="27">
        <f>IF(C302="","",L302-M302)</f>
        <v/>
      </c>
      <c r="O302" s="24" t="n"/>
      <c r="P302" s="27">
        <f>IF(C302="","",IF(O302="",0,MAX(0,O302-L302)))</f>
        <v/>
      </c>
      <c r="Q302" s="26">
        <f>IF(C302="","",IF(K302=0,"not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R302" s="22" t="n"/>
      <c r="S302" s="26">
        <f>IF(R302="","",HYPERLINK(IF(LEFT(R302,4)="http",R302,set_QwilrBase&amp;R302),"Open quote"))</f>
        <v/>
      </c>
      <c r="T302" s="24" t="n"/>
      <c r="U302" s="24" t="n"/>
      <c r="V302" s="24" t="n"/>
      <c r="W302" s="26">
        <f>IF(C302="","",IF(N(T302)+N(U302)+N(V302)=0,"Not split",IF(ROUND(N(T302)+N(U302)+N(V302),2)=ROUND(L302+P302,2),"OK",IF(K302=0,"Not invoiced yet","MISMATCH"))))</f>
        <v/>
      </c>
      <c r="X302" s="24" t="n"/>
      <c r="Y302" s="24" t="n"/>
      <c r="Z302" s="24" t="n"/>
      <c r="AA302" s="27">
        <f>IF(C302="","",N(X302)+N(Y302)+N(Z302))</f>
        <v/>
      </c>
      <c r="AB302" s="27">
        <f>IF(C302="","",L302+P302-AA302)</f>
        <v/>
      </c>
      <c r="AC302" s="29">
        <f>IFERROR(AB302/(L302+P302),"")</f>
        <v/>
      </c>
      <c r="AD302" s="22" t="n"/>
    </row>
    <row r="303" ht="15" customHeight="1">
      <c r="A303" s="70">
        <f>IF(C303="","",IFERROR(IF(SUMPRODUCT(MAX((tbl_Finance[Job Number]&amp;""=C303&amp;"")*(tbl_Finance[Xero Invoice No]&lt;&gt;"")*tbl_Finance[Date]))=0,"",SUMPRODUCT(MAX((tbl_Finance[Job Number]&amp;""=C303&amp;"")*(tbl_Finance[Xero Invoice No]&lt;&gt;"")*tbl_Finance[Date]))),""))</f>
        <v/>
      </c>
      <c r="B303" s="26">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2" t="n"/>
      <c r="D303" s="26">
        <f>IF(C303="","",IF(COUNTIF(lst_Jobs,C303&amp;"")&gt;0,"OK","CHECK"))</f>
        <v/>
      </c>
      <c r="E303" s="26">
        <f>IF(C303="","",IFERROR(INDEX(lst_JobName,MATCH(C303&amp;"",lst_Jobs,0)),""))</f>
        <v/>
      </c>
      <c r="F303" s="22" t="n"/>
      <c r="G303" s="22" t="n"/>
      <c r="H303" s="22" t="n"/>
      <c r="I303" s="22" t="n"/>
      <c r="J303" s="22" t="n"/>
      <c r="K303" s="28">
        <f>IF(C303="","",COUNTIFS(tbl_Finance[Job Number],C303&amp;"",tbl_Finance[Ex GST],"&lt;&gt;"))</f>
        <v/>
      </c>
      <c r="L303" s="27">
        <f>IF(C303="","",SUMIFS(tbl_Finance[Ex GST],tbl_Finance[Job Number],C303&amp;""))</f>
        <v/>
      </c>
      <c r="M303" s="27">
        <f>IF(C303="","",SUMIFS(tbl_Finance[Ex GST],tbl_Finance[Job Number],C303&amp;"",tbl_Finance[Xero Invoice No],"&lt;&gt;"))</f>
        <v/>
      </c>
      <c r="N303" s="27">
        <f>IF(C303="","",L303-M303)</f>
        <v/>
      </c>
      <c r="O303" s="24" t="n"/>
      <c r="P303" s="27">
        <f>IF(C303="","",IF(O303="",0,MAX(0,O303-L303)))</f>
        <v/>
      </c>
      <c r="Q303" s="26">
        <f>IF(C303="","",IF(K303=0,"not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R303" s="22" t="n"/>
      <c r="S303" s="26">
        <f>IF(R303="","",HYPERLINK(IF(LEFT(R303,4)="http",R303,set_QwilrBase&amp;R303),"Open quote"))</f>
        <v/>
      </c>
      <c r="T303" s="24" t="n"/>
      <c r="U303" s="24" t="n"/>
      <c r="V303" s="24" t="n"/>
      <c r="W303" s="26">
        <f>IF(C303="","",IF(N(T303)+N(U303)+N(V303)=0,"Not split",IF(ROUND(N(T303)+N(U303)+N(V303),2)=ROUND(L303+P303,2),"OK",IF(K303=0,"Not invoiced yet","MISMATCH"))))</f>
        <v/>
      </c>
      <c r="X303" s="24" t="n"/>
      <c r="Y303" s="24" t="n"/>
      <c r="Z303" s="24" t="n"/>
      <c r="AA303" s="27">
        <f>IF(C303="","",N(X303)+N(Y303)+N(Z303))</f>
        <v/>
      </c>
      <c r="AB303" s="27">
        <f>IF(C303="","",L303+P303-AA303)</f>
        <v/>
      </c>
      <c r="AC303" s="29">
        <f>IFERROR(AB303/(L303+P303),"")</f>
        <v/>
      </c>
      <c r="AD303" s="22" t="n"/>
    </row>
    <row r="304" ht="15" customHeight="1">
      <c r="A304" s="70">
        <f>IF(C304="","",IFERROR(IF(SUMPRODUCT(MAX((tbl_Finance[Job Number]&amp;""=C304&amp;"")*(tbl_Finance[Xero Invoice No]&lt;&gt;"")*tbl_Finance[Date]))=0,"",SUMPRODUCT(MAX((tbl_Finance[Job Number]&amp;""=C304&amp;"")*(tbl_Finance[Xero Invoice No]&lt;&gt;"")*tbl_Finance[Date]))),""))</f>
        <v/>
      </c>
      <c r="B304" s="26">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2" t="n"/>
      <c r="D304" s="26">
        <f>IF(C304="","",IF(COUNTIF(lst_Jobs,C304&amp;"")&gt;0,"OK","CHECK"))</f>
        <v/>
      </c>
      <c r="E304" s="26">
        <f>IF(C304="","",IFERROR(INDEX(lst_JobName,MATCH(C304&amp;"",lst_Jobs,0)),""))</f>
        <v/>
      </c>
      <c r="F304" s="22" t="n"/>
      <c r="G304" s="22" t="n"/>
      <c r="H304" s="22" t="n"/>
      <c r="I304" s="22" t="n"/>
      <c r="J304" s="22" t="n"/>
      <c r="K304" s="28">
        <f>IF(C304="","",COUNTIFS(tbl_Finance[Job Number],C304&amp;"",tbl_Finance[Ex GST],"&lt;&gt;"))</f>
        <v/>
      </c>
      <c r="L304" s="27">
        <f>IF(C304="","",SUMIFS(tbl_Finance[Ex GST],tbl_Finance[Job Number],C304&amp;""))</f>
        <v/>
      </c>
      <c r="M304" s="27">
        <f>IF(C304="","",SUMIFS(tbl_Finance[Ex GST],tbl_Finance[Job Number],C304&amp;"",tbl_Finance[Xero Invoice No],"&lt;&gt;"))</f>
        <v/>
      </c>
      <c r="N304" s="27">
        <f>IF(C304="","",L304-M304)</f>
        <v/>
      </c>
      <c r="O304" s="24" t="n"/>
      <c r="P304" s="27">
        <f>IF(C304="","",IF(O304="",0,MAX(0,O304-L304)))</f>
        <v/>
      </c>
      <c r="Q304" s="26">
        <f>IF(C304="","",IF(K304=0,"not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R304" s="22" t="n"/>
      <c r="S304" s="26">
        <f>IF(R304="","",HYPERLINK(IF(LEFT(R304,4)="http",R304,set_QwilrBase&amp;R304),"Open quote"))</f>
        <v/>
      </c>
      <c r="T304" s="24" t="n"/>
      <c r="U304" s="24" t="n"/>
      <c r="V304" s="24" t="n"/>
      <c r="W304" s="26">
        <f>IF(C304="","",IF(N(T304)+N(U304)+N(V304)=0,"Not split",IF(ROUND(N(T304)+N(U304)+N(V304),2)=ROUND(L304+P304,2),"OK",IF(K304=0,"Not invoiced yet","MISMATCH"))))</f>
        <v/>
      </c>
      <c r="X304" s="24" t="n"/>
      <c r="Y304" s="24" t="n"/>
      <c r="Z304" s="24" t="n"/>
      <c r="AA304" s="27">
        <f>IF(C304="","",N(X304)+N(Y304)+N(Z304))</f>
        <v/>
      </c>
      <c r="AB304" s="27">
        <f>IF(C304="","",L304+P304-AA304)</f>
        <v/>
      </c>
      <c r="AC304" s="29">
        <f>IFERROR(AB304/(L304+P304),"")</f>
        <v/>
      </c>
      <c r="AD304" s="22" t="n"/>
    </row>
    <row r="305" ht="15" customHeight="1">
      <c r="A305" s="70">
        <f>IF(C305="","",IFERROR(IF(SUMPRODUCT(MAX((tbl_Finance[Job Number]&amp;""=C305&amp;"")*(tbl_Finance[Xero Invoice No]&lt;&gt;"")*tbl_Finance[Date]))=0,"",SUMPRODUCT(MAX((tbl_Finance[Job Number]&amp;""=C305&amp;"")*(tbl_Finance[Xero Invoice No]&lt;&gt;"")*tbl_Finance[Date]))),""))</f>
        <v/>
      </c>
      <c r="B305" s="26">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2" t="n"/>
      <c r="D305" s="26">
        <f>IF(C305="","",IF(COUNTIF(lst_Jobs,C305&amp;"")&gt;0,"OK","CHECK"))</f>
        <v/>
      </c>
      <c r="E305" s="26">
        <f>IF(C305="","",IFERROR(INDEX(lst_JobName,MATCH(C305&amp;"",lst_Jobs,0)),""))</f>
        <v/>
      </c>
      <c r="F305" s="22" t="n"/>
      <c r="G305" s="22" t="n"/>
      <c r="H305" s="22" t="n"/>
      <c r="I305" s="22" t="n"/>
      <c r="J305" s="22" t="n"/>
      <c r="K305" s="28">
        <f>IF(C305="","",COUNTIFS(tbl_Finance[Job Number],C305&amp;"",tbl_Finance[Ex GST],"&lt;&gt;"))</f>
        <v/>
      </c>
      <c r="L305" s="27">
        <f>IF(C305="","",SUMIFS(tbl_Finance[Ex GST],tbl_Finance[Job Number],C305&amp;""))</f>
        <v/>
      </c>
      <c r="M305" s="27">
        <f>IF(C305="","",SUMIFS(tbl_Finance[Ex GST],tbl_Finance[Job Number],C305&amp;"",tbl_Finance[Xero Invoice No],"&lt;&gt;"))</f>
        <v/>
      </c>
      <c r="N305" s="27">
        <f>IF(C305="","",L305-M305)</f>
        <v/>
      </c>
      <c r="O305" s="24" t="n"/>
      <c r="P305" s="27">
        <f>IF(C305="","",IF(O305="",0,MAX(0,O305-L305)))</f>
        <v/>
      </c>
      <c r="Q305" s="26">
        <f>IF(C305="","",IF(K305=0,"not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R305" s="22" t="n"/>
      <c r="S305" s="26">
        <f>IF(R305="","",HYPERLINK(IF(LEFT(R305,4)="http",R305,set_QwilrBase&amp;R305),"Open quote"))</f>
        <v/>
      </c>
      <c r="T305" s="24" t="n"/>
      <c r="U305" s="24" t="n"/>
      <c r="V305" s="24" t="n"/>
      <c r="W305" s="26">
        <f>IF(C305="","",IF(N(T305)+N(U305)+N(V305)=0,"Not split",IF(ROUND(N(T305)+N(U305)+N(V305),2)=ROUND(L305+P305,2),"OK",IF(K305=0,"Not invoiced yet","MISMATCH"))))</f>
        <v/>
      </c>
      <c r="X305" s="24" t="n"/>
      <c r="Y305" s="24" t="n"/>
      <c r="Z305" s="24" t="n"/>
      <c r="AA305" s="27">
        <f>IF(C305="","",N(X305)+N(Y305)+N(Z305))</f>
        <v/>
      </c>
      <c r="AB305" s="27">
        <f>IF(C305="","",L305+P305-AA305)</f>
        <v/>
      </c>
      <c r="AC305" s="29">
        <f>IFERROR(AB305/(L305+P305),"")</f>
        <v/>
      </c>
      <c r="AD305" s="22" t="n"/>
    </row>
    <row r="306" ht="15" customHeight="1">
      <c r="A306" s="70">
        <f>IF(C306="","",IFERROR(IF(SUMPRODUCT(MAX((tbl_Finance[Job Number]&amp;""=C306&amp;"")*(tbl_Finance[Xero Invoice No]&lt;&gt;"")*tbl_Finance[Date]))=0,"",SUMPRODUCT(MAX((tbl_Finance[Job Number]&amp;""=C306&amp;"")*(tbl_Finance[Xero Invoice No]&lt;&gt;"")*tbl_Finance[Date]))),""))</f>
        <v/>
      </c>
      <c r="B306" s="26">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2" t="n"/>
      <c r="D306" s="26">
        <f>IF(C306="","",IF(COUNTIF(lst_Jobs,C306&amp;"")&gt;0,"OK","CHECK"))</f>
        <v/>
      </c>
      <c r="E306" s="26">
        <f>IF(C306="","",IFERROR(INDEX(lst_JobName,MATCH(C306&amp;"",lst_Jobs,0)),""))</f>
        <v/>
      </c>
      <c r="F306" s="22" t="n"/>
      <c r="G306" s="22" t="n"/>
      <c r="H306" s="22" t="n"/>
      <c r="I306" s="22" t="n"/>
      <c r="J306" s="22" t="n"/>
      <c r="K306" s="28">
        <f>IF(C306="","",COUNTIFS(tbl_Finance[Job Number],C306&amp;"",tbl_Finance[Ex GST],"&lt;&gt;"))</f>
        <v/>
      </c>
      <c r="L306" s="27">
        <f>IF(C306="","",SUMIFS(tbl_Finance[Ex GST],tbl_Finance[Job Number],C306&amp;""))</f>
        <v/>
      </c>
      <c r="M306" s="27">
        <f>IF(C306="","",SUMIFS(tbl_Finance[Ex GST],tbl_Finance[Job Number],C306&amp;"",tbl_Finance[Xero Invoice No],"&lt;&gt;"))</f>
        <v/>
      </c>
      <c r="N306" s="27">
        <f>IF(C306="","",L306-M306)</f>
        <v/>
      </c>
      <c r="O306" s="24" t="n"/>
      <c r="P306" s="27">
        <f>IF(C306="","",IF(O306="",0,MAX(0,O306-L306)))</f>
        <v/>
      </c>
      <c r="Q306" s="26">
        <f>IF(C306="","",IF(K306=0,"not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R306" s="22" t="n"/>
      <c r="S306" s="26">
        <f>IF(R306="","",HYPERLINK(IF(LEFT(R306,4)="http",R306,set_QwilrBase&amp;R306),"Open quote"))</f>
        <v/>
      </c>
      <c r="T306" s="24" t="n"/>
      <c r="U306" s="24" t="n"/>
      <c r="V306" s="24" t="n"/>
      <c r="W306" s="26">
        <f>IF(C306="","",IF(N(T306)+N(U306)+N(V306)=0,"Not split",IF(ROUND(N(T306)+N(U306)+N(V306),2)=ROUND(L306+P306,2),"OK",IF(K306=0,"Not invoiced yet","MISMATCH"))))</f>
        <v/>
      </c>
      <c r="X306" s="24" t="n"/>
      <c r="Y306" s="24" t="n"/>
      <c r="Z306" s="24" t="n"/>
      <c r="AA306" s="27">
        <f>IF(C306="","",N(X306)+N(Y306)+N(Z306))</f>
        <v/>
      </c>
      <c r="AB306" s="27">
        <f>IF(C306="","",L306+P306-AA306)</f>
        <v/>
      </c>
      <c r="AC306" s="29">
        <f>IFERROR(AB306/(L306+P306),"")</f>
        <v/>
      </c>
      <c r="AD306" s="22" t="n"/>
    </row>
    <row r="307" ht="15" customHeight="1">
      <c r="A307" s="70">
        <f>IF(C307="","",IFERROR(IF(SUMPRODUCT(MAX((tbl_Finance[Job Number]&amp;""=C307&amp;"")*(tbl_Finance[Xero Invoice No]&lt;&gt;"")*tbl_Finance[Date]))=0,"",SUMPRODUCT(MAX((tbl_Finance[Job Number]&amp;""=C307&amp;"")*(tbl_Finance[Xero Invoice No]&lt;&gt;"")*tbl_Finance[Date]))),""))</f>
        <v/>
      </c>
      <c r="B307" s="26">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2" t="n"/>
      <c r="D307" s="26">
        <f>IF(C307="","",IF(COUNTIF(lst_Jobs,C307&amp;"")&gt;0,"OK","CHECK"))</f>
        <v/>
      </c>
      <c r="E307" s="26">
        <f>IF(C307="","",IFERROR(INDEX(lst_JobName,MATCH(C307&amp;"",lst_Jobs,0)),""))</f>
        <v/>
      </c>
      <c r="F307" s="22" t="n"/>
      <c r="G307" s="22" t="n"/>
      <c r="H307" s="22" t="n"/>
      <c r="I307" s="22" t="n"/>
      <c r="J307" s="22" t="n"/>
      <c r="K307" s="28">
        <f>IF(C307="","",COUNTIFS(tbl_Finance[Job Number],C307&amp;"",tbl_Finance[Ex GST],"&lt;&gt;"))</f>
        <v/>
      </c>
      <c r="L307" s="27">
        <f>IF(C307="","",SUMIFS(tbl_Finance[Ex GST],tbl_Finance[Job Number],C307&amp;""))</f>
        <v/>
      </c>
      <c r="M307" s="27">
        <f>IF(C307="","",SUMIFS(tbl_Finance[Ex GST],tbl_Finance[Job Number],C307&amp;"",tbl_Finance[Xero Invoice No],"&lt;&gt;"))</f>
        <v/>
      </c>
      <c r="N307" s="27">
        <f>IF(C307="","",L307-M307)</f>
        <v/>
      </c>
      <c r="O307" s="24" t="n"/>
      <c r="P307" s="27">
        <f>IF(C307="","",IF(O307="",0,MAX(0,O307-L307)))</f>
        <v/>
      </c>
      <c r="Q307" s="26">
        <f>IF(C307="","",IF(K307=0,"not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R307" s="22" t="n"/>
      <c r="S307" s="26">
        <f>IF(R307="","",HYPERLINK(IF(LEFT(R307,4)="http",R307,set_QwilrBase&amp;R307),"Open quote"))</f>
        <v/>
      </c>
      <c r="T307" s="24" t="n"/>
      <c r="U307" s="24" t="n"/>
      <c r="V307" s="24" t="n"/>
      <c r="W307" s="26">
        <f>IF(C307="","",IF(N(T307)+N(U307)+N(V307)=0,"Not split",IF(ROUND(N(T307)+N(U307)+N(V307),2)=ROUND(L307+P307,2),"OK",IF(K307=0,"Not invoiced yet","MISMATCH"))))</f>
        <v/>
      </c>
      <c r="X307" s="24" t="n"/>
      <c r="Y307" s="24" t="n"/>
      <c r="Z307" s="24" t="n"/>
      <c r="AA307" s="27">
        <f>IF(C307="","",N(X307)+N(Y307)+N(Z307))</f>
        <v/>
      </c>
      <c r="AB307" s="27">
        <f>IF(C307="","",L307+P307-AA307)</f>
        <v/>
      </c>
      <c r="AC307" s="29">
        <f>IFERROR(AB307/(L307+P307),"")</f>
        <v/>
      </c>
      <c r="AD307" s="22" t="n"/>
    </row>
    <row r="308" ht="15" customHeight="1">
      <c r="A308" s="70">
        <f>IF(C308="","",IFERROR(IF(SUMPRODUCT(MAX((tbl_Finance[Job Number]&amp;""=C308&amp;"")*(tbl_Finance[Xero Invoice No]&lt;&gt;"")*tbl_Finance[Date]))=0,"",SUMPRODUCT(MAX((tbl_Finance[Job Number]&amp;""=C308&amp;"")*(tbl_Finance[Xero Invoice No]&lt;&gt;"")*tbl_Finance[Date]))),""))</f>
        <v/>
      </c>
      <c r="B308" s="26">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2" t="n"/>
      <c r="D308" s="26">
        <f>IF(C308="","",IF(COUNTIF(lst_Jobs,C308&amp;"")&gt;0,"OK","CHECK"))</f>
        <v/>
      </c>
      <c r="E308" s="26">
        <f>IF(C308="","",IFERROR(INDEX(lst_JobName,MATCH(C308&amp;"",lst_Jobs,0)),""))</f>
        <v/>
      </c>
      <c r="F308" s="22" t="n"/>
      <c r="G308" s="22" t="n"/>
      <c r="H308" s="22" t="n"/>
      <c r="I308" s="22" t="n"/>
      <c r="J308" s="22" t="n"/>
      <c r="K308" s="28">
        <f>IF(C308="","",COUNTIFS(tbl_Finance[Job Number],C308&amp;"",tbl_Finance[Ex GST],"&lt;&gt;"))</f>
        <v/>
      </c>
      <c r="L308" s="27">
        <f>IF(C308="","",SUMIFS(tbl_Finance[Ex GST],tbl_Finance[Job Number],C308&amp;""))</f>
        <v/>
      </c>
      <c r="M308" s="27">
        <f>IF(C308="","",SUMIFS(tbl_Finance[Ex GST],tbl_Finance[Job Number],C308&amp;"",tbl_Finance[Xero Invoice No],"&lt;&gt;"))</f>
        <v/>
      </c>
      <c r="N308" s="27">
        <f>IF(C308="","",L308-M308)</f>
        <v/>
      </c>
      <c r="O308" s="24" t="n"/>
      <c r="P308" s="27">
        <f>IF(C308="","",IF(O308="",0,MAX(0,O308-L308)))</f>
        <v/>
      </c>
      <c r="Q308" s="26">
        <f>IF(C308="","",IF(K308=0,"not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R308" s="22" t="n"/>
      <c r="S308" s="26">
        <f>IF(R308="","",HYPERLINK(IF(LEFT(R308,4)="http",R308,set_QwilrBase&amp;R308),"Open quote"))</f>
        <v/>
      </c>
      <c r="T308" s="24" t="n"/>
      <c r="U308" s="24" t="n"/>
      <c r="V308" s="24" t="n"/>
      <c r="W308" s="26">
        <f>IF(C308="","",IF(N(T308)+N(U308)+N(V308)=0,"Not split",IF(ROUND(N(T308)+N(U308)+N(V308),2)=ROUND(L308+P308,2),"OK",IF(K308=0,"Not invoiced yet","MISMATCH"))))</f>
        <v/>
      </c>
      <c r="X308" s="24" t="n"/>
      <c r="Y308" s="24" t="n"/>
      <c r="Z308" s="24" t="n"/>
      <c r="AA308" s="27">
        <f>IF(C308="","",N(X308)+N(Y308)+N(Z308))</f>
        <v/>
      </c>
      <c r="AB308" s="27">
        <f>IF(C308="","",L308+P308-AA308)</f>
        <v/>
      </c>
      <c r="AC308" s="29">
        <f>IFERROR(AB308/(L308+P308),"")</f>
        <v/>
      </c>
      <c r="AD308" s="22" t="n"/>
    </row>
    <row r="309" ht="15" customHeight="1">
      <c r="A309" s="70">
        <f>IF(C309="","",IFERROR(IF(SUMPRODUCT(MAX((tbl_Finance[Job Number]&amp;""=C309&amp;"")*(tbl_Finance[Xero Invoice No]&lt;&gt;"")*tbl_Finance[Date]))=0,"",SUMPRODUCT(MAX((tbl_Finance[Job Number]&amp;""=C309&amp;"")*(tbl_Finance[Xero Invoice No]&lt;&gt;"")*tbl_Finance[Date]))),""))</f>
        <v/>
      </c>
      <c r="B309" s="26">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2" t="n"/>
      <c r="D309" s="26">
        <f>IF(C309="","",IF(COUNTIF(lst_Jobs,C309&amp;"")&gt;0,"OK","CHECK"))</f>
        <v/>
      </c>
      <c r="E309" s="26">
        <f>IF(C309="","",IFERROR(INDEX(lst_JobName,MATCH(C309&amp;"",lst_Jobs,0)),""))</f>
        <v/>
      </c>
      <c r="F309" s="22" t="n"/>
      <c r="G309" s="22" t="n"/>
      <c r="H309" s="22" t="n"/>
      <c r="I309" s="22" t="n"/>
      <c r="J309" s="22" t="n"/>
      <c r="K309" s="28">
        <f>IF(C309="","",COUNTIFS(tbl_Finance[Job Number],C309&amp;"",tbl_Finance[Ex GST],"&lt;&gt;"))</f>
        <v/>
      </c>
      <c r="L309" s="27">
        <f>IF(C309="","",SUMIFS(tbl_Finance[Ex GST],tbl_Finance[Job Number],C309&amp;""))</f>
        <v/>
      </c>
      <c r="M309" s="27">
        <f>IF(C309="","",SUMIFS(tbl_Finance[Ex GST],tbl_Finance[Job Number],C309&amp;"",tbl_Finance[Xero Invoice No],"&lt;&gt;"))</f>
        <v/>
      </c>
      <c r="N309" s="27">
        <f>IF(C309="","",L309-M309)</f>
        <v/>
      </c>
      <c r="O309" s="24" t="n"/>
      <c r="P309" s="27">
        <f>IF(C309="","",IF(O309="",0,MAX(0,O309-L309)))</f>
        <v/>
      </c>
      <c r="Q309" s="26">
        <f>IF(C309="","",IF(K309=0,"not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R309" s="22" t="n"/>
      <c r="S309" s="26">
        <f>IF(R309="","",HYPERLINK(IF(LEFT(R309,4)="http",R309,set_QwilrBase&amp;R309),"Open quote"))</f>
        <v/>
      </c>
      <c r="T309" s="24" t="n"/>
      <c r="U309" s="24" t="n"/>
      <c r="V309" s="24" t="n"/>
      <c r="W309" s="26">
        <f>IF(C309="","",IF(N(T309)+N(U309)+N(V309)=0,"Not split",IF(ROUND(N(T309)+N(U309)+N(V309),2)=ROUND(L309+P309,2),"OK",IF(K309=0,"Not invoiced yet","MISMATCH"))))</f>
        <v/>
      </c>
      <c r="X309" s="24" t="n"/>
      <c r="Y309" s="24" t="n"/>
      <c r="Z309" s="24" t="n"/>
      <c r="AA309" s="27">
        <f>IF(C309="","",N(X309)+N(Y309)+N(Z309))</f>
        <v/>
      </c>
      <c r="AB309" s="27">
        <f>IF(C309="","",L309+P309-AA309)</f>
        <v/>
      </c>
      <c r="AC309" s="29">
        <f>IFERROR(AB309/(L309+P309),"")</f>
        <v/>
      </c>
      <c r="AD309" s="22" t="n"/>
    </row>
    <row r="310" ht="15" customHeight="1">
      <c r="A310" s="70">
        <f>IF(C310="","",IFERROR(IF(SUMPRODUCT(MAX((tbl_Finance[Job Number]&amp;""=C310&amp;"")*(tbl_Finance[Xero Invoice No]&lt;&gt;"")*tbl_Finance[Date]))=0,"",SUMPRODUCT(MAX((tbl_Finance[Job Number]&amp;""=C310&amp;"")*(tbl_Finance[Xero Invoice No]&lt;&gt;"")*tbl_Finance[Date]))),""))</f>
        <v/>
      </c>
      <c r="B310" s="26">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2" t="n"/>
      <c r="D310" s="26">
        <f>IF(C310="","",IF(COUNTIF(lst_Jobs,C310&amp;"")&gt;0,"OK","CHECK"))</f>
        <v/>
      </c>
      <c r="E310" s="26">
        <f>IF(C310="","",IFERROR(INDEX(lst_JobName,MATCH(C310&amp;"",lst_Jobs,0)),""))</f>
        <v/>
      </c>
      <c r="F310" s="22" t="n"/>
      <c r="G310" s="22" t="n"/>
      <c r="H310" s="22" t="n"/>
      <c r="I310" s="22" t="n"/>
      <c r="J310" s="22" t="n"/>
      <c r="K310" s="28">
        <f>IF(C310="","",COUNTIFS(tbl_Finance[Job Number],C310&amp;"",tbl_Finance[Ex GST],"&lt;&gt;"))</f>
        <v/>
      </c>
      <c r="L310" s="27">
        <f>IF(C310="","",SUMIFS(tbl_Finance[Ex GST],tbl_Finance[Job Number],C310&amp;""))</f>
        <v/>
      </c>
      <c r="M310" s="27">
        <f>IF(C310="","",SUMIFS(tbl_Finance[Ex GST],tbl_Finance[Job Number],C310&amp;"",tbl_Finance[Xero Invoice No],"&lt;&gt;"))</f>
        <v/>
      </c>
      <c r="N310" s="27">
        <f>IF(C310="","",L310-M310)</f>
        <v/>
      </c>
      <c r="O310" s="24" t="n"/>
      <c r="P310" s="27">
        <f>IF(C310="","",IF(O310="",0,MAX(0,O310-L310)))</f>
        <v/>
      </c>
      <c r="Q310" s="26">
        <f>IF(C310="","",IF(K310=0,"not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R310" s="22" t="n"/>
      <c r="S310" s="26">
        <f>IF(R310="","",HYPERLINK(IF(LEFT(R310,4)="http",R310,set_QwilrBase&amp;R310),"Open quote"))</f>
        <v/>
      </c>
      <c r="T310" s="24" t="n"/>
      <c r="U310" s="24" t="n"/>
      <c r="V310" s="24" t="n"/>
      <c r="W310" s="26">
        <f>IF(C310="","",IF(N(T310)+N(U310)+N(V310)=0,"Not split",IF(ROUND(N(T310)+N(U310)+N(V310),2)=ROUND(L310+P310,2),"OK",IF(K310=0,"Not invoiced yet","MISMATCH"))))</f>
        <v/>
      </c>
      <c r="X310" s="24" t="n"/>
      <c r="Y310" s="24" t="n"/>
      <c r="Z310" s="24" t="n"/>
      <c r="AA310" s="27">
        <f>IF(C310="","",N(X310)+N(Y310)+N(Z310))</f>
        <v/>
      </c>
      <c r="AB310" s="27">
        <f>IF(C310="","",L310+P310-AA310)</f>
        <v/>
      </c>
      <c r="AC310" s="29">
        <f>IFERROR(AB310/(L310+P310),"")</f>
        <v/>
      </c>
      <c r="AD310" s="22" t="n"/>
    </row>
    <row r="311" ht="15" customHeight="1">
      <c r="A311" s="70">
        <f>IF(C311="","",IFERROR(IF(SUMPRODUCT(MAX((tbl_Finance[Job Number]&amp;""=C311&amp;"")*(tbl_Finance[Xero Invoice No]&lt;&gt;"")*tbl_Finance[Date]))=0,"",SUMPRODUCT(MAX((tbl_Finance[Job Number]&amp;""=C311&amp;"")*(tbl_Finance[Xero Invoice No]&lt;&gt;"")*tbl_Finance[Date]))),""))</f>
        <v/>
      </c>
      <c r="B311" s="26">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2" t="n"/>
      <c r="D311" s="26">
        <f>IF(C311="","",IF(COUNTIF(lst_Jobs,C311&amp;"")&gt;0,"OK","CHECK"))</f>
        <v/>
      </c>
      <c r="E311" s="26">
        <f>IF(C311="","",IFERROR(INDEX(lst_JobName,MATCH(C311&amp;"",lst_Jobs,0)),""))</f>
        <v/>
      </c>
      <c r="F311" s="22" t="n"/>
      <c r="G311" s="22" t="n"/>
      <c r="H311" s="22" t="n"/>
      <c r="I311" s="22" t="n"/>
      <c r="J311" s="22" t="n"/>
      <c r="K311" s="28">
        <f>IF(C311="","",COUNTIFS(tbl_Finance[Job Number],C311&amp;"",tbl_Finance[Ex GST],"&lt;&gt;"))</f>
        <v/>
      </c>
      <c r="L311" s="27">
        <f>IF(C311="","",SUMIFS(tbl_Finance[Ex GST],tbl_Finance[Job Number],C311&amp;""))</f>
        <v/>
      </c>
      <c r="M311" s="27">
        <f>IF(C311="","",SUMIFS(tbl_Finance[Ex GST],tbl_Finance[Job Number],C311&amp;"",tbl_Finance[Xero Invoice No],"&lt;&gt;"))</f>
        <v/>
      </c>
      <c r="N311" s="27">
        <f>IF(C311="","",L311-M311)</f>
        <v/>
      </c>
      <c r="O311" s="24" t="n"/>
      <c r="P311" s="27">
        <f>IF(C311="","",IF(O311="",0,MAX(0,O311-L311)))</f>
        <v/>
      </c>
      <c r="Q311" s="26">
        <f>IF(C311="","",IF(K311=0,"not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R311" s="22" t="n"/>
      <c r="S311" s="26">
        <f>IF(R311="","",HYPERLINK(IF(LEFT(R311,4)="http",R311,set_QwilrBase&amp;R311),"Open quote"))</f>
        <v/>
      </c>
      <c r="T311" s="24" t="n"/>
      <c r="U311" s="24" t="n"/>
      <c r="V311" s="24" t="n"/>
      <c r="W311" s="26">
        <f>IF(C311="","",IF(N(T311)+N(U311)+N(V311)=0,"Not split",IF(ROUND(N(T311)+N(U311)+N(V311),2)=ROUND(L311+P311,2),"OK",IF(K311=0,"Not invoiced yet","MISMATCH"))))</f>
        <v/>
      </c>
      <c r="X311" s="24" t="n"/>
      <c r="Y311" s="24" t="n"/>
      <c r="Z311" s="24" t="n"/>
      <c r="AA311" s="27">
        <f>IF(C311="","",N(X311)+N(Y311)+N(Z311))</f>
        <v/>
      </c>
      <c r="AB311" s="27">
        <f>IF(C311="","",L311+P311-AA311)</f>
        <v/>
      </c>
      <c r="AC311" s="29">
        <f>IFERROR(AB311/(L311+P311),"")</f>
        <v/>
      </c>
      <c r="AD311" s="22" t="n"/>
    </row>
    <row r="312" ht="15" customHeight="1">
      <c r="A312" s="70">
        <f>IF(C312="","",IFERROR(IF(SUMPRODUCT(MAX((tbl_Finance[Job Number]&amp;""=C312&amp;"")*(tbl_Finance[Xero Invoice No]&lt;&gt;"")*tbl_Finance[Date]))=0,"",SUMPRODUCT(MAX((tbl_Finance[Job Number]&amp;""=C312&amp;"")*(tbl_Finance[Xero Invoice No]&lt;&gt;"")*tbl_Finance[Date]))),""))</f>
        <v/>
      </c>
      <c r="B312" s="26">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2" t="n"/>
      <c r="D312" s="26">
        <f>IF(C312="","",IF(COUNTIF(lst_Jobs,C312&amp;"")&gt;0,"OK","CHECK"))</f>
        <v/>
      </c>
      <c r="E312" s="26">
        <f>IF(C312="","",IFERROR(INDEX(lst_JobName,MATCH(C312&amp;"",lst_Jobs,0)),""))</f>
        <v/>
      </c>
      <c r="F312" s="22" t="n"/>
      <c r="G312" s="22" t="n"/>
      <c r="H312" s="22" t="n"/>
      <c r="I312" s="22" t="n"/>
      <c r="J312" s="22" t="n"/>
      <c r="K312" s="28">
        <f>IF(C312="","",COUNTIFS(tbl_Finance[Job Number],C312&amp;"",tbl_Finance[Ex GST],"&lt;&gt;"))</f>
        <v/>
      </c>
      <c r="L312" s="27">
        <f>IF(C312="","",SUMIFS(tbl_Finance[Ex GST],tbl_Finance[Job Number],C312&amp;""))</f>
        <v/>
      </c>
      <c r="M312" s="27">
        <f>IF(C312="","",SUMIFS(tbl_Finance[Ex GST],tbl_Finance[Job Number],C312&amp;"",tbl_Finance[Xero Invoice No],"&lt;&gt;"))</f>
        <v/>
      </c>
      <c r="N312" s="27">
        <f>IF(C312="","",L312-M312)</f>
        <v/>
      </c>
      <c r="O312" s="24" t="n"/>
      <c r="P312" s="27">
        <f>IF(C312="","",IF(O312="",0,MAX(0,O312-L312)))</f>
        <v/>
      </c>
      <c r="Q312" s="26">
        <f>IF(C312="","",IF(K312=0,"not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R312" s="22" t="n"/>
      <c r="S312" s="26">
        <f>IF(R312="","",HYPERLINK(IF(LEFT(R312,4)="http",R312,set_QwilrBase&amp;R312),"Open quote"))</f>
        <v/>
      </c>
      <c r="T312" s="24" t="n"/>
      <c r="U312" s="24" t="n"/>
      <c r="V312" s="24" t="n"/>
      <c r="W312" s="26">
        <f>IF(C312="","",IF(N(T312)+N(U312)+N(V312)=0,"Not split",IF(ROUND(N(T312)+N(U312)+N(V312),2)=ROUND(L312+P312,2),"OK",IF(K312=0,"Not invoiced yet","MISMATCH"))))</f>
        <v/>
      </c>
      <c r="X312" s="24" t="n"/>
      <c r="Y312" s="24" t="n"/>
      <c r="Z312" s="24" t="n"/>
      <c r="AA312" s="27">
        <f>IF(C312="","",N(X312)+N(Y312)+N(Z312))</f>
        <v/>
      </c>
      <c r="AB312" s="27">
        <f>IF(C312="","",L312+P312-AA312)</f>
        <v/>
      </c>
      <c r="AC312" s="29">
        <f>IFERROR(AB312/(L312+P312),"")</f>
        <v/>
      </c>
      <c r="AD312" s="22" t="n"/>
    </row>
    <row r="313" ht="15" customHeight="1">
      <c r="A313" s="70">
        <f>IF(C313="","",IFERROR(IF(SUMPRODUCT(MAX((tbl_Finance[Job Number]&amp;""=C313&amp;"")*(tbl_Finance[Xero Invoice No]&lt;&gt;"")*tbl_Finance[Date]))=0,"",SUMPRODUCT(MAX((tbl_Finance[Job Number]&amp;""=C313&amp;"")*(tbl_Finance[Xero Invoice No]&lt;&gt;"")*tbl_Finance[Date]))),""))</f>
        <v/>
      </c>
      <c r="B313" s="26">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2" t="n"/>
      <c r="D313" s="26">
        <f>IF(C313="","",IF(COUNTIF(lst_Jobs,C313&amp;"")&gt;0,"OK","CHECK"))</f>
        <v/>
      </c>
      <c r="E313" s="26">
        <f>IF(C313="","",IFERROR(INDEX(lst_JobName,MATCH(C313&amp;"",lst_Jobs,0)),""))</f>
        <v/>
      </c>
      <c r="F313" s="22" t="n"/>
      <c r="G313" s="22" t="n"/>
      <c r="H313" s="22" t="n"/>
      <c r="I313" s="22" t="n"/>
      <c r="J313" s="22" t="n"/>
      <c r="K313" s="28">
        <f>IF(C313="","",COUNTIFS(tbl_Finance[Job Number],C313&amp;"",tbl_Finance[Ex GST],"&lt;&gt;"))</f>
        <v/>
      </c>
      <c r="L313" s="27">
        <f>IF(C313="","",SUMIFS(tbl_Finance[Ex GST],tbl_Finance[Job Number],C313&amp;""))</f>
        <v/>
      </c>
      <c r="M313" s="27">
        <f>IF(C313="","",SUMIFS(tbl_Finance[Ex GST],tbl_Finance[Job Number],C313&amp;"",tbl_Finance[Xero Invoice No],"&lt;&gt;"))</f>
        <v/>
      </c>
      <c r="N313" s="27">
        <f>IF(C313="","",L313-M313)</f>
        <v/>
      </c>
      <c r="O313" s="24" t="n"/>
      <c r="P313" s="27">
        <f>IF(C313="","",IF(O313="",0,MAX(0,O313-L313)))</f>
        <v/>
      </c>
      <c r="Q313" s="26">
        <f>IF(C313="","",IF(K313=0,"not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R313" s="22" t="n"/>
      <c r="S313" s="26">
        <f>IF(R313="","",HYPERLINK(IF(LEFT(R313,4)="http",R313,set_QwilrBase&amp;R313),"Open quote"))</f>
        <v/>
      </c>
      <c r="T313" s="24" t="n"/>
      <c r="U313" s="24" t="n"/>
      <c r="V313" s="24" t="n"/>
      <c r="W313" s="26">
        <f>IF(C313="","",IF(N(T313)+N(U313)+N(V313)=0,"Not split",IF(ROUND(N(T313)+N(U313)+N(V313),2)=ROUND(L313+P313,2),"OK",IF(K313=0,"Not invoiced yet","MISMATCH"))))</f>
        <v/>
      </c>
      <c r="X313" s="24" t="n"/>
      <c r="Y313" s="24" t="n"/>
      <c r="Z313" s="24" t="n"/>
      <c r="AA313" s="27">
        <f>IF(C313="","",N(X313)+N(Y313)+N(Z313))</f>
        <v/>
      </c>
      <c r="AB313" s="27">
        <f>IF(C313="","",L313+P313-AA313)</f>
        <v/>
      </c>
      <c r="AC313" s="29">
        <f>IFERROR(AB313/(L313+P313),"")</f>
        <v/>
      </c>
      <c r="AD313" s="22" t="n"/>
    </row>
    <row r="314" ht="15" customHeight="1">
      <c r="A314" s="70">
        <f>IF(C314="","",IFERROR(IF(SUMPRODUCT(MAX((tbl_Finance[Job Number]&amp;""=C314&amp;"")*(tbl_Finance[Xero Invoice No]&lt;&gt;"")*tbl_Finance[Date]))=0,"",SUMPRODUCT(MAX((tbl_Finance[Job Number]&amp;""=C314&amp;"")*(tbl_Finance[Xero Invoice No]&lt;&gt;"")*tbl_Finance[Date]))),""))</f>
        <v/>
      </c>
      <c r="B314" s="26">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2" t="n"/>
      <c r="D314" s="26">
        <f>IF(C314="","",IF(COUNTIF(lst_Jobs,C314&amp;"")&gt;0,"OK","CHECK"))</f>
        <v/>
      </c>
      <c r="E314" s="26">
        <f>IF(C314="","",IFERROR(INDEX(lst_JobName,MATCH(C314&amp;"",lst_Jobs,0)),""))</f>
        <v/>
      </c>
      <c r="F314" s="22" t="n"/>
      <c r="G314" s="22" t="n"/>
      <c r="H314" s="22" t="n"/>
      <c r="I314" s="22" t="n"/>
      <c r="J314" s="22" t="n"/>
      <c r="K314" s="28">
        <f>IF(C314="","",COUNTIFS(tbl_Finance[Job Number],C314&amp;"",tbl_Finance[Ex GST],"&lt;&gt;"))</f>
        <v/>
      </c>
      <c r="L314" s="27">
        <f>IF(C314="","",SUMIFS(tbl_Finance[Ex GST],tbl_Finance[Job Number],C314&amp;""))</f>
        <v/>
      </c>
      <c r="M314" s="27">
        <f>IF(C314="","",SUMIFS(tbl_Finance[Ex GST],tbl_Finance[Job Number],C314&amp;"",tbl_Finance[Xero Invoice No],"&lt;&gt;"))</f>
        <v/>
      </c>
      <c r="N314" s="27">
        <f>IF(C314="","",L314-M314)</f>
        <v/>
      </c>
      <c r="O314" s="24" t="n"/>
      <c r="P314" s="27">
        <f>IF(C314="","",IF(O314="",0,MAX(0,O314-L314)))</f>
        <v/>
      </c>
      <c r="Q314" s="26">
        <f>IF(C314="","",IF(K314=0,"not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R314" s="22" t="n"/>
      <c r="S314" s="26">
        <f>IF(R314="","",HYPERLINK(IF(LEFT(R314,4)="http",R314,set_QwilrBase&amp;R314),"Open quote"))</f>
        <v/>
      </c>
      <c r="T314" s="24" t="n"/>
      <c r="U314" s="24" t="n"/>
      <c r="V314" s="24" t="n"/>
      <c r="W314" s="26">
        <f>IF(C314="","",IF(N(T314)+N(U314)+N(V314)=0,"Not split",IF(ROUND(N(T314)+N(U314)+N(V314),2)=ROUND(L314+P314,2),"OK",IF(K314=0,"Not invoiced yet","MISMATCH"))))</f>
        <v/>
      </c>
      <c r="X314" s="24" t="n"/>
      <c r="Y314" s="24" t="n"/>
      <c r="Z314" s="24" t="n"/>
      <c r="AA314" s="27">
        <f>IF(C314="","",N(X314)+N(Y314)+N(Z314))</f>
        <v/>
      </c>
      <c r="AB314" s="27">
        <f>IF(C314="","",L314+P314-AA314)</f>
        <v/>
      </c>
      <c r="AC314" s="29">
        <f>IFERROR(AB314/(L314+P314),"")</f>
        <v/>
      </c>
      <c r="AD314" s="22" t="n"/>
    </row>
    <row r="315" ht="15" customHeight="1">
      <c r="A315" s="70">
        <f>IF(C315="","",IFERROR(IF(SUMPRODUCT(MAX((tbl_Finance[Job Number]&amp;""=C315&amp;"")*(tbl_Finance[Xero Invoice No]&lt;&gt;"")*tbl_Finance[Date]))=0,"",SUMPRODUCT(MAX((tbl_Finance[Job Number]&amp;""=C315&amp;"")*(tbl_Finance[Xero Invoice No]&lt;&gt;"")*tbl_Finance[Date]))),""))</f>
        <v/>
      </c>
      <c r="B315" s="26">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2" t="n"/>
      <c r="D315" s="26">
        <f>IF(C315="","",IF(COUNTIF(lst_Jobs,C315&amp;"")&gt;0,"OK","CHECK"))</f>
        <v/>
      </c>
      <c r="E315" s="26">
        <f>IF(C315="","",IFERROR(INDEX(lst_JobName,MATCH(C315&amp;"",lst_Jobs,0)),""))</f>
        <v/>
      </c>
      <c r="F315" s="22" t="n"/>
      <c r="G315" s="22" t="n"/>
      <c r="H315" s="22" t="n"/>
      <c r="I315" s="22" t="n"/>
      <c r="J315" s="22" t="n"/>
      <c r="K315" s="28">
        <f>IF(C315="","",COUNTIFS(tbl_Finance[Job Number],C315&amp;"",tbl_Finance[Ex GST],"&lt;&gt;"))</f>
        <v/>
      </c>
      <c r="L315" s="27">
        <f>IF(C315="","",SUMIFS(tbl_Finance[Ex GST],tbl_Finance[Job Number],C315&amp;""))</f>
        <v/>
      </c>
      <c r="M315" s="27">
        <f>IF(C315="","",SUMIFS(tbl_Finance[Ex GST],tbl_Finance[Job Number],C315&amp;"",tbl_Finance[Xero Invoice No],"&lt;&gt;"))</f>
        <v/>
      </c>
      <c r="N315" s="27">
        <f>IF(C315="","",L315-M315)</f>
        <v/>
      </c>
      <c r="O315" s="24" t="n"/>
      <c r="P315" s="27">
        <f>IF(C315="","",IF(O315="",0,MAX(0,O315-L315)))</f>
        <v/>
      </c>
      <c r="Q315" s="26">
        <f>IF(C315="","",IF(K315=0,"not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R315" s="22" t="n"/>
      <c r="S315" s="26">
        <f>IF(R315="","",HYPERLINK(IF(LEFT(R315,4)="http",R315,set_QwilrBase&amp;R315),"Open quote"))</f>
        <v/>
      </c>
      <c r="T315" s="24" t="n"/>
      <c r="U315" s="24" t="n"/>
      <c r="V315" s="24" t="n"/>
      <c r="W315" s="26">
        <f>IF(C315="","",IF(N(T315)+N(U315)+N(V315)=0,"Not split",IF(ROUND(N(T315)+N(U315)+N(V315),2)=ROUND(L315+P315,2),"OK",IF(K315=0,"Not invoiced yet","MISMATCH"))))</f>
        <v/>
      </c>
      <c r="X315" s="24" t="n"/>
      <c r="Y315" s="24" t="n"/>
      <c r="Z315" s="24" t="n"/>
      <c r="AA315" s="27">
        <f>IF(C315="","",N(X315)+N(Y315)+N(Z315))</f>
        <v/>
      </c>
      <c r="AB315" s="27">
        <f>IF(C315="","",L315+P315-AA315)</f>
        <v/>
      </c>
      <c r="AC315" s="29">
        <f>IFERROR(AB315/(L315+P315),"")</f>
        <v/>
      </c>
      <c r="AD315" s="22" t="n"/>
    </row>
    <row r="316" ht="15" customHeight="1">
      <c r="A316" s="70">
        <f>IF(C316="","",IFERROR(IF(SUMPRODUCT(MAX((tbl_Finance[Job Number]&amp;""=C316&amp;"")*(tbl_Finance[Xero Invoice No]&lt;&gt;"")*tbl_Finance[Date]))=0,"",SUMPRODUCT(MAX((tbl_Finance[Job Number]&amp;""=C316&amp;"")*(tbl_Finance[Xero Invoice No]&lt;&gt;"")*tbl_Finance[Date]))),""))</f>
        <v/>
      </c>
      <c r="B316" s="26">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2" t="n"/>
      <c r="D316" s="26">
        <f>IF(C316="","",IF(COUNTIF(lst_Jobs,C316&amp;"")&gt;0,"OK","CHECK"))</f>
        <v/>
      </c>
      <c r="E316" s="26">
        <f>IF(C316="","",IFERROR(INDEX(lst_JobName,MATCH(C316&amp;"",lst_Jobs,0)),""))</f>
        <v/>
      </c>
      <c r="F316" s="22" t="n"/>
      <c r="G316" s="22" t="n"/>
      <c r="H316" s="22" t="n"/>
      <c r="I316" s="22" t="n"/>
      <c r="J316" s="22" t="n"/>
      <c r="K316" s="28">
        <f>IF(C316="","",COUNTIFS(tbl_Finance[Job Number],C316&amp;"",tbl_Finance[Ex GST],"&lt;&gt;"))</f>
        <v/>
      </c>
      <c r="L316" s="27">
        <f>IF(C316="","",SUMIFS(tbl_Finance[Ex GST],tbl_Finance[Job Number],C316&amp;""))</f>
        <v/>
      </c>
      <c r="M316" s="27">
        <f>IF(C316="","",SUMIFS(tbl_Finance[Ex GST],tbl_Finance[Job Number],C316&amp;"",tbl_Finance[Xero Invoice No],"&lt;&gt;"))</f>
        <v/>
      </c>
      <c r="N316" s="27">
        <f>IF(C316="","",L316-M316)</f>
        <v/>
      </c>
      <c r="O316" s="24" t="n"/>
      <c r="P316" s="27">
        <f>IF(C316="","",IF(O316="",0,MAX(0,O316-L316)))</f>
        <v/>
      </c>
      <c r="Q316" s="26">
        <f>IF(C316="","",IF(K316=0,"not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R316" s="22" t="n"/>
      <c r="S316" s="26">
        <f>IF(R316="","",HYPERLINK(IF(LEFT(R316,4)="http",R316,set_QwilrBase&amp;R316),"Open quote"))</f>
        <v/>
      </c>
      <c r="T316" s="24" t="n"/>
      <c r="U316" s="24" t="n"/>
      <c r="V316" s="24" t="n"/>
      <c r="W316" s="26">
        <f>IF(C316="","",IF(N(T316)+N(U316)+N(V316)=0,"Not split",IF(ROUND(N(T316)+N(U316)+N(V316),2)=ROUND(L316+P316,2),"OK",IF(K316=0,"Not invoiced yet","MISMATCH"))))</f>
        <v/>
      </c>
      <c r="X316" s="24" t="n"/>
      <c r="Y316" s="24" t="n"/>
      <c r="Z316" s="24" t="n"/>
      <c r="AA316" s="27">
        <f>IF(C316="","",N(X316)+N(Y316)+N(Z316))</f>
        <v/>
      </c>
      <c r="AB316" s="27">
        <f>IF(C316="","",L316+P316-AA316)</f>
        <v/>
      </c>
      <c r="AC316" s="29">
        <f>IFERROR(AB316/(L316+P316),"")</f>
        <v/>
      </c>
      <c r="AD316" s="22" t="n"/>
    </row>
    <row r="317" ht="15" customHeight="1">
      <c r="A317" s="70">
        <f>IF(C317="","",IFERROR(IF(SUMPRODUCT(MAX((tbl_Finance[Job Number]&amp;""=C317&amp;"")*(tbl_Finance[Xero Invoice No]&lt;&gt;"")*tbl_Finance[Date]))=0,"",SUMPRODUCT(MAX((tbl_Finance[Job Number]&amp;""=C317&amp;"")*(tbl_Finance[Xero Invoice No]&lt;&gt;"")*tbl_Finance[Date]))),""))</f>
        <v/>
      </c>
      <c r="B317" s="26">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2" t="n"/>
      <c r="D317" s="26">
        <f>IF(C317="","",IF(COUNTIF(lst_Jobs,C317&amp;"")&gt;0,"OK","CHECK"))</f>
        <v/>
      </c>
      <c r="E317" s="26">
        <f>IF(C317="","",IFERROR(INDEX(lst_JobName,MATCH(C317&amp;"",lst_Jobs,0)),""))</f>
        <v/>
      </c>
      <c r="F317" s="22" t="n"/>
      <c r="G317" s="22" t="n"/>
      <c r="H317" s="22" t="n"/>
      <c r="I317" s="22" t="n"/>
      <c r="J317" s="22" t="n"/>
      <c r="K317" s="28">
        <f>IF(C317="","",COUNTIFS(tbl_Finance[Job Number],C317&amp;"",tbl_Finance[Ex GST],"&lt;&gt;"))</f>
        <v/>
      </c>
      <c r="L317" s="27">
        <f>IF(C317="","",SUMIFS(tbl_Finance[Ex GST],tbl_Finance[Job Number],C317&amp;""))</f>
        <v/>
      </c>
      <c r="M317" s="27">
        <f>IF(C317="","",SUMIFS(tbl_Finance[Ex GST],tbl_Finance[Job Number],C317&amp;"",tbl_Finance[Xero Invoice No],"&lt;&gt;"))</f>
        <v/>
      </c>
      <c r="N317" s="27">
        <f>IF(C317="","",L317-M317)</f>
        <v/>
      </c>
      <c r="O317" s="24" t="n"/>
      <c r="P317" s="27">
        <f>IF(C317="","",IF(O317="",0,MAX(0,O317-L317)))</f>
        <v/>
      </c>
      <c r="Q317" s="26">
        <f>IF(C317="","",IF(K317=0,"not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R317" s="22" t="n"/>
      <c r="S317" s="26">
        <f>IF(R317="","",HYPERLINK(IF(LEFT(R317,4)="http",R317,set_QwilrBase&amp;R317),"Open quote"))</f>
        <v/>
      </c>
      <c r="T317" s="24" t="n"/>
      <c r="U317" s="24" t="n"/>
      <c r="V317" s="24" t="n"/>
      <c r="W317" s="26">
        <f>IF(C317="","",IF(N(T317)+N(U317)+N(V317)=0,"Not split",IF(ROUND(N(T317)+N(U317)+N(V317),2)=ROUND(L317+P317,2),"OK",IF(K317=0,"Not invoiced yet","MISMATCH"))))</f>
        <v/>
      </c>
      <c r="X317" s="24" t="n"/>
      <c r="Y317" s="24" t="n"/>
      <c r="Z317" s="24" t="n"/>
      <c r="AA317" s="27">
        <f>IF(C317="","",N(X317)+N(Y317)+N(Z317))</f>
        <v/>
      </c>
      <c r="AB317" s="27">
        <f>IF(C317="","",L317+P317-AA317)</f>
        <v/>
      </c>
      <c r="AC317" s="29">
        <f>IFERROR(AB317/(L317+P317),"")</f>
        <v/>
      </c>
      <c r="AD317" s="22" t="n"/>
    </row>
    <row r="318" ht="15" customHeight="1">
      <c r="A318" s="70">
        <f>IF(C318="","",IFERROR(IF(SUMPRODUCT(MAX((tbl_Finance[Job Number]&amp;""=C318&amp;"")*(tbl_Finance[Xero Invoice No]&lt;&gt;"")*tbl_Finance[Date]))=0,"",SUMPRODUCT(MAX((tbl_Finance[Job Number]&amp;""=C318&amp;"")*(tbl_Finance[Xero Invoice No]&lt;&gt;"")*tbl_Finance[Date]))),""))</f>
        <v/>
      </c>
      <c r="B318" s="26">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2" t="n"/>
      <c r="D318" s="26">
        <f>IF(C318="","",IF(COUNTIF(lst_Jobs,C318&amp;"")&gt;0,"OK","CHECK"))</f>
        <v/>
      </c>
      <c r="E318" s="26">
        <f>IF(C318="","",IFERROR(INDEX(lst_JobName,MATCH(C318&amp;"",lst_Jobs,0)),""))</f>
        <v/>
      </c>
      <c r="F318" s="22" t="n"/>
      <c r="G318" s="22" t="n"/>
      <c r="H318" s="22" t="n"/>
      <c r="I318" s="22" t="n"/>
      <c r="J318" s="22" t="n"/>
      <c r="K318" s="28">
        <f>IF(C318="","",COUNTIFS(tbl_Finance[Job Number],C318&amp;"",tbl_Finance[Ex GST],"&lt;&gt;"))</f>
        <v/>
      </c>
      <c r="L318" s="27">
        <f>IF(C318="","",SUMIFS(tbl_Finance[Ex GST],tbl_Finance[Job Number],C318&amp;""))</f>
        <v/>
      </c>
      <c r="M318" s="27">
        <f>IF(C318="","",SUMIFS(tbl_Finance[Ex GST],tbl_Finance[Job Number],C318&amp;"",tbl_Finance[Xero Invoice No],"&lt;&gt;"))</f>
        <v/>
      </c>
      <c r="N318" s="27">
        <f>IF(C318="","",L318-M318)</f>
        <v/>
      </c>
      <c r="O318" s="24" t="n"/>
      <c r="P318" s="27">
        <f>IF(C318="","",IF(O318="",0,MAX(0,O318-L318)))</f>
        <v/>
      </c>
      <c r="Q318" s="26">
        <f>IF(C318="","",IF(K318=0,"not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R318" s="22" t="n"/>
      <c r="S318" s="26">
        <f>IF(R318="","",HYPERLINK(IF(LEFT(R318,4)="http",R318,set_QwilrBase&amp;R318),"Open quote"))</f>
        <v/>
      </c>
      <c r="T318" s="24" t="n"/>
      <c r="U318" s="24" t="n"/>
      <c r="V318" s="24" t="n"/>
      <c r="W318" s="26">
        <f>IF(C318="","",IF(N(T318)+N(U318)+N(V318)=0,"Not split",IF(ROUND(N(T318)+N(U318)+N(V318),2)=ROUND(L318+P318,2),"OK",IF(K318=0,"Not invoiced yet","MISMATCH"))))</f>
        <v/>
      </c>
      <c r="X318" s="24" t="n"/>
      <c r="Y318" s="24" t="n"/>
      <c r="Z318" s="24" t="n"/>
      <c r="AA318" s="27">
        <f>IF(C318="","",N(X318)+N(Y318)+N(Z318))</f>
        <v/>
      </c>
      <c r="AB318" s="27">
        <f>IF(C318="","",L318+P318-AA318)</f>
        <v/>
      </c>
      <c r="AC318" s="29">
        <f>IFERROR(AB318/(L318+P318),"")</f>
        <v/>
      </c>
      <c r="AD318" s="22" t="n"/>
    </row>
    <row r="319" ht="15" customHeight="1">
      <c r="A319" s="70">
        <f>IF(C319="","",IFERROR(IF(SUMPRODUCT(MAX((tbl_Finance[Job Number]&amp;""=C319&amp;"")*(tbl_Finance[Xero Invoice No]&lt;&gt;"")*tbl_Finance[Date]))=0,"",SUMPRODUCT(MAX((tbl_Finance[Job Number]&amp;""=C319&amp;"")*(tbl_Finance[Xero Invoice No]&lt;&gt;"")*tbl_Finance[Date]))),""))</f>
        <v/>
      </c>
      <c r="B319" s="26">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2" t="n"/>
      <c r="D319" s="26">
        <f>IF(C319="","",IF(COUNTIF(lst_Jobs,C319&amp;"")&gt;0,"OK","CHECK"))</f>
        <v/>
      </c>
      <c r="E319" s="26">
        <f>IF(C319="","",IFERROR(INDEX(lst_JobName,MATCH(C319&amp;"",lst_Jobs,0)),""))</f>
        <v/>
      </c>
      <c r="F319" s="22" t="n"/>
      <c r="G319" s="22" t="n"/>
      <c r="H319" s="22" t="n"/>
      <c r="I319" s="22" t="n"/>
      <c r="J319" s="22" t="n"/>
      <c r="K319" s="28">
        <f>IF(C319="","",COUNTIFS(tbl_Finance[Job Number],C319&amp;"",tbl_Finance[Ex GST],"&lt;&gt;"))</f>
        <v/>
      </c>
      <c r="L319" s="27">
        <f>IF(C319="","",SUMIFS(tbl_Finance[Ex GST],tbl_Finance[Job Number],C319&amp;""))</f>
        <v/>
      </c>
      <c r="M319" s="27">
        <f>IF(C319="","",SUMIFS(tbl_Finance[Ex GST],tbl_Finance[Job Number],C319&amp;"",tbl_Finance[Xero Invoice No],"&lt;&gt;"))</f>
        <v/>
      </c>
      <c r="N319" s="27">
        <f>IF(C319="","",L319-M319)</f>
        <v/>
      </c>
      <c r="O319" s="24" t="n"/>
      <c r="P319" s="27">
        <f>IF(C319="","",IF(O319="",0,MAX(0,O319-L319)))</f>
        <v/>
      </c>
      <c r="Q319" s="26">
        <f>IF(C319="","",IF(K319=0,"not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R319" s="22" t="n"/>
      <c r="S319" s="26">
        <f>IF(R319="","",HYPERLINK(IF(LEFT(R319,4)="http",R319,set_QwilrBase&amp;R319),"Open quote"))</f>
        <v/>
      </c>
      <c r="T319" s="24" t="n"/>
      <c r="U319" s="24" t="n"/>
      <c r="V319" s="24" t="n"/>
      <c r="W319" s="26">
        <f>IF(C319="","",IF(N(T319)+N(U319)+N(V319)=0,"Not split",IF(ROUND(N(T319)+N(U319)+N(V319),2)=ROUND(L319+P319,2),"OK",IF(K319=0,"Not invoiced yet","MISMATCH"))))</f>
        <v/>
      </c>
      <c r="X319" s="24" t="n"/>
      <c r="Y319" s="24" t="n"/>
      <c r="Z319" s="24" t="n"/>
      <c r="AA319" s="27">
        <f>IF(C319="","",N(X319)+N(Y319)+N(Z319))</f>
        <v/>
      </c>
      <c r="AB319" s="27">
        <f>IF(C319="","",L319+P319-AA319)</f>
        <v/>
      </c>
      <c r="AC319" s="29">
        <f>IFERROR(AB319/(L319+P319),"")</f>
        <v/>
      </c>
      <c r="AD319" s="22" t="n"/>
    </row>
    <row r="320" ht="15" customHeight="1">
      <c r="A320" s="70">
        <f>IF(C320="","",IFERROR(IF(SUMPRODUCT(MAX((tbl_Finance[Job Number]&amp;""=C320&amp;"")*(tbl_Finance[Xero Invoice No]&lt;&gt;"")*tbl_Finance[Date]))=0,"",SUMPRODUCT(MAX((tbl_Finance[Job Number]&amp;""=C320&amp;"")*(tbl_Finance[Xero Invoice No]&lt;&gt;"")*tbl_Finance[Date]))),""))</f>
        <v/>
      </c>
      <c r="B320" s="26">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2" t="n"/>
      <c r="D320" s="26">
        <f>IF(C320="","",IF(COUNTIF(lst_Jobs,C320&amp;"")&gt;0,"OK","CHECK"))</f>
        <v/>
      </c>
      <c r="E320" s="26">
        <f>IF(C320="","",IFERROR(INDEX(lst_JobName,MATCH(C320&amp;"",lst_Jobs,0)),""))</f>
        <v/>
      </c>
      <c r="F320" s="22" t="n"/>
      <c r="G320" s="22" t="n"/>
      <c r="H320" s="22" t="n"/>
      <c r="I320" s="22" t="n"/>
      <c r="J320" s="22" t="n"/>
      <c r="K320" s="28">
        <f>IF(C320="","",COUNTIFS(tbl_Finance[Job Number],C320&amp;"",tbl_Finance[Ex GST],"&lt;&gt;"))</f>
        <v/>
      </c>
      <c r="L320" s="27">
        <f>IF(C320="","",SUMIFS(tbl_Finance[Ex GST],tbl_Finance[Job Number],C320&amp;""))</f>
        <v/>
      </c>
      <c r="M320" s="27">
        <f>IF(C320="","",SUMIFS(tbl_Finance[Ex GST],tbl_Finance[Job Number],C320&amp;"",tbl_Finance[Xero Invoice No],"&lt;&gt;"))</f>
        <v/>
      </c>
      <c r="N320" s="27">
        <f>IF(C320="","",L320-M320)</f>
        <v/>
      </c>
      <c r="O320" s="24" t="n"/>
      <c r="P320" s="27">
        <f>IF(C320="","",IF(O320="",0,MAX(0,O320-L320)))</f>
        <v/>
      </c>
      <c r="Q320" s="26">
        <f>IF(C320="","",IF(K320=0,"not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R320" s="22" t="n"/>
      <c r="S320" s="26">
        <f>IF(R320="","",HYPERLINK(IF(LEFT(R320,4)="http",R320,set_QwilrBase&amp;R320),"Open quote"))</f>
        <v/>
      </c>
      <c r="T320" s="24" t="n"/>
      <c r="U320" s="24" t="n"/>
      <c r="V320" s="24" t="n"/>
      <c r="W320" s="26">
        <f>IF(C320="","",IF(N(T320)+N(U320)+N(V320)=0,"Not split",IF(ROUND(N(T320)+N(U320)+N(V320),2)=ROUND(L320+P320,2),"OK",IF(K320=0,"Not invoiced yet","MISMATCH"))))</f>
        <v/>
      </c>
      <c r="X320" s="24" t="n"/>
      <c r="Y320" s="24" t="n"/>
      <c r="Z320" s="24" t="n"/>
      <c r="AA320" s="27">
        <f>IF(C320="","",N(X320)+N(Y320)+N(Z320))</f>
        <v/>
      </c>
      <c r="AB320" s="27">
        <f>IF(C320="","",L320+P320-AA320)</f>
        <v/>
      </c>
      <c r="AC320" s="29">
        <f>IFERROR(AB320/(L320+P320),"")</f>
        <v/>
      </c>
      <c r="AD320" s="22" t="n"/>
    </row>
    <row r="321" ht="15" customHeight="1">
      <c r="A321" s="70">
        <f>IF(C321="","",IFERROR(IF(SUMPRODUCT(MAX((tbl_Finance[Job Number]&amp;""=C321&amp;"")*(tbl_Finance[Xero Invoice No]&lt;&gt;"")*tbl_Finance[Date]))=0,"",SUMPRODUCT(MAX((tbl_Finance[Job Number]&amp;""=C321&amp;"")*(tbl_Finance[Xero Invoice No]&lt;&gt;"")*tbl_Finance[Date]))),""))</f>
        <v/>
      </c>
      <c r="B321" s="26">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2" t="n"/>
      <c r="D321" s="26">
        <f>IF(C321="","",IF(COUNTIF(lst_Jobs,C321&amp;"")&gt;0,"OK","CHECK"))</f>
        <v/>
      </c>
      <c r="E321" s="26">
        <f>IF(C321="","",IFERROR(INDEX(lst_JobName,MATCH(C321&amp;"",lst_Jobs,0)),""))</f>
        <v/>
      </c>
      <c r="F321" s="22" t="n"/>
      <c r="G321" s="22" t="n"/>
      <c r="H321" s="22" t="n"/>
      <c r="I321" s="22" t="n"/>
      <c r="J321" s="22" t="n"/>
      <c r="K321" s="28">
        <f>IF(C321="","",COUNTIFS(tbl_Finance[Job Number],C321&amp;"",tbl_Finance[Ex GST],"&lt;&gt;"))</f>
        <v/>
      </c>
      <c r="L321" s="27">
        <f>IF(C321="","",SUMIFS(tbl_Finance[Ex GST],tbl_Finance[Job Number],C321&amp;""))</f>
        <v/>
      </c>
      <c r="M321" s="27">
        <f>IF(C321="","",SUMIFS(tbl_Finance[Ex GST],tbl_Finance[Job Number],C321&amp;"",tbl_Finance[Xero Invoice No],"&lt;&gt;"))</f>
        <v/>
      </c>
      <c r="N321" s="27">
        <f>IF(C321="","",L321-M321)</f>
        <v/>
      </c>
      <c r="O321" s="24" t="n"/>
      <c r="P321" s="27">
        <f>IF(C321="","",IF(O321="",0,MAX(0,O321-L321)))</f>
        <v/>
      </c>
      <c r="Q321" s="26">
        <f>IF(C321="","",IF(K321=0,"not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R321" s="22" t="n"/>
      <c r="S321" s="26">
        <f>IF(R321="","",HYPERLINK(IF(LEFT(R321,4)="http",R321,set_QwilrBase&amp;R321),"Open quote"))</f>
        <v/>
      </c>
      <c r="T321" s="24" t="n"/>
      <c r="U321" s="24" t="n"/>
      <c r="V321" s="24" t="n"/>
      <c r="W321" s="26">
        <f>IF(C321="","",IF(N(T321)+N(U321)+N(V321)=0,"Not split",IF(ROUND(N(T321)+N(U321)+N(V321),2)=ROUND(L321+P321,2),"OK",IF(K321=0,"Not invoiced yet","MISMATCH"))))</f>
        <v/>
      </c>
      <c r="X321" s="24" t="n"/>
      <c r="Y321" s="24" t="n"/>
      <c r="Z321" s="24" t="n"/>
      <c r="AA321" s="27">
        <f>IF(C321="","",N(X321)+N(Y321)+N(Z321))</f>
        <v/>
      </c>
      <c r="AB321" s="27">
        <f>IF(C321="","",L321+P321-AA321)</f>
        <v/>
      </c>
      <c r="AC321" s="29">
        <f>IFERROR(AB321/(L321+P321),"")</f>
        <v/>
      </c>
      <c r="AD321" s="22" t="n"/>
    </row>
    <row r="322" ht="15" customHeight="1">
      <c r="A322" s="70">
        <f>IF(C322="","",IFERROR(IF(SUMPRODUCT(MAX((tbl_Finance[Job Number]&amp;""=C322&amp;"")*(tbl_Finance[Xero Invoice No]&lt;&gt;"")*tbl_Finance[Date]))=0,"",SUMPRODUCT(MAX((tbl_Finance[Job Number]&amp;""=C322&amp;"")*(tbl_Finance[Xero Invoice No]&lt;&gt;"")*tbl_Finance[Date]))),""))</f>
        <v/>
      </c>
      <c r="B322" s="26">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2" t="n"/>
      <c r="D322" s="26">
        <f>IF(C322="","",IF(COUNTIF(lst_Jobs,C322&amp;"")&gt;0,"OK","CHECK"))</f>
        <v/>
      </c>
      <c r="E322" s="26">
        <f>IF(C322="","",IFERROR(INDEX(lst_JobName,MATCH(C322&amp;"",lst_Jobs,0)),""))</f>
        <v/>
      </c>
      <c r="F322" s="22" t="n"/>
      <c r="G322" s="22" t="n"/>
      <c r="H322" s="22" t="n"/>
      <c r="I322" s="22" t="n"/>
      <c r="J322" s="22" t="n"/>
      <c r="K322" s="28">
        <f>IF(C322="","",COUNTIFS(tbl_Finance[Job Number],C322&amp;"",tbl_Finance[Ex GST],"&lt;&gt;"))</f>
        <v/>
      </c>
      <c r="L322" s="27">
        <f>IF(C322="","",SUMIFS(tbl_Finance[Ex GST],tbl_Finance[Job Number],C322&amp;""))</f>
        <v/>
      </c>
      <c r="M322" s="27">
        <f>IF(C322="","",SUMIFS(tbl_Finance[Ex GST],tbl_Finance[Job Number],C322&amp;"",tbl_Finance[Xero Invoice No],"&lt;&gt;"))</f>
        <v/>
      </c>
      <c r="N322" s="27">
        <f>IF(C322="","",L322-M322)</f>
        <v/>
      </c>
      <c r="O322" s="24" t="n"/>
      <c r="P322" s="27">
        <f>IF(C322="","",IF(O322="",0,MAX(0,O322-L322)))</f>
        <v/>
      </c>
      <c r="Q322" s="26">
        <f>IF(C322="","",IF(K322=0,"not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R322" s="22" t="n"/>
      <c r="S322" s="26">
        <f>IF(R322="","",HYPERLINK(IF(LEFT(R322,4)="http",R322,set_QwilrBase&amp;R322),"Open quote"))</f>
        <v/>
      </c>
      <c r="T322" s="24" t="n"/>
      <c r="U322" s="24" t="n"/>
      <c r="V322" s="24" t="n"/>
      <c r="W322" s="26">
        <f>IF(C322="","",IF(N(T322)+N(U322)+N(V322)=0,"Not split",IF(ROUND(N(T322)+N(U322)+N(V322),2)=ROUND(L322+P322,2),"OK",IF(K322=0,"Not invoiced yet","MISMATCH"))))</f>
        <v/>
      </c>
      <c r="X322" s="24" t="n"/>
      <c r="Y322" s="24" t="n"/>
      <c r="Z322" s="24" t="n"/>
      <c r="AA322" s="27">
        <f>IF(C322="","",N(X322)+N(Y322)+N(Z322))</f>
        <v/>
      </c>
      <c r="AB322" s="27">
        <f>IF(C322="","",L322+P322-AA322)</f>
        <v/>
      </c>
      <c r="AC322" s="29">
        <f>IFERROR(AB322/(L322+P322),"")</f>
        <v/>
      </c>
      <c r="AD322" s="22" t="n"/>
    </row>
    <row r="323" ht="15" customHeight="1">
      <c r="A323" s="70">
        <f>IF(C323="","",IFERROR(IF(SUMPRODUCT(MAX((tbl_Finance[Job Number]&amp;""=C323&amp;"")*(tbl_Finance[Xero Invoice No]&lt;&gt;"")*tbl_Finance[Date]))=0,"",SUMPRODUCT(MAX((tbl_Finance[Job Number]&amp;""=C323&amp;"")*(tbl_Finance[Xero Invoice No]&lt;&gt;"")*tbl_Finance[Date]))),""))</f>
        <v/>
      </c>
      <c r="B323" s="26">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2" t="n"/>
      <c r="D323" s="26">
        <f>IF(C323="","",IF(COUNTIF(lst_Jobs,C323&amp;"")&gt;0,"OK","CHECK"))</f>
        <v/>
      </c>
      <c r="E323" s="26">
        <f>IF(C323="","",IFERROR(INDEX(lst_JobName,MATCH(C323&amp;"",lst_Jobs,0)),""))</f>
        <v/>
      </c>
      <c r="F323" s="22" t="n"/>
      <c r="G323" s="22" t="n"/>
      <c r="H323" s="22" t="n"/>
      <c r="I323" s="22" t="n"/>
      <c r="J323" s="22" t="n"/>
      <c r="K323" s="28">
        <f>IF(C323="","",COUNTIFS(tbl_Finance[Job Number],C323&amp;"",tbl_Finance[Ex GST],"&lt;&gt;"))</f>
        <v/>
      </c>
      <c r="L323" s="27">
        <f>IF(C323="","",SUMIFS(tbl_Finance[Ex GST],tbl_Finance[Job Number],C323&amp;""))</f>
        <v/>
      </c>
      <c r="M323" s="27">
        <f>IF(C323="","",SUMIFS(tbl_Finance[Ex GST],tbl_Finance[Job Number],C323&amp;"",tbl_Finance[Xero Invoice No],"&lt;&gt;"))</f>
        <v/>
      </c>
      <c r="N323" s="27">
        <f>IF(C323="","",L323-M323)</f>
        <v/>
      </c>
      <c r="O323" s="24" t="n"/>
      <c r="P323" s="27">
        <f>IF(C323="","",IF(O323="",0,MAX(0,O323-L323)))</f>
        <v/>
      </c>
      <c r="Q323" s="26">
        <f>IF(C323="","",IF(K323=0,"not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R323" s="22" t="n"/>
      <c r="S323" s="26">
        <f>IF(R323="","",HYPERLINK(IF(LEFT(R323,4)="http",R323,set_QwilrBase&amp;R323),"Open quote"))</f>
        <v/>
      </c>
      <c r="T323" s="24" t="n"/>
      <c r="U323" s="24" t="n"/>
      <c r="V323" s="24" t="n"/>
      <c r="W323" s="26">
        <f>IF(C323="","",IF(N(T323)+N(U323)+N(V323)=0,"Not split",IF(ROUND(N(T323)+N(U323)+N(V323),2)=ROUND(L323+P323,2),"OK",IF(K323=0,"Not invoiced yet","MISMATCH"))))</f>
        <v/>
      </c>
      <c r="X323" s="24" t="n"/>
      <c r="Y323" s="24" t="n"/>
      <c r="Z323" s="24" t="n"/>
      <c r="AA323" s="27">
        <f>IF(C323="","",N(X323)+N(Y323)+N(Z323))</f>
        <v/>
      </c>
      <c r="AB323" s="27">
        <f>IF(C323="","",L323+P323-AA323)</f>
        <v/>
      </c>
      <c r="AC323" s="29">
        <f>IFERROR(AB323/(L323+P323),"")</f>
        <v/>
      </c>
      <c r="AD323" s="22" t="n"/>
    </row>
    <row r="324" ht="15" customHeight="1">
      <c r="A324" s="70">
        <f>IF(C324="","",IFERROR(IF(SUMPRODUCT(MAX((tbl_Finance[Job Number]&amp;""=C324&amp;"")*(tbl_Finance[Xero Invoice No]&lt;&gt;"")*tbl_Finance[Date]))=0,"",SUMPRODUCT(MAX((tbl_Finance[Job Number]&amp;""=C324&amp;"")*(tbl_Finance[Xero Invoice No]&lt;&gt;"")*tbl_Finance[Date]))),""))</f>
        <v/>
      </c>
      <c r="B324" s="26">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2" t="n"/>
      <c r="D324" s="26">
        <f>IF(C324="","",IF(COUNTIF(lst_Jobs,C324&amp;"")&gt;0,"OK","CHECK"))</f>
        <v/>
      </c>
      <c r="E324" s="26">
        <f>IF(C324="","",IFERROR(INDEX(lst_JobName,MATCH(C324&amp;"",lst_Jobs,0)),""))</f>
        <v/>
      </c>
      <c r="F324" s="22" t="n"/>
      <c r="G324" s="22" t="n"/>
      <c r="H324" s="22" t="n"/>
      <c r="I324" s="22" t="n"/>
      <c r="J324" s="22" t="n"/>
      <c r="K324" s="28">
        <f>IF(C324="","",COUNTIFS(tbl_Finance[Job Number],C324&amp;"",tbl_Finance[Ex GST],"&lt;&gt;"))</f>
        <v/>
      </c>
      <c r="L324" s="27">
        <f>IF(C324="","",SUMIFS(tbl_Finance[Ex GST],tbl_Finance[Job Number],C324&amp;""))</f>
        <v/>
      </c>
      <c r="M324" s="27">
        <f>IF(C324="","",SUMIFS(tbl_Finance[Ex GST],tbl_Finance[Job Number],C324&amp;"",tbl_Finance[Xero Invoice No],"&lt;&gt;"))</f>
        <v/>
      </c>
      <c r="N324" s="27">
        <f>IF(C324="","",L324-M324)</f>
        <v/>
      </c>
      <c r="O324" s="24" t="n"/>
      <c r="P324" s="27">
        <f>IF(C324="","",IF(O324="",0,MAX(0,O324-L324)))</f>
        <v/>
      </c>
      <c r="Q324" s="26">
        <f>IF(C324="","",IF(K324=0,"not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R324" s="22" t="n"/>
      <c r="S324" s="26">
        <f>IF(R324="","",HYPERLINK(IF(LEFT(R324,4)="http",R324,set_QwilrBase&amp;R324),"Open quote"))</f>
        <v/>
      </c>
      <c r="T324" s="24" t="n"/>
      <c r="U324" s="24" t="n"/>
      <c r="V324" s="24" t="n"/>
      <c r="W324" s="26">
        <f>IF(C324="","",IF(N(T324)+N(U324)+N(V324)=0,"Not split",IF(ROUND(N(T324)+N(U324)+N(V324),2)=ROUND(L324+P324,2),"OK",IF(K324=0,"Not invoiced yet","MISMATCH"))))</f>
        <v/>
      </c>
      <c r="X324" s="24" t="n"/>
      <c r="Y324" s="24" t="n"/>
      <c r="Z324" s="24" t="n"/>
      <c r="AA324" s="27">
        <f>IF(C324="","",N(X324)+N(Y324)+N(Z324))</f>
        <v/>
      </c>
      <c r="AB324" s="27">
        <f>IF(C324="","",L324+P324-AA324)</f>
        <v/>
      </c>
      <c r="AC324" s="29">
        <f>IFERROR(AB324/(L324+P324),"")</f>
        <v/>
      </c>
      <c r="AD324" s="22" t="n"/>
    </row>
    <row r="325" ht="15" customHeight="1">
      <c r="A325" s="70">
        <f>IF(C325="","",IFERROR(IF(SUMPRODUCT(MAX((tbl_Finance[Job Number]&amp;""=C325&amp;"")*(tbl_Finance[Xero Invoice No]&lt;&gt;"")*tbl_Finance[Date]))=0,"",SUMPRODUCT(MAX((tbl_Finance[Job Number]&amp;""=C325&amp;"")*(tbl_Finance[Xero Invoice No]&lt;&gt;"")*tbl_Finance[Date]))),""))</f>
        <v/>
      </c>
      <c r="B325" s="26">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2" t="n"/>
      <c r="D325" s="26">
        <f>IF(C325="","",IF(COUNTIF(lst_Jobs,C325&amp;"")&gt;0,"OK","CHECK"))</f>
        <v/>
      </c>
      <c r="E325" s="26">
        <f>IF(C325="","",IFERROR(INDEX(lst_JobName,MATCH(C325&amp;"",lst_Jobs,0)),""))</f>
        <v/>
      </c>
      <c r="F325" s="22" t="n"/>
      <c r="G325" s="22" t="n"/>
      <c r="H325" s="22" t="n"/>
      <c r="I325" s="22" t="n"/>
      <c r="J325" s="22" t="n"/>
      <c r="K325" s="28">
        <f>IF(C325="","",COUNTIFS(tbl_Finance[Job Number],C325&amp;"",tbl_Finance[Ex GST],"&lt;&gt;"))</f>
        <v/>
      </c>
      <c r="L325" s="27">
        <f>IF(C325="","",SUMIFS(tbl_Finance[Ex GST],tbl_Finance[Job Number],C325&amp;""))</f>
        <v/>
      </c>
      <c r="M325" s="27">
        <f>IF(C325="","",SUMIFS(tbl_Finance[Ex GST],tbl_Finance[Job Number],C325&amp;"",tbl_Finance[Xero Invoice No],"&lt;&gt;"))</f>
        <v/>
      </c>
      <c r="N325" s="27">
        <f>IF(C325="","",L325-M325)</f>
        <v/>
      </c>
      <c r="O325" s="24" t="n"/>
      <c r="P325" s="27">
        <f>IF(C325="","",IF(O325="",0,MAX(0,O325-L325)))</f>
        <v/>
      </c>
      <c r="Q325" s="26">
        <f>IF(C325="","",IF(K325=0,"not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R325" s="22" t="n"/>
      <c r="S325" s="26">
        <f>IF(R325="","",HYPERLINK(IF(LEFT(R325,4)="http",R325,set_QwilrBase&amp;R325),"Open quote"))</f>
        <v/>
      </c>
      <c r="T325" s="24" t="n"/>
      <c r="U325" s="24" t="n"/>
      <c r="V325" s="24" t="n"/>
      <c r="W325" s="26">
        <f>IF(C325="","",IF(N(T325)+N(U325)+N(V325)=0,"Not split",IF(ROUND(N(T325)+N(U325)+N(V325),2)=ROUND(L325+P325,2),"OK",IF(K325=0,"Not invoiced yet","MISMATCH"))))</f>
        <v/>
      </c>
      <c r="X325" s="24" t="n"/>
      <c r="Y325" s="24" t="n"/>
      <c r="Z325" s="24" t="n"/>
      <c r="AA325" s="27">
        <f>IF(C325="","",N(X325)+N(Y325)+N(Z325))</f>
        <v/>
      </c>
      <c r="AB325" s="27">
        <f>IF(C325="","",L325+P325-AA325)</f>
        <v/>
      </c>
      <c r="AC325" s="29">
        <f>IFERROR(AB325/(L325+P325),"")</f>
        <v/>
      </c>
      <c r="AD325" s="22" t="n"/>
    </row>
    <row r="326" ht="15" customHeight="1">
      <c r="A326" s="70">
        <f>IF(C326="","",IFERROR(IF(SUMPRODUCT(MAX((tbl_Finance[Job Number]&amp;""=C326&amp;"")*(tbl_Finance[Xero Invoice No]&lt;&gt;"")*tbl_Finance[Date]))=0,"",SUMPRODUCT(MAX((tbl_Finance[Job Number]&amp;""=C326&amp;"")*(tbl_Finance[Xero Invoice No]&lt;&gt;"")*tbl_Finance[Date]))),""))</f>
        <v/>
      </c>
      <c r="B326" s="26">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2" t="n"/>
      <c r="D326" s="26">
        <f>IF(C326="","",IF(COUNTIF(lst_Jobs,C326&amp;"")&gt;0,"OK","CHECK"))</f>
        <v/>
      </c>
      <c r="E326" s="26">
        <f>IF(C326="","",IFERROR(INDEX(lst_JobName,MATCH(C326&amp;"",lst_Jobs,0)),""))</f>
        <v/>
      </c>
      <c r="F326" s="22" t="n"/>
      <c r="G326" s="22" t="n"/>
      <c r="H326" s="22" t="n"/>
      <c r="I326" s="22" t="n"/>
      <c r="J326" s="22" t="n"/>
      <c r="K326" s="28">
        <f>IF(C326="","",COUNTIFS(tbl_Finance[Job Number],C326&amp;"",tbl_Finance[Ex GST],"&lt;&gt;"))</f>
        <v/>
      </c>
      <c r="L326" s="27">
        <f>IF(C326="","",SUMIFS(tbl_Finance[Ex GST],tbl_Finance[Job Number],C326&amp;""))</f>
        <v/>
      </c>
      <c r="M326" s="27">
        <f>IF(C326="","",SUMIFS(tbl_Finance[Ex GST],tbl_Finance[Job Number],C326&amp;"",tbl_Finance[Xero Invoice No],"&lt;&gt;"))</f>
        <v/>
      </c>
      <c r="N326" s="27">
        <f>IF(C326="","",L326-M326)</f>
        <v/>
      </c>
      <c r="O326" s="24" t="n"/>
      <c r="P326" s="27">
        <f>IF(C326="","",IF(O326="",0,MAX(0,O326-L326)))</f>
        <v/>
      </c>
      <c r="Q326" s="26">
        <f>IF(C326="","",IF(K326=0,"not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R326" s="22" t="n"/>
      <c r="S326" s="26">
        <f>IF(R326="","",HYPERLINK(IF(LEFT(R326,4)="http",R326,set_QwilrBase&amp;R326),"Open quote"))</f>
        <v/>
      </c>
      <c r="T326" s="24" t="n"/>
      <c r="U326" s="24" t="n"/>
      <c r="V326" s="24" t="n"/>
      <c r="W326" s="26">
        <f>IF(C326="","",IF(N(T326)+N(U326)+N(V326)=0,"Not split",IF(ROUND(N(T326)+N(U326)+N(V326),2)=ROUND(L326+P326,2),"OK",IF(K326=0,"Not invoiced yet","MISMATCH"))))</f>
        <v/>
      </c>
      <c r="X326" s="24" t="n"/>
      <c r="Y326" s="24" t="n"/>
      <c r="Z326" s="24" t="n"/>
      <c r="AA326" s="27">
        <f>IF(C326="","",N(X326)+N(Y326)+N(Z326))</f>
        <v/>
      </c>
      <c r="AB326" s="27">
        <f>IF(C326="","",L326+P326-AA326)</f>
        <v/>
      </c>
      <c r="AC326" s="29">
        <f>IFERROR(AB326/(L326+P326),"")</f>
        <v/>
      </c>
      <c r="AD326" s="22" t="n"/>
    </row>
    <row r="327" ht="15" customHeight="1">
      <c r="A327" s="70">
        <f>IF(C327="","",IFERROR(IF(SUMPRODUCT(MAX((tbl_Finance[Job Number]&amp;""=C327&amp;"")*(tbl_Finance[Xero Invoice No]&lt;&gt;"")*tbl_Finance[Date]))=0,"",SUMPRODUCT(MAX((tbl_Finance[Job Number]&amp;""=C327&amp;"")*(tbl_Finance[Xero Invoice No]&lt;&gt;"")*tbl_Finance[Date]))),""))</f>
        <v/>
      </c>
      <c r="B327" s="26">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2" t="n"/>
      <c r="D327" s="26">
        <f>IF(C327="","",IF(COUNTIF(lst_Jobs,C327&amp;"")&gt;0,"OK","CHECK"))</f>
        <v/>
      </c>
      <c r="E327" s="26">
        <f>IF(C327="","",IFERROR(INDEX(lst_JobName,MATCH(C327&amp;"",lst_Jobs,0)),""))</f>
        <v/>
      </c>
      <c r="F327" s="22" t="n"/>
      <c r="G327" s="22" t="n"/>
      <c r="H327" s="22" t="n"/>
      <c r="I327" s="22" t="n"/>
      <c r="J327" s="22" t="n"/>
      <c r="K327" s="28">
        <f>IF(C327="","",COUNTIFS(tbl_Finance[Job Number],C327&amp;"",tbl_Finance[Ex GST],"&lt;&gt;"))</f>
        <v/>
      </c>
      <c r="L327" s="27">
        <f>IF(C327="","",SUMIFS(tbl_Finance[Ex GST],tbl_Finance[Job Number],C327&amp;""))</f>
        <v/>
      </c>
      <c r="M327" s="27">
        <f>IF(C327="","",SUMIFS(tbl_Finance[Ex GST],tbl_Finance[Job Number],C327&amp;"",tbl_Finance[Xero Invoice No],"&lt;&gt;"))</f>
        <v/>
      </c>
      <c r="N327" s="27">
        <f>IF(C327="","",L327-M327)</f>
        <v/>
      </c>
      <c r="O327" s="24" t="n"/>
      <c r="P327" s="27">
        <f>IF(C327="","",IF(O327="",0,MAX(0,O327-L327)))</f>
        <v/>
      </c>
      <c r="Q327" s="26">
        <f>IF(C327="","",IF(K327=0,"not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R327" s="22" t="n"/>
      <c r="S327" s="26">
        <f>IF(R327="","",HYPERLINK(IF(LEFT(R327,4)="http",R327,set_QwilrBase&amp;R327),"Open quote"))</f>
        <v/>
      </c>
      <c r="T327" s="24" t="n"/>
      <c r="U327" s="24" t="n"/>
      <c r="V327" s="24" t="n"/>
      <c r="W327" s="26">
        <f>IF(C327="","",IF(N(T327)+N(U327)+N(V327)=0,"Not split",IF(ROUND(N(T327)+N(U327)+N(V327),2)=ROUND(L327+P327,2),"OK",IF(K327=0,"Not invoiced yet","MISMATCH"))))</f>
        <v/>
      </c>
      <c r="X327" s="24" t="n"/>
      <c r="Y327" s="24" t="n"/>
      <c r="Z327" s="24" t="n"/>
      <c r="AA327" s="27">
        <f>IF(C327="","",N(X327)+N(Y327)+N(Z327))</f>
        <v/>
      </c>
      <c r="AB327" s="27">
        <f>IF(C327="","",L327+P327-AA327)</f>
        <v/>
      </c>
      <c r="AC327" s="29">
        <f>IFERROR(AB327/(L327+P327),"")</f>
        <v/>
      </c>
      <c r="AD327" s="22" t="n"/>
    </row>
    <row r="328" ht="15" customHeight="1">
      <c r="A328" s="70">
        <f>IF(C328="","",IFERROR(IF(SUMPRODUCT(MAX((tbl_Finance[Job Number]&amp;""=C328&amp;"")*(tbl_Finance[Xero Invoice No]&lt;&gt;"")*tbl_Finance[Date]))=0,"",SUMPRODUCT(MAX((tbl_Finance[Job Number]&amp;""=C328&amp;"")*(tbl_Finance[Xero Invoice No]&lt;&gt;"")*tbl_Finance[Date]))),""))</f>
        <v/>
      </c>
      <c r="B328" s="26">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2" t="n"/>
      <c r="D328" s="26">
        <f>IF(C328="","",IF(COUNTIF(lst_Jobs,C328&amp;"")&gt;0,"OK","CHECK"))</f>
        <v/>
      </c>
      <c r="E328" s="26">
        <f>IF(C328="","",IFERROR(INDEX(lst_JobName,MATCH(C328&amp;"",lst_Jobs,0)),""))</f>
        <v/>
      </c>
      <c r="F328" s="22" t="n"/>
      <c r="G328" s="22" t="n"/>
      <c r="H328" s="22" t="n"/>
      <c r="I328" s="22" t="n"/>
      <c r="J328" s="22" t="n"/>
      <c r="K328" s="28">
        <f>IF(C328="","",COUNTIFS(tbl_Finance[Job Number],C328&amp;"",tbl_Finance[Ex GST],"&lt;&gt;"))</f>
        <v/>
      </c>
      <c r="L328" s="27">
        <f>IF(C328="","",SUMIFS(tbl_Finance[Ex GST],tbl_Finance[Job Number],C328&amp;""))</f>
        <v/>
      </c>
      <c r="M328" s="27">
        <f>IF(C328="","",SUMIFS(tbl_Finance[Ex GST],tbl_Finance[Job Number],C328&amp;"",tbl_Finance[Xero Invoice No],"&lt;&gt;"))</f>
        <v/>
      </c>
      <c r="N328" s="27">
        <f>IF(C328="","",L328-M328)</f>
        <v/>
      </c>
      <c r="O328" s="24" t="n"/>
      <c r="P328" s="27">
        <f>IF(C328="","",IF(O328="",0,MAX(0,O328-L328)))</f>
        <v/>
      </c>
      <c r="Q328" s="26">
        <f>IF(C328="","",IF(K328=0,"not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R328" s="22" t="n"/>
      <c r="S328" s="26">
        <f>IF(R328="","",HYPERLINK(IF(LEFT(R328,4)="http",R328,set_QwilrBase&amp;R328),"Open quote"))</f>
        <v/>
      </c>
      <c r="T328" s="24" t="n"/>
      <c r="U328" s="24" t="n"/>
      <c r="V328" s="24" t="n"/>
      <c r="W328" s="26">
        <f>IF(C328="","",IF(N(T328)+N(U328)+N(V328)=0,"Not split",IF(ROUND(N(T328)+N(U328)+N(V328),2)=ROUND(L328+P328,2),"OK",IF(K328=0,"Not invoiced yet","MISMATCH"))))</f>
        <v/>
      </c>
      <c r="X328" s="24" t="n"/>
      <c r="Y328" s="24" t="n"/>
      <c r="Z328" s="24" t="n"/>
      <c r="AA328" s="27">
        <f>IF(C328="","",N(X328)+N(Y328)+N(Z328))</f>
        <v/>
      </c>
      <c r="AB328" s="27">
        <f>IF(C328="","",L328+P328-AA328)</f>
        <v/>
      </c>
      <c r="AC328" s="29">
        <f>IFERROR(AB328/(L328+P328),"")</f>
        <v/>
      </c>
      <c r="AD328" s="22" t="n"/>
    </row>
    <row r="329" ht="15" customHeight="1">
      <c r="A329" s="70">
        <f>IF(C329="","",IFERROR(IF(SUMPRODUCT(MAX((tbl_Finance[Job Number]&amp;""=C329&amp;"")*(tbl_Finance[Xero Invoice No]&lt;&gt;"")*tbl_Finance[Date]))=0,"",SUMPRODUCT(MAX((tbl_Finance[Job Number]&amp;""=C329&amp;"")*(tbl_Finance[Xero Invoice No]&lt;&gt;"")*tbl_Finance[Date]))),""))</f>
        <v/>
      </c>
      <c r="B329" s="26">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2" t="n"/>
      <c r="D329" s="26">
        <f>IF(C329="","",IF(COUNTIF(lst_Jobs,C329&amp;"")&gt;0,"OK","CHECK"))</f>
        <v/>
      </c>
      <c r="E329" s="26">
        <f>IF(C329="","",IFERROR(INDEX(lst_JobName,MATCH(C329&amp;"",lst_Jobs,0)),""))</f>
        <v/>
      </c>
      <c r="F329" s="22" t="n"/>
      <c r="G329" s="22" t="n"/>
      <c r="H329" s="22" t="n"/>
      <c r="I329" s="22" t="n"/>
      <c r="J329" s="22" t="n"/>
      <c r="K329" s="28">
        <f>IF(C329="","",COUNTIFS(tbl_Finance[Job Number],C329&amp;"",tbl_Finance[Ex GST],"&lt;&gt;"))</f>
        <v/>
      </c>
      <c r="L329" s="27">
        <f>IF(C329="","",SUMIFS(tbl_Finance[Ex GST],tbl_Finance[Job Number],C329&amp;""))</f>
        <v/>
      </c>
      <c r="M329" s="27">
        <f>IF(C329="","",SUMIFS(tbl_Finance[Ex GST],tbl_Finance[Job Number],C329&amp;"",tbl_Finance[Xero Invoice No],"&lt;&gt;"))</f>
        <v/>
      </c>
      <c r="N329" s="27">
        <f>IF(C329="","",L329-M329)</f>
        <v/>
      </c>
      <c r="O329" s="24" t="n"/>
      <c r="P329" s="27">
        <f>IF(C329="","",IF(O329="",0,MAX(0,O329-L329)))</f>
        <v/>
      </c>
      <c r="Q329" s="26">
        <f>IF(C329="","",IF(K329=0,"not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R329" s="22" t="n"/>
      <c r="S329" s="26">
        <f>IF(R329="","",HYPERLINK(IF(LEFT(R329,4)="http",R329,set_QwilrBase&amp;R329),"Open quote"))</f>
        <v/>
      </c>
      <c r="T329" s="24" t="n"/>
      <c r="U329" s="24" t="n"/>
      <c r="V329" s="24" t="n"/>
      <c r="W329" s="26">
        <f>IF(C329="","",IF(N(T329)+N(U329)+N(V329)=0,"Not split",IF(ROUND(N(T329)+N(U329)+N(V329),2)=ROUND(L329+P329,2),"OK",IF(K329=0,"Not invoiced yet","MISMATCH"))))</f>
        <v/>
      </c>
      <c r="X329" s="24" t="n"/>
      <c r="Y329" s="24" t="n"/>
      <c r="Z329" s="24" t="n"/>
      <c r="AA329" s="27">
        <f>IF(C329="","",N(X329)+N(Y329)+N(Z329))</f>
        <v/>
      </c>
      <c r="AB329" s="27">
        <f>IF(C329="","",L329+P329-AA329)</f>
        <v/>
      </c>
      <c r="AC329" s="29">
        <f>IFERROR(AB329/(L329+P329),"")</f>
        <v/>
      </c>
      <c r="AD329" s="22" t="n"/>
    </row>
    <row r="330" ht="15" customHeight="1">
      <c r="A330" s="70">
        <f>IF(C330="","",IFERROR(IF(SUMPRODUCT(MAX((tbl_Finance[Job Number]&amp;""=C330&amp;"")*(tbl_Finance[Xero Invoice No]&lt;&gt;"")*tbl_Finance[Date]))=0,"",SUMPRODUCT(MAX((tbl_Finance[Job Number]&amp;""=C330&amp;"")*(tbl_Finance[Xero Invoice No]&lt;&gt;"")*tbl_Finance[Date]))),""))</f>
        <v/>
      </c>
      <c r="B330" s="26">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2" t="n"/>
      <c r="D330" s="26">
        <f>IF(C330="","",IF(COUNTIF(lst_Jobs,C330&amp;"")&gt;0,"OK","CHECK"))</f>
        <v/>
      </c>
      <c r="E330" s="26">
        <f>IF(C330="","",IFERROR(INDEX(lst_JobName,MATCH(C330&amp;"",lst_Jobs,0)),""))</f>
        <v/>
      </c>
      <c r="F330" s="22" t="n"/>
      <c r="G330" s="22" t="n"/>
      <c r="H330" s="22" t="n"/>
      <c r="I330" s="22" t="n"/>
      <c r="J330" s="22" t="n"/>
      <c r="K330" s="28">
        <f>IF(C330="","",COUNTIFS(tbl_Finance[Job Number],C330&amp;"",tbl_Finance[Ex GST],"&lt;&gt;"))</f>
        <v/>
      </c>
      <c r="L330" s="27">
        <f>IF(C330="","",SUMIFS(tbl_Finance[Ex GST],tbl_Finance[Job Number],C330&amp;""))</f>
        <v/>
      </c>
      <c r="M330" s="27">
        <f>IF(C330="","",SUMIFS(tbl_Finance[Ex GST],tbl_Finance[Job Number],C330&amp;"",tbl_Finance[Xero Invoice No],"&lt;&gt;"))</f>
        <v/>
      </c>
      <c r="N330" s="27">
        <f>IF(C330="","",L330-M330)</f>
        <v/>
      </c>
      <c r="O330" s="24" t="n"/>
      <c r="P330" s="27">
        <f>IF(C330="","",IF(O330="",0,MAX(0,O330-L330)))</f>
        <v/>
      </c>
      <c r="Q330" s="26">
        <f>IF(C330="","",IF(K330=0,"not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R330" s="22" t="n"/>
      <c r="S330" s="26">
        <f>IF(R330="","",HYPERLINK(IF(LEFT(R330,4)="http",R330,set_QwilrBase&amp;R330),"Open quote"))</f>
        <v/>
      </c>
      <c r="T330" s="24" t="n"/>
      <c r="U330" s="24" t="n"/>
      <c r="V330" s="24" t="n"/>
      <c r="W330" s="26">
        <f>IF(C330="","",IF(N(T330)+N(U330)+N(V330)=0,"Not split",IF(ROUND(N(T330)+N(U330)+N(V330),2)=ROUND(L330+P330,2),"OK",IF(K330=0,"Not invoiced yet","MISMATCH"))))</f>
        <v/>
      </c>
      <c r="X330" s="24" t="n"/>
      <c r="Y330" s="24" t="n"/>
      <c r="Z330" s="24" t="n"/>
      <c r="AA330" s="27">
        <f>IF(C330="","",N(X330)+N(Y330)+N(Z330))</f>
        <v/>
      </c>
      <c r="AB330" s="27">
        <f>IF(C330="","",L330+P330-AA330)</f>
        <v/>
      </c>
      <c r="AC330" s="29">
        <f>IFERROR(AB330/(L330+P330),"")</f>
        <v/>
      </c>
      <c r="AD330" s="22" t="n"/>
    </row>
    <row r="331" ht="15" customHeight="1">
      <c r="A331" s="70">
        <f>IF(C331="","",IFERROR(IF(SUMPRODUCT(MAX((tbl_Finance[Job Number]&amp;""=C331&amp;"")*(tbl_Finance[Xero Invoice No]&lt;&gt;"")*tbl_Finance[Date]))=0,"",SUMPRODUCT(MAX((tbl_Finance[Job Number]&amp;""=C331&amp;"")*(tbl_Finance[Xero Invoice No]&lt;&gt;"")*tbl_Finance[Date]))),""))</f>
        <v/>
      </c>
      <c r="B331" s="26">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2" t="n"/>
      <c r="D331" s="26">
        <f>IF(C331="","",IF(COUNTIF(lst_Jobs,C331&amp;"")&gt;0,"OK","CHECK"))</f>
        <v/>
      </c>
      <c r="E331" s="26">
        <f>IF(C331="","",IFERROR(INDEX(lst_JobName,MATCH(C331&amp;"",lst_Jobs,0)),""))</f>
        <v/>
      </c>
      <c r="F331" s="22" t="n"/>
      <c r="G331" s="22" t="n"/>
      <c r="H331" s="22" t="n"/>
      <c r="I331" s="22" t="n"/>
      <c r="J331" s="22" t="n"/>
      <c r="K331" s="28">
        <f>IF(C331="","",COUNTIFS(tbl_Finance[Job Number],C331&amp;"",tbl_Finance[Ex GST],"&lt;&gt;"))</f>
        <v/>
      </c>
      <c r="L331" s="27">
        <f>IF(C331="","",SUMIFS(tbl_Finance[Ex GST],tbl_Finance[Job Number],C331&amp;""))</f>
        <v/>
      </c>
      <c r="M331" s="27">
        <f>IF(C331="","",SUMIFS(tbl_Finance[Ex GST],tbl_Finance[Job Number],C331&amp;"",tbl_Finance[Xero Invoice No],"&lt;&gt;"))</f>
        <v/>
      </c>
      <c r="N331" s="27">
        <f>IF(C331="","",L331-M331)</f>
        <v/>
      </c>
      <c r="O331" s="24" t="n"/>
      <c r="P331" s="27">
        <f>IF(C331="","",IF(O331="",0,MAX(0,O331-L331)))</f>
        <v/>
      </c>
      <c r="Q331" s="26">
        <f>IF(C331="","",IF(K331=0,"not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R331" s="22" t="n"/>
      <c r="S331" s="26">
        <f>IF(R331="","",HYPERLINK(IF(LEFT(R331,4)="http",R331,set_QwilrBase&amp;R331),"Open quote"))</f>
        <v/>
      </c>
      <c r="T331" s="24" t="n"/>
      <c r="U331" s="24" t="n"/>
      <c r="V331" s="24" t="n"/>
      <c r="W331" s="26">
        <f>IF(C331="","",IF(N(T331)+N(U331)+N(V331)=0,"Not split",IF(ROUND(N(T331)+N(U331)+N(V331),2)=ROUND(L331+P331,2),"OK",IF(K331=0,"Not invoiced yet","MISMATCH"))))</f>
        <v/>
      </c>
      <c r="X331" s="24" t="n"/>
      <c r="Y331" s="24" t="n"/>
      <c r="Z331" s="24" t="n"/>
      <c r="AA331" s="27">
        <f>IF(C331="","",N(X331)+N(Y331)+N(Z331))</f>
        <v/>
      </c>
      <c r="AB331" s="27">
        <f>IF(C331="","",L331+P331-AA331)</f>
        <v/>
      </c>
      <c r="AC331" s="29">
        <f>IFERROR(AB331/(L331+P331),"")</f>
        <v/>
      </c>
      <c r="AD331" s="22" t="n"/>
    </row>
    <row r="332" ht="15" customHeight="1">
      <c r="A332" s="70">
        <f>IF(C332="","",IFERROR(IF(SUMPRODUCT(MAX((tbl_Finance[Job Number]&amp;""=C332&amp;"")*(tbl_Finance[Xero Invoice No]&lt;&gt;"")*tbl_Finance[Date]))=0,"",SUMPRODUCT(MAX((tbl_Finance[Job Number]&amp;""=C332&amp;"")*(tbl_Finance[Xero Invoice No]&lt;&gt;"")*tbl_Finance[Date]))),""))</f>
        <v/>
      </c>
      <c r="B332" s="26">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2" t="n"/>
      <c r="D332" s="26">
        <f>IF(C332="","",IF(COUNTIF(lst_Jobs,C332&amp;"")&gt;0,"OK","CHECK"))</f>
        <v/>
      </c>
      <c r="E332" s="26">
        <f>IF(C332="","",IFERROR(INDEX(lst_JobName,MATCH(C332&amp;"",lst_Jobs,0)),""))</f>
        <v/>
      </c>
      <c r="F332" s="22" t="n"/>
      <c r="G332" s="22" t="n"/>
      <c r="H332" s="22" t="n"/>
      <c r="I332" s="22" t="n"/>
      <c r="J332" s="22" t="n"/>
      <c r="K332" s="28">
        <f>IF(C332="","",COUNTIFS(tbl_Finance[Job Number],C332&amp;"",tbl_Finance[Ex GST],"&lt;&gt;"))</f>
        <v/>
      </c>
      <c r="L332" s="27">
        <f>IF(C332="","",SUMIFS(tbl_Finance[Ex GST],tbl_Finance[Job Number],C332&amp;""))</f>
        <v/>
      </c>
      <c r="M332" s="27">
        <f>IF(C332="","",SUMIFS(tbl_Finance[Ex GST],tbl_Finance[Job Number],C332&amp;"",tbl_Finance[Xero Invoice No],"&lt;&gt;"))</f>
        <v/>
      </c>
      <c r="N332" s="27">
        <f>IF(C332="","",L332-M332)</f>
        <v/>
      </c>
      <c r="O332" s="24" t="n"/>
      <c r="P332" s="27">
        <f>IF(C332="","",IF(O332="",0,MAX(0,O332-L332)))</f>
        <v/>
      </c>
      <c r="Q332" s="26">
        <f>IF(C332="","",IF(K332=0,"not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R332" s="22" t="n"/>
      <c r="S332" s="26">
        <f>IF(R332="","",HYPERLINK(IF(LEFT(R332,4)="http",R332,set_QwilrBase&amp;R332),"Open quote"))</f>
        <v/>
      </c>
      <c r="T332" s="24" t="n"/>
      <c r="U332" s="24" t="n"/>
      <c r="V332" s="24" t="n"/>
      <c r="W332" s="26">
        <f>IF(C332="","",IF(N(T332)+N(U332)+N(V332)=0,"Not split",IF(ROUND(N(T332)+N(U332)+N(V332),2)=ROUND(L332+P332,2),"OK",IF(K332=0,"Not invoiced yet","MISMATCH"))))</f>
        <v/>
      </c>
      <c r="X332" s="24" t="n"/>
      <c r="Y332" s="24" t="n"/>
      <c r="Z332" s="24" t="n"/>
      <c r="AA332" s="27">
        <f>IF(C332="","",N(X332)+N(Y332)+N(Z332))</f>
        <v/>
      </c>
      <c r="AB332" s="27">
        <f>IF(C332="","",L332+P332-AA332)</f>
        <v/>
      </c>
      <c r="AC332" s="29">
        <f>IFERROR(AB332/(L332+P332),"")</f>
        <v/>
      </c>
      <c r="AD332" s="22" t="n"/>
    </row>
    <row r="333" ht="15" customHeight="1">
      <c r="A333" s="70">
        <f>IF(C333="","",IFERROR(IF(SUMPRODUCT(MAX((tbl_Finance[Job Number]&amp;""=C333&amp;"")*(tbl_Finance[Xero Invoice No]&lt;&gt;"")*tbl_Finance[Date]))=0,"",SUMPRODUCT(MAX((tbl_Finance[Job Number]&amp;""=C333&amp;"")*(tbl_Finance[Xero Invoice No]&lt;&gt;"")*tbl_Finance[Date]))),""))</f>
        <v/>
      </c>
      <c r="B333" s="26">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2" t="n"/>
      <c r="D333" s="26">
        <f>IF(C333="","",IF(COUNTIF(lst_Jobs,C333&amp;"")&gt;0,"OK","CHECK"))</f>
        <v/>
      </c>
      <c r="E333" s="26">
        <f>IF(C333="","",IFERROR(INDEX(lst_JobName,MATCH(C333&amp;"",lst_Jobs,0)),""))</f>
        <v/>
      </c>
      <c r="F333" s="22" t="n"/>
      <c r="G333" s="22" t="n"/>
      <c r="H333" s="22" t="n"/>
      <c r="I333" s="22" t="n"/>
      <c r="J333" s="22" t="n"/>
      <c r="K333" s="28">
        <f>IF(C333="","",COUNTIFS(tbl_Finance[Job Number],C333&amp;"",tbl_Finance[Ex GST],"&lt;&gt;"))</f>
        <v/>
      </c>
      <c r="L333" s="27">
        <f>IF(C333="","",SUMIFS(tbl_Finance[Ex GST],tbl_Finance[Job Number],C333&amp;""))</f>
        <v/>
      </c>
      <c r="M333" s="27">
        <f>IF(C333="","",SUMIFS(tbl_Finance[Ex GST],tbl_Finance[Job Number],C333&amp;"",tbl_Finance[Xero Invoice No],"&lt;&gt;"))</f>
        <v/>
      </c>
      <c r="N333" s="27">
        <f>IF(C333="","",L333-M333)</f>
        <v/>
      </c>
      <c r="O333" s="24" t="n"/>
      <c r="P333" s="27">
        <f>IF(C333="","",IF(O333="",0,MAX(0,O333-L333)))</f>
        <v/>
      </c>
      <c r="Q333" s="26">
        <f>IF(C333="","",IF(K333=0,"not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R333" s="22" t="n"/>
      <c r="S333" s="26">
        <f>IF(R333="","",HYPERLINK(IF(LEFT(R333,4)="http",R333,set_QwilrBase&amp;R333),"Open quote"))</f>
        <v/>
      </c>
      <c r="T333" s="24" t="n"/>
      <c r="U333" s="24" t="n"/>
      <c r="V333" s="24" t="n"/>
      <c r="W333" s="26">
        <f>IF(C333="","",IF(N(T333)+N(U333)+N(V333)=0,"Not split",IF(ROUND(N(T333)+N(U333)+N(V333),2)=ROUND(L333+P333,2),"OK",IF(K333=0,"Not invoiced yet","MISMATCH"))))</f>
        <v/>
      </c>
      <c r="X333" s="24" t="n"/>
      <c r="Y333" s="24" t="n"/>
      <c r="Z333" s="24" t="n"/>
      <c r="AA333" s="27">
        <f>IF(C333="","",N(X333)+N(Y333)+N(Z333))</f>
        <v/>
      </c>
      <c r="AB333" s="27">
        <f>IF(C333="","",L333+P333-AA333)</f>
        <v/>
      </c>
      <c r="AC333" s="29">
        <f>IFERROR(AB333/(L333+P333),"")</f>
        <v/>
      </c>
      <c r="AD333" s="22" t="n"/>
    </row>
    <row r="334" ht="15" customHeight="1">
      <c r="A334" s="70">
        <f>IF(C334="","",IFERROR(IF(SUMPRODUCT(MAX((tbl_Finance[Job Number]&amp;""=C334&amp;"")*(tbl_Finance[Xero Invoice No]&lt;&gt;"")*tbl_Finance[Date]))=0,"",SUMPRODUCT(MAX((tbl_Finance[Job Number]&amp;""=C334&amp;"")*(tbl_Finance[Xero Invoice No]&lt;&gt;"")*tbl_Finance[Date]))),""))</f>
        <v/>
      </c>
      <c r="B334" s="26">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2" t="n"/>
      <c r="D334" s="26">
        <f>IF(C334="","",IF(COUNTIF(lst_Jobs,C334&amp;"")&gt;0,"OK","CHECK"))</f>
        <v/>
      </c>
      <c r="E334" s="26">
        <f>IF(C334="","",IFERROR(INDEX(lst_JobName,MATCH(C334&amp;"",lst_Jobs,0)),""))</f>
        <v/>
      </c>
      <c r="F334" s="22" t="n"/>
      <c r="G334" s="22" t="n"/>
      <c r="H334" s="22" t="n"/>
      <c r="I334" s="22" t="n"/>
      <c r="J334" s="22" t="n"/>
      <c r="K334" s="28">
        <f>IF(C334="","",COUNTIFS(tbl_Finance[Job Number],C334&amp;"",tbl_Finance[Ex GST],"&lt;&gt;"))</f>
        <v/>
      </c>
      <c r="L334" s="27">
        <f>IF(C334="","",SUMIFS(tbl_Finance[Ex GST],tbl_Finance[Job Number],C334&amp;""))</f>
        <v/>
      </c>
      <c r="M334" s="27">
        <f>IF(C334="","",SUMIFS(tbl_Finance[Ex GST],tbl_Finance[Job Number],C334&amp;"",tbl_Finance[Xero Invoice No],"&lt;&gt;"))</f>
        <v/>
      </c>
      <c r="N334" s="27">
        <f>IF(C334="","",L334-M334)</f>
        <v/>
      </c>
      <c r="O334" s="24" t="n"/>
      <c r="P334" s="27">
        <f>IF(C334="","",IF(O334="",0,MAX(0,O334-L334)))</f>
        <v/>
      </c>
      <c r="Q334" s="26">
        <f>IF(C334="","",IF(K334=0,"not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R334" s="22" t="n"/>
      <c r="S334" s="26">
        <f>IF(R334="","",HYPERLINK(IF(LEFT(R334,4)="http",R334,set_QwilrBase&amp;R334),"Open quote"))</f>
        <v/>
      </c>
      <c r="T334" s="24" t="n"/>
      <c r="U334" s="24" t="n"/>
      <c r="V334" s="24" t="n"/>
      <c r="W334" s="26">
        <f>IF(C334="","",IF(N(T334)+N(U334)+N(V334)=0,"Not split",IF(ROUND(N(T334)+N(U334)+N(V334),2)=ROUND(L334+P334,2),"OK",IF(K334=0,"Not invoiced yet","MISMATCH"))))</f>
        <v/>
      </c>
      <c r="X334" s="24" t="n"/>
      <c r="Y334" s="24" t="n"/>
      <c r="Z334" s="24" t="n"/>
      <c r="AA334" s="27">
        <f>IF(C334="","",N(X334)+N(Y334)+N(Z334))</f>
        <v/>
      </c>
      <c r="AB334" s="27">
        <f>IF(C334="","",L334+P334-AA334)</f>
        <v/>
      </c>
      <c r="AC334" s="29">
        <f>IFERROR(AB334/(L334+P334),"")</f>
        <v/>
      </c>
      <c r="AD334" s="22" t="n"/>
    </row>
    <row r="335" ht="15" customHeight="1">
      <c r="A335" s="70">
        <f>IF(C335="","",IFERROR(IF(SUMPRODUCT(MAX((tbl_Finance[Job Number]&amp;""=C335&amp;"")*(tbl_Finance[Xero Invoice No]&lt;&gt;"")*tbl_Finance[Date]))=0,"",SUMPRODUCT(MAX((tbl_Finance[Job Number]&amp;""=C335&amp;"")*(tbl_Finance[Xero Invoice No]&lt;&gt;"")*tbl_Finance[Date]))),""))</f>
        <v/>
      </c>
      <c r="B335" s="26">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2" t="n"/>
      <c r="D335" s="26">
        <f>IF(C335="","",IF(COUNTIF(lst_Jobs,C335&amp;"")&gt;0,"OK","CHECK"))</f>
        <v/>
      </c>
      <c r="E335" s="26">
        <f>IF(C335="","",IFERROR(INDEX(lst_JobName,MATCH(C335&amp;"",lst_Jobs,0)),""))</f>
        <v/>
      </c>
      <c r="F335" s="22" t="n"/>
      <c r="G335" s="22" t="n"/>
      <c r="H335" s="22" t="n"/>
      <c r="I335" s="22" t="n"/>
      <c r="J335" s="22" t="n"/>
      <c r="K335" s="28">
        <f>IF(C335="","",COUNTIFS(tbl_Finance[Job Number],C335&amp;"",tbl_Finance[Ex GST],"&lt;&gt;"))</f>
        <v/>
      </c>
      <c r="L335" s="27">
        <f>IF(C335="","",SUMIFS(tbl_Finance[Ex GST],tbl_Finance[Job Number],C335&amp;""))</f>
        <v/>
      </c>
      <c r="M335" s="27">
        <f>IF(C335="","",SUMIFS(tbl_Finance[Ex GST],tbl_Finance[Job Number],C335&amp;"",tbl_Finance[Xero Invoice No],"&lt;&gt;"))</f>
        <v/>
      </c>
      <c r="N335" s="27">
        <f>IF(C335="","",L335-M335)</f>
        <v/>
      </c>
      <c r="O335" s="24" t="n"/>
      <c r="P335" s="27">
        <f>IF(C335="","",IF(O335="",0,MAX(0,O335-L335)))</f>
        <v/>
      </c>
      <c r="Q335" s="26">
        <f>IF(C335="","",IF(K335=0,"not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R335" s="22" t="n"/>
      <c r="S335" s="26">
        <f>IF(R335="","",HYPERLINK(IF(LEFT(R335,4)="http",R335,set_QwilrBase&amp;R335),"Open quote"))</f>
        <v/>
      </c>
      <c r="T335" s="24" t="n"/>
      <c r="U335" s="24" t="n"/>
      <c r="V335" s="24" t="n"/>
      <c r="W335" s="26">
        <f>IF(C335="","",IF(N(T335)+N(U335)+N(V335)=0,"Not split",IF(ROUND(N(T335)+N(U335)+N(V335),2)=ROUND(L335+P335,2),"OK",IF(K335=0,"Not invoiced yet","MISMATCH"))))</f>
        <v/>
      </c>
      <c r="X335" s="24" t="n"/>
      <c r="Y335" s="24" t="n"/>
      <c r="Z335" s="24" t="n"/>
      <c r="AA335" s="27">
        <f>IF(C335="","",N(X335)+N(Y335)+N(Z335))</f>
        <v/>
      </c>
      <c r="AB335" s="27">
        <f>IF(C335="","",L335+P335-AA335)</f>
        <v/>
      </c>
      <c r="AC335" s="29">
        <f>IFERROR(AB335/(L335+P335),"")</f>
        <v/>
      </c>
      <c r="AD335" s="22" t="n"/>
    </row>
    <row r="336" ht="15" customHeight="1">
      <c r="A336" s="70">
        <f>IF(C336="","",IFERROR(IF(SUMPRODUCT(MAX((tbl_Finance[Job Number]&amp;""=C336&amp;"")*(tbl_Finance[Xero Invoice No]&lt;&gt;"")*tbl_Finance[Date]))=0,"",SUMPRODUCT(MAX((tbl_Finance[Job Number]&amp;""=C336&amp;"")*(tbl_Finance[Xero Invoice No]&lt;&gt;"")*tbl_Finance[Date]))),""))</f>
        <v/>
      </c>
      <c r="B336" s="26">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2" t="n"/>
      <c r="D336" s="26">
        <f>IF(C336="","",IF(COUNTIF(lst_Jobs,C336&amp;"")&gt;0,"OK","CHECK"))</f>
        <v/>
      </c>
      <c r="E336" s="26">
        <f>IF(C336="","",IFERROR(INDEX(lst_JobName,MATCH(C336&amp;"",lst_Jobs,0)),""))</f>
        <v/>
      </c>
      <c r="F336" s="22" t="n"/>
      <c r="G336" s="22" t="n"/>
      <c r="H336" s="22" t="n"/>
      <c r="I336" s="22" t="n"/>
      <c r="J336" s="22" t="n"/>
      <c r="K336" s="28">
        <f>IF(C336="","",COUNTIFS(tbl_Finance[Job Number],C336&amp;"",tbl_Finance[Ex GST],"&lt;&gt;"))</f>
        <v/>
      </c>
      <c r="L336" s="27">
        <f>IF(C336="","",SUMIFS(tbl_Finance[Ex GST],tbl_Finance[Job Number],C336&amp;""))</f>
        <v/>
      </c>
      <c r="M336" s="27">
        <f>IF(C336="","",SUMIFS(tbl_Finance[Ex GST],tbl_Finance[Job Number],C336&amp;"",tbl_Finance[Xero Invoice No],"&lt;&gt;"))</f>
        <v/>
      </c>
      <c r="N336" s="27">
        <f>IF(C336="","",L336-M336)</f>
        <v/>
      </c>
      <c r="O336" s="24" t="n"/>
      <c r="P336" s="27">
        <f>IF(C336="","",IF(O336="",0,MAX(0,O336-L336)))</f>
        <v/>
      </c>
      <c r="Q336" s="26">
        <f>IF(C336="","",IF(K336=0,"not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R336" s="22" t="n"/>
      <c r="S336" s="26">
        <f>IF(R336="","",HYPERLINK(IF(LEFT(R336,4)="http",R336,set_QwilrBase&amp;R336),"Open quote"))</f>
        <v/>
      </c>
      <c r="T336" s="24" t="n"/>
      <c r="U336" s="24" t="n"/>
      <c r="V336" s="24" t="n"/>
      <c r="W336" s="26">
        <f>IF(C336="","",IF(N(T336)+N(U336)+N(V336)=0,"Not split",IF(ROUND(N(T336)+N(U336)+N(V336),2)=ROUND(L336+P336,2),"OK",IF(K336=0,"Not invoiced yet","MISMATCH"))))</f>
        <v/>
      </c>
      <c r="X336" s="24" t="n"/>
      <c r="Y336" s="24" t="n"/>
      <c r="Z336" s="24" t="n"/>
      <c r="AA336" s="27">
        <f>IF(C336="","",N(X336)+N(Y336)+N(Z336))</f>
        <v/>
      </c>
      <c r="AB336" s="27">
        <f>IF(C336="","",L336+P336-AA336)</f>
        <v/>
      </c>
      <c r="AC336" s="29">
        <f>IFERROR(AB336/(L336+P336),"")</f>
        <v/>
      </c>
      <c r="AD336" s="22" t="n"/>
    </row>
    <row r="337" ht="15" customHeight="1">
      <c r="A337" s="70">
        <f>IF(C337="","",IFERROR(IF(SUMPRODUCT(MAX((tbl_Finance[Job Number]&amp;""=C337&amp;"")*(tbl_Finance[Xero Invoice No]&lt;&gt;"")*tbl_Finance[Date]))=0,"",SUMPRODUCT(MAX((tbl_Finance[Job Number]&amp;""=C337&amp;"")*(tbl_Finance[Xero Invoice No]&lt;&gt;"")*tbl_Finance[Date]))),""))</f>
        <v/>
      </c>
      <c r="B337" s="26">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2" t="n"/>
      <c r="D337" s="26">
        <f>IF(C337="","",IF(COUNTIF(lst_Jobs,C337&amp;"")&gt;0,"OK","CHECK"))</f>
        <v/>
      </c>
      <c r="E337" s="26">
        <f>IF(C337="","",IFERROR(INDEX(lst_JobName,MATCH(C337&amp;"",lst_Jobs,0)),""))</f>
        <v/>
      </c>
      <c r="F337" s="22" t="n"/>
      <c r="G337" s="22" t="n"/>
      <c r="H337" s="22" t="n"/>
      <c r="I337" s="22" t="n"/>
      <c r="J337" s="22" t="n"/>
      <c r="K337" s="28">
        <f>IF(C337="","",COUNTIFS(tbl_Finance[Job Number],C337&amp;"",tbl_Finance[Ex GST],"&lt;&gt;"))</f>
        <v/>
      </c>
      <c r="L337" s="27">
        <f>IF(C337="","",SUMIFS(tbl_Finance[Ex GST],tbl_Finance[Job Number],C337&amp;""))</f>
        <v/>
      </c>
      <c r="M337" s="27">
        <f>IF(C337="","",SUMIFS(tbl_Finance[Ex GST],tbl_Finance[Job Number],C337&amp;"",tbl_Finance[Xero Invoice No],"&lt;&gt;"))</f>
        <v/>
      </c>
      <c r="N337" s="27">
        <f>IF(C337="","",L337-M337)</f>
        <v/>
      </c>
      <c r="O337" s="24" t="n"/>
      <c r="P337" s="27">
        <f>IF(C337="","",IF(O337="",0,MAX(0,O337-L337)))</f>
        <v/>
      </c>
      <c r="Q337" s="26">
        <f>IF(C337="","",IF(K337=0,"not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R337" s="22" t="n"/>
      <c r="S337" s="26">
        <f>IF(R337="","",HYPERLINK(IF(LEFT(R337,4)="http",R337,set_QwilrBase&amp;R337),"Open quote"))</f>
        <v/>
      </c>
      <c r="T337" s="24" t="n"/>
      <c r="U337" s="24" t="n"/>
      <c r="V337" s="24" t="n"/>
      <c r="W337" s="26">
        <f>IF(C337="","",IF(N(T337)+N(U337)+N(V337)=0,"Not split",IF(ROUND(N(T337)+N(U337)+N(V337),2)=ROUND(L337+P337,2),"OK",IF(K337=0,"Not invoiced yet","MISMATCH"))))</f>
        <v/>
      </c>
      <c r="X337" s="24" t="n"/>
      <c r="Y337" s="24" t="n"/>
      <c r="Z337" s="24" t="n"/>
      <c r="AA337" s="27">
        <f>IF(C337="","",N(X337)+N(Y337)+N(Z337))</f>
        <v/>
      </c>
      <c r="AB337" s="27">
        <f>IF(C337="","",L337+P337-AA337)</f>
        <v/>
      </c>
      <c r="AC337" s="29">
        <f>IFERROR(AB337/(L337+P337),"")</f>
        <v/>
      </c>
      <c r="AD337" s="22" t="n"/>
    </row>
    <row r="338" ht="15" customHeight="1">
      <c r="A338" s="70">
        <f>IF(C338="","",IFERROR(IF(SUMPRODUCT(MAX((tbl_Finance[Job Number]&amp;""=C338&amp;"")*(tbl_Finance[Xero Invoice No]&lt;&gt;"")*tbl_Finance[Date]))=0,"",SUMPRODUCT(MAX((tbl_Finance[Job Number]&amp;""=C338&amp;"")*(tbl_Finance[Xero Invoice No]&lt;&gt;"")*tbl_Finance[Date]))),""))</f>
        <v/>
      </c>
      <c r="B338" s="26">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2" t="n"/>
      <c r="D338" s="26">
        <f>IF(C338="","",IF(COUNTIF(lst_Jobs,C338&amp;"")&gt;0,"OK","CHECK"))</f>
        <v/>
      </c>
      <c r="E338" s="26">
        <f>IF(C338="","",IFERROR(INDEX(lst_JobName,MATCH(C338&amp;"",lst_Jobs,0)),""))</f>
        <v/>
      </c>
      <c r="F338" s="22" t="n"/>
      <c r="G338" s="22" t="n"/>
      <c r="H338" s="22" t="n"/>
      <c r="I338" s="22" t="n"/>
      <c r="J338" s="22" t="n"/>
      <c r="K338" s="28">
        <f>IF(C338="","",COUNTIFS(tbl_Finance[Job Number],C338&amp;"",tbl_Finance[Ex GST],"&lt;&gt;"))</f>
        <v/>
      </c>
      <c r="L338" s="27">
        <f>IF(C338="","",SUMIFS(tbl_Finance[Ex GST],tbl_Finance[Job Number],C338&amp;""))</f>
        <v/>
      </c>
      <c r="M338" s="27">
        <f>IF(C338="","",SUMIFS(tbl_Finance[Ex GST],tbl_Finance[Job Number],C338&amp;"",tbl_Finance[Xero Invoice No],"&lt;&gt;"))</f>
        <v/>
      </c>
      <c r="N338" s="27">
        <f>IF(C338="","",L338-M338)</f>
        <v/>
      </c>
      <c r="O338" s="24" t="n"/>
      <c r="P338" s="27">
        <f>IF(C338="","",IF(O338="",0,MAX(0,O338-L338)))</f>
        <v/>
      </c>
      <c r="Q338" s="26">
        <f>IF(C338="","",IF(K338=0,"not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R338" s="22" t="n"/>
      <c r="S338" s="26">
        <f>IF(R338="","",HYPERLINK(IF(LEFT(R338,4)="http",R338,set_QwilrBase&amp;R338),"Open quote"))</f>
        <v/>
      </c>
      <c r="T338" s="24" t="n"/>
      <c r="U338" s="24" t="n"/>
      <c r="V338" s="24" t="n"/>
      <c r="W338" s="26">
        <f>IF(C338="","",IF(N(T338)+N(U338)+N(V338)=0,"Not split",IF(ROUND(N(T338)+N(U338)+N(V338),2)=ROUND(L338+P338,2),"OK",IF(K338=0,"Not invoiced yet","MISMATCH"))))</f>
        <v/>
      </c>
      <c r="X338" s="24" t="n"/>
      <c r="Y338" s="24" t="n"/>
      <c r="Z338" s="24" t="n"/>
      <c r="AA338" s="27">
        <f>IF(C338="","",N(X338)+N(Y338)+N(Z338))</f>
        <v/>
      </c>
      <c r="AB338" s="27">
        <f>IF(C338="","",L338+P338-AA338)</f>
        <v/>
      </c>
      <c r="AC338" s="29">
        <f>IFERROR(AB338/(L338+P338),"")</f>
        <v/>
      </c>
      <c r="AD338" s="22" t="n"/>
    </row>
    <row r="339" ht="15" customHeight="1">
      <c r="A339" s="70">
        <f>IF(C339="","",IFERROR(IF(SUMPRODUCT(MAX((tbl_Finance[Job Number]&amp;""=C339&amp;"")*(tbl_Finance[Xero Invoice No]&lt;&gt;"")*tbl_Finance[Date]))=0,"",SUMPRODUCT(MAX((tbl_Finance[Job Number]&amp;""=C339&amp;"")*(tbl_Finance[Xero Invoice No]&lt;&gt;"")*tbl_Finance[Date]))),""))</f>
        <v/>
      </c>
      <c r="B339" s="26">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2" t="n"/>
      <c r="D339" s="26">
        <f>IF(C339="","",IF(COUNTIF(lst_Jobs,C339&amp;"")&gt;0,"OK","CHECK"))</f>
        <v/>
      </c>
      <c r="E339" s="26">
        <f>IF(C339="","",IFERROR(INDEX(lst_JobName,MATCH(C339&amp;"",lst_Jobs,0)),""))</f>
        <v/>
      </c>
      <c r="F339" s="22" t="n"/>
      <c r="G339" s="22" t="n"/>
      <c r="H339" s="22" t="n"/>
      <c r="I339" s="22" t="n"/>
      <c r="J339" s="22" t="n"/>
      <c r="K339" s="28">
        <f>IF(C339="","",COUNTIFS(tbl_Finance[Job Number],C339&amp;"",tbl_Finance[Ex GST],"&lt;&gt;"))</f>
        <v/>
      </c>
      <c r="L339" s="27">
        <f>IF(C339="","",SUMIFS(tbl_Finance[Ex GST],tbl_Finance[Job Number],C339&amp;""))</f>
        <v/>
      </c>
      <c r="M339" s="27">
        <f>IF(C339="","",SUMIFS(tbl_Finance[Ex GST],tbl_Finance[Job Number],C339&amp;"",tbl_Finance[Xero Invoice No],"&lt;&gt;"))</f>
        <v/>
      </c>
      <c r="N339" s="27">
        <f>IF(C339="","",L339-M339)</f>
        <v/>
      </c>
      <c r="O339" s="24" t="n"/>
      <c r="P339" s="27">
        <f>IF(C339="","",IF(O339="",0,MAX(0,O339-L339)))</f>
        <v/>
      </c>
      <c r="Q339" s="26">
        <f>IF(C339="","",IF(K339=0,"not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R339" s="22" t="n"/>
      <c r="S339" s="26">
        <f>IF(R339="","",HYPERLINK(IF(LEFT(R339,4)="http",R339,set_QwilrBase&amp;R339),"Open quote"))</f>
        <v/>
      </c>
      <c r="T339" s="24" t="n"/>
      <c r="U339" s="24" t="n"/>
      <c r="V339" s="24" t="n"/>
      <c r="W339" s="26">
        <f>IF(C339="","",IF(N(T339)+N(U339)+N(V339)=0,"Not split",IF(ROUND(N(T339)+N(U339)+N(V339),2)=ROUND(L339+P339,2),"OK",IF(K339=0,"Not invoiced yet","MISMATCH"))))</f>
        <v/>
      </c>
      <c r="X339" s="24" t="n"/>
      <c r="Y339" s="24" t="n"/>
      <c r="Z339" s="24" t="n"/>
      <c r="AA339" s="27">
        <f>IF(C339="","",N(X339)+N(Y339)+N(Z339))</f>
        <v/>
      </c>
      <c r="AB339" s="27">
        <f>IF(C339="","",L339+P339-AA339)</f>
        <v/>
      </c>
      <c r="AC339" s="29">
        <f>IFERROR(AB339/(L339+P339),"")</f>
        <v/>
      </c>
      <c r="AD339" s="22" t="n"/>
    </row>
    <row r="340" ht="15" customHeight="1">
      <c r="A340" s="70">
        <f>IF(C340="","",IFERROR(IF(SUMPRODUCT(MAX((tbl_Finance[Job Number]&amp;""=C340&amp;"")*(tbl_Finance[Xero Invoice No]&lt;&gt;"")*tbl_Finance[Date]))=0,"",SUMPRODUCT(MAX((tbl_Finance[Job Number]&amp;""=C340&amp;"")*(tbl_Finance[Xero Invoice No]&lt;&gt;"")*tbl_Finance[Date]))),""))</f>
        <v/>
      </c>
      <c r="B340" s="26">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2" t="n"/>
      <c r="D340" s="26">
        <f>IF(C340="","",IF(COUNTIF(lst_Jobs,C340&amp;"")&gt;0,"OK","CHECK"))</f>
        <v/>
      </c>
      <c r="E340" s="26">
        <f>IF(C340="","",IFERROR(INDEX(lst_JobName,MATCH(C340&amp;"",lst_Jobs,0)),""))</f>
        <v/>
      </c>
      <c r="F340" s="22" t="n"/>
      <c r="G340" s="22" t="n"/>
      <c r="H340" s="22" t="n"/>
      <c r="I340" s="22" t="n"/>
      <c r="J340" s="22" t="n"/>
      <c r="K340" s="28">
        <f>IF(C340="","",COUNTIFS(tbl_Finance[Job Number],C340&amp;"",tbl_Finance[Ex GST],"&lt;&gt;"))</f>
        <v/>
      </c>
      <c r="L340" s="27">
        <f>IF(C340="","",SUMIFS(tbl_Finance[Ex GST],tbl_Finance[Job Number],C340&amp;""))</f>
        <v/>
      </c>
      <c r="M340" s="27">
        <f>IF(C340="","",SUMIFS(tbl_Finance[Ex GST],tbl_Finance[Job Number],C340&amp;"",tbl_Finance[Xero Invoice No],"&lt;&gt;"))</f>
        <v/>
      </c>
      <c r="N340" s="27">
        <f>IF(C340="","",L340-M340)</f>
        <v/>
      </c>
      <c r="O340" s="24" t="n"/>
      <c r="P340" s="27">
        <f>IF(C340="","",IF(O340="",0,MAX(0,O340-L340)))</f>
        <v/>
      </c>
      <c r="Q340" s="26">
        <f>IF(C340="","",IF(K340=0,"not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R340" s="22" t="n"/>
      <c r="S340" s="26">
        <f>IF(R340="","",HYPERLINK(IF(LEFT(R340,4)="http",R340,set_QwilrBase&amp;R340),"Open quote"))</f>
        <v/>
      </c>
      <c r="T340" s="24" t="n"/>
      <c r="U340" s="24" t="n"/>
      <c r="V340" s="24" t="n"/>
      <c r="W340" s="26">
        <f>IF(C340="","",IF(N(T340)+N(U340)+N(V340)=0,"Not split",IF(ROUND(N(T340)+N(U340)+N(V340),2)=ROUND(L340+P340,2),"OK",IF(K340=0,"Not invoiced yet","MISMATCH"))))</f>
        <v/>
      </c>
      <c r="X340" s="24" t="n"/>
      <c r="Y340" s="24" t="n"/>
      <c r="Z340" s="24" t="n"/>
      <c r="AA340" s="27">
        <f>IF(C340="","",N(X340)+N(Y340)+N(Z340))</f>
        <v/>
      </c>
      <c r="AB340" s="27">
        <f>IF(C340="","",L340+P340-AA340)</f>
        <v/>
      </c>
      <c r="AC340" s="29">
        <f>IFERROR(AB340/(L340+P340),"")</f>
        <v/>
      </c>
      <c r="AD340" s="22" t="n"/>
    </row>
    <row r="341" ht="15" customHeight="1">
      <c r="A341" s="70">
        <f>IF(C341="","",IFERROR(IF(SUMPRODUCT(MAX((tbl_Finance[Job Number]&amp;""=C341&amp;"")*(tbl_Finance[Xero Invoice No]&lt;&gt;"")*tbl_Finance[Date]))=0,"",SUMPRODUCT(MAX((tbl_Finance[Job Number]&amp;""=C341&amp;"")*(tbl_Finance[Xero Invoice No]&lt;&gt;"")*tbl_Finance[Date]))),""))</f>
        <v/>
      </c>
      <c r="B341" s="26">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2" t="n"/>
      <c r="D341" s="26">
        <f>IF(C341="","",IF(COUNTIF(lst_Jobs,C341&amp;"")&gt;0,"OK","CHECK"))</f>
        <v/>
      </c>
      <c r="E341" s="26">
        <f>IF(C341="","",IFERROR(INDEX(lst_JobName,MATCH(C341&amp;"",lst_Jobs,0)),""))</f>
        <v/>
      </c>
      <c r="F341" s="22" t="n"/>
      <c r="G341" s="22" t="n"/>
      <c r="H341" s="22" t="n"/>
      <c r="I341" s="22" t="n"/>
      <c r="J341" s="22" t="n"/>
      <c r="K341" s="28">
        <f>IF(C341="","",COUNTIFS(tbl_Finance[Job Number],C341&amp;"",tbl_Finance[Ex GST],"&lt;&gt;"))</f>
        <v/>
      </c>
      <c r="L341" s="27">
        <f>IF(C341="","",SUMIFS(tbl_Finance[Ex GST],tbl_Finance[Job Number],C341&amp;""))</f>
        <v/>
      </c>
      <c r="M341" s="27">
        <f>IF(C341="","",SUMIFS(tbl_Finance[Ex GST],tbl_Finance[Job Number],C341&amp;"",tbl_Finance[Xero Invoice No],"&lt;&gt;"))</f>
        <v/>
      </c>
      <c r="N341" s="27">
        <f>IF(C341="","",L341-M341)</f>
        <v/>
      </c>
      <c r="O341" s="24" t="n"/>
      <c r="P341" s="27">
        <f>IF(C341="","",IF(O341="",0,MAX(0,O341-L341)))</f>
        <v/>
      </c>
      <c r="Q341" s="26">
        <f>IF(C341="","",IF(K341=0,"not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R341" s="22" t="n"/>
      <c r="S341" s="26">
        <f>IF(R341="","",HYPERLINK(IF(LEFT(R341,4)="http",R341,set_QwilrBase&amp;R341),"Open quote"))</f>
        <v/>
      </c>
      <c r="T341" s="24" t="n"/>
      <c r="U341" s="24" t="n"/>
      <c r="V341" s="24" t="n"/>
      <c r="W341" s="26">
        <f>IF(C341="","",IF(N(T341)+N(U341)+N(V341)=0,"Not split",IF(ROUND(N(T341)+N(U341)+N(V341),2)=ROUND(L341+P341,2),"OK",IF(K341=0,"Not invoiced yet","MISMATCH"))))</f>
        <v/>
      </c>
      <c r="X341" s="24" t="n"/>
      <c r="Y341" s="24" t="n"/>
      <c r="Z341" s="24" t="n"/>
      <c r="AA341" s="27">
        <f>IF(C341="","",N(X341)+N(Y341)+N(Z341))</f>
        <v/>
      </c>
      <c r="AB341" s="27">
        <f>IF(C341="","",L341+P341-AA341)</f>
        <v/>
      </c>
      <c r="AC341" s="29">
        <f>IFERROR(AB341/(L341+P341),"")</f>
        <v/>
      </c>
      <c r="AD341" s="22" t="n"/>
    </row>
    <row r="342" ht="15" customHeight="1">
      <c r="A342" s="70">
        <f>IF(C342="","",IFERROR(IF(SUMPRODUCT(MAX((tbl_Finance[Job Number]&amp;""=C342&amp;"")*(tbl_Finance[Xero Invoice No]&lt;&gt;"")*tbl_Finance[Date]))=0,"",SUMPRODUCT(MAX((tbl_Finance[Job Number]&amp;""=C342&amp;"")*(tbl_Finance[Xero Invoice No]&lt;&gt;"")*tbl_Finance[Date]))),""))</f>
        <v/>
      </c>
      <c r="B342" s="26">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2" t="n"/>
      <c r="D342" s="26">
        <f>IF(C342="","",IF(COUNTIF(lst_Jobs,C342&amp;"")&gt;0,"OK","CHECK"))</f>
        <v/>
      </c>
      <c r="E342" s="26">
        <f>IF(C342="","",IFERROR(INDEX(lst_JobName,MATCH(C342&amp;"",lst_Jobs,0)),""))</f>
        <v/>
      </c>
      <c r="F342" s="22" t="n"/>
      <c r="G342" s="22" t="n"/>
      <c r="H342" s="22" t="n"/>
      <c r="I342" s="22" t="n"/>
      <c r="J342" s="22" t="n"/>
      <c r="K342" s="28">
        <f>IF(C342="","",COUNTIFS(tbl_Finance[Job Number],C342&amp;"",tbl_Finance[Ex GST],"&lt;&gt;"))</f>
        <v/>
      </c>
      <c r="L342" s="27">
        <f>IF(C342="","",SUMIFS(tbl_Finance[Ex GST],tbl_Finance[Job Number],C342&amp;""))</f>
        <v/>
      </c>
      <c r="M342" s="27">
        <f>IF(C342="","",SUMIFS(tbl_Finance[Ex GST],tbl_Finance[Job Number],C342&amp;"",tbl_Finance[Xero Invoice No],"&lt;&gt;"))</f>
        <v/>
      </c>
      <c r="N342" s="27">
        <f>IF(C342="","",L342-M342)</f>
        <v/>
      </c>
      <c r="O342" s="24" t="n"/>
      <c r="P342" s="27">
        <f>IF(C342="","",IF(O342="",0,MAX(0,O342-L342)))</f>
        <v/>
      </c>
      <c r="Q342" s="26">
        <f>IF(C342="","",IF(K342=0,"not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R342" s="22" t="n"/>
      <c r="S342" s="26">
        <f>IF(R342="","",HYPERLINK(IF(LEFT(R342,4)="http",R342,set_QwilrBase&amp;R342),"Open quote"))</f>
        <v/>
      </c>
      <c r="T342" s="24" t="n"/>
      <c r="U342" s="24" t="n"/>
      <c r="V342" s="24" t="n"/>
      <c r="W342" s="26">
        <f>IF(C342="","",IF(N(T342)+N(U342)+N(V342)=0,"Not split",IF(ROUND(N(T342)+N(U342)+N(V342),2)=ROUND(L342+P342,2),"OK",IF(K342=0,"Not invoiced yet","MISMATCH"))))</f>
        <v/>
      </c>
      <c r="X342" s="24" t="n"/>
      <c r="Y342" s="24" t="n"/>
      <c r="Z342" s="24" t="n"/>
      <c r="AA342" s="27">
        <f>IF(C342="","",N(X342)+N(Y342)+N(Z342))</f>
        <v/>
      </c>
      <c r="AB342" s="27">
        <f>IF(C342="","",L342+P342-AA342)</f>
        <v/>
      </c>
      <c r="AC342" s="29">
        <f>IFERROR(AB342/(L342+P342),"")</f>
        <v/>
      </c>
      <c r="AD342" s="22" t="n"/>
    </row>
    <row r="343" ht="15" customHeight="1">
      <c r="A343" s="70">
        <f>IF(C343="","",IFERROR(IF(SUMPRODUCT(MAX((tbl_Finance[Job Number]&amp;""=C343&amp;"")*(tbl_Finance[Xero Invoice No]&lt;&gt;"")*tbl_Finance[Date]))=0,"",SUMPRODUCT(MAX((tbl_Finance[Job Number]&amp;""=C343&amp;"")*(tbl_Finance[Xero Invoice No]&lt;&gt;"")*tbl_Finance[Date]))),""))</f>
        <v/>
      </c>
      <c r="B343" s="26">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2" t="n"/>
      <c r="D343" s="26">
        <f>IF(C343="","",IF(COUNTIF(lst_Jobs,C343&amp;"")&gt;0,"OK","CHECK"))</f>
        <v/>
      </c>
      <c r="E343" s="26">
        <f>IF(C343="","",IFERROR(INDEX(lst_JobName,MATCH(C343&amp;"",lst_Jobs,0)),""))</f>
        <v/>
      </c>
      <c r="F343" s="22" t="n"/>
      <c r="G343" s="22" t="n"/>
      <c r="H343" s="22" t="n"/>
      <c r="I343" s="22" t="n"/>
      <c r="J343" s="22" t="n"/>
      <c r="K343" s="28">
        <f>IF(C343="","",COUNTIFS(tbl_Finance[Job Number],C343&amp;"",tbl_Finance[Ex GST],"&lt;&gt;"))</f>
        <v/>
      </c>
      <c r="L343" s="27">
        <f>IF(C343="","",SUMIFS(tbl_Finance[Ex GST],tbl_Finance[Job Number],C343&amp;""))</f>
        <v/>
      </c>
      <c r="M343" s="27">
        <f>IF(C343="","",SUMIFS(tbl_Finance[Ex GST],tbl_Finance[Job Number],C343&amp;"",tbl_Finance[Xero Invoice No],"&lt;&gt;"))</f>
        <v/>
      </c>
      <c r="N343" s="27">
        <f>IF(C343="","",L343-M343)</f>
        <v/>
      </c>
      <c r="O343" s="24" t="n"/>
      <c r="P343" s="27">
        <f>IF(C343="","",IF(O343="",0,MAX(0,O343-L343)))</f>
        <v/>
      </c>
      <c r="Q343" s="26">
        <f>IF(C343="","",IF(K343=0,"not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R343" s="22" t="n"/>
      <c r="S343" s="26">
        <f>IF(R343="","",HYPERLINK(IF(LEFT(R343,4)="http",R343,set_QwilrBase&amp;R343),"Open quote"))</f>
        <v/>
      </c>
      <c r="T343" s="24" t="n"/>
      <c r="U343" s="24" t="n"/>
      <c r="V343" s="24" t="n"/>
      <c r="W343" s="26">
        <f>IF(C343="","",IF(N(T343)+N(U343)+N(V343)=0,"Not split",IF(ROUND(N(T343)+N(U343)+N(V343),2)=ROUND(L343+P343,2),"OK",IF(K343=0,"Not invoiced yet","MISMATCH"))))</f>
        <v/>
      </c>
      <c r="X343" s="24" t="n"/>
      <c r="Y343" s="24" t="n"/>
      <c r="Z343" s="24" t="n"/>
      <c r="AA343" s="27">
        <f>IF(C343="","",N(X343)+N(Y343)+N(Z343))</f>
        <v/>
      </c>
      <c r="AB343" s="27">
        <f>IF(C343="","",L343+P343-AA343)</f>
        <v/>
      </c>
      <c r="AC343" s="29">
        <f>IFERROR(AB343/(L343+P343),"")</f>
        <v/>
      </c>
      <c r="AD343" s="22" t="n"/>
    </row>
    <row r="344" ht="15" customHeight="1">
      <c r="A344" s="70">
        <f>IF(C344="","",IFERROR(IF(SUMPRODUCT(MAX((tbl_Finance[Job Number]&amp;""=C344&amp;"")*(tbl_Finance[Xero Invoice No]&lt;&gt;"")*tbl_Finance[Date]))=0,"",SUMPRODUCT(MAX((tbl_Finance[Job Number]&amp;""=C344&amp;"")*(tbl_Finance[Xero Invoice No]&lt;&gt;"")*tbl_Finance[Date]))),""))</f>
        <v/>
      </c>
      <c r="B344" s="26">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2" t="n"/>
      <c r="D344" s="26">
        <f>IF(C344="","",IF(COUNTIF(lst_Jobs,C344&amp;"")&gt;0,"OK","CHECK"))</f>
        <v/>
      </c>
      <c r="E344" s="26">
        <f>IF(C344="","",IFERROR(INDEX(lst_JobName,MATCH(C344&amp;"",lst_Jobs,0)),""))</f>
        <v/>
      </c>
      <c r="F344" s="22" t="n"/>
      <c r="G344" s="22" t="n"/>
      <c r="H344" s="22" t="n"/>
      <c r="I344" s="22" t="n"/>
      <c r="J344" s="22" t="n"/>
      <c r="K344" s="28">
        <f>IF(C344="","",COUNTIFS(tbl_Finance[Job Number],C344&amp;"",tbl_Finance[Ex GST],"&lt;&gt;"))</f>
        <v/>
      </c>
      <c r="L344" s="27">
        <f>IF(C344="","",SUMIFS(tbl_Finance[Ex GST],tbl_Finance[Job Number],C344&amp;""))</f>
        <v/>
      </c>
      <c r="M344" s="27">
        <f>IF(C344="","",SUMIFS(tbl_Finance[Ex GST],tbl_Finance[Job Number],C344&amp;"",tbl_Finance[Xero Invoice No],"&lt;&gt;"))</f>
        <v/>
      </c>
      <c r="N344" s="27">
        <f>IF(C344="","",L344-M344)</f>
        <v/>
      </c>
      <c r="O344" s="24" t="n"/>
      <c r="P344" s="27">
        <f>IF(C344="","",IF(O344="",0,MAX(0,O344-L344)))</f>
        <v/>
      </c>
      <c r="Q344" s="26">
        <f>IF(C344="","",IF(K344=0,"not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R344" s="22" t="n"/>
      <c r="S344" s="26">
        <f>IF(R344="","",HYPERLINK(IF(LEFT(R344,4)="http",R344,set_QwilrBase&amp;R344),"Open quote"))</f>
        <v/>
      </c>
      <c r="T344" s="24" t="n"/>
      <c r="U344" s="24" t="n"/>
      <c r="V344" s="24" t="n"/>
      <c r="W344" s="26">
        <f>IF(C344="","",IF(N(T344)+N(U344)+N(V344)=0,"Not split",IF(ROUND(N(T344)+N(U344)+N(V344),2)=ROUND(L344+P344,2),"OK",IF(K344=0,"Not invoiced yet","MISMATCH"))))</f>
        <v/>
      </c>
      <c r="X344" s="24" t="n"/>
      <c r="Y344" s="24" t="n"/>
      <c r="Z344" s="24" t="n"/>
      <c r="AA344" s="27">
        <f>IF(C344="","",N(X344)+N(Y344)+N(Z344))</f>
        <v/>
      </c>
      <c r="AB344" s="27">
        <f>IF(C344="","",L344+P344-AA344)</f>
        <v/>
      </c>
      <c r="AC344" s="29">
        <f>IFERROR(AB344/(L344+P344),"")</f>
        <v/>
      </c>
      <c r="AD344" s="22" t="n"/>
    </row>
    <row r="345" ht="15" customHeight="1">
      <c r="A345" s="70">
        <f>IF(C345="","",IFERROR(IF(SUMPRODUCT(MAX((tbl_Finance[Job Number]&amp;""=C345&amp;"")*(tbl_Finance[Xero Invoice No]&lt;&gt;"")*tbl_Finance[Date]))=0,"",SUMPRODUCT(MAX((tbl_Finance[Job Number]&amp;""=C345&amp;"")*(tbl_Finance[Xero Invoice No]&lt;&gt;"")*tbl_Finance[Date]))),""))</f>
        <v/>
      </c>
      <c r="B345" s="26">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2" t="n"/>
      <c r="D345" s="26">
        <f>IF(C345="","",IF(COUNTIF(lst_Jobs,C345&amp;"")&gt;0,"OK","CHECK"))</f>
        <v/>
      </c>
      <c r="E345" s="26">
        <f>IF(C345="","",IFERROR(INDEX(lst_JobName,MATCH(C345&amp;"",lst_Jobs,0)),""))</f>
        <v/>
      </c>
      <c r="F345" s="22" t="n"/>
      <c r="G345" s="22" t="n"/>
      <c r="H345" s="22" t="n"/>
      <c r="I345" s="22" t="n"/>
      <c r="J345" s="22" t="n"/>
      <c r="K345" s="28">
        <f>IF(C345="","",COUNTIFS(tbl_Finance[Job Number],C345&amp;"",tbl_Finance[Ex GST],"&lt;&gt;"))</f>
        <v/>
      </c>
      <c r="L345" s="27">
        <f>IF(C345="","",SUMIFS(tbl_Finance[Ex GST],tbl_Finance[Job Number],C345&amp;""))</f>
        <v/>
      </c>
      <c r="M345" s="27">
        <f>IF(C345="","",SUMIFS(tbl_Finance[Ex GST],tbl_Finance[Job Number],C345&amp;"",tbl_Finance[Xero Invoice No],"&lt;&gt;"))</f>
        <v/>
      </c>
      <c r="N345" s="27">
        <f>IF(C345="","",L345-M345)</f>
        <v/>
      </c>
      <c r="O345" s="24" t="n"/>
      <c r="P345" s="27">
        <f>IF(C345="","",IF(O345="",0,MAX(0,O345-L345)))</f>
        <v/>
      </c>
      <c r="Q345" s="26">
        <f>IF(C345="","",IF(K345=0,"not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R345" s="22" t="n"/>
      <c r="S345" s="26">
        <f>IF(R345="","",HYPERLINK(IF(LEFT(R345,4)="http",R345,set_QwilrBase&amp;R345),"Open quote"))</f>
        <v/>
      </c>
      <c r="T345" s="24" t="n"/>
      <c r="U345" s="24" t="n"/>
      <c r="V345" s="24" t="n"/>
      <c r="W345" s="26">
        <f>IF(C345="","",IF(N(T345)+N(U345)+N(V345)=0,"Not split",IF(ROUND(N(T345)+N(U345)+N(V345),2)=ROUND(L345+P345,2),"OK",IF(K345=0,"Not invoiced yet","MISMATCH"))))</f>
        <v/>
      </c>
      <c r="X345" s="24" t="n"/>
      <c r="Y345" s="24" t="n"/>
      <c r="Z345" s="24" t="n"/>
      <c r="AA345" s="27">
        <f>IF(C345="","",N(X345)+N(Y345)+N(Z345))</f>
        <v/>
      </c>
      <c r="AB345" s="27">
        <f>IF(C345="","",L345+P345-AA345)</f>
        <v/>
      </c>
      <c r="AC345" s="29">
        <f>IFERROR(AB345/(L345+P345),"")</f>
        <v/>
      </c>
      <c r="AD345" s="22" t="n"/>
    </row>
    <row r="346" ht="15" customHeight="1">
      <c r="A346" s="70">
        <f>IF(C346="","",IFERROR(IF(SUMPRODUCT(MAX((tbl_Finance[Job Number]&amp;""=C346&amp;"")*(tbl_Finance[Xero Invoice No]&lt;&gt;"")*tbl_Finance[Date]))=0,"",SUMPRODUCT(MAX((tbl_Finance[Job Number]&amp;""=C346&amp;"")*(tbl_Finance[Xero Invoice No]&lt;&gt;"")*tbl_Finance[Date]))),""))</f>
        <v/>
      </c>
      <c r="B346" s="26">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2" t="n"/>
      <c r="D346" s="26">
        <f>IF(C346="","",IF(COUNTIF(lst_Jobs,C346&amp;"")&gt;0,"OK","CHECK"))</f>
        <v/>
      </c>
      <c r="E346" s="26">
        <f>IF(C346="","",IFERROR(INDEX(lst_JobName,MATCH(C346&amp;"",lst_Jobs,0)),""))</f>
        <v/>
      </c>
      <c r="F346" s="22" t="n"/>
      <c r="G346" s="22" t="n"/>
      <c r="H346" s="22" t="n"/>
      <c r="I346" s="22" t="n"/>
      <c r="J346" s="22" t="n"/>
      <c r="K346" s="28">
        <f>IF(C346="","",COUNTIFS(tbl_Finance[Job Number],C346&amp;"",tbl_Finance[Ex GST],"&lt;&gt;"))</f>
        <v/>
      </c>
      <c r="L346" s="27">
        <f>IF(C346="","",SUMIFS(tbl_Finance[Ex GST],tbl_Finance[Job Number],C346&amp;""))</f>
        <v/>
      </c>
      <c r="M346" s="27">
        <f>IF(C346="","",SUMIFS(tbl_Finance[Ex GST],tbl_Finance[Job Number],C346&amp;"",tbl_Finance[Xero Invoice No],"&lt;&gt;"))</f>
        <v/>
      </c>
      <c r="N346" s="27">
        <f>IF(C346="","",L346-M346)</f>
        <v/>
      </c>
      <c r="O346" s="24" t="n"/>
      <c r="P346" s="27">
        <f>IF(C346="","",IF(O346="",0,MAX(0,O346-L346)))</f>
        <v/>
      </c>
      <c r="Q346" s="26">
        <f>IF(C346="","",IF(K346=0,"not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R346" s="22" t="n"/>
      <c r="S346" s="26">
        <f>IF(R346="","",HYPERLINK(IF(LEFT(R346,4)="http",R346,set_QwilrBase&amp;R346),"Open quote"))</f>
        <v/>
      </c>
      <c r="T346" s="24" t="n"/>
      <c r="U346" s="24" t="n"/>
      <c r="V346" s="24" t="n"/>
      <c r="W346" s="26">
        <f>IF(C346="","",IF(N(T346)+N(U346)+N(V346)=0,"Not split",IF(ROUND(N(T346)+N(U346)+N(V346),2)=ROUND(L346+P346,2),"OK",IF(K346=0,"Not invoiced yet","MISMATCH"))))</f>
        <v/>
      </c>
      <c r="X346" s="24" t="n"/>
      <c r="Y346" s="24" t="n"/>
      <c r="Z346" s="24" t="n"/>
      <c r="AA346" s="27">
        <f>IF(C346="","",N(X346)+N(Y346)+N(Z346))</f>
        <v/>
      </c>
      <c r="AB346" s="27">
        <f>IF(C346="","",L346+P346-AA346)</f>
        <v/>
      </c>
      <c r="AC346" s="29">
        <f>IFERROR(AB346/(L346+P346),"")</f>
        <v/>
      </c>
      <c r="AD346" s="22" t="n"/>
    </row>
    <row r="347" ht="15" customHeight="1">
      <c r="A347" s="70">
        <f>IF(C347="","",IFERROR(IF(SUMPRODUCT(MAX((tbl_Finance[Job Number]&amp;""=C347&amp;"")*(tbl_Finance[Xero Invoice No]&lt;&gt;"")*tbl_Finance[Date]))=0,"",SUMPRODUCT(MAX((tbl_Finance[Job Number]&amp;""=C347&amp;"")*(tbl_Finance[Xero Invoice No]&lt;&gt;"")*tbl_Finance[Date]))),""))</f>
        <v/>
      </c>
      <c r="B347" s="26">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2" t="n"/>
      <c r="D347" s="26">
        <f>IF(C347="","",IF(COUNTIF(lst_Jobs,C347&amp;"")&gt;0,"OK","CHECK"))</f>
        <v/>
      </c>
      <c r="E347" s="26">
        <f>IF(C347="","",IFERROR(INDEX(lst_JobName,MATCH(C347&amp;"",lst_Jobs,0)),""))</f>
        <v/>
      </c>
      <c r="F347" s="22" t="n"/>
      <c r="G347" s="22" t="n"/>
      <c r="H347" s="22" t="n"/>
      <c r="I347" s="22" t="n"/>
      <c r="J347" s="22" t="n"/>
      <c r="K347" s="28">
        <f>IF(C347="","",COUNTIFS(tbl_Finance[Job Number],C347&amp;"",tbl_Finance[Ex GST],"&lt;&gt;"))</f>
        <v/>
      </c>
      <c r="L347" s="27">
        <f>IF(C347="","",SUMIFS(tbl_Finance[Ex GST],tbl_Finance[Job Number],C347&amp;""))</f>
        <v/>
      </c>
      <c r="M347" s="27">
        <f>IF(C347="","",SUMIFS(tbl_Finance[Ex GST],tbl_Finance[Job Number],C347&amp;"",tbl_Finance[Xero Invoice No],"&lt;&gt;"))</f>
        <v/>
      </c>
      <c r="N347" s="27">
        <f>IF(C347="","",L347-M347)</f>
        <v/>
      </c>
      <c r="O347" s="24" t="n"/>
      <c r="P347" s="27">
        <f>IF(C347="","",IF(O347="",0,MAX(0,O347-L347)))</f>
        <v/>
      </c>
      <c r="Q347" s="26">
        <f>IF(C347="","",IF(K347=0,"not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R347" s="22" t="n"/>
      <c r="S347" s="26">
        <f>IF(R347="","",HYPERLINK(IF(LEFT(R347,4)="http",R347,set_QwilrBase&amp;R347),"Open quote"))</f>
        <v/>
      </c>
      <c r="T347" s="24" t="n"/>
      <c r="U347" s="24" t="n"/>
      <c r="V347" s="24" t="n"/>
      <c r="W347" s="26">
        <f>IF(C347="","",IF(N(T347)+N(U347)+N(V347)=0,"Not split",IF(ROUND(N(T347)+N(U347)+N(V347),2)=ROUND(L347+P347,2),"OK",IF(K347=0,"Not invoiced yet","MISMATCH"))))</f>
        <v/>
      </c>
      <c r="X347" s="24" t="n"/>
      <c r="Y347" s="24" t="n"/>
      <c r="Z347" s="24" t="n"/>
      <c r="AA347" s="27">
        <f>IF(C347="","",N(X347)+N(Y347)+N(Z347))</f>
        <v/>
      </c>
      <c r="AB347" s="27">
        <f>IF(C347="","",L347+P347-AA347)</f>
        <v/>
      </c>
      <c r="AC347" s="29">
        <f>IFERROR(AB347/(L347+P347),"")</f>
        <v/>
      </c>
      <c r="AD347" s="22" t="n"/>
    </row>
    <row r="348" ht="15" customHeight="1">
      <c r="A348" s="70">
        <f>IF(C348="","",IFERROR(IF(SUMPRODUCT(MAX((tbl_Finance[Job Number]&amp;""=C348&amp;"")*(tbl_Finance[Xero Invoice No]&lt;&gt;"")*tbl_Finance[Date]))=0,"",SUMPRODUCT(MAX((tbl_Finance[Job Number]&amp;""=C348&amp;"")*(tbl_Finance[Xero Invoice No]&lt;&gt;"")*tbl_Finance[Date]))),""))</f>
        <v/>
      </c>
      <c r="B348" s="26">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2" t="n"/>
      <c r="D348" s="26">
        <f>IF(C348="","",IF(COUNTIF(lst_Jobs,C348&amp;"")&gt;0,"OK","CHECK"))</f>
        <v/>
      </c>
      <c r="E348" s="26">
        <f>IF(C348="","",IFERROR(INDEX(lst_JobName,MATCH(C348&amp;"",lst_Jobs,0)),""))</f>
        <v/>
      </c>
      <c r="F348" s="22" t="n"/>
      <c r="G348" s="22" t="n"/>
      <c r="H348" s="22" t="n"/>
      <c r="I348" s="22" t="n"/>
      <c r="J348" s="22" t="n"/>
      <c r="K348" s="28">
        <f>IF(C348="","",COUNTIFS(tbl_Finance[Job Number],C348&amp;"",tbl_Finance[Ex GST],"&lt;&gt;"))</f>
        <v/>
      </c>
      <c r="L348" s="27">
        <f>IF(C348="","",SUMIFS(tbl_Finance[Ex GST],tbl_Finance[Job Number],C348&amp;""))</f>
        <v/>
      </c>
      <c r="M348" s="27">
        <f>IF(C348="","",SUMIFS(tbl_Finance[Ex GST],tbl_Finance[Job Number],C348&amp;"",tbl_Finance[Xero Invoice No],"&lt;&gt;"))</f>
        <v/>
      </c>
      <c r="N348" s="27">
        <f>IF(C348="","",L348-M348)</f>
        <v/>
      </c>
      <c r="O348" s="24" t="n"/>
      <c r="P348" s="27">
        <f>IF(C348="","",IF(O348="",0,MAX(0,O348-L348)))</f>
        <v/>
      </c>
      <c r="Q348" s="26">
        <f>IF(C348="","",IF(K348=0,"not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R348" s="22" t="n"/>
      <c r="S348" s="26">
        <f>IF(R348="","",HYPERLINK(IF(LEFT(R348,4)="http",R348,set_QwilrBase&amp;R348),"Open quote"))</f>
        <v/>
      </c>
      <c r="T348" s="24" t="n"/>
      <c r="U348" s="24" t="n"/>
      <c r="V348" s="24" t="n"/>
      <c r="W348" s="26">
        <f>IF(C348="","",IF(N(T348)+N(U348)+N(V348)=0,"Not split",IF(ROUND(N(T348)+N(U348)+N(V348),2)=ROUND(L348+P348,2),"OK",IF(K348=0,"Not invoiced yet","MISMATCH"))))</f>
        <v/>
      </c>
      <c r="X348" s="24" t="n"/>
      <c r="Y348" s="24" t="n"/>
      <c r="Z348" s="24" t="n"/>
      <c r="AA348" s="27">
        <f>IF(C348="","",N(X348)+N(Y348)+N(Z348))</f>
        <v/>
      </c>
      <c r="AB348" s="27">
        <f>IF(C348="","",L348+P348-AA348)</f>
        <v/>
      </c>
      <c r="AC348" s="29">
        <f>IFERROR(AB348/(L348+P348),"")</f>
        <v/>
      </c>
      <c r="AD348" s="22" t="n"/>
    </row>
    <row r="349" ht="15" customHeight="1">
      <c r="A349" s="70">
        <f>IF(C349="","",IFERROR(IF(SUMPRODUCT(MAX((tbl_Finance[Job Number]&amp;""=C349&amp;"")*(tbl_Finance[Xero Invoice No]&lt;&gt;"")*tbl_Finance[Date]))=0,"",SUMPRODUCT(MAX((tbl_Finance[Job Number]&amp;""=C349&amp;"")*(tbl_Finance[Xero Invoice No]&lt;&gt;"")*tbl_Finance[Date]))),""))</f>
        <v/>
      </c>
      <c r="B349" s="26">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2" t="n"/>
      <c r="D349" s="26">
        <f>IF(C349="","",IF(COUNTIF(lst_Jobs,C349&amp;"")&gt;0,"OK","CHECK"))</f>
        <v/>
      </c>
      <c r="E349" s="26">
        <f>IF(C349="","",IFERROR(INDEX(lst_JobName,MATCH(C349&amp;"",lst_Jobs,0)),""))</f>
        <v/>
      </c>
      <c r="F349" s="22" t="n"/>
      <c r="G349" s="22" t="n"/>
      <c r="H349" s="22" t="n"/>
      <c r="I349" s="22" t="n"/>
      <c r="J349" s="22" t="n"/>
      <c r="K349" s="28">
        <f>IF(C349="","",COUNTIFS(tbl_Finance[Job Number],C349&amp;"",tbl_Finance[Ex GST],"&lt;&gt;"))</f>
        <v/>
      </c>
      <c r="L349" s="27">
        <f>IF(C349="","",SUMIFS(tbl_Finance[Ex GST],tbl_Finance[Job Number],C349&amp;""))</f>
        <v/>
      </c>
      <c r="M349" s="27">
        <f>IF(C349="","",SUMIFS(tbl_Finance[Ex GST],tbl_Finance[Job Number],C349&amp;"",tbl_Finance[Xero Invoice No],"&lt;&gt;"))</f>
        <v/>
      </c>
      <c r="N349" s="27">
        <f>IF(C349="","",L349-M349)</f>
        <v/>
      </c>
      <c r="O349" s="24" t="n"/>
      <c r="P349" s="27">
        <f>IF(C349="","",IF(O349="",0,MAX(0,O349-L349)))</f>
        <v/>
      </c>
      <c r="Q349" s="26">
        <f>IF(C349="","",IF(K349=0,"not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R349" s="22" t="n"/>
      <c r="S349" s="26">
        <f>IF(R349="","",HYPERLINK(IF(LEFT(R349,4)="http",R349,set_QwilrBase&amp;R349),"Open quote"))</f>
        <v/>
      </c>
      <c r="T349" s="24" t="n"/>
      <c r="U349" s="24" t="n"/>
      <c r="V349" s="24" t="n"/>
      <c r="W349" s="26">
        <f>IF(C349="","",IF(N(T349)+N(U349)+N(V349)=0,"Not split",IF(ROUND(N(T349)+N(U349)+N(V349),2)=ROUND(L349+P349,2),"OK",IF(K349=0,"Not invoiced yet","MISMATCH"))))</f>
        <v/>
      </c>
      <c r="X349" s="24" t="n"/>
      <c r="Y349" s="24" t="n"/>
      <c r="Z349" s="24" t="n"/>
      <c r="AA349" s="27">
        <f>IF(C349="","",N(X349)+N(Y349)+N(Z349))</f>
        <v/>
      </c>
      <c r="AB349" s="27">
        <f>IF(C349="","",L349+P349-AA349)</f>
        <v/>
      </c>
      <c r="AC349" s="29">
        <f>IFERROR(AB349/(L349+P349),"")</f>
        <v/>
      </c>
      <c r="AD349" s="22" t="n"/>
    </row>
    <row r="350" ht="15" customHeight="1">
      <c r="A350" s="70">
        <f>IF(C350="","",IFERROR(IF(SUMPRODUCT(MAX((tbl_Finance[Job Number]&amp;""=C350&amp;"")*(tbl_Finance[Xero Invoice No]&lt;&gt;"")*tbl_Finance[Date]))=0,"",SUMPRODUCT(MAX((tbl_Finance[Job Number]&amp;""=C350&amp;"")*(tbl_Finance[Xero Invoice No]&lt;&gt;"")*tbl_Finance[Date]))),""))</f>
        <v/>
      </c>
      <c r="B350" s="26">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2" t="n"/>
      <c r="D350" s="26">
        <f>IF(C350="","",IF(COUNTIF(lst_Jobs,C350&amp;"")&gt;0,"OK","CHECK"))</f>
        <v/>
      </c>
      <c r="E350" s="26">
        <f>IF(C350="","",IFERROR(INDEX(lst_JobName,MATCH(C350&amp;"",lst_Jobs,0)),""))</f>
        <v/>
      </c>
      <c r="F350" s="22" t="n"/>
      <c r="G350" s="22" t="n"/>
      <c r="H350" s="22" t="n"/>
      <c r="I350" s="22" t="n"/>
      <c r="J350" s="22" t="n"/>
      <c r="K350" s="28">
        <f>IF(C350="","",COUNTIFS(tbl_Finance[Job Number],C350&amp;"",tbl_Finance[Ex GST],"&lt;&gt;"))</f>
        <v/>
      </c>
      <c r="L350" s="27">
        <f>IF(C350="","",SUMIFS(tbl_Finance[Ex GST],tbl_Finance[Job Number],C350&amp;""))</f>
        <v/>
      </c>
      <c r="M350" s="27">
        <f>IF(C350="","",SUMIFS(tbl_Finance[Ex GST],tbl_Finance[Job Number],C350&amp;"",tbl_Finance[Xero Invoice No],"&lt;&gt;"))</f>
        <v/>
      </c>
      <c r="N350" s="27">
        <f>IF(C350="","",L350-M350)</f>
        <v/>
      </c>
      <c r="O350" s="24" t="n"/>
      <c r="P350" s="27">
        <f>IF(C350="","",IF(O350="",0,MAX(0,O350-L350)))</f>
        <v/>
      </c>
      <c r="Q350" s="26">
        <f>IF(C350="","",IF(K350=0,"not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R350" s="22" t="n"/>
      <c r="S350" s="26">
        <f>IF(R350="","",HYPERLINK(IF(LEFT(R350,4)="http",R350,set_QwilrBase&amp;R350),"Open quote"))</f>
        <v/>
      </c>
      <c r="T350" s="24" t="n"/>
      <c r="U350" s="24" t="n"/>
      <c r="V350" s="24" t="n"/>
      <c r="W350" s="26">
        <f>IF(C350="","",IF(N(T350)+N(U350)+N(V350)=0,"Not split",IF(ROUND(N(T350)+N(U350)+N(V350),2)=ROUND(L350+P350,2),"OK",IF(K350=0,"Not invoiced yet","MISMATCH"))))</f>
        <v/>
      </c>
      <c r="X350" s="24" t="n"/>
      <c r="Y350" s="24" t="n"/>
      <c r="Z350" s="24" t="n"/>
      <c r="AA350" s="27">
        <f>IF(C350="","",N(X350)+N(Y350)+N(Z350))</f>
        <v/>
      </c>
      <c r="AB350" s="27">
        <f>IF(C350="","",L350+P350-AA350)</f>
        <v/>
      </c>
      <c r="AC350" s="29">
        <f>IFERROR(AB350/(L350+P350),"")</f>
        <v/>
      </c>
      <c r="AD350" s="22" t="n"/>
    </row>
    <row r="351" ht="15" customHeight="1">
      <c r="A351" s="70">
        <f>IF(C351="","",IFERROR(IF(SUMPRODUCT(MAX((tbl_Finance[Job Number]&amp;""=C351&amp;"")*(tbl_Finance[Xero Invoice No]&lt;&gt;"")*tbl_Finance[Date]))=0,"",SUMPRODUCT(MAX((tbl_Finance[Job Number]&amp;""=C351&amp;"")*(tbl_Finance[Xero Invoice No]&lt;&gt;"")*tbl_Finance[Date]))),""))</f>
        <v/>
      </c>
      <c r="B351" s="26">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2" t="n"/>
      <c r="D351" s="26">
        <f>IF(C351="","",IF(COUNTIF(lst_Jobs,C351&amp;"")&gt;0,"OK","CHECK"))</f>
        <v/>
      </c>
      <c r="E351" s="26">
        <f>IF(C351="","",IFERROR(INDEX(lst_JobName,MATCH(C351&amp;"",lst_Jobs,0)),""))</f>
        <v/>
      </c>
      <c r="F351" s="22" t="n"/>
      <c r="G351" s="22" t="n"/>
      <c r="H351" s="22" t="n"/>
      <c r="I351" s="22" t="n"/>
      <c r="J351" s="22" t="n"/>
      <c r="K351" s="28">
        <f>IF(C351="","",COUNTIFS(tbl_Finance[Job Number],C351&amp;"",tbl_Finance[Ex GST],"&lt;&gt;"))</f>
        <v/>
      </c>
      <c r="L351" s="27">
        <f>IF(C351="","",SUMIFS(tbl_Finance[Ex GST],tbl_Finance[Job Number],C351&amp;""))</f>
        <v/>
      </c>
      <c r="M351" s="27">
        <f>IF(C351="","",SUMIFS(tbl_Finance[Ex GST],tbl_Finance[Job Number],C351&amp;"",tbl_Finance[Xero Invoice No],"&lt;&gt;"))</f>
        <v/>
      </c>
      <c r="N351" s="27">
        <f>IF(C351="","",L351-M351)</f>
        <v/>
      </c>
      <c r="O351" s="24" t="n"/>
      <c r="P351" s="27">
        <f>IF(C351="","",IF(O351="",0,MAX(0,O351-L351)))</f>
        <v/>
      </c>
      <c r="Q351" s="26">
        <f>IF(C351="","",IF(K351=0,"not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R351" s="22" t="n"/>
      <c r="S351" s="26">
        <f>IF(R351="","",HYPERLINK(IF(LEFT(R351,4)="http",R351,set_QwilrBase&amp;R351),"Open quote"))</f>
        <v/>
      </c>
      <c r="T351" s="24" t="n"/>
      <c r="U351" s="24" t="n"/>
      <c r="V351" s="24" t="n"/>
      <c r="W351" s="26">
        <f>IF(C351="","",IF(N(T351)+N(U351)+N(V351)=0,"Not split",IF(ROUND(N(T351)+N(U351)+N(V351),2)=ROUND(L351+P351,2),"OK",IF(K351=0,"Not invoiced yet","MISMATCH"))))</f>
        <v/>
      </c>
      <c r="X351" s="24" t="n"/>
      <c r="Y351" s="24" t="n"/>
      <c r="Z351" s="24" t="n"/>
      <c r="AA351" s="27">
        <f>IF(C351="","",N(X351)+N(Y351)+N(Z351))</f>
        <v/>
      </c>
      <c r="AB351" s="27">
        <f>IF(C351="","",L351+P351-AA351)</f>
        <v/>
      </c>
      <c r="AC351" s="29">
        <f>IFERROR(AB351/(L351+P351),"")</f>
        <v/>
      </c>
      <c r="AD351" s="22" t="n"/>
    </row>
    <row r="352" ht="15" customHeight="1">
      <c r="A352" s="70">
        <f>IF(C352="","",IFERROR(IF(SUMPRODUCT(MAX((tbl_Finance[Job Number]&amp;""=C352&amp;"")*(tbl_Finance[Xero Invoice No]&lt;&gt;"")*tbl_Finance[Date]))=0,"",SUMPRODUCT(MAX((tbl_Finance[Job Number]&amp;""=C352&amp;"")*(tbl_Finance[Xero Invoice No]&lt;&gt;"")*tbl_Finance[Date]))),""))</f>
        <v/>
      </c>
      <c r="B352" s="26">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2" t="n"/>
      <c r="D352" s="26">
        <f>IF(C352="","",IF(COUNTIF(lst_Jobs,C352&amp;"")&gt;0,"OK","CHECK"))</f>
        <v/>
      </c>
      <c r="E352" s="26">
        <f>IF(C352="","",IFERROR(INDEX(lst_JobName,MATCH(C352&amp;"",lst_Jobs,0)),""))</f>
        <v/>
      </c>
      <c r="F352" s="22" t="n"/>
      <c r="G352" s="22" t="n"/>
      <c r="H352" s="22" t="n"/>
      <c r="I352" s="22" t="n"/>
      <c r="J352" s="22" t="n"/>
      <c r="K352" s="28">
        <f>IF(C352="","",COUNTIFS(tbl_Finance[Job Number],C352&amp;"",tbl_Finance[Ex GST],"&lt;&gt;"))</f>
        <v/>
      </c>
      <c r="L352" s="27">
        <f>IF(C352="","",SUMIFS(tbl_Finance[Ex GST],tbl_Finance[Job Number],C352&amp;""))</f>
        <v/>
      </c>
      <c r="M352" s="27">
        <f>IF(C352="","",SUMIFS(tbl_Finance[Ex GST],tbl_Finance[Job Number],C352&amp;"",tbl_Finance[Xero Invoice No],"&lt;&gt;"))</f>
        <v/>
      </c>
      <c r="N352" s="27">
        <f>IF(C352="","",L352-M352)</f>
        <v/>
      </c>
      <c r="O352" s="24" t="n"/>
      <c r="P352" s="27">
        <f>IF(C352="","",IF(O352="",0,MAX(0,O352-L352)))</f>
        <v/>
      </c>
      <c r="Q352" s="26">
        <f>IF(C352="","",IF(K352=0,"not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R352" s="22" t="n"/>
      <c r="S352" s="26">
        <f>IF(R352="","",HYPERLINK(IF(LEFT(R352,4)="http",R352,set_QwilrBase&amp;R352),"Open quote"))</f>
        <v/>
      </c>
      <c r="T352" s="24" t="n"/>
      <c r="U352" s="24" t="n"/>
      <c r="V352" s="24" t="n"/>
      <c r="W352" s="26">
        <f>IF(C352="","",IF(N(T352)+N(U352)+N(V352)=0,"Not split",IF(ROUND(N(T352)+N(U352)+N(V352),2)=ROUND(L352+P352,2),"OK",IF(K352=0,"Not invoiced yet","MISMATCH"))))</f>
        <v/>
      </c>
      <c r="X352" s="24" t="n"/>
      <c r="Y352" s="24" t="n"/>
      <c r="Z352" s="24" t="n"/>
      <c r="AA352" s="27">
        <f>IF(C352="","",N(X352)+N(Y352)+N(Z352))</f>
        <v/>
      </c>
      <c r="AB352" s="27">
        <f>IF(C352="","",L352+P352-AA352)</f>
        <v/>
      </c>
      <c r="AC352" s="29">
        <f>IFERROR(AB352/(L352+P352),"")</f>
        <v/>
      </c>
      <c r="AD352" s="22" t="n"/>
    </row>
    <row r="353" ht="15" customHeight="1">
      <c r="A353" s="70">
        <f>IF(C353="","",IFERROR(IF(SUMPRODUCT(MAX((tbl_Finance[Job Number]&amp;""=C353&amp;"")*(tbl_Finance[Xero Invoice No]&lt;&gt;"")*tbl_Finance[Date]))=0,"",SUMPRODUCT(MAX((tbl_Finance[Job Number]&amp;""=C353&amp;"")*(tbl_Finance[Xero Invoice No]&lt;&gt;"")*tbl_Finance[Date]))),""))</f>
        <v/>
      </c>
      <c r="B353" s="26">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2" t="n"/>
      <c r="D353" s="26">
        <f>IF(C353="","",IF(COUNTIF(lst_Jobs,C353&amp;"")&gt;0,"OK","CHECK"))</f>
        <v/>
      </c>
      <c r="E353" s="26">
        <f>IF(C353="","",IFERROR(INDEX(lst_JobName,MATCH(C353&amp;"",lst_Jobs,0)),""))</f>
        <v/>
      </c>
      <c r="F353" s="22" t="n"/>
      <c r="G353" s="22" t="n"/>
      <c r="H353" s="22" t="n"/>
      <c r="I353" s="22" t="n"/>
      <c r="J353" s="22" t="n"/>
      <c r="K353" s="28">
        <f>IF(C353="","",COUNTIFS(tbl_Finance[Job Number],C353&amp;"",tbl_Finance[Ex GST],"&lt;&gt;"))</f>
        <v/>
      </c>
      <c r="L353" s="27">
        <f>IF(C353="","",SUMIFS(tbl_Finance[Ex GST],tbl_Finance[Job Number],C353&amp;""))</f>
        <v/>
      </c>
      <c r="M353" s="27">
        <f>IF(C353="","",SUMIFS(tbl_Finance[Ex GST],tbl_Finance[Job Number],C353&amp;"",tbl_Finance[Xero Invoice No],"&lt;&gt;"))</f>
        <v/>
      </c>
      <c r="N353" s="27">
        <f>IF(C353="","",L353-M353)</f>
        <v/>
      </c>
      <c r="O353" s="24" t="n"/>
      <c r="P353" s="27">
        <f>IF(C353="","",IF(O353="",0,MAX(0,O353-L353)))</f>
        <v/>
      </c>
      <c r="Q353" s="26">
        <f>IF(C353="","",IF(K353=0,"not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R353" s="22" t="n"/>
      <c r="S353" s="26">
        <f>IF(R353="","",HYPERLINK(IF(LEFT(R353,4)="http",R353,set_QwilrBase&amp;R353),"Open quote"))</f>
        <v/>
      </c>
      <c r="T353" s="24" t="n"/>
      <c r="U353" s="24" t="n"/>
      <c r="V353" s="24" t="n"/>
      <c r="W353" s="26">
        <f>IF(C353="","",IF(N(T353)+N(U353)+N(V353)=0,"Not split",IF(ROUND(N(T353)+N(U353)+N(V353),2)=ROUND(L353+P353,2),"OK",IF(K353=0,"Not invoiced yet","MISMATCH"))))</f>
        <v/>
      </c>
      <c r="X353" s="24" t="n"/>
      <c r="Y353" s="24" t="n"/>
      <c r="Z353" s="24" t="n"/>
      <c r="AA353" s="27">
        <f>IF(C353="","",N(X353)+N(Y353)+N(Z353))</f>
        <v/>
      </c>
      <c r="AB353" s="27">
        <f>IF(C353="","",L353+P353-AA353)</f>
        <v/>
      </c>
      <c r="AC353" s="29">
        <f>IFERROR(AB353/(L353+P353),"")</f>
        <v/>
      </c>
      <c r="AD353" s="22" t="n"/>
    </row>
    <row r="354" ht="15" customHeight="1">
      <c r="A354" s="70">
        <f>IF(C354="","",IFERROR(IF(SUMPRODUCT(MAX((tbl_Finance[Job Number]&amp;""=C354&amp;"")*(tbl_Finance[Xero Invoice No]&lt;&gt;"")*tbl_Finance[Date]))=0,"",SUMPRODUCT(MAX((tbl_Finance[Job Number]&amp;""=C354&amp;"")*(tbl_Finance[Xero Invoice No]&lt;&gt;"")*tbl_Finance[Date]))),""))</f>
        <v/>
      </c>
      <c r="B354" s="26">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2" t="n"/>
      <c r="D354" s="26">
        <f>IF(C354="","",IF(COUNTIF(lst_Jobs,C354&amp;"")&gt;0,"OK","CHECK"))</f>
        <v/>
      </c>
      <c r="E354" s="26">
        <f>IF(C354="","",IFERROR(INDEX(lst_JobName,MATCH(C354&amp;"",lst_Jobs,0)),""))</f>
        <v/>
      </c>
      <c r="F354" s="22" t="n"/>
      <c r="G354" s="22" t="n"/>
      <c r="H354" s="22" t="n"/>
      <c r="I354" s="22" t="n"/>
      <c r="J354" s="22" t="n"/>
      <c r="K354" s="28">
        <f>IF(C354="","",COUNTIFS(tbl_Finance[Job Number],C354&amp;"",tbl_Finance[Ex GST],"&lt;&gt;"))</f>
        <v/>
      </c>
      <c r="L354" s="27">
        <f>IF(C354="","",SUMIFS(tbl_Finance[Ex GST],tbl_Finance[Job Number],C354&amp;""))</f>
        <v/>
      </c>
      <c r="M354" s="27">
        <f>IF(C354="","",SUMIFS(tbl_Finance[Ex GST],tbl_Finance[Job Number],C354&amp;"",tbl_Finance[Xero Invoice No],"&lt;&gt;"))</f>
        <v/>
      </c>
      <c r="N354" s="27">
        <f>IF(C354="","",L354-M354)</f>
        <v/>
      </c>
      <c r="O354" s="24" t="n"/>
      <c r="P354" s="27">
        <f>IF(C354="","",IF(O354="",0,MAX(0,O354-L354)))</f>
        <v/>
      </c>
      <c r="Q354" s="26">
        <f>IF(C354="","",IF(K354=0,"not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R354" s="22" t="n"/>
      <c r="S354" s="26">
        <f>IF(R354="","",HYPERLINK(IF(LEFT(R354,4)="http",R354,set_QwilrBase&amp;R354),"Open quote"))</f>
        <v/>
      </c>
      <c r="T354" s="24" t="n"/>
      <c r="U354" s="24" t="n"/>
      <c r="V354" s="24" t="n"/>
      <c r="W354" s="26">
        <f>IF(C354="","",IF(N(T354)+N(U354)+N(V354)=0,"Not split",IF(ROUND(N(T354)+N(U354)+N(V354),2)=ROUND(L354+P354,2),"OK",IF(K354=0,"Not invoiced yet","MISMATCH"))))</f>
        <v/>
      </c>
      <c r="X354" s="24" t="n"/>
      <c r="Y354" s="24" t="n"/>
      <c r="Z354" s="24" t="n"/>
      <c r="AA354" s="27">
        <f>IF(C354="","",N(X354)+N(Y354)+N(Z354))</f>
        <v/>
      </c>
      <c r="AB354" s="27">
        <f>IF(C354="","",L354+P354-AA354)</f>
        <v/>
      </c>
      <c r="AC354" s="29">
        <f>IFERROR(AB354/(L354+P354),"")</f>
        <v/>
      </c>
      <c r="AD354" s="22" t="n"/>
    </row>
    <row r="355" ht="15" customHeight="1">
      <c r="A355" s="70">
        <f>IF(C355="","",IFERROR(IF(SUMPRODUCT(MAX((tbl_Finance[Job Number]&amp;""=C355&amp;"")*(tbl_Finance[Xero Invoice No]&lt;&gt;"")*tbl_Finance[Date]))=0,"",SUMPRODUCT(MAX((tbl_Finance[Job Number]&amp;""=C355&amp;"")*(tbl_Finance[Xero Invoice No]&lt;&gt;"")*tbl_Finance[Date]))),""))</f>
        <v/>
      </c>
      <c r="B355" s="26">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2" t="n"/>
      <c r="D355" s="26">
        <f>IF(C355="","",IF(COUNTIF(lst_Jobs,C355&amp;"")&gt;0,"OK","CHECK"))</f>
        <v/>
      </c>
      <c r="E355" s="26">
        <f>IF(C355="","",IFERROR(INDEX(lst_JobName,MATCH(C355&amp;"",lst_Jobs,0)),""))</f>
        <v/>
      </c>
      <c r="F355" s="22" t="n"/>
      <c r="G355" s="22" t="n"/>
      <c r="H355" s="22" t="n"/>
      <c r="I355" s="22" t="n"/>
      <c r="J355" s="22" t="n"/>
      <c r="K355" s="28">
        <f>IF(C355="","",COUNTIFS(tbl_Finance[Job Number],C355&amp;"",tbl_Finance[Ex GST],"&lt;&gt;"))</f>
        <v/>
      </c>
      <c r="L355" s="27">
        <f>IF(C355="","",SUMIFS(tbl_Finance[Ex GST],tbl_Finance[Job Number],C355&amp;""))</f>
        <v/>
      </c>
      <c r="M355" s="27">
        <f>IF(C355="","",SUMIFS(tbl_Finance[Ex GST],tbl_Finance[Job Number],C355&amp;"",tbl_Finance[Xero Invoice No],"&lt;&gt;"))</f>
        <v/>
      </c>
      <c r="N355" s="27">
        <f>IF(C355="","",L355-M355)</f>
        <v/>
      </c>
      <c r="O355" s="24" t="n"/>
      <c r="P355" s="27">
        <f>IF(C355="","",IF(O355="",0,MAX(0,O355-L355)))</f>
        <v/>
      </c>
      <c r="Q355" s="26">
        <f>IF(C355="","",IF(K355=0,"not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R355" s="22" t="n"/>
      <c r="S355" s="26">
        <f>IF(R355="","",HYPERLINK(IF(LEFT(R355,4)="http",R355,set_QwilrBase&amp;R355),"Open quote"))</f>
        <v/>
      </c>
      <c r="T355" s="24" t="n"/>
      <c r="U355" s="24" t="n"/>
      <c r="V355" s="24" t="n"/>
      <c r="W355" s="26">
        <f>IF(C355="","",IF(N(T355)+N(U355)+N(V355)=0,"Not split",IF(ROUND(N(T355)+N(U355)+N(V355),2)=ROUND(L355+P355,2),"OK",IF(K355=0,"Not invoiced yet","MISMATCH"))))</f>
        <v/>
      </c>
      <c r="X355" s="24" t="n"/>
      <c r="Y355" s="24" t="n"/>
      <c r="Z355" s="24" t="n"/>
      <c r="AA355" s="27">
        <f>IF(C355="","",N(X355)+N(Y355)+N(Z355))</f>
        <v/>
      </c>
      <c r="AB355" s="27">
        <f>IF(C355="","",L355+P355-AA355)</f>
        <v/>
      </c>
      <c r="AC355" s="29">
        <f>IFERROR(AB355/(L355+P355),"")</f>
        <v/>
      </c>
      <c r="AD355" s="22" t="n"/>
    </row>
    <row r="356" ht="15" customHeight="1">
      <c r="A356" s="70">
        <f>IF(C356="","",IFERROR(IF(SUMPRODUCT(MAX((tbl_Finance[Job Number]&amp;""=C356&amp;"")*(tbl_Finance[Xero Invoice No]&lt;&gt;"")*tbl_Finance[Date]))=0,"",SUMPRODUCT(MAX((tbl_Finance[Job Number]&amp;""=C356&amp;"")*(tbl_Finance[Xero Invoice No]&lt;&gt;"")*tbl_Finance[Date]))),""))</f>
        <v/>
      </c>
      <c r="B356" s="26">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2" t="n"/>
      <c r="D356" s="26">
        <f>IF(C356="","",IF(COUNTIF(lst_Jobs,C356&amp;"")&gt;0,"OK","CHECK"))</f>
        <v/>
      </c>
      <c r="E356" s="26">
        <f>IF(C356="","",IFERROR(INDEX(lst_JobName,MATCH(C356&amp;"",lst_Jobs,0)),""))</f>
        <v/>
      </c>
      <c r="F356" s="22" t="n"/>
      <c r="G356" s="22" t="n"/>
      <c r="H356" s="22" t="n"/>
      <c r="I356" s="22" t="n"/>
      <c r="J356" s="22" t="n"/>
      <c r="K356" s="28">
        <f>IF(C356="","",COUNTIFS(tbl_Finance[Job Number],C356&amp;"",tbl_Finance[Ex GST],"&lt;&gt;"))</f>
        <v/>
      </c>
      <c r="L356" s="27">
        <f>IF(C356="","",SUMIFS(tbl_Finance[Ex GST],tbl_Finance[Job Number],C356&amp;""))</f>
        <v/>
      </c>
      <c r="M356" s="27">
        <f>IF(C356="","",SUMIFS(tbl_Finance[Ex GST],tbl_Finance[Job Number],C356&amp;"",tbl_Finance[Xero Invoice No],"&lt;&gt;"))</f>
        <v/>
      </c>
      <c r="N356" s="27">
        <f>IF(C356="","",L356-M356)</f>
        <v/>
      </c>
      <c r="O356" s="24" t="n"/>
      <c r="P356" s="27">
        <f>IF(C356="","",IF(O356="",0,MAX(0,O356-L356)))</f>
        <v/>
      </c>
      <c r="Q356" s="26">
        <f>IF(C356="","",IF(K356=0,"not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R356" s="22" t="n"/>
      <c r="S356" s="26">
        <f>IF(R356="","",HYPERLINK(IF(LEFT(R356,4)="http",R356,set_QwilrBase&amp;R356),"Open quote"))</f>
        <v/>
      </c>
      <c r="T356" s="24" t="n"/>
      <c r="U356" s="24" t="n"/>
      <c r="V356" s="24" t="n"/>
      <c r="W356" s="26">
        <f>IF(C356="","",IF(N(T356)+N(U356)+N(V356)=0,"Not split",IF(ROUND(N(T356)+N(U356)+N(V356),2)=ROUND(L356+P356,2),"OK",IF(K356=0,"Not invoiced yet","MISMATCH"))))</f>
        <v/>
      </c>
      <c r="X356" s="24" t="n"/>
      <c r="Y356" s="24" t="n"/>
      <c r="Z356" s="24" t="n"/>
      <c r="AA356" s="27">
        <f>IF(C356="","",N(X356)+N(Y356)+N(Z356))</f>
        <v/>
      </c>
      <c r="AB356" s="27">
        <f>IF(C356="","",L356+P356-AA356)</f>
        <v/>
      </c>
      <c r="AC356" s="29">
        <f>IFERROR(AB356/(L356+P356),"")</f>
        <v/>
      </c>
      <c r="AD356" s="22" t="n"/>
    </row>
    <row r="357" ht="15" customHeight="1">
      <c r="A357" s="70">
        <f>IF(C357="","",IFERROR(IF(SUMPRODUCT(MAX((tbl_Finance[Job Number]&amp;""=C357&amp;"")*(tbl_Finance[Xero Invoice No]&lt;&gt;"")*tbl_Finance[Date]))=0,"",SUMPRODUCT(MAX((tbl_Finance[Job Number]&amp;""=C357&amp;"")*(tbl_Finance[Xero Invoice No]&lt;&gt;"")*tbl_Finance[Date]))),""))</f>
        <v/>
      </c>
      <c r="B357" s="26">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2" t="n"/>
      <c r="D357" s="26">
        <f>IF(C357="","",IF(COUNTIF(lst_Jobs,C357&amp;"")&gt;0,"OK","CHECK"))</f>
        <v/>
      </c>
      <c r="E357" s="26">
        <f>IF(C357="","",IFERROR(INDEX(lst_JobName,MATCH(C357&amp;"",lst_Jobs,0)),""))</f>
        <v/>
      </c>
      <c r="F357" s="22" t="n"/>
      <c r="G357" s="22" t="n"/>
      <c r="H357" s="22" t="n"/>
      <c r="I357" s="22" t="n"/>
      <c r="J357" s="22" t="n"/>
      <c r="K357" s="28">
        <f>IF(C357="","",COUNTIFS(tbl_Finance[Job Number],C357&amp;"",tbl_Finance[Ex GST],"&lt;&gt;"))</f>
        <v/>
      </c>
      <c r="L357" s="27">
        <f>IF(C357="","",SUMIFS(tbl_Finance[Ex GST],tbl_Finance[Job Number],C357&amp;""))</f>
        <v/>
      </c>
      <c r="M357" s="27">
        <f>IF(C357="","",SUMIFS(tbl_Finance[Ex GST],tbl_Finance[Job Number],C357&amp;"",tbl_Finance[Xero Invoice No],"&lt;&gt;"))</f>
        <v/>
      </c>
      <c r="N357" s="27">
        <f>IF(C357="","",L357-M357)</f>
        <v/>
      </c>
      <c r="O357" s="24" t="n"/>
      <c r="P357" s="27">
        <f>IF(C357="","",IF(O357="",0,MAX(0,O357-L357)))</f>
        <v/>
      </c>
      <c r="Q357" s="26">
        <f>IF(C357="","",IF(K357=0,"not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R357" s="22" t="n"/>
      <c r="S357" s="26">
        <f>IF(R357="","",HYPERLINK(IF(LEFT(R357,4)="http",R357,set_QwilrBase&amp;R357),"Open quote"))</f>
        <v/>
      </c>
      <c r="T357" s="24" t="n"/>
      <c r="U357" s="24" t="n"/>
      <c r="V357" s="24" t="n"/>
      <c r="W357" s="26">
        <f>IF(C357="","",IF(N(T357)+N(U357)+N(V357)=0,"Not split",IF(ROUND(N(T357)+N(U357)+N(V357),2)=ROUND(L357+P357,2),"OK",IF(K357=0,"Not invoiced yet","MISMATCH"))))</f>
        <v/>
      </c>
      <c r="X357" s="24" t="n"/>
      <c r="Y357" s="24" t="n"/>
      <c r="Z357" s="24" t="n"/>
      <c r="AA357" s="27">
        <f>IF(C357="","",N(X357)+N(Y357)+N(Z357))</f>
        <v/>
      </c>
      <c r="AB357" s="27">
        <f>IF(C357="","",L357+P357-AA357)</f>
        <v/>
      </c>
      <c r="AC357" s="29">
        <f>IFERROR(AB357/(L357+P357),"")</f>
        <v/>
      </c>
      <c r="AD357" s="22" t="n"/>
    </row>
    <row r="358" ht="15" customHeight="1">
      <c r="A358" s="70">
        <f>IF(C358="","",IFERROR(IF(SUMPRODUCT(MAX((tbl_Finance[Job Number]&amp;""=C358&amp;"")*(tbl_Finance[Xero Invoice No]&lt;&gt;"")*tbl_Finance[Date]))=0,"",SUMPRODUCT(MAX((tbl_Finance[Job Number]&amp;""=C358&amp;"")*(tbl_Finance[Xero Invoice No]&lt;&gt;"")*tbl_Finance[Date]))),""))</f>
        <v/>
      </c>
      <c r="B358" s="26">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2" t="n"/>
      <c r="D358" s="26">
        <f>IF(C358="","",IF(COUNTIF(lst_Jobs,C358&amp;"")&gt;0,"OK","CHECK"))</f>
        <v/>
      </c>
      <c r="E358" s="26">
        <f>IF(C358="","",IFERROR(INDEX(lst_JobName,MATCH(C358&amp;"",lst_Jobs,0)),""))</f>
        <v/>
      </c>
      <c r="F358" s="22" t="n"/>
      <c r="G358" s="22" t="n"/>
      <c r="H358" s="22" t="n"/>
      <c r="I358" s="22" t="n"/>
      <c r="J358" s="22" t="n"/>
      <c r="K358" s="28">
        <f>IF(C358="","",COUNTIFS(tbl_Finance[Job Number],C358&amp;"",tbl_Finance[Ex GST],"&lt;&gt;"))</f>
        <v/>
      </c>
      <c r="L358" s="27">
        <f>IF(C358="","",SUMIFS(tbl_Finance[Ex GST],tbl_Finance[Job Number],C358&amp;""))</f>
        <v/>
      </c>
      <c r="M358" s="27">
        <f>IF(C358="","",SUMIFS(tbl_Finance[Ex GST],tbl_Finance[Job Number],C358&amp;"",tbl_Finance[Xero Invoice No],"&lt;&gt;"))</f>
        <v/>
      </c>
      <c r="N358" s="27">
        <f>IF(C358="","",L358-M358)</f>
        <v/>
      </c>
      <c r="O358" s="24" t="n"/>
      <c r="P358" s="27">
        <f>IF(C358="","",IF(O358="",0,MAX(0,O358-L358)))</f>
        <v/>
      </c>
      <c r="Q358" s="26">
        <f>IF(C358="","",IF(K358=0,"not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R358" s="22" t="n"/>
      <c r="S358" s="26">
        <f>IF(R358="","",HYPERLINK(IF(LEFT(R358,4)="http",R358,set_QwilrBase&amp;R358),"Open quote"))</f>
        <v/>
      </c>
      <c r="T358" s="24" t="n"/>
      <c r="U358" s="24" t="n"/>
      <c r="V358" s="24" t="n"/>
      <c r="W358" s="26">
        <f>IF(C358="","",IF(N(T358)+N(U358)+N(V358)=0,"Not split",IF(ROUND(N(T358)+N(U358)+N(V358),2)=ROUND(L358+P358,2),"OK",IF(K358=0,"Not invoiced yet","MISMATCH"))))</f>
        <v/>
      </c>
      <c r="X358" s="24" t="n"/>
      <c r="Y358" s="24" t="n"/>
      <c r="Z358" s="24" t="n"/>
      <c r="AA358" s="27">
        <f>IF(C358="","",N(X358)+N(Y358)+N(Z358))</f>
        <v/>
      </c>
      <c r="AB358" s="27">
        <f>IF(C358="","",L358+P358-AA358)</f>
        <v/>
      </c>
      <c r="AC358" s="29">
        <f>IFERROR(AB358/(L358+P358),"")</f>
        <v/>
      </c>
      <c r="AD358" s="22" t="n"/>
    </row>
    <row r="359" ht="15" customHeight="1">
      <c r="A359" s="70">
        <f>IF(C359="","",IFERROR(IF(SUMPRODUCT(MAX((tbl_Finance[Job Number]&amp;""=C359&amp;"")*(tbl_Finance[Xero Invoice No]&lt;&gt;"")*tbl_Finance[Date]))=0,"",SUMPRODUCT(MAX((tbl_Finance[Job Number]&amp;""=C359&amp;"")*(tbl_Finance[Xero Invoice No]&lt;&gt;"")*tbl_Finance[Date]))),""))</f>
        <v/>
      </c>
      <c r="B359" s="26">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2" t="n"/>
      <c r="D359" s="26">
        <f>IF(C359="","",IF(COUNTIF(lst_Jobs,C359&amp;"")&gt;0,"OK","CHECK"))</f>
        <v/>
      </c>
      <c r="E359" s="26">
        <f>IF(C359="","",IFERROR(INDEX(lst_JobName,MATCH(C359&amp;"",lst_Jobs,0)),""))</f>
        <v/>
      </c>
      <c r="F359" s="22" t="n"/>
      <c r="G359" s="22" t="n"/>
      <c r="H359" s="22" t="n"/>
      <c r="I359" s="22" t="n"/>
      <c r="J359" s="22" t="n"/>
      <c r="K359" s="28">
        <f>IF(C359="","",COUNTIFS(tbl_Finance[Job Number],C359&amp;"",tbl_Finance[Ex GST],"&lt;&gt;"))</f>
        <v/>
      </c>
      <c r="L359" s="27">
        <f>IF(C359="","",SUMIFS(tbl_Finance[Ex GST],tbl_Finance[Job Number],C359&amp;""))</f>
        <v/>
      </c>
      <c r="M359" s="27">
        <f>IF(C359="","",SUMIFS(tbl_Finance[Ex GST],tbl_Finance[Job Number],C359&amp;"",tbl_Finance[Xero Invoice No],"&lt;&gt;"))</f>
        <v/>
      </c>
      <c r="N359" s="27">
        <f>IF(C359="","",L359-M359)</f>
        <v/>
      </c>
      <c r="O359" s="24" t="n"/>
      <c r="P359" s="27">
        <f>IF(C359="","",IF(O359="",0,MAX(0,O359-L359)))</f>
        <v/>
      </c>
      <c r="Q359" s="26">
        <f>IF(C359="","",IF(K359=0,"not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R359" s="22" t="n"/>
      <c r="S359" s="26">
        <f>IF(R359="","",HYPERLINK(IF(LEFT(R359,4)="http",R359,set_QwilrBase&amp;R359),"Open quote"))</f>
        <v/>
      </c>
      <c r="T359" s="24" t="n"/>
      <c r="U359" s="24" t="n"/>
      <c r="V359" s="24" t="n"/>
      <c r="W359" s="26">
        <f>IF(C359="","",IF(N(T359)+N(U359)+N(V359)=0,"Not split",IF(ROUND(N(T359)+N(U359)+N(V359),2)=ROUND(L359+P359,2),"OK",IF(K359=0,"Not invoiced yet","MISMATCH"))))</f>
        <v/>
      </c>
      <c r="X359" s="24" t="n"/>
      <c r="Y359" s="24" t="n"/>
      <c r="Z359" s="24" t="n"/>
      <c r="AA359" s="27">
        <f>IF(C359="","",N(X359)+N(Y359)+N(Z359))</f>
        <v/>
      </c>
      <c r="AB359" s="27">
        <f>IF(C359="","",L359+P359-AA359)</f>
        <v/>
      </c>
      <c r="AC359" s="29">
        <f>IFERROR(AB359/(L359+P359),"")</f>
        <v/>
      </c>
      <c r="AD359" s="22" t="n"/>
    </row>
    <row r="360" ht="15" customHeight="1">
      <c r="A360" s="70">
        <f>IF(C360="","",IFERROR(IF(SUMPRODUCT(MAX((tbl_Finance[Job Number]&amp;""=C360&amp;"")*(tbl_Finance[Xero Invoice No]&lt;&gt;"")*tbl_Finance[Date]))=0,"",SUMPRODUCT(MAX((tbl_Finance[Job Number]&amp;""=C360&amp;"")*(tbl_Finance[Xero Invoice No]&lt;&gt;"")*tbl_Finance[Date]))),""))</f>
        <v/>
      </c>
      <c r="B360" s="26">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2" t="n"/>
      <c r="D360" s="26">
        <f>IF(C360="","",IF(COUNTIF(lst_Jobs,C360&amp;"")&gt;0,"OK","CHECK"))</f>
        <v/>
      </c>
      <c r="E360" s="26">
        <f>IF(C360="","",IFERROR(INDEX(lst_JobName,MATCH(C360&amp;"",lst_Jobs,0)),""))</f>
        <v/>
      </c>
      <c r="F360" s="22" t="n"/>
      <c r="G360" s="22" t="n"/>
      <c r="H360" s="22" t="n"/>
      <c r="I360" s="22" t="n"/>
      <c r="J360" s="22" t="n"/>
      <c r="K360" s="28">
        <f>IF(C360="","",COUNTIFS(tbl_Finance[Job Number],C360&amp;"",tbl_Finance[Ex GST],"&lt;&gt;"))</f>
        <v/>
      </c>
      <c r="L360" s="27">
        <f>IF(C360="","",SUMIFS(tbl_Finance[Ex GST],tbl_Finance[Job Number],C360&amp;""))</f>
        <v/>
      </c>
      <c r="M360" s="27">
        <f>IF(C360="","",SUMIFS(tbl_Finance[Ex GST],tbl_Finance[Job Number],C360&amp;"",tbl_Finance[Xero Invoice No],"&lt;&gt;"))</f>
        <v/>
      </c>
      <c r="N360" s="27">
        <f>IF(C360="","",L360-M360)</f>
        <v/>
      </c>
      <c r="O360" s="24" t="n"/>
      <c r="P360" s="27">
        <f>IF(C360="","",IF(O360="",0,MAX(0,O360-L360)))</f>
        <v/>
      </c>
      <c r="Q360" s="26">
        <f>IF(C360="","",IF(K360=0,"not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R360" s="22" t="n"/>
      <c r="S360" s="26">
        <f>IF(R360="","",HYPERLINK(IF(LEFT(R360,4)="http",R360,set_QwilrBase&amp;R360),"Open quote"))</f>
        <v/>
      </c>
      <c r="T360" s="24" t="n"/>
      <c r="U360" s="24" t="n"/>
      <c r="V360" s="24" t="n"/>
      <c r="W360" s="26">
        <f>IF(C360="","",IF(N(T360)+N(U360)+N(V360)=0,"Not split",IF(ROUND(N(T360)+N(U360)+N(V360),2)=ROUND(L360+P360,2),"OK",IF(K360=0,"Not invoiced yet","MISMATCH"))))</f>
        <v/>
      </c>
      <c r="X360" s="24" t="n"/>
      <c r="Y360" s="24" t="n"/>
      <c r="Z360" s="24" t="n"/>
      <c r="AA360" s="27">
        <f>IF(C360="","",N(X360)+N(Y360)+N(Z360))</f>
        <v/>
      </c>
      <c r="AB360" s="27">
        <f>IF(C360="","",L360+P360-AA360)</f>
        <v/>
      </c>
      <c r="AC360" s="29">
        <f>IFERROR(AB360/(L360+P360),"")</f>
        <v/>
      </c>
      <c r="AD360" s="22" t="n"/>
    </row>
    <row r="361" ht="15" customHeight="1">
      <c r="A361" s="70">
        <f>IF(C361="","",IFERROR(IF(SUMPRODUCT(MAX((tbl_Finance[Job Number]&amp;""=C361&amp;"")*(tbl_Finance[Xero Invoice No]&lt;&gt;"")*tbl_Finance[Date]))=0,"",SUMPRODUCT(MAX((tbl_Finance[Job Number]&amp;""=C361&amp;"")*(tbl_Finance[Xero Invoice No]&lt;&gt;"")*tbl_Finance[Date]))),""))</f>
        <v/>
      </c>
      <c r="B361" s="26">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2" t="n"/>
      <c r="D361" s="26">
        <f>IF(C361="","",IF(COUNTIF(lst_Jobs,C361&amp;"")&gt;0,"OK","CHECK"))</f>
        <v/>
      </c>
      <c r="E361" s="26">
        <f>IF(C361="","",IFERROR(INDEX(lst_JobName,MATCH(C361&amp;"",lst_Jobs,0)),""))</f>
        <v/>
      </c>
      <c r="F361" s="22" t="n"/>
      <c r="G361" s="22" t="n"/>
      <c r="H361" s="22" t="n"/>
      <c r="I361" s="22" t="n"/>
      <c r="J361" s="22" t="n"/>
      <c r="K361" s="28">
        <f>IF(C361="","",COUNTIFS(tbl_Finance[Job Number],C361&amp;"",tbl_Finance[Ex GST],"&lt;&gt;"))</f>
        <v/>
      </c>
      <c r="L361" s="27">
        <f>IF(C361="","",SUMIFS(tbl_Finance[Ex GST],tbl_Finance[Job Number],C361&amp;""))</f>
        <v/>
      </c>
      <c r="M361" s="27">
        <f>IF(C361="","",SUMIFS(tbl_Finance[Ex GST],tbl_Finance[Job Number],C361&amp;"",tbl_Finance[Xero Invoice No],"&lt;&gt;"))</f>
        <v/>
      </c>
      <c r="N361" s="27">
        <f>IF(C361="","",L361-M361)</f>
        <v/>
      </c>
      <c r="O361" s="24" t="n"/>
      <c r="P361" s="27">
        <f>IF(C361="","",IF(O361="",0,MAX(0,O361-L361)))</f>
        <v/>
      </c>
      <c r="Q361" s="26">
        <f>IF(C361="","",IF(K361=0,"not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R361" s="22" t="n"/>
      <c r="S361" s="26">
        <f>IF(R361="","",HYPERLINK(IF(LEFT(R361,4)="http",R361,set_QwilrBase&amp;R361),"Open quote"))</f>
        <v/>
      </c>
      <c r="T361" s="24" t="n"/>
      <c r="U361" s="24" t="n"/>
      <c r="V361" s="24" t="n"/>
      <c r="W361" s="26">
        <f>IF(C361="","",IF(N(T361)+N(U361)+N(V361)=0,"Not split",IF(ROUND(N(T361)+N(U361)+N(V361),2)=ROUND(L361+P361,2),"OK",IF(K361=0,"Not invoiced yet","MISMATCH"))))</f>
        <v/>
      </c>
      <c r="X361" s="24" t="n"/>
      <c r="Y361" s="24" t="n"/>
      <c r="Z361" s="24" t="n"/>
      <c r="AA361" s="27">
        <f>IF(C361="","",N(X361)+N(Y361)+N(Z361))</f>
        <v/>
      </c>
      <c r="AB361" s="27">
        <f>IF(C361="","",L361+P361-AA361)</f>
        <v/>
      </c>
      <c r="AC361" s="29">
        <f>IFERROR(AB361/(L361+P361),"")</f>
        <v/>
      </c>
      <c r="AD361" s="22" t="n"/>
    </row>
    <row r="362" ht="15" customHeight="1">
      <c r="A362" s="70">
        <f>IF(C362="","",IFERROR(IF(SUMPRODUCT(MAX((tbl_Finance[Job Number]&amp;""=C362&amp;"")*(tbl_Finance[Xero Invoice No]&lt;&gt;"")*tbl_Finance[Date]))=0,"",SUMPRODUCT(MAX((tbl_Finance[Job Number]&amp;""=C362&amp;"")*(tbl_Finance[Xero Invoice No]&lt;&gt;"")*tbl_Finance[Date]))),""))</f>
        <v/>
      </c>
      <c r="B362" s="26">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2" t="n"/>
      <c r="D362" s="26">
        <f>IF(C362="","",IF(COUNTIF(lst_Jobs,C362&amp;"")&gt;0,"OK","CHECK"))</f>
        <v/>
      </c>
      <c r="E362" s="26">
        <f>IF(C362="","",IFERROR(INDEX(lst_JobName,MATCH(C362&amp;"",lst_Jobs,0)),""))</f>
        <v/>
      </c>
      <c r="F362" s="22" t="n"/>
      <c r="G362" s="22" t="n"/>
      <c r="H362" s="22" t="n"/>
      <c r="I362" s="22" t="n"/>
      <c r="J362" s="22" t="n"/>
      <c r="K362" s="28">
        <f>IF(C362="","",COUNTIFS(tbl_Finance[Job Number],C362&amp;"",tbl_Finance[Ex GST],"&lt;&gt;"))</f>
        <v/>
      </c>
      <c r="L362" s="27">
        <f>IF(C362="","",SUMIFS(tbl_Finance[Ex GST],tbl_Finance[Job Number],C362&amp;""))</f>
        <v/>
      </c>
      <c r="M362" s="27">
        <f>IF(C362="","",SUMIFS(tbl_Finance[Ex GST],tbl_Finance[Job Number],C362&amp;"",tbl_Finance[Xero Invoice No],"&lt;&gt;"))</f>
        <v/>
      </c>
      <c r="N362" s="27">
        <f>IF(C362="","",L362-M362)</f>
        <v/>
      </c>
      <c r="O362" s="24" t="n"/>
      <c r="P362" s="27">
        <f>IF(C362="","",IF(O362="",0,MAX(0,O362-L362)))</f>
        <v/>
      </c>
      <c r="Q362" s="26">
        <f>IF(C362="","",IF(K362=0,"not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R362" s="22" t="n"/>
      <c r="S362" s="26">
        <f>IF(R362="","",HYPERLINK(IF(LEFT(R362,4)="http",R362,set_QwilrBase&amp;R362),"Open quote"))</f>
        <v/>
      </c>
      <c r="T362" s="24" t="n"/>
      <c r="U362" s="24" t="n"/>
      <c r="V362" s="24" t="n"/>
      <c r="W362" s="26">
        <f>IF(C362="","",IF(N(T362)+N(U362)+N(V362)=0,"Not split",IF(ROUND(N(T362)+N(U362)+N(V362),2)=ROUND(L362+P362,2),"OK",IF(K362=0,"Not invoiced yet","MISMATCH"))))</f>
        <v/>
      </c>
      <c r="X362" s="24" t="n"/>
      <c r="Y362" s="24" t="n"/>
      <c r="Z362" s="24" t="n"/>
      <c r="AA362" s="27">
        <f>IF(C362="","",N(X362)+N(Y362)+N(Z362))</f>
        <v/>
      </c>
      <c r="AB362" s="27">
        <f>IF(C362="","",L362+P362-AA362)</f>
        <v/>
      </c>
      <c r="AC362" s="29">
        <f>IFERROR(AB362/(L362+P362),"")</f>
        <v/>
      </c>
      <c r="AD362" s="22" t="n"/>
    </row>
    <row r="363" ht="15" customHeight="1">
      <c r="A363" s="70">
        <f>IF(C363="","",IFERROR(IF(SUMPRODUCT(MAX((tbl_Finance[Job Number]&amp;""=C363&amp;"")*(tbl_Finance[Xero Invoice No]&lt;&gt;"")*tbl_Finance[Date]))=0,"",SUMPRODUCT(MAX((tbl_Finance[Job Number]&amp;""=C363&amp;"")*(tbl_Finance[Xero Invoice No]&lt;&gt;"")*tbl_Finance[Date]))),""))</f>
        <v/>
      </c>
      <c r="B363" s="26">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2" t="n"/>
      <c r="D363" s="26">
        <f>IF(C363="","",IF(COUNTIF(lst_Jobs,C363&amp;"")&gt;0,"OK","CHECK"))</f>
        <v/>
      </c>
      <c r="E363" s="26">
        <f>IF(C363="","",IFERROR(INDEX(lst_JobName,MATCH(C363&amp;"",lst_Jobs,0)),""))</f>
        <v/>
      </c>
      <c r="F363" s="22" t="n"/>
      <c r="G363" s="22" t="n"/>
      <c r="H363" s="22" t="n"/>
      <c r="I363" s="22" t="n"/>
      <c r="J363" s="22" t="n"/>
      <c r="K363" s="28">
        <f>IF(C363="","",COUNTIFS(tbl_Finance[Job Number],C363&amp;"",tbl_Finance[Ex GST],"&lt;&gt;"))</f>
        <v/>
      </c>
      <c r="L363" s="27">
        <f>IF(C363="","",SUMIFS(tbl_Finance[Ex GST],tbl_Finance[Job Number],C363&amp;""))</f>
        <v/>
      </c>
      <c r="M363" s="27">
        <f>IF(C363="","",SUMIFS(tbl_Finance[Ex GST],tbl_Finance[Job Number],C363&amp;"",tbl_Finance[Xero Invoice No],"&lt;&gt;"))</f>
        <v/>
      </c>
      <c r="N363" s="27">
        <f>IF(C363="","",L363-M363)</f>
        <v/>
      </c>
      <c r="O363" s="24" t="n"/>
      <c r="P363" s="27">
        <f>IF(C363="","",IF(O363="",0,MAX(0,O363-L363)))</f>
        <v/>
      </c>
      <c r="Q363" s="26">
        <f>IF(C363="","",IF(K363=0,"not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R363" s="22" t="n"/>
      <c r="S363" s="26">
        <f>IF(R363="","",HYPERLINK(IF(LEFT(R363,4)="http",R363,set_QwilrBase&amp;R363),"Open quote"))</f>
        <v/>
      </c>
      <c r="T363" s="24" t="n"/>
      <c r="U363" s="24" t="n"/>
      <c r="V363" s="24" t="n"/>
      <c r="W363" s="26">
        <f>IF(C363="","",IF(N(T363)+N(U363)+N(V363)=0,"Not split",IF(ROUND(N(T363)+N(U363)+N(V363),2)=ROUND(L363+P363,2),"OK",IF(K363=0,"Not invoiced yet","MISMATCH"))))</f>
        <v/>
      </c>
      <c r="X363" s="24" t="n"/>
      <c r="Y363" s="24" t="n"/>
      <c r="Z363" s="24" t="n"/>
      <c r="AA363" s="27">
        <f>IF(C363="","",N(X363)+N(Y363)+N(Z363))</f>
        <v/>
      </c>
      <c r="AB363" s="27">
        <f>IF(C363="","",L363+P363-AA363)</f>
        <v/>
      </c>
      <c r="AC363" s="29">
        <f>IFERROR(AB363/(L363+P363),"")</f>
        <v/>
      </c>
      <c r="AD363" s="22" t="n"/>
    </row>
    <row r="364" ht="15" customHeight="1">
      <c r="A364" s="70">
        <f>IF(C364="","",IFERROR(IF(SUMPRODUCT(MAX((tbl_Finance[Job Number]&amp;""=C364&amp;"")*(tbl_Finance[Xero Invoice No]&lt;&gt;"")*tbl_Finance[Date]))=0,"",SUMPRODUCT(MAX((tbl_Finance[Job Number]&amp;""=C364&amp;"")*(tbl_Finance[Xero Invoice No]&lt;&gt;"")*tbl_Finance[Date]))),""))</f>
        <v/>
      </c>
      <c r="B364" s="26">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2" t="n"/>
      <c r="D364" s="26">
        <f>IF(C364="","",IF(COUNTIF(lst_Jobs,C364&amp;"")&gt;0,"OK","CHECK"))</f>
        <v/>
      </c>
      <c r="E364" s="26">
        <f>IF(C364="","",IFERROR(INDEX(lst_JobName,MATCH(C364&amp;"",lst_Jobs,0)),""))</f>
        <v/>
      </c>
      <c r="F364" s="22" t="n"/>
      <c r="G364" s="22" t="n"/>
      <c r="H364" s="22" t="n"/>
      <c r="I364" s="22" t="n"/>
      <c r="J364" s="22" t="n"/>
      <c r="K364" s="28">
        <f>IF(C364="","",COUNTIFS(tbl_Finance[Job Number],C364&amp;"",tbl_Finance[Ex GST],"&lt;&gt;"))</f>
        <v/>
      </c>
      <c r="L364" s="27">
        <f>IF(C364="","",SUMIFS(tbl_Finance[Ex GST],tbl_Finance[Job Number],C364&amp;""))</f>
        <v/>
      </c>
      <c r="M364" s="27">
        <f>IF(C364="","",SUMIFS(tbl_Finance[Ex GST],tbl_Finance[Job Number],C364&amp;"",tbl_Finance[Xero Invoice No],"&lt;&gt;"))</f>
        <v/>
      </c>
      <c r="N364" s="27">
        <f>IF(C364="","",L364-M364)</f>
        <v/>
      </c>
      <c r="O364" s="24" t="n"/>
      <c r="P364" s="27">
        <f>IF(C364="","",IF(O364="",0,MAX(0,O364-L364)))</f>
        <v/>
      </c>
      <c r="Q364" s="26">
        <f>IF(C364="","",IF(K364=0,"not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R364" s="22" t="n"/>
      <c r="S364" s="26">
        <f>IF(R364="","",HYPERLINK(IF(LEFT(R364,4)="http",R364,set_QwilrBase&amp;R364),"Open quote"))</f>
        <v/>
      </c>
      <c r="T364" s="24" t="n"/>
      <c r="U364" s="24" t="n"/>
      <c r="V364" s="24" t="n"/>
      <c r="W364" s="26">
        <f>IF(C364="","",IF(N(T364)+N(U364)+N(V364)=0,"Not split",IF(ROUND(N(T364)+N(U364)+N(V364),2)=ROUND(L364+P364,2),"OK",IF(K364=0,"Not invoiced yet","MISMATCH"))))</f>
        <v/>
      </c>
      <c r="X364" s="24" t="n"/>
      <c r="Y364" s="24" t="n"/>
      <c r="Z364" s="24" t="n"/>
      <c r="AA364" s="27">
        <f>IF(C364="","",N(X364)+N(Y364)+N(Z364))</f>
        <v/>
      </c>
      <c r="AB364" s="27">
        <f>IF(C364="","",L364+P364-AA364)</f>
        <v/>
      </c>
      <c r="AC364" s="29">
        <f>IFERROR(AB364/(L364+P364),"")</f>
        <v/>
      </c>
      <c r="AD364" s="22" t="n"/>
    </row>
    <row r="365" ht="15" customHeight="1">
      <c r="A365" s="70">
        <f>IF(C365="","",IFERROR(IF(SUMPRODUCT(MAX((tbl_Finance[Job Number]&amp;""=C365&amp;"")*(tbl_Finance[Xero Invoice No]&lt;&gt;"")*tbl_Finance[Date]))=0,"",SUMPRODUCT(MAX((tbl_Finance[Job Number]&amp;""=C365&amp;"")*(tbl_Finance[Xero Invoice No]&lt;&gt;"")*tbl_Finance[Date]))),""))</f>
        <v/>
      </c>
      <c r="B365" s="26">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2" t="n"/>
      <c r="D365" s="26">
        <f>IF(C365="","",IF(COUNTIF(lst_Jobs,C365&amp;"")&gt;0,"OK","CHECK"))</f>
        <v/>
      </c>
      <c r="E365" s="26">
        <f>IF(C365="","",IFERROR(INDEX(lst_JobName,MATCH(C365&amp;"",lst_Jobs,0)),""))</f>
        <v/>
      </c>
      <c r="F365" s="22" t="n"/>
      <c r="G365" s="22" t="n"/>
      <c r="H365" s="22" t="n"/>
      <c r="I365" s="22" t="n"/>
      <c r="J365" s="22" t="n"/>
      <c r="K365" s="28">
        <f>IF(C365="","",COUNTIFS(tbl_Finance[Job Number],C365&amp;"",tbl_Finance[Ex GST],"&lt;&gt;"))</f>
        <v/>
      </c>
      <c r="L365" s="27">
        <f>IF(C365="","",SUMIFS(tbl_Finance[Ex GST],tbl_Finance[Job Number],C365&amp;""))</f>
        <v/>
      </c>
      <c r="M365" s="27">
        <f>IF(C365="","",SUMIFS(tbl_Finance[Ex GST],tbl_Finance[Job Number],C365&amp;"",tbl_Finance[Xero Invoice No],"&lt;&gt;"))</f>
        <v/>
      </c>
      <c r="N365" s="27">
        <f>IF(C365="","",L365-M365)</f>
        <v/>
      </c>
      <c r="O365" s="24" t="n"/>
      <c r="P365" s="27">
        <f>IF(C365="","",IF(O365="",0,MAX(0,O365-L365)))</f>
        <v/>
      </c>
      <c r="Q365" s="26">
        <f>IF(C365="","",IF(K365=0,"not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R365" s="22" t="n"/>
      <c r="S365" s="26">
        <f>IF(R365="","",HYPERLINK(IF(LEFT(R365,4)="http",R365,set_QwilrBase&amp;R365),"Open quote"))</f>
        <v/>
      </c>
      <c r="T365" s="24" t="n"/>
      <c r="U365" s="24" t="n"/>
      <c r="V365" s="24" t="n"/>
      <c r="W365" s="26">
        <f>IF(C365="","",IF(N(T365)+N(U365)+N(V365)=0,"Not split",IF(ROUND(N(T365)+N(U365)+N(V365),2)=ROUND(L365+P365,2),"OK",IF(K365=0,"Not invoiced yet","MISMATCH"))))</f>
        <v/>
      </c>
      <c r="X365" s="24" t="n"/>
      <c r="Y365" s="24" t="n"/>
      <c r="Z365" s="24" t="n"/>
      <c r="AA365" s="27">
        <f>IF(C365="","",N(X365)+N(Y365)+N(Z365))</f>
        <v/>
      </c>
      <c r="AB365" s="27">
        <f>IF(C365="","",L365+P365-AA365)</f>
        <v/>
      </c>
      <c r="AC365" s="29">
        <f>IFERROR(AB365/(L365+P365),"")</f>
        <v/>
      </c>
      <c r="AD365" s="22" t="n"/>
    </row>
    <row r="366" ht="15" customHeight="1">
      <c r="A366" s="70">
        <f>IF(C366="","",IFERROR(IF(SUMPRODUCT(MAX((tbl_Finance[Job Number]&amp;""=C366&amp;"")*(tbl_Finance[Xero Invoice No]&lt;&gt;"")*tbl_Finance[Date]))=0,"",SUMPRODUCT(MAX((tbl_Finance[Job Number]&amp;""=C366&amp;"")*(tbl_Finance[Xero Invoice No]&lt;&gt;"")*tbl_Finance[Date]))),""))</f>
        <v/>
      </c>
      <c r="B366" s="26">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2" t="n"/>
      <c r="D366" s="26">
        <f>IF(C366="","",IF(COUNTIF(lst_Jobs,C366&amp;"")&gt;0,"OK","CHECK"))</f>
        <v/>
      </c>
      <c r="E366" s="26">
        <f>IF(C366="","",IFERROR(INDEX(lst_JobName,MATCH(C366&amp;"",lst_Jobs,0)),""))</f>
        <v/>
      </c>
      <c r="F366" s="22" t="n"/>
      <c r="G366" s="22" t="n"/>
      <c r="H366" s="22" t="n"/>
      <c r="I366" s="22" t="n"/>
      <c r="J366" s="22" t="n"/>
      <c r="K366" s="28">
        <f>IF(C366="","",COUNTIFS(tbl_Finance[Job Number],C366&amp;"",tbl_Finance[Ex GST],"&lt;&gt;"))</f>
        <v/>
      </c>
      <c r="L366" s="27">
        <f>IF(C366="","",SUMIFS(tbl_Finance[Ex GST],tbl_Finance[Job Number],C366&amp;""))</f>
        <v/>
      </c>
      <c r="M366" s="27">
        <f>IF(C366="","",SUMIFS(tbl_Finance[Ex GST],tbl_Finance[Job Number],C366&amp;"",tbl_Finance[Xero Invoice No],"&lt;&gt;"))</f>
        <v/>
      </c>
      <c r="N366" s="27">
        <f>IF(C366="","",L366-M366)</f>
        <v/>
      </c>
      <c r="O366" s="24" t="n"/>
      <c r="P366" s="27">
        <f>IF(C366="","",IF(O366="",0,MAX(0,O366-L366)))</f>
        <v/>
      </c>
      <c r="Q366" s="26">
        <f>IF(C366="","",IF(K366=0,"not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R366" s="22" t="n"/>
      <c r="S366" s="26">
        <f>IF(R366="","",HYPERLINK(IF(LEFT(R366,4)="http",R366,set_QwilrBase&amp;R366),"Open quote"))</f>
        <v/>
      </c>
      <c r="T366" s="24" t="n"/>
      <c r="U366" s="24" t="n"/>
      <c r="V366" s="24" t="n"/>
      <c r="W366" s="26">
        <f>IF(C366="","",IF(N(T366)+N(U366)+N(V366)=0,"Not split",IF(ROUND(N(T366)+N(U366)+N(V366),2)=ROUND(L366+P366,2),"OK",IF(K366=0,"Not invoiced yet","MISMATCH"))))</f>
        <v/>
      </c>
      <c r="X366" s="24" t="n"/>
      <c r="Y366" s="24" t="n"/>
      <c r="Z366" s="24" t="n"/>
      <c r="AA366" s="27">
        <f>IF(C366="","",N(X366)+N(Y366)+N(Z366))</f>
        <v/>
      </c>
      <c r="AB366" s="27">
        <f>IF(C366="","",L366+P366-AA366)</f>
        <v/>
      </c>
      <c r="AC366" s="29">
        <f>IFERROR(AB366/(L366+P366),"")</f>
        <v/>
      </c>
      <c r="AD366" s="22" t="n"/>
    </row>
    <row r="367" ht="15" customHeight="1">
      <c r="A367" s="70">
        <f>IF(C367="","",IFERROR(IF(SUMPRODUCT(MAX((tbl_Finance[Job Number]&amp;""=C367&amp;"")*(tbl_Finance[Xero Invoice No]&lt;&gt;"")*tbl_Finance[Date]))=0,"",SUMPRODUCT(MAX((tbl_Finance[Job Number]&amp;""=C367&amp;"")*(tbl_Finance[Xero Invoice No]&lt;&gt;"")*tbl_Finance[Date]))),""))</f>
        <v/>
      </c>
      <c r="B367" s="26">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2" t="n"/>
      <c r="D367" s="26">
        <f>IF(C367="","",IF(COUNTIF(lst_Jobs,C367&amp;"")&gt;0,"OK","CHECK"))</f>
        <v/>
      </c>
      <c r="E367" s="26">
        <f>IF(C367="","",IFERROR(INDEX(lst_JobName,MATCH(C367&amp;"",lst_Jobs,0)),""))</f>
        <v/>
      </c>
      <c r="F367" s="22" t="n"/>
      <c r="G367" s="22" t="n"/>
      <c r="H367" s="22" t="n"/>
      <c r="I367" s="22" t="n"/>
      <c r="J367" s="22" t="n"/>
      <c r="K367" s="28">
        <f>IF(C367="","",COUNTIFS(tbl_Finance[Job Number],C367&amp;"",tbl_Finance[Ex GST],"&lt;&gt;"))</f>
        <v/>
      </c>
      <c r="L367" s="27">
        <f>IF(C367="","",SUMIFS(tbl_Finance[Ex GST],tbl_Finance[Job Number],C367&amp;""))</f>
        <v/>
      </c>
      <c r="M367" s="27">
        <f>IF(C367="","",SUMIFS(tbl_Finance[Ex GST],tbl_Finance[Job Number],C367&amp;"",tbl_Finance[Xero Invoice No],"&lt;&gt;"))</f>
        <v/>
      </c>
      <c r="N367" s="27">
        <f>IF(C367="","",L367-M367)</f>
        <v/>
      </c>
      <c r="O367" s="24" t="n"/>
      <c r="P367" s="27">
        <f>IF(C367="","",IF(O367="",0,MAX(0,O367-L367)))</f>
        <v/>
      </c>
      <c r="Q367" s="26">
        <f>IF(C367="","",IF(K367=0,"not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R367" s="22" t="n"/>
      <c r="S367" s="26">
        <f>IF(R367="","",HYPERLINK(IF(LEFT(R367,4)="http",R367,set_QwilrBase&amp;R367),"Open quote"))</f>
        <v/>
      </c>
      <c r="T367" s="24" t="n"/>
      <c r="U367" s="24" t="n"/>
      <c r="V367" s="24" t="n"/>
      <c r="W367" s="26">
        <f>IF(C367="","",IF(N(T367)+N(U367)+N(V367)=0,"Not split",IF(ROUND(N(T367)+N(U367)+N(V367),2)=ROUND(L367+P367,2),"OK",IF(K367=0,"Not invoiced yet","MISMATCH"))))</f>
        <v/>
      </c>
      <c r="X367" s="24" t="n"/>
      <c r="Y367" s="24" t="n"/>
      <c r="Z367" s="24" t="n"/>
      <c r="AA367" s="27">
        <f>IF(C367="","",N(X367)+N(Y367)+N(Z367))</f>
        <v/>
      </c>
      <c r="AB367" s="27">
        <f>IF(C367="","",L367+P367-AA367)</f>
        <v/>
      </c>
      <c r="AC367" s="29">
        <f>IFERROR(AB367/(L367+P367),"")</f>
        <v/>
      </c>
      <c r="AD367" s="22" t="n"/>
    </row>
    <row r="368" ht="15" customHeight="1">
      <c r="A368" s="70">
        <f>IF(C368="","",IFERROR(IF(SUMPRODUCT(MAX((tbl_Finance[Job Number]&amp;""=C368&amp;"")*(tbl_Finance[Xero Invoice No]&lt;&gt;"")*tbl_Finance[Date]))=0,"",SUMPRODUCT(MAX((tbl_Finance[Job Number]&amp;""=C368&amp;"")*(tbl_Finance[Xero Invoice No]&lt;&gt;"")*tbl_Finance[Date]))),""))</f>
        <v/>
      </c>
      <c r="B368" s="26">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2" t="n"/>
      <c r="D368" s="26">
        <f>IF(C368="","",IF(COUNTIF(lst_Jobs,C368&amp;"")&gt;0,"OK","CHECK"))</f>
        <v/>
      </c>
      <c r="E368" s="26">
        <f>IF(C368="","",IFERROR(INDEX(lst_JobName,MATCH(C368&amp;"",lst_Jobs,0)),""))</f>
        <v/>
      </c>
      <c r="F368" s="22" t="n"/>
      <c r="G368" s="22" t="n"/>
      <c r="H368" s="22" t="n"/>
      <c r="I368" s="22" t="n"/>
      <c r="J368" s="22" t="n"/>
      <c r="K368" s="28">
        <f>IF(C368="","",COUNTIFS(tbl_Finance[Job Number],C368&amp;"",tbl_Finance[Ex GST],"&lt;&gt;"))</f>
        <v/>
      </c>
      <c r="L368" s="27">
        <f>IF(C368="","",SUMIFS(tbl_Finance[Ex GST],tbl_Finance[Job Number],C368&amp;""))</f>
        <v/>
      </c>
      <c r="M368" s="27">
        <f>IF(C368="","",SUMIFS(tbl_Finance[Ex GST],tbl_Finance[Job Number],C368&amp;"",tbl_Finance[Xero Invoice No],"&lt;&gt;"))</f>
        <v/>
      </c>
      <c r="N368" s="27">
        <f>IF(C368="","",L368-M368)</f>
        <v/>
      </c>
      <c r="O368" s="24" t="n"/>
      <c r="P368" s="27">
        <f>IF(C368="","",IF(O368="",0,MAX(0,O368-L368)))</f>
        <v/>
      </c>
      <c r="Q368" s="26">
        <f>IF(C368="","",IF(K368=0,"not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R368" s="22" t="n"/>
      <c r="S368" s="26">
        <f>IF(R368="","",HYPERLINK(IF(LEFT(R368,4)="http",R368,set_QwilrBase&amp;R368),"Open quote"))</f>
        <v/>
      </c>
      <c r="T368" s="24" t="n"/>
      <c r="U368" s="24" t="n"/>
      <c r="V368" s="24" t="n"/>
      <c r="W368" s="26">
        <f>IF(C368="","",IF(N(T368)+N(U368)+N(V368)=0,"Not split",IF(ROUND(N(T368)+N(U368)+N(V368),2)=ROUND(L368+P368,2),"OK",IF(K368=0,"Not invoiced yet","MISMATCH"))))</f>
        <v/>
      </c>
      <c r="X368" s="24" t="n"/>
      <c r="Y368" s="24" t="n"/>
      <c r="Z368" s="24" t="n"/>
      <c r="AA368" s="27">
        <f>IF(C368="","",N(X368)+N(Y368)+N(Z368))</f>
        <v/>
      </c>
      <c r="AB368" s="27">
        <f>IF(C368="","",L368+P368-AA368)</f>
        <v/>
      </c>
      <c r="AC368" s="29">
        <f>IFERROR(AB368/(L368+P368),"")</f>
        <v/>
      </c>
      <c r="AD368" s="22" t="n"/>
    </row>
    <row r="369" ht="15" customHeight="1">
      <c r="A369" s="70">
        <f>IF(C369="","",IFERROR(IF(SUMPRODUCT(MAX((tbl_Finance[Job Number]&amp;""=C369&amp;"")*(tbl_Finance[Xero Invoice No]&lt;&gt;"")*tbl_Finance[Date]))=0,"",SUMPRODUCT(MAX((tbl_Finance[Job Number]&amp;""=C369&amp;"")*(tbl_Finance[Xero Invoice No]&lt;&gt;"")*tbl_Finance[Date]))),""))</f>
        <v/>
      </c>
      <c r="B369" s="26">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2" t="n"/>
      <c r="D369" s="26">
        <f>IF(C369="","",IF(COUNTIF(lst_Jobs,C369&amp;"")&gt;0,"OK","CHECK"))</f>
        <v/>
      </c>
      <c r="E369" s="26">
        <f>IF(C369="","",IFERROR(INDEX(lst_JobName,MATCH(C369&amp;"",lst_Jobs,0)),""))</f>
        <v/>
      </c>
      <c r="F369" s="22" t="n"/>
      <c r="G369" s="22" t="n"/>
      <c r="H369" s="22" t="n"/>
      <c r="I369" s="22" t="n"/>
      <c r="J369" s="22" t="n"/>
      <c r="K369" s="28">
        <f>IF(C369="","",COUNTIFS(tbl_Finance[Job Number],C369&amp;"",tbl_Finance[Ex GST],"&lt;&gt;"))</f>
        <v/>
      </c>
      <c r="L369" s="27">
        <f>IF(C369="","",SUMIFS(tbl_Finance[Ex GST],tbl_Finance[Job Number],C369&amp;""))</f>
        <v/>
      </c>
      <c r="M369" s="27">
        <f>IF(C369="","",SUMIFS(tbl_Finance[Ex GST],tbl_Finance[Job Number],C369&amp;"",tbl_Finance[Xero Invoice No],"&lt;&gt;"))</f>
        <v/>
      </c>
      <c r="N369" s="27">
        <f>IF(C369="","",L369-M369)</f>
        <v/>
      </c>
      <c r="O369" s="24" t="n"/>
      <c r="P369" s="27">
        <f>IF(C369="","",IF(O369="",0,MAX(0,O369-L369)))</f>
        <v/>
      </c>
      <c r="Q369" s="26">
        <f>IF(C369="","",IF(K369=0,"not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R369" s="22" t="n"/>
      <c r="S369" s="26">
        <f>IF(R369="","",HYPERLINK(IF(LEFT(R369,4)="http",R369,set_QwilrBase&amp;R369),"Open quote"))</f>
        <v/>
      </c>
      <c r="T369" s="24" t="n"/>
      <c r="U369" s="24" t="n"/>
      <c r="V369" s="24" t="n"/>
      <c r="W369" s="26">
        <f>IF(C369="","",IF(N(T369)+N(U369)+N(V369)=0,"Not split",IF(ROUND(N(T369)+N(U369)+N(V369),2)=ROUND(L369+P369,2),"OK",IF(K369=0,"Not invoiced yet","MISMATCH"))))</f>
        <v/>
      </c>
      <c r="X369" s="24" t="n"/>
      <c r="Y369" s="24" t="n"/>
      <c r="Z369" s="24" t="n"/>
      <c r="AA369" s="27">
        <f>IF(C369="","",N(X369)+N(Y369)+N(Z369))</f>
        <v/>
      </c>
      <c r="AB369" s="27">
        <f>IF(C369="","",L369+P369-AA369)</f>
        <v/>
      </c>
      <c r="AC369" s="29">
        <f>IFERROR(AB369/(L369+P369),"")</f>
        <v/>
      </c>
      <c r="AD369" s="22" t="n"/>
    </row>
    <row r="370" ht="15" customHeight="1">
      <c r="A370" s="70">
        <f>IF(C370="","",IFERROR(IF(SUMPRODUCT(MAX((tbl_Finance[Job Number]&amp;""=C370&amp;"")*(tbl_Finance[Xero Invoice No]&lt;&gt;"")*tbl_Finance[Date]))=0,"",SUMPRODUCT(MAX((tbl_Finance[Job Number]&amp;""=C370&amp;"")*(tbl_Finance[Xero Invoice No]&lt;&gt;"")*tbl_Finance[Date]))),""))</f>
        <v/>
      </c>
      <c r="B370" s="26">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2" t="n"/>
      <c r="D370" s="26">
        <f>IF(C370="","",IF(COUNTIF(lst_Jobs,C370&amp;"")&gt;0,"OK","CHECK"))</f>
        <v/>
      </c>
      <c r="E370" s="26">
        <f>IF(C370="","",IFERROR(INDEX(lst_JobName,MATCH(C370&amp;"",lst_Jobs,0)),""))</f>
        <v/>
      </c>
      <c r="F370" s="22" t="n"/>
      <c r="G370" s="22" t="n"/>
      <c r="H370" s="22" t="n"/>
      <c r="I370" s="22" t="n"/>
      <c r="J370" s="22" t="n"/>
      <c r="K370" s="28">
        <f>IF(C370="","",COUNTIFS(tbl_Finance[Job Number],C370&amp;"",tbl_Finance[Ex GST],"&lt;&gt;"))</f>
        <v/>
      </c>
      <c r="L370" s="27">
        <f>IF(C370="","",SUMIFS(tbl_Finance[Ex GST],tbl_Finance[Job Number],C370&amp;""))</f>
        <v/>
      </c>
      <c r="M370" s="27">
        <f>IF(C370="","",SUMIFS(tbl_Finance[Ex GST],tbl_Finance[Job Number],C370&amp;"",tbl_Finance[Xero Invoice No],"&lt;&gt;"))</f>
        <v/>
      </c>
      <c r="N370" s="27">
        <f>IF(C370="","",L370-M370)</f>
        <v/>
      </c>
      <c r="O370" s="24" t="n"/>
      <c r="P370" s="27">
        <f>IF(C370="","",IF(O370="",0,MAX(0,O370-L370)))</f>
        <v/>
      </c>
      <c r="Q370" s="26">
        <f>IF(C370="","",IF(K370=0,"not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R370" s="22" t="n"/>
      <c r="S370" s="26">
        <f>IF(R370="","",HYPERLINK(IF(LEFT(R370,4)="http",R370,set_QwilrBase&amp;R370),"Open quote"))</f>
        <v/>
      </c>
      <c r="T370" s="24" t="n"/>
      <c r="U370" s="24" t="n"/>
      <c r="V370" s="24" t="n"/>
      <c r="W370" s="26">
        <f>IF(C370="","",IF(N(T370)+N(U370)+N(V370)=0,"Not split",IF(ROUND(N(T370)+N(U370)+N(V370),2)=ROUND(L370+P370,2),"OK",IF(K370=0,"Not invoiced yet","MISMATCH"))))</f>
        <v/>
      </c>
      <c r="X370" s="24" t="n"/>
      <c r="Y370" s="24" t="n"/>
      <c r="Z370" s="24" t="n"/>
      <c r="AA370" s="27">
        <f>IF(C370="","",N(X370)+N(Y370)+N(Z370))</f>
        <v/>
      </c>
      <c r="AB370" s="27">
        <f>IF(C370="","",L370+P370-AA370)</f>
        <v/>
      </c>
      <c r="AC370" s="29">
        <f>IFERROR(AB370/(L370+P370),"")</f>
        <v/>
      </c>
      <c r="AD370" s="22" t="n"/>
    </row>
    <row r="371" ht="15" customHeight="1">
      <c r="A371" s="70">
        <f>IF(C371="","",IFERROR(IF(SUMPRODUCT(MAX((tbl_Finance[Job Number]&amp;""=C371&amp;"")*(tbl_Finance[Xero Invoice No]&lt;&gt;"")*tbl_Finance[Date]))=0,"",SUMPRODUCT(MAX((tbl_Finance[Job Number]&amp;""=C371&amp;"")*(tbl_Finance[Xero Invoice No]&lt;&gt;"")*tbl_Finance[Date]))),""))</f>
        <v/>
      </c>
      <c r="B371" s="26">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2" t="n"/>
      <c r="D371" s="26">
        <f>IF(C371="","",IF(COUNTIF(lst_Jobs,C371&amp;"")&gt;0,"OK","CHECK"))</f>
        <v/>
      </c>
      <c r="E371" s="26">
        <f>IF(C371="","",IFERROR(INDEX(lst_JobName,MATCH(C371&amp;"",lst_Jobs,0)),""))</f>
        <v/>
      </c>
      <c r="F371" s="22" t="n"/>
      <c r="G371" s="22" t="n"/>
      <c r="H371" s="22" t="n"/>
      <c r="I371" s="22" t="n"/>
      <c r="J371" s="22" t="n"/>
      <c r="K371" s="28">
        <f>IF(C371="","",COUNTIFS(tbl_Finance[Job Number],C371&amp;"",tbl_Finance[Ex GST],"&lt;&gt;"))</f>
        <v/>
      </c>
      <c r="L371" s="27">
        <f>IF(C371="","",SUMIFS(tbl_Finance[Ex GST],tbl_Finance[Job Number],C371&amp;""))</f>
        <v/>
      </c>
      <c r="M371" s="27">
        <f>IF(C371="","",SUMIFS(tbl_Finance[Ex GST],tbl_Finance[Job Number],C371&amp;"",tbl_Finance[Xero Invoice No],"&lt;&gt;"))</f>
        <v/>
      </c>
      <c r="N371" s="27">
        <f>IF(C371="","",L371-M371)</f>
        <v/>
      </c>
      <c r="O371" s="24" t="n"/>
      <c r="P371" s="27">
        <f>IF(C371="","",IF(O371="",0,MAX(0,O371-L371)))</f>
        <v/>
      </c>
      <c r="Q371" s="26">
        <f>IF(C371="","",IF(K371=0,"not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R371" s="22" t="n"/>
      <c r="S371" s="26">
        <f>IF(R371="","",HYPERLINK(IF(LEFT(R371,4)="http",R371,set_QwilrBase&amp;R371),"Open quote"))</f>
        <v/>
      </c>
      <c r="T371" s="24" t="n"/>
      <c r="U371" s="24" t="n"/>
      <c r="V371" s="24" t="n"/>
      <c r="W371" s="26">
        <f>IF(C371="","",IF(N(T371)+N(U371)+N(V371)=0,"Not split",IF(ROUND(N(T371)+N(U371)+N(V371),2)=ROUND(L371+P371,2),"OK",IF(K371=0,"Not invoiced yet","MISMATCH"))))</f>
        <v/>
      </c>
      <c r="X371" s="24" t="n"/>
      <c r="Y371" s="24" t="n"/>
      <c r="Z371" s="24" t="n"/>
      <c r="AA371" s="27">
        <f>IF(C371="","",N(X371)+N(Y371)+N(Z371))</f>
        <v/>
      </c>
      <c r="AB371" s="27">
        <f>IF(C371="","",L371+P371-AA371)</f>
        <v/>
      </c>
      <c r="AC371" s="29">
        <f>IFERROR(AB371/(L371+P371),"")</f>
        <v/>
      </c>
      <c r="AD371" s="22" t="n"/>
    </row>
    <row r="372" ht="15" customHeight="1">
      <c r="A372" s="70">
        <f>IF(C372="","",IFERROR(IF(SUMPRODUCT(MAX((tbl_Finance[Job Number]&amp;""=C372&amp;"")*(tbl_Finance[Xero Invoice No]&lt;&gt;"")*tbl_Finance[Date]))=0,"",SUMPRODUCT(MAX((tbl_Finance[Job Number]&amp;""=C372&amp;"")*(tbl_Finance[Xero Invoice No]&lt;&gt;"")*tbl_Finance[Date]))),""))</f>
        <v/>
      </c>
      <c r="B372" s="26">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2" t="n"/>
      <c r="D372" s="26">
        <f>IF(C372="","",IF(COUNTIF(lst_Jobs,C372&amp;"")&gt;0,"OK","CHECK"))</f>
        <v/>
      </c>
      <c r="E372" s="26">
        <f>IF(C372="","",IFERROR(INDEX(lst_JobName,MATCH(C372&amp;"",lst_Jobs,0)),""))</f>
        <v/>
      </c>
      <c r="F372" s="22" t="n"/>
      <c r="G372" s="22" t="n"/>
      <c r="H372" s="22" t="n"/>
      <c r="I372" s="22" t="n"/>
      <c r="J372" s="22" t="n"/>
      <c r="K372" s="28">
        <f>IF(C372="","",COUNTIFS(tbl_Finance[Job Number],C372&amp;"",tbl_Finance[Ex GST],"&lt;&gt;"))</f>
        <v/>
      </c>
      <c r="L372" s="27">
        <f>IF(C372="","",SUMIFS(tbl_Finance[Ex GST],tbl_Finance[Job Number],C372&amp;""))</f>
        <v/>
      </c>
      <c r="M372" s="27">
        <f>IF(C372="","",SUMIFS(tbl_Finance[Ex GST],tbl_Finance[Job Number],C372&amp;"",tbl_Finance[Xero Invoice No],"&lt;&gt;"))</f>
        <v/>
      </c>
      <c r="N372" s="27">
        <f>IF(C372="","",L372-M372)</f>
        <v/>
      </c>
      <c r="O372" s="24" t="n"/>
      <c r="P372" s="27">
        <f>IF(C372="","",IF(O372="",0,MAX(0,O372-L372)))</f>
        <v/>
      </c>
      <c r="Q372" s="26">
        <f>IF(C372="","",IF(K372=0,"not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R372" s="22" t="n"/>
      <c r="S372" s="26">
        <f>IF(R372="","",HYPERLINK(IF(LEFT(R372,4)="http",R372,set_QwilrBase&amp;R372),"Open quote"))</f>
        <v/>
      </c>
      <c r="T372" s="24" t="n"/>
      <c r="U372" s="24" t="n"/>
      <c r="V372" s="24" t="n"/>
      <c r="W372" s="26">
        <f>IF(C372="","",IF(N(T372)+N(U372)+N(V372)=0,"Not split",IF(ROUND(N(T372)+N(U372)+N(V372),2)=ROUND(L372+P372,2),"OK",IF(K372=0,"Not invoiced yet","MISMATCH"))))</f>
        <v/>
      </c>
      <c r="X372" s="24" t="n"/>
      <c r="Y372" s="24" t="n"/>
      <c r="Z372" s="24" t="n"/>
      <c r="AA372" s="27">
        <f>IF(C372="","",N(X372)+N(Y372)+N(Z372))</f>
        <v/>
      </c>
      <c r="AB372" s="27">
        <f>IF(C372="","",L372+P372-AA372)</f>
        <v/>
      </c>
      <c r="AC372" s="29">
        <f>IFERROR(AB372/(L372+P372),"")</f>
        <v/>
      </c>
      <c r="AD372" s="22" t="n"/>
    </row>
    <row r="373" ht="15" customHeight="1">
      <c r="A373" s="70">
        <f>IF(C373="","",IFERROR(IF(SUMPRODUCT(MAX((tbl_Finance[Job Number]&amp;""=C373&amp;"")*(tbl_Finance[Xero Invoice No]&lt;&gt;"")*tbl_Finance[Date]))=0,"",SUMPRODUCT(MAX((tbl_Finance[Job Number]&amp;""=C373&amp;"")*(tbl_Finance[Xero Invoice No]&lt;&gt;"")*tbl_Finance[Date]))),""))</f>
        <v/>
      </c>
      <c r="B373" s="26">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2" t="n"/>
      <c r="D373" s="26">
        <f>IF(C373="","",IF(COUNTIF(lst_Jobs,C373&amp;"")&gt;0,"OK","CHECK"))</f>
        <v/>
      </c>
      <c r="E373" s="26">
        <f>IF(C373="","",IFERROR(INDEX(lst_JobName,MATCH(C373&amp;"",lst_Jobs,0)),""))</f>
        <v/>
      </c>
      <c r="F373" s="22" t="n"/>
      <c r="G373" s="22" t="n"/>
      <c r="H373" s="22" t="n"/>
      <c r="I373" s="22" t="n"/>
      <c r="J373" s="22" t="n"/>
      <c r="K373" s="28">
        <f>IF(C373="","",COUNTIFS(tbl_Finance[Job Number],C373&amp;"",tbl_Finance[Ex GST],"&lt;&gt;"))</f>
        <v/>
      </c>
      <c r="L373" s="27">
        <f>IF(C373="","",SUMIFS(tbl_Finance[Ex GST],tbl_Finance[Job Number],C373&amp;""))</f>
        <v/>
      </c>
      <c r="M373" s="27">
        <f>IF(C373="","",SUMIFS(tbl_Finance[Ex GST],tbl_Finance[Job Number],C373&amp;"",tbl_Finance[Xero Invoice No],"&lt;&gt;"))</f>
        <v/>
      </c>
      <c r="N373" s="27">
        <f>IF(C373="","",L373-M373)</f>
        <v/>
      </c>
      <c r="O373" s="24" t="n"/>
      <c r="P373" s="27">
        <f>IF(C373="","",IF(O373="",0,MAX(0,O373-L373)))</f>
        <v/>
      </c>
      <c r="Q373" s="26">
        <f>IF(C373="","",IF(K373=0,"not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R373" s="22" t="n"/>
      <c r="S373" s="26">
        <f>IF(R373="","",HYPERLINK(IF(LEFT(R373,4)="http",R373,set_QwilrBase&amp;R373),"Open quote"))</f>
        <v/>
      </c>
      <c r="T373" s="24" t="n"/>
      <c r="U373" s="24" t="n"/>
      <c r="V373" s="24" t="n"/>
      <c r="W373" s="26">
        <f>IF(C373="","",IF(N(T373)+N(U373)+N(V373)=0,"Not split",IF(ROUND(N(T373)+N(U373)+N(V373),2)=ROUND(L373+P373,2),"OK",IF(K373=0,"Not invoiced yet","MISMATCH"))))</f>
        <v/>
      </c>
      <c r="X373" s="24" t="n"/>
      <c r="Y373" s="24" t="n"/>
      <c r="Z373" s="24" t="n"/>
      <c r="AA373" s="27">
        <f>IF(C373="","",N(X373)+N(Y373)+N(Z373))</f>
        <v/>
      </c>
      <c r="AB373" s="27">
        <f>IF(C373="","",L373+P373-AA373)</f>
        <v/>
      </c>
      <c r="AC373" s="29">
        <f>IFERROR(AB373/(L373+P373),"")</f>
        <v/>
      </c>
      <c r="AD373" s="22" t="n"/>
    </row>
    <row r="374" ht="15" customHeight="1">
      <c r="A374" s="70">
        <f>IF(C374="","",IFERROR(IF(SUMPRODUCT(MAX((tbl_Finance[Job Number]&amp;""=C374&amp;"")*(tbl_Finance[Xero Invoice No]&lt;&gt;"")*tbl_Finance[Date]))=0,"",SUMPRODUCT(MAX((tbl_Finance[Job Number]&amp;""=C374&amp;"")*(tbl_Finance[Xero Invoice No]&lt;&gt;"")*tbl_Finance[Date]))),""))</f>
        <v/>
      </c>
      <c r="B374" s="26">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2" t="n"/>
      <c r="D374" s="26">
        <f>IF(C374="","",IF(COUNTIF(lst_Jobs,C374&amp;"")&gt;0,"OK","CHECK"))</f>
        <v/>
      </c>
      <c r="E374" s="26">
        <f>IF(C374="","",IFERROR(INDEX(lst_JobName,MATCH(C374&amp;"",lst_Jobs,0)),""))</f>
        <v/>
      </c>
      <c r="F374" s="22" t="n"/>
      <c r="G374" s="22" t="n"/>
      <c r="H374" s="22" t="n"/>
      <c r="I374" s="22" t="n"/>
      <c r="J374" s="22" t="n"/>
      <c r="K374" s="28">
        <f>IF(C374="","",COUNTIFS(tbl_Finance[Job Number],C374&amp;"",tbl_Finance[Ex GST],"&lt;&gt;"))</f>
        <v/>
      </c>
      <c r="L374" s="27">
        <f>IF(C374="","",SUMIFS(tbl_Finance[Ex GST],tbl_Finance[Job Number],C374&amp;""))</f>
        <v/>
      </c>
      <c r="M374" s="27">
        <f>IF(C374="","",SUMIFS(tbl_Finance[Ex GST],tbl_Finance[Job Number],C374&amp;"",tbl_Finance[Xero Invoice No],"&lt;&gt;"))</f>
        <v/>
      </c>
      <c r="N374" s="27">
        <f>IF(C374="","",L374-M374)</f>
        <v/>
      </c>
      <c r="O374" s="24" t="n"/>
      <c r="P374" s="27">
        <f>IF(C374="","",IF(O374="",0,MAX(0,O374-L374)))</f>
        <v/>
      </c>
      <c r="Q374" s="26">
        <f>IF(C374="","",IF(K374=0,"not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R374" s="22" t="n"/>
      <c r="S374" s="26">
        <f>IF(R374="","",HYPERLINK(IF(LEFT(R374,4)="http",R374,set_QwilrBase&amp;R374),"Open quote"))</f>
        <v/>
      </c>
      <c r="T374" s="24" t="n"/>
      <c r="U374" s="24" t="n"/>
      <c r="V374" s="24" t="n"/>
      <c r="W374" s="26">
        <f>IF(C374="","",IF(N(T374)+N(U374)+N(V374)=0,"Not split",IF(ROUND(N(T374)+N(U374)+N(V374),2)=ROUND(L374+P374,2),"OK",IF(K374=0,"Not invoiced yet","MISMATCH"))))</f>
        <v/>
      </c>
      <c r="X374" s="24" t="n"/>
      <c r="Y374" s="24" t="n"/>
      <c r="Z374" s="24" t="n"/>
      <c r="AA374" s="27">
        <f>IF(C374="","",N(X374)+N(Y374)+N(Z374))</f>
        <v/>
      </c>
      <c r="AB374" s="27">
        <f>IF(C374="","",L374+P374-AA374)</f>
        <v/>
      </c>
      <c r="AC374" s="29">
        <f>IFERROR(AB374/(L374+P374),"")</f>
        <v/>
      </c>
      <c r="AD374" s="22" t="n"/>
    </row>
    <row r="375" ht="15" customHeight="1">
      <c r="A375" s="70">
        <f>IF(C375="","",IFERROR(IF(SUMPRODUCT(MAX((tbl_Finance[Job Number]&amp;""=C375&amp;"")*(tbl_Finance[Xero Invoice No]&lt;&gt;"")*tbl_Finance[Date]))=0,"",SUMPRODUCT(MAX((tbl_Finance[Job Number]&amp;""=C375&amp;"")*(tbl_Finance[Xero Invoice No]&lt;&gt;"")*tbl_Finance[Date]))),""))</f>
        <v/>
      </c>
      <c r="B375" s="26">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2" t="n"/>
      <c r="D375" s="26">
        <f>IF(C375="","",IF(COUNTIF(lst_Jobs,C375&amp;"")&gt;0,"OK","CHECK"))</f>
        <v/>
      </c>
      <c r="E375" s="26">
        <f>IF(C375="","",IFERROR(INDEX(lst_JobName,MATCH(C375&amp;"",lst_Jobs,0)),""))</f>
        <v/>
      </c>
      <c r="F375" s="22" t="n"/>
      <c r="G375" s="22" t="n"/>
      <c r="H375" s="22" t="n"/>
      <c r="I375" s="22" t="n"/>
      <c r="J375" s="22" t="n"/>
      <c r="K375" s="28">
        <f>IF(C375="","",COUNTIFS(tbl_Finance[Job Number],C375&amp;"",tbl_Finance[Ex GST],"&lt;&gt;"))</f>
        <v/>
      </c>
      <c r="L375" s="27">
        <f>IF(C375="","",SUMIFS(tbl_Finance[Ex GST],tbl_Finance[Job Number],C375&amp;""))</f>
        <v/>
      </c>
      <c r="M375" s="27">
        <f>IF(C375="","",SUMIFS(tbl_Finance[Ex GST],tbl_Finance[Job Number],C375&amp;"",tbl_Finance[Xero Invoice No],"&lt;&gt;"))</f>
        <v/>
      </c>
      <c r="N375" s="27">
        <f>IF(C375="","",L375-M375)</f>
        <v/>
      </c>
      <c r="O375" s="24" t="n"/>
      <c r="P375" s="27">
        <f>IF(C375="","",IF(O375="",0,MAX(0,O375-L375)))</f>
        <v/>
      </c>
      <c r="Q375" s="26">
        <f>IF(C375="","",IF(K375=0,"not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R375" s="22" t="n"/>
      <c r="S375" s="26">
        <f>IF(R375="","",HYPERLINK(IF(LEFT(R375,4)="http",R375,set_QwilrBase&amp;R375),"Open quote"))</f>
        <v/>
      </c>
      <c r="T375" s="24" t="n"/>
      <c r="U375" s="24" t="n"/>
      <c r="V375" s="24" t="n"/>
      <c r="W375" s="26">
        <f>IF(C375="","",IF(N(T375)+N(U375)+N(V375)=0,"Not split",IF(ROUND(N(T375)+N(U375)+N(V375),2)=ROUND(L375+P375,2),"OK",IF(K375=0,"Not invoiced yet","MISMATCH"))))</f>
        <v/>
      </c>
      <c r="X375" s="24" t="n"/>
      <c r="Y375" s="24" t="n"/>
      <c r="Z375" s="24" t="n"/>
      <c r="AA375" s="27">
        <f>IF(C375="","",N(X375)+N(Y375)+N(Z375))</f>
        <v/>
      </c>
      <c r="AB375" s="27">
        <f>IF(C375="","",L375+P375-AA375)</f>
        <v/>
      </c>
      <c r="AC375" s="29">
        <f>IFERROR(AB375/(L375+P375),"")</f>
        <v/>
      </c>
      <c r="AD375" s="22" t="n"/>
    </row>
    <row r="376" ht="15" customHeight="1">
      <c r="A376" s="70">
        <f>IF(C376="","",IFERROR(IF(SUMPRODUCT(MAX((tbl_Finance[Job Number]&amp;""=C376&amp;"")*(tbl_Finance[Xero Invoice No]&lt;&gt;"")*tbl_Finance[Date]))=0,"",SUMPRODUCT(MAX((tbl_Finance[Job Number]&amp;""=C376&amp;"")*(tbl_Finance[Xero Invoice No]&lt;&gt;"")*tbl_Finance[Date]))),""))</f>
        <v/>
      </c>
      <c r="B376" s="26">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2" t="n"/>
      <c r="D376" s="26">
        <f>IF(C376="","",IF(COUNTIF(lst_Jobs,C376&amp;"")&gt;0,"OK","CHECK"))</f>
        <v/>
      </c>
      <c r="E376" s="26">
        <f>IF(C376="","",IFERROR(INDEX(lst_JobName,MATCH(C376&amp;"",lst_Jobs,0)),""))</f>
        <v/>
      </c>
      <c r="F376" s="22" t="n"/>
      <c r="G376" s="22" t="n"/>
      <c r="H376" s="22" t="n"/>
      <c r="I376" s="22" t="n"/>
      <c r="J376" s="22" t="n"/>
      <c r="K376" s="28">
        <f>IF(C376="","",COUNTIFS(tbl_Finance[Job Number],C376&amp;"",tbl_Finance[Ex GST],"&lt;&gt;"))</f>
        <v/>
      </c>
      <c r="L376" s="27">
        <f>IF(C376="","",SUMIFS(tbl_Finance[Ex GST],tbl_Finance[Job Number],C376&amp;""))</f>
        <v/>
      </c>
      <c r="M376" s="27">
        <f>IF(C376="","",SUMIFS(tbl_Finance[Ex GST],tbl_Finance[Job Number],C376&amp;"",tbl_Finance[Xero Invoice No],"&lt;&gt;"))</f>
        <v/>
      </c>
      <c r="N376" s="27">
        <f>IF(C376="","",L376-M376)</f>
        <v/>
      </c>
      <c r="O376" s="24" t="n"/>
      <c r="P376" s="27">
        <f>IF(C376="","",IF(O376="",0,MAX(0,O376-L376)))</f>
        <v/>
      </c>
      <c r="Q376" s="26">
        <f>IF(C376="","",IF(K376=0,"not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R376" s="22" t="n"/>
      <c r="S376" s="26">
        <f>IF(R376="","",HYPERLINK(IF(LEFT(R376,4)="http",R376,set_QwilrBase&amp;R376),"Open quote"))</f>
        <v/>
      </c>
      <c r="T376" s="24" t="n"/>
      <c r="U376" s="24" t="n"/>
      <c r="V376" s="24" t="n"/>
      <c r="W376" s="26">
        <f>IF(C376="","",IF(N(T376)+N(U376)+N(V376)=0,"Not split",IF(ROUND(N(T376)+N(U376)+N(V376),2)=ROUND(L376+P376,2),"OK",IF(K376=0,"Not invoiced yet","MISMATCH"))))</f>
        <v/>
      </c>
      <c r="X376" s="24" t="n"/>
      <c r="Y376" s="24" t="n"/>
      <c r="Z376" s="24" t="n"/>
      <c r="AA376" s="27">
        <f>IF(C376="","",N(X376)+N(Y376)+N(Z376))</f>
        <v/>
      </c>
      <c r="AB376" s="27">
        <f>IF(C376="","",L376+P376-AA376)</f>
        <v/>
      </c>
      <c r="AC376" s="29">
        <f>IFERROR(AB376/(L376+P376),"")</f>
        <v/>
      </c>
      <c r="AD376" s="22" t="n"/>
    </row>
    <row r="377" ht="15" customHeight="1">
      <c r="A377" s="70">
        <f>IF(C377="","",IFERROR(IF(SUMPRODUCT(MAX((tbl_Finance[Job Number]&amp;""=C377&amp;"")*(tbl_Finance[Xero Invoice No]&lt;&gt;"")*tbl_Finance[Date]))=0,"",SUMPRODUCT(MAX((tbl_Finance[Job Number]&amp;""=C377&amp;"")*(tbl_Finance[Xero Invoice No]&lt;&gt;"")*tbl_Finance[Date]))),""))</f>
        <v/>
      </c>
      <c r="B377" s="26">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2" t="n"/>
      <c r="D377" s="26">
        <f>IF(C377="","",IF(COUNTIF(lst_Jobs,C377&amp;"")&gt;0,"OK","CHECK"))</f>
        <v/>
      </c>
      <c r="E377" s="26">
        <f>IF(C377="","",IFERROR(INDEX(lst_JobName,MATCH(C377&amp;"",lst_Jobs,0)),""))</f>
        <v/>
      </c>
      <c r="F377" s="22" t="n"/>
      <c r="G377" s="22" t="n"/>
      <c r="H377" s="22" t="n"/>
      <c r="I377" s="22" t="n"/>
      <c r="J377" s="22" t="n"/>
      <c r="K377" s="28">
        <f>IF(C377="","",COUNTIFS(tbl_Finance[Job Number],C377&amp;"",tbl_Finance[Ex GST],"&lt;&gt;"))</f>
        <v/>
      </c>
      <c r="L377" s="27">
        <f>IF(C377="","",SUMIFS(tbl_Finance[Ex GST],tbl_Finance[Job Number],C377&amp;""))</f>
        <v/>
      </c>
      <c r="M377" s="27">
        <f>IF(C377="","",SUMIFS(tbl_Finance[Ex GST],tbl_Finance[Job Number],C377&amp;"",tbl_Finance[Xero Invoice No],"&lt;&gt;"))</f>
        <v/>
      </c>
      <c r="N377" s="27">
        <f>IF(C377="","",L377-M377)</f>
        <v/>
      </c>
      <c r="O377" s="24" t="n"/>
      <c r="P377" s="27">
        <f>IF(C377="","",IF(O377="",0,MAX(0,O377-L377)))</f>
        <v/>
      </c>
      <c r="Q377" s="26">
        <f>IF(C377="","",IF(K377=0,"not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R377" s="22" t="n"/>
      <c r="S377" s="26">
        <f>IF(R377="","",HYPERLINK(IF(LEFT(R377,4)="http",R377,set_QwilrBase&amp;R377),"Open quote"))</f>
        <v/>
      </c>
      <c r="T377" s="24" t="n"/>
      <c r="U377" s="24" t="n"/>
      <c r="V377" s="24" t="n"/>
      <c r="W377" s="26">
        <f>IF(C377="","",IF(N(T377)+N(U377)+N(V377)=0,"Not split",IF(ROUND(N(T377)+N(U377)+N(V377),2)=ROUND(L377+P377,2),"OK",IF(K377=0,"Not invoiced yet","MISMATCH"))))</f>
        <v/>
      </c>
      <c r="X377" s="24" t="n"/>
      <c r="Y377" s="24" t="n"/>
      <c r="Z377" s="24" t="n"/>
      <c r="AA377" s="27">
        <f>IF(C377="","",N(X377)+N(Y377)+N(Z377))</f>
        <v/>
      </c>
      <c r="AB377" s="27">
        <f>IF(C377="","",L377+P377-AA377)</f>
        <v/>
      </c>
      <c r="AC377" s="29">
        <f>IFERROR(AB377/(L377+P377),"")</f>
        <v/>
      </c>
      <c r="AD377" s="22" t="n"/>
    </row>
    <row r="378" ht="15" customHeight="1">
      <c r="A378" s="70">
        <f>IF(C378="","",IFERROR(IF(SUMPRODUCT(MAX((tbl_Finance[Job Number]&amp;""=C378&amp;"")*(tbl_Finance[Xero Invoice No]&lt;&gt;"")*tbl_Finance[Date]))=0,"",SUMPRODUCT(MAX((tbl_Finance[Job Number]&amp;""=C378&amp;"")*(tbl_Finance[Xero Invoice No]&lt;&gt;"")*tbl_Finance[Date]))),""))</f>
        <v/>
      </c>
      <c r="B378" s="26">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2" t="n"/>
      <c r="D378" s="26">
        <f>IF(C378="","",IF(COUNTIF(lst_Jobs,C378&amp;"")&gt;0,"OK","CHECK"))</f>
        <v/>
      </c>
      <c r="E378" s="26">
        <f>IF(C378="","",IFERROR(INDEX(lst_JobName,MATCH(C378&amp;"",lst_Jobs,0)),""))</f>
        <v/>
      </c>
      <c r="F378" s="22" t="n"/>
      <c r="G378" s="22" t="n"/>
      <c r="H378" s="22" t="n"/>
      <c r="I378" s="22" t="n"/>
      <c r="J378" s="22" t="n"/>
      <c r="K378" s="28">
        <f>IF(C378="","",COUNTIFS(tbl_Finance[Job Number],C378&amp;"",tbl_Finance[Ex GST],"&lt;&gt;"))</f>
        <v/>
      </c>
      <c r="L378" s="27">
        <f>IF(C378="","",SUMIFS(tbl_Finance[Ex GST],tbl_Finance[Job Number],C378&amp;""))</f>
        <v/>
      </c>
      <c r="M378" s="27">
        <f>IF(C378="","",SUMIFS(tbl_Finance[Ex GST],tbl_Finance[Job Number],C378&amp;"",tbl_Finance[Xero Invoice No],"&lt;&gt;"))</f>
        <v/>
      </c>
      <c r="N378" s="27">
        <f>IF(C378="","",L378-M378)</f>
        <v/>
      </c>
      <c r="O378" s="24" t="n"/>
      <c r="P378" s="27">
        <f>IF(C378="","",IF(O378="",0,MAX(0,O378-L378)))</f>
        <v/>
      </c>
      <c r="Q378" s="26">
        <f>IF(C378="","",IF(K378=0,"not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R378" s="22" t="n"/>
      <c r="S378" s="26">
        <f>IF(R378="","",HYPERLINK(IF(LEFT(R378,4)="http",R378,set_QwilrBase&amp;R378),"Open quote"))</f>
        <v/>
      </c>
      <c r="T378" s="24" t="n"/>
      <c r="U378" s="24" t="n"/>
      <c r="V378" s="24" t="n"/>
      <c r="W378" s="26">
        <f>IF(C378="","",IF(N(T378)+N(U378)+N(V378)=0,"Not split",IF(ROUND(N(T378)+N(U378)+N(V378),2)=ROUND(L378+P378,2),"OK",IF(K378=0,"Not invoiced yet","MISMATCH"))))</f>
        <v/>
      </c>
      <c r="X378" s="24" t="n"/>
      <c r="Y378" s="24" t="n"/>
      <c r="Z378" s="24" t="n"/>
      <c r="AA378" s="27">
        <f>IF(C378="","",N(X378)+N(Y378)+N(Z378))</f>
        <v/>
      </c>
      <c r="AB378" s="27">
        <f>IF(C378="","",L378+P378-AA378)</f>
        <v/>
      </c>
      <c r="AC378" s="29">
        <f>IFERROR(AB378/(L378+P378),"")</f>
        <v/>
      </c>
      <c r="AD378" s="22" t="n"/>
    </row>
    <row r="379" ht="15" customHeight="1">
      <c r="A379" s="70">
        <f>IF(C379="","",IFERROR(IF(SUMPRODUCT(MAX((tbl_Finance[Job Number]&amp;""=C379&amp;"")*(tbl_Finance[Xero Invoice No]&lt;&gt;"")*tbl_Finance[Date]))=0,"",SUMPRODUCT(MAX((tbl_Finance[Job Number]&amp;""=C379&amp;"")*(tbl_Finance[Xero Invoice No]&lt;&gt;"")*tbl_Finance[Date]))),""))</f>
        <v/>
      </c>
      <c r="B379" s="26">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2" t="n"/>
      <c r="D379" s="26">
        <f>IF(C379="","",IF(COUNTIF(lst_Jobs,C379&amp;"")&gt;0,"OK","CHECK"))</f>
        <v/>
      </c>
      <c r="E379" s="26">
        <f>IF(C379="","",IFERROR(INDEX(lst_JobName,MATCH(C379&amp;"",lst_Jobs,0)),""))</f>
        <v/>
      </c>
      <c r="F379" s="22" t="n"/>
      <c r="G379" s="22" t="n"/>
      <c r="H379" s="22" t="n"/>
      <c r="I379" s="22" t="n"/>
      <c r="J379" s="22" t="n"/>
      <c r="K379" s="28">
        <f>IF(C379="","",COUNTIFS(tbl_Finance[Job Number],C379&amp;"",tbl_Finance[Ex GST],"&lt;&gt;"))</f>
        <v/>
      </c>
      <c r="L379" s="27">
        <f>IF(C379="","",SUMIFS(tbl_Finance[Ex GST],tbl_Finance[Job Number],C379&amp;""))</f>
        <v/>
      </c>
      <c r="M379" s="27">
        <f>IF(C379="","",SUMIFS(tbl_Finance[Ex GST],tbl_Finance[Job Number],C379&amp;"",tbl_Finance[Xero Invoice No],"&lt;&gt;"))</f>
        <v/>
      </c>
      <c r="N379" s="27">
        <f>IF(C379="","",L379-M379)</f>
        <v/>
      </c>
      <c r="O379" s="24" t="n"/>
      <c r="P379" s="27">
        <f>IF(C379="","",IF(O379="",0,MAX(0,O379-L379)))</f>
        <v/>
      </c>
      <c r="Q379" s="26">
        <f>IF(C379="","",IF(K379=0,"not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R379" s="22" t="n"/>
      <c r="S379" s="26">
        <f>IF(R379="","",HYPERLINK(IF(LEFT(R379,4)="http",R379,set_QwilrBase&amp;R379),"Open quote"))</f>
        <v/>
      </c>
      <c r="T379" s="24" t="n"/>
      <c r="U379" s="24" t="n"/>
      <c r="V379" s="24" t="n"/>
      <c r="W379" s="26">
        <f>IF(C379="","",IF(N(T379)+N(U379)+N(V379)=0,"Not split",IF(ROUND(N(T379)+N(U379)+N(V379),2)=ROUND(L379+P379,2),"OK",IF(K379=0,"Not invoiced yet","MISMATCH"))))</f>
        <v/>
      </c>
      <c r="X379" s="24" t="n"/>
      <c r="Y379" s="24" t="n"/>
      <c r="Z379" s="24" t="n"/>
      <c r="AA379" s="27">
        <f>IF(C379="","",N(X379)+N(Y379)+N(Z379))</f>
        <v/>
      </c>
      <c r="AB379" s="27">
        <f>IF(C379="","",L379+P379-AA379)</f>
        <v/>
      </c>
      <c r="AC379" s="29">
        <f>IFERROR(AB379/(L379+P379),"")</f>
        <v/>
      </c>
      <c r="AD379" s="22" t="n"/>
    </row>
    <row r="380" ht="15" customHeight="1">
      <c r="A380" s="70">
        <f>IF(C380="","",IFERROR(IF(SUMPRODUCT(MAX((tbl_Finance[Job Number]&amp;""=C380&amp;"")*(tbl_Finance[Xero Invoice No]&lt;&gt;"")*tbl_Finance[Date]))=0,"",SUMPRODUCT(MAX((tbl_Finance[Job Number]&amp;""=C380&amp;"")*(tbl_Finance[Xero Invoice No]&lt;&gt;"")*tbl_Finance[Date]))),""))</f>
        <v/>
      </c>
      <c r="B380" s="26">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2" t="n"/>
      <c r="D380" s="26">
        <f>IF(C380="","",IF(COUNTIF(lst_Jobs,C380&amp;"")&gt;0,"OK","CHECK"))</f>
        <v/>
      </c>
      <c r="E380" s="26">
        <f>IF(C380="","",IFERROR(INDEX(lst_JobName,MATCH(C380&amp;"",lst_Jobs,0)),""))</f>
        <v/>
      </c>
      <c r="F380" s="22" t="n"/>
      <c r="G380" s="22" t="n"/>
      <c r="H380" s="22" t="n"/>
      <c r="I380" s="22" t="n"/>
      <c r="J380" s="22" t="n"/>
      <c r="K380" s="28">
        <f>IF(C380="","",COUNTIFS(tbl_Finance[Job Number],C380&amp;"",tbl_Finance[Ex GST],"&lt;&gt;"))</f>
        <v/>
      </c>
      <c r="L380" s="27">
        <f>IF(C380="","",SUMIFS(tbl_Finance[Ex GST],tbl_Finance[Job Number],C380&amp;""))</f>
        <v/>
      </c>
      <c r="M380" s="27">
        <f>IF(C380="","",SUMIFS(tbl_Finance[Ex GST],tbl_Finance[Job Number],C380&amp;"",tbl_Finance[Xero Invoice No],"&lt;&gt;"))</f>
        <v/>
      </c>
      <c r="N380" s="27">
        <f>IF(C380="","",L380-M380)</f>
        <v/>
      </c>
      <c r="O380" s="24" t="n"/>
      <c r="P380" s="27">
        <f>IF(C380="","",IF(O380="",0,MAX(0,O380-L380)))</f>
        <v/>
      </c>
      <c r="Q380" s="26">
        <f>IF(C380="","",IF(K380=0,"not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R380" s="22" t="n"/>
      <c r="S380" s="26">
        <f>IF(R380="","",HYPERLINK(IF(LEFT(R380,4)="http",R380,set_QwilrBase&amp;R380),"Open quote"))</f>
        <v/>
      </c>
      <c r="T380" s="24" t="n"/>
      <c r="U380" s="24" t="n"/>
      <c r="V380" s="24" t="n"/>
      <c r="W380" s="26">
        <f>IF(C380="","",IF(N(T380)+N(U380)+N(V380)=0,"Not split",IF(ROUND(N(T380)+N(U380)+N(V380),2)=ROUND(L380+P380,2),"OK",IF(K380=0,"Not invoiced yet","MISMATCH"))))</f>
        <v/>
      </c>
      <c r="X380" s="24" t="n"/>
      <c r="Y380" s="24" t="n"/>
      <c r="Z380" s="24" t="n"/>
      <c r="AA380" s="27">
        <f>IF(C380="","",N(X380)+N(Y380)+N(Z380))</f>
        <v/>
      </c>
      <c r="AB380" s="27">
        <f>IF(C380="","",L380+P380-AA380)</f>
        <v/>
      </c>
      <c r="AC380" s="29">
        <f>IFERROR(AB380/(L380+P380),"")</f>
        <v/>
      </c>
      <c r="AD380" s="22" t="n"/>
    </row>
    <row r="381" ht="15" customHeight="1">
      <c r="A381" s="70">
        <f>IF(C381="","",IFERROR(IF(SUMPRODUCT(MAX((tbl_Finance[Job Number]&amp;""=C381&amp;"")*(tbl_Finance[Xero Invoice No]&lt;&gt;"")*tbl_Finance[Date]))=0,"",SUMPRODUCT(MAX((tbl_Finance[Job Number]&amp;""=C381&amp;"")*(tbl_Finance[Xero Invoice No]&lt;&gt;"")*tbl_Finance[Date]))),""))</f>
        <v/>
      </c>
      <c r="B381" s="26">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2" t="n"/>
      <c r="D381" s="26">
        <f>IF(C381="","",IF(COUNTIF(lst_Jobs,C381&amp;"")&gt;0,"OK","CHECK"))</f>
        <v/>
      </c>
      <c r="E381" s="26">
        <f>IF(C381="","",IFERROR(INDEX(lst_JobName,MATCH(C381&amp;"",lst_Jobs,0)),""))</f>
        <v/>
      </c>
      <c r="F381" s="22" t="n"/>
      <c r="G381" s="22" t="n"/>
      <c r="H381" s="22" t="n"/>
      <c r="I381" s="22" t="n"/>
      <c r="J381" s="22" t="n"/>
      <c r="K381" s="28">
        <f>IF(C381="","",COUNTIFS(tbl_Finance[Job Number],C381&amp;"",tbl_Finance[Ex GST],"&lt;&gt;"))</f>
        <v/>
      </c>
      <c r="L381" s="27">
        <f>IF(C381="","",SUMIFS(tbl_Finance[Ex GST],tbl_Finance[Job Number],C381&amp;""))</f>
        <v/>
      </c>
      <c r="M381" s="27">
        <f>IF(C381="","",SUMIFS(tbl_Finance[Ex GST],tbl_Finance[Job Number],C381&amp;"",tbl_Finance[Xero Invoice No],"&lt;&gt;"))</f>
        <v/>
      </c>
      <c r="N381" s="27">
        <f>IF(C381="","",L381-M381)</f>
        <v/>
      </c>
      <c r="O381" s="24" t="n"/>
      <c r="P381" s="27">
        <f>IF(C381="","",IF(O381="",0,MAX(0,O381-L381)))</f>
        <v/>
      </c>
      <c r="Q381" s="26">
        <f>IF(C381="","",IF(K381=0,"not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R381" s="22" t="n"/>
      <c r="S381" s="26">
        <f>IF(R381="","",HYPERLINK(IF(LEFT(R381,4)="http",R381,set_QwilrBase&amp;R381),"Open quote"))</f>
        <v/>
      </c>
      <c r="T381" s="24" t="n"/>
      <c r="U381" s="24" t="n"/>
      <c r="V381" s="24" t="n"/>
      <c r="W381" s="26">
        <f>IF(C381="","",IF(N(T381)+N(U381)+N(V381)=0,"Not split",IF(ROUND(N(T381)+N(U381)+N(V381),2)=ROUND(L381+P381,2),"OK",IF(K381=0,"Not invoiced yet","MISMATCH"))))</f>
        <v/>
      </c>
      <c r="X381" s="24" t="n"/>
      <c r="Y381" s="24" t="n"/>
      <c r="Z381" s="24" t="n"/>
      <c r="AA381" s="27">
        <f>IF(C381="","",N(X381)+N(Y381)+N(Z381))</f>
        <v/>
      </c>
      <c r="AB381" s="27">
        <f>IF(C381="","",L381+P381-AA381)</f>
        <v/>
      </c>
      <c r="AC381" s="29">
        <f>IFERROR(AB381/(L381+P381),"")</f>
        <v/>
      </c>
      <c r="AD381" s="22" t="n"/>
    </row>
    <row r="382" ht="15" customHeight="1">
      <c r="A382" s="70">
        <f>IF(C382="","",IFERROR(IF(SUMPRODUCT(MAX((tbl_Finance[Job Number]&amp;""=C382&amp;"")*(tbl_Finance[Xero Invoice No]&lt;&gt;"")*tbl_Finance[Date]))=0,"",SUMPRODUCT(MAX((tbl_Finance[Job Number]&amp;""=C382&amp;"")*(tbl_Finance[Xero Invoice No]&lt;&gt;"")*tbl_Finance[Date]))),""))</f>
        <v/>
      </c>
      <c r="B382" s="26">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2" t="n"/>
      <c r="D382" s="26">
        <f>IF(C382="","",IF(COUNTIF(lst_Jobs,C382&amp;"")&gt;0,"OK","CHECK"))</f>
        <v/>
      </c>
      <c r="E382" s="26">
        <f>IF(C382="","",IFERROR(INDEX(lst_JobName,MATCH(C382&amp;"",lst_Jobs,0)),""))</f>
        <v/>
      </c>
      <c r="F382" s="22" t="n"/>
      <c r="G382" s="22" t="n"/>
      <c r="H382" s="22" t="n"/>
      <c r="I382" s="22" t="n"/>
      <c r="J382" s="22" t="n"/>
      <c r="K382" s="28">
        <f>IF(C382="","",COUNTIFS(tbl_Finance[Job Number],C382&amp;"",tbl_Finance[Ex GST],"&lt;&gt;"))</f>
        <v/>
      </c>
      <c r="L382" s="27">
        <f>IF(C382="","",SUMIFS(tbl_Finance[Ex GST],tbl_Finance[Job Number],C382&amp;""))</f>
        <v/>
      </c>
      <c r="M382" s="27">
        <f>IF(C382="","",SUMIFS(tbl_Finance[Ex GST],tbl_Finance[Job Number],C382&amp;"",tbl_Finance[Xero Invoice No],"&lt;&gt;"))</f>
        <v/>
      </c>
      <c r="N382" s="27">
        <f>IF(C382="","",L382-M382)</f>
        <v/>
      </c>
      <c r="O382" s="24" t="n"/>
      <c r="P382" s="27">
        <f>IF(C382="","",IF(O382="",0,MAX(0,O382-L382)))</f>
        <v/>
      </c>
      <c r="Q382" s="26">
        <f>IF(C382="","",IF(K382=0,"not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R382" s="22" t="n"/>
      <c r="S382" s="26">
        <f>IF(R382="","",HYPERLINK(IF(LEFT(R382,4)="http",R382,set_QwilrBase&amp;R382),"Open quote"))</f>
        <v/>
      </c>
      <c r="T382" s="24" t="n"/>
      <c r="U382" s="24" t="n"/>
      <c r="V382" s="24" t="n"/>
      <c r="W382" s="26">
        <f>IF(C382="","",IF(N(T382)+N(U382)+N(V382)=0,"Not split",IF(ROUND(N(T382)+N(U382)+N(V382),2)=ROUND(L382+P382,2),"OK",IF(K382=0,"Not invoiced yet","MISMATCH"))))</f>
        <v/>
      </c>
      <c r="X382" s="24" t="n"/>
      <c r="Y382" s="24" t="n"/>
      <c r="Z382" s="24" t="n"/>
      <c r="AA382" s="27">
        <f>IF(C382="","",N(X382)+N(Y382)+N(Z382))</f>
        <v/>
      </c>
      <c r="AB382" s="27">
        <f>IF(C382="","",L382+P382-AA382)</f>
        <v/>
      </c>
      <c r="AC382" s="29">
        <f>IFERROR(AB382/(L382+P382),"")</f>
        <v/>
      </c>
      <c r="AD382" s="22" t="n"/>
    </row>
    <row r="383" ht="15" customHeight="1">
      <c r="A383" s="70">
        <f>IF(C383="","",IFERROR(IF(SUMPRODUCT(MAX((tbl_Finance[Job Number]&amp;""=C383&amp;"")*(tbl_Finance[Xero Invoice No]&lt;&gt;"")*tbl_Finance[Date]))=0,"",SUMPRODUCT(MAX((tbl_Finance[Job Number]&amp;""=C383&amp;"")*(tbl_Finance[Xero Invoice No]&lt;&gt;"")*tbl_Finance[Date]))),""))</f>
        <v/>
      </c>
      <c r="B383" s="26">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2" t="n"/>
      <c r="D383" s="26">
        <f>IF(C383="","",IF(COUNTIF(lst_Jobs,C383&amp;"")&gt;0,"OK","CHECK"))</f>
        <v/>
      </c>
      <c r="E383" s="26">
        <f>IF(C383="","",IFERROR(INDEX(lst_JobName,MATCH(C383&amp;"",lst_Jobs,0)),""))</f>
        <v/>
      </c>
      <c r="F383" s="22" t="n"/>
      <c r="G383" s="22" t="n"/>
      <c r="H383" s="22" t="n"/>
      <c r="I383" s="22" t="n"/>
      <c r="J383" s="22" t="n"/>
      <c r="K383" s="28">
        <f>IF(C383="","",COUNTIFS(tbl_Finance[Job Number],C383&amp;"",tbl_Finance[Ex GST],"&lt;&gt;"))</f>
        <v/>
      </c>
      <c r="L383" s="27">
        <f>IF(C383="","",SUMIFS(tbl_Finance[Ex GST],tbl_Finance[Job Number],C383&amp;""))</f>
        <v/>
      </c>
      <c r="M383" s="27">
        <f>IF(C383="","",SUMIFS(tbl_Finance[Ex GST],tbl_Finance[Job Number],C383&amp;"",tbl_Finance[Xero Invoice No],"&lt;&gt;"))</f>
        <v/>
      </c>
      <c r="N383" s="27">
        <f>IF(C383="","",L383-M383)</f>
        <v/>
      </c>
      <c r="O383" s="24" t="n"/>
      <c r="P383" s="27">
        <f>IF(C383="","",IF(O383="",0,MAX(0,O383-L383)))</f>
        <v/>
      </c>
      <c r="Q383" s="26">
        <f>IF(C383="","",IF(K383=0,"not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R383" s="22" t="n"/>
      <c r="S383" s="26">
        <f>IF(R383="","",HYPERLINK(IF(LEFT(R383,4)="http",R383,set_QwilrBase&amp;R383),"Open quote"))</f>
        <v/>
      </c>
      <c r="T383" s="24" t="n"/>
      <c r="U383" s="24" t="n"/>
      <c r="V383" s="24" t="n"/>
      <c r="W383" s="26">
        <f>IF(C383="","",IF(N(T383)+N(U383)+N(V383)=0,"Not split",IF(ROUND(N(T383)+N(U383)+N(V383),2)=ROUND(L383+P383,2),"OK",IF(K383=0,"Not invoiced yet","MISMATCH"))))</f>
        <v/>
      </c>
      <c r="X383" s="24" t="n"/>
      <c r="Y383" s="24" t="n"/>
      <c r="Z383" s="24" t="n"/>
      <c r="AA383" s="27">
        <f>IF(C383="","",N(X383)+N(Y383)+N(Z383))</f>
        <v/>
      </c>
      <c r="AB383" s="27">
        <f>IF(C383="","",L383+P383-AA383)</f>
        <v/>
      </c>
      <c r="AC383" s="29">
        <f>IFERROR(AB383/(L383+P383),"")</f>
        <v/>
      </c>
      <c r="AD383" s="22" t="n"/>
    </row>
    <row r="384" ht="15" customHeight="1">
      <c r="A384" s="70">
        <f>IF(C384="","",IFERROR(IF(SUMPRODUCT(MAX((tbl_Finance[Job Number]&amp;""=C384&amp;"")*(tbl_Finance[Xero Invoice No]&lt;&gt;"")*tbl_Finance[Date]))=0,"",SUMPRODUCT(MAX((tbl_Finance[Job Number]&amp;""=C384&amp;"")*(tbl_Finance[Xero Invoice No]&lt;&gt;"")*tbl_Finance[Date]))),""))</f>
        <v/>
      </c>
      <c r="B384" s="26">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2" t="n"/>
      <c r="D384" s="26">
        <f>IF(C384="","",IF(COUNTIF(lst_Jobs,C384&amp;"")&gt;0,"OK","CHECK"))</f>
        <v/>
      </c>
      <c r="E384" s="26">
        <f>IF(C384="","",IFERROR(INDEX(lst_JobName,MATCH(C384&amp;"",lst_Jobs,0)),""))</f>
        <v/>
      </c>
      <c r="F384" s="22" t="n"/>
      <c r="G384" s="22" t="n"/>
      <c r="H384" s="22" t="n"/>
      <c r="I384" s="22" t="n"/>
      <c r="J384" s="22" t="n"/>
      <c r="K384" s="28">
        <f>IF(C384="","",COUNTIFS(tbl_Finance[Job Number],C384&amp;"",tbl_Finance[Ex GST],"&lt;&gt;"))</f>
        <v/>
      </c>
      <c r="L384" s="27">
        <f>IF(C384="","",SUMIFS(tbl_Finance[Ex GST],tbl_Finance[Job Number],C384&amp;""))</f>
        <v/>
      </c>
      <c r="M384" s="27">
        <f>IF(C384="","",SUMIFS(tbl_Finance[Ex GST],tbl_Finance[Job Number],C384&amp;"",tbl_Finance[Xero Invoice No],"&lt;&gt;"))</f>
        <v/>
      </c>
      <c r="N384" s="27">
        <f>IF(C384="","",L384-M384)</f>
        <v/>
      </c>
      <c r="O384" s="24" t="n"/>
      <c r="P384" s="27">
        <f>IF(C384="","",IF(O384="",0,MAX(0,O384-L384)))</f>
        <v/>
      </c>
      <c r="Q384" s="26">
        <f>IF(C384="","",IF(K384=0,"not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R384" s="22" t="n"/>
      <c r="S384" s="26">
        <f>IF(R384="","",HYPERLINK(IF(LEFT(R384,4)="http",R384,set_QwilrBase&amp;R384),"Open quote"))</f>
        <v/>
      </c>
      <c r="T384" s="24" t="n"/>
      <c r="U384" s="24" t="n"/>
      <c r="V384" s="24" t="n"/>
      <c r="W384" s="26">
        <f>IF(C384="","",IF(N(T384)+N(U384)+N(V384)=0,"Not split",IF(ROUND(N(T384)+N(U384)+N(V384),2)=ROUND(L384+P384,2),"OK",IF(K384=0,"Not invoiced yet","MISMATCH"))))</f>
        <v/>
      </c>
      <c r="X384" s="24" t="n"/>
      <c r="Y384" s="24" t="n"/>
      <c r="Z384" s="24" t="n"/>
      <c r="AA384" s="27">
        <f>IF(C384="","",N(X384)+N(Y384)+N(Z384))</f>
        <v/>
      </c>
      <c r="AB384" s="27">
        <f>IF(C384="","",L384+P384-AA384)</f>
        <v/>
      </c>
      <c r="AC384" s="29">
        <f>IFERROR(AB384/(L384+P384),"")</f>
        <v/>
      </c>
      <c r="AD384" s="22" t="n"/>
    </row>
    <row r="385" ht="15" customHeight="1">
      <c r="A385" s="70">
        <f>IF(C385="","",IFERROR(IF(SUMPRODUCT(MAX((tbl_Finance[Job Number]&amp;""=C385&amp;"")*(tbl_Finance[Xero Invoice No]&lt;&gt;"")*tbl_Finance[Date]))=0,"",SUMPRODUCT(MAX((tbl_Finance[Job Number]&amp;""=C385&amp;"")*(tbl_Finance[Xero Invoice No]&lt;&gt;"")*tbl_Finance[Date]))),""))</f>
        <v/>
      </c>
      <c r="B385" s="26">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2" t="n"/>
      <c r="D385" s="26">
        <f>IF(C385="","",IF(COUNTIF(lst_Jobs,C385&amp;"")&gt;0,"OK","CHECK"))</f>
        <v/>
      </c>
      <c r="E385" s="26">
        <f>IF(C385="","",IFERROR(INDEX(lst_JobName,MATCH(C385&amp;"",lst_Jobs,0)),""))</f>
        <v/>
      </c>
      <c r="F385" s="22" t="n"/>
      <c r="G385" s="22" t="n"/>
      <c r="H385" s="22" t="n"/>
      <c r="I385" s="22" t="n"/>
      <c r="J385" s="22" t="n"/>
      <c r="K385" s="28">
        <f>IF(C385="","",COUNTIFS(tbl_Finance[Job Number],C385&amp;"",tbl_Finance[Ex GST],"&lt;&gt;"))</f>
        <v/>
      </c>
      <c r="L385" s="27">
        <f>IF(C385="","",SUMIFS(tbl_Finance[Ex GST],tbl_Finance[Job Number],C385&amp;""))</f>
        <v/>
      </c>
      <c r="M385" s="27">
        <f>IF(C385="","",SUMIFS(tbl_Finance[Ex GST],tbl_Finance[Job Number],C385&amp;"",tbl_Finance[Xero Invoice No],"&lt;&gt;"))</f>
        <v/>
      </c>
      <c r="N385" s="27">
        <f>IF(C385="","",L385-M385)</f>
        <v/>
      </c>
      <c r="O385" s="24" t="n"/>
      <c r="P385" s="27">
        <f>IF(C385="","",IF(O385="",0,MAX(0,O385-L385)))</f>
        <v/>
      </c>
      <c r="Q385" s="26">
        <f>IF(C385="","",IF(K385=0,"not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R385" s="22" t="n"/>
      <c r="S385" s="26">
        <f>IF(R385="","",HYPERLINK(IF(LEFT(R385,4)="http",R385,set_QwilrBase&amp;R385),"Open quote"))</f>
        <v/>
      </c>
      <c r="T385" s="24" t="n"/>
      <c r="U385" s="24" t="n"/>
      <c r="V385" s="24" t="n"/>
      <c r="W385" s="26">
        <f>IF(C385="","",IF(N(T385)+N(U385)+N(V385)=0,"Not split",IF(ROUND(N(T385)+N(U385)+N(V385),2)=ROUND(L385+P385,2),"OK",IF(K385=0,"Not invoiced yet","MISMATCH"))))</f>
        <v/>
      </c>
      <c r="X385" s="24" t="n"/>
      <c r="Y385" s="24" t="n"/>
      <c r="Z385" s="24" t="n"/>
      <c r="AA385" s="27">
        <f>IF(C385="","",N(X385)+N(Y385)+N(Z385))</f>
        <v/>
      </c>
      <c r="AB385" s="27">
        <f>IF(C385="","",L385+P385-AA385)</f>
        <v/>
      </c>
      <c r="AC385" s="29">
        <f>IFERROR(AB385/(L385+P385),"")</f>
        <v/>
      </c>
      <c r="AD385" s="22" t="n"/>
    </row>
    <row r="386" ht="15" customHeight="1">
      <c r="A386" s="70">
        <f>IF(C386="","",IFERROR(IF(SUMPRODUCT(MAX((tbl_Finance[Job Number]&amp;""=C386&amp;"")*(tbl_Finance[Xero Invoice No]&lt;&gt;"")*tbl_Finance[Date]))=0,"",SUMPRODUCT(MAX((tbl_Finance[Job Number]&amp;""=C386&amp;"")*(tbl_Finance[Xero Invoice No]&lt;&gt;"")*tbl_Finance[Date]))),""))</f>
        <v/>
      </c>
      <c r="B386" s="26">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2" t="n"/>
      <c r="D386" s="26">
        <f>IF(C386="","",IF(COUNTIF(lst_Jobs,C386&amp;"")&gt;0,"OK","CHECK"))</f>
        <v/>
      </c>
      <c r="E386" s="26">
        <f>IF(C386="","",IFERROR(INDEX(lst_JobName,MATCH(C386&amp;"",lst_Jobs,0)),""))</f>
        <v/>
      </c>
      <c r="F386" s="22" t="n"/>
      <c r="G386" s="22" t="n"/>
      <c r="H386" s="22" t="n"/>
      <c r="I386" s="22" t="n"/>
      <c r="J386" s="22" t="n"/>
      <c r="K386" s="28">
        <f>IF(C386="","",COUNTIFS(tbl_Finance[Job Number],C386&amp;"",tbl_Finance[Ex GST],"&lt;&gt;"))</f>
        <v/>
      </c>
      <c r="L386" s="27">
        <f>IF(C386="","",SUMIFS(tbl_Finance[Ex GST],tbl_Finance[Job Number],C386&amp;""))</f>
        <v/>
      </c>
      <c r="M386" s="27">
        <f>IF(C386="","",SUMIFS(tbl_Finance[Ex GST],tbl_Finance[Job Number],C386&amp;"",tbl_Finance[Xero Invoice No],"&lt;&gt;"))</f>
        <v/>
      </c>
      <c r="N386" s="27">
        <f>IF(C386="","",L386-M386)</f>
        <v/>
      </c>
      <c r="O386" s="24" t="n"/>
      <c r="P386" s="27">
        <f>IF(C386="","",IF(O386="",0,MAX(0,O386-L386)))</f>
        <v/>
      </c>
      <c r="Q386" s="26">
        <f>IF(C386="","",IF(K386=0,"not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R386" s="22" t="n"/>
      <c r="S386" s="26">
        <f>IF(R386="","",HYPERLINK(IF(LEFT(R386,4)="http",R386,set_QwilrBase&amp;R386),"Open quote"))</f>
        <v/>
      </c>
      <c r="T386" s="24" t="n"/>
      <c r="U386" s="24" t="n"/>
      <c r="V386" s="24" t="n"/>
      <c r="W386" s="26">
        <f>IF(C386="","",IF(N(T386)+N(U386)+N(V386)=0,"Not split",IF(ROUND(N(T386)+N(U386)+N(V386),2)=ROUND(L386+P386,2),"OK",IF(K386=0,"Not invoiced yet","MISMATCH"))))</f>
        <v/>
      </c>
      <c r="X386" s="24" t="n"/>
      <c r="Y386" s="24" t="n"/>
      <c r="Z386" s="24" t="n"/>
      <c r="AA386" s="27">
        <f>IF(C386="","",N(X386)+N(Y386)+N(Z386))</f>
        <v/>
      </c>
      <c r="AB386" s="27">
        <f>IF(C386="","",L386+P386-AA386)</f>
        <v/>
      </c>
      <c r="AC386" s="29">
        <f>IFERROR(AB386/(L386+P386),"")</f>
        <v/>
      </c>
      <c r="AD386" s="22" t="n"/>
    </row>
    <row r="387" ht="15" customHeight="1">
      <c r="A387" s="70">
        <f>IF(C387="","",IFERROR(IF(SUMPRODUCT(MAX((tbl_Finance[Job Number]&amp;""=C387&amp;"")*(tbl_Finance[Xero Invoice No]&lt;&gt;"")*tbl_Finance[Date]))=0,"",SUMPRODUCT(MAX((tbl_Finance[Job Number]&amp;""=C387&amp;"")*(tbl_Finance[Xero Invoice No]&lt;&gt;"")*tbl_Finance[Date]))),""))</f>
        <v/>
      </c>
      <c r="B387" s="26">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2" t="n"/>
      <c r="D387" s="26">
        <f>IF(C387="","",IF(COUNTIF(lst_Jobs,C387&amp;"")&gt;0,"OK","CHECK"))</f>
        <v/>
      </c>
      <c r="E387" s="26">
        <f>IF(C387="","",IFERROR(INDEX(lst_JobName,MATCH(C387&amp;"",lst_Jobs,0)),""))</f>
        <v/>
      </c>
      <c r="F387" s="22" t="n"/>
      <c r="G387" s="22" t="n"/>
      <c r="H387" s="22" t="n"/>
      <c r="I387" s="22" t="n"/>
      <c r="J387" s="22" t="n"/>
      <c r="K387" s="28">
        <f>IF(C387="","",COUNTIFS(tbl_Finance[Job Number],C387&amp;"",tbl_Finance[Ex GST],"&lt;&gt;"))</f>
        <v/>
      </c>
      <c r="L387" s="27">
        <f>IF(C387="","",SUMIFS(tbl_Finance[Ex GST],tbl_Finance[Job Number],C387&amp;""))</f>
        <v/>
      </c>
      <c r="M387" s="27">
        <f>IF(C387="","",SUMIFS(tbl_Finance[Ex GST],tbl_Finance[Job Number],C387&amp;"",tbl_Finance[Xero Invoice No],"&lt;&gt;"))</f>
        <v/>
      </c>
      <c r="N387" s="27">
        <f>IF(C387="","",L387-M387)</f>
        <v/>
      </c>
      <c r="O387" s="24" t="n"/>
      <c r="P387" s="27">
        <f>IF(C387="","",IF(O387="",0,MAX(0,O387-L387)))</f>
        <v/>
      </c>
      <c r="Q387" s="26">
        <f>IF(C387="","",IF(K387=0,"not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R387" s="22" t="n"/>
      <c r="S387" s="26">
        <f>IF(R387="","",HYPERLINK(IF(LEFT(R387,4)="http",R387,set_QwilrBase&amp;R387),"Open quote"))</f>
        <v/>
      </c>
      <c r="T387" s="24" t="n"/>
      <c r="U387" s="24" t="n"/>
      <c r="V387" s="24" t="n"/>
      <c r="W387" s="26">
        <f>IF(C387="","",IF(N(T387)+N(U387)+N(V387)=0,"Not split",IF(ROUND(N(T387)+N(U387)+N(V387),2)=ROUND(L387+P387,2),"OK",IF(K387=0,"Not invoiced yet","MISMATCH"))))</f>
        <v/>
      </c>
      <c r="X387" s="24" t="n"/>
      <c r="Y387" s="24" t="n"/>
      <c r="Z387" s="24" t="n"/>
      <c r="AA387" s="27">
        <f>IF(C387="","",N(X387)+N(Y387)+N(Z387))</f>
        <v/>
      </c>
      <c r="AB387" s="27">
        <f>IF(C387="","",L387+P387-AA387)</f>
        <v/>
      </c>
      <c r="AC387" s="29">
        <f>IFERROR(AB387/(L387+P387),"")</f>
        <v/>
      </c>
      <c r="AD387" s="22" t="n"/>
    </row>
    <row r="388" ht="15" customHeight="1">
      <c r="A388" s="70">
        <f>IF(C388="","",IFERROR(IF(SUMPRODUCT(MAX((tbl_Finance[Job Number]&amp;""=C388&amp;"")*(tbl_Finance[Xero Invoice No]&lt;&gt;"")*tbl_Finance[Date]))=0,"",SUMPRODUCT(MAX((tbl_Finance[Job Number]&amp;""=C388&amp;"")*(tbl_Finance[Xero Invoice No]&lt;&gt;"")*tbl_Finance[Date]))),""))</f>
        <v/>
      </c>
      <c r="B388" s="26">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2" t="n"/>
      <c r="D388" s="26">
        <f>IF(C388="","",IF(COUNTIF(lst_Jobs,C388&amp;"")&gt;0,"OK","CHECK"))</f>
        <v/>
      </c>
      <c r="E388" s="26">
        <f>IF(C388="","",IFERROR(INDEX(lst_JobName,MATCH(C388&amp;"",lst_Jobs,0)),""))</f>
        <v/>
      </c>
      <c r="F388" s="22" t="n"/>
      <c r="G388" s="22" t="n"/>
      <c r="H388" s="22" t="n"/>
      <c r="I388" s="22" t="n"/>
      <c r="J388" s="22" t="n"/>
      <c r="K388" s="28">
        <f>IF(C388="","",COUNTIFS(tbl_Finance[Job Number],C388&amp;"",tbl_Finance[Ex GST],"&lt;&gt;"))</f>
        <v/>
      </c>
      <c r="L388" s="27">
        <f>IF(C388="","",SUMIFS(tbl_Finance[Ex GST],tbl_Finance[Job Number],C388&amp;""))</f>
        <v/>
      </c>
      <c r="M388" s="27">
        <f>IF(C388="","",SUMIFS(tbl_Finance[Ex GST],tbl_Finance[Job Number],C388&amp;"",tbl_Finance[Xero Invoice No],"&lt;&gt;"))</f>
        <v/>
      </c>
      <c r="N388" s="27">
        <f>IF(C388="","",L388-M388)</f>
        <v/>
      </c>
      <c r="O388" s="24" t="n"/>
      <c r="P388" s="27">
        <f>IF(C388="","",IF(O388="",0,MAX(0,O388-L388)))</f>
        <v/>
      </c>
      <c r="Q388" s="26">
        <f>IF(C388="","",IF(K388=0,"not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R388" s="22" t="n"/>
      <c r="S388" s="26">
        <f>IF(R388="","",HYPERLINK(IF(LEFT(R388,4)="http",R388,set_QwilrBase&amp;R388),"Open quote"))</f>
        <v/>
      </c>
      <c r="T388" s="24" t="n"/>
      <c r="U388" s="24" t="n"/>
      <c r="V388" s="24" t="n"/>
      <c r="W388" s="26">
        <f>IF(C388="","",IF(N(T388)+N(U388)+N(V388)=0,"Not split",IF(ROUND(N(T388)+N(U388)+N(V388),2)=ROUND(L388+P388,2),"OK",IF(K388=0,"Not invoiced yet","MISMATCH"))))</f>
        <v/>
      </c>
      <c r="X388" s="24" t="n"/>
      <c r="Y388" s="24" t="n"/>
      <c r="Z388" s="24" t="n"/>
      <c r="AA388" s="27">
        <f>IF(C388="","",N(X388)+N(Y388)+N(Z388))</f>
        <v/>
      </c>
      <c r="AB388" s="27">
        <f>IF(C388="","",L388+P388-AA388)</f>
        <v/>
      </c>
      <c r="AC388" s="29">
        <f>IFERROR(AB388/(L388+P388),"")</f>
        <v/>
      </c>
      <c r="AD388" s="22" t="n"/>
    </row>
    <row r="389" ht="15" customHeight="1">
      <c r="A389" s="70">
        <f>IF(C389="","",IFERROR(IF(SUMPRODUCT(MAX((tbl_Finance[Job Number]&amp;""=C389&amp;"")*(tbl_Finance[Xero Invoice No]&lt;&gt;"")*tbl_Finance[Date]))=0,"",SUMPRODUCT(MAX((tbl_Finance[Job Number]&amp;""=C389&amp;"")*(tbl_Finance[Xero Invoice No]&lt;&gt;"")*tbl_Finance[Date]))),""))</f>
        <v/>
      </c>
      <c r="B389" s="26">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2" t="n"/>
      <c r="D389" s="26">
        <f>IF(C389="","",IF(COUNTIF(lst_Jobs,C389&amp;"")&gt;0,"OK","CHECK"))</f>
        <v/>
      </c>
      <c r="E389" s="26">
        <f>IF(C389="","",IFERROR(INDEX(lst_JobName,MATCH(C389&amp;"",lst_Jobs,0)),""))</f>
        <v/>
      </c>
      <c r="F389" s="22" t="n"/>
      <c r="G389" s="22" t="n"/>
      <c r="H389" s="22" t="n"/>
      <c r="I389" s="22" t="n"/>
      <c r="J389" s="22" t="n"/>
      <c r="K389" s="28">
        <f>IF(C389="","",COUNTIFS(tbl_Finance[Job Number],C389&amp;"",tbl_Finance[Ex GST],"&lt;&gt;"))</f>
        <v/>
      </c>
      <c r="L389" s="27">
        <f>IF(C389="","",SUMIFS(tbl_Finance[Ex GST],tbl_Finance[Job Number],C389&amp;""))</f>
        <v/>
      </c>
      <c r="M389" s="27">
        <f>IF(C389="","",SUMIFS(tbl_Finance[Ex GST],tbl_Finance[Job Number],C389&amp;"",tbl_Finance[Xero Invoice No],"&lt;&gt;"))</f>
        <v/>
      </c>
      <c r="N389" s="27">
        <f>IF(C389="","",L389-M389)</f>
        <v/>
      </c>
      <c r="O389" s="24" t="n"/>
      <c r="P389" s="27">
        <f>IF(C389="","",IF(O389="",0,MAX(0,O389-L389)))</f>
        <v/>
      </c>
      <c r="Q389" s="26">
        <f>IF(C389="","",IF(K389=0,"not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R389" s="22" t="n"/>
      <c r="S389" s="26">
        <f>IF(R389="","",HYPERLINK(IF(LEFT(R389,4)="http",R389,set_QwilrBase&amp;R389),"Open quote"))</f>
        <v/>
      </c>
      <c r="T389" s="24" t="n"/>
      <c r="U389" s="24" t="n"/>
      <c r="V389" s="24" t="n"/>
      <c r="W389" s="26">
        <f>IF(C389="","",IF(N(T389)+N(U389)+N(V389)=0,"Not split",IF(ROUND(N(T389)+N(U389)+N(V389),2)=ROUND(L389+P389,2),"OK",IF(K389=0,"Not invoiced yet","MISMATCH"))))</f>
        <v/>
      </c>
      <c r="X389" s="24" t="n"/>
      <c r="Y389" s="24" t="n"/>
      <c r="Z389" s="24" t="n"/>
      <c r="AA389" s="27">
        <f>IF(C389="","",N(X389)+N(Y389)+N(Z389))</f>
        <v/>
      </c>
      <c r="AB389" s="27">
        <f>IF(C389="","",L389+P389-AA389)</f>
        <v/>
      </c>
      <c r="AC389" s="29">
        <f>IFERROR(AB389/(L389+P389),"")</f>
        <v/>
      </c>
      <c r="AD389" s="22" t="n"/>
    </row>
    <row r="390" ht="15" customHeight="1">
      <c r="A390" s="70">
        <f>IF(C390="","",IFERROR(IF(SUMPRODUCT(MAX((tbl_Finance[Job Number]&amp;""=C390&amp;"")*(tbl_Finance[Xero Invoice No]&lt;&gt;"")*tbl_Finance[Date]))=0,"",SUMPRODUCT(MAX((tbl_Finance[Job Number]&amp;""=C390&amp;"")*(tbl_Finance[Xero Invoice No]&lt;&gt;"")*tbl_Finance[Date]))),""))</f>
        <v/>
      </c>
      <c r="B390" s="26">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2" t="n"/>
      <c r="D390" s="26">
        <f>IF(C390="","",IF(COUNTIF(lst_Jobs,C390&amp;"")&gt;0,"OK","CHECK"))</f>
        <v/>
      </c>
      <c r="E390" s="26">
        <f>IF(C390="","",IFERROR(INDEX(lst_JobName,MATCH(C390&amp;"",lst_Jobs,0)),""))</f>
        <v/>
      </c>
      <c r="F390" s="22" t="n"/>
      <c r="G390" s="22" t="n"/>
      <c r="H390" s="22" t="n"/>
      <c r="I390" s="22" t="n"/>
      <c r="J390" s="22" t="n"/>
      <c r="K390" s="28">
        <f>IF(C390="","",COUNTIFS(tbl_Finance[Job Number],C390&amp;"",tbl_Finance[Ex GST],"&lt;&gt;"))</f>
        <v/>
      </c>
      <c r="L390" s="27">
        <f>IF(C390="","",SUMIFS(tbl_Finance[Ex GST],tbl_Finance[Job Number],C390&amp;""))</f>
        <v/>
      </c>
      <c r="M390" s="27">
        <f>IF(C390="","",SUMIFS(tbl_Finance[Ex GST],tbl_Finance[Job Number],C390&amp;"",tbl_Finance[Xero Invoice No],"&lt;&gt;"))</f>
        <v/>
      </c>
      <c r="N390" s="27">
        <f>IF(C390="","",L390-M390)</f>
        <v/>
      </c>
      <c r="O390" s="24" t="n"/>
      <c r="P390" s="27">
        <f>IF(C390="","",IF(O390="",0,MAX(0,O390-L390)))</f>
        <v/>
      </c>
      <c r="Q390" s="26">
        <f>IF(C390="","",IF(K390=0,"not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R390" s="22" t="n"/>
      <c r="S390" s="26">
        <f>IF(R390="","",HYPERLINK(IF(LEFT(R390,4)="http",R390,set_QwilrBase&amp;R390),"Open quote"))</f>
        <v/>
      </c>
      <c r="T390" s="24" t="n"/>
      <c r="U390" s="24" t="n"/>
      <c r="V390" s="24" t="n"/>
      <c r="W390" s="26">
        <f>IF(C390="","",IF(N(T390)+N(U390)+N(V390)=0,"Not split",IF(ROUND(N(T390)+N(U390)+N(V390),2)=ROUND(L390+P390,2),"OK",IF(K390=0,"Not invoiced yet","MISMATCH"))))</f>
        <v/>
      </c>
      <c r="X390" s="24" t="n"/>
      <c r="Y390" s="24" t="n"/>
      <c r="Z390" s="24" t="n"/>
      <c r="AA390" s="27">
        <f>IF(C390="","",N(X390)+N(Y390)+N(Z390))</f>
        <v/>
      </c>
      <c r="AB390" s="27">
        <f>IF(C390="","",L390+P390-AA390)</f>
        <v/>
      </c>
      <c r="AC390" s="29">
        <f>IFERROR(AB390/(L390+P390),"")</f>
        <v/>
      </c>
      <c r="AD390" s="22" t="n"/>
    </row>
    <row r="391" ht="15" customHeight="1">
      <c r="A391" s="70">
        <f>IF(C391="","",IFERROR(IF(SUMPRODUCT(MAX((tbl_Finance[Job Number]&amp;""=C391&amp;"")*(tbl_Finance[Xero Invoice No]&lt;&gt;"")*tbl_Finance[Date]))=0,"",SUMPRODUCT(MAX((tbl_Finance[Job Number]&amp;""=C391&amp;"")*(tbl_Finance[Xero Invoice No]&lt;&gt;"")*tbl_Finance[Date]))),""))</f>
        <v/>
      </c>
      <c r="B391" s="26">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2" t="n"/>
      <c r="D391" s="26">
        <f>IF(C391="","",IF(COUNTIF(lst_Jobs,C391&amp;"")&gt;0,"OK","CHECK"))</f>
        <v/>
      </c>
      <c r="E391" s="26">
        <f>IF(C391="","",IFERROR(INDEX(lst_JobName,MATCH(C391&amp;"",lst_Jobs,0)),""))</f>
        <v/>
      </c>
      <c r="F391" s="22" t="n"/>
      <c r="G391" s="22" t="n"/>
      <c r="H391" s="22" t="n"/>
      <c r="I391" s="22" t="n"/>
      <c r="J391" s="22" t="n"/>
      <c r="K391" s="28">
        <f>IF(C391="","",COUNTIFS(tbl_Finance[Job Number],C391&amp;"",tbl_Finance[Ex GST],"&lt;&gt;"))</f>
        <v/>
      </c>
      <c r="L391" s="27">
        <f>IF(C391="","",SUMIFS(tbl_Finance[Ex GST],tbl_Finance[Job Number],C391&amp;""))</f>
        <v/>
      </c>
      <c r="M391" s="27">
        <f>IF(C391="","",SUMIFS(tbl_Finance[Ex GST],tbl_Finance[Job Number],C391&amp;"",tbl_Finance[Xero Invoice No],"&lt;&gt;"))</f>
        <v/>
      </c>
      <c r="N391" s="27">
        <f>IF(C391="","",L391-M391)</f>
        <v/>
      </c>
      <c r="O391" s="24" t="n"/>
      <c r="P391" s="27">
        <f>IF(C391="","",IF(O391="",0,MAX(0,O391-L391)))</f>
        <v/>
      </c>
      <c r="Q391" s="26">
        <f>IF(C391="","",IF(K391=0,"not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R391" s="22" t="n"/>
      <c r="S391" s="26">
        <f>IF(R391="","",HYPERLINK(IF(LEFT(R391,4)="http",R391,set_QwilrBase&amp;R391),"Open quote"))</f>
        <v/>
      </c>
      <c r="T391" s="24" t="n"/>
      <c r="U391" s="24" t="n"/>
      <c r="V391" s="24" t="n"/>
      <c r="W391" s="26">
        <f>IF(C391="","",IF(N(T391)+N(U391)+N(V391)=0,"Not split",IF(ROUND(N(T391)+N(U391)+N(V391),2)=ROUND(L391+P391,2),"OK",IF(K391=0,"Not invoiced yet","MISMATCH"))))</f>
        <v/>
      </c>
      <c r="X391" s="24" t="n"/>
      <c r="Y391" s="24" t="n"/>
      <c r="Z391" s="24" t="n"/>
      <c r="AA391" s="27">
        <f>IF(C391="","",N(X391)+N(Y391)+N(Z391))</f>
        <v/>
      </c>
      <c r="AB391" s="27">
        <f>IF(C391="","",L391+P391-AA391)</f>
        <v/>
      </c>
      <c r="AC391" s="29">
        <f>IFERROR(AB391/(L391+P391),"")</f>
        <v/>
      </c>
      <c r="AD391" s="22" t="n"/>
    </row>
    <row r="392" ht="15" customHeight="1">
      <c r="A392" s="70">
        <f>IF(C392="","",IFERROR(IF(SUMPRODUCT(MAX((tbl_Finance[Job Number]&amp;""=C392&amp;"")*(tbl_Finance[Xero Invoice No]&lt;&gt;"")*tbl_Finance[Date]))=0,"",SUMPRODUCT(MAX((tbl_Finance[Job Number]&amp;""=C392&amp;"")*(tbl_Finance[Xero Invoice No]&lt;&gt;"")*tbl_Finance[Date]))),""))</f>
        <v/>
      </c>
      <c r="B392" s="26">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2" t="n"/>
      <c r="D392" s="26">
        <f>IF(C392="","",IF(COUNTIF(lst_Jobs,C392&amp;"")&gt;0,"OK","CHECK"))</f>
        <v/>
      </c>
      <c r="E392" s="26">
        <f>IF(C392="","",IFERROR(INDEX(lst_JobName,MATCH(C392&amp;"",lst_Jobs,0)),""))</f>
        <v/>
      </c>
      <c r="F392" s="22" t="n"/>
      <c r="G392" s="22" t="n"/>
      <c r="H392" s="22" t="n"/>
      <c r="I392" s="22" t="n"/>
      <c r="J392" s="22" t="n"/>
      <c r="K392" s="28">
        <f>IF(C392="","",COUNTIFS(tbl_Finance[Job Number],C392&amp;"",tbl_Finance[Ex GST],"&lt;&gt;"))</f>
        <v/>
      </c>
      <c r="L392" s="27">
        <f>IF(C392="","",SUMIFS(tbl_Finance[Ex GST],tbl_Finance[Job Number],C392&amp;""))</f>
        <v/>
      </c>
      <c r="M392" s="27">
        <f>IF(C392="","",SUMIFS(tbl_Finance[Ex GST],tbl_Finance[Job Number],C392&amp;"",tbl_Finance[Xero Invoice No],"&lt;&gt;"))</f>
        <v/>
      </c>
      <c r="N392" s="27">
        <f>IF(C392="","",L392-M392)</f>
        <v/>
      </c>
      <c r="O392" s="24" t="n"/>
      <c r="P392" s="27">
        <f>IF(C392="","",IF(O392="",0,MAX(0,O392-L392)))</f>
        <v/>
      </c>
      <c r="Q392" s="26">
        <f>IF(C392="","",IF(K392=0,"not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R392" s="22" t="n"/>
      <c r="S392" s="26">
        <f>IF(R392="","",HYPERLINK(IF(LEFT(R392,4)="http",R392,set_QwilrBase&amp;R392),"Open quote"))</f>
        <v/>
      </c>
      <c r="T392" s="24" t="n"/>
      <c r="U392" s="24" t="n"/>
      <c r="V392" s="24" t="n"/>
      <c r="W392" s="26">
        <f>IF(C392="","",IF(N(T392)+N(U392)+N(V392)=0,"Not split",IF(ROUND(N(T392)+N(U392)+N(V392),2)=ROUND(L392+P392,2),"OK",IF(K392=0,"Not invoiced yet","MISMATCH"))))</f>
        <v/>
      </c>
      <c r="X392" s="24" t="n"/>
      <c r="Y392" s="24" t="n"/>
      <c r="Z392" s="24" t="n"/>
      <c r="AA392" s="27">
        <f>IF(C392="","",N(X392)+N(Y392)+N(Z392))</f>
        <v/>
      </c>
      <c r="AB392" s="27">
        <f>IF(C392="","",L392+P392-AA392)</f>
        <v/>
      </c>
      <c r="AC392" s="29">
        <f>IFERROR(AB392/(L392+P392),"")</f>
        <v/>
      </c>
      <c r="AD392" s="22" t="n"/>
    </row>
    <row r="393" ht="15" customHeight="1">
      <c r="A393" s="70">
        <f>IF(C393="","",IFERROR(IF(SUMPRODUCT(MAX((tbl_Finance[Job Number]&amp;""=C393&amp;"")*(tbl_Finance[Xero Invoice No]&lt;&gt;"")*tbl_Finance[Date]))=0,"",SUMPRODUCT(MAX((tbl_Finance[Job Number]&amp;""=C393&amp;"")*(tbl_Finance[Xero Invoice No]&lt;&gt;"")*tbl_Finance[Date]))),""))</f>
        <v/>
      </c>
      <c r="B393" s="26">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2" t="n"/>
      <c r="D393" s="26">
        <f>IF(C393="","",IF(COUNTIF(lst_Jobs,C393&amp;"")&gt;0,"OK","CHECK"))</f>
        <v/>
      </c>
      <c r="E393" s="26">
        <f>IF(C393="","",IFERROR(INDEX(lst_JobName,MATCH(C393&amp;"",lst_Jobs,0)),""))</f>
        <v/>
      </c>
      <c r="F393" s="22" t="n"/>
      <c r="G393" s="22" t="n"/>
      <c r="H393" s="22" t="n"/>
      <c r="I393" s="22" t="n"/>
      <c r="J393" s="22" t="n"/>
      <c r="K393" s="28">
        <f>IF(C393="","",COUNTIFS(tbl_Finance[Job Number],C393&amp;"",tbl_Finance[Ex GST],"&lt;&gt;"))</f>
        <v/>
      </c>
      <c r="L393" s="27">
        <f>IF(C393="","",SUMIFS(tbl_Finance[Ex GST],tbl_Finance[Job Number],C393&amp;""))</f>
        <v/>
      </c>
      <c r="M393" s="27">
        <f>IF(C393="","",SUMIFS(tbl_Finance[Ex GST],tbl_Finance[Job Number],C393&amp;"",tbl_Finance[Xero Invoice No],"&lt;&gt;"))</f>
        <v/>
      </c>
      <c r="N393" s="27">
        <f>IF(C393="","",L393-M393)</f>
        <v/>
      </c>
      <c r="O393" s="24" t="n"/>
      <c r="P393" s="27">
        <f>IF(C393="","",IF(O393="",0,MAX(0,O393-L393)))</f>
        <v/>
      </c>
      <c r="Q393" s="26">
        <f>IF(C393="","",IF(K393=0,"not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R393" s="22" t="n"/>
      <c r="S393" s="26">
        <f>IF(R393="","",HYPERLINK(IF(LEFT(R393,4)="http",R393,set_QwilrBase&amp;R393),"Open quote"))</f>
        <v/>
      </c>
      <c r="T393" s="24" t="n"/>
      <c r="U393" s="24" t="n"/>
      <c r="V393" s="24" t="n"/>
      <c r="W393" s="26">
        <f>IF(C393="","",IF(N(T393)+N(U393)+N(V393)=0,"Not split",IF(ROUND(N(T393)+N(U393)+N(V393),2)=ROUND(L393+P393,2),"OK",IF(K393=0,"Not invoiced yet","MISMATCH"))))</f>
        <v/>
      </c>
      <c r="X393" s="24" t="n"/>
      <c r="Y393" s="24" t="n"/>
      <c r="Z393" s="24" t="n"/>
      <c r="AA393" s="27">
        <f>IF(C393="","",N(X393)+N(Y393)+N(Z393))</f>
        <v/>
      </c>
      <c r="AB393" s="27">
        <f>IF(C393="","",L393+P393-AA393)</f>
        <v/>
      </c>
      <c r="AC393" s="29">
        <f>IFERROR(AB393/(L393+P393),"")</f>
        <v/>
      </c>
      <c r="AD393" s="22" t="n"/>
    </row>
    <row r="394" ht="15" customHeight="1">
      <c r="A394" s="70">
        <f>IF(C394="","",IFERROR(IF(SUMPRODUCT(MAX((tbl_Finance[Job Number]&amp;""=C394&amp;"")*(tbl_Finance[Xero Invoice No]&lt;&gt;"")*tbl_Finance[Date]))=0,"",SUMPRODUCT(MAX((tbl_Finance[Job Number]&amp;""=C394&amp;"")*(tbl_Finance[Xero Invoice No]&lt;&gt;"")*tbl_Finance[Date]))),""))</f>
        <v/>
      </c>
      <c r="B394" s="26">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2" t="n"/>
      <c r="D394" s="26">
        <f>IF(C394="","",IF(COUNTIF(lst_Jobs,C394&amp;"")&gt;0,"OK","CHECK"))</f>
        <v/>
      </c>
      <c r="E394" s="26">
        <f>IF(C394="","",IFERROR(INDEX(lst_JobName,MATCH(C394&amp;"",lst_Jobs,0)),""))</f>
        <v/>
      </c>
      <c r="F394" s="22" t="n"/>
      <c r="G394" s="22" t="n"/>
      <c r="H394" s="22" t="n"/>
      <c r="I394" s="22" t="n"/>
      <c r="J394" s="22" t="n"/>
      <c r="K394" s="28">
        <f>IF(C394="","",COUNTIFS(tbl_Finance[Job Number],C394&amp;"",tbl_Finance[Ex GST],"&lt;&gt;"))</f>
        <v/>
      </c>
      <c r="L394" s="27">
        <f>IF(C394="","",SUMIFS(tbl_Finance[Ex GST],tbl_Finance[Job Number],C394&amp;""))</f>
        <v/>
      </c>
      <c r="M394" s="27">
        <f>IF(C394="","",SUMIFS(tbl_Finance[Ex GST],tbl_Finance[Job Number],C394&amp;"",tbl_Finance[Xero Invoice No],"&lt;&gt;"))</f>
        <v/>
      </c>
      <c r="N394" s="27">
        <f>IF(C394="","",L394-M394)</f>
        <v/>
      </c>
      <c r="O394" s="24" t="n"/>
      <c r="P394" s="27">
        <f>IF(C394="","",IF(O394="",0,MAX(0,O394-L394)))</f>
        <v/>
      </c>
      <c r="Q394" s="26">
        <f>IF(C394="","",IF(K394=0,"not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R394" s="22" t="n"/>
      <c r="S394" s="26">
        <f>IF(R394="","",HYPERLINK(IF(LEFT(R394,4)="http",R394,set_QwilrBase&amp;R394),"Open quote"))</f>
        <v/>
      </c>
      <c r="T394" s="24" t="n"/>
      <c r="U394" s="24" t="n"/>
      <c r="V394" s="24" t="n"/>
      <c r="W394" s="26">
        <f>IF(C394="","",IF(N(T394)+N(U394)+N(V394)=0,"Not split",IF(ROUND(N(T394)+N(U394)+N(V394),2)=ROUND(L394+P394,2),"OK",IF(K394=0,"Not invoiced yet","MISMATCH"))))</f>
        <v/>
      </c>
      <c r="X394" s="24" t="n"/>
      <c r="Y394" s="24" t="n"/>
      <c r="Z394" s="24" t="n"/>
      <c r="AA394" s="27">
        <f>IF(C394="","",N(X394)+N(Y394)+N(Z394))</f>
        <v/>
      </c>
      <c r="AB394" s="27">
        <f>IF(C394="","",L394+P394-AA394)</f>
        <v/>
      </c>
      <c r="AC394" s="29">
        <f>IFERROR(AB394/(L394+P394),"")</f>
        <v/>
      </c>
      <c r="AD394" s="22" t="n"/>
    </row>
    <row r="395" ht="15" customHeight="1">
      <c r="A395" s="70">
        <f>IF(C395="","",IFERROR(IF(SUMPRODUCT(MAX((tbl_Finance[Job Number]&amp;""=C395&amp;"")*(tbl_Finance[Xero Invoice No]&lt;&gt;"")*tbl_Finance[Date]))=0,"",SUMPRODUCT(MAX((tbl_Finance[Job Number]&amp;""=C395&amp;"")*(tbl_Finance[Xero Invoice No]&lt;&gt;"")*tbl_Finance[Date]))),""))</f>
        <v/>
      </c>
      <c r="B395" s="26">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2" t="n"/>
      <c r="D395" s="26">
        <f>IF(C395="","",IF(COUNTIF(lst_Jobs,C395&amp;"")&gt;0,"OK","CHECK"))</f>
        <v/>
      </c>
      <c r="E395" s="26">
        <f>IF(C395="","",IFERROR(INDEX(lst_JobName,MATCH(C395&amp;"",lst_Jobs,0)),""))</f>
        <v/>
      </c>
      <c r="F395" s="22" t="n"/>
      <c r="G395" s="22" t="n"/>
      <c r="H395" s="22" t="n"/>
      <c r="I395" s="22" t="n"/>
      <c r="J395" s="22" t="n"/>
      <c r="K395" s="28">
        <f>IF(C395="","",COUNTIFS(tbl_Finance[Job Number],C395&amp;"",tbl_Finance[Ex GST],"&lt;&gt;"))</f>
        <v/>
      </c>
      <c r="L395" s="27">
        <f>IF(C395="","",SUMIFS(tbl_Finance[Ex GST],tbl_Finance[Job Number],C395&amp;""))</f>
        <v/>
      </c>
      <c r="M395" s="27">
        <f>IF(C395="","",SUMIFS(tbl_Finance[Ex GST],tbl_Finance[Job Number],C395&amp;"",tbl_Finance[Xero Invoice No],"&lt;&gt;"))</f>
        <v/>
      </c>
      <c r="N395" s="27">
        <f>IF(C395="","",L395-M395)</f>
        <v/>
      </c>
      <c r="O395" s="24" t="n"/>
      <c r="P395" s="27">
        <f>IF(C395="","",IF(O395="",0,MAX(0,O395-L395)))</f>
        <v/>
      </c>
      <c r="Q395" s="26">
        <f>IF(C395="","",IF(K395=0,"not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R395" s="22" t="n"/>
      <c r="S395" s="26">
        <f>IF(R395="","",HYPERLINK(IF(LEFT(R395,4)="http",R395,set_QwilrBase&amp;R395),"Open quote"))</f>
        <v/>
      </c>
      <c r="T395" s="24" t="n"/>
      <c r="U395" s="24" t="n"/>
      <c r="V395" s="24" t="n"/>
      <c r="W395" s="26">
        <f>IF(C395="","",IF(N(T395)+N(U395)+N(V395)=0,"Not split",IF(ROUND(N(T395)+N(U395)+N(V395),2)=ROUND(L395+P395,2),"OK",IF(K395=0,"Not invoiced yet","MISMATCH"))))</f>
        <v/>
      </c>
      <c r="X395" s="24" t="n"/>
      <c r="Y395" s="24" t="n"/>
      <c r="Z395" s="24" t="n"/>
      <c r="AA395" s="27">
        <f>IF(C395="","",N(X395)+N(Y395)+N(Z395))</f>
        <v/>
      </c>
      <c r="AB395" s="27">
        <f>IF(C395="","",L395+P395-AA395)</f>
        <v/>
      </c>
      <c r="AC395" s="29">
        <f>IFERROR(AB395/(L395+P395),"")</f>
        <v/>
      </c>
      <c r="AD395" s="22" t="n"/>
    </row>
    <row r="396" ht="15" customHeight="1">
      <c r="A396" s="70">
        <f>IF(C396="","",IFERROR(IF(SUMPRODUCT(MAX((tbl_Finance[Job Number]&amp;""=C396&amp;"")*(tbl_Finance[Xero Invoice No]&lt;&gt;"")*tbl_Finance[Date]))=0,"",SUMPRODUCT(MAX((tbl_Finance[Job Number]&amp;""=C396&amp;"")*(tbl_Finance[Xero Invoice No]&lt;&gt;"")*tbl_Finance[Date]))),""))</f>
        <v/>
      </c>
      <c r="B396" s="26">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2" t="n"/>
      <c r="D396" s="26">
        <f>IF(C396="","",IF(COUNTIF(lst_Jobs,C396&amp;"")&gt;0,"OK","CHECK"))</f>
        <v/>
      </c>
      <c r="E396" s="26">
        <f>IF(C396="","",IFERROR(INDEX(lst_JobName,MATCH(C396&amp;"",lst_Jobs,0)),""))</f>
        <v/>
      </c>
      <c r="F396" s="22" t="n"/>
      <c r="G396" s="22" t="n"/>
      <c r="H396" s="22" t="n"/>
      <c r="I396" s="22" t="n"/>
      <c r="J396" s="22" t="n"/>
      <c r="K396" s="28">
        <f>IF(C396="","",COUNTIFS(tbl_Finance[Job Number],C396&amp;"",tbl_Finance[Ex GST],"&lt;&gt;"))</f>
        <v/>
      </c>
      <c r="L396" s="27">
        <f>IF(C396="","",SUMIFS(tbl_Finance[Ex GST],tbl_Finance[Job Number],C396&amp;""))</f>
        <v/>
      </c>
      <c r="M396" s="27">
        <f>IF(C396="","",SUMIFS(tbl_Finance[Ex GST],tbl_Finance[Job Number],C396&amp;"",tbl_Finance[Xero Invoice No],"&lt;&gt;"))</f>
        <v/>
      </c>
      <c r="N396" s="27">
        <f>IF(C396="","",L396-M396)</f>
        <v/>
      </c>
      <c r="O396" s="24" t="n"/>
      <c r="P396" s="27">
        <f>IF(C396="","",IF(O396="",0,MAX(0,O396-L396)))</f>
        <v/>
      </c>
      <c r="Q396" s="26">
        <f>IF(C396="","",IF(K396=0,"not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R396" s="22" t="n"/>
      <c r="S396" s="26">
        <f>IF(R396="","",HYPERLINK(IF(LEFT(R396,4)="http",R396,set_QwilrBase&amp;R396),"Open quote"))</f>
        <v/>
      </c>
      <c r="T396" s="24" t="n"/>
      <c r="U396" s="24" t="n"/>
      <c r="V396" s="24" t="n"/>
      <c r="W396" s="26">
        <f>IF(C396="","",IF(N(T396)+N(U396)+N(V396)=0,"Not split",IF(ROUND(N(T396)+N(U396)+N(V396),2)=ROUND(L396+P396,2),"OK",IF(K396=0,"Not invoiced yet","MISMATCH"))))</f>
        <v/>
      </c>
      <c r="X396" s="24" t="n"/>
      <c r="Y396" s="24" t="n"/>
      <c r="Z396" s="24" t="n"/>
      <c r="AA396" s="27">
        <f>IF(C396="","",N(X396)+N(Y396)+N(Z396))</f>
        <v/>
      </c>
      <c r="AB396" s="27">
        <f>IF(C396="","",L396+P396-AA396)</f>
        <v/>
      </c>
      <c r="AC396" s="29">
        <f>IFERROR(AB396/(L396+P396),"")</f>
        <v/>
      </c>
      <c r="AD396" s="22" t="n"/>
    </row>
    <row r="397" ht="15" customHeight="1">
      <c r="A397" s="70">
        <f>IF(C397="","",IFERROR(IF(SUMPRODUCT(MAX((tbl_Finance[Job Number]&amp;""=C397&amp;"")*(tbl_Finance[Xero Invoice No]&lt;&gt;"")*tbl_Finance[Date]))=0,"",SUMPRODUCT(MAX((tbl_Finance[Job Number]&amp;""=C397&amp;"")*(tbl_Finance[Xero Invoice No]&lt;&gt;"")*tbl_Finance[Date]))),""))</f>
        <v/>
      </c>
      <c r="B397" s="26">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2" t="n"/>
      <c r="D397" s="26">
        <f>IF(C397="","",IF(COUNTIF(lst_Jobs,C397&amp;"")&gt;0,"OK","CHECK"))</f>
        <v/>
      </c>
      <c r="E397" s="26">
        <f>IF(C397="","",IFERROR(INDEX(lst_JobName,MATCH(C397&amp;"",lst_Jobs,0)),""))</f>
        <v/>
      </c>
      <c r="F397" s="22" t="n"/>
      <c r="G397" s="22" t="n"/>
      <c r="H397" s="22" t="n"/>
      <c r="I397" s="22" t="n"/>
      <c r="J397" s="22" t="n"/>
      <c r="K397" s="28">
        <f>IF(C397="","",COUNTIFS(tbl_Finance[Job Number],C397&amp;"",tbl_Finance[Ex GST],"&lt;&gt;"))</f>
        <v/>
      </c>
      <c r="L397" s="27">
        <f>IF(C397="","",SUMIFS(tbl_Finance[Ex GST],tbl_Finance[Job Number],C397&amp;""))</f>
        <v/>
      </c>
      <c r="M397" s="27">
        <f>IF(C397="","",SUMIFS(tbl_Finance[Ex GST],tbl_Finance[Job Number],C397&amp;"",tbl_Finance[Xero Invoice No],"&lt;&gt;"))</f>
        <v/>
      </c>
      <c r="N397" s="27">
        <f>IF(C397="","",L397-M397)</f>
        <v/>
      </c>
      <c r="O397" s="24" t="n"/>
      <c r="P397" s="27">
        <f>IF(C397="","",IF(O397="",0,MAX(0,O397-L397)))</f>
        <v/>
      </c>
      <c r="Q397" s="26">
        <f>IF(C397="","",IF(K397=0,"not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R397" s="22" t="n"/>
      <c r="S397" s="26">
        <f>IF(R397="","",HYPERLINK(IF(LEFT(R397,4)="http",R397,set_QwilrBase&amp;R397),"Open quote"))</f>
        <v/>
      </c>
      <c r="T397" s="24" t="n"/>
      <c r="U397" s="24" t="n"/>
      <c r="V397" s="24" t="n"/>
      <c r="W397" s="26">
        <f>IF(C397="","",IF(N(T397)+N(U397)+N(V397)=0,"Not split",IF(ROUND(N(T397)+N(U397)+N(V397),2)=ROUND(L397+P397,2),"OK",IF(K397=0,"Not invoiced yet","MISMATCH"))))</f>
        <v/>
      </c>
      <c r="X397" s="24" t="n"/>
      <c r="Y397" s="24" t="n"/>
      <c r="Z397" s="24" t="n"/>
      <c r="AA397" s="27">
        <f>IF(C397="","",N(X397)+N(Y397)+N(Z397))</f>
        <v/>
      </c>
      <c r="AB397" s="27">
        <f>IF(C397="","",L397+P397-AA397)</f>
        <v/>
      </c>
      <c r="AC397" s="29">
        <f>IFERROR(AB397/(L397+P397),"")</f>
        <v/>
      </c>
      <c r="AD397" s="22" t="n"/>
    </row>
    <row r="398" ht="15" customHeight="1">
      <c r="A398" s="70">
        <f>IF(C398="","",IFERROR(IF(SUMPRODUCT(MAX((tbl_Finance[Job Number]&amp;""=C398&amp;"")*(tbl_Finance[Xero Invoice No]&lt;&gt;"")*tbl_Finance[Date]))=0,"",SUMPRODUCT(MAX((tbl_Finance[Job Number]&amp;""=C398&amp;"")*(tbl_Finance[Xero Invoice No]&lt;&gt;"")*tbl_Finance[Date]))),""))</f>
        <v/>
      </c>
      <c r="B398" s="26">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2" t="n"/>
      <c r="D398" s="26">
        <f>IF(C398="","",IF(COUNTIF(lst_Jobs,C398&amp;"")&gt;0,"OK","CHECK"))</f>
        <v/>
      </c>
      <c r="E398" s="26">
        <f>IF(C398="","",IFERROR(INDEX(lst_JobName,MATCH(C398&amp;"",lst_Jobs,0)),""))</f>
        <v/>
      </c>
      <c r="F398" s="22" t="n"/>
      <c r="G398" s="22" t="n"/>
      <c r="H398" s="22" t="n"/>
      <c r="I398" s="22" t="n"/>
      <c r="J398" s="22" t="n"/>
      <c r="K398" s="28">
        <f>IF(C398="","",COUNTIFS(tbl_Finance[Job Number],C398&amp;"",tbl_Finance[Ex GST],"&lt;&gt;"))</f>
        <v/>
      </c>
      <c r="L398" s="27">
        <f>IF(C398="","",SUMIFS(tbl_Finance[Ex GST],tbl_Finance[Job Number],C398&amp;""))</f>
        <v/>
      </c>
      <c r="M398" s="27">
        <f>IF(C398="","",SUMIFS(tbl_Finance[Ex GST],tbl_Finance[Job Number],C398&amp;"",tbl_Finance[Xero Invoice No],"&lt;&gt;"))</f>
        <v/>
      </c>
      <c r="N398" s="27">
        <f>IF(C398="","",L398-M398)</f>
        <v/>
      </c>
      <c r="O398" s="24" t="n"/>
      <c r="P398" s="27">
        <f>IF(C398="","",IF(O398="",0,MAX(0,O398-L398)))</f>
        <v/>
      </c>
      <c r="Q398" s="26">
        <f>IF(C398="","",IF(K398=0,"not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R398" s="22" t="n"/>
      <c r="S398" s="26">
        <f>IF(R398="","",HYPERLINK(IF(LEFT(R398,4)="http",R398,set_QwilrBase&amp;R398),"Open quote"))</f>
        <v/>
      </c>
      <c r="T398" s="24" t="n"/>
      <c r="U398" s="24" t="n"/>
      <c r="V398" s="24" t="n"/>
      <c r="W398" s="26">
        <f>IF(C398="","",IF(N(T398)+N(U398)+N(V398)=0,"Not split",IF(ROUND(N(T398)+N(U398)+N(V398),2)=ROUND(L398+P398,2),"OK",IF(K398=0,"Not invoiced yet","MISMATCH"))))</f>
        <v/>
      </c>
      <c r="X398" s="24" t="n"/>
      <c r="Y398" s="24" t="n"/>
      <c r="Z398" s="24" t="n"/>
      <c r="AA398" s="27">
        <f>IF(C398="","",N(X398)+N(Y398)+N(Z398))</f>
        <v/>
      </c>
      <c r="AB398" s="27">
        <f>IF(C398="","",L398+P398-AA398)</f>
        <v/>
      </c>
      <c r="AC398" s="29">
        <f>IFERROR(AB398/(L398+P398),"")</f>
        <v/>
      </c>
      <c r="AD398" s="22" t="n"/>
    </row>
    <row r="399" ht="15" customHeight="1">
      <c r="A399" s="70">
        <f>IF(C399="","",IFERROR(IF(SUMPRODUCT(MAX((tbl_Finance[Job Number]&amp;""=C399&amp;"")*(tbl_Finance[Xero Invoice No]&lt;&gt;"")*tbl_Finance[Date]))=0,"",SUMPRODUCT(MAX((tbl_Finance[Job Number]&amp;""=C399&amp;"")*(tbl_Finance[Xero Invoice No]&lt;&gt;"")*tbl_Finance[Date]))),""))</f>
        <v/>
      </c>
      <c r="B399" s="26">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2" t="n"/>
      <c r="D399" s="26">
        <f>IF(C399="","",IF(COUNTIF(lst_Jobs,C399&amp;"")&gt;0,"OK","CHECK"))</f>
        <v/>
      </c>
      <c r="E399" s="26">
        <f>IF(C399="","",IFERROR(INDEX(lst_JobName,MATCH(C399&amp;"",lst_Jobs,0)),""))</f>
        <v/>
      </c>
      <c r="F399" s="22" t="n"/>
      <c r="G399" s="22" t="n"/>
      <c r="H399" s="22" t="n"/>
      <c r="I399" s="22" t="n"/>
      <c r="J399" s="22" t="n"/>
      <c r="K399" s="28">
        <f>IF(C399="","",COUNTIFS(tbl_Finance[Job Number],C399&amp;"",tbl_Finance[Ex GST],"&lt;&gt;"))</f>
        <v/>
      </c>
      <c r="L399" s="27">
        <f>IF(C399="","",SUMIFS(tbl_Finance[Ex GST],tbl_Finance[Job Number],C399&amp;""))</f>
        <v/>
      </c>
      <c r="M399" s="27">
        <f>IF(C399="","",SUMIFS(tbl_Finance[Ex GST],tbl_Finance[Job Number],C399&amp;"",tbl_Finance[Xero Invoice No],"&lt;&gt;"))</f>
        <v/>
      </c>
      <c r="N399" s="27">
        <f>IF(C399="","",L399-M399)</f>
        <v/>
      </c>
      <c r="O399" s="24" t="n"/>
      <c r="P399" s="27">
        <f>IF(C399="","",IF(O399="",0,MAX(0,O399-L399)))</f>
        <v/>
      </c>
      <c r="Q399" s="26">
        <f>IF(C399="","",IF(K399=0,"not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R399" s="22" t="n"/>
      <c r="S399" s="26">
        <f>IF(R399="","",HYPERLINK(IF(LEFT(R399,4)="http",R399,set_QwilrBase&amp;R399),"Open quote"))</f>
        <v/>
      </c>
      <c r="T399" s="24" t="n"/>
      <c r="U399" s="24" t="n"/>
      <c r="V399" s="24" t="n"/>
      <c r="W399" s="26">
        <f>IF(C399="","",IF(N(T399)+N(U399)+N(V399)=0,"Not split",IF(ROUND(N(T399)+N(U399)+N(V399),2)=ROUND(L399+P399,2),"OK",IF(K399=0,"Not invoiced yet","MISMATCH"))))</f>
        <v/>
      </c>
      <c r="X399" s="24" t="n"/>
      <c r="Y399" s="24" t="n"/>
      <c r="Z399" s="24" t="n"/>
      <c r="AA399" s="27">
        <f>IF(C399="","",N(X399)+N(Y399)+N(Z399))</f>
        <v/>
      </c>
      <c r="AB399" s="27">
        <f>IF(C399="","",L399+P399-AA399)</f>
        <v/>
      </c>
      <c r="AC399" s="29">
        <f>IFERROR(AB399/(L399+P399),"")</f>
        <v/>
      </c>
      <c r="AD399" s="22" t="n"/>
    </row>
    <row r="400" ht="15" customHeight="1">
      <c r="A400" s="70">
        <f>IF(C400="","",IFERROR(IF(SUMPRODUCT(MAX((tbl_Finance[Job Number]&amp;""=C400&amp;"")*(tbl_Finance[Xero Invoice No]&lt;&gt;"")*tbl_Finance[Date]))=0,"",SUMPRODUCT(MAX((tbl_Finance[Job Number]&amp;""=C400&amp;"")*(tbl_Finance[Xero Invoice No]&lt;&gt;"")*tbl_Finance[Date]))),""))</f>
        <v/>
      </c>
      <c r="B400" s="26">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2" t="n"/>
      <c r="D400" s="26">
        <f>IF(C400="","",IF(COUNTIF(lst_Jobs,C400&amp;"")&gt;0,"OK","CHECK"))</f>
        <v/>
      </c>
      <c r="E400" s="26">
        <f>IF(C400="","",IFERROR(INDEX(lst_JobName,MATCH(C400&amp;"",lst_Jobs,0)),""))</f>
        <v/>
      </c>
      <c r="F400" s="22" t="n"/>
      <c r="G400" s="22" t="n"/>
      <c r="H400" s="22" t="n"/>
      <c r="I400" s="22" t="n"/>
      <c r="J400" s="22" t="n"/>
      <c r="K400" s="28">
        <f>IF(C400="","",COUNTIFS(tbl_Finance[Job Number],C400&amp;"",tbl_Finance[Ex GST],"&lt;&gt;"))</f>
        <v/>
      </c>
      <c r="L400" s="27">
        <f>IF(C400="","",SUMIFS(tbl_Finance[Ex GST],tbl_Finance[Job Number],C400&amp;""))</f>
        <v/>
      </c>
      <c r="M400" s="27">
        <f>IF(C400="","",SUMIFS(tbl_Finance[Ex GST],tbl_Finance[Job Number],C400&amp;"",tbl_Finance[Xero Invoice No],"&lt;&gt;"))</f>
        <v/>
      </c>
      <c r="N400" s="27">
        <f>IF(C400="","",L400-M400)</f>
        <v/>
      </c>
      <c r="O400" s="24" t="n"/>
      <c r="P400" s="27">
        <f>IF(C400="","",IF(O400="",0,MAX(0,O400-L400)))</f>
        <v/>
      </c>
      <c r="Q400" s="26">
        <f>IF(C400="","",IF(K400=0,"not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R400" s="22" t="n"/>
      <c r="S400" s="26">
        <f>IF(R400="","",HYPERLINK(IF(LEFT(R400,4)="http",R400,set_QwilrBase&amp;R400),"Open quote"))</f>
        <v/>
      </c>
      <c r="T400" s="24" t="n"/>
      <c r="U400" s="24" t="n"/>
      <c r="V400" s="24" t="n"/>
      <c r="W400" s="26">
        <f>IF(C400="","",IF(N(T400)+N(U400)+N(V400)=0,"Not split",IF(ROUND(N(T400)+N(U400)+N(V400),2)=ROUND(L400+P400,2),"OK",IF(K400=0,"Not invoiced yet","MISMATCH"))))</f>
        <v/>
      </c>
      <c r="X400" s="24" t="n"/>
      <c r="Y400" s="24" t="n"/>
      <c r="Z400" s="24" t="n"/>
      <c r="AA400" s="27">
        <f>IF(C400="","",N(X400)+N(Y400)+N(Z400))</f>
        <v/>
      </c>
      <c r="AB400" s="27">
        <f>IF(C400="","",L400+P400-AA400)</f>
        <v/>
      </c>
      <c r="AC400" s="29">
        <f>IFERROR(AB400/(L400+P400),"")</f>
        <v/>
      </c>
      <c r="AD400" s="22" t="n"/>
    </row>
    <row r="401" ht="15" customHeight="1">
      <c r="A401" s="70">
        <f>IF(C401="","",IFERROR(IF(SUMPRODUCT(MAX((tbl_Finance[Job Number]&amp;""=C401&amp;"")*(tbl_Finance[Xero Invoice No]&lt;&gt;"")*tbl_Finance[Date]))=0,"",SUMPRODUCT(MAX((tbl_Finance[Job Number]&amp;""=C401&amp;"")*(tbl_Finance[Xero Invoice No]&lt;&gt;"")*tbl_Finance[Date]))),""))</f>
        <v/>
      </c>
      <c r="B401" s="26">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2" t="n"/>
      <c r="D401" s="26">
        <f>IF(C401="","",IF(COUNTIF(lst_Jobs,C401&amp;"")&gt;0,"OK","CHECK"))</f>
        <v/>
      </c>
      <c r="E401" s="26">
        <f>IF(C401="","",IFERROR(INDEX(lst_JobName,MATCH(C401&amp;"",lst_Jobs,0)),""))</f>
        <v/>
      </c>
      <c r="F401" s="22" t="n"/>
      <c r="G401" s="22" t="n"/>
      <c r="H401" s="22" t="n"/>
      <c r="I401" s="22" t="n"/>
      <c r="J401" s="22" t="n"/>
      <c r="K401" s="28">
        <f>IF(C401="","",COUNTIFS(tbl_Finance[Job Number],C401&amp;"",tbl_Finance[Ex GST],"&lt;&gt;"))</f>
        <v/>
      </c>
      <c r="L401" s="27">
        <f>IF(C401="","",SUMIFS(tbl_Finance[Ex GST],tbl_Finance[Job Number],C401&amp;""))</f>
        <v/>
      </c>
      <c r="M401" s="27">
        <f>IF(C401="","",SUMIFS(tbl_Finance[Ex GST],tbl_Finance[Job Number],C401&amp;"",tbl_Finance[Xero Invoice No],"&lt;&gt;"))</f>
        <v/>
      </c>
      <c r="N401" s="27">
        <f>IF(C401="","",L401-M401)</f>
        <v/>
      </c>
      <c r="O401" s="24" t="n"/>
      <c r="P401" s="27">
        <f>IF(C401="","",IF(O401="",0,MAX(0,O401-L401)))</f>
        <v/>
      </c>
      <c r="Q401" s="26">
        <f>IF(C401="","",IF(K401=0,"not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R401" s="22" t="n"/>
      <c r="S401" s="26">
        <f>IF(R401="","",HYPERLINK(IF(LEFT(R401,4)="http",R401,set_QwilrBase&amp;R401),"Open quote"))</f>
        <v/>
      </c>
      <c r="T401" s="24" t="n"/>
      <c r="U401" s="24" t="n"/>
      <c r="V401" s="24" t="n"/>
      <c r="W401" s="26">
        <f>IF(C401="","",IF(N(T401)+N(U401)+N(V401)=0,"Not split",IF(ROUND(N(T401)+N(U401)+N(V401),2)=ROUND(L401+P401,2),"OK",IF(K401=0,"Not invoiced yet","MISMATCH"))))</f>
        <v/>
      </c>
      <c r="X401" s="24" t="n"/>
      <c r="Y401" s="24" t="n"/>
      <c r="Z401" s="24" t="n"/>
      <c r="AA401" s="27">
        <f>IF(C401="","",N(X401)+N(Y401)+N(Z401))</f>
        <v/>
      </c>
      <c r="AB401" s="27">
        <f>IF(C401="","",L401+P401-AA401)</f>
        <v/>
      </c>
      <c r="AC401" s="29">
        <f>IFERROR(AB401/(L401+P401),"")</f>
        <v/>
      </c>
      <c r="AD401" s="22" t="n"/>
    </row>
    <row r="402" ht="15" customHeight="1">
      <c r="A402" s="70">
        <f>IF(C402="","",IFERROR(IF(SUMPRODUCT(MAX((tbl_Finance[Job Number]&amp;""=C402&amp;"")*(tbl_Finance[Xero Invoice No]&lt;&gt;"")*tbl_Finance[Date]))=0,"",SUMPRODUCT(MAX((tbl_Finance[Job Number]&amp;""=C402&amp;"")*(tbl_Finance[Xero Invoice No]&lt;&gt;"")*tbl_Finance[Date]))),""))</f>
        <v/>
      </c>
      <c r="B402" s="26">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2" t="n"/>
      <c r="D402" s="26">
        <f>IF(C402="","",IF(COUNTIF(lst_Jobs,C402&amp;"")&gt;0,"OK","CHECK"))</f>
        <v/>
      </c>
      <c r="E402" s="26">
        <f>IF(C402="","",IFERROR(INDEX(lst_JobName,MATCH(C402&amp;"",lst_Jobs,0)),""))</f>
        <v/>
      </c>
      <c r="F402" s="22" t="n"/>
      <c r="G402" s="22" t="n"/>
      <c r="H402" s="22" t="n"/>
      <c r="I402" s="22" t="n"/>
      <c r="J402" s="22" t="n"/>
      <c r="K402" s="28">
        <f>IF(C402="","",COUNTIFS(tbl_Finance[Job Number],C402&amp;"",tbl_Finance[Ex GST],"&lt;&gt;"))</f>
        <v/>
      </c>
      <c r="L402" s="27">
        <f>IF(C402="","",SUMIFS(tbl_Finance[Ex GST],tbl_Finance[Job Number],C402&amp;""))</f>
        <v/>
      </c>
      <c r="M402" s="27">
        <f>IF(C402="","",SUMIFS(tbl_Finance[Ex GST],tbl_Finance[Job Number],C402&amp;"",tbl_Finance[Xero Invoice No],"&lt;&gt;"))</f>
        <v/>
      </c>
      <c r="N402" s="27">
        <f>IF(C402="","",L402-M402)</f>
        <v/>
      </c>
      <c r="O402" s="24" t="n"/>
      <c r="P402" s="27">
        <f>IF(C402="","",IF(O402="",0,MAX(0,O402-L402)))</f>
        <v/>
      </c>
      <c r="Q402" s="26">
        <f>IF(C402="","",IF(K402=0,"not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R402" s="22" t="n"/>
      <c r="S402" s="26">
        <f>IF(R402="","",HYPERLINK(IF(LEFT(R402,4)="http",R402,set_QwilrBase&amp;R402),"Open quote"))</f>
        <v/>
      </c>
      <c r="T402" s="24" t="n"/>
      <c r="U402" s="24" t="n"/>
      <c r="V402" s="24" t="n"/>
      <c r="W402" s="26">
        <f>IF(C402="","",IF(N(T402)+N(U402)+N(V402)=0,"Not split",IF(ROUND(N(T402)+N(U402)+N(V402),2)=ROUND(L402+P402,2),"OK",IF(K402=0,"Not invoiced yet","MISMATCH"))))</f>
        <v/>
      </c>
      <c r="X402" s="24" t="n"/>
      <c r="Y402" s="24" t="n"/>
      <c r="Z402" s="24" t="n"/>
      <c r="AA402" s="27">
        <f>IF(C402="","",N(X402)+N(Y402)+N(Z402))</f>
        <v/>
      </c>
      <c r="AB402" s="27">
        <f>IF(C402="","",L402+P402-AA402)</f>
        <v/>
      </c>
      <c r="AC402" s="29">
        <f>IFERROR(AB402/(L402+P402),"")</f>
        <v/>
      </c>
      <c r="AD402" s="22" t="n"/>
    </row>
    <row r="403" ht="15" customHeight="1">
      <c r="A403" s="70">
        <f>IF(C403="","",IFERROR(IF(SUMPRODUCT(MAX((tbl_Finance[Job Number]&amp;""=C403&amp;"")*(tbl_Finance[Xero Invoice No]&lt;&gt;"")*tbl_Finance[Date]))=0,"",SUMPRODUCT(MAX((tbl_Finance[Job Number]&amp;""=C403&amp;"")*(tbl_Finance[Xero Invoice No]&lt;&gt;"")*tbl_Finance[Date]))),""))</f>
        <v/>
      </c>
      <c r="B403" s="26">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2" t="n"/>
      <c r="D403" s="26">
        <f>IF(C403="","",IF(COUNTIF(lst_Jobs,C403&amp;"")&gt;0,"OK","CHECK"))</f>
        <v/>
      </c>
      <c r="E403" s="26">
        <f>IF(C403="","",IFERROR(INDEX(lst_JobName,MATCH(C403&amp;"",lst_Jobs,0)),""))</f>
        <v/>
      </c>
      <c r="F403" s="22" t="n"/>
      <c r="G403" s="22" t="n"/>
      <c r="H403" s="22" t="n"/>
      <c r="I403" s="22" t="n"/>
      <c r="J403" s="22" t="n"/>
      <c r="K403" s="28">
        <f>IF(C403="","",COUNTIFS(tbl_Finance[Job Number],C403&amp;"",tbl_Finance[Ex GST],"&lt;&gt;"))</f>
        <v/>
      </c>
      <c r="L403" s="27">
        <f>IF(C403="","",SUMIFS(tbl_Finance[Ex GST],tbl_Finance[Job Number],C403&amp;""))</f>
        <v/>
      </c>
      <c r="M403" s="27">
        <f>IF(C403="","",SUMIFS(tbl_Finance[Ex GST],tbl_Finance[Job Number],C403&amp;"",tbl_Finance[Xero Invoice No],"&lt;&gt;"))</f>
        <v/>
      </c>
      <c r="N403" s="27">
        <f>IF(C403="","",L403-M403)</f>
        <v/>
      </c>
      <c r="O403" s="24" t="n"/>
      <c r="P403" s="27">
        <f>IF(C403="","",IF(O403="",0,MAX(0,O403-L403)))</f>
        <v/>
      </c>
      <c r="Q403" s="26">
        <f>IF(C403="","",IF(K403=0,"not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R403" s="22" t="n"/>
      <c r="S403" s="26">
        <f>IF(R403="","",HYPERLINK(IF(LEFT(R403,4)="http",R403,set_QwilrBase&amp;R403),"Open quote"))</f>
        <v/>
      </c>
      <c r="T403" s="24" t="n"/>
      <c r="U403" s="24" t="n"/>
      <c r="V403" s="24" t="n"/>
      <c r="W403" s="26">
        <f>IF(C403="","",IF(N(T403)+N(U403)+N(V403)=0,"Not split",IF(ROUND(N(T403)+N(U403)+N(V403),2)=ROUND(L403+P403,2),"OK",IF(K403=0,"Not invoiced yet","MISMATCH"))))</f>
        <v/>
      </c>
      <c r="X403" s="24" t="n"/>
      <c r="Y403" s="24" t="n"/>
      <c r="Z403" s="24" t="n"/>
      <c r="AA403" s="27">
        <f>IF(C403="","",N(X403)+N(Y403)+N(Z403))</f>
        <v/>
      </c>
      <c r="AB403" s="27">
        <f>IF(C403="","",L403+P403-AA403)</f>
        <v/>
      </c>
      <c r="AC403" s="29">
        <f>IFERROR(AB403/(L403+P403),"")</f>
        <v/>
      </c>
      <c r="AD403" s="22" t="n"/>
    </row>
    <row r="404" ht="15" customHeight="1">
      <c r="A404" s="70">
        <f>IF(C404="","",IFERROR(IF(SUMPRODUCT(MAX((tbl_Finance[Job Number]&amp;""=C404&amp;"")*(tbl_Finance[Xero Invoice No]&lt;&gt;"")*tbl_Finance[Date]))=0,"",SUMPRODUCT(MAX((tbl_Finance[Job Number]&amp;""=C404&amp;"")*(tbl_Finance[Xero Invoice No]&lt;&gt;"")*tbl_Finance[Date]))),""))</f>
        <v/>
      </c>
      <c r="B404" s="26">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2" t="n"/>
      <c r="D404" s="26">
        <f>IF(C404="","",IF(COUNTIF(lst_Jobs,C404&amp;"")&gt;0,"OK","CHECK"))</f>
        <v/>
      </c>
      <c r="E404" s="26">
        <f>IF(C404="","",IFERROR(INDEX(lst_JobName,MATCH(C404&amp;"",lst_Jobs,0)),""))</f>
        <v/>
      </c>
      <c r="F404" s="22" t="n"/>
      <c r="G404" s="22" t="n"/>
      <c r="H404" s="22" t="n"/>
      <c r="I404" s="22" t="n"/>
      <c r="J404" s="22" t="n"/>
      <c r="K404" s="28">
        <f>IF(C404="","",COUNTIFS(tbl_Finance[Job Number],C404&amp;"",tbl_Finance[Ex GST],"&lt;&gt;"))</f>
        <v/>
      </c>
      <c r="L404" s="27">
        <f>IF(C404="","",SUMIFS(tbl_Finance[Ex GST],tbl_Finance[Job Number],C404&amp;""))</f>
        <v/>
      </c>
      <c r="M404" s="27">
        <f>IF(C404="","",SUMIFS(tbl_Finance[Ex GST],tbl_Finance[Job Number],C404&amp;"",tbl_Finance[Xero Invoice No],"&lt;&gt;"))</f>
        <v/>
      </c>
      <c r="N404" s="27">
        <f>IF(C404="","",L404-M404)</f>
        <v/>
      </c>
      <c r="O404" s="24" t="n"/>
      <c r="P404" s="27">
        <f>IF(C404="","",IF(O404="",0,MAX(0,O404-L404)))</f>
        <v/>
      </c>
      <c r="Q404" s="26">
        <f>IF(C404="","",IF(K404=0,"not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R404" s="22" t="n"/>
      <c r="S404" s="26">
        <f>IF(R404="","",HYPERLINK(IF(LEFT(R404,4)="http",R404,set_QwilrBase&amp;R404),"Open quote"))</f>
        <v/>
      </c>
      <c r="T404" s="24" t="n"/>
      <c r="U404" s="24" t="n"/>
      <c r="V404" s="24" t="n"/>
      <c r="W404" s="26">
        <f>IF(C404="","",IF(N(T404)+N(U404)+N(V404)=0,"Not split",IF(ROUND(N(T404)+N(U404)+N(V404),2)=ROUND(L404+P404,2),"OK",IF(K404=0,"Not invoiced yet","MISMATCH"))))</f>
        <v/>
      </c>
      <c r="X404" s="24" t="n"/>
      <c r="Y404" s="24" t="n"/>
      <c r="Z404" s="24" t="n"/>
      <c r="AA404" s="27">
        <f>IF(C404="","",N(X404)+N(Y404)+N(Z404))</f>
        <v/>
      </c>
      <c r="AB404" s="27">
        <f>IF(C404="","",L404+P404-AA404)</f>
        <v/>
      </c>
      <c r="AC404" s="29">
        <f>IFERROR(AB404/(L404+P404),"")</f>
        <v/>
      </c>
      <c r="AD404" s="22"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conditionalFormatting sqref="W5:W5000">
    <cfRule type="expression" priority="2" dxfId="1" stopIfTrue="0">
      <formula>W5="MISMATCH"</formula>
    </cfRule>
  </conditionalFormatting>
  <dataValidations count="3">
    <dataValidation sqref="H5:H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J5:J20000" showDropDown="0" showInputMessage="0" showErrorMessage="1" allowBlank="1" errorTitle="Not on the list" error="&quot;Tax Code&quot; is not on the list in the Lists sheet. Add it there if it is genuinely new." type="list" errorStyle="warning">
      <formula1>lst_TaxCode</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2" t="n"/>
      <c r="B5" s="70">
        <f>IF(C5="","",IFERROR(INDEX(tbl_Finance[Date],MATCH(C5&amp;"",tbl_Finance[Xero Invoice No],0)),""))</f>
        <v/>
      </c>
      <c r="C5" s="22" t="n"/>
      <c r="D5" s="22" t="n"/>
      <c r="E5" s="26">
        <f>IF(D5="","",IF(COUNTIF(lst_Jobs,D5&amp;"")&gt;0,"OK","CHECK"))</f>
        <v/>
      </c>
      <c r="F5" s="22" t="n"/>
      <c r="G5" s="22" t="n"/>
      <c r="H5" s="22" t="n"/>
      <c r="I5" s="22" t="n"/>
      <c r="J5" s="22" t="n"/>
      <c r="K5" s="23" t="n"/>
      <c r="L5" s="23" t="n"/>
      <c r="M5" s="26">
        <f>IF(N5="","",IF(OR(K5="",L5=""),"one month",TEXT(MAX(1,(YEAR(L5)-YEAR(K5))*12+MONTH(L5)-MONTH(K5)+1),"0")&amp;" months - see Deferred Revenue"))</f>
        <v/>
      </c>
      <c r="N5" s="24" t="n"/>
      <c r="O5" s="22" t="n"/>
      <c r="P5" s="26">
        <f>IF(N(N5)=0,"",IF(N5&gt;0,set_WIPAsset,IF(J5="Cost",IF(O5="","(set the P&amp;L Account)",O5),IF(O5="",set_WIPIncome,O5))))</f>
        <v/>
      </c>
      <c r="Q5" s="26">
        <f>IF(N(N5)=0,"",IF(N5&gt;0,IF(J5="Cost",IF(O5="","(set the P&amp;L Account)",O5),IF(O5="",set_WIPIncome,O5)),set_WIPAsset))</f>
        <v/>
      </c>
      <c r="R5" s="27">
        <f>IF(OR(N(N5)=0,K5&lt;&gt;""),"",ABS(N5))</f>
        <v/>
      </c>
      <c r="S5" s="26">
        <f>IF(N(N5)=0,"",IF(K5&lt;&gt;"","spreads monthly - see Deferred Revenue","WIP "&amp;I5&amp;IF(D5="",""," - "&amp;D5)&amp;IF(F5="",""," "&amp;F5)&amp;IF(H5="",""," - "&amp;H5)))</f>
        <v/>
      </c>
      <c r="T5" s="22" t="n"/>
      <c r="U5" s="22" t="n"/>
      <c r="V5" s="22" t="n"/>
    </row>
    <row r="6" ht="15" customHeight="1">
      <c r="A6" s="72" t="n"/>
      <c r="B6" s="70">
        <f>IF(C6="","",IFERROR(INDEX(tbl_Finance[Date],MATCH(C6&amp;"",tbl_Finance[Xero Invoice No],0)),""))</f>
        <v/>
      </c>
      <c r="C6" s="22" t="n"/>
      <c r="D6" s="22" t="n"/>
      <c r="E6" s="26">
        <f>IF(D6="","",IF(COUNTIF(lst_Jobs,D6&amp;"")&gt;0,"OK","CHECK"))</f>
        <v/>
      </c>
      <c r="F6" s="22" t="n"/>
      <c r="G6" s="22" t="n"/>
      <c r="H6" s="22" t="n"/>
      <c r="I6" s="22" t="n"/>
      <c r="J6" s="22" t="n"/>
      <c r="K6" s="23" t="n"/>
      <c r="L6" s="23" t="n"/>
      <c r="M6" s="26">
        <f>IF(N6="","",IF(OR(K6="",L6=""),"one month",TEXT(MAX(1,(YEAR(L6)-YEAR(K6))*12+MONTH(L6)-MONTH(K6)+1),"0")&amp;" months - see Deferred Revenue"))</f>
        <v/>
      </c>
      <c r="N6" s="24" t="n"/>
      <c r="O6" s="22" t="n"/>
      <c r="P6" s="26">
        <f>IF(N(N6)=0,"",IF(N6&gt;0,set_WIPAsset,IF(J6="Cost",IF(O6="","(set the P&amp;L Account)",O6),IF(O6="",set_WIPIncome,O6))))</f>
        <v/>
      </c>
      <c r="Q6" s="26">
        <f>IF(N(N6)=0,"",IF(N6&gt;0,IF(J6="Cost",IF(O6="","(set the P&amp;L Account)",O6),IF(O6="",set_WIPIncome,O6)),set_WIPAsset))</f>
        <v/>
      </c>
      <c r="R6" s="27">
        <f>IF(OR(N(N6)=0,K6&lt;&gt;""),"",ABS(N6))</f>
        <v/>
      </c>
      <c r="S6" s="26">
        <f>IF(N(N6)=0,"",IF(K6&lt;&gt;"","spreads monthly - see Deferred Revenue","WIP "&amp;I6&amp;IF(D6="",""," - "&amp;D6)&amp;IF(F6="",""," "&amp;F6)&amp;IF(H6="",""," - "&amp;H6)))</f>
        <v/>
      </c>
      <c r="T6" s="22" t="n"/>
      <c r="U6" s="22" t="n"/>
      <c r="V6" s="22" t="n"/>
    </row>
    <row r="7" ht="15" customHeight="1">
      <c r="A7" s="72" t="n"/>
      <c r="B7" s="70">
        <f>IF(C7="","",IFERROR(INDEX(tbl_Finance[Date],MATCH(C7&amp;"",tbl_Finance[Xero Invoice No],0)),""))</f>
        <v/>
      </c>
      <c r="C7" s="22" t="n"/>
      <c r="D7" s="22" t="n"/>
      <c r="E7" s="26">
        <f>IF(D7="","",IF(COUNTIF(lst_Jobs,D7&amp;"")&gt;0,"OK","CHECK"))</f>
        <v/>
      </c>
      <c r="F7" s="22" t="n"/>
      <c r="G7" s="22" t="n"/>
      <c r="H7" s="22" t="n"/>
      <c r="I7" s="22" t="n"/>
      <c r="J7" s="22" t="n"/>
      <c r="K7" s="23" t="n"/>
      <c r="L7" s="23" t="n"/>
      <c r="M7" s="26">
        <f>IF(N7="","",IF(OR(K7="",L7=""),"one month",TEXT(MAX(1,(YEAR(L7)-YEAR(K7))*12+MONTH(L7)-MONTH(K7)+1),"0")&amp;" months - see Deferred Revenue"))</f>
        <v/>
      </c>
      <c r="N7" s="24" t="n"/>
      <c r="O7" s="22" t="n"/>
      <c r="P7" s="26">
        <f>IF(N(N7)=0,"",IF(N7&gt;0,set_WIPAsset,IF(J7="Cost",IF(O7="","(set the P&amp;L Account)",O7),IF(O7="",set_WIPIncome,O7))))</f>
        <v/>
      </c>
      <c r="Q7" s="26">
        <f>IF(N(N7)=0,"",IF(N7&gt;0,IF(J7="Cost",IF(O7="","(set the P&amp;L Account)",O7),IF(O7="",set_WIPIncome,O7)),set_WIPAsset))</f>
        <v/>
      </c>
      <c r="R7" s="27">
        <f>IF(OR(N(N7)=0,K7&lt;&gt;""),"",ABS(N7))</f>
        <v/>
      </c>
      <c r="S7" s="26">
        <f>IF(N(N7)=0,"",IF(K7&lt;&gt;"","spreads monthly - see Deferred Revenue","WIP "&amp;I7&amp;IF(D7="",""," - "&amp;D7)&amp;IF(F7="",""," "&amp;F7)&amp;IF(H7="",""," - "&amp;H7)))</f>
        <v/>
      </c>
      <c r="T7" s="22" t="n"/>
      <c r="U7" s="22" t="n"/>
      <c r="V7" s="22" t="n"/>
    </row>
    <row r="8" ht="15" customHeight="1">
      <c r="A8" s="72" t="n"/>
      <c r="B8" s="70">
        <f>IF(C8="","",IFERROR(INDEX(tbl_Finance[Date],MATCH(C8&amp;"",tbl_Finance[Xero Invoice No],0)),""))</f>
        <v/>
      </c>
      <c r="C8" s="22" t="n"/>
      <c r="D8" s="22" t="n"/>
      <c r="E8" s="26">
        <f>IF(D8="","",IF(COUNTIF(lst_Jobs,D8&amp;"")&gt;0,"OK","CHECK"))</f>
        <v/>
      </c>
      <c r="F8" s="22" t="n"/>
      <c r="G8" s="22" t="n"/>
      <c r="H8" s="22" t="n"/>
      <c r="I8" s="22" t="n"/>
      <c r="J8" s="22" t="n"/>
      <c r="K8" s="23" t="n"/>
      <c r="L8" s="23" t="n"/>
      <c r="M8" s="26">
        <f>IF(N8="","",IF(OR(K8="",L8=""),"one month",TEXT(MAX(1,(YEAR(L8)-YEAR(K8))*12+MONTH(L8)-MONTH(K8)+1),"0")&amp;" months - see Deferred Revenue"))</f>
        <v/>
      </c>
      <c r="N8" s="24" t="n"/>
      <c r="O8" s="22" t="n"/>
      <c r="P8" s="26">
        <f>IF(N(N8)=0,"",IF(N8&gt;0,set_WIPAsset,IF(J8="Cost",IF(O8="","(set the P&amp;L Account)",O8),IF(O8="",set_WIPIncome,O8))))</f>
        <v/>
      </c>
      <c r="Q8" s="26">
        <f>IF(N(N8)=0,"",IF(N8&gt;0,IF(J8="Cost",IF(O8="","(set the P&amp;L Account)",O8),IF(O8="",set_WIPIncome,O8)),set_WIPAsset))</f>
        <v/>
      </c>
      <c r="R8" s="27">
        <f>IF(OR(N(N8)=0,K8&lt;&gt;""),"",ABS(N8))</f>
        <v/>
      </c>
      <c r="S8" s="26">
        <f>IF(N(N8)=0,"",IF(K8&lt;&gt;"","spreads monthly - see Deferred Revenue","WIP "&amp;I8&amp;IF(D8="",""," - "&amp;D8)&amp;IF(F8="",""," "&amp;F8)&amp;IF(H8="",""," - "&amp;H8)))</f>
        <v/>
      </c>
      <c r="T8" s="22" t="n"/>
      <c r="U8" s="22" t="n"/>
      <c r="V8" s="22" t="n"/>
    </row>
    <row r="9" ht="15" customHeight="1">
      <c r="A9" s="72" t="n"/>
      <c r="B9" s="70">
        <f>IF(C9="","",IFERROR(INDEX(tbl_Finance[Date],MATCH(C9&amp;"",tbl_Finance[Xero Invoice No],0)),""))</f>
        <v/>
      </c>
      <c r="C9" s="22" t="n"/>
      <c r="D9" s="22" t="n"/>
      <c r="E9" s="26">
        <f>IF(D9="","",IF(COUNTIF(lst_Jobs,D9&amp;"")&gt;0,"OK","CHECK"))</f>
        <v/>
      </c>
      <c r="F9" s="22" t="n"/>
      <c r="G9" s="22" t="n"/>
      <c r="H9" s="22" t="n"/>
      <c r="I9" s="22" t="n"/>
      <c r="J9" s="22" t="n"/>
      <c r="K9" s="23" t="n"/>
      <c r="L9" s="23" t="n"/>
      <c r="M9" s="26">
        <f>IF(N9="","",IF(OR(K9="",L9=""),"one month",TEXT(MAX(1,(YEAR(L9)-YEAR(K9))*12+MONTH(L9)-MONTH(K9)+1),"0")&amp;" months - see Deferred Revenue"))</f>
        <v/>
      </c>
      <c r="N9" s="24" t="n"/>
      <c r="O9" s="22" t="n"/>
      <c r="P9" s="26">
        <f>IF(N(N9)=0,"",IF(N9&gt;0,set_WIPAsset,IF(J9="Cost",IF(O9="","(set the P&amp;L Account)",O9),IF(O9="",set_WIPIncome,O9))))</f>
        <v/>
      </c>
      <c r="Q9" s="26">
        <f>IF(N(N9)=0,"",IF(N9&gt;0,IF(J9="Cost",IF(O9="","(set the P&amp;L Account)",O9),IF(O9="",set_WIPIncome,O9)),set_WIPAsset))</f>
        <v/>
      </c>
      <c r="R9" s="27">
        <f>IF(OR(N(N9)=0,K9&lt;&gt;""),"",ABS(N9))</f>
        <v/>
      </c>
      <c r="S9" s="26">
        <f>IF(N(N9)=0,"",IF(K9&lt;&gt;"","spreads monthly - see Deferred Revenue","WIP "&amp;I9&amp;IF(D9="",""," - "&amp;D9)&amp;IF(F9="",""," "&amp;F9)&amp;IF(H9="",""," - "&amp;H9)))</f>
        <v/>
      </c>
      <c r="T9" s="22" t="n"/>
      <c r="U9" s="22" t="n"/>
      <c r="V9" s="22" t="n"/>
    </row>
    <row r="10" ht="15" customHeight="1">
      <c r="A10" s="72" t="n"/>
      <c r="B10" s="70">
        <f>IF(C10="","",IFERROR(INDEX(tbl_Finance[Date],MATCH(C10&amp;"",tbl_Finance[Xero Invoice No],0)),""))</f>
        <v/>
      </c>
      <c r="C10" s="22" t="n"/>
      <c r="D10" s="22" t="n"/>
      <c r="E10" s="26">
        <f>IF(D10="","",IF(COUNTIF(lst_Jobs,D10&amp;"")&gt;0,"OK","CHECK"))</f>
        <v/>
      </c>
      <c r="F10" s="22" t="n"/>
      <c r="G10" s="22" t="n"/>
      <c r="H10" s="22" t="n"/>
      <c r="I10" s="22" t="n"/>
      <c r="J10" s="22" t="n"/>
      <c r="K10" s="23" t="n"/>
      <c r="L10" s="23" t="n"/>
      <c r="M10" s="26">
        <f>IF(N10="","",IF(OR(K10="",L10=""),"one month",TEXT(MAX(1,(YEAR(L10)-YEAR(K10))*12+MONTH(L10)-MONTH(K10)+1),"0")&amp;" months - see Deferred Revenue"))</f>
        <v/>
      </c>
      <c r="N10" s="24" t="n"/>
      <c r="O10" s="22" t="n"/>
      <c r="P10" s="26">
        <f>IF(N(N10)=0,"",IF(N10&gt;0,set_WIPAsset,IF(J10="Cost",IF(O10="","(set the P&amp;L Account)",O10),IF(O10="",set_WIPIncome,O10))))</f>
        <v/>
      </c>
      <c r="Q10" s="26">
        <f>IF(N(N10)=0,"",IF(N10&gt;0,IF(J10="Cost",IF(O10="","(set the P&amp;L Account)",O10),IF(O10="",set_WIPIncome,O10)),set_WIPAsset))</f>
        <v/>
      </c>
      <c r="R10" s="27">
        <f>IF(OR(N(N10)=0,K10&lt;&gt;""),"",ABS(N10))</f>
        <v/>
      </c>
      <c r="S10" s="26">
        <f>IF(N(N10)=0,"",IF(K10&lt;&gt;"","spreads monthly - see Deferred Revenue","WIP "&amp;I10&amp;IF(D10="",""," - "&amp;D10)&amp;IF(F10="",""," "&amp;F10)&amp;IF(H10="",""," - "&amp;H10)))</f>
        <v/>
      </c>
      <c r="T10" s="22" t="n"/>
      <c r="U10" s="22" t="n"/>
      <c r="V10" s="22" t="n"/>
    </row>
    <row r="11" ht="15" customHeight="1">
      <c r="A11" s="72" t="n"/>
      <c r="B11" s="70">
        <f>IF(C11="","",IFERROR(INDEX(tbl_Finance[Date],MATCH(C11&amp;"",tbl_Finance[Xero Invoice No],0)),""))</f>
        <v/>
      </c>
      <c r="C11" s="22" t="n"/>
      <c r="D11" s="22" t="n"/>
      <c r="E11" s="26">
        <f>IF(D11="","",IF(COUNTIF(lst_Jobs,D11&amp;"")&gt;0,"OK","CHECK"))</f>
        <v/>
      </c>
      <c r="F11" s="22" t="n"/>
      <c r="G11" s="22" t="n"/>
      <c r="H11" s="22" t="n"/>
      <c r="I11" s="22" t="n"/>
      <c r="J11" s="22" t="n"/>
      <c r="K11" s="23" t="n"/>
      <c r="L11" s="23" t="n"/>
      <c r="M11" s="26">
        <f>IF(N11="","",IF(OR(K11="",L11=""),"one month",TEXT(MAX(1,(YEAR(L11)-YEAR(K11))*12+MONTH(L11)-MONTH(K11)+1),"0")&amp;" months - see Deferred Revenue"))</f>
        <v/>
      </c>
      <c r="N11" s="24" t="n"/>
      <c r="O11" s="22" t="n"/>
      <c r="P11" s="26">
        <f>IF(N(N11)=0,"",IF(N11&gt;0,set_WIPAsset,IF(J11="Cost",IF(O11="","(set the P&amp;L Account)",O11),IF(O11="",set_WIPIncome,O11))))</f>
        <v/>
      </c>
      <c r="Q11" s="26">
        <f>IF(N(N11)=0,"",IF(N11&gt;0,IF(J11="Cost",IF(O11="","(set the P&amp;L Account)",O11),IF(O11="",set_WIPIncome,O11)),set_WIPAsset))</f>
        <v/>
      </c>
      <c r="R11" s="27">
        <f>IF(OR(N(N11)=0,K11&lt;&gt;""),"",ABS(N11))</f>
        <v/>
      </c>
      <c r="S11" s="26">
        <f>IF(N(N11)=0,"",IF(K11&lt;&gt;"","spreads monthly - see Deferred Revenue","WIP "&amp;I11&amp;IF(D11="",""," - "&amp;D11)&amp;IF(F11="",""," "&amp;F11)&amp;IF(H11="",""," - "&amp;H11)))</f>
        <v/>
      </c>
      <c r="T11" s="22" t="n"/>
      <c r="U11" s="22" t="n"/>
      <c r="V11" s="22" t="n"/>
    </row>
    <row r="12" ht="15" customHeight="1">
      <c r="A12" s="72" t="n"/>
      <c r="B12" s="70">
        <f>IF(C12="","",IFERROR(INDEX(tbl_Finance[Date],MATCH(C12&amp;"",tbl_Finance[Xero Invoice No],0)),""))</f>
        <v/>
      </c>
      <c r="C12" s="22" t="n"/>
      <c r="D12" s="22" t="n"/>
      <c r="E12" s="26">
        <f>IF(D12="","",IF(COUNTIF(lst_Jobs,D12&amp;"")&gt;0,"OK","CHECK"))</f>
        <v/>
      </c>
      <c r="F12" s="22" t="n"/>
      <c r="G12" s="22" t="n"/>
      <c r="H12" s="22" t="n"/>
      <c r="I12" s="22" t="n"/>
      <c r="J12" s="22" t="n"/>
      <c r="K12" s="23" t="n"/>
      <c r="L12" s="23" t="n"/>
      <c r="M12" s="26">
        <f>IF(N12="","",IF(OR(K12="",L12=""),"one month",TEXT(MAX(1,(YEAR(L12)-YEAR(K12))*12+MONTH(L12)-MONTH(K12)+1),"0")&amp;" months - see Deferred Revenue"))</f>
        <v/>
      </c>
      <c r="N12" s="24" t="n"/>
      <c r="O12" s="22" t="n"/>
      <c r="P12" s="26">
        <f>IF(N(N12)=0,"",IF(N12&gt;0,set_WIPAsset,IF(J12="Cost",IF(O12="","(set the P&amp;L Account)",O12),IF(O12="",set_WIPIncome,O12))))</f>
        <v/>
      </c>
      <c r="Q12" s="26">
        <f>IF(N(N12)=0,"",IF(N12&gt;0,IF(J12="Cost",IF(O12="","(set the P&amp;L Account)",O12),IF(O12="",set_WIPIncome,O12)),set_WIPAsset))</f>
        <v/>
      </c>
      <c r="R12" s="27">
        <f>IF(OR(N(N12)=0,K12&lt;&gt;""),"",ABS(N12))</f>
        <v/>
      </c>
      <c r="S12" s="26">
        <f>IF(N(N12)=0,"",IF(K12&lt;&gt;"","spreads monthly - see Deferred Revenue","WIP "&amp;I12&amp;IF(D12="",""," - "&amp;D12)&amp;IF(F12="",""," "&amp;F12)&amp;IF(H12="",""," - "&amp;H12)))</f>
        <v/>
      </c>
      <c r="T12" s="22" t="n"/>
      <c r="U12" s="22" t="n"/>
      <c r="V12" s="22" t="n"/>
    </row>
    <row r="13" ht="15" customHeight="1">
      <c r="A13" s="72" t="n"/>
      <c r="B13" s="70">
        <f>IF(C13="","",IFERROR(INDEX(tbl_Finance[Date],MATCH(C13&amp;"",tbl_Finance[Xero Invoice No],0)),""))</f>
        <v/>
      </c>
      <c r="C13" s="22" t="n"/>
      <c r="D13" s="22" t="n"/>
      <c r="E13" s="26">
        <f>IF(D13="","",IF(COUNTIF(lst_Jobs,D13&amp;"")&gt;0,"OK","CHECK"))</f>
        <v/>
      </c>
      <c r="F13" s="22" t="n"/>
      <c r="G13" s="22" t="n"/>
      <c r="H13" s="22" t="n"/>
      <c r="I13" s="22" t="n"/>
      <c r="J13" s="22" t="n"/>
      <c r="K13" s="23" t="n"/>
      <c r="L13" s="23" t="n"/>
      <c r="M13" s="26">
        <f>IF(N13="","",IF(OR(K13="",L13=""),"one month",TEXT(MAX(1,(YEAR(L13)-YEAR(K13))*12+MONTH(L13)-MONTH(K13)+1),"0")&amp;" months - see Deferred Revenue"))</f>
        <v/>
      </c>
      <c r="N13" s="24" t="n"/>
      <c r="O13" s="22" t="n"/>
      <c r="P13" s="26">
        <f>IF(N(N13)=0,"",IF(N13&gt;0,set_WIPAsset,IF(J13="Cost",IF(O13="","(set the P&amp;L Account)",O13),IF(O13="",set_WIPIncome,O13))))</f>
        <v/>
      </c>
      <c r="Q13" s="26">
        <f>IF(N(N13)=0,"",IF(N13&gt;0,IF(J13="Cost",IF(O13="","(set the P&amp;L Account)",O13),IF(O13="",set_WIPIncome,O13)),set_WIPAsset))</f>
        <v/>
      </c>
      <c r="R13" s="27">
        <f>IF(OR(N(N13)=0,K13&lt;&gt;""),"",ABS(N13))</f>
        <v/>
      </c>
      <c r="S13" s="26">
        <f>IF(N(N13)=0,"",IF(K13&lt;&gt;"","spreads monthly - see Deferred Revenue","WIP "&amp;I13&amp;IF(D13="",""," - "&amp;D13)&amp;IF(F13="",""," "&amp;F13)&amp;IF(H13="",""," - "&amp;H13)))</f>
        <v/>
      </c>
      <c r="T13" s="22" t="n"/>
      <c r="U13" s="22" t="n"/>
      <c r="V13" s="22" t="n"/>
    </row>
    <row r="14" ht="15" customHeight="1">
      <c r="A14" s="72" t="n"/>
      <c r="B14" s="70">
        <f>IF(C14="","",IFERROR(INDEX(tbl_Finance[Date],MATCH(C14&amp;"",tbl_Finance[Xero Invoice No],0)),""))</f>
        <v/>
      </c>
      <c r="C14" s="22" t="n"/>
      <c r="D14" s="22" t="n"/>
      <c r="E14" s="26">
        <f>IF(D14="","",IF(COUNTIF(lst_Jobs,D14&amp;"")&gt;0,"OK","CHECK"))</f>
        <v/>
      </c>
      <c r="F14" s="22" t="n"/>
      <c r="G14" s="22" t="n"/>
      <c r="H14" s="22" t="n"/>
      <c r="I14" s="22" t="n"/>
      <c r="J14" s="22" t="n"/>
      <c r="K14" s="23" t="n"/>
      <c r="L14" s="23" t="n"/>
      <c r="M14" s="26">
        <f>IF(N14="","",IF(OR(K14="",L14=""),"one month",TEXT(MAX(1,(YEAR(L14)-YEAR(K14))*12+MONTH(L14)-MONTH(K14)+1),"0")&amp;" months - see Deferred Revenue"))</f>
        <v/>
      </c>
      <c r="N14" s="24" t="n"/>
      <c r="O14" s="22" t="n"/>
      <c r="P14" s="26">
        <f>IF(N(N14)=0,"",IF(N14&gt;0,set_WIPAsset,IF(J14="Cost",IF(O14="","(set the P&amp;L Account)",O14),IF(O14="",set_WIPIncome,O14))))</f>
        <v/>
      </c>
      <c r="Q14" s="26">
        <f>IF(N(N14)=0,"",IF(N14&gt;0,IF(J14="Cost",IF(O14="","(set the P&amp;L Account)",O14),IF(O14="",set_WIPIncome,O14)),set_WIPAsset))</f>
        <v/>
      </c>
      <c r="R14" s="27">
        <f>IF(OR(N(N14)=0,K14&lt;&gt;""),"",ABS(N14))</f>
        <v/>
      </c>
      <c r="S14" s="26">
        <f>IF(N(N14)=0,"",IF(K14&lt;&gt;"","spreads monthly - see Deferred Revenue","WIP "&amp;I14&amp;IF(D14="",""," - "&amp;D14)&amp;IF(F14="",""," "&amp;F14)&amp;IF(H14="",""," - "&amp;H14)))</f>
        <v/>
      </c>
      <c r="T14" s="22" t="n"/>
      <c r="U14" s="22" t="n"/>
      <c r="V14" s="22" t="n"/>
    </row>
    <row r="15" ht="15" customHeight="1">
      <c r="A15" s="72" t="n"/>
      <c r="B15" s="70">
        <f>IF(C15="","",IFERROR(INDEX(tbl_Finance[Date],MATCH(C15&amp;"",tbl_Finance[Xero Invoice No],0)),""))</f>
        <v/>
      </c>
      <c r="C15" s="22" t="n"/>
      <c r="D15" s="22" t="n"/>
      <c r="E15" s="26">
        <f>IF(D15="","",IF(COUNTIF(lst_Jobs,D15&amp;"")&gt;0,"OK","CHECK"))</f>
        <v/>
      </c>
      <c r="F15" s="22" t="n"/>
      <c r="G15" s="22" t="n"/>
      <c r="H15" s="22" t="n"/>
      <c r="I15" s="22" t="n"/>
      <c r="J15" s="22" t="n"/>
      <c r="K15" s="23" t="n"/>
      <c r="L15" s="23" t="n"/>
      <c r="M15" s="26">
        <f>IF(N15="","",IF(OR(K15="",L15=""),"one month",TEXT(MAX(1,(YEAR(L15)-YEAR(K15))*12+MONTH(L15)-MONTH(K15)+1),"0")&amp;" months - see Deferred Revenue"))</f>
        <v/>
      </c>
      <c r="N15" s="24" t="n"/>
      <c r="O15" s="22" t="n"/>
      <c r="P15" s="26">
        <f>IF(N(N15)=0,"",IF(N15&gt;0,set_WIPAsset,IF(J15="Cost",IF(O15="","(set the P&amp;L Account)",O15),IF(O15="",set_WIPIncome,O15))))</f>
        <v/>
      </c>
      <c r="Q15" s="26">
        <f>IF(N(N15)=0,"",IF(N15&gt;0,IF(J15="Cost",IF(O15="","(set the P&amp;L Account)",O15),IF(O15="",set_WIPIncome,O15)),set_WIPAsset))</f>
        <v/>
      </c>
      <c r="R15" s="27">
        <f>IF(OR(N(N15)=0,K15&lt;&gt;""),"",ABS(N15))</f>
        <v/>
      </c>
      <c r="S15" s="26">
        <f>IF(N(N15)=0,"",IF(K15&lt;&gt;"","spreads monthly - see Deferred Revenue","WIP "&amp;I15&amp;IF(D15="",""," - "&amp;D15)&amp;IF(F15="",""," "&amp;F15)&amp;IF(H15="",""," - "&amp;H15)))</f>
        <v/>
      </c>
      <c r="T15" s="22" t="n"/>
      <c r="U15" s="22" t="n"/>
      <c r="V15" s="22" t="n"/>
    </row>
    <row r="16" ht="15" customHeight="1">
      <c r="A16" s="72" t="n"/>
      <c r="B16" s="70">
        <f>IF(C16="","",IFERROR(INDEX(tbl_Finance[Date],MATCH(C16&amp;"",tbl_Finance[Xero Invoice No],0)),""))</f>
        <v/>
      </c>
      <c r="C16" s="22" t="n"/>
      <c r="D16" s="22" t="n"/>
      <c r="E16" s="26">
        <f>IF(D16="","",IF(COUNTIF(lst_Jobs,D16&amp;"")&gt;0,"OK","CHECK"))</f>
        <v/>
      </c>
      <c r="F16" s="22" t="n"/>
      <c r="G16" s="22" t="n"/>
      <c r="H16" s="22" t="n"/>
      <c r="I16" s="22" t="n"/>
      <c r="J16" s="22" t="n"/>
      <c r="K16" s="23" t="n"/>
      <c r="L16" s="23" t="n"/>
      <c r="M16" s="26">
        <f>IF(N16="","",IF(OR(K16="",L16=""),"one month",TEXT(MAX(1,(YEAR(L16)-YEAR(K16))*12+MONTH(L16)-MONTH(K16)+1),"0")&amp;" months - see Deferred Revenue"))</f>
        <v/>
      </c>
      <c r="N16" s="24" t="n"/>
      <c r="O16" s="22" t="n"/>
      <c r="P16" s="26">
        <f>IF(N(N16)=0,"",IF(N16&gt;0,set_WIPAsset,IF(J16="Cost",IF(O16="","(set the P&amp;L Account)",O16),IF(O16="",set_WIPIncome,O16))))</f>
        <v/>
      </c>
      <c r="Q16" s="26">
        <f>IF(N(N16)=0,"",IF(N16&gt;0,IF(J16="Cost",IF(O16="","(set the P&amp;L Account)",O16),IF(O16="",set_WIPIncome,O16)),set_WIPAsset))</f>
        <v/>
      </c>
      <c r="R16" s="27">
        <f>IF(OR(N(N16)=0,K16&lt;&gt;""),"",ABS(N16))</f>
        <v/>
      </c>
      <c r="S16" s="26">
        <f>IF(N(N16)=0,"",IF(K16&lt;&gt;"","spreads monthly - see Deferred Revenue","WIP "&amp;I16&amp;IF(D16="",""," - "&amp;D16)&amp;IF(F16="",""," "&amp;F16)&amp;IF(H16="",""," - "&amp;H16)))</f>
        <v/>
      </c>
      <c r="T16" s="22" t="n"/>
      <c r="U16" s="22" t="n"/>
      <c r="V16" s="22" t="n"/>
    </row>
    <row r="17" ht="15" customHeight="1">
      <c r="A17" s="72" t="n"/>
      <c r="B17" s="70">
        <f>IF(C17="","",IFERROR(INDEX(tbl_Finance[Date],MATCH(C17&amp;"",tbl_Finance[Xero Invoice No],0)),""))</f>
        <v/>
      </c>
      <c r="C17" s="22" t="n"/>
      <c r="D17" s="22" t="n"/>
      <c r="E17" s="26">
        <f>IF(D17="","",IF(COUNTIF(lst_Jobs,D17&amp;"")&gt;0,"OK","CHECK"))</f>
        <v/>
      </c>
      <c r="F17" s="22" t="n"/>
      <c r="G17" s="22" t="n"/>
      <c r="H17" s="22" t="n"/>
      <c r="I17" s="22" t="n"/>
      <c r="J17" s="22" t="n"/>
      <c r="K17" s="23" t="n"/>
      <c r="L17" s="23" t="n"/>
      <c r="M17" s="26">
        <f>IF(N17="","",IF(OR(K17="",L17=""),"one month",TEXT(MAX(1,(YEAR(L17)-YEAR(K17))*12+MONTH(L17)-MONTH(K17)+1),"0")&amp;" months - see Deferred Revenue"))</f>
        <v/>
      </c>
      <c r="N17" s="24" t="n"/>
      <c r="O17" s="22" t="n"/>
      <c r="P17" s="26">
        <f>IF(N(N17)=0,"",IF(N17&gt;0,set_WIPAsset,IF(J17="Cost",IF(O17="","(set the P&amp;L Account)",O17),IF(O17="",set_WIPIncome,O17))))</f>
        <v/>
      </c>
      <c r="Q17" s="26">
        <f>IF(N(N17)=0,"",IF(N17&gt;0,IF(J17="Cost",IF(O17="","(set the P&amp;L Account)",O17),IF(O17="",set_WIPIncome,O17)),set_WIPAsset))</f>
        <v/>
      </c>
      <c r="R17" s="27">
        <f>IF(OR(N(N17)=0,K17&lt;&gt;""),"",ABS(N17))</f>
        <v/>
      </c>
      <c r="S17" s="26">
        <f>IF(N(N17)=0,"",IF(K17&lt;&gt;"","spreads monthly - see Deferred Revenue","WIP "&amp;I17&amp;IF(D17="",""," - "&amp;D17)&amp;IF(F17="",""," "&amp;F17)&amp;IF(H17="",""," - "&amp;H17)))</f>
        <v/>
      </c>
      <c r="T17" s="22" t="n"/>
      <c r="U17" s="22" t="n"/>
      <c r="V17" s="22" t="n"/>
    </row>
    <row r="18" ht="15" customHeight="1">
      <c r="A18" s="72" t="n"/>
      <c r="B18" s="70">
        <f>IF(C18="","",IFERROR(INDEX(tbl_Finance[Date],MATCH(C18&amp;"",tbl_Finance[Xero Invoice No],0)),""))</f>
        <v/>
      </c>
      <c r="C18" s="22" t="n"/>
      <c r="D18" s="22" t="n"/>
      <c r="E18" s="26">
        <f>IF(D18="","",IF(COUNTIF(lst_Jobs,D18&amp;"")&gt;0,"OK","CHECK"))</f>
        <v/>
      </c>
      <c r="F18" s="22" t="n"/>
      <c r="G18" s="22" t="n"/>
      <c r="H18" s="22" t="n"/>
      <c r="I18" s="22" t="n"/>
      <c r="J18" s="22" t="n"/>
      <c r="K18" s="23" t="n"/>
      <c r="L18" s="23" t="n"/>
      <c r="M18" s="26">
        <f>IF(N18="","",IF(OR(K18="",L18=""),"one month",TEXT(MAX(1,(YEAR(L18)-YEAR(K18))*12+MONTH(L18)-MONTH(K18)+1),"0")&amp;" months - see Deferred Revenue"))</f>
        <v/>
      </c>
      <c r="N18" s="24" t="n"/>
      <c r="O18" s="22" t="n"/>
      <c r="P18" s="26">
        <f>IF(N(N18)=0,"",IF(N18&gt;0,set_WIPAsset,IF(J18="Cost",IF(O18="","(set the P&amp;L Account)",O18),IF(O18="",set_WIPIncome,O18))))</f>
        <v/>
      </c>
      <c r="Q18" s="26">
        <f>IF(N(N18)=0,"",IF(N18&gt;0,IF(J18="Cost",IF(O18="","(set the P&amp;L Account)",O18),IF(O18="",set_WIPIncome,O18)),set_WIPAsset))</f>
        <v/>
      </c>
      <c r="R18" s="27">
        <f>IF(OR(N(N18)=0,K18&lt;&gt;""),"",ABS(N18))</f>
        <v/>
      </c>
      <c r="S18" s="26">
        <f>IF(N(N18)=0,"",IF(K18&lt;&gt;"","spreads monthly - see Deferred Revenue","WIP "&amp;I18&amp;IF(D18="",""," - "&amp;D18)&amp;IF(F18="",""," "&amp;F18)&amp;IF(H18="",""," - "&amp;H18)))</f>
        <v/>
      </c>
      <c r="T18" s="22" t="n"/>
      <c r="U18" s="22" t="n"/>
      <c r="V18" s="22" t="n"/>
    </row>
    <row r="19" ht="15" customHeight="1">
      <c r="A19" s="72" t="n"/>
      <c r="B19" s="70">
        <f>IF(C19="","",IFERROR(INDEX(tbl_Finance[Date],MATCH(C19&amp;"",tbl_Finance[Xero Invoice No],0)),""))</f>
        <v/>
      </c>
      <c r="C19" s="22" t="n"/>
      <c r="D19" s="22" t="n"/>
      <c r="E19" s="26">
        <f>IF(D19="","",IF(COUNTIF(lst_Jobs,D19&amp;"")&gt;0,"OK","CHECK"))</f>
        <v/>
      </c>
      <c r="F19" s="22" t="n"/>
      <c r="G19" s="22" t="n"/>
      <c r="H19" s="22" t="n"/>
      <c r="I19" s="22" t="n"/>
      <c r="J19" s="22" t="n"/>
      <c r="K19" s="23" t="n"/>
      <c r="L19" s="23" t="n"/>
      <c r="M19" s="26">
        <f>IF(N19="","",IF(OR(K19="",L19=""),"one month",TEXT(MAX(1,(YEAR(L19)-YEAR(K19))*12+MONTH(L19)-MONTH(K19)+1),"0")&amp;" months - see Deferred Revenue"))</f>
        <v/>
      </c>
      <c r="N19" s="24" t="n"/>
      <c r="O19" s="22" t="n"/>
      <c r="P19" s="26">
        <f>IF(N(N19)=0,"",IF(N19&gt;0,set_WIPAsset,IF(J19="Cost",IF(O19="","(set the P&amp;L Account)",O19),IF(O19="",set_WIPIncome,O19))))</f>
        <v/>
      </c>
      <c r="Q19" s="26">
        <f>IF(N(N19)=0,"",IF(N19&gt;0,IF(J19="Cost",IF(O19="","(set the P&amp;L Account)",O19),IF(O19="",set_WIPIncome,O19)),set_WIPAsset))</f>
        <v/>
      </c>
      <c r="R19" s="27">
        <f>IF(OR(N(N19)=0,K19&lt;&gt;""),"",ABS(N19))</f>
        <v/>
      </c>
      <c r="S19" s="26">
        <f>IF(N(N19)=0,"",IF(K19&lt;&gt;"","spreads monthly - see Deferred Revenue","WIP "&amp;I19&amp;IF(D19="",""," - "&amp;D19)&amp;IF(F19="",""," "&amp;F19)&amp;IF(H19="",""," - "&amp;H19)))</f>
        <v/>
      </c>
      <c r="T19" s="22" t="n"/>
      <c r="U19" s="22" t="n"/>
      <c r="V19" s="22" t="n"/>
    </row>
    <row r="20" ht="15" customHeight="1">
      <c r="A20" s="72" t="n"/>
      <c r="B20" s="70">
        <f>IF(C20="","",IFERROR(INDEX(tbl_Finance[Date],MATCH(C20&amp;"",tbl_Finance[Xero Invoice No],0)),""))</f>
        <v/>
      </c>
      <c r="C20" s="22" t="n"/>
      <c r="D20" s="22" t="n"/>
      <c r="E20" s="26">
        <f>IF(D20="","",IF(COUNTIF(lst_Jobs,D20&amp;"")&gt;0,"OK","CHECK"))</f>
        <v/>
      </c>
      <c r="F20" s="22" t="n"/>
      <c r="G20" s="22" t="n"/>
      <c r="H20" s="22" t="n"/>
      <c r="I20" s="22" t="n"/>
      <c r="J20" s="22" t="n"/>
      <c r="K20" s="23" t="n"/>
      <c r="L20" s="23" t="n"/>
      <c r="M20" s="26">
        <f>IF(N20="","",IF(OR(K20="",L20=""),"one month",TEXT(MAX(1,(YEAR(L20)-YEAR(K20))*12+MONTH(L20)-MONTH(K20)+1),"0")&amp;" months - see Deferred Revenue"))</f>
        <v/>
      </c>
      <c r="N20" s="24" t="n"/>
      <c r="O20" s="22" t="n"/>
      <c r="P20" s="26">
        <f>IF(N(N20)=0,"",IF(N20&gt;0,set_WIPAsset,IF(J20="Cost",IF(O20="","(set the P&amp;L Account)",O20),IF(O20="",set_WIPIncome,O20))))</f>
        <v/>
      </c>
      <c r="Q20" s="26">
        <f>IF(N(N20)=0,"",IF(N20&gt;0,IF(J20="Cost",IF(O20="","(set the P&amp;L Account)",O20),IF(O20="",set_WIPIncome,O20)),set_WIPAsset))</f>
        <v/>
      </c>
      <c r="R20" s="27">
        <f>IF(OR(N(N20)=0,K20&lt;&gt;""),"",ABS(N20))</f>
        <v/>
      </c>
      <c r="S20" s="26">
        <f>IF(N(N20)=0,"",IF(K20&lt;&gt;"","spreads monthly - see Deferred Revenue","WIP "&amp;I20&amp;IF(D20="",""," - "&amp;D20)&amp;IF(F20="",""," "&amp;F20)&amp;IF(H20="",""," - "&amp;H20)))</f>
        <v/>
      </c>
      <c r="T20" s="22" t="n"/>
      <c r="U20" s="22" t="n"/>
      <c r="V20" s="22" t="n"/>
    </row>
    <row r="21" ht="15" customHeight="1">
      <c r="A21" s="72" t="n"/>
      <c r="B21" s="70">
        <f>IF(C21="","",IFERROR(INDEX(tbl_Finance[Date],MATCH(C21&amp;"",tbl_Finance[Xero Invoice No],0)),""))</f>
        <v/>
      </c>
      <c r="C21" s="22" t="n"/>
      <c r="D21" s="22" t="n"/>
      <c r="E21" s="26">
        <f>IF(D21="","",IF(COUNTIF(lst_Jobs,D21&amp;"")&gt;0,"OK","CHECK"))</f>
        <v/>
      </c>
      <c r="F21" s="22" t="n"/>
      <c r="G21" s="22" t="n"/>
      <c r="H21" s="22" t="n"/>
      <c r="I21" s="22" t="n"/>
      <c r="J21" s="22" t="n"/>
      <c r="K21" s="23" t="n"/>
      <c r="L21" s="23" t="n"/>
      <c r="M21" s="26">
        <f>IF(N21="","",IF(OR(K21="",L21=""),"one month",TEXT(MAX(1,(YEAR(L21)-YEAR(K21))*12+MONTH(L21)-MONTH(K21)+1),"0")&amp;" months - see Deferred Revenue"))</f>
        <v/>
      </c>
      <c r="N21" s="24" t="n"/>
      <c r="O21" s="22" t="n"/>
      <c r="P21" s="26">
        <f>IF(N(N21)=0,"",IF(N21&gt;0,set_WIPAsset,IF(J21="Cost",IF(O21="","(set the P&amp;L Account)",O21),IF(O21="",set_WIPIncome,O21))))</f>
        <v/>
      </c>
      <c r="Q21" s="26">
        <f>IF(N(N21)=0,"",IF(N21&gt;0,IF(J21="Cost",IF(O21="","(set the P&amp;L Account)",O21),IF(O21="",set_WIPIncome,O21)),set_WIPAsset))</f>
        <v/>
      </c>
      <c r="R21" s="27">
        <f>IF(OR(N(N21)=0,K21&lt;&gt;""),"",ABS(N21))</f>
        <v/>
      </c>
      <c r="S21" s="26">
        <f>IF(N(N21)=0,"",IF(K21&lt;&gt;"","spreads monthly - see Deferred Revenue","WIP "&amp;I21&amp;IF(D21="",""," - "&amp;D21)&amp;IF(F21="",""," "&amp;F21)&amp;IF(H21="",""," - "&amp;H21)))</f>
        <v/>
      </c>
      <c r="T21" s="22" t="n"/>
      <c r="U21" s="22" t="n"/>
      <c r="V21" s="22" t="n"/>
    </row>
    <row r="22" ht="15" customHeight="1">
      <c r="A22" s="72" t="n"/>
      <c r="B22" s="70">
        <f>IF(C22="","",IFERROR(INDEX(tbl_Finance[Date],MATCH(C22&amp;"",tbl_Finance[Xero Invoice No],0)),""))</f>
        <v/>
      </c>
      <c r="C22" s="22" t="n"/>
      <c r="D22" s="22" t="n"/>
      <c r="E22" s="26">
        <f>IF(D22="","",IF(COUNTIF(lst_Jobs,D22&amp;"")&gt;0,"OK","CHECK"))</f>
        <v/>
      </c>
      <c r="F22" s="22" t="n"/>
      <c r="G22" s="22" t="n"/>
      <c r="H22" s="22" t="n"/>
      <c r="I22" s="22" t="n"/>
      <c r="J22" s="22" t="n"/>
      <c r="K22" s="23" t="n"/>
      <c r="L22" s="23" t="n"/>
      <c r="M22" s="26">
        <f>IF(N22="","",IF(OR(K22="",L22=""),"one month",TEXT(MAX(1,(YEAR(L22)-YEAR(K22))*12+MONTH(L22)-MONTH(K22)+1),"0")&amp;" months - see Deferred Revenue"))</f>
        <v/>
      </c>
      <c r="N22" s="24" t="n"/>
      <c r="O22" s="22" t="n"/>
      <c r="P22" s="26">
        <f>IF(N(N22)=0,"",IF(N22&gt;0,set_WIPAsset,IF(J22="Cost",IF(O22="","(set the P&amp;L Account)",O22),IF(O22="",set_WIPIncome,O22))))</f>
        <v/>
      </c>
      <c r="Q22" s="26">
        <f>IF(N(N22)=0,"",IF(N22&gt;0,IF(J22="Cost",IF(O22="","(set the P&amp;L Account)",O22),IF(O22="",set_WIPIncome,O22)),set_WIPAsset))</f>
        <v/>
      </c>
      <c r="R22" s="27">
        <f>IF(OR(N(N22)=0,K22&lt;&gt;""),"",ABS(N22))</f>
        <v/>
      </c>
      <c r="S22" s="26">
        <f>IF(N(N22)=0,"",IF(K22&lt;&gt;"","spreads monthly - see Deferred Revenue","WIP "&amp;I22&amp;IF(D22="",""," - "&amp;D22)&amp;IF(F22="",""," "&amp;F22)&amp;IF(H22="",""," - "&amp;H22)))</f>
        <v/>
      </c>
      <c r="T22" s="22" t="n"/>
      <c r="U22" s="22" t="n"/>
      <c r="V22" s="22" t="n"/>
    </row>
    <row r="23" ht="15" customHeight="1">
      <c r="A23" s="72" t="n"/>
      <c r="B23" s="70">
        <f>IF(C23="","",IFERROR(INDEX(tbl_Finance[Date],MATCH(C23&amp;"",tbl_Finance[Xero Invoice No],0)),""))</f>
        <v/>
      </c>
      <c r="C23" s="22" t="n"/>
      <c r="D23" s="22" t="n"/>
      <c r="E23" s="26">
        <f>IF(D23="","",IF(COUNTIF(lst_Jobs,D23&amp;"")&gt;0,"OK","CHECK"))</f>
        <v/>
      </c>
      <c r="F23" s="22" t="n"/>
      <c r="G23" s="22" t="n"/>
      <c r="H23" s="22" t="n"/>
      <c r="I23" s="22" t="n"/>
      <c r="J23" s="22" t="n"/>
      <c r="K23" s="23" t="n"/>
      <c r="L23" s="23" t="n"/>
      <c r="M23" s="26">
        <f>IF(N23="","",IF(OR(K23="",L23=""),"one month",TEXT(MAX(1,(YEAR(L23)-YEAR(K23))*12+MONTH(L23)-MONTH(K23)+1),"0")&amp;" months - see Deferred Revenue"))</f>
        <v/>
      </c>
      <c r="N23" s="24" t="n"/>
      <c r="O23" s="22" t="n"/>
      <c r="P23" s="26">
        <f>IF(N(N23)=0,"",IF(N23&gt;0,set_WIPAsset,IF(J23="Cost",IF(O23="","(set the P&amp;L Account)",O23),IF(O23="",set_WIPIncome,O23))))</f>
        <v/>
      </c>
      <c r="Q23" s="26">
        <f>IF(N(N23)=0,"",IF(N23&gt;0,IF(J23="Cost",IF(O23="","(set the P&amp;L Account)",O23),IF(O23="",set_WIPIncome,O23)),set_WIPAsset))</f>
        <v/>
      </c>
      <c r="R23" s="27">
        <f>IF(OR(N(N23)=0,K23&lt;&gt;""),"",ABS(N23))</f>
        <v/>
      </c>
      <c r="S23" s="26">
        <f>IF(N(N23)=0,"",IF(K23&lt;&gt;"","spreads monthly - see Deferred Revenue","WIP "&amp;I23&amp;IF(D23="",""," - "&amp;D23)&amp;IF(F23="",""," "&amp;F23)&amp;IF(H23="",""," - "&amp;H23)))</f>
        <v/>
      </c>
      <c r="T23" s="22" t="n"/>
      <c r="U23" s="22" t="n"/>
      <c r="V23" s="22" t="n"/>
    </row>
    <row r="24" ht="15" customHeight="1">
      <c r="A24" s="72" t="n"/>
      <c r="B24" s="70">
        <f>IF(C24="","",IFERROR(INDEX(tbl_Finance[Date],MATCH(C24&amp;"",tbl_Finance[Xero Invoice No],0)),""))</f>
        <v/>
      </c>
      <c r="C24" s="22" t="n"/>
      <c r="D24" s="22" t="n"/>
      <c r="E24" s="26">
        <f>IF(D24="","",IF(COUNTIF(lst_Jobs,D24&amp;"")&gt;0,"OK","CHECK"))</f>
        <v/>
      </c>
      <c r="F24" s="22" t="n"/>
      <c r="G24" s="22" t="n"/>
      <c r="H24" s="22" t="n"/>
      <c r="I24" s="22" t="n"/>
      <c r="J24" s="22" t="n"/>
      <c r="K24" s="23" t="n"/>
      <c r="L24" s="23" t="n"/>
      <c r="M24" s="26">
        <f>IF(N24="","",IF(OR(K24="",L24=""),"one month",TEXT(MAX(1,(YEAR(L24)-YEAR(K24))*12+MONTH(L24)-MONTH(K24)+1),"0")&amp;" months - see Deferred Revenue"))</f>
        <v/>
      </c>
      <c r="N24" s="24" t="n"/>
      <c r="O24" s="22" t="n"/>
      <c r="P24" s="26">
        <f>IF(N(N24)=0,"",IF(N24&gt;0,set_WIPAsset,IF(J24="Cost",IF(O24="","(set the P&amp;L Account)",O24),IF(O24="",set_WIPIncome,O24))))</f>
        <v/>
      </c>
      <c r="Q24" s="26">
        <f>IF(N(N24)=0,"",IF(N24&gt;0,IF(J24="Cost",IF(O24="","(set the P&amp;L Account)",O24),IF(O24="",set_WIPIncome,O24)),set_WIPAsset))</f>
        <v/>
      </c>
      <c r="R24" s="27">
        <f>IF(OR(N(N24)=0,K24&lt;&gt;""),"",ABS(N24))</f>
        <v/>
      </c>
      <c r="S24" s="26">
        <f>IF(N(N24)=0,"",IF(K24&lt;&gt;"","spreads monthly - see Deferred Revenue","WIP "&amp;I24&amp;IF(D24="",""," - "&amp;D24)&amp;IF(F24="",""," "&amp;F24)&amp;IF(H24="",""," - "&amp;H24)))</f>
        <v/>
      </c>
      <c r="T24" s="22" t="n"/>
      <c r="U24" s="22" t="n"/>
      <c r="V24" s="22" t="n"/>
    </row>
    <row r="25" ht="15" customHeight="1">
      <c r="A25" s="72" t="n"/>
      <c r="B25" s="70">
        <f>IF(C25="","",IFERROR(INDEX(tbl_Finance[Date],MATCH(C25&amp;"",tbl_Finance[Xero Invoice No],0)),""))</f>
        <v/>
      </c>
      <c r="C25" s="22" t="n"/>
      <c r="D25" s="22" t="n"/>
      <c r="E25" s="26">
        <f>IF(D25="","",IF(COUNTIF(lst_Jobs,D25&amp;"")&gt;0,"OK","CHECK"))</f>
        <v/>
      </c>
      <c r="F25" s="22" t="n"/>
      <c r="G25" s="22" t="n"/>
      <c r="H25" s="22" t="n"/>
      <c r="I25" s="22" t="n"/>
      <c r="J25" s="22" t="n"/>
      <c r="K25" s="23" t="n"/>
      <c r="L25" s="23" t="n"/>
      <c r="M25" s="26">
        <f>IF(N25="","",IF(OR(K25="",L25=""),"one month",TEXT(MAX(1,(YEAR(L25)-YEAR(K25))*12+MONTH(L25)-MONTH(K25)+1),"0")&amp;" months - see Deferred Revenue"))</f>
        <v/>
      </c>
      <c r="N25" s="24" t="n"/>
      <c r="O25" s="22" t="n"/>
      <c r="P25" s="26">
        <f>IF(N(N25)=0,"",IF(N25&gt;0,set_WIPAsset,IF(J25="Cost",IF(O25="","(set the P&amp;L Account)",O25),IF(O25="",set_WIPIncome,O25))))</f>
        <v/>
      </c>
      <c r="Q25" s="26">
        <f>IF(N(N25)=0,"",IF(N25&gt;0,IF(J25="Cost",IF(O25="","(set the P&amp;L Account)",O25),IF(O25="",set_WIPIncome,O25)),set_WIPAsset))</f>
        <v/>
      </c>
      <c r="R25" s="27">
        <f>IF(OR(N(N25)=0,K25&lt;&gt;""),"",ABS(N25))</f>
        <v/>
      </c>
      <c r="S25" s="26">
        <f>IF(N(N25)=0,"",IF(K25&lt;&gt;"","spreads monthly - see Deferred Revenue","WIP "&amp;I25&amp;IF(D25="",""," - "&amp;D25)&amp;IF(F25="",""," "&amp;F25)&amp;IF(H25="",""," - "&amp;H25)))</f>
        <v/>
      </c>
      <c r="T25" s="22" t="n"/>
      <c r="U25" s="22" t="n"/>
      <c r="V25" s="22" t="n"/>
    </row>
    <row r="26" ht="15" customHeight="1">
      <c r="A26" s="72" t="n"/>
      <c r="B26" s="70">
        <f>IF(C26="","",IFERROR(INDEX(tbl_Finance[Date],MATCH(C26&amp;"",tbl_Finance[Xero Invoice No],0)),""))</f>
        <v/>
      </c>
      <c r="C26" s="22" t="n"/>
      <c r="D26" s="22" t="n"/>
      <c r="E26" s="26">
        <f>IF(D26="","",IF(COUNTIF(lst_Jobs,D26&amp;"")&gt;0,"OK","CHECK"))</f>
        <v/>
      </c>
      <c r="F26" s="22" t="n"/>
      <c r="G26" s="22" t="n"/>
      <c r="H26" s="22" t="n"/>
      <c r="I26" s="22" t="n"/>
      <c r="J26" s="22" t="n"/>
      <c r="K26" s="23" t="n"/>
      <c r="L26" s="23" t="n"/>
      <c r="M26" s="26">
        <f>IF(N26="","",IF(OR(K26="",L26=""),"one month",TEXT(MAX(1,(YEAR(L26)-YEAR(K26))*12+MONTH(L26)-MONTH(K26)+1),"0")&amp;" months - see Deferred Revenue"))</f>
        <v/>
      </c>
      <c r="N26" s="24" t="n"/>
      <c r="O26" s="22" t="n"/>
      <c r="P26" s="26">
        <f>IF(N(N26)=0,"",IF(N26&gt;0,set_WIPAsset,IF(J26="Cost",IF(O26="","(set the P&amp;L Account)",O26),IF(O26="",set_WIPIncome,O26))))</f>
        <v/>
      </c>
      <c r="Q26" s="26">
        <f>IF(N(N26)=0,"",IF(N26&gt;0,IF(J26="Cost",IF(O26="","(set the P&amp;L Account)",O26),IF(O26="",set_WIPIncome,O26)),set_WIPAsset))</f>
        <v/>
      </c>
      <c r="R26" s="27">
        <f>IF(OR(N(N26)=0,K26&lt;&gt;""),"",ABS(N26))</f>
        <v/>
      </c>
      <c r="S26" s="26">
        <f>IF(N(N26)=0,"",IF(K26&lt;&gt;"","spreads monthly - see Deferred Revenue","WIP "&amp;I26&amp;IF(D26="",""," - "&amp;D26)&amp;IF(F26="",""," "&amp;F26)&amp;IF(H26="",""," - "&amp;H26)))</f>
        <v/>
      </c>
      <c r="T26" s="22" t="n"/>
      <c r="U26" s="22" t="n"/>
      <c r="V26" s="22" t="n"/>
    </row>
    <row r="27" ht="15" customHeight="1">
      <c r="A27" s="72" t="n"/>
      <c r="B27" s="70">
        <f>IF(C27="","",IFERROR(INDEX(tbl_Finance[Date],MATCH(C27&amp;"",tbl_Finance[Xero Invoice No],0)),""))</f>
        <v/>
      </c>
      <c r="C27" s="22" t="n"/>
      <c r="D27" s="22" t="n"/>
      <c r="E27" s="26">
        <f>IF(D27="","",IF(COUNTIF(lst_Jobs,D27&amp;"")&gt;0,"OK","CHECK"))</f>
        <v/>
      </c>
      <c r="F27" s="22" t="n"/>
      <c r="G27" s="22" t="n"/>
      <c r="H27" s="22" t="n"/>
      <c r="I27" s="22" t="n"/>
      <c r="J27" s="22" t="n"/>
      <c r="K27" s="23" t="n"/>
      <c r="L27" s="23" t="n"/>
      <c r="M27" s="26">
        <f>IF(N27="","",IF(OR(K27="",L27=""),"one month",TEXT(MAX(1,(YEAR(L27)-YEAR(K27))*12+MONTH(L27)-MONTH(K27)+1),"0")&amp;" months - see Deferred Revenue"))</f>
        <v/>
      </c>
      <c r="N27" s="24" t="n"/>
      <c r="O27" s="22" t="n"/>
      <c r="P27" s="26">
        <f>IF(N(N27)=0,"",IF(N27&gt;0,set_WIPAsset,IF(J27="Cost",IF(O27="","(set the P&amp;L Account)",O27),IF(O27="",set_WIPIncome,O27))))</f>
        <v/>
      </c>
      <c r="Q27" s="26">
        <f>IF(N(N27)=0,"",IF(N27&gt;0,IF(J27="Cost",IF(O27="","(set the P&amp;L Account)",O27),IF(O27="",set_WIPIncome,O27)),set_WIPAsset))</f>
        <v/>
      </c>
      <c r="R27" s="27">
        <f>IF(OR(N(N27)=0,K27&lt;&gt;""),"",ABS(N27))</f>
        <v/>
      </c>
      <c r="S27" s="26">
        <f>IF(N(N27)=0,"",IF(K27&lt;&gt;"","spreads monthly - see Deferred Revenue","WIP "&amp;I27&amp;IF(D27="",""," - "&amp;D27)&amp;IF(F27="",""," "&amp;F27)&amp;IF(H27="",""," - "&amp;H27)))</f>
        <v/>
      </c>
      <c r="T27" s="22" t="n"/>
      <c r="U27" s="22" t="n"/>
      <c r="V27" s="22" t="n"/>
    </row>
    <row r="28" ht="15" customHeight="1">
      <c r="A28" s="72" t="n"/>
      <c r="B28" s="70">
        <f>IF(C28="","",IFERROR(INDEX(tbl_Finance[Date],MATCH(C28&amp;"",tbl_Finance[Xero Invoice No],0)),""))</f>
        <v/>
      </c>
      <c r="C28" s="22" t="n"/>
      <c r="D28" s="22" t="n"/>
      <c r="E28" s="26">
        <f>IF(D28="","",IF(COUNTIF(lst_Jobs,D28&amp;"")&gt;0,"OK","CHECK"))</f>
        <v/>
      </c>
      <c r="F28" s="22" t="n"/>
      <c r="G28" s="22" t="n"/>
      <c r="H28" s="22" t="n"/>
      <c r="I28" s="22" t="n"/>
      <c r="J28" s="22" t="n"/>
      <c r="K28" s="23" t="n"/>
      <c r="L28" s="23" t="n"/>
      <c r="M28" s="26">
        <f>IF(N28="","",IF(OR(K28="",L28=""),"one month",TEXT(MAX(1,(YEAR(L28)-YEAR(K28))*12+MONTH(L28)-MONTH(K28)+1),"0")&amp;" months - see Deferred Revenue"))</f>
        <v/>
      </c>
      <c r="N28" s="24" t="n"/>
      <c r="O28" s="22" t="n"/>
      <c r="P28" s="26">
        <f>IF(N(N28)=0,"",IF(N28&gt;0,set_WIPAsset,IF(J28="Cost",IF(O28="","(set the P&amp;L Account)",O28),IF(O28="",set_WIPIncome,O28))))</f>
        <v/>
      </c>
      <c r="Q28" s="26">
        <f>IF(N(N28)=0,"",IF(N28&gt;0,IF(J28="Cost",IF(O28="","(set the P&amp;L Account)",O28),IF(O28="",set_WIPIncome,O28)),set_WIPAsset))</f>
        <v/>
      </c>
      <c r="R28" s="27">
        <f>IF(OR(N(N28)=0,K28&lt;&gt;""),"",ABS(N28))</f>
        <v/>
      </c>
      <c r="S28" s="26">
        <f>IF(N(N28)=0,"",IF(K28&lt;&gt;"","spreads monthly - see Deferred Revenue","WIP "&amp;I28&amp;IF(D28="",""," - "&amp;D28)&amp;IF(F28="",""," "&amp;F28)&amp;IF(H28="",""," - "&amp;H28)))</f>
        <v/>
      </c>
      <c r="T28" s="22" t="n"/>
      <c r="U28" s="22" t="n"/>
      <c r="V28" s="22" t="n"/>
    </row>
    <row r="29" ht="15" customHeight="1">
      <c r="A29" s="72" t="n"/>
      <c r="B29" s="70">
        <f>IF(C29="","",IFERROR(INDEX(tbl_Finance[Date],MATCH(C29&amp;"",tbl_Finance[Xero Invoice No],0)),""))</f>
        <v/>
      </c>
      <c r="C29" s="22" t="n"/>
      <c r="D29" s="22" t="n"/>
      <c r="E29" s="26">
        <f>IF(D29="","",IF(COUNTIF(lst_Jobs,D29&amp;"")&gt;0,"OK","CHECK"))</f>
        <v/>
      </c>
      <c r="F29" s="22" t="n"/>
      <c r="G29" s="22" t="n"/>
      <c r="H29" s="22" t="n"/>
      <c r="I29" s="22" t="n"/>
      <c r="J29" s="22" t="n"/>
      <c r="K29" s="23" t="n"/>
      <c r="L29" s="23" t="n"/>
      <c r="M29" s="26">
        <f>IF(N29="","",IF(OR(K29="",L29=""),"one month",TEXT(MAX(1,(YEAR(L29)-YEAR(K29))*12+MONTH(L29)-MONTH(K29)+1),"0")&amp;" months - see Deferred Revenue"))</f>
        <v/>
      </c>
      <c r="N29" s="24" t="n"/>
      <c r="O29" s="22" t="n"/>
      <c r="P29" s="26">
        <f>IF(N(N29)=0,"",IF(N29&gt;0,set_WIPAsset,IF(J29="Cost",IF(O29="","(set the P&amp;L Account)",O29),IF(O29="",set_WIPIncome,O29))))</f>
        <v/>
      </c>
      <c r="Q29" s="26">
        <f>IF(N(N29)=0,"",IF(N29&gt;0,IF(J29="Cost",IF(O29="","(set the P&amp;L Account)",O29),IF(O29="",set_WIPIncome,O29)),set_WIPAsset))</f>
        <v/>
      </c>
      <c r="R29" s="27">
        <f>IF(OR(N(N29)=0,K29&lt;&gt;""),"",ABS(N29))</f>
        <v/>
      </c>
      <c r="S29" s="26">
        <f>IF(N(N29)=0,"",IF(K29&lt;&gt;"","spreads monthly - see Deferred Revenue","WIP "&amp;I29&amp;IF(D29="",""," - "&amp;D29)&amp;IF(F29="",""," "&amp;F29)&amp;IF(H29="",""," - "&amp;H29)))</f>
        <v/>
      </c>
      <c r="T29" s="22" t="n"/>
      <c r="U29" s="22" t="n"/>
      <c r="V29" s="22" t="n"/>
    </row>
    <row r="30" ht="15" customHeight="1">
      <c r="A30" s="72" t="n"/>
      <c r="B30" s="70">
        <f>IF(C30="","",IFERROR(INDEX(tbl_Finance[Date],MATCH(C30&amp;"",tbl_Finance[Xero Invoice No],0)),""))</f>
        <v/>
      </c>
      <c r="C30" s="22" t="n"/>
      <c r="D30" s="22" t="n"/>
      <c r="E30" s="26">
        <f>IF(D30="","",IF(COUNTIF(lst_Jobs,D30&amp;"")&gt;0,"OK","CHECK"))</f>
        <v/>
      </c>
      <c r="F30" s="22" t="n"/>
      <c r="G30" s="22" t="n"/>
      <c r="H30" s="22" t="n"/>
      <c r="I30" s="22" t="n"/>
      <c r="J30" s="22" t="n"/>
      <c r="K30" s="23" t="n"/>
      <c r="L30" s="23" t="n"/>
      <c r="M30" s="26">
        <f>IF(N30="","",IF(OR(K30="",L30=""),"one month",TEXT(MAX(1,(YEAR(L30)-YEAR(K30))*12+MONTH(L30)-MONTH(K30)+1),"0")&amp;" months - see Deferred Revenue"))</f>
        <v/>
      </c>
      <c r="N30" s="24" t="n"/>
      <c r="O30" s="22" t="n"/>
      <c r="P30" s="26">
        <f>IF(N(N30)=0,"",IF(N30&gt;0,set_WIPAsset,IF(J30="Cost",IF(O30="","(set the P&amp;L Account)",O30),IF(O30="",set_WIPIncome,O30))))</f>
        <v/>
      </c>
      <c r="Q30" s="26">
        <f>IF(N(N30)=0,"",IF(N30&gt;0,IF(J30="Cost",IF(O30="","(set the P&amp;L Account)",O30),IF(O30="",set_WIPIncome,O30)),set_WIPAsset))</f>
        <v/>
      </c>
      <c r="R30" s="27">
        <f>IF(OR(N(N30)=0,K30&lt;&gt;""),"",ABS(N30))</f>
        <v/>
      </c>
      <c r="S30" s="26">
        <f>IF(N(N30)=0,"",IF(K30&lt;&gt;"","spreads monthly - see Deferred Revenue","WIP "&amp;I30&amp;IF(D30="",""," - "&amp;D30)&amp;IF(F30="",""," "&amp;F30)&amp;IF(H30="",""," - "&amp;H30)))</f>
        <v/>
      </c>
      <c r="T30" s="22" t="n"/>
      <c r="U30" s="22" t="n"/>
      <c r="V30" s="22" t="n"/>
    </row>
    <row r="31" ht="15" customHeight="1">
      <c r="A31" s="72" t="n"/>
      <c r="B31" s="70">
        <f>IF(C31="","",IFERROR(INDEX(tbl_Finance[Date],MATCH(C31&amp;"",tbl_Finance[Xero Invoice No],0)),""))</f>
        <v/>
      </c>
      <c r="C31" s="22" t="n"/>
      <c r="D31" s="22" t="n"/>
      <c r="E31" s="26">
        <f>IF(D31="","",IF(COUNTIF(lst_Jobs,D31&amp;"")&gt;0,"OK","CHECK"))</f>
        <v/>
      </c>
      <c r="F31" s="22" t="n"/>
      <c r="G31" s="22" t="n"/>
      <c r="H31" s="22" t="n"/>
      <c r="I31" s="22" t="n"/>
      <c r="J31" s="22" t="n"/>
      <c r="K31" s="23" t="n"/>
      <c r="L31" s="23" t="n"/>
      <c r="M31" s="26">
        <f>IF(N31="","",IF(OR(K31="",L31=""),"one month",TEXT(MAX(1,(YEAR(L31)-YEAR(K31))*12+MONTH(L31)-MONTH(K31)+1),"0")&amp;" months - see Deferred Revenue"))</f>
        <v/>
      </c>
      <c r="N31" s="24" t="n"/>
      <c r="O31" s="22" t="n"/>
      <c r="P31" s="26">
        <f>IF(N(N31)=0,"",IF(N31&gt;0,set_WIPAsset,IF(J31="Cost",IF(O31="","(set the P&amp;L Account)",O31),IF(O31="",set_WIPIncome,O31))))</f>
        <v/>
      </c>
      <c r="Q31" s="26">
        <f>IF(N(N31)=0,"",IF(N31&gt;0,IF(J31="Cost",IF(O31="","(set the P&amp;L Account)",O31),IF(O31="",set_WIPIncome,O31)),set_WIPAsset))</f>
        <v/>
      </c>
      <c r="R31" s="27">
        <f>IF(OR(N(N31)=0,K31&lt;&gt;""),"",ABS(N31))</f>
        <v/>
      </c>
      <c r="S31" s="26">
        <f>IF(N(N31)=0,"",IF(K31&lt;&gt;"","spreads monthly - see Deferred Revenue","WIP "&amp;I31&amp;IF(D31="",""," - "&amp;D31)&amp;IF(F31="",""," "&amp;F31)&amp;IF(H31="",""," - "&amp;H31)))</f>
        <v/>
      </c>
      <c r="T31" s="22" t="n"/>
      <c r="U31" s="22" t="n"/>
      <c r="V31" s="22" t="n"/>
    </row>
    <row r="32" ht="15" customHeight="1">
      <c r="A32" s="72" t="n"/>
      <c r="B32" s="70">
        <f>IF(C32="","",IFERROR(INDEX(tbl_Finance[Date],MATCH(C32&amp;"",tbl_Finance[Xero Invoice No],0)),""))</f>
        <v/>
      </c>
      <c r="C32" s="22" t="n"/>
      <c r="D32" s="22" t="n"/>
      <c r="E32" s="26">
        <f>IF(D32="","",IF(COUNTIF(lst_Jobs,D32&amp;"")&gt;0,"OK","CHECK"))</f>
        <v/>
      </c>
      <c r="F32" s="22" t="n"/>
      <c r="G32" s="22" t="n"/>
      <c r="H32" s="22" t="n"/>
      <c r="I32" s="22" t="n"/>
      <c r="J32" s="22" t="n"/>
      <c r="K32" s="23" t="n"/>
      <c r="L32" s="23" t="n"/>
      <c r="M32" s="26">
        <f>IF(N32="","",IF(OR(K32="",L32=""),"one month",TEXT(MAX(1,(YEAR(L32)-YEAR(K32))*12+MONTH(L32)-MONTH(K32)+1),"0")&amp;" months - see Deferred Revenue"))</f>
        <v/>
      </c>
      <c r="N32" s="24" t="n"/>
      <c r="O32" s="22" t="n"/>
      <c r="P32" s="26">
        <f>IF(N(N32)=0,"",IF(N32&gt;0,set_WIPAsset,IF(J32="Cost",IF(O32="","(set the P&amp;L Account)",O32),IF(O32="",set_WIPIncome,O32))))</f>
        <v/>
      </c>
      <c r="Q32" s="26">
        <f>IF(N(N32)=0,"",IF(N32&gt;0,IF(J32="Cost",IF(O32="","(set the P&amp;L Account)",O32),IF(O32="",set_WIPIncome,O32)),set_WIPAsset))</f>
        <v/>
      </c>
      <c r="R32" s="27">
        <f>IF(OR(N(N32)=0,K32&lt;&gt;""),"",ABS(N32))</f>
        <v/>
      </c>
      <c r="S32" s="26">
        <f>IF(N(N32)=0,"",IF(K32&lt;&gt;"","spreads monthly - see Deferred Revenue","WIP "&amp;I32&amp;IF(D32="",""," - "&amp;D32)&amp;IF(F32="",""," "&amp;F32)&amp;IF(H32="",""," - "&amp;H32)))</f>
        <v/>
      </c>
      <c r="T32" s="22" t="n"/>
      <c r="U32" s="22" t="n"/>
      <c r="V32" s="22" t="n"/>
    </row>
    <row r="33" ht="15" customHeight="1">
      <c r="A33" s="72" t="n"/>
      <c r="B33" s="70">
        <f>IF(C33="","",IFERROR(INDEX(tbl_Finance[Date],MATCH(C33&amp;"",tbl_Finance[Xero Invoice No],0)),""))</f>
        <v/>
      </c>
      <c r="C33" s="22" t="n"/>
      <c r="D33" s="22" t="n"/>
      <c r="E33" s="26">
        <f>IF(D33="","",IF(COUNTIF(lst_Jobs,D33&amp;"")&gt;0,"OK","CHECK"))</f>
        <v/>
      </c>
      <c r="F33" s="22" t="n"/>
      <c r="G33" s="22" t="n"/>
      <c r="H33" s="22" t="n"/>
      <c r="I33" s="22" t="n"/>
      <c r="J33" s="22" t="n"/>
      <c r="K33" s="23" t="n"/>
      <c r="L33" s="23" t="n"/>
      <c r="M33" s="26">
        <f>IF(N33="","",IF(OR(K33="",L33=""),"one month",TEXT(MAX(1,(YEAR(L33)-YEAR(K33))*12+MONTH(L33)-MONTH(K33)+1),"0")&amp;" months - see Deferred Revenue"))</f>
        <v/>
      </c>
      <c r="N33" s="24" t="n"/>
      <c r="O33" s="22" t="n"/>
      <c r="P33" s="26">
        <f>IF(N(N33)=0,"",IF(N33&gt;0,set_WIPAsset,IF(J33="Cost",IF(O33="","(set the P&amp;L Account)",O33),IF(O33="",set_WIPIncome,O33))))</f>
        <v/>
      </c>
      <c r="Q33" s="26">
        <f>IF(N(N33)=0,"",IF(N33&gt;0,IF(J33="Cost",IF(O33="","(set the P&amp;L Account)",O33),IF(O33="",set_WIPIncome,O33)),set_WIPAsset))</f>
        <v/>
      </c>
      <c r="R33" s="27">
        <f>IF(OR(N(N33)=0,K33&lt;&gt;""),"",ABS(N33))</f>
        <v/>
      </c>
      <c r="S33" s="26">
        <f>IF(N(N33)=0,"",IF(K33&lt;&gt;"","spreads monthly - see Deferred Revenue","WIP "&amp;I33&amp;IF(D33="",""," - "&amp;D33)&amp;IF(F33="",""," "&amp;F33)&amp;IF(H33="",""," - "&amp;H33)))</f>
        <v/>
      </c>
      <c r="T33" s="22" t="n"/>
      <c r="U33" s="22" t="n"/>
      <c r="V33" s="22" t="n"/>
    </row>
    <row r="34" ht="15" customHeight="1">
      <c r="A34" s="72" t="n"/>
      <c r="B34" s="70">
        <f>IF(C34="","",IFERROR(INDEX(tbl_Finance[Date],MATCH(C34&amp;"",tbl_Finance[Xero Invoice No],0)),""))</f>
        <v/>
      </c>
      <c r="C34" s="22" t="n"/>
      <c r="D34" s="22" t="n"/>
      <c r="E34" s="26">
        <f>IF(D34="","",IF(COUNTIF(lst_Jobs,D34&amp;"")&gt;0,"OK","CHECK"))</f>
        <v/>
      </c>
      <c r="F34" s="22" t="n"/>
      <c r="G34" s="22" t="n"/>
      <c r="H34" s="22" t="n"/>
      <c r="I34" s="22" t="n"/>
      <c r="J34" s="22" t="n"/>
      <c r="K34" s="23" t="n"/>
      <c r="L34" s="23" t="n"/>
      <c r="M34" s="26">
        <f>IF(N34="","",IF(OR(K34="",L34=""),"one month",TEXT(MAX(1,(YEAR(L34)-YEAR(K34))*12+MONTH(L34)-MONTH(K34)+1),"0")&amp;" months - see Deferred Revenue"))</f>
        <v/>
      </c>
      <c r="N34" s="24" t="n"/>
      <c r="O34" s="22" t="n"/>
      <c r="P34" s="26">
        <f>IF(N(N34)=0,"",IF(N34&gt;0,set_WIPAsset,IF(J34="Cost",IF(O34="","(set the P&amp;L Account)",O34),IF(O34="",set_WIPIncome,O34))))</f>
        <v/>
      </c>
      <c r="Q34" s="26">
        <f>IF(N(N34)=0,"",IF(N34&gt;0,IF(J34="Cost",IF(O34="","(set the P&amp;L Account)",O34),IF(O34="",set_WIPIncome,O34)),set_WIPAsset))</f>
        <v/>
      </c>
      <c r="R34" s="27">
        <f>IF(OR(N(N34)=0,K34&lt;&gt;""),"",ABS(N34))</f>
        <v/>
      </c>
      <c r="S34" s="26">
        <f>IF(N(N34)=0,"",IF(K34&lt;&gt;"","spreads monthly - see Deferred Revenue","WIP "&amp;I34&amp;IF(D34="",""," - "&amp;D34)&amp;IF(F34="",""," "&amp;F34)&amp;IF(H34="",""," - "&amp;H34)))</f>
        <v/>
      </c>
      <c r="T34" s="22" t="n"/>
      <c r="U34" s="22" t="n"/>
      <c r="V34" s="22" t="n"/>
    </row>
    <row r="35" ht="15" customHeight="1">
      <c r="A35" s="72" t="n"/>
      <c r="B35" s="70">
        <f>IF(C35="","",IFERROR(INDEX(tbl_Finance[Date],MATCH(C35&amp;"",tbl_Finance[Xero Invoice No],0)),""))</f>
        <v/>
      </c>
      <c r="C35" s="22" t="n"/>
      <c r="D35" s="22" t="n"/>
      <c r="E35" s="26">
        <f>IF(D35="","",IF(COUNTIF(lst_Jobs,D35&amp;"")&gt;0,"OK","CHECK"))</f>
        <v/>
      </c>
      <c r="F35" s="22" t="n"/>
      <c r="G35" s="22" t="n"/>
      <c r="H35" s="22" t="n"/>
      <c r="I35" s="22" t="n"/>
      <c r="J35" s="22" t="n"/>
      <c r="K35" s="23" t="n"/>
      <c r="L35" s="23" t="n"/>
      <c r="M35" s="26">
        <f>IF(N35="","",IF(OR(K35="",L35=""),"one month",TEXT(MAX(1,(YEAR(L35)-YEAR(K35))*12+MONTH(L35)-MONTH(K35)+1),"0")&amp;" months - see Deferred Revenue"))</f>
        <v/>
      </c>
      <c r="N35" s="24" t="n"/>
      <c r="O35" s="22" t="n"/>
      <c r="P35" s="26">
        <f>IF(N(N35)=0,"",IF(N35&gt;0,set_WIPAsset,IF(J35="Cost",IF(O35="","(set the P&amp;L Account)",O35),IF(O35="",set_WIPIncome,O35))))</f>
        <v/>
      </c>
      <c r="Q35" s="26">
        <f>IF(N(N35)=0,"",IF(N35&gt;0,IF(J35="Cost",IF(O35="","(set the P&amp;L Account)",O35),IF(O35="",set_WIPIncome,O35)),set_WIPAsset))</f>
        <v/>
      </c>
      <c r="R35" s="27">
        <f>IF(OR(N(N35)=0,K35&lt;&gt;""),"",ABS(N35))</f>
        <v/>
      </c>
      <c r="S35" s="26">
        <f>IF(N(N35)=0,"",IF(K35&lt;&gt;"","spreads monthly - see Deferred Revenue","WIP "&amp;I35&amp;IF(D35="",""," - "&amp;D35)&amp;IF(F35="",""," "&amp;F35)&amp;IF(H35="",""," - "&amp;H35)))</f>
        <v/>
      </c>
      <c r="T35" s="22" t="n"/>
      <c r="U35" s="22" t="n"/>
      <c r="V35" s="22" t="n"/>
    </row>
    <row r="36" ht="15" customHeight="1">
      <c r="A36" s="72" t="n"/>
      <c r="B36" s="70">
        <f>IF(C36="","",IFERROR(INDEX(tbl_Finance[Date],MATCH(C36&amp;"",tbl_Finance[Xero Invoice No],0)),""))</f>
        <v/>
      </c>
      <c r="C36" s="22" t="n"/>
      <c r="D36" s="22" t="n"/>
      <c r="E36" s="26">
        <f>IF(D36="","",IF(COUNTIF(lst_Jobs,D36&amp;"")&gt;0,"OK","CHECK"))</f>
        <v/>
      </c>
      <c r="F36" s="22" t="n"/>
      <c r="G36" s="22" t="n"/>
      <c r="H36" s="22" t="n"/>
      <c r="I36" s="22" t="n"/>
      <c r="J36" s="22" t="n"/>
      <c r="K36" s="23" t="n"/>
      <c r="L36" s="23" t="n"/>
      <c r="M36" s="26">
        <f>IF(N36="","",IF(OR(K36="",L36=""),"one month",TEXT(MAX(1,(YEAR(L36)-YEAR(K36))*12+MONTH(L36)-MONTH(K36)+1),"0")&amp;" months - see Deferred Revenue"))</f>
        <v/>
      </c>
      <c r="N36" s="24" t="n"/>
      <c r="O36" s="22" t="n"/>
      <c r="P36" s="26">
        <f>IF(N(N36)=0,"",IF(N36&gt;0,set_WIPAsset,IF(J36="Cost",IF(O36="","(set the P&amp;L Account)",O36),IF(O36="",set_WIPIncome,O36))))</f>
        <v/>
      </c>
      <c r="Q36" s="26">
        <f>IF(N(N36)=0,"",IF(N36&gt;0,IF(J36="Cost",IF(O36="","(set the P&amp;L Account)",O36),IF(O36="",set_WIPIncome,O36)),set_WIPAsset))</f>
        <v/>
      </c>
      <c r="R36" s="27">
        <f>IF(OR(N(N36)=0,K36&lt;&gt;""),"",ABS(N36))</f>
        <v/>
      </c>
      <c r="S36" s="26">
        <f>IF(N(N36)=0,"",IF(K36&lt;&gt;"","spreads monthly - see Deferred Revenue","WIP "&amp;I36&amp;IF(D36="",""," - "&amp;D36)&amp;IF(F36="",""," "&amp;F36)&amp;IF(H36="",""," - "&amp;H36)))</f>
        <v/>
      </c>
      <c r="T36" s="22" t="n"/>
      <c r="U36" s="22" t="n"/>
      <c r="V36" s="22" t="n"/>
    </row>
    <row r="37" ht="15" customHeight="1">
      <c r="A37" s="72" t="n"/>
      <c r="B37" s="70">
        <f>IF(C37="","",IFERROR(INDEX(tbl_Finance[Date],MATCH(C37&amp;"",tbl_Finance[Xero Invoice No],0)),""))</f>
        <v/>
      </c>
      <c r="C37" s="22" t="n"/>
      <c r="D37" s="22" t="n"/>
      <c r="E37" s="26">
        <f>IF(D37="","",IF(COUNTIF(lst_Jobs,D37&amp;"")&gt;0,"OK","CHECK"))</f>
        <v/>
      </c>
      <c r="F37" s="22" t="n"/>
      <c r="G37" s="22" t="n"/>
      <c r="H37" s="22" t="n"/>
      <c r="I37" s="22" t="n"/>
      <c r="J37" s="22" t="n"/>
      <c r="K37" s="23" t="n"/>
      <c r="L37" s="23" t="n"/>
      <c r="M37" s="26">
        <f>IF(N37="","",IF(OR(K37="",L37=""),"one month",TEXT(MAX(1,(YEAR(L37)-YEAR(K37))*12+MONTH(L37)-MONTH(K37)+1),"0")&amp;" months - see Deferred Revenue"))</f>
        <v/>
      </c>
      <c r="N37" s="24" t="n"/>
      <c r="O37" s="22" t="n"/>
      <c r="P37" s="26">
        <f>IF(N(N37)=0,"",IF(N37&gt;0,set_WIPAsset,IF(J37="Cost",IF(O37="","(set the P&amp;L Account)",O37),IF(O37="",set_WIPIncome,O37))))</f>
        <v/>
      </c>
      <c r="Q37" s="26">
        <f>IF(N(N37)=0,"",IF(N37&gt;0,IF(J37="Cost",IF(O37="","(set the P&amp;L Account)",O37),IF(O37="",set_WIPIncome,O37)),set_WIPAsset))</f>
        <v/>
      </c>
      <c r="R37" s="27">
        <f>IF(OR(N(N37)=0,K37&lt;&gt;""),"",ABS(N37))</f>
        <v/>
      </c>
      <c r="S37" s="26">
        <f>IF(N(N37)=0,"",IF(K37&lt;&gt;"","spreads monthly - see Deferred Revenue","WIP "&amp;I37&amp;IF(D37="",""," - "&amp;D37)&amp;IF(F37="",""," "&amp;F37)&amp;IF(H37="",""," - "&amp;H37)))</f>
        <v/>
      </c>
      <c r="T37" s="22" t="n"/>
      <c r="U37" s="22" t="n"/>
      <c r="V37" s="22" t="n"/>
    </row>
    <row r="38" ht="15" customHeight="1">
      <c r="A38" s="72" t="n"/>
      <c r="B38" s="70">
        <f>IF(C38="","",IFERROR(INDEX(tbl_Finance[Date],MATCH(C38&amp;"",tbl_Finance[Xero Invoice No],0)),""))</f>
        <v/>
      </c>
      <c r="C38" s="22" t="n"/>
      <c r="D38" s="22" t="n"/>
      <c r="E38" s="26">
        <f>IF(D38="","",IF(COUNTIF(lst_Jobs,D38&amp;"")&gt;0,"OK","CHECK"))</f>
        <v/>
      </c>
      <c r="F38" s="22" t="n"/>
      <c r="G38" s="22" t="n"/>
      <c r="H38" s="22" t="n"/>
      <c r="I38" s="22" t="n"/>
      <c r="J38" s="22" t="n"/>
      <c r="K38" s="23" t="n"/>
      <c r="L38" s="23" t="n"/>
      <c r="M38" s="26">
        <f>IF(N38="","",IF(OR(K38="",L38=""),"one month",TEXT(MAX(1,(YEAR(L38)-YEAR(K38))*12+MONTH(L38)-MONTH(K38)+1),"0")&amp;" months - see Deferred Revenue"))</f>
        <v/>
      </c>
      <c r="N38" s="24" t="n"/>
      <c r="O38" s="22" t="n"/>
      <c r="P38" s="26">
        <f>IF(N(N38)=0,"",IF(N38&gt;0,set_WIPAsset,IF(J38="Cost",IF(O38="","(set the P&amp;L Account)",O38),IF(O38="",set_WIPIncome,O38))))</f>
        <v/>
      </c>
      <c r="Q38" s="26">
        <f>IF(N(N38)=0,"",IF(N38&gt;0,IF(J38="Cost",IF(O38="","(set the P&amp;L Account)",O38),IF(O38="",set_WIPIncome,O38)),set_WIPAsset))</f>
        <v/>
      </c>
      <c r="R38" s="27">
        <f>IF(OR(N(N38)=0,K38&lt;&gt;""),"",ABS(N38))</f>
        <v/>
      </c>
      <c r="S38" s="26">
        <f>IF(N(N38)=0,"",IF(K38&lt;&gt;"","spreads monthly - see Deferred Revenue","WIP "&amp;I38&amp;IF(D38="",""," - "&amp;D38)&amp;IF(F38="",""," "&amp;F38)&amp;IF(H38="",""," - "&amp;H38)))</f>
        <v/>
      </c>
      <c r="T38" s="22" t="n"/>
      <c r="U38" s="22" t="n"/>
      <c r="V38" s="22" t="n"/>
    </row>
    <row r="39" ht="15" customHeight="1">
      <c r="A39" s="72" t="n"/>
      <c r="B39" s="70">
        <f>IF(C39="","",IFERROR(INDEX(tbl_Finance[Date],MATCH(C39&amp;"",tbl_Finance[Xero Invoice No],0)),""))</f>
        <v/>
      </c>
      <c r="C39" s="22" t="n"/>
      <c r="D39" s="22" t="n"/>
      <c r="E39" s="26">
        <f>IF(D39="","",IF(COUNTIF(lst_Jobs,D39&amp;"")&gt;0,"OK","CHECK"))</f>
        <v/>
      </c>
      <c r="F39" s="22" t="n"/>
      <c r="G39" s="22" t="n"/>
      <c r="H39" s="22" t="n"/>
      <c r="I39" s="22" t="n"/>
      <c r="J39" s="22" t="n"/>
      <c r="K39" s="23" t="n"/>
      <c r="L39" s="23" t="n"/>
      <c r="M39" s="26">
        <f>IF(N39="","",IF(OR(K39="",L39=""),"one month",TEXT(MAX(1,(YEAR(L39)-YEAR(K39))*12+MONTH(L39)-MONTH(K39)+1),"0")&amp;" months - see Deferred Revenue"))</f>
        <v/>
      </c>
      <c r="N39" s="24" t="n"/>
      <c r="O39" s="22" t="n"/>
      <c r="P39" s="26">
        <f>IF(N(N39)=0,"",IF(N39&gt;0,set_WIPAsset,IF(J39="Cost",IF(O39="","(set the P&amp;L Account)",O39),IF(O39="",set_WIPIncome,O39))))</f>
        <v/>
      </c>
      <c r="Q39" s="26">
        <f>IF(N(N39)=0,"",IF(N39&gt;0,IF(J39="Cost",IF(O39="","(set the P&amp;L Account)",O39),IF(O39="",set_WIPIncome,O39)),set_WIPAsset))</f>
        <v/>
      </c>
      <c r="R39" s="27">
        <f>IF(OR(N(N39)=0,K39&lt;&gt;""),"",ABS(N39))</f>
        <v/>
      </c>
      <c r="S39" s="26">
        <f>IF(N(N39)=0,"",IF(K39&lt;&gt;"","spreads monthly - see Deferred Revenue","WIP "&amp;I39&amp;IF(D39="",""," - "&amp;D39)&amp;IF(F39="",""," "&amp;F39)&amp;IF(H39="",""," - "&amp;H39)))</f>
        <v/>
      </c>
      <c r="T39" s="22" t="n"/>
      <c r="U39" s="22" t="n"/>
      <c r="V39" s="22" t="n"/>
    </row>
    <row r="40" ht="15" customHeight="1">
      <c r="A40" s="72" t="n"/>
      <c r="B40" s="70">
        <f>IF(C40="","",IFERROR(INDEX(tbl_Finance[Date],MATCH(C40&amp;"",tbl_Finance[Xero Invoice No],0)),""))</f>
        <v/>
      </c>
      <c r="C40" s="22" t="n"/>
      <c r="D40" s="22" t="n"/>
      <c r="E40" s="26">
        <f>IF(D40="","",IF(COUNTIF(lst_Jobs,D40&amp;"")&gt;0,"OK","CHECK"))</f>
        <v/>
      </c>
      <c r="F40" s="22" t="n"/>
      <c r="G40" s="22" t="n"/>
      <c r="H40" s="22" t="n"/>
      <c r="I40" s="22" t="n"/>
      <c r="J40" s="22" t="n"/>
      <c r="K40" s="23" t="n"/>
      <c r="L40" s="23" t="n"/>
      <c r="M40" s="26">
        <f>IF(N40="","",IF(OR(K40="",L40=""),"one month",TEXT(MAX(1,(YEAR(L40)-YEAR(K40))*12+MONTH(L40)-MONTH(K40)+1),"0")&amp;" months - see Deferred Revenue"))</f>
        <v/>
      </c>
      <c r="N40" s="24" t="n"/>
      <c r="O40" s="22" t="n"/>
      <c r="P40" s="26">
        <f>IF(N(N40)=0,"",IF(N40&gt;0,set_WIPAsset,IF(J40="Cost",IF(O40="","(set the P&amp;L Account)",O40),IF(O40="",set_WIPIncome,O40))))</f>
        <v/>
      </c>
      <c r="Q40" s="26">
        <f>IF(N(N40)=0,"",IF(N40&gt;0,IF(J40="Cost",IF(O40="","(set the P&amp;L Account)",O40),IF(O40="",set_WIPIncome,O40)),set_WIPAsset))</f>
        <v/>
      </c>
      <c r="R40" s="27">
        <f>IF(OR(N(N40)=0,K40&lt;&gt;""),"",ABS(N40))</f>
        <v/>
      </c>
      <c r="S40" s="26">
        <f>IF(N(N40)=0,"",IF(K40&lt;&gt;"","spreads monthly - see Deferred Revenue","WIP "&amp;I40&amp;IF(D40="",""," - "&amp;D40)&amp;IF(F40="",""," "&amp;F40)&amp;IF(H40="",""," - "&amp;H40)))</f>
        <v/>
      </c>
      <c r="T40" s="22" t="n"/>
      <c r="U40" s="22" t="n"/>
      <c r="V40" s="22" t="n"/>
    </row>
    <row r="41" ht="15" customHeight="1">
      <c r="A41" s="72" t="n"/>
      <c r="B41" s="70">
        <f>IF(C41="","",IFERROR(INDEX(tbl_Finance[Date],MATCH(C41&amp;"",tbl_Finance[Xero Invoice No],0)),""))</f>
        <v/>
      </c>
      <c r="C41" s="22" t="n"/>
      <c r="D41" s="22" t="n"/>
      <c r="E41" s="26">
        <f>IF(D41="","",IF(COUNTIF(lst_Jobs,D41&amp;"")&gt;0,"OK","CHECK"))</f>
        <v/>
      </c>
      <c r="F41" s="22" t="n"/>
      <c r="G41" s="22" t="n"/>
      <c r="H41" s="22" t="n"/>
      <c r="I41" s="22" t="n"/>
      <c r="J41" s="22" t="n"/>
      <c r="K41" s="23" t="n"/>
      <c r="L41" s="23" t="n"/>
      <c r="M41" s="26">
        <f>IF(N41="","",IF(OR(K41="",L41=""),"one month",TEXT(MAX(1,(YEAR(L41)-YEAR(K41))*12+MONTH(L41)-MONTH(K41)+1),"0")&amp;" months - see Deferred Revenue"))</f>
        <v/>
      </c>
      <c r="N41" s="24" t="n"/>
      <c r="O41" s="22" t="n"/>
      <c r="P41" s="26">
        <f>IF(N(N41)=0,"",IF(N41&gt;0,set_WIPAsset,IF(J41="Cost",IF(O41="","(set the P&amp;L Account)",O41),IF(O41="",set_WIPIncome,O41))))</f>
        <v/>
      </c>
      <c r="Q41" s="26">
        <f>IF(N(N41)=0,"",IF(N41&gt;0,IF(J41="Cost",IF(O41="","(set the P&amp;L Account)",O41),IF(O41="",set_WIPIncome,O41)),set_WIPAsset))</f>
        <v/>
      </c>
      <c r="R41" s="27">
        <f>IF(OR(N(N41)=0,K41&lt;&gt;""),"",ABS(N41))</f>
        <v/>
      </c>
      <c r="S41" s="26">
        <f>IF(N(N41)=0,"",IF(K41&lt;&gt;"","spreads monthly - see Deferred Revenue","WIP "&amp;I41&amp;IF(D41="",""," - "&amp;D41)&amp;IF(F41="",""," "&amp;F41)&amp;IF(H41="",""," - "&amp;H41)))</f>
        <v/>
      </c>
      <c r="T41" s="22" t="n"/>
      <c r="U41" s="22" t="n"/>
      <c r="V41" s="22" t="n"/>
    </row>
    <row r="42" ht="15" customHeight="1">
      <c r="A42" s="72" t="n"/>
      <c r="B42" s="70">
        <f>IF(C42="","",IFERROR(INDEX(tbl_Finance[Date],MATCH(C42&amp;"",tbl_Finance[Xero Invoice No],0)),""))</f>
        <v/>
      </c>
      <c r="C42" s="22" t="n"/>
      <c r="D42" s="22" t="n"/>
      <c r="E42" s="26">
        <f>IF(D42="","",IF(COUNTIF(lst_Jobs,D42&amp;"")&gt;0,"OK","CHECK"))</f>
        <v/>
      </c>
      <c r="F42" s="22" t="n"/>
      <c r="G42" s="22" t="n"/>
      <c r="H42" s="22" t="n"/>
      <c r="I42" s="22" t="n"/>
      <c r="J42" s="22" t="n"/>
      <c r="K42" s="23" t="n"/>
      <c r="L42" s="23" t="n"/>
      <c r="M42" s="26">
        <f>IF(N42="","",IF(OR(K42="",L42=""),"one month",TEXT(MAX(1,(YEAR(L42)-YEAR(K42))*12+MONTH(L42)-MONTH(K42)+1),"0")&amp;" months - see Deferred Revenue"))</f>
        <v/>
      </c>
      <c r="N42" s="24" t="n"/>
      <c r="O42" s="22" t="n"/>
      <c r="P42" s="26">
        <f>IF(N(N42)=0,"",IF(N42&gt;0,set_WIPAsset,IF(J42="Cost",IF(O42="","(set the P&amp;L Account)",O42),IF(O42="",set_WIPIncome,O42))))</f>
        <v/>
      </c>
      <c r="Q42" s="26">
        <f>IF(N(N42)=0,"",IF(N42&gt;0,IF(J42="Cost",IF(O42="","(set the P&amp;L Account)",O42),IF(O42="",set_WIPIncome,O42)),set_WIPAsset))</f>
        <v/>
      </c>
      <c r="R42" s="27">
        <f>IF(OR(N(N42)=0,K42&lt;&gt;""),"",ABS(N42))</f>
        <v/>
      </c>
      <c r="S42" s="26">
        <f>IF(N(N42)=0,"",IF(K42&lt;&gt;"","spreads monthly - see Deferred Revenue","WIP "&amp;I42&amp;IF(D42="",""," - "&amp;D42)&amp;IF(F42="",""," "&amp;F42)&amp;IF(H42="",""," - "&amp;H42)))</f>
        <v/>
      </c>
      <c r="T42" s="22" t="n"/>
      <c r="U42" s="22" t="n"/>
      <c r="V42" s="22" t="n"/>
    </row>
    <row r="43" ht="15" customHeight="1">
      <c r="A43" s="72" t="n"/>
      <c r="B43" s="70">
        <f>IF(C43="","",IFERROR(INDEX(tbl_Finance[Date],MATCH(C43&amp;"",tbl_Finance[Xero Invoice No],0)),""))</f>
        <v/>
      </c>
      <c r="C43" s="22" t="n"/>
      <c r="D43" s="22" t="n"/>
      <c r="E43" s="26">
        <f>IF(D43="","",IF(COUNTIF(lst_Jobs,D43&amp;"")&gt;0,"OK","CHECK"))</f>
        <v/>
      </c>
      <c r="F43" s="22" t="n"/>
      <c r="G43" s="22" t="n"/>
      <c r="H43" s="22" t="n"/>
      <c r="I43" s="22" t="n"/>
      <c r="J43" s="22" t="n"/>
      <c r="K43" s="23" t="n"/>
      <c r="L43" s="23" t="n"/>
      <c r="M43" s="26">
        <f>IF(N43="","",IF(OR(K43="",L43=""),"one month",TEXT(MAX(1,(YEAR(L43)-YEAR(K43))*12+MONTH(L43)-MONTH(K43)+1),"0")&amp;" months - see Deferred Revenue"))</f>
        <v/>
      </c>
      <c r="N43" s="24" t="n"/>
      <c r="O43" s="22" t="n"/>
      <c r="P43" s="26">
        <f>IF(N(N43)=0,"",IF(N43&gt;0,set_WIPAsset,IF(J43="Cost",IF(O43="","(set the P&amp;L Account)",O43),IF(O43="",set_WIPIncome,O43))))</f>
        <v/>
      </c>
      <c r="Q43" s="26">
        <f>IF(N(N43)=0,"",IF(N43&gt;0,IF(J43="Cost",IF(O43="","(set the P&amp;L Account)",O43),IF(O43="",set_WIPIncome,O43)),set_WIPAsset))</f>
        <v/>
      </c>
      <c r="R43" s="27">
        <f>IF(OR(N(N43)=0,K43&lt;&gt;""),"",ABS(N43))</f>
        <v/>
      </c>
      <c r="S43" s="26">
        <f>IF(N(N43)=0,"",IF(K43&lt;&gt;"","spreads monthly - see Deferred Revenue","WIP "&amp;I43&amp;IF(D43="",""," - "&amp;D43)&amp;IF(F43="",""," "&amp;F43)&amp;IF(H43="",""," - "&amp;H43)))</f>
        <v/>
      </c>
      <c r="T43" s="22" t="n"/>
      <c r="U43" s="22" t="n"/>
      <c r="V43" s="22" t="n"/>
    </row>
    <row r="44" ht="15" customHeight="1">
      <c r="A44" s="72" t="n"/>
      <c r="B44" s="70">
        <f>IF(C44="","",IFERROR(INDEX(tbl_Finance[Date],MATCH(C44&amp;"",tbl_Finance[Xero Invoice No],0)),""))</f>
        <v/>
      </c>
      <c r="C44" s="22" t="n"/>
      <c r="D44" s="22" t="n"/>
      <c r="E44" s="26">
        <f>IF(D44="","",IF(COUNTIF(lst_Jobs,D44&amp;"")&gt;0,"OK","CHECK"))</f>
        <v/>
      </c>
      <c r="F44" s="22" t="n"/>
      <c r="G44" s="22" t="n"/>
      <c r="H44" s="22" t="n"/>
      <c r="I44" s="22" t="n"/>
      <c r="J44" s="22" t="n"/>
      <c r="K44" s="23" t="n"/>
      <c r="L44" s="23" t="n"/>
      <c r="M44" s="26">
        <f>IF(N44="","",IF(OR(K44="",L44=""),"one month",TEXT(MAX(1,(YEAR(L44)-YEAR(K44))*12+MONTH(L44)-MONTH(K44)+1),"0")&amp;" months - see Deferred Revenue"))</f>
        <v/>
      </c>
      <c r="N44" s="24" t="n"/>
      <c r="O44" s="22" t="n"/>
      <c r="P44" s="26">
        <f>IF(N(N44)=0,"",IF(N44&gt;0,set_WIPAsset,IF(J44="Cost",IF(O44="","(set the P&amp;L Account)",O44),IF(O44="",set_WIPIncome,O44))))</f>
        <v/>
      </c>
      <c r="Q44" s="26">
        <f>IF(N(N44)=0,"",IF(N44&gt;0,IF(J44="Cost",IF(O44="","(set the P&amp;L Account)",O44),IF(O44="",set_WIPIncome,O44)),set_WIPAsset))</f>
        <v/>
      </c>
      <c r="R44" s="27">
        <f>IF(OR(N(N44)=0,K44&lt;&gt;""),"",ABS(N44))</f>
        <v/>
      </c>
      <c r="S44" s="26">
        <f>IF(N(N44)=0,"",IF(K44&lt;&gt;"","spreads monthly - see Deferred Revenue","WIP "&amp;I44&amp;IF(D44="",""," - "&amp;D44)&amp;IF(F44="",""," "&amp;F44)&amp;IF(H44="",""," - "&amp;H44)))</f>
        <v/>
      </c>
      <c r="T44" s="22" t="n"/>
      <c r="U44" s="22" t="n"/>
      <c r="V44" s="22" t="n"/>
    </row>
    <row r="45" ht="15" customHeight="1">
      <c r="A45" s="72" t="n"/>
      <c r="B45" s="70">
        <f>IF(C45="","",IFERROR(INDEX(tbl_Finance[Date],MATCH(C45&amp;"",tbl_Finance[Xero Invoice No],0)),""))</f>
        <v/>
      </c>
      <c r="C45" s="22" t="n"/>
      <c r="D45" s="22" t="n"/>
      <c r="E45" s="26">
        <f>IF(D45="","",IF(COUNTIF(lst_Jobs,D45&amp;"")&gt;0,"OK","CHECK"))</f>
        <v/>
      </c>
      <c r="F45" s="22" t="n"/>
      <c r="G45" s="22" t="n"/>
      <c r="H45" s="22" t="n"/>
      <c r="I45" s="22" t="n"/>
      <c r="J45" s="22" t="n"/>
      <c r="K45" s="23" t="n"/>
      <c r="L45" s="23" t="n"/>
      <c r="M45" s="26">
        <f>IF(N45="","",IF(OR(K45="",L45=""),"one month",TEXT(MAX(1,(YEAR(L45)-YEAR(K45))*12+MONTH(L45)-MONTH(K45)+1),"0")&amp;" months - see Deferred Revenue"))</f>
        <v/>
      </c>
      <c r="N45" s="24" t="n"/>
      <c r="O45" s="22" t="n"/>
      <c r="P45" s="26">
        <f>IF(N(N45)=0,"",IF(N45&gt;0,set_WIPAsset,IF(J45="Cost",IF(O45="","(set the P&amp;L Account)",O45),IF(O45="",set_WIPIncome,O45))))</f>
        <v/>
      </c>
      <c r="Q45" s="26">
        <f>IF(N(N45)=0,"",IF(N45&gt;0,IF(J45="Cost",IF(O45="","(set the P&amp;L Account)",O45),IF(O45="",set_WIPIncome,O45)),set_WIPAsset))</f>
        <v/>
      </c>
      <c r="R45" s="27">
        <f>IF(OR(N(N45)=0,K45&lt;&gt;""),"",ABS(N45))</f>
        <v/>
      </c>
      <c r="S45" s="26">
        <f>IF(N(N45)=0,"",IF(K45&lt;&gt;"","spreads monthly - see Deferred Revenue","WIP "&amp;I45&amp;IF(D45="",""," - "&amp;D45)&amp;IF(F45="",""," "&amp;F45)&amp;IF(H45="",""," - "&amp;H45)))</f>
        <v/>
      </c>
      <c r="T45" s="22" t="n"/>
      <c r="U45" s="22" t="n"/>
      <c r="V45" s="22" t="n"/>
    </row>
    <row r="46" ht="15" customHeight="1">
      <c r="A46" s="72" t="n"/>
      <c r="B46" s="70">
        <f>IF(C46="","",IFERROR(INDEX(tbl_Finance[Date],MATCH(C46&amp;"",tbl_Finance[Xero Invoice No],0)),""))</f>
        <v/>
      </c>
      <c r="C46" s="22" t="n"/>
      <c r="D46" s="22" t="n"/>
      <c r="E46" s="26">
        <f>IF(D46="","",IF(COUNTIF(lst_Jobs,D46&amp;"")&gt;0,"OK","CHECK"))</f>
        <v/>
      </c>
      <c r="F46" s="22" t="n"/>
      <c r="G46" s="22" t="n"/>
      <c r="H46" s="22" t="n"/>
      <c r="I46" s="22" t="n"/>
      <c r="J46" s="22" t="n"/>
      <c r="K46" s="23" t="n"/>
      <c r="L46" s="23" t="n"/>
      <c r="M46" s="26">
        <f>IF(N46="","",IF(OR(K46="",L46=""),"one month",TEXT(MAX(1,(YEAR(L46)-YEAR(K46))*12+MONTH(L46)-MONTH(K46)+1),"0")&amp;" months - see Deferred Revenue"))</f>
        <v/>
      </c>
      <c r="N46" s="24" t="n"/>
      <c r="O46" s="22" t="n"/>
      <c r="P46" s="26">
        <f>IF(N(N46)=0,"",IF(N46&gt;0,set_WIPAsset,IF(J46="Cost",IF(O46="","(set the P&amp;L Account)",O46),IF(O46="",set_WIPIncome,O46))))</f>
        <v/>
      </c>
      <c r="Q46" s="26">
        <f>IF(N(N46)=0,"",IF(N46&gt;0,IF(J46="Cost",IF(O46="","(set the P&amp;L Account)",O46),IF(O46="",set_WIPIncome,O46)),set_WIPAsset))</f>
        <v/>
      </c>
      <c r="R46" s="27">
        <f>IF(OR(N(N46)=0,K46&lt;&gt;""),"",ABS(N46))</f>
        <v/>
      </c>
      <c r="S46" s="26">
        <f>IF(N(N46)=0,"",IF(K46&lt;&gt;"","spreads monthly - see Deferred Revenue","WIP "&amp;I46&amp;IF(D46="",""," - "&amp;D46)&amp;IF(F46="",""," "&amp;F46)&amp;IF(H46="",""," - "&amp;H46)))</f>
        <v/>
      </c>
      <c r="T46" s="22" t="n"/>
      <c r="U46" s="22" t="n"/>
      <c r="V46" s="22" t="n"/>
    </row>
    <row r="47" ht="15" customHeight="1">
      <c r="A47" s="72" t="n"/>
      <c r="B47" s="70">
        <f>IF(C47="","",IFERROR(INDEX(tbl_Finance[Date],MATCH(C47&amp;"",tbl_Finance[Xero Invoice No],0)),""))</f>
        <v/>
      </c>
      <c r="C47" s="22" t="n"/>
      <c r="D47" s="22" t="n"/>
      <c r="E47" s="26">
        <f>IF(D47="","",IF(COUNTIF(lst_Jobs,D47&amp;"")&gt;0,"OK","CHECK"))</f>
        <v/>
      </c>
      <c r="F47" s="22" t="n"/>
      <c r="G47" s="22" t="n"/>
      <c r="H47" s="22" t="n"/>
      <c r="I47" s="22" t="n"/>
      <c r="J47" s="22" t="n"/>
      <c r="K47" s="23" t="n"/>
      <c r="L47" s="23" t="n"/>
      <c r="M47" s="26">
        <f>IF(N47="","",IF(OR(K47="",L47=""),"one month",TEXT(MAX(1,(YEAR(L47)-YEAR(K47))*12+MONTH(L47)-MONTH(K47)+1),"0")&amp;" months - see Deferred Revenue"))</f>
        <v/>
      </c>
      <c r="N47" s="24" t="n"/>
      <c r="O47" s="22" t="n"/>
      <c r="P47" s="26">
        <f>IF(N(N47)=0,"",IF(N47&gt;0,set_WIPAsset,IF(J47="Cost",IF(O47="","(set the P&amp;L Account)",O47),IF(O47="",set_WIPIncome,O47))))</f>
        <v/>
      </c>
      <c r="Q47" s="26">
        <f>IF(N(N47)=0,"",IF(N47&gt;0,IF(J47="Cost",IF(O47="","(set the P&amp;L Account)",O47),IF(O47="",set_WIPIncome,O47)),set_WIPAsset))</f>
        <v/>
      </c>
      <c r="R47" s="27">
        <f>IF(OR(N(N47)=0,K47&lt;&gt;""),"",ABS(N47))</f>
        <v/>
      </c>
      <c r="S47" s="26">
        <f>IF(N(N47)=0,"",IF(K47&lt;&gt;"","spreads monthly - see Deferred Revenue","WIP "&amp;I47&amp;IF(D47="",""," - "&amp;D47)&amp;IF(F47="",""," "&amp;F47)&amp;IF(H47="",""," - "&amp;H47)))</f>
        <v/>
      </c>
      <c r="T47" s="22" t="n"/>
      <c r="U47" s="22" t="n"/>
      <c r="V47" s="22" t="n"/>
    </row>
    <row r="48" ht="15" customHeight="1">
      <c r="A48" s="72" t="n"/>
      <c r="B48" s="70">
        <f>IF(C48="","",IFERROR(INDEX(tbl_Finance[Date],MATCH(C48&amp;"",tbl_Finance[Xero Invoice No],0)),""))</f>
        <v/>
      </c>
      <c r="C48" s="22" t="n"/>
      <c r="D48" s="22" t="n"/>
      <c r="E48" s="26">
        <f>IF(D48="","",IF(COUNTIF(lst_Jobs,D48&amp;"")&gt;0,"OK","CHECK"))</f>
        <v/>
      </c>
      <c r="F48" s="22" t="n"/>
      <c r="G48" s="22" t="n"/>
      <c r="H48" s="22" t="n"/>
      <c r="I48" s="22" t="n"/>
      <c r="J48" s="22" t="n"/>
      <c r="K48" s="23" t="n"/>
      <c r="L48" s="23" t="n"/>
      <c r="M48" s="26">
        <f>IF(N48="","",IF(OR(K48="",L48=""),"one month",TEXT(MAX(1,(YEAR(L48)-YEAR(K48))*12+MONTH(L48)-MONTH(K48)+1),"0")&amp;" months - see Deferred Revenue"))</f>
        <v/>
      </c>
      <c r="N48" s="24" t="n"/>
      <c r="O48" s="22" t="n"/>
      <c r="P48" s="26">
        <f>IF(N(N48)=0,"",IF(N48&gt;0,set_WIPAsset,IF(J48="Cost",IF(O48="","(set the P&amp;L Account)",O48),IF(O48="",set_WIPIncome,O48))))</f>
        <v/>
      </c>
      <c r="Q48" s="26">
        <f>IF(N(N48)=0,"",IF(N48&gt;0,IF(J48="Cost",IF(O48="","(set the P&amp;L Account)",O48),IF(O48="",set_WIPIncome,O48)),set_WIPAsset))</f>
        <v/>
      </c>
      <c r="R48" s="27">
        <f>IF(OR(N(N48)=0,K48&lt;&gt;""),"",ABS(N48))</f>
        <v/>
      </c>
      <c r="S48" s="26">
        <f>IF(N(N48)=0,"",IF(K48&lt;&gt;"","spreads monthly - see Deferred Revenue","WIP "&amp;I48&amp;IF(D48="",""," - "&amp;D48)&amp;IF(F48="",""," "&amp;F48)&amp;IF(H48="",""," - "&amp;H48)))</f>
        <v/>
      </c>
      <c r="T48" s="22" t="n"/>
      <c r="U48" s="22" t="n"/>
      <c r="V48" s="22" t="n"/>
    </row>
    <row r="49" ht="15" customHeight="1">
      <c r="A49" s="72" t="n"/>
      <c r="B49" s="70">
        <f>IF(C49="","",IFERROR(INDEX(tbl_Finance[Date],MATCH(C49&amp;"",tbl_Finance[Xero Invoice No],0)),""))</f>
        <v/>
      </c>
      <c r="C49" s="22" t="n"/>
      <c r="D49" s="22" t="n"/>
      <c r="E49" s="26">
        <f>IF(D49="","",IF(COUNTIF(lst_Jobs,D49&amp;"")&gt;0,"OK","CHECK"))</f>
        <v/>
      </c>
      <c r="F49" s="22" t="n"/>
      <c r="G49" s="22" t="n"/>
      <c r="H49" s="22" t="n"/>
      <c r="I49" s="22" t="n"/>
      <c r="J49" s="22" t="n"/>
      <c r="K49" s="23" t="n"/>
      <c r="L49" s="23" t="n"/>
      <c r="M49" s="26">
        <f>IF(N49="","",IF(OR(K49="",L49=""),"one month",TEXT(MAX(1,(YEAR(L49)-YEAR(K49))*12+MONTH(L49)-MONTH(K49)+1),"0")&amp;" months - see Deferred Revenue"))</f>
        <v/>
      </c>
      <c r="N49" s="24" t="n"/>
      <c r="O49" s="22" t="n"/>
      <c r="P49" s="26">
        <f>IF(N(N49)=0,"",IF(N49&gt;0,set_WIPAsset,IF(J49="Cost",IF(O49="","(set the P&amp;L Account)",O49),IF(O49="",set_WIPIncome,O49))))</f>
        <v/>
      </c>
      <c r="Q49" s="26">
        <f>IF(N(N49)=0,"",IF(N49&gt;0,IF(J49="Cost",IF(O49="","(set the P&amp;L Account)",O49),IF(O49="",set_WIPIncome,O49)),set_WIPAsset))</f>
        <v/>
      </c>
      <c r="R49" s="27">
        <f>IF(OR(N(N49)=0,K49&lt;&gt;""),"",ABS(N49))</f>
        <v/>
      </c>
      <c r="S49" s="26">
        <f>IF(N(N49)=0,"",IF(K49&lt;&gt;"","spreads monthly - see Deferred Revenue","WIP "&amp;I49&amp;IF(D49="",""," - "&amp;D49)&amp;IF(F49="",""," "&amp;F49)&amp;IF(H49="",""," - "&amp;H49)))</f>
        <v/>
      </c>
      <c r="T49" s="22" t="n"/>
      <c r="U49" s="22" t="n"/>
      <c r="V49" s="22" t="n"/>
    </row>
    <row r="50" ht="15" customHeight="1">
      <c r="A50" s="72" t="n"/>
      <c r="B50" s="70">
        <f>IF(C50="","",IFERROR(INDEX(tbl_Finance[Date],MATCH(C50&amp;"",tbl_Finance[Xero Invoice No],0)),""))</f>
        <v/>
      </c>
      <c r="C50" s="22" t="n"/>
      <c r="D50" s="22" t="n"/>
      <c r="E50" s="26">
        <f>IF(D50="","",IF(COUNTIF(lst_Jobs,D50&amp;"")&gt;0,"OK","CHECK"))</f>
        <v/>
      </c>
      <c r="F50" s="22" t="n"/>
      <c r="G50" s="22" t="n"/>
      <c r="H50" s="22" t="n"/>
      <c r="I50" s="22" t="n"/>
      <c r="J50" s="22" t="n"/>
      <c r="K50" s="23" t="n"/>
      <c r="L50" s="23" t="n"/>
      <c r="M50" s="26">
        <f>IF(N50="","",IF(OR(K50="",L50=""),"one month",TEXT(MAX(1,(YEAR(L50)-YEAR(K50))*12+MONTH(L50)-MONTH(K50)+1),"0")&amp;" months - see Deferred Revenue"))</f>
        <v/>
      </c>
      <c r="N50" s="24" t="n"/>
      <c r="O50" s="22" t="n"/>
      <c r="P50" s="26">
        <f>IF(N(N50)=0,"",IF(N50&gt;0,set_WIPAsset,IF(J50="Cost",IF(O50="","(set the P&amp;L Account)",O50),IF(O50="",set_WIPIncome,O50))))</f>
        <v/>
      </c>
      <c r="Q50" s="26">
        <f>IF(N(N50)=0,"",IF(N50&gt;0,IF(J50="Cost",IF(O50="","(set the P&amp;L Account)",O50),IF(O50="",set_WIPIncome,O50)),set_WIPAsset))</f>
        <v/>
      </c>
      <c r="R50" s="27">
        <f>IF(OR(N(N50)=0,K50&lt;&gt;""),"",ABS(N50))</f>
        <v/>
      </c>
      <c r="S50" s="26">
        <f>IF(N(N50)=0,"",IF(K50&lt;&gt;"","spreads monthly - see Deferred Revenue","WIP "&amp;I50&amp;IF(D50="",""," - "&amp;D50)&amp;IF(F50="",""," "&amp;F50)&amp;IF(H50="",""," - "&amp;H50)))</f>
        <v/>
      </c>
      <c r="T50" s="22" t="n"/>
      <c r="U50" s="22" t="n"/>
      <c r="V50" s="22" t="n"/>
    </row>
    <row r="51" ht="15" customHeight="1">
      <c r="A51" s="72" t="n"/>
      <c r="B51" s="70">
        <f>IF(C51="","",IFERROR(INDEX(tbl_Finance[Date],MATCH(C51&amp;"",tbl_Finance[Xero Invoice No],0)),""))</f>
        <v/>
      </c>
      <c r="C51" s="22" t="n"/>
      <c r="D51" s="22" t="n"/>
      <c r="E51" s="26">
        <f>IF(D51="","",IF(COUNTIF(lst_Jobs,D51&amp;"")&gt;0,"OK","CHECK"))</f>
        <v/>
      </c>
      <c r="F51" s="22" t="n"/>
      <c r="G51" s="22" t="n"/>
      <c r="H51" s="22" t="n"/>
      <c r="I51" s="22" t="n"/>
      <c r="J51" s="22" t="n"/>
      <c r="K51" s="23" t="n"/>
      <c r="L51" s="23" t="n"/>
      <c r="M51" s="26">
        <f>IF(N51="","",IF(OR(K51="",L51=""),"one month",TEXT(MAX(1,(YEAR(L51)-YEAR(K51))*12+MONTH(L51)-MONTH(K51)+1),"0")&amp;" months - see Deferred Revenue"))</f>
        <v/>
      </c>
      <c r="N51" s="24" t="n"/>
      <c r="O51" s="22" t="n"/>
      <c r="P51" s="26">
        <f>IF(N(N51)=0,"",IF(N51&gt;0,set_WIPAsset,IF(J51="Cost",IF(O51="","(set the P&amp;L Account)",O51),IF(O51="",set_WIPIncome,O51))))</f>
        <v/>
      </c>
      <c r="Q51" s="26">
        <f>IF(N(N51)=0,"",IF(N51&gt;0,IF(J51="Cost",IF(O51="","(set the P&amp;L Account)",O51),IF(O51="",set_WIPIncome,O51)),set_WIPAsset))</f>
        <v/>
      </c>
      <c r="R51" s="27">
        <f>IF(OR(N(N51)=0,K51&lt;&gt;""),"",ABS(N51))</f>
        <v/>
      </c>
      <c r="S51" s="26">
        <f>IF(N(N51)=0,"",IF(K51&lt;&gt;"","spreads monthly - see Deferred Revenue","WIP "&amp;I51&amp;IF(D51="",""," - "&amp;D51)&amp;IF(F51="",""," "&amp;F51)&amp;IF(H51="",""," - "&amp;H51)))</f>
        <v/>
      </c>
      <c r="T51" s="22" t="n"/>
      <c r="U51" s="22" t="n"/>
      <c r="V51" s="22" t="n"/>
    </row>
    <row r="52" ht="15" customHeight="1">
      <c r="A52" s="72" t="n"/>
      <c r="B52" s="70">
        <f>IF(C52="","",IFERROR(INDEX(tbl_Finance[Date],MATCH(C52&amp;"",tbl_Finance[Xero Invoice No],0)),""))</f>
        <v/>
      </c>
      <c r="C52" s="22" t="n"/>
      <c r="D52" s="22" t="n"/>
      <c r="E52" s="26">
        <f>IF(D52="","",IF(COUNTIF(lst_Jobs,D52&amp;"")&gt;0,"OK","CHECK"))</f>
        <v/>
      </c>
      <c r="F52" s="22" t="n"/>
      <c r="G52" s="22" t="n"/>
      <c r="H52" s="22" t="n"/>
      <c r="I52" s="22" t="n"/>
      <c r="J52" s="22" t="n"/>
      <c r="K52" s="23" t="n"/>
      <c r="L52" s="23" t="n"/>
      <c r="M52" s="26">
        <f>IF(N52="","",IF(OR(K52="",L52=""),"one month",TEXT(MAX(1,(YEAR(L52)-YEAR(K52))*12+MONTH(L52)-MONTH(K52)+1),"0")&amp;" months - see Deferred Revenue"))</f>
        <v/>
      </c>
      <c r="N52" s="24" t="n"/>
      <c r="O52" s="22" t="n"/>
      <c r="P52" s="26">
        <f>IF(N(N52)=0,"",IF(N52&gt;0,set_WIPAsset,IF(J52="Cost",IF(O52="","(set the P&amp;L Account)",O52),IF(O52="",set_WIPIncome,O52))))</f>
        <v/>
      </c>
      <c r="Q52" s="26">
        <f>IF(N(N52)=0,"",IF(N52&gt;0,IF(J52="Cost",IF(O52="","(set the P&amp;L Account)",O52),IF(O52="",set_WIPIncome,O52)),set_WIPAsset))</f>
        <v/>
      </c>
      <c r="R52" s="27">
        <f>IF(OR(N(N52)=0,K52&lt;&gt;""),"",ABS(N52))</f>
        <v/>
      </c>
      <c r="S52" s="26">
        <f>IF(N(N52)=0,"",IF(K52&lt;&gt;"","spreads monthly - see Deferred Revenue","WIP "&amp;I52&amp;IF(D52="",""," - "&amp;D52)&amp;IF(F52="",""," "&amp;F52)&amp;IF(H52="",""," - "&amp;H52)))</f>
        <v/>
      </c>
      <c r="T52" s="22" t="n"/>
      <c r="U52" s="22" t="n"/>
      <c r="V52" s="22" t="n"/>
    </row>
    <row r="53" ht="15" customHeight="1">
      <c r="A53" s="72" t="n"/>
      <c r="B53" s="70">
        <f>IF(C53="","",IFERROR(INDEX(tbl_Finance[Date],MATCH(C53&amp;"",tbl_Finance[Xero Invoice No],0)),""))</f>
        <v/>
      </c>
      <c r="C53" s="22" t="n"/>
      <c r="D53" s="22" t="n"/>
      <c r="E53" s="26">
        <f>IF(D53="","",IF(COUNTIF(lst_Jobs,D53&amp;"")&gt;0,"OK","CHECK"))</f>
        <v/>
      </c>
      <c r="F53" s="22" t="n"/>
      <c r="G53" s="22" t="n"/>
      <c r="H53" s="22" t="n"/>
      <c r="I53" s="22" t="n"/>
      <c r="J53" s="22" t="n"/>
      <c r="K53" s="23" t="n"/>
      <c r="L53" s="23" t="n"/>
      <c r="M53" s="26">
        <f>IF(N53="","",IF(OR(K53="",L53=""),"one month",TEXT(MAX(1,(YEAR(L53)-YEAR(K53))*12+MONTH(L53)-MONTH(K53)+1),"0")&amp;" months - see Deferred Revenue"))</f>
        <v/>
      </c>
      <c r="N53" s="24" t="n"/>
      <c r="O53" s="22" t="n"/>
      <c r="P53" s="26">
        <f>IF(N(N53)=0,"",IF(N53&gt;0,set_WIPAsset,IF(J53="Cost",IF(O53="","(set the P&amp;L Account)",O53),IF(O53="",set_WIPIncome,O53))))</f>
        <v/>
      </c>
      <c r="Q53" s="26">
        <f>IF(N(N53)=0,"",IF(N53&gt;0,IF(J53="Cost",IF(O53="","(set the P&amp;L Account)",O53),IF(O53="",set_WIPIncome,O53)),set_WIPAsset))</f>
        <v/>
      </c>
      <c r="R53" s="27">
        <f>IF(OR(N(N53)=0,K53&lt;&gt;""),"",ABS(N53))</f>
        <v/>
      </c>
      <c r="S53" s="26">
        <f>IF(N(N53)=0,"",IF(K53&lt;&gt;"","spreads monthly - see Deferred Revenue","WIP "&amp;I53&amp;IF(D53="",""," - "&amp;D53)&amp;IF(F53="",""," "&amp;F53)&amp;IF(H53="",""," - "&amp;H53)))</f>
        <v/>
      </c>
      <c r="T53" s="22" t="n"/>
      <c r="U53" s="22" t="n"/>
      <c r="V53" s="22" t="n"/>
    </row>
    <row r="54" ht="15" customHeight="1">
      <c r="A54" s="72" t="n"/>
      <c r="B54" s="70">
        <f>IF(C54="","",IFERROR(INDEX(tbl_Finance[Date],MATCH(C54&amp;"",tbl_Finance[Xero Invoice No],0)),""))</f>
        <v/>
      </c>
      <c r="C54" s="22" t="n"/>
      <c r="D54" s="22" t="n"/>
      <c r="E54" s="26">
        <f>IF(D54="","",IF(COUNTIF(lst_Jobs,D54&amp;"")&gt;0,"OK","CHECK"))</f>
        <v/>
      </c>
      <c r="F54" s="22" t="n"/>
      <c r="G54" s="22" t="n"/>
      <c r="H54" s="22" t="n"/>
      <c r="I54" s="22" t="n"/>
      <c r="J54" s="22" t="n"/>
      <c r="K54" s="23" t="n"/>
      <c r="L54" s="23" t="n"/>
      <c r="M54" s="26">
        <f>IF(N54="","",IF(OR(K54="",L54=""),"one month",TEXT(MAX(1,(YEAR(L54)-YEAR(K54))*12+MONTH(L54)-MONTH(K54)+1),"0")&amp;" months - see Deferred Revenue"))</f>
        <v/>
      </c>
      <c r="N54" s="24" t="n"/>
      <c r="O54" s="22" t="n"/>
      <c r="P54" s="26">
        <f>IF(N(N54)=0,"",IF(N54&gt;0,set_WIPAsset,IF(J54="Cost",IF(O54="","(set the P&amp;L Account)",O54),IF(O54="",set_WIPIncome,O54))))</f>
        <v/>
      </c>
      <c r="Q54" s="26">
        <f>IF(N(N54)=0,"",IF(N54&gt;0,IF(J54="Cost",IF(O54="","(set the P&amp;L Account)",O54),IF(O54="",set_WIPIncome,O54)),set_WIPAsset))</f>
        <v/>
      </c>
      <c r="R54" s="27">
        <f>IF(OR(N(N54)=0,K54&lt;&gt;""),"",ABS(N54))</f>
        <v/>
      </c>
      <c r="S54" s="26">
        <f>IF(N(N54)=0,"",IF(K54&lt;&gt;"","spreads monthly - see Deferred Revenue","WIP "&amp;I54&amp;IF(D54="",""," - "&amp;D54)&amp;IF(F54="",""," "&amp;F54)&amp;IF(H54="",""," - "&amp;H54)))</f>
        <v/>
      </c>
      <c r="T54" s="22" t="n"/>
      <c r="U54" s="22" t="n"/>
      <c r="V54" s="22" t="n"/>
    </row>
    <row r="55" ht="15" customHeight="1">
      <c r="A55" s="72" t="n"/>
      <c r="B55" s="70">
        <f>IF(C55="","",IFERROR(INDEX(tbl_Finance[Date],MATCH(C55&amp;"",tbl_Finance[Xero Invoice No],0)),""))</f>
        <v/>
      </c>
      <c r="C55" s="22" t="n"/>
      <c r="D55" s="22" t="n"/>
      <c r="E55" s="26">
        <f>IF(D55="","",IF(COUNTIF(lst_Jobs,D55&amp;"")&gt;0,"OK","CHECK"))</f>
        <v/>
      </c>
      <c r="F55" s="22" t="n"/>
      <c r="G55" s="22" t="n"/>
      <c r="H55" s="22" t="n"/>
      <c r="I55" s="22" t="n"/>
      <c r="J55" s="22" t="n"/>
      <c r="K55" s="23" t="n"/>
      <c r="L55" s="23" t="n"/>
      <c r="M55" s="26">
        <f>IF(N55="","",IF(OR(K55="",L55=""),"one month",TEXT(MAX(1,(YEAR(L55)-YEAR(K55))*12+MONTH(L55)-MONTH(K55)+1),"0")&amp;" months - see Deferred Revenue"))</f>
        <v/>
      </c>
      <c r="N55" s="24" t="n"/>
      <c r="O55" s="22" t="n"/>
      <c r="P55" s="26">
        <f>IF(N(N55)=0,"",IF(N55&gt;0,set_WIPAsset,IF(J55="Cost",IF(O55="","(set the P&amp;L Account)",O55),IF(O55="",set_WIPIncome,O55))))</f>
        <v/>
      </c>
      <c r="Q55" s="26">
        <f>IF(N(N55)=0,"",IF(N55&gt;0,IF(J55="Cost",IF(O55="","(set the P&amp;L Account)",O55),IF(O55="",set_WIPIncome,O55)),set_WIPAsset))</f>
        <v/>
      </c>
      <c r="R55" s="27">
        <f>IF(OR(N(N55)=0,K55&lt;&gt;""),"",ABS(N55))</f>
        <v/>
      </c>
      <c r="S55" s="26">
        <f>IF(N(N55)=0,"",IF(K55&lt;&gt;"","spreads monthly - see Deferred Revenue","WIP "&amp;I55&amp;IF(D55="",""," - "&amp;D55)&amp;IF(F55="",""," "&amp;F55)&amp;IF(H55="",""," - "&amp;H55)))</f>
        <v/>
      </c>
      <c r="T55" s="22" t="n"/>
      <c r="U55" s="22" t="n"/>
      <c r="V55" s="22" t="n"/>
    </row>
    <row r="56" ht="15" customHeight="1">
      <c r="A56" s="72" t="n"/>
      <c r="B56" s="70">
        <f>IF(C56="","",IFERROR(INDEX(tbl_Finance[Date],MATCH(C56&amp;"",tbl_Finance[Xero Invoice No],0)),""))</f>
        <v/>
      </c>
      <c r="C56" s="22" t="n"/>
      <c r="D56" s="22" t="n"/>
      <c r="E56" s="26">
        <f>IF(D56="","",IF(COUNTIF(lst_Jobs,D56&amp;"")&gt;0,"OK","CHECK"))</f>
        <v/>
      </c>
      <c r="F56" s="22" t="n"/>
      <c r="G56" s="22" t="n"/>
      <c r="H56" s="22" t="n"/>
      <c r="I56" s="22" t="n"/>
      <c r="J56" s="22" t="n"/>
      <c r="K56" s="23" t="n"/>
      <c r="L56" s="23" t="n"/>
      <c r="M56" s="26">
        <f>IF(N56="","",IF(OR(K56="",L56=""),"one month",TEXT(MAX(1,(YEAR(L56)-YEAR(K56))*12+MONTH(L56)-MONTH(K56)+1),"0")&amp;" months - see Deferred Revenue"))</f>
        <v/>
      </c>
      <c r="N56" s="24" t="n"/>
      <c r="O56" s="22" t="n"/>
      <c r="P56" s="26">
        <f>IF(N(N56)=0,"",IF(N56&gt;0,set_WIPAsset,IF(J56="Cost",IF(O56="","(set the P&amp;L Account)",O56),IF(O56="",set_WIPIncome,O56))))</f>
        <v/>
      </c>
      <c r="Q56" s="26">
        <f>IF(N(N56)=0,"",IF(N56&gt;0,IF(J56="Cost",IF(O56="","(set the P&amp;L Account)",O56),IF(O56="",set_WIPIncome,O56)),set_WIPAsset))</f>
        <v/>
      </c>
      <c r="R56" s="27">
        <f>IF(OR(N(N56)=0,K56&lt;&gt;""),"",ABS(N56))</f>
        <v/>
      </c>
      <c r="S56" s="26">
        <f>IF(N(N56)=0,"",IF(K56&lt;&gt;"","spreads monthly - see Deferred Revenue","WIP "&amp;I56&amp;IF(D56="",""," - "&amp;D56)&amp;IF(F56="",""," "&amp;F56)&amp;IF(H56="",""," - "&amp;H56)))</f>
        <v/>
      </c>
      <c r="T56" s="22" t="n"/>
      <c r="U56" s="22" t="n"/>
      <c r="V56" s="22" t="n"/>
    </row>
    <row r="57" ht="15" customHeight="1">
      <c r="A57" s="72" t="n"/>
      <c r="B57" s="70">
        <f>IF(C57="","",IFERROR(INDEX(tbl_Finance[Date],MATCH(C57&amp;"",tbl_Finance[Xero Invoice No],0)),""))</f>
        <v/>
      </c>
      <c r="C57" s="22" t="n"/>
      <c r="D57" s="22" t="n"/>
      <c r="E57" s="26">
        <f>IF(D57="","",IF(COUNTIF(lst_Jobs,D57&amp;"")&gt;0,"OK","CHECK"))</f>
        <v/>
      </c>
      <c r="F57" s="22" t="n"/>
      <c r="G57" s="22" t="n"/>
      <c r="H57" s="22" t="n"/>
      <c r="I57" s="22" t="n"/>
      <c r="J57" s="22" t="n"/>
      <c r="K57" s="23" t="n"/>
      <c r="L57" s="23" t="n"/>
      <c r="M57" s="26">
        <f>IF(N57="","",IF(OR(K57="",L57=""),"one month",TEXT(MAX(1,(YEAR(L57)-YEAR(K57))*12+MONTH(L57)-MONTH(K57)+1),"0")&amp;" months - see Deferred Revenue"))</f>
        <v/>
      </c>
      <c r="N57" s="24" t="n"/>
      <c r="O57" s="22" t="n"/>
      <c r="P57" s="26">
        <f>IF(N(N57)=0,"",IF(N57&gt;0,set_WIPAsset,IF(J57="Cost",IF(O57="","(set the P&amp;L Account)",O57),IF(O57="",set_WIPIncome,O57))))</f>
        <v/>
      </c>
      <c r="Q57" s="26">
        <f>IF(N(N57)=0,"",IF(N57&gt;0,IF(J57="Cost",IF(O57="","(set the P&amp;L Account)",O57),IF(O57="",set_WIPIncome,O57)),set_WIPAsset))</f>
        <v/>
      </c>
      <c r="R57" s="27">
        <f>IF(OR(N(N57)=0,K57&lt;&gt;""),"",ABS(N57))</f>
        <v/>
      </c>
      <c r="S57" s="26">
        <f>IF(N(N57)=0,"",IF(K57&lt;&gt;"","spreads monthly - see Deferred Revenue","WIP "&amp;I57&amp;IF(D57="",""," - "&amp;D57)&amp;IF(F57="",""," "&amp;F57)&amp;IF(H57="",""," - "&amp;H57)))</f>
        <v/>
      </c>
      <c r="T57" s="22" t="n"/>
      <c r="U57" s="22" t="n"/>
      <c r="V57" s="22" t="n"/>
    </row>
    <row r="58" ht="15" customHeight="1">
      <c r="A58" s="72" t="n"/>
      <c r="B58" s="70">
        <f>IF(C58="","",IFERROR(INDEX(tbl_Finance[Date],MATCH(C58&amp;"",tbl_Finance[Xero Invoice No],0)),""))</f>
        <v/>
      </c>
      <c r="C58" s="22" t="n"/>
      <c r="D58" s="22" t="n"/>
      <c r="E58" s="26">
        <f>IF(D58="","",IF(COUNTIF(lst_Jobs,D58&amp;"")&gt;0,"OK","CHECK"))</f>
        <v/>
      </c>
      <c r="F58" s="22" t="n"/>
      <c r="G58" s="22" t="n"/>
      <c r="H58" s="22" t="n"/>
      <c r="I58" s="22" t="n"/>
      <c r="J58" s="22" t="n"/>
      <c r="K58" s="23" t="n"/>
      <c r="L58" s="23" t="n"/>
      <c r="M58" s="26">
        <f>IF(N58="","",IF(OR(K58="",L58=""),"one month",TEXT(MAX(1,(YEAR(L58)-YEAR(K58))*12+MONTH(L58)-MONTH(K58)+1),"0")&amp;" months - see Deferred Revenue"))</f>
        <v/>
      </c>
      <c r="N58" s="24" t="n"/>
      <c r="O58" s="22" t="n"/>
      <c r="P58" s="26">
        <f>IF(N(N58)=0,"",IF(N58&gt;0,set_WIPAsset,IF(J58="Cost",IF(O58="","(set the P&amp;L Account)",O58),IF(O58="",set_WIPIncome,O58))))</f>
        <v/>
      </c>
      <c r="Q58" s="26">
        <f>IF(N(N58)=0,"",IF(N58&gt;0,IF(J58="Cost",IF(O58="","(set the P&amp;L Account)",O58),IF(O58="",set_WIPIncome,O58)),set_WIPAsset))</f>
        <v/>
      </c>
      <c r="R58" s="27">
        <f>IF(OR(N(N58)=0,K58&lt;&gt;""),"",ABS(N58))</f>
        <v/>
      </c>
      <c r="S58" s="26">
        <f>IF(N(N58)=0,"",IF(K58&lt;&gt;"","spreads monthly - see Deferred Revenue","WIP "&amp;I58&amp;IF(D58="",""," - "&amp;D58)&amp;IF(F58="",""," "&amp;F58)&amp;IF(H58="",""," - "&amp;H58)))</f>
        <v/>
      </c>
      <c r="T58" s="22" t="n"/>
      <c r="U58" s="22" t="n"/>
      <c r="V58" s="22" t="n"/>
    </row>
    <row r="59" ht="15" customHeight="1">
      <c r="A59" s="72" t="n"/>
      <c r="B59" s="70">
        <f>IF(C59="","",IFERROR(INDEX(tbl_Finance[Date],MATCH(C59&amp;"",tbl_Finance[Xero Invoice No],0)),""))</f>
        <v/>
      </c>
      <c r="C59" s="22" t="n"/>
      <c r="D59" s="22" t="n"/>
      <c r="E59" s="26">
        <f>IF(D59="","",IF(COUNTIF(lst_Jobs,D59&amp;"")&gt;0,"OK","CHECK"))</f>
        <v/>
      </c>
      <c r="F59" s="22" t="n"/>
      <c r="G59" s="22" t="n"/>
      <c r="H59" s="22" t="n"/>
      <c r="I59" s="22" t="n"/>
      <c r="J59" s="22" t="n"/>
      <c r="K59" s="23" t="n"/>
      <c r="L59" s="23" t="n"/>
      <c r="M59" s="26">
        <f>IF(N59="","",IF(OR(K59="",L59=""),"one month",TEXT(MAX(1,(YEAR(L59)-YEAR(K59))*12+MONTH(L59)-MONTH(K59)+1),"0")&amp;" months - see Deferred Revenue"))</f>
        <v/>
      </c>
      <c r="N59" s="24" t="n"/>
      <c r="O59" s="22" t="n"/>
      <c r="P59" s="26">
        <f>IF(N(N59)=0,"",IF(N59&gt;0,set_WIPAsset,IF(J59="Cost",IF(O59="","(set the P&amp;L Account)",O59),IF(O59="",set_WIPIncome,O59))))</f>
        <v/>
      </c>
      <c r="Q59" s="26">
        <f>IF(N(N59)=0,"",IF(N59&gt;0,IF(J59="Cost",IF(O59="","(set the P&amp;L Account)",O59),IF(O59="",set_WIPIncome,O59)),set_WIPAsset))</f>
        <v/>
      </c>
      <c r="R59" s="27">
        <f>IF(OR(N(N59)=0,K59&lt;&gt;""),"",ABS(N59))</f>
        <v/>
      </c>
      <c r="S59" s="26">
        <f>IF(N(N59)=0,"",IF(K59&lt;&gt;"","spreads monthly - see Deferred Revenue","WIP "&amp;I59&amp;IF(D59="",""," - "&amp;D59)&amp;IF(F59="",""," "&amp;F59)&amp;IF(H59="",""," - "&amp;H59)))</f>
        <v/>
      </c>
      <c r="T59" s="22" t="n"/>
      <c r="U59" s="22" t="n"/>
      <c r="V59" s="22" t="n"/>
    </row>
    <row r="60" ht="15" customHeight="1">
      <c r="A60" s="72" t="n"/>
      <c r="B60" s="70">
        <f>IF(C60="","",IFERROR(INDEX(tbl_Finance[Date],MATCH(C60&amp;"",tbl_Finance[Xero Invoice No],0)),""))</f>
        <v/>
      </c>
      <c r="C60" s="22" t="n"/>
      <c r="D60" s="22" t="n"/>
      <c r="E60" s="26">
        <f>IF(D60="","",IF(COUNTIF(lst_Jobs,D60&amp;"")&gt;0,"OK","CHECK"))</f>
        <v/>
      </c>
      <c r="F60" s="22" t="n"/>
      <c r="G60" s="22" t="n"/>
      <c r="H60" s="22" t="n"/>
      <c r="I60" s="22" t="n"/>
      <c r="J60" s="22" t="n"/>
      <c r="K60" s="23" t="n"/>
      <c r="L60" s="23" t="n"/>
      <c r="M60" s="26">
        <f>IF(N60="","",IF(OR(K60="",L60=""),"one month",TEXT(MAX(1,(YEAR(L60)-YEAR(K60))*12+MONTH(L60)-MONTH(K60)+1),"0")&amp;" months - see Deferred Revenue"))</f>
        <v/>
      </c>
      <c r="N60" s="24" t="n"/>
      <c r="O60" s="22" t="n"/>
      <c r="P60" s="26">
        <f>IF(N(N60)=0,"",IF(N60&gt;0,set_WIPAsset,IF(J60="Cost",IF(O60="","(set the P&amp;L Account)",O60),IF(O60="",set_WIPIncome,O60))))</f>
        <v/>
      </c>
      <c r="Q60" s="26">
        <f>IF(N(N60)=0,"",IF(N60&gt;0,IF(J60="Cost",IF(O60="","(set the P&amp;L Account)",O60),IF(O60="",set_WIPIncome,O60)),set_WIPAsset))</f>
        <v/>
      </c>
      <c r="R60" s="27">
        <f>IF(OR(N(N60)=0,K60&lt;&gt;""),"",ABS(N60))</f>
        <v/>
      </c>
      <c r="S60" s="26">
        <f>IF(N(N60)=0,"",IF(K60&lt;&gt;"","spreads monthly - see Deferred Revenue","WIP "&amp;I60&amp;IF(D60="",""," - "&amp;D60)&amp;IF(F60="",""," "&amp;F60)&amp;IF(H60="",""," - "&amp;H60)))</f>
        <v/>
      </c>
      <c r="T60" s="22" t="n"/>
      <c r="U60" s="22" t="n"/>
      <c r="V60" s="22" t="n"/>
    </row>
    <row r="61" ht="15" customHeight="1">
      <c r="A61" s="72" t="n"/>
      <c r="B61" s="70">
        <f>IF(C61="","",IFERROR(INDEX(tbl_Finance[Date],MATCH(C61&amp;"",tbl_Finance[Xero Invoice No],0)),""))</f>
        <v/>
      </c>
      <c r="C61" s="22" t="n"/>
      <c r="D61" s="22" t="n"/>
      <c r="E61" s="26">
        <f>IF(D61="","",IF(COUNTIF(lst_Jobs,D61&amp;"")&gt;0,"OK","CHECK"))</f>
        <v/>
      </c>
      <c r="F61" s="22" t="n"/>
      <c r="G61" s="22" t="n"/>
      <c r="H61" s="22" t="n"/>
      <c r="I61" s="22" t="n"/>
      <c r="J61" s="22" t="n"/>
      <c r="K61" s="23" t="n"/>
      <c r="L61" s="23" t="n"/>
      <c r="M61" s="26">
        <f>IF(N61="","",IF(OR(K61="",L61=""),"one month",TEXT(MAX(1,(YEAR(L61)-YEAR(K61))*12+MONTH(L61)-MONTH(K61)+1),"0")&amp;" months - see Deferred Revenue"))</f>
        <v/>
      </c>
      <c r="N61" s="24" t="n"/>
      <c r="O61" s="22" t="n"/>
      <c r="P61" s="26">
        <f>IF(N(N61)=0,"",IF(N61&gt;0,set_WIPAsset,IF(J61="Cost",IF(O61="","(set the P&amp;L Account)",O61),IF(O61="",set_WIPIncome,O61))))</f>
        <v/>
      </c>
      <c r="Q61" s="26">
        <f>IF(N(N61)=0,"",IF(N61&gt;0,IF(J61="Cost",IF(O61="","(set the P&amp;L Account)",O61),IF(O61="",set_WIPIncome,O61)),set_WIPAsset))</f>
        <v/>
      </c>
      <c r="R61" s="27">
        <f>IF(OR(N(N61)=0,K61&lt;&gt;""),"",ABS(N61))</f>
        <v/>
      </c>
      <c r="S61" s="26">
        <f>IF(N(N61)=0,"",IF(K61&lt;&gt;"","spreads monthly - see Deferred Revenue","WIP "&amp;I61&amp;IF(D61="",""," - "&amp;D61)&amp;IF(F61="",""," "&amp;F61)&amp;IF(H61="",""," - "&amp;H61)))</f>
        <v/>
      </c>
      <c r="T61" s="22" t="n"/>
      <c r="U61" s="22" t="n"/>
      <c r="V61" s="22" t="n"/>
    </row>
    <row r="62" ht="15" customHeight="1">
      <c r="A62" s="72" t="n"/>
      <c r="B62" s="70">
        <f>IF(C62="","",IFERROR(INDEX(tbl_Finance[Date],MATCH(C62&amp;"",tbl_Finance[Xero Invoice No],0)),""))</f>
        <v/>
      </c>
      <c r="C62" s="22" t="n"/>
      <c r="D62" s="22" t="n"/>
      <c r="E62" s="26">
        <f>IF(D62="","",IF(COUNTIF(lst_Jobs,D62&amp;"")&gt;0,"OK","CHECK"))</f>
        <v/>
      </c>
      <c r="F62" s="22" t="n"/>
      <c r="G62" s="22" t="n"/>
      <c r="H62" s="22" t="n"/>
      <c r="I62" s="22" t="n"/>
      <c r="J62" s="22" t="n"/>
      <c r="K62" s="23" t="n"/>
      <c r="L62" s="23" t="n"/>
      <c r="M62" s="26">
        <f>IF(N62="","",IF(OR(K62="",L62=""),"one month",TEXT(MAX(1,(YEAR(L62)-YEAR(K62))*12+MONTH(L62)-MONTH(K62)+1),"0")&amp;" months - see Deferred Revenue"))</f>
        <v/>
      </c>
      <c r="N62" s="24" t="n"/>
      <c r="O62" s="22" t="n"/>
      <c r="P62" s="26">
        <f>IF(N(N62)=0,"",IF(N62&gt;0,set_WIPAsset,IF(J62="Cost",IF(O62="","(set the P&amp;L Account)",O62),IF(O62="",set_WIPIncome,O62))))</f>
        <v/>
      </c>
      <c r="Q62" s="26">
        <f>IF(N(N62)=0,"",IF(N62&gt;0,IF(J62="Cost",IF(O62="","(set the P&amp;L Account)",O62),IF(O62="",set_WIPIncome,O62)),set_WIPAsset))</f>
        <v/>
      </c>
      <c r="R62" s="27">
        <f>IF(OR(N(N62)=0,K62&lt;&gt;""),"",ABS(N62))</f>
        <v/>
      </c>
      <c r="S62" s="26">
        <f>IF(N(N62)=0,"",IF(K62&lt;&gt;"","spreads monthly - see Deferred Revenue","WIP "&amp;I62&amp;IF(D62="",""," - "&amp;D62)&amp;IF(F62="",""," "&amp;F62)&amp;IF(H62="",""," - "&amp;H62)))</f>
        <v/>
      </c>
      <c r="T62" s="22" t="n"/>
      <c r="U62" s="22" t="n"/>
      <c r="V62" s="22" t="n"/>
    </row>
    <row r="63" ht="15" customHeight="1">
      <c r="A63" s="72" t="n"/>
      <c r="B63" s="70">
        <f>IF(C63="","",IFERROR(INDEX(tbl_Finance[Date],MATCH(C63&amp;"",tbl_Finance[Xero Invoice No],0)),""))</f>
        <v/>
      </c>
      <c r="C63" s="22" t="n"/>
      <c r="D63" s="22" t="n"/>
      <c r="E63" s="26">
        <f>IF(D63="","",IF(COUNTIF(lst_Jobs,D63&amp;"")&gt;0,"OK","CHECK"))</f>
        <v/>
      </c>
      <c r="F63" s="22" t="n"/>
      <c r="G63" s="22" t="n"/>
      <c r="H63" s="22" t="n"/>
      <c r="I63" s="22" t="n"/>
      <c r="J63" s="22" t="n"/>
      <c r="K63" s="23" t="n"/>
      <c r="L63" s="23" t="n"/>
      <c r="M63" s="26">
        <f>IF(N63="","",IF(OR(K63="",L63=""),"one month",TEXT(MAX(1,(YEAR(L63)-YEAR(K63))*12+MONTH(L63)-MONTH(K63)+1),"0")&amp;" months - see Deferred Revenue"))</f>
        <v/>
      </c>
      <c r="N63" s="24" t="n"/>
      <c r="O63" s="22" t="n"/>
      <c r="P63" s="26">
        <f>IF(N(N63)=0,"",IF(N63&gt;0,set_WIPAsset,IF(J63="Cost",IF(O63="","(set the P&amp;L Account)",O63),IF(O63="",set_WIPIncome,O63))))</f>
        <v/>
      </c>
      <c r="Q63" s="26">
        <f>IF(N(N63)=0,"",IF(N63&gt;0,IF(J63="Cost",IF(O63="","(set the P&amp;L Account)",O63),IF(O63="",set_WIPIncome,O63)),set_WIPAsset))</f>
        <v/>
      </c>
      <c r="R63" s="27">
        <f>IF(OR(N(N63)=0,K63&lt;&gt;""),"",ABS(N63))</f>
        <v/>
      </c>
      <c r="S63" s="26">
        <f>IF(N(N63)=0,"",IF(K63&lt;&gt;"","spreads monthly - see Deferred Revenue","WIP "&amp;I63&amp;IF(D63="",""," - "&amp;D63)&amp;IF(F63="",""," "&amp;F63)&amp;IF(H63="",""," - "&amp;H63)))</f>
        <v/>
      </c>
      <c r="T63" s="22" t="n"/>
      <c r="U63" s="22" t="n"/>
      <c r="V63" s="22" t="n"/>
    </row>
    <row r="64" ht="15" customHeight="1">
      <c r="A64" s="72" t="n"/>
      <c r="B64" s="70">
        <f>IF(C64="","",IFERROR(INDEX(tbl_Finance[Date],MATCH(C64&amp;"",tbl_Finance[Xero Invoice No],0)),""))</f>
        <v/>
      </c>
      <c r="C64" s="22" t="n"/>
      <c r="D64" s="22" t="n"/>
      <c r="E64" s="26">
        <f>IF(D64="","",IF(COUNTIF(lst_Jobs,D64&amp;"")&gt;0,"OK","CHECK"))</f>
        <v/>
      </c>
      <c r="F64" s="22" t="n"/>
      <c r="G64" s="22" t="n"/>
      <c r="H64" s="22" t="n"/>
      <c r="I64" s="22" t="n"/>
      <c r="J64" s="22" t="n"/>
      <c r="K64" s="23" t="n"/>
      <c r="L64" s="23" t="n"/>
      <c r="M64" s="26">
        <f>IF(N64="","",IF(OR(K64="",L64=""),"one month",TEXT(MAX(1,(YEAR(L64)-YEAR(K64))*12+MONTH(L64)-MONTH(K64)+1),"0")&amp;" months - see Deferred Revenue"))</f>
        <v/>
      </c>
      <c r="N64" s="24" t="n"/>
      <c r="O64" s="22" t="n"/>
      <c r="P64" s="26">
        <f>IF(N(N64)=0,"",IF(N64&gt;0,set_WIPAsset,IF(J64="Cost",IF(O64="","(set the P&amp;L Account)",O64),IF(O64="",set_WIPIncome,O64))))</f>
        <v/>
      </c>
      <c r="Q64" s="26">
        <f>IF(N(N64)=0,"",IF(N64&gt;0,IF(J64="Cost",IF(O64="","(set the P&amp;L Account)",O64),IF(O64="",set_WIPIncome,O64)),set_WIPAsset))</f>
        <v/>
      </c>
      <c r="R64" s="27">
        <f>IF(OR(N(N64)=0,K64&lt;&gt;""),"",ABS(N64))</f>
        <v/>
      </c>
      <c r="S64" s="26">
        <f>IF(N(N64)=0,"",IF(K64&lt;&gt;"","spreads monthly - see Deferred Revenue","WIP "&amp;I64&amp;IF(D64="",""," - "&amp;D64)&amp;IF(F64="",""," "&amp;F64)&amp;IF(H64="",""," - "&amp;H64)))</f>
        <v/>
      </c>
      <c r="T64" s="22" t="n"/>
      <c r="U64" s="22" t="n"/>
      <c r="V64" s="22" t="n"/>
    </row>
    <row r="65" ht="15" customHeight="1">
      <c r="A65" s="72" t="n"/>
      <c r="B65" s="70">
        <f>IF(C65="","",IFERROR(INDEX(tbl_Finance[Date],MATCH(C65&amp;"",tbl_Finance[Xero Invoice No],0)),""))</f>
        <v/>
      </c>
      <c r="C65" s="22" t="n"/>
      <c r="D65" s="22" t="n"/>
      <c r="E65" s="26">
        <f>IF(D65="","",IF(COUNTIF(lst_Jobs,D65&amp;"")&gt;0,"OK","CHECK"))</f>
        <v/>
      </c>
      <c r="F65" s="22" t="n"/>
      <c r="G65" s="22" t="n"/>
      <c r="H65" s="22" t="n"/>
      <c r="I65" s="22" t="n"/>
      <c r="J65" s="22" t="n"/>
      <c r="K65" s="23" t="n"/>
      <c r="L65" s="23" t="n"/>
      <c r="M65" s="26">
        <f>IF(N65="","",IF(OR(K65="",L65=""),"one month",TEXT(MAX(1,(YEAR(L65)-YEAR(K65))*12+MONTH(L65)-MONTH(K65)+1),"0")&amp;" months - see Deferred Revenue"))</f>
        <v/>
      </c>
      <c r="N65" s="24" t="n"/>
      <c r="O65" s="22" t="n"/>
      <c r="P65" s="26">
        <f>IF(N(N65)=0,"",IF(N65&gt;0,set_WIPAsset,IF(J65="Cost",IF(O65="","(set the P&amp;L Account)",O65),IF(O65="",set_WIPIncome,O65))))</f>
        <v/>
      </c>
      <c r="Q65" s="26">
        <f>IF(N(N65)=0,"",IF(N65&gt;0,IF(J65="Cost",IF(O65="","(set the P&amp;L Account)",O65),IF(O65="",set_WIPIncome,O65)),set_WIPAsset))</f>
        <v/>
      </c>
      <c r="R65" s="27">
        <f>IF(OR(N(N65)=0,K65&lt;&gt;""),"",ABS(N65))</f>
        <v/>
      </c>
      <c r="S65" s="26">
        <f>IF(N(N65)=0,"",IF(K65&lt;&gt;"","spreads monthly - see Deferred Revenue","WIP "&amp;I65&amp;IF(D65="",""," - "&amp;D65)&amp;IF(F65="",""," "&amp;F65)&amp;IF(H65="",""," - "&amp;H65)))</f>
        <v/>
      </c>
      <c r="T65" s="22" t="n"/>
      <c r="U65" s="22" t="n"/>
      <c r="V65" s="22" t="n"/>
    </row>
    <row r="66" ht="15" customHeight="1">
      <c r="A66" s="72" t="n"/>
      <c r="B66" s="70">
        <f>IF(C66="","",IFERROR(INDEX(tbl_Finance[Date],MATCH(C66&amp;"",tbl_Finance[Xero Invoice No],0)),""))</f>
        <v/>
      </c>
      <c r="C66" s="22" t="n"/>
      <c r="D66" s="22" t="n"/>
      <c r="E66" s="26">
        <f>IF(D66="","",IF(COUNTIF(lst_Jobs,D66&amp;"")&gt;0,"OK","CHECK"))</f>
        <v/>
      </c>
      <c r="F66" s="22" t="n"/>
      <c r="G66" s="22" t="n"/>
      <c r="H66" s="22" t="n"/>
      <c r="I66" s="22" t="n"/>
      <c r="J66" s="22" t="n"/>
      <c r="K66" s="23" t="n"/>
      <c r="L66" s="23" t="n"/>
      <c r="M66" s="26">
        <f>IF(N66="","",IF(OR(K66="",L66=""),"one month",TEXT(MAX(1,(YEAR(L66)-YEAR(K66))*12+MONTH(L66)-MONTH(K66)+1),"0")&amp;" months - see Deferred Revenue"))</f>
        <v/>
      </c>
      <c r="N66" s="24" t="n"/>
      <c r="O66" s="22" t="n"/>
      <c r="P66" s="26">
        <f>IF(N(N66)=0,"",IF(N66&gt;0,set_WIPAsset,IF(J66="Cost",IF(O66="","(set the P&amp;L Account)",O66),IF(O66="",set_WIPIncome,O66))))</f>
        <v/>
      </c>
      <c r="Q66" s="26">
        <f>IF(N(N66)=0,"",IF(N66&gt;0,IF(J66="Cost",IF(O66="","(set the P&amp;L Account)",O66),IF(O66="",set_WIPIncome,O66)),set_WIPAsset))</f>
        <v/>
      </c>
      <c r="R66" s="27">
        <f>IF(OR(N(N66)=0,K66&lt;&gt;""),"",ABS(N66))</f>
        <v/>
      </c>
      <c r="S66" s="26">
        <f>IF(N(N66)=0,"",IF(K66&lt;&gt;"","spreads monthly - see Deferred Revenue","WIP "&amp;I66&amp;IF(D66="",""," - "&amp;D66)&amp;IF(F66="",""," "&amp;F66)&amp;IF(H66="",""," - "&amp;H66)))</f>
        <v/>
      </c>
      <c r="T66" s="22" t="n"/>
      <c r="U66" s="22" t="n"/>
      <c r="V66" s="22" t="n"/>
    </row>
    <row r="67" ht="15" customHeight="1">
      <c r="A67" s="72" t="n"/>
      <c r="B67" s="70">
        <f>IF(C67="","",IFERROR(INDEX(tbl_Finance[Date],MATCH(C67&amp;"",tbl_Finance[Xero Invoice No],0)),""))</f>
        <v/>
      </c>
      <c r="C67" s="22" t="n"/>
      <c r="D67" s="22" t="n"/>
      <c r="E67" s="26">
        <f>IF(D67="","",IF(COUNTIF(lst_Jobs,D67&amp;"")&gt;0,"OK","CHECK"))</f>
        <v/>
      </c>
      <c r="F67" s="22" t="n"/>
      <c r="G67" s="22" t="n"/>
      <c r="H67" s="22" t="n"/>
      <c r="I67" s="22" t="n"/>
      <c r="J67" s="22" t="n"/>
      <c r="K67" s="23" t="n"/>
      <c r="L67" s="23" t="n"/>
      <c r="M67" s="26">
        <f>IF(N67="","",IF(OR(K67="",L67=""),"one month",TEXT(MAX(1,(YEAR(L67)-YEAR(K67))*12+MONTH(L67)-MONTH(K67)+1),"0")&amp;" months - see Deferred Revenue"))</f>
        <v/>
      </c>
      <c r="N67" s="24" t="n"/>
      <c r="O67" s="22" t="n"/>
      <c r="P67" s="26">
        <f>IF(N(N67)=0,"",IF(N67&gt;0,set_WIPAsset,IF(J67="Cost",IF(O67="","(set the P&amp;L Account)",O67),IF(O67="",set_WIPIncome,O67))))</f>
        <v/>
      </c>
      <c r="Q67" s="26">
        <f>IF(N(N67)=0,"",IF(N67&gt;0,IF(J67="Cost",IF(O67="","(set the P&amp;L Account)",O67),IF(O67="",set_WIPIncome,O67)),set_WIPAsset))</f>
        <v/>
      </c>
      <c r="R67" s="27">
        <f>IF(OR(N(N67)=0,K67&lt;&gt;""),"",ABS(N67))</f>
        <v/>
      </c>
      <c r="S67" s="26">
        <f>IF(N(N67)=0,"",IF(K67&lt;&gt;"","spreads monthly - see Deferred Revenue","WIP "&amp;I67&amp;IF(D67="",""," - "&amp;D67)&amp;IF(F67="",""," "&amp;F67)&amp;IF(H67="",""," - "&amp;H67)))</f>
        <v/>
      </c>
      <c r="T67" s="22" t="n"/>
      <c r="U67" s="22" t="n"/>
      <c r="V67" s="22" t="n"/>
    </row>
    <row r="68" ht="15" customHeight="1">
      <c r="A68" s="72" t="n"/>
      <c r="B68" s="70">
        <f>IF(C68="","",IFERROR(INDEX(tbl_Finance[Date],MATCH(C68&amp;"",tbl_Finance[Xero Invoice No],0)),""))</f>
        <v/>
      </c>
      <c r="C68" s="22" t="n"/>
      <c r="D68" s="22" t="n"/>
      <c r="E68" s="26">
        <f>IF(D68="","",IF(COUNTIF(lst_Jobs,D68&amp;"")&gt;0,"OK","CHECK"))</f>
        <v/>
      </c>
      <c r="F68" s="22" t="n"/>
      <c r="G68" s="22" t="n"/>
      <c r="H68" s="22" t="n"/>
      <c r="I68" s="22" t="n"/>
      <c r="J68" s="22" t="n"/>
      <c r="K68" s="23" t="n"/>
      <c r="L68" s="23" t="n"/>
      <c r="M68" s="26">
        <f>IF(N68="","",IF(OR(K68="",L68=""),"one month",TEXT(MAX(1,(YEAR(L68)-YEAR(K68))*12+MONTH(L68)-MONTH(K68)+1),"0")&amp;" months - see Deferred Revenue"))</f>
        <v/>
      </c>
      <c r="N68" s="24" t="n"/>
      <c r="O68" s="22" t="n"/>
      <c r="P68" s="26">
        <f>IF(N(N68)=0,"",IF(N68&gt;0,set_WIPAsset,IF(J68="Cost",IF(O68="","(set the P&amp;L Account)",O68),IF(O68="",set_WIPIncome,O68))))</f>
        <v/>
      </c>
      <c r="Q68" s="26">
        <f>IF(N(N68)=0,"",IF(N68&gt;0,IF(J68="Cost",IF(O68="","(set the P&amp;L Account)",O68),IF(O68="",set_WIPIncome,O68)),set_WIPAsset))</f>
        <v/>
      </c>
      <c r="R68" s="27">
        <f>IF(OR(N(N68)=0,K68&lt;&gt;""),"",ABS(N68))</f>
        <v/>
      </c>
      <c r="S68" s="26">
        <f>IF(N(N68)=0,"",IF(K68&lt;&gt;"","spreads monthly - see Deferred Revenue","WIP "&amp;I68&amp;IF(D68="",""," - "&amp;D68)&amp;IF(F68="",""," "&amp;F68)&amp;IF(H68="",""," - "&amp;H68)))</f>
        <v/>
      </c>
      <c r="T68" s="22" t="n"/>
      <c r="U68" s="22" t="n"/>
      <c r="V68" s="22" t="n"/>
    </row>
    <row r="69" ht="15" customHeight="1">
      <c r="A69" s="72" t="n"/>
      <c r="B69" s="70">
        <f>IF(C69="","",IFERROR(INDEX(tbl_Finance[Date],MATCH(C69&amp;"",tbl_Finance[Xero Invoice No],0)),""))</f>
        <v/>
      </c>
      <c r="C69" s="22" t="n"/>
      <c r="D69" s="22" t="n"/>
      <c r="E69" s="26">
        <f>IF(D69="","",IF(COUNTIF(lst_Jobs,D69&amp;"")&gt;0,"OK","CHECK"))</f>
        <v/>
      </c>
      <c r="F69" s="22" t="n"/>
      <c r="G69" s="22" t="n"/>
      <c r="H69" s="22" t="n"/>
      <c r="I69" s="22" t="n"/>
      <c r="J69" s="22" t="n"/>
      <c r="K69" s="23" t="n"/>
      <c r="L69" s="23" t="n"/>
      <c r="M69" s="26">
        <f>IF(N69="","",IF(OR(K69="",L69=""),"one month",TEXT(MAX(1,(YEAR(L69)-YEAR(K69))*12+MONTH(L69)-MONTH(K69)+1),"0")&amp;" months - see Deferred Revenue"))</f>
        <v/>
      </c>
      <c r="N69" s="24" t="n"/>
      <c r="O69" s="22" t="n"/>
      <c r="P69" s="26">
        <f>IF(N(N69)=0,"",IF(N69&gt;0,set_WIPAsset,IF(J69="Cost",IF(O69="","(set the P&amp;L Account)",O69),IF(O69="",set_WIPIncome,O69))))</f>
        <v/>
      </c>
      <c r="Q69" s="26">
        <f>IF(N(N69)=0,"",IF(N69&gt;0,IF(J69="Cost",IF(O69="","(set the P&amp;L Account)",O69),IF(O69="",set_WIPIncome,O69)),set_WIPAsset))</f>
        <v/>
      </c>
      <c r="R69" s="27">
        <f>IF(OR(N(N69)=0,K69&lt;&gt;""),"",ABS(N69))</f>
        <v/>
      </c>
      <c r="S69" s="26">
        <f>IF(N(N69)=0,"",IF(K69&lt;&gt;"","spreads monthly - see Deferred Revenue","WIP "&amp;I69&amp;IF(D69="",""," - "&amp;D69)&amp;IF(F69="",""," "&amp;F69)&amp;IF(H69="",""," - "&amp;H69)))</f>
        <v/>
      </c>
      <c r="T69" s="22" t="n"/>
      <c r="U69" s="22" t="n"/>
      <c r="V69" s="22" t="n"/>
    </row>
    <row r="70" ht="15" customHeight="1">
      <c r="A70" s="72" t="n"/>
      <c r="B70" s="70">
        <f>IF(C70="","",IFERROR(INDEX(tbl_Finance[Date],MATCH(C70&amp;"",tbl_Finance[Xero Invoice No],0)),""))</f>
        <v/>
      </c>
      <c r="C70" s="22" t="n"/>
      <c r="D70" s="22" t="n"/>
      <c r="E70" s="26">
        <f>IF(D70="","",IF(COUNTIF(lst_Jobs,D70&amp;"")&gt;0,"OK","CHECK"))</f>
        <v/>
      </c>
      <c r="F70" s="22" t="n"/>
      <c r="G70" s="22" t="n"/>
      <c r="H70" s="22" t="n"/>
      <c r="I70" s="22" t="n"/>
      <c r="J70" s="22" t="n"/>
      <c r="K70" s="23" t="n"/>
      <c r="L70" s="23" t="n"/>
      <c r="M70" s="26">
        <f>IF(N70="","",IF(OR(K70="",L70=""),"one month",TEXT(MAX(1,(YEAR(L70)-YEAR(K70))*12+MONTH(L70)-MONTH(K70)+1),"0")&amp;" months - see Deferred Revenue"))</f>
        <v/>
      </c>
      <c r="N70" s="24" t="n"/>
      <c r="O70" s="22" t="n"/>
      <c r="P70" s="26">
        <f>IF(N(N70)=0,"",IF(N70&gt;0,set_WIPAsset,IF(J70="Cost",IF(O70="","(set the P&amp;L Account)",O70),IF(O70="",set_WIPIncome,O70))))</f>
        <v/>
      </c>
      <c r="Q70" s="26">
        <f>IF(N(N70)=0,"",IF(N70&gt;0,IF(J70="Cost",IF(O70="","(set the P&amp;L Account)",O70),IF(O70="",set_WIPIncome,O70)),set_WIPAsset))</f>
        <v/>
      </c>
      <c r="R70" s="27">
        <f>IF(OR(N(N70)=0,K70&lt;&gt;""),"",ABS(N70))</f>
        <v/>
      </c>
      <c r="S70" s="26">
        <f>IF(N(N70)=0,"",IF(K70&lt;&gt;"","spreads monthly - see Deferred Revenue","WIP "&amp;I70&amp;IF(D70="",""," - "&amp;D70)&amp;IF(F70="",""," "&amp;F70)&amp;IF(H70="",""," - "&amp;H70)))</f>
        <v/>
      </c>
      <c r="T70" s="22" t="n"/>
      <c r="U70" s="22" t="n"/>
      <c r="V70" s="22" t="n"/>
    </row>
    <row r="71" ht="15" customHeight="1">
      <c r="A71" s="72" t="n"/>
      <c r="B71" s="70">
        <f>IF(C71="","",IFERROR(INDEX(tbl_Finance[Date],MATCH(C71&amp;"",tbl_Finance[Xero Invoice No],0)),""))</f>
        <v/>
      </c>
      <c r="C71" s="22" t="n"/>
      <c r="D71" s="22" t="n"/>
      <c r="E71" s="26">
        <f>IF(D71="","",IF(COUNTIF(lst_Jobs,D71&amp;"")&gt;0,"OK","CHECK"))</f>
        <v/>
      </c>
      <c r="F71" s="22" t="n"/>
      <c r="G71" s="22" t="n"/>
      <c r="H71" s="22" t="n"/>
      <c r="I71" s="22" t="n"/>
      <c r="J71" s="22" t="n"/>
      <c r="K71" s="23" t="n"/>
      <c r="L71" s="23" t="n"/>
      <c r="M71" s="26">
        <f>IF(N71="","",IF(OR(K71="",L71=""),"one month",TEXT(MAX(1,(YEAR(L71)-YEAR(K71))*12+MONTH(L71)-MONTH(K71)+1),"0")&amp;" months - see Deferred Revenue"))</f>
        <v/>
      </c>
      <c r="N71" s="24" t="n"/>
      <c r="O71" s="22" t="n"/>
      <c r="P71" s="26">
        <f>IF(N(N71)=0,"",IF(N71&gt;0,set_WIPAsset,IF(J71="Cost",IF(O71="","(set the P&amp;L Account)",O71),IF(O71="",set_WIPIncome,O71))))</f>
        <v/>
      </c>
      <c r="Q71" s="26">
        <f>IF(N(N71)=0,"",IF(N71&gt;0,IF(J71="Cost",IF(O71="","(set the P&amp;L Account)",O71),IF(O71="",set_WIPIncome,O71)),set_WIPAsset))</f>
        <v/>
      </c>
      <c r="R71" s="27">
        <f>IF(OR(N(N71)=0,K71&lt;&gt;""),"",ABS(N71))</f>
        <v/>
      </c>
      <c r="S71" s="26">
        <f>IF(N(N71)=0,"",IF(K71&lt;&gt;"","spreads monthly - see Deferred Revenue","WIP "&amp;I71&amp;IF(D71="",""," - "&amp;D71)&amp;IF(F71="",""," "&amp;F71)&amp;IF(H71="",""," - "&amp;H71)))</f>
        <v/>
      </c>
      <c r="T71" s="22" t="n"/>
      <c r="U71" s="22" t="n"/>
      <c r="V71" s="22" t="n"/>
    </row>
    <row r="72" ht="15" customHeight="1">
      <c r="A72" s="72" t="n"/>
      <c r="B72" s="70">
        <f>IF(C72="","",IFERROR(INDEX(tbl_Finance[Date],MATCH(C72&amp;"",tbl_Finance[Xero Invoice No],0)),""))</f>
        <v/>
      </c>
      <c r="C72" s="22" t="n"/>
      <c r="D72" s="22" t="n"/>
      <c r="E72" s="26">
        <f>IF(D72="","",IF(COUNTIF(lst_Jobs,D72&amp;"")&gt;0,"OK","CHECK"))</f>
        <v/>
      </c>
      <c r="F72" s="22" t="n"/>
      <c r="G72" s="22" t="n"/>
      <c r="H72" s="22" t="n"/>
      <c r="I72" s="22" t="n"/>
      <c r="J72" s="22" t="n"/>
      <c r="K72" s="23" t="n"/>
      <c r="L72" s="23" t="n"/>
      <c r="M72" s="26">
        <f>IF(N72="","",IF(OR(K72="",L72=""),"one month",TEXT(MAX(1,(YEAR(L72)-YEAR(K72))*12+MONTH(L72)-MONTH(K72)+1),"0")&amp;" months - see Deferred Revenue"))</f>
        <v/>
      </c>
      <c r="N72" s="24" t="n"/>
      <c r="O72" s="22" t="n"/>
      <c r="P72" s="26">
        <f>IF(N(N72)=0,"",IF(N72&gt;0,set_WIPAsset,IF(J72="Cost",IF(O72="","(set the P&amp;L Account)",O72),IF(O72="",set_WIPIncome,O72))))</f>
        <v/>
      </c>
      <c r="Q72" s="26">
        <f>IF(N(N72)=0,"",IF(N72&gt;0,IF(J72="Cost",IF(O72="","(set the P&amp;L Account)",O72),IF(O72="",set_WIPIncome,O72)),set_WIPAsset))</f>
        <v/>
      </c>
      <c r="R72" s="27">
        <f>IF(OR(N(N72)=0,K72&lt;&gt;""),"",ABS(N72))</f>
        <v/>
      </c>
      <c r="S72" s="26">
        <f>IF(N(N72)=0,"",IF(K72&lt;&gt;"","spreads monthly - see Deferred Revenue","WIP "&amp;I72&amp;IF(D72="",""," - "&amp;D72)&amp;IF(F72="",""," "&amp;F72)&amp;IF(H72="",""," - "&amp;H72)))</f>
        <v/>
      </c>
      <c r="T72" s="22" t="n"/>
      <c r="U72" s="22" t="n"/>
      <c r="V72" s="22" t="n"/>
    </row>
    <row r="73" ht="15" customHeight="1">
      <c r="A73" s="72" t="n"/>
      <c r="B73" s="70">
        <f>IF(C73="","",IFERROR(INDEX(tbl_Finance[Date],MATCH(C73&amp;"",tbl_Finance[Xero Invoice No],0)),""))</f>
        <v/>
      </c>
      <c r="C73" s="22" t="n"/>
      <c r="D73" s="22" t="n"/>
      <c r="E73" s="26">
        <f>IF(D73="","",IF(COUNTIF(lst_Jobs,D73&amp;"")&gt;0,"OK","CHECK"))</f>
        <v/>
      </c>
      <c r="F73" s="22" t="n"/>
      <c r="G73" s="22" t="n"/>
      <c r="H73" s="22" t="n"/>
      <c r="I73" s="22" t="n"/>
      <c r="J73" s="22" t="n"/>
      <c r="K73" s="23" t="n"/>
      <c r="L73" s="23" t="n"/>
      <c r="M73" s="26">
        <f>IF(N73="","",IF(OR(K73="",L73=""),"one month",TEXT(MAX(1,(YEAR(L73)-YEAR(K73))*12+MONTH(L73)-MONTH(K73)+1),"0")&amp;" months - see Deferred Revenue"))</f>
        <v/>
      </c>
      <c r="N73" s="24" t="n"/>
      <c r="O73" s="22" t="n"/>
      <c r="P73" s="26">
        <f>IF(N(N73)=0,"",IF(N73&gt;0,set_WIPAsset,IF(J73="Cost",IF(O73="","(set the P&amp;L Account)",O73),IF(O73="",set_WIPIncome,O73))))</f>
        <v/>
      </c>
      <c r="Q73" s="26">
        <f>IF(N(N73)=0,"",IF(N73&gt;0,IF(J73="Cost",IF(O73="","(set the P&amp;L Account)",O73),IF(O73="",set_WIPIncome,O73)),set_WIPAsset))</f>
        <v/>
      </c>
      <c r="R73" s="27">
        <f>IF(OR(N(N73)=0,K73&lt;&gt;""),"",ABS(N73))</f>
        <v/>
      </c>
      <c r="S73" s="26">
        <f>IF(N(N73)=0,"",IF(K73&lt;&gt;"","spreads monthly - see Deferred Revenue","WIP "&amp;I73&amp;IF(D73="",""," - "&amp;D73)&amp;IF(F73="",""," "&amp;F73)&amp;IF(H73="",""," - "&amp;H73)))</f>
        <v/>
      </c>
      <c r="T73" s="22" t="n"/>
      <c r="U73" s="22" t="n"/>
      <c r="V73" s="22" t="n"/>
    </row>
    <row r="74" ht="15" customHeight="1">
      <c r="A74" s="72" t="n"/>
      <c r="B74" s="70">
        <f>IF(C74="","",IFERROR(INDEX(tbl_Finance[Date],MATCH(C74&amp;"",tbl_Finance[Xero Invoice No],0)),""))</f>
        <v/>
      </c>
      <c r="C74" s="22" t="n"/>
      <c r="D74" s="22" t="n"/>
      <c r="E74" s="26">
        <f>IF(D74="","",IF(COUNTIF(lst_Jobs,D74&amp;"")&gt;0,"OK","CHECK"))</f>
        <v/>
      </c>
      <c r="F74" s="22" t="n"/>
      <c r="G74" s="22" t="n"/>
      <c r="H74" s="22" t="n"/>
      <c r="I74" s="22" t="n"/>
      <c r="J74" s="22" t="n"/>
      <c r="K74" s="23" t="n"/>
      <c r="L74" s="23" t="n"/>
      <c r="M74" s="26">
        <f>IF(N74="","",IF(OR(K74="",L74=""),"one month",TEXT(MAX(1,(YEAR(L74)-YEAR(K74))*12+MONTH(L74)-MONTH(K74)+1),"0")&amp;" months - see Deferred Revenue"))</f>
        <v/>
      </c>
      <c r="N74" s="24" t="n"/>
      <c r="O74" s="22" t="n"/>
      <c r="P74" s="26">
        <f>IF(N(N74)=0,"",IF(N74&gt;0,set_WIPAsset,IF(J74="Cost",IF(O74="","(set the P&amp;L Account)",O74),IF(O74="",set_WIPIncome,O74))))</f>
        <v/>
      </c>
      <c r="Q74" s="26">
        <f>IF(N(N74)=0,"",IF(N74&gt;0,IF(J74="Cost",IF(O74="","(set the P&amp;L Account)",O74),IF(O74="",set_WIPIncome,O74)),set_WIPAsset))</f>
        <v/>
      </c>
      <c r="R74" s="27">
        <f>IF(OR(N(N74)=0,K74&lt;&gt;""),"",ABS(N74))</f>
        <v/>
      </c>
      <c r="S74" s="26">
        <f>IF(N(N74)=0,"",IF(K74&lt;&gt;"","spreads monthly - see Deferred Revenue","WIP "&amp;I74&amp;IF(D74="",""," - "&amp;D74)&amp;IF(F74="",""," "&amp;F74)&amp;IF(H74="",""," - "&amp;H74)))</f>
        <v/>
      </c>
      <c r="T74" s="22" t="n"/>
      <c r="U74" s="22" t="n"/>
      <c r="V74" s="22" t="n"/>
    </row>
    <row r="75" ht="15" customHeight="1">
      <c r="A75" s="72" t="n"/>
      <c r="B75" s="70">
        <f>IF(C75="","",IFERROR(INDEX(tbl_Finance[Date],MATCH(C75&amp;"",tbl_Finance[Xero Invoice No],0)),""))</f>
        <v/>
      </c>
      <c r="C75" s="22" t="n"/>
      <c r="D75" s="22" t="n"/>
      <c r="E75" s="26">
        <f>IF(D75="","",IF(COUNTIF(lst_Jobs,D75&amp;"")&gt;0,"OK","CHECK"))</f>
        <v/>
      </c>
      <c r="F75" s="22" t="n"/>
      <c r="G75" s="22" t="n"/>
      <c r="H75" s="22" t="n"/>
      <c r="I75" s="22" t="n"/>
      <c r="J75" s="22" t="n"/>
      <c r="K75" s="23" t="n"/>
      <c r="L75" s="23" t="n"/>
      <c r="M75" s="26">
        <f>IF(N75="","",IF(OR(K75="",L75=""),"one month",TEXT(MAX(1,(YEAR(L75)-YEAR(K75))*12+MONTH(L75)-MONTH(K75)+1),"0")&amp;" months - see Deferred Revenue"))</f>
        <v/>
      </c>
      <c r="N75" s="24" t="n"/>
      <c r="O75" s="22" t="n"/>
      <c r="P75" s="26">
        <f>IF(N(N75)=0,"",IF(N75&gt;0,set_WIPAsset,IF(J75="Cost",IF(O75="","(set the P&amp;L Account)",O75),IF(O75="",set_WIPIncome,O75))))</f>
        <v/>
      </c>
      <c r="Q75" s="26">
        <f>IF(N(N75)=0,"",IF(N75&gt;0,IF(J75="Cost",IF(O75="","(set the P&amp;L Account)",O75),IF(O75="",set_WIPIncome,O75)),set_WIPAsset))</f>
        <v/>
      </c>
      <c r="R75" s="27">
        <f>IF(OR(N(N75)=0,K75&lt;&gt;""),"",ABS(N75))</f>
        <v/>
      </c>
      <c r="S75" s="26">
        <f>IF(N(N75)=0,"",IF(K75&lt;&gt;"","spreads monthly - see Deferred Revenue","WIP "&amp;I75&amp;IF(D75="",""," - "&amp;D75)&amp;IF(F75="",""," "&amp;F75)&amp;IF(H75="",""," - "&amp;H75)))</f>
        <v/>
      </c>
      <c r="T75" s="22" t="n"/>
      <c r="U75" s="22" t="n"/>
      <c r="V75" s="22" t="n"/>
    </row>
    <row r="76" ht="15" customHeight="1">
      <c r="A76" s="72" t="n"/>
      <c r="B76" s="70">
        <f>IF(C76="","",IFERROR(INDEX(tbl_Finance[Date],MATCH(C76&amp;"",tbl_Finance[Xero Invoice No],0)),""))</f>
        <v/>
      </c>
      <c r="C76" s="22" t="n"/>
      <c r="D76" s="22" t="n"/>
      <c r="E76" s="26">
        <f>IF(D76="","",IF(COUNTIF(lst_Jobs,D76&amp;"")&gt;0,"OK","CHECK"))</f>
        <v/>
      </c>
      <c r="F76" s="22" t="n"/>
      <c r="G76" s="22" t="n"/>
      <c r="H76" s="22" t="n"/>
      <c r="I76" s="22" t="n"/>
      <c r="J76" s="22" t="n"/>
      <c r="K76" s="23" t="n"/>
      <c r="L76" s="23" t="n"/>
      <c r="M76" s="26">
        <f>IF(N76="","",IF(OR(K76="",L76=""),"one month",TEXT(MAX(1,(YEAR(L76)-YEAR(K76))*12+MONTH(L76)-MONTH(K76)+1),"0")&amp;" months - see Deferred Revenue"))</f>
        <v/>
      </c>
      <c r="N76" s="24" t="n"/>
      <c r="O76" s="22" t="n"/>
      <c r="P76" s="26">
        <f>IF(N(N76)=0,"",IF(N76&gt;0,set_WIPAsset,IF(J76="Cost",IF(O76="","(set the P&amp;L Account)",O76),IF(O76="",set_WIPIncome,O76))))</f>
        <v/>
      </c>
      <c r="Q76" s="26">
        <f>IF(N(N76)=0,"",IF(N76&gt;0,IF(J76="Cost",IF(O76="","(set the P&amp;L Account)",O76),IF(O76="",set_WIPIncome,O76)),set_WIPAsset))</f>
        <v/>
      </c>
      <c r="R76" s="27">
        <f>IF(OR(N(N76)=0,K76&lt;&gt;""),"",ABS(N76))</f>
        <v/>
      </c>
      <c r="S76" s="26">
        <f>IF(N(N76)=0,"",IF(K76&lt;&gt;"","spreads monthly - see Deferred Revenue","WIP "&amp;I76&amp;IF(D76="",""," - "&amp;D76)&amp;IF(F76="",""," "&amp;F76)&amp;IF(H76="",""," - "&amp;H76)))</f>
        <v/>
      </c>
      <c r="T76" s="22" t="n"/>
      <c r="U76" s="22" t="n"/>
      <c r="V76" s="22" t="n"/>
    </row>
    <row r="77" ht="15" customHeight="1">
      <c r="A77" s="72" t="n"/>
      <c r="B77" s="70">
        <f>IF(C77="","",IFERROR(INDEX(tbl_Finance[Date],MATCH(C77&amp;"",tbl_Finance[Xero Invoice No],0)),""))</f>
        <v/>
      </c>
      <c r="C77" s="22" t="n"/>
      <c r="D77" s="22" t="n"/>
      <c r="E77" s="26">
        <f>IF(D77="","",IF(COUNTIF(lst_Jobs,D77&amp;"")&gt;0,"OK","CHECK"))</f>
        <v/>
      </c>
      <c r="F77" s="22" t="n"/>
      <c r="G77" s="22" t="n"/>
      <c r="H77" s="22" t="n"/>
      <c r="I77" s="22" t="n"/>
      <c r="J77" s="22" t="n"/>
      <c r="K77" s="23" t="n"/>
      <c r="L77" s="23" t="n"/>
      <c r="M77" s="26">
        <f>IF(N77="","",IF(OR(K77="",L77=""),"one month",TEXT(MAX(1,(YEAR(L77)-YEAR(K77))*12+MONTH(L77)-MONTH(K77)+1),"0")&amp;" months - see Deferred Revenue"))</f>
        <v/>
      </c>
      <c r="N77" s="24" t="n"/>
      <c r="O77" s="22" t="n"/>
      <c r="P77" s="26">
        <f>IF(N(N77)=0,"",IF(N77&gt;0,set_WIPAsset,IF(J77="Cost",IF(O77="","(set the P&amp;L Account)",O77),IF(O77="",set_WIPIncome,O77))))</f>
        <v/>
      </c>
      <c r="Q77" s="26">
        <f>IF(N(N77)=0,"",IF(N77&gt;0,IF(J77="Cost",IF(O77="","(set the P&amp;L Account)",O77),IF(O77="",set_WIPIncome,O77)),set_WIPAsset))</f>
        <v/>
      </c>
      <c r="R77" s="27">
        <f>IF(OR(N(N77)=0,K77&lt;&gt;""),"",ABS(N77))</f>
        <v/>
      </c>
      <c r="S77" s="26">
        <f>IF(N(N77)=0,"",IF(K77&lt;&gt;"","spreads monthly - see Deferred Revenue","WIP "&amp;I77&amp;IF(D77="",""," - "&amp;D77)&amp;IF(F77="",""," "&amp;F77)&amp;IF(H77="",""," - "&amp;H77)))</f>
        <v/>
      </c>
      <c r="T77" s="22" t="n"/>
      <c r="U77" s="22" t="n"/>
      <c r="V77" s="22" t="n"/>
    </row>
    <row r="78" ht="15" customHeight="1">
      <c r="A78" s="72" t="n"/>
      <c r="B78" s="70">
        <f>IF(C78="","",IFERROR(INDEX(tbl_Finance[Date],MATCH(C78&amp;"",tbl_Finance[Xero Invoice No],0)),""))</f>
        <v/>
      </c>
      <c r="C78" s="22" t="n"/>
      <c r="D78" s="22" t="n"/>
      <c r="E78" s="26">
        <f>IF(D78="","",IF(COUNTIF(lst_Jobs,D78&amp;"")&gt;0,"OK","CHECK"))</f>
        <v/>
      </c>
      <c r="F78" s="22" t="n"/>
      <c r="G78" s="22" t="n"/>
      <c r="H78" s="22" t="n"/>
      <c r="I78" s="22" t="n"/>
      <c r="J78" s="22" t="n"/>
      <c r="K78" s="23" t="n"/>
      <c r="L78" s="23" t="n"/>
      <c r="M78" s="26">
        <f>IF(N78="","",IF(OR(K78="",L78=""),"one month",TEXT(MAX(1,(YEAR(L78)-YEAR(K78))*12+MONTH(L78)-MONTH(K78)+1),"0")&amp;" months - see Deferred Revenue"))</f>
        <v/>
      </c>
      <c r="N78" s="24" t="n"/>
      <c r="O78" s="22" t="n"/>
      <c r="P78" s="26">
        <f>IF(N(N78)=0,"",IF(N78&gt;0,set_WIPAsset,IF(J78="Cost",IF(O78="","(set the P&amp;L Account)",O78),IF(O78="",set_WIPIncome,O78))))</f>
        <v/>
      </c>
      <c r="Q78" s="26">
        <f>IF(N(N78)=0,"",IF(N78&gt;0,IF(J78="Cost",IF(O78="","(set the P&amp;L Account)",O78),IF(O78="",set_WIPIncome,O78)),set_WIPAsset))</f>
        <v/>
      </c>
      <c r="R78" s="27">
        <f>IF(OR(N(N78)=0,K78&lt;&gt;""),"",ABS(N78))</f>
        <v/>
      </c>
      <c r="S78" s="26">
        <f>IF(N(N78)=0,"",IF(K78&lt;&gt;"","spreads monthly - see Deferred Revenue","WIP "&amp;I78&amp;IF(D78="",""," - "&amp;D78)&amp;IF(F78="",""," "&amp;F78)&amp;IF(H78="",""," - "&amp;H78)))</f>
        <v/>
      </c>
      <c r="T78" s="22" t="n"/>
      <c r="U78" s="22" t="n"/>
      <c r="V78" s="22" t="n"/>
    </row>
    <row r="79" ht="15" customHeight="1">
      <c r="A79" s="72" t="n"/>
      <c r="B79" s="70">
        <f>IF(C79="","",IFERROR(INDEX(tbl_Finance[Date],MATCH(C79&amp;"",tbl_Finance[Xero Invoice No],0)),""))</f>
        <v/>
      </c>
      <c r="C79" s="22" t="n"/>
      <c r="D79" s="22" t="n"/>
      <c r="E79" s="26">
        <f>IF(D79="","",IF(COUNTIF(lst_Jobs,D79&amp;"")&gt;0,"OK","CHECK"))</f>
        <v/>
      </c>
      <c r="F79" s="22" t="n"/>
      <c r="G79" s="22" t="n"/>
      <c r="H79" s="22" t="n"/>
      <c r="I79" s="22" t="n"/>
      <c r="J79" s="22" t="n"/>
      <c r="K79" s="23" t="n"/>
      <c r="L79" s="23" t="n"/>
      <c r="M79" s="26">
        <f>IF(N79="","",IF(OR(K79="",L79=""),"one month",TEXT(MAX(1,(YEAR(L79)-YEAR(K79))*12+MONTH(L79)-MONTH(K79)+1),"0")&amp;" months - see Deferred Revenue"))</f>
        <v/>
      </c>
      <c r="N79" s="24" t="n"/>
      <c r="O79" s="22" t="n"/>
      <c r="P79" s="26">
        <f>IF(N(N79)=0,"",IF(N79&gt;0,set_WIPAsset,IF(J79="Cost",IF(O79="","(set the P&amp;L Account)",O79),IF(O79="",set_WIPIncome,O79))))</f>
        <v/>
      </c>
      <c r="Q79" s="26">
        <f>IF(N(N79)=0,"",IF(N79&gt;0,IF(J79="Cost",IF(O79="","(set the P&amp;L Account)",O79),IF(O79="",set_WIPIncome,O79)),set_WIPAsset))</f>
        <v/>
      </c>
      <c r="R79" s="27">
        <f>IF(OR(N(N79)=0,K79&lt;&gt;""),"",ABS(N79))</f>
        <v/>
      </c>
      <c r="S79" s="26">
        <f>IF(N(N79)=0,"",IF(K79&lt;&gt;"","spreads monthly - see Deferred Revenue","WIP "&amp;I79&amp;IF(D79="",""," - "&amp;D79)&amp;IF(F79="",""," "&amp;F79)&amp;IF(H79="",""," - "&amp;H79)))</f>
        <v/>
      </c>
      <c r="T79" s="22" t="n"/>
      <c r="U79" s="22" t="n"/>
      <c r="V79" s="22" t="n"/>
    </row>
    <row r="80" ht="15" customHeight="1">
      <c r="A80" s="72" t="n"/>
      <c r="B80" s="70">
        <f>IF(C80="","",IFERROR(INDEX(tbl_Finance[Date],MATCH(C80&amp;"",tbl_Finance[Xero Invoice No],0)),""))</f>
        <v/>
      </c>
      <c r="C80" s="22" t="n"/>
      <c r="D80" s="22" t="n"/>
      <c r="E80" s="26">
        <f>IF(D80="","",IF(COUNTIF(lst_Jobs,D80&amp;"")&gt;0,"OK","CHECK"))</f>
        <v/>
      </c>
      <c r="F80" s="22" t="n"/>
      <c r="G80" s="22" t="n"/>
      <c r="H80" s="22" t="n"/>
      <c r="I80" s="22" t="n"/>
      <c r="J80" s="22" t="n"/>
      <c r="K80" s="23" t="n"/>
      <c r="L80" s="23" t="n"/>
      <c r="M80" s="26">
        <f>IF(N80="","",IF(OR(K80="",L80=""),"one month",TEXT(MAX(1,(YEAR(L80)-YEAR(K80))*12+MONTH(L80)-MONTH(K80)+1),"0")&amp;" months - see Deferred Revenue"))</f>
        <v/>
      </c>
      <c r="N80" s="24" t="n"/>
      <c r="O80" s="22" t="n"/>
      <c r="P80" s="26">
        <f>IF(N(N80)=0,"",IF(N80&gt;0,set_WIPAsset,IF(J80="Cost",IF(O80="","(set the P&amp;L Account)",O80),IF(O80="",set_WIPIncome,O80))))</f>
        <v/>
      </c>
      <c r="Q80" s="26">
        <f>IF(N(N80)=0,"",IF(N80&gt;0,IF(J80="Cost",IF(O80="","(set the P&amp;L Account)",O80),IF(O80="",set_WIPIncome,O80)),set_WIPAsset))</f>
        <v/>
      </c>
      <c r="R80" s="27">
        <f>IF(OR(N(N80)=0,K80&lt;&gt;""),"",ABS(N80))</f>
        <v/>
      </c>
      <c r="S80" s="26">
        <f>IF(N(N80)=0,"",IF(K80&lt;&gt;"","spreads monthly - see Deferred Revenue","WIP "&amp;I80&amp;IF(D80="",""," - "&amp;D80)&amp;IF(F80="",""," "&amp;F80)&amp;IF(H80="",""," - "&amp;H80)))</f>
        <v/>
      </c>
      <c r="T80" s="22" t="n"/>
      <c r="U80" s="22" t="n"/>
      <c r="V80" s="22" t="n"/>
    </row>
    <row r="81" ht="15" customHeight="1">
      <c r="A81" s="72" t="n"/>
      <c r="B81" s="70">
        <f>IF(C81="","",IFERROR(INDEX(tbl_Finance[Date],MATCH(C81&amp;"",tbl_Finance[Xero Invoice No],0)),""))</f>
        <v/>
      </c>
      <c r="C81" s="22" t="n"/>
      <c r="D81" s="22" t="n"/>
      <c r="E81" s="26">
        <f>IF(D81="","",IF(COUNTIF(lst_Jobs,D81&amp;"")&gt;0,"OK","CHECK"))</f>
        <v/>
      </c>
      <c r="F81" s="22" t="n"/>
      <c r="G81" s="22" t="n"/>
      <c r="H81" s="22" t="n"/>
      <c r="I81" s="22" t="n"/>
      <c r="J81" s="22" t="n"/>
      <c r="K81" s="23" t="n"/>
      <c r="L81" s="23" t="n"/>
      <c r="M81" s="26">
        <f>IF(N81="","",IF(OR(K81="",L81=""),"one month",TEXT(MAX(1,(YEAR(L81)-YEAR(K81))*12+MONTH(L81)-MONTH(K81)+1),"0")&amp;" months - see Deferred Revenue"))</f>
        <v/>
      </c>
      <c r="N81" s="24" t="n"/>
      <c r="O81" s="22" t="n"/>
      <c r="P81" s="26">
        <f>IF(N(N81)=0,"",IF(N81&gt;0,set_WIPAsset,IF(J81="Cost",IF(O81="","(set the P&amp;L Account)",O81),IF(O81="",set_WIPIncome,O81))))</f>
        <v/>
      </c>
      <c r="Q81" s="26">
        <f>IF(N(N81)=0,"",IF(N81&gt;0,IF(J81="Cost",IF(O81="","(set the P&amp;L Account)",O81),IF(O81="",set_WIPIncome,O81)),set_WIPAsset))</f>
        <v/>
      </c>
      <c r="R81" s="27">
        <f>IF(OR(N(N81)=0,K81&lt;&gt;""),"",ABS(N81))</f>
        <v/>
      </c>
      <c r="S81" s="26">
        <f>IF(N(N81)=0,"",IF(K81&lt;&gt;"","spreads monthly - see Deferred Revenue","WIP "&amp;I81&amp;IF(D81="",""," - "&amp;D81)&amp;IF(F81="",""," "&amp;F81)&amp;IF(H81="",""," - "&amp;H81)))</f>
        <v/>
      </c>
      <c r="T81" s="22" t="n"/>
      <c r="U81" s="22" t="n"/>
      <c r="V81" s="22" t="n"/>
    </row>
    <row r="82" ht="15" customHeight="1">
      <c r="A82" s="72" t="n"/>
      <c r="B82" s="70">
        <f>IF(C82="","",IFERROR(INDEX(tbl_Finance[Date],MATCH(C82&amp;"",tbl_Finance[Xero Invoice No],0)),""))</f>
        <v/>
      </c>
      <c r="C82" s="22" t="n"/>
      <c r="D82" s="22" t="n"/>
      <c r="E82" s="26">
        <f>IF(D82="","",IF(COUNTIF(lst_Jobs,D82&amp;"")&gt;0,"OK","CHECK"))</f>
        <v/>
      </c>
      <c r="F82" s="22" t="n"/>
      <c r="G82" s="22" t="n"/>
      <c r="H82" s="22" t="n"/>
      <c r="I82" s="22" t="n"/>
      <c r="J82" s="22" t="n"/>
      <c r="K82" s="23" t="n"/>
      <c r="L82" s="23" t="n"/>
      <c r="M82" s="26">
        <f>IF(N82="","",IF(OR(K82="",L82=""),"one month",TEXT(MAX(1,(YEAR(L82)-YEAR(K82))*12+MONTH(L82)-MONTH(K82)+1),"0")&amp;" months - see Deferred Revenue"))</f>
        <v/>
      </c>
      <c r="N82" s="24" t="n"/>
      <c r="O82" s="22" t="n"/>
      <c r="P82" s="26">
        <f>IF(N(N82)=0,"",IF(N82&gt;0,set_WIPAsset,IF(J82="Cost",IF(O82="","(set the P&amp;L Account)",O82),IF(O82="",set_WIPIncome,O82))))</f>
        <v/>
      </c>
      <c r="Q82" s="26">
        <f>IF(N(N82)=0,"",IF(N82&gt;0,IF(J82="Cost",IF(O82="","(set the P&amp;L Account)",O82),IF(O82="",set_WIPIncome,O82)),set_WIPAsset))</f>
        <v/>
      </c>
      <c r="R82" s="27">
        <f>IF(OR(N(N82)=0,K82&lt;&gt;""),"",ABS(N82))</f>
        <v/>
      </c>
      <c r="S82" s="26">
        <f>IF(N(N82)=0,"",IF(K82&lt;&gt;"","spreads monthly - see Deferred Revenue","WIP "&amp;I82&amp;IF(D82="",""," - "&amp;D82)&amp;IF(F82="",""," "&amp;F82)&amp;IF(H82="",""," - "&amp;H82)))</f>
        <v/>
      </c>
      <c r="T82" s="22" t="n"/>
      <c r="U82" s="22" t="n"/>
      <c r="V82" s="22" t="n"/>
    </row>
    <row r="83" ht="15" customHeight="1">
      <c r="A83" s="72" t="n"/>
      <c r="B83" s="70">
        <f>IF(C83="","",IFERROR(INDEX(tbl_Finance[Date],MATCH(C83&amp;"",tbl_Finance[Xero Invoice No],0)),""))</f>
        <v/>
      </c>
      <c r="C83" s="22" t="n"/>
      <c r="D83" s="22" t="n"/>
      <c r="E83" s="26">
        <f>IF(D83="","",IF(COUNTIF(lst_Jobs,D83&amp;"")&gt;0,"OK","CHECK"))</f>
        <v/>
      </c>
      <c r="F83" s="22" t="n"/>
      <c r="G83" s="22" t="n"/>
      <c r="H83" s="22" t="n"/>
      <c r="I83" s="22" t="n"/>
      <c r="J83" s="22" t="n"/>
      <c r="K83" s="23" t="n"/>
      <c r="L83" s="23" t="n"/>
      <c r="M83" s="26">
        <f>IF(N83="","",IF(OR(K83="",L83=""),"one month",TEXT(MAX(1,(YEAR(L83)-YEAR(K83))*12+MONTH(L83)-MONTH(K83)+1),"0")&amp;" months - see Deferred Revenue"))</f>
        <v/>
      </c>
      <c r="N83" s="24" t="n"/>
      <c r="O83" s="22" t="n"/>
      <c r="P83" s="26">
        <f>IF(N(N83)=0,"",IF(N83&gt;0,set_WIPAsset,IF(J83="Cost",IF(O83="","(set the P&amp;L Account)",O83),IF(O83="",set_WIPIncome,O83))))</f>
        <v/>
      </c>
      <c r="Q83" s="26">
        <f>IF(N(N83)=0,"",IF(N83&gt;0,IF(J83="Cost",IF(O83="","(set the P&amp;L Account)",O83),IF(O83="",set_WIPIncome,O83)),set_WIPAsset))</f>
        <v/>
      </c>
      <c r="R83" s="27">
        <f>IF(OR(N(N83)=0,K83&lt;&gt;""),"",ABS(N83))</f>
        <v/>
      </c>
      <c r="S83" s="26">
        <f>IF(N(N83)=0,"",IF(K83&lt;&gt;"","spreads monthly - see Deferred Revenue","WIP "&amp;I83&amp;IF(D83="",""," - "&amp;D83)&amp;IF(F83="",""," "&amp;F83)&amp;IF(H83="",""," - "&amp;H83)))</f>
        <v/>
      </c>
      <c r="T83" s="22" t="n"/>
      <c r="U83" s="22" t="n"/>
      <c r="V83" s="22" t="n"/>
    </row>
    <row r="84" ht="15" customHeight="1">
      <c r="A84" s="72" t="n"/>
      <c r="B84" s="70">
        <f>IF(C84="","",IFERROR(INDEX(tbl_Finance[Date],MATCH(C84&amp;"",tbl_Finance[Xero Invoice No],0)),""))</f>
        <v/>
      </c>
      <c r="C84" s="22" t="n"/>
      <c r="D84" s="22" t="n"/>
      <c r="E84" s="26">
        <f>IF(D84="","",IF(COUNTIF(lst_Jobs,D84&amp;"")&gt;0,"OK","CHECK"))</f>
        <v/>
      </c>
      <c r="F84" s="22" t="n"/>
      <c r="G84" s="22" t="n"/>
      <c r="H84" s="22" t="n"/>
      <c r="I84" s="22" t="n"/>
      <c r="J84" s="22" t="n"/>
      <c r="K84" s="23" t="n"/>
      <c r="L84" s="23" t="n"/>
      <c r="M84" s="26">
        <f>IF(N84="","",IF(OR(K84="",L84=""),"one month",TEXT(MAX(1,(YEAR(L84)-YEAR(K84))*12+MONTH(L84)-MONTH(K84)+1),"0")&amp;" months - see Deferred Revenue"))</f>
        <v/>
      </c>
      <c r="N84" s="24" t="n"/>
      <c r="O84" s="22" t="n"/>
      <c r="P84" s="26">
        <f>IF(N(N84)=0,"",IF(N84&gt;0,set_WIPAsset,IF(J84="Cost",IF(O84="","(set the P&amp;L Account)",O84),IF(O84="",set_WIPIncome,O84))))</f>
        <v/>
      </c>
      <c r="Q84" s="26">
        <f>IF(N(N84)=0,"",IF(N84&gt;0,IF(J84="Cost",IF(O84="","(set the P&amp;L Account)",O84),IF(O84="",set_WIPIncome,O84)),set_WIPAsset))</f>
        <v/>
      </c>
      <c r="R84" s="27">
        <f>IF(OR(N(N84)=0,K84&lt;&gt;""),"",ABS(N84))</f>
        <v/>
      </c>
      <c r="S84" s="26">
        <f>IF(N(N84)=0,"",IF(K84&lt;&gt;"","spreads monthly - see Deferred Revenue","WIP "&amp;I84&amp;IF(D84="",""," - "&amp;D84)&amp;IF(F84="",""," "&amp;F84)&amp;IF(H84="",""," - "&amp;H84)))</f>
        <v/>
      </c>
      <c r="T84" s="22" t="n"/>
      <c r="U84" s="22" t="n"/>
      <c r="V84" s="22" t="n"/>
    </row>
    <row r="85" ht="15" customHeight="1">
      <c r="A85" s="72" t="n"/>
      <c r="B85" s="70">
        <f>IF(C85="","",IFERROR(INDEX(tbl_Finance[Date],MATCH(C85&amp;"",tbl_Finance[Xero Invoice No],0)),""))</f>
        <v/>
      </c>
      <c r="C85" s="22" t="n"/>
      <c r="D85" s="22" t="n"/>
      <c r="E85" s="26">
        <f>IF(D85="","",IF(COUNTIF(lst_Jobs,D85&amp;"")&gt;0,"OK","CHECK"))</f>
        <v/>
      </c>
      <c r="F85" s="22" t="n"/>
      <c r="G85" s="22" t="n"/>
      <c r="H85" s="22" t="n"/>
      <c r="I85" s="22" t="n"/>
      <c r="J85" s="22" t="n"/>
      <c r="K85" s="23" t="n"/>
      <c r="L85" s="23" t="n"/>
      <c r="M85" s="26">
        <f>IF(N85="","",IF(OR(K85="",L85=""),"one month",TEXT(MAX(1,(YEAR(L85)-YEAR(K85))*12+MONTH(L85)-MONTH(K85)+1),"0")&amp;" months - see Deferred Revenue"))</f>
        <v/>
      </c>
      <c r="N85" s="24" t="n"/>
      <c r="O85" s="22" t="n"/>
      <c r="P85" s="26">
        <f>IF(N(N85)=0,"",IF(N85&gt;0,set_WIPAsset,IF(J85="Cost",IF(O85="","(set the P&amp;L Account)",O85),IF(O85="",set_WIPIncome,O85))))</f>
        <v/>
      </c>
      <c r="Q85" s="26">
        <f>IF(N(N85)=0,"",IF(N85&gt;0,IF(J85="Cost",IF(O85="","(set the P&amp;L Account)",O85),IF(O85="",set_WIPIncome,O85)),set_WIPAsset))</f>
        <v/>
      </c>
      <c r="R85" s="27">
        <f>IF(OR(N(N85)=0,K85&lt;&gt;""),"",ABS(N85))</f>
        <v/>
      </c>
      <c r="S85" s="26">
        <f>IF(N(N85)=0,"",IF(K85&lt;&gt;"","spreads monthly - see Deferred Revenue","WIP "&amp;I85&amp;IF(D85="",""," - "&amp;D85)&amp;IF(F85="",""," "&amp;F85)&amp;IF(H85="",""," - "&amp;H85)))</f>
        <v/>
      </c>
      <c r="T85" s="22" t="n"/>
      <c r="U85" s="22" t="n"/>
      <c r="V85" s="22" t="n"/>
    </row>
    <row r="86" ht="15" customHeight="1">
      <c r="A86" s="72" t="n"/>
      <c r="B86" s="70">
        <f>IF(C86="","",IFERROR(INDEX(tbl_Finance[Date],MATCH(C86&amp;"",tbl_Finance[Xero Invoice No],0)),""))</f>
        <v/>
      </c>
      <c r="C86" s="22" t="n"/>
      <c r="D86" s="22" t="n"/>
      <c r="E86" s="26">
        <f>IF(D86="","",IF(COUNTIF(lst_Jobs,D86&amp;"")&gt;0,"OK","CHECK"))</f>
        <v/>
      </c>
      <c r="F86" s="22" t="n"/>
      <c r="G86" s="22" t="n"/>
      <c r="H86" s="22" t="n"/>
      <c r="I86" s="22" t="n"/>
      <c r="J86" s="22" t="n"/>
      <c r="K86" s="23" t="n"/>
      <c r="L86" s="23" t="n"/>
      <c r="M86" s="26">
        <f>IF(N86="","",IF(OR(K86="",L86=""),"one month",TEXT(MAX(1,(YEAR(L86)-YEAR(K86))*12+MONTH(L86)-MONTH(K86)+1),"0")&amp;" months - see Deferred Revenue"))</f>
        <v/>
      </c>
      <c r="N86" s="24" t="n"/>
      <c r="O86" s="22" t="n"/>
      <c r="P86" s="26">
        <f>IF(N(N86)=0,"",IF(N86&gt;0,set_WIPAsset,IF(J86="Cost",IF(O86="","(set the P&amp;L Account)",O86),IF(O86="",set_WIPIncome,O86))))</f>
        <v/>
      </c>
      <c r="Q86" s="26">
        <f>IF(N(N86)=0,"",IF(N86&gt;0,IF(J86="Cost",IF(O86="","(set the P&amp;L Account)",O86),IF(O86="",set_WIPIncome,O86)),set_WIPAsset))</f>
        <v/>
      </c>
      <c r="R86" s="27">
        <f>IF(OR(N(N86)=0,K86&lt;&gt;""),"",ABS(N86))</f>
        <v/>
      </c>
      <c r="S86" s="26">
        <f>IF(N(N86)=0,"",IF(K86&lt;&gt;"","spreads monthly - see Deferred Revenue","WIP "&amp;I86&amp;IF(D86="",""," - "&amp;D86)&amp;IF(F86="",""," "&amp;F86)&amp;IF(H86="",""," - "&amp;H86)))</f>
        <v/>
      </c>
      <c r="T86" s="22" t="n"/>
      <c r="U86" s="22" t="n"/>
      <c r="V86" s="22" t="n"/>
    </row>
    <row r="87" ht="15" customHeight="1">
      <c r="A87" s="72" t="n"/>
      <c r="B87" s="70">
        <f>IF(C87="","",IFERROR(INDEX(tbl_Finance[Date],MATCH(C87&amp;"",tbl_Finance[Xero Invoice No],0)),""))</f>
        <v/>
      </c>
      <c r="C87" s="22" t="n"/>
      <c r="D87" s="22" t="n"/>
      <c r="E87" s="26">
        <f>IF(D87="","",IF(COUNTIF(lst_Jobs,D87&amp;"")&gt;0,"OK","CHECK"))</f>
        <v/>
      </c>
      <c r="F87" s="22" t="n"/>
      <c r="G87" s="22" t="n"/>
      <c r="H87" s="22" t="n"/>
      <c r="I87" s="22" t="n"/>
      <c r="J87" s="22" t="n"/>
      <c r="K87" s="23" t="n"/>
      <c r="L87" s="23" t="n"/>
      <c r="M87" s="26">
        <f>IF(N87="","",IF(OR(K87="",L87=""),"one month",TEXT(MAX(1,(YEAR(L87)-YEAR(K87))*12+MONTH(L87)-MONTH(K87)+1),"0")&amp;" months - see Deferred Revenue"))</f>
        <v/>
      </c>
      <c r="N87" s="24" t="n"/>
      <c r="O87" s="22" t="n"/>
      <c r="P87" s="26">
        <f>IF(N(N87)=0,"",IF(N87&gt;0,set_WIPAsset,IF(J87="Cost",IF(O87="","(set the P&amp;L Account)",O87),IF(O87="",set_WIPIncome,O87))))</f>
        <v/>
      </c>
      <c r="Q87" s="26">
        <f>IF(N(N87)=0,"",IF(N87&gt;0,IF(J87="Cost",IF(O87="","(set the P&amp;L Account)",O87),IF(O87="",set_WIPIncome,O87)),set_WIPAsset))</f>
        <v/>
      </c>
      <c r="R87" s="27">
        <f>IF(OR(N(N87)=0,K87&lt;&gt;""),"",ABS(N87))</f>
        <v/>
      </c>
      <c r="S87" s="26">
        <f>IF(N(N87)=0,"",IF(K87&lt;&gt;"","spreads monthly - see Deferred Revenue","WIP "&amp;I87&amp;IF(D87="",""," - "&amp;D87)&amp;IF(F87="",""," "&amp;F87)&amp;IF(H87="",""," - "&amp;H87)))</f>
        <v/>
      </c>
      <c r="T87" s="22" t="n"/>
      <c r="U87" s="22" t="n"/>
      <c r="V87" s="22" t="n"/>
    </row>
    <row r="88" ht="15" customHeight="1">
      <c r="A88" s="72" t="n"/>
      <c r="B88" s="70">
        <f>IF(C88="","",IFERROR(INDEX(tbl_Finance[Date],MATCH(C88&amp;"",tbl_Finance[Xero Invoice No],0)),""))</f>
        <v/>
      </c>
      <c r="C88" s="22" t="n"/>
      <c r="D88" s="22" t="n"/>
      <c r="E88" s="26">
        <f>IF(D88="","",IF(COUNTIF(lst_Jobs,D88&amp;"")&gt;0,"OK","CHECK"))</f>
        <v/>
      </c>
      <c r="F88" s="22" t="n"/>
      <c r="G88" s="22" t="n"/>
      <c r="H88" s="22" t="n"/>
      <c r="I88" s="22" t="n"/>
      <c r="J88" s="22" t="n"/>
      <c r="K88" s="23" t="n"/>
      <c r="L88" s="23" t="n"/>
      <c r="M88" s="26">
        <f>IF(N88="","",IF(OR(K88="",L88=""),"one month",TEXT(MAX(1,(YEAR(L88)-YEAR(K88))*12+MONTH(L88)-MONTH(K88)+1),"0")&amp;" months - see Deferred Revenue"))</f>
        <v/>
      </c>
      <c r="N88" s="24" t="n"/>
      <c r="O88" s="22" t="n"/>
      <c r="P88" s="26">
        <f>IF(N(N88)=0,"",IF(N88&gt;0,set_WIPAsset,IF(J88="Cost",IF(O88="","(set the P&amp;L Account)",O88),IF(O88="",set_WIPIncome,O88))))</f>
        <v/>
      </c>
      <c r="Q88" s="26">
        <f>IF(N(N88)=0,"",IF(N88&gt;0,IF(J88="Cost",IF(O88="","(set the P&amp;L Account)",O88),IF(O88="",set_WIPIncome,O88)),set_WIPAsset))</f>
        <v/>
      </c>
      <c r="R88" s="27">
        <f>IF(OR(N(N88)=0,K88&lt;&gt;""),"",ABS(N88))</f>
        <v/>
      </c>
      <c r="S88" s="26">
        <f>IF(N(N88)=0,"",IF(K88&lt;&gt;"","spreads monthly - see Deferred Revenue","WIP "&amp;I88&amp;IF(D88="",""," - "&amp;D88)&amp;IF(F88="",""," "&amp;F88)&amp;IF(H88="",""," - "&amp;H88)))</f>
        <v/>
      </c>
      <c r="T88" s="22" t="n"/>
      <c r="U88" s="22" t="n"/>
      <c r="V88" s="22" t="n"/>
    </row>
    <row r="89" ht="15" customHeight="1">
      <c r="A89" s="72" t="n"/>
      <c r="B89" s="70">
        <f>IF(C89="","",IFERROR(INDEX(tbl_Finance[Date],MATCH(C89&amp;"",tbl_Finance[Xero Invoice No],0)),""))</f>
        <v/>
      </c>
      <c r="C89" s="22" t="n"/>
      <c r="D89" s="22" t="n"/>
      <c r="E89" s="26">
        <f>IF(D89="","",IF(COUNTIF(lst_Jobs,D89&amp;"")&gt;0,"OK","CHECK"))</f>
        <v/>
      </c>
      <c r="F89" s="22" t="n"/>
      <c r="G89" s="22" t="n"/>
      <c r="H89" s="22" t="n"/>
      <c r="I89" s="22" t="n"/>
      <c r="J89" s="22" t="n"/>
      <c r="K89" s="23" t="n"/>
      <c r="L89" s="23" t="n"/>
      <c r="M89" s="26">
        <f>IF(N89="","",IF(OR(K89="",L89=""),"one month",TEXT(MAX(1,(YEAR(L89)-YEAR(K89))*12+MONTH(L89)-MONTH(K89)+1),"0")&amp;" months - see Deferred Revenue"))</f>
        <v/>
      </c>
      <c r="N89" s="24" t="n"/>
      <c r="O89" s="22" t="n"/>
      <c r="P89" s="26">
        <f>IF(N(N89)=0,"",IF(N89&gt;0,set_WIPAsset,IF(J89="Cost",IF(O89="","(set the P&amp;L Account)",O89),IF(O89="",set_WIPIncome,O89))))</f>
        <v/>
      </c>
      <c r="Q89" s="26">
        <f>IF(N(N89)=0,"",IF(N89&gt;0,IF(J89="Cost",IF(O89="","(set the P&amp;L Account)",O89),IF(O89="",set_WIPIncome,O89)),set_WIPAsset))</f>
        <v/>
      </c>
      <c r="R89" s="27">
        <f>IF(OR(N(N89)=0,K89&lt;&gt;""),"",ABS(N89))</f>
        <v/>
      </c>
      <c r="S89" s="26">
        <f>IF(N(N89)=0,"",IF(K89&lt;&gt;"","spreads monthly - see Deferred Revenue","WIP "&amp;I89&amp;IF(D89="",""," - "&amp;D89)&amp;IF(F89="",""," "&amp;F89)&amp;IF(H89="",""," - "&amp;H89)))</f>
        <v/>
      </c>
      <c r="T89" s="22" t="n"/>
      <c r="U89" s="22" t="n"/>
      <c r="V89" s="22" t="n"/>
    </row>
    <row r="90" ht="15" customHeight="1">
      <c r="A90" s="72" t="n"/>
      <c r="B90" s="70">
        <f>IF(C90="","",IFERROR(INDEX(tbl_Finance[Date],MATCH(C90&amp;"",tbl_Finance[Xero Invoice No],0)),""))</f>
        <v/>
      </c>
      <c r="C90" s="22" t="n"/>
      <c r="D90" s="22" t="n"/>
      <c r="E90" s="26">
        <f>IF(D90="","",IF(COUNTIF(lst_Jobs,D90&amp;"")&gt;0,"OK","CHECK"))</f>
        <v/>
      </c>
      <c r="F90" s="22" t="n"/>
      <c r="G90" s="22" t="n"/>
      <c r="H90" s="22" t="n"/>
      <c r="I90" s="22" t="n"/>
      <c r="J90" s="22" t="n"/>
      <c r="K90" s="23" t="n"/>
      <c r="L90" s="23" t="n"/>
      <c r="M90" s="26">
        <f>IF(N90="","",IF(OR(K90="",L90=""),"one month",TEXT(MAX(1,(YEAR(L90)-YEAR(K90))*12+MONTH(L90)-MONTH(K90)+1),"0")&amp;" months - see Deferred Revenue"))</f>
        <v/>
      </c>
      <c r="N90" s="24" t="n"/>
      <c r="O90" s="22" t="n"/>
      <c r="P90" s="26">
        <f>IF(N(N90)=0,"",IF(N90&gt;0,set_WIPAsset,IF(J90="Cost",IF(O90="","(set the P&amp;L Account)",O90),IF(O90="",set_WIPIncome,O90))))</f>
        <v/>
      </c>
      <c r="Q90" s="26">
        <f>IF(N(N90)=0,"",IF(N90&gt;0,IF(J90="Cost",IF(O90="","(set the P&amp;L Account)",O90),IF(O90="",set_WIPIncome,O90)),set_WIPAsset))</f>
        <v/>
      </c>
      <c r="R90" s="27">
        <f>IF(OR(N(N90)=0,K90&lt;&gt;""),"",ABS(N90))</f>
        <v/>
      </c>
      <c r="S90" s="26">
        <f>IF(N(N90)=0,"",IF(K90&lt;&gt;"","spreads monthly - see Deferred Revenue","WIP "&amp;I90&amp;IF(D90="",""," - "&amp;D90)&amp;IF(F90="",""," "&amp;F90)&amp;IF(H90="",""," - "&amp;H90)))</f>
        <v/>
      </c>
      <c r="T90" s="22" t="n"/>
      <c r="U90" s="22" t="n"/>
      <c r="V90" s="22" t="n"/>
    </row>
    <row r="91" ht="15" customHeight="1">
      <c r="A91" s="72" t="n"/>
      <c r="B91" s="70">
        <f>IF(C91="","",IFERROR(INDEX(tbl_Finance[Date],MATCH(C91&amp;"",tbl_Finance[Xero Invoice No],0)),""))</f>
        <v/>
      </c>
      <c r="C91" s="22" t="n"/>
      <c r="D91" s="22" t="n"/>
      <c r="E91" s="26">
        <f>IF(D91="","",IF(COUNTIF(lst_Jobs,D91&amp;"")&gt;0,"OK","CHECK"))</f>
        <v/>
      </c>
      <c r="F91" s="22" t="n"/>
      <c r="G91" s="22" t="n"/>
      <c r="H91" s="22" t="n"/>
      <c r="I91" s="22" t="n"/>
      <c r="J91" s="22" t="n"/>
      <c r="K91" s="23" t="n"/>
      <c r="L91" s="23" t="n"/>
      <c r="M91" s="26">
        <f>IF(N91="","",IF(OR(K91="",L91=""),"one month",TEXT(MAX(1,(YEAR(L91)-YEAR(K91))*12+MONTH(L91)-MONTH(K91)+1),"0")&amp;" months - see Deferred Revenue"))</f>
        <v/>
      </c>
      <c r="N91" s="24" t="n"/>
      <c r="O91" s="22" t="n"/>
      <c r="P91" s="26">
        <f>IF(N(N91)=0,"",IF(N91&gt;0,set_WIPAsset,IF(J91="Cost",IF(O91="","(set the P&amp;L Account)",O91),IF(O91="",set_WIPIncome,O91))))</f>
        <v/>
      </c>
      <c r="Q91" s="26">
        <f>IF(N(N91)=0,"",IF(N91&gt;0,IF(J91="Cost",IF(O91="","(set the P&amp;L Account)",O91),IF(O91="",set_WIPIncome,O91)),set_WIPAsset))</f>
        <v/>
      </c>
      <c r="R91" s="27">
        <f>IF(OR(N(N91)=0,K91&lt;&gt;""),"",ABS(N91))</f>
        <v/>
      </c>
      <c r="S91" s="26">
        <f>IF(N(N91)=0,"",IF(K91&lt;&gt;"","spreads monthly - see Deferred Revenue","WIP "&amp;I91&amp;IF(D91="",""," - "&amp;D91)&amp;IF(F91="",""," "&amp;F91)&amp;IF(H91="",""," - "&amp;H91)))</f>
        <v/>
      </c>
      <c r="T91" s="22" t="n"/>
      <c r="U91" s="22" t="n"/>
      <c r="V91" s="22" t="n"/>
    </row>
    <row r="92" ht="15" customHeight="1">
      <c r="A92" s="72" t="n"/>
      <c r="B92" s="70">
        <f>IF(C92="","",IFERROR(INDEX(tbl_Finance[Date],MATCH(C92&amp;"",tbl_Finance[Xero Invoice No],0)),""))</f>
        <v/>
      </c>
      <c r="C92" s="22" t="n"/>
      <c r="D92" s="22" t="n"/>
      <c r="E92" s="26">
        <f>IF(D92="","",IF(COUNTIF(lst_Jobs,D92&amp;"")&gt;0,"OK","CHECK"))</f>
        <v/>
      </c>
      <c r="F92" s="22" t="n"/>
      <c r="G92" s="22" t="n"/>
      <c r="H92" s="22" t="n"/>
      <c r="I92" s="22" t="n"/>
      <c r="J92" s="22" t="n"/>
      <c r="K92" s="23" t="n"/>
      <c r="L92" s="23" t="n"/>
      <c r="M92" s="26">
        <f>IF(N92="","",IF(OR(K92="",L92=""),"one month",TEXT(MAX(1,(YEAR(L92)-YEAR(K92))*12+MONTH(L92)-MONTH(K92)+1),"0")&amp;" months - see Deferred Revenue"))</f>
        <v/>
      </c>
      <c r="N92" s="24" t="n"/>
      <c r="O92" s="22" t="n"/>
      <c r="P92" s="26">
        <f>IF(N(N92)=0,"",IF(N92&gt;0,set_WIPAsset,IF(J92="Cost",IF(O92="","(set the P&amp;L Account)",O92),IF(O92="",set_WIPIncome,O92))))</f>
        <v/>
      </c>
      <c r="Q92" s="26">
        <f>IF(N(N92)=0,"",IF(N92&gt;0,IF(J92="Cost",IF(O92="","(set the P&amp;L Account)",O92),IF(O92="",set_WIPIncome,O92)),set_WIPAsset))</f>
        <v/>
      </c>
      <c r="R92" s="27">
        <f>IF(OR(N(N92)=0,K92&lt;&gt;""),"",ABS(N92))</f>
        <v/>
      </c>
      <c r="S92" s="26">
        <f>IF(N(N92)=0,"",IF(K92&lt;&gt;"","spreads monthly - see Deferred Revenue","WIP "&amp;I92&amp;IF(D92="",""," - "&amp;D92)&amp;IF(F92="",""," "&amp;F92)&amp;IF(H92="",""," - "&amp;H92)))</f>
        <v/>
      </c>
      <c r="T92" s="22" t="n"/>
      <c r="U92" s="22" t="n"/>
      <c r="V92" s="22" t="n"/>
    </row>
    <row r="93" ht="15" customHeight="1">
      <c r="A93" s="72" t="n"/>
      <c r="B93" s="70">
        <f>IF(C93="","",IFERROR(INDEX(tbl_Finance[Date],MATCH(C93&amp;"",tbl_Finance[Xero Invoice No],0)),""))</f>
        <v/>
      </c>
      <c r="C93" s="22" t="n"/>
      <c r="D93" s="22" t="n"/>
      <c r="E93" s="26">
        <f>IF(D93="","",IF(COUNTIF(lst_Jobs,D93&amp;"")&gt;0,"OK","CHECK"))</f>
        <v/>
      </c>
      <c r="F93" s="22" t="n"/>
      <c r="G93" s="22" t="n"/>
      <c r="H93" s="22" t="n"/>
      <c r="I93" s="22" t="n"/>
      <c r="J93" s="22" t="n"/>
      <c r="K93" s="23" t="n"/>
      <c r="L93" s="23" t="n"/>
      <c r="M93" s="26">
        <f>IF(N93="","",IF(OR(K93="",L93=""),"one month",TEXT(MAX(1,(YEAR(L93)-YEAR(K93))*12+MONTH(L93)-MONTH(K93)+1),"0")&amp;" months - see Deferred Revenue"))</f>
        <v/>
      </c>
      <c r="N93" s="24" t="n"/>
      <c r="O93" s="22" t="n"/>
      <c r="P93" s="26">
        <f>IF(N(N93)=0,"",IF(N93&gt;0,set_WIPAsset,IF(J93="Cost",IF(O93="","(set the P&amp;L Account)",O93),IF(O93="",set_WIPIncome,O93))))</f>
        <v/>
      </c>
      <c r="Q93" s="26">
        <f>IF(N(N93)=0,"",IF(N93&gt;0,IF(J93="Cost",IF(O93="","(set the P&amp;L Account)",O93),IF(O93="",set_WIPIncome,O93)),set_WIPAsset))</f>
        <v/>
      </c>
      <c r="R93" s="27">
        <f>IF(OR(N(N93)=0,K93&lt;&gt;""),"",ABS(N93))</f>
        <v/>
      </c>
      <c r="S93" s="26">
        <f>IF(N(N93)=0,"",IF(K93&lt;&gt;"","spreads monthly - see Deferred Revenue","WIP "&amp;I93&amp;IF(D93="",""," - "&amp;D93)&amp;IF(F93="",""," "&amp;F93)&amp;IF(H93="",""," - "&amp;H93)))</f>
        <v/>
      </c>
      <c r="T93" s="22" t="n"/>
      <c r="U93" s="22" t="n"/>
      <c r="V93" s="22" t="n"/>
    </row>
    <row r="94" ht="15" customHeight="1">
      <c r="A94" s="72" t="n"/>
      <c r="B94" s="70">
        <f>IF(C94="","",IFERROR(INDEX(tbl_Finance[Date],MATCH(C94&amp;"",tbl_Finance[Xero Invoice No],0)),""))</f>
        <v/>
      </c>
      <c r="C94" s="22" t="n"/>
      <c r="D94" s="22" t="n"/>
      <c r="E94" s="26">
        <f>IF(D94="","",IF(COUNTIF(lst_Jobs,D94&amp;"")&gt;0,"OK","CHECK"))</f>
        <v/>
      </c>
      <c r="F94" s="22" t="n"/>
      <c r="G94" s="22" t="n"/>
      <c r="H94" s="22" t="n"/>
      <c r="I94" s="22" t="n"/>
      <c r="J94" s="22" t="n"/>
      <c r="K94" s="23" t="n"/>
      <c r="L94" s="23" t="n"/>
      <c r="M94" s="26">
        <f>IF(N94="","",IF(OR(K94="",L94=""),"one month",TEXT(MAX(1,(YEAR(L94)-YEAR(K94))*12+MONTH(L94)-MONTH(K94)+1),"0")&amp;" months - see Deferred Revenue"))</f>
        <v/>
      </c>
      <c r="N94" s="24" t="n"/>
      <c r="O94" s="22" t="n"/>
      <c r="P94" s="26">
        <f>IF(N(N94)=0,"",IF(N94&gt;0,set_WIPAsset,IF(J94="Cost",IF(O94="","(set the P&amp;L Account)",O94),IF(O94="",set_WIPIncome,O94))))</f>
        <v/>
      </c>
      <c r="Q94" s="26">
        <f>IF(N(N94)=0,"",IF(N94&gt;0,IF(J94="Cost",IF(O94="","(set the P&amp;L Account)",O94),IF(O94="",set_WIPIncome,O94)),set_WIPAsset))</f>
        <v/>
      </c>
      <c r="R94" s="27">
        <f>IF(OR(N(N94)=0,K94&lt;&gt;""),"",ABS(N94))</f>
        <v/>
      </c>
      <c r="S94" s="26">
        <f>IF(N(N94)=0,"",IF(K94&lt;&gt;"","spreads monthly - see Deferred Revenue","WIP "&amp;I94&amp;IF(D94="",""," - "&amp;D94)&amp;IF(F94="",""," "&amp;F94)&amp;IF(H94="",""," - "&amp;H94)))</f>
        <v/>
      </c>
      <c r="T94" s="22" t="n"/>
      <c r="U94" s="22" t="n"/>
      <c r="V94" s="22" t="n"/>
    </row>
    <row r="95" ht="15" customHeight="1">
      <c r="A95" s="72" t="n"/>
      <c r="B95" s="70">
        <f>IF(C95="","",IFERROR(INDEX(tbl_Finance[Date],MATCH(C95&amp;"",tbl_Finance[Xero Invoice No],0)),""))</f>
        <v/>
      </c>
      <c r="C95" s="22" t="n"/>
      <c r="D95" s="22" t="n"/>
      <c r="E95" s="26">
        <f>IF(D95="","",IF(COUNTIF(lst_Jobs,D95&amp;"")&gt;0,"OK","CHECK"))</f>
        <v/>
      </c>
      <c r="F95" s="22" t="n"/>
      <c r="G95" s="22" t="n"/>
      <c r="H95" s="22" t="n"/>
      <c r="I95" s="22" t="n"/>
      <c r="J95" s="22" t="n"/>
      <c r="K95" s="23" t="n"/>
      <c r="L95" s="23" t="n"/>
      <c r="M95" s="26">
        <f>IF(N95="","",IF(OR(K95="",L95=""),"one month",TEXT(MAX(1,(YEAR(L95)-YEAR(K95))*12+MONTH(L95)-MONTH(K95)+1),"0")&amp;" months - see Deferred Revenue"))</f>
        <v/>
      </c>
      <c r="N95" s="24" t="n"/>
      <c r="O95" s="22" t="n"/>
      <c r="P95" s="26">
        <f>IF(N(N95)=0,"",IF(N95&gt;0,set_WIPAsset,IF(J95="Cost",IF(O95="","(set the P&amp;L Account)",O95),IF(O95="",set_WIPIncome,O95))))</f>
        <v/>
      </c>
      <c r="Q95" s="26">
        <f>IF(N(N95)=0,"",IF(N95&gt;0,IF(J95="Cost",IF(O95="","(set the P&amp;L Account)",O95),IF(O95="",set_WIPIncome,O95)),set_WIPAsset))</f>
        <v/>
      </c>
      <c r="R95" s="27">
        <f>IF(OR(N(N95)=0,K95&lt;&gt;""),"",ABS(N95))</f>
        <v/>
      </c>
      <c r="S95" s="26">
        <f>IF(N(N95)=0,"",IF(K95&lt;&gt;"","spreads monthly - see Deferred Revenue","WIP "&amp;I95&amp;IF(D95="",""," - "&amp;D95)&amp;IF(F95="",""," "&amp;F95)&amp;IF(H95="",""," - "&amp;H95)))</f>
        <v/>
      </c>
      <c r="T95" s="22" t="n"/>
      <c r="U95" s="22" t="n"/>
      <c r="V95" s="22" t="n"/>
    </row>
    <row r="96" ht="15" customHeight="1">
      <c r="A96" s="72" t="n"/>
      <c r="B96" s="70">
        <f>IF(C96="","",IFERROR(INDEX(tbl_Finance[Date],MATCH(C96&amp;"",tbl_Finance[Xero Invoice No],0)),""))</f>
        <v/>
      </c>
      <c r="C96" s="22" t="n"/>
      <c r="D96" s="22" t="n"/>
      <c r="E96" s="26">
        <f>IF(D96="","",IF(COUNTIF(lst_Jobs,D96&amp;"")&gt;0,"OK","CHECK"))</f>
        <v/>
      </c>
      <c r="F96" s="22" t="n"/>
      <c r="G96" s="22" t="n"/>
      <c r="H96" s="22" t="n"/>
      <c r="I96" s="22" t="n"/>
      <c r="J96" s="22" t="n"/>
      <c r="K96" s="23" t="n"/>
      <c r="L96" s="23" t="n"/>
      <c r="M96" s="26">
        <f>IF(N96="","",IF(OR(K96="",L96=""),"one month",TEXT(MAX(1,(YEAR(L96)-YEAR(K96))*12+MONTH(L96)-MONTH(K96)+1),"0")&amp;" months - see Deferred Revenue"))</f>
        <v/>
      </c>
      <c r="N96" s="24" t="n"/>
      <c r="O96" s="22" t="n"/>
      <c r="P96" s="26">
        <f>IF(N(N96)=0,"",IF(N96&gt;0,set_WIPAsset,IF(J96="Cost",IF(O96="","(set the P&amp;L Account)",O96),IF(O96="",set_WIPIncome,O96))))</f>
        <v/>
      </c>
      <c r="Q96" s="26">
        <f>IF(N(N96)=0,"",IF(N96&gt;0,IF(J96="Cost",IF(O96="","(set the P&amp;L Account)",O96),IF(O96="",set_WIPIncome,O96)),set_WIPAsset))</f>
        <v/>
      </c>
      <c r="R96" s="27">
        <f>IF(OR(N(N96)=0,K96&lt;&gt;""),"",ABS(N96))</f>
        <v/>
      </c>
      <c r="S96" s="26">
        <f>IF(N(N96)=0,"",IF(K96&lt;&gt;"","spreads monthly - see Deferred Revenue","WIP "&amp;I96&amp;IF(D96="",""," - "&amp;D96)&amp;IF(F96="",""," "&amp;F96)&amp;IF(H96="",""," - "&amp;H96)))</f>
        <v/>
      </c>
      <c r="T96" s="22" t="n"/>
      <c r="U96" s="22" t="n"/>
      <c r="V96" s="22" t="n"/>
    </row>
    <row r="97" ht="15" customHeight="1">
      <c r="A97" s="72" t="n"/>
      <c r="B97" s="70">
        <f>IF(C97="","",IFERROR(INDEX(tbl_Finance[Date],MATCH(C97&amp;"",tbl_Finance[Xero Invoice No],0)),""))</f>
        <v/>
      </c>
      <c r="C97" s="22" t="n"/>
      <c r="D97" s="22" t="n"/>
      <c r="E97" s="26">
        <f>IF(D97="","",IF(COUNTIF(lst_Jobs,D97&amp;"")&gt;0,"OK","CHECK"))</f>
        <v/>
      </c>
      <c r="F97" s="22" t="n"/>
      <c r="G97" s="22" t="n"/>
      <c r="H97" s="22" t="n"/>
      <c r="I97" s="22" t="n"/>
      <c r="J97" s="22" t="n"/>
      <c r="K97" s="23" t="n"/>
      <c r="L97" s="23" t="n"/>
      <c r="M97" s="26">
        <f>IF(N97="","",IF(OR(K97="",L97=""),"one month",TEXT(MAX(1,(YEAR(L97)-YEAR(K97))*12+MONTH(L97)-MONTH(K97)+1),"0")&amp;" months - see Deferred Revenue"))</f>
        <v/>
      </c>
      <c r="N97" s="24" t="n"/>
      <c r="O97" s="22" t="n"/>
      <c r="P97" s="26">
        <f>IF(N(N97)=0,"",IF(N97&gt;0,set_WIPAsset,IF(J97="Cost",IF(O97="","(set the P&amp;L Account)",O97),IF(O97="",set_WIPIncome,O97))))</f>
        <v/>
      </c>
      <c r="Q97" s="26">
        <f>IF(N(N97)=0,"",IF(N97&gt;0,IF(J97="Cost",IF(O97="","(set the P&amp;L Account)",O97),IF(O97="",set_WIPIncome,O97)),set_WIPAsset))</f>
        <v/>
      </c>
      <c r="R97" s="27">
        <f>IF(OR(N(N97)=0,K97&lt;&gt;""),"",ABS(N97))</f>
        <v/>
      </c>
      <c r="S97" s="26">
        <f>IF(N(N97)=0,"",IF(K97&lt;&gt;"","spreads monthly - see Deferred Revenue","WIP "&amp;I97&amp;IF(D97="",""," - "&amp;D97)&amp;IF(F97="",""," "&amp;F97)&amp;IF(H97="",""," - "&amp;H97)))</f>
        <v/>
      </c>
      <c r="T97" s="22" t="n"/>
      <c r="U97" s="22" t="n"/>
      <c r="V97" s="22" t="n"/>
    </row>
    <row r="98" ht="15" customHeight="1">
      <c r="A98" s="72" t="n"/>
      <c r="B98" s="70">
        <f>IF(C98="","",IFERROR(INDEX(tbl_Finance[Date],MATCH(C98&amp;"",tbl_Finance[Xero Invoice No],0)),""))</f>
        <v/>
      </c>
      <c r="C98" s="22" t="n"/>
      <c r="D98" s="22" t="n"/>
      <c r="E98" s="26">
        <f>IF(D98="","",IF(COUNTIF(lst_Jobs,D98&amp;"")&gt;0,"OK","CHECK"))</f>
        <v/>
      </c>
      <c r="F98" s="22" t="n"/>
      <c r="G98" s="22" t="n"/>
      <c r="H98" s="22" t="n"/>
      <c r="I98" s="22" t="n"/>
      <c r="J98" s="22" t="n"/>
      <c r="K98" s="23" t="n"/>
      <c r="L98" s="23" t="n"/>
      <c r="M98" s="26">
        <f>IF(N98="","",IF(OR(K98="",L98=""),"one month",TEXT(MAX(1,(YEAR(L98)-YEAR(K98))*12+MONTH(L98)-MONTH(K98)+1),"0")&amp;" months - see Deferred Revenue"))</f>
        <v/>
      </c>
      <c r="N98" s="24" t="n"/>
      <c r="O98" s="22" t="n"/>
      <c r="P98" s="26">
        <f>IF(N(N98)=0,"",IF(N98&gt;0,set_WIPAsset,IF(J98="Cost",IF(O98="","(set the P&amp;L Account)",O98),IF(O98="",set_WIPIncome,O98))))</f>
        <v/>
      </c>
      <c r="Q98" s="26">
        <f>IF(N(N98)=0,"",IF(N98&gt;0,IF(J98="Cost",IF(O98="","(set the P&amp;L Account)",O98),IF(O98="",set_WIPIncome,O98)),set_WIPAsset))</f>
        <v/>
      </c>
      <c r="R98" s="27">
        <f>IF(OR(N(N98)=0,K98&lt;&gt;""),"",ABS(N98))</f>
        <v/>
      </c>
      <c r="S98" s="26">
        <f>IF(N(N98)=0,"",IF(K98&lt;&gt;"","spreads monthly - see Deferred Revenue","WIP "&amp;I98&amp;IF(D98="",""," - "&amp;D98)&amp;IF(F98="",""," "&amp;F98)&amp;IF(H98="",""," - "&amp;H98)))</f>
        <v/>
      </c>
      <c r="T98" s="22" t="n"/>
      <c r="U98" s="22" t="n"/>
      <c r="V98" s="22" t="n"/>
    </row>
    <row r="99" ht="15" customHeight="1">
      <c r="A99" s="72" t="n"/>
      <c r="B99" s="70">
        <f>IF(C99="","",IFERROR(INDEX(tbl_Finance[Date],MATCH(C99&amp;"",tbl_Finance[Xero Invoice No],0)),""))</f>
        <v/>
      </c>
      <c r="C99" s="22" t="n"/>
      <c r="D99" s="22" t="n"/>
      <c r="E99" s="26">
        <f>IF(D99="","",IF(COUNTIF(lst_Jobs,D99&amp;"")&gt;0,"OK","CHECK"))</f>
        <v/>
      </c>
      <c r="F99" s="22" t="n"/>
      <c r="G99" s="22" t="n"/>
      <c r="H99" s="22" t="n"/>
      <c r="I99" s="22" t="n"/>
      <c r="J99" s="22" t="n"/>
      <c r="K99" s="23" t="n"/>
      <c r="L99" s="23" t="n"/>
      <c r="M99" s="26">
        <f>IF(N99="","",IF(OR(K99="",L99=""),"one month",TEXT(MAX(1,(YEAR(L99)-YEAR(K99))*12+MONTH(L99)-MONTH(K99)+1),"0")&amp;" months - see Deferred Revenue"))</f>
        <v/>
      </c>
      <c r="N99" s="24" t="n"/>
      <c r="O99" s="22" t="n"/>
      <c r="P99" s="26">
        <f>IF(N(N99)=0,"",IF(N99&gt;0,set_WIPAsset,IF(J99="Cost",IF(O99="","(set the P&amp;L Account)",O99),IF(O99="",set_WIPIncome,O99))))</f>
        <v/>
      </c>
      <c r="Q99" s="26">
        <f>IF(N(N99)=0,"",IF(N99&gt;0,IF(J99="Cost",IF(O99="","(set the P&amp;L Account)",O99),IF(O99="",set_WIPIncome,O99)),set_WIPAsset))</f>
        <v/>
      </c>
      <c r="R99" s="27">
        <f>IF(OR(N(N99)=0,K99&lt;&gt;""),"",ABS(N99))</f>
        <v/>
      </c>
      <c r="S99" s="26">
        <f>IF(N(N99)=0,"",IF(K99&lt;&gt;"","spreads monthly - see Deferred Revenue","WIP "&amp;I99&amp;IF(D99="",""," - "&amp;D99)&amp;IF(F99="",""," "&amp;F99)&amp;IF(H99="",""," - "&amp;H99)))</f>
        <v/>
      </c>
      <c r="T99" s="22" t="n"/>
      <c r="U99" s="22" t="n"/>
      <c r="V99" s="22" t="n"/>
    </row>
    <row r="100" ht="15" customHeight="1">
      <c r="A100" s="72" t="n"/>
      <c r="B100" s="70">
        <f>IF(C100="","",IFERROR(INDEX(tbl_Finance[Date],MATCH(C100&amp;"",tbl_Finance[Xero Invoice No],0)),""))</f>
        <v/>
      </c>
      <c r="C100" s="22" t="n"/>
      <c r="D100" s="22" t="n"/>
      <c r="E100" s="26">
        <f>IF(D100="","",IF(COUNTIF(lst_Jobs,D100&amp;"")&gt;0,"OK","CHECK"))</f>
        <v/>
      </c>
      <c r="F100" s="22" t="n"/>
      <c r="G100" s="22" t="n"/>
      <c r="H100" s="22" t="n"/>
      <c r="I100" s="22" t="n"/>
      <c r="J100" s="22" t="n"/>
      <c r="K100" s="23" t="n"/>
      <c r="L100" s="23" t="n"/>
      <c r="M100" s="26">
        <f>IF(N100="","",IF(OR(K100="",L100=""),"one month",TEXT(MAX(1,(YEAR(L100)-YEAR(K100))*12+MONTH(L100)-MONTH(K100)+1),"0")&amp;" months - see Deferred Revenue"))</f>
        <v/>
      </c>
      <c r="N100" s="24" t="n"/>
      <c r="O100" s="22" t="n"/>
      <c r="P100" s="26">
        <f>IF(N(N100)=0,"",IF(N100&gt;0,set_WIPAsset,IF(J100="Cost",IF(O100="","(set the P&amp;L Account)",O100),IF(O100="",set_WIPIncome,O100))))</f>
        <v/>
      </c>
      <c r="Q100" s="26">
        <f>IF(N(N100)=0,"",IF(N100&gt;0,IF(J100="Cost",IF(O100="","(set the P&amp;L Account)",O100),IF(O100="",set_WIPIncome,O100)),set_WIPAsset))</f>
        <v/>
      </c>
      <c r="R100" s="27">
        <f>IF(OR(N(N100)=0,K100&lt;&gt;""),"",ABS(N100))</f>
        <v/>
      </c>
      <c r="S100" s="26">
        <f>IF(N(N100)=0,"",IF(K100&lt;&gt;"","spreads monthly - see Deferred Revenue","WIP "&amp;I100&amp;IF(D100="",""," - "&amp;D100)&amp;IF(F100="",""," "&amp;F100)&amp;IF(H100="",""," - "&amp;H100)))</f>
        <v/>
      </c>
      <c r="T100" s="22" t="n"/>
      <c r="U100" s="22" t="n"/>
      <c r="V100" s="22" t="n"/>
    </row>
    <row r="101" ht="15" customHeight="1">
      <c r="A101" s="72" t="n"/>
      <c r="B101" s="70">
        <f>IF(C101="","",IFERROR(INDEX(tbl_Finance[Date],MATCH(C101&amp;"",tbl_Finance[Xero Invoice No],0)),""))</f>
        <v/>
      </c>
      <c r="C101" s="22" t="n"/>
      <c r="D101" s="22" t="n"/>
      <c r="E101" s="26">
        <f>IF(D101="","",IF(COUNTIF(lst_Jobs,D101&amp;"")&gt;0,"OK","CHECK"))</f>
        <v/>
      </c>
      <c r="F101" s="22" t="n"/>
      <c r="G101" s="22" t="n"/>
      <c r="H101" s="22" t="n"/>
      <c r="I101" s="22" t="n"/>
      <c r="J101" s="22" t="n"/>
      <c r="K101" s="23" t="n"/>
      <c r="L101" s="23" t="n"/>
      <c r="M101" s="26">
        <f>IF(N101="","",IF(OR(K101="",L101=""),"one month",TEXT(MAX(1,(YEAR(L101)-YEAR(K101))*12+MONTH(L101)-MONTH(K101)+1),"0")&amp;" months - see Deferred Revenue"))</f>
        <v/>
      </c>
      <c r="N101" s="24" t="n"/>
      <c r="O101" s="22" t="n"/>
      <c r="P101" s="26">
        <f>IF(N(N101)=0,"",IF(N101&gt;0,set_WIPAsset,IF(J101="Cost",IF(O101="","(set the P&amp;L Account)",O101),IF(O101="",set_WIPIncome,O101))))</f>
        <v/>
      </c>
      <c r="Q101" s="26">
        <f>IF(N(N101)=0,"",IF(N101&gt;0,IF(J101="Cost",IF(O101="","(set the P&amp;L Account)",O101),IF(O101="",set_WIPIncome,O101)),set_WIPAsset))</f>
        <v/>
      </c>
      <c r="R101" s="27">
        <f>IF(OR(N(N101)=0,K101&lt;&gt;""),"",ABS(N101))</f>
        <v/>
      </c>
      <c r="S101" s="26">
        <f>IF(N(N101)=0,"",IF(K101&lt;&gt;"","spreads monthly - see Deferred Revenue","WIP "&amp;I101&amp;IF(D101="",""," - "&amp;D101)&amp;IF(F101="",""," "&amp;F101)&amp;IF(H101="",""," - "&amp;H101)))</f>
        <v/>
      </c>
      <c r="T101" s="22" t="n"/>
      <c r="U101" s="22" t="n"/>
      <c r="V101" s="22" t="n"/>
    </row>
    <row r="102" ht="15" customHeight="1">
      <c r="A102" s="72" t="n"/>
      <c r="B102" s="70">
        <f>IF(C102="","",IFERROR(INDEX(tbl_Finance[Date],MATCH(C102&amp;"",tbl_Finance[Xero Invoice No],0)),""))</f>
        <v/>
      </c>
      <c r="C102" s="22" t="n"/>
      <c r="D102" s="22" t="n"/>
      <c r="E102" s="26">
        <f>IF(D102="","",IF(COUNTIF(lst_Jobs,D102&amp;"")&gt;0,"OK","CHECK"))</f>
        <v/>
      </c>
      <c r="F102" s="22" t="n"/>
      <c r="G102" s="22" t="n"/>
      <c r="H102" s="22" t="n"/>
      <c r="I102" s="22" t="n"/>
      <c r="J102" s="22" t="n"/>
      <c r="K102" s="23" t="n"/>
      <c r="L102" s="23" t="n"/>
      <c r="M102" s="26">
        <f>IF(N102="","",IF(OR(K102="",L102=""),"one month",TEXT(MAX(1,(YEAR(L102)-YEAR(K102))*12+MONTH(L102)-MONTH(K102)+1),"0")&amp;" months - see Deferred Revenue"))</f>
        <v/>
      </c>
      <c r="N102" s="24" t="n"/>
      <c r="O102" s="22" t="n"/>
      <c r="P102" s="26">
        <f>IF(N(N102)=0,"",IF(N102&gt;0,set_WIPAsset,IF(J102="Cost",IF(O102="","(set the P&amp;L Account)",O102),IF(O102="",set_WIPIncome,O102))))</f>
        <v/>
      </c>
      <c r="Q102" s="26">
        <f>IF(N(N102)=0,"",IF(N102&gt;0,IF(J102="Cost",IF(O102="","(set the P&amp;L Account)",O102),IF(O102="",set_WIPIncome,O102)),set_WIPAsset))</f>
        <v/>
      </c>
      <c r="R102" s="27">
        <f>IF(OR(N(N102)=0,K102&lt;&gt;""),"",ABS(N102))</f>
        <v/>
      </c>
      <c r="S102" s="26">
        <f>IF(N(N102)=0,"",IF(K102&lt;&gt;"","spreads monthly - see Deferred Revenue","WIP "&amp;I102&amp;IF(D102="",""," - "&amp;D102)&amp;IF(F102="",""," "&amp;F102)&amp;IF(H102="",""," - "&amp;H102)))</f>
        <v/>
      </c>
      <c r="T102" s="22" t="n"/>
      <c r="U102" s="22" t="n"/>
      <c r="V102" s="22" t="n"/>
    </row>
    <row r="103" ht="15" customHeight="1">
      <c r="A103" s="72" t="n"/>
      <c r="B103" s="70">
        <f>IF(C103="","",IFERROR(INDEX(tbl_Finance[Date],MATCH(C103&amp;"",tbl_Finance[Xero Invoice No],0)),""))</f>
        <v/>
      </c>
      <c r="C103" s="22" t="n"/>
      <c r="D103" s="22" t="n"/>
      <c r="E103" s="26">
        <f>IF(D103="","",IF(COUNTIF(lst_Jobs,D103&amp;"")&gt;0,"OK","CHECK"))</f>
        <v/>
      </c>
      <c r="F103" s="22" t="n"/>
      <c r="G103" s="22" t="n"/>
      <c r="H103" s="22" t="n"/>
      <c r="I103" s="22" t="n"/>
      <c r="J103" s="22" t="n"/>
      <c r="K103" s="23" t="n"/>
      <c r="L103" s="23" t="n"/>
      <c r="M103" s="26">
        <f>IF(N103="","",IF(OR(K103="",L103=""),"one month",TEXT(MAX(1,(YEAR(L103)-YEAR(K103))*12+MONTH(L103)-MONTH(K103)+1),"0")&amp;" months - see Deferred Revenue"))</f>
        <v/>
      </c>
      <c r="N103" s="24" t="n"/>
      <c r="O103" s="22" t="n"/>
      <c r="P103" s="26">
        <f>IF(N(N103)=0,"",IF(N103&gt;0,set_WIPAsset,IF(J103="Cost",IF(O103="","(set the P&amp;L Account)",O103),IF(O103="",set_WIPIncome,O103))))</f>
        <v/>
      </c>
      <c r="Q103" s="26">
        <f>IF(N(N103)=0,"",IF(N103&gt;0,IF(J103="Cost",IF(O103="","(set the P&amp;L Account)",O103),IF(O103="",set_WIPIncome,O103)),set_WIPAsset))</f>
        <v/>
      </c>
      <c r="R103" s="27">
        <f>IF(OR(N(N103)=0,K103&lt;&gt;""),"",ABS(N103))</f>
        <v/>
      </c>
      <c r="S103" s="26">
        <f>IF(N(N103)=0,"",IF(K103&lt;&gt;"","spreads monthly - see Deferred Revenue","WIP "&amp;I103&amp;IF(D103="",""," - "&amp;D103)&amp;IF(F103="",""," "&amp;F103)&amp;IF(H103="",""," - "&amp;H103)))</f>
        <v/>
      </c>
      <c r="T103" s="22" t="n"/>
      <c r="U103" s="22" t="n"/>
      <c r="V103" s="22" t="n"/>
    </row>
    <row r="104" ht="15" customHeight="1">
      <c r="A104" s="72" t="n"/>
      <c r="B104" s="70">
        <f>IF(C104="","",IFERROR(INDEX(tbl_Finance[Date],MATCH(C104&amp;"",tbl_Finance[Xero Invoice No],0)),""))</f>
        <v/>
      </c>
      <c r="C104" s="22" t="n"/>
      <c r="D104" s="22" t="n"/>
      <c r="E104" s="26">
        <f>IF(D104="","",IF(COUNTIF(lst_Jobs,D104&amp;"")&gt;0,"OK","CHECK"))</f>
        <v/>
      </c>
      <c r="F104" s="22" t="n"/>
      <c r="G104" s="22" t="n"/>
      <c r="H104" s="22" t="n"/>
      <c r="I104" s="22" t="n"/>
      <c r="J104" s="22" t="n"/>
      <c r="K104" s="23" t="n"/>
      <c r="L104" s="23" t="n"/>
      <c r="M104" s="26">
        <f>IF(N104="","",IF(OR(K104="",L104=""),"one month",TEXT(MAX(1,(YEAR(L104)-YEAR(K104))*12+MONTH(L104)-MONTH(K104)+1),"0")&amp;" months - see Deferred Revenue"))</f>
        <v/>
      </c>
      <c r="N104" s="24" t="n"/>
      <c r="O104" s="22" t="n"/>
      <c r="P104" s="26">
        <f>IF(N(N104)=0,"",IF(N104&gt;0,set_WIPAsset,IF(J104="Cost",IF(O104="","(set the P&amp;L Account)",O104),IF(O104="",set_WIPIncome,O104))))</f>
        <v/>
      </c>
      <c r="Q104" s="26">
        <f>IF(N(N104)=0,"",IF(N104&gt;0,IF(J104="Cost",IF(O104="","(set the P&amp;L Account)",O104),IF(O104="",set_WIPIncome,O104)),set_WIPAsset))</f>
        <v/>
      </c>
      <c r="R104" s="27">
        <f>IF(OR(N(N104)=0,K104&lt;&gt;""),"",ABS(N104))</f>
        <v/>
      </c>
      <c r="S104" s="26">
        <f>IF(N(N104)=0,"",IF(K104&lt;&gt;"","spreads monthly - see Deferred Revenue","WIP "&amp;I104&amp;IF(D104="",""," - "&amp;D104)&amp;IF(F104="",""," "&amp;F104)&amp;IF(H104="",""," - "&amp;H104)))</f>
        <v/>
      </c>
      <c r="T104" s="22" t="n"/>
      <c r="U104" s="22" t="n"/>
      <c r="V104" s="22" t="n"/>
    </row>
    <row r="105" ht="15" customHeight="1">
      <c r="A105" s="72" t="n"/>
      <c r="B105" s="70">
        <f>IF(C105="","",IFERROR(INDEX(tbl_Finance[Date],MATCH(C105&amp;"",tbl_Finance[Xero Invoice No],0)),""))</f>
        <v/>
      </c>
      <c r="C105" s="22" t="n"/>
      <c r="D105" s="22" t="n"/>
      <c r="E105" s="26">
        <f>IF(D105="","",IF(COUNTIF(lst_Jobs,D105&amp;"")&gt;0,"OK","CHECK"))</f>
        <v/>
      </c>
      <c r="F105" s="22" t="n"/>
      <c r="G105" s="22" t="n"/>
      <c r="H105" s="22" t="n"/>
      <c r="I105" s="22" t="n"/>
      <c r="J105" s="22" t="n"/>
      <c r="K105" s="23" t="n"/>
      <c r="L105" s="23" t="n"/>
      <c r="M105" s="26">
        <f>IF(N105="","",IF(OR(K105="",L105=""),"one month",TEXT(MAX(1,(YEAR(L105)-YEAR(K105))*12+MONTH(L105)-MONTH(K105)+1),"0")&amp;" months - see Deferred Revenue"))</f>
        <v/>
      </c>
      <c r="N105" s="24" t="n"/>
      <c r="O105" s="22" t="n"/>
      <c r="P105" s="26">
        <f>IF(N(N105)=0,"",IF(N105&gt;0,set_WIPAsset,IF(J105="Cost",IF(O105="","(set the P&amp;L Account)",O105),IF(O105="",set_WIPIncome,O105))))</f>
        <v/>
      </c>
      <c r="Q105" s="26">
        <f>IF(N(N105)=0,"",IF(N105&gt;0,IF(J105="Cost",IF(O105="","(set the P&amp;L Account)",O105),IF(O105="",set_WIPIncome,O105)),set_WIPAsset))</f>
        <v/>
      </c>
      <c r="R105" s="27">
        <f>IF(OR(N(N105)=0,K105&lt;&gt;""),"",ABS(N105))</f>
        <v/>
      </c>
      <c r="S105" s="26">
        <f>IF(N(N105)=0,"",IF(K105&lt;&gt;"","spreads monthly - see Deferred Revenue","WIP "&amp;I105&amp;IF(D105="",""," - "&amp;D105)&amp;IF(F105="",""," "&amp;F105)&amp;IF(H105="",""," - "&amp;H105)))</f>
        <v/>
      </c>
      <c r="T105" s="22" t="n"/>
      <c r="U105" s="22" t="n"/>
      <c r="V105" s="22" t="n"/>
    </row>
    <row r="106" ht="15" customHeight="1">
      <c r="A106" s="72" t="n"/>
      <c r="B106" s="70">
        <f>IF(C106="","",IFERROR(INDEX(tbl_Finance[Date],MATCH(C106&amp;"",tbl_Finance[Xero Invoice No],0)),""))</f>
        <v/>
      </c>
      <c r="C106" s="22" t="n"/>
      <c r="D106" s="22" t="n"/>
      <c r="E106" s="26">
        <f>IF(D106="","",IF(COUNTIF(lst_Jobs,D106&amp;"")&gt;0,"OK","CHECK"))</f>
        <v/>
      </c>
      <c r="F106" s="22" t="n"/>
      <c r="G106" s="22" t="n"/>
      <c r="H106" s="22" t="n"/>
      <c r="I106" s="22" t="n"/>
      <c r="J106" s="22" t="n"/>
      <c r="K106" s="23" t="n"/>
      <c r="L106" s="23" t="n"/>
      <c r="M106" s="26">
        <f>IF(N106="","",IF(OR(K106="",L106=""),"one month",TEXT(MAX(1,(YEAR(L106)-YEAR(K106))*12+MONTH(L106)-MONTH(K106)+1),"0")&amp;" months - see Deferred Revenue"))</f>
        <v/>
      </c>
      <c r="N106" s="24" t="n"/>
      <c r="O106" s="22" t="n"/>
      <c r="P106" s="26">
        <f>IF(N(N106)=0,"",IF(N106&gt;0,set_WIPAsset,IF(J106="Cost",IF(O106="","(set the P&amp;L Account)",O106),IF(O106="",set_WIPIncome,O106))))</f>
        <v/>
      </c>
      <c r="Q106" s="26">
        <f>IF(N(N106)=0,"",IF(N106&gt;0,IF(J106="Cost",IF(O106="","(set the P&amp;L Account)",O106),IF(O106="",set_WIPIncome,O106)),set_WIPAsset))</f>
        <v/>
      </c>
      <c r="R106" s="27">
        <f>IF(OR(N(N106)=0,K106&lt;&gt;""),"",ABS(N106))</f>
        <v/>
      </c>
      <c r="S106" s="26">
        <f>IF(N(N106)=0,"",IF(K106&lt;&gt;"","spreads monthly - see Deferred Revenue","WIP "&amp;I106&amp;IF(D106="",""," - "&amp;D106)&amp;IF(F106="",""," "&amp;F106)&amp;IF(H106="",""," - "&amp;H106)))</f>
        <v/>
      </c>
      <c r="T106" s="22" t="n"/>
      <c r="U106" s="22" t="n"/>
      <c r="V106" s="22" t="n"/>
    </row>
    <row r="107" ht="15" customHeight="1">
      <c r="A107" s="72" t="n"/>
      <c r="B107" s="70">
        <f>IF(C107="","",IFERROR(INDEX(tbl_Finance[Date],MATCH(C107&amp;"",tbl_Finance[Xero Invoice No],0)),""))</f>
        <v/>
      </c>
      <c r="C107" s="22" t="n"/>
      <c r="D107" s="22" t="n"/>
      <c r="E107" s="26">
        <f>IF(D107="","",IF(COUNTIF(lst_Jobs,D107&amp;"")&gt;0,"OK","CHECK"))</f>
        <v/>
      </c>
      <c r="F107" s="22" t="n"/>
      <c r="G107" s="22" t="n"/>
      <c r="H107" s="22" t="n"/>
      <c r="I107" s="22" t="n"/>
      <c r="J107" s="22" t="n"/>
      <c r="K107" s="23" t="n"/>
      <c r="L107" s="23" t="n"/>
      <c r="M107" s="26">
        <f>IF(N107="","",IF(OR(K107="",L107=""),"one month",TEXT(MAX(1,(YEAR(L107)-YEAR(K107))*12+MONTH(L107)-MONTH(K107)+1),"0")&amp;" months - see Deferred Revenue"))</f>
        <v/>
      </c>
      <c r="N107" s="24" t="n"/>
      <c r="O107" s="22" t="n"/>
      <c r="P107" s="26">
        <f>IF(N(N107)=0,"",IF(N107&gt;0,set_WIPAsset,IF(J107="Cost",IF(O107="","(set the P&amp;L Account)",O107),IF(O107="",set_WIPIncome,O107))))</f>
        <v/>
      </c>
      <c r="Q107" s="26">
        <f>IF(N(N107)=0,"",IF(N107&gt;0,IF(J107="Cost",IF(O107="","(set the P&amp;L Account)",O107),IF(O107="",set_WIPIncome,O107)),set_WIPAsset))</f>
        <v/>
      </c>
      <c r="R107" s="27">
        <f>IF(OR(N(N107)=0,K107&lt;&gt;""),"",ABS(N107))</f>
        <v/>
      </c>
      <c r="S107" s="26">
        <f>IF(N(N107)=0,"",IF(K107&lt;&gt;"","spreads monthly - see Deferred Revenue","WIP "&amp;I107&amp;IF(D107="",""," - "&amp;D107)&amp;IF(F107="",""," "&amp;F107)&amp;IF(H107="",""," - "&amp;H107)))</f>
        <v/>
      </c>
      <c r="T107" s="22" t="n"/>
      <c r="U107" s="22" t="n"/>
      <c r="V107" s="22" t="n"/>
    </row>
    <row r="108" ht="15" customHeight="1">
      <c r="A108" s="72" t="n"/>
      <c r="B108" s="70">
        <f>IF(C108="","",IFERROR(INDEX(tbl_Finance[Date],MATCH(C108&amp;"",tbl_Finance[Xero Invoice No],0)),""))</f>
        <v/>
      </c>
      <c r="C108" s="22" t="n"/>
      <c r="D108" s="22" t="n"/>
      <c r="E108" s="26">
        <f>IF(D108="","",IF(COUNTIF(lst_Jobs,D108&amp;"")&gt;0,"OK","CHECK"))</f>
        <v/>
      </c>
      <c r="F108" s="22" t="n"/>
      <c r="G108" s="22" t="n"/>
      <c r="H108" s="22" t="n"/>
      <c r="I108" s="22" t="n"/>
      <c r="J108" s="22" t="n"/>
      <c r="K108" s="23" t="n"/>
      <c r="L108" s="23" t="n"/>
      <c r="M108" s="26">
        <f>IF(N108="","",IF(OR(K108="",L108=""),"one month",TEXT(MAX(1,(YEAR(L108)-YEAR(K108))*12+MONTH(L108)-MONTH(K108)+1),"0")&amp;" months - see Deferred Revenue"))</f>
        <v/>
      </c>
      <c r="N108" s="24" t="n"/>
      <c r="O108" s="22" t="n"/>
      <c r="P108" s="26">
        <f>IF(N(N108)=0,"",IF(N108&gt;0,set_WIPAsset,IF(J108="Cost",IF(O108="","(set the P&amp;L Account)",O108),IF(O108="",set_WIPIncome,O108))))</f>
        <v/>
      </c>
      <c r="Q108" s="26">
        <f>IF(N(N108)=0,"",IF(N108&gt;0,IF(J108="Cost",IF(O108="","(set the P&amp;L Account)",O108),IF(O108="",set_WIPIncome,O108)),set_WIPAsset))</f>
        <v/>
      </c>
      <c r="R108" s="27">
        <f>IF(OR(N(N108)=0,K108&lt;&gt;""),"",ABS(N108))</f>
        <v/>
      </c>
      <c r="S108" s="26">
        <f>IF(N(N108)=0,"",IF(K108&lt;&gt;"","spreads monthly - see Deferred Revenue","WIP "&amp;I108&amp;IF(D108="",""," - "&amp;D108)&amp;IF(F108="",""," "&amp;F108)&amp;IF(H108="",""," - "&amp;H108)))</f>
        <v/>
      </c>
      <c r="T108" s="22" t="n"/>
      <c r="U108" s="22" t="n"/>
      <c r="V108" s="22" t="n"/>
    </row>
    <row r="109" ht="15" customHeight="1">
      <c r="A109" s="72" t="n"/>
      <c r="B109" s="70">
        <f>IF(C109="","",IFERROR(INDEX(tbl_Finance[Date],MATCH(C109&amp;"",tbl_Finance[Xero Invoice No],0)),""))</f>
        <v/>
      </c>
      <c r="C109" s="22" t="n"/>
      <c r="D109" s="22" t="n"/>
      <c r="E109" s="26">
        <f>IF(D109="","",IF(COUNTIF(lst_Jobs,D109&amp;"")&gt;0,"OK","CHECK"))</f>
        <v/>
      </c>
      <c r="F109" s="22" t="n"/>
      <c r="G109" s="22" t="n"/>
      <c r="H109" s="22" t="n"/>
      <c r="I109" s="22" t="n"/>
      <c r="J109" s="22" t="n"/>
      <c r="K109" s="23" t="n"/>
      <c r="L109" s="23" t="n"/>
      <c r="M109" s="26">
        <f>IF(N109="","",IF(OR(K109="",L109=""),"one month",TEXT(MAX(1,(YEAR(L109)-YEAR(K109))*12+MONTH(L109)-MONTH(K109)+1),"0")&amp;" months - see Deferred Revenue"))</f>
        <v/>
      </c>
      <c r="N109" s="24" t="n"/>
      <c r="O109" s="22" t="n"/>
      <c r="P109" s="26">
        <f>IF(N(N109)=0,"",IF(N109&gt;0,set_WIPAsset,IF(J109="Cost",IF(O109="","(set the P&amp;L Account)",O109),IF(O109="",set_WIPIncome,O109))))</f>
        <v/>
      </c>
      <c r="Q109" s="26">
        <f>IF(N(N109)=0,"",IF(N109&gt;0,IF(J109="Cost",IF(O109="","(set the P&amp;L Account)",O109),IF(O109="",set_WIPIncome,O109)),set_WIPAsset))</f>
        <v/>
      </c>
      <c r="R109" s="27">
        <f>IF(OR(N(N109)=0,K109&lt;&gt;""),"",ABS(N109))</f>
        <v/>
      </c>
      <c r="S109" s="26">
        <f>IF(N(N109)=0,"",IF(K109&lt;&gt;"","spreads monthly - see Deferred Revenue","WIP "&amp;I109&amp;IF(D109="",""," - "&amp;D109)&amp;IF(F109="",""," "&amp;F109)&amp;IF(H109="",""," - "&amp;H109)))</f>
        <v/>
      </c>
      <c r="T109" s="22" t="n"/>
      <c r="U109" s="22" t="n"/>
      <c r="V109" s="22" t="n"/>
    </row>
    <row r="110" ht="15" customHeight="1">
      <c r="A110" s="72" t="n"/>
      <c r="B110" s="70">
        <f>IF(C110="","",IFERROR(INDEX(tbl_Finance[Date],MATCH(C110&amp;"",tbl_Finance[Xero Invoice No],0)),""))</f>
        <v/>
      </c>
      <c r="C110" s="22" t="n"/>
      <c r="D110" s="22" t="n"/>
      <c r="E110" s="26">
        <f>IF(D110="","",IF(COUNTIF(lst_Jobs,D110&amp;"")&gt;0,"OK","CHECK"))</f>
        <v/>
      </c>
      <c r="F110" s="22" t="n"/>
      <c r="G110" s="22" t="n"/>
      <c r="H110" s="22" t="n"/>
      <c r="I110" s="22" t="n"/>
      <c r="J110" s="22" t="n"/>
      <c r="K110" s="23" t="n"/>
      <c r="L110" s="23" t="n"/>
      <c r="M110" s="26">
        <f>IF(N110="","",IF(OR(K110="",L110=""),"one month",TEXT(MAX(1,(YEAR(L110)-YEAR(K110))*12+MONTH(L110)-MONTH(K110)+1),"0")&amp;" months - see Deferred Revenue"))</f>
        <v/>
      </c>
      <c r="N110" s="24" t="n"/>
      <c r="O110" s="22" t="n"/>
      <c r="P110" s="26">
        <f>IF(N(N110)=0,"",IF(N110&gt;0,set_WIPAsset,IF(J110="Cost",IF(O110="","(set the P&amp;L Account)",O110),IF(O110="",set_WIPIncome,O110))))</f>
        <v/>
      </c>
      <c r="Q110" s="26">
        <f>IF(N(N110)=0,"",IF(N110&gt;0,IF(J110="Cost",IF(O110="","(set the P&amp;L Account)",O110),IF(O110="",set_WIPIncome,O110)),set_WIPAsset))</f>
        <v/>
      </c>
      <c r="R110" s="27">
        <f>IF(OR(N(N110)=0,K110&lt;&gt;""),"",ABS(N110))</f>
        <v/>
      </c>
      <c r="S110" s="26">
        <f>IF(N(N110)=0,"",IF(K110&lt;&gt;"","spreads monthly - see Deferred Revenue","WIP "&amp;I110&amp;IF(D110="",""," - "&amp;D110)&amp;IF(F110="",""," "&amp;F110)&amp;IF(H110="",""," - "&amp;H110)))</f>
        <v/>
      </c>
      <c r="T110" s="22" t="n"/>
      <c r="U110" s="22" t="n"/>
      <c r="V110" s="22" t="n"/>
    </row>
    <row r="111" ht="15" customHeight="1">
      <c r="A111" s="72" t="n"/>
      <c r="B111" s="70">
        <f>IF(C111="","",IFERROR(INDEX(tbl_Finance[Date],MATCH(C111&amp;"",tbl_Finance[Xero Invoice No],0)),""))</f>
        <v/>
      </c>
      <c r="C111" s="22" t="n"/>
      <c r="D111" s="22" t="n"/>
      <c r="E111" s="26">
        <f>IF(D111="","",IF(COUNTIF(lst_Jobs,D111&amp;"")&gt;0,"OK","CHECK"))</f>
        <v/>
      </c>
      <c r="F111" s="22" t="n"/>
      <c r="G111" s="22" t="n"/>
      <c r="H111" s="22" t="n"/>
      <c r="I111" s="22" t="n"/>
      <c r="J111" s="22" t="n"/>
      <c r="K111" s="23" t="n"/>
      <c r="L111" s="23" t="n"/>
      <c r="M111" s="26">
        <f>IF(N111="","",IF(OR(K111="",L111=""),"one month",TEXT(MAX(1,(YEAR(L111)-YEAR(K111))*12+MONTH(L111)-MONTH(K111)+1),"0")&amp;" months - see Deferred Revenue"))</f>
        <v/>
      </c>
      <c r="N111" s="24" t="n"/>
      <c r="O111" s="22" t="n"/>
      <c r="P111" s="26">
        <f>IF(N(N111)=0,"",IF(N111&gt;0,set_WIPAsset,IF(J111="Cost",IF(O111="","(set the P&amp;L Account)",O111),IF(O111="",set_WIPIncome,O111))))</f>
        <v/>
      </c>
      <c r="Q111" s="26">
        <f>IF(N(N111)=0,"",IF(N111&gt;0,IF(J111="Cost",IF(O111="","(set the P&amp;L Account)",O111),IF(O111="",set_WIPIncome,O111)),set_WIPAsset))</f>
        <v/>
      </c>
      <c r="R111" s="27">
        <f>IF(OR(N(N111)=0,K111&lt;&gt;""),"",ABS(N111))</f>
        <v/>
      </c>
      <c r="S111" s="26">
        <f>IF(N(N111)=0,"",IF(K111&lt;&gt;"","spreads monthly - see Deferred Revenue","WIP "&amp;I111&amp;IF(D111="",""," - "&amp;D111)&amp;IF(F111="",""," "&amp;F111)&amp;IF(H111="",""," - "&amp;H111)))</f>
        <v/>
      </c>
      <c r="T111" s="22" t="n"/>
      <c r="U111" s="22" t="n"/>
      <c r="V111" s="22" t="n"/>
    </row>
    <row r="112" ht="15" customHeight="1">
      <c r="A112" s="72" t="n"/>
      <c r="B112" s="70">
        <f>IF(C112="","",IFERROR(INDEX(tbl_Finance[Date],MATCH(C112&amp;"",tbl_Finance[Xero Invoice No],0)),""))</f>
        <v/>
      </c>
      <c r="C112" s="22" t="n"/>
      <c r="D112" s="22" t="n"/>
      <c r="E112" s="26">
        <f>IF(D112="","",IF(COUNTIF(lst_Jobs,D112&amp;"")&gt;0,"OK","CHECK"))</f>
        <v/>
      </c>
      <c r="F112" s="22" t="n"/>
      <c r="G112" s="22" t="n"/>
      <c r="H112" s="22" t="n"/>
      <c r="I112" s="22" t="n"/>
      <c r="J112" s="22" t="n"/>
      <c r="K112" s="23" t="n"/>
      <c r="L112" s="23" t="n"/>
      <c r="M112" s="26">
        <f>IF(N112="","",IF(OR(K112="",L112=""),"one month",TEXT(MAX(1,(YEAR(L112)-YEAR(K112))*12+MONTH(L112)-MONTH(K112)+1),"0")&amp;" months - see Deferred Revenue"))</f>
        <v/>
      </c>
      <c r="N112" s="24" t="n"/>
      <c r="O112" s="22" t="n"/>
      <c r="P112" s="26">
        <f>IF(N(N112)=0,"",IF(N112&gt;0,set_WIPAsset,IF(J112="Cost",IF(O112="","(set the P&amp;L Account)",O112),IF(O112="",set_WIPIncome,O112))))</f>
        <v/>
      </c>
      <c r="Q112" s="26">
        <f>IF(N(N112)=0,"",IF(N112&gt;0,IF(J112="Cost",IF(O112="","(set the P&amp;L Account)",O112),IF(O112="",set_WIPIncome,O112)),set_WIPAsset))</f>
        <v/>
      </c>
      <c r="R112" s="27">
        <f>IF(OR(N(N112)=0,K112&lt;&gt;""),"",ABS(N112))</f>
        <v/>
      </c>
      <c r="S112" s="26">
        <f>IF(N(N112)=0,"",IF(K112&lt;&gt;"","spreads monthly - see Deferred Revenue","WIP "&amp;I112&amp;IF(D112="",""," - "&amp;D112)&amp;IF(F112="",""," "&amp;F112)&amp;IF(H112="",""," - "&amp;H112)))</f>
        <v/>
      </c>
      <c r="T112" s="22" t="n"/>
      <c r="U112" s="22" t="n"/>
      <c r="V112" s="22" t="n"/>
    </row>
    <row r="113" ht="15" customHeight="1">
      <c r="A113" s="72" t="n"/>
      <c r="B113" s="70">
        <f>IF(C113="","",IFERROR(INDEX(tbl_Finance[Date],MATCH(C113&amp;"",tbl_Finance[Xero Invoice No],0)),""))</f>
        <v/>
      </c>
      <c r="C113" s="22" t="n"/>
      <c r="D113" s="22" t="n"/>
      <c r="E113" s="26">
        <f>IF(D113="","",IF(COUNTIF(lst_Jobs,D113&amp;"")&gt;0,"OK","CHECK"))</f>
        <v/>
      </c>
      <c r="F113" s="22" t="n"/>
      <c r="G113" s="22" t="n"/>
      <c r="H113" s="22" t="n"/>
      <c r="I113" s="22" t="n"/>
      <c r="J113" s="22" t="n"/>
      <c r="K113" s="23" t="n"/>
      <c r="L113" s="23" t="n"/>
      <c r="M113" s="26">
        <f>IF(N113="","",IF(OR(K113="",L113=""),"one month",TEXT(MAX(1,(YEAR(L113)-YEAR(K113))*12+MONTH(L113)-MONTH(K113)+1),"0")&amp;" months - see Deferred Revenue"))</f>
        <v/>
      </c>
      <c r="N113" s="24" t="n"/>
      <c r="O113" s="22" t="n"/>
      <c r="P113" s="26">
        <f>IF(N(N113)=0,"",IF(N113&gt;0,set_WIPAsset,IF(J113="Cost",IF(O113="","(set the P&amp;L Account)",O113),IF(O113="",set_WIPIncome,O113))))</f>
        <v/>
      </c>
      <c r="Q113" s="26">
        <f>IF(N(N113)=0,"",IF(N113&gt;0,IF(J113="Cost",IF(O113="","(set the P&amp;L Account)",O113),IF(O113="",set_WIPIncome,O113)),set_WIPAsset))</f>
        <v/>
      </c>
      <c r="R113" s="27">
        <f>IF(OR(N(N113)=0,K113&lt;&gt;""),"",ABS(N113))</f>
        <v/>
      </c>
      <c r="S113" s="26">
        <f>IF(N(N113)=0,"",IF(K113&lt;&gt;"","spreads monthly - see Deferred Revenue","WIP "&amp;I113&amp;IF(D113="",""," - "&amp;D113)&amp;IF(F113="",""," "&amp;F113)&amp;IF(H113="",""," - "&amp;H113)))</f>
        <v/>
      </c>
      <c r="T113" s="22" t="n"/>
      <c r="U113" s="22" t="n"/>
      <c r="V113" s="22" t="n"/>
    </row>
    <row r="114" ht="15" customHeight="1">
      <c r="A114" s="72" t="n"/>
      <c r="B114" s="70">
        <f>IF(C114="","",IFERROR(INDEX(tbl_Finance[Date],MATCH(C114&amp;"",tbl_Finance[Xero Invoice No],0)),""))</f>
        <v/>
      </c>
      <c r="C114" s="22" t="n"/>
      <c r="D114" s="22" t="n"/>
      <c r="E114" s="26">
        <f>IF(D114="","",IF(COUNTIF(lst_Jobs,D114&amp;"")&gt;0,"OK","CHECK"))</f>
        <v/>
      </c>
      <c r="F114" s="22" t="n"/>
      <c r="G114" s="22" t="n"/>
      <c r="H114" s="22" t="n"/>
      <c r="I114" s="22" t="n"/>
      <c r="J114" s="22" t="n"/>
      <c r="K114" s="23" t="n"/>
      <c r="L114" s="23" t="n"/>
      <c r="M114" s="26">
        <f>IF(N114="","",IF(OR(K114="",L114=""),"one month",TEXT(MAX(1,(YEAR(L114)-YEAR(K114))*12+MONTH(L114)-MONTH(K114)+1),"0")&amp;" months - see Deferred Revenue"))</f>
        <v/>
      </c>
      <c r="N114" s="24" t="n"/>
      <c r="O114" s="22" t="n"/>
      <c r="P114" s="26">
        <f>IF(N(N114)=0,"",IF(N114&gt;0,set_WIPAsset,IF(J114="Cost",IF(O114="","(set the P&amp;L Account)",O114),IF(O114="",set_WIPIncome,O114))))</f>
        <v/>
      </c>
      <c r="Q114" s="26">
        <f>IF(N(N114)=0,"",IF(N114&gt;0,IF(J114="Cost",IF(O114="","(set the P&amp;L Account)",O114),IF(O114="",set_WIPIncome,O114)),set_WIPAsset))</f>
        <v/>
      </c>
      <c r="R114" s="27">
        <f>IF(OR(N(N114)=0,K114&lt;&gt;""),"",ABS(N114))</f>
        <v/>
      </c>
      <c r="S114" s="26">
        <f>IF(N(N114)=0,"",IF(K114&lt;&gt;"","spreads monthly - see Deferred Revenue","WIP "&amp;I114&amp;IF(D114="",""," - "&amp;D114)&amp;IF(F114="",""," "&amp;F114)&amp;IF(H114="",""," - "&amp;H114)))</f>
        <v/>
      </c>
      <c r="T114" s="22" t="n"/>
      <c r="U114" s="22" t="n"/>
      <c r="V114" s="22" t="n"/>
    </row>
    <row r="115" ht="15" customHeight="1">
      <c r="A115" s="72" t="n"/>
      <c r="B115" s="70">
        <f>IF(C115="","",IFERROR(INDEX(tbl_Finance[Date],MATCH(C115&amp;"",tbl_Finance[Xero Invoice No],0)),""))</f>
        <v/>
      </c>
      <c r="C115" s="22" t="n"/>
      <c r="D115" s="22" t="n"/>
      <c r="E115" s="26">
        <f>IF(D115="","",IF(COUNTIF(lst_Jobs,D115&amp;"")&gt;0,"OK","CHECK"))</f>
        <v/>
      </c>
      <c r="F115" s="22" t="n"/>
      <c r="G115" s="22" t="n"/>
      <c r="H115" s="22" t="n"/>
      <c r="I115" s="22" t="n"/>
      <c r="J115" s="22" t="n"/>
      <c r="K115" s="23" t="n"/>
      <c r="L115" s="23" t="n"/>
      <c r="M115" s="26">
        <f>IF(N115="","",IF(OR(K115="",L115=""),"one month",TEXT(MAX(1,(YEAR(L115)-YEAR(K115))*12+MONTH(L115)-MONTH(K115)+1),"0")&amp;" months - see Deferred Revenue"))</f>
        <v/>
      </c>
      <c r="N115" s="24" t="n"/>
      <c r="O115" s="22" t="n"/>
      <c r="P115" s="26">
        <f>IF(N(N115)=0,"",IF(N115&gt;0,set_WIPAsset,IF(J115="Cost",IF(O115="","(set the P&amp;L Account)",O115),IF(O115="",set_WIPIncome,O115))))</f>
        <v/>
      </c>
      <c r="Q115" s="26">
        <f>IF(N(N115)=0,"",IF(N115&gt;0,IF(J115="Cost",IF(O115="","(set the P&amp;L Account)",O115),IF(O115="",set_WIPIncome,O115)),set_WIPAsset))</f>
        <v/>
      </c>
      <c r="R115" s="27">
        <f>IF(OR(N(N115)=0,K115&lt;&gt;""),"",ABS(N115))</f>
        <v/>
      </c>
      <c r="S115" s="26">
        <f>IF(N(N115)=0,"",IF(K115&lt;&gt;"","spreads monthly - see Deferred Revenue","WIP "&amp;I115&amp;IF(D115="",""," - "&amp;D115)&amp;IF(F115="",""," "&amp;F115)&amp;IF(H115="",""," - "&amp;H115)))</f>
        <v/>
      </c>
      <c r="T115" s="22" t="n"/>
      <c r="U115" s="22" t="n"/>
      <c r="V115" s="22" t="n"/>
    </row>
    <row r="116" ht="15" customHeight="1">
      <c r="A116" s="72" t="n"/>
      <c r="B116" s="70">
        <f>IF(C116="","",IFERROR(INDEX(tbl_Finance[Date],MATCH(C116&amp;"",tbl_Finance[Xero Invoice No],0)),""))</f>
        <v/>
      </c>
      <c r="C116" s="22" t="n"/>
      <c r="D116" s="22" t="n"/>
      <c r="E116" s="26">
        <f>IF(D116="","",IF(COUNTIF(lst_Jobs,D116&amp;"")&gt;0,"OK","CHECK"))</f>
        <v/>
      </c>
      <c r="F116" s="22" t="n"/>
      <c r="G116" s="22" t="n"/>
      <c r="H116" s="22" t="n"/>
      <c r="I116" s="22" t="n"/>
      <c r="J116" s="22" t="n"/>
      <c r="K116" s="23" t="n"/>
      <c r="L116" s="23" t="n"/>
      <c r="M116" s="26">
        <f>IF(N116="","",IF(OR(K116="",L116=""),"one month",TEXT(MAX(1,(YEAR(L116)-YEAR(K116))*12+MONTH(L116)-MONTH(K116)+1),"0")&amp;" months - see Deferred Revenue"))</f>
        <v/>
      </c>
      <c r="N116" s="24" t="n"/>
      <c r="O116" s="22" t="n"/>
      <c r="P116" s="26">
        <f>IF(N(N116)=0,"",IF(N116&gt;0,set_WIPAsset,IF(J116="Cost",IF(O116="","(set the P&amp;L Account)",O116),IF(O116="",set_WIPIncome,O116))))</f>
        <v/>
      </c>
      <c r="Q116" s="26">
        <f>IF(N(N116)=0,"",IF(N116&gt;0,IF(J116="Cost",IF(O116="","(set the P&amp;L Account)",O116),IF(O116="",set_WIPIncome,O116)),set_WIPAsset))</f>
        <v/>
      </c>
      <c r="R116" s="27">
        <f>IF(OR(N(N116)=0,K116&lt;&gt;""),"",ABS(N116))</f>
        <v/>
      </c>
      <c r="S116" s="26">
        <f>IF(N(N116)=0,"",IF(K116&lt;&gt;"","spreads monthly - see Deferred Revenue","WIP "&amp;I116&amp;IF(D116="",""," - "&amp;D116)&amp;IF(F116="",""," "&amp;F116)&amp;IF(H116="",""," - "&amp;H116)))</f>
        <v/>
      </c>
      <c r="T116" s="22" t="n"/>
      <c r="U116" s="22" t="n"/>
      <c r="V116" s="22" t="n"/>
    </row>
    <row r="117" ht="15" customHeight="1">
      <c r="A117" s="72" t="n"/>
      <c r="B117" s="70">
        <f>IF(C117="","",IFERROR(INDEX(tbl_Finance[Date],MATCH(C117&amp;"",tbl_Finance[Xero Invoice No],0)),""))</f>
        <v/>
      </c>
      <c r="C117" s="22" t="n"/>
      <c r="D117" s="22" t="n"/>
      <c r="E117" s="26">
        <f>IF(D117="","",IF(COUNTIF(lst_Jobs,D117&amp;"")&gt;0,"OK","CHECK"))</f>
        <v/>
      </c>
      <c r="F117" s="22" t="n"/>
      <c r="G117" s="22" t="n"/>
      <c r="H117" s="22" t="n"/>
      <c r="I117" s="22" t="n"/>
      <c r="J117" s="22" t="n"/>
      <c r="K117" s="23" t="n"/>
      <c r="L117" s="23" t="n"/>
      <c r="M117" s="26">
        <f>IF(N117="","",IF(OR(K117="",L117=""),"one month",TEXT(MAX(1,(YEAR(L117)-YEAR(K117))*12+MONTH(L117)-MONTH(K117)+1),"0")&amp;" months - see Deferred Revenue"))</f>
        <v/>
      </c>
      <c r="N117" s="24" t="n"/>
      <c r="O117" s="22" t="n"/>
      <c r="P117" s="26">
        <f>IF(N(N117)=0,"",IF(N117&gt;0,set_WIPAsset,IF(J117="Cost",IF(O117="","(set the P&amp;L Account)",O117),IF(O117="",set_WIPIncome,O117))))</f>
        <v/>
      </c>
      <c r="Q117" s="26">
        <f>IF(N(N117)=0,"",IF(N117&gt;0,IF(J117="Cost",IF(O117="","(set the P&amp;L Account)",O117),IF(O117="",set_WIPIncome,O117)),set_WIPAsset))</f>
        <v/>
      </c>
      <c r="R117" s="27">
        <f>IF(OR(N(N117)=0,K117&lt;&gt;""),"",ABS(N117))</f>
        <v/>
      </c>
      <c r="S117" s="26">
        <f>IF(N(N117)=0,"",IF(K117&lt;&gt;"","spreads monthly - see Deferred Revenue","WIP "&amp;I117&amp;IF(D117="",""," - "&amp;D117)&amp;IF(F117="",""," "&amp;F117)&amp;IF(H117="",""," - "&amp;H117)))</f>
        <v/>
      </c>
      <c r="T117" s="22" t="n"/>
      <c r="U117" s="22" t="n"/>
      <c r="V117" s="22" t="n"/>
    </row>
    <row r="118" ht="15" customHeight="1">
      <c r="A118" s="72" t="n"/>
      <c r="B118" s="70">
        <f>IF(C118="","",IFERROR(INDEX(tbl_Finance[Date],MATCH(C118&amp;"",tbl_Finance[Xero Invoice No],0)),""))</f>
        <v/>
      </c>
      <c r="C118" s="22" t="n"/>
      <c r="D118" s="22" t="n"/>
      <c r="E118" s="26">
        <f>IF(D118="","",IF(COUNTIF(lst_Jobs,D118&amp;"")&gt;0,"OK","CHECK"))</f>
        <v/>
      </c>
      <c r="F118" s="22" t="n"/>
      <c r="G118" s="22" t="n"/>
      <c r="H118" s="22" t="n"/>
      <c r="I118" s="22" t="n"/>
      <c r="J118" s="22" t="n"/>
      <c r="K118" s="23" t="n"/>
      <c r="L118" s="23" t="n"/>
      <c r="M118" s="26">
        <f>IF(N118="","",IF(OR(K118="",L118=""),"one month",TEXT(MAX(1,(YEAR(L118)-YEAR(K118))*12+MONTH(L118)-MONTH(K118)+1),"0")&amp;" months - see Deferred Revenue"))</f>
        <v/>
      </c>
      <c r="N118" s="24" t="n"/>
      <c r="O118" s="22" t="n"/>
      <c r="P118" s="26">
        <f>IF(N(N118)=0,"",IF(N118&gt;0,set_WIPAsset,IF(J118="Cost",IF(O118="","(set the P&amp;L Account)",O118),IF(O118="",set_WIPIncome,O118))))</f>
        <v/>
      </c>
      <c r="Q118" s="26">
        <f>IF(N(N118)=0,"",IF(N118&gt;0,IF(J118="Cost",IF(O118="","(set the P&amp;L Account)",O118),IF(O118="",set_WIPIncome,O118)),set_WIPAsset))</f>
        <v/>
      </c>
      <c r="R118" s="27">
        <f>IF(OR(N(N118)=0,K118&lt;&gt;""),"",ABS(N118))</f>
        <v/>
      </c>
      <c r="S118" s="26">
        <f>IF(N(N118)=0,"",IF(K118&lt;&gt;"","spreads monthly - see Deferred Revenue","WIP "&amp;I118&amp;IF(D118="",""," - "&amp;D118)&amp;IF(F118="",""," "&amp;F118)&amp;IF(H118="",""," - "&amp;H118)))</f>
        <v/>
      </c>
      <c r="T118" s="22" t="n"/>
      <c r="U118" s="22" t="n"/>
      <c r="V118" s="22" t="n"/>
    </row>
    <row r="119" ht="15" customHeight="1">
      <c r="A119" s="72" t="n"/>
      <c r="B119" s="70">
        <f>IF(C119="","",IFERROR(INDEX(tbl_Finance[Date],MATCH(C119&amp;"",tbl_Finance[Xero Invoice No],0)),""))</f>
        <v/>
      </c>
      <c r="C119" s="22" t="n"/>
      <c r="D119" s="22" t="n"/>
      <c r="E119" s="26">
        <f>IF(D119="","",IF(COUNTIF(lst_Jobs,D119&amp;"")&gt;0,"OK","CHECK"))</f>
        <v/>
      </c>
      <c r="F119" s="22" t="n"/>
      <c r="G119" s="22" t="n"/>
      <c r="H119" s="22" t="n"/>
      <c r="I119" s="22" t="n"/>
      <c r="J119" s="22" t="n"/>
      <c r="K119" s="23" t="n"/>
      <c r="L119" s="23" t="n"/>
      <c r="M119" s="26">
        <f>IF(N119="","",IF(OR(K119="",L119=""),"one month",TEXT(MAX(1,(YEAR(L119)-YEAR(K119))*12+MONTH(L119)-MONTH(K119)+1),"0")&amp;" months - see Deferred Revenue"))</f>
        <v/>
      </c>
      <c r="N119" s="24" t="n"/>
      <c r="O119" s="22" t="n"/>
      <c r="P119" s="26">
        <f>IF(N(N119)=0,"",IF(N119&gt;0,set_WIPAsset,IF(J119="Cost",IF(O119="","(set the P&amp;L Account)",O119),IF(O119="",set_WIPIncome,O119))))</f>
        <v/>
      </c>
      <c r="Q119" s="26">
        <f>IF(N(N119)=0,"",IF(N119&gt;0,IF(J119="Cost",IF(O119="","(set the P&amp;L Account)",O119),IF(O119="",set_WIPIncome,O119)),set_WIPAsset))</f>
        <v/>
      </c>
      <c r="R119" s="27">
        <f>IF(OR(N(N119)=0,K119&lt;&gt;""),"",ABS(N119))</f>
        <v/>
      </c>
      <c r="S119" s="26">
        <f>IF(N(N119)=0,"",IF(K119&lt;&gt;"","spreads monthly - see Deferred Revenue","WIP "&amp;I119&amp;IF(D119="",""," - "&amp;D119)&amp;IF(F119="",""," "&amp;F119)&amp;IF(H119="",""," - "&amp;H119)))</f>
        <v/>
      </c>
      <c r="T119" s="22" t="n"/>
      <c r="U119" s="22" t="n"/>
      <c r="V119" s="22" t="n"/>
    </row>
    <row r="120" ht="15" customHeight="1">
      <c r="A120" s="72" t="n"/>
      <c r="B120" s="70">
        <f>IF(C120="","",IFERROR(INDEX(tbl_Finance[Date],MATCH(C120&amp;"",tbl_Finance[Xero Invoice No],0)),""))</f>
        <v/>
      </c>
      <c r="C120" s="22" t="n"/>
      <c r="D120" s="22" t="n"/>
      <c r="E120" s="26">
        <f>IF(D120="","",IF(COUNTIF(lst_Jobs,D120&amp;"")&gt;0,"OK","CHECK"))</f>
        <v/>
      </c>
      <c r="F120" s="22" t="n"/>
      <c r="G120" s="22" t="n"/>
      <c r="H120" s="22" t="n"/>
      <c r="I120" s="22" t="n"/>
      <c r="J120" s="22" t="n"/>
      <c r="K120" s="23" t="n"/>
      <c r="L120" s="23" t="n"/>
      <c r="M120" s="26">
        <f>IF(N120="","",IF(OR(K120="",L120=""),"one month",TEXT(MAX(1,(YEAR(L120)-YEAR(K120))*12+MONTH(L120)-MONTH(K120)+1),"0")&amp;" months - see Deferred Revenue"))</f>
        <v/>
      </c>
      <c r="N120" s="24" t="n"/>
      <c r="O120" s="22" t="n"/>
      <c r="P120" s="26">
        <f>IF(N(N120)=0,"",IF(N120&gt;0,set_WIPAsset,IF(J120="Cost",IF(O120="","(set the P&amp;L Account)",O120),IF(O120="",set_WIPIncome,O120))))</f>
        <v/>
      </c>
      <c r="Q120" s="26">
        <f>IF(N(N120)=0,"",IF(N120&gt;0,IF(J120="Cost",IF(O120="","(set the P&amp;L Account)",O120),IF(O120="",set_WIPIncome,O120)),set_WIPAsset))</f>
        <v/>
      </c>
      <c r="R120" s="27">
        <f>IF(OR(N(N120)=0,K120&lt;&gt;""),"",ABS(N120))</f>
        <v/>
      </c>
      <c r="S120" s="26">
        <f>IF(N(N120)=0,"",IF(K120&lt;&gt;"","spreads monthly - see Deferred Revenue","WIP "&amp;I120&amp;IF(D120="",""," - "&amp;D120)&amp;IF(F120="",""," "&amp;F120)&amp;IF(H120="",""," - "&amp;H120)))</f>
        <v/>
      </c>
      <c r="T120" s="22" t="n"/>
      <c r="U120" s="22" t="n"/>
      <c r="V120" s="22" t="n"/>
    </row>
    <row r="121" ht="15" customHeight="1">
      <c r="A121" s="72" t="n"/>
      <c r="B121" s="70">
        <f>IF(C121="","",IFERROR(INDEX(tbl_Finance[Date],MATCH(C121&amp;"",tbl_Finance[Xero Invoice No],0)),""))</f>
        <v/>
      </c>
      <c r="C121" s="22" t="n"/>
      <c r="D121" s="22" t="n"/>
      <c r="E121" s="26">
        <f>IF(D121="","",IF(COUNTIF(lst_Jobs,D121&amp;"")&gt;0,"OK","CHECK"))</f>
        <v/>
      </c>
      <c r="F121" s="22" t="n"/>
      <c r="G121" s="22" t="n"/>
      <c r="H121" s="22" t="n"/>
      <c r="I121" s="22" t="n"/>
      <c r="J121" s="22" t="n"/>
      <c r="K121" s="23" t="n"/>
      <c r="L121" s="23" t="n"/>
      <c r="M121" s="26">
        <f>IF(N121="","",IF(OR(K121="",L121=""),"one month",TEXT(MAX(1,(YEAR(L121)-YEAR(K121))*12+MONTH(L121)-MONTH(K121)+1),"0")&amp;" months - see Deferred Revenue"))</f>
        <v/>
      </c>
      <c r="N121" s="24" t="n"/>
      <c r="O121" s="22" t="n"/>
      <c r="P121" s="26">
        <f>IF(N(N121)=0,"",IF(N121&gt;0,set_WIPAsset,IF(J121="Cost",IF(O121="","(set the P&amp;L Account)",O121),IF(O121="",set_WIPIncome,O121))))</f>
        <v/>
      </c>
      <c r="Q121" s="26">
        <f>IF(N(N121)=0,"",IF(N121&gt;0,IF(J121="Cost",IF(O121="","(set the P&amp;L Account)",O121),IF(O121="",set_WIPIncome,O121)),set_WIPAsset))</f>
        <v/>
      </c>
      <c r="R121" s="27">
        <f>IF(OR(N(N121)=0,K121&lt;&gt;""),"",ABS(N121))</f>
        <v/>
      </c>
      <c r="S121" s="26">
        <f>IF(N(N121)=0,"",IF(K121&lt;&gt;"","spreads monthly - see Deferred Revenue","WIP "&amp;I121&amp;IF(D121="",""," - "&amp;D121)&amp;IF(F121="",""," "&amp;F121)&amp;IF(H121="",""," - "&amp;H121)))</f>
        <v/>
      </c>
      <c r="T121" s="22" t="n"/>
      <c r="U121" s="22" t="n"/>
      <c r="V121" s="22" t="n"/>
    </row>
    <row r="122" ht="15" customHeight="1">
      <c r="A122" s="72" t="n"/>
      <c r="B122" s="70">
        <f>IF(C122="","",IFERROR(INDEX(tbl_Finance[Date],MATCH(C122&amp;"",tbl_Finance[Xero Invoice No],0)),""))</f>
        <v/>
      </c>
      <c r="C122" s="22" t="n"/>
      <c r="D122" s="22" t="n"/>
      <c r="E122" s="26">
        <f>IF(D122="","",IF(COUNTIF(lst_Jobs,D122&amp;"")&gt;0,"OK","CHECK"))</f>
        <v/>
      </c>
      <c r="F122" s="22" t="n"/>
      <c r="G122" s="22" t="n"/>
      <c r="H122" s="22" t="n"/>
      <c r="I122" s="22" t="n"/>
      <c r="J122" s="22" t="n"/>
      <c r="K122" s="23" t="n"/>
      <c r="L122" s="23" t="n"/>
      <c r="M122" s="26">
        <f>IF(N122="","",IF(OR(K122="",L122=""),"one month",TEXT(MAX(1,(YEAR(L122)-YEAR(K122))*12+MONTH(L122)-MONTH(K122)+1),"0")&amp;" months - see Deferred Revenue"))</f>
        <v/>
      </c>
      <c r="N122" s="24" t="n"/>
      <c r="O122" s="22" t="n"/>
      <c r="P122" s="26">
        <f>IF(N(N122)=0,"",IF(N122&gt;0,set_WIPAsset,IF(J122="Cost",IF(O122="","(set the P&amp;L Account)",O122),IF(O122="",set_WIPIncome,O122))))</f>
        <v/>
      </c>
      <c r="Q122" s="26">
        <f>IF(N(N122)=0,"",IF(N122&gt;0,IF(J122="Cost",IF(O122="","(set the P&amp;L Account)",O122),IF(O122="",set_WIPIncome,O122)),set_WIPAsset))</f>
        <v/>
      </c>
      <c r="R122" s="27">
        <f>IF(OR(N(N122)=0,K122&lt;&gt;""),"",ABS(N122))</f>
        <v/>
      </c>
      <c r="S122" s="26">
        <f>IF(N(N122)=0,"",IF(K122&lt;&gt;"","spreads monthly - see Deferred Revenue","WIP "&amp;I122&amp;IF(D122="",""," - "&amp;D122)&amp;IF(F122="",""," "&amp;F122)&amp;IF(H122="",""," - "&amp;H122)))</f>
        <v/>
      </c>
      <c r="T122" s="22" t="n"/>
      <c r="U122" s="22" t="n"/>
      <c r="V122" s="22" t="n"/>
    </row>
    <row r="123" ht="15" customHeight="1">
      <c r="A123" s="72" t="n"/>
      <c r="B123" s="70">
        <f>IF(C123="","",IFERROR(INDEX(tbl_Finance[Date],MATCH(C123&amp;"",tbl_Finance[Xero Invoice No],0)),""))</f>
        <v/>
      </c>
      <c r="C123" s="22" t="n"/>
      <c r="D123" s="22" t="n"/>
      <c r="E123" s="26">
        <f>IF(D123="","",IF(COUNTIF(lst_Jobs,D123&amp;"")&gt;0,"OK","CHECK"))</f>
        <v/>
      </c>
      <c r="F123" s="22" t="n"/>
      <c r="G123" s="22" t="n"/>
      <c r="H123" s="22" t="n"/>
      <c r="I123" s="22" t="n"/>
      <c r="J123" s="22" t="n"/>
      <c r="K123" s="23" t="n"/>
      <c r="L123" s="23" t="n"/>
      <c r="M123" s="26">
        <f>IF(N123="","",IF(OR(K123="",L123=""),"one month",TEXT(MAX(1,(YEAR(L123)-YEAR(K123))*12+MONTH(L123)-MONTH(K123)+1),"0")&amp;" months - see Deferred Revenue"))</f>
        <v/>
      </c>
      <c r="N123" s="24" t="n"/>
      <c r="O123" s="22" t="n"/>
      <c r="P123" s="26">
        <f>IF(N(N123)=0,"",IF(N123&gt;0,set_WIPAsset,IF(J123="Cost",IF(O123="","(set the P&amp;L Account)",O123),IF(O123="",set_WIPIncome,O123))))</f>
        <v/>
      </c>
      <c r="Q123" s="26">
        <f>IF(N(N123)=0,"",IF(N123&gt;0,IF(J123="Cost",IF(O123="","(set the P&amp;L Account)",O123),IF(O123="",set_WIPIncome,O123)),set_WIPAsset))</f>
        <v/>
      </c>
      <c r="R123" s="27">
        <f>IF(OR(N(N123)=0,K123&lt;&gt;""),"",ABS(N123))</f>
        <v/>
      </c>
      <c r="S123" s="26">
        <f>IF(N(N123)=0,"",IF(K123&lt;&gt;"","spreads monthly - see Deferred Revenue","WIP "&amp;I123&amp;IF(D123="",""," - "&amp;D123)&amp;IF(F123="",""," "&amp;F123)&amp;IF(H123="",""," - "&amp;H123)))</f>
        <v/>
      </c>
      <c r="T123" s="22" t="n"/>
      <c r="U123" s="22" t="n"/>
      <c r="V123" s="22" t="n"/>
    </row>
    <row r="124" ht="15" customHeight="1">
      <c r="A124" s="72" t="n"/>
      <c r="B124" s="70">
        <f>IF(C124="","",IFERROR(INDEX(tbl_Finance[Date],MATCH(C124&amp;"",tbl_Finance[Xero Invoice No],0)),""))</f>
        <v/>
      </c>
      <c r="C124" s="22" t="n"/>
      <c r="D124" s="22" t="n"/>
      <c r="E124" s="26">
        <f>IF(D124="","",IF(COUNTIF(lst_Jobs,D124&amp;"")&gt;0,"OK","CHECK"))</f>
        <v/>
      </c>
      <c r="F124" s="22" t="n"/>
      <c r="G124" s="22" t="n"/>
      <c r="H124" s="22" t="n"/>
      <c r="I124" s="22" t="n"/>
      <c r="J124" s="22" t="n"/>
      <c r="K124" s="23" t="n"/>
      <c r="L124" s="23" t="n"/>
      <c r="M124" s="26">
        <f>IF(N124="","",IF(OR(K124="",L124=""),"one month",TEXT(MAX(1,(YEAR(L124)-YEAR(K124))*12+MONTH(L124)-MONTH(K124)+1),"0")&amp;" months - see Deferred Revenue"))</f>
        <v/>
      </c>
      <c r="N124" s="24" t="n"/>
      <c r="O124" s="22" t="n"/>
      <c r="P124" s="26">
        <f>IF(N(N124)=0,"",IF(N124&gt;0,set_WIPAsset,IF(J124="Cost",IF(O124="","(set the P&amp;L Account)",O124),IF(O124="",set_WIPIncome,O124))))</f>
        <v/>
      </c>
      <c r="Q124" s="26">
        <f>IF(N(N124)=0,"",IF(N124&gt;0,IF(J124="Cost",IF(O124="","(set the P&amp;L Account)",O124),IF(O124="",set_WIPIncome,O124)),set_WIPAsset))</f>
        <v/>
      </c>
      <c r="R124" s="27">
        <f>IF(OR(N(N124)=0,K124&lt;&gt;""),"",ABS(N124))</f>
        <v/>
      </c>
      <c r="S124" s="26">
        <f>IF(N(N124)=0,"",IF(K124&lt;&gt;"","spreads monthly - see Deferred Revenue","WIP "&amp;I124&amp;IF(D124="",""," - "&amp;D124)&amp;IF(F124="",""," "&amp;F124)&amp;IF(H124="",""," - "&amp;H124)))</f>
        <v/>
      </c>
      <c r="T124" s="22" t="n"/>
      <c r="U124" s="22" t="n"/>
      <c r="V124" s="22" t="n"/>
    </row>
    <row r="125" ht="15" customHeight="1">
      <c r="A125" s="72" t="n"/>
      <c r="B125" s="70">
        <f>IF(C125="","",IFERROR(INDEX(tbl_Finance[Date],MATCH(C125&amp;"",tbl_Finance[Xero Invoice No],0)),""))</f>
        <v/>
      </c>
      <c r="C125" s="22" t="n"/>
      <c r="D125" s="22" t="n"/>
      <c r="E125" s="26">
        <f>IF(D125="","",IF(COUNTIF(lst_Jobs,D125&amp;"")&gt;0,"OK","CHECK"))</f>
        <v/>
      </c>
      <c r="F125" s="22" t="n"/>
      <c r="G125" s="22" t="n"/>
      <c r="H125" s="22" t="n"/>
      <c r="I125" s="22" t="n"/>
      <c r="J125" s="22" t="n"/>
      <c r="K125" s="23" t="n"/>
      <c r="L125" s="23" t="n"/>
      <c r="M125" s="26">
        <f>IF(N125="","",IF(OR(K125="",L125=""),"one month",TEXT(MAX(1,(YEAR(L125)-YEAR(K125))*12+MONTH(L125)-MONTH(K125)+1),"0")&amp;" months - see Deferred Revenue"))</f>
        <v/>
      </c>
      <c r="N125" s="24" t="n"/>
      <c r="O125" s="22" t="n"/>
      <c r="P125" s="26">
        <f>IF(N(N125)=0,"",IF(N125&gt;0,set_WIPAsset,IF(J125="Cost",IF(O125="","(set the P&amp;L Account)",O125),IF(O125="",set_WIPIncome,O125))))</f>
        <v/>
      </c>
      <c r="Q125" s="26">
        <f>IF(N(N125)=0,"",IF(N125&gt;0,IF(J125="Cost",IF(O125="","(set the P&amp;L Account)",O125),IF(O125="",set_WIPIncome,O125)),set_WIPAsset))</f>
        <v/>
      </c>
      <c r="R125" s="27">
        <f>IF(OR(N(N125)=0,K125&lt;&gt;""),"",ABS(N125))</f>
        <v/>
      </c>
      <c r="S125" s="26">
        <f>IF(N(N125)=0,"",IF(K125&lt;&gt;"","spreads monthly - see Deferred Revenue","WIP "&amp;I125&amp;IF(D125="",""," - "&amp;D125)&amp;IF(F125="",""," "&amp;F125)&amp;IF(H125="",""," - "&amp;H125)))</f>
        <v/>
      </c>
      <c r="T125" s="22" t="n"/>
      <c r="U125" s="22" t="n"/>
      <c r="V125" s="22" t="n"/>
    </row>
    <row r="126" ht="15" customHeight="1">
      <c r="A126" s="72" t="n"/>
      <c r="B126" s="70">
        <f>IF(C126="","",IFERROR(INDEX(tbl_Finance[Date],MATCH(C126&amp;"",tbl_Finance[Xero Invoice No],0)),""))</f>
        <v/>
      </c>
      <c r="C126" s="22" t="n"/>
      <c r="D126" s="22" t="n"/>
      <c r="E126" s="26">
        <f>IF(D126="","",IF(COUNTIF(lst_Jobs,D126&amp;"")&gt;0,"OK","CHECK"))</f>
        <v/>
      </c>
      <c r="F126" s="22" t="n"/>
      <c r="G126" s="22" t="n"/>
      <c r="H126" s="22" t="n"/>
      <c r="I126" s="22" t="n"/>
      <c r="J126" s="22" t="n"/>
      <c r="K126" s="23" t="n"/>
      <c r="L126" s="23" t="n"/>
      <c r="M126" s="26">
        <f>IF(N126="","",IF(OR(K126="",L126=""),"one month",TEXT(MAX(1,(YEAR(L126)-YEAR(K126))*12+MONTH(L126)-MONTH(K126)+1),"0")&amp;" months - see Deferred Revenue"))</f>
        <v/>
      </c>
      <c r="N126" s="24" t="n"/>
      <c r="O126" s="22" t="n"/>
      <c r="P126" s="26">
        <f>IF(N(N126)=0,"",IF(N126&gt;0,set_WIPAsset,IF(J126="Cost",IF(O126="","(set the P&amp;L Account)",O126),IF(O126="",set_WIPIncome,O126))))</f>
        <v/>
      </c>
      <c r="Q126" s="26">
        <f>IF(N(N126)=0,"",IF(N126&gt;0,IF(J126="Cost",IF(O126="","(set the P&amp;L Account)",O126),IF(O126="",set_WIPIncome,O126)),set_WIPAsset))</f>
        <v/>
      </c>
      <c r="R126" s="27">
        <f>IF(OR(N(N126)=0,K126&lt;&gt;""),"",ABS(N126))</f>
        <v/>
      </c>
      <c r="S126" s="26">
        <f>IF(N(N126)=0,"",IF(K126&lt;&gt;"","spreads monthly - see Deferred Revenue","WIP "&amp;I126&amp;IF(D126="",""," - "&amp;D126)&amp;IF(F126="",""," "&amp;F126)&amp;IF(H126="",""," - "&amp;H126)))</f>
        <v/>
      </c>
      <c r="T126" s="22" t="n"/>
      <c r="U126" s="22" t="n"/>
      <c r="V126" s="22" t="n"/>
    </row>
    <row r="127" ht="15" customHeight="1">
      <c r="A127" s="72" t="n"/>
      <c r="B127" s="70">
        <f>IF(C127="","",IFERROR(INDEX(tbl_Finance[Date],MATCH(C127&amp;"",tbl_Finance[Xero Invoice No],0)),""))</f>
        <v/>
      </c>
      <c r="C127" s="22" t="n"/>
      <c r="D127" s="22" t="n"/>
      <c r="E127" s="26">
        <f>IF(D127="","",IF(COUNTIF(lst_Jobs,D127&amp;"")&gt;0,"OK","CHECK"))</f>
        <v/>
      </c>
      <c r="F127" s="22" t="n"/>
      <c r="G127" s="22" t="n"/>
      <c r="H127" s="22" t="n"/>
      <c r="I127" s="22" t="n"/>
      <c r="J127" s="22" t="n"/>
      <c r="K127" s="23" t="n"/>
      <c r="L127" s="23" t="n"/>
      <c r="M127" s="26">
        <f>IF(N127="","",IF(OR(K127="",L127=""),"one month",TEXT(MAX(1,(YEAR(L127)-YEAR(K127))*12+MONTH(L127)-MONTH(K127)+1),"0")&amp;" months - see Deferred Revenue"))</f>
        <v/>
      </c>
      <c r="N127" s="24" t="n"/>
      <c r="O127" s="22" t="n"/>
      <c r="P127" s="26">
        <f>IF(N(N127)=0,"",IF(N127&gt;0,set_WIPAsset,IF(J127="Cost",IF(O127="","(set the P&amp;L Account)",O127),IF(O127="",set_WIPIncome,O127))))</f>
        <v/>
      </c>
      <c r="Q127" s="26">
        <f>IF(N(N127)=0,"",IF(N127&gt;0,IF(J127="Cost",IF(O127="","(set the P&amp;L Account)",O127),IF(O127="",set_WIPIncome,O127)),set_WIPAsset))</f>
        <v/>
      </c>
      <c r="R127" s="27">
        <f>IF(OR(N(N127)=0,K127&lt;&gt;""),"",ABS(N127))</f>
        <v/>
      </c>
      <c r="S127" s="26">
        <f>IF(N(N127)=0,"",IF(K127&lt;&gt;"","spreads monthly - see Deferred Revenue","WIP "&amp;I127&amp;IF(D127="",""," - "&amp;D127)&amp;IF(F127="",""," "&amp;F127)&amp;IF(H127="",""," - "&amp;H127)))</f>
        <v/>
      </c>
      <c r="T127" s="22" t="n"/>
      <c r="U127" s="22" t="n"/>
      <c r="V127" s="22" t="n"/>
    </row>
    <row r="128" ht="15" customHeight="1">
      <c r="A128" s="72" t="n"/>
      <c r="B128" s="70">
        <f>IF(C128="","",IFERROR(INDEX(tbl_Finance[Date],MATCH(C128&amp;"",tbl_Finance[Xero Invoice No],0)),""))</f>
        <v/>
      </c>
      <c r="C128" s="22" t="n"/>
      <c r="D128" s="22" t="n"/>
      <c r="E128" s="26">
        <f>IF(D128="","",IF(COUNTIF(lst_Jobs,D128&amp;"")&gt;0,"OK","CHECK"))</f>
        <v/>
      </c>
      <c r="F128" s="22" t="n"/>
      <c r="G128" s="22" t="n"/>
      <c r="H128" s="22" t="n"/>
      <c r="I128" s="22" t="n"/>
      <c r="J128" s="22" t="n"/>
      <c r="K128" s="23" t="n"/>
      <c r="L128" s="23" t="n"/>
      <c r="M128" s="26">
        <f>IF(N128="","",IF(OR(K128="",L128=""),"one month",TEXT(MAX(1,(YEAR(L128)-YEAR(K128))*12+MONTH(L128)-MONTH(K128)+1),"0")&amp;" months - see Deferred Revenue"))</f>
        <v/>
      </c>
      <c r="N128" s="24" t="n"/>
      <c r="O128" s="22" t="n"/>
      <c r="P128" s="26">
        <f>IF(N(N128)=0,"",IF(N128&gt;0,set_WIPAsset,IF(J128="Cost",IF(O128="","(set the P&amp;L Account)",O128),IF(O128="",set_WIPIncome,O128))))</f>
        <v/>
      </c>
      <c r="Q128" s="26">
        <f>IF(N(N128)=0,"",IF(N128&gt;0,IF(J128="Cost",IF(O128="","(set the P&amp;L Account)",O128),IF(O128="",set_WIPIncome,O128)),set_WIPAsset))</f>
        <v/>
      </c>
      <c r="R128" s="27">
        <f>IF(OR(N(N128)=0,K128&lt;&gt;""),"",ABS(N128))</f>
        <v/>
      </c>
      <c r="S128" s="26">
        <f>IF(N(N128)=0,"",IF(K128&lt;&gt;"","spreads monthly - see Deferred Revenue","WIP "&amp;I128&amp;IF(D128="",""," - "&amp;D128)&amp;IF(F128="",""," "&amp;F128)&amp;IF(H128="",""," - "&amp;H128)))</f>
        <v/>
      </c>
      <c r="T128" s="22" t="n"/>
      <c r="U128" s="22" t="n"/>
      <c r="V128" s="22" t="n"/>
    </row>
    <row r="129" ht="15" customHeight="1">
      <c r="A129" s="72" t="n"/>
      <c r="B129" s="70">
        <f>IF(C129="","",IFERROR(INDEX(tbl_Finance[Date],MATCH(C129&amp;"",tbl_Finance[Xero Invoice No],0)),""))</f>
        <v/>
      </c>
      <c r="C129" s="22" t="n"/>
      <c r="D129" s="22" t="n"/>
      <c r="E129" s="26">
        <f>IF(D129="","",IF(COUNTIF(lst_Jobs,D129&amp;"")&gt;0,"OK","CHECK"))</f>
        <v/>
      </c>
      <c r="F129" s="22" t="n"/>
      <c r="G129" s="22" t="n"/>
      <c r="H129" s="22" t="n"/>
      <c r="I129" s="22" t="n"/>
      <c r="J129" s="22" t="n"/>
      <c r="K129" s="23" t="n"/>
      <c r="L129" s="23" t="n"/>
      <c r="M129" s="26">
        <f>IF(N129="","",IF(OR(K129="",L129=""),"one month",TEXT(MAX(1,(YEAR(L129)-YEAR(K129))*12+MONTH(L129)-MONTH(K129)+1),"0")&amp;" months - see Deferred Revenue"))</f>
        <v/>
      </c>
      <c r="N129" s="24" t="n"/>
      <c r="O129" s="22" t="n"/>
      <c r="P129" s="26">
        <f>IF(N(N129)=0,"",IF(N129&gt;0,set_WIPAsset,IF(J129="Cost",IF(O129="","(set the P&amp;L Account)",O129),IF(O129="",set_WIPIncome,O129))))</f>
        <v/>
      </c>
      <c r="Q129" s="26">
        <f>IF(N(N129)=0,"",IF(N129&gt;0,IF(J129="Cost",IF(O129="","(set the P&amp;L Account)",O129),IF(O129="",set_WIPIncome,O129)),set_WIPAsset))</f>
        <v/>
      </c>
      <c r="R129" s="27">
        <f>IF(OR(N(N129)=0,K129&lt;&gt;""),"",ABS(N129))</f>
        <v/>
      </c>
      <c r="S129" s="26">
        <f>IF(N(N129)=0,"",IF(K129&lt;&gt;"","spreads monthly - see Deferred Revenue","WIP "&amp;I129&amp;IF(D129="",""," - "&amp;D129)&amp;IF(F129="",""," "&amp;F129)&amp;IF(H129="",""," - "&amp;H129)))</f>
        <v/>
      </c>
      <c r="T129" s="22" t="n"/>
      <c r="U129" s="22" t="n"/>
      <c r="V129" s="22" t="n"/>
    </row>
    <row r="130" ht="15" customHeight="1">
      <c r="A130" s="72" t="n"/>
      <c r="B130" s="70">
        <f>IF(C130="","",IFERROR(INDEX(tbl_Finance[Date],MATCH(C130&amp;"",tbl_Finance[Xero Invoice No],0)),""))</f>
        <v/>
      </c>
      <c r="C130" s="22" t="n"/>
      <c r="D130" s="22" t="n"/>
      <c r="E130" s="26">
        <f>IF(D130="","",IF(COUNTIF(lst_Jobs,D130&amp;"")&gt;0,"OK","CHECK"))</f>
        <v/>
      </c>
      <c r="F130" s="22" t="n"/>
      <c r="G130" s="22" t="n"/>
      <c r="H130" s="22" t="n"/>
      <c r="I130" s="22" t="n"/>
      <c r="J130" s="22" t="n"/>
      <c r="K130" s="23" t="n"/>
      <c r="L130" s="23" t="n"/>
      <c r="M130" s="26">
        <f>IF(N130="","",IF(OR(K130="",L130=""),"one month",TEXT(MAX(1,(YEAR(L130)-YEAR(K130))*12+MONTH(L130)-MONTH(K130)+1),"0")&amp;" months - see Deferred Revenue"))</f>
        <v/>
      </c>
      <c r="N130" s="24" t="n"/>
      <c r="O130" s="22" t="n"/>
      <c r="P130" s="26">
        <f>IF(N(N130)=0,"",IF(N130&gt;0,set_WIPAsset,IF(J130="Cost",IF(O130="","(set the P&amp;L Account)",O130),IF(O130="",set_WIPIncome,O130))))</f>
        <v/>
      </c>
      <c r="Q130" s="26">
        <f>IF(N(N130)=0,"",IF(N130&gt;0,IF(J130="Cost",IF(O130="","(set the P&amp;L Account)",O130),IF(O130="",set_WIPIncome,O130)),set_WIPAsset))</f>
        <v/>
      </c>
      <c r="R130" s="27">
        <f>IF(OR(N(N130)=0,K130&lt;&gt;""),"",ABS(N130))</f>
        <v/>
      </c>
      <c r="S130" s="26">
        <f>IF(N(N130)=0,"",IF(K130&lt;&gt;"","spreads monthly - see Deferred Revenue","WIP "&amp;I130&amp;IF(D130="",""," - "&amp;D130)&amp;IF(F130="",""," "&amp;F130)&amp;IF(H130="",""," - "&amp;H130)))</f>
        <v/>
      </c>
      <c r="T130" s="22" t="n"/>
      <c r="U130" s="22" t="n"/>
      <c r="V130" s="22" t="n"/>
    </row>
    <row r="131" ht="15" customHeight="1">
      <c r="A131" s="72" t="n"/>
      <c r="B131" s="70">
        <f>IF(C131="","",IFERROR(INDEX(tbl_Finance[Date],MATCH(C131&amp;"",tbl_Finance[Xero Invoice No],0)),""))</f>
        <v/>
      </c>
      <c r="C131" s="22" t="n"/>
      <c r="D131" s="22" t="n"/>
      <c r="E131" s="26">
        <f>IF(D131="","",IF(COUNTIF(lst_Jobs,D131&amp;"")&gt;0,"OK","CHECK"))</f>
        <v/>
      </c>
      <c r="F131" s="22" t="n"/>
      <c r="G131" s="22" t="n"/>
      <c r="H131" s="22" t="n"/>
      <c r="I131" s="22" t="n"/>
      <c r="J131" s="22" t="n"/>
      <c r="K131" s="23" t="n"/>
      <c r="L131" s="23" t="n"/>
      <c r="M131" s="26">
        <f>IF(N131="","",IF(OR(K131="",L131=""),"one month",TEXT(MAX(1,(YEAR(L131)-YEAR(K131))*12+MONTH(L131)-MONTH(K131)+1),"0")&amp;" months - see Deferred Revenue"))</f>
        <v/>
      </c>
      <c r="N131" s="24" t="n"/>
      <c r="O131" s="22" t="n"/>
      <c r="P131" s="26">
        <f>IF(N(N131)=0,"",IF(N131&gt;0,set_WIPAsset,IF(J131="Cost",IF(O131="","(set the P&amp;L Account)",O131),IF(O131="",set_WIPIncome,O131))))</f>
        <v/>
      </c>
      <c r="Q131" s="26">
        <f>IF(N(N131)=0,"",IF(N131&gt;0,IF(J131="Cost",IF(O131="","(set the P&amp;L Account)",O131),IF(O131="",set_WIPIncome,O131)),set_WIPAsset))</f>
        <v/>
      </c>
      <c r="R131" s="27">
        <f>IF(OR(N(N131)=0,K131&lt;&gt;""),"",ABS(N131))</f>
        <v/>
      </c>
      <c r="S131" s="26">
        <f>IF(N(N131)=0,"",IF(K131&lt;&gt;"","spreads monthly - see Deferred Revenue","WIP "&amp;I131&amp;IF(D131="",""," - "&amp;D131)&amp;IF(F131="",""," "&amp;F131)&amp;IF(H131="",""," - "&amp;H131)))</f>
        <v/>
      </c>
      <c r="T131" s="22" t="n"/>
      <c r="U131" s="22" t="n"/>
      <c r="V131" s="22" t="n"/>
    </row>
    <row r="132" ht="15" customHeight="1">
      <c r="A132" s="72" t="n"/>
      <c r="B132" s="70">
        <f>IF(C132="","",IFERROR(INDEX(tbl_Finance[Date],MATCH(C132&amp;"",tbl_Finance[Xero Invoice No],0)),""))</f>
        <v/>
      </c>
      <c r="C132" s="22" t="n"/>
      <c r="D132" s="22" t="n"/>
      <c r="E132" s="26">
        <f>IF(D132="","",IF(COUNTIF(lst_Jobs,D132&amp;"")&gt;0,"OK","CHECK"))</f>
        <v/>
      </c>
      <c r="F132" s="22" t="n"/>
      <c r="G132" s="22" t="n"/>
      <c r="H132" s="22" t="n"/>
      <c r="I132" s="22" t="n"/>
      <c r="J132" s="22" t="n"/>
      <c r="K132" s="23" t="n"/>
      <c r="L132" s="23" t="n"/>
      <c r="M132" s="26">
        <f>IF(N132="","",IF(OR(K132="",L132=""),"one month",TEXT(MAX(1,(YEAR(L132)-YEAR(K132))*12+MONTH(L132)-MONTH(K132)+1),"0")&amp;" months - see Deferred Revenue"))</f>
        <v/>
      </c>
      <c r="N132" s="24" t="n"/>
      <c r="O132" s="22" t="n"/>
      <c r="P132" s="26">
        <f>IF(N(N132)=0,"",IF(N132&gt;0,set_WIPAsset,IF(J132="Cost",IF(O132="","(set the P&amp;L Account)",O132),IF(O132="",set_WIPIncome,O132))))</f>
        <v/>
      </c>
      <c r="Q132" s="26">
        <f>IF(N(N132)=0,"",IF(N132&gt;0,IF(J132="Cost",IF(O132="","(set the P&amp;L Account)",O132),IF(O132="",set_WIPIncome,O132)),set_WIPAsset))</f>
        <v/>
      </c>
      <c r="R132" s="27">
        <f>IF(OR(N(N132)=0,K132&lt;&gt;""),"",ABS(N132))</f>
        <v/>
      </c>
      <c r="S132" s="26">
        <f>IF(N(N132)=0,"",IF(K132&lt;&gt;"","spreads monthly - see Deferred Revenue","WIP "&amp;I132&amp;IF(D132="",""," - "&amp;D132)&amp;IF(F132="",""," "&amp;F132)&amp;IF(H132="",""," - "&amp;H132)))</f>
        <v/>
      </c>
      <c r="T132" s="22" t="n"/>
      <c r="U132" s="22" t="n"/>
      <c r="V132" s="22" t="n"/>
    </row>
    <row r="133" ht="15" customHeight="1">
      <c r="A133" s="72" t="n"/>
      <c r="B133" s="70">
        <f>IF(C133="","",IFERROR(INDEX(tbl_Finance[Date],MATCH(C133&amp;"",tbl_Finance[Xero Invoice No],0)),""))</f>
        <v/>
      </c>
      <c r="C133" s="22" t="n"/>
      <c r="D133" s="22" t="n"/>
      <c r="E133" s="26">
        <f>IF(D133="","",IF(COUNTIF(lst_Jobs,D133&amp;"")&gt;0,"OK","CHECK"))</f>
        <v/>
      </c>
      <c r="F133" s="22" t="n"/>
      <c r="G133" s="22" t="n"/>
      <c r="H133" s="22" t="n"/>
      <c r="I133" s="22" t="n"/>
      <c r="J133" s="22" t="n"/>
      <c r="K133" s="23" t="n"/>
      <c r="L133" s="23" t="n"/>
      <c r="M133" s="26">
        <f>IF(N133="","",IF(OR(K133="",L133=""),"one month",TEXT(MAX(1,(YEAR(L133)-YEAR(K133))*12+MONTH(L133)-MONTH(K133)+1),"0")&amp;" months - see Deferred Revenue"))</f>
        <v/>
      </c>
      <c r="N133" s="24" t="n"/>
      <c r="O133" s="22" t="n"/>
      <c r="P133" s="26">
        <f>IF(N(N133)=0,"",IF(N133&gt;0,set_WIPAsset,IF(J133="Cost",IF(O133="","(set the P&amp;L Account)",O133),IF(O133="",set_WIPIncome,O133))))</f>
        <v/>
      </c>
      <c r="Q133" s="26">
        <f>IF(N(N133)=0,"",IF(N133&gt;0,IF(J133="Cost",IF(O133="","(set the P&amp;L Account)",O133),IF(O133="",set_WIPIncome,O133)),set_WIPAsset))</f>
        <v/>
      </c>
      <c r="R133" s="27">
        <f>IF(OR(N(N133)=0,K133&lt;&gt;""),"",ABS(N133))</f>
        <v/>
      </c>
      <c r="S133" s="26">
        <f>IF(N(N133)=0,"",IF(K133&lt;&gt;"","spreads monthly - see Deferred Revenue","WIP "&amp;I133&amp;IF(D133="",""," - "&amp;D133)&amp;IF(F133="",""," "&amp;F133)&amp;IF(H133="",""," - "&amp;H133)))</f>
        <v/>
      </c>
      <c r="T133" s="22" t="n"/>
      <c r="U133" s="22" t="n"/>
      <c r="V133" s="22" t="n"/>
    </row>
    <row r="134" ht="15" customHeight="1">
      <c r="A134" s="72" t="n"/>
      <c r="B134" s="70">
        <f>IF(C134="","",IFERROR(INDEX(tbl_Finance[Date],MATCH(C134&amp;"",tbl_Finance[Xero Invoice No],0)),""))</f>
        <v/>
      </c>
      <c r="C134" s="22" t="n"/>
      <c r="D134" s="22" t="n"/>
      <c r="E134" s="26">
        <f>IF(D134="","",IF(COUNTIF(lst_Jobs,D134&amp;"")&gt;0,"OK","CHECK"))</f>
        <v/>
      </c>
      <c r="F134" s="22" t="n"/>
      <c r="G134" s="22" t="n"/>
      <c r="H134" s="22" t="n"/>
      <c r="I134" s="22" t="n"/>
      <c r="J134" s="22" t="n"/>
      <c r="K134" s="23" t="n"/>
      <c r="L134" s="23" t="n"/>
      <c r="M134" s="26">
        <f>IF(N134="","",IF(OR(K134="",L134=""),"one month",TEXT(MAX(1,(YEAR(L134)-YEAR(K134))*12+MONTH(L134)-MONTH(K134)+1),"0")&amp;" months - see Deferred Revenue"))</f>
        <v/>
      </c>
      <c r="N134" s="24" t="n"/>
      <c r="O134" s="22" t="n"/>
      <c r="P134" s="26">
        <f>IF(N(N134)=0,"",IF(N134&gt;0,set_WIPAsset,IF(J134="Cost",IF(O134="","(set the P&amp;L Account)",O134),IF(O134="",set_WIPIncome,O134))))</f>
        <v/>
      </c>
      <c r="Q134" s="26">
        <f>IF(N(N134)=0,"",IF(N134&gt;0,IF(J134="Cost",IF(O134="","(set the P&amp;L Account)",O134),IF(O134="",set_WIPIncome,O134)),set_WIPAsset))</f>
        <v/>
      </c>
      <c r="R134" s="27">
        <f>IF(OR(N(N134)=0,K134&lt;&gt;""),"",ABS(N134))</f>
        <v/>
      </c>
      <c r="S134" s="26">
        <f>IF(N(N134)=0,"",IF(K134&lt;&gt;"","spreads monthly - see Deferred Revenue","WIP "&amp;I134&amp;IF(D134="",""," - "&amp;D134)&amp;IF(F134="",""," "&amp;F134)&amp;IF(H134="",""," - "&amp;H134)))</f>
        <v/>
      </c>
      <c r="T134" s="22" t="n"/>
      <c r="U134" s="22" t="n"/>
      <c r="V134" s="22" t="n"/>
    </row>
    <row r="135" ht="15" customHeight="1">
      <c r="A135" s="72" t="n"/>
      <c r="B135" s="70">
        <f>IF(C135="","",IFERROR(INDEX(tbl_Finance[Date],MATCH(C135&amp;"",tbl_Finance[Xero Invoice No],0)),""))</f>
        <v/>
      </c>
      <c r="C135" s="22" t="n"/>
      <c r="D135" s="22" t="n"/>
      <c r="E135" s="26">
        <f>IF(D135="","",IF(COUNTIF(lst_Jobs,D135&amp;"")&gt;0,"OK","CHECK"))</f>
        <v/>
      </c>
      <c r="F135" s="22" t="n"/>
      <c r="G135" s="22" t="n"/>
      <c r="H135" s="22" t="n"/>
      <c r="I135" s="22" t="n"/>
      <c r="J135" s="22" t="n"/>
      <c r="K135" s="23" t="n"/>
      <c r="L135" s="23" t="n"/>
      <c r="M135" s="26">
        <f>IF(N135="","",IF(OR(K135="",L135=""),"one month",TEXT(MAX(1,(YEAR(L135)-YEAR(K135))*12+MONTH(L135)-MONTH(K135)+1),"0")&amp;" months - see Deferred Revenue"))</f>
        <v/>
      </c>
      <c r="N135" s="24" t="n"/>
      <c r="O135" s="22" t="n"/>
      <c r="P135" s="26">
        <f>IF(N(N135)=0,"",IF(N135&gt;0,set_WIPAsset,IF(J135="Cost",IF(O135="","(set the P&amp;L Account)",O135),IF(O135="",set_WIPIncome,O135))))</f>
        <v/>
      </c>
      <c r="Q135" s="26">
        <f>IF(N(N135)=0,"",IF(N135&gt;0,IF(J135="Cost",IF(O135="","(set the P&amp;L Account)",O135),IF(O135="",set_WIPIncome,O135)),set_WIPAsset))</f>
        <v/>
      </c>
      <c r="R135" s="27">
        <f>IF(OR(N(N135)=0,K135&lt;&gt;""),"",ABS(N135))</f>
        <v/>
      </c>
      <c r="S135" s="26">
        <f>IF(N(N135)=0,"",IF(K135&lt;&gt;"","spreads monthly - see Deferred Revenue","WIP "&amp;I135&amp;IF(D135="",""," - "&amp;D135)&amp;IF(F135="",""," "&amp;F135)&amp;IF(H135="",""," - "&amp;H135)))</f>
        <v/>
      </c>
      <c r="T135" s="22" t="n"/>
      <c r="U135" s="22" t="n"/>
      <c r="V135" s="22" t="n"/>
    </row>
    <row r="136" ht="15" customHeight="1">
      <c r="A136" s="72" t="n"/>
      <c r="B136" s="70">
        <f>IF(C136="","",IFERROR(INDEX(tbl_Finance[Date],MATCH(C136&amp;"",tbl_Finance[Xero Invoice No],0)),""))</f>
        <v/>
      </c>
      <c r="C136" s="22" t="n"/>
      <c r="D136" s="22" t="n"/>
      <c r="E136" s="26">
        <f>IF(D136="","",IF(COUNTIF(lst_Jobs,D136&amp;"")&gt;0,"OK","CHECK"))</f>
        <v/>
      </c>
      <c r="F136" s="22" t="n"/>
      <c r="G136" s="22" t="n"/>
      <c r="H136" s="22" t="n"/>
      <c r="I136" s="22" t="n"/>
      <c r="J136" s="22" t="n"/>
      <c r="K136" s="23" t="n"/>
      <c r="L136" s="23" t="n"/>
      <c r="M136" s="26">
        <f>IF(N136="","",IF(OR(K136="",L136=""),"one month",TEXT(MAX(1,(YEAR(L136)-YEAR(K136))*12+MONTH(L136)-MONTH(K136)+1),"0")&amp;" months - see Deferred Revenue"))</f>
        <v/>
      </c>
      <c r="N136" s="24" t="n"/>
      <c r="O136" s="22" t="n"/>
      <c r="P136" s="26">
        <f>IF(N(N136)=0,"",IF(N136&gt;0,set_WIPAsset,IF(J136="Cost",IF(O136="","(set the P&amp;L Account)",O136),IF(O136="",set_WIPIncome,O136))))</f>
        <v/>
      </c>
      <c r="Q136" s="26">
        <f>IF(N(N136)=0,"",IF(N136&gt;0,IF(J136="Cost",IF(O136="","(set the P&amp;L Account)",O136),IF(O136="",set_WIPIncome,O136)),set_WIPAsset))</f>
        <v/>
      </c>
      <c r="R136" s="27">
        <f>IF(OR(N(N136)=0,K136&lt;&gt;""),"",ABS(N136))</f>
        <v/>
      </c>
      <c r="S136" s="26">
        <f>IF(N(N136)=0,"",IF(K136&lt;&gt;"","spreads monthly - see Deferred Revenue","WIP "&amp;I136&amp;IF(D136="",""," - "&amp;D136)&amp;IF(F136="",""," "&amp;F136)&amp;IF(H136="",""," - "&amp;H136)))</f>
        <v/>
      </c>
      <c r="T136" s="22" t="n"/>
      <c r="U136" s="22" t="n"/>
      <c r="V136" s="22" t="n"/>
    </row>
    <row r="137" ht="15" customHeight="1">
      <c r="A137" s="72" t="n"/>
      <c r="B137" s="70">
        <f>IF(C137="","",IFERROR(INDEX(tbl_Finance[Date],MATCH(C137&amp;"",tbl_Finance[Xero Invoice No],0)),""))</f>
        <v/>
      </c>
      <c r="C137" s="22" t="n"/>
      <c r="D137" s="22" t="n"/>
      <c r="E137" s="26">
        <f>IF(D137="","",IF(COUNTIF(lst_Jobs,D137&amp;"")&gt;0,"OK","CHECK"))</f>
        <v/>
      </c>
      <c r="F137" s="22" t="n"/>
      <c r="G137" s="22" t="n"/>
      <c r="H137" s="22" t="n"/>
      <c r="I137" s="22" t="n"/>
      <c r="J137" s="22" t="n"/>
      <c r="K137" s="23" t="n"/>
      <c r="L137" s="23" t="n"/>
      <c r="M137" s="26">
        <f>IF(N137="","",IF(OR(K137="",L137=""),"one month",TEXT(MAX(1,(YEAR(L137)-YEAR(K137))*12+MONTH(L137)-MONTH(K137)+1),"0")&amp;" months - see Deferred Revenue"))</f>
        <v/>
      </c>
      <c r="N137" s="24" t="n"/>
      <c r="O137" s="22" t="n"/>
      <c r="P137" s="26">
        <f>IF(N(N137)=0,"",IF(N137&gt;0,set_WIPAsset,IF(J137="Cost",IF(O137="","(set the P&amp;L Account)",O137),IF(O137="",set_WIPIncome,O137))))</f>
        <v/>
      </c>
      <c r="Q137" s="26">
        <f>IF(N(N137)=0,"",IF(N137&gt;0,IF(J137="Cost",IF(O137="","(set the P&amp;L Account)",O137),IF(O137="",set_WIPIncome,O137)),set_WIPAsset))</f>
        <v/>
      </c>
      <c r="R137" s="27">
        <f>IF(OR(N(N137)=0,K137&lt;&gt;""),"",ABS(N137))</f>
        <v/>
      </c>
      <c r="S137" s="26">
        <f>IF(N(N137)=0,"",IF(K137&lt;&gt;"","spreads monthly - see Deferred Revenue","WIP "&amp;I137&amp;IF(D137="",""," - "&amp;D137)&amp;IF(F137="",""," "&amp;F137)&amp;IF(H137="",""," - "&amp;H137)))</f>
        <v/>
      </c>
      <c r="T137" s="22" t="n"/>
      <c r="U137" s="22" t="n"/>
      <c r="V137" s="22" t="n"/>
    </row>
    <row r="138" ht="15" customHeight="1">
      <c r="A138" s="72" t="n"/>
      <c r="B138" s="70">
        <f>IF(C138="","",IFERROR(INDEX(tbl_Finance[Date],MATCH(C138&amp;"",tbl_Finance[Xero Invoice No],0)),""))</f>
        <v/>
      </c>
      <c r="C138" s="22" t="n"/>
      <c r="D138" s="22" t="n"/>
      <c r="E138" s="26">
        <f>IF(D138="","",IF(COUNTIF(lst_Jobs,D138&amp;"")&gt;0,"OK","CHECK"))</f>
        <v/>
      </c>
      <c r="F138" s="22" t="n"/>
      <c r="G138" s="22" t="n"/>
      <c r="H138" s="22" t="n"/>
      <c r="I138" s="22" t="n"/>
      <c r="J138" s="22" t="n"/>
      <c r="K138" s="23" t="n"/>
      <c r="L138" s="23" t="n"/>
      <c r="M138" s="26">
        <f>IF(N138="","",IF(OR(K138="",L138=""),"one month",TEXT(MAX(1,(YEAR(L138)-YEAR(K138))*12+MONTH(L138)-MONTH(K138)+1),"0")&amp;" months - see Deferred Revenue"))</f>
        <v/>
      </c>
      <c r="N138" s="24" t="n"/>
      <c r="O138" s="22" t="n"/>
      <c r="P138" s="26">
        <f>IF(N(N138)=0,"",IF(N138&gt;0,set_WIPAsset,IF(J138="Cost",IF(O138="","(set the P&amp;L Account)",O138),IF(O138="",set_WIPIncome,O138))))</f>
        <v/>
      </c>
      <c r="Q138" s="26">
        <f>IF(N(N138)=0,"",IF(N138&gt;0,IF(J138="Cost",IF(O138="","(set the P&amp;L Account)",O138),IF(O138="",set_WIPIncome,O138)),set_WIPAsset))</f>
        <v/>
      </c>
      <c r="R138" s="27">
        <f>IF(OR(N(N138)=0,K138&lt;&gt;""),"",ABS(N138))</f>
        <v/>
      </c>
      <c r="S138" s="26">
        <f>IF(N(N138)=0,"",IF(K138&lt;&gt;"","spreads monthly - see Deferred Revenue","WIP "&amp;I138&amp;IF(D138="",""," - "&amp;D138)&amp;IF(F138="",""," "&amp;F138)&amp;IF(H138="",""," - "&amp;H138)))</f>
        <v/>
      </c>
      <c r="T138" s="22" t="n"/>
      <c r="U138" s="22" t="n"/>
      <c r="V138" s="22" t="n"/>
    </row>
    <row r="139" ht="15" customHeight="1">
      <c r="A139" s="72" t="n"/>
      <c r="B139" s="70">
        <f>IF(C139="","",IFERROR(INDEX(tbl_Finance[Date],MATCH(C139&amp;"",tbl_Finance[Xero Invoice No],0)),""))</f>
        <v/>
      </c>
      <c r="C139" s="22" t="n"/>
      <c r="D139" s="22" t="n"/>
      <c r="E139" s="26">
        <f>IF(D139="","",IF(COUNTIF(lst_Jobs,D139&amp;"")&gt;0,"OK","CHECK"))</f>
        <v/>
      </c>
      <c r="F139" s="22" t="n"/>
      <c r="G139" s="22" t="n"/>
      <c r="H139" s="22" t="n"/>
      <c r="I139" s="22" t="n"/>
      <c r="J139" s="22" t="n"/>
      <c r="K139" s="23" t="n"/>
      <c r="L139" s="23" t="n"/>
      <c r="M139" s="26">
        <f>IF(N139="","",IF(OR(K139="",L139=""),"one month",TEXT(MAX(1,(YEAR(L139)-YEAR(K139))*12+MONTH(L139)-MONTH(K139)+1),"0")&amp;" months - see Deferred Revenue"))</f>
        <v/>
      </c>
      <c r="N139" s="24" t="n"/>
      <c r="O139" s="22" t="n"/>
      <c r="P139" s="26">
        <f>IF(N(N139)=0,"",IF(N139&gt;0,set_WIPAsset,IF(J139="Cost",IF(O139="","(set the P&amp;L Account)",O139),IF(O139="",set_WIPIncome,O139))))</f>
        <v/>
      </c>
      <c r="Q139" s="26">
        <f>IF(N(N139)=0,"",IF(N139&gt;0,IF(J139="Cost",IF(O139="","(set the P&amp;L Account)",O139),IF(O139="",set_WIPIncome,O139)),set_WIPAsset))</f>
        <v/>
      </c>
      <c r="R139" s="27">
        <f>IF(OR(N(N139)=0,K139&lt;&gt;""),"",ABS(N139))</f>
        <v/>
      </c>
      <c r="S139" s="26">
        <f>IF(N(N139)=0,"",IF(K139&lt;&gt;"","spreads monthly - see Deferred Revenue","WIP "&amp;I139&amp;IF(D139="",""," - "&amp;D139)&amp;IF(F139="",""," "&amp;F139)&amp;IF(H139="",""," - "&amp;H139)))</f>
        <v/>
      </c>
      <c r="T139" s="22" t="n"/>
      <c r="U139" s="22" t="n"/>
      <c r="V139" s="22" t="n"/>
    </row>
    <row r="140" ht="15" customHeight="1">
      <c r="A140" s="72" t="n"/>
      <c r="B140" s="70">
        <f>IF(C140="","",IFERROR(INDEX(tbl_Finance[Date],MATCH(C140&amp;"",tbl_Finance[Xero Invoice No],0)),""))</f>
        <v/>
      </c>
      <c r="C140" s="22" t="n"/>
      <c r="D140" s="22" t="n"/>
      <c r="E140" s="26">
        <f>IF(D140="","",IF(COUNTIF(lst_Jobs,D140&amp;"")&gt;0,"OK","CHECK"))</f>
        <v/>
      </c>
      <c r="F140" s="22" t="n"/>
      <c r="G140" s="22" t="n"/>
      <c r="H140" s="22" t="n"/>
      <c r="I140" s="22" t="n"/>
      <c r="J140" s="22" t="n"/>
      <c r="K140" s="23" t="n"/>
      <c r="L140" s="23" t="n"/>
      <c r="M140" s="26">
        <f>IF(N140="","",IF(OR(K140="",L140=""),"one month",TEXT(MAX(1,(YEAR(L140)-YEAR(K140))*12+MONTH(L140)-MONTH(K140)+1),"0")&amp;" months - see Deferred Revenue"))</f>
        <v/>
      </c>
      <c r="N140" s="24" t="n"/>
      <c r="O140" s="22" t="n"/>
      <c r="P140" s="26">
        <f>IF(N(N140)=0,"",IF(N140&gt;0,set_WIPAsset,IF(J140="Cost",IF(O140="","(set the P&amp;L Account)",O140),IF(O140="",set_WIPIncome,O140))))</f>
        <v/>
      </c>
      <c r="Q140" s="26">
        <f>IF(N(N140)=0,"",IF(N140&gt;0,IF(J140="Cost",IF(O140="","(set the P&amp;L Account)",O140),IF(O140="",set_WIPIncome,O140)),set_WIPAsset))</f>
        <v/>
      </c>
      <c r="R140" s="27">
        <f>IF(OR(N(N140)=0,K140&lt;&gt;""),"",ABS(N140))</f>
        <v/>
      </c>
      <c r="S140" s="26">
        <f>IF(N(N140)=0,"",IF(K140&lt;&gt;"","spreads monthly - see Deferred Revenue","WIP "&amp;I140&amp;IF(D140="",""," - "&amp;D140)&amp;IF(F140="",""," "&amp;F140)&amp;IF(H140="",""," - "&amp;H140)))</f>
        <v/>
      </c>
      <c r="T140" s="22" t="n"/>
      <c r="U140" s="22" t="n"/>
      <c r="V140" s="22" t="n"/>
    </row>
    <row r="141" ht="15" customHeight="1">
      <c r="A141" s="72" t="n"/>
      <c r="B141" s="70">
        <f>IF(C141="","",IFERROR(INDEX(tbl_Finance[Date],MATCH(C141&amp;"",tbl_Finance[Xero Invoice No],0)),""))</f>
        <v/>
      </c>
      <c r="C141" s="22" t="n"/>
      <c r="D141" s="22" t="n"/>
      <c r="E141" s="26">
        <f>IF(D141="","",IF(COUNTIF(lst_Jobs,D141&amp;"")&gt;0,"OK","CHECK"))</f>
        <v/>
      </c>
      <c r="F141" s="22" t="n"/>
      <c r="G141" s="22" t="n"/>
      <c r="H141" s="22" t="n"/>
      <c r="I141" s="22" t="n"/>
      <c r="J141" s="22" t="n"/>
      <c r="K141" s="23" t="n"/>
      <c r="L141" s="23" t="n"/>
      <c r="M141" s="26">
        <f>IF(N141="","",IF(OR(K141="",L141=""),"one month",TEXT(MAX(1,(YEAR(L141)-YEAR(K141))*12+MONTH(L141)-MONTH(K141)+1),"0")&amp;" months - see Deferred Revenue"))</f>
        <v/>
      </c>
      <c r="N141" s="24" t="n"/>
      <c r="O141" s="22" t="n"/>
      <c r="P141" s="26">
        <f>IF(N(N141)=0,"",IF(N141&gt;0,set_WIPAsset,IF(J141="Cost",IF(O141="","(set the P&amp;L Account)",O141),IF(O141="",set_WIPIncome,O141))))</f>
        <v/>
      </c>
      <c r="Q141" s="26">
        <f>IF(N(N141)=0,"",IF(N141&gt;0,IF(J141="Cost",IF(O141="","(set the P&amp;L Account)",O141),IF(O141="",set_WIPIncome,O141)),set_WIPAsset))</f>
        <v/>
      </c>
      <c r="R141" s="27">
        <f>IF(OR(N(N141)=0,K141&lt;&gt;""),"",ABS(N141))</f>
        <v/>
      </c>
      <c r="S141" s="26">
        <f>IF(N(N141)=0,"",IF(K141&lt;&gt;"","spreads monthly - see Deferred Revenue","WIP "&amp;I141&amp;IF(D141="",""," - "&amp;D141)&amp;IF(F141="",""," "&amp;F141)&amp;IF(H141="",""," - "&amp;H141)))</f>
        <v/>
      </c>
      <c r="T141" s="22" t="n"/>
      <c r="U141" s="22" t="n"/>
      <c r="V141" s="22" t="n"/>
    </row>
    <row r="142" ht="15" customHeight="1">
      <c r="A142" s="72" t="n"/>
      <c r="B142" s="70">
        <f>IF(C142="","",IFERROR(INDEX(tbl_Finance[Date],MATCH(C142&amp;"",tbl_Finance[Xero Invoice No],0)),""))</f>
        <v/>
      </c>
      <c r="C142" s="22" t="n"/>
      <c r="D142" s="22" t="n"/>
      <c r="E142" s="26">
        <f>IF(D142="","",IF(COUNTIF(lst_Jobs,D142&amp;"")&gt;0,"OK","CHECK"))</f>
        <v/>
      </c>
      <c r="F142" s="22" t="n"/>
      <c r="G142" s="22" t="n"/>
      <c r="H142" s="22" t="n"/>
      <c r="I142" s="22" t="n"/>
      <c r="J142" s="22" t="n"/>
      <c r="K142" s="23" t="n"/>
      <c r="L142" s="23" t="n"/>
      <c r="M142" s="26">
        <f>IF(N142="","",IF(OR(K142="",L142=""),"one month",TEXT(MAX(1,(YEAR(L142)-YEAR(K142))*12+MONTH(L142)-MONTH(K142)+1),"0")&amp;" months - see Deferred Revenue"))</f>
        <v/>
      </c>
      <c r="N142" s="24" t="n"/>
      <c r="O142" s="22" t="n"/>
      <c r="P142" s="26">
        <f>IF(N(N142)=0,"",IF(N142&gt;0,set_WIPAsset,IF(J142="Cost",IF(O142="","(set the P&amp;L Account)",O142),IF(O142="",set_WIPIncome,O142))))</f>
        <v/>
      </c>
      <c r="Q142" s="26">
        <f>IF(N(N142)=0,"",IF(N142&gt;0,IF(J142="Cost",IF(O142="","(set the P&amp;L Account)",O142),IF(O142="",set_WIPIncome,O142)),set_WIPAsset))</f>
        <v/>
      </c>
      <c r="R142" s="27">
        <f>IF(OR(N(N142)=0,K142&lt;&gt;""),"",ABS(N142))</f>
        <v/>
      </c>
      <c r="S142" s="26">
        <f>IF(N(N142)=0,"",IF(K142&lt;&gt;"","spreads monthly - see Deferred Revenue","WIP "&amp;I142&amp;IF(D142="",""," - "&amp;D142)&amp;IF(F142="",""," "&amp;F142)&amp;IF(H142="",""," - "&amp;H142)))</f>
        <v/>
      </c>
      <c r="T142" s="22" t="n"/>
      <c r="U142" s="22" t="n"/>
      <c r="V142" s="22" t="n"/>
    </row>
    <row r="143" ht="15" customHeight="1">
      <c r="A143" s="72" t="n"/>
      <c r="B143" s="70">
        <f>IF(C143="","",IFERROR(INDEX(tbl_Finance[Date],MATCH(C143&amp;"",tbl_Finance[Xero Invoice No],0)),""))</f>
        <v/>
      </c>
      <c r="C143" s="22" t="n"/>
      <c r="D143" s="22" t="n"/>
      <c r="E143" s="26">
        <f>IF(D143="","",IF(COUNTIF(lst_Jobs,D143&amp;"")&gt;0,"OK","CHECK"))</f>
        <v/>
      </c>
      <c r="F143" s="22" t="n"/>
      <c r="G143" s="22" t="n"/>
      <c r="H143" s="22" t="n"/>
      <c r="I143" s="22" t="n"/>
      <c r="J143" s="22" t="n"/>
      <c r="K143" s="23" t="n"/>
      <c r="L143" s="23" t="n"/>
      <c r="M143" s="26">
        <f>IF(N143="","",IF(OR(K143="",L143=""),"one month",TEXT(MAX(1,(YEAR(L143)-YEAR(K143))*12+MONTH(L143)-MONTH(K143)+1),"0")&amp;" months - see Deferred Revenue"))</f>
        <v/>
      </c>
      <c r="N143" s="24" t="n"/>
      <c r="O143" s="22" t="n"/>
      <c r="P143" s="26">
        <f>IF(N(N143)=0,"",IF(N143&gt;0,set_WIPAsset,IF(J143="Cost",IF(O143="","(set the P&amp;L Account)",O143),IF(O143="",set_WIPIncome,O143))))</f>
        <v/>
      </c>
      <c r="Q143" s="26">
        <f>IF(N(N143)=0,"",IF(N143&gt;0,IF(J143="Cost",IF(O143="","(set the P&amp;L Account)",O143),IF(O143="",set_WIPIncome,O143)),set_WIPAsset))</f>
        <v/>
      </c>
      <c r="R143" s="27">
        <f>IF(OR(N(N143)=0,K143&lt;&gt;""),"",ABS(N143))</f>
        <v/>
      </c>
      <c r="S143" s="26">
        <f>IF(N(N143)=0,"",IF(K143&lt;&gt;"","spreads monthly - see Deferred Revenue","WIP "&amp;I143&amp;IF(D143="",""," - "&amp;D143)&amp;IF(F143="",""," "&amp;F143)&amp;IF(H143="",""," - "&amp;H143)))</f>
        <v/>
      </c>
      <c r="T143" s="22" t="n"/>
      <c r="U143" s="22" t="n"/>
      <c r="V143" s="22" t="n"/>
    </row>
    <row r="144" ht="15" customHeight="1">
      <c r="A144" s="72" t="n"/>
      <c r="B144" s="70">
        <f>IF(C144="","",IFERROR(INDEX(tbl_Finance[Date],MATCH(C144&amp;"",tbl_Finance[Xero Invoice No],0)),""))</f>
        <v/>
      </c>
      <c r="C144" s="22" t="n"/>
      <c r="D144" s="22" t="n"/>
      <c r="E144" s="26">
        <f>IF(D144="","",IF(COUNTIF(lst_Jobs,D144&amp;"")&gt;0,"OK","CHECK"))</f>
        <v/>
      </c>
      <c r="F144" s="22" t="n"/>
      <c r="G144" s="22" t="n"/>
      <c r="H144" s="22" t="n"/>
      <c r="I144" s="22" t="n"/>
      <c r="J144" s="22" t="n"/>
      <c r="K144" s="23" t="n"/>
      <c r="L144" s="23" t="n"/>
      <c r="M144" s="26">
        <f>IF(N144="","",IF(OR(K144="",L144=""),"one month",TEXT(MAX(1,(YEAR(L144)-YEAR(K144))*12+MONTH(L144)-MONTH(K144)+1),"0")&amp;" months - see Deferred Revenue"))</f>
        <v/>
      </c>
      <c r="N144" s="24" t="n"/>
      <c r="O144" s="22" t="n"/>
      <c r="P144" s="26">
        <f>IF(N(N144)=0,"",IF(N144&gt;0,set_WIPAsset,IF(J144="Cost",IF(O144="","(set the P&amp;L Account)",O144),IF(O144="",set_WIPIncome,O144))))</f>
        <v/>
      </c>
      <c r="Q144" s="26">
        <f>IF(N(N144)=0,"",IF(N144&gt;0,IF(J144="Cost",IF(O144="","(set the P&amp;L Account)",O144),IF(O144="",set_WIPIncome,O144)),set_WIPAsset))</f>
        <v/>
      </c>
      <c r="R144" s="27">
        <f>IF(OR(N(N144)=0,K144&lt;&gt;""),"",ABS(N144))</f>
        <v/>
      </c>
      <c r="S144" s="26">
        <f>IF(N(N144)=0,"",IF(K144&lt;&gt;"","spreads monthly - see Deferred Revenue","WIP "&amp;I144&amp;IF(D144="",""," - "&amp;D144)&amp;IF(F144="",""," "&amp;F144)&amp;IF(H144="",""," - "&amp;H144)))</f>
        <v/>
      </c>
      <c r="T144" s="22" t="n"/>
      <c r="U144" s="22" t="n"/>
      <c r="V144" s="22" t="n"/>
    </row>
    <row r="145" ht="15" customHeight="1">
      <c r="A145" s="72" t="n"/>
      <c r="B145" s="70">
        <f>IF(C145="","",IFERROR(INDEX(tbl_Finance[Date],MATCH(C145&amp;"",tbl_Finance[Xero Invoice No],0)),""))</f>
        <v/>
      </c>
      <c r="C145" s="22" t="n"/>
      <c r="D145" s="22" t="n"/>
      <c r="E145" s="26">
        <f>IF(D145="","",IF(COUNTIF(lst_Jobs,D145&amp;"")&gt;0,"OK","CHECK"))</f>
        <v/>
      </c>
      <c r="F145" s="22" t="n"/>
      <c r="G145" s="22" t="n"/>
      <c r="H145" s="22" t="n"/>
      <c r="I145" s="22" t="n"/>
      <c r="J145" s="22" t="n"/>
      <c r="K145" s="23" t="n"/>
      <c r="L145" s="23" t="n"/>
      <c r="M145" s="26">
        <f>IF(N145="","",IF(OR(K145="",L145=""),"one month",TEXT(MAX(1,(YEAR(L145)-YEAR(K145))*12+MONTH(L145)-MONTH(K145)+1),"0")&amp;" months - see Deferred Revenue"))</f>
        <v/>
      </c>
      <c r="N145" s="24" t="n"/>
      <c r="O145" s="22" t="n"/>
      <c r="P145" s="26">
        <f>IF(N(N145)=0,"",IF(N145&gt;0,set_WIPAsset,IF(J145="Cost",IF(O145="","(set the P&amp;L Account)",O145),IF(O145="",set_WIPIncome,O145))))</f>
        <v/>
      </c>
      <c r="Q145" s="26">
        <f>IF(N(N145)=0,"",IF(N145&gt;0,IF(J145="Cost",IF(O145="","(set the P&amp;L Account)",O145),IF(O145="",set_WIPIncome,O145)),set_WIPAsset))</f>
        <v/>
      </c>
      <c r="R145" s="27">
        <f>IF(OR(N(N145)=0,K145&lt;&gt;""),"",ABS(N145))</f>
        <v/>
      </c>
      <c r="S145" s="26">
        <f>IF(N(N145)=0,"",IF(K145&lt;&gt;"","spreads monthly - see Deferred Revenue","WIP "&amp;I145&amp;IF(D145="",""," - "&amp;D145)&amp;IF(F145="",""," "&amp;F145)&amp;IF(H145="",""," - "&amp;H145)))</f>
        <v/>
      </c>
      <c r="T145" s="22" t="n"/>
      <c r="U145" s="22" t="n"/>
      <c r="V145" s="22" t="n"/>
    </row>
    <row r="146" ht="15" customHeight="1">
      <c r="A146" s="72" t="n"/>
      <c r="B146" s="70">
        <f>IF(C146="","",IFERROR(INDEX(tbl_Finance[Date],MATCH(C146&amp;"",tbl_Finance[Xero Invoice No],0)),""))</f>
        <v/>
      </c>
      <c r="C146" s="22" t="n"/>
      <c r="D146" s="22" t="n"/>
      <c r="E146" s="26">
        <f>IF(D146="","",IF(COUNTIF(lst_Jobs,D146&amp;"")&gt;0,"OK","CHECK"))</f>
        <v/>
      </c>
      <c r="F146" s="22" t="n"/>
      <c r="G146" s="22" t="n"/>
      <c r="H146" s="22" t="n"/>
      <c r="I146" s="22" t="n"/>
      <c r="J146" s="22" t="n"/>
      <c r="K146" s="23" t="n"/>
      <c r="L146" s="23" t="n"/>
      <c r="M146" s="26">
        <f>IF(N146="","",IF(OR(K146="",L146=""),"one month",TEXT(MAX(1,(YEAR(L146)-YEAR(K146))*12+MONTH(L146)-MONTH(K146)+1),"0")&amp;" months - see Deferred Revenue"))</f>
        <v/>
      </c>
      <c r="N146" s="24" t="n"/>
      <c r="O146" s="22" t="n"/>
      <c r="P146" s="26">
        <f>IF(N(N146)=0,"",IF(N146&gt;0,set_WIPAsset,IF(J146="Cost",IF(O146="","(set the P&amp;L Account)",O146),IF(O146="",set_WIPIncome,O146))))</f>
        <v/>
      </c>
      <c r="Q146" s="26">
        <f>IF(N(N146)=0,"",IF(N146&gt;0,IF(J146="Cost",IF(O146="","(set the P&amp;L Account)",O146),IF(O146="",set_WIPIncome,O146)),set_WIPAsset))</f>
        <v/>
      </c>
      <c r="R146" s="27">
        <f>IF(OR(N(N146)=0,K146&lt;&gt;""),"",ABS(N146))</f>
        <v/>
      </c>
      <c r="S146" s="26">
        <f>IF(N(N146)=0,"",IF(K146&lt;&gt;"","spreads monthly - see Deferred Revenue","WIP "&amp;I146&amp;IF(D146="",""," - "&amp;D146)&amp;IF(F146="",""," "&amp;F146)&amp;IF(H146="",""," - "&amp;H146)))</f>
        <v/>
      </c>
      <c r="T146" s="22" t="n"/>
      <c r="U146" s="22" t="n"/>
      <c r="V146" s="22" t="n"/>
    </row>
    <row r="147" ht="15" customHeight="1">
      <c r="A147" s="72" t="n"/>
      <c r="B147" s="70">
        <f>IF(C147="","",IFERROR(INDEX(tbl_Finance[Date],MATCH(C147&amp;"",tbl_Finance[Xero Invoice No],0)),""))</f>
        <v/>
      </c>
      <c r="C147" s="22" t="n"/>
      <c r="D147" s="22" t="n"/>
      <c r="E147" s="26">
        <f>IF(D147="","",IF(COUNTIF(lst_Jobs,D147&amp;"")&gt;0,"OK","CHECK"))</f>
        <v/>
      </c>
      <c r="F147" s="22" t="n"/>
      <c r="G147" s="22" t="n"/>
      <c r="H147" s="22" t="n"/>
      <c r="I147" s="22" t="n"/>
      <c r="J147" s="22" t="n"/>
      <c r="K147" s="23" t="n"/>
      <c r="L147" s="23" t="n"/>
      <c r="M147" s="26">
        <f>IF(N147="","",IF(OR(K147="",L147=""),"one month",TEXT(MAX(1,(YEAR(L147)-YEAR(K147))*12+MONTH(L147)-MONTH(K147)+1),"0")&amp;" months - see Deferred Revenue"))</f>
        <v/>
      </c>
      <c r="N147" s="24" t="n"/>
      <c r="O147" s="22" t="n"/>
      <c r="P147" s="26">
        <f>IF(N(N147)=0,"",IF(N147&gt;0,set_WIPAsset,IF(J147="Cost",IF(O147="","(set the P&amp;L Account)",O147),IF(O147="",set_WIPIncome,O147))))</f>
        <v/>
      </c>
      <c r="Q147" s="26">
        <f>IF(N(N147)=0,"",IF(N147&gt;0,IF(J147="Cost",IF(O147="","(set the P&amp;L Account)",O147),IF(O147="",set_WIPIncome,O147)),set_WIPAsset))</f>
        <v/>
      </c>
      <c r="R147" s="27">
        <f>IF(OR(N(N147)=0,K147&lt;&gt;""),"",ABS(N147))</f>
        <v/>
      </c>
      <c r="S147" s="26">
        <f>IF(N(N147)=0,"",IF(K147&lt;&gt;"","spreads monthly - see Deferred Revenue","WIP "&amp;I147&amp;IF(D147="",""," - "&amp;D147)&amp;IF(F147="",""," "&amp;F147)&amp;IF(H147="",""," - "&amp;H147)))</f>
        <v/>
      </c>
      <c r="T147" s="22" t="n"/>
      <c r="U147" s="22" t="n"/>
      <c r="V147" s="22" t="n"/>
    </row>
    <row r="148" ht="15" customHeight="1">
      <c r="A148" s="72" t="n"/>
      <c r="B148" s="70">
        <f>IF(C148="","",IFERROR(INDEX(tbl_Finance[Date],MATCH(C148&amp;"",tbl_Finance[Xero Invoice No],0)),""))</f>
        <v/>
      </c>
      <c r="C148" s="22" t="n"/>
      <c r="D148" s="22" t="n"/>
      <c r="E148" s="26">
        <f>IF(D148="","",IF(COUNTIF(lst_Jobs,D148&amp;"")&gt;0,"OK","CHECK"))</f>
        <v/>
      </c>
      <c r="F148" s="22" t="n"/>
      <c r="G148" s="22" t="n"/>
      <c r="H148" s="22" t="n"/>
      <c r="I148" s="22" t="n"/>
      <c r="J148" s="22" t="n"/>
      <c r="K148" s="23" t="n"/>
      <c r="L148" s="23" t="n"/>
      <c r="M148" s="26">
        <f>IF(N148="","",IF(OR(K148="",L148=""),"one month",TEXT(MAX(1,(YEAR(L148)-YEAR(K148))*12+MONTH(L148)-MONTH(K148)+1),"0")&amp;" months - see Deferred Revenue"))</f>
        <v/>
      </c>
      <c r="N148" s="24" t="n"/>
      <c r="O148" s="22" t="n"/>
      <c r="P148" s="26">
        <f>IF(N(N148)=0,"",IF(N148&gt;0,set_WIPAsset,IF(J148="Cost",IF(O148="","(set the P&amp;L Account)",O148),IF(O148="",set_WIPIncome,O148))))</f>
        <v/>
      </c>
      <c r="Q148" s="26">
        <f>IF(N(N148)=0,"",IF(N148&gt;0,IF(J148="Cost",IF(O148="","(set the P&amp;L Account)",O148),IF(O148="",set_WIPIncome,O148)),set_WIPAsset))</f>
        <v/>
      </c>
      <c r="R148" s="27">
        <f>IF(OR(N(N148)=0,K148&lt;&gt;""),"",ABS(N148))</f>
        <v/>
      </c>
      <c r="S148" s="26">
        <f>IF(N(N148)=0,"",IF(K148&lt;&gt;"","spreads monthly - see Deferred Revenue","WIP "&amp;I148&amp;IF(D148="",""," - "&amp;D148)&amp;IF(F148="",""," "&amp;F148)&amp;IF(H148="",""," - "&amp;H148)))</f>
        <v/>
      </c>
      <c r="T148" s="22" t="n"/>
      <c r="U148" s="22" t="n"/>
      <c r="V148" s="22" t="n"/>
    </row>
    <row r="149" ht="15" customHeight="1">
      <c r="A149" s="72" t="n"/>
      <c r="B149" s="70">
        <f>IF(C149="","",IFERROR(INDEX(tbl_Finance[Date],MATCH(C149&amp;"",tbl_Finance[Xero Invoice No],0)),""))</f>
        <v/>
      </c>
      <c r="C149" s="22" t="n"/>
      <c r="D149" s="22" t="n"/>
      <c r="E149" s="26">
        <f>IF(D149="","",IF(COUNTIF(lst_Jobs,D149&amp;"")&gt;0,"OK","CHECK"))</f>
        <v/>
      </c>
      <c r="F149" s="22" t="n"/>
      <c r="G149" s="22" t="n"/>
      <c r="H149" s="22" t="n"/>
      <c r="I149" s="22" t="n"/>
      <c r="J149" s="22" t="n"/>
      <c r="K149" s="23" t="n"/>
      <c r="L149" s="23" t="n"/>
      <c r="M149" s="26">
        <f>IF(N149="","",IF(OR(K149="",L149=""),"one month",TEXT(MAX(1,(YEAR(L149)-YEAR(K149))*12+MONTH(L149)-MONTH(K149)+1),"0")&amp;" months - see Deferred Revenue"))</f>
        <v/>
      </c>
      <c r="N149" s="24" t="n"/>
      <c r="O149" s="22" t="n"/>
      <c r="P149" s="26">
        <f>IF(N(N149)=0,"",IF(N149&gt;0,set_WIPAsset,IF(J149="Cost",IF(O149="","(set the P&amp;L Account)",O149),IF(O149="",set_WIPIncome,O149))))</f>
        <v/>
      </c>
      <c r="Q149" s="26">
        <f>IF(N(N149)=0,"",IF(N149&gt;0,IF(J149="Cost",IF(O149="","(set the P&amp;L Account)",O149),IF(O149="",set_WIPIncome,O149)),set_WIPAsset))</f>
        <v/>
      </c>
      <c r="R149" s="27">
        <f>IF(OR(N(N149)=0,K149&lt;&gt;""),"",ABS(N149))</f>
        <v/>
      </c>
      <c r="S149" s="26">
        <f>IF(N(N149)=0,"",IF(K149&lt;&gt;"","spreads monthly - see Deferred Revenue","WIP "&amp;I149&amp;IF(D149="",""," - "&amp;D149)&amp;IF(F149="",""," "&amp;F149)&amp;IF(H149="",""," - "&amp;H149)))</f>
        <v/>
      </c>
      <c r="T149" s="22" t="n"/>
      <c r="U149" s="22" t="n"/>
      <c r="V149" s="22" t="n"/>
    </row>
    <row r="150" ht="15" customHeight="1">
      <c r="A150" s="72" t="n"/>
      <c r="B150" s="70">
        <f>IF(C150="","",IFERROR(INDEX(tbl_Finance[Date],MATCH(C150&amp;"",tbl_Finance[Xero Invoice No],0)),""))</f>
        <v/>
      </c>
      <c r="C150" s="22" t="n"/>
      <c r="D150" s="22" t="n"/>
      <c r="E150" s="26">
        <f>IF(D150="","",IF(COUNTIF(lst_Jobs,D150&amp;"")&gt;0,"OK","CHECK"))</f>
        <v/>
      </c>
      <c r="F150" s="22" t="n"/>
      <c r="G150" s="22" t="n"/>
      <c r="H150" s="22" t="n"/>
      <c r="I150" s="22" t="n"/>
      <c r="J150" s="22" t="n"/>
      <c r="K150" s="23" t="n"/>
      <c r="L150" s="23" t="n"/>
      <c r="M150" s="26">
        <f>IF(N150="","",IF(OR(K150="",L150=""),"one month",TEXT(MAX(1,(YEAR(L150)-YEAR(K150))*12+MONTH(L150)-MONTH(K150)+1),"0")&amp;" months - see Deferred Revenue"))</f>
        <v/>
      </c>
      <c r="N150" s="24" t="n"/>
      <c r="O150" s="22" t="n"/>
      <c r="P150" s="26">
        <f>IF(N(N150)=0,"",IF(N150&gt;0,set_WIPAsset,IF(J150="Cost",IF(O150="","(set the P&amp;L Account)",O150),IF(O150="",set_WIPIncome,O150))))</f>
        <v/>
      </c>
      <c r="Q150" s="26">
        <f>IF(N(N150)=0,"",IF(N150&gt;0,IF(J150="Cost",IF(O150="","(set the P&amp;L Account)",O150),IF(O150="",set_WIPIncome,O150)),set_WIPAsset))</f>
        <v/>
      </c>
      <c r="R150" s="27">
        <f>IF(OR(N(N150)=0,K150&lt;&gt;""),"",ABS(N150))</f>
        <v/>
      </c>
      <c r="S150" s="26">
        <f>IF(N(N150)=0,"",IF(K150&lt;&gt;"","spreads monthly - see Deferred Revenue","WIP "&amp;I150&amp;IF(D150="",""," - "&amp;D150)&amp;IF(F150="",""," "&amp;F150)&amp;IF(H150="",""," - "&amp;H150)))</f>
        <v/>
      </c>
      <c r="T150" s="22" t="n"/>
      <c r="U150" s="22" t="n"/>
      <c r="V150" s="22" t="n"/>
    </row>
    <row r="151" ht="15" customHeight="1">
      <c r="A151" s="72" t="n"/>
      <c r="B151" s="70">
        <f>IF(C151="","",IFERROR(INDEX(tbl_Finance[Date],MATCH(C151&amp;"",tbl_Finance[Xero Invoice No],0)),""))</f>
        <v/>
      </c>
      <c r="C151" s="22" t="n"/>
      <c r="D151" s="22" t="n"/>
      <c r="E151" s="26">
        <f>IF(D151="","",IF(COUNTIF(lst_Jobs,D151&amp;"")&gt;0,"OK","CHECK"))</f>
        <v/>
      </c>
      <c r="F151" s="22" t="n"/>
      <c r="G151" s="22" t="n"/>
      <c r="H151" s="22" t="n"/>
      <c r="I151" s="22" t="n"/>
      <c r="J151" s="22" t="n"/>
      <c r="K151" s="23" t="n"/>
      <c r="L151" s="23" t="n"/>
      <c r="M151" s="26">
        <f>IF(N151="","",IF(OR(K151="",L151=""),"one month",TEXT(MAX(1,(YEAR(L151)-YEAR(K151))*12+MONTH(L151)-MONTH(K151)+1),"0")&amp;" months - see Deferred Revenue"))</f>
        <v/>
      </c>
      <c r="N151" s="24" t="n"/>
      <c r="O151" s="22" t="n"/>
      <c r="P151" s="26">
        <f>IF(N(N151)=0,"",IF(N151&gt;0,set_WIPAsset,IF(J151="Cost",IF(O151="","(set the P&amp;L Account)",O151),IF(O151="",set_WIPIncome,O151))))</f>
        <v/>
      </c>
      <c r="Q151" s="26">
        <f>IF(N(N151)=0,"",IF(N151&gt;0,IF(J151="Cost",IF(O151="","(set the P&amp;L Account)",O151),IF(O151="",set_WIPIncome,O151)),set_WIPAsset))</f>
        <v/>
      </c>
      <c r="R151" s="27">
        <f>IF(OR(N(N151)=0,K151&lt;&gt;""),"",ABS(N151))</f>
        <v/>
      </c>
      <c r="S151" s="26">
        <f>IF(N(N151)=0,"",IF(K151&lt;&gt;"","spreads monthly - see Deferred Revenue","WIP "&amp;I151&amp;IF(D151="",""," - "&amp;D151)&amp;IF(F151="",""," "&amp;F151)&amp;IF(H151="",""," - "&amp;H151)))</f>
        <v/>
      </c>
      <c r="T151" s="22" t="n"/>
      <c r="U151" s="22" t="n"/>
      <c r="V151" s="22" t="n"/>
    </row>
    <row r="152" ht="15" customHeight="1">
      <c r="A152" s="72" t="n"/>
      <c r="B152" s="70">
        <f>IF(C152="","",IFERROR(INDEX(tbl_Finance[Date],MATCH(C152&amp;"",tbl_Finance[Xero Invoice No],0)),""))</f>
        <v/>
      </c>
      <c r="C152" s="22" t="n"/>
      <c r="D152" s="22" t="n"/>
      <c r="E152" s="26">
        <f>IF(D152="","",IF(COUNTIF(lst_Jobs,D152&amp;"")&gt;0,"OK","CHECK"))</f>
        <v/>
      </c>
      <c r="F152" s="22" t="n"/>
      <c r="G152" s="22" t="n"/>
      <c r="H152" s="22" t="n"/>
      <c r="I152" s="22" t="n"/>
      <c r="J152" s="22" t="n"/>
      <c r="K152" s="23" t="n"/>
      <c r="L152" s="23" t="n"/>
      <c r="M152" s="26">
        <f>IF(N152="","",IF(OR(K152="",L152=""),"one month",TEXT(MAX(1,(YEAR(L152)-YEAR(K152))*12+MONTH(L152)-MONTH(K152)+1),"0")&amp;" months - see Deferred Revenue"))</f>
        <v/>
      </c>
      <c r="N152" s="24" t="n"/>
      <c r="O152" s="22" t="n"/>
      <c r="P152" s="26">
        <f>IF(N(N152)=0,"",IF(N152&gt;0,set_WIPAsset,IF(J152="Cost",IF(O152="","(set the P&amp;L Account)",O152),IF(O152="",set_WIPIncome,O152))))</f>
        <v/>
      </c>
      <c r="Q152" s="26">
        <f>IF(N(N152)=0,"",IF(N152&gt;0,IF(J152="Cost",IF(O152="","(set the P&amp;L Account)",O152),IF(O152="",set_WIPIncome,O152)),set_WIPAsset))</f>
        <v/>
      </c>
      <c r="R152" s="27">
        <f>IF(OR(N(N152)=0,K152&lt;&gt;""),"",ABS(N152))</f>
        <v/>
      </c>
      <c r="S152" s="26">
        <f>IF(N(N152)=0,"",IF(K152&lt;&gt;"","spreads monthly - see Deferred Revenue","WIP "&amp;I152&amp;IF(D152="",""," - "&amp;D152)&amp;IF(F152="",""," "&amp;F152)&amp;IF(H152="",""," - "&amp;H152)))</f>
        <v/>
      </c>
      <c r="T152" s="22" t="n"/>
      <c r="U152" s="22" t="n"/>
      <c r="V152" s="22" t="n"/>
    </row>
    <row r="153" ht="15" customHeight="1">
      <c r="A153" s="72" t="n"/>
      <c r="B153" s="70">
        <f>IF(C153="","",IFERROR(INDEX(tbl_Finance[Date],MATCH(C153&amp;"",tbl_Finance[Xero Invoice No],0)),""))</f>
        <v/>
      </c>
      <c r="C153" s="22" t="n"/>
      <c r="D153" s="22" t="n"/>
      <c r="E153" s="26">
        <f>IF(D153="","",IF(COUNTIF(lst_Jobs,D153&amp;"")&gt;0,"OK","CHECK"))</f>
        <v/>
      </c>
      <c r="F153" s="22" t="n"/>
      <c r="G153" s="22" t="n"/>
      <c r="H153" s="22" t="n"/>
      <c r="I153" s="22" t="n"/>
      <c r="J153" s="22" t="n"/>
      <c r="K153" s="23" t="n"/>
      <c r="L153" s="23" t="n"/>
      <c r="M153" s="26">
        <f>IF(N153="","",IF(OR(K153="",L153=""),"one month",TEXT(MAX(1,(YEAR(L153)-YEAR(K153))*12+MONTH(L153)-MONTH(K153)+1),"0")&amp;" months - see Deferred Revenue"))</f>
        <v/>
      </c>
      <c r="N153" s="24" t="n"/>
      <c r="O153" s="22" t="n"/>
      <c r="P153" s="26">
        <f>IF(N(N153)=0,"",IF(N153&gt;0,set_WIPAsset,IF(J153="Cost",IF(O153="","(set the P&amp;L Account)",O153),IF(O153="",set_WIPIncome,O153))))</f>
        <v/>
      </c>
      <c r="Q153" s="26">
        <f>IF(N(N153)=0,"",IF(N153&gt;0,IF(J153="Cost",IF(O153="","(set the P&amp;L Account)",O153),IF(O153="",set_WIPIncome,O153)),set_WIPAsset))</f>
        <v/>
      </c>
      <c r="R153" s="27">
        <f>IF(OR(N(N153)=0,K153&lt;&gt;""),"",ABS(N153))</f>
        <v/>
      </c>
      <c r="S153" s="26">
        <f>IF(N(N153)=0,"",IF(K153&lt;&gt;"","spreads monthly - see Deferred Revenue","WIP "&amp;I153&amp;IF(D153="",""," - "&amp;D153)&amp;IF(F153="",""," "&amp;F153)&amp;IF(H153="",""," - "&amp;H153)))</f>
        <v/>
      </c>
      <c r="T153" s="22" t="n"/>
      <c r="U153" s="22" t="n"/>
      <c r="V153" s="22" t="n"/>
    </row>
    <row r="154" ht="15" customHeight="1">
      <c r="A154" s="72" t="n"/>
      <c r="B154" s="70">
        <f>IF(C154="","",IFERROR(INDEX(tbl_Finance[Date],MATCH(C154&amp;"",tbl_Finance[Xero Invoice No],0)),""))</f>
        <v/>
      </c>
      <c r="C154" s="22" t="n"/>
      <c r="D154" s="22" t="n"/>
      <c r="E154" s="26">
        <f>IF(D154="","",IF(COUNTIF(lst_Jobs,D154&amp;"")&gt;0,"OK","CHECK"))</f>
        <v/>
      </c>
      <c r="F154" s="22" t="n"/>
      <c r="G154" s="22" t="n"/>
      <c r="H154" s="22" t="n"/>
      <c r="I154" s="22" t="n"/>
      <c r="J154" s="22" t="n"/>
      <c r="K154" s="23" t="n"/>
      <c r="L154" s="23" t="n"/>
      <c r="M154" s="26">
        <f>IF(N154="","",IF(OR(K154="",L154=""),"one month",TEXT(MAX(1,(YEAR(L154)-YEAR(K154))*12+MONTH(L154)-MONTH(K154)+1),"0")&amp;" months - see Deferred Revenue"))</f>
        <v/>
      </c>
      <c r="N154" s="24" t="n"/>
      <c r="O154" s="22" t="n"/>
      <c r="P154" s="26">
        <f>IF(N(N154)=0,"",IF(N154&gt;0,set_WIPAsset,IF(J154="Cost",IF(O154="","(set the P&amp;L Account)",O154),IF(O154="",set_WIPIncome,O154))))</f>
        <v/>
      </c>
      <c r="Q154" s="26">
        <f>IF(N(N154)=0,"",IF(N154&gt;0,IF(J154="Cost",IF(O154="","(set the P&amp;L Account)",O154),IF(O154="",set_WIPIncome,O154)),set_WIPAsset))</f>
        <v/>
      </c>
      <c r="R154" s="27">
        <f>IF(OR(N(N154)=0,K154&lt;&gt;""),"",ABS(N154))</f>
        <v/>
      </c>
      <c r="S154" s="26">
        <f>IF(N(N154)=0,"",IF(K154&lt;&gt;"","spreads monthly - see Deferred Revenue","WIP "&amp;I154&amp;IF(D154="",""," - "&amp;D154)&amp;IF(F154="",""," "&amp;F154)&amp;IF(H154="",""," - "&amp;H154)))</f>
        <v/>
      </c>
      <c r="T154" s="22" t="n"/>
      <c r="U154" s="22" t="n"/>
      <c r="V154" s="22" t="n"/>
    </row>
    <row r="155" ht="15" customHeight="1">
      <c r="A155" s="72" t="n"/>
      <c r="B155" s="70">
        <f>IF(C155="","",IFERROR(INDEX(tbl_Finance[Date],MATCH(C155&amp;"",tbl_Finance[Xero Invoice No],0)),""))</f>
        <v/>
      </c>
      <c r="C155" s="22" t="n"/>
      <c r="D155" s="22" t="n"/>
      <c r="E155" s="26">
        <f>IF(D155="","",IF(COUNTIF(lst_Jobs,D155&amp;"")&gt;0,"OK","CHECK"))</f>
        <v/>
      </c>
      <c r="F155" s="22" t="n"/>
      <c r="G155" s="22" t="n"/>
      <c r="H155" s="22" t="n"/>
      <c r="I155" s="22" t="n"/>
      <c r="J155" s="22" t="n"/>
      <c r="K155" s="23" t="n"/>
      <c r="L155" s="23" t="n"/>
      <c r="M155" s="26">
        <f>IF(N155="","",IF(OR(K155="",L155=""),"one month",TEXT(MAX(1,(YEAR(L155)-YEAR(K155))*12+MONTH(L155)-MONTH(K155)+1),"0")&amp;" months - see Deferred Revenue"))</f>
        <v/>
      </c>
      <c r="N155" s="24" t="n"/>
      <c r="O155" s="22" t="n"/>
      <c r="P155" s="26">
        <f>IF(N(N155)=0,"",IF(N155&gt;0,set_WIPAsset,IF(J155="Cost",IF(O155="","(set the P&amp;L Account)",O155),IF(O155="",set_WIPIncome,O155))))</f>
        <v/>
      </c>
      <c r="Q155" s="26">
        <f>IF(N(N155)=0,"",IF(N155&gt;0,IF(J155="Cost",IF(O155="","(set the P&amp;L Account)",O155),IF(O155="",set_WIPIncome,O155)),set_WIPAsset))</f>
        <v/>
      </c>
      <c r="R155" s="27">
        <f>IF(OR(N(N155)=0,K155&lt;&gt;""),"",ABS(N155))</f>
        <v/>
      </c>
      <c r="S155" s="26">
        <f>IF(N(N155)=0,"",IF(K155&lt;&gt;"","spreads monthly - see Deferred Revenue","WIP "&amp;I155&amp;IF(D155="",""," - "&amp;D155)&amp;IF(F155="",""," "&amp;F155)&amp;IF(H155="",""," - "&amp;H155)))</f>
        <v/>
      </c>
      <c r="T155" s="22" t="n"/>
      <c r="U155" s="22" t="n"/>
      <c r="V155" s="22" t="n"/>
    </row>
    <row r="156" ht="15" customHeight="1">
      <c r="A156" s="72" t="n"/>
      <c r="B156" s="70">
        <f>IF(C156="","",IFERROR(INDEX(tbl_Finance[Date],MATCH(C156&amp;"",tbl_Finance[Xero Invoice No],0)),""))</f>
        <v/>
      </c>
      <c r="C156" s="22" t="n"/>
      <c r="D156" s="22" t="n"/>
      <c r="E156" s="26">
        <f>IF(D156="","",IF(COUNTIF(lst_Jobs,D156&amp;"")&gt;0,"OK","CHECK"))</f>
        <v/>
      </c>
      <c r="F156" s="22" t="n"/>
      <c r="G156" s="22" t="n"/>
      <c r="H156" s="22" t="n"/>
      <c r="I156" s="22" t="n"/>
      <c r="J156" s="22" t="n"/>
      <c r="K156" s="23" t="n"/>
      <c r="L156" s="23" t="n"/>
      <c r="M156" s="26">
        <f>IF(N156="","",IF(OR(K156="",L156=""),"one month",TEXT(MAX(1,(YEAR(L156)-YEAR(K156))*12+MONTH(L156)-MONTH(K156)+1),"0")&amp;" months - see Deferred Revenue"))</f>
        <v/>
      </c>
      <c r="N156" s="24" t="n"/>
      <c r="O156" s="22" t="n"/>
      <c r="P156" s="26">
        <f>IF(N(N156)=0,"",IF(N156&gt;0,set_WIPAsset,IF(J156="Cost",IF(O156="","(set the P&amp;L Account)",O156),IF(O156="",set_WIPIncome,O156))))</f>
        <v/>
      </c>
      <c r="Q156" s="26">
        <f>IF(N(N156)=0,"",IF(N156&gt;0,IF(J156="Cost",IF(O156="","(set the P&amp;L Account)",O156),IF(O156="",set_WIPIncome,O156)),set_WIPAsset))</f>
        <v/>
      </c>
      <c r="R156" s="27">
        <f>IF(OR(N(N156)=0,K156&lt;&gt;""),"",ABS(N156))</f>
        <v/>
      </c>
      <c r="S156" s="26">
        <f>IF(N(N156)=0,"",IF(K156&lt;&gt;"","spreads monthly - see Deferred Revenue","WIP "&amp;I156&amp;IF(D156="",""," - "&amp;D156)&amp;IF(F156="",""," "&amp;F156)&amp;IF(H156="",""," - "&amp;H156)))</f>
        <v/>
      </c>
      <c r="T156" s="22" t="n"/>
      <c r="U156" s="22" t="n"/>
      <c r="V156" s="22" t="n"/>
    </row>
    <row r="157" ht="15" customHeight="1">
      <c r="A157" s="72" t="n"/>
      <c r="B157" s="70">
        <f>IF(C157="","",IFERROR(INDEX(tbl_Finance[Date],MATCH(C157&amp;"",tbl_Finance[Xero Invoice No],0)),""))</f>
        <v/>
      </c>
      <c r="C157" s="22" t="n"/>
      <c r="D157" s="22" t="n"/>
      <c r="E157" s="26">
        <f>IF(D157="","",IF(COUNTIF(lst_Jobs,D157&amp;"")&gt;0,"OK","CHECK"))</f>
        <v/>
      </c>
      <c r="F157" s="22" t="n"/>
      <c r="G157" s="22" t="n"/>
      <c r="H157" s="22" t="n"/>
      <c r="I157" s="22" t="n"/>
      <c r="J157" s="22" t="n"/>
      <c r="K157" s="23" t="n"/>
      <c r="L157" s="23" t="n"/>
      <c r="M157" s="26">
        <f>IF(N157="","",IF(OR(K157="",L157=""),"one month",TEXT(MAX(1,(YEAR(L157)-YEAR(K157))*12+MONTH(L157)-MONTH(K157)+1),"0")&amp;" months - see Deferred Revenue"))</f>
        <v/>
      </c>
      <c r="N157" s="24" t="n"/>
      <c r="O157" s="22" t="n"/>
      <c r="P157" s="26">
        <f>IF(N(N157)=0,"",IF(N157&gt;0,set_WIPAsset,IF(J157="Cost",IF(O157="","(set the P&amp;L Account)",O157),IF(O157="",set_WIPIncome,O157))))</f>
        <v/>
      </c>
      <c r="Q157" s="26">
        <f>IF(N(N157)=0,"",IF(N157&gt;0,IF(J157="Cost",IF(O157="","(set the P&amp;L Account)",O157),IF(O157="",set_WIPIncome,O157)),set_WIPAsset))</f>
        <v/>
      </c>
      <c r="R157" s="27">
        <f>IF(OR(N(N157)=0,K157&lt;&gt;""),"",ABS(N157))</f>
        <v/>
      </c>
      <c r="S157" s="26">
        <f>IF(N(N157)=0,"",IF(K157&lt;&gt;"","spreads monthly - see Deferred Revenue","WIP "&amp;I157&amp;IF(D157="",""," - "&amp;D157)&amp;IF(F157="",""," "&amp;F157)&amp;IF(H157="",""," - "&amp;H157)))</f>
        <v/>
      </c>
      <c r="T157" s="22" t="n"/>
      <c r="U157" s="22" t="n"/>
      <c r="V157" s="22" t="n"/>
    </row>
    <row r="158" ht="15" customHeight="1">
      <c r="A158" s="72" t="n"/>
      <c r="B158" s="70">
        <f>IF(C158="","",IFERROR(INDEX(tbl_Finance[Date],MATCH(C158&amp;"",tbl_Finance[Xero Invoice No],0)),""))</f>
        <v/>
      </c>
      <c r="C158" s="22" t="n"/>
      <c r="D158" s="22" t="n"/>
      <c r="E158" s="26">
        <f>IF(D158="","",IF(COUNTIF(lst_Jobs,D158&amp;"")&gt;0,"OK","CHECK"))</f>
        <v/>
      </c>
      <c r="F158" s="22" t="n"/>
      <c r="G158" s="22" t="n"/>
      <c r="H158" s="22" t="n"/>
      <c r="I158" s="22" t="n"/>
      <c r="J158" s="22" t="n"/>
      <c r="K158" s="23" t="n"/>
      <c r="L158" s="23" t="n"/>
      <c r="M158" s="26">
        <f>IF(N158="","",IF(OR(K158="",L158=""),"one month",TEXT(MAX(1,(YEAR(L158)-YEAR(K158))*12+MONTH(L158)-MONTH(K158)+1),"0")&amp;" months - see Deferred Revenue"))</f>
        <v/>
      </c>
      <c r="N158" s="24" t="n"/>
      <c r="O158" s="22" t="n"/>
      <c r="P158" s="26">
        <f>IF(N(N158)=0,"",IF(N158&gt;0,set_WIPAsset,IF(J158="Cost",IF(O158="","(set the P&amp;L Account)",O158),IF(O158="",set_WIPIncome,O158))))</f>
        <v/>
      </c>
      <c r="Q158" s="26">
        <f>IF(N(N158)=0,"",IF(N158&gt;0,IF(J158="Cost",IF(O158="","(set the P&amp;L Account)",O158),IF(O158="",set_WIPIncome,O158)),set_WIPAsset))</f>
        <v/>
      </c>
      <c r="R158" s="27">
        <f>IF(OR(N(N158)=0,K158&lt;&gt;""),"",ABS(N158))</f>
        <v/>
      </c>
      <c r="S158" s="26">
        <f>IF(N(N158)=0,"",IF(K158&lt;&gt;"","spreads monthly - see Deferred Revenue","WIP "&amp;I158&amp;IF(D158="",""," - "&amp;D158)&amp;IF(F158="",""," "&amp;F158)&amp;IF(H158="",""," - "&amp;H158)))</f>
        <v/>
      </c>
      <c r="T158" s="22" t="n"/>
      <c r="U158" s="22" t="n"/>
      <c r="V158" s="22" t="n"/>
    </row>
    <row r="159" ht="15" customHeight="1">
      <c r="A159" s="72" t="n"/>
      <c r="B159" s="70">
        <f>IF(C159="","",IFERROR(INDEX(tbl_Finance[Date],MATCH(C159&amp;"",tbl_Finance[Xero Invoice No],0)),""))</f>
        <v/>
      </c>
      <c r="C159" s="22" t="n"/>
      <c r="D159" s="22" t="n"/>
      <c r="E159" s="26">
        <f>IF(D159="","",IF(COUNTIF(lst_Jobs,D159&amp;"")&gt;0,"OK","CHECK"))</f>
        <v/>
      </c>
      <c r="F159" s="22" t="n"/>
      <c r="G159" s="22" t="n"/>
      <c r="H159" s="22" t="n"/>
      <c r="I159" s="22" t="n"/>
      <c r="J159" s="22" t="n"/>
      <c r="K159" s="23" t="n"/>
      <c r="L159" s="23" t="n"/>
      <c r="M159" s="26">
        <f>IF(N159="","",IF(OR(K159="",L159=""),"one month",TEXT(MAX(1,(YEAR(L159)-YEAR(K159))*12+MONTH(L159)-MONTH(K159)+1),"0")&amp;" months - see Deferred Revenue"))</f>
        <v/>
      </c>
      <c r="N159" s="24" t="n"/>
      <c r="O159" s="22" t="n"/>
      <c r="P159" s="26">
        <f>IF(N(N159)=0,"",IF(N159&gt;0,set_WIPAsset,IF(J159="Cost",IF(O159="","(set the P&amp;L Account)",O159),IF(O159="",set_WIPIncome,O159))))</f>
        <v/>
      </c>
      <c r="Q159" s="26">
        <f>IF(N(N159)=0,"",IF(N159&gt;0,IF(J159="Cost",IF(O159="","(set the P&amp;L Account)",O159),IF(O159="",set_WIPIncome,O159)),set_WIPAsset))</f>
        <v/>
      </c>
      <c r="R159" s="27">
        <f>IF(OR(N(N159)=0,K159&lt;&gt;""),"",ABS(N159))</f>
        <v/>
      </c>
      <c r="S159" s="26">
        <f>IF(N(N159)=0,"",IF(K159&lt;&gt;"","spreads monthly - see Deferred Revenue","WIP "&amp;I159&amp;IF(D159="",""," - "&amp;D159)&amp;IF(F159="",""," "&amp;F159)&amp;IF(H159="",""," - "&amp;H159)))</f>
        <v/>
      </c>
      <c r="T159" s="22" t="n"/>
      <c r="U159" s="22" t="n"/>
      <c r="V159" s="22" t="n"/>
    </row>
    <row r="160" ht="15" customHeight="1">
      <c r="A160" s="72" t="n"/>
      <c r="B160" s="70">
        <f>IF(C160="","",IFERROR(INDEX(tbl_Finance[Date],MATCH(C160&amp;"",tbl_Finance[Xero Invoice No],0)),""))</f>
        <v/>
      </c>
      <c r="C160" s="22" t="n"/>
      <c r="D160" s="22" t="n"/>
      <c r="E160" s="26">
        <f>IF(D160="","",IF(COUNTIF(lst_Jobs,D160&amp;"")&gt;0,"OK","CHECK"))</f>
        <v/>
      </c>
      <c r="F160" s="22" t="n"/>
      <c r="G160" s="22" t="n"/>
      <c r="H160" s="22" t="n"/>
      <c r="I160" s="22" t="n"/>
      <c r="J160" s="22" t="n"/>
      <c r="K160" s="23" t="n"/>
      <c r="L160" s="23" t="n"/>
      <c r="M160" s="26">
        <f>IF(N160="","",IF(OR(K160="",L160=""),"one month",TEXT(MAX(1,(YEAR(L160)-YEAR(K160))*12+MONTH(L160)-MONTH(K160)+1),"0")&amp;" months - see Deferred Revenue"))</f>
        <v/>
      </c>
      <c r="N160" s="24" t="n"/>
      <c r="O160" s="22" t="n"/>
      <c r="P160" s="26">
        <f>IF(N(N160)=0,"",IF(N160&gt;0,set_WIPAsset,IF(J160="Cost",IF(O160="","(set the P&amp;L Account)",O160),IF(O160="",set_WIPIncome,O160))))</f>
        <v/>
      </c>
      <c r="Q160" s="26">
        <f>IF(N(N160)=0,"",IF(N160&gt;0,IF(J160="Cost",IF(O160="","(set the P&amp;L Account)",O160),IF(O160="",set_WIPIncome,O160)),set_WIPAsset))</f>
        <v/>
      </c>
      <c r="R160" s="27">
        <f>IF(OR(N(N160)=0,K160&lt;&gt;""),"",ABS(N160))</f>
        <v/>
      </c>
      <c r="S160" s="26">
        <f>IF(N(N160)=0,"",IF(K160&lt;&gt;"","spreads monthly - see Deferred Revenue","WIP "&amp;I160&amp;IF(D160="",""," - "&amp;D160)&amp;IF(F160="",""," "&amp;F160)&amp;IF(H160="",""," - "&amp;H160)))</f>
        <v/>
      </c>
      <c r="T160" s="22" t="n"/>
      <c r="U160" s="22" t="n"/>
      <c r="V160" s="22" t="n"/>
    </row>
    <row r="161" ht="15" customHeight="1">
      <c r="A161" s="72" t="n"/>
      <c r="B161" s="70">
        <f>IF(C161="","",IFERROR(INDEX(tbl_Finance[Date],MATCH(C161&amp;"",tbl_Finance[Xero Invoice No],0)),""))</f>
        <v/>
      </c>
      <c r="C161" s="22" t="n"/>
      <c r="D161" s="22" t="n"/>
      <c r="E161" s="26">
        <f>IF(D161="","",IF(COUNTIF(lst_Jobs,D161&amp;"")&gt;0,"OK","CHECK"))</f>
        <v/>
      </c>
      <c r="F161" s="22" t="n"/>
      <c r="G161" s="22" t="n"/>
      <c r="H161" s="22" t="n"/>
      <c r="I161" s="22" t="n"/>
      <c r="J161" s="22" t="n"/>
      <c r="K161" s="23" t="n"/>
      <c r="L161" s="23" t="n"/>
      <c r="M161" s="26">
        <f>IF(N161="","",IF(OR(K161="",L161=""),"one month",TEXT(MAX(1,(YEAR(L161)-YEAR(K161))*12+MONTH(L161)-MONTH(K161)+1),"0")&amp;" months - see Deferred Revenue"))</f>
        <v/>
      </c>
      <c r="N161" s="24" t="n"/>
      <c r="O161" s="22" t="n"/>
      <c r="P161" s="26">
        <f>IF(N(N161)=0,"",IF(N161&gt;0,set_WIPAsset,IF(J161="Cost",IF(O161="","(set the P&amp;L Account)",O161),IF(O161="",set_WIPIncome,O161))))</f>
        <v/>
      </c>
      <c r="Q161" s="26">
        <f>IF(N(N161)=0,"",IF(N161&gt;0,IF(J161="Cost",IF(O161="","(set the P&amp;L Account)",O161),IF(O161="",set_WIPIncome,O161)),set_WIPAsset))</f>
        <v/>
      </c>
      <c r="R161" s="27">
        <f>IF(OR(N(N161)=0,K161&lt;&gt;""),"",ABS(N161))</f>
        <v/>
      </c>
      <c r="S161" s="26">
        <f>IF(N(N161)=0,"",IF(K161&lt;&gt;"","spreads monthly - see Deferred Revenue","WIP "&amp;I161&amp;IF(D161="",""," - "&amp;D161)&amp;IF(F161="",""," "&amp;F161)&amp;IF(H161="",""," - "&amp;H161)))</f>
        <v/>
      </c>
      <c r="T161" s="22" t="n"/>
      <c r="U161" s="22" t="n"/>
      <c r="V161" s="22" t="n"/>
    </row>
    <row r="162" ht="15" customHeight="1">
      <c r="A162" s="72" t="n"/>
      <c r="B162" s="70">
        <f>IF(C162="","",IFERROR(INDEX(tbl_Finance[Date],MATCH(C162&amp;"",tbl_Finance[Xero Invoice No],0)),""))</f>
        <v/>
      </c>
      <c r="C162" s="22" t="n"/>
      <c r="D162" s="22" t="n"/>
      <c r="E162" s="26">
        <f>IF(D162="","",IF(COUNTIF(lst_Jobs,D162&amp;"")&gt;0,"OK","CHECK"))</f>
        <v/>
      </c>
      <c r="F162" s="22" t="n"/>
      <c r="G162" s="22" t="n"/>
      <c r="H162" s="22" t="n"/>
      <c r="I162" s="22" t="n"/>
      <c r="J162" s="22" t="n"/>
      <c r="K162" s="23" t="n"/>
      <c r="L162" s="23" t="n"/>
      <c r="M162" s="26">
        <f>IF(N162="","",IF(OR(K162="",L162=""),"one month",TEXT(MAX(1,(YEAR(L162)-YEAR(K162))*12+MONTH(L162)-MONTH(K162)+1),"0")&amp;" months - see Deferred Revenue"))</f>
        <v/>
      </c>
      <c r="N162" s="24" t="n"/>
      <c r="O162" s="22" t="n"/>
      <c r="P162" s="26">
        <f>IF(N(N162)=0,"",IF(N162&gt;0,set_WIPAsset,IF(J162="Cost",IF(O162="","(set the P&amp;L Account)",O162),IF(O162="",set_WIPIncome,O162))))</f>
        <v/>
      </c>
      <c r="Q162" s="26">
        <f>IF(N(N162)=0,"",IF(N162&gt;0,IF(J162="Cost",IF(O162="","(set the P&amp;L Account)",O162),IF(O162="",set_WIPIncome,O162)),set_WIPAsset))</f>
        <v/>
      </c>
      <c r="R162" s="27">
        <f>IF(OR(N(N162)=0,K162&lt;&gt;""),"",ABS(N162))</f>
        <v/>
      </c>
      <c r="S162" s="26">
        <f>IF(N(N162)=0,"",IF(K162&lt;&gt;"","spreads monthly - see Deferred Revenue","WIP "&amp;I162&amp;IF(D162="",""," - "&amp;D162)&amp;IF(F162="",""," "&amp;F162)&amp;IF(H162="",""," - "&amp;H162)))</f>
        <v/>
      </c>
      <c r="T162" s="22" t="n"/>
      <c r="U162" s="22" t="n"/>
      <c r="V162" s="22" t="n"/>
    </row>
    <row r="163" ht="15" customHeight="1">
      <c r="A163" s="72" t="n"/>
      <c r="B163" s="70">
        <f>IF(C163="","",IFERROR(INDEX(tbl_Finance[Date],MATCH(C163&amp;"",tbl_Finance[Xero Invoice No],0)),""))</f>
        <v/>
      </c>
      <c r="C163" s="22" t="n"/>
      <c r="D163" s="22" t="n"/>
      <c r="E163" s="26">
        <f>IF(D163="","",IF(COUNTIF(lst_Jobs,D163&amp;"")&gt;0,"OK","CHECK"))</f>
        <v/>
      </c>
      <c r="F163" s="22" t="n"/>
      <c r="G163" s="22" t="n"/>
      <c r="H163" s="22" t="n"/>
      <c r="I163" s="22" t="n"/>
      <c r="J163" s="22" t="n"/>
      <c r="K163" s="23" t="n"/>
      <c r="L163" s="23" t="n"/>
      <c r="M163" s="26">
        <f>IF(N163="","",IF(OR(K163="",L163=""),"one month",TEXT(MAX(1,(YEAR(L163)-YEAR(K163))*12+MONTH(L163)-MONTH(K163)+1),"0")&amp;" months - see Deferred Revenue"))</f>
        <v/>
      </c>
      <c r="N163" s="24" t="n"/>
      <c r="O163" s="22" t="n"/>
      <c r="P163" s="26">
        <f>IF(N(N163)=0,"",IF(N163&gt;0,set_WIPAsset,IF(J163="Cost",IF(O163="","(set the P&amp;L Account)",O163),IF(O163="",set_WIPIncome,O163))))</f>
        <v/>
      </c>
      <c r="Q163" s="26">
        <f>IF(N(N163)=0,"",IF(N163&gt;0,IF(J163="Cost",IF(O163="","(set the P&amp;L Account)",O163),IF(O163="",set_WIPIncome,O163)),set_WIPAsset))</f>
        <v/>
      </c>
      <c r="R163" s="27">
        <f>IF(OR(N(N163)=0,K163&lt;&gt;""),"",ABS(N163))</f>
        <v/>
      </c>
      <c r="S163" s="26">
        <f>IF(N(N163)=0,"",IF(K163&lt;&gt;"","spreads monthly - see Deferred Revenue","WIP "&amp;I163&amp;IF(D163="",""," - "&amp;D163)&amp;IF(F163="",""," "&amp;F163)&amp;IF(H163="",""," - "&amp;H163)))</f>
        <v/>
      </c>
      <c r="T163" s="22" t="n"/>
      <c r="U163" s="22" t="n"/>
      <c r="V163" s="22" t="n"/>
    </row>
    <row r="164" ht="15" customHeight="1">
      <c r="A164" s="72" t="n"/>
      <c r="B164" s="70">
        <f>IF(C164="","",IFERROR(INDEX(tbl_Finance[Date],MATCH(C164&amp;"",tbl_Finance[Xero Invoice No],0)),""))</f>
        <v/>
      </c>
      <c r="C164" s="22" t="n"/>
      <c r="D164" s="22" t="n"/>
      <c r="E164" s="26">
        <f>IF(D164="","",IF(COUNTIF(lst_Jobs,D164&amp;"")&gt;0,"OK","CHECK"))</f>
        <v/>
      </c>
      <c r="F164" s="22" t="n"/>
      <c r="G164" s="22" t="n"/>
      <c r="H164" s="22" t="n"/>
      <c r="I164" s="22" t="n"/>
      <c r="J164" s="22" t="n"/>
      <c r="K164" s="23" t="n"/>
      <c r="L164" s="23" t="n"/>
      <c r="M164" s="26">
        <f>IF(N164="","",IF(OR(K164="",L164=""),"one month",TEXT(MAX(1,(YEAR(L164)-YEAR(K164))*12+MONTH(L164)-MONTH(K164)+1),"0")&amp;" months - see Deferred Revenue"))</f>
        <v/>
      </c>
      <c r="N164" s="24" t="n"/>
      <c r="O164" s="22" t="n"/>
      <c r="P164" s="26">
        <f>IF(N(N164)=0,"",IF(N164&gt;0,set_WIPAsset,IF(J164="Cost",IF(O164="","(set the P&amp;L Account)",O164),IF(O164="",set_WIPIncome,O164))))</f>
        <v/>
      </c>
      <c r="Q164" s="26">
        <f>IF(N(N164)=0,"",IF(N164&gt;0,IF(J164="Cost",IF(O164="","(set the P&amp;L Account)",O164),IF(O164="",set_WIPIncome,O164)),set_WIPAsset))</f>
        <v/>
      </c>
      <c r="R164" s="27">
        <f>IF(OR(N(N164)=0,K164&lt;&gt;""),"",ABS(N164))</f>
        <v/>
      </c>
      <c r="S164" s="26">
        <f>IF(N(N164)=0,"",IF(K164&lt;&gt;"","spreads monthly - see Deferred Revenue","WIP "&amp;I164&amp;IF(D164="",""," - "&amp;D164)&amp;IF(F164="",""," "&amp;F164)&amp;IF(H164="",""," - "&amp;H164)))</f>
        <v/>
      </c>
      <c r="T164" s="22" t="n"/>
      <c r="U164" s="22" t="n"/>
      <c r="V164" s="22" t="n"/>
    </row>
    <row r="165" ht="15" customHeight="1">
      <c r="A165" s="72" t="n"/>
      <c r="B165" s="70">
        <f>IF(C165="","",IFERROR(INDEX(tbl_Finance[Date],MATCH(C165&amp;"",tbl_Finance[Xero Invoice No],0)),""))</f>
        <v/>
      </c>
      <c r="C165" s="22" t="n"/>
      <c r="D165" s="22" t="n"/>
      <c r="E165" s="26">
        <f>IF(D165="","",IF(COUNTIF(lst_Jobs,D165&amp;"")&gt;0,"OK","CHECK"))</f>
        <v/>
      </c>
      <c r="F165" s="22" t="n"/>
      <c r="G165" s="22" t="n"/>
      <c r="H165" s="22" t="n"/>
      <c r="I165" s="22" t="n"/>
      <c r="J165" s="22" t="n"/>
      <c r="K165" s="23" t="n"/>
      <c r="L165" s="23" t="n"/>
      <c r="M165" s="26">
        <f>IF(N165="","",IF(OR(K165="",L165=""),"one month",TEXT(MAX(1,(YEAR(L165)-YEAR(K165))*12+MONTH(L165)-MONTH(K165)+1),"0")&amp;" months - see Deferred Revenue"))</f>
        <v/>
      </c>
      <c r="N165" s="24" t="n"/>
      <c r="O165" s="22" t="n"/>
      <c r="P165" s="26">
        <f>IF(N(N165)=0,"",IF(N165&gt;0,set_WIPAsset,IF(J165="Cost",IF(O165="","(set the P&amp;L Account)",O165),IF(O165="",set_WIPIncome,O165))))</f>
        <v/>
      </c>
      <c r="Q165" s="26">
        <f>IF(N(N165)=0,"",IF(N165&gt;0,IF(J165="Cost",IF(O165="","(set the P&amp;L Account)",O165),IF(O165="",set_WIPIncome,O165)),set_WIPAsset))</f>
        <v/>
      </c>
      <c r="R165" s="27">
        <f>IF(OR(N(N165)=0,K165&lt;&gt;""),"",ABS(N165))</f>
        <v/>
      </c>
      <c r="S165" s="26">
        <f>IF(N(N165)=0,"",IF(K165&lt;&gt;"","spreads monthly - see Deferred Revenue","WIP "&amp;I165&amp;IF(D165="",""," - "&amp;D165)&amp;IF(F165="",""," "&amp;F165)&amp;IF(H165="",""," - "&amp;H165)))</f>
        <v/>
      </c>
      <c r="T165" s="22" t="n"/>
      <c r="U165" s="22" t="n"/>
      <c r="V165" s="22" t="n"/>
    </row>
    <row r="166" ht="15" customHeight="1">
      <c r="A166" s="72" t="n"/>
      <c r="B166" s="70">
        <f>IF(C166="","",IFERROR(INDEX(tbl_Finance[Date],MATCH(C166&amp;"",tbl_Finance[Xero Invoice No],0)),""))</f>
        <v/>
      </c>
      <c r="C166" s="22" t="n"/>
      <c r="D166" s="22" t="n"/>
      <c r="E166" s="26">
        <f>IF(D166="","",IF(COUNTIF(lst_Jobs,D166&amp;"")&gt;0,"OK","CHECK"))</f>
        <v/>
      </c>
      <c r="F166" s="22" t="n"/>
      <c r="G166" s="22" t="n"/>
      <c r="H166" s="22" t="n"/>
      <c r="I166" s="22" t="n"/>
      <c r="J166" s="22" t="n"/>
      <c r="K166" s="23" t="n"/>
      <c r="L166" s="23" t="n"/>
      <c r="M166" s="26">
        <f>IF(N166="","",IF(OR(K166="",L166=""),"one month",TEXT(MAX(1,(YEAR(L166)-YEAR(K166))*12+MONTH(L166)-MONTH(K166)+1),"0")&amp;" months - see Deferred Revenue"))</f>
        <v/>
      </c>
      <c r="N166" s="24" t="n"/>
      <c r="O166" s="22" t="n"/>
      <c r="P166" s="26">
        <f>IF(N(N166)=0,"",IF(N166&gt;0,set_WIPAsset,IF(J166="Cost",IF(O166="","(set the P&amp;L Account)",O166),IF(O166="",set_WIPIncome,O166))))</f>
        <v/>
      </c>
      <c r="Q166" s="26">
        <f>IF(N(N166)=0,"",IF(N166&gt;0,IF(J166="Cost",IF(O166="","(set the P&amp;L Account)",O166),IF(O166="",set_WIPIncome,O166)),set_WIPAsset))</f>
        <v/>
      </c>
      <c r="R166" s="27">
        <f>IF(OR(N(N166)=0,K166&lt;&gt;""),"",ABS(N166))</f>
        <v/>
      </c>
      <c r="S166" s="26">
        <f>IF(N(N166)=0,"",IF(K166&lt;&gt;"","spreads monthly - see Deferred Revenue","WIP "&amp;I166&amp;IF(D166="",""," - "&amp;D166)&amp;IF(F166="",""," "&amp;F166)&amp;IF(H166="",""," - "&amp;H166)))</f>
        <v/>
      </c>
      <c r="T166" s="22" t="n"/>
      <c r="U166" s="22" t="n"/>
      <c r="V166" s="22" t="n"/>
    </row>
    <row r="167" ht="15" customHeight="1">
      <c r="A167" s="72" t="n"/>
      <c r="B167" s="70">
        <f>IF(C167="","",IFERROR(INDEX(tbl_Finance[Date],MATCH(C167&amp;"",tbl_Finance[Xero Invoice No],0)),""))</f>
        <v/>
      </c>
      <c r="C167" s="22" t="n"/>
      <c r="D167" s="22" t="n"/>
      <c r="E167" s="26">
        <f>IF(D167="","",IF(COUNTIF(lst_Jobs,D167&amp;"")&gt;0,"OK","CHECK"))</f>
        <v/>
      </c>
      <c r="F167" s="22" t="n"/>
      <c r="G167" s="22" t="n"/>
      <c r="H167" s="22" t="n"/>
      <c r="I167" s="22" t="n"/>
      <c r="J167" s="22" t="n"/>
      <c r="K167" s="23" t="n"/>
      <c r="L167" s="23" t="n"/>
      <c r="M167" s="26">
        <f>IF(N167="","",IF(OR(K167="",L167=""),"one month",TEXT(MAX(1,(YEAR(L167)-YEAR(K167))*12+MONTH(L167)-MONTH(K167)+1),"0")&amp;" months - see Deferred Revenue"))</f>
        <v/>
      </c>
      <c r="N167" s="24" t="n"/>
      <c r="O167" s="22" t="n"/>
      <c r="P167" s="26">
        <f>IF(N(N167)=0,"",IF(N167&gt;0,set_WIPAsset,IF(J167="Cost",IF(O167="","(set the P&amp;L Account)",O167),IF(O167="",set_WIPIncome,O167))))</f>
        <v/>
      </c>
      <c r="Q167" s="26">
        <f>IF(N(N167)=0,"",IF(N167&gt;0,IF(J167="Cost",IF(O167="","(set the P&amp;L Account)",O167),IF(O167="",set_WIPIncome,O167)),set_WIPAsset))</f>
        <v/>
      </c>
      <c r="R167" s="27">
        <f>IF(OR(N(N167)=0,K167&lt;&gt;""),"",ABS(N167))</f>
        <v/>
      </c>
      <c r="S167" s="26">
        <f>IF(N(N167)=0,"",IF(K167&lt;&gt;"","spreads monthly - see Deferred Revenue","WIP "&amp;I167&amp;IF(D167="",""," - "&amp;D167)&amp;IF(F167="",""," "&amp;F167)&amp;IF(H167="",""," - "&amp;H167)))</f>
        <v/>
      </c>
      <c r="T167" s="22" t="n"/>
      <c r="U167" s="22" t="n"/>
      <c r="V167" s="22" t="n"/>
    </row>
    <row r="168" ht="15" customHeight="1">
      <c r="A168" s="72" t="n"/>
      <c r="B168" s="70">
        <f>IF(C168="","",IFERROR(INDEX(tbl_Finance[Date],MATCH(C168&amp;"",tbl_Finance[Xero Invoice No],0)),""))</f>
        <v/>
      </c>
      <c r="C168" s="22" t="n"/>
      <c r="D168" s="22" t="n"/>
      <c r="E168" s="26">
        <f>IF(D168="","",IF(COUNTIF(lst_Jobs,D168&amp;"")&gt;0,"OK","CHECK"))</f>
        <v/>
      </c>
      <c r="F168" s="22" t="n"/>
      <c r="G168" s="22" t="n"/>
      <c r="H168" s="22" t="n"/>
      <c r="I168" s="22" t="n"/>
      <c r="J168" s="22" t="n"/>
      <c r="K168" s="23" t="n"/>
      <c r="L168" s="23" t="n"/>
      <c r="M168" s="26">
        <f>IF(N168="","",IF(OR(K168="",L168=""),"one month",TEXT(MAX(1,(YEAR(L168)-YEAR(K168))*12+MONTH(L168)-MONTH(K168)+1),"0")&amp;" months - see Deferred Revenue"))</f>
        <v/>
      </c>
      <c r="N168" s="24" t="n"/>
      <c r="O168" s="22" t="n"/>
      <c r="P168" s="26">
        <f>IF(N(N168)=0,"",IF(N168&gt;0,set_WIPAsset,IF(J168="Cost",IF(O168="","(set the P&amp;L Account)",O168),IF(O168="",set_WIPIncome,O168))))</f>
        <v/>
      </c>
      <c r="Q168" s="26">
        <f>IF(N(N168)=0,"",IF(N168&gt;0,IF(J168="Cost",IF(O168="","(set the P&amp;L Account)",O168),IF(O168="",set_WIPIncome,O168)),set_WIPAsset))</f>
        <v/>
      </c>
      <c r="R168" s="27">
        <f>IF(OR(N(N168)=0,K168&lt;&gt;""),"",ABS(N168))</f>
        <v/>
      </c>
      <c r="S168" s="26">
        <f>IF(N(N168)=0,"",IF(K168&lt;&gt;"","spreads monthly - see Deferred Revenue","WIP "&amp;I168&amp;IF(D168="",""," - "&amp;D168)&amp;IF(F168="",""," "&amp;F168)&amp;IF(H168="",""," - "&amp;H168)))</f>
        <v/>
      </c>
      <c r="T168" s="22" t="n"/>
      <c r="U168" s="22" t="n"/>
      <c r="V168" s="22" t="n"/>
    </row>
    <row r="169" ht="15" customHeight="1">
      <c r="A169" s="72" t="n"/>
      <c r="B169" s="70">
        <f>IF(C169="","",IFERROR(INDEX(tbl_Finance[Date],MATCH(C169&amp;"",tbl_Finance[Xero Invoice No],0)),""))</f>
        <v/>
      </c>
      <c r="C169" s="22" t="n"/>
      <c r="D169" s="22" t="n"/>
      <c r="E169" s="26">
        <f>IF(D169="","",IF(COUNTIF(lst_Jobs,D169&amp;"")&gt;0,"OK","CHECK"))</f>
        <v/>
      </c>
      <c r="F169" s="22" t="n"/>
      <c r="G169" s="22" t="n"/>
      <c r="H169" s="22" t="n"/>
      <c r="I169" s="22" t="n"/>
      <c r="J169" s="22" t="n"/>
      <c r="K169" s="23" t="n"/>
      <c r="L169" s="23" t="n"/>
      <c r="M169" s="26">
        <f>IF(N169="","",IF(OR(K169="",L169=""),"one month",TEXT(MAX(1,(YEAR(L169)-YEAR(K169))*12+MONTH(L169)-MONTH(K169)+1),"0")&amp;" months - see Deferred Revenue"))</f>
        <v/>
      </c>
      <c r="N169" s="24" t="n"/>
      <c r="O169" s="22" t="n"/>
      <c r="P169" s="26">
        <f>IF(N(N169)=0,"",IF(N169&gt;0,set_WIPAsset,IF(J169="Cost",IF(O169="","(set the P&amp;L Account)",O169),IF(O169="",set_WIPIncome,O169))))</f>
        <v/>
      </c>
      <c r="Q169" s="26">
        <f>IF(N(N169)=0,"",IF(N169&gt;0,IF(J169="Cost",IF(O169="","(set the P&amp;L Account)",O169),IF(O169="",set_WIPIncome,O169)),set_WIPAsset))</f>
        <v/>
      </c>
      <c r="R169" s="27">
        <f>IF(OR(N(N169)=0,K169&lt;&gt;""),"",ABS(N169))</f>
        <v/>
      </c>
      <c r="S169" s="26">
        <f>IF(N(N169)=0,"",IF(K169&lt;&gt;"","spreads monthly - see Deferred Revenue","WIP "&amp;I169&amp;IF(D169="",""," - "&amp;D169)&amp;IF(F169="",""," "&amp;F169)&amp;IF(H169="",""," - "&amp;H169)))</f>
        <v/>
      </c>
      <c r="T169" s="22" t="n"/>
      <c r="U169" s="22" t="n"/>
      <c r="V169" s="22" t="n"/>
    </row>
    <row r="170" ht="15" customHeight="1">
      <c r="A170" s="72" t="n"/>
      <c r="B170" s="70">
        <f>IF(C170="","",IFERROR(INDEX(tbl_Finance[Date],MATCH(C170&amp;"",tbl_Finance[Xero Invoice No],0)),""))</f>
        <v/>
      </c>
      <c r="C170" s="22" t="n"/>
      <c r="D170" s="22" t="n"/>
      <c r="E170" s="26">
        <f>IF(D170="","",IF(COUNTIF(lst_Jobs,D170&amp;"")&gt;0,"OK","CHECK"))</f>
        <v/>
      </c>
      <c r="F170" s="22" t="n"/>
      <c r="G170" s="22" t="n"/>
      <c r="H170" s="22" t="n"/>
      <c r="I170" s="22" t="n"/>
      <c r="J170" s="22" t="n"/>
      <c r="K170" s="23" t="n"/>
      <c r="L170" s="23" t="n"/>
      <c r="M170" s="26">
        <f>IF(N170="","",IF(OR(K170="",L170=""),"one month",TEXT(MAX(1,(YEAR(L170)-YEAR(K170))*12+MONTH(L170)-MONTH(K170)+1),"0")&amp;" months - see Deferred Revenue"))</f>
        <v/>
      </c>
      <c r="N170" s="24" t="n"/>
      <c r="O170" s="22" t="n"/>
      <c r="P170" s="26">
        <f>IF(N(N170)=0,"",IF(N170&gt;0,set_WIPAsset,IF(J170="Cost",IF(O170="","(set the P&amp;L Account)",O170),IF(O170="",set_WIPIncome,O170))))</f>
        <v/>
      </c>
      <c r="Q170" s="26">
        <f>IF(N(N170)=0,"",IF(N170&gt;0,IF(J170="Cost",IF(O170="","(set the P&amp;L Account)",O170),IF(O170="",set_WIPIncome,O170)),set_WIPAsset))</f>
        <v/>
      </c>
      <c r="R170" s="27">
        <f>IF(OR(N(N170)=0,K170&lt;&gt;""),"",ABS(N170))</f>
        <v/>
      </c>
      <c r="S170" s="26">
        <f>IF(N(N170)=0,"",IF(K170&lt;&gt;"","spreads monthly - see Deferred Revenue","WIP "&amp;I170&amp;IF(D170="",""," - "&amp;D170)&amp;IF(F170="",""," "&amp;F170)&amp;IF(H170="",""," - "&amp;H170)))</f>
        <v/>
      </c>
      <c r="T170" s="22" t="n"/>
      <c r="U170" s="22" t="n"/>
      <c r="V170" s="22" t="n"/>
    </row>
    <row r="171" ht="15" customHeight="1">
      <c r="A171" s="72" t="n"/>
      <c r="B171" s="70">
        <f>IF(C171="","",IFERROR(INDEX(tbl_Finance[Date],MATCH(C171&amp;"",tbl_Finance[Xero Invoice No],0)),""))</f>
        <v/>
      </c>
      <c r="C171" s="22" t="n"/>
      <c r="D171" s="22" t="n"/>
      <c r="E171" s="26">
        <f>IF(D171="","",IF(COUNTIF(lst_Jobs,D171&amp;"")&gt;0,"OK","CHECK"))</f>
        <v/>
      </c>
      <c r="F171" s="22" t="n"/>
      <c r="G171" s="22" t="n"/>
      <c r="H171" s="22" t="n"/>
      <c r="I171" s="22" t="n"/>
      <c r="J171" s="22" t="n"/>
      <c r="K171" s="23" t="n"/>
      <c r="L171" s="23" t="n"/>
      <c r="M171" s="26">
        <f>IF(N171="","",IF(OR(K171="",L171=""),"one month",TEXT(MAX(1,(YEAR(L171)-YEAR(K171))*12+MONTH(L171)-MONTH(K171)+1),"0")&amp;" months - see Deferred Revenue"))</f>
        <v/>
      </c>
      <c r="N171" s="24" t="n"/>
      <c r="O171" s="22" t="n"/>
      <c r="P171" s="26">
        <f>IF(N(N171)=0,"",IF(N171&gt;0,set_WIPAsset,IF(J171="Cost",IF(O171="","(set the P&amp;L Account)",O171),IF(O171="",set_WIPIncome,O171))))</f>
        <v/>
      </c>
      <c r="Q171" s="26">
        <f>IF(N(N171)=0,"",IF(N171&gt;0,IF(J171="Cost",IF(O171="","(set the P&amp;L Account)",O171),IF(O171="",set_WIPIncome,O171)),set_WIPAsset))</f>
        <v/>
      </c>
      <c r="R171" s="27">
        <f>IF(OR(N(N171)=0,K171&lt;&gt;""),"",ABS(N171))</f>
        <v/>
      </c>
      <c r="S171" s="26">
        <f>IF(N(N171)=0,"",IF(K171&lt;&gt;"","spreads monthly - see Deferred Revenue","WIP "&amp;I171&amp;IF(D171="",""," - "&amp;D171)&amp;IF(F171="",""," "&amp;F171)&amp;IF(H171="",""," - "&amp;H171)))</f>
        <v/>
      </c>
      <c r="T171" s="22" t="n"/>
      <c r="U171" s="22" t="n"/>
      <c r="V171" s="22" t="n"/>
    </row>
    <row r="172" ht="15" customHeight="1">
      <c r="A172" s="72" t="n"/>
      <c r="B172" s="70">
        <f>IF(C172="","",IFERROR(INDEX(tbl_Finance[Date],MATCH(C172&amp;"",tbl_Finance[Xero Invoice No],0)),""))</f>
        <v/>
      </c>
      <c r="C172" s="22" t="n"/>
      <c r="D172" s="22" t="n"/>
      <c r="E172" s="26">
        <f>IF(D172="","",IF(COUNTIF(lst_Jobs,D172&amp;"")&gt;0,"OK","CHECK"))</f>
        <v/>
      </c>
      <c r="F172" s="22" t="n"/>
      <c r="G172" s="22" t="n"/>
      <c r="H172" s="22" t="n"/>
      <c r="I172" s="22" t="n"/>
      <c r="J172" s="22" t="n"/>
      <c r="K172" s="23" t="n"/>
      <c r="L172" s="23" t="n"/>
      <c r="M172" s="26">
        <f>IF(N172="","",IF(OR(K172="",L172=""),"one month",TEXT(MAX(1,(YEAR(L172)-YEAR(K172))*12+MONTH(L172)-MONTH(K172)+1),"0")&amp;" months - see Deferred Revenue"))</f>
        <v/>
      </c>
      <c r="N172" s="24" t="n"/>
      <c r="O172" s="22" t="n"/>
      <c r="P172" s="26">
        <f>IF(N(N172)=0,"",IF(N172&gt;0,set_WIPAsset,IF(J172="Cost",IF(O172="","(set the P&amp;L Account)",O172),IF(O172="",set_WIPIncome,O172))))</f>
        <v/>
      </c>
      <c r="Q172" s="26">
        <f>IF(N(N172)=0,"",IF(N172&gt;0,IF(J172="Cost",IF(O172="","(set the P&amp;L Account)",O172),IF(O172="",set_WIPIncome,O172)),set_WIPAsset))</f>
        <v/>
      </c>
      <c r="R172" s="27">
        <f>IF(OR(N(N172)=0,K172&lt;&gt;""),"",ABS(N172))</f>
        <v/>
      </c>
      <c r="S172" s="26">
        <f>IF(N(N172)=0,"",IF(K172&lt;&gt;"","spreads monthly - see Deferred Revenue","WIP "&amp;I172&amp;IF(D172="",""," - "&amp;D172)&amp;IF(F172="",""," "&amp;F172)&amp;IF(H172="",""," - "&amp;H172)))</f>
        <v/>
      </c>
      <c r="T172" s="22" t="n"/>
      <c r="U172" s="22" t="n"/>
      <c r="V172" s="22" t="n"/>
    </row>
    <row r="173" ht="15" customHeight="1">
      <c r="A173" s="72" t="n"/>
      <c r="B173" s="70">
        <f>IF(C173="","",IFERROR(INDEX(tbl_Finance[Date],MATCH(C173&amp;"",tbl_Finance[Xero Invoice No],0)),""))</f>
        <v/>
      </c>
      <c r="C173" s="22" t="n"/>
      <c r="D173" s="22" t="n"/>
      <c r="E173" s="26">
        <f>IF(D173="","",IF(COUNTIF(lst_Jobs,D173&amp;"")&gt;0,"OK","CHECK"))</f>
        <v/>
      </c>
      <c r="F173" s="22" t="n"/>
      <c r="G173" s="22" t="n"/>
      <c r="H173" s="22" t="n"/>
      <c r="I173" s="22" t="n"/>
      <c r="J173" s="22" t="n"/>
      <c r="K173" s="23" t="n"/>
      <c r="L173" s="23" t="n"/>
      <c r="M173" s="26">
        <f>IF(N173="","",IF(OR(K173="",L173=""),"one month",TEXT(MAX(1,(YEAR(L173)-YEAR(K173))*12+MONTH(L173)-MONTH(K173)+1),"0")&amp;" months - see Deferred Revenue"))</f>
        <v/>
      </c>
      <c r="N173" s="24" t="n"/>
      <c r="O173" s="22" t="n"/>
      <c r="P173" s="26">
        <f>IF(N(N173)=0,"",IF(N173&gt;0,set_WIPAsset,IF(J173="Cost",IF(O173="","(set the P&amp;L Account)",O173),IF(O173="",set_WIPIncome,O173))))</f>
        <v/>
      </c>
      <c r="Q173" s="26">
        <f>IF(N(N173)=0,"",IF(N173&gt;0,IF(J173="Cost",IF(O173="","(set the P&amp;L Account)",O173),IF(O173="",set_WIPIncome,O173)),set_WIPAsset))</f>
        <v/>
      </c>
      <c r="R173" s="27">
        <f>IF(OR(N(N173)=0,K173&lt;&gt;""),"",ABS(N173))</f>
        <v/>
      </c>
      <c r="S173" s="26">
        <f>IF(N(N173)=0,"",IF(K173&lt;&gt;"","spreads monthly - see Deferred Revenue","WIP "&amp;I173&amp;IF(D173="",""," - "&amp;D173)&amp;IF(F173="",""," "&amp;F173)&amp;IF(H173="",""," - "&amp;H173)))</f>
        <v/>
      </c>
      <c r="T173" s="22" t="n"/>
      <c r="U173" s="22" t="n"/>
      <c r="V173" s="22" t="n"/>
    </row>
    <row r="174" ht="15" customHeight="1">
      <c r="A174" s="72" t="n"/>
      <c r="B174" s="70">
        <f>IF(C174="","",IFERROR(INDEX(tbl_Finance[Date],MATCH(C174&amp;"",tbl_Finance[Xero Invoice No],0)),""))</f>
        <v/>
      </c>
      <c r="C174" s="22" t="n"/>
      <c r="D174" s="22" t="n"/>
      <c r="E174" s="26">
        <f>IF(D174="","",IF(COUNTIF(lst_Jobs,D174&amp;"")&gt;0,"OK","CHECK"))</f>
        <v/>
      </c>
      <c r="F174" s="22" t="n"/>
      <c r="G174" s="22" t="n"/>
      <c r="H174" s="22" t="n"/>
      <c r="I174" s="22" t="n"/>
      <c r="J174" s="22" t="n"/>
      <c r="K174" s="23" t="n"/>
      <c r="L174" s="23" t="n"/>
      <c r="M174" s="26">
        <f>IF(N174="","",IF(OR(K174="",L174=""),"one month",TEXT(MAX(1,(YEAR(L174)-YEAR(K174))*12+MONTH(L174)-MONTH(K174)+1),"0")&amp;" months - see Deferred Revenue"))</f>
        <v/>
      </c>
      <c r="N174" s="24" t="n"/>
      <c r="O174" s="22" t="n"/>
      <c r="P174" s="26">
        <f>IF(N(N174)=0,"",IF(N174&gt;0,set_WIPAsset,IF(J174="Cost",IF(O174="","(set the P&amp;L Account)",O174),IF(O174="",set_WIPIncome,O174))))</f>
        <v/>
      </c>
      <c r="Q174" s="26">
        <f>IF(N(N174)=0,"",IF(N174&gt;0,IF(J174="Cost",IF(O174="","(set the P&amp;L Account)",O174),IF(O174="",set_WIPIncome,O174)),set_WIPAsset))</f>
        <v/>
      </c>
      <c r="R174" s="27">
        <f>IF(OR(N(N174)=0,K174&lt;&gt;""),"",ABS(N174))</f>
        <v/>
      </c>
      <c r="S174" s="26">
        <f>IF(N(N174)=0,"",IF(K174&lt;&gt;"","spreads monthly - see Deferred Revenue","WIP "&amp;I174&amp;IF(D174="",""," - "&amp;D174)&amp;IF(F174="",""," "&amp;F174)&amp;IF(H174="",""," - "&amp;H174)))</f>
        <v/>
      </c>
      <c r="T174" s="22" t="n"/>
      <c r="U174" s="22" t="n"/>
      <c r="V174" s="22" t="n"/>
    </row>
    <row r="175" ht="15" customHeight="1">
      <c r="A175" s="72" t="n"/>
      <c r="B175" s="70">
        <f>IF(C175="","",IFERROR(INDEX(tbl_Finance[Date],MATCH(C175&amp;"",tbl_Finance[Xero Invoice No],0)),""))</f>
        <v/>
      </c>
      <c r="C175" s="22" t="n"/>
      <c r="D175" s="22" t="n"/>
      <c r="E175" s="26">
        <f>IF(D175="","",IF(COUNTIF(lst_Jobs,D175&amp;"")&gt;0,"OK","CHECK"))</f>
        <v/>
      </c>
      <c r="F175" s="22" t="n"/>
      <c r="G175" s="22" t="n"/>
      <c r="H175" s="22" t="n"/>
      <c r="I175" s="22" t="n"/>
      <c r="J175" s="22" t="n"/>
      <c r="K175" s="23" t="n"/>
      <c r="L175" s="23" t="n"/>
      <c r="M175" s="26">
        <f>IF(N175="","",IF(OR(K175="",L175=""),"one month",TEXT(MAX(1,(YEAR(L175)-YEAR(K175))*12+MONTH(L175)-MONTH(K175)+1),"0")&amp;" months - see Deferred Revenue"))</f>
        <v/>
      </c>
      <c r="N175" s="24" t="n"/>
      <c r="O175" s="22" t="n"/>
      <c r="P175" s="26">
        <f>IF(N(N175)=0,"",IF(N175&gt;0,set_WIPAsset,IF(J175="Cost",IF(O175="","(set the P&amp;L Account)",O175),IF(O175="",set_WIPIncome,O175))))</f>
        <v/>
      </c>
      <c r="Q175" s="26">
        <f>IF(N(N175)=0,"",IF(N175&gt;0,IF(J175="Cost",IF(O175="","(set the P&amp;L Account)",O175),IF(O175="",set_WIPIncome,O175)),set_WIPAsset))</f>
        <v/>
      </c>
      <c r="R175" s="27">
        <f>IF(OR(N(N175)=0,K175&lt;&gt;""),"",ABS(N175))</f>
        <v/>
      </c>
      <c r="S175" s="26">
        <f>IF(N(N175)=0,"",IF(K175&lt;&gt;"","spreads monthly - see Deferred Revenue","WIP "&amp;I175&amp;IF(D175="",""," - "&amp;D175)&amp;IF(F175="",""," "&amp;F175)&amp;IF(H175="",""," - "&amp;H175)))</f>
        <v/>
      </c>
      <c r="T175" s="22" t="n"/>
      <c r="U175" s="22" t="n"/>
      <c r="V175" s="22" t="n"/>
    </row>
    <row r="176" ht="15" customHeight="1">
      <c r="A176" s="72" t="n"/>
      <c r="B176" s="70">
        <f>IF(C176="","",IFERROR(INDEX(tbl_Finance[Date],MATCH(C176&amp;"",tbl_Finance[Xero Invoice No],0)),""))</f>
        <v/>
      </c>
      <c r="C176" s="22" t="n"/>
      <c r="D176" s="22" t="n"/>
      <c r="E176" s="26">
        <f>IF(D176="","",IF(COUNTIF(lst_Jobs,D176&amp;"")&gt;0,"OK","CHECK"))</f>
        <v/>
      </c>
      <c r="F176" s="22" t="n"/>
      <c r="G176" s="22" t="n"/>
      <c r="H176" s="22" t="n"/>
      <c r="I176" s="22" t="n"/>
      <c r="J176" s="22" t="n"/>
      <c r="K176" s="23" t="n"/>
      <c r="L176" s="23" t="n"/>
      <c r="M176" s="26">
        <f>IF(N176="","",IF(OR(K176="",L176=""),"one month",TEXT(MAX(1,(YEAR(L176)-YEAR(K176))*12+MONTH(L176)-MONTH(K176)+1),"0")&amp;" months - see Deferred Revenue"))</f>
        <v/>
      </c>
      <c r="N176" s="24" t="n"/>
      <c r="O176" s="22" t="n"/>
      <c r="P176" s="26">
        <f>IF(N(N176)=0,"",IF(N176&gt;0,set_WIPAsset,IF(J176="Cost",IF(O176="","(set the P&amp;L Account)",O176),IF(O176="",set_WIPIncome,O176))))</f>
        <v/>
      </c>
      <c r="Q176" s="26">
        <f>IF(N(N176)=0,"",IF(N176&gt;0,IF(J176="Cost",IF(O176="","(set the P&amp;L Account)",O176),IF(O176="",set_WIPIncome,O176)),set_WIPAsset))</f>
        <v/>
      </c>
      <c r="R176" s="27">
        <f>IF(OR(N(N176)=0,K176&lt;&gt;""),"",ABS(N176))</f>
        <v/>
      </c>
      <c r="S176" s="26">
        <f>IF(N(N176)=0,"",IF(K176&lt;&gt;"","spreads monthly - see Deferred Revenue","WIP "&amp;I176&amp;IF(D176="",""," - "&amp;D176)&amp;IF(F176="",""," "&amp;F176)&amp;IF(H176="",""," - "&amp;H176)))</f>
        <v/>
      </c>
      <c r="T176" s="22" t="n"/>
      <c r="U176" s="22" t="n"/>
      <c r="V176" s="22" t="n"/>
    </row>
    <row r="177" ht="15" customHeight="1">
      <c r="A177" s="72" t="n"/>
      <c r="B177" s="70">
        <f>IF(C177="","",IFERROR(INDEX(tbl_Finance[Date],MATCH(C177&amp;"",tbl_Finance[Xero Invoice No],0)),""))</f>
        <v/>
      </c>
      <c r="C177" s="22" t="n"/>
      <c r="D177" s="22" t="n"/>
      <c r="E177" s="26">
        <f>IF(D177="","",IF(COUNTIF(lst_Jobs,D177&amp;"")&gt;0,"OK","CHECK"))</f>
        <v/>
      </c>
      <c r="F177" s="22" t="n"/>
      <c r="G177" s="22" t="n"/>
      <c r="H177" s="22" t="n"/>
      <c r="I177" s="22" t="n"/>
      <c r="J177" s="22" t="n"/>
      <c r="K177" s="23" t="n"/>
      <c r="L177" s="23" t="n"/>
      <c r="M177" s="26">
        <f>IF(N177="","",IF(OR(K177="",L177=""),"one month",TEXT(MAX(1,(YEAR(L177)-YEAR(K177))*12+MONTH(L177)-MONTH(K177)+1),"0")&amp;" months - see Deferred Revenue"))</f>
        <v/>
      </c>
      <c r="N177" s="24" t="n"/>
      <c r="O177" s="22" t="n"/>
      <c r="P177" s="26">
        <f>IF(N(N177)=0,"",IF(N177&gt;0,set_WIPAsset,IF(J177="Cost",IF(O177="","(set the P&amp;L Account)",O177),IF(O177="",set_WIPIncome,O177))))</f>
        <v/>
      </c>
      <c r="Q177" s="26">
        <f>IF(N(N177)=0,"",IF(N177&gt;0,IF(J177="Cost",IF(O177="","(set the P&amp;L Account)",O177),IF(O177="",set_WIPIncome,O177)),set_WIPAsset))</f>
        <v/>
      </c>
      <c r="R177" s="27">
        <f>IF(OR(N(N177)=0,K177&lt;&gt;""),"",ABS(N177))</f>
        <v/>
      </c>
      <c r="S177" s="26">
        <f>IF(N(N177)=0,"",IF(K177&lt;&gt;"","spreads monthly - see Deferred Revenue","WIP "&amp;I177&amp;IF(D177="",""," - "&amp;D177)&amp;IF(F177="",""," "&amp;F177)&amp;IF(H177="",""," - "&amp;H177)))</f>
        <v/>
      </c>
      <c r="T177" s="22" t="n"/>
      <c r="U177" s="22" t="n"/>
      <c r="V177" s="22" t="n"/>
    </row>
    <row r="178" ht="15" customHeight="1">
      <c r="A178" s="72" t="n"/>
      <c r="B178" s="70">
        <f>IF(C178="","",IFERROR(INDEX(tbl_Finance[Date],MATCH(C178&amp;"",tbl_Finance[Xero Invoice No],0)),""))</f>
        <v/>
      </c>
      <c r="C178" s="22" t="n"/>
      <c r="D178" s="22" t="n"/>
      <c r="E178" s="26">
        <f>IF(D178="","",IF(COUNTIF(lst_Jobs,D178&amp;"")&gt;0,"OK","CHECK"))</f>
        <v/>
      </c>
      <c r="F178" s="22" t="n"/>
      <c r="G178" s="22" t="n"/>
      <c r="H178" s="22" t="n"/>
      <c r="I178" s="22" t="n"/>
      <c r="J178" s="22" t="n"/>
      <c r="K178" s="23" t="n"/>
      <c r="L178" s="23" t="n"/>
      <c r="M178" s="26">
        <f>IF(N178="","",IF(OR(K178="",L178=""),"one month",TEXT(MAX(1,(YEAR(L178)-YEAR(K178))*12+MONTH(L178)-MONTH(K178)+1),"0")&amp;" months - see Deferred Revenue"))</f>
        <v/>
      </c>
      <c r="N178" s="24" t="n"/>
      <c r="O178" s="22" t="n"/>
      <c r="P178" s="26">
        <f>IF(N(N178)=0,"",IF(N178&gt;0,set_WIPAsset,IF(J178="Cost",IF(O178="","(set the P&amp;L Account)",O178),IF(O178="",set_WIPIncome,O178))))</f>
        <v/>
      </c>
      <c r="Q178" s="26">
        <f>IF(N(N178)=0,"",IF(N178&gt;0,IF(J178="Cost",IF(O178="","(set the P&amp;L Account)",O178),IF(O178="",set_WIPIncome,O178)),set_WIPAsset))</f>
        <v/>
      </c>
      <c r="R178" s="27">
        <f>IF(OR(N(N178)=0,K178&lt;&gt;""),"",ABS(N178))</f>
        <v/>
      </c>
      <c r="S178" s="26">
        <f>IF(N(N178)=0,"",IF(K178&lt;&gt;"","spreads monthly - see Deferred Revenue","WIP "&amp;I178&amp;IF(D178="",""," - "&amp;D178)&amp;IF(F178="",""," "&amp;F178)&amp;IF(H178="",""," - "&amp;H178)))</f>
        <v/>
      </c>
      <c r="T178" s="22" t="n"/>
      <c r="U178" s="22" t="n"/>
      <c r="V178" s="22" t="n"/>
    </row>
    <row r="179" ht="15" customHeight="1">
      <c r="A179" s="72" t="n"/>
      <c r="B179" s="70">
        <f>IF(C179="","",IFERROR(INDEX(tbl_Finance[Date],MATCH(C179&amp;"",tbl_Finance[Xero Invoice No],0)),""))</f>
        <v/>
      </c>
      <c r="C179" s="22" t="n"/>
      <c r="D179" s="22" t="n"/>
      <c r="E179" s="26">
        <f>IF(D179="","",IF(COUNTIF(lst_Jobs,D179&amp;"")&gt;0,"OK","CHECK"))</f>
        <v/>
      </c>
      <c r="F179" s="22" t="n"/>
      <c r="G179" s="22" t="n"/>
      <c r="H179" s="22" t="n"/>
      <c r="I179" s="22" t="n"/>
      <c r="J179" s="22" t="n"/>
      <c r="K179" s="23" t="n"/>
      <c r="L179" s="23" t="n"/>
      <c r="M179" s="26">
        <f>IF(N179="","",IF(OR(K179="",L179=""),"one month",TEXT(MAX(1,(YEAR(L179)-YEAR(K179))*12+MONTH(L179)-MONTH(K179)+1),"0")&amp;" months - see Deferred Revenue"))</f>
        <v/>
      </c>
      <c r="N179" s="24" t="n"/>
      <c r="O179" s="22" t="n"/>
      <c r="P179" s="26">
        <f>IF(N(N179)=0,"",IF(N179&gt;0,set_WIPAsset,IF(J179="Cost",IF(O179="","(set the P&amp;L Account)",O179),IF(O179="",set_WIPIncome,O179))))</f>
        <v/>
      </c>
      <c r="Q179" s="26">
        <f>IF(N(N179)=0,"",IF(N179&gt;0,IF(J179="Cost",IF(O179="","(set the P&amp;L Account)",O179),IF(O179="",set_WIPIncome,O179)),set_WIPAsset))</f>
        <v/>
      </c>
      <c r="R179" s="27">
        <f>IF(OR(N(N179)=0,K179&lt;&gt;""),"",ABS(N179))</f>
        <v/>
      </c>
      <c r="S179" s="26">
        <f>IF(N(N179)=0,"",IF(K179&lt;&gt;"","spreads monthly - see Deferred Revenue","WIP "&amp;I179&amp;IF(D179="",""," - "&amp;D179)&amp;IF(F179="",""," "&amp;F179)&amp;IF(H179="",""," - "&amp;H179)))</f>
        <v/>
      </c>
      <c r="T179" s="22" t="n"/>
      <c r="U179" s="22" t="n"/>
      <c r="V179" s="22" t="n"/>
    </row>
    <row r="180" ht="15" customHeight="1">
      <c r="A180" s="72" t="n"/>
      <c r="B180" s="70">
        <f>IF(C180="","",IFERROR(INDEX(tbl_Finance[Date],MATCH(C180&amp;"",tbl_Finance[Xero Invoice No],0)),""))</f>
        <v/>
      </c>
      <c r="C180" s="22" t="n"/>
      <c r="D180" s="22" t="n"/>
      <c r="E180" s="26">
        <f>IF(D180="","",IF(COUNTIF(lst_Jobs,D180&amp;"")&gt;0,"OK","CHECK"))</f>
        <v/>
      </c>
      <c r="F180" s="22" t="n"/>
      <c r="G180" s="22" t="n"/>
      <c r="H180" s="22" t="n"/>
      <c r="I180" s="22" t="n"/>
      <c r="J180" s="22" t="n"/>
      <c r="K180" s="23" t="n"/>
      <c r="L180" s="23" t="n"/>
      <c r="M180" s="26">
        <f>IF(N180="","",IF(OR(K180="",L180=""),"one month",TEXT(MAX(1,(YEAR(L180)-YEAR(K180))*12+MONTH(L180)-MONTH(K180)+1),"0")&amp;" months - see Deferred Revenue"))</f>
        <v/>
      </c>
      <c r="N180" s="24" t="n"/>
      <c r="O180" s="22" t="n"/>
      <c r="P180" s="26">
        <f>IF(N(N180)=0,"",IF(N180&gt;0,set_WIPAsset,IF(J180="Cost",IF(O180="","(set the P&amp;L Account)",O180),IF(O180="",set_WIPIncome,O180))))</f>
        <v/>
      </c>
      <c r="Q180" s="26">
        <f>IF(N(N180)=0,"",IF(N180&gt;0,IF(J180="Cost",IF(O180="","(set the P&amp;L Account)",O180),IF(O180="",set_WIPIncome,O180)),set_WIPAsset))</f>
        <v/>
      </c>
      <c r="R180" s="27">
        <f>IF(OR(N(N180)=0,K180&lt;&gt;""),"",ABS(N180))</f>
        <v/>
      </c>
      <c r="S180" s="26">
        <f>IF(N(N180)=0,"",IF(K180&lt;&gt;"","spreads monthly - see Deferred Revenue","WIP "&amp;I180&amp;IF(D180="",""," - "&amp;D180)&amp;IF(F180="",""," "&amp;F180)&amp;IF(H180="",""," - "&amp;H180)))</f>
        <v/>
      </c>
      <c r="T180" s="22" t="n"/>
      <c r="U180" s="22" t="n"/>
      <c r="V180" s="22" t="n"/>
    </row>
    <row r="181" ht="15" customHeight="1">
      <c r="A181" s="72" t="n"/>
      <c r="B181" s="70">
        <f>IF(C181="","",IFERROR(INDEX(tbl_Finance[Date],MATCH(C181&amp;"",tbl_Finance[Xero Invoice No],0)),""))</f>
        <v/>
      </c>
      <c r="C181" s="22" t="n"/>
      <c r="D181" s="22" t="n"/>
      <c r="E181" s="26">
        <f>IF(D181="","",IF(COUNTIF(lst_Jobs,D181&amp;"")&gt;0,"OK","CHECK"))</f>
        <v/>
      </c>
      <c r="F181" s="22" t="n"/>
      <c r="G181" s="22" t="n"/>
      <c r="H181" s="22" t="n"/>
      <c r="I181" s="22" t="n"/>
      <c r="J181" s="22" t="n"/>
      <c r="K181" s="23" t="n"/>
      <c r="L181" s="23" t="n"/>
      <c r="M181" s="26">
        <f>IF(N181="","",IF(OR(K181="",L181=""),"one month",TEXT(MAX(1,(YEAR(L181)-YEAR(K181))*12+MONTH(L181)-MONTH(K181)+1),"0")&amp;" months - see Deferred Revenue"))</f>
        <v/>
      </c>
      <c r="N181" s="24" t="n"/>
      <c r="O181" s="22" t="n"/>
      <c r="P181" s="26">
        <f>IF(N(N181)=0,"",IF(N181&gt;0,set_WIPAsset,IF(J181="Cost",IF(O181="","(set the P&amp;L Account)",O181),IF(O181="",set_WIPIncome,O181))))</f>
        <v/>
      </c>
      <c r="Q181" s="26">
        <f>IF(N(N181)=0,"",IF(N181&gt;0,IF(J181="Cost",IF(O181="","(set the P&amp;L Account)",O181),IF(O181="",set_WIPIncome,O181)),set_WIPAsset))</f>
        <v/>
      </c>
      <c r="R181" s="27">
        <f>IF(OR(N(N181)=0,K181&lt;&gt;""),"",ABS(N181))</f>
        <v/>
      </c>
      <c r="S181" s="26">
        <f>IF(N(N181)=0,"",IF(K181&lt;&gt;"","spreads monthly - see Deferred Revenue","WIP "&amp;I181&amp;IF(D181="",""," - "&amp;D181)&amp;IF(F181="",""," "&amp;F181)&amp;IF(H181="",""," - "&amp;H181)))</f>
        <v/>
      </c>
      <c r="T181" s="22" t="n"/>
      <c r="U181" s="22" t="n"/>
      <c r="V181" s="22" t="n"/>
    </row>
    <row r="182" ht="15" customHeight="1">
      <c r="A182" s="72" t="n"/>
      <c r="B182" s="70">
        <f>IF(C182="","",IFERROR(INDEX(tbl_Finance[Date],MATCH(C182&amp;"",tbl_Finance[Xero Invoice No],0)),""))</f>
        <v/>
      </c>
      <c r="C182" s="22" t="n"/>
      <c r="D182" s="22" t="n"/>
      <c r="E182" s="26">
        <f>IF(D182="","",IF(COUNTIF(lst_Jobs,D182&amp;"")&gt;0,"OK","CHECK"))</f>
        <v/>
      </c>
      <c r="F182" s="22" t="n"/>
      <c r="G182" s="22" t="n"/>
      <c r="H182" s="22" t="n"/>
      <c r="I182" s="22" t="n"/>
      <c r="J182" s="22" t="n"/>
      <c r="K182" s="23" t="n"/>
      <c r="L182" s="23" t="n"/>
      <c r="M182" s="26">
        <f>IF(N182="","",IF(OR(K182="",L182=""),"one month",TEXT(MAX(1,(YEAR(L182)-YEAR(K182))*12+MONTH(L182)-MONTH(K182)+1),"0")&amp;" months - see Deferred Revenue"))</f>
        <v/>
      </c>
      <c r="N182" s="24" t="n"/>
      <c r="O182" s="22" t="n"/>
      <c r="P182" s="26">
        <f>IF(N(N182)=0,"",IF(N182&gt;0,set_WIPAsset,IF(J182="Cost",IF(O182="","(set the P&amp;L Account)",O182),IF(O182="",set_WIPIncome,O182))))</f>
        <v/>
      </c>
      <c r="Q182" s="26">
        <f>IF(N(N182)=0,"",IF(N182&gt;0,IF(J182="Cost",IF(O182="","(set the P&amp;L Account)",O182),IF(O182="",set_WIPIncome,O182)),set_WIPAsset))</f>
        <v/>
      </c>
      <c r="R182" s="27">
        <f>IF(OR(N(N182)=0,K182&lt;&gt;""),"",ABS(N182))</f>
        <v/>
      </c>
      <c r="S182" s="26">
        <f>IF(N(N182)=0,"",IF(K182&lt;&gt;"","spreads monthly - see Deferred Revenue","WIP "&amp;I182&amp;IF(D182="",""," - "&amp;D182)&amp;IF(F182="",""," "&amp;F182)&amp;IF(H182="",""," - "&amp;H182)))</f>
        <v/>
      </c>
      <c r="T182" s="22" t="n"/>
      <c r="U182" s="22" t="n"/>
      <c r="V182" s="22" t="n"/>
    </row>
    <row r="183" ht="15" customHeight="1">
      <c r="A183" s="72" t="n"/>
      <c r="B183" s="70">
        <f>IF(C183="","",IFERROR(INDEX(tbl_Finance[Date],MATCH(C183&amp;"",tbl_Finance[Xero Invoice No],0)),""))</f>
        <v/>
      </c>
      <c r="C183" s="22" t="n"/>
      <c r="D183" s="22" t="n"/>
      <c r="E183" s="26">
        <f>IF(D183="","",IF(COUNTIF(lst_Jobs,D183&amp;"")&gt;0,"OK","CHECK"))</f>
        <v/>
      </c>
      <c r="F183" s="22" t="n"/>
      <c r="G183" s="22" t="n"/>
      <c r="H183" s="22" t="n"/>
      <c r="I183" s="22" t="n"/>
      <c r="J183" s="22" t="n"/>
      <c r="K183" s="23" t="n"/>
      <c r="L183" s="23" t="n"/>
      <c r="M183" s="26">
        <f>IF(N183="","",IF(OR(K183="",L183=""),"one month",TEXT(MAX(1,(YEAR(L183)-YEAR(K183))*12+MONTH(L183)-MONTH(K183)+1),"0")&amp;" months - see Deferred Revenue"))</f>
        <v/>
      </c>
      <c r="N183" s="24" t="n"/>
      <c r="O183" s="22" t="n"/>
      <c r="P183" s="26">
        <f>IF(N(N183)=0,"",IF(N183&gt;0,set_WIPAsset,IF(J183="Cost",IF(O183="","(set the P&amp;L Account)",O183),IF(O183="",set_WIPIncome,O183))))</f>
        <v/>
      </c>
      <c r="Q183" s="26">
        <f>IF(N(N183)=0,"",IF(N183&gt;0,IF(J183="Cost",IF(O183="","(set the P&amp;L Account)",O183),IF(O183="",set_WIPIncome,O183)),set_WIPAsset))</f>
        <v/>
      </c>
      <c r="R183" s="27">
        <f>IF(OR(N(N183)=0,K183&lt;&gt;""),"",ABS(N183))</f>
        <v/>
      </c>
      <c r="S183" s="26">
        <f>IF(N(N183)=0,"",IF(K183&lt;&gt;"","spreads monthly - see Deferred Revenue","WIP "&amp;I183&amp;IF(D183="",""," - "&amp;D183)&amp;IF(F183="",""," "&amp;F183)&amp;IF(H183="",""," - "&amp;H183)))</f>
        <v/>
      </c>
      <c r="T183" s="22" t="n"/>
      <c r="U183" s="22" t="n"/>
      <c r="V183" s="22" t="n"/>
    </row>
    <row r="184" ht="15" customHeight="1">
      <c r="A184" s="72" t="n"/>
      <c r="B184" s="70">
        <f>IF(C184="","",IFERROR(INDEX(tbl_Finance[Date],MATCH(C184&amp;"",tbl_Finance[Xero Invoice No],0)),""))</f>
        <v/>
      </c>
      <c r="C184" s="22" t="n"/>
      <c r="D184" s="22" t="n"/>
      <c r="E184" s="26">
        <f>IF(D184="","",IF(COUNTIF(lst_Jobs,D184&amp;"")&gt;0,"OK","CHECK"))</f>
        <v/>
      </c>
      <c r="F184" s="22" t="n"/>
      <c r="G184" s="22" t="n"/>
      <c r="H184" s="22" t="n"/>
      <c r="I184" s="22" t="n"/>
      <c r="J184" s="22" t="n"/>
      <c r="K184" s="23" t="n"/>
      <c r="L184" s="23" t="n"/>
      <c r="M184" s="26">
        <f>IF(N184="","",IF(OR(K184="",L184=""),"one month",TEXT(MAX(1,(YEAR(L184)-YEAR(K184))*12+MONTH(L184)-MONTH(K184)+1),"0")&amp;" months - see Deferred Revenue"))</f>
        <v/>
      </c>
      <c r="N184" s="24" t="n"/>
      <c r="O184" s="22" t="n"/>
      <c r="P184" s="26">
        <f>IF(N(N184)=0,"",IF(N184&gt;0,set_WIPAsset,IF(J184="Cost",IF(O184="","(set the P&amp;L Account)",O184),IF(O184="",set_WIPIncome,O184))))</f>
        <v/>
      </c>
      <c r="Q184" s="26">
        <f>IF(N(N184)=0,"",IF(N184&gt;0,IF(J184="Cost",IF(O184="","(set the P&amp;L Account)",O184),IF(O184="",set_WIPIncome,O184)),set_WIPAsset))</f>
        <v/>
      </c>
      <c r="R184" s="27">
        <f>IF(OR(N(N184)=0,K184&lt;&gt;""),"",ABS(N184))</f>
        <v/>
      </c>
      <c r="S184" s="26">
        <f>IF(N(N184)=0,"",IF(K184&lt;&gt;"","spreads monthly - see Deferred Revenue","WIP "&amp;I184&amp;IF(D184="",""," - "&amp;D184)&amp;IF(F184="",""," "&amp;F184)&amp;IF(H184="",""," - "&amp;H184)))</f>
        <v/>
      </c>
      <c r="T184" s="22" t="n"/>
      <c r="U184" s="22" t="n"/>
      <c r="V184" s="22" t="n"/>
    </row>
    <row r="185" ht="15" customHeight="1">
      <c r="A185" s="72" t="n"/>
      <c r="B185" s="70">
        <f>IF(C185="","",IFERROR(INDEX(tbl_Finance[Date],MATCH(C185&amp;"",tbl_Finance[Xero Invoice No],0)),""))</f>
        <v/>
      </c>
      <c r="C185" s="22" t="n"/>
      <c r="D185" s="22" t="n"/>
      <c r="E185" s="26">
        <f>IF(D185="","",IF(COUNTIF(lst_Jobs,D185&amp;"")&gt;0,"OK","CHECK"))</f>
        <v/>
      </c>
      <c r="F185" s="22" t="n"/>
      <c r="G185" s="22" t="n"/>
      <c r="H185" s="22" t="n"/>
      <c r="I185" s="22" t="n"/>
      <c r="J185" s="22" t="n"/>
      <c r="K185" s="23" t="n"/>
      <c r="L185" s="23" t="n"/>
      <c r="M185" s="26">
        <f>IF(N185="","",IF(OR(K185="",L185=""),"one month",TEXT(MAX(1,(YEAR(L185)-YEAR(K185))*12+MONTH(L185)-MONTH(K185)+1),"0")&amp;" months - see Deferred Revenue"))</f>
        <v/>
      </c>
      <c r="N185" s="24" t="n"/>
      <c r="O185" s="22" t="n"/>
      <c r="P185" s="26">
        <f>IF(N(N185)=0,"",IF(N185&gt;0,set_WIPAsset,IF(J185="Cost",IF(O185="","(set the P&amp;L Account)",O185),IF(O185="",set_WIPIncome,O185))))</f>
        <v/>
      </c>
      <c r="Q185" s="26">
        <f>IF(N(N185)=0,"",IF(N185&gt;0,IF(J185="Cost",IF(O185="","(set the P&amp;L Account)",O185),IF(O185="",set_WIPIncome,O185)),set_WIPAsset))</f>
        <v/>
      </c>
      <c r="R185" s="27">
        <f>IF(OR(N(N185)=0,K185&lt;&gt;""),"",ABS(N185))</f>
        <v/>
      </c>
      <c r="S185" s="26">
        <f>IF(N(N185)=0,"",IF(K185&lt;&gt;"","spreads monthly - see Deferred Revenue","WIP "&amp;I185&amp;IF(D185="",""," - "&amp;D185)&amp;IF(F185="",""," "&amp;F185)&amp;IF(H185="",""," - "&amp;H185)))</f>
        <v/>
      </c>
      <c r="T185" s="22" t="n"/>
      <c r="U185" s="22" t="n"/>
      <c r="V185" s="22" t="n"/>
    </row>
    <row r="186" ht="15" customHeight="1">
      <c r="A186" s="72" t="n"/>
      <c r="B186" s="70">
        <f>IF(C186="","",IFERROR(INDEX(tbl_Finance[Date],MATCH(C186&amp;"",tbl_Finance[Xero Invoice No],0)),""))</f>
        <v/>
      </c>
      <c r="C186" s="22" t="n"/>
      <c r="D186" s="22" t="n"/>
      <c r="E186" s="26">
        <f>IF(D186="","",IF(COUNTIF(lst_Jobs,D186&amp;"")&gt;0,"OK","CHECK"))</f>
        <v/>
      </c>
      <c r="F186" s="22" t="n"/>
      <c r="G186" s="22" t="n"/>
      <c r="H186" s="22" t="n"/>
      <c r="I186" s="22" t="n"/>
      <c r="J186" s="22" t="n"/>
      <c r="K186" s="23" t="n"/>
      <c r="L186" s="23" t="n"/>
      <c r="M186" s="26">
        <f>IF(N186="","",IF(OR(K186="",L186=""),"one month",TEXT(MAX(1,(YEAR(L186)-YEAR(K186))*12+MONTH(L186)-MONTH(K186)+1),"0")&amp;" months - see Deferred Revenue"))</f>
        <v/>
      </c>
      <c r="N186" s="24" t="n"/>
      <c r="O186" s="22" t="n"/>
      <c r="P186" s="26">
        <f>IF(N(N186)=0,"",IF(N186&gt;0,set_WIPAsset,IF(J186="Cost",IF(O186="","(set the P&amp;L Account)",O186),IF(O186="",set_WIPIncome,O186))))</f>
        <v/>
      </c>
      <c r="Q186" s="26">
        <f>IF(N(N186)=0,"",IF(N186&gt;0,IF(J186="Cost",IF(O186="","(set the P&amp;L Account)",O186),IF(O186="",set_WIPIncome,O186)),set_WIPAsset))</f>
        <v/>
      </c>
      <c r="R186" s="27">
        <f>IF(OR(N(N186)=0,K186&lt;&gt;""),"",ABS(N186))</f>
        <v/>
      </c>
      <c r="S186" s="26">
        <f>IF(N(N186)=0,"",IF(K186&lt;&gt;"","spreads monthly - see Deferred Revenue","WIP "&amp;I186&amp;IF(D186="",""," - "&amp;D186)&amp;IF(F186="",""," "&amp;F186)&amp;IF(H186="",""," - "&amp;H186)))</f>
        <v/>
      </c>
      <c r="T186" s="22" t="n"/>
      <c r="U186" s="22" t="n"/>
      <c r="V186" s="22" t="n"/>
    </row>
    <row r="187" ht="15" customHeight="1">
      <c r="A187" s="72" t="n"/>
      <c r="B187" s="70">
        <f>IF(C187="","",IFERROR(INDEX(tbl_Finance[Date],MATCH(C187&amp;"",tbl_Finance[Xero Invoice No],0)),""))</f>
        <v/>
      </c>
      <c r="C187" s="22" t="n"/>
      <c r="D187" s="22" t="n"/>
      <c r="E187" s="26">
        <f>IF(D187="","",IF(COUNTIF(lst_Jobs,D187&amp;"")&gt;0,"OK","CHECK"))</f>
        <v/>
      </c>
      <c r="F187" s="22" t="n"/>
      <c r="G187" s="22" t="n"/>
      <c r="H187" s="22" t="n"/>
      <c r="I187" s="22" t="n"/>
      <c r="J187" s="22" t="n"/>
      <c r="K187" s="23" t="n"/>
      <c r="L187" s="23" t="n"/>
      <c r="M187" s="26">
        <f>IF(N187="","",IF(OR(K187="",L187=""),"one month",TEXT(MAX(1,(YEAR(L187)-YEAR(K187))*12+MONTH(L187)-MONTH(K187)+1),"0")&amp;" months - see Deferred Revenue"))</f>
        <v/>
      </c>
      <c r="N187" s="24" t="n"/>
      <c r="O187" s="22" t="n"/>
      <c r="P187" s="26">
        <f>IF(N(N187)=0,"",IF(N187&gt;0,set_WIPAsset,IF(J187="Cost",IF(O187="","(set the P&amp;L Account)",O187),IF(O187="",set_WIPIncome,O187))))</f>
        <v/>
      </c>
      <c r="Q187" s="26">
        <f>IF(N(N187)=0,"",IF(N187&gt;0,IF(J187="Cost",IF(O187="","(set the P&amp;L Account)",O187),IF(O187="",set_WIPIncome,O187)),set_WIPAsset))</f>
        <v/>
      </c>
      <c r="R187" s="27">
        <f>IF(OR(N(N187)=0,K187&lt;&gt;""),"",ABS(N187))</f>
        <v/>
      </c>
      <c r="S187" s="26">
        <f>IF(N(N187)=0,"",IF(K187&lt;&gt;"","spreads monthly - see Deferred Revenue","WIP "&amp;I187&amp;IF(D187="",""," - "&amp;D187)&amp;IF(F187="",""," "&amp;F187)&amp;IF(H187="",""," - "&amp;H187)))</f>
        <v/>
      </c>
      <c r="T187" s="22" t="n"/>
      <c r="U187" s="22" t="n"/>
      <c r="V187" s="22" t="n"/>
    </row>
    <row r="188" ht="15" customHeight="1">
      <c r="A188" s="72" t="n"/>
      <c r="B188" s="70">
        <f>IF(C188="","",IFERROR(INDEX(tbl_Finance[Date],MATCH(C188&amp;"",tbl_Finance[Xero Invoice No],0)),""))</f>
        <v/>
      </c>
      <c r="C188" s="22" t="n"/>
      <c r="D188" s="22" t="n"/>
      <c r="E188" s="26">
        <f>IF(D188="","",IF(COUNTIF(lst_Jobs,D188&amp;"")&gt;0,"OK","CHECK"))</f>
        <v/>
      </c>
      <c r="F188" s="22" t="n"/>
      <c r="G188" s="22" t="n"/>
      <c r="H188" s="22" t="n"/>
      <c r="I188" s="22" t="n"/>
      <c r="J188" s="22" t="n"/>
      <c r="K188" s="23" t="n"/>
      <c r="L188" s="23" t="n"/>
      <c r="M188" s="26">
        <f>IF(N188="","",IF(OR(K188="",L188=""),"one month",TEXT(MAX(1,(YEAR(L188)-YEAR(K188))*12+MONTH(L188)-MONTH(K188)+1),"0")&amp;" months - see Deferred Revenue"))</f>
        <v/>
      </c>
      <c r="N188" s="24" t="n"/>
      <c r="O188" s="22" t="n"/>
      <c r="P188" s="26">
        <f>IF(N(N188)=0,"",IF(N188&gt;0,set_WIPAsset,IF(J188="Cost",IF(O188="","(set the P&amp;L Account)",O188),IF(O188="",set_WIPIncome,O188))))</f>
        <v/>
      </c>
      <c r="Q188" s="26">
        <f>IF(N(N188)=0,"",IF(N188&gt;0,IF(J188="Cost",IF(O188="","(set the P&amp;L Account)",O188),IF(O188="",set_WIPIncome,O188)),set_WIPAsset))</f>
        <v/>
      </c>
      <c r="R188" s="27">
        <f>IF(OR(N(N188)=0,K188&lt;&gt;""),"",ABS(N188))</f>
        <v/>
      </c>
      <c r="S188" s="26">
        <f>IF(N(N188)=0,"",IF(K188&lt;&gt;"","spreads monthly - see Deferred Revenue","WIP "&amp;I188&amp;IF(D188="",""," - "&amp;D188)&amp;IF(F188="",""," "&amp;F188)&amp;IF(H188="",""," - "&amp;H188)))</f>
        <v/>
      </c>
      <c r="T188" s="22" t="n"/>
      <c r="U188" s="22" t="n"/>
      <c r="V188" s="22" t="n"/>
    </row>
    <row r="189" ht="15" customHeight="1">
      <c r="A189" s="72" t="n"/>
      <c r="B189" s="70">
        <f>IF(C189="","",IFERROR(INDEX(tbl_Finance[Date],MATCH(C189&amp;"",tbl_Finance[Xero Invoice No],0)),""))</f>
        <v/>
      </c>
      <c r="C189" s="22" t="n"/>
      <c r="D189" s="22" t="n"/>
      <c r="E189" s="26">
        <f>IF(D189="","",IF(COUNTIF(lst_Jobs,D189&amp;"")&gt;0,"OK","CHECK"))</f>
        <v/>
      </c>
      <c r="F189" s="22" t="n"/>
      <c r="G189" s="22" t="n"/>
      <c r="H189" s="22" t="n"/>
      <c r="I189" s="22" t="n"/>
      <c r="J189" s="22" t="n"/>
      <c r="K189" s="23" t="n"/>
      <c r="L189" s="23" t="n"/>
      <c r="M189" s="26">
        <f>IF(N189="","",IF(OR(K189="",L189=""),"one month",TEXT(MAX(1,(YEAR(L189)-YEAR(K189))*12+MONTH(L189)-MONTH(K189)+1),"0")&amp;" months - see Deferred Revenue"))</f>
        <v/>
      </c>
      <c r="N189" s="24" t="n"/>
      <c r="O189" s="22" t="n"/>
      <c r="P189" s="26">
        <f>IF(N(N189)=0,"",IF(N189&gt;0,set_WIPAsset,IF(J189="Cost",IF(O189="","(set the P&amp;L Account)",O189),IF(O189="",set_WIPIncome,O189))))</f>
        <v/>
      </c>
      <c r="Q189" s="26">
        <f>IF(N(N189)=0,"",IF(N189&gt;0,IF(J189="Cost",IF(O189="","(set the P&amp;L Account)",O189),IF(O189="",set_WIPIncome,O189)),set_WIPAsset))</f>
        <v/>
      </c>
      <c r="R189" s="27">
        <f>IF(OR(N(N189)=0,K189&lt;&gt;""),"",ABS(N189))</f>
        <v/>
      </c>
      <c r="S189" s="26">
        <f>IF(N(N189)=0,"",IF(K189&lt;&gt;"","spreads monthly - see Deferred Revenue","WIP "&amp;I189&amp;IF(D189="",""," - "&amp;D189)&amp;IF(F189="",""," "&amp;F189)&amp;IF(H189="",""," - "&amp;H189)))</f>
        <v/>
      </c>
      <c r="T189" s="22" t="n"/>
      <c r="U189" s="22" t="n"/>
      <c r="V189" s="22" t="n"/>
    </row>
    <row r="190" ht="15" customHeight="1">
      <c r="A190" s="72" t="n"/>
      <c r="B190" s="70">
        <f>IF(C190="","",IFERROR(INDEX(tbl_Finance[Date],MATCH(C190&amp;"",tbl_Finance[Xero Invoice No],0)),""))</f>
        <v/>
      </c>
      <c r="C190" s="22" t="n"/>
      <c r="D190" s="22" t="n"/>
      <c r="E190" s="26">
        <f>IF(D190="","",IF(COUNTIF(lst_Jobs,D190&amp;"")&gt;0,"OK","CHECK"))</f>
        <v/>
      </c>
      <c r="F190" s="22" t="n"/>
      <c r="G190" s="22" t="n"/>
      <c r="H190" s="22" t="n"/>
      <c r="I190" s="22" t="n"/>
      <c r="J190" s="22" t="n"/>
      <c r="K190" s="23" t="n"/>
      <c r="L190" s="23" t="n"/>
      <c r="M190" s="26">
        <f>IF(N190="","",IF(OR(K190="",L190=""),"one month",TEXT(MAX(1,(YEAR(L190)-YEAR(K190))*12+MONTH(L190)-MONTH(K190)+1),"0")&amp;" months - see Deferred Revenue"))</f>
        <v/>
      </c>
      <c r="N190" s="24" t="n"/>
      <c r="O190" s="22" t="n"/>
      <c r="P190" s="26">
        <f>IF(N(N190)=0,"",IF(N190&gt;0,set_WIPAsset,IF(J190="Cost",IF(O190="","(set the P&amp;L Account)",O190),IF(O190="",set_WIPIncome,O190))))</f>
        <v/>
      </c>
      <c r="Q190" s="26">
        <f>IF(N(N190)=0,"",IF(N190&gt;0,IF(J190="Cost",IF(O190="","(set the P&amp;L Account)",O190),IF(O190="",set_WIPIncome,O190)),set_WIPAsset))</f>
        <v/>
      </c>
      <c r="R190" s="27">
        <f>IF(OR(N(N190)=0,K190&lt;&gt;""),"",ABS(N190))</f>
        <v/>
      </c>
      <c r="S190" s="26">
        <f>IF(N(N190)=0,"",IF(K190&lt;&gt;"","spreads monthly - see Deferred Revenue","WIP "&amp;I190&amp;IF(D190="",""," - "&amp;D190)&amp;IF(F190="",""," "&amp;F190)&amp;IF(H190="",""," - "&amp;H190)))</f>
        <v/>
      </c>
      <c r="T190" s="22" t="n"/>
      <c r="U190" s="22" t="n"/>
      <c r="V190" s="22" t="n"/>
    </row>
    <row r="191" ht="15" customHeight="1">
      <c r="A191" s="72" t="n"/>
      <c r="B191" s="70">
        <f>IF(C191="","",IFERROR(INDEX(tbl_Finance[Date],MATCH(C191&amp;"",tbl_Finance[Xero Invoice No],0)),""))</f>
        <v/>
      </c>
      <c r="C191" s="22" t="n"/>
      <c r="D191" s="22" t="n"/>
      <c r="E191" s="26">
        <f>IF(D191="","",IF(COUNTIF(lst_Jobs,D191&amp;"")&gt;0,"OK","CHECK"))</f>
        <v/>
      </c>
      <c r="F191" s="22" t="n"/>
      <c r="G191" s="22" t="n"/>
      <c r="H191" s="22" t="n"/>
      <c r="I191" s="22" t="n"/>
      <c r="J191" s="22" t="n"/>
      <c r="K191" s="23" t="n"/>
      <c r="L191" s="23" t="n"/>
      <c r="M191" s="26">
        <f>IF(N191="","",IF(OR(K191="",L191=""),"one month",TEXT(MAX(1,(YEAR(L191)-YEAR(K191))*12+MONTH(L191)-MONTH(K191)+1),"0")&amp;" months - see Deferred Revenue"))</f>
        <v/>
      </c>
      <c r="N191" s="24" t="n"/>
      <c r="O191" s="22" t="n"/>
      <c r="P191" s="26">
        <f>IF(N(N191)=0,"",IF(N191&gt;0,set_WIPAsset,IF(J191="Cost",IF(O191="","(set the P&amp;L Account)",O191),IF(O191="",set_WIPIncome,O191))))</f>
        <v/>
      </c>
      <c r="Q191" s="26">
        <f>IF(N(N191)=0,"",IF(N191&gt;0,IF(J191="Cost",IF(O191="","(set the P&amp;L Account)",O191),IF(O191="",set_WIPIncome,O191)),set_WIPAsset))</f>
        <v/>
      </c>
      <c r="R191" s="27">
        <f>IF(OR(N(N191)=0,K191&lt;&gt;""),"",ABS(N191))</f>
        <v/>
      </c>
      <c r="S191" s="26">
        <f>IF(N(N191)=0,"",IF(K191&lt;&gt;"","spreads monthly - see Deferred Revenue","WIP "&amp;I191&amp;IF(D191="",""," - "&amp;D191)&amp;IF(F191="",""," "&amp;F191)&amp;IF(H191="",""," - "&amp;H191)))</f>
        <v/>
      </c>
      <c r="T191" s="22" t="n"/>
      <c r="U191" s="22" t="n"/>
      <c r="V191" s="22" t="n"/>
    </row>
    <row r="192" ht="15" customHeight="1">
      <c r="A192" s="72" t="n"/>
      <c r="B192" s="70">
        <f>IF(C192="","",IFERROR(INDEX(tbl_Finance[Date],MATCH(C192&amp;"",tbl_Finance[Xero Invoice No],0)),""))</f>
        <v/>
      </c>
      <c r="C192" s="22" t="n"/>
      <c r="D192" s="22" t="n"/>
      <c r="E192" s="26">
        <f>IF(D192="","",IF(COUNTIF(lst_Jobs,D192&amp;"")&gt;0,"OK","CHECK"))</f>
        <v/>
      </c>
      <c r="F192" s="22" t="n"/>
      <c r="G192" s="22" t="n"/>
      <c r="H192" s="22" t="n"/>
      <c r="I192" s="22" t="n"/>
      <c r="J192" s="22" t="n"/>
      <c r="K192" s="23" t="n"/>
      <c r="L192" s="23" t="n"/>
      <c r="M192" s="26">
        <f>IF(N192="","",IF(OR(K192="",L192=""),"one month",TEXT(MAX(1,(YEAR(L192)-YEAR(K192))*12+MONTH(L192)-MONTH(K192)+1),"0")&amp;" months - see Deferred Revenue"))</f>
        <v/>
      </c>
      <c r="N192" s="24" t="n"/>
      <c r="O192" s="22" t="n"/>
      <c r="P192" s="26">
        <f>IF(N(N192)=0,"",IF(N192&gt;0,set_WIPAsset,IF(J192="Cost",IF(O192="","(set the P&amp;L Account)",O192),IF(O192="",set_WIPIncome,O192))))</f>
        <v/>
      </c>
      <c r="Q192" s="26">
        <f>IF(N(N192)=0,"",IF(N192&gt;0,IF(J192="Cost",IF(O192="","(set the P&amp;L Account)",O192),IF(O192="",set_WIPIncome,O192)),set_WIPAsset))</f>
        <v/>
      </c>
      <c r="R192" s="27">
        <f>IF(OR(N(N192)=0,K192&lt;&gt;""),"",ABS(N192))</f>
        <v/>
      </c>
      <c r="S192" s="26">
        <f>IF(N(N192)=0,"",IF(K192&lt;&gt;"","spreads monthly - see Deferred Revenue","WIP "&amp;I192&amp;IF(D192="",""," - "&amp;D192)&amp;IF(F192="",""," "&amp;F192)&amp;IF(H192="",""," - "&amp;H192)))</f>
        <v/>
      </c>
      <c r="T192" s="22" t="n"/>
      <c r="U192" s="22" t="n"/>
      <c r="V192" s="22" t="n"/>
    </row>
    <row r="193" ht="15" customHeight="1">
      <c r="A193" s="72" t="n"/>
      <c r="B193" s="70">
        <f>IF(C193="","",IFERROR(INDEX(tbl_Finance[Date],MATCH(C193&amp;"",tbl_Finance[Xero Invoice No],0)),""))</f>
        <v/>
      </c>
      <c r="C193" s="22" t="n"/>
      <c r="D193" s="22" t="n"/>
      <c r="E193" s="26">
        <f>IF(D193="","",IF(COUNTIF(lst_Jobs,D193&amp;"")&gt;0,"OK","CHECK"))</f>
        <v/>
      </c>
      <c r="F193" s="22" t="n"/>
      <c r="G193" s="22" t="n"/>
      <c r="H193" s="22" t="n"/>
      <c r="I193" s="22" t="n"/>
      <c r="J193" s="22" t="n"/>
      <c r="K193" s="23" t="n"/>
      <c r="L193" s="23" t="n"/>
      <c r="M193" s="26">
        <f>IF(N193="","",IF(OR(K193="",L193=""),"one month",TEXT(MAX(1,(YEAR(L193)-YEAR(K193))*12+MONTH(L193)-MONTH(K193)+1),"0")&amp;" months - see Deferred Revenue"))</f>
        <v/>
      </c>
      <c r="N193" s="24" t="n"/>
      <c r="O193" s="22" t="n"/>
      <c r="P193" s="26">
        <f>IF(N(N193)=0,"",IF(N193&gt;0,set_WIPAsset,IF(J193="Cost",IF(O193="","(set the P&amp;L Account)",O193),IF(O193="",set_WIPIncome,O193))))</f>
        <v/>
      </c>
      <c r="Q193" s="26">
        <f>IF(N(N193)=0,"",IF(N193&gt;0,IF(J193="Cost",IF(O193="","(set the P&amp;L Account)",O193),IF(O193="",set_WIPIncome,O193)),set_WIPAsset))</f>
        <v/>
      </c>
      <c r="R193" s="27">
        <f>IF(OR(N(N193)=0,K193&lt;&gt;""),"",ABS(N193))</f>
        <v/>
      </c>
      <c r="S193" s="26">
        <f>IF(N(N193)=0,"",IF(K193&lt;&gt;"","spreads monthly - see Deferred Revenue","WIP "&amp;I193&amp;IF(D193="",""," - "&amp;D193)&amp;IF(F193="",""," "&amp;F193)&amp;IF(H193="",""," - "&amp;H193)))</f>
        <v/>
      </c>
      <c r="T193" s="22" t="n"/>
      <c r="U193" s="22" t="n"/>
      <c r="V193" s="22" t="n"/>
    </row>
    <row r="194" ht="15" customHeight="1">
      <c r="A194" s="72" t="n"/>
      <c r="B194" s="70">
        <f>IF(C194="","",IFERROR(INDEX(tbl_Finance[Date],MATCH(C194&amp;"",tbl_Finance[Xero Invoice No],0)),""))</f>
        <v/>
      </c>
      <c r="C194" s="22" t="n"/>
      <c r="D194" s="22" t="n"/>
      <c r="E194" s="26">
        <f>IF(D194="","",IF(COUNTIF(lst_Jobs,D194&amp;"")&gt;0,"OK","CHECK"))</f>
        <v/>
      </c>
      <c r="F194" s="22" t="n"/>
      <c r="G194" s="22" t="n"/>
      <c r="H194" s="22" t="n"/>
      <c r="I194" s="22" t="n"/>
      <c r="J194" s="22" t="n"/>
      <c r="K194" s="23" t="n"/>
      <c r="L194" s="23" t="n"/>
      <c r="M194" s="26">
        <f>IF(N194="","",IF(OR(K194="",L194=""),"one month",TEXT(MAX(1,(YEAR(L194)-YEAR(K194))*12+MONTH(L194)-MONTH(K194)+1),"0")&amp;" months - see Deferred Revenue"))</f>
        <v/>
      </c>
      <c r="N194" s="24" t="n"/>
      <c r="O194" s="22" t="n"/>
      <c r="P194" s="26">
        <f>IF(N(N194)=0,"",IF(N194&gt;0,set_WIPAsset,IF(J194="Cost",IF(O194="","(set the P&amp;L Account)",O194),IF(O194="",set_WIPIncome,O194))))</f>
        <v/>
      </c>
      <c r="Q194" s="26">
        <f>IF(N(N194)=0,"",IF(N194&gt;0,IF(J194="Cost",IF(O194="","(set the P&amp;L Account)",O194),IF(O194="",set_WIPIncome,O194)),set_WIPAsset))</f>
        <v/>
      </c>
      <c r="R194" s="27">
        <f>IF(OR(N(N194)=0,K194&lt;&gt;""),"",ABS(N194))</f>
        <v/>
      </c>
      <c r="S194" s="26">
        <f>IF(N(N194)=0,"",IF(K194&lt;&gt;"","spreads monthly - see Deferred Revenue","WIP "&amp;I194&amp;IF(D194="",""," - "&amp;D194)&amp;IF(F194="",""," "&amp;F194)&amp;IF(H194="",""," - "&amp;H194)))</f>
        <v/>
      </c>
      <c r="T194" s="22" t="n"/>
      <c r="U194" s="22" t="n"/>
      <c r="V194" s="22" t="n"/>
    </row>
    <row r="195" ht="15" customHeight="1">
      <c r="A195" s="72" t="n"/>
      <c r="B195" s="70">
        <f>IF(C195="","",IFERROR(INDEX(tbl_Finance[Date],MATCH(C195&amp;"",tbl_Finance[Xero Invoice No],0)),""))</f>
        <v/>
      </c>
      <c r="C195" s="22" t="n"/>
      <c r="D195" s="22" t="n"/>
      <c r="E195" s="26">
        <f>IF(D195="","",IF(COUNTIF(lst_Jobs,D195&amp;"")&gt;0,"OK","CHECK"))</f>
        <v/>
      </c>
      <c r="F195" s="22" t="n"/>
      <c r="G195" s="22" t="n"/>
      <c r="H195" s="22" t="n"/>
      <c r="I195" s="22" t="n"/>
      <c r="J195" s="22" t="n"/>
      <c r="K195" s="23" t="n"/>
      <c r="L195" s="23" t="n"/>
      <c r="M195" s="26">
        <f>IF(N195="","",IF(OR(K195="",L195=""),"one month",TEXT(MAX(1,(YEAR(L195)-YEAR(K195))*12+MONTH(L195)-MONTH(K195)+1),"0")&amp;" months - see Deferred Revenue"))</f>
        <v/>
      </c>
      <c r="N195" s="24" t="n"/>
      <c r="O195" s="22" t="n"/>
      <c r="P195" s="26">
        <f>IF(N(N195)=0,"",IF(N195&gt;0,set_WIPAsset,IF(J195="Cost",IF(O195="","(set the P&amp;L Account)",O195),IF(O195="",set_WIPIncome,O195))))</f>
        <v/>
      </c>
      <c r="Q195" s="26">
        <f>IF(N(N195)=0,"",IF(N195&gt;0,IF(J195="Cost",IF(O195="","(set the P&amp;L Account)",O195),IF(O195="",set_WIPIncome,O195)),set_WIPAsset))</f>
        <v/>
      </c>
      <c r="R195" s="27">
        <f>IF(OR(N(N195)=0,K195&lt;&gt;""),"",ABS(N195))</f>
        <v/>
      </c>
      <c r="S195" s="26">
        <f>IF(N(N195)=0,"",IF(K195&lt;&gt;"","spreads monthly - see Deferred Revenue","WIP "&amp;I195&amp;IF(D195="",""," - "&amp;D195)&amp;IF(F195="",""," "&amp;F195)&amp;IF(H195="",""," - "&amp;H195)))</f>
        <v/>
      </c>
      <c r="T195" s="22" t="n"/>
      <c r="U195" s="22" t="n"/>
      <c r="V195" s="22" t="n"/>
    </row>
    <row r="196" ht="15" customHeight="1">
      <c r="A196" s="72" t="n"/>
      <c r="B196" s="70">
        <f>IF(C196="","",IFERROR(INDEX(tbl_Finance[Date],MATCH(C196&amp;"",tbl_Finance[Xero Invoice No],0)),""))</f>
        <v/>
      </c>
      <c r="C196" s="22" t="n"/>
      <c r="D196" s="22" t="n"/>
      <c r="E196" s="26">
        <f>IF(D196="","",IF(COUNTIF(lst_Jobs,D196&amp;"")&gt;0,"OK","CHECK"))</f>
        <v/>
      </c>
      <c r="F196" s="22" t="n"/>
      <c r="G196" s="22" t="n"/>
      <c r="H196" s="22" t="n"/>
      <c r="I196" s="22" t="n"/>
      <c r="J196" s="22" t="n"/>
      <c r="K196" s="23" t="n"/>
      <c r="L196" s="23" t="n"/>
      <c r="M196" s="26">
        <f>IF(N196="","",IF(OR(K196="",L196=""),"one month",TEXT(MAX(1,(YEAR(L196)-YEAR(K196))*12+MONTH(L196)-MONTH(K196)+1),"0")&amp;" months - see Deferred Revenue"))</f>
        <v/>
      </c>
      <c r="N196" s="24" t="n"/>
      <c r="O196" s="22" t="n"/>
      <c r="P196" s="26">
        <f>IF(N(N196)=0,"",IF(N196&gt;0,set_WIPAsset,IF(J196="Cost",IF(O196="","(set the P&amp;L Account)",O196),IF(O196="",set_WIPIncome,O196))))</f>
        <v/>
      </c>
      <c r="Q196" s="26">
        <f>IF(N(N196)=0,"",IF(N196&gt;0,IF(J196="Cost",IF(O196="","(set the P&amp;L Account)",O196),IF(O196="",set_WIPIncome,O196)),set_WIPAsset))</f>
        <v/>
      </c>
      <c r="R196" s="27">
        <f>IF(OR(N(N196)=0,K196&lt;&gt;""),"",ABS(N196))</f>
        <v/>
      </c>
      <c r="S196" s="26">
        <f>IF(N(N196)=0,"",IF(K196&lt;&gt;"","spreads monthly - see Deferred Revenue","WIP "&amp;I196&amp;IF(D196="",""," - "&amp;D196)&amp;IF(F196="",""," "&amp;F196)&amp;IF(H196="",""," - "&amp;H196)))</f>
        <v/>
      </c>
      <c r="T196" s="22" t="n"/>
      <c r="U196" s="22" t="n"/>
      <c r="V196" s="22" t="n"/>
    </row>
    <row r="197" ht="15" customHeight="1">
      <c r="A197" s="72" t="n"/>
      <c r="B197" s="70">
        <f>IF(C197="","",IFERROR(INDEX(tbl_Finance[Date],MATCH(C197&amp;"",tbl_Finance[Xero Invoice No],0)),""))</f>
        <v/>
      </c>
      <c r="C197" s="22" t="n"/>
      <c r="D197" s="22" t="n"/>
      <c r="E197" s="26">
        <f>IF(D197="","",IF(COUNTIF(lst_Jobs,D197&amp;"")&gt;0,"OK","CHECK"))</f>
        <v/>
      </c>
      <c r="F197" s="22" t="n"/>
      <c r="G197" s="22" t="n"/>
      <c r="H197" s="22" t="n"/>
      <c r="I197" s="22" t="n"/>
      <c r="J197" s="22" t="n"/>
      <c r="K197" s="23" t="n"/>
      <c r="L197" s="23" t="n"/>
      <c r="M197" s="26">
        <f>IF(N197="","",IF(OR(K197="",L197=""),"one month",TEXT(MAX(1,(YEAR(L197)-YEAR(K197))*12+MONTH(L197)-MONTH(K197)+1),"0")&amp;" months - see Deferred Revenue"))</f>
        <v/>
      </c>
      <c r="N197" s="24" t="n"/>
      <c r="O197" s="22" t="n"/>
      <c r="P197" s="26">
        <f>IF(N(N197)=0,"",IF(N197&gt;0,set_WIPAsset,IF(J197="Cost",IF(O197="","(set the P&amp;L Account)",O197),IF(O197="",set_WIPIncome,O197))))</f>
        <v/>
      </c>
      <c r="Q197" s="26">
        <f>IF(N(N197)=0,"",IF(N197&gt;0,IF(J197="Cost",IF(O197="","(set the P&amp;L Account)",O197),IF(O197="",set_WIPIncome,O197)),set_WIPAsset))</f>
        <v/>
      </c>
      <c r="R197" s="27">
        <f>IF(OR(N(N197)=0,K197&lt;&gt;""),"",ABS(N197))</f>
        <v/>
      </c>
      <c r="S197" s="26">
        <f>IF(N(N197)=0,"",IF(K197&lt;&gt;"","spreads monthly - see Deferred Revenue","WIP "&amp;I197&amp;IF(D197="",""," - "&amp;D197)&amp;IF(F197="",""," "&amp;F197)&amp;IF(H197="",""," - "&amp;H197)))</f>
        <v/>
      </c>
      <c r="T197" s="22" t="n"/>
      <c r="U197" s="22" t="n"/>
      <c r="V197" s="22" t="n"/>
    </row>
    <row r="198" ht="15" customHeight="1">
      <c r="A198" s="72" t="n"/>
      <c r="B198" s="70">
        <f>IF(C198="","",IFERROR(INDEX(tbl_Finance[Date],MATCH(C198&amp;"",tbl_Finance[Xero Invoice No],0)),""))</f>
        <v/>
      </c>
      <c r="C198" s="22" t="n"/>
      <c r="D198" s="22" t="n"/>
      <c r="E198" s="26">
        <f>IF(D198="","",IF(COUNTIF(lst_Jobs,D198&amp;"")&gt;0,"OK","CHECK"))</f>
        <v/>
      </c>
      <c r="F198" s="22" t="n"/>
      <c r="G198" s="22" t="n"/>
      <c r="H198" s="22" t="n"/>
      <c r="I198" s="22" t="n"/>
      <c r="J198" s="22" t="n"/>
      <c r="K198" s="23" t="n"/>
      <c r="L198" s="23" t="n"/>
      <c r="M198" s="26">
        <f>IF(N198="","",IF(OR(K198="",L198=""),"one month",TEXT(MAX(1,(YEAR(L198)-YEAR(K198))*12+MONTH(L198)-MONTH(K198)+1),"0")&amp;" months - see Deferred Revenue"))</f>
        <v/>
      </c>
      <c r="N198" s="24" t="n"/>
      <c r="O198" s="22" t="n"/>
      <c r="P198" s="26">
        <f>IF(N(N198)=0,"",IF(N198&gt;0,set_WIPAsset,IF(J198="Cost",IF(O198="","(set the P&amp;L Account)",O198),IF(O198="",set_WIPIncome,O198))))</f>
        <v/>
      </c>
      <c r="Q198" s="26">
        <f>IF(N(N198)=0,"",IF(N198&gt;0,IF(J198="Cost",IF(O198="","(set the P&amp;L Account)",O198),IF(O198="",set_WIPIncome,O198)),set_WIPAsset))</f>
        <v/>
      </c>
      <c r="R198" s="27">
        <f>IF(OR(N(N198)=0,K198&lt;&gt;""),"",ABS(N198))</f>
        <v/>
      </c>
      <c r="S198" s="26">
        <f>IF(N(N198)=0,"",IF(K198&lt;&gt;"","spreads monthly - see Deferred Revenue","WIP "&amp;I198&amp;IF(D198="",""," - "&amp;D198)&amp;IF(F198="",""," "&amp;F198)&amp;IF(H198="",""," - "&amp;H198)))</f>
        <v/>
      </c>
      <c r="T198" s="22" t="n"/>
      <c r="U198" s="22" t="n"/>
      <c r="V198" s="22" t="n"/>
    </row>
    <row r="199" ht="15" customHeight="1">
      <c r="A199" s="72" t="n"/>
      <c r="B199" s="70">
        <f>IF(C199="","",IFERROR(INDEX(tbl_Finance[Date],MATCH(C199&amp;"",tbl_Finance[Xero Invoice No],0)),""))</f>
        <v/>
      </c>
      <c r="C199" s="22" t="n"/>
      <c r="D199" s="22" t="n"/>
      <c r="E199" s="26">
        <f>IF(D199="","",IF(COUNTIF(lst_Jobs,D199&amp;"")&gt;0,"OK","CHECK"))</f>
        <v/>
      </c>
      <c r="F199" s="22" t="n"/>
      <c r="G199" s="22" t="n"/>
      <c r="H199" s="22" t="n"/>
      <c r="I199" s="22" t="n"/>
      <c r="J199" s="22" t="n"/>
      <c r="K199" s="23" t="n"/>
      <c r="L199" s="23" t="n"/>
      <c r="M199" s="26">
        <f>IF(N199="","",IF(OR(K199="",L199=""),"one month",TEXT(MAX(1,(YEAR(L199)-YEAR(K199))*12+MONTH(L199)-MONTH(K199)+1),"0")&amp;" months - see Deferred Revenue"))</f>
        <v/>
      </c>
      <c r="N199" s="24" t="n"/>
      <c r="O199" s="22" t="n"/>
      <c r="P199" s="26">
        <f>IF(N(N199)=0,"",IF(N199&gt;0,set_WIPAsset,IF(J199="Cost",IF(O199="","(set the P&amp;L Account)",O199),IF(O199="",set_WIPIncome,O199))))</f>
        <v/>
      </c>
      <c r="Q199" s="26">
        <f>IF(N(N199)=0,"",IF(N199&gt;0,IF(J199="Cost",IF(O199="","(set the P&amp;L Account)",O199),IF(O199="",set_WIPIncome,O199)),set_WIPAsset))</f>
        <v/>
      </c>
      <c r="R199" s="27">
        <f>IF(OR(N(N199)=0,K199&lt;&gt;""),"",ABS(N199))</f>
        <v/>
      </c>
      <c r="S199" s="26">
        <f>IF(N(N199)=0,"",IF(K199&lt;&gt;"","spreads monthly - see Deferred Revenue","WIP "&amp;I199&amp;IF(D199="",""," - "&amp;D199)&amp;IF(F199="",""," "&amp;F199)&amp;IF(H199="",""," - "&amp;H199)))</f>
        <v/>
      </c>
      <c r="T199" s="22" t="n"/>
      <c r="U199" s="22" t="n"/>
      <c r="V199" s="22" t="n"/>
    </row>
    <row r="200" ht="15" customHeight="1">
      <c r="A200" s="72" t="n"/>
      <c r="B200" s="70">
        <f>IF(C200="","",IFERROR(INDEX(tbl_Finance[Date],MATCH(C200&amp;"",tbl_Finance[Xero Invoice No],0)),""))</f>
        <v/>
      </c>
      <c r="C200" s="22" t="n"/>
      <c r="D200" s="22" t="n"/>
      <c r="E200" s="26">
        <f>IF(D200="","",IF(COUNTIF(lst_Jobs,D200&amp;"")&gt;0,"OK","CHECK"))</f>
        <v/>
      </c>
      <c r="F200" s="22" t="n"/>
      <c r="G200" s="22" t="n"/>
      <c r="H200" s="22" t="n"/>
      <c r="I200" s="22" t="n"/>
      <c r="J200" s="22" t="n"/>
      <c r="K200" s="23" t="n"/>
      <c r="L200" s="23" t="n"/>
      <c r="M200" s="26">
        <f>IF(N200="","",IF(OR(K200="",L200=""),"one month",TEXT(MAX(1,(YEAR(L200)-YEAR(K200))*12+MONTH(L200)-MONTH(K200)+1),"0")&amp;" months - see Deferred Revenue"))</f>
        <v/>
      </c>
      <c r="N200" s="24" t="n"/>
      <c r="O200" s="22" t="n"/>
      <c r="P200" s="26">
        <f>IF(N(N200)=0,"",IF(N200&gt;0,set_WIPAsset,IF(J200="Cost",IF(O200="","(set the P&amp;L Account)",O200),IF(O200="",set_WIPIncome,O200))))</f>
        <v/>
      </c>
      <c r="Q200" s="26">
        <f>IF(N(N200)=0,"",IF(N200&gt;0,IF(J200="Cost",IF(O200="","(set the P&amp;L Account)",O200),IF(O200="",set_WIPIncome,O200)),set_WIPAsset))</f>
        <v/>
      </c>
      <c r="R200" s="27">
        <f>IF(OR(N(N200)=0,K200&lt;&gt;""),"",ABS(N200))</f>
        <v/>
      </c>
      <c r="S200" s="26">
        <f>IF(N(N200)=0,"",IF(K200&lt;&gt;"","spreads monthly - see Deferred Revenue","WIP "&amp;I200&amp;IF(D200="",""," - "&amp;D200)&amp;IF(F200="",""," "&amp;F200)&amp;IF(H200="",""," - "&amp;H200)))</f>
        <v/>
      </c>
      <c r="T200" s="22" t="n"/>
      <c r="U200" s="22" t="n"/>
      <c r="V200" s="22" t="n"/>
    </row>
    <row r="201" ht="15" customHeight="1">
      <c r="A201" s="72" t="n"/>
      <c r="B201" s="70">
        <f>IF(C201="","",IFERROR(INDEX(tbl_Finance[Date],MATCH(C201&amp;"",tbl_Finance[Xero Invoice No],0)),""))</f>
        <v/>
      </c>
      <c r="C201" s="22" t="n"/>
      <c r="D201" s="22" t="n"/>
      <c r="E201" s="26">
        <f>IF(D201="","",IF(COUNTIF(lst_Jobs,D201&amp;"")&gt;0,"OK","CHECK"))</f>
        <v/>
      </c>
      <c r="F201" s="22" t="n"/>
      <c r="G201" s="22" t="n"/>
      <c r="H201" s="22" t="n"/>
      <c r="I201" s="22" t="n"/>
      <c r="J201" s="22" t="n"/>
      <c r="K201" s="23" t="n"/>
      <c r="L201" s="23" t="n"/>
      <c r="M201" s="26">
        <f>IF(N201="","",IF(OR(K201="",L201=""),"one month",TEXT(MAX(1,(YEAR(L201)-YEAR(K201))*12+MONTH(L201)-MONTH(K201)+1),"0")&amp;" months - see Deferred Revenue"))</f>
        <v/>
      </c>
      <c r="N201" s="24" t="n"/>
      <c r="O201" s="22" t="n"/>
      <c r="P201" s="26">
        <f>IF(N(N201)=0,"",IF(N201&gt;0,set_WIPAsset,IF(J201="Cost",IF(O201="","(set the P&amp;L Account)",O201),IF(O201="",set_WIPIncome,O201))))</f>
        <v/>
      </c>
      <c r="Q201" s="26">
        <f>IF(N(N201)=0,"",IF(N201&gt;0,IF(J201="Cost",IF(O201="","(set the P&amp;L Account)",O201),IF(O201="",set_WIPIncome,O201)),set_WIPAsset))</f>
        <v/>
      </c>
      <c r="R201" s="27">
        <f>IF(OR(N(N201)=0,K201&lt;&gt;""),"",ABS(N201))</f>
        <v/>
      </c>
      <c r="S201" s="26">
        <f>IF(N(N201)=0,"",IF(K201&lt;&gt;"","spreads monthly - see Deferred Revenue","WIP "&amp;I201&amp;IF(D201="",""," - "&amp;D201)&amp;IF(F201="",""," "&amp;F201)&amp;IF(H201="",""," - "&amp;H201)))</f>
        <v/>
      </c>
      <c r="T201" s="22" t="n"/>
      <c r="U201" s="22" t="n"/>
      <c r="V201" s="22" t="n"/>
    </row>
    <row r="202" ht="15" customHeight="1">
      <c r="A202" s="72" t="n"/>
      <c r="B202" s="70">
        <f>IF(C202="","",IFERROR(INDEX(tbl_Finance[Date],MATCH(C202&amp;"",tbl_Finance[Xero Invoice No],0)),""))</f>
        <v/>
      </c>
      <c r="C202" s="22" t="n"/>
      <c r="D202" s="22" t="n"/>
      <c r="E202" s="26">
        <f>IF(D202="","",IF(COUNTIF(lst_Jobs,D202&amp;"")&gt;0,"OK","CHECK"))</f>
        <v/>
      </c>
      <c r="F202" s="22" t="n"/>
      <c r="G202" s="22" t="n"/>
      <c r="H202" s="22" t="n"/>
      <c r="I202" s="22" t="n"/>
      <c r="J202" s="22" t="n"/>
      <c r="K202" s="23" t="n"/>
      <c r="L202" s="23" t="n"/>
      <c r="M202" s="26">
        <f>IF(N202="","",IF(OR(K202="",L202=""),"one month",TEXT(MAX(1,(YEAR(L202)-YEAR(K202))*12+MONTH(L202)-MONTH(K202)+1),"0")&amp;" months - see Deferred Revenue"))</f>
        <v/>
      </c>
      <c r="N202" s="24" t="n"/>
      <c r="O202" s="22" t="n"/>
      <c r="P202" s="26">
        <f>IF(N(N202)=0,"",IF(N202&gt;0,set_WIPAsset,IF(J202="Cost",IF(O202="","(set the P&amp;L Account)",O202),IF(O202="",set_WIPIncome,O202))))</f>
        <v/>
      </c>
      <c r="Q202" s="26">
        <f>IF(N(N202)=0,"",IF(N202&gt;0,IF(J202="Cost",IF(O202="","(set the P&amp;L Account)",O202),IF(O202="",set_WIPIncome,O202)),set_WIPAsset))</f>
        <v/>
      </c>
      <c r="R202" s="27">
        <f>IF(OR(N(N202)=0,K202&lt;&gt;""),"",ABS(N202))</f>
        <v/>
      </c>
      <c r="S202" s="26">
        <f>IF(N(N202)=0,"",IF(K202&lt;&gt;"","spreads monthly - see Deferred Revenue","WIP "&amp;I202&amp;IF(D202="",""," - "&amp;D202)&amp;IF(F202="",""," "&amp;F202)&amp;IF(H202="",""," - "&amp;H202)))</f>
        <v/>
      </c>
      <c r="T202" s="22" t="n"/>
      <c r="U202" s="22" t="n"/>
      <c r="V202" s="22" t="n"/>
    </row>
    <row r="203" ht="15" customHeight="1">
      <c r="A203" s="72" t="n"/>
      <c r="B203" s="70">
        <f>IF(C203="","",IFERROR(INDEX(tbl_Finance[Date],MATCH(C203&amp;"",tbl_Finance[Xero Invoice No],0)),""))</f>
        <v/>
      </c>
      <c r="C203" s="22" t="n"/>
      <c r="D203" s="22" t="n"/>
      <c r="E203" s="26">
        <f>IF(D203="","",IF(COUNTIF(lst_Jobs,D203&amp;"")&gt;0,"OK","CHECK"))</f>
        <v/>
      </c>
      <c r="F203" s="22" t="n"/>
      <c r="G203" s="22" t="n"/>
      <c r="H203" s="22" t="n"/>
      <c r="I203" s="22" t="n"/>
      <c r="J203" s="22" t="n"/>
      <c r="K203" s="23" t="n"/>
      <c r="L203" s="23" t="n"/>
      <c r="M203" s="26">
        <f>IF(N203="","",IF(OR(K203="",L203=""),"one month",TEXT(MAX(1,(YEAR(L203)-YEAR(K203))*12+MONTH(L203)-MONTH(K203)+1),"0")&amp;" months - see Deferred Revenue"))</f>
        <v/>
      </c>
      <c r="N203" s="24" t="n"/>
      <c r="O203" s="22" t="n"/>
      <c r="P203" s="26">
        <f>IF(N(N203)=0,"",IF(N203&gt;0,set_WIPAsset,IF(J203="Cost",IF(O203="","(set the P&amp;L Account)",O203),IF(O203="",set_WIPIncome,O203))))</f>
        <v/>
      </c>
      <c r="Q203" s="26">
        <f>IF(N(N203)=0,"",IF(N203&gt;0,IF(J203="Cost",IF(O203="","(set the P&amp;L Account)",O203),IF(O203="",set_WIPIncome,O203)),set_WIPAsset))</f>
        <v/>
      </c>
      <c r="R203" s="27">
        <f>IF(OR(N(N203)=0,K203&lt;&gt;""),"",ABS(N203))</f>
        <v/>
      </c>
      <c r="S203" s="26">
        <f>IF(N(N203)=0,"",IF(K203&lt;&gt;"","spreads monthly - see Deferred Revenue","WIP "&amp;I203&amp;IF(D203="",""," - "&amp;D203)&amp;IF(F203="",""," "&amp;F203)&amp;IF(H203="",""," - "&amp;H203)))</f>
        <v/>
      </c>
      <c r="T203" s="22" t="n"/>
      <c r="U203" s="22" t="n"/>
      <c r="V203" s="22" t="n"/>
    </row>
    <row r="204" ht="15" customHeight="1">
      <c r="A204" s="72" t="n"/>
      <c r="B204" s="70">
        <f>IF(C204="","",IFERROR(INDEX(tbl_Finance[Date],MATCH(C204&amp;"",tbl_Finance[Xero Invoice No],0)),""))</f>
        <v/>
      </c>
      <c r="C204" s="22" t="n"/>
      <c r="D204" s="22" t="n"/>
      <c r="E204" s="26">
        <f>IF(D204="","",IF(COUNTIF(lst_Jobs,D204&amp;"")&gt;0,"OK","CHECK"))</f>
        <v/>
      </c>
      <c r="F204" s="22" t="n"/>
      <c r="G204" s="22" t="n"/>
      <c r="H204" s="22" t="n"/>
      <c r="I204" s="22" t="n"/>
      <c r="J204" s="22" t="n"/>
      <c r="K204" s="23" t="n"/>
      <c r="L204" s="23" t="n"/>
      <c r="M204" s="26">
        <f>IF(N204="","",IF(OR(K204="",L204=""),"one month",TEXT(MAX(1,(YEAR(L204)-YEAR(K204))*12+MONTH(L204)-MONTH(K204)+1),"0")&amp;" months - see Deferred Revenue"))</f>
        <v/>
      </c>
      <c r="N204" s="24" t="n"/>
      <c r="O204" s="22" t="n"/>
      <c r="P204" s="26">
        <f>IF(N(N204)=0,"",IF(N204&gt;0,set_WIPAsset,IF(J204="Cost",IF(O204="","(set the P&amp;L Account)",O204),IF(O204="",set_WIPIncome,O204))))</f>
        <v/>
      </c>
      <c r="Q204" s="26">
        <f>IF(N(N204)=0,"",IF(N204&gt;0,IF(J204="Cost",IF(O204="","(set the P&amp;L Account)",O204),IF(O204="",set_WIPIncome,O204)),set_WIPAsset))</f>
        <v/>
      </c>
      <c r="R204" s="27">
        <f>IF(OR(N(N204)=0,K204&lt;&gt;""),"",ABS(N204))</f>
        <v/>
      </c>
      <c r="S204" s="26">
        <f>IF(N(N204)=0,"",IF(K204&lt;&gt;"","spreads monthly - see Deferred Revenue","WIP "&amp;I204&amp;IF(D204="",""," - "&amp;D204)&amp;IF(F204="",""," "&amp;F204)&amp;IF(H204="",""," - "&amp;H204)))</f>
        <v/>
      </c>
      <c r="T204" s="22" t="n"/>
      <c r="U204" s="22" t="n"/>
      <c r="V204" s="22"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"&amp;"On the Finance Sheet  "&amp;TEXT(SUBTOTAL(109,tbl_Won[On the Finance Sheet]),"$#,##0.00")&amp;"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On the Finance Sheet</t>
        </is>
      </c>
      <c r="N4" s="21" t="inlineStr">
        <is>
          <t>Still to Invoice</t>
        </is>
      </c>
      <c r="O4" s="20" t="inlineStr">
        <is>
          <t>Notes</t>
        </is>
      </c>
    </row>
    <row r="5" ht="15" customHeight="1">
      <c r="A5" s="72" t="n"/>
      <c r="B5" s="22" t="n"/>
      <c r="C5" s="22" t="n"/>
      <c r="D5" s="22" t="n"/>
      <c r="E5" s="22" t="n"/>
      <c r="F5" s="26">
        <f>IF(E5="","",IF(COUNTIF(lst_Jobs,E5&amp;"")&gt;0,"OK","CHECK"))</f>
        <v/>
      </c>
      <c r="G5" s="22" t="n"/>
      <c r="H5" s="22" t="n"/>
      <c r="I5" s="24" t="n"/>
      <c r="J5" s="22" t="n"/>
      <c r="K5" s="23" t="n"/>
      <c r="L5" s="72" t="n"/>
      <c r="M5" s="27">
        <f>IF(E5="","",SUMIFS(tbl_Finance[Ex GST],tbl_Finance[Job Number],E5&amp;""))</f>
        <v/>
      </c>
      <c r="N5" s="27">
        <f>IF(J5&lt;&gt;"Won","",IF(E5="",N(I5),I5-M5))</f>
        <v/>
      </c>
      <c r="O5" s="22" t="n"/>
    </row>
    <row r="6" ht="15" customHeight="1">
      <c r="A6" s="72" t="n"/>
      <c r="B6" s="22" t="n"/>
      <c r="C6" s="22" t="n"/>
      <c r="D6" s="22" t="n"/>
      <c r="E6" s="22" t="n"/>
      <c r="F6" s="26">
        <f>IF(E6="","",IF(COUNTIF(lst_Jobs,E6&amp;"")&gt;0,"OK","CHECK"))</f>
        <v/>
      </c>
      <c r="G6" s="22" t="n"/>
      <c r="H6" s="22" t="n"/>
      <c r="I6" s="24" t="n"/>
      <c r="J6" s="22" t="n"/>
      <c r="K6" s="23" t="n"/>
      <c r="L6" s="72" t="n"/>
      <c r="M6" s="27">
        <f>IF(E6="","",SUMIFS(tbl_Finance[Ex GST],tbl_Finance[Job Number],E6&amp;""))</f>
        <v/>
      </c>
      <c r="N6" s="27">
        <f>IF(J6&lt;&gt;"Won","",IF(E6="",N(I6),I6-M6))</f>
        <v/>
      </c>
      <c r="O6" s="22" t="n"/>
    </row>
    <row r="7" ht="15" customHeight="1">
      <c r="A7" s="72" t="n"/>
      <c r="B7" s="22" t="n"/>
      <c r="C7" s="22" t="n"/>
      <c r="D7" s="22" t="n"/>
      <c r="E7" s="22" t="n"/>
      <c r="F7" s="26">
        <f>IF(E7="","",IF(COUNTIF(lst_Jobs,E7&amp;"")&gt;0,"OK","CHECK"))</f>
        <v/>
      </c>
      <c r="G7" s="22" t="n"/>
      <c r="H7" s="22" t="n"/>
      <c r="I7" s="24" t="n"/>
      <c r="J7" s="22" t="n"/>
      <c r="K7" s="23" t="n"/>
      <c r="L7" s="72" t="n"/>
      <c r="M7" s="27">
        <f>IF(E7="","",SUMIFS(tbl_Finance[Ex GST],tbl_Finance[Job Number],E7&amp;""))</f>
        <v/>
      </c>
      <c r="N7" s="27">
        <f>IF(J7&lt;&gt;"Won","",IF(E7="",N(I7),I7-M7))</f>
        <v/>
      </c>
      <c r="O7" s="22" t="n"/>
    </row>
    <row r="8" ht="15" customHeight="1">
      <c r="A8" s="72" t="n"/>
      <c r="B8" s="22" t="n"/>
      <c r="C8" s="22" t="n"/>
      <c r="D8" s="22" t="n"/>
      <c r="E8" s="22" t="n"/>
      <c r="F8" s="26">
        <f>IF(E8="","",IF(COUNTIF(lst_Jobs,E8&amp;"")&gt;0,"OK","CHECK"))</f>
        <v/>
      </c>
      <c r="G8" s="22" t="n"/>
      <c r="H8" s="22" t="n"/>
      <c r="I8" s="24" t="n"/>
      <c r="J8" s="22" t="n"/>
      <c r="K8" s="23" t="n"/>
      <c r="L8" s="72" t="n"/>
      <c r="M8" s="27">
        <f>IF(E8="","",SUMIFS(tbl_Finance[Ex GST],tbl_Finance[Job Number],E8&amp;""))</f>
        <v/>
      </c>
      <c r="N8" s="27">
        <f>IF(J8&lt;&gt;"Won","",IF(E8="",N(I8),I8-M8))</f>
        <v/>
      </c>
      <c r="O8" s="22" t="n"/>
    </row>
    <row r="9" ht="15" customHeight="1">
      <c r="A9" s="72" t="n"/>
      <c r="B9" s="22" t="n"/>
      <c r="C9" s="22" t="n"/>
      <c r="D9" s="22" t="n"/>
      <c r="E9" s="22" t="n"/>
      <c r="F9" s="26">
        <f>IF(E9="","",IF(COUNTIF(lst_Jobs,E9&amp;"")&gt;0,"OK","CHECK"))</f>
        <v/>
      </c>
      <c r="G9" s="22" t="n"/>
      <c r="H9" s="22" t="n"/>
      <c r="I9" s="24" t="n"/>
      <c r="J9" s="22" t="n"/>
      <c r="K9" s="23" t="n"/>
      <c r="L9" s="72" t="n"/>
      <c r="M9" s="27">
        <f>IF(E9="","",SUMIFS(tbl_Finance[Ex GST],tbl_Finance[Job Number],E9&amp;""))</f>
        <v/>
      </c>
      <c r="N9" s="27">
        <f>IF(J9&lt;&gt;"Won","",IF(E9="",N(I9),I9-M9))</f>
        <v/>
      </c>
      <c r="O9" s="22" t="n"/>
    </row>
    <row r="10" ht="15" customHeight="1">
      <c r="A10" s="72" t="n"/>
      <c r="B10" s="22" t="n"/>
      <c r="C10" s="22" t="n"/>
      <c r="D10" s="22" t="n"/>
      <c r="E10" s="22" t="n"/>
      <c r="F10" s="26">
        <f>IF(E10="","",IF(COUNTIF(lst_Jobs,E10&amp;"")&gt;0,"OK","CHECK"))</f>
        <v/>
      </c>
      <c r="G10" s="22" t="n"/>
      <c r="H10" s="22" t="n"/>
      <c r="I10" s="24" t="n"/>
      <c r="J10" s="22" t="n"/>
      <c r="K10" s="23" t="n"/>
      <c r="L10" s="72" t="n"/>
      <c r="M10" s="27">
        <f>IF(E10="","",SUMIFS(tbl_Finance[Ex GST],tbl_Finance[Job Number],E10&amp;""))</f>
        <v/>
      </c>
      <c r="N10" s="27">
        <f>IF(J10&lt;&gt;"Won","",IF(E10="",N(I10),I10-M10))</f>
        <v/>
      </c>
      <c r="O10" s="22" t="n"/>
    </row>
    <row r="11" ht="15" customHeight="1">
      <c r="A11" s="72" t="n"/>
      <c r="B11" s="22" t="n"/>
      <c r="C11" s="22" t="n"/>
      <c r="D11" s="22" t="n"/>
      <c r="E11" s="22" t="n"/>
      <c r="F11" s="26">
        <f>IF(E11="","",IF(COUNTIF(lst_Jobs,E11&amp;"")&gt;0,"OK","CHECK"))</f>
        <v/>
      </c>
      <c r="G11" s="22" t="n"/>
      <c r="H11" s="22" t="n"/>
      <c r="I11" s="24" t="n"/>
      <c r="J11" s="22" t="n"/>
      <c r="K11" s="23" t="n"/>
      <c r="L11" s="72" t="n"/>
      <c r="M11" s="27">
        <f>IF(E11="","",SUMIFS(tbl_Finance[Ex GST],tbl_Finance[Job Number],E11&amp;""))</f>
        <v/>
      </c>
      <c r="N11" s="27">
        <f>IF(J11&lt;&gt;"Won","",IF(E11="",N(I11),I11-M11))</f>
        <v/>
      </c>
      <c r="O11" s="22" t="n"/>
    </row>
    <row r="12" ht="15" customHeight="1">
      <c r="A12" s="72" t="n"/>
      <c r="B12" s="22" t="n"/>
      <c r="C12" s="22" t="n"/>
      <c r="D12" s="22" t="n"/>
      <c r="E12" s="22" t="n"/>
      <c r="F12" s="26">
        <f>IF(E12="","",IF(COUNTIF(lst_Jobs,E12&amp;"")&gt;0,"OK","CHECK"))</f>
        <v/>
      </c>
      <c r="G12" s="22" t="n"/>
      <c r="H12" s="22" t="n"/>
      <c r="I12" s="24" t="n"/>
      <c r="J12" s="22" t="n"/>
      <c r="K12" s="23" t="n"/>
      <c r="L12" s="72" t="n"/>
      <c r="M12" s="27">
        <f>IF(E12="","",SUMIFS(tbl_Finance[Ex GST],tbl_Finance[Job Number],E12&amp;""))</f>
        <v/>
      </c>
      <c r="N12" s="27">
        <f>IF(J12&lt;&gt;"Won","",IF(E12="",N(I12),I12-M12))</f>
        <v/>
      </c>
      <c r="O12" s="22" t="n"/>
    </row>
    <row r="13" ht="15" customHeight="1">
      <c r="A13" s="72" t="n"/>
      <c r="B13" s="22" t="n"/>
      <c r="C13" s="22" t="n"/>
      <c r="D13" s="22" t="n"/>
      <c r="E13" s="22" t="n"/>
      <c r="F13" s="26">
        <f>IF(E13="","",IF(COUNTIF(lst_Jobs,E13&amp;"")&gt;0,"OK","CHECK"))</f>
        <v/>
      </c>
      <c r="G13" s="22" t="n"/>
      <c r="H13" s="22" t="n"/>
      <c r="I13" s="24" t="n"/>
      <c r="J13" s="22" t="n"/>
      <c r="K13" s="23" t="n"/>
      <c r="L13" s="72" t="n"/>
      <c r="M13" s="27">
        <f>IF(E13="","",SUMIFS(tbl_Finance[Ex GST],tbl_Finance[Job Number],E13&amp;""))</f>
        <v/>
      </c>
      <c r="N13" s="27">
        <f>IF(J13&lt;&gt;"Won","",IF(E13="",N(I13),I13-M13))</f>
        <v/>
      </c>
      <c r="O13" s="22" t="n"/>
    </row>
    <row r="14" ht="15" customHeight="1">
      <c r="A14" s="72" t="n"/>
      <c r="B14" s="22" t="n"/>
      <c r="C14" s="22" t="n"/>
      <c r="D14" s="22" t="n"/>
      <c r="E14" s="22" t="n"/>
      <c r="F14" s="26">
        <f>IF(E14="","",IF(COUNTIF(lst_Jobs,E14&amp;"")&gt;0,"OK","CHECK"))</f>
        <v/>
      </c>
      <c r="G14" s="22" t="n"/>
      <c r="H14" s="22" t="n"/>
      <c r="I14" s="24" t="n"/>
      <c r="J14" s="22" t="n"/>
      <c r="K14" s="23" t="n"/>
      <c r="L14" s="72" t="n"/>
      <c r="M14" s="27">
        <f>IF(E14="","",SUMIFS(tbl_Finance[Ex GST],tbl_Finance[Job Number],E14&amp;""))</f>
        <v/>
      </c>
      <c r="N14" s="27">
        <f>IF(J14&lt;&gt;"Won","",IF(E14="",N(I14),I14-M14))</f>
        <v/>
      </c>
      <c r="O14" s="22" t="n"/>
    </row>
    <row r="15" ht="15" customHeight="1">
      <c r="A15" s="72" t="n"/>
      <c r="B15" s="22" t="n"/>
      <c r="C15" s="22" t="n"/>
      <c r="D15" s="22" t="n"/>
      <c r="E15" s="22" t="n"/>
      <c r="F15" s="26">
        <f>IF(E15="","",IF(COUNTIF(lst_Jobs,E15&amp;"")&gt;0,"OK","CHECK"))</f>
        <v/>
      </c>
      <c r="G15" s="22" t="n"/>
      <c r="H15" s="22" t="n"/>
      <c r="I15" s="24" t="n"/>
      <c r="J15" s="22" t="n"/>
      <c r="K15" s="23" t="n"/>
      <c r="L15" s="72" t="n"/>
      <c r="M15" s="27">
        <f>IF(E15="","",SUMIFS(tbl_Finance[Ex GST],tbl_Finance[Job Number],E15&amp;""))</f>
        <v/>
      </c>
      <c r="N15" s="27">
        <f>IF(J15&lt;&gt;"Won","",IF(E15="",N(I15),I15-M15))</f>
        <v/>
      </c>
      <c r="O15" s="22" t="n"/>
    </row>
    <row r="16" ht="15" customHeight="1">
      <c r="A16" s="72" t="n"/>
      <c r="B16" s="22" t="n"/>
      <c r="C16" s="22" t="n"/>
      <c r="D16" s="22" t="n"/>
      <c r="E16" s="22" t="n"/>
      <c r="F16" s="26">
        <f>IF(E16="","",IF(COUNTIF(lst_Jobs,E16&amp;"")&gt;0,"OK","CHECK"))</f>
        <v/>
      </c>
      <c r="G16" s="22" t="n"/>
      <c r="H16" s="22" t="n"/>
      <c r="I16" s="24" t="n"/>
      <c r="J16" s="22" t="n"/>
      <c r="K16" s="23" t="n"/>
      <c r="L16" s="72" t="n"/>
      <c r="M16" s="27">
        <f>IF(E16="","",SUMIFS(tbl_Finance[Ex GST],tbl_Finance[Job Number],E16&amp;""))</f>
        <v/>
      </c>
      <c r="N16" s="27">
        <f>IF(J16&lt;&gt;"Won","",IF(E16="",N(I16),I16-M16))</f>
        <v/>
      </c>
      <c r="O16" s="22" t="n"/>
    </row>
    <row r="17" ht="15" customHeight="1">
      <c r="A17" s="72" t="n"/>
      <c r="B17" s="22" t="n"/>
      <c r="C17" s="22" t="n"/>
      <c r="D17" s="22" t="n"/>
      <c r="E17" s="22" t="n"/>
      <c r="F17" s="26">
        <f>IF(E17="","",IF(COUNTIF(lst_Jobs,E17&amp;"")&gt;0,"OK","CHECK"))</f>
        <v/>
      </c>
      <c r="G17" s="22" t="n"/>
      <c r="H17" s="22" t="n"/>
      <c r="I17" s="24" t="n"/>
      <c r="J17" s="22" t="n"/>
      <c r="K17" s="23" t="n"/>
      <c r="L17" s="72" t="n"/>
      <c r="M17" s="27">
        <f>IF(E17="","",SUMIFS(tbl_Finance[Ex GST],tbl_Finance[Job Number],E17&amp;""))</f>
        <v/>
      </c>
      <c r="N17" s="27">
        <f>IF(J17&lt;&gt;"Won","",IF(E17="",N(I17),I17-M17))</f>
        <v/>
      </c>
      <c r="O17" s="22" t="n"/>
    </row>
    <row r="18" ht="15" customHeight="1">
      <c r="A18" s="72" t="n"/>
      <c r="B18" s="22" t="n"/>
      <c r="C18" s="22" t="n"/>
      <c r="D18" s="22" t="n"/>
      <c r="E18" s="22" t="n"/>
      <c r="F18" s="26">
        <f>IF(E18="","",IF(COUNTIF(lst_Jobs,E18&amp;"")&gt;0,"OK","CHECK"))</f>
        <v/>
      </c>
      <c r="G18" s="22" t="n"/>
      <c r="H18" s="22" t="n"/>
      <c r="I18" s="24" t="n"/>
      <c r="J18" s="22" t="n"/>
      <c r="K18" s="23" t="n"/>
      <c r="L18" s="72" t="n"/>
      <c r="M18" s="27">
        <f>IF(E18="","",SUMIFS(tbl_Finance[Ex GST],tbl_Finance[Job Number],E18&amp;""))</f>
        <v/>
      </c>
      <c r="N18" s="27">
        <f>IF(J18&lt;&gt;"Won","",IF(E18="",N(I18),I18-M18))</f>
        <v/>
      </c>
      <c r="O18" s="22" t="n"/>
    </row>
    <row r="19" ht="15" customHeight="1">
      <c r="A19" s="72" t="n"/>
      <c r="B19" s="22" t="n"/>
      <c r="C19" s="22" t="n"/>
      <c r="D19" s="22" t="n"/>
      <c r="E19" s="22" t="n"/>
      <c r="F19" s="26">
        <f>IF(E19="","",IF(COUNTIF(lst_Jobs,E19&amp;"")&gt;0,"OK","CHECK"))</f>
        <v/>
      </c>
      <c r="G19" s="22" t="n"/>
      <c r="H19" s="22" t="n"/>
      <c r="I19" s="24" t="n"/>
      <c r="J19" s="22" t="n"/>
      <c r="K19" s="23" t="n"/>
      <c r="L19" s="72" t="n"/>
      <c r="M19" s="27">
        <f>IF(E19="","",SUMIFS(tbl_Finance[Ex GST],tbl_Finance[Job Number],E19&amp;""))</f>
        <v/>
      </c>
      <c r="N19" s="27">
        <f>IF(J19&lt;&gt;"Won","",IF(E19="",N(I19),I19-M19))</f>
        <v/>
      </c>
      <c r="O19" s="22" t="n"/>
    </row>
    <row r="20" ht="15" customHeight="1">
      <c r="A20" s="72" t="n"/>
      <c r="B20" s="22" t="n"/>
      <c r="C20" s="22" t="n"/>
      <c r="D20" s="22" t="n"/>
      <c r="E20" s="22" t="n"/>
      <c r="F20" s="26">
        <f>IF(E20="","",IF(COUNTIF(lst_Jobs,E20&amp;"")&gt;0,"OK","CHECK"))</f>
        <v/>
      </c>
      <c r="G20" s="22" t="n"/>
      <c r="H20" s="22" t="n"/>
      <c r="I20" s="24" t="n"/>
      <c r="J20" s="22" t="n"/>
      <c r="K20" s="23" t="n"/>
      <c r="L20" s="72" t="n"/>
      <c r="M20" s="27">
        <f>IF(E20="","",SUMIFS(tbl_Finance[Ex GST],tbl_Finance[Job Number],E20&amp;""))</f>
        <v/>
      </c>
      <c r="N20" s="27">
        <f>IF(J20&lt;&gt;"Won","",IF(E20="",N(I20),I20-M20))</f>
        <v/>
      </c>
      <c r="O20" s="22" t="n"/>
    </row>
    <row r="21" ht="15" customHeight="1">
      <c r="A21" s="72" t="n"/>
      <c r="B21" s="22" t="n"/>
      <c r="C21" s="22" t="n"/>
      <c r="D21" s="22" t="n"/>
      <c r="E21" s="22" t="n"/>
      <c r="F21" s="26">
        <f>IF(E21="","",IF(COUNTIF(lst_Jobs,E21&amp;"")&gt;0,"OK","CHECK"))</f>
        <v/>
      </c>
      <c r="G21" s="22" t="n"/>
      <c r="H21" s="22" t="n"/>
      <c r="I21" s="24" t="n"/>
      <c r="J21" s="22" t="n"/>
      <c r="K21" s="23" t="n"/>
      <c r="L21" s="72" t="n"/>
      <c r="M21" s="27">
        <f>IF(E21="","",SUMIFS(tbl_Finance[Ex GST],tbl_Finance[Job Number],E21&amp;""))</f>
        <v/>
      </c>
      <c r="N21" s="27">
        <f>IF(J21&lt;&gt;"Won","",IF(E21="",N(I21),I21-M21))</f>
        <v/>
      </c>
      <c r="O21" s="22" t="n"/>
    </row>
    <row r="22" ht="15" customHeight="1">
      <c r="A22" s="72" t="n"/>
      <c r="B22" s="22" t="n"/>
      <c r="C22" s="22" t="n"/>
      <c r="D22" s="22" t="n"/>
      <c r="E22" s="22" t="n"/>
      <c r="F22" s="26">
        <f>IF(E22="","",IF(COUNTIF(lst_Jobs,E22&amp;"")&gt;0,"OK","CHECK"))</f>
        <v/>
      </c>
      <c r="G22" s="22" t="n"/>
      <c r="H22" s="22" t="n"/>
      <c r="I22" s="24" t="n"/>
      <c r="J22" s="22" t="n"/>
      <c r="K22" s="23" t="n"/>
      <c r="L22" s="72" t="n"/>
      <c r="M22" s="27">
        <f>IF(E22="","",SUMIFS(tbl_Finance[Ex GST],tbl_Finance[Job Number],E22&amp;""))</f>
        <v/>
      </c>
      <c r="N22" s="27">
        <f>IF(J22&lt;&gt;"Won","",IF(E22="",N(I22),I22-M22))</f>
        <v/>
      </c>
      <c r="O22" s="22" t="n"/>
    </row>
    <row r="23" ht="15" customHeight="1">
      <c r="A23" s="72" t="n"/>
      <c r="B23" s="22" t="n"/>
      <c r="C23" s="22" t="n"/>
      <c r="D23" s="22" t="n"/>
      <c r="E23" s="22" t="n"/>
      <c r="F23" s="26">
        <f>IF(E23="","",IF(COUNTIF(lst_Jobs,E23&amp;"")&gt;0,"OK","CHECK"))</f>
        <v/>
      </c>
      <c r="G23" s="22" t="n"/>
      <c r="H23" s="22" t="n"/>
      <c r="I23" s="24" t="n"/>
      <c r="J23" s="22" t="n"/>
      <c r="K23" s="23" t="n"/>
      <c r="L23" s="72" t="n"/>
      <c r="M23" s="27">
        <f>IF(E23="","",SUMIFS(tbl_Finance[Ex GST],tbl_Finance[Job Number],E23&amp;""))</f>
        <v/>
      </c>
      <c r="N23" s="27">
        <f>IF(J23&lt;&gt;"Won","",IF(E23="",N(I23),I23-M23))</f>
        <v/>
      </c>
      <c r="O23" s="22" t="n"/>
    </row>
    <row r="24" ht="15" customHeight="1">
      <c r="A24" s="72" t="n"/>
      <c r="B24" s="22" t="n"/>
      <c r="C24" s="22" t="n"/>
      <c r="D24" s="22" t="n"/>
      <c r="E24" s="22" t="n"/>
      <c r="F24" s="26">
        <f>IF(E24="","",IF(COUNTIF(lst_Jobs,E24&amp;"")&gt;0,"OK","CHECK"))</f>
        <v/>
      </c>
      <c r="G24" s="22" t="n"/>
      <c r="H24" s="22" t="n"/>
      <c r="I24" s="24" t="n"/>
      <c r="J24" s="22" t="n"/>
      <c r="K24" s="23" t="n"/>
      <c r="L24" s="72" t="n"/>
      <c r="M24" s="27">
        <f>IF(E24="","",SUMIFS(tbl_Finance[Ex GST],tbl_Finance[Job Number],E24&amp;""))</f>
        <v/>
      </c>
      <c r="N24" s="27">
        <f>IF(J24&lt;&gt;"Won","",IF(E24="",N(I24),I24-M24))</f>
        <v/>
      </c>
      <c r="O24" s="22" t="n"/>
    </row>
    <row r="25" ht="15" customHeight="1">
      <c r="A25" s="72" t="n"/>
      <c r="B25" s="22" t="n"/>
      <c r="C25" s="22" t="n"/>
      <c r="D25" s="22" t="n"/>
      <c r="E25" s="22" t="n"/>
      <c r="F25" s="26">
        <f>IF(E25="","",IF(COUNTIF(lst_Jobs,E25&amp;"")&gt;0,"OK","CHECK"))</f>
        <v/>
      </c>
      <c r="G25" s="22" t="n"/>
      <c r="H25" s="22" t="n"/>
      <c r="I25" s="24" t="n"/>
      <c r="J25" s="22" t="n"/>
      <c r="K25" s="23" t="n"/>
      <c r="L25" s="72" t="n"/>
      <c r="M25" s="27">
        <f>IF(E25="","",SUMIFS(tbl_Finance[Ex GST],tbl_Finance[Job Number],E25&amp;""))</f>
        <v/>
      </c>
      <c r="N25" s="27">
        <f>IF(J25&lt;&gt;"Won","",IF(E25="",N(I25),I25-M25))</f>
        <v/>
      </c>
      <c r="O25" s="22" t="n"/>
    </row>
    <row r="26" ht="15" customHeight="1">
      <c r="A26" s="72" t="n"/>
      <c r="B26" s="22" t="n"/>
      <c r="C26" s="22" t="n"/>
      <c r="D26" s="22" t="n"/>
      <c r="E26" s="22" t="n"/>
      <c r="F26" s="26">
        <f>IF(E26="","",IF(COUNTIF(lst_Jobs,E26&amp;"")&gt;0,"OK","CHECK"))</f>
        <v/>
      </c>
      <c r="G26" s="22" t="n"/>
      <c r="H26" s="22" t="n"/>
      <c r="I26" s="24" t="n"/>
      <c r="J26" s="22" t="n"/>
      <c r="K26" s="23" t="n"/>
      <c r="L26" s="72" t="n"/>
      <c r="M26" s="27">
        <f>IF(E26="","",SUMIFS(tbl_Finance[Ex GST],tbl_Finance[Job Number],E26&amp;""))</f>
        <v/>
      </c>
      <c r="N26" s="27">
        <f>IF(J26&lt;&gt;"Won","",IF(E26="",N(I26),I26-M26))</f>
        <v/>
      </c>
      <c r="O26" s="22" t="n"/>
    </row>
    <row r="27" ht="15" customHeight="1">
      <c r="A27" s="72" t="n"/>
      <c r="B27" s="22" t="n"/>
      <c r="C27" s="22" t="n"/>
      <c r="D27" s="22" t="n"/>
      <c r="E27" s="22" t="n"/>
      <c r="F27" s="26">
        <f>IF(E27="","",IF(COUNTIF(lst_Jobs,E27&amp;"")&gt;0,"OK","CHECK"))</f>
        <v/>
      </c>
      <c r="G27" s="22" t="n"/>
      <c r="H27" s="22" t="n"/>
      <c r="I27" s="24" t="n"/>
      <c r="J27" s="22" t="n"/>
      <c r="K27" s="23" t="n"/>
      <c r="L27" s="72" t="n"/>
      <c r="M27" s="27">
        <f>IF(E27="","",SUMIFS(tbl_Finance[Ex GST],tbl_Finance[Job Number],E27&amp;""))</f>
        <v/>
      </c>
      <c r="N27" s="27">
        <f>IF(J27&lt;&gt;"Won","",IF(E27="",N(I27),I27-M27))</f>
        <v/>
      </c>
      <c r="O27" s="22" t="n"/>
    </row>
    <row r="28" ht="15" customHeight="1">
      <c r="A28" s="72" t="n"/>
      <c r="B28" s="22" t="n"/>
      <c r="C28" s="22" t="n"/>
      <c r="D28" s="22" t="n"/>
      <c r="E28" s="22" t="n"/>
      <c r="F28" s="26">
        <f>IF(E28="","",IF(COUNTIF(lst_Jobs,E28&amp;"")&gt;0,"OK","CHECK"))</f>
        <v/>
      </c>
      <c r="G28" s="22" t="n"/>
      <c r="H28" s="22" t="n"/>
      <c r="I28" s="24" t="n"/>
      <c r="J28" s="22" t="n"/>
      <c r="K28" s="23" t="n"/>
      <c r="L28" s="72" t="n"/>
      <c r="M28" s="27">
        <f>IF(E28="","",SUMIFS(tbl_Finance[Ex GST],tbl_Finance[Job Number],E28&amp;""))</f>
        <v/>
      </c>
      <c r="N28" s="27">
        <f>IF(J28&lt;&gt;"Won","",IF(E28="",N(I28),I28-M28))</f>
        <v/>
      </c>
      <c r="O28" s="22" t="n"/>
    </row>
    <row r="29" ht="15" customHeight="1">
      <c r="A29" s="72" t="n"/>
      <c r="B29" s="22" t="n"/>
      <c r="C29" s="22" t="n"/>
      <c r="D29" s="22" t="n"/>
      <c r="E29" s="22" t="n"/>
      <c r="F29" s="26">
        <f>IF(E29="","",IF(COUNTIF(lst_Jobs,E29&amp;"")&gt;0,"OK","CHECK"))</f>
        <v/>
      </c>
      <c r="G29" s="22" t="n"/>
      <c r="H29" s="22" t="n"/>
      <c r="I29" s="24" t="n"/>
      <c r="J29" s="22" t="n"/>
      <c r="K29" s="23" t="n"/>
      <c r="L29" s="72" t="n"/>
      <c r="M29" s="27">
        <f>IF(E29="","",SUMIFS(tbl_Finance[Ex GST],tbl_Finance[Job Number],E29&amp;""))</f>
        <v/>
      </c>
      <c r="N29" s="27">
        <f>IF(J29&lt;&gt;"Won","",IF(E29="",N(I29),I29-M29))</f>
        <v/>
      </c>
      <c r="O29" s="22" t="n"/>
    </row>
    <row r="30" ht="15" customHeight="1">
      <c r="A30" s="72" t="n"/>
      <c r="B30" s="22" t="n"/>
      <c r="C30" s="22" t="n"/>
      <c r="D30" s="22" t="n"/>
      <c r="E30" s="22" t="n"/>
      <c r="F30" s="26">
        <f>IF(E30="","",IF(COUNTIF(lst_Jobs,E30&amp;"")&gt;0,"OK","CHECK"))</f>
        <v/>
      </c>
      <c r="G30" s="22" t="n"/>
      <c r="H30" s="22" t="n"/>
      <c r="I30" s="24" t="n"/>
      <c r="J30" s="22" t="n"/>
      <c r="K30" s="23" t="n"/>
      <c r="L30" s="72" t="n"/>
      <c r="M30" s="27">
        <f>IF(E30="","",SUMIFS(tbl_Finance[Ex GST],tbl_Finance[Job Number],E30&amp;""))</f>
        <v/>
      </c>
      <c r="N30" s="27">
        <f>IF(J30&lt;&gt;"Won","",IF(E30="",N(I30),I30-M30))</f>
        <v/>
      </c>
      <c r="O30" s="22" t="n"/>
    </row>
    <row r="31" ht="15" customHeight="1">
      <c r="A31" s="72" t="n"/>
      <c r="B31" s="22" t="n"/>
      <c r="C31" s="22" t="n"/>
      <c r="D31" s="22" t="n"/>
      <c r="E31" s="22" t="n"/>
      <c r="F31" s="26">
        <f>IF(E31="","",IF(COUNTIF(lst_Jobs,E31&amp;"")&gt;0,"OK","CHECK"))</f>
        <v/>
      </c>
      <c r="G31" s="22" t="n"/>
      <c r="H31" s="22" t="n"/>
      <c r="I31" s="24" t="n"/>
      <c r="J31" s="22" t="n"/>
      <c r="K31" s="23" t="n"/>
      <c r="L31" s="72" t="n"/>
      <c r="M31" s="27">
        <f>IF(E31="","",SUMIFS(tbl_Finance[Ex GST],tbl_Finance[Job Number],E31&amp;""))</f>
        <v/>
      </c>
      <c r="N31" s="27">
        <f>IF(J31&lt;&gt;"Won","",IF(E31="",N(I31),I31-M31))</f>
        <v/>
      </c>
      <c r="O31" s="22" t="n"/>
    </row>
    <row r="32" ht="15" customHeight="1">
      <c r="A32" s="72" t="n"/>
      <c r="B32" s="22" t="n"/>
      <c r="C32" s="22" t="n"/>
      <c r="D32" s="22" t="n"/>
      <c r="E32" s="22" t="n"/>
      <c r="F32" s="26">
        <f>IF(E32="","",IF(COUNTIF(lst_Jobs,E32&amp;"")&gt;0,"OK","CHECK"))</f>
        <v/>
      </c>
      <c r="G32" s="22" t="n"/>
      <c r="H32" s="22" t="n"/>
      <c r="I32" s="24" t="n"/>
      <c r="J32" s="22" t="n"/>
      <c r="K32" s="23" t="n"/>
      <c r="L32" s="72" t="n"/>
      <c r="M32" s="27">
        <f>IF(E32="","",SUMIFS(tbl_Finance[Ex GST],tbl_Finance[Job Number],E32&amp;""))</f>
        <v/>
      </c>
      <c r="N32" s="27">
        <f>IF(J32&lt;&gt;"Won","",IF(E32="",N(I32),I32-M32))</f>
        <v/>
      </c>
      <c r="O32" s="22" t="n"/>
    </row>
    <row r="33" ht="15" customHeight="1">
      <c r="A33" s="72" t="n"/>
      <c r="B33" s="22" t="n"/>
      <c r="C33" s="22" t="n"/>
      <c r="D33" s="22" t="n"/>
      <c r="E33" s="22" t="n"/>
      <c r="F33" s="26">
        <f>IF(E33="","",IF(COUNTIF(lst_Jobs,E33&amp;"")&gt;0,"OK","CHECK"))</f>
        <v/>
      </c>
      <c r="G33" s="22" t="n"/>
      <c r="H33" s="22" t="n"/>
      <c r="I33" s="24" t="n"/>
      <c r="J33" s="22" t="n"/>
      <c r="K33" s="23" t="n"/>
      <c r="L33" s="72" t="n"/>
      <c r="M33" s="27">
        <f>IF(E33="","",SUMIFS(tbl_Finance[Ex GST],tbl_Finance[Job Number],E33&amp;""))</f>
        <v/>
      </c>
      <c r="N33" s="27">
        <f>IF(J33&lt;&gt;"Won","",IF(E33="",N(I33),I33-M33))</f>
        <v/>
      </c>
      <c r="O33" s="22" t="n"/>
    </row>
    <row r="34" ht="15" customHeight="1">
      <c r="A34" s="72" t="n"/>
      <c r="B34" s="22" t="n"/>
      <c r="C34" s="22" t="n"/>
      <c r="D34" s="22" t="n"/>
      <c r="E34" s="22" t="n"/>
      <c r="F34" s="26">
        <f>IF(E34="","",IF(COUNTIF(lst_Jobs,E34&amp;"")&gt;0,"OK","CHECK"))</f>
        <v/>
      </c>
      <c r="G34" s="22" t="n"/>
      <c r="H34" s="22" t="n"/>
      <c r="I34" s="24" t="n"/>
      <c r="J34" s="22" t="n"/>
      <c r="K34" s="23" t="n"/>
      <c r="L34" s="72" t="n"/>
      <c r="M34" s="27">
        <f>IF(E34="","",SUMIFS(tbl_Finance[Ex GST],tbl_Finance[Job Number],E34&amp;""))</f>
        <v/>
      </c>
      <c r="N34" s="27">
        <f>IF(J34&lt;&gt;"Won","",IF(E34="",N(I34),I34-M34))</f>
        <v/>
      </c>
      <c r="O34" s="22" t="n"/>
    </row>
    <row r="35" ht="15" customHeight="1">
      <c r="A35" s="72" t="n"/>
      <c r="B35" s="22" t="n"/>
      <c r="C35" s="22" t="n"/>
      <c r="D35" s="22" t="n"/>
      <c r="E35" s="22" t="n"/>
      <c r="F35" s="26">
        <f>IF(E35="","",IF(COUNTIF(lst_Jobs,E35&amp;"")&gt;0,"OK","CHECK"))</f>
        <v/>
      </c>
      <c r="G35" s="22" t="n"/>
      <c r="H35" s="22" t="n"/>
      <c r="I35" s="24" t="n"/>
      <c r="J35" s="22" t="n"/>
      <c r="K35" s="23" t="n"/>
      <c r="L35" s="72" t="n"/>
      <c r="M35" s="27">
        <f>IF(E35="","",SUMIFS(tbl_Finance[Ex GST],tbl_Finance[Job Number],E35&amp;""))</f>
        <v/>
      </c>
      <c r="N35" s="27">
        <f>IF(J35&lt;&gt;"Won","",IF(E35="",N(I35),I35-M35))</f>
        <v/>
      </c>
      <c r="O35" s="22" t="n"/>
    </row>
    <row r="36" ht="15" customHeight="1">
      <c r="A36" s="72" t="n"/>
      <c r="B36" s="22" t="n"/>
      <c r="C36" s="22" t="n"/>
      <c r="D36" s="22" t="n"/>
      <c r="E36" s="22" t="n"/>
      <c r="F36" s="26">
        <f>IF(E36="","",IF(COUNTIF(lst_Jobs,E36&amp;"")&gt;0,"OK","CHECK"))</f>
        <v/>
      </c>
      <c r="G36" s="22" t="n"/>
      <c r="H36" s="22" t="n"/>
      <c r="I36" s="24" t="n"/>
      <c r="J36" s="22" t="n"/>
      <c r="K36" s="23" t="n"/>
      <c r="L36" s="72" t="n"/>
      <c r="M36" s="27">
        <f>IF(E36="","",SUMIFS(tbl_Finance[Ex GST],tbl_Finance[Job Number],E36&amp;""))</f>
        <v/>
      </c>
      <c r="N36" s="27">
        <f>IF(J36&lt;&gt;"Won","",IF(E36="",N(I36),I36-M36))</f>
        <v/>
      </c>
      <c r="O36" s="22" t="n"/>
    </row>
    <row r="37" ht="15" customHeight="1">
      <c r="A37" s="72" t="n"/>
      <c r="B37" s="22" t="n"/>
      <c r="C37" s="22" t="n"/>
      <c r="D37" s="22" t="n"/>
      <c r="E37" s="22" t="n"/>
      <c r="F37" s="26">
        <f>IF(E37="","",IF(COUNTIF(lst_Jobs,E37&amp;"")&gt;0,"OK","CHECK"))</f>
        <v/>
      </c>
      <c r="G37" s="22" t="n"/>
      <c r="H37" s="22" t="n"/>
      <c r="I37" s="24" t="n"/>
      <c r="J37" s="22" t="n"/>
      <c r="K37" s="23" t="n"/>
      <c r="L37" s="72" t="n"/>
      <c r="M37" s="27">
        <f>IF(E37="","",SUMIFS(tbl_Finance[Ex GST],tbl_Finance[Job Number],E37&amp;""))</f>
        <v/>
      </c>
      <c r="N37" s="27">
        <f>IF(J37&lt;&gt;"Won","",IF(E37="",N(I37),I37-M37))</f>
        <v/>
      </c>
      <c r="O37" s="22" t="n"/>
    </row>
    <row r="38" ht="15" customHeight="1">
      <c r="A38" s="72" t="n"/>
      <c r="B38" s="22" t="n"/>
      <c r="C38" s="22" t="n"/>
      <c r="D38" s="22" t="n"/>
      <c r="E38" s="22" t="n"/>
      <c r="F38" s="26">
        <f>IF(E38="","",IF(COUNTIF(lst_Jobs,E38&amp;"")&gt;0,"OK","CHECK"))</f>
        <v/>
      </c>
      <c r="G38" s="22" t="n"/>
      <c r="H38" s="22" t="n"/>
      <c r="I38" s="24" t="n"/>
      <c r="J38" s="22" t="n"/>
      <c r="K38" s="23" t="n"/>
      <c r="L38" s="72" t="n"/>
      <c r="M38" s="27">
        <f>IF(E38="","",SUMIFS(tbl_Finance[Ex GST],tbl_Finance[Job Number],E38&amp;""))</f>
        <v/>
      </c>
      <c r="N38" s="27">
        <f>IF(J38&lt;&gt;"Won","",IF(E38="",N(I38),I38-M38))</f>
        <v/>
      </c>
      <c r="O38" s="22" t="n"/>
    </row>
    <row r="39" ht="15" customHeight="1">
      <c r="A39" s="72" t="n"/>
      <c r="B39" s="22" t="n"/>
      <c r="C39" s="22" t="n"/>
      <c r="D39" s="22" t="n"/>
      <c r="E39" s="22" t="n"/>
      <c r="F39" s="26">
        <f>IF(E39="","",IF(COUNTIF(lst_Jobs,E39&amp;"")&gt;0,"OK","CHECK"))</f>
        <v/>
      </c>
      <c r="G39" s="22" t="n"/>
      <c r="H39" s="22" t="n"/>
      <c r="I39" s="24" t="n"/>
      <c r="J39" s="22" t="n"/>
      <c r="K39" s="23" t="n"/>
      <c r="L39" s="72" t="n"/>
      <c r="M39" s="27">
        <f>IF(E39="","",SUMIFS(tbl_Finance[Ex GST],tbl_Finance[Job Number],E39&amp;""))</f>
        <v/>
      </c>
      <c r="N39" s="27">
        <f>IF(J39&lt;&gt;"Won","",IF(E39="",N(I39),I39-M39))</f>
        <v/>
      </c>
      <c r="O39" s="22" t="n"/>
    </row>
    <row r="40" ht="15" customHeight="1">
      <c r="A40" s="72" t="n"/>
      <c r="B40" s="22" t="n"/>
      <c r="C40" s="22" t="n"/>
      <c r="D40" s="22" t="n"/>
      <c r="E40" s="22" t="n"/>
      <c r="F40" s="26">
        <f>IF(E40="","",IF(COUNTIF(lst_Jobs,E40&amp;"")&gt;0,"OK","CHECK"))</f>
        <v/>
      </c>
      <c r="G40" s="22" t="n"/>
      <c r="H40" s="22" t="n"/>
      <c r="I40" s="24" t="n"/>
      <c r="J40" s="22" t="n"/>
      <c r="K40" s="23" t="n"/>
      <c r="L40" s="72" t="n"/>
      <c r="M40" s="27">
        <f>IF(E40="","",SUMIFS(tbl_Finance[Ex GST],tbl_Finance[Job Number],E40&amp;""))</f>
        <v/>
      </c>
      <c r="N40" s="27">
        <f>IF(J40&lt;&gt;"Won","",IF(E40="",N(I40),I40-M40))</f>
        <v/>
      </c>
      <c r="O40" s="22" t="n"/>
    </row>
    <row r="41" ht="15" customHeight="1">
      <c r="A41" s="72" t="n"/>
      <c r="B41" s="22" t="n"/>
      <c r="C41" s="22" t="n"/>
      <c r="D41" s="22" t="n"/>
      <c r="E41" s="22" t="n"/>
      <c r="F41" s="26">
        <f>IF(E41="","",IF(COUNTIF(lst_Jobs,E41&amp;"")&gt;0,"OK","CHECK"))</f>
        <v/>
      </c>
      <c r="G41" s="22" t="n"/>
      <c r="H41" s="22" t="n"/>
      <c r="I41" s="24" t="n"/>
      <c r="J41" s="22" t="n"/>
      <c r="K41" s="23" t="n"/>
      <c r="L41" s="72" t="n"/>
      <c r="M41" s="27">
        <f>IF(E41="","",SUMIFS(tbl_Finance[Ex GST],tbl_Finance[Job Number],E41&amp;""))</f>
        <v/>
      </c>
      <c r="N41" s="27">
        <f>IF(J41&lt;&gt;"Won","",IF(E41="",N(I41),I41-M41))</f>
        <v/>
      </c>
      <c r="O41" s="22" t="n"/>
    </row>
    <row r="42" ht="15" customHeight="1">
      <c r="A42" s="72" t="n"/>
      <c r="B42" s="22" t="n"/>
      <c r="C42" s="22" t="n"/>
      <c r="D42" s="22" t="n"/>
      <c r="E42" s="22" t="n"/>
      <c r="F42" s="26">
        <f>IF(E42="","",IF(COUNTIF(lst_Jobs,E42&amp;"")&gt;0,"OK","CHECK"))</f>
        <v/>
      </c>
      <c r="G42" s="22" t="n"/>
      <c r="H42" s="22" t="n"/>
      <c r="I42" s="24" t="n"/>
      <c r="J42" s="22" t="n"/>
      <c r="K42" s="23" t="n"/>
      <c r="L42" s="72" t="n"/>
      <c r="M42" s="27">
        <f>IF(E42="","",SUMIFS(tbl_Finance[Ex GST],tbl_Finance[Job Number],E42&amp;""))</f>
        <v/>
      </c>
      <c r="N42" s="27">
        <f>IF(J42&lt;&gt;"Won","",IF(E42="",N(I42),I42-M42))</f>
        <v/>
      </c>
      <c r="O42" s="22" t="n"/>
    </row>
    <row r="43" ht="15" customHeight="1">
      <c r="A43" s="72" t="n"/>
      <c r="B43" s="22" t="n"/>
      <c r="C43" s="22" t="n"/>
      <c r="D43" s="22" t="n"/>
      <c r="E43" s="22" t="n"/>
      <c r="F43" s="26">
        <f>IF(E43="","",IF(COUNTIF(lst_Jobs,E43&amp;"")&gt;0,"OK","CHECK"))</f>
        <v/>
      </c>
      <c r="G43" s="22" t="n"/>
      <c r="H43" s="22" t="n"/>
      <c r="I43" s="24" t="n"/>
      <c r="J43" s="22" t="n"/>
      <c r="K43" s="23" t="n"/>
      <c r="L43" s="72" t="n"/>
      <c r="M43" s="27">
        <f>IF(E43="","",SUMIFS(tbl_Finance[Ex GST],tbl_Finance[Job Number],E43&amp;""))</f>
        <v/>
      </c>
      <c r="N43" s="27">
        <f>IF(J43&lt;&gt;"Won","",IF(E43="",N(I43),I43-M43))</f>
        <v/>
      </c>
      <c r="O43" s="22" t="n"/>
    </row>
    <row r="44" ht="15" customHeight="1">
      <c r="A44" s="72" t="n"/>
      <c r="B44" s="22" t="n"/>
      <c r="C44" s="22" t="n"/>
      <c r="D44" s="22" t="n"/>
      <c r="E44" s="22" t="n"/>
      <c r="F44" s="26">
        <f>IF(E44="","",IF(COUNTIF(lst_Jobs,E44&amp;"")&gt;0,"OK","CHECK"))</f>
        <v/>
      </c>
      <c r="G44" s="22" t="n"/>
      <c r="H44" s="22" t="n"/>
      <c r="I44" s="24" t="n"/>
      <c r="J44" s="22" t="n"/>
      <c r="K44" s="23" t="n"/>
      <c r="L44" s="72" t="n"/>
      <c r="M44" s="27">
        <f>IF(E44="","",SUMIFS(tbl_Finance[Ex GST],tbl_Finance[Job Number],E44&amp;""))</f>
        <v/>
      </c>
      <c r="N44" s="27">
        <f>IF(J44&lt;&gt;"Won","",IF(E44="",N(I44),I44-M44))</f>
        <v/>
      </c>
      <c r="O44" s="22" t="n"/>
    </row>
    <row r="45" ht="15" customHeight="1">
      <c r="A45" s="72" t="n"/>
      <c r="B45" s="22" t="n"/>
      <c r="C45" s="22" t="n"/>
      <c r="D45" s="22" t="n"/>
      <c r="E45" s="22" t="n"/>
      <c r="F45" s="26">
        <f>IF(E45="","",IF(COUNTIF(lst_Jobs,E45&amp;"")&gt;0,"OK","CHECK"))</f>
        <v/>
      </c>
      <c r="G45" s="22" t="n"/>
      <c r="H45" s="22" t="n"/>
      <c r="I45" s="24" t="n"/>
      <c r="J45" s="22" t="n"/>
      <c r="K45" s="23" t="n"/>
      <c r="L45" s="72" t="n"/>
      <c r="M45" s="27">
        <f>IF(E45="","",SUMIFS(tbl_Finance[Ex GST],tbl_Finance[Job Number],E45&amp;""))</f>
        <v/>
      </c>
      <c r="N45" s="27">
        <f>IF(J45&lt;&gt;"Won","",IF(E45="",N(I45),I45-M45))</f>
        <v/>
      </c>
      <c r="O45" s="22" t="n"/>
    </row>
    <row r="46" ht="15" customHeight="1">
      <c r="A46" s="72" t="n"/>
      <c r="B46" s="22" t="n"/>
      <c r="C46" s="22" t="n"/>
      <c r="D46" s="22" t="n"/>
      <c r="E46" s="22" t="n"/>
      <c r="F46" s="26">
        <f>IF(E46="","",IF(COUNTIF(lst_Jobs,E46&amp;"")&gt;0,"OK","CHECK"))</f>
        <v/>
      </c>
      <c r="G46" s="22" t="n"/>
      <c r="H46" s="22" t="n"/>
      <c r="I46" s="24" t="n"/>
      <c r="J46" s="22" t="n"/>
      <c r="K46" s="23" t="n"/>
      <c r="L46" s="72" t="n"/>
      <c r="M46" s="27">
        <f>IF(E46="","",SUMIFS(tbl_Finance[Ex GST],tbl_Finance[Job Number],E46&amp;""))</f>
        <v/>
      </c>
      <c r="N46" s="27">
        <f>IF(J46&lt;&gt;"Won","",IF(E46="",N(I46),I46-M46))</f>
        <v/>
      </c>
      <c r="O46" s="22" t="n"/>
    </row>
    <row r="47" ht="15" customHeight="1">
      <c r="A47" s="72" t="n"/>
      <c r="B47" s="22" t="n"/>
      <c r="C47" s="22" t="n"/>
      <c r="D47" s="22" t="n"/>
      <c r="E47" s="22" t="n"/>
      <c r="F47" s="26">
        <f>IF(E47="","",IF(COUNTIF(lst_Jobs,E47&amp;"")&gt;0,"OK","CHECK"))</f>
        <v/>
      </c>
      <c r="G47" s="22" t="n"/>
      <c r="H47" s="22" t="n"/>
      <c r="I47" s="24" t="n"/>
      <c r="J47" s="22" t="n"/>
      <c r="K47" s="23" t="n"/>
      <c r="L47" s="72" t="n"/>
      <c r="M47" s="27">
        <f>IF(E47="","",SUMIFS(tbl_Finance[Ex GST],tbl_Finance[Job Number],E47&amp;""))</f>
        <v/>
      </c>
      <c r="N47" s="27">
        <f>IF(J47&lt;&gt;"Won","",IF(E47="",N(I47),I47-M47))</f>
        <v/>
      </c>
      <c r="O47" s="22" t="n"/>
    </row>
    <row r="48" ht="15" customHeight="1">
      <c r="A48" s="72" t="n"/>
      <c r="B48" s="22" t="n"/>
      <c r="C48" s="22" t="n"/>
      <c r="D48" s="22" t="n"/>
      <c r="E48" s="22" t="n"/>
      <c r="F48" s="26">
        <f>IF(E48="","",IF(COUNTIF(lst_Jobs,E48&amp;"")&gt;0,"OK","CHECK"))</f>
        <v/>
      </c>
      <c r="G48" s="22" t="n"/>
      <c r="H48" s="22" t="n"/>
      <c r="I48" s="24" t="n"/>
      <c r="J48" s="22" t="n"/>
      <c r="K48" s="23" t="n"/>
      <c r="L48" s="72" t="n"/>
      <c r="M48" s="27">
        <f>IF(E48="","",SUMIFS(tbl_Finance[Ex GST],tbl_Finance[Job Number],E48&amp;""))</f>
        <v/>
      </c>
      <c r="N48" s="27">
        <f>IF(J48&lt;&gt;"Won","",IF(E48="",N(I48),I48-M48))</f>
        <v/>
      </c>
      <c r="O48" s="22" t="n"/>
    </row>
    <row r="49" ht="15" customHeight="1">
      <c r="A49" s="72" t="n"/>
      <c r="B49" s="22" t="n"/>
      <c r="C49" s="22" t="n"/>
      <c r="D49" s="22" t="n"/>
      <c r="E49" s="22" t="n"/>
      <c r="F49" s="26">
        <f>IF(E49="","",IF(COUNTIF(lst_Jobs,E49&amp;"")&gt;0,"OK","CHECK"))</f>
        <v/>
      </c>
      <c r="G49" s="22" t="n"/>
      <c r="H49" s="22" t="n"/>
      <c r="I49" s="24" t="n"/>
      <c r="J49" s="22" t="n"/>
      <c r="K49" s="23" t="n"/>
      <c r="L49" s="72" t="n"/>
      <c r="M49" s="27">
        <f>IF(E49="","",SUMIFS(tbl_Finance[Ex GST],tbl_Finance[Job Number],E49&amp;""))</f>
        <v/>
      </c>
      <c r="N49" s="27">
        <f>IF(J49&lt;&gt;"Won","",IF(E49="",N(I49),I49-M49))</f>
        <v/>
      </c>
      <c r="O49" s="22" t="n"/>
    </row>
    <row r="50" ht="15" customHeight="1">
      <c r="A50" s="72" t="n"/>
      <c r="B50" s="22" t="n"/>
      <c r="C50" s="22" t="n"/>
      <c r="D50" s="22" t="n"/>
      <c r="E50" s="22" t="n"/>
      <c r="F50" s="26">
        <f>IF(E50="","",IF(COUNTIF(lst_Jobs,E50&amp;"")&gt;0,"OK","CHECK"))</f>
        <v/>
      </c>
      <c r="G50" s="22" t="n"/>
      <c r="H50" s="22" t="n"/>
      <c r="I50" s="24" t="n"/>
      <c r="J50" s="22" t="n"/>
      <c r="K50" s="23" t="n"/>
      <c r="L50" s="72" t="n"/>
      <c r="M50" s="27">
        <f>IF(E50="","",SUMIFS(tbl_Finance[Ex GST],tbl_Finance[Job Number],E50&amp;""))</f>
        <v/>
      </c>
      <c r="N50" s="27">
        <f>IF(J50&lt;&gt;"Won","",IF(E50="",N(I50),I50-M50))</f>
        <v/>
      </c>
      <c r="O50" s="22" t="n"/>
    </row>
    <row r="51" ht="15" customHeight="1">
      <c r="A51" s="72" t="n"/>
      <c r="B51" s="22" t="n"/>
      <c r="C51" s="22" t="n"/>
      <c r="D51" s="22" t="n"/>
      <c r="E51" s="22" t="n"/>
      <c r="F51" s="26">
        <f>IF(E51="","",IF(COUNTIF(lst_Jobs,E51&amp;"")&gt;0,"OK","CHECK"))</f>
        <v/>
      </c>
      <c r="G51" s="22" t="n"/>
      <c r="H51" s="22" t="n"/>
      <c r="I51" s="24" t="n"/>
      <c r="J51" s="22" t="n"/>
      <c r="K51" s="23" t="n"/>
      <c r="L51" s="72" t="n"/>
      <c r="M51" s="27">
        <f>IF(E51="","",SUMIFS(tbl_Finance[Ex GST],tbl_Finance[Job Number],E51&amp;""))</f>
        <v/>
      </c>
      <c r="N51" s="27">
        <f>IF(J51&lt;&gt;"Won","",IF(E51="",N(I51),I51-M51))</f>
        <v/>
      </c>
      <c r="O51" s="22" t="n"/>
    </row>
    <row r="52" ht="15" customHeight="1">
      <c r="A52" s="72" t="n"/>
      <c r="B52" s="22" t="n"/>
      <c r="C52" s="22" t="n"/>
      <c r="D52" s="22" t="n"/>
      <c r="E52" s="22" t="n"/>
      <c r="F52" s="26">
        <f>IF(E52="","",IF(COUNTIF(lst_Jobs,E52&amp;"")&gt;0,"OK","CHECK"))</f>
        <v/>
      </c>
      <c r="G52" s="22" t="n"/>
      <c r="H52" s="22" t="n"/>
      <c r="I52" s="24" t="n"/>
      <c r="J52" s="22" t="n"/>
      <c r="K52" s="23" t="n"/>
      <c r="L52" s="72" t="n"/>
      <c r="M52" s="27">
        <f>IF(E52="","",SUMIFS(tbl_Finance[Ex GST],tbl_Finance[Job Number],E52&amp;""))</f>
        <v/>
      </c>
      <c r="N52" s="27">
        <f>IF(J52&lt;&gt;"Won","",IF(E52="",N(I52),I52-M52))</f>
        <v/>
      </c>
      <c r="O52" s="22" t="n"/>
    </row>
    <row r="53" ht="15" customHeight="1">
      <c r="A53" s="72" t="n"/>
      <c r="B53" s="22" t="n"/>
      <c r="C53" s="22" t="n"/>
      <c r="D53" s="22" t="n"/>
      <c r="E53" s="22" t="n"/>
      <c r="F53" s="26">
        <f>IF(E53="","",IF(COUNTIF(lst_Jobs,E53&amp;"")&gt;0,"OK","CHECK"))</f>
        <v/>
      </c>
      <c r="G53" s="22" t="n"/>
      <c r="H53" s="22" t="n"/>
      <c r="I53" s="24" t="n"/>
      <c r="J53" s="22" t="n"/>
      <c r="K53" s="23" t="n"/>
      <c r="L53" s="72" t="n"/>
      <c r="M53" s="27">
        <f>IF(E53="","",SUMIFS(tbl_Finance[Ex GST],tbl_Finance[Job Number],E53&amp;""))</f>
        <v/>
      </c>
      <c r="N53" s="27">
        <f>IF(J53&lt;&gt;"Won","",IF(E53="",N(I53),I53-M53))</f>
        <v/>
      </c>
      <c r="O53" s="22" t="n"/>
    </row>
    <row r="54" ht="15" customHeight="1">
      <c r="A54" s="72" t="n"/>
      <c r="B54" s="22" t="n"/>
      <c r="C54" s="22" t="n"/>
      <c r="D54" s="22" t="n"/>
      <c r="E54" s="22" t="n"/>
      <c r="F54" s="26">
        <f>IF(E54="","",IF(COUNTIF(lst_Jobs,E54&amp;"")&gt;0,"OK","CHECK"))</f>
        <v/>
      </c>
      <c r="G54" s="22" t="n"/>
      <c r="H54" s="22" t="n"/>
      <c r="I54" s="24" t="n"/>
      <c r="J54" s="22" t="n"/>
      <c r="K54" s="23" t="n"/>
      <c r="L54" s="72" t="n"/>
      <c r="M54" s="27">
        <f>IF(E54="","",SUMIFS(tbl_Finance[Ex GST],tbl_Finance[Job Number],E54&amp;""))</f>
        <v/>
      </c>
      <c r="N54" s="27">
        <f>IF(J54&lt;&gt;"Won","",IF(E54="",N(I54),I54-M54))</f>
        <v/>
      </c>
      <c r="O54" s="22" t="n"/>
    </row>
    <row r="55" ht="15" customHeight="1">
      <c r="A55" s="72" t="n"/>
      <c r="B55" s="22" t="n"/>
      <c r="C55" s="22" t="n"/>
      <c r="D55" s="22" t="n"/>
      <c r="E55" s="22" t="n"/>
      <c r="F55" s="26">
        <f>IF(E55="","",IF(COUNTIF(lst_Jobs,E55&amp;"")&gt;0,"OK","CHECK"))</f>
        <v/>
      </c>
      <c r="G55" s="22" t="n"/>
      <c r="H55" s="22" t="n"/>
      <c r="I55" s="24" t="n"/>
      <c r="J55" s="22" t="n"/>
      <c r="K55" s="23" t="n"/>
      <c r="L55" s="72" t="n"/>
      <c r="M55" s="27">
        <f>IF(E55="","",SUMIFS(tbl_Finance[Ex GST],tbl_Finance[Job Number],E55&amp;""))</f>
        <v/>
      </c>
      <c r="N55" s="27">
        <f>IF(J55&lt;&gt;"Won","",IF(E55="",N(I55),I55-M55))</f>
        <v/>
      </c>
      <c r="O55" s="22" t="n"/>
    </row>
    <row r="56" ht="15" customHeight="1">
      <c r="A56" s="72" t="n"/>
      <c r="B56" s="22" t="n"/>
      <c r="C56" s="22" t="n"/>
      <c r="D56" s="22" t="n"/>
      <c r="E56" s="22" t="n"/>
      <c r="F56" s="26">
        <f>IF(E56="","",IF(COUNTIF(lst_Jobs,E56&amp;"")&gt;0,"OK","CHECK"))</f>
        <v/>
      </c>
      <c r="G56" s="22" t="n"/>
      <c r="H56" s="22" t="n"/>
      <c r="I56" s="24" t="n"/>
      <c r="J56" s="22" t="n"/>
      <c r="K56" s="23" t="n"/>
      <c r="L56" s="72" t="n"/>
      <c r="M56" s="27">
        <f>IF(E56="","",SUMIFS(tbl_Finance[Ex GST],tbl_Finance[Job Number],E56&amp;""))</f>
        <v/>
      </c>
      <c r="N56" s="27">
        <f>IF(J56&lt;&gt;"Won","",IF(E56="",N(I56),I56-M56))</f>
        <v/>
      </c>
      <c r="O56" s="22" t="n"/>
    </row>
    <row r="57" ht="15" customHeight="1">
      <c r="A57" s="72" t="n"/>
      <c r="B57" s="22" t="n"/>
      <c r="C57" s="22" t="n"/>
      <c r="D57" s="22" t="n"/>
      <c r="E57" s="22" t="n"/>
      <c r="F57" s="26">
        <f>IF(E57="","",IF(COUNTIF(lst_Jobs,E57&amp;"")&gt;0,"OK","CHECK"))</f>
        <v/>
      </c>
      <c r="G57" s="22" t="n"/>
      <c r="H57" s="22" t="n"/>
      <c r="I57" s="24" t="n"/>
      <c r="J57" s="22" t="n"/>
      <c r="K57" s="23" t="n"/>
      <c r="L57" s="72" t="n"/>
      <c r="M57" s="27">
        <f>IF(E57="","",SUMIFS(tbl_Finance[Ex GST],tbl_Finance[Job Number],E57&amp;""))</f>
        <v/>
      </c>
      <c r="N57" s="27">
        <f>IF(J57&lt;&gt;"Won","",IF(E57="",N(I57),I57-M57))</f>
        <v/>
      </c>
      <c r="O57" s="22" t="n"/>
    </row>
    <row r="58" ht="15" customHeight="1">
      <c r="A58" s="72" t="n"/>
      <c r="B58" s="22" t="n"/>
      <c r="C58" s="22" t="n"/>
      <c r="D58" s="22" t="n"/>
      <c r="E58" s="22" t="n"/>
      <c r="F58" s="26">
        <f>IF(E58="","",IF(COUNTIF(lst_Jobs,E58&amp;"")&gt;0,"OK","CHECK"))</f>
        <v/>
      </c>
      <c r="G58" s="22" t="n"/>
      <c r="H58" s="22" t="n"/>
      <c r="I58" s="24" t="n"/>
      <c r="J58" s="22" t="n"/>
      <c r="K58" s="23" t="n"/>
      <c r="L58" s="72" t="n"/>
      <c r="M58" s="27">
        <f>IF(E58="","",SUMIFS(tbl_Finance[Ex GST],tbl_Finance[Job Number],E58&amp;""))</f>
        <v/>
      </c>
      <c r="N58" s="27">
        <f>IF(J58&lt;&gt;"Won","",IF(E58="",N(I58),I58-M58))</f>
        <v/>
      </c>
      <c r="O58" s="22" t="n"/>
    </row>
    <row r="59" ht="15" customHeight="1">
      <c r="A59" s="72" t="n"/>
      <c r="B59" s="22" t="n"/>
      <c r="C59" s="22" t="n"/>
      <c r="D59" s="22" t="n"/>
      <c r="E59" s="22" t="n"/>
      <c r="F59" s="26">
        <f>IF(E59="","",IF(COUNTIF(lst_Jobs,E59&amp;"")&gt;0,"OK","CHECK"))</f>
        <v/>
      </c>
      <c r="G59" s="22" t="n"/>
      <c r="H59" s="22" t="n"/>
      <c r="I59" s="24" t="n"/>
      <c r="J59" s="22" t="n"/>
      <c r="K59" s="23" t="n"/>
      <c r="L59" s="72" t="n"/>
      <c r="M59" s="27">
        <f>IF(E59="","",SUMIFS(tbl_Finance[Ex GST],tbl_Finance[Job Number],E59&amp;""))</f>
        <v/>
      </c>
      <c r="N59" s="27">
        <f>IF(J59&lt;&gt;"Won","",IF(E59="",N(I59),I59-M59))</f>
        <v/>
      </c>
      <c r="O59" s="22" t="n"/>
    </row>
    <row r="60" ht="15" customHeight="1">
      <c r="A60" s="72" t="n"/>
      <c r="B60" s="22" t="n"/>
      <c r="C60" s="22" t="n"/>
      <c r="D60" s="22" t="n"/>
      <c r="E60" s="22" t="n"/>
      <c r="F60" s="26">
        <f>IF(E60="","",IF(COUNTIF(lst_Jobs,E60&amp;"")&gt;0,"OK","CHECK"))</f>
        <v/>
      </c>
      <c r="G60" s="22" t="n"/>
      <c r="H60" s="22" t="n"/>
      <c r="I60" s="24" t="n"/>
      <c r="J60" s="22" t="n"/>
      <c r="K60" s="23" t="n"/>
      <c r="L60" s="72" t="n"/>
      <c r="M60" s="27">
        <f>IF(E60="","",SUMIFS(tbl_Finance[Ex GST],tbl_Finance[Job Number],E60&amp;""))</f>
        <v/>
      </c>
      <c r="N60" s="27">
        <f>IF(J60&lt;&gt;"Won","",IF(E60="",N(I60),I60-M60))</f>
        <v/>
      </c>
      <c r="O60" s="22" t="n"/>
    </row>
    <row r="61" ht="15" customHeight="1">
      <c r="A61" s="72" t="n"/>
      <c r="B61" s="22" t="n"/>
      <c r="C61" s="22" t="n"/>
      <c r="D61" s="22" t="n"/>
      <c r="E61" s="22" t="n"/>
      <c r="F61" s="26">
        <f>IF(E61="","",IF(COUNTIF(lst_Jobs,E61&amp;"")&gt;0,"OK","CHECK"))</f>
        <v/>
      </c>
      <c r="G61" s="22" t="n"/>
      <c r="H61" s="22" t="n"/>
      <c r="I61" s="24" t="n"/>
      <c r="J61" s="22" t="n"/>
      <c r="K61" s="23" t="n"/>
      <c r="L61" s="72" t="n"/>
      <c r="M61" s="27">
        <f>IF(E61="","",SUMIFS(tbl_Finance[Ex GST],tbl_Finance[Job Number],E61&amp;""))</f>
        <v/>
      </c>
      <c r="N61" s="27">
        <f>IF(J61&lt;&gt;"Won","",IF(E61="",N(I61),I61-M61))</f>
        <v/>
      </c>
      <c r="O61" s="22" t="n"/>
    </row>
    <row r="62" ht="15" customHeight="1">
      <c r="A62" s="72" t="n"/>
      <c r="B62" s="22" t="n"/>
      <c r="C62" s="22" t="n"/>
      <c r="D62" s="22" t="n"/>
      <c r="E62" s="22" t="n"/>
      <c r="F62" s="26">
        <f>IF(E62="","",IF(COUNTIF(lst_Jobs,E62&amp;"")&gt;0,"OK","CHECK"))</f>
        <v/>
      </c>
      <c r="G62" s="22" t="n"/>
      <c r="H62" s="22" t="n"/>
      <c r="I62" s="24" t="n"/>
      <c r="J62" s="22" t="n"/>
      <c r="K62" s="23" t="n"/>
      <c r="L62" s="72" t="n"/>
      <c r="M62" s="27">
        <f>IF(E62="","",SUMIFS(tbl_Finance[Ex GST],tbl_Finance[Job Number],E62&amp;""))</f>
        <v/>
      </c>
      <c r="N62" s="27">
        <f>IF(J62&lt;&gt;"Won","",IF(E62="",N(I62),I62-M62))</f>
        <v/>
      </c>
      <c r="O62" s="22" t="n"/>
    </row>
    <row r="63" ht="15" customHeight="1">
      <c r="A63" s="72" t="n"/>
      <c r="B63" s="22" t="n"/>
      <c r="C63" s="22" t="n"/>
      <c r="D63" s="22" t="n"/>
      <c r="E63" s="22" t="n"/>
      <c r="F63" s="26">
        <f>IF(E63="","",IF(COUNTIF(lst_Jobs,E63&amp;"")&gt;0,"OK","CHECK"))</f>
        <v/>
      </c>
      <c r="G63" s="22" t="n"/>
      <c r="H63" s="22" t="n"/>
      <c r="I63" s="24" t="n"/>
      <c r="J63" s="22" t="n"/>
      <c r="K63" s="23" t="n"/>
      <c r="L63" s="72" t="n"/>
      <c r="M63" s="27">
        <f>IF(E63="","",SUMIFS(tbl_Finance[Ex GST],tbl_Finance[Job Number],E63&amp;""))</f>
        <v/>
      </c>
      <c r="N63" s="27">
        <f>IF(J63&lt;&gt;"Won","",IF(E63="",N(I63),I63-M63))</f>
        <v/>
      </c>
      <c r="O63" s="22" t="n"/>
    </row>
    <row r="64" ht="15" customHeight="1">
      <c r="A64" s="72" t="n"/>
      <c r="B64" s="22" t="n"/>
      <c r="C64" s="22" t="n"/>
      <c r="D64" s="22" t="n"/>
      <c r="E64" s="22" t="n"/>
      <c r="F64" s="26">
        <f>IF(E64="","",IF(COUNTIF(lst_Jobs,E64&amp;"")&gt;0,"OK","CHECK"))</f>
        <v/>
      </c>
      <c r="G64" s="22" t="n"/>
      <c r="H64" s="22" t="n"/>
      <c r="I64" s="24" t="n"/>
      <c r="J64" s="22" t="n"/>
      <c r="K64" s="23" t="n"/>
      <c r="L64" s="72" t="n"/>
      <c r="M64" s="27">
        <f>IF(E64="","",SUMIFS(tbl_Finance[Ex GST],tbl_Finance[Job Number],E64&amp;""))</f>
        <v/>
      </c>
      <c r="N64" s="27">
        <f>IF(J64&lt;&gt;"Won","",IF(E64="",N(I64),I64-M64))</f>
        <v/>
      </c>
      <c r="O64" s="22" t="n"/>
    </row>
    <row r="65" ht="15" customHeight="1">
      <c r="A65" s="72" t="n"/>
      <c r="B65" s="22" t="n"/>
      <c r="C65" s="22" t="n"/>
      <c r="D65" s="22" t="n"/>
      <c r="E65" s="22" t="n"/>
      <c r="F65" s="26">
        <f>IF(E65="","",IF(COUNTIF(lst_Jobs,E65&amp;"")&gt;0,"OK","CHECK"))</f>
        <v/>
      </c>
      <c r="G65" s="22" t="n"/>
      <c r="H65" s="22" t="n"/>
      <c r="I65" s="24" t="n"/>
      <c r="J65" s="22" t="n"/>
      <c r="K65" s="23" t="n"/>
      <c r="L65" s="72" t="n"/>
      <c r="M65" s="27">
        <f>IF(E65="","",SUMIFS(tbl_Finance[Ex GST],tbl_Finance[Job Number],E65&amp;""))</f>
        <v/>
      </c>
      <c r="N65" s="27">
        <f>IF(J65&lt;&gt;"Won","",IF(E65="",N(I65),I65-M65))</f>
        <v/>
      </c>
      <c r="O65" s="22" t="n"/>
    </row>
    <row r="66" ht="15" customHeight="1">
      <c r="A66" s="72" t="n"/>
      <c r="B66" s="22" t="n"/>
      <c r="C66" s="22" t="n"/>
      <c r="D66" s="22" t="n"/>
      <c r="E66" s="22" t="n"/>
      <c r="F66" s="26">
        <f>IF(E66="","",IF(COUNTIF(lst_Jobs,E66&amp;"")&gt;0,"OK","CHECK"))</f>
        <v/>
      </c>
      <c r="G66" s="22" t="n"/>
      <c r="H66" s="22" t="n"/>
      <c r="I66" s="24" t="n"/>
      <c r="J66" s="22" t="n"/>
      <c r="K66" s="23" t="n"/>
      <c r="L66" s="72" t="n"/>
      <c r="M66" s="27">
        <f>IF(E66="","",SUMIFS(tbl_Finance[Ex GST],tbl_Finance[Job Number],E66&amp;""))</f>
        <v/>
      </c>
      <c r="N66" s="27">
        <f>IF(J66&lt;&gt;"Won","",IF(E66="",N(I66),I66-M66))</f>
        <v/>
      </c>
      <c r="O66" s="22" t="n"/>
    </row>
    <row r="67" ht="15" customHeight="1">
      <c r="A67" s="72" t="n"/>
      <c r="B67" s="22" t="n"/>
      <c r="C67" s="22" t="n"/>
      <c r="D67" s="22" t="n"/>
      <c r="E67" s="22" t="n"/>
      <c r="F67" s="26">
        <f>IF(E67="","",IF(COUNTIF(lst_Jobs,E67&amp;"")&gt;0,"OK","CHECK"))</f>
        <v/>
      </c>
      <c r="G67" s="22" t="n"/>
      <c r="H67" s="22" t="n"/>
      <c r="I67" s="24" t="n"/>
      <c r="J67" s="22" t="n"/>
      <c r="K67" s="23" t="n"/>
      <c r="L67" s="72" t="n"/>
      <c r="M67" s="27">
        <f>IF(E67="","",SUMIFS(tbl_Finance[Ex GST],tbl_Finance[Job Number],E67&amp;""))</f>
        <v/>
      </c>
      <c r="N67" s="27">
        <f>IF(J67&lt;&gt;"Won","",IF(E67="",N(I67),I67-M67))</f>
        <v/>
      </c>
      <c r="O67" s="22" t="n"/>
    </row>
    <row r="68" ht="15" customHeight="1">
      <c r="A68" s="72" t="n"/>
      <c r="B68" s="22" t="n"/>
      <c r="C68" s="22" t="n"/>
      <c r="D68" s="22" t="n"/>
      <c r="E68" s="22" t="n"/>
      <c r="F68" s="26">
        <f>IF(E68="","",IF(COUNTIF(lst_Jobs,E68&amp;"")&gt;0,"OK","CHECK"))</f>
        <v/>
      </c>
      <c r="G68" s="22" t="n"/>
      <c r="H68" s="22" t="n"/>
      <c r="I68" s="24" t="n"/>
      <c r="J68" s="22" t="n"/>
      <c r="K68" s="23" t="n"/>
      <c r="L68" s="72" t="n"/>
      <c r="M68" s="27">
        <f>IF(E68="","",SUMIFS(tbl_Finance[Ex GST],tbl_Finance[Job Number],E68&amp;""))</f>
        <v/>
      </c>
      <c r="N68" s="27">
        <f>IF(J68&lt;&gt;"Won","",IF(E68="",N(I68),I68-M68))</f>
        <v/>
      </c>
      <c r="O68" s="22" t="n"/>
    </row>
    <row r="69" ht="15" customHeight="1">
      <c r="A69" s="72" t="n"/>
      <c r="B69" s="22" t="n"/>
      <c r="C69" s="22" t="n"/>
      <c r="D69" s="22" t="n"/>
      <c r="E69" s="22" t="n"/>
      <c r="F69" s="26">
        <f>IF(E69="","",IF(COUNTIF(lst_Jobs,E69&amp;"")&gt;0,"OK","CHECK"))</f>
        <v/>
      </c>
      <c r="G69" s="22" t="n"/>
      <c r="H69" s="22" t="n"/>
      <c r="I69" s="24" t="n"/>
      <c r="J69" s="22" t="n"/>
      <c r="K69" s="23" t="n"/>
      <c r="L69" s="72" t="n"/>
      <c r="M69" s="27">
        <f>IF(E69="","",SUMIFS(tbl_Finance[Ex GST],tbl_Finance[Job Number],E69&amp;""))</f>
        <v/>
      </c>
      <c r="N69" s="27">
        <f>IF(J69&lt;&gt;"Won","",IF(E69="",N(I69),I69-M69))</f>
        <v/>
      </c>
      <c r="O69" s="22" t="n"/>
    </row>
    <row r="70" ht="15" customHeight="1">
      <c r="A70" s="72" t="n"/>
      <c r="B70" s="22" t="n"/>
      <c r="C70" s="22" t="n"/>
      <c r="D70" s="22" t="n"/>
      <c r="E70" s="22" t="n"/>
      <c r="F70" s="26">
        <f>IF(E70="","",IF(COUNTIF(lst_Jobs,E70&amp;"")&gt;0,"OK","CHECK"))</f>
        <v/>
      </c>
      <c r="G70" s="22" t="n"/>
      <c r="H70" s="22" t="n"/>
      <c r="I70" s="24" t="n"/>
      <c r="J70" s="22" t="n"/>
      <c r="K70" s="23" t="n"/>
      <c r="L70" s="72" t="n"/>
      <c r="M70" s="27">
        <f>IF(E70="","",SUMIFS(tbl_Finance[Ex GST],tbl_Finance[Job Number],E70&amp;""))</f>
        <v/>
      </c>
      <c r="N70" s="27">
        <f>IF(J70&lt;&gt;"Won","",IF(E70="",N(I70),I70-M70))</f>
        <v/>
      </c>
      <c r="O70" s="22" t="n"/>
    </row>
    <row r="71" ht="15" customHeight="1">
      <c r="A71" s="72" t="n"/>
      <c r="B71" s="22" t="n"/>
      <c r="C71" s="22" t="n"/>
      <c r="D71" s="22" t="n"/>
      <c r="E71" s="22" t="n"/>
      <c r="F71" s="26">
        <f>IF(E71="","",IF(COUNTIF(lst_Jobs,E71&amp;"")&gt;0,"OK","CHECK"))</f>
        <v/>
      </c>
      <c r="G71" s="22" t="n"/>
      <c r="H71" s="22" t="n"/>
      <c r="I71" s="24" t="n"/>
      <c r="J71" s="22" t="n"/>
      <c r="K71" s="23" t="n"/>
      <c r="L71" s="72" t="n"/>
      <c r="M71" s="27">
        <f>IF(E71="","",SUMIFS(tbl_Finance[Ex GST],tbl_Finance[Job Number],E71&amp;""))</f>
        <v/>
      </c>
      <c r="N71" s="27">
        <f>IF(J71&lt;&gt;"Won","",IF(E71="",N(I71),I71-M71))</f>
        <v/>
      </c>
      <c r="O71" s="22" t="n"/>
    </row>
    <row r="72" ht="15" customHeight="1">
      <c r="A72" s="72" t="n"/>
      <c r="B72" s="22" t="n"/>
      <c r="C72" s="22" t="n"/>
      <c r="D72" s="22" t="n"/>
      <c r="E72" s="22" t="n"/>
      <c r="F72" s="26">
        <f>IF(E72="","",IF(COUNTIF(lst_Jobs,E72&amp;"")&gt;0,"OK","CHECK"))</f>
        <v/>
      </c>
      <c r="G72" s="22" t="n"/>
      <c r="H72" s="22" t="n"/>
      <c r="I72" s="24" t="n"/>
      <c r="J72" s="22" t="n"/>
      <c r="K72" s="23" t="n"/>
      <c r="L72" s="72" t="n"/>
      <c r="M72" s="27">
        <f>IF(E72="","",SUMIFS(tbl_Finance[Ex GST],tbl_Finance[Job Number],E72&amp;""))</f>
        <v/>
      </c>
      <c r="N72" s="27">
        <f>IF(J72&lt;&gt;"Won","",IF(E72="",N(I72),I72-M72))</f>
        <v/>
      </c>
      <c r="O72" s="22" t="n"/>
    </row>
    <row r="73" ht="15" customHeight="1">
      <c r="A73" s="72" t="n"/>
      <c r="B73" s="22" t="n"/>
      <c r="C73" s="22" t="n"/>
      <c r="D73" s="22" t="n"/>
      <c r="E73" s="22" t="n"/>
      <c r="F73" s="26">
        <f>IF(E73="","",IF(COUNTIF(lst_Jobs,E73&amp;"")&gt;0,"OK","CHECK"))</f>
        <v/>
      </c>
      <c r="G73" s="22" t="n"/>
      <c r="H73" s="22" t="n"/>
      <c r="I73" s="24" t="n"/>
      <c r="J73" s="22" t="n"/>
      <c r="K73" s="23" t="n"/>
      <c r="L73" s="72" t="n"/>
      <c r="M73" s="27">
        <f>IF(E73="","",SUMIFS(tbl_Finance[Ex GST],tbl_Finance[Job Number],E73&amp;""))</f>
        <v/>
      </c>
      <c r="N73" s="27">
        <f>IF(J73&lt;&gt;"Won","",IF(E73="",N(I73),I73-M73))</f>
        <v/>
      </c>
      <c r="O73" s="22" t="n"/>
    </row>
    <row r="74" ht="15" customHeight="1">
      <c r="A74" s="72" t="n"/>
      <c r="B74" s="22" t="n"/>
      <c r="C74" s="22" t="n"/>
      <c r="D74" s="22" t="n"/>
      <c r="E74" s="22" t="n"/>
      <c r="F74" s="26">
        <f>IF(E74="","",IF(COUNTIF(lst_Jobs,E74&amp;"")&gt;0,"OK","CHECK"))</f>
        <v/>
      </c>
      <c r="G74" s="22" t="n"/>
      <c r="H74" s="22" t="n"/>
      <c r="I74" s="24" t="n"/>
      <c r="J74" s="22" t="n"/>
      <c r="K74" s="23" t="n"/>
      <c r="L74" s="72" t="n"/>
      <c r="M74" s="27">
        <f>IF(E74="","",SUMIFS(tbl_Finance[Ex GST],tbl_Finance[Job Number],E74&amp;""))</f>
        <v/>
      </c>
      <c r="N74" s="27">
        <f>IF(J74&lt;&gt;"Won","",IF(E74="",N(I74),I74-M74))</f>
        <v/>
      </c>
      <c r="O74" s="22" t="n"/>
    </row>
    <row r="75" ht="15" customHeight="1">
      <c r="A75" s="72" t="n"/>
      <c r="B75" s="22" t="n"/>
      <c r="C75" s="22" t="n"/>
      <c r="D75" s="22" t="n"/>
      <c r="E75" s="22" t="n"/>
      <c r="F75" s="26">
        <f>IF(E75="","",IF(COUNTIF(lst_Jobs,E75&amp;"")&gt;0,"OK","CHECK"))</f>
        <v/>
      </c>
      <c r="G75" s="22" t="n"/>
      <c r="H75" s="22" t="n"/>
      <c r="I75" s="24" t="n"/>
      <c r="J75" s="22" t="n"/>
      <c r="K75" s="23" t="n"/>
      <c r="L75" s="72" t="n"/>
      <c r="M75" s="27">
        <f>IF(E75="","",SUMIFS(tbl_Finance[Ex GST],tbl_Finance[Job Number],E75&amp;""))</f>
        <v/>
      </c>
      <c r="N75" s="27">
        <f>IF(J75&lt;&gt;"Won","",IF(E75="",N(I75),I75-M75))</f>
        <v/>
      </c>
      <c r="O75" s="22" t="n"/>
    </row>
    <row r="76" ht="15" customHeight="1">
      <c r="A76" s="72" t="n"/>
      <c r="B76" s="22" t="n"/>
      <c r="C76" s="22" t="n"/>
      <c r="D76" s="22" t="n"/>
      <c r="E76" s="22" t="n"/>
      <c r="F76" s="26">
        <f>IF(E76="","",IF(COUNTIF(lst_Jobs,E76&amp;"")&gt;0,"OK","CHECK"))</f>
        <v/>
      </c>
      <c r="G76" s="22" t="n"/>
      <c r="H76" s="22" t="n"/>
      <c r="I76" s="24" t="n"/>
      <c r="J76" s="22" t="n"/>
      <c r="K76" s="23" t="n"/>
      <c r="L76" s="72" t="n"/>
      <c r="M76" s="27">
        <f>IF(E76="","",SUMIFS(tbl_Finance[Ex GST],tbl_Finance[Job Number],E76&amp;""))</f>
        <v/>
      </c>
      <c r="N76" s="27">
        <f>IF(J76&lt;&gt;"Won","",IF(E76="",N(I76),I76-M76))</f>
        <v/>
      </c>
      <c r="O76" s="22" t="n"/>
    </row>
    <row r="77" ht="15" customHeight="1">
      <c r="A77" s="72" t="n"/>
      <c r="B77" s="22" t="n"/>
      <c r="C77" s="22" t="n"/>
      <c r="D77" s="22" t="n"/>
      <c r="E77" s="22" t="n"/>
      <c r="F77" s="26">
        <f>IF(E77="","",IF(COUNTIF(lst_Jobs,E77&amp;"")&gt;0,"OK","CHECK"))</f>
        <v/>
      </c>
      <c r="G77" s="22" t="n"/>
      <c r="H77" s="22" t="n"/>
      <c r="I77" s="24" t="n"/>
      <c r="J77" s="22" t="n"/>
      <c r="K77" s="23" t="n"/>
      <c r="L77" s="72" t="n"/>
      <c r="M77" s="27">
        <f>IF(E77="","",SUMIFS(tbl_Finance[Ex GST],tbl_Finance[Job Number],E77&amp;""))</f>
        <v/>
      </c>
      <c r="N77" s="27">
        <f>IF(J77&lt;&gt;"Won","",IF(E77="",N(I77),I77-M77))</f>
        <v/>
      </c>
      <c r="O77" s="22" t="n"/>
    </row>
    <row r="78" ht="15" customHeight="1">
      <c r="A78" s="72" t="n"/>
      <c r="B78" s="22" t="n"/>
      <c r="C78" s="22" t="n"/>
      <c r="D78" s="22" t="n"/>
      <c r="E78" s="22" t="n"/>
      <c r="F78" s="26">
        <f>IF(E78="","",IF(COUNTIF(lst_Jobs,E78&amp;"")&gt;0,"OK","CHECK"))</f>
        <v/>
      </c>
      <c r="G78" s="22" t="n"/>
      <c r="H78" s="22" t="n"/>
      <c r="I78" s="24" t="n"/>
      <c r="J78" s="22" t="n"/>
      <c r="K78" s="23" t="n"/>
      <c r="L78" s="72" t="n"/>
      <c r="M78" s="27">
        <f>IF(E78="","",SUMIFS(tbl_Finance[Ex GST],tbl_Finance[Job Number],E78&amp;""))</f>
        <v/>
      </c>
      <c r="N78" s="27">
        <f>IF(J78&lt;&gt;"Won","",IF(E78="",N(I78),I78-M78))</f>
        <v/>
      </c>
      <c r="O78" s="22" t="n"/>
    </row>
    <row r="79" ht="15" customHeight="1">
      <c r="A79" s="72" t="n"/>
      <c r="B79" s="22" t="n"/>
      <c r="C79" s="22" t="n"/>
      <c r="D79" s="22" t="n"/>
      <c r="E79" s="22" t="n"/>
      <c r="F79" s="26">
        <f>IF(E79="","",IF(COUNTIF(lst_Jobs,E79&amp;"")&gt;0,"OK","CHECK"))</f>
        <v/>
      </c>
      <c r="G79" s="22" t="n"/>
      <c r="H79" s="22" t="n"/>
      <c r="I79" s="24" t="n"/>
      <c r="J79" s="22" t="n"/>
      <c r="K79" s="23" t="n"/>
      <c r="L79" s="72" t="n"/>
      <c r="M79" s="27">
        <f>IF(E79="","",SUMIFS(tbl_Finance[Ex GST],tbl_Finance[Job Number],E79&amp;""))</f>
        <v/>
      </c>
      <c r="N79" s="27">
        <f>IF(J79&lt;&gt;"Won","",IF(E79="",N(I79),I79-M79))</f>
        <v/>
      </c>
      <c r="O79" s="22" t="n"/>
    </row>
    <row r="80" ht="15" customHeight="1">
      <c r="A80" s="72" t="n"/>
      <c r="B80" s="22" t="n"/>
      <c r="C80" s="22" t="n"/>
      <c r="D80" s="22" t="n"/>
      <c r="E80" s="22" t="n"/>
      <c r="F80" s="26">
        <f>IF(E80="","",IF(COUNTIF(lst_Jobs,E80&amp;"")&gt;0,"OK","CHECK"))</f>
        <v/>
      </c>
      <c r="G80" s="22" t="n"/>
      <c r="H80" s="22" t="n"/>
      <c r="I80" s="24" t="n"/>
      <c r="J80" s="22" t="n"/>
      <c r="K80" s="23" t="n"/>
      <c r="L80" s="72" t="n"/>
      <c r="M80" s="27">
        <f>IF(E80="","",SUMIFS(tbl_Finance[Ex GST],tbl_Finance[Job Number],E80&amp;""))</f>
        <v/>
      </c>
      <c r="N80" s="27">
        <f>IF(J80&lt;&gt;"Won","",IF(E80="",N(I80),I80-M80))</f>
        <v/>
      </c>
      <c r="O80" s="22" t="n"/>
    </row>
    <row r="81" ht="15" customHeight="1">
      <c r="A81" s="72" t="n"/>
      <c r="B81" s="22" t="n"/>
      <c r="C81" s="22" t="n"/>
      <c r="D81" s="22" t="n"/>
      <c r="E81" s="22" t="n"/>
      <c r="F81" s="26">
        <f>IF(E81="","",IF(COUNTIF(lst_Jobs,E81&amp;"")&gt;0,"OK","CHECK"))</f>
        <v/>
      </c>
      <c r="G81" s="22" t="n"/>
      <c r="H81" s="22" t="n"/>
      <c r="I81" s="24" t="n"/>
      <c r="J81" s="22" t="n"/>
      <c r="K81" s="23" t="n"/>
      <c r="L81" s="72" t="n"/>
      <c r="M81" s="27">
        <f>IF(E81="","",SUMIFS(tbl_Finance[Ex GST],tbl_Finance[Job Number],E81&amp;""))</f>
        <v/>
      </c>
      <c r="N81" s="27">
        <f>IF(J81&lt;&gt;"Won","",IF(E81="",N(I81),I81-M81))</f>
        <v/>
      </c>
      <c r="O81" s="22" t="n"/>
    </row>
    <row r="82" ht="15" customHeight="1">
      <c r="A82" s="72" t="n"/>
      <c r="B82" s="22" t="n"/>
      <c r="C82" s="22" t="n"/>
      <c r="D82" s="22" t="n"/>
      <c r="E82" s="22" t="n"/>
      <c r="F82" s="26">
        <f>IF(E82="","",IF(COUNTIF(lst_Jobs,E82&amp;"")&gt;0,"OK","CHECK"))</f>
        <v/>
      </c>
      <c r="G82" s="22" t="n"/>
      <c r="H82" s="22" t="n"/>
      <c r="I82" s="24" t="n"/>
      <c r="J82" s="22" t="n"/>
      <c r="K82" s="23" t="n"/>
      <c r="L82" s="72" t="n"/>
      <c r="M82" s="27">
        <f>IF(E82="","",SUMIFS(tbl_Finance[Ex GST],tbl_Finance[Job Number],E82&amp;""))</f>
        <v/>
      </c>
      <c r="N82" s="27">
        <f>IF(J82&lt;&gt;"Won","",IF(E82="",N(I82),I82-M82))</f>
        <v/>
      </c>
      <c r="O82" s="22" t="n"/>
    </row>
    <row r="83" ht="15" customHeight="1">
      <c r="A83" s="72" t="n"/>
      <c r="B83" s="22" t="n"/>
      <c r="C83" s="22" t="n"/>
      <c r="D83" s="22" t="n"/>
      <c r="E83" s="22" t="n"/>
      <c r="F83" s="26">
        <f>IF(E83="","",IF(COUNTIF(lst_Jobs,E83&amp;"")&gt;0,"OK","CHECK"))</f>
        <v/>
      </c>
      <c r="G83" s="22" t="n"/>
      <c r="H83" s="22" t="n"/>
      <c r="I83" s="24" t="n"/>
      <c r="J83" s="22" t="n"/>
      <c r="K83" s="23" t="n"/>
      <c r="L83" s="72" t="n"/>
      <c r="M83" s="27">
        <f>IF(E83="","",SUMIFS(tbl_Finance[Ex GST],tbl_Finance[Job Number],E83&amp;""))</f>
        <v/>
      </c>
      <c r="N83" s="27">
        <f>IF(J83&lt;&gt;"Won","",IF(E83="",N(I83),I83-M83))</f>
        <v/>
      </c>
      <c r="O83" s="22" t="n"/>
    </row>
    <row r="84" ht="15" customHeight="1">
      <c r="A84" s="72" t="n"/>
      <c r="B84" s="22" t="n"/>
      <c r="C84" s="22" t="n"/>
      <c r="D84" s="22" t="n"/>
      <c r="E84" s="22" t="n"/>
      <c r="F84" s="26">
        <f>IF(E84="","",IF(COUNTIF(lst_Jobs,E84&amp;"")&gt;0,"OK","CHECK"))</f>
        <v/>
      </c>
      <c r="G84" s="22" t="n"/>
      <c r="H84" s="22" t="n"/>
      <c r="I84" s="24" t="n"/>
      <c r="J84" s="22" t="n"/>
      <c r="K84" s="23" t="n"/>
      <c r="L84" s="72" t="n"/>
      <c r="M84" s="27">
        <f>IF(E84="","",SUMIFS(tbl_Finance[Ex GST],tbl_Finance[Job Number],E84&amp;""))</f>
        <v/>
      </c>
      <c r="N84" s="27">
        <f>IF(J84&lt;&gt;"Won","",IF(E84="",N(I84),I84-M84))</f>
        <v/>
      </c>
      <c r="O84" s="22" t="n"/>
    </row>
    <row r="85" ht="15" customHeight="1">
      <c r="A85" s="72" t="n"/>
      <c r="B85" s="22" t="n"/>
      <c r="C85" s="22" t="n"/>
      <c r="D85" s="22" t="n"/>
      <c r="E85" s="22" t="n"/>
      <c r="F85" s="26">
        <f>IF(E85="","",IF(COUNTIF(lst_Jobs,E85&amp;"")&gt;0,"OK","CHECK"))</f>
        <v/>
      </c>
      <c r="G85" s="22" t="n"/>
      <c r="H85" s="22" t="n"/>
      <c r="I85" s="24" t="n"/>
      <c r="J85" s="22" t="n"/>
      <c r="K85" s="23" t="n"/>
      <c r="L85" s="72" t="n"/>
      <c r="M85" s="27">
        <f>IF(E85="","",SUMIFS(tbl_Finance[Ex GST],tbl_Finance[Job Number],E85&amp;""))</f>
        <v/>
      </c>
      <c r="N85" s="27">
        <f>IF(J85&lt;&gt;"Won","",IF(E85="",N(I85),I85-M85))</f>
        <v/>
      </c>
      <c r="O85" s="22" t="n"/>
    </row>
    <row r="86" ht="15" customHeight="1">
      <c r="A86" s="72" t="n"/>
      <c r="B86" s="22" t="n"/>
      <c r="C86" s="22" t="n"/>
      <c r="D86" s="22" t="n"/>
      <c r="E86" s="22" t="n"/>
      <c r="F86" s="26">
        <f>IF(E86="","",IF(COUNTIF(lst_Jobs,E86&amp;"")&gt;0,"OK","CHECK"))</f>
        <v/>
      </c>
      <c r="G86" s="22" t="n"/>
      <c r="H86" s="22" t="n"/>
      <c r="I86" s="24" t="n"/>
      <c r="J86" s="22" t="n"/>
      <c r="K86" s="23" t="n"/>
      <c r="L86" s="72" t="n"/>
      <c r="M86" s="27">
        <f>IF(E86="","",SUMIFS(tbl_Finance[Ex GST],tbl_Finance[Job Number],E86&amp;""))</f>
        <v/>
      </c>
      <c r="N86" s="27">
        <f>IF(J86&lt;&gt;"Won","",IF(E86="",N(I86),I86-M86))</f>
        <v/>
      </c>
      <c r="O86" s="22" t="n"/>
    </row>
    <row r="87" ht="15" customHeight="1">
      <c r="A87" s="72" t="n"/>
      <c r="B87" s="22" t="n"/>
      <c r="C87" s="22" t="n"/>
      <c r="D87" s="22" t="n"/>
      <c r="E87" s="22" t="n"/>
      <c r="F87" s="26">
        <f>IF(E87="","",IF(COUNTIF(lst_Jobs,E87&amp;"")&gt;0,"OK","CHECK"))</f>
        <v/>
      </c>
      <c r="G87" s="22" t="n"/>
      <c r="H87" s="22" t="n"/>
      <c r="I87" s="24" t="n"/>
      <c r="J87" s="22" t="n"/>
      <c r="K87" s="23" t="n"/>
      <c r="L87" s="72" t="n"/>
      <c r="M87" s="27">
        <f>IF(E87="","",SUMIFS(tbl_Finance[Ex GST],tbl_Finance[Job Number],E87&amp;""))</f>
        <v/>
      </c>
      <c r="N87" s="27">
        <f>IF(J87&lt;&gt;"Won","",IF(E87="",N(I87),I87-M87))</f>
        <v/>
      </c>
      <c r="O87" s="22" t="n"/>
    </row>
    <row r="88" ht="15" customHeight="1">
      <c r="A88" s="72" t="n"/>
      <c r="B88" s="22" t="n"/>
      <c r="C88" s="22" t="n"/>
      <c r="D88" s="22" t="n"/>
      <c r="E88" s="22" t="n"/>
      <c r="F88" s="26">
        <f>IF(E88="","",IF(COUNTIF(lst_Jobs,E88&amp;"")&gt;0,"OK","CHECK"))</f>
        <v/>
      </c>
      <c r="G88" s="22" t="n"/>
      <c r="H88" s="22" t="n"/>
      <c r="I88" s="24" t="n"/>
      <c r="J88" s="22" t="n"/>
      <c r="K88" s="23" t="n"/>
      <c r="L88" s="72" t="n"/>
      <c r="M88" s="27">
        <f>IF(E88="","",SUMIFS(tbl_Finance[Ex GST],tbl_Finance[Job Number],E88&amp;""))</f>
        <v/>
      </c>
      <c r="N88" s="27">
        <f>IF(J88&lt;&gt;"Won","",IF(E88="",N(I88),I88-M88))</f>
        <v/>
      </c>
      <c r="O88" s="22" t="n"/>
    </row>
    <row r="89" ht="15" customHeight="1">
      <c r="A89" s="72" t="n"/>
      <c r="B89" s="22" t="n"/>
      <c r="C89" s="22" t="n"/>
      <c r="D89" s="22" t="n"/>
      <c r="E89" s="22" t="n"/>
      <c r="F89" s="26">
        <f>IF(E89="","",IF(COUNTIF(lst_Jobs,E89&amp;"")&gt;0,"OK","CHECK"))</f>
        <v/>
      </c>
      <c r="G89" s="22" t="n"/>
      <c r="H89" s="22" t="n"/>
      <c r="I89" s="24" t="n"/>
      <c r="J89" s="22" t="n"/>
      <c r="K89" s="23" t="n"/>
      <c r="L89" s="72" t="n"/>
      <c r="M89" s="27">
        <f>IF(E89="","",SUMIFS(tbl_Finance[Ex GST],tbl_Finance[Job Number],E89&amp;""))</f>
        <v/>
      </c>
      <c r="N89" s="27">
        <f>IF(J89&lt;&gt;"Won","",IF(E89="",N(I89),I89-M89))</f>
        <v/>
      </c>
      <c r="O89" s="22" t="n"/>
    </row>
    <row r="90" ht="15" customHeight="1">
      <c r="A90" s="72" t="n"/>
      <c r="B90" s="22" t="n"/>
      <c r="C90" s="22" t="n"/>
      <c r="D90" s="22" t="n"/>
      <c r="E90" s="22" t="n"/>
      <c r="F90" s="26">
        <f>IF(E90="","",IF(COUNTIF(lst_Jobs,E90&amp;"")&gt;0,"OK","CHECK"))</f>
        <v/>
      </c>
      <c r="G90" s="22" t="n"/>
      <c r="H90" s="22" t="n"/>
      <c r="I90" s="24" t="n"/>
      <c r="J90" s="22" t="n"/>
      <c r="K90" s="23" t="n"/>
      <c r="L90" s="72" t="n"/>
      <c r="M90" s="27">
        <f>IF(E90="","",SUMIFS(tbl_Finance[Ex GST],tbl_Finance[Job Number],E90&amp;""))</f>
        <v/>
      </c>
      <c r="N90" s="27">
        <f>IF(J90&lt;&gt;"Won","",IF(E90="",N(I90),I90-M90))</f>
        <v/>
      </c>
      <c r="O90" s="22" t="n"/>
    </row>
    <row r="91" ht="15" customHeight="1">
      <c r="A91" s="72" t="n"/>
      <c r="B91" s="22" t="n"/>
      <c r="C91" s="22" t="n"/>
      <c r="D91" s="22" t="n"/>
      <c r="E91" s="22" t="n"/>
      <c r="F91" s="26">
        <f>IF(E91="","",IF(COUNTIF(lst_Jobs,E91&amp;"")&gt;0,"OK","CHECK"))</f>
        <v/>
      </c>
      <c r="G91" s="22" t="n"/>
      <c r="H91" s="22" t="n"/>
      <c r="I91" s="24" t="n"/>
      <c r="J91" s="22" t="n"/>
      <c r="K91" s="23" t="n"/>
      <c r="L91" s="72" t="n"/>
      <c r="M91" s="27">
        <f>IF(E91="","",SUMIFS(tbl_Finance[Ex GST],tbl_Finance[Job Number],E91&amp;""))</f>
        <v/>
      </c>
      <c r="N91" s="27">
        <f>IF(J91&lt;&gt;"Won","",IF(E91="",N(I91),I91-M91))</f>
        <v/>
      </c>
      <c r="O91" s="22" t="n"/>
    </row>
    <row r="92" ht="15" customHeight="1">
      <c r="A92" s="72" t="n"/>
      <c r="B92" s="22" t="n"/>
      <c r="C92" s="22" t="n"/>
      <c r="D92" s="22" t="n"/>
      <c r="E92" s="22" t="n"/>
      <c r="F92" s="26">
        <f>IF(E92="","",IF(COUNTIF(lst_Jobs,E92&amp;"")&gt;0,"OK","CHECK"))</f>
        <v/>
      </c>
      <c r="G92" s="22" t="n"/>
      <c r="H92" s="22" t="n"/>
      <c r="I92" s="24" t="n"/>
      <c r="J92" s="22" t="n"/>
      <c r="K92" s="23" t="n"/>
      <c r="L92" s="72" t="n"/>
      <c r="M92" s="27">
        <f>IF(E92="","",SUMIFS(tbl_Finance[Ex GST],tbl_Finance[Job Number],E92&amp;""))</f>
        <v/>
      </c>
      <c r="N92" s="27">
        <f>IF(J92&lt;&gt;"Won","",IF(E92="",N(I92),I92-M92))</f>
        <v/>
      </c>
      <c r="O92" s="22" t="n"/>
    </row>
    <row r="93" ht="15" customHeight="1">
      <c r="A93" s="72" t="n"/>
      <c r="B93" s="22" t="n"/>
      <c r="C93" s="22" t="n"/>
      <c r="D93" s="22" t="n"/>
      <c r="E93" s="22" t="n"/>
      <c r="F93" s="26">
        <f>IF(E93="","",IF(COUNTIF(lst_Jobs,E93&amp;"")&gt;0,"OK","CHECK"))</f>
        <v/>
      </c>
      <c r="G93" s="22" t="n"/>
      <c r="H93" s="22" t="n"/>
      <c r="I93" s="24" t="n"/>
      <c r="J93" s="22" t="n"/>
      <c r="K93" s="23" t="n"/>
      <c r="L93" s="72" t="n"/>
      <c r="M93" s="27">
        <f>IF(E93="","",SUMIFS(tbl_Finance[Ex GST],tbl_Finance[Job Number],E93&amp;""))</f>
        <v/>
      </c>
      <c r="N93" s="27">
        <f>IF(J93&lt;&gt;"Won","",IF(E93="",N(I93),I93-M93))</f>
        <v/>
      </c>
      <c r="O93" s="22" t="n"/>
    </row>
    <row r="94" ht="15" customHeight="1">
      <c r="A94" s="72" t="n"/>
      <c r="B94" s="22" t="n"/>
      <c r="C94" s="22" t="n"/>
      <c r="D94" s="22" t="n"/>
      <c r="E94" s="22" t="n"/>
      <c r="F94" s="26">
        <f>IF(E94="","",IF(COUNTIF(lst_Jobs,E94&amp;"")&gt;0,"OK","CHECK"))</f>
        <v/>
      </c>
      <c r="G94" s="22" t="n"/>
      <c r="H94" s="22" t="n"/>
      <c r="I94" s="24" t="n"/>
      <c r="J94" s="22" t="n"/>
      <c r="K94" s="23" t="n"/>
      <c r="L94" s="72" t="n"/>
      <c r="M94" s="27">
        <f>IF(E94="","",SUMIFS(tbl_Finance[Ex GST],tbl_Finance[Job Number],E94&amp;""))</f>
        <v/>
      </c>
      <c r="N94" s="27">
        <f>IF(J94&lt;&gt;"Won","",IF(E94="",N(I94),I94-M94))</f>
        <v/>
      </c>
      <c r="O94" s="22" t="n"/>
    </row>
    <row r="95" ht="15" customHeight="1">
      <c r="A95" s="72" t="n"/>
      <c r="B95" s="22" t="n"/>
      <c r="C95" s="22" t="n"/>
      <c r="D95" s="22" t="n"/>
      <c r="E95" s="22" t="n"/>
      <c r="F95" s="26">
        <f>IF(E95="","",IF(COUNTIF(lst_Jobs,E95&amp;"")&gt;0,"OK","CHECK"))</f>
        <v/>
      </c>
      <c r="G95" s="22" t="n"/>
      <c r="H95" s="22" t="n"/>
      <c r="I95" s="24" t="n"/>
      <c r="J95" s="22" t="n"/>
      <c r="K95" s="23" t="n"/>
      <c r="L95" s="72" t="n"/>
      <c r="M95" s="27">
        <f>IF(E95="","",SUMIFS(tbl_Finance[Ex GST],tbl_Finance[Job Number],E95&amp;""))</f>
        <v/>
      </c>
      <c r="N95" s="27">
        <f>IF(J95&lt;&gt;"Won","",IF(E95="",N(I95),I95-M95))</f>
        <v/>
      </c>
      <c r="O95" s="22" t="n"/>
    </row>
    <row r="96" ht="15" customHeight="1">
      <c r="A96" s="72" t="n"/>
      <c r="B96" s="22" t="n"/>
      <c r="C96" s="22" t="n"/>
      <c r="D96" s="22" t="n"/>
      <c r="E96" s="22" t="n"/>
      <c r="F96" s="26">
        <f>IF(E96="","",IF(COUNTIF(lst_Jobs,E96&amp;"")&gt;0,"OK","CHECK"))</f>
        <v/>
      </c>
      <c r="G96" s="22" t="n"/>
      <c r="H96" s="22" t="n"/>
      <c r="I96" s="24" t="n"/>
      <c r="J96" s="22" t="n"/>
      <c r="K96" s="23" t="n"/>
      <c r="L96" s="72" t="n"/>
      <c r="M96" s="27">
        <f>IF(E96="","",SUMIFS(tbl_Finance[Ex GST],tbl_Finance[Job Number],E96&amp;""))</f>
        <v/>
      </c>
      <c r="N96" s="27">
        <f>IF(J96&lt;&gt;"Won","",IF(E96="",N(I96),I96-M96))</f>
        <v/>
      </c>
      <c r="O96" s="22" t="n"/>
    </row>
    <row r="97" ht="15" customHeight="1">
      <c r="A97" s="72" t="n"/>
      <c r="B97" s="22" t="n"/>
      <c r="C97" s="22" t="n"/>
      <c r="D97" s="22" t="n"/>
      <c r="E97" s="22" t="n"/>
      <c r="F97" s="26">
        <f>IF(E97="","",IF(COUNTIF(lst_Jobs,E97&amp;"")&gt;0,"OK","CHECK"))</f>
        <v/>
      </c>
      <c r="G97" s="22" t="n"/>
      <c r="H97" s="22" t="n"/>
      <c r="I97" s="24" t="n"/>
      <c r="J97" s="22" t="n"/>
      <c r="K97" s="23" t="n"/>
      <c r="L97" s="72" t="n"/>
      <c r="M97" s="27">
        <f>IF(E97="","",SUMIFS(tbl_Finance[Ex GST],tbl_Finance[Job Number],E97&amp;""))</f>
        <v/>
      </c>
      <c r="N97" s="27">
        <f>IF(J97&lt;&gt;"Won","",IF(E97="",N(I97),I97-M97))</f>
        <v/>
      </c>
      <c r="O97" s="22" t="n"/>
    </row>
    <row r="98" ht="15" customHeight="1">
      <c r="A98" s="72" t="n"/>
      <c r="B98" s="22" t="n"/>
      <c r="C98" s="22" t="n"/>
      <c r="D98" s="22" t="n"/>
      <c r="E98" s="22" t="n"/>
      <c r="F98" s="26">
        <f>IF(E98="","",IF(COUNTIF(lst_Jobs,E98&amp;"")&gt;0,"OK","CHECK"))</f>
        <v/>
      </c>
      <c r="G98" s="22" t="n"/>
      <c r="H98" s="22" t="n"/>
      <c r="I98" s="24" t="n"/>
      <c r="J98" s="22" t="n"/>
      <c r="K98" s="23" t="n"/>
      <c r="L98" s="72" t="n"/>
      <c r="M98" s="27">
        <f>IF(E98="","",SUMIFS(tbl_Finance[Ex GST],tbl_Finance[Job Number],E98&amp;""))</f>
        <v/>
      </c>
      <c r="N98" s="27">
        <f>IF(J98&lt;&gt;"Won","",IF(E98="",N(I98),I98-M98))</f>
        <v/>
      </c>
      <c r="O98" s="22" t="n"/>
    </row>
    <row r="99" ht="15" customHeight="1">
      <c r="A99" s="72" t="n"/>
      <c r="B99" s="22" t="n"/>
      <c r="C99" s="22" t="n"/>
      <c r="D99" s="22" t="n"/>
      <c r="E99" s="22" t="n"/>
      <c r="F99" s="26">
        <f>IF(E99="","",IF(COUNTIF(lst_Jobs,E99&amp;"")&gt;0,"OK","CHECK"))</f>
        <v/>
      </c>
      <c r="G99" s="22" t="n"/>
      <c r="H99" s="22" t="n"/>
      <c r="I99" s="24" t="n"/>
      <c r="J99" s="22" t="n"/>
      <c r="K99" s="23" t="n"/>
      <c r="L99" s="72" t="n"/>
      <c r="M99" s="27">
        <f>IF(E99="","",SUMIFS(tbl_Finance[Ex GST],tbl_Finance[Job Number],E99&amp;""))</f>
        <v/>
      </c>
      <c r="N99" s="27">
        <f>IF(J99&lt;&gt;"Won","",IF(E99="",N(I99),I99-M99))</f>
        <v/>
      </c>
      <c r="O99" s="22" t="n"/>
    </row>
    <row r="100" ht="15" customHeight="1">
      <c r="A100" s="72" t="n"/>
      <c r="B100" s="22" t="n"/>
      <c r="C100" s="22" t="n"/>
      <c r="D100" s="22" t="n"/>
      <c r="E100" s="22" t="n"/>
      <c r="F100" s="26">
        <f>IF(E100="","",IF(COUNTIF(lst_Jobs,E100&amp;"")&gt;0,"OK","CHECK"))</f>
        <v/>
      </c>
      <c r="G100" s="22" t="n"/>
      <c r="H100" s="22" t="n"/>
      <c r="I100" s="24" t="n"/>
      <c r="J100" s="22" t="n"/>
      <c r="K100" s="23" t="n"/>
      <c r="L100" s="72" t="n"/>
      <c r="M100" s="27">
        <f>IF(E100="","",SUMIFS(tbl_Finance[Ex GST],tbl_Finance[Job Number],E100&amp;""))</f>
        <v/>
      </c>
      <c r="N100" s="27">
        <f>IF(J100&lt;&gt;"Won","",IF(E100="",N(I100),I100-M100))</f>
        <v/>
      </c>
      <c r="O100" s="22" t="n"/>
    </row>
    <row r="101" ht="15" customHeight="1">
      <c r="A101" s="72" t="n"/>
      <c r="B101" s="22" t="n"/>
      <c r="C101" s="22" t="n"/>
      <c r="D101" s="22" t="n"/>
      <c r="E101" s="22" t="n"/>
      <c r="F101" s="26">
        <f>IF(E101="","",IF(COUNTIF(lst_Jobs,E101&amp;"")&gt;0,"OK","CHECK"))</f>
        <v/>
      </c>
      <c r="G101" s="22" t="n"/>
      <c r="H101" s="22" t="n"/>
      <c r="I101" s="24" t="n"/>
      <c r="J101" s="22" t="n"/>
      <c r="K101" s="23" t="n"/>
      <c r="L101" s="72" t="n"/>
      <c r="M101" s="27">
        <f>IF(E101="","",SUMIFS(tbl_Finance[Ex GST],tbl_Finance[Job Number],E101&amp;""))</f>
        <v/>
      </c>
      <c r="N101" s="27">
        <f>IF(J101&lt;&gt;"Won","",IF(E101="",N(I101),I101-M101))</f>
        <v/>
      </c>
      <c r="O101" s="22" t="n"/>
    </row>
    <row r="102" ht="15" customHeight="1">
      <c r="A102" s="72" t="n"/>
      <c r="B102" s="22" t="n"/>
      <c r="C102" s="22" t="n"/>
      <c r="D102" s="22" t="n"/>
      <c r="E102" s="22" t="n"/>
      <c r="F102" s="26">
        <f>IF(E102="","",IF(COUNTIF(lst_Jobs,E102&amp;"")&gt;0,"OK","CHECK"))</f>
        <v/>
      </c>
      <c r="G102" s="22" t="n"/>
      <c r="H102" s="22" t="n"/>
      <c r="I102" s="24" t="n"/>
      <c r="J102" s="22" t="n"/>
      <c r="K102" s="23" t="n"/>
      <c r="L102" s="72" t="n"/>
      <c r="M102" s="27">
        <f>IF(E102="","",SUMIFS(tbl_Finance[Ex GST],tbl_Finance[Job Number],E102&amp;""))</f>
        <v/>
      </c>
      <c r="N102" s="27">
        <f>IF(J102&lt;&gt;"Won","",IF(E102="",N(I102),I102-M102))</f>
        <v/>
      </c>
      <c r="O102" s="22" t="n"/>
    </row>
    <row r="103" ht="15" customHeight="1">
      <c r="A103" s="72" t="n"/>
      <c r="B103" s="22" t="n"/>
      <c r="C103" s="22" t="n"/>
      <c r="D103" s="22" t="n"/>
      <c r="E103" s="22" t="n"/>
      <c r="F103" s="26">
        <f>IF(E103="","",IF(COUNTIF(lst_Jobs,E103&amp;"")&gt;0,"OK","CHECK"))</f>
        <v/>
      </c>
      <c r="G103" s="22" t="n"/>
      <c r="H103" s="22" t="n"/>
      <c r="I103" s="24" t="n"/>
      <c r="J103" s="22" t="n"/>
      <c r="K103" s="23" t="n"/>
      <c r="L103" s="72" t="n"/>
      <c r="M103" s="27">
        <f>IF(E103="","",SUMIFS(tbl_Finance[Ex GST],tbl_Finance[Job Number],E103&amp;""))</f>
        <v/>
      </c>
      <c r="N103" s="27">
        <f>IF(J103&lt;&gt;"Won","",IF(E103="",N(I103),I103-M103))</f>
        <v/>
      </c>
      <c r="O103" s="22" t="n"/>
    </row>
    <row r="104" ht="15" customHeight="1">
      <c r="A104" s="72" t="n"/>
      <c r="B104" s="22" t="n"/>
      <c r="C104" s="22" t="n"/>
      <c r="D104" s="22" t="n"/>
      <c r="E104" s="22" t="n"/>
      <c r="F104" s="26">
        <f>IF(E104="","",IF(COUNTIF(lst_Jobs,E104&amp;"")&gt;0,"OK","CHECK"))</f>
        <v/>
      </c>
      <c r="G104" s="22" t="n"/>
      <c r="H104" s="22" t="n"/>
      <c r="I104" s="24" t="n"/>
      <c r="J104" s="22" t="n"/>
      <c r="K104" s="23" t="n"/>
      <c r="L104" s="72" t="n"/>
      <c r="M104" s="27">
        <f>IF(E104="","",SUMIFS(tbl_Finance[Ex GST],tbl_Finance[Job Number],E104&amp;""))</f>
        <v/>
      </c>
      <c r="N104" s="27">
        <f>IF(J104&lt;&gt;"Won","",IF(E104="",N(I104),I104-M104))</f>
        <v/>
      </c>
      <c r="O104" s="22" t="n"/>
    </row>
    <row r="105" ht="15" customHeight="1">
      <c r="A105" s="72" t="n"/>
      <c r="B105" s="22" t="n"/>
      <c r="C105" s="22" t="n"/>
      <c r="D105" s="22" t="n"/>
      <c r="E105" s="22" t="n"/>
      <c r="F105" s="26">
        <f>IF(E105="","",IF(COUNTIF(lst_Jobs,E105&amp;"")&gt;0,"OK","CHECK"))</f>
        <v/>
      </c>
      <c r="G105" s="22" t="n"/>
      <c r="H105" s="22" t="n"/>
      <c r="I105" s="24" t="n"/>
      <c r="J105" s="22" t="n"/>
      <c r="K105" s="23" t="n"/>
      <c r="L105" s="72" t="n"/>
      <c r="M105" s="27">
        <f>IF(E105="","",SUMIFS(tbl_Finance[Ex GST],tbl_Finance[Job Number],E105&amp;""))</f>
        <v/>
      </c>
      <c r="N105" s="27">
        <f>IF(J105&lt;&gt;"Won","",IF(E105="",N(I105),I105-M105))</f>
        <v/>
      </c>
      <c r="O105" s="22" t="n"/>
    </row>
    <row r="106" ht="15" customHeight="1">
      <c r="A106" s="72" t="n"/>
      <c r="B106" s="22" t="n"/>
      <c r="C106" s="22" t="n"/>
      <c r="D106" s="22" t="n"/>
      <c r="E106" s="22" t="n"/>
      <c r="F106" s="26">
        <f>IF(E106="","",IF(COUNTIF(lst_Jobs,E106&amp;"")&gt;0,"OK","CHECK"))</f>
        <v/>
      </c>
      <c r="G106" s="22" t="n"/>
      <c r="H106" s="22" t="n"/>
      <c r="I106" s="24" t="n"/>
      <c r="J106" s="22" t="n"/>
      <c r="K106" s="23" t="n"/>
      <c r="L106" s="72" t="n"/>
      <c r="M106" s="27">
        <f>IF(E106="","",SUMIFS(tbl_Finance[Ex GST],tbl_Finance[Job Number],E106&amp;""))</f>
        <v/>
      </c>
      <c r="N106" s="27">
        <f>IF(J106&lt;&gt;"Won","",IF(E106="",N(I106),I106-M106))</f>
        <v/>
      </c>
      <c r="O106" s="22" t="n"/>
    </row>
    <row r="107" ht="15" customHeight="1">
      <c r="A107" s="72" t="n"/>
      <c r="B107" s="22" t="n"/>
      <c r="C107" s="22" t="n"/>
      <c r="D107" s="22" t="n"/>
      <c r="E107" s="22" t="n"/>
      <c r="F107" s="26">
        <f>IF(E107="","",IF(COUNTIF(lst_Jobs,E107&amp;"")&gt;0,"OK","CHECK"))</f>
        <v/>
      </c>
      <c r="G107" s="22" t="n"/>
      <c r="H107" s="22" t="n"/>
      <c r="I107" s="24" t="n"/>
      <c r="J107" s="22" t="n"/>
      <c r="K107" s="23" t="n"/>
      <c r="L107" s="72" t="n"/>
      <c r="M107" s="27">
        <f>IF(E107="","",SUMIFS(tbl_Finance[Ex GST],tbl_Finance[Job Number],E107&amp;""))</f>
        <v/>
      </c>
      <c r="N107" s="27">
        <f>IF(J107&lt;&gt;"Won","",IF(E107="",N(I107),I107-M107))</f>
        <v/>
      </c>
      <c r="O107" s="22" t="n"/>
    </row>
    <row r="108" ht="15" customHeight="1">
      <c r="A108" s="72" t="n"/>
      <c r="B108" s="22" t="n"/>
      <c r="C108" s="22" t="n"/>
      <c r="D108" s="22" t="n"/>
      <c r="E108" s="22" t="n"/>
      <c r="F108" s="26">
        <f>IF(E108="","",IF(COUNTIF(lst_Jobs,E108&amp;"")&gt;0,"OK","CHECK"))</f>
        <v/>
      </c>
      <c r="G108" s="22" t="n"/>
      <c r="H108" s="22" t="n"/>
      <c r="I108" s="24" t="n"/>
      <c r="J108" s="22" t="n"/>
      <c r="K108" s="23" t="n"/>
      <c r="L108" s="72" t="n"/>
      <c r="M108" s="27">
        <f>IF(E108="","",SUMIFS(tbl_Finance[Ex GST],tbl_Finance[Job Number],E108&amp;""))</f>
        <v/>
      </c>
      <c r="N108" s="27">
        <f>IF(J108&lt;&gt;"Won","",IF(E108="",N(I108),I108-M108))</f>
        <v/>
      </c>
      <c r="O108" s="22" t="n"/>
    </row>
    <row r="109" ht="15" customHeight="1">
      <c r="A109" s="72" t="n"/>
      <c r="B109" s="22" t="n"/>
      <c r="C109" s="22" t="n"/>
      <c r="D109" s="22" t="n"/>
      <c r="E109" s="22" t="n"/>
      <c r="F109" s="26">
        <f>IF(E109="","",IF(COUNTIF(lst_Jobs,E109&amp;"")&gt;0,"OK","CHECK"))</f>
        <v/>
      </c>
      <c r="G109" s="22" t="n"/>
      <c r="H109" s="22" t="n"/>
      <c r="I109" s="24" t="n"/>
      <c r="J109" s="22" t="n"/>
      <c r="K109" s="23" t="n"/>
      <c r="L109" s="72" t="n"/>
      <c r="M109" s="27">
        <f>IF(E109="","",SUMIFS(tbl_Finance[Ex GST],tbl_Finance[Job Number],E109&amp;""))</f>
        <v/>
      </c>
      <c r="N109" s="27">
        <f>IF(J109&lt;&gt;"Won","",IF(E109="",N(I109),I109-M109))</f>
        <v/>
      </c>
      <c r="O109" s="22" t="n"/>
    </row>
    <row r="110" ht="15" customHeight="1">
      <c r="A110" s="72" t="n"/>
      <c r="B110" s="22" t="n"/>
      <c r="C110" s="22" t="n"/>
      <c r="D110" s="22" t="n"/>
      <c r="E110" s="22" t="n"/>
      <c r="F110" s="26">
        <f>IF(E110="","",IF(COUNTIF(lst_Jobs,E110&amp;"")&gt;0,"OK","CHECK"))</f>
        <v/>
      </c>
      <c r="G110" s="22" t="n"/>
      <c r="H110" s="22" t="n"/>
      <c r="I110" s="24" t="n"/>
      <c r="J110" s="22" t="n"/>
      <c r="K110" s="23" t="n"/>
      <c r="L110" s="72" t="n"/>
      <c r="M110" s="27">
        <f>IF(E110="","",SUMIFS(tbl_Finance[Ex GST],tbl_Finance[Job Number],E110&amp;""))</f>
        <v/>
      </c>
      <c r="N110" s="27">
        <f>IF(J110&lt;&gt;"Won","",IF(E110="",N(I110),I110-M110))</f>
        <v/>
      </c>
      <c r="O110" s="22" t="n"/>
    </row>
    <row r="111" ht="15" customHeight="1">
      <c r="A111" s="72" t="n"/>
      <c r="B111" s="22" t="n"/>
      <c r="C111" s="22" t="n"/>
      <c r="D111" s="22" t="n"/>
      <c r="E111" s="22" t="n"/>
      <c r="F111" s="26">
        <f>IF(E111="","",IF(COUNTIF(lst_Jobs,E111&amp;"")&gt;0,"OK","CHECK"))</f>
        <v/>
      </c>
      <c r="G111" s="22" t="n"/>
      <c r="H111" s="22" t="n"/>
      <c r="I111" s="24" t="n"/>
      <c r="J111" s="22" t="n"/>
      <c r="K111" s="23" t="n"/>
      <c r="L111" s="72" t="n"/>
      <c r="M111" s="27">
        <f>IF(E111="","",SUMIFS(tbl_Finance[Ex GST],tbl_Finance[Job Number],E111&amp;""))</f>
        <v/>
      </c>
      <c r="N111" s="27">
        <f>IF(J111&lt;&gt;"Won","",IF(E111="",N(I111),I111-M111))</f>
        <v/>
      </c>
      <c r="O111" s="22" t="n"/>
    </row>
    <row r="112" ht="15" customHeight="1">
      <c r="A112" s="72" t="n"/>
      <c r="B112" s="22" t="n"/>
      <c r="C112" s="22" t="n"/>
      <c r="D112" s="22" t="n"/>
      <c r="E112" s="22" t="n"/>
      <c r="F112" s="26">
        <f>IF(E112="","",IF(COUNTIF(lst_Jobs,E112&amp;"")&gt;0,"OK","CHECK"))</f>
        <v/>
      </c>
      <c r="G112" s="22" t="n"/>
      <c r="H112" s="22" t="n"/>
      <c r="I112" s="24" t="n"/>
      <c r="J112" s="22" t="n"/>
      <c r="K112" s="23" t="n"/>
      <c r="L112" s="72" t="n"/>
      <c r="M112" s="27">
        <f>IF(E112="","",SUMIFS(tbl_Finance[Ex GST],tbl_Finance[Job Number],E112&amp;""))</f>
        <v/>
      </c>
      <c r="N112" s="27">
        <f>IF(J112&lt;&gt;"Won","",IF(E112="",N(I112),I112-M112))</f>
        <v/>
      </c>
      <c r="O112" s="22" t="n"/>
    </row>
    <row r="113" ht="15" customHeight="1">
      <c r="A113" s="72" t="n"/>
      <c r="B113" s="22" t="n"/>
      <c r="C113" s="22" t="n"/>
      <c r="D113" s="22" t="n"/>
      <c r="E113" s="22" t="n"/>
      <c r="F113" s="26">
        <f>IF(E113="","",IF(COUNTIF(lst_Jobs,E113&amp;"")&gt;0,"OK","CHECK"))</f>
        <v/>
      </c>
      <c r="G113" s="22" t="n"/>
      <c r="H113" s="22" t="n"/>
      <c r="I113" s="24" t="n"/>
      <c r="J113" s="22" t="n"/>
      <c r="K113" s="23" t="n"/>
      <c r="L113" s="72" t="n"/>
      <c r="M113" s="27">
        <f>IF(E113="","",SUMIFS(tbl_Finance[Ex GST],tbl_Finance[Job Number],E113&amp;""))</f>
        <v/>
      </c>
      <c r="N113" s="27">
        <f>IF(J113&lt;&gt;"Won","",IF(E113="",N(I113),I113-M113))</f>
        <v/>
      </c>
      <c r="O113" s="22" t="n"/>
    </row>
    <row r="114" ht="15" customHeight="1">
      <c r="A114" s="72" t="n"/>
      <c r="B114" s="22" t="n"/>
      <c r="C114" s="22" t="n"/>
      <c r="D114" s="22" t="n"/>
      <c r="E114" s="22" t="n"/>
      <c r="F114" s="26">
        <f>IF(E114="","",IF(COUNTIF(lst_Jobs,E114&amp;"")&gt;0,"OK","CHECK"))</f>
        <v/>
      </c>
      <c r="G114" s="22" t="n"/>
      <c r="H114" s="22" t="n"/>
      <c r="I114" s="24" t="n"/>
      <c r="J114" s="22" t="n"/>
      <c r="K114" s="23" t="n"/>
      <c r="L114" s="72" t="n"/>
      <c r="M114" s="27">
        <f>IF(E114="","",SUMIFS(tbl_Finance[Ex GST],tbl_Finance[Job Number],E114&amp;""))</f>
        <v/>
      </c>
      <c r="N114" s="27">
        <f>IF(J114&lt;&gt;"Won","",IF(E114="",N(I114),I114-M114))</f>
        <v/>
      </c>
      <c r="O114" s="22" t="n"/>
    </row>
    <row r="115" ht="15" customHeight="1">
      <c r="A115" s="72" t="n"/>
      <c r="B115" s="22" t="n"/>
      <c r="C115" s="22" t="n"/>
      <c r="D115" s="22" t="n"/>
      <c r="E115" s="22" t="n"/>
      <c r="F115" s="26">
        <f>IF(E115="","",IF(COUNTIF(lst_Jobs,E115&amp;"")&gt;0,"OK","CHECK"))</f>
        <v/>
      </c>
      <c r="G115" s="22" t="n"/>
      <c r="H115" s="22" t="n"/>
      <c r="I115" s="24" t="n"/>
      <c r="J115" s="22" t="n"/>
      <c r="K115" s="23" t="n"/>
      <c r="L115" s="72" t="n"/>
      <c r="M115" s="27">
        <f>IF(E115="","",SUMIFS(tbl_Finance[Ex GST],tbl_Finance[Job Number],E115&amp;""))</f>
        <v/>
      </c>
      <c r="N115" s="27">
        <f>IF(J115&lt;&gt;"Won","",IF(E115="",N(I115),I115-M115))</f>
        <v/>
      </c>
      <c r="O115" s="22" t="n"/>
    </row>
    <row r="116" ht="15" customHeight="1">
      <c r="A116" s="72" t="n"/>
      <c r="B116" s="22" t="n"/>
      <c r="C116" s="22" t="n"/>
      <c r="D116" s="22" t="n"/>
      <c r="E116" s="22" t="n"/>
      <c r="F116" s="26">
        <f>IF(E116="","",IF(COUNTIF(lst_Jobs,E116&amp;"")&gt;0,"OK","CHECK"))</f>
        <v/>
      </c>
      <c r="G116" s="22" t="n"/>
      <c r="H116" s="22" t="n"/>
      <c r="I116" s="24" t="n"/>
      <c r="J116" s="22" t="n"/>
      <c r="K116" s="23" t="n"/>
      <c r="L116" s="72" t="n"/>
      <c r="M116" s="27">
        <f>IF(E116="","",SUMIFS(tbl_Finance[Ex GST],tbl_Finance[Job Number],E116&amp;""))</f>
        <v/>
      </c>
      <c r="N116" s="27">
        <f>IF(J116&lt;&gt;"Won","",IF(E116="",N(I116),I116-M116))</f>
        <v/>
      </c>
      <c r="O116" s="22" t="n"/>
    </row>
    <row r="117" ht="15" customHeight="1">
      <c r="A117" s="72" t="n"/>
      <c r="B117" s="22" t="n"/>
      <c r="C117" s="22" t="n"/>
      <c r="D117" s="22" t="n"/>
      <c r="E117" s="22" t="n"/>
      <c r="F117" s="26">
        <f>IF(E117="","",IF(COUNTIF(lst_Jobs,E117&amp;"")&gt;0,"OK","CHECK"))</f>
        <v/>
      </c>
      <c r="G117" s="22" t="n"/>
      <c r="H117" s="22" t="n"/>
      <c r="I117" s="24" t="n"/>
      <c r="J117" s="22" t="n"/>
      <c r="K117" s="23" t="n"/>
      <c r="L117" s="72" t="n"/>
      <c r="M117" s="27">
        <f>IF(E117="","",SUMIFS(tbl_Finance[Ex GST],tbl_Finance[Job Number],E117&amp;""))</f>
        <v/>
      </c>
      <c r="N117" s="27">
        <f>IF(J117&lt;&gt;"Won","",IF(E117="",N(I117),I117-M117))</f>
        <v/>
      </c>
      <c r="O117" s="22" t="n"/>
    </row>
    <row r="118" ht="15" customHeight="1">
      <c r="A118" s="72" t="n"/>
      <c r="B118" s="22" t="n"/>
      <c r="C118" s="22" t="n"/>
      <c r="D118" s="22" t="n"/>
      <c r="E118" s="22" t="n"/>
      <c r="F118" s="26">
        <f>IF(E118="","",IF(COUNTIF(lst_Jobs,E118&amp;"")&gt;0,"OK","CHECK"))</f>
        <v/>
      </c>
      <c r="G118" s="22" t="n"/>
      <c r="H118" s="22" t="n"/>
      <c r="I118" s="24" t="n"/>
      <c r="J118" s="22" t="n"/>
      <c r="K118" s="23" t="n"/>
      <c r="L118" s="72" t="n"/>
      <c r="M118" s="27">
        <f>IF(E118="","",SUMIFS(tbl_Finance[Ex GST],tbl_Finance[Job Number],E118&amp;""))</f>
        <v/>
      </c>
      <c r="N118" s="27">
        <f>IF(J118&lt;&gt;"Won","",IF(E118="",N(I118),I118-M118))</f>
        <v/>
      </c>
      <c r="O118" s="22" t="n"/>
    </row>
    <row r="119" ht="15" customHeight="1">
      <c r="A119" s="72" t="n"/>
      <c r="B119" s="22" t="n"/>
      <c r="C119" s="22" t="n"/>
      <c r="D119" s="22" t="n"/>
      <c r="E119" s="22" t="n"/>
      <c r="F119" s="26">
        <f>IF(E119="","",IF(COUNTIF(lst_Jobs,E119&amp;"")&gt;0,"OK","CHECK"))</f>
        <v/>
      </c>
      <c r="G119" s="22" t="n"/>
      <c r="H119" s="22" t="n"/>
      <c r="I119" s="24" t="n"/>
      <c r="J119" s="22" t="n"/>
      <c r="K119" s="23" t="n"/>
      <c r="L119" s="72" t="n"/>
      <c r="M119" s="27">
        <f>IF(E119="","",SUMIFS(tbl_Finance[Ex GST],tbl_Finance[Job Number],E119&amp;""))</f>
        <v/>
      </c>
      <c r="N119" s="27">
        <f>IF(J119&lt;&gt;"Won","",IF(E119="",N(I119),I119-M119))</f>
        <v/>
      </c>
      <c r="O119" s="22" t="n"/>
    </row>
    <row r="120" ht="15" customHeight="1">
      <c r="A120" s="72" t="n"/>
      <c r="B120" s="22" t="n"/>
      <c r="C120" s="22" t="n"/>
      <c r="D120" s="22" t="n"/>
      <c r="E120" s="22" t="n"/>
      <c r="F120" s="26">
        <f>IF(E120="","",IF(COUNTIF(lst_Jobs,E120&amp;"")&gt;0,"OK","CHECK"))</f>
        <v/>
      </c>
      <c r="G120" s="22" t="n"/>
      <c r="H120" s="22" t="n"/>
      <c r="I120" s="24" t="n"/>
      <c r="J120" s="22" t="n"/>
      <c r="K120" s="23" t="n"/>
      <c r="L120" s="72" t="n"/>
      <c r="M120" s="27">
        <f>IF(E120="","",SUMIFS(tbl_Finance[Ex GST],tbl_Finance[Job Number],E120&amp;""))</f>
        <v/>
      </c>
      <c r="N120" s="27">
        <f>IF(J120&lt;&gt;"Won","",IF(E120="",N(I120),I120-M120))</f>
        <v/>
      </c>
      <c r="O120" s="22" t="n"/>
    </row>
    <row r="121" ht="15" customHeight="1">
      <c r="A121" s="72" t="n"/>
      <c r="B121" s="22" t="n"/>
      <c r="C121" s="22" t="n"/>
      <c r="D121" s="22" t="n"/>
      <c r="E121" s="22" t="n"/>
      <c r="F121" s="26">
        <f>IF(E121="","",IF(COUNTIF(lst_Jobs,E121&amp;"")&gt;0,"OK","CHECK"))</f>
        <v/>
      </c>
      <c r="G121" s="22" t="n"/>
      <c r="H121" s="22" t="n"/>
      <c r="I121" s="24" t="n"/>
      <c r="J121" s="22" t="n"/>
      <c r="K121" s="23" t="n"/>
      <c r="L121" s="72" t="n"/>
      <c r="M121" s="27">
        <f>IF(E121="","",SUMIFS(tbl_Finance[Ex GST],tbl_Finance[Job Number],E121&amp;""))</f>
        <v/>
      </c>
      <c r="N121" s="27">
        <f>IF(J121&lt;&gt;"Won","",IF(E121="",N(I121),I121-M121))</f>
        <v/>
      </c>
      <c r="O121" s="22" t="n"/>
    </row>
    <row r="122" ht="15" customHeight="1">
      <c r="A122" s="72" t="n"/>
      <c r="B122" s="22" t="n"/>
      <c r="C122" s="22" t="n"/>
      <c r="D122" s="22" t="n"/>
      <c r="E122" s="22" t="n"/>
      <c r="F122" s="26">
        <f>IF(E122="","",IF(COUNTIF(lst_Jobs,E122&amp;"")&gt;0,"OK","CHECK"))</f>
        <v/>
      </c>
      <c r="G122" s="22" t="n"/>
      <c r="H122" s="22" t="n"/>
      <c r="I122" s="24" t="n"/>
      <c r="J122" s="22" t="n"/>
      <c r="K122" s="23" t="n"/>
      <c r="L122" s="72" t="n"/>
      <c r="M122" s="27">
        <f>IF(E122="","",SUMIFS(tbl_Finance[Ex GST],tbl_Finance[Job Number],E122&amp;""))</f>
        <v/>
      </c>
      <c r="N122" s="27">
        <f>IF(J122&lt;&gt;"Won","",IF(E122="",N(I122),I122-M122))</f>
        <v/>
      </c>
      <c r="O122" s="22" t="n"/>
    </row>
    <row r="123" ht="15" customHeight="1">
      <c r="A123" s="72" t="n"/>
      <c r="B123" s="22" t="n"/>
      <c r="C123" s="22" t="n"/>
      <c r="D123" s="22" t="n"/>
      <c r="E123" s="22" t="n"/>
      <c r="F123" s="26">
        <f>IF(E123="","",IF(COUNTIF(lst_Jobs,E123&amp;"")&gt;0,"OK","CHECK"))</f>
        <v/>
      </c>
      <c r="G123" s="22" t="n"/>
      <c r="H123" s="22" t="n"/>
      <c r="I123" s="24" t="n"/>
      <c r="J123" s="22" t="n"/>
      <c r="K123" s="23" t="n"/>
      <c r="L123" s="72" t="n"/>
      <c r="M123" s="27">
        <f>IF(E123="","",SUMIFS(tbl_Finance[Ex GST],tbl_Finance[Job Number],E123&amp;""))</f>
        <v/>
      </c>
      <c r="N123" s="27">
        <f>IF(J123&lt;&gt;"Won","",IF(E123="",N(I123),I123-M123))</f>
        <v/>
      </c>
      <c r="O123" s="22" t="n"/>
    </row>
    <row r="124" ht="15" customHeight="1">
      <c r="A124" s="72" t="n"/>
      <c r="B124" s="22" t="n"/>
      <c r="C124" s="22" t="n"/>
      <c r="D124" s="22" t="n"/>
      <c r="E124" s="22" t="n"/>
      <c r="F124" s="26">
        <f>IF(E124="","",IF(COUNTIF(lst_Jobs,E124&amp;"")&gt;0,"OK","CHECK"))</f>
        <v/>
      </c>
      <c r="G124" s="22" t="n"/>
      <c r="H124" s="22" t="n"/>
      <c r="I124" s="24" t="n"/>
      <c r="J124" s="22" t="n"/>
      <c r="K124" s="23" t="n"/>
      <c r="L124" s="72" t="n"/>
      <c r="M124" s="27">
        <f>IF(E124="","",SUMIFS(tbl_Finance[Ex GST],tbl_Finance[Job Number],E124&amp;""))</f>
        <v/>
      </c>
      <c r="N124" s="27">
        <f>IF(J124&lt;&gt;"Won","",IF(E124="",N(I124),I124-M124))</f>
        <v/>
      </c>
      <c r="O124" s="22" t="n"/>
    </row>
    <row r="125" ht="15" customHeight="1">
      <c r="A125" s="72" t="n"/>
      <c r="B125" s="22" t="n"/>
      <c r="C125" s="22" t="n"/>
      <c r="D125" s="22" t="n"/>
      <c r="E125" s="22" t="n"/>
      <c r="F125" s="26">
        <f>IF(E125="","",IF(COUNTIF(lst_Jobs,E125&amp;"")&gt;0,"OK","CHECK"))</f>
        <v/>
      </c>
      <c r="G125" s="22" t="n"/>
      <c r="H125" s="22" t="n"/>
      <c r="I125" s="24" t="n"/>
      <c r="J125" s="22" t="n"/>
      <c r="K125" s="23" t="n"/>
      <c r="L125" s="72" t="n"/>
      <c r="M125" s="27">
        <f>IF(E125="","",SUMIFS(tbl_Finance[Ex GST],tbl_Finance[Job Number],E125&amp;""))</f>
        <v/>
      </c>
      <c r="N125" s="27">
        <f>IF(J125&lt;&gt;"Won","",IF(E125="",N(I125),I125-M125))</f>
        <v/>
      </c>
      <c r="O125" s="22" t="n"/>
    </row>
    <row r="126" ht="15" customHeight="1">
      <c r="A126" s="72" t="n"/>
      <c r="B126" s="22" t="n"/>
      <c r="C126" s="22" t="n"/>
      <c r="D126" s="22" t="n"/>
      <c r="E126" s="22" t="n"/>
      <c r="F126" s="26">
        <f>IF(E126="","",IF(COUNTIF(lst_Jobs,E126&amp;"")&gt;0,"OK","CHECK"))</f>
        <v/>
      </c>
      <c r="G126" s="22" t="n"/>
      <c r="H126" s="22" t="n"/>
      <c r="I126" s="24" t="n"/>
      <c r="J126" s="22" t="n"/>
      <c r="K126" s="23" t="n"/>
      <c r="L126" s="72" t="n"/>
      <c r="M126" s="27">
        <f>IF(E126="","",SUMIFS(tbl_Finance[Ex GST],tbl_Finance[Job Number],E126&amp;""))</f>
        <v/>
      </c>
      <c r="N126" s="27">
        <f>IF(J126&lt;&gt;"Won","",IF(E126="",N(I126),I126-M126))</f>
        <v/>
      </c>
      <c r="O126" s="22" t="n"/>
    </row>
    <row r="127" ht="15" customHeight="1">
      <c r="A127" s="72" t="n"/>
      <c r="B127" s="22" t="n"/>
      <c r="C127" s="22" t="n"/>
      <c r="D127" s="22" t="n"/>
      <c r="E127" s="22" t="n"/>
      <c r="F127" s="26">
        <f>IF(E127="","",IF(COUNTIF(lst_Jobs,E127&amp;"")&gt;0,"OK","CHECK"))</f>
        <v/>
      </c>
      <c r="G127" s="22" t="n"/>
      <c r="H127" s="22" t="n"/>
      <c r="I127" s="24" t="n"/>
      <c r="J127" s="22" t="n"/>
      <c r="K127" s="23" t="n"/>
      <c r="L127" s="72" t="n"/>
      <c r="M127" s="27">
        <f>IF(E127="","",SUMIFS(tbl_Finance[Ex GST],tbl_Finance[Job Number],E127&amp;""))</f>
        <v/>
      </c>
      <c r="N127" s="27">
        <f>IF(J127&lt;&gt;"Won","",IF(E127="",N(I127),I127-M127))</f>
        <v/>
      </c>
      <c r="O127" s="22" t="n"/>
    </row>
    <row r="128" ht="15" customHeight="1">
      <c r="A128" s="72" t="n"/>
      <c r="B128" s="22" t="n"/>
      <c r="C128" s="22" t="n"/>
      <c r="D128" s="22" t="n"/>
      <c r="E128" s="22" t="n"/>
      <c r="F128" s="26">
        <f>IF(E128="","",IF(COUNTIF(lst_Jobs,E128&amp;"")&gt;0,"OK","CHECK"))</f>
        <v/>
      </c>
      <c r="G128" s="22" t="n"/>
      <c r="H128" s="22" t="n"/>
      <c r="I128" s="24" t="n"/>
      <c r="J128" s="22" t="n"/>
      <c r="K128" s="23" t="n"/>
      <c r="L128" s="72" t="n"/>
      <c r="M128" s="27">
        <f>IF(E128="","",SUMIFS(tbl_Finance[Ex GST],tbl_Finance[Job Number],E128&amp;""))</f>
        <v/>
      </c>
      <c r="N128" s="27">
        <f>IF(J128&lt;&gt;"Won","",IF(E128="",N(I128),I128-M128))</f>
        <v/>
      </c>
      <c r="O128" s="22" t="n"/>
    </row>
    <row r="129" ht="15" customHeight="1">
      <c r="A129" s="72" t="n"/>
      <c r="B129" s="22" t="n"/>
      <c r="C129" s="22" t="n"/>
      <c r="D129" s="22" t="n"/>
      <c r="E129" s="22" t="n"/>
      <c r="F129" s="26">
        <f>IF(E129="","",IF(COUNTIF(lst_Jobs,E129&amp;"")&gt;0,"OK","CHECK"))</f>
        <v/>
      </c>
      <c r="G129" s="22" t="n"/>
      <c r="H129" s="22" t="n"/>
      <c r="I129" s="24" t="n"/>
      <c r="J129" s="22" t="n"/>
      <c r="K129" s="23" t="n"/>
      <c r="L129" s="72" t="n"/>
      <c r="M129" s="27">
        <f>IF(E129="","",SUMIFS(tbl_Finance[Ex GST],tbl_Finance[Job Number],E129&amp;""))</f>
        <v/>
      </c>
      <c r="N129" s="27">
        <f>IF(J129&lt;&gt;"Won","",IF(E129="",N(I129),I129-M129))</f>
        <v/>
      </c>
      <c r="O129" s="22" t="n"/>
    </row>
    <row r="130" ht="15" customHeight="1">
      <c r="A130" s="72" t="n"/>
      <c r="B130" s="22" t="n"/>
      <c r="C130" s="22" t="n"/>
      <c r="D130" s="22" t="n"/>
      <c r="E130" s="22" t="n"/>
      <c r="F130" s="26">
        <f>IF(E130="","",IF(COUNTIF(lst_Jobs,E130&amp;"")&gt;0,"OK","CHECK"))</f>
        <v/>
      </c>
      <c r="G130" s="22" t="n"/>
      <c r="H130" s="22" t="n"/>
      <c r="I130" s="24" t="n"/>
      <c r="J130" s="22" t="n"/>
      <c r="K130" s="23" t="n"/>
      <c r="L130" s="72" t="n"/>
      <c r="M130" s="27">
        <f>IF(E130="","",SUMIFS(tbl_Finance[Ex GST],tbl_Finance[Job Number],E130&amp;""))</f>
        <v/>
      </c>
      <c r="N130" s="27">
        <f>IF(J130&lt;&gt;"Won","",IF(E130="",N(I130),I130-M130))</f>
        <v/>
      </c>
      <c r="O130" s="22" t="n"/>
    </row>
    <row r="131" ht="15" customHeight="1">
      <c r="A131" s="72" t="n"/>
      <c r="B131" s="22" t="n"/>
      <c r="C131" s="22" t="n"/>
      <c r="D131" s="22" t="n"/>
      <c r="E131" s="22" t="n"/>
      <c r="F131" s="26">
        <f>IF(E131="","",IF(COUNTIF(lst_Jobs,E131&amp;"")&gt;0,"OK","CHECK"))</f>
        <v/>
      </c>
      <c r="G131" s="22" t="n"/>
      <c r="H131" s="22" t="n"/>
      <c r="I131" s="24" t="n"/>
      <c r="J131" s="22" t="n"/>
      <c r="K131" s="23" t="n"/>
      <c r="L131" s="72" t="n"/>
      <c r="M131" s="27">
        <f>IF(E131="","",SUMIFS(tbl_Finance[Ex GST],tbl_Finance[Job Number],E131&amp;""))</f>
        <v/>
      </c>
      <c r="N131" s="27">
        <f>IF(J131&lt;&gt;"Won","",IF(E131="",N(I131),I131-M131))</f>
        <v/>
      </c>
      <c r="O131" s="22" t="n"/>
    </row>
    <row r="132" ht="15" customHeight="1">
      <c r="A132" s="72" t="n"/>
      <c r="B132" s="22" t="n"/>
      <c r="C132" s="22" t="n"/>
      <c r="D132" s="22" t="n"/>
      <c r="E132" s="22" t="n"/>
      <c r="F132" s="26">
        <f>IF(E132="","",IF(COUNTIF(lst_Jobs,E132&amp;"")&gt;0,"OK","CHECK"))</f>
        <v/>
      </c>
      <c r="G132" s="22" t="n"/>
      <c r="H132" s="22" t="n"/>
      <c r="I132" s="24" t="n"/>
      <c r="J132" s="22" t="n"/>
      <c r="K132" s="23" t="n"/>
      <c r="L132" s="72" t="n"/>
      <c r="M132" s="27">
        <f>IF(E132="","",SUMIFS(tbl_Finance[Ex GST],tbl_Finance[Job Number],E132&amp;""))</f>
        <v/>
      </c>
      <c r="N132" s="27">
        <f>IF(J132&lt;&gt;"Won","",IF(E132="",N(I132),I132-M132))</f>
        <v/>
      </c>
      <c r="O132" s="22" t="n"/>
    </row>
    <row r="133" ht="15" customHeight="1">
      <c r="A133" s="72" t="n"/>
      <c r="B133" s="22" t="n"/>
      <c r="C133" s="22" t="n"/>
      <c r="D133" s="22" t="n"/>
      <c r="E133" s="22" t="n"/>
      <c r="F133" s="26">
        <f>IF(E133="","",IF(COUNTIF(lst_Jobs,E133&amp;"")&gt;0,"OK","CHECK"))</f>
        <v/>
      </c>
      <c r="G133" s="22" t="n"/>
      <c r="H133" s="22" t="n"/>
      <c r="I133" s="24" t="n"/>
      <c r="J133" s="22" t="n"/>
      <c r="K133" s="23" t="n"/>
      <c r="L133" s="72" t="n"/>
      <c r="M133" s="27">
        <f>IF(E133="","",SUMIFS(tbl_Finance[Ex GST],tbl_Finance[Job Number],E133&amp;""))</f>
        <v/>
      </c>
      <c r="N133" s="27">
        <f>IF(J133&lt;&gt;"Won","",IF(E133="",N(I133),I133-M133))</f>
        <v/>
      </c>
      <c r="O133" s="22" t="n"/>
    </row>
    <row r="134" ht="15" customHeight="1">
      <c r="A134" s="72" t="n"/>
      <c r="B134" s="22" t="n"/>
      <c r="C134" s="22" t="n"/>
      <c r="D134" s="22" t="n"/>
      <c r="E134" s="22" t="n"/>
      <c r="F134" s="26">
        <f>IF(E134="","",IF(COUNTIF(lst_Jobs,E134&amp;"")&gt;0,"OK","CHECK"))</f>
        <v/>
      </c>
      <c r="G134" s="22" t="n"/>
      <c r="H134" s="22" t="n"/>
      <c r="I134" s="24" t="n"/>
      <c r="J134" s="22" t="n"/>
      <c r="K134" s="23" t="n"/>
      <c r="L134" s="72" t="n"/>
      <c r="M134" s="27">
        <f>IF(E134="","",SUMIFS(tbl_Finance[Ex GST],tbl_Finance[Job Number],E134&amp;""))</f>
        <v/>
      </c>
      <c r="N134" s="27">
        <f>IF(J134&lt;&gt;"Won","",IF(E134="",N(I134),I134-M134))</f>
        <v/>
      </c>
      <c r="O134" s="22" t="n"/>
    </row>
    <row r="135" ht="15" customHeight="1">
      <c r="A135" s="72" t="n"/>
      <c r="B135" s="22" t="n"/>
      <c r="C135" s="22" t="n"/>
      <c r="D135" s="22" t="n"/>
      <c r="E135" s="22" t="n"/>
      <c r="F135" s="26">
        <f>IF(E135="","",IF(COUNTIF(lst_Jobs,E135&amp;"")&gt;0,"OK","CHECK"))</f>
        <v/>
      </c>
      <c r="G135" s="22" t="n"/>
      <c r="H135" s="22" t="n"/>
      <c r="I135" s="24" t="n"/>
      <c r="J135" s="22" t="n"/>
      <c r="K135" s="23" t="n"/>
      <c r="L135" s="72" t="n"/>
      <c r="M135" s="27">
        <f>IF(E135="","",SUMIFS(tbl_Finance[Ex GST],tbl_Finance[Job Number],E135&amp;""))</f>
        <v/>
      </c>
      <c r="N135" s="27">
        <f>IF(J135&lt;&gt;"Won","",IF(E135="",N(I135),I135-M135))</f>
        <v/>
      </c>
      <c r="O135" s="22" t="n"/>
    </row>
    <row r="136" ht="15" customHeight="1">
      <c r="A136" s="72" t="n"/>
      <c r="B136" s="22" t="n"/>
      <c r="C136" s="22" t="n"/>
      <c r="D136" s="22" t="n"/>
      <c r="E136" s="22" t="n"/>
      <c r="F136" s="26">
        <f>IF(E136="","",IF(COUNTIF(lst_Jobs,E136&amp;"")&gt;0,"OK","CHECK"))</f>
        <v/>
      </c>
      <c r="G136" s="22" t="n"/>
      <c r="H136" s="22" t="n"/>
      <c r="I136" s="24" t="n"/>
      <c r="J136" s="22" t="n"/>
      <c r="K136" s="23" t="n"/>
      <c r="L136" s="72" t="n"/>
      <c r="M136" s="27">
        <f>IF(E136="","",SUMIFS(tbl_Finance[Ex GST],tbl_Finance[Job Number],E136&amp;""))</f>
        <v/>
      </c>
      <c r="N136" s="27">
        <f>IF(J136&lt;&gt;"Won","",IF(E136="",N(I136),I136-M136))</f>
        <v/>
      </c>
      <c r="O136" s="22" t="n"/>
    </row>
    <row r="137" ht="15" customHeight="1">
      <c r="A137" s="72" t="n"/>
      <c r="B137" s="22" t="n"/>
      <c r="C137" s="22" t="n"/>
      <c r="D137" s="22" t="n"/>
      <c r="E137" s="22" t="n"/>
      <c r="F137" s="26">
        <f>IF(E137="","",IF(COUNTIF(lst_Jobs,E137&amp;"")&gt;0,"OK","CHECK"))</f>
        <v/>
      </c>
      <c r="G137" s="22" t="n"/>
      <c r="H137" s="22" t="n"/>
      <c r="I137" s="24" t="n"/>
      <c r="J137" s="22" t="n"/>
      <c r="K137" s="23" t="n"/>
      <c r="L137" s="72" t="n"/>
      <c r="M137" s="27">
        <f>IF(E137="","",SUMIFS(tbl_Finance[Ex GST],tbl_Finance[Job Number],E137&amp;""))</f>
        <v/>
      </c>
      <c r="N137" s="27">
        <f>IF(J137&lt;&gt;"Won","",IF(E137="",N(I137),I137-M137))</f>
        <v/>
      </c>
      <c r="O137" s="22" t="n"/>
    </row>
    <row r="138" ht="15" customHeight="1">
      <c r="A138" s="72" t="n"/>
      <c r="B138" s="22" t="n"/>
      <c r="C138" s="22" t="n"/>
      <c r="D138" s="22" t="n"/>
      <c r="E138" s="22" t="n"/>
      <c r="F138" s="26">
        <f>IF(E138="","",IF(COUNTIF(lst_Jobs,E138&amp;"")&gt;0,"OK","CHECK"))</f>
        <v/>
      </c>
      <c r="G138" s="22" t="n"/>
      <c r="H138" s="22" t="n"/>
      <c r="I138" s="24" t="n"/>
      <c r="J138" s="22" t="n"/>
      <c r="K138" s="23" t="n"/>
      <c r="L138" s="72" t="n"/>
      <c r="M138" s="27">
        <f>IF(E138="","",SUMIFS(tbl_Finance[Ex GST],tbl_Finance[Job Number],E138&amp;""))</f>
        <v/>
      </c>
      <c r="N138" s="27">
        <f>IF(J138&lt;&gt;"Won","",IF(E138="",N(I138),I138-M138))</f>
        <v/>
      </c>
      <c r="O138" s="22" t="n"/>
    </row>
    <row r="139" ht="15" customHeight="1">
      <c r="A139" s="72" t="n"/>
      <c r="B139" s="22" t="n"/>
      <c r="C139" s="22" t="n"/>
      <c r="D139" s="22" t="n"/>
      <c r="E139" s="22" t="n"/>
      <c r="F139" s="26">
        <f>IF(E139="","",IF(COUNTIF(lst_Jobs,E139&amp;"")&gt;0,"OK","CHECK"))</f>
        <v/>
      </c>
      <c r="G139" s="22" t="n"/>
      <c r="H139" s="22" t="n"/>
      <c r="I139" s="24" t="n"/>
      <c r="J139" s="22" t="n"/>
      <c r="K139" s="23" t="n"/>
      <c r="L139" s="72" t="n"/>
      <c r="M139" s="27">
        <f>IF(E139="","",SUMIFS(tbl_Finance[Ex GST],tbl_Finance[Job Number],E139&amp;""))</f>
        <v/>
      </c>
      <c r="N139" s="27">
        <f>IF(J139&lt;&gt;"Won","",IF(E139="",N(I139),I139-M139))</f>
        <v/>
      </c>
      <c r="O139" s="22" t="n"/>
    </row>
    <row r="140" ht="15" customHeight="1">
      <c r="A140" s="72" t="n"/>
      <c r="B140" s="22" t="n"/>
      <c r="C140" s="22" t="n"/>
      <c r="D140" s="22" t="n"/>
      <c r="E140" s="22" t="n"/>
      <c r="F140" s="26">
        <f>IF(E140="","",IF(COUNTIF(lst_Jobs,E140&amp;"")&gt;0,"OK","CHECK"))</f>
        <v/>
      </c>
      <c r="G140" s="22" t="n"/>
      <c r="H140" s="22" t="n"/>
      <c r="I140" s="24" t="n"/>
      <c r="J140" s="22" t="n"/>
      <c r="K140" s="23" t="n"/>
      <c r="L140" s="72" t="n"/>
      <c r="M140" s="27">
        <f>IF(E140="","",SUMIFS(tbl_Finance[Ex GST],tbl_Finance[Job Number],E140&amp;""))</f>
        <v/>
      </c>
      <c r="N140" s="27">
        <f>IF(J140&lt;&gt;"Won","",IF(E140="",N(I140),I140-M140))</f>
        <v/>
      </c>
      <c r="O140" s="22" t="n"/>
    </row>
    <row r="141" ht="15" customHeight="1">
      <c r="A141" s="72" t="n"/>
      <c r="B141" s="22" t="n"/>
      <c r="C141" s="22" t="n"/>
      <c r="D141" s="22" t="n"/>
      <c r="E141" s="22" t="n"/>
      <c r="F141" s="26">
        <f>IF(E141="","",IF(COUNTIF(lst_Jobs,E141&amp;"")&gt;0,"OK","CHECK"))</f>
        <v/>
      </c>
      <c r="G141" s="22" t="n"/>
      <c r="H141" s="22" t="n"/>
      <c r="I141" s="24" t="n"/>
      <c r="J141" s="22" t="n"/>
      <c r="K141" s="23" t="n"/>
      <c r="L141" s="72" t="n"/>
      <c r="M141" s="27">
        <f>IF(E141="","",SUMIFS(tbl_Finance[Ex GST],tbl_Finance[Job Number],E141&amp;""))</f>
        <v/>
      </c>
      <c r="N141" s="27">
        <f>IF(J141&lt;&gt;"Won","",IF(E141="",N(I141),I141-M141))</f>
        <v/>
      </c>
      <c r="O141" s="22" t="n"/>
    </row>
    <row r="142" ht="15" customHeight="1">
      <c r="A142" s="72" t="n"/>
      <c r="B142" s="22" t="n"/>
      <c r="C142" s="22" t="n"/>
      <c r="D142" s="22" t="n"/>
      <c r="E142" s="22" t="n"/>
      <c r="F142" s="26">
        <f>IF(E142="","",IF(COUNTIF(lst_Jobs,E142&amp;"")&gt;0,"OK","CHECK"))</f>
        <v/>
      </c>
      <c r="G142" s="22" t="n"/>
      <c r="H142" s="22" t="n"/>
      <c r="I142" s="24" t="n"/>
      <c r="J142" s="22" t="n"/>
      <c r="K142" s="23" t="n"/>
      <c r="L142" s="72" t="n"/>
      <c r="M142" s="27">
        <f>IF(E142="","",SUMIFS(tbl_Finance[Ex GST],tbl_Finance[Job Number],E142&amp;""))</f>
        <v/>
      </c>
      <c r="N142" s="27">
        <f>IF(J142&lt;&gt;"Won","",IF(E142="",N(I142),I142-M142))</f>
        <v/>
      </c>
      <c r="O142" s="22" t="n"/>
    </row>
    <row r="143" ht="15" customHeight="1">
      <c r="A143" s="72" t="n"/>
      <c r="B143" s="22" t="n"/>
      <c r="C143" s="22" t="n"/>
      <c r="D143" s="22" t="n"/>
      <c r="E143" s="22" t="n"/>
      <c r="F143" s="26">
        <f>IF(E143="","",IF(COUNTIF(lst_Jobs,E143&amp;"")&gt;0,"OK","CHECK"))</f>
        <v/>
      </c>
      <c r="G143" s="22" t="n"/>
      <c r="H143" s="22" t="n"/>
      <c r="I143" s="24" t="n"/>
      <c r="J143" s="22" t="n"/>
      <c r="K143" s="23" t="n"/>
      <c r="L143" s="72" t="n"/>
      <c r="M143" s="27">
        <f>IF(E143="","",SUMIFS(tbl_Finance[Ex GST],tbl_Finance[Job Number],E143&amp;""))</f>
        <v/>
      </c>
      <c r="N143" s="27">
        <f>IF(J143&lt;&gt;"Won","",IF(E143="",N(I143),I143-M143))</f>
        <v/>
      </c>
      <c r="O143" s="22" t="n"/>
    </row>
    <row r="144" ht="15" customHeight="1">
      <c r="A144" s="72" t="n"/>
      <c r="B144" s="22" t="n"/>
      <c r="C144" s="22" t="n"/>
      <c r="D144" s="22" t="n"/>
      <c r="E144" s="22" t="n"/>
      <c r="F144" s="26">
        <f>IF(E144="","",IF(COUNTIF(lst_Jobs,E144&amp;"")&gt;0,"OK","CHECK"))</f>
        <v/>
      </c>
      <c r="G144" s="22" t="n"/>
      <c r="H144" s="22" t="n"/>
      <c r="I144" s="24" t="n"/>
      <c r="J144" s="22" t="n"/>
      <c r="K144" s="23" t="n"/>
      <c r="L144" s="72" t="n"/>
      <c r="M144" s="27">
        <f>IF(E144="","",SUMIFS(tbl_Finance[Ex GST],tbl_Finance[Job Number],E144&amp;""))</f>
        <v/>
      </c>
      <c r="N144" s="27">
        <f>IF(J144&lt;&gt;"Won","",IF(E144="",N(I144),I144-M144))</f>
        <v/>
      </c>
      <c r="O144" s="22" t="n"/>
    </row>
    <row r="145" ht="15" customHeight="1">
      <c r="A145" s="72" t="n"/>
      <c r="B145" s="22" t="n"/>
      <c r="C145" s="22" t="n"/>
      <c r="D145" s="22" t="n"/>
      <c r="E145" s="22" t="n"/>
      <c r="F145" s="26">
        <f>IF(E145="","",IF(COUNTIF(lst_Jobs,E145&amp;"")&gt;0,"OK","CHECK"))</f>
        <v/>
      </c>
      <c r="G145" s="22" t="n"/>
      <c r="H145" s="22" t="n"/>
      <c r="I145" s="24" t="n"/>
      <c r="J145" s="22" t="n"/>
      <c r="K145" s="23" t="n"/>
      <c r="L145" s="72" t="n"/>
      <c r="M145" s="27">
        <f>IF(E145="","",SUMIFS(tbl_Finance[Ex GST],tbl_Finance[Job Number],E145&amp;""))</f>
        <v/>
      </c>
      <c r="N145" s="27">
        <f>IF(J145&lt;&gt;"Won","",IF(E145="",N(I145),I145-M145))</f>
        <v/>
      </c>
      <c r="O145" s="22" t="n"/>
    </row>
    <row r="146" ht="15" customHeight="1">
      <c r="A146" s="72" t="n"/>
      <c r="B146" s="22" t="n"/>
      <c r="C146" s="22" t="n"/>
      <c r="D146" s="22" t="n"/>
      <c r="E146" s="22" t="n"/>
      <c r="F146" s="26">
        <f>IF(E146="","",IF(COUNTIF(lst_Jobs,E146&amp;"")&gt;0,"OK","CHECK"))</f>
        <v/>
      </c>
      <c r="G146" s="22" t="n"/>
      <c r="H146" s="22" t="n"/>
      <c r="I146" s="24" t="n"/>
      <c r="J146" s="22" t="n"/>
      <c r="K146" s="23" t="n"/>
      <c r="L146" s="72" t="n"/>
      <c r="M146" s="27">
        <f>IF(E146="","",SUMIFS(tbl_Finance[Ex GST],tbl_Finance[Job Number],E146&amp;""))</f>
        <v/>
      </c>
      <c r="N146" s="27">
        <f>IF(J146&lt;&gt;"Won","",IF(E146="",N(I146),I146-M146))</f>
        <v/>
      </c>
      <c r="O146" s="22" t="n"/>
    </row>
    <row r="147" ht="15" customHeight="1">
      <c r="A147" s="72" t="n"/>
      <c r="B147" s="22" t="n"/>
      <c r="C147" s="22" t="n"/>
      <c r="D147" s="22" t="n"/>
      <c r="E147" s="22" t="n"/>
      <c r="F147" s="26">
        <f>IF(E147="","",IF(COUNTIF(lst_Jobs,E147&amp;"")&gt;0,"OK","CHECK"))</f>
        <v/>
      </c>
      <c r="G147" s="22" t="n"/>
      <c r="H147" s="22" t="n"/>
      <c r="I147" s="24" t="n"/>
      <c r="J147" s="22" t="n"/>
      <c r="K147" s="23" t="n"/>
      <c r="L147" s="72" t="n"/>
      <c r="M147" s="27">
        <f>IF(E147="","",SUMIFS(tbl_Finance[Ex GST],tbl_Finance[Job Number],E147&amp;""))</f>
        <v/>
      </c>
      <c r="N147" s="27">
        <f>IF(J147&lt;&gt;"Won","",IF(E147="",N(I147),I147-M147))</f>
        <v/>
      </c>
      <c r="O147" s="22" t="n"/>
    </row>
    <row r="148" ht="15" customHeight="1">
      <c r="A148" s="72" t="n"/>
      <c r="B148" s="22" t="n"/>
      <c r="C148" s="22" t="n"/>
      <c r="D148" s="22" t="n"/>
      <c r="E148" s="22" t="n"/>
      <c r="F148" s="26">
        <f>IF(E148="","",IF(COUNTIF(lst_Jobs,E148&amp;"")&gt;0,"OK","CHECK"))</f>
        <v/>
      </c>
      <c r="G148" s="22" t="n"/>
      <c r="H148" s="22" t="n"/>
      <c r="I148" s="24" t="n"/>
      <c r="J148" s="22" t="n"/>
      <c r="K148" s="23" t="n"/>
      <c r="L148" s="72" t="n"/>
      <c r="M148" s="27">
        <f>IF(E148="","",SUMIFS(tbl_Finance[Ex GST],tbl_Finance[Job Number],E148&amp;""))</f>
        <v/>
      </c>
      <c r="N148" s="27">
        <f>IF(J148&lt;&gt;"Won","",IF(E148="",N(I148),I148-M148))</f>
        <v/>
      </c>
      <c r="O148" s="22" t="n"/>
    </row>
    <row r="149" ht="15" customHeight="1">
      <c r="A149" s="72" t="n"/>
      <c r="B149" s="22" t="n"/>
      <c r="C149" s="22" t="n"/>
      <c r="D149" s="22" t="n"/>
      <c r="E149" s="22" t="n"/>
      <c r="F149" s="26">
        <f>IF(E149="","",IF(COUNTIF(lst_Jobs,E149&amp;"")&gt;0,"OK","CHECK"))</f>
        <v/>
      </c>
      <c r="G149" s="22" t="n"/>
      <c r="H149" s="22" t="n"/>
      <c r="I149" s="24" t="n"/>
      <c r="J149" s="22" t="n"/>
      <c r="K149" s="23" t="n"/>
      <c r="L149" s="72" t="n"/>
      <c r="M149" s="27">
        <f>IF(E149="","",SUMIFS(tbl_Finance[Ex GST],tbl_Finance[Job Number],E149&amp;""))</f>
        <v/>
      </c>
      <c r="N149" s="27">
        <f>IF(J149&lt;&gt;"Won","",IF(E149="",N(I149),I149-M149))</f>
        <v/>
      </c>
      <c r="O149" s="22" t="n"/>
    </row>
    <row r="150" ht="15" customHeight="1">
      <c r="A150" s="72" t="n"/>
      <c r="B150" s="22" t="n"/>
      <c r="C150" s="22" t="n"/>
      <c r="D150" s="22" t="n"/>
      <c r="E150" s="22" t="n"/>
      <c r="F150" s="26">
        <f>IF(E150="","",IF(COUNTIF(lst_Jobs,E150&amp;"")&gt;0,"OK","CHECK"))</f>
        <v/>
      </c>
      <c r="G150" s="22" t="n"/>
      <c r="H150" s="22" t="n"/>
      <c r="I150" s="24" t="n"/>
      <c r="J150" s="22" t="n"/>
      <c r="K150" s="23" t="n"/>
      <c r="L150" s="72" t="n"/>
      <c r="M150" s="27">
        <f>IF(E150="","",SUMIFS(tbl_Finance[Ex GST],tbl_Finance[Job Number],E150&amp;""))</f>
        <v/>
      </c>
      <c r="N150" s="27">
        <f>IF(J150&lt;&gt;"Won","",IF(E150="",N(I150),I150-M150))</f>
        <v/>
      </c>
      <c r="O150" s="22" t="n"/>
    </row>
    <row r="151" ht="15" customHeight="1">
      <c r="A151" s="72" t="n"/>
      <c r="B151" s="22" t="n"/>
      <c r="C151" s="22" t="n"/>
      <c r="D151" s="22" t="n"/>
      <c r="E151" s="22" t="n"/>
      <c r="F151" s="26">
        <f>IF(E151="","",IF(COUNTIF(lst_Jobs,E151&amp;"")&gt;0,"OK","CHECK"))</f>
        <v/>
      </c>
      <c r="G151" s="22" t="n"/>
      <c r="H151" s="22" t="n"/>
      <c r="I151" s="24" t="n"/>
      <c r="J151" s="22" t="n"/>
      <c r="K151" s="23" t="n"/>
      <c r="L151" s="72" t="n"/>
      <c r="M151" s="27">
        <f>IF(E151="","",SUMIFS(tbl_Finance[Ex GST],tbl_Finance[Job Number],E151&amp;""))</f>
        <v/>
      </c>
      <c r="N151" s="27">
        <f>IF(J151&lt;&gt;"Won","",IF(E151="",N(I151),I151-M151))</f>
        <v/>
      </c>
      <c r="O151" s="22" t="n"/>
    </row>
    <row r="152" ht="15" customHeight="1">
      <c r="A152" s="72" t="n"/>
      <c r="B152" s="22" t="n"/>
      <c r="C152" s="22" t="n"/>
      <c r="D152" s="22" t="n"/>
      <c r="E152" s="22" t="n"/>
      <c r="F152" s="26">
        <f>IF(E152="","",IF(COUNTIF(lst_Jobs,E152&amp;"")&gt;0,"OK","CHECK"))</f>
        <v/>
      </c>
      <c r="G152" s="22" t="n"/>
      <c r="H152" s="22" t="n"/>
      <c r="I152" s="24" t="n"/>
      <c r="J152" s="22" t="n"/>
      <c r="K152" s="23" t="n"/>
      <c r="L152" s="72" t="n"/>
      <c r="M152" s="27">
        <f>IF(E152="","",SUMIFS(tbl_Finance[Ex GST],tbl_Finance[Job Number],E152&amp;""))</f>
        <v/>
      </c>
      <c r="N152" s="27">
        <f>IF(J152&lt;&gt;"Won","",IF(E152="",N(I152),I152-M152))</f>
        <v/>
      </c>
      <c r="O152" s="22" t="n"/>
    </row>
    <row r="153" ht="15" customHeight="1">
      <c r="A153" s="72" t="n"/>
      <c r="B153" s="22" t="n"/>
      <c r="C153" s="22" t="n"/>
      <c r="D153" s="22" t="n"/>
      <c r="E153" s="22" t="n"/>
      <c r="F153" s="26">
        <f>IF(E153="","",IF(COUNTIF(lst_Jobs,E153&amp;"")&gt;0,"OK","CHECK"))</f>
        <v/>
      </c>
      <c r="G153" s="22" t="n"/>
      <c r="H153" s="22" t="n"/>
      <c r="I153" s="24" t="n"/>
      <c r="J153" s="22" t="n"/>
      <c r="K153" s="23" t="n"/>
      <c r="L153" s="72" t="n"/>
      <c r="M153" s="27">
        <f>IF(E153="","",SUMIFS(tbl_Finance[Ex GST],tbl_Finance[Job Number],E153&amp;""))</f>
        <v/>
      </c>
      <c r="N153" s="27">
        <f>IF(J153&lt;&gt;"Won","",IF(E153="",N(I153),I153-M153))</f>
        <v/>
      </c>
      <c r="O153" s="22" t="n"/>
    </row>
    <row r="154" ht="15" customHeight="1">
      <c r="A154" s="72" t="n"/>
      <c r="B154" s="22" t="n"/>
      <c r="C154" s="22" t="n"/>
      <c r="D154" s="22" t="n"/>
      <c r="E154" s="22" t="n"/>
      <c r="F154" s="26">
        <f>IF(E154="","",IF(COUNTIF(lst_Jobs,E154&amp;"")&gt;0,"OK","CHECK"))</f>
        <v/>
      </c>
      <c r="G154" s="22" t="n"/>
      <c r="H154" s="22" t="n"/>
      <c r="I154" s="24" t="n"/>
      <c r="J154" s="22" t="n"/>
      <c r="K154" s="23" t="n"/>
      <c r="L154" s="72" t="n"/>
      <c r="M154" s="27">
        <f>IF(E154="","",SUMIFS(tbl_Finance[Ex GST],tbl_Finance[Job Number],E154&amp;""))</f>
        <v/>
      </c>
      <c r="N154" s="27">
        <f>IF(J154&lt;&gt;"Won","",IF(E154="",N(I154),I154-M154))</f>
        <v/>
      </c>
      <c r="O154" s="22" t="n"/>
    </row>
    <row r="155" ht="15" customHeight="1">
      <c r="A155" s="72" t="n"/>
      <c r="B155" s="22" t="n"/>
      <c r="C155" s="22" t="n"/>
      <c r="D155" s="22" t="n"/>
      <c r="E155" s="22" t="n"/>
      <c r="F155" s="26">
        <f>IF(E155="","",IF(COUNTIF(lst_Jobs,E155&amp;"")&gt;0,"OK","CHECK"))</f>
        <v/>
      </c>
      <c r="G155" s="22" t="n"/>
      <c r="H155" s="22" t="n"/>
      <c r="I155" s="24" t="n"/>
      <c r="J155" s="22" t="n"/>
      <c r="K155" s="23" t="n"/>
      <c r="L155" s="72" t="n"/>
      <c r="M155" s="27">
        <f>IF(E155="","",SUMIFS(tbl_Finance[Ex GST],tbl_Finance[Job Number],E155&amp;""))</f>
        <v/>
      </c>
      <c r="N155" s="27">
        <f>IF(J155&lt;&gt;"Won","",IF(E155="",N(I155),I155-M155))</f>
        <v/>
      </c>
      <c r="O155" s="22" t="n"/>
    </row>
    <row r="156" ht="15" customHeight="1">
      <c r="A156" s="72" t="n"/>
      <c r="B156" s="22" t="n"/>
      <c r="C156" s="22" t="n"/>
      <c r="D156" s="22" t="n"/>
      <c r="E156" s="22" t="n"/>
      <c r="F156" s="26">
        <f>IF(E156="","",IF(COUNTIF(lst_Jobs,E156&amp;"")&gt;0,"OK","CHECK"))</f>
        <v/>
      </c>
      <c r="G156" s="22" t="n"/>
      <c r="H156" s="22" t="n"/>
      <c r="I156" s="24" t="n"/>
      <c r="J156" s="22" t="n"/>
      <c r="K156" s="23" t="n"/>
      <c r="L156" s="72" t="n"/>
      <c r="M156" s="27">
        <f>IF(E156="","",SUMIFS(tbl_Finance[Ex GST],tbl_Finance[Job Number],E156&amp;""))</f>
        <v/>
      </c>
      <c r="N156" s="27">
        <f>IF(J156&lt;&gt;"Won","",IF(E156="",N(I156),I156-M156))</f>
        <v/>
      </c>
      <c r="O156" s="22" t="n"/>
    </row>
    <row r="157" ht="15" customHeight="1">
      <c r="A157" s="72" t="n"/>
      <c r="B157" s="22" t="n"/>
      <c r="C157" s="22" t="n"/>
      <c r="D157" s="22" t="n"/>
      <c r="E157" s="22" t="n"/>
      <c r="F157" s="26">
        <f>IF(E157="","",IF(COUNTIF(lst_Jobs,E157&amp;"")&gt;0,"OK","CHECK"))</f>
        <v/>
      </c>
      <c r="G157" s="22" t="n"/>
      <c r="H157" s="22" t="n"/>
      <c r="I157" s="24" t="n"/>
      <c r="J157" s="22" t="n"/>
      <c r="K157" s="23" t="n"/>
      <c r="L157" s="72" t="n"/>
      <c r="M157" s="27">
        <f>IF(E157="","",SUMIFS(tbl_Finance[Ex GST],tbl_Finance[Job Number],E157&amp;""))</f>
        <v/>
      </c>
      <c r="N157" s="27">
        <f>IF(J157&lt;&gt;"Won","",IF(E157="",N(I157),I157-M157))</f>
        <v/>
      </c>
      <c r="O157" s="22" t="n"/>
    </row>
    <row r="158" ht="15" customHeight="1">
      <c r="A158" s="72" t="n"/>
      <c r="B158" s="22" t="n"/>
      <c r="C158" s="22" t="n"/>
      <c r="D158" s="22" t="n"/>
      <c r="E158" s="22" t="n"/>
      <c r="F158" s="26">
        <f>IF(E158="","",IF(COUNTIF(lst_Jobs,E158&amp;"")&gt;0,"OK","CHECK"))</f>
        <v/>
      </c>
      <c r="G158" s="22" t="n"/>
      <c r="H158" s="22" t="n"/>
      <c r="I158" s="24" t="n"/>
      <c r="J158" s="22" t="n"/>
      <c r="K158" s="23" t="n"/>
      <c r="L158" s="72" t="n"/>
      <c r="M158" s="27">
        <f>IF(E158="","",SUMIFS(tbl_Finance[Ex GST],tbl_Finance[Job Number],E158&amp;""))</f>
        <v/>
      </c>
      <c r="N158" s="27">
        <f>IF(J158&lt;&gt;"Won","",IF(E158="",N(I158),I158-M158))</f>
        <v/>
      </c>
      <c r="O158" s="22" t="n"/>
    </row>
    <row r="159" ht="15" customHeight="1">
      <c r="A159" s="72" t="n"/>
      <c r="B159" s="22" t="n"/>
      <c r="C159" s="22" t="n"/>
      <c r="D159" s="22" t="n"/>
      <c r="E159" s="22" t="n"/>
      <c r="F159" s="26">
        <f>IF(E159="","",IF(COUNTIF(lst_Jobs,E159&amp;"")&gt;0,"OK","CHECK"))</f>
        <v/>
      </c>
      <c r="G159" s="22" t="n"/>
      <c r="H159" s="22" t="n"/>
      <c r="I159" s="24" t="n"/>
      <c r="J159" s="22" t="n"/>
      <c r="K159" s="23" t="n"/>
      <c r="L159" s="72" t="n"/>
      <c r="M159" s="27">
        <f>IF(E159="","",SUMIFS(tbl_Finance[Ex GST],tbl_Finance[Job Number],E159&amp;""))</f>
        <v/>
      </c>
      <c r="N159" s="27">
        <f>IF(J159&lt;&gt;"Won","",IF(E159="",N(I159),I159-M159))</f>
        <v/>
      </c>
      <c r="O159" s="22" t="n"/>
    </row>
    <row r="160" ht="15" customHeight="1">
      <c r="A160" s="72" t="n"/>
      <c r="B160" s="22" t="n"/>
      <c r="C160" s="22" t="n"/>
      <c r="D160" s="22" t="n"/>
      <c r="E160" s="22" t="n"/>
      <c r="F160" s="26">
        <f>IF(E160="","",IF(COUNTIF(lst_Jobs,E160&amp;"")&gt;0,"OK","CHECK"))</f>
        <v/>
      </c>
      <c r="G160" s="22" t="n"/>
      <c r="H160" s="22" t="n"/>
      <c r="I160" s="24" t="n"/>
      <c r="J160" s="22" t="n"/>
      <c r="K160" s="23" t="n"/>
      <c r="L160" s="72" t="n"/>
      <c r="M160" s="27">
        <f>IF(E160="","",SUMIFS(tbl_Finance[Ex GST],tbl_Finance[Job Number],E160&amp;""))</f>
        <v/>
      </c>
      <c r="N160" s="27">
        <f>IF(J160&lt;&gt;"Won","",IF(E160="",N(I160),I160-M160))</f>
        <v/>
      </c>
      <c r="O160" s="22" t="n"/>
    </row>
    <row r="161" ht="15" customHeight="1">
      <c r="A161" s="72" t="n"/>
      <c r="B161" s="22" t="n"/>
      <c r="C161" s="22" t="n"/>
      <c r="D161" s="22" t="n"/>
      <c r="E161" s="22" t="n"/>
      <c r="F161" s="26">
        <f>IF(E161="","",IF(COUNTIF(lst_Jobs,E161&amp;"")&gt;0,"OK","CHECK"))</f>
        <v/>
      </c>
      <c r="G161" s="22" t="n"/>
      <c r="H161" s="22" t="n"/>
      <c r="I161" s="24" t="n"/>
      <c r="J161" s="22" t="n"/>
      <c r="K161" s="23" t="n"/>
      <c r="L161" s="72" t="n"/>
      <c r="M161" s="27">
        <f>IF(E161="","",SUMIFS(tbl_Finance[Ex GST],tbl_Finance[Job Number],E161&amp;""))</f>
        <v/>
      </c>
      <c r="N161" s="27">
        <f>IF(J161&lt;&gt;"Won","",IF(E161="",N(I161),I161-M161))</f>
        <v/>
      </c>
      <c r="O161" s="22" t="n"/>
    </row>
    <row r="162" ht="15" customHeight="1">
      <c r="A162" s="72" t="n"/>
      <c r="B162" s="22" t="n"/>
      <c r="C162" s="22" t="n"/>
      <c r="D162" s="22" t="n"/>
      <c r="E162" s="22" t="n"/>
      <c r="F162" s="26">
        <f>IF(E162="","",IF(COUNTIF(lst_Jobs,E162&amp;"")&gt;0,"OK","CHECK"))</f>
        <v/>
      </c>
      <c r="G162" s="22" t="n"/>
      <c r="H162" s="22" t="n"/>
      <c r="I162" s="24" t="n"/>
      <c r="J162" s="22" t="n"/>
      <c r="K162" s="23" t="n"/>
      <c r="L162" s="72" t="n"/>
      <c r="M162" s="27">
        <f>IF(E162="","",SUMIFS(tbl_Finance[Ex GST],tbl_Finance[Job Number],E162&amp;""))</f>
        <v/>
      </c>
      <c r="N162" s="27">
        <f>IF(J162&lt;&gt;"Won","",IF(E162="",N(I162),I162-M162))</f>
        <v/>
      </c>
      <c r="O162" s="22" t="n"/>
    </row>
    <row r="163" ht="15" customHeight="1">
      <c r="A163" s="72" t="n"/>
      <c r="B163" s="22" t="n"/>
      <c r="C163" s="22" t="n"/>
      <c r="D163" s="22" t="n"/>
      <c r="E163" s="22" t="n"/>
      <c r="F163" s="26">
        <f>IF(E163="","",IF(COUNTIF(lst_Jobs,E163&amp;"")&gt;0,"OK","CHECK"))</f>
        <v/>
      </c>
      <c r="G163" s="22" t="n"/>
      <c r="H163" s="22" t="n"/>
      <c r="I163" s="24" t="n"/>
      <c r="J163" s="22" t="n"/>
      <c r="K163" s="23" t="n"/>
      <c r="L163" s="72" t="n"/>
      <c r="M163" s="27">
        <f>IF(E163="","",SUMIFS(tbl_Finance[Ex GST],tbl_Finance[Job Number],E163&amp;""))</f>
        <v/>
      </c>
      <c r="N163" s="27">
        <f>IF(J163&lt;&gt;"Won","",IF(E163="",N(I163),I163-M163))</f>
        <v/>
      </c>
      <c r="O163" s="22" t="n"/>
    </row>
    <row r="164" ht="15" customHeight="1">
      <c r="A164" s="72" t="n"/>
      <c r="B164" s="22" t="n"/>
      <c r="C164" s="22" t="n"/>
      <c r="D164" s="22" t="n"/>
      <c r="E164" s="22" t="n"/>
      <c r="F164" s="26">
        <f>IF(E164="","",IF(COUNTIF(lst_Jobs,E164&amp;"")&gt;0,"OK","CHECK"))</f>
        <v/>
      </c>
      <c r="G164" s="22" t="n"/>
      <c r="H164" s="22" t="n"/>
      <c r="I164" s="24" t="n"/>
      <c r="J164" s="22" t="n"/>
      <c r="K164" s="23" t="n"/>
      <c r="L164" s="72" t="n"/>
      <c r="M164" s="27">
        <f>IF(E164="","",SUMIFS(tbl_Finance[Ex GST],tbl_Finance[Job Number],E164&amp;""))</f>
        <v/>
      </c>
      <c r="N164" s="27">
        <f>IF(J164&lt;&gt;"Won","",IF(E164="",N(I164),I164-M164))</f>
        <v/>
      </c>
      <c r="O164" s="22" t="n"/>
    </row>
    <row r="165" ht="15" customHeight="1">
      <c r="A165" s="72" t="n"/>
      <c r="B165" s="22" t="n"/>
      <c r="C165" s="22" t="n"/>
      <c r="D165" s="22" t="n"/>
      <c r="E165" s="22" t="n"/>
      <c r="F165" s="26">
        <f>IF(E165="","",IF(COUNTIF(lst_Jobs,E165&amp;"")&gt;0,"OK","CHECK"))</f>
        <v/>
      </c>
      <c r="G165" s="22" t="n"/>
      <c r="H165" s="22" t="n"/>
      <c r="I165" s="24" t="n"/>
      <c r="J165" s="22" t="n"/>
      <c r="K165" s="23" t="n"/>
      <c r="L165" s="72" t="n"/>
      <c r="M165" s="27">
        <f>IF(E165="","",SUMIFS(tbl_Finance[Ex GST],tbl_Finance[Job Number],E165&amp;""))</f>
        <v/>
      </c>
      <c r="N165" s="27">
        <f>IF(J165&lt;&gt;"Won","",IF(E165="",N(I165),I165-M165))</f>
        <v/>
      </c>
      <c r="O165" s="22" t="n"/>
    </row>
    <row r="166" ht="15" customHeight="1">
      <c r="A166" s="72" t="n"/>
      <c r="B166" s="22" t="n"/>
      <c r="C166" s="22" t="n"/>
      <c r="D166" s="22" t="n"/>
      <c r="E166" s="22" t="n"/>
      <c r="F166" s="26">
        <f>IF(E166="","",IF(COUNTIF(lst_Jobs,E166&amp;"")&gt;0,"OK","CHECK"))</f>
        <v/>
      </c>
      <c r="G166" s="22" t="n"/>
      <c r="H166" s="22" t="n"/>
      <c r="I166" s="24" t="n"/>
      <c r="J166" s="22" t="n"/>
      <c r="K166" s="23" t="n"/>
      <c r="L166" s="72" t="n"/>
      <c r="M166" s="27">
        <f>IF(E166="","",SUMIFS(tbl_Finance[Ex GST],tbl_Finance[Job Number],E166&amp;""))</f>
        <v/>
      </c>
      <c r="N166" s="27">
        <f>IF(J166&lt;&gt;"Won","",IF(E166="",N(I166),I166-M166))</f>
        <v/>
      </c>
      <c r="O166" s="22" t="n"/>
    </row>
    <row r="167" ht="15" customHeight="1">
      <c r="A167" s="72" t="n"/>
      <c r="B167" s="22" t="n"/>
      <c r="C167" s="22" t="n"/>
      <c r="D167" s="22" t="n"/>
      <c r="E167" s="22" t="n"/>
      <c r="F167" s="26">
        <f>IF(E167="","",IF(COUNTIF(lst_Jobs,E167&amp;"")&gt;0,"OK","CHECK"))</f>
        <v/>
      </c>
      <c r="G167" s="22" t="n"/>
      <c r="H167" s="22" t="n"/>
      <c r="I167" s="24" t="n"/>
      <c r="J167" s="22" t="n"/>
      <c r="K167" s="23" t="n"/>
      <c r="L167" s="72" t="n"/>
      <c r="M167" s="27">
        <f>IF(E167="","",SUMIFS(tbl_Finance[Ex GST],tbl_Finance[Job Number],E167&amp;""))</f>
        <v/>
      </c>
      <c r="N167" s="27">
        <f>IF(J167&lt;&gt;"Won","",IF(E167="",N(I167),I167-M167))</f>
        <v/>
      </c>
      <c r="O167" s="22" t="n"/>
    </row>
    <row r="168" ht="15" customHeight="1">
      <c r="A168" s="72" t="n"/>
      <c r="B168" s="22" t="n"/>
      <c r="C168" s="22" t="n"/>
      <c r="D168" s="22" t="n"/>
      <c r="E168" s="22" t="n"/>
      <c r="F168" s="26">
        <f>IF(E168="","",IF(COUNTIF(lst_Jobs,E168&amp;"")&gt;0,"OK","CHECK"))</f>
        <v/>
      </c>
      <c r="G168" s="22" t="n"/>
      <c r="H168" s="22" t="n"/>
      <c r="I168" s="24" t="n"/>
      <c r="J168" s="22" t="n"/>
      <c r="K168" s="23" t="n"/>
      <c r="L168" s="72" t="n"/>
      <c r="M168" s="27">
        <f>IF(E168="","",SUMIFS(tbl_Finance[Ex GST],tbl_Finance[Job Number],E168&amp;""))</f>
        <v/>
      </c>
      <c r="N168" s="27">
        <f>IF(J168&lt;&gt;"Won","",IF(E168="",N(I168),I168-M168))</f>
        <v/>
      </c>
      <c r="O168" s="22" t="n"/>
    </row>
    <row r="169" ht="15" customHeight="1">
      <c r="A169" s="72" t="n"/>
      <c r="B169" s="22" t="n"/>
      <c r="C169" s="22" t="n"/>
      <c r="D169" s="22" t="n"/>
      <c r="E169" s="22" t="n"/>
      <c r="F169" s="26">
        <f>IF(E169="","",IF(COUNTIF(lst_Jobs,E169&amp;"")&gt;0,"OK","CHECK"))</f>
        <v/>
      </c>
      <c r="G169" s="22" t="n"/>
      <c r="H169" s="22" t="n"/>
      <c r="I169" s="24" t="n"/>
      <c r="J169" s="22" t="n"/>
      <c r="K169" s="23" t="n"/>
      <c r="L169" s="72" t="n"/>
      <c r="M169" s="27">
        <f>IF(E169="","",SUMIFS(tbl_Finance[Ex GST],tbl_Finance[Job Number],E169&amp;""))</f>
        <v/>
      </c>
      <c r="N169" s="27">
        <f>IF(J169&lt;&gt;"Won","",IF(E169="",N(I169),I169-M169))</f>
        <v/>
      </c>
      <c r="O169" s="22" t="n"/>
    </row>
    <row r="170" ht="15" customHeight="1">
      <c r="A170" s="72" t="n"/>
      <c r="B170" s="22" t="n"/>
      <c r="C170" s="22" t="n"/>
      <c r="D170" s="22" t="n"/>
      <c r="E170" s="22" t="n"/>
      <c r="F170" s="26">
        <f>IF(E170="","",IF(COUNTIF(lst_Jobs,E170&amp;"")&gt;0,"OK","CHECK"))</f>
        <v/>
      </c>
      <c r="G170" s="22" t="n"/>
      <c r="H170" s="22" t="n"/>
      <c r="I170" s="24" t="n"/>
      <c r="J170" s="22" t="n"/>
      <c r="K170" s="23" t="n"/>
      <c r="L170" s="72" t="n"/>
      <c r="M170" s="27">
        <f>IF(E170="","",SUMIFS(tbl_Finance[Ex GST],tbl_Finance[Job Number],E170&amp;""))</f>
        <v/>
      </c>
      <c r="N170" s="27">
        <f>IF(J170&lt;&gt;"Won","",IF(E170="",N(I170),I170-M170))</f>
        <v/>
      </c>
      <c r="O170" s="22" t="n"/>
    </row>
    <row r="171" ht="15" customHeight="1">
      <c r="A171" s="72" t="n"/>
      <c r="B171" s="22" t="n"/>
      <c r="C171" s="22" t="n"/>
      <c r="D171" s="22" t="n"/>
      <c r="E171" s="22" t="n"/>
      <c r="F171" s="26">
        <f>IF(E171="","",IF(COUNTIF(lst_Jobs,E171&amp;"")&gt;0,"OK","CHECK"))</f>
        <v/>
      </c>
      <c r="G171" s="22" t="n"/>
      <c r="H171" s="22" t="n"/>
      <c r="I171" s="24" t="n"/>
      <c r="J171" s="22" t="n"/>
      <c r="K171" s="23" t="n"/>
      <c r="L171" s="72" t="n"/>
      <c r="M171" s="27">
        <f>IF(E171="","",SUMIFS(tbl_Finance[Ex GST],tbl_Finance[Job Number],E171&amp;""))</f>
        <v/>
      </c>
      <c r="N171" s="27">
        <f>IF(J171&lt;&gt;"Won","",IF(E171="",N(I171),I171-M171))</f>
        <v/>
      </c>
      <c r="O171" s="22" t="n"/>
    </row>
    <row r="172" ht="15" customHeight="1">
      <c r="A172" s="72" t="n"/>
      <c r="B172" s="22" t="n"/>
      <c r="C172" s="22" t="n"/>
      <c r="D172" s="22" t="n"/>
      <c r="E172" s="22" t="n"/>
      <c r="F172" s="26">
        <f>IF(E172="","",IF(COUNTIF(lst_Jobs,E172&amp;"")&gt;0,"OK","CHECK"))</f>
        <v/>
      </c>
      <c r="G172" s="22" t="n"/>
      <c r="H172" s="22" t="n"/>
      <c r="I172" s="24" t="n"/>
      <c r="J172" s="22" t="n"/>
      <c r="K172" s="23" t="n"/>
      <c r="L172" s="72" t="n"/>
      <c r="M172" s="27">
        <f>IF(E172="","",SUMIFS(tbl_Finance[Ex GST],tbl_Finance[Job Number],E172&amp;""))</f>
        <v/>
      </c>
      <c r="N172" s="27">
        <f>IF(J172&lt;&gt;"Won","",IF(E172="",N(I172),I172-M172))</f>
        <v/>
      </c>
      <c r="O172" s="22" t="n"/>
    </row>
    <row r="173" ht="15" customHeight="1">
      <c r="A173" s="72" t="n"/>
      <c r="B173" s="22" t="n"/>
      <c r="C173" s="22" t="n"/>
      <c r="D173" s="22" t="n"/>
      <c r="E173" s="22" t="n"/>
      <c r="F173" s="26">
        <f>IF(E173="","",IF(COUNTIF(lst_Jobs,E173&amp;"")&gt;0,"OK","CHECK"))</f>
        <v/>
      </c>
      <c r="G173" s="22" t="n"/>
      <c r="H173" s="22" t="n"/>
      <c r="I173" s="24" t="n"/>
      <c r="J173" s="22" t="n"/>
      <c r="K173" s="23" t="n"/>
      <c r="L173" s="72" t="n"/>
      <c r="M173" s="27">
        <f>IF(E173="","",SUMIFS(tbl_Finance[Ex GST],tbl_Finance[Job Number],E173&amp;""))</f>
        <v/>
      </c>
      <c r="N173" s="27">
        <f>IF(J173&lt;&gt;"Won","",IF(E173="",N(I173),I173-M173))</f>
        <v/>
      </c>
      <c r="O173" s="22" t="n"/>
    </row>
    <row r="174" ht="15" customHeight="1">
      <c r="A174" s="72" t="n"/>
      <c r="B174" s="22" t="n"/>
      <c r="C174" s="22" t="n"/>
      <c r="D174" s="22" t="n"/>
      <c r="E174" s="22" t="n"/>
      <c r="F174" s="26">
        <f>IF(E174="","",IF(COUNTIF(lst_Jobs,E174&amp;"")&gt;0,"OK","CHECK"))</f>
        <v/>
      </c>
      <c r="G174" s="22" t="n"/>
      <c r="H174" s="22" t="n"/>
      <c r="I174" s="24" t="n"/>
      <c r="J174" s="22" t="n"/>
      <c r="K174" s="23" t="n"/>
      <c r="L174" s="72" t="n"/>
      <c r="M174" s="27">
        <f>IF(E174="","",SUMIFS(tbl_Finance[Ex GST],tbl_Finance[Job Number],E174&amp;""))</f>
        <v/>
      </c>
      <c r="N174" s="27">
        <f>IF(J174&lt;&gt;"Won","",IF(E174="",N(I174),I174-M174))</f>
        <v/>
      </c>
      <c r="O174" s="22" t="n"/>
    </row>
    <row r="175" ht="15" customHeight="1">
      <c r="A175" s="72" t="n"/>
      <c r="B175" s="22" t="n"/>
      <c r="C175" s="22" t="n"/>
      <c r="D175" s="22" t="n"/>
      <c r="E175" s="22" t="n"/>
      <c r="F175" s="26">
        <f>IF(E175="","",IF(COUNTIF(lst_Jobs,E175&amp;"")&gt;0,"OK","CHECK"))</f>
        <v/>
      </c>
      <c r="G175" s="22" t="n"/>
      <c r="H175" s="22" t="n"/>
      <c r="I175" s="24" t="n"/>
      <c r="J175" s="22" t="n"/>
      <c r="K175" s="23" t="n"/>
      <c r="L175" s="72" t="n"/>
      <c r="M175" s="27">
        <f>IF(E175="","",SUMIFS(tbl_Finance[Ex GST],tbl_Finance[Job Number],E175&amp;""))</f>
        <v/>
      </c>
      <c r="N175" s="27">
        <f>IF(J175&lt;&gt;"Won","",IF(E175="",N(I175),I175-M175))</f>
        <v/>
      </c>
      <c r="O175" s="22" t="n"/>
    </row>
    <row r="176" ht="15" customHeight="1">
      <c r="A176" s="72" t="n"/>
      <c r="B176" s="22" t="n"/>
      <c r="C176" s="22" t="n"/>
      <c r="D176" s="22" t="n"/>
      <c r="E176" s="22" t="n"/>
      <c r="F176" s="26">
        <f>IF(E176="","",IF(COUNTIF(lst_Jobs,E176&amp;"")&gt;0,"OK","CHECK"))</f>
        <v/>
      </c>
      <c r="G176" s="22" t="n"/>
      <c r="H176" s="22" t="n"/>
      <c r="I176" s="24" t="n"/>
      <c r="J176" s="22" t="n"/>
      <c r="K176" s="23" t="n"/>
      <c r="L176" s="72" t="n"/>
      <c r="M176" s="27">
        <f>IF(E176="","",SUMIFS(tbl_Finance[Ex GST],tbl_Finance[Job Number],E176&amp;""))</f>
        <v/>
      </c>
      <c r="N176" s="27">
        <f>IF(J176&lt;&gt;"Won","",IF(E176="",N(I176),I176-M176))</f>
        <v/>
      </c>
      <c r="O176" s="22" t="n"/>
    </row>
    <row r="177" ht="15" customHeight="1">
      <c r="A177" s="72" t="n"/>
      <c r="B177" s="22" t="n"/>
      <c r="C177" s="22" t="n"/>
      <c r="D177" s="22" t="n"/>
      <c r="E177" s="22" t="n"/>
      <c r="F177" s="26">
        <f>IF(E177="","",IF(COUNTIF(lst_Jobs,E177&amp;"")&gt;0,"OK","CHECK"))</f>
        <v/>
      </c>
      <c r="G177" s="22" t="n"/>
      <c r="H177" s="22" t="n"/>
      <c r="I177" s="24" t="n"/>
      <c r="J177" s="22" t="n"/>
      <c r="K177" s="23" t="n"/>
      <c r="L177" s="72" t="n"/>
      <c r="M177" s="27">
        <f>IF(E177="","",SUMIFS(tbl_Finance[Ex GST],tbl_Finance[Job Number],E177&amp;""))</f>
        <v/>
      </c>
      <c r="N177" s="27">
        <f>IF(J177&lt;&gt;"Won","",IF(E177="",N(I177),I177-M177))</f>
        <v/>
      </c>
      <c r="O177" s="22" t="n"/>
    </row>
    <row r="178" ht="15" customHeight="1">
      <c r="A178" s="72" t="n"/>
      <c r="B178" s="22" t="n"/>
      <c r="C178" s="22" t="n"/>
      <c r="D178" s="22" t="n"/>
      <c r="E178" s="22" t="n"/>
      <c r="F178" s="26">
        <f>IF(E178="","",IF(COUNTIF(lst_Jobs,E178&amp;"")&gt;0,"OK","CHECK"))</f>
        <v/>
      </c>
      <c r="G178" s="22" t="n"/>
      <c r="H178" s="22" t="n"/>
      <c r="I178" s="24" t="n"/>
      <c r="J178" s="22" t="n"/>
      <c r="K178" s="23" t="n"/>
      <c r="L178" s="72" t="n"/>
      <c r="M178" s="27">
        <f>IF(E178="","",SUMIFS(tbl_Finance[Ex GST],tbl_Finance[Job Number],E178&amp;""))</f>
        <v/>
      </c>
      <c r="N178" s="27">
        <f>IF(J178&lt;&gt;"Won","",IF(E178="",N(I178),I178-M178))</f>
        <v/>
      </c>
      <c r="O178" s="22" t="n"/>
    </row>
    <row r="179" ht="15" customHeight="1">
      <c r="A179" s="72" t="n"/>
      <c r="B179" s="22" t="n"/>
      <c r="C179" s="22" t="n"/>
      <c r="D179" s="22" t="n"/>
      <c r="E179" s="22" t="n"/>
      <c r="F179" s="26">
        <f>IF(E179="","",IF(COUNTIF(lst_Jobs,E179&amp;"")&gt;0,"OK","CHECK"))</f>
        <v/>
      </c>
      <c r="G179" s="22" t="n"/>
      <c r="H179" s="22" t="n"/>
      <c r="I179" s="24" t="n"/>
      <c r="J179" s="22" t="n"/>
      <c r="K179" s="23" t="n"/>
      <c r="L179" s="72" t="n"/>
      <c r="M179" s="27">
        <f>IF(E179="","",SUMIFS(tbl_Finance[Ex GST],tbl_Finance[Job Number],E179&amp;""))</f>
        <v/>
      </c>
      <c r="N179" s="27">
        <f>IF(J179&lt;&gt;"Won","",IF(E179="",N(I179),I179-M179))</f>
        <v/>
      </c>
      <c r="O179" s="22" t="n"/>
    </row>
    <row r="180" ht="15" customHeight="1">
      <c r="A180" s="72" t="n"/>
      <c r="B180" s="22" t="n"/>
      <c r="C180" s="22" t="n"/>
      <c r="D180" s="22" t="n"/>
      <c r="E180" s="22" t="n"/>
      <c r="F180" s="26">
        <f>IF(E180="","",IF(COUNTIF(lst_Jobs,E180&amp;"")&gt;0,"OK","CHECK"))</f>
        <v/>
      </c>
      <c r="G180" s="22" t="n"/>
      <c r="H180" s="22" t="n"/>
      <c r="I180" s="24" t="n"/>
      <c r="J180" s="22" t="n"/>
      <c r="K180" s="23" t="n"/>
      <c r="L180" s="72" t="n"/>
      <c r="M180" s="27">
        <f>IF(E180="","",SUMIFS(tbl_Finance[Ex GST],tbl_Finance[Job Number],E180&amp;""))</f>
        <v/>
      </c>
      <c r="N180" s="27">
        <f>IF(J180&lt;&gt;"Won","",IF(E180="",N(I180),I180-M180))</f>
        <v/>
      </c>
      <c r="O180" s="22" t="n"/>
    </row>
    <row r="181" ht="15" customHeight="1">
      <c r="A181" s="72" t="n"/>
      <c r="B181" s="22" t="n"/>
      <c r="C181" s="22" t="n"/>
      <c r="D181" s="22" t="n"/>
      <c r="E181" s="22" t="n"/>
      <c r="F181" s="26">
        <f>IF(E181="","",IF(COUNTIF(lst_Jobs,E181&amp;"")&gt;0,"OK","CHECK"))</f>
        <v/>
      </c>
      <c r="G181" s="22" t="n"/>
      <c r="H181" s="22" t="n"/>
      <c r="I181" s="24" t="n"/>
      <c r="J181" s="22" t="n"/>
      <c r="K181" s="23" t="n"/>
      <c r="L181" s="72" t="n"/>
      <c r="M181" s="27">
        <f>IF(E181="","",SUMIFS(tbl_Finance[Ex GST],tbl_Finance[Job Number],E181&amp;""))</f>
        <v/>
      </c>
      <c r="N181" s="27">
        <f>IF(J181&lt;&gt;"Won","",IF(E181="",N(I181),I181-M181))</f>
        <v/>
      </c>
      <c r="O181" s="22" t="n"/>
    </row>
    <row r="182" ht="15" customHeight="1">
      <c r="A182" s="72" t="n"/>
      <c r="B182" s="22" t="n"/>
      <c r="C182" s="22" t="n"/>
      <c r="D182" s="22" t="n"/>
      <c r="E182" s="22" t="n"/>
      <c r="F182" s="26">
        <f>IF(E182="","",IF(COUNTIF(lst_Jobs,E182&amp;"")&gt;0,"OK","CHECK"))</f>
        <v/>
      </c>
      <c r="G182" s="22" t="n"/>
      <c r="H182" s="22" t="n"/>
      <c r="I182" s="24" t="n"/>
      <c r="J182" s="22" t="n"/>
      <c r="K182" s="23" t="n"/>
      <c r="L182" s="72" t="n"/>
      <c r="M182" s="27">
        <f>IF(E182="","",SUMIFS(tbl_Finance[Ex GST],tbl_Finance[Job Number],E182&amp;""))</f>
        <v/>
      </c>
      <c r="N182" s="27">
        <f>IF(J182&lt;&gt;"Won","",IF(E182="",N(I182),I182-M182))</f>
        <v/>
      </c>
      <c r="O182" s="22" t="n"/>
    </row>
    <row r="183" ht="15" customHeight="1">
      <c r="A183" s="72" t="n"/>
      <c r="B183" s="22" t="n"/>
      <c r="C183" s="22" t="n"/>
      <c r="D183" s="22" t="n"/>
      <c r="E183" s="22" t="n"/>
      <c r="F183" s="26">
        <f>IF(E183="","",IF(COUNTIF(lst_Jobs,E183&amp;"")&gt;0,"OK","CHECK"))</f>
        <v/>
      </c>
      <c r="G183" s="22" t="n"/>
      <c r="H183" s="22" t="n"/>
      <c r="I183" s="24" t="n"/>
      <c r="J183" s="22" t="n"/>
      <c r="K183" s="23" t="n"/>
      <c r="L183" s="72" t="n"/>
      <c r="M183" s="27">
        <f>IF(E183="","",SUMIFS(tbl_Finance[Ex GST],tbl_Finance[Job Number],E183&amp;""))</f>
        <v/>
      </c>
      <c r="N183" s="27">
        <f>IF(J183&lt;&gt;"Won","",IF(E183="",N(I183),I183-M183))</f>
        <v/>
      </c>
      <c r="O183" s="22" t="n"/>
    </row>
    <row r="184" ht="15" customHeight="1">
      <c r="A184" s="72" t="n"/>
      <c r="B184" s="22" t="n"/>
      <c r="C184" s="22" t="n"/>
      <c r="D184" s="22" t="n"/>
      <c r="E184" s="22" t="n"/>
      <c r="F184" s="26">
        <f>IF(E184="","",IF(COUNTIF(lst_Jobs,E184&amp;"")&gt;0,"OK","CHECK"))</f>
        <v/>
      </c>
      <c r="G184" s="22" t="n"/>
      <c r="H184" s="22" t="n"/>
      <c r="I184" s="24" t="n"/>
      <c r="J184" s="22" t="n"/>
      <c r="K184" s="23" t="n"/>
      <c r="L184" s="72" t="n"/>
      <c r="M184" s="27">
        <f>IF(E184="","",SUMIFS(tbl_Finance[Ex GST],tbl_Finance[Job Number],E184&amp;""))</f>
        <v/>
      </c>
      <c r="N184" s="27">
        <f>IF(J184&lt;&gt;"Won","",IF(E184="",N(I184),I184-M184))</f>
        <v/>
      </c>
      <c r="O184" s="22" t="n"/>
    </row>
    <row r="185" ht="15" customHeight="1">
      <c r="A185" s="72" t="n"/>
      <c r="B185" s="22" t="n"/>
      <c r="C185" s="22" t="n"/>
      <c r="D185" s="22" t="n"/>
      <c r="E185" s="22" t="n"/>
      <c r="F185" s="26">
        <f>IF(E185="","",IF(COUNTIF(lst_Jobs,E185&amp;"")&gt;0,"OK","CHECK"))</f>
        <v/>
      </c>
      <c r="G185" s="22" t="n"/>
      <c r="H185" s="22" t="n"/>
      <c r="I185" s="24" t="n"/>
      <c r="J185" s="22" t="n"/>
      <c r="K185" s="23" t="n"/>
      <c r="L185" s="72" t="n"/>
      <c r="M185" s="27">
        <f>IF(E185="","",SUMIFS(tbl_Finance[Ex GST],tbl_Finance[Job Number],E185&amp;""))</f>
        <v/>
      </c>
      <c r="N185" s="27">
        <f>IF(J185&lt;&gt;"Won","",IF(E185="",N(I185),I185-M185))</f>
        <v/>
      </c>
      <c r="O185" s="22" t="n"/>
    </row>
    <row r="186" ht="15" customHeight="1">
      <c r="A186" s="72" t="n"/>
      <c r="B186" s="22" t="n"/>
      <c r="C186" s="22" t="n"/>
      <c r="D186" s="22" t="n"/>
      <c r="E186" s="22" t="n"/>
      <c r="F186" s="26">
        <f>IF(E186="","",IF(COUNTIF(lst_Jobs,E186&amp;"")&gt;0,"OK","CHECK"))</f>
        <v/>
      </c>
      <c r="G186" s="22" t="n"/>
      <c r="H186" s="22" t="n"/>
      <c r="I186" s="24" t="n"/>
      <c r="J186" s="22" t="n"/>
      <c r="K186" s="23" t="n"/>
      <c r="L186" s="72" t="n"/>
      <c r="M186" s="27">
        <f>IF(E186="","",SUMIFS(tbl_Finance[Ex GST],tbl_Finance[Job Number],E186&amp;""))</f>
        <v/>
      </c>
      <c r="N186" s="27">
        <f>IF(J186&lt;&gt;"Won","",IF(E186="",N(I186),I186-M186))</f>
        <v/>
      </c>
      <c r="O186" s="22" t="n"/>
    </row>
    <row r="187" ht="15" customHeight="1">
      <c r="A187" s="72" t="n"/>
      <c r="B187" s="22" t="n"/>
      <c r="C187" s="22" t="n"/>
      <c r="D187" s="22" t="n"/>
      <c r="E187" s="22" t="n"/>
      <c r="F187" s="26">
        <f>IF(E187="","",IF(COUNTIF(lst_Jobs,E187&amp;"")&gt;0,"OK","CHECK"))</f>
        <v/>
      </c>
      <c r="G187" s="22" t="n"/>
      <c r="H187" s="22" t="n"/>
      <c r="I187" s="24" t="n"/>
      <c r="J187" s="22" t="n"/>
      <c r="K187" s="23" t="n"/>
      <c r="L187" s="72" t="n"/>
      <c r="M187" s="27">
        <f>IF(E187="","",SUMIFS(tbl_Finance[Ex GST],tbl_Finance[Job Number],E187&amp;""))</f>
        <v/>
      </c>
      <c r="N187" s="27">
        <f>IF(J187&lt;&gt;"Won","",IF(E187="",N(I187),I187-M187))</f>
        <v/>
      </c>
      <c r="O187" s="22" t="n"/>
    </row>
    <row r="188" ht="15" customHeight="1">
      <c r="A188" s="72" t="n"/>
      <c r="B188" s="22" t="n"/>
      <c r="C188" s="22" t="n"/>
      <c r="D188" s="22" t="n"/>
      <c r="E188" s="22" t="n"/>
      <c r="F188" s="26">
        <f>IF(E188="","",IF(COUNTIF(lst_Jobs,E188&amp;"")&gt;0,"OK","CHECK"))</f>
        <v/>
      </c>
      <c r="G188" s="22" t="n"/>
      <c r="H188" s="22" t="n"/>
      <c r="I188" s="24" t="n"/>
      <c r="J188" s="22" t="n"/>
      <c r="K188" s="23" t="n"/>
      <c r="L188" s="72" t="n"/>
      <c r="M188" s="27">
        <f>IF(E188="","",SUMIFS(tbl_Finance[Ex GST],tbl_Finance[Job Number],E188&amp;""))</f>
        <v/>
      </c>
      <c r="N188" s="27">
        <f>IF(J188&lt;&gt;"Won","",IF(E188="",N(I188),I188-M188))</f>
        <v/>
      </c>
      <c r="O188" s="22" t="n"/>
    </row>
    <row r="189" ht="15" customHeight="1">
      <c r="A189" s="72" t="n"/>
      <c r="B189" s="22" t="n"/>
      <c r="C189" s="22" t="n"/>
      <c r="D189" s="22" t="n"/>
      <c r="E189" s="22" t="n"/>
      <c r="F189" s="26">
        <f>IF(E189="","",IF(COUNTIF(lst_Jobs,E189&amp;"")&gt;0,"OK","CHECK"))</f>
        <v/>
      </c>
      <c r="G189" s="22" t="n"/>
      <c r="H189" s="22" t="n"/>
      <c r="I189" s="24" t="n"/>
      <c r="J189" s="22" t="n"/>
      <c r="K189" s="23" t="n"/>
      <c r="L189" s="72" t="n"/>
      <c r="M189" s="27">
        <f>IF(E189="","",SUMIFS(tbl_Finance[Ex GST],tbl_Finance[Job Number],E189&amp;""))</f>
        <v/>
      </c>
      <c r="N189" s="27">
        <f>IF(J189&lt;&gt;"Won","",IF(E189="",N(I189),I189-M189))</f>
        <v/>
      </c>
      <c r="O189" s="22" t="n"/>
    </row>
    <row r="190" ht="15" customHeight="1">
      <c r="A190" s="72" t="n"/>
      <c r="B190" s="22" t="n"/>
      <c r="C190" s="22" t="n"/>
      <c r="D190" s="22" t="n"/>
      <c r="E190" s="22" t="n"/>
      <c r="F190" s="26">
        <f>IF(E190="","",IF(COUNTIF(lst_Jobs,E190&amp;"")&gt;0,"OK","CHECK"))</f>
        <v/>
      </c>
      <c r="G190" s="22" t="n"/>
      <c r="H190" s="22" t="n"/>
      <c r="I190" s="24" t="n"/>
      <c r="J190" s="22" t="n"/>
      <c r="K190" s="23" t="n"/>
      <c r="L190" s="72" t="n"/>
      <c r="M190" s="27">
        <f>IF(E190="","",SUMIFS(tbl_Finance[Ex GST],tbl_Finance[Job Number],E190&amp;""))</f>
        <v/>
      </c>
      <c r="N190" s="27">
        <f>IF(J190&lt;&gt;"Won","",IF(E190="",N(I190),I190-M190))</f>
        <v/>
      </c>
      <c r="O190" s="22" t="n"/>
    </row>
    <row r="191" ht="15" customHeight="1">
      <c r="A191" s="72" t="n"/>
      <c r="B191" s="22" t="n"/>
      <c r="C191" s="22" t="n"/>
      <c r="D191" s="22" t="n"/>
      <c r="E191" s="22" t="n"/>
      <c r="F191" s="26">
        <f>IF(E191="","",IF(COUNTIF(lst_Jobs,E191&amp;"")&gt;0,"OK","CHECK"))</f>
        <v/>
      </c>
      <c r="G191" s="22" t="n"/>
      <c r="H191" s="22" t="n"/>
      <c r="I191" s="24" t="n"/>
      <c r="J191" s="22" t="n"/>
      <c r="K191" s="23" t="n"/>
      <c r="L191" s="72" t="n"/>
      <c r="M191" s="27">
        <f>IF(E191="","",SUMIFS(tbl_Finance[Ex GST],tbl_Finance[Job Number],E191&amp;""))</f>
        <v/>
      </c>
      <c r="N191" s="27">
        <f>IF(J191&lt;&gt;"Won","",IF(E191="",N(I191),I191-M191))</f>
        <v/>
      </c>
      <c r="O191" s="22" t="n"/>
    </row>
    <row r="192" ht="15" customHeight="1">
      <c r="A192" s="72" t="n"/>
      <c r="B192" s="22" t="n"/>
      <c r="C192" s="22" t="n"/>
      <c r="D192" s="22" t="n"/>
      <c r="E192" s="22" t="n"/>
      <c r="F192" s="26">
        <f>IF(E192="","",IF(COUNTIF(lst_Jobs,E192&amp;"")&gt;0,"OK","CHECK"))</f>
        <v/>
      </c>
      <c r="G192" s="22" t="n"/>
      <c r="H192" s="22" t="n"/>
      <c r="I192" s="24" t="n"/>
      <c r="J192" s="22" t="n"/>
      <c r="K192" s="23" t="n"/>
      <c r="L192" s="72" t="n"/>
      <c r="M192" s="27">
        <f>IF(E192="","",SUMIFS(tbl_Finance[Ex GST],tbl_Finance[Job Number],E192&amp;""))</f>
        <v/>
      </c>
      <c r="N192" s="27">
        <f>IF(J192&lt;&gt;"Won","",IF(E192="",N(I192),I192-M192))</f>
        <v/>
      </c>
      <c r="O192" s="22" t="n"/>
    </row>
    <row r="193" ht="15" customHeight="1">
      <c r="A193" s="72" t="n"/>
      <c r="B193" s="22" t="n"/>
      <c r="C193" s="22" t="n"/>
      <c r="D193" s="22" t="n"/>
      <c r="E193" s="22" t="n"/>
      <c r="F193" s="26">
        <f>IF(E193="","",IF(COUNTIF(lst_Jobs,E193&amp;"")&gt;0,"OK","CHECK"))</f>
        <v/>
      </c>
      <c r="G193" s="22" t="n"/>
      <c r="H193" s="22" t="n"/>
      <c r="I193" s="24" t="n"/>
      <c r="J193" s="22" t="n"/>
      <c r="K193" s="23" t="n"/>
      <c r="L193" s="72" t="n"/>
      <c r="M193" s="27">
        <f>IF(E193="","",SUMIFS(tbl_Finance[Ex GST],tbl_Finance[Job Number],E193&amp;""))</f>
        <v/>
      </c>
      <c r="N193" s="27">
        <f>IF(J193&lt;&gt;"Won","",IF(E193="",N(I193),I193-M193))</f>
        <v/>
      </c>
      <c r="O193" s="22" t="n"/>
    </row>
    <row r="194" ht="15" customHeight="1">
      <c r="A194" s="72" t="n"/>
      <c r="B194" s="22" t="n"/>
      <c r="C194" s="22" t="n"/>
      <c r="D194" s="22" t="n"/>
      <c r="E194" s="22" t="n"/>
      <c r="F194" s="26">
        <f>IF(E194="","",IF(COUNTIF(lst_Jobs,E194&amp;"")&gt;0,"OK","CHECK"))</f>
        <v/>
      </c>
      <c r="G194" s="22" t="n"/>
      <c r="H194" s="22" t="n"/>
      <c r="I194" s="24" t="n"/>
      <c r="J194" s="22" t="n"/>
      <c r="K194" s="23" t="n"/>
      <c r="L194" s="72" t="n"/>
      <c r="M194" s="27">
        <f>IF(E194="","",SUMIFS(tbl_Finance[Ex GST],tbl_Finance[Job Number],E194&amp;""))</f>
        <v/>
      </c>
      <c r="N194" s="27">
        <f>IF(J194&lt;&gt;"Won","",IF(E194="",N(I194),I194-M194))</f>
        <v/>
      </c>
      <c r="O194" s="22" t="n"/>
    </row>
    <row r="195" ht="15" customHeight="1">
      <c r="A195" s="72" t="n"/>
      <c r="B195" s="22" t="n"/>
      <c r="C195" s="22" t="n"/>
      <c r="D195" s="22" t="n"/>
      <c r="E195" s="22" t="n"/>
      <c r="F195" s="26">
        <f>IF(E195="","",IF(COUNTIF(lst_Jobs,E195&amp;"")&gt;0,"OK","CHECK"))</f>
        <v/>
      </c>
      <c r="G195" s="22" t="n"/>
      <c r="H195" s="22" t="n"/>
      <c r="I195" s="24" t="n"/>
      <c r="J195" s="22" t="n"/>
      <c r="K195" s="23" t="n"/>
      <c r="L195" s="72" t="n"/>
      <c r="M195" s="27">
        <f>IF(E195="","",SUMIFS(tbl_Finance[Ex GST],tbl_Finance[Job Number],E195&amp;""))</f>
        <v/>
      </c>
      <c r="N195" s="27">
        <f>IF(J195&lt;&gt;"Won","",IF(E195="",N(I195),I195-M195))</f>
        <v/>
      </c>
      <c r="O195" s="22" t="n"/>
    </row>
    <row r="196" ht="15" customHeight="1">
      <c r="A196" s="72" t="n"/>
      <c r="B196" s="22" t="n"/>
      <c r="C196" s="22" t="n"/>
      <c r="D196" s="22" t="n"/>
      <c r="E196" s="22" t="n"/>
      <c r="F196" s="26">
        <f>IF(E196="","",IF(COUNTIF(lst_Jobs,E196&amp;"")&gt;0,"OK","CHECK"))</f>
        <v/>
      </c>
      <c r="G196" s="22" t="n"/>
      <c r="H196" s="22" t="n"/>
      <c r="I196" s="24" t="n"/>
      <c r="J196" s="22" t="n"/>
      <c r="K196" s="23" t="n"/>
      <c r="L196" s="72" t="n"/>
      <c r="M196" s="27">
        <f>IF(E196="","",SUMIFS(tbl_Finance[Ex GST],tbl_Finance[Job Number],E196&amp;""))</f>
        <v/>
      </c>
      <c r="N196" s="27">
        <f>IF(J196&lt;&gt;"Won","",IF(E196="",N(I196),I196-M196))</f>
        <v/>
      </c>
      <c r="O196" s="22" t="n"/>
    </row>
    <row r="197" ht="15" customHeight="1">
      <c r="A197" s="72" t="n"/>
      <c r="B197" s="22" t="n"/>
      <c r="C197" s="22" t="n"/>
      <c r="D197" s="22" t="n"/>
      <c r="E197" s="22" t="n"/>
      <c r="F197" s="26">
        <f>IF(E197="","",IF(COUNTIF(lst_Jobs,E197&amp;"")&gt;0,"OK","CHECK"))</f>
        <v/>
      </c>
      <c r="G197" s="22" t="n"/>
      <c r="H197" s="22" t="n"/>
      <c r="I197" s="24" t="n"/>
      <c r="J197" s="22" t="n"/>
      <c r="K197" s="23" t="n"/>
      <c r="L197" s="72" t="n"/>
      <c r="M197" s="27">
        <f>IF(E197="","",SUMIFS(tbl_Finance[Ex GST],tbl_Finance[Job Number],E197&amp;""))</f>
        <v/>
      </c>
      <c r="N197" s="27">
        <f>IF(J197&lt;&gt;"Won","",IF(E197="",N(I197),I197-M197))</f>
        <v/>
      </c>
      <c r="O197" s="22" t="n"/>
    </row>
    <row r="198" ht="15" customHeight="1">
      <c r="A198" s="72" t="n"/>
      <c r="B198" s="22" t="n"/>
      <c r="C198" s="22" t="n"/>
      <c r="D198" s="22" t="n"/>
      <c r="E198" s="22" t="n"/>
      <c r="F198" s="26">
        <f>IF(E198="","",IF(COUNTIF(lst_Jobs,E198&amp;"")&gt;0,"OK","CHECK"))</f>
        <v/>
      </c>
      <c r="G198" s="22" t="n"/>
      <c r="H198" s="22" t="n"/>
      <c r="I198" s="24" t="n"/>
      <c r="J198" s="22" t="n"/>
      <c r="K198" s="23" t="n"/>
      <c r="L198" s="72" t="n"/>
      <c r="M198" s="27">
        <f>IF(E198="","",SUMIFS(tbl_Finance[Ex GST],tbl_Finance[Job Number],E198&amp;""))</f>
        <v/>
      </c>
      <c r="N198" s="27">
        <f>IF(J198&lt;&gt;"Won","",IF(E198="",N(I198),I198-M198))</f>
        <v/>
      </c>
      <c r="O198" s="22" t="n"/>
    </row>
    <row r="199" ht="15" customHeight="1">
      <c r="A199" s="72" t="n"/>
      <c r="B199" s="22" t="n"/>
      <c r="C199" s="22" t="n"/>
      <c r="D199" s="22" t="n"/>
      <c r="E199" s="22" t="n"/>
      <c r="F199" s="26">
        <f>IF(E199="","",IF(COUNTIF(lst_Jobs,E199&amp;"")&gt;0,"OK","CHECK"))</f>
        <v/>
      </c>
      <c r="G199" s="22" t="n"/>
      <c r="H199" s="22" t="n"/>
      <c r="I199" s="24" t="n"/>
      <c r="J199" s="22" t="n"/>
      <c r="K199" s="23" t="n"/>
      <c r="L199" s="72" t="n"/>
      <c r="M199" s="27">
        <f>IF(E199="","",SUMIFS(tbl_Finance[Ex GST],tbl_Finance[Job Number],E199&amp;""))</f>
        <v/>
      </c>
      <c r="N199" s="27">
        <f>IF(J199&lt;&gt;"Won","",IF(E199="",N(I199),I199-M199))</f>
        <v/>
      </c>
      <c r="O199" s="22" t="n"/>
    </row>
    <row r="200" ht="15" customHeight="1">
      <c r="A200" s="72" t="n"/>
      <c r="B200" s="22" t="n"/>
      <c r="C200" s="22" t="n"/>
      <c r="D200" s="22" t="n"/>
      <c r="E200" s="22" t="n"/>
      <c r="F200" s="26">
        <f>IF(E200="","",IF(COUNTIF(lst_Jobs,E200&amp;"")&gt;0,"OK","CHECK"))</f>
        <v/>
      </c>
      <c r="G200" s="22" t="n"/>
      <c r="H200" s="22" t="n"/>
      <c r="I200" s="24" t="n"/>
      <c r="J200" s="22" t="n"/>
      <c r="K200" s="23" t="n"/>
      <c r="L200" s="72" t="n"/>
      <c r="M200" s="27">
        <f>IF(E200="","",SUMIFS(tbl_Finance[Ex GST],tbl_Finance[Job Number],E200&amp;""))</f>
        <v/>
      </c>
      <c r="N200" s="27">
        <f>IF(J200&lt;&gt;"Won","",IF(E200="",N(I200),I200-M200))</f>
        <v/>
      </c>
      <c r="O200" s="22" t="n"/>
    </row>
    <row r="201" ht="15" customHeight="1">
      <c r="A201" s="72" t="n"/>
      <c r="B201" s="22" t="n"/>
      <c r="C201" s="22" t="n"/>
      <c r="D201" s="22" t="n"/>
      <c r="E201" s="22" t="n"/>
      <c r="F201" s="26">
        <f>IF(E201="","",IF(COUNTIF(lst_Jobs,E201&amp;"")&gt;0,"OK","CHECK"))</f>
        <v/>
      </c>
      <c r="G201" s="22" t="n"/>
      <c r="H201" s="22" t="n"/>
      <c r="I201" s="24" t="n"/>
      <c r="J201" s="22" t="n"/>
      <c r="K201" s="23" t="n"/>
      <c r="L201" s="72" t="n"/>
      <c r="M201" s="27">
        <f>IF(E201="","",SUMIFS(tbl_Finance[Ex GST],tbl_Finance[Job Number],E201&amp;""))</f>
        <v/>
      </c>
      <c r="N201" s="27">
        <f>IF(J201&lt;&gt;"Won","",IF(E201="",N(I201),I201-M201))</f>
        <v/>
      </c>
      <c r="O201" s="22" t="n"/>
    </row>
    <row r="202" ht="15" customHeight="1">
      <c r="A202" s="72" t="n"/>
      <c r="B202" s="22" t="n"/>
      <c r="C202" s="22" t="n"/>
      <c r="D202" s="22" t="n"/>
      <c r="E202" s="22" t="n"/>
      <c r="F202" s="26">
        <f>IF(E202="","",IF(COUNTIF(lst_Jobs,E202&amp;"")&gt;0,"OK","CHECK"))</f>
        <v/>
      </c>
      <c r="G202" s="22" t="n"/>
      <c r="H202" s="22" t="n"/>
      <c r="I202" s="24" t="n"/>
      <c r="J202" s="22" t="n"/>
      <c r="K202" s="23" t="n"/>
      <c r="L202" s="72" t="n"/>
      <c r="M202" s="27">
        <f>IF(E202="","",SUMIFS(tbl_Finance[Ex GST],tbl_Finance[Job Number],E202&amp;""))</f>
        <v/>
      </c>
      <c r="N202" s="27">
        <f>IF(J202&lt;&gt;"Won","",IF(E202="",N(I202),I202-M202))</f>
        <v/>
      </c>
      <c r="O202" s="22" t="n"/>
    </row>
    <row r="203" ht="15" customHeight="1">
      <c r="A203" s="72" t="n"/>
      <c r="B203" s="22" t="n"/>
      <c r="C203" s="22" t="n"/>
      <c r="D203" s="22" t="n"/>
      <c r="E203" s="22" t="n"/>
      <c r="F203" s="26">
        <f>IF(E203="","",IF(COUNTIF(lst_Jobs,E203&amp;"")&gt;0,"OK","CHECK"))</f>
        <v/>
      </c>
      <c r="G203" s="22" t="n"/>
      <c r="H203" s="22" t="n"/>
      <c r="I203" s="24" t="n"/>
      <c r="J203" s="22" t="n"/>
      <c r="K203" s="23" t="n"/>
      <c r="L203" s="72" t="n"/>
      <c r="M203" s="27">
        <f>IF(E203="","",SUMIFS(tbl_Finance[Ex GST],tbl_Finance[Job Number],E203&amp;""))</f>
        <v/>
      </c>
      <c r="N203" s="27">
        <f>IF(J203&lt;&gt;"Won","",IF(E203="",N(I203),I203-M203))</f>
        <v/>
      </c>
      <c r="O203" s="22" t="n"/>
    </row>
    <row r="204" ht="15" customHeight="1">
      <c r="A204" s="72" t="n"/>
      <c r="B204" s="22" t="n"/>
      <c r="C204" s="22" t="n"/>
      <c r="D204" s="22" t="n"/>
      <c r="E204" s="22" t="n"/>
      <c r="F204" s="26">
        <f>IF(E204="","",IF(COUNTIF(lst_Jobs,E204&amp;"")&gt;0,"OK","CHECK"))</f>
        <v/>
      </c>
      <c r="G204" s="22" t="n"/>
      <c r="H204" s="22" t="n"/>
      <c r="I204" s="24" t="n"/>
      <c r="J204" s="22" t="n"/>
      <c r="K204" s="23" t="n"/>
      <c r="L204" s="72" t="n"/>
      <c r="M204" s="27">
        <f>IF(E204="","",SUMIFS(tbl_Finance[Ex GST],tbl_Finance[Job Number],E204&amp;""))</f>
        <v/>
      </c>
      <c r="N204" s="27">
        <f>IF(J204&lt;&gt;"Won","",IF(E204="",N(I204),I204-M204))</f>
        <v/>
      </c>
      <c r="O204" s="22" t="n"/>
    </row>
    <row r="205" ht="15" customHeight="1">
      <c r="A205" s="72" t="n"/>
      <c r="B205" s="22" t="n"/>
      <c r="C205" s="22" t="n"/>
      <c r="D205" s="22" t="n"/>
      <c r="E205" s="22" t="n"/>
      <c r="F205" s="26">
        <f>IF(E205="","",IF(COUNTIF(lst_Jobs,E205&amp;"")&gt;0,"OK","CHECK"))</f>
        <v/>
      </c>
      <c r="G205" s="22" t="n"/>
      <c r="H205" s="22" t="n"/>
      <c r="I205" s="24" t="n"/>
      <c r="J205" s="22" t="n"/>
      <c r="K205" s="23" t="n"/>
      <c r="L205" s="72" t="n"/>
      <c r="M205" s="27">
        <f>IF(E205="","",SUMIFS(tbl_Finance[Ex GST],tbl_Finance[Job Number],E205&amp;""))</f>
        <v/>
      </c>
      <c r="N205" s="27">
        <f>IF(J205&lt;&gt;"Won","",IF(E205="",N(I205),I205-M205))</f>
        <v/>
      </c>
      <c r="O205" s="22" t="n"/>
    </row>
    <row r="206" ht="15" customHeight="1">
      <c r="A206" s="72" t="n"/>
      <c r="B206" s="22" t="n"/>
      <c r="C206" s="22" t="n"/>
      <c r="D206" s="22" t="n"/>
      <c r="E206" s="22" t="n"/>
      <c r="F206" s="26">
        <f>IF(E206="","",IF(COUNTIF(lst_Jobs,E206&amp;"")&gt;0,"OK","CHECK"))</f>
        <v/>
      </c>
      <c r="G206" s="22" t="n"/>
      <c r="H206" s="22" t="n"/>
      <c r="I206" s="24" t="n"/>
      <c r="J206" s="22" t="n"/>
      <c r="K206" s="23" t="n"/>
      <c r="L206" s="72" t="n"/>
      <c r="M206" s="27">
        <f>IF(E206="","",SUMIFS(tbl_Finance[Ex GST],tbl_Finance[Job Number],E206&amp;""))</f>
        <v/>
      </c>
      <c r="N206" s="27">
        <f>IF(J206&lt;&gt;"Won","",IF(E206="",N(I206),I206-M206))</f>
        <v/>
      </c>
      <c r="O206" s="22" t="n"/>
    </row>
    <row r="207" ht="15" customHeight="1">
      <c r="A207" s="72" t="n"/>
      <c r="B207" s="22" t="n"/>
      <c r="C207" s="22" t="n"/>
      <c r="D207" s="22" t="n"/>
      <c r="E207" s="22" t="n"/>
      <c r="F207" s="26">
        <f>IF(E207="","",IF(COUNTIF(lst_Jobs,E207&amp;"")&gt;0,"OK","CHECK"))</f>
        <v/>
      </c>
      <c r="G207" s="22" t="n"/>
      <c r="H207" s="22" t="n"/>
      <c r="I207" s="24" t="n"/>
      <c r="J207" s="22" t="n"/>
      <c r="K207" s="23" t="n"/>
      <c r="L207" s="72" t="n"/>
      <c r="M207" s="27">
        <f>IF(E207="","",SUMIFS(tbl_Finance[Ex GST],tbl_Finance[Job Number],E207&amp;""))</f>
        <v/>
      </c>
      <c r="N207" s="27">
        <f>IF(J207&lt;&gt;"Won","",IF(E207="",N(I207),I207-M207))</f>
        <v/>
      </c>
      <c r="O207" s="22" t="n"/>
    </row>
    <row r="208" ht="15" customHeight="1">
      <c r="A208" s="72" t="n"/>
      <c r="B208" s="22" t="n"/>
      <c r="C208" s="22" t="n"/>
      <c r="D208" s="22" t="n"/>
      <c r="E208" s="22" t="n"/>
      <c r="F208" s="26">
        <f>IF(E208="","",IF(COUNTIF(lst_Jobs,E208&amp;"")&gt;0,"OK","CHECK"))</f>
        <v/>
      </c>
      <c r="G208" s="22" t="n"/>
      <c r="H208" s="22" t="n"/>
      <c r="I208" s="24" t="n"/>
      <c r="J208" s="22" t="n"/>
      <c r="K208" s="23" t="n"/>
      <c r="L208" s="72" t="n"/>
      <c r="M208" s="27">
        <f>IF(E208="","",SUMIFS(tbl_Finance[Ex GST],tbl_Finance[Job Number],E208&amp;""))</f>
        <v/>
      </c>
      <c r="N208" s="27">
        <f>IF(J208&lt;&gt;"Won","",IF(E208="",N(I208),I208-M208))</f>
        <v/>
      </c>
      <c r="O208" s="22" t="n"/>
    </row>
    <row r="209" ht="15" customHeight="1">
      <c r="A209" s="72" t="n"/>
      <c r="B209" s="22" t="n"/>
      <c r="C209" s="22" t="n"/>
      <c r="D209" s="22" t="n"/>
      <c r="E209" s="22" t="n"/>
      <c r="F209" s="26">
        <f>IF(E209="","",IF(COUNTIF(lst_Jobs,E209&amp;"")&gt;0,"OK","CHECK"))</f>
        <v/>
      </c>
      <c r="G209" s="22" t="n"/>
      <c r="H209" s="22" t="n"/>
      <c r="I209" s="24" t="n"/>
      <c r="J209" s="22" t="n"/>
      <c r="K209" s="23" t="n"/>
      <c r="L209" s="72" t="n"/>
      <c r="M209" s="27">
        <f>IF(E209="","",SUMIFS(tbl_Finance[Ex GST],tbl_Finance[Job Number],E209&amp;""))</f>
        <v/>
      </c>
      <c r="N209" s="27">
        <f>IF(J209&lt;&gt;"Won","",IF(E209="",N(I209),I209-M209))</f>
        <v/>
      </c>
      <c r="O209" s="22" t="n"/>
    </row>
    <row r="210" ht="15" customHeight="1">
      <c r="A210" s="72" t="n"/>
      <c r="B210" s="22" t="n"/>
      <c r="C210" s="22" t="n"/>
      <c r="D210" s="22" t="n"/>
      <c r="E210" s="22" t="n"/>
      <c r="F210" s="26">
        <f>IF(E210="","",IF(COUNTIF(lst_Jobs,E210&amp;"")&gt;0,"OK","CHECK"))</f>
        <v/>
      </c>
      <c r="G210" s="22" t="n"/>
      <c r="H210" s="22" t="n"/>
      <c r="I210" s="24" t="n"/>
      <c r="J210" s="22" t="n"/>
      <c r="K210" s="23" t="n"/>
      <c r="L210" s="72" t="n"/>
      <c r="M210" s="27">
        <f>IF(E210="","",SUMIFS(tbl_Finance[Ex GST],tbl_Finance[Job Number],E210&amp;""))</f>
        <v/>
      </c>
      <c r="N210" s="27">
        <f>IF(J210&lt;&gt;"Won","",IF(E210="",N(I210),I210-M210))</f>
        <v/>
      </c>
      <c r="O210" s="22" t="n"/>
    </row>
    <row r="211" ht="15" customHeight="1">
      <c r="A211" s="72" t="n"/>
      <c r="B211" s="22" t="n"/>
      <c r="C211" s="22" t="n"/>
      <c r="D211" s="22" t="n"/>
      <c r="E211" s="22" t="n"/>
      <c r="F211" s="26">
        <f>IF(E211="","",IF(COUNTIF(lst_Jobs,E211&amp;"")&gt;0,"OK","CHECK"))</f>
        <v/>
      </c>
      <c r="G211" s="22" t="n"/>
      <c r="H211" s="22" t="n"/>
      <c r="I211" s="24" t="n"/>
      <c r="J211" s="22" t="n"/>
      <c r="K211" s="23" t="n"/>
      <c r="L211" s="72" t="n"/>
      <c r="M211" s="27">
        <f>IF(E211="","",SUMIFS(tbl_Finance[Ex GST],tbl_Finance[Job Number],E211&amp;""))</f>
        <v/>
      </c>
      <c r="N211" s="27">
        <f>IF(J211&lt;&gt;"Won","",IF(E211="",N(I211),I211-M211))</f>
        <v/>
      </c>
      <c r="O211" s="22" t="n"/>
    </row>
    <row r="212" ht="15" customHeight="1">
      <c r="A212" s="72" t="n"/>
      <c r="B212" s="22" t="n"/>
      <c r="C212" s="22" t="n"/>
      <c r="D212" s="22" t="n"/>
      <c r="E212" s="22" t="n"/>
      <c r="F212" s="26">
        <f>IF(E212="","",IF(COUNTIF(lst_Jobs,E212&amp;"")&gt;0,"OK","CHECK"))</f>
        <v/>
      </c>
      <c r="G212" s="22" t="n"/>
      <c r="H212" s="22" t="n"/>
      <c r="I212" s="24" t="n"/>
      <c r="J212" s="22" t="n"/>
      <c r="K212" s="23" t="n"/>
      <c r="L212" s="72" t="n"/>
      <c r="M212" s="27">
        <f>IF(E212="","",SUMIFS(tbl_Finance[Ex GST],tbl_Finance[Job Number],E212&amp;""))</f>
        <v/>
      </c>
      <c r="N212" s="27">
        <f>IF(J212&lt;&gt;"Won","",IF(E212="",N(I212),I212-M212))</f>
        <v/>
      </c>
      <c r="O212" s="22" t="n"/>
    </row>
    <row r="213" ht="15" customHeight="1">
      <c r="A213" s="72" t="n"/>
      <c r="B213" s="22" t="n"/>
      <c r="C213" s="22" t="n"/>
      <c r="D213" s="22" t="n"/>
      <c r="E213" s="22" t="n"/>
      <c r="F213" s="26">
        <f>IF(E213="","",IF(COUNTIF(lst_Jobs,E213&amp;"")&gt;0,"OK","CHECK"))</f>
        <v/>
      </c>
      <c r="G213" s="22" t="n"/>
      <c r="H213" s="22" t="n"/>
      <c r="I213" s="24" t="n"/>
      <c r="J213" s="22" t="n"/>
      <c r="K213" s="23" t="n"/>
      <c r="L213" s="72" t="n"/>
      <c r="M213" s="27">
        <f>IF(E213="","",SUMIFS(tbl_Finance[Ex GST],tbl_Finance[Job Number],E213&amp;""))</f>
        <v/>
      </c>
      <c r="N213" s="27">
        <f>IF(J213&lt;&gt;"Won","",IF(E213="",N(I213),I213-M213))</f>
        <v/>
      </c>
      <c r="O213" s="22" t="n"/>
    </row>
    <row r="214" ht="15" customHeight="1">
      <c r="A214" s="72" t="n"/>
      <c r="B214" s="22" t="n"/>
      <c r="C214" s="22" t="n"/>
      <c r="D214" s="22" t="n"/>
      <c r="E214" s="22" t="n"/>
      <c r="F214" s="26">
        <f>IF(E214="","",IF(COUNTIF(lst_Jobs,E214&amp;"")&gt;0,"OK","CHECK"))</f>
        <v/>
      </c>
      <c r="G214" s="22" t="n"/>
      <c r="H214" s="22" t="n"/>
      <c r="I214" s="24" t="n"/>
      <c r="J214" s="22" t="n"/>
      <c r="K214" s="23" t="n"/>
      <c r="L214" s="72" t="n"/>
      <c r="M214" s="27">
        <f>IF(E214="","",SUMIFS(tbl_Finance[Ex GST],tbl_Finance[Job Number],E214&amp;""))</f>
        <v/>
      </c>
      <c r="N214" s="27">
        <f>IF(J214&lt;&gt;"Won","",IF(E214="",N(I214),I214-M214))</f>
        <v/>
      </c>
      <c r="O214" s="22" t="n"/>
    </row>
    <row r="215" ht="15" customHeight="1">
      <c r="A215" s="72" t="n"/>
      <c r="B215" s="22" t="n"/>
      <c r="C215" s="22" t="n"/>
      <c r="D215" s="22" t="n"/>
      <c r="E215" s="22" t="n"/>
      <c r="F215" s="26">
        <f>IF(E215="","",IF(COUNTIF(lst_Jobs,E215&amp;"")&gt;0,"OK","CHECK"))</f>
        <v/>
      </c>
      <c r="G215" s="22" t="n"/>
      <c r="H215" s="22" t="n"/>
      <c r="I215" s="24" t="n"/>
      <c r="J215" s="22" t="n"/>
      <c r="K215" s="23" t="n"/>
      <c r="L215" s="72" t="n"/>
      <c r="M215" s="27">
        <f>IF(E215="","",SUMIFS(tbl_Finance[Ex GST],tbl_Finance[Job Number],E215&amp;""))</f>
        <v/>
      </c>
      <c r="N215" s="27">
        <f>IF(J215&lt;&gt;"Won","",IF(E215="",N(I215),I215-M215))</f>
        <v/>
      </c>
      <c r="O215" s="22" t="n"/>
    </row>
    <row r="216" ht="15" customHeight="1">
      <c r="A216" s="72" t="n"/>
      <c r="B216" s="22" t="n"/>
      <c r="C216" s="22" t="n"/>
      <c r="D216" s="22" t="n"/>
      <c r="E216" s="22" t="n"/>
      <c r="F216" s="26">
        <f>IF(E216="","",IF(COUNTIF(lst_Jobs,E216&amp;"")&gt;0,"OK","CHECK"))</f>
        <v/>
      </c>
      <c r="G216" s="22" t="n"/>
      <c r="H216" s="22" t="n"/>
      <c r="I216" s="24" t="n"/>
      <c r="J216" s="22" t="n"/>
      <c r="K216" s="23" t="n"/>
      <c r="L216" s="72" t="n"/>
      <c r="M216" s="27">
        <f>IF(E216="","",SUMIFS(tbl_Finance[Ex GST],tbl_Finance[Job Number],E216&amp;""))</f>
        <v/>
      </c>
      <c r="N216" s="27">
        <f>IF(J216&lt;&gt;"Won","",IF(E216="",N(I216),I216-M216))</f>
        <v/>
      </c>
      <c r="O216" s="22" t="n"/>
    </row>
    <row r="217" ht="15" customHeight="1">
      <c r="A217" s="72" t="n"/>
      <c r="B217" s="22" t="n"/>
      <c r="C217" s="22" t="n"/>
      <c r="D217" s="22" t="n"/>
      <c r="E217" s="22" t="n"/>
      <c r="F217" s="26">
        <f>IF(E217="","",IF(COUNTIF(lst_Jobs,E217&amp;"")&gt;0,"OK","CHECK"))</f>
        <v/>
      </c>
      <c r="G217" s="22" t="n"/>
      <c r="H217" s="22" t="n"/>
      <c r="I217" s="24" t="n"/>
      <c r="J217" s="22" t="n"/>
      <c r="K217" s="23" t="n"/>
      <c r="L217" s="72" t="n"/>
      <c r="M217" s="27">
        <f>IF(E217="","",SUMIFS(tbl_Finance[Ex GST],tbl_Finance[Job Number],E217&amp;""))</f>
        <v/>
      </c>
      <c r="N217" s="27">
        <f>IF(J217&lt;&gt;"Won","",IF(E217="",N(I217),I217-M217))</f>
        <v/>
      </c>
      <c r="O217" s="22" t="n"/>
    </row>
    <row r="218" ht="15" customHeight="1">
      <c r="A218" s="72" t="n"/>
      <c r="B218" s="22" t="n"/>
      <c r="C218" s="22" t="n"/>
      <c r="D218" s="22" t="n"/>
      <c r="E218" s="22" t="n"/>
      <c r="F218" s="26">
        <f>IF(E218="","",IF(COUNTIF(lst_Jobs,E218&amp;"")&gt;0,"OK","CHECK"))</f>
        <v/>
      </c>
      <c r="G218" s="22" t="n"/>
      <c r="H218" s="22" t="n"/>
      <c r="I218" s="24" t="n"/>
      <c r="J218" s="22" t="n"/>
      <c r="K218" s="23" t="n"/>
      <c r="L218" s="72" t="n"/>
      <c r="M218" s="27">
        <f>IF(E218="","",SUMIFS(tbl_Finance[Ex GST],tbl_Finance[Job Number],E218&amp;""))</f>
        <v/>
      </c>
      <c r="N218" s="27">
        <f>IF(J218&lt;&gt;"Won","",IF(E218="",N(I218),I218-M218))</f>
        <v/>
      </c>
      <c r="O218" s="22" t="n"/>
    </row>
    <row r="219" ht="15" customHeight="1">
      <c r="A219" s="72" t="n"/>
      <c r="B219" s="22" t="n"/>
      <c r="C219" s="22" t="n"/>
      <c r="D219" s="22" t="n"/>
      <c r="E219" s="22" t="n"/>
      <c r="F219" s="26">
        <f>IF(E219="","",IF(COUNTIF(lst_Jobs,E219&amp;"")&gt;0,"OK","CHECK"))</f>
        <v/>
      </c>
      <c r="G219" s="22" t="n"/>
      <c r="H219" s="22" t="n"/>
      <c r="I219" s="24" t="n"/>
      <c r="J219" s="22" t="n"/>
      <c r="K219" s="23" t="n"/>
      <c r="L219" s="72" t="n"/>
      <c r="M219" s="27">
        <f>IF(E219="","",SUMIFS(tbl_Finance[Ex GST],tbl_Finance[Job Number],E219&amp;""))</f>
        <v/>
      </c>
      <c r="N219" s="27">
        <f>IF(J219&lt;&gt;"Won","",IF(E219="",N(I219),I219-M219))</f>
        <v/>
      </c>
      <c r="O219" s="22" t="n"/>
    </row>
    <row r="220" ht="15" customHeight="1">
      <c r="A220" s="72" t="n"/>
      <c r="B220" s="22" t="n"/>
      <c r="C220" s="22" t="n"/>
      <c r="D220" s="22" t="n"/>
      <c r="E220" s="22" t="n"/>
      <c r="F220" s="26">
        <f>IF(E220="","",IF(COUNTIF(lst_Jobs,E220&amp;"")&gt;0,"OK","CHECK"))</f>
        <v/>
      </c>
      <c r="G220" s="22" t="n"/>
      <c r="H220" s="22" t="n"/>
      <c r="I220" s="24" t="n"/>
      <c r="J220" s="22" t="n"/>
      <c r="K220" s="23" t="n"/>
      <c r="L220" s="72" t="n"/>
      <c r="M220" s="27">
        <f>IF(E220="","",SUMIFS(tbl_Finance[Ex GST],tbl_Finance[Job Number],E220&amp;""))</f>
        <v/>
      </c>
      <c r="N220" s="27">
        <f>IF(J220&lt;&gt;"Won","",IF(E220="",N(I220),I220-M220))</f>
        <v/>
      </c>
      <c r="O220" s="22" t="n"/>
    </row>
    <row r="221" ht="15" customHeight="1">
      <c r="A221" s="72" t="n"/>
      <c r="B221" s="22" t="n"/>
      <c r="C221" s="22" t="n"/>
      <c r="D221" s="22" t="n"/>
      <c r="E221" s="22" t="n"/>
      <c r="F221" s="26">
        <f>IF(E221="","",IF(COUNTIF(lst_Jobs,E221&amp;"")&gt;0,"OK","CHECK"))</f>
        <v/>
      </c>
      <c r="G221" s="22" t="n"/>
      <c r="H221" s="22" t="n"/>
      <c r="I221" s="24" t="n"/>
      <c r="J221" s="22" t="n"/>
      <c r="K221" s="23" t="n"/>
      <c r="L221" s="72" t="n"/>
      <c r="M221" s="27">
        <f>IF(E221="","",SUMIFS(tbl_Finance[Ex GST],tbl_Finance[Job Number],E221&amp;""))</f>
        <v/>
      </c>
      <c r="N221" s="27">
        <f>IF(J221&lt;&gt;"Won","",IF(E221="",N(I221),I221-M221))</f>
        <v/>
      </c>
      <c r="O221" s="22" t="n"/>
    </row>
    <row r="222" ht="15" customHeight="1">
      <c r="A222" s="72" t="n"/>
      <c r="B222" s="22" t="n"/>
      <c r="C222" s="22" t="n"/>
      <c r="D222" s="22" t="n"/>
      <c r="E222" s="22" t="n"/>
      <c r="F222" s="26">
        <f>IF(E222="","",IF(COUNTIF(lst_Jobs,E222&amp;"")&gt;0,"OK","CHECK"))</f>
        <v/>
      </c>
      <c r="G222" s="22" t="n"/>
      <c r="H222" s="22" t="n"/>
      <c r="I222" s="24" t="n"/>
      <c r="J222" s="22" t="n"/>
      <c r="K222" s="23" t="n"/>
      <c r="L222" s="72" t="n"/>
      <c r="M222" s="27">
        <f>IF(E222="","",SUMIFS(tbl_Finance[Ex GST],tbl_Finance[Job Number],E222&amp;""))</f>
        <v/>
      </c>
      <c r="N222" s="27">
        <f>IF(J222&lt;&gt;"Won","",IF(E222="",N(I222),I222-M222))</f>
        <v/>
      </c>
      <c r="O222" s="22" t="n"/>
    </row>
    <row r="223" ht="15" customHeight="1">
      <c r="A223" s="72" t="n"/>
      <c r="B223" s="22" t="n"/>
      <c r="C223" s="22" t="n"/>
      <c r="D223" s="22" t="n"/>
      <c r="E223" s="22" t="n"/>
      <c r="F223" s="26">
        <f>IF(E223="","",IF(COUNTIF(lst_Jobs,E223&amp;"")&gt;0,"OK","CHECK"))</f>
        <v/>
      </c>
      <c r="G223" s="22" t="n"/>
      <c r="H223" s="22" t="n"/>
      <c r="I223" s="24" t="n"/>
      <c r="J223" s="22" t="n"/>
      <c r="K223" s="23" t="n"/>
      <c r="L223" s="72" t="n"/>
      <c r="M223" s="27">
        <f>IF(E223="","",SUMIFS(tbl_Finance[Ex GST],tbl_Finance[Job Number],E223&amp;""))</f>
        <v/>
      </c>
      <c r="N223" s="27">
        <f>IF(J223&lt;&gt;"Won","",IF(E223="",N(I223),I223-M223))</f>
        <v/>
      </c>
      <c r="O223" s="22" t="n"/>
    </row>
    <row r="224" ht="15" customHeight="1">
      <c r="A224" s="72" t="n"/>
      <c r="B224" s="22" t="n"/>
      <c r="C224" s="22" t="n"/>
      <c r="D224" s="22" t="n"/>
      <c r="E224" s="22" t="n"/>
      <c r="F224" s="26">
        <f>IF(E224="","",IF(COUNTIF(lst_Jobs,E224&amp;"")&gt;0,"OK","CHECK"))</f>
        <v/>
      </c>
      <c r="G224" s="22" t="n"/>
      <c r="H224" s="22" t="n"/>
      <c r="I224" s="24" t="n"/>
      <c r="J224" s="22" t="n"/>
      <c r="K224" s="23" t="n"/>
      <c r="L224" s="72" t="n"/>
      <c r="M224" s="27">
        <f>IF(E224="","",SUMIFS(tbl_Finance[Ex GST],tbl_Finance[Job Number],E224&amp;""))</f>
        <v/>
      </c>
      <c r="N224" s="27">
        <f>IF(J224&lt;&gt;"Won","",IF(E224="",N(I224),I224-M224))</f>
        <v/>
      </c>
      <c r="O224" s="22" t="n"/>
    </row>
    <row r="225" ht="15" customHeight="1">
      <c r="A225" s="72" t="n"/>
      <c r="B225" s="22" t="n"/>
      <c r="C225" s="22" t="n"/>
      <c r="D225" s="22" t="n"/>
      <c r="E225" s="22" t="n"/>
      <c r="F225" s="26">
        <f>IF(E225="","",IF(COUNTIF(lst_Jobs,E225&amp;"")&gt;0,"OK","CHECK"))</f>
        <v/>
      </c>
      <c r="G225" s="22" t="n"/>
      <c r="H225" s="22" t="n"/>
      <c r="I225" s="24" t="n"/>
      <c r="J225" s="22" t="n"/>
      <c r="K225" s="23" t="n"/>
      <c r="L225" s="72" t="n"/>
      <c r="M225" s="27">
        <f>IF(E225="","",SUMIFS(tbl_Finance[Ex GST],tbl_Finance[Job Number],E225&amp;""))</f>
        <v/>
      </c>
      <c r="N225" s="27">
        <f>IF(J225&lt;&gt;"Won","",IF(E225="",N(I225),I225-M225))</f>
        <v/>
      </c>
      <c r="O225" s="22" t="n"/>
    </row>
    <row r="226" ht="15" customHeight="1">
      <c r="A226" s="72" t="n"/>
      <c r="B226" s="22" t="n"/>
      <c r="C226" s="22" t="n"/>
      <c r="D226" s="22" t="n"/>
      <c r="E226" s="22" t="n"/>
      <c r="F226" s="26">
        <f>IF(E226="","",IF(COUNTIF(lst_Jobs,E226&amp;"")&gt;0,"OK","CHECK"))</f>
        <v/>
      </c>
      <c r="G226" s="22" t="n"/>
      <c r="H226" s="22" t="n"/>
      <c r="I226" s="24" t="n"/>
      <c r="J226" s="22" t="n"/>
      <c r="K226" s="23" t="n"/>
      <c r="L226" s="72" t="n"/>
      <c r="M226" s="27">
        <f>IF(E226="","",SUMIFS(tbl_Finance[Ex GST],tbl_Finance[Job Number],E226&amp;""))</f>
        <v/>
      </c>
      <c r="N226" s="27">
        <f>IF(J226&lt;&gt;"Won","",IF(E226="",N(I226),I226-M226))</f>
        <v/>
      </c>
      <c r="O226" s="22" t="n"/>
    </row>
    <row r="227" ht="15" customHeight="1">
      <c r="A227" s="72" t="n"/>
      <c r="B227" s="22" t="n"/>
      <c r="C227" s="22" t="n"/>
      <c r="D227" s="22" t="n"/>
      <c r="E227" s="22" t="n"/>
      <c r="F227" s="26">
        <f>IF(E227="","",IF(COUNTIF(lst_Jobs,E227&amp;"")&gt;0,"OK","CHECK"))</f>
        <v/>
      </c>
      <c r="G227" s="22" t="n"/>
      <c r="H227" s="22" t="n"/>
      <c r="I227" s="24" t="n"/>
      <c r="J227" s="22" t="n"/>
      <c r="K227" s="23" t="n"/>
      <c r="L227" s="72" t="n"/>
      <c r="M227" s="27">
        <f>IF(E227="","",SUMIFS(tbl_Finance[Ex GST],tbl_Finance[Job Number],E227&amp;""))</f>
        <v/>
      </c>
      <c r="N227" s="27">
        <f>IF(J227&lt;&gt;"Won","",IF(E227="",N(I227),I227-M227))</f>
        <v/>
      </c>
      <c r="O227" s="22" t="n"/>
    </row>
    <row r="228" ht="15" customHeight="1">
      <c r="A228" s="72" t="n"/>
      <c r="B228" s="22" t="n"/>
      <c r="C228" s="22" t="n"/>
      <c r="D228" s="22" t="n"/>
      <c r="E228" s="22" t="n"/>
      <c r="F228" s="26">
        <f>IF(E228="","",IF(COUNTIF(lst_Jobs,E228&amp;"")&gt;0,"OK","CHECK"))</f>
        <v/>
      </c>
      <c r="G228" s="22" t="n"/>
      <c r="H228" s="22" t="n"/>
      <c r="I228" s="24" t="n"/>
      <c r="J228" s="22" t="n"/>
      <c r="K228" s="23" t="n"/>
      <c r="L228" s="72" t="n"/>
      <c r="M228" s="27">
        <f>IF(E228="","",SUMIFS(tbl_Finance[Ex GST],tbl_Finance[Job Number],E228&amp;""))</f>
        <v/>
      </c>
      <c r="N228" s="27">
        <f>IF(J228&lt;&gt;"Won","",IF(E228="",N(I228),I228-M228))</f>
        <v/>
      </c>
      <c r="O228" s="22" t="n"/>
    </row>
    <row r="229" ht="15" customHeight="1">
      <c r="A229" s="72" t="n"/>
      <c r="B229" s="22" t="n"/>
      <c r="C229" s="22" t="n"/>
      <c r="D229" s="22" t="n"/>
      <c r="E229" s="22" t="n"/>
      <c r="F229" s="26">
        <f>IF(E229="","",IF(COUNTIF(lst_Jobs,E229&amp;"")&gt;0,"OK","CHECK"))</f>
        <v/>
      </c>
      <c r="G229" s="22" t="n"/>
      <c r="H229" s="22" t="n"/>
      <c r="I229" s="24" t="n"/>
      <c r="J229" s="22" t="n"/>
      <c r="K229" s="23" t="n"/>
      <c r="L229" s="72" t="n"/>
      <c r="M229" s="27">
        <f>IF(E229="","",SUMIFS(tbl_Finance[Ex GST],tbl_Finance[Job Number],E229&amp;""))</f>
        <v/>
      </c>
      <c r="N229" s="27">
        <f>IF(J229&lt;&gt;"Won","",IF(E229="",N(I229),I229-M229))</f>
        <v/>
      </c>
      <c r="O229" s="22" t="n"/>
    </row>
    <row r="230" ht="15" customHeight="1">
      <c r="A230" s="72" t="n"/>
      <c r="B230" s="22" t="n"/>
      <c r="C230" s="22" t="n"/>
      <c r="D230" s="22" t="n"/>
      <c r="E230" s="22" t="n"/>
      <c r="F230" s="26">
        <f>IF(E230="","",IF(COUNTIF(lst_Jobs,E230&amp;"")&gt;0,"OK","CHECK"))</f>
        <v/>
      </c>
      <c r="G230" s="22" t="n"/>
      <c r="H230" s="22" t="n"/>
      <c r="I230" s="24" t="n"/>
      <c r="J230" s="22" t="n"/>
      <c r="K230" s="23" t="n"/>
      <c r="L230" s="72" t="n"/>
      <c r="M230" s="27">
        <f>IF(E230="","",SUMIFS(tbl_Finance[Ex GST],tbl_Finance[Job Number],E230&amp;""))</f>
        <v/>
      </c>
      <c r="N230" s="27">
        <f>IF(J230&lt;&gt;"Won","",IF(E230="",N(I230),I230-M230))</f>
        <v/>
      </c>
      <c r="O230" s="22" t="n"/>
    </row>
    <row r="231" ht="15" customHeight="1">
      <c r="A231" s="72" t="n"/>
      <c r="B231" s="22" t="n"/>
      <c r="C231" s="22" t="n"/>
      <c r="D231" s="22" t="n"/>
      <c r="E231" s="22" t="n"/>
      <c r="F231" s="26">
        <f>IF(E231="","",IF(COUNTIF(lst_Jobs,E231&amp;"")&gt;0,"OK","CHECK"))</f>
        <v/>
      </c>
      <c r="G231" s="22" t="n"/>
      <c r="H231" s="22" t="n"/>
      <c r="I231" s="24" t="n"/>
      <c r="J231" s="22" t="n"/>
      <c r="K231" s="23" t="n"/>
      <c r="L231" s="72" t="n"/>
      <c r="M231" s="27">
        <f>IF(E231="","",SUMIFS(tbl_Finance[Ex GST],tbl_Finance[Job Number],E231&amp;""))</f>
        <v/>
      </c>
      <c r="N231" s="27">
        <f>IF(J231&lt;&gt;"Won","",IF(E231="",N(I231),I231-M231))</f>
        <v/>
      </c>
      <c r="O231" s="22" t="n"/>
    </row>
    <row r="232" ht="15" customHeight="1">
      <c r="A232" s="72" t="n"/>
      <c r="B232" s="22" t="n"/>
      <c r="C232" s="22" t="n"/>
      <c r="D232" s="22" t="n"/>
      <c r="E232" s="22" t="n"/>
      <c r="F232" s="26">
        <f>IF(E232="","",IF(COUNTIF(lst_Jobs,E232&amp;"")&gt;0,"OK","CHECK"))</f>
        <v/>
      </c>
      <c r="G232" s="22" t="n"/>
      <c r="H232" s="22" t="n"/>
      <c r="I232" s="24" t="n"/>
      <c r="J232" s="22" t="n"/>
      <c r="K232" s="23" t="n"/>
      <c r="L232" s="72" t="n"/>
      <c r="M232" s="27">
        <f>IF(E232="","",SUMIFS(tbl_Finance[Ex GST],tbl_Finance[Job Number],E232&amp;""))</f>
        <v/>
      </c>
      <c r="N232" s="27">
        <f>IF(J232&lt;&gt;"Won","",IF(E232="",N(I232),I232-M232))</f>
        <v/>
      </c>
      <c r="O232" s="22" t="n"/>
    </row>
    <row r="233" ht="15" customHeight="1">
      <c r="A233" s="72" t="n"/>
      <c r="B233" s="22" t="n"/>
      <c r="C233" s="22" t="n"/>
      <c r="D233" s="22" t="n"/>
      <c r="E233" s="22" t="n"/>
      <c r="F233" s="26">
        <f>IF(E233="","",IF(COUNTIF(lst_Jobs,E233&amp;"")&gt;0,"OK","CHECK"))</f>
        <v/>
      </c>
      <c r="G233" s="22" t="n"/>
      <c r="H233" s="22" t="n"/>
      <c r="I233" s="24" t="n"/>
      <c r="J233" s="22" t="n"/>
      <c r="K233" s="23" t="n"/>
      <c r="L233" s="72" t="n"/>
      <c r="M233" s="27">
        <f>IF(E233="","",SUMIFS(tbl_Finance[Ex GST],tbl_Finance[Job Number],E233&amp;""))</f>
        <v/>
      </c>
      <c r="N233" s="27">
        <f>IF(J233&lt;&gt;"Won","",IF(E233="",N(I233),I233-M233))</f>
        <v/>
      </c>
      <c r="O233" s="22" t="n"/>
    </row>
    <row r="234" ht="15" customHeight="1">
      <c r="A234" s="72" t="n"/>
      <c r="B234" s="22" t="n"/>
      <c r="C234" s="22" t="n"/>
      <c r="D234" s="22" t="n"/>
      <c r="E234" s="22" t="n"/>
      <c r="F234" s="26">
        <f>IF(E234="","",IF(COUNTIF(lst_Jobs,E234&amp;"")&gt;0,"OK","CHECK"))</f>
        <v/>
      </c>
      <c r="G234" s="22" t="n"/>
      <c r="H234" s="22" t="n"/>
      <c r="I234" s="24" t="n"/>
      <c r="J234" s="22" t="n"/>
      <c r="K234" s="23" t="n"/>
      <c r="L234" s="72" t="n"/>
      <c r="M234" s="27">
        <f>IF(E234="","",SUMIFS(tbl_Finance[Ex GST],tbl_Finance[Job Number],E234&amp;""))</f>
        <v/>
      </c>
      <c r="N234" s="27">
        <f>IF(J234&lt;&gt;"Won","",IF(E234="",N(I234),I234-M234))</f>
        <v/>
      </c>
      <c r="O234" s="22" t="n"/>
    </row>
    <row r="235" ht="15" customHeight="1">
      <c r="A235" s="72" t="n"/>
      <c r="B235" s="22" t="n"/>
      <c r="C235" s="22" t="n"/>
      <c r="D235" s="22" t="n"/>
      <c r="E235" s="22" t="n"/>
      <c r="F235" s="26">
        <f>IF(E235="","",IF(COUNTIF(lst_Jobs,E235&amp;"")&gt;0,"OK","CHECK"))</f>
        <v/>
      </c>
      <c r="G235" s="22" t="n"/>
      <c r="H235" s="22" t="n"/>
      <c r="I235" s="24" t="n"/>
      <c r="J235" s="22" t="n"/>
      <c r="K235" s="23" t="n"/>
      <c r="L235" s="72" t="n"/>
      <c r="M235" s="27">
        <f>IF(E235="","",SUMIFS(tbl_Finance[Ex GST],tbl_Finance[Job Number],E235&amp;""))</f>
        <v/>
      </c>
      <c r="N235" s="27">
        <f>IF(J235&lt;&gt;"Won","",IF(E235="",N(I235),I235-M235))</f>
        <v/>
      </c>
      <c r="O235" s="22" t="n"/>
    </row>
    <row r="236" ht="15" customHeight="1">
      <c r="A236" s="72" t="n"/>
      <c r="B236" s="22" t="n"/>
      <c r="C236" s="22" t="n"/>
      <c r="D236" s="22" t="n"/>
      <c r="E236" s="22" t="n"/>
      <c r="F236" s="26">
        <f>IF(E236="","",IF(COUNTIF(lst_Jobs,E236&amp;"")&gt;0,"OK","CHECK"))</f>
        <v/>
      </c>
      <c r="G236" s="22" t="n"/>
      <c r="H236" s="22" t="n"/>
      <c r="I236" s="24" t="n"/>
      <c r="J236" s="22" t="n"/>
      <c r="K236" s="23" t="n"/>
      <c r="L236" s="72" t="n"/>
      <c r="M236" s="27">
        <f>IF(E236="","",SUMIFS(tbl_Finance[Ex GST],tbl_Finance[Job Number],E236&amp;""))</f>
        <v/>
      </c>
      <c r="N236" s="27">
        <f>IF(J236&lt;&gt;"Won","",IF(E236="",N(I236),I236-M236))</f>
        <v/>
      </c>
      <c r="O236" s="22" t="n"/>
    </row>
    <row r="237" ht="15" customHeight="1">
      <c r="A237" s="72" t="n"/>
      <c r="B237" s="22" t="n"/>
      <c r="C237" s="22" t="n"/>
      <c r="D237" s="22" t="n"/>
      <c r="E237" s="22" t="n"/>
      <c r="F237" s="26">
        <f>IF(E237="","",IF(COUNTIF(lst_Jobs,E237&amp;"")&gt;0,"OK","CHECK"))</f>
        <v/>
      </c>
      <c r="G237" s="22" t="n"/>
      <c r="H237" s="22" t="n"/>
      <c r="I237" s="24" t="n"/>
      <c r="J237" s="22" t="n"/>
      <c r="K237" s="23" t="n"/>
      <c r="L237" s="72" t="n"/>
      <c r="M237" s="27">
        <f>IF(E237="","",SUMIFS(tbl_Finance[Ex GST],tbl_Finance[Job Number],E237&amp;""))</f>
        <v/>
      </c>
      <c r="N237" s="27">
        <f>IF(J237&lt;&gt;"Won","",IF(E237="",N(I237),I237-M237))</f>
        <v/>
      </c>
      <c r="O237" s="22" t="n"/>
    </row>
    <row r="238" ht="15" customHeight="1">
      <c r="A238" s="72" t="n"/>
      <c r="B238" s="22" t="n"/>
      <c r="C238" s="22" t="n"/>
      <c r="D238" s="22" t="n"/>
      <c r="E238" s="22" t="n"/>
      <c r="F238" s="26">
        <f>IF(E238="","",IF(COUNTIF(lst_Jobs,E238&amp;"")&gt;0,"OK","CHECK"))</f>
        <v/>
      </c>
      <c r="G238" s="22" t="n"/>
      <c r="H238" s="22" t="n"/>
      <c r="I238" s="24" t="n"/>
      <c r="J238" s="22" t="n"/>
      <c r="K238" s="23" t="n"/>
      <c r="L238" s="72" t="n"/>
      <c r="M238" s="27">
        <f>IF(E238="","",SUMIFS(tbl_Finance[Ex GST],tbl_Finance[Job Number],E238&amp;""))</f>
        <v/>
      </c>
      <c r="N238" s="27">
        <f>IF(J238&lt;&gt;"Won","",IF(E238="",N(I238),I238-M238))</f>
        <v/>
      </c>
      <c r="O238" s="22" t="n"/>
    </row>
    <row r="239" ht="15" customHeight="1">
      <c r="A239" s="72" t="n"/>
      <c r="B239" s="22" t="n"/>
      <c r="C239" s="22" t="n"/>
      <c r="D239" s="22" t="n"/>
      <c r="E239" s="22" t="n"/>
      <c r="F239" s="26">
        <f>IF(E239="","",IF(COUNTIF(lst_Jobs,E239&amp;"")&gt;0,"OK","CHECK"))</f>
        <v/>
      </c>
      <c r="G239" s="22" t="n"/>
      <c r="H239" s="22" t="n"/>
      <c r="I239" s="24" t="n"/>
      <c r="J239" s="22" t="n"/>
      <c r="K239" s="23" t="n"/>
      <c r="L239" s="72" t="n"/>
      <c r="M239" s="27">
        <f>IF(E239="","",SUMIFS(tbl_Finance[Ex GST],tbl_Finance[Job Number],E239&amp;""))</f>
        <v/>
      </c>
      <c r="N239" s="27">
        <f>IF(J239&lt;&gt;"Won","",IF(E239="",N(I239),I239-M239))</f>
        <v/>
      </c>
      <c r="O239" s="22" t="n"/>
    </row>
    <row r="240" ht="15" customHeight="1">
      <c r="A240" s="72" t="n"/>
      <c r="B240" s="22" t="n"/>
      <c r="C240" s="22" t="n"/>
      <c r="D240" s="22" t="n"/>
      <c r="E240" s="22" t="n"/>
      <c r="F240" s="26">
        <f>IF(E240="","",IF(COUNTIF(lst_Jobs,E240&amp;"")&gt;0,"OK","CHECK"))</f>
        <v/>
      </c>
      <c r="G240" s="22" t="n"/>
      <c r="H240" s="22" t="n"/>
      <c r="I240" s="24" t="n"/>
      <c r="J240" s="22" t="n"/>
      <c r="K240" s="23" t="n"/>
      <c r="L240" s="72" t="n"/>
      <c r="M240" s="27">
        <f>IF(E240="","",SUMIFS(tbl_Finance[Ex GST],tbl_Finance[Job Number],E240&amp;""))</f>
        <v/>
      </c>
      <c r="N240" s="27">
        <f>IF(J240&lt;&gt;"Won","",IF(E240="",N(I240),I240-M240))</f>
        <v/>
      </c>
      <c r="O240" s="22" t="n"/>
    </row>
    <row r="241" ht="15" customHeight="1">
      <c r="A241" s="72" t="n"/>
      <c r="B241" s="22" t="n"/>
      <c r="C241" s="22" t="n"/>
      <c r="D241" s="22" t="n"/>
      <c r="E241" s="22" t="n"/>
      <c r="F241" s="26">
        <f>IF(E241="","",IF(COUNTIF(lst_Jobs,E241&amp;"")&gt;0,"OK","CHECK"))</f>
        <v/>
      </c>
      <c r="G241" s="22" t="n"/>
      <c r="H241" s="22" t="n"/>
      <c r="I241" s="24" t="n"/>
      <c r="J241" s="22" t="n"/>
      <c r="K241" s="23" t="n"/>
      <c r="L241" s="72" t="n"/>
      <c r="M241" s="27">
        <f>IF(E241="","",SUMIFS(tbl_Finance[Ex GST],tbl_Finance[Job Number],E241&amp;""))</f>
        <v/>
      </c>
      <c r="N241" s="27">
        <f>IF(J241&lt;&gt;"Won","",IF(E241="",N(I241),I241-M241))</f>
        <v/>
      </c>
      <c r="O241" s="22" t="n"/>
    </row>
    <row r="242" ht="15" customHeight="1">
      <c r="A242" s="72" t="n"/>
      <c r="B242" s="22" t="n"/>
      <c r="C242" s="22" t="n"/>
      <c r="D242" s="22" t="n"/>
      <c r="E242" s="22" t="n"/>
      <c r="F242" s="26">
        <f>IF(E242="","",IF(COUNTIF(lst_Jobs,E242&amp;"")&gt;0,"OK","CHECK"))</f>
        <v/>
      </c>
      <c r="G242" s="22" t="n"/>
      <c r="H242" s="22" t="n"/>
      <c r="I242" s="24" t="n"/>
      <c r="J242" s="22" t="n"/>
      <c r="K242" s="23" t="n"/>
      <c r="L242" s="72" t="n"/>
      <c r="M242" s="27">
        <f>IF(E242="","",SUMIFS(tbl_Finance[Ex GST],tbl_Finance[Job Number],E242&amp;""))</f>
        <v/>
      </c>
      <c r="N242" s="27">
        <f>IF(J242&lt;&gt;"Won","",IF(E242="",N(I242),I242-M242))</f>
        <v/>
      </c>
      <c r="O242" s="22" t="n"/>
    </row>
    <row r="243" ht="15" customHeight="1">
      <c r="A243" s="72" t="n"/>
      <c r="B243" s="22" t="n"/>
      <c r="C243" s="22" t="n"/>
      <c r="D243" s="22" t="n"/>
      <c r="E243" s="22" t="n"/>
      <c r="F243" s="26">
        <f>IF(E243="","",IF(COUNTIF(lst_Jobs,E243&amp;"")&gt;0,"OK","CHECK"))</f>
        <v/>
      </c>
      <c r="G243" s="22" t="n"/>
      <c r="H243" s="22" t="n"/>
      <c r="I243" s="24" t="n"/>
      <c r="J243" s="22" t="n"/>
      <c r="K243" s="23" t="n"/>
      <c r="L243" s="72" t="n"/>
      <c r="M243" s="27">
        <f>IF(E243="","",SUMIFS(tbl_Finance[Ex GST],tbl_Finance[Job Number],E243&amp;""))</f>
        <v/>
      </c>
      <c r="N243" s="27">
        <f>IF(J243&lt;&gt;"Won","",IF(E243="",N(I243),I243-M243))</f>
        <v/>
      </c>
      <c r="O243" s="22" t="n"/>
    </row>
    <row r="244" ht="15" customHeight="1">
      <c r="A244" s="72" t="n"/>
      <c r="B244" s="22" t="n"/>
      <c r="C244" s="22" t="n"/>
      <c r="D244" s="22" t="n"/>
      <c r="E244" s="22" t="n"/>
      <c r="F244" s="26">
        <f>IF(E244="","",IF(COUNTIF(lst_Jobs,E244&amp;"")&gt;0,"OK","CHECK"))</f>
        <v/>
      </c>
      <c r="G244" s="22" t="n"/>
      <c r="H244" s="22" t="n"/>
      <c r="I244" s="24" t="n"/>
      <c r="J244" s="22" t="n"/>
      <c r="K244" s="23" t="n"/>
      <c r="L244" s="72" t="n"/>
      <c r="M244" s="27">
        <f>IF(E244="","",SUMIFS(tbl_Finance[Ex GST],tbl_Finance[Job Number],E244&amp;""))</f>
        <v/>
      </c>
      <c r="N244" s="27">
        <f>IF(J244&lt;&gt;"Won","",IF(E244="",N(I244),I244-M244))</f>
        <v/>
      </c>
      <c r="O244" s="22" t="n"/>
    </row>
    <row r="245" ht="15" customHeight="1">
      <c r="A245" s="72" t="n"/>
      <c r="B245" s="22" t="n"/>
      <c r="C245" s="22" t="n"/>
      <c r="D245" s="22" t="n"/>
      <c r="E245" s="22" t="n"/>
      <c r="F245" s="26">
        <f>IF(E245="","",IF(COUNTIF(lst_Jobs,E245&amp;"")&gt;0,"OK","CHECK"))</f>
        <v/>
      </c>
      <c r="G245" s="22" t="n"/>
      <c r="H245" s="22" t="n"/>
      <c r="I245" s="24" t="n"/>
      <c r="J245" s="22" t="n"/>
      <c r="K245" s="23" t="n"/>
      <c r="L245" s="72" t="n"/>
      <c r="M245" s="27">
        <f>IF(E245="","",SUMIFS(tbl_Finance[Ex GST],tbl_Finance[Job Number],E245&amp;""))</f>
        <v/>
      </c>
      <c r="N245" s="27">
        <f>IF(J245&lt;&gt;"Won","",IF(E245="",N(I245),I245-M245))</f>
        <v/>
      </c>
      <c r="O245" s="22" t="n"/>
    </row>
    <row r="246" ht="15" customHeight="1">
      <c r="A246" s="72" t="n"/>
      <c r="B246" s="22" t="n"/>
      <c r="C246" s="22" t="n"/>
      <c r="D246" s="22" t="n"/>
      <c r="E246" s="22" t="n"/>
      <c r="F246" s="26">
        <f>IF(E246="","",IF(COUNTIF(lst_Jobs,E246&amp;"")&gt;0,"OK","CHECK"))</f>
        <v/>
      </c>
      <c r="G246" s="22" t="n"/>
      <c r="H246" s="22" t="n"/>
      <c r="I246" s="24" t="n"/>
      <c r="J246" s="22" t="n"/>
      <c r="K246" s="23" t="n"/>
      <c r="L246" s="72" t="n"/>
      <c r="M246" s="27">
        <f>IF(E246="","",SUMIFS(tbl_Finance[Ex GST],tbl_Finance[Job Number],E246&amp;""))</f>
        <v/>
      </c>
      <c r="N246" s="27">
        <f>IF(J246&lt;&gt;"Won","",IF(E246="",N(I246),I246-M246))</f>
        <v/>
      </c>
      <c r="O246" s="22" t="n"/>
    </row>
    <row r="247" ht="15" customHeight="1">
      <c r="A247" s="72" t="n"/>
      <c r="B247" s="22" t="n"/>
      <c r="C247" s="22" t="n"/>
      <c r="D247" s="22" t="n"/>
      <c r="E247" s="22" t="n"/>
      <c r="F247" s="26">
        <f>IF(E247="","",IF(COUNTIF(lst_Jobs,E247&amp;"")&gt;0,"OK","CHECK"))</f>
        <v/>
      </c>
      <c r="G247" s="22" t="n"/>
      <c r="H247" s="22" t="n"/>
      <c r="I247" s="24" t="n"/>
      <c r="J247" s="22" t="n"/>
      <c r="K247" s="23" t="n"/>
      <c r="L247" s="72" t="n"/>
      <c r="M247" s="27">
        <f>IF(E247="","",SUMIFS(tbl_Finance[Ex GST],tbl_Finance[Job Number],E247&amp;""))</f>
        <v/>
      </c>
      <c r="N247" s="27">
        <f>IF(J247&lt;&gt;"Won","",IF(E247="",N(I247),I247-M247))</f>
        <v/>
      </c>
      <c r="O247" s="22" t="n"/>
    </row>
    <row r="248" ht="15" customHeight="1">
      <c r="A248" s="72" t="n"/>
      <c r="B248" s="22" t="n"/>
      <c r="C248" s="22" t="n"/>
      <c r="D248" s="22" t="n"/>
      <c r="E248" s="22" t="n"/>
      <c r="F248" s="26">
        <f>IF(E248="","",IF(COUNTIF(lst_Jobs,E248&amp;"")&gt;0,"OK","CHECK"))</f>
        <v/>
      </c>
      <c r="G248" s="22" t="n"/>
      <c r="H248" s="22" t="n"/>
      <c r="I248" s="24" t="n"/>
      <c r="J248" s="22" t="n"/>
      <c r="K248" s="23" t="n"/>
      <c r="L248" s="72" t="n"/>
      <c r="M248" s="27">
        <f>IF(E248="","",SUMIFS(tbl_Finance[Ex GST],tbl_Finance[Job Number],E248&amp;""))</f>
        <v/>
      </c>
      <c r="N248" s="27">
        <f>IF(J248&lt;&gt;"Won","",IF(E248="",N(I248),I248-M248))</f>
        <v/>
      </c>
      <c r="O248" s="22" t="n"/>
    </row>
    <row r="249" ht="15" customHeight="1">
      <c r="A249" s="72" t="n"/>
      <c r="B249" s="22" t="n"/>
      <c r="C249" s="22" t="n"/>
      <c r="D249" s="22" t="n"/>
      <c r="E249" s="22" t="n"/>
      <c r="F249" s="26">
        <f>IF(E249="","",IF(COUNTIF(lst_Jobs,E249&amp;"")&gt;0,"OK","CHECK"))</f>
        <v/>
      </c>
      <c r="G249" s="22" t="n"/>
      <c r="H249" s="22" t="n"/>
      <c r="I249" s="24" t="n"/>
      <c r="J249" s="22" t="n"/>
      <c r="K249" s="23" t="n"/>
      <c r="L249" s="72" t="n"/>
      <c r="M249" s="27">
        <f>IF(E249="","",SUMIFS(tbl_Finance[Ex GST],tbl_Finance[Job Number],E249&amp;""))</f>
        <v/>
      </c>
      <c r="N249" s="27">
        <f>IF(J249&lt;&gt;"Won","",IF(E249="",N(I249),I249-M249))</f>
        <v/>
      </c>
      <c r="O249" s="22" t="n"/>
    </row>
    <row r="250" ht="15" customHeight="1">
      <c r="A250" s="72" t="n"/>
      <c r="B250" s="22" t="n"/>
      <c r="C250" s="22" t="n"/>
      <c r="D250" s="22" t="n"/>
      <c r="E250" s="22" t="n"/>
      <c r="F250" s="26">
        <f>IF(E250="","",IF(COUNTIF(lst_Jobs,E250&amp;"")&gt;0,"OK","CHECK"))</f>
        <v/>
      </c>
      <c r="G250" s="22" t="n"/>
      <c r="H250" s="22" t="n"/>
      <c r="I250" s="24" t="n"/>
      <c r="J250" s="22" t="n"/>
      <c r="K250" s="23" t="n"/>
      <c r="L250" s="72" t="n"/>
      <c r="M250" s="27">
        <f>IF(E250="","",SUMIFS(tbl_Finance[Ex GST],tbl_Finance[Job Number],E250&amp;""))</f>
        <v/>
      </c>
      <c r="N250" s="27">
        <f>IF(J250&lt;&gt;"Won","",IF(E250="",N(I250),I250-M250))</f>
        <v/>
      </c>
      <c r="O250" s="22" t="n"/>
    </row>
    <row r="251" ht="15" customHeight="1">
      <c r="A251" s="72" t="n"/>
      <c r="B251" s="22" t="n"/>
      <c r="C251" s="22" t="n"/>
      <c r="D251" s="22" t="n"/>
      <c r="E251" s="22" t="n"/>
      <c r="F251" s="26">
        <f>IF(E251="","",IF(COUNTIF(lst_Jobs,E251&amp;"")&gt;0,"OK","CHECK"))</f>
        <v/>
      </c>
      <c r="G251" s="22" t="n"/>
      <c r="H251" s="22" t="n"/>
      <c r="I251" s="24" t="n"/>
      <c r="J251" s="22" t="n"/>
      <c r="K251" s="23" t="n"/>
      <c r="L251" s="72" t="n"/>
      <c r="M251" s="27">
        <f>IF(E251="","",SUMIFS(tbl_Finance[Ex GST],tbl_Finance[Job Number],E251&amp;""))</f>
        <v/>
      </c>
      <c r="N251" s="27">
        <f>IF(J251&lt;&gt;"Won","",IF(E251="",N(I251),I251-M251))</f>
        <v/>
      </c>
      <c r="O251" s="22" t="n"/>
    </row>
    <row r="252" ht="15" customHeight="1">
      <c r="A252" s="72" t="n"/>
      <c r="B252" s="22" t="n"/>
      <c r="C252" s="22" t="n"/>
      <c r="D252" s="22" t="n"/>
      <c r="E252" s="22" t="n"/>
      <c r="F252" s="26">
        <f>IF(E252="","",IF(COUNTIF(lst_Jobs,E252&amp;"")&gt;0,"OK","CHECK"))</f>
        <v/>
      </c>
      <c r="G252" s="22" t="n"/>
      <c r="H252" s="22" t="n"/>
      <c r="I252" s="24" t="n"/>
      <c r="J252" s="22" t="n"/>
      <c r="K252" s="23" t="n"/>
      <c r="L252" s="72" t="n"/>
      <c r="M252" s="27">
        <f>IF(E252="","",SUMIFS(tbl_Finance[Ex GST],tbl_Finance[Job Number],E252&amp;""))</f>
        <v/>
      </c>
      <c r="N252" s="27">
        <f>IF(J252&lt;&gt;"Won","",IF(E252="",N(I252),I252-M252))</f>
        <v/>
      </c>
      <c r="O252" s="22" t="n"/>
    </row>
    <row r="253" ht="15" customHeight="1">
      <c r="A253" s="72" t="n"/>
      <c r="B253" s="22" t="n"/>
      <c r="C253" s="22" t="n"/>
      <c r="D253" s="22" t="n"/>
      <c r="E253" s="22" t="n"/>
      <c r="F253" s="26">
        <f>IF(E253="","",IF(COUNTIF(lst_Jobs,E253&amp;"")&gt;0,"OK","CHECK"))</f>
        <v/>
      </c>
      <c r="G253" s="22" t="n"/>
      <c r="H253" s="22" t="n"/>
      <c r="I253" s="24" t="n"/>
      <c r="J253" s="22" t="n"/>
      <c r="K253" s="23" t="n"/>
      <c r="L253" s="72" t="n"/>
      <c r="M253" s="27">
        <f>IF(E253="","",SUMIFS(tbl_Finance[Ex GST],tbl_Finance[Job Number],E253&amp;""))</f>
        <v/>
      </c>
      <c r="N253" s="27">
        <f>IF(J253&lt;&gt;"Won","",IF(E253="",N(I253),I253-M253))</f>
        <v/>
      </c>
      <c r="O253" s="22" t="n"/>
    </row>
    <row r="254" ht="15" customHeight="1">
      <c r="A254" s="72" t="n"/>
      <c r="B254" s="22" t="n"/>
      <c r="C254" s="22" t="n"/>
      <c r="D254" s="22" t="n"/>
      <c r="E254" s="22" t="n"/>
      <c r="F254" s="26">
        <f>IF(E254="","",IF(COUNTIF(lst_Jobs,E254&amp;"")&gt;0,"OK","CHECK"))</f>
        <v/>
      </c>
      <c r="G254" s="22" t="n"/>
      <c r="H254" s="22" t="n"/>
      <c r="I254" s="24" t="n"/>
      <c r="J254" s="22" t="n"/>
      <c r="K254" s="23" t="n"/>
      <c r="L254" s="72" t="n"/>
      <c r="M254" s="27">
        <f>IF(E254="","",SUMIFS(tbl_Finance[Ex GST],tbl_Finance[Job Number],E254&amp;""))</f>
        <v/>
      </c>
      <c r="N254" s="27">
        <f>IF(J254&lt;&gt;"Won","",IF(E254="",N(I254),I254-M254))</f>
        <v/>
      </c>
      <c r="O254" s="22" t="n"/>
    </row>
    <row r="255" ht="15" customHeight="1">
      <c r="A255" s="72" t="n"/>
      <c r="B255" s="22" t="n"/>
      <c r="C255" s="22" t="n"/>
      <c r="D255" s="22" t="n"/>
      <c r="E255" s="22" t="n"/>
      <c r="F255" s="26">
        <f>IF(E255="","",IF(COUNTIF(lst_Jobs,E255&amp;"")&gt;0,"OK","CHECK"))</f>
        <v/>
      </c>
      <c r="G255" s="22" t="n"/>
      <c r="H255" s="22" t="n"/>
      <c r="I255" s="24" t="n"/>
      <c r="J255" s="22" t="n"/>
      <c r="K255" s="23" t="n"/>
      <c r="L255" s="72" t="n"/>
      <c r="M255" s="27">
        <f>IF(E255="","",SUMIFS(tbl_Finance[Ex GST],tbl_Finance[Job Number],E255&amp;""))</f>
        <v/>
      </c>
      <c r="N255" s="27">
        <f>IF(J255&lt;&gt;"Won","",IF(E255="",N(I255),I255-M255))</f>
        <v/>
      </c>
      <c r="O255" s="22" t="n"/>
    </row>
    <row r="256" ht="15" customHeight="1">
      <c r="A256" s="72" t="n"/>
      <c r="B256" s="22" t="n"/>
      <c r="C256" s="22" t="n"/>
      <c r="D256" s="22" t="n"/>
      <c r="E256" s="22" t="n"/>
      <c r="F256" s="26">
        <f>IF(E256="","",IF(COUNTIF(lst_Jobs,E256&amp;"")&gt;0,"OK","CHECK"))</f>
        <v/>
      </c>
      <c r="G256" s="22" t="n"/>
      <c r="H256" s="22" t="n"/>
      <c r="I256" s="24" t="n"/>
      <c r="J256" s="22" t="n"/>
      <c r="K256" s="23" t="n"/>
      <c r="L256" s="72" t="n"/>
      <c r="M256" s="27">
        <f>IF(E256="","",SUMIFS(tbl_Finance[Ex GST],tbl_Finance[Job Number],E256&amp;""))</f>
        <v/>
      </c>
      <c r="N256" s="27">
        <f>IF(J256&lt;&gt;"Won","",IF(E256="",N(I256),I256-M256))</f>
        <v/>
      </c>
      <c r="O256" s="22" t="n"/>
    </row>
    <row r="257" ht="15" customHeight="1">
      <c r="A257" s="72" t="n"/>
      <c r="B257" s="22" t="n"/>
      <c r="C257" s="22" t="n"/>
      <c r="D257" s="22" t="n"/>
      <c r="E257" s="22" t="n"/>
      <c r="F257" s="26">
        <f>IF(E257="","",IF(COUNTIF(lst_Jobs,E257&amp;"")&gt;0,"OK","CHECK"))</f>
        <v/>
      </c>
      <c r="G257" s="22" t="n"/>
      <c r="H257" s="22" t="n"/>
      <c r="I257" s="24" t="n"/>
      <c r="J257" s="22" t="n"/>
      <c r="K257" s="23" t="n"/>
      <c r="L257" s="72" t="n"/>
      <c r="M257" s="27">
        <f>IF(E257="","",SUMIFS(tbl_Finance[Ex GST],tbl_Finance[Job Number],E257&amp;""))</f>
        <v/>
      </c>
      <c r="N257" s="27">
        <f>IF(J257&lt;&gt;"Won","",IF(E257="",N(I257),I257-M257))</f>
        <v/>
      </c>
      <c r="O257" s="22" t="n"/>
    </row>
    <row r="258" ht="15" customHeight="1">
      <c r="A258" s="72" t="n"/>
      <c r="B258" s="22" t="n"/>
      <c r="C258" s="22" t="n"/>
      <c r="D258" s="22" t="n"/>
      <c r="E258" s="22" t="n"/>
      <c r="F258" s="26">
        <f>IF(E258="","",IF(COUNTIF(lst_Jobs,E258&amp;"")&gt;0,"OK","CHECK"))</f>
        <v/>
      </c>
      <c r="G258" s="22" t="n"/>
      <c r="H258" s="22" t="n"/>
      <c r="I258" s="24" t="n"/>
      <c r="J258" s="22" t="n"/>
      <c r="K258" s="23" t="n"/>
      <c r="L258" s="72" t="n"/>
      <c r="M258" s="27">
        <f>IF(E258="","",SUMIFS(tbl_Finance[Ex GST],tbl_Finance[Job Number],E258&amp;""))</f>
        <v/>
      </c>
      <c r="N258" s="27">
        <f>IF(J258&lt;&gt;"Won","",IF(E258="",N(I258),I258-M258))</f>
        <v/>
      </c>
      <c r="O258" s="22" t="n"/>
    </row>
    <row r="259" ht="15" customHeight="1">
      <c r="A259" s="72" t="n"/>
      <c r="B259" s="22" t="n"/>
      <c r="C259" s="22" t="n"/>
      <c r="D259" s="22" t="n"/>
      <c r="E259" s="22" t="n"/>
      <c r="F259" s="26">
        <f>IF(E259="","",IF(COUNTIF(lst_Jobs,E259&amp;"")&gt;0,"OK","CHECK"))</f>
        <v/>
      </c>
      <c r="G259" s="22" t="n"/>
      <c r="H259" s="22" t="n"/>
      <c r="I259" s="24" t="n"/>
      <c r="J259" s="22" t="n"/>
      <c r="K259" s="23" t="n"/>
      <c r="L259" s="72" t="n"/>
      <c r="M259" s="27">
        <f>IF(E259="","",SUMIFS(tbl_Finance[Ex GST],tbl_Finance[Job Number],E259&amp;""))</f>
        <v/>
      </c>
      <c r="N259" s="27">
        <f>IF(J259&lt;&gt;"Won","",IF(E259="",N(I259),I259-M259))</f>
        <v/>
      </c>
      <c r="O259" s="22" t="n"/>
    </row>
    <row r="260" ht="15" customHeight="1">
      <c r="A260" s="72" t="n"/>
      <c r="B260" s="22" t="n"/>
      <c r="C260" s="22" t="n"/>
      <c r="D260" s="22" t="n"/>
      <c r="E260" s="22" t="n"/>
      <c r="F260" s="26">
        <f>IF(E260="","",IF(COUNTIF(lst_Jobs,E260&amp;"")&gt;0,"OK","CHECK"))</f>
        <v/>
      </c>
      <c r="G260" s="22" t="n"/>
      <c r="H260" s="22" t="n"/>
      <c r="I260" s="24" t="n"/>
      <c r="J260" s="22" t="n"/>
      <c r="K260" s="23" t="n"/>
      <c r="L260" s="72" t="n"/>
      <c r="M260" s="27">
        <f>IF(E260="","",SUMIFS(tbl_Finance[Ex GST],tbl_Finance[Job Number],E260&amp;""))</f>
        <v/>
      </c>
      <c r="N260" s="27">
        <f>IF(J260&lt;&gt;"Won","",IF(E260="",N(I260),I260-M260))</f>
        <v/>
      </c>
      <c r="O260" s="22" t="n"/>
    </row>
    <row r="261" ht="15" customHeight="1">
      <c r="A261" s="72" t="n"/>
      <c r="B261" s="22" t="n"/>
      <c r="C261" s="22" t="n"/>
      <c r="D261" s="22" t="n"/>
      <c r="E261" s="22" t="n"/>
      <c r="F261" s="26">
        <f>IF(E261="","",IF(COUNTIF(lst_Jobs,E261&amp;"")&gt;0,"OK","CHECK"))</f>
        <v/>
      </c>
      <c r="G261" s="22" t="n"/>
      <c r="H261" s="22" t="n"/>
      <c r="I261" s="24" t="n"/>
      <c r="J261" s="22" t="n"/>
      <c r="K261" s="23" t="n"/>
      <c r="L261" s="72" t="n"/>
      <c r="M261" s="27">
        <f>IF(E261="","",SUMIFS(tbl_Finance[Ex GST],tbl_Finance[Job Number],E261&amp;""))</f>
        <v/>
      </c>
      <c r="N261" s="27">
        <f>IF(J261&lt;&gt;"Won","",IF(E261="",N(I261),I261-M261))</f>
        <v/>
      </c>
      <c r="O261" s="22" t="n"/>
    </row>
    <row r="262" ht="15" customHeight="1">
      <c r="A262" s="72" t="n"/>
      <c r="B262" s="22" t="n"/>
      <c r="C262" s="22" t="n"/>
      <c r="D262" s="22" t="n"/>
      <c r="E262" s="22" t="n"/>
      <c r="F262" s="26">
        <f>IF(E262="","",IF(COUNTIF(lst_Jobs,E262&amp;"")&gt;0,"OK","CHECK"))</f>
        <v/>
      </c>
      <c r="G262" s="22" t="n"/>
      <c r="H262" s="22" t="n"/>
      <c r="I262" s="24" t="n"/>
      <c r="J262" s="22" t="n"/>
      <c r="K262" s="23" t="n"/>
      <c r="L262" s="72" t="n"/>
      <c r="M262" s="27">
        <f>IF(E262="","",SUMIFS(tbl_Finance[Ex GST],tbl_Finance[Job Number],E262&amp;""))</f>
        <v/>
      </c>
      <c r="N262" s="27">
        <f>IF(J262&lt;&gt;"Won","",IF(E262="",N(I262),I262-M262))</f>
        <v/>
      </c>
      <c r="O262" s="22" t="n"/>
    </row>
    <row r="263" ht="15" customHeight="1">
      <c r="A263" s="72" t="n"/>
      <c r="B263" s="22" t="n"/>
      <c r="C263" s="22" t="n"/>
      <c r="D263" s="22" t="n"/>
      <c r="E263" s="22" t="n"/>
      <c r="F263" s="26">
        <f>IF(E263="","",IF(COUNTIF(lst_Jobs,E263&amp;"")&gt;0,"OK","CHECK"))</f>
        <v/>
      </c>
      <c r="G263" s="22" t="n"/>
      <c r="H263" s="22" t="n"/>
      <c r="I263" s="24" t="n"/>
      <c r="J263" s="22" t="n"/>
      <c r="K263" s="23" t="n"/>
      <c r="L263" s="72" t="n"/>
      <c r="M263" s="27">
        <f>IF(E263="","",SUMIFS(tbl_Finance[Ex GST],tbl_Finance[Job Number],E263&amp;""))</f>
        <v/>
      </c>
      <c r="N263" s="27">
        <f>IF(J263&lt;&gt;"Won","",IF(E263="",N(I263),I263-M263))</f>
        <v/>
      </c>
      <c r="O263" s="22" t="n"/>
    </row>
    <row r="264" ht="15" customHeight="1">
      <c r="A264" s="72" t="n"/>
      <c r="B264" s="22" t="n"/>
      <c r="C264" s="22" t="n"/>
      <c r="D264" s="22" t="n"/>
      <c r="E264" s="22" t="n"/>
      <c r="F264" s="26">
        <f>IF(E264="","",IF(COUNTIF(lst_Jobs,E264&amp;"")&gt;0,"OK","CHECK"))</f>
        <v/>
      </c>
      <c r="G264" s="22" t="n"/>
      <c r="H264" s="22" t="n"/>
      <c r="I264" s="24" t="n"/>
      <c r="J264" s="22" t="n"/>
      <c r="K264" s="23" t="n"/>
      <c r="L264" s="72" t="n"/>
      <c r="M264" s="27">
        <f>IF(E264="","",SUMIFS(tbl_Finance[Ex GST],tbl_Finance[Job Number],E264&amp;""))</f>
        <v/>
      </c>
      <c r="N264" s="27">
        <f>IF(J264&lt;&gt;"Won","",IF(E264="",N(I264),I264-M264))</f>
        <v/>
      </c>
      <c r="O264" s="22" t="n"/>
    </row>
    <row r="265" ht="15" customHeight="1">
      <c r="A265" s="72" t="n"/>
      <c r="B265" s="22" t="n"/>
      <c r="C265" s="22" t="n"/>
      <c r="D265" s="22" t="n"/>
      <c r="E265" s="22" t="n"/>
      <c r="F265" s="26">
        <f>IF(E265="","",IF(COUNTIF(lst_Jobs,E265&amp;"")&gt;0,"OK","CHECK"))</f>
        <v/>
      </c>
      <c r="G265" s="22" t="n"/>
      <c r="H265" s="22" t="n"/>
      <c r="I265" s="24" t="n"/>
      <c r="J265" s="22" t="n"/>
      <c r="K265" s="23" t="n"/>
      <c r="L265" s="72" t="n"/>
      <c r="M265" s="27">
        <f>IF(E265="","",SUMIFS(tbl_Finance[Ex GST],tbl_Finance[Job Number],E265&amp;""))</f>
        <v/>
      </c>
      <c r="N265" s="27">
        <f>IF(J265&lt;&gt;"Won","",IF(E265="",N(I265),I265-M265))</f>
        <v/>
      </c>
      <c r="O265" s="22" t="n"/>
    </row>
    <row r="266" ht="15" customHeight="1">
      <c r="A266" s="72" t="n"/>
      <c r="B266" s="22" t="n"/>
      <c r="C266" s="22" t="n"/>
      <c r="D266" s="22" t="n"/>
      <c r="E266" s="22" t="n"/>
      <c r="F266" s="26">
        <f>IF(E266="","",IF(COUNTIF(lst_Jobs,E266&amp;"")&gt;0,"OK","CHECK"))</f>
        <v/>
      </c>
      <c r="G266" s="22" t="n"/>
      <c r="H266" s="22" t="n"/>
      <c r="I266" s="24" t="n"/>
      <c r="J266" s="22" t="n"/>
      <c r="K266" s="23" t="n"/>
      <c r="L266" s="72" t="n"/>
      <c r="M266" s="27">
        <f>IF(E266="","",SUMIFS(tbl_Finance[Ex GST],tbl_Finance[Job Number],E266&amp;""))</f>
        <v/>
      </c>
      <c r="N266" s="27">
        <f>IF(J266&lt;&gt;"Won","",IF(E266="",N(I266),I266-M266))</f>
        <v/>
      </c>
      <c r="O266" s="22" t="n"/>
    </row>
    <row r="267" ht="15" customHeight="1">
      <c r="A267" s="72" t="n"/>
      <c r="B267" s="22" t="n"/>
      <c r="C267" s="22" t="n"/>
      <c r="D267" s="22" t="n"/>
      <c r="E267" s="22" t="n"/>
      <c r="F267" s="26">
        <f>IF(E267="","",IF(COUNTIF(lst_Jobs,E267&amp;"")&gt;0,"OK","CHECK"))</f>
        <v/>
      </c>
      <c r="G267" s="22" t="n"/>
      <c r="H267" s="22" t="n"/>
      <c r="I267" s="24" t="n"/>
      <c r="J267" s="22" t="n"/>
      <c r="K267" s="23" t="n"/>
      <c r="L267" s="72" t="n"/>
      <c r="M267" s="27">
        <f>IF(E267="","",SUMIFS(tbl_Finance[Ex GST],tbl_Finance[Job Number],E267&amp;""))</f>
        <v/>
      </c>
      <c r="N267" s="27">
        <f>IF(J267&lt;&gt;"Won","",IF(E267="",N(I267),I267-M267))</f>
        <v/>
      </c>
      <c r="O267" s="22" t="n"/>
    </row>
    <row r="268" ht="15" customHeight="1">
      <c r="A268" s="72" t="n"/>
      <c r="B268" s="22" t="n"/>
      <c r="C268" s="22" t="n"/>
      <c r="D268" s="22" t="n"/>
      <c r="E268" s="22" t="n"/>
      <c r="F268" s="26">
        <f>IF(E268="","",IF(COUNTIF(lst_Jobs,E268&amp;"")&gt;0,"OK","CHECK"))</f>
        <v/>
      </c>
      <c r="G268" s="22" t="n"/>
      <c r="H268" s="22" t="n"/>
      <c r="I268" s="24" t="n"/>
      <c r="J268" s="22" t="n"/>
      <c r="K268" s="23" t="n"/>
      <c r="L268" s="72" t="n"/>
      <c r="M268" s="27">
        <f>IF(E268="","",SUMIFS(tbl_Finance[Ex GST],tbl_Finance[Job Number],E268&amp;""))</f>
        <v/>
      </c>
      <c r="N268" s="27">
        <f>IF(J268&lt;&gt;"Won","",IF(E268="",N(I268),I268-M268))</f>
        <v/>
      </c>
      <c r="O268" s="22" t="n"/>
    </row>
    <row r="269" ht="15" customHeight="1">
      <c r="A269" s="72" t="n"/>
      <c r="B269" s="22" t="n"/>
      <c r="C269" s="22" t="n"/>
      <c r="D269" s="22" t="n"/>
      <c r="E269" s="22" t="n"/>
      <c r="F269" s="26">
        <f>IF(E269="","",IF(COUNTIF(lst_Jobs,E269&amp;"")&gt;0,"OK","CHECK"))</f>
        <v/>
      </c>
      <c r="G269" s="22" t="n"/>
      <c r="H269" s="22" t="n"/>
      <c r="I269" s="24" t="n"/>
      <c r="J269" s="22" t="n"/>
      <c r="K269" s="23" t="n"/>
      <c r="L269" s="72" t="n"/>
      <c r="M269" s="27">
        <f>IF(E269="","",SUMIFS(tbl_Finance[Ex GST],tbl_Finance[Job Number],E269&amp;""))</f>
        <v/>
      </c>
      <c r="N269" s="27">
        <f>IF(J269&lt;&gt;"Won","",IF(E269="",N(I269),I269-M269))</f>
        <v/>
      </c>
      <c r="O269" s="22" t="n"/>
    </row>
    <row r="270" ht="15" customHeight="1">
      <c r="A270" s="72" t="n"/>
      <c r="B270" s="22" t="n"/>
      <c r="C270" s="22" t="n"/>
      <c r="D270" s="22" t="n"/>
      <c r="E270" s="22" t="n"/>
      <c r="F270" s="26">
        <f>IF(E270="","",IF(COUNTIF(lst_Jobs,E270&amp;"")&gt;0,"OK","CHECK"))</f>
        <v/>
      </c>
      <c r="G270" s="22" t="n"/>
      <c r="H270" s="22" t="n"/>
      <c r="I270" s="24" t="n"/>
      <c r="J270" s="22" t="n"/>
      <c r="K270" s="23" t="n"/>
      <c r="L270" s="72" t="n"/>
      <c r="M270" s="27">
        <f>IF(E270="","",SUMIFS(tbl_Finance[Ex GST],tbl_Finance[Job Number],E270&amp;""))</f>
        <v/>
      </c>
      <c r="N270" s="27">
        <f>IF(J270&lt;&gt;"Won","",IF(E270="",N(I270),I270-M270))</f>
        <v/>
      </c>
      <c r="O270" s="22" t="n"/>
    </row>
    <row r="271" ht="15" customHeight="1">
      <c r="A271" s="72" t="n"/>
      <c r="B271" s="22" t="n"/>
      <c r="C271" s="22" t="n"/>
      <c r="D271" s="22" t="n"/>
      <c r="E271" s="22" t="n"/>
      <c r="F271" s="26">
        <f>IF(E271="","",IF(COUNTIF(lst_Jobs,E271&amp;"")&gt;0,"OK","CHECK"))</f>
        <v/>
      </c>
      <c r="G271" s="22" t="n"/>
      <c r="H271" s="22" t="n"/>
      <c r="I271" s="24" t="n"/>
      <c r="J271" s="22" t="n"/>
      <c r="K271" s="23" t="n"/>
      <c r="L271" s="72" t="n"/>
      <c r="M271" s="27">
        <f>IF(E271="","",SUMIFS(tbl_Finance[Ex GST],tbl_Finance[Job Number],E271&amp;""))</f>
        <v/>
      </c>
      <c r="N271" s="27">
        <f>IF(J271&lt;&gt;"Won","",IF(E271="",N(I271),I271-M271))</f>
        <v/>
      </c>
      <c r="O271" s="22" t="n"/>
    </row>
    <row r="272" ht="15" customHeight="1">
      <c r="A272" s="72" t="n"/>
      <c r="B272" s="22" t="n"/>
      <c r="C272" s="22" t="n"/>
      <c r="D272" s="22" t="n"/>
      <c r="E272" s="22" t="n"/>
      <c r="F272" s="26">
        <f>IF(E272="","",IF(COUNTIF(lst_Jobs,E272&amp;"")&gt;0,"OK","CHECK"))</f>
        <v/>
      </c>
      <c r="G272" s="22" t="n"/>
      <c r="H272" s="22" t="n"/>
      <c r="I272" s="24" t="n"/>
      <c r="J272" s="22" t="n"/>
      <c r="K272" s="23" t="n"/>
      <c r="L272" s="72" t="n"/>
      <c r="M272" s="27">
        <f>IF(E272="","",SUMIFS(tbl_Finance[Ex GST],tbl_Finance[Job Number],E272&amp;""))</f>
        <v/>
      </c>
      <c r="N272" s="27">
        <f>IF(J272&lt;&gt;"Won","",IF(E272="",N(I272),I272-M272))</f>
        <v/>
      </c>
      <c r="O272" s="22" t="n"/>
    </row>
    <row r="273" ht="15" customHeight="1">
      <c r="A273" s="72" t="n"/>
      <c r="B273" s="22" t="n"/>
      <c r="C273" s="22" t="n"/>
      <c r="D273" s="22" t="n"/>
      <c r="E273" s="22" t="n"/>
      <c r="F273" s="26">
        <f>IF(E273="","",IF(COUNTIF(lst_Jobs,E273&amp;"")&gt;0,"OK","CHECK"))</f>
        <v/>
      </c>
      <c r="G273" s="22" t="n"/>
      <c r="H273" s="22" t="n"/>
      <c r="I273" s="24" t="n"/>
      <c r="J273" s="22" t="n"/>
      <c r="K273" s="23" t="n"/>
      <c r="L273" s="72" t="n"/>
      <c r="M273" s="27">
        <f>IF(E273="","",SUMIFS(tbl_Finance[Ex GST],tbl_Finance[Job Number],E273&amp;""))</f>
        <v/>
      </c>
      <c r="N273" s="27">
        <f>IF(J273&lt;&gt;"Won","",IF(E273="",N(I273),I273-M273))</f>
        <v/>
      </c>
      <c r="O273" s="22" t="n"/>
    </row>
    <row r="274" ht="15" customHeight="1">
      <c r="A274" s="72" t="n"/>
      <c r="B274" s="22" t="n"/>
      <c r="C274" s="22" t="n"/>
      <c r="D274" s="22" t="n"/>
      <c r="E274" s="22" t="n"/>
      <c r="F274" s="26">
        <f>IF(E274="","",IF(COUNTIF(lst_Jobs,E274&amp;"")&gt;0,"OK","CHECK"))</f>
        <v/>
      </c>
      <c r="G274" s="22" t="n"/>
      <c r="H274" s="22" t="n"/>
      <c r="I274" s="24" t="n"/>
      <c r="J274" s="22" t="n"/>
      <c r="K274" s="23" t="n"/>
      <c r="L274" s="72" t="n"/>
      <c r="M274" s="27">
        <f>IF(E274="","",SUMIFS(tbl_Finance[Ex GST],tbl_Finance[Job Number],E274&amp;""))</f>
        <v/>
      </c>
      <c r="N274" s="27">
        <f>IF(J274&lt;&gt;"Won","",IF(E274="",N(I274),I274-M274))</f>
        <v/>
      </c>
      <c r="O274" s="22" t="n"/>
    </row>
    <row r="275" ht="15" customHeight="1">
      <c r="A275" s="72" t="n"/>
      <c r="B275" s="22" t="n"/>
      <c r="C275" s="22" t="n"/>
      <c r="D275" s="22" t="n"/>
      <c r="E275" s="22" t="n"/>
      <c r="F275" s="26">
        <f>IF(E275="","",IF(COUNTIF(lst_Jobs,E275&amp;"")&gt;0,"OK","CHECK"))</f>
        <v/>
      </c>
      <c r="G275" s="22" t="n"/>
      <c r="H275" s="22" t="n"/>
      <c r="I275" s="24" t="n"/>
      <c r="J275" s="22" t="n"/>
      <c r="K275" s="23" t="n"/>
      <c r="L275" s="72" t="n"/>
      <c r="M275" s="27">
        <f>IF(E275="","",SUMIFS(tbl_Finance[Ex GST],tbl_Finance[Job Number],E275&amp;""))</f>
        <v/>
      </c>
      <c r="N275" s="27">
        <f>IF(J275&lt;&gt;"Won","",IF(E275="",N(I275),I275-M275))</f>
        <v/>
      </c>
      <c r="O275" s="22" t="n"/>
    </row>
    <row r="276" ht="15" customHeight="1">
      <c r="A276" s="72" t="n"/>
      <c r="B276" s="22" t="n"/>
      <c r="C276" s="22" t="n"/>
      <c r="D276" s="22" t="n"/>
      <c r="E276" s="22" t="n"/>
      <c r="F276" s="26">
        <f>IF(E276="","",IF(COUNTIF(lst_Jobs,E276&amp;"")&gt;0,"OK","CHECK"))</f>
        <v/>
      </c>
      <c r="G276" s="22" t="n"/>
      <c r="H276" s="22" t="n"/>
      <c r="I276" s="24" t="n"/>
      <c r="J276" s="22" t="n"/>
      <c r="K276" s="23" t="n"/>
      <c r="L276" s="72" t="n"/>
      <c r="M276" s="27">
        <f>IF(E276="","",SUMIFS(tbl_Finance[Ex GST],tbl_Finance[Job Number],E276&amp;""))</f>
        <v/>
      </c>
      <c r="N276" s="27">
        <f>IF(J276&lt;&gt;"Won","",IF(E276="",N(I276),I276-M276))</f>
        <v/>
      </c>
      <c r="O276" s="22" t="n"/>
    </row>
    <row r="277" ht="15" customHeight="1">
      <c r="A277" s="72" t="n"/>
      <c r="B277" s="22" t="n"/>
      <c r="C277" s="22" t="n"/>
      <c r="D277" s="22" t="n"/>
      <c r="E277" s="22" t="n"/>
      <c r="F277" s="26">
        <f>IF(E277="","",IF(COUNTIF(lst_Jobs,E277&amp;"")&gt;0,"OK","CHECK"))</f>
        <v/>
      </c>
      <c r="G277" s="22" t="n"/>
      <c r="H277" s="22" t="n"/>
      <c r="I277" s="24" t="n"/>
      <c r="J277" s="22" t="n"/>
      <c r="K277" s="23" t="n"/>
      <c r="L277" s="72" t="n"/>
      <c r="M277" s="27">
        <f>IF(E277="","",SUMIFS(tbl_Finance[Ex GST],tbl_Finance[Job Number],E277&amp;""))</f>
        <v/>
      </c>
      <c r="N277" s="27">
        <f>IF(J277&lt;&gt;"Won","",IF(E277="",N(I277),I277-M277))</f>
        <v/>
      </c>
      <c r="O277" s="22" t="n"/>
    </row>
    <row r="278" ht="15" customHeight="1">
      <c r="A278" s="72" t="n"/>
      <c r="B278" s="22" t="n"/>
      <c r="C278" s="22" t="n"/>
      <c r="D278" s="22" t="n"/>
      <c r="E278" s="22" t="n"/>
      <c r="F278" s="26">
        <f>IF(E278="","",IF(COUNTIF(lst_Jobs,E278&amp;"")&gt;0,"OK","CHECK"))</f>
        <v/>
      </c>
      <c r="G278" s="22" t="n"/>
      <c r="H278" s="22" t="n"/>
      <c r="I278" s="24" t="n"/>
      <c r="J278" s="22" t="n"/>
      <c r="K278" s="23" t="n"/>
      <c r="L278" s="72" t="n"/>
      <c r="M278" s="27">
        <f>IF(E278="","",SUMIFS(tbl_Finance[Ex GST],tbl_Finance[Job Number],E278&amp;""))</f>
        <v/>
      </c>
      <c r="N278" s="27">
        <f>IF(J278&lt;&gt;"Won","",IF(E278="",N(I278),I278-M278))</f>
        <v/>
      </c>
      <c r="O278" s="22" t="n"/>
    </row>
    <row r="279" ht="15" customHeight="1">
      <c r="A279" s="72" t="n"/>
      <c r="B279" s="22" t="n"/>
      <c r="C279" s="22" t="n"/>
      <c r="D279" s="22" t="n"/>
      <c r="E279" s="22" t="n"/>
      <c r="F279" s="26">
        <f>IF(E279="","",IF(COUNTIF(lst_Jobs,E279&amp;"")&gt;0,"OK","CHECK"))</f>
        <v/>
      </c>
      <c r="G279" s="22" t="n"/>
      <c r="H279" s="22" t="n"/>
      <c r="I279" s="24" t="n"/>
      <c r="J279" s="22" t="n"/>
      <c r="K279" s="23" t="n"/>
      <c r="L279" s="72" t="n"/>
      <c r="M279" s="27">
        <f>IF(E279="","",SUMIFS(tbl_Finance[Ex GST],tbl_Finance[Job Number],E279&amp;""))</f>
        <v/>
      </c>
      <c r="N279" s="27">
        <f>IF(J279&lt;&gt;"Won","",IF(E279="",N(I279),I279-M279))</f>
        <v/>
      </c>
      <c r="O279" s="22" t="n"/>
    </row>
    <row r="280" ht="15" customHeight="1">
      <c r="A280" s="72" t="n"/>
      <c r="B280" s="22" t="n"/>
      <c r="C280" s="22" t="n"/>
      <c r="D280" s="22" t="n"/>
      <c r="E280" s="22" t="n"/>
      <c r="F280" s="26">
        <f>IF(E280="","",IF(COUNTIF(lst_Jobs,E280&amp;"")&gt;0,"OK","CHECK"))</f>
        <v/>
      </c>
      <c r="G280" s="22" t="n"/>
      <c r="H280" s="22" t="n"/>
      <c r="I280" s="24" t="n"/>
      <c r="J280" s="22" t="n"/>
      <c r="K280" s="23" t="n"/>
      <c r="L280" s="72" t="n"/>
      <c r="M280" s="27">
        <f>IF(E280="","",SUMIFS(tbl_Finance[Ex GST],tbl_Finance[Job Number],E280&amp;""))</f>
        <v/>
      </c>
      <c r="N280" s="27">
        <f>IF(J280&lt;&gt;"Won","",IF(E280="",N(I280),I280-M280))</f>
        <v/>
      </c>
      <c r="O280" s="22" t="n"/>
    </row>
    <row r="281" ht="15" customHeight="1">
      <c r="A281" s="72" t="n"/>
      <c r="B281" s="22" t="n"/>
      <c r="C281" s="22" t="n"/>
      <c r="D281" s="22" t="n"/>
      <c r="E281" s="22" t="n"/>
      <c r="F281" s="26">
        <f>IF(E281="","",IF(COUNTIF(lst_Jobs,E281&amp;"")&gt;0,"OK","CHECK"))</f>
        <v/>
      </c>
      <c r="G281" s="22" t="n"/>
      <c r="H281" s="22" t="n"/>
      <c r="I281" s="24" t="n"/>
      <c r="J281" s="22" t="n"/>
      <c r="K281" s="23" t="n"/>
      <c r="L281" s="72" t="n"/>
      <c r="M281" s="27">
        <f>IF(E281="","",SUMIFS(tbl_Finance[Ex GST],tbl_Finance[Job Number],E281&amp;""))</f>
        <v/>
      </c>
      <c r="N281" s="27">
        <f>IF(J281&lt;&gt;"Won","",IF(E281="",N(I281),I281-M281))</f>
        <v/>
      </c>
      <c r="O281" s="22" t="n"/>
    </row>
    <row r="282" ht="15" customHeight="1">
      <c r="A282" s="72" t="n"/>
      <c r="B282" s="22" t="n"/>
      <c r="C282" s="22" t="n"/>
      <c r="D282" s="22" t="n"/>
      <c r="E282" s="22" t="n"/>
      <c r="F282" s="26">
        <f>IF(E282="","",IF(COUNTIF(lst_Jobs,E282&amp;"")&gt;0,"OK","CHECK"))</f>
        <v/>
      </c>
      <c r="G282" s="22" t="n"/>
      <c r="H282" s="22" t="n"/>
      <c r="I282" s="24" t="n"/>
      <c r="J282" s="22" t="n"/>
      <c r="K282" s="23" t="n"/>
      <c r="L282" s="72" t="n"/>
      <c r="M282" s="27">
        <f>IF(E282="","",SUMIFS(tbl_Finance[Ex GST],tbl_Finance[Job Number],E282&amp;""))</f>
        <v/>
      </c>
      <c r="N282" s="27">
        <f>IF(J282&lt;&gt;"Won","",IF(E282="",N(I282),I282-M282))</f>
        <v/>
      </c>
      <c r="O282" s="22" t="n"/>
    </row>
    <row r="283" ht="15" customHeight="1">
      <c r="A283" s="72" t="n"/>
      <c r="B283" s="22" t="n"/>
      <c r="C283" s="22" t="n"/>
      <c r="D283" s="22" t="n"/>
      <c r="E283" s="22" t="n"/>
      <c r="F283" s="26">
        <f>IF(E283="","",IF(COUNTIF(lst_Jobs,E283&amp;"")&gt;0,"OK","CHECK"))</f>
        <v/>
      </c>
      <c r="G283" s="22" t="n"/>
      <c r="H283" s="22" t="n"/>
      <c r="I283" s="24" t="n"/>
      <c r="J283" s="22" t="n"/>
      <c r="K283" s="23" t="n"/>
      <c r="L283" s="72" t="n"/>
      <c r="M283" s="27">
        <f>IF(E283="","",SUMIFS(tbl_Finance[Ex GST],tbl_Finance[Job Number],E283&amp;""))</f>
        <v/>
      </c>
      <c r="N283" s="27">
        <f>IF(J283&lt;&gt;"Won","",IF(E283="",N(I283),I283-M283))</f>
        <v/>
      </c>
      <c r="O283" s="22" t="n"/>
    </row>
    <row r="284" ht="15" customHeight="1">
      <c r="A284" s="72" t="n"/>
      <c r="B284" s="22" t="n"/>
      <c r="C284" s="22" t="n"/>
      <c r="D284" s="22" t="n"/>
      <c r="E284" s="22" t="n"/>
      <c r="F284" s="26">
        <f>IF(E284="","",IF(COUNTIF(lst_Jobs,E284&amp;"")&gt;0,"OK","CHECK"))</f>
        <v/>
      </c>
      <c r="G284" s="22" t="n"/>
      <c r="H284" s="22" t="n"/>
      <c r="I284" s="24" t="n"/>
      <c r="J284" s="22" t="n"/>
      <c r="K284" s="23" t="n"/>
      <c r="L284" s="72" t="n"/>
      <c r="M284" s="27">
        <f>IF(E284="","",SUMIFS(tbl_Finance[Ex GST],tbl_Finance[Job Number],E284&amp;""))</f>
        <v/>
      </c>
      <c r="N284" s="27">
        <f>IF(J284&lt;&gt;"Won","",IF(E284="",N(I284),I284-M284))</f>
        <v/>
      </c>
      <c r="O284" s="22" t="n"/>
    </row>
    <row r="285" ht="15" customHeight="1">
      <c r="A285" s="72" t="n"/>
      <c r="B285" s="22" t="n"/>
      <c r="C285" s="22" t="n"/>
      <c r="D285" s="22" t="n"/>
      <c r="E285" s="22" t="n"/>
      <c r="F285" s="26">
        <f>IF(E285="","",IF(COUNTIF(lst_Jobs,E285&amp;"")&gt;0,"OK","CHECK"))</f>
        <v/>
      </c>
      <c r="G285" s="22" t="n"/>
      <c r="H285" s="22" t="n"/>
      <c r="I285" s="24" t="n"/>
      <c r="J285" s="22" t="n"/>
      <c r="K285" s="23" t="n"/>
      <c r="L285" s="72" t="n"/>
      <c r="M285" s="27">
        <f>IF(E285="","",SUMIFS(tbl_Finance[Ex GST],tbl_Finance[Job Number],E285&amp;""))</f>
        <v/>
      </c>
      <c r="N285" s="27">
        <f>IF(J285&lt;&gt;"Won","",IF(E285="",N(I285),I285-M285))</f>
        <v/>
      </c>
      <c r="O285" s="22" t="n"/>
    </row>
    <row r="286" ht="15" customHeight="1">
      <c r="A286" s="72" t="n"/>
      <c r="B286" s="22" t="n"/>
      <c r="C286" s="22" t="n"/>
      <c r="D286" s="22" t="n"/>
      <c r="E286" s="22" t="n"/>
      <c r="F286" s="26">
        <f>IF(E286="","",IF(COUNTIF(lst_Jobs,E286&amp;"")&gt;0,"OK","CHECK"))</f>
        <v/>
      </c>
      <c r="G286" s="22" t="n"/>
      <c r="H286" s="22" t="n"/>
      <c r="I286" s="24" t="n"/>
      <c r="J286" s="22" t="n"/>
      <c r="K286" s="23" t="n"/>
      <c r="L286" s="72" t="n"/>
      <c r="M286" s="27">
        <f>IF(E286="","",SUMIFS(tbl_Finance[Ex GST],tbl_Finance[Job Number],E286&amp;""))</f>
        <v/>
      </c>
      <c r="N286" s="27">
        <f>IF(J286&lt;&gt;"Won","",IF(E286="",N(I286),I286-M286))</f>
        <v/>
      </c>
      <c r="O286" s="22" t="n"/>
    </row>
    <row r="287" ht="15" customHeight="1">
      <c r="A287" s="72" t="n"/>
      <c r="B287" s="22" t="n"/>
      <c r="C287" s="22" t="n"/>
      <c r="D287" s="22" t="n"/>
      <c r="E287" s="22" t="n"/>
      <c r="F287" s="26">
        <f>IF(E287="","",IF(COUNTIF(lst_Jobs,E287&amp;"")&gt;0,"OK","CHECK"))</f>
        <v/>
      </c>
      <c r="G287" s="22" t="n"/>
      <c r="H287" s="22" t="n"/>
      <c r="I287" s="24" t="n"/>
      <c r="J287" s="22" t="n"/>
      <c r="K287" s="23" t="n"/>
      <c r="L287" s="72" t="n"/>
      <c r="M287" s="27">
        <f>IF(E287="","",SUMIFS(tbl_Finance[Ex GST],tbl_Finance[Job Number],E287&amp;""))</f>
        <v/>
      </c>
      <c r="N287" s="27">
        <f>IF(J287&lt;&gt;"Won","",IF(E287="",N(I287),I287-M287))</f>
        <v/>
      </c>
      <c r="O287" s="22" t="n"/>
    </row>
    <row r="288" ht="15" customHeight="1">
      <c r="A288" s="72" t="n"/>
      <c r="B288" s="22" t="n"/>
      <c r="C288" s="22" t="n"/>
      <c r="D288" s="22" t="n"/>
      <c r="E288" s="22" t="n"/>
      <c r="F288" s="26">
        <f>IF(E288="","",IF(COUNTIF(lst_Jobs,E288&amp;"")&gt;0,"OK","CHECK"))</f>
        <v/>
      </c>
      <c r="G288" s="22" t="n"/>
      <c r="H288" s="22" t="n"/>
      <c r="I288" s="24" t="n"/>
      <c r="J288" s="22" t="n"/>
      <c r="K288" s="23" t="n"/>
      <c r="L288" s="72" t="n"/>
      <c r="M288" s="27">
        <f>IF(E288="","",SUMIFS(tbl_Finance[Ex GST],tbl_Finance[Job Number],E288&amp;""))</f>
        <v/>
      </c>
      <c r="N288" s="27">
        <f>IF(J288&lt;&gt;"Won","",IF(E288="",N(I288),I288-M288))</f>
        <v/>
      </c>
      <c r="O288" s="22" t="n"/>
    </row>
    <row r="289" ht="15" customHeight="1">
      <c r="A289" s="72" t="n"/>
      <c r="B289" s="22" t="n"/>
      <c r="C289" s="22" t="n"/>
      <c r="D289" s="22" t="n"/>
      <c r="E289" s="22" t="n"/>
      <c r="F289" s="26">
        <f>IF(E289="","",IF(COUNTIF(lst_Jobs,E289&amp;"")&gt;0,"OK","CHECK"))</f>
        <v/>
      </c>
      <c r="G289" s="22" t="n"/>
      <c r="H289" s="22" t="n"/>
      <c r="I289" s="24" t="n"/>
      <c r="J289" s="22" t="n"/>
      <c r="K289" s="23" t="n"/>
      <c r="L289" s="72" t="n"/>
      <c r="M289" s="27">
        <f>IF(E289="","",SUMIFS(tbl_Finance[Ex GST],tbl_Finance[Job Number],E289&amp;""))</f>
        <v/>
      </c>
      <c r="N289" s="27">
        <f>IF(J289&lt;&gt;"Won","",IF(E289="",N(I289),I289-M289))</f>
        <v/>
      </c>
      <c r="O289" s="22" t="n"/>
    </row>
    <row r="290" ht="15" customHeight="1">
      <c r="A290" s="72" t="n"/>
      <c r="B290" s="22" t="n"/>
      <c r="C290" s="22" t="n"/>
      <c r="D290" s="22" t="n"/>
      <c r="E290" s="22" t="n"/>
      <c r="F290" s="26">
        <f>IF(E290="","",IF(COUNTIF(lst_Jobs,E290&amp;"")&gt;0,"OK","CHECK"))</f>
        <v/>
      </c>
      <c r="G290" s="22" t="n"/>
      <c r="H290" s="22" t="n"/>
      <c r="I290" s="24" t="n"/>
      <c r="J290" s="22" t="n"/>
      <c r="K290" s="23" t="n"/>
      <c r="L290" s="72" t="n"/>
      <c r="M290" s="27">
        <f>IF(E290="","",SUMIFS(tbl_Finance[Ex GST],tbl_Finance[Job Number],E290&amp;""))</f>
        <v/>
      </c>
      <c r="N290" s="27">
        <f>IF(J290&lt;&gt;"Won","",IF(E290="",N(I290),I290-M290))</f>
        <v/>
      </c>
      <c r="O290" s="22" t="n"/>
    </row>
    <row r="291" ht="15" customHeight="1">
      <c r="A291" s="72" t="n"/>
      <c r="B291" s="22" t="n"/>
      <c r="C291" s="22" t="n"/>
      <c r="D291" s="22" t="n"/>
      <c r="E291" s="22" t="n"/>
      <c r="F291" s="26">
        <f>IF(E291="","",IF(COUNTIF(lst_Jobs,E291&amp;"")&gt;0,"OK","CHECK"))</f>
        <v/>
      </c>
      <c r="G291" s="22" t="n"/>
      <c r="H291" s="22" t="n"/>
      <c r="I291" s="24" t="n"/>
      <c r="J291" s="22" t="n"/>
      <c r="K291" s="23" t="n"/>
      <c r="L291" s="72" t="n"/>
      <c r="M291" s="27">
        <f>IF(E291="","",SUMIFS(tbl_Finance[Ex GST],tbl_Finance[Job Number],E291&amp;""))</f>
        <v/>
      </c>
      <c r="N291" s="27">
        <f>IF(J291&lt;&gt;"Won","",IF(E291="",N(I291),I291-M291))</f>
        <v/>
      </c>
      <c r="O291" s="22" t="n"/>
    </row>
    <row r="292" ht="15" customHeight="1">
      <c r="A292" s="72" t="n"/>
      <c r="B292" s="22" t="n"/>
      <c r="C292" s="22" t="n"/>
      <c r="D292" s="22" t="n"/>
      <c r="E292" s="22" t="n"/>
      <c r="F292" s="26">
        <f>IF(E292="","",IF(COUNTIF(lst_Jobs,E292&amp;"")&gt;0,"OK","CHECK"))</f>
        <v/>
      </c>
      <c r="G292" s="22" t="n"/>
      <c r="H292" s="22" t="n"/>
      <c r="I292" s="24" t="n"/>
      <c r="J292" s="22" t="n"/>
      <c r="K292" s="23" t="n"/>
      <c r="L292" s="72" t="n"/>
      <c r="M292" s="27">
        <f>IF(E292="","",SUMIFS(tbl_Finance[Ex GST],tbl_Finance[Job Number],E292&amp;""))</f>
        <v/>
      </c>
      <c r="N292" s="27">
        <f>IF(J292&lt;&gt;"Won","",IF(E292="",N(I292),I292-M292))</f>
        <v/>
      </c>
      <c r="O292" s="22" t="n"/>
    </row>
    <row r="293" ht="15" customHeight="1">
      <c r="A293" s="72" t="n"/>
      <c r="B293" s="22" t="n"/>
      <c r="C293" s="22" t="n"/>
      <c r="D293" s="22" t="n"/>
      <c r="E293" s="22" t="n"/>
      <c r="F293" s="26">
        <f>IF(E293="","",IF(COUNTIF(lst_Jobs,E293&amp;"")&gt;0,"OK","CHECK"))</f>
        <v/>
      </c>
      <c r="G293" s="22" t="n"/>
      <c r="H293" s="22" t="n"/>
      <c r="I293" s="24" t="n"/>
      <c r="J293" s="22" t="n"/>
      <c r="K293" s="23" t="n"/>
      <c r="L293" s="72" t="n"/>
      <c r="M293" s="27">
        <f>IF(E293="","",SUMIFS(tbl_Finance[Ex GST],tbl_Finance[Job Number],E293&amp;""))</f>
        <v/>
      </c>
      <c r="N293" s="27">
        <f>IF(J293&lt;&gt;"Won","",IF(E293="",N(I293),I293-M293))</f>
        <v/>
      </c>
      <c r="O293" s="22" t="n"/>
    </row>
    <row r="294" ht="15" customHeight="1">
      <c r="A294" s="72" t="n"/>
      <c r="B294" s="22" t="n"/>
      <c r="C294" s="22" t="n"/>
      <c r="D294" s="22" t="n"/>
      <c r="E294" s="22" t="n"/>
      <c r="F294" s="26">
        <f>IF(E294="","",IF(COUNTIF(lst_Jobs,E294&amp;"")&gt;0,"OK","CHECK"))</f>
        <v/>
      </c>
      <c r="G294" s="22" t="n"/>
      <c r="H294" s="22" t="n"/>
      <c r="I294" s="24" t="n"/>
      <c r="J294" s="22" t="n"/>
      <c r="K294" s="23" t="n"/>
      <c r="L294" s="72" t="n"/>
      <c r="M294" s="27">
        <f>IF(E294="","",SUMIFS(tbl_Finance[Ex GST],tbl_Finance[Job Number],E294&amp;""))</f>
        <v/>
      </c>
      <c r="N294" s="27">
        <f>IF(J294&lt;&gt;"Won","",IF(E294="",N(I294),I294-M294))</f>
        <v/>
      </c>
      <c r="O294" s="22" t="n"/>
    </row>
    <row r="295" ht="15" customHeight="1">
      <c r="A295" s="72" t="n"/>
      <c r="B295" s="22" t="n"/>
      <c r="C295" s="22" t="n"/>
      <c r="D295" s="22" t="n"/>
      <c r="E295" s="22" t="n"/>
      <c r="F295" s="26">
        <f>IF(E295="","",IF(COUNTIF(lst_Jobs,E295&amp;"")&gt;0,"OK","CHECK"))</f>
        <v/>
      </c>
      <c r="G295" s="22" t="n"/>
      <c r="H295" s="22" t="n"/>
      <c r="I295" s="24" t="n"/>
      <c r="J295" s="22" t="n"/>
      <c r="K295" s="23" t="n"/>
      <c r="L295" s="72" t="n"/>
      <c r="M295" s="27">
        <f>IF(E295="","",SUMIFS(tbl_Finance[Ex GST],tbl_Finance[Job Number],E295&amp;""))</f>
        <v/>
      </c>
      <c r="N295" s="27">
        <f>IF(J295&lt;&gt;"Won","",IF(E295="",N(I295),I295-M295))</f>
        <v/>
      </c>
      <c r="O295" s="22" t="n"/>
    </row>
    <row r="296" ht="15" customHeight="1">
      <c r="A296" s="72" t="n"/>
      <c r="B296" s="22" t="n"/>
      <c r="C296" s="22" t="n"/>
      <c r="D296" s="22" t="n"/>
      <c r="E296" s="22" t="n"/>
      <c r="F296" s="26">
        <f>IF(E296="","",IF(COUNTIF(lst_Jobs,E296&amp;"")&gt;0,"OK","CHECK"))</f>
        <v/>
      </c>
      <c r="G296" s="22" t="n"/>
      <c r="H296" s="22" t="n"/>
      <c r="I296" s="24" t="n"/>
      <c r="J296" s="22" t="n"/>
      <c r="K296" s="23" t="n"/>
      <c r="L296" s="72" t="n"/>
      <c r="M296" s="27">
        <f>IF(E296="","",SUMIFS(tbl_Finance[Ex GST],tbl_Finance[Job Number],E296&amp;""))</f>
        <v/>
      </c>
      <c r="N296" s="27">
        <f>IF(J296&lt;&gt;"Won","",IF(E296="",N(I296),I296-M296))</f>
        <v/>
      </c>
      <c r="O296" s="22" t="n"/>
    </row>
    <row r="297" ht="15" customHeight="1">
      <c r="A297" s="72" t="n"/>
      <c r="B297" s="22" t="n"/>
      <c r="C297" s="22" t="n"/>
      <c r="D297" s="22" t="n"/>
      <c r="E297" s="22" t="n"/>
      <c r="F297" s="26">
        <f>IF(E297="","",IF(COUNTIF(lst_Jobs,E297&amp;"")&gt;0,"OK","CHECK"))</f>
        <v/>
      </c>
      <c r="G297" s="22" t="n"/>
      <c r="H297" s="22" t="n"/>
      <c r="I297" s="24" t="n"/>
      <c r="J297" s="22" t="n"/>
      <c r="K297" s="23" t="n"/>
      <c r="L297" s="72" t="n"/>
      <c r="M297" s="27">
        <f>IF(E297="","",SUMIFS(tbl_Finance[Ex GST],tbl_Finance[Job Number],E297&amp;""))</f>
        <v/>
      </c>
      <c r="N297" s="27">
        <f>IF(J297&lt;&gt;"Won","",IF(E297="",N(I297),I297-M297))</f>
        <v/>
      </c>
      <c r="O297" s="22" t="n"/>
    </row>
    <row r="298" ht="15" customHeight="1">
      <c r="A298" s="72" t="n"/>
      <c r="B298" s="22" t="n"/>
      <c r="C298" s="22" t="n"/>
      <c r="D298" s="22" t="n"/>
      <c r="E298" s="22" t="n"/>
      <c r="F298" s="26">
        <f>IF(E298="","",IF(COUNTIF(lst_Jobs,E298&amp;"")&gt;0,"OK","CHECK"))</f>
        <v/>
      </c>
      <c r="G298" s="22" t="n"/>
      <c r="H298" s="22" t="n"/>
      <c r="I298" s="24" t="n"/>
      <c r="J298" s="22" t="n"/>
      <c r="K298" s="23" t="n"/>
      <c r="L298" s="72" t="n"/>
      <c r="M298" s="27">
        <f>IF(E298="","",SUMIFS(tbl_Finance[Ex GST],tbl_Finance[Job Number],E298&amp;""))</f>
        <v/>
      </c>
      <c r="N298" s="27">
        <f>IF(J298&lt;&gt;"Won","",IF(E298="",N(I298),I298-M298))</f>
        <v/>
      </c>
      <c r="O298" s="22" t="n"/>
    </row>
    <row r="299" ht="15" customHeight="1">
      <c r="A299" s="72" t="n"/>
      <c r="B299" s="22" t="n"/>
      <c r="C299" s="22" t="n"/>
      <c r="D299" s="22" t="n"/>
      <c r="E299" s="22" t="n"/>
      <c r="F299" s="26">
        <f>IF(E299="","",IF(COUNTIF(lst_Jobs,E299&amp;"")&gt;0,"OK","CHECK"))</f>
        <v/>
      </c>
      <c r="G299" s="22" t="n"/>
      <c r="H299" s="22" t="n"/>
      <c r="I299" s="24" t="n"/>
      <c r="J299" s="22" t="n"/>
      <c r="K299" s="23" t="n"/>
      <c r="L299" s="72" t="n"/>
      <c r="M299" s="27">
        <f>IF(E299="","",SUMIFS(tbl_Finance[Ex GST],tbl_Finance[Job Number],E299&amp;""))</f>
        <v/>
      </c>
      <c r="N299" s="27">
        <f>IF(J299&lt;&gt;"Won","",IF(E299="",N(I299),I299-M299))</f>
        <v/>
      </c>
      <c r="O299" s="22" t="n"/>
    </row>
    <row r="300" ht="15" customHeight="1">
      <c r="A300" s="72" t="n"/>
      <c r="B300" s="22" t="n"/>
      <c r="C300" s="22" t="n"/>
      <c r="D300" s="22" t="n"/>
      <c r="E300" s="22" t="n"/>
      <c r="F300" s="26">
        <f>IF(E300="","",IF(COUNTIF(lst_Jobs,E300&amp;"")&gt;0,"OK","CHECK"))</f>
        <v/>
      </c>
      <c r="G300" s="22" t="n"/>
      <c r="H300" s="22" t="n"/>
      <c r="I300" s="24" t="n"/>
      <c r="J300" s="22" t="n"/>
      <c r="K300" s="23" t="n"/>
      <c r="L300" s="72" t="n"/>
      <c r="M300" s="27">
        <f>IF(E300="","",SUMIFS(tbl_Finance[Ex GST],tbl_Finance[Job Number],E300&amp;""))</f>
        <v/>
      </c>
      <c r="N300" s="27">
        <f>IF(J300&lt;&gt;"Won","",IF(E300="",N(I300),I300-M300))</f>
        <v/>
      </c>
      <c r="O300" s="22" t="n"/>
    </row>
    <row r="301" ht="15" customHeight="1">
      <c r="A301" s="72" t="n"/>
      <c r="B301" s="22" t="n"/>
      <c r="C301" s="22" t="n"/>
      <c r="D301" s="22" t="n"/>
      <c r="E301" s="22" t="n"/>
      <c r="F301" s="26">
        <f>IF(E301="","",IF(COUNTIF(lst_Jobs,E301&amp;"")&gt;0,"OK","CHECK"))</f>
        <v/>
      </c>
      <c r="G301" s="22" t="n"/>
      <c r="H301" s="22" t="n"/>
      <c r="I301" s="24" t="n"/>
      <c r="J301" s="22" t="n"/>
      <c r="K301" s="23" t="n"/>
      <c r="L301" s="72" t="n"/>
      <c r="M301" s="27">
        <f>IF(E301="","",SUMIFS(tbl_Finance[Ex GST],tbl_Finance[Job Number],E301&amp;""))</f>
        <v/>
      </c>
      <c r="N301" s="27">
        <f>IF(J301&lt;&gt;"Won","",IF(E301="",N(I301),I301-M301))</f>
        <v/>
      </c>
      <c r="O301" s="22" t="n"/>
    </row>
    <row r="302" ht="15" customHeight="1">
      <c r="A302" s="72" t="n"/>
      <c r="B302" s="22" t="n"/>
      <c r="C302" s="22" t="n"/>
      <c r="D302" s="22" t="n"/>
      <c r="E302" s="22" t="n"/>
      <c r="F302" s="26">
        <f>IF(E302="","",IF(COUNTIF(lst_Jobs,E302&amp;"")&gt;0,"OK","CHECK"))</f>
        <v/>
      </c>
      <c r="G302" s="22" t="n"/>
      <c r="H302" s="22" t="n"/>
      <c r="I302" s="24" t="n"/>
      <c r="J302" s="22" t="n"/>
      <c r="K302" s="23" t="n"/>
      <c r="L302" s="72" t="n"/>
      <c r="M302" s="27">
        <f>IF(E302="","",SUMIFS(tbl_Finance[Ex GST],tbl_Finance[Job Number],E302&amp;""))</f>
        <v/>
      </c>
      <c r="N302" s="27">
        <f>IF(J302&lt;&gt;"Won","",IF(E302="",N(I302),I302-M302))</f>
        <v/>
      </c>
      <c r="O302" s="22" t="n"/>
    </row>
    <row r="303" ht="15" customHeight="1">
      <c r="A303" s="72" t="n"/>
      <c r="B303" s="22" t="n"/>
      <c r="C303" s="22" t="n"/>
      <c r="D303" s="22" t="n"/>
      <c r="E303" s="22" t="n"/>
      <c r="F303" s="26">
        <f>IF(E303="","",IF(COUNTIF(lst_Jobs,E303&amp;"")&gt;0,"OK","CHECK"))</f>
        <v/>
      </c>
      <c r="G303" s="22" t="n"/>
      <c r="H303" s="22" t="n"/>
      <c r="I303" s="24" t="n"/>
      <c r="J303" s="22" t="n"/>
      <c r="K303" s="23" t="n"/>
      <c r="L303" s="72" t="n"/>
      <c r="M303" s="27">
        <f>IF(E303="","",SUMIFS(tbl_Finance[Ex GST],tbl_Finance[Job Number],E303&amp;""))</f>
        <v/>
      </c>
      <c r="N303" s="27">
        <f>IF(J303&lt;&gt;"Won","",IF(E303="",N(I303),I303-M303))</f>
        <v/>
      </c>
      <c r="O303" s="22" t="n"/>
    </row>
    <row r="304" ht="15" customHeight="1">
      <c r="A304" s="72" t="n"/>
      <c r="B304" s="22" t="n"/>
      <c r="C304" s="22" t="n"/>
      <c r="D304" s="22" t="n"/>
      <c r="E304" s="22" t="n"/>
      <c r="F304" s="26">
        <f>IF(E304="","",IF(COUNTIF(lst_Jobs,E304&amp;"")&gt;0,"OK","CHECK"))</f>
        <v/>
      </c>
      <c r="G304" s="22" t="n"/>
      <c r="H304" s="22" t="n"/>
      <c r="I304" s="24" t="n"/>
      <c r="J304" s="22" t="n"/>
      <c r="K304" s="23" t="n"/>
      <c r="L304" s="72" t="n"/>
      <c r="M304" s="27">
        <f>IF(E304="","",SUMIFS(tbl_Finance[Ex GST],tbl_Finance[Job Number],E304&amp;""))</f>
        <v/>
      </c>
      <c r="N304" s="27">
        <f>IF(J304&lt;&gt;"Won","",IF(E304="",N(I304),I304-M304))</f>
        <v/>
      </c>
      <c r="O304" s="22" t="n"/>
    </row>
    <row r="305" ht="15" customHeight="1">
      <c r="A305" s="72" t="n"/>
      <c r="B305" s="22" t="n"/>
      <c r="C305" s="22" t="n"/>
      <c r="D305" s="22" t="n"/>
      <c r="E305" s="22" t="n"/>
      <c r="F305" s="26">
        <f>IF(E305="","",IF(COUNTIF(lst_Jobs,E305&amp;"")&gt;0,"OK","CHECK"))</f>
        <v/>
      </c>
      <c r="G305" s="22" t="n"/>
      <c r="H305" s="22" t="n"/>
      <c r="I305" s="24" t="n"/>
      <c r="J305" s="22" t="n"/>
      <c r="K305" s="23" t="n"/>
      <c r="L305" s="72" t="n"/>
      <c r="M305" s="27">
        <f>IF(E305="","",SUMIFS(tbl_Finance[Ex GST],tbl_Finance[Job Number],E305&amp;""))</f>
        <v/>
      </c>
      <c r="N305" s="27">
        <f>IF(J305&lt;&gt;"Won","",IF(E305="",N(I305),I305-M305))</f>
        <v/>
      </c>
      <c r="O305" s="22" t="n"/>
    </row>
    <row r="306" ht="15" customHeight="1">
      <c r="A306" s="72" t="n"/>
      <c r="B306" s="22" t="n"/>
      <c r="C306" s="22" t="n"/>
      <c r="D306" s="22" t="n"/>
      <c r="E306" s="22" t="n"/>
      <c r="F306" s="26">
        <f>IF(E306="","",IF(COUNTIF(lst_Jobs,E306&amp;"")&gt;0,"OK","CHECK"))</f>
        <v/>
      </c>
      <c r="G306" s="22" t="n"/>
      <c r="H306" s="22" t="n"/>
      <c r="I306" s="24" t="n"/>
      <c r="J306" s="22" t="n"/>
      <c r="K306" s="23" t="n"/>
      <c r="L306" s="72" t="n"/>
      <c r="M306" s="27">
        <f>IF(E306="","",SUMIFS(tbl_Finance[Ex GST],tbl_Finance[Job Number],E306&amp;""))</f>
        <v/>
      </c>
      <c r="N306" s="27">
        <f>IF(J306&lt;&gt;"Won","",IF(E306="",N(I306),I306-M306))</f>
        <v/>
      </c>
      <c r="O306" s="22" t="n"/>
    </row>
    <row r="307" ht="15" customHeight="1">
      <c r="A307" s="72" t="n"/>
      <c r="B307" s="22" t="n"/>
      <c r="C307" s="22" t="n"/>
      <c r="D307" s="22" t="n"/>
      <c r="E307" s="22" t="n"/>
      <c r="F307" s="26">
        <f>IF(E307="","",IF(COUNTIF(lst_Jobs,E307&amp;"")&gt;0,"OK","CHECK"))</f>
        <v/>
      </c>
      <c r="G307" s="22" t="n"/>
      <c r="H307" s="22" t="n"/>
      <c r="I307" s="24" t="n"/>
      <c r="J307" s="22" t="n"/>
      <c r="K307" s="23" t="n"/>
      <c r="L307" s="72" t="n"/>
      <c r="M307" s="27">
        <f>IF(E307="","",SUMIFS(tbl_Finance[Ex GST],tbl_Finance[Job Number],E307&amp;""))</f>
        <v/>
      </c>
      <c r="N307" s="27">
        <f>IF(J307&lt;&gt;"Won","",IF(E307="",N(I307),I307-M307))</f>
        <v/>
      </c>
      <c r="O307" s="22" t="n"/>
    </row>
    <row r="308" ht="15" customHeight="1">
      <c r="A308" s="72" t="n"/>
      <c r="B308" s="22" t="n"/>
      <c r="C308" s="22" t="n"/>
      <c r="D308" s="22" t="n"/>
      <c r="E308" s="22" t="n"/>
      <c r="F308" s="26">
        <f>IF(E308="","",IF(COUNTIF(lst_Jobs,E308&amp;"")&gt;0,"OK","CHECK"))</f>
        <v/>
      </c>
      <c r="G308" s="22" t="n"/>
      <c r="H308" s="22" t="n"/>
      <c r="I308" s="24" t="n"/>
      <c r="J308" s="22" t="n"/>
      <c r="K308" s="23" t="n"/>
      <c r="L308" s="72" t="n"/>
      <c r="M308" s="27">
        <f>IF(E308="","",SUMIFS(tbl_Finance[Ex GST],tbl_Finance[Job Number],E308&amp;""))</f>
        <v/>
      </c>
      <c r="N308" s="27">
        <f>IF(J308&lt;&gt;"Won","",IF(E308="",N(I308),I308-M308))</f>
        <v/>
      </c>
      <c r="O308" s="22" t="n"/>
    </row>
    <row r="309" ht="15" customHeight="1">
      <c r="A309" s="72" t="n"/>
      <c r="B309" s="22" t="n"/>
      <c r="C309" s="22" t="n"/>
      <c r="D309" s="22" t="n"/>
      <c r="E309" s="22" t="n"/>
      <c r="F309" s="26">
        <f>IF(E309="","",IF(COUNTIF(lst_Jobs,E309&amp;"")&gt;0,"OK","CHECK"))</f>
        <v/>
      </c>
      <c r="G309" s="22" t="n"/>
      <c r="H309" s="22" t="n"/>
      <c r="I309" s="24" t="n"/>
      <c r="J309" s="22" t="n"/>
      <c r="K309" s="23" t="n"/>
      <c r="L309" s="72" t="n"/>
      <c r="M309" s="27">
        <f>IF(E309="","",SUMIFS(tbl_Finance[Ex GST],tbl_Finance[Job Number],E309&amp;""))</f>
        <v/>
      </c>
      <c r="N309" s="27">
        <f>IF(J309&lt;&gt;"Won","",IF(E309="",N(I309),I309-M309))</f>
        <v/>
      </c>
      <c r="O309" s="22" t="n"/>
    </row>
    <row r="310" ht="15" customHeight="1">
      <c r="A310" s="72" t="n"/>
      <c r="B310" s="22" t="n"/>
      <c r="C310" s="22" t="n"/>
      <c r="D310" s="22" t="n"/>
      <c r="E310" s="22" t="n"/>
      <c r="F310" s="26">
        <f>IF(E310="","",IF(COUNTIF(lst_Jobs,E310&amp;"")&gt;0,"OK","CHECK"))</f>
        <v/>
      </c>
      <c r="G310" s="22" t="n"/>
      <c r="H310" s="22" t="n"/>
      <c r="I310" s="24" t="n"/>
      <c r="J310" s="22" t="n"/>
      <c r="K310" s="23" t="n"/>
      <c r="L310" s="72" t="n"/>
      <c r="M310" s="27">
        <f>IF(E310="","",SUMIFS(tbl_Finance[Ex GST],tbl_Finance[Job Number],E310&amp;""))</f>
        <v/>
      </c>
      <c r="N310" s="27">
        <f>IF(J310&lt;&gt;"Won","",IF(E310="",N(I310),I310-M310))</f>
        <v/>
      </c>
      <c r="O310" s="22" t="n"/>
    </row>
    <row r="311" ht="15" customHeight="1">
      <c r="A311" s="72" t="n"/>
      <c r="B311" s="22" t="n"/>
      <c r="C311" s="22" t="n"/>
      <c r="D311" s="22" t="n"/>
      <c r="E311" s="22" t="n"/>
      <c r="F311" s="26">
        <f>IF(E311="","",IF(COUNTIF(lst_Jobs,E311&amp;"")&gt;0,"OK","CHECK"))</f>
        <v/>
      </c>
      <c r="G311" s="22" t="n"/>
      <c r="H311" s="22" t="n"/>
      <c r="I311" s="24" t="n"/>
      <c r="J311" s="22" t="n"/>
      <c r="K311" s="23" t="n"/>
      <c r="L311" s="72" t="n"/>
      <c r="M311" s="27">
        <f>IF(E311="","",SUMIFS(tbl_Finance[Ex GST],tbl_Finance[Job Number],E311&amp;""))</f>
        <v/>
      </c>
      <c r="N311" s="27">
        <f>IF(J311&lt;&gt;"Won","",IF(E311="",N(I311),I311-M311))</f>
        <v/>
      </c>
      <c r="O311" s="22" t="n"/>
    </row>
    <row r="312" ht="15" customHeight="1">
      <c r="A312" s="72" t="n"/>
      <c r="B312" s="22" t="n"/>
      <c r="C312" s="22" t="n"/>
      <c r="D312" s="22" t="n"/>
      <c r="E312" s="22" t="n"/>
      <c r="F312" s="26">
        <f>IF(E312="","",IF(COUNTIF(lst_Jobs,E312&amp;"")&gt;0,"OK","CHECK"))</f>
        <v/>
      </c>
      <c r="G312" s="22" t="n"/>
      <c r="H312" s="22" t="n"/>
      <c r="I312" s="24" t="n"/>
      <c r="J312" s="22" t="n"/>
      <c r="K312" s="23" t="n"/>
      <c r="L312" s="72" t="n"/>
      <c r="M312" s="27">
        <f>IF(E312="","",SUMIFS(tbl_Finance[Ex GST],tbl_Finance[Job Number],E312&amp;""))</f>
        <v/>
      </c>
      <c r="N312" s="27">
        <f>IF(J312&lt;&gt;"Won","",IF(E312="",N(I312),I312-M312))</f>
        <v/>
      </c>
      <c r="O312" s="22" t="n"/>
    </row>
    <row r="313" ht="15" customHeight="1">
      <c r="A313" s="72" t="n"/>
      <c r="B313" s="22" t="n"/>
      <c r="C313" s="22" t="n"/>
      <c r="D313" s="22" t="n"/>
      <c r="E313" s="22" t="n"/>
      <c r="F313" s="26">
        <f>IF(E313="","",IF(COUNTIF(lst_Jobs,E313&amp;"")&gt;0,"OK","CHECK"))</f>
        <v/>
      </c>
      <c r="G313" s="22" t="n"/>
      <c r="H313" s="22" t="n"/>
      <c r="I313" s="24" t="n"/>
      <c r="J313" s="22" t="n"/>
      <c r="K313" s="23" t="n"/>
      <c r="L313" s="72" t="n"/>
      <c r="M313" s="27">
        <f>IF(E313="","",SUMIFS(tbl_Finance[Ex GST],tbl_Finance[Job Number],E313&amp;""))</f>
        <v/>
      </c>
      <c r="N313" s="27">
        <f>IF(J313&lt;&gt;"Won","",IF(E313="",N(I313),I313-M313))</f>
        <v/>
      </c>
      <c r="O313" s="22" t="n"/>
    </row>
    <row r="314" ht="15" customHeight="1">
      <c r="A314" s="72" t="n"/>
      <c r="B314" s="22" t="n"/>
      <c r="C314" s="22" t="n"/>
      <c r="D314" s="22" t="n"/>
      <c r="E314" s="22" t="n"/>
      <c r="F314" s="26">
        <f>IF(E314="","",IF(COUNTIF(lst_Jobs,E314&amp;"")&gt;0,"OK","CHECK"))</f>
        <v/>
      </c>
      <c r="G314" s="22" t="n"/>
      <c r="H314" s="22" t="n"/>
      <c r="I314" s="24" t="n"/>
      <c r="J314" s="22" t="n"/>
      <c r="K314" s="23" t="n"/>
      <c r="L314" s="72" t="n"/>
      <c r="M314" s="27">
        <f>IF(E314="","",SUMIFS(tbl_Finance[Ex GST],tbl_Finance[Job Number],E314&amp;""))</f>
        <v/>
      </c>
      <c r="N314" s="27">
        <f>IF(J314&lt;&gt;"Won","",IF(E314="",N(I314),I314-M314))</f>
        <v/>
      </c>
      <c r="O314" s="22" t="n"/>
    </row>
    <row r="315" ht="15" customHeight="1">
      <c r="A315" s="72" t="n"/>
      <c r="B315" s="22" t="n"/>
      <c r="C315" s="22" t="n"/>
      <c r="D315" s="22" t="n"/>
      <c r="E315" s="22" t="n"/>
      <c r="F315" s="26">
        <f>IF(E315="","",IF(COUNTIF(lst_Jobs,E315&amp;"")&gt;0,"OK","CHECK"))</f>
        <v/>
      </c>
      <c r="G315" s="22" t="n"/>
      <c r="H315" s="22" t="n"/>
      <c r="I315" s="24" t="n"/>
      <c r="J315" s="22" t="n"/>
      <c r="K315" s="23" t="n"/>
      <c r="L315" s="72" t="n"/>
      <c r="M315" s="27">
        <f>IF(E315="","",SUMIFS(tbl_Finance[Ex GST],tbl_Finance[Job Number],E315&amp;""))</f>
        <v/>
      </c>
      <c r="N315" s="27">
        <f>IF(J315&lt;&gt;"Won","",IF(E315="",N(I315),I315-M315))</f>
        <v/>
      </c>
      <c r="O315" s="22" t="n"/>
    </row>
    <row r="316" ht="15" customHeight="1">
      <c r="A316" s="72" t="n"/>
      <c r="B316" s="22" t="n"/>
      <c r="C316" s="22" t="n"/>
      <c r="D316" s="22" t="n"/>
      <c r="E316" s="22" t="n"/>
      <c r="F316" s="26">
        <f>IF(E316="","",IF(COUNTIF(lst_Jobs,E316&amp;"")&gt;0,"OK","CHECK"))</f>
        <v/>
      </c>
      <c r="G316" s="22" t="n"/>
      <c r="H316" s="22" t="n"/>
      <c r="I316" s="24" t="n"/>
      <c r="J316" s="22" t="n"/>
      <c r="K316" s="23" t="n"/>
      <c r="L316" s="72" t="n"/>
      <c r="M316" s="27">
        <f>IF(E316="","",SUMIFS(tbl_Finance[Ex GST],tbl_Finance[Job Number],E316&amp;""))</f>
        <v/>
      </c>
      <c r="N316" s="27">
        <f>IF(J316&lt;&gt;"Won","",IF(E316="",N(I316),I316-M316))</f>
        <v/>
      </c>
      <c r="O316" s="22" t="n"/>
    </row>
    <row r="317" ht="15" customHeight="1">
      <c r="A317" s="72" t="n"/>
      <c r="B317" s="22" t="n"/>
      <c r="C317" s="22" t="n"/>
      <c r="D317" s="22" t="n"/>
      <c r="E317" s="22" t="n"/>
      <c r="F317" s="26">
        <f>IF(E317="","",IF(COUNTIF(lst_Jobs,E317&amp;"")&gt;0,"OK","CHECK"))</f>
        <v/>
      </c>
      <c r="G317" s="22" t="n"/>
      <c r="H317" s="22" t="n"/>
      <c r="I317" s="24" t="n"/>
      <c r="J317" s="22" t="n"/>
      <c r="K317" s="23" t="n"/>
      <c r="L317" s="72" t="n"/>
      <c r="M317" s="27">
        <f>IF(E317="","",SUMIFS(tbl_Finance[Ex GST],tbl_Finance[Job Number],E317&amp;""))</f>
        <v/>
      </c>
      <c r="N317" s="27">
        <f>IF(J317&lt;&gt;"Won","",IF(E317="",N(I317),I317-M317))</f>
        <v/>
      </c>
      <c r="O317" s="22" t="n"/>
    </row>
    <row r="318" ht="15" customHeight="1">
      <c r="A318" s="72" t="n"/>
      <c r="B318" s="22" t="n"/>
      <c r="C318" s="22" t="n"/>
      <c r="D318" s="22" t="n"/>
      <c r="E318" s="22" t="n"/>
      <c r="F318" s="26">
        <f>IF(E318="","",IF(COUNTIF(lst_Jobs,E318&amp;"")&gt;0,"OK","CHECK"))</f>
        <v/>
      </c>
      <c r="G318" s="22" t="n"/>
      <c r="H318" s="22" t="n"/>
      <c r="I318" s="24" t="n"/>
      <c r="J318" s="22" t="n"/>
      <c r="K318" s="23" t="n"/>
      <c r="L318" s="72" t="n"/>
      <c r="M318" s="27">
        <f>IF(E318="","",SUMIFS(tbl_Finance[Ex GST],tbl_Finance[Job Number],E318&amp;""))</f>
        <v/>
      </c>
      <c r="N318" s="27">
        <f>IF(J318&lt;&gt;"Won","",IF(E318="",N(I318),I318-M318))</f>
        <v/>
      </c>
      <c r="O318" s="22" t="n"/>
    </row>
    <row r="319" ht="15" customHeight="1">
      <c r="A319" s="72" t="n"/>
      <c r="B319" s="22" t="n"/>
      <c r="C319" s="22" t="n"/>
      <c r="D319" s="22" t="n"/>
      <c r="E319" s="22" t="n"/>
      <c r="F319" s="26">
        <f>IF(E319="","",IF(COUNTIF(lst_Jobs,E319&amp;"")&gt;0,"OK","CHECK"))</f>
        <v/>
      </c>
      <c r="G319" s="22" t="n"/>
      <c r="H319" s="22" t="n"/>
      <c r="I319" s="24" t="n"/>
      <c r="J319" s="22" t="n"/>
      <c r="K319" s="23" t="n"/>
      <c r="L319" s="72" t="n"/>
      <c r="M319" s="27">
        <f>IF(E319="","",SUMIFS(tbl_Finance[Ex GST],tbl_Finance[Job Number],E319&amp;""))</f>
        <v/>
      </c>
      <c r="N319" s="27">
        <f>IF(J319&lt;&gt;"Won","",IF(E319="",N(I319),I319-M319))</f>
        <v/>
      </c>
      <c r="O319" s="22" t="n"/>
    </row>
    <row r="320" ht="15" customHeight="1">
      <c r="A320" s="72" t="n"/>
      <c r="B320" s="22" t="n"/>
      <c r="C320" s="22" t="n"/>
      <c r="D320" s="22" t="n"/>
      <c r="E320" s="22" t="n"/>
      <c r="F320" s="26">
        <f>IF(E320="","",IF(COUNTIF(lst_Jobs,E320&amp;"")&gt;0,"OK","CHECK"))</f>
        <v/>
      </c>
      <c r="G320" s="22" t="n"/>
      <c r="H320" s="22" t="n"/>
      <c r="I320" s="24" t="n"/>
      <c r="J320" s="22" t="n"/>
      <c r="K320" s="23" t="n"/>
      <c r="L320" s="72" t="n"/>
      <c r="M320" s="27">
        <f>IF(E320="","",SUMIFS(tbl_Finance[Ex GST],tbl_Finance[Job Number],E320&amp;""))</f>
        <v/>
      </c>
      <c r="N320" s="27">
        <f>IF(J320&lt;&gt;"Won","",IF(E320="",N(I320),I320-M320))</f>
        <v/>
      </c>
      <c r="O320" s="22" t="n"/>
    </row>
    <row r="321" ht="15" customHeight="1">
      <c r="A321" s="72" t="n"/>
      <c r="B321" s="22" t="n"/>
      <c r="C321" s="22" t="n"/>
      <c r="D321" s="22" t="n"/>
      <c r="E321" s="22" t="n"/>
      <c r="F321" s="26">
        <f>IF(E321="","",IF(COUNTIF(lst_Jobs,E321&amp;"")&gt;0,"OK","CHECK"))</f>
        <v/>
      </c>
      <c r="G321" s="22" t="n"/>
      <c r="H321" s="22" t="n"/>
      <c r="I321" s="24" t="n"/>
      <c r="J321" s="22" t="n"/>
      <c r="K321" s="23" t="n"/>
      <c r="L321" s="72" t="n"/>
      <c r="M321" s="27">
        <f>IF(E321="","",SUMIFS(tbl_Finance[Ex GST],tbl_Finance[Job Number],E321&amp;""))</f>
        <v/>
      </c>
      <c r="N321" s="27">
        <f>IF(J321&lt;&gt;"Won","",IF(E321="",N(I321),I321-M321))</f>
        <v/>
      </c>
      <c r="O321" s="22" t="n"/>
    </row>
    <row r="322" ht="15" customHeight="1">
      <c r="A322" s="72" t="n"/>
      <c r="B322" s="22" t="n"/>
      <c r="C322" s="22" t="n"/>
      <c r="D322" s="22" t="n"/>
      <c r="E322" s="22" t="n"/>
      <c r="F322" s="26">
        <f>IF(E322="","",IF(COUNTIF(lst_Jobs,E322&amp;"")&gt;0,"OK","CHECK"))</f>
        <v/>
      </c>
      <c r="G322" s="22" t="n"/>
      <c r="H322" s="22" t="n"/>
      <c r="I322" s="24" t="n"/>
      <c r="J322" s="22" t="n"/>
      <c r="K322" s="23" t="n"/>
      <c r="L322" s="72" t="n"/>
      <c r="M322" s="27">
        <f>IF(E322="","",SUMIFS(tbl_Finance[Ex GST],tbl_Finance[Job Number],E322&amp;""))</f>
        <v/>
      </c>
      <c r="N322" s="27">
        <f>IF(J322&lt;&gt;"Won","",IF(E322="",N(I322),I322-M322))</f>
        <v/>
      </c>
      <c r="O322" s="22" t="n"/>
    </row>
    <row r="323" ht="15" customHeight="1">
      <c r="A323" s="72" t="n"/>
      <c r="B323" s="22" t="n"/>
      <c r="C323" s="22" t="n"/>
      <c r="D323" s="22" t="n"/>
      <c r="E323" s="22" t="n"/>
      <c r="F323" s="26">
        <f>IF(E323="","",IF(COUNTIF(lst_Jobs,E323&amp;"")&gt;0,"OK","CHECK"))</f>
        <v/>
      </c>
      <c r="G323" s="22" t="n"/>
      <c r="H323" s="22" t="n"/>
      <c r="I323" s="24" t="n"/>
      <c r="J323" s="22" t="n"/>
      <c r="K323" s="23" t="n"/>
      <c r="L323" s="72" t="n"/>
      <c r="M323" s="27">
        <f>IF(E323="","",SUMIFS(tbl_Finance[Ex GST],tbl_Finance[Job Number],E323&amp;""))</f>
        <v/>
      </c>
      <c r="N323" s="27">
        <f>IF(J323&lt;&gt;"Won","",IF(E323="",N(I323),I323-M323))</f>
        <v/>
      </c>
      <c r="O323" s="22" t="n"/>
    </row>
    <row r="324" ht="15" customHeight="1">
      <c r="A324" s="72" t="n"/>
      <c r="B324" s="22" t="n"/>
      <c r="C324" s="22" t="n"/>
      <c r="D324" s="22" t="n"/>
      <c r="E324" s="22" t="n"/>
      <c r="F324" s="26">
        <f>IF(E324="","",IF(COUNTIF(lst_Jobs,E324&amp;"")&gt;0,"OK","CHECK"))</f>
        <v/>
      </c>
      <c r="G324" s="22" t="n"/>
      <c r="H324" s="22" t="n"/>
      <c r="I324" s="24" t="n"/>
      <c r="J324" s="22" t="n"/>
      <c r="K324" s="23" t="n"/>
      <c r="L324" s="72" t="n"/>
      <c r="M324" s="27">
        <f>IF(E324="","",SUMIFS(tbl_Finance[Ex GST],tbl_Finance[Job Number],E324&amp;""))</f>
        <v/>
      </c>
      <c r="N324" s="27">
        <f>IF(J324&lt;&gt;"Won","",IF(E324="",N(I324),I324-M324))</f>
        <v/>
      </c>
      <c r="O324" s="22" t="n"/>
    </row>
    <row r="325" ht="15" customHeight="1">
      <c r="A325" s="72" t="n"/>
      <c r="B325" s="22" t="n"/>
      <c r="C325" s="22" t="n"/>
      <c r="D325" s="22" t="n"/>
      <c r="E325" s="22" t="n"/>
      <c r="F325" s="26">
        <f>IF(E325="","",IF(COUNTIF(lst_Jobs,E325&amp;"")&gt;0,"OK","CHECK"))</f>
        <v/>
      </c>
      <c r="G325" s="22" t="n"/>
      <c r="H325" s="22" t="n"/>
      <c r="I325" s="24" t="n"/>
      <c r="J325" s="22" t="n"/>
      <c r="K325" s="23" t="n"/>
      <c r="L325" s="72" t="n"/>
      <c r="M325" s="27">
        <f>IF(E325="","",SUMIFS(tbl_Finance[Ex GST],tbl_Finance[Job Number],E325&amp;""))</f>
        <v/>
      </c>
      <c r="N325" s="27">
        <f>IF(J325&lt;&gt;"Won","",IF(E325="",N(I325),I325-M325))</f>
        <v/>
      </c>
      <c r="O325" s="22" t="n"/>
    </row>
    <row r="326" ht="15" customHeight="1">
      <c r="A326" s="72" t="n"/>
      <c r="B326" s="22" t="n"/>
      <c r="C326" s="22" t="n"/>
      <c r="D326" s="22" t="n"/>
      <c r="E326" s="22" t="n"/>
      <c r="F326" s="26">
        <f>IF(E326="","",IF(COUNTIF(lst_Jobs,E326&amp;"")&gt;0,"OK","CHECK"))</f>
        <v/>
      </c>
      <c r="G326" s="22" t="n"/>
      <c r="H326" s="22" t="n"/>
      <c r="I326" s="24" t="n"/>
      <c r="J326" s="22" t="n"/>
      <c r="K326" s="23" t="n"/>
      <c r="L326" s="72" t="n"/>
      <c r="M326" s="27">
        <f>IF(E326="","",SUMIFS(tbl_Finance[Ex GST],tbl_Finance[Job Number],E326&amp;""))</f>
        <v/>
      </c>
      <c r="N326" s="27">
        <f>IF(J326&lt;&gt;"Won","",IF(E326="",N(I326),I326-M326))</f>
        <v/>
      </c>
      <c r="O326" s="22" t="n"/>
    </row>
    <row r="327" ht="15" customHeight="1">
      <c r="A327" s="72" t="n"/>
      <c r="B327" s="22" t="n"/>
      <c r="C327" s="22" t="n"/>
      <c r="D327" s="22" t="n"/>
      <c r="E327" s="22" t="n"/>
      <c r="F327" s="26">
        <f>IF(E327="","",IF(COUNTIF(lst_Jobs,E327&amp;"")&gt;0,"OK","CHECK"))</f>
        <v/>
      </c>
      <c r="G327" s="22" t="n"/>
      <c r="H327" s="22" t="n"/>
      <c r="I327" s="24" t="n"/>
      <c r="J327" s="22" t="n"/>
      <c r="K327" s="23" t="n"/>
      <c r="L327" s="72" t="n"/>
      <c r="M327" s="27">
        <f>IF(E327="","",SUMIFS(tbl_Finance[Ex GST],tbl_Finance[Job Number],E327&amp;""))</f>
        <v/>
      </c>
      <c r="N327" s="27">
        <f>IF(J327&lt;&gt;"Won","",IF(E327="",N(I327),I327-M327))</f>
        <v/>
      </c>
      <c r="O327" s="22" t="n"/>
    </row>
    <row r="328" ht="15" customHeight="1">
      <c r="A328" s="72" t="n"/>
      <c r="B328" s="22" t="n"/>
      <c r="C328" s="22" t="n"/>
      <c r="D328" s="22" t="n"/>
      <c r="E328" s="22" t="n"/>
      <c r="F328" s="26">
        <f>IF(E328="","",IF(COUNTIF(lst_Jobs,E328&amp;"")&gt;0,"OK","CHECK"))</f>
        <v/>
      </c>
      <c r="G328" s="22" t="n"/>
      <c r="H328" s="22" t="n"/>
      <c r="I328" s="24" t="n"/>
      <c r="J328" s="22" t="n"/>
      <c r="K328" s="23" t="n"/>
      <c r="L328" s="72" t="n"/>
      <c r="M328" s="27">
        <f>IF(E328="","",SUMIFS(tbl_Finance[Ex GST],tbl_Finance[Job Number],E328&amp;""))</f>
        <v/>
      </c>
      <c r="N328" s="27">
        <f>IF(J328&lt;&gt;"Won","",IF(E328="",N(I328),I328-M328))</f>
        <v/>
      </c>
      <c r="O328" s="22" t="n"/>
    </row>
    <row r="329" ht="15" customHeight="1">
      <c r="A329" s="72" t="n"/>
      <c r="B329" s="22" t="n"/>
      <c r="C329" s="22" t="n"/>
      <c r="D329" s="22" t="n"/>
      <c r="E329" s="22" t="n"/>
      <c r="F329" s="26">
        <f>IF(E329="","",IF(COUNTIF(lst_Jobs,E329&amp;"")&gt;0,"OK","CHECK"))</f>
        <v/>
      </c>
      <c r="G329" s="22" t="n"/>
      <c r="H329" s="22" t="n"/>
      <c r="I329" s="24" t="n"/>
      <c r="J329" s="22" t="n"/>
      <c r="K329" s="23" t="n"/>
      <c r="L329" s="72" t="n"/>
      <c r="M329" s="27">
        <f>IF(E329="","",SUMIFS(tbl_Finance[Ex GST],tbl_Finance[Job Number],E329&amp;""))</f>
        <v/>
      </c>
      <c r="N329" s="27">
        <f>IF(J329&lt;&gt;"Won","",IF(E329="",N(I329),I329-M329))</f>
        <v/>
      </c>
      <c r="O329" s="22" t="n"/>
    </row>
    <row r="330" ht="15" customHeight="1">
      <c r="A330" s="72" t="n"/>
      <c r="B330" s="22" t="n"/>
      <c r="C330" s="22" t="n"/>
      <c r="D330" s="22" t="n"/>
      <c r="E330" s="22" t="n"/>
      <c r="F330" s="26">
        <f>IF(E330="","",IF(COUNTIF(lst_Jobs,E330&amp;"")&gt;0,"OK","CHECK"))</f>
        <v/>
      </c>
      <c r="G330" s="22" t="n"/>
      <c r="H330" s="22" t="n"/>
      <c r="I330" s="24" t="n"/>
      <c r="J330" s="22" t="n"/>
      <c r="K330" s="23" t="n"/>
      <c r="L330" s="72" t="n"/>
      <c r="M330" s="27">
        <f>IF(E330="","",SUMIFS(tbl_Finance[Ex GST],tbl_Finance[Job Number],E330&amp;""))</f>
        <v/>
      </c>
      <c r="N330" s="27">
        <f>IF(J330&lt;&gt;"Won","",IF(E330="",N(I330),I330-M330))</f>
        <v/>
      </c>
      <c r="O330" s="22" t="n"/>
    </row>
    <row r="331" ht="15" customHeight="1">
      <c r="A331" s="72" t="n"/>
      <c r="B331" s="22" t="n"/>
      <c r="C331" s="22" t="n"/>
      <c r="D331" s="22" t="n"/>
      <c r="E331" s="22" t="n"/>
      <c r="F331" s="26">
        <f>IF(E331="","",IF(COUNTIF(lst_Jobs,E331&amp;"")&gt;0,"OK","CHECK"))</f>
        <v/>
      </c>
      <c r="G331" s="22" t="n"/>
      <c r="H331" s="22" t="n"/>
      <c r="I331" s="24" t="n"/>
      <c r="J331" s="22" t="n"/>
      <c r="K331" s="23" t="n"/>
      <c r="L331" s="72" t="n"/>
      <c r="M331" s="27">
        <f>IF(E331="","",SUMIFS(tbl_Finance[Ex GST],tbl_Finance[Job Number],E331&amp;""))</f>
        <v/>
      </c>
      <c r="N331" s="27">
        <f>IF(J331&lt;&gt;"Won","",IF(E331="",N(I331),I331-M331))</f>
        <v/>
      </c>
      <c r="O331" s="22" t="n"/>
    </row>
    <row r="332" ht="15" customHeight="1">
      <c r="A332" s="72" t="n"/>
      <c r="B332" s="22" t="n"/>
      <c r="C332" s="22" t="n"/>
      <c r="D332" s="22" t="n"/>
      <c r="E332" s="22" t="n"/>
      <c r="F332" s="26">
        <f>IF(E332="","",IF(COUNTIF(lst_Jobs,E332&amp;"")&gt;0,"OK","CHECK"))</f>
        <v/>
      </c>
      <c r="G332" s="22" t="n"/>
      <c r="H332" s="22" t="n"/>
      <c r="I332" s="24" t="n"/>
      <c r="J332" s="22" t="n"/>
      <c r="K332" s="23" t="n"/>
      <c r="L332" s="72" t="n"/>
      <c r="M332" s="27">
        <f>IF(E332="","",SUMIFS(tbl_Finance[Ex GST],tbl_Finance[Job Number],E332&amp;""))</f>
        <v/>
      </c>
      <c r="N332" s="27">
        <f>IF(J332&lt;&gt;"Won","",IF(E332="",N(I332),I332-M332))</f>
        <v/>
      </c>
      <c r="O332" s="22" t="n"/>
    </row>
    <row r="333" ht="15" customHeight="1">
      <c r="A333" s="72" t="n"/>
      <c r="B333" s="22" t="n"/>
      <c r="C333" s="22" t="n"/>
      <c r="D333" s="22" t="n"/>
      <c r="E333" s="22" t="n"/>
      <c r="F333" s="26">
        <f>IF(E333="","",IF(COUNTIF(lst_Jobs,E333&amp;"")&gt;0,"OK","CHECK"))</f>
        <v/>
      </c>
      <c r="G333" s="22" t="n"/>
      <c r="H333" s="22" t="n"/>
      <c r="I333" s="24" t="n"/>
      <c r="J333" s="22" t="n"/>
      <c r="K333" s="23" t="n"/>
      <c r="L333" s="72" t="n"/>
      <c r="M333" s="27">
        <f>IF(E333="","",SUMIFS(tbl_Finance[Ex GST],tbl_Finance[Job Number],E333&amp;""))</f>
        <v/>
      </c>
      <c r="N333" s="27">
        <f>IF(J333&lt;&gt;"Won","",IF(E333="",N(I333),I333-M333))</f>
        <v/>
      </c>
      <c r="O333" s="22" t="n"/>
    </row>
    <row r="334" ht="15" customHeight="1">
      <c r="A334" s="72" t="n"/>
      <c r="B334" s="22" t="n"/>
      <c r="C334" s="22" t="n"/>
      <c r="D334" s="22" t="n"/>
      <c r="E334" s="22" t="n"/>
      <c r="F334" s="26">
        <f>IF(E334="","",IF(COUNTIF(lst_Jobs,E334&amp;"")&gt;0,"OK","CHECK"))</f>
        <v/>
      </c>
      <c r="G334" s="22" t="n"/>
      <c r="H334" s="22" t="n"/>
      <c r="I334" s="24" t="n"/>
      <c r="J334" s="22" t="n"/>
      <c r="K334" s="23" t="n"/>
      <c r="L334" s="72" t="n"/>
      <c r="M334" s="27">
        <f>IF(E334="","",SUMIFS(tbl_Finance[Ex GST],tbl_Finance[Job Number],E334&amp;""))</f>
        <v/>
      </c>
      <c r="N334" s="27">
        <f>IF(J334&lt;&gt;"Won","",IF(E334="",N(I334),I334-M334))</f>
        <v/>
      </c>
      <c r="O334" s="22" t="n"/>
    </row>
    <row r="335" ht="15" customHeight="1">
      <c r="A335" s="72" t="n"/>
      <c r="B335" s="22" t="n"/>
      <c r="C335" s="22" t="n"/>
      <c r="D335" s="22" t="n"/>
      <c r="E335" s="22" t="n"/>
      <c r="F335" s="26">
        <f>IF(E335="","",IF(COUNTIF(lst_Jobs,E335&amp;"")&gt;0,"OK","CHECK"))</f>
        <v/>
      </c>
      <c r="G335" s="22" t="n"/>
      <c r="H335" s="22" t="n"/>
      <c r="I335" s="24" t="n"/>
      <c r="J335" s="22" t="n"/>
      <c r="K335" s="23" t="n"/>
      <c r="L335" s="72" t="n"/>
      <c r="M335" s="27">
        <f>IF(E335="","",SUMIFS(tbl_Finance[Ex GST],tbl_Finance[Job Number],E335&amp;""))</f>
        <v/>
      </c>
      <c r="N335" s="27">
        <f>IF(J335&lt;&gt;"Won","",IF(E335="",N(I335),I335-M335))</f>
        <v/>
      </c>
      <c r="O335" s="22" t="n"/>
    </row>
    <row r="336" ht="15" customHeight="1">
      <c r="A336" s="72" t="n"/>
      <c r="B336" s="22" t="n"/>
      <c r="C336" s="22" t="n"/>
      <c r="D336" s="22" t="n"/>
      <c r="E336" s="22" t="n"/>
      <c r="F336" s="26">
        <f>IF(E336="","",IF(COUNTIF(lst_Jobs,E336&amp;"")&gt;0,"OK","CHECK"))</f>
        <v/>
      </c>
      <c r="G336" s="22" t="n"/>
      <c r="H336" s="22" t="n"/>
      <c r="I336" s="24" t="n"/>
      <c r="J336" s="22" t="n"/>
      <c r="K336" s="23" t="n"/>
      <c r="L336" s="72" t="n"/>
      <c r="M336" s="27">
        <f>IF(E336="","",SUMIFS(tbl_Finance[Ex GST],tbl_Finance[Job Number],E336&amp;""))</f>
        <v/>
      </c>
      <c r="N336" s="27">
        <f>IF(J336&lt;&gt;"Won","",IF(E336="",N(I336),I336-M336))</f>
        <v/>
      </c>
      <c r="O336" s="22" t="n"/>
    </row>
    <row r="337" ht="15" customHeight="1">
      <c r="A337" s="72" t="n"/>
      <c r="B337" s="22" t="n"/>
      <c r="C337" s="22" t="n"/>
      <c r="D337" s="22" t="n"/>
      <c r="E337" s="22" t="n"/>
      <c r="F337" s="26">
        <f>IF(E337="","",IF(COUNTIF(lst_Jobs,E337&amp;"")&gt;0,"OK","CHECK"))</f>
        <v/>
      </c>
      <c r="G337" s="22" t="n"/>
      <c r="H337" s="22" t="n"/>
      <c r="I337" s="24" t="n"/>
      <c r="J337" s="22" t="n"/>
      <c r="K337" s="23" t="n"/>
      <c r="L337" s="72" t="n"/>
      <c r="M337" s="27">
        <f>IF(E337="","",SUMIFS(tbl_Finance[Ex GST],tbl_Finance[Job Number],E337&amp;""))</f>
        <v/>
      </c>
      <c r="N337" s="27">
        <f>IF(J337&lt;&gt;"Won","",IF(E337="",N(I337),I337-M337))</f>
        <v/>
      </c>
      <c r="O337" s="22" t="n"/>
    </row>
    <row r="338" ht="15" customHeight="1">
      <c r="A338" s="72" t="n"/>
      <c r="B338" s="22" t="n"/>
      <c r="C338" s="22" t="n"/>
      <c r="D338" s="22" t="n"/>
      <c r="E338" s="22" t="n"/>
      <c r="F338" s="26">
        <f>IF(E338="","",IF(COUNTIF(lst_Jobs,E338&amp;"")&gt;0,"OK","CHECK"))</f>
        <v/>
      </c>
      <c r="G338" s="22" t="n"/>
      <c r="H338" s="22" t="n"/>
      <c r="I338" s="24" t="n"/>
      <c r="J338" s="22" t="n"/>
      <c r="K338" s="23" t="n"/>
      <c r="L338" s="72" t="n"/>
      <c r="M338" s="27">
        <f>IF(E338="","",SUMIFS(tbl_Finance[Ex GST],tbl_Finance[Job Number],E338&amp;""))</f>
        <v/>
      </c>
      <c r="N338" s="27">
        <f>IF(J338&lt;&gt;"Won","",IF(E338="",N(I338),I338-M338))</f>
        <v/>
      </c>
      <c r="O338" s="22" t="n"/>
    </row>
    <row r="339" ht="15" customHeight="1">
      <c r="A339" s="72" t="n"/>
      <c r="B339" s="22" t="n"/>
      <c r="C339" s="22" t="n"/>
      <c r="D339" s="22" t="n"/>
      <c r="E339" s="22" t="n"/>
      <c r="F339" s="26">
        <f>IF(E339="","",IF(COUNTIF(lst_Jobs,E339&amp;"")&gt;0,"OK","CHECK"))</f>
        <v/>
      </c>
      <c r="G339" s="22" t="n"/>
      <c r="H339" s="22" t="n"/>
      <c r="I339" s="24" t="n"/>
      <c r="J339" s="22" t="n"/>
      <c r="K339" s="23" t="n"/>
      <c r="L339" s="72" t="n"/>
      <c r="M339" s="27">
        <f>IF(E339="","",SUMIFS(tbl_Finance[Ex GST],tbl_Finance[Job Number],E339&amp;""))</f>
        <v/>
      </c>
      <c r="N339" s="27">
        <f>IF(J339&lt;&gt;"Won","",IF(E339="",N(I339),I339-M339))</f>
        <v/>
      </c>
      <c r="O339" s="22" t="n"/>
    </row>
    <row r="340" ht="15" customHeight="1">
      <c r="A340" s="72" t="n"/>
      <c r="B340" s="22" t="n"/>
      <c r="C340" s="22" t="n"/>
      <c r="D340" s="22" t="n"/>
      <c r="E340" s="22" t="n"/>
      <c r="F340" s="26">
        <f>IF(E340="","",IF(COUNTIF(lst_Jobs,E340&amp;"")&gt;0,"OK","CHECK"))</f>
        <v/>
      </c>
      <c r="G340" s="22" t="n"/>
      <c r="H340" s="22" t="n"/>
      <c r="I340" s="24" t="n"/>
      <c r="J340" s="22" t="n"/>
      <c r="K340" s="23" t="n"/>
      <c r="L340" s="72" t="n"/>
      <c r="M340" s="27">
        <f>IF(E340="","",SUMIFS(tbl_Finance[Ex GST],tbl_Finance[Job Number],E340&amp;""))</f>
        <v/>
      </c>
      <c r="N340" s="27">
        <f>IF(J340&lt;&gt;"Won","",IF(E340="",N(I340),I340-M340))</f>
        <v/>
      </c>
      <c r="O340" s="22" t="n"/>
    </row>
    <row r="341" ht="15" customHeight="1">
      <c r="A341" s="72" t="n"/>
      <c r="B341" s="22" t="n"/>
      <c r="C341" s="22" t="n"/>
      <c r="D341" s="22" t="n"/>
      <c r="E341" s="22" t="n"/>
      <c r="F341" s="26">
        <f>IF(E341="","",IF(COUNTIF(lst_Jobs,E341&amp;"")&gt;0,"OK","CHECK"))</f>
        <v/>
      </c>
      <c r="G341" s="22" t="n"/>
      <c r="H341" s="22" t="n"/>
      <c r="I341" s="24" t="n"/>
      <c r="J341" s="22" t="n"/>
      <c r="K341" s="23" t="n"/>
      <c r="L341" s="72" t="n"/>
      <c r="M341" s="27">
        <f>IF(E341="","",SUMIFS(tbl_Finance[Ex GST],tbl_Finance[Job Number],E341&amp;""))</f>
        <v/>
      </c>
      <c r="N341" s="27">
        <f>IF(J341&lt;&gt;"Won","",IF(E341="",N(I341),I341-M341))</f>
        <v/>
      </c>
      <c r="O341" s="22" t="n"/>
    </row>
    <row r="342" ht="15" customHeight="1">
      <c r="A342" s="72" t="n"/>
      <c r="B342" s="22" t="n"/>
      <c r="C342" s="22" t="n"/>
      <c r="D342" s="22" t="n"/>
      <c r="E342" s="22" t="n"/>
      <c r="F342" s="26">
        <f>IF(E342="","",IF(COUNTIF(lst_Jobs,E342&amp;"")&gt;0,"OK","CHECK"))</f>
        <v/>
      </c>
      <c r="G342" s="22" t="n"/>
      <c r="H342" s="22" t="n"/>
      <c r="I342" s="24" t="n"/>
      <c r="J342" s="22" t="n"/>
      <c r="K342" s="23" t="n"/>
      <c r="L342" s="72" t="n"/>
      <c r="M342" s="27">
        <f>IF(E342="","",SUMIFS(tbl_Finance[Ex GST],tbl_Finance[Job Number],E342&amp;""))</f>
        <v/>
      </c>
      <c r="N342" s="27">
        <f>IF(J342&lt;&gt;"Won","",IF(E342="",N(I342),I342-M342))</f>
        <v/>
      </c>
      <c r="O342" s="22" t="n"/>
    </row>
    <row r="343" ht="15" customHeight="1">
      <c r="A343" s="72" t="n"/>
      <c r="B343" s="22" t="n"/>
      <c r="C343" s="22" t="n"/>
      <c r="D343" s="22" t="n"/>
      <c r="E343" s="22" t="n"/>
      <c r="F343" s="26">
        <f>IF(E343="","",IF(COUNTIF(lst_Jobs,E343&amp;"")&gt;0,"OK","CHECK"))</f>
        <v/>
      </c>
      <c r="G343" s="22" t="n"/>
      <c r="H343" s="22" t="n"/>
      <c r="I343" s="24" t="n"/>
      <c r="J343" s="22" t="n"/>
      <c r="K343" s="23" t="n"/>
      <c r="L343" s="72" t="n"/>
      <c r="M343" s="27">
        <f>IF(E343="","",SUMIFS(tbl_Finance[Ex GST],tbl_Finance[Job Number],E343&amp;""))</f>
        <v/>
      </c>
      <c r="N343" s="27">
        <f>IF(J343&lt;&gt;"Won","",IF(E343="",N(I343),I343-M343))</f>
        <v/>
      </c>
      <c r="O343" s="22" t="n"/>
    </row>
    <row r="344" ht="15" customHeight="1">
      <c r="A344" s="72" t="n"/>
      <c r="B344" s="22" t="n"/>
      <c r="C344" s="22" t="n"/>
      <c r="D344" s="22" t="n"/>
      <c r="E344" s="22" t="n"/>
      <c r="F344" s="26">
        <f>IF(E344="","",IF(COUNTIF(lst_Jobs,E344&amp;"")&gt;0,"OK","CHECK"))</f>
        <v/>
      </c>
      <c r="G344" s="22" t="n"/>
      <c r="H344" s="22" t="n"/>
      <c r="I344" s="24" t="n"/>
      <c r="J344" s="22" t="n"/>
      <c r="K344" s="23" t="n"/>
      <c r="L344" s="72" t="n"/>
      <c r="M344" s="27">
        <f>IF(E344="","",SUMIFS(tbl_Finance[Ex GST],tbl_Finance[Job Number],E344&amp;""))</f>
        <v/>
      </c>
      <c r="N344" s="27">
        <f>IF(J344&lt;&gt;"Won","",IF(E344="",N(I344),I344-M344))</f>
        <v/>
      </c>
      <c r="O344" s="22" t="n"/>
    </row>
    <row r="345" ht="15" customHeight="1">
      <c r="A345" s="72" t="n"/>
      <c r="B345" s="22" t="n"/>
      <c r="C345" s="22" t="n"/>
      <c r="D345" s="22" t="n"/>
      <c r="E345" s="22" t="n"/>
      <c r="F345" s="26">
        <f>IF(E345="","",IF(COUNTIF(lst_Jobs,E345&amp;"")&gt;0,"OK","CHECK"))</f>
        <v/>
      </c>
      <c r="G345" s="22" t="n"/>
      <c r="H345" s="22" t="n"/>
      <c r="I345" s="24" t="n"/>
      <c r="J345" s="22" t="n"/>
      <c r="K345" s="23" t="n"/>
      <c r="L345" s="72" t="n"/>
      <c r="M345" s="27">
        <f>IF(E345="","",SUMIFS(tbl_Finance[Ex GST],tbl_Finance[Job Number],E345&amp;""))</f>
        <v/>
      </c>
      <c r="N345" s="27">
        <f>IF(J345&lt;&gt;"Won","",IF(E345="",N(I345),I345-M345))</f>
        <v/>
      </c>
      <c r="O345" s="22" t="n"/>
    </row>
    <row r="346" ht="15" customHeight="1">
      <c r="A346" s="72" t="n"/>
      <c r="B346" s="22" t="n"/>
      <c r="C346" s="22" t="n"/>
      <c r="D346" s="22" t="n"/>
      <c r="E346" s="22" t="n"/>
      <c r="F346" s="26">
        <f>IF(E346="","",IF(COUNTIF(lst_Jobs,E346&amp;"")&gt;0,"OK","CHECK"))</f>
        <v/>
      </c>
      <c r="G346" s="22" t="n"/>
      <c r="H346" s="22" t="n"/>
      <c r="I346" s="24" t="n"/>
      <c r="J346" s="22" t="n"/>
      <c r="K346" s="23" t="n"/>
      <c r="L346" s="72" t="n"/>
      <c r="M346" s="27">
        <f>IF(E346="","",SUMIFS(tbl_Finance[Ex GST],tbl_Finance[Job Number],E346&amp;""))</f>
        <v/>
      </c>
      <c r="N346" s="27">
        <f>IF(J346&lt;&gt;"Won","",IF(E346="",N(I346),I346-M346))</f>
        <v/>
      </c>
      <c r="O346" s="22" t="n"/>
    </row>
    <row r="347" ht="15" customHeight="1">
      <c r="A347" s="72" t="n"/>
      <c r="B347" s="22" t="n"/>
      <c r="C347" s="22" t="n"/>
      <c r="D347" s="22" t="n"/>
      <c r="E347" s="22" t="n"/>
      <c r="F347" s="26">
        <f>IF(E347="","",IF(COUNTIF(lst_Jobs,E347&amp;"")&gt;0,"OK","CHECK"))</f>
        <v/>
      </c>
      <c r="G347" s="22" t="n"/>
      <c r="H347" s="22" t="n"/>
      <c r="I347" s="24" t="n"/>
      <c r="J347" s="22" t="n"/>
      <c r="K347" s="23" t="n"/>
      <c r="L347" s="72" t="n"/>
      <c r="M347" s="27">
        <f>IF(E347="","",SUMIFS(tbl_Finance[Ex GST],tbl_Finance[Job Number],E347&amp;""))</f>
        <v/>
      </c>
      <c r="N347" s="27">
        <f>IF(J347&lt;&gt;"Won","",IF(E347="",N(I347),I347-M347))</f>
        <v/>
      </c>
      <c r="O347" s="22" t="n"/>
    </row>
    <row r="348" ht="15" customHeight="1">
      <c r="A348" s="72" t="n"/>
      <c r="B348" s="22" t="n"/>
      <c r="C348" s="22" t="n"/>
      <c r="D348" s="22" t="n"/>
      <c r="E348" s="22" t="n"/>
      <c r="F348" s="26">
        <f>IF(E348="","",IF(COUNTIF(lst_Jobs,E348&amp;"")&gt;0,"OK","CHECK"))</f>
        <v/>
      </c>
      <c r="G348" s="22" t="n"/>
      <c r="H348" s="22" t="n"/>
      <c r="I348" s="24" t="n"/>
      <c r="J348" s="22" t="n"/>
      <c r="K348" s="23" t="n"/>
      <c r="L348" s="72" t="n"/>
      <c r="M348" s="27">
        <f>IF(E348="","",SUMIFS(tbl_Finance[Ex GST],tbl_Finance[Job Number],E348&amp;""))</f>
        <v/>
      </c>
      <c r="N348" s="27">
        <f>IF(J348&lt;&gt;"Won","",IF(E348="",N(I348),I348-M348))</f>
        <v/>
      </c>
      <c r="O348" s="22" t="n"/>
    </row>
    <row r="349" ht="15" customHeight="1">
      <c r="A349" s="72" t="n"/>
      <c r="B349" s="22" t="n"/>
      <c r="C349" s="22" t="n"/>
      <c r="D349" s="22" t="n"/>
      <c r="E349" s="22" t="n"/>
      <c r="F349" s="26">
        <f>IF(E349="","",IF(COUNTIF(lst_Jobs,E349&amp;"")&gt;0,"OK","CHECK"))</f>
        <v/>
      </c>
      <c r="G349" s="22" t="n"/>
      <c r="H349" s="22" t="n"/>
      <c r="I349" s="24" t="n"/>
      <c r="J349" s="22" t="n"/>
      <c r="K349" s="23" t="n"/>
      <c r="L349" s="72" t="n"/>
      <c r="M349" s="27">
        <f>IF(E349="","",SUMIFS(tbl_Finance[Ex GST],tbl_Finance[Job Number],E349&amp;""))</f>
        <v/>
      </c>
      <c r="N349" s="27">
        <f>IF(J349&lt;&gt;"Won","",IF(E349="",N(I349),I349-M349))</f>
        <v/>
      </c>
      <c r="O349" s="22" t="n"/>
    </row>
    <row r="350" ht="15" customHeight="1">
      <c r="A350" s="72" t="n"/>
      <c r="B350" s="22" t="n"/>
      <c r="C350" s="22" t="n"/>
      <c r="D350" s="22" t="n"/>
      <c r="E350" s="22" t="n"/>
      <c r="F350" s="26">
        <f>IF(E350="","",IF(COUNTIF(lst_Jobs,E350&amp;"")&gt;0,"OK","CHECK"))</f>
        <v/>
      </c>
      <c r="G350" s="22" t="n"/>
      <c r="H350" s="22" t="n"/>
      <c r="I350" s="24" t="n"/>
      <c r="J350" s="22" t="n"/>
      <c r="K350" s="23" t="n"/>
      <c r="L350" s="72" t="n"/>
      <c r="M350" s="27">
        <f>IF(E350="","",SUMIFS(tbl_Finance[Ex GST],tbl_Finance[Job Number],E350&amp;""))</f>
        <v/>
      </c>
      <c r="N350" s="27">
        <f>IF(J350&lt;&gt;"Won","",IF(E350="",N(I350),I350-M350))</f>
        <v/>
      </c>
      <c r="O350" s="22" t="n"/>
    </row>
    <row r="351" ht="15" customHeight="1">
      <c r="A351" s="72" t="n"/>
      <c r="B351" s="22" t="n"/>
      <c r="C351" s="22" t="n"/>
      <c r="D351" s="22" t="n"/>
      <c r="E351" s="22" t="n"/>
      <c r="F351" s="26">
        <f>IF(E351="","",IF(COUNTIF(lst_Jobs,E351&amp;"")&gt;0,"OK","CHECK"))</f>
        <v/>
      </c>
      <c r="G351" s="22" t="n"/>
      <c r="H351" s="22" t="n"/>
      <c r="I351" s="24" t="n"/>
      <c r="J351" s="22" t="n"/>
      <c r="K351" s="23" t="n"/>
      <c r="L351" s="72" t="n"/>
      <c r="M351" s="27">
        <f>IF(E351="","",SUMIFS(tbl_Finance[Ex GST],tbl_Finance[Job Number],E351&amp;""))</f>
        <v/>
      </c>
      <c r="N351" s="27">
        <f>IF(J351&lt;&gt;"Won","",IF(E351="",N(I351),I351-M351))</f>
        <v/>
      </c>
      <c r="O351" s="22" t="n"/>
    </row>
    <row r="352" ht="15" customHeight="1">
      <c r="A352" s="72" t="n"/>
      <c r="B352" s="22" t="n"/>
      <c r="C352" s="22" t="n"/>
      <c r="D352" s="22" t="n"/>
      <c r="E352" s="22" t="n"/>
      <c r="F352" s="26">
        <f>IF(E352="","",IF(COUNTIF(lst_Jobs,E352&amp;"")&gt;0,"OK","CHECK"))</f>
        <v/>
      </c>
      <c r="G352" s="22" t="n"/>
      <c r="H352" s="22" t="n"/>
      <c r="I352" s="24" t="n"/>
      <c r="J352" s="22" t="n"/>
      <c r="K352" s="23" t="n"/>
      <c r="L352" s="72" t="n"/>
      <c r="M352" s="27">
        <f>IF(E352="","",SUMIFS(tbl_Finance[Ex GST],tbl_Finance[Job Number],E352&amp;""))</f>
        <v/>
      </c>
      <c r="N352" s="27">
        <f>IF(J352&lt;&gt;"Won","",IF(E352="",N(I352),I352-M352))</f>
        <v/>
      </c>
      <c r="O352" s="22" t="n"/>
    </row>
    <row r="353" ht="15" customHeight="1">
      <c r="A353" s="72" t="n"/>
      <c r="B353" s="22" t="n"/>
      <c r="C353" s="22" t="n"/>
      <c r="D353" s="22" t="n"/>
      <c r="E353" s="22" t="n"/>
      <c r="F353" s="26">
        <f>IF(E353="","",IF(COUNTIF(lst_Jobs,E353&amp;"")&gt;0,"OK","CHECK"))</f>
        <v/>
      </c>
      <c r="G353" s="22" t="n"/>
      <c r="H353" s="22" t="n"/>
      <c r="I353" s="24" t="n"/>
      <c r="J353" s="22" t="n"/>
      <c r="K353" s="23" t="n"/>
      <c r="L353" s="72" t="n"/>
      <c r="M353" s="27">
        <f>IF(E353="","",SUMIFS(tbl_Finance[Ex GST],tbl_Finance[Job Number],E353&amp;""))</f>
        <v/>
      </c>
      <c r="N353" s="27">
        <f>IF(J353&lt;&gt;"Won","",IF(E353="",N(I353),I353-M353))</f>
        <v/>
      </c>
      <c r="O353" s="22" t="n"/>
    </row>
    <row r="354" ht="15" customHeight="1">
      <c r="A354" s="72" t="n"/>
      <c r="B354" s="22" t="n"/>
      <c r="C354" s="22" t="n"/>
      <c r="D354" s="22" t="n"/>
      <c r="E354" s="22" t="n"/>
      <c r="F354" s="26">
        <f>IF(E354="","",IF(COUNTIF(lst_Jobs,E354&amp;"")&gt;0,"OK","CHECK"))</f>
        <v/>
      </c>
      <c r="G354" s="22" t="n"/>
      <c r="H354" s="22" t="n"/>
      <c r="I354" s="24" t="n"/>
      <c r="J354" s="22" t="n"/>
      <c r="K354" s="23" t="n"/>
      <c r="L354" s="72" t="n"/>
      <c r="M354" s="27">
        <f>IF(E354="","",SUMIFS(tbl_Finance[Ex GST],tbl_Finance[Job Number],E354&amp;""))</f>
        <v/>
      </c>
      <c r="N354" s="27">
        <f>IF(J354&lt;&gt;"Won","",IF(E354="",N(I354),I354-M354))</f>
        <v/>
      </c>
      <c r="O354" s="22" t="n"/>
    </row>
    <row r="355" ht="15" customHeight="1">
      <c r="A355" s="72" t="n"/>
      <c r="B355" s="22" t="n"/>
      <c r="C355" s="22" t="n"/>
      <c r="D355" s="22" t="n"/>
      <c r="E355" s="22" t="n"/>
      <c r="F355" s="26">
        <f>IF(E355="","",IF(COUNTIF(lst_Jobs,E355&amp;"")&gt;0,"OK","CHECK"))</f>
        <v/>
      </c>
      <c r="G355" s="22" t="n"/>
      <c r="H355" s="22" t="n"/>
      <c r="I355" s="24" t="n"/>
      <c r="J355" s="22" t="n"/>
      <c r="K355" s="23" t="n"/>
      <c r="L355" s="72" t="n"/>
      <c r="M355" s="27">
        <f>IF(E355="","",SUMIFS(tbl_Finance[Ex GST],tbl_Finance[Job Number],E355&amp;""))</f>
        <v/>
      </c>
      <c r="N355" s="27">
        <f>IF(J355&lt;&gt;"Won","",IF(E355="",N(I355),I355-M355))</f>
        <v/>
      </c>
      <c r="O355" s="22" t="n"/>
    </row>
    <row r="356" ht="15" customHeight="1">
      <c r="A356" s="72" t="n"/>
      <c r="B356" s="22" t="n"/>
      <c r="C356" s="22" t="n"/>
      <c r="D356" s="22" t="n"/>
      <c r="E356" s="22" t="n"/>
      <c r="F356" s="26">
        <f>IF(E356="","",IF(COUNTIF(lst_Jobs,E356&amp;"")&gt;0,"OK","CHECK"))</f>
        <v/>
      </c>
      <c r="G356" s="22" t="n"/>
      <c r="H356" s="22" t="n"/>
      <c r="I356" s="24" t="n"/>
      <c r="J356" s="22" t="n"/>
      <c r="K356" s="23" t="n"/>
      <c r="L356" s="72" t="n"/>
      <c r="M356" s="27">
        <f>IF(E356="","",SUMIFS(tbl_Finance[Ex GST],tbl_Finance[Job Number],E356&amp;""))</f>
        <v/>
      </c>
      <c r="N356" s="27">
        <f>IF(J356&lt;&gt;"Won","",IF(E356="",N(I356),I356-M356))</f>
        <v/>
      </c>
      <c r="O356" s="22" t="n"/>
    </row>
    <row r="357" ht="15" customHeight="1">
      <c r="A357" s="72" t="n"/>
      <c r="B357" s="22" t="n"/>
      <c r="C357" s="22" t="n"/>
      <c r="D357" s="22" t="n"/>
      <c r="E357" s="22" t="n"/>
      <c r="F357" s="26">
        <f>IF(E357="","",IF(COUNTIF(lst_Jobs,E357&amp;"")&gt;0,"OK","CHECK"))</f>
        <v/>
      </c>
      <c r="G357" s="22" t="n"/>
      <c r="H357" s="22" t="n"/>
      <c r="I357" s="24" t="n"/>
      <c r="J357" s="22" t="n"/>
      <c r="K357" s="23" t="n"/>
      <c r="L357" s="72" t="n"/>
      <c r="M357" s="27">
        <f>IF(E357="","",SUMIFS(tbl_Finance[Ex GST],tbl_Finance[Job Number],E357&amp;""))</f>
        <v/>
      </c>
      <c r="N357" s="27">
        <f>IF(J357&lt;&gt;"Won","",IF(E357="",N(I357),I357-M357))</f>
        <v/>
      </c>
      <c r="O357" s="22" t="n"/>
    </row>
    <row r="358" ht="15" customHeight="1">
      <c r="A358" s="72" t="n"/>
      <c r="B358" s="22" t="n"/>
      <c r="C358" s="22" t="n"/>
      <c r="D358" s="22" t="n"/>
      <c r="E358" s="22" t="n"/>
      <c r="F358" s="26">
        <f>IF(E358="","",IF(COUNTIF(lst_Jobs,E358&amp;"")&gt;0,"OK","CHECK"))</f>
        <v/>
      </c>
      <c r="G358" s="22" t="n"/>
      <c r="H358" s="22" t="n"/>
      <c r="I358" s="24" t="n"/>
      <c r="J358" s="22" t="n"/>
      <c r="K358" s="23" t="n"/>
      <c r="L358" s="72" t="n"/>
      <c r="M358" s="27">
        <f>IF(E358="","",SUMIFS(tbl_Finance[Ex GST],tbl_Finance[Job Number],E358&amp;""))</f>
        <v/>
      </c>
      <c r="N358" s="27">
        <f>IF(J358&lt;&gt;"Won","",IF(E358="",N(I358),I358-M358))</f>
        <v/>
      </c>
      <c r="O358" s="22" t="n"/>
    </row>
    <row r="359" ht="15" customHeight="1">
      <c r="A359" s="72" t="n"/>
      <c r="B359" s="22" t="n"/>
      <c r="C359" s="22" t="n"/>
      <c r="D359" s="22" t="n"/>
      <c r="E359" s="22" t="n"/>
      <c r="F359" s="26">
        <f>IF(E359="","",IF(COUNTIF(lst_Jobs,E359&amp;"")&gt;0,"OK","CHECK"))</f>
        <v/>
      </c>
      <c r="G359" s="22" t="n"/>
      <c r="H359" s="22" t="n"/>
      <c r="I359" s="24" t="n"/>
      <c r="J359" s="22" t="n"/>
      <c r="K359" s="23" t="n"/>
      <c r="L359" s="72" t="n"/>
      <c r="M359" s="27">
        <f>IF(E359="","",SUMIFS(tbl_Finance[Ex GST],tbl_Finance[Job Number],E359&amp;""))</f>
        <v/>
      </c>
      <c r="N359" s="27">
        <f>IF(J359&lt;&gt;"Won","",IF(E359="",N(I359),I359-M359))</f>
        <v/>
      </c>
      <c r="O359" s="22" t="n"/>
    </row>
    <row r="360" ht="15" customHeight="1">
      <c r="A360" s="72" t="n"/>
      <c r="B360" s="22" t="n"/>
      <c r="C360" s="22" t="n"/>
      <c r="D360" s="22" t="n"/>
      <c r="E360" s="22" t="n"/>
      <c r="F360" s="26">
        <f>IF(E360="","",IF(COUNTIF(lst_Jobs,E360&amp;"")&gt;0,"OK","CHECK"))</f>
        <v/>
      </c>
      <c r="G360" s="22" t="n"/>
      <c r="H360" s="22" t="n"/>
      <c r="I360" s="24" t="n"/>
      <c r="J360" s="22" t="n"/>
      <c r="K360" s="23" t="n"/>
      <c r="L360" s="72" t="n"/>
      <c r="M360" s="27">
        <f>IF(E360="","",SUMIFS(tbl_Finance[Ex GST],tbl_Finance[Job Number],E360&amp;""))</f>
        <v/>
      </c>
      <c r="N360" s="27">
        <f>IF(J360&lt;&gt;"Won","",IF(E360="",N(I360),I360-M360))</f>
        <v/>
      </c>
      <c r="O360" s="22" t="n"/>
    </row>
    <row r="361" ht="15" customHeight="1">
      <c r="A361" s="72" t="n"/>
      <c r="B361" s="22" t="n"/>
      <c r="C361" s="22" t="n"/>
      <c r="D361" s="22" t="n"/>
      <c r="E361" s="22" t="n"/>
      <c r="F361" s="26">
        <f>IF(E361="","",IF(COUNTIF(lst_Jobs,E361&amp;"")&gt;0,"OK","CHECK"))</f>
        <v/>
      </c>
      <c r="G361" s="22" t="n"/>
      <c r="H361" s="22" t="n"/>
      <c r="I361" s="24" t="n"/>
      <c r="J361" s="22" t="n"/>
      <c r="K361" s="23" t="n"/>
      <c r="L361" s="72" t="n"/>
      <c r="M361" s="27">
        <f>IF(E361="","",SUMIFS(tbl_Finance[Ex GST],tbl_Finance[Job Number],E361&amp;""))</f>
        <v/>
      </c>
      <c r="N361" s="27">
        <f>IF(J361&lt;&gt;"Won","",IF(E361="",N(I361),I361-M361))</f>
        <v/>
      </c>
      <c r="O361" s="22" t="n"/>
    </row>
    <row r="362" ht="15" customHeight="1">
      <c r="A362" s="72" t="n"/>
      <c r="B362" s="22" t="n"/>
      <c r="C362" s="22" t="n"/>
      <c r="D362" s="22" t="n"/>
      <c r="E362" s="22" t="n"/>
      <c r="F362" s="26">
        <f>IF(E362="","",IF(COUNTIF(lst_Jobs,E362&amp;"")&gt;0,"OK","CHECK"))</f>
        <v/>
      </c>
      <c r="G362" s="22" t="n"/>
      <c r="H362" s="22" t="n"/>
      <c r="I362" s="24" t="n"/>
      <c r="J362" s="22" t="n"/>
      <c r="K362" s="23" t="n"/>
      <c r="L362" s="72" t="n"/>
      <c r="M362" s="27">
        <f>IF(E362="","",SUMIFS(tbl_Finance[Ex GST],tbl_Finance[Job Number],E362&amp;""))</f>
        <v/>
      </c>
      <c r="N362" s="27">
        <f>IF(J362&lt;&gt;"Won","",IF(E362="",N(I362),I362-M362))</f>
        <v/>
      </c>
      <c r="O362" s="22" t="n"/>
    </row>
    <row r="363" ht="15" customHeight="1">
      <c r="A363" s="72" t="n"/>
      <c r="B363" s="22" t="n"/>
      <c r="C363" s="22" t="n"/>
      <c r="D363" s="22" t="n"/>
      <c r="E363" s="22" t="n"/>
      <c r="F363" s="26">
        <f>IF(E363="","",IF(COUNTIF(lst_Jobs,E363&amp;"")&gt;0,"OK","CHECK"))</f>
        <v/>
      </c>
      <c r="G363" s="22" t="n"/>
      <c r="H363" s="22" t="n"/>
      <c r="I363" s="24" t="n"/>
      <c r="J363" s="22" t="n"/>
      <c r="K363" s="23" t="n"/>
      <c r="L363" s="72" t="n"/>
      <c r="M363" s="27">
        <f>IF(E363="","",SUMIFS(tbl_Finance[Ex GST],tbl_Finance[Job Number],E363&amp;""))</f>
        <v/>
      </c>
      <c r="N363" s="27">
        <f>IF(J363&lt;&gt;"Won","",IF(E363="",N(I363),I363-M363))</f>
        <v/>
      </c>
      <c r="O363" s="22" t="n"/>
    </row>
    <row r="364" ht="15" customHeight="1">
      <c r="A364" s="72" t="n"/>
      <c r="B364" s="22" t="n"/>
      <c r="C364" s="22" t="n"/>
      <c r="D364" s="22" t="n"/>
      <c r="E364" s="22" t="n"/>
      <c r="F364" s="26">
        <f>IF(E364="","",IF(COUNTIF(lst_Jobs,E364&amp;"")&gt;0,"OK","CHECK"))</f>
        <v/>
      </c>
      <c r="G364" s="22" t="n"/>
      <c r="H364" s="22" t="n"/>
      <c r="I364" s="24" t="n"/>
      <c r="J364" s="22" t="n"/>
      <c r="K364" s="23" t="n"/>
      <c r="L364" s="72" t="n"/>
      <c r="M364" s="27">
        <f>IF(E364="","",SUMIFS(tbl_Finance[Ex GST],tbl_Finance[Job Number],E364&amp;""))</f>
        <v/>
      </c>
      <c r="N364" s="27">
        <f>IF(J364&lt;&gt;"Won","",IF(E364="",N(I364),I364-M364))</f>
        <v/>
      </c>
      <c r="O364" s="22" t="n"/>
    </row>
    <row r="365" ht="15" customHeight="1">
      <c r="A365" s="72" t="n"/>
      <c r="B365" s="22" t="n"/>
      <c r="C365" s="22" t="n"/>
      <c r="D365" s="22" t="n"/>
      <c r="E365" s="22" t="n"/>
      <c r="F365" s="26">
        <f>IF(E365="","",IF(COUNTIF(lst_Jobs,E365&amp;"")&gt;0,"OK","CHECK"))</f>
        <v/>
      </c>
      <c r="G365" s="22" t="n"/>
      <c r="H365" s="22" t="n"/>
      <c r="I365" s="24" t="n"/>
      <c r="J365" s="22" t="n"/>
      <c r="K365" s="23" t="n"/>
      <c r="L365" s="72" t="n"/>
      <c r="M365" s="27">
        <f>IF(E365="","",SUMIFS(tbl_Finance[Ex GST],tbl_Finance[Job Number],E365&amp;""))</f>
        <v/>
      </c>
      <c r="N365" s="27">
        <f>IF(J365&lt;&gt;"Won","",IF(E365="",N(I365),I365-M365))</f>
        <v/>
      </c>
      <c r="O365" s="22" t="n"/>
    </row>
    <row r="366" ht="15" customHeight="1">
      <c r="A366" s="72" t="n"/>
      <c r="B366" s="22" t="n"/>
      <c r="C366" s="22" t="n"/>
      <c r="D366" s="22" t="n"/>
      <c r="E366" s="22" t="n"/>
      <c r="F366" s="26">
        <f>IF(E366="","",IF(COUNTIF(lst_Jobs,E366&amp;"")&gt;0,"OK","CHECK"))</f>
        <v/>
      </c>
      <c r="G366" s="22" t="n"/>
      <c r="H366" s="22" t="n"/>
      <c r="I366" s="24" t="n"/>
      <c r="J366" s="22" t="n"/>
      <c r="K366" s="23" t="n"/>
      <c r="L366" s="72" t="n"/>
      <c r="M366" s="27">
        <f>IF(E366="","",SUMIFS(tbl_Finance[Ex GST],tbl_Finance[Job Number],E366&amp;""))</f>
        <v/>
      </c>
      <c r="N366" s="27">
        <f>IF(J366&lt;&gt;"Won","",IF(E366="",N(I366),I366-M366))</f>
        <v/>
      </c>
      <c r="O366" s="22" t="n"/>
    </row>
    <row r="367" ht="15" customHeight="1">
      <c r="A367" s="72" t="n"/>
      <c r="B367" s="22" t="n"/>
      <c r="C367" s="22" t="n"/>
      <c r="D367" s="22" t="n"/>
      <c r="E367" s="22" t="n"/>
      <c r="F367" s="26">
        <f>IF(E367="","",IF(COUNTIF(lst_Jobs,E367&amp;"")&gt;0,"OK","CHECK"))</f>
        <v/>
      </c>
      <c r="G367" s="22" t="n"/>
      <c r="H367" s="22" t="n"/>
      <c r="I367" s="24" t="n"/>
      <c r="J367" s="22" t="n"/>
      <c r="K367" s="23" t="n"/>
      <c r="L367" s="72" t="n"/>
      <c r="M367" s="27">
        <f>IF(E367="","",SUMIFS(tbl_Finance[Ex GST],tbl_Finance[Job Number],E367&amp;""))</f>
        <v/>
      </c>
      <c r="N367" s="27">
        <f>IF(J367&lt;&gt;"Won","",IF(E367="",N(I367),I367-M367))</f>
        <v/>
      </c>
      <c r="O367" s="22" t="n"/>
    </row>
    <row r="368" ht="15" customHeight="1">
      <c r="A368" s="72" t="n"/>
      <c r="B368" s="22" t="n"/>
      <c r="C368" s="22" t="n"/>
      <c r="D368" s="22" t="n"/>
      <c r="E368" s="22" t="n"/>
      <c r="F368" s="26">
        <f>IF(E368="","",IF(COUNTIF(lst_Jobs,E368&amp;"")&gt;0,"OK","CHECK"))</f>
        <v/>
      </c>
      <c r="G368" s="22" t="n"/>
      <c r="H368" s="22" t="n"/>
      <c r="I368" s="24" t="n"/>
      <c r="J368" s="22" t="n"/>
      <c r="K368" s="23" t="n"/>
      <c r="L368" s="72" t="n"/>
      <c r="M368" s="27">
        <f>IF(E368="","",SUMIFS(tbl_Finance[Ex GST],tbl_Finance[Job Number],E368&amp;""))</f>
        <v/>
      </c>
      <c r="N368" s="27">
        <f>IF(J368&lt;&gt;"Won","",IF(E368="",N(I368),I368-M368))</f>
        <v/>
      </c>
      <c r="O368" s="22" t="n"/>
    </row>
    <row r="369" ht="15" customHeight="1">
      <c r="A369" s="72" t="n"/>
      <c r="B369" s="22" t="n"/>
      <c r="C369" s="22" t="n"/>
      <c r="D369" s="22" t="n"/>
      <c r="E369" s="22" t="n"/>
      <c r="F369" s="26">
        <f>IF(E369="","",IF(COUNTIF(lst_Jobs,E369&amp;"")&gt;0,"OK","CHECK"))</f>
        <v/>
      </c>
      <c r="G369" s="22" t="n"/>
      <c r="H369" s="22" t="n"/>
      <c r="I369" s="24" t="n"/>
      <c r="J369" s="22" t="n"/>
      <c r="K369" s="23" t="n"/>
      <c r="L369" s="72" t="n"/>
      <c r="M369" s="27">
        <f>IF(E369="","",SUMIFS(tbl_Finance[Ex GST],tbl_Finance[Job Number],E369&amp;""))</f>
        <v/>
      </c>
      <c r="N369" s="27">
        <f>IF(J369&lt;&gt;"Won","",IF(E369="",N(I369),I369-M369))</f>
        <v/>
      </c>
      <c r="O369" s="22" t="n"/>
    </row>
    <row r="370" ht="15" customHeight="1">
      <c r="A370" s="72" t="n"/>
      <c r="B370" s="22" t="n"/>
      <c r="C370" s="22" t="n"/>
      <c r="D370" s="22" t="n"/>
      <c r="E370" s="22" t="n"/>
      <c r="F370" s="26">
        <f>IF(E370="","",IF(COUNTIF(lst_Jobs,E370&amp;"")&gt;0,"OK","CHECK"))</f>
        <v/>
      </c>
      <c r="G370" s="22" t="n"/>
      <c r="H370" s="22" t="n"/>
      <c r="I370" s="24" t="n"/>
      <c r="J370" s="22" t="n"/>
      <c r="K370" s="23" t="n"/>
      <c r="L370" s="72" t="n"/>
      <c r="M370" s="27">
        <f>IF(E370="","",SUMIFS(tbl_Finance[Ex GST],tbl_Finance[Job Number],E370&amp;""))</f>
        <v/>
      </c>
      <c r="N370" s="27">
        <f>IF(J370&lt;&gt;"Won","",IF(E370="",N(I370),I370-M370))</f>
        <v/>
      </c>
      <c r="O370" s="22" t="n"/>
    </row>
    <row r="371" ht="15" customHeight="1">
      <c r="A371" s="72" t="n"/>
      <c r="B371" s="22" t="n"/>
      <c r="C371" s="22" t="n"/>
      <c r="D371" s="22" t="n"/>
      <c r="E371" s="22" t="n"/>
      <c r="F371" s="26">
        <f>IF(E371="","",IF(COUNTIF(lst_Jobs,E371&amp;"")&gt;0,"OK","CHECK"))</f>
        <v/>
      </c>
      <c r="G371" s="22" t="n"/>
      <c r="H371" s="22" t="n"/>
      <c r="I371" s="24" t="n"/>
      <c r="J371" s="22" t="n"/>
      <c r="K371" s="23" t="n"/>
      <c r="L371" s="72" t="n"/>
      <c r="M371" s="27">
        <f>IF(E371="","",SUMIFS(tbl_Finance[Ex GST],tbl_Finance[Job Number],E371&amp;""))</f>
        <v/>
      </c>
      <c r="N371" s="27">
        <f>IF(J371&lt;&gt;"Won","",IF(E371="",N(I371),I371-M371))</f>
        <v/>
      </c>
      <c r="O371" s="22" t="n"/>
    </row>
    <row r="372" ht="15" customHeight="1">
      <c r="A372" s="72" t="n"/>
      <c r="B372" s="22" t="n"/>
      <c r="C372" s="22" t="n"/>
      <c r="D372" s="22" t="n"/>
      <c r="E372" s="22" t="n"/>
      <c r="F372" s="26">
        <f>IF(E372="","",IF(COUNTIF(lst_Jobs,E372&amp;"")&gt;0,"OK","CHECK"))</f>
        <v/>
      </c>
      <c r="G372" s="22" t="n"/>
      <c r="H372" s="22" t="n"/>
      <c r="I372" s="24" t="n"/>
      <c r="J372" s="22" t="n"/>
      <c r="K372" s="23" t="n"/>
      <c r="L372" s="72" t="n"/>
      <c r="M372" s="27">
        <f>IF(E372="","",SUMIFS(tbl_Finance[Ex GST],tbl_Finance[Job Number],E372&amp;""))</f>
        <v/>
      </c>
      <c r="N372" s="27">
        <f>IF(J372&lt;&gt;"Won","",IF(E372="",N(I372),I372-M372))</f>
        <v/>
      </c>
      <c r="O372" s="22" t="n"/>
    </row>
    <row r="373" ht="15" customHeight="1">
      <c r="A373" s="72" t="n"/>
      <c r="B373" s="22" t="n"/>
      <c r="C373" s="22" t="n"/>
      <c r="D373" s="22" t="n"/>
      <c r="E373" s="22" t="n"/>
      <c r="F373" s="26">
        <f>IF(E373="","",IF(COUNTIF(lst_Jobs,E373&amp;"")&gt;0,"OK","CHECK"))</f>
        <v/>
      </c>
      <c r="G373" s="22" t="n"/>
      <c r="H373" s="22" t="n"/>
      <c r="I373" s="24" t="n"/>
      <c r="J373" s="22" t="n"/>
      <c r="K373" s="23" t="n"/>
      <c r="L373" s="72" t="n"/>
      <c r="M373" s="27">
        <f>IF(E373="","",SUMIFS(tbl_Finance[Ex GST],tbl_Finance[Job Number],E373&amp;""))</f>
        <v/>
      </c>
      <c r="N373" s="27">
        <f>IF(J373&lt;&gt;"Won","",IF(E373="",N(I373),I373-M373))</f>
        <v/>
      </c>
      <c r="O373" s="22" t="n"/>
    </row>
    <row r="374" ht="15" customHeight="1">
      <c r="A374" s="72" t="n"/>
      <c r="B374" s="22" t="n"/>
      <c r="C374" s="22" t="n"/>
      <c r="D374" s="22" t="n"/>
      <c r="E374" s="22" t="n"/>
      <c r="F374" s="26">
        <f>IF(E374="","",IF(COUNTIF(lst_Jobs,E374&amp;"")&gt;0,"OK","CHECK"))</f>
        <v/>
      </c>
      <c r="G374" s="22" t="n"/>
      <c r="H374" s="22" t="n"/>
      <c r="I374" s="24" t="n"/>
      <c r="J374" s="22" t="n"/>
      <c r="K374" s="23" t="n"/>
      <c r="L374" s="72" t="n"/>
      <c r="M374" s="27">
        <f>IF(E374="","",SUMIFS(tbl_Finance[Ex GST],tbl_Finance[Job Number],E374&amp;""))</f>
        <v/>
      </c>
      <c r="N374" s="27">
        <f>IF(J374&lt;&gt;"Won","",IF(E374="",N(I374),I374-M374))</f>
        <v/>
      </c>
      <c r="O374" s="22" t="n"/>
    </row>
    <row r="375" ht="15" customHeight="1">
      <c r="A375" s="72" t="n"/>
      <c r="B375" s="22" t="n"/>
      <c r="C375" s="22" t="n"/>
      <c r="D375" s="22" t="n"/>
      <c r="E375" s="22" t="n"/>
      <c r="F375" s="26">
        <f>IF(E375="","",IF(COUNTIF(lst_Jobs,E375&amp;"")&gt;0,"OK","CHECK"))</f>
        <v/>
      </c>
      <c r="G375" s="22" t="n"/>
      <c r="H375" s="22" t="n"/>
      <c r="I375" s="24" t="n"/>
      <c r="J375" s="22" t="n"/>
      <c r="K375" s="23" t="n"/>
      <c r="L375" s="72" t="n"/>
      <c r="M375" s="27">
        <f>IF(E375="","",SUMIFS(tbl_Finance[Ex GST],tbl_Finance[Job Number],E375&amp;""))</f>
        <v/>
      </c>
      <c r="N375" s="27">
        <f>IF(J375&lt;&gt;"Won","",IF(E375="",N(I375),I375-M375))</f>
        <v/>
      </c>
      <c r="O375" s="22" t="n"/>
    </row>
    <row r="376" ht="15" customHeight="1">
      <c r="A376" s="72" t="n"/>
      <c r="B376" s="22" t="n"/>
      <c r="C376" s="22" t="n"/>
      <c r="D376" s="22" t="n"/>
      <c r="E376" s="22" t="n"/>
      <c r="F376" s="26">
        <f>IF(E376="","",IF(COUNTIF(lst_Jobs,E376&amp;"")&gt;0,"OK","CHECK"))</f>
        <v/>
      </c>
      <c r="G376" s="22" t="n"/>
      <c r="H376" s="22" t="n"/>
      <c r="I376" s="24" t="n"/>
      <c r="J376" s="22" t="n"/>
      <c r="K376" s="23" t="n"/>
      <c r="L376" s="72" t="n"/>
      <c r="M376" s="27">
        <f>IF(E376="","",SUMIFS(tbl_Finance[Ex GST],tbl_Finance[Job Number],E376&amp;""))</f>
        <v/>
      </c>
      <c r="N376" s="27">
        <f>IF(J376&lt;&gt;"Won","",IF(E376="",N(I376),I376-M376))</f>
        <v/>
      </c>
      <c r="O376" s="22" t="n"/>
    </row>
    <row r="377" ht="15" customHeight="1">
      <c r="A377" s="72" t="n"/>
      <c r="B377" s="22" t="n"/>
      <c r="C377" s="22" t="n"/>
      <c r="D377" s="22" t="n"/>
      <c r="E377" s="22" t="n"/>
      <c r="F377" s="26">
        <f>IF(E377="","",IF(COUNTIF(lst_Jobs,E377&amp;"")&gt;0,"OK","CHECK"))</f>
        <v/>
      </c>
      <c r="G377" s="22" t="n"/>
      <c r="H377" s="22" t="n"/>
      <c r="I377" s="24" t="n"/>
      <c r="J377" s="22" t="n"/>
      <c r="K377" s="23" t="n"/>
      <c r="L377" s="72" t="n"/>
      <c r="M377" s="27">
        <f>IF(E377="","",SUMIFS(tbl_Finance[Ex GST],tbl_Finance[Job Number],E377&amp;""))</f>
        <v/>
      </c>
      <c r="N377" s="27">
        <f>IF(J377&lt;&gt;"Won","",IF(E377="",N(I377),I377-M377))</f>
        <v/>
      </c>
      <c r="O377" s="22" t="n"/>
    </row>
    <row r="378" ht="15" customHeight="1">
      <c r="A378" s="72" t="n"/>
      <c r="B378" s="22" t="n"/>
      <c r="C378" s="22" t="n"/>
      <c r="D378" s="22" t="n"/>
      <c r="E378" s="22" t="n"/>
      <c r="F378" s="26">
        <f>IF(E378="","",IF(COUNTIF(lst_Jobs,E378&amp;"")&gt;0,"OK","CHECK"))</f>
        <v/>
      </c>
      <c r="G378" s="22" t="n"/>
      <c r="H378" s="22" t="n"/>
      <c r="I378" s="24" t="n"/>
      <c r="J378" s="22" t="n"/>
      <c r="K378" s="23" t="n"/>
      <c r="L378" s="72" t="n"/>
      <c r="M378" s="27">
        <f>IF(E378="","",SUMIFS(tbl_Finance[Ex GST],tbl_Finance[Job Number],E378&amp;""))</f>
        <v/>
      </c>
      <c r="N378" s="27">
        <f>IF(J378&lt;&gt;"Won","",IF(E378="",N(I378),I378-M378))</f>
        <v/>
      </c>
      <c r="O378" s="22" t="n"/>
    </row>
    <row r="379" ht="15" customHeight="1">
      <c r="A379" s="72" t="n"/>
      <c r="B379" s="22" t="n"/>
      <c r="C379" s="22" t="n"/>
      <c r="D379" s="22" t="n"/>
      <c r="E379" s="22" t="n"/>
      <c r="F379" s="26">
        <f>IF(E379="","",IF(COUNTIF(lst_Jobs,E379&amp;"")&gt;0,"OK","CHECK"))</f>
        <v/>
      </c>
      <c r="G379" s="22" t="n"/>
      <c r="H379" s="22" t="n"/>
      <c r="I379" s="24" t="n"/>
      <c r="J379" s="22" t="n"/>
      <c r="K379" s="23" t="n"/>
      <c r="L379" s="72" t="n"/>
      <c r="M379" s="27">
        <f>IF(E379="","",SUMIFS(tbl_Finance[Ex GST],tbl_Finance[Job Number],E379&amp;""))</f>
        <v/>
      </c>
      <c r="N379" s="27">
        <f>IF(J379&lt;&gt;"Won","",IF(E379="",N(I379),I379-M379))</f>
        <v/>
      </c>
      <c r="O379" s="22" t="n"/>
    </row>
    <row r="380" ht="15" customHeight="1">
      <c r="A380" s="72" t="n"/>
      <c r="B380" s="22" t="n"/>
      <c r="C380" s="22" t="n"/>
      <c r="D380" s="22" t="n"/>
      <c r="E380" s="22" t="n"/>
      <c r="F380" s="26">
        <f>IF(E380="","",IF(COUNTIF(lst_Jobs,E380&amp;"")&gt;0,"OK","CHECK"))</f>
        <v/>
      </c>
      <c r="G380" s="22" t="n"/>
      <c r="H380" s="22" t="n"/>
      <c r="I380" s="24" t="n"/>
      <c r="J380" s="22" t="n"/>
      <c r="K380" s="23" t="n"/>
      <c r="L380" s="72" t="n"/>
      <c r="M380" s="27">
        <f>IF(E380="","",SUMIFS(tbl_Finance[Ex GST],tbl_Finance[Job Number],E380&amp;""))</f>
        <v/>
      </c>
      <c r="N380" s="27">
        <f>IF(J380&lt;&gt;"Won","",IF(E380="",N(I380),I380-M380))</f>
        <v/>
      </c>
      <c r="O380" s="22" t="n"/>
    </row>
    <row r="381" ht="15" customHeight="1">
      <c r="A381" s="72" t="n"/>
      <c r="B381" s="22" t="n"/>
      <c r="C381" s="22" t="n"/>
      <c r="D381" s="22" t="n"/>
      <c r="E381" s="22" t="n"/>
      <c r="F381" s="26">
        <f>IF(E381="","",IF(COUNTIF(lst_Jobs,E381&amp;"")&gt;0,"OK","CHECK"))</f>
        <v/>
      </c>
      <c r="G381" s="22" t="n"/>
      <c r="H381" s="22" t="n"/>
      <c r="I381" s="24" t="n"/>
      <c r="J381" s="22" t="n"/>
      <c r="K381" s="23" t="n"/>
      <c r="L381" s="72" t="n"/>
      <c r="M381" s="27">
        <f>IF(E381="","",SUMIFS(tbl_Finance[Ex GST],tbl_Finance[Job Number],E381&amp;""))</f>
        <v/>
      </c>
      <c r="N381" s="27">
        <f>IF(J381&lt;&gt;"Won","",IF(E381="",N(I381),I381-M381))</f>
        <v/>
      </c>
      <c r="O381" s="22" t="n"/>
    </row>
    <row r="382" ht="15" customHeight="1">
      <c r="A382" s="72" t="n"/>
      <c r="B382" s="22" t="n"/>
      <c r="C382" s="22" t="n"/>
      <c r="D382" s="22" t="n"/>
      <c r="E382" s="22" t="n"/>
      <c r="F382" s="26">
        <f>IF(E382="","",IF(COUNTIF(lst_Jobs,E382&amp;"")&gt;0,"OK","CHECK"))</f>
        <v/>
      </c>
      <c r="G382" s="22" t="n"/>
      <c r="H382" s="22" t="n"/>
      <c r="I382" s="24" t="n"/>
      <c r="J382" s="22" t="n"/>
      <c r="K382" s="23" t="n"/>
      <c r="L382" s="72" t="n"/>
      <c r="M382" s="27">
        <f>IF(E382="","",SUMIFS(tbl_Finance[Ex GST],tbl_Finance[Job Number],E382&amp;""))</f>
        <v/>
      </c>
      <c r="N382" s="27">
        <f>IF(J382&lt;&gt;"Won","",IF(E382="",N(I382),I382-M382))</f>
        <v/>
      </c>
      <c r="O382" s="22" t="n"/>
    </row>
    <row r="383" ht="15" customHeight="1">
      <c r="A383" s="72" t="n"/>
      <c r="B383" s="22" t="n"/>
      <c r="C383" s="22" t="n"/>
      <c r="D383" s="22" t="n"/>
      <c r="E383" s="22" t="n"/>
      <c r="F383" s="26">
        <f>IF(E383="","",IF(COUNTIF(lst_Jobs,E383&amp;"")&gt;0,"OK","CHECK"))</f>
        <v/>
      </c>
      <c r="G383" s="22" t="n"/>
      <c r="H383" s="22" t="n"/>
      <c r="I383" s="24" t="n"/>
      <c r="J383" s="22" t="n"/>
      <c r="K383" s="23" t="n"/>
      <c r="L383" s="72" t="n"/>
      <c r="M383" s="27">
        <f>IF(E383="","",SUMIFS(tbl_Finance[Ex GST],tbl_Finance[Job Number],E383&amp;""))</f>
        <v/>
      </c>
      <c r="N383" s="27">
        <f>IF(J383&lt;&gt;"Won","",IF(E383="",N(I383),I383-M383))</f>
        <v/>
      </c>
      <c r="O383" s="22" t="n"/>
    </row>
    <row r="384" ht="15" customHeight="1">
      <c r="A384" s="72" t="n"/>
      <c r="B384" s="22" t="n"/>
      <c r="C384" s="22" t="n"/>
      <c r="D384" s="22" t="n"/>
      <c r="E384" s="22" t="n"/>
      <c r="F384" s="26">
        <f>IF(E384="","",IF(COUNTIF(lst_Jobs,E384&amp;"")&gt;0,"OK","CHECK"))</f>
        <v/>
      </c>
      <c r="G384" s="22" t="n"/>
      <c r="H384" s="22" t="n"/>
      <c r="I384" s="24" t="n"/>
      <c r="J384" s="22" t="n"/>
      <c r="K384" s="23" t="n"/>
      <c r="L384" s="72" t="n"/>
      <c r="M384" s="27">
        <f>IF(E384="","",SUMIFS(tbl_Finance[Ex GST],tbl_Finance[Job Number],E384&amp;""))</f>
        <v/>
      </c>
      <c r="N384" s="27">
        <f>IF(J384&lt;&gt;"Won","",IF(E384="",N(I384),I384-M384))</f>
        <v/>
      </c>
      <c r="O384" s="22" t="n"/>
    </row>
    <row r="385" ht="15" customHeight="1">
      <c r="A385" s="72" t="n"/>
      <c r="B385" s="22" t="n"/>
      <c r="C385" s="22" t="n"/>
      <c r="D385" s="22" t="n"/>
      <c r="E385" s="22" t="n"/>
      <c r="F385" s="26">
        <f>IF(E385="","",IF(COUNTIF(lst_Jobs,E385&amp;"")&gt;0,"OK","CHECK"))</f>
        <v/>
      </c>
      <c r="G385" s="22" t="n"/>
      <c r="H385" s="22" t="n"/>
      <c r="I385" s="24" t="n"/>
      <c r="J385" s="22" t="n"/>
      <c r="K385" s="23" t="n"/>
      <c r="L385" s="72" t="n"/>
      <c r="M385" s="27">
        <f>IF(E385="","",SUMIFS(tbl_Finance[Ex GST],tbl_Finance[Job Number],E385&amp;""))</f>
        <v/>
      </c>
      <c r="N385" s="27">
        <f>IF(J385&lt;&gt;"Won","",IF(E385="",N(I385),I385-M385))</f>
        <v/>
      </c>
      <c r="O385" s="22" t="n"/>
    </row>
    <row r="386" ht="15" customHeight="1">
      <c r="A386" s="72" t="n"/>
      <c r="B386" s="22" t="n"/>
      <c r="C386" s="22" t="n"/>
      <c r="D386" s="22" t="n"/>
      <c r="E386" s="22" t="n"/>
      <c r="F386" s="26">
        <f>IF(E386="","",IF(COUNTIF(lst_Jobs,E386&amp;"")&gt;0,"OK","CHECK"))</f>
        <v/>
      </c>
      <c r="G386" s="22" t="n"/>
      <c r="H386" s="22" t="n"/>
      <c r="I386" s="24" t="n"/>
      <c r="J386" s="22" t="n"/>
      <c r="K386" s="23" t="n"/>
      <c r="L386" s="72" t="n"/>
      <c r="M386" s="27">
        <f>IF(E386="","",SUMIFS(tbl_Finance[Ex GST],tbl_Finance[Job Number],E386&amp;""))</f>
        <v/>
      </c>
      <c r="N386" s="27">
        <f>IF(J386&lt;&gt;"Won","",IF(E386="",N(I386),I386-M386))</f>
        <v/>
      </c>
      <c r="O386" s="22" t="n"/>
    </row>
    <row r="387" ht="15" customHeight="1">
      <c r="A387" s="72" t="n"/>
      <c r="B387" s="22" t="n"/>
      <c r="C387" s="22" t="n"/>
      <c r="D387" s="22" t="n"/>
      <c r="E387" s="22" t="n"/>
      <c r="F387" s="26">
        <f>IF(E387="","",IF(COUNTIF(lst_Jobs,E387&amp;"")&gt;0,"OK","CHECK"))</f>
        <v/>
      </c>
      <c r="G387" s="22" t="n"/>
      <c r="H387" s="22" t="n"/>
      <c r="I387" s="24" t="n"/>
      <c r="J387" s="22" t="n"/>
      <c r="K387" s="23" t="n"/>
      <c r="L387" s="72" t="n"/>
      <c r="M387" s="27">
        <f>IF(E387="","",SUMIFS(tbl_Finance[Ex GST],tbl_Finance[Job Number],E387&amp;""))</f>
        <v/>
      </c>
      <c r="N387" s="27">
        <f>IF(J387&lt;&gt;"Won","",IF(E387="",N(I387),I387-M387))</f>
        <v/>
      </c>
      <c r="O387" s="22" t="n"/>
    </row>
    <row r="388" ht="15" customHeight="1">
      <c r="A388" s="72" t="n"/>
      <c r="B388" s="22" t="n"/>
      <c r="C388" s="22" t="n"/>
      <c r="D388" s="22" t="n"/>
      <c r="E388" s="22" t="n"/>
      <c r="F388" s="26">
        <f>IF(E388="","",IF(COUNTIF(lst_Jobs,E388&amp;"")&gt;0,"OK","CHECK"))</f>
        <v/>
      </c>
      <c r="G388" s="22" t="n"/>
      <c r="H388" s="22" t="n"/>
      <c r="I388" s="24" t="n"/>
      <c r="J388" s="22" t="n"/>
      <c r="K388" s="23" t="n"/>
      <c r="L388" s="72" t="n"/>
      <c r="M388" s="27">
        <f>IF(E388="","",SUMIFS(tbl_Finance[Ex GST],tbl_Finance[Job Number],E388&amp;""))</f>
        <v/>
      </c>
      <c r="N388" s="27">
        <f>IF(J388&lt;&gt;"Won","",IF(E388="",N(I388),I388-M388))</f>
        <v/>
      </c>
      <c r="O388" s="22" t="n"/>
    </row>
    <row r="389" ht="15" customHeight="1">
      <c r="A389" s="72" t="n"/>
      <c r="B389" s="22" t="n"/>
      <c r="C389" s="22" t="n"/>
      <c r="D389" s="22" t="n"/>
      <c r="E389" s="22" t="n"/>
      <c r="F389" s="26">
        <f>IF(E389="","",IF(COUNTIF(lst_Jobs,E389&amp;"")&gt;0,"OK","CHECK"))</f>
        <v/>
      </c>
      <c r="G389" s="22" t="n"/>
      <c r="H389" s="22" t="n"/>
      <c r="I389" s="24" t="n"/>
      <c r="J389" s="22" t="n"/>
      <c r="K389" s="23" t="n"/>
      <c r="L389" s="72" t="n"/>
      <c r="M389" s="27">
        <f>IF(E389="","",SUMIFS(tbl_Finance[Ex GST],tbl_Finance[Job Number],E389&amp;""))</f>
        <v/>
      </c>
      <c r="N389" s="27">
        <f>IF(J389&lt;&gt;"Won","",IF(E389="",N(I389),I389-M389))</f>
        <v/>
      </c>
      <c r="O389" s="22" t="n"/>
    </row>
    <row r="390" ht="15" customHeight="1">
      <c r="A390" s="72" t="n"/>
      <c r="B390" s="22" t="n"/>
      <c r="C390" s="22" t="n"/>
      <c r="D390" s="22" t="n"/>
      <c r="E390" s="22" t="n"/>
      <c r="F390" s="26">
        <f>IF(E390="","",IF(COUNTIF(lst_Jobs,E390&amp;"")&gt;0,"OK","CHECK"))</f>
        <v/>
      </c>
      <c r="G390" s="22" t="n"/>
      <c r="H390" s="22" t="n"/>
      <c r="I390" s="24" t="n"/>
      <c r="J390" s="22" t="n"/>
      <c r="K390" s="23" t="n"/>
      <c r="L390" s="72" t="n"/>
      <c r="M390" s="27">
        <f>IF(E390="","",SUMIFS(tbl_Finance[Ex GST],tbl_Finance[Job Number],E390&amp;""))</f>
        <v/>
      </c>
      <c r="N390" s="27">
        <f>IF(J390&lt;&gt;"Won","",IF(E390="",N(I390),I390-M390))</f>
        <v/>
      </c>
      <c r="O390" s="22" t="n"/>
    </row>
    <row r="391" ht="15" customHeight="1">
      <c r="A391" s="72" t="n"/>
      <c r="B391" s="22" t="n"/>
      <c r="C391" s="22" t="n"/>
      <c r="D391" s="22" t="n"/>
      <c r="E391" s="22" t="n"/>
      <c r="F391" s="26">
        <f>IF(E391="","",IF(COUNTIF(lst_Jobs,E391&amp;"")&gt;0,"OK","CHECK"))</f>
        <v/>
      </c>
      <c r="G391" s="22" t="n"/>
      <c r="H391" s="22" t="n"/>
      <c r="I391" s="24" t="n"/>
      <c r="J391" s="22" t="n"/>
      <c r="K391" s="23" t="n"/>
      <c r="L391" s="72" t="n"/>
      <c r="M391" s="27">
        <f>IF(E391="","",SUMIFS(tbl_Finance[Ex GST],tbl_Finance[Job Number],E391&amp;""))</f>
        <v/>
      </c>
      <c r="N391" s="27">
        <f>IF(J391&lt;&gt;"Won","",IF(E391="",N(I391),I391-M391))</f>
        <v/>
      </c>
      <c r="O391" s="22" t="n"/>
    </row>
    <row r="392" ht="15" customHeight="1">
      <c r="A392" s="72" t="n"/>
      <c r="B392" s="22" t="n"/>
      <c r="C392" s="22" t="n"/>
      <c r="D392" s="22" t="n"/>
      <c r="E392" s="22" t="n"/>
      <c r="F392" s="26">
        <f>IF(E392="","",IF(COUNTIF(lst_Jobs,E392&amp;"")&gt;0,"OK","CHECK"))</f>
        <v/>
      </c>
      <c r="G392" s="22" t="n"/>
      <c r="H392" s="22" t="n"/>
      <c r="I392" s="24" t="n"/>
      <c r="J392" s="22" t="n"/>
      <c r="K392" s="23" t="n"/>
      <c r="L392" s="72" t="n"/>
      <c r="M392" s="27">
        <f>IF(E392="","",SUMIFS(tbl_Finance[Ex GST],tbl_Finance[Job Number],E392&amp;""))</f>
        <v/>
      </c>
      <c r="N392" s="27">
        <f>IF(J392&lt;&gt;"Won","",IF(E392="",N(I392),I392-M392))</f>
        <v/>
      </c>
      <c r="O392" s="22" t="n"/>
    </row>
    <row r="393" ht="15" customHeight="1">
      <c r="A393" s="72" t="n"/>
      <c r="B393" s="22" t="n"/>
      <c r="C393" s="22" t="n"/>
      <c r="D393" s="22" t="n"/>
      <c r="E393" s="22" t="n"/>
      <c r="F393" s="26">
        <f>IF(E393="","",IF(COUNTIF(lst_Jobs,E393&amp;"")&gt;0,"OK","CHECK"))</f>
        <v/>
      </c>
      <c r="G393" s="22" t="n"/>
      <c r="H393" s="22" t="n"/>
      <c r="I393" s="24" t="n"/>
      <c r="J393" s="22" t="n"/>
      <c r="K393" s="23" t="n"/>
      <c r="L393" s="72" t="n"/>
      <c r="M393" s="27">
        <f>IF(E393="","",SUMIFS(tbl_Finance[Ex GST],tbl_Finance[Job Number],E393&amp;""))</f>
        <v/>
      </c>
      <c r="N393" s="27">
        <f>IF(J393&lt;&gt;"Won","",IF(E393="",N(I393),I393-M393))</f>
        <v/>
      </c>
      <c r="O393" s="22" t="n"/>
    </row>
    <row r="394" ht="15" customHeight="1">
      <c r="A394" s="72" t="n"/>
      <c r="B394" s="22" t="n"/>
      <c r="C394" s="22" t="n"/>
      <c r="D394" s="22" t="n"/>
      <c r="E394" s="22" t="n"/>
      <c r="F394" s="26">
        <f>IF(E394="","",IF(COUNTIF(lst_Jobs,E394&amp;"")&gt;0,"OK","CHECK"))</f>
        <v/>
      </c>
      <c r="G394" s="22" t="n"/>
      <c r="H394" s="22" t="n"/>
      <c r="I394" s="24" t="n"/>
      <c r="J394" s="22" t="n"/>
      <c r="K394" s="23" t="n"/>
      <c r="L394" s="72" t="n"/>
      <c r="M394" s="27">
        <f>IF(E394="","",SUMIFS(tbl_Finance[Ex GST],tbl_Finance[Job Number],E394&amp;""))</f>
        <v/>
      </c>
      <c r="N394" s="27">
        <f>IF(J394&lt;&gt;"Won","",IF(E394="",N(I394),I394-M394))</f>
        <v/>
      </c>
      <c r="O394" s="22" t="n"/>
    </row>
    <row r="395" ht="15" customHeight="1">
      <c r="A395" s="72" t="n"/>
      <c r="B395" s="22" t="n"/>
      <c r="C395" s="22" t="n"/>
      <c r="D395" s="22" t="n"/>
      <c r="E395" s="22" t="n"/>
      <c r="F395" s="26">
        <f>IF(E395="","",IF(COUNTIF(lst_Jobs,E395&amp;"")&gt;0,"OK","CHECK"))</f>
        <v/>
      </c>
      <c r="G395" s="22" t="n"/>
      <c r="H395" s="22" t="n"/>
      <c r="I395" s="24" t="n"/>
      <c r="J395" s="22" t="n"/>
      <c r="K395" s="23" t="n"/>
      <c r="L395" s="72" t="n"/>
      <c r="M395" s="27">
        <f>IF(E395="","",SUMIFS(tbl_Finance[Ex GST],tbl_Finance[Job Number],E395&amp;""))</f>
        <v/>
      </c>
      <c r="N395" s="27">
        <f>IF(J395&lt;&gt;"Won","",IF(E395="",N(I395),I395-M395))</f>
        <v/>
      </c>
      <c r="O395" s="22" t="n"/>
    </row>
    <row r="396" ht="15" customHeight="1">
      <c r="A396" s="72" t="n"/>
      <c r="B396" s="22" t="n"/>
      <c r="C396" s="22" t="n"/>
      <c r="D396" s="22" t="n"/>
      <c r="E396" s="22" t="n"/>
      <c r="F396" s="26">
        <f>IF(E396="","",IF(COUNTIF(lst_Jobs,E396&amp;"")&gt;0,"OK","CHECK"))</f>
        <v/>
      </c>
      <c r="G396" s="22" t="n"/>
      <c r="H396" s="22" t="n"/>
      <c r="I396" s="24" t="n"/>
      <c r="J396" s="22" t="n"/>
      <c r="K396" s="23" t="n"/>
      <c r="L396" s="72" t="n"/>
      <c r="M396" s="27">
        <f>IF(E396="","",SUMIFS(tbl_Finance[Ex GST],tbl_Finance[Job Number],E396&amp;""))</f>
        <v/>
      </c>
      <c r="N396" s="27">
        <f>IF(J396&lt;&gt;"Won","",IF(E396="",N(I396),I396-M396))</f>
        <v/>
      </c>
      <c r="O396" s="22" t="n"/>
    </row>
    <row r="397" ht="15" customHeight="1">
      <c r="A397" s="72" t="n"/>
      <c r="B397" s="22" t="n"/>
      <c r="C397" s="22" t="n"/>
      <c r="D397" s="22" t="n"/>
      <c r="E397" s="22" t="n"/>
      <c r="F397" s="26">
        <f>IF(E397="","",IF(COUNTIF(lst_Jobs,E397&amp;"")&gt;0,"OK","CHECK"))</f>
        <v/>
      </c>
      <c r="G397" s="22" t="n"/>
      <c r="H397" s="22" t="n"/>
      <c r="I397" s="24" t="n"/>
      <c r="J397" s="22" t="n"/>
      <c r="K397" s="23" t="n"/>
      <c r="L397" s="72" t="n"/>
      <c r="M397" s="27">
        <f>IF(E397="","",SUMIFS(tbl_Finance[Ex GST],tbl_Finance[Job Number],E397&amp;""))</f>
        <v/>
      </c>
      <c r="N397" s="27">
        <f>IF(J397&lt;&gt;"Won","",IF(E397="",N(I397),I397-M397))</f>
        <v/>
      </c>
      <c r="O397" s="22" t="n"/>
    </row>
    <row r="398" ht="15" customHeight="1">
      <c r="A398" s="72" t="n"/>
      <c r="B398" s="22" t="n"/>
      <c r="C398" s="22" t="n"/>
      <c r="D398" s="22" t="n"/>
      <c r="E398" s="22" t="n"/>
      <c r="F398" s="26">
        <f>IF(E398="","",IF(COUNTIF(lst_Jobs,E398&amp;"")&gt;0,"OK","CHECK"))</f>
        <v/>
      </c>
      <c r="G398" s="22" t="n"/>
      <c r="H398" s="22" t="n"/>
      <c r="I398" s="24" t="n"/>
      <c r="J398" s="22" t="n"/>
      <c r="K398" s="23" t="n"/>
      <c r="L398" s="72" t="n"/>
      <c r="M398" s="27">
        <f>IF(E398="","",SUMIFS(tbl_Finance[Ex GST],tbl_Finance[Job Number],E398&amp;""))</f>
        <v/>
      </c>
      <c r="N398" s="27">
        <f>IF(J398&lt;&gt;"Won","",IF(E398="",N(I398),I398-M398))</f>
        <v/>
      </c>
      <c r="O398" s="22" t="n"/>
    </row>
    <row r="399" ht="15" customHeight="1">
      <c r="A399" s="72" t="n"/>
      <c r="B399" s="22" t="n"/>
      <c r="C399" s="22" t="n"/>
      <c r="D399" s="22" t="n"/>
      <c r="E399" s="22" t="n"/>
      <c r="F399" s="26">
        <f>IF(E399="","",IF(COUNTIF(lst_Jobs,E399&amp;"")&gt;0,"OK","CHECK"))</f>
        <v/>
      </c>
      <c r="G399" s="22" t="n"/>
      <c r="H399" s="22" t="n"/>
      <c r="I399" s="24" t="n"/>
      <c r="J399" s="22" t="n"/>
      <c r="K399" s="23" t="n"/>
      <c r="L399" s="72" t="n"/>
      <c r="M399" s="27">
        <f>IF(E399="","",SUMIFS(tbl_Finance[Ex GST],tbl_Finance[Job Number],E399&amp;""))</f>
        <v/>
      </c>
      <c r="N399" s="27">
        <f>IF(J399&lt;&gt;"Won","",IF(E399="",N(I399),I399-M399))</f>
        <v/>
      </c>
      <c r="O399" s="22" t="n"/>
    </row>
    <row r="400" ht="15" customHeight="1">
      <c r="A400" s="72" t="n"/>
      <c r="B400" s="22" t="n"/>
      <c r="C400" s="22" t="n"/>
      <c r="D400" s="22" t="n"/>
      <c r="E400" s="22" t="n"/>
      <c r="F400" s="26">
        <f>IF(E400="","",IF(COUNTIF(lst_Jobs,E400&amp;"")&gt;0,"OK","CHECK"))</f>
        <v/>
      </c>
      <c r="G400" s="22" t="n"/>
      <c r="H400" s="22" t="n"/>
      <c r="I400" s="24" t="n"/>
      <c r="J400" s="22" t="n"/>
      <c r="K400" s="23" t="n"/>
      <c r="L400" s="72" t="n"/>
      <c r="M400" s="27">
        <f>IF(E400="","",SUMIFS(tbl_Finance[Ex GST],tbl_Finance[Job Number],E400&amp;""))</f>
        <v/>
      </c>
      <c r="N400" s="27">
        <f>IF(J400&lt;&gt;"Won","",IF(E400="",N(I400),I400-M400))</f>
        <v/>
      </c>
      <c r="O400" s="22" t="n"/>
    </row>
    <row r="401" ht="15" customHeight="1">
      <c r="A401" s="72" t="n"/>
      <c r="B401" s="22" t="n"/>
      <c r="C401" s="22" t="n"/>
      <c r="D401" s="22" t="n"/>
      <c r="E401" s="22" t="n"/>
      <c r="F401" s="26">
        <f>IF(E401="","",IF(COUNTIF(lst_Jobs,E401&amp;"")&gt;0,"OK","CHECK"))</f>
        <v/>
      </c>
      <c r="G401" s="22" t="n"/>
      <c r="H401" s="22" t="n"/>
      <c r="I401" s="24" t="n"/>
      <c r="J401" s="22" t="n"/>
      <c r="K401" s="23" t="n"/>
      <c r="L401" s="72" t="n"/>
      <c r="M401" s="27">
        <f>IF(E401="","",SUMIFS(tbl_Finance[Ex GST],tbl_Finance[Job Number],E401&amp;""))</f>
        <v/>
      </c>
      <c r="N401" s="27">
        <f>IF(J401&lt;&gt;"Won","",IF(E401="",N(I401),I401-M401))</f>
        <v/>
      </c>
      <c r="O401" s="22" t="n"/>
    </row>
    <row r="402" ht="15" customHeight="1">
      <c r="A402" s="72" t="n"/>
      <c r="B402" s="22" t="n"/>
      <c r="C402" s="22" t="n"/>
      <c r="D402" s="22" t="n"/>
      <c r="E402" s="22" t="n"/>
      <c r="F402" s="26">
        <f>IF(E402="","",IF(COUNTIF(lst_Jobs,E402&amp;"")&gt;0,"OK","CHECK"))</f>
        <v/>
      </c>
      <c r="G402" s="22" t="n"/>
      <c r="H402" s="22" t="n"/>
      <c r="I402" s="24" t="n"/>
      <c r="J402" s="22" t="n"/>
      <c r="K402" s="23" t="n"/>
      <c r="L402" s="72" t="n"/>
      <c r="M402" s="27">
        <f>IF(E402="","",SUMIFS(tbl_Finance[Ex GST],tbl_Finance[Job Number],E402&amp;""))</f>
        <v/>
      </c>
      <c r="N402" s="27">
        <f>IF(J402&lt;&gt;"Won","",IF(E402="",N(I402),I402-M402))</f>
        <v/>
      </c>
      <c r="O402" s="22" t="n"/>
    </row>
    <row r="403" ht="15" customHeight="1">
      <c r="A403" s="72" t="n"/>
      <c r="B403" s="22" t="n"/>
      <c r="C403" s="22" t="n"/>
      <c r="D403" s="22" t="n"/>
      <c r="E403" s="22" t="n"/>
      <c r="F403" s="26">
        <f>IF(E403="","",IF(COUNTIF(lst_Jobs,E403&amp;"")&gt;0,"OK","CHECK"))</f>
        <v/>
      </c>
      <c r="G403" s="22" t="n"/>
      <c r="H403" s="22" t="n"/>
      <c r="I403" s="24" t="n"/>
      <c r="J403" s="22" t="n"/>
      <c r="K403" s="23" t="n"/>
      <c r="L403" s="72" t="n"/>
      <c r="M403" s="27">
        <f>IF(E403="","",SUMIFS(tbl_Finance[Ex GST],tbl_Finance[Job Number],E403&amp;""))</f>
        <v/>
      </c>
      <c r="N403" s="27">
        <f>IF(J403&lt;&gt;"Won","",IF(E403="",N(I403),I403-M403))</f>
        <v/>
      </c>
      <c r="O403" s="22" t="n"/>
    </row>
    <row r="404" ht="15" customHeight="1">
      <c r="A404" s="72" t="n"/>
      <c r="B404" s="22" t="n"/>
      <c r="C404" s="22" t="n"/>
      <c r="D404" s="22" t="n"/>
      <c r="E404" s="22" t="n"/>
      <c r="F404" s="26">
        <f>IF(E404="","",IF(COUNTIF(lst_Jobs,E404&amp;"")&gt;0,"OK","CHECK"))</f>
        <v/>
      </c>
      <c r="G404" s="22" t="n"/>
      <c r="H404" s="22" t="n"/>
      <c r="I404" s="24" t="n"/>
      <c r="J404" s="22" t="n"/>
      <c r="K404" s="23" t="n"/>
      <c r="L404" s="72" t="n"/>
      <c r="M404" s="27">
        <f>IF(E404="","",SUMIFS(tbl_Finance[Ex GST],tbl_Finance[Job Number],E404&amp;""))</f>
        <v/>
      </c>
      <c r="N404" s="27">
        <f>IF(J404&lt;&gt;"Won","",IF(E404="",N(I404),I404-M404))</f>
        <v/>
      </c>
      <c r="O404" s="22" t="n"/>
    </row>
    <row r="405" ht="15" customHeight="1">
      <c r="A405" s="72" t="n"/>
      <c r="B405" s="22" t="n"/>
      <c r="C405" s="22" t="n"/>
      <c r="D405" s="22" t="n"/>
      <c r="E405" s="22" t="n"/>
      <c r="F405" s="26">
        <f>IF(E405="","",IF(COUNTIF(lst_Jobs,E405&amp;"")&gt;0,"OK","CHECK"))</f>
        <v/>
      </c>
      <c r="G405" s="22" t="n"/>
      <c r="H405" s="22" t="n"/>
      <c r="I405" s="24" t="n"/>
      <c r="J405" s="22" t="n"/>
      <c r="K405" s="23" t="n"/>
      <c r="L405" s="72" t="n"/>
      <c r="M405" s="27">
        <f>IF(E405="","",SUMIFS(tbl_Finance[Ex GST],tbl_Finance[Job Number],E405&amp;""))</f>
        <v/>
      </c>
      <c r="N405" s="27">
        <f>IF(J405&lt;&gt;"Won","",IF(E405="",N(I405),I405-M405))</f>
        <v/>
      </c>
      <c r="O405" s="22" t="n"/>
    </row>
    <row r="406" ht="15" customHeight="1">
      <c r="A406" s="72" t="n"/>
      <c r="B406" s="22" t="n"/>
      <c r="C406" s="22" t="n"/>
      <c r="D406" s="22" t="n"/>
      <c r="E406" s="22" t="n"/>
      <c r="F406" s="26">
        <f>IF(E406="","",IF(COUNTIF(lst_Jobs,E406&amp;"")&gt;0,"OK","CHECK"))</f>
        <v/>
      </c>
      <c r="G406" s="22" t="n"/>
      <c r="H406" s="22" t="n"/>
      <c r="I406" s="24" t="n"/>
      <c r="J406" s="22" t="n"/>
      <c r="K406" s="23" t="n"/>
      <c r="L406" s="72" t="n"/>
      <c r="M406" s="27">
        <f>IF(E406="","",SUMIFS(tbl_Finance[Ex GST],tbl_Finance[Job Number],E406&amp;""))</f>
        <v/>
      </c>
      <c r="N406" s="27">
        <f>IF(J406&lt;&gt;"Won","",IF(E406="",N(I406),I406-M406))</f>
        <v/>
      </c>
      <c r="O406" s="22" t="n"/>
    </row>
    <row r="407" ht="15" customHeight="1">
      <c r="A407" s="72" t="n"/>
      <c r="B407" s="22" t="n"/>
      <c r="C407" s="22" t="n"/>
      <c r="D407" s="22" t="n"/>
      <c r="E407" s="22" t="n"/>
      <c r="F407" s="26">
        <f>IF(E407="","",IF(COUNTIF(lst_Jobs,E407&amp;"")&gt;0,"OK","CHECK"))</f>
        <v/>
      </c>
      <c r="G407" s="22" t="n"/>
      <c r="H407" s="22" t="n"/>
      <c r="I407" s="24" t="n"/>
      <c r="J407" s="22" t="n"/>
      <c r="K407" s="23" t="n"/>
      <c r="L407" s="72" t="n"/>
      <c r="M407" s="27">
        <f>IF(E407="","",SUMIFS(tbl_Finance[Ex GST],tbl_Finance[Job Number],E407&amp;""))</f>
        <v/>
      </c>
      <c r="N407" s="27">
        <f>IF(J407&lt;&gt;"Won","",IF(E407="",N(I407),I407-M407))</f>
        <v/>
      </c>
      <c r="O407" s="22" t="n"/>
    </row>
    <row r="408" ht="15" customHeight="1">
      <c r="A408" s="72" t="n"/>
      <c r="B408" s="22" t="n"/>
      <c r="C408" s="22" t="n"/>
      <c r="D408" s="22" t="n"/>
      <c r="E408" s="22" t="n"/>
      <c r="F408" s="26">
        <f>IF(E408="","",IF(COUNTIF(lst_Jobs,E408&amp;"")&gt;0,"OK","CHECK"))</f>
        <v/>
      </c>
      <c r="G408" s="22" t="n"/>
      <c r="H408" s="22" t="n"/>
      <c r="I408" s="24" t="n"/>
      <c r="J408" s="22" t="n"/>
      <c r="K408" s="23" t="n"/>
      <c r="L408" s="72" t="n"/>
      <c r="M408" s="27">
        <f>IF(E408="","",SUMIFS(tbl_Finance[Ex GST],tbl_Finance[Job Number],E408&amp;""))</f>
        <v/>
      </c>
      <c r="N408" s="27">
        <f>IF(J408&lt;&gt;"Won","",IF(E408="",N(I408),I408-M408))</f>
        <v/>
      </c>
      <c r="O408" s="22" t="n"/>
    </row>
    <row r="409" ht="15" customHeight="1">
      <c r="A409" s="72" t="n"/>
      <c r="B409" s="22" t="n"/>
      <c r="C409" s="22" t="n"/>
      <c r="D409" s="22" t="n"/>
      <c r="E409" s="22" t="n"/>
      <c r="F409" s="26">
        <f>IF(E409="","",IF(COUNTIF(lst_Jobs,E409&amp;"")&gt;0,"OK","CHECK"))</f>
        <v/>
      </c>
      <c r="G409" s="22" t="n"/>
      <c r="H409" s="22" t="n"/>
      <c r="I409" s="24" t="n"/>
      <c r="J409" s="22" t="n"/>
      <c r="K409" s="23" t="n"/>
      <c r="L409" s="72" t="n"/>
      <c r="M409" s="27">
        <f>IF(E409="","",SUMIFS(tbl_Finance[Ex GST],tbl_Finance[Job Number],E409&amp;""))</f>
        <v/>
      </c>
      <c r="N409" s="27">
        <f>IF(J409&lt;&gt;"Won","",IF(E409="",N(I409),I409-M409))</f>
        <v/>
      </c>
      <c r="O409" s="22" t="n"/>
    </row>
    <row r="410" ht="15" customHeight="1">
      <c r="A410" s="72" t="n"/>
      <c r="B410" s="22" t="n"/>
      <c r="C410" s="22" t="n"/>
      <c r="D410" s="22" t="n"/>
      <c r="E410" s="22" t="n"/>
      <c r="F410" s="26">
        <f>IF(E410="","",IF(COUNTIF(lst_Jobs,E410&amp;"")&gt;0,"OK","CHECK"))</f>
        <v/>
      </c>
      <c r="G410" s="22" t="n"/>
      <c r="H410" s="22" t="n"/>
      <c r="I410" s="24" t="n"/>
      <c r="J410" s="22" t="n"/>
      <c r="K410" s="23" t="n"/>
      <c r="L410" s="72" t="n"/>
      <c r="M410" s="27">
        <f>IF(E410="","",SUMIFS(tbl_Finance[Ex GST],tbl_Finance[Job Number],E410&amp;""))</f>
        <v/>
      </c>
      <c r="N410" s="27">
        <f>IF(J410&lt;&gt;"Won","",IF(E410="",N(I410),I410-M410))</f>
        <v/>
      </c>
      <c r="O410" s="22" t="n"/>
    </row>
    <row r="411" ht="15" customHeight="1">
      <c r="A411" s="72" t="n"/>
      <c r="B411" s="22" t="n"/>
      <c r="C411" s="22" t="n"/>
      <c r="D411" s="22" t="n"/>
      <c r="E411" s="22" t="n"/>
      <c r="F411" s="26">
        <f>IF(E411="","",IF(COUNTIF(lst_Jobs,E411&amp;"")&gt;0,"OK","CHECK"))</f>
        <v/>
      </c>
      <c r="G411" s="22" t="n"/>
      <c r="H411" s="22" t="n"/>
      <c r="I411" s="24" t="n"/>
      <c r="J411" s="22" t="n"/>
      <c r="K411" s="23" t="n"/>
      <c r="L411" s="72" t="n"/>
      <c r="M411" s="27">
        <f>IF(E411="","",SUMIFS(tbl_Finance[Ex GST],tbl_Finance[Job Number],E411&amp;""))</f>
        <v/>
      </c>
      <c r="N411" s="27">
        <f>IF(J411&lt;&gt;"Won","",IF(E411="",N(I411),I411-M411))</f>
        <v/>
      </c>
      <c r="O411" s="22" t="n"/>
    </row>
    <row r="412" ht="15" customHeight="1">
      <c r="A412" s="72" t="n"/>
      <c r="B412" s="22" t="n"/>
      <c r="C412" s="22" t="n"/>
      <c r="D412" s="22" t="n"/>
      <c r="E412" s="22" t="n"/>
      <c r="F412" s="26">
        <f>IF(E412="","",IF(COUNTIF(lst_Jobs,E412&amp;"")&gt;0,"OK","CHECK"))</f>
        <v/>
      </c>
      <c r="G412" s="22" t="n"/>
      <c r="H412" s="22" t="n"/>
      <c r="I412" s="24" t="n"/>
      <c r="J412" s="22" t="n"/>
      <c r="K412" s="23" t="n"/>
      <c r="L412" s="72" t="n"/>
      <c r="M412" s="27">
        <f>IF(E412="","",SUMIFS(tbl_Finance[Ex GST],tbl_Finance[Job Number],E412&amp;""))</f>
        <v/>
      </c>
      <c r="N412" s="27">
        <f>IF(J412&lt;&gt;"Won","",IF(E412="",N(I412),I412-M412))</f>
        <v/>
      </c>
      <c r="O412" s="22" t="n"/>
    </row>
    <row r="413" ht="15" customHeight="1">
      <c r="A413" s="72" t="n"/>
      <c r="B413" s="22" t="n"/>
      <c r="C413" s="22" t="n"/>
      <c r="D413" s="22" t="n"/>
      <c r="E413" s="22" t="n"/>
      <c r="F413" s="26">
        <f>IF(E413="","",IF(COUNTIF(lst_Jobs,E413&amp;"")&gt;0,"OK","CHECK"))</f>
        <v/>
      </c>
      <c r="G413" s="22" t="n"/>
      <c r="H413" s="22" t="n"/>
      <c r="I413" s="24" t="n"/>
      <c r="J413" s="22" t="n"/>
      <c r="K413" s="23" t="n"/>
      <c r="L413" s="72" t="n"/>
      <c r="M413" s="27">
        <f>IF(E413="","",SUMIFS(tbl_Finance[Ex GST],tbl_Finance[Job Number],E413&amp;""))</f>
        <v/>
      </c>
      <c r="N413" s="27">
        <f>IF(J413&lt;&gt;"Won","",IF(E413="",N(I413),I413-M413))</f>
        <v/>
      </c>
      <c r="O413" s="22" t="n"/>
    </row>
    <row r="414" ht="15" customHeight="1">
      <c r="A414" s="72" t="n"/>
      <c r="B414" s="22" t="n"/>
      <c r="C414" s="22" t="n"/>
      <c r="D414" s="22" t="n"/>
      <c r="E414" s="22" t="n"/>
      <c r="F414" s="26">
        <f>IF(E414="","",IF(COUNTIF(lst_Jobs,E414&amp;"")&gt;0,"OK","CHECK"))</f>
        <v/>
      </c>
      <c r="G414" s="22" t="n"/>
      <c r="H414" s="22" t="n"/>
      <c r="I414" s="24" t="n"/>
      <c r="J414" s="22" t="n"/>
      <c r="K414" s="23" t="n"/>
      <c r="L414" s="72" t="n"/>
      <c r="M414" s="27">
        <f>IF(E414="","",SUMIFS(tbl_Finance[Ex GST],tbl_Finance[Job Number],E414&amp;""))</f>
        <v/>
      </c>
      <c r="N414" s="27">
        <f>IF(J414&lt;&gt;"Won","",IF(E414="",N(I414),I414-M414))</f>
        <v/>
      </c>
      <c r="O414" s="22" t="n"/>
    </row>
    <row r="415" ht="15" customHeight="1">
      <c r="A415" s="72" t="n"/>
      <c r="B415" s="22" t="n"/>
      <c r="C415" s="22" t="n"/>
      <c r="D415" s="22" t="n"/>
      <c r="E415" s="22" t="n"/>
      <c r="F415" s="26">
        <f>IF(E415="","",IF(COUNTIF(lst_Jobs,E415&amp;"")&gt;0,"OK","CHECK"))</f>
        <v/>
      </c>
      <c r="G415" s="22" t="n"/>
      <c r="H415" s="22" t="n"/>
      <c r="I415" s="24" t="n"/>
      <c r="J415" s="22" t="n"/>
      <c r="K415" s="23" t="n"/>
      <c r="L415" s="72" t="n"/>
      <c r="M415" s="27">
        <f>IF(E415="","",SUMIFS(tbl_Finance[Ex GST],tbl_Finance[Job Number],E415&amp;""))</f>
        <v/>
      </c>
      <c r="N415" s="27">
        <f>IF(J415&lt;&gt;"Won","",IF(E415="",N(I415),I415-M415))</f>
        <v/>
      </c>
      <c r="O415" s="22" t="n"/>
    </row>
    <row r="416" ht="15" customHeight="1">
      <c r="A416" s="72" t="n"/>
      <c r="B416" s="22" t="n"/>
      <c r="C416" s="22" t="n"/>
      <c r="D416" s="22" t="n"/>
      <c r="E416" s="22" t="n"/>
      <c r="F416" s="26">
        <f>IF(E416="","",IF(COUNTIF(lst_Jobs,E416&amp;"")&gt;0,"OK","CHECK"))</f>
        <v/>
      </c>
      <c r="G416" s="22" t="n"/>
      <c r="H416" s="22" t="n"/>
      <c r="I416" s="24" t="n"/>
      <c r="J416" s="22" t="n"/>
      <c r="K416" s="23" t="n"/>
      <c r="L416" s="72" t="n"/>
      <c r="M416" s="27">
        <f>IF(E416="","",SUMIFS(tbl_Finance[Ex GST],tbl_Finance[Job Number],E416&amp;""))</f>
        <v/>
      </c>
      <c r="N416" s="27">
        <f>IF(J416&lt;&gt;"Won","",IF(E416="",N(I416),I416-M416))</f>
        <v/>
      </c>
      <c r="O416" s="22" t="n"/>
    </row>
    <row r="417" ht="15" customHeight="1">
      <c r="A417" s="72" t="n"/>
      <c r="B417" s="22" t="n"/>
      <c r="C417" s="22" t="n"/>
      <c r="D417" s="22" t="n"/>
      <c r="E417" s="22" t="n"/>
      <c r="F417" s="26">
        <f>IF(E417="","",IF(COUNTIF(lst_Jobs,E417&amp;"")&gt;0,"OK","CHECK"))</f>
        <v/>
      </c>
      <c r="G417" s="22" t="n"/>
      <c r="H417" s="22" t="n"/>
      <c r="I417" s="24" t="n"/>
      <c r="J417" s="22" t="n"/>
      <c r="K417" s="23" t="n"/>
      <c r="L417" s="72" t="n"/>
      <c r="M417" s="27">
        <f>IF(E417="","",SUMIFS(tbl_Finance[Ex GST],tbl_Finance[Job Number],E417&amp;""))</f>
        <v/>
      </c>
      <c r="N417" s="27">
        <f>IF(J417&lt;&gt;"Won","",IF(E417="",N(I417),I417-M417))</f>
        <v/>
      </c>
      <c r="O417" s="22" t="n"/>
    </row>
    <row r="418" ht="15" customHeight="1">
      <c r="A418" s="72" t="n"/>
      <c r="B418" s="22" t="n"/>
      <c r="C418" s="22" t="n"/>
      <c r="D418" s="22" t="n"/>
      <c r="E418" s="22" t="n"/>
      <c r="F418" s="26">
        <f>IF(E418="","",IF(COUNTIF(lst_Jobs,E418&amp;"")&gt;0,"OK","CHECK"))</f>
        <v/>
      </c>
      <c r="G418" s="22" t="n"/>
      <c r="H418" s="22" t="n"/>
      <c r="I418" s="24" t="n"/>
      <c r="J418" s="22" t="n"/>
      <c r="K418" s="23" t="n"/>
      <c r="L418" s="72" t="n"/>
      <c r="M418" s="27">
        <f>IF(E418="","",SUMIFS(tbl_Finance[Ex GST],tbl_Finance[Job Number],E418&amp;""))</f>
        <v/>
      </c>
      <c r="N418" s="27">
        <f>IF(J418&lt;&gt;"Won","",IF(E418="",N(I418),I418-M418))</f>
        <v/>
      </c>
      <c r="O418" s="22" t="n"/>
    </row>
    <row r="419" ht="15" customHeight="1">
      <c r="A419" s="72" t="n"/>
      <c r="B419" s="22" t="n"/>
      <c r="C419" s="22" t="n"/>
      <c r="D419" s="22" t="n"/>
      <c r="E419" s="22" t="n"/>
      <c r="F419" s="26">
        <f>IF(E419="","",IF(COUNTIF(lst_Jobs,E419&amp;"")&gt;0,"OK","CHECK"))</f>
        <v/>
      </c>
      <c r="G419" s="22" t="n"/>
      <c r="H419" s="22" t="n"/>
      <c r="I419" s="24" t="n"/>
      <c r="J419" s="22" t="n"/>
      <c r="K419" s="23" t="n"/>
      <c r="L419" s="72" t="n"/>
      <c r="M419" s="27">
        <f>IF(E419="","",SUMIFS(tbl_Finance[Ex GST],tbl_Finance[Job Number],E419&amp;""))</f>
        <v/>
      </c>
      <c r="N419" s="27">
        <f>IF(J419&lt;&gt;"Won","",IF(E419="",N(I419),I419-M419))</f>
        <v/>
      </c>
      <c r="O419" s="22" t="n"/>
    </row>
    <row r="420" ht="15" customHeight="1">
      <c r="A420" s="72" t="n"/>
      <c r="B420" s="22" t="n"/>
      <c r="C420" s="22" t="n"/>
      <c r="D420" s="22" t="n"/>
      <c r="E420" s="22" t="n"/>
      <c r="F420" s="26">
        <f>IF(E420="","",IF(COUNTIF(lst_Jobs,E420&amp;"")&gt;0,"OK","CHECK"))</f>
        <v/>
      </c>
      <c r="G420" s="22" t="n"/>
      <c r="H420" s="22" t="n"/>
      <c r="I420" s="24" t="n"/>
      <c r="J420" s="22" t="n"/>
      <c r="K420" s="23" t="n"/>
      <c r="L420" s="72" t="n"/>
      <c r="M420" s="27">
        <f>IF(E420="","",SUMIFS(tbl_Finance[Ex GST],tbl_Finance[Job Number],E420&amp;""))</f>
        <v/>
      </c>
      <c r="N420" s="27">
        <f>IF(J420&lt;&gt;"Won","",IF(E420="",N(I420),I420-M420))</f>
        <v/>
      </c>
      <c r="O420" s="22" t="n"/>
    </row>
    <row r="421" ht="15" customHeight="1">
      <c r="A421" s="72" t="n"/>
      <c r="B421" s="22" t="n"/>
      <c r="C421" s="22" t="n"/>
      <c r="D421" s="22" t="n"/>
      <c r="E421" s="22" t="n"/>
      <c r="F421" s="26">
        <f>IF(E421="","",IF(COUNTIF(lst_Jobs,E421&amp;"")&gt;0,"OK","CHECK"))</f>
        <v/>
      </c>
      <c r="G421" s="22" t="n"/>
      <c r="H421" s="22" t="n"/>
      <c r="I421" s="24" t="n"/>
      <c r="J421" s="22" t="n"/>
      <c r="K421" s="23" t="n"/>
      <c r="L421" s="72" t="n"/>
      <c r="M421" s="27">
        <f>IF(E421="","",SUMIFS(tbl_Finance[Ex GST],tbl_Finance[Job Number],E421&amp;""))</f>
        <v/>
      </c>
      <c r="N421" s="27">
        <f>IF(J421&lt;&gt;"Won","",IF(E421="",N(I421),I421-M421))</f>
        <v/>
      </c>
      <c r="O421" s="22" t="n"/>
    </row>
    <row r="422" ht="15" customHeight="1">
      <c r="A422" s="72" t="n"/>
      <c r="B422" s="22" t="n"/>
      <c r="C422" s="22" t="n"/>
      <c r="D422" s="22" t="n"/>
      <c r="E422" s="22" t="n"/>
      <c r="F422" s="26">
        <f>IF(E422="","",IF(COUNTIF(lst_Jobs,E422&amp;"")&gt;0,"OK","CHECK"))</f>
        <v/>
      </c>
      <c r="G422" s="22" t="n"/>
      <c r="H422" s="22" t="n"/>
      <c r="I422" s="24" t="n"/>
      <c r="J422" s="22" t="n"/>
      <c r="K422" s="23" t="n"/>
      <c r="L422" s="72" t="n"/>
      <c r="M422" s="27">
        <f>IF(E422="","",SUMIFS(tbl_Finance[Ex GST],tbl_Finance[Job Number],E422&amp;""))</f>
        <v/>
      </c>
      <c r="N422" s="27">
        <f>IF(J422&lt;&gt;"Won","",IF(E422="",N(I422),I422-M422))</f>
        <v/>
      </c>
      <c r="O422" s="22" t="n"/>
    </row>
    <row r="423" ht="15" customHeight="1">
      <c r="A423" s="72" t="n"/>
      <c r="B423" s="22" t="n"/>
      <c r="C423" s="22" t="n"/>
      <c r="D423" s="22" t="n"/>
      <c r="E423" s="22" t="n"/>
      <c r="F423" s="26">
        <f>IF(E423="","",IF(COUNTIF(lst_Jobs,E423&amp;"")&gt;0,"OK","CHECK"))</f>
        <v/>
      </c>
      <c r="G423" s="22" t="n"/>
      <c r="H423" s="22" t="n"/>
      <c r="I423" s="24" t="n"/>
      <c r="J423" s="22" t="n"/>
      <c r="K423" s="23" t="n"/>
      <c r="L423" s="72" t="n"/>
      <c r="M423" s="27">
        <f>IF(E423="","",SUMIFS(tbl_Finance[Ex GST],tbl_Finance[Job Number],E423&amp;""))</f>
        <v/>
      </c>
      <c r="N423" s="27">
        <f>IF(J423&lt;&gt;"Won","",IF(E423="",N(I423),I423-M423))</f>
        <v/>
      </c>
      <c r="O423" s="22" t="n"/>
    </row>
    <row r="424" ht="15" customHeight="1">
      <c r="A424" s="72" t="n"/>
      <c r="B424" s="22" t="n"/>
      <c r="C424" s="22" t="n"/>
      <c r="D424" s="22" t="n"/>
      <c r="E424" s="22" t="n"/>
      <c r="F424" s="26">
        <f>IF(E424="","",IF(COUNTIF(lst_Jobs,E424&amp;"")&gt;0,"OK","CHECK"))</f>
        <v/>
      </c>
      <c r="G424" s="22" t="n"/>
      <c r="H424" s="22" t="n"/>
      <c r="I424" s="24" t="n"/>
      <c r="J424" s="22" t="n"/>
      <c r="K424" s="23" t="n"/>
      <c r="L424" s="72" t="n"/>
      <c r="M424" s="27">
        <f>IF(E424="","",SUMIFS(tbl_Finance[Ex GST],tbl_Finance[Job Number],E424&amp;""))</f>
        <v/>
      </c>
      <c r="N424" s="27">
        <f>IF(J424&lt;&gt;"Won","",IF(E424="",N(I424),I424-M424))</f>
        <v/>
      </c>
      <c r="O424" s="22" t="n"/>
    </row>
    <row r="425" ht="15" customHeight="1">
      <c r="A425" s="72" t="n"/>
      <c r="B425" s="22" t="n"/>
      <c r="C425" s="22" t="n"/>
      <c r="D425" s="22" t="n"/>
      <c r="E425" s="22" t="n"/>
      <c r="F425" s="26">
        <f>IF(E425="","",IF(COUNTIF(lst_Jobs,E425&amp;"")&gt;0,"OK","CHECK"))</f>
        <v/>
      </c>
      <c r="G425" s="22" t="n"/>
      <c r="H425" s="22" t="n"/>
      <c r="I425" s="24" t="n"/>
      <c r="J425" s="22" t="n"/>
      <c r="K425" s="23" t="n"/>
      <c r="L425" s="72" t="n"/>
      <c r="M425" s="27">
        <f>IF(E425="","",SUMIFS(tbl_Finance[Ex GST],tbl_Finance[Job Number],E425&amp;""))</f>
        <v/>
      </c>
      <c r="N425" s="27">
        <f>IF(J425&lt;&gt;"Won","",IF(E425="",N(I425),I425-M425))</f>
        <v/>
      </c>
      <c r="O425" s="22" t="n"/>
    </row>
    <row r="426" ht="15" customHeight="1">
      <c r="A426" s="72" t="n"/>
      <c r="B426" s="22" t="n"/>
      <c r="C426" s="22" t="n"/>
      <c r="D426" s="22" t="n"/>
      <c r="E426" s="22" t="n"/>
      <c r="F426" s="26">
        <f>IF(E426="","",IF(COUNTIF(lst_Jobs,E426&amp;"")&gt;0,"OK","CHECK"))</f>
        <v/>
      </c>
      <c r="G426" s="22" t="n"/>
      <c r="H426" s="22" t="n"/>
      <c r="I426" s="24" t="n"/>
      <c r="J426" s="22" t="n"/>
      <c r="K426" s="23" t="n"/>
      <c r="L426" s="72" t="n"/>
      <c r="M426" s="27">
        <f>IF(E426="","",SUMIFS(tbl_Finance[Ex GST],tbl_Finance[Job Number],E426&amp;""))</f>
        <v/>
      </c>
      <c r="N426" s="27">
        <f>IF(J426&lt;&gt;"Won","",IF(E426="",N(I426),I426-M426))</f>
        <v/>
      </c>
      <c r="O426" s="22" t="n"/>
    </row>
    <row r="427" ht="15" customHeight="1">
      <c r="A427" s="72" t="n"/>
      <c r="B427" s="22" t="n"/>
      <c r="C427" s="22" t="n"/>
      <c r="D427" s="22" t="n"/>
      <c r="E427" s="22" t="n"/>
      <c r="F427" s="26">
        <f>IF(E427="","",IF(COUNTIF(lst_Jobs,E427&amp;"")&gt;0,"OK","CHECK"))</f>
        <v/>
      </c>
      <c r="G427" s="22" t="n"/>
      <c r="H427" s="22" t="n"/>
      <c r="I427" s="24" t="n"/>
      <c r="J427" s="22" t="n"/>
      <c r="K427" s="23" t="n"/>
      <c r="L427" s="72" t="n"/>
      <c r="M427" s="27">
        <f>IF(E427="","",SUMIFS(tbl_Finance[Ex GST],tbl_Finance[Job Number],E427&amp;""))</f>
        <v/>
      </c>
      <c r="N427" s="27">
        <f>IF(J427&lt;&gt;"Won","",IF(E427="",N(I427),I427-M427))</f>
        <v/>
      </c>
      <c r="O427" s="22" t="n"/>
    </row>
    <row r="428" ht="15" customHeight="1">
      <c r="A428" s="72" t="n"/>
      <c r="B428" s="22" t="n"/>
      <c r="C428" s="22" t="n"/>
      <c r="D428" s="22" t="n"/>
      <c r="E428" s="22" t="n"/>
      <c r="F428" s="26">
        <f>IF(E428="","",IF(COUNTIF(lst_Jobs,E428&amp;"")&gt;0,"OK","CHECK"))</f>
        <v/>
      </c>
      <c r="G428" s="22" t="n"/>
      <c r="H428" s="22" t="n"/>
      <c r="I428" s="24" t="n"/>
      <c r="J428" s="22" t="n"/>
      <c r="K428" s="23" t="n"/>
      <c r="L428" s="72" t="n"/>
      <c r="M428" s="27">
        <f>IF(E428="","",SUMIFS(tbl_Finance[Ex GST],tbl_Finance[Job Number],E428&amp;""))</f>
        <v/>
      </c>
      <c r="N428" s="27">
        <f>IF(J428&lt;&gt;"Won","",IF(E428="",N(I428),I428-M428))</f>
        <v/>
      </c>
      <c r="O428" s="22" t="n"/>
    </row>
    <row r="429" ht="15" customHeight="1">
      <c r="A429" s="72" t="n"/>
      <c r="B429" s="22" t="n"/>
      <c r="C429" s="22" t="n"/>
      <c r="D429" s="22" t="n"/>
      <c r="E429" s="22" t="n"/>
      <c r="F429" s="26">
        <f>IF(E429="","",IF(COUNTIF(lst_Jobs,E429&amp;"")&gt;0,"OK","CHECK"))</f>
        <v/>
      </c>
      <c r="G429" s="22" t="n"/>
      <c r="H429" s="22" t="n"/>
      <c r="I429" s="24" t="n"/>
      <c r="J429" s="22" t="n"/>
      <c r="K429" s="23" t="n"/>
      <c r="L429" s="72" t="n"/>
      <c r="M429" s="27">
        <f>IF(E429="","",SUMIFS(tbl_Finance[Ex GST],tbl_Finance[Job Number],E429&amp;""))</f>
        <v/>
      </c>
      <c r="N429" s="27">
        <f>IF(J429&lt;&gt;"Won","",IF(E429="",N(I429),I429-M429))</f>
        <v/>
      </c>
      <c r="O429" s="22" t="n"/>
    </row>
    <row r="430" ht="15" customHeight="1">
      <c r="A430" s="72" t="n"/>
      <c r="B430" s="22" t="n"/>
      <c r="C430" s="22" t="n"/>
      <c r="D430" s="22" t="n"/>
      <c r="E430" s="22" t="n"/>
      <c r="F430" s="26">
        <f>IF(E430="","",IF(COUNTIF(lst_Jobs,E430&amp;"")&gt;0,"OK","CHECK"))</f>
        <v/>
      </c>
      <c r="G430" s="22" t="n"/>
      <c r="H430" s="22" t="n"/>
      <c r="I430" s="24" t="n"/>
      <c r="J430" s="22" t="n"/>
      <c r="K430" s="23" t="n"/>
      <c r="L430" s="72" t="n"/>
      <c r="M430" s="27">
        <f>IF(E430="","",SUMIFS(tbl_Finance[Ex GST],tbl_Finance[Job Number],E430&amp;""))</f>
        <v/>
      </c>
      <c r="N430" s="27">
        <f>IF(J430&lt;&gt;"Won","",IF(E430="",N(I430),I430-M430))</f>
        <v/>
      </c>
      <c r="O430" s="22" t="n"/>
    </row>
    <row r="431" ht="15" customHeight="1">
      <c r="A431" s="72" t="n"/>
      <c r="B431" s="22" t="n"/>
      <c r="C431" s="22" t="n"/>
      <c r="D431" s="22" t="n"/>
      <c r="E431" s="22" t="n"/>
      <c r="F431" s="26">
        <f>IF(E431="","",IF(COUNTIF(lst_Jobs,E431&amp;"")&gt;0,"OK","CHECK"))</f>
        <v/>
      </c>
      <c r="G431" s="22" t="n"/>
      <c r="H431" s="22" t="n"/>
      <c r="I431" s="24" t="n"/>
      <c r="J431" s="22" t="n"/>
      <c r="K431" s="23" t="n"/>
      <c r="L431" s="72" t="n"/>
      <c r="M431" s="27">
        <f>IF(E431="","",SUMIFS(tbl_Finance[Ex GST],tbl_Finance[Job Number],E431&amp;""))</f>
        <v/>
      </c>
      <c r="N431" s="27">
        <f>IF(J431&lt;&gt;"Won","",IF(E431="",N(I431),I431-M431))</f>
        <v/>
      </c>
      <c r="O431" s="22" t="n"/>
    </row>
    <row r="432" ht="15" customHeight="1">
      <c r="A432" s="72" t="n"/>
      <c r="B432" s="22" t="n"/>
      <c r="C432" s="22" t="n"/>
      <c r="D432" s="22" t="n"/>
      <c r="E432" s="22" t="n"/>
      <c r="F432" s="26">
        <f>IF(E432="","",IF(COUNTIF(lst_Jobs,E432&amp;"")&gt;0,"OK","CHECK"))</f>
        <v/>
      </c>
      <c r="G432" s="22" t="n"/>
      <c r="H432" s="22" t="n"/>
      <c r="I432" s="24" t="n"/>
      <c r="J432" s="22" t="n"/>
      <c r="K432" s="23" t="n"/>
      <c r="L432" s="72" t="n"/>
      <c r="M432" s="27">
        <f>IF(E432="","",SUMIFS(tbl_Finance[Ex GST],tbl_Finance[Job Number],E432&amp;""))</f>
        <v/>
      </c>
      <c r="N432" s="27">
        <f>IF(J432&lt;&gt;"Won","",IF(E432="",N(I432),I432-M432))</f>
        <v/>
      </c>
      <c r="O432" s="22" t="n"/>
    </row>
    <row r="433" ht="15" customHeight="1">
      <c r="A433" s="72" t="n"/>
      <c r="B433" s="22" t="n"/>
      <c r="C433" s="22" t="n"/>
      <c r="D433" s="22" t="n"/>
      <c r="E433" s="22" t="n"/>
      <c r="F433" s="26">
        <f>IF(E433="","",IF(COUNTIF(lst_Jobs,E433&amp;"")&gt;0,"OK","CHECK"))</f>
        <v/>
      </c>
      <c r="G433" s="22" t="n"/>
      <c r="H433" s="22" t="n"/>
      <c r="I433" s="24" t="n"/>
      <c r="J433" s="22" t="n"/>
      <c r="K433" s="23" t="n"/>
      <c r="L433" s="72" t="n"/>
      <c r="M433" s="27">
        <f>IF(E433="","",SUMIFS(tbl_Finance[Ex GST],tbl_Finance[Job Number],E433&amp;""))</f>
        <v/>
      </c>
      <c r="N433" s="27">
        <f>IF(J433&lt;&gt;"Won","",IF(E433="",N(I433),I433-M433))</f>
        <v/>
      </c>
      <c r="O433" s="22" t="n"/>
    </row>
    <row r="434" ht="15" customHeight="1">
      <c r="A434" s="72" t="n"/>
      <c r="B434" s="22" t="n"/>
      <c r="C434" s="22" t="n"/>
      <c r="D434" s="22" t="n"/>
      <c r="E434" s="22" t="n"/>
      <c r="F434" s="26">
        <f>IF(E434="","",IF(COUNTIF(lst_Jobs,E434&amp;"")&gt;0,"OK","CHECK"))</f>
        <v/>
      </c>
      <c r="G434" s="22" t="n"/>
      <c r="H434" s="22" t="n"/>
      <c r="I434" s="24" t="n"/>
      <c r="J434" s="22" t="n"/>
      <c r="K434" s="23" t="n"/>
      <c r="L434" s="72" t="n"/>
      <c r="M434" s="27">
        <f>IF(E434="","",SUMIFS(tbl_Finance[Ex GST],tbl_Finance[Job Number],E434&amp;""))</f>
        <v/>
      </c>
      <c r="N434" s="27">
        <f>IF(J434&lt;&gt;"Won","",IF(E434="",N(I434),I434-M434))</f>
        <v/>
      </c>
      <c r="O434" s="22" t="n"/>
    </row>
    <row r="435" ht="15" customHeight="1">
      <c r="A435" s="72" t="n"/>
      <c r="B435" s="22" t="n"/>
      <c r="C435" s="22" t="n"/>
      <c r="D435" s="22" t="n"/>
      <c r="E435" s="22" t="n"/>
      <c r="F435" s="26">
        <f>IF(E435="","",IF(COUNTIF(lst_Jobs,E435&amp;"")&gt;0,"OK","CHECK"))</f>
        <v/>
      </c>
      <c r="G435" s="22" t="n"/>
      <c r="H435" s="22" t="n"/>
      <c r="I435" s="24" t="n"/>
      <c r="J435" s="22" t="n"/>
      <c r="K435" s="23" t="n"/>
      <c r="L435" s="72" t="n"/>
      <c r="M435" s="27">
        <f>IF(E435="","",SUMIFS(tbl_Finance[Ex GST],tbl_Finance[Job Number],E435&amp;""))</f>
        <v/>
      </c>
      <c r="N435" s="27">
        <f>IF(J435&lt;&gt;"Won","",IF(E435="",N(I435),I435-M435))</f>
        <v/>
      </c>
      <c r="O435" s="22" t="n"/>
    </row>
    <row r="436" ht="15" customHeight="1">
      <c r="A436" s="72" t="n"/>
      <c r="B436" s="22" t="n"/>
      <c r="C436" s="22" t="n"/>
      <c r="D436" s="22" t="n"/>
      <c r="E436" s="22" t="n"/>
      <c r="F436" s="26">
        <f>IF(E436="","",IF(COUNTIF(lst_Jobs,E436&amp;"")&gt;0,"OK","CHECK"))</f>
        <v/>
      </c>
      <c r="G436" s="22" t="n"/>
      <c r="H436" s="22" t="n"/>
      <c r="I436" s="24" t="n"/>
      <c r="J436" s="22" t="n"/>
      <c r="K436" s="23" t="n"/>
      <c r="L436" s="72" t="n"/>
      <c r="M436" s="27">
        <f>IF(E436="","",SUMIFS(tbl_Finance[Ex GST],tbl_Finance[Job Number],E436&amp;""))</f>
        <v/>
      </c>
      <c r="N436" s="27">
        <f>IF(J436&lt;&gt;"Won","",IF(E436="",N(I436),I436-M436))</f>
        <v/>
      </c>
      <c r="O436" s="22" t="n"/>
    </row>
    <row r="437" ht="15" customHeight="1">
      <c r="A437" s="72" t="n"/>
      <c r="B437" s="22" t="n"/>
      <c r="C437" s="22" t="n"/>
      <c r="D437" s="22" t="n"/>
      <c r="E437" s="22" t="n"/>
      <c r="F437" s="26">
        <f>IF(E437="","",IF(COUNTIF(lst_Jobs,E437&amp;"")&gt;0,"OK","CHECK"))</f>
        <v/>
      </c>
      <c r="G437" s="22" t="n"/>
      <c r="H437" s="22" t="n"/>
      <c r="I437" s="24" t="n"/>
      <c r="J437" s="22" t="n"/>
      <c r="K437" s="23" t="n"/>
      <c r="L437" s="72" t="n"/>
      <c r="M437" s="27">
        <f>IF(E437="","",SUMIFS(tbl_Finance[Ex GST],tbl_Finance[Job Number],E437&amp;""))</f>
        <v/>
      </c>
      <c r="N437" s="27">
        <f>IF(J437&lt;&gt;"Won","",IF(E437="",N(I437),I437-M437))</f>
        <v/>
      </c>
      <c r="O437" s="22" t="n"/>
    </row>
    <row r="438" ht="15" customHeight="1">
      <c r="A438" s="72" t="n"/>
      <c r="B438" s="22" t="n"/>
      <c r="C438" s="22" t="n"/>
      <c r="D438" s="22" t="n"/>
      <c r="E438" s="22" t="n"/>
      <c r="F438" s="26">
        <f>IF(E438="","",IF(COUNTIF(lst_Jobs,E438&amp;"")&gt;0,"OK","CHECK"))</f>
        <v/>
      </c>
      <c r="G438" s="22" t="n"/>
      <c r="H438" s="22" t="n"/>
      <c r="I438" s="24" t="n"/>
      <c r="J438" s="22" t="n"/>
      <c r="K438" s="23" t="n"/>
      <c r="L438" s="72" t="n"/>
      <c r="M438" s="27">
        <f>IF(E438="","",SUMIFS(tbl_Finance[Ex GST],tbl_Finance[Job Number],E438&amp;""))</f>
        <v/>
      </c>
      <c r="N438" s="27">
        <f>IF(J438&lt;&gt;"Won","",IF(E438="",N(I438),I438-M438))</f>
        <v/>
      </c>
      <c r="O438" s="22" t="n"/>
    </row>
    <row r="439" ht="15" customHeight="1">
      <c r="A439" s="72" t="n"/>
      <c r="B439" s="22" t="n"/>
      <c r="C439" s="22" t="n"/>
      <c r="D439" s="22" t="n"/>
      <c r="E439" s="22" t="n"/>
      <c r="F439" s="26">
        <f>IF(E439="","",IF(COUNTIF(lst_Jobs,E439&amp;"")&gt;0,"OK","CHECK"))</f>
        <v/>
      </c>
      <c r="G439" s="22" t="n"/>
      <c r="H439" s="22" t="n"/>
      <c r="I439" s="24" t="n"/>
      <c r="J439" s="22" t="n"/>
      <c r="K439" s="23" t="n"/>
      <c r="L439" s="72" t="n"/>
      <c r="M439" s="27">
        <f>IF(E439="","",SUMIFS(tbl_Finance[Ex GST],tbl_Finance[Job Number],E439&amp;""))</f>
        <v/>
      </c>
      <c r="N439" s="27">
        <f>IF(J439&lt;&gt;"Won","",IF(E439="",N(I439),I439-M439))</f>
        <v/>
      </c>
      <c r="O439" s="22" t="n"/>
    </row>
    <row r="440" ht="15" customHeight="1">
      <c r="A440" s="72" t="n"/>
      <c r="B440" s="22" t="n"/>
      <c r="C440" s="22" t="n"/>
      <c r="D440" s="22" t="n"/>
      <c r="E440" s="22" t="n"/>
      <c r="F440" s="26">
        <f>IF(E440="","",IF(COUNTIF(lst_Jobs,E440&amp;"")&gt;0,"OK","CHECK"))</f>
        <v/>
      </c>
      <c r="G440" s="22" t="n"/>
      <c r="H440" s="22" t="n"/>
      <c r="I440" s="24" t="n"/>
      <c r="J440" s="22" t="n"/>
      <c r="K440" s="23" t="n"/>
      <c r="L440" s="72" t="n"/>
      <c r="M440" s="27">
        <f>IF(E440="","",SUMIFS(tbl_Finance[Ex GST],tbl_Finance[Job Number],E440&amp;""))</f>
        <v/>
      </c>
      <c r="N440" s="27">
        <f>IF(J440&lt;&gt;"Won","",IF(E440="",N(I440),I440-M440))</f>
        <v/>
      </c>
      <c r="O440" s="22" t="n"/>
    </row>
    <row r="441" ht="15" customHeight="1">
      <c r="A441" s="72" t="n"/>
      <c r="B441" s="22" t="n"/>
      <c r="C441" s="22" t="n"/>
      <c r="D441" s="22" t="n"/>
      <c r="E441" s="22" t="n"/>
      <c r="F441" s="26">
        <f>IF(E441="","",IF(COUNTIF(lst_Jobs,E441&amp;"")&gt;0,"OK","CHECK"))</f>
        <v/>
      </c>
      <c r="G441" s="22" t="n"/>
      <c r="H441" s="22" t="n"/>
      <c r="I441" s="24" t="n"/>
      <c r="J441" s="22" t="n"/>
      <c r="K441" s="23" t="n"/>
      <c r="L441" s="72" t="n"/>
      <c r="M441" s="27">
        <f>IF(E441="","",SUMIFS(tbl_Finance[Ex GST],tbl_Finance[Job Number],E441&amp;""))</f>
        <v/>
      </c>
      <c r="N441" s="27">
        <f>IF(J441&lt;&gt;"Won","",IF(E441="",N(I441),I441-M441))</f>
        <v/>
      </c>
      <c r="O441" s="22" t="n"/>
    </row>
    <row r="442" ht="15" customHeight="1">
      <c r="A442" s="72" t="n"/>
      <c r="B442" s="22" t="n"/>
      <c r="C442" s="22" t="n"/>
      <c r="D442" s="22" t="n"/>
      <c r="E442" s="22" t="n"/>
      <c r="F442" s="26">
        <f>IF(E442="","",IF(COUNTIF(lst_Jobs,E442&amp;"")&gt;0,"OK","CHECK"))</f>
        <v/>
      </c>
      <c r="G442" s="22" t="n"/>
      <c r="H442" s="22" t="n"/>
      <c r="I442" s="24" t="n"/>
      <c r="J442" s="22" t="n"/>
      <c r="K442" s="23" t="n"/>
      <c r="L442" s="72" t="n"/>
      <c r="M442" s="27">
        <f>IF(E442="","",SUMIFS(tbl_Finance[Ex GST],tbl_Finance[Job Number],E442&amp;""))</f>
        <v/>
      </c>
      <c r="N442" s="27">
        <f>IF(J442&lt;&gt;"Won","",IF(E442="",N(I442),I442-M442))</f>
        <v/>
      </c>
      <c r="O442" s="22" t="n"/>
    </row>
    <row r="443" ht="15" customHeight="1">
      <c r="A443" s="72" t="n"/>
      <c r="B443" s="22" t="n"/>
      <c r="C443" s="22" t="n"/>
      <c r="D443" s="22" t="n"/>
      <c r="E443" s="22" t="n"/>
      <c r="F443" s="26">
        <f>IF(E443="","",IF(COUNTIF(lst_Jobs,E443&amp;"")&gt;0,"OK","CHECK"))</f>
        <v/>
      </c>
      <c r="G443" s="22" t="n"/>
      <c r="H443" s="22" t="n"/>
      <c r="I443" s="24" t="n"/>
      <c r="J443" s="22" t="n"/>
      <c r="K443" s="23" t="n"/>
      <c r="L443" s="72" t="n"/>
      <c r="M443" s="27">
        <f>IF(E443="","",SUMIFS(tbl_Finance[Ex GST],tbl_Finance[Job Number],E443&amp;""))</f>
        <v/>
      </c>
      <c r="N443" s="27">
        <f>IF(J443&lt;&gt;"Won","",IF(E443="",N(I443),I443-M443))</f>
        <v/>
      </c>
      <c r="O443" s="22" t="n"/>
    </row>
    <row r="444" ht="15" customHeight="1">
      <c r="A444" s="72" t="n"/>
      <c r="B444" s="22" t="n"/>
      <c r="C444" s="22" t="n"/>
      <c r="D444" s="22" t="n"/>
      <c r="E444" s="22" t="n"/>
      <c r="F444" s="26">
        <f>IF(E444="","",IF(COUNTIF(lst_Jobs,E444&amp;"")&gt;0,"OK","CHECK"))</f>
        <v/>
      </c>
      <c r="G444" s="22" t="n"/>
      <c r="H444" s="22" t="n"/>
      <c r="I444" s="24" t="n"/>
      <c r="J444" s="22" t="n"/>
      <c r="K444" s="23" t="n"/>
      <c r="L444" s="72" t="n"/>
      <c r="M444" s="27">
        <f>IF(E444="","",SUMIFS(tbl_Finance[Ex GST],tbl_Finance[Job Number],E444&amp;""))</f>
        <v/>
      </c>
      <c r="N444" s="27">
        <f>IF(J444&lt;&gt;"Won","",IF(E444="",N(I444),I444-M444))</f>
        <v/>
      </c>
      <c r="O444" s="22" t="n"/>
    </row>
    <row r="445" ht="15" customHeight="1">
      <c r="A445" s="72" t="n"/>
      <c r="B445" s="22" t="n"/>
      <c r="C445" s="22" t="n"/>
      <c r="D445" s="22" t="n"/>
      <c r="E445" s="22" t="n"/>
      <c r="F445" s="26">
        <f>IF(E445="","",IF(COUNTIF(lst_Jobs,E445&amp;"")&gt;0,"OK","CHECK"))</f>
        <v/>
      </c>
      <c r="G445" s="22" t="n"/>
      <c r="H445" s="22" t="n"/>
      <c r="I445" s="24" t="n"/>
      <c r="J445" s="22" t="n"/>
      <c r="K445" s="23" t="n"/>
      <c r="L445" s="72" t="n"/>
      <c r="M445" s="27">
        <f>IF(E445="","",SUMIFS(tbl_Finance[Ex GST],tbl_Finance[Job Number],E445&amp;""))</f>
        <v/>
      </c>
      <c r="N445" s="27">
        <f>IF(J445&lt;&gt;"Won","",IF(E445="",N(I445),I445-M445))</f>
        <v/>
      </c>
      <c r="O445" s="22" t="n"/>
    </row>
    <row r="446" ht="15" customHeight="1">
      <c r="A446" s="72" t="n"/>
      <c r="B446" s="22" t="n"/>
      <c r="C446" s="22" t="n"/>
      <c r="D446" s="22" t="n"/>
      <c r="E446" s="22" t="n"/>
      <c r="F446" s="26">
        <f>IF(E446="","",IF(COUNTIF(lst_Jobs,E446&amp;"")&gt;0,"OK","CHECK"))</f>
        <v/>
      </c>
      <c r="G446" s="22" t="n"/>
      <c r="H446" s="22" t="n"/>
      <c r="I446" s="24" t="n"/>
      <c r="J446" s="22" t="n"/>
      <c r="K446" s="23" t="n"/>
      <c r="L446" s="72" t="n"/>
      <c r="M446" s="27">
        <f>IF(E446="","",SUMIFS(tbl_Finance[Ex GST],tbl_Finance[Job Number],E446&amp;""))</f>
        <v/>
      </c>
      <c r="N446" s="27">
        <f>IF(J446&lt;&gt;"Won","",IF(E446="",N(I446),I446-M446))</f>
        <v/>
      </c>
      <c r="O446" s="22" t="n"/>
    </row>
    <row r="447" ht="15" customHeight="1">
      <c r="A447" s="72" t="n"/>
      <c r="B447" s="22" t="n"/>
      <c r="C447" s="22" t="n"/>
      <c r="D447" s="22" t="n"/>
      <c r="E447" s="22" t="n"/>
      <c r="F447" s="26">
        <f>IF(E447="","",IF(COUNTIF(lst_Jobs,E447&amp;"")&gt;0,"OK","CHECK"))</f>
        <v/>
      </c>
      <c r="G447" s="22" t="n"/>
      <c r="H447" s="22" t="n"/>
      <c r="I447" s="24" t="n"/>
      <c r="J447" s="22" t="n"/>
      <c r="K447" s="23" t="n"/>
      <c r="L447" s="72" t="n"/>
      <c r="M447" s="27">
        <f>IF(E447="","",SUMIFS(tbl_Finance[Ex GST],tbl_Finance[Job Number],E447&amp;""))</f>
        <v/>
      </c>
      <c r="N447" s="27">
        <f>IF(J447&lt;&gt;"Won","",IF(E447="",N(I447),I447-M447))</f>
        <v/>
      </c>
      <c r="O447" s="22" t="n"/>
    </row>
    <row r="448" ht="15" customHeight="1">
      <c r="A448" s="72" t="n"/>
      <c r="B448" s="22" t="n"/>
      <c r="C448" s="22" t="n"/>
      <c r="D448" s="22" t="n"/>
      <c r="E448" s="22" t="n"/>
      <c r="F448" s="26">
        <f>IF(E448="","",IF(COUNTIF(lst_Jobs,E448&amp;"")&gt;0,"OK","CHECK"))</f>
        <v/>
      </c>
      <c r="G448" s="22" t="n"/>
      <c r="H448" s="22" t="n"/>
      <c r="I448" s="24" t="n"/>
      <c r="J448" s="22" t="n"/>
      <c r="K448" s="23" t="n"/>
      <c r="L448" s="72" t="n"/>
      <c r="M448" s="27">
        <f>IF(E448="","",SUMIFS(tbl_Finance[Ex GST],tbl_Finance[Job Number],E448&amp;""))</f>
        <v/>
      </c>
      <c r="N448" s="27">
        <f>IF(J448&lt;&gt;"Won","",IF(E448="",N(I448),I448-M448))</f>
        <v/>
      </c>
      <c r="O448" s="22" t="n"/>
    </row>
    <row r="449" ht="15" customHeight="1">
      <c r="A449" s="72" t="n"/>
      <c r="B449" s="22" t="n"/>
      <c r="C449" s="22" t="n"/>
      <c r="D449" s="22" t="n"/>
      <c r="E449" s="22" t="n"/>
      <c r="F449" s="26">
        <f>IF(E449="","",IF(COUNTIF(lst_Jobs,E449&amp;"")&gt;0,"OK","CHECK"))</f>
        <v/>
      </c>
      <c r="G449" s="22" t="n"/>
      <c r="H449" s="22" t="n"/>
      <c r="I449" s="24" t="n"/>
      <c r="J449" s="22" t="n"/>
      <c r="K449" s="23" t="n"/>
      <c r="L449" s="72" t="n"/>
      <c r="M449" s="27">
        <f>IF(E449="","",SUMIFS(tbl_Finance[Ex GST],tbl_Finance[Job Number],E449&amp;""))</f>
        <v/>
      </c>
      <c r="N449" s="27">
        <f>IF(J449&lt;&gt;"Won","",IF(E449="",N(I449),I449-M449))</f>
        <v/>
      </c>
      <c r="O449" s="22" t="n"/>
    </row>
    <row r="450" ht="15" customHeight="1">
      <c r="A450" s="72" t="n"/>
      <c r="B450" s="22" t="n"/>
      <c r="C450" s="22" t="n"/>
      <c r="D450" s="22" t="n"/>
      <c r="E450" s="22" t="n"/>
      <c r="F450" s="26">
        <f>IF(E450="","",IF(COUNTIF(lst_Jobs,E450&amp;"")&gt;0,"OK","CHECK"))</f>
        <v/>
      </c>
      <c r="G450" s="22" t="n"/>
      <c r="H450" s="22" t="n"/>
      <c r="I450" s="24" t="n"/>
      <c r="J450" s="22" t="n"/>
      <c r="K450" s="23" t="n"/>
      <c r="L450" s="72" t="n"/>
      <c r="M450" s="27">
        <f>IF(E450="","",SUMIFS(tbl_Finance[Ex GST],tbl_Finance[Job Number],E450&amp;""))</f>
        <v/>
      </c>
      <c r="N450" s="27">
        <f>IF(J450&lt;&gt;"Won","",IF(E450="",N(I450),I450-M450))</f>
        <v/>
      </c>
      <c r="O450" s="22" t="n"/>
    </row>
    <row r="451" ht="15" customHeight="1">
      <c r="A451" s="72" t="n"/>
      <c r="B451" s="22" t="n"/>
      <c r="C451" s="22" t="n"/>
      <c r="D451" s="22" t="n"/>
      <c r="E451" s="22" t="n"/>
      <c r="F451" s="26">
        <f>IF(E451="","",IF(COUNTIF(lst_Jobs,E451&amp;"")&gt;0,"OK","CHECK"))</f>
        <v/>
      </c>
      <c r="G451" s="22" t="n"/>
      <c r="H451" s="22" t="n"/>
      <c r="I451" s="24" t="n"/>
      <c r="J451" s="22" t="n"/>
      <c r="K451" s="23" t="n"/>
      <c r="L451" s="72" t="n"/>
      <c r="M451" s="27">
        <f>IF(E451="","",SUMIFS(tbl_Finance[Ex GST],tbl_Finance[Job Number],E451&amp;""))</f>
        <v/>
      </c>
      <c r="N451" s="27">
        <f>IF(J451&lt;&gt;"Won","",IF(E451="",N(I451),I451-M451))</f>
        <v/>
      </c>
      <c r="O451" s="22" t="n"/>
    </row>
    <row r="452" ht="15" customHeight="1">
      <c r="A452" s="72" t="n"/>
      <c r="B452" s="22" t="n"/>
      <c r="C452" s="22" t="n"/>
      <c r="D452" s="22" t="n"/>
      <c r="E452" s="22" t="n"/>
      <c r="F452" s="26">
        <f>IF(E452="","",IF(COUNTIF(lst_Jobs,E452&amp;"")&gt;0,"OK","CHECK"))</f>
        <v/>
      </c>
      <c r="G452" s="22" t="n"/>
      <c r="H452" s="22" t="n"/>
      <c r="I452" s="24" t="n"/>
      <c r="J452" s="22" t="n"/>
      <c r="K452" s="23" t="n"/>
      <c r="L452" s="72" t="n"/>
      <c r="M452" s="27">
        <f>IF(E452="","",SUMIFS(tbl_Finance[Ex GST],tbl_Finance[Job Number],E452&amp;""))</f>
        <v/>
      </c>
      <c r="N452" s="27">
        <f>IF(J452&lt;&gt;"Won","",IF(E452="",N(I452),I452-M452))</f>
        <v/>
      </c>
      <c r="O452" s="22" t="n"/>
    </row>
    <row r="453" ht="15" customHeight="1">
      <c r="A453" s="72" t="n"/>
      <c r="B453" s="22" t="n"/>
      <c r="C453" s="22" t="n"/>
      <c r="D453" s="22" t="n"/>
      <c r="E453" s="22" t="n"/>
      <c r="F453" s="26">
        <f>IF(E453="","",IF(COUNTIF(lst_Jobs,E453&amp;"")&gt;0,"OK","CHECK"))</f>
        <v/>
      </c>
      <c r="G453" s="22" t="n"/>
      <c r="H453" s="22" t="n"/>
      <c r="I453" s="24" t="n"/>
      <c r="J453" s="22" t="n"/>
      <c r="K453" s="23" t="n"/>
      <c r="L453" s="72" t="n"/>
      <c r="M453" s="27">
        <f>IF(E453="","",SUMIFS(tbl_Finance[Ex GST],tbl_Finance[Job Number],E453&amp;""))</f>
        <v/>
      </c>
      <c r="N453" s="27">
        <f>IF(J453&lt;&gt;"Won","",IF(E453="",N(I453),I453-M453))</f>
        <v/>
      </c>
      <c r="O453" s="22" t="n"/>
    </row>
    <row r="454" ht="15" customHeight="1">
      <c r="A454" s="72" t="n"/>
      <c r="B454" s="22" t="n"/>
      <c r="C454" s="22" t="n"/>
      <c r="D454" s="22" t="n"/>
      <c r="E454" s="22" t="n"/>
      <c r="F454" s="26">
        <f>IF(E454="","",IF(COUNTIF(lst_Jobs,E454&amp;"")&gt;0,"OK","CHECK"))</f>
        <v/>
      </c>
      <c r="G454" s="22" t="n"/>
      <c r="H454" s="22" t="n"/>
      <c r="I454" s="24" t="n"/>
      <c r="J454" s="22" t="n"/>
      <c r="K454" s="23" t="n"/>
      <c r="L454" s="72" t="n"/>
      <c r="M454" s="27">
        <f>IF(E454="","",SUMIFS(tbl_Finance[Ex GST],tbl_Finance[Job Number],E454&amp;""))</f>
        <v/>
      </c>
      <c r="N454" s="27">
        <f>IF(J454&lt;&gt;"Won","",IF(E454="",N(I454),I454-M454))</f>
        <v/>
      </c>
      <c r="O454" s="22" t="n"/>
    </row>
    <row r="455" ht="15" customHeight="1">
      <c r="A455" s="72" t="n"/>
      <c r="B455" s="22" t="n"/>
      <c r="C455" s="22" t="n"/>
      <c r="D455" s="22" t="n"/>
      <c r="E455" s="22" t="n"/>
      <c r="F455" s="26">
        <f>IF(E455="","",IF(COUNTIF(lst_Jobs,E455&amp;"")&gt;0,"OK","CHECK"))</f>
        <v/>
      </c>
      <c r="G455" s="22" t="n"/>
      <c r="H455" s="22" t="n"/>
      <c r="I455" s="24" t="n"/>
      <c r="J455" s="22" t="n"/>
      <c r="K455" s="23" t="n"/>
      <c r="L455" s="72" t="n"/>
      <c r="M455" s="27">
        <f>IF(E455="","",SUMIFS(tbl_Finance[Ex GST],tbl_Finance[Job Number],E455&amp;""))</f>
        <v/>
      </c>
      <c r="N455" s="27">
        <f>IF(J455&lt;&gt;"Won","",IF(E455="",N(I455),I455-M455))</f>
        <v/>
      </c>
      <c r="O455" s="22" t="n"/>
    </row>
    <row r="456" ht="15" customHeight="1">
      <c r="A456" s="72" t="n"/>
      <c r="B456" s="22" t="n"/>
      <c r="C456" s="22" t="n"/>
      <c r="D456" s="22" t="n"/>
      <c r="E456" s="22" t="n"/>
      <c r="F456" s="26">
        <f>IF(E456="","",IF(COUNTIF(lst_Jobs,E456&amp;"")&gt;0,"OK","CHECK"))</f>
        <v/>
      </c>
      <c r="G456" s="22" t="n"/>
      <c r="H456" s="22" t="n"/>
      <c r="I456" s="24" t="n"/>
      <c r="J456" s="22" t="n"/>
      <c r="K456" s="23" t="n"/>
      <c r="L456" s="72" t="n"/>
      <c r="M456" s="27">
        <f>IF(E456="","",SUMIFS(tbl_Finance[Ex GST],tbl_Finance[Job Number],E456&amp;""))</f>
        <v/>
      </c>
      <c r="N456" s="27">
        <f>IF(J456&lt;&gt;"Won","",IF(E456="",N(I456),I456-M456))</f>
        <v/>
      </c>
      <c r="O456" s="22" t="n"/>
    </row>
    <row r="457" ht="15" customHeight="1">
      <c r="A457" s="72" t="n"/>
      <c r="B457" s="22" t="n"/>
      <c r="C457" s="22" t="n"/>
      <c r="D457" s="22" t="n"/>
      <c r="E457" s="22" t="n"/>
      <c r="F457" s="26">
        <f>IF(E457="","",IF(COUNTIF(lst_Jobs,E457&amp;"")&gt;0,"OK","CHECK"))</f>
        <v/>
      </c>
      <c r="G457" s="22" t="n"/>
      <c r="H457" s="22" t="n"/>
      <c r="I457" s="24" t="n"/>
      <c r="J457" s="22" t="n"/>
      <c r="K457" s="23" t="n"/>
      <c r="L457" s="72" t="n"/>
      <c r="M457" s="27">
        <f>IF(E457="","",SUMIFS(tbl_Finance[Ex GST],tbl_Finance[Job Number],E457&amp;""))</f>
        <v/>
      </c>
      <c r="N457" s="27">
        <f>IF(J457&lt;&gt;"Won","",IF(E457="",N(I457),I457-M457))</f>
        <v/>
      </c>
      <c r="O457" s="22" t="n"/>
    </row>
    <row r="458" ht="15" customHeight="1">
      <c r="A458" s="72" t="n"/>
      <c r="B458" s="22" t="n"/>
      <c r="C458" s="22" t="n"/>
      <c r="D458" s="22" t="n"/>
      <c r="E458" s="22" t="n"/>
      <c r="F458" s="26">
        <f>IF(E458="","",IF(COUNTIF(lst_Jobs,E458&amp;"")&gt;0,"OK","CHECK"))</f>
        <v/>
      </c>
      <c r="G458" s="22" t="n"/>
      <c r="H458" s="22" t="n"/>
      <c r="I458" s="24" t="n"/>
      <c r="J458" s="22" t="n"/>
      <c r="K458" s="23" t="n"/>
      <c r="L458" s="72" t="n"/>
      <c r="M458" s="27">
        <f>IF(E458="","",SUMIFS(tbl_Finance[Ex GST],tbl_Finance[Job Number],E458&amp;""))</f>
        <v/>
      </c>
      <c r="N458" s="27">
        <f>IF(J458&lt;&gt;"Won","",IF(E458="",N(I458),I458-M458))</f>
        <v/>
      </c>
      <c r="O458" s="22" t="n"/>
    </row>
    <row r="459" ht="15" customHeight="1">
      <c r="A459" s="72" t="n"/>
      <c r="B459" s="22" t="n"/>
      <c r="C459" s="22" t="n"/>
      <c r="D459" s="22" t="n"/>
      <c r="E459" s="22" t="n"/>
      <c r="F459" s="26">
        <f>IF(E459="","",IF(COUNTIF(lst_Jobs,E459&amp;"")&gt;0,"OK","CHECK"))</f>
        <v/>
      </c>
      <c r="G459" s="22" t="n"/>
      <c r="H459" s="22" t="n"/>
      <c r="I459" s="24" t="n"/>
      <c r="J459" s="22" t="n"/>
      <c r="K459" s="23" t="n"/>
      <c r="L459" s="72" t="n"/>
      <c r="M459" s="27">
        <f>IF(E459="","",SUMIFS(tbl_Finance[Ex GST],tbl_Finance[Job Number],E459&amp;""))</f>
        <v/>
      </c>
      <c r="N459" s="27">
        <f>IF(J459&lt;&gt;"Won","",IF(E459="",N(I459),I459-M459))</f>
        <v/>
      </c>
      <c r="O459" s="22" t="n"/>
    </row>
    <row r="460" ht="15" customHeight="1">
      <c r="A460" s="72" t="n"/>
      <c r="B460" s="22" t="n"/>
      <c r="C460" s="22" t="n"/>
      <c r="D460" s="22" t="n"/>
      <c r="E460" s="22" t="n"/>
      <c r="F460" s="26">
        <f>IF(E460="","",IF(COUNTIF(lst_Jobs,E460&amp;"")&gt;0,"OK","CHECK"))</f>
        <v/>
      </c>
      <c r="G460" s="22" t="n"/>
      <c r="H460" s="22" t="n"/>
      <c r="I460" s="24" t="n"/>
      <c r="J460" s="22" t="n"/>
      <c r="K460" s="23" t="n"/>
      <c r="L460" s="72" t="n"/>
      <c r="M460" s="27">
        <f>IF(E460="","",SUMIFS(tbl_Finance[Ex GST],tbl_Finance[Job Number],E460&amp;""))</f>
        <v/>
      </c>
      <c r="N460" s="27">
        <f>IF(J460&lt;&gt;"Won","",IF(E460="",N(I460),I460-M460))</f>
        <v/>
      </c>
      <c r="O460" s="22" t="n"/>
    </row>
    <row r="461" ht="15" customHeight="1">
      <c r="A461" s="72" t="n"/>
      <c r="B461" s="22" t="n"/>
      <c r="C461" s="22" t="n"/>
      <c r="D461" s="22" t="n"/>
      <c r="E461" s="22" t="n"/>
      <c r="F461" s="26">
        <f>IF(E461="","",IF(COUNTIF(lst_Jobs,E461&amp;"")&gt;0,"OK","CHECK"))</f>
        <v/>
      </c>
      <c r="G461" s="22" t="n"/>
      <c r="H461" s="22" t="n"/>
      <c r="I461" s="24" t="n"/>
      <c r="J461" s="22" t="n"/>
      <c r="K461" s="23" t="n"/>
      <c r="L461" s="72" t="n"/>
      <c r="M461" s="27">
        <f>IF(E461="","",SUMIFS(tbl_Finance[Ex GST],tbl_Finance[Job Number],E461&amp;""))</f>
        <v/>
      </c>
      <c r="N461" s="27">
        <f>IF(J461&lt;&gt;"Won","",IF(E461="",N(I461),I461-M461))</f>
        <v/>
      </c>
      <c r="O461" s="22" t="n"/>
    </row>
    <row r="462" ht="15" customHeight="1">
      <c r="A462" s="72" t="n"/>
      <c r="B462" s="22" t="n"/>
      <c r="C462" s="22" t="n"/>
      <c r="D462" s="22" t="n"/>
      <c r="E462" s="22" t="n"/>
      <c r="F462" s="26">
        <f>IF(E462="","",IF(COUNTIF(lst_Jobs,E462&amp;"")&gt;0,"OK","CHECK"))</f>
        <v/>
      </c>
      <c r="G462" s="22" t="n"/>
      <c r="H462" s="22" t="n"/>
      <c r="I462" s="24" t="n"/>
      <c r="J462" s="22" t="n"/>
      <c r="K462" s="23" t="n"/>
      <c r="L462" s="72" t="n"/>
      <c r="M462" s="27">
        <f>IF(E462="","",SUMIFS(tbl_Finance[Ex GST],tbl_Finance[Job Number],E462&amp;""))</f>
        <v/>
      </c>
      <c r="N462" s="27">
        <f>IF(J462&lt;&gt;"Won","",IF(E462="",N(I462),I462-M462))</f>
        <v/>
      </c>
      <c r="O462" s="22" t="n"/>
    </row>
    <row r="463" ht="15" customHeight="1">
      <c r="A463" s="72" t="n"/>
      <c r="B463" s="22" t="n"/>
      <c r="C463" s="22" t="n"/>
      <c r="D463" s="22" t="n"/>
      <c r="E463" s="22" t="n"/>
      <c r="F463" s="26">
        <f>IF(E463="","",IF(COUNTIF(lst_Jobs,E463&amp;"")&gt;0,"OK","CHECK"))</f>
        <v/>
      </c>
      <c r="G463" s="22" t="n"/>
      <c r="H463" s="22" t="n"/>
      <c r="I463" s="24" t="n"/>
      <c r="J463" s="22" t="n"/>
      <c r="K463" s="23" t="n"/>
      <c r="L463" s="72" t="n"/>
      <c r="M463" s="27">
        <f>IF(E463="","",SUMIFS(tbl_Finance[Ex GST],tbl_Finance[Job Number],E463&amp;""))</f>
        <v/>
      </c>
      <c r="N463" s="27">
        <f>IF(J463&lt;&gt;"Won","",IF(E463="",N(I463),I463-M463))</f>
        <v/>
      </c>
      <c r="O463" s="22" t="n"/>
    </row>
    <row r="464" ht="15" customHeight="1">
      <c r="A464" s="72" t="n"/>
      <c r="B464" s="22" t="n"/>
      <c r="C464" s="22" t="n"/>
      <c r="D464" s="22" t="n"/>
      <c r="E464" s="22" t="n"/>
      <c r="F464" s="26">
        <f>IF(E464="","",IF(COUNTIF(lst_Jobs,E464&amp;"")&gt;0,"OK","CHECK"))</f>
        <v/>
      </c>
      <c r="G464" s="22" t="n"/>
      <c r="H464" s="22" t="n"/>
      <c r="I464" s="24" t="n"/>
      <c r="J464" s="22" t="n"/>
      <c r="K464" s="23" t="n"/>
      <c r="L464" s="72" t="n"/>
      <c r="M464" s="27">
        <f>IF(E464="","",SUMIFS(tbl_Finance[Ex GST],tbl_Finance[Job Number],E464&amp;""))</f>
        <v/>
      </c>
      <c r="N464" s="27">
        <f>IF(J464&lt;&gt;"Won","",IF(E464="",N(I464),I464-M464))</f>
        <v/>
      </c>
      <c r="O464" s="22" t="n"/>
    </row>
    <row r="465" ht="15" customHeight="1">
      <c r="A465" s="72" t="n"/>
      <c r="B465" s="22" t="n"/>
      <c r="C465" s="22" t="n"/>
      <c r="D465" s="22" t="n"/>
      <c r="E465" s="22" t="n"/>
      <c r="F465" s="26">
        <f>IF(E465="","",IF(COUNTIF(lst_Jobs,E465&amp;"")&gt;0,"OK","CHECK"))</f>
        <v/>
      </c>
      <c r="G465" s="22" t="n"/>
      <c r="H465" s="22" t="n"/>
      <c r="I465" s="24" t="n"/>
      <c r="J465" s="22" t="n"/>
      <c r="K465" s="23" t="n"/>
      <c r="L465" s="72" t="n"/>
      <c r="M465" s="27">
        <f>IF(E465="","",SUMIFS(tbl_Finance[Ex GST],tbl_Finance[Job Number],E465&amp;""))</f>
        <v/>
      </c>
      <c r="N465" s="27">
        <f>IF(J465&lt;&gt;"Won","",IF(E465="",N(I465),I465-M465))</f>
        <v/>
      </c>
      <c r="O465" s="22" t="n"/>
    </row>
    <row r="466" ht="15" customHeight="1">
      <c r="A466" s="72" t="n"/>
      <c r="B466" s="22" t="n"/>
      <c r="C466" s="22" t="n"/>
      <c r="D466" s="22" t="n"/>
      <c r="E466" s="22" t="n"/>
      <c r="F466" s="26">
        <f>IF(E466="","",IF(COUNTIF(lst_Jobs,E466&amp;"")&gt;0,"OK","CHECK"))</f>
        <v/>
      </c>
      <c r="G466" s="22" t="n"/>
      <c r="H466" s="22" t="n"/>
      <c r="I466" s="24" t="n"/>
      <c r="J466" s="22" t="n"/>
      <c r="K466" s="23" t="n"/>
      <c r="L466" s="72" t="n"/>
      <c r="M466" s="27">
        <f>IF(E466="","",SUMIFS(tbl_Finance[Ex GST],tbl_Finance[Job Number],E466&amp;""))</f>
        <v/>
      </c>
      <c r="N466" s="27">
        <f>IF(J466&lt;&gt;"Won","",IF(E466="",N(I466),I466-M466))</f>
        <v/>
      </c>
      <c r="O466" s="22" t="n"/>
    </row>
    <row r="467" ht="15" customHeight="1">
      <c r="A467" s="72" t="n"/>
      <c r="B467" s="22" t="n"/>
      <c r="C467" s="22" t="n"/>
      <c r="D467" s="22" t="n"/>
      <c r="E467" s="22" t="n"/>
      <c r="F467" s="26">
        <f>IF(E467="","",IF(COUNTIF(lst_Jobs,E467&amp;"")&gt;0,"OK","CHECK"))</f>
        <v/>
      </c>
      <c r="G467" s="22" t="n"/>
      <c r="H467" s="22" t="n"/>
      <c r="I467" s="24" t="n"/>
      <c r="J467" s="22" t="n"/>
      <c r="K467" s="23" t="n"/>
      <c r="L467" s="72" t="n"/>
      <c r="M467" s="27">
        <f>IF(E467="","",SUMIFS(tbl_Finance[Ex GST],tbl_Finance[Job Number],E467&amp;""))</f>
        <v/>
      </c>
      <c r="N467" s="27">
        <f>IF(J467&lt;&gt;"Won","",IF(E467="",N(I467),I467-M467))</f>
        <v/>
      </c>
      <c r="O467" s="22" t="n"/>
    </row>
    <row r="468" ht="15" customHeight="1">
      <c r="A468" s="72" t="n"/>
      <c r="B468" s="22" t="n"/>
      <c r="C468" s="22" t="n"/>
      <c r="D468" s="22" t="n"/>
      <c r="E468" s="22" t="n"/>
      <c r="F468" s="26">
        <f>IF(E468="","",IF(COUNTIF(lst_Jobs,E468&amp;"")&gt;0,"OK","CHECK"))</f>
        <v/>
      </c>
      <c r="G468" s="22" t="n"/>
      <c r="H468" s="22" t="n"/>
      <c r="I468" s="24" t="n"/>
      <c r="J468" s="22" t="n"/>
      <c r="K468" s="23" t="n"/>
      <c r="L468" s="72" t="n"/>
      <c r="M468" s="27">
        <f>IF(E468="","",SUMIFS(tbl_Finance[Ex GST],tbl_Finance[Job Number],E468&amp;""))</f>
        <v/>
      </c>
      <c r="N468" s="27">
        <f>IF(J468&lt;&gt;"Won","",IF(E468="",N(I468),I468-M468))</f>
        <v/>
      </c>
      <c r="O468" s="22" t="n"/>
    </row>
    <row r="469" ht="15" customHeight="1">
      <c r="A469" s="72" t="n"/>
      <c r="B469" s="22" t="n"/>
      <c r="C469" s="22" t="n"/>
      <c r="D469" s="22" t="n"/>
      <c r="E469" s="22" t="n"/>
      <c r="F469" s="26">
        <f>IF(E469="","",IF(COUNTIF(lst_Jobs,E469&amp;"")&gt;0,"OK","CHECK"))</f>
        <v/>
      </c>
      <c r="G469" s="22" t="n"/>
      <c r="H469" s="22" t="n"/>
      <c r="I469" s="24" t="n"/>
      <c r="J469" s="22" t="n"/>
      <c r="K469" s="23" t="n"/>
      <c r="L469" s="72" t="n"/>
      <c r="M469" s="27">
        <f>IF(E469="","",SUMIFS(tbl_Finance[Ex GST],tbl_Finance[Job Number],E469&amp;""))</f>
        <v/>
      </c>
      <c r="N469" s="27">
        <f>IF(J469&lt;&gt;"Won","",IF(E469="",N(I469),I469-M469))</f>
        <v/>
      </c>
      <c r="O469" s="22" t="n"/>
    </row>
    <row r="470" ht="15" customHeight="1">
      <c r="A470" s="72" t="n"/>
      <c r="B470" s="22" t="n"/>
      <c r="C470" s="22" t="n"/>
      <c r="D470" s="22" t="n"/>
      <c r="E470" s="22" t="n"/>
      <c r="F470" s="26">
        <f>IF(E470="","",IF(COUNTIF(lst_Jobs,E470&amp;"")&gt;0,"OK","CHECK"))</f>
        <v/>
      </c>
      <c r="G470" s="22" t="n"/>
      <c r="H470" s="22" t="n"/>
      <c r="I470" s="24" t="n"/>
      <c r="J470" s="22" t="n"/>
      <c r="K470" s="23" t="n"/>
      <c r="L470" s="72" t="n"/>
      <c r="M470" s="27">
        <f>IF(E470="","",SUMIFS(tbl_Finance[Ex GST],tbl_Finance[Job Number],E470&amp;""))</f>
        <v/>
      </c>
      <c r="N470" s="27">
        <f>IF(J470&lt;&gt;"Won","",IF(E470="",N(I470),I470-M470))</f>
        <v/>
      </c>
      <c r="O470" s="22" t="n"/>
    </row>
    <row r="471" ht="15" customHeight="1">
      <c r="A471" s="72" t="n"/>
      <c r="B471" s="22" t="n"/>
      <c r="C471" s="22" t="n"/>
      <c r="D471" s="22" t="n"/>
      <c r="E471" s="22" t="n"/>
      <c r="F471" s="26">
        <f>IF(E471="","",IF(COUNTIF(lst_Jobs,E471&amp;"")&gt;0,"OK","CHECK"))</f>
        <v/>
      </c>
      <c r="G471" s="22" t="n"/>
      <c r="H471" s="22" t="n"/>
      <c r="I471" s="24" t="n"/>
      <c r="J471" s="22" t="n"/>
      <c r="K471" s="23" t="n"/>
      <c r="L471" s="72" t="n"/>
      <c r="M471" s="27">
        <f>IF(E471="","",SUMIFS(tbl_Finance[Ex GST],tbl_Finance[Job Number],E471&amp;""))</f>
        <v/>
      </c>
      <c r="N471" s="27">
        <f>IF(J471&lt;&gt;"Won","",IF(E471="",N(I471),I471-M471))</f>
        <v/>
      </c>
      <c r="O471" s="22" t="n"/>
    </row>
    <row r="472" ht="15" customHeight="1">
      <c r="A472" s="72" t="n"/>
      <c r="B472" s="22" t="n"/>
      <c r="C472" s="22" t="n"/>
      <c r="D472" s="22" t="n"/>
      <c r="E472" s="22" t="n"/>
      <c r="F472" s="26">
        <f>IF(E472="","",IF(COUNTIF(lst_Jobs,E472&amp;"")&gt;0,"OK","CHECK"))</f>
        <v/>
      </c>
      <c r="G472" s="22" t="n"/>
      <c r="H472" s="22" t="n"/>
      <c r="I472" s="24" t="n"/>
      <c r="J472" s="22" t="n"/>
      <c r="K472" s="23" t="n"/>
      <c r="L472" s="72" t="n"/>
      <c r="M472" s="27">
        <f>IF(E472="","",SUMIFS(tbl_Finance[Ex GST],tbl_Finance[Job Number],E472&amp;""))</f>
        <v/>
      </c>
      <c r="N472" s="27">
        <f>IF(J472&lt;&gt;"Won","",IF(E472="",N(I472),I472-M472))</f>
        <v/>
      </c>
      <c r="O472" s="22" t="n"/>
    </row>
    <row r="473" ht="15" customHeight="1">
      <c r="A473" s="72" t="n"/>
      <c r="B473" s="22" t="n"/>
      <c r="C473" s="22" t="n"/>
      <c r="D473" s="22" t="n"/>
      <c r="E473" s="22" t="n"/>
      <c r="F473" s="26">
        <f>IF(E473="","",IF(COUNTIF(lst_Jobs,E473&amp;"")&gt;0,"OK","CHECK"))</f>
        <v/>
      </c>
      <c r="G473" s="22" t="n"/>
      <c r="H473" s="22" t="n"/>
      <c r="I473" s="24" t="n"/>
      <c r="J473" s="22" t="n"/>
      <c r="K473" s="23" t="n"/>
      <c r="L473" s="72" t="n"/>
      <c r="M473" s="27">
        <f>IF(E473="","",SUMIFS(tbl_Finance[Ex GST],tbl_Finance[Job Number],E473&amp;""))</f>
        <v/>
      </c>
      <c r="N473" s="27">
        <f>IF(J473&lt;&gt;"Won","",IF(E473="",N(I473),I473-M473))</f>
        <v/>
      </c>
      <c r="O473" s="22" t="n"/>
    </row>
    <row r="474" ht="15" customHeight="1">
      <c r="A474" s="72" t="n"/>
      <c r="B474" s="22" t="n"/>
      <c r="C474" s="22" t="n"/>
      <c r="D474" s="22" t="n"/>
      <c r="E474" s="22" t="n"/>
      <c r="F474" s="26">
        <f>IF(E474="","",IF(COUNTIF(lst_Jobs,E474&amp;"")&gt;0,"OK","CHECK"))</f>
        <v/>
      </c>
      <c r="G474" s="22" t="n"/>
      <c r="H474" s="22" t="n"/>
      <c r="I474" s="24" t="n"/>
      <c r="J474" s="22" t="n"/>
      <c r="K474" s="23" t="n"/>
      <c r="L474" s="72" t="n"/>
      <c r="M474" s="27">
        <f>IF(E474="","",SUMIFS(tbl_Finance[Ex GST],tbl_Finance[Job Number],E474&amp;""))</f>
        <v/>
      </c>
      <c r="N474" s="27">
        <f>IF(J474&lt;&gt;"Won","",IF(E474="",N(I474),I474-M474))</f>
        <v/>
      </c>
      <c r="O474" s="22" t="n"/>
    </row>
    <row r="475" ht="15" customHeight="1">
      <c r="A475" s="72" t="n"/>
      <c r="B475" s="22" t="n"/>
      <c r="C475" s="22" t="n"/>
      <c r="D475" s="22" t="n"/>
      <c r="E475" s="22" t="n"/>
      <c r="F475" s="26">
        <f>IF(E475="","",IF(COUNTIF(lst_Jobs,E475&amp;"")&gt;0,"OK","CHECK"))</f>
        <v/>
      </c>
      <c r="G475" s="22" t="n"/>
      <c r="H475" s="22" t="n"/>
      <c r="I475" s="24" t="n"/>
      <c r="J475" s="22" t="n"/>
      <c r="K475" s="23" t="n"/>
      <c r="L475" s="72" t="n"/>
      <c r="M475" s="27">
        <f>IF(E475="","",SUMIFS(tbl_Finance[Ex GST],tbl_Finance[Job Number],E475&amp;""))</f>
        <v/>
      </c>
      <c r="N475" s="27">
        <f>IF(J475&lt;&gt;"Won","",IF(E475="",N(I475),I475-M475))</f>
        <v/>
      </c>
      <c r="O475" s="22" t="n"/>
    </row>
    <row r="476" ht="15" customHeight="1">
      <c r="A476" s="72" t="n"/>
      <c r="B476" s="22" t="n"/>
      <c r="C476" s="22" t="n"/>
      <c r="D476" s="22" t="n"/>
      <c r="E476" s="22" t="n"/>
      <c r="F476" s="26">
        <f>IF(E476="","",IF(COUNTIF(lst_Jobs,E476&amp;"")&gt;0,"OK","CHECK"))</f>
        <v/>
      </c>
      <c r="G476" s="22" t="n"/>
      <c r="H476" s="22" t="n"/>
      <c r="I476" s="24" t="n"/>
      <c r="J476" s="22" t="n"/>
      <c r="K476" s="23" t="n"/>
      <c r="L476" s="72" t="n"/>
      <c r="M476" s="27">
        <f>IF(E476="","",SUMIFS(tbl_Finance[Ex GST],tbl_Finance[Job Number],E476&amp;""))</f>
        <v/>
      </c>
      <c r="N476" s="27">
        <f>IF(J476&lt;&gt;"Won","",IF(E476="",N(I476),I476-M476))</f>
        <v/>
      </c>
      <c r="O476" s="22" t="n"/>
    </row>
    <row r="477" ht="15" customHeight="1">
      <c r="A477" s="72" t="n"/>
      <c r="B477" s="22" t="n"/>
      <c r="C477" s="22" t="n"/>
      <c r="D477" s="22" t="n"/>
      <c r="E477" s="22" t="n"/>
      <c r="F477" s="26">
        <f>IF(E477="","",IF(COUNTIF(lst_Jobs,E477&amp;"")&gt;0,"OK","CHECK"))</f>
        <v/>
      </c>
      <c r="G477" s="22" t="n"/>
      <c r="H477" s="22" t="n"/>
      <c r="I477" s="24" t="n"/>
      <c r="J477" s="22" t="n"/>
      <c r="K477" s="23" t="n"/>
      <c r="L477" s="72" t="n"/>
      <c r="M477" s="27">
        <f>IF(E477="","",SUMIFS(tbl_Finance[Ex GST],tbl_Finance[Job Number],E477&amp;""))</f>
        <v/>
      </c>
      <c r="N477" s="27">
        <f>IF(J477&lt;&gt;"Won","",IF(E477="",N(I477),I477-M477))</f>
        <v/>
      </c>
      <c r="O477" s="22" t="n"/>
    </row>
    <row r="478" ht="15" customHeight="1">
      <c r="A478" s="72" t="n"/>
      <c r="B478" s="22" t="n"/>
      <c r="C478" s="22" t="n"/>
      <c r="D478" s="22" t="n"/>
      <c r="E478" s="22" t="n"/>
      <c r="F478" s="26">
        <f>IF(E478="","",IF(COUNTIF(lst_Jobs,E478&amp;"")&gt;0,"OK","CHECK"))</f>
        <v/>
      </c>
      <c r="G478" s="22" t="n"/>
      <c r="H478" s="22" t="n"/>
      <c r="I478" s="24" t="n"/>
      <c r="J478" s="22" t="n"/>
      <c r="K478" s="23" t="n"/>
      <c r="L478" s="72" t="n"/>
      <c r="M478" s="27">
        <f>IF(E478="","",SUMIFS(tbl_Finance[Ex GST],tbl_Finance[Job Number],E478&amp;""))</f>
        <v/>
      </c>
      <c r="N478" s="27">
        <f>IF(J478&lt;&gt;"Won","",IF(E478="",N(I478),I478-M478))</f>
        <v/>
      </c>
      <c r="O478" s="22" t="n"/>
    </row>
    <row r="479" ht="15" customHeight="1">
      <c r="A479" s="72" t="n"/>
      <c r="B479" s="22" t="n"/>
      <c r="C479" s="22" t="n"/>
      <c r="D479" s="22" t="n"/>
      <c r="E479" s="22" t="n"/>
      <c r="F479" s="26">
        <f>IF(E479="","",IF(COUNTIF(lst_Jobs,E479&amp;"")&gt;0,"OK","CHECK"))</f>
        <v/>
      </c>
      <c r="G479" s="22" t="n"/>
      <c r="H479" s="22" t="n"/>
      <c r="I479" s="24" t="n"/>
      <c r="J479" s="22" t="n"/>
      <c r="K479" s="23" t="n"/>
      <c r="L479" s="72" t="n"/>
      <c r="M479" s="27">
        <f>IF(E479="","",SUMIFS(tbl_Finance[Ex GST],tbl_Finance[Job Number],E479&amp;""))</f>
        <v/>
      </c>
      <c r="N479" s="27">
        <f>IF(J479&lt;&gt;"Won","",IF(E479="",N(I479),I479-M479))</f>
        <v/>
      </c>
      <c r="O479" s="22" t="n"/>
    </row>
    <row r="480" ht="15" customHeight="1">
      <c r="A480" s="72" t="n"/>
      <c r="B480" s="22" t="n"/>
      <c r="C480" s="22" t="n"/>
      <c r="D480" s="22" t="n"/>
      <c r="E480" s="22" t="n"/>
      <c r="F480" s="26">
        <f>IF(E480="","",IF(COUNTIF(lst_Jobs,E480&amp;"")&gt;0,"OK","CHECK"))</f>
        <v/>
      </c>
      <c r="G480" s="22" t="n"/>
      <c r="H480" s="22" t="n"/>
      <c r="I480" s="24" t="n"/>
      <c r="J480" s="22" t="n"/>
      <c r="K480" s="23" t="n"/>
      <c r="L480" s="72" t="n"/>
      <c r="M480" s="27">
        <f>IF(E480="","",SUMIFS(tbl_Finance[Ex GST],tbl_Finance[Job Number],E480&amp;""))</f>
        <v/>
      </c>
      <c r="N480" s="27">
        <f>IF(J480&lt;&gt;"Won","",IF(E480="",N(I480),I480-M480))</f>
        <v/>
      </c>
      <c r="O480" s="22" t="n"/>
    </row>
    <row r="481" ht="15" customHeight="1">
      <c r="A481" s="72" t="n"/>
      <c r="B481" s="22" t="n"/>
      <c r="C481" s="22" t="n"/>
      <c r="D481" s="22" t="n"/>
      <c r="E481" s="22" t="n"/>
      <c r="F481" s="26">
        <f>IF(E481="","",IF(COUNTIF(lst_Jobs,E481&amp;"")&gt;0,"OK","CHECK"))</f>
        <v/>
      </c>
      <c r="G481" s="22" t="n"/>
      <c r="H481" s="22" t="n"/>
      <c r="I481" s="24" t="n"/>
      <c r="J481" s="22" t="n"/>
      <c r="K481" s="23" t="n"/>
      <c r="L481" s="72" t="n"/>
      <c r="M481" s="27">
        <f>IF(E481="","",SUMIFS(tbl_Finance[Ex GST],tbl_Finance[Job Number],E481&amp;""))</f>
        <v/>
      </c>
      <c r="N481" s="27">
        <f>IF(J481&lt;&gt;"Won","",IF(E481="",N(I481),I481-M481))</f>
        <v/>
      </c>
      <c r="O481" s="22" t="n"/>
    </row>
    <row r="482" ht="15" customHeight="1">
      <c r="A482" s="72" t="n"/>
      <c r="B482" s="22" t="n"/>
      <c r="C482" s="22" t="n"/>
      <c r="D482" s="22" t="n"/>
      <c r="E482" s="22" t="n"/>
      <c r="F482" s="26">
        <f>IF(E482="","",IF(COUNTIF(lst_Jobs,E482&amp;"")&gt;0,"OK","CHECK"))</f>
        <v/>
      </c>
      <c r="G482" s="22" t="n"/>
      <c r="H482" s="22" t="n"/>
      <c r="I482" s="24" t="n"/>
      <c r="J482" s="22" t="n"/>
      <c r="K482" s="23" t="n"/>
      <c r="L482" s="72" t="n"/>
      <c r="M482" s="27">
        <f>IF(E482="","",SUMIFS(tbl_Finance[Ex GST],tbl_Finance[Job Number],E482&amp;""))</f>
        <v/>
      </c>
      <c r="N482" s="27">
        <f>IF(J482&lt;&gt;"Won","",IF(E482="",N(I482),I482-M482))</f>
        <v/>
      </c>
      <c r="O482" s="22" t="n"/>
    </row>
    <row r="483" ht="15" customHeight="1">
      <c r="A483" s="72" t="n"/>
      <c r="B483" s="22" t="n"/>
      <c r="C483" s="22" t="n"/>
      <c r="D483" s="22" t="n"/>
      <c r="E483" s="22" t="n"/>
      <c r="F483" s="26">
        <f>IF(E483="","",IF(COUNTIF(lst_Jobs,E483&amp;"")&gt;0,"OK","CHECK"))</f>
        <v/>
      </c>
      <c r="G483" s="22" t="n"/>
      <c r="H483" s="22" t="n"/>
      <c r="I483" s="24" t="n"/>
      <c r="J483" s="22" t="n"/>
      <c r="K483" s="23" t="n"/>
      <c r="L483" s="72" t="n"/>
      <c r="M483" s="27">
        <f>IF(E483="","",SUMIFS(tbl_Finance[Ex GST],tbl_Finance[Job Number],E483&amp;""))</f>
        <v/>
      </c>
      <c r="N483" s="27">
        <f>IF(J483&lt;&gt;"Won","",IF(E483="",N(I483),I483-M483))</f>
        <v/>
      </c>
      <c r="O483" s="22" t="n"/>
    </row>
    <row r="484" ht="15" customHeight="1">
      <c r="A484" s="72" t="n"/>
      <c r="B484" s="22" t="n"/>
      <c r="C484" s="22" t="n"/>
      <c r="D484" s="22" t="n"/>
      <c r="E484" s="22" t="n"/>
      <c r="F484" s="26">
        <f>IF(E484="","",IF(COUNTIF(lst_Jobs,E484&amp;"")&gt;0,"OK","CHECK"))</f>
        <v/>
      </c>
      <c r="G484" s="22" t="n"/>
      <c r="H484" s="22" t="n"/>
      <c r="I484" s="24" t="n"/>
      <c r="J484" s="22" t="n"/>
      <c r="K484" s="23" t="n"/>
      <c r="L484" s="72" t="n"/>
      <c r="M484" s="27">
        <f>IF(E484="","",SUMIFS(tbl_Finance[Ex GST],tbl_Finance[Job Number],E484&amp;""))</f>
        <v/>
      </c>
      <c r="N484" s="27">
        <f>IF(J484&lt;&gt;"Won","",IF(E484="",N(I484),I484-M484))</f>
        <v/>
      </c>
      <c r="O484" s="22" t="n"/>
    </row>
    <row r="485" ht="15" customHeight="1">
      <c r="A485" s="72" t="n"/>
      <c r="B485" s="22" t="n"/>
      <c r="C485" s="22" t="n"/>
      <c r="D485" s="22" t="n"/>
      <c r="E485" s="22" t="n"/>
      <c r="F485" s="26">
        <f>IF(E485="","",IF(COUNTIF(lst_Jobs,E485&amp;"")&gt;0,"OK","CHECK"))</f>
        <v/>
      </c>
      <c r="G485" s="22" t="n"/>
      <c r="H485" s="22" t="n"/>
      <c r="I485" s="24" t="n"/>
      <c r="J485" s="22" t="n"/>
      <c r="K485" s="23" t="n"/>
      <c r="L485" s="72" t="n"/>
      <c r="M485" s="27">
        <f>IF(E485="","",SUMIFS(tbl_Finance[Ex GST],tbl_Finance[Job Number],E485&amp;""))</f>
        <v/>
      </c>
      <c r="N485" s="27">
        <f>IF(J485&lt;&gt;"Won","",IF(E485="",N(I485),I485-M485))</f>
        <v/>
      </c>
      <c r="O485" s="22" t="n"/>
    </row>
    <row r="486" ht="15" customHeight="1">
      <c r="A486" s="72" t="n"/>
      <c r="B486" s="22" t="n"/>
      <c r="C486" s="22" t="n"/>
      <c r="D486" s="22" t="n"/>
      <c r="E486" s="22" t="n"/>
      <c r="F486" s="26">
        <f>IF(E486="","",IF(COUNTIF(lst_Jobs,E486&amp;"")&gt;0,"OK","CHECK"))</f>
        <v/>
      </c>
      <c r="G486" s="22" t="n"/>
      <c r="H486" s="22" t="n"/>
      <c r="I486" s="24" t="n"/>
      <c r="J486" s="22" t="n"/>
      <c r="K486" s="23" t="n"/>
      <c r="L486" s="72" t="n"/>
      <c r="M486" s="27">
        <f>IF(E486="","",SUMIFS(tbl_Finance[Ex GST],tbl_Finance[Job Number],E486&amp;""))</f>
        <v/>
      </c>
      <c r="N486" s="27">
        <f>IF(J486&lt;&gt;"Won","",IF(E486="",N(I486),I486-M486))</f>
        <v/>
      </c>
      <c r="O486" s="22" t="n"/>
    </row>
    <row r="487" ht="15" customHeight="1">
      <c r="A487" s="72" t="n"/>
      <c r="B487" s="22" t="n"/>
      <c r="C487" s="22" t="n"/>
      <c r="D487" s="22" t="n"/>
      <c r="E487" s="22" t="n"/>
      <c r="F487" s="26">
        <f>IF(E487="","",IF(COUNTIF(lst_Jobs,E487&amp;"")&gt;0,"OK","CHECK"))</f>
        <v/>
      </c>
      <c r="G487" s="22" t="n"/>
      <c r="H487" s="22" t="n"/>
      <c r="I487" s="24" t="n"/>
      <c r="J487" s="22" t="n"/>
      <c r="K487" s="23" t="n"/>
      <c r="L487" s="72" t="n"/>
      <c r="M487" s="27">
        <f>IF(E487="","",SUMIFS(tbl_Finance[Ex GST],tbl_Finance[Job Number],E487&amp;""))</f>
        <v/>
      </c>
      <c r="N487" s="27">
        <f>IF(J487&lt;&gt;"Won","",IF(E487="",N(I487),I487-M487))</f>
        <v/>
      </c>
      <c r="O487" s="22" t="n"/>
    </row>
    <row r="488" ht="15" customHeight="1">
      <c r="A488" s="72" t="n"/>
      <c r="B488" s="22" t="n"/>
      <c r="C488" s="22" t="n"/>
      <c r="D488" s="22" t="n"/>
      <c r="E488" s="22" t="n"/>
      <c r="F488" s="26">
        <f>IF(E488="","",IF(COUNTIF(lst_Jobs,E488&amp;"")&gt;0,"OK","CHECK"))</f>
        <v/>
      </c>
      <c r="G488" s="22" t="n"/>
      <c r="H488" s="22" t="n"/>
      <c r="I488" s="24" t="n"/>
      <c r="J488" s="22" t="n"/>
      <c r="K488" s="23" t="n"/>
      <c r="L488" s="72" t="n"/>
      <c r="M488" s="27">
        <f>IF(E488="","",SUMIFS(tbl_Finance[Ex GST],tbl_Finance[Job Number],E488&amp;""))</f>
        <v/>
      </c>
      <c r="N488" s="27">
        <f>IF(J488&lt;&gt;"Won","",IF(E488="",N(I488),I488-M488))</f>
        <v/>
      </c>
      <c r="O488" s="22" t="n"/>
    </row>
    <row r="489" ht="15" customHeight="1">
      <c r="A489" s="72" t="n"/>
      <c r="B489" s="22" t="n"/>
      <c r="C489" s="22" t="n"/>
      <c r="D489" s="22" t="n"/>
      <c r="E489" s="22" t="n"/>
      <c r="F489" s="26">
        <f>IF(E489="","",IF(COUNTIF(lst_Jobs,E489&amp;"")&gt;0,"OK","CHECK"))</f>
        <v/>
      </c>
      <c r="G489" s="22" t="n"/>
      <c r="H489" s="22" t="n"/>
      <c r="I489" s="24" t="n"/>
      <c r="J489" s="22" t="n"/>
      <c r="K489" s="23" t="n"/>
      <c r="L489" s="72" t="n"/>
      <c r="M489" s="27">
        <f>IF(E489="","",SUMIFS(tbl_Finance[Ex GST],tbl_Finance[Job Number],E489&amp;""))</f>
        <v/>
      </c>
      <c r="N489" s="27">
        <f>IF(J489&lt;&gt;"Won","",IF(E489="",N(I489),I489-M489))</f>
        <v/>
      </c>
      <c r="O489" s="22" t="n"/>
    </row>
    <row r="490" ht="15" customHeight="1">
      <c r="A490" s="72" t="n"/>
      <c r="B490" s="22" t="n"/>
      <c r="C490" s="22" t="n"/>
      <c r="D490" s="22" t="n"/>
      <c r="E490" s="22" t="n"/>
      <c r="F490" s="26">
        <f>IF(E490="","",IF(COUNTIF(lst_Jobs,E490&amp;"")&gt;0,"OK","CHECK"))</f>
        <v/>
      </c>
      <c r="G490" s="22" t="n"/>
      <c r="H490" s="22" t="n"/>
      <c r="I490" s="24" t="n"/>
      <c r="J490" s="22" t="n"/>
      <c r="K490" s="23" t="n"/>
      <c r="L490" s="72" t="n"/>
      <c r="M490" s="27">
        <f>IF(E490="","",SUMIFS(tbl_Finance[Ex GST],tbl_Finance[Job Number],E490&amp;""))</f>
        <v/>
      </c>
      <c r="N490" s="27">
        <f>IF(J490&lt;&gt;"Won","",IF(E490="",N(I490),I490-M490))</f>
        <v/>
      </c>
      <c r="O490" s="22" t="n"/>
    </row>
    <row r="491" ht="15" customHeight="1">
      <c r="A491" s="72" t="n"/>
      <c r="B491" s="22" t="n"/>
      <c r="C491" s="22" t="n"/>
      <c r="D491" s="22" t="n"/>
      <c r="E491" s="22" t="n"/>
      <c r="F491" s="26">
        <f>IF(E491="","",IF(COUNTIF(lst_Jobs,E491&amp;"")&gt;0,"OK","CHECK"))</f>
        <v/>
      </c>
      <c r="G491" s="22" t="n"/>
      <c r="H491" s="22" t="n"/>
      <c r="I491" s="24" t="n"/>
      <c r="J491" s="22" t="n"/>
      <c r="K491" s="23" t="n"/>
      <c r="L491" s="72" t="n"/>
      <c r="M491" s="27">
        <f>IF(E491="","",SUMIFS(tbl_Finance[Ex GST],tbl_Finance[Job Number],E491&amp;""))</f>
        <v/>
      </c>
      <c r="N491" s="27">
        <f>IF(J491&lt;&gt;"Won","",IF(E491="",N(I491),I491-M491))</f>
        <v/>
      </c>
      <c r="O491" s="22" t="n"/>
    </row>
    <row r="492" ht="15" customHeight="1">
      <c r="A492" s="72" t="n"/>
      <c r="B492" s="22" t="n"/>
      <c r="C492" s="22" t="n"/>
      <c r="D492" s="22" t="n"/>
      <c r="E492" s="22" t="n"/>
      <c r="F492" s="26">
        <f>IF(E492="","",IF(COUNTIF(lst_Jobs,E492&amp;"")&gt;0,"OK","CHECK"))</f>
        <v/>
      </c>
      <c r="G492" s="22" t="n"/>
      <c r="H492" s="22" t="n"/>
      <c r="I492" s="24" t="n"/>
      <c r="J492" s="22" t="n"/>
      <c r="K492" s="23" t="n"/>
      <c r="L492" s="72" t="n"/>
      <c r="M492" s="27">
        <f>IF(E492="","",SUMIFS(tbl_Finance[Ex GST],tbl_Finance[Job Number],E492&amp;""))</f>
        <v/>
      </c>
      <c r="N492" s="27">
        <f>IF(J492&lt;&gt;"Won","",IF(E492="",N(I492),I492-M492))</f>
        <v/>
      </c>
      <c r="O492" s="22" t="n"/>
    </row>
    <row r="493" ht="15" customHeight="1">
      <c r="A493" s="72" t="n"/>
      <c r="B493" s="22" t="n"/>
      <c r="C493" s="22" t="n"/>
      <c r="D493" s="22" t="n"/>
      <c r="E493" s="22" t="n"/>
      <c r="F493" s="26">
        <f>IF(E493="","",IF(COUNTIF(lst_Jobs,E493&amp;"")&gt;0,"OK","CHECK"))</f>
        <v/>
      </c>
      <c r="G493" s="22" t="n"/>
      <c r="H493" s="22" t="n"/>
      <c r="I493" s="24" t="n"/>
      <c r="J493" s="22" t="n"/>
      <c r="K493" s="23" t="n"/>
      <c r="L493" s="72" t="n"/>
      <c r="M493" s="27">
        <f>IF(E493="","",SUMIFS(tbl_Finance[Ex GST],tbl_Finance[Job Number],E493&amp;""))</f>
        <v/>
      </c>
      <c r="N493" s="27">
        <f>IF(J493&lt;&gt;"Won","",IF(E493="",N(I493),I493-M493))</f>
        <v/>
      </c>
      <c r="O493" s="22" t="n"/>
    </row>
    <row r="494" ht="15" customHeight="1">
      <c r="A494" s="72" t="n"/>
      <c r="B494" s="22" t="n"/>
      <c r="C494" s="22" t="n"/>
      <c r="D494" s="22" t="n"/>
      <c r="E494" s="22" t="n"/>
      <c r="F494" s="26">
        <f>IF(E494="","",IF(COUNTIF(lst_Jobs,E494&amp;"")&gt;0,"OK","CHECK"))</f>
        <v/>
      </c>
      <c r="G494" s="22" t="n"/>
      <c r="H494" s="22" t="n"/>
      <c r="I494" s="24" t="n"/>
      <c r="J494" s="22" t="n"/>
      <c r="K494" s="23" t="n"/>
      <c r="L494" s="72" t="n"/>
      <c r="M494" s="27">
        <f>IF(E494="","",SUMIFS(tbl_Finance[Ex GST],tbl_Finance[Job Number],E494&amp;""))</f>
        <v/>
      </c>
      <c r="N494" s="27">
        <f>IF(J494&lt;&gt;"Won","",IF(E494="",N(I494),I494-M494))</f>
        <v/>
      </c>
      <c r="O494" s="22" t="n"/>
    </row>
    <row r="495" ht="15" customHeight="1">
      <c r="A495" s="72" t="n"/>
      <c r="B495" s="22" t="n"/>
      <c r="C495" s="22" t="n"/>
      <c r="D495" s="22" t="n"/>
      <c r="E495" s="22" t="n"/>
      <c r="F495" s="26">
        <f>IF(E495="","",IF(COUNTIF(lst_Jobs,E495&amp;"")&gt;0,"OK","CHECK"))</f>
        <v/>
      </c>
      <c r="G495" s="22" t="n"/>
      <c r="H495" s="22" t="n"/>
      <c r="I495" s="24" t="n"/>
      <c r="J495" s="22" t="n"/>
      <c r="K495" s="23" t="n"/>
      <c r="L495" s="72" t="n"/>
      <c r="M495" s="27">
        <f>IF(E495="","",SUMIFS(tbl_Finance[Ex GST],tbl_Finance[Job Number],E495&amp;""))</f>
        <v/>
      </c>
      <c r="N495" s="27">
        <f>IF(J495&lt;&gt;"Won","",IF(E495="",N(I495),I495-M495))</f>
        <v/>
      </c>
      <c r="O495" s="22" t="n"/>
    </row>
    <row r="496" ht="15" customHeight="1">
      <c r="A496" s="72" t="n"/>
      <c r="B496" s="22" t="n"/>
      <c r="C496" s="22" t="n"/>
      <c r="D496" s="22" t="n"/>
      <c r="E496" s="22" t="n"/>
      <c r="F496" s="26">
        <f>IF(E496="","",IF(COUNTIF(lst_Jobs,E496&amp;"")&gt;0,"OK","CHECK"))</f>
        <v/>
      </c>
      <c r="G496" s="22" t="n"/>
      <c r="H496" s="22" t="n"/>
      <c r="I496" s="24" t="n"/>
      <c r="J496" s="22" t="n"/>
      <c r="K496" s="23" t="n"/>
      <c r="L496" s="72" t="n"/>
      <c r="M496" s="27">
        <f>IF(E496="","",SUMIFS(tbl_Finance[Ex GST],tbl_Finance[Job Number],E496&amp;""))</f>
        <v/>
      </c>
      <c r="N496" s="27">
        <f>IF(J496&lt;&gt;"Won","",IF(E496="",N(I496),I496-M496))</f>
        <v/>
      </c>
      <c r="O496" s="22" t="n"/>
    </row>
    <row r="497" ht="15" customHeight="1">
      <c r="A497" s="72" t="n"/>
      <c r="B497" s="22" t="n"/>
      <c r="C497" s="22" t="n"/>
      <c r="D497" s="22" t="n"/>
      <c r="E497" s="22" t="n"/>
      <c r="F497" s="26">
        <f>IF(E497="","",IF(COUNTIF(lst_Jobs,E497&amp;"")&gt;0,"OK","CHECK"))</f>
        <v/>
      </c>
      <c r="G497" s="22" t="n"/>
      <c r="H497" s="22" t="n"/>
      <c r="I497" s="24" t="n"/>
      <c r="J497" s="22" t="n"/>
      <c r="K497" s="23" t="n"/>
      <c r="L497" s="72" t="n"/>
      <c r="M497" s="27">
        <f>IF(E497="","",SUMIFS(tbl_Finance[Ex GST],tbl_Finance[Job Number],E497&amp;""))</f>
        <v/>
      </c>
      <c r="N497" s="27">
        <f>IF(J497&lt;&gt;"Won","",IF(E497="",N(I497),I497-M497))</f>
        <v/>
      </c>
      <c r="O497" s="22" t="n"/>
    </row>
    <row r="498" ht="15" customHeight="1">
      <c r="A498" s="72" t="n"/>
      <c r="B498" s="22" t="n"/>
      <c r="C498" s="22" t="n"/>
      <c r="D498" s="22" t="n"/>
      <c r="E498" s="22" t="n"/>
      <c r="F498" s="26">
        <f>IF(E498="","",IF(COUNTIF(lst_Jobs,E498&amp;"")&gt;0,"OK","CHECK"))</f>
        <v/>
      </c>
      <c r="G498" s="22" t="n"/>
      <c r="H498" s="22" t="n"/>
      <c r="I498" s="24" t="n"/>
      <c r="J498" s="22" t="n"/>
      <c r="K498" s="23" t="n"/>
      <c r="L498" s="72" t="n"/>
      <c r="M498" s="27">
        <f>IF(E498="","",SUMIFS(tbl_Finance[Ex GST],tbl_Finance[Job Number],E498&amp;""))</f>
        <v/>
      </c>
      <c r="N498" s="27">
        <f>IF(J498&lt;&gt;"Won","",IF(E498="",N(I498),I498-M498))</f>
        <v/>
      </c>
      <c r="O498" s="22" t="n"/>
    </row>
    <row r="499" ht="15" customHeight="1">
      <c r="A499" s="72" t="n"/>
      <c r="B499" s="22" t="n"/>
      <c r="C499" s="22" t="n"/>
      <c r="D499" s="22" t="n"/>
      <c r="E499" s="22" t="n"/>
      <c r="F499" s="26">
        <f>IF(E499="","",IF(COUNTIF(lst_Jobs,E499&amp;"")&gt;0,"OK","CHECK"))</f>
        <v/>
      </c>
      <c r="G499" s="22" t="n"/>
      <c r="H499" s="22" t="n"/>
      <c r="I499" s="24" t="n"/>
      <c r="J499" s="22" t="n"/>
      <c r="K499" s="23" t="n"/>
      <c r="L499" s="72" t="n"/>
      <c r="M499" s="27">
        <f>IF(E499="","",SUMIFS(tbl_Finance[Ex GST],tbl_Finance[Job Number],E499&amp;""))</f>
        <v/>
      </c>
      <c r="N499" s="27">
        <f>IF(J499&lt;&gt;"Won","",IF(E499="",N(I499),I499-M499))</f>
        <v/>
      </c>
      <c r="O499" s="22" t="n"/>
    </row>
    <row r="500" ht="15" customHeight="1">
      <c r="A500" s="72" t="n"/>
      <c r="B500" s="22" t="n"/>
      <c r="C500" s="22" t="n"/>
      <c r="D500" s="22" t="n"/>
      <c r="E500" s="22" t="n"/>
      <c r="F500" s="26">
        <f>IF(E500="","",IF(COUNTIF(lst_Jobs,E500&amp;"")&gt;0,"OK","CHECK"))</f>
        <v/>
      </c>
      <c r="G500" s="22" t="n"/>
      <c r="H500" s="22" t="n"/>
      <c r="I500" s="24" t="n"/>
      <c r="J500" s="22" t="n"/>
      <c r="K500" s="23" t="n"/>
      <c r="L500" s="72" t="n"/>
      <c r="M500" s="27">
        <f>IF(E500="","",SUMIFS(tbl_Finance[Ex GST],tbl_Finance[Job Number],E500&amp;""))</f>
        <v/>
      </c>
      <c r="N500" s="27">
        <f>IF(J500&lt;&gt;"Won","",IF(E500="",N(I500),I500-M500))</f>
        <v/>
      </c>
      <c r="O500" s="22" t="n"/>
    </row>
    <row r="501" ht="15" customHeight="1">
      <c r="A501" s="72" t="n"/>
      <c r="B501" s="22" t="n"/>
      <c r="C501" s="22" t="n"/>
      <c r="D501" s="22" t="n"/>
      <c r="E501" s="22" t="n"/>
      <c r="F501" s="26">
        <f>IF(E501="","",IF(COUNTIF(lst_Jobs,E501&amp;"")&gt;0,"OK","CHECK"))</f>
        <v/>
      </c>
      <c r="G501" s="22" t="n"/>
      <c r="H501" s="22" t="n"/>
      <c r="I501" s="24" t="n"/>
      <c r="J501" s="22" t="n"/>
      <c r="K501" s="23" t="n"/>
      <c r="L501" s="72" t="n"/>
      <c r="M501" s="27">
        <f>IF(E501="","",SUMIFS(tbl_Finance[Ex GST],tbl_Finance[Job Number],E501&amp;""))</f>
        <v/>
      </c>
      <c r="N501" s="27">
        <f>IF(J501&lt;&gt;"Won","",IF(E501="",N(I501),I501-M501))</f>
        <v/>
      </c>
      <c r="O501" s="22" t="n"/>
    </row>
    <row r="502" ht="15" customHeight="1">
      <c r="A502" s="72" t="n"/>
      <c r="B502" s="22" t="n"/>
      <c r="C502" s="22" t="n"/>
      <c r="D502" s="22" t="n"/>
      <c r="E502" s="22" t="n"/>
      <c r="F502" s="26">
        <f>IF(E502="","",IF(COUNTIF(lst_Jobs,E502&amp;"")&gt;0,"OK","CHECK"))</f>
        <v/>
      </c>
      <c r="G502" s="22" t="n"/>
      <c r="H502" s="22" t="n"/>
      <c r="I502" s="24" t="n"/>
      <c r="J502" s="22" t="n"/>
      <c r="K502" s="23" t="n"/>
      <c r="L502" s="72" t="n"/>
      <c r="M502" s="27">
        <f>IF(E502="","",SUMIFS(tbl_Finance[Ex GST],tbl_Finance[Job Number],E502&amp;""))</f>
        <v/>
      </c>
      <c r="N502" s="27">
        <f>IF(J502&lt;&gt;"Won","",IF(E502="",N(I502),I502-M502))</f>
        <v/>
      </c>
      <c r="O502" s="22" t="n"/>
    </row>
    <row r="503" ht="15" customHeight="1">
      <c r="A503" s="72" t="n"/>
      <c r="B503" s="22" t="n"/>
      <c r="C503" s="22" t="n"/>
      <c r="D503" s="22" t="n"/>
      <c r="E503" s="22" t="n"/>
      <c r="F503" s="26">
        <f>IF(E503="","",IF(COUNTIF(lst_Jobs,E503&amp;"")&gt;0,"OK","CHECK"))</f>
        <v/>
      </c>
      <c r="G503" s="22" t="n"/>
      <c r="H503" s="22" t="n"/>
      <c r="I503" s="24" t="n"/>
      <c r="J503" s="22" t="n"/>
      <c r="K503" s="23" t="n"/>
      <c r="L503" s="72" t="n"/>
      <c r="M503" s="27">
        <f>IF(E503="","",SUMIFS(tbl_Finance[Ex GST],tbl_Finance[Job Number],E503&amp;""))</f>
        <v/>
      </c>
      <c r="N503" s="27">
        <f>IF(J503&lt;&gt;"Won","",IF(E503="",N(I503),I503-M503))</f>
        <v/>
      </c>
      <c r="O503" s="22" t="n"/>
    </row>
    <row r="504" ht="15" customHeight="1">
      <c r="A504" s="72" t="n"/>
      <c r="B504" s="22" t="n"/>
      <c r="C504" s="22" t="n"/>
      <c r="D504" s="22" t="n"/>
      <c r="E504" s="22" t="n"/>
      <c r="F504" s="26">
        <f>IF(E504="","",IF(COUNTIF(lst_Jobs,E504&amp;"")&gt;0,"OK","CHECK"))</f>
        <v/>
      </c>
      <c r="G504" s="22" t="n"/>
      <c r="H504" s="22" t="n"/>
      <c r="I504" s="24" t="n"/>
      <c r="J504" s="22" t="n"/>
      <c r="K504" s="23" t="n"/>
      <c r="L504" s="72" t="n"/>
      <c r="M504" s="27">
        <f>IF(E504="","",SUMIFS(tbl_Finance[Ex GST],tbl_Finance[Job Number],E504&amp;""))</f>
        <v/>
      </c>
      <c r="N504" s="27">
        <f>IF(J504&lt;&gt;"Won","",IF(E504="",N(I504),I504-M504))</f>
        <v/>
      </c>
      <c r="O504" s="22" t="n"/>
    </row>
    <row r="505" ht="15" customHeight="1">
      <c r="A505" s="72" t="n"/>
      <c r="B505" s="22" t="n"/>
      <c r="C505" s="22" t="n"/>
      <c r="D505" s="22" t="n"/>
      <c r="E505" s="22" t="n"/>
      <c r="F505" s="26">
        <f>IF(E505="","",IF(COUNTIF(lst_Jobs,E505&amp;"")&gt;0,"OK","CHECK"))</f>
        <v/>
      </c>
      <c r="G505" s="22" t="n"/>
      <c r="H505" s="22" t="n"/>
      <c r="I505" s="24" t="n"/>
      <c r="J505" s="22" t="n"/>
      <c r="K505" s="23" t="n"/>
      <c r="L505" s="72" t="n"/>
      <c r="M505" s="27">
        <f>IF(E505="","",SUMIFS(tbl_Finance[Ex GST],tbl_Finance[Job Number],E505&amp;""))</f>
        <v/>
      </c>
      <c r="N505" s="27">
        <f>IF(J505&lt;&gt;"Won","",IF(E505="",N(I505),I505-M505))</f>
        <v/>
      </c>
      <c r="O505" s="22" t="n"/>
    </row>
    <row r="506" ht="15" customHeight="1">
      <c r="A506" s="72" t="n"/>
      <c r="B506" s="22" t="n"/>
      <c r="C506" s="22" t="n"/>
      <c r="D506" s="22" t="n"/>
      <c r="E506" s="22" t="n"/>
      <c r="F506" s="26">
        <f>IF(E506="","",IF(COUNTIF(lst_Jobs,E506&amp;"")&gt;0,"OK","CHECK"))</f>
        <v/>
      </c>
      <c r="G506" s="22" t="n"/>
      <c r="H506" s="22" t="n"/>
      <c r="I506" s="24" t="n"/>
      <c r="J506" s="22" t="n"/>
      <c r="K506" s="23" t="n"/>
      <c r="L506" s="72" t="n"/>
      <c r="M506" s="27">
        <f>IF(E506="","",SUMIFS(tbl_Finance[Ex GST],tbl_Finance[Job Number],E506&amp;""))</f>
        <v/>
      </c>
      <c r="N506" s="27">
        <f>IF(J506&lt;&gt;"Won","",IF(E506="",N(I506),I506-M506))</f>
        <v/>
      </c>
      <c r="O506" s="22" t="n"/>
    </row>
    <row r="507" ht="15" customHeight="1">
      <c r="A507" s="72" t="n"/>
      <c r="B507" s="22" t="n"/>
      <c r="C507" s="22" t="n"/>
      <c r="D507" s="22" t="n"/>
      <c r="E507" s="22" t="n"/>
      <c r="F507" s="26">
        <f>IF(E507="","",IF(COUNTIF(lst_Jobs,E507&amp;"")&gt;0,"OK","CHECK"))</f>
        <v/>
      </c>
      <c r="G507" s="22" t="n"/>
      <c r="H507" s="22" t="n"/>
      <c r="I507" s="24" t="n"/>
      <c r="J507" s="22" t="n"/>
      <c r="K507" s="23" t="n"/>
      <c r="L507" s="72" t="n"/>
      <c r="M507" s="27">
        <f>IF(E507="","",SUMIFS(tbl_Finance[Ex GST],tbl_Finance[Job Number],E507&amp;""))</f>
        <v/>
      </c>
      <c r="N507" s="27">
        <f>IF(J507&lt;&gt;"Won","",IF(E507="",N(I507),I507-M507))</f>
        <v/>
      </c>
      <c r="O507" s="22" t="n"/>
    </row>
    <row r="508" ht="15" customHeight="1">
      <c r="A508" s="72" t="n"/>
      <c r="B508" s="22" t="n"/>
      <c r="C508" s="22" t="n"/>
      <c r="D508" s="22" t="n"/>
      <c r="E508" s="22" t="n"/>
      <c r="F508" s="26">
        <f>IF(E508="","",IF(COUNTIF(lst_Jobs,E508&amp;"")&gt;0,"OK","CHECK"))</f>
        <v/>
      </c>
      <c r="G508" s="22" t="n"/>
      <c r="H508" s="22" t="n"/>
      <c r="I508" s="24" t="n"/>
      <c r="J508" s="22" t="n"/>
      <c r="K508" s="23" t="n"/>
      <c r="L508" s="72" t="n"/>
      <c r="M508" s="27">
        <f>IF(E508="","",SUMIFS(tbl_Finance[Ex GST],tbl_Finance[Job Number],E508&amp;""))</f>
        <v/>
      </c>
      <c r="N508" s="27">
        <f>IF(J508&lt;&gt;"Won","",IF(E508="",N(I508),I508-M508))</f>
        <v/>
      </c>
      <c r="O508" s="22" t="n"/>
    </row>
    <row r="509" ht="15" customHeight="1">
      <c r="A509" s="72" t="n"/>
      <c r="B509" s="22" t="n"/>
      <c r="C509" s="22" t="n"/>
      <c r="D509" s="22" t="n"/>
      <c r="E509" s="22" t="n"/>
      <c r="F509" s="26">
        <f>IF(E509="","",IF(COUNTIF(lst_Jobs,E509&amp;"")&gt;0,"OK","CHECK"))</f>
        <v/>
      </c>
      <c r="G509" s="22" t="n"/>
      <c r="H509" s="22" t="n"/>
      <c r="I509" s="24" t="n"/>
      <c r="J509" s="22" t="n"/>
      <c r="K509" s="23" t="n"/>
      <c r="L509" s="72" t="n"/>
      <c r="M509" s="27">
        <f>IF(E509="","",SUMIFS(tbl_Finance[Ex GST],tbl_Finance[Job Number],E509&amp;""))</f>
        <v/>
      </c>
      <c r="N509" s="27">
        <f>IF(J509&lt;&gt;"Won","",IF(E509="",N(I509),I509-M509))</f>
        <v/>
      </c>
      <c r="O509" s="22" t="n"/>
    </row>
    <row r="510" ht="15" customHeight="1">
      <c r="A510" s="72" t="n"/>
      <c r="B510" s="22" t="n"/>
      <c r="C510" s="22" t="n"/>
      <c r="D510" s="22" t="n"/>
      <c r="E510" s="22" t="n"/>
      <c r="F510" s="26">
        <f>IF(E510="","",IF(COUNTIF(lst_Jobs,E510&amp;"")&gt;0,"OK","CHECK"))</f>
        <v/>
      </c>
      <c r="G510" s="22" t="n"/>
      <c r="H510" s="22" t="n"/>
      <c r="I510" s="24" t="n"/>
      <c r="J510" s="22" t="n"/>
      <c r="K510" s="23" t="n"/>
      <c r="L510" s="72" t="n"/>
      <c r="M510" s="27">
        <f>IF(E510="","",SUMIFS(tbl_Finance[Ex GST],tbl_Finance[Job Number],E510&amp;""))</f>
        <v/>
      </c>
      <c r="N510" s="27">
        <f>IF(J510&lt;&gt;"Won","",IF(E510="",N(I510),I510-M510))</f>
        <v/>
      </c>
      <c r="O510" s="22" t="n"/>
    </row>
    <row r="511" ht="15" customHeight="1">
      <c r="A511" s="72" t="n"/>
      <c r="B511" s="22" t="n"/>
      <c r="C511" s="22" t="n"/>
      <c r="D511" s="22" t="n"/>
      <c r="E511" s="22" t="n"/>
      <c r="F511" s="26">
        <f>IF(E511="","",IF(COUNTIF(lst_Jobs,E511&amp;"")&gt;0,"OK","CHECK"))</f>
        <v/>
      </c>
      <c r="G511" s="22" t="n"/>
      <c r="H511" s="22" t="n"/>
      <c r="I511" s="24" t="n"/>
      <c r="J511" s="22" t="n"/>
      <c r="K511" s="23" t="n"/>
      <c r="L511" s="72" t="n"/>
      <c r="M511" s="27">
        <f>IF(E511="","",SUMIFS(tbl_Finance[Ex GST],tbl_Finance[Job Number],E511&amp;""))</f>
        <v/>
      </c>
      <c r="N511" s="27">
        <f>IF(J511&lt;&gt;"Won","",IF(E511="",N(I511),I511-M511))</f>
        <v/>
      </c>
      <c r="O511" s="22" t="n"/>
    </row>
    <row r="512" ht="15" customHeight="1">
      <c r="A512" s="72" t="n"/>
      <c r="B512" s="22" t="n"/>
      <c r="C512" s="22" t="n"/>
      <c r="D512" s="22" t="n"/>
      <c r="E512" s="22" t="n"/>
      <c r="F512" s="26">
        <f>IF(E512="","",IF(COUNTIF(lst_Jobs,E512&amp;"")&gt;0,"OK","CHECK"))</f>
        <v/>
      </c>
      <c r="G512" s="22" t="n"/>
      <c r="H512" s="22" t="n"/>
      <c r="I512" s="24" t="n"/>
      <c r="J512" s="22" t="n"/>
      <c r="K512" s="23" t="n"/>
      <c r="L512" s="72" t="n"/>
      <c r="M512" s="27">
        <f>IF(E512="","",SUMIFS(tbl_Finance[Ex GST],tbl_Finance[Job Number],E512&amp;""))</f>
        <v/>
      </c>
      <c r="N512" s="27">
        <f>IF(J512&lt;&gt;"Won","",IF(E512="",N(I512),I512-M512))</f>
        <v/>
      </c>
      <c r="O512" s="22" t="n"/>
    </row>
    <row r="513" ht="15" customHeight="1">
      <c r="A513" s="72" t="n"/>
      <c r="B513" s="22" t="n"/>
      <c r="C513" s="22" t="n"/>
      <c r="D513" s="22" t="n"/>
      <c r="E513" s="22" t="n"/>
      <c r="F513" s="26">
        <f>IF(E513="","",IF(COUNTIF(lst_Jobs,E513&amp;"")&gt;0,"OK","CHECK"))</f>
        <v/>
      </c>
      <c r="G513" s="22" t="n"/>
      <c r="H513" s="22" t="n"/>
      <c r="I513" s="24" t="n"/>
      <c r="J513" s="22" t="n"/>
      <c r="K513" s="23" t="n"/>
      <c r="L513" s="72" t="n"/>
      <c r="M513" s="27">
        <f>IF(E513="","",SUMIFS(tbl_Finance[Ex GST],tbl_Finance[Job Number],E513&amp;""))</f>
        <v/>
      </c>
      <c r="N513" s="27">
        <f>IF(J513&lt;&gt;"Won","",IF(E513="",N(I513),I513-M513))</f>
        <v/>
      </c>
      <c r="O513" s="22" t="n"/>
    </row>
    <row r="514" ht="15" customHeight="1">
      <c r="A514" s="72" t="n"/>
      <c r="B514" s="22" t="n"/>
      <c r="C514" s="22" t="n"/>
      <c r="D514" s="22" t="n"/>
      <c r="E514" s="22" t="n"/>
      <c r="F514" s="26">
        <f>IF(E514="","",IF(COUNTIF(lst_Jobs,E514&amp;"")&gt;0,"OK","CHECK"))</f>
        <v/>
      </c>
      <c r="G514" s="22" t="n"/>
      <c r="H514" s="22" t="n"/>
      <c r="I514" s="24" t="n"/>
      <c r="J514" s="22" t="n"/>
      <c r="K514" s="23" t="n"/>
      <c r="L514" s="72" t="n"/>
      <c r="M514" s="27">
        <f>IF(E514="","",SUMIFS(tbl_Finance[Ex GST],tbl_Finance[Job Number],E514&amp;""))</f>
        <v/>
      </c>
      <c r="N514" s="27">
        <f>IF(J514&lt;&gt;"Won","",IF(E514="",N(I514),I514-M514))</f>
        <v/>
      </c>
      <c r="O514" s="22" t="n"/>
    </row>
    <row r="515" ht="15" customHeight="1">
      <c r="A515" s="72" t="n"/>
      <c r="B515" s="22" t="n"/>
      <c r="C515" s="22" t="n"/>
      <c r="D515" s="22" t="n"/>
      <c r="E515" s="22" t="n"/>
      <c r="F515" s="26">
        <f>IF(E515="","",IF(COUNTIF(lst_Jobs,E515&amp;"")&gt;0,"OK","CHECK"))</f>
        <v/>
      </c>
      <c r="G515" s="22" t="n"/>
      <c r="H515" s="22" t="n"/>
      <c r="I515" s="24" t="n"/>
      <c r="J515" s="22" t="n"/>
      <c r="K515" s="23" t="n"/>
      <c r="L515" s="72" t="n"/>
      <c r="M515" s="27">
        <f>IF(E515="","",SUMIFS(tbl_Finance[Ex GST],tbl_Finance[Job Number],E515&amp;""))</f>
        <v/>
      </c>
      <c r="N515" s="27">
        <f>IF(J515&lt;&gt;"Won","",IF(E515="",N(I515),I515-M515))</f>
        <v/>
      </c>
      <c r="O515" s="22" t="n"/>
    </row>
    <row r="516" ht="15" customHeight="1">
      <c r="A516" s="72" t="n"/>
      <c r="B516" s="22" t="n"/>
      <c r="C516" s="22" t="n"/>
      <c r="D516" s="22" t="n"/>
      <c r="E516" s="22" t="n"/>
      <c r="F516" s="26">
        <f>IF(E516="","",IF(COUNTIF(lst_Jobs,E516&amp;"")&gt;0,"OK","CHECK"))</f>
        <v/>
      </c>
      <c r="G516" s="22" t="n"/>
      <c r="H516" s="22" t="n"/>
      <c r="I516" s="24" t="n"/>
      <c r="J516" s="22" t="n"/>
      <c r="K516" s="23" t="n"/>
      <c r="L516" s="72" t="n"/>
      <c r="M516" s="27">
        <f>IF(E516="","",SUMIFS(tbl_Finance[Ex GST],tbl_Finance[Job Number],E516&amp;""))</f>
        <v/>
      </c>
      <c r="N516" s="27">
        <f>IF(J516&lt;&gt;"Won","",IF(E516="",N(I516),I516-M516))</f>
        <v/>
      </c>
      <c r="O516" s="22" t="n"/>
    </row>
    <row r="517" ht="15" customHeight="1">
      <c r="A517" s="72" t="n"/>
      <c r="B517" s="22" t="n"/>
      <c r="C517" s="22" t="n"/>
      <c r="D517" s="22" t="n"/>
      <c r="E517" s="22" t="n"/>
      <c r="F517" s="26">
        <f>IF(E517="","",IF(COUNTIF(lst_Jobs,E517&amp;"")&gt;0,"OK","CHECK"))</f>
        <v/>
      </c>
      <c r="G517" s="22" t="n"/>
      <c r="H517" s="22" t="n"/>
      <c r="I517" s="24" t="n"/>
      <c r="J517" s="22" t="n"/>
      <c r="K517" s="23" t="n"/>
      <c r="L517" s="72" t="n"/>
      <c r="M517" s="27">
        <f>IF(E517="","",SUMIFS(tbl_Finance[Ex GST],tbl_Finance[Job Number],E517&amp;""))</f>
        <v/>
      </c>
      <c r="N517" s="27">
        <f>IF(J517&lt;&gt;"Won","",IF(E517="",N(I517),I517-M517))</f>
        <v/>
      </c>
      <c r="O517" s="22" t="n"/>
    </row>
    <row r="518" ht="15" customHeight="1">
      <c r="A518" s="72" t="n"/>
      <c r="B518" s="22" t="n"/>
      <c r="C518" s="22" t="n"/>
      <c r="D518" s="22" t="n"/>
      <c r="E518" s="22" t="n"/>
      <c r="F518" s="26">
        <f>IF(E518="","",IF(COUNTIF(lst_Jobs,E518&amp;"")&gt;0,"OK","CHECK"))</f>
        <v/>
      </c>
      <c r="G518" s="22" t="n"/>
      <c r="H518" s="22" t="n"/>
      <c r="I518" s="24" t="n"/>
      <c r="J518" s="22" t="n"/>
      <c r="K518" s="23" t="n"/>
      <c r="L518" s="72" t="n"/>
      <c r="M518" s="27">
        <f>IF(E518="","",SUMIFS(tbl_Finance[Ex GST],tbl_Finance[Job Number],E518&amp;""))</f>
        <v/>
      </c>
      <c r="N518" s="27">
        <f>IF(J518&lt;&gt;"Won","",IF(E518="",N(I518),I518-M518))</f>
        <v/>
      </c>
      <c r="O518" s="22" t="n"/>
    </row>
    <row r="519" ht="15" customHeight="1">
      <c r="A519" s="72" t="n"/>
      <c r="B519" s="22" t="n"/>
      <c r="C519" s="22" t="n"/>
      <c r="D519" s="22" t="n"/>
      <c r="E519" s="22" t="n"/>
      <c r="F519" s="26">
        <f>IF(E519="","",IF(COUNTIF(lst_Jobs,E519&amp;"")&gt;0,"OK","CHECK"))</f>
        <v/>
      </c>
      <c r="G519" s="22" t="n"/>
      <c r="H519" s="22" t="n"/>
      <c r="I519" s="24" t="n"/>
      <c r="J519" s="22" t="n"/>
      <c r="K519" s="23" t="n"/>
      <c r="L519" s="72" t="n"/>
      <c r="M519" s="27">
        <f>IF(E519="","",SUMIFS(tbl_Finance[Ex GST],tbl_Finance[Job Number],E519&amp;""))</f>
        <v/>
      </c>
      <c r="N519" s="27">
        <f>IF(J519&lt;&gt;"Won","",IF(E519="",N(I519),I519-M519))</f>
        <v/>
      </c>
      <c r="O519" s="22" t="n"/>
    </row>
    <row r="520" ht="15" customHeight="1">
      <c r="A520" s="72" t="n"/>
      <c r="B520" s="22" t="n"/>
      <c r="C520" s="22" t="n"/>
      <c r="D520" s="22" t="n"/>
      <c r="E520" s="22" t="n"/>
      <c r="F520" s="26">
        <f>IF(E520="","",IF(COUNTIF(lst_Jobs,E520&amp;"")&gt;0,"OK","CHECK"))</f>
        <v/>
      </c>
      <c r="G520" s="22" t="n"/>
      <c r="H520" s="22" t="n"/>
      <c r="I520" s="24" t="n"/>
      <c r="J520" s="22" t="n"/>
      <c r="K520" s="23" t="n"/>
      <c r="L520" s="72" t="n"/>
      <c r="M520" s="27">
        <f>IF(E520="","",SUMIFS(tbl_Finance[Ex GST],tbl_Finance[Job Number],E520&amp;""))</f>
        <v/>
      </c>
      <c r="N520" s="27">
        <f>IF(J520&lt;&gt;"Won","",IF(E520="",N(I520),I520-M520))</f>
        <v/>
      </c>
      <c r="O520" s="22" t="n"/>
    </row>
    <row r="521" ht="15" customHeight="1">
      <c r="A521" s="72" t="n"/>
      <c r="B521" s="22" t="n"/>
      <c r="C521" s="22" t="n"/>
      <c r="D521" s="22" t="n"/>
      <c r="E521" s="22" t="n"/>
      <c r="F521" s="26">
        <f>IF(E521="","",IF(COUNTIF(lst_Jobs,E521&amp;"")&gt;0,"OK","CHECK"))</f>
        <v/>
      </c>
      <c r="G521" s="22" t="n"/>
      <c r="H521" s="22" t="n"/>
      <c r="I521" s="24" t="n"/>
      <c r="J521" s="22" t="n"/>
      <c r="K521" s="23" t="n"/>
      <c r="L521" s="72" t="n"/>
      <c r="M521" s="27">
        <f>IF(E521="","",SUMIFS(tbl_Finance[Ex GST],tbl_Finance[Job Number],E521&amp;""))</f>
        <v/>
      </c>
      <c r="N521" s="27">
        <f>IF(J521&lt;&gt;"Won","",IF(E521="",N(I521),I521-M521))</f>
        <v/>
      </c>
      <c r="O521" s="22" t="n"/>
    </row>
    <row r="522" ht="15" customHeight="1">
      <c r="A522" s="72" t="n"/>
      <c r="B522" s="22" t="n"/>
      <c r="C522" s="22" t="n"/>
      <c r="D522" s="22" t="n"/>
      <c r="E522" s="22" t="n"/>
      <c r="F522" s="26">
        <f>IF(E522="","",IF(COUNTIF(lst_Jobs,E522&amp;"")&gt;0,"OK","CHECK"))</f>
        <v/>
      </c>
      <c r="G522" s="22" t="n"/>
      <c r="H522" s="22" t="n"/>
      <c r="I522" s="24" t="n"/>
      <c r="J522" s="22" t="n"/>
      <c r="K522" s="23" t="n"/>
      <c r="L522" s="72" t="n"/>
      <c r="M522" s="27">
        <f>IF(E522="","",SUMIFS(tbl_Finance[Ex GST],tbl_Finance[Job Number],E522&amp;""))</f>
        <v/>
      </c>
      <c r="N522" s="27">
        <f>IF(J522&lt;&gt;"Won","",IF(E522="",N(I522),I522-M522))</f>
        <v/>
      </c>
      <c r="O522" s="22" t="n"/>
    </row>
    <row r="523" ht="15" customHeight="1">
      <c r="A523" s="72" t="n"/>
      <c r="B523" s="22" t="n"/>
      <c r="C523" s="22" t="n"/>
      <c r="D523" s="22" t="n"/>
      <c r="E523" s="22" t="n"/>
      <c r="F523" s="26">
        <f>IF(E523="","",IF(COUNTIF(lst_Jobs,E523&amp;"")&gt;0,"OK","CHECK"))</f>
        <v/>
      </c>
      <c r="G523" s="22" t="n"/>
      <c r="H523" s="22" t="n"/>
      <c r="I523" s="24" t="n"/>
      <c r="J523" s="22" t="n"/>
      <c r="K523" s="23" t="n"/>
      <c r="L523" s="72" t="n"/>
      <c r="M523" s="27">
        <f>IF(E523="","",SUMIFS(tbl_Finance[Ex GST],tbl_Finance[Job Number],E523&amp;""))</f>
        <v/>
      </c>
      <c r="N523" s="27">
        <f>IF(J523&lt;&gt;"Won","",IF(E523="",N(I523),I523-M523))</f>
        <v/>
      </c>
      <c r="O523" s="22" t="n"/>
    </row>
    <row r="524" ht="15" customHeight="1">
      <c r="A524" s="72" t="n"/>
      <c r="B524" s="22" t="n"/>
      <c r="C524" s="22" t="n"/>
      <c r="D524" s="22" t="n"/>
      <c r="E524" s="22" t="n"/>
      <c r="F524" s="26">
        <f>IF(E524="","",IF(COUNTIF(lst_Jobs,E524&amp;"")&gt;0,"OK","CHECK"))</f>
        <v/>
      </c>
      <c r="G524" s="22" t="n"/>
      <c r="H524" s="22" t="n"/>
      <c r="I524" s="24" t="n"/>
      <c r="J524" s="22" t="n"/>
      <c r="K524" s="23" t="n"/>
      <c r="L524" s="72" t="n"/>
      <c r="M524" s="27">
        <f>IF(E524="","",SUMIFS(tbl_Finance[Ex GST],tbl_Finance[Job Number],E524&amp;""))</f>
        <v/>
      </c>
      <c r="N524" s="27">
        <f>IF(J524&lt;&gt;"Won","",IF(E524="",N(I524),I524-M524))</f>
        <v/>
      </c>
      <c r="O524" s="22" t="n"/>
    </row>
    <row r="525" ht="15" customHeight="1">
      <c r="A525" s="72" t="n"/>
      <c r="B525" s="22" t="n"/>
      <c r="C525" s="22" t="n"/>
      <c r="D525" s="22" t="n"/>
      <c r="E525" s="22" t="n"/>
      <c r="F525" s="26">
        <f>IF(E525="","",IF(COUNTIF(lst_Jobs,E525&amp;"")&gt;0,"OK","CHECK"))</f>
        <v/>
      </c>
      <c r="G525" s="22" t="n"/>
      <c r="H525" s="22" t="n"/>
      <c r="I525" s="24" t="n"/>
      <c r="J525" s="22" t="n"/>
      <c r="K525" s="23" t="n"/>
      <c r="L525" s="72" t="n"/>
      <c r="M525" s="27">
        <f>IF(E525="","",SUMIFS(tbl_Finance[Ex GST],tbl_Finance[Job Number],E525&amp;""))</f>
        <v/>
      </c>
      <c r="N525" s="27">
        <f>IF(J525&lt;&gt;"Won","",IF(E525="",N(I525),I525-M525))</f>
        <v/>
      </c>
      <c r="O525" s="22" t="n"/>
    </row>
    <row r="526" ht="15" customHeight="1">
      <c r="A526" s="72" t="n"/>
      <c r="B526" s="22" t="n"/>
      <c r="C526" s="22" t="n"/>
      <c r="D526" s="22" t="n"/>
      <c r="E526" s="22" t="n"/>
      <c r="F526" s="26">
        <f>IF(E526="","",IF(COUNTIF(lst_Jobs,E526&amp;"")&gt;0,"OK","CHECK"))</f>
        <v/>
      </c>
      <c r="G526" s="22" t="n"/>
      <c r="H526" s="22" t="n"/>
      <c r="I526" s="24" t="n"/>
      <c r="J526" s="22" t="n"/>
      <c r="K526" s="23" t="n"/>
      <c r="L526" s="72" t="n"/>
      <c r="M526" s="27">
        <f>IF(E526="","",SUMIFS(tbl_Finance[Ex GST],tbl_Finance[Job Number],E526&amp;""))</f>
        <v/>
      </c>
      <c r="N526" s="27">
        <f>IF(J526&lt;&gt;"Won","",IF(E526="",N(I526),I526-M526))</f>
        <v/>
      </c>
      <c r="O526" s="22" t="n"/>
    </row>
    <row r="527" ht="15" customHeight="1">
      <c r="A527" s="72" t="n"/>
      <c r="B527" s="22" t="n"/>
      <c r="C527" s="22" t="n"/>
      <c r="D527" s="22" t="n"/>
      <c r="E527" s="22" t="n"/>
      <c r="F527" s="26">
        <f>IF(E527="","",IF(COUNTIF(lst_Jobs,E527&amp;"")&gt;0,"OK","CHECK"))</f>
        <v/>
      </c>
      <c r="G527" s="22" t="n"/>
      <c r="H527" s="22" t="n"/>
      <c r="I527" s="24" t="n"/>
      <c r="J527" s="22" t="n"/>
      <c r="K527" s="23" t="n"/>
      <c r="L527" s="72" t="n"/>
      <c r="M527" s="27">
        <f>IF(E527="","",SUMIFS(tbl_Finance[Ex GST],tbl_Finance[Job Number],E527&amp;""))</f>
        <v/>
      </c>
      <c r="N527" s="27">
        <f>IF(J527&lt;&gt;"Won","",IF(E527="",N(I527),I527-M527))</f>
        <v/>
      </c>
      <c r="O527" s="22" t="n"/>
    </row>
    <row r="528" ht="15" customHeight="1">
      <c r="A528" s="72" t="n"/>
      <c r="B528" s="22" t="n"/>
      <c r="C528" s="22" t="n"/>
      <c r="D528" s="22" t="n"/>
      <c r="E528" s="22" t="n"/>
      <c r="F528" s="26">
        <f>IF(E528="","",IF(COUNTIF(lst_Jobs,E528&amp;"")&gt;0,"OK","CHECK"))</f>
        <v/>
      </c>
      <c r="G528" s="22" t="n"/>
      <c r="H528" s="22" t="n"/>
      <c r="I528" s="24" t="n"/>
      <c r="J528" s="22" t="n"/>
      <c r="K528" s="23" t="n"/>
      <c r="L528" s="72" t="n"/>
      <c r="M528" s="27">
        <f>IF(E528="","",SUMIFS(tbl_Finance[Ex GST],tbl_Finance[Job Number],E528&amp;""))</f>
        <v/>
      </c>
      <c r="N528" s="27">
        <f>IF(J528&lt;&gt;"Won","",IF(E528="",N(I528),I528-M528))</f>
        <v/>
      </c>
      <c r="O528" s="22" t="n"/>
    </row>
    <row r="529" ht="15" customHeight="1">
      <c r="A529" s="72" t="n"/>
      <c r="B529" s="22" t="n"/>
      <c r="C529" s="22" t="n"/>
      <c r="D529" s="22" t="n"/>
      <c r="E529" s="22" t="n"/>
      <c r="F529" s="26">
        <f>IF(E529="","",IF(COUNTIF(lst_Jobs,E529&amp;"")&gt;0,"OK","CHECK"))</f>
        <v/>
      </c>
      <c r="G529" s="22" t="n"/>
      <c r="H529" s="22" t="n"/>
      <c r="I529" s="24" t="n"/>
      <c r="J529" s="22" t="n"/>
      <c r="K529" s="23" t="n"/>
      <c r="L529" s="72" t="n"/>
      <c r="M529" s="27">
        <f>IF(E529="","",SUMIFS(tbl_Finance[Ex GST],tbl_Finance[Job Number],E529&amp;""))</f>
        <v/>
      </c>
      <c r="N529" s="27">
        <f>IF(J529&lt;&gt;"Won","",IF(E529="",N(I529),I529-M529))</f>
        <v/>
      </c>
      <c r="O529" s="22" t="n"/>
    </row>
    <row r="530" ht="15" customHeight="1">
      <c r="A530" s="72" t="n"/>
      <c r="B530" s="22" t="n"/>
      <c r="C530" s="22" t="n"/>
      <c r="D530" s="22" t="n"/>
      <c r="E530" s="22" t="n"/>
      <c r="F530" s="26">
        <f>IF(E530="","",IF(COUNTIF(lst_Jobs,E530&amp;"")&gt;0,"OK","CHECK"))</f>
        <v/>
      </c>
      <c r="G530" s="22" t="n"/>
      <c r="H530" s="22" t="n"/>
      <c r="I530" s="24" t="n"/>
      <c r="J530" s="22" t="n"/>
      <c r="K530" s="23" t="n"/>
      <c r="L530" s="72" t="n"/>
      <c r="M530" s="27">
        <f>IF(E530="","",SUMIFS(tbl_Finance[Ex GST],tbl_Finance[Job Number],E530&amp;""))</f>
        <v/>
      </c>
      <c r="N530" s="27">
        <f>IF(J530&lt;&gt;"Won","",IF(E530="",N(I530),I530-M530))</f>
        <v/>
      </c>
      <c r="O530" s="22" t="n"/>
    </row>
    <row r="531" ht="15" customHeight="1">
      <c r="A531" s="72" t="n"/>
      <c r="B531" s="22" t="n"/>
      <c r="C531" s="22" t="n"/>
      <c r="D531" s="22" t="n"/>
      <c r="E531" s="22" t="n"/>
      <c r="F531" s="26">
        <f>IF(E531="","",IF(COUNTIF(lst_Jobs,E531&amp;"")&gt;0,"OK","CHECK"))</f>
        <v/>
      </c>
      <c r="G531" s="22" t="n"/>
      <c r="H531" s="22" t="n"/>
      <c r="I531" s="24" t="n"/>
      <c r="J531" s="22" t="n"/>
      <c r="K531" s="23" t="n"/>
      <c r="L531" s="72" t="n"/>
      <c r="M531" s="27">
        <f>IF(E531="","",SUMIFS(tbl_Finance[Ex GST],tbl_Finance[Job Number],E531&amp;""))</f>
        <v/>
      </c>
      <c r="N531" s="27">
        <f>IF(J531&lt;&gt;"Won","",IF(E531="",N(I531),I531-M531))</f>
        <v/>
      </c>
      <c r="O531" s="22" t="n"/>
    </row>
    <row r="532" ht="15" customHeight="1">
      <c r="A532" s="72" t="n"/>
      <c r="B532" s="22" t="n"/>
      <c r="C532" s="22" t="n"/>
      <c r="D532" s="22" t="n"/>
      <c r="E532" s="22" t="n"/>
      <c r="F532" s="26">
        <f>IF(E532="","",IF(COUNTIF(lst_Jobs,E532&amp;"")&gt;0,"OK","CHECK"))</f>
        <v/>
      </c>
      <c r="G532" s="22" t="n"/>
      <c r="H532" s="22" t="n"/>
      <c r="I532" s="24" t="n"/>
      <c r="J532" s="22" t="n"/>
      <c r="K532" s="23" t="n"/>
      <c r="L532" s="72" t="n"/>
      <c r="M532" s="27">
        <f>IF(E532="","",SUMIFS(tbl_Finance[Ex GST],tbl_Finance[Job Number],E532&amp;""))</f>
        <v/>
      </c>
      <c r="N532" s="27">
        <f>IF(J532&lt;&gt;"Won","",IF(E532="",N(I532),I532-M532))</f>
        <v/>
      </c>
      <c r="O532" s="22" t="n"/>
    </row>
    <row r="533" ht="15" customHeight="1">
      <c r="A533" s="72" t="n"/>
      <c r="B533" s="22" t="n"/>
      <c r="C533" s="22" t="n"/>
      <c r="D533" s="22" t="n"/>
      <c r="E533" s="22" t="n"/>
      <c r="F533" s="26">
        <f>IF(E533="","",IF(COUNTIF(lst_Jobs,E533&amp;"")&gt;0,"OK","CHECK"))</f>
        <v/>
      </c>
      <c r="G533" s="22" t="n"/>
      <c r="H533" s="22" t="n"/>
      <c r="I533" s="24" t="n"/>
      <c r="J533" s="22" t="n"/>
      <c r="K533" s="23" t="n"/>
      <c r="L533" s="72" t="n"/>
      <c r="M533" s="27">
        <f>IF(E533="","",SUMIFS(tbl_Finance[Ex GST],tbl_Finance[Job Number],E533&amp;""))</f>
        <v/>
      </c>
      <c r="N533" s="27">
        <f>IF(J533&lt;&gt;"Won","",IF(E533="",N(I533),I533-M533))</f>
        <v/>
      </c>
      <c r="O533" s="22" t="n"/>
    </row>
    <row r="534" ht="15" customHeight="1">
      <c r="A534" s="72" t="n"/>
      <c r="B534" s="22" t="n"/>
      <c r="C534" s="22" t="n"/>
      <c r="D534" s="22" t="n"/>
      <c r="E534" s="22" t="n"/>
      <c r="F534" s="26">
        <f>IF(E534="","",IF(COUNTIF(lst_Jobs,E534&amp;"")&gt;0,"OK","CHECK"))</f>
        <v/>
      </c>
      <c r="G534" s="22" t="n"/>
      <c r="H534" s="22" t="n"/>
      <c r="I534" s="24" t="n"/>
      <c r="J534" s="22" t="n"/>
      <c r="K534" s="23" t="n"/>
      <c r="L534" s="72" t="n"/>
      <c r="M534" s="27">
        <f>IF(E534="","",SUMIFS(tbl_Finance[Ex GST],tbl_Finance[Job Number],E534&amp;""))</f>
        <v/>
      </c>
      <c r="N534" s="27">
        <f>IF(J534&lt;&gt;"Won","",IF(E534="",N(I534),I534-M534))</f>
        <v/>
      </c>
      <c r="O534" s="22" t="n"/>
    </row>
    <row r="535" ht="15" customHeight="1">
      <c r="A535" s="72" t="n"/>
      <c r="B535" s="22" t="n"/>
      <c r="C535" s="22" t="n"/>
      <c r="D535" s="22" t="n"/>
      <c r="E535" s="22" t="n"/>
      <c r="F535" s="26">
        <f>IF(E535="","",IF(COUNTIF(lst_Jobs,E535&amp;"")&gt;0,"OK","CHECK"))</f>
        <v/>
      </c>
      <c r="G535" s="22" t="n"/>
      <c r="H535" s="22" t="n"/>
      <c r="I535" s="24" t="n"/>
      <c r="J535" s="22" t="n"/>
      <c r="K535" s="23" t="n"/>
      <c r="L535" s="72" t="n"/>
      <c r="M535" s="27">
        <f>IF(E535="","",SUMIFS(tbl_Finance[Ex GST],tbl_Finance[Job Number],E535&amp;""))</f>
        <v/>
      </c>
      <c r="N535" s="27">
        <f>IF(J535&lt;&gt;"Won","",IF(E535="",N(I535),I535-M535))</f>
        <v/>
      </c>
      <c r="O535" s="22" t="n"/>
    </row>
    <row r="536" ht="15" customHeight="1">
      <c r="A536" s="72" t="n"/>
      <c r="B536" s="22" t="n"/>
      <c r="C536" s="22" t="n"/>
      <c r="D536" s="22" t="n"/>
      <c r="E536" s="22" t="n"/>
      <c r="F536" s="26">
        <f>IF(E536="","",IF(COUNTIF(lst_Jobs,E536&amp;"")&gt;0,"OK","CHECK"))</f>
        <v/>
      </c>
      <c r="G536" s="22" t="n"/>
      <c r="H536" s="22" t="n"/>
      <c r="I536" s="24" t="n"/>
      <c r="J536" s="22" t="n"/>
      <c r="K536" s="23" t="n"/>
      <c r="L536" s="72" t="n"/>
      <c r="M536" s="27">
        <f>IF(E536="","",SUMIFS(tbl_Finance[Ex GST],tbl_Finance[Job Number],E536&amp;""))</f>
        <v/>
      </c>
      <c r="N536" s="27">
        <f>IF(J536&lt;&gt;"Won","",IF(E536="",N(I536),I536-M536))</f>
        <v/>
      </c>
      <c r="O536" s="22" t="n"/>
    </row>
    <row r="537" ht="15" customHeight="1">
      <c r="A537" s="72" t="n"/>
      <c r="B537" s="22" t="n"/>
      <c r="C537" s="22" t="n"/>
      <c r="D537" s="22" t="n"/>
      <c r="E537" s="22" t="n"/>
      <c r="F537" s="26">
        <f>IF(E537="","",IF(COUNTIF(lst_Jobs,E537&amp;"")&gt;0,"OK","CHECK"))</f>
        <v/>
      </c>
      <c r="G537" s="22" t="n"/>
      <c r="H537" s="22" t="n"/>
      <c r="I537" s="24" t="n"/>
      <c r="J537" s="22" t="n"/>
      <c r="K537" s="23" t="n"/>
      <c r="L537" s="72" t="n"/>
      <c r="M537" s="27">
        <f>IF(E537="","",SUMIFS(tbl_Finance[Ex GST],tbl_Finance[Job Number],E537&amp;""))</f>
        <v/>
      </c>
      <c r="N537" s="27">
        <f>IF(J537&lt;&gt;"Won","",IF(E537="",N(I537),I537-M537))</f>
        <v/>
      </c>
      <c r="O537" s="22" t="n"/>
    </row>
    <row r="538" ht="15" customHeight="1">
      <c r="A538" s="72" t="n"/>
      <c r="B538" s="22" t="n"/>
      <c r="C538" s="22" t="n"/>
      <c r="D538" s="22" t="n"/>
      <c r="E538" s="22" t="n"/>
      <c r="F538" s="26">
        <f>IF(E538="","",IF(COUNTIF(lst_Jobs,E538&amp;"")&gt;0,"OK","CHECK"))</f>
        <v/>
      </c>
      <c r="G538" s="22" t="n"/>
      <c r="H538" s="22" t="n"/>
      <c r="I538" s="24" t="n"/>
      <c r="J538" s="22" t="n"/>
      <c r="K538" s="23" t="n"/>
      <c r="L538" s="72" t="n"/>
      <c r="M538" s="27">
        <f>IF(E538="","",SUMIFS(tbl_Finance[Ex GST],tbl_Finance[Job Number],E538&amp;""))</f>
        <v/>
      </c>
      <c r="N538" s="27">
        <f>IF(J538&lt;&gt;"Won","",IF(E538="",N(I538),I538-M538))</f>
        <v/>
      </c>
      <c r="O538" s="22" t="n"/>
    </row>
    <row r="539" ht="15" customHeight="1">
      <c r="A539" s="72" t="n"/>
      <c r="B539" s="22" t="n"/>
      <c r="C539" s="22" t="n"/>
      <c r="D539" s="22" t="n"/>
      <c r="E539" s="22" t="n"/>
      <c r="F539" s="26">
        <f>IF(E539="","",IF(COUNTIF(lst_Jobs,E539&amp;"")&gt;0,"OK","CHECK"))</f>
        <v/>
      </c>
      <c r="G539" s="22" t="n"/>
      <c r="H539" s="22" t="n"/>
      <c r="I539" s="24" t="n"/>
      <c r="J539" s="22" t="n"/>
      <c r="K539" s="23" t="n"/>
      <c r="L539" s="72" t="n"/>
      <c r="M539" s="27">
        <f>IF(E539="","",SUMIFS(tbl_Finance[Ex GST],tbl_Finance[Job Number],E539&amp;""))</f>
        <v/>
      </c>
      <c r="N539" s="27">
        <f>IF(J539&lt;&gt;"Won","",IF(E539="",N(I539),I539-M539))</f>
        <v/>
      </c>
      <c r="O539" s="22" t="n"/>
    </row>
    <row r="540" ht="15" customHeight="1">
      <c r="A540" s="72" t="n"/>
      <c r="B540" s="22" t="n"/>
      <c r="C540" s="22" t="n"/>
      <c r="D540" s="22" t="n"/>
      <c r="E540" s="22" t="n"/>
      <c r="F540" s="26">
        <f>IF(E540="","",IF(COUNTIF(lst_Jobs,E540&amp;"")&gt;0,"OK","CHECK"))</f>
        <v/>
      </c>
      <c r="G540" s="22" t="n"/>
      <c r="H540" s="22" t="n"/>
      <c r="I540" s="24" t="n"/>
      <c r="J540" s="22" t="n"/>
      <c r="K540" s="23" t="n"/>
      <c r="L540" s="72" t="n"/>
      <c r="M540" s="27">
        <f>IF(E540="","",SUMIFS(tbl_Finance[Ex GST],tbl_Finance[Job Number],E540&amp;""))</f>
        <v/>
      </c>
      <c r="N540" s="27">
        <f>IF(J540&lt;&gt;"Won","",IF(E540="",N(I540),I540-M540))</f>
        <v/>
      </c>
      <c r="O540" s="22" t="n"/>
    </row>
    <row r="541" ht="15" customHeight="1">
      <c r="A541" s="72" t="n"/>
      <c r="B541" s="22" t="n"/>
      <c r="C541" s="22" t="n"/>
      <c r="D541" s="22" t="n"/>
      <c r="E541" s="22" t="n"/>
      <c r="F541" s="26">
        <f>IF(E541="","",IF(COUNTIF(lst_Jobs,E541&amp;"")&gt;0,"OK","CHECK"))</f>
        <v/>
      </c>
      <c r="G541" s="22" t="n"/>
      <c r="H541" s="22" t="n"/>
      <c r="I541" s="24" t="n"/>
      <c r="J541" s="22" t="n"/>
      <c r="K541" s="23" t="n"/>
      <c r="L541" s="72" t="n"/>
      <c r="M541" s="27">
        <f>IF(E541="","",SUMIFS(tbl_Finance[Ex GST],tbl_Finance[Job Number],E541&amp;""))</f>
        <v/>
      </c>
      <c r="N541" s="27">
        <f>IF(J541&lt;&gt;"Won","",IF(E541="",N(I541),I541-M541))</f>
        <v/>
      </c>
      <c r="O541" s="22" t="n"/>
    </row>
    <row r="542" ht="15" customHeight="1">
      <c r="A542" s="72" t="n"/>
      <c r="B542" s="22" t="n"/>
      <c r="C542" s="22" t="n"/>
      <c r="D542" s="22" t="n"/>
      <c r="E542" s="22" t="n"/>
      <c r="F542" s="26">
        <f>IF(E542="","",IF(COUNTIF(lst_Jobs,E542&amp;"")&gt;0,"OK","CHECK"))</f>
        <v/>
      </c>
      <c r="G542" s="22" t="n"/>
      <c r="H542" s="22" t="n"/>
      <c r="I542" s="24" t="n"/>
      <c r="J542" s="22" t="n"/>
      <c r="K542" s="23" t="n"/>
      <c r="L542" s="72" t="n"/>
      <c r="M542" s="27">
        <f>IF(E542="","",SUMIFS(tbl_Finance[Ex GST],tbl_Finance[Job Number],E542&amp;""))</f>
        <v/>
      </c>
      <c r="N542" s="27">
        <f>IF(J542&lt;&gt;"Won","",IF(E542="",N(I542),I542-M542))</f>
        <v/>
      </c>
      <c r="O542" s="22" t="n"/>
    </row>
    <row r="543" ht="15" customHeight="1">
      <c r="A543" s="72" t="n"/>
      <c r="B543" s="22" t="n"/>
      <c r="C543" s="22" t="n"/>
      <c r="D543" s="22" t="n"/>
      <c r="E543" s="22" t="n"/>
      <c r="F543" s="26">
        <f>IF(E543="","",IF(COUNTIF(lst_Jobs,E543&amp;"")&gt;0,"OK","CHECK"))</f>
        <v/>
      </c>
      <c r="G543" s="22" t="n"/>
      <c r="H543" s="22" t="n"/>
      <c r="I543" s="24" t="n"/>
      <c r="J543" s="22" t="n"/>
      <c r="K543" s="23" t="n"/>
      <c r="L543" s="72" t="n"/>
      <c r="M543" s="27">
        <f>IF(E543="","",SUMIFS(tbl_Finance[Ex GST],tbl_Finance[Job Number],E543&amp;""))</f>
        <v/>
      </c>
      <c r="N543" s="27">
        <f>IF(J543&lt;&gt;"Won","",IF(E543="",N(I543),I543-M543))</f>
        <v/>
      </c>
      <c r="O543" s="22" t="n"/>
    </row>
    <row r="544" ht="15" customHeight="1">
      <c r="A544" s="72" t="n"/>
      <c r="B544" s="22" t="n"/>
      <c r="C544" s="22" t="n"/>
      <c r="D544" s="22" t="n"/>
      <c r="E544" s="22" t="n"/>
      <c r="F544" s="26">
        <f>IF(E544="","",IF(COUNTIF(lst_Jobs,E544&amp;"")&gt;0,"OK","CHECK"))</f>
        <v/>
      </c>
      <c r="G544" s="22" t="n"/>
      <c r="H544" s="22" t="n"/>
      <c r="I544" s="24" t="n"/>
      <c r="J544" s="22" t="n"/>
      <c r="K544" s="23" t="n"/>
      <c r="L544" s="72" t="n"/>
      <c r="M544" s="27">
        <f>IF(E544="","",SUMIFS(tbl_Finance[Ex GST],tbl_Finance[Job Number],E544&amp;""))</f>
        <v/>
      </c>
      <c r="N544" s="27">
        <f>IF(J544&lt;&gt;"Won","",IF(E544="",N(I544),I544-M544))</f>
        <v/>
      </c>
      <c r="O544" s="22" t="n"/>
    </row>
    <row r="545" ht="15" customHeight="1">
      <c r="A545" s="72" t="n"/>
      <c r="B545" s="22" t="n"/>
      <c r="C545" s="22" t="n"/>
      <c r="D545" s="22" t="n"/>
      <c r="E545" s="22" t="n"/>
      <c r="F545" s="26">
        <f>IF(E545="","",IF(COUNTIF(lst_Jobs,E545&amp;"")&gt;0,"OK","CHECK"))</f>
        <v/>
      </c>
      <c r="G545" s="22" t="n"/>
      <c r="H545" s="22" t="n"/>
      <c r="I545" s="24" t="n"/>
      <c r="J545" s="22" t="n"/>
      <c r="K545" s="23" t="n"/>
      <c r="L545" s="72" t="n"/>
      <c r="M545" s="27">
        <f>IF(E545="","",SUMIFS(tbl_Finance[Ex GST],tbl_Finance[Job Number],E545&amp;""))</f>
        <v/>
      </c>
      <c r="N545" s="27">
        <f>IF(J545&lt;&gt;"Won","",IF(E545="",N(I545),I545-M545))</f>
        <v/>
      </c>
      <c r="O545" s="22" t="n"/>
    </row>
    <row r="546" ht="15" customHeight="1">
      <c r="A546" s="72" t="n"/>
      <c r="B546" s="22" t="n"/>
      <c r="C546" s="22" t="n"/>
      <c r="D546" s="22" t="n"/>
      <c r="E546" s="22" t="n"/>
      <c r="F546" s="26">
        <f>IF(E546="","",IF(COUNTIF(lst_Jobs,E546&amp;"")&gt;0,"OK","CHECK"))</f>
        <v/>
      </c>
      <c r="G546" s="22" t="n"/>
      <c r="H546" s="22" t="n"/>
      <c r="I546" s="24" t="n"/>
      <c r="J546" s="22" t="n"/>
      <c r="K546" s="23" t="n"/>
      <c r="L546" s="72" t="n"/>
      <c r="M546" s="27">
        <f>IF(E546="","",SUMIFS(tbl_Finance[Ex GST],tbl_Finance[Job Number],E546&amp;""))</f>
        <v/>
      </c>
      <c r="N546" s="27">
        <f>IF(J546&lt;&gt;"Won","",IF(E546="",N(I546),I546-M546))</f>
        <v/>
      </c>
      <c r="O546" s="22" t="n"/>
    </row>
    <row r="547" ht="15" customHeight="1">
      <c r="A547" s="72" t="n"/>
      <c r="B547" s="22" t="n"/>
      <c r="C547" s="22" t="n"/>
      <c r="D547" s="22" t="n"/>
      <c r="E547" s="22" t="n"/>
      <c r="F547" s="26">
        <f>IF(E547="","",IF(COUNTIF(lst_Jobs,E547&amp;"")&gt;0,"OK","CHECK"))</f>
        <v/>
      </c>
      <c r="G547" s="22" t="n"/>
      <c r="H547" s="22" t="n"/>
      <c r="I547" s="24" t="n"/>
      <c r="J547" s="22" t="n"/>
      <c r="K547" s="23" t="n"/>
      <c r="L547" s="72" t="n"/>
      <c r="M547" s="27">
        <f>IF(E547="","",SUMIFS(tbl_Finance[Ex GST],tbl_Finance[Job Number],E547&amp;""))</f>
        <v/>
      </c>
      <c r="N547" s="27">
        <f>IF(J547&lt;&gt;"Won","",IF(E547="",N(I547),I547-M547))</f>
        <v/>
      </c>
      <c r="O547" s="22" t="n"/>
    </row>
    <row r="548" ht="15" customHeight="1">
      <c r="A548" s="72" t="n"/>
      <c r="B548" s="22" t="n"/>
      <c r="C548" s="22" t="n"/>
      <c r="D548" s="22" t="n"/>
      <c r="E548" s="22" t="n"/>
      <c r="F548" s="26">
        <f>IF(E548="","",IF(COUNTIF(lst_Jobs,E548&amp;"")&gt;0,"OK","CHECK"))</f>
        <v/>
      </c>
      <c r="G548" s="22" t="n"/>
      <c r="H548" s="22" t="n"/>
      <c r="I548" s="24" t="n"/>
      <c r="J548" s="22" t="n"/>
      <c r="K548" s="23" t="n"/>
      <c r="L548" s="72" t="n"/>
      <c r="M548" s="27">
        <f>IF(E548="","",SUMIFS(tbl_Finance[Ex GST],tbl_Finance[Job Number],E548&amp;""))</f>
        <v/>
      </c>
      <c r="N548" s="27">
        <f>IF(J548&lt;&gt;"Won","",IF(E548="",N(I548),I548-M548))</f>
        <v/>
      </c>
      <c r="O548" s="22" t="n"/>
    </row>
    <row r="549" ht="15" customHeight="1">
      <c r="A549" s="72" t="n"/>
      <c r="B549" s="22" t="n"/>
      <c r="C549" s="22" t="n"/>
      <c r="D549" s="22" t="n"/>
      <c r="E549" s="22" t="n"/>
      <c r="F549" s="26">
        <f>IF(E549="","",IF(COUNTIF(lst_Jobs,E549&amp;"")&gt;0,"OK","CHECK"))</f>
        <v/>
      </c>
      <c r="G549" s="22" t="n"/>
      <c r="H549" s="22" t="n"/>
      <c r="I549" s="24" t="n"/>
      <c r="J549" s="22" t="n"/>
      <c r="K549" s="23" t="n"/>
      <c r="L549" s="72" t="n"/>
      <c r="M549" s="27">
        <f>IF(E549="","",SUMIFS(tbl_Finance[Ex GST],tbl_Finance[Job Number],E549&amp;""))</f>
        <v/>
      </c>
      <c r="N549" s="27">
        <f>IF(J549&lt;&gt;"Won","",IF(E549="",N(I549),I549-M549))</f>
        <v/>
      </c>
      <c r="O549" s="22" t="n"/>
    </row>
    <row r="550" ht="15" customHeight="1">
      <c r="A550" s="72" t="n"/>
      <c r="B550" s="22" t="n"/>
      <c r="C550" s="22" t="n"/>
      <c r="D550" s="22" t="n"/>
      <c r="E550" s="22" t="n"/>
      <c r="F550" s="26">
        <f>IF(E550="","",IF(COUNTIF(lst_Jobs,E550&amp;"")&gt;0,"OK","CHECK"))</f>
        <v/>
      </c>
      <c r="G550" s="22" t="n"/>
      <c r="H550" s="22" t="n"/>
      <c r="I550" s="24" t="n"/>
      <c r="J550" s="22" t="n"/>
      <c r="K550" s="23" t="n"/>
      <c r="L550" s="72" t="n"/>
      <c r="M550" s="27">
        <f>IF(E550="","",SUMIFS(tbl_Finance[Ex GST],tbl_Finance[Job Number],E550&amp;""))</f>
        <v/>
      </c>
      <c r="N550" s="27">
        <f>IF(J550&lt;&gt;"Won","",IF(E550="",N(I550),I550-M550))</f>
        <v/>
      </c>
      <c r="O550" s="22" t="n"/>
    </row>
    <row r="551" ht="15" customHeight="1">
      <c r="A551" s="72" t="n"/>
      <c r="B551" s="22" t="n"/>
      <c r="C551" s="22" t="n"/>
      <c r="D551" s="22" t="n"/>
      <c r="E551" s="22" t="n"/>
      <c r="F551" s="26">
        <f>IF(E551="","",IF(COUNTIF(lst_Jobs,E551&amp;"")&gt;0,"OK","CHECK"))</f>
        <v/>
      </c>
      <c r="G551" s="22" t="n"/>
      <c r="H551" s="22" t="n"/>
      <c r="I551" s="24" t="n"/>
      <c r="J551" s="22" t="n"/>
      <c r="K551" s="23" t="n"/>
      <c r="L551" s="72" t="n"/>
      <c r="M551" s="27">
        <f>IF(E551="","",SUMIFS(tbl_Finance[Ex GST],tbl_Finance[Job Number],E551&amp;""))</f>
        <v/>
      </c>
      <c r="N551" s="27">
        <f>IF(J551&lt;&gt;"Won","",IF(E551="",N(I551),I551-M551))</f>
        <v/>
      </c>
      <c r="O551" s="22" t="n"/>
    </row>
    <row r="552" ht="15" customHeight="1">
      <c r="A552" s="72" t="n"/>
      <c r="B552" s="22" t="n"/>
      <c r="C552" s="22" t="n"/>
      <c r="D552" s="22" t="n"/>
      <c r="E552" s="22" t="n"/>
      <c r="F552" s="26">
        <f>IF(E552="","",IF(COUNTIF(lst_Jobs,E552&amp;"")&gt;0,"OK","CHECK"))</f>
        <v/>
      </c>
      <c r="G552" s="22" t="n"/>
      <c r="H552" s="22" t="n"/>
      <c r="I552" s="24" t="n"/>
      <c r="J552" s="22" t="n"/>
      <c r="K552" s="23" t="n"/>
      <c r="L552" s="72" t="n"/>
      <c r="M552" s="27">
        <f>IF(E552="","",SUMIFS(tbl_Finance[Ex GST],tbl_Finance[Job Number],E552&amp;""))</f>
        <v/>
      </c>
      <c r="N552" s="27">
        <f>IF(J552&lt;&gt;"Won","",IF(E552="",N(I552),I552-M552))</f>
        <v/>
      </c>
      <c r="O552" s="22" t="n"/>
    </row>
    <row r="553" ht="15" customHeight="1">
      <c r="A553" s="72" t="n"/>
      <c r="B553" s="22" t="n"/>
      <c r="C553" s="22" t="n"/>
      <c r="D553" s="22" t="n"/>
      <c r="E553" s="22" t="n"/>
      <c r="F553" s="26">
        <f>IF(E553="","",IF(COUNTIF(lst_Jobs,E553&amp;"")&gt;0,"OK","CHECK"))</f>
        <v/>
      </c>
      <c r="G553" s="22" t="n"/>
      <c r="H553" s="22" t="n"/>
      <c r="I553" s="24" t="n"/>
      <c r="J553" s="22" t="n"/>
      <c r="K553" s="23" t="n"/>
      <c r="L553" s="72" t="n"/>
      <c r="M553" s="27">
        <f>IF(E553="","",SUMIFS(tbl_Finance[Ex GST],tbl_Finance[Job Number],E553&amp;""))</f>
        <v/>
      </c>
      <c r="N553" s="27">
        <f>IF(J553&lt;&gt;"Won","",IF(E553="",N(I553),I553-M553))</f>
        <v/>
      </c>
      <c r="O553" s="22" t="n"/>
    </row>
    <row r="554" ht="15" customHeight="1">
      <c r="A554" s="72" t="n"/>
      <c r="B554" s="22" t="n"/>
      <c r="C554" s="22" t="n"/>
      <c r="D554" s="22" t="n"/>
      <c r="E554" s="22" t="n"/>
      <c r="F554" s="26">
        <f>IF(E554="","",IF(COUNTIF(lst_Jobs,E554&amp;"")&gt;0,"OK","CHECK"))</f>
        <v/>
      </c>
      <c r="G554" s="22" t="n"/>
      <c r="H554" s="22" t="n"/>
      <c r="I554" s="24" t="n"/>
      <c r="J554" s="22" t="n"/>
      <c r="K554" s="23" t="n"/>
      <c r="L554" s="72" t="n"/>
      <c r="M554" s="27">
        <f>IF(E554="","",SUMIFS(tbl_Finance[Ex GST],tbl_Finance[Job Number],E554&amp;""))</f>
        <v/>
      </c>
      <c r="N554" s="27">
        <f>IF(J554&lt;&gt;"Won","",IF(E554="",N(I554),I554-M554))</f>
        <v/>
      </c>
      <c r="O554" s="22" t="n"/>
    </row>
    <row r="555" ht="15" customHeight="1">
      <c r="A555" s="72" t="n"/>
      <c r="B555" s="22" t="n"/>
      <c r="C555" s="22" t="n"/>
      <c r="D555" s="22" t="n"/>
      <c r="E555" s="22" t="n"/>
      <c r="F555" s="26">
        <f>IF(E555="","",IF(COUNTIF(lst_Jobs,E555&amp;"")&gt;0,"OK","CHECK"))</f>
        <v/>
      </c>
      <c r="G555" s="22" t="n"/>
      <c r="H555" s="22" t="n"/>
      <c r="I555" s="24" t="n"/>
      <c r="J555" s="22" t="n"/>
      <c r="K555" s="23" t="n"/>
      <c r="L555" s="72" t="n"/>
      <c r="M555" s="27">
        <f>IF(E555="","",SUMIFS(tbl_Finance[Ex GST],tbl_Finance[Job Number],E555&amp;""))</f>
        <v/>
      </c>
      <c r="N555" s="27">
        <f>IF(J555&lt;&gt;"Won","",IF(E555="",N(I555),I555-M555))</f>
        <v/>
      </c>
      <c r="O555" s="22" t="n"/>
    </row>
    <row r="556" ht="15" customHeight="1">
      <c r="A556" s="72" t="n"/>
      <c r="B556" s="22" t="n"/>
      <c r="C556" s="22" t="n"/>
      <c r="D556" s="22" t="n"/>
      <c r="E556" s="22" t="n"/>
      <c r="F556" s="26">
        <f>IF(E556="","",IF(COUNTIF(lst_Jobs,E556&amp;"")&gt;0,"OK","CHECK"))</f>
        <v/>
      </c>
      <c r="G556" s="22" t="n"/>
      <c r="H556" s="22" t="n"/>
      <c r="I556" s="24" t="n"/>
      <c r="J556" s="22" t="n"/>
      <c r="K556" s="23" t="n"/>
      <c r="L556" s="72" t="n"/>
      <c r="M556" s="27">
        <f>IF(E556="","",SUMIFS(tbl_Finance[Ex GST],tbl_Finance[Job Number],E556&amp;""))</f>
        <v/>
      </c>
      <c r="N556" s="27">
        <f>IF(J556&lt;&gt;"Won","",IF(E556="",N(I556),I556-M556))</f>
        <v/>
      </c>
      <c r="O556" s="22" t="n"/>
    </row>
    <row r="557" ht="15" customHeight="1">
      <c r="A557" s="72" t="n"/>
      <c r="B557" s="22" t="n"/>
      <c r="C557" s="22" t="n"/>
      <c r="D557" s="22" t="n"/>
      <c r="E557" s="22" t="n"/>
      <c r="F557" s="26">
        <f>IF(E557="","",IF(COUNTIF(lst_Jobs,E557&amp;"")&gt;0,"OK","CHECK"))</f>
        <v/>
      </c>
      <c r="G557" s="22" t="n"/>
      <c r="H557" s="22" t="n"/>
      <c r="I557" s="24" t="n"/>
      <c r="J557" s="22" t="n"/>
      <c r="K557" s="23" t="n"/>
      <c r="L557" s="72" t="n"/>
      <c r="M557" s="27">
        <f>IF(E557="","",SUMIFS(tbl_Finance[Ex GST],tbl_Finance[Job Number],E557&amp;""))</f>
        <v/>
      </c>
      <c r="N557" s="27">
        <f>IF(J557&lt;&gt;"Won","",IF(E557="",N(I557),I557-M557))</f>
        <v/>
      </c>
      <c r="O557" s="22" t="n"/>
    </row>
    <row r="558" ht="15" customHeight="1">
      <c r="A558" s="72" t="n"/>
      <c r="B558" s="22" t="n"/>
      <c r="C558" s="22" t="n"/>
      <c r="D558" s="22" t="n"/>
      <c r="E558" s="22" t="n"/>
      <c r="F558" s="26">
        <f>IF(E558="","",IF(COUNTIF(lst_Jobs,E558&amp;"")&gt;0,"OK","CHECK"))</f>
        <v/>
      </c>
      <c r="G558" s="22" t="n"/>
      <c r="H558" s="22" t="n"/>
      <c r="I558" s="24" t="n"/>
      <c r="J558" s="22" t="n"/>
      <c r="K558" s="23" t="n"/>
      <c r="L558" s="72" t="n"/>
      <c r="M558" s="27">
        <f>IF(E558="","",SUMIFS(tbl_Finance[Ex GST],tbl_Finance[Job Number],E558&amp;""))</f>
        <v/>
      </c>
      <c r="N558" s="27">
        <f>IF(J558&lt;&gt;"Won","",IF(E558="",N(I558),I558-M558))</f>
        <v/>
      </c>
      <c r="O558" s="22" t="n"/>
    </row>
    <row r="559" ht="15" customHeight="1">
      <c r="A559" s="72" t="n"/>
      <c r="B559" s="22" t="n"/>
      <c r="C559" s="22" t="n"/>
      <c r="D559" s="22" t="n"/>
      <c r="E559" s="22" t="n"/>
      <c r="F559" s="26">
        <f>IF(E559="","",IF(COUNTIF(lst_Jobs,E559&amp;"")&gt;0,"OK","CHECK"))</f>
        <v/>
      </c>
      <c r="G559" s="22" t="n"/>
      <c r="H559" s="22" t="n"/>
      <c r="I559" s="24" t="n"/>
      <c r="J559" s="22" t="n"/>
      <c r="K559" s="23" t="n"/>
      <c r="L559" s="72" t="n"/>
      <c r="M559" s="27">
        <f>IF(E559="","",SUMIFS(tbl_Finance[Ex GST],tbl_Finance[Job Number],E559&amp;""))</f>
        <v/>
      </c>
      <c r="N559" s="27">
        <f>IF(J559&lt;&gt;"Won","",IF(E559="",N(I559),I559-M559))</f>
        <v/>
      </c>
      <c r="O559" s="22" t="n"/>
    </row>
    <row r="560" ht="15" customHeight="1">
      <c r="A560" s="72" t="n"/>
      <c r="B560" s="22" t="n"/>
      <c r="C560" s="22" t="n"/>
      <c r="D560" s="22" t="n"/>
      <c r="E560" s="22" t="n"/>
      <c r="F560" s="26">
        <f>IF(E560="","",IF(COUNTIF(lst_Jobs,E560&amp;"")&gt;0,"OK","CHECK"))</f>
        <v/>
      </c>
      <c r="G560" s="22" t="n"/>
      <c r="H560" s="22" t="n"/>
      <c r="I560" s="24" t="n"/>
      <c r="J560" s="22" t="n"/>
      <c r="K560" s="23" t="n"/>
      <c r="L560" s="72" t="n"/>
      <c r="M560" s="27">
        <f>IF(E560="","",SUMIFS(tbl_Finance[Ex GST],tbl_Finance[Job Number],E560&amp;""))</f>
        <v/>
      </c>
      <c r="N560" s="27">
        <f>IF(J560&lt;&gt;"Won","",IF(E560="",N(I560),I560-M560))</f>
        <v/>
      </c>
      <c r="O560" s="22" t="n"/>
    </row>
    <row r="561" ht="15" customHeight="1">
      <c r="A561" s="72" t="n"/>
      <c r="B561" s="22" t="n"/>
      <c r="C561" s="22" t="n"/>
      <c r="D561" s="22" t="n"/>
      <c r="E561" s="22" t="n"/>
      <c r="F561" s="26">
        <f>IF(E561="","",IF(COUNTIF(lst_Jobs,E561&amp;"")&gt;0,"OK","CHECK"))</f>
        <v/>
      </c>
      <c r="G561" s="22" t="n"/>
      <c r="H561" s="22" t="n"/>
      <c r="I561" s="24" t="n"/>
      <c r="J561" s="22" t="n"/>
      <c r="K561" s="23" t="n"/>
      <c r="L561" s="72" t="n"/>
      <c r="M561" s="27">
        <f>IF(E561="","",SUMIFS(tbl_Finance[Ex GST],tbl_Finance[Job Number],E561&amp;""))</f>
        <v/>
      </c>
      <c r="N561" s="27">
        <f>IF(J561&lt;&gt;"Won","",IF(E561="",N(I561),I561-M561))</f>
        <v/>
      </c>
      <c r="O561" s="22" t="n"/>
    </row>
    <row r="562" ht="15" customHeight="1">
      <c r="A562" s="72" t="n"/>
      <c r="B562" s="22" t="n"/>
      <c r="C562" s="22" t="n"/>
      <c r="D562" s="22" t="n"/>
      <c r="E562" s="22" t="n"/>
      <c r="F562" s="26">
        <f>IF(E562="","",IF(COUNTIF(lst_Jobs,E562&amp;"")&gt;0,"OK","CHECK"))</f>
        <v/>
      </c>
      <c r="G562" s="22" t="n"/>
      <c r="H562" s="22" t="n"/>
      <c r="I562" s="24" t="n"/>
      <c r="J562" s="22" t="n"/>
      <c r="K562" s="23" t="n"/>
      <c r="L562" s="72" t="n"/>
      <c r="M562" s="27">
        <f>IF(E562="","",SUMIFS(tbl_Finance[Ex GST],tbl_Finance[Job Number],E562&amp;""))</f>
        <v/>
      </c>
      <c r="N562" s="27">
        <f>IF(J562&lt;&gt;"Won","",IF(E562="",N(I562),I562-M562))</f>
        <v/>
      </c>
      <c r="O562" s="22" t="n"/>
    </row>
    <row r="563" ht="15" customHeight="1">
      <c r="A563" s="72" t="n"/>
      <c r="B563" s="22" t="n"/>
      <c r="C563" s="22" t="n"/>
      <c r="D563" s="22" t="n"/>
      <c r="E563" s="22" t="n"/>
      <c r="F563" s="26">
        <f>IF(E563="","",IF(COUNTIF(lst_Jobs,E563&amp;"")&gt;0,"OK","CHECK"))</f>
        <v/>
      </c>
      <c r="G563" s="22" t="n"/>
      <c r="H563" s="22" t="n"/>
      <c r="I563" s="24" t="n"/>
      <c r="J563" s="22" t="n"/>
      <c r="K563" s="23" t="n"/>
      <c r="L563" s="72" t="n"/>
      <c r="M563" s="27">
        <f>IF(E563="","",SUMIFS(tbl_Finance[Ex GST],tbl_Finance[Job Number],E563&amp;""))</f>
        <v/>
      </c>
      <c r="N563" s="27">
        <f>IF(J563&lt;&gt;"Won","",IF(E563="",N(I563),I563-M563))</f>
        <v/>
      </c>
      <c r="O563" s="22" t="n"/>
    </row>
    <row r="564" ht="15" customHeight="1">
      <c r="A564" s="72" t="n"/>
      <c r="B564" s="22" t="n"/>
      <c r="C564" s="22" t="n"/>
      <c r="D564" s="22" t="n"/>
      <c r="E564" s="22" t="n"/>
      <c r="F564" s="26">
        <f>IF(E564="","",IF(COUNTIF(lst_Jobs,E564&amp;"")&gt;0,"OK","CHECK"))</f>
        <v/>
      </c>
      <c r="G564" s="22" t="n"/>
      <c r="H564" s="22" t="n"/>
      <c r="I564" s="24" t="n"/>
      <c r="J564" s="22" t="n"/>
      <c r="K564" s="23" t="n"/>
      <c r="L564" s="72" t="n"/>
      <c r="M564" s="27">
        <f>IF(E564="","",SUMIFS(tbl_Finance[Ex GST],tbl_Finance[Job Number],E564&amp;""))</f>
        <v/>
      </c>
      <c r="N564" s="27">
        <f>IF(J564&lt;&gt;"Won","",IF(E564="",N(I564),I564-M564))</f>
        <v/>
      </c>
      <c r="O564" s="22" t="n"/>
    </row>
    <row r="565" ht="15" customHeight="1">
      <c r="A565" s="72" t="n"/>
      <c r="B565" s="22" t="n"/>
      <c r="C565" s="22" t="n"/>
      <c r="D565" s="22" t="n"/>
      <c r="E565" s="22" t="n"/>
      <c r="F565" s="26">
        <f>IF(E565="","",IF(COUNTIF(lst_Jobs,E565&amp;"")&gt;0,"OK","CHECK"))</f>
        <v/>
      </c>
      <c r="G565" s="22" t="n"/>
      <c r="H565" s="22" t="n"/>
      <c r="I565" s="24" t="n"/>
      <c r="J565" s="22" t="n"/>
      <c r="K565" s="23" t="n"/>
      <c r="L565" s="72" t="n"/>
      <c r="M565" s="27">
        <f>IF(E565="","",SUMIFS(tbl_Finance[Ex GST],tbl_Finance[Job Number],E565&amp;""))</f>
        <v/>
      </c>
      <c r="N565" s="27">
        <f>IF(J565&lt;&gt;"Won","",IF(E565="",N(I565),I565-M565))</f>
        <v/>
      </c>
      <c r="O565" s="22" t="n"/>
    </row>
    <row r="566" ht="15" customHeight="1">
      <c r="A566" s="72" t="n"/>
      <c r="B566" s="22" t="n"/>
      <c r="C566" s="22" t="n"/>
      <c r="D566" s="22" t="n"/>
      <c r="E566" s="22" t="n"/>
      <c r="F566" s="26">
        <f>IF(E566="","",IF(COUNTIF(lst_Jobs,E566&amp;"")&gt;0,"OK","CHECK"))</f>
        <v/>
      </c>
      <c r="G566" s="22" t="n"/>
      <c r="H566" s="22" t="n"/>
      <c r="I566" s="24" t="n"/>
      <c r="J566" s="22" t="n"/>
      <c r="K566" s="23" t="n"/>
      <c r="L566" s="72" t="n"/>
      <c r="M566" s="27">
        <f>IF(E566="","",SUMIFS(tbl_Finance[Ex GST],tbl_Finance[Job Number],E566&amp;""))</f>
        <v/>
      </c>
      <c r="N566" s="27">
        <f>IF(J566&lt;&gt;"Won","",IF(E566="",N(I566),I566-M566))</f>
        <v/>
      </c>
      <c r="O566" s="22" t="n"/>
    </row>
    <row r="567" ht="15" customHeight="1">
      <c r="A567" s="72" t="n"/>
      <c r="B567" s="22" t="n"/>
      <c r="C567" s="22" t="n"/>
      <c r="D567" s="22" t="n"/>
      <c r="E567" s="22" t="n"/>
      <c r="F567" s="26">
        <f>IF(E567="","",IF(COUNTIF(lst_Jobs,E567&amp;"")&gt;0,"OK","CHECK"))</f>
        <v/>
      </c>
      <c r="G567" s="22" t="n"/>
      <c r="H567" s="22" t="n"/>
      <c r="I567" s="24" t="n"/>
      <c r="J567" s="22" t="n"/>
      <c r="K567" s="23" t="n"/>
      <c r="L567" s="72" t="n"/>
      <c r="M567" s="27">
        <f>IF(E567="","",SUMIFS(tbl_Finance[Ex GST],tbl_Finance[Job Number],E567&amp;""))</f>
        <v/>
      </c>
      <c r="N567" s="27">
        <f>IF(J567&lt;&gt;"Won","",IF(E567="",N(I567),I567-M567))</f>
        <v/>
      </c>
      <c r="O567" s="22" t="n"/>
    </row>
    <row r="568" ht="15" customHeight="1">
      <c r="A568" s="72" t="n"/>
      <c r="B568" s="22" t="n"/>
      <c r="C568" s="22" t="n"/>
      <c r="D568" s="22" t="n"/>
      <c r="E568" s="22" t="n"/>
      <c r="F568" s="26">
        <f>IF(E568="","",IF(COUNTIF(lst_Jobs,E568&amp;"")&gt;0,"OK","CHECK"))</f>
        <v/>
      </c>
      <c r="G568" s="22" t="n"/>
      <c r="H568" s="22" t="n"/>
      <c r="I568" s="24" t="n"/>
      <c r="J568" s="22" t="n"/>
      <c r="K568" s="23" t="n"/>
      <c r="L568" s="72" t="n"/>
      <c r="M568" s="27">
        <f>IF(E568="","",SUMIFS(tbl_Finance[Ex GST],tbl_Finance[Job Number],E568&amp;""))</f>
        <v/>
      </c>
      <c r="N568" s="27">
        <f>IF(J568&lt;&gt;"Won","",IF(E568="",N(I568),I568-M568))</f>
        <v/>
      </c>
      <c r="O568" s="22" t="n"/>
    </row>
    <row r="569" ht="15" customHeight="1">
      <c r="A569" s="72" t="n"/>
      <c r="B569" s="22" t="n"/>
      <c r="C569" s="22" t="n"/>
      <c r="D569" s="22" t="n"/>
      <c r="E569" s="22" t="n"/>
      <c r="F569" s="26">
        <f>IF(E569="","",IF(COUNTIF(lst_Jobs,E569&amp;"")&gt;0,"OK","CHECK"))</f>
        <v/>
      </c>
      <c r="G569" s="22" t="n"/>
      <c r="H569" s="22" t="n"/>
      <c r="I569" s="24" t="n"/>
      <c r="J569" s="22" t="n"/>
      <c r="K569" s="23" t="n"/>
      <c r="L569" s="72" t="n"/>
      <c r="M569" s="27">
        <f>IF(E569="","",SUMIFS(tbl_Finance[Ex GST],tbl_Finance[Job Number],E569&amp;""))</f>
        <v/>
      </c>
      <c r="N569" s="27">
        <f>IF(J569&lt;&gt;"Won","",IF(E569="",N(I569),I569-M569))</f>
        <v/>
      </c>
      <c r="O569" s="22" t="n"/>
    </row>
    <row r="570" ht="15" customHeight="1">
      <c r="A570" s="72" t="n"/>
      <c r="B570" s="22" t="n"/>
      <c r="C570" s="22" t="n"/>
      <c r="D570" s="22" t="n"/>
      <c r="E570" s="22" t="n"/>
      <c r="F570" s="26">
        <f>IF(E570="","",IF(COUNTIF(lst_Jobs,E570&amp;"")&gt;0,"OK","CHECK"))</f>
        <v/>
      </c>
      <c r="G570" s="22" t="n"/>
      <c r="H570" s="22" t="n"/>
      <c r="I570" s="24" t="n"/>
      <c r="J570" s="22" t="n"/>
      <c r="K570" s="23" t="n"/>
      <c r="L570" s="72" t="n"/>
      <c r="M570" s="27">
        <f>IF(E570="","",SUMIFS(tbl_Finance[Ex GST],tbl_Finance[Job Number],E570&amp;""))</f>
        <v/>
      </c>
      <c r="N570" s="27">
        <f>IF(J570&lt;&gt;"Won","",IF(E570="",N(I570),I570-M570))</f>
        <v/>
      </c>
      <c r="O570" s="22" t="n"/>
    </row>
    <row r="571" ht="15" customHeight="1">
      <c r="A571" s="72" t="n"/>
      <c r="B571" s="22" t="n"/>
      <c r="C571" s="22" t="n"/>
      <c r="D571" s="22" t="n"/>
      <c r="E571" s="22" t="n"/>
      <c r="F571" s="26">
        <f>IF(E571="","",IF(COUNTIF(lst_Jobs,E571&amp;"")&gt;0,"OK","CHECK"))</f>
        <v/>
      </c>
      <c r="G571" s="22" t="n"/>
      <c r="H571" s="22" t="n"/>
      <c r="I571" s="24" t="n"/>
      <c r="J571" s="22" t="n"/>
      <c r="K571" s="23" t="n"/>
      <c r="L571" s="72" t="n"/>
      <c r="M571" s="27">
        <f>IF(E571="","",SUMIFS(tbl_Finance[Ex GST],tbl_Finance[Job Number],E571&amp;""))</f>
        <v/>
      </c>
      <c r="N571" s="27">
        <f>IF(J571&lt;&gt;"Won","",IF(E571="",N(I571),I571-M571))</f>
        <v/>
      </c>
      <c r="O571" s="22" t="n"/>
    </row>
    <row r="572" ht="15" customHeight="1">
      <c r="A572" s="72" t="n"/>
      <c r="B572" s="22" t="n"/>
      <c r="C572" s="22" t="n"/>
      <c r="D572" s="22" t="n"/>
      <c r="E572" s="22" t="n"/>
      <c r="F572" s="26">
        <f>IF(E572="","",IF(COUNTIF(lst_Jobs,E572&amp;"")&gt;0,"OK","CHECK"))</f>
        <v/>
      </c>
      <c r="G572" s="22" t="n"/>
      <c r="H572" s="22" t="n"/>
      <c r="I572" s="24" t="n"/>
      <c r="J572" s="22" t="n"/>
      <c r="K572" s="23" t="n"/>
      <c r="L572" s="72" t="n"/>
      <c r="M572" s="27">
        <f>IF(E572="","",SUMIFS(tbl_Finance[Ex GST],tbl_Finance[Job Number],E572&amp;""))</f>
        <v/>
      </c>
      <c r="N572" s="27">
        <f>IF(J572&lt;&gt;"Won","",IF(E572="",N(I572),I572-M572))</f>
        <v/>
      </c>
      <c r="O572" s="22" t="n"/>
    </row>
    <row r="573" ht="15" customHeight="1">
      <c r="A573" s="72" t="n"/>
      <c r="B573" s="22" t="n"/>
      <c r="C573" s="22" t="n"/>
      <c r="D573" s="22" t="n"/>
      <c r="E573" s="22" t="n"/>
      <c r="F573" s="26">
        <f>IF(E573="","",IF(COUNTIF(lst_Jobs,E573&amp;"")&gt;0,"OK","CHECK"))</f>
        <v/>
      </c>
      <c r="G573" s="22" t="n"/>
      <c r="H573" s="22" t="n"/>
      <c r="I573" s="24" t="n"/>
      <c r="J573" s="22" t="n"/>
      <c r="K573" s="23" t="n"/>
      <c r="L573" s="72" t="n"/>
      <c r="M573" s="27">
        <f>IF(E573="","",SUMIFS(tbl_Finance[Ex GST],tbl_Finance[Job Number],E573&amp;""))</f>
        <v/>
      </c>
      <c r="N573" s="27">
        <f>IF(J573&lt;&gt;"Won","",IF(E573="",N(I573),I573-M573))</f>
        <v/>
      </c>
      <c r="O573" s="22" t="n"/>
    </row>
    <row r="574" ht="15" customHeight="1">
      <c r="A574" s="72" t="n"/>
      <c r="B574" s="22" t="n"/>
      <c r="C574" s="22" t="n"/>
      <c r="D574" s="22" t="n"/>
      <c r="E574" s="22" t="n"/>
      <c r="F574" s="26">
        <f>IF(E574="","",IF(COUNTIF(lst_Jobs,E574&amp;"")&gt;0,"OK","CHECK"))</f>
        <v/>
      </c>
      <c r="G574" s="22" t="n"/>
      <c r="H574" s="22" t="n"/>
      <c r="I574" s="24" t="n"/>
      <c r="J574" s="22" t="n"/>
      <c r="K574" s="23" t="n"/>
      <c r="L574" s="72" t="n"/>
      <c r="M574" s="27">
        <f>IF(E574="","",SUMIFS(tbl_Finance[Ex GST],tbl_Finance[Job Number],E574&amp;""))</f>
        <v/>
      </c>
      <c r="N574" s="27">
        <f>IF(J574&lt;&gt;"Won","",IF(E574="",N(I574),I574-M574))</f>
        <v/>
      </c>
      <c r="O574" s="22" t="n"/>
    </row>
    <row r="575" ht="15" customHeight="1">
      <c r="A575" s="72" t="n"/>
      <c r="B575" s="22" t="n"/>
      <c r="C575" s="22" t="n"/>
      <c r="D575" s="22" t="n"/>
      <c r="E575" s="22" t="n"/>
      <c r="F575" s="26">
        <f>IF(E575="","",IF(COUNTIF(lst_Jobs,E575&amp;"")&gt;0,"OK","CHECK"))</f>
        <v/>
      </c>
      <c r="G575" s="22" t="n"/>
      <c r="H575" s="22" t="n"/>
      <c r="I575" s="24" t="n"/>
      <c r="J575" s="22" t="n"/>
      <c r="K575" s="23" t="n"/>
      <c r="L575" s="72" t="n"/>
      <c r="M575" s="27">
        <f>IF(E575="","",SUMIFS(tbl_Finance[Ex GST],tbl_Finance[Job Number],E575&amp;""))</f>
        <v/>
      </c>
      <c r="N575" s="27">
        <f>IF(J575&lt;&gt;"Won","",IF(E575="",N(I575),I575-M575))</f>
        <v/>
      </c>
      <c r="O575" s="22" t="n"/>
    </row>
    <row r="576" ht="15" customHeight="1">
      <c r="A576" s="72" t="n"/>
      <c r="B576" s="22" t="n"/>
      <c r="C576" s="22" t="n"/>
      <c r="D576" s="22" t="n"/>
      <c r="E576" s="22" t="n"/>
      <c r="F576" s="26">
        <f>IF(E576="","",IF(COUNTIF(lst_Jobs,E576&amp;"")&gt;0,"OK","CHECK"))</f>
        <v/>
      </c>
      <c r="G576" s="22" t="n"/>
      <c r="H576" s="22" t="n"/>
      <c r="I576" s="24" t="n"/>
      <c r="J576" s="22" t="n"/>
      <c r="K576" s="23" t="n"/>
      <c r="L576" s="72" t="n"/>
      <c r="M576" s="27">
        <f>IF(E576="","",SUMIFS(tbl_Finance[Ex GST],tbl_Finance[Job Number],E576&amp;""))</f>
        <v/>
      </c>
      <c r="N576" s="27">
        <f>IF(J576&lt;&gt;"Won","",IF(E576="",N(I576),I576-M576))</f>
        <v/>
      </c>
      <c r="O576" s="22" t="n"/>
    </row>
    <row r="577" ht="15" customHeight="1">
      <c r="A577" s="72" t="n"/>
      <c r="B577" s="22" t="n"/>
      <c r="C577" s="22" t="n"/>
      <c r="D577" s="22" t="n"/>
      <c r="E577" s="22" t="n"/>
      <c r="F577" s="26">
        <f>IF(E577="","",IF(COUNTIF(lst_Jobs,E577&amp;"")&gt;0,"OK","CHECK"))</f>
        <v/>
      </c>
      <c r="G577" s="22" t="n"/>
      <c r="H577" s="22" t="n"/>
      <c r="I577" s="24" t="n"/>
      <c r="J577" s="22" t="n"/>
      <c r="K577" s="23" t="n"/>
      <c r="L577" s="72" t="n"/>
      <c r="M577" s="27">
        <f>IF(E577="","",SUMIFS(tbl_Finance[Ex GST],tbl_Finance[Job Number],E577&amp;""))</f>
        <v/>
      </c>
      <c r="N577" s="27">
        <f>IF(J577&lt;&gt;"Won","",IF(E577="",N(I577),I577-M577))</f>
        <v/>
      </c>
      <c r="O577" s="22" t="n"/>
    </row>
    <row r="578" ht="15" customHeight="1">
      <c r="A578" s="72" t="n"/>
      <c r="B578" s="22" t="n"/>
      <c r="C578" s="22" t="n"/>
      <c r="D578" s="22" t="n"/>
      <c r="E578" s="22" t="n"/>
      <c r="F578" s="26">
        <f>IF(E578="","",IF(COUNTIF(lst_Jobs,E578&amp;"")&gt;0,"OK","CHECK"))</f>
        <v/>
      </c>
      <c r="G578" s="22" t="n"/>
      <c r="H578" s="22" t="n"/>
      <c r="I578" s="24" t="n"/>
      <c r="J578" s="22" t="n"/>
      <c r="K578" s="23" t="n"/>
      <c r="L578" s="72" t="n"/>
      <c r="M578" s="27">
        <f>IF(E578="","",SUMIFS(tbl_Finance[Ex GST],tbl_Finance[Job Number],E578&amp;""))</f>
        <v/>
      </c>
      <c r="N578" s="27">
        <f>IF(J578&lt;&gt;"Won","",IF(E578="",N(I578),I578-M578))</f>
        <v/>
      </c>
      <c r="O578" s="22" t="n"/>
    </row>
    <row r="579" ht="15" customHeight="1">
      <c r="A579" s="72" t="n"/>
      <c r="B579" s="22" t="n"/>
      <c r="C579" s="22" t="n"/>
      <c r="D579" s="22" t="n"/>
      <c r="E579" s="22" t="n"/>
      <c r="F579" s="26">
        <f>IF(E579="","",IF(COUNTIF(lst_Jobs,E579&amp;"")&gt;0,"OK","CHECK"))</f>
        <v/>
      </c>
      <c r="G579" s="22" t="n"/>
      <c r="H579" s="22" t="n"/>
      <c r="I579" s="24" t="n"/>
      <c r="J579" s="22" t="n"/>
      <c r="K579" s="23" t="n"/>
      <c r="L579" s="72" t="n"/>
      <c r="M579" s="27">
        <f>IF(E579="","",SUMIFS(tbl_Finance[Ex GST],tbl_Finance[Job Number],E579&amp;""))</f>
        <v/>
      </c>
      <c r="N579" s="27">
        <f>IF(J579&lt;&gt;"Won","",IF(E579="",N(I579),I579-M579))</f>
        <v/>
      </c>
      <c r="O579" s="22" t="n"/>
    </row>
    <row r="580" ht="15" customHeight="1">
      <c r="A580" s="72" t="n"/>
      <c r="B580" s="22" t="n"/>
      <c r="C580" s="22" t="n"/>
      <c r="D580" s="22" t="n"/>
      <c r="E580" s="22" t="n"/>
      <c r="F580" s="26">
        <f>IF(E580="","",IF(COUNTIF(lst_Jobs,E580&amp;"")&gt;0,"OK","CHECK"))</f>
        <v/>
      </c>
      <c r="G580" s="22" t="n"/>
      <c r="H580" s="22" t="n"/>
      <c r="I580" s="24" t="n"/>
      <c r="J580" s="22" t="n"/>
      <c r="K580" s="23" t="n"/>
      <c r="L580" s="72" t="n"/>
      <c r="M580" s="27">
        <f>IF(E580="","",SUMIFS(tbl_Finance[Ex GST],tbl_Finance[Job Number],E580&amp;""))</f>
        <v/>
      </c>
      <c r="N580" s="27">
        <f>IF(J580&lt;&gt;"Won","",IF(E580="",N(I580),I580-M580))</f>
        <v/>
      </c>
      <c r="O580" s="22" t="n"/>
    </row>
    <row r="581" ht="15" customHeight="1">
      <c r="A581" s="72" t="n"/>
      <c r="B581" s="22" t="n"/>
      <c r="C581" s="22" t="n"/>
      <c r="D581" s="22" t="n"/>
      <c r="E581" s="22" t="n"/>
      <c r="F581" s="26">
        <f>IF(E581="","",IF(COUNTIF(lst_Jobs,E581&amp;"")&gt;0,"OK","CHECK"))</f>
        <v/>
      </c>
      <c r="G581" s="22" t="n"/>
      <c r="H581" s="22" t="n"/>
      <c r="I581" s="24" t="n"/>
      <c r="J581" s="22" t="n"/>
      <c r="K581" s="23" t="n"/>
      <c r="L581" s="72" t="n"/>
      <c r="M581" s="27">
        <f>IF(E581="","",SUMIFS(tbl_Finance[Ex GST],tbl_Finance[Job Number],E581&amp;""))</f>
        <v/>
      </c>
      <c r="N581" s="27">
        <f>IF(J581&lt;&gt;"Won","",IF(E581="",N(I581),I581-M581))</f>
        <v/>
      </c>
      <c r="O581" s="22" t="n"/>
    </row>
    <row r="582" ht="15" customHeight="1">
      <c r="A582" s="72" t="n"/>
      <c r="B582" s="22" t="n"/>
      <c r="C582" s="22" t="n"/>
      <c r="D582" s="22" t="n"/>
      <c r="E582" s="22" t="n"/>
      <c r="F582" s="26">
        <f>IF(E582="","",IF(COUNTIF(lst_Jobs,E582&amp;"")&gt;0,"OK","CHECK"))</f>
        <v/>
      </c>
      <c r="G582" s="22" t="n"/>
      <c r="H582" s="22" t="n"/>
      <c r="I582" s="24" t="n"/>
      <c r="J582" s="22" t="n"/>
      <c r="K582" s="23" t="n"/>
      <c r="L582" s="72" t="n"/>
      <c r="M582" s="27">
        <f>IF(E582="","",SUMIFS(tbl_Finance[Ex GST],tbl_Finance[Job Number],E582&amp;""))</f>
        <v/>
      </c>
      <c r="N582" s="27">
        <f>IF(J582&lt;&gt;"Won","",IF(E582="",N(I582),I582-M582))</f>
        <v/>
      </c>
      <c r="O582" s="22" t="n"/>
    </row>
    <row r="583" ht="15" customHeight="1">
      <c r="A583" s="72" t="n"/>
      <c r="B583" s="22" t="n"/>
      <c r="C583" s="22" t="n"/>
      <c r="D583" s="22" t="n"/>
      <c r="E583" s="22" t="n"/>
      <c r="F583" s="26">
        <f>IF(E583="","",IF(COUNTIF(lst_Jobs,E583&amp;"")&gt;0,"OK","CHECK"))</f>
        <v/>
      </c>
      <c r="G583" s="22" t="n"/>
      <c r="H583" s="22" t="n"/>
      <c r="I583" s="24" t="n"/>
      <c r="J583" s="22" t="n"/>
      <c r="K583" s="23" t="n"/>
      <c r="L583" s="72" t="n"/>
      <c r="M583" s="27">
        <f>IF(E583="","",SUMIFS(tbl_Finance[Ex GST],tbl_Finance[Job Number],E583&amp;""))</f>
        <v/>
      </c>
      <c r="N583" s="27">
        <f>IF(J583&lt;&gt;"Won","",IF(E583="",N(I583),I583-M583))</f>
        <v/>
      </c>
      <c r="O583" s="22" t="n"/>
    </row>
    <row r="584" ht="15" customHeight="1">
      <c r="A584" s="72" t="n"/>
      <c r="B584" s="22" t="n"/>
      <c r="C584" s="22" t="n"/>
      <c r="D584" s="22" t="n"/>
      <c r="E584" s="22" t="n"/>
      <c r="F584" s="26">
        <f>IF(E584="","",IF(COUNTIF(lst_Jobs,E584&amp;"")&gt;0,"OK","CHECK"))</f>
        <v/>
      </c>
      <c r="G584" s="22" t="n"/>
      <c r="H584" s="22" t="n"/>
      <c r="I584" s="24" t="n"/>
      <c r="J584" s="22" t="n"/>
      <c r="K584" s="23" t="n"/>
      <c r="L584" s="72" t="n"/>
      <c r="M584" s="27">
        <f>IF(E584="","",SUMIFS(tbl_Finance[Ex GST],tbl_Finance[Job Number],E584&amp;""))</f>
        <v/>
      </c>
      <c r="N584" s="27">
        <f>IF(J584&lt;&gt;"Won","",IF(E584="",N(I584),I584-M584))</f>
        <v/>
      </c>
      <c r="O584" s="22" t="n"/>
    </row>
    <row r="585" ht="15" customHeight="1">
      <c r="A585" s="72" t="n"/>
      <c r="B585" s="22" t="n"/>
      <c r="C585" s="22" t="n"/>
      <c r="D585" s="22" t="n"/>
      <c r="E585" s="22" t="n"/>
      <c r="F585" s="26">
        <f>IF(E585="","",IF(COUNTIF(lst_Jobs,E585&amp;"")&gt;0,"OK","CHECK"))</f>
        <v/>
      </c>
      <c r="G585" s="22" t="n"/>
      <c r="H585" s="22" t="n"/>
      <c r="I585" s="24" t="n"/>
      <c r="J585" s="22" t="n"/>
      <c r="K585" s="23" t="n"/>
      <c r="L585" s="72" t="n"/>
      <c r="M585" s="27">
        <f>IF(E585="","",SUMIFS(tbl_Finance[Ex GST],tbl_Finance[Job Number],E585&amp;""))</f>
        <v/>
      </c>
      <c r="N585" s="27">
        <f>IF(J585&lt;&gt;"Won","",IF(E585="",N(I585),I585-M585))</f>
        <v/>
      </c>
      <c r="O585" s="22" t="n"/>
    </row>
    <row r="586" ht="15" customHeight="1">
      <c r="A586" s="72" t="n"/>
      <c r="B586" s="22" t="n"/>
      <c r="C586" s="22" t="n"/>
      <c r="D586" s="22" t="n"/>
      <c r="E586" s="22" t="n"/>
      <c r="F586" s="26">
        <f>IF(E586="","",IF(COUNTIF(lst_Jobs,E586&amp;"")&gt;0,"OK","CHECK"))</f>
        <v/>
      </c>
      <c r="G586" s="22" t="n"/>
      <c r="H586" s="22" t="n"/>
      <c r="I586" s="24" t="n"/>
      <c r="J586" s="22" t="n"/>
      <c r="K586" s="23" t="n"/>
      <c r="L586" s="72" t="n"/>
      <c r="M586" s="27">
        <f>IF(E586="","",SUMIFS(tbl_Finance[Ex GST],tbl_Finance[Job Number],E586&amp;""))</f>
        <v/>
      </c>
      <c r="N586" s="27">
        <f>IF(J586&lt;&gt;"Won","",IF(E586="",N(I586),I586-M586))</f>
        <v/>
      </c>
      <c r="O586" s="22" t="n"/>
    </row>
    <row r="587" ht="15" customHeight="1">
      <c r="A587" s="72" t="n"/>
      <c r="B587" s="22" t="n"/>
      <c r="C587" s="22" t="n"/>
      <c r="D587" s="22" t="n"/>
      <c r="E587" s="22" t="n"/>
      <c r="F587" s="26">
        <f>IF(E587="","",IF(COUNTIF(lst_Jobs,E587&amp;"")&gt;0,"OK","CHECK"))</f>
        <v/>
      </c>
      <c r="G587" s="22" t="n"/>
      <c r="H587" s="22" t="n"/>
      <c r="I587" s="24" t="n"/>
      <c r="J587" s="22" t="n"/>
      <c r="K587" s="23" t="n"/>
      <c r="L587" s="72" t="n"/>
      <c r="M587" s="27">
        <f>IF(E587="","",SUMIFS(tbl_Finance[Ex GST],tbl_Finance[Job Number],E587&amp;""))</f>
        <v/>
      </c>
      <c r="N587" s="27">
        <f>IF(J587&lt;&gt;"Won","",IF(E587="",N(I587),I587-M587))</f>
        <v/>
      </c>
      <c r="O587" s="22" t="n"/>
    </row>
    <row r="588" ht="15" customHeight="1">
      <c r="A588" s="72" t="n"/>
      <c r="B588" s="22" t="n"/>
      <c r="C588" s="22" t="n"/>
      <c r="D588" s="22" t="n"/>
      <c r="E588" s="22" t="n"/>
      <c r="F588" s="26">
        <f>IF(E588="","",IF(COUNTIF(lst_Jobs,E588&amp;"")&gt;0,"OK","CHECK"))</f>
        <v/>
      </c>
      <c r="G588" s="22" t="n"/>
      <c r="H588" s="22" t="n"/>
      <c r="I588" s="24" t="n"/>
      <c r="J588" s="22" t="n"/>
      <c r="K588" s="23" t="n"/>
      <c r="L588" s="72" t="n"/>
      <c r="M588" s="27">
        <f>IF(E588="","",SUMIFS(tbl_Finance[Ex GST],tbl_Finance[Job Number],E588&amp;""))</f>
        <v/>
      </c>
      <c r="N588" s="27">
        <f>IF(J588&lt;&gt;"Won","",IF(E588="",N(I588),I588-M588))</f>
        <v/>
      </c>
      <c r="O588" s="22" t="n"/>
    </row>
    <row r="589" ht="15" customHeight="1">
      <c r="A589" s="72" t="n"/>
      <c r="B589" s="22" t="n"/>
      <c r="C589" s="22" t="n"/>
      <c r="D589" s="22" t="n"/>
      <c r="E589" s="22" t="n"/>
      <c r="F589" s="26">
        <f>IF(E589="","",IF(COUNTIF(lst_Jobs,E589&amp;"")&gt;0,"OK","CHECK"))</f>
        <v/>
      </c>
      <c r="G589" s="22" t="n"/>
      <c r="H589" s="22" t="n"/>
      <c r="I589" s="24" t="n"/>
      <c r="J589" s="22" t="n"/>
      <c r="K589" s="23" t="n"/>
      <c r="L589" s="72" t="n"/>
      <c r="M589" s="27">
        <f>IF(E589="","",SUMIFS(tbl_Finance[Ex GST],tbl_Finance[Job Number],E589&amp;""))</f>
        <v/>
      </c>
      <c r="N589" s="27">
        <f>IF(J589&lt;&gt;"Won","",IF(E589="",N(I589),I589-M589))</f>
        <v/>
      </c>
      <c r="O589" s="22" t="n"/>
    </row>
    <row r="590" ht="15" customHeight="1">
      <c r="A590" s="72" t="n"/>
      <c r="B590" s="22" t="n"/>
      <c r="C590" s="22" t="n"/>
      <c r="D590" s="22" t="n"/>
      <c r="E590" s="22" t="n"/>
      <c r="F590" s="26">
        <f>IF(E590="","",IF(COUNTIF(lst_Jobs,E590&amp;"")&gt;0,"OK","CHECK"))</f>
        <v/>
      </c>
      <c r="G590" s="22" t="n"/>
      <c r="H590" s="22" t="n"/>
      <c r="I590" s="24" t="n"/>
      <c r="J590" s="22" t="n"/>
      <c r="K590" s="23" t="n"/>
      <c r="L590" s="72" t="n"/>
      <c r="M590" s="27">
        <f>IF(E590="","",SUMIFS(tbl_Finance[Ex GST],tbl_Finance[Job Number],E590&amp;""))</f>
        <v/>
      </c>
      <c r="N590" s="27">
        <f>IF(J590&lt;&gt;"Won","",IF(E590="",N(I590),I590-M590))</f>
        <v/>
      </c>
      <c r="O590" s="22" t="n"/>
    </row>
    <row r="591" ht="15" customHeight="1">
      <c r="A591" s="72" t="n"/>
      <c r="B591" s="22" t="n"/>
      <c r="C591" s="22" t="n"/>
      <c r="D591" s="22" t="n"/>
      <c r="E591" s="22" t="n"/>
      <c r="F591" s="26">
        <f>IF(E591="","",IF(COUNTIF(lst_Jobs,E591&amp;"")&gt;0,"OK","CHECK"))</f>
        <v/>
      </c>
      <c r="G591" s="22" t="n"/>
      <c r="H591" s="22" t="n"/>
      <c r="I591" s="24" t="n"/>
      <c r="J591" s="22" t="n"/>
      <c r="K591" s="23" t="n"/>
      <c r="L591" s="72" t="n"/>
      <c r="M591" s="27">
        <f>IF(E591="","",SUMIFS(tbl_Finance[Ex GST],tbl_Finance[Job Number],E591&amp;""))</f>
        <v/>
      </c>
      <c r="N591" s="27">
        <f>IF(J591&lt;&gt;"Won","",IF(E591="",N(I591),I591-M591))</f>
        <v/>
      </c>
      <c r="O591" s="22" t="n"/>
    </row>
    <row r="592" ht="15" customHeight="1">
      <c r="A592" s="72" t="n"/>
      <c r="B592" s="22" t="n"/>
      <c r="C592" s="22" t="n"/>
      <c r="D592" s="22" t="n"/>
      <c r="E592" s="22" t="n"/>
      <c r="F592" s="26">
        <f>IF(E592="","",IF(COUNTIF(lst_Jobs,E592&amp;"")&gt;0,"OK","CHECK"))</f>
        <v/>
      </c>
      <c r="G592" s="22" t="n"/>
      <c r="H592" s="22" t="n"/>
      <c r="I592" s="24" t="n"/>
      <c r="J592" s="22" t="n"/>
      <c r="K592" s="23" t="n"/>
      <c r="L592" s="72" t="n"/>
      <c r="M592" s="27">
        <f>IF(E592="","",SUMIFS(tbl_Finance[Ex GST],tbl_Finance[Job Number],E592&amp;""))</f>
        <v/>
      </c>
      <c r="N592" s="27">
        <f>IF(J592&lt;&gt;"Won","",IF(E592="",N(I592),I592-M592))</f>
        <v/>
      </c>
      <c r="O592" s="22" t="n"/>
    </row>
    <row r="593" ht="15" customHeight="1">
      <c r="A593" s="72" t="n"/>
      <c r="B593" s="22" t="n"/>
      <c r="C593" s="22" t="n"/>
      <c r="D593" s="22" t="n"/>
      <c r="E593" s="22" t="n"/>
      <c r="F593" s="26">
        <f>IF(E593="","",IF(COUNTIF(lst_Jobs,E593&amp;"")&gt;0,"OK","CHECK"))</f>
        <v/>
      </c>
      <c r="G593" s="22" t="n"/>
      <c r="H593" s="22" t="n"/>
      <c r="I593" s="24" t="n"/>
      <c r="J593" s="22" t="n"/>
      <c r="K593" s="23" t="n"/>
      <c r="L593" s="72" t="n"/>
      <c r="M593" s="27">
        <f>IF(E593="","",SUMIFS(tbl_Finance[Ex GST],tbl_Finance[Job Number],E593&amp;""))</f>
        <v/>
      </c>
      <c r="N593" s="27">
        <f>IF(J593&lt;&gt;"Won","",IF(E593="",N(I593),I593-M593))</f>
        <v/>
      </c>
      <c r="O593" s="22" t="n"/>
    </row>
    <row r="594" ht="15" customHeight="1">
      <c r="A594" s="72" t="n"/>
      <c r="B594" s="22" t="n"/>
      <c r="C594" s="22" t="n"/>
      <c r="D594" s="22" t="n"/>
      <c r="E594" s="22" t="n"/>
      <c r="F594" s="26">
        <f>IF(E594="","",IF(COUNTIF(lst_Jobs,E594&amp;"")&gt;0,"OK","CHECK"))</f>
        <v/>
      </c>
      <c r="G594" s="22" t="n"/>
      <c r="H594" s="22" t="n"/>
      <c r="I594" s="24" t="n"/>
      <c r="J594" s="22" t="n"/>
      <c r="K594" s="23" t="n"/>
      <c r="L594" s="72" t="n"/>
      <c r="M594" s="27">
        <f>IF(E594="","",SUMIFS(tbl_Finance[Ex GST],tbl_Finance[Job Number],E594&amp;""))</f>
        <v/>
      </c>
      <c r="N594" s="27">
        <f>IF(J594&lt;&gt;"Won","",IF(E594="",N(I594),I594-M594))</f>
        <v/>
      </c>
      <c r="O594" s="22" t="n"/>
    </row>
    <row r="595" ht="15" customHeight="1">
      <c r="A595" s="72" t="n"/>
      <c r="B595" s="22" t="n"/>
      <c r="C595" s="22" t="n"/>
      <c r="D595" s="22" t="n"/>
      <c r="E595" s="22" t="n"/>
      <c r="F595" s="26">
        <f>IF(E595="","",IF(COUNTIF(lst_Jobs,E595&amp;"")&gt;0,"OK","CHECK"))</f>
        <v/>
      </c>
      <c r="G595" s="22" t="n"/>
      <c r="H595" s="22" t="n"/>
      <c r="I595" s="24" t="n"/>
      <c r="J595" s="22" t="n"/>
      <c r="K595" s="23" t="n"/>
      <c r="L595" s="72" t="n"/>
      <c r="M595" s="27">
        <f>IF(E595="","",SUMIFS(tbl_Finance[Ex GST],tbl_Finance[Job Number],E595&amp;""))</f>
        <v/>
      </c>
      <c r="N595" s="27">
        <f>IF(J595&lt;&gt;"Won","",IF(E595="",N(I595),I595-M595))</f>
        <v/>
      </c>
      <c r="O595" s="22" t="n"/>
    </row>
    <row r="596" ht="15" customHeight="1">
      <c r="A596" s="72" t="n"/>
      <c r="B596" s="22" t="n"/>
      <c r="C596" s="22" t="n"/>
      <c r="D596" s="22" t="n"/>
      <c r="E596" s="22" t="n"/>
      <c r="F596" s="26">
        <f>IF(E596="","",IF(COUNTIF(lst_Jobs,E596&amp;"")&gt;0,"OK","CHECK"))</f>
        <v/>
      </c>
      <c r="G596" s="22" t="n"/>
      <c r="H596" s="22" t="n"/>
      <c r="I596" s="24" t="n"/>
      <c r="J596" s="22" t="n"/>
      <c r="K596" s="23" t="n"/>
      <c r="L596" s="72" t="n"/>
      <c r="M596" s="27">
        <f>IF(E596="","",SUMIFS(tbl_Finance[Ex GST],tbl_Finance[Job Number],E596&amp;""))</f>
        <v/>
      </c>
      <c r="N596" s="27">
        <f>IF(J596&lt;&gt;"Won","",IF(E596="",N(I596),I596-M596))</f>
        <v/>
      </c>
      <c r="O596" s="22" t="n"/>
    </row>
    <row r="597" ht="15" customHeight="1">
      <c r="A597" s="72" t="n"/>
      <c r="B597" s="22" t="n"/>
      <c r="C597" s="22" t="n"/>
      <c r="D597" s="22" t="n"/>
      <c r="E597" s="22" t="n"/>
      <c r="F597" s="26">
        <f>IF(E597="","",IF(COUNTIF(lst_Jobs,E597&amp;"")&gt;0,"OK","CHECK"))</f>
        <v/>
      </c>
      <c r="G597" s="22" t="n"/>
      <c r="H597" s="22" t="n"/>
      <c r="I597" s="24" t="n"/>
      <c r="J597" s="22" t="n"/>
      <c r="K597" s="23" t="n"/>
      <c r="L597" s="72" t="n"/>
      <c r="M597" s="27">
        <f>IF(E597="","",SUMIFS(tbl_Finance[Ex GST],tbl_Finance[Job Number],E597&amp;""))</f>
        <v/>
      </c>
      <c r="N597" s="27">
        <f>IF(J597&lt;&gt;"Won","",IF(E597="",N(I597),I597-M597))</f>
        <v/>
      </c>
      <c r="O597" s="22" t="n"/>
    </row>
    <row r="598" ht="15" customHeight="1">
      <c r="A598" s="72" t="n"/>
      <c r="B598" s="22" t="n"/>
      <c r="C598" s="22" t="n"/>
      <c r="D598" s="22" t="n"/>
      <c r="E598" s="22" t="n"/>
      <c r="F598" s="26">
        <f>IF(E598="","",IF(COUNTIF(lst_Jobs,E598&amp;"")&gt;0,"OK","CHECK"))</f>
        <v/>
      </c>
      <c r="G598" s="22" t="n"/>
      <c r="H598" s="22" t="n"/>
      <c r="I598" s="24" t="n"/>
      <c r="J598" s="22" t="n"/>
      <c r="K598" s="23" t="n"/>
      <c r="L598" s="72" t="n"/>
      <c r="M598" s="27">
        <f>IF(E598="","",SUMIFS(tbl_Finance[Ex GST],tbl_Finance[Job Number],E598&amp;""))</f>
        <v/>
      </c>
      <c r="N598" s="27">
        <f>IF(J598&lt;&gt;"Won","",IF(E598="",N(I598),I598-M598))</f>
        <v/>
      </c>
      <c r="O598" s="22" t="n"/>
    </row>
    <row r="599" ht="15" customHeight="1">
      <c r="A599" s="72" t="n"/>
      <c r="B599" s="22" t="n"/>
      <c r="C599" s="22" t="n"/>
      <c r="D599" s="22" t="n"/>
      <c r="E599" s="22" t="n"/>
      <c r="F599" s="26">
        <f>IF(E599="","",IF(COUNTIF(lst_Jobs,E599&amp;"")&gt;0,"OK","CHECK"))</f>
        <v/>
      </c>
      <c r="G599" s="22" t="n"/>
      <c r="H599" s="22" t="n"/>
      <c r="I599" s="24" t="n"/>
      <c r="J599" s="22" t="n"/>
      <c r="K599" s="23" t="n"/>
      <c r="L599" s="72" t="n"/>
      <c r="M599" s="27">
        <f>IF(E599="","",SUMIFS(tbl_Finance[Ex GST],tbl_Finance[Job Number],E599&amp;""))</f>
        <v/>
      </c>
      <c r="N599" s="27">
        <f>IF(J599&lt;&gt;"Won","",IF(E599="",N(I599),I599-M599))</f>
        <v/>
      </c>
      <c r="O599" s="22" t="n"/>
    </row>
    <row r="600" ht="15" customHeight="1">
      <c r="A600" s="72" t="n"/>
      <c r="B600" s="22" t="n"/>
      <c r="C600" s="22" t="n"/>
      <c r="D600" s="22" t="n"/>
      <c r="E600" s="22" t="n"/>
      <c r="F600" s="26">
        <f>IF(E600="","",IF(COUNTIF(lst_Jobs,E600&amp;"")&gt;0,"OK","CHECK"))</f>
        <v/>
      </c>
      <c r="G600" s="22" t="n"/>
      <c r="H600" s="22" t="n"/>
      <c r="I600" s="24" t="n"/>
      <c r="J600" s="22" t="n"/>
      <c r="K600" s="23" t="n"/>
      <c r="L600" s="72" t="n"/>
      <c r="M600" s="27">
        <f>IF(E600="","",SUMIFS(tbl_Finance[Ex GST],tbl_Finance[Job Number],E600&amp;""))</f>
        <v/>
      </c>
      <c r="N600" s="27">
        <f>IF(J600&lt;&gt;"Won","",IF(E600="",N(I600),I600-M600))</f>
        <v/>
      </c>
      <c r="O600" s="22" t="n"/>
    </row>
    <row r="601" ht="15" customHeight="1">
      <c r="A601" s="72" t="n"/>
      <c r="B601" s="22" t="n"/>
      <c r="C601" s="22" t="n"/>
      <c r="D601" s="22" t="n"/>
      <c r="E601" s="22" t="n"/>
      <c r="F601" s="26">
        <f>IF(E601="","",IF(COUNTIF(lst_Jobs,E601&amp;"")&gt;0,"OK","CHECK"))</f>
        <v/>
      </c>
      <c r="G601" s="22" t="n"/>
      <c r="H601" s="22" t="n"/>
      <c r="I601" s="24" t="n"/>
      <c r="J601" s="22" t="n"/>
      <c r="K601" s="23" t="n"/>
      <c r="L601" s="72" t="n"/>
      <c r="M601" s="27">
        <f>IF(E601="","",SUMIFS(tbl_Finance[Ex GST],tbl_Finance[Job Number],E601&amp;""))</f>
        <v/>
      </c>
      <c r="N601" s="27">
        <f>IF(J601&lt;&gt;"Won","",IF(E601="",N(I601),I601-M601))</f>
        <v/>
      </c>
      <c r="O601" s="22" t="n"/>
    </row>
    <row r="602" ht="15" customHeight="1">
      <c r="A602" s="72" t="n"/>
      <c r="B602" s="22" t="n"/>
      <c r="C602" s="22" t="n"/>
      <c r="D602" s="22" t="n"/>
      <c r="E602" s="22" t="n"/>
      <c r="F602" s="26">
        <f>IF(E602="","",IF(COUNTIF(lst_Jobs,E602&amp;"")&gt;0,"OK","CHECK"))</f>
        <v/>
      </c>
      <c r="G602" s="22" t="n"/>
      <c r="H602" s="22" t="n"/>
      <c r="I602" s="24" t="n"/>
      <c r="J602" s="22" t="n"/>
      <c r="K602" s="23" t="n"/>
      <c r="L602" s="72" t="n"/>
      <c r="M602" s="27">
        <f>IF(E602="","",SUMIFS(tbl_Finance[Ex GST],tbl_Finance[Job Number],E602&amp;""))</f>
        <v/>
      </c>
      <c r="N602" s="27">
        <f>IF(J602&lt;&gt;"Won","",IF(E602="",N(I602),I602-M602))</f>
        <v/>
      </c>
      <c r="O602" s="22" t="n"/>
    </row>
    <row r="603" ht="15" customHeight="1">
      <c r="A603" s="72" t="n"/>
      <c r="B603" s="22" t="n"/>
      <c r="C603" s="22" t="n"/>
      <c r="D603" s="22" t="n"/>
      <c r="E603" s="22" t="n"/>
      <c r="F603" s="26">
        <f>IF(E603="","",IF(COUNTIF(lst_Jobs,E603&amp;"")&gt;0,"OK","CHECK"))</f>
        <v/>
      </c>
      <c r="G603" s="22" t="n"/>
      <c r="H603" s="22" t="n"/>
      <c r="I603" s="24" t="n"/>
      <c r="J603" s="22" t="n"/>
      <c r="K603" s="23" t="n"/>
      <c r="L603" s="72" t="n"/>
      <c r="M603" s="27">
        <f>IF(E603="","",SUMIFS(tbl_Finance[Ex GST],tbl_Finance[Job Number],E603&amp;""))</f>
        <v/>
      </c>
      <c r="N603" s="27">
        <f>IF(J603&lt;&gt;"Won","",IF(E603="",N(I603),I603-M603))</f>
        <v/>
      </c>
      <c r="O603" s="22" t="n"/>
    </row>
    <row r="604" ht="15" customHeight="1">
      <c r="A604" s="72" t="n"/>
      <c r="B604" s="22" t="n"/>
      <c r="C604" s="22" t="n"/>
      <c r="D604" s="22" t="n"/>
      <c r="E604" s="22" t="n"/>
      <c r="F604" s="26">
        <f>IF(E604="","",IF(COUNTIF(lst_Jobs,E604&amp;"")&gt;0,"OK","CHECK"))</f>
        <v/>
      </c>
      <c r="G604" s="22" t="n"/>
      <c r="H604" s="22" t="n"/>
      <c r="I604" s="24" t="n"/>
      <c r="J604" s="22" t="n"/>
      <c r="K604" s="23" t="n"/>
      <c r="L604" s="72" t="n"/>
      <c r="M604" s="27">
        <f>IF(E604="","",SUMIFS(tbl_Finance[Ex GST],tbl_Finance[Job Number],E604&amp;""))</f>
        <v/>
      </c>
      <c r="N604" s="27">
        <f>IF(J604&lt;&gt;"Won","",IF(E604="",N(I604),I604-M604))</f>
        <v/>
      </c>
      <c r="O604" s="22"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W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 width="24" customWidth="1" min="22" max="22"/>
    <col width="21" customWidth="1" min="23" max="23"/>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c r="V4" t="inlineStr">
        <is>
          <t>Cost Centre (GL map)</t>
        </is>
      </c>
      <c r="W4" t="inlineStr">
        <is>
          <t>Revenue GL for it</t>
        </is>
      </c>
    </row>
    <row r="5">
      <c r="A5" s="73" t="inlineStr">
        <is>
          <t>ONSITE</t>
        </is>
      </c>
      <c r="B5" s="73" t="inlineStr">
        <is>
          <t>Contract</t>
        </is>
      </c>
      <c r="C5" s="73" t="inlineStr">
        <is>
          <t>GST 10%</t>
        </is>
      </c>
      <c r="D5" s="73" t="inlineStr">
        <is>
          <t>To Invoice</t>
        </is>
      </c>
      <c r="E5" s="73" t="inlineStr">
        <is>
          <t>Y</t>
        </is>
      </c>
      <c r="F5" s="73" t="inlineStr">
        <is>
          <t>N/A</t>
        </is>
      </c>
      <c r="G5" s="73" t="inlineStr">
        <is>
          <t>Accrual - unbilled work</t>
        </is>
      </c>
      <c r="H5" s="73" t="inlineStr">
        <is>
          <t>11300</t>
        </is>
      </c>
      <c r="I5" s="73" t="inlineStr">
        <is>
          <t>Onsite</t>
        </is>
      </c>
      <c r="J5" s="73" t="inlineStr">
        <is>
          <t>Revenue</t>
        </is>
      </c>
      <c r="K5" s="73" t="inlineStr">
        <is>
          <t>41100</t>
        </is>
      </c>
      <c r="L5" s="73" t="inlineStr">
        <is>
          <t>Contract Support Staff</t>
        </is>
      </c>
      <c r="M5" s="73" t="inlineStr">
        <is>
          <t>ZOHO</t>
        </is>
      </c>
      <c r="N5" s="74" t="n">
        <v>45138</v>
      </c>
      <c r="O5" s="73" t="inlineStr">
        <is>
          <t>Won</t>
        </is>
      </c>
      <c r="P5" s="73" t="inlineStr">
        <is>
          <t>1144</t>
        </is>
      </c>
      <c r="Q5" s="73" t="inlineStr">
        <is>
          <t>Bankwest PER Half Tech</t>
        </is>
      </c>
      <c r="R5" s="73" t="inlineStr">
        <is>
          <t>ONSITE</t>
        </is>
      </c>
      <c r="T5" s="45" t="inlineStr">
        <is>
          <t>Qwilr base address</t>
        </is>
      </c>
      <c r="U5" s="75" t="inlineStr">
        <is>
          <t>https://cts.qwilr.com/</t>
        </is>
      </c>
      <c r="V5" s="73" t="inlineStr">
        <is>
          <t>ONSITE</t>
        </is>
      </c>
      <c r="W5" s="73" t="inlineStr">
        <is>
          <t>41100</t>
        </is>
      </c>
    </row>
    <row r="6">
      <c r="A6" s="73" t="inlineStr">
        <is>
          <t>PRODUCTION</t>
        </is>
      </c>
      <c r="B6" s="73" t="inlineStr">
        <is>
          <t>Chargeback</t>
        </is>
      </c>
      <c r="C6" s="73" t="inlineStr">
        <is>
          <t>GST Free</t>
        </is>
      </c>
      <c r="D6" s="73" t="inlineStr">
        <is>
          <t>Draft</t>
        </is>
      </c>
      <c r="E6" s="73" t="inlineStr">
        <is>
          <t>N</t>
        </is>
      </c>
      <c r="F6" s="73" t="inlineStr">
        <is>
          <t>Awaiting PO</t>
        </is>
      </c>
      <c r="G6" s="73" t="inlineStr">
        <is>
          <t>Reversal of prior accrual</t>
        </is>
      </c>
      <c r="H6" s="73" t="inlineStr">
        <is>
          <t>44100</t>
        </is>
      </c>
      <c r="I6" s="73" t="inlineStr">
        <is>
          <t>Production</t>
        </is>
      </c>
      <c r="J6" s="73" t="inlineStr">
        <is>
          <t>Cost</t>
        </is>
      </c>
      <c r="K6" s="73" t="inlineStr">
        <is>
          <t>41150</t>
        </is>
      </c>
      <c r="L6" s="73" t="inlineStr">
        <is>
          <t>Mobile Phone Plans</t>
        </is>
      </c>
      <c r="M6" s="73" t="inlineStr">
        <is>
          <t>Current RMS</t>
        </is>
      </c>
      <c r="N6" s="74" t="n">
        <v>45169</v>
      </c>
      <c r="O6" s="73" t="inlineStr">
        <is>
          <t>Open</t>
        </is>
      </c>
      <c r="P6" s="73" t="inlineStr">
        <is>
          <t>1350</t>
        </is>
      </c>
      <c r="Q6" s="73" t="inlineStr">
        <is>
          <t>CBA Brisbane ONS</t>
        </is>
      </c>
      <c r="R6" s="73" t="inlineStr">
        <is>
          <t>ONSITE</t>
        </is>
      </c>
      <c r="T6" s="45" t="inlineStr">
        <is>
          <t>Current RMS base address</t>
        </is>
      </c>
      <c r="U6" s="75" t="inlineStr"/>
      <c r="V6" s="73" t="inlineStr">
        <is>
          <t>PRODUCTION</t>
        </is>
      </c>
      <c r="W6" s="73" t="inlineStr">
        <is>
          <t>42100</t>
        </is>
      </c>
    </row>
    <row r="7">
      <c r="A7" s="73" t="inlineStr">
        <is>
          <t>VIDEO</t>
        </is>
      </c>
      <c r="B7" s="73" t="inlineStr">
        <is>
          <t>Ad-hoc</t>
        </is>
      </c>
      <c r="C7" s="73" t="inlineStr">
        <is>
          <t>Export (0%)</t>
        </is>
      </c>
      <c r="D7" s="73" t="inlineStr">
        <is>
          <t>Awaiting Approval</t>
        </is>
      </c>
      <c r="E7" s="73" t="inlineStr">
        <is>
          <t>N/A</t>
        </is>
      </c>
      <c r="F7" s="73" t="inlineStr">
        <is>
          <t>To Upload</t>
        </is>
      </c>
      <c r="G7" s="73" t="inlineStr">
        <is>
          <t>Deferral - invoiced in advance</t>
        </is>
      </c>
      <c r="H7" s="73" t="inlineStr">
        <is>
          <t>44200</t>
        </is>
      </c>
      <c r="I7" s="73" t="inlineStr">
        <is>
          <t>Consulting</t>
        </is>
      </c>
      <c r="K7" s="73" t="inlineStr">
        <is>
          <t>41175</t>
        </is>
      </c>
      <c r="L7" s="73" t="inlineStr">
        <is>
          <t>Subscriptions &amp; Licences - Income</t>
        </is>
      </c>
      <c r="M7" s="73" t="inlineStr">
        <is>
          <t>Qwilr</t>
        </is>
      </c>
      <c r="N7" s="74" t="n">
        <v>45199</v>
      </c>
      <c r="O7" s="73" t="inlineStr">
        <is>
          <t>Lost</t>
        </is>
      </c>
      <c r="P7" s="73" t="inlineStr">
        <is>
          <t>1400</t>
        </is>
      </c>
      <c r="Q7" s="73" t="inlineStr">
        <is>
          <t>DTTL Mel Tech FT 2</t>
        </is>
      </c>
      <c r="R7" s="73" t="inlineStr">
        <is>
          <t>ONSITE</t>
        </is>
      </c>
      <c r="T7" s="32" t="inlineStr">
        <is>
          <t>Optional. Paste the whole Current RMS address straight onto the Production sheet and it links without this. Fill this in only if you would rather type the bare opportunity number - end it with a slash.</t>
        </is>
      </c>
      <c r="V7" s="73" t="inlineStr">
        <is>
          <t>VIDEO</t>
        </is>
      </c>
      <c r="W7" s="73" t="inlineStr">
        <is>
          <t>42150</t>
        </is>
      </c>
    </row>
    <row r="8">
      <c r="A8" s="73" t="inlineStr">
        <is>
          <t>INTEGRATION</t>
        </is>
      </c>
      <c r="B8" s="73" t="inlineStr">
        <is>
          <t>Project</t>
        </is>
      </c>
      <c r="C8" s="73" t="inlineStr">
        <is>
          <t>BAS Excluded</t>
        </is>
      </c>
      <c r="D8" s="73" t="inlineStr">
        <is>
          <t>Invoiced</t>
        </is>
      </c>
      <c r="F8" s="73" t="inlineStr">
        <is>
          <t>Uploaded</t>
        </is>
      </c>
      <c r="G8" s="73" t="inlineStr">
        <is>
          <t>Release of deferral</t>
        </is>
      </c>
      <c r="I8" s="73" t="inlineStr">
        <is>
          <t>Other</t>
        </is>
      </c>
      <c r="K8" s="73" t="inlineStr">
        <is>
          <t>41200</t>
        </is>
      </c>
      <c r="L8" s="73" t="inlineStr">
        <is>
          <t>Contract Maintenance</t>
        </is>
      </c>
      <c r="M8" s="73" t="inlineStr">
        <is>
          <t>Other</t>
        </is>
      </c>
      <c r="N8" s="74" t="n">
        <v>45230</v>
      </c>
      <c r="O8" s="73" t="inlineStr">
        <is>
          <t>Cancelled</t>
        </is>
      </c>
      <c r="P8" s="73" t="inlineStr">
        <is>
          <t>1401</t>
        </is>
      </c>
      <c r="Q8" s="73" t="inlineStr">
        <is>
          <t>DTTL SYD FT Tech 2</t>
        </is>
      </c>
      <c r="R8" s="73" t="inlineStr">
        <is>
          <t>ONSITE</t>
        </is>
      </c>
      <c r="T8" s="45" t="inlineStr">
        <is>
          <t>GST rate</t>
        </is>
      </c>
      <c r="U8" s="76" t="n">
        <v>0.1</v>
      </c>
      <c r="V8" s="73" t="inlineStr">
        <is>
          <t>INTEGRATION</t>
        </is>
      </c>
      <c r="W8" s="73" t="inlineStr">
        <is>
          <t>42300</t>
        </is>
      </c>
    </row>
    <row r="9">
      <c r="A9" s="73" t="inlineStr">
        <is>
          <t>CONSULTING</t>
        </is>
      </c>
      <c r="B9" s="73" t="inlineStr">
        <is>
          <t>Progress Claim</t>
        </is>
      </c>
      <c r="D9" s="73" t="inlineStr">
        <is>
          <t>Sent</t>
        </is>
      </c>
      <c r="F9" s="73" t="inlineStr">
        <is>
          <t>Approved</t>
        </is>
      </c>
      <c r="G9" s="73" t="inlineStr">
        <is>
          <t>Deferred cost - paid in advance</t>
        </is>
      </c>
      <c r="K9" s="73" t="inlineStr">
        <is>
          <t>41500</t>
        </is>
      </c>
      <c r="L9" s="73" t="inlineStr">
        <is>
          <t>Contract Help Desk</t>
        </is>
      </c>
      <c r="N9" s="74" t="n">
        <v>45260</v>
      </c>
      <c r="P9" s="73" t="inlineStr">
        <is>
          <t>1530</t>
        </is>
      </c>
      <c r="Q9" s="73" t="inlineStr">
        <is>
          <t>DTTL BNE Onsite</t>
        </is>
      </c>
      <c r="R9" s="73" t="inlineStr">
        <is>
          <t>ONSITE</t>
        </is>
      </c>
      <c r="T9" t="inlineStr">
        <is>
          <t>WIP balance sheet account</t>
        </is>
      </c>
      <c r="U9" s="58" t="inlineStr">
        <is>
          <t>11300 Work in Progress</t>
        </is>
      </c>
      <c r="V9" s="73" t="inlineStr">
        <is>
          <t>CONSULTING</t>
        </is>
      </c>
      <c r="W9" s="73" t="inlineStr">
        <is>
          <t>42800</t>
        </is>
      </c>
    </row>
    <row r="10">
      <c r="A10" s="73" t="inlineStr">
        <is>
          <t>CTS</t>
        </is>
      </c>
      <c r="B10" s="73" t="inlineStr">
        <is>
          <t>Milestone</t>
        </is>
      </c>
      <c r="D10" s="73" t="inlineStr">
        <is>
          <t>Paid</t>
        </is>
      </c>
      <c r="F10" s="73" t="inlineStr">
        <is>
          <t>Rejected</t>
        </is>
      </c>
      <c r="G10" s="73" t="inlineStr">
        <is>
          <t>Release of deferred cost</t>
        </is>
      </c>
      <c r="K10" s="73" t="inlineStr">
        <is>
          <t>42100</t>
        </is>
      </c>
      <c r="L10" s="73" t="inlineStr">
        <is>
          <t>Production Labour</t>
        </is>
      </c>
      <c r="N10" s="74" t="n">
        <v>45291</v>
      </c>
      <c r="P10" s="73" t="inlineStr">
        <is>
          <t>1668</t>
        </is>
      </c>
      <c r="Q10" s="73" t="inlineStr">
        <is>
          <t>CBA Dedicated Tech</t>
        </is>
      </c>
      <c r="R10" s="73" t="inlineStr">
        <is>
          <t>ONSITE</t>
        </is>
      </c>
      <c r="T10" t="inlineStr">
        <is>
          <t>WIP P&amp;L account</t>
        </is>
      </c>
      <c r="U10" s="58" t="inlineStr">
        <is>
          <t>44200 Closing Work in Progress</t>
        </is>
      </c>
      <c r="V10" s="73" t="inlineStr">
        <is>
          <t>CTS</t>
        </is>
      </c>
      <c r="W10" s="73" t="inlineStr">
        <is>
          <t>42200</t>
        </is>
      </c>
    </row>
    <row r="11">
      <c r="B11" s="73" t="inlineStr">
        <is>
          <t>Subscription</t>
        </is>
      </c>
      <c r="D11" s="73" t="inlineStr">
        <is>
          <t>On Hold</t>
        </is>
      </c>
      <c r="G11" s="73" t="inlineStr">
        <is>
          <t>Accrued cost - incurred not billed</t>
        </is>
      </c>
      <c r="K11" s="73" t="inlineStr">
        <is>
          <t>42150</t>
        </is>
      </c>
      <c r="L11" s="73" t="inlineStr">
        <is>
          <t>Video Labour</t>
        </is>
      </c>
      <c r="N11" s="74" t="n">
        <v>45322</v>
      </c>
      <c r="P11" s="73" t="inlineStr">
        <is>
          <t>1750</t>
        </is>
      </c>
      <c r="Q11" s="73" t="inlineStr">
        <is>
          <t>Bankwest Spotify</t>
        </is>
      </c>
      <c r="R11" s="73" t="inlineStr"/>
      <c r="T11" s="32" t="inlineStr">
        <is>
          <t>The two accounts the WIP journal uses. Change them here and every Debit / Credit on WIP Movements and Month-End follows.</t>
        </is>
      </c>
    </row>
    <row r="12">
      <c r="B12" s="73" t="inlineStr">
        <is>
          <t>Equipment Sale</t>
        </is>
      </c>
      <c r="D12" s="73" t="inlineStr">
        <is>
          <t>Cancelled</t>
        </is>
      </c>
      <c r="G12" s="73" t="inlineStr">
        <is>
          <t>Adjustment / correction</t>
        </is>
      </c>
      <c r="K12" s="73" t="inlineStr">
        <is>
          <t>42200</t>
        </is>
      </c>
      <c r="L12" s="73" t="inlineStr">
        <is>
          <t>Ad Hoc Service Labour</t>
        </is>
      </c>
      <c r="N12" s="74" t="n">
        <v>45351</v>
      </c>
      <c r="P12" s="73" t="inlineStr">
        <is>
          <t>1755</t>
        </is>
      </c>
      <c r="Q12" s="73" t="inlineStr">
        <is>
          <t>CBA Spotify</t>
        </is>
      </c>
      <c r="R12" s="73" t="inlineStr">
        <is>
          <t>ONSITE</t>
        </is>
      </c>
    </row>
    <row r="13">
      <c r="B13" s="73" t="inlineStr">
        <is>
          <t>Recharge</t>
        </is>
      </c>
      <c r="D13" s="73" t="inlineStr">
        <is>
          <t>Credited</t>
        </is>
      </c>
      <c r="G13" s="73" t="inlineStr">
        <is>
          <t>Migrated opening balance</t>
        </is>
      </c>
      <c r="K13" s="73" t="inlineStr">
        <is>
          <t>42300</t>
        </is>
      </c>
      <c r="L13" s="73" t="inlineStr">
        <is>
          <t>Installation Labour</t>
        </is>
      </c>
      <c r="N13" s="74" t="n">
        <v>45382</v>
      </c>
      <c r="P13" s="73" t="inlineStr">
        <is>
          <t>1771</t>
        </is>
      </c>
      <c r="Q13" s="73" t="inlineStr">
        <is>
          <t>Integration - Training</t>
        </is>
      </c>
      <c r="R13" s="73" t="inlineStr">
        <is>
          <t>INTEGRATION</t>
        </is>
      </c>
    </row>
    <row r="14">
      <c r="B14" s="73" t="inlineStr">
        <is>
          <t>Credit Note</t>
        </is>
      </c>
      <c r="K14" s="73" t="inlineStr">
        <is>
          <t>42500</t>
        </is>
      </c>
      <c r="L14" s="73" t="inlineStr">
        <is>
          <t>Equipment Hires</t>
        </is>
      </c>
      <c r="N14" s="74" t="n">
        <v>45412</v>
      </c>
      <c r="P14" s="73" t="inlineStr">
        <is>
          <t>1862</t>
        </is>
      </c>
      <c r="Q14" s="73" t="inlineStr">
        <is>
          <t>DTTL ADL Onsite</t>
        </is>
      </c>
      <c r="R14" s="73" t="inlineStr">
        <is>
          <t>ONSITE</t>
        </is>
      </c>
    </row>
    <row r="15">
      <c r="K15" s="73" t="inlineStr">
        <is>
          <t>42600</t>
        </is>
      </c>
      <c r="L15" s="73" t="inlineStr">
        <is>
          <t>Equipment Sales</t>
        </is>
      </c>
      <c r="N15" s="74" t="n">
        <v>45443</v>
      </c>
      <c r="P15" s="73" t="inlineStr">
        <is>
          <t>20250731</t>
        </is>
      </c>
      <c r="Q15" s="73" t="inlineStr">
        <is>
          <t>PWC National Pool of Hours</t>
        </is>
      </c>
      <c r="R15" s="73" t="inlineStr">
        <is>
          <t>ONSITE</t>
        </is>
      </c>
    </row>
    <row r="16">
      <c r="K16" s="73" t="inlineStr">
        <is>
          <t>42700</t>
        </is>
      </c>
      <c r="L16" s="73" t="inlineStr">
        <is>
          <t>Conference Call Charge</t>
        </is>
      </c>
      <c r="N16" s="74" t="n">
        <v>45473</v>
      </c>
      <c r="P16" s="73" t="inlineStr">
        <is>
          <t>2026021101</t>
        </is>
      </c>
      <c r="Q16" s="73" t="inlineStr">
        <is>
          <t>AusPayNet Quarterly AV Support &amp; Maintenance 2026</t>
        </is>
      </c>
      <c r="R16" s="73" t="inlineStr">
        <is>
          <t>ONSITE</t>
        </is>
      </c>
    </row>
    <row r="17">
      <c r="K17" s="73" t="inlineStr">
        <is>
          <t>42800</t>
        </is>
      </c>
      <c r="L17" s="73" t="inlineStr">
        <is>
          <t>Tech Consulting/Project Manage</t>
        </is>
      </c>
      <c r="N17" s="74" t="n">
        <v>45504</v>
      </c>
      <c r="P17" s="73" t="inlineStr">
        <is>
          <t>20260801</t>
        </is>
      </c>
      <c r="Q17" s="73" t="inlineStr">
        <is>
          <t>CTS Day 2026</t>
        </is>
      </c>
      <c r="R17" s="73" t="inlineStr">
        <is>
          <t>CTS</t>
        </is>
      </c>
    </row>
    <row r="18">
      <c r="K18" s="73" t="inlineStr">
        <is>
          <t>42900</t>
        </is>
      </c>
      <c r="L18" s="73" t="inlineStr">
        <is>
          <t>Tech Event Management</t>
        </is>
      </c>
      <c r="N18" s="74" t="n">
        <v>45535</v>
      </c>
      <c r="P18" s="73" t="inlineStr">
        <is>
          <t>2192</t>
        </is>
      </c>
      <c r="Q18" s="73" t="inlineStr">
        <is>
          <t>Bankwest Additional Tech</t>
        </is>
      </c>
      <c r="R18" s="73" t="inlineStr">
        <is>
          <t>ONSITE</t>
        </is>
      </c>
    </row>
    <row r="19">
      <c r="K19" s="73" t="inlineStr">
        <is>
          <t>44100</t>
        </is>
      </c>
      <c r="L19" s="73" t="inlineStr">
        <is>
          <t>Opening Work in Progress</t>
        </is>
      </c>
      <c r="N19" s="74" t="n">
        <v>45565</v>
      </c>
      <c r="P19" s="73" t="inlineStr">
        <is>
          <t>2347</t>
        </is>
      </c>
      <c r="Q19" s="73" t="inlineStr">
        <is>
          <t>DTTL Dedicated Tech</t>
        </is>
      </c>
      <c r="R19" s="73" t="inlineStr">
        <is>
          <t>ONSITE</t>
        </is>
      </c>
    </row>
    <row r="20">
      <c r="K20" s="73" t="inlineStr">
        <is>
          <t>44200</t>
        </is>
      </c>
      <c r="L20" s="73" t="inlineStr">
        <is>
          <t>Closing Work in Progress</t>
        </is>
      </c>
      <c r="N20" s="74" t="n">
        <v>45596</v>
      </c>
      <c r="P20" s="73" t="inlineStr">
        <is>
          <t>2392</t>
        </is>
      </c>
      <c r="Q20" s="73" t="inlineStr">
        <is>
          <t>PWC – MEL Technician</t>
        </is>
      </c>
      <c r="R20" s="73" t="inlineStr">
        <is>
          <t>ONSITE</t>
        </is>
      </c>
    </row>
    <row r="21">
      <c r="K21" s="73" t="inlineStr">
        <is>
          <t>45005</t>
        </is>
      </c>
      <c r="L21" s="73" t="inlineStr">
        <is>
          <t>Freight &amp; Travel - ADMIN</t>
        </is>
      </c>
      <c r="N21" s="74" t="n">
        <v>45626</v>
      </c>
      <c r="P21" s="73" t="inlineStr">
        <is>
          <t>2402</t>
        </is>
      </c>
      <c r="Q21" s="73" t="inlineStr">
        <is>
          <t>DTTL SYD FT Tech 1</t>
        </is>
      </c>
      <c r="R21" s="73" t="inlineStr">
        <is>
          <t>ONSITE</t>
        </is>
      </c>
    </row>
    <row r="22">
      <c r="K22" s="73" t="inlineStr">
        <is>
          <t>45010</t>
        </is>
      </c>
      <c r="L22" s="73" t="inlineStr">
        <is>
          <t>Freight &amp; Travel - ONS</t>
        </is>
      </c>
      <c r="N22" s="74" t="n">
        <v>45657</v>
      </c>
      <c r="P22" s="73" t="inlineStr">
        <is>
          <t>2407312</t>
        </is>
      </c>
      <c r="Q22" s="73" t="inlineStr">
        <is>
          <t>Hills Performance Centre</t>
        </is>
      </c>
      <c r="R22" s="73" t="inlineStr">
        <is>
          <t>CONSULTING</t>
        </is>
      </c>
    </row>
    <row r="23">
      <c r="K23" s="73" t="inlineStr">
        <is>
          <t>45015</t>
        </is>
      </c>
      <c r="L23" s="73" t="inlineStr">
        <is>
          <t>Freight &amp; Travel - PRD</t>
        </is>
      </c>
      <c r="N23" s="74" t="n">
        <v>45688</v>
      </c>
      <c r="P23" s="73" t="inlineStr">
        <is>
          <t>24102501</t>
        </is>
      </c>
      <c r="Q23" s="73" t="inlineStr">
        <is>
          <t>PWC - MEL Tech 12Months</t>
        </is>
      </c>
      <c r="R23" s="73" t="inlineStr">
        <is>
          <t>ONSITE</t>
        </is>
      </c>
    </row>
    <row r="24">
      <c r="K24" s="73" t="inlineStr">
        <is>
          <t>45020</t>
        </is>
      </c>
      <c r="L24" s="73" t="inlineStr">
        <is>
          <t>Freight &amp; Travel - VID</t>
        </is>
      </c>
      <c r="N24" s="74" t="n">
        <v>45716</v>
      </c>
      <c r="P24" s="73" t="inlineStr">
        <is>
          <t>24121001</t>
        </is>
      </c>
      <c r="Q24" s="73" t="inlineStr">
        <is>
          <t>BW PER Studio Equipment Supply</t>
        </is>
      </c>
      <c r="R24" s="73" t="inlineStr">
        <is>
          <t>INTEGRATION</t>
        </is>
      </c>
    </row>
    <row r="25">
      <c r="K25" s="73" t="inlineStr">
        <is>
          <t>45025</t>
        </is>
      </c>
      <c r="L25" s="73" t="inlineStr">
        <is>
          <t>Freight &amp; Travel - INTEGRATION</t>
        </is>
      </c>
      <c r="N25" s="74" t="n">
        <v>45747</v>
      </c>
      <c r="P25" s="73" t="inlineStr">
        <is>
          <t>2479</t>
        </is>
      </c>
      <c r="Q25" s="73" t="inlineStr">
        <is>
          <t>CONSULTING - Quotes</t>
        </is>
      </c>
      <c r="R25" s="73" t="inlineStr">
        <is>
          <t>CONSULTING</t>
        </is>
      </c>
    </row>
    <row r="26">
      <c r="K26" s="73" t="inlineStr">
        <is>
          <t>45030</t>
        </is>
      </c>
      <c r="L26" s="73" t="inlineStr">
        <is>
          <t>Freight &amp; Travel - CONS</t>
        </is>
      </c>
      <c r="N26" s="74" t="n">
        <v>45777</v>
      </c>
      <c r="P26" s="73" t="inlineStr">
        <is>
          <t>2480</t>
        </is>
      </c>
      <c r="Q26" s="73" t="inlineStr">
        <is>
          <t>ONSITE - Quotes</t>
        </is>
      </c>
      <c r="R26" s="73" t="inlineStr">
        <is>
          <t>ONSITE</t>
        </is>
      </c>
    </row>
    <row r="27">
      <c r="K27" s="73" t="inlineStr">
        <is>
          <t>46005</t>
        </is>
      </c>
      <c r="L27" s="73" t="inlineStr">
        <is>
          <t>Credit Card Fees - ADMIN</t>
        </is>
      </c>
      <c r="N27" s="74" t="n">
        <v>45808</v>
      </c>
      <c r="P27" s="73" t="inlineStr">
        <is>
          <t>2481</t>
        </is>
      </c>
      <c r="Q27" s="73" t="inlineStr">
        <is>
          <t>Production - Quotes</t>
        </is>
      </c>
      <c r="R27" s="73" t="inlineStr">
        <is>
          <t>PRODUCTION</t>
        </is>
      </c>
    </row>
    <row r="28">
      <c r="K28" s="73" t="inlineStr">
        <is>
          <t>46010</t>
        </is>
      </c>
      <c r="L28" s="73" t="inlineStr">
        <is>
          <t>Credit Card Collected - ONS</t>
        </is>
      </c>
      <c r="N28" s="74" t="n">
        <v>45838</v>
      </c>
      <c r="P28" s="73" t="inlineStr">
        <is>
          <t>2482</t>
        </is>
      </c>
      <c r="Q28" s="73" t="inlineStr">
        <is>
          <t>VIDEO - Quotes</t>
        </is>
      </c>
      <c r="R28" s="73" t="inlineStr">
        <is>
          <t>VIDEO</t>
        </is>
      </c>
    </row>
    <row r="29">
      <c r="K29" s="73" t="inlineStr">
        <is>
          <t>46015</t>
        </is>
      </c>
      <c r="L29" s="73" t="inlineStr">
        <is>
          <t>Credit Card Collected - PRD</t>
        </is>
      </c>
      <c r="N29" s="74" t="n">
        <v>45869</v>
      </c>
      <c r="P29" s="73" t="inlineStr">
        <is>
          <t>2488</t>
        </is>
      </c>
      <c r="Q29" s="73" t="inlineStr">
        <is>
          <t>PWC IT P/T BNE</t>
        </is>
      </c>
      <c r="R29" s="73" t="inlineStr">
        <is>
          <t>ONSITE</t>
        </is>
      </c>
    </row>
    <row r="30">
      <c r="K30" s="73" t="inlineStr">
        <is>
          <t>46020</t>
        </is>
      </c>
      <c r="L30" s="73" t="inlineStr">
        <is>
          <t>Credit Card Collected - VID</t>
        </is>
      </c>
      <c r="N30" s="74" t="n">
        <v>45900</v>
      </c>
      <c r="P30" s="73" t="inlineStr">
        <is>
          <t>25011601</t>
        </is>
      </c>
      <c r="Q30" s="73" t="inlineStr">
        <is>
          <t>DTTL Hobart ITS AV Ref</t>
        </is>
      </c>
      <c r="R30" s="73" t="inlineStr">
        <is>
          <t>INTEGRATION</t>
        </is>
      </c>
    </row>
    <row r="31">
      <c r="K31" s="73" t="inlineStr">
        <is>
          <t>46025</t>
        </is>
      </c>
      <c r="L31" s="73" t="inlineStr">
        <is>
          <t>Credit Card Collected - INTEGRATION</t>
        </is>
      </c>
      <c r="N31" s="74" t="n">
        <v>45930</v>
      </c>
      <c r="P31" s="73" t="inlineStr">
        <is>
          <t>2501738</t>
        </is>
      </c>
      <c r="Q31" s="73" t="inlineStr">
        <is>
          <t>APA HYR25 &amp; FYR25</t>
        </is>
      </c>
      <c r="R31" s="73" t="inlineStr">
        <is>
          <t>PRODUCTION</t>
        </is>
      </c>
    </row>
    <row r="32">
      <c r="K32" s="73" t="inlineStr">
        <is>
          <t>46030</t>
        </is>
      </c>
      <c r="L32" s="73" t="inlineStr">
        <is>
          <t>Credit Card Collected - CONS</t>
        </is>
      </c>
      <c r="N32" s="74" t="n">
        <v>45961</v>
      </c>
      <c r="P32" s="73" t="inlineStr">
        <is>
          <t>2502</t>
        </is>
      </c>
      <c r="Q32" s="73" t="inlineStr">
        <is>
          <t>ONS CBA (non-chargeable)</t>
        </is>
      </c>
      <c r="R32" s="73" t="inlineStr"/>
    </row>
    <row r="33">
      <c r="K33" s="73" t="inlineStr">
        <is>
          <t>47005</t>
        </is>
      </c>
      <c r="L33" s="73" t="inlineStr">
        <is>
          <t>Meal &amp; Travel - ADMIN</t>
        </is>
      </c>
      <c r="N33" s="74" t="n">
        <v>45991</v>
      </c>
      <c r="P33" s="73" t="inlineStr">
        <is>
          <t>25021901</t>
        </is>
      </c>
      <c r="Q33" s="73" t="inlineStr">
        <is>
          <t>DAFF Technology Standard</t>
        </is>
      </c>
      <c r="R33" s="73" t="inlineStr">
        <is>
          <t>CONSULTING</t>
        </is>
      </c>
    </row>
    <row r="34">
      <c r="K34" s="73" t="inlineStr">
        <is>
          <t>47010</t>
        </is>
      </c>
      <c r="L34" s="73" t="inlineStr">
        <is>
          <t>Meal &amp; Travel - ONS</t>
        </is>
      </c>
      <c r="N34" s="74" t="n">
        <v>46022</v>
      </c>
      <c r="P34" s="73" t="inlineStr">
        <is>
          <t>2503</t>
        </is>
      </c>
      <c r="Q34" s="73" t="inlineStr">
        <is>
          <t>ONS DTTL (non-chargeable)</t>
        </is>
      </c>
      <c r="R34" s="73" t="inlineStr"/>
    </row>
    <row r="35">
      <c r="K35" s="73" t="inlineStr">
        <is>
          <t>47015</t>
        </is>
      </c>
      <c r="L35" s="73" t="inlineStr">
        <is>
          <t>Meal &amp; Travel - PRD</t>
        </is>
      </c>
      <c r="N35" s="74" t="n">
        <v>46053</v>
      </c>
      <c r="P35" s="73" t="inlineStr">
        <is>
          <t>25032701</t>
        </is>
      </c>
      <c r="Q35" s="73" t="inlineStr">
        <is>
          <t>St Catherines Chargeable</t>
        </is>
      </c>
      <c r="R35" s="73" t="inlineStr">
        <is>
          <t>ONSITE</t>
        </is>
      </c>
    </row>
    <row r="36">
      <c r="K36" s="73" t="inlineStr">
        <is>
          <t>47020</t>
        </is>
      </c>
      <c r="L36" s="73" t="inlineStr">
        <is>
          <t>Meal &amp; Travel - VID</t>
        </is>
      </c>
      <c r="N36" s="74" t="n">
        <v>46081</v>
      </c>
      <c r="P36" s="73" t="inlineStr">
        <is>
          <t>25032701NC</t>
        </is>
      </c>
      <c r="Q36" s="73" t="inlineStr">
        <is>
          <t>St Catherines Non-Chgble</t>
        </is>
      </c>
      <c r="R36" s="73" t="inlineStr">
        <is>
          <t>ONSITE</t>
        </is>
      </c>
    </row>
    <row r="37">
      <c r="K37" s="73" t="inlineStr">
        <is>
          <t>47025</t>
        </is>
      </c>
      <c r="L37" s="73" t="inlineStr">
        <is>
          <t>Meal &amp; Travel - INTEGRATION</t>
        </is>
      </c>
      <c r="N37" s="74" t="n">
        <v>46112</v>
      </c>
      <c r="P37" s="73" t="inlineStr">
        <is>
          <t>2504</t>
        </is>
      </c>
      <c r="Q37" s="73" t="inlineStr">
        <is>
          <t>ONS WBC (non-chargeable)</t>
        </is>
      </c>
      <c r="R37" s="73" t="inlineStr"/>
    </row>
    <row r="38">
      <c r="K38" s="73" t="inlineStr">
        <is>
          <t>47030</t>
        </is>
      </c>
      <c r="L38" s="73" t="inlineStr">
        <is>
          <t>Meal &amp; Travel - CONS</t>
        </is>
      </c>
      <c r="N38" s="74" t="n">
        <v>46142</v>
      </c>
      <c r="P38" s="73" t="inlineStr">
        <is>
          <t>25041502</t>
        </is>
      </c>
      <c r="Q38" s="73" t="inlineStr">
        <is>
          <t>PDNSW DB License Ext</t>
        </is>
      </c>
      <c r="R38" s="73" t="inlineStr">
        <is>
          <t>INTEGRATION</t>
        </is>
      </c>
    </row>
    <row r="39">
      <c r="K39" s="73" t="inlineStr">
        <is>
          <t>48000</t>
        </is>
      </c>
      <c r="L39" s="73" t="inlineStr">
        <is>
          <t>Miscellaneous Income</t>
        </is>
      </c>
      <c r="N39" s="74" t="n">
        <v>46173</v>
      </c>
      <c r="P39" s="73" t="inlineStr">
        <is>
          <t>2505</t>
        </is>
      </c>
      <c r="Q39" s="73" t="inlineStr">
        <is>
          <t>ONS PWC (non-chargeable)</t>
        </is>
      </c>
      <c r="R39" s="73" t="inlineStr"/>
    </row>
    <row r="40">
      <c r="N40" s="74" t="n">
        <v>46203</v>
      </c>
      <c r="P40" s="73" t="inlineStr">
        <is>
          <t>25051302</t>
        </is>
      </c>
      <c r="Q40" s="73" t="inlineStr">
        <is>
          <t>NSW Prop Bradfield Desk Booking + Penrith Additional</t>
        </is>
      </c>
      <c r="R40" s="73" t="inlineStr">
        <is>
          <t>INTEGRATION</t>
        </is>
      </c>
    </row>
    <row r="41">
      <c r="N41" s="74" t="n">
        <v>46234</v>
      </c>
      <c r="P41" s="73" t="inlineStr">
        <is>
          <t>25051403</t>
        </is>
      </c>
      <c r="Q41" s="73" t="inlineStr">
        <is>
          <t>DTTL SYD Tech Supp TMT AP</t>
        </is>
      </c>
      <c r="R41" s="73" t="inlineStr">
        <is>
          <t>ONSITE</t>
        </is>
      </c>
    </row>
    <row r="42">
      <c r="N42" s="74" t="n">
        <v>46265</v>
      </c>
      <c r="P42" s="73" t="inlineStr">
        <is>
          <t>25052802</t>
        </is>
      </c>
      <c r="Q42" s="73" t="inlineStr">
        <is>
          <t>Aus Retirement Trust Members Meeting 2025</t>
        </is>
      </c>
      <c r="R42" s="73" t="inlineStr">
        <is>
          <t>PRODUCTION</t>
        </is>
      </c>
    </row>
    <row r="43">
      <c r="N43" s="74" t="n">
        <v>46295</v>
      </c>
      <c r="P43" s="73" t="inlineStr">
        <is>
          <t>2505901</t>
        </is>
      </c>
      <c r="Q43" s="73" t="inlineStr">
        <is>
          <t>COS Projector Lens Supply</t>
        </is>
      </c>
      <c r="R43" s="73" t="inlineStr">
        <is>
          <t>INTEGRATION</t>
        </is>
      </c>
    </row>
    <row r="44">
      <c r="N44" s="74" t="n">
        <v>46326</v>
      </c>
      <c r="P44" s="73" t="inlineStr">
        <is>
          <t>2506</t>
        </is>
      </c>
      <c r="Q44" s="73" t="inlineStr">
        <is>
          <t>ONS BWEST (non-chargeable)</t>
        </is>
      </c>
      <c r="R44" s="73" t="inlineStr"/>
    </row>
    <row r="45">
      <c r="N45" s="74" t="n">
        <v>46356</v>
      </c>
      <c r="P45" s="73" t="inlineStr">
        <is>
          <t>25060301</t>
        </is>
      </c>
      <c r="Q45" s="73" t="inlineStr">
        <is>
          <t>6PSQ L12 Desk Booking</t>
        </is>
      </c>
      <c r="R45" s="73" t="inlineStr">
        <is>
          <t>INTEGRATION</t>
        </is>
      </c>
    </row>
    <row r="46">
      <c r="N46" s="74" t="n">
        <v>46387</v>
      </c>
      <c r="P46" s="73" t="inlineStr">
        <is>
          <t>25060307</t>
        </is>
      </c>
      <c r="Q46" s="73" t="inlineStr">
        <is>
          <t>DPIE Molesworth St D/B</t>
        </is>
      </c>
      <c r="R46" s="73" t="inlineStr">
        <is>
          <t>INTEGRATION</t>
        </is>
      </c>
    </row>
    <row r="47">
      <c r="N47" s="74" t="n">
        <v>46418</v>
      </c>
      <c r="P47" s="73" t="inlineStr">
        <is>
          <t>2506208</t>
        </is>
      </c>
      <c r="Q47" s="73" t="inlineStr">
        <is>
          <t>CBA AGM 2026</t>
        </is>
      </c>
      <c r="R47" s="73" t="inlineStr">
        <is>
          <t>PRODUCTION</t>
        </is>
      </c>
    </row>
    <row r="48">
      <c r="N48" s="74" t="n">
        <v>46446</v>
      </c>
      <c r="P48" s="73" t="inlineStr">
        <is>
          <t>2506208V</t>
        </is>
      </c>
      <c r="Q48" s="73" t="inlineStr">
        <is>
          <t>CBA AGM 2026</t>
        </is>
      </c>
      <c r="R48" s="73" t="inlineStr">
        <is>
          <t>VIDEO</t>
        </is>
      </c>
    </row>
    <row r="49">
      <c r="N49" s="74" t="n">
        <v>46477</v>
      </c>
      <c r="P49" s="73" t="inlineStr">
        <is>
          <t>25063001V</t>
        </is>
      </c>
      <c r="Q49" s="73" t="inlineStr">
        <is>
          <t>APA All Hands Staff</t>
        </is>
      </c>
      <c r="R49" s="73" t="inlineStr">
        <is>
          <t>VIDEO</t>
        </is>
      </c>
    </row>
    <row r="50">
      <c r="N50" s="74" t="n">
        <v>46507</v>
      </c>
      <c r="P50" s="73" t="inlineStr">
        <is>
          <t>25070702</t>
        </is>
      </c>
      <c r="Q50" s="73" t="inlineStr">
        <is>
          <t>APA VMS Brisbane &amp; Darwin</t>
        </is>
      </c>
      <c r="R50" s="73" t="inlineStr">
        <is>
          <t>INTEGRATION</t>
        </is>
      </c>
    </row>
    <row r="51">
      <c r="N51" s="74" t="n">
        <v>46538</v>
      </c>
      <c r="P51" s="73" t="inlineStr">
        <is>
          <t>2507203</t>
        </is>
      </c>
      <c r="Q51" s="73" t="inlineStr">
        <is>
          <t>Hills Grammar Airmedia Supply</t>
        </is>
      </c>
      <c r="R51" s="73" t="inlineStr">
        <is>
          <t>INTEGRATION</t>
        </is>
      </c>
    </row>
    <row r="52">
      <c r="N52" s="74" t="n">
        <v>46568</v>
      </c>
      <c r="P52" s="73" t="inlineStr">
        <is>
          <t>25081402</t>
        </is>
      </c>
      <c r="Q52" s="73" t="inlineStr">
        <is>
          <t>Hills Grammar Loan Airmedia Purchase</t>
        </is>
      </c>
      <c r="R52" s="73" t="inlineStr">
        <is>
          <t>INTEGRATION</t>
        </is>
      </c>
    </row>
    <row r="53">
      <c r="N53" s="74" t="n">
        <v>46599</v>
      </c>
      <c r="P53" s="73" t="inlineStr">
        <is>
          <t>25082501</t>
        </is>
      </c>
      <c r="Q53" s="73" t="inlineStr">
        <is>
          <t>APA Sydney Tablet Brackets</t>
        </is>
      </c>
      <c r="R53" s="73" t="inlineStr">
        <is>
          <t>INTEGRATION</t>
        </is>
      </c>
    </row>
    <row r="54">
      <c r="N54" s="74" t="n">
        <v>46630</v>
      </c>
      <c r="P54" s="73" t="inlineStr">
        <is>
          <t>25091703</t>
        </is>
      </c>
      <c r="Q54" s="73" t="inlineStr">
        <is>
          <t>Scentre Group Marion Superscreen (D10396) Test and Cert</t>
        </is>
      </c>
      <c r="R54" s="73" t="inlineStr">
        <is>
          <t>CONSULTING</t>
        </is>
      </c>
    </row>
    <row r="55">
      <c r="N55" s="74" t="n">
        <v>46660</v>
      </c>
      <c r="P55" s="73" t="inlineStr">
        <is>
          <t>25101301</t>
        </is>
      </c>
      <c r="Q55" s="73" t="inlineStr">
        <is>
          <t>PWC IT Support – Melbourne</t>
        </is>
      </c>
      <c r="R55" s="73" t="inlineStr">
        <is>
          <t>ONSITE</t>
        </is>
      </c>
    </row>
    <row r="56">
      <c r="N56" s="74" t="n">
        <v>46691</v>
      </c>
      <c r="P56" s="73" t="inlineStr">
        <is>
          <t>25101301B</t>
        </is>
      </c>
      <c r="Q56" s="73" t="inlineStr">
        <is>
          <t>PWC IT Support – Sydney</t>
        </is>
      </c>
      <c r="R56" s="73" t="inlineStr">
        <is>
          <t>ONSITE</t>
        </is>
      </c>
    </row>
    <row r="57">
      <c r="N57" s="74" t="n">
        <v>46721</v>
      </c>
      <c r="P57" s="73" t="inlineStr">
        <is>
          <t>2510202</t>
        </is>
      </c>
      <c r="Q57" s="73" t="inlineStr">
        <is>
          <t>HP Poly Room Assessment</t>
        </is>
      </c>
      <c r="R57" s="73" t="inlineStr">
        <is>
          <t>CONSULTING</t>
        </is>
      </c>
    </row>
    <row r="58">
      <c r="N58" s="74" t="n">
        <v>46752</v>
      </c>
      <c r="P58" s="73" t="inlineStr">
        <is>
          <t>2510205</t>
        </is>
      </c>
      <c r="Q58" s="73" t="inlineStr">
        <is>
          <t>NSW Property RGB Desk Booking</t>
        </is>
      </c>
      <c r="R58" s="73" t="inlineStr">
        <is>
          <t>INTEGRATION</t>
        </is>
      </c>
    </row>
    <row r="59">
      <c r="N59" s="74" t="n">
        <v>46783</v>
      </c>
      <c r="P59" s="73" t="inlineStr">
        <is>
          <t>2510210</t>
        </is>
      </c>
      <c r="Q59" s="73" t="inlineStr">
        <is>
          <t>Scentre Group Westfield Bondi Screen Tests</t>
        </is>
      </c>
      <c r="R59" s="73" t="inlineStr">
        <is>
          <t>CONSULTING</t>
        </is>
      </c>
    </row>
    <row r="60">
      <c r="N60" s="74" t="n">
        <v>46812</v>
      </c>
      <c r="P60" s="73" t="inlineStr">
        <is>
          <t>25102701</t>
        </is>
      </c>
      <c r="Q60" s="73" t="inlineStr">
        <is>
          <t>DEWR - Studio Upgrade - Consulting, Design</t>
        </is>
      </c>
      <c r="R60" s="73" t="inlineStr">
        <is>
          <t>CONSULTING</t>
        </is>
      </c>
    </row>
    <row r="61">
      <c r="N61" s="74" t="n">
        <v>46843</v>
      </c>
      <c r="P61" s="73" t="inlineStr">
        <is>
          <t>25102801</t>
        </is>
      </c>
      <c r="Q61" s="73" t="inlineStr">
        <is>
          <t>DTTL SYD QQT Additional Mics Install in L45 Seminar Space</t>
        </is>
      </c>
      <c r="R61" s="73" t="inlineStr">
        <is>
          <t>INTEGRATION</t>
        </is>
      </c>
    </row>
    <row r="62">
      <c r="N62" s="74" t="n">
        <v>46873</v>
      </c>
      <c r="P62" s="73" t="inlineStr">
        <is>
          <t>25102802</t>
        </is>
      </c>
      <c r="Q62" s="73" t="inlineStr">
        <is>
          <t>Novigi Meeting Space Inspection</t>
        </is>
      </c>
      <c r="R62" s="73" t="inlineStr">
        <is>
          <t>CONSULTING</t>
        </is>
      </c>
    </row>
    <row r="63">
      <c r="N63" s="74" t="n">
        <v>46904</v>
      </c>
      <c r="P63" s="73" t="inlineStr">
        <is>
          <t>2510804</t>
        </is>
      </c>
      <c r="Q63" s="73" t="inlineStr">
        <is>
          <t>CommSecurity Presynct QLD Desk Booking</t>
        </is>
      </c>
      <c r="R63" s="73" t="inlineStr">
        <is>
          <t>INTEGRATION</t>
        </is>
      </c>
    </row>
    <row r="64">
      <c r="N64" s="74" t="n">
        <v>46934</v>
      </c>
      <c r="P64" s="73" t="inlineStr">
        <is>
          <t>2510805</t>
        </is>
      </c>
      <c r="Q64" s="73" t="inlineStr">
        <is>
          <t>PNSW Reconstruction Authority Newcastle</t>
        </is>
      </c>
      <c r="R64" s="73" t="inlineStr">
        <is>
          <t>INTEGRATION</t>
        </is>
      </c>
    </row>
    <row r="65">
      <c r="N65" s="74" t="n">
        <v>46965</v>
      </c>
      <c r="P65" s="73" t="inlineStr">
        <is>
          <t>25111203</t>
        </is>
      </c>
      <c r="Q65" s="73" t="inlineStr">
        <is>
          <t>CoS | Barco E3 Sale</t>
        </is>
      </c>
      <c r="R65" s="73" t="inlineStr">
        <is>
          <t>INTEGRATION</t>
        </is>
      </c>
    </row>
    <row r="66">
      <c r="N66" s="74" t="n">
        <v>46996</v>
      </c>
      <c r="P66" s="73" t="inlineStr">
        <is>
          <t>25112801</t>
        </is>
      </c>
      <c r="Q66" s="73" t="inlineStr">
        <is>
          <t>APA MEL - iPad &amp; Bouncepad Sale</t>
        </is>
      </c>
      <c r="R66" s="73" t="inlineStr">
        <is>
          <t>INTEGRATION</t>
        </is>
      </c>
    </row>
    <row r="67">
      <c r="N67" s="74" t="n">
        <v>47026</v>
      </c>
      <c r="P67" s="73" t="inlineStr">
        <is>
          <t>25121001</t>
        </is>
      </c>
      <c r="Q67" s="73" t="inlineStr">
        <is>
          <t>HP Poly Mic System Sale and Install at Mission Australia</t>
        </is>
      </c>
      <c r="R67" s="73" t="inlineStr">
        <is>
          <t>INTEGRATION</t>
        </is>
      </c>
    </row>
    <row r="68">
      <c r="N68" s="74" t="n">
        <v>47057</v>
      </c>
      <c r="P68" s="73" t="inlineStr">
        <is>
          <t>25121007</t>
        </is>
      </c>
      <c r="Q68" s="73" t="inlineStr">
        <is>
          <t>Novigi SYD/MEL boardroom Mic upgrade + Cable Tidy</t>
        </is>
      </c>
      <c r="R68" s="73" t="inlineStr">
        <is>
          <t>INTEGRATION</t>
        </is>
      </c>
    </row>
    <row r="69">
      <c r="N69" s="74" t="n">
        <v>47087</v>
      </c>
      <c r="P69" s="73" t="inlineStr">
        <is>
          <t>25121208</t>
        </is>
      </c>
      <c r="Q69" s="73" t="inlineStr">
        <is>
          <t>APA HYR &amp; FYR Package 2026</t>
        </is>
      </c>
      <c r="R69" s="73" t="inlineStr">
        <is>
          <t>PRODUCTION</t>
        </is>
      </c>
    </row>
    <row r="70">
      <c r="N70" s="74" t="n">
        <v>47118</v>
      </c>
      <c r="P70" s="73" t="inlineStr">
        <is>
          <t>2512503</t>
        </is>
      </c>
      <c r="Q70" s="73" t="inlineStr">
        <is>
          <t>Ventia EOY Town Hall 10.12.2025</t>
        </is>
      </c>
      <c r="R70" s="73" t="inlineStr">
        <is>
          <t>PRODUCTION</t>
        </is>
      </c>
    </row>
    <row r="71">
      <c r="N71" s="74" t="n">
        <v>47149</v>
      </c>
      <c r="P71" s="73" t="inlineStr">
        <is>
          <t>2512503V</t>
        </is>
      </c>
      <c r="Q71" s="73" t="inlineStr">
        <is>
          <t>Ventia EOY Town Hall 10.12.2025</t>
        </is>
      </c>
      <c r="R71" s="73" t="inlineStr">
        <is>
          <t>VIDEO</t>
        </is>
      </c>
    </row>
    <row r="72">
      <c r="N72" s="74" t="n">
        <v>47177</v>
      </c>
      <c r="P72" s="73" t="inlineStr">
        <is>
          <t>2512804</t>
        </is>
      </c>
      <c r="Q72" s="73" t="inlineStr">
        <is>
          <t>RSNSW Ordinary General Meeting 5.8.26</t>
        </is>
      </c>
      <c r="R72" s="73" t="inlineStr">
        <is>
          <t>PRODUCTION</t>
        </is>
      </c>
    </row>
    <row r="73">
      <c r="N73" s="74" t="n">
        <v>47208</v>
      </c>
      <c r="P73" s="73" t="inlineStr">
        <is>
          <t>2512804V</t>
        </is>
      </c>
      <c r="Q73" s="73" t="inlineStr">
        <is>
          <t>RSNSW Ordinary General Meeting 5.8.26</t>
        </is>
      </c>
      <c r="R73" s="73" t="inlineStr">
        <is>
          <t>VIDEO</t>
        </is>
      </c>
    </row>
    <row r="74">
      <c r="N74" s="74" t="n">
        <v>47238</v>
      </c>
      <c r="P74" s="73" t="inlineStr">
        <is>
          <t>2512805</t>
        </is>
      </c>
      <c r="Q74" s="73" t="inlineStr">
        <is>
          <t>RSNSW Ordinary General Meeting 7.10.2026</t>
        </is>
      </c>
      <c r="R74" s="73" t="inlineStr">
        <is>
          <t>PRODUCTION</t>
        </is>
      </c>
    </row>
    <row r="75">
      <c r="N75" s="74" t="n">
        <v>47269</v>
      </c>
      <c r="P75" s="73" t="inlineStr">
        <is>
          <t>2512805V</t>
        </is>
      </c>
      <c r="Q75" s="73" t="inlineStr">
        <is>
          <t>RSNSW Ordinary General Meeting 7.10.2026</t>
        </is>
      </c>
      <c r="R75" s="73" t="inlineStr">
        <is>
          <t>VIDEO</t>
        </is>
      </c>
    </row>
    <row r="76">
      <c r="N76" s="74" t="n">
        <v>47299</v>
      </c>
      <c r="P76" s="73" t="inlineStr">
        <is>
          <t>2512806</t>
        </is>
      </c>
      <c r="Q76" s="73" t="inlineStr">
        <is>
          <t>RSNSW Ordinary General Meeting 2.12.26</t>
        </is>
      </c>
      <c r="R76" s="73" t="inlineStr">
        <is>
          <t>PRODUCTION</t>
        </is>
      </c>
    </row>
    <row r="77">
      <c r="N77" s="74" t="n">
        <v>47330</v>
      </c>
      <c r="P77" s="73" t="inlineStr">
        <is>
          <t>2512806V</t>
        </is>
      </c>
      <c r="Q77" s="73" t="inlineStr">
        <is>
          <t>RSNSW Ordinary General Meeting 2.12.26</t>
        </is>
      </c>
      <c r="R77" s="73" t="inlineStr">
        <is>
          <t>VIDEO</t>
        </is>
      </c>
    </row>
    <row r="78">
      <c r="N78" s="74" t="n">
        <v>47361</v>
      </c>
      <c r="P78" s="73" t="inlineStr">
        <is>
          <t>2519</t>
        </is>
      </c>
      <c r="Q78" s="73" t="inlineStr">
        <is>
          <t>NSW Prop-6PSQ Visitor MG</t>
        </is>
      </c>
      <c r="R78" s="73" t="inlineStr">
        <is>
          <t>INTEGRATION</t>
        </is>
      </c>
    </row>
    <row r="79">
      <c r="N79" s="74" t="n">
        <v>47391</v>
      </c>
      <c r="P79" s="73" t="inlineStr">
        <is>
          <t>2521</t>
        </is>
      </c>
      <c r="Q79" s="73" t="inlineStr">
        <is>
          <t>PWC - PER Tech</t>
        </is>
      </c>
      <c r="R79" s="73" t="inlineStr">
        <is>
          <t>ONSITE</t>
        </is>
      </c>
    </row>
    <row r="80">
      <c r="N80" s="74" t="n">
        <v>47422</v>
      </c>
      <c r="P80" s="73" t="inlineStr">
        <is>
          <t>2540</t>
        </is>
      </c>
      <c r="Q80" s="73" t="inlineStr">
        <is>
          <t>PWC - SYD Tech</t>
        </is>
      </c>
      <c r="R80" s="73" t="inlineStr">
        <is>
          <t>ONSITE</t>
        </is>
      </c>
    </row>
    <row r="81">
      <c r="N81" s="74" t="n">
        <v>47452</v>
      </c>
      <c r="P81" s="73" t="inlineStr">
        <is>
          <t>2543</t>
        </is>
      </c>
      <c r="Q81" s="73" t="inlineStr">
        <is>
          <t>DTTL MEL Tech (PT)</t>
        </is>
      </c>
      <c r="R81" s="73" t="inlineStr">
        <is>
          <t>ONSITE</t>
        </is>
      </c>
    </row>
    <row r="82">
      <c r="N82" s="74" t="n">
        <v>47483</v>
      </c>
      <c r="P82" s="73" t="inlineStr">
        <is>
          <t>2591012</t>
        </is>
      </c>
      <c r="Q82" s="73" t="inlineStr">
        <is>
          <t>St. Luke's Non-chargeable</t>
        </is>
      </c>
      <c r="R82" s="73" t="inlineStr">
        <is>
          <t>PRODUCTION</t>
        </is>
      </c>
    </row>
    <row r="83">
      <c r="N83" s="74" t="n">
        <v>47514</v>
      </c>
      <c r="P83" s="73" t="inlineStr">
        <is>
          <t>2591012C</t>
        </is>
      </c>
      <c r="Q83" s="73" t="inlineStr">
        <is>
          <t>St. Luke's Church</t>
        </is>
      </c>
      <c r="R83" s="73" t="inlineStr">
        <is>
          <t>PRODUCTION</t>
        </is>
      </c>
    </row>
    <row r="84">
      <c r="N84" s="74" t="n">
        <v>47542</v>
      </c>
      <c r="P84" s="73" t="inlineStr">
        <is>
          <t>2593</t>
        </is>
      </c>
      <c r="Q84" s="73" t="inlineStr">
        <is>
          <t>PWC CBR Technician</t>
        </is>
      </c>
      <c r="R84" s="73" t="inlineStr">
        <is>
          <t>ONSITE</t>
        </is>
      </c>
    </row>
    <row r="85">
      <c r="N85" s="74" t="n">
        <v>47573</v>
      </c>
      <c r="P85" s="73" t="inlineStr">
        <is>
          <t>2598</t>
        </is>
      </c>
      <c r="Q85" s="73" t="inlineStr">
        <is>
          <t>DTTL WA Tech</t>
        </is>
      </c>
      <c r="R85" s="73" t="inlineStr">
        <is>
          <t>ONSITE</t>
        </is>
      </c>
    </row>
    <row r="86">
      <c r="N86" s="74" t="n">
        <v>47603</v>
      </c>
      <c r="P86" s="73" t="inlineStr">
        <is>
          <t>26011404</t>
        </is>
      </c>
      <c r="Q86" s="73" t="inlineStr">
        <is>
          <t>ASX CEO Connect (Extended Results) 1.9.26</t>
        </is>
      </c>
      <c r="R86" s="73" t="inlineStr">
        <is>
          <t>PRODUCTION</t>
        </is>
      </c>
    </row>
    <row r="87">
      <c r="N87" s="74" t="n">
        <v>47634</v>
      </c>
      <c r="P87" s="73" t="inlineStr">
        <is>
          <t>26011404V</t>
        </is>
      </c>
      <c r="Q87" s="73" t="inlineStr">
        <is>
          <t>ASX CEO Connect (Extended Results) 1.9.26</t>
        </is>
      </c>
      <c r="R87" s="73" t="inlineStr">
        <is>
          <t>VIDEO</t>
        </is>
      </c>
    </row>
    <row r="88">
      <c r="N88" s="74" t="n">
        <v>47664</v>
      </c>
      <c r="P88" s="73" t="inlineStr">
        <is>
          <t>26011407</t>
        </is>
      </c>
      <c r="Q88" s="73" t="inlineStr">
        <is>
          <t>ASX CEO Connect 27.10.26</t>
        </is>
      </c>
      <c r="R88" s="73" t="inlineStr">
        <is>
          <t>PRODUCTION</t>
        </is>
      </c>
    </row>
    <row r="89">
      <c r="N89" s="74" t="n">
        <v>47695</v>
      </c>
      <c r="P89" s="73" t="inlineStr">
        <is>
          <t>26011407V</t>
        </is>
      </c>
      <c r="Q89" s="73" t="inlineStr">
        <is>
          <t>ASX CEO Connect 27.10.26</t>
        </is>
      </c>
      <c r="R89" s="73" t="inlineStr">
        <is>
          <t>VIDEO</t>
        </is>
      </c>
    </row>
    <row r="90">
      <c r="N90" s="74" t="n">
        <v>47726</v>
      </c>
      <c r="P90" s="73" t="inlineStr">
        <is>
          <t>26011408</t>
        </is>
      </c>
      <c r="Q90" s="73" t="inlineStr">
        <is>
          <t>ASX CEO Connect 1.12.26</t>
        </is>
      </c>
      <c r="R90" s="73" t="inlineStr">
        <is>
          <t>PRODUCTION</t>
        </is>
      </c>
    </row>
    <row r="91">
      <c r="N91" s="74" t="n">
        <v>47756</v>
      </c>
      <c r="P91" s="73" t="inlineStr">
        <is>
          <t>26011408V</t>
        </is>
      </c>
      <c r="Q91" s="73" t="inlineStr">
        <is>
          <t>ASX CEO Connect 1.12.26</t>
        </is>
      </c>
      <c r="R91" s="73" t="inlineStr">
        <is>
          <t>VIDEO</t>
        </is>
      </c>
    </row>
    <row r="92">
      <c r="N92" s="74" t="n">
        <v>47787</v>
      </c>
      <c r="P92" s="73" t="inlineStr">
        <is>
          <t>26011409</t>
        </is>
      </c>
      <c r="Q92" s="73" t="inlineStr">
        <is>
          <t>ASX Investor Days Sydney &amp; Melbourne 2026</t>
        </is>
      </c>
      <c r="R92" s="73" t="inlineStr">
        <is>
          <t>PRODUCTION</t>
        </is>
      </c>
    </row>
    <row r="93">
      <c r="N93" s="74" t="n">
        <v>47817</v>
      </c>
      <c r="P93" s="73" t="inlineStr">
        <is>
          <t>26011501</t>
        </is>
      </c>
      <c r="Q93" s="73" t="inlineStr">
        <is>
          <t>ASX Refinitiv Charity Golf Classic H/L Vid 2026</t>
        </is>
      </c>
      <c r="R93" s="73" t="inlineStr">
        <is>
          <t>VIDEO</t>
        </is>
      </c>
    </row>
    <row r="94">
      <c r="N94" s="74" t="n">
        <v>47848</v>
      </c>
      <c r="P94" s="73" t="inlineStr">
        <is>
          <t>26011502</t>
        </is>
      </c>
      <c r="Q94" s="73" t="inlineStr">
        <is>
          <t>ASX Charity Regatta Highlights Video 2026</t>
        </is>
      </c>
      <c r="R94" s="73" t="inlineStr">
        <is>
          <t>VIDEO</t>
        </is>
      </c>
    </row>
    <row r="95">
      <c r="N95" s="74" t="n">
        <v>47879</v>
      </c>
      <c r="P95" s="73" t="inlineStr">
        <is>
          <t>26012301</t>
        </is>
      </c>
      <c r="Q95" s="73" t="inlineStr">
        <is>
          <t>PWC IT Support - Brisbane</t>
        </is>
      </c>
      <c r="R95" s="73" t="inlineStr">
        <is>
          <t>ONSITE</t>
        </is>
      </c>
    </row>
    <row r="96">
      <c r="N96" s="74" t="n">
        <v>47907</v>
      </c>
      <c r="P96" s="73" t="inlineStr">
        <is>
          <t>2601701</t>
        </is>
      </c>
      <c r="Q96" s="73" t="inlineStr">
        <is>
          <t>CEOi - TLP Brand Video</t>
        </is>
      </c>
      <c r="R96" s="73" t="inlineStr">
        <is>
          <t>VIDEO</t>
        </is>
      </c>
    </row>
    <row r="97">
      <c r="N97" s="74" t="n">
        <v>47938</v>
      </c>
      <c r="P97" s="73" t="inlineStr">
        <is>
          <t>26021602</t>
        </is>
      </c>
      <c r="Q97" s="73" t="inlineStr">
        <is>
          <t>Gen E ABS AV Support (Canberra)</t>
        </is>
      </c>
      <c r="R97" s="73" t="inlineStr">
        <is>
          <t>ONSITE</t>
        </is>
      </c>
    </row>
    <row r="98">
      <c r="N98" s="74" t="n">
        <v>47968</v>
      </c>
      <c r="P98" s="73" t="inlineStr">
        <is>
          <t>26021602N</t>
        </is>
      </c>
      <c r="Q98" s="73" t="inlineStr">
        <is>
          <t>Gen E ABS AV Support (Canberra) [ONS non-chargeable]</t>
        </is>
      </c>
      <c r="R98" s="73" t="inlineStr"/>
    </row>
    <row r="99">
      <c r="N99" s="74" t="n">
        <v>47999</v>
      </c>
      <c r="P99" s="73" t="inlineStr">
        <is>
          <t>26021801</t>
        </is>
      </c>
      <c r="Q99" s="73" t="inlineStr">
        <is>
          <t>Aware Super Seminar Room AV Upgrade</t>
        </is>
      </c>
      <c r="R99" s="73" t="inlineStr">
        <is>
          <t>INTEGRATION</t>
        </is>
      </c>
    </row>
    <row r="100">
      <c r="N100" s="74" t="n">
        <v>48029</v>
      </c>
      <c r="P100" s="73" t="inlineStr">
        <is>
          <t>2602203</t>
        </is>
      </c>
      <c r="Q100" s="73" t="inlineStr">
        <is>
          <t>YSG Studio Orange Room Upgrade</t>
        </is>
      </c>
      <c r="R100" s="73" t="inlineStr">
        <is>
          <t>CONSULTING</t>
        </is>
      </c>
    </row>
    <row r="101">
      <c r="P101" s="73" t="inlineStr">
        <is>
          <t>26022301</t>
        </is>
      </c>
      <c r="Q101" s="73" t="inlineStr">
        <is>
          <t>Aware Super AV Maintenance</t>
        </is>
      </c>
      <c r="R101" s="73" t="inlineStr">
        <is>
          <t>ONSITE</t>
        </is>
      </c>
    </row>
    <row r="102">
      <c r="P102" s="73" t="inlineStr">
        <is>
          <t>26022301C</t>
        </is>
      </c>
      <c r="Q102" s="73" t="inlineStr">
        <is>
          <t>Aware Super AV Maintenance</t>
        </is>
      </c>
      <c r="R102" s="73" t="inlineStr">
        <is>
          <t>CONSULTING</t>
        </is>
      </c>
    </row>
    <row r="103">
      <c r="P103" s="73" t="inlineStr">
        <is>
          <t>26022301NC</t>
        </is>
      </c>
      <c r="Q103" s="73" t="inlineStr">
        <is>
          <t>Aware Super AV Maintenance Non-chargeable</t>
        </is>
      </c>
      <c r="R103" s="73" t="inlineStr">
        <is>
          <t>ONSITE</t>
        </is>
      </c>
    </row>
    <row r="104">
      <c r="P104" s="73" t="inlineStr">
        <is>
          <t>26022301P</t>
        </is>
      </c>
      <c r="Q104" s="73" t="inlineStr">
        <is>
          <t>Aware Super AV Maintenance</t>
        </is>
      </c>
      <c r="R104" s="73" t="inlineStr">
        <is>
          <t>PRODUCTION</t>
        </is>
      </c>
    </row>
    <row r="105">
      <c r="P105" s="73" t="inlineStr">
        <is>
          <t>26022302</t>
        </is>
      </c>
      <c r="Q105" s="73" t="inlineStr">
        <is>
          <t>GP - Talking Philanthropy - 18.9.26</t>
        </is>
      </c>
      <c r="R105" s="73" t="inlineStr">
        <is>
          <t>PRODUCTION</t>
        </is>
      </c>
    </row>
    <row r="106">
      <c r="P106" s="73" t="inlineStr">
        <is>
          <t>26022302V</t>
        </is>
      </c>
      <c r="Q106" s="73" t="inlineStr">
        <is>
          <t>GP - Talking Philanthropy - 18.9.26</t>
        </is>
      </c>
      <c r="R106" s="73" t="inlineStr">
        <is>
          <t>VIDEO</t>
        </is>
      </c>
    </row>
    <row r="107">
      <c r="P107" s="73" t="inlineStr">
        <is>
          <t>26022601</t>
        </is>
      </c>
      <c r="Q107" s="73" t="inlineStr">
        <is>
          <t>ART - Annual Members Meeting - 25.11.26</t>
        </is>
      </c>
      <c r="R107" s="73" t="inlineStr">
        <is>
          <t>PRODUCTION</t>
        </is>
      </c>
    </row>
    <row r="108">
      <c r="P108" s="73" t="inlineStr">
        <is>
          <t>26022601V</t>
        </is>
      </c>
      <c r="Q108" s="73" t="inlineStr">
        <is>
          <t>ART - Annual Members Meeting - 25.11.26</t>
        </is>
      </c>
      <c r="R108" s="73" t="inlineStr">
        <is>
          <t>VIDEO</t>
        </is>
      </c>
    </row>
    <row r="109">
      <c r="P109" s="73" t="inlineStr">
        <is>
          <t>2602901</t>
        </is>
      </c>
      <c r="Q109" s="73" t="inlineStr">
        <is>
          <t>HP-Telstra: Phone Modification</t>
        </is>
      </c>
      <c r="R109" s="73" t="inlineStr">
        <is>
          <t>INTEGRATION</t>
        </is>
      </c>
    </row>
    <row r="110">
      <c r="P110" s="73" t="inlineStr">
        <is>
          <t>2603104</t>
        </is>
      </c>
      <c r="Q110" s="73" t="inlineStr">
        <is>
          <t>Cochlear FY26 Results 18.8.26</t>
        </is>
      </c>
      <c r="R110" s="73" t="inlineStr">
        <is>
          <t>PRODUCTION</t>
        </is>
      </c>
    </row>
    <row r="111">
      <c r="P111" s="73" t="inlineStr">
        <is>
          <t>2603104V</t>
        </is>
      </c>
      <c r="Q111" s="73" t="inlineStr">
        <is>
          <t>Cochlear FY26 Results 18.8.26</t>
        </is>
      </c>
      <c r="R111" s="73" t="inlineStr">
        <is>
          <t>VIDEO</t>
        </is>
      </c>
    </row>
    <row r="112">
      <c r="P112" s="73" t="inlineStr">
        <is>
          <t>2603105</t>
        </is>
      </c>
      <c r="Q112" s="73" t="inlineStr">
        <is>
          <t>Cochlear - AGM - 26.10.26</t>
        </is>
      </c>
      <c r="R112" s="73" t="inlineStr">
        <is>
          <t>PRODUCTION</t>
        </is>
      </c>
    </row>
    <row r="113">
      <c r="P113" s="73" t="inlineStr">
        <is>
          <t>2603105V</t>
        </is>
      </c>
      <c r="Q113" s="73" t="inlineStr">
        <is>
          <t>Cochlear - AGM - 26.10.26</t>
        </is>
      </c>
      <c r="R113" s="73" t="inlineStr">
        <is>
          <t>VIDEO</t>
        </is>
      </c>
    </row>
    <row r="114">
      <c r="P114" s="73" t="inlineStr">
        <is>
          <t>2603202</t>
        </is>
      </c>
      <c r="Q114" s="73" t="inlineStr">
        <is>
          <t>Property NSW 5 O’Keefe Ave Nowra Workplace Hub</t>
        </is>
      </c>
      <c r="R114" s="73" t="inlineStr">
        <is>
          <t>INTEGRATION</t>
        </is>
      </c>
    </row>
    <row r="115">
      <c r="P115" s="73" t="inlineStr">
        <is>
          <t>26032301</t>
        </is>
      </c>
      <c r="Q115" s="73" t="inlineStr">
        <is>
          <t>RSNSW - OGM - 1.7.2026</t>
        </is>
      </c>
      <c r="R115" s="73" t="inlineStr">
        <is>
          <t>PRODUCTION</t>
        </is>
      </c>
    </row>
    <row r="116">
      <c r="P116" s="73" t="inlineStr">
        <is>
          <t>26032301V</t>
        </is>
      </c>
      <c r="Q116" s="73" t="inlineStr">
        <is>
          <t>RSNSW - OGM - 1.7.2026</t>
        </is>
      </c>
      <c r="R116" s="73" t="inlineStr">
        <is>
          <t>VIDEO</t>
        </is>
      </c>
    </row>
    <row r="117">
      <c r="P117" s="73" t="inlineStr">
        <is>
          <t>26032302</t>
        </is>
      </c>
      <c r="Q117" s="73" t="inlineStr">
        <is>
          <t>RSNSW - OGM - 2.9.2026</t>
        </is>
      </c>
      <c r="R117" s="73" t="inlineStr">
        <is>
          <t>PRODUCTION</t>
        </is>
      </c>
    </row>
    <row r="118">
      <c r="P118" s="73" t="inlineStr">
        <is>
          <t>26032302V</t>
        </is>
      </c>
      <c r="Q118" s="73" t="inlineStr">
        <is>
          <t>RSNSW - OGM - 2.9.2026</t>
        </is>
      </c>
      <c r="R118" s="73" t="inlineStr">
        <is>
          <t>VIDEO</t>
        </is>
      </c>
    </row>
    <row r="119">
      <c r="P119" s="73" t="inlineStr">
        <is>
          <t>26032501</t>
        </is>
      </c>
      <c r="Q119" s="73" t="inlineStr">
        <is>
          <t>ChorusCall - Regal Partners AGM - 28.5.26</t>
        </is>
      </c>
      <c r="R119" s="73" t="inlineStr">
        <is>
          <t>PRODUCTION</t>
        </is>
      </c>
    </row>
    <row r="120">
      <c r="P120" s="73" t="inlineStr">
        <is>
          <t>26032502</t>
        </is>
      </c>
      <c r="Q120" s="73" t="inlineStr">
        <is>
          <t>3YS Owls - Governance Top 100 2026 - 30.10.26</t>
        </is>
      </c>
      <c r="R120" s="73" t="inlineStr">
        <is>
          <t>PRODUCTION</t>
        </is>
      </c>
    </row>
    <row r="121">
      <c r="P121" s="73" t="inlineStr">
        <is>
          <t>26032502V</t>
        </is>
      </c>
      <c r="Q121" s="73" t="inlineStr">
        <is>
          <t>3YS Owls - Governance Top 100 2026 - 30.10.26</t>
        </is>
      </c>
      <c r="R121" s="73" t="inlineStr">
        <is>
          <t>VIDEO</t>
        </is>
      </c>
    </row>
    <row r="122">
      <c r="P122" s="73" t="inlineStr">
        <is>
          <t>26032701</t>
        </is>
      </c>
      <c r="Q122" s="73" t="inlineStr">
        <is>
          <t>MUFG - A1N AGM - 7.5.26</t>
        </is>
      </c>
      <c r="R122" s="73" t="inlineStr">
        <is>
          <t>PRODUCTION</t>
        </is>
      </c>
    </row>
    <row r="123">
      <c r="P123" s="73" t="inlineStr">
        <is>
          <t>26032701V</t>
        </is>
      </c>
      <c r="Q123" s="73" t="inlineStr">
        <is>
          <t>MUFG - A1N AGM - 7.5.26</t>
        </is>
      </c>
      <c r="R123" s="73" t="inlineStr">
        <is>
          <t>VIDEO</t>
        </is>
      </c>
    </row>
    <row r="124">
      <c r="P124" s="73" t="inlineStr">
        <is>
          <t>26032702</t>
        </is>
      </c>
      <c r="Q124" s="73" t="inlineStr">
        <is>
          <t>Ventia Transport Australia and Ventia Networking 6.5.26</t>
        </is>
      </c>
      <c r="R124" s="73" t="inlineStr">
        <is>
          <t>PRODUCTION</t>
        </is>
      </c>
    </row>
    <row r="125">
      <c r="P125" s="73" t="inlineStr">
        <is>
          <t>26032704</t>
        </is>
      </c>
      <c r="Q125" s="73" t="inlineStr">
        <is>
          <t>CBA LES - April 2026</t>
        </is>
      </c>
      <c r="R125" s="73" t="inlineStr">
        <is>
          <t>PRODUCTION</t>
        </is>
      </c>
    </row>
    <row r="126">
      <c r="P126" s="73" t="inlineStr">
        <is>
          <t>26033003</t>
        </is>
      </c>
      <c r="Q126" s="73" t="inlineStr">
        <is>
          <t>DTTL 8PSQ Dream Big Microphones</t>
        </is>
      </c>
      <c r="R126" s="73" t="inlineStr">
        <is>
          <t>INTEGRATION</t>
        </is>
      </c>
    </row>
    <row r="127">
      <c r="P127" s="73" t="inlineStr">
        <is>
          <t>26033004</t>
        </is>
      </c>
      <c r="Q127" s="73" t="inlineStr">
        <is>
          <t>DTTL Melbourne Bluetooth Audio</t>
        </is>
      </c>
      <c r="R127" s="73" t="inlineStr">
        <is>
          <t>INTEGRATION</t>
        </is>
      </c>
    </row>
    <row r="128">
      <c r="P128" s="73" t="inlineStr">
        <is>
          <t>26033005</t>
        </is>
      </c>
      <c r="Q128" s="73" t="inlineStr">
        <is>
          <t>DTTL QQT &amp; 8PSQ Crestron Connect Adaptor</t>
        </is>
      </c>
      <c r="R128" s="73" t="inlineStr">
        <is>
          <t>INTEGRATION</t>
        </is>
      </c>
    </row>
    <row r="129">
      <c r="P129" s="73" t="inlineStr">
        <is>
          <t>26033006</t>
        </is>
      </c>
      <c r="Q129" s="73" t="inlineStr">
        <is>
          <t>DTTL 8PSQ Bluetooth Audio</t>
        </is>
      </c>
      <c r="R129" s="73" t="inlineStr">
        <is>
          <t>INTEGRATION</t>
        </is>
      </c>
    </row>
    <row r="130">
      <c r="P130" s="73" t="inlineStr">
        <is>
          <t>26033007</t>
        </is>
      </c>
      <c r="Q130" s="73" t="inlineStr">
        <is>
          <t>DTTL QQT Lv45 Seminar Wheels repair</t>
        </is>
      </c>
      <c r="R130" s="73" t="inlineStr">
        <is>
          <t>INTEGRATION</t>
        </is>
      </c>
    </row>
    <row r="131">
      <c r="P131" s="73" t="inlineStr">
        <is>
          <t>26033008</t>
        </is>
      </c>
      <c r="Q131" s="73" t="inlineStr">
        <is>
          <t>DTTL MEL Repair of Lv31 LED panels</t>
        </is>
      </c>
      <c r="R131" s="73" t="inlineStr">
        <is>
          <t>INTEGRATION</t>
        </is>
      </c>
    </row>
    <row r="132">
      <c r="P132" s="73" t="inlineStr">
        <is>
          <t>26041603</t>
        </is>
      </c>
      <c r="Q132" s="73" t="inlineStr">
        <is>
          <t>Optiver - Town Hall - 23.7.26</t>
        </is>
      </c>
      <c r="R132" s="73" t="inlineStr">
        <is>
          <t>PRODUCTION</t>
        </is>
      </c>
    </row>
    <row r="133">
      <c r="P133" s="73" t="inlineStr">
        <is>
          <t>26041603V</t>
        </is>
      </c>
      <c r="Q133" s="73" t="inlineStr">
        <is>
          <t>Optiver - Town Hall - 23.7.26</t>
        </is>
      </c>
      <c r="R133" s="73" t="inlineStr">
        <is>
          <t>VIDEO</t>
        </is>
      </c>
    </row>
    <row r="134">
      <c r="P134" s="73" t="inlineStr">
        <is>
          <t>26041701</t>
        </is>
      </c>
      <c r="Q134" s="73" t="inlineStr">
        <is>
          <t>N2 Dance End of Year Concert Videos 2026</t>
        </is>
      </c>
      <c r="R134" s="73" t="inlineStr">
        <is>
          <t>VIDEO</t>
        </is>
      </c>
    </row>
    <row r="135">
      <c r="P135" s="73" t="inlineStr">
        <is>
          <t>26042001</t>
        </is>
      </c>
      <c r="Q135" s="73" t="inlineStr">
        <is>
          <t>ASX - AGM - 22.10.26</t>
        </is>
      </c>
      <c r="R135" s="73" t="inlineStr">
        <is>
          <t>PRODUCTION</t>
        </is>
      </c>
    </row>
    <row r="136">
      <c r="P136" s="73" t="inlineStr">
        <is>
          <t>26042001V</t>
        </is>
      </c>
      <c r="Q136" s="73" t="inlineStr">
        <is>
          <t>ASX - AGM - 22.10.26</t>
        </is>
      </c>
      <c r="R136" s="73" t="inlineStr">
        <is>
          <t>VIDEO</t>
        </is>
      </c>
    </row>
    <row r="137">
      <c r="P137" s="73" t="inlineStr">
        <is>
          <t>2604201</t>
        </is>
      </c>
      <c r="Q137" s="73" t="inlineStr">
        <is>
          <t>Bankwest - Stage Hire - 27.5.2026</t>
        </is>
      </c>
      <c r="R137" s="73" t="inlineStr">
        <is>
          <t>PRODUCTION</t>
        </is>
      </c>
    </row>
    <row r="138">
      <c r="P138" s="73" t="inlineStr">
        <is>
          <t>2604202</t>
        </is>
      </c>
      <c r="Q138" s="73" t="inlineStr">
        <is>
          <t>Ventia - Ventia Awards - 30.7.26</t>
        </is>
      </c>
      <c r="R138" s="73" t="inlineStr">
        <is>
          <t>PRODUCTION</t>
        </is>
      </c>
    </row>
    <row r="139">
      <c r="P139" s="73" t="inlineStr">
        <is>
          <t>2604202V</t>
        </is>
      </c>
      <c r="Q139" s="73" t="inlineStr">
        <is>
          <t>Ventia - Ventia Awards - 30.7.26</t>
        </is>
      </c>
      <c r="R139" s="73" t="inlineStr">
        <is>
          <t>VIDEO</t>
        </is>
      </c>
    </row>
    <row r="140">
      <c r="P140" s="73" t="inlineStr">
        <is>
          <t>2604203V</t>
        </is>
      </c>
      <c r="Q140" s="73" t="inlineStr">
        <is>
          <t>Ventia - Investor Day - 4.5.2026</t>
        </is>
      </c>
      <c r="R140" s="73" t="inlineStr">
        <is>
          <t>VIDEO</t>
        </is>
      </c>
    </row>
    <row r="141">
      <c r="P141" s="73" t="inlineStr">
        <is>
          <t>2604204</t>
        </is>
      </c>
      <c r="Q141" s="73" t="inlineStr">
        <is>
          <t>Ventia - AGM - 21.5.26</t>
        </is>
      </c>
      <c r="R141" s="73" t="inlineStr">
        <is>
          <t>PRODUCTION</t>
        </is>
      </c>
    </row>
    <row r="142">
      <c r="P142" s="73" t="inlineStr">
        <is>
          <t>2604204V</t>
        </is>
      </c>
      <c r="Q142" s="73" t="inlineStr">
        <is>
          <t>Ventia - AGM - 21.5.26</t>
        </is>
      </c>
      <c r="R142" s="73" t="inlineStr">
        <is>
          <t>VIDEO</t>
        </is>
      </c>
    </row>
    <row r="143">
      <c r="P143" s="73" t="inlineStr">
        <is>
          <t>26042802</t>
        </is>
      </c>
      <c r="Q143" s="73" t="inlineStr">
        <is>
          <t>DTTL DAR Meeting Room Extension Cable Install</t>
        </is>
      </c>
      <c r="R143" s="73" t="inlineStr">
        <is>
          <t>INTEGRATION</t>
        </is>
      </c>
    </row>
    <row r="144">
      <c r="P144" s="73" t="inlineStr">
        <is>
          <t>26043001</t>
        </is>
      </c>
      <c r="Q144" s="73" t="inlineStr">
        <is>
          <t>CBA FT Tech MEL - 12 months</t>
        </is>
      </c>
      <c r="R144" s="73" t="inlineStr">
        <is>
          <t>ONSITE</t>
        </is>
      </c>
    </row>
    <row r="145">
      <c r="P145" s="73" t="inlineStr">
        <is>
          <t>26043002</t>
        </is>
      </c>
      <c r="Q145" s="73" t="inlineStr">
        <is>
          <t>CTS Town Hall</t>
        </is>
      </c>
      <c r="R145" s="73" t="inlineStr">
        <is>
          <t>CTS</t>
        </is>
      </c>
    </row>
    <row r="146">
      <c r="P146" s="73" t="inlineStr">
        <is>
          <t>26043003</t>
        </is>
      </c>
      <c r="Q146" s="73" t="inlineStr">
        <is>
          <t>PwC Screen Replacements SYD+MEL</t>
        </is>
      </c>
      <c r="R146" s="73" t="inlineStr">
        <is>
          <t>INTEGRATION</t>
        </is>
      </c>
    </row>
    <row r="147">
      <c r="P147" s="73" t="inlineStr">
        <is>
          <t>2604704</t>
        </is>
      </c>
      <c r="Q147" s="73" t="inlineStr">
        <is>
          <t>Aware Super Seminar Room Audio Upgrade</t>
        </is>
      </c>
      <c r="R147" s="73" t="inlineStr">
        <is>
          <t>INTEGRATION</t>
        </is>
      </c>
    </row>
    <row r="148">
      <c r="P148" s="73" t="inlineStr">
        <is>
          <t>2604802</t>
        </is>
      </c>
      <c r="Q148" s="73" t="inlineStr">
        <is>
          <t>PwC - Audio Support - 29.4.26</t>
        </is>
      </c>
      <c r="R148" s="73" t="inlineStr">
        <is>
          <t>PRODUCTION</t>
        </is>
      </c>
    </row>
    <row r="149">
      <c r="P149" s="73" t="inlineStr">
        <is>
          <t>26051101</t>
        </is>
      </c>
      <c r="Q149" s="73" t="inlineStr">
        <is>
          <t>DTTL Mardi Gras/Vivid Event 27/05/26</t>
        </is>
      </c>
      <c r="R149" s="73" t="inlineStr">
        <is>
          <t>PRODUCTION</t>
        </is>
      </c>
    </row>
    <row r="150">
      <c r="P150" s="73" t="inlineStr">
        <is>
          <t>26051101V</t>
        </is>
      </c>
      <c r="Q150" s="73" t="inlineStr">
        <is>
          <t>DTTL Mardi Gras/Vivid Event 27/05/26</t>
        </is>
      </c>
      <c r="R150" s="73" t="inlineStr">
        <is>
          <t>VIDEO</t>
        </is>
      </c>
    </row>
    <row r="151">
      <c r="P151" s="73" t="inlineStr">
        <is>
          <t>26051102</t>
        </is>
      </c>
      <c r="Q151" s="73" t="inlineStr">
        <is>
          <t>DTTL - CEO Roadshow - 1.6.26</t>
        </is>
      </c>
      <c r="R151" s="73" t="inlineStr">
        <is>
          <t>PRODUCTION</t>
        </is>
      </c>
    </row>
    <row r="152">
      <c r="P152" s="73" t="inlineStr">
        <is>
          <t>26051102V</t>
        </is>
      </c>
      <c r="Q152" s="73" t="inlineStr">
        <is>
          <t>DTTL - CEO Roadshow - 1.6.26</t>
        </is>
      </c>
      <c r="R152" s="73" t="inlineStr">
        <is>
          <t>VIDEO</t>
        </is>
      </c>
    </row>
    <row r="153">
      <c r="P153" s="73" t="inlineStr">
        <is>
          <t>26051103</t>
        </is>
      </c>
      <c r="Q153" s="73" t="inlineStr">
        <is>
          <t>PwC PER Studio Support 25.05.26</t>
        </is>
      </c>
      <c r="R153" s="73" t="inlineStr">
        <is>
          <t>PRODUCTION</t>
        </is>
      </c>
    </row>
    <row r="154">
      <c r="P154" s="73" t="inlineStr">
        <is>
          <t>26051103V</t>
        </is>
      </c>
      <c r="Q154" s="73" t="inlineStr">
        <is>
          <t>PwC PER Studio Support 25.05.26</t>
        </is>
      </c>
      <c r="R154" s="73" t="inlineStr">
        <is>
          <t>VIDEO</t>
        </is>
      </c>
    </row>
    <row r="155">
      <c r="P155" s="73" t="inlineStr">
        <is>
          <t>26051201</t>
        </is>
      </c>
      <c r="Q155" s="73" t="inlineStr">
        <is>
          <t>ASX CEO Farewell Highlights</t>
        </is>
      </c>
      <c r="R155" s="73" t="inlineStr">
        <is>
          <t>VIDEO</t>
        </is>
      </c>
    </row>
    <row r="156">
      <c r="P156" s="73" t="inlineStr">
        <is>
          <t>26051301</t>
        </is>
      </c>
      <c r="Q156" s="73" t="inlineStr">
        <is>
          <t>HP-BAE | Phone Mod</t>
        </is>
      </c>
      <c r="R156" s="73" t="inlineStr">
        <is>
          <t>INTEGRATION</t>
        </is>
      </c>
    </row>
    <row r="157">
      <c r="P157" s="73" t="inlineStr">
        <is>
          <t>26051401</t>
        </is>
      </c>
      <c r="Q157" s="73" t="inlineStr">
        <is>
          <t>ASX - Business Meeting - 27.5.26</t>
        </is>
      </c>
      <c r="R157" s="73" t="inlineStr">
        <is>
          <t>PRODUCTION</t>
        </is>
      </c>
    </row>
    <row r="158">
      <c r="P158" s="73" t="inlineStr">
        <is>
          <t>26051401V</t>
        </is>
      </c>
      <c r="Q158" s="73" t="inlineStr">
        <is>
          <t>ASX - Business Meeting - 27.5.26</t>
        </is>
      </c>
      <c r="R158" s="73" t="inlineStr">
        <is>
          <t>VIDEO</t>
        </is>
      </c>
    </row>
    <row r="159">
      <c r="P159" s="73" t="inlineStr">
        <is>
          <t>26051402</t>
        </is>
      </c>
      <c r="Q159" s="73" t="inlineStr">
        <is>
          <t>PwC Foldback Monitor Hire</t>
        </is>
      </c>
      <c r="R159" s="73" t="inlineStr">
        <is>
          <t>PRODUCTION</t>
        </is>
      </c>
    </row>
    <row r="160">
      <c r="P160" s="73" t="inlineStr">
        <is>
          <t>26051801</t>
        </is>
      </c>
      <c r="Q160" s="73" t="inlineStr">
        <is>
          <t>PwC | Mel Studio Equipment</t>
        </is>
      </c>
      <c r="R160" s="73" t="inlineStr">
        <is>
          <t>INTEGRATION</t>
        </is>
      </c>
    </row>
    <row r="161">
      <c r="P161" s="73" t="inlineStr">
        <is>
          <t>26051803</t>
        </is>
      </c>
      <c r="Q161" s="73" t="inlineStr">
        <is>
          <t>AVIT - Taronga ZOO AV Support - May 2026</t>
        </is>
      </c>
      <c r="R161" s="73" t="inlineStr">
        <is>
          <t>PRODUCTION</t>
        </is>
      </c>
    </row>
    <row r="162">
      <c r="P162" s="73" t="inlineStr">
        <is>
          <t>26052001</t>
        </is>
      </c>
      <c r="Q162" s="73" t="inlineStr">
        <is>
          <t>MeetMagic - AI Behaviour Event - 29.5.26</t>
        </is>
      </c>
      <c r="R162" s="73" t="inlineStr">
        <is>
          <t>PRODUCTION</t>
        </is>
      </c>
    </row>
    <row r="163">
      <c r="P163" s="73" t="inlineStr">
        <is>
          <t>26052001V</t>
        </is>
      </c>
      <c r="Q163" s="73" t="inlineStr">
        <is>
          <t>MeetMagic - AI Behaviour Event - 29.5.26</t>
        </is>
      </c>
      <c r="R163" s="73" t="inlineStr">
        <is>
          <t>VIDEO</t>
        </is>
      </c>
    </row>
    <row r="164">
      <c r="P164" s="73" t="inlineStr">
        <is>
          <t>26052002</t>
        </is>
      </c>
      <c r="Q164" s="73" t="inlineStr">
        <is>
          <t>DTTL BNE L23 Training Rooms Upgrade</t>
        </is>
      </c>
      <c r="R164" s="73" t="inlineStr">
        <is>
          <t>INTEGRATION</t>
        </is>
      </c>
    </row>
    <row r="165">
      <c r="P165" s="73" t="inlineStr">
        <is>
          <t>26052003</t>
        </is>
      </c>
      <c r="Q165" s="73" t="inlineStr">
        <is>
          <t>DTTL Mobile Commbox Displays</t>
        </is>
      </c>
      <c r="R165" s="73" t="inlineStr">
        <is>
          <t>INTEGRATION</t>
        </is>
      </c>
    </row>
    <row r="166">
      <c r="P166" s="73" t="inlineStr">
        <is>
          <t>26052004</t>
        </is>
      </c>
      <c r="Q166" s="73" t="inlineStr">
        <is>
          <t>CBA - Live Event Support - June 2026</t>
        </is>
      </c>
      <c r="R166" s="73" t="inlineStr">
        <is>
          <t>PRODUCTION</t>
        </is>
      </c>
    </row>
    <row r="167">
      <c r="P167" s="73" t="inlineStr">
        <is>
          <t>26052101</t>
        </is>
      </c>
      <c r="Q167" s="73" t="inlineStr">
        <is>
          <t>MeetMagic - Human AI Event Highlights</t>
        </is>
      </c>
      <c r="R167" s="73" t="inlineStr">
        <is>
          <t>VIDEO</t>
        </is>
      </c>
    </row>
    <row r="168">
      <c r="P168" s="73" t="inlineStr">
        <is>
          <t>26052102</t>
        </is>
      </c>
      <c r="Q168" s="73" t="inlineStr">
        <is>
          <t>HP-D3 | Austrac Phone Mods</t>
        </is>
      </c>
      <c r="R168" s="73" t="inlineStr">
        <is>
          <t>INTEGRATION</t>
        </is>
      </c>
    </row>
    <row r="169">
      <c r="P169" s="73" t="inlineStr">
        <is>
          <t>26052103</t>
        </is>
      </c>
      <c r="Q169" s="73" t="inlineStr">
        <is>
          <t>Ventia - LTI FY26 Video Record</t>
        </is>
      </c>
      <c r="R169" s="73" t="inlineStr">
        <is>
          <t>VIDEO</t>
        </is>
      </c>
    </row>
    <row r="170">
      <c r="P170" s="73" t="inlineStr">
        <is>
          <t>26052501V</t>
        </is>
      </c>
      <c r="Q170" s="73" t="inlineStr">
        <is>
          <t>AVIT - Taronga AV Event Support - 26-27.5.26</t>
        </is>
      </c>
      <c r="R170" s="73" t="inlineStr">
        <is>
          <t>VIDEO</t>
        </is>
      </c>
    </row>
    <row r="171">
      <c r="P171" s="73" t="inlineStr">
        <is>
          <t>26052502</t>
        </is>
      </c>
      <c r="Q171" s="73" t="inlineStr">
        <is>
          <t>AVIT - Taronga AV Event Support 4-5.06.26</t>
        </is>
      </c>
      <c r="R171" s="73" t="inlineStr">
        <is>
          <t>PRODUCTION</t>
        </is>
      </c>
    </row>
    <row r="172">
      <c r="P172" s="73" t="inlineStr">
        <is>
          <t>26052502V</t>
        </is>
      </c>
      <c r="Q172" s="73" t="inlineStr">
        <is>
          <t>AVIT - Taronga AV Event Support 4-5.06.26</t>
        </is>
      </c>
      <c r="R172" s="73" t="inlineStr">
        <is>
          <t>VIDEO</t>
        </is>
      </c>
    </row>
    <row r="173">
      <c r="P173" s="73" t="inlineStr">
        <is>
          <t>26052602</t>
        </is>
      </c>
      <c r="Q173" s="73" t="inlineStr">
        <is>
          <t>DTTL MEL Display Supply</t>
        </is>
      </c>
      <c r="R173" s="73" t="inlineStr">
        <is>
          <t>INTEGRATION</t>
        </is>
      </c>
    </row>
    <row r="174">
      <c r="P174" s="73" t="inlineStr">
        <is>
          <t>26052701</t>
        </is>
      </c>
      <c r="Q174" s="73" t="inlineStr">
        <is>
          <t>Aware | SYD 28.06 Equipment</t>
        </is>
      </c>
      <c r="R174" s="73" t="inlineStr">
        <is>
          <t>INTEGRATION</t>
        </is>
      </c>
    </row>
    <row r="175">
      <c r="P175" s="73" t="inlineStr">
        <is>
          <t>26052702</t>
        </is>
      </c>
      <c r="Q175" s="73" t="inlineStr">
        <is>
          <t>ASX - FYR - 13.8.26</t>
        </is>
      </c>
      <c r="R175" s="73" t="inlineStr">
        <is>
          <t>PRODUCTION</t>
        </is>
      </c>
    </row>
    <row r="176">
      <c r="P176" s="73" t="inlineStr">
        <is>
          <t>26052702V</t>
        </is>
      </c>
      <c r="Q176" s="73" t="inlineStr">
        <is>
          <t>ASX - FYR - 13.8.26</t>
        </is>
      </c>
      <c r="R176" s="73" t="inlineStr">
        <is>
          <t>VIDEO</t>
        </is>
      </c>
    </row>
    <row r="177">
      <c r="P177" s="73" t="inlineStr">
        <is>
          <t>26052703</t>
        </is>
      </c>
      <c r="Q177" s="73" t="inlineStr">
        <is>
          <t>Microsoft Town Hall - 21.7.26</t>
        </is>
      </c>
      <c r="R177" s="73" t="inlineStr">
        <is>
          <t>PRODUCTION</t>
        </is>
      </c>
    </row>
    <row r="178">
      <c r="P178" s="73" t="inlineStr">
        <is>
          <t>26052703V</t>
        </is>
      </c>
      <c r="Q178" s="73" t="inlineStr">
        <is>
          <t>Microsoft Town Hall - 21.7.26</t>
        </is>
      </c>
      <c r="R178" s="73" t="inlineStr">
        <is>
          <t>VIDEO</t>
        </is>
      </c>
    </row>
    <row r="179">
      <c r="P179" s="73" t="inlineStr">
        <is>
          <t>26052704</t>
        </is>
      </c>
      <c r="Q179" s="73" t="inlineStr">
        <is>
          <t>AVIT - Pinsent Masons Technician Callout</t>
        </is>
      </c>
      <c r="R179" s="73" t="inlineStr">
        <is>
          <t>ONSITE</t>
        </is>
      </c>
    </row>
    <row r="180">
      <c r="P180" s="73" t="inlineStr">
        <is>
          <t>26052901</t>
        </is>
      </c>
      <c r="Q180" s="73" t="inlineStr">
        <is>
          <t>Causeway Productions - Stool Hire - 1.6.27</t>
        </is>
      </c>
      <c r="R180" s="73" t="inlineStr">
        <is>
          <t>PRODUCTION</t>
        </is>
      </c>
    </row>
    <row r="181">
      <c r="P181" s="73" t="inlineStr">
        <is>
          <t>26052901V</t>
        </is>
      </c>
      <c r="Q181" s="73" t="inlineStr">
        <is>
          <t>Causeway Productions - Stool Hire - 1.6.27</t>
        </is>
      </c>
      <c r="R181" s="73" t="inlineStr">
        <is>
          <t>VIDEO</t>
        </is>
      </c>
    </row>
    <row r="182">
      <c r="P182" s="73" t="inlineStr">
        <is>
          <t>2605401</t>
        </is>
      </c>
      <c r="Q182" s="73" t="inlineStr">
        <is>
          <t>AGL FYR - Investor Briefing - 12.8.26</t>
        </is>
      </c>
      <c r="R182" s="73" t="inlineStr">
        <is>
          <t>PRODUCTION</t>
        </is>
      </c>
    </row>
    <row r="183">
      <c r="P183" s="73" t="inlineStr">
        <is>
          <t>2605401V</t>
        </is>
      </c>
      <c r="Q183" s="73" t="inlineStr">
        <is>
          <t>AGL FYR - Investor Briefing - 12.8.26</t>
        </is>
      </c>
      <c r="R183" s="73" t="inlineStr">
        <is>
          <t>VIDEO</t>
        </is>
      </c>
    </row>
    <row r="184">
      <c r="P184" s="73" t="inlineStr">
        <is>
          <t>2605402</t>
        </is>
      </c>
      <c r="Q184" s="73" t="inlineStr">
        <is>
          <t>AGL FYR - Employee Town Hall - 12.8.26</t>
        </is>
      </c>
      <c r="R184" s="73" t="inlineStr">
        <is>
          <t>PRODUCTION</t>
        </is>
      </c>
    </row>
    <row r="185">
      <c r="P185" s="73" t="inlineStr">
        <is>
          <t>2605402V</t>
        </is>
      </c>
      <c r="Q185" s="73" t="inlineStr">
        <is>
          <t>AGL FYR - Employee Town Hall - 12.8.26</t>
        </is>
      </c>
      <c r="R185" s="73" t="inlineStr">
        <is>
          <t>VIDEO</t>
        </is>
      </c>
    </row>
    <row r="186">
      <c r="P186" s="73" t="inlineStr">
        <is>
          <t>2605403</t>
        </is>
      </c>
      <c r="Q186" s="73" t="inlineStr">
        <is>
          <t>ARUP - Oves Awards - 23.7.26</t>
        </is>
      </c>
      <c r="R186" s="73" t="inlineStr">
        <is>
          <t>PRODUCTION</t>
        </is>
      </c>
    </row>
    <row r="187">
      <c r="P187" s="73" t="inlineStr">
        <is>
          <t>2605403V</t>
        </is>
      </c>
      <c r="Q187" s="73" t="inlineStr">
        <is>
          <t>ARUP - Oves Awards - 23.7.26</t>
        </is>
      </c>
      <c r="R187" s="73" t="inlineStr">
        <is>
          <t>VIDEO</t>
        </is>
      </c>
    </row>
    <row r="188">
      <c r="P188" s="73" t="inlineStr">
        <is>
          <t>2605501</t>
        </is>
      </c>
      <c r="Q188" s="73" t="inlineStr">
        <is>
          <t>DTTL Tech Support AWS AP AI Symposium</t>
        </is>
      </c>
      <c r="R188" s="73" t="inlineStr">
        <is>
          <t>ONSITE</t>
        </is>
      </c>
    </row>
    <row r="189">
      <c r="P189" s="73" t="inlineStr">
        <is>
          <t>2605502</t>
        </is>
      </c>
      <c r="Q189" s="73" t="inlineStr">
        <is>
          <t>CBA BNE - Event Support - 13.5.26</t>
        </is>
      </c>
      <c r="R189" s="73" t="inlineStr">
        <is>
          <t>PRODUCTION</t>
        </is>
      </c>
    </row>
    <row r="190">
      <c r="P190" s="73" t="inlineStr">
        <is>
          <t>2605502V</t>
        </is>
      </c>
      <c r="Q190" s="73" t="inlineStr">
        <is>
          <t>CBA BNE - Event Support - 13.5.26</t>
        </is>
      </c>
      <c r="R190" s="73" t="inlineStr">
        <is>
          <t>VIDEO</t>
        </is>
      </c>
    </row>
    <row r="191">
      <c r="P191" s="73" t="inlineStr">
        <is>
          <t>2605503</t>
        </is>
      </c>
      <c r="Q191" s="73" t="inlineStr">
        <is>
          <t>DTTL L31 reception Led Wall Audio DSP Repair</t>
        </is>
      </c>
      <c r="R191" s="73" t="inlineStr">
        <is>
          <t>INTEGRATION</t>
        </is>
      </c>
    </row>
    <row r="192">
      <c r="P192" s="73" t="inlineStr">
        <is>
          <t>2605605</t>
        </is>
      </c>
      <c r="Q192" s="73" t="inlineStr">
        <is>
          <t>DTTL Hobart AV Fitout</t>
        </is>
      </c>
      <c r="R192" s="73" t="inlineStr">
        <is>
          <t>INTEGRATION</t>
        </is>
      </c>
    </row>
    <row r="193">
      <c r="P193" s="73" t="inlineStr">
        <is>
          <t>2605606</t>
        </is>
      </c>
      <c r="Q193" s="73" t="inlineStr">
        <is>
          <t>Ventia Internal Townhall 8.05.26</t>
        </is>
      </c>
      <c r="R193" s="73" t="inlineStr">
        <is>
          <t>PRODUCTION</t>
        </is>
      </c>
    </row>
    <row r="194">
      <c r="P194" s="73" t="inlineStr">
        <is>
          <t>2605606V</t>
        </is>
      </c>
      <c r="Q194" s="73" t="inlineStr">
        <is>
          <t>Ventia Internal Townhall 8.05.26</t>
        </is>
      </c>
      <c r="R194" s="73" t="inlineStr">
        <is>
          <t>VIDEO</t>
        </is>
      </c>
    </row>
    <row r="195">
      <c r="P195" s="73" t="inlineStr">
        <is>
          <t>2605609</t>
        </is>
      </c>
      <c r="Q195" s="73" t="inlineStr">
        <is>
          <t>ASX - CEO Farewell - 27.5.26</t>
        </is>
      </c>
      <c r="R195" s="73" t="inlineStr">
        <is>
          <t>PRODUCTION</t>
        </is>
      </c>
    </row>
    <row r="196">
      <c r="P196" s="73" t="inlineStr">
        <is>
          <t>2605609V</t>
        </is>
      </c>
      <c r="Q196" s="73" t="inlineStr">
        <is>
          <t>ASX - CEO Farewell - 27.5.26</t>
        </is>
      </c>
      <c r="R196" s="73" t="inlineStr">
        <is>
          <t>VIDEO</t>
        </is>
      </c>
    </row>
    <row r="197">
      <c r="P197" s="73" t="inlineStr">
        <is>
          <t>2605610</t>
        </is>
      </c>
      <c r="Q197" s="73" t="inlineStr">
        <is>
          <t>ASX CEO Farewell Additional Costs</t>
        </is>
      </c>
      <c r="R197" s="73" t="inlineStr">
        <is>
          <t>PRODUCTION</t>
        </is>
      </c>
    </row>
    <row r="198">
      <c r="P198" s="73" t="inlineStr">
        <is>
          <t>2605704</t>
        </is>
      </c>
      <c r="Q198" s="73" t="inlineStr">
        <is>
          <t>CBA CBPS Auditorium Upgrade</t>
        </is>
      </c>
      <c r="R198" s="73" t="inlineStr">
        <is>
          <t>INTEGRATION</t>
        </is>
      </c>
    </row>
    <row r="199">
      <c r="P199" s="73" t="inlineStr">
        <is>
          <t>2605801</t>
        </is>
      </c>
      <c r="Q199" s="73" t="inlineStr">
        <is>
          <t>Dimensional - AV Support - 3-4.6.26</t>
        </is>
      </c>
      <c r="R199" s="73" t="inlineStr">
        <is>
          <t>PRODUCTION</t>
        </is>
      </c>
    </row>
    <row r="200">
      <c r="P200" s="73" t="inlineStr">
        <is>
          <t>2605803</t>
        </is>
      </c>
      <c r="Q200" s="73" t="inlineStr">
        <is>
          <t>St Catherine's - Dedicated Tech - 12.6.26</t>
        </is>
      </c>
      <c r="R200" s="73" t="inlineStr">
        <is>
          <t>PRODUCTION</t>
        </is>
      </c>
    </row>
    <row r="201">
      <c r="P201" s="73" t="inlineStr">
        <is>
          <t>2605804</t>
        </is>
      </c>
      <c r="Q201" s="73" t="inlineStr">
        <is>
          <t>City of Sydney Supply of Barco Projector Shutters</t>
        </is>
      </c>
      <c r="R201" s="73" t="inlineStr">
        <is>
          <t>INTEGRATION</t>
        </is>
      </c>
    </row>
    <row r="202">
      <c r="P202" s="73" t="inlineStr">
        <is>
          <t>2605806</t>
        </is>
      </c>
      <c r="Q202" s="73" t="inlineStr">
        <is>
          <t>Aware Super AV Fitout @ 555 Collins Street MEL</t>
        </is>
      </c>
      <c r="R202" s="73" t="inlineStr">
        <is>
          <t>INTEGRATION</t>
        </is>
      </c>
    </row>
    <row r="203">
      <c r="P203" s="73" t="inlineStr">
        <is>
          <t>26061001</t>
        </is>
      </c>
      <c r="Q203" s="73" t="inlineStr">
        <is>
          <t>Garvan August All Clear Event 25.8.26</t>
        </is>
      </c>
      <c r="R203" s="73" t="inlineStr">
        <is>
          <t>PRODUCTION</t>
        </is>
      </c>
    </row>
    <row r="204">
      <c r="P204" s="73" t="inlineStr">
        <is>
          <t>26061002</t>
        </is>
      </c>
      <c r="Q204" s="73" t="inlineStr">
        <is>
          <t>Optiver - Fireside Event Support - 18.6.26</t>
        </is>
      </c>
      <c r="R204" s="73" t="inlineStr">
        <is>
          <t>PRODUCTION</t>
        </is>
      </c>
    </row>
    <row r="205">
      <c r="P205" s="73" t="inlineStr">
        <is>
          <t>26061002V</t>
        </is>
      </c>
      <c r="Q205" s="73" t="inlineStr">
        <is>
          <t>Optiver - Fireside Event Support - 18.6.26</t>
        </is>
      </c>
      <c r="R205" s="73" t="inlineStr">
        <is>
          <t>VIDEO</t>
        </is>
      </c>
    </row>
    <row r="206">
      <c r="P206" s="73" t="inlineStr">
        <is>
          <t>26061102</t>
        </is>
      </c>
      <c r="Q206" s="73" t="inlineStr">
        <is>
          <t>CSE Invest Sri Lanka | 16.8.26</t>
        </is>
      </c>
      <c r="R206" s="73" t="inlineStr">
        <is>
          <t>PRODUCTION</t>
        </is>
      </c>
    </row>
    <row r="207">
      <c r="P207" s="73" t="inlineStr">
        <is>
          <t>26061102V</t>
        </is>
      </c>
      <c r="Q207" s="73" t="inlineStr">
        <is>
          <t>CSE Invest Sri Lanka | 16.8.26</t>
        </is>
      </c>
      <c r="R207" s="73" t="inlineStr">
        <is>
          <t>VIDEO</t>
        </is>
      </c>
    </row>
    <row r="208">
      <c r="P208" s="73" t="inlineStr">
        <is>
          <t>26061103</t>
        </is>
      </c>
      <c r="Q208" s="73" t="inlineStr">
        <is>
          <t>Circadia Australia Elevate | 14.8.26</t>
        </is>
      </c>
      <c r="R208" s="73" t="inlineStr">
        <is>
          <t>PRODUCTION</t>
        </is>
      </c>
    </row>
    <row r="209">
      <c r="P209" s="73" t="inlineStr">
        <is>
          <t>26061103V</t>
        </is>
      </c>
      <c r="Q209" s="73" t="inlineStr">
        <is>
          <t>Circadia Australia Elevate | 14.8.26</t>
        </is>
      </c>
      <c r="R209" s="73" t="inlineStr">
        <is>
          <t>VIDEO</t>
        </is>
      </c>
    </row>
    <row r="210">
      <c r="P210" s="73" t="inlineStr">
        <is>
          <t>26061104</t>
        </is>
      </c>
      <c r="Q210" s="73" t="inlineStr">
        <is>
          <t>MUFG - FYR26 - 12.8.26</t>
        </is>
      </c>
      <c r="R210" s="73" t="inlineStr">
        <is>
          <t>PRODUCTION</t>
        </is>
      </c>
    </row>
    <row r="211">
      <c r="P211" s="73" t="inlineStr">
        <is>
          <t>26061104V</t>
        </is>
      </c>
      <c r="Q211" s="73" t="inlineStr">
        <is>
          <t>MUFG - FYR26 - 12.8.26</t>
        </is>
      </c>
      <c r="R211" s="73" t="inlineStr">
        <is>
          <t>VIDEO</t>
        </is>
      </c>
    </row>
    <row r="212">
      <c r="P212" s="73" t="inlineStr">
        <is>
          <t>26061105</t>
        </is>
      </c>
      <c r="Q212" s="73" t="inlineStr">
        <is>
          <t>CBA - FYR 2026 - 12.8.26</t>
        </is>
      </c>
      <c r="R212" s="73" t="inlineStr">
        <is>
          <t>PRODUCTION</t>
        </is>
      </c>
    </row>
    <row r="213">
      <c r="P213" s="73" t="inlineStr">
        <is>
          <t>26061105V</t>
        </is>
      </c>
      <c r="Q213" s="73" t="inlineStr">
        <is>
          <t>CBA - FYR 2026 - 12.8.26</t>
        </is>
      </c>
      <c r="R213" s="73" t="inlineStr">
        <is>
          <t>VIDEO</t>
        </is>
      </c>
    </row>
    <row r="214">
      <c r="P214" s="73" t="inlineStr">
        <is>
          <t>26061106</t>
        </is>
      </c>
      <c r="Q214" s="73" t="inlineStr">
        <is>
          <t>TLC Full Year Results MEL</t>
        </is>
      </c>
      <c r="R214" s="73" t="inlineStr">
        <is>
          <t>PRODUCTION</t>
        </is>
      </c>
    </row>
    <row r="215">
      <c r="P215" s="73" t="inlineStr">
        <is>
          <t>26061106V</t>
        </is>
      </c>
      <c r="Q215" s="73" t="inlineStr">
        <is>
          <t>TLC Full Year Results MEL</t>
        </is>
      </c>
      <c r="R215" s="73" t="inlineStr">
        <is>
          <t>VIDEO</t>
        </is>
      </c>
    </row>
    <row r="216">
      <c r="P216" s="73" t="inlineStr">
        <is>
          <t>26061107</t>
        </is>
      </c>
      <c r="Q216" s="73" t="inlineStr">
        <is>
          <t>Downer - FYR 2026 - 20.8.26</t>
        </is>
      </c>
      <c r="R216" s="73" t="inlineStr">
        <is>
          <t>PRODUCTION</t>
        </is>
      </c>
    </row>
    <row r="217">
      <c r="P217" s="73" t="inlineStr">
        <is>
          <t>26061107V</t>
        </is>
      </c>
      <c r="Q217" s="73" t="inlineStr">
        <is>
          <t>Downer - FYR 2026 - 20.8.26</t>
        </is>
      </c>
      <c r="R217" s="73" t="inlineStr">
        <is>
          <t>VIDEO</t>
        </is>
      </c>
    </row>
    <row r="218">
      <c r="P218" s="73" t="inlineStr">
        <is>
          <t>26061108</t>
        </is>
      </c>
      <c r="Q218" s="73" t="inlineStr">
        <is>
          <t>APA - Qtly All Hands FYR26 - 20.8.26</t>
        </is>
      </c>
      <c r="R218" s="73" t="inlineStr">
        <is>
          <t>PRODUCTION</t>
        </is>
      </c>
    </row>
    <row r="219">
      <c r="P219" s="73" t="inlineStr">
        <is>
          <t>26061108V</t>
        </is>
      </c>
      <c r="Q219" s="73" t="inlineStr">
        <is>
          <t>APA - Qtly All Hands FYR26 - 20.8.26</t>
        </is>
      </c>
      <c r="R219" s="73" t="inlineStr">
        <is>
          <t>VIDEO</t>
        </is>
      </c>
    </row>
    <row r="220">
      <c r="P220" s="73" t="inlineStr">
        <is>
          <t>26061109</t>
        </is>
      </c>
      <c r="Q220" s="73" t="inlineStr">
        <is>
          <t>Ventia - FYR26 - 24.8.26</t>
        </is>
      </c>
      <c r="R220" s="73" t="inlineStr">
        <is>
          <t>PRODUCTION</t>
        </is>
      </c>
    </row>
    <row r="221">
      <c r="P221" s="73" t="inlineStr">
        <is>
          <t>26061109V</t>
        </is>
      </c>
      <c r="Q221" s="73" t="inlineStr">
        <is>
          <t>Ventia - FYR26 - 24.8.26</t>
        </is>
      </c>
      <c r="R221" s="73" t="inlineStr">
        <is>
          <t>VIDEO</t>
        </is>
      </c>
    </row>
    <row r="222">
      <c r="P222" s="73" t="inlineStr">
        <is>
          <t>26061201</t>
        </is>
      </c>
      <c r="Q222" s="73" t="inlineStr">
        <is>
          <t>PWC - Firmwide Webcast - 30.6.26</t>
        </is>
      </c>
      <c r="R222" s="73" t="inlineStr">
        <is>
          <t>PRODUCTION</t>
        </is>
      </c>
    </row>
    <row r="223">
      <c r="P223" s="73" t="inlineStr">
        <is>
          <t>26061201V</t>
        </is>
      </c>
      <c r="Q223" s="73" t="inlineStr">
        <is>
          <t>PWC - Firmwide Webcast - 30.6.26</t>
        </is>
      </c>
      <c r="R223" s="73" t="inlineStr">
        <is>
          <t>VIDEO</t>
        </is>
      </c>
    </row>
    <row r="224">
      <c r="P224" s="73" t="inlineStr">
        <is>
          <t>26061202</t>
        </is>
      </c>
      <c r="Q224" s="73" t="inlineStr">
        <is>
          <t>CBA AGM 2027</t>
        </is>
      </c>
      <c r="R224" s="73" t="inlineStr">
        <is>
          <t>PRODUCTION</t>
        </is>
      </c>
    </row>
    <row r="225">
      <c r="P225" s="73" t="inlineStr">
        <is>
          <t>26061202V</t>
        </is>
      </c>
      <c r="Q225" s="73" t="inlineStr">
        <is>
          <t>CBA AGM 2027</t>
        </is>
      </c>
      <c r="R225" s="73" t="inlineStr">
        <is>
          <t>VIDEO</t>
        </is>
      </c>
    </row>
    <row r="226">
      <c r="P226" s="73" t="inlineStr">
        <is>
          <t>26061501</t>
        </is>
      </c>
      <c r="Q226" s="73" t="inlineStr">
        <is>
          <t>DTTL MEL Lv29 Display Supply</t>
        </is>
      </c>
      <c r="R226" s="73" t="inlineStr">
        <is>
          <t>INTEGRATION</t>
        </is>
      </c>
    </row>
    <row r="227">
      <c r="P227" s="73" t="inlineStr">
        <is>
          <t>26061602</t>
        </is>
      </c>
      <c r="Q227" s="73" t="inlineStr">
        <is>
          <t>ASX - CEO Connect (Extended) - 1.9.26</t>
        </is>
      </c>
      <c r="R227" s="73" t="inlineStr">
        <is>
          <t>PRODUCTION</t>
        </is>
      </c>
    </row>
    <row r="228">
      <c r="P228" s="73" t="inlineStr">
        <is>
          <t>26061602V</t>
        </is>
      </c>
      <c r="Q228" s="73" t="inlineStr">
        <is>
          <t>ASX - CEO Connect (Extended) - 1.9.26</t>
        </is>
      </c>
      <c r="R228" s="73" t="inlineStr">
        <is>
          <t>VIDEO</t>
        </is>
      </c>
    </row>
    <row r="229">
      <c r="P229" s="73" t="inlineStr">
        <is>
          <t>26061605</t>
        </is>
      </c>
      <c r="Q229" s="73" t="inlineStr">
        <is>
          <t>MUFG - IBM Ltd AGM - 27.10.26</t>
        </is>
      </c>
      <c r="R229" s="73" t="inlineStr">
        <is>
          <t>PRODUCTION</t>
        </is>
      </c>
    </row>
    <row r="230">
      <c r="P230" s="73" t="inlineStr">
        <is>
          <t>26061605V</t>
        </is>
      </c>
      <c r="Q230" s="73" t="inlineStr">
        <is>
          <t>MUFG - IBM Ltd AGM - 27.10.26</t>
        </is>
      </c>
      <c r="R230" s="73" t="inlineStr">
        <is>
          <t>VIDEO</t>
        </is>
      </c>
    </row>
    <row r="231">
      <c r="P231" s="73" t="inlineStr">
        <is>
          <t>26061606</t>
        </is>
      </c>
      <c r="Q231" s="73" t="inlineStr">
        <is>
          <t>MUFG - Endeavour AGM - 30.10.26</t>
        </is>
      </c>
      <c r="R231" s="73" t="inlineStr">
        <is>
          <t>PRODUCTION</t>
        </is>
      </c>
    </row>
    <row r="232">
      <c r="P232" s="73" t="inlineStr">
        <is>
          <t>26061606V</t>
        </is>
      </c>
      <c r="Q232" s="73" t="inlineStr">
        <is>
          <t>MUFG - Endeavour AGM - 30.10.26</t>
        </is>
      </c>
      <c r="R232" s="73" t="inlineStr">
        <is>
          <t>VIDEO</t>
        </is>
      </c>
    </row>
    <row r="233">
      <c r="P233" s="73" t="inlineStr">
        <is>
          <t>26061607</t>
        </is>
      </c>
      <c r="Q233" s="73" t="inlineStr">
        <is>
          <t>APA - Qtly All Hands (BNE) - 4.11.26</t>
        </is>
      </c>
      <c r="R233" s="73" t="inlineStr">
        <is>
          <t>PRODUCTION</t>
        </is>
      </c>
    </row>
    <row r="234">
      <c r="P234" s="73" t="inlineStr">
        <is>
          <t>26061607V</t>
        </is>
      </c>
      <c r="Q234" s="73" t="inlineStr">
        <is>
          <t>APA - Qtly All Hands (BNE) - 4.11.26</t>
        </is>
      </c>
      <c r="R234" s="73" t="inlineStr">
        <is>
          <t>VIDEO</t>
        </is>
      </c>
    </row>
    <row r="235">
      <c r="P235" s="73" t="inlineStr">
        <is>
          <t>26061608</t>
        </is>
      </c>
      <c r="Q235" s="73" t="inlineStr">
        <is>
          <t>APA - Qtly All Hands Sydney - Feb 27</t>
        </is>
      </c>
      <c r="R235" s="73" t="inlineStr">
        <is>
          <t>PRODUCTION</t>
        </is>
      </c>
    </row>
    <row r="236">
      <c r="P236" s="73" t="inlineStr">
        <is>
          <t>26061608V</t>
        </is>
      </c>
      <c r="Q236" s="73" t="inlineStr">
        <is>
          <t>APA - Qtly All Hands Sydney - Feb 27</t>
        </is>
      </c>
      <c r="R236" s="73" t="inlineStr">
        <is>
          <t>VIDEO</t>
        </is>
      </c>
    </row>
    <row r="237">
      <c r="P237" s="73" t="inlineStr">
        <is>
          <t>26061609</t>
        </is>
      </c>
      <c r="Q237" s="73" t="inlineStr">
        <is>
          <t>APA Qtly All Hands Perth - May 2027</t>
        </is>
      </c>
      <c r="R237" s="73" t="inlineStr">
        <is>
          <t>PRODUCTION</t>
        </is>
      </c>
    </row>
    <row r="238">
      <c r="P238" s="73" t="inlineStr">
        <is>
          <t>26061609V</t>
        </is>
      </c>
      <c r="Q238" s="73" t="inlineStr">
        <is>
          <t>APA Qtly All Hands Perth - May 2027</t>
        </is>
      </c>
      <c r="R238" s="73" t="inlineStr">
        <is>
          <t>VIDEO</t>
        </is>
      </c>
    </row>
    <row r="239">
      <c r="P239" s="73" t="inlineStr">
        <is>
          <t>26061611</t>
        </is>
      </c>
      <c r="Q239" s="73" t="inlineStr">
        <is>
          <t>QBE - Keynote Event - 27.10.26</t>
        </is>
      </c>
      <c r="R239" s="73" t="inlineStr">
        <is>
          <t>PRODUCTION</t>
        </is>
      </c>
    </row>
    <row r="240">
      <c r="P240" s="73" t="inlineStr">
        <is>
          <t>26061611V</t>
        </is>
      </c>
      <c r="Q240" s="73" t="inlineStr">
        <is>
          <t>QBE - Keynote Event - 27.10.26</t>
        </is>
      </c>
      <c r="R240" s="73" t="inlineStr">
        <is>
          <t>VIDEO</t>
        </is>
      </c>
    </row>
    <row r="241">
      <c r="P241" s="73" t="inlineStr">
        <is>
          <t>26061612</t>
        </is>
      </c>
      <c r="Q241" s="73" t="inlineStr">
        <is>
          <t>Chorus Call - Redox AGM - 7.10.26</t>
        </is>
      </c>
      <c r="R241" s="73" t="inlineStr">
        <is>
          <t>PRODUCTION</t>
        </is>
      </c>
    </row>
    <row r="242">
      <c r="P242" s="73" t="inlineStr">
        <is>
          <t>26061612V</t>
        </is>
      </c>
      <c r="Q242" s="73" t="inlineStr">
        <is>
          <t>Chorus Call - Redox AGM - 7.10.26</t>
        </is>
      </c>
      <c r="R242" s="73" t="inlineStr">
        <is>
          <t>VIDEO</t>
        </is>
      </c>
    </row>
    <row r="243">
      <c r="P243" s="73" t="inlineStr">
        <is>
          <t>26061701</t>
        </is>
      </c>
      <c r="Q243" s="73" t="inlineStr">
        <is>
          <t>CBA - LES - July 2026</t>
        </is>
      </c>
      <c r="R243" s="73" t="inlineStr">
        <is>
          <t>PRODUCTION</t>
        </is>
      </c>
    </row>
    <row r="244">
      <c r="P244" s="73" t="inlineStr">
        <is>
          <t>26061702</t>
        </is>
      </c>
      <c r="Q244" s="73" t="inlineStr">
        <is>
          <t>Garvan - Morning Tea Event - 31.7.26</t>
        </is>
      </c>
      <c r="R244" s="73" t="inlineStr">
        <is>
          <t>PRODUCTION</t>
        </is>
      </c>
    </row>
    <row r="245">
      <c r="P245" s="73" t="inlineStr">
        <is>
          <t>26061801</t>
        </is>
      </c>
      <c r="Q245" s="73" t="inlineStr">
        <is>
          <t>APA - Investor Briefing FYR26 - 20.8.26</t>
        </is>
      </c>
      <c r="R245" s="73" t="inlineStr">
        <is>
          <t>PRODUCTION</t>
        </is>
      </c>
    </row>
    <row r="246">
      <c r="P246" s="73" t="inlineStr">
        <is>
          <t>26061801V</t>
        </is>
      </c>
      <c r="Q246" s="73" t="inlineStr">
        <is>
          <t>APA - Investor Briefing FYR26 - 20.8.26</t>
        </is>
      </c>
      <c r="R246" s="73" t="inlineStr">
        <is>
          <t>VIDEO</t>
        </is>
      </c>
    </row>
    <row r="247">
      <c r="P247" s="73" t="inlineStr">
        <is>
          <t>26062201</t>
        </is>
      </c>
      <c r="Q247" s="73" t="inlineStr">
        <is>
          <t>PWC - Tax &amp; Legal Webcast 02.07.26</t>
        </is>
      </c>
      <c r="R247" s="73" t="inlineStr">
        <is>
          <t>PRODUCTION</t>
        </is>
      </c>
    </row>
    <row r="248">
      <c r="P248" s="73" t="inlineStr">
        <is>
          <t>26062201V</t>
        </is>
      </c>
      <c r="Q248" s="73" t="inlineStr">
        <is>
          <t>PWC - Tax &amp; Legal Webcast 02.07.26</t>
        </is>
      </c>
      <c r="R248" s="73" t="inlineStr">
        <is>
          <t>VIDEO</t>
        </is>
      </c>
    </row>
    <row r="249">
      <c r="P249" s="73" t="inlineStr">
        <is>
          <t>26062202</t>
        </is>
      </c>
      <c r="Q249" s="73" t="inlineStr">
        <is>
          <t>PWC - Early Careers Webcast - 29.7.26</t>
        </is>
      </c>
      <c r="R249" s="73" t="inlineStr">
        <is>
          <t>PRODUCTION</t>
        </is>
      </c>
    </row>
    <row r="250">
      <c r="P250" s="73" t="inlineStr">
        <is>
          <t>26062202V</t>
        </is>
      </c>
      <c r="Q250" s="73" t="inlineStr">
        <is>
          <t>PWC - Early Careers Webcast - 29.7.26</t>
        </is>
      </c>
      <c r="R250" s="73" t="inlineStr">
        <is>
          <t>VIDEO</t>
        </is>
      </c>
    </row>
    <row r="251">
      <c r="P251" s="73" t="inlineStr">
        <is>
          <t>26062403</t>
        </is>
      </c>
      <c r="Q251" s="73" t="inlineStr">
        <is>
          <t>CBA - CommBank Private Hosting 25.6.26</t>
        </is>
      </c>
      <c r="R251" s="73" t="inlineStr">
        <is>
          <t>PRODUCTION</t>
        </is>
      </c>
    </row>
    <row r="252">
      <c r="P252" s="73" t="inlineStr">
        <is>
          <t>26062403V</t>
        </is>
      </c>
      <c r="Q252" s="73" t="inlineStr">
        <is>
          <t>CBA - CommBank Private Hosting 25.6.26</t>
        </is>
      </c>
      <c r="R252" s="73" t="inlineStr">
        <is>
          <t>VIDEO</t>
        </is>
      </c>
    </row>
    <row r="253">
      <c r="P253" s="73" t="inlineStr">
        <is>
          <t>26062501</t>
        </is>
      </c>
      <c r="Q253" s="73" t="inlineStr">
        <is>
          <t>DTTL STL Travel (SYD-MEL Return)</t>
        </is>
      </c>
      <c r="R253" s="73" t="inlineStr">
        <is>
          <t>ONSITE</t>
        </is>
      </c>
    </row>
    <row r="254">
      <c r="P254" s="73" t="inlineStr">
        <is>
          <t>26062503</t>
        </is>
      </c>
      <c r="Q254" s="73" t="inlineStr">
        <is>
          <t>Aware Super 24.16 UC Engine Replacement</t>
        </is>
      </c>
      <c r="R254" s="73" t="inlineStr">
        <is>
          <t>INTEGRATION</t>
        </is>
      </c>
    </row>
    <row r="255">
      <c r="P255" s="73" t="inlineStr">
        <is>
          <t>26062601</t>
        </is>
      </c>
      <c r="Q255" s="73" t="inlineStr">
        <is>
          <t>Ventia - XELT Event - 29.6.26</t>
        </is>
      </c>
      <c r="R255" s="73" t="inlineStr">
        <is>
          <t>PRODUCTION</t>
        </is>
      </c>
    </row>
    <row r="256">
      <c r="P256" s="73" t="inlineStr">
        <is>
          <t>26062601V</t>
        </is>
      </c>
      <c r="Q256" s="73" t="inlineStr">
        <is>
          <t>Ventia - XELT Event - 29.6.26</t>
        </is>
      </c>
      <c r="R256" s="73" t="inlineStr">
        <is>
          <t>VIDEO</t>
        </is>
      </c>
    </row>
    <row r="257">
      <c r="P257" s="73" t="inlineStr">
        <is>
          <t>26062901</t>
        </is>
      </c>
      <c r="Q257" s="73" t="inlineStr">
        <is>
          <t>Aware | SYD 28.06 Services</t>
        </is>
      </c>
      <c r="R257" s="73" t="inlineStr">
        <is>
          <t>INTEGRATION</t>
        </is>
      </c>
    </row>
    <row r="258">
      <c r="P258" s="73" t="inlineStr">
        <is>
          <t>26062902</t>
        </is>
      </c>
      <c r="Q258" s="73" t="inlineStr">
        <is>
          <t>Aware | SYD Occupancy Sensors</t>
        </is>
      </c>
      <c r="R258" s="73" t="inlineStr">
        <is>
          <t>INTEGRATION</t>
        </is>
      </c>
    </row>
    <row r="259">
      <c r="P259" s="73" t="inlineStr">
        <is>
          <t>26063002</t>
        </is>
      </c>
      <c r="Q259" s="73" t="inlineStr">
        <is>
          <t>CEOi - CEO Connect - 11.8.26</t>
        </is>
      </c>
      <c r="R259" s="73" t="inlineStr">
        <is>
          <t>PRODUCTION</t>
        </is>
      </c>
    </row>
    <row r="260">
      <c r="P260" s="73" t="inlineStr">
        <is>
          <t>26063002V</t>
        </is>
      </c>
      <c r="Q260" s="73" t="inlineStr">
        <is>
          <t>CEOi - CEO Connect - 11.8.26</t>
        </is>
      </c>
      <c r="R260" s="73" t="inlineStr">
        <is>
          <t>VIDEO</t>
        </is>
      </c>
    </row>
    <row r="261">
      <c r="P261" s="73" t="inlineStr">
        <is>
          <t>2606401V</t>
        </is>
      </c>
      <c r="Q261" s="73" t="inlineStr">
        <is>
          <t>PWC - NRW Webcast - 11.6.26</t>
        </is>
      </c>
      <c r="R261" s="73" t="inlineStr">
        <is>
          <t>VIDEO</t>
        </is>
      </c>
    </row>
    <row r="262">
      <c r="P262" s="73" t="inlineStr">
        <is>
          <t>2606901</t>
        </is>
      </c>
      <c r="Q262" s="73" t="inlineStr">
        <is>
          <t>PwC | Syd Studio Equipment</t>
        </is>
      </c>
      <c r="R262" s="73" t="inlineStr">
        <is>
          <t>INTEGRATION</t>
        </is>
      </c>
    </row>
    <row r="263">
      <c r="P263" s="73" t="inlineStr">
        <is>
          <t>2606902</t>
        </is>
      </c>
      <c r="Q263" s="73" t="inlineStr">
        <is>
          <t>AVIT - Taronga AV Support - 9-11.6.26</t>
        </is>
      </c>
      <c r="R263" s="73" t="inlineStr">
        <is>
          <t>PRODUCTION</t>
        </is>
      </c>
    </row>
    <row r="264">
      <c r="P264" s="73" t="inlineStr">
        <is>
          <t>2606903</t>
        </is>
      </c>
      <c r="Q264" s="73" t="inlineStr">
        <is>
          <t>Virgin FY26 Results</t>
        </is>
      </c>
      <c r="R264" s="73" t="inlineStr">
        <is>
          <t>PRODUCTION</t>
        </is>
      </c>
    </row>
    <row r="265">
      <c r="P265" s="73" t="inlineStr">
        <is>
          <t>2606903V</t>
        </is>
      </c>
      <c r="Q265" s="73" t="inlineStr">
        <is>
          <t>Virgin FY26 Results</t>
        </is>
      </c>
      <c r="R265" s="73" t="inlineStr">
        <is>
          <t>VIDEO</t>
        </is>
      </c>
    </row>
    <row r="266">
      <c r="P266" s="73" t="inlineStr">
        <is>
          <t>2606904</t>
        </is>
      </c>
      <c r="Q266" s="73" t="inlineStr">
        <is>
          <t>Symal - FYR26 (Melb) - 24.8.26</t>
        </is>
      </c>
      <c r="R266" s="73" t="inlineStr">
        <is>
          <t>PRODUCTION</t>
        </is>
      </c>
    </row>
    <row r="267">
      <c r="P267" s="73" t="inlineStr">
        <is>
          <t>2606904V</t>
        </is>
      </c>
      <c r="Q267" s="73" t="inlineStr">
        <is>
          <t>Symal - FYR26 (Melb) - 24.8.26</t>
        </is>
      </c>
      <c r="R267" s="73" t="inlineStr">
        <is>
          <t>VIDEO</t>
        </is>
      </c>
    </row>
    <row r="268">
      <c r="P268" s="73" t="inlineStr">
        <is>
          <t>2606905</t>
        </is>
      </c>
      <c r="Q268" s="73" t="inlineStr">
        <is>
          <t>Dimensional - Audio Tech Support - 22.6.26</t>
        </is>
      </c>
      <c r="R268" s="73" t="inlineStr">
        <is>
          <t>PRODUCTION</t>
        </is>
      </c>
    </row>
    <row r="269">
      <c r="P269" s="73" t="inlineStr">
        <is>
          <t>2606906</t>
        </is>
      </c>
      <c r="Q269" s="73" t="inlineStr">
        <is>
          <t>St Catherines Case Study Video Non-Chrgable</t>
        </is>
      </c>
      <c r="R269" s="73" t="inlineStr">
        <is>
          <t>VIDEO</t>
        </is>
      </c>
    </row>
    <row r="270">
      <c r="P270" s="73" t="inlineStr">
        <is>
          <t>26071303</t>
        </is>
      </c>
      <c r="Q270" s="73" t="inlineStr">
        <is>
          <t>Ventia - Melbourne Office Event - 30.7.26</t>
        </is>
      </c>
      <c r="R270" s="73" t="inlineStr">
        <is>
          <t>PRODUCTION</t>
        </is>
      </c>
    </row>
    <row r="271">
      <c r="P271" s="73" t="inlineStr">
        <is>
          <t>26071304</t>
        </is>
      </c>
      <c r="Q271" s="73" t="inlineStr">
        <is>
          <t>YSG | Orange Room Upgrade</t>
        </is>
      </c>
      <c r="R271" s="73" t="inlineStr">
        <is>
          <t>INTEGRATION</t>
        </is>
      </c>
    </row>
    <row r="272">
      <c r="P272" s="73" t="inlineStr">
        <is>
          <t>26071403</t>
        </is>
      </c>
      <c r="Q272" s="73" t="inlineStr">
        <is>
          <t>Elkiem - Studio Support - 4.11.26</t>
        </is>
      </c>
      <c r="R272" s="73" t="inlineStr">
        <is>
          <t>PRODUCTION</t>
        </is>
      </c>
    </row>
    <row r="273">
      <c r="P273" s="73" t="inlineStr">
        <is>
          <t>26071404</t>
        </is>
      </c>
      <c r="Q273" s="73" t="inlineStr">
        <is>
          <t>Elkiem - Studio Support - 9.12.26</t>
        </is>
      </c>
      <c r="R273" s="73" t="inlineStr">
        <is>
          <t>PRODUCTION</t>
        </is>
      </c>
    </row>
    <row r="274">
      <c r="P274" s="73" t="inlineStr">
        <is>
          <t>26071405</t>
        </is>
      </c>
      <c r="Q274" s="73" t="inlineStr">
        <is>
          <t>PWC - Event Technician - 29.7.26</t>
        </is>
      </c>
      <c r="R274" s="73" t="inlineStr">
        <is>
          <t>PRODUCTION</t>
        </is>
      </c>
    </row>
    <row r="275">
      <c r="P275" s="73" t="inlineStr">
        <is>
          <t>26071501</t>
        </is>
      </c>
      <c r="Q275" s="73" t="inlineStr">
        <is>
          <t>Ventia - Half Year Results Briefing - 24.8.26</t>
        </is>
      </c>
      <c r="R275" s="73" t="inlineStr">
        <is>
          <t>PRODUCTION</t>
        </is>
      </c>
    </row>
    <row r="276">
      <c r="P276" s="73" t="inlineStr">
        <is>
          <t>26071501V</t>
        </is>
      </c>
      <c r="Q276" s="73" t="inlineStr">
        <is>
          <t>Ventia - Half Year Results Briefing - 24.8.26</t>
        </is>
      </c>
      <c r="R276" s="73" t="inlineStr">
        <is>
          <t>VIDEO</t>
        </is>
      </c>
    </row>
    <row r="277">
      <c r="P277" s="73" t="inlineStr">
        <is>
          <t>26071601</t>
        </is>
      </c>
      <c r="Q277" s="73" t="inlineStr">
        <is>
          <t>Aware | PER | Barry Marshall and Albany Rooms BYOD USB-C Replcmnt</t>
        </is>
      </c>
      <c r="R277" s="73" t="inlineStr">
        <is>
          <t>INTEGRATION</t>
        </is>
      </c>
    </row>
    <row r="278">
      <c r="P278" s="73" t="inlineStr">
        <is>
          <t>26071701</t>
        </is>
      </c>
      <c r="Q278" s="73" t="inlineStr">
        <is>
          <t>ASX Live - 9.9.26</t>
        </is>
      </c>
      <c r="R278" s="73" t="inlineStr">
        <is>
          <t>PRODUCTION</t>
        </is>
      </c>
    </row>
    <row r="279">
      <c r="P279" s="73" t="inlineStr">
        <is>
          <t>26071701V</t>
        </is>
      </c>
      <c r="Q279" s="73" t="inlineStr">
        <is>
          <t>ASX Live - 9.9.26</t>
        </is>
      </c>
      <c r="R279" s="73" t="inlineStr">
        <is>
          <t>VIDEO</t>
        </is>
      </c>
    </row>
    <row r="280">
      <c r="P280" s="73" t="inlineStr">
        <is>
          <t>26071901</t>
        </is>
      </c>
      <c r="Q280" s="73" t="inlineStr">
        <is>
          <t>Elkiem - Studio Support - 11.8.26</t>
        </is>
      </c>
      <c r="R280" s="73" t="inlineStr">
        <is>
          <t>PRODUCTION</t>
        </is>
      </c>
    </row>
    <row r="281">
      <c r="P281" s="73" t="inlineStr">
        <is>
          <t>26072003</t>
        </is>
      </c>
      <c r="Q281" s="73" t="inlineStr">
        <is>
          <t>CBA Live Event Support August 2026</t>
        </is>
      </c>
      <c r="R281" s="73" t="inlineStr">
        <is>
          <t>PRODUCTION</t>
        </is>
      </c>
    </row>
    <row r="282">
      <c r="P282" s="73" t="inlineStr">
        <is>
          <t>26072101</t>
        </is>
      </c>
      <c r="Q282" s="73" t="inlineStr">
        <is>
          <t>Aware MEL 17.02 Amp Replacement</t>
        </is>
      </c>
      <c r="R282" s="73" t="inlineStr">
        <is>
          <t>INTEGRATION</t>
        </is>
      </c>
    </row>
    <row r="283">
      <c r="P283" s="73" t="inlineStr">
        <is>
          <t>26072101</t>
        </is>
      </c>
      <c r="Q283" s="73" t="inlineStr">
        <is>
          <t>Aware_Mel 17.02 Amp Replacement</t>
        </is>
      </c>
      <c r="R283" s="73" t="inlineStr">
        <is>
          <t>INTEGRATION</t>
        </is>
      </c>
    </row>
    <row r="284">
      <c r="P284" s="73" t="inlineStr">
        <is>
          <t>26072102</t>
        </is>
      </c>
      <c r="Q284" s="73" t="inlineStr">
        <is>
          <t>Ventia - RUOK? Day - 10.09.2026</t>
        </is>
      </c>
      <c r="R284" s="73" t="inlineStr">
        <is>
          <t>PRODUCTION</t>
        </is>
      </c>
    </row>
    <row r="285">
      <c r="P285" s="73" t="inlineStr">
        <is>
          <t>26072102V</t>
        </is>
      </c>
      <c r="Q285" s="73" t="inlineStr">
        <is>
          <t>Ventia - RUOK? Day - 10.09.2026</t>
        </is>
      </c>
      <c r="R285" s="73" t="inlineStr">
        <is>
          <t>VIDEO</t>
        </is>
      </c>
    </row>
    <row r="286">
      <c r="P286" s="73" t="inlineStr">
        <is>
          <t>26072802</t>
        </is>
      </c>
      <c r="Q286" s="73" t="inlineStr">
        <is>
          <t>ON24 KWM Sydney Event - 18.08.2026</t>
        </is>
      </c>
      <c r="R286" s="73" t="inlineStr">
        <is>
          <t>PRODUCTION</t>
        </is>
      </c>
    </row>
    <row r="287">
      <c r="P287" s="73" t="inlineStr">
        <is>
          <t>26072802V</t>
        </is>
      </c>
      <c r="Q287" s="73" t="inlineStr">
        <is>
          <t>ON24 KWM Sydney Event - 18.08.2026</t>
        </is>
      </c>
      <c r="R287" s="73" t="inlineStr">
        <is>
          <t>VIDEO</t>
        </is>
      </c>
    </row>
    <row r="288">
      <c r="P288" s="73" t="inlineStr">
        <is>
          <t>26072902</t>
        </is>
      </c>
      <c r="Q288" s="73" t="inlineStr">
        <is>
          <t>PWC AI Townhall 6.8.26</t>
        </is>
      </c>
      <c r="R288" s="73" t="inlineStr">
        <is>
          <t>PRODUCTION</t>
        </is>
      </c>
    </row>
    <row r="289">
      <c r="P289" s="73" t="inlineStr">
        <is>
          <t>26072902V</t>
        </is>
      </c>
      <c r="Q289" s="73" t="inlineStr">
        <is>
          <t>PWC AI Townhall 6.8.26</t>
        </is>
      </c>
      <c r="R289" s="73" t="inlineStr">
        <is>
          <t>VIDEO</t>
        </is>
      </c>
    </row>
    <row r="290">
      <c r="P290" s="73" t="inlineStr">
        <is>
          <t>26072903</t>
        </is>
      </c>
      <c r="Q290" s="73" t="inlineStr">
        <is>
          <t>PWC - GB Webcast - 11.8.26</t>
        </is>
      </c>
      <c r="R290" s="73" t="inlineStr">
        <is>
          <t>PRODUCTION</t>
        </is>
      </c>
    </row>
    <row r="291">
      <c r="P291" s="73" t="inlineStr">
        <is>
          <t>26072903V</t>
        </is>
      </c>
      <c r="Q291" s="73" t="inlineStr">
        <is>
          <t>PWC - GB Webcast - 11.8.26</t>
        </is>
      </c>
      <c r="R291" s="73" t="inlineStr">
        <is>
          <t>VIDEO</t>
        </is>
      </c>
    </row>
    <row r="292">
      <c r="P292" s="73" t="inlineStr">
        <is>
          <t>26072906</t>
        </is>
      </c>
      <c r="Q292" s="73" t="inlineStr">
        <is>
          <t>ASX Advisory Group on Corporate Governance</t>
        </is>
      </c>
      <c r="R292" s="73" t="inlineStr">
        <is>
          <t>PRODUCTION</t>
        </is>
      </c>
    </row>
    <row r="293">
      <c r="P293" s="73" t="inlineStr">
        <is>
          <t>26072906V</t>
        </is>
      </c>
      <c r="Q293" s="73" t="inlineStr">
        <is>
          <t>ASX Advisory Group on Corporate Governance</t>
        </is>
      </c>
      <c r="R293" s="73" t="inlineStr">
        <is>
          <t>VIDEO</t>
        </is>
      </c>
    </row>
    <row r="294">
      <c r="P294" s="73" t="inlineStr">
        <is>
          <t>26073103</t>
        </is>
      </c>
      <c r="Q294" s="73" t="inlineStr">
        <is>
          <t>DTTL PER AV &amp; Hospitality Tech (SEP26-FEB27)</t>
        </is>
      </c>
      <c r="R294" s="73" t="inlineStr">
        <is>
          <t>ONSITE</t>
        </is>
      </c>
    </row>
    <row r="295">
      <c r="P295" s="73" t="inlineStr">
        <is>
          <t>26073103N</t>
        </is>
      </c>
      <c r="Q295" s="73" t="inlineStr">
        <is>
          <t>DTTL PER AV &amp; Hospitality Tech (SEP26-FEB27) [ONS] non-chargeable</t>
        </is>
      </c>
      <c r="R295" s="73" t="inlineStr"/>
    </row>
    <row r="296">
      <c r="P296" s="73" t="inlineStr">
        <is>
          <t>26073105</t>
        </is>
      </c>
      <c r="Q296" s="73" t="inlineStr">
        <is>
          <t>Elkiem - Studio Support - 25.8.26</t>
        </is>
      </c>
      <c r="R296" s="73" t="inlineStr">
        <is>
          <t>PRODUCTION</t>
        </is>
      </c>
    </row>
    <row r="297">
      <c r="P297" s="73" t="inlineStr">
        <is>
          <t>26073106</t>
        </is>
      </c>
      <c r="Q297" s="73" t="inlineStr">
        <is>
          <t>Elkiem - Studio Support - 18.9.26</t>
        </is>
      </c>
      <c r="R297" s="73" t="inlineStr">
        <is>
          <t>PRODUCTION</t>
        </is>
      </c>
    </row>
    <row r="298">
      <c r="P298" s="73" t="inlineStr">
        <is>
          <t>26073107</t>
        </is>
      </c>
      <c r="Q298" s="73" t="inlineStr">
        <is>
          <t>DTTL Travel for Technician &amp; Coverage ADL-HOB</t>
        </is>
      </c>
      <c r="R298" s="73" t="inlineStr">
        <is>
          <t>ONSITE</t>
        </is>
      </c>
    </row>
    <row r="299">
      <c r="P299" s="73" t="inlineStr">
        <is>
          <t>26073110</t>
        </is>
      </c>
      <c r="Q299" s="73" t="inlineStr">
        <is>
          <t>Garvan - Weizmann Dinner Event - 20.8.26</t>
        </is>
      </c>
      <c r="R299" s="73" t="inlineStr">
        <is>
          <t>PRODUCTION</t>
        </is>
      </c>
    </row>
    <row r="300">
      <c r="P300" s="73" t="inlineStr">
        <is>
          <t>26073110V</t>
        </is>
      </c>
      <c r="Q300" s="73" t="inlineStr">
        <is>
          <t>Garvan - Weizmann Dinner Event - 20.8.26</t>
        </is>
      </c>
      <c r="R300" s="73" t="inlineStr">
        <is>
          <t>VIDEO</t>
        </is>
      </c>
    </row>
    <row r="301">
      <c r="P301" s="73" t="inlineStr">
        <is>
          <t>26073111</t>
        </is>
      </c>
      <c r="Q301" s="73" t="inlineStr">
        <is>
          <t>Downer - FYR &amp; Employee Webcast - 25.8.26</t>
        </is>
      </c>
      <c r="R301" s="73" t="inlineStr">
        <is>
          <t>PRODUCTION</t>
        </is>
      </c>
    </row>
    <row r="302">
      <c r="P302" s="73" t="inlineStr">
        <is>
          <t>26073111V</t>
        </is>
      </c>
      <c r="Q302" s="73" t="inlineStr">
        <is>
          <t>Downer - FYR &amp; Employee Webcast - 25.8.26</t>
        </is>
      </c>
      <c r="R302" s="73" t="inlineStr">
        <is>
          <t>VIDEO</t>
        </is>
      </c>
    </row>
    <row r="303">
      <c r="P303" s="73" t="inlineStr">
        <is>
          <t>2607703</t>
        </is>
      </c>
      <c r="Q303" s="73" t="inlineStr">
        <is>
          <t>Garvan - YPO Event - 6.8.2026</t>
        </is>
      </c>
      <c r="R303" s="73" t="inlineStr">
        <is>
          <t>PRODUCTION</t>
        </is>
      </c>
    </row>
    <row r="304">
      <c r="P304" s="73" t="inlineStr">
        <is>
          <t>2607703V</t>
        </is>
      </c>
      <c r="Q304" s="73" t="inlineStr">
        <is>
          <t>Garvan - YPO Event - 6.8.2026</t>
        </is>
      </c>
      <c r="R304" s="73" t="inlineStr">
        <is>
          <t>VIDEO</t>
        </is>
      </c>
    </row>
    <row r="305">
      <c r="P305" s="73" t="inlineStr">
        <is>
          <t>2608101</t>
        </is>
      </c>
      <c r="Q305" s="73" t="inlineStr">
        <is>
          <t>ART - AMM Captioning - 25.11.26</t>
        </is>
      </c>
      <c r="R305" s="73" t="inlineStr">
        <is>
          <t>PRODUCTION</t>
        </is>
      </c>
    </row>
    <row r="306">
      <c r="P306" s="73" t="inlineStr">
        <is>
          <t>2608101V</t>
        </is>
      </c>
      <c r="Q306" s="73" t="inlineStr">
        <is>
          <t>ART - AMM Captioning - 25.11.26</t>
        </is>
      </c>
      <c r="R306" s="73" t="inlineStr">
        <is>
          <t>VIDEO</t>
        </is>
      </c>
    </row>
    <row r="307">
      <c r="P307" s="73" t="inlineStr">
        <is>
          <t>2608102</t>
        </is>
      </c>
      <c r="Q307" s="73" t="inlineStr">
        <is>
          <t>ART - Education Session Captioning - 25.11.26</t>
        </is>
      </c>
      <c r="R307" s="73" t="inlineStr">
        <is>
          <t>PRODUCTION</t>
        </is>
      </c>
    </row>
    <row r="308">
      <c r="P308" s="73" t="inlineStr">
        <is>
          <t>26081101</t>
        </is>
      </c>
      <c r="Q308" s="73" t="inlineStr">
        <is>
          <t>Vega Global - Payments Forum - 17.9.26</t>
        </is>
      </c>
      <c r="R308" s="73" t="inlineStr">
        <is>
          <t>PRODUCTION</t>
        </is>
      </c>
    </row>
    <row r="309">
      <c r="P309" s="73" t="inlineStr">
        <is>
          <t>26081302</t>
        </is>
      </c>
      <c r="Q309" s="73" t="inlineStr">
        <is>
          <t>Ubank - Volunteer Day - 11.11.26</t>
        </is>
      </c>
      <c r="R309" s="73" t="inlineStr">
        <is>
          <t>PRODUCTION</t>
        </is>
      </c>
    </row>
    <row r="310">
      <c r="P310" s="73" t="inlineStr">
        <is>
          <t>26081302V</t>
        </is>
      </c>
      <c r="Q310" s="73" t="inlineStr">
        <is>
          <t>Ubank - Volunteer Day - 11.11.26</t>
        </is>
      </c>
      <c r="R310" s="73" t="inlineStr">
        <is>
          <t>VIDEO</t>
        </is>
      </c>
    </row>
    <row r="311">
      <c r="P311" s="73" t="inlineStr">
        <is>
          <t>26081402</t>
        </is>
      </c>
      <c r="Q311" s="73" t="inlineStr">
        <is>
          <t>Dimensional - AV Support - 19.8.26</t>
        </is>
      </c>
      <c r="R311" s="73" t="inlineStr">
        <is>
          <t>PRODUCTION</t>
        </is>
      </c>
    </row>
    <row r="312">
      <c r="P312" s="73" t="inlineStr">
        <is>
          <t>26081801</t>
        </is>
      </c>
      <c r="Q312" s="73" t="inlineStr">
        <is>
          <t>Microsoft - SME&amp;C Town Hall 14.10.2026</t>
        </is>
      </c>
      <c r="R312" s="73" t="inlineStr">
        <is>
          <t>PRODUCTION</t>
        </is>
      </c>
    </row>
    <row r="313">
      <c r="P313" s="73" t="inlineStr">
        <is>
          <t>26081801V</t>
        </is>
      </c>
      <c r="Q313" s="73" t="inlineStr">
        <is>
          <t>Microsoft - SME&amp;C Town Hall 14.10.2026</t>
        </is>
      </c>
      <c r="R313" s="73" t="inlineStr">
        <is>
          <t>VIDEO</t>
        </is>
      </c>
    </row>
    <row r="314">
      <c r="P314" s="73" t="inlineStr">
        <is>
          <t>26081901</t>
        </is>
      </c>
      <c r="Q314" s="73" t="inlineStr">
        <is>
          <t>AusPayNet Logitech Essentials for Room License Renewal</t>
        </is>
      </c>
      <c r="R314" s="73" t="inlineStr">
        <is>
          <t>INTEGRATION</t>
        </is>
      </c>
    </row>
    <row r="315">
      <c r="P315" s="73" t="inlineStr">
        <is>
          <t>26081904</t>
        </is>
      </c>
      <c r="Q315" s="73" t="inlineStr">
        <is>
          <t>Garvan - AllClear Program Meeting - 2.9.26</t>
        </is>
      </c>
      <c r="R315" s="73" t="inlineStr">
        <is>
          <t>PRODUCTION</t>
        </is>
      </c>
    </row>
    <row r="316">
      <c r="P316" s="73" t="inlineStr">
        <is>
          <t>26082402</t>
        </is>
      </c>
      <c r="Q316" s="73" t="inlineStr">
        <is>
          <t>TLC - 2026 AGM - 14.10.26</t>
        </is>
      </c>
      <c r="R316" s="73" t="inlineStr">
        <is>
          <t>PRODUCTION</t>
        </is>
      </c>
    </row>
    <row r="317">
      <c r="P317" s="73" t="inlineStr">
        <is>
          <t>26082402V</t>
        </is>
      </c>
      <c r="Q317" s="73" t="inlineStr">
        <is>
          <t>TLC - 2026 AGM - 14.10.26</t>
        </is>
      </c>
      <c r="R317" s="73" t="inlineStr">
        <is>
          <t>VIDEO</t>
        </is>
      </c>
    </row>
    <row r="318">
      <c r="P318" s="73" t="inlineStr">
        <is>
          <t>26082501</t>
        </is>
      </c>
      <c r="Q318" s="73" t="inlineStr">
        <is>
          <t>CBA - LES - September 2026</t>
        </is>
      </c>
      <c r="R318" s="73" t="inlineStr">
        <is>
          <t>PRODUCTION</t>
        </is>
      </c>
    </row>
    <row r="319">
      <c r="P319" s="73" t="inlineStr">
        <is>
          <t>26082502</t>
        </is>
      </c>
      <c r="Q319" s="73" t="inlineStr">
        <is>
          <t>ICC - Presenter &amp; Speaker Preparation - September 2026</t>
        </is>
      </c>
      <c r="R319" s="73" t="inlineStr">
        <is>
          <t>PRODUCTION</t>
        </is>
      </c>
    </row>
    <row r="320">
      <c r="P320" s="73" t="inlineStr">
        <is>
          <t>26082502V</t>
        </is>
      </c>
      <c r="Q320" s="73" t="inlineStr">
        <is>
          <t>ICC - Presenter &amp; Speaker Preparation - September 2026</t>
        </is>
      </c>
      <c r="R320" s="73" t="inlineStr">
        <is>
          <t>VIDEO</t>
        </is>
      </c>
    </row>
    <row r="321">
      <c r="P321" s="73" t="inlineStr">
        <is>
          <t>26082702</t>
        </is>
      </c>
      <c r="Q321" s="73" t="inlineStr">
        <is>
          <t>Garvan - Breast Cancer Public Lecture - 1.10.26</t>
        </is>
      </c>
      <c r="R321" s="73" t="inlineStr">
        <is>
          <t>PRODUCTION</t>
        </is>
      </c>
    </row>
    <row r="322">
      <c r="P322" s="73" t="inlineStr">
        <is>
          <t>26082703</t>
        </is>
      </c>
      <c r="Q322" s="73" t="inlineStr">
        <is>
          <t>APA - RUOK Day - 10.9.26</t>
        </is>
      </c>
      <c r="R322" s="73" t="inlineStr">
        <is>
          <t>PRODUCTION</t>
        </is>
      </c>
    </row>
    <row r="323">
      <c r="P323" s="73" t="inlineStr">
        <is>
          <t>26082703V</t>
        </is>
      </c>
      <c r="Q323" s="73" t="inlineStr">
        <is>
          <t>APA - RUOK Day - 10.9.26</t>
        </is>
      </c>
      <c r="R323" s="73" t="inlineStr">
        <is>
          <t>VIDEO</t>
        </is>
      </c>
    </row>
    <row r="324">
      <c r="P324" s="73" t="inlineStr">
        <is>
          <t>26082704</t>
        </is>
      </c>
      <c r="Q324" s="73" t="inlineStr">
        <is>
          <t>DTTL Travel for National STL &amp; Coverage SYD-PER</t>
        </is>
      </c>
      <c r="R324" s="73" t="inlineStr">
        <is>
          <t>ONSITE</t>
        </is>
      </c>
    </row>
    <row r="325">
      <c r="P325" s="73" t="inlineStr">
        <is>
          <t>26082801</t>
        </is>
      </c>
      <c r="Q325" s="73" t="inlineStr">
        <is>
          <t>Ricoh Australia - SHELL AV Support</t>
        </is>
      </c>
      <c r="R325" s="73" t="inlineStr">
        <is>
          <t>ONSITE</t>
        </is>
      </c>
    </row>
    <row r="326">
      <c r="P326" s="73" t="inlineStr">
        <is>
          <t>2608402</t>
        </is>
      </c>
      <c r="Q326" s="73" t="inlineStr">
        <is>
          <t>Garvan - Suttons Event - 15.10.26</t>
        </is>
      </c>
      <c r="R326" s="73" t="inlineStr">
        <is>
          <t>PRODUCTION</t>
        </is>
      </c>
    </row>
    <row r="327">
      <c r="P327" s="73" t="inlineStr">
        <is>
          <t>2608404</t>
        </is>
      </c>
      <c r="Q327" s="73" t="inlineStr">
        <is>
          <t>St Vincents Public Hospital - Awards Night - 26.8.25</t>
        </is>
      </c>
      <c r="R327" s="73" t="inlineStr">
        <is>
          <t>PRODUCTION</t>
        </is>
      </c>
    </row>
    <row r="328">
      <c r="P328" s="73" t="inlineStr">
        <is>
          <t>2608404V</t>
        </is>
      </c>
      <c r="Q328" s="73" t="inlineStr">
        <is>
          <t>St Vincents Public Hospital - Awards Night - 26.8.25</t>
        </is>
      </c>
      <c r="R328" s="73" t="inlineStr">
        <is>
          <t>VIDEO</t>
        </is>
      </c>
    </row>
    <row r="329">
      <c r="P329" s="73" t="inlineStr">
        <is>
          <t>2608604</t>
        </is>
      </c>
      <c r="Q329" s="73" t="inlineStr">
        <is>
          <t>ASX - FYR Employee Town Hall - 13.8.26</t>
        </is>
      </c>
      <c r="R329" s="73" t="inlineStr">
        <is>
          <t>PRODUCTION</t>
        </is>
      </c>
    </row>
    <row r="330">
      <c r="P330" s="73" t="inlineStr">
        <is>
          <t>2608604V</t>
        </is>
      </c>
      <c r="Q330" s="73" t="inlineStr">
        <is>
          <t>ASX - FYR Employee Town Hall - 13.8.26</t>
        </is>
      </c>
      <c r="R330" s="73" t="inlineStr">
        <is>
          <t>VIDEO</t>
        </is>
      </c>
    </row>
    <row r="331">
      <c r="P331" s="73" t="inlineStr">
        <is>
          <t>2608701</t>
        </is>
      </c>
      <c r="Q331" s="73" t="inlineStr">
        <is>
          <t>Elkeim - Studio Support - 10.9.26</t>
        </is>
      </c>
      <c r="R331" s="73" t="inlineStr">
        <is>
          <t>PRODUCTION</t>
        </is>
      </c>
    </row>
    <row r="332">
      <c r="P332" s="73" t="inlineStr">
        <is>
          <t>2608702</t>
        </is>
      </c>
      <c r="Q332" s="73" t="inlineStr">
        <is>
          <t>APA - Qtly All Hands SYD Screen Hire - 20.8.26</t>
        </is>
      </c>
      <c r="R332" s="73" t="inlineStr">
        <is>
          <t>PRODUCTION</t>
        </is>
      </c>
    </row>
    <row r="333">
      <c r="P333" s="73" t="inlineStr">
        <is>
          <t>26091002</t>
        </is>
      </c>
      <c r="Q333" s="73" t="inlineStr">
        <is>
          <t>GP - Talking Philanthropy - Event Videography 18.9.26</t>
        </is>
      </c>
      <c r="R333" s="73" t="inlineStr">
        <is>
          <t>PRODUCTION</t>
        </is>
      </c>
    </row>
    <row r="334">
      <c r="P334" s="73" t="inlineStr">
        <is>
          <t>26091002V</t>
        </is>
      </c>
      <c r="Q334" s="73" t="inlineStr">
        <is>
          <t>GP - Talking Philanthropy - Event Videography 18.9.26</t>
        </is>
      </c>
      <c r="R334" s="73" t="inlineStr">
        <is>
          <t>VIDEO</t>
        </is>
      </c>
    </row>
    <row r="335">
      <c r="P335" s="73" t="inlineStr">
        <is>
          <t>26091601</t>
        </is>
      </c>
      <c r="Q335" s="73" t="inlineStr">
        <is>
          <t>Automic - September All Hands - 25.9.26</t>
        </is>
      </c>
      <c r="R335" s="73" t="inlineStr">
        <is>
          <t>PRODUCTION</t>
        </is>
      </c>
    </row>
    <row r="336">
      <c r="P336" s="73" t="inlineStr">
        <is>
          <t>26091601V</t>
        </is>
      </c>
      <c r="Q336" s="73" t="inlineStr">
        <is>
          <t>Automic - September All Hands - 25.9.26</t>
        </is>
      </c>
      <c r="R336" s="73" t="inlineStr">
        <is>
          <t>VIDEO</t>
        </is>
      </c>
    </row>
    <row r="337">
      <c r="P337" s="73" t="inlineStr">
        <is>
          <t>26091604</t>
        </is>
      </c>
      <c r="Q337" s="73" t="inlineStr">
        <is>
          <t>The George Institute - SYD CV Symposium - 29-30.10.26</t>
        </is>
      </c>
      <c r="R337" s="73" t="inlineStr">
        <is>
          <t>PRODUCTION</t>
        </is>
      </c>
    </row>
    <row r="338">
      <c r="P338" s="73" t="inlineStr">
        <is>
          <t>26091604V</t>
        </is>
      </c>
      <c r="Q338" s="73" t="inlineStr">
        <is>
          <t>The George Institute - SYD CV Symposium - 29-30.10.26</t>
        </is>
      </c>
      <c r="R338" s="73" t="inlineStr">
        <is>
          <t>VIDEO</t>
        </is>
      </c>
    </row>
    <row r="339">
      <c r="P339" s="73" t="inlineStr">
        <is>
          <t>2609402</t>
        </is>
      </c>
      <c r="Q339" s="73" t="inlineStr">
        <is>
          <t>MUFG - SUN Investor Day - 29.10.26</t>
        </is>
      </c>
      <c r="R339" s="73" t="inlineStr">
        <is>
          <t>PRODUCTION</t>
        </is>
      </c>
    </row>
    <row r="340">
      <c r="P340" s="73" t="inlineStr">
        <is>
          <t>2609402V</t>
        </is>
      </c>
      <c r="Q340" s="73" t="inlineStr">
        <is>
          <t>MUFG - SUN Investor Day - 29.10.26</t>
        </is>
      </c>
      <c r="R340" s="73" t="inlineStr">
        <is>
          <t>VIDEO</t>
        </is>
      </c>
    </row>
    <row r="341">
      <c r="P341" s="73" t="inlineStr">
        <is>
          <t>2609801</t>
        </is>
      </c>
      <c r="Q341" s="73" t="inlineStr">
        <is>
          <t>Elkiem - Studio Support - 16.9.26</t>
        </is>
      </c>
      <c r="R341" s="73" t="inlineStr">
        <is>
          <t>PRODUCTION</t>
        </is>
      </c>
    </row>
    <row r="342">
      <c r="P342" s="73" t="inlineStr">
        <is>
          <t>2645</t>
        </is>
      </c>
      <c r="Q342" s="73" t="inlineStr">
        <is>
          <t>EY SYD Tech Support</t>
        </is>
      </c>
      <c r="R342" s="73" t="inlineStr">
        <is>
          <t>ONSITE</t>
        </is>
      </c>
    </row>
    <row r="343">
      <c r="P343" s="73" t="inlineStr">
        <is>
          <t>2648</t>
        </is>
      </c>
      <c r="Q343" s="73" t="inlineStr">
        <is>
          <t>DTTL MEL Additional Tech</t>
        </is>
      </c>
      <c r="R343" s="73" t="inlineStr">
        <is>
          <t>ONSITE</t>
        </is>
      </c>
    </row>
    <row r="344">
      <c r="P344" s="73" t="inlineStr">
        <is>
          <t>2658</t>
        </is>
      </c>
      <c r="Q344" s="73" t="inlineStr">
        <is>
          <t>EY MELB Tech</t>
        </is>
      </c>
      <c r="R344" s="73" t="inlineStr">
        <is>
          <t>ONSITE</t>
        </is>
      </c>
    </row>
    <row r="345">
      <c r="P345" s="73" t="inlineStr">
        <is>
          <t>2675</t>
        </is>
      </c>
      <c r="Q345" s="73" t="inlineStr">
        <is>
          <t>ONS EY (non-chargeable)</t>
        </is>
      </c>
      <c r="R345" s="73" t="inlineStr"/>
    </row>
    <row r="346">
      <c r="P346" s="73" t="inlineStr">
        <is>
          <t>2685</t>
        </is>
      </c>
      <c r="Q346" s="73" t="inlineStr">
        <is>
          <t>APA Proxyclick BNE &amp; DRW</t>
        </is>
      </c>
      <c r="R346" s="73" t="inlineStr">
        <is>
          <t>INTEGRATION</t>
        </is>
      </c>
    </row>
    <row r="347">
      <c r="P347" s="73" t="inlineStr">
        <is>
          <t>2706</t>
        </is>
      </c>
      <c r="Q347" s="73" t="inlineStr">
        <is>
          <t>EPA 6PSQ Proxyclick VMS</t>
        </is>
      </c>
      <c r="R347" s="73" t="inlineStr">
        <is>
          <t>INTEGRATION</t>
        </is>
      </c>
    </row>
    <row r="348">
      <c r="P348" s="73" t="inlineStr">
        <is>
          <t>2719</t>
        </is>
      </c>
      <c r="Q348" s="73" t="inlineStr">
        <is>
          <t>GSP - 6PSQProxyclickOnb</t>
        </is>
      </c>
      <c r="R348" s="73" t="inlineStr">
        <is>
          <t>INTEGRATION</t>
        </is>
      </c>
    </row>
    <row r="349">
      <c r="P349" s="73" t="inlineStr">
        <is>
          <t>2722</t>
        </is>
      </c>
      <c r="Q349" s="73" t="inlineStr">
        <is>
          <t>PWC Monthly Consulting</t>
        </is>
      </c>
      <c r="R349" s="73" t="inlineStr">
        <is>
          <t>CONSULTING</t>
        </is>
      </c>
    </row>
    <row r="350">
      <c r="P350" s="73" t="inlineStr">
        <is>
          <t>2726</t>
        </is>
      </c>
      <c r="Q350" s="73" t="inlineStr">
        <is>
          <t>KPMG MEL Tech</t>
        </is>
      </c>
      <c r="R350" s="73" t="inlineStr">
        <is>
          <t>ONSITE</t>
        </is>
      </c>
    </row>
    <row r="351">
      <c r="P351" s="73" t="inlineStr">
        <is>
          <t>2756</t>
        </is>
      </c>
      <c r="Q351" s="73" t="inlineStr">
        <is>
          <t>CTS Mgmt Meetings</t>
        </is>
      </c>
      <c r="R351" s="73" t="inlineStr">
        <is>
          <t>CTS</t>
        </is>
      </c>
    </row>
    <row r="352">
      <c r="P352" s="73" t="inlineStr">
        <is>
          <t>2834</t>
        </is>
      </c>
      <c r="Q352" s="73" t="inlineStr">
        <is>
          <t>APA Young - Visitor Mgmt</t>
        </is>
      </c>
      <c r="R352" s="73" t="inlineStr">
        <is>
          <t>INTEGRATION</t>
        </is>
      </c>
    </row>
    <row r="353">
      <c r="P353" s="73" t="inlineStr">
        <is>
          <t>2838</t>
        </is>
      </c>
      <c r="Q353" s="73" t="inlineStr">
        <is>
          <t>KPMG SYD Tech</t>
        </is>
      </c>
      <c r="R353" s="73" t="inlineStr">
        <is>
          <t>ONSITE</t>
        </is>
      </c>
    </row>
    <row r="354">
      <c r="P354" s="73" t="inlineStr">
        <is>
          <t>2846</t>
        </is>
      </c>
      <c r="Q354" s="73" t="inlineStr">
        <is>
          <t>DTTL National STL</t>
        </is>
      </c>
      <c r="R354" s="73" t="inlineStr">
        <is>
          <t>ONSITE</t>
        </is>
      </c>
    </row>
    <row r="355">
      <c r="P355" s="73" t="inlineStr">
        <is>
          <t>2848</t>
        </is>
      </c>
      <c r="Q355" s="73" t="inlineStr">
        <is>
          <t>APA ADL Visitor Mgmt</t>
        </is>
      </c>
      <c r="R355" s="73" t="inlineStr">
        <is>
          <t>INTEGRATION</t>
        </is>
      </c>
    </row>
    <row r="356">
      <c r="P356" s="73" t="inlineStr">
        <is>
          <t>2849</t>
        </is>
      </c>
      <c r="Q356" s="73" t="inlineStr">
        <is>
          <t>DTTL SYD Internal</t>
        </is>
      </c>
      <c r="R356" s="73" t="inlineStr">
        <is>
          <t>ONSITE</t>
        </is>
      </c>
    </row>
    <row r="357">
      <c r="P357" s="73" t="inlineStr">
        <is>
          <t>2855</t>
        </is>
      </c>
      <c r="Q357" s="73" t="inlineStr">
        <is>
          <t>APA Melbourne VMS</t>
        </is>
      </c>
      <c r="R357" s="73" t="inlineStr">
        <is>
          <t>INTEGRATION</t>
        </is>
      </c>
    </row>
    <row r="358">
      <c r="P358" s="73" t="inlineStr">
        <is>
          <t>2857</t>
        </is>
      </c>
      <c r="Q358" s="73" t="inlineStr">
        <is>
          <t>APA Sydney Visitor Mgmt</t>
        </is>
      </c>
      <c r="R358" s="73" t="inlineStr">
        <is>
          <t>INTEGRATION</t>
        </is>
      </c>
    </row>
    <row r="359">
      <c r="P359" s="73" t="inlineStr">
        <is>
          <t>2877</t>
        </is>
      </c>
      <c r="Q359" s="73" t="inlineStr">
        <is>
          <t>DEWR Maintenance Ext</t>
        </is>
      </c>
      <c r="R359" s="73" t="inlineStr">
        <is>
          <t>INTEGRATION</t>
        </is>
      </c>
    </row>
    <row r="360">
      <c r="P360" s="73" t="inlineStr">
        <is>
          <t>2879</t>
        </is>
      </c>
      <c r="Q360" s="73" t="inlineStr">
        <is>
          <t>ONS Ricoh-QANTAS (non-chgble)</t>
        </is>
      </c>
      <c r="R360" s="73" t="inlineStr"/>
    </row>
    <row r="361">
      <c r="P361" s="73" t="inlineStr">
        <is>
          <t>2880</t>
        </is>
      </c>
      <c r="Q361" s="73" t="inlineStr">
        <is>
          <t>Ricoh - QANTAS</t>
        </is>
      </c>
      <c r="R361" s="73" t="inlineStr">
        <is>
          <t>ONSITE</t>
        </is>
      </c>
    </row>
    <row r="362">
      <c r="P362" s="73" t="inlineStr">
        <is>
          <t>2892</t>
        </is>
      </c>
      <c r="Q362" s="73" t="inlineStr">
        <is>
          <t>JP Morgan Onsite Tech</t>
        </is>
      </c>
      <c r="R362" s="73" t="inlineStr">
        <is>
          <t>ONSITE</t>
        </is>
      </c>
    </row>
    <row r="363">
      <c r="P363" s="73" t="inlineStr">
        <is>
          <t>2896</t>
        </is>
      </c>
      <c r="Q363" s="73" t="inlineStr">
        <is>
          <t>ONS KPMG (non-chargeable)</t>
        </is>
      </c>
      <c r="R363" s="73" t="inlineStr"/>
    </row>
    <row r="364">
      <c r="P364" s="73" t="inlineStr">
        <is>
          <t>2897</t>
        </is>
      </c>
      <c r="Q364" s="73" t="inlineStr">
        <is>
          <t>ONS JPM (non-chargeable)</t>
        </is>
      </c>
      <c r="R364" s="73" t="inlineStr"/>
    </row>
    <row r="365">
      <c r="P365" s="73" t="inlineStr">
        <is>
          <t>2900</t>
        </is>
      </c>
      <c r="Q365" s="73" t="inlineStr">
        <is>
          <t>ONS Ammacus-Woolworths (non-chargeable)</t>
        </is>
      </c>
      <c r="R365" s="73" t="inlineStr"/>
    </row>
    <row r="366">
      <c r="P366" s="73" t="inlineStr">
        <is>
          <t>2906</t>
        </is>
      </c>
      <c r="Q366" s="73" t="inlineStr">
        <is>
          <t>KPMG BNE Tech</t>
        </is>
      </c>
      <c r="R366" s="73" t="inlineStr">
        <is>
          <t>ONSITE</t>
        </is>
      </c>
    </row>
    <row r="367">
      <c r="P367" s="73" t="inlineStr">
        <is>
          <t>2907</t>
        </is>
      </c>
      <c r="Q367" s="73" t="inlineStr">
        <is>
          <t>Ammacus-Woolworths Tech</t>
        </is>
      </c>
      <c r="R367" s="73" t="inlineStr">
        <is>
          <t>ONSITE</t>
        </is>
      </c>
    </row>
    <row r="368">
      <c r="P368" s="73" t="inlineStr">
        <is>
          <t>2910</t>
        </is>
      </c>
      <c r="Q368" s="73" t="inlineStr">
        <is>
          <t>Office Move 2024</t>
        </is>
      </c>
      <c r="R368" s="73" t="inlineStr">
        <is>
          <t>CTS</t>
        </is>
      </c>
    </row>
    <row r="369">
      <c r="P369" s="73" t="inlineStr">
        <is>
          <t>2977</t>
        </is>
      </c>
      <c r="Q369" s="73" t="inlineStr">
        <is>
          <t>St Catherine's School (CONS)</t>
        </is>
      </c>
      <c r="R369" s="73" t="inlineStr"/>
    </row>
    <row r="370">
      <c r="P370" s="73" t="inlineStr">
        <is>
          <t>3014</t>
        </is>
      </c>
      <c r="Q370" s="73" t="inlineStr">
        <is>
          <t>ONS Ricoh/Campari (Chargeable)</t>
        </is>
      </c>
      <c r="R370" s="73" t="inlineStr"/>
    </row>
    <row r="371">
      <c r="P371" s="73" t="inlineStr">
        <is>
          <t>3015</t>
        </is>
      </c>
      <c r="Q371" s="73" t="inlineStr">
        <is>
          <t>ONS Ricoh/Campari (Non Chgble)</t>
        </is>
      </c>
      <c r="R371" s="73" t="inlineStr"/>
    </row>
    <row r="372">
      <c r="P372" s="73" t="inlineStr">
        <is>
          <t>3027</t>
        </is>
      </c>
      <c r="Q372" s="73" t="inlineStr">
        <is>
          <t>DPIE Elizabeth St Booking</t>
        </is>
      </c>
      <c r="R372" s="73" t="inlineStr">
        <is>
          <t>INTEGRATION</t>
        </is>
      </c>
    </row>
    <row r="373">
      <c r="P373" s="73" t="inlineStr">
        <is>
          <t>3028</t>
        </is>
      </c>
      <c r="Q373" s="73" t="inlineStr">
        <is>
          <t>APA Kidman Park VMS</t>
        </is>
      </c>
      <c r="R373" s="73" t="inlineStr">
        <is>
          <t>INTEGRATION</t>
        </is>
      </c>
    </row>
    <row r="374">
      <c r="P374" s="73" t="inlineStr">
        <is>
          <t>3034</t>
        </is>
      </c>
      <c r="Q374" s="73" t="inlineStr">
        <is>
          <t>ARUP ONS (non-chargeable)</t>
        </is>
      </c>
      <c r="R374" s="73" t="inlineStr"/>
    </row>
    <row r="375">
      <c r="P375" s="73" t="inlineStr">
        <is>
          <t>3035</t>
        </is>
      </c>
      <c r="Q375" s="73" t="inlineStr">
        <is>
          <t>ARUP ONS National (Chargeable)</t>
        </is>
      </c>
      <c r="R375" s="73" t="inlineStr"/>
    </row>
    <row r="376">
      <c r="P376" s="73" t="inlineStr">
        <is>
          <t>3040</t>
        </is>
      </c>
      <c r="Q376" s="73" t="inlineStr">
        <is>
          <t>Corrs MELB Office Reloc</t>
        </is>
      </c>
      <c r="R376" s="73" t="inlineStr">
        <is>
          <t>CONSULTING</t>
        </is>
      </c>
    </row>
    <row r="377">
      <c r="P377" s="73" t="inlineStr">
        <is>
          <t>3042</t>
        </is>
      </c>
      <c r="Q377" s="73" t="inlineStr">
        <is>
          <t>Corrs-PER Office Reloc</t>
        </is>
      </c>
      <c r="R377" s="73" t="inlineStr">
        <is>
          <t>CONSULTING</t>
        </is>
      </c>
    </row>
    <row r="378">
      <c r="P378" s="73" t="inlineStr">
        <is>
          <t>3046</t>
        </is>
      </c>
      <c r="Q378" s="73" t="inlineStr">
        <is>
          <t>Stone&amp;Chalk ONS [chargeable]</t>
        </is>
      </c>
      <c r="R378" s="73" t="inlineStr"/>
    </row>
    <row r="379">
      <c r="P379" s="73" t="inlineStr">
        <is>
          <t>3047</t>
        </is>
      </c>
      <c r="Q379" s="73" t="inlineStr">
        <is>
          <t>Stone&amp;Chalk ONS [non-chargable]</t>
        </is>
      </c>
      <c r="R379" s="73" t="inlineStr"/>
    </row>
    <row r="380">
      <c r="P380" s="73" t="inlineStr">
        <is>
          <t>3048</t>
        </is>
      </c>
      <c r="Q380" s="73" t="inlineStr">
        <is>
          <t>Stone &amp; Chalk Audit 2</t>
        </is>
      </c>
      <c r="R380" s="73" t="inlineStr">
        <is>
          <t>CONSULTING</t>
        </is>
      </c>
    </row>
    <row r="381">
      <c r="P381" s="73" t="inlineStr">
        <is>
          <t>3056</t>
        </is>
      </c>
      <c r="Q381" s="73" t="inlineStr">
        <is>
          <t>AusPayNet Onsite [Chargeable]</t>
        </is>
      </c>
      <c r="R381" s="73" t="inlineStr"/>
    </row>
    <row r="382">
      <c r="P382" s="73" t="inlineStr">
        <is>
          <t>3057</t>
        </is>
      </c>
      <c r="Q382" s="73" t="inlineStr">
        <is>
          <t>AusPayNet ONS[Non-Chargeable]</t>
        </is>
      </c>
      <c r="R382" s="73" t="inlineStr"/>
    </row>
    <row r="383">
      <c r="P383" s="73" t="inlineStr">
        <is>
          <t>3059</t>
        </is>
      </c>
      <c r="Q383" s="73" t="inlineStr">
        <is>
          <t>CBA AGM 2025</t>
        </is>
      </c>
      <c r="R383" s="73" t="inlineStr">
        <is>
          <t>PRODUCTION</t>
        </is>
      </c>
    </row>
    <row r="384">
      <c r="P384" s="73" t="inlineStr">
        <is>
          <t>3068</t>
        </is>
      </c>
      <c r="Q384" s="73" t="inlineStr">
        <is>
          <t>DPIE Pitt and Penrith</t>
        </is>
      </c>
      <c r="R384" s="73" t="inlineStr">
        <is>
          <t>INTEGRATION</t>
        </is>
      </c>
    </row>
    <row r="385">
      <c r="P385" s="73" t="inlineStr">
        <is>
          <t>3072</t>
        </is>
      </c>
      <c r="Q385" s="73" t="inlineStr">
        <is>
          <t>APA Thomastown</t>
        </is>
      </c>
      <c r="R385" s="73" t="inlineStr">
        <is>
          <t>INTEGRATION</t>
        </is>
      </c>
    </row>
    <row r="386">
      <c r="P386" s="73" t="inlineStr">
        <is>
          <t>585</t>
        </is>
      </c>
      <c r="Q386" s="73" t="inlineStr">
        <is>
          <t>CBA Team Leader</t>
        </is>
      </c>
      <c r="R386" s="73" t="inlineStr">
        <is>
          <t>ONSITE</t>
        </is>
      </c>
    </row>
    <row r="387">
      <c r="P387" s="73" t="inlineStr">
        <is>
          <t>586</t>
        </is>
      </c>
      <c r="Q387" s="73" t="inlineStr">
        <is>
          <t>CBA Tech NP</t>
        </is>
      </c>
      <c r="R387" s="73" t="inlineStr">
        <is>
          <t>ONSITE</t>
        </is>
      </c>
    </row>
    <row r="388">
      <c r="P388" s="73" t="inlineStr">
        <is>
          <t>587</t>
        </is>
      </c>
      <c r="Q388" s="73" t="inlineStr">
        <is>
          <t>CBA Tech TN</t>
        </is>
      </c>
      <c r="R388" s="73" t="inlineStr">
        <is>
          <t>ONSITE</t>
        </is>
      </c>
    </row>
    <row r="389">
      <c r="P389" s="73" t="inlineStr">
        <is>
          <t>724</t>
        </is>
      </c>
      <c r="Q389" s="73" t="inlineStr">
        <is>
          <t>DTTL SYD NTSL</t>
        </is>
      </c>
      <c r="R389" s="73" t="inlineStr">
        <is>
          <t>ONSITE</t>
        </is>
      </c>
    </row>
    <row r="390">
      <c r="P390" s="73" t="inlineStr">
        <is>
          <t>725</t>
        </is>
      </c>
      <c r="Q390" s="73" t="inlineStr">
        <is>
          <t>DTTL Mel Tech FT 1</t>
        </is>
      </c>
      <c r="R390" s="73" t="inlineStr">
        <is>
          <t>ONSITE</t>
        </is>
      </c>
    </row>
    <row r="391">
      <c r="P391" s="73" t="inlineStr">
        <is>
          <t>729</t>
        </is>
      </c>
      <c r="Q391" s="73" t="inlineStr">
        <is>
          <t>DTTL Consulting</t>
        </is>
      </c>
      <c r="R391" s="73" t="inlineStr">
        <is>
          <t>CONSULTING</t>
        </is>
      </c>
    </row>
    <row r="392">
      <c r="P392" s="73" t="inlineStr">
        <is>
          <t>732</t>
        </is>
      </c>
      <c r="Q392" s="73" t="inlineStr">
        <is>
          <t>Bank West Contract</t>
        </is>
      </c>
      <c r="R392" s="73" t="inlineStr">
        <is>
          <t>ONSITE</t>
        </is>
      </c>
    </row>
    <row r="393">
      <c r="P393" s="73" t="inlineStr">
        <is>
          <t>9000</t>
        </is>
      </c>
      <c r="Q393" s="73" t="inlineStr">
        <is>
          <t>OFFICE / ADMIN</t>
        </is>
      </c>
      <c r="R393" s="73" t="inlineStr">
        <is>
          <t>CTS</t>
        </is>
      </c>
    </row>
    <row r="394">
      <c r="P394" s="73" t="inlineStr">
        <is>
          <t>9001</t>
        </is>
      </c>
      <c r="Q394" s="73" t="inlineStr">
        <is>
          <t>OFFICE/ADMIN Orientation</t>
        </is>
      </c>
      <c r="R394" s="73" t="inlineStr">
        <is>
          <t>CTS</t>
        </is>
      </c>
    </row>
    <row r="395">
      <c r="P395" s="73" t="inlineStr">
        <is>
          <t>9050</t>
        </is>
      </c>
      <c r="Q395" s="73" t="inlineStr">
        <is>
          <t>OFFICE ASSETS</t>
        </is>
      </c>
      <c r="R395" s="73" t="inlineStr">
        <is>
          <t>CTS</t>
        </is>
      </c>
    </row>
    <row r="396">
      <c r="P396" s="73" t="inlineStr">
        <is>
          <t>9100</t>
        </is>
      </c>
      <c r="Q396" s="73" t="inlineStr">
        <is>
          <t>PRODUCTION</t>
        </is>
      </c>
      <c r="R396" s="73" t="inlineStr">
        <is>
          <t>PRODUCTION</t>
        </is>
      </c>
    </row>
    <row r="397">
      <c r="P397" s="73" t="inlineStr">
        <is>
          <t>9101</t>
        </is>
      </c>
      <c r="Q397" s="73" t="inlineStr">
        <is>
          <t>PRODUCTION - Orientation</t>
        </is>
      </c>
      <c r="R397" s="73" t="inlineStr">
        <is>
          <t>PRODUCTION</t>
        </is>
      </c>
    </row>
    <row r="398">
      <c r="P398" s="73" t="inlineStr">
        <is>
          <t>9102</t>
        </is>
      </c>
      <c r="Q398" s="73" t="inlineStr">
        <is>
          <t>Production - Training</t>
        </is>
      </c>
      <c r="R398" s="73" t="inlineStr">
        <is>
          <t>PRODUCTION</t>
        </is>
      </c>
    </row>
    <row r="399">
      <c r="P399" s="73" t="inlineStr">
        <is>
          <t>9105</t>
        </is>
      </c>
      <c r="Q399" s="73" t="inlineStr">
        <is>
          <t>ONSITE (including PROD backup)</t>
        </is>
      </c>
      <c r="R399" s="73" t="inlineStr"/>
    </row>
    <row r="400">
      <c r="P400" s="73" t="inlineStr">
        <is>
          <t>9106</t>
        </is>
      </c>
      <c r="Q400" s="73" t="inlineStr">
        <is>
          <t>ONSITE - Orientation</t>
        </is>
      </c>
      <c r="R400" s="73" t="inlineStr">
        <is>
          <t>ONSITE</t>
        </is>
      </c>
    </row>
    <row r="401">
      <c r="P401" s="73" t="inlineStr">
        <is>
          <t>9107</t>
        </is>
      </c>
      <c r="Q401" s="73" t="inlineStr">
        <is>
          <t>ONSITE - Assets</t>
        </is>
      </c>
      <c r="R401" s="73" t="inlineStr">
        <is>
          <t>ONSITE</t>
        </is>
      </c>
    </row>
    <row r="402">
      <c r="P402" s="73" t="inlineStr">
        <is>
          <t>9108</t>
        </is>
      </c>
      <c r="Q402" s="73" t="inlineStr">
        <is>
          <t>ONSITE - Sales</t>
        </is>
      </c>
      <c r="R402" s="73" t="inlineStr">
        <is>
          <t>ONSITE</t>
        </is>
      </c>
    </row>
    <row r="403">
      <c r="P403" s="73" t="inlineStr">
        <is>
          <t>9109</t>
        </is>
      </c>
      <c r="Q403" s="73" t="inlineStr">
        <is>
          <t>ONSITE - Marketing</t>
        </is>
      </c>
      <c r="R403" s="73" t="inlineStr">
        <is>
          <t>ONSITE</t>
        </is>
      </c>
    </row>
    <row r="404">
      <c r="P404" s="73" t="inlineStr">
        <is>
          <t>9125</t>
        </is>
      </c>
      <c r="Q404" s="73" t="inlineStr">
        <is>
          <t>VIDEO DEPT</t>
        </is>
      </c>
      <c r="R404" s="73" t="inlineStr">
        <is>
          <t>VIDEO</t>
        </is>
      </c>
    </row>
    <row r="405">
      <c r="P405" s="73" t="inlineStr">
        <is>
          <t>9126</t>
        </is>
      </c>
      <c r="Q405" s="73" t="inlineStr">
        <is>
          <t>VIDEO - Orientation</t>
        </is>
      </c>
      <c r="R405" s="73" t="inlineStr">
        <is>
          <t>VIDEO</t>
        </is>
      </c>
    </row>
    <row r="406">
      <c r="P406" s="73" t="inlineStr">
        <is>
          <t>9127</t>
        </is>
      </c>
      <c r="Q406" s="73" t="inlineStr">
        <is>
          <t>VIDEO - Assets</t>
        </is>
      </c>
      <c r="R406" s="73" t="inlineStr">
        <is>
          <t>VIDEO</t>
        </is>
      </c>
    </row>
    <row r="407">
      <c r="P407" s="73" t="inlineStr">
        <is>
          <t>9128</t>
        </is>
      </c>
      <c r="Q407" s="73" t="inlineStr">
        <is>
          <t>VIDEO - Sales</t>
        </is>
      </c>
      <c r="R407" s="73" t="inlineStr">
        <is>
          <t>VIDEO</t>
        </is>
      </c>
    </row>
    <row r="408">
      <c r="P408" s="73" t="inlineStr">
        <is>
          <t>9129</t>
        </is>
      </c>
      <c r="Q408" s="73" t="inlineStr">
        <is>
          <t>VIDEO - Marketing</t>
        </is>
      </c>
      <c r="R408" s="73" t="inlineStr">
        <is>
          <t>VIDEO</t>
        </is>
      </c>
    </row>
    <row r="409">
      <c r="P409" s="73" t="inlineStr">
        <is>
          <t>9150</t>
        </is>
      </c>
      <c r="Q409" s="73" t="inlineStr">
        <is>
          <t>PRODUCTION - Assets</t>
        </is>
      </c>
      <c r="R409" s="73" t="inlineStr">
        <is>
          <t>PRODUCTION</t>
        </is>
      </c>
    </row>
    <row r="410">
      <c r="P410" s="73" t="inlineStr">
        <is>
          <t>9175</t>
        </is>
      </c>
      <c r="Q410" s="73" t="inlineStr">
        <is>
          <t>PRODUCTION - Sales</t>
        </is>
      </c>
      <c r="R410" s="73" t="inlineStr">
        <is>
          <t>PRODUCTION</t>
        </is>
      </c>
    </row>
    <row r="411">
      <c r="P411" s="73" t="inlineStr">
        <is>
          <t>9176</t>
        </is>
      </c>
      <c r="Q411" s="73" t="inlineStr">
        <is>
          <t>Production - Marketing</t>
        </is>
      </c>
      <c r="R411" s="73" t="inlineStr">
        <is>
          <t>PRODUCTION</t>
        </is>
      </c>
    </row>
    <row r="412">
      <c r="P412" s="73" t="inlineStr">
        <is>
          <t>9178</t>
        </is>
      </c>
      <c r="Q412" s="73" t="inlineStr">
        <is>
          <t>Production – Webcasts</t>
        </is>
      </c>
      <c r="R412" s="73" t="inlineStr">
        <is>
          <t>PRODUCTION</t>
        </is>
      </c>
    </row>
    <row r="413">
      <c r="P413" s="73" t="inlineStr">
        <is>
          <t>9200</t>
        </is>
      </c>
      <c r="Q413" s="73" t="inlineStr">
        <is>
          <t>INTEGRATION</t>
        </is>
      </c>
      <c r="R413" s="73" t="inlineStr">
        <is>
          <t>INTEGRATION</t>
        </is>
      </c>
    </row>
    <row r="414">
      <c r="P414" s="73" t="inlineStr">
        <is>
          <t>9201</t>
        </is>
      </c>
      <c r="Q414" s="73" t="inlineStr">
        <is>
          <t>INTEGRATION - Orientation [INT</t>
        </is>
      </c>
      <c r="R414" s="73" t="inlineStr"/>
    </row>
    <row r="415">
      <c r="P415" s="73" t="inlineStr">
        <is>
          <t>9202</t>
        </is>
      </c>
      <c r="Q415" s="73" t="inlineStr">
        <is>
          <t>INTEGRATION - Quotes</t>
        </is>
      </c>
      <c r="R415" s="73" t="inlineStr">
        <is>
          <t>INTEGRATION</t>
        </is>
      </c>
    </row>
    <row r="416">
      <c r="P416" s="73" t="inlineStr">
        <is>
          <t>9225</t>
        </is>
      </c>
      <c r="Q416" s="73" t="inlineStr">
        <is>
          <t>Integration - SALES</t>
        </is>
      </c>
      <c r="R416" s="73" t="inlineStr">
        <is>
          <t>INTEGRATION</t>
        </is>
      </c>
    </row>
    <row r="417">
      <c r="P417" s="73" t="inlineStr">
        <is>
          <t>9226</t>
        </is>
      </c>
      <c r="Q417" s="73" t="inlineStr">
        <is>
          <t>Integration - Marketing</t>
        </is>
      </c>
      <c r="R417" s="73" t="inlineStr">
        <is>
          <t>INTEGRATION</t>
        </is>
      </c>
    </row>
    <row r="418">
      <c r="P418" s="73" t="inlineStr">
        <is>
          <t>9300</t>
        </is>
      </c>
      <c r="Q418" s="73" t="inlineStr">
        <is>
          <t>HUMAN RESOURCES</t>
        </is>
      </c>
      <c r="R418" s="73" t="inlineStr">
        <is>
          <t>CTS</t>
        </is>
      </c>
    </row>
    <row r="419">
      <c r="P419" s="73" t="inlineStr">
        <is>
          <t>9301</t>
        </is>
      </c>
      <c r="Q419" s="73" t="inlineStr">
        <is>
          <t>Recruitment</t>
        </is>
      </c>
      <c r="R419" s="73" t="inlineStr">
        <is>
          <t>CTS</t>
        </is>
      </c>
    </row>
    <row r="420">
      <c r="P420" s="73" t="inlineStr">
        <is>
          <t>9350</t>
        </is>
      </c>
      <c r="Q420" s="73" t="inlineStr">
        <is>
          <t>MARKETING (external)</t>
        </is>
      </c>
      <c r="R420" s="73" t="inlineStr">
        <is>
          <t>CTS</t>
        </is>
      </c>
    </row>
    <row r="421">
      <c r="P421" s="73" t="inlineStr">
        <is>
          <t>9375</t>
        </is>
      </c>
      <c r="Q421" s="73" t="inlineStr">
        <is>
          <t>MARKETING / COMMS</t>
        </is>
      </c>
      <c r="R421" s="73" t="inlineStr">
        <is>
          <t>CTS</t>
        </is>
      </c>
    </row>
    <row r="422">
      <c r="P422" s="73" t="inlineStr">
        <is>
          <t>9400</t>
        </is>
      </c>
      <c r="Q422" s="73" t="inlineStr">
        <is>
          <t>CONSULTING</t>
        </is>
      </c>
      <c r="R422" s="73" t="inlineStr">
        <is>
          <t>CONSULTING</t>
        </is>
      </c>
    </row>
    <row r="423">
      <c r="P423" s="73" t="inlineStr">
        <is>
          <t>9402</t>
        </is>
      </c>
      <c r="Q423" s="73" t="inlineStr">
        <is>
          <t>CONSULTING - Assets</t>
        </is>
      </c>
      <c r="R423" s="73" t="inlineStr">
        <is>
          <t>CONSULTING</t>
        </is>
      </c>
    </row>
    <row r="424">
      <c r="P424" s="73" t="inlineStr">
        <is>
          <t>9403</t>
        </is>
      </c>
      <c r="Q424" s="73" t="inlineStr">
        <is>
          <t>CONSULTING - Sales</t>
        </is>
      </c>
      <c r="R424" s="73" t="inlineStr">
        <is>
          <t>CONSULTING</t>
        </is>
      </c>
    </row>
    <row r="425">
      <c r="P425" s="73" t="inlineStr">
        <is>
          <t>9405</t>
        </is>
      </c>
      <c r="Q425" s="73" t="inlineStr">
        <is>
          <t>CONSULTING - Marketing</t>
        </is>
      </c>
      <c r="R425" s="73" t="inlineStr">
        <is>
          <t>CONSULTING</t>
        </is>
      </c>
    </row>
    <row r="426">
      <c r="P426" s="73" t="inlineStr">
        <is>
          <t>9407</t>
        </is>
      </c>
      <c r="Q426" s="73" t="inlineStr">
        <is>
          <t>CONSULTING - Training</t>
        </is>
      </c>
      <c r="R426" s="73" t="inlineStr">
        <is>
          <t>CONSULTING</t>
        </is>
      </c>
    </row>
    <row r="427">
      <c r="P427" s="73" t="inlineStr">
        <is>
          <t>974</t>
        </is>
      </c>
      <c r="Q427" s="73" t="inlineStr">
        <is>
          <t>DTTL 1300 Number</t>
        </is>
      </c>
      <c r="R427" s="73"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2026-09-25T02:16:42Z</dcterms:created>
  <dcterms:modified xsi:type="dcterms:W3CDTF">2026-09-25T02:16:49Z</dcterms:modified>
</cp:coreProperties>
</file>